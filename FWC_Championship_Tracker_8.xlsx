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5B894D7D-D57F-4146-B4F0-F0C0B16FA381}"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T419" i="9"/>
  <c r="R419" i="9"/>
  <c r="S419" i="9" s="1"/>
  <c r="I419" i="9" s="1"/>
  <c r="K419" i="9" s="1"/>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18" i="9" l="1"/>
  <c r="I418" i="9" s="1"/>
  <c r="K418" i="9" s="1"/>
  <c r="F204" i="11"/>
  <c r="G204" i="11" s="1"/>
  <c r="I204" i="11" s="1"/>
  <c r="Y204" i="11"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AA23" i="9"/>
  <c r="AB23" i="9" s="1"/>
  <c r="U25" i="9" s="1"/>
  <c r="L62" i="9"/>
  <c r="L5" i="9"/>
  <c r="S66" i="9"/>
  <c r="I66" i="9" s="1"/>
  <c r="K66" i="9" s="1"/>
  <c r="S65" i="9"/>
  <c r="I65" i="9" s="1"/>
  <c r="F65" i="11"/>
  <c r="K93" i="9"/>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214" i="11"/>
  <c r="Y382" i="11"/>
  <c r="Y328" i="11"/>
  <c r="Y257" i="11"/>
  <c r="Y253" i="11"/>
  <c r="Y369" i="11"/>
  <c r="Y305" i="11"/>
  <c r="Y296" i="11"/>
  <c r="Y240" i="11"/>
  <c r="Y238" i="11"/>
  <c r="Y212"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208" i="11"/>
  <c r="Y339" i="11"/>
  <c r="Y271" i="11"/>
  <c r="Y427" i="11"/>
  <c r="Y399" i="11"/>
  <c r="Y381" i="11"/>
  <c r="Y302" i="11"/>
  <c r="Y269" i="11"/>
  <c r="Y209" i="11"/>
  <c r="Y225" i="11"/>
  <c r="Y215" i="11"/>
  <c r="AG20" i="11"/>
  <c r="AG19" i="11"/>
  <c r="Y76" i="11"/>
  <c r="AH15" i="11"/>
  <c r="AH7" i="11"/>
  <c r="AH13" i="11"/>
  <c r="AH14" i="11"/>
  <c r="Q40" i="10"/>
  <c r="V20" i="11"/>
  <c r="P49" i="10"/>
  <c r="R49" i="10" s="1"/>
  <c r="G70" i="11"/>
  <c r="I70" i="11" s="1"/>
  <c r="Y70" i="11" s="1"/>
  <c r="G111" i="11"/>
  <c r="I111" i="11" s="1"/>
  <c r="Y111" i="11" s="1"/>
  <c r="Y169" i="11"/>
  <c r="Y205" i="11"/>
  <c r="Y332" i="11"/>
  <c r="Y216" i="11"/>
  <c r="Y222" i="11"/>
  <c r="Y260" i="11"/>
  <c r="Y270" i="11"/>
  <c r="Y294" i="11"/>
  <c r="Y387" i="11"/>
  <c r="Y226" i="11"/>
  <c r="Y230" i="11"/>
  <c r="Y267" i="11"/>
  <c r="Y316" i="11"/>
  <c r="Y340" i="11"/>
  <c r="Y206" i="11"/>
  <c r="Y223" i="11"/>
  <c r="Y250" i="11"/>
  <c r="Y264" i="11"/>
  <c r="Y326" i="11"/>
  <c r="Y210" i="11"/>
  <c r="Y237" i="11"/>
  <c r="Y299" i="11"/>
  <c r="Y303" i="11"/>
  <c r="Y411" i="11"/>
  <c r="Y217" i="11"/>
  <c r="Y278" i="11"/>
  <c r="Y207" i="11"/>
  <c r="Y227" i="11"/>
  <c r="Y254" i="11"/>
  <c r="Y268" i="11"/>
  <c r="Y310" i="11"/>
  <c r="Y348" i="11"/>
  <c r="Y355" i="11"/>
  <c r="Y220" i="11"/>
  <c r="Y231" i="11"/>
  <c r="Y262" i="11"/>
  <c r="Y292" i="11"/>
  <c r="Y295" i="11"/>
  <c r="Y307" i="11"/>
  <c r="Y324" i="11"/>
  <c r="Y211"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T30" i="11" l="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Y134" i="9" l="1"/>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12" i="9" l="1"/>
  <c r="Z412" i="9" s="1"/>
  <c r="Y413" i="9"/>
  <c r="Z413" i="9" s="1"/>
  <c r="AA413" i="9" s="1"/>
  <c r="AB413" i="9" s="1"/>
  <c r="V128" i="9"/>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AA412" i="9" l="1"/>
  <c r="AB412" i="9" s="1"/>
  <c r="U415" i="9"/>
  <c r="U414" i="9"/>
  <c r="U382" i="9"/>
  <c r="D11" i="2"/>
  <c r="U365" i="9"/>
  <c r="U364" i="9"/>
  <c r="Q8" i="9"/>
  <c r="U54" i="9"/>
  <c r="U53" i="9"/>
  <c r="AA349" i="9"/>
  <c r="AB349" i="9" s="1"/>
  <c r="U352" i="9"/>
  <c r="U351"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414" i="9" l="1"/>
  <c r="Z414" i="9" s="1"/>
  <c r="AA414" i="9" s="1"/>
  <c r="AB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418" i="9" l="1"/>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AA408" i="9" s="1"/>
  <c r="AB408" i="9" s="1"/>
  <c r="B115" i="6"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15" i="6" l="1"/>
  <c r="B25" i="2" s="1"/>
  <c r="C25" i="2" s="1"/>
  <c r="Y371" i="9"/>
  <c r="Z371" i="9" s="1"/>
  <c r="Y372" i="9"/>
  <c r="Z372" i="9" s="1"/>
  <c r="AA372" i="9" s="1"/>
  <c r="AB372" i="9" s="1"/>
  <c r="I118" i="6"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D25" i="2" l="1"/>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375" i="9" l="1"/>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L118" i="6"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AA399" i="9" l="1"/>
  <c r="AB399" i="9" s="1"/>
  <c r="G118" i="6" s="1"/>
  <c r="H23" i="4"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P118" i="6" l="1"/>
  <c r="B28" i="2" s="1"/>
  <c r="D28" i="2" s="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C28" i="2" l="1"/>
  <c r="Y391" i="9"/>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H18" i="4" l="1"/>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C23" i="2" l="1"/>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J18" i="11"/>
  <c r="V199" i="11"/>
  <c r="V198" i="11"/>
  <c r="J19"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J410" i="9" s="1"/>
  <c r="M410" i="9" s="1"/>
  <c r="N410" i="9" s="1"/>
  <c r="H413" i="9" s="1"/>
  <c r="Q114" i="11"/>
  <c r="H230" i="9"/>
  <c r="U114" i="11"/>
  <c r="H229" i="9"/>
  <c r="P235" i="9"/>
  <c r="Q235" i="9" s="1"/>
  <c r="P236" i="9"/>
  <c r="Q236" i="9" s="1"/>
  <c r="V235" i="9"/>
  <c r="V238" i="9"/>
  <c r="P413" i="9" l="1"/>
  <c r="Q413" i="9" s="1"/>
  <c r="P412" i="9"/>
  <c r="Q412" i="9" s="1"/>
  <c r="V413" i="9"/>
  <c r="V412" i="9"/>
  <c r="W200" i="11"/>
  <c r="V200" i="11"/>
  <c r="W236" i="9"/>
  <c r="X236" i="9" s="1"/>
  <c r="W235" i="9"/>
  <c r="X235" i="9" s="1"/>
  <c r="P230" i="9"/>
  <c r="Q230" i="9" s="1"/>
  <c r="P229" i="9"/>
  <c r="Q229" i="9" s="1"/>
  <c r="V229" i="9"/>
  <c r="V230" i="9"/>
  <c r="W412" i="9" l="1"/>
  <c r="X412" i="9" s="1"/>
  <c r="J412" i="9" s="1"/>
  <c r="M412" i="9" s="1"/>
  <c r="N412" i="9" s="1"/>
  <c r="W413" i="9"/>
  <c r="X413" i="9" s="1"/>
  <c r="J413" i="9" s="1"/>
  <c r="M413" i="9" s="1"/>
  <c r="N413" i="9" s="1"/>
  <c r="J235" i="9"/>
  <c r="M235" i="9" s="1"/>
  <c r="N235" i="9" s="1"/>
  <c r="J236" i="9"/>
  <c r="M236" i="9" s="1"/>
  <c r="N236" i="9" s="1"/>
  <c r="H417" i="9" s="1"/>
  <c r="W230" i="9"/>
  <c r="X230" i="9" s="1"/>
  <c r="W229" i="9"/>
  <c r="X229" i="9" s="1"/>
  <c r="V417" i="9" l="1"/>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X419" i="9" s="1"/>
  <c r="W416" i="9"/>
  <c r="X416" i="9" s="1"/>
  <c r="J416" i="9" s="1"/>
  <c r="M416" i="9" s="1"/>
  <c r="N416" i="9" s="1"/>
  <c r="W204" i="11"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J419" i="9" l="1"/>
  <c r="M419" i="9" s="1"/>
  <c r="N419" i="9" s="1"/>
  <c r="T204" i="11" s="1"/>
  <c r="J418" i="9"/>
  <c r="M418" i="9" s="1"/>
  <c r="N418" i="9" s="1"/>
  <c r="Q419" i="9"/>
  <c r="W203" i="11"/>
  <c r="B14" i="12"/>
  <c r="P2" i="12" s="1"/>
  <c r="B11" i="12"/>
  <c r="T203" i="11"/>
  <c r="P234" i="9"/>
  <c r="Q234" i="9" s="1"/>
  <c r="P233" i="9"/>
  <c r="Q233" i="9" s="1"/>
  <c r="V234" i="9"/>
  <c r="W245" i="9"/>
  <c r="W244" i="9"/>
  <c r="X244" i="9" s="1"/>
  <c r="V204" i="11" l="1"/>
  <c r="B13" i="12"/>
  <c r="B19" i="11"/>
  <c r="B16" i="11"/>
  <c r="M2" i="12"/>
  <c r="W234" i="9"/>
  <c r="X234" i="9" s="1"/>
  <c r="W233" i="9"/>
  <c r="X233" i="9" s="1"/>
  <c r="O2" i="12" l="1"/>
  <c r="B18" i="11"/>
  <c r="J233" i="9"/>
  <c r="M233" i="9" s="1"/>
  <c r="N233" i="9" s="1"/>
  <c r="L204" i="11" s="1"/>
  <c r="J234" i="9"/>
  <c r="M234" i="9" s="1"/>
  <c r="N234" i="9" s="1"/>
  <c r="L202" i="11" l="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J17" i="1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204" i="11" s="1"/>
  <c r="W360" i="9"/>
  <c r="X360" i="9" s="1"/>
  <c r="J360" i="9" s="1"/>
  <c r="M360" i="9" s="1"/>
  <c r="N360" i="9" s="1"/>
  <c r="P152" i="11"/>
  <c r="H306" i="9"/>
  <c r="K152" i="11"/>
  <c r="H307" i="9"/>
  <c r="O202" i="11" l="1"/>
  <c r="O203" i="11"/>
  <c r="O200" i="11"/>
  <c r="O201" i="11"/>
  <c r="J1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S204" i="11" s="1"/>
  <c r="R180" i="11"/>
  <c r="J306" i="9"/>
  <c r="M306" i="9" s="1"/>
  <c r="N306" i="9" s="1"/>
  <c r="J307" i="9"/>
  <c r="M307" i="9" s="1"/>
  <c r="N307" i="9" s="1"/>
  <c r="S202" i="11" l="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04" i="11" s="1"/>
  <c r="W327" i="9"/>
  <c r="X327" i="9" s="1"/>
  <c r="W326" i="9"/>
  <c r="X326" i="9" s="1"/>
  <c r="N202" i="11" l="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J7" i="1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J14" i="11" s="1"/>
  <c r="W364" i="9"/>
  <c r="X364" i="9" s="1"/>
  <c r="H372" i="9" l="1"/>
  <c r="R182" i="11"/>
  <c r="R183" i="11"/>
  <c r="J364" i="9"/>
  <c r="M364" i="9" s="1"/>
  <c r="R181" i="11"/>
  <c r="V372" i="9" l="1"/>
  <c r="N364" i="9"/>
  <c r="H368" i="9" l="1"/>
  <c r="P368" i="9" s="1"/>
  <c r="Q368" i="9" s="1"/>
  <c r="J12" i="1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13" i="11" s="1"/>
  <c r="J367" i="9"/>
  <c r="M367" i="9" s="1"/>
  <c r="N367" i="9" s="1"/>
  <c r="J9" i="11" s="1"/>
  <c r="K9" i="11" l="1"/>
  <c r="K17" i="11"/>
  <c r="K19" i="11"/>
  <c r="K7" i="11"/>
  <c r="K10" i="11"/>
  <c r="K8" i="11"/>
  <c r="K15" i="11"/>
  <c r="K16" i="11"/>
  <c r="K20" i="11"/>
  <c r="K18" i="11"/>
  <c r="K11" i="11"/>
  <c r="K14" i="11"/>
  <c r="K12" i="11"/>
  <c r="K13" i="11"/>
  <c r="H376" i="9"/>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S11" i="11" s="1"/>
  <c r="T11" i="11"/>
  <c r="T18" i="11"/>
  <c r="R18" i="11"/>
  <c r="S18" i="11" s="1"/>
  <c r="V385" i="9" l="1"/>
  <c r="R188" i="11"/>
  <c r="H386" i="9"/>
  <c r="W379" i="9"/>
  <c r="X379" i="9" s="1"/>
  <c r="J379" i="9" s="1"/>
  <c r="M379" i="9" s="1"/>
  <c r="N379" i="9" s="1"/>
  <c r="W377" i="9"/>
  <c r="W380" i="9"/>
  <c r="X380" i="9" s="1"/>
  <c r="W378" i="9"/>
  <c r="X378" i="9" s="1"/>
  <c r="J378" i="9" s="1"/>
  <c r="M378" i="9" s="1"/>
  <c r="N378" i="9" s="1"/>
  <c r="Q204" i="11" s="1"/>
  <c r="Q377" i="9"/>
  <c r="V377" i="9"/>
  <c r="F83" i="6"/>
  <c r="S83" i="6" s="1"/>
  <c r="AI15" i="11"/>
  <c r="W15" i="11"/>
  <c r="F91" i="6"/>
  <c r="S91" i="6" s="1"/>
  <c r="AI18" i="11"/>
  <c r="W18" i="11"/>
  <c r="F90" i="6"/>
  <c r="S90" i="6" s="1"/>
  <c r="AI8" i="11"/>
  <c r="W8" i="11"/>
  <c r="F92" i="6"/>
  <c r="S92" i="6" s="1"/>
  <c r="AI19" i="11"/>
  <c r="W19" i="11"/>
  <c r="AI11" i="11"/>
  <c r="F84" i="6"/>
  <c r="S84" i="6" s="1"/>
  <c r="W11" i="11"/>
  <c r="F96" i="6"/>
  <c r="S96" i="6" s="1"/>
  <c r="W16" i="11"/>
  <c r="AI16" i="11"/>
  <c r="F95" i="6"/>
  <c r="S95" i="6" s="1"/>
  <c r="AI10" i="11"/>
  <c r="W10" i="11"/>
  <c r="Q202" i="11" l="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B8" i="12"/>
  <c r="J2" i="12" s="1"/>
  <c r="Q186" i="11"/>
  <c r="U186" i="11"/>
  <c r="P388" i="9" l="1"/>
  <c r="Q388" i="9" s="1"/>
  <c r="P387" i="9"/>
  <c r="V388" i="9"/>
  <c r="H387" i="9"/>
  <c r="W385" i="9"/>
  <c r="X385" i="9" s="1"/>
  <c r="J385" i="9" s="1"/>
  <c r="M385" i="9" s="1"/>
  <c r="N385" i="9" s="1"/>
  <c r="H402" i="9" s="1"/>
  <c r="W386" i="9"/>
  <c r="X386" i="9" s="1"/>
  <c r="P189" i="11"/>
  <c r="P188" i="11"/>
  <c r="P187" i="11"/>
  <c r="J380" i="9"/>
  <c r="M380" i="9" s="1"/>
  <c r="B13" i="11"/>
  <c r="S13" i="11" s="1"/>
  <c r="P186" i="11"/>
  <c r="V402" i="9" l="1"/>
  <c r="K194" i="11"/>
  <c r="K195" i="11"/>
  <c r="J386" i="9"/>
  <c r="M386" i="9" s="1"/>
  <c r="N386" i="9" s="1"/>
  <c r="H403" i="9" s="1"/>
  <c r="R192" i="11"/>
  <c r="R193" i="11"/>
  <c r="K192" i="11"/>
  <c r="K193" i="11"/>
  <c r="R190" i="11"/>
  <c r="R191" i="11"/>
  <c r="K190" i="11"/>
  <c r="K191" i="11"/>
  <c r="W387" i="9"/>
  <c r="W388" i="9"/>
  <c r="X388" i="9" s="1"/>
  <c r="Q387" i="9"/>
  <c r="V387" i="9"/>
  <c r="R189" i="11"/>
  <c r="K189" i="11"/>
  <c r="N380" i="9"/>
  <c r="H395" i="9" s="1"/>
  <c r="AI13" i="11"/>
  <c r="W13" i="11"/>
  <c r="F85" i="6"/>
  <c r="S85" i="6" s="1"/>
  <c r="V403" i="9" l="1"/>
  <c r="W403" i="9"/>
  <c r="P403" i="9"/>
  <c r="Q403" i="9" s="1"/>
  <c r="P402" i="9"/>
  <c r="Q402" i="9" s="1"/>
  <c r="W402" i="9"/>
  <c r="X402" i="9" s="1"/>
  <c r="R194" i="11"/>
  <c r="R195" i="11"/>
  <c r="V395" i="9"/>
  <c r="M192" i="11"/>
  <c r="M190" i="11"/>
  <c r="M191" i="11"/>
  <c r="X387" i="9"/>
  <c r="J387" i="9" s="1"/>
  <c r="M387" i="9" s="1"/>
  <c r="N387" i="9" s="1"/>
  <c r="P190" i="11"/>
  <c r="M189" i="11"/>
  <c r="M188" i="11"/>
  <c r="M187" i="11"/>
  <c r="M186" i="11"/>
  <c r="X403" i="9" l="1"/>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s="1"/>
  <c r="M390" i="9" s="1"/>
  <c r="N390" i="9" s="1"/>
  <c r="X404" i="9" l="1"/>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J392" i="9"/>
  <c r="M392" i="9" s="1"/>
  <c r="N392" i="9" s="1"/>
  <c r="X391" i="9"/>
  <c r="J391" i="9" s="1"/>
  <c r="M391" i="9" s="1"/>
  <c r="N391" i="9" s="1"/>
  <c r="W408" i="9" l="1"/>
  <c r="X408" i="9" s="1"/>
  <c r="W409" i="9"/>
  <c r="X409" i="9" s="1"/>
  <c r="J409" i="9" s="1"/>
  <c r="M409" i="9" s="1"/>
  <c r="N409" i="9" s="1"/>
  <c r="R204" i="11" s="1"/>
  <c r="H393" i="9"/>
  <c r="H394" i="9"/>
  <c r="U192" i="11"/>
  <c r="P192" i="11"/>
  <c r="R202" i="11" l="1"/>
  <c r="R203" i="11"/>
  <c r="R200" i="11"/>
  <c r="R201" i="11"/>
  <c r="B9" i="12"/>
  <c r="B14" i="11" s="1"/>
  <c r="S14" i="11" s="1"/>
  <c r="R199" i="11"/>
  <c r="J408" i="9"/>
  <c r="M408" i="9" s="1"/>
  <c r="N408" i="9" s="1"/>
  <c r="K204" i="11" s="1"/>
  <c r="K199" i="11"/>
  <c r="B2" i="12"/>
  <c r="D2" i="12" s="1"/>
  <c r="V394" i="9"/>
  <c r="P395" i="9"/>
  <c r="Q395" i="9" s="1"/>
  <c r="P393" i="9"/>
  <c r="Q393" i="9" s="1"/>
  <c r="P394" i="9"/>
  <c r="Q394" i="9" s="1"/>
  <c r="V393" i="9"/>
  <c r="K202" i="11" l="1"/>
  <c r="K203" i="11"/>
  <c r="K200" i="11"/>
  <c r="K201" i="11"/>
  <c r="K2" i="12"/>
  <c r="B7" i="11"/>
  <c r="S7" i="11" s="1"/>
  <c r="F88" i="6" s="1"/>
  <c r="S88" i="6" s="1"/>
  <c r="F87" i="6"/>
  <c r="S87" i="6" s="1"/>
  <c r="W14" i="11"/>
  <c r="AI14" i="11"/>
  <c r="W394" i="9"/>
  <c r="X394" i="9" s="1"/>
  <c r="W395" i="9"/>
  <c r="X395" i="9" s="1"/>
  <c r="J395" i="9" s="1"/>
  <c r="M395" i="9" s="1"/>
  <c r="N395" i="9" s="1"/>
  <c r="W393" i="9"/>
  <c r="X393" i="9" s="1"/>
  <c r="W7" i="11" l="1"/>
  <c r="AI7" i="11"/>
  <c r="H397" i="9"/>
  <c r="J394" i="9"/>
  <c r="M394" i="9" s="1"/>
  <c r="N394" i="9" s="1"/>
  <c r="J393" i="9"/>
  <c r="M393" i="9" s="1"/>
  <c r="N393" i="9" s="1"/>
  <c r="M193" i="11"/>
  <c r="H398" i="9" l="1"/>
  <c r="V397" i="9"/>
  <c r="H396" i="9"/>
  <c r="P193" i="11"/>
  <c r="U193" i="11"/>
  <c r="P398" i="9" l="1"/>
  <c r="Q398" i="9" s="1"/>
  <c r="P396" i="9"/>
  <c r="Q396" i="9" s="1"/>
  <c r="P397" i="9"/>
  <c r="Q397" i="9" s="1"/>
  <c r="V398" i="9"/>
  <c r="V396" i="9"/>
  <c r="W398" i="9" l="1"/>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M204" i="11" s="1"/>
  <c r="W401" i="9"/>
  <c r="X401" i="9" s="1"/>
  <c r="J401" i="9" s="1"/>
  <c r="M401" i="9" s="1"/>
  <c r="N401" i="9" s="1"/>
  <c r="U204" i="11" s="1"/>
  <c r="W399" i="9"/>
  <c r="X399" i="9" s="1"/>
  <c r="J399" i="9" s="1"/>
  <c r="M399" i="9" s="1"/>
  <c r="U202" i="11" l="1"/>
  <c r="U203" i="11"/>
  <c r="M202" i="11"/>
  <c r="M203" i="11"/>
  <c r="U200" i="11"/>
  <c r="U201" i="11"/>
  <c r="M200" i="11"/>
  <c r="M201" i="11"/>
  <c r="U199" i="11"/>
  <c r="U198" i="11"/>
  <c r="M199" i="11"/>
  <c r="M198" i="11"/>
  <c r="U197" i="11"/>
  <c r="U196" i="11"/>
  <c r="M197" i="11"/>
  <c r="M196" i="11"/>
  <c r="N399" i="9"/>
  <c r="H19" i="7"/>
  <c r="F19" i="7" s="1"/>
  <c r="B18" i="7"/>
  <c r="B19" i="7"/>
  <c r="H18" i="7"/>
  <c r="E18" i="7" s="1"/>
  <c r="U195" i="11"/>
  <c r="B12" i="12"/>
  <c r="M195" i="11"/>
  <c r="B4" i="12"/>
  <c r="B7" i="12"/>
  <c r="P195" i="11"/>
  <c r="P203" i="11" l="1"/>
  <c r="P204" i="11"/>
  <c r="P201" i="11"/>
  <c r="P202" i="11"/>
  <c r="H17" i="7"/>
  <c r="C17" i="7" s="1"/>
  <c r="C18" i="7"/>
  <c r="F18" i="7"/>
  <c r="D18" i="7"/>
  <c r="B17" i="7"/>
  <c r="P200" i="11"/>
  <c r="P199" i="11"/>
  <c r="P198" i="11"/>
  <c r="P196" i="11"/>
  <c r="P197" i="11"/>
  <c r="D19" i="7"/>
  <c r="C19" i="7"/>
  <c r="E19" i="7"/>
  <c r="F2" i="12"/>
  <c r="B9" i="11"/>
  <c r="S9" i="11" s="1"/>
  <c r="B17" i="11"/>
  <c r="S17" i="11" s="1"/>
  <c r="N2" i="12"/>
  <c r="B12" i="11"/>
  <c r="I2" i="12"/>
  <c r="E17" i="7" l="1"/>
  <c r="D17" i="7"/>
  <c r="F17" i="7"/>
  <c r="AI17" i="11"/>
  <c r="W17" i="11"/>
  <c r="F86" i="6"/>
  <c r="S86" i="6" s="1"/>
  <c r="F93" i="6"/>
  <c r="S93" i="6" s="1"/>
  <c r="AI9" i="11"/>
  <c r="W9" i="11"/>
  <c r="C14" i="12"/>
  <c r="C19" i="11" s="1"/>
  <c r="AA19" i="11" s="1"/>
  <c r="C4" i="12"/>
  <c r="C9" i="11" s="1"/>
  <c r="AA9" i="11" s="1"/>
  <c r="C11" i="12"/>
  <c r="C16" i="11" s="1"/>
  <c r="AA16" i="11" s="1"/>
  <c r="C15" i="12"/>
  <c r="C20" i="11" s="1"/>
  <c r="AA20" i="11" s="1"/>
  <c r="C13" i="12"/>
  <c r="C18" i="11" s="1"/>
  <c r="AA18" i="11" s="1"/>
  <c r="C5" i="12"/>
  <c r="C10" i="11" s="1"/>
  <c r="AA10" i="11" s="1"/>
  <c r="C3" i="12"/>
  <c r="C8" i="11" s="1"/>
  <c r="AA8" i="11" s="1"/>
  <c r="C2" i="12"/>
  <c r="C7" i="11" s="1"/>
  <c r="AA7" i="11" s="1"/>
  <c r="C7" i="12"/>
  <c r="C12" i="11" s="1"/>
  <c r="C6" i="12"/>
  <c r="C11" i="11" s="1"/>
  <c r="AA11" i="11" s="1"/>
  <c r="C9" i="12"/>
  <c r="C14" i="11" s="1"/>
  <c r="AA14" i="11" s="1"/>
  <c r="C10" i="12"/>
  <c r="C15" i="11" s="1"/>
  <c r="AA15" i="11" s="1"/>
  <c r="C8" i="12"/>
  <c r="C13" i="11" s="1"/>
  <c r="AA13" i="11" s="1"/>
  <c r="C12" i="12"/>
  <c r="C17" i="11" s="1"/>
  <c r="AA17" i="11" s="1"/>
  <c r="E11" i="11"/>
  <c r="D16" i="11"/>
  <c r="L16" i="11" s="1"/>
  <c r="D8" i="11"/>
  <c r="L8" i="11" s="1"/>
  <c r="D13" i="11"/>
  <c r="L13" i="11" s="1"/>
  <c r="D15" i="11"/>
  <c r="L15" i="11" s="1"/>
  <c r="E18" i="11"/>
  <c r="E12" i="11"/>
  <c r="B15" i="4" s="1"/>
  <c r="D19" i="8"/>
  <c r="E13" i="11"/>
  <c r="C19" i="8"/>
  <c r="D20" i="11"/>
  <c r="L20" i="11" s="1"/>
  <c r="S12" i="11"/>
  <c r="E15" i="11"/>
  <c r="D12" i="11"/>
  <c r="L12" i="11" s="1"/>
  <c r="D18" i="11"/>
  <c r="L18" i="11" s="1"/>
  <c r="B17" i="8"/>
  <c r="D17" i="11"/>
  <c r="L17" i="11" s="1"/>
  <c r="E17" i="11"/>
  <c r="E9" i="11"/>
  <c r="E19" i="11"/>
  <c r="E14" i="11"/>
  <c r="D7" i="11"/>
  <c r="L7" i="11" s="1"/>
  <c r="C17" i="8"/>
  <c r="E16" i="11"/>
  <c r="D18" i="8"/>
  <c r="A5" i="8"/>
  <c r="B18" i="8"/>
  <c r="D19" i="11"/>
  <c r="L19" i="11" s="1"/>
  <c r="E20" i="11"/>
  <c r="E8" i="11"/>
  <c r="D9" i="11"/>
  <c r="L9" i="11" s="1"/>
  <c r="E10" i="11"/>
  <c r="E7" i="11"/>
  <c r="C18" i="8"/>
  <c r="D10" i="11"/>
  <c r="L10" i="11" s="1"/>
  <c r="D11" i="11"/>
  <c r="L11" i="11" s="1"/>
  <c r="D14" i="11"/>
  <c r="L14" i="11" s="1"/>
  <c r="B19" i="8"/>
  <c r="A8" i="8" l="1"/>
  <c r="AI12" i="11"/>
  <c r="W12" i="11"/>
  <c r="B24" i="4" s="1"/>
  <c r="F89" i="6"/>
  <c r="S89" i="6" s="1"/>
  <c r="C4" i="6" s="1"/>
  <c r="AA12" i="11"/>
  <c r="B28" i="4" s="1"/>
  <c r="B12" i="4"/>
  <c r="A5" i="2" l="1"/>
  <c r="B28" i="7" s="1"/>
  <c r="A6" i="2"/>
  <c r="B9" i="3"/>
  <c r="B11" i="3"/>
  <c r="B18" i="3"/>
  <c r="B12" i="3"/>
  <c r="B13" i="3"/>
  <c r="B16" i="3"/>
  <c r="B8" i="3"/>
  <c r="B10" i="3"/>
  <c r="B7" i="3"/>
  <c r="B6" i="3"/>
  <c r="B17" i="3"/>
  <c r="B15" i="3"/>
  <c r="B5" i="3"/>
  <c r="B14" i="3"/>
  <c r="M17" i="3" l="1"/>
  <c r="S17" i="3"/>
  <c r="U17" i="3"/>
  <c r="X17" i="3"/>
  <c r="H17" i="3"/>
  <c r="R17" i="3"/>
  <c r="K17" i="3"/>
  <c r="V17" i="3"/>
  <c r="T17" i="3"/>
  <c r="D17" i="3"/>
  <c r="P17" i="3"/>
  <c r="I17" i="3"/>
  <c r="E17" i="3"/>
  <c r="C17" i="3"/>
  <c r="J17" i="3"/>
  <c r="O17" i="3"/>
  <c r="Q17" i="3"/>
  <c r="C6" i="3"/>
  <c r="R6" i="3"/>
  <c r="M6" i="3"/>
  <c r="P6" i="3"/>
  <c r="T6" i="3"/>
  <c r="U6" i="3"/>
  <c r="O6" i="3"/>
  <c r="X6" i="3"/>
  <c r="J6" i="3"/>
  <c r="V6" i="3"/>
  <c r="Q6" i="3"/>
  <c r="K6" i="3"/>
  <c r="B11" i="4" s="1"/>
  <c r="S6" i="3"/>
  <c r="H6" i="3"/>
  <c r="D6" i="3"/>
  <c r="I6" i="3"/>
  <c r="E6" i="3"/>
  <c r="R16" i="3"/>
  <c r="X16" i="3"/>
  <c r="D16" i="3"/>
  <c r="J16" i="3"/>
  <c r="I16" i="3"/>
  <c r="Q16" i="3"/>
  <c r="V16" i="3"/>
  <c r="H16" i="3"/>
  <c r="U16" i="3"/>
  <c r="K16" i="3"/>
  <c r="E16" i="3"/>
  <c r="T16" i="3"/>
  <c r="C16" i="3"/>
  <c r="P16" i="3"/>
  <c r="O16" i="3"/>
  <c r="S16" i="3"/>
  <c r="M16" i="3"/>
  <c r="E8" i="3"/>
  <c r="U8" i="3"/>
  <c r="Q8" i="3"/>
  <c r="R8" i="3"/>
  <c r="P8" i="3"/>
  <c r="C8" i="3"/>
  <c r="I8" i="3"/>
  <c r="D8" i="3"/>
  <c r="X8" i="3"/>
  <c r="M8" i="3"/>
  <c r="O8" i="3"/>
  <c r="H8" i="3"/>
  <c r="V8" i="3"/>
  <c r="J8" i="3"/>
  <c r="K8" i="3"/>
  <c r="S8" i="3"/>
  <c r="T8" i="3"/>
  <c r="H18" i="3"/>
  <c r="Q18" i="3"/>
  <c r="M18" i="3"/>
  <c r="C18" i="3"/>
  <c r="R18" i="3"/>
  <c r="V18" i="3"/>
  <c r="P18" i="3"/>
  <c r="K18" i="3"/>
  <c r="U18" i="3"/>
  <c r="T18" i="3"/>
  <c r="O18" i="3"/>
  <c r="I18" i="3"/>
  <c r="S18" i="3"/>
  <c r="D18" i="3"/>
  <c r="E18" i="3"/>
  <c r="X18" i="3"/>
  <c r="J18" i="3"/>
  <c r="I5" i="3"/>
  <c r="K5" i="3"/>
  <c r="R5" i="3"/>
  <c r="M5" i="3"/>
  <c r="S5" i="3"/>
  <c r="P5" i="3"/>
  <c r="D5" i="3"/>
  <c r="V5" i="3"/>
  <c r="C5" i="3"/>
  <c r="H5" i="3"/>
  <c r="T5" i="3"/>
  <c r="U5" i="3"/>
  <c r="O5" i="3"/>
  <c r="E5" i="3"/>
  <c r="X5" i="3"/>
  <c r="B5" i="4"/>
  <c r="Q5" i="3"/>
  <c r="J5" i="3"/>
  <c r="J7" i="3"/>
  <c r="V7" i="3"/>
  <c r="M7" i="3"/>
  <c r="P7" i="3"/>
  <c r="C7" i="3"/>
  <c r="U7" i="3"/>
  <c r="D7" i="3"/>
  <c r="AD17" i="11" s="1"/>
  <c r="Q7" i="3"/>
  <c r="R7" i="3"/>
  <c r="S7" i="3"/>
  <c r="O7" i="3"/>
  <c r="H7" i="3"/>
  <c r="K7" i="3"/>
  <c r="E7" i="3"/>
  <c r="T7" i="3"/>
  <c r="I7" i="3"/>
  <c r="X7" i="3"/>
  <c r="M11" i="3"/>
  <c r="D11" i="3"/>
  <c r="T11" i="3"/>
  <c r="U11" i="3"/>
  <c r="H11" i="3"/>
  <c r="I11" i="3"/>
  <c r="R11" i="3"/>
  <c r="J11" i="3"/>
  <c r="V11" i="3"/>
  <c r="K11" i="3"/>
  <c r="Q11" i="3"/>
  <c r="E11" i="3"/>
  <c r="O11" i="3"/>
  <c r="S11" i="3"/>
  <c r="C11" i="3"/>
  <c r="X11" i="3"/>
  <c r="P11" i="3"/>
  <c r="E15" i="3"/>
  <c r="H15" i="3"/>
  <c r="C15" i="3"/>
  <c r="J15" i="3"/>
  <c r="R15" i="3"/>
  <c r="D15" i="3"/>
  <c r="O15" i="3"/>
  <c r="U15" i="3"/>
  <c r="M15" i="3"/>
  <c r="V15" i="3"/>
  <c r="S15" i="3"/>
  <c r="P15" i="3"/>
  <c r="X15" i="3"/>
  <c r="T15" i="3"/>
  <c r="K15" i="3"/>
  <c r="I15" i="3"/>
  <c r="Q15" i="3"/>
  <c r="Q13" i="3"/>
  <c r="I13" i="3"/>
  <c r="M13" i="3"/>
  <c r="S13" i="3"/>
  <c r="K13" i="3"/>
  <c r="T13" i="3"/>
  <c r="E13" i="3"/>
  <c r="D13" i="3"/>
  <c r="AD8" i="11" s="1"/>
  <c r="U13" i="3"/>
  <c r="X13" i="3"/>
  <c r="R13" i="3"/>
  <c r="C13" i="3"/>
  <c r="H13" i="3"/>
  <c r="P13" i="3"/>
  <c r="J13" i="3"/>
  <c r="V13" i="3"/>
  <c r="O13" i="3"/>
  <c r="H9" i="3"/>
  <c r="J9" i="3"/>
  <c r="R9" i="3"/>
  <c r="E9" i="3"/>
  <c r="M9" i="3"/>
  <c r="P9" i="3"/>
  <c r="S9" i="3"/>
  <c r="T9" i="3"/>
  <c r="C9" i="3"/>
  <c r="K9" i="3"/>
  <c r="D9" i="3"/>
  <c r="Q9" i="3"/>
  <c r="V9" i="3"/>
  <c r="O9" i="3"/>
  <c r="U9" i="3"/>
  <c r="I9" i="3"/>
  <c r="X9" i="3"/>
  <c r="E14" i="3"/>
  <c r="P14" i="3"/>
  <c r="R14" i="3"/>
  <c r="D14" i="3"/>
  <c r="T14" i="3"/>
  <c r="I14" i="3"/>
  <c r="M14" i="3"/>
  <c r="X14" i="3"/>
  <c r="O14" i="3"/>
  <c r="H14" i="3"/>
  <c r="K14" i="3"/>
  <c r="V14" i="3"/>
  <c r="U14" i="3"/>
  <c r="C14" i="3"/>
  <c r="J14" i="3"/>
  <c r="Q14" i="3"/>
  <c r="S14" i="3"/>
  <c r="R10" i="3"/>
  <c r="P10" i="3"/>
  <c r="U10" i="3"/>
  <c r="J10" i="3"/>
  <c r="K10" i="3"/>
  <c r="V10" i="3"/>
  <c r="S10" i="3"/>
  <c r="M10" i="3"/>
  <c r="H10" i="3"/>
  <c r="O10" i="3"/>
  <c r="C10" i="3"/>
  <c r="Q10" i="3"/>
  <c r="I10" i="3"/>
  <c r="D10" i="3"/>
  <c r="X10" i="3"/>
  <c r="T10" i="3"/>
  <c r="E10" i="3"/>
  <c r="I12" i="3"/>
  <c r="O12" i="3"/>
  <c r="V12" i="3"/>
  <c r="M12" i="3"/>
  <c r="S12" i="3"/>
  <c r="J12" i="3"/>
  <c r="K12" i="3"/>
  <c r="T12" i="3"/>
  <c r="R12" i="3"/>
  <c r="H12" i="3"/>
  <c r="C12" i="3"/>
  <c r="D12" i="3"/>
  <c r="AD9" i="11" s="1"/>
  <c r="P12" i="3"/>
  <c r="E12" i="3"/>
  <c r="U12" i="3"/>
  <c r="Q12" i="3"/>
  <c r="X12" i="3"/>
  <c r="AE16" i="11" l="1"/>
  <c r="AE9" i="11"/>
  <c r="Y19" i="11"/>
  <c r="AD20" i="11"/>
  <c r="AF20" i="11" s="1"/>
  <c r="AD10" i="11"/>
  <c r="Y8" i="11"/>
  <c r="Y11" i="11"/>
  <c r="Y18" i="11"/>
  <c r="Y20" i="11"/>
  <c r="AD14" i="11"/>
  <c r="Y13" i="11"/>
  <c r="AE14" i="11"/>
  <c r="AE7" i="11"/>
  <c r="AE10" i="11"/>
  <c r="L14" i="3"/>
  <c r="F14" i="3"/>
  <c r="G14" i="3"/>
  <c r="Y7" i="11"/>
  <c r="AE20" i="11"/>
  <c r="F18" i="3"/>
  <c r="G18" i="3"/>
  <c r="L18" i="3"/>
  <c r="F7" i="3"/>
  <c r="L7" i="3"/>
  <c r="G7" i="3"/>
  <c r="AD12" i="11"/>
  <c r="Y17" i="11"/>
  <c r="B10" i="4"/>
  <c r="F6" i="3"/>
  <c r="B8" i="4" s="1"/>
  <c r="L6" i="3"/>
  <c r="G6" i="3"/>
  <c r="Y10" i="11"/>
  <c r="AE8" i="11"/>
  <c r="N11" i="3"/>
  <c r="N12" i="3"/>
  <c r="N9" i="3"/>
  <c r="N6" i="3"/>
  <c r="N14" i="3"/>
  <c r="N5" i="3"/>
  <c r="N16" i="3"/>
  <c r="B33" i="7"/>
  <c r="N18" i="3"/>
  <c r="N13" i="3"/>
  <c r="N15" i="3"/>
  <c r="N7" i="3"/>
  <c r="N10" i="3"/>
  <c r="N17" i="3"/>
  <c r="N8" i="3"/>
  <c r="C22" i="7"/>
  <c r="B22" i="7"/>
  <c r="B31" i="7"/>
  <c r="Y9" i="11"/>
  <c r="F10" i="3"/>
  <c r="G10" i="3"/>
  <c r="L10" i="3"/>
  <c r="Y14" i="11"/>
  <c r="AE18" i="11"/>
  <c r="AE13" i="11"/>
  <c r="L8" i="3"/>
  <c r="G8" i="3"/>
  <c r="F8" i="3"/>
  <c r="AD16" i="11"/>
  <c r="G17" i="3"/>
  <c r="F17" i="3"/>
  <c r="L17" i="3"/>
  <c r="AE15" i="11"/>
  <c r="L12" i="3"/>
  <c r="G12" i="3"/>
  <c r="F12" i="3"/>
  <c r="AD13" i="11"/>
  <c r="G11" i="3"/>
  <c r="F11" i="3"/>
  <c r="L11" i="3"/>
  <c r="AD19" i="11"/>
  <c r="AD15" i="11"/>
  <c r="G5" i="3"/>
  <c r="X15" i="11" s="1"/>
  <c r="A10" i="8"/>
  <c r="B21" i="7"/>
  <c r="L5" i="3"/>
  <c r="C21" i="7"/>
  <c r="F21" i="7" s="1"/>
  <c r="B30" i="7"/>
  <c r="F5" i="3"/>
  <c r="G9" i="3"/>
  <c r="F9" i="3"/>
  <c r="L9" i="3"/>
  <c r="Y16" i="11"/>
  <c r="Y15" i="11"/>
  <c r="AE17" i="11"/>
  <c r="AD18" i="11"/>
  <c r="AD7" i="11"/>
  <c r="F16" i="3"/>
  <c r="L16" i="3"/>
  <c r="G16" i="3"/>
  <c r="AE19" i="11"/>
  <c r="Y12" i="11"/>
  <c r="B26" i="4" s="1"/>
  <c r="AE12" i="11"/>
  <c r="G13" i="3"/>
  <c r="F13" i="3"/>
  <c r="L13" i="3"/>
  <c r="AD11" i="11"/>
  <c r="B6" i="4"/>
  <c r="L15" i="3"/>
  <c r="F15" i="3"/>
  <c r="G15" i="3"/>
  <c r="AE11" i="11"/>
  <c r="T2" i="3"/>
  <c r="X16" i="11" l="1"/>
  <c r="X11" i="11"/>
  <c r="AB11" i="11" s="1"/>
  <c r="X7" i="11"/>
  <c r="AB7" i="11" s="1"/>
  <c r="AF7" i="11" s="1"/>
  <c r="X13" i="11"/>
  <c r="AB13" i="11" s="1"/>
  <c r="AF13" i="11" s="1"/>
  <c r="X18" i="11"/>
  <c r="AB18" i="11" s="1"/>
  <c r="X8" i="11"/>
  <c r="AB8" i="11" s="1"/>
  <c r="AF8" i="11" s="1"/>
  <c r="X9" i="11"/>
  <c r="AB9" i="11" s="1"/>
  <c r="AF9" i="11" s="1"/>
  <c r="X14" i="11"/>
  <c r="AB14" i="11" s="1"/>
  <c r="AF14" i="11" s="1"/>
  <c r="X20" i="11"/>
  <c r="AB20" i="11" s="1"/>
  <c r="X19" i="11"/>
  <c r="AB19" i="11" s="1"/>
  <c r="AF19" i="11" s="1"/>
  <c r="X10" i="11"/>
  <c r="AB10" i="11" s="1"/>
  <c r="AF10" i="11" s="1"/>
  <c r="AB15" i="11"/>
  <c r="AF15" i="11" s="1"/>
  <c r="W5" i="3" s="1"/>
  <c r="AF18" i="11"/>
  <c r="B16" i="4"/>
  <c r="AF11" i="11"/>
  <c r="X17" i="11"/>
  <c r="AB17" i="11" s="1"/>
  <c r="AF17" i="11" s="1"/>
  <c r="X12" i="11"/>
  <c r="B9" i="4"/>
  <c r="AB16" i="11"/>
  <c r="AF16" i="11" s="1"/>
  <c r="A3" i="3"/>
  <c r="W18" i="3" l="1"/>
  <c r="W17" i="3"/>
  <c r="W13" i="3"/>
  <c r="W9" i="3"/>
  <c r="W12" i="3"/>
  <c r="W8" i="3"/>
  <c r="W14" i="3"/>
  <c r="W15" i="3"/>
  <c r="W16" i="3"/>
  <c r="W11" i="3"/>
  <c r="W10" i="3"/>
  <c r="B25" i="4"/>
  <c r="AB12" i="11"/>
  <c r="B23" i="4" l="1"/>
  <c r="AF12" i="11"/>
  <c r="W6" i="3" s="1"/>
  <c r="B7" i="4" l="1"/>
  <c r="W7" i="3"/>
</calcChain>
</file>

<file path=xl/sharedStrings.xml><?xml version="1.0" encoding="utf-8"?>
<sst xmlns="http://schemas.openxmlformats.org/spreadsheetml/2006/main" count="2206" uniqueCount="451">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</sst>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6" t="s">
        <v>359</v>
      </c>
      <c r="B1" s="144"/>
      <c r="C1" s="144"/>
      <c r="D1" s="144"/>
      <c r="E1" s="144"/>
      <c r="F1" s="144"/>
      <c r="G1" s="144"/>
      <c r="H1" s="144"/>
    </row>
    <row r="2" spans="1:8" ht="18" customHeight="1" x14ac:dyDescent="0.2">
      <c r="A2" s="147" t="s">
        <v>372</v>
      </c>
      <c r="B2" s="144"/>
      <c r="C2" s="144"/>
      <c r="D2" s="144"/>
      <c r="E2" s="144"/>
      <c r="F2" s="144"/>
      <c r="G2" s="144"/>
      <c r="H2" s="144"/>
    </row>
    <row r="3" spans="1:8" ht="48" customHeight="1" x14ac:dyDescent="0.2">
      <c r="A3" s="148" t="s">
        <v>360</v>
      </c>
      <c r="B3" s="144"/>
      <c r="C3" s="144"/>
      <c r="D3" s="144"/>
      <c r="E3" s="144"/>
      <c r="F3" s="144"/>
      <c r="G3" s="144"/>
      <c r="H3" s="144"/>
    </row>
    <row r="6" spans="1:8" ht="22" customHeight="1" x14ac:dyDescent="0.2">
      <c r="A6" s="143" t="s">
        <v>361</v>
      </c>
      <c r="B6" s="144"/>
      <c r="C6" s="144"/>
      <c r="D6" s="144"/>
      <c r="E6" s="144"/>
      <c r="F6" s="144"/>
      <c r="G6" s="144"/>
      <c r="H6" s="144"/>
    </row>
    <row r="7" spans="1:8" ht="51" customHeight="1" x14ac:dyDescent="0.2">
      <c r="A7" s="129" t="s">
        <v>362</v>
      </c>
      <c r="B7" s="145" t="s">
        <v>373</v>
      </c>
      <c r="C7" s="144"/>
      <c r="D7" s="144"/>
      <c r="E7" s="144"/>
      <c r="F7" s="144"/>
      <c r="G7" s="144"/>
      <c r="H7" s="144"/>
    </row>
    <row r="8" spans="1:8" ht="36" customHeight="1" x14ac:dyDescent="0.2">
      <c r="A8" s="130" t="s">
        <v>363</v>
      </c>
      <c r="B8" s="145" t="s">
        <v>374</v>
      </c>
      <c r="C8" s="144"/>
      <c r="D8" s="144"/>
      <c r="E8" s="144"/>
      <c r="F8" s="144"/>
      <c r="G8" s="144"/>
      <c r="H8" s="144"/>
    </row>
    <row r="9" spans="1:8" ht="21" customHeight="1" x14ac:dyDescent="0.2">
      <c r="A9" s="129" t="s">
        <v>362</v>
      </c>
      <c r="B9" s="145" t="s">
        <v>375</v>
      </c>
      <c r="C9" s="144"/>
      <c r="D9" s="144"/>
      <c r="E9" s="144"/>
      <c r="F9" s="144"/>
      <c r="G9" s="144"/>
      <c r="H9" s="144"/>
    </row>
    <row r="10" spans="1:8" ht="36" customHeight="1" x14ac:dyDescent="0.2">
      <c r="A10" s="130" t="s">
        <v>363</v>
      </c>
      <c r="B10" s="145" t="s">
        <v>376</v>
      </c>
      <c r="C10" s="144"/>
      <c r="D10" s="144"/>
      <c r="E10" s="144"/>
      <c r="F10" s="144"/>
      <c r="G10" s="144"/>
      <c r="H10" s="144"/>
    </row>
    <row r="12" spans="1:8" ht="22" customHeight="1" x14ac:dyDescent="0.2">
      <c r="A12" s="143" t="s">
        <v>364</v>
      </c>
      <c r="B12" s="144"/>
      <c r="C12" s="144"/>
      <c r="D12" s="144"/>
      <c r="E12" s="144"/>
      <c r="F12" s="144"/>
      <c r="G12" s="144"/>
      <c r="H12" s="144"/>
    </row>
    <row r="13" spans="1:8" ht="36" customHeight="1" x14ac:dyDescent="0.2">
      <c r="A13" s="129" t="s">
        <v>362</v>
      </c>
      <c r="B13" s="145" t="s">
        <v>377</v>
      </c>
      <c r="C13" s="144"/>
      <c r="D13" s="144"/>
      <c r="E13" s="144"/>
      <c r="F13" s="144"/>
      <c r="G13" s="144"/>
      <c r="H13" s="144"/>
    </row>
    <row r="14" spans="1:8" ht="36" customHeight="1" x14ac:dyDescent="0.2">
      <c r="A14" s="130" t="s">
        <v>363</v>
      </c>
      <c r="B14" s="145" t="s">
        <v>378</v>
      </c>
      <c r="C14" s="144"/>
      <c r="D14" s="144"/>
      <c r="E14" s="144"/>
      <c r="F14" s="144"/>
      <c r="G14" s="144"/>
      <c r="H14" s="144"/>
    </row>
    <row r="15" spans="1:8" ht="21" customHeight="1" x14ac:dyDescent="0.2">
      <c r="A15" s="129" t="s">
        <v>362</v>
      </c>
      <c r="B15" s="145" t="s">
        <v>379</v>
      </c>
      <c r="C15" s="144"/>
      <c r="D15" s="144"/>
      <c r="E15" s="144"/>
      <c r="F15" s="144"/>
      <c r="G15" s="144"/>
      <c r="H15" s="144"/>
    </row>
    <row r="16" spans="1:8" ht="36" customHeight="1" x14ac:dyDescent="0.2">
      <c r="A16" s="130" t="s">
        <v>363</v>
      </c>
      <c r="B16" s="145" t="s">
        <v>380</v>
      </c>
      <c r="C16" s="144"/>
      <c r="D16" s="144"/>
      <c r="E16" s="144"/>
      <c r="F16" s="144"/>
      <c r="G16" s="144"/>
      <c r="H16" s="144"/>
    </row>
    <row r="18" spans="1:8" ht="22" customHeight="1" x14ac:dyDescent="0.2">
      <c r="A18" s="143" t="s">
        <v>365</v>
      </c>
      <c r="B18" s="144"/>
      <c r="C18" s="144"/>
      <c r="D18" s="144"/>
      <c r="E18" s="144"/>
      <c r="F18" s="144"/>
      <c r="G18" s="144"/>
      <c r="H18" s="144"/>
    </row>
    <row r="19" spans="1:8" ht="21" customHeight="1" x14ac:dyDescent="0.2">
      <c r="A19" s="129" t="s">
        <v>362</v>
      </c>
      <c r="B19" s="145" t="s">
        <v>381</v>
      </c>
      <c r="C19" s="144"/>
      <c r="D19" s="144"/>
      <c r="E19" s="144"/>
      <c r="F19" s="144"/>
      <c r="G19" s="144"/>
      <c r="H19" s="144"/>
    </row>
    <row r="20" spans="1:8" ht="51" customHeight="1" x14ac:dyDescent="0.2">
      <c r="A20" s="130" t="s">
        <v>363</v>
      </c>
      <c r="B20" s="145" t="s">
        <v>382</v>
      </c>
      <c r="C20" s="144"/>
      <c r="D20" s="144"/>
      <c r="E20" s="144"/>
      <c r="F20" s="144"/>
      <c r="G20" s="144"/>
      <c r="H20" s="144"/>
    </row>
    <row r="21" spans="1:8" ht="21" customHeight="1" x14ac:dyDescent="0.2">
      <c r="A21" s="129" t="s">
        <v>362</v>
      </c>
      <c r="B21" s="145" t="s">
        <v>383</v>
      </c>
      <c r="C21" s="144"/>
      <c r="D21" s="144"/>
      <c r="E21" s="144"/>
      <c r="F21" s="144"/>
      <c r="G21" s="144"/>
      <c r="H21" s="144"/>
    </row>
    <row r="22" spans="1:8" ht="51" customHeight="1" x14ac:dyDescent="0.2">
      <c r="A22" s="130" t="s">
        <v>363</v>
      </c>
      <c r="B22" s="145" t="s">
        <v>384</v>
      </c>
      <c r="C22" s="144"/>
      <c r="D22" s="144"/>
      <c r="E22" s="144"/>
      <c r="F22" s="144"/>
      <c r="G22" s="144"/>
      <c r="H22" s="144"/>
    </row>
    <row r="24" spans="1:8" ht="22" customHeight="1" x14ac:dyDescent="0.2">
      <c r="A24" s="143" t="s">
        <v>366</v>
      </c>
      <c r="B24" s="144"/>
      <c r="C24" s="144"/>
      <c r="D24" s="144"/>
      <c r="E24" s="144"/>
      <c r="F24" s="144"/>
      <c r="G24" s="144"/>
      <c r="H24" s="144"/>
    </row>
    <row r="25" spans="1:8" ht="21" customHeight="1" x14ac:dyDescent="0.2">
      <c r="A25" s="129" t="s">
        <v>362</v>
      </c>
      <c r="B25" s="145" t="s">
        <v>385</v>
      </c>
      <c r="C25" s="144"/>
      <c r="D25" s="144"/>
      <c r="E25" s="144"/>
      <c r="F25" s="144"/>
      <c r="G25" s="144"/>
      <c r="H25" s="144"/>
    </row>
    <row r="26" spans="1:8" ht="51" customHeight="1" x14ac:dyDescent="0.2">
      <c r="A26" s="130" t="s">
        <v>363</v>
      </c>
      <c r="B26" s="145" t="s">
        <v>386</v>
      </c>
      <c r="C26" s="144"/>
      <c r="D26" s="144"/>
      <c r="E26" s="144"/>
      <c r="F26" s="144"/>
      <c r="G26" s="144"/>
      <c r="H26" s="144"/>
    </row>
    <row r="27" spans="1:8" ht="21" customHeight="1" x14ac:dyDescent="0.2">
      <c r="A27" s="129" t="s">
        <v>362</v>
      </c>
      <c r="B27" s="145" t="s">
        <v>387</v>
      </c>
      <c r="C27" s="144"/>
      <c r="D27" s="144"/>
      <c r="E27" s="144"/>
      <c r="F27" s="144"/>
      <c r="G27" s="144"/>
      <c r="H27" s="144"/>
    </row>
    <row r="28" spans="1:8" ht="51" customHeight="1" x14ac:dyDescent="0.2">
      <c r="A28" s="130" t="s">
        <v>363</v>
      </c>
      <c r="B28" s="145" t="s">
        <v>388</v>
      </c>
      <c r="C28" s="144"/>
      <c r="D28" s="144"/>
      <c r="E28" s="144"/>
      <c r="F28" s="144"/>
      <c r="G28" s="144"/>
      <c r="H28" s="144"/>
    </row>
    <row r="29" spans="1:8" ht="21" customHeight="1" x14ac:dyDescent="0.2">
      <c r="A29" s="129" t="s">
        <v>362</v>
      </c>
      <c r="B29" s="145" t="s">
        <v>389</v>
      </c>
      <c r="C29" s="144"/>
      <c r="D29" s="144"/>
      <c r="E29" s="144"/>
      <c r="F29" s="144"/>
      <c r="G29" s="144"/>
      <c r="H29" s="144"/>
    </row>
    <row r="30" spans="1:8" ht="36" customHeight="1" x14ac:dyDescent="0.2">
      <c r="A30" s="130" t="s">
        <v>363</v>
      </c>
      <c r="B30" s="145" t="s">
        <v>390</v>
      </c>
      <c r="C30" s="144"/>
      <c r="D30" s="144"/>
      <c r="E30" s="144"/>
      <c r="F30" s="144"/>
      <c r="G30" s="144"/>
      <c r="H30" s="144"/>
    </row>
    <row r="32" spans="1:8" ht="22" customHeight="1" x14ac:dyDescent="0.2">
      <c r="A32" s="143" t="s">
        <v>367</v>
      </c>
      <c r="B32" s="144"/>
      <c r="C32" s="144"/>
      <c r="D32" s="144"/>
      <c r="E32" s="144"/>
      <c r="F32" s="144"/>
      <c r="G32" s="144"/>
      <c r="H32" s="144"/>
    </row>
    <row r="33" spans="1:8" ht="21" customHeight="1" x14ac:dyDescent="0.2">
      <c r="A33" s="129" t="s">
        <v>362</v>
      </c>
      <c r="B33" s="145" t="s">
        <v>391</v>
      </c>
      <c r="C33" s="144"/>
      <c r="D33" s="144"/>
      <c r="E33" s="144"/>
      <c r="F33" s="144"/>
      <c r="G33" s="144"/>
      <c r="H33" s="144"/>
    </row>
    <row r="34" spans="1:8" ht="51" customHeight="1" x14ac:dyDescent="0.2">
      <c r="A34" s="130" t="s">
        <v>363</v>
      </c>
      <c r="B34" s="145" t="s">
        <v>392</v>
      </c>
      <c r="C34" s="144"/>
      <c r="D34" s="144"/>
      <c r="E34" s="144"/>
      <c r="F34" s="144"/>
      <c r="G34" s="144"/>
      <c r="H34" s="144"/>
    </row>
    <row r="35" spans="1:8" ht="21" customHeight="1" x14ac:dyDescent="0.2">
      <c r="A35" s="129" t="s">
        <v>362</v>
      </c>
      <c r="B35" s="145" t="s">
        <v>393</v>
      </c>
      <c r="C35" s="144"/>
      <c r="D35" s="144"/>
      <c r="E35" s="144"/>
      <c r="F35" s="144"/>
      <c r="G35" s="144"/>
      <c r="H35" s="144"/>
    </row>
    <row r="36" spans="1:8" ht="36" customHeight="1" x14ac:dyDescent="0.2">
      <c r="A36" s="130" t="s">
        <v>363</v>
      </c>
      <c r="B36" s="145" t="s">
        <v>394</v>
      </c>
      <c r="C36" s="144"/>
      <c r="D36" s="144"/>
      <c r="E36" s="144"/>
      <c r="F36" s="144"/>
      <c r="G36" s="144"/>
      <c r="H36" s="144"/>
    </row>
    <row r="37" spans="1:8" ht="21" customHeight="1" x14ac:dyDescent="0.2">
      <c r="A37" s="129" t="s">
        <v>362</v>
      </c>
      <c r="B37" s="145" t="s">
        <v>395</v>
      </c>
      <c r="C37" s="144"/>
      <c r="D37" s="144"/>
      <c r="E37" s="144"/>
      <c r="F37" s="144"/>
      <c r="G37" s="144"/>
      <c r="H37" s="144"/>
    </row>
    <row r="38" spans="1:8" ht="51" customHeight="1" x14ac:dyDescent="0.2">
      <c r="A38" s="130" t="s">
        <v>363</v>
      </c>
      <c r="B38" s="145" t="s">
        <v>396</v>
      </c>
      <c r="C38" s="144"/>
      <c r="D38" s="144"/>
      <c r="E38" s="144"/>
      <c r="F38" s="144"/>
      <c r="G38" s="144"/>
      <c r="H38" s="144"/>
    </row>
    <row r="39" spans="1:8" ht="21" customHeight="1" x14ac:dyDescent="0.2">
      <c r="A39" s="129" t="s">
        <v>362</v>
      </c>
      <c r="B39" s="145" t="s">
        <v>397</v>
      </c>
      <c r="C39" s="144"/>
      <c r="D39" s="144"/>
      <c r="E39" s="144"/>
      <c r="F39" s="144"/>
      <c r="G39" s="144"/>
      <c r="H39" s="144"/>
    </row>
    <row r="41" spans="1:8" ht="22" customHeight="1" x14ac:dyDescent="0.2">
      <c r="A41" s="143" t="s">
        <v>368</v>
      </c>
      <c r="B41" s="144"/>
      <c r="C41" s="144"/>
      <c r="D41" s="144"/>
      <c r="E41" s="144"/>
      <c r="F41" s="144"/>
      <c r="G41" s="144"/>
      <c r="H41" s="144"/>
    </row>
    <row r="42" spans="1:8" ht="21" customHeight="1" x14ac:dyDescent="0.2">
      <c r="A42" s="129" t="s">
        <v>362</v>
      </c>
      <c r="B42" s="145" t="s">
        <v>398</v>
      </c>
      <c r="C42" s="144"/>
      <c r="D42" s="144"/>
      <c r="E42" s="144"/>
      <c r="F42" s="144"/>
      <c r="G42" s="144"/>
      <c r="H42" s="144"/>
    </row>
    <row r="43" spans="1:8" ht="51" customHeight="1" x14ac:dyDescent="0.2">
      <c r="A43" s="130" t="s">
        <v>363</v>
      </c>
      <c r="B43" s="145" t="s">
        <v>399</v>
      </c>
      <c r="C43" s="144"/>
      <c r="D43" s="144"/>
      <c r="E43" s="144"/>
      <c r="F43" s="144"/>
      <c r="G43" s="144"/>
      <c r="H43" s="144"/>
    </row>
    <row r="44" spans="1:8" ht="21" customHeight="1" x14ac:dyDescent="0.2">
      <c r="A44" s="129" t="s">
        <v>362</v>
      </c>
      <c r="B44" s="145" t="s">
        <v>400</v>
      </c>
      <c r="C44" s="144"/>
      <c r="D44" s="144"/>
      <c r="E44" s="144"/>
      <c r="F44" s="144"/>
      <c r="G44" s="144"/>
      <c r="H44" s="144"/>
    </row>
    <row r="45" spans="1:8" ht="36" customHeight="1" x14ac:dyDescent="0.2">
      <c r="A45" s="130" t="s">
        <v>363</v>
      </c>
      <c r="B45" s="145" t="s">
        <v>401</v>
      </c>
      <c r="C45" s="144"/>
      <c r="D45" s="144"/>
      <c r="E45" s="144"/>
      <c r="F45" s="144"/>
      <c r="G45" s="144"/>
      <c r="H45" s="144"/>
    </row>
    <row r="46" spans="1:8" ht="21" customHeight="1" x14ac:dyDescent="0.2">
      <c r="A46" s="129" t="s">
        <v>362</v>
      </c>
      <c r="B46" s="145" t="s">
        <v>402</v>
      </c>
      <c r="C46" s="144"/>
      <c r="D46" s="144"/>
      <c r="E46" s="144"/>
      <c r="F46" s="144"/>
      <c r="G46" s="144"/>
      <c r="H46" s="144"/>
    </row>
    <row r="47" spans="1:8" ht="21" customHeight="1" x14ac:dyDescent="0.2">
      <c r="A47" s="130" t="s">
        <v>363</v>
      </c>
      <c r="B47" s="145" t="s">
        <v>369</v>
      </c>
      <c r="C47" s="144"/>
      <c r="D47" s="144"/>
      <c r="E47" s="144"/>
      <c r="F47" s="144"/>
      <c r="G47" s="144"/>
      <c r="H47" s="144"/>
    </row>
    <row r="49" spans="1:8" ht="22" customHeight="1" x14ac:dyDescent="0.2">
      <c r="A49" s="143" t="s">
        <v>370</v>
      </c>
      <c r="B49" s="144"/>
      <c r="C49" s="144"/>
      <c r="D49" s="144"/>
      <c r="E49" s="144"/>
      <c r="F49" s="144"/>
      <c r="G49" s="144"/>
      <c r="H49" s="144"/>
    </row>
    <row r="50" spans="1:8" ht="36" customHeight="1" x14ac:dyDescent="0.2">
      <c r="A50" s="129" t="s">
        <v>362</v>
      </c>
      <c r="B50" s="145" t="s">
        <v>403</v>
      </c>
      <c r="C50" s="144"/>
      <c r="D50" s="144"/>
      <c r="E50" s="144"/>
      <c r="F50" s="144"/>
      <c r="G50" s="144"/>
      <c r="H50" s="144"/>
    </row>
    <row r="51" spans="1:8" ht="21" customHeight="1" x14ac:dyDescent="0.2">
      <c r="A51" s="130" t="s">
        <v>363</v>
      </c>
      <c r="B51" s="145" t="s">
        <v>404</v>
      </c>
      <c r="C51" s="144"/>
      <c r="D51" s="144"/>
      <c r="E51" s="144"/>
      <c r="F51" s="144"/>
      <c r="G51" s="144"/>
      <c r="H51" s="144"/>
    </row>
    <row r="52" spans="1:8" ht="21" customHeight="1" x14ac:dyDescent="0.2">
      <c r="A52" s="129" t="s">
        <v>362</v>
      </c>
      <c r="B52" s="145" t="s">
        <v>371</v>
      </c>
      <c r="C52" s="144"/>
      <c r="D52" s="144"/>
      <c r="E52" s="144"/>
      <c r="F52" s="144"/>
      <c r="G52" s="144"/>
      <c r="H52" s="144"/>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Dean B</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1065</v>
      </c>
      <c r="D28" s="30" t="str">
        <f>IF(OR($B28="—",$B28=""),"—",COUNTIFS('Match Log'!$D$4:$D$810,$B28,'Match Log'!$C$4:$C$810,$A28,'Match Log'!$E$4:$E$810,"Win")&amp;"–"&amp;(COUNTIFS('Match Log'!$D$4:$D$810,$B28,'Match Log'!$C$4:$C$810,$A28)-COUNTIFS('Match Log'!$D$4:$D$810,$B28,'Match Log'!$C$4:$C$810,$A28,'Match Log'!$E$4:$E$810,"Win")))</f>
        <v>10–5</v>
      </c>
      <c r="E28" s="30">
        <f>'Sport Records'!$P$26</f>
        <v>23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D5" activePane="bottomRight" state="frozen"/>
      <selection pane="topRight" activeCell="D1" sqref="D1"/>
      <selection pane="bottomLeft" activeCell="A5" sqref="A5"/>
      <selection pane="bottomRight" activeCell="G27" sqref="G27"/>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180  ·  19 Jul 2026</v>
      </c>
      <c r="T2" s="44" t="str">
        <f ca="1">IF(COUNTIF($T$5:$T$18,"At risk")+COUNTIF($T$5:$T$18,"Inactive")=0,"Inactivity watch:  all players active ✓","⚠ Inactivity watch:  "&amp;(COUNTIF($T$5:$T$18,"At risk")+COUNTIF($T$5:$T$18,"Inactive"))&amp;" player(s) need a game — see Activity column")</f>
        <v>⚠ Inactivity watch:  1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1056.2309858796998</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1</v>
      </c>
      <c r="T5" s="49" t="str">
        <f ca="1">IFERROR(INDEX(Calcs!$T$7:$T$20,MATCH($B5,Calcs!$A$7:$A$20,0)),"")</f>
        <v>Active</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Shawn</v>
      </c>
      <c r="C6" s="48">
        <f ca="1">IFERROR(INDEX(Calcs!$S$7:$S$20,MATCH($B6,Calcs!$A$7:$A$20,0)),"")</f>
        <v>1159.2274869956852</v>
      </c>
      <c r="D6" s="49">
        <f ca="1">COUNTIF('Match Log'!$D$4:$D$810,$B6)</f>
        <v>81</v>
      </c>
      <c r="E6" s="49">
        <f ca="1">COUNTIFS('Match Log'!$D$4:$D$810,$B6,'Match Log'!$E$4:$E$810,"Win")</f>
        <v>38</v>
      </c>
      <c r="F6" s="49">
        <f t="shared" ca="1" si="1"/>
        <v>43</v>
      </c>
      <c r="G6" s="50">
        <f t="shared" ca="1" si="2"/>
        <v>0.46913580246913578</v>
      </c>
      <c r="H6" s="51">
        <f ca="1">SUMIF('Match Log'!$D$4:$D$810,$B6,'Match Log'!$J$4:$J$810)</f>
        <v>69.963812731628082</v>
      </c>
      <c r="I6" s="51">
        <f ca="1">SUMIF('Match Log'!$D$4:$D$810,$B6,'Match Log'!$K$4:$K$810)</f>
        <v>21.263674264057691</v>
      </c>
      <c r="J6" s="51">
        <f ca="1">SUMIF('Match Log'!$D$4:$D$810,$B6,'Match Log'!$L$4:$L$810)</f>
        <v>68</v>
      </c>
      <c r="K6" s="49">
        <f ca="1">SUMPRODUCT(--(COUNTIFS('Match Log'!$D$4:$D$810,$B6,'Match Log'!$C$4:$C$810,Lists!$C$2:$C$24)&gt;0))</f>
        <v>10</v>
      </c>
      <c r="L6" s="49" t="str">
        <f ca="1">IF($D6=0,"No games",IF(AND($D6&gt;='Guide &amp; Settings'!$C$45,$K6&gt;='Guide &amp; Settings'!$C$46),"Eligible","Provisional"))</f>
        <v>Eligible</v>
      </c>
      <c r="M6" s="48">
        <f ca="1">IFERROR(INDEX(Calcs!$C$7:$C$20,MATCH($B6,Calcs!$A$7:$A$20,0)),"")</f>
        <v>1058.5026158244339</v>
      </c>
      <c r="N6" s="48">
        <f t="shared" ca="1" si="3"/>
        <v>82.475449329368075</v>
      </c>
      <c r="O6" s="49" t="str">
        <f ca="1">IFERROR(INDEX(Calcs!$H$7:$H$20,MATCH($B6,Calcs!$A$7:$A$20,0)),"")</f>
        <v>W1</v>
      </c>
      <c r="P6" s="49" t="str">
        <f ca="1">IFERROR(INDEX(Calcs!$I$7:$I$20,MATCH($B6,Calcs!$A$7:$A$20,0)),"")</f>
        <v>LLWLW</v>
      </c>
      <c r="Q6" s="49" t="str">
        <f ca="1">IFERROR(IF(INDEX(Calcs!$L$7:$L$20,MATCH($B6,Calcs!$A$7:$A$20,0))&gt;0,"▲"&amp;INDEX(Calcs!$L$7:$L$20,MATCH($B6,Calcs!$A$7:$A$20,0)),IF(INDEX(Calcs!$L$7:$L$20,MATCH($B6,Calcs!$A$7:$A$20,0))&lt;0,"▼"&amp;ABS(INDEX(Calcs!$L$7:$L$20,MATCH($B6,Calcs!$A$7:$A$20,0))),"–")),"")</f>
        <v>–</v>
      </c>
      <c r="R6" s="49" t="str">
        <f ca="1">IFERROR(IF(INDEX(Calcs!$P$7:$P$20,MATCH($B6,Calcs!$A$7:$A$20,0))=0,"—",TEXT(INDEX(Calcs!$P$7:$P$20,MATCH($B6,Calcs!$A$7:$A$20,0)),"d mmm")),"")</f>
        <v>17 Jul</v>
      </c>
      <c r="S6" s="49">
        <f ca="1">IFERROR(ROUND(INDEX(Calcs!$Q$7:$Q$20,MATCH($B6,Calcs!$A$7:$A$20,0)),1),"")</f>
        <v>0.3</v>
      </c>
      <c r="T6" s="49" t="str">
        <f ca="1">IFERROR(INDEX(Calcs!$T$7:$T$20,MATCH($B6,Calcs!$A$7:$A$20,0)),"")</f>
        <v>Active</v>
      </c>
      <c r="U6">
        <f ca="1">IFERROR(ROUND(INDEX(Calcs!$R$7:$R$20,MATCH($B6,Calcs!$A$7:$A$20,0))+INDEX(Calcs!$U$7:$U$20,MATCH($B6,Calcs!$A$7:$A$20,0)),0),0)</f>
        <v>0</v>
      </c>
      <c r="V6" s="51">
        <f ca="1">IFERROR(ROUND(INDEX(Calcs!$S$7:$S$20,MATCH($B6,Calcs!$A$7:$A$20,0)),0),"")</f>
        <v>1159</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Oscar</v>
      </c>
      <c r="C7" s="48">
        <f ca="1">IFERROR(INDEX(Calcs!$S$7:$S$20,MATCH($B7,Calcs!$A$7:$A$20,0)),"")</f>
        <v>1115.8211932271754</v>
      </c>
      <c r="D7" s="49">
        <f ca="1">COUNTIF('Match Log'!$D$4:$D$810,$B7)</f>
        <v>54</v>
      </c>
      <c r="E7" s="49">
        <f ca="1">COUNTIFS('Match Log'!$D$4:$D$810,$B7,'Match Log'!$E$4:$E$810,"Win")</f>
        <v>25</v>
      </c>
      <c r="F7" s="49">
        <f t="shared" ca="1" si="1"/>
        <v>29</v>
      </c>
      <c r="G7" s="50">
        <f t="shared" ca="1" si="2"/>
        <v>0.46296296296296297</v>
      </c>
      <c r="H7" s="51">
        <f ca="1">SUMIF('Match Log'!$D$4:$D$810,$B7,'Match Log'!$J$4:$J$810)</f>
        <v>20.530846807473505</v>
      </c>
      <c r="I7" s="51">
        <f ca="1">SUMIF('Match Log'!$D$4:$D$810,$B7,'Match Log'!$K$4:$K$810)</f>
        <v>30.290346419701887</v>
      </c>
      <c r="J7" s="51">
        <f ca="1">SUMIF('Match Log'!$D$4:$D$810,$B7,'Match Log'!$L$4:$L$810)</f>
        <v>65</v>
      </c>
      <c r="K7" s="49">
        <f ca="1">SUMPRODUCT(--(COUNTIFS('Match Log'!$D$4:$D$810,$B7,'Match Log'!$C$4:$C$810,Lists!$C$2:$C$24)&gt;0))</f>
        <v>9</v>
      </c>
      <c r="L7" s="49" t="str">
        <f ca="1">IF($D7=0,"No games",IF(AND($D7&gt;='Guide &amp; Settings'!$C$45,$K7&gt;='Guide &amp; Settings'!$C$46),"Eligible","Provisional"))</f>
        <v>Eligible</v>
      </c>
      <c r="M7" s="48">
        <f ca="1">IFERROR(INDEX(Calcs!$C$7:$C$20,MATCH($B7,Calcs!$A$7:$A$20,0)),"")</f>
        <v>1087.721010363641</v>
      </c>
      <c r="N7" s="48">
        <f t="shared" ca="1" si="3"/>
        <v>125.88174309787792</v>
      </c>
      <c r="O7" s="49" t="str">
        <f ca="1">IFERROR(INDEX(Calcs!$H$7:$H$20,MATCH($B7,Calcs!$A$7:$A$20,0)),"")</f>
        <v>L1</v>
      </c>
      <c r="P7" s="49" t="str">
        <f ca="1">IFERROR(INDEX(Calcs!$I$7:$I$20,MATCH($B7,Calcs!$A$7:$A$20,0)),"")</f>
        <v>WWLWL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17 Jul</v>
      </c>
      <c r="S7" s="49">
        <f ca="1">IFERROR(ROUND(INDEX(Calcs!$Q$7:$Q$20,MATCH($B7,Calcs!$A$7:$A$20,0)),1),"")</f>
        <v>0.3</v>
      </c>
      <c r="T7" s="49" t="str">
        <f ca="1">IFERROR(INDEX(Calcs!$T$7:$T$20,MATCH($B7,Calcs!$A$7:$A$20,0)),"")</f>
        <v>Active</v>
      </c>
      <c r="U7">
        <f ca="1">IFERROR(ROUND(INDEX(Calcs!$R$7:$R$20,MATCH($B7,Calcs!$A$7:$A$20,0))+INDEX(Calcs!$U$7:$U$20,MATCH($B7,Calcs!$A$7:$A$20,0)),0),0)</f>
        <v>0</v>
      </c>
      <c r="V7" s="51">
        <f ca="1">IFERROR(ROUND(INDEX(Calcs!$S$7:$S$20,MATCH($B7,Calcs!$A$7:$A$20,0)),0),"")</f>
        <v>1116</v>
      </c>
      <c r="W7" s="49" t="str">
        <f ca="1">IFERROR(INDEX(Calcs!$AF$7:$AF$20,MATCH($B7,Calcs!$A$7:$A$20,0)),"")</f>
        <v>Elite</v>
      </c>
      <c r="X7" s="51">
        <f ca="1">IFERROR(ROUND(SUMIF('Poker Stake Ledger'!$C$18:$C$137,$B7,'Poker Stake Ledger'!$K$18:$K$137),1),0)</f>
        <v>0</v>
      </c>
    </row>
    <row r="8" spans="1:24" ht="15" customHeight="1" x14ac:dyDescent="0.2">
      <c r="A8" s="46">
        <f t="shared" si="0"/>
        <v>4</v>
      </c>
      <c r="B8" s="47" t="str">
        <f ca="1">IFERROR(INDEX(Calcs!$A$7:$A$20,MATCH(LARGE(Calcs!$AI$7:$AI$20,ROW()-4),Calcs!$AI$7:$AI$20,0)),"")</f>
        <v>Dylan A</v>
      </c>
      <c r="C8" s="48">
        <f ca="1">IFERROR(INDEX(Calcs!$S$7:$S$20,MATCH($B8,Calcs!$A$7:$A$20,0)),"")</f>
        <v>1080.3830919749923</v>
      </c>
      <c r="D8" s="49">
        <f ca="1">COUNTIF('Match Log'!$D$4:$D$810,$B8)</f>
        <v>9</v>
      </c>
      <c r="E8" s="49">
        <f ca="1">COUNTIFS('Match Log'!$D$4:$D$810,$B8,'Match Log'!$E$4:$E$810,"Win")</f>
        <v>6</v>
      </c>
      <c r="F8" s="49">
        <f t="shared" ca="1" si="1"/>
        <v>3</v>
      </c>
      <c r="G8" s="50">
        <f t="shared" ca="1" si="2"/>
        <v>0.66666666666666663</v>
      </c>
      <c r="H8" s="51">
        <f ca="1">SUMIF('Match Log'!$D$4:$D$810,$B8,'Match Log'!$J$4:$J$810)</f>
        <v>37.232086523270631</v>
      </c>
      <c r="I8" s="51">
        <f ca="1">SUMIF('Match Log'!$D$4:$D$810,$B8,'Match Log'!$K$4:$K$810)</f>
        <v>27.1510054517219</v>
      </c>
      <c r="J8" s="51">
        <f ca="1">SUMIF('Match Log'!$D$4:$D$810,$B8,'Match Log'!$L$4:$L$810)</f>
        <v>16</v>
      </c>
      <c r="K8" s="49">
        <f ca="1">SUMPRODUCT(--(COUNTIFS('Match Log'!$D$4:$D$810,$B8,'Match Log'!$C$4:$C$810,Lists!$C$2:$C$24)&gt;0))</f>
        <v>3</v>
      </c>
      <c r="L8" s="49" t="str">
        <f ca="1">IF($D8=0,"No games",IF(AND($D8&gt;='Guide &amp; Settings'!$C$45,$K8&gt;='Guide &amp; Settings'!$C$46),"Eligible","Provisional"))</f>
        <v>Eligible</v>
      </c>
      <c r="M8" s="48">
        <f ca="1">IFERROR(INDEX(Calcs!$C$7:$C$20,MATCH($B8,Calcs!$A$7:$A$20,0)),"")</f>
        <v>1051.7791974074785</v>
      </c>
      <c r="N8" s="48">
        <f t="shared" ca="1" si="3"/>
        <v>161.31984435006098</v>
      </c>
      <c r="O8" s="49" t="str">
        <f ca="1">IFERROR(INDEX(Calcs!$H$7:$H$20,MATCH($B8,Calcs!$A$7:$A$20,0)),"")</f>
        <v>W2</v>
      </c>
      <c r="P8" s="49" t="str">
        <f ca="1">IFERROR(INDEX(Calcs!$I$7:$I$20,MATCH($B8,Calcs!$A$7:$A$20,0)),"")</f>
        <v>WWLWW</v>
      </c>
      <c r="Q8" s="49" t="str">
        <f ca="1">IFERROR(IF(INDEX(Calcs!$L$7:$L$20,MATCH($B8,Calcs!$A$7:$A$20,0))&gt;0,"▲"&amp;INDEX(Calcs!$L$7:$L$20,MATCH($B8,Calcs!$A$7:$A$20,0)),IF(INDEX(Calcs!$L$7:$L$20,MATCH($B8,Calcs!$A$7:$A$20,0))&lt;0,"▼"&amp;ABS(INDEX(Calcs!$L$7:$L$20,MATCH($B8,Calcs!$A$7:$A$20,0))),"–")),"")</f>
        <v>▲2</v>
      </c>
      <c r="R8" s="49" t="str">
        <f ca="1">IFERROR(IF(INDEX(Calcs!$P$7:$P$20,MATCH($B8,Calcs!$A$7:$A$20,0))=0,"—",TEXT(INDEX(Calcs!$P$7:$P$20,MATCH($B8,Calcs!$A$7:$A$20,0)),"d mmm")),"")</f>
        <v>19 Jul</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1080</v>
      </c>
      <c r="W8" s="49" t="str">
        <f ca="1">IFERROR(INDEX(Calcs!$AF$7:$AF$20,MATCH($B8,Calcs!$A$7:$A$20,0)),"")</f>
        <v>Strong</v>
      </c>
      <c r="X8" s="51">
        <f ca="1">IFERROR(ROUND(SUMIF('Poker Stake Ledger'!$C$18:$C$137,$B8,'Poker Stake Ledger'!$K$18:$K$137),1),0)</f>
        <v>0</v>
      </c>
    </row>
    <row r="9" spans="1:24" ht="15" customHeight="1" x14ac:dyDescent="0.2">
      <c r="A9" s="46">
        <f t="shared" si="0"/>
        <v>5</v>
      </c>
      <c r="B9" s="47" t="str">
        <f ca="1">IFERROR(INDEX(Calcs!$A$7:$A$20,MATCH(LARGE(Calcs!$AI$7:$AI$20,ROW()-4),Calcs!$AI$7:$AI$20,0)),"")</f>
        <v>Josh</v>
      </c>
      <c r="C9" s="48">
        <f ca="1">IFERROR(INDEX(Calcs!$S$7:$S$20,MATCH($B9,Calcs!$A$7:$A$20,0)),"")</f>
        <v>1063.3497487715442</v>
      </c>
      <c r="D9" s="49">
        <f ca="1">COUNTIF('Match Log'!$D$4:$D$810,$B9)</f>
        <v>37</v>
      </c>
      <c r="E9" s="49">
        <f ca="1">COUNTIFS('Match Log'!$D$4:$D$810,$B9,'Match Log'!$E$4:$E$810,"Win")</f>
        <v>21</v>
      </c>
      <c r="F9" s="49">
        <f t="shared" ca="1" si="1"/>
        <v>16</v>
      </c>
      <c r="G9" s="50">
        <f t="shared" ca="1" si="2"/>
        <v>0.56756756756756754</v>
      </c>
      <c r="H9" s="51">
        <f ca="1">SUMIF('Match Log'!$D$4:$D$810,$B9,'Match Log'!$J$4:$J$810)</f>
        <v>-11.785238402291522</v>
      </c>
      <c r="I9" s="51">
        <f ca="1">SUMIF('Match Log'!$D$4:$D$810,$B9,'Match Log'!$K$4:$K$810)</f>
        <v>30.134987173835981</v>
      </c>
      <c r="J9" s="51">
        <f ca="1">SUMIF('Match Log'!$D$4:$D$810,$B9,'Match Log'!$L$4:$L$810)</f>
        <v>45</v>
      </c>
      <c r="K9" s="49">
        <f ca="1">SUMPRODUCT(--(COUNTIFS('Match Log'!$D$4:$D$810,$B9,'Match Log'!$C$4:$C$810,Lists!$C$2:$C$24)&gt;0))</f>
        <v>12</v>
      </c>
      <c r="L9" s="49" t="str">
        <f ca="1">IF($D9=0,"No games",IF(AND($D9&gt;='Guide &amp; Settings'!$C$45,$K9&gt;='Guide &amp; Settings'!$C$46),"Eligible","Provisional"))</f>
        <v>Eligible</v>
      </c>
      <c r="M9" s="48">
        <f ca="1">IFERROR(INDEX(Calcs!$C$7:$C$20,MATCH($B9,Calcs!$A$7:$A$20,0)),"")</f>
        <v>1081.0418943327236</v>
      </c>
      <c r="N9" s="48">
        <f t="shared" ca="1" si="3"/>
        <v>178.35318755350909</v>
      </c>
      <c r="O9" s="49" t="str">
        <f ca="1">IFERROR(INDEX(Calcs!$H$7:$H$20,MATCH($B9,Calcs!$A$7:$A$20,0)),"")</f>
        <v>L2</v>
      </c>
      <c r="P9" s="49" t="str">
        <f ca="1">IFERROR(INDEX(Calcs!$I$7:$I$20,MATCH($B9,Calcs!$A$7:$A$20,0)),"")</f>
        <v>LLWLL</v>
      </c>
      <c r="Q9" s="49" t="str">
        <f ca="1">IFERROR(IF(INDEX(Calcs!$L$7:$L$20,MATCH($B9,Calcs!$A$7:$A$20,0))&gt;0,"▲"&amp;INDEX(Calcs!$L$7:$L$20,MATCH($B9,Calcs!$A$7:$A$20,0)),IF(INDEX(Calcs!$L$7:$L$20,MATCH($B9,Calcs!$A$7:$A$20,0))&lt;0,"▼"&amp;ABS(INDEX(Calcs!$L$7:$L$20,MATCH($B9,Calcs!$A$7:$A$20,0))),"–")),"")</f>
        <v>▼2</v>
      </c>
      <c r="R9" s="49" t="str">
        <f ca="1">IFERROR(IF(INDEX(Calcs!$P$7:$P$20,MATCH($B9,Calcs!$A$7:$A$20,0))=0,"—",TEXT(INDEX(Calcs!$P$7:$P$20,MATCH($B9,Calcs!$A$7:$A$20,0)),"d mmm")),"")</f>
        <v>12 Jul</v>
      </c>
      <c r="S9" s="49">
        <f ca="1">IFERROR(ROUND(INDEX(Calcs!$Q$7:$Q$20,MATCH($B9,Calcs!$A$7:$A$20,0)),1),"")</f>
        <v>1</v>
      </c>
      <c r="T9" s="49" t="str">
        <f ca="1">IFERROR(INDEX(Calcs!$T$7:$T$20,MATCH($B9,Calcs!$A$7:$A$20,0)),"")</f>
        <v>Active</v>
      </c>
      <c r="U9">
        <f ca="1">IFERROR(ROUND(INDEX(Calcs!$R$7:$R$20,MATCH($B9,Calcs!$A$7:$A$20,0))+INDEX(Calcs!$U$7:$U$20,MATCH($B9,Calcs!$A$7:$A$20,0)),0),0)</f>
        <v>0</v>
      </c>
      <c r="V9" s="51">
        <f ca="1">IFERROR(ROUND(INDEX(Calcs!$S$7:$S$20,MATCH($B9,Calcs!$A$7:$A$20,0)),0),"")</f>
        <v>1063</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Daniel (Ferret)</v>
      </c>
      <c r="C10" s="48">
        <f ca="1">IFERROR(INDEX(Calcs!$S$7:$S$20,MATCH($B10,Calcs!$A$7:$A$20,0)),"")</f>
        <v>1052.3192050222167</v>
      </c>
      <c r="D10" s="49">
        <f ca="1">COUNTIF('Match Log'!$D$4:$D$810,$B10)</f>
        <v>67</v>
      </c>
      <c r="E10" s="49">
        <f ca="1">COUNTIFS('Match Log'!$D$4:$D$810,$B10,'Match Log'!$E$4:$E$810,"Win")</f>
        <v>30</v>
      </c>
      <c r="F10" s="49">
        <f t="shared" ca="1" si="1"/>
        <v>37</v>
      </c>
      <c r="G10" s="50">
        <f t="shared" ca="1" si="2"/>
        <v>0.44776119402985076</v>
      </c>
      <c r="H10" s="51">
        <f ca="1">SUMIF('Match Log'!$D$4:$D$810,$B10,'Match Log'!$J$4:$J$810)</f>
        <v>-17.895567885086756</v>
      </c>
      <c r="I10" s="51">
        <f ca="1">SUMIF('Match Log'!$D$4:$D$810,$B10,'Match Log'!$K$4:$K$810)</f>
        <v>15.214772907303061</v>
      </c>
      <c r="J10" s="51">
        <f ca="1">SUMIF('Match Log'!$D$4:$D$810,$B10,'Match Log'!$L$4:$L$810)</f>
        <v>55</v>
      </c>
      <c r="K10" s="49">
        <f ca="1">SUMPRODUCT(--(COUNTIFS('Match Log'!$D$4:$D$810,$B10,'Match Log'!$C$4:$C$810,Lists!$C$2:$C$24)&gt;0))</f>
        <v>14</v>
      </c>
      <c r="L10" s="49" t="str">
        <f ca="1">IF($D10=0,"No games",IF(AND($D10&gt;='Guide &amp; Settings'!$C$45,$K10&gt;='Guide &amp; Settings'!$C$46),"Eligible","Provisional"))</f>
        <v>Eligible</v>
      </c>
      <c r="M10" s="48">
        <f ca="1">IFERROR(INDEX(Calcs!$C$7:$C$20,MATCH($B10,Calcs!$A$7:$A$20,0)),"")</f>
        <v>1103.6049209620533</v>
      </c>
      <c r="N10" s="48">
        <f t="shared" ca="1" si="3"/>
        <v>189.38373130283662</v>
      </c>
      <c r="O10" s="49" t="str">
        <f ca="1">IFERROR(INDEX(Calcs!$H$7:$H$20,MATCH($B10,Calcs!$A$7:$A$20,0)),"")</f>
        <v>L1</v>
      </c>
      <c r="P10" s="49" t="str">
        <f ca="1">IFERROR(INDEX(Calcs!$I$7:$I$20,MATCH($B10,Calcs!$A$7:$A$20,0)),"")</f>
        <v>WLWWL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19 Jul</v>
      </c>
      <c r="S10" s="49">
        <f ca="1">IFERROR(ROUND(INDEX(Calcs!$Q$7:$Q$20,MATCH($B10,Calcs!$A$7:$A$20,0)),1),"")</f>
        <v>0</v>
      </c>
      <c r="T10" s="49" t="str">
        <f ca="1">IFERROR(INDEX(Calcs!$T$7:$T$20,MATCH($B10,Calcs!$A$7:$A$20,0)),"")</f>
        <v>Active</v>
      </c>
      <c r="U10">
        <f ca="1">IFERROR(ROUND(INDEX(Calcs!$R$7:$R$20,MATCH($B10,Calcs!$A$7:$A$20,0))+INDEX(Calcs!$U$7:$U$20,MATCH($B10,Calcs!$A$7:$A$20,0)),0),0)</f>
        <v>0</v>
      </c>
      <c r="V10" s="51">
        <f ca="1">IFERROR(ROUND(INDEX(Calcs!$S$7:$S$20,MATCH($B10,Calcs!$A$7:$A$20,0)),0),"")</f>
        <v>1052</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1051.594831345267</v>
      </c>
      <c r="D11" s="49">
        <f ca="1">COUNTIF('Match Log'!$D$4:$D$810,$B11)</f>
        <v>20</v>
      </c>
      <c r="E11" s="49">
        <f ca="1">COUNTIFS('Match Log'!$D$4:$D$810,$B11,'Match Log'!$E$4:$E$810,"Win")</f>
        <v>10</v>
      </c>
      <c r="F11" s="49">
        <f t="shared" ca="1" si="1"/>
        <v>10</v>
      </c>
      <c r="G11" s="50">
        <f t="shared" ca="1" si="2"/>
        <v>0.5</v>
      </c>
      <c r="H11" s="51">
        <f ca="1">SUMIF('Match Log'!$D$4:$D$810,$B11,'Match Log'!$J$4:$J$810)</f>
        <v>-9.490271216296156</v>
      </c>
      <c r="I11" s="51">
        <f ca="1">SUMIF('Match Log'!$D$4:$D$810,$B11,'Match Log'!$K$4:$K$810)</f>
        <v>17.085102561563126</v>
      </c>
      <c r="J11" s="51">
        <f ca="1">SUMIF('Match Log'!$D$4:$D$810,$B11,'Match Log'!$L$4:$L$810)</f>
        <v>44</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1076.9466605673945</v>
      </c>
      <c r="N11" s="48">
        <f t="shared" ca="1" si="3"/>
        <v>190.10810497978628</v>
      </c>
      <c r="O11" s="49" t="str">
        <f ca="1">IFERROR(INDEX(Calcs!$H$7:$H$20,MATCH($B11,Calcs!$A$7:$A$20,0)),"")</f>
        <v>L6</v>
      </c>
      <c r="P11" s="49" t="str">
        <f ca="1">IFERROR(INDEX(Calcs!$I$7:$I$20,MATCH($B11,Calcs!$A$7:$A$20,0)),"")</f>
        <v>LLLLL</v>
      </c>
      <c r="Q11" s="49" t="str">
        <f ca="1">IFERROR(IF(INDEX(Calcs!$L$7:$L$20,MATCH($B11,Calcs!$A$7:$A$20,0))&gt;0,"▲"&amp;INDEX(Calcs!$L$7:$L$20,MATCH($B11,Calcs!$A$7:$A$20,0)),IF(INDEX(Calcs!$L$7:$L$20,MATCH($B11,Calcs!$A$7:$A$20,0))&lt;0,"▼"&amp;ABS(INDEX(Calcs!$L$7:$L$20,MATCH($B11,Calcs!$A$7:$A$20,0))),"–")),"")</f>
        <v>▼2</v>
      </c>
      <c r="R11" s="49" t="str">
        <f ca="1">IFERROR(IF(INDEX(Calcs!$P$7:$P$20,MATCH($B11,Calcs!$A$7:$A$20,0))=0,"—",TEXT(INDEX(Calcs!$P$7:$P$20,MATCH($B11,Calcs!$A$7:$A$20,0)),"d mmm")),"")</f>
        <v>16 Jul</v>
      </c>
      <c r="S11" s="49">
        <f ca="1">IFERROR(ROUND(INDEX(Calcs!$Q$7:$Q$20,MATCH($B11,Calcs!$A$7:$A$20,0)),1),"")</f>
        <v>0.4</v>
      </c>
      <c r="T11" s="49" t="str">
        <f ca="1">IFERROR(INDEX(Calcs!$T$7:$T$20,MATCH($B11,Calcs!$A$7:$A$20,0)),"")</f>
        <v>Active</v>
      </c>
      <c r="U11">
        <f ca="1">IFERROR(ROUND(INDEX(Calcs!$R$7:$R$20,MATCH($B11,Calcs!$A$7:$A$20,0))+INDEX(Calcs!$U$7:$U$20,MATCH($B11,Calcs!$A$7:$A$20,0)),0),0)</f>
        <v>0</v>
      </c>
      <c r="V11" s="51">
        <f ca="1">IFERROR(ROUND(INDEX(Calcs!$S$7:$S$20,MATCH($B11,Calcs!$A$7:$A$20,0)),0),"")</f>
        <v>1052</v>
      </c>
      <c r="W11" s="49" t="str">
        <f ca="1">IFERROR(INDEX(Calcs!$AF$7:$AF$20,MATCH($B11,Calcs!$A$7:$A$20,0)),"")</f>
        <v>Mid</v>
      </c>
      <c r="X11" s="51">
        <f ca="1">IFERROR(ROUND(SUMIF('Poker Stake Ledger'!$C$18:$C$137,$B11,'Poker Stake Ledger'!$K$18:$K$137),1),0)</f>
        <v>0</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1073.9055576412607</v>
      </c>
      <c r="N12" s="48">
        <f t="shared" ca="1" si="3"/>
        <v>203.88322485295953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▼1</v>
      </c>
      <c r="R12" s="49" t="str">
        <f ca="1">IFERROR(IF(INDEX(Calcs!$P$7:$P$20,MATCH($B12,Calcs!$A$7:$A$20,0))=0,"—",TEXT(INDEX(Calcs!$P$7:$P$20,MATCH($B12,Calcs!$A$7:$A$20,0)),"d mmm")),"")</f>
        <v>17 Jul</v>
      </c>
      <c r="S12" s="49">
        <f ca="1">IFERROR(ROUND(INDEX(Calcs!$Q$7:$Q$20,MATCH($B12,Calcs!$A$7:$A$20,0)),1),"")</f>
        <v>0.3</v>
      </c>
      <c r="T12" s="49" t="str">
        <f ca="1">IFERROR(INDEX(Calcs!$T$7:$T$20,MATCH($B12,Calcs!$A$7:$A$20,0)),"")</f>
        <v>Active</v>
      </c>
      <c r="U12">
        <f ca="1">IFERROR(ROUND(INDEX(Calcs!$R$7:$R$20,MATCH($B12,Calcs!$A$7:$A$20,0))+INDEX(Calcs!$U$7:$U$20,MATCH($B12,Calcs!$A$7:$A$20,0)),0),0)</f>
        <v>0</v>
      </c>
      <c r="V12" s="51">
        <f ca="1">IFERROR(ROUND(INDEX(Calcs!$S$7:$S$20,MATCH($B12,Calcs!$A$7:$A$20,0)),0),"")</f>
        <v>1038</v>
      </c>
      <c r="W12" s="49" t="str">
        <f ca="1">IFERROR(INDEX(Calcs!$AF$7:$AF$20,MATCH($B12,Calcs!$A$7:$A$20,0)),"")</f>
        <v>Mid</v>
      </c>
      <c r="X12" s="51">
        <f ca="1">IFERROR(ROUND(SUMIF('Poker Stake Ledger'!$C$18:$C$137,$B12,'Poker Stake Ledger'!$K$18:$K$137),1),0)</f>
        <v>0</v>
      </c>
    </row>
    <row r="13" spans="1:24" ht="15" customHeight="1" x14ac:dyDescent="0.2">
      <c r="A13" s="46">
        <f t="shared" si="0"/>
        <v>9</v>
      </c>
      <c r="B13" s="47" t="str">
        <f ca="1">IFERROR(INDEX(Calcs!$A$7:$A$20,MATCH(LARGE(Calcs!$AI$7:$AI$20,ROW()-4),Calcs!$AI$7:$AI$20,0)),"")</f>
        <v>Beau</v>
      </c>
      <c r="C13" s="48">
        <f ca="1">IFERROR(INDEX(Calcs!$S$7:$S$20,MATCH($B13,Calcs!$A$7:$A$20,0)),"")</f>
        <v>1019.5175965335138</v>
      </c>
      <c r="D13" s="49">
        <f ca="1">COUNTIF('Match Log'!$D$4:$D$810,$B13)</f>
        <v>10</v>
      </c>
      <c r="E13" s="49">
        <f ca="1">COUNTIFS('Match Log'!$D$4:$D$810,$B13,'Match Log'!$E$4:$E$810,"Win")</f>
        <v>5</v>
      </c>
      <c r="F13" s="49">
        <f t="shared" ca="1" si="1"/>
        <v>5</v>
      </c>
      <c r="G13" s="50">
        <f t="shared" ca="1" si="2"/>
        <v>0.5</v>
      </c>
      <c r="H13" s="51">
        <f ca="1">SUMIF('Match Log'!$D$4:$D$810,$B13,'Match Log'!$J$4:$J$810)</f>
        <v>-14.562118325761057</v>
      </c>
      <c r="I13" s="51">
        <f ca="1">SUMIF('Match Log'!$D$4:$D$810,$B13,'Match Log'!$K$4:$K$810)</f>
        <v>16.079714859275072</v>
      </c>
      <c r="J13" s="51">
        <f ca="1">SUMIF('Match Log'!$D$4:$D$810,$B13,'Match Log'!$L$4:$L$810)</f>
        <v>28</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1072.7390056793181</v>
      </c>
      <c r="N13" s="48">
        <f t="shared" ca="1" si="3"/>
        <v>222.18533979153949</v>
      </c>
      <c r="O13" s="49" t="str">
        <f ca="1">IFERROR(INDEX(Calcs!$H$7:$H$20,MATCH($B13,Calcs!$A$7:$A$20,0)),"")</f>
        <v>L2</v>
      </c>
      <c r="P13" s="49" t="str">
        <f ca="1">IFERROR(INDEX(Calcs!$I$7:$I$20,MATCH($B13,Calcs!$A$7:$A$20,0)),"")</f>
        <v>LWWLL</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15 Jun</v>
      </c>
      <c r="S13" s="49">
        <f ca="1">IFERROR(ROUND(INDEX(Calcs!$Q$7:$Q$20,MATCH($B13,Calcs!$A$7:$A$20,0)),1),"")</f>
        <v>4.9000000000000004</v>
      </c>
      <c r="T13" s="49" t="str">
        <f ca="1">IFERROR(INDEX(Calcs!$T$7:$T$20,MATCH($B13,Calcs!$A$7:$A$20,0)),"")</f>
        <v>Inactive</v>
      </c>
      <c r="U13">
        <f ca="1">IFERROR(ROUND(INDEX(Calcs!$R$7:$R$20,MATCH($B13,Calcs!$A$7:$A$20,0))+INDEX(Calcs!$U$7:$U$20,MATCH($B13,Calcs!$A$7:$A$20,0)),0),0)</f>
        <v>10</v>
      </c>
      <c r="V13" s="51">
        <f ca="1">IFERROR(ROUND(INDEX(Calcs!$S$7:$S$20,MATCH($B13,Calcs!$A$7:$A$20,0)),0),"")</f>
        <v>1020</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Dean M</v>
      </c>
      <c r="C14" s="48">
        <f ca="1">IFERROR(INDEX(Calcs!$S$7:$S$20,MATCH($B14,Calcs!$A$7:$A$20,0)),"")</f>
        <v>1012.1303999492304</v>
      </c>
      <c r="D14" s="49">
        <f ca="1">COUNTIF('Match Log'!$D$4:$D$810,$B14)</f>
        <v>10</v>
      </c>
      <c r="E14" s="49">
        <f ca="1">COUNTIFS('Match Log'!$D$4:$D$810,$B14,'Match Log'!$E$4:$E$810,"Win")</f>
        <v>4</v>
      </c>
      <c r="F14" s="49">
        <f t="shared" ca="1" si="1"/>
        <v>6</v>
      </c>
      <c r="G14" s="50">
        <f t="shared" ca="1" si="2"/>
        <v>0.4</v>
      </c>
      <c r="H14" s="51">
        <f ca="1">SUMIF('Match Log'!$D$4:$D$810,$B14,'Match Log'!$J$4:$J$810)</f>
        <v>-15.951857211874659</v>
      </c>
      <c r="I14" s="51">
        <f ca="1">SUMIF('Match Log'!$D$4:$D$810,$B14,'Match Log'!$K$4:$K$810)</f>
        <v>8.0822571611051508</v>
      </c>
      <c r="J14" s="51">
        <f ca="1">SUMIF('Match Log'!$D$4:$D$810,$B14,'Match Log'!$L$4:$L$810)</f>
        <v>20</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1053.4004770780605</v>
      </c>
      <c r="N14" s="48">
        <f t="shared" ca="1" si="3"/>
        <v>229.57253637582289</v>
      </c>
      <c r="O14" s="49" t="str">
        <f ca="1">IFERROR(INDEX(Calcs!$H$7:$H$20,MATCH($B14,Calcs!$A$7:$A$20,0)),"")</f>
        <v>W1</v>
      </c>
      <c r="P14" s="49" t="str">
        <f ca="1">IFERROR(INDEX(Calcs!$I$7:$I$20,MATCH($B14,Calcs!$A$7:$A$20,0)),"")</f>
        <v>LLWLW</v>
      </c>
      <c r="Q14" s="49" t="str">
        <f ca="1">IFERROR(IF(INDEX(Calcs!$L$7:$L$20,MATCH($B14,Calcs!$A$7:$A$20,0))&gt;0,"▲"&amp;INDEX(Calcs!$L$7:$L$20,MATCH($B14,Calcs!$A$7:$A$20,0)),IF(INDEX(Calcs!$L$7:$L$20,MATCH($B14,Calcs!$A$7:$A$20,0))&lt;0,"▼"&amp;ABS(INDEX(Calcs!$L$7:$L$20,MATCH($B14,Calcs!$A$7:$A$20,0))),"–")),"")</f>
        <v>▲1</v>
      </c>
      <c r="R14" s="49" t="str">
        <f ca="1">IFERROR(IF(INDEX(Calcs!$P$7:$P$20,MATCH($B14,Calcs!$A$7:$A$20,0))=0,"—",TEXT(INDEX(Calcs!$P$7:$P$20,MATCH($B14,Calcs!$A$7:$A$20,0)),"d mmm")),"")</f>
        <v>19 Jul</v>
      </c>
      <c r="S14" s="49">
        <f ca="1">IFERROR(ROUND(INDEX(Calcs!$Q$7:$Q$20,MATCH($B14,Calcs!$A$7:$A$20,0)),1),"")</f>
        <v>0</v>
      </c>
      <c r="T14" s="49" t="str">
        <f ca="1">IFERROR(INDEX(Calcs!$T$7:$T$20,MATCH($B14,Calcs!$A$7:$A$20,0)),"")</f>
        <v>Active</v>
      </c>
      <c r="U14">
        <f ca="1">IFERROR(ROUND(INDEX(Calcs!$R$7:$R$20,MATCH($B14,Calcs!$A$7:$A$20,0))+INDEX(Calcs!$U$7:$U$20,MATCH($B14,Calcs!$A$7:$A$20,0)),0),0)</f>
        <v>0</v>
      </c>
      <c r="V14" s="51">
        <f ca="1">IFERROR(ROUND(INDEX(Calcs!$S$7:$S$20,MATCH($B14,Calcs!$A$7:$A$20,0)),0),"")</f>
        <v>1012</v>
      </c>
      <c r="W14" s="49" t="str">
        <f ca="1">IFERROR(INDEX(Calcs!$AF$7:$AF$20,MATCH($B14,Calcs!$A$7:$A$20,0)),"")</f>
        <v>Mid</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1010.7137957188797</v>
      </c>
      <c r="D15" s="49">
        <f ca="1">COUNTIF('Match Log'!$D$4:$D$810,$B15)</f>
        <v>53</v>
      </c>
      <c r="E15" s="49">
        <f ca="1">COUNTIFS('Match Log'!$D$4:$D$810,$B15,'Match Log'!$E$4:$E$810,"Win")</f>
        <v>26</v>
      </c>
      <c r="F15" s="49">
        <f t="shared" ca="1" si="1"/>
        <v>27</v>
      </c>
      <c r="G15" s="50">
        <f t="shared" ca="1" si="2"/>
        <v>0.49056603773584906</v>
      </c>
      <c r="H15" s="51">
        <f ca="1">SUMIF('Match Log'!$D$4:$D$810,$B15,'Match Log'!$J$4:$J$810)</f>
        <v>-51.34717440235201</v>
      </c>
      <c r="I15" s="51">
        <f ca="1">SUMIF('Match Log'!$D$4:$D$810,$B15,'Match Log'!$K$4:$K$810)</f>
        <v>31.060970121231676</v>
      </c>
      <c r="J15" s="51">
        <f ca="1">SUMIF('Match Log'!$D$4:$D$810,$B15,'Match Log'!$L$4:$L$810)</f>
        <v>31</v>
      </c>
      <c r="K15" s="49">
        <f ca="1">SUMPRODUCT(--(COUNTIFS('Match Log'!$D$4:$D$810,$B15,'Match Log'!$C$4:$C$810,Lists!$C$2:$C$24)&gt;0))</f>
        <v>10</v>
      </c>
      <c r="L15" s="49" t="str">
        <f ca="1">IF($D15=0,"No games",IF(AND($D15&gt;='Guide &amp; Settings'!$C$45,$K15&gt;='Guide &amp; Settings'!$C$46),"Eligible","Provisional"))</f>
        <v>Eligible</v>
      </c>
      <c r="M15" s="48">
        <f ca="1">IFERROR(INDEX(Calcs!$C$7:$C$20,MATCH($B15,Calcs!$A$7:$A$20,0)),"")</f>
        <v>1097.2493288384137</v>
      </c>
      <c r="N15" s="48">
        <f t="shared" ca="1" si="3"/>
        <v>230.98914060617358</v>
      </c>
      <c r="O15" s="49" t="str">
        <f ca="1">IFERROR(INDEX(Calcs!$H$7:$H$20,MATCH($B15,Calcs!$A$7:$A$20,0)),"")</f>
        <v>W1</v>
      </c>
      <c r="P15" s="49" t="str">
        <f ca="1">IFERROR(INDEX(Calcs!$I$7:$I$20,MATCH($B15,Calcs!$A$7:$A$20,0)),"")</f>
        <v>LWLLW</v>
      </c>
      <c r="Q15" s="49" t="str">
        <f ca="1">IFERROR(IF(INDEX(Calcs!$L$7:$L$20,MATCH($B15,Calcs!$A$7:$A$20,0))&gt;0,"▲"&amp;INDEX(Calcs!$L$7:$L$20,MATCH($B15,Calcs!$A$7:$A$20,0)),IF(INDEX(Calcs!$L$7:$L$20,MATCH($B15,Calcs!$A$7:$A$20,0))&lt;0,"▼"&amp;ABS(INDEX(Calcs!$L$7:$L$20,MATCH($B15,Calcs!$A$7:$A$20,0))),"–")),"")</f>
        <v>▼3</v>
      </c>
      <c r="R15" s="49" t="str">
        <f ca="1">IFERROR(IF(INDEX(Calcs!$P$7:$P$20,MATCH($B15,Calcs!$A$7:$A$20,0))=0,"—",TEXT(INDEX(Calcs!$P$7:$P$20,MATCH($B15,Calcs!$A$7:$A$20,0)),"d mmm")),"")</f>
        <v>19 Jul</v>
      </c>
      <c r="S15" s="49">
        <f ca="1">IFERROR(ROUND(INDEX(Calcs!$Q$7:$Q$20,MATCH($B15,Calcs!$A$7:$A$20,0)),1),"")</f>
        <v>0</v>
      </c>
      <c r="T15" s="49" t="str">
        <f ca="1">IFERROR(INDEX(Calcs!$T$7:$T$20,MATCH($B15,Calcs!$A$7:$A$20,0)),"")</f>
        <v>Active</v>
      </c>
      <c r="U15">
        <f ca="1">IFERROR(ROUND(INDEX(Calcs!$R$7:$R$20,MATCH($B15,Calcs!$A$7:$A$20,0))+INDEX(Calcs!$U$7:$U$20,MATCH($B15,Calcs!$A$7:$A$20,0)),0),0)</f>
        <v>0</v>
      </c>
      <c r="V15" s="51">
        <f ca="1">IFERROR(ROUND(INDEX(Calcs!$S$7:$S$20,MATCH($B15,Calcs!$A$7:$A$20,0)),0),"")</f>
        <v>1011</v>
      </c>
      <c r="W15" s="49" t="str">
        <f ca="1">IFERROR(INDEX(Calcs!$AF$7:$AF$20,MATCH($B15,Calcs!$A$7:$A$20,0)),"")</f>
        <v>Strong</v>
      </c>
      <c r="X15" s="51">
        <f ca="1">IFERROR(ROUND(SUMIF('Poker Stake Ledger'!$C$18:$C$137,$B15,'Poker Stake Ledger'!$K$18:$K$137),1),0)</f>
        <v>0</v>
      </c>
    </row>
    <row r="16" spans="1:24" ht="15" customHeight="1" x14ac:dyDescent="0.2">
      <c r="A16" s="46">
        <f t="shared" si="0"/>
        <v>12</v>
      </c>
      <c r="B16" s="47" t="str">
        <f ca="1">IFERROR(INDEX(Calcs!$A$7:$A$20,MATCH(LARGE(Calcs!$AI$7:$AI$20,ROW()-4),Calcs!$AI$7:$AI$20,0)),"")</f>
        <v>Dylan S</v>
      </c>
      <c r="C16" s="48">
        <f ca="1">IFERROR(INDEX(Calcs!$S$7:$S$20,MATCH($B16,Calcs!$A$7:$A$20,0)),"")</f>
        <v>1000</v>
      </c>
      <c r="D16" s="49">
        <f ca="1">COUNTIF('Match Log'!$D$4:$D$810,$B16)</f>
        <v>0</v>
      </c>
      <c r="E16" s="49">
        <f ca="1">COUNTIFS('Match Log'!$D$4:$D$810,$B16,'Match Log'!$E$4:$E$810,"Win")</f>
        <v>0</v>
      </c>
      <c r="F16" s="49">
        <f t="shared" ca="1" si="1"/>
        <v>0</v>
      </c>
      <c r="G16" s="50" t="str">
        <f t="shared" ca="1" si="2"/>
        <v/>
      </c>
      <c r="H16" s="51">
        <f ca="1">SUMIF('Match Log'!$D$4:$D$810,$B16,'Match Log'!$J$4:$J$810)</f>
        <v>0</v>
      </c>
      <c r="I16" s="51">
        <f ca="1">SUMIF('Match Log'!$D$4:$D$810,$B16,'Match Log'!$K$4:$K$810)</f>
        <v>0</v>
      </c>
      <c r="J16" s="51">
        <f ca="1">SUMIF('Match Log'!$D$4:$D$810,$B16,'Match Log'!$L$4:$L$810)</f>
        <v>0</v>
      </c>
      <c r="K16" s="49">
        <f ca="1">SUMPRODUCT(--(COUNTIFS('Match Log'!$D$4:$D$810,$B16,'Match Log'!$C$4:$C$810,Lists!$C$2:$C$24)&gt;0))</f>
        <v>0</v>
      </c>
      <c r="L16" s="49" t="str">
        <f ca="1">IF($D16=0,"No games",IF(AND($D16&gt;='Guide &amp; Settings'!$C$45,$K16&gt;='Guide &amp; Settings'!$C$46),"Eligible","Provisional"))</f>
        <v>No games</v>
      </c>
      <c r="M16" s="48" t="str">
        <f ca="1">IFERROR(INDEX(Calcs!$C$7:$C$20,MATCH($B16,Calcs!$A$7:$A$20,0)),"")</f>
        <v/>
      </c>
      <c r="N16" s="48">
        <f t="shared" ca="1" si="3"/>
        <v>241.70293632505332</v>
      </c>
      <c r="O16" s="49" t="str">
        <f ca="1">IFERROR(INDEX(Calcs!$H$7:$H$20,MATCH($B16,Calcs!$A$7:$A$20,0)),"")</f>
        <v/>
      </c>
      <c r="P16" s="49" t="str">
        <f ca="1">IFERROR(INDEX(Calcs!$I$7:$I$20,MATCH($B16,Calcs!$A$7:$A$20,0)),"")</f>
        <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v>
      </c>
      <c r="S16" s="49" t="str">
        <f ca="1">IFERROR(ROUND(INDEX(Calcs!$Q$7:$Q$20,MATCH($B16,Calcs!$A$7:$A$20,0)),1),"")</f>
        <v/>
      </c>
      <c r="T16" s="49" t="str">
        <f ca="1">IFERROR(INDEX(Calcs!$T$7:$T$20,MATCH($B16,Calcs!$A$7:$A$20,0)),"")</f>
        <v>No games</v>
      </c>
      <c r="U16">
        <f ca="1">IFERROR(ROUND(INDEX(Calcs!$R$7:$R$20,MATCH($B16,Calcs!$A$7:$A$20,0))+INDEX(Calcs!$U$7:$U$20,MATCH($B16,Calcs!$A$7:$A$20,0)),0),0)</f>
        <v>0</v>
      </c>
      <c r="V16" s="51">
        <f ca="1">IFERROR(ROUND(INDEX(Calcs!$S$7:$S$20,MATCH($B16,Calcs!$A$7:$A$20,0)),0),"")</f>
        <v>1000</v>
      </c>
      <c r="W16" s="49" t="str">
        <f ca="1">IFERROR(INDEX(Calcs!$AF$7:$AF$20,MATCH($B16,Calcs!$A$7:$A$20,0)),"")</f>
        <v>No games</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1065.8571910355195</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1.1000000000000001</v>
      </c>
      <c r="T17" s="49" t="str">
        <f ca="1">IFERROR(INDEX(Calcs!$T$7:$T$20,MATCH($B17,Calcs!$A$7:$A$20,0)),"")</f>
        <v>Active</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1063.4141596906782</v>
      </c>
      <c r="N18" s="48">
        <f t="shared" ca="1" si="3"/>
        <v>379.47999258827838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0</v>
      </c>
      <c r="T18" s="49" t="str">
        <f ca="1">IFERROR(INDEX(Calcs!$T$7:$T$20,MATCH($B18,Calcs!$A$7:$A$20,0)),"")</f>
        <v>Active</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1159.2274869956852</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38–43</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0.46913580246913578</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81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1058.5026158244339</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LLWLW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82.475449329368075</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17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73</v>
      </c>
      <c r="D23" s="56" t="s">
        <v>208</v>
      </c>
      <c r="E23" s="36">
        <f>COUNTIFS('Match Log'!$D$4:$D$810,$B$3,'Match Log'!$C$4:$C$810,$D23)</f>
        <v>15</v>
      </c>
      <c r="F23" s="36">
        <f>COUNTIFS('Match Log'!$D$4:$D$810,$B$3,'Match Log'!$C$4:$C$810,$D23,'Match Log'!$E$4:$E$810,"Win")</f>
        <v>10</v>
      </c>
      <c r="G23" s="57">
        <f t="shared" si="0"/>
        <v>0.66666666666666663</v>
      </c>
      <c r="H23" s="58">
        <f>IFERROR(IF($E23=0,"",INDEX('Sport Records'!$B$100:$O$122,MATCH($D23,'Sport Records'!$A$100:$A$122,0),MATCH($B$3,'Sport Records'!$B$99:$O$99,0))),"")</f>
        <v>1064.8441312699101</v>
      </c>
    </row>
    <row r="24" spans="1:8" x14ac:dyDescent="0.2">
      <c r="A24" s="64" t="s">
        <v>209</v>
      </c>
      <c r="B24" s="65">
        <f ca="1">IFERROR(ROUND(INDEX(Calcs!$W$7:$W$20,MATCH($B$3,Calcs!$A$7:$A$20,0)),0),"")</f>
        <v>90</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47</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65</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41% of 22</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59% of 22</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12</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5</v>
      </c>
      <c r="I27" s="70">
        <f>IF($A27=I$21,0,SUMPRODUCT(('Match Log'!$D$4:$D$810=$A27)*(COUNTIFS('Match Log'!$A$4:$A$810,'Match Log'!$A$4:$A$810,'Match Log'!$D$4:$D$810,I$21)&gt;0)))</f>
        <v>24</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27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5</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12</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24</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27</v>
      </c>
      <c r="H32" s="70">
        <f>IF($A32=H$21,0,SUMPRODUCT(('Match Log'!$D$4:$D$810=$A32)*(COUNTIFS('Match Log'!$A$4:$A$810,'Match Log'!$A$4:$A$810,'Match Log'!$D$4:$D$810,H$21)&gt;0)))</f>
        <v>15</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180</v>
      </c>
    </row>
    <row r="4" spans="1:18" ht="18.75" customHeight="1" x14ac:dyDescent="0.2">
      <c r="A4" s="73" t="s">
        <v>223</v>
      </c>
      <c r="C4" s="159" t="str">
        <f ca="1">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15</v>
      </c>
      <c r="H26" s="77">
        <f>COUNTIFS('Match Log'!$D$4:$D$819,H$7,'Match Log'!$C$4:$C$819,$A26)</f>
        <v>1</v>
      </c>
      <c r="I26" s="77">
        <f>COUNTIFS('Match Log'!$D$4:$D$819,I$7,'Match Log'!$C$4:$C$819,$A26)</f>
        <v>9</v>
      </c>
      <c r="J26" s="77">
        <f>COUNTIFS('Match Log'!$D$4:$D$819,J$7,'Match Log'!$C$4:$C$819,$A26)</f>
        <v>0</v>
      </c>
      <c r="K26" s="77">
        <f>COUNTIFS('Match Log'!$D$4:$D$819,K$7,'Match Log'!$C$4:$C$819,$A26)</f>
        <v>0</v>
      </c>
      <c r="L26" s="77">
        <f>COUNTIFS('Match Log'!$D$4:$D$819,L$7,'Match Log'!$C$4:$C$819,$A26)</f>
        <v>6</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23</v>
      </c>
      <c r="Q26" s="79" t="str">
        <f t="shared" si="0"/>
        <v>Shawn</v>
      </c>
      <c r="R26" s="78">
        <f t="shared" si="1"/>
        <v>10</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10</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0.66666666666666663</v>
      </c>
      <c r="H76" s="80">
        <f t="shared" si="20"/>
        <v>0</v>
      </c>
      <c r="I76" s="80">
        <f t="shared" si="20"/>
        <v>0.22222222222222221</v>
      </c>
      <c r="J76" s="80" t="str">
        <f t="shared" si="20"/>
        <v/>
      </c>
      <c r="K76" s="80" t="str">
        <f t="shared" si="20"/>
        <v/>
      </c>
      <c r="L76" s="80">
        <f t="shared" si="20"/>
        <v>0.33333333333333331</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20</v>
      </c>
      <c r="C85" s="77">
        <f>SUMPRODUCT(--(COUNTIFS('Match Log'!$D$4:$D$819,$A85,'Match Log'!$C$4:$C$819,Lists!$C$2:$C$24)&gt;0))</f>
        <v>7</v>
      </c>
      <c r="D85" s="77">
        <f>COUNTIFS('Match Log'!$D$4:$D$819,$A85,'Match Log'!$E$4:$E$819,"Win")</f>
        <v>10</v>
      </c>
      <c r="E85" s="80">
        <f t="shared" si="25"/>
        <v>0.5</v>
      </c>
      <c r="F85" s="82">
        <f ca="1">IFERROR(INDEX(Calcs!$S$7:$S$20,MATCH($A85,Calcs!$A$7:$A$20,0)),"")</f>
        <v>1051.594831345267</v>
      </c>
      <c r="G85" s="77" t="str">
        <f>IF($B85=0,"No games",IF(AND($B85&gt;='Guide &amp; Settings'!$C$45,$C85&gt;='Guide &amp; Settings'!$C$46),"Eligible","Provisional"))</f>
        <v>Eligible</v>
      </c>
      <c r="S85" s="83">
        <f ca="1">IF($G85="Eligible",IF(IFERROR(INDEX(Calcs!$T$7:$T$20,MATCH($A85,Calcs!$A$7:$A$20,0)),"")="Inactive",-1,$F85),-1)</f>
        <v>1051.594831345267</v>
      </c>
    </row>
    <row r="86" spans="1:19" ht="15" customHeight="1" x14ac:dyDescent="0.2">
      <c r="A86" s="76" t="s">
        <v>169</v>
      </c>
      <c r="B86" s="77">
        <f>COUNTIF('Match Log'!$D$4:$D$819,$A86)</f>
        <v>54</v>
      </c>
      <c r="C86" s="77">
        <f>SUMPRODUCT(--(COUNTIFS('Match Log'!$D$4:$D$819,$A86,'Match Log'!$C$4:$C$819,Lists!$C$2:$C$24)&gt;0))</f>
        <v>9</v>
      </c>
      <c r="D86" s="77">
        <f>COUNTIFS('Match Log'!$D$4:$D$819,$A86,'Match Log'!$E$4:$E$819,"Win")</f>
        <v>25</v>
      </c>
      <c r="E86" s="80">
        <f t="shared" si="25"/>
        <v>0.46296296296296297</v>
      </c>
      <c r="F86" s="82">
        <f ca="1">IFERROR(INDEX(Calcs!$S$7:$S$20,MATCH($A86,Calcs!$A$7:$A$20,0)),"")</f>
        <v>1115.8211932271754</v>
      </c>
      <c r="G86" s="77" t="str">
        <f>IF($B86=0,"No games",IF(AND($B86&gt;='Guide &amp; Settings'!$C$45,$C86&gt;='Guide &amp; Settings'!$C$46),"Eligible","Provisional"))</f>
        <v>Eligible</v>
      </c>
      <c r="S86" s="83">
        <f ca="1">IF($G86="Eligible",IF(IFERROR(INDEX(Calcs!$T$7:$T$20,MATCH($A86,Calcs!$A$7:$A$20,0)),"")="Inactive",-1,$F86),-1)</f>
        <v>1115.8211932271754</v>
      </c>
    </row>
    <row r="87" spans="1:19" ht="15" customHeight="1" x14ac:dyDescent="0.2">
      <c r="A87" s="76" t="s">
        <v>170</v>
      </c>
      <c r="B87" s="77">
        <f>COUNTIF('Match Log'!$D$4:$D$819,$A87)</f>
        <v>67</v>
      </c>
      <c r="C87" s="77">
        <f>SUMPRODUCT(--(COUNTIFS('Match Log'!$D$4:$D$819,$A87,'Match Log'!$C$4:$C$819,Lists!$C$2:$C$24)&gt;0))</f>
        <v>14</v>
      </c>
      <c r="D87" s="77">
        <f>COUNTIFS('Match Log'!$D$4:$D$819,$A87,'Match Log'!$E$4:$E$819,"Win")</f>
        <v>30</v>
      </c>
      <c r="E87" s="80">
        <f t="shared" si="25"/>
        <v>0.44776119402985076</v>
      </c>
      <c r="F87" s="82">
        <f ca="1">IFERROR(INDEX(Calcs!$S$7:$S$20,MATCH($A87,Calcs!$A$7:$A$20,0)),"")</f>
        <v>1052.3192050222167</v>
      </c>
      <c r="G87" s="77" t="str">
        <f>IF($B87=0,"No games",IF(AND($B87&gt;='Guide &amp; Settings'!$C$45,$C87&gt;='Guide &amp; Settings'!$C$46),"Eligible","Provisional"))</f>
        <v>Eligible</v>
      </c>
      <c r="S87" s="83">
        <f ca="1">IF($G87="Eligible",IF(IFERROR(INDEX(Calcs!$T$7:$T$20,MATCH($A87,Calcs!$A$7:$A$20,0)),"")="Inactive",-1,$F87),-1)</f>
        <v>1052.3192050222167</v>
      </c>
    </row>
    <row r="88" spans="1:19" ht="15" customHeight="1" x14ac:dyDescent="0.2">
      <c r="A88" s="76" t="s">
        <v>138</v>
      </c>
      <c r="B88" s="77">
        <f>COUNTIF('Match Log'!$D$4:$D$819,$A88)</f>
        <v>53</v>
      </c>
      <c r="C88" s="77">
        <f>SUMPRODUCT(--(COUNTIFS('Match Log'!$D$4:$D$819,$A88,'Match Log'!$C$4:$C$819,Lists!$C$2:$C$24)&gt;0))</f>
        <v>10</v>
      </c>
      <c r="D88" s="77">
        <f>COUNTIFS('Match Log'!$D$4:$D$819,$A88,'Match Log'!$E$4:$E$819,"Win")</f>
        <v>26</v>
      </c>
      <c r="E88" s="80">
        <f t="shared" si="25"/>
        <v>0.49056603773584906</v>
      </c>
      <c r="F88" s="82">
        <f ca="1">IFERROR(INDEX(Calcs!$S$7:$S$20,MATCH($A88,Calcs!$A$7:$A$20,0)),"")</f>
        <v>1010.7137957188797</v>
      </c>
      <c r="G88" s="77" t="str">
        <f>IF($B88=0,"No games",IF(AND($B88&gt;='Guide &amp; Settings'!$C$45,$C88&gt;='Guide &amp; Settings'!$C$46),"Eligible","Provisional"))</f>
        <v>Eligible</v>
      </c>
      <c r="S88" s="83">
        <f ca="1">IF($G88="Eligible",IF(IFERROR(INDEX(Calcs!$T$7:$T$20,MATCH($A88,Calcs!$A$7:$A$20,0)),"")="Inactive",-1,$F88),-1)</f>
        <v>1010.7137957188797</v>
      </c>
    </row>
    <row r="89" spans="1:19" ht="15" customHeight="1" x14ac:dyDescent="0.2">
      <c r="A89" s="76" t="s">
        <v>134</v>
      </c>
      <c r="B89" s="77">
        <f>COUNTIF('Match Log'!$D$4:$D$819,$A89)</f>
        <v>81</v>
      </c>
      <c r="C89" s="77">
        <f>SUMPRODUCT(--(COUNTIFS('Match Log'!$D$4:$D$819,$A89,'Match Log'!$C$4:$C$819,Lists!$C$2:$C$24)&gt;0))</f>
        <v>10</v>
      </c>
      <c r="D89" s="77">
        <f>COUNTIFS('Match Log'!$D$4:$D$819,$A89,'Match Log'!$E$4:$E$819,"Win")</f>
        <v>38</v>
      </c>
      <c r="E89" s="80">
        <f t="shared" si="25"/>
        <v>0.46913580246913578</v>
      </c>
      <c r="F89" s="82">
        <f ca="1">IFERROR(INDEX(Calcs!$S$7:$S$20,MATCH($A89,Calcs!$A$7:$A$20,0)),"")</f>
        <v>1159.2274869956852</v>
      </c>
      <c r="G89" s="77" t="str">
        <f>IF($B89=0,"No games",IF(AND($B89&gt;='Guide &amp; Settings'!$C$45,$C89&gt;='Guide &amp; Settings'!$C$46),"Eligible","Provisional"))</f>
        <v>Eligible</v>
      </c>
      <c r="S89" s="83">
        <f ca="1">IF($G89="Eligible",IF(IFERROR(INDEX(Calcs!$T$7:$T$20,MATCH($A89,Calcs!$A$7:$A$20,0)),"")="Inactive",-1,$F89),-1)</f>
        <v>1159.2274869956852</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1064.8441312699101</v>
      </c>
      <c r="H118" s="82">
        <f>IFERROR(LOOKUP(2,1/(('Match Log'!$D$4:$D$819=H$99)*('Match Log'!$C$4:$C$819=$A118)),'Match Log'!$AB$4:$AB$819),"")</f>
        <v>995.11454772974389</v>
      </c>
      <c r="I118" s="82">
        <f>IFERROR(LOOKUP(2,1/(('Match Log'!$D$4:$D$819=I$99)*('Match Log'!$C$4:$C$819=$A118)),'Match Log'!$AB$4:$AB$819),"")</f>
        <v>940.61748831075943</v>
      </c>
      <c r="J118" s="82" t="str">
        <f>IFERROR(LOOKUP(2,1/(('Match Log'!$D$4:$D$819=J$99)*('Match Log'!$C$4:$C$819=$A118)),'Match Log'!$AB$4:$AB$819),"")</f>
        <v/>
      </c>
      <c r="K118" s="82" t="str">
        <f>IFERROR(LOOKUP(2,1/(('Match Log'!$D$4:$D$819=K$99)*('Match Log'!$C$4:$C$819=$A118)),'Match Log'!$AB$4:$AB$819),"")</f>
        <v/>
      </c>
      <c r="L118" s="82">
        <f>IFERROR(LOOKUP(2,1/(('Match Log'!$D$4:$D$819=L$99)*('Match Log'!$C$4:$C$819=$A118)),'Match Log'!$AB$4:$AB$819),"")</f>
        <v>1001.3886259796478</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81</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Dylan A</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Aaron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82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Dylan A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6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Daniel (Ferret) is surging — up 4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Aaron is the giant-killer — 6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81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180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1159</v>
      </c>
      <c r="D18" s="105" t="str">
        <f>IF(2=1,"— leader —",ROUND(MAX(Calcs!$B$7:$B$20)-LARGE(Calcs!$B$7:$B$20,2),0)&amp;" behind")</f>
        <v>82 behind</v>
      </c>
      <c r="E18" s="99"/>
      <c r="F18" s="26"/>
    </row>
    <row r="19" spans="1:6" ht="15" customHeight="1" x14ac:dyDescent="0.2">
      <c r="A19" s="104">
        <v>3</v>
      </c>
      <c r="B19" s="55" t="str">
        <f>INDEX(Calcs!$A$7:$A$20,MATCH(LARGE(Calcs!$B$7:$B$20,3),Calcs!$B$7:$B$20,0))</f>
        <v>Oscar</v>
      </c>
      <c r="C19" s="104">
        <f>ROUND(LARGE(Calcs!$B$7:$B$20,3),0)</f>
        <v>1116</v>
      </c>
      <c r="D19" s="105" t="str">
        <f>IF(3=1,"— leader —",ROUND(MAX(Calcs!$B$7:$B$20)-LARGE(Calcs!$B$7:$B$20,3),0)&amp;" behind")</f>
        <v>126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L</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W</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L</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W</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L</v>
      </c>
      <c r="E47" s="107" t="str">
        <f>IFERROR(IF(INDEX('Match Log'!$E$1:$E$810,_xlfn.AGGREGATE(14,6,ROW('Match Log'!$A$4:$A$810)/('Match Log'!$D$4:$D$810=$A47),7))="Win","W","L"),"")</f>
        <v>W</v>
      </c>
      <c r="F47" s="107" t="str">
        <f>IFERROR(IF(INDEX('Match Log'!$E$1:$E$810,_xlfn.AGGREGATE(14,6,ROW('Match Log'!$A$4:$A$810)/('Match Log'!$D$4:$D$810=$A47),6))="Win","W","L"),"")</f>
        <v>W</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W</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W</v>
      </c>
      <c r="H50" s="107" t="str">
        <f>IFERROR(IF(INDEX('Match Log'!$E$1:$E$810,_xlfn.AGGREGATE(14,6,ROW('Match Log'!$A$4:$A$810)/('Match Log'!$D$4:$D$810=$A50),4))="Win","W","L"),"")</f>
        <v>W</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0.22222222222222221</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0.33333333333333331</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81" activePane="bottomRight" state="frozen"/>
      <selection pane="topRight" activeCell="F1" sqref="F1"/>
      <selection pane="bottomLeft" activeCell="A244" sqref="A244"/>
      <selection pane="bottomRight" activeCell="A420" sqref="A420"/>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46215</v>
      </c>
    </row>
    <row r="4" spans="1:35" ht="15" customHeight="1" x14ac:dyDescent="0.2">
      <c r="A4" t="s">
        <v>330</v>
      </c>
      <c r="B4" s="127">
        <f>MAX('Match Log'!$B$4:$B$810)</f>
        <v>46222</v>
      </c>
      <c r="C4" t="s">
        <v>450</v>
      </c>
      <c r="D4" s="127">
        <f ca="1">MAX($B$4,TODAY())</f>
        <v>46222</v>
      </c>
    </row>
    <row r="5" spans="1:35" x14ac:dyDescent="0.2">
      <c r="B5">
        <f ca="1">TODAY()-7</f>
        <v>46215</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1010.7137957188797</v>
      </c>
      <c r="C7">
        <f>IFERROR(INDEX(Engine!$C$2:$C$15,MATCH($A7,Engine!$A$2:$A$15,0)),"")</f>
        <v>1097.2493288384137</v>
      </c>
      <c r="D7">
        <f t="shared" ref="D7:D20" si="0">RANK($B7,$B$7:$B$20)</f>
        <v>11</v>
      </c>
      <c r="E7">
        <f t="shared" ref="E7:E20" si="1">MAX($B$7:$B$20)-$B7</f>
        <v>230.98914060617358</v>
      </c>
      <c r="F7" t="str">
        <f>IFERROR(LOOKUP(2,1/('Match Log'!$D$4:$D$810=$A7),'Match Log'!$E$4:$E$810),"")</f>
        <v>Win</v>
      </c>
      <c r="G7">
        <f>IF($F7="",0,SUMPRODUCT(('Match Log'!$D$4:$D$810=$A7)*(ROW('Match Log'!$A$4:$A$810)&gt;SUMPRODUCT(MAX(('Match Log'!$D$4:$D$810=$A7)*('Match Log'!$E$4:$E$810&lt;&gt;$F7)*ROW('Match Log'!$A$4:$A$810))))))</f>
        <v>1</v>
      </c>
      <c r="H7" t="str">
        <f t="shared" ref="H7:H20" si="2">IF($G7=0,"",LEFT($F7,1)&amp;$G7)</f>
        <v>W1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LWLLW</v>
      </c>
      <c r="J7">
        <f>IFERROR(LOOKUP(2,1/(('Match Log'!$D$4:$D$810=$A7)*('Match Log'!$B$4:$B$810&lt;=$B$3)),'Match Log'!$N$4:$N$810),1000)</f>
        <v>1040.1422573837137</v>
      </c>
      <c r="K7">
        <f t="shared" ref="K7:K20" si="3">RANK($J7,$J$7:$J$20)</f>
        <v>8</v>
      </c>
      <c r="L7">
        <f t="shared" ref="L7:L20" si="4">$K7-$D7</f>
        <v>-3</v>
      </c>
      <c r="M7">
        <f t="shared" ref="M7:M20" si="5">SUMPRODUCT(($D$25:$D$444=$A7)*($G$25:$G$444&gt;0.25)*($D$25:$D$444&lt;&gt;""))</f>
        <v>6</v>
      </c>
      <c r="N7">
        <f t="shared" ref="N7:N20" si="6">LEN($I7)-LEN(SUBSTITUTE($I7,"W",""))</f>
        <v>2</v>
      </c>
      <c r="O7">
        <f t="shared" ref="O7:O20" si="7">IF($F7="Win",$G7,0)</f>
        <v>1</v>
      </c>
      <c r="P7">
        <f>IFERROR(SUMPRODUCT(MAX(('Match Log'!$D$4:$D$810=$A7)*'Match Log'!$B$4:$B$810)),0)</f>
        <v>46222</v>
      </c>
      <c r="Q7">
        <f t="shared" ref="Q7:Q20" ca="1" si="8">IF($P7=0,"",($D$4-$P7)/7)</f>
        <v>0</v>
      </c>
      <c r="R7">
        <f ca="1">IF($P7=0,0,IF($Q7&gt;='Guide &amp; Settings'!$C$48,(INT($Q7-'Guide &amp; Settings'!$C$48)+1)*'Guide &amp; Settings'!$C$49,0))</f>
        <v>0</v>
      </c>
      <c r="S7">
        <f ca="1">$B7-$R7-$U7+SUMIF('Poker Stake Ledger'!$C$18:$C$137,$A7,'Poker Stake Ledger'!$K$18:$K$137)</f>
        <v>1010.7137957188797</v>
      </c>
      <c r="T7" t="str">
        <f ca="1">IF($P7=0,"No games",IF($Q7&gt;='Guide &amp; Settings'!$C$48,"Inactive",IF($Q7&gt;='Guide &amp; Settings'!$C$47,"At risk","Active")))</f>
        <v>Active</v>
      </c>
      <c r="U7">
        <f>SUMIF('Match Log'!$D$4:$D$810,$A7,'Match Log'!$AC$4:$AC$810)</f>
        <v>0</v>
      </c>
      <c r="V7">
        <f t="shared" ref="V7:V20" si="9">IF($F7="Loss",$G7,0)</f>
        <v>0</v>
      </c>
      <c r="W7">
        <f t="shared" ref="W7:W20" ca="1" si="10">MAX(0,MIN(100,50+($S7-1000)/4))</f>
        <v>52.678448929719934</v>
      </c>
      <c r="X7">
        <f ca="1">IFERROR(INDEX(Dashboard!$G$5:$G$18,MATCH($A7,Dashboard!$B$5:$B$18,0))*100,0)</f>
        <v>49.056603773584904</v>
      </c>
      <c r="Y7">
        <f ca="1">MIN(100,IFERROR(INDEX(Dashboard!$K$5:$K$18,MATCH($A7,Dashboard!$B$5:$B$18,0)),0)/5*50+$AC7/4*50)</f>
        <v>100</v>
      </c>
      <c r="Z7">
        <f t="shared" ref="Z7:Z20" si="11">IFERROR($N7/LEN($I7)*100,0)</f>
        <v>40</v>
      </c>
      <c r="AA7">
        <f t="shared" ref="AA7:AA20" si="12">IF($C7="",0,MAX(0,MIN(100,50+($C7-1000)/4)))</f>
        <v>74.312332209603426</v>
      </c>
      <c r="AB7">
        <f t="shared" ref="AB7:AB20" ca="1" si="13">0.35*$W7+0.2*$X7+0.2*$Y7+0.15*$Z7+0.1*$AA7</f>
        <v>61.680011101079302</v>
      </c>
      <c r="AC7">
        <f>IFERROR(SUMPRODUCT((INDEX('Sport Records'!$B$8:$O$26,0,MATCH($A7,'Sport Records'!$B$7:$O$7,0))&gt;=2)*(INDEX('Sport Records'!$B$58:$O$76,0,MATCH($A7,'Sport Records'!$B$57:$O$57,0))&gt;=0.5)),0)</f>
        <v>4</v>
      </c>
      <c r="AD7">
        <f ca="1">IFERROR(INDEX(Dashboard!$D$5:$D$18,MATCH($A7,Dashboard!$B$5:$B$18,0)),0)</f>
        <v>53</v>
      </c>
      <c r="AE7">
        <f ca="1">IFERROR(INDEX(Dashboard!$K$5:$K$18,MATCH($A7,Dashboard!$B$5:$B$18,0)),0)</f>
        <v>10</v>
      </c>
      <c r="AF7" t="str">
        <f t="shared" ref="AF7:AF20" ca="1" si="14">IF($AD7=0,"No games",IF(OR($AD7&lt;5,$AE7&lt;2),"Unranked",IF($AB7&gt;=72,IF(AND($AD7&gt;=8,$AE7&gt;=3),"Elite","Mid"),IF($AB7&gt;=58,IF(AND($AD7&gt;=8,$AE7&gt;=3),"Strong","Mid"),IF($AB7&gt;=44,"Mid","Developing")))))</f>
        <v>Strong</v>
      </c>
      <c r="AG7">
        <f ca="1">COUNTIFS('Match Log'!$D$4:$D$810,$A7,'Match Log'!$B$4:$B$810,"&gt;="&amp;$B$5)</f>
        <v>7</v>
      </c>
      <c r="AH7">
        <f ca="1">COUNTIFS('Match Log'!$D$4:$D$810,$A7,'Match Log'!$B$4:$B$810,"&gt;="&amp;$B$5,'Match Log'!$E$4:$E$810,"Win")</f>
        <v>2</v>
      </c>
      <c r="AI7">
        <f t="shared" ref="AI7:AI20" ca="1" si="15">IF(ISNUMBER($S7),$S7,-1000000)+ROW()/10000000</f>
        <v>1010.7137964188797</v>
      </c>
    </row>
    <row r="8" spans="1:35" ht="15" customHeight="1" x14ac:dyDescent="0.2">
      <c r="A8" t="s">
        <v>135</v>
      </c>
      <c r="B8">
        <f>IFERROR(INDEX(Engine!$B$2:$B$15,MATCH($A8,Engine!$A$2:$A$15,0)),1000)</f>
        <v>1029.5175965335138</v>
      </c>
      <c r="C8">
        <f>IFERROR(INDEX(Engine!$C$2:$C$15,MATCH($A8,Engine!$A$2:$A$15,0)),"")</f>
        <v>1072.7390056793181</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4.8571428571428568</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68.184751419829524</v>
      </c>
      <c r="AB8">
        <f t="shared" ca="1" si="13"/>
        <v>50.526264838665405</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1037.8197114720938</v>
      </c>
      <c r="C9">
        <f>IFERROR(INDEX(Engine!$C$2:$C$15,MATCH($A9,Engine!$A$2:$A$15,0)),"")</f>
        <v>1073.9055576412607</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1041.9075825481382</v>
      </c>
      <c r="K9">
        <f t="shared" si="3"/>
        <v>7</v>
      </c>
      <c r="L9">
        <f t="shared" si="4"/>
        <v>-1</v>
      </c>
      <c r="M9">
        <f t="shared" si="5"/>
        <v>0</v>
      </c>
      <c r="N9">
        <f t="shared" si="6"/>
        <v>1</v>
      </c>
      <c r="O9">
        <f t="shared" si="7"/>
        <v>0</v>
      </c>
      <c r="P9">
        <f>IFERROR(SUMPRODUCT(MAX(('Match Log'!$D$4:$D$810=$A9)*'Match Log'!$B$4:$B$810)),0)</f>
        <v>46220</v>
      </c>
      <c r="Q9">
        <f t="shared" ca="1" si="8"/>
        <v>0.2857142857142857</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Active</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68.476389410315164</v>
      </c>
      <c r="AB9">
        <f t="shared" ca="1" si="13"/>
        <v>57.906863694839728</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Mid</v>
      </c>
      <c r="AG9">
        <f ca="1">COUNTIFS('Match Log'!$D$4:$D$810,$A9,'Match Log'!$B$4:$B$810,"&gt;="&amp;$B$5)</f>
        <v>6</v>
      </c>
      <c r="AH9">
        <f ca="1">COUNTIFS('Match Log'!$D$4:$D$810,$A9,'Match Log'!$B$4:$B$810,"&gt;="&amp;$B$5,'Match Log'!$E$4:$E$810,"Win")</f>
        <v>2</v>
      </c>
      <c r="AI9">
        <f t="shared" ca="1" si="15"/>
        <v>1037.8197123720938</v>
      </c>
    </row>
    <row r="10" spans="1:35" ht="15" customHeight="1" x14ac:dyDescent="0.2">
      <c r="A10" t="s">
        <v>140</v>
      </c>
      <c r="B10">
        <f>IFERROR(INDEX(Engine!$B$2:$B$15,MATCH($A10,Engine!$A$2:$A$15,0)),1000)</f>
        <v>973.19705892757202</v>
      </c>
      <c r="C10">
        <f>IFERROR(INDEX(Engine!$C$2:$C$15,MATCH($A10,Engine!$A$2:$A$15,0)),"")</f>
        <v>1065.8571910355195</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1.1428571428571428</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66.464297758879866</v>
      </c>
      <c r="AB10">
        <f t="shared" ca="1" si="13"/>
        <v>41.134505765383871</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1081.0418943327236</v>
      </c>
      <c r="D11">
        <f t="shared" si="0"/>
        <v>5</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1063.3497487715442</v>
      </c>
      <c r="K11">
        <f t="shared" si="3"/>
        <v>3</v>
      </c>
      <c r="L11">
        <f t="shared" si="4"/>
        <v>-2</v>
      </c>
      <c r="M11">
        <f t="shared" si="5"/>
        <v>0</v>
      </c>
      <c r="N11">
        <f t="shared" si="6"/>
        <v>1</v>
      </c>
      <c r="O11">
        <f t="shared" si="7"/>
        <v>0</v>
      </c>
      <c r="P11">
        <f>IFERROR(SUMPRODUCT(MAX(('Match Log'!$D$4:$D$810=$A11)*'Match Log'!$B$4:$B$810)),0)</f>
        <v>46215</v>
      </c>
      <c r="Q11">
        <f t="shared" ca="1" si="8"/>
        <v>1</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70.260473583180897</v>
      </c>
      <c r="AB11">
        <f t="shared" ca="1" si="13"/>
        <v>64.42050172717957</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1159.2274869956852</v>
      </c>
      <c r="C12">
        <f>IFERROR(INDEX(Engine!$C$2:$C$15,MATCH($A12,Engine!$A$2:$A$15,0)),"")</f>
        <v>1058.5026158244339</v>
      </c>
      <c r="D12">
        <f t="shared" si="0"/>
        <v>2</v>
      </c>
      <c r="E12">
        <f t="shared" si="1"/>
        <v>82.475449329368075</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LLWLW</v>
      </c>
      <c r="J12">
        <f>IFERROR(LOOKUP(2,1/(('Match Log'!$D$4:$D$810=$A12)*('Match Log'!$B$4:$B$810&lt;=$B$3)),'Match Log'!$N$4:$N$810),1000)</f>
        <v>1124.7994137993414</v>
      </c>
      <c r="K12">
        <f t="shared" si="3"/>
        <v>2</v>
      </c>
      <c r="L12">
        <f t="shared" si="4"/>
        <v>0</v>
      </c>
      <c r="M12">
        <f t="shared" si="5"/>
        <v>5</v>
      </c>
      <c r="N12">
        <f t="shared" si="6"/>
        <v>2</v>
      </c>
      <c r="O12">
        <f t="shared" si="7"/>
        <v>1</v>
      </c>
      <c r="P12">
        <f>IFERROR(SUMPRODUCT(MAX(('Match Log'!$D$4:$D$810=$A12)*'Match Log'!$B$4:$B$810)),0)</f>
        <v>46220</v>
      </c>
      <c r="Q12">
        <f t="shared" ca="1" si="8"/>
        <v>0.2857142857142857</v>
      </c>
      <c r="R12">
        <f ca="1">IF($P12=0,0,IF($Q12&gt;='Guide &amp; Settings'!$C$48,(INT($Q12-'Guide &amp; Settings'!$C$48)+1)*'Guide &amp; Settings'!$C$49,0))</f>
        <v>0</v>
      </c>
      <c r="S12">
        <f ca="1">$B12-$R12-$U12+SUMIF('Poker Stake Ledger'!$C$18:$C$137,$A12,'Poker Stake Ledger'!$K$18:$K$137)</f>
        <v>1159.2274869956852</v>
      </c>
      <c r="T12" t="str">
        <f ca="1">IF($P12=0,"No games",IF($Q12&gt;='Guide &amp; Settings'!$C$48,"Inactive",IF($Q12&gt;='Guide &amp; Settings'!$C$47,"At risk","Active")))</f>
        <v>Active</v>
      </c>
      <c r="U12">
        <f>SUMIF('Match Log'!$D$4:$D$810,$A12,'Match Log'!$AC$4:$AC$810)</f>
        <v>0</v>
      </c>
      <c r="V12">
        <f t="shared" si="9"/>
        <v>0</v>
      </c>
      <c r="W12">
        <f t="shared" ca="1" si="10"/>
        <v>89.80687174892131</v>
      </c>
      <c r="X12">
        <f ca="1">IFERROR(INDEX(Dashboard!$G$5:$G$18,MATCH($A12,Dashboard!$B$5:$B$18,0))*100,0)</f>
        <v>46.913580246913575</v>
      </c>
      <c r="Y12">
        <f ca="1">MIN(100,IFERROR(INDEX(Dashboard!$K$5:$K$18,MATCH($A12,Dashboard!$B$5:$B$18,0)),0)/5*50+$AC12/4*50)</f>
        <v>100</v>
      </c>
      <c r="Z12">
        <f t="shared" si="11"/>
        <v>40</v>
      </c>
      <c r="AA12">
        <f t="shared" si="12"/>
        <v>64.625653956108465</v>
      </c>
      <c r="AB12">
        <f t="shared" ca="1" si="13"/>
        <v>73.277686557116027</v>
      </c>
      <c r="AC12">
        <f>IFERROR(SUMPRODUCT((INDEX('Sport Records'!$B$8:$O$26,0,MATCH($A12,'Sport Records'!$B$7:$O$7,0))&gt;=2)*(INDEX('Sport Records'!$B$58:$O$76,0,MATCH($A12,'Sport Records'!$B$57:$O$57,0))&gt;=0.5)),0)</f>
        <v>5</v>
      </c>
      <c r="AD12">
        <f ca="1">IFERROR(INDEX(Dashboard!$D$5:$D$18,MATCH($A12,Dashboard!$B$5:$B$18,0)),0)</f>
        <v>81</v>
      </c>
      <c r="AE12">
        <f ca="1">IFERROR(INDEX(Dashboard!$K$5:$K$18,MATCH($A12,Dashboard!$B$5:$B$18,0)),0)</f>
        <v>10</v>
      </c>
      <c r="AF12" t="str">
        <f t="shared" ca="1" si="14"/>
        <v>Elite</v>
      </c>
      <c r="AG12">
        <f ca="1">COUNTIFS('Match Log'!$D$4:$D$810,$A12,'Match Log'!$B$4:$B$810,"&gt;="&amp;$B$5)</f>
        <v>11</v>
      </c>
      <c r="AH12">
        <f ca="1">COUNTIFS('Match Log'!$D$4:$D$810,$A12,'Match Log'!$B$4:$B$810,"&gt;="&amp;$B$5,'Match Log'!$E$4:$E$810,"Win")</f>
        <v>5</v>
      </c>
      <c r="AI12">
        <f t="shared" ca="1" si="15"/>
        <v>1159.2274881956853</v>
      </c>
    </row>
    <row r="13" spans="1:35" ht="15" customHeight="1" x14ac:dyDescent="0.2">
      <c r="A13" t="s">
        <v>168</v>
      </c>
      <c r="B13">
        <f>IFERROR(INDEX(Engine!$B$2:$B$15,MATCH($A13,Engine!$A$2:$A$15,0)),1000)</f>
        <v>1051.594831345267</v>
      </c>
      <c r="C13">
        <f>IFERROR(INDEX(Engine!$C$2:$C$15,MATCH($A13,Engine!$A$2:$A$15,0)),"")</f>
        <v>1076.9466605673945</v>
      </c>
      <c r="D13">
        <f t="shared" si="0"/>
        <v>7</v>
      </c>
      <c r="E13">
        <f t="shared" si="1"/>
        <v>190.10810497978628</v>
      </c>
      <c r="F13" t="str">
        <f>IFERROR(LOOKUP(2,1/('Match Log'!$D$4:$D$810=$A13),'Match Log'!$E$4:$E$810),"")</f>
        <v>Loss</v>
      </c>
      <c r="G13">
        <f>IF($F13="",0,SUMPRODUCT(('Match Log'!$D$4:$D$810=$A13)*(ROW('Match Log'!$A$4:$A$810)&gt;SUMPRODUCT(MAX(('Match Log'!$D$4:$D$810=$A13)*('Match Log'!$E$4:$E$810&lt;&gt;$F13)*ROW('Match Log'!$A$4:$A$810))))))</f>
        <v>6</v>
      </c>
      <c r="H13" t="str">
        <f t="shared" si="2"/>
        <v>L6</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1060.3667074371201</v>
      </c>
      <c r="K13">
        <f t="shared" si="3"/>
        <v>5</v>
      </c>
      <c r="L13">
        <f t="shared" si="4"/>
        <v>-2</v>
      </c>
      <c r="M13">
        <f t="shared" si="5"/>
        <v>0</v>
      </c>
      <c r="N13">
        <f t="shared" si="6"/>
        <v>0</v>
      </c>
      <c r="O13">
        <f t="shared" si="7"/>
        <v>0</v>
      </c>
      <c r="P13">
        <f>IFERROR(SUMPRODUCT(MAX(('Match Log'!$D$4:$D$810=$A13)*'Match Log'!$B$4:$B$810)),0)</f>
        <v>46219</v>
      </c>
      <c r="Q13">
        <f t="shared" ca="1" si="8"/>
        <v>0.42857142857142855</v>
      </c>
      <c r="R13">
        <f ca="1">IF($P13=0,0,IF($Q13&gt;='Guide &amp; Settings'!$C$48,(INT($Q13-'Guide &amp; Settings'!$C$48)+1)*'Guide &amp; Settings'!$C$49,0))</f>
        <v>0</v>
      </c>
      <c r="S13">
        <f ca="1">$B13-$R13-$U13+SUMIF('Poker Stake Ledger'!$C$18:$C$137,$A13,'Poker Stake Ledger'!$K$18:$K$137)</f>
        <v>1051.594831345267</v>
      </c>
      <c r="T13" t="str">
        <f ca="1">IF($P13=0,"No games",IF($Q13&gt;='Guide &amp; Settings'!$C$48,"Inactive",IF($Q13&gt;='Guide &amp; Settings'!$C$47,"At risk","Active")))</f>
        <v>Active</v>
      </c>
      <c r="U13">
        <f>SUMIF('Match Log'!$D$4:$D$810,$A13,'Match Log'!$AC$4:$AC$810)</f>
        <v>0</v>
      </c>
      <c r="V13">
        <f t="shared" si="9"/>
        <v>6</v>
      </c>
      <c r="W13">
        <f t="shared" ca="1" si="10"/>
        <v>62.89870783631676</v>
      </c>
      <c r="X13">
        <f ca="1">IFERROR(INDEX(Dashboard!$G$5:$G$18,MATCH($A13,Dashboard!$B$5:$B$18,0))*100,0)</f>
        <v>50</v>
      </c>
      <c r="Y13">
        <f ca="1">MIN(100,IFERROR(INDEX(Dashboard!$K$5:$K$18,MATCH($A13,Dashboard!$B$5:$B$18,0)),0)/5*50+$AC13/4*50)</f>
        <v>95</v>
      </c>
      <c r="Z13">
        <f t="shared" si="11"/>
        <v>0</v>
      </c>
      <c r="AA13">
        <f t="shared" si="12"/>
        <v>69.236665141848619</v>
      </c>
      <c r="AB13">
        <f t="shared" ca="1" si="13"/>
        <v>57.938214256895719</v>
      </c>
      <c r="AC13">
        <f>IFERROR(SUMPRODUCT((INDEX('Sport Records'!$B$8:$O$26,0,MATCH($A13,'Sport Records'!$B$7:$O$7,0))&gt;=2)*(INDEX('Sport Records'!$B$58:$O$76,0,MATCH($A13,'Sport Records'!$B$57:$O$57,0))&gt;=0.5)),0)</f>
        <v>2</v>
      </c>
      <c r="AD13">
        <f ca="1">IFERROR(INDEX(Dashboard!$D$5:$D$18,MATCH($A13,Dashboard!$B$5:$B$18,0)),0)</f>
        <v>20</v>
      </c>
      <c r="AE13">
        <f ca="1">IFERROR(INDEX(Dashboard!$K$5:$K$18,MATCH($A13,Dashboard!$B$5:$B$18,0)),0)</f>
        <v>7</v>
      </c>
      <c r="AF13" t="str">
        <f t="shared" ca="1" si="14"/>
        <v>Mid</v>
      </c>
      <c r="AG13">
        <f ca="1">COUNTIFS('Match Log'!$D$4:$D$810,$A13,'Match Log'!$B$4:$B$810,"&gt;="&amp;$B$5)</f>
        <v>3</v>
      </c>
      <c r="AH13">
        <f ca="1">COUNTIFS('Match Log'!$D$4:$D$810,$A13,'Match Log'!$B$4:$B$810,"&gt;="&amp;$B$5,'Match Log'!$E$4:$E$810,"Win")</f>
        <v>0</v>
      </c>
      <c r="AI13">
        <f t="shared" ca="1" si="15"/>
        <v>1051.5948326452669</v>
      </c>
    </row>
    <row r="14" spans="1:35" ht="15" customHeight="1" x14ac:dyDescent="0.2">
      <c r="A14" t="s">
        <v>170</v>
      </c>
      <c r="B14">
        <f>IFERROR(INDEX(Engine!$B$2:$B$15,MATCH($A14,Engine!$A$2:$A$15,0)),1000)</f>
        <v>1052.3192050222167</v>
      </c>
      <c r="C14">
        <f>IFERROR(INDEX(Engine!$C$2:$C$15,MATCH($A14,Engine!$A$2:$A$15,0)),"")</f>
        <v>1103.6049209620533</v>
      </c>
      <c r="D14">
        <f t="shared" si="0"/>
        <v>6</v>
      </c>
      <c r="E14">
        <f t="shared" si="1"/>
        <v>189.38373130283662</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WLWWL</v>
      </c>
      <c r="J14">
        <f>IFERROR(LOOKUP(2,1/(('Match Log'!$D$4:$D$810=$A14)*('Match Log'!$B$4:$B$810&lt;=$B$3)),'Match Log'!$N$4:$N$810),1000)</f>
        <v>1029.4526731850108</v>
      </c>
      <c r="K14">
        <f t="shared" si="3"/>
        <v>10</v>
      </c>
      <c r="L14">
        <f t="shared" si="4"/>
        <v>4</v>
      </c>
      <c r="M14">
        <f t="shared" si="5"/>
        <v>4</v>
      </c>
      <c r="N14">
        <f t="shared" si="6"/>
        <v>3</v>
      </c>
      <c r="O14">
        <f t="shared" si="7"/>
        <v>0</v>
      </c>
      <c r="P14">
        <f>IFERROR(SUMPRODUCT(MAX(('Match Log'!$D$4:$D$810=$A14)*'Match Log'!$B$4:$B$810)),0)</f>
        <v>46222</v>
      </c>
      <c r="Q14">
        <f t="shared" ca="1" si="8"/>
        <v>0</v>
      </c>
      <c r="R14">
        <f ca="1">IF($P14=0,0,IF($Q14&gt;='Guide &amp; Settings'!$C$48,(INT($Q14-'Guide &amp; Settings'!$C$48)+1)*'Guide &amp; Settings'!$C$49,0))</f>
        <v>0</v>
      </c>
      <c r="S14">
        <f ca="1">$B14-$R14-$U14+SUMIF('Poker Stake Ledger'!$C$18:$C$137,$A14,'Poker Stake Ledger'!$K$18:$K$137)</f>
        <v>1052.3192050222167</v>
      </c>
      <c r="T14" t="str">
        <f ca="1">IF($P14=0,"No games",IF($Q14&gt;='Guide &amp; Settings'!$C$48,"Inactive",IF($Q14&gt;='Guide &amp; Settings'!$C$47,"At risk","Active")))</f>
        <v>Active</v>
      </c>
      <c r="U14">
        <f>SUMIF('Match Log'!$D$4:$D$810,$A14,'Match Log'!$AC$4:$AC$810)</f>
        <v>0</v>
      </c>
      <c r="V14">
        <f t="shared" si="9"/>
        <v>1</v>
      </c>
      <c r="W14">
        <f t="shared" ca="1" si="10"/>
        <v>63.079801255554173</v>
      </c>
      <c r="X14">
        <f ca="1">IFERROR(INDEX(Dashboard!$G$5:$G$18,MATCH($A14,Dashboard!$B$5:$B$18,0))*100,0)</f>
        <v>44.776119402985074</v>
      </c>
      <c r="Y14">
        <f ca="1">MIN(100,IFERROR(INDEX(Dashboard!$K$5:$K$18,MATCH($A14,Dashboard!$B$5:$B$18,0)),0)/5*50+$AC14/4*50)</f>
        <v>100</v>
      </c>
      <c r="Z14">
        <f t="shared" si="11"/>
        <v>60</v>
      </c>
      <c r="AA14">
        <f t="shared" si="12"/>
        <v>75.901230240513314</v>
      </c>
      <c r="AB14">
        <f t="shared" ca="1" si="13"/>
        <v>67.623277344092315</v>
      </c>
      <c r="AC14">
        <f>IFERROR(SUMPRODUCT((INDEX('Sport Records'!$B$8:$O$26,0,MATCH($A14,'Sport Records'!$B$7:$O$7,0))&gt;=2)*(INDEX('Sport Records'!$B$58:$O$76,0,MATCH($A14,'Sport Records'!$B$57:$O$57,0))&gt;=0.5)),0)</f>
        <v>5</v>
      </c>
      <c r="AD14">
        <f ca="1">IFERROR(INDEX(Dashboard!$D$5:$D$18,MATCH($A14,Dashboard!$B$5:$B$18,0)),0)</f>
        <v>67</v>
      </c>
      <c r="AE14">
        <f ca="1">IFERROR(INDEX(Dashboard!$K$5:$K$18,MATCH($A14,Dashboard!$B$5:$B$18,0)),0)</f>
        <v>14</v>
      </c>
      <c r="AF14" t="str">
        <f t="shared" ca="1" si="14"/>
        <v>Strong</v>
      </c>
      <c r="AG14">
        <f ca="1">COUNTIFS('Match Log'!$D$4:$D$810,$A14,'Match Log'!$B$4:$B$810,"&gt;="&amp;$B$5)</f>
        <v>15</v>
      </c>
      <c r="AH14">
        <f ca="1">COUNTIFS('Match Log'!$D$4:$D$810,$A14,'Match Log'!$B$4:$B$810,"&gt;="&amp;$B$5,'Match Log'!$E$4:$E$810,"Win")</f>
        <v>7</v>
      </c>
      <c r="AI14">
        <f t="shared" ca="1" si="15"/>
        <v>1052.3192064222167</v>
      </c>
    </row>
    <row r="15" spans="1:35" ht="15" customHeight="1" x14ac:dyDescent="0.2">
      <c r="A15" t="s">
        <v>167</v>
      </c>
      <c r="B15">
        <f>IFERROR(INDEX(Engine!$B$2:$B$15,MATCH($A15,Engine!$A$2:$A$15,0)),1000)</f>
        <v>1241.7029363250533</v>
      </c>
      <c r="C15">
        <f>IFERROR(INDEX(Engine!$C$2:$C$15,MATCH($A15,Engine!$A$2:$A$15,0)),"")</f>
        <v>1056.2309858796998</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1</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64.05774646992495</v>
      </c>
      <c r="AB15">
        <f t="shared" ca="1" si="13"/>
        <v>84.69887809526837</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862.22294373677494</v>
      </c>
      <c r="C16">
        <f>IFERROR(INDEX(Engine!$C$2:$C$15,MATCH($A16,Engine!$A$2:$A$15,0)),"")</f>
        <v>1063.4141596906782</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893.15761519837804</v>
      </c>
      <c r="K16">
        <f t="shared" si="3"/>
        <v>14</v>
      </c>
      <c r="L16">
        <f t="shared" si="4"/>
        <v>0</v>
      </c>
      <c r="M16">
        <f t="shared" si="5"/>
        <v>1</v>
      </c>
      <c r="N16">
        <f t="shared" si="6"/>
        <v>0</v>
      </c>
      <c r="O16">
        <f t="shared" si="7"/>
        <v>0</v>
      </c>
      <c r="P16">
        <f>IFERROR(SUMPRODUCT(MAX(('Match Log'!$D$4:$D$810=$A16)*'Match Log'!$B$4:$B$810)),0)</f>
        <v>46222</v>
      </c>
      <c r="Q16">
        <f t="shared" ca="1" si="8"/>
        <v>0</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Active</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65.85353992266954</v>
      </c>
      <c r="AB16">
        <f t="shared" ca="1" si="13"/>
        <v>20.696528235901425</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2</v>
      </c>
      <c r="AH16">
        <f ca="1">COUNTIFS('Match Log'!$D$4:$D$810,$A16,'Match Log'!$B$4:$B$810,"&gt;="&amp;$B$5,'Match Log'!$E$4:$E$810,"Win")</f>
        <v>0</v>
      </c>
      <c r="AI16">
        <f t="shared" ca="1" si="15"/>
        <v>862.22294533677496</v>
      </c>
    </row>
    <row r="17" spans="1:35" ht="15" customHeight="1" x14ac:dyDescent="0.2">
      <c r="A17" t="s">
        <v>169</v>
      </c>
      <c r="B17">
        <f>IFERROR(INDEX(Engine!$B$2:$B$15,MATCH($A17,Engine!$A$2:$A$15,0)),1000)</f>
        <v>1115.8211932271754</v>
      </c>
      <c r="C17">
        <f>IFERROR(INDEX(Engine!$C$2:$C$15,MATCH($A17,Engine!$A$2:$A$15,0)),"")</f>
        <v>1087.721010363641</v>
      </c>
      <c r="D17">
        <f t="shared" si="0"/>
        <v>3</v>
      </c>
      <c r="E17">
        <f t="shared" si="1"/>
        <v>125.88174309787792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WWLWL</v>
      </c>
      <c r="J17">
        <f>IFERROR(LOOKUP(2,1/(('Match Log'!$D$4:$D$810=$A17)*('Match Log'!$B$4:$B$810&lt;=$B$3)),'Match Log'!$N$4:$N$810),1000)</f>
        <v>1062.8275894279936</v>
      </c>
      <c r="K17">
        <f t="shared" si="3"/>
        <v>4</v>
      </c>
      <c r="L17">
        <f t="shared" si="4"/>
        <v>1</v>
      </c>
      <c r="M17">
        <f t="shared" si="5"/>
        <v>4</v>
      </c>
      <c r="N17">
        <f t="shared" si="6"/>
        <v>3</v>
      </c>
      <c r="O17">
        <f t="shared" si="7"/>
        <v>0</v>
      </c>
      <c r="P17">
        <f>IFERROR(SUMPRODUCT(MAX(('Match Log'!$D$4:$D$810=$A17)*'Match Log'!$B$4:$B$810)),0)</f>
        <v>46220</v>
      </c>
      <c r="Q17">
        <f t="shared" ca="1" si="8"/>
        <v>0.2857142857142857</v>
      </c>
      <c r="R17">
        <f ca="1">IF($P17=0,0,IF($Q17&gt;='Guide &amp; Settings'!$C$48,(INT($Q17-'Guide &amp; Settings'!$C$48)+1)*'Guide &amp; Settings'!$C$49,0))</f>
        <v>0</v>
      </c>
      <c r="S17">
        <f ca="1">$B17-$R17-$U17+SUMIF('Poker Stake Ledger'!$C$18:$C$137,$A17,'Poker Stake Ledger'!$K$18:$K$137)</f>
        <v>1115.8211932271754</v>
      </c>
      <c r="T17" t="str">
        <f ca="1">IF($P17=0,"No games",IF($Q17&gt;='Guide &amp; Settings'!$C$48,"Inactive",IF($Q17&gt;='Guide &amp; Settings'!$C$47,"At risk","Active")))</f>
        <v>Active</v>
      </c>
      <c r="U17">
        <f>SUMIF('Match Log'!$D$4:$D$810,$A17,'Match Log'!$AC$4:$AC$810)</f>
        <v>0</v>
      </c>
      <c r="V17">
        <f t="shared" si="9"/>
        <v>1</v>
      </c>
      <c r="W17">
        <f t="shared" ca="1" si="10"/>
        <v>78.95529830679385</v>
      </c>
      <c r="X17">
        <f ca="1">IFERROR(INDEX(Dashboard!$G$5:$G$18,MATCH($A17,Dashboard!$B$5:$B$18,0))*100,0)</f>
        <v>46.296296296296298</v>
      </c>
      <c r="Y17">
        <f ca="1">MIN(100,IFERROR(INDEX(Dashboard!$K$5:$K$18,MATCH($A17,Dashboard!$B$5:$B$18,0)),0)/5*50+$AC17/4*50)</f>
        <v>100</v>
      </c>
      <c r="Z17">
        <f t="shared" si="11"/>
        <v>60</v>
      </c>
      <c r="AA17">
        <f t="shared" si="12"/>
        <v>71.930252590910243</v>
      </c>
      <c r="AB17">
        <f t="shared" ca="1" si="13"/>
        <v>73.086638925728138</v>
      </c>
      <c r="AC17">
        <f>IFERROR(SUMPRODUCT((INDEX('Sport Records'!$B$8:$O$26,0,MATCH($A17,'Sport Records'!$B$7:$O$7,0))&gt;=2)*(INDEX('Sport Records'!$B$58:$O$76,0,MATCH($A17,'Sport Records'!$B$57:$O$57,0))&gt;=0.5)),0)</f>
        <v>2</v>
      </c>
      <c r="AD17">
        <f ca="1">IFERROR(INDEX(Dashboard!$D$5:$D$18,MATCH($A17,Dashboard!$B$5:$B$18,0)),0)</f>
        <v>54</v>
      </c>
      <c r="AE17">
        <f ca="1">IFERROR(INDEX(Dashboard!$K$5:$K$18,MATCH($A17,Dashboard!$B$5:$B$18,0)),0)</f>
        <v>9</v>
      </c>
      <c r="AF17" t="str">
        <f t="shared" ca="1" si="14"/>
        <v>Elite</v>
      </c>
      <c r="AG17">
        <f ca="1">COUNTIFS('Match Log'!$D$4:$D$810,$A17,'Match Log'!$B$4:$B$810,"&gt;="&amp;$B$5)</f>
        <v>10</v>
      </c>
      <c r="AH17">
        <f ca="1">COUNTIFS('Match Log'!$D$4:$D$810,$A17,'Match Log'!$B$4:$B$810,"&gt;="&amp;$B$5,'Match Log'!$E$4:$E$810,"Win")</f>
        <v>5</v>
      </c>
      <c r="AI17">
        <f t="shared" ca="1" si="15"/>
        <v>1115.8211949271754</v>
      </c>
    </row>
    <row r="18" spans="1:35" ht="15" customHeight="1" x14ac:dyDescent="0.2">
      <c r="A18" t="s">
        <v>171</v>
      </c>
      <c r="B18">
        <f>IFERROR(INDEX(Engine!$B$2:$B$15,MATCH($A18,Engine!$A$2:$A$15,0)),1000)</f>
        <v>1012.1303999492304</v>
      </c>
      <c r="C18">
        <f>IFERROR(INDEX(Engine!$C$2:$C$15,MATCH($A18,Engine!$A$2:$A$15,0)),"")</f>
        <v>1053.4004770780605</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1009.152401464836</v>
      </c>
      <c r="K18">
        <f t="shared" si="3"/>
        <v>11</v>
      </c>
      <c r="L18">
        <f t="shared" si="4"/>
        <v>1</v>
      </c>
      <c r="M18">
        <f t="shared" si="5"/>
        <v>1</v>
      </c>
      <c r="N18">
        <f t="shared" si="6"/>
        <v>2</v>
      </c>
      <c r="O18">
        <f t="shared" si="7"/>
        <v>1</v>
      </c>
      <c r="P18">
        <f>IFERROR(SUMPRODUCT(MAX(('Match Log'!$D$4:$D$810=$A18)*'Match Log'!$B$4:$B$810)),0)</f>
        <v>46222</v>
      </c>
      <c r="Q18">
        <f t="shared" ca="1" si="8"/>
        <v>0</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Active</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63.350119269515119</v>
      </c>
      <c r="AB18">
        <f t="shared" ca="1" si="13"/>
        <v>47.396421922509177</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4</v>
      </c>
      <c r="AH18">
        <f ca="1">COUNTIFS('Match Log'!$D$4:$D$810,$A18,'Match Log'!$B$4:$B$810,"&gt;="&amp;$B$5,'Match Log'!$E$4:$E$810,"Win")</f>
        <v>2</v>
      </c>
      <c r="AI18">
        <f t="shared" ca="1" si="15"/>
        <v>1012.1304017492304</v>
      </c>
    </row>
    <row r="19" spans="1:35" ht="15" customHeight="1" x14ac:dyDescent="0.2">
      <c r="A19" t="s">
        <v>172</v>
      </c>
      <c r="B19">
        <f>IFERROR(INDEX(Engine!$B$2:$B$15,MATCH($A19,Engine!$A$2:$A$15,0)),1000)</f>
        <v>1080.3830919749923</v>
      </c>
      <c r="C19">
        <f>IFERROR(INDEX(Engine!$C$2:$C$15,MATCH($A19,Engine!$A$2:$A$15,0)),"")</f>
        <v>1051.7791974074785</v>
      </c>
      <c r="D19">
        <f t="shared" si="0"/>
        <v>4</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1052.4264189977837</v>
      </c>
      <c r="K19">
        <f t="shared" si="3"/>
        <v>6</v>
      </c>
      <c r="L19">
        <f t="shared" si="4"/>
        <v>2</v>
      </c>
      <c r="M19">
        <f t="shared" si="5"/>
        <v>0</v>
      </c>
      <c r="N19">
        <f t="shared" si="6"/>
        <v>4</v>
      </c>
      <c r="O19">
        <f t="shared" si="7"/>
        <v>2</v>
      </c>
      <c r="P19">
        <f>IFERROR(SUMPRODUCT(MAX(('Match Log'!$D$4:$D$810=$A19)*'Match Log'!$B$4:$B$810)),0)</f>
        <v>46222</v>
      </c>
      <c r="Q19">
        <f t="shared" ca="1" si="8"/>
        <v>0</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Active</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62.944799351869619</v>
      </c>
      <c r="AB19">
        <f t="shared" ca="1" si="13"/>
        <v>67.161333816332117</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4</v>
      </c>
      <c r="AH19">
        <f ca="1">COUNTIFS('Match Log'!$D$4:$D$810,$A19,'Match Log'!$B$4:$B$810,"&gt;="&amp;$B$5,'Match Log'!$E$4:$E$810,"Win")</f>
        <v>3</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f t="shared" ca="1" si="30"/>
        <v>-0.12015900000000011</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f t="shared" ca="1" si="30"/>
        <v>0.23060923076923084</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f t="shared" ca="1" si="30"/>
        <v>-5.3966020942407874E-3</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f t="shared" ca="1" si="30"/>
        <v>-0.125162</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f t="shared" ca="1" si="30"/>
        <v>-0.20016299999999995</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f t="shared" ca="1" si="30"/>
        <v>-0.33349733333333326</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f t="shared" ca="1" si="30"/>
        <v>-0.42873642857142863</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f t="shared" ca="1" si="30"/>
        <v>-0.71445171428571441</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f t="shared" ca="1" si="30"/>
        <v>-0.75016700000000003</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f t="shared" ca="1" si="30"/>
        <v>-0.77794577777777763</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f t="shared" ca="1" si="30"/>
        <v>-9.7729975609756187E-2</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f t="shared" ca="1" si="30"/>
        <v>0.38444538461538458</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f t="shared" ca="1" si="30"/>
        <v>-0.16539911344019717</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f t="shared" ca="1" si="30"/>
        <v>0.49982799999999999</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f t="shared" ca="1" si="30"/>
        <v>-0.33350633333333324</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f t="shared" ca="1" si="30"/>
        <v>-0.40017399999999992</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f t="shared" ca="1" si="30"/>
        <v>0.45437045454545461</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f t="shared" ca="1" si="30"/>
        <v>-1.76E-4</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f t="shared" ca="1" si="30"/>
        <v>0.33315633333333339</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f t="shared" ca="1" si="30"/>
        <v>-1.7799999999999999E-4</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f t="shared" ca="1" si="30"/>
        <v>-0.28589328571428557</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f t="shared" ca="1" si="30"/>
        <v>-0.23094923076923085</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1010.7137957188797</v>
      </c>
      <c r="C2">
        <f>IFERROR(SUMPRODUCT(INDEX('Head-to-Head'!$B$22:$O$35,1,0),$D$2:$Q$2)/SUM(INDEX('Head-to-Head'!$B$22:$O$35,1,0)),"")</f>
        <v>1097.2493288384137</v>
      </c>
      <c r="D2">
        <f>$B$2</f>
        <v>1010.7137957188797</v>
      </c>
      <c r="E2">
        <f>$B$3</f>
        <v>1029.5175965335138</v>
      </c>
      <c r="F2">
        <f>$B$4</f>
        <v>1037.8197114720938</v>
      </c>
      <c r="G2">
        <f>$B$5</f>
        <v>973.19705892757202</v>
      </c>
      <c r="H2">
        <f>$B$6</f>
        <v>1063.3497487715442</v>
      </c>
      <c r="I2">
        <f>$B$7</f>
        <v>1159.2274869956852</v>
      </c>
      <c r="J2">
        <f>$B$8</f>
        <v>1051.594831345267</v>
      </c>
      <c r="K2">
        <f>$B$9</f>
        <v>1052.3192050222167</v>
      </c>
      <c r="L2">
        <f>$B$10</f>
        <v>1241.7029363250533</v>
      </c>
      <c r="M2">
        <f>$B$11</f>
        <v>862.22294373677494</v>
      </c>
      <c r="N2">
        <f>$B$12</f>
        <v>1115.8211932271754</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1072.7390056793181</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1073.9055576412607</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1065.8571910355195</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1081.0418943327236</v>
      </c>
    </row>
    <row r="7" spans="1:17" ht="15" customHeight="1" x14ac:dyDescent="0.2">
      <c r="A7" t="s">
        <v>134</v>
      </c>
      <c r="B7">
        <f>IF(COUNTIF('Match Log'!$D$4:$D$810,$A7)=0,'Guide &amp; Settings'!$C$41,IFERROR(LOOKUP(2,1/('Match Log'!$D$4:$D$810=$A7),'Match Log'!$N$4:$N$810),'Guide &amp; Settings'!$C$41))</f>
        <v>1159.2274869956852</v>
      </c>
      <c r="C7">
        <f>IFERROR(SUMPRODUCT(INDEX('Head-to-Head'!$B$22:$O$35,6,0),$D$2:$Q$2)/SUM(INDEX('Head-to-Head'!$B$22:$O$35,6,0)),"")</f>
        <v>1058.5026158244339</v>
      </c>
    </row>
    <row r="8" spans="1:17" ht="15" customHeight="1" x14ac:dyDescent="0.2">
      <c r="A8" t="s">
        <v>168</v>
      </c>
      <c r="B8">
        <f>IF(COUNTIF('Match Log'!$D$4:$D$810,$A8)=0,'Guide &amp; Settings'!$C$41,IFERROR(LOOKUP(2,1/('Match Log'!$D$4:$D$810=$A8),'Match Log'!$N$4:$N$810),'Guide &amp; Settings'!$C$41))</f>
        <v>1051.594831345267</v>
      </c>
      <c r="C8">
        <f>IFERROR(SUMPRODUCT(INDEX('Head-to-Head'!$B$22:$O$35,7,0),$D$2:$Q$2)/SUM(INDEX('Head-to-Head'!$B$22:$O$35,7,0)),"")</f>
        <v>1076.9466605673945</v>
      </c>
    </row>
    <row r="9" spans="1:17" ht="15" customHeight="1" x14ac:dyDescent="0.2">
      <c r="A9" t="s">
        <v>170</v>
      </c>
      <c r="B9">
        <f>IF(COUNTIF('Match Log'!$D$4:$D$810,$A9)=0,'Guide &amp; Settings'!$C$41,IFERROR(LOOKUP(2,1/('Match Log'!$D$4:$D$810=$A9),'Match Log'!$N$4:$N$810),'Guide &amp; Settings'!$C$41))</f>
        <v>1052.3192050222167</v>
      </c>
      <c r="C9">
        <f>IFERROR(SUMPRODUCT(INDEX('Head-to-Head'!$B$22:$O$35,8,0),$D$2:$Q$2)/SUM(INDEX('Head-to-Head'!$B$22:$O$35,8,0)),"")</f>
        <v>1103.6049209620533</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1056.2309858796998</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1063.4141596906782</v>
      </c>
    </row>
    <row r="12" spans="1:17" ht="15" customHeight="1" x14ac:dyDescent="0.2">
      <c r="A12" t="s">
        <v>169</v>
      </c>
      <c r="B12">
        <f>IF(COUNTIF('Match Log'!$D$4:$D$810,$A12)=0,'Guide &amp; Settings'!$C$41,IFERROR(LOOKUP(2,1/('Match Log'!$D$4:$D$810=$A12),'Match Log'!$N$4:$N$810),'Guide &amp; Settings'!$C$41))</f>
        <v>1115.8211932271754</v>
      </c>
      <c r="C12">
        <f>IFERROR(SUMPRODUCT(INDEX('Head-to-Head'!$B$22:$O$35,11,0),$D$2:$Q$2)/SUM(INDEX('Head-to-Head'!$B$22:$O$35,11,0)),"")</f>
        <v>1087.721010363641</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1053.4004770780605</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1051.7791974074785</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2026-07-19T08:46:24Z</dcterms:modified>
  <dc:language>en-US</dc:language>
</cp:coreProperties>
</file>