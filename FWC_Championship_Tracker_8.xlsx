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5D53CFF8-4D3F-D64D-B2EF-FEF70837079D}"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71" i="10" l="1" a="1"/>
  <c r="AC671" i="10" s="1"/>
  <c r="AC672" i="10" a="1"/>
  <c r="AC672" i="10" s="1"/>
  <c r="F660" i="10"/>
  <c r="G660" i="10"/>
  <c r="O660" i="10"/>
  <c r="R660" i="10"/>
  <c r="T660" i="10"/>
  <c r="F661" i="10"/>
  <c r="L661" i="10" s="1"/>
  <c r="G661" i="10"/>
  <c r="O661" i="10"/>
  <c r="R661" i="10"/>
  <c r="T661" i="10"/>
  <c r="AC661" i="10" a="1"/>
  <c r="AC661"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D314" i="13" a="1"/>
  <c r="D314" i="13" s="1"/>
  <c r="C314" i="13"/>
  <c r="B314" i="13"/>
  <c r="X313" i="13"/>
  <c r="E313" i="13"/>
  <c r="H313" i="13" s="1" a="1"/>
  <c r="H313" i="13" s="1"/>
  <c r="D313" i="13" a="1"/>
  <c r="D313" i="13" s="1"/>
  <c r="C313" i="13"/>
  <c r="B313" i="13"/>
  <c r="X312" i="13"/>
  <c r="E312" i="13"/>
  <c r="H312" i="13" s="1" a="1"/>
  <c r="H312" i="13" s="1"/>
  <c r="D312" i="13" a="1"/>
  <c r="D312" i="13" s="1"/>
  <c r="C312" i="13"/>
  <c r="B312" i="13"/>
  <c r="X311" i="13"/>
  <c r="D311" i="13" a="1"/>
  <c r="D311" i="13" s="1"/>
  <c r="C311" i="13"/>
  <c r="B311" i="13"/>
  <c r="X310" i="13"/>
  <c r="D310" i="13" a="1"/>
  <c r="D310" i="13" s="1"/>
  <c r="C310" i="13"/>
  <c r="B310" i="13"/>
  <c r="X309" i="13"/>
  <c r="D309" i="13" a="1"/>
  <c r="D309" i="13" s="1"/>
  <c r="C309" i="13"/>
  <c r="B309" i="13"/>
  <c r="X308" i="13"/>
  <c r="D308" i="13" a="1"/>
  <c r="D308" i="13" s="1"/>
  <c r="C308" i="13"/>
  <c r="B308" i="13"/>
  <c r="X307" i="13"/>
  <c r="D307" i="13" a="1"/>
  <c r="D307" i="13" s="1"/>
  <c r="C307" i="13"/>
  <c r="B307" i="13"/>
  <c r="X306" i="13"/>
  <c r="D306" i="13" a="1"/>
  <c r="D306" i="13" s="1"/>
  <c r="C306" i="13"/>
  <c r="B306" i="13"/>
  <c r="X305" i="13"/>
  <c r="D305" i="13" a="1"/>
  <c r="D305" i="13" s="1"/>
  <c r="C305" i="13"/>
  <c r="B305" i="13"/>
  <c r="X304" i="13"/>
  <c r="D304" i="13" a="1"/>
  <c r="D304" i="13" s="1"/>
  <c r="C304" i="13"/>
  <c r="B304" i="13"/>
  <c r="X303" i="13"/>
  <c r="D303" i="13" a="1"/>
  <c r="D303" i="13" s="1"/>
  <c r="C303" i="13"/>
  <c r="B303" i="13"/>
  <c r="X302" i="13"/>
  <c r="D302" i="13" a="1"/>
  <c r="D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T688" i="10"/>
  <c r="R688" i="10"/>
  <c r="O688" i="10"/>
  <c r="G688" i="10"/>
  <c r="F688" i="10"/>
  <c r="L688" i="10" s="1"/>
  <c r="T687" i="10"/>
  <c r="R687" i="10"/>
  <c r="O687" i="10"/>
  <c r="G687" i="10"/>
  <c r="F687" i="10"/>
  <c r="E314" i="13" s="1"/>
  <c r="H314" i="13" s="1" a="1"/>
  <c r="H314" i="13" s="1"/>
  <c r="T686" i="10"/>
  <c r="R686" i="10"/>
  <c r="O686" i="10"/>
  <c r="L686" i="10"/>
  <c r="G686" i="10"/>
  <c r="F686" i="10"/>
  <c r="T685" i="10"/>
  <c r="R685" i="10"/>
  <c r="O685" i="10"/>
  <c r="L685" i="10"/>
  <c r="G685" i="10"/>
  <c r="F685" i="10"/>
  <c r="T684" i="10"/>
  <c r="R684" i="10"/>
  <c r="O684" i="10"/>
  <c r="L684" i="10"/>
  <c r="G684" i="10"/>
  <c r="F684" i="10"/>
  <c r="T683" i="10"/>
  <c r="R683" i="10"/>
  <c r="O683" i="10"/>
  <c r="L683" i="10"/>
  <c r="G683" i="10"/>
  <c r="F683" i="10"/>
  <c r="T682" i="10"/>
  <c r="R682" i="10"/>
  <c r="O682" i="10"/>
  <c r="L682" i="10"/>
  <c r="G682" i="10"/>
  <c r="F682" i="10"/>
  <c r="T681" i="10"/>
  <c r="R681" i="10"/>
  <c r="O681" i="10"/>
  <c r="L681" i="10"/>
  <c r="G681" i="10"/>
  <c r="F681" i="10"/>
  <c r="E311" i="13" s="1"/>
  <c r="H311" i="13" s="1" a="1"/>
  <c r="H311" i="13" s="1"/>
  <c r="T680" i="10"/>
  <c r="R680" i="10"/>
  <c r="O680" i="10"/>
  <c r="G680" i="10"/>
  <c r="F680" i="10"/>
  <c r="L680" i="10" s="1"/>
  <c r="T679" i="10"/>
  <c r="R679" i="10"/>
  <c r="O679" i="10"/>
  <c r="G679" i="10"/>
  <c r="F679" i="10"/>
  <c r="E310" i="13" s="1"/>
  <c r="H310" i="13" s="1" a="1"/>
  <c r="H310" i="13" s="1"/>
  <c r="T678" i="10"/>
  <c r="R678" i="10"/>
  <c r="O678" i="10"/>
  <c r="L678" i="10"/>
  <c r="G678" i="10"/>
  <c r="F678" i="10"/>
  <c r="T677" i="10"/>
  <c r="R677" i="10"/>
  <c r="O677" i="10"/>
  <c r="L677" i="10"/>
  <c r="G677" i="10"/>
  <c r="F677" i="10"/>
  <c r="E309" i="13" s="1"/>
  <c r="H309" i="13" s="1" a="1"/>
  <c r="H309" i="13" s="1"/>
  <c r="T676" i="10"/>
  <c r="R676" i="10"/>
  <c r="O676" i="10"/>
  <c r="G676" i="10"/>
  <c r="F676" i="10"/>
  <c r="L676" i="10" s="1"/>
  <c r="T675" i="10"/>
  <c r="R675" i="10"/>
  <c r="O675" i="10"/>
  <c r="G675" i="10"/>
  <c r="F675" i="10"/>
  <c r="L675" i="10" s="1"/>
  <c r="T674" i="10"/>
  <c r="R674" i="10"/>
  <c r="O674" i="10"/>
  <c r="G674" i="10"/>
  <c r="F674" i="10"/>
  <c r="L674" i="10" s="1"/>
  <c r="T673" i="10"/>
  <c r="R673" i="10"/>
  <c r="O673" i="10"/>
  <c r="G673" i="10"/>
  <c r="F673" i="10"/>
  <c r="L673" i="10" s="1"/>
  <c r="T672" i="10"/>
  <c r="R672" i="10"/>
  <c r="O672" i="10"/>
  <c r="G672" i="10"/>
  <c r="F672" i="10"/>
  <c r="L672" i="10" s="1"/>
  <c r="T671" i="10"/>
  <c r="R671" i="10"/>
  <c r="O671" i="10"/>
  <c r="G671" i="10"/>
  <c r="F671" i="10"/>
  <c r="L671" i="10" s="1"/>
  <c r="T670" i="10"/>
  <c r="R670" i="10"/>
  <c r="O670" i="10"/>
  <c r="G670" i="10"/>
  <c r="F670" i="10"/>
  <c r="L670" i="10" s="1"/>
  <c r="T669" i="10"/>
  <c r="R669" i="10"/>
  <c r="O669" i="10"/>
  <c r="G669" i="10"/>
  <c r="F669" i="10"/>
  <c r="E306" i="13" s="1"/>
  <c r="H306" i="13" s="1" a="1"/>
  <c r="H306" i="13" s="1"/>
  <c r="T668" i="10"/>
  <c r="R668" i="10"/>
  <c r="O668" i="10"/>
  <c r="G668" i="10"/>
  <c r="F668" i="10"/>
  <c r="L668" i="10" s="1"/>
  <c r="T667" i="10"/>
  <c r="R667" i="10"/>
  <c r="O667" i="10"/>
  <c r="G667" i="10"/>
  <c r="F667" i="10"/>
  <c r="L667" i="10" s="1"/>
  <c r="T666" i="10"/>
  <c r="R666" i="10"/>
  <c r="O666" i="10"/>
  <c r="G666" i="10"/>
  <c r="F666" i="10"/>
  <c r="T665" i="10"/>
  <c r="R665" i="10"/>
  <c r="O665" i="10"/>
  <c r="G665" i="10"/>
  <c r="F665" i="10"/>
  <c r="L665" i="10" s="1"/>
  <c r="T664" i="10"/>
  <c r="R664" i="10"/>
  <c r="O664" i="10"/>
  <c r="G664" i="10"/>
  <c r="F664" i="10"/>
  <c r="L664" i="10" s="1"/>
  <c r="T663" i="10"/>
  <c r="R663" i="10"/>
  <c r="O663" i="10"/>
  <c r="G663" i="10"/>
  <c r="F663" i="10"/>
  <c r="E304" i="13" s="1"/>
  <c r="H304" i="13" s="1" a="1"/>
  <c r="H304" i="13" s="1"/>
  <c r="T662" i="10"/>
  <c r="R662" i="10"/>
  <c r="O662" i="10"/>
  <c r="G662" i="10"/>
  <c r="F662" i="10"/>
  <c r="L662" i="10" s="1"/>
  <c r="E303" i="13"/>
  <c r="H303" i="13" s="1" a="1"/>
  <c r="H303" i="13" s="1"/>
  <c r="U659" i="10"/>
  <c r="T659" i="10"/>
  <c r="R659" i="10"/>
  <c r="O659" i="10"/>
  <c r="G659" i="10"/>
  <c r="F659" i="10"/>
  <c r="L659" i="10" s="1"/>
  <c r="U658" i="10"/>
  <c r="T658" i="10"/>
  <c r="R658" i="10"/>
  <c r="O658" i="10"/>
  <c r="G658" i="10"/>
  <c r="F658" i="10"/>
  <c r="L658" i="10" s="1"/>
  <c r="U657" i="10"/>
  <c r="Y659" i="10" s="1"/>
  <c r="T657" i="10"/>
  <c r="R657" i="10"/>
  <c r="O657" i="10"/>
  <c r="G657" i="10"/>
  <c r="F657" i="10"/>
  <c r="E302" i="13" s="1"/>
  <c r="H302" i="13" s="1" a="1"/>
  <c r="H302" i="13" s="1"/>
  <c r="T656" i="10"/>
  <c r="R656" i="10"/>
  <c r="O656" i="10"/>
  <c r="G656" i="10"/>
  <c r="F656" i="10"/>
  <c r="L656" i="10" s="1"/>
  <c r="T655" i="10"/>
  <c r="R655" i="10"/>
  <c r="O655" i="10"/>
  <c r="G655" i="10"/>
  <c r="F655" i="10"/>
  <c r="E301" i="13" s="1"/>
  <c r="H301" i="13" s="1" a="1"/>
  <c r="H301" i="13" s="1"/>
  <c r="T654" i="10"/>
  <c r="R654" i="10"/>
  <c r="O654" i="10"/>
  <c r="G654" i="10"/>
  <c r="F654" i="10"/>
  <c r="L654" i="10" s="1"/>
  <c r="T653" i="10"/>
  <c r="R653" i="10"/>
  <c r="O653" i="10"/>
  <c r="G653" i="10"/>
  <c r="F653" i="10"/>
  <c r="L653" i="10" s="1"/>
  <c r="T652" i="10"/>
  <c r="R652" i="10"/>
  <c r="O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G649" i="10"/>
  <c r="F649" i="10"/>
  <c r="L649" i="10" s="1"/>
  <c r="U648" i="10"/>
  <c r="T648" i="10"/>
  <c r="R648" i="10"/>
  <c r="O648" i="10"/>
  <c r="G648" i="10"/>
  <c r="F648" i="10"/>
  <c r="L648" i="10" s="1"/>
  <c r="T647" i="10"/>
  <c r="R647" i="10"/>
  <c r="O647" i="10"/>
  <c r="G647" i="10"/>
  <c r="F647" i="10"/>
  <c r="T646" i="10"/>
  <c r="R646" i="10"/>
  <c r="O646" i="10"/>
  <c r="G646" i="10"/>
  <c r="F646" i="10"/>
  <c r="L646" i="10" s="1"/>
  <c r="T645" i="10"/>
  <c r="R645" i="10"/>
  <c r="O645" i="10"/>
  <c r="G645" i="10"/>
  <c r="F645" i="10"/>
  <c r="E297" i="13" s="1"/>
  <c r="H297" i="13" s="1" a="1"/>
  <c r="H297" i="13" s="1"/>
  <c r="T644" i="10"/>
  <c r="R644" i="10"/>
  <c r="O644" i="10"/>
  <c r="G644" i="10"/>
  <c r="F644" i="10"/>
  <c r="L644" i="10" s="1"/>
  <c r="T643" i="10"/>
  <c r="R643" i="10"/>
  <c r="O643" i="10"/>
  <c r="G643" i="10"/>
  <c r="F643" i="10"/>
  <c r="E296" i="13" s="1"/>
  <c r="H296" i="13" s="1" a="1"/>
  <c r="H296" i="13" s="1"/>
  <c r="T642" i="10"/>
  <c r="R642" i="10"/>
  <c r="O642" i="10"/>
  <c r="G642" i="10"/>
  <c r="F642" i="10"/>
  <c r="L642" i="10" s="1"/>
  <c r="T641" i="10"/>
  <c r="R641" i="10"/>
  <c r="O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87" i="10" l="1"/>
  <c r="I687" i="10" s="1"/>
  <c r="K687" i="10" s="1"/>
  <c r="S688" i="10"/>
  <c r="I688" i="10" s="1"/>
  <c r="L687" i="10"/>
  <c r="S685" i="10"/>
  <c r="I685" i="10" s="1"/>
  <c r="S686" i="10"/>
  <c r="I686" i="10" s="1"/>
  <c r="K686" i="10" s="1"/>
  <c r="S683" i="10"/>
  <c r="I683" i="10" s="1"/>
  <c r="K683" i="10" s="1"/>
  <c r="S684" i="10"/>
  <c r="I684" i="10" s="1"/>
  <c r="K684" i="10" s="1"/>
  <c r="S682" i="10"/>
  <c r="I682" i="10" s="1"/>
  <c r="K682" i="10" s="1"/>
  <c r="S681" i="10"/>
  <c r="I681" i="10" s="1"/>
  <c r="S680" i="10"/>
  <c r="I680" i="10" s="1"/>
  <c r="K680" i="10" s="1"/>
  <c r="L679" i="10"/>
  <c r="S679" i="10"/>
  <c r="I679" i="10" s="1"/>
  <c r="K679" i="10" s="1"/>
  <c r="S678" i="10"/>
  <c r="I678" i="10" s="1"/>
  <c r="K678" i="10" s="1"/>
  <c r="S676" i="10"/>
  <c r="I676" i="10" s="1"/>
  <c r="K676" i="10" s="1"/>
  <c r="S677" i="10"/>
  <c r="I677" i="10" s="1"/>
  <c r="S675" i="10"/>
  <c r="I675" i="10" s="1"/>
  <c r="K675" i="10" s="1"/>
  <c r="E308" i="13"/>
  <c r="H308" i="13" s="1" a="1"/>
  <c r="H308" i="13" s="1"/>
  <c r="S674" i="10"/>
  <c r="I674" i="10" s="1"/>
  <c r="K674" i="10" s="1"/>
  <c r="S661" i="10"/>
  <c r="I661" i="10" s="1"/>
  <c r="K661" i="10" s="1"/>
  <c r="S660" i="10"/>
  <c r="I660" i="10" s="1"/>
  <c r="K660" i="10" s="1"/>
  <c r="L660" i="10"/>
  <c r="S673" i="10"/>
  <c r="I673" i="10" s="1"/>
  <c r="S672" i="10"/>
  <c r="I672" i="10" s="1"/>
  <c r="K672" i="10" s="1"/>
  <c r="L669" i="10"/>
  <c r="E307" i="13"/>
  <c r="H307" i="13" s="1" a="1"/>
  <c r="H307" i="13" s="1"/>
  <c r="L657" i="10"/>
  <c r="S669" i="10"/>
  <c r="I669" i="10" s="1"/>
  <c r="K669" i="10" s="1"/>
  <c r="S671" i="10"/>
  <c r="I671" i="10" s="1"/>
  <c r="K671" i="10" s="1"/>
  <c r="S665" i="10"/>
  <c r="I665" i="10" s="1"/>
  <c r="K665" i="10" s="1"/>
  <c r="S667" i="10"/>
  <c r="I667" i="10" s="1"/>
  <c r="S670" i="10"/>
  <c r="I670" i="10" s="1"/>
  <c r="L666" i="10"/>
  <c r="S663" i="10"/>
  <c r="I663" i="10" s="1"/>
  <c r="K663" i="10" s="1"/>
  <c r="E305" i="13"/>
  <c r="H305" i="13" s="1"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F61" i="13" s="1"/>
  <c r="G61" i="13" s="1"/>
  <c r="I61" i="13" s="1"/>
  <c r="Y61" i="13"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F60" i="13"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K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G210" i="13" s="1"/>
  <c r="I210" i="13" s="1"/>
  <c r="Y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K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F202" i="13"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E113" i="13"/>
  <c r="H113" i="13" s="1"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S342" i="10"/>
  <c r="I342" i="10" s="1"/>
  <c r="K342" i="10" s="1"/>
  <c r="S341" i="10"/>
  <c r="I341" i="10" s="1"/>
  <c r="S326" i="10"/>
  <c r="I326" i="10" s="1"/>
  <c r="S328" i="10"/>
  <c r="I328" i="10" s="1"/>
  <c r="K328" i="10" s="1"/>
  <c r="L361" i="10"/>
  <c r="Y366" i="10"/>
  <c r="Z366" i="10" s="1"/>
  <c r="AA367" i="10" s="1"/>
  <c r="AB367" i="10" s="1"/>
  <c r="S397" i="10"/>
  <c r="I397" i="10" s="1"/>
  <c r="K397" i="10" s="1"/>
  <c r="S396" i="10"/>
  <c r="I396" i="10" s="1"/>
  <c r="K396" i="10" s="1"/>
  <c r="S398" i="10"/>
  <c r="I398" i="10" s="1"/>
  <c r="E162" i="13"/>
  <c r="H162" i="13" s="1" a="1"/>
  <c r="H162" i="13" s="1"/>
  <c r="L324" i="10"/>
  <c r="L336" i="10"/>
  <c r="Y367" i="10"/>
  <c r="Z367" i="10" s="1"/>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23" i="13"/>
  <c r="Y369" i="13"/>
  <c r="Y341" i="13"/>
  <c r="Y328" i="13"/>
  <c r="Y357" i="13"/>
  <c r="Y330" i="13"/>
  <c r="Y376" i="13"/>
  <c r="Y343" i="13"/>
  <c r="Y351" i="13"/>
  <c r="Y325" i="13"/>
  <c r="Y335" i="13"/>
  <c r="Y211" i="13"/>
  <c r="Y353" i="13"/>
  <c r="Y337" i="13"/>
  <c r="Y327" i="13"/>
  <c r="Y317"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9" i="13"/>
  <c r="Y321" i="13"/>
  <c r="Y315" i="13"/>
  <c r="Y379" i="13"/>
  <c r="Y386" i="13"/>
  <c r="Y402" i="13"/>
  <c r="Y418" i="13"/>
  <c r="Y434" i="13"/>
  <c r="Y318"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K688" i="10" l="1"/>
  <c r="F314" i="13"/>
  <c r="G314" i="13" s="1"/>
  <c r="I314" i="13" s="1"/>
  <c r="Y314" i="13" s="1"/>
  <c r="F312" i="13"/>
  <c r="G312" i="13" s="1"/>
  <c r="I312" i="13" s="1"/>
  <c r="Y312" i="13" s="1"/>
  <c r="K685" i="10"/>
  <c r="F313" i="13"/>
  <c r="G313" i="13" s="1"/>
  <c r="I313" i="13" s="1"/>
  <c r="Y313" i="13" s="1"/>
  <c r="K313" i="10"/>
  <c r="K681" i="10"/>
  <c r="F311" i="13"/>
  <c r="G311" i="13" s="1"/>
  <c r="I311" i="13" s="1"/>
  <c r="Y311" i="13" s="1"/>
  <c r="U680" i="10"/>
  <c r="F310" i="13"/>
  <c r="G310" i="13" s="1"/>
  <c r="I310" i="13" s="1"/>
  <c r="Y310" i="13" s="1"/>
  <c r="K414" i="10"/>
  <c r="K84" i="10"/>
  <c r="F308" i="13"/>
  <c r="G308" i="13" s="1"/>
  <c r="I308" i="13" s="1"/>
  <c r="Y308" i="13" s="1"/>
  <c r="K677" i="10"/>
  <c r="F309" i="13"/>
  <c r="G309" i="13" s="1"/>
  <c r="I309" i="13" s="1"/>
  <c r="Y309" i="13" s="1"/>
  <c r="F303" i="13"/>
  <c r="G303" i="13" s="1"/>
  <c r="I303" i="13" s="1"/>
  <c r="Y303" i="13" s="1"/>
  <c r="F130" i="13"/>
  <c r="G130" i="13" s="1"/>
  <c r="I130" i="13" s="1"/>
  <c r="Y130" i="13" s="1"/>
  <c r="Y660" i="10"/>
  <c r="Y662" i="10"/>
  <c r="Y661" i="10"/>
  <c r="Z661" i="10" s="1"/>
  <c r="K673" i="10"/>
  <c r="F307" i="13"/>
  <c r="G307" i="13" s="1"/>
  <c r="I307" i="13" s="1"/>
  <c r="Y307" i="13" s="1"/>
  <c r="F143" i="13"/>
  <c r="G143" i="13" s="1"/>
  <c r="I143" i="13" s="1"/>
  <c r="Y143" i="13" s="1"/>
  <c r="K392" i="10"/>
  <c r="K670" i="10"/>
  <c r="F306" i="13"/>
  <c r="G306" i="13" s="1"/>
  <c r="I306" i="13" s="1"/>
  <c r="Y306" i="13" s="1"/>
  <c r="K667" i="10"/>
  <c r="F305" i="13"/>
  <c r="G305" i="13" s="1"/>
  <c r="I305" i="13" s="1"/>
  <c r="Y305" i="13" s="1"/>
  <c r="K270" i="10"/>
  <c r="K82" i="10"/>
  <c r="F304" i="13"/>
  <c r="G304" i="13" s="1"/>
  <c r="I304" i="13" s="1"/>
  <c r="Y304" i="13" s="1"/>
  <c r="K308" i="10"/>
  <c r="AA657" i="10"/>
  <c r="AB657" i="10" s="1"/>
  <c r="U660" i="10" s="1"/>
  <c r="U662" i="10"/>
  <c r="K657" i="10"/>
  <c r="F302" i="13"/>
  <c r="G302" i="13" s="1"/>
  <c r="I302" i="13" s="1"/>
  <c r="Y302" i="13" s="1"/>
  <c r="K434" i="10"/>
  <c r="F232" i="13"/>
  <c r="F301" i="13"/>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AA139" i="10" s="1"/>
  <c r="AB139" i="10" s="1"/>
  <c r="U140" i="10" s="1"/>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60" i="10" l="1"/>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Z76" i="10" s="1"/>
  <c r="AA73" i="10"/>
  <c r="AB73" i="10" s="1"/>
  <c r="U382" i="10" s="1"/>
  <c r="AA46" i="10"/>
  <c r="AB46" i="10" s="1"/>
  <c r="AA45" i="10"/>
  <c r="AB45" i="10" s="1"/>
  <c r="U47" i="10" s="1"/>
  <c r="AA32" i="10" l="1"/>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8" i="10" l="1"/>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9" i="10" l="1"/>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9" i="10" l="1"/>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AA673" i="10" l="1"/>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P106" i="7" l="1"/>
  <c r="B10" i="3" s="1"/>
  <c r="D10" i="3" s="1"/>
  <c r="D19" i="3"/>
  <c r="AA643" i="10"/>
  <c r="AB643" i="10" s="1"/>
  <c r="U646" i="10"/>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C10" i="3" l="1"/>
  <c r="Y645" i="10"/>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76" i="10" l="1"/>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G108" i="7"/>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U685" i="10" l="1"/>
  <c r="U686" i="10"/>
  <c r="D12" i="3"/>
  <c r="AA513" i="10"/>
  <c r="AB513" i="10" s="1"/>
  <c r="U516" i="10"/>
  <c r="U515" i="10"/>
  <c r="K53" i="13"/>
  <c r="H69" i="10"/>
  <c r="H87" i="10"/>
  <c r="R44" i="13"/>
  <c r="H52" i="10"/>
  <c r="M44" i="13"/>
  <c r="H51" i="10"/>
  <c r="Y686" i="10" l="1"/>
  <c r="Z686" i="10" s="1"/>
  <c r="AA686" i="10" s="1"/>
  <c r="AB686" i="10" s="1"/>
  <c r="Y685" i="10"/>
  <c r="Z685" i="10" s="1"/>
  <c r="AA685" i="10" s="1"/>
  <c r="AB685" i="10" s="1"/>
  <c r="Y516" i="10"/>
  <c r="Z516" i="10" s="1"/>
  <c r="AA516" i="10" s="1"/>
  <c r="AB516" i="10" s="1"/>
  <c r="Y515" i="10"/>
  <c r="Z515" i="10" s="1"/>
  <c r="V52" i="10"/>
  <c r="P52" i="10"/>
  <c r="Q52" i="10" s="1"/>
  <c r="P51" i="10"/>
  <c r="Q51" i="10" s="1"/>
  <c r="V51" i="10"/>
  <c r="V87" i="10"/>
  <c r="X87" i="10" s="1"/>
  <c r="Q87" i="10"/>
  <c r="P69" i="10"/>
  <c r="Q69" i="10" s="1"/>
  <c r="P70" i="10"/>
  <c r="V69" i="10"/>
  <c r="U688" i="10" l="1"/>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G124" i="7" s="1"/>
  <c r="Y687" i="10"/>
  <c r="Z687" i="10" s="1"/>
  <c r="AA687" i="10" s="1"/>
  <c r="AB687" i="10" s="1"/>
  <c r="I124" i="7" s="1"/>
  <c r="Y517" i="10"/>
  <c r="Z517" i="10" s="1"/>
  <c r="AA517" i="10" s="1"/>
  <c r="AB517" i="10" s="1"/>
  <c r="Y518" i="10"/>
  <c r="Z518" i="10" s="1"/>
  <c r="J51" i="10"/>
  <c r="M51" i="10" s="1"/>
  <c r="N51" i="10" s="1"/>
  <c r="J52" i="10"/>
  <c r="M52" i="10" s="1"/>
  <c r="N52" i="10" s="1"/>
  <c r="S62" i="13"/>
  <c r="H88" i="10"/>
  <c r="H89" i="10"/>
  <c r="P124" i="7" l="1"/>
  <c r="B28" i="3" s="1"/>
  <c r="D28" i="3" s="1"/>
  <c r="U556" i="10"/>
  <c r="AA518" i="10"/>
  <c r="AB518" i="10" s="1"/>
  <c r="V89" i="10"/>
  <c r="P89" i="10"/>
  <c r="Q89" i="10" s="1"/>
  <c r="P88" i="10"/>
  <c r="Q88" i="10" s="1"/>
  <c r="V88" i="10"/>
  <c r="R45" i="13"/>
  <c r="H54" i="10"/>
  <c r="M45" i="13"/>
  <c r="H53" i="10"/>
  <c r="C28" i="3" l="1"/>
  <c r="Y556" i="10"/>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AA639" i="10" s="1"/>
  <c r="AB639" i="10" s="1"/>
  <c r="U641" i="10" s="1"/>
  <c r="Y640" i="10"/>
  <c r="Z640" i="10" s="1"/>
  <c r="AA640" i="10" s="1"/>
  <c r="AB640" i="10" s="1"/>
  <c r="U642" i="10" s="1"/>
  <c r="AA557" i="10"/>
  <c r="AB557" i="10" s="1"/>
  <c r="AA556" i="10"/>
  <c r="AB556" i="10" s="1"/>
  <c r="V66" i="10"/>
  <c r="V64" i="10"/>
  <c r="X64" i="10" s="1"/>
  <c r="Q64" i="10"/>
  <c r="Y642" i="10" l="1"/>
  <c r="Z642" i="10" s="1"/>
  <c r="AA642" i="10" s="1"/>
  <c r="AB642" i="10" s="1"/>
  <c r="L117" i="7" s="1"/>
  <c r="Y641" i="10"/>
  <c r="Z641" i="10" s="1"/>
  <c r="AA641" i="10" s="1"/>
  <c r="AB641" i="10" s="1"/>
  <c r="H117" i="7" s="1"/>
  <c r="U560" i="10"/>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13" i="13" l="1"/>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13" i="13" l="1"/>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13" i="13" l="1"/>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13" i="13" l="1"/>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5" i="13"/>
  <c r="S286" i="13"/>
  <c r="N615" i="10"/>
  <c r="S284" i="13"/>
  <c r="B10" i="14"/>
  <c r="L2" i="14" s="1"/>
  <c r="S313" i="13" l="1"/>
  <c r="S314" i="13"/>
  <c r="S311" i="13"/>
  <c r="S312" i="13"/>
  <c r="S309" i="13"/>
  <c r="S310" i="13"/>
  <c r="S307" i="13"/>
  <c r="S308" i="13"/>
  <c r="S304" i="13"/>
  <c r="S306" i="13"/>
  <c r="S305" i="13"/>
  <c r="S302" i="13"/>
  <c r="S303" i="13"/>
  <c r="S301" i="13"/>
  <c r="J15"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J618" i="10"/>
  <c r="M618" i="10" s="1"/>
  <c r="N618" i="10" s="1"/>
  <c r="N313" i="13" l="1"/>
  <c r="N314" i="13"/>
  <c r="N311" i="13"/>
  <c r="N312" i="13"/>
  <c r="N309" i="13"/>
  <c r="N310" i="13"/>
  <c r="N307" i="13"/>
  <c r="N308" i="13"/>
  <c r="N304" i="13"/>
  <c r="N305" i="13"/>
  <c r="N306" i="13"/>
  <c r="N302" i="13"/>
  <c r="N303" i="13"/>
  <c r="N301" i="13"/>
  <c r="J10"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R286" i="13"/>
  <c r="K286" i="13"/>
  <c r="B2" i="14"/>
  <c r="F101" i="7"/>
  <c r="S101" i="7" s="1"/>
  <c r="W10" i="13"/>
  <c r="AI10" i="13"/>
  <c r="K313" i="13" l="1"/>
  <c r="K314" i="13"/>
  <c r="K311" i="13"/>
  <c r="K312" i="13"/>
  <c r="K309" i="13"/>
  <c r="K310" i="13"/>
  <c r="K307" i="13"/>
  <c r="K308" i="13"/>
  <c r="K304" i="13"/>
  <c r="K306" i="13"/>
  <c r="K305" i="13"/>
  <c r="K302" i="13"/>
  <c r="K303" i="13"/>
  <c r="K301" i="13"/>
  <c r="J7"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H655" i="10"/>
  <c r="N652" i="10"/>
  <c r="H659" i="10" s="1"/>
  <c r="V659" i="10" l="1"/>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N655" i="10"/>
  <c r="H657" i="10" s="1"/>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J677" i="10" s="1"/>
  <c r="M677" i="10" s="1"/>
  <c r="N677" i="10" s="1"/>
  <c r="V660" i="10"/>
  <c r="P661" i="10"/>
  <c r="Q661" i="10" s="1"/>
  <c r="P662" i="10"/>
  <c r="Q662" i="10" s="1"/>
  <c r="P660" i="10"/>
  <c r="Q660" i="10" s="1"/>
  <c r="V661" i="10"/>
  <c r="O313" i="13" l="1"/>
  <c r="O314" i="13"/>
  <c r="J11" i="13"/>
  <c r="O312" i="13"/>
  <c r="J14" i="13"/>
  <c r="H681" i="10"/>
  <c r="O310" i="13"/>
  <c r="O311" i="13"/>
  <c r="R310" i="13"/>
  <c r="O309" i="13"/>
  <c r="B6" i="14"/>
  <c r="H2" i="14" s="1"/>
  <c r="R309" i="13"/>
  <c r="W660" i="10"/>
  <c r="X660" i="10" s="1"/>
  <c r="W661" i="10"/>
  <c r="X661" i="10" s="1"/>
  <c r="W662" i="10"/>
  <c r="X662" i="10" s="1"/>
  <c r="J662" i="10" s="1"/>
  <c r="M662" i="10" s="1"/>
  <c r="N662" i="10" s="1"/>
  <c r="H665" i="10" s="1"/>
  <c r="V665" i="10" s="1"/>
  <c r="P681" i="10" l="1"/>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N672" i="10" s="1"/>
  <c r="J673" i="10"/>
  <c r="M673" i="10" s="1"/>
  <c r="N673" i="10" s="1"/>
  <c r="X674" i="10"/>
  <c r="J674" i="10" s="1"/>
  <c r="M674" i="10" s="1"/>
  <c r="N674" i="10" s="1"/>
  <c r="U307" i="13"/>
  <c r="B12" i="14"/>
  <c r="U313" i="13" l="1"/>
  <c r="U314" i="13"/>
  <c r="Q313" i="13"/>
  <c r="Q314" i="13"/>
  <c r="J17" i="13"/>
  <c r="U312" i="13"/>
  <c r="J13" i="13"/>
  <c r="Q312" i="13"/>
  <c r="U310" i="13"/>
  <c r="U311" i="13"/>
  <c r="Q310" i="13"/>
  <c r="Q311" i="13"/>
  <c r="H679" i="10"/>
  <c r="P308" i="13"/>
  <c r="P309" i="13"/>
  <c r="U308" i="13"/>
  <c r="U309" i="13"/>
  <c r="Q308" i="13"/>
  <c r="Q309" i="13"/>
  <c r="B8" i="14"/>
  <c r="Q307" i="13"/>
  <c r="B17" i="13"/>
  <c r="S17" i="13" s="1"/>
  <c r="N2" i="14"/>
  <c r="P307" i="13"/>
  <c r="P679" i="10" l="1"/>
  <c r="Q679" i="10" s="1"/>
  <c r="P680" i="10"/>
  <c r="Q680" i="10" s="1"/>
  <c r="V679" i="10"/>
  <c r="W680" i="10" s="1"/>
  <c r="X680" i="10" s="1"/>
  <c r="B13" i="13"/>
  <c r="S13" i="13" s="1"/>
  <c r="J2" i="14"/>
  <c r="AI17" i="13"/>
  <c r="F92" i="7"/>
  <c r="S92" i="7" s="1"/>
  <c r="W17" i="13"/>
  <c r="J680" i="10" l="1"/>
  <c r="M680" i="10" s="1"/>
  <c r="N680" i="10" s="1"/>
  <c r="M314" i="13" s="1"/>
  <c r="J679" i="10"/>
  <c r="M679" i="10" s="1"/>
  <c r="N679" i="10" s="1"/>
  <c r="W679" i="10"/>
  <c r="X679" i="10" s="1"/>
  <c r="P310" i="13"/>
  <c r="W13" i="13"/>
  <c r="F91" i="7"/>
  <c r="S91" i="7" s="1"/>
  <c r="AI13" i="13"/>
  <c r="M312" i="13" l="1"/>
  <c r="M313" i="13"/>
  <c r="H682" i="10"/>
  <c r="M311" i="13"/>
  <c r="J9" i="13"/>
  <c r="J12"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J683" i="10"/>
  <c r="M683" i="10" s="1"/>
  <c r="N683" i="10" s="1"/>
  <c r="N684" i="10"/>
  <c r="H685" i="10" l="1"/>
  <c r="H686" i="10"/>
  <c r="R312" i="13"/>
  <c r="P312" i="13"/>
  <c r="P686" i="10" l="1"/>
  <c r="Q686" i="10" s="1"/>
  <c r="P685" i="10"/>
  <c r="Q685" i="10" s="1"/>
  <c r="V686" i="10"/>
  <c r="V685" i="10"/>
  <c r="W686" i="10" l="1"/>
  <c r="X686" i="10" s="1"/>
  <c r="J686" i="10" s="1"/>
  <c r="M686" i="10" s="1"/>
  <c r="N686" i="10" s="1"/>
  <c r="W685" i="10"/>
  <c r="X685" i="10" s="1"/>
  <c r="J685" i="10" s="1"/>
  <c r="M685" i="10" s="1"/>
  <c r="H688" i="10" l="1"/>
  <c r="N685" i="10"/>
  <c r="P313" i="13"/>
  <c r="V688" i="10" l="1"/>
  <c r="H687" i="10"/>
  <c r="P688" i="10" s="1"/>
  <c r="Q688" i="10" s="1"/>
  <c r="R313" i="13"/>
  <c r="P687" i="10" l="1"/>
  <c r="Q687" i="10" s="1"/>
  <c r="W688" i="10"/>
  <c r="X688" i="10" s="1"/>
  <c r="W687" i="10"/>
  <c r="V687" i="10"/>
  <c r="J688" i="10" l="1"/>
  <c r="M688" i="10" s="1"/>
  <c r="N688" i="10" s="1"/>
  <c r="X687" i="10"/>
  <c r="J687" i="10" s="1"/>
  <c r="M687" i="10" s="1"/>
  <c r="N687" i="10" s="1"/>
  <c r="B19" i="8"/>
  <c r="H19" i="8"/>
  <c r="H18" i="8"/>
  <c r="B18" i="8" l="1"/>
  <c r="P314" i="13"/>
  <c r="B7" i="14"/>
  <c r="R314" i="13"/>
  <c r="H17" i="8"/>
  <c r="B9" i="14"/>
  <c r="B17" i="8"/>
  <c r="C18" i="8"/>
  <c r="E18" i="8"/>
  <c r="F18" i="8"/>
  <c r="D18" i="8"/>
  <c r="F19" i="8"/>
  <c r="C19" i="8"/>
  <c r="E19" i="8"/>
  <c r="D19" i="8"/>
  <c r="B12" i="13" l="1"/>
  <c r="S12" i="13" s="1"/>
  <c r="I2" i="14"/>
  <c r="B14" i="13"/>
  <c r="K2" i="14"/>
  <c r="D17" i="8"/>
  <c r="C17" i="8"/>
  <c r="F17" i="8" s="1"/>
  <c r="E17" i="8"/>
  <c r="W12" i="13" l="1"/>
  <c r="F95" i="7"/>
  <c r="S95" i="7" s="1"/>
  <c r="AI12" i="13"/>
  <c r="C14" i="14"/>
  <c r="C19" i="13" s="1"/>
  <c r="AA19" i="13" s="1"/>
  <c r="C10" i="14"/>
  <c r="C15" i="13" s="1"/>
  <c r="AA15" i="13" s="1"/>
  <c r="C12" i="14"/>
  <c r="C17" i="13" s="1"/>
  <c r="AA17" i="13" s="1"/>
  <c r="C5" i="14"/>
  <c r="C10" i="13" s="1"/>
  <c r="AA10" i="13" s="1"/>
  <c r="C9" i="14"/>
  <c r="C14" i="13" s="1"/>
  <c r="AA14" i="13" s="1"/>
  <c r="C11" i="14"/>
  <c r="C16" i="13" s="1"/>
  <c r="AA16" i="13" s="1"/>
  <c r="C6" i="14"/>
  <c r="C11" i="13" s="1"/>
  <c r="C8" i="14"/>
  <c r="C13" i="13" s="1"/>
  <c r="AA13" i="13" s="1"/>
  <c r="C2" i="14"/>
  <c r="C7" i="13" s="1"/>
  <c r="AA7" i="13" s="1"/>
  <c r="C4" i="14"/>
  <c r="C9" i="13" s="1"/>
  <c r="AA9" i="13" s="1"/>
  <c r="C13" i="14"/>
  <c r="C18" i="13" s="1"/>
  <c r="AA18" i="13" s="1"/>
  <c r="C15" i="14"/>
  <c r="C20" i="13" s="1"/>
  <c r="AA20" i="13" s="1"/>
  <c r="C3" i="14"/>
  <c r="C8" i="13" s="1"/>
  <c r="AA8" i="13" s="1"/>
  <c r="C7" i="14"/>
  <c r="C12" i="13" s="1"/>
  <c r="AA12" i="13" s="1"/>
  <c r="D11" i="13"/>
  <c r="L11" i="13" s="1"/>
  <c r="C19" i="9"/>
  <c r="B17" i="9"/>
  <c r="D13" i="13"/>
  <c r="L13" i="13" s="1"/>
  <c r="D9" i="13"/>
  <c r="L9" i="13" s="1"/>
  <c r="D14" i="13"/>
  <c r="L14" i="13" s="1"/>
  <c r="E16" i="13"/>
  <c r="E13" i="13"/>
  <c r="S14" i="13"/>
  <c r="E15" i="13"/>
  <c r="E9" i="13"/>
  <c r="B18" i="9"/>
  <c r="E17" i="13"/>
  <c r="D12" i="13"/>
  <c r="L12" i="13" s="1"/>
  <c r="D7" i="13"/>
  <c r="L7" i="13" s="1"/>
  <c r="E10" i="13"/>
  <c r="B19" i="9"/>
  <c r="C18" i="9"/>
  <c r="E18" i="13"/>
  <c r="E11" i="13"/>
  <c r="B15" i="5" s="1"/>
  <c r="E19" i="13"/>
  <c r="E20" i="13"/>
  <c r="A5" i="9"/>
  <c r="E7" i="13"/>
  <c r="D19" i="13"/>
  <c r="L19" i="13" s="1"/>
  <c r="D8" i="13"/>
  <c r="L8" i="13" s="1"/>
  <c r="C17" i="9"/>
  <c r="D18" i="13"/>
  <c r="L18" i="13" s="1"/>
  <c r="E14" i="13"/>
  <c r="D10" i="13"/>
  <c r="L10" i="13" s="1"/>
  <c r="D20" i="13"/>
  <c r="L20" i="13" s="1"/>
  <c r="D17" i="13"/>
  <c r="L17" i="13" s="1"/>
  <c r="E8" i="13"/>
  <c r="D15" i="13"/>
  <c r="L15" i="13" s="1"/>
  <c r="D16" i="13"/>
  <c r="L16" i="13" s="1"/>
  <c r="E12" i="13"/>
  <c r="D19" i="9"/>
  <c r="D18" i="9"/>
  <c r="A8" i="9" l="1"/>
  <c r="AA11" i="13"/>
  <c r="B28" i="5" s="1"/>
  <c r="B12" i="5"/>
  <c r="AI14" i="13"/>
  <c r="W14" i="13"/>
  <c r="F93" i="7"/>
  <c r="S93" i="7" s="1"/>
  <c r="C4" i="7" s="1"/>
  <c r="A6" i="3" l="1"/>
  <c r="A5" i="3"/>
  <c r="B28" i="8" s="1"/>
  <c r="B14" i="4"/>
  <c r="B6" i="4"/>
  <c r="B9" i="4"/>
  <c r="B7" i="4"/>
  <c r="B18" i="4"/>
  <c r="B12" i="4"/>
  <c r="B17" i="4"/>
  <c r="B13" i="4"/>
  <c r="B8" i="4"/>
  <c r="B16" i="4"/>
  <c r="B5" i="4"/>
  <c r="B10" i="4"/>
  <c r="B11" i="4"/>
  <c r="B15" i="4"/>
  <c r="E10" i="4" l="1"/>
  <c r="J10" i="4"/>
  <c r="Q10" i="4"/>
  <c r="H10" i="4"/>
  <c r="R10" i="4"/>
  <c r="V10" i="4"/>
  <c r="M10" i="4"/>
  <c r="C10" i="4"/>
  <c r="K10" i="4"/>
  <c r="Y18" i="13" s="1"/>
  <c r="D10" i="4"/>
  <c r="S10" i="4"/>
  <c r="P10" i="4"/>
  <c r="I10" i="4"/>
  <c r="X10" i="4"/>
  <c r="T10" i="4"/>
  <c r="U10" i="4"/>
  <c r="O10" i="4"/>
  <c r="J11" i="4"/>
  <c r="R11" i="4"/>
  <c r="Q11" i="4"/>
  <c r="U11" i="4"/>
  <c r="P11" i="4"/>
  <c r="H11" i="4"/>
  <c r="E11" i="4"/>
  <c r="C11" i="4"/>
  <c r="X11" i="4"/>
  <c r="K11" i="4"/>
  <c r="O11" i="4"/>
  <c r="I11" i="4"/>
  <c r="V11" i="4"/>
  <c r="M11" i="4"/>
  <c r="T11" i="4"/>
  <c r="D11" i="4"/>
  <c r="S11" i="4"/>
  <c r="O16" i="4"/>
  <c r="X16" i="4"/>
  <c r="C16" i="4"/>
  <c r="K16" i="4"/>
  <c r="AE8" i="13" s="1"/>
  <c r="Q16" i="4"/>
  <c r="V16" i="4"/>
  <c r="S16" i="4"/>
  <c r="D16" i="4"/>
  <c r="H16" i="4"/>
  <c r="U16" i="4"/>
  <c r="P16" i="4"/>
  <c r="R16" i="4"/>
  <c r="E16" i="4"/>
  <c r="T16" i="4"/>
  <c r="J16" i="4"/>
  <c r="I16" i="4"/>
  <c r="M16" i="4"/>
  <c r="E15" i="4"/>
  <c r="H15" i="4"/>
  <c r="S15" i="4"/>
  <c r="V15" i="4"/>
  <c r="C15" i="4"/>
  <c r="K15" i="4"/>
  <c r="Y17" i="13" s="1"/>
  <c r="J15" i="4"/>
  <c r="U15" i="4"/>
  <c r="D15" i="4"/>
  <c r="I15" i="4"/>
  <c r="P15" i="4"/>
  <c r="X15" i="4"/>
  <c r="O15" i="4"/>
  <c r="T15" i="4"/>
  <c r="R15" i="4"/>
  <c r="M15" i="4"/>
  <c r="Q15" i="4"/>
  <c r="K5" i="4"/>
  <c r="AE7" i="13" s="1"/>
  <c r="V5" i="4"/>
  <c r="P5" i="4"/>
  <c r="Q5" i="4"/>
  <c r="J5" i="4"/>
  <c r="M5" i="4"/>
  <c r="B5" i="5"/>
  <c r="D5" i="4"/>
  <c r="AD7" i="13" s="1"/>
  <c r="I5" i="4"/>
  <c r="S5" i="4"/>
  <c r="R5" i="4"/>
  <c r="C5" i="4"/>
  <c r="T5" i="4"/>
  <c r="X5" i="4"/>
  <c r="E5" i="4"/>
  <c r="H5" i="4"/>
  <c r="U5" i="4"/>
  <c r="O5" i="4"/>
  <c r="AD18" i="13"/>
  <c r="S8" i="4"/>
  <c r="M8" i="4"/>
  <c r="D8" i="4"/>
  <c r="E8" i="4"/>
  <c r="I8" i="4"/>
  <c r="X8" i="4"/>
  <c r="Q8" i="4"/>
  <c r="J8" i="4"/>
  <c r="O8" i="4"/>
  <c r="C8" i="4"/>
  <c r="R8" i="4"/>
  <c r="K8" i="4"/>
  <c r="U8" i="4"/>
  <c r="H8" i="4"/>
  <c r="T8" i="4"/>
  <c r="P8" i="4"/>
  <c r="V8" i="4"/>
  <c r="J18" i="4"/>
  <c r="D18" i="4"/>
  <c r="I18" i="4"/>
  <c r="C18" i="4"/>
  <c r="X18" i="4"/>
  <c r="O18" i="4"/>
  <c r="U18" i="4"/>
  <c r="E18" i="4"/>
  <c r="Q18" i="4"/>
  <c r="K18" i="4"/>
  <c r="Y16" i="13" s="1"/>
  <c r="T18" i="4"/>
  <c r="P18" i="4"/>
  <c r="H18" i="4"/>
  <c r="M18" i="4"/>
  <c r="R18" i="4"/>
  <c r="V18" i="4"/>
  <c r="S18" i="4"/>
  <c r="T7" i="4"/>
  <c r="K7" i="4"/>
  <c r="Y11" i="13" s="1"/>
  <c r="B26" i="5" s="1"/>
  <c r="V7" i="4"/>
  <c r="D7" i="4"/>
  <c r="E7" i="4"/>
  <c r="P7" i="4"/>
  <c r="Q7" i="4"/>
  <c r="C7" i="4"/>
  <c r="B6" i="5" s="1"/>
  <c r="I7" i="4"/>
  <c r="J7" i="4"/>
  <c r="M7" i="4"/>
  <c r="X7" i="4"/>
  <c r="H7" i="4"/>
  <c r="R7" i="4"/>
  <c r="O7" i="4"/>
  <c r="S7" i="4"/>
  <c r="U7" i="4"/>
  <c r="E9" i="4"/>
  <c r="V9" i="4"/>
  <c r="C9" i="4"/>
  <c r="P9" i="4"/>
  <c r="R9" i="4"/>
  <c r="X9" i="4"/>
  <c r="S9" i="4"/>
  <c r="M9" i="4"/>
  <c r="T9" i="4"/>
  <c r="I9" i="4"/>
  <c r="J9" i="4"/>
  <c r="U9" i="4"/>
  <c r="D9" i="4"/>
  <c r="H9" i="4"/>
  <c r="K9" i="4"/>
  <c r="O9" i="4"/>
  <c r="Q9" i="4"/>
  <c r="K12" i="4"/>
  <c r="O12" i="4"/>
  <c r="X12" i="4"/>
  <c r="T12" i="4"/>
  <c r="V12" i="4"/>
  <c r="S12" i="4"/>
  <c r="P12" i="4"/>
  <c r="I12" i="4"/>
  <c r="U12" i="4"/>
  <c r="J12" i="4"/>
  <c r="E12" i="4"/>
  <c r="H12" i="4"/>
  <c r="C12" i="4"/>
  <c r="D12" i="4"/>
  <c r="AD14" i="13" s="1"/>
  <c r="R12" i="4"/>
  <c r="Q12" i="4"/>
  <c r="M12" i="4"/>
  <c r="V6" i="4"/>
  <c r="O6" i="4"/>
  <c r="J6" i="4"/>
  <c r="X6" i="4"/>
  <c r="K6" i="4"/>
  <c r="T6" i="4"/>
  <c r="D6" i="4"/>
  <c r="AD15" i="13" s="1"/>
  <c r="R6" i="4"/>
  <c r="U6" i="4"/>
  <c r="I6" i="4"/>
  <c r="Q6" i="4"/>
  <c r="E6" i="4"/>
  <c r="M6" i="4"/>
  <c r="C6" i="4"/>
  <c r="H6" i="4"/>
  <c r="P6" i="4"/>
  <c r="S6" i="4"/>
  <c r="E17" i="4"/>
  <c r="I17" i="4"/>
  <c r="J17" i="4"/>
  <c r="R17" i="4"/>
  <c r="V17" i="4"/>
  <c r="Q17" i="4"/>
  <c r="U17" i="4"/>
  <c r="X17" i="4"/>
  <c r="M17" i="4"/>
  <c r="K17" i="4"/>
  <c r="Y10" i="13" s="1"/>
  <c r="P17" i="4"/>
  <c r="H17" i="4"/>
  <c r="C17" i="4"/>
  <c r="D17" i="4"/>
  <c r="AD10" i="13" s="1"/>
  <c r="O17" i="4"/>
  <c r="T17" i="4"/>
  <c r="S17" i="4"/>
  <c r="K14" i="4"/>
  <c r="AE20" i="13" s="1"/>
  <c r="I14" i="4"/>
  <c r="X14" i="4"/>
  <c r="U14" i="4"/>
  <c r="J14" i="4"/>
  <c r="S14" i="4"/>
  <c r="R14" i="4"/>
  <c r="H14" i="4"/>
  <c r="C14" i="4"/>
  <c r="D14" i="4"/>
  <c r="V14" i="4"/>
  <c r="T14" i="4"/>
  <c r="Q14" i="4"/>
  <c r="M14" i="4"/>
  <c r="P14" i="4"/>
  <c r="O14" i="4"/>
  <c r="E14" i="4"/>
  <c r="U13" i="4"/>
  <c r="I13" i="4"/>
  <c r="E13" i="4"/>
  <c r="D13" i="4"/>
  <c r="S13" i="4"/>
  <c r="C13" i="4"/>
  <c r="O13" i="4"/>
  <c r="J13" i="4"/>
  <c r="V13" i="4"/>
  <c r="K13" i="4"/>
  <c r="T13" i="4"/>
  <c r="X13" i="4"/>
  <c r="H13" i="4"/>
  <c r="P13" i="4"/>
  <c r="M13" i="4"/>
  <c r="Q13" i="4"/>
  <c r="R13" i="4"/>
  <c r="Y9" i="13" l="1"/>
  <c r="AD9" i="13"/>
  <c r="AD11" i="13"/>
  <c r="Y12" i="13"/>
  <c r="AD12" i="13"/>
  <c r="AE13" i="13"/>
  <c r="Y15" i="13"/>
  <c r="AE14" i="13"/>
  <c r="AE19" i="13"/>
  <c r="Y19" i="13"/>
  <c r="L5" i="4"/>
  <c r="B21" i="8"/>
  <c r="G5" i="4"/>
  <c r="X7" i="13" s="1"/>
  <c r="A10" i="9"/>
  <c r="F5" i="4"/>
  <c r="B30" i="8"/>
  <c r="C21" i="8"/>
  <c r="F21" i="8" s="1"/>
  <c r="AE11" i="13"/>
  <c r="AD16" i="13"/>
  <c r="G18" i="4"/>
  <c r="X16" i="13" s="1"/>
  <c r="AB16" i="13" s="1"/>
  <c r="L18" i="4"/>
  <c r="F18" i="4"/>
  <c r="L8" i="4"/>
  <c r="G8" i="4"/>
  <c r="F8" i="4"/>
  <c r="AE16" i="13"/>
  <c r="AE15" i="13"/>
  <c r="L15" i="4"/>
  <c r="F15" i="4"/>
  <c r="G15" i="4"/>
  <c r="X17" i="13" s="1"/>
  <c r="AB17" i="13" s="1"/>
  <c r="L12" i="4"/>
  <c r="F12" i="4"/>
  <c r="G12" i="4"/>
  <c r="AE12" i="13"/>
  <c r="AD19" i="13"/>
  <c r="AD8" i="13"/>
  <c r="L16" i="4"/>
  <c r="F16" i="4"/>
  <c r="G16" i="4"/>
  <c r="X8" i="13" s="1"/>
  <c r="L10" i="4"/>
  <c r="G10" i="4"/>
  <c r="X18" i="13" s="1"/>
  <c r="AB18" i="13" s="1"/>
  <c r="F10" i="4"/>
  <c r="AE17" i="13"/>
  <c r="L9" i="4"/>
  <c r="F9" i="4"/>
  <c r="G9" i="4"/>
  <c r="X12" i="13" s="1"/>
  <c r="AB12" i="13" s="1"/>
  <c r="Y8" i="13"/>
  <c r="Y20" i="13"/>
  <c r="B31" i="8"/>
  <c r="C22" i="8"/>
  <c r="B22" i="8"/>
  <c r="AE18" i="13"/>
  <c r="Y14" i="13"/>
  <c r="Y7" i="13"/>
  <c r="AD13" i="13"/>
  <c r="T2" i="4"/>
  <c r="G17" i="4"/>
  <c r="X10" i="13" s="1"/>
  <c r="AB10" i="13" s="1"/>
  <c r="L17" i="4"/>
  <c r="F17" i="4"/>
  <c r="G14" i="4"/>
  <c r="X20" i="13" s="1"/>
  <c r="L14" i="4"/>
  <c r="F14" i="4"/>
  <c r="B11" i="5"/>
  <c r="AD20" i="13"/>
  <c r="AF20" i="13" s="1"/>
  <c r="W14" i="4" s="1"/>
  <c r="N14" i="4"/>
  <c r="N17" i="4"/>
  <c r="N5" i="4"/>
  <c r="N18" i="4"/>
  <c r="N13" i="4"/>
  <c r="N9" i="4"/>
  <c r="N10" i="4"/>
  <c r="B33" i="8"/>
  <c r="N11" i="4"/>
  <c r="N12" i="4"/>
  <c r="N7" i="4"/>
  <c r="N8" i="4"/>
  <c r="N15" i="4"/>
  <c r="N6" i="4"/>
  <c r="N16" i="4"/>
  <c r="L13" i="4"/>
  <c r="F13" i="4"/>
  <c r="G13" i="4"/>
  <c r="G6" i="4"/>
  <c r="F6" i="4"/>
  <c r="L6" i="4"/>
  <c r="AD17" i="13"/>
  <c r="G11" i="4"/>
  <c r="X9" i="13" s="1"/>
  <c r="AB9" i="13" s="1"/>
  <c r="F11" i="4"/>
  <c r="L11" i="4"/>
  <c r="AE9" i="13"/>
  <c r="AE10" i="13"/>
  <c r="F7" i="4"/>
  <c r="G7" i="4"/>
  <c r="L7" i="4"/>
  <c r="B16" i="5" s="1"/>
  <c r="Y13" i="13"/>
  <c r="B10" i="5"/>
  <c r="X14" i="13" l="1"/>
  <c r="AF12" i="13"/>
  <c r="X19" i="13"/>
  <c r="AB19" i="13" s="1"/>
  <c r="AF19" i="13" s="1"/>
  <c r="X13" i="13"/>
  <c r="AB13" i="13" s="1"/>
  <c r="AF13" i="13" s="1"/>
  <c r="AF18" i="13"/>
  <c r="W10" i="4" s="1"/>
  <c r="X15" i="13"/>
  <c r="AB15" i="13" s="1"/>
  <c r="AF15" i="13" s="1"/>
  <c r="W6" i="4" s="1"/>
  <c r="AB20" i="13"/>
  <c r="AF16" i="13"/>
  <c r="W18" i="4" s="1"/>
  <c r="AB7" i="13"/>
  <c r="AF7" i="13" s="1"/>
  <c r="W5" i="4" s="1"/>
  <c r="AF10" i="13"/>
  <c r="W17" i="4" s="1"/>
  <c r="AF9" i="13"/>
  <c r="AB14" i="13"/>
  <c r="AF14" i="13" s="1"/>
  <c r="W12" i="4" s="1"/>
  <c r="X11" i="13"/>
  <c r="B9" i="5"/>
  <c r="A3" i="4"/>
  <c r="W13" i="4"/>
  <c r="B8" i="5"/>
  <c r="AF17" i="13"/>
  <c r="W15" i="4" s="1"/>
  <c r="AB8" i="13"/>
  <c r="AF8" i="13" s="1"/>
  <c r="W16" i="4" s="1"/>
  <c r="W11" i="4" l="1"/>
  <c r="W9" i="4"/>
  <c r="B25" i="5"/>
  <c r="AB11" i="13"/>
  <c r="AF11" i="13" l="1"/>
  <c r="W8" i="4" s="1"/>
  <c r="B23" i="5"/>
  <c r="W7" i="4" l="1"/>
  <c r="B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<sst xmlns="http://schemas.openxmlformats.org/spreadsheetml/2006/main" count="3046" uniqueCount="458">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</sst>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457</v>
      </c>
    </row>
    <row r="59" spans="2:4" ht="30" customHeight="1" x14ac:dyDescent="0.2">
      <c r="B59" s="2" t="s">
        <v>123</v>
      </c>
    </row>
    <row r="60" spans="2:4" ht="30" customHeight="1" x14ac:dyDescent="0.2">
      <c r="B60" s="2" t="s">
        <v>124</v>
      </c>
    </row>
    <row r="61" spans="2:4" ht="30" customHeight="1" x14ac:dyDescent="0.2">
      <c r="B61" s="2" t="s">
        <v>125</v>
      </c>
    </row>
    <row r="62" spans="2:4" ht="45" x14ac:dyDescent="0.2">
      <c r="B62" s="2" t="s">
        <v>126</v>
      </c>
    </row>
    <row r="63" spans="2:4" ht="30" customHeight="1" x14ac:dyDescent="0.2">
      <c r="B63" s="2" t="s">
        <v>127</v>
      </c>
    </row>
    <row r="64" spans="2:4" ht="30" customHeight="1" x14ac:dyDescent="0.2">
      <c r="B64" s="2" t="s">
        <v>128</v>
      </c>
    </row>
    <row r="65" spans="2:4" ht="68" x14ac:dyDescent="0.2">
      <c r="B65" s="140" t="s">
        <v>456</v>
      </c>
    </row>
    <row r="66" spans="2:4" ht="18" customHeight="1" x14ac:dyDescent="0.2">
      <c r="B66" s="11" t="s">
        <v>129</v>
      </c>
    </row>
    <row r="67" spans="2:4" ht="30" customHeight="1" x14ac:dyDescent="0.2">
      <c r="B67" s="2" t="s">
        <v>130</v>
      </c>
    </row>
    <row r="68" spans="2:4" ht="3.75" customHeight="1" x14ac:dyDescent="0.2"/>
    <row r="69" spans="2:4" ht="31.5" customHeight="1" x14ac:dyDescent="0.2">
      <c r="B69" s="11" t="s">
        <v>131</v>
      </c>
    </row>
    <row r="70" spans="2:4" ht="31.5" customHeight="1" x14ac:dyDescent="0.2">
      <c r="B70" s="23" t="s">
        <v>132</v>
      </c>
      <c r="D70" s="2" t="s">
        <v>133</v>
      </c>
    </row>
    <row r="71" spans="2:4" ht="31.5" customHeight="1" x14ac:dyDescent="0.2">
      <c r="B71" s="23" t="s">
        <v>134</v>
      </c>
      <c r="D71" s="2" t="s">
        <v>135</v>
      </c>
    </row>
    <row r="72" spans="2:4" ht="31.5" customHeight="1" x14ac:dyDescent="0.2">
      <c r="B72" s="23" t="s">
        <v>136</v>
      </c>
      <c r="D72" s="2" t="s">
        <v>137</v>
      </c>
    </row>
    <row r="73" spans="2:4" ht="31.5" customHeight="1" x14ac:dyDescent="0.2">
      <c r="B73" s="23" t="s">
        <v>138</v>
      </c>
      <c r="D73" s="2" t="s">
        <v>139</v>
      </c>
    </row>
    <row r="74" spans="2:4" ht="31.5" customHeight="1" x14ac:dyDescent="0.2">
      <c r="B74" s="23" t="s">
        <v>140</v>
      </c>
      <c r="D74" s="2" t="s">
        <v>141</v>
      </c>
    </row>
    <row r="75" spans="2:4" ht="31.5" customHeight="1" x14ac:dyDescent="0.2">
      <c r="B75" s="23" t="s">
        <v>142</v>
      </c>
      <c r="D75" s="2" t="s">
        <v>143</v>
      </c>
    </row>
    <row r="76" spans="2:4" ht="31.5" customHeight="1" x14ac:dyDescent="0.2">
      <c r="B76" s="23" t="s">
        <v>144</v>
      </c>
      <c r="D76" s="2" t="s">
        <v>145</v>
      </c>
    </row>
    <row r="77" spans="2:4" ht="31.5" customHeight="1" x14ac:dyDescent="0.2">
      <c r="B77" s="23" t="s">
        <v>146</v>
      </c>
      <c r="D77" s="2" t="s">
        <v>147</v>
      </c>
    </row>
    <row r="78" spans="2:4" ht="31.5" customHeight="1" x14ac:dyDescent="0.2">
      <c r="B78" s="23" t="s">
        <v>148</v>
      </c>
      <c r="D78" s="2" t="s">
        <v>149</v>
      </c>
    </row>
    <row r="79" spans="2:4" ht="31.5" customHeight="1" x14ac:dyDescent="0.2">
      <c r="B79" s="23" t="s">
        <v>150</v>
      </c>
      <c r="D79" s="2" t="s">
        <v>151</v>
      </c>
    </row>
    <row r="80" spans="2:4" ht="31.5" customHeight="1" x14ac:dyDescent="0.2">
      <c r="B80" s="23" t="s">
        <v>152</v>
      </c>
      <c r="D80" s="2" t="s">
        <v>153</v>
      </c>
    </row>
    <row r="81" spans="2:4" ht="31.5" customHeight="1" x14ac:dyDescent="0.2">
      <c r="B81" s="23" t="s">
        <v>154</v>
      </c>
      <c r="D81" s="2" t="s">
        <v>155</v>
      </c>
    </row>
    <row r="82" spans="2:4" ht="31.5" customHeight="1" x14ac:dyDescent="0.2">
      <c r="B82" s="23" t="s">
        <v>156</v>
      </c>
      <c r="D82" s="2" t="s">
        <v>157</v>
      </c>
    </row>
    <row r="83" spans="2:4" ht="31.5" customHeight="1" x14ac:dyDescent="0.2">
      <c r="B83" s="23" t="s">
        <v>158</v>
      </c>
      <c r="D83" s="2" t="s">
        <v>159</v>
      </c>
    </row>
    <row r="84" spans="2:4" ht="31.5" customHeight="1" x14ac:dyDescent="0.2">
      <c r="B84" s="23" t="s">
        <v>160</v>
      </c>
      <c r="D84" s="2" t="s">
        <v>161</v>
      </c>
    </row>
    <row r="85" spans="2:4" ht="31.5" customHeight="1" x14ac:dyDescent="0.2">
      <c r="B85" s="23" t="s">
        <v>162</v>
      </c>
      <c r="D85" s="2" t="s">
        <v>163</v>
      </c>
    </row>
    <row r="86" spans="2:4" ht="31.5" customHeight="1" x14ac:dyDescent="0.2">
      <c r="B86" s="23" t="s">
        <v>164</v>
      </c>
      <c r="D86" s="2" t="s">
        <v>165</v>
      </c>
    </row>
    <row r="87" spans="2:4" ht="31.5" customHeight="1" x14ac:dyDescent="0.2">
      <c r="B87" s="23" t="s">
        <v>12</v>
      </c>
      <c r="D87" s="2" t="s">
        <v>166</v>
      </c>
    </row>
    <row r="88" spans="2:4" ht="31.5" customHeight="1" x14ac:dyDescent="0.2">
      <c r="B88" s="23" t="s">
        <v>167</v>
      </c>
      <c r="D88" s="2" t="s">
        <v>168</v>
      </c>
    </row>
    <row r="89" spans="2:4" ht="31.5" customHeight="1" x14ac:dyDescent="0.2">
      <c r="B89" s="23" t="s">
        <v>169</v>
      </c>
      <c r="D89" s="2" t="s">
        <v>170</v>
      </c>
    </row>
    <row r="90" spans="2:4" ht="31.5" customHeight="1" x14ac:dyDescent="0.2">
      <c r="B90" s="23" t="s">
        <v>171</v>
      </c>
      <c r="D90" s="2" t="s">
        <v>172</v>
      </c>
    </row>
    <row r="91" spans="2:4" ht="31.5" customHeight="1" x14ac:dyDescent="0.2">
      <c r="B91" s="23" t="s">
        <v>173</v>
      </c>
      <c r="D91" s="2" t="s">
        <v>174</v>
      </c>
    </row>
    <row r="92" spans="2:4" ht="31.5" customHeight="1" x14ac:dyDescent="0.2">
      <c r="B92" s="23" t="s">
        <v>175</v>
      </c>
      <c r="D92" s="2" t="s">
        <v>176</v>
      </c>
    </row>
    <row r="93" spans="2:4" ht="31.5" customHeight="1" x14ac:dyDescent="0.2">
      <c r="B93" s="23" t="s">
        <v>14</v>
      </c>
      <c r="D93" s="2" t="s">
        <v>177</v>
      </c>
    </row>
    <row r="94" spans="2:4" ht="31.5" customHeight="1" x14ac:dyDescent="0.2">
      <c r="B94" s="23" t="s">
        <v>178</v>
      </c>
      <c r="D94" s="2" t="s">
        <v>179</v>
      </c>
    </row>
    <row r="96" spans="2:4" x14ac:dyDescent="0.2">
      <c r="B96" s="24" t="s">
        <v>180</v>
      </c>
    </row>
    <row r="98" spans="2:2" ht="17" customHeight="1" x14ac:dyDescent="0.2">
      <c r="B98" s="5" t="s">
        <v>181</v>
      </c>
    </row>
    <row r="99" spans="2:2" ht="30" customHeight="1" x14ac:dyDescent="0.2">
      <c r="B99" s="2" t="s">
        <v>182</v>
      </c>
    </row>
    <row r="100" spans="2:2" ht="30" customHeight="1" x14ac:dyDescent="0.2">
      <c r="B100" s="2" t="s">
        <v>183</v>
      </c>
    </row>
    <row r="101" spans="2:2" ht="30" customHeight="1" x14ac:dyDescent="0.2">
      <c r="B101" s="2" t="s">
        <v>184</v>
      </c>
    </row>
    <row r="103" spans="2:2" x14ac:dyDescent="0.2">
      <c r="B103" t="s">
        <v>185</v>
      </c>
    </row>
    <row r="104" spans="2:2" x14ac:dyDescent="0.2">
      <c r="B104" t="s">
        <v>186</v>
      </c>
    </row>
    <row r="105" spans="2:2" x14ac:dyDescent="0.2">
      <c r="B105" t="s">
        <v>187</v>
      </c>
    </row>
    <row r="106" spans="2:2" x14ac:dyDescent="0.2">
      <c r="B106" t="s">
        <v>188</v>
      </c>
    </row>
    <row r="107" spans="2:2" x14ac:dyDescent="0.2">
      <c r="B107" t="s">
        <v>189</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190</v>
      </c>
      <c r="B1" s="142"/>
      <c r="C1" s="142"/>
      <c r="D1" s="142"/>
      <c r="E1" s="142"/>
      <c r="F1" s="142"/>
      <c r="G1" s="142"/>
      <c r="H1" s="142"/>
    </row>
    <row r="2" spans="1:8" ht="18" customHeight="1" x14ac:dyDescent="0.2">
      <c r="A2" s="144" t="s">
        <v>191</v>
      </c>
      <c r="B2" s="142"/>
      <c r="C2" s="142"/>
      <c r="D2" s="142"/>
      <c r="E2" s="142"/>
      <c r="F2" s="142"/>
      <c r="G2" s="142"/>
      <c r="H2" s="142"/>
    </row>
    <row r="3" spans="1:8" ht="48" customHeight="1" x14ac:dyDescent="0.2">
      <c r="A3" s="141" t="s">
        <v>192</v>
      </c>
      <c r="B3" s="142"/>
      <c r="C3" s="142"/>
      <c r="D3" s="142"/>
      <c r="E3" s="142"/>
      <c r="F3" s="142"/>
      <c r="G3" s="142"/>
      <c r="H3" s="142"/>
    </row>
    <row r="6" spans="1:8" ht="21.75" customHeight="1" x14ac:dyDescent="0.2">
      <c r="A6" s="145" t="s">
        <v>193</v>
      </c>
      <c r="B6" s="142"/>
      <c r="C6" s="142"/>
      <c r="D6" s="142"/>
      <c r="E6" s="142"/>
      <c r="F6" s="142"/>
      <c r="G6" s="142"/>
      <c r="H6" s="142"/>
    </row>
    <row r="7" spans="1:8" ht="51" customHeight="1" x14ac:dyDescent="0.2">
      <c r="A7" s="25" t="s">
        <v>194</v>
      </c>
      <c r="B7" s="143" t="s">
        <v>195</v>
      </c>
      <c r="C7" s="142"/>
      <c r="D7" s="142"/>
      <c r="E7" s="142"/>
      <c r="F7" s="142"/>
      <c r="G7" s="142"/>
      <c r="H7" s="142"/>
    </row>
    <row r="8" spans="1:8" ht="36" customHeight="1" x14ac:dyDescent="0.2">
      <c r="A8" s="26" t="s">
        <v>196</v>
      </c>
      <c r="B8" s="143" t="s">
        <v>197</v>
      </c>
      <c r="C8" s="142"/>
      <c r="D8" s="142"/>
      <c r="E8" s="142"/>
      <c r="F8" s="142"/>
      <c r="G8" s="142"/>
      <c r="H8" s="142"/>
    </row>
    <row r="9" spans="1:8" ht="21" customHeight="1" x14ac:dyDescent="0.2">
      <c r="A9" s="25" t="s">
        <v>194</v>
      </c>
      <c r="B9" s="143" t="s">
        <v>198</v>
      </c>
      <c r="C9" s="142"/>
      <c r="D9" s="142"/>
      <c r="E9" s="142"/>
      <c r="F9" s="142"/>
      <c r="G9" s="142"/>
      <c r="H9" s="142"/>
    </row>
    <row r="10" spans="1:8" ht="36" customHeight="1" x14ac:dyDescent="0.2">
      <c r="A10" s="26" t="s">
        <v>196</v>
      </c>
      <c r="B10" s="143" t="s">
        <v>199</v>
      </c>
      <c r="C10" s="142"/>
      <c r="D10" s="142"/>
      <c r="E10" s="142"/>
      <c r="F10" s="142"/>
      <c r="G10" s="142"/>
      <c r="H10" s="142"/>
    </row>
    <row r="12" spans="1:8" ht="21.75" customHeight="1" x14ac:dyDescent="0.2">
      <c r="A12" s="145" t="s">
        <v>200</v>
      </c>
      <c r="B12" s="142"/>
      <c r="C12" s="142"/>
      <c r="D12" s="142"/>
      <c r="E12" s="142"/>
      <c r="F12" s="142"/>
      <c r="G12" s="142"/>
      <c r="H12" s="142"/>
    </row>
    <row r="13" spans="1:8" ht="36" customHeight="1" x14ac:dyDescent="0.2">
      <c r="A13" s="25" t="s">
        <v>194</v>
      </c>
      <c r="B13" s="143" t="s">
        <v>201</v>
      </c>
      <c r="C13" s="142"/>
      <c r="D13" s="142"/>
      <c r="E13" s="142"/>
      <c r="F13" s="142"/>
      <c r="G13" s="142"/>
      <c r="H13" s="142"/>
    </row>
    <row r="14" spans="1:8" ht="36" customHeight="1" x14ac:dyDescent="0.2">
      <c r="A14" s="26" t="s">
        <v>196</v>
      </c>
      <c r="B14" s="143" t="s">
        <v>202</v>
      </c>
      <c r="C14" s="142"/>
      <c r="D14" s="142"/>
      <c r="E14" s="142"/>
      <c r="F14" s="142"/>
      <c r="G14" s="142"/>
      <c r="H14" s="142"/>
    </row>
    <row r="15" spans="1:8" ht="21" customHeight="1" x14ac:dyDescent="0.2">
      <c r="A15" s="25" t="s">
        <v>194</v>
      </c>
      <c r="B15" s="143" t="s">
        <v>203</v>
      </c>
      <c r="C15" s="142"/>
      <c r="D15" s="142"/>
      <c r="E15" s="142"/>
      <c r="F15" s="142"/>
      <c r="G15" s="142"/>
      <c r="H15" s="142"/>
    </row>
    <row r="16" spans="1:8" ht="36" customHeight="1" x14ac:dyDescent="0.2">
      <c r="A16" s="26" t="s">
        <v>196</v>
      </c>
      <c r="B16" s="143" t="s">
        <v>204</v>
      </c>
      <c r="C16" s="142"/>
      <c r="D16" s="142"/>
      <c r="E16" s="142"/>
      <c r="F16" s="142"/>
      <c r="G16" s="142"/>
      <c r="H16" s="142"/>
    </row>
    <row r="18" spans="1:8" ht="21.75" customHeight="1" x14ac:dyDescent="0.2">
      <c r="A18" s="145" t="s">
        <v>205</v>
      </c>
      <c r="B18" s="142"/>
      <c r="C18" s="142"/>
      <c r="D18" s="142"/>
      <c r="E18" s="142"/>
      <c r="F18" s="142"/>
      <c r="G18" s="142"/>
      <c r="H18" s="142"/>
    </row>
    <row r="19" spans="1:8" ht="21" customHeight="1" x14ac:dyDescent="0.2">
      <c r="A19" s="25" t="s">
        <v>194</v>
      </c>
      <c r="B19" s="143" t="s">
        <v>206</v>
      </c>
      <c r="C19" s="142"/>
      <c r="D19" s="142"/>
      <c r="E19" s="142"/>
      <c r="F19" s="142"/>
      <c r="G19" s="142"/>
      <c r="H19" s="142"/>
    </row>
    <row r="20" spans="1:8" ht="51" customHeight="1" x14ac:dyDescent="0.2">
      <c r="A20" s="26" t="s">
        <v>196</v>
      </c>
      <c r="B20" s="143" t="s">
        <v>207</v>
      </c>
      <c r="C20" s="142"/>
      <c r="D20" s="142"/>
      <c r="E20" s="142"/>
      <c r="F20" s="142"/>
      <c r="G20" s="142"/>
      <c r="H20" s="142"/>
    </row>
    <row r="21" spans="1:8" ht="21" customHeight="1" x14ac:dyDescent="0.2">
      <c r="A21" s="25" t="s">
        <v>194</v>
      </c>
      <c r="B21" s="143" t="s">
        <v>208</v>
      </c>
      <c r="C21" s="142"/>
      <c r="D21" s="142"/>
      <c r="E21" s="142"/>
      <c r="F21" s="142"/>
      <c r="G21" s="142"/>
      <c r="H21" s="142"/>
    </row>
    <row r="22" spans="1:8" ht="51" customHeight="1" x14ac:dyDescent="0.2">
      <c r="A22" s="26" t="s">
        <v>196</v>
      </c>
      <c r="B22" s="143" t="s">
        <v>209</v>
      </c>
      <c r="C22" s="142"/>
      <c r="D22" s="142"/>
      <c r="E22" s="142"/>
      <c r="F22" s="142"/>
      <c r="G22" s="142"/>
      <c r="H22" s="142"/>
    </row>
    <row r="24" spans="1:8" ht="21.75" customHeight="1" x14ac:dyDescent="0.2">
      <c r="A24" s="145" t="s">
        <v>210</v>
      </c>
      <c r="B24" s="142"/>
      <c r="C24" s="142"/>
      <c r="D24" s="142"/>
      <c r="E24" s="142"/>
      <c r="F24" s="142"/>
      <c r="G24" s="142"/>
      <c r="H24" s="142"/>
    </row>
    <row r="25" spans="1:8" ht="21" customHeight="1" x14ac:dyDescent="0.2">
      <c r="A25" s="25" t="s">
        <v>194</v>
      </c>
      <c r="B25" s="143" t="s">
        <v>211</v>
      </c>
      <c r="C25" s="142"/>
      <c r="D25" s="142"/>
      <c r="E25" s="142"/>
      <c r="F25" s="142"/>
      <c r="G25" s="142"/>
      <c r="H25" s="142"/>
    </row>
    <row r="26" spans="1:8" ht="51" customHeight="1" x14ac:dyDescent="0.2">
      <c r="A26" s="26" t="s">
        <v>196</v>
      </c>
      <c r="B26" s="143" t="s">
        <v>212</v>
      </c>
      <c r="C26" s="142"/>
      <c r="D26" s="142"/>
      <c r="E26" s="142"/>
      <c r="F26" s="142"/>
      <c r="G26" s="142"/>
      <c r="H26" s="142"/>
    </row>
    <row r="27" spans="1:8" ht="21" customHeight="1" x14ac:dyDescent="0.2">
      <c r="A27" s="25" t="s">
        <v>194</v>
      </c>
      <c r="B27" s="143" t="s">
        <v>213</v>
      </c>
      <c r="C27" s="142"/>
      <c r="D27" s="142"/>
      <c r="E27" s="142"/>
      <c r="F27" s="142"/>
      <c r="G27" s="142"/>
      <c r="H27" s="142"/>
    </row>
    <row r="28" spans="1:8" ht="51" customHeight="1" x14ac:dyDescent="0.2">
      <c r="A28" s="26" t="s">
        <v>196</v>
      </c>
      <c r="B28" s="143" t="s">
        <v>214</v>
      </c>
      <c r="C28" s="142"/>
      <c r="D28" s="142"/>
      <c r="E28" s="142"/>
      <c r="F28" s="142"/>
      <c r="G28" s="142"/>
      <c r="H28" s="142"/>
    </row>
    <row r="29" spans="1:8" ht="21" customHeight="1" x14ac:dyDescent="0.2">
      <c r="A29" s="25" t="s">
        <v>194</v>
      </c>
      <c r="B29" s="143" t="s">
        <v>215</v>
      </c>
      <c r="C29" s="142"/>
      <c r="D29" s="142"/>
      <c r="E29" s="142"/>
      <c r="F29" s="142"/>
      <c r="G29" s="142"/>
      <c r="H29" s="142"/>
    </row>
    <row r="30" spans="1:8" ht="36" customHeight="1" x14ac:dyDescent="0.2">
      <c r="A30" s="26" t="s">
        <v>196</v>
      </c>
      <c r="B30" s="143" t="s">
        <v>216</v>
      </c>
      <c r="C30" s="142"/>
      <c r="D30" s="142"/>
      <c r="E30" s="142"/>
      <c r="F30" s="142"/>
      <c r="G30" s="142"/>
      <c r="H30" s="142"/>
    </row>
    <row r="32" spans="1:8" ht="21.75" customHeight="1" x14ac:dyDescent="0.2">
      <c r="A32" s="145" t="s">
        <v>217</v>
      </c>
      <c r="B32" s="142"/>
      <c r="C32" s="142"/>
      <c r="D32" s="142"/>
      <c r="E32" s="142"/>
      <c r="F32" s="142"/>
      <c r="G32" s="142"/>
      <c r="H32" s="142"/>
    </row>
    <row r="33" spans="1:8" ht="21" customHeight="1" x14ac:dyDescent="0.2">
      <c r="A33" s="25" t="s">
        <v>194</v>
      </c>
      <c r="B33" s="143" t="s">
        <v>218</v>
      </c>
      <c r="C33" s="142"/>
      <c r="D33" s="142"/>
      <c r="E33" s="142"/>
      <c r="F33" s="142"/>
      <c r="G33" s="142"/>
      <c r="H33" s="142"/>
    </row>
    <row r="34" spans="1:8" ht="51" customHeight="1" x14ac:dyDescent="0.2">
      <c r="A34" s="26" t="s">
        <v>196</v>
      </c>
      <c r="B34" s="143" t="s">
        <v>219</v>
      </c>
      <c r="C34" s="142"/>
      <c r="D34" s="142"/>
      <c r="E34" s="142"/>
      <c r="F34" s="142"/>
      <c r="G34" s="142"/>
      <c r="H34" s="142"/>
    </row>
    <row r="35" spans="1:8" ht="21" customHeight="1" x14ac:dyDescent="0.2">
      <c r="A35" s="25" t="s">
        <v>194</v>
      </c>
      <c r="B35" s="143" t="s">
        <v>220</v>
      </c>
      <c r="C35" s="142"/>
      <c r="D35" s="142"/>
      <c r="E35" s="142"/>
      <c r="F35" s="142"/>
      <c r="G35" s="142"/>
      <c r="H35" s="142"/>
    </row>
    <row r="36" spans="1:8" ht="36" customHeight="1" x14ac:dyDescent="0.2">
      <c r="A36" s="26" t="s">
        <v>196</v>
      </c>
      <c r="B36" s="143" t="s">
        <v>221</v>
      </c>
      <c r="C36" s="142"/>
      <c r="D36" s="142"/>
      <c r="E36" s="142"/>
      <c r="F36" s="142"/>
      <c r="G36" s="142"/>
      <c r="H36" s="142"/>
    </row>
    <row r="37" spans="1:8" ht="21" customHeight="1" x14ac:dyDescent="0.2">
      <c r="A37" s="25" t="s">
        <v>194</v>
      </c>
      <c r="B37" s="143" t="s">
        <v>222</v>
      </c>
      <c r="C37" s="142"/>
      <c r="D37" s="142"/>
      <c r="E37" s="142"/>
      <c r="F37" s="142"/>
      <c r="G37" s="142"/>
      <c r="H37" s="142"/>
    </row>
    <row r="38" spans="1:8" ht="51" customHeight="1" x14ac:dyDescent="0.2">
      <c r="A38" s="26" t="s">
        <v>196</v>
      </c>
      <c r="B38" s="143" t="s">
        <v>223</v>
      </c>
      <c r="C38" s="142"/>
      <c r="D38" s="142"/>
      <c r="E38" s="142"/>
      <c r="F38" s="142"/>
      <c r="G38" s="142"/>
      <c r="H38" s="142"/>
    </row>
    <row r="39" spans="1:8" ht="21" customHeight="1" x14ac:dyDescent="0.2">
      <c r="A39" s="25" t="s">
        <v>194</v>
      </c>
      <c r="B39" s="143" t="s">
        <v>224</v>
      </c>
      <c r="C39" s="142"/>
      <c r="D39" s="142"/>
      <c r="E39" s="142"/>
      <c r="F39" s="142"/>
      <c r="G39" s="142"/>
      <c r="H39" s="142"/>
    </row>
    <row r="41" spans="1:8" ht="21.75" customHeight="1" x14ac:dyDescent="0.2">
      <c r="A41" s="145" t="s">
        <v>225</v>
      </c>
      <c r="B41" s="142"/>
      <c r="C41" s="142"/>
      <c r="D41" s="142"/>
      <c r="E41" s="142"/>
      <c r="F41" s="142"/>
      <c r="G41" s="142"/>
      <c r="H41" s="142"/>
    </row>
    <row r="42" spans="1:8" ht="21" customHeight="1" x14ac:dyDescent="0.2">
      <c r="A42" s="25" t="s">
        <v>194</v>
      </c>
      <c r="B42" s="143" t="s">
        <v>226</v>
      </c>
      <c r="C42" s="142"/>
      <c r="D42" s="142"/>
      <c r="E42" s="142"/>
      <c r="F42" s="142"/>
      <c r="G42" s="142"/>
      <c r="H42" s="142"/>
    </row>
    <row r="43" spans="1:8" ht="51" customHeight="1" x14ac:dyDescent="0.2">
      <c r="A43" s="26" t="s">
        <v>196</v>
      </c>
      <c r="B43" s="143" t="s">
        <v>227</v>
      </c>
      <c r="C43" s="142"/>
      <c r="D43" s="142"/>
      <c r="E43" s="142"/>
      <c r="F43" s="142"/>
      <c r="G43" s="142"/>
      <c r="H43" s="142"/>
    </row>
    <row r="44" spans="1:8" ht="21" customHeight="1" x14ac:dyDescent="0.2">
      <c r="A44" s="25" t="s">
        <v>194</v>
      </c>
      <c r="B44" s="143" t="s">
        <v>228</v>
      </c>
      <c r="C44" s="142"/>
      <c r="D44" s="142"/>
      <c r="E44" s="142"/>
      <c r="F44" s="142"/>
      <c r="G44" s="142"/>
      <c r="H44" s="142"/>
    </row>
    <row r="45" spans="1:8" ht="36" customHeight="1" x14ac:dyDescent="0.2">
      <c r="A45" s="26" t="s">
        <v>196</v>
      </c>
      <c r="B45" s="143" t="s">
        <v>229</v>
      </c>
      <c r="C45" s="142"/>
      <c r="D45" s="142"/>
      <c r="E45" s="142"/>
      <c r="F45" s="142"/>
      <c r="G45" s="142"/>
      <c r="H45" s="142"/>
    </row>
    <row r="46" spans="1:8" ht="21" customHeight="1" x14ac:dyDescent="0.2">
      <c r="A46" s="25" t="s">
        <v>194</v>
      </c>
      <c r="B46" s="143" t="s">
        <v>230</v>
      </c>
      <c r="C46" s="142"/>
      <c r="D46" s="142"/>
      <c r="E46" s="142"/>
      <c r="F46" s="142"/>
      <c r="G46" s="142"/>
      <c r="H46" s="142"/>
    </row>
    <row r="47" spans="1:8" ht="21" customHeight="1" x14ac:dyDescent="0.2">
      <c r="A47" s="26" t="s">
        <v>196</v>
      </c>
      <c r="B47" s="143" t="s">
        <v>231</v>
      </c>
      <c r="C47" s="142"/>
      <c r="D47" s="142"/>
      <c r="E47" s="142"/>
      <c r="F47" s="142"/>
      <c r="G47" s="142"/>
      <c r="H47" s="142"/>
    </row>
    <row r="49" spans="1:8" ht="21.75" customHeight="1" x14ac:dyDescent="0.2">
      <c r="A49" s="145" t="s">
        <v>232</v>
      </c>
      <c r="B49" s="142"/>
      <c r="C49" s="142"/>
      <c r="D49" s="142"/>
      <c r="E49" s="142"/>
      <c r="F49" s="142"/>
      <c r="G49" s="142"/>
      <c r="H49" s="142"/>
    </row>
    <row r="50" spans="1:8" ht="36" customHeight="1" x14ac:dyDescent="0.2">
      <c r="A50" s="25" t="s">
        <v>194</v>
      </c>
      <c r="B50" s="143" t="s">
        <v>233</v>
      </c>
      <c r="C50" s="142"/>
      <c r="D50" s="142"/>
      <c r="E50" s="142"/>
      <c r="F50" s="142"/>
      <c r="G50" s="142"/>
      <c r="H50" s="142"/>
    </row>
    <row r="51" spans="1:8" ht="21" customHeight="1" x14ac:dyDescent="0.2">
      <c r="A51" s="26" t="s">
        <v>196</v>
      </c>
      <c r="B51" s="143" t="s">
        <v>234</v>
      </c>
      <c r="C51" s="142"/>
      <c r="D51" s="142"/>
      <c r="E51" s="142"/>
      <c r="F51" s="142"/>
      <c r="G51" s="142"/>
      <c r="H51" s="142"/>
    </row>
    <row r="52" spans="1:8" ht="21" customHeight="1" x14ac:dyDescent="0.2">
      <c r="A52" s="25" t="s">
        <v>194</v>
      </c>
      <c r="B52" s="143" t="s">
        <v>235</v>
      </c>
      <c r="C52" s="142"/>
      <c r="D52" s="142"/>
      <c r="E52" s="142"/>
      <c r="F52" s="142"/>
      <c r="G52" s="142"/>
      <c r="H52" s="142"/>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236</v>
      </c>
      <c r="B1" s="142"/>
      <c r="C1" s="142"/>
      <c r="D1" s="142"/>
      <c r="E1" s="142"/>
      <c r="G1" s="27"/>
      <c r="H1" s="27"/>
      <c r="I1" s="27"/>
    </row>
    <row r="2" spans="1:9" ht="28.5" customHeight="1" x14ac:dyDescent="0.2">
      <c r="A2" s="148" t="s">
        <v>237</v>
      </c>
      <c r="B2" s="142"/>
      <c r="C2" s="142"/>
      <c r="D2" s="142"/>
      <c r="E2" s="142"/>
      <c r="G2" s="27"/>
      <c r="H2" s="27"/>
      <c r="I2" s="27"/>
    </row>
    <row r="3" spans="1:9" ht="3" customHeight="1" x14ac:dyDescent="0.2">
      <c r="G3" s="27"/>
      <c r="H3" s="27"/>
      <c r="I3" s="27"/>
    </row>
    <row r="4" spans="1:9" ht="15" customHeight="1" x14ac:dyDescent="0.2">
      <c r="A4" s="147" t="s">
        <v>238</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1224   |   71 wins, 76 losses   |   highest-rated eligible player</v>
      </c>
      <c r="B6" s="142"/>
      <c r="C6" s="142"/>
      <c r="D6" s="142"/>
      <c r="E6" s="142"/>
      <c r="G6" s="27"/>
      <c r="H6" s="27"/>
      <c r="I6" s="27"/>
    </row>
    <row r="7" spans="1:9" ht="15" customHeight="1" x14ac:dyDescent="0.2">
      <c r="G7" s="27"/>
      <c r="H7" s="27"/>
      <c r="I7" s="27"/>
    </row>
    <row r="8" spans="1:9" ht="15" customHeight="1" x14ac:dyDescent="0.2">
      <c r="A8" s="151" t="s">
        <v>239</v>
      </c>
      <c r="B8" s="142"/>
      <c r="C8" s="142"/>
      <c r="D8" s="142"/>
      <c r="E8" s="142"/>
      <c r="G8" s="27"/>
      <c r="H8" s="27"/>
      <c r="I8" s="27"/>
    </row>
    <row r="9" spans="1:9" ht="15" customHeight="1" x14ac:dyDescent="0.2">
      <c r="A9" s="28" t="s">
        <v>240</v>
      </c>
      <c r="B9" s="28" t="s">
        <v>241</v>
      </c>
      <c r="C9" s="28" t="s">
        <v>13</v>
      </c>
      <c r="D9" s="28" t="s">
        <v>242</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Log'!$D$4:$D$810,$B10,'Match Log'!$C$4:$C$810,$A10,'Match Log'!$E$4:$E$810,"Win")&amp;"–"&amp;(COUNTIFS('Match Log'!$D$4:$D$810,$B10,'Match Log'!$C$4:$C$810,$A10)-COUNTIFS('Match Log'!$D$4:$D$810,$B10,'Match Log'!$C$4:$C$810,$A10,'Match Log'!$E$4:$E$810,"Win")))</f>
        <v>6–0</v>
      </c>
      <c r="E10" s="31">
        <f>IFERROR('Sport Records'!$P$8,0)</f>
        <v>7</v>
      </c>
      <c r="G10" s="32" t="s">
        <v>243</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244</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245</v>
      </c>
      <c r="H13" s="34" t="s">
        <v>246</v>
      </c>
      <c r="I13" s="34" t="s">
        <v>247</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22</v>
      </c>
      <c r="G14" s="35" t="s">
        <v>248</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249</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250</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251</v>
      </c>
      <c r="H17" s="39" t="s">
        <v>252</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253</v>
      </c>
      <c r="H18" s="41" t="s">
        <v>254</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Log'!$D$4:$D$810,$B19,'Match Log'!$C$4:$C$810,$A19,'Match Log'!$E$4:$E$810,"Win")&amp;"–"&amp;(COUNTIFS('Match Log'!$D$4:$D$810,$B19,'Match Log'!$C$4:$C$810,$A19)-COUNTIFS('Match Log'!$D$4:$D$810,$B19,'Match Log'!$C$4:$C$810,$A19,'Match Log'!$E$4:$E$810,"Win")))</f>
        <v>5–1</v>
      </c>
      <c r="E19" s="31">
        <f>IFERROR('Sport Records'!$P$17,0)</f>
        <v>6</v>
      </c>
      <c r="G19" s="38" t="s">
        <v>255</v>
      </c>
      <c r="H19" s="42" t="s">
        <v>254</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256</v>
      </c>
      <c r="H20" s="41" t="s">
        <v>254</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257</v>
      </c>
      <c r="H21" s="42" t="s">
        <v>258</v>
      </c>
      <c r="I21" s="40" t="s">
        <v>259</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260</v>
      </c>
      <c r="H23" s="44" t="s">
        <v>261</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262</v>
      </c>
      <c r="H24" s="44" t="s">
        <v>263</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Daniel (Ferret)</v>
      </c>
      <c r="C28" s="31">
        <f>IF(OR($B28="—",$B28=""),"",ROUND(MAX('Sport Records'!$B$124:$O$124),0))</f>
        <v>1038</v>
      </c>
      <c r="D28" s="31" t="str">
        <f>IF(OR($B28="—",$B28=""),"—",COUNTIFS('Match Log'!$D$4:$D$810,$B28,'Match Log'!$C$4:$C$810,$A28,'Match Log'!$E$4:$E$810,"Win")&amp;"–"&amp;(COUNTIFS('Match Log'!$D$4:$D$810,$B28,'Match Log'!$C$4:$C$810,$A28)-COUNTIFS('Match Log'!$D$4:$D$810,$B28,'Match Log'!$C$4:$C$810,$A28,'Match Log'!$E$4:$E$810,"Win")))</f>
        <v>10–11</v>
      </c>
      <c r="E28" s="31">
        <f>'Sport Records'!$P$26</f>
        <v>37</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455</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264</v>
      </c>
      <c r="B1" s="46"/>
      <c r="C1" s="46"/>
      <c r="D1" s="46"/>
      <c r="E1" s="46"/>
      <c r="F1" s="46"/>
      <c r="G1" s="46"/>
      <c r="H1" s="46"/>
      <c r="I1" s="46"/>
      <c r="J1" s="46"/>
      <c r="K1" s="46"/>
      <c r="L1" s="46"/>
    </row>
    <row r="2" spans="1:24" ht="15" customHeight="1" x14ac:dyDescent="0.2">
      <c r="A2" s="47" t="s">
        <v>265</v>
      </c>
      <c r="B2" s="47"/>
      <c r="C2" s="47"/>
      <c r="D2" s="47"/>
      <c r="E2" s="47"/>
      <c r="F2" s="47"/>
      <c r="G2" s="47"/>
      <c r="H2" s="47"/>
      <c r="I2" s="47"/>
      <c r="J2" s="47"/>
      <c r="K2" s="47"/>
      <c r="L2" s="47"/>
      <c r="M2" s="48" t="str">
        <f>"Standings as of Game "&amp;MAX('Match Log'!$A$4:$A$810)&amp;"  ·  "&amp;TEXT(MAX('Match Log'!$B$4:$B$810),"d mmm yyyy")</f>
        <v>Standings as of Game 290  ·  20 Sep 2026</v>
      </c>
      <c r="T2" s="49"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132</v>
      </c>
      <c r="D4" s="51" t="s">
        <v>10</v>
      </c>
      <c r="E4" s="51" t="s">
        <v>266</v>
      </c>
      <c r="F4" s="51" t="s">
        <v>267</v>
      </c>
      <c r="G4" s="51" t="s">
        <v>12</v>
      </c>
      <c r="H4" s="51" t="s">
        <v>142</v>
      </c>
      <c r="I4" s="51" t="s">
        <v>144</v>
      </c>
      <c r="J4" s="51" t="s">
        <v>146</v>
      </c>
      <c r="K4" s="51" t="s">
        <v>268</v>
      </c>
      <c r="L4" s="51" t="s">
        <v>164</v>
      </c>
      <c r="M4" s="51" t="s">
        <v>269</v>
      </c>
      <c r="N4" s="51" t="s">
        <v>270</v>
      </c>
      <c r="O4" s="51" t="s">
        <v>152</v>
      </c>
      <c r="P4" s="51" t="s">
        <v>271</v>
      </c>
      <c r="Q4" s="51" t="s">
        <v>272</v>
      </c>
      <c r="R4" s="51" t="s">
        <v>273</v>
      </c>
      <c r="S4" s="51" t="s">
        <v>274</v>
      </c>
      <c r="T4" s="51" t="s">
        <v>160</v>
      </c>
      <c r="U4" s="51" t="s">
        <v>136</v>
      </c>
      <c r="V4" s="51" t="s">
        <v>275</v>
      </c>
      <c r="W4" s="51" t="s">
        <v>162</v>
      </c>
      <c r="X4" s="51" t="s">
        <v>276</v>
      </c>
    </row>
    <row r="5" spans="1:24" ht="15" customHeight="1" x14ac:dyDescent="0.2">
      <c r="A5" s="52">
        <f t="shared" ref="A5:A18" si="0">ROW()-4</f>
        <v>1</v>
      </c>
      <c r="B5" s="53" t="str">
        <f ca="1">IFERROR(INDEX(Calcs!$A$7:$A$20,MATCH(LARGE(Calcs!$AI$7:$AI$20,ROW()-4),Calcs!$AI$7:$AI$20,0)),"")</f>
        <v>Aaron</v>
      </c>
      <c r="C5" s="54">
        <f ca="1">IFERROR(INDEX(Calcs!$S$7:$S$20,MATCH($B5,Calcs!$A$7:$A$20,0)),"")</f>
        <v>1244.4221853966828</v>
      </c>
      <c r="D5" s="55">
        <f ca="1">COUNTIF('Match Log'!$D$4:$D$810,$B5)</f>
        <v>84</v>
      </c>
      <c r="E5" s="55">
        <f ca="1">COUNTIFS('Match Log'!$D$4:$D$810,$B5,'Match Log'!$E$4:$E$810,"Win")</f>
        <v>42</v>
      </c>
      <c r="F5" s="55">
        <f t="shared" ref="F5:F18" ca="1" si="1">$D5-$E5</f>
        <v>42</v>
      </c>
      <c r="G5" s="56">
        <f t="shared" ref="G5:G18" ca="1" si="2">IF($D5=0,"",$E5/$D5)</f>
        <v>0.5</v>
      </c>
      <c r="H5" s="57">
        <f ca="1">SUMIF('Match Log'!$D$4:$D$810,$B5,'Match Log'!$J$4:$J$810)</f>
        <v>92.776527810197052</v>
      </c>
      <c r="I5" s="57">
        <f ca="1">SUMIF('Match Log'!$D$4:$D$810,$B5,'Match Log'!$K$4:$K$810)</f>
        <v>80.745657586485379</v>
      </c>
      <c r="J5" s="57">
        <f ca="1">SUMIF('Match Log'!$D$4:$D$810,$B5,'Match Log'!$L$4:$L$810)</f>
        <v>92</v>
      </c>
      <c r="K5" s="55">
        <f ca="1">SUMPRODUCT(--(COUNTIFS('Match Log'!$D$4:$D$810,$B5,'Match Log'!$C$4:$C$810,Lists!$C$2:$C$26)&gt;0))</f>
        <v>14</v>
      </c>
      <c r="L5" s="55" t="str">
        <f ca="1">IF($D5=0,"No games",IF(AND($D5&gt;='Guide &amp; Settings'!$C$45,$K5&gt;='Guide &amp; Settings'!$C$46),"Eligible","Provisional"))</f>
        <v>Eligible</v>
      </c>
      <c r="M5" s="54">
        <f ca="1">IFERROR(INDEX(Calcs!$C$7:$C$20,MATCH($B5,Calcs!$A$7:$A$20,0)),"")</f>
        <v>1121.8476943940032</v>
      </c>
      <c r="N5" s="54">
        <f t="shared" ref="N5:N18" ca="1" si="3">MAX($C$5:$C$18)-$C5</f>
        <v>0</v>
      </c>
      <c r="O5" s="55" t="str">
        <f ca="1">IFERROR(INDEX(Calcs!$H$7:$H$20,MATCH($B5,Calcs!$A$7:$A$20,0)),"")</f>
        <v>W2</v>
      </c>
      <c r="P5" s="55" t="str">
        <f ca="1">IFERROR(INDEX(Calcs!$I$7:$I$20,MATCH($B5,Calcs!$A$7:$A$20,0)),"")</f>
        <v>WWLWW</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22 Aug</v>
      </c>
      <c r="S5" s="55">
        <f ca="1">IFERROR(ROUND(INDEX(Calcs!$Q$7:$Q$20,MATCH($B5,Calcs!$A$7:$A$20,0)),1),"")</f>
        <v>4.0999999999999996</v>
      </c>
      <c r="T5" s="55" t="str">
        <f ca="1">IFERROR(INDEX(Calcs!$T$7:$T$20,MATCH($B5,Calcs!$A$7:$A$20,0)),"")</f>
        <v>Inactive</v>
      </c>
      <c r="U5">
        <f ca="1">IFERROR(ROUND(INDEX(Calcs!$R$7:$R$20,MATCH($B5,Calcs!$A$7:$A$20,0))+INDEX(Calcs!$U$7:$U$20,MATCH($B5,Calcs!$A$7:$A$20,0)),0),0)</f>
        <v>10</v>
      </c>
      <c r="V5" s="57">
        <f ca="1">IFERROR(ROUND(INDEX(Calcs!$S$7:$S$20,MATCH($B5,Calcs!$A$7:$A$20,0)),0),"")</f>
        <v>1244</v>
      </c>
      <c r="W5" s="55" t="str">
        <f ca="1">IFERROR(INDEX(Calcs!$AF$7:$AF$20,MATCH($B5,Calcs!$A$7:$A$20,0)),"")</f>
        <v>Elite</v>
      </c>
      <c r="X5" s="57">
        <f ca="1">IFERROR(ROUND(SUMIF('Poker Stake Ledger'!$C$18:$C$137,$B5,'Poker Stake Ledger'!$K$18:$K$137),1),0)</f>
        <v>-11.1</v>
      </c>
    </row>
    <row r="6" spans="1:24" ht="15" customHeight="1" x14ac:dyDescent="0.2">
      <c r="A6" s="52">
        <f t="shared" si="0"/>
        <v>2</v>
      </c>
      <c r="B6" s="53" t="str">
        <f ca="1">IFERROR(INDEX(Calcs!$A$7:$A$20,MATCH(LARGE(Calcs!$AI$7:$AI$20,ROW()-4),Calcs!$AI$7:$AI$20,0)),"")</f>
        <v>Shawn</v>
      </c>
      <c r="C6" s="54">
        <f ca="1">IFERROR(INDEX(Calcs!$S$7:$S$20,MATCH($B6,Calcs!$A$7:$A$20,0)),"")</f>
        <v>1224.3457478478258</v>
      </c>
      <c r="D6" s="55">
        <f ca="1">COUNTIF('Match Log'!$D$4:$D$810,$B6)</f>
        <v>147</v>
      </c>
      <c r="E6" s="55">
        <f ca="1">COUNTIFS('Match Log'!$D$4:$D$810,$B6,'Match Log'!$E$4:$E$810,"Win")</f>
        <v>71</v>
      </c>
      <c r="F6" s="55">
        <f t="shared" ca="1" si="1"/>
        <v>76</v>
      </c>
      <c r="G6" s="56">
        <f t="shared" ca="1" si="2"/>
        <v>0.48299319727891155</v>
      </c>
      <c r="H6" s="57">
        <f ca="1">SUMIF('Match Log'!$D$4:$D$810,$B6,'Match Log'!$J$4:$J$810)</f>
        <v>32.889638506062298</v>
      </c>
      <c r="I6" s="57">
        <f ca="1">SUMIF('Match Log'!$D$4:$D$810,$B6,'Match Log'!$K$4:$K$810)</f>
        <v>30.206109341763892</v>
      </c>
      <c r="J6" s="57">
        <f ca="1">SUMIF('Match Log'!$D$4:$D$810,$B6,'Match Log'!$L$4:$L$810)</f>
        <v>165</v>
      </c>
      <c r="K6" s="55">
        <f ca="1">SUMPRODUCT(--(COUNTIFS('Match Log'!$D$4:$D$810,$B6,'Match Log'!$C$4:$C$810,Lists!$C$2:$C$26)&gt;0))</f>
        <v>19</v>
      </c>
      <c r="L6" s="55" t="str">
        <f ca="1">IF($D6=0,"No games",IF(AND($D6&gt;='Guide &amp; Settings'!$C$45,$K6&gt;='Guide &amp; Settings'!$C$46),"Eligible","Provisional"))</f>
        <v>Eligible</v>
      </c>
      <c r="M6" s="54">
        <f ca="1">IFERROR(INDEX(Calcs!$C$7:$C$20,MATCH($B6,Calcs!$A$7:$A$20,0)),"")</f>
        <v>1103.603244535147</v>
      </c>
      <c r="N6" s="54">
        <f t="shared" ca="1" si="3"/>
        <v>20.076437548857029</v>
      </c>
      <c r="O6" s="55" t="str">
        <f ca="1">IFERROR(INDEX(Calcs!$H$7:$H$20,MATCH($B6,Calcs!$A$7:$A$20,0)),"")</f>
        <v>W1</v>
      </c>
      <c r="P6" s="55" t="str">
        <f ca="1">IFERROR(INDEX(Calcs!$I$7:$I$20,MATCH($B6,Calcs!$A$7:$A$20,0)),"")</f>
        <v>WLLLW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20 Sep</v>
      </c>
      <c r="S6" s="55">
        <f ca="1">IFERROR(ROUND(INDEX(Calcs!$Q$7:$Q$20,MATCH($B6,Calcs!$A$7:$A$20,0)),1),"")</f>
        <v>0</v>
      </c>
      <c r="T6" s="55" t="str">
        <f ca="1">IFERROR(INDEX(Calcs!$T$7:$T$20,MATCH($B6,Calcs!$A$7:$A$20,0)),"")</f>
        <v>Active</v>
      </c>
      <c r="U6">
        <f ca="1">IFERROR(ROUND(INDEX(Calcs!$R$7:$R$20,MATCH($B6,Calcs!$A$7:$A$20,0))+INDEX(Calcs!$U$7:$U$20,MATCH($B6,Calcs!$A$7:$A$20,0)),0),0)</f>
        <v>0</v>
      </c>
      <c r="V6" s="57">
        <f ca="1">IFERROR(ROUND(INDEX(Calcs!$S$7:$S$20,MATCH($B6,Calcs!$A$7:$A$20,0)),0),"")</f>
        <v>1224</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Dean B</v>
      </c>
      <c r="C7" s="54">
        <f ca="1">IFERROR(INDEX(Calcs!$S$7:$S$20,MATCH($B7,Calcs!$A$7:$A$20,0)),"")</f>
        <v>1218.9288111472574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1084.9489488212637</v>
      </c>
      <c r="N7" s="54">
        <f t="shared" ca="1" si="3"/>
        <v>25.493374249425415</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22 Aug</v>
      </c>
      <c r="S7" s="55">
        <f ca="1">IFERROR(ROUND(INDEX(Calcs!$Q$7:$Q$20,MATCH($B7,Calcs!$A$7:$A$20,0)),1),"")</f>
        <v>4.0999999999999996</v>
      </c>
      <c r="T7" s="55" t="str">
        <f ca="1">IFERROR(INDEX(Calcs!$T$7:$T$20,MATCH($B7,Calcs!$A$7:$A$20,0)),"")</f>
        <v>Inactive</v>
      </c>
      <c r="U7">
        <f ca="1">IFERROR(ROUND(INDEX(Calcs!$R$7:$R$20,MATCH($B7,Calcs!$A$7:$A$20,0))+INDEX(Calcs!$U$7:$U$20,MATCH($B7,Calcs!$A$7:$A$20,0)),0),0)</f>
        <v>30</v>
      </c>
      <c r="V7" s="57">
        <f ca="1">IFERROR(ROUND(INDEX(Calcs!$S$7:$S$20,MATCH($B7,Calcs!$A$7:$A$20,0)),0),"")</f>
        <v>1219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1214.0621492095624</v>
      </c>
      <c r="D8" s="55">
        <f ca="1">COUNTIF('Match Log'!$D$4:$D$810,$B8)</f>
        <v>62</v>
      </c>
      <c r="E8" s="55">
        <f ca="1">COUNTIFS('Match Log'!$D$4:$D$810,$B8,'Match Log'!$E$4:$E$810,"Win")</f>
        <v>37</v>
      </c>
      <c r="F8" s="55">
        <f t="shared" ca="1" si="1"/>
        <v>25</v>
      </c>
      <c r="G8" s="56">
        <f t="shared" ca="1" si="2"/>
        <v>0.59677419354838712</v>
      </c>
      <c r="H8" s="57">
        <f ca="1">SUMIF('Match Log'!$D$4:$D$810,$B8,'Match Log'!$J$4:$J$810)</f>
        <v>86.079325685091305</v>
      </c>
      <c r="I8" s="57">
        <f ca="1">SUMIF('Match Log'!$D$4:$D$810,$B8,'Match Log'!$K$4:$K$810)</f>
        <v>56.232823524470831</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1091.4997308483787</v>
      </c>
      <c r="N8" s="54">
        <f t="shared" ca="1" si="3"/>
        <v>30.360036187120386</v>
      </c>
      <c r="O8" s="55" t="str">
        <f ca="1">IFERROR(INDEX(Calcs!$H$7:$H$20,MATCH($B8,Calcs!$A$7:$A$20,0)),"")</f>
        <v>W3</v>
      </c>
      <c r="P8" s="55" t="str">
        <f ca="1">IFERROR(INDEX(Calcs!$I$7:$I$20,MATCH($B8,Calcs!$A$7:$A$20,0)),"")</f>
        <v>WLWWW</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7 Sep</v>
      </c>
      <c r="S8" s="55">
        <f ca="1">IFERROR(ROUND(INDEX(Calcs!$Q$7:$Q$20,MATCH($B8,Calcs!$A$7:$A$20,0)),1),"")</f>
        <v>1.9</v>
      </c>
      <c r="T8" s="55" t="str">
        <f ca="1">IFERROR(INDEX(Calcs!$T$7:$T$20,MATCH($B8,Calcs!$A$7:$A$20,0)),"")</f>
        <v>Active</v>
      </c>
      <c r="U8">
        <f ca="1">IFERROR(ROUND(INDEX(Calcs!$R$7:$R$20,MATCH($B8,Calcs!$A$7:$A$20,0))+INDEX(Calcs!$U$7:$U$20,MATCH($B8,Calcs!$A$7:$A$20,0)),0),0)</f>
        <v>0</v>
      </c>
      <c r="V8" s="57">
        <f ca="1">IFERROR(ROUND(INDEX(Calcs!$S$7:$S$20,MATCH($B8,Calcs!$A$7:$A$20,0)),0),"")</f>
        <v>1214</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1210.4461816871431</v>
      </c>
      <c r="D9" s="55">
        <f ca="1">COUNTIF('Match Log'!$D$4:$D$810,$B9)</f>
        <v>40</v>
      </c>
      <c r="E9" s="55">
        <f ca="1">COUNTIFS('Match Log'!$D$4:$D$810,$B9,'Match Log'!$E$4:$E$810,"Win")</f>
        <v>21</v>
      </c>
      <c r="F9" s="55">
        <f t="shared" ca="1" si="1"/>
        <v>19</v>
      </c>
      <c r="G9" s="56">
        <f t="shared" ca="1" si="2"/>
        <v>0.52500000000000002</v>
      </c>
      <c r="H9" s="57">
        <f ca="1">SUMIF('Match Log'!$D$4:$D$810,$B9,'Match Log'!$J$4:$J$810)</f>
        <v>74.310240078644824</v>
      </c>
      <c r="I9" s="57">
        <f ca="1">SUMIF('Match Log'!$D$4:$D$810,$B9,'Match Log'!$K$4:$K$810)</f>
        <v>55.685941608498204</v>
      </c>
      <c r="J9" s="57">
        <f ca="1">SUMIF('Match Log'!$D$4:$D$810,$B9,'Match Log'!$L$4:$L$810)</f>
        <v>86</v>
      </c>
      <c r="K9" s="55">
        <f ca="1">SUMPRODUCT(--(COUNTIFS('Match Log'!$D$4:$D$810,$B9,'Match Log'!$C$4:$C$810,Lists!$C$2:$C$26)&gt;0))</f>
        <v>12</v>
      </c>
      <c r="L9" s="55" t="str">
        <f ca="1">IF($D9=0,"No games",IF(AND($D9&gt;='Guide &amp; Settings'!$C$45,$K9&gt;='Guide &amp; Settings'!$C$46),"Eligible","Provisional"))</f>
        <v>Eligible</v>
      </c>
      <c r="M9" s="54">
        <f ca="1">IFERROR(INDEX(Calcs!$C$7:$C$20,MATCH($B9,Calcs!$A$7:$A$20,0)),"")</f>
        <v>1076.6213057146342</v>
      </c>
      <c r="N9" s="54">
        <f t="shared" ca="1" si="3"/>
        <v>33.976003709539782</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v>
      </c>
      <c r="R9" s="55" t="str">
        <f ca="1">IFERROR(IF(INDEX(Calcs!$P$7:$P$20,MATCH($B9,Calcs!$A$7:$A$20,0))=0,"—",TEXT(INDEX(Calcs!$P$7:$P$20,MATCH($B9,Calcs!$A$7:$A$20,0)),"d mmm")),"")</f>
        <v>6 Sep</v>
      </c>
      <c r="S9" s="55">
        <f ca="1">IFERROR(ROUND(INDEX(Calcs!$Q$7:$Q$20,MATCH($B9,Calcs!$A$7:$A$20,0)),1),"")</f>
        <v>2</v>
      </c>
      <c r="T9" s="55" t="str">
        <f ca="1">IFERROR(INDEX(Calcs!$T$7:$T$20,MATCH($B9,Calcs!$A$7:$A$20,0)),"")</f>
        <v>At risk</v>
      </c>
      <c r="U9">
        <f ca="1">IFERROR(ROUND(INDEX(Calcs!$R$7:$R$20,MATCH($B9,Calcs!$A$7:$A$20,0))+INDEX(Calcs!$U$7:$U$20,MATCH($B9,Calcs!$A$7:$A$20,0)),0),0)</f>
        <v>0</v>
      </c>
      <c r="V9" s="57">
        <f ca="1">IFERROR(ROUND(INDEX(Calcs!$S$7:$S$20,MATCH($B9,Calcs!$A$7:$A$20,0)),0),"")</f>
        <v>1210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Dean M</v>
      </c>
      <c r="C10" s="54">
        <f ca="1">IFERROR(INDEX(Calcs!$S$7:$S$20,MATCH($B10,Calcs!$A$7:$A$20,0)),"")</f>
        <v>1067.5488947064855</v>
      </c>
      <c r="D10" s="55">
        <f ca="1">COUNTIF('Match Log'!$D$4:$D$810,$B10)</f>
        <v>15</v>
      </c>
      <c r="E10" s="55">
        <f ca="1">COUNTIFS('Match Log'!$D$4:$D$810,$B10,'Match Log'!$E$4:$E$810,"Win")</f>
        <v>7</v>
      </c>
      <c r="F10" s="55">
        <f t="shared" ca="1" si="1"/>
        <v>8</v>
      </c>
      <c r="G10" s="56">
        <f t="shared" ca="1" si="2"/>
        <v>0.46666666666666667</v>
      </c>
      <c r="H10" s="57">
        <f ca="1">SUMIF('Match Log'!$D$4:$D$810,$B10,'Match Log'!$J$4:$J$810)</f>
        <v>28.076161354904098</v>
      </c>
      <c r="I10" s="57">
        <f ca="1">SUMIF('Match Log'!$D$4:$D$810,$B10,'Match Log'!$K$4:$K$810)</f>
        <v>24.47273335158134</v>
      </c>
      <c r="J10" s="57">
        <f ca="1">SUMIF('Match Log'!$D$4:$D$810,$B10,'Match Log'!$L$4:$L$810)</f>
        <v>35</v>
      </c>
      <c r="K10" s="55">
        <f ca="1">SUMPRODUCT(--(COUNTIFS('Match Log'!$D$4:$D$810,$B10,'Match Log'!$C$4:$C$810,Lists!$C$2:$C$26)&gt;0))</f>
        <v>4</v>
      </c>
      <c r="L10" s="55" t="str">
        <f ca="1">IF($D10=0,"No games",IF(AND($D10&gt;='Guide &amp; Settings'!$C$45,$K10&gt;='Guide &amp; Settings'!$C$46),"Eligible","Provisional"))</f>
        <v>Eligible</v>
      </c>
      <c r="M10" s="54">
        <f ca="1">IFERROR(INDEX(Calcs!$C$7:$C$20,MATCH($B10,Calcs!$A$7:$A$20,0)),"")</f>
        <v>1038.0306790535494</v>
      </c>
      <c r="N10" s="54">
        <f t="shared" ca="1" si="3"/>
        <v>176.87329069019734</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15 Aug</v>
      </c>
      <c r="S10" s="55">
        <f ca="1">IFERROR(ROUND(INDEX(Calcs!$Q$7:$Q$20,MATCH($B10,Calcs!$A$7:$A$20,0)),1),"")</f>
        <v>5.0999999999999996</v>
      </c>
      <c r="T10" s="55" t="str">
        <f ca="1">IFERROR(INDEX(Calcs!$T$7:$T$20,MATCH($B10,Calcs!$A$7:$A$20,0)),"")</f>
        <v>Inactive</v>
      </c>
      <c r="U10">
        <f ca="1">IFERROR(ROUND(INDEX(Calcs!$R$7:$R$20,MATCH($B10,Calcs!$A$7:$A$20,0))+INDEX(Calcs!$U$7:$U$20,MATCH($B10,Calcs!$A$7:$A$20,0)),0),0)</f>
        <v>20</v>
      </c>
      <c r="V10" s="57">
        <f ca="1">IFERROR(ROUND(INDEX(Calcs!$S$7:$S$20,MATCH($B10,Calcs!$A$7:$A$20,0)),0),"")</f>
        <v>1068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Log'!$D$4:$D$810,$B11)</f>
        <v>20</v>
      </c>
      <c r="E11" s="55">
        <f ca="1">COUNTIFS('Match Log'!$D$4:$D$810,$B11,'Match Log'!$E$4:$E$810,"Win")</f>
        <v>9</v>
      </c>
      <c r="F11" s="55">
        <f t="shared" ca="1" si="1"/>
        <v>11</v>
      </c>
      <c r="G11" s="56">
        <f t="shared" ca="1" si="2"/>
        <v>0.45</v>
      </c>
      <c r="H11" s="57">
        <f ca="1">SUMIF('Match Log'!$D$4:$D$810,$B11,'Match Log'!$J$4:$J$810)</f>
        <v>38.265554488910006</v>
      </c>
      <c r="I11" s="57">
        <f ca="1">SUMIF('Match Log'!$D$4:$D$810,$B11,'Match Log'!$K$4:$K$810)</f>
        <v>2.963167039732447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1111.675244572471</v>
      </c>
      <c r="N11" s="54">
        <f t="shared" ca="1" si="3"/>
        <v>183.19346386804045</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9 Sep</v>
      </c>
      <c r="S11" s="55">
        <f ca="1">IFERROR(ROUND(INDEX(Calcs!$Q$7:$Q$20,MATCH($B11,Calcs!$A$7:$A$20,0)),1),"")</f>
        <v>1.6</v>
      </c>
      <c r="T11" s="55" t="str">
        <f ca="1">IFERROR(INDEX(Calcs!$T$7:$T$20,MATCH($B11,Calcs!$A$7:$A$20,0)),"")</f>
        <v>Active</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Daniel (Ferret)</v>
      </c>
      <c r="C12" s="54">
        <f ca="1">IFERROR(INDEX(Calcs!$S$7:$S$20,MATCH($B12,Calcs!$A$7:$A$20,0)),"")</f>
        <v>1021.6316244606566</v>
      </c>
      <c r="D12" s="55">
        <f ca="1">COUNTIF('Match Log'!$D$4:$D$810,$B12)</f>
        <v>133</v>
      </c>
      <c r="E12" s="55">
        <f ca="1">COUNTIFS('Match Log'!$D$4:$D$810,$B12,'Match Log'!$E$4:$E$810,"Win")</f>
        <v>51</v>
      </c>
      <c r="F12" s="55">
        <f t="shared" ca="1" si="1"/>
        <v>82</v>
      </c>
      <c r="G12" s="56">
        <f t="shared" ca="1" si="2"/>
        <v>0.38345864661654133</v>
      </c>
      <c r="H12" s="57">
        <f ca="1">SUMIF('Match Log'!$D$4:$D$810,$B12,'Match Log'!$J$4:$J$810)</f>
        <v>-112.1092876533011</v>
      </c>
      <c r="I12" s="57">
        <f ca="1">SUMIF('Match Log'!$D$4:$D$810,$B12,'Match Log'!$K$4:$K$810)</f>
        <v>-7.9090878860414771</v>
      </c>
      <c r="J12" s="57">
        <f ca="1">SUMIF('Match Log'!$D$4:$D$810,$B12,'Match Log'!$L$4:$L$810)</f>
        <v>143</v>
      </c>
      <c r="K12" s="55">
        <f ca="1">SUMPRODUCT(--(COUNTIFS('Match Log'!$D$4:$D$810,$B12,'Match Log'!$C$4:$C$810,Lists!$C$2:$C$26)&gt;0))</f>
        <v>20</v>
      </c>
      <c r="L12" s="55" t="str">
        <f ca="1">IF($D12=0,"No games",IF(AND($D12&gt;='Guide &amp; Settings'!$C$45,$K12&gt;='Guide &amp; Settings'!$C$46),"Eligible","Provisional"))</f>
        <v>Eligible</v>
      </c>
      <c r="M12" s="54">
        <f ca="1">IFERROR(INDEX(Calcs!$C$7:$C$20,MATCH($B12,Calcs!$A$7:$A$20,0)),"")</f>
        <v>1171.4111581521208</v>
      </c>
      <c r="N12" s="54">
        <f t="shared" ca="1" si="3"/>
        <v>222.79056093602628</v>
      </c>
      <c r="O12" s="55" t="str">
        <f ca="1">IFERROR(INDEX(Calcs!$H$7:$H$20,MATCH($B12,Calcs!$A$7:$A$20,0)),"")</f>
        <v>L1</v>
      </c>
      <c r="P12" s="55" t="str">
        <f ca="1">IFERROR(INDEX(Calcs!$I$7:$I$20,MATCH($B12,Calcs!$A$7:$A$20,0)),"")</f>
        <v>LWWWL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20 Sep</v>
      </c>
      <c r="S12" s="55">
        <f ca="1">IFERROR(ROUND(INDEX(Calcs!$Q$7:$Q$20,MATCH($B12,Calcs!$A$7:$A$20,0)),1),"")</f>
        <v>0</v>
      </c>
      <c r="T12" s="55" t="str">
        <f ca="1">IFERROR(INDEX(Calcs!$T$7:$T$20,MATCH($B12,Calcs!$A$7:$A$20,0)),"")</f>
        <v>Active</v>
      </c>
      <c r="U12">
        <f ca="1">IFERROR(ROUND(INDEX(Calcs!$R$7:$R$20,MATCH($B12,Calcs!$A$7:$A$20,0))+INDEX(Calcs!$U$7:$U$20,MATCH($B12,Calcs!$A$7:$A$20,0)),0),0)</f>
        <v>0</v>
      </c>
      <c r="V12" s="57">
        <f ca="1">IFERROR(ROUND(INDEX(Calcs!$S$7:$S$20,MATCH($B12,Calcs!$A$7:$A$20,0)),0),"")</f>
        <v>1022</v>
      </c>
      <c r="W12" s="55" t="str">
        <f ca="1">IFERROR(INDEX(Calcs!$AF$7:$AF$20,MATCH($B12,Calcs!$A$7:$A$20,0)),"")</f>
        <v>Strong</v>
      </c>
      <c r="X12" s="57">
        <f ca="1">IFERROR(ROUND(SUMIF('Poker Stake Ledger'!$C$18:$C$137,$B12,'Poker Stake Ledger'!$K$18:$K$137),1),0)</f>
        <v>-1.4</v>
      </c>
    </row>
    <row r="13" spans="1:24" ht="15" customHeight="1" x14ac:dyDescent="0.2">
      <c r="A13" s="52">
        <f t="shared" si="0"/>
        <v>9</v>
      </c>
      <c r="B13" s="53" t="str">
        <f ca="1">IFERROR(INDEX(Calcs!$A$7:$A$20,MATCH(LARGE(Calcs!$AI$7:$AI$20,ROW()-4),Calcs!$AI$7:$AI$20,0)),"")</f>
        <v>Dylan A</v>
      </c>
      <c r="C13" s="54">
        <f ca="1">IFERROR(INDEX(Calcs!$S$7:$S$20,MATCH($B13,Calcs!$A$7:$A$20,0)),"")</f>
        <v>1003.2192605207141</v>
      </c>
      <c r="D13" s="55">
        <f ca="1">COUNTIF('Match Log'!$D$4:$D$810,$B13)</f>
        <v>15</v>
      </c>
      <c r="E13" s="55">
        <f ca="1">COUNTIFS('Match Log'!$D$4:$D$810,$B13,'Match Log'!$E$4:$E$810,"Win")</f>
        <v>6</v>
      </c>
      <c r="F13" s="55">
        <f t="shared" ca="1" si="1"/>
        <v>9</v>
      </c>
      <c r="G13" s="56">
        <f t="shared" ca="1" si="2"/>
        <v>0.4</v>
      </c>
      <c r="H13" s="57">
        <f ca="1">SUMIF('Match Log'!$D$4:$D$810,$B13,'Match Log'!$J$4:$J$810)</f>
        <v>-11.626983026245711</v>
      </c>
      <c r="I13" s="57">
        <f ca="1">SUMIF('Match Log'!$D$4:$D$810,$B13,'Match Log'!$K$4:$K$810)</f>
        <v>3.8462435469599932</v>
      </c>
      <c r="J13" s="57">
        <f ca="1">SUMIF('Match Log'!$D$4:$D$810,$B13,'Match Log'!$L$4:$L$810)</f>
        <v>31</v>
      </c>
      <c r="K13" s="55">
        <f ca="1">SUMPRODUCT(--(COUNTIFS('Match Log'!$D$4:$D$810,$B13,'Match Log'!$C$4:$C$810,Lists!$C$2:$C$26)&gt;0))</f>
        <v>4</v>
      </c>
      <c r="L13" s="55" t="str">
        <f ca="1">IF($D13=0,"No games",IF(AND($D13&gt;='Guide &amp; Settings'!$C$45,$K13&gt;='Guide &amp; Settings'!$C$46),"Eligible","Provisional"))</f>
        <v>Eligible</v>
      </c>
      <c r="M13" s="54">
        <f ca="1">IFERROR(INDEX(Calcs!$C$7:$C$20,MATCH($B13,Calcs!$A$7:$A$20,0)),"")</f>
        <v>1068.5436756642807</v>
      </c>
      <c r="N13" s="54">
        <f t="shared" ca="1" si="3"/>
        <v>241.20292487596873</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15 Aug</v>
      </c>
      <c r="S13" s="55">
        <f ca="1">IFERROR(ROUND(INDEX(Calcs!$Q$7:$Q$20,MATCH($B13,Calcs!$A$7:$A$20,0)),1),"")</f>
        <v>5.0999999999999996</v>
      </c>
      <c r="T13" s="55" t="str">
        <f ca="1">IFERROR(INDEX(Calcs!$T$7:$T$20,MATCH($B13,Calcs!$A$7:$A$20,0)),"")</f>
        <v>Inactive</v>
      </c>
      <c r="U13">
        <f ca="1">IFERROR(ROUND(INDEX(Calcs!$R$7:$R$20,MATCH($B13,Calcs!$A$7:$A$20,0))+INDEX(Calcs!$U$7:$U$20,MATCH($B13,Calcs!$A$7:$A$20,0)),0),0)</f>
        <v>20</v>
      </c>
      <c r="V13" s="57">
        <f ca="1">IFERROR(ROUND(INDEX(Calcs!$S$7:$S$20,MATCH($B13,Calcs!$A$7:$A$20,0)),0),"")</f>
        <v>1003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244.42218539668283</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Log'!$D$4:$D$810,$B15)</f>
        <v>82</v>
      </c>
      <c r="E15" s="55">
        <f ca="1">COUNTIFS('Match Log'!$D$4:$D$810,$B15,'Match Log'!$E$4:$E$810,"Win")</f>
        <v>28</v>
      </c>
      <c r="F15" s="55">
        <f t="shared" ca="1" si="1"/>
        <v>54</v>
      </c>
      <c r="G15" s="56">
        <f t="shared" ca="1" si="2"/>
        <v>0.34146341463414637</v>
      </c>
      <c r="H15" s="57">
        <f ca="1">SUMIF('Match Log'!$D$4:$D$810,$B15,'Match Log'!$J$4:$J$810)</f>
        <v>-130.51564376153294</v>
      </c>
      <c r="I15" s="57">
        <f ca="1">SUMIF('Match Log'!$D$4:$D$810,$B15,'Match Log'!$K$4:$K$810)</f>
        <v>-45.089809454901385</v>
      </c>
      <c r="J15" s="57">
        <f ca="1">SUMIF('Match Log'!$D$4:$D$810,$B15,'Match Log'!$L$4:$L$810)</f>
        <v>120</v>
      </c>
      <c r="K15" s="55">
        <f ca="1">SUMPRODUCT(--(COUNTIFS('Match Log'!$D$4:$D$810,$B15,'Match Log'!$C$4:$C$810,Lists!$C$2:$C$26)&gt;0))</f>
        <v>14</v>
      </c>
      <c r="L15" s="55" t="str">
        <f ca="1">IF($D15=0,"No games",IF(AND($D15&gt;='Guide &amp; Settings'!$C$45,$K15&gt;='Guide &amp; Settings'!$C$46),"Eligible","Provisional"))</f>
        <v>Eligible</v>
      </c>
      <c r="M15" s="54">
        <f ca="1">IFERROR(INDEX(Calcs!$C$7:$C$20,MATCH($B15,Calcs!$A$7:$A$20,0)),"")</f>
        <v>1167.6463260347457</v>
      </c>
      <c r="N15" s="54">
        <f t="shared" ca="1" si="3"/>
        <v>300.02763861311701</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2</v>
      </c>
      <c r="T15" s="55" t="str">
        <f ca="1">IFERROR(INDEX(Calcs!$T$7:$T$20,MATCH($B15,Calcs!$A$7:$A$20,0)),"")</f>
        <v>At risk</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929.51759653351382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1086.6848675170754</v>
      </c>
      <c r="N16" s="54">
        <f t="shared" ca="1" si="3"/>
        <v>314.90458886316901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13.9</v>
      </c>
      <c r="T16" s="55" t="str">
        <f ca="1">IFERROR(INDEX(Calcs!$T$7:$T$20,MATCH($B16,Calcs!$A$7:$A$20,0)),"")</f>
        <v>Inactive</v>
      </c>
      <c r="U16">
        <f ca="1">IFERROR(ROUND(INDEX(Calcs!$R$7:$R$20,MATCH($B16,Calcs!$A$7:$A$20,0))+INDEX(Calcs!$U$7:$U$20,MATCH($B16,Calcs!$A$7:$A$20,0)),0),0)</f>
        <v>100</v>
      </c>
      <c r="V16" s="57">
        <f ca="1">IFERROR(ROUND(INDEX(Calcs!$S$7:$S$20,MATCH($B16,Calcs!$A$7:$A$20,0)),0),"")</f>
        <v>930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877.03133644117429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1153.8726946852455</v>
      </c>
      <c r="N17" s="54">
        <f t="shared" ca="1" si="3"/>
        <v>367.39084895550855</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4.0999999999999996</v>
      </c>
      <c r="T17" s="55" t="str">
        <f ca="1">IFERROR(INDEX(Calcs!$T$7:$T$20,MATCH($B17,Calcs!$A$7:$A$20,0)),"")</f>
        <v>Inactive</v>
      </c>
      <c r="U17">
        <f ca="1">IFERROR(ROUND(INDEX(Calcs!$R$7:$R$20,MATCH($B17,Calcs!$A$7:$A$20,0))+INDEX(Calcs!$U$7:$U$20,MATCH($B17,Calcs!$A$7:$A$20,0)),0),0)</f>
        <v>30</v>
      </c>
      <c r="V17" s="57">
        <f ca="1">IFERROR(ROUND(INDEX(Calcs!$S$7:$S$20,MATCH($B17,Calcs!$A$7:$A$20,0)),0),"")</f>
        <v>877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802.22294373677494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1104.6793074292473</v>
      </c>
      <c r="N18" s="54">
        <f t="shared" ca="1" si="3"/>
        <v>442.1992416599079</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v>
      </c>
      <c r="T18" s="55" t="str">
        <f ca="1">IFERROR(INDEX(Calcs!$T$7:$T$20,MATCH($B18,Calcs!$A$7:$A$20,0)),"")</f>
        <v>Inactive</v>
      </c>
      <c r="U18">
        <f ca="1">IFERROR(ROUND(INDEX(Calcs!$R$7:$R$20,MATCH($B18,Calcs!$A$7:$A$20,0))+INDEX(Calcs!$U$7:$U$20,MATCH($B18,Calcs!$A$7:$A$20,0)),0),0)</f>
        <v>60</v>
      </c>
      <c r="V18" s="57">
        <f ca="1">IFERROR(ROUND(INDEX(Calcs!$S$7:$S$20,MATCH($B18,Calcs!$A$7:$A$20,0)),0),"")</f>
        <v>802</v>
      </c>
      <c r="W18" s="55" t="str">
        <f ca="1">IFERROR(INDEX(Calcs!$AF$7:$AF$20,MATCH($B18,Calcs!$A$7:$A$20,0)),"")</f>
        <v>Developing</v>
      </c>
      <c r="X18" s="57">
        <f ca="1">IFERROR(ROUND(SUMIF('Poker Stake Ledger'!$C$18:$C$137,$B18,'Poker Stake Ledger'!$K$18:$K$137),1),0)</f>
        <v>0</v>
      </c>
    </row>
    <row r="19" spans="1:24" ht="15" customHeight="1" x14ac:dyDescent="0.2">
      <c r="A19" s="58" t="s">
        <v>277</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278</v>
      </c>
    </row>
    <row r="2" spans="1:8" ht="15" customHeight="1" x14ac:dyDescent="0.2">
      <c r="A2" s="33" t="s">
        <v>279</v>
      </c>
    </row>
    <row r="3" spans="1:8" ht="15" customHeight="1" x14ac:dyDescent="0.2">
      <c r="A3" s="18" t="s">
        <v>280</v>
      </c>
      <c r="B3" s="60" t="s">
        <v>19</v>
      </c>
      <c r="D3" s="11" t="s">
        <v>281</v>
      </c>
    </row>
    <row r="4" spans="1:8" ht="15" customHeight="1" x14ac:dyDescent="0.2">
      <c r="D4" s="34" t="s">
        <v>240</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132</v>
      </c>
      <c r="B6" s="66">
        <f ca="1">IFERROR(INDEX(Dashboard!$C$5:$C$18,MATCH($B$3,Dashboard!$B$5:$B$18,0)),"")</f>
        <v>1214.0621492095624</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162</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242</v>
      </c>
      <c r="B8" s="62" t="str">
        <f ca="1">IFERROR(INDEX(Dashboard!$E$5:$E$18,MATCH($B$3,Dashboard!$B$5:$B$18,0))&amp;"–"&amp;INDEX(Dashboard!$F$5:$F$18,MATCH($B$3,Dashboard!$B$5:$B$18,0)),"")</f>
        <v>37–25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Log'!$D$4:$D$810,$B$3,'Match Log'!$C$4:$C$810,$D9)</f>
        <v>4</v>
      </c>
      <c r="F9" s="37">
        <f>COUNTIFS('Match Log'!$D$4:$D$810,$B$3,'Match Log'!$C$4:$C$810,$D9,'Match Log'!$E$4:$E$810,"Win")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282</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283</v>
      </c>
      <c r="B12" s="66">
        <f>IFERROR(INDEX(Calcs!$C$7:$C$20,MATCH($B$3,Calcs!$A$7:$A$20,0)),"")</f>
        <v>1091.4997308483787</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284</v>
      </c>
      <c r="B13" s="62" t="str">
        <f>IFERROR(INDEX(Calcs!$H$7:$H$20,MATCH($B$3,Calcs!$A$7:$A$20,0)),"")</f>
        <v>W3</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271</v>
      </c>
      <c r="B14" s="62" t="str">
        <f>IFERROR(INDEX(Calcs!$I$7:$I$20,MATCH($B$3,Calcs!$A$7:$A$20,0)),"")</f>
        <v>WLWWW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175</v>
      </c>
      <c r="B15" s="66">
        <f>IFERROR(INDEX(Calcs!$E$7:$E$20,MATCH($B$3,Calcs!$A$7:$A$20,0)),"")</f>
        <v>73.210036187120295</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164</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285</v>
      </c>
      <c r="B17" s="72" t="str">
        <f ca="1">IFERROR(TEXT(INDEX(Calcs!$P$7:$P$20,MATCH($B$3,Calcs!$A$7:$A$20,0)),"d mmm")&amp;"  ·  "&amp;INDEX(Calcs!$T$7:$T$20,MATCH($B$3,Calcs!$A$7:$A$20,0)),"")</f>
        <v>7 Sep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286</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287</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288</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289</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290</v>
      </c>
      <c r="B23" s="74">
        <f ca="1">IFERROR(ROUND(INDEX(Calcs!$AB$7:$AB$20,MATCH($B$3,Calcs!$A$7:$A$20,0)),0),"")</f>
        <v>86</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291</v>
      </c>
      <c r="B24" s="72">
        <f ca="1">IFERROR(ROUND(INDEX(Calcs!$W$7:$W$20,MATCH($B$3,Calcs!$A$7:$A$20,0)),0),"")</f>
        <v>100</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292</v>
      </c>
      <c r="B25" s="72">
        <f ca="1">IFERROR(ROUND(INDEX(Calcs!$X$7:$X$20,MATCH($B$3,Calcs!$A$7:$A$20,0)),0),"")</f>
        <v>60</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293</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294</v>
      </c>
      <c r="B27" s="72">
        <f>IFERROR(ROUND(INDEX(Calcs!$Z$7:$Z$20,MATCH($B$3,Calcs!$A$7:$A$20,0)),0),"")</f>
        <v>80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295</v>
      </c>
      <c r="B28" s="72">
        <f>IFERROR(ROUND(INDEX(Calcs!$AA$7:$AA$20,MATCH($B$3,Calcs!$A$7:$A$20,0)),0),"")</f>
        <v>73</v>
      </c>
      <c r="D28" s="63" t="s">
        <v>455</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296</v>
      </c>
    </row>
    <row r="2" spans="1:15" ht="39" customHeight="1" x14ac:dyDescent="0.2">
      <c r="A2" s="155" t="s">
        <v>297</v>
      </c>
      <c r="B2" s="142"/>
      <c r="C2" s="142"/>
      <c r="D2" s="142"/>
      <c r="E2" s="142"/>
      <c r="F2" s="142"/>
      <c r="G2" s="142"/>
      <c r="H2" s="142"/>
      <c r="I2" s="142"/>
      <c r="J2" s="142"/>
      <c r="K2" s="142"/>
      <c r="L2" s="142"/>
      <c r="M2" s="142"/>
      <c r="N2" s="142"/>
      <c r="O2" s="142"/>
    </row>
    <row r="3" spans="1:15" ht="37.5" customHeight="1" x14ac:dyDescent="0.2">
      <c r="A3" s="153" t="s">
        <v>298</v>
      </c>
      <c r="B3" s="154"/>
      <c r="C3" s="154"/>
      <c r="D3" s="154"/>
      <c r="E3" s="154"/>
      <c r="F3" s="154"/>
      <c r="G3" s="154"/>
      <c r="H3" s="154"/>
      <c r="I3" s="154"/>
      <c r="J3" s="154"/>
      <c r="K3" s="154"/>
      <c r="L3" s="154"/>
      <c r="M3" s="154"/>
      <c r="N3" s="154"/>
      <c r="O3" s="154"/>
    </row>
    <row r="4" spans="1:15" ht="15" customHeight="1" x14ac:dyDescent="0.2">
      <c r="A4" s="76" t="s">
        <v>299</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38% of 8</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60% of 30</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63% of 8</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42% of 12</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61% of 51</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56% of 32</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58% of 12</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76% of 17</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40% of 30</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39% of 51</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44% of 32</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24% of 17</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300</v>
      </c>
      <c r="B20" s="77"/>
      <c r="C20" s="77"/>
      <c r="D20" s="77"/>
      <c r="E20" s="77"/>
      <c r="F20" s="77"/>
      <c r="G20" s="77"/>
      <c r="H20" s="77"/>
      <c r="I20" s="77"/>
      <c r="J20" s="77"/>
      <c r="K20" s="77"/>
      <c r="L20" s="77"/>
    </row>
    <row r="21" spans="1:15" ht="15" customHeight="1" x14ac:dyDescent="0.2">
      <c r="A21" s="76" t="s">
        <v>301</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10</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31</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10</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16</v>
      </c>
      <c r="I27" s="77">
        <f>IF($A27=I$21,0,SUMPRODUCT(('Match Log'!$D$4:$D$810=$A27)*(COUNTIFS('Match Log'!$A$4:$A$810,'Match Log'!$A$4:$A$810,'Match Log'!$D$4:$D$810,I$21)&gt;0)))</f>
        <v>61</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16</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29</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31</v>
      </c>
      <c r="G29" s="77">
        <f>IF($A29=G$21,0,SUMPRODUCT(('Match Log'!$D$4:$D$810=$A29)*(COUNTIFS('Match Log'!$A$4:$A$810,'Match Log'!$A$4:$A$810,'Match Log'!$D$4:$D$810,G$21)&gt;0)))</f>
        <v>61</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46</v>
      </c>
      <c r="H32" s="77">
        <f>IF($A32=H$21,0,SUMPRODUCT(('Match Log'!$D$4:$D$810=$A32)*(COUNTIFS('Match Log'!$A$4:$A$810,'Match Log'!$A$4:$A$810,'Match Log'!$D$4:$D$810,H$21)&gt;0)))</f>
        <v>29</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302</v>
      </c>
    </row>
    <row r="2" spans="1:18" ht="15" customHeight="1" x14ac:dyDescent="0.2">
      <c r="A2" s="158" t="s">
        <v>303</v>
      </c>
      <c r="B2" s="142"/>
      <c r="C2" s="142"/>
      <c r="D2" s="142"/>
      <c r="E2" s="142"/>
      <c r="F2" s="142"/>
      <c r="G2" s="142"/>
      <c r="H2" s="142"/>
      <c r="I2" s="142"/>
      <c r="J2" s="142"/>
      <c r="K2" s="142"/>
      <c r="L2" s="142"/>
      <c r="M2" s="142"/>
      <c r="N2" s="142"/>
      <c r="O2" s="142"/>
      <c r="P2" s="142"/>
      <c r="Q2" s="142"/>
    </row>
    <row r="3" spans="1:18" ht="18.75" customHeight="1" x14ac:dyDescent="0.2">
      <c r="A3" s="43" t="s">
        <v>304</v>
      </c>
      <c r="C3" s="79">
        <f>SUM($P$8:$P$32)</f>
        <v>290</v>
      </c>
    </row>
    <row r="4" spans="1:18" ht="18.75" customHeight="1" x14ac:dyDescent="0.2">
      <c r="A4" s="43" t="s">
        <v>305</v>
      </c>
      <c r="C4" s="157" t="str">
        <f ca="1">INDEX($A$89:$A$102,MATCH(MAX($S$89:$S$102),$S$89:$S$102,0))</f>
        <v>Shawn</v>
      </c>
      <c r="D4" s="142"/>
      <c r="E4" s="142"/>
      <c r="F4" s="142"/>
      <c r="G4" s="142"/>
    </row>
    <row r="6" spans="1:18" ht="15" customHeight="1" x14ac:dyDescent="0.2">
      <c r="A6" s="156" t="s">
        <v>306</v>
      </c>
      <c r="B6" s="142"/>
      <c r="C6" s="142"/>
      <c r="D6" s="142"/>
      <c r="E6" s="142"/>
      <c r="F6" s="142"/>
      <c r="G6" s="142"/>
      <c r="H6" s="142"/>
      <c r="I6" s="142"/>
      <c r="J6" s="142"/>
      <c r="K6" s="142"/>
      <c r="L6" s="142"/>
      <c r="M6" s="142"/>
      <c r="N6" s="142"/>
      <c r="O6" s="142"/>
      <c r="P6" s="142"/>
      <c r="Q6" s="142"/>
    </row>
    <row r="7" spans="1:18" ht="91.5" customHeight="1" x14ac:dyDescent="0.2">
      <c r="A7" s="80" t="s">
        <v>240</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246</v>
      </c>
      <c r="R7" s="80" t="s">
        <v>307</v>
      </c>
    </row>
    <row r="8" spans="1:18" ht="15" customHeight="1" x14ac:dyDescent="0.2">
      <c r="A8" s="82" t="s">
        <v>33</v>
      </c>
      <c r="B8" s="83">
        <f>COUNTIFS('Match Log'!$D$4:$D$819,B$7,'Match Log'!$C$4:$C$819,$A8)</f>
        <v>0</v>
      </c>
      <c r="C8" s="83">
        <f>COUNTIFS('Match Log'!$D$4:$D$819,C$7,'Match Log'!$C$4:$C$819,$A8)</f>
        <v>0</v>
      </c>
      <c r="D8" s="83">
        <f>COUNTIFS('Match Log'!$D$4:$D$819,D$7,'Match Log'!$C$4:$C$819,$A8)</f>
        <v>2</v>
      </c>
      <c r="E8" s="83">
        <f>COUNTIFS('Match Log'!$D$4:$D$819,E$7,'Match Log'!$C$4:$C$819,$A8)</f>
        <v>0</v>
      </c>
      <c r="F8" s="83">
        <f>COUNTIFS('Match Log'!$D$4:$D$819,F$7,'Match Log'!$C$4:$C$819,$A8)</f>
        <v>0</v>
      </c>
      <c r="G8" s="83">
        <f>COUNTIFS('Match Log'!$D$4:$D$819,G$7,'Match Log'!$C$4:$C$819,$A8)</f>
        <v>6</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7</v>
      </c>
      <c r="Q8" s="85" t="str">
        <f t="shared" ref="Q8:Q32" si="0">IF($P8=0,"—",INDEX($B$34:$O$34,MATCH(MAX($B35:$O35),$B35:$O35,0)))</f>
        <v>Shawn</v>
      </c>
      <c r="R8" s="84">
        <f t="shared" ref="R8:R32" si="1">IF($P8=0,"—",MAX($B35:$O35))</f>
        <v>6</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4</v>
      </c>
      <c r="G12" s="83">
        <f>COUNTIFS('Match Log'!$D$4:$D$819,G$7,'Match Log'!$C$4:$C$819,$A12)</f>
        <v>1</v>
      </c>
      <c r="H12" s="83">
        <f>COUNTIFS('Match Log'!$D$4:$D$819,H$7,'Match Log'!$C$4:$C$819,$A12)</f>
        <v>2</v>
      </c>
      <c r="I12" s="83">
        <f>COUNTIFS('Match Log'!$D$4:$D$819,I$7,'Match Log'!$C$4:$C$819,$A12)</f>
        <v>8</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22</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6</v>
      </c>
      <c r="H17" s="83">
        <f>COUNTIFS('Match Log'!$D$4:$D$819,H$7,'Match Log'!$C$4:$C$819,$A17)</f>
        <v>6</v>
      </c>
      <c r="I17" s="83">
        <f>COUNTIFS('Match Log'!$D$4:$D$819,I$7,'Match Log'!$C$4:$C$819,$A17)</f>
        <v>0</v>
      </c>
      <c r="J17" s="83">
        <f>COUNTIFS('Match Log'!$D$4:$D$819,J$7,'Match Log'!$C$4:$C$819,$A17)</f>
        <v>0</v>
      </c>
      <c r="K17" s="83">
        <f>COUNTIFS('Match Log'!$D$4:$D$819,K$7,'Match Log'!$C$4:$C$819,$A17)</f>
        <v>0</v>
      </c>
      <c r="L17" s="83">
        <f>COUNTIFS('Match Log'!$D$4:$D$819,L$7,'Match Log'!$C$4:$C$819,$A17)</f>
        <v>6</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6</v>
      </c>
      <c r="Q17" s="85" t="str">
        <f t="shared" si="0"/>
        <v>Simon</v>
      </c>
      <c r="R17" s="84">
        <f t="shared" si="1"/>
        <v>5</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454</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29</v>
      </c>
      <c r="H26" s="83">
        <f>COUNTIFS('Match Log'!$D$4:$D$819,H$7,'Match Log'!$C$4:$C$819,$A26)</f>
        <v>1</v>
      </c>
      <c r="I26" s="83">
        <f>COUNTIFS('Match Log'!$D$4:$D$819,I$7,'Match Log'!$C$4:$C$819,$A26)</f>
        <v>21</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37</v>
      </c>
      <c r="Q26" s="85" t="str">
        <f t="shared" si="0"/>
        <v>Shawn</v>
      </c>
      <c r="R26" s="84">
        <f t="shared" si="1"/>
        <v>16</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455</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308</v>
      </c>
      <c r="B33" s="142"/>
      <c r="C33" s="142"/>
      <c r="D33" s="142"/>
      <c r="E33" s="142"/>
      <c r="F33" s="142"/>
      <c r="G33" s="142"/>
      <c r="H33" s="142"/>
      <c r="I33" s="142"/>
      <c r="J33" s="142"/>
      <c r="K33" s="142"/>
      <c r="L33" s="142"/>
      <c r="M33" s="142"/>
      <c r="N33" s="142"/>
      <c r="O33" s="142"/>
      <c r="P33" s="142"/>
      <c r="Q33" s="142"/>
    </row>
    <row r="34" spans="1:17" ht="91.5" customHeight="1" x14ac:dyDescent="0.2">
      <c r="A34" s="80" t="s">
        <v>240</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6</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2</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1</v>
      </c>
      <c r="H44" s="83">
        <f>COUNTIFS('Match Log'!$D$4:$D$819,H$34,'Match Log'!$C$4:$C$819,$A44,'Match Log'!$E$4:$E$819,"Win")</f>
        <v>5</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16</v>
      </c>
      <c r="H53" s="83">
        <f>COUNTIFS('Match Log'!$D$4:$D$819,H$34,'Match Log'!$C$4:$C$819,$A53,'Match Log'!$E$4:$E$819,"Win")</f>
        <v>0</v>
      </c>
      <c r="I53" s="83">
        <f>COUNTIFS('Match Log'!$D$4:$D$819,I$34,'Match Log'!$C$4:$C$819,$A53,'Match Log'!$E$4:$E$819,"Win")</f>
        <v>10</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455</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309</v>
      </c>
      <c r="B60" s="142"/>
      <c r="C60" s="142"/>
      <c r="D60" s="142"/>
      <c r="E60" s="142"/>
      <c r="F60" s="142"/>
      <c r="G60" s="142"/>
      <c r="H60" s="142"/>
      <c r="I60" s="142"/>
      <c r="J60" s="142"/>
      <c r="K60" s="142"/>
      <c r="L60" s="142"/>
      <c r="M60" s="142"/>
      <c r="N60" s="142"/>
      <c r="O60" s="142"/>
      <c r="P60" s="142"/>
      <c r="Q60" s="142"/>
    </row>
    <row r="61" spans="1:17" ht="91.5" customHeight="1" x14ac:dyDescent="0.2">
      <c r="A61" s="80" t="s">
        <v>240</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0.55172413793103448</v>
      </c>
      <c r="H80" s="86">
        <f t="shared" si="20"/>
        <v>0</v>
      </c>
      <c r="I80" s="86">
        <f t="shared" si="20"/>
        <v>0.47619047619047616</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455</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310</v>
      </c>
      <c r="B87" s="142"/>
      <c r="C87" s="142"/>
      <c r="D87" s="142"/>
      <c r="E87" s="142"/>
      <c r="F87" s="142"/>
      <c r="G87" s="142"/>
      <c r="H87" s="142"/>
      <c r="I87" s="142"/>
      <c r="J87" s="142"/>
      <c r="K87" s="142"/>
      <c r="L87" s="142"/>
      <c r="M87" s="142"/>
      <c r="N87" s="142"/>
      <c r="O87" s="142"/>
      <c r="P87" s="142"/>
      <c r="Q87" s="142"/>
    </row>
    <row r="88" spans="1:19" ht="15" customHeight="1" x14ac:dyDescent="0.2">
      <c r="A88" s="87" t="s">
        <v>311</v>
      </c>
      <c r="B88" s="80" t="s">
        <v>10</v>
      </c>
      <c r="C88" s="80" t="s">
        <v>282</v>
      </c>
      <c r="D88" s="80" t="s">
        <v>11</v>
      </c>
      <c r="E88" s="80" t="s">
        <v>12</v>
      </c>
      <c r="F88" s="80" t="s">
        <v>6</v>
      </c>
      <c r="G88" s="80" t="s">
        <v>164</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1218.9288111472574</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Log'!$D$4:$D$819,$A90)</f>
        <v>62</v>
      </c>
      <c r="C90" s="83">
        <f>SUMPRODUCT(--(COUNTIFS('Match Log'!$D$4:$D$819,$A90,'Match Log'!$C$4:$C$819,Lists!$C$2:$C$26)&gt;0))</f>
        <v>15</v>
      </c>
      <c r="D90" s="83">
        <f>COUNTIFS('Match Log'!$D$4:$D$819,$A90,'Match Log'!$E$4:$E$819,"Win")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Log'!$D$4:$D$819,$A91)</f>
        <v>40</v>
      </c>
      <c r="C91" s="83">
        <f>SUMPRODUCT(--(COUNTIFS('Match Log'!$D$4:$D$819,$A91,'Match Log'!$C$4:$C$819,Lists!$C$2:$C$26)&gt;0))</f>
        <v>12</v>
      </c>
      <c r="D91" s="83">
        <f>COUNTIFS('Match Log'!$D$4:$D$819,$A91,'Match Log'!$E$4:$E$819,"Win")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Log'!$D$4:$D$819,$A92)</f>
        <v>82</v>
      </c>
      <c r="C92" s="83">
        <f>SUMPRODUCT(--(COUNTIFS('Match Log'!$D$4:$D$819,$A92,'Match Log'!$C$4:$C$819,Lists!$C$2:$C$26)&gt;0))</f>
        <v>14</v>
      </c>
      <c r="D92" s="83">
        <f>COUNTIFS('Match Log'!$D$4:$D$819,$A92,'Match Log'!$E$4:$E$819,"Win")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Log'!$D$4:$D$819,$A93)</f>
        <v>133</v>
      </c>
      <c r="C93" s="83">
        <f>SUMPRODUCT(--(COUNTIFS('Match Log'!$D$4:$D$819,$A93,'Match Log'!$C$4:$C$819,Lists!$C$2:$C$26)&gt;0))</f>
        <v>20</v>
      </c>
      <c r="D93" s="83">
        <f>COUNTIFS('Match Log'!$D$4:$D$819,$A93,'Match Log'!$E$4:$E$819,"Win")</f>
        <v>51</v>
      </c>
      <c r="E93" s="86">
        <f t="shared" si="27"/>
        <v>0.38345864661654133</v>
      </c>
      <c r="F93" s="88">
        <f ca="1">IFERROR(INDEX(Calcs!$S$7:$S$20,MATCH($A93,Calcs!$A$7:$A$20,0)),"")</f>
        <v>1021.6316244606566</v>
      </c>
      <c r="G93" s="83" t="str">
        <f>IF($B93=0,"No games",IF(AND($B93&gt;='Guide &amp; Settings'!$C$45,$C93&gt;='Guide &amp; Settings'!$C$46),"Eligible","Provisional"))</f>
        <v>Eligible</v>
      </c>
      <c r="S93" s="89">
        <f ca="1">IF($G93="Eligible",IF(IFERROR(INDEX(Calcs!$T$7:$T$20,MATCH($A93,Calcs!$A$7:$A$20,0)),"")="Inactive",-1,$F93),-1)</f>
        <v>1021.6316244606566</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1244.4221853966828</v>
      </c>
      <c r="G94" s="83" t="str">
        <f>IF($B94=0,"No games",IF(AND($B94&gt;='Guide &amp; Settings'!$C$45,$C94&gt;='Guide &amp; Settings'!$C$46),"Eligible","Provisional"))</f>
        <v>Eligible</v>
      </c>
      <c r="S94" s="89">
        <f ca="1">IF($G94="Eligible",IF(IFERROR(INDEX(Calcs!$T$7:$T$20,MATCH($A94,Calcs!$A$7:$A$20,0)),"")="Inactive",-1,$F94),-1)</f>
        <v>-1</v>
      </c>
    </row>
    <row r="95" spans="1:19" ht="15" customHeight="1" x14ac:dyDescent="0.2">
      <c r="A95" s="82" t="s">
        <v>20</v>
      </c>
      <c r="B95" s="83">
        <f>COUNTIF('Match Log'!$D$4:$D$819,$A95)</f>
        <v>147</v>
      </c>
      <c r="C95" s="83">
        <f>SUMPRODUCT(--(COUNTIFS('Match Log'!$D$4:$D$819,$A95,'Match Log'!$C$4:$C$819,Lists!$C$2:$C$26)&gt;0))</f>
        <v>19</v>
      </c>
      <c r="D95" s="83">
        <f>COUNTIFS('Match Log'!$D$4:$D$819,$A95,'Match Log'!$E$4:$E$819,"Win")</f>
        <v>71</v>
      </c>
      <c r="E95" s="86">
        <f t="shared" si="27"/>
        <v>0.48299319727891155</v>
      </c>
      <c r="F95" s="88">
        <f ca="1">IFERROR(INDEX(Calcs!$S$7:$S$20,MATCH($A95,Calcs!$A$7:$A$20,0)),"")</f>
        <v>1224.3457478478258</v>
      </c>
      <c r="G95" s="83" t="str">
        <f>IF($B95=0,"No games",IF(AND($B95&gt;='Guide &amp; Settings'!$C$45,$C95&gt;='Guide &amp; Settings'!$C$46),"Eligible","Provisional"))</f>
        <v>Eligible</v>
      </c>
      <c r="S95" s="89">
        <f ca="1">IF($G95="Eligible",IF(IFERROR(INDEX(Calcs!$T$7:$T$20,MATCH($A95,Calcs!$A$7:$A$20,0)),"")="Inactive",-1,$F95),-1)</f>
        <v>1224.3457478478258</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929.51759653351382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1067.5488947064855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1003.2192605207141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Log'!$D$4:$D$819,$A99)</f>
        <v>20</v>
      </c>
      <c r="C99" s="83">
        <f>SUMPRODUCT(--(COUNTIFS('Match Log'!$D$4:$D$819,$A99,'Match Log'!$C$4:$C$819,Lists!$C$2:$C$26)&gt;0))</f>
        <v>10</v>
      </c>
      <c r="D99" s="83">
        <f>COUNTIFS('Match Log'!$D$4:$D$819,$A99,'Match Log'!$E$4:$E$819,"Win")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877.03133644117429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802.22294373677494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312</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240</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313</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1002.3243051567958</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1080.5069404636042</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1001.4894058706261</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962.9291503873319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f>IFERROR(LOOKUP(2,1/(('Match Log'!$D$4:$D$819=G$105)*('Match Log'!$C$4:$C$819=$A115)),'Match Log'!$AB$4:$AB$819),"")</f>
        <v>978.61089783350269</v>
      </c>
      <c r="H115" s="88">
        <f>IFERROR(LOOKUP(2,1/(('Match Log'!$D$4:$D$819=H$105)*('Match Log'!$C$4:$C$819=$A115)),'Match Log'!$AB$4:$AB$819),"")</f>
        <v>1064.1847667071054</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f>IFERROR(LOOKUP(2,1/(('Match Log'!$D$4:$D$819=L$105)*('Match Log'!$C$4:$C$819=$A115)),'Match Log'!$AB$4:$AB$819),"")</f>
        <v>957.20433545939204</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Simon</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1017.4795584563102</v>
      </c>
      <c r="H124" s="88">
        <f>IFERROR(LOOKUP(2,1/(('Match Log'!$D$4:$D$819=H$105)*('Match Log'!$C$4:$C$819=$A124)),'Match Log'!$AB$4:$AB$819),"")</f>
        <v>995.11454772974389</v>
      </c>
      <c r="I124" s="88">
        <f>IFERROR(LOOKUP(2,1/(('Match Log'!$D$4:$D$819=I$105)*('Match Log'!$C$4:$C$819=$A124)),'Match Log'!$AB$4:$AB$819),"")</f>
        <v>1038.1260305401211</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Daniel (Ferret)</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1001.0904499010364</v>
      </c>
      <c r="H128" s="88">
        <f>IFERROR(LOOKUP(2,1/(('Match Log'!$D$4:$D$810=H$105)*('Match Log'!$C$4:$C$810=$A128)),'Match Log'!$AB$4:$AB$810),"")</f>
        <v>1007.0894857856928</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983.82006431327079</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455</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314</v>
      </c>
    </row>
    <row r="2" spans="1:6" ht="30" customHeight="1" x14ac:dyDescent="0.2">
      <c r="A2" s="159" t="s">
        <v>315</v>
      </c>
      <c r="B2" s="142"/>
      <c r="C2" s="142"/>
      <c r="D2" s="142"/>
      <c r="E2" s="142"/>
      <c r="F2" s="142"/>
    </row>
    <row r="3" spans="1:6" ht="4.5" customHeight="1" x14ac:dyDescent="0.2"/>
    <row r="4" spans="1:6" ht="15" customHeight="1" x14ac:dyDescent="0.2">
      <c r="A4" s="11" t="s">
        <v>316</v>
      </c>
    </row>
    <row r="5" spans="1:6" ht="15" customHeight="1" x14ac:dyDescent="0.2">
      <c r="A5" s="34" t="s">
        <v>317</v>
      </c>
      <c r="B5" s="34" t="s">
        <v>318</v>
      </c>
      <c r="C5" s="34" t="s">
        <v>319</v>
      </c>
      <c r="D5" s="34" t="s">
        <v>240</v>
      </c>
      <c r="E5" s="34" t="s">
        <v>320</v>
      </c>
      <c r="F5" s="34" t="s">
        <v>321</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Aaron</v>
      </c>
      <c r="C11" s="40" t="str">
        <f>IFERROR(INDEX(Calcs!$H$25:$H$444,MATCH(LARGE(Calcs!$I$25:$I$444,6),Calcs!$I$25:$I$444,0)),"")</f>
        <v>Shawn</v>
      </c>
      <c r="D11" s="40" t="str">
        <f>IFERROR(INDEX(Calcs!$C$25:$C$444,MATCH(LARGE(Calcs!$I$25:$I$444,6),Calcs!$I$25:$I$444,0)),"")</f>
        <v>Table Tennis</v>
      </c>
      <c r="E11" s="40" t="str">
        <f>IFERROR(TEXT(INDEX(Calcs!$F$25:$F$444,MATCH(LARGE(Calcs!$I$25:$I$444,6),Calcs!$I$25:$I$444,0)),"0%"),"")</f>
        <v>24%</v>
      </c>
      <c r="F11" s="40" t="str">
        <f>IFERROR(TEXT(INDEX(Calcs!$B$25:$B$444,MATCH(LARGE(Calcs!$I$25:$I$444,6),Calcs!$I$25:$I$444,0)),"d mmm"),"")</f>
        <v>21 Aug</v>
      </c>
    </row>
    <row r="12" spans="1:6" ht="15" customHeight="1" x14ac:dyDescent="0.2">
      <c r="A12" s="63">
        <v>7</v>
      </c>
      <c r="B12" s="37" t="str">
        <f>IFERROR(INDEX(Calcs!$D$25:$D$444,MATCH(LARGE(Calcs!$I$25:$I$444,7),Calcs!$I$25:$I$444,0)),"")</f>
        <v>Oscar</v>
      </c>
      <c r="C12" s="37" t="str">
        <f>IFERROR(INDEX(Calcs!$H$25:$H$444,MATCH(LARGE(Calcs!$I$25:$I$444,7),Calcs!$I$25:$I$444,0)),"")</f>
        <v>Daniel (Ferret)</v>
      </c>
      <c r="D12" s="37" t="str">
        <f>IFERROR(INDEX(Calcs!$C$25:$C$444,MATCH(LARGE(Calcs!$I$25:$I$444,7),Calcs!$I$25:$I$444,0)),"")</f>
        <v>Mario Kart</v>
      </c>
      <c r="E12" s="37" t="str">
        <f>IFERROR(TEXT(INDEX(Calcs!$F$25:$F$444,MATCH(LARGE(Calcs!$I$25:$I$444,7),Calcs!$I$25:$I$444,0)),"0%"),"")</f>
        <v>25%</v>
      </c>
      <c r="F12" s="37" t="str">
        <f>IFERROR(TEXT(INDEX(Calcs!$B$25:$B$444,MATCH(LARGE(Calcs!$I$25:$I$444,7),Calcs!$I$25:$I$444,0)),"d mmm"),"")</f>
        <v>3 Jun</v>
      </c>
    </row>
    <row r="13" spans="1:6" ht="15" customHeight="1" x14ac:dyDescent="0.2">
      <c r="A13" s="67">
        <v>8</v>
      </c>
      <c r="B13" s="40" t="str">
        <f>IFERROR(INDEX(Calcs!$D$25:$D$444,MATCH(LARGE(Calcs!$I$25:$I$444,8),Calcs!$I$25:$I$444,0)),"")</f>
        <v>Daniel (Ferret)</v>
      </c>
      <c r="C13" s="40" t="str">
        <f>IFERROR(INDEX(Calcs!$H$25:$H$444,MATCH(LARGE(Calcs!$I$25:$I$444,8),Calcs!$I$25:$I$444,0)),"")</f>
        <v>Josh</v>
      </c>
      <c r="D13" s="40" t="str">
        <f>IFERROR(INDEX(Calcs!$C$25:$C$444,MATCH(LARGE(Calcs!$I$25:$I$444,8),Calcs!$I$25:$I$444,0)),"")</f>
        <v>Mario Golf</v>
      </c>
      <c r="E13" s="40" t="str">
        <f>IFERROR(TEXT(INDEX(Calcs!$F$25:$F$444,MATCH(LARGE(Calcs!$I$25:$I$444,8),Calcs!$I$25:$I$444,0)),"0%"),"")</f>
        <v>25%</v>
      </c>
      <c r="F13" s="40" t="str">
        <f>IFERROR(TEXT(INDEX(Calcs!$B$25:$B$444,MATCH(LARGE(Calcs!$I$25:$I$444,8),Calcs!$I$25:$I$444,0)),"d mmm"),"")</f>
        <v>26 Jun</v>
      </c>
    </row>
    <row r="15" spans="1:6" ht="15" customHeight="1" x14ac:dyDescent="0.2">
      <c r="A15" s="11" t="s">
        <v>322</v>
      </c>
    </row>
    <row r="16" spans="1:6" ht="15" customHeight="1" x14ac:dyDescent="0.2">
      <c r="A16" s="34" t="s">
        <v>323</v>
      </c>
      <c r="B16" s="34" t="s">
        <v>324</v>
      </c>
      <c r="C16" s="34" t="s">
        <v>325</v>
      </c>
      <c r="D16" s="34" t="s">
        <v>240</v>
      </c>
      <c r="E16" s="34" t="s">
        <v>326</v>
      </c>
      <c r="F16" s="34" t="s">
        <v>327</v>
      </c>
    </row>
    <row r="17" spans="1:8" ht="15" customHeight="1" x14ac:dyDescent="0.2">
      <c r="A17" s="92" t="s">
        <v>328</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329</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330</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331</v>
      </c>
      <c r="B20" s="40" t="str">
        <f>$E$6</f>
        <v>17%</v>
      </c>
      <c r="C20" s="40" t="str">
        <f>$B$6</f>
        <v>Aaron</v>
      </c>
      <c r="D20" s="40" t="str">
        <f>$D$6</f>
        <v>Mario Golf</v>
      </c>
      <c r="E20" s="40" t="str">
        <f>$F$6</f>
        <v>10 Jul</v>
      </c>
      <c r="F20" s="40" t="str">
        <f>"beat "&amp;$C$6</f>
        <v>beat Shawn</v>
      </c>
    </row>
    <row r="21" spans="1:8" ht="15" customHeight="1" x14ac:dyDescent="0.2">
      <c r="A21" s="92" t="s">
        <v>332</v>
      </c>
      <c r="B21" s="37" t="str">
        <f ca="1">TEXT(MAX(Dashboard!$D$5:$D$18),"0")</f>
        <v>147</v>
      </c>
      <c r="C21" s="37" t="str">
        <f ca="1">INDEX(Dashboard!$B$5:$B$18,MATCH(MAX(Dashboard!$D$5:$D$18),Dashboard!$D$5:$D$18,0))</f>
        <v>Shawn</v>
      </c>
      <c r="D21" s="37" t="s">
        <v>333</v>
      </c>
      <c r="E21" s="37" t="s">
        <v>333</v>
      </c>
      <c r="F21" s="37" t="str">
        <f ca="1">"across "&amp;INDEX(Dashboard!$K$5:$K$18,MATCH($C21,Dashboard!$B$5:$B$18,0))&amp;" sports"</f>
        <v>across 19 sports</v>
      </c>
    </row>
    <row r="22" spans="1:8" ht="15" customHeight="1" x14ac:dyDescent="0.2">
      <c r="A22" s="93" t="s">
        <v>334</v>
      </c>
      <c r="B22" s="40" t="str">
        <f ca="1">TEXT(MAX(Dashboard!$K$5:$K$18),"0")</f>
        <v>20</v>
      </c>
      <c r="C22" s="40" t="str">
        <f ca="1">INDEX(Dashboard!$B$5:$B$18,MATCH(MAX(Dashboard!$K$5:$K$18),Dashboard!$K$5:$K$18,0))</f>
        <v>Daniel (Ferret)</v>
      </c>
      <c r="D22" s="40" t="s">
        <v>333</v>
      </c>
      <c r="E22" s="40" t="s">
        <v>333</v>
      </c>
      <c r="F22" s="40" t="str">
        <f>"of "&amp;COUNTA(Lists!$C$2:$C$26)&amp;" sports available"</f>
        <v>of 25 sports available</v>
      </c>
    </row>
    <row r="23" spans="1:8" ht="15" customHeight="1" x14ac:dyDescent="0.2">
      <c r="A23" s="92" t="s">
        <v>335</v>
      </c>
      <c r="B23" s="37" t="str">
        <f>TEXT(MAX('Sport Records'!$P$8:$P$32),"0")&amp;" games"</f>
        <v>56 games</v>
      </c>
      <c r="C23" s="37" t="str">
        <f>INDEX('Sport Records'!$A$8:$A$32,MATCH(MAX('Sport Records'!$P$8:$P$32),'Sport Records'!$P$8:$P$32,0))</f>
        <v>Table Tennis</v>
      </c>
      <c r="D23" s="37" t="s">
        <v>333</v>
      </c>
      <c r="E23" s="37" t="s">
        <v>333</v>
      </c>
      <c r="F23" s="37" t="s">
        <v>336</v>
      </c>
    </row>
    <row r="24" spans="1:8" ht="15" customHeight="1" x14ac:dyDescent="0.2">
      <c r="A24" s="93" t="s">
        <v>337</v>
      </c>
      <c r="B24" s="40" t="str">
        <f>MAX(Calcs!$O$7:$O$20)&amp;" wins"</f>
        <v>5 wins</v>
      </c>
      <c r="C24" s="40" t="str">
        <f>INDEX(Calcs!$A$7:$A$20,MATCH(MAX(Calcs!$O$7:$O$20),Calcs!$O$7:$O$20,0))</f>
        <v>Simon</v>
      </c>
      <c r="D24" s="40" t="s">
        <v>333</v>
      </c>
      <c r="E24" s="40" t="s">
        <v>333</v>
      </c>
      <c r="F24" s="40" t="s">
        <v>338</v>
      </c>
    </row>
    <row r="25" spans="1:8" ht="15" customHeight="1" x14ac:dyDescent="0.2">
      <c r="A25" s="11"/>
    </row>
    <row r="26" spans="1:8" ht="15" customHeight="1" x14ac:dyDescent="0.2">
      <c r="A26" s="94" t="s">
        <v>339</v>
      </c>
      <c r="B26" s="34"/>
      <c r="C26" s="34"/>
    </row>
    <row r="27" spans="1:8" ht="15" customHeight="1" x14ac:dyDescent="0.2">
      <c r="A27" s="34" t="s">
        <v>340</v>
      </c>
      <c r="B27" s="34" t="s">
        <v>325</v>
      </c>
      <c r="C27" s="34" t="s">
        <v>341</v>
      </c>
    </row>
    <row r="28" spans="1:8" ht="15" customHeight="1" x14ac:dyDescent="0.2">
      <c r="A28" s="95" t="s">
        <v>342</v>
      </c>
      <c r="B28" s="38" t="str">
        <f ca="1">Leaders!$A$5</f>
        <v>Shawn</v>
      </c>
      <c r="C28" s="40" t="s">
        <v>343</v>
      </c>
    </row>
    <row r="29" spans="1:8" ht="15" customHeight="1" x14ac:dyDescent="0.2">
      <c r="A29" s="95" t="s">
        <v>344</v>
      </c>
      <c r="B29" s="38" t="str">
        <f>INDEX(Calcs!$A$7:$A$20,MATCH(MAX(Calcs!$M$7:$M$20),Calcs!$M$7:$M$20,0))</f>
        <v>Daniel (Ferret)</v>
      </c>
      <c r="C29" s="40" t="s">
        <v>345</v>
      </c>
    </row>
    <row r="30" spans="1:8" ht="15" customHeight="1" x14ac:dyDescent="0.2">
      <c r="A30" s="95" t="s">
        <v>346</v>
      </c>
      <c r="B30" s="38" t="str">
        <f ca="1">INDEX(Dashboard!$B$5:$B$18,MATCH(MAX(Dashboard!$D$5:$D$18),Dashboard!$D$5:$D$18,0))</f>
        <v>Shawn</v>
      </c>
      <c r="C30" s="40" t="s">
        <v>347</v>
      </c>
    </row>
    <row r="31" spans="1:8" ht="15" customHeight="1" x14ac:dyDescent="0.2">
      <c r="A31" s="95" t="s">
        <v>348</v>
      </c>
      <c r="B31" s="38" t="str">
        <f ca="1">INDEX(Dashboard!$B$5:$B$18,MATCH(MAX(Dashboard!$K$5:$K$18),Dashboard!$K$5:$K$18,0))</f>
        <v>Daniel (Ferret)</v>
      </c>
      <c r="C31" s="40" t="s">
        <v>349</v>
      </c>
    </row>
    <row r="32" spans="1:8" ht="15" customHeight="1" x14ac:dyDescent="0.2">
      <c r="A32" s="95" t="s">
        <v>350</v>
      </c>
      <c r="B32" s="38" t="str">
        <f>INDEX(Calcs!$A$7:$A$20,MATCH(MAX(Calcs!$N$7:$N$20),Calcs!$N$7:$N$20,0))</f>
        <v>Simon</v>
      </c>
      <c r="C32" s="40" t="s">
        <v>351</v>
      </c>
    </row>
    <row r="33" spans="1:3" ht="15" customHeight="1" x14ac:dyDescent="0.2">
      <c r="A33" s="95" t="s">
        <v>352</v>
      </c>
      <c r="B33" s="38" t="str">
        <f ca="1">INDEX(Dashboard!$B$5:$B$18,MATCH(MIN(Dashboard!$C$5:$C$18),Dashboard!$C$5:$C$18,0))</f>
        <v>Cody</v>
      </c>
      <c r="C33" s="40" t="s">
        <v>353</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Aaron leads the title race — 17 points clear of Dean B.</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Aaron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147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290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Aaron</v>
      </c>
      <c r="C17" s="107">
        <f>ROUND(LARGE(Calcs!$B$7:$B$20,1),0)</f>
        <v>1266</v>
      </c>
      <c r="D17" s="109" t="str">
        <f>IF(1=1,"— leader —",ROUND(MAX(Calcs!$B$7:$B$20)-LARGE(Calcs!$B$7:$B$20,1),0)&amp;" behind")</f>
        <v>— leader —</v>
      </c>
      <c r="E17" s="105"/>
      <c r="F17" s="27"/>
    </row>
    <row r="18" spans="1:6" ht="15" customHeight="1" x14ac:dyDescent="0.2">
      <c r="A18" s="110">
        <v>2</v>
      </c>
      <c r="B18" s="62" t="str">
        <f>INDEX(Calcs!$A$7:$A$20,MATCH(LARGE(Calcs!$B$7:$B$20,2),Calcs!$B$7:$B$20,0))</f>
        <v>Dean B</v>
      </c>
      <c r="C18" s="110">
        <f>ROUND(LARGE(Calcs!$B$7:$B$20,2),0)</f>
        <v>1249</v>
      </c>
      <c r="D18" s="111" t="str">
        <f>IF(2=1,"— leader —",ROUND(MAX(Calcs!$B$7:$B$20)-LARGE(Calcs!$B$7:$B$20,2),0)&amp;" behind")</f>
        <v>17 behind</v>
      </c>
      <c r="E18" s="105"/>
      <c r="F18" s="27"/>
    </row>
    <row r="19" spans="1:6" ht="15" customHeight="1" x14ac:dyDescent="0.2">
      <c r="A19" s="110">
        <v>3</v>
      </c>
      <c r="B19" s="62" t="str">
        <f>INDEX(Calcs!$A$7:$A$20,MATCH(LARGE(Calcs!$B$7:$B$20,3),Calcs!$B$7:$B$20,0))</f>
        <v>Shawn</v>
      </c>
      <c r="C19" s="110">
        <f>ROUND(LARGE(Calcs!$B$7:$B$20,3),0)</f>
        <v>1228</v>
      </c>
      <c r="D19" s="111" t="str">
        <f>IF(3=1,"— leader —",ROUND(MAX(Calcs!$B$7:$B$20)-LARGE(Calcs!$B$7:$B$20,3),0)&amp;" behind")</f>
        <v>37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L</v>
      </c>
      <c r="D42" s="113" t="str">
        <f>IFERROR(IF(INDEX('Match Log'!$E$1:$E$810,_xlfn.AGGREGATE(14,6,ROW('Match Log'!$A$4:$A$810)/('Match Log'!$D$4:$D$810=$A42),8))="Win","W","L"),"")</f>
        <v>W</v>
      </c>
      <c r="E42" s="113" t="str">
        <f>IFERROR(IF(INDEX('Match Log'!$E$1:$E$810,_xlfn.AGGREGATE(14,6,ROW('Match Log'!$A$4:$A$810)/('Match Log'!$D$4:$D$810=$A42),7))="Win","W","L"),"")</f>
        <v>L</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W</v>
      </c>
      <c r="J42" s="113" t="str">
        <f>IFERROR(IF(INDEX('Match Log'!$E$1:$E$810,_xlfn.AGGREGATE(14,6,ROW('Match Log'!$A$4:$A$810)/('Match Log'!$D$4:$D$810=$A42),2))="Win","W","L"),"")</f>
        <v>W</v>
      </c>
      <c r="K42" s="113" t="str">
        <f>IFERROR(IF(INDEX('Match Log'!$E$1:$E$810,_xlfn.AGGREGATE(14,6,ROW('Match Log'!$A$4:$A$810)/('Match Log'!$D$4:$D$810=$A42),1))="Win","W","L"),"")</f>
        <v>L</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W</v>
      </c>
      <c r="F44" s="113" t="str">
        <f>IFERROR(IF(INDEX('Match Log'!$E$1:$E$810,_xlfn.AGGREGATE(14,6,ROW('Match Log'!$A$4:$A$810)/('Match Log'!$D$4:$D$810=$A44),6))="Win","W","L"),"")</f>
        <v>L</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W</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L</v>
      </c>
      <c r="C45" s="113" t="str">
        <f>IFERROR(IF(INDEX('Match Log'!$E$1:$E$810,_xlfn.AGGREGATE(14,6,ROW('Match Log'!$A$4:$A$810)/('Match Log'!$D$4:$D$810=$A45),9))="Win","W","L"),"")</f>
        <v>L</v>
      </c>
      <c r="D45" s="113" t="str">
        <f>IFERROR(IF(INDEX('Match Log'!$E$1:$E$810,_xlfn.AGGREGATE(14,6,ROW('Match Log'!$A$4:$A$810)/('Match Log'!$D$4:$D$810=$A45),8))="Win","W","L"),"")</f>
        <v>L</v>
      </c>
      <c r="E45" s="113" t="str">
        <f>IFERROR(IF(INDEX('Match Log'!$E$1:$E$810,_xlfn.AGGREGATE(14,6,ROW('Match Log'!$A$4:$A$810)/('Match Log'!$D$4:$D$810=$A45),7))="Win","W","L"),"")</f>
        <v>L</v>
      </c>
      <c r="F45" s="113" t="str">
        <f>IFERROR(IF(INDEX('Match Log'!$E$1:$E$810,_xlfn.AGGREGATE(14,6,ROW('Match Log'!$A$4:$A$810)/('Match Log'!$D$4:$D$810=$A45),6))="Win","W","L"),"")</f>
        <v>L</v>
      </c>
      <c r="G45" s="113" t="str">
        <f>IFERROR(IF(INDEX('Match Log'!$E$1:$E$810,_xlfn.AGGREGATE(14,6,ROW('Match Log'!$A$4:$A$810)/('Match Log'!$D$4:$D$810=$A45),5))="Win","W","L"),"")</f>
        <v>W</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W</v>
      </c>
    </row>
    <row r="46" spans="1:21" x14ac:dyDescent="0.2">
      <c r="A46" s="92" t="s">
        <v>21</v>
      </c>
      <c r="B46" s="113" t="str">
        <f>IFERROR(IF(INDEX('Match Log'!$E$1:$E$810,_xlfn.AGGREGATE(14,6,ROW('Match Log'!$A$4:$A$810)/('Match Log'!$D$4:$D$810=$A46),10))="Win","W","L"),"")</f>
        <v>W</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W</v>
      </c>
      <c r="I47" s="113" t="str">
        <f>IFERROR(IF(INDEX('Match Log'!$E$1:$E$810,_xlfn.AGGREGATE(14,6,ROW('Match Log'!$A$4:$A$810)/('Match Log'!$D$4:$D$810=$A47),3))="Win","W","L"),"")</f>
        <v>W</v>
      </c>
      <c r="J47" s="113" t="str">
        <f>IFERROR(IF(INDEX('Match Log'!$E$1:$E$810,_xlfn.AGGREGATE(14,6,ROW('Match Log'!$A$4:$A$810)/('Match Log'!$D$4:$D$810=$A47),2))="Win","W","L"),"")</f>
        <v>W</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455</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0.55172413793103448</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0.47619047619047616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653" activePane="bottomRight" state="frozen"/>
      <selection pane="topRight" activeCell="F1" sqref="F1"/>
      <selection pane="bottomLeft" activeCell="A442" sqref="A442"/>
      <selection pane="bottomRight" activeCell="E689" sqref="E68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354</v>
      </c>
      <c r="B1" s="142"/>
      <c r="C1" s="142"/>
      <c r="D1" s="142"/>
      <c r="E1" s="142"/>
      <c r="F1" s="142"/>
      <c r="G1" s="142"/>
      <c r="H1" s="142"/>
      <c r="I1" s="142"/>
      <c r="J1" s="142"/>
      <c r="K1" s="142"/>
      <c r="L1" s="142"/>
      <c r="M1" s="142"/>
      <c r="N1" s="142"/>
      <c r="O1" s="142"/>
    </row>
    <row r="2" spans="1:29" ht="15" customHeight="1" x14ac:dyDescent="0.2">
      <c r="A2" s="161" t="s">
        <v>355</v>
      </c>
      <c r="B2" s="142"/>
      <c r="C2" s="142"/>
      <c r="D2" s="142"/>
      <c r="E2" s="142"/>
      <c r="F2" s="142"/>
      <c r="G2" s="142"/>
      <c r="H2" s="142"/>
      <c r="I2" s="142"/>
      <c r="J2" s="142"/>
      <c r="K2" s="142"/>
      <c r="L2" s="142"/>
      <c r="M2" s="142"/>
      <c r="N2" s="142"/>
      <c r="O2" s="142"/>
    </row>
    <row r="3" spans="1:29" ht="15" customHeight="1" x14ac:dyDescent="0.2">
      <c r="A3" s="51" t="s">
        <v>356</v>
      </c>
      <c r="B3" s="51" t="s">
        <v>326</v>
      </c>
      <c r="C3" s="51" t="s">
        <v>240</v>
      </c>
      <c r="D3" s="51" t="s">
        <v>5</v>
      </c>
      <c r="E3" s="51" t="s">
        <v>357</v>
      </c>
      <c r="F3" s="51" t="s">
        <v>358</v>
      </c>
      <c r="G3" s="51" t="s">
        <v>359</v>
      </c>
      <c r="H3" s="51" t="s">
        <v>360</v>
      </c>
      <c r="I3" s="51" t="s">
        <v>140</v>
      </c>
      <c r="J3" s="51" t="s">
        <v>142</v>
      </c>
      <c r="K3" s="51" t="s">
        <v>144</v>
      </c>
      <c r="L3" s="51" t="s">
        <v>146</v>
      </c>
      <c r="M3" s="51" t="s">
        <v>361</v>
      </c>
      <c r="N3" s="51" t="s">
        <v>362</v>
      </c>
      <c r="O3" s="51" t="s">
        <v>363</v>
      </c>
      <c r="P3" s="51" t="s">
        <v>364</v>
      </c>
      <c r="Q3" s="51" t="s">
        <v>365</v>
      </c>
      <c r="R3" s="51" t="s">
        <v>366</v>
      </c>
      <c r="S3" s="51" t="s">
        <v>367</v>
      </c>
      <c r="T3" s="51" t="s">
        <v>368</v>
      </c>
      <c r="U3" s="51" t="s">
        <v>369</v>
      </c>
      <c r="V3" s="51" t="s">
        <v>370</v>
      </c>
      <c r="W3" s="51" t="s">
        <v>371</v>
      </c>
      <c r="X3" s="51" t="s">
        <v>372</v>
      </c>
      <c r="Y3" s="51" t="s">
        <v>373</v>
      </c>
      <c r="Z3" s="51" t="s">
        <v>374</v>
      </c>
      <c r="AA3" s="51" t="s">
        <v>375</v>
      </c>
      <c r="AB3" s="51" t="s">
        <v>376</v>
      </c>
      <c r="AC3" t="s">
        <v>377</v>
      </c>
    </row>
    <row r="4" spans="1:29" ht="15" customHeight="1" x14ac:dyDescent="0.2">
      <c r="A4" s="117">
        <v>1</v>
      </c>
      <c r="B4" s="118">
        <v>46145</v>
      </c>
      <c r="C4" s="119" t="s">
        <v>41</v>
      </c>
      <c r="D4" s="119" t="s">
        <v>19</v>
      </c>
      <c r="E4" s="117" t="s">
        <v>378</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379</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379</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378</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379</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379</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379</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379</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379</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379</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379</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379</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378</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379</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378</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379</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378</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378</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379</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379</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378</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379</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378</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379</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378</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378</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379</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378</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379</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378</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379</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378</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379</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379</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378</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379</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378</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379</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378</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378</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379</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378</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379</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378</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379</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378</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379</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378</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379</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378</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379</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378</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379</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378</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379</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378</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379</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379</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378</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378</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379</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378</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379</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379</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378</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378</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379</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378</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379</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378</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379</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378</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379</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378</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379</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379</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378</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379</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378</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379</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378</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379</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378</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379</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378</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379</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378</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379</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379</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378</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378</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379</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379</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378</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378</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379</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378</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379</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379</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378</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378</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379</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378</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379</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379</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378</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378</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379</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378</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379</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378</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379</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378</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379</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378</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379</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379</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378</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378</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379</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378</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379</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378</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379</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378</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379</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378</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379</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378</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379</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378</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379</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378</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379</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378</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379</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378</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379</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378</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379</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378</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379</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378</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379</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378</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378</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379</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379</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378</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378</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379</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379</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378</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378</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379</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379</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378</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378</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379</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379</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378</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378</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379</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379</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378</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378</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379</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379</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378</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378</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379</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379</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378</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378</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379</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379</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378</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378</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379</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379</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378</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378</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379</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379</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378</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378</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379</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379</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378</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378</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379</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379</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378</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378</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379</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379</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378</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378</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379</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379</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378</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378</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379</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379</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378</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378</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379</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379</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378</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378</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379</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379</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378</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378</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379</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379</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378</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379</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378</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379</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378</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379</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379</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378</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379</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378</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379</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378</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379</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379</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378</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378</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379</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378</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379</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379</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378</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379</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378</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379</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378</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379</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378</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379</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378</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379</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378</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379</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378</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379</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378</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379</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379</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378</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378</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379</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378</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379</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379</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378</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379</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378</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378</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379</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378</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379</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378</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379</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378</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379</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378</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379</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378</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379</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379</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378</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379</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378</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379</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378</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379</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378</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378</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379</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378</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379</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379</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378</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378</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379</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379</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378</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378</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379</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379</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378</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378</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379</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378</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379</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379</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378</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378</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379</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378</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379</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378</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379</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379</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378</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379</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378</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378</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379</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379</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378</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379</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378</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379</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378</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378</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379</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378</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379</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379</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378</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379</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379</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378</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378</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379</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378</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379</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378</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379</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379</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378</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378</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379</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378</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379</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378</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379</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378</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379</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378</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379</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378</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379</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378</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379</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378</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379</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378</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379</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379</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378</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379</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379</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378</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378</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379</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379</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378</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378</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379</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379</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378</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379</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378</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379</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379</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379</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379</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379</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379</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378</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379</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378</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379</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378</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379</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378</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379</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378</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379</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378</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379</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378</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378</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379</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379</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379</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379</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378</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378</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379</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379</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378</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379</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379</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378</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379</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378</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378</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379</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378</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379</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378</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379</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378</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379</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378</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379</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378</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379</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379</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379</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379</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379</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378</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379</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378</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378</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379</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378</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379</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379</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378</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379</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378</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378</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379</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378</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379</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379</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379</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378</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379</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379</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378</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379</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378</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379</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378</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379</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378</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379</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379</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378</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378</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379</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378</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379</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379</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378</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378</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379</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379</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378</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379</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378</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379</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378</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378</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379</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378</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379</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379</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378</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379</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379</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379</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378</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379</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379</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378</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378</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379</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379</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379</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379</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378</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378</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379</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379</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378</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378</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379</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379</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378</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455</v>
      </c>
      <c r="D495" s="119" t="s">
        <v>19</v>
      </c>
      <c r="E495" s="117" t="s">
        <v>378</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455</v>
      </c>
      <c r="D496" s="119" t="s">
        <v>22</v>
      </c>
      <c r="E496" s="117" t="s">
        <v>379</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455</v>
      </c>
      <c r="D497" s="119" t="s">
        <v>19</v>
      </c>
      <c r="E497" s="117" t="s">
        <v>379</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455</v>
      </c>
      <c r="D498" s="119" t="s">
        <v>22</v>
      </c>
      <c r="E498" s="117" t="s">
        <v>378</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455</v>
      </c>
      <c r="D499" s="119" t="s">
        <v>19</v>
      </c>
      <c r="E499" s="117" t="s">
        <v>378</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455</v>
      </c>
      <c r="D500" s="119" t="s">
        <v>22</v>
      </c>
      <c r="E500" s="117" t="s">
        <v>379</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378</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379</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379</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378</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378</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379</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379</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378</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378</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379</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378</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379</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378</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379</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378</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379</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379</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378</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378</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379</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379</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379</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379</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379</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379</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379</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378</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379</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378</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379</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379</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379</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378</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379</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379</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379</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378</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379</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378</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379</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378</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379</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378</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379</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379</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378</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378</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379</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379</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378</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379</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378</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379</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379</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378</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378</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379</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378</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379</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378</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379</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379</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378</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379</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378</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378</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379</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378</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379</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378</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379</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379</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379</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378</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379</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379</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379</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378</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379</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379</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379</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378</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379</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379</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379</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379</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379</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378</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378</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379</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378</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379</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378</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379</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378</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379</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379</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379</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378</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379</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379</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379</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378</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378</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379</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379</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378</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379</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379</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379</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378</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379</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379</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378</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379</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378</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379</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378</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379</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379</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379</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379</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379</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378</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378</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379</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378</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379</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379</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378</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378</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379</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378</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379</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378</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379</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378</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379</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378</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379</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378</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379</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378</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379</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378</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379</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378</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379</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379</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-5.7048527892109382</v>
      </c>
      <c r="K649" s="124">
        <f>IF($D649="",0,'Guide &amp; Settings'!$C$43*(IF($E649="Win",1,0)-$I649))</f>
        <v>-4.5</v>
      </c>
      <c r="L649" s="125">
        <f>IF($D649="",0,'Guide &amp; Settings'!$C$44*IF($F649&gt;=3,$F649,0))</f>
        <v>3</v>
      </c>
      <c r="M649" s="124">
        <f t="shared" si="173"/>
        <v>-7.2048527892109391</v>
      </c>
      <c r="N649" s="122">
        <f t="shared" si="174"/>
        <v>971.70194675781806</v>
      </c>
      <c r="O649" s="121" t="str">
        <f t="shared" si="175"/>
        <v>OK</v>
      </c>
      <c r="P649">
        <f t="shared" si="176"/>
        <v>1081.4620470838852</v>
      </c>
      <c r="Q649">
        <f t="shared" si="177"/>
        <v>0.35655329932568364</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1081.4620470838852</v>
      </c>
      <c r="X649">
        <f t="shared" si="183"/>
        <v>0.35655329932568364</v>
      </c>
      <c r="Y649">
        <f t="shared" si="184"/>
        <v>1000</v>
      </c>
      <c r="Z649">
        <f t="shared" si="185"/>
        <v>0.5</v>
      </c>
      <c r="AA649">
        <f>IF($D649="",0,IF($F649&lt;2,0,IF($E649="Win",('Guide &amp; Settings'!$C$42/(($F649-1)*COUNTIFS($A$4:$A$810,$A649,$E$4:$E$810,"Win")))*SUMIFS($Z$4:$Z$810,$A$4:$A$810,$A649,$E$4:$E$810,"Loss"),-('Guide &amp; Settings'!$C$42/($F649-1))*$Z649)))</f>
        <v>-8</v>
      </c>
      <c r="AB649" s="126">
        <f t="shared" si="186"/>
        <v>992</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378</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16.977002311417614</v>
      </c>
      <c r="K650" s="124">
        <f>IF($D650="",0,'Guide &amp; Settings'!$C$43*(IF($E650="Win",1,0)-$I650))</f>
        <v>7.5</v>
      </c>
      <c r="L650" s="125">
        <f>IF($D650="",0,'Guide &amp; Settings'!$C$44*IF($F650&gt;=3,$F650,0))</f>
        <v>3</v>
      </c>
      <c r="M650" s="124">
        <f t="shared" si="173"/>
        <v>27.477002311417614</v>
      </c>
      <c r="N650" s="122">
        <f t="shared" si="174"/>
        <v>1108.9390493953028</v>
      </c>
      <c r="O650" s="121" t="str">
        <f t="shared" si="175"/>
        <v>OK</v>
      </c>
      <c r="P650">
        <f t="shared" si="176"/>
        <v>1081.4620470838852</v>
      </c>
      <c r="Q650">
        <f t="shared" si="177"/>
        <v>0.5</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1081.4620470838852</v>
      </c>
      <c r="X650">
        <f t="shared" si="183"/>
        <v>0.5</v>
      </c>
      <c r="Y650">
        <f t="shared" si="184"/>
        <v>1000</v>
      </c>
      <c r="Z650">
        <f t="shared" si="185"/>
        <v>0.5</v>
      </c>
      <c r="AA650">
        <f>IF($D650="",0,IF($F650&lt;2,0,IF($E650="Win",('Guide &amp; Settings'!$C$42/(($F650-1)*COUNTIFS($A$4:$A$810,$A650,$E$4:$E$810,"Win")))*SUMIFS($Z$4:$Z$810,$A$4:$A$810,$A650,$E$4:$E$810,"Loss"),-('Guide &amp; Settings'!$C$42/($F650-1))*$Z650)))</f>
        <v>15.815825740515333</v>
      </c>
      <c r="AB650" s="126">
        <f t="shared" si="186"/>
        <v>1015.8158257405154</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379</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-11.272149522206675</v>
      </c>
      <c r="K651" s="124">
        <f>IF($D651="",0,'Guide &amp; Settings'!$C$43*(IF($E651="Win",1,0)-$I651))</f>
        <v>-3</v>
      </c>
      <c r="L651" s="125">
        <f>IF($D651="",0,'Guide &amp; Settings'!$C$44*IF($F651&gt;=3,$F651,0))</f>
        <v>3</v>
      </c>
      <c r="M651" s="124">
        <f t="shared" si="173"/>
        <v>-11.272149522206675</v>
      </c>
      <c r="N651" s="122">
        <f t="shared" si="174"/>
        <v>1269.2069507127815</v>
      </c>
      <c r="O651" s="121" t="str">
        <f t="shared" si="175"/>
        <v>OK</v>
      </c>
      <c r="P651">
        <f t="shared" si="176"/>
        <v>1081.4620470838852</v>
      </c>
      <c r="Q651">
        <f t="shared" si="177"/>
        <v>0.7587125916050742</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1081.4620470838852</v>
      </c>
      <c r="X651">
        <f t="shared" si="183"/>
        <v>0.70450934513791719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379</v>
      </c>
      <c r="F652" s="120">
        <f t="shared" si="170"/>
        <v>3</v>
      </c>
      <c r="G652" s="121" t="str">
        <f t="shared" si="171"/>
        <v>Shawn</v>
      </c>
      <c r="H652" s="122">
        <f>IF($D652="",0,IFERROR(LOOKUP(2,1/(($D$3:D651=$D652)*($A$3:A651&lt;$A652)),$N$3:N651),'Guide &amp; Settings'!$C$41))</f>
        <v>971.70194675781806</v>
      </c>
      <c r="I652" s="123">
        <f t="shared" si="172"/>
        <v>0.26666666666666666</v>
      </c>
      <c r="J652" s="124">
        <f>IF($D652="",0,IF($F652&lt;2,0,IF($E652="Win",('Guide &amp; Settings'!$C$42/(($F652-1)*COUNTIFS($A$4:$A$810,$A652,$E$4:$E$810,"Win")))*SUMIFS($X$4:$X$810,$A$4:$A$810,$A652,$E$4:$E$810,"Loss"),-('Guide &amp; Settings'!$C$42/($F652-1))*$X652)))</f>
        <v>-3.6348215750757729</v>
      </c>
      <c r="K652" s="124">
        <f>IF($D652="",0,'Guide &amp; Settings'!$C$43*(IF($E652="Win",1,0)-$I652))</f>
        <v>-3.2</v>
      </c>
      <c r="L652" s="125">
        <f>IF($D652="",0,'Guide &amp; Settings'!$C$44*IF($F652&gt;=3,$F652,0))</f>
        <v>3</v>
      </c>
      <c r="M652" s="124">
        <f t="shared" si="173"/>
        <v>-3.8348215750757735</v>
      </c>
      <c r="N652" s="122">
        <f t="shared" si="174"/>
        <v>967.86712518274226</v>
      </c>
      <c r="O652" s="121" t="str">
        <f t="shared" si="175"/>
        <v>OK</v>
      </c>
      <c r="P652">
        <f t="shared" si="176"/>
        <v>1269.2069507127815</v>
      </c>
      <c r="Q652">
        <f t="shared" si="177"/>
        <v>0.15282983458033306</v>
      </c>
      <c r="R652">
        <f t="shared" si="178"/>
        <v>0.33333333333333331</v>
      </c>
      <c r="S652">
        <f t="shared" si="179"/>
        <v>1.25</v>
      </c>
      <c r="T652" s="89">
        <f t="shared" si="180"/>
        <v>1</v>
      </c>
      <c r="U652" s="126">
        <f>IF($D652="",0,IFERROR(LOOKUP(2,1/(($D$3:D651=$D652)*($C$3:C651=$C652)*($A$3:A651&lt;$A652)),$AB$3:AB651),1000))</f>
        <v>992</v>
      </c>
      <c r="V652" s="126">
        <f t="shared" si="181"/>
        <v>975.08495563151496</v>
      </c>
      <c r="W652">
        <f t="shared" si="182"/>
        <v>1187.7718717261253</v>
      </c>
      <c r="X652">
        <f t="shared" si="183"/>
        <v>0.2271763484422358</v>
      </c>
      <c r="Y652">
        <f t="shared" si="184"/>
        <v>984.18417425948462</v>
      </c>
      <c r="Z652">
        <f t="shared" si="185"/>
        <v>0.51124598042057479</v>
      </c>
      <c r="AA652">
        <f>IF($D652="",0,IF($F652&lt;2,0,IF($E652="Win",('Guide &amp; Settings'!$C$42/(($F652-1)*COUNTIFS($A$4:$A$810,$A652,$E$4:$E$810,"Win")))*SUMIFS($Z$4:$Z$810,$A$4:$A$810,$A652,$E$4:$E$810,"Loss"),-('Guide &amp; Settings'!$C$42/($F652-1))*$Z652)))</f>
        <v>-8.1799356867291966</v>
      </c>
      <c r="AB652" s="126">
        <f t="shared" si="186"/>
        <v>983.82006431327079</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379</v>
      </c>
      <c r="F653" s="120">
        <f t="shared" si="170"/>
        <v>3</v>
      </c>
      <c r="G653" s="121" t="str">
        <f t="shared" si="171"/>
        <v>Shawn</v>
      </c>
      <c r="H653" s="122">
        <f>IF($D653="",0,IFERROR(LOOKUP(2,1/(($D$3:D652=$D653)*($A$3:A652&lt;$A653)),$N$3:N652),'Guide &amp; Settings'!$C$41))</f>
        <v>1108.9390493953028</v>
      </c>
      <c r="I653" s="123">
        <f t="shared" si="172"/>
        <v>0.53333333333333333</v>
      </c>
      <c r="J653" s="124">
        <f>IF($D653="",0,IF($F653&lt;2,0,IF($E653="Win",('Guide &amp; Settings'!$C$42/(($F653-1)*COUNTIFS($A$4:$A$810,$A653,$E$4:$E$810,"Win")))*SUMIFS($X$4:$X$810,$A$4:$A$810,$A653,$E$4:$E$810,"Loss"),-('Guide &amp; Settings'!$C$42/($F653-1))*$X653)))</f>
        <v>-5.8793131127595686</v>
      </c>
      <c r="K653" s="124">
        <f>IF($D653="",0,'Guide &amp; Settings'!$C$43*(IF($E653="Win",1,0)-$I653))</f>
        <v>-6.4</v>
      </c>
      <c r="L653" s="125">
        <f>IF($D653="",0,'Guide &amp; Settings'!$C$44*IF($F653&gt;=3,$F653,0))</f>
        <v>3</v>
      </c>
      <c r="M653" s="124">
        <f t="shared" si="173"/>
        <v>-9.2793131127595689</v>
      </c>
      <c r="N653" s="122">
        <f t="shared" si="174"/>
        <v>1099.6597362825432</v>
      </c>
      <c r="O653" s="121" t="str">
        <f t="shared" si="175"/>
        <v>OK</v>
      </c>
      <c r="P653">
        <f t="shared" si="176"/>
        <v>1269.2069507127815</v>
      </c>
      <c r="Q653">
        <f t="shared" si="177"/>
        <v>0.28443326648761436</v>
      </c>
      <c r="R653">
        <f t="shared" si="178"/>
        <v>0.66666666666666663</v>
      </c>
      <c r="S653">
        <f t="shared" si="179"/>
        <v>1.25</v>
      </c>
      <c r="T653" s="89">
        <f t="shared" si="180"/>
        <v>1</v>
      </c>
      <c r="U653" s="126">
        <f>IF($D653="",0,IFERROR(LOOKUP(2,1/(($D$3:D652=$D653)*($C$3:C652=$C653)*($A$3:A652&lt;$A653)),$AB$3:AB652),1000))</f>
        <v>1015.8158257405154</v>
      </c>
      <c r="V653" s="126">
        <f t="shared" si="181"/>
        <v>1093.4185121195051</v>
      </c>
      <c r="W653">
        <f t="shared" si="182"/>
        <v>1187.7718717261253</v>
      </c>
      <c r="X653">
        <f t="shared" si="183"/>
        <v>0.36745706954747304</v>
      </c>
      <c r="Y653">
        <f t="shared" si="184"/>
        <v>984.18417425948462</v>
      </c>
      <c r="Z653">
        <f t="shared" si="185"/>
        <v>0.54539624717641111</v>
      </c>
      <c r="AA653">
        <f>IF($D653="",0,IF($F653&lt;2,0,IF($E653="Win",('Guide &amp; Settings'!$C$42/(($F653-1)*COUNTIFS($A$4:$A$810,$A653,$E$4:$E$810,"Win")))*SUMIFS($Z$4:$Z$810,$A$4:$A$810,$A653,$E$4:$E$810,"Loss"),-('Guide &amp; Settings'!$C$42/($F653-1))*$Z653)))</f>
        <v>-8.7263399548225777</v>
      </c>
      <c r="AB653" s="126">
        <f t="shared" si="186"/>
        <v>1007.0894857856928</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378</v>
      </c>
      <c r="F654" s="120">
        <f t="shared" si="170"/>
        <v>3</v>
      </c>
      <c r="G654" s="121" t="str">
        <f t="shared" si="171"/>
        <v>Shawn</v>
      </c>
      <c r="H654" s="122">
        <f>IF($D654="",0,IFERROR(LOOKUP(2,1/(($D$3:D653=$D654)*($A$3:A653&lt;$A654)),$N$3:N653),'Guide &amp; Settings'!$C$41))</f>
        <v>1269.2069507127815</v>
      </c>
      <c r="I654" s="123">
        <f t="shared" si="172"/>
        <v>0.2</v>
      </c>
      <c r="J654" s="124">
        <f>IF($D654="",0,IF($F654&lt;2,0,IF($E654="Win",('Guide &amp; Settings'!$C$42/(($F654-1)*COUNTIFS($A$4:$A$810,$A654,$E$4:$E$810,"Win")))*SUMIFS($X$4:$X$810,$A$4:$A$810,$A654,$E$4:$E$810,"Loss"),-('Guide &amp; Settings'!$C$42/($F654-1))*$X654)))</f>
        <v>9.514134687835341</v>
      </c>
      <c r="K654" s="124">
        <f>IF($D654="",0,'Guide &amp; Settings'!$C$43*(IF($E654="Win",1,0)-$I654))</f>
        <v>9.6000000000000014</v>
      </c>
      <c r="L654" s="125">
        <f>IF($D654="",0,'Guide &amp; Settings'!$C$44*IF($F654&gt;=3,$F654,0))</f>
        <v>3</v>
      </c>
      <c r="M654" s="124">
        <f t="shared" si="173"/>
        <v>22.114134687835342</v>
      </c>
      <c r="N654" s="122">
        <f t="shared" si="174"/>
        <v>1291.3210854006168</v>
      </c>
      <c r="O654" s="121" t="str">
        <f t="shared" si="175"/>
        <v>OK</v>
      </c>
      <c r="P654">
        <f t="shared" si="176"/>
        <v>1269.2069507127815</v>
      </c>
      <c r="Q654">
        <f t="shared" si="177"/>
        <v>0.5</v>
      </c>
      <c r="R654">
        <f t="shared" si="178"/>
        <v>0.25</v>
      </c>
      <c r="S654">
        <f t="shared" si="179"/>
        <v>1.25</v>
      </c>
      <c r="T654" s="89">
        <f t="shared" si="180"/>
        <v>2</v>
      </c>
      <c r="U654" s="126">
        <f>IF($D654="",0,IFERROR(LOOKUP(2,1/(($D$3:D653=$D654)*($C$3:C653=$C654)*($A$3:A653&lt;$A654)),$AB$3:AB653),1000))</f>
        <v>984.18417425948462</v>
      </c>
      <c r="V654" s="126">
        <f t="shared" si="181"/>
        <v>1187.7718717261253</v>
      </c>
      <c r="W654">
        <f t="shared" si="182"/>
        <v>1187.7718717261253</v>
      </c>
      <c r="X654">
        <f t="shared" si="183"/>
        <v>0.5</v>
      </c>
      <c r="Y654">
        <f t="shared" si="184"/>
        <v>984.18417425948462</v>
      </c>
      <c r="Z654">
        <f t="shared" si="185"/>
        <v>0.5</v>
      </c>
      <c r="AA654">
        <f>IF($D654="",0,IF($F654&lt;2,0,IF($E654="Win",('Guide &amp; Settings'!$C$42/(($F654-1)*COUNTIFS($A$4:$A$810,$A654,$E$4:$E$810,"Win")))*SUMIFS($Z$4:$Z$810,$A$4:$A$810,$A654,$E$4:$E$810,"Loss"),-('Guide &amp; Settings'!$C$42/($F654-1))*$Z654)))</f>
        <v>16.906275641551773</v>
      </c>
      <c r="AB654" s="126">
        <f t="shared" si="186"/>
        <v>1001.0904499010364</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378</v>
      </c>
      <c r="F655" s="120">
        <f t="shared" si="170"/>
        <v>2</v>
      </c>
      <c r="G655" s="121" t="str">
        <f t="shared" si="171"/>
        <v>Shawn</v>
      </c>
      <c r="H655" s="122">
        <f>IF($D655="",0,IFERROR(LOOKUP(2,1/(($D$3:D654=$D655)*($A$3:A654&lt;$A655)),$N$3:N654),'Guide &amp; Settings'!$C$41))</f>
        <v>1291.3210854006168</v>
      </c>
      <c r="I655" s="123">
        <f t="shared" si="172"/>
        <v>0.83333333333333337</v>
      </c>
      <c r="J655" s="124">
        <f>IF($D655="",0,IF($F655&lt;2,0,IF($E655="Win",('Guide &amp; Settings'!$C$42/(($F655-1)*COUNTIFS($A$4:$A$810,$A655,$E$4:$E$810,"Win")))*SUMIFS($X$4:$X$810,$A$4:$A$810,$A655,$E$4:$E$810,"Loss"),-('Guide &amp; Settings'!$C$42/($F655-1))*$X655)))</f>
        <v>7.627777886874771</v>
      </c>
      <c r="K655" s="124">
        <f>IF($D655="",0,'Guide &amp; Settings'!$C$43*(IF($E655="Win",1,0)-$I655))</f>
        <v>1.9999999999999996</v>
      </c>
      <c r="L655" s="125">
        <f>IF($D655="",0,'Guide &amp; Settings'!$C$44*IF($F655&gt;=3,$F655,0))</f>
        <v>0</v>
      </c>
      <c r="M655" s="124">
        <f t="shared" si="173"/>
        <v>9.627777886874771</v>
      </c>
      <c r="N655" s="122">
        <f t="shared" si="174"/>
        <v>1300.9488632874916</v>
      </c>
      <c r="O655" s="121" t="str">
        <f t="shared" si="175"/>
        <v>OK</v>
      </c>
      <c r="P655">
        <f t="shared" si="176"/>
        <v>1291.3210854006168</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1186.6454663910083</v>
      </c>
      <c r="W655">
        <f t="shared" si="182"/>
        <v>1186.6454663910083</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379</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-7.627777886874771</v>
      </c>
      <c r="K656" s="124">
        <f>IF($D656="",0,'Guide &amp; Settings'!$C$43*(IF($E656="Win",1,0)-$I656))</f>
        <v>-2</v>
      </c>
      <c r="L656" s="125">
        <f>IF($D656="",0,'Guide &amp; Settings'!$C$44*IF($F656&gt;=3,$F656,0))</f>
        <v>0</v>
      </c>
      <c r="M656" s="124">
        <f t="shared" si="173"/>
        <v>-9.627777886874771</v>
      </c>
      <c r="N656" s="122">
        <f t="shared" si="174"/>
        <v>1007.7369116310465</v>
      </c>
      <c r="O656" s="121" t="str">
        <f t="shared" si="175"/>
        <v>OK</v>
      </c>
      <c r="P656">
        <f t="shared" si="176"/>
        <v>1291.3210854006168</v>
      </c>
      <c r="Q656">
        <f t="shared" si="177"/>
        <v>0.17121796757959987</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1186.6454663910083</v>
      </c>
      <c r="X656">
        <f t="shared" si="183"/>
        <v>0.23836805896483659</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v>278</v>
      </c>
      <c r="B657" s="118">
        <v>46271</v>
      </c>
      <c r="C657" s="119" t="s">
        <v>42</v>
      </c>
      <c r="D657" s="119" t="s">
        <v>20</v>
      </c>
      <c r="E657" s="117" t="s">
        <v>378</v>
      </c>
      <c r="F657" s="120">
        <f t="shared" si="170"/>
        <v>3</v>
      </c>
      <c r="G657" s="121" t="str">
        <f t="shared" si="171"/>
        <v>Shawn</v>
      </c>
      <c r="H657" s="122">
        <f>IF($D657="",0,IFERROR(LOOKUP(2,1/(($D$3:D656=$D657)*($A$3:A656&lt;$A657)),$N$3:N656),'Guide &amp; Settings'!$C$41))</f>
        <v>1300.9488632874916</v>
      </c>
      <c r="I657" s="123">
        <f t="shared" si="172"/>
        <v>0.33333333333333331</v>
      </c>
      <c r="J657" s="124">
        <f>IF($D657="",0,IF($F657&lt;2,0,IF($E657="Win",('Guide &amp; Settings'!$C$42/(($F657-1)*COUNTIFS($A$4:$A$810,$A657,$E$4:$E$810,"Win")))*SUMIFS($X$4:$X$810,$A$4:$A$810,$A657,$E$4:$E$810,"Loss"),-('Guide &amp; Settings'!$C$42/($F657-1))*$X657)))</f>
        <v>5.872895904951636</v>
      </c>
      <c r="K657" s="124">
        <f>IF($D657="",0,'Guide &amp; Settings'!$C$43*(IF($E657="Win",1,0)-$I657))</f>
        <v>8</v>
      </c>
      <c r="L657" s="125">
        <f>IF($D657="",0,'Guide &amp; Settings'!$C$44*IF($F657&gt;=3,$F657,0))</f>
        <v>3</v>
      </c>
      <c r="M657" s="124">
        <f t="shared" si="173"/>
        <v>16.872895904951637</v>
      </c>
      <c r="N657" s="122">
        <f t="shared" si="174"/>
        <v>1317.8217591924433</v>
      </c>
      <c r="O657" s="121" t="str">
        <f t="shared" si="175"/>
        <v>OK</v>
      </c>
      <c r="P657">
        <f t="shared" si="176"/>
        <v>1300.9488632874916</v>
      </c>
      <c r="Q657">
        <f t="shared" si="177"/>
        <v>0.5</v>
      </c>
      <c r="R657">
        <f t="shared" si="178"/>
        <v>0.5</v>
      </c>
      <c r="S657">
        <f t="shared" si="179"/>
        <v>1.5</v>
      </c>
      <c r="T657" s="89">
        <f t="shared" si="180"/>
        <v>0</v>
      </c>
      <c r="U657" s="126">
        <f>IF($D657="",0,IFERROR(LOOKUP(2,1/(($D$3:D656=$D657)*($C$3:C656=$C657)*($A$3:A656&lt;$A657)),$AB$3:AB656),1000))</f>
        <v>1000</v>
      </c>
      <c r="V657" s="126">
        <f t="shared" si="181"/>
        <v>1300.9488632874916</v>
      </c>
      <c r="W657">
        <f t="shared" si="182"/>
        <v>1300.9488632874916</v>
      </c>
      <c r="X657">
        <f t="shared" si="183"/>
        <v>0.5</v>
      </c>
      <c r="Y657">
        <f t="shared" si="184"/>
        <v>1000</v>
      </c>
      <c r="Z657">
        <f t="shared" si="185"/>
        <v>0.5</v>
      </c>
      <c r="AA657">
        <f>IF($D657="",0,IF($F657&lt;2,0,IF($E657="Win",('Guide &amp; Settings'!$C$42/(($F657-1)*COUNTIFS($A$4:$A$810,$A657,$E$4:$E$810,"Win")))*SUMIFS($Z$4:$Z$810,$A$4:$A$810,$A657,$E$4:$E$810,"Loss"),-('Guide &amp; Settings'!$C$42/($F657-1))*$Z657)))</f>
        <v>16</v>
      </c>
      <c r="AB657" s="126">
        <f t="shared" si="186"/>
        <v>1016</v>
      </c>
      <c r="AC657" s="126"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0</v>
      </c>
    </row>
    <row r="658" spans="1:29" x14ac:dyDescent="0.2">
      <c r="A658" s="117">
        <v>278</v>
      </c>
      <c r="B658" s="118">
        <v>46271</v>
      </c>
      <c r="C658" s="119" t="s">
        <v>42</v>
      </c>
      <c r="D658" s="119" t="s">
        <v>21</v>
      </c>
      <c r="E658" s="117" t="s">
        <v>379</v>
      </c>
      <c r="F658" s="120">
        <f t="shared" si="170"/>
        <v>3</v>
      </c>
      <c r="G658" s="121" t="str">
        <f t="shared" si="171"/>
        <v>Shawn</v>
      </c>
      <c r="H658" s="122">
        <f>IF($D658="",0,IFERROR(LOOKUP(2,1/(($D$3:D657=$D658)*($A$3:A657&lt;$A658)),$N$3:N657),'Guide &amp; Settings'!$C$41))</f>
        <v>1099.6597362825432</v>
      </c>
      <c r="I658" s="123">
        <f t="shared" si="172"/>
        <v>0.33333333333333331</v>
      </c>
      <c r="J658" s="124">
        <f>IF($D658="",0,IF($F658&lt;2,0,IF($E658="Win",('Guide &amp; Settings'!$C$42/(($F658-1)*COUNTIFS($A$4:$A$810,$A658,$E$4:$E$810,"Win")))*SUMIFS($X$4:$X$810,$A$4:$A$810,$A658,$E$4:$E$810,"Loss"),-('Guide &amp; Settings'!$C$42/($F658-1))*$X658)))</f>
        <v>-3.8224184529278329</v>
      </c>
      <c r="K658" s="124">
        <f>IF($D658="",0,'Guide &amp; Settings'!$C$43*(IF($E658="Win",1,0)-$I658))</f>
        <v>-4</v>
      </c>
      <c r="L658" s="125">
        <f>IF($D658="",0,'Guide &amp; Settings'!$C$44*IF($F658&gt;=3,$F658,0))</f>
        <v>3</v>
      </c>
      <c r="M658" s="124">
        <f t="shared" si="173"/>
        <v>-4.8224184529278329</v>
      </c>
      <c r="N658" s="122">
        <f t="shared" si="174"/>
        <v>1094.8373178296154</v>
      </c>
      <c r="O658" s="121" t="str">
        <f t="shared" si="175"/>
        <v>OK</v>
      </c>
      <c r="P658">
        <f t="shared" si="176"/>
        <v>1300.9488632874916</v>
      </c>
      <c r="Q658">
        <f t="shared" si="177"/>
        <v>0.23890115330798956</v>
      </c>
      <c r="R658">
        <f t="shared" si="178"/>
        <v>0.5</v>
      </c>
      <c r="S658">
        <f t="shared" si="179"/>
        <v>1.5</v>
      </c>
      <c r="T658" s="89">
        <f t="shared" si="180"/>
        <v>0</v>
      </c>
      <c r="U658" s="126">
        <f>IF($D658="",0,IFERROR(LOOKUP(2,1/(($D$3:D657=$D658)*($C$3:C657=$C658)*($A$3:A657&lt;$A658)),$AB$3:AB657),1000))</f>
        <v>1000</v>
      </c>
      <c r="V658" s="126">
        <f t="shared" si="181"/>
        <v>1099.6597362825432</v>
      </c>
      <c r="W658">
        <f t="shared" si="182"/>
        <v>1300.9488632874916</v>
      </c>
      <c r="X658">
        <f t="shared" si="183"/>
        <v>0.23890115330798956</v>
      </c>
      <c r="Y658">
        <f t="shared" si="184"/>
        <v>1000</v>
      </c>
      <c r="Z658">
        <f t="shared" si="185"/>
        <v>0.5</v>
      </c>
      <c r="AA658">
        <f>IF($D658="",0,IF($F658&lt;2,0,IF($E658="Win",('Guide &amp; Settings'!$C$42/(($F658-1)*COUNTIFS($A$4:$A$810,$A658,$E$4:$E$810,"Win")))*SUMIFS($Z$4:$Z$810,$A$4:$A$810,$A658,$E$4:$E$810,"Loss"),-('Guide &amp; Settings'!$C$42/($F658-1))*$Z658)))</f>
        <v>-8</v>
      </c>
      <c r="AB658" s="126">
        <f t="shared" si="186"/>
        <v>992</v>
      </c>
      <c r="AC658" s="126"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0</v>
      </c>
    </row>
    <row r="659" spans="1:29" x14ac:dyDescent="0.2">
      <c r="A659" s="117">
        <v>278</v>
      </c>
      <c r="B659" s="118">
        <v>46271</v>
      </c>
      <c r="C659" s="119" t="s">
        <v>42</v>
      </c>
      <c r="D659" s="119" t="s">
        <v>25</v>
      </c>
      <c r="E659" s="117" t="s">
        <v>379</v>
      </c>
      <c r="F659" s="120">
        <f t="shared" si="170"/>
        <v>3</v>
      </c>
      <c r="G659" s="121" t="str">
        <f t="shared" si="171"/>
        <v>Shawn</v>
      </c>
      <c r="H659" s="122">
        <f>IF($D659="",0,IFERROR(LOOKUP(2,1/(($D$3:D658=$D659)*($A$3:A658&lt;$A659)),$N$3:N658),'Guide &amp; Settings'!$C$41))</f>
        <v>967.86712518274226</v>
      </c>
      <c r="I659" s="123">
        <f t="shared" si="172"/>
        <v>0.33333333333333331</v>
      </c>
      <c r="J659" s="124">
        <f>IF($D659="",0,IF($F659&lt;2,0,IF($E659="Win",('Guide &amp; Settings'!$C$42/(($F659-1)*COUNTIFS($A$4:$A$810,$A659,$E$4:$E$810,"Win")))*SUMIFS($X$4:$X$810,$A$4:$A$810,$A659,$E$4:$E$810,"Loss"),-('Guide &amp; Settings'!$C$42/($F659-1))*$X659)))</f>
        <v>-2.0504774520238032</v>
      </c>
      <c r="K659" s="124">
        <f>IF($D659="",0,'Guide &amp; Settings'!$C$43*(IF($E659="Win",1,0)-$I659))</f>
        <v>-4</v>
      </c>
      <c r="L659" s="125">
        <f>IF($D659="",0,'Guide &amp; Settings'!$C$44*IF($F659&gt;=3,$F659,0))</f>
        <v>3</v>
      </c>
      <c r="M659" s="124">
        <f t="shared" si="173"/>
        <v>-3.0504774520238032</v>
      </c>
      <c r="N659" s="122">
        <f t="shared" si="174"/>
        <v>964.8166477307185</v>
      </c>
      <c r="O659" s="121" t="str">
        <f t="shared" si="175"/>
        <v>OK</v>
      </c>
      <c r="P659">
        <f t="shared" si="176"/>
        <v>1300.9488632874916</v>
      </c>
      <c r="Q659">
        <f t="shared" si="177"/>
        <v>0.1281548407514877</v>
      </c>
      <c r="R659">
        <f t="shared" si="178"/>
        <v>0.5</v>
      </c>
      <c r="S659">
        <f t="shared" si="179"/>
        <v>1.5</v>
      </c>
      <c r="T659" s="89">
        <f t="shared" si="180"/>
        <v>0</v>
      </c>
      <c r="U659" s="126">
        <f>IF($D659="",0,IFERROR(LOOKUP(2,1/(($D$3:D658=$D659)*($C$3:C658=$C659)*($A$3:A658&lt;$A659)),$AB$3:AB658),1000))</f>
        <v>1000</v>
      </c>
      <c r="V659" s="126">
        <f t="shared" si="181"/>
        <v>967.86712518274226</v>
      </c>
      <c r="W659">
        <f t="shared" si="182"/>
        <v>1300.9488632874916</v>
      </c>
      <c r="X659">
        <f t="shared" si="183"/>
        <v>0.1281548407514877</v>
      </c>
      <c r="Y659">
        <f t="shared" si="184"/>
        <v>1000</v>
      </c>
      <c r="Z659">
        <f t="shared" si="185"/>
        <v>0.5</v>
      </c>
      <c r="AA659">
        <f>IF($D659="",0,IF($F659&lt;2,0,IF($E659="Win",('Guide &amp; Settings'!$C$42/(($F659-1)*COUNTIFS($A$4:$A$810,$A659,$E$4:$E$810,"Win")))*SUMIFS($Z$4:$Z$810,$A$4:$A$810,$A659,$E$4:$E$810,"Loss"),-('Guide &amp; Settings'!$C$42/($F659-1))*$Z659)))</f>
        <v>-8</v>
      </c>
      <c r="AB659" s="126">
        <f t="shared" si="186"/>
        <v>992</v>
      </c>
      <c r="AC659" s="126"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0</v>
      </c>
    </row>
    <row r="660" spans="1:29" x14ac:dyDescent="0.2">
      <c r="A660" s="117">
        <v>279</v>
      </c>
      <c r="B660" s="118">
        <v>46271</v>
      </c>
      <c r="C660" s="119" t="s">
        <v>42</v>
      </c>
      <c r="D660" s="119" t="s">
        <v>20</v>
      </c>
      <c r="E660" s="117" t="s">
        <v>379</v>
      </c>
      <c r="F660" s="120">
        <f t="shared" si="170"/>
        <v>3</v>
      </c>
      <c r="G660" s="121" t="str">
        <f t="shared" si="171"/>
        <v>Simon</v>
      </c>
      <c r="H660" s="122">
        <f>IF($D660="",0,IFERROR(LOOKUP(2,1/(($D$3:D659=$D660)*($A$3:A659&lt;$A660)),$N$3:N659),'Guide &amp; Settings'!$C$41))</f>
        <v>1317.8217591924433</v>
      </c>
      <c r="I660" s="123">
        <f t="shared" si="172"/>
        <v>0.5</v>
      </c>
      <c r="J660" s="124">
        <f>IF($D660="",0,IF($F660&lt;2,0,IF($E660="Win",('Guide &amp; Settings'!$C$42/(($F660-1)*COUNTIFS($A$4:$A$810,$A660,$E$4:$E$810,"Win")))*SUMIFS($X$4:$X$810,$A$4:$A$810,$A660,$E$4:$E$810,"Loss"),-('Guide &amp; Settings'!$C$42/($F660-1))*$X660)))</f>
        <v>-11.982218495679067</v>
      </c>
      <c r="K660" s="124">
        <f>IF($D660="",0,'Guide &amp; Settings'!$C$43*(IF($E660="Win",1,0)-$I660))</f>
        <v>-6</v>
      </c>
      <c r="L660" s="125">
        <f>IF($D660="",0,'Guide &amp; Settings'!$C$44*IF($F660&gt;=3,$F660,0))</f>
        <v>3</v>
      </c>
      <c r="M660" s="124">
        <f t="shared" si="173"/>
        <v>-14.982218495679067</v>
      </c>
      <c r="N660" s="122">
        <f t="shared" si="174"/>
        <v>1302.8395406967643</v>
      </c>
      <c r="O660" s="121" t="str">
        <f t="shared" si="175"/>
        <v>OK</v>
      </c>
      <c r="P660">
        <f t="shared" si="176"/>
        <v>1094.8373178296154</v>
      </c>
      <c r="Q660">
        <f t="shared" si="177"/>
        <v>0.7830622292598195</v>
      </c>
      <c r="R660">
        <f t="shared" si="178"/>
        <v>0.66666666666666663</v>
      </c>
      <c r="S660">
        <f t="shared" si="179"/>
        <v>1.3333333333333333</v>
      </c>
      <c r="T660" s="89">
        <f t="shared" si="180"/>
        <v>1</v>
      </c>
      <c r="U660" s="126">
        <f>IF($D660="",0,IFERROR(LOOKUP(2,1/(($D$3:D659=$D660)*($C$3:C659=$C660)*($A$3:A659&lt;$A660)),$AB$3:AB659),1000))</f>
        <v>1016</v>
      </c>
      <c r="V660" s="126">
        <f t="shared" si="181"/>
        <v>1267.5181326603695</v>
      </c>
      <c r="W660">
        <f t="shared" si="182"/>
        <v>1077.6977648580128</v>
      </c>
      <c r="X660">
        <f t="shared" si="183"/>
        <v>0.7488886559799417</v>
      </c>
      <c r="Y660">
        <f t="shared" si="184"/>
        <v>992</v>
      </c>
      <c r="Z660">
        <f t="shared" si="185"/>
        <v>0.53448394472683147</v>
      </c>
      <c r="AA660">
        <f>IF($D660="",0,IF($F660&lt;2,0,IF($E660="Win",('Guide &amp; Settings'!$C$42/(($F660-1)*COUNTIFS($A$4:$A$810,$A660,$E$4:$E$810,"Win")))*SUMIFS($Z$4:$Z$810,$A$4:$A$810,$A660,$E$4:$E$810,"Loss"),-('Guide &amp; Settings'!$C$42/($F660-1))*$Z660)))</f>
        <v>-8.5517431156293036</v>
      </c>
      <c r="AB660" s="126">
        <f t="shared" si="186"/>
        <v>1007.4482568843707</v>
      </c>
      <c r="AC660" s="126"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0</v>
      </c>
    </row>
    <row r="661" spans="1:29" x14ac:dyDescent="0.2">
      <c r="A661" s="117">
        <v>279</v>
      </c>
      <c r="B661" s="118">
        <v>46271</v>
      </c>
      <c r="C661" s="119" t="s">
        <v>42</v>
      </c>
      <c r="D661" s="119" t="s">
        <v>21</v>
      </c>
      <c r="E661" s="117" t="s">
        <v>378</v>
      </c>
      <c r="F661" s="120">
        <f t="shared" si="170"/>
        <v>3</v>
      </c>
      <c r="G661" s="121" t="str">
        <f t="shared" si="171"/>
        <v>Simon</v>
      </c>
      <c r="H661" s="122">
        <f>IF($D661="",0,IFERROR(LOOKUP(2,1/(($D$3:D660=$D661)*($A$3:A660&lt;$A661)),$N$3:N660),'Guide &amp; Settings'!$C$41))</f>
        <v>1094.8373178296154</v>
      </c>
      <c r="I661" s="123">
        <f t="shared" si="172"/>
        <v>0.25</v>
      </c>
      <c r="J661" s="124">
        <f>IF($D661="",0,IF($F661&lt;2,0,IF($E661="Win",('Guide &amp; Settings'!$C$42/(($F661-1)*COUNTIFS($A$4:$A$810,$A661,$E$4:$E$810,"Win")))*SUMIFS($X$4:$X$810,$A$4:$A$810,$A661,$E$4:$E$810,"Loss"),-('Guide &amp; Settings'!$C$42/($F661-1))*$X661)))</f>
        <v>17.565207115268528</v>
      </c>
      <c r="K661" s="124">
        <f>IF($D661="",0,'Guide &amp; Settings'!$C$43*(IF($E661="Win",1,0)-$I661))</f>
        <v>9</v>
      </c>
      <c r="L661" s="125">
        <f>IF($D661="",0,'Guide &amp; Settings'!$C$44*IF($F661&gt;=3,$F661,0))</f>
        <v>3</v>
      </c>
      <c r="M661" s="124">
        <f t="shared" si="173"/>
        <v>29.565207115268528</v>
      </c>
      <c r="N661" s="122">
        <f t="shared" si="174"/>
        <v>1124.4025249448839</v>
      </c>
      <c r="O661" s="121" t="str">
        <f t="shared" si="175"/>
        <v>OK</v>
      </c>
      <c r="P661">
        <f t="shared" si="176"/>
        <v>1094.8373178296154</v>
      </c>
      <c r="Q661">
        <f t="shared" si="177"/>
        <v>0.5</v>
      </c>
      <c r="R661">
        <f t="shared" si="178"/>
        <v>0.33333333333333331</v>
      </c>
      <c r="S661">
        <f t="shared" si="179"/>
        <v>1.3333333333333333</v>
      </c>
      <c r="T661" s="89">
        <f t="shared" si="180"/>
        <v>1</v>
      </c>
      <c r="U661" s="126">
        <f>IF($D661="",0,IFERROR(LOOKUP(2,1/(($D$3:D660=$D661)*($C$3:C660=$C661)*($A$3:A660&lt;$A661)),$AB$3:AB660),1000))</f>
        <v>992</v>
      </c>
      <c r="V661" s="126">
        <f t="shared" si="181"/>
        <v>1077.6977648580128</v>
      </c>
      <c r="W661">
        <f t="shared" si="182"/>
        <v>1077.6977648580128</v>
      </c>
      <c r="X661">
        <f t="shared" si="183"/>
        <v>0.5</v>
      </c>
      <c r="Y661">
        <f t="shared" si="184"/>
        <v>992</v>
      </c>
      <c r="Z661">
        <f t="shared" si="185"/>
        <v>0.5</v>
      </c>
      <c r="AA661">
        <f>IF($D661="",0,IF($F661&lt;2,0,IF($E661="Win",('Guide &amp; Settings'!$C$42/(($F661-1)*COUNTIFS($A$4:$A$810,$A661,$E$4:$E$810,"Win")))*SUMIFS($Z$4:$Z$810,$A$4:$A$810,$A661,$E$4:$E$810,"Loss"),-('Guide &amp; Settings'!$C$42/($F661-1))*$Z661)))</f>
        <v>16.551743115629304</v>
      </c>
      <c r="AB661" s="126">
        <f t="shared" si="186"/>
        <v>1008.5517431156293</v>
      </c>
      <c r="AC661" s="126"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0</v>
      </c>
    </row>
    <row r="662" spans="1:29" x14ac:dyDescent="0.2">
      <c r="A662" s="117">
        <v>279</v>
      </c>
      <c r="B662" s="118">
        <v>46271</v>
      </c>
      <c r="C662" s="119" t="s">
        <v>42</v>
      </c>
      <c r="D662" s="119" t="s">
        <v>25</v>
      </c>
      <c r="E662" s="117" t="s">
        <v>379</v>
      </c>
      <c r="F662" s="120">
        <f t="shared" si="170"/>
        <v>3</v>
      </c>
      <c r="G662" s="121" t="str">
        <f t="shared" si="171"/>
        <v>Simon</v>
      </c>
      <c r="H662" s="122">
        <f>IF($D662="",0,IFERROR(LOOKUP(2,1/(($D$3:D661=$D662)*($A$3:A661&lt;$A662)),$N$3:N661),'Guide &amp; Settings'!$C$41))</f>
        <v>964.8166477307185</v>
      </c>
      <c r="I662" s="123">
        <f t="shared" si="172"/>
        <v>0.25</v>
      </c>
      <c r="J662" s="124">
        <f>IF($D662="",0,IF($F662&lt;2,0,IF($E662="Win",('Guide &amp; Settings'!$C$42/(($F662-1)*COUNTIFS($A$4:$A$810,$A662,$E$4:$E$810,"Win")))*SUMIFS($X$4:$X$810,$A$4:$A$810,$A662,$E$4:$E$810,"Loss"),-('Guide &amp; Settings'!$C$42/($F662-1))*$X662)))</f>
        <v>-5.5829886195894627</v>
      </c>
      <c r="K662" s="124">
        <f>IF($D662="",0,'Guide &amp; Settings'!$C$43*(IF($E662="Win",1,0)-$I662))</f>
        <v>-3</v>
      </c>
      <c r="L662" s="125">
        <f>IF($D662="",0,'Guide &amp; Settings'!$C$44*IF($F662&gt;=3,$F662,0))</f>
        <v>3</v>
      </c>
      <c r="M662" s="124">
        <f t="shared" si="173"/>
        <v>-5.5829886195894627</v>
      </c>
      <c r="N662" s="122">
        <f t="shared" si="174"/>
        <v>959.23365911112899</v>
      </c>
      <c r="O662" s="121" t="str">
        <f t="shared" si="175"/>
        <v>OK</v>
      </c>
      <c r="P662">
        <f t="shared" si="176"/>
        <v>1094.8373178296154</v>
      </c>
      <c r="Q662">
        <f t="shared" si="177"/>
        <v>0.32115713875039187</v>
      </c>
      <c r="R662">
        <f t="shared" si="178"/>
        <v>0.33333333333333331</v>
      </c>
      <c r="S662">
        <f t="shared" si="179"/>
        <v>1.3333333333333333</v>
      </c>
      <c r="T662" s="89">
        <f t="shared" si="180"/>
        <v>1</v>
      </c>
      <c r="U662" s="126">
        <f>IF($D662="",0,IFERROR(LOOKUP(2,1/(($D$3:D661=$D662)*($C$3:C661=$C662)*($A$3:A661&lt;$A662)),$AB$3:AB661),1000))</f>
        <v>992</v>
      </c>
      <c r="V662" s="126">
        <f t="shared" si="181"/>
        <v>969.34720644226536</v>
      </c>
      <c r="W662">
        <f t="shared" si="182"/>
        <v>1077.6977648580128</v>
      </c>
      <c r="X662">
        <f t="shared" si="183"/>
        <v>0.34893678872434142</v>
      </c>
      <c r="Y662">
        <f t="shared" si="184"/>
        <v>992</v>
      </c>
      <c r="Z662">
        <f t="shared" si="185"/>
        <v>0.5</v>
      </c>
      <c r="AA662">
        <f>IF($D662="",0,IF($F662&lt;2,0,IF($E662="Win",('Guide &amp; Settings'!$C$42/(($F662-1)*COUNTIFS($A$4:$A$810,$A662,$E$4:$E$810,"Win")))*SUMIFS($Z$4:$Z$810,$A$4:$A$810,$A662,$E$4:$E$810,"Loss"),-('Guide &amp; Settings'!$C$42/($F662-1))*$Z662)))</f>
        <v>-8</v>
      </c>
      <c r="AB662" s="126">
        <f t="shared" si="186"/>
        <v>984</v>
      </c>
      <c r="AC662" s="126"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0</v>
      </c>
    </row>
    <row r="663" spans="1:29" x14ac:dyDescent="0.2">
      <c r="A663" s="117">
        <v>280</v>
      </c>
      <c r="B663" s="118">
        <v>46271</v>
      </c>
      <c r="C663" s="119" t="s">
        <v>42</v>
      </c>
      <c r="D663" s="119" t="s">
        <v>20</v>
      </c>
      <c r="E663" s="117" t="s">
        <v>379</v>
      </c>
      <c r="F663" s="120">
        <f t="shared" si="170"/>
        <v>3</v>
      </c>
      <c r="G663" s="121" t="str">
        <f t="shared" si="171"/>
        <v>Simon</v>
      </c>
      <c r="H663" s="122">
        <f>IF($D663="",0,IFERROR(LOOKUP(2,1/(($D$3:D662=$D663)*($A$3:A662&lt;$A663)),$N$3:N662),'Guide &amp; Settings'!$C$41))</f>
        <v>1302.8395406967643</v>
      </c>
      <c r="I663" s="123">
        <f t="shared" si="172"/>
        <v>0.4</v>
      </c>
      <c r="J663" s="124">
        <f>IF($D663="",0,IF($F663&lt;2,0,IF($E663="Win",('Guide &amp; Settings'!$C$42/(($F663-1)*COUNTIFS($A$4:$A$810,$A663,$E$4:$E$810,"Win")))*SUMIFS($X$4:$X$810,$A$4:$A$810,$A663,$E$4:$E$810,"Loss"),-('Guide &amp; Settings'!$C$42/($F663-1))*$X663)))</f>
        <v>-10.803465897676393</v>
      </c>
      <c r="K663" s="124">
        <f>IF($D663="",0,'Guide &amp; Settings'!$C$43*(IF($E663="Win",1,0)-$I663))</f>
        <v>-4.8000000000000007</v>
      </c>
      <c r="L663" s="125">
        <f>IF($D663="",0,'Guide &amp; Settings'!$C$44*IF($F663&gt;=3,$F663,0))</f>
        <v>3</v>
      </c>
      <c r="M663" s="124">
        <f t="shared" si="173"/>
        <v>-12.603465897676394</v>
      </c>
      <c r="N663" s="122">
        <f t="shared" si="174"/>
        <v>1290.2360747990879</v>
      </c>
      <c r="O663" s="121" t="str">
        <f t="shared" si="175"/>
        <v>OK</v>
      </c>
      <c r="P663">
        <f t="shared" si="176"/>
        <v>1124.4025249448839</v>
      </c>
      <c r="Q663">
        <f t="shared" si="177"/>
        <v>0.7363661031140426</v>
      </c>
      <c r="R663">
        <f t="shared" si="178"/>
        <v>0.5</v>
      </c>
      <c r="S663">
        <f t="shared" si="179"/>
        <v>1.25</v>
      </c>
      <c r="T663" s="89">
        <f t="shared" si="180"/>
        <v>2</v>
      </c>
      <c r="U663" s="126">
        <f>IF($D663="",0,IFERROR(LOOKUP(2,1/(($D$3:D662=$D663)*($C$3:C662=$C663)*($A$3:A662&lt;$A663)),$AB$3:AB662),1000))</f>
        <v>1007.4482568843707</v>
      </c>
      <c r="V663" s="126">
        <f t="shared" si="181"/>
        <v>1218.4420310360804</v>
      </c>
      <c r="W663">
        <f t="shared" si="182"/>
        <v>1091.302301565097</v>
      </c>
      <c r="X663">
        <f t="shared" si="183"/>
        <v>0.67521661860477455</v>
      </c>
      <c r="Y663">
        <f t="shared" si="184"/>
        <v>1008.5517431156293</v>
      </c>
      <c r="Z663">
        <f t="shared" si="185"/>
        <v>0.49841196099828572</v>
      </c>
      <c r="AA663">
        <f>IF($D663="",0,IF($F663&lt;2,0,IF($E663="Win",('Guide &amp; Settings'!$C$42/(($F663-1)*COUNTIFS($A$4:$A$810,$A663,$E$4:$E$810,"Win")))*SUMIFS($Z$4:$Z$810,$A$4:$A$810,$A663,$E$4:$E$810,"Loss"),-('Guide &amp; Settings'!$C$42/($F663-1))*$Z663)))</f>
        <v>-7.9745913759725715</v>
      </c>
      <c r="AB663" s="126">
        <f t="shared" si="186"/>
        <v>999.4736655083982</v>
      </c>
      <c r="AC663" s="126"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0</v>
      </c>
    </row>
    <row r="664" spans="1:29" x14ac:dyDescent="0.2">
      <c r="A664" s="117">
        <v>280</v>
      </c>
      <c r="B664" s="118">
        <v>46271</v>
      </c>
      <c r="C664" s="119" t="s">
        <v>42</v>
      </c>
      <c r="D664" s="119" t="s">
        <v>21</v>
      </c>
      <c r="E664" s="117" t="s">
        <v>378</v>
      </c>
      <c r="F664" s="120">
        <f t="shared" si="170"/>
        <v>3</v>
      </c>
      <c r="G664" s="121" t="str">
        <f t="shared" si="171"/>
        <v>Simon</v>
      </c>
      <c r="H664" s="122">
        <f>IF($D664="",0,IFERROR(LOOKUP(2,1/(($D$3:D663=$D664)*($A$3:A663&lt;$A664)),$N$3:N663),'Guide &amp; Settings'!$C$41))</f>
        <v>1124.4025249448839</v>
      </c>
      <c r="I664" s="123">
        <f t="shared" si="172"/>
        <v>0.4</v>
      </c>
      <c r="J664" s="124">
        <f>IF($D664="",0,IF($F664&lt;2,0,IF($E664="Win",('Guide &amp; Settings'!$C$42/(($F664-1)*COUNTIFS($A$4:$A$810,$A664,$E$4:$E$810,"Win")))*SUMIFS($X$4:$X$810,$A$4:$A$810,$A664,$E$4:$E$810,"Loss"),-('Guide &amp; Settings'!$C$42/($F664-1))*$X664)))</f>
        <v>16.043462828151164</v>
      </c>
      <c r="K664" s="124">
        <f>IF($D664="",0,'Guide &amp; Settings'!$C$43*(IF($E664="Win",1,0)-$I664))</f>
        <v>7.1999999999999993</v>
      </c>
      <c r="L664" s="125">
        <f>IF($D664="",0,'Guide &amp; Settings'!$C$44*IF($F664&gt;=3,$F664,0))</f>
        <v>3</v>
      </c>
      <c r="M664" s="124">
        <f t="shared" si="173"/>
        <v>26.243462828151163</v>
      </c>
      <c r="N664" s="122">
        <f t="shared" si="174"/>
        <v>1150.6459877730351</v>
      </c>
      <c r="O664" s="121" t="str">
        <f t="shared" si="175"/>
        <v>OK</v>
      </c>
      <c r="P664">
        <f t="shared" si="176"/>
        <v>1124.4025249448839</v>
      </c>
      <c r="Q664">
        <f t="shared" si="177"/>
        <v>0.5</v>
      </c>
      <c r="R664">
        <f t="shared" si="178"/>
        <v>0.5</v>
      </c>
      <c r="S664">
        <f t="shared" si="179"/>
        <v>1.25</v>
      </c>
      <c r="T664" s="89">
        <f t="shared" si="180"/>
        <v>2</v>
      </c>
      <c r="U664" s="126">
        <f>IF($D664="",0,IFERROR(LOOKUP(2,1/(($D$3:D663=$D664)*($C$3:C663=$C664)*($A$3:A663&lt;$A664)),$AB$3:AB663),1000))</f>
        <v>1008.5517431156293</v>
      </c>
      <c r="V664" s="126">
        <f t="shared" si="181"/>
        <v>1091.302301565097</v>
      </c>
      <c r="W664">
        <f t="shared" si="182"/>
        <v>1091.302301565097</v>
      </c>
      <c r="X664">
        <f t="shared" si="183"/>
        <v>0.5</v>
      </c>
      <c r="Y664">
        <f t="shared" si="184"/>
        <v>1008.5517431156293</v>
      </c>
      <c r="Z664">
        <f t="shared" si="185"/>
        <v>0.5</v>
      </c>
      <c r="AA664">
        <f>IF($D664="",0,IF($F664&lt;2,0,IF($E664="Win",('Guide &amp; Settings'!$C$42/(($F664-1)*COUNTIFS($A$4:$A$810,$A664,$E$4:$E$810,"Win")))*SUMIFS($Z$4:$Z$810,$A$4:$A$810,$A664,$E$4:$E$810,"Loss"),-('Guide &amp; Settings'!$C$42/($F664-1))*$Z664)))</f>
        <v>15.410205730049903</v>
      </c>
      <c r="AB664" s="126">
        <f t="shared" si="186"/>
        <v>1023.9619488456792</v>
      </c>
      <c r="AC664" s="126"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0</v>
      </c>
    </row>
    <row r="665" spans="1:29" x14ac:dyDescent="0.2">
      <c r="A665" s="117">
        <v>280</v>
      </c>
      <c r="B665" s="118">
        <v>46271</v>
      </c>
      <c r="C665" s="119" t="s">
        <v>42</v>
      </c>
      <c r="D665" s="119" t="s">
        <v>25</v>
      </c>
      <c r="E665" s="117" t="s">
        <v>379</v>
      </c>
      <c r="F665" s="120">
        <f t="shared" si="170"/>
        <v>3</v>
      </c>
      <c r="G665" s="121" t="str">
        <f t="shared" si="171"/>
        <v>Simon</v>
      </c>
      <c r="H665" s="122">
        <f>IF($D665="",0,IFERROR(LOOKUP(2,1/(($D$3:D664=$D665)*($A$3:A664&lt;$A665)),$N$3:N664),'Guide &amp; Settings'!$C$41))</f>
        <v>959.23365911112899</v>
      </c>
      <c r="I665" s="123">
        <f t="shared" si="172"/>
        <v>0.2</v>
      </c>
      <c r="J665" s="124">
        <f>IF($D665="",0,IF($F665&lt;2,0,IF($E665="Win",('Guide &amp; Settings'!$C$42/(($F665-1)*COUNTIFS($A$4:$A$810,$A665,$E$4:$E$810,"Win")))*SUMIFS($X$4:$X$810,$A$4:$A$810,$A665,$E$4:$E$810,"Loss"),-('Guide &amp; Settings'!$C$42/($F665-1))*$X665)))</f>
        <v>-5.2399969304747716</v>
      </c>
      <c r="K665" s="124">
        <f>IF($D665="",0,'Guide &amp; Settings'!$C$43*(IF($E665="Win",1,0)-$I665))</f>
        <v>-2.4000000000000004</v>
      </c>
      <c r="L665" s="125">
        <f>IF($D665="",0,'Guide &amp; Settings'!$C$44*IF($F665&gt;=3,$F665,0))</f>
        <v>3</v>
      </c>
      <c r="M665" s="124">
        <f t="shared" si="173"/>
        <v>-4.6399969304747719</v>
      </c>
      <c r="N665" s="122">
        <f t="shared" si="174"/>
        <v>954.59366218065418</v>
      </c>
      <c r="O665" s="121" t="str">
        <f t="shared" si="175"/>
        <v>OK</v>
      </c>
      <c r="P665">
        <f t="shared" si="176"/>
        <v>1124.4025249448839</v>
      </c>
      <c r="Q665">
        <f t="shared" si="177"/>
        <v>0.27872629184270925</v>
      </c>
      <c r="R665">
        <f t="shared" si="178"/>
        <v>0.25</v>
      </c>
      <c r="S665">
        <f t="shared" si="179"/>
        <v>1.25</v>
      </c>
      <c r="T665" s="89">
        <f t="shared" si="180"/>
        <v>2</v>
      </c>
      <c r="U665" s="126">
        <f>IF($D665="",0,IFERROR(LOOKUP(2,1/(($D$3:D664=$D665)*($C$3:C664=$C665)*($A$3:A664&lt;$A665)),$AB$3:AB664),1000))</f>
        <v>984</v>
      </c>
      <c r="V665" s="126">
        <f t="shared" si="181"/>
        <v>966.30975650794926</v>
      </c>
      <c r="W665">
        <f t="shared" si="182"/>
        <v>1091.302301565097</v>
      </c>
      <c r="X665">
        <f t="shared" si="183"/>
        <v>0.32749980815467322</v>
      </c>
      <c r="Y665">
        <f t="shared" si="184"/>
        <v>1008.5517431156293</v>
      </c>
      <c r="Z665">
        <f t="shared" si="185"/>
        <v>0.4647258971298332</v>
      </c>
      <c r="AA665">
        <f>IF($D665="",0,IF($F665&lt;2,0,IF($E665="Win",('Guide &amp; Settings'!$C$42/(($F665-1)*COUNTIFS($A$4:$A$810,$A665,$E$4:$E$810,"Win")))*SUMIFS($Z$4:$Z$810,$A$4:$A$810,$A665,$E$4:$E$810,"Loss"),-('Guide &amp; Settings'!$C$42/($F665-1))*$Z665)))</f>
        <v>-7.4356143540773312</v>
      </c>
      <c r="AB665" s="126">
        <f t="shared" si="186"/>
        <v>976.5643856459227</v>
      </c>
      <c r="AC665" s="126"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0</v>
      </c>
    </row>
    <row r="666" spans="1:29" x14ac:dyDescent="0.2">
      <c r="A666" s="117">
        <v>281</v>
      </c>
      <c r="B666" s="118">
        <v>46271</v>
      </c>
      <c r="C666" s="119" t="s">
        <v>42</v>
      </c>
      <c r="D666" s="119" t="s">
        <v>20</v>
      </c>
      <c r="E666" s="117" t="s">
        <v>379</v>
      </c>
      <c r="F666" s="120">
        <f>IF($D666="",0,COUNTIF($A$4:$A$810,$A666))</f>
        <v>3</v>
      </c>
      <c r="G666" s="121" t="str">
        <f>IF($D666="","",IFERROR(LOOKUP(2,1/(($A$4:$A$810=$A666)*($E$4:$E$810="Win")),$D$4:$D$810),"(no winner)"))</f>
        <v>Simon</v>
      </c>
      <c r="H666" s="122">
        <f>IF($D666="",0,IFERROR(LOOKUP(2,1/(($D$3:D665=$D666)*($A$3:A665&lt;$A666)),$N$3:N665),'Guide &amp; Settings'!$C$41))</f>
        <v>1290.2360747990879</v>
      </c>
      <c r="I666" s="123">
        <f t="shared" si="172"/>
        <v>0.33333333333333337</v>
      </c>
      <c r="J666" s="124">
        <f>IF($D666="",0,IF($F666&lt;2,0,IF($E666="Win",('Guide &amp; Settings'!$C$42/(($F666-1)*COUNTIFS($A$4:$A$810,$A666,$E$4:$E$810,"Win")))*SUMIFS($X$4:$X$810,$A$4:$A$810,$A666,$E$4:$E$810,"Loss"),-('Guide &amp; Settings'!$C$42/($F666-1))*$X666)))</f>
        <v>-9.7677681875743581</v>
      </c>
      <c r="K666" s="124">
        <f>IF($D666="",0,'Guide &amp; Settings'!$C$43*(IF($E666="Win",1,0)-$I666))</f>
        <v>-4</v>
      </c>
      <c r="L666" s="125">
        <f>IF($D666="",0,'Guide &amp; Settings'!$C$44*IF($F666&gt;=3,$F666,0))</f>
        <v>3</v>
      </c>
      <c r="M666" s="124">
        <f t="shared" si="173"/>
        <v>-10.767768187574358</v>
      </c>
      <c r="N666" s="122">
        <f t="shared" si="174"/>
        <v>1279.4683066115135</v>
      </c>
      <c r="O666" s="121" t="str">
        <f>IF($D666="","",IF(COUNTIFS($A$4:$A$810,$A666,$E$4:$E$810,"Win")=0,"need a winner",IF(COUNTIFS($A$4:$A$810,$A666,$E$4:$E$810,"Loss")=0,"need a loser",IF(COUNTIFS($A$4:$A$810,$A666,$D$4:$D$810,$D666)&gt;1,"duplicate player","OK"))))</f>
        <v>OK</v>
      </c>
      <c r="P666">
        <f>IF($D666="",0,IFERROR(SUMIFS($H$4:$H$810,$A$4:$A$810,$A666,$E$4:$E$810,"Win")/COUNTIFS($A$4:$A$810,$A666,$E$4:$E$810,"Win"),0))</f>
        <v>1150.6459877730351</v>
      </c>
      <c r="Q666">
        <f t="shared" si="177"/>
        <v>0.69073230844172961</v>
      </c>
      <c r="R666">
        <f>IF($D666="",0,(COUNTIFS($D$4:$D$810,$D666,$C$4:$C$810,$C666,$E$4:$E$810,"Win",$A$4:$A$810,"&lt;"&amp;$A666)+1)/(COUNTIFS($D$4:$D$810,$D666,$C$4:$C$810,$C666,$A$4:$A$810,"&lt;"&amp;$A666)+2))</f>
        <v>0.4</v>
      </c>
      <c r="S666">
        <f>IF($D666="",0,SUMIFS($R$4:$R$810,$A$4:$A$810,$A666))</f>
        <v>1.2</v>
      </c>
      <c r="T666" s="89">
        <f>IF($D666="",0,COUNTIFS($D$4:$D$810,$D666,$C$4:$C$810,$C666,$A$4:$A$810,"&lt;"&amp;$A666))</f>
        <v>3</v>
      </c>
      <c r="U666" s="126">
        <f>IF($D666="",0,IFERROR(LOOKUP(2,1/(($D$3:D665=$D666)*($C$3:C665=$C666)*($A$3:A665&lt;$A666)),$AB$3:AB665),1000))</f>
        <v>999.4736655083982</v>
      </c>
      <c r="V666" s="126">
        <f t="shared" si="181"/>
        <v>1181.2001713150794</v>
      </c>
      <c r="W666">
        <f>IF($D666="",0,IFERROR(SUMIFS($V$4:$V$810,$A$4:$A$810,$A666,$E$4:$E$810,"Win")/COUNTIFS($A$4:$A$810,$A666,$E$4:$E$810,"Win"),0))</f>
        <v>1103.1394731752766</v>
      </c>
      <c r="X666">
        <f t="shared" si="183"/>
        <v>0.61048551172339738</v>
      </c>
      <c r="Y666">
        <f>IF($D666="",0,IFERROR(SUMIFS($U$4:$U$810,$A$4:$A$810,$A666,$E$4:$E$810,"Win")/COUNTIFS($A$4:$A$810,$A666,$E$4:$E$810,"Win"),0))</f>
        <v>1023.9619488456792</v>
      </c>
      <c r="Z666">
        <f t="shared" si="185"/>
        <v>0.46481676972823432</v>
      </c>
      <c r="AA666">
        <f>IF($D666="",0,IF($F666&lt;2,0,IF($E666="Win",('Guide &amp; Settings'!$C$42/(($F666-1)*COUNTIFS($A$4:$A$810,$A666,$E$4:$E$810,"Win")))*SUMIFS($Z$4:$Z$810,$A$4:$A$810,$A666,$E$4:$E$810,"Loss"),-('Guide &amp; Settings'!$C$42/($F666-1))*$Z666)))</f>
        <v>-7.4370683156517492</v>
      </c>
      <c r="AB666" s="126">
        <f t="shared" si="186"/>
        <v>992.0365971927464</v>
      </c>
      <c r="AC666" s="126"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0</v>
      </c>
    </row>
    <row r="667" spans="1:29" x14ac:dyDescent="0.2">
      <c r="A667" s="117">
        <v>281</v>
      </c>
      <c r="B667" s="118">
        <v>46271</v>
      </c>
      <c r="C667" s="119" t="s">
        <v>42</v>
      </c>
      <c r="D667" s="119" t="s">
        <v>21</v>
      </c>
      <c r="E667" s="117" t="s">
        <v>378</v>
      </c>
      <c r="F667" s="120">
        <f>IF($D667="",0,COUNTIF($A$4:$A$810,$A667))</f>
        <v>3</v>
      </c>
      <c r="G667" s="121" t="str">
        <f>IF($D667="","",IFERROR(LOOKUP(2,1/(($A$4:$A$810=$A667)*($E$4:$E$810="Win")),$D$4:$D$810),"(no winner)"))</f>
        <v>Simon</v>
      </c>
      <c r="H667" s="122">
        <f>IF($D667="",0,IFERROR(LOOKUP(2,1/(($D$3:D666=$D667)*($A$3:A666&lt;$A667)),$N$3:N666),'Guide &amp; Settings'!$C$41))</f>
        <v>1150.6459877730351</v>
      </c>
      <c r="I667" s="123">
        <f t="shared" si="172"/>
        <v>0.5</v>
      </c>
      <c r="J667" s="124">
        <f>IF($D667="",0,IF($F667&lt;2,0,IF($E667="Win",('Guide &amp; Settings'!$C$42/(($F667-1)*COUNTIFS($A$4:$A$810,$A667,$E$4:$E$810,"Win")))*SUMIFS($X$4:$X$810,$A$4:$A$810,$A667,$E$4:$E$810,"Loss"),-('Guide &amp; Settings'!$C$42/($F667-1))*$X667)))</f>
        <v>14.701961064182044</v>
      </c>
      <c r="K667" s="124">
        <f>IF($D667="",0,'Guide &amp; Settings'!$C$43*(IF($E667="Win",1,0)-$I667))</f>
        <v>6</v>
      </c>
      <c r="L667" s="125">
        <f>IF($D667="",0,'Guide &amp; Settings'!$C$44*IF($F667&gt;=3,$F667,0))</f>
        <v>3</v>
      </c>
      <c r="M667" s="124">
        <f t="shared" si="173"/>
        <v>23.701961064182044</v>
      </c>
      <c r="N667" s="122">
        <f t="shared" si="174"/>
        <v>1174.3479488372172</v>
      </c>
      <c r="O667" s="121" t="str">
        <f>IF($D667="","",IF(COUNTIFS($A$4:$A$810,$A667,$E$4:$E$810,"Win")=0,"need a winner",IF(COUNTIFS($A$4:$A$810,$A667,$E$4:$E$810,"Loss")=0,"need a loser",IF(COUNTIFS($A$4:$A$810,$A667,$D$4:$D$810,$D667)&gt;1,"duplicate player","OK"))))</f>
        <v>OK</v>
      </c>
      <c r="P667">
        <f>IF($D667="",0,IFERROR(SUMIFS($H$4:$H$810,$A$4:$A$810,$A667,$E$4:$E$810,"Win")/COUNTIFS($A$4:$A$810,$A667,$E$4:$E$810,"Win"),0))</f>
        <v>1150.6459877730351</v>
      </c>
      <c r="Q667">
        <f t="shared" si="177"/>
        <v>0.5</v>
      </c>
      <c r="R667">
        <f>IF($D667="",0,(COUNTIFS($D$4:$D$810,$D667,$C$4:$C$810,$C667,$E$4:$E$810,"Win",$A$4:$A$810,"&lt;"&amp;$A667)+1)/(COUNTIFS($D$4:$D$810,$D667,$C$4:$C$810,$C667,$A$4:$A$810,"&lt;"&amp;$A667)+2))</f>
        <v>0.6</v>
      </c>
      <c r="S667">
        <f>IF($D667="",0,SUMIFS($R$4:$R$810,$A$4:$A$810,$A667))</f>
        <v>1.2</v>
      </c>
      <c r="T667" s="89">
        <f>IF($D667="",0,COUNTIFS($D$4:$D$810,$D667,$C$4:$C$810,$C667,$A$4:$A$810,"&lt;"&amp;$A667))</f>
        <v>3</v>
      </c>
      <c r="U667" s="126">
        <f>IF($D667="",0,IFERROR(LOOKUP(2,1/(($D$3:D666=$D667)*($C$3:C666=$C667)*($A$3:A666&lt;$A667)),$AB$3:AB666),1000))</f>
        <v>1023.9619488456792</v>
      </c>
      <c r="V667" s="126">
        <f t="shared" si="181"/>
        <v>1103.1394731752766</v>
      </c>
      <c r="W667">
        <f>IF($D667="",0,IFERROR(SUMIFS($V$4:$V$810,$A$4:$A$810,$A667,$E$4:$E$810,"Win")/COUNTIFS($A$4:$A$810,$A667,$E$4:$E$810,"Win"),0))</f>
        <v>1103.1394731752766</v>
      </c>
      <c r="X667">
        <f t="shared" si="183"/>
        <v>0.5</v>
      </c>
      <c r="Y667">
        <f>IF($D667="",0,IFERROR(SUMIFS($U$4:$U$810,$A$4:$A$810,$A667,$E$4:$E$810,"Win")/COUNTIFS($A$4:$A$810,$A667,$E$4:$E$810,"Win"),0))</f>
        <v>1023.9619488456792</v>
      </c>
      <c r="Z667">
        <f t="shared" si="185"/>
        <v>0.5</v>
      </c>
      <c r="AA667">
        <f>IF($D667="",0,IF($F667&lt;2,0,IF($E667="Win",('Guide &amp; Settings'!$C$42/(($F667-1)*COUNTIFS($A$4:$A$810,$A667,$E$4:$E$810,"Win")))*SUMIFS($Z$4:$Z$810,$A$4:$A$810,$A667,$E$4:$E$810,"Loss"),-('Guide &amp; Settings'!$C$42/($F667-1))*$Z667)))</f>
        <v>14.352419460033371</v>
      </c>
      <c r="AB667" s="126">
        <f t="shared" si="186"/>
        <v>1038.3143683057126</v>
      </c>
      <c r="AC667" s="126"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0</v>
      </c>
    </row>
    <row r="668" spans="1:29" x14ac:dyDescent="0.2">
      <c r="A668" s="117">
        <v>281</v>
      </c>
      <c r="B668" s="118">
        <v>46271</v>
      </c>
      <c r="C668" s="119" t="s">
        <v>42</v>
      </c>
      <c r="D668" s="119" t="s">
        <v>25</v>
      </c>
      <c r="E668" s="117" t="s">
        <v>379</v>
      </c>
      <c r="F668" s="120">
        <f t="shared" si="170"/>
        <v>3</v>
      </c>
      <c r="G668" s="121" t="str">
        <f t="shared" si="171"/>
        <v>Simon</v>
      </c>
      <c r="H668" s="122">
        <f>IF($D668="",0,IFERROR(LOOKUP(2,1/(($D$3:D667=$D668)*($A$3:A667&lt;$A668)),$N$3:N667),'Guide &amp; Settings'!$C$41))</f>
        <v>954.59366218065418</v>
      </c>
      <c r="I668" s="123">
        <f t="shared" si="172"/>
        <v>0.16666666666666669</v>
      </c>
      <c r="J668" s="124">
        <f>IF($D668="",0,IF($F668&lt;2,0,IF($E668="Win",('Guide &amp; Settings'!$C$42/(($F668-1)*COUNTIFS($A$4:$A$810,$A668,$E$4:$E$810,"Win")))*SUMIFS($X$4:$X$810,$A$4:$A$810,$A668,$E$4:$E$810,"Loss"),-('Guide &amp; Settings'!$C$42/($F668-1))*$X668)))</f>
        <v>-4.9341928766076855</v>
      </c>
      <c r="K668" s="124">
        <f>IF($D668="",0,'Guide &amp; Settings'!$C$43*(IF($E668="Win",1,0)-$I668))</f>
        <v>-2</v>
      </c>
      <c r="L668" s="125">
        <f>IF($D668="",0,'Guide &amp; Settings'!$C$44*IF($F668&gt;=3,$F668,0))</f>
        <v>3</v>
      </c>
      <c r="M668" s="124">
        <f t="shared" si="173"/>
        <v>-3.9341928766076855</v>
      </c>
      <c r="N668" s="122">
        <f t="shared" si="174"/>
        <v>950.65946930404652</v>
      </c>
      <c r="O668" s="121" t="str">
        <f t="shared" si="175"/>
        <v>OK</v>
      </c>
      <c r="P668">
        <f t="shared" si="176"/>
        <v>1150.6459877730351</v>
      </c>
      <c r="Q668">
        <f t="shared" si="177"/>
        <v>0.24442548562189817</v>
      </c>
      <c r="R668">
        <f t="shared" si="178"/>
        <v>0.2</v>
      </c>
      <c r="S668">
        <f t="shared" si="179"/>
        <v>1.2</v>
      </c>
      <c r="T668" s="89">
        <f t="shared" si="180"/>
        <v>3</v>
      </c>
      <c r="U668" s="126">
        <f>IF($D668="",0,IFERROR(LOOKUP(2,1/(($D$3:D667=$D668)*($C$3:C667=$C668)*($A$3:A667&lt;$A668)),$AB$3:AB667),1000))</f>
        <v>976.5643856459227</v>
      </c>
      <c r="V668" s="126">
        <f t="shared" si="181"/>
        <v>962.83268348012984</v>
      </c>
      <c r="W668">
        <f t="shared" si="182"/>
        <v>1103.1394731752766</v>
      </c>
      <c r="X668">
        <f t="shared" si="183"/>
        <v>0.30838705478798034</v>
      </c>
      <c r="Y668">
        <f t="shared" si="184"/>
        <v>1023.9619488456792</v>
      </c>
      <c r="Z668">
        <f t="shared" si="185"/>
        <v>0.43220944652385129</v>
      </c>
      <c r="AA668">
        <f>IF($D668="",0,IF($F668&lt;2,0,IF($E668="Win",('Guide &amp; Settings'!$C$42/(($F668-1)*COUNTIFS($A$4:$A$810,$A668,$E$4:$E$810,"Win")))*SUMIFS($Z$4:$Z$810,$A$4:$A$810,$A668,$E$4:$E$810,"Loss"),-('Guide &amp; Settings'!$C$42/($F668-1))*$Z668)))</f>
        <v>-6.9153511443816207</v>
      </c>
      <c r="AB668" s="126">
        <f t="shared" si="186"/>
        <v>969.64903450154111</v>
      </c>
      <c r="AC668" s="126"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0</v>
      </c>
    </row>
    <row r="669" spans="1:29" x14ac:dyDescent="0.2">
      <c r="A669" s="117">
        <v>282</v>
      </c>
      <c r="B669" s="118">
        <v>46271</v>
      </c>
      <c r="C669" s="119" t="s">
        <v>42</v>
      </c>
      <c r="D669" s="119" t="s">
        <v>20</v>
      </c>
      <c r="E669" s="117" t="s">
        <v>379</v>
      </c>
      <c r="F669" s="120">
        <f t="shared" si="170"/>
        <v>3</v>
      </c>
      <c r="G669" s="121" t="str">
        <f t="shared" si="171"/>
        <v>Simon</v>
      </c>
      <c r="H669" s="122">
        <f>IF($D669="",0,IFERROR(LOOKUP(2,1/(($D$3:D668=$D669)*($A$3:A668&lt;$A669)),$N$3:N668),'Guide &amp; Settings'!$C$41))</f>
        <v>1279.4683066115135</v>
      </c>
      <c r="I669" s="123">
        <f t="shared" si="172"/>
        <v>0.2857142857142857</v>
      </c>
      <c r="J669" s="124">
        <f>IF($D669="",0,IF($F669&lt;2,0,IF($E669="Win",('Guide &amp; Settings'!$C$42/(($F669-1)*COUNTIFS($A$4:$A$810,$A669,$E$4:$E$810,"Win")))*SUMIFS($X$4:$X$810,$A$4:$A$810,$A669,$E$4:$E$810,"Loss"),-('Guide &amp; Settings'!$C$42/($F669-1))*$X669)))</f>
        <v>-8.8676941861363439</v>
      </c>
      <c r="K669" s="124">
        <f>IF($D669="",0,'Guide &amp; Settings'!$C$43*(IF($E669="Win",1,0)-$I669))</f>
        <v>-3.4285714285714284</v>
      </c>
      <c r="L669" s="125">
        <f>IF($D669="",0,'Guide &amp; Settings'!$C$44*IF($F669&gt;=3,$F669,0))</f>
        <v>3</v>
      </c>
      <c r="M669" s="124">
        <f t="shared" si="173"/>
        <v>-9.2962656147077727</v>
      </c>
      <c r="N669" s="122">
        <f t="shared" si="174"/>
        <v>1270.1720409968057</v>
      </c>
      <c r="O669" s="121" t="str">
        <f t="shared" si="175"/>
        <v>OK</v>
      </c>
      <c r="P669">
        <f t="shared" si="176"/>
        <v>1174.3479488372172</v>
      </c>
      <c r="Q669">
        <f t="shared" si="177"/>
        <v>0.64682713090125588</v>
      </c>
      <c r="R669">
        <f t="shared" si="178"/>
        <v>0.33333333333333331</v>
      </c>
      <c r="S669">
        <f t="shared" si="179"/>
        <v>1.1666666666666667</v>
      </c>
      <c r="T669" s="89">
        <f t="shared" si="180"/>
        <v>4</v>
      </c>
      <c r="U669" s="126">
        <f>IF($D669="",0,IFERROR(LOOKUP(2,1/(($D$3:D668=$D669)*($C$3:C668=$C669)*($A$3:A668&lt;$A669)),$AB$3:AB668),1000))</f>
        <v>992.0365971927464</v>
      </c>
      <c r="V669" s="126">
        <f t="shared" si="181"/>
        <v>1151.7208802031726</v>
      </c>
      <c r="W669">
        <f t="shared" si="182"/>
        <v>1113.888579712104</v>
      </c>
      <c r="X669">
        <f t="shared" si="183"/>
        <v>0.55423088663352149</v>
      </c>
      <c r="Y669">
        <f t="shared" si="184"/>
        <v>1038.3143683057126</v>
      </c>
      <c r="Z669">
        <f t="shared" si="185"/>
        <v>0.43379201978738685</v>
      </c>
      <c r="AA669">
        <f>IF($D669="",0,IF($F669&lt;2,0,IF($E669="Win",('Guide &amp; Settings'!$C$42/(($F669-1)*COUNTIFS($A$4:$A$810,$A669,$E$4:$E$810,"Win")))*SUMIFS($Z$4:$Z$810,$A$4:$A$810,$A669,$E$4:$E$810,"Loss"),-('Guide &amp; Settings'!$C$42/($F669-1))*$Z669)))</f>
        <v>-6.9406723165981896</v>
      </c>
      <c r="AB669" s="126">
        <f t="shared" si="186"/>
        <v>985.09592487614816</v>
      </c>
      <c r="AC669" s="126"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0</v>
      </c>
    </row>
    <row r="670" spans="1:29" x14ac:dyDescent="0.2">
      <c r="A670" s="117">
        <v>282</v>
      </c>
      <c r="B670" s="118">
        <v>46271</v>
      </c>
      <c r="C670" s="119" t="s">
        <v>42</v>
      </c>
      <c r="D670" s="119" t="s">
        <v>21</v>
      </c>
      <c r="E670" s="117" t="s">
        <v>378</v>
      </c>
      <c r="F670" s="120">
        <f t="shared" si="170"/>
        <v>3</v>
      </c>
      <c r="G670" s="121" t="str">
        <f t="shared" si="171"/>
        <v>Simon</v>
      </c>
      <c r="H670" s="122">
        <f>IF($D670="",0,IFERROR(LOOKUP(2,1/(($D$3:D669=$D670)*($A$3:A669&lt;$A670)),$N$3:N669),'Guide &amp; Settings'!$C$41))</f>
        <v>1174.3479488372172</v>
      </c>
      <c r="I670" s="123">
        <f t="shared" si="172"/>
        <v>0.5714285714285714</v>
      </c>
      <c r="J670" s="124">
        <f>IF($D670="",0,IF($F670&lt;2,0,IF($E670="Win",('Guide &amp; Settings'!$C$42/(($F670-1)*COUNTIFS($A$4:$A$810,$A670,$E$4:$E$810,"Win")))*SUMIFS($X$4:$X$810,$A$4:$A$810,$A670,$E$4:$E$810,"Loss"),-('Guide &amp; Settings'!$C$42/($F670-1))*$X670)))</f>
        <v>13.522022028855051</v>
      </c>
      <c r="K670" s="124">
        <f>IF($D670="",0,'Guide &amp; Settings'!$C$43*(IF($E670="Win",1,0)-$I670))</f>
        <v>5.1428571428571432</v>
      </c>
      <c r="L670" s="125">
        <f>IF($D670="",0,'Guide &amp; Settings'!$C$44*IF($F670&gt;=3,$F670,0))</f>
        <v>3</v>
      </c>
      <c r="M670" s="124">
        <f t="shared" si="173"/>
        <v>21.664879171712194</v>
      </c>
      <c r="N670" s="122">
        <f t="shared" si="174"/>
        <v>1196.0128280089295</v>
      </c>
      <c r="O670" s="121" t="str">
        <f t="shared" si="175"/>
        <v>OK</v>
      </c>
      <c r="P670">
        <f t="shared" si="176"/>
        <v>1174.3479488372172</v>
      </c>
      <c r="Q670">
        <f t="shared" si="177"/>
        <v>0.5</v>
      </c>
      <c r="R670">
        <f t="shared" si="178"/>
        <v>0.66666666666666663</v>
      </c>
      <c r="S670">
        <f t="shared" si="179"/>
        <v>1.1666666666666667</v>
      </c>
      <c r="T670" s="89">
        <f t="shared" si="180"/>
        <v>4</v>
      </c>
      <c r="U670" s="126">
        <f>IF($D670="",0,IFERROR(LOOKUP(2,1/(($D$3:D669=$D670)*($C$3:C669=$C670)*($A$3:A669&lt;$A670)),$AB$3:AB669),1000))</f>
        <v>1038.3143683057126</v>
      </c>
      <c r="V670" s="126">
        <f t="shared" si="181"/>
        <v>1113.888579712104</v>
      </c>
      <c r="W670">
        <f t="shared" si="182"/>
        <v>1113.888579712104</v>
      </c>
      <c r="X670">
        <f t="shared" si="183"/>
        <v>0.5</v>
      </c>
      <c r="Y670">
        <f t="shared" si="184"/>
        <v>1038.3143683057126</v>
      </c>
      <c r="Z670">
        <f t="shared" si="185"/>
        <v>0.5</v>
      </c>
      <c r="AA670">
        <f>IF($D670="",0,IF($F670&lt;2,0,IF($E670="Win",('Guide &amp; Settings'!$C$42/(($F670-1)*COUNTIFS($A$4:$A$810,$A670,$E$4:$E$810,"Win")))*SUMIFS($Z$4:$Z$810,$A$4:$A$810,$A670,$E$4:$E$810,"Loss"),-('Guide &amp; Settings'!$C$42/($F670-1))*$Z670)))</f>
        <v>13.379863319481272</v>
      </c>
      <c r="AB670" s="126">
        <f t="shared" si="186"/>
        <v>1051.6942316251939</v>
      </c>
      <c r="AC670" s="126"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0</v>
      </c>
    </row>
    <row r="671" spans="1:29" x14ac:dyDescent="0.2">
      <c r="A671" s="117">
        <v>282</v>
      </c>
      <c r="B671" s="118">
        <v>46271</v>
      </c>
      <c r="C671" s="119" t="s">
        <v>42</v>
      </c>
      <c r="D671" s="119" t="s">
        <v>25</v>
      </c>
      <c r="E671" s="117" t="s">
        <v>379</v>
      </c>
      <c r="F671" s="120">
        <f t="shared" si="170"/>
        <v>3</v>
      </c>
      <c r="G671" s="121" t="str">
        <f t="shared" si="171"/>
        <v>Simon</v>
      </c>
      <c r="H671" s="122">
        <f>IF($D671="",0,IFERROR(LOOKUP(2,1/(($D$3:D670=$D671)*($A$3:A670&lt;$A671)),$N$3:N670),'Guide &amp; Settings'!$C$41))</f>
        <v>950.65946930404652</v>
      </c>
      <c r="I671" s="123">
        <f t="shared" si="172"/>
        <v>0.14285714285714285</v>
      </c>
      <c r="J671" s="124">
        <f>IF($D671="",0,IF($F671&lt;2,0,IF($E671="Win",('Guide &amp; Settings'!$C$42/(($F671-1)*COUNTIFS($A$4:$A$810,$A671,$E$4:$E$810,"Win")))*SUMIFS($X$4:$X$810,$A$4:$A$810,$A671,$E$4:$E$810,"Loss"),-('Guide &amp; Settings'!$C$42/($F671-1))*$X671)))</f>
        <v>-4.6543278427187067</v>
      </c>
      <c r="K671" s="124">
        <f>IF($D671="",0,'Guide &amp; Settings'!$C$43*(IF($E671="Win",1,0)-$I671))</f>
        <v>-1.7142857142857142</v>
      </c>
      <c r="L671" s="125">
        <f>IF($D671="",0,'Guide &amp; Settings'!$C$44*IF($F671&gt;=3,$F671,0))</f>
        <v>3</v>
      </c>
      <c r="M671" s="124">
        <f t="shared" si="173"/>
        <v>-3.3686135570044211</v>
      </c>
      <c r="N671" s="122">
        <f t="shared" si="174"/>
        <v>947.29085574704209</v>
      </c>
      <c r="O671" s="121" t="str">
        <f t="shared" si="175"/>
        <v>OK</v>
      </c>
      <c r="P671">
        <f t="shared" si="176"/>
        <v>1174.3479488372172</v>
      </c>
      <c r="Q671">
        <f t="shared" si="177"/>
        <v>0.21625009322002334</v>
      </c>
      <c r="R671">
        <f t="shared" si="178"/>
        <v>0.16666666666666666</v>
      </c>
      <c r="S671">
        <f t="shared" si="179"/>
        <v>1.1666666666666667</v>
      </c>
      <c r="T671" s="89">
        <f t="shared" si="180"/>
        <v>4</v>
      </c>
      <c r="U671" s="126">
        <f>IF($D671="",0,IFERROR(LOOKUP(2,1/(($D$3:D670=$D671)*($C$3:C670=$C671)*($A$3:A670&lt;$A671)),$AB$3:AB670),1000))</f>
        <v>969.64903450154111</v>
      </c>
      <c r="V671" s="126">
        <f t="shared" si="181"/>
        <v>959.09927605848861</v>
      </c>
      <c r="W671">
        <f t="shared" si="182"/>
        <v>1113.888579712104</v>
      </c>
      <c r="X671">
        <f t="shared" si="183"/>
        <v>0.29089549016991917</v>
      </c>
      <c r="Y671">
        <f t="shared" si="184"/>
        <v>1038.3143683057126</v>
      </c>
      <c r="Z671">
        <f t="shared" si="185"/>
        <v>0.40244943768019265</v>
      </c>
      <c r="AA671">
        <f>IF($D671="",0,IF($F671&lt;2,0,IF($E671="Win",('Guide &amp; Settings'!$C$42/(($F671-1)*COUNTIFS($A$4:$A$810,$A671,$E$4:$E$810,"Win")))*SUMIFS($Z$4:$Z$810,$A$4:$A$810,$A671,$E$4:$E$810,"Loss"),-('Guide &amp; Settings'!$C$42/($F671-1))*$Z671)))</f>
        <v>-6.4391910028830823</v>
      </c>
      <c r="AB671" s="126">
        <f t="shared" si="186"/>
        <v>963.20984349865807</v>
      </c>
      <c r="AC671" s="126"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0</v>
      </c>
    </row>
    <row r="672" spans="1:29" x14ac:dyDescent="0.2">
      <c r="A672" s="117">
        <v>283</v>
      </c>
      <c r="B672" s="118">
        <v>46271</v>
      </c>
      <c r="C672" s="119" t="s">
        <v>42</v>
      </c>
      <c r="D672" s="119" t="s">
        <v>20</v>
      </c>
      <c r="E672" s="117" t="s">
        <v>379</v>
      </c>
      <c r="F672" s="120">
        <f t="shared" si="170"/>
        <v>3</v>
      </c>
      <c r="G672" s="121" t="str">
        <f t="shared" si="171"/>
        <v>Simon</v>
      </c>
      <c r="H672" s="122">
        <f>IF($D672="",0,IFERROR(LOOKUP(2,1/(($D$3:D671=$D672)*($A$3:A671&lt;$A672)),$N$3:N671),'Guide &amp; Settings'!$C$41))</f>
        <v>1270.1720409968057</v>
      </c>
      <c r="I672" s="123">
        <f t="shared" si="172"/>
        <v>0.25</v>
      </c>
      <c r="J672" s="124">
        <f>IF($D672="",0,IF($F672&lt;2,0,IF($E672="Win",('Guide &amp; Settings'!$C$42/(($F672-1)*COUNTIFS($A$4:$A$810,$A672,$E$4:$E$810,"Win")))*SUMIFS($X$4:$X$810,$A$4:$A$810,$A672,$E$4:$E$810,"Loss"),-('Guide &amp; Settings'!$C$42/($F672-1))*$X672)))</f>
        <v>-8.0870447147372051</v>
      </c>
      <c r="K672" s="124">
        <f>IF($D672="",0,'Guide &amp; Settings'!$C$43*(IF($E672="Win",1,0)-$I672))</f>
        <v>-3</v>
      </c>
      <c r="L672" s="125">
        <f>IF($D672="",0,'Guide &amp; Settings'!$C$44*IF($F672&gt;=3,$F672,0))</f>
        <v>3</v>
      </c>
      <c r="M672" s="124">
        <f t="shared" si="173"/>
        <v>-8.0870447147372051</v>
      </c>
      <c r="N672" s="122">
        <f t="shared" si="174"/>
        <v>1262.0849962820685</v>
      </c>
      <c r="O672" s="121" t="str">
        <f t="shared" si="175"/>
        <v>OK</v>
      </c>
      <c r="P672">
        <f t="shared" si="176"/>
        <v>1196.0128280089295</v>
      </c>
      <c r="Q672">
        <f t="shared" si="177"/>
        <v>0.60513191914516262</v>
      </c>
      <c r="R672">
        <f t="shared" si="178"/>
        <v>0.2857142857142857</v>
      </c>
      <c r="S672">
        <f t="shared" si="179"/>
        <v>1.1428571428571428</v>
      </c>
      <c r="T672" s="89">
        <f t="shared" si="180"/>
        <v>5</v>
      </c>
      <c r="U672" s="126">
        <f>IF($D672="",0,IFERROR(LOOKUP(2,1/(($D$3:D671=$D672)*($C$3:C671=$C672)*($A$3:A671&lt;$A672)),$AB$3:AB671),1000))</f>
        <v>985.09592487614816</v>
      </c>
      <c r="V672" s="126">
        <f t="shared" si="181"/>
        <v>1127.633982936477</v>
      </c>
      <c r="W672">
        <f t="shared" si="182"/>
        <v>1123.8535298170618</v>
      </c>
      <c r="X672">
        <f t="shared" si="183"/>
        <v>0.50544029467107532</v>
      </c>
      <c r="Y672">
        <f t="shared" si="184"/>
        <v>1051.6942316251939</v>
      </c>
      <c r="Z672">
        <f t="shared" si="185"/>
        <v>0.40531419016534254</v>
      </c>
      <c r="AA672">
        <f>IF($D672="",0,IF($F672&lt;2,0,IF($E672="Win",('Guide &amp; Settings'!$C$42/(($F672-1)*COUNTIFS($A$4:$A$810,$A672,$E$4:$E$810,"Win")))*SUMIFS($Z$4:$Z$810,$A$4:$A$810,$A672,$E$4:$E$810,"Loss"),-('Guide &amp; Settings'!$C$42/($F672-1))*$Z672)))</f>
        <v>-6.4850270426454806</v>
      </c>
      <c r="AB672" s="126">
        <f t="shared" si="186"/>
        <v>978.61089783350269</v>
      </c>
      <c r="AC672" s="126"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0</v>
      </c>
    </row>
    <row r="673" spans="1:29" x14ac:dyDescent="0.2">
      <c r="A673" s="117">
        <v>283</v>
      </c>
      <c r="B673" s="118">
        <v>46271</v>
      </c>
      <c r="C673" s="119" t="s">
        <v>42</v>
      </c>
      <c r="D673" s="119" t="s">
        <v>21</v>
      </c>
      <c r="E673" s="117" t="s">
        <v>378</v>
      </c>
      <c r="F673" s="120">
        <f t="shared" si="170"/>
        <v>3</v>
      </c>
      <c r="G673" s="121" t="str">
        <f t="shared" si="171"/>
        <v>Simon</v>
      </c>
      <c r="H673" s="122">
        <f>IF($D673="",0,IFERROR(LOOKUP(2,1/(($D$3:D672=$D673)*($A$3:A672&lt;$A673)),$N$3:N672),'Guide &amp; Settings'!$C$41))</f>
        <v>1196.0128280089295</v>
      </c>
      <c r="I673" s="123">
        <f t="shared" si="172"/>
        <v>0.625</v>
      </c>
      <c r="J673" s="124">
        <f>IF($D673="",0,IF($F673&lt;2,0,IF($E673="Win",('Guide &amp; Settings'!$C$42/(($F673-1)*COUNTIFS($A$4:$A$810,$A673,$E$4:$E$810,"Win")))*SUMIFS($X$4:$X$810,$A$4:$A$810,$A673,$E$4:$E$810,"Loss"),-('Guide &amp; Settings'!$C$42/($F673-1))*$X673)))</f>
        <v>12.483353678213472</v>
      </c>
      <c r="K673" s="124">
        <f>IF($D673="",0,'Guide &amp; Settings'!$C$43*(IF($E673="Win",1,0)-$I673))</f>
        <v>4.5</v>
      </c>
      <c r="L673" s="125">
        <f>IF($D673="",0,'Guide &amp; Settings'!$C$44*IF($F673&gt;=3,$F673,0))</f>
        <v>3</v>
      </c>
      <c r="M673" s="124">
        <f t="shared" si="173"/>
        <v>19.983353678213472</v>
      </c>
      <c r="N673" s="122">
        <f t="shared" si="174"/>
        <v>1215.996181687143</v>
      </c>
      <c r="O673" s="121" t="str">
        <f t="shared" si="175"/>
        <v>OK</v>
      </c>
      <c r="P673">
        <f t="shared" si="176"/>
        <v>1196.0128280089295</v>
      </c>
      <c r="Q673">
        <f t="shared" si="177"/>
        <v>0.5</v>
      </c>
      <c r="R673">
        <f t="shared" si="178"/>
        <v>0.7142857142857143</v>
      </c>
      <c r="S673">
        <f t="shared" si="179"/>
        <v>1.1428571428571428</v>
      </c>
      <c r="T673" s="89">
        <f t="shared" si="180"/>
        <v>5</v>
      </c>
      <c r="U673" s="126">
        <f>IF($D673="",0,IFERROR(LOOKUP(2,1/(($D$3:D672=$D673)*($C$3:C672=$C673)*($A$3:A672&lt;$A673)),$AB$3:AB672),1000))</f>
        <v>1051.6942316251939</v>
      </c>
      <c r="V673" s="126">
        <f t="shared" si="181"/>
        <v>1123.8535298170618</v>
      </c>
      <c r="W673">
        <f t="shared" si="182"/>
        <v>1123.8535298170618</v>
      </c>
      <c r="X673">
        <f t="shared" si="183"/>
        <v>0.5</v>
      </c>
      <c r="Y673">
        <f t="shared" si="184"/>
        <v>1051.6942316251939</v>
      </c>
      <c r="Z673">
        <f t="shared" si="185"/>
        <v>0.5</v>
      </c>
      <c r="AA673">
        <f>IF($D673="",0,IF($F673&lt;2,0,IF($E673="Win",('Guide &amp; Settings'!$C$42/(($F673-1)*COUNTIFS($A$4:$A$810,$A673,$E$4:$E$810,"Win")))*SUMIFS($Z$4:$Z$810,$A$4:$A$810,$A673,$E$4:$E$810,"Loss"),-('Guide &amp; Settings'!$C$42/($F673-1))*$Z673)))</f>
        <v>12.490535081911496</v>
      </c>
      <c r="AB673" s="126">
        <f t="shared" si="186"/>
        <v>1064.1847667071054</v>
      </c>
      <c r="AC673" s="126"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0</v>
      </c>
    </row>
    <row r="674" spans="1:29" x14ac:dyDescent="0.2">
      <c r="A674" s="117">
        <v>283</v>
      </c>
      <c r="B674" s="118">
        <v>46271</v>
      </c>
      <c r="C674" s="119" t="s">
        <v>42</v>
      </c>
      <c r="D674" s="119" t="s">
        <v>25</v>
      </c>
      <c r="E674" s="117" t="s">
        <v>379</v>
      </c>
      <c r="F674" s="120">
        <f t="shared" si="170"/>
        <v>3</v>
      </c>
      <c r="G674" s="121" t="str">
        <f t="shared" si="171"/>
        <v>Simon</v>
      </c>
      <c r="H674" s="122">
        <f>IF($D674="",0,IFERROR(LOOKUP(2,1/(($D$3:D673=$D674)*($A$3:A673&lt;$A674)),$N$3:N673),'Guide &amp; Settings'!$C$41))</f>
        <v>947.29085574704209</v>
      </c>
      <c r="I674" s="123">
        <f t="shared" si="172"/>
        <v>0.125</v>
      </c>
      <c r="J674" s="124">
        <f>IF($D674="",0,IF($F674&lt;2,0,IF($E674="Win",('Guide &amp; Settings'!$C$42/(($F674-1)*COUNTIFS($A$4:$A$810,$A674,$E$4:$E$810,"Win")))*SUMIFS($X$4:$X$810,$A$4:$A$810,$A674,$E$4:$E$810,"Loss"),-('Guide &amp; Settings'!$C$42/($F674-1))*$X674)))</f>
        <v>-4.3963089634762662</v>
      </c>
      <c r="K674" s="124">
        <f>IF($D674="",0,'Guide &amp; Settings'!$C$43*(IF($E674="Win",1,0)-$I674))</f>
        <v>-1.5</v>
      </c>
      <c r="L674" s="125">
        <f>IF($D674="",0,'Guide &amp; Settings'!$C$44*IF($F674&gt;=3,$F674,0))</f>
        <v>3</v>
      </c>
      <c r="M674" s="124">
        <f t="shared" si="173"/>
        <v>-2.8963089634762662</v>
      </c>
      <c r="N674" s="122">
        <f t="shared" si="174"/>
        <v>944.39454678356583</v>
      </c>
      <c r="O674" s="121" t="str">
        <f t="shared" si="175"/>
        <v>OK</v>
      </c>
      <c r="P674">
        <f t="shared" si="176"/>
        <v>1196.0128280089295</v>
      </c>
      <c r="Q674">
        <f t="shared" si="177"/>
        <v>0.1928247963257963</v>
      </c>
      <c r="R674">
        <f t="shared" si="178"/>
        <v>0.14285714285714285</v>
      </c>
      <c r="S674">
        <f t="shared" si="179"/>
        <v>1.1428571428571428</v>
      </c>
      <c r="T674" s="89">
        <f t="shared" si="180"/>
        <v>5</v>
      </c>
      <c r="U674" s="126">
        <f>IF($D674="",0,IFERROR(LOOKUP(2,1/(($D$3:D673=$D674)*($C$3:C673=$C674)*($A$3:A673&lt;$A674)),$AB$3:AB673),1000))</f>
        <v>963.20984349865807</v>
      </c>
      <c r="V674" s="126">
        <f t="shared" si="181"/>
        <v>955.25034962285008</v>
      </c>
      <c r="W674">
        <f t="shared" si="182"/>
        <v>1123.8535298170618</v>
      </c>
      <c r="X674">
        <f t="shared" si="183"/>
        <v>0.27476931021726664</v>
      </c>
      <c r="Y674">
        <f t="shared" si="184"/>
        <v>1051.6942316251939</v>
      </c>
      <c r="Z674">
        <f t="shared" si="185"/>
        <v>0.375344252454126</v>
      </c>
      <c r="AA674">
        <f>IF($D674="",0,IF($F674&lt;2,0,IF($E674="Win",('Guide &amp; Settings'!$C$42/(($F674-1)*COUNTIFS($A$4:$A$810,$A674,$E$4:$E$810,"Win")))*SUMIFS($Z$4:$Z$810,$A$4:$A$810,$A674,$E$4:$E$810,"Loss"),-('Guide &amp; Settings'!$C$42/($F674-1))*$Z674)))</f>
        <v>-6.0055080392660161</v>
      </c>
      <c r="AB674" s="126">
        <f t="shared" si="186"/>
        <v>957.20433545939204</v>
      </c>
      <c r="AC674" s="126"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0</v>
      </c>
    </row>
    <row r="675" spans="1:29" x14ac:dyDescent="0.2">
      <c r="A675" s="117">
        <v>284</v>
      </c>
      <c r="B675" s="118">
        <v>46272</v>
      </c>
      <c r="C675" s="119" t="s">
        <v>37</v>
      </c>
      <c r="D675" s="119" t="s">
        <v>19</v>
      </c>
      <c r="E675" s="117" t="s">
        <v>378</v>
      </c>
      <c r="F675" s="120">
        <f t="shared" si="170"/>
        <v>2</v>
      </c>
      <c r="G675" s="121" t="str">
        <f t="shared" si="171"/>
        <v>Josh</v>
      </c>
      <c r="H675" s="122">
        <f>IF($D675="",0,IFERROR(LOOKUP(2,1/(($D$3:D674=$D675)*($A$3:A674&lt;$A675)),$N$3:N674),'Guide &amp; Settings'!$C$41))</f>
        <v>1155.9112046633588</v>
      </c>
      <c r="I675" s="123">
        <f t="shared" si="172"/>
        <v>0.33333333333333331</v>
      </c>
      <c r="J675" s="124">
        <f>IF($D675="",0,IF($F675&lt;2,0,IF($E675="Win",('Guide &amp; Settings'!$C$42/(($F675-1)*COUNTIFS($A$4:$A$810,$A675,$E$4:$E$810,"Win")))*SUMIFS($X$4:$X$810,$A$4:$A$810,$A675,$E$4:$E$810,"Loss"),-('Guide &amp; Settings'!$C$42/($F675-1))*$X675)))</f>
        <v>11.469950293031152</v>
      </c>
      <c r="K675" s="124">
        <f>IF($D675="",0,'Guide &amp; Settings'!$C$43*(IF($E675="Win",1,0)-$I675))</f>
        <v>8</v>
      </c>
      <c r="L675" s="125">
        <f>IF($D675="",0,'Guide &amp; Settings'!$C$44*IF($F675&gt;=3,$F675,0))</f>
        <v>0</v>
      </c>
      <c r="M675" s="124">
        <f t="shared" si="173"/>
        <v>19.469950293031154</v>
      </c>
      <c r="N675" s="122">
        <f t="shared" si="174"/>
        <v>1175.38115495639</v>
      </c>
      <c r="O675" s="121" t="str">
        <f t="shared" si="175"/>
        <v>OK</v>
      </c>
      <c r="P675">
        <f t="shared" si="176"/>
        <v>1155.9112046633588</v>
      </c>
      <c r="Q675">
        <f t="shared" si="177"/>
        <v>0.5</v>
      </c>
      <c r="R675">
        <f t="shared" si="178"/>
        <v>0.25</v>
      </c>
      <c r="S675">
        <f t="shared" si="179"/>
        <v>0.75</v>
      </c>
      <c r="T675" s="89">
        <f t="shared" si="180"/>
        <v>2</v>
      </c>
      <c r="U675" s="126">
        <f>IF($D675="",0,IFERROR(LOOKUP(2,1/(($D$3:D674=$D675)*($C$3:C674=$C675)*($A$3:A674&lt;$A675)),$AB$3:AB674),1000))</f>
        <v>968.56830839539452</v>
      </c>
      <c r="V675" s="126">
        <f t="shared" si="181"/>
        <v>1102.3846628725119</v>
      </c>
      <c r="W675">
        <f t="shared" si="182"/>
        <v>1102.3846628725119</v>
      </c>
      <c r="X675">
        <f t="shared" si="183"/>
        <v>0.5</v>
      </c>
      <c r="Y675">
        <f t="shared" si="184"/>
        <v>968.56830839539452</v>
      </c>
      <c r="Z675">
        <f t="shared" si="185"/>
        <v>0.5</v>
      </c>
      <c r="AA675">
        <f>IF($D675="",0,IF($F675&lt;2,0,IF($E675="Win",('Guide &amp; Settings'!$C$42/(($F675-1)*COUNTIFS($A$4:$A$810,$A675,$E$4:$E$810,"Win")))*SUMIFS($Z$4:$Z$810,$A$4:$A$810,$A675,$E$4:$E$810,"Loss"),-('Guide &amp; Settings'!$C$42/($F675-1))*$Z675)))</f>
        <v>17.253803826088745</v>
      </c>
      <c r="AB675" s="126">
        <f t="shared" si="186"/>
        <v>985.82211222148328</v>
      </c>
      <c r="AC675" s="126"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0</v>
      </c>
    </row>
    <row r="676" spans="1:29" x14ac:dyDescent="0.2">
      <c r="A676" s="117">
        <v>284</v>
      </c>
      <c r="B676" s="118">
        <v>46272</v>
      </c>
      <c r="C676" s="119" t="s">
        <v>37</v>
      </c>
      <c r="D676" s="119" t="s">
        <v>22</v>
      </c>
      <c r="E676" s="117" t="s">
        <v>379</v>
      </c>
      <c r="F676" s="120">
        <f t="shared" si="170"/>
        <v>2</v>
      </c>
      <c r="G676" s="121" t="str">
        <f t="shared" si="171"/>
        <v>Josh</v>
      </c>
      <c r="H676" s="122">
        <f>IF($D676="",0,IFERROR(LOOKUP(2,1/(($D$3:D675=$D676)*($A$3:A675&lt;$A676)),$N$3:N675),'Guide &amp; Settings'!$C$41))</f>
        <v>1007.7369116310465</v>
      </c>
      <c r="I676" s="123">
        <f t="shared" si="172"/>
        <v>0.66666666666666663</v>
      </c>
      <c r="J676" s="124">
        <f>IF($D676="",0,IF($F676&lt;2,0,IF($E676="Win",('Guide &amp; Settings'!$C$42/(($F676-1)*COUNTIFS($A$4:$A$810,$A676,$E$4:$E$810,"Win")))*SUMIFS($X$4:$X$810,$A$4:$A$810,$A676,$E$4:$E$810,"Loss"),-('Guide &amp; Settings'!$C$42/($F676-1))*$X676)))</f>
        <v>-11.469950293031152</v>
      </c>
      <c r="K676" s="124">
        <f>IF($D676="",0,'Guide &amp; Settings'!$C$43*(IF($E676="Win",1,0)-$I676))</f>
        <v>-8</v>
      </c>
      <c r="L676" s="125">
        <f>IF($D676="",0,'Guide &amp; Settings'!$C$44*IF($F676&gt;=3,$F676,0))</f>
        <v>0</v>
      </c>
      <c r="M676" s="124">
        <f t="shared" si="173"/>
        <v>-19.469950293031154</v>
      </c>
      <c r="N676" s="122">
        <f t="shared" si="174"/>
        <v>988.26696133801534</v>
      </c>
      <c r="O676" s="121" t="str">
        <f t="shared" si="175"/>
        <v>OK</v>
      </c>
      <c r="P676">
        <f t="shared" si="176"/>
        <v>1155.9112046633588</v>
      </c>
      <c r="Q676">
        <f t="shared" si="177"/>
        <v>0.29881234163497661</v>
      </c>
      <c r="R676">
        <f t="shared" si="178"/>
        <v>0.5</v>
      </c>
      <c r="S676">
        <f t="shared" si="179"/>
        <v>0.75</v>
      </c>
      <c r="T676" s="89">
        <f t="shared" si="180"/>
        <v>6</v>
      </c>
      <c r="U676" s="126">
        <f>IF($D676="",0,IFERROR(LOOKUP(2,1/(($D$3:D675=$D676)*($C$3:C675=$C676)*($A$3:A675&lt;$A676)),$AB$3:AB675),1000))</f>
        <v>995.85024786256349</v>
      </c>
      <c r="V676" s="126">
        <f t="shared" si="181"/>
        <v>1001.2532768482375</v>
      </c>
      <c r="W676">
        <f t="shared" si="182"/>
        <v>1102.3846628725119</v>
      </c>
      <c r="X676">
        <f t="shared" si="183"/>
        <v>0.3584359466572235</v>
      </c>
      <c r="Y676">
        <f t="shared" si="184"/>
        <v>968.56830839539452</v>
      </c>
      <c r="Z676">
        <f t="shared" si="185"/>
        <v>0.53918136956527329</v>
      </c>
      <c r="AA676">
        <f>IF($D676="",0,IF($F676&lt;2,0,IF($E676="Win",('Guide &amp; Settings'!$C$42/(($F676-1)*COUNTIFS($A$4:$A$810,$A676,$E$4:$E$810,"Win")))*SUMIFS($Z$4:$Z$810,$A$4:$A$810,$A676,$E$4:$E$810,"Loss"),-('Guide &amp; Settings'!$C$42/($F676-1))*$Z676)))</f>
        <v>-17.253803826088745</v>
      </c>
      <c r="AB676" s="126">
        <f t="shared" si="186"/>
        <v>978.59644403647474</v>
      </c>
      <c r="AC676" s="126"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0</v>
      </c>
    </row>
    <row r="677" spans="1:29" x14ac:dyDescent="0.2">
      <c r="A677" s="117">
        <v>285</v>
      </c>
      <c r="B677" s="118">
        <v>46272</v>
      </c>
      <c r="C677" s="119" t="s">
        <v>37</v>
      </c>
      <c r="D677" s="119" t="s">
        <v>19</v>
      </c>
      <c r="E677" s="117" t="s">
        <v>378</v>
      </c>
      <c r="F677" s="120">
        <f t="shared" si="170"/>
        <v>2</v>
      </c>
      <c r="G677" s="121" t="str">
        <f t="shared" si="171"/>
        <v>Josh</v>
      </c>
      <c r="H677" s="122">
        <f>IF($D677="",0,IFERROR(LOOKUP(2,1/(($D$3:D676=$D677)*($A$3:A676&lt;$A677)),$N$3:N676),'Guide &amp; Settings'!$C$41))</f>
        <v>1175.38115495639</v>
      </c>
      <c r="I677" s="123">
        <f t="shared" si="172"/>
        <v>0.47368421052631582</v>
      </c>
      <c r="J677" s="124">
        <f>IF($D677="",0,IF($F677&lt;2,0,IF($E677="Win",('Guide &amp; Settings'!$C$42/(($F677-1)*COUNTIFS($A$4:$A$810,$A677,$E$4:$E$810,"Win")))*SUMIFS($X$4:$X$810,$A$4:$A$810,$A677,$E$4:$E$810,"Loss"),-('Guide &amp; Settings'!$C$42/($F677-1))*$X677)))</f>
        <v>10.615204779488243</v>
      </c>
      <c r="K677" s="124">
        <f>IF($D677="",0,'Guide &amp; Settings'!$C$43*(IF($E677="Win",1,0)-$I677))</f>
        <v>6.3157894736842106</v>
      </c>
      <c r="L677" s="125">
        <f>IF($D677="",0,'Guide &amp; Settings'!$C$44*IF($F677&gt;=3,$F677,0))</f>
        <v>0</v>
      </c>
      <c r="M677" s="124">
        <f t="shared" si="173"/>
        <v>16.930994253172454</v>
      </c>
      <c r="N677" s="122">
        <f t="shared" si="174"/>
        <v>1192.3121492095624</v>
      </c>
      <c r="O677" s="121" t="str">
        <f t="shared" si="175"/>
        <v>OK</v>
      </c>
      <c r="P677">
        <f t="shared" si="176"/>
        <v>1175.38115495639</v>
      </c>
      <c r="Q677">
        <f t="shared" si="177"/>
        <v>0.5</v>
      </c>
      <c r="R677">
        <f t="shared" si="178"/>
        <v>0.4</v>
      </c>
      <c r="S677">
        <f t="shared" si="179"/>
        <v>0.84444444444444444</v>
      </c>
      <c r="T677" s="89">
        <f t="shared" si="180"/>
        <v>3</v>
      </c>
      <c r="U677" s="126">
        <f>IF($D677="",0,IFERROR(LOOKUP(2,1/(($D$3:D676=$D677)*($C$3:C676=$C677)*($A$3:A676&lt;$A677)),$AB$3:AB676),1000))</f>
        <v>985.82211222148328</v>
      </c>
      <c r="V677" s="126">
        <f t="shared" si="181"/>
        <v>1104.2965139307998</v>
      </c>
      <c r="W677">
        <f t="shared" si="182"/>
        <v>1104.2965139307998</v>
      </c>
      <c r="X677">
        <f t="shared" si="183"/>
        <v>0.5</v>
      </c>
      <c r="Y677">
        <f t="shared" si="184"/>
        <v>985.82211222148328</v>
      </c>
      <c r="Z677">
        <f t="shared" si="185"/>
        <v>0.5</v>
      </c>
      <c r="AA677">
        <f>IF($D677="",0,IF($F677&lt;2,0,IF($E677="Win",('Guide &amp; Settings'!$C$42/(($F677-1)*COUNTIFS($A$4:$A$810,$A677,$E$4:$E$810,"Win")))*SUMIFS($Z$4:$Z$810,$A$4:$A$810,$A677,$E$4:$E$810,"Loss"),-('Guide &amp; Settings'!$C$42/($F677-1))*$Z677)))</f>
        <v>15.667293649142781</v>
      </c>
      <c r="AB677" s="126">
        <f t="shared" si="186"/>
        <v>1001.4894058706261</v>
      </c>
      <c r="AC677" s="126"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0</v>
      </c>
    </row>
    <row r="678" spans="1:29" x14ac:dyDescent="0.2">
      <c r="A678" s="117">
        <v>285</v>
      </c>
      <c r="B678" s="118">
        <v>46272</v>
      </c>
      <c r="C678" s="119" t="s">
        <v>37</v>
      </c>
      <c r="D678" s="119" t="s">
        <v>22</v>
      </c>
      <c r="E678" s="117" t="s">
        <v>379</v>
      </c>
      <c r="F678" s="120">
        <f t="shared" si="170"/>
        <v>2</v>
      </c>
      <c r="G678" s="121" t="str">
        <f t="shared" si="171"/>
        <v>Josh</v>
      </c>
      <c r="H678" s="122">
        <f>IF($D678="",0,IFERROR(LOOKUP(2,1/(($D$3:D677=$D678)*($A$3:A677&lt;$A678)),$N$3:N677),'Guide &amp; Settings'!$C$41))</f>
        <v>988.26696133801534</v>
      </c>
      <c r="I678" s="123">
        <f t="shared" si="172"/>
        <v>0.52631578947368418</v>
      </c>
      <c r="J678" s="124">
        <f>IF($D678="",0,IF($F678&lt;2,0,IF($E678="Win",('Guide &amp; Settings'!$C$42/(($F678-1)*COUNTIFS($A$4:$A$810,$A678,$E$4:$E$810,"Win")))*SUMIFS($X$4:$X$810,$A$4:$A$810,$A678,$E$4:$E$810,"Loss"),-('Guide &amp; Settings'!$C$42/($F678-1))*$X678)))</f>
        <v>-10.615204779488243</v>
      </c>
      <c r="K678" s="124">
        <f>IF($D678="",0,'Guide &amp; Settings'!$C$43*(IF($E678="Win",1,0)-$I678))</f>
        <v>-6.3157894736842106</v>
      </c>
      <c r="L678" s="125">
        <f>IF($D678="",0,'Guide &amp; Settings'!$C$44*IF($F678&gt;=3,$F678,0))</f>
        <v>0</v>
      </c>
      <c r="M678" s="124">
        <f t="shared" si="173"/>
        <v>-16.930994253172454</v>
      </c>
      <c r="N678" s="122">
        <f t="shared" si="174"/>
        <v>971.33596708484288</v>
      </c>
      <c r="O678" s="121" t="str">
        <f t="shared" si="175"/>
        <v>OK</v>
      </c>
      <c r="P678">
        <f t="shared" si="176"/>
        <v>1175.38115495639</v>
      </c>
      <c r="Q678">
        <f t="shared" si="177"/>
        <v>0.25405219707531534</v>
      </c>
      <c r="R678">
        <f t="shared" si="178"/>
        <v>0.44444444444444442</v>
      </c>
      <c r="S678">
        <f t="shared" si="179"/>
        <v>0.84444444444444444</v>
      </c>
      <c r="T678" s="89">
        <f t="shared" si="180"/>
        <v>7</v>
      </c>
      <c r="U678" s="126">
        <f>IF($D678="",0,IFERROR(LOOKUP(2,1/(($D$3:D677=$D678)*($C$3:C677=$C678)*($A$3:A677&lt;$A678)),$AB$3:AB677),1000))</f>
        <v>978.59644403647474</v>
      </c>
      <c r="V678" s="126">
        <f t="shared" si="181"/>
        <v>982.62582624545007</v>
      </c>
      <c r="W678">
        <f t="shared" si="182"/>
        <v>1104.2965139307998</v>
      </c>
      <c r="X678">
        <f t="shared" si="183"/>
        <v>0.3317251493590076</v>
      </c>
      <c r="Y678">
        <f t="shared" si="184"/>
        <v>985.82211222148328</v>
      </c>
      <c r="Z678">
        <f t="shared" si="185"/>
        <v>0.48960292653571191</v>
      </c>
      <c r="AA678">
        <f>IF($D678="",0,IF($F678&lt;2,0,IF($E678="Win",('Guide &amp; Settings'!$C$42/(($F678-1)*COUNTIFS($A$4:$A$810,$A678,$E$4:$E$810,"Win")))*SUMIFS($Z$4:$Z$810,$A$4:$A$810,$A678,$E$4:$E$810,"Loss"),-('Guide &amp; Settings'!$C$42/($F678-1))*$Z678)))</f>
        <v>-15.667293649142781</v>
      </c>
      <c r="AB678" s="126">
        <f t="shared" si="186"/>
        <v>962.9291503873319</v>
      </c>
      <c r="AC678" s="126"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0</v>
      </c>
    </row>
    <row r="679" spans="1:29" x14ac:dyDescent="0.2">
      <c r="A679" s="117">
        <v>286</v>
      </c>
      <c r="B679" s="118">
        <v>46274</v>
      </c>
      <c r="C679" s="119" t="s">
        <v>33</v>
      </c>
      <c r="D679" s="119" t="s">
        <v>20</v>
      </c>
      <c r="E679" s="117" t="s">
        <v>378</v>
      </c>
      <c r="F679" s="120">
        <f t="shared" si="170"/>
        <v>2</v>
      </c>
      <c r="G679" s="121" t="str">
        <f t="shared" si="171"/>
        <v>Shawn</v>
      </c>
      <c r="H679" s="122">
        <f>IF($D679="",0,IFERROR(LOOKUP(2,1/(($D$3:D678=$D679)*($A$3:A678&lt;$A679)),$N$3:N678),'Guide &amp; Settings'!$C$41))</f>
        <v>1262.0849962820685</v>
      </c>
      <c r="I679" s="123">
        <f t="shared" si="172"/>
        <v>0.5625</v>
      </c>
      <c r="J679" s="124">
        <f>IF($D679="",0,IF($F679&lt;2,0,IF($E679="Win",('Guide &amp; Settings'!$C$42/(($F679-1)*COUNTIFS($A$4:$A$810,$A679,$E$4:$E$810,"Win")))*SUMIFS($X$4:$X$810,$A$4:$A$810,$A679,$E$4:$E$810,"Loss"),-('Guide &amp; Settings'!$C$42/($F679-1))*$X679)))</f>
        <v>12.406408941571216</v>
      </c>
      <c r="K679" s="124">
        <f>IF($D679="",0,'Guide &amp; Settings'!$C$43*(IF($E679="Win",1,0)-$I679))</f>
        <v>5.25</v>
      </c>
      <c r="L679" s="125">
        <f>IF($D679="",0,'Guide &amp; Settings'!$C$44*IF($F679&gt;=3,$F679,0))</f>
        <v>0</v>
      </c>
      <c r="M679" s="124">
        <f t="shared" si="173"/>
        <v>17.656408941571215</v>
      </c>
      <c r="N679" s="122">
        <f t="shared" si="174"/>
        <v>1279.7414052236397</v>
      </c>
      <c r="O679" s="121" t="str">
        <f t="shared" si="175"/>
        <v>OK</v>
      </c>
      <c r="P679">
        <f t="shared" si="176"/>
        <v>1262.0849962820685</v>
      </c>
      <c r="Q679">
        <f t="shared" si="177"/>
        <v>0.5</v>
      </c>
      <c r="R679">
        <f t="shared" si="178"/>
        <v>0.8571428571428571</v>
      </c>
      <c r="S679">
        <f t="shared" si="179"/>
        <v>1.5238095238095237</v>
      </c>
      <c r="T679" s="89">
        <f t="shared" si="180"/>
        <v>5</v>
      </c>
      <c r="U679" s="126">
        <f>IF($D679="",0,IFERROR(LOOKUP(2,1/(($D$3:D678=$D679)*($C$3:C678=$C679)*($A$3:A678&lt;$A679)),$AB$3:AB678),1000))</f>
        <v>1066.8312456204001</v>
      </c>
      <c r="V679" s="126">
        <f t="shared" si="181"/>
        <v>1164.4581209512344</v>
      </c>
      <c r="W679">
        <f t="shared" si="182"/>
        <v>1164.4581209512344</v>
      </c>
      <c r="X679">
        <f t="shared" si="183"/>
        <v>0.5</v>
      </c>
      <c r="Y679">
        <f t="shared" si="184"/>
        <v>1066.8312456204001</v>
      </c>
      <c r="Z679">
        <f t="shared" si="185"/>
        <v>0.5</v>
      </c>
      <c r="AA679">
        <f>IF($D679="",0,IF($F679&lt;2,0,IF($E679="Win",('Guide &amp; Settings'!$C$42/(($F679-1)*COUNTIFS($A$4:$A$810,$A679,$E$4:$E$810,"Win")))*SUMIFS($Z$4:$Z$810,$A$4:$A$810,$A679,$E$4:$E$810,"Loss"),-('Guide &amp; Settings'!$C$42/($F679-1))*$Z679)))</f>
        <v>13.675694843204152</v>
      </c>
      <c r="AB679" s="126">
        <f t="shared" si="186"/>
        <v>1080.5069404636042</v>
      </c>
      <c r="AC679" s="126"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0</v>
      </c>
    </row>
    <row r="680" spans="1:29" x14ac:dyDescent="0.2">
      <c r="A680" s="117">
        <v>286</v>
      </c>
      <c r="B680" s="118">
        <v>46274</v>
      </c>
      <c r="C680" s="119" t="s">
        <v>33</v>
      </c>
      <c r="D680" s="119" t="s">
        <v>17</v>
      </c>
      <c r="E680" s="117" t="s">
        <v>379</v>
      </c>
      <c r="F680" s="120">
        <f t="shared" si="170"/>
        <v>2</v>
      </c>
      <c r="G680" s="121" t="str">
        <f t="shared" si="171"/>
        <v>Shawn</v>
      </c>
      <c r="H680" s="122">
        <f>IF($D680="",0,IFERROR(LOOKUP(2,1/(($D$3:D679=$D680)*($A$3:A679&lt;$A680)),$N$3:N679),'Guide &amp; Settings'!$C$41))</f>
        <v>1098.8851304702137</v>
      </c>
      <c r="I680" s="123">
        <f t="shared" si="172"/>
        <v>0.4375</v>
      </c>
      <c r="J680" s="124">
        <f>IF($D680="",0,IF($F680&lt;2,0,IF($E680="Win",('Guide &amp; Settings'!$C$42/(($F680-1)*COUNTIFS($A$4:$A$810,$A680,$E$4:$E$810,"Win")))*SUMIFS($X$4:$X$810,$A$4:$A$810,$A680,$E$4:$E$810,"Loss"),-('Guide &amp; Settings'!$C$42/($F680-1))*$X680)))</f>
        <v>-12.406408941571216</v>
      </c>
      <c r="K680" s="124">
        <f>IF($D680="",0,'Guide &amp; Settings'!$C$43*(IF($E680="Win",1,0)-$I680))</f>
        <v>-5.25</v>
      </c>
      <c r="L680" s="125">
        <f>IF($D680="",0,'Guide &amp; Settings'!$C$44*IF($F680&gt;=3,$F680,0))</f>
        <v>0</v>
      </c>
      <c r="M680" s="124">
        <f t="shared" si="173"/>
        <v>-17.656408941571215</v>
      </c>
      <c r="N680" s="122">
        <f t="shared" si="174"/>
        <v>1081.2287215286424</v>
      </c>
      <c r="O680" s="121" t="str">
        <f t="shared" si="175"/>
        <v>OK</v>
      </c>
      <c r="P680">
        <f t="shared" si="176"/>
        <v>1262.0849962820685</v>
      </c>
      <c r="Q680">
        <f t="shared" si="177"/>
        <v>0.28101065624480442</v>
      </c>
      <c r="R680">
        <f t="shared" si="178"/>
        <v>0.66666666666666663</v>
      </c>
      <c r="S680">
        <f t="shared" si="179"/>
        <v>1.5238095238095237</v>
      </c>
      <c r="T680" s="89">
        <f t="shared" si="180"/>
        <v>1</v>
      </c>
      <c r="U680" s="126">
        <f>IF($D680="",0,IFERROR(LOOKUP(2,1/(($D$3:D679=$D680)*($C$3:C679=$C680)*($A$3:A679&lt;$A680)),$AB$3:AB679),1000))</f>
        <v>1016</v>
      </c>
      <c r="V680" s="126">
        <f t="shared" si="181"/>
        <v>1085.0709420585115</v>
      </c>
      <c r="W680">
        <f t="shared" si="182"/>
        <v>1164.4581209512344</v>
      </c>
      <c r="X680">
        <f t="shared" si="183"/>
        <v>0.38770027942410051</v>
      </c>
      <c r="Y680">
        <f t="shared" si="184"/>
        <v>1066.8312456204001</v>
      </c>
      <c r="Z680">
        <f t="shared" si="185"/>
        <v>0.42736546385012975</v>
      </c>
      <c r="AA680">
        <f>IF($D680="",0,IF($F680&lt;2,0,IF($E680="Win",('Guide &amp; Settings'!$C$42/(($F680-1)*COUNTIFS($A$4:$A$810,$A680,$E$4:$E$810,"Win")))*SUMIFS($Z$4:$Z$810,$A$4:$A$810,$A680,$E$4:$E$810,"Loss"),-('Guide &amp; Settings'!$C$42/($F680-1))*$Z680)))</f>
        <v>-13.675694843204152</v>
      </c>
      <c r="AB680" s="126">
        <f t="shared" si="186"/>
        <v>1002.3243051567958</v>
      </c>
      <c r="AC680" s="126"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0</v>
      </c>
    </row>
    <row r="681" spans="1:29" x14ac:dyDescent="0.2">
      <c r="A681" s="117">
        <v>287</v>
      </c>
      <c r="B681" s="118">
        <v>46285</v>
      </c>
      <c r="C681" s="119" t="s">
        <v>50</v>
      </c>
      <c r="D681" s="119" t="s">
        <v>22</v>
      </c>
      <c r="E681" s="117" t="s">
        <v>378</v>
      </c>
      <c r="F681" s="120">
        <f t="shared" si="170"/>
        <v>2</v>
      </c>
      <c r="G681" s="121" t="str">
        <f t="shared" si="171"/>
        <v>Daniel (Ferret)</v>
      </c>
      <c r="H681" s="122">
        <f>IF($D681="",0,IFERROR(LOOKUP(2,1/(($D$3:D680=$D681)*($A$3:A680&lt;$A681)),$N$3:N680),'Guide &amp; Settings'!$C$41))</f>
        <v>971.33596708484288</v>
      </c>
      <c r="I681" s="123">
        <f t="shared" si="172"/>
        <v>0.41538461538461541</v>
      </c>
      <c r="J681" s="124">
        <f>IF($D681="",0,IF($F681&lt;2,0,IF($E681="Win",('Guide &amp; Settings'!$C$42/(($F681-1)*COUNTIFS($A$4:$A$810,$A681,$E$4:$E$810,"Win")))*SUMIFS($X$4:$X$810,$A$4:$A$810,$A681,$E$4:$E$810,"Loss"),-('Guide &amp; Settings'!$C$42/($F681-1))*$X681)))</f>
        <v>19.901718889570279</v>
      </c>
      <c r="K681" s="124">
        <f>IF($D681="",0,'Guide &amp; Settings'!$C$43*(IF($E681="Win",1,0)-$I681))</f>
        <v>7.0153846153846144</v>
      </c>
      <c r="L681" s="125">
        <f>IF($D681="",0,'Guide &amp; Settings'!$C$44*IF($F681&gt;=3,$F681,0))</f>
        <v>0</v>
      </c>
      <c r="M681" s="124">
        <f t="shared" si="173"/>
        <v>26.917103504954895</v>
      </c>
      <c r="N681" s="122">
        <f t="shared" si="174"/>
        <v>998.25307058979774</v>
      </c>
      <c r="O681" s="121" t="str">
        <f t="shared" si="175"/>
        <v>OK</v>
      </c>
      <c r="P681">
        <f t="shared" si="176"/>
        <v>971.33596708484288</v>
      </c>
      <c r="Q681">
        <f t="shared" si="177"/>
        <v>0.5</v>
      </c>
      <c r="R681">
        <f t="shared" si="178"/>
        <v>0.42105263157894735</v>
      </c>
      <c r="S681">
        <f t="shared" si="179"/>
        <v>1.0136452241715399</v>
      </c>
      <c r="T681" s="89">
        <f t="shared" si="180"/>
        <v>17</v>
      </c>
      <c r="U681" s="126">
        <f>IF($D681="",0,IFERROR(LOOKUP(2,1/(($D$3:D680=$D681)*($C$3:C680=$C681)*($A$3:A680&lt;$A681)),$AB$3:AB680),1000))</f>
        <v>1008.1001580975385</v>
      </c>
      <c r="V681" s="126">
        <f t="shared" si="181"/>
        <v>999.74466014010773</v>
      </c>
      <c r="W681">
        <f t="shared" si="182"/>
        <v>999.74466014010773</v>
      </c>
      <c r="X681">
        <f t="shared" si="183"/>
        <v>0.5</v>
      </c>
      <c r="Y681">
        <f t="shared" si="184"/>
        <v>1008.1001580975385</v>
      </c>
      <c r="Z681">
        <f t="shared" si="185"/>
        <v>0.5</v>
      </c>
      <c r="AA681">
        <f>IF($D681="",0,IF($F681&lt;2,0,IF($E681="Win",('Guide &amp; Settings'!$C$42/(($F681-1)*COUNTIFS($A$4:$A$810,$A681,$E$4:$E$810,"Win")))*SUMIFS($Z$4:$Z$810,$A$4:$A$810,$A681,$E$4:$E$810,"Loss"),-('Guide &amp; Settings'!$C$42/($F681-1))*$Z681)))</f>
        <v>17.806938642628371</v>
      </c>
      <c r="AB681" s="126">
        <f t="shared" si="186"/>
        <v>1025.9070967401669</v>
      </c>
      <c r="AC681" s="126"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0</v>
      </c>
    </row>
    <row r="682" spans="1:29" x14ac:dyDescent="0.2">
      <c r="A682" s="117">
        <v>287</v>
      </c>
      <c r="B682" s="118">
        <v>46285</v>
      </c>
      <c r="C682" s="119" t="s">
        <v>50</v>
      </c>
      <c r="D682" s="119" t="s">
        <v>20</v>
      </c>
      <c r="E682" s="117" t="s">
        <v>379</v>
      </c>
      <c r="F682" s="120">
        <f t="shared" si="170"/>
        <v>2</v>
      </c>
      <c r="G682" s="121" t="str">
        <f t="shared" si="171"/>
        <v>Daniel (Ferret)</v>
      </c>
      <c r="H682" s="122">
        <f>IF($D682="",0,IFERROR(LOOKUP(2,1/(($D$3:D681=$D682)*($A$3:A681&lt;$A682)),$N$3:N681),'Guide &amp; Settings'!$C$41))</f>
        <v>1279.7414052236397</v>
      </c>
      <c r="I682" s="123">
        <f t="shared" si="172"/>
        <v>0.58461538461538465</v>
      </c>
      <c r="J682" s="124">
        <f>IF($D682="",0,IF($F682&lt;2,0,IF($E682="Win",('Guide &amp; Settings'!$C$42/(($F682-1)*COUNTIFS($A$4:$A$810,$A682,$E$4:$E$810,"Win")))*SUMIFS($X$4:$X$810,$A$4:$A$810,$A682,$E$4:$E$810,"Loss"),-('Guide &amp; Settings'!$C$42/($F682-1))*$X682)))</f>
        <v>-19.901718889570279</v>
      </c>
      <c r="K682" s="124">
        <f>IF($D682="",0,'Guide &amp; Settings'!$C$43*(IF($E682="Win",1,0)-$I682))</f>
        <v>-7.0153846153846153</v>
      </c>
      <c r="L682" s="125">
        <f>IF($D682="",0,'Guide &amp; Settings'!$C$44*IF($F682&gt;=3,$F682,0))</f>
        <v>0</v>
      </c>
      <c r="M682" s="124">
        <f t="shared" si="173"/>
        <v>-26.917103504954895</v>
      </c>
      <c r="N682" s="122">
        <f t="shared" si="174"/>
        <v>1252.8243017186849</v>
      </c>
      <c r="O682" s="121" t="str">
        <f t="shared" si="175"/>
        <v>OK</v>
      </c>
      <c r="P682">
        <f t="shared" si="176"/>
        <v>971.33596708484288</v>
      </c>
      <c r="Q682">
        <f t="shared" si="177"/>
        <v>0.8551185647001045</v>
      </c>
      <c r="R682">
        <f t="shared" si="178"/>
        <v>0.59259259259259256</v>
      </c>
      <c r="S682">
        <f t="shared" si="179"/>
        <v>1.0136452241715399</v>
      </c>
      <c r="T682" s="89">
        <f t="shared" si="180"/>
        <v>25</v>
      </c>
      <c r="U682" s="126">
        <f>IF($D682="",0,IFERROR(LOOKUP(2,1/(($D$3:D681=$D682)*($C$3:C681=$C682)*($A$3:A681&lt;$A682)),$AB$3:AB681),1000))</f>
        <v>1047.5054308988927</v>
      </c>
      <c r="V682" s="126">
        <f t="shared" si="181"/>
        <v>1086.2114266196838</v>
      </c>
      <c r="W682">
        <f t="shared" si="182"/>
        <v>999.74466014010773</v>
      </c>
      <c r="X682">
        <f t="shared" si="183"/>
        <v>0.62192871529907123</v>
      </c>
      <c r="Y682">
        <f t="shared" si="184"/>
        <v>1008.1001580975385</v>
      </c>
      <c r="Z682">
        <f t="shared" si="185"/>
        <v>0.55646683258213658</v>
      </c>
      <c r="AA682">
        <f>IF($D682="",0,IF($F682&lt;2,0,IF($E682="Win",('Guide &amp; Settings'!$C$42/(($F682-1)*COUNTIFS($A$4:$A$810,$A682,$E$4:$E$810,"Win")))*SUMIFS($Z$4:$Z$810,$A$4:$A$810,$A682,$E$4:$E$810,"Loss"),-('Guide &amp; Settings'!$C$42/($F682-1))*$Z682)))</f>
        <v>-17.806938642628371</v>
      </c>
      <c r="AB682" s="126">
        <f t="shared" si="186"/>
        <v>1029.6984922562642</v>
      </c>
      <c r="AC682" s="126"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0</v>
      </c>
    </row>
    <row r="683" spans="1:29" x14ac:dyDescent="0.2">
      <c r="A683" s="117">
        <v>288</v>
      </c>
      <c r="B683" s="118">
        <v>46285</v>
      </c>
      <c r="C683" s="119" t="s">
        <v>50</v>
      </c>
      <c r="D683" s="119" t="s">
        <v>22</v>
      </c>
      <c r="E683" s="117" t="s">
        <v>378</v>
      </c>
      <c r="F683" s="120">
        <f t="shared" si="170"/>
        <v>2</v>
      </c>
      <c r="G683" s="121" t="str">
        <f t="shared" si="171"/>
        <v>Daniel (Ferret)</v>
      </c>
      <c r="H683" s="122">
        <f>IF($D683="",0,IFERROR(LOOKUP(2,1/(($D$3:D682=$D683)*($A$3:A682&lt;$A683)),$N$3:N682),'Guide &amp; Settings'!$C$41))</f>
        <v>998.25307058979774</v>
      </c>
      <c r="I683" s="123">
        <f t="shared" si="172"/>
        <v>0.44055944055944063</v>
      </c>
      <c r="J683" s="124">
        <f>IF($D683="",0,IF($F683&lt;2,0,IF($E683="Win",('Guide &amp; Settings'!$C$42/(($F683-1)*COUNTIFS($A$4:$A$810,$A683,$E$4:$E$810,"Win")))*SUMIFS($X$4:$X$810,$A$4:$A$810,$A683,$E$4:$E$810,"Loss"),-('Guide &amp; Settings'!$C$42/($F683-1))*$X683)))</f>
        <v>18.096635590145805</v>
      </c>
      <c r="K683" s="124">
        <f>IF($D683="",0,'Guide &amp; Settings'!$C$43*(IF($E683="Win",1,0)-$I683))</f>
        <v>6.7132867132867124</v>
      </c>
      <c r="L683" s="125">
        <f>IF($D683="",0,'Guide &amp; Settings'!$C$44*IF($F683&gt;=3,$F683,0))</f>
        <v>0</v>
      </c>
      <c r="M683" s="124">
        <f t="shared" si="173"/>
        <v>24.809922303432518</v>
      </c>
      <c r="N683" s="122">
        <f t="shared" si="174"/>
        <v>1023.0629928932302</v>
      </c>
      <c r="O683" s="121" t="str">
        <f t="shared" si="175"/>
        <v>OK</v>
      </c>
      <c r="P683">
        <f t="shared" si="176"/>
        <v>998.25307058979774</v>
      </c>
      <c r="Q683">
        <f t="shared" si="177"/>
        <v>0.5</v>
      </c>
      <c r="R683">
        <f t="shared" si="178"/>
        <v>0.45</v>
      </c>
      <c r="S683">
        <f t="shared" si="179"/>
        <v>1.0214285714285714</v>
      </c>
      <c r="T683" s="89">
        <f t="shared" si="180"/>
        <v>18</v>
      </c>
      <c r="U683" s="126">
        <f>IF($D683="",0,IFERROR(LOOKUP(2,1/(($D$3:D682=$D683)*($C$3:C682=$C683)*($A$3:A682&lt;$A683)),$AB$3:AB682),1000))</f>
        <v>1025.9070967401669</v>
      </c>
      <c r="V683" s="126">
        <f t="shared" si="181"/>
        <v>1019.8953519248693</v>
      </c>
      <c r="W683">
        <f t="shared" si="182"/>
        <v>1019.8953519248693</v>
      </c>
      <c r="X683">
        <f t="shared" si="183"/>
        <v>0.5</v>
      </c>
      <c r="Y683">
        <f t="shared" si="184"/>
        <v>1025.9070967401669</v>
      </c>
      <c r="Z683">
        <f t="shared" si="185"/>
        <v>0.5</v>
      </c>
      <c r="AA683">
        <f>IF($D683="",0,IF($F683&lt;2,0,IF($E683="Win",('Guide &amp; Settings'!$C$42/(($F683-1)*COUNTIFS($A$4:$A$810,$A683,$E$4:$E$810,"Win")))*SUMIFS($Z$4:$Z$810,$A$4:$A$810,$A683,$E$4:$E$810,"Loss"),-('Guide &amp; Settings'!$C$42/($F683-1))*$Z683)))</f>
        <v>16.174593285634003</v>
      </c>
      <c r="AB683" s="126">
        <f t="shared" si="186"/>
        <v>1042.081690025801</v>
      </c>
      <c r="AC683" s="126"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0</v>
      </c>
    </row>
    <row r="684" spans="1:29" x14ac:dyDescent="0.2">
      <c r="A684" s="117">
        <v>288</v>
      </c>
      <c r="B684" s="118">
        <v>46285</v>
      </c>
      <c r="C684" s="119" t="s">
        <v>50</v>
      </c>
      <c r="D684" s="119" t="s">
        <v>20</v>
      </c>
      <c r="E684" s="117" t="s">
        <v>379</v>
      </c>
      <c r="F684" s="120">
        <f t="shared" si="170"/>
        <v>2</v>
      </c>
      <c r="G684" s="121" t="str">
        <f t="shared" si="171"/>
        <v>Daniel (Ferret)</v>
      </c>
      <c r="H684" s="122">
        <f>IF($D684="",0,IFERROR(LOOKUP(2,1/(($D$3:D683=$D684)*($A$3:A683&lt;$A684)),$N$3:N683),'Guide &amp; Settings'!$C$41))</f>
        <v>1252.8243017186849</v>
      </c>
      <c r="I684" s="123">
        <f t="shared" si="172"/>
        <v>0.55944055944055948</v>
      </c>
      <c r="J684" s="124">
        <f>IF($D684="",0,IF($F684&lt;2,0,IF($E684="Win",('Guide &amp; Settings'!$C$42/(($F684-1)*COUNTIFS($A$4:$A$810,$A684,$E$4:$E$810,"Win")))*SUMIFS($X$4:$X$810,$A$4:$A$810,$A684,$E$4:$E$810,"Loss"),-('Guide &amp; Settings'!$C$42/($F684-1))*$X684)))</f>
        <v>-18.096635590145805</v>
      </c>
      <c r="K684" s="124">
        <f>IF($D684="",0,'Guide &amp; Settings'!$C$43*(IF($E684="Win",1,0)-$I684))</f>
        <v>-6.7132867132867133</v>
      </c>
      <c r="L684" s="125">
        <f>IF($D684="",0,'Guide &amp; Settings'!$C$44*IF($F684&gt;=3,$F684,0))</f>
        <v>0</v>
      </c>
      <c r="M684" s="124">
        <f t="shared" si="173"/>
        <v>-24.809922303432518</v>
      </c>
      <c r="N684" s="122">
        <f t="shared" si="174"/>
        <v>1228.0143794152523</v>
      </c>
      <c r="O684" s="121" t="str">
        <f t="shared" si="175"/>
        <v>OK</v>
      </c>
      <c r="P684">
        <f t="shared" si="176"/>
        <v>998.25307058979774</v>
      </c>
      <c r="Q684">
        <f t="shared" si="177"/>
        <v>0.81236174480571199</v>
      </c>
      <c r="R684">
        <f t="shared" si="178"/>
        <v>0.5714285714285714</v>
      </c>
      <c r="S684">
        <f t="shared" si="179"/>
        <v>1.0214285714285714</v>
      </c>
      <c r="T684" s="89">
        <f t="shared" si="180"/>
        <v>26</v>
      </c>
      <c r="U684" s="126">
        <f>IF($D684="",0,IFERROR(LOOKUP(2,1/(($D$3:D683=$D684)*($C$3:C683=$C684)*($A$3:A683&lt;$A684)),$AB$3:AB683),1000))</f>
        <v>1029.6984922562642</v>
      </c>
      <c r="V684" s="126">
        <f t="shared" si="181"/>
        <v>1065.6865260405257</v>
      </c>
      <c r="W684">
        <f t="shared" si="182"/>
        <v>1019.8953519248693</v>
      </c>
      <c r="X684">
        <f t="shared" si="183"/>
        <v>0.56551986219205641</v>
      </c>
      <c r="Y684">
        <f t="shared" si="184"/>
        <v>1025.9070967401669</v>
      </c>
      <c r="Z684">
        <f t="shared" si="185"/>
        <v>0.5054560401760626</v>
      </c>
      <c r="AA684">
        <f>IF($D684="",0,IF($F684&lt;2,0,IF($E684="Win",('Guide &amp; Settings'!$C$42/(($F684-1)*COUNTIFS($A$4:$A$810,$A684,$E$4:$E$810,"Win")))*SUMIFS($Z$4:$Z$810,$A$4:$A$810,$A684,$E$4:$E$810,"Loss"),-('Guide &amp; Settings'!$C$42/($F684-1))*$Z684)))</f>
        <v>-16.174593285634003</v>
      </c>
      <c r="AB684" s="126">
        <f t="shared" si="186"/>
        <v>1013.5238989706302</v>
      </c>
      <c r="AC684" s="126"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0</v>
      </c>
    </row>
    <row r="685" spans="1:29" x14ac:dyDescent="0.2">
      <c r="A685" s="117">
        <v>289</v>
      </c>
      <c r="B685" s="118">
        <v>46285</v>
      </c>
      <c r="C685" s="119" t="s">
        <v>50</v>
      </c>
      <c r="D685" s="119" t="s">
        <v>22</v>
      </c>
      <c r="E685" s="117" t="s">
        <v>378</v>
      </c>
      <c r="F685" s="120">
        <f t="shared" si="170"/>
        <v>2</v>
      </c>
      <c r="G685" s="121" t="str">
        <f t="shared" si="171"/>
        <v>Daniel (Ferret)</v>
      </c>
      <c r="H685" s="122">
        <f>IF($D685="",0,IFERROR(LOOKUP(2,1/(($D$3:D684=$D685)*($A$3:A684&lt;$A685)),$N$3:N684),'Guide &amp; Settings'!$C$41))</f>
        <v>1023.0629928932302</v>
      </c>
      <c r="I685" s="123">
        <f t="shared" si="172"/>
        <v>0.46325878594249204</v>
      </c>
      <c r="J685" s="124">
        <f>IF($D685="",0,IF($F685&lt;2,0,IF($E685="Win",('Guide &amp; Settings'!$C$42/(($F685-1)*COUNTIFS($A$4:$A$810,$A685,$E$4:$E$810,"Win")))*SUMIFS($X$4:$X$810,$A$4:$A$810,$A685,$E$4:$E$810,"Loss"),-('Guide &amp; Settings'!$C$42/($F685-1))*$X685)))</f>
        <v>16.410625372963178</v>
      </c>
      <c r="K685" s="124">
        <f>IF($D685="",0,'Guide &amp; Settings'!$C$43*(IF($E685="Win",1,0)-$I685))</f>
        <v>6.440894568690096</v>
      </c>
      <c r="L685" s="125">
        <f>IF($D685="",0,'Guide &amp; Settings'!$C$44*IF($F685&gt;=3,$F685,0))</f>
        <v>0</v>
      </c>
      <c r="M685" s="124">
        <f t="shared" si="173"/>
        <v>22.851519941653272</v>
      </c>
      <c r="N685" s="122">
        <f t="shared" si="174"/>
        <v>1045.9145128348835</v>
      </c>
      <c r="O685" s="121" t="str">
        <f t="shared" si="175"/>
        <v>OK</v>
      </c>
      <c r="P685">
        <f t="shared" si="176"/>
        <v>1023.0629928932302</v>
      </c>
      <c r="Q685">
        <f t="shared" si="177"/>
        <v>0.5</v>
      </c>
      <c r="R685">
        <f t="shared" si="178"/>
        <v>0.47619047619047616</v>
      </c>
      <c r="S685">
        <f t="shared" si="179"/>
        <v>1.0279146141215105</v>
      </c>
      <c r="T685" s="89">
        <f t="shared" si="180"/>
        <v>19</v>
      </c>
      <c r="U685" s="126">
        <f>IF($D685="",0,IFERROR(LOOKUP(2,1/(($D$3:D684=$D685)*($C$3:C684=$C685)*($A$3:A684&lt;$A685)),$AB$3:AB684),1000))</f>
        <v>1042.081690025801</v>
      </c>
      <c r="V685" s="126">
        <f t="shared" si="181"/>
        <v>1038.1194614565154</v>
      </c>
      <c r="W685">
        <f t="shared" si="182"/>
        <v>1038.1194614565154</v>
      </c>
      <c r="X685">
        <f t="shared" si="183"/>
        <v>0.5</v>
      </c>
      <c r="Y685">
        <f t="shared" si="184"/>
        <v>1042.081690025801</v>
      </c>
      <c r="Z685">
        <f t="shared" si="185"/>
        <v>0.5</v>
      </c>
      <c r="AA685">
        <f>IF($D685="",0,IF($F685&lt;2,0,IF($E685="Win",('Guide &amp; Settings'!$C$42/(($F685-1)*COUNTIFS($A$4:$A$810,$A685,$E$4:$E$810,"Win")))*SUMIFS($Z$4:$Z$810,$A$4:$A$810,$A685,$E$4:$E$810,"Loss"),-('Guide &amp; Settings'!$C$42/($F685-1))*$Z685)))</f>
        <v>14.687818896988514</v>
      </c>
      <c r="AB685" s="126">
        <f t="shared" si="186"/>
        <v>1056.7695089227896</v>
      </c>
      <c r="AC685" s="126"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0</v>
      </c>
    </row>
    <row r="686" spans="1:29" x14ac:dyDescent="0.2">
      <c r="A686" s="117">
        <v>289</v>
      </c>
      <c r="B686" s="118">
        <v>46285</v>
      </c>
      <c r="C686" s="119" t="s">
        <v>50</v>
      </c>
      <c r="D686" s="119" t="s">
        <v>20</v>
      </c>
      <c r="E686" s="117" t="s">
        <v>379</v>
      </c>
      <c r="F686" s="120">
        <f t="shared" si="170"/>
        <v>2</v>
      </c>
      <c r="G686" s="121" t="str">
        <f t="shared" si="171"/>
        <v>Daniel (Ferret)</v>
      </c>
      <c r="H686" s="122">
        <f>IF($D686="",0,IFERROR(LOOKUP(2,1/(($D$3:D685=$D686)*($A$3:A685&lt;$A686)),$N$3:N685),'Guide &amp; Settings'!$C$41))</f>
        <v>1228.0143794152523</v>
      </c>
      <c r="I686" s="123">
        <f t="shared" si="172"/>
        <v>0.53674121405750808</v>
      </c>
      <c r="J686" s="124">
        <f>IF($D686="",0,IF($F686&lt;2,0,IF($E686="Win",('Guide &amp; Settings'!$C$42/(($F686-1)*COUNTIFS($A$4:$A$810,$A686,$E$4:$E$810,"Win")))*SUMIFS($X$4:$X$810,$A$4:$A$810,$A686,$E$4:$E$810,"Loss"),-('Guide &amp; Settings'!$C$42/($F686-1))*$X686)))</f>
        <v>-16.410625372963178</v>
      </c>
      <c r="K686" s="124">
        <f>IF($D686="",0,'Guide &amp; Settings'!$C$43*(IF($E686="Win",1,0)-$I686))</f>
        <v>-6.4408945686900969</v>
      </c>
      <c r="L686" s="125">
        <f>IF($D686="",0,'Guide &amp; Settings'!$C$44*IF($F686&gt;=3,$F686,0))</f>
        <v>0</v>
      </c>
      <c r="M686" s="124">
        <f t="shared" si="173"/>
        <v>-22.851519941653276</v>
      </c>
      <c r="N686" s="122">
        <f t="shared" si="174"/>
        <v>1205.1628594735989</v>
      </c>
      <c r="O686" s="121" t="str">
        <f t="shared" si="175"/>
        <v>OK</v>
      </c>
      <c r="P686">
        <f t="shared" si="176"/>
        <v>1023.0629928932302</v>
      </c>
      <c r="Q686">
        <f t="shared" si="177"/>
        <v>0.76491094554026628</v>
      </c>
      <c r="R686">
        <f t="shared" si="178"/>
        <v>0.55172413793103448</v>
      </c>
      <c r="S686">
        <f t="shared" si="179"/>
        <v>1.0279146141215105</v>
      </c>
      <c r="T686" s="89">
        <f t="shared" si="180"/>
        <v>27</v>
      </c>
      <c r="U686" s="126">
        <f>IF($D686="",0,IFERROR(LOOKUP(2,1/(($D$3:D685=$D686)*($C$3:C685=$C686)*($A$3:A685&lt;$A686)),$AB$3:AB685),1000))</f>
        <v>1013.5238989706302</v>
      </c>
      <c r="V686" s="126">
        <f t="shared" si="181"/>
        <v>1047.0380365401024</v>
      </c>
      <c r="W686">
        <f t="shared" si="182"/>
        <v>1038.1194614565154</v>
      </c>
      <c r="X686">
        <f t="shared" si="183"/>
        <v>0.51283204290509932</v>
      </c>
      <c r="Y686">
        <f t="shared" si="184"/>
        <v>1042.081690025801</v>
      </c>
      <c r="Z686">
        <f t="shared" si="185"/>
        <v>0.45899434053089105</v>
      </c>
      <c r="AA686">
        <f>IF($D686="",0,IF($F686&lt;2,0,IF($E686="Win",('Guide &amp; Settings'!$C$42/(($F686-1)*COUNTIFS($A$4:$A$810,$A686,$E$4:$E$810,"Win")))*SUMIFS($Z$4:$Z$810,$A$4:$A$810,$A686,$E$4:$E$810,"Loss"),-('Guide &amp; Settings'!$C$42/($F686-1))*$Z686)))</f>
        <v>-14.687818896988514</v>
      </c>
      <c r="AB686" s="126">
        <f t="shared" si="186"/>
        <v>998.83608007364171</v>
      </c>
      <c r="AC686" s="126"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0</v>
      </c>
    </row>
    <row r="687" spans="1:29" x14ac:dyDescent="0.2">
      <c r="A687" s="117">
        <v>290</v>
      </c>
      <c r="B687" s="118">
        <v>46285</v>
      </c>
      <c r="C687" s="119" t="s">
        <v>50</v>
      </c>
      <c r="D687" s="119" t="s">
        <v>22</v>
      </c>
      <c r="E687" s="117" t="s">
        <v>379</v>
      </c>
      <c r="F687" s="120">
        <f t="shared" si="170"/>
        <v>2</v>
      </c>
      <c r="G687" s="121" t="str">
        <f t="shared" si="171"/>
        <v>Shawn</v>
      </c>
      <c r="H687" s="122">
        <f>IF($D687="",0,IFERROR(LOOKUP(2,1/(($D$3:D686=$D687)*($A$3:A686&lt;$A687)),$N$3:N686),'Guide &amp; Settings'!$C$41))</f>
        <v>1045.9145128348835</v>
      </c>
      <c r="I687" s="123">
        <f t="shared" si="172"/>
        <v>0.48387096774193555</v>
      </c>
      <c r="J687" s="124">
        <f>IF($D687="",0,IF($F687&lt;2,0,IF($E687="Win",('Guide &amp; Settings'!$C$42/(($F687-1)*COUNTIFS($A$4:$A$810,$A687,$E$4:$E$810,"Win")))*SUMIFS($X$4:$X$810,$A$4:$A$810,$A687,$E$4:$E$810,"Loss"),-('Guide &amp; Settings'!$C$42/($F687-1))*$X687)))</f>
        <v>-17.126436761323703</v>
      </c>
      <c r="K687" s="124">
        <f>IF($D687="",0,'Guide &amp; Settings'!$C$43*(IF($E687="Win",1,0)-$I687))</f>
        <v>-5.8064516129032269</v>
      </c>
      <c r="L687" s="125">
        <f>IF($D687="",0,'Guide &amp; Settings'!$C$44*IF($F687&gt;=3,$F687,0))</f>
        <v>0</v>
      </c>
      <c r="M687" s="124">
        <f t="shared" si="173"/>
        <v>-22.93288837422693</v>
      </c>
      <c r="N687" s="122">
        <f t="shared" si="174"/>
        <v>1022.9816244606566</v>
      </c>
      <c r="O687" s="121" t="str">
        <f t="shared" si="175"/>
        <v>OK</v>
      </c>
      <c r="P687">
        <f t="shared" si="176"/>
        <v>1205.1628594735989</v>
      </c>
      <c r="Q687">
        <f t="shared" si="177"/>
        <v>0.28562930538842274</v>
      </c>
      <c r="R687">
        <f t="shared" si="178"/>
        <v>0.5</v>
      </c>
      <c r="S687">
        <f t="shared" si="179"/>
        <v>1.0333333333333332</v>
      </c>
      <c r="T687" s="89">
        <f t="shared" si="180"/>
        <v>20</v>
      </c>
      <c r="U687" s="126">
        <f>IF($D687="",0,IFERROR(LOOKUP(2,1/(($D$3:D686=$D687)*($C$3:C686=$C687)*($A$3:A686&lt;$A687)),$AB$3:AB686),1000))</f>
        <v>1056.7695089227896</v>
      </c>
      <c r="V687" s="126">
        <f t="shared" si="181"/>
        <v>1054.5985097052085</v>
      </c>
      <c r="W687">
        <f t="shared" si="182"/>
        <v>1030.0977133160595</v>
      </c>
      <c r="X687">
        <f t="shared" si="183"/>
        <v>0.53520114879136571</v>
      </c>
      <c r="Y687">
        <f t="shared" si="184"/>
        <v>998.83608007364171</v>
      </c>
      <c r="Z687">
        <f t="shared" si="185"/>
        <v>0.58260869945839133</v>
      </c>
      <c r="AA687">
        <f>IF($D687="",0,IF($F687&lt;2,0,IF($E687="Win",('Guide &amp; Settings'!$C$42/(($F687-1)*COUNTIFS($A$4:$A$810,$A687,$E$4:$E$810,"Win")))*SUMIFS($Z$4:$Z$810,$A$4:$A$810,$A687,$E$4:$E$810,"Loss"),-('Guide &amp; Settings'!$C$42/($F687-1))*$Z687)))</f>
        <v>-18.643478382668523</v>
      </c>
      <c r="AB687" s="126">
        <f t="shared" si="186"/>
        <v>1038.1260305401211</v>
      </c>
      <c r="AC687" s="126"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0</v>
      </c>
    </row>
    <row r="688" spans="1:29" x14ac:dyDescent="0.2">
      <c r="A688" s="117">
        <v>290</v>
      </c>
      <c r="B688" s="118">
        <v>46285</v>
      </c>
      <c r="C688" s="119" t="s">
        <v>50</v>
      </c>
      <c r="D688" s="119" t="s">
        <v>20</v>
      </c>
      <c r="E688" s="117" t="s">
        <v>378</v>
      </c>
      <c r="F688" s="120">
        <f t="shared" si="170"/>
        <v>2</v>
      </c>
      <c r="G688" s="121" t="str">
        <f t="shared" si="171"/>
        <v>Shawn</v>
      </c>
      <c r="H688" s="122">
        <f>IF($D688="",0,IFERROR(LOOKUP(2,1/(($D$3:D687=$D688)*($A$3:A687&lt;$A688)),$N$3:N687),'Guide &amp; Settings'!$C$41))</f>
        <v>1205.1628594735989</v>
      </c>
      <c r="I688" s="123">
        <f t="shared" si="172"/>
        <v>0.51612903225806461</v>
      </c>
      <c r="J688" s="124">
        <f>IF($D688="",0,IF($F688&lt;2,0,IF($E688="Win",('Guide &amp; Settings'!$C$42/(($F688-1)*COUNTIFS($A$4:$A$810,$A688,$E$4:$E$810,"Win")))*SUMIFS($X$4:$X$810,$A$4:$A$810,$A688,$E$4:$E$810,"Loss"),-('Guide &amp; Settings'!$C$42/($F688-1))*$X688)))</f>
        <v>17.126436761323703</v>
      </c>
      <c r="K688" s="124">
        <f>IF($D688="",0,'Guide &amp; Settings'!$C$43*(IF($E688="Win",1,0)-$I688))</f>
        <v>5.8064516129032242</v>
      </c>
      <c r="L688" s="125">
        <f>IF($D688="",0,'Guide &amp; Settings'!$C$44*IF($F688&gt;=3,$F688,0))</f>
        <v>0</v>
      </c>
      <c r="M688" s="124">
        <f t="shared" si="173"/>
        <v>22.932888374226927</v>
      </c>
      <c r="N688" s="122">
        <f t="shared" si="174"/>
        <v>1228.0957478478258</v>
      </c>
      <c r="O688" s="121" t="str">
        <f t="shared" si="175"/>
        <v>OK</v>
      </c>
      <c r="P688">
        <f t="shared" si="176"/>
        <v>1205.1628594735989</v>
      </c>
      <c r="Q688">
        <f t="shared" si="177"/>
        <v>0.5</v>
      </c>
      <c r="R688">
        <f t="shared" si="178"/>
        <v>0.53333333333333333</v>
      </c>
      <c r="S688">
        <f t="shared" si="179"/>
        <v>1.0333333333333332</v>
      </c>
      <c r="T688" s="89">
        <f t="shared" si="180"/>
        <v>28</v>
      </c>
      <c r="U688" s="126">
        <f>IF($D688="",0,IFERROR(LOOKUP(2,1/(($D$3:D687=$D688)*($C$3:C687=$C688)*($A$3:A687&lt;$A688)),$AB$3:AB687),1000))</f>
        <v>998.83608007364171</v>
      </c>
      <c r="V688" s="126">
        <f t="shared" si="181"/>
        <v>1030.0977133160595</v>
      </c>
      <c r="W688">
        <f t="shared" si="182"/>
        <v>1030.0977133160595</v>
      </c>
      <c r="X688">
        <f t="shared" si="183"/>
        <v>0.5</v>
      </c>
      <c r="Y688">
        <f t="shared" si="184"/>
        <v>998.83608007364171</v>
      </c>
      <c r="Z688">
        <f t="shared" si="185"/>
        <v>0.5</v>
      </c>
      <c r="AA688">
        <f>IF($D688="",0,IF($F688&lt;2,0,IF($E688="Win",('Guide &amp; Settings'!$C$42/(($F688-1)*COUNTIFS($A$4:$A$810,$A688,$E$4:$E$810,"Win")))*SUMIFS($Z$4:$Z$810,$A$4:$A$810,$A688,$E$4:$E$810,"Loss"),-('Guide &amp; Settings'!$C$42/($F688-1))*$Z688)))</f>
        <v>18.643478382668523</v>
      </c>
      <c r="AB688" s="126">
        <f t="shared" si="186"/>
        <v>1017.4795584563102</v>
      </c>
      <c r="AC688" s="126"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0</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380</v>
      </c>
    </row>
    <row r="2" spans="1:18" ht="15" customHeight="1" x14ac:dyDescent="0.2">
      <c r="A2" s="158" t="s">
        <v>381</v>
      </c>
      <c r="B2" s="142"/>
      <c r="C2" s="142"/>
      <c r="D2" s="142"/>
      <c r="E2" s="142"/>
      <c r="F2" s="142"/>
      <c r="G2" s="142"/>
      <c r="H2" s="142"/>
      <c r="I2" s="142"/>
      <c r="J2" s="142"/>
      <c r="K2" s="142"/>
      <c r="L2" s="142"/>
      <c r="M2" s="142"/>
      <c r="N2" s="142"/>
      <c r="O2" s="142"/>
      <c r="P2" s="142"/>
      <c r="Q2" s="142"/>
      <c r="R2" s="142"/>
    </row>
    <row r="3" spans="1:18" ht="15" customHeight="1" x14ac:dyDescent="0.2">
      <c r="A3" s="43" t="s">
        <v>382</v>
      </c>
      <c r="B3" s="127">
        <f>COUNTA($B$6:$O$6)</f>
        <v>14</v>
      </c>
      <c r="C3" s="43" t="s">
        <v>383</v>
      </c>
      <c r="D3" s="127">
        <f>INT($B$3/2)+1</f>
        <v>8</v>
      </c>
      <c r="E3" s="43" t="s">
        <v>384</v>
      </c>
      <c r="F3" s="127">
        <f>ROUNDUP($B$3/2,0)</f>
        <v>7</v>
      </c>
      <c r="H3" s="158" t="s">
        <v>385</v>
      </c>
      <c r="I3" s="142"/>
      <c r="J3" s="142"/>
      <c r="K3" s="142"/>
      <c r="L3" s="142"/>
      <c r="M3" s="142"/>
      <c r="N3" s="142"/>
      <c r="O3" s="142"/>
      <c r="P3" s="142"/>
      <c r="Q3" s="142"/>
      <c r="R3" s="142"/>
    </row>
    <row r="5" spans="1:18" ht="15" customHeight="1" x14ac:dyDescent="0.2">
      <c r="A5" s="156" t="s">
        <v>386</v>
      </c>
      <c r="B5" s="142"/>
      <c r="C5" s="142"/>
      <c r="D5" s="142"/>
      <c r="E5" s="142"/>
      <c r="F5" s="142"/>
      <c r="G5" s="142"/>
      <c r="H5" s="142"/>
      <c r="I5" s="142"/>
      <c r="J5" s="142"/>
      <c r="K5" s="142"/>
      <c r="L5" s="142"/>
      <c r="M5" s="142"/>
      <c r="N5" s="142"/>
      <c r="O5" s="142"/>
      <c r="P5" s="142"/>
      <c r="Q5" s="142"/>
      <c r="R5" s="142"/>
    </row>
    <row r="6" spans="1:18" ht="91.5" customHeight="1" x14ac:dyDescent="0.2">
      <c r="A6" s="80" t="s">
        <v>387</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388</v>
      </c>
      <c r="Q6" s="80" t="s">
        <v>389</v>
      </c>
      <c r="R6" s="80" t="s">
        <v>390</v>
      </c>
    </row>
    <row r="7" spans="1:18" ht="15" customHeight="1" x14ac:dyDescent="0.2">
      <c r="A7" s="128" t="s">
        <v>391</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392</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393</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394</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395</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396</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397</v>
      </c>
      <c r="Q30" s="80" t="s">
        <v>389</v>
      </c>
      <c r="R30" s="80" t="s">
        <v>390</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398</v>
      </c>
      <c r="B1" s="142"/>
      <c r="C1" s="142"/>
    </row>
    <row r="2" spans="1:20" ht="40.5" customHeight="1" x14ac:dyDescent="0.2">
      <c r="A2" s="164" t="s">
        <v>399</v>
      </c>
      <c r="B2" s="142"/>
      <c r="C2" s="142"/>
      <c r="D2" s="142"/>
      <c r="E2" s="142"/>
      <c r="F2" s="142"/>
      <c r="G2" s="142"/>
      <c r="H2" s="142"/>
      <c r="I2" s="142"/>
      <c r="J2" s="142"/>
      <c r="K2" s="142"/>
      <c r="L2" s="132"/>
      <c r="M2" s="132"/>
      <c r="N2" s="132"/>
      <c r="O2" s="132"/>
      <c r="P2" s="132"/>
      <c r="Q2" s="132"/>
      <c r="R2" s="132"/>
      <c r="S2" s="132"/>
      <c r="T2" s="132"/>
    </row>
    <row r="3" spans="1:20" x14ac:dyDescent="0.2">
      <c r="A3" s="133" t="s">
        <v>400</v>
      </c>
      <c r="D3" s="163" t="s">
        <v>401</v>
      </c>
      <c r="E3" s="142"/>
      <c r="F3" s="142"/>
      <c r="G3" s="142"/>
      <c r="H3" s="142"/>
      <c r="I3" s="142"/>
      <c r="J3" s="142"/>
      <c r="K3" s="142"/>
    </row>
    <row r="4" spans="1:20" x14ac:dyDescent="0.2">
      <c r="A4" s="133" t="s">
        <v>402</v>
      </c>
      <c r="B4">
        <v>15</v>
      </c>
      <c r="D4" s="134" t="s">
        <v>403</v>
      </c>
      <c r="E4" s="134">
        <v>4</v>
      </c>
      <c r="F4" s="134">
        <v>5</v>
      </c>
      <c r="G4" s="134">
        <v>6</v>
      </c>
      <c r="H4" s="134">
        <v>7</v>
      </c>
      <c r="I4" s="134">
        <v>8</v>
      </c>
      <c r="J4" s="134">
        <v>9</v>
      </c>
      <c r="K4" s="134">
        <v>10</v>
      </c>
    </row>
    <row r="5" spans="1:20" x14ac:dyDescent="0.2">
      <c r="A5" s="133" t="s">
        <v>404</v>
      </c>
      <c r="B5">
        <v>1</v>
      </c>
      <c r="D5" s="134">
        <v>1</v>
      </c>
      <c r="E5">
        <v>38</v>
      </c>
      <c r="F5">
        <v>35</v>
      </c>
      <c r="G5">
        <v>32</v>
      </c>
      <c r="H5">
        <v>30</v>
      </c>
      <c r="I5">
        <v>29</v>
      </c>
      <c r="J5">
        <v>28</v>
      </c>
      <c r="K5">
        <v>26</v>
      </c>
    </row>
    <row r="6" spans="1:20" x14ac:dyDescent="0.2">
      <c r="A6" s="133" t="s">
        <v>405</v>
      </c>
      <c r="B6">
        <v>4</v>
      </c>
      <c r="D6" s="134">
        <v>2</v>
      </c>
      <c r="E6">
        <v>27</v>
      </c>
      <c r="F6">
        <v>25</v>
      </c>
      <c r="G6">
        <v>23</v>
      </c>
      <c r="H6">
        <v>22</v>
      </c>
      <c r="I6">
        <v>21</v>
      </c>
      <c r="J6">
        <v>20</v>
      </c>
      <c r="K6">
        <v>19</v>
      </c>
    </row>
    <row r="7" spans="1:20" x14ac:dyDescent="0.2">
      <c r="A7" s="133" t="s">
        <v>406</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407</v>
      </c>
      <c r="N16" s="133" t="s">
        <v>408</v>
      </c>
    </row>
    <row r="17" spans="1:15" x14ac:dyDescent="0.2">
      <c r="A17" s="135" t="s">
        <v>409</v>
      </c>
      <c r="B17" s="135" t="s">
        <v>326</v>
      </c>
      <c r="C17" s="135" t="s">
        <v>5</v>
      </c>
      <c r="D17" s="135" t="s">
        <v>410</v>
      </c>
      <c r="E17" s="135" t="s">
        <v>411</v>
      </c>
      <c r="F17" s="135" t="s">
        <v>412</v>
      </c>
      <c r="G17" s="135" t="s">
        <v>413</v>
      </c>
      <c r="H17" s="135" t="s">
        <v>414</v>
      </c>
      <c r="I17" s="135" t="s">
        <v>415</v>
      </c>
      <c r="J17" s="135" t="s">
        <v>416</v>
      </c>
      <c r="K17" s="135" t="s">
        <v>417</v>
      </c>
      <c r="L17" s="135" t="s">
        <v>363</v>
      </c>
      <c r="N17" s="135" t="s">
        <v>311</v>
      </c>
      <c r="O17" s="135" t="s">
        <v>418</v>
      </c>
    </row>
    <row r="18" spans="1:15" x14ac:dyDescent="0.2">
      <c r="A18" t="s">
        <v>419</v>
      </c>
      <c r="B18" s="118">
        <v>46229</v>
      </c>
      <c r="C18" t="s">
        <v>20</v>
      </c>
      <c r="D18">
        <v>2</v>
      </c>
      <c r="E18" t="s">
        <v>420</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419</v>
      </c>
      <c r="B19" s="118">
        <v>46229</v>
      </c>
      <c r="C19" t="s">
        <v>15</v>
      </c>
      <c r="D19">
        <v>3</v>
      </c>
      <c r="E19" t="s">
        <v>420</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419</v>
      </c>
      <c r="B20" s="118">
        <v>46229</v>
      </c>
      <c r="C20" t="s">
        <v>22</v>
      </c>
      <c r="D20">
        <v>4</v>
      </c>
      <c r="E20" t="s">
        <v>421</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419</v>
      </c>
      <c r="B21" s="118">
        <v>46229</v>
      </c>
      <c r="C21" t="s">
        <v>21</v>
      </c>
      <c r="D21">
        <v>5</v>
      </c>
      <c r="E21" t="s">
        <v>421</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419</v>
      </c>
      <c r="B22" s="118">
        <v>46229</v>
      </c>
      <c r="C22" t="s">
        <v>19</v>
      </c>
      <c r="D22">
        <v>1</v>
      </c>
      <c r="E22" t="s">
        <v>421</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422</v>
      </c>
    </row>
    <row r="3" spans="1:35" ht="15" customHeight="1" x14ac:dyDescent="0.2">
      <c r="A3" t="s">
        <v>423</v>
      </c>
      <c r="B3" s="137">
        <f>MAX('Match Log'!$B$4:$B$810)-7</f>
        <v>46278</v>
      </c>
    </row>
    <row r="4" spans="1:35" ht="15" customHeight="1" x14ac:dyDescent="0.2">
      <c r="A4" t="s">
        <v>424</v>
      </c>
      <c r="B4" s="138">
        <f>MAX('Match Log'!$B$4:$B$810)</f>
        <v>46285</v>
      </c>
      <c r="C4" t="s">
        <v>425</v>
      </c>
      <c r="D4" s="138">
        <f ca="1">MAX($B$4,TODAY())</f>
        <v>46285</v>
      </c>
    </row>
    <row r="5" spans="1:35" x14ac:dyDescent="0.2">
      <c r="B5" s="137">
        <f ca="1">TODAY()-7</f>
        <v>46278</v>
      </c>
    </row>
    <row r="6" spans="1:35" ht="15" customHeight="1" x14ac:dyDescent="0.2">
      <c r="A6" t="s">
        <v>5</v>
      </c>
      <c r="B6" t="s">
        <v>6</v>
      </c>
      <c r="C6" t="s">
        <v>269</v>
      </c>
      <c r="D6" t="s">
        <v>14</v>
      </c>
      <c r="E6" t="s">
        <v>426</v>
      </c>
      <c r="F6" t="s">
        <v>427</v>
      </c>
      <c r="G6" t="s">
        <v>428</v>
      </c>
      <c r="H6" t="s">
        <v>152</v>
      </c>
      <c r="I6" t="s">
        <v>429</v>
      </c>
      <c r="J6" t="s">
        <v>430</v>
      </c>
      <c r="K6" t="s">
        <v>431</v>
      </c>
      <c r="L6" t="s">
        <v>272</v>
      </c>
      <c r="P6" t="s">
        <v>432</v>
      </c>
      <c r="Q6" t="s">
        <v>433</v>
      </c>
      <c r="R6" t="s">
        <v>434</v>
      </c>
      <c r="S6" t="s">
        <v>435</v>
      </c>
      <c r="T6" t="s">
        <v>160</v>
      </c>
      <c r="U6" t="s">
        <v>436</v>
      </c>
      <c r="V6" t="s">
        <v>437</v>
      </c>
      <c r="W6" t="s">
        <v>438</v>
      </c>
      <c r="X6" t="s">
        <v>439</v>
      </c>
      <c r="Y6" t="s">
        <v>440</v>
      </c>
      <c r="Z6" t="s">
        <v>441</v>
      </c>
      <c r="AA6" t="s">
        <v>442</v>
      </c>
      <c r="AB6" t="s">
        <v>443</v>
      </c>
      <c r="AC6" t="s">
        <v>444</v>
      </c>
      <c r="AD6" t="s">
        <v>445</v>
      </c>
      <c r="AE6" t="s">
        <v>446</v>
      </c>
      <c r="AF6" t="s">
        <v>162</v>
      </c>
    </row>
    <row r="7" spans="1:35" ht="15" customHeight="1" x14ac:dyDescent="0.2">
      <c r="A7" t="s">
        <v>15</v>
      </c>
      <c r="B7">
        <f>IFERROR(INDEX(Engine!$B$2:$B$15,MATCH($A7,Engine!$A$2:$A$15,0)),1000)</f>
        <v>1265.5221853966827</v>
      </c>
      <c r="C7">
        <f>IFERROR(INDEX(Engine!$C$2:$C$15,MATCH($A7,Engine!$A$2:$A$15,0)),"")</f>
        <v>1121.8476943940032</v>
      </c>
      <c r="D7">
        <f t="shared" ref="D7:D20" si="0">RANK($B7,$B$7:$B$20)</f>
        <v>1</v>
      </c>
      <c r="E7">
        <f t="shared" ref="E7:E20" si="1">MAX($B$7:$B$20)-$B7</f>
        <v>0</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1265.5221853966827</v>
      </c>
      <c r="K7">
        <f t="shared" ref="K7:K20" si="3">RANK($J7,$J$7:$J$20)</f>
        <v>2</v>
      </c>
      <c r="L7">
        <f t="shared" ref="L7:L20" si="4">$K7-$D7</f>
        <v>1</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4.1428571428571432</v>
      </c>
      <c r="R7">
        <f ca="1">IF($P7=0,0,IF($Q7&gt;='Guide &amp; Settings'!$C$48,(INT($Q7-'Guide &amp; Settings'!$C$48)+1)*'Guide &amp; Settings'!$C$49,0))</f>
        <v>10</v>
      </c>
      <c r="S7">
        <f ca="1">$B7-$R7-$U7+SUMIF('Poker Stake Ledger'!$C$18:$C$137,$A7,'Poker Stake Ledger'!$K$18:$K$137)</f>
        <v>1244.4221853966828</v>
      </c>
      <c r="T7" t="str">
        <f ca="1">IF($P7=0,"No games",IF($Q7&gt;='Guide &amp; Settings'!$C$48,"Inactive",IF($Q7&gt;='Guide &amp; Settings'!$C$47,"At risk","Active")))</f>
        <v>Inactive</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80.461923598500789</v>
      </c>
      <c r="AB7">
        <f t="shared" ref="AB7:AB20" ca="1" si="13">0.35*$W7+0.2*$X7+0.2*$Y7+0.15*$Z7+0.1*$AA7</f>
        <v>85.046192359850082</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5">IF(ISNUMBER($S7),$S7,-1000000)+ROW()/10000000</f>
        <v>1244.4221860966829</v>
      </c>
    </row>
    <row r="8" spans="1:35" ht="15" customHeight="1" x14ac:dyDescent="0.2">
      <c r="A8" t="s">
        <v>16</v>
      </c>
      <c r="B8">
        <f>IFERROR(INDEX(Engine!$B$2:$B$15,MATCH($A8,Engine!$A$2:$A$15,0)),1000)</f>
        <v>1029.5175965335138</v>
      </c>
      <c r="C8">
        <f>IFERROR(INDEX(Engine!$C$2:$C$15,MATCH($A8,Engine!$A$2:$A$15,0)),"")</f>
        <v>1086.6848675170754</v>
      </c>
      <c r="D8">
        <f t="shared" si="0"/>
        <v>8</v>
      </c>
      <c r="E8">
        <f t="shared" si="1"/>
        <v>236.00458886316892</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8</v>
      </c>
      <c r="L8">
        <f t="shared" si="4"/>
        <v>0</v>
      </c>
      <c r="M8">
        <f t="shared" si="5"/>
        <v>0</v>
      </c>
      <c r="N8">
        <f t="shared" si="6"/>
        <v>2</v>
      </c>
      <c r="O8">
        <f t="shared" si="7"/>
        <v>0</v>
      </c>
      <c r="P8">
        <f>IFERROR(SUMPRODUCT(MAX(('Match Log'!$D$4:$D$810=$A8)*'Match Log'!$B$4:$B$810)),0)</f>
        <v>46188</v>
      </c>
      <c r="Q8">
        <f t="shared" ca="1" si="8"/>
        <v>13.857142857142858</v>
      </c>
      <c r="R8">
        <f ca="1">IF($P8=0,0,IF($Q8&gt;='Guide &amp; Settings'!$C$48,(INT($Q8-'Guide &amp; Settings'!$C$48)+1)*'Guide &amp; Settings'!$C$49,0))</f>
        <v>100</v>
      </c>
      <c r="S8">
        <f ca="1">$B8-$R8-$U8+SUMIF('Poker Stake Ledger'!$C$18:$C$137,$A8,'Poker Stake Ledger'!$K$18:$K$137)</f>
        <v>929.51759653351382</v>
      </c>
      <c r="T8" t="str">
        <f ca="1">IF($P8=0,"No games",IF($Q8&gt;='Guide &amp; Settings'!$C$48,"Inactive",IF($Q8&gt;='Guide &amp; Settings'!$C$47,"At risk","Active")))</f>
        <v>Inactive</v>
      </c>
      <c r="U8">
        <f>SUMIF('Match Log'!$D$4:$D$810,$A8,'Match Log'!$AC$4:$AC$810)</f>
        <v>0</v>
      </c>
      <c r="V8">
        <f t="shared" si="9"/>
        <v>2</v>
      </c>
      <c r="W8">
        <f t="shared" ca="1" si="10"/>
        <v>32.379399133378456</v>
      </c>
      <c r="X8">
        <f ca="1">IFERROR(INDEX(Dashboard!$G$5:$G$18,MATCH($A8,Dashboard!$B$5:$B$18,0))*100,0)</f>
        <v>50</v>
      </c>
      <c r="Y8">
        <f ca="1">MIN(100,IFERROR(INDEX(Dashboard!$K$5:$K$18,MATCH($A8,Dashboard!$B$5:$B$18,0)),0)/5*50+$AC8/4*50)</f>
        <v>42.5</v>
      </c>
      <c r="Z8">
        <f t="shared" si="11"/>
        <v>40</v>
      </c>
      <c r="AA8">
        <f t="shared" si="12"/>
        <v>71.671216879268854</v>
      </c>
      <c r="AB8">
        <f t="shared" ca="1" si="13"/>
        <v>42.999911384609348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Developing</v>
      </c>
      <c r="AG8">
        <f ca="1">COUNTIFS('Match Log'!$D$4:$D$810,$A8,'Match Log'!$B$4:$B$810,"&gt;="&amp;$B$5)</f>
        <v>0</v>
      </c>
      <c r="AH8">
        <f ca="1">COUNTIFS('Match Log'!$D$4:$D$810,$A8,'Match Log'!$B$4:$B$810,"&gt;="&amp;$B$5,'Match Log'!$E$4:$E$810,"Win")</f>
        <v>0</v>
      </c>
      <c r="AI8">
        <f t="shared" ca="1" si="15"/>
        <v>929.51759733351378</v>
      </c>
    </row>
    <row r="9" spans="1:35" ht="15" customHeight="1" x14ac:dyDescent="0.2">
      <c r="A9" t="s">
        <v>17</v>
      </c>
      <c r="B9">
        <f>IFERROR(INDEX(Engine!$B$2:$B$15,MATCH($A9,Engine!$A$2:$A$15,0)),1000)</f>
        <v>1081.2287215286424</v>
      </c>
      <c r="C9">
        <f>IFERROR(INDEX(Engine!$C$2:$C$15,MATCH($A9,Engine!$A$2:$A$15,0)),"")</f>
        <v>1111.675244572471</v>
      </c>
      <c r="D9">
        <f t="shared" si="0"/>
        <v>7</v>
      </c>
      <c r="E9">
        <f t="shared" si="1"/>
        <v>184.29346386804036</v>
      </c>
      <c r="F9" t="str">
        <f>IFERROR(LOOKUP(2,1/('Match Log'!$D$4:$D$810=$A9),'Match Log'!$E$4:$E$810),"")</f>
        <v>Loss</v>
      </c>
      <c r="G9">
        <f>IF($F9="",0,SUMPRODUCT(('Match Log'!$D$4:$D$810=$A9)*(ROW('Match Log'!$A$4:$A$810)&gt;SUMPRODUCT(MAX(('Match Log'!$D$4:$D$810=$A9)*('Match Log'!$E$4:$E$810&lt;&gt;$F9)*ROW('Match Log'!$A$4:$A$810))))))</f>
        <v>1</v>
      </c>
      <c r="H9" t="str">
        <f t="shared" si="2"/>
        <v>L1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LLWWL</v>
      </c>
      <c r="J9">
        <f>IFERROR(LOOKUP(2,1/(('Match Log'!$D$4:$D$810=$A9)*('Match Log'!$B$4:$B$810&lt;=$B$3)),'Match Log'!$N$4:$N$810),1000)</f>
        <v>1081.2287215286424</v>
      </c>
      <c r="K9">
        <f t="shared" si="3"/>
        <v>7</v>
      </c>
      <c r="L9">
        <f t="shared" si="4"/>
        <v>0</v>
      </c>
      <c r="M9">
        <f t="shared" si="5"/>
        <v>0</v>
      </c>
      <c r="N9">
        <f t="shared" si="6"/>
        <v>2</v>
      </c>
      <c r="O9">
        <f t="shared" si="7"/>
        <v>0</v>
      </c>
      <c r="P9">
        <f>IFERROR(SUMPRODUCT(MAX(('Match Log'!$D$4:$D$810=$A9)*'Match Log'!$B$4:$B$810)),0)</f>
        <v>46274</v>
      </c>
      <c r="Q9">
        <f t="shared" ca="1" si="8"/>
        <v>1.5714285714285714</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Active</v>
      </c>
      <c r="U9">
        <f>SUMIF('Match Log'!$D$4:$D$810,$A9,'Match Log'!$AC$4:$AC$810)</f>
        <v>20</v>
      </c>
      <c r="V9">
        <f t="shared" si="9"/>
        <v>1</v>
      </c>
      <c r="W9">
        <f t="shared" ca="1" si="10"/>
        <v>65.307180382160595</v>
      </c>
      <c r="X9">
        <f ca="1">IFERROR(INDEX(Dashboard!$G$5:$G$18,MATCH($A9,Dashboard!$B$5:$B$18,0))*100,0)</f>
        <v>45</v>
      </c>
      <c r="Y9">
        <f ca="1">MIN(100,IFERROR(INDEX(Dashboard!$K$5:$K$18,MATCH($A9,Dashboard!$B$5:$B$18,0)),0)/5*50+$AC9/4*50)</f>
        <v>100</v>
      </c>
      <c r="Z9">
        <f t="shared" si="11"/>
        <v>40</v>
      </c>
      <c r="AA9">
        <f t="shared" si="12"/>
        <v>77.91881114311775</v>
      </c>
      <c r="AB9">
        <f t="shared" ca="1" si="13"/>
        <v>65.649394248067978</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4"/>
        <v>Strong</v>
      </c>
      <c r="AG9">
        <f ca="1">COUNTIFS('Match Log'!$D$4:$D$810,$A9,'Match Log'!$B$4:$B$810,"&gt;="&amp;$B$5)</f>
        <v>0</v>
      </c>
      <c r="AH9">
        <f ca="1">COUNTIFS('Match Log'!$D$4:$D$810,$A9,'Match Log'!$B$4:$B$810,"&gt;="&amp;$B$5,'Match Log'!$E$4:$E$810,"Win")</f>
        <v>0</v>
      </c>
      <c r="AI9">
        <f t="shared" ca="1" si="15"/>
        <v>1061.2287224286424</v>
      </c>
    </row>
    <row r="10" spans="1:35" ht="15" customHeight="1" x14ac:dyDescent="0.2">
      <c r="A10" t="s">
        <v>18</v>
      </c>
      <c r="B10">
        <f>IFERROR(INDEX(Engine!$B$2:$B$15,MATCH($A10,Engine!$A$2:$A$15,0)),1000)</f>
        <v>907.03133644117429</v>
      </c>
      <c r="C10">
        <f>IFERROR(INDEX(Engine!$C$2:$C$15,MATCH($A10,Engine!$A$2:$A$15,0)),"")</f>
        <v>1153.8726946852455</v>
      </c>
      <c r="D10">
        <f t="shared" si="0"/>
        <v>13</v>
      </c>
      <c r="E10">
        <f t="shared" si="1"/>
        <v>358.49084895550845</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907.03133644117429</v>
      </c>
      <c r="K10">
        <f t="shared" si="3"/>
        <v>13</v>
      </c>
      <c r="L10">
        <f t="shared" si="4"/>
        <v>0</v>
      </c>
      <c r="M10">
        <f t="shared" si="5"/>
        <v>0</v>
      </c>
      <c r="N10">
        <f t="shared" si="6"/>
        <v>0</v>
      </c>
      <c r="O10">
        <f t="shared" si="7"/>
        <v>0</v>
      </c>
      <c r="P10">
        <f>IFERROR(SUMPRODUCT(MAX(('Match Log'!$D$4:$D$810=$A10)*'Match Log'!$B$4:$B$810)),0)</f>
        <v>46256</v>
      </c>
      <c r="Q10">
        <f t="shared" ca="1" si="8"/>
        <v>4.1428571428571432</v>
      </c>
      <c r="R10">
        <f ca="1">IF($P10=0,0,IF($Q10&gt;='Guide &amp; Settings'!$C$48,(INT($Q10-'Guide &amp; Settings'!$C$48)+1)*'Guide &amp; Settings'!$C$49,0))</f>
        <v>10</v>
      </c>
      <c r="S10">
        <f ca="1">$B10-$R10-$U10+SUMIF('Poker Stake Ledger'!$C$18:$C$137,$A10,'Poker Stake Ledger'!$K$18:$K$137)</f>
        <v>877.03133644117429</v>
      </c>
      <c r="T10" t="str">
        <f ca="1">IF($P10=0,"No games",IF($Q10&gt;='Guide &amp; Settings'!$C$48,"Inactive",IF($Q10&gt;='Guide &amp; Settings'!$C$47,"At risk","Active")))</f>
        <v>Inactive</v>
      </c>
      <c r="U10">
        <f>SUMIF('Match Log'!$D$4:$D$810,$A10,'Match Log'!$AC$4:$AC$810)</f>
        <v>20</v>
      </c>
      <c r="V10">
        <f t="shared" si="9"/>
        <v>5</v>
      </c>
      <c r="W10">
        <f t="shared" ca="1" si="10"/>
        <v>19.257834110293572</v>
      </c>
      <c r="X10">
        <f ca="1">IFERROR(INDEX(Dashboard!$G$5:$G$18,MATCH($A10,Dashboard!$B$5:$B$18,0))*100,0)</f>
        <v>21.739130434782609</v>
      </c>
      <c r="Y10">
        <f ca="1">MIN(100,IFERROR(INDEX(Dashboard!$K$5:$K$18,MATCH($A10,Dashboard!$B$5:$B$18,0)),0)/5*50+$AC10/4*50)</f>
        <v>60</v>
      </c>
      <c r="Z10">
        <f t="shared" si="11"/>
        <v>0</v>
      </c>
      <c r="AA10">
        <f t="shared" si="12"/>
        <v>88.468173671311376</v>
      </c>
      <c r="AB10">
        <f t="shared" ca="1" si="13"/>
        <v>31.934885392690411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0</v>
      </c>
      <c r="AH10">
        <f ca="1">COUNTIFS('Match Log'!$D$4:$D$810,$A10,'Match Log'!$B$4:$B$810,"&gt;="&amp;$B$5,'Match Log'!$E$4:$E$810,"Win")</f>
        <v>0</v>
      </c>
      <c r="AI10">
        <f t="shared" ca="1" si="15"/>
        <v>877.03133744117429</v>
      </c>
    </row>
    <row r="11" spans="1:35" ht="15" customHeight="1" x14ac:dyDescent="0.2">
      <c r="A11" t="s">
        <v>19</v>
      </c>
      <c r="B11">
        <f>IFERROR(INDEX(Engine!$B$2:$B$15,MATCH($A11,Engine!$A$2:$A$15,0)),1000)</f>
        <v>1192.3121492095624</v>
      </c>
      <c r="C11">
        <f>IFERROR(INDEX(Engine!$C$2:$C$15,MATCH($A11,Engine!$A$2:$A$15,0)),"")</f>
        <v>1091.4997308483787</v>
      </c>
      <c r="D11">
        <f t="shared" si="0"/>
        <v>5</v>
      </c>
      <c r="E11">
        <f t="shared" si="1"/>
        <v>73.210036187120295</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1192.3121492095624</v>
      </c>
      <c r="K11">
        <f t="shared" si="3"/>
        <v>5</v>
      </c>
      <c r="L11">
        <f t="shared" si="4"/>
        <v>0</v>
      </c>
      <c r="M11">
        <f t="shared" si="5"/>
        <v>2</v>
      </c>
      <c r="N11">
        <f t="shared" si="6"/>
        <v>4</v>
      </c>
      <c r="O11">
        <f t="shared" si="7"/>
        <v>3</v>
      </c>
      <c r="P11">
        <f>IFERROR(SUMPRODUCT(MAX(('Match Log'!$D$4:$D$810=$A11)*'Match Log'!$B$4:$B$810)),0)</f>
        <v>46272</v>
      </c>
      <c r="Q11">
        <f t="shared" ca="1" si="8"/>
        <v>1.8571428571428572</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Active</v>
      </c>
      <c r="U11">
        <f>SUMIF('Match Log'!$D$4:$D$810,$A11,'Match Log'!$AC$4:$AC$810)</f>
        <v>0</v>
      </c>
      <c r="V11">
        <f t="shared" si="9"/>
        <v>0</v>
      </c>
      <c r="W11">
        <f t="shared" ca="1" si="10"/>
        <v>100</v>
      </c>
      <c r="X11">
        <f ca="1">IFERROR(INDEX(Dashboard!$G$5:$G$18,MATCH($A11,Dashboard!$B$5:$B$18,0))*100,0)</f>
        <v>59.677419354838712</v>
      </c>
      <c r="Y11">
        <f ca="1">MIN(100,IFERROR(INDEX(Dashboard!$K$5:$K$18,MATCH($A11,Dashboard!$B$5:$B$18,0)),0)/5*50+$AC11/4*50)</f>
        <v>100</v>
      </c>
      <c r="Z11">
        <f t="shared" si="11"/>
        <v>80</v>
      </c>
      <c r="AA11">
        <f t="shared" si="12"/>
        <v>72.874932712094676</v>
      </c>
      <c r="AB11">
        <f t="shared" ca="1" si="13"/>
        <v>86.222977142177214</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4"/>
        <v>Elite</v>
      </c>
      <c r="AG11">
        <f ca="1">COUNTIFS('Match Log'!$D$4:$D$810,$A11,'Match Log'!$B$4:$B$810,"&gt;="&amp;$B$5)</f>
        <v>0</v>
      </c>
      <c r="AH11">
        <f ca="1">COUNTIFS('Match Log'!$D$4:$D$810,$A11,'Match Log'!$B$4:$B$810,"&gt;="&amp;$B$5,'Match Log'!$E$4:$E$810,"Win")</f>
        <v>0</v>
      </c>
      <c r="AI11">
        <f t="shared" ca="1" si="15"/>
        <v>1214.0621503095624</v>
      </c>
    </row>
    <row r="12" spans="1:35" ht="15" customHeight="1" x14ac:dyDescent="0.2">
      <c r="A12" t="s">
        <v>20</v>
      </c>
      <c r="B12">
        <f>IFERROR(INDEX(Engine!$B$2:$B$15,MATCH($A12,Engine!$A$2:$A$15,0)),1000)</f>
        <v>1228.0957478478258</v>
      </c>
      <c r="C12">
        <f>IFERROR(INDEX(Engine!$C$2:$C$15,MATCH($A12,Engine!$A$2:$A$15,0)),"")</f>
        <v>1103.603244535147</v>
      </c>
      <c r="D12">
        <f t="shared" si="0"/>
        <v>3</v>
      </c>
      <c r="E12">
        <f t="shared" si="1"/>
        <v>37.426437548856939</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WLLLW</v>
      </c>
      <c r="J12">
        <f>IFERROR(LOOKUP(2,1/(('Match Log'!$D$4:$D$810=$A12)*('Match Log'!$B$4:$B$810&lt;=$B$3)),'Match Log'!$N$4:$N$810),1000)</f>
        <v>1279.7414052236397</v>
      </c>
      <c r="K12">
        <f t="shared" si="3"/>
        <v>1</v>
      </c>
      <c r="L12">
        <f t="shared" si="4"/>
        <v>-2</v>
      </c>
      <c r="M12">
        <f t="shared" si="5"/>
        <v>6</v>
      </c>
      <c r="N12">
        <f t="shared" si="6"/>
        <v>2</v>
      </c>
      <c r="O12">
        <f t="shared" si="7"/>
        <v>1</v>
      </c>
      <c r="P12">
        <f>IFERROR(SUMPRODUCT(MAX(('Match Log'!$D$4:$D$810=$A12)*'Match Log'!$B$4:$B$810)),0)</f>
        <v>46285</v>
      </c>
      <c r="Q12">
        <f t="shared" ca="1" si="8"/>
        <v>0</v>
      </c>
      <c r="R12">
        <f ca="1">IF($P12=0,0,IF($Q12&gt;='Guide &amp; Settings'!$C$48,(INT($Q12-'Guide &amp; Settings'!$C$48)+1)*'Guide &amp; Settings'!$C$49,0))</f>
        <v>0</v>
      </c>
      <c r="S12">
        <f ca="1">$B12-$R12-$U12+SUMIF('Poker Stake Ledger'!$C$18:$C$137,$A12,'Poker Stake Ledger'!$K$18:$K$137)</f>
        <v>1224.3457478478258</v>
      </c>
      <c r="T12" t="str">
        <f ca="1">IF($P12=0,"No games",IF($Q12&gt;='Guide &amp; Settings'!$C$48,"Inactive",IF($Q12&gt;='Guide &amp; Settings'!$C$47,"At risk","Active")))</f>
        <v>Active</v>
      </c>
      <c r="U12">
        <f>SUMIF('Match Log'!$D$4:$D$810,$A12,'Match Log'!$AC$4:$AC$810)</f>
        <v>0</v>
      </c>
      <c r="V12">
        <f t="shared" si="9"/>
        <v>0</v>
      </c>
      <c r="W12">
        <f t="shared" ca="1" si="10"/>
        <v>100</v>
      </c>
      <c r="X12">
        <f ca="1">IFERROR(INDEX(Dashboard!$G$5:$G$18,MATCH($A12,Dashboard!$B$5:$B$18,0))*100,0)</f>
        <v>48.299319727891152</v>
      </c>
      <c r="Y12">
        <f ca="1">MIN(100,IFERROR(INDEX(Dashboard!$K$5:$K$18,MATCH($A12,Dashboard!$B$5:$B$18,0)),0)/5*50+$AC12/4*50)</f>
        <v>100</v>
      </c>
      <c r="Z12">
        <f t="shared" si="11"/>
        <v>40</v>
      </c>
      <c r="AA12">
        <f t="shared" si="12"/>
        <v>75.90081113378676</v>
      </c>
      <c r="AB12">
        <f t="shared" ca="1" si="13"/>
        <v>78.249945058956897</v>
      </c>
      <c r="AC12">
        <f>IFERROR(SUMPRODUCT((INDEX('Sport Records'!$B$8:$O$32,0,MATCH($A12,'Sport Records'!$B$7:$O$7,0))&gt;=2)*(INDEX('Sport Records'!$B$62:$O$86,0,MATCH($A12,'Sport Records'!$B$61:$O$61,0))&gt;=0.5)),0)</f>
        <v>6</v>
      </c>
      <c r="AD12">
        <f ca="1">IFERROR(INDEX(Dashboard!$D$5:$D$18,MATCH($A12,Dashboard!$B$5:$B$18,0)),0)</f>
        <v>147</v>
      </c>
      <c r="AE12">
        <f ca="1">IFERROR(INDEX(Dashboard!$K$5:$K$18,MATCH($A12,Dashboard!$B$5:$B$18,0)),0)</f>
        <v>19</v>
      </c>
      <c r="AF12" t="str">
        <f t="shared" ca="1" si="14"/>
        <v>Elite</v>
      </c>
      <c r="AG12">
        <f ca="1">COUNTIFS('Match Log'!$D$4:$D$810,$A12,'Match Log'!$B$4:$B$810,"&gt;="&amp;$B$5)</f>
        <v>4</v>
      </c>
      <c r="AH12">
        <f ca="1">COUNTIFS('Match Log'!$D$4:$D$810,$A12,'Match Log'!$B$4:$B$810,"&gt;="&amp;$B$5,'Match Log'!$E$4:$E$810,"Win")</f>
        <v>1</v>
      </c>
      <c r="AI12">
        <f t="shared" ca="1" si="15"/>
        <v>1224.3457490478258</v>
      </c>
    </row>
    <row r="13" spans="1:35" ht="15" customHeight="1" x14ac:dyDescent="0.2">
      <c r="A13" t="s">
        <v>21</v>
      </c>
      <c r="B13">
        <f>IFERROR(INDEX(Engine!$B$2:$B$15,MATCH($A13,Engine!$A$2:$A$15,0)),1000)</f>
        <v>1215.996181687143</v>
      </c>
      <c r="C13">
        <f>IFERROR(INDEX(Engine!$C$2:$C$15,MATCH($A13,Engine!$A$2:$A$15,0)),"")</f>
        <v>1076.6213057146342</v>
      </c>
      <c r="D13">
        <f t="shared" si="0"/>
        <v>4</v>
      </c>
      <c r="E13">
        <f t="shared" si="1"/>
        <v>49.526003709539737</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IFERROR(LOOKUP(2,1/(('Match Log'!$D$4:$D$810=$A13)*('Match Log'!$B$4:$B$810&lt;=$B$3)),'Match Log'!$N$4:$N$810),1000)</f>
        <v>1215.996181687143</v>
      </c>
      <c r="K13">
        <f t="shared" si="3"/>
        <v>4</v>
      </c>
      <c r="L13">
        <f t="shared" si="4"/>
        <v>0</v>
      </c>
      <c r="M13">
        <f t="shared" si="5"/>
        <v>2</v>
      </c>
      <c r="N13">
        <f t="shared" si="6"/>
        <v>5</v>
      </c>
      <c r="O13">
        <f t="shared" si="7"/>
        <v>5</v>
      </c>
      <c r="P13">
        <f>IFERROR(SUMPRODUCT(MAX(('Match Log'!$D$4:$D$810=$A13)*'Match Log'!$B$4:$B$810)),0)</f>
        <v>46271</v>
      </c>
      <c r="Q13">
        <f t="shared" ca="1" si="8"/>
        <v>2</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Log'!$D$4:$D$810,$A13,'Match Log'!$AC$4:$AC$810)</f>
        <v>0</v>
      </c>
      <c r="V13">
        <f t="shared" si="9"/>
        <v>0</v>
      </c>
      <c r="W13">
        <f t="shared" ca="1" si="10"/>
        <v>100</v>
      </c>
      <c r="X13">
        <f ca="1">IFERROR(INDEX(Dashboard!$G$5:$G$18,MATCH($A13,Dashboard!$B$5:$B$18,0))*100,0)</f>
        <v>52.5</v>
      </c>
      <c r="Y13">
        <f ca="1">MIN(100,IFERROR(INDEX(Dashboard!$K$5:$K$18,MATCH($A13,Dashboard!$B$5:$B$18,0)),0)/5*50+$AC13/4*50)</f>
        <v>100</v>
      </c>
      <c r="Z13">
        <f t="shared" si="11"/>
        <v>100</v>
      </c>
      <c r="AA13">
        <f t="shared" si="12"/>
        <v>69.155326428658555</v>
      </c>
      <c r="AB13">
        <f t="shared" ca="1" si="13"/>
        <v>87.415532642865855</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4"/>
        <v>Elite</v>
      </c>
      <c r="AG13">
        <f ca="1">COUNTIFS('Match Log'!$D$4:$D$810,$A13,'Match Log'!$B$4:$B$810,"&gt;="&amp;$B$5)</f>
        <v>0</v>
      </c>
      <c r="AH13">
        <f ca="1">COUNTIFS('Match Log'!$D$4:$D$810,$A13,'Match Log'!$B$4:$B$810,"&gt;="&amp;$B$5,'Match Log'!$E$4:$E$810,"Win")</f>
        <v>0</v>
      </c>
      <c r="AI13">
        <f t="shared" ca="1" si="15"/>
        <v>1210.4461829871429</v>
      </c>
    </row>
    <row r="14" spans="1:35" ht="15" customHeight="1" x14ac:dyDescent="0.2">
      <c r="A14" t="s">
        <v>22</v>
      </c>
      <c r="B14">
        <f>IFERROR(INDEX(Engine!$B$2:$B$15,MATCH($A14,Engine!$A$2:$A$15,0)),1000)</f>
        <v>1022.9816244606566</v>
      </c>
      <c r="C14">
        <f>IFERROR(INDEX(Engine!$C$2:$C$15,MATCH($A14,Engine!$A$2:$A$15,0)),"")</f>
        <v>1171.4111581521208</v>
      </c>
      <c r="D14">
        <f t="shared" si="0"/>
        <v>10</v>
      </c>
      <c r="E14">
        <f t="shared" si="1"/>
        <v>242.54056093602617</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LWWWL</v>
      </c>
      <c r="J14">
        <f>IFERROR(LOOKUP(2,1/(('Match Log'!$D$4:$D$810=$A14)*('Match Log'!$B$4:$B$810&lt;=$B$3)),'Match Log'!$N$4:$N$810),1000)</f>
        <v>971.33596708484288</v>
      </c>
      <c r="K14">
        <f t="shared" si="3"/>
        <v>11</v>
      </c>
      <c r="L14">
        <f t="shared" si="4"/>
        <v>1</v>
      </c>
      <c r="M14">
        <f t="shared" si="5"/>
        <v>10</v>
      </c>
      <c r="N14">
        <f t="shared" si="6"/>
        <v>3</v>
      </c>
      <c r="O14">
        <f t="shared" si="7"/>
        <v>0</v>
      </c>
      <c r="P14">
        <f>IFERROR(SUMPRODUCT(MAX(('Match Log'!$D$4:$D$810=$A14)*'Match Log'!$B$4:$B$810)),0)</f>
        <v>46285</v>
      </c>
      <c r="Q14">
        <f t="shared" ca="1" si="8"/>
        <v>0</v>
      </c>
      <c r="R14">
        <f ca="1">IF($P14=0,0,IF($Q14&gt;='Guide &amp; Settings'!$C$48,(INT($Q14-'Guide &amp; Settings'!$C$48)+1)*'Guide &amp; Settings'!$C$49,0))</f>
        <v>0</v>
      </c>
      <c r="S14">
        <f ca="1">$B14-$R14-$U14+SUMIF('Poker Stake Ledger'!$C$18:$C$137,$A14,'Poker Stake Ledger'!$K$18:$K$137)</f>
        <v>1021.6316244606566</v>
      </c>
      <c r="T14" t="str">
        <f ca="1">IF($P14=0,"No games",IF($Q14&gt;='Guide &amp; Settings'!$C$48,"Inactive",IF($Q14&gt;='Guide &amp; Settings'!$C$47,"At risk","Active")))</f>
        <v>Active</v>
      </c>
      <c r="U14">
        <f>SUMIF('Match Log'!$D$4:$D$810,$A14,'Match Log'!$AC$4:$AC$810)</f>
        <v>0</v>
      </c>
      <c r="V14">
        <f t="shared" si="9"/>
        <v>1</v>
      </c>
      <c r="W14">
        <f t="shared" ca="1" si="10"/>
        <v>55.407906115164138</v>
      </c>
      <c r="X14">
        <f ca="1">IFERROR(INDEX(Dashboard!$G$5:$G$18,MATCH($A14,Dashboard!$B$5:$B$18,0))*100,0)</f>
        <v>38.345864661654133</v>
      </c>
      <c r="Y14">
        <f ca="1">MIN(100,IFERROR(INDEX(Dashboard!$K$5:$K$18,MATCH($A14,Dashboard!$B$5:$B$18,0)),0)/5*50+$AC14/4*50)</f>
        <v>100</v>
      </c>
      <c r="Z14">
        <f t="shared" si="11"/>
        <v>60</v>
      </c>
      <c r="AA14">
        <f t="shared" si="12"/>
        <v>92.852789538030208</v>
      </c>
      <c r="AB14">
        <f t="shared" ca="1" si="13"/>
        <v>65.347219026441294</v>
      </c>
      <c r="AC14">
        <f>IFERROR(SUMPRODUCT((INDEX('Sport Records'!$B$8:$O$32,0,MATCH($A14,'Sport Records'!$B$7:$O$7,0))&gt;=2)*(INDEX('Sport Records'!$B$62:$O$86,0,MATCH($A14,'Sport Records'!$B$61:$O$61,0))&gt;=0.5)),0)</f>
        <v>5</v>
      </c>
      <c r="AD14">
        <f ca="1">IFERROR(INDEX(Dashboard!$D$5:$D$18,MATCH($A14,Dashboard!$B$5:$B$18,0)),0)</f>
        <v>133</v>
      </c>
      <c r="AE14">
        <f ca="1">IFERROR(INDEX(Dashboard!$K$5:$K$18,MATCH($A14,Dashboard!$B$5:$B$18,0)),0)</f>
        <v>20</v>
      </c>
      <c r="AF14" t="str">
        <f t="shared" ca="1" si="14"/>
        <v>Strong</v>
      </c>
      <c r="AG14">
        <f ca="1">COUNTIFS('Match Log'!$D$4:$D$810,$A14,'Match Log'!$B$4:$B$810,"&gt;="&amp;$B$5)</f>
        <v>4</v>
      </c>
      <c r="AH14">
        <f ca="1">COUNTIFS('Match Log'!$D$4:$D$810,$A14,'Match Log'!$B$4:$B$810,"&gt;="&amp;$B$5,'Match Log'!$E$4:$E$810,"Win")</f>
        <v>3</v>
      </c>
      <c r="AI14">
        <f t="shared" ca="1" si="15"/>
        <v>1021.6316258606565</v>
      </c>
    </row>
    <row r="15" spans="1:35" ht="15" customHeight="1" x14ac:dyDescent="0.2">
      <c r="A15" t="s">
        <v>23</v>
      </c>
      <c r="B15">
        <f>IFERROR(INDEX(Engine!$B$2:$B$15,MATCH($A15,Engine!$A$2:$A$15,0)),1000)</f>
        <v>1248.9288111472574</v>
      </c>
      <c r="C15">
        <f>IFERROR(INDEX(Engine!$C$2:$C$15,MATCH($A15,Engine!$A$2:$A$15,0)),"")</f>
        <v>1084.9489488212637</v>
      </c>
      <c r="D15">
        <f t="shared" si="0"/>
        <v>2</v>
      </c>
      <c r="E15">
        <f t="shared" si="1"/>
        <v>16.593374249425324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1248.9288111472574</v>
      </c>
      <c r="K15">
        <f t="shared" si="3"/>
        <v>3</v>
      </c>
      <c r="L15">
        <f t="shared" si="4"/>
        <v>1</v>
      </c>
      <c r="M15">
        <f t="shared" si="5"/>
        <v>3</v>
      </c>
      <c r="N15">
        <f t="shared" si="6"/>
        <v>4</v>
      </c>
      <c r="O15">
        <f t="shared" si="7"/>
        <v>3</v>
      </c>
      <c r="P15">
        <f>IFERROR(SUMPRODUCT(MAX(('Match Log'!$D$4:$D$810=$A15)*'Match Log'!$B$4:$B$810)),0)</f>
        <v>46256</v>
      </c>
      <c r="Q15">
        <f t="shared" ca="1" si="8"/>
        <v>4.1428571428571432</v>
      </c>
      <c r="R15">
        <f ca="1">IF($P15=0,0,IF($Q15&gt;='Guide &amp; Settings'!$C$48,(INT($Q15-'Guide &amp; Settings'!$C$48)+1)*'Guide &amp; Settings'!$C$49,0))</f>
        <v>10</v>
      </c>
      <c r="S15">
        <f ca="1">$B15-$R15-$U15+SUMIF('Poker Stake Ledger'!$C$18:$C$137,$A15,'Poker Stake Ledger'!$K$18:$K$137)</f>
        <v>1218.9288111472574</v>
      </c>
      <c r="T15" t="str">
        <f ca="1">IF($P15=0,"No games",IF($Q15&gt;='Guide &amp; Settings'!$C$48,"Inactive",IF($Q15&gt;='Guide &amp; Settings'!$C$47,"At risk","Active")))</f>
        <v>Inactive</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71.237237205315921</v>
      </c>
      <c r="AB15">
        <f t="shared" ca="1" si="13"/>
        <v>86.431416028223893</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0</v>
      </c>
      <c r="AH15">
        <f ca="1">COUNTIFS('Match Log'!$D$4:$D$810,$A15,'Match Log'!$B$4:$B$810,"&gt;="&amp;$B$5,'Match Log'!$E$4:$E$810,"Win")</f>
        <v>0</v>
      </c>
      <c r="AI15">
        <f t="shared" ca="1" si="15"/>
        <v>1218.9288126472575</v>
      </c>
    </row>
    <row r="16" spans="1:35" ht="15" customHeight="1" x14ac:dyDescent="0.2">
      <c r="A16" t="s">
        <v>24</v>
      </c>
      <c r="B16">
        <f>IFERROR(INDEX(Engine!$B$2:$B$15,MATCH($A16,Engine!$A$2:$A$15,0)),1000)</f>
        <v>862.22294373677494</v>
      </c>
      <c r="C16">
        <f>IFERROR(INDEX(Engine!$C$2:$C$15,MATCH($A16,Engine!$A$2:$A$15,0)),"")</f>
        <v>1104.6793074292473</v>
      </c>
      <c r="D16">
        <f t="shared" si="0"/>
        <v>14</v>
      </c>
      <c r="E16">
        <f t="shared" si="1"/>
        <v>403.29924165990781</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9</v>
      </c>
      <c r="R16">
        <f ca="1">IF($P16=0,0,IF($Q16&gt;='Guide &amp; Settings'!$C$48,(INT($Q16-'Guide &amp; Settings'!$C$48)+1)*'Guide &amp; Settings'!$C$49,0))</f>
        <v>60</v>
      </c>
      <c r="S16">
        <f ca="1">$B16-$R16-$U16+SUMIF('Poker Stake Ledger'!$C$18:$C$137,$A16,'Poker Stake Ledger'!$K$18:$K$137)</f>
        <v>802.22294373677494</v>
      </c>
      <c r="T16" t="str">
        <f ca="1">IF($P16=0,"No games",IF($Q16&gt;='Guide &amp; Settings'!$C$48,"Inactive",IF($Q16&gt;='Guide &amp; Settings'!$C$47,"At risk","Active")))</f>
        <v>Inactive</v>
      </c>
      <c r="U16">
        <f>SUMIF('Match Log'!$D$4:$D$810,$A16,'Match Log'!$AC$4:$AC$810)</f>
        <v>0</v>
      </c>
      <c r="V16">
        <f t="shared" si="9"/>
        <v>6</v>
      </c>
      <c r="W16">
        <f t="shared" ca="1" si="10"/>
        <v>0.55573593419373424</v>
      </c>
      <c r="X16">
        <f ca="1">IFERROR(INDEX(Dashboard!$G$5:$G$18,MATCH($A16,Dashboard!$B$5:$B$18,0))*100,0)</f>
        <v>13.333333333333334</v>
      </c>
      <c r="Y16">
        <f ca="1">MIN(100,IFERROR(INDEX(Dashboard!$K$5:$K$18,MATCH($A16,Dashboard!$B$5:$B$18,0)),0)/5*50+$AC16/4*50)</f>
        <v>30</v>
      </c>
      <c r="Z16">
        <f t="shared" si="11"/>
        <v>0</v>
      </c>
      <c r="AA16">
        <f t="shared" si="12"/>
        <v>76.169826857311818</v>
      </c>
      <c r="AB16">
        <f t="shared" ca="1" si="13"/>
        <v>16.478156929365657</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802.22294533677496</v>
      </c>
    </row>
    <row r="17" spans="1:35" ht="15" customHeight="1" x14ac:dyDescent="0.2">
      <c r="A17" t="s">
        <v>25</v>
      </c>
      <c r="B17">
        <f>IFERROR(INDEX(Engine!$B$2:$B$15,MATCH($A17,Engine!$A$2:$A$15,0)),1000)</f>
        <v>944.39454678356583</v>
      </c>
      <c r="C17">
        <f>IFERROR(INDEX(Engine!$C$2:$C$15,MATCH($A17,Engine!$A$2:$A$15,0)),"")</f>
        <v>1167.6463260347457</v>
      </c>
      <c r="D17">
        <f t="shared" si="0"/>
        <v>12</v>
      </c>
      <c r="E17">
        <f t="shared" si="1"/>
        <v>321.12763861311691</v>
      </c>
      <c r="F17" t="str">
        <f>IFERROR(LOOKUP(2,1/('Match Log'!$D$4:$D$810=$A17),'Match Log'!$E$4:$E$810),"")</f>
        <v>Loss</v>
      </c>
      <c r="G17">
        <f>IF($F17="",0,SUMPRODUCT(('Match Log'!$D$4:$D$810=$A17)*(ROW('Match Log'!$A$4:$A$810)&gt;SUMPRODUCT(MAX(('Match Log'!$D$4:$D$810=$A17)*('Match Log'!$E$4:$E$810&lt;&gt;$F17)*ROW('Match Log'!$A$4:$A$810))))))</f>
        <v>8</v>
      </c>
      <c r="H17" t="str">
        <f t="shared" si="2"/>
        <v>L8</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944.39454678356583</v>
      </c>
      <c r="K17">
        <f t="shared" si="3"/>
        <v>12</v>
      </c>
      <c r="L17">
        <f t="shared" si="4"/>
        <v>0</v>
      </c>
      <c r="M17">
        <f t="shared" si="5"/>
        <v>4</v>
      </c>
      <c r="N17">
        <f t="shared" si="6"/>
        <v>0</v>
      </c>
      <c r="O17">
        <f t="shared" si="7"/>
        <v>0</v>
      </c>
      <c r="P17">
        <f>IFERROR(SUMPRODUCT(MAX(('Match Log'!$D$4:$D$810=$A17)*'Match Log'!$B$4:$B$810)),0)</f>
        <v>46271</v>
      </c>
      <c r="Q17">
        <f t="shared" ca="1" si="8"/>
        <v>2</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At risk</v>
      </c>
      <c r="U17">
        <f>SUMIF('Match Log'!$D$4:$D$810,$A17,'Match Log'!$AC$4:$AC$810)</f>
        <v>0</v>
      </c>
      <c r="V17">
        <f t="shared" si="9"/>
        <v>8</v>
      </c>
      <c r="W17">
        <f t="shared" ca="1" si="10"/>
        <v>36.098636695891457</v>
      </c>
      <c r="X17">
        <f ca="1">IFERROR(INDEX(Dashboard!$G$5:$G$18,MATCH($A17,Dashboard!$B$5:$B$18,0))*100,0)</f>
        <v>34.146341463414636</v>
      </c>
      <c r="Y17">
        <f ca="1">MIN(100,IFERROR(INDEX(Dashboard!$K$5:$K$18,MATCH($A17,Dashboard!$B$5:$B$18,0)),0)/5*50+$AC17/4*50)</f>
        <v>100</v>
      </c>
      <c r="Z17">
        <f t="shared" si="11"/>
        <v>0</v>
      </c>
      <c r="AA17">
        <f t="shared" si="12"/>
        <v>91.911581508686425</v>
      </c>
      <c r="AB17">
        <f t="shared" ca="1" si="13"/>
        <v>48.654949287113581</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4"/>
        <v>Mid</v>
      </c>
      <c r="AG17">
        <f ca="1">COUNTIFS('Match Log'!$D$4:$D$810,$A17,'Match Log'!$B$4:$B$810,"&gt;="&amp;$B$5)</f>
        <v>0</v>
      </c>
      <c r="AH17">
        <f ca="1">COUNTIFS('Match Log'!$D$4:$D$810,$A17,'Match Log'!$B$4:$B$810,"&gt;="&amp;$B$5,'Match Log'!$E$4:$E$810,"Win")</f>
        <v>0</v>
      </c>
      <c r="AI17">
        <f t="shared" ca="1" si="15"/>
        <v>944.39454848356581</v>
      </c>
    </row>
    <row r="18" spans="1:35" ht="15" customHeight="1" x14ac:dyDescent="0.2">
      <c r="A18" t="s">
        <v>26</v>
      </c>
      <c r="B18">
        <f>IFERROR(INDEX(Engine!$B$2:$B$15,MATCH($A18,Engine!$A$2:$A$15,0)),1000)</f>
        <v>1087.5488947064855</v>
      </c>
      <c r="C18">
        <f>IFERROR(INDEX(Engine!$C$2:$C$15,MATCH($A18,Engine!$A$2:$A$15,0)),"")</f>
        <v>1038.0306790535494</v>
      </c>
      <c r="D18">
        <f t="shared" si="0"/>
        <v>6</v>
      </c>
      <c r="E18">
        <f t="shared" si="1"/>
        <v>177.97329069019725</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6</v>
      </c>
      <c r="L18">
        <f t="shared" si="4"/>
        <v>0</v>
      </c>
      <c r="M18">
        <f t="shared" si="5"/>
        <v>2</v>
      </c>
      <c r="N18">
        <f t="shared" si="6"/>
        <v>3</v>
      </c>
      <c r="O18">
        <f t="shared" si="7"/>
        <v>1</v>
      </c>
      <c r="P18">
        <f>IFERROR(SUMPRODUCT(MAX(('Match Log'!$D$4:$D$810=$A18)*'Match Log'!$B$4:$B$810)),0)</f>
        <v>46249</v>
      </c>
      <c r="Q18">
        <f t="shared" ca="1" si="8"/>
        <v>5.1428571428571432</v>
      </c>
      <c r="R18">
        <f ca="1">IF($P18=0,0,IF($Q18&gt;='Guide &amp; Settings'!$C$48,(INT($Q18-'Guide &amp; Settings'!$C$48)+1)*'Guide &amp; Settings'!$C$49,0))</f>
        <v>20</v>
      </c>
      <c r="S18">
        <f ca="1">$B18-$R18-$U18+SUMIF('Poker Stake Ledger'!$C$18:$C$137,$A18,'Poker Stake Ledger'!$K$18:$K$137)</f>
        <v>1067.5488947064855</v>
      </c>
      <c r="T18" t="str">
        <f ca="1">IF($P18=0,"No games",IF($Q18&gt;='Guide &amp; Settings'!$C$48,"Inactive",IF($Q18&gt;='Guide &amp; Settings'!$C$47,"At risk","Active")))</f>
        <v>Inactive</v>
      </c>
      <c r="U18">
        <f>SUMIF('Match Log'!$D$4:$D$810,$A18,'Match Log'!$AC$4:$AC$810)</f>
        <v>0</v>
      </c>
      <c r="V18">
        <f t="shared" si="9"/>
        <v>0</v>
      </c>
      <c r="W18">
        <f t="shared" ca="1" si="10"/>
        <v>66.887223676621375</v>
      </c>
      <c r="X18">
        <f ca="1">IFERROR(INDEX(Dashboard!$G$5:$G$18,MATCH($A18,Dashboard!$B$5:$B$18,0))*100,0)</f>
        <v>46.666666666666664</v>
      </c>
      <c r="Y18">
        <f ca="1">MIN(100,IFERROR(INDEX(Dashboard!$K$5:$K$18,MATCH($A18,Dashboard!$B$5:$B$18,0)),0)/5*50+$AC18/4*50)</f>
        <v>65</v>
      </c>
      <c r="Z18">
        <f t="shared" si="11"/>
        <v>60</v>
      </c>
      <c r="AA18">
        <f t="shared" si="12"/>
        <v>59.507669763387355</v>
      </c>
      <c r="AB18">
        <f t="shared" ca="1" si="13"/>
        <v>60.694628596489551</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1067.5488965064856</v>
      </c>
    </row>
    <row r="19" spans="1:35" ht="15" customHeight="1" x14ac:dyDescent="0.2">
      <c r="A19" t="s">
        <v>27</v>
      </c>
      <c r="B19">
        <f>IFERROR(INDEX(Engine!$B$2:$B$15,MATCH($A19,Engine!$A$2:$A$15,0)),1000)</f>
        <v>1023.2192605207141</v>
      </c>
      <c r="C19">
        <f>IFERROR(INDEX(Engine!$C$2:$C$15,MATCH($A19,Engine!$A$2:$A$15,0)),"")</f>
        <v>1068.5436756642807</v>
      </c>
      <c r="D19">
        <f t="shared" si="0"/>
        <v>9</v>
      </c>
      <c r="E19">
        <f t="shared" si="1"/>
        <v>242.30292487596864</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9</v>
      </c>
      <c r="L19">
        <f t="shared" si="4"/>
        <v>0</v>
      </c>
      <c r="M19">
        <f t="shared" si="5"/>
        <v>0</v>
      </c>
      <c r="N19">
        <f t="shared" si="6"/>
        <v>0</v>
      </c>
      <c r="O19">
        <f t="shared" si="7"/>
        <v>0</v>
      </c>
      <c r="P19">
        <f>IFERROR(SUMPRODUCT(MAX(('Match Log'!$D$4:$D$810=$A19)*'Match Log'!$B$4:$B$810)),0)</f>
        <v>46249</v>
      </c>
      <c r="Q19">
        <f t="shared" ca="1" si="8"/>
        <v>5.1428571428571432</v>
      </c>
      <c r="R19">
        <f ca="1">IF($P19=0,0,IF($Q19&gt;='Guide &amp; Settings'!$C$48,(INT($Q19-'Guide &amp; Settings'!$C$48)+1)*'Guide &amp; Settings'!$C$49,0))</f>
        <v>20</v>
      </c>
      <c r="S19">
        <f ca="1">$B19-$R19-$U19+SUMIF('Poker Stake Ledger'!$C$18:$C$137,$A19,'Poker Stake Ledger'!$K$18:$K$137)</f>
        <v>1003.2192605207141</v>
      </c>
      <c r="T19" t="str">
        <f ca="1">IF($P19=0,"No games",IF($Q19&gt;='Guide &amp; Settings'!$C$48,"Inactive",IF($Q19&gt;='Guide &amp; Settings'!$C$47,"At risk","Active")))</f>
        <v>Inactive</v>
      </c>
      <c r="U19">
        <f>SUMIF('Match Log'!$D$4:$D$810,$A19,'Match Log'!$AC$4:$AC$810)</f>
        <v>0</v>
      </c>
      <c r="V19">
        <f t="shared" si="9"/>
        <v>6</v>
      </c>
      <c r="W19">
        <f t="shared" ca="1" si="10"/>
        <v>50.804815130178525</v>
      </c>
      <c r="X19">
        <f ca="1">IFERROR(INDEX(Dashboard!$G$5:$G$18,MATCH($A19,Dashboard!$B$5:$B$18,0))*100,0)</f>
        <v>40</v>
      </c>
      <c r="Y19">
        <f ca="1">MIN(100,IFERROR(INDEX(Dashboard!$K$5:$K$18,MATCH($A19,Dashboard!$B$5:$B$18,0)),0)/5*50+$AC19/4*50)</f>
        <v>65</v>
      </c>
      <c r="Z19">
        <f t="shared" si="11"/>
        <v>0</v>
      </c>
      <c r="AA19">
        <f t="shared" si="12"/>
        <v>67.135918916070182</v>
      </c>
      <c r="AB19">
        <f t="shared" ca="1" si="13"/>
        <v>45.495277187169499</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1003.2192624207141</v>
      </c>
    </row>
    <row r="20" spans="1:35" ht="15" customHeight="1" x14ac:dyDescent="0.2">
      <c r="A20" t="s">
        <v>28</v>
      </c>
      <c r="B20">
        <f>IFERROR(INDEX(Engine!$B$2:$B$15,MATCH($A20,Engine!$A$2:$A$15,0)),1000)</f>
        <v>1000</v>
      </c>
      <c r="C20" t="str">
        <f>IFERROR(INDEX(Engine!$C$2:$C$15,MATCH($A20,Engine!$A$2:$A$15,0)),"")</f>
        <v/>
      </c>
      <c r="D20">
        <f t="shared" si="0"/>
        <v>11</v>
      </c>
      <c r="E20">
        <f t="shared" si="1"/>
        <v>265.52218539668274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10</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447</v>
      </c>
      <c r="B24" t="s">
        <v>326</v>
      </c>
      <c r="C24" t="s">
        <v>240</v>
      </c>
      <c r="D24" t="s">
        <v>448</v>
      </c>
      <c r="E24" t="s">
        <v>449</v>
      </c>
      <c r="F24" t="s">
        <v>450</v>
      </c>
      <c r="G24" t="s">
        <v>451</v>
      </c>
      <c r="H24" t="s">
        <v>452</v>
      </c>
      <c r="J24" t="s">
        <v>453</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7"/>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7"/>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7"/>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7"/>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7"/>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7"/>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7"/>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7"/>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7"/>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7"/>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7"/>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7"/>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7"/>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7"/>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7"/>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7"/>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7"/>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7"/>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7"/>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7"/>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7"/>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7"/>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7"/>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7"/>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7"/>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7"/>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7"/>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7"/>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7"/>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7"/>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7"/>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7"/>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7"/>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7"/>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7"/>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7"/>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7"/>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7"/>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7"/>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7"/>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7"/>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7"/>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7"/>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7"/>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7"/>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7"/>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7"/>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7"/>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0">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0"/>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0"/>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0"/>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0"/>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0"/>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0"/>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t="str">
        <f t="shared" ca="1" si="30"/>
        <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t="str">
        <f t="shared" ca="1" si="30"/>
        <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t="str">
        <f t="shared" ca="1" si="30"/>
        <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t="str">
        <f t="shared" ca="1" si="30"/>
        <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t="str">
        <f t="shared" ca="1" si="30"/>
        <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t="str">
        <f t="shared" ca="1" si="30"/>
        <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t="str">
        <f t="shared" ca="1" si="30"/>
        <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t="str">
        <f t="shared" ca="1" si="30"/>
        <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t="str">
        <f t="shared" ca="1" si="30"/>
        <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t="str">
        <f t="shared" ca="1" si="30"/>
        <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8"/>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29"/>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t="str">
        <f t="shared" ca="1" si="30"/>
        <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Simon</v>
      </c>
      <c r="E299">
        <f>IFERROR(INDEX('Match Log'!$F$4:$F$810,MATCH(275,'Match Log'!$A$4:$A$810,0)),"")</f>
        <v>3</v>
      </c>
      <c r="F299">
        <f>IFERROR(SUMIFS('Match Log'!$I$4:$I$810,'Match Log'!$A$4:$A$810,275,'Match Log'!$E$4:$E$810,"Win"),"")</f>
        <v>0.375</v>
      </c>
      <c r="G299">
        <f t="shared" si="28"/>
        <v>-0.125</v>
      </c>
      <c r="H299" t="str">
        <f t="array" ref="H299">IFERROR(IF(COUNTIFS('Match Log'!$A$4:$A$810,$A299,'Match Log'!$E$4:$E$810,"Win")&gt;1,_xlfn.TEXTJOIN(" + ",TRUE(),IF(('Match Log'!$A$4:$A$810=$A299)*('Match Log'!$E$4:$E$810="Loss"),'Match Log'!$D$4:$D$810,"")),IF($E299=2,LOOKUP(2,1/(('Match Log'!$A$4:$A$810=$A299)*('Match Log'!$E$4:$E$810="Loss")),'Match Log'!$D$4:$D$810),"the field")),"")</f>
        <v>the field</v>
      </c>
      <c r="I299">
        <f t="shared" si="29"/>
        <v>-0.125275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1269.2069507127815</v>
      </c>
      <c r="Q299">
        <f>IF($J299&gt;MAX('Match Log'!$A$4:$A$810),NA(),IFERROR(LOOKUP(2,1/(('Match Log'!$D$4:$D$810=$Q$24)*('Match Log'!$A$4:$A$810&lt;=$J299)),'Match Log'!$N$4:$N$810),NA()))</f>
        <v>1108.9390493953028</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971.70194675781806</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t="str">
        <f t="shared" ca="1" si="30"/>
        <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0.2</v>
      </c>
      <c r="G300">
        <f t="shared" si="28"/>
        <v>0.39999999999999991</v>
      </c>
      <c r="H300" t="str">
        <f t="array" ref="H300">IFERROR(IF(COUNTIFS('Match Log'!$A$4:$A$810,$A300,'Match Log'!$E$4:$E$810,"Win")&gt;1,_xlfn.TEXTJOIN(" + ",TRUE(),IF(('Match Log'!$A$4:$A$810=$A300)*('Match Log'!$E$4:$E$810="Loss"),'Match Log'!$D$4:$D$810,"")),IF($E300=2,LOOKUP(2,1/(('Match Log'!$A$4:$A$810=$A300)*('Match Log'!$E$4:$E$810="Loss")),'Match Log'!$D$4:$D$810),"the field")),"")</f>
        <v>the field</v>
      </c>
      <c r="I300">
        <f t="shared" si="29"/>
        <v>0.39972399999999991</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1291.3210854006168</v>
      </c>
      <c r="Q300">
        <f>IF($J300&gt;MAX('Match Log'!$A$4:$A$810),NA(),IFERROR(LOOKUP(2,1/(('Match Log'!$D$4:$D$810=$Q$24)*('Match Log'!$A$4:$A$810&lt;=$J300)),'Match Log'!$N$4:$N$810),NA()))</f>
        <v>1099.6597362825432</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967.86712518274226</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t="str">
        <f t="shared" ca="1" si="30"/>
        <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8"/>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29"/>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1300.9488632874916</v>
      </c>
      <c r="Q301">
        <f>IF($J301&gt;MAX('Match Log'!$A$4:$A$810),NA(),IFERROR(LOOKUP(2,1/(('Match Log'!$D$4:$D$810=$Q$24)*('Match Log'!$A$4:$A$810&lt;=$J301)),'Match Log'!$N$4:$N$810),NA()))</f>
        <v>1099.6597362825432</v>
      </c>
      <c r="R301">
        <f>IF($J301&gt;MAX('Match Log'!$A$4:$A$810),NA(),IFERROR(LOOKUP(2,1/(('Match Log'!$D$4:$D$810=$R$24)*('Match Log'!$A$4:$A$810&lt;=$J301)),'Match Log'!$N$4:$N$810),NA()))</f>
        <v>1007.7369116310465</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967.86712518274226</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t="str">
        <f t="shared" ca="1" si="30"/>
        <v/>
      </c>
    </row>
    <row r="302" spans="1:25" x14ac:dyDescent="0.2">
      <c r="A302">
        <v>278</v>
      </c>
      <c r="B302">
        <f>IFERROR(INDEX('Match Log'!$B$4:$B$810,MATCH(278,'Match Log'!$A$4:$A$810,0)),"")</f>
        <v>46271</v>
      </c>
      <c r="C302" t="str">
        <f>IFERROR(INDEX('Match Log'!$C$4:$C$810,MATCH(278,'Match Log'!$A$4:$A$810,0)),"")</f>
        <v>Back Yard Putt Putt</v>
      </c>
      <c r="D302" t="str">
        <f t="array" ref="D302">IFERROR(_xlfn.TEXTJOIN(" + ",TRUE(),IF(('Match Log'!$A$4:$A$810=$A302)*('Match Log'!$E$4:$E$810="Win"),'Match Log'!$D$4:$D$810,"")),IFERROR(LOOKUP(2,1/(('Match Log'!$A$4:$A$810=$A302)*('Match Log'!$E$4:$E$810="Win")),'Match Log'!$D$4:$D$810),""))</f>
        <v>Shawn</v>
      </c>
      <c r="E302">
        <f>IFERROR(INDEX('Match Log'!$F$4:$F$810,MATCH(278,'Match Log'!$A$4:$A$810,0)),"")</f>
        <v>3</v>
      </c>
      <c r="F302">
        <f>IFERROR(SUMIFS('Match Log'!$I$4:$I$810,'Match Log'!$A$4:$A$810,278,'Match Log'!$E$4:$E$810,"Win"),"")</f>
        <v>0.33333333333333331</v>
      </c>
      <c r="G302">
        <f t="shared" si="28"/>
        <v>0</v>
      </c>
      <c r="H302" t="str">
        <f t="array" ref="H302">IFERROR(IF(COUNTIFS('Match Log'!$A$4:$A$810,$A302,'Match Log'!$E$4:$E$810,"Win")&gt;1,_xlfn.TEXTJOIN(" + ",TRUE(),IF(('Match Log'!$A$4:$A$810=$A302)*('Match Log'!$E$4:$E$810="Loss"),'Match Log'!$D$4:$D$810,"")),IF($E302=2,LOOKUP(2,1/(('Match Log'!$A$4:$A$810=$A302)*('Match Log'!$E$4:$E$810="Loss")),'Match Log'!$D$4:$D$810),"the field")),"")</f>
        <v>the field</v>
      </c>
      <c r="I302">
        <f t="shared" si="29"/>
        <v>-2.7799999999999998E-4</v>
      </c>
      <c r="J302">
        <v>278</v>
      </c>
      <c r="K302">
        <f>IF($J302&gt;MAX('Match Log'!$A$4:$A$810),NA(),IFERROR(LOOKUP(2,1/(('Match Log'!$D$4:$D$810=$K$24)*('Match Log'!$A$4:$A$810&lt;=$J302)),'Match Log'!$N$4:$N$810),NA()))</f>
        <v>1265.5221853966827</v>
      </c>
      <c r="L302">
        <f>IF($J302&gt;MAX('Match Log'!$A$4:$A$810),NA(),IFERROR(LOOKUP(2,1/(('Match Log'!$D$4:$D$810=$L$24)*('Match Log'!$A$4:$A$810&lt;=$J302)),'Match Log'!$N$4:$N$810),NA()))</f>
        <v>1029.5175965335138</v>
      </c>
      <c r="M302">
        <f>IF($J302&gt;MAX('Match Log'!$A$4:$A$810),NA(),IFERROR(LOOKUP(2,1/(('Match Log'!$D$4:$D$810=$M$24)*('Match Log'!$A$4:$A$810&lt;=$J302)),'Match Log'!$N$4:$N$810),NA()))</f>
        <v>1098.8851304702137</v>
      </c>
      <c r="N302">
        <f>IF($J302&gt;MAX('Match Log'!$A$4:$A$810),NA(),IFERROR(LOOKUP(2,1/(('Match Log'!$D$4:$D$810=$N$24)*('Match Log'!$A$4:$A$810&lt;=$J302)),'Match Log'!$N$4:$N$810),NA()))</f>
        <v>907.03133644117429</v>
      </c>
      <c r="O302">
        <f>IF($J302&gt;MAX('Match Log'!$A$4:$A$810),NA(),IFERROR(LOOKUP(2,1/(('Match Log'!$D$4:$D$810=$O$24)*('Match Log'!$A$4:$A$810&lt;=$J302)),'Match Log'!$N$4:$N$810),NA()))</f>
        <v>1155.9112046633588</v>
      </c>
      <c r="P302">
        <f>IF($J302&gt;MAX('Match Log'!$A$4:$A$810),NA(),IFERROR(LOOKUP(2,1/(('Match Log'!$D$4:$D$810=$P$24)*('Match Log'!$A$4:$A$810&lt;=$J302)),'Match Log'!$N$4:$N$810),NA()))</f>
        <v>1317.8217591924433</v>
      </c>
      <c r="Q302">
        <f>IF($J302&gt;MAX('Match Log'!$A$4:$A$810),NA(),IFERROR(LOOKUP(2,1/(('Match Log'!$D$4:$D$810=$Q$24)*('Match Log'!$A$4:$A$810&lt;=$J302)),'Match Log'!$N$4:$N$810),NA()))</f>
        <v>1094.8373178296154</v>
      </c>
      <c r="R302">
        <f>IF($J302&gt;MAX('Match Log'!$A$4:$A$810),NA(),IFERROR(LOOKUP(2,1/(('Match Log'!$D$4:$D$810=$R$24)*('Match Log'!$A$4:$A$810&lt;=$J302)),'Match Log'!$N$4:$N$810),NA()))</f>
        <v>1007.7369116310465</v>
      </c>
      <c r="S302">
        <f>IF($J302&gt;MAX('Match Log'!$A$4:$A$810),NA(),IFERROR(LOOKUP(2,1/(('Match Log'!$D$4:$D$810=$S$24)*('Match Log'!$A$4:$A$810&lt;=$J302)),'Match Log'!$N$4:$N$810),NA()))</f>
        <v>1248.9288111472574</v>
      </c>
      <c r="T302">
        <f>IF($J302&gt;MAX('Match Log'!$A$4:$A$810),NA(),IFERROR(LOOKUP(2,1/(('Match Log'!$D$4:$D$810=$T$24)*('Match Log'!$A$4:$A$810&lt;=$J302)),'Match Log'!$N$4:$N$810),NA()))</f>
        <v>862.22294373677494</v>
      </c>
      <c r="U302">
        <f>IF($J302&gt;MAX('Match Log'!$A$4:$A$810),NA(),IFERROR(LOOKUP(2,1/(('Match Log'!$D$4:$D$810=$U$24)*('Match Log'!$A$4:$A$810&lt;=$J302)),'Match Log'!$N$4:$N$810),NA()))</f>
        <v>964.8166477307185</v>
      </c>
      <c r="V302">
        <f>IF($J302&gt;MAX('Match Log'!$A$4:$A$810),NA(),IFERROR(LOOKUP(2,1/(('Match Log'!$D$4:$D$810=$V$24)*('Match Log'!$A$4:$A$810&lt;=$J302)),'Match Log'!$N$4:$N$810),NA()))</f>
        <v>1087.5488947064855</v>
      </c>
      <c r="W302">
        <f>IF($J302&gt;MAX('Match Log'!$A$4:$A$810),NA(),IFERROR(LOOKUP(2,1/(('Match Log'!$D$4:$D$810=$W$24)*('Match Log'!$A$4:$A$810&lt;=$J302)),'Match Log'!$N$4:$N$810),NA()))</f>
        <v>1023.2192605207141</v>
      </c>
      <c r="X302" t="e">
        <f>IF($J302&gt;MAX('Match Log'!$A$4:$A$810),NA(),IFERROR(LOOKUP(2,1/(('Match Log'!$D$4:$D$810=$X$24)*('Match Log'!$A$4:$A$810&lt;=$J302)),'Match Log'!$N$4:$N$810),NA()))</f>
        <v>#N/A</v>
      </c>
      <c r="Y302" t="str">
        <f t="shared" ca="1" si="30"/>
        <v/>
      </c>
    </row>
    <row r="303" spans="1:25" x14ac:dyDescent="0.2">
      <c r="A303">
        <v>279</v>
      </c>
      <c r="B303">
        <f>IFERROR(INDEX('Match Log'!$B$4:$B$810,MATCH(279,'Match Log'!$A$4:$A$810,0)),"")</f>
        <v>46271</v>
      </c>
      <c r="C303" t="str">
        <f>IFERROR(INDEX('Match Log'!$C$4:$C$810,MATCH(279,'Match Log'!$A$4:$A$810,0)),"")</f>
        <v>Back Yard Putt Putt</v>
      </c>
      <c r="D303" t="str">
        <f t="array" ref="D303">IFERROR(_xlfn.TEXTJOIN(" + ",TRUE(),IF(('Match Log'!$A$4:$A$810=$A303)*('Match Log'!$E$4:$E$810="Win"),'Match Log'!$D$4:$D$810,"")),IFERROR(LOOKUP(2,1/(('Match Log'!$A$4:$A$810=$A303)*('Match Log'!$E$4:$E$810="Win")),'Match Log'!$D$4:$D$810),""))</f>
        <v>Simon</v>
      </c>
      <c r="E303">
        <f>IFERROR(INDEX('Match Log'!$F$4:$F$810,MATCH(279,'Match Log'!$A$4:$A$810,0)),"")</f>
        <v>3</v>
      </c>
      <c r="F303">
        <f>IFERROR(SUMIFS('Match Log'!$I$4:$I$810,'Match Log'!$A$4:$A$810,279,'Match Log'!$E$4:$E$810,"Win"),"")</f>
        <v>0.25</v>
      </c>
      <c r="G303">
        <f t="shared" si="28"/>
        <v>0.25</v>
      </c>
      <c r="H303" t="str">
        <f t="array" ref="H303">IFERROR(IF(COUNTIFS('Match Log'!$A$4:$A$810,$A303,'Match Log'!$E$4:$E$810,"Win")&gt;1,_xlfn.TEXTJOIN(" + ",TRUE(),IF(('Match Log'!$A$4:$A$810=$A303)*('Match Log'!$E$4:$E$810="Loss"),'Match Log'!$D$4:$D$810,"")),IF($E303=2,LOOKUP(2,1/(('Match Log'!$A$4:$A$810=$A303)*('Match Log'!$E$4:$E$810="Loss")),'Match Log'!$D$4:$D$810),"the field")),"")</f>
        <v>the field</v>
      </c>
      <c r="I303">
        <f t="shared" si="29"/>
        <v>0.249721</v>
      </c>
      <c r="J303">
        <v>279</v>
      </c>
      <c r="K303">
        <f>IF($J303&gt;MAX('Match Log'!$A$4:$A$810),NA(),IFERROR(LOOKUP(2,1/(('Match Log'!$D$4:$D$810=$K$24)*('Match Log'!$A$4:$A$810&lt;=$J303)),'Match Log'!$N$4:$N$810),NA()))</f>
        <v>1265.5221853966827</v>
      </c>
      <c r="L303">
        <f>IF($J303&gt;MAX('Match Log'!$A$4:$A$810),NA(),IFERROR(LOOKUP(2,1/(('Match Log'!$D$4:$D$810=$L$24)*('Match Log'!$A$4:$A$810&lt;=$J303)),'Match Log'!$N$4:$N$810),NA()))</f>
        <v>1029.5175965335138</v>
      </c>
      <c r="M303">
        <f>IF($J303&gt;MAX('Match Log'!$A$4:$A$810),NA(),IFERROR(LOOKUP(2,1/(('Match Log'!$D$4:$D$810=$M$24)*('Match Log'!$A$4:$A$810&lt;=$J303)),'Match Log'!$N$4:$N$810),NA()))</f>
        <v>1098.8851304702137</v>
      </c>
      <c r="N303">
        <f>IF($J303&gt;MAX('Match Log'!$A$4:$A$810),NA(),IFERROR(LOOKUP(2,1/(('Match Log'!$D$4:$D$810=$N$24)*('Match Log'!$A$4:$A$810&lt;=$J303)),'Match Log'!$N$4:$N$810),NA()))</f>
        <v>907.03133644117429</v>
      </c>
      <c r="O303">
        <f>IF($J303&gt;MAX('Match Log'!$A$4:$A$810),NA(),IFERROR(LOOKUP(2,1/(('Match Log'!$D$4:$D$810=$O$24)*('Match Log'!$A$4:$A$810&lt;=$J303)),'Match Log'!$N$4:$N$810),NA()))</f>
        <v>1155.9112046633588</v>
      </c>
      <c r="P303">
        <f>IF($J303&gt;MAX('Match Log'!$A$4:$A$810),NA(),IFERROR(LOOKUP(2,1/(('Match Log'!$D$4:$D$810=$P$24)*('Match Log'!$A$4:$A$810&lt;=$J303)),'Match Log'!$N$4:$N$810),NA()))</f>
        <v>1302.8395406967643</v>
      </c>
      <c r="Q303">
        <f>IF($J303&gt;MAX('Match Log'!$A$4:$A$810),NA(),IFERROR(LOOKUP(2,1/(('Match Log'!$D$4:$D$810=$Q$24)*('Match Log'!$A$4:$A$810&lt;=$J303)),'Match Log'!$N$4:$N$810),NA()))</f>
        <v>1124.4025249448839</v>
      </c>
      <c r="R303">
        <f>IF($J303&gt;MAX('Match Log'!$A$4:$A$810),NA(),IFERROR(LOOKUP(2,1/(('Match Log'!$D$4:$D$810=$R$24)*('Match Log'!$A$4:$A$810&lt;=$J303)),'Match Log'!$N$4:$N$810),NA()))</f>
        <v>1007.7369116310465</v>
      </c>
      <c r="S303">
        <f>IF($J303&gt;MAX('Match Log'!$A$4:$A$810),NA(),IFERROR(LOOKUP(2,1/(('Match Log'!$D$4:$D$810=$S$24)*('Match Log'!$A$4:$A$810&lt;=$J303)),'Match Log'!$N$4:$N$810),NA()))</f>
        <v>1248.9288111472574</v>
      </c>
      <c r="T303">
        <f>IF($J303&gt;MAX('Match Log'!$A$4:$A$810),NA(),IFERROR(LOOKUP(2,1/(('Match Log'!$D$4:$D$810=$T$24)*('Match Log'!$A$4:$A$810&lt;=$J303)),'Match Log'!$N$4:$N$810),NA()))</f>
        <v>862.22294373677494</v>
      </c>
      <c r="U303">
        <f>IF($J303&gt;MAX('Match Log'!$A$4:$A$810),NA(),IFERROR(LOOKUP(2,1/(('Match Log'!$D$4:$D$810=$U$24)*('Match Log'!$A$4:$A$810&lt;=$J303)),'Match Log'!$N$4:$N$810),NA()))</f>
        <v>959.23365911112899</v>
      </c>
      <c r="V303">
        <f>IF($J303&gt;MAX('Match Log'!$A$4:$A$810),NA(),IFERROR(LOOKUP(2,1/(('Match Log'!$D$4:$D$810=$V$24)*('Match Log'!$A$4:$A$810&lt;=$J303)),'Match Log'!$N$4:$N$810),NA()))</f>
        <v>1087.5488947064855</v>
      </c>
      <c r="W303">
        <f>IF($J303&gt;MAX('Match Log'!$A$4:$A$810),NA(),IFERROR(LOOKUP(2,1/(('Match Log'!$D$4:$D$810=$W$24)*('Match Log'!$A$4:$A$810&lt;=$J303)),'Match Log'!$N$4:$N$810),NA()))</f>
        <v>1023.2192605207141</v>
      </c>
      <c r="X303" t="e">
        <f>IF($J303&gt;MAX('Match Log'!$A$4:$A$810),NA(),IFERROR(LOOKUP(2,1/(('Match Log'!$D$4:$D$810=$X$24)*('Match Log'!$A$4:$A$810&lt;=$J303)),'Match Log'!$N$4:$N$810),NA()))</f>
        <v>#N/A</v>
      </c>
      <c r="Y303" t="str">
        <f t="shared" ca="1" si="30"/>
        <v/>
      </c>
    </row>
    <row r="304" spans="1:25" x14ac:dyDescent="0.2">
      <c r="A304">
        <v>280</v>
      </c>
      <c r="B304">
        <f>IFERROR(INDEX('Match Log'!$B$4:$B$810,MATCH(280,'Match Log'!$A$4:$A$810,0)),"")</f>
        <v>46271</v>
      </c>
      <c r="C304" t="str">
        <f>IFERROR(INDEX('Match Log'!$C$4:$C$810,MATCH(280,'Match Log'!$A$4:$A$810,0)),"")</f>
        <v>Back Yard Putt Putt</v>
      </c>
      <c r="D304" t="str">
        <f t="array" ref="D304">IFERROR(_xlfn.TEXTJOIN(" + ",TRUE(),IF(('Match Log'!$A$4:$A$810=$A304)*('Match Log'!$E$4:$E$810="Win"),'Match Log'!$D$4:$D$810,"")),IFERROR(LOOKUP(2,1/(('Match Log'!$A$4:$A$810=$A304)*('Match Log'!$E$4:$E$810="Win")),'Match Log'!$D$4:$D$810),""))</f>
        <v>Simon</v>
      </c>
      <c r="E304">
        <f>IFERROR(INDEX('Match Log'!$F$4:$F$810,MATCH(280,'Match Log'!$A$4:$A$810,0)),"")</f>
        <v>3</v>
      </c>
      <c r="F304">
        <f>IFERROR(SUMIFS('Match Log'!$I$4:$I$810,'Match Log'!$A$4:$A$810,280,'Match Log'!$E$4:$E$810,"Win"),"")</f>
        <v>0.4</v>
      </c>
      <c r="G304">
        <f t="shared" si="28"/>
        <v>-0.20000000000000018</v>
      </c>
      <c r="H304" t="str">
        <f t="array" ref="H304">IFERROR(IF(COUNTIFS('Match Log'!$A$4:$A$810,$A304,'Match Log'!$E$4:$E$810,"Win")&gt;1,_xlfn.TEXTJOIN(" + ",TRUE(),IF(('Match Log'!$A$4:$A$810=$A304)*('Match Log'!$E$4:$E$810="Loss"),'Match Log'!$D$4:$D$810,"")),IF($E304=2,LOOKUP(2,1/(('Match Log'!$A$4:$A$810=$A304)*('Match Log'!$E$4:$E$810="Loss")),'Match Log'!$D$4:$D$810),"the field")),"")</f>
        <v>the field</v>
      </c>
      <c r="I304">
        <f t="shared" si="29"/>
        <v>-0.20028000000000018</v>
      </c>
      <c r="J304">
        <v>280</v>
      </c>
      <c r="K304">
        <f>IF($J304&gt;MAX('Match Log'!$A$4:$A$810),NA(),IFERROR(LOOKUP(2,1/(('Match Log'!$D$4:$D$810=$K$24)*('Match Log'!$A$4:$A$810&lt;=$J304)),'Match Log'!$N$4:$N$810),NA()))</f>
        <v>1265.5221853966827</v>
      </c>
      <c r="L304">
        <f>IF($J304&gt;MAX('Match Log'!$A$4:$A$810),NA(),IFERROR(LOOKUP(2,1/(('Match Log'!$D$4:$D$810=$L$24)*('Match Log'!$A$4:$A$810&lt;=$J304)),'Match Log'!$N$4:$N$810),NA()))</f>
        <v>1029.5175965335138</v>
      </c>
      <c r="M304">
        <f>IF($J304&gt;MAX('Match Log'!$A$4:$A$810),NA(),IFERROR(LOOKUP(2,1/(('Match Log'!$D$4:$D$810=$M$24)*('Match Log'!$A$4:$A$810&lt;=$J304)),'Match Log'!$N$4:$N$810),NA()))</f>
        <v>1098.8851304702137</v>
      </c>
      <c r="N304">
        <f>IF($J304&gt;MAX('Match Log'!$A$4:$A$810),NA(),IFERROR(LOOKUP(2,1/(('Match Log'!$D$4:$D$810=$N$24)*('Match Log'!$A$4:$A$810&lt;=$J304)),'Match Log'!$N$4:$N$810),NA()))</f>
        <v>907.03133644117429</v>
      </c>
      <c r="O304">
        <f>IF($J304&gt;MAX('Match Log'!$A$4:$A$810),NA(),IFERROR(LOOKUP(2,1/(('Match Log'!$D$4:$D$810=$O$24)*('Match Log'!$A$4:$A$810&lt;=$J304)),'Match Log'!$N$4:$N$810),NA()))</f>
        <v>1155.9112046633588</v>
      </c>
      <c r="P304">
        <f>IF($J304&gt;MAX('Match Log'!$A$4:$A$810),NA(),IFERROR(LOOKUP(2,1/(('Match Log'!$D$4:$D$810=$P$24)*('Match Log'!$A$4:$A$810&lt;=$J304)),'Match Log'!$N$4:$N$810),NA()))</f>
        <v>1290.2360747990879</v>
      </c>
      <c r="Q304">
        <f>IF($J304&gt;MAX('Match Log'!$A$4:$A$810),NA(),IFERROR(LOOKUP(2,1/(('Match Log'!$D$4:$D$810=$Q$24)*('Match Log'!$A$4:$A$810&lt;=$J304)),'Match Log'!$N$4:$N$810),NA()))</f>
        <v>1150.6459877730351</v>
      </c>
      <c r="R304">
        <f>IF($J304&gt;MAX('Match Log'!$A$4:$A$810),NA(),IFERROR(LOOKUP(2,1/(('Match Log'!$D$4:$D$810=$R$24)*('Match Log'!$A$4:$A$810&lt;=$J304)),'Match Log'!$N$4:$N$810),NA()))</f>
        <v>1007.7369116310465</v>
      </c>
      <c r="S304">
        <f>IF($J304&gt;MAX('Match Log'!$A$4:$A$810),NA(),IFERROR(LOOKUP(2,1/(('Match Log'!$D$4:$D$810=$S$24)*('Match Log'!$A$4:$A$810&lt;=$J304)),'Match Log'!$N$4:$N$810),NA()))</f>
        <v>1248.9288111472574</v>
      </c>
      <c r="T304">
        <f>IF($J304&gt;MAX('Match Log'!$A$4:$A$810),NA(),IFERROR(LOOKUP(2,1/(('Match Log'!$D$4:$D$810=$T$24)*('Match Log'!$A$4:$A$810&lt;=$J304)),'Match Log'!$N$4:$N$810),NA()))</f>
        <v>862.22294373677494</v>
      </c>
      <c r="U304">
        <f>IF($J304&gt;MAX('Match Log'!$A$4:$A$810),NA(),IFERROR(LOOKUP(2,1/(('Match Log'!$D$4:$D$810=$U$24)*('Match Log'!$A$4:$A$810&lt;=$J304)),'Match Log'!$N$4:$N$810),NA()))</f>
        <v>954.59366218065418</v>
      </c>
      <c r="V304">
        <f>IF($J304&gt;MAX('Match Log'!$A$4:$A$810),NA(),IFERROR(LOOKUP(2,1/(('Match Log'!$D$4:$D$810=$V$24)*('Match Log'!$A$4:$A$810&lt;=$J304)),'Match Log'!$N$4:$N$810),NA()))</f>
        <v>1087.5488947064855</v>
      </c>
      <c r="W304">
        <f>IF($J304&gt;MAX('Match Log'!$A$4:$A$810),NA(),IFERROR(LOOKUP(2,1/(('Match Log'!$D$4:$D$810=$W$24)*('Match Log'!$A$4:$A$810&lt;=$J304)),'Match Log'!$N$4:$N$810),NA()))</f>
        <v>1023.2192605207141</v>
      </c>
      <c r="X304" t="e">
        <f>IF($J304&gt;MAX('Match Log'!$A$4:$A$810),NA(),IFERROR(LOOKUP(2,1/(('Match Log'!$D$4:$D$810=$X$24)*('Match Log'!$A$4:$A$810&lt;=$J304)),'Match Log'!$N$4:$N$810),NA()))</f>
        <v>#N/A</v>
      </c>
      <c r="Y304" t="str">
        <f t="shared" ca="1" si="30"/>
        <v/>
      </c>
    </row>
    <row r="305" spans="1:25" x14ac:dyDescent="0.2">
      <c r="A305">
        <v>281</v>
      </c>
      <c r="B305">
        <f>IFERROR(INDEX('Match Log'!$B$4:$B$810,MATCH(281,'Match Log'!$A$4:$A$810,0)),"")</f>
        <v>46271</v>
      </c>
      <c r="C305" t="str">
        <f>IFERROR(INDEX('Match Log'!$C$4:$C$810,MATCH(281,'Match Log'!$A$4:$A$810,0)),"")</f>
        <v>Back Yard Putt Putt</v>
      </c>
      <c r="D305" t="str">
        <f t="array" ref="D305">IFERROR(_xlfn.TEXTJOIN(" + ",TRUE(),IF(('Match Log'!$A$4:$A$810=$A305)*('Match Log'!$E$4:$E$810="Win"),'Match Log'!$D$4:$D$810,"")),IFERROR(LOOKUP(2,1/(('Match Log'!$A$4:$A$810=$A305)*('Match Log'!$E$4:$E$810="Win")),'Match Log'!$D$4:$D$810),""))</f>
        <v>Simon</v>
      </c>
      <c r="E305">
        <f>IFERROR(INDEX('Match Log'!$F$4:$F$810,MATCH(281,'Match Log'!$A$4:$A$810,0)),"")</f>
        <v>3</v>
      </c>
      <c r="F305">
        <f>IFERROR(SUMIFS('Match Log'!$I$4:$I$810,'Match Log'!$A$4:$A$810,281,'Match Log'!$E$4:$E$810,"Win"),"")</f>
        <v>0.5</v>
      </c>
      <c r="G305">
        <f t="shared" si="28"/>
        <v>-0.5</v>
      </c>
      <c r="H305" t="str">
        <f t="array" ref="H305">IFERROR(IF(COUNTIFS('Match Log'!$A$4:$A$810,$A305,'Match Log'!$E$4:$E$810,"Win")&gt;1,_xlfn.TEXTJOIN(" + ",TRUE(),IF(('Match Log'!$A$4:$A$810=$A305)*('Match Log'!$E$4:$E$810="Loss"),'Match Log'!$D$4:$D$810,"")),IF($E305=2,LOOKUP(2,1/(('Match Log'!$A$4:$A$810=$A305)*('Match Log'!$E$4:$E$810="Loss")),'Match Log'!$D$4:$D$810),"the field")),"")</f>
        <v>the field</v>
      </c>
      <c r="I305">
        <f t="shared" si="29"/>
        <v>-0.50028099999999998</v>
      </c>
      <c r="J305">
        <v>281</v>
      </c>
      <c r="K305">
        <f>IF($J305&gt;MAX('Match Log'!$A$4:$A$810),NA(),IFERROR(LOOKUP(2,1/(('Match Log'!$D$4:$D$810=$K$24)*('Match Log'!$A$4:$A$810&lt;=$J305)),'Match Log'!$N$4:$N$810),NA()))</f>
        <v>1265.5221853966827</v>
      </c>
      <c r="L305">
        <f>IF($J305&gt;MAX('Match Log'!$A$4:$A$810),NA(),IFERROR(LOOKUP(2,1/(('Match Log'!$D$4:$D$810=$L$24)*('Match Log'!$A$4:$A$810&lt;=$J305)),'Match Log'!$N$4:$N$810),NA()))</f>
        <v>1029.5175965335138</v>
      </c>
      <c r="M305">
        <f>IF($J305&gt;MAX('Match Log'!$A$4:$A$810),NA(),IFERROR(LOOKUP(2,1/(('Match Log'!$D$4:$D$810=$M$24)*('Match Log'!$A$4:$A$810&lt;=$J305)),'Match Log'!$N$4:$N$810),NA()))</f>
        <v>1098.8851304702137</v>
      </c>
      <c r="N305">
        <f>IF($J305&gt;MAX('Match Log'!$A$4:$A$810),NA(),IFERROR(LOOKUP(2,1/(('Match Log'!$D$4:$D$810=$N$24)*('Match Log'!$A$4:$A$810&lt;=$J305)),'Match Log'!$N$4:$N$810),NA()))</f>
        <v>907.03133644117429</v>
      </c>
      <c r="O305">
        <f>IF($J305&gt;MAX('Match Log'!$A$4:$A$810),NA(),IFERROR(LOOKUP(2,1/(('Match Log'!$D$4:$D$810=$O$24)*('Match Log'!$A$4:$A$810&lt;=$J305)),'Match Log'!$N$4:$N$810),NA()))</f>
        <v>1155.9112046633588</v>
      </c>
      <c r="P305">
        <f>IF($J305&gt;MAX('Match Log'!$A$4:$A$810),NA(),IFERROR(LOOKUP(2,1/(('Match Log'!$D$4:$D$810=$P$24)*('Match Log'!$A$4:$A$810&lt;=$J305)),'Match Log'!$N$4:$N$810),NA()))</f>
        <v>1279.4683066115135</v>
      </c>
      <c r="Q305">
        <f>IF($J305&gt;MAX('Match Log'!$A$4:$A$810),NA(),IFERROR(LOOKUP(2,1/(('Match Log'!$D$4:$D$810=$Q$24)*('Match Log'!$A$4:$A$810&lt;=$J305)),'Match Log'!$N$4:$N$810),NA()))</f>
        <v>1174.3479488372172</v>
      </c>
      <c r="R305">
        <f>IF($J305&gt;MAX('Match Log'!$A$4:$A$810),NA(),IFERROR(LOOKUP(2,1/(('Match Log'!$D$4:$D$810=$R$24)*('Match Log'!$A$4:$A$810&lt;=$J305)),'Match Log'!$N$4:$N$810),NA()))</f>
        <v>1007.7369116310465</v>
      </c>
      <c r="S305">
        <f>IF($J305&gt;MAX('Match Log'!$A$4:$A$810),NA(),IFERROR(LOOKUP(2,1/(('Match Log'!$D$4:$D$810=$S$24)*('Match Log'!$A$4:$A$810&lt;=$J305)),'Match Log'!$N$4:$N$810),NA()))</f>
        <v>1248.9288111472574</v>
      </c>
      <c r="T305">
        <f>IF($J305&gt;MAX('Match Log'!$A$4:$A$810),NA(),IFERROR(LOOKUP(2,1/(('Match Log'!$D$4:$D$810=$T$24)*('Match Log'!$A$4:$A$810&lt;=$J305)),'Match Log'!$N$4:$N$810),NA()))</f>
        <v>862.22294373677494</v>
      </c>
      <c r="U305">
        <f>IF($J305&gt;MAX('Match Log'!$A$4:$A$810),NA(),IFERROR(LOOKUP(2,1/(('Match Log'!$D$4:$D$810=$U$24)*('Match Log'!$A$4:$A$810&lt;=$J305)),'Match Log'!$N$4:$N$810),NA()))</f>
        <v>950.65946930404652</v>
      </c>
      <c r="V305">
        <f>IF($J305&gt;MAX('Match Log'!$A$4:$A$810),NA(),IFERROR(LOOKUP(2,1/(('Match Log'!$D$4:$D$810=$V$24)*('Match Log'!$A$4:$A$810&lt;=$J305)),'Match Log'!$N$4:$N$810),NA()))</f>
        <v>1087.5488947064855</v>
      </c>
      <c r="W305">
        <f>IF($J305&gt;MAX('Match Log'!$A$4:$A$810),NA(),IFERROR(LOOKUP(2,1/(('Match Log'!$D$4:$D$810=$W$24)*('Match Log'!$A$4:$A$810&lt;=$J305)),'Match Log'!$N$4:$N$810),NA()))</f>
        <v>1023.2192605207141</v>
      </c>
      <c r="X305" t="e">
        <f>IF($J305&gt;MAX('Match Log'!$A$4:$A$810),NA(),IFERROR(LOOKUP(2,1/(('Match Log'!$D$4:$D$810=$X$24)*('Match Log'!$A$4:$A$810&lt;=$J305)),'Match Log'!$N$4:$N$810),NA()))</f>
        <v>#N/A</v>
      </c>
      <c r="Y305" t="str">
        <f t="shared" ca="1" si="30"/>
        <v/>
      </c>
    </row>
    <row r="306" spans="1:25" x14ac:dyDescent="0.2">
      <c r="A306">
        <v>282</v>
      </c>
      <c r="B306">
        <f>IFERROR(INDEX('Match Log'!$B$4:$B$810,MATCH(282,'Match Log'!$A$4:$A$810,0)),"")</f>
        <v>46271</v>
      </c>
      <c r="C306" t="str">
        <f>IFERROR(INDEX('Match Log'!$C$4:$C$810,MATCH(282,'Match Log'!$A$4:$A$810,0)),"")</f>
        <v>Back Yard Putt Putt</v>
      </c>
      <c r="D306" t="str">
        <f t="array" ref="D306">IFERROR(_xlfn.TEXTJOIN(" + ",TRUE(),IF(('Match Log'!$A$4:$A$810=$A306)*('Match Log'!$E$4:$E$810="Win"),'Match Log'!$D$4:$D$810,"")),IFERROR(LOOKUP(2,1/(('Match Log'!$A$4:$A$810=$A306)*('Match Log'!$E$4:$E$810="Win")),'Match Log'!$D$4:$D$810),""))</f>
        <v>Simon</v>
      </c>
      <c r="E306">
        <f>IFERROR(INDEX('Match Log'!$F$4:$F$810,MATCH(282,'Match Log'!$A$4:$A$810,0)),"")</f>
        <v>3</v>
      </c>
      <c r="F306">
        <f>IFERROR(SUMIFS('Match Log'!$I$4:$I$810,'Match Log'!$A$4:$A$810,282,'Match Log'!$E$4:$E$810,"Win"),"")</f>
        <v>0.5714285714285714</v>
      </c>
      <c r="G306">
        <f t="shared" si="28"/>
        <v>-0.71428571428571419</v>
      </c>
      <c r="H306" t="str">
        <f t="array" ref="H306">IFERROR(IF(COUNTIFS('Match Log'!$A$4:$A$810,$A306,'Match Log'!$E$4:$E$810,"Win")&gt;1,_xlfn.TEXTJOIN(" + ",TRUE(),IF(('Match Log'!$A$4:$A$810=$A306)*('Match Log'!$E$4:$E$810="Loss"),'Match Log'!$D$4:$D$810,"")),IF($E306=2,LOOKUP(2,1/(('Match Log'!$A$4:$A$810=$A306)*('Match Log'!$E$4:$E$810="Loss")),'Match Log'!$D$4:$D$810),"the field")),"")</f>
        <v>the field</v>
      </c>
      <c r="I306">
        <f t="shared" si="29"/>
        <v>-0.7145677142857142</v>
      </c>
      <c r="J306">
        <v>282</v>
      </c>
      <c r="K306">
        <f>IF($J306&gt;MAX('Match Log'!$A$4:$A$810),NA(),IFERROR(LOOKUP(2,1/(('Match Log'!$D$4:$D$810=$K$24)*('Match Log'!$A$4:$A$810&lt;=$J306)),'Match Log'!$N$4:$N$810),NA()))</f>
        <v>1265.5221853966827</v>
      </c>
      <c r="L306">
        <f>IF($J306&gt;MAX('Match Log'!$A$4:$A$810),NA(),IFERROR(LOOKUP(2,1/(('Match Log'!$D$4:$D$810=$L$24)*('Match Log'!$A$4:$A$810&lt;=$J306)),'Match Log'!$N$4:$N$810),NA()))</f>
        <v>1029.5175965335138</v>
      </c>
      <c r="M306">
        <f>IF($J306&gt;MAX('Match Log'!$A$4:$A$810),NA(),IFERROR(LOOKUP(2,1/(('Match Log'!$D$4:$D$810=$M$24)*('Match Log'!$A$4:$A$810&lt;=$J306)),'Match Log'!$N$4:$N$810),NA()))</f>
        <v>1098.8851304702137</v>
      </c>
      <c r="N306">
        <f>IF($J306&gt;MAX('Match Log'!$A$4:$A$810),NA(),IFERROR(LOOKUP(2,1/(('Match Log'!$D$4:$D$810=$N$24)*('Match Log'!$A$4:$A$810&lt;=$J306)),'Match Log'!$N$4:$N$810),NA()))</f>
        <v>907.03133644117429</v>
      </c>
      <c r="O306">
        <f>IF($J306&gt;MAX('Match Log'!$A$4:$A$810),NA(),IFERROR(LOOKUP(2,1/(('Match Log'!$D$4:$D$810=$O$24)*('Match Log'!$A$4:$A$810&lt;=$J306)),'Match Log'!$N$4:$N$810),NA()))</f>
        <v>1155.9112046633588</v>
      </c>
      <c r="P306">
        <f>IF($J306&gt;MAX('Match Log'!$A$4:$A$810),NA(),IFERROR(LOOKUP(2,1/(('Match Log'!$D$4:$D$810=$P$24)*('Match Log'!$A$4:$A$810&lt;=$J306)),'Match Log'!$N$4:$N$810),NA()))</f>
        <v>1270.1720409968057</v>
      </c>
      <c r="Q306">
        <f>IF($J306&gt;MAX('Match Log'!$A$4:$A$810),NA(),IFERROR(LOOKUP(2,1/(('Match Log'!$D$4:$D$810=$Q$24)*('Match Log'!$A$4:$A$810&lt;=$J306)),'Match Log'!$N$4:$N$810),NA()))</f>
        <v>1196.0128280089295</v>
      </c>
      <c r="R306">
        <f>IF($J306&gt;MAX('Match Log'!$A$4:$A$810),NA(),IFERROR(LOOKUP(2,1/(('Match Log'!$D$4:$D$810=$R$24)*('Match Log'!$A$4:$A$810&lt;=$J306)),'Match Log'!$N$4:$N$810),NA()))</f>
        <v>1007.7369116310465</v>
      </c>
      <c r="S306">
        <f>IF($J306&gt;MAX('Match Log'!$A$4:$A$810),NA(),IFERROR(LOOKUP(2,1/(('Match Log'!$D$4:$D$810=$S$24)*('Match Log'!$A$4:$A$810&lt;=$J306)),'Match Log'!$N$4:$N$810),NA()))</f>
        <v>1248.9288111472574</v>
      </c>
      <c r="T306">
        <f>IF($J306&gt;MAX('Match Log'!$A$4:$A$810),NA(),IFERROR(LOOKUP(2,1/(('Match Log'!$D$4:$D$810=$T$24)*('Match Log'!$A$4:$A$810&lt;=$J306)),'Match Log'!$N$4:$N$810),NA()))</f>
        <v>862.22294373677494</v>
      </c>
      <c r="U306">
        <f>IF($J306&gt;MAX('Match Log'!$A$4:$A$810),NA(),IFERROR(LOOKUP(2,1/(('Match Log'!$D$4:$D$810=$U$24)*('Match Log'!$A$4:$A$810&lt;=$J306)),'Match Log'!$N$4:$N$810),NA()))</f>
        <v>947.29085574704209</v>
      </c>
      <c r="V306">
        <f>IF($J306&gt;MAX('Match Log'!$A$4:$A$810),NA(),IFERROR(LOOKUP(2,1/(('Match Log'!$D$4:$D$810=$V$24)*('Match Log'!$A$4:$A$810&lt;=$J306)),'Match Log'!$N$4:$N$810),NA()))</f>
        <v>1087.5488947064855</v>
      </c>
      <c r="W306">
        <f>IF($J306&gt;MAX('Match Log'!$A$4:$A$810),NA(),IFERROR(LOOKUP(2,1/(('Match Log'!$D$4:$D$810=$W$24)*('Match Log'!$A$4:$A$810&lt;=$J306)),'Match Log'!$N$4:$N$810),NA()))</f>
        <v>1023.2192605207141</v>
      </c>
      <c r="X306" t="e">
        <f>IF($J306&gt;MAX('Match Log'!$A$4:$A$810),NA(),IFERROR(LOOKUP(2,1/(('Match Log'!$D$4:$D$810=$X$24)*('Match Log'!$A$4:$A$810&lt;=$J306)),'Match Log'!$N$4:$N$810),NA()))</f>
        <v>#N/A</v>
      </c>
      <c r="Y306" t="str">
        <f t="shared" ca="1" si="30"/>
        <v/>
      </c>
    </row>
    <row r="307" spans="1:25" x14ac:dyDescent="0.2">
      <c r="A307">
        <v>283</v>
      </c>
      <c r="B307">
        <f>IFERROR(INDEX('Match Log'!$B$4:$B$810,MATCH(283,'Match Log'!$A$4:$A$810,0)),"")</f>
        <v>46271</v>
      </c>
      <c r="C307" t="str">
        <f>IFERROR(INDEX('Match Log'!$C$4:$C$810,MATCH(283,'Match Log'!$A$4:$A$810,0)),"")</f>
        <v>Back Yard Putt Putt</v>
      </c>
      <c r="D307" t="str">
        <f t="array" ref="D307">IFERROR(_xlfn.TEXTJOIN(" + ",TRUE(),IF(('Match Log'!$A$4:$A$810=$A307)*('Match Log'!$E$4:$E$810="Win"),'Match Log'!$D$4:$D$810,"")),IFERROR(LOOKUP(2,1/(('Match Log'!$A$4:$A$810=$A307)*('Match Log'!$E$4:$E$810="Win")),'Match Log'!$D$4:$D$810),""))</f>
        <v>Simon</v>
      </c>
      <c r="E307">
        <f>IFERROR(INDEX('Match Log'!$F$4:$F$810,MATCH(283,'Match Log'!$A$4:$A$810,0)),"")</f>
        <v>3</v>
      </c>
      <c r="F307">
        <f>IFERROR(SUMIFS('Match Log'!$I$4:$I$810,'Match Log'!$A$4:$A$810,283,'Match Log'!$E$4:$E$810,"Win"),"")</f>
        <v>0.625</v>
      </c>
      <c r="G307">
        <f t="shared" si="28"/>
        <v>-0.875</v>
      </c>
      <c r="H307" t="str">
        <f t="array" ref="H307">IFERROR(IF(COUNTIFS('Match Log'!$A$4:$A$810,$A307,'Match Log'!$E$4:$E$810,"Win")&gt;1,_xlfn.TEXTJOIN(" + ",TRUE(),IF(('Match Log'!$A$4:$A$810=$A307)*('Match Log'!$E$4:$E$810="Loss"),'Match Log'!$D$4:$D$810,"")),IF($E307=2,LOOKUP(2,1/(('Match Log'!$A$4:$A$810=$A307)*('Match Log'!$E$4:$E$810="Loss")),'Match Log'!$D$4:$D$810),"the field")),"")</f>
        <v>the field</v>
      </c>
      <c r="I307">
        <f t="shared" si="29"/>
        <v>-0.87528300000000003</v>
      </c>
      <c r="J307">
        <v>283</v>
      </c>
      <c r="K307">
        <f>IF($J307&gt;MAX('Match Log'!$A$4:$A$810),NA(),IFERROR(LOOKUP(2,1/(('Match Log'!$D$4:$D$810=$K$24)*('Match Log'!$A$4:$A$810&lt;=$J307)),'Match Log'!$N$4:$N$810),NA()))</f>
        <v>1265.5221853966827</v>
      </c>
      <c r="L307">
        <f>IF($J307&gt;MAX('Match Log'!$A$4:$A$810),NA(),IFERROR(LOOKUP(2,1/(('Match Log'!$D$4:$D$810=$L$24)*('Match Log'!$A$4:$A$810&lt;=$J307)),'Match Log'!$N$4:$N$810),NA()))</f>
        <v>1029.5175965335138</v>
      </c>
      <c r="M307">
        <f>IF($J307&gt;MAX('Match Log'!$A$4:$A$810),NA(),IFERROR(LOOKUP(2,1/(('Match Log'!$D$4:$D$810=$M$24)*('Match Log'!$A$4:$A$810&lt;=$J307)),'Match Log'!$N$4:$N$810),NA()))</f>
        <v>1098.8851304702137</v>
      </c>
      <c r="N307">
        <f>IF($J307&gt;MAX('Match Log'!$A$4:$A$810),NA(),IFERROR(LOOKUP(2,1/(('Match Log'!$D$4:$D$810=$N$24)*('Match Log'!$A$4:$A$810&lt;=$J307)),'Match Log'!$N$4:$N$810),NA()))</f>
        <v>907.03133644117429</v>
      </c>
      <c r="O307">
        <f>IF($J307&gt;MAX('Match Log'!$A$4:$A$810),NA(),IFERROR(LOOKUP(2,1/(('Match Log'!$D$4:$D$810=$O$24)*('Match Log'!$A$4:$A$810&lt;=$J307)),'Match Log'!$N$4:$N$810),NA()))</f>
        <v>1155.9112046633588</v>
      </c>
      <c r="P307">
        <f>IF($J307&gt;MAX('Match Log'!$A$4:$A$810),NA(),IFERROR(LOOKUP(2,1/(('Match Log'!$D$4:$D$810=$P$24)*('Match Log'!$A$4:$A$810&lt;=$J307)),'Match Log'!$N$4:$N$810),NA()))</f>
        <v>1262.0849962820685</v>
      </c>
      <c r="Q307">
        <f>IF($J307&gt;MAX('Match Log'!$A$4:$A$810),NA(),IFERROR(LOOKUP(2,1/(('Match Log'!$D$4:$D$810=$Q$24)*('Match Log'!$A$4:$A$810&lt;=$J307)),'Match Log'!$N$4:$N$810),NA()))</f>
        <v>1215.996181687143</v>
      </c>
      <c r="R307">
        <f>IF($J307&gt;MAX('Match Log'!$A$4:$A$810),NA(),IFERROR(LOOKUP(2,1/(('Match Log'!$D$4:$D$810=$R$24)*('Match Log'!$A$4:$A$810&lt;=$J307)),'Match Log'!$N$4:$N$810),NA()))</f>
        <v>1007.7369116310465</v>
      </c>
      <c r="S307">
        <f>IF($J307&gt;MAX('Match Log'!$A$4:$A$810),NA(),IFERROR(LOOKUP(2,1/(('Match Log'!$D$4:$D$810=$S$24)*('Match Log'!$A$4:$A$810&lt;=$J307)),'Match Log'!$N$4:$N$810),NA()))</f>
        <v>1248.9288111472574</v>
      </c>
      <c r="T307">
        <f>IF($J307&gt;MAX('Match Log'!$A$4:$A$810),NA(),IFERROR(LOOKUP(2,1/(('Match Log'!$D$4:$D$810=$T$24)*('Match Log'!$A$4:$A$810&lt;=$J307)),'Match Log'!$N$4:$N$810),NA()))</f>
        <v>862.22294373677494</v>
      </c>
      <c r="U307">
        <f>IF($J307&gt;MAX('Match Log'!$A$4:$A$810),NA(),IFERROR(LOOKUP(2,1/(('Match Log'!$D$4:$D$810=$U$24)*('Match Log'!$A$4:$A$810&lt;=$J307)),'Match Log'!$N$4:$N$810),NA()))</f>
        <v>944.39454678356583</v>
      </c>
      <c r="V307">
        <f>IF($J307&gt;MAX('Match Log'!$A$4:$A$810),NA(),IFERROR(LOOKUP(2,1/(('Match Log'!$D$4:$D$810=$V$24)*('Match Log'!$A$4:$A$810&lt;=$J307)),'Match Log'!$N$4:$N$810),NA()))</f>
        <v>1087.5488947064855</v>
      </c>
      <c r="W307">
        <f>IF($J307&gt;MAX('Match Log'!$A$4:$A$810),NA(),IFERROR(LOOKUP(2,1/(('Match Log'!$D$4:$D$810=$W$24)*('Match Log'!$A$4:$A$810&lt;=$J307)),'Match Log'!$N$4:$N$810),NA()))</f>
        <v>1023.2192605207141</v>
      </c>
      <c r="X307" t="e">
        <f>IF($J307&gt;MAX('Match Log'!$A$4:$A$810),NA(),IFERROR(LOOKUP(2,1/(('Match Log'!$D$4:$D$810=$X$24)*('Match Log'!$A$4:$A$810&lt;=$J307)),'Match Log'!$N$4:$N$810),NA()))</f>
        <v>#N/A</v>
      </c>
      <c r="Y307" t="str">
        <f t="shared" ca="1" si="30"/>
        <v/>
      </c>
    </row>
    <row r="308" spans="1:25" x14ac:dyDescent="0.2">
      <c r="A308">
        <v>284</v>
      </c>
      <c r="B308">
        <f>IFERROR(INDEX('Match Log'!$B$4:$B$810,MATCH(284,'Match Log'!$A$4:$A$810,0)),"")</f>
        <v>46272</v>
      </c>
      <c r="C308" t="str">
        <f>IFERROR(INDEX('Match Log'!$C$4:$C$810,MATCH(284,'Match Log'!$A$4:$A$810,0)),"")</f>
        <v>Pool</v>
      </c>
      <c r="D308" t="str">
        <f t="array" ref="D308">IFERROR(_xlfn.TEXTJOIN(" + ",TRUE(),IF(('Match Log'!$A$4:$A$810=$A308)*('Match Log'!$E$4:$E$810="Win"),'Match Log'!$D$4:$D$810,"")),IFERROR(LOOKUP(2,1/(('Match Log'!$A$4:$A$810=$A308)*('Match Log'!$E$4:$E$810="Win")),'Match Log'!$D$4:$D$810),""))</f>
        <v>Josh</v>
      </c>
      <c r="E308">
        <f>IFERROR(INDEX('Match Log'!$F$4:$F$810,MATCH(284,'Match Log'!$A$4:$A$810,0)),"")</f>
        <v>2</v>
      </c>
      <c r="F308">
        <f>IFERROR(SUMIFS('Match Log'!$I$4:$I$810,'Match Log'!$A$4:$A$810,284,'Match Log'!$E$4:$E$810,"Win"),"")</f>
        <v>0.33333333333333331</v>
      </c>
      <c r="G308">
        <f t="shared" si="28"/>
        <v>0.33333333333333337</v>
      </c>
      <c r="H308" t="str">
        <f t="array" ref="H308">IFERROR(IF(COUNTIFS('Match Log'!$A$4:$A$810,$A308,'Match Log'!$E$4:$E$810,"Win")&gt;1,_xlfn.TEXTJOIN(" + ",TRUE(),IF(('Match Log'!$A$4:$A$810=$A308)*('Match Log'!$E$4:$E$810="Loss"),'Match Log'!$D$4:$D$810,"")),IF($E308=2,LOOKUP(2,1/(('Match Log'!$A$4:$A$810=$A308)*('Match Log'!$E$4:$E$810="Loss")),'Match Log'!$D$4:$D$810),"the field")),"")</f>
        <v>Daniel (Ferret)</v>
      </c>
      <c r="I308">
        <f t="shared" si="29"/>
        <v>0.33304933333333336</v>
      </c>
      <c r="J308">
        <v>284</v>
      </c>
      <c r="K308">
        <f>IF($J308&gt;MAX('Match Log'!$A$4:$A$810),NA(),IFERROR(LOOKUP(2,1/(('Match Log'!$D$4:$D$810=$K$24)*('Match Log'!$A$4:$A$810&lt;=$J308)),'Match Log'!$N$4:$N$810),NA()))</f>
        <v>1265.5221853966827</v>
      </c>
      <c r="L308">
        <f>IF($J308&gt;MAX('Match Log'!$A$4:$A$810),NA(),IFERROR(LOOKUP(2,1/(('Match Log'!$D$4:$D$810=$L$24)*('Match Log'!$A$4:$A$810&lt;=$J308)),'Match Log'!$N$4:$N$810),NA()))</f>
        <v>1029.5175965335138</v>
      </c>
      <c r="M308">
        <f>IF($J308&gt;MAX('Match Log'!$A$4:$A$810),NA(),IFERROR(LOOKUP(2,1/(('Match Log'!$D$4:$D$810=$M$24)*('Match Log'!$A$4:$A$810&lt;=$J308)),'Match Log'!$N$4:$N$810),NA()))</f>
        <v>1098.8851304702137</v>
      </c>
      <c r="N308">
        <f>IF($J308&gt;MAX('Match Log'!$A$4:$A$810),NA(),IFERROR(LOOKUP(2,1/(('Match Log'!$D$4:$D$810=$N$24)*('Match Log'!$A$4:$A$810&lt;=$J308)),'Match Log'!$N$4:$N$810),NA()))</f>
        <v>907.03133644117429</v>
      </c>
      <c r="O308">
        <f>IF($J308&gt;MAX('Match Log'!$A$4:$A$810),NA(),IFERROR(LOOKUP(2,1/(('Match Log'!$D$4:$D$810=$O$24)*('Match Log'!$A$4:$A$810&lt;=$J308)),'Match Log'!$N$4:$N$810),NA()))</f>
        <v>1175.38115495639</v>
      </c>
      <c r="P308">
        <f>IF($J308&gt;MAX('Match Log'!$A$4:$A$810),NA(),IFERROR(LOOKUP(2,1/(('Match Log'!$D$4:$D$810=$P$24)*('Match Log'!$A$4:$A$810&lt;=$J308)),'Match Log'!$N$4:$N$810),NA()))</f>
        <v>1262.0849962820685</v>
      </c>
      <c r="Q308">
        <f>IF($J308&gt;MAX('Match Log'!$A$4:$A$810),NA(),IFERROR(LOOKUP(2,1/(('Match Log'!$D$4:$D$810=$Q$24)*('Match Log'!$A$4:$A$810&lt;=$J308)),'Match Log'!$N$4:$N$810),NA()))</f>
        <v>1215.996181687143</v>
      </c>
      <c r="R308">
        <f>IF($J308&gt;MAX('Match Log'!$A$4:$A$810),NA(),IFERROR(LOOKUP(2,1/(('Match Log'!$D$4:$D$810=$R$24)*('Match Log'!$A$4:$A$810&lt;=$J308)),'Match Log'!$N$4:$N$810),NA()))</f>
        <v>988.26696133801534</v>
      </c>
      <c r="S308">
        <f>IF($J308&gt;MAX('Match Log'!$A$4:$A$810),NA(),IFERROR(LOOKUP(2,1/(('Match Log'!$D$4:$D$810=$S$24)*('Match Log'!$A$4:$A$810&lt;=$J308)),'Match Log'!$N$4:$N$810),NA()))</f>
        <v>1248.9288111472574</v>
      </c>
      <c r="T308">
        <f>IF($J308&gt;MAX('Match Log'!$A$4:$A$810),NA(),IFERROR(LOOKUP(2,1/(('Match Log'!$D$4:$D$810=$T$24)*('Match Log'!$A$4:$A$810&lt;=$J308)),'Match Log'!$N$4:$N$810),NA()))</f>
        <v>862.22294373677494</v>
      </c>
      <c r="U308">
        <f>IF($J308&gt;MAX('Match Log'!$A$4:$A$810),NA(),IFERROR(LOOKUP(2,1/(('Match Log'!$D$4:$D$810=$U$24)*('Match Log'!$A$4:$A$810&lt;=$J308)),'Match Log'!$N$4:$N$810),NA()))</f>
        <v>944.39454678356583</v>
      </c>
      <c r="V308">
        <f>IF($J308&gt;MAX('Match Log'!$A$4:$A$810),NA(),IFERROR(LOOKUP(2,1/(('Match Log'!$D$4:$D$810=$V$24)*('Match Log'!$A$4:$A$810&lt;=$J308)),'Match Log'!$N$4:$N$810),NA()))</f>
        <v>1087.5488947064855</v>
      </c>
      <c r="W308">
        <f>IF($J308&gt;MAX('Match Log'!$A$4:$A$810),NA(),IFERROR(LOOKUP(2,1/(('Match Log'!$D$4:$D$810=$W$24)*('Match Log'!$A$4:$A$810&lt;=$J308)),'Match Log'!$N$4:$N$810),NA()))</f>
        <v>1023.2192605207141</v>
      </c>
      <c r="X308" t="e">
        <f>IF($J308&gt;MAX('Match Log'!$A$4:$A$810),NA(),IFERROR(LOOKUP(2,1/(('Match Log'!$D$4:$D$810=$X$24)*('Match Log'!$A$4:$A$810&lt;=$J308)),'Match Log'!$N$4:$N$810),NA()))</f>
        <v>#N/A</v>
      </c>
      <c r="Y308" t="str">
        <f t="shared" ca="1" si="30"/>
        <v/>
      </c>
    </row>
    <row r="309" spans="1:25" x14ac:dyDescent="0.2">
      <c r="A309">
        <v>285</v>
      </c>
      <c r="B309">
        <f>IFERROR(INDEX('Match Log'!$B$4:$B$810,MATCH(285,'Match Log'!$A$4:$A$810,0)),"")</f>
        <v>46272</v>
      </c>
      <c r="C309" t="str">
        <f>IFERROR(INDEX('Match Log'!$C$4:$C$810,MATCH(285,'Match Log'!$A$4:$A$810,0)),"")</f>
        <v>Pool</v>
      </c>
      <c r="D309" t="str">
        <f t="array" ref="D309">IFERROR(_xlfn.TEXTJOIN(" + ",TRUE(),IF(('Match Log'!$A$4:$A$810=$A309)*('Match Log'!$E$4:$E$810="Win"),'Match Log'!$D$4:$D$810,"")),IFERROR(LOOKUP(2,1/(('Match Log'!$A$4:$A$810=$A309)*('Match Log'!$E$4:$E$810="Win")),'Match Log'!$D$4:$D$810),""))</f>
        <v>Josh</v>
      </c>
      <c r="E309">
        <f>IFERROR(INDEX('Match Log'!$F$4:$F$810,MATCH(285,'Match Log'!$A$4:$A$810,0)),"")</f>
        <v>2</v>
      </c>
      <c r="F309">
        <f>IFERROR(SUMIFS('Match Log'!$I$4:$I$810,'Match Log'!$A$4:$A$810,285,'Match Log'!$E$4:$E$810,"Win"),"")</f>
        <v>0.47368421052631582</v>
      </c>
      <c r="G309">
        <f t="shared" si="28"/>
        <v>5.2631578947368363E-2</v>
      </c>
      <c r="H309" t="str">
        <f t="array" ref="H309">IFERROR(IF(COUNTIFS('Match Log'!$A$4:$A$810,$A309,'Match Log'!$E$4:$E$810,"Win")&gt;1,_xlfn.TEXTJOIN(" + ",TRUE(),IF(('Match Log'!$A$4:$A$810=$A309)*('Match Log'!$E$4:$E$810="Loss"),'Match Log'!$D$4:$D$810,"")),IF($E309=2,LOOKUP(2,1/(('Match Log'!$A$4:$A$810=$A309)*('Match Log'!$E$4:$E$810="Loss")),'Match Log'!$D$4:$D$810),"the field")),"")</f>
        <v>Daniel (Ferret)</v>
      </c>
      <c r="I309">
        <f t="shared" si="29"/>
        <v>5.2346578947368362E-2</v>
      </c>
      <c r="J309">
        <v>285</v>
      </c>
      <c r="K309">
        <f>IF($J309&gt;MAX('Match Log'!$A$4:$A$810),NA(),IFERROR(LOOKUP(2,1/(('Match Log'!$D$4:$D$810=$K$24)*('Match Log'!$A$4:$A$810&lt;=$J309)),'Match Log'!$N$4:$N$810),NA()))</f>
        <v>1265.5221853966827</v>
      </c>
      <c r="L309">
        <f>IF($J309&gt;MAX('Match Log'!$A$4:$A$810),NA(),IFERROR(LOOKUP(2,1/(('Match Log'!$D$4:$D$810=$L$24)*('Match Log'!$A$4:$A$810&lt;=$J309)),'Match Log'!$N$4:$N$810),NA()))</f>
        <v>1029.5175965335138</v>
      </c>
      <c r="M309">
        <f>IF($J309&gt;MAX('Match Log'!$A$4:$A$810),NA(),IFERROR(LOOKUP(2,1/(('Match Log'!$D$4:$D$810=$M$24)*('Match Log'!$A$4:$A$810&lt;=$J309)),'Match Log'!$N$4:$N$810),NA()))</f>
        <v>1098.8851304702137</v>
      </c>
      <c r="N309">
        <f>IF($J309&gt;MAX('Match Log'!$A$4:$A$810),NA(),IFERROR(LOOKUP(2,1/(('Match Log'!$D$4:$D$810=$N$24)*('Match Log'!$A$4:$A$810&lt;=$J309)),'Match Log'!$N$4:$N$810),NA()))</f>
        <v>907.03133644117429</v>
      </c>
      <c r="O309">
        <f>IF($J309&gt;MAX('Match Log'!$A$4:$A$810),NA(),IFERROR(LOOKUP(2,1/(('Match Log'!$D$4:$D$810=$O$24)*('Match Log'!$A$4:$A$810&lt;=$J309)),'Match Log'!$N$4:$N$810),NA()))</f>
        <v>1192.3121492095624</v>
      </c>
      <c r="P309">
        <f>IF($J309&gt;MAX('Match Log'!$A$4:$A$810),NA(),IFERROR(LOOKUP(2,1/(('Match Log'!$D$4:$D$810=$P$24)*('Match Log'!$A$4:$A$810&lt;=$J309)),'Match Log'!$N$4:$N$810),NA()))</f>
        <v>1262.0849962820685</v>
      </c>
      <c r="Q309">
        <f>IF($J309&gt;MAX('Match Log'!$A$4:$A$810),NA(),IFERROR(LOOKUP(2,1/(('Match Log'!$D$4:$D$810=$Q$24)*('Match Log'!$A$4:$A$810&lt;=$J309)),'Match Log'!$N$4:$N$810),NA()))</f>
        <v>1215.996181687143</v>
      </c>
      <c r="R309">
        <f>IF($J309&gt;MAX('Match Log'!$A$4:$A$810),NA(),IFERROR(LOOKUP(2,1/(('Match Log'!$D$4:$D$810=$R$24)*('Match Log'!$A$4:$A$810&lt;=$J309)),'Match Log'!$N$4:$N$810),NA()))</f>
        <v>971.33596708484288</v>
      </c>
      <c r="S309">
        <f>IF($J309&gt;MAX('Match Log'!$A$4:$A$810),NA(),IFERROR(LOOKUP(2,1/(('Match Log'!$D$4:$D$810=$S$24)*('Match Log'!$A$4:$A$810&lt;=$J309)),'Match Log'!$N$4:$N$810),NA()))</f>
        <v>1248.9288111472574</v>
      </c>
      <c r="T309">
        <f>IF($J309&gt;MAX('Match Log'!$A$4:$A$810),NA(),IFERROR(LOOKUP(2,1/(('Match Log'!$D$4:$D$810=$T$24)*('Match Log'!$A$4:$A$810&lt;=$J309)),'Match Log'!$N$4:$N$810),NA()))</f>
        <v>862.22294373677494</v>
      </c>
      <c r="U309">
        <f>IF($J309&gt;MAX('Match Log'!$A$4:$A$810),NA(),IFERROR(LOOKUP(2,1/(('Match Log'!$D$4:$D$810=$U$24)*('Match Log'!$A$4:$A$810&lt;=$J309)),'Match Log'!$N$4:$N$810),NA()))</f>
        <v>944.39454678356583</v>
      </c>
      <c r="V309">
        <f>IF($J309&gt;MAX('Match Log'!$A$4:$A$810),NA(),IFERROR(LOOKUP(2,1/(('Match Log'!$D$4:$D$810=$V$24)*('Match Log'!$A$4:$A$810&lt;=$J309)),'Match Log'!$N$4:$N$810),NA()))</f>
        <v>1087.5488947064855</v>
      </c>
      <c r="W309">
        <f>IF($J309&gt;MAX('Match Log'!$A$4:$A$810),NA(),IFERROR(LOOKUP(2,1/(('Match Log'!$D$4:$D$810=$W$24)*('Match Log'!$A$4:$A$810&lt;=$J309)),'Match Log'!$N$4:$N$810),NA()))</f>
        <v>1023.2192605207141</v>
      </c>
      <c r="X309" t="e">
        <f>IF($J309&gt;MAX('Match Log'!$A$4:$A$810),NA(),IFERROR(LOOKUP(2,1/(('Match Log'!$D$4:$D$810=$X$24)*('Match Log'!$A$4:$A$810&lt;=$J309)),'Match Log'!$N$4:$N$810),NA()))</f>
        <v>#N/A</v>
      </c>
      <c r="Y309" t="str">
        <f t="shared" ca="1" si="30"/>
        <v/>
      </c>
    </row>
    <row r="310" spans="1:25" x14ac:dyDescent="0.2">
      <c r="A310">
        <v>286</v>
      </c>
      <c r="B310">
        <f>IFERROR(INDEX('Match Log'!$B$4:$B$810,MATCH(286,'Match Log'!$A$4:$A$810,0)),"")</f>
        <v>46274</v>
      </c>
      <c r="C310" t="str">
        <f>IFERROR(INDEX('Match Log'!$C$4:$C$810,MATCH(286,'Match Log'!$A$4:$A$810,0)),"")</f>
        <v>Chess</v>
      </c>
      <c r="D310" t="str">
        <f t="array" ref="D310">IFERROR(_xlfn.TEXTJOIN(" + ",TRUE(),IF(('Match Log'!$A$4:$A$810=$A310)*('Match Log'!$E$4:$E$810="Win"),'Match Log'!$D$4:$D$810,"")),IFERROR(LOOKUP(2,1/(('Match Log'!$A$4:$A$810=$A310)*('Match Log'!$E$4:$E$810="Win")),'Match Log'!$D$4:$D$810),""))</f>
        <v>Shawn</v>
      </c>
      <c r="E310">
        <f>IFERROR(INDEX('Match Log'!$F$4:$F$810,MATCH(286,'Match Log'!$A$4:$A$810,0)),"")</f>
        <v>2</v>
      </c>
      <c r="F310">
        <f>IFERROR(SUMIFS('Match Log'!$I$4:$I$810,'Match Log'!$A$4:$A$810,286,'Match Log'!$E$4:$E$810,"Win"),"")</f>
        <v>0.5625</v>
      </c>
      <c r="G310">
        <f t="shared" si="28"/>
        <v>-0.125</v>
      </c>
      <c r="H310" t="str">
        <f t="array" ref="H310">IFERROR(IF(COUNTIFS('Match Log'!$A$4:$A$810,$A310,'Match Log'!$E$4:$E$810,"Win")&gt;1,_xlfn.TEXTJOIN(" + ",TRUE(),IF(('Match Log'!$A$4:$A$810=$A310)*('Match Log'!$E$4:$E$810="Loss"),'Match Log'!$D$4:$D$810,"")),IF($E310=2,LOOKUP(2,1/(('Match Log'!$A$4:$A$810=$A310)*('Match Log'!$E$4:$E$810="Loss")),'Match Log'!$D$4:$D$810),"the field")),"")</f>
        <v>Chase</v>
      </c>
      <c r="I310">
        <f t="shared" si="29"/>
        <v>-0.12528600000000001</v>
      </c>
      <c r="J310">
        <v>286</v>
      </c>
      <c r="K310">
        <f>IF($J310&gt;MAX('Match Log'!$A$4:$A$810),NA(),IFERROR(LOOKUP(2,1/(('Match Log'!$D$4:$D$810=$K$24)*('Match Log'!$A$4:$A$810&lt;=$J310)),'Match Log'!$N$4:$N$810),NA()))</f>
        <v>1265.5221853966827</v>
      </c>
      <c r="L310">
        <f>IF($J310&gt;MAX('Match Log'!$A$4:$A$810),NA(),IFERROR(LOOKUP(2,1/(('Match Log'!$D$4:$D$810=$L$24)*('Match Log'!$A$4:$A$810&lt;=$J310)),'Match Log'!$N$4:$N$810),NA()))</f>
        <v>1029.5175965335138</v>
      </c>
      <c r="M310">
        <f>IF($J310&gt;MAX('Match Log'!$A$4:$A$810),NA(),IFERROR(LOOKUP(2,1/(('Match Log'!$D$4:$D$810=$M$24)*('Match Log'!$A$4:$A$810&lt;=$J310)),'Match Log'!$N$4:$N$810),NA()))</f>
        <v>1081.2287215286424</v>
      </c>
      <c r="N310">
        <f>IF($J310&gt;MAX('Match Log'!$A$4:$A$810),NA(),IFERROR(LOOKUP(2,1/(('Match Log'!$D$4:$D$810=$N$24)*('Match Log'!$A$4:$A$810&lt;=$J310)),'Match Log'!$N$4:$N$810),NA()))</f>
        <v>907.03133644117429</v>
      </c>
      <c r="O310">
        <f>IF($J310&gt;MAX('Match Log'!$A$4:$A$810),NA(),IFERROR(LOOKUP(2,1/(('Match Log'!$D$4:$D$810=$O$24)*('Match Log'!$A$4:$A$810&lt;=$J310)),'Match Log'!$N$4:$N$810),NA()))</f>
        <v>1192.3121492095624</v>
      </c>
      <c r="P310">
        <f>IF($J310&gt;MAX('Match Log'!$A$4:$A$810),NA(),IFERROR(LOOKUP(2,1/(('Match Log'!$D$4:$D$810=$P$24)*('Match Log'!$A$4:$A$810&lt;=$J310)),'Match Log'!$N$4:$N$810),NA()))</f>
        <v>1279.7414052236397</v>
      </c>
      <c r="Q310">
        <f>IF($J310&gt;MAX('Match Log'!$A$4:$A$810),NA(),IFERROR(LOOKUP(2,1/(('Match Log'!$D$4:$D$810=$Q$24)*('Match Log'!$A$4:$A$810&lt;=$J310)),'Match Log'!$N$4:$N$810),NA()))</f>
        <v>1215.996181687143</v>
      </c>
      <c r="R310">
        <f>IF($J310&gt;MAX('Match Log'!$A$4:$A$810),NA(),IFERROR(LOOKUP(2,1/(('Match Log'!$D$4:$D$810=$R$24)*('Match Log'!$A$4:$A$810&lt;=$J310)),'Match Log'!$N$4:$N$810),NA()))</f>
        <v>971.33596708484288</v>
      </c>
      <c r="S310">
        <f>IF($J310&gt;MAX('Match Log'!$A$4:$A$810),NA(),IFERROR(LOOKUP(2,1/(('Match Log'!$D$4:$D$810=$S$24)*('Match Log'!$A$4:$A$810&lt;=$J310)),'Match Log'!$N$4:$N$810),NA()))</f>
        <v>1248.9288111472574</v>
      </c>
      <c r="T310">
        <f>IF($J310&gt;MAX('Match Log'!$A$4:$A$810),NA(),IFERROR(LOOKUP(2,1/(('Match Log'!$D$4:$D$810=$T$24)*('Match Log'!$A$4:$A$810&lt;=$J310)),'Match Log'!$N$4:$N$810),NA()))</f>
        <v>862.22294373677494</v>
      </c>
      <c r="U310">
        <f>IF($J310&gt;MAX('Match Log'!$A$4:$A$810),NA(),IFERROR(LOOKUP(2,1/(('Match Log'!$D$4:$D$810=$U$24)*('Match Log'!$A$4:$A$810&lt;=$J310)),'Match Log'!$N$4:$N$810),NA()))</f>
        <v>944.39454678356583</v>
      </c>
      <c r="V310">
        <f>IF($J310&gt;MAX('Match Log'!$A$4:$A$810),NA(),IFERROR(LOOKUP(2,1/(('Match Log'!$D$4:$D$810=$V$24)*('Match Log'!$A$4:$A$810&lt;=$J310)),'Match Log'!$N$4:$N$810),NA()))</f>
        <v>1087.5488947064855</v>
      </c>
      <c r="W310">
        <f>IF($J310&gt;MAX('Match Log'!$A$4:$A$810),NA(),IFERROR(LOOKUP(2,1/(('Match Log'!$D$4:$D$810=$W$24)*('Match Log'!$A$4:$A$810&lt;=$J310)),'Match Log'!$N$4:$N$810),NA()))</f>
        <v>1023.2192605207141</v>
      </c>
      <c r="X310" t="e">
        <f>IF($J310&gt;MAX('Match Log'!$A$4:$A$810),NA(),IFERROR(LOOKUP(2,1/(('Match Log'!$D$4:$D$810=$X$24)*('Match Log'!$A$4:$A$810&lt;=$J310)),'Match Log'!$N$4:$N$810),NA()))</f>
        <v>#N/A</v>
      </c>
      <c r="Y310" t="str">
        <f t="shared" ca="1" si="30"/>
        <v/>
      </c>
    </row>
    <row r="311" spans="1:25" x14ac:dyDescent="0.2">
      <c r="A311">
        <v>287</v>
      </c>
      <c r="B311">
        <f>IFERROR(INDEX('Match Log'!$B$4:$B$810,MATCH(287,'Match Log'!$A$4:$A$810,0)),"")</f>
        <v>46285</v>
      </c>
      <c r="C311" t="str">
        <f>IFERROR(INDEX('Match Log'!$C$4:$C$810,MATCH(287,'Match Log'!$A$4:$A$810,0)),"")</f>
        <v>Mario Golf</v>
      </c>
      <c r="D311" t="str">
        <f t="array" ref="D311">IFERROR(_xlfn.TEXTJOIN(" + ",TRUE(),IF(('Match Log'!$A$4:$A$810=$A311)*('Match Log'!$E$4:$E$810="Win"),'Match Log'!$D$4:$D$810,"")),IFERROR(LOOKUP(2,1/(('Match Log'!$A$4:$A$810=$A311)*('Match Log'!$E$4:$E$810="Win")),'Match Log'!$D$4:$D$810),""))</f>
        <v>Daniel (Ferret)</v>
      </c>
      <c r="E311">
        <f>IFERROR(INDEX('Match Log'!$F$4:$F$810,MATCH(287,'Match Log'!$A$4:$A$810,0)),"")</f>
        <v>2</v>
      </c>
      <c r="F311">
        <f>IFERROR(SUMIFS('Match Log'!$I$4:$I$810,'Match Log'!$A$4:$A$810,287,'Match Log'!$E$4:$E$810,"Win"),"")</f>
        <v>0.41538461538461541</v>
      </c>
      <c r="G311">
        <f t="shared" si="28"/>
        <v>0.16923076923076918</v>
      </c>
      <c r="H311" t="str">
        <f t="array" ref="H311">IFERROR(IF(COUNTIFS('Match Log'!$A$4:$A$810,$A311,'Match Log'!$E$4:$E$810,"Win")&gt;1,_xlfn.TEXTJOIN(" + ",TRUE(),IF(('Match Log'!$A$4:$A$810=$A311)*('Match Log'!$E$4:$E$810="Loss"),'Match Log'!$D$4:$D$810,"")),IF($E311=2,LOOKUP(2,1/(('Match Log'!$A$4:$A$810=$A311)*('Match Log'!$E$4:$E$810="Loss")),'Match Log'!$D$4:$D$810),"the field")),"")</f>
        <v>Shawn</v>
      </c>
      <c r="I311">
        <f t="shared" si="29"/>
        <v>0.16894376923076918</v>
      </c>
      <c r="J311">
        <v>287</v>
      </c>
      <c r="K311">
        <f>IF($J311&gt;MAX('Match Log'!$A$4:$A$810),NA(),IFERROR(LOOKUP(2,1/(('Match Log'!$D$4:$D$810=$K$24)*('Match Log'!$A$4:$A$810&lt;=$J311)),'Match Log'!$N$4:$N$810),NA()))</f>
        <v>1265.5221853966827</v>
      </c>
      <c r="L311">
        <f>IF($J311&gt;MAX('Match Log'!$A$4:$A$810),NA(),IFERROR(LOOKUP(2,1/(('Match Log'!$D$4:$D$810=$L$24)*('Match Log'!$A$4:$A$810&lt;=$J311)),'Match Log'!$N$4:$N$810),NA()))</f>
        <v>1029.5175965335138</v>
      </c>
      <c r="M311">
        <f>IF($J311&gt;MAX('Match Log'!$A$4:$A$810),NA(),IFERROR(LOOKUP(2,1/(('Match Log'!$D$4:$D$810=$M$24)*('Match Log'!$A$4:$A$810&lt;=$J311)),'Match Log'!$N$4:$N$810),NA()))</f>
        <v>1081.2287215286424</v>
      </c>
      <c r="N311">
        <f>IF($J311&gt;MAX('Match Log'!$A$4:$A$810),NA(),IFERROR(LOOKUP(2,1/(('Match Log'!$D$4:$D$810=$N$24)*('Match Log'!$A$4:$A$810&lt;=$J311)),'Match Log'!$N$4:$N$810),NA()))</f>
        <v>907.03133644117429</v>
      </c>
      <c r="O311">
        <f>IF($J311&gt;MAX('Match Log'!$A$4:$A$810),NA(),IFERROR(LOOKUP(2,1/(('Match Log'!$D$4:$D$810=$O$24)*('Match Log'!$A$4:$A$810&lt;=$J311)),'Match Log'!$N$4:$N$810),NA()))</f>
        <v>1192.3121492095624</v>
      </c>
      <c r="P311">
        <f>IF($J311&gt;MAX('Match Log'!$A$4:$A$810),NA(),IFERROR(LOOKUP(2,1/(('Match Log'!$D$4:$D$810=$P$24)*('Match Log'!$A$4:$A$810&lt;=$J311)),'Match Log'!$N$4:$N$810),NA()))</f>
        <v>1252.8243017186849</v>
      </c>
      <c r="Q311">
        <f>IF($J311&gt;MAX('Match Log'!$A$4:$A$810),NA(),IFERROR(LOOKUP(2,1/(('Match Log'!$D$4:$D$810=$Q$24)*('Match Log'!$A$4:$A$810&lt;=$J311)),'Match Log'!$N$4:$N$810),NA()))</f>
        <v>1215.996181687143</v>
      </c>
      <c r="R311">
        <f>IF($J311&gt;MAX('Match Log'!$A$4:$A$810),NA(),IFERROR(LOOKUP(2,1/(('Match Log'!$D$4:$D$810=$R$24)*('Match Log'!$A$4:$A$810&lt;=$J311)),'Match Log'!$N$4:$N$810),NA()))</f>
        <v>998.25307058979774</v>
      </c>
      <c r="S311">
        <f>IF($J311&gt;MAX('Match Log'!$A$4:$A$810),NA(),IFERROR(LOOKUP(2,1/(('Match Log'!$D$4:$D$810=$S$24)*('Match Log'!$A$4:$A$810&lt;=$J311)),'Match Log'!$N$4:$N$810),NA()))</f>
        <v>1248.9288111472574</v>
      </c>
      <c r="T311">
        <f>IF($J311&gt;MAX('Match Log'!$A$4:$A$810),NA(),IFERROR(LOOKUP(2,1/(('Match Log'!$D$4:$D$810=$T$24)*('Match Log'!$A$4:$A$810&lt;=$J311)),'Match Log'!$N$4:$N$810),NA()))</f>
        <v>862.22294373677494</v>
      </c>
      <c r="U311">
        <f>IF($J311&gt;MAX('Match Log'!$A$4:$A$810),NA(),IFERROR(LOOKUP(2,1/(('Match Log'!$D$4:$D$810=$U$24)*('Match Log'!$A$4:$A$810&lt;=$J311)),'Match Log'!$N$4:$N$810),NA()))</f>
        <v>944.39454678356583</v>
      </c>
      <c r="V311">
        <f>IF($J311&gt;MAX('Match Log'!$A$4:$A$810),NA(),IFERROR(LOOKUP(2,1/(('Match Log'!$D$4:$D$810=$V$24)*('Match Log'!$A$4:$A$810&lt;=$J311)),'Match Log'!$N$4:$N$810),NA()))</f>
        <v>1087.5488947064855</v>
      </c>
      <c r="W311">
        <f>IF($J311&gt;MAX('Match Log'!$A$4:$A$810),NA(),IFERROR(LOOKUP(2,1/(('Match Log'!$D$4:$D$810=$W$24)*('Match Log'!$A$4:$A$810&lt;=$J311)),'Match Log'!$N$4:$N$810),NA()))</f>
        <v>1023.2192605207141</v>
      </c>
      <c r="X311" t="e">
        <f>IF($J311&gt;MAX('Match Log'!$A$4:$A$810),NA(),IFERROR(LOOKUP(2,1/(('Match Log'!$D$4:$D$810=$X$24)*('Match Log'!$A$4:$A$810&lt;=$J311)),'Match Log'!$N$4:$N$810),NA()))</f>
        <v>#N/A</v>
      </c>
      <c r="Y311">
        <f t="shared" ca="1" si="30"/>
        <v>0.16894376923076918</v>
      </c>
    </row>
    <row r="312" spans="1:25" x14ac:dyDescent="0.2">
      <c r="A312">
        <v>288</v>
      </c>
      <c r="B312">
        <f>IFERROR(INDEX('Match Log'!$B$4:$B$810,MATCH(288,'Match Log'!$A$4:$A$810,0)),"")</f>
        <v>46285</v>
      </c>
      <c r="C312" t="str">
        <f>IFERROR(INDEX('Match Log'!$C$4:$C$810,MATCH(288,'Match Log'!$A$4:$A$810,0)),"")</f>
        <v>Mario Golf</v>
      </c>
      <c r="D312" t="str">
        <f t="array" ref="D312">IFERROR(_xlfn.TEXTJOIN(" + ",TRUE(),IF(('Match Log'!$A$4:$A$810=$A312)*('Match Log'!$E$4:$E$810="Win"),'Match Log'!$D$4:$D$810,"")),IFERROR(LOOKUP(2,1/(('Match Log'!$A$4:$A$810=$A312)*('Match Log'!$E$4:$E$810="Win")),'Match Log'!$D$4:$D$810),""))</f>
        <v>Daniel (Ferret)</v>
      </c>
      <c r="E312">
        <f>IFERROR(INDEX('Match Log'!$F$4:$F$810,MATCH(288,'Match Log'!$A$4:$A$810,0)),"")</f>
        <v>2</v>
      </c>
      <c r="F312">
        <f>IFERROR(SUMIFS('Match Log'!$I$4:$I$810,'Match Log'!$A$4:$A$810,288,'Match Log'!$E$4:$E$810,"Win"),"")</f>
        <v>0.44055944055944063</v>
      </c>
      <c r="G312">
        <f t="shared" si="28"/>
        <v>0.11888111888111874</v>
      </c>
      <c r="H312" t="str">
        <f t="array" ref="H312">IFERROR(IF(COUNTIFS('Match Log'!$A$4:$A$810,$A312,'Match Log'!$E$4:$E$810,"Win")&gt;1,_xlfn.TEXTJOIN(" + ",TRUE(),IF(('Match Log'!$A$4:$A$810=$A312)*('Match Log'!$E$4:$E$810="Loss"),'Match Log'!$D$4:$D$810,"")),IF($E312=2,LOOKUP(2,1/(('Match Log'!$A$4:$A$810=$A312)*('Match Log'!$E$4:$E$810="Loss")),'Match Log'!$D$4:$D$810),"the field")),"")</f>
        <v>Shawn</v>
      </c>
      <c r="I312">
        <f t="shared" si="29"/>
        <v>0.11859311888111874</v>
      </c>
      <c r="J312">
        <v>288</v>
      </c>
      <c r="K312">
        <f>IF($J312&gt;MAX('Match Log'!$A$4:$A$810),NA(),IFERROR(LOOKUP(2,1/(('Match Log'!$D$4:$D$810=$K$24)*('Match Log'!$A$4:$A$810&lt;=$J312)),'Match Log'!$N$4:$N$810),NA()))</f>
        <v>1265.5221853966827</v>
      </c>
      <c r="L312">
        <f>IF($J312&gt;MAX('Match Log'!$A$4:$A$810),NA(),IFERROR(LOOKUP(2,1/(('Match Log'!$D$4:$D$810=$L$24)*('Match Log'!$A$4:$A$810&lt;=$J312)),'Match Log'!$N$4:$N$810),NA()))</f>
        <v>1029.5175965335138</v>
      </c>
      <c r="M312">
        <f>IF($J312&gt;MAX('Match Log'!$A$4:$A$810),NA(),IFERROR(LOOKUP(2,1/(('Match Log'!$D$4:$D$810=$M$24)*('Match Log'!$A$4:$A$810&lt;=$J312)),'Match Log'!$N$4:$N$810),NA()))</f>
        <v>1081.2287215286424</v>
      </c>
      <c r="N312">
        <f>IF($J312&gt;MAX('Match Log'!$A$4:$A$810),NA(),IFERROR(LOOKUP(2,1/(('Match Log'!$D$4:$D$810=$N$24)*('Match Log'!$A$4:$A$810&lt;=$J312)),'Match Log'!$N$4:$N$810),NA()))</f>
        <v>907.03133644117429</v>
      </c>
      <c r="O312">
        <f>IF($J312&gt;MAX('Match Log'!$A$4:$A$810),NA(),IFERROR(LOOKUP(2,1/(('Match Log'!$D$4:$D$810=$O$24)*('Match Log'!$A$4:$A$810&lt;=$J312)),'Match Log'!$N$4:$N$810),NA()))</f>
        <v>1192.3121492095624</v>
      </c>
      <c r="P312">
        <f>IF($J312&gt;MAX('Match Log'!$A$4:$A$810),NA(),IFERROR(LOOKUP(2,1/(('Match Log'!$D$4:$D$810=$P$24)*('Match Log'!$A$4:$A$810&lt;=$J312)),'Match Log'!$N$4:$N$810),NA()))</f>
        <v>1228.0143794152523</v>
      </c>
      <c r="Q312">
        <f>IF($J312&gt;MAX('Match Log'!$A$4:$A$810),NA(),IFERROR(LOOKUP(2,1/(('Match Log'!$D$4:$D$810=$Q$24)*('Match Log'!$A$4:$A$810&lt;=$J312)),'Match Log'!$N$4:$N$810),NA()))</f>
        <v>1215.996181687143</v>
      </c>
      <c r="R312">
        <f>IF($J312&gt;MAX('Match Log'!$A$4:$A$810),NA(),IFERROR(LOOKUP(2,1/(('Match Log'!$D$4:$D$810=$R$24)*('Match Log'!$A$4:$A$810&lt;=$J312)),'Match Log'!$N$4:$N$810),NA()))</f>
        <v>1023.0629928932302</v>
      </c>
      <c r="S312">
        <f>IF($J312&gt;MAX('Match Log'!$A$4:$A$810),NA(),IFERROR(LOOKUP(2,1/(('Match Log'!$D$4:$D$810=$S$24)*('Match Log'!$A$4:$A$810&lt;=$J312)),'Match Log'!$N$4:$N$810),NA()))</f>
        <v>1248.9288111472574</v>
      </c>
      <c r="T312">
        <f>IF($J312&gt;MAX('Match Log'!$A$4:$A$810),NA(),IFERROR(LOOKUP(2,1/(('Match Log'!$D$4:$D$810=$T$24)*('Match Log'!$A$4:$A$810&lt;=$J312)),'Match Log'!$N$4:$N$810),NA()))</f>
        <v>862.22294373677494</v>
      </c>
      <c r="U312">
        <f>IF($J312&gt;MAX('Match Log'!$A$4:$A$810),NA(),IFERROR(LOOKUP(2,1/(('Match Log'!$D$4:$D$810=$U$24)*('Match Log'!$A$4:$A$810&lt;=$J312)),'Match Log'!$N$4:$N$810),NA()))</f>
        <v>944.39454678356583</v>
      </c>
      <c r="V312">
        <f>IF($J312&gt;MAX('Match Log'!$A$4:$A$810),NA(),IFERROR(LOOKUP(2,1/(('Match Log'!$D$4:$D$810=$V$24)*('Match Log'!$A$4:$A$810&lt;=$J312)),'Match Log'!$N$4:$N$810),NA()))</f>
        <v>1087.5488947064855</v>
      </c>
      <c r="W312">
        <f>IF($J312&gt;MAX('Match Log'!$A$4:$A$810),NA(),IFERROR(LOOKUP(2,1/(('Match Log'!$D$4:$D$810=$W$24)*('Match Log'!$A$4:$A$810&lt;=$J312)),'Match Log'!$N$4:$N$810),NA()))</f>
        <v>1023.2192605207141</v>
      </c>
      <c r="X312" t="e">
        <f>IF($J312&gt;MAX('Match Log'!$A$4:$A$810),NA(),IFERROR(LOOKUP(2,1/(('Match Log'!$D$4:$D$810=$X$24)*('Match Log'!$A$4:$A$810&lt;=$J312)),'Match Log'!$N$4:$N$810),NA()))</f>
        <v>#N/A</v>
      </c>
      <c r="Y312">
        <f t="shared" ca="1" si="30"/>
        <v>0.11859311888111874</v>
      </c>
    </row>
    <row r="313" spans="1:25" x14ac:dyDescent="0.2">
      <c r="A313">
        <v>289</v>
      </c>
      <c r="B313">
        <f>IFERROR(INDEX('Match Log'!$B$4:$B$810,MATCH(289,'Match Log'!$A$4:$A$810,0)),"")</f>
        <v>46285</v>
      </c>
      <c r="C313" t="str">
        <f>IFERROR(INDEX('Match Log'!$C$4:$C$810,MATCH(289,'Match Log'!$A$4:$A$810,0)),"")</f>
        <v>Mario Golf</v>
      </c>
      <c r="D313" t="str">
        <f t="array" ref="D313">IFERROR(_xlfn.TEXTJOIN(" + ",TRUE(),IF(('Match Log'!$A$4:$A$810=$A313)*('Match Log'!$E$4:$E$810="Win"),'Match Log'!$D$4:$D$810,"")),IFERROR(LOOKUP(2,1/(('Match Log'!$A$4:$A$810=$A313)*('Match Log'!$E$4:$E$810="Win")),'Match Log'!$D$4:$D$810),""))</f>
        <v>Daniel (Ferret)</v>
      </c>
      <c r="E313">
        <f>IFERROR(INDEX('Match Log'!$F$4:$F$810,MATCH(289,'Match Log'!$A$4:$A$810,0)),"")</f>
        <v>2</v>
      </c>
      <c r="F313">
        <f>IFERROR(SUMIFS('Match Log'!$I$4:$I$810,'Match Log'!$A$4:$A$810,289,'Match Log'!$E$4:$E$810,"Win"),"")</f>
        <v>0.46325878594249204</v>
      </c>
      <c r="G313">
        <f t="shared" si="28"/>
        <v>7.348242811501593E-2</v>
      </c>
      <c r="H313" t="str">
        <f t="array" ref="H313">IFERROR(IF(COUNTIFS('Match Log'!$A$4:$A$810,$A313,'Match Log'!$E$4:$E$810,"Win")&gt;1,_xlfn.TEXTJOIN(" + ",TRUE(),IF(('Match Log'!$A$4:$A$810=$A313)*('Match Log'!$E$4:$E$810="Loss"),'Match Log'!$D$4:$D$810,"")),IF($E313=2,LOOKUP(2,1/(('Match Log'!$A$4:$A$810=$A313)*('Match Log'!$E$4:$E$810="Loss")),'Match Log'!$D$4:$D$810),"the field")),"")</f>
        <v>Shawn</v>
      </c>
      <c r="I313">
        <f t="shared" si="29"/>
        <v>7.3193428115015932E-2</v>
      </c>
      <c r="J313">
        <v>289</v>
      </c>
      <c r="K313">
        <f>IF($J313&gt;MAX('Match Log'!$A$4:$A$810),NA(),IFERROR(LOOKUP(2,1/(('Match Log'!$D$4:$D$810=$K$24)*('Match Log'!$A$4:$A$810&lt;=$J313)),'Match Log'!$N$4:$N$810),NA()))</f>
        <v>1265.5221853966827</v>
      </c>
      <c r="L313">
        <f>IF($J313&gt;MAX('Match Log'!$A$4:$A$810),NA(),IFERROR(LOOKUP(2,1/(('Match Log'!$D$4:$D$810=$L$24)*('Match Log'!$A$4:$A$810&lt;=$J313)),'Match Log'!$N$4:$N$810),NA()))</f>
        <v>1029.5175965335138</v>
      </c>
      <c r="M313">
        <f>IF($J313&gt;MAX('Match Log'!$A$4:$A$810),NA(),IFERROR(LOOKUP(2,1/(('Match Log'!$D$4:$D$810=$M$24)*('Match Log'!$A$4:$A$810&lt;=$J313)),'Match Log'!$N$4:$N$810),NA()))</f>
        <v>1081.2287215286424</v>
      </c>
      <c r="N313">
        <f>IF($J313&gt;MAX('Match Log'!$A$4:$A$810),NA(),IFERROR(LOOKUP(2,1/(('Match Log'!$D$4:$D$810=$N$24)*('Match Log'!$A$4:$A$810&lt;=$J313)),'Match Log'!$N$4:$N$810),NA()))</f>
        <v>907.03133644117429</v>
      </c>
      <c r="O313">
        <f>IF($J313&gt;MAX('Match Log'!$A$4:$A$810),NA(),IFERROR(LOOKUP(2,1/(('Match Log'!$D$4:$D$810=$O$24)*('Match Log'!$A$4:$A$810&lt;=$J313)),'Match Log'!$N$4:$N$810),NA()))</f>
        <v>1192.3121492095624</v>
      </c>
      <c r="P313">
        <f>IF($J313&gt;MAX('Match Log'!$A$4:$A$810),NA(),IFERROR(LOOKUP(2,1/(('Match Log'!$D$4:$D$810=$P$24)*('Match Log'!$A$4:$A$810&lt;=$J313)),'Match Log'!$N$4:$N$810),NA()))</f>
        <v>1205.1628594735989</v>
      </c>
      <c r="Q313">
        <f>IF($J313&gt;MAX('Match Log'!$A$4:$A$810),NA(),IFERROR(LOOKUP(2,1/(('Match Log'!$D$4:$D$810=$Q$24)*('Match Log'!$A$4:$A$810&lt;=$J313)),'Match Log'!$N$4:$N$810),NA()))</f>
        <v>1215.996181687143</v>
      </c>
      <c r="R313">
        <f>IF($J313&gt;MAX('Match Log'!$A$4:$A$810),NA(),IFERROR(LOOKUP(2,1/(('Match Log'!$D$4:$D$810=$R$24)*('Match Log'!$A$4:$A$810&lt;=$J313)),'Match Log'!$N$4:$N$810),NA()))</f>
        <v>1045.9145128348835</v>
      </c>
      <c r="S313">
        <f>IF($J313&gt;MAX('Match Log'!$A$4:$A$810),NA(),IFERROR(LOOKUP(2,1/(('Match Log'!$D$4:$D$810=$S$24)*('Match Log'!$A$4:$A$810&lt;=$J313)),'Match Log'!$N$4:$N$810),NA()))</f>
        <v>1248.9288111472574</v>
      </c>
      <c r="T313">
        <f>IF($J313&gt;MAX('Match Log'!$A$4:$A$810),NA(),IFERROR(LOOKUP(2,1/(('Match Log'!$D$4:$D$810=$T$24)*('Match Log'!$A$4:$A$810&lt;=$J313)),'Match Log'!$N$4:$N$810),NA()))</f>
        <v>862.22294373677494</v>
      </c>
      <c r="U313">
        <f>IF($J313&gt;MAX('Match Log'!$A$4:$A$810),NA(),IFERROR(LOOKUP(2,1/(('Match Log'!$D$4:$D$810=$U$24)*('Match Log'!$A$4:$A$810&lt;=$J313)),'Match Log'!$N$4:$N$810),NA()))</f>
        <v>944.39454678356583</v>
      </c>
      <c r="V313">
        <f>IF($J313&gt;MAX('Match Log'!$A$4:$A$810),NA(),IFERROR(LOOKUP(2,1/(('Match Log'!$D$4:$D$810=$V$24)*('Match Log'!$A$4:$A$810&lt;=$J313)),'Match Log'!$N$4:$N$810),NA()))</f>
        <v>1087.5488947064855</v>
      </c>
      <c r="W313">
        <f>IF($J313&gt;MAX('Match Log'!$A$4:$A$810),NA(),IFERROR(LOOKUP(2,1/(('Match Log'!$D$4:$D$810=$W$24)*('Match Log'!$A$4:$A$810&lt;=$J313)),'Match Log'!$N$4:$N$810),NA()))</f>
        <v>1023.2192605207141</v>
      </c>
      <c r="X313" t="e">
        <f>IF($J313&gt;MAX('Match Log'!$A$4:$A$810),NA(),IFERROR(LOOKUP(2,1/(('Match Log'!$D$4:$D$810=$X$24)*('Match Log'!$A$4:$A$810&lt;=$J313)),'Match Log'!$N$4:$N$810),NA()))</f>
        <v>#N/A</v>
      </c>
      <c r="Y313">
        <f t="shared" ca="1" si="30"/>
        <v>7.3193428115015932E-2</v>
      </c>
    </row>
    <row r="314" spans="1:25" x14ac:dyDescent="0.2">
      <c r="A314">
        <v>290</v>
      </c>
      <c r="B314">
        <f>IFERROR(INDEX('Match Log'!$B$4:$B$810,MATCH(290,'Match Log'!$A$4:$A$810,0)),"")</f>
        <v>46285</v>
      </c>
      <c r="C314" t="str">
        <f>IFERROR(INDEX('Match Log'!$C$4:$C$810,MATCH(290,'Match Log'!$A$4:$A$810,0)),"")</f>
        <v>Mario Golf</v>
      </c>
      <c r="D314" t="str">
        <f t="array" ref="D314">IFERROR(_xlfn.TEXTJOIN(" + ",TRUE(),IF(('Match Log'!$A$4:$A$810=$A314)*('Match Log'!$E$4:$E$810="Win"),'Match Log'!$D$4:$D$810,"")),IFERROR(LOOKUP(2,1/(('Match Log'!$A$4:$A$810=$A314)*('Match Log'!$E$4:$E$810="Win")),'Match Log'!$D$4:$D$810),""))</f>
        <v>Shawn</v>
      </c>
      <c r="E314">
        <f>IFERROR(INDEX('Match Log'!$F$4:$F$810,MATCH(290,'Match Log'!$A$4:$A$810,0)),"")</f>
        <v>2</v>
      </c>
      <c r="F314">
        <f>IFERROR(SUMIFS('Match Log'!$I$4:$I$810,'Match Log'!$A$4:$A$810,290,'Match Log'!$E$4:$E$810,"Win"),"")</f>
        <v>0.51612903225806461</v>
      </c>
      <c r="G314">
        <f t="shared" si="28"/>
        <v>-3.2258064516129226E-2</v>
      </c>
      <c r="H314" t="str">
        <f t="array" ref="H314">IFERROR(IF(COUNTIFS('Match Log'!$A$4:$A$810,$A314,'Match Log'!$E$4:$E$810,"Win")&gt;1,_xlfn.TEXTJOIN(" + ",TRUE(),IF(('Match Log'!$A$4:$A$810=$A314)*('Match Log'!$E$4:$E$810="Loss"),'Match Log'!$D$4:$D$810,"")),IF($E314=2,LOOKUP(2,1/(('Match Log'!$A$4:$A$810=$A314)*('Match Log'!$E$4:$E$810="Loss")),'Match Log'!$D$4:$D$810),"the field")),"")</f>
        <v>Daniel (Ferret)</v>
      </c>
      <c r="I314">
        <f t="shared" si="29"/>
        <v>-3.2548064516129224E-2</v>
      </c>
      <c r="J314">
        <v>290</v>
      </c>
      <c r="K314">
        <f>IF($J314&gt;MAX('Match Log'!$A$4:$A$810),NA(),IFERROR(LOOKUP(2,1/(('Match Log'!$D$4:$D$810=$K$24)*('Match Log'!$A$4:$A$810&lt;=$J314)),'Match Log'!$N$4:$N$810),NA()))</f>
        <v>1265.5221853966827</v>
      </c>
      <c r="L314">
        <f>IF($J314&gt;MAX('Match Log'!$A$4:$A$810),NA(),IFERROR(LOOKUP(2,1/(('Match Log'!$D$4:$D$810=$L$24)*('Match Log'!$A$4:$A$810&lt;=$J314)),'Match Log'!$N$4:$N$810),NA()))</f>
        <v>1029.5175965335138</v>
      </c>
      <c r="M314">
        <f>IF($J314&gt;MAX('Match Log'!$A$4:$A$810),NA(),IFERROR(LOOKUP(2,1/(('Match Log'!$D$4:$D$810=$M$24)*('Match Log'!$A$4:$A$810&lt;=$J314)),'Match Log'!$N$4:$N$810),NA()))</f>
        <v>1081.2287215286424</v>
      </c>
      <c r="N314">
        <f>IF($J314&gt;MAX('Match Log'!$A$4:$A$810),NA(),IFERROR(LOOKUP(2,1/(('Match Log'!$D$4:$D$810=$N$24)*('Match Log'!$A$4:$A$810&lt;=$J314)),'Match Log'!$N$4:$N$810),NA()))</f>
        <v>907.03133644117429</v>
      </c>
      <c r="O314">
        <f>IF($J314&gt;MAX('Match Log'!$A$4:$A$810),NA(),IFERROR(LOOKUP(2,1/(('Match Log'!$D$4:$D$810=$O$24)*('Match Log'!$A$4:$A$810&lt;=$J314)),'Match Log'!$N$4:$N$810),NA()))</f>
        <v>1192.3121492095624</v>
      </c>
      <c r="P314">
        <f>IF($J314&gt;MAX('Match Log'!$A$4:$A$810),NA(),IFERROR(LOOKUP(2,1/(('Match Log'!$D$4:$D$810=$P$24)*('Match Log'!$A$4:$A$810&lt;=$J314)),'Match Log'!$N$4:$N$810),NA()))</f>
        <v>1228.0957478478258</v>
      </c>
      <c r="Q314">
        <f>IF($J314&gt;MAX('Match Log'!$A$4:$A$810),NA(),IFERROR(LOOKUP(2,1/(('Match Log'!$D$4:$D$810=$Q$24)*('Match Log'!$A$4:$A$810&lt;=$J314)),'Match Log'!$N$4:$N$810),NA()))</f>
        <v>1215.996181687143</v>
      </c>
      <c r="R314">
        <f>IF($J314&gt;MAX('Match Log'!$A$4:$A$810),NA(),IFERROR(LOOKUP(2,1/(('Match Log'!$D$4:$D$810=$R$24)*('Match Log'!$A$4:$A$810&lt;=$J314)),'Match Log'!$N$4:$N$810),NA()))</f>
        <v>1022.9816244606566</v>
      </c>
      <c r="S314">
        <f>IF($J314&gt;MAX('Match Log'!$A$4:$A$810),NA(),IFERROR(LOOKUP(2,1/(('Match Log'!$D$4:$D$810=$S$24)*('Match Log'!$A$4:$A$810&lt;=$J314)),'Match Log'!$N$4:$N$810),NA()))</f>
        <v>1248.9288111472574</v>
      </c>
      <c r="T314">
        <f>IF($J314&gt;MAX('Match Log'!$A$4:$A$810),NA(),IFERROR(LOOKUP(2,1/(('Match Log'!$D$4:$D$810=$T$24)*('Match Log'!$A$4:$A$810&lt;=$J314)),'Match Log'!$N$4:$N$810),NA()))</f>
        <v>862.22294373677494</v>
      </c>
      <c r="U314">
        <f>IF($J314&gt;MAX('Match Log'!$A$4:$A$810),NA(),IFERROR(LOOKUP(2,1/(('Match Log'!$D$4:$D$810=$U$24)*('Match Log'!$A$4:$A$810&lt;=$J314)),'Match Log'!$N$4:$N$810),NA()))</f>
        <v>944.39454678356583</v>
      </c>
      <c r="V314">
        <f>IF($J314&gt;MAX('Match Log'!$A$4:$A$810),NA(),IFERROR(LOOKUP(2,1/(('Match Log'!$D$4:$D$810=$V$24)*('Match Log'!$A$4:$A$810&lt;=$J314)),'Match Log'!$N$4:$N$810),NA()))</f>
        <v>1087.5488947064855</v>
      </c>
      <c r="W314">
        <f>IF($J314&gt;MAX('Match Log'!$A$4:$A$810),NA(),IFERROR(LOOKUP(2,1/(('Match Log'!$D$4:$D$810=$W$24)*('Match Log'!$A$4:$A$810&lt;=$J314)),'Match Log'!$N$4:$N$810),NA()))</f>
        <v>1023.2192605207141</v>
      </c>
      <c r="X314" t="e">
        <f>IF($J314&gt;MAX('Match Log'!$A$4:$A$810),NA(),IFERROR(LOOKUP(2,1/(('Match Log'!$D$4:$D$810=$X$24)*('Match Log'!$A$4:$A$810&lt;=$J314)),'Match Log'!$N$4:$N$810),NA()))</f>
        <v>#N/A</v>
      </c>
      <c r="Y314">
        <f t="shared" ca="1" si="30"/>
        <v>-3.2548064516129224E-2</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269</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1121.8476943940032</v>
      </c>
      <c r="D2">
        <f>$B$2</f>
        <v>1265.5221853966827</v>
      </c>
      <c r="E2">
        <f>$B$3</f>
        <v>1029.5175965335138</v>
      </c>
      <c r="F2">
        <f>$B$4</f>
        <v>1081.2287215286424</v>
      </c>
      <c r="G2">
        <f>$B$5</f>
        <v>907.03133644117429</v>
      </c>
      <c r="H2">
        <f>$B$6</f>
        <v>1192.3121492095624</v>
      </c>
      <c r="I2">
        <f>$B$7</f>
        <v>1228.0957478478258</v>
      </c>
      <c r="J2">
        <f>$B$8</f>
        <v>1215.996181687143</v>
      </c>
      <c r="K2">
        <f>$B$9</f>
        <v>1022.9816244606566</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1086.6848675170754</v>
      </c>
    </row>
    <row r="4" spans="1:17" ht="15" customHeight="1" x14ac:dyDescent="0.2">
      <c r="A4" t="s">
        <v>17</v>
      </c>
      <c r="B4">
        <f>IF(COUNTIF('Match Log'!$D$4:$D$810,$A4)=0,'Guide &amp; Settings'!$C$41,IFERROR(LOOKUP(2,1/('Match Log'!$D$4:$D$810=$A4),'Match Log'!$N$4:$N$810),'Guide &amp; Settings'!$C$41))</f>
        <v>1081.2287215286424</v>
      </c>
      <c r="C4">
        <f>IFERROR(SUMPRODUCT(INDEX('Head-to-Head'!$B$22:$O$35,3,0),$D$2:$Q$2)/SUM(INDEX('Head-to-Head'!$B$22:$O$35,3,0)),"")</f>
        <v>1111.675244572471</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1153.8726946852455</v>
      </c>
    </row>
    <row r="6" spans="1:17" ht="15" customHeight="1" x14ac:dyDescent="0.2">
      <c r="A6" t="s">
        <v>19</v>
      </c>
      <c r="B6">
        <f>IF(COUNTIF('Match Log'!$D$4:$D$810,$A6)=0,'Guide &amp; Settings'!$C$41,IFERROR(LOOKUP(2,1/('Match Log'!$D$4:$D$810=$A6),'Match Log'!$N$4:$N$810),'Guide &amp; Settings'!$C$41))</f>
        <v>1192.3121492095624</v>
      </c>
      <c r="C6">
        <f>IFERROR(SUMPRODUCT(INDEX('Head-to-Head'!$B$22:$O$35,5,0),$D$2:$Q$2)/SUM(INDEX('Head-to-Head'!$B$22:$O$35,5,0)),"")</f>
        <v>1091.4997308483787</v>
      </c>
    </row>
    <row r="7" spans="1:17" ht="15" customHeight="1" x14ac:dyDescent="0.2">
      <c r="A7" t="s">
        <v>20</v>
      </c>
      <c r="B7">
        <f>IF(COUNTIF('Match Log'!$D$4:$D$810,$A7)=0,'Guide &amp; Settings'!$C$41,IFERROR(LOOKUP(2,1/('Match Log'!$D$4:$D$810=$A7),'Match Log'!$N$4:$N$810),'Guide &amp; Settings'!$C$41))</f>
        <v>1228.0957478478258</v>
      </c>
      <c r="C7">
        <f>IFERROR(SUMPRODUCT(INDEX('Head-to-Head'!$B$22:$O$35,6,0),$D$2:$Q$2)/SUM(INDEX('Head-to-Head'!$B$22:$O$35,6,0)),"")</f>
        <v>1103.603244535147</v>
      </c>
    </row>
    <row r="8" spans="1:17" ht="15" customHeight="1" x14ac:dyDescent="0.2">
      <c r="A8" t="s">
        <v>21</v>
      </c>
      <c r="B8">
        <f>IF(COUNTIF('Match Log'!$D$4:$D$810,$A8)=0,'Guide &amp; Settings'!$C$41,IFERROR(LOOKUP(2,1/('Match Log'!$D$4:$D$810=$A8),'Match Log'!$N$4:$N$810),'Guide &amp; Settings'!$C$41))</f>
        <v>1215.996181687143</v>
      </c>
      <c r="C8">
        <f>IFERROR(SUMPRODUCT(INDEX('Head-to-Head'!$B$22:$O$35,7,0),$D$2:$Q$2)/SUM(INDEX('Head-to-Head'!$B$22:$O$35,7,0)),"")</f>
        <v>1076.6213057146342</v>
      </c>
    </row>
    <row r="9" spans="1:17" ht="15" customHeight="1" x14ac:dyDescent="0.2">
      <c r="A9" t="s">
        <v>22</v>
      </c>
      <c r="B9">
        <f>IF(COUNTIF('Match Log'!$D$4:$D$810,$A9)=0,'Guide &amp; Settings'!$C$41,IFERROR(LOOKUP(2,1/('Match Log'!$D$4:$D$810=$A9),'Match Log'!$N$4:$N$810),'Guide &amp; Settings'!$C$41))</f>
        <v>1022.9816244606566</v>
      </c>
      <c r="C9">
        <f>IFERROR(SUMPRODUCT(INDEX('Head-to-Head'!$B$22:$O$35,8,0),$D$2:$Q$2)/SUM(INDEX('Head-to-Head'!$B$22:$O$35,8,0)),"")</f>
        <v>1171.4111581521208</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1084.9489488212637</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1104.6793074292473</v>
      </c>
    </row>
    <row r="12" spans="1:17" ht="15" customHeight="1" x14ac:dyDescent="0.2">
      <c r="A12" t="s">
        <v>25</v>
      </c>
      <c r="B12">
        <f>IF(COUNTIF('Match Log'!$D$4:$D$810,$A12)=0,'Guide &amp; Settings'!$C$41,IFERROR(LOOKUP(2,1/('Match Log'!$D$4:$D$810=$A12),'Match Log'!$N$4:$N$810),'Guide &amp; Settings'!$C$41))</f>
        <v>944.39454678356583</v>
      </c>
      <c r="C12">
        <f>IFERROR(SUMPRODUCT(INDEX('Head-to-Head'!$B$22:$O$35,11,0),$D$2:$Q$2)/SUM(INDEX('Head-to-Head'!$B$22:$O$35,11,0)),"")</f>
        <v>1167.6463260347457</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1038.0306790535494</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1068.5436756642807</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449</v>
      </c>
      <c r="C1" t="s">
        <v>268</v>
      </c>
      <c r="E1" t="s">
        <v>357</v>
      </c>
    </row>
    <row r="2" spans="1:5" ht="15" customHeight="1" x14ac:dyDescent="0.2">
      <c r="A2" t="s">
        <v>15</v>
      </c>
      <c r="C2" t="s">
        <v>33</v>
      </c>
      <c r="E2" t="s">
        <v>378</v>
      </c>
    </row>
    <row r="3" spans="1:5" ht="15" customHeight="1" x14ac:dyDescent="0.2">
      <c r="A3" t="s">
        <v>16</v>
      </c>
      <c r="C3" t="s">
        <v>34</v>
      </c>
      <c r="E3" t="s">
        <v>379</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455</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2026-09-20T11:20:35Z</dcterms:modified>
  <dc:language>en-US</dc:language>
</cp:coreProperties>
</file>