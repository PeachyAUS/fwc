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D7897346-7304-0245-B091-05098D38F45D}"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 i="10" l="1"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1" i="10" a="1"/>
  <c r="AC661"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1" i="10" a="1"/>
  <c r="AC671" i="10" s="1"/>
  <c r="AC672" i="10" a="1"/>
  <c r="AC672"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W307" i="13"/>
  <c r="V307" i="13"/>
  <c r="U307" i="13"/>
  <c r="T307" i="13"/>
  <c r="S307" i="13"/>
  <c r="R307" i="13"/>
  <c r="Q307" i="13"/>
  <c r="P307" i="13"/>
  <c r="O307" i="13"/>
  <c r="N307" i="13"/>
  <c r="M307" i="13"/>
  <c r="L307" i="13"/>
  <c r="K307" i="13"/>
  <c r="F307" i="13"/>
  <c r="E307" i="13"/>
  <c r="H307" i="13" s="1" a="1"/>
  <c r="H307" i="13" s="1"/>
  <c r="D307" i="13" a="1"/>
  <c r="D307" i="13" s="1"/>
  <c r="G307" i="13" s="1"/>
  <c r="I307" i="13" s="1"/>
  <c r="C307" i="13"/>
  <c r="B307" i="13"/>
  <c r="X306" i="13"/>
  <c r="W306" i="13"/>
  <c r="V306" i="13"/>
  <c r="U306" i="13"/>
  <c r="T306" i="13"/>
  <c r="S306" i="13"/>
  <c r="R306" i="13"/>
  <c r="Q306" i="13"/>
  <c r="P306" i="13"/>
  <c r="O306" i="13"/>
  <c r="N306" i="13"/>
  <c r="M306" i="13"/>
  <c r="L306" i="13"/>
  <c r="K306" i="13"/>
  <c r="F306" i="13"/>
  <c r="E306" i="13"/>
  <c r="H306" i="13" s="1" a="1"/>
  <c r="H306" i="13" s="1"/>
  <c r="D306" i="13" a="1"/>
  <c r="D306" i="13" s="1"/>
  <c r="G306" i="13" s="1"/>
  <c r="I306" i="13" s="1"/>
  <c r="C306" i="13"/>
  <c r="B306" i="13"/>
  <c r="X305" i="13"/>
  <c r="W305" i="13"/>
  <c r="V305" i="13"/>
  <c r="U305" i="13"/>
  <c r="T305" i="13"/>
  <c r="S305" i="13"/>
  <c r="R305" i="13"/>
  <c r="Q305" i="13"/>
  <c r="P305" i="13"/>
  <c r="O305" i="13"/>
  <c r="N305" i="13"/>
  <c r="M305" i="13"/>
  <c r="L305" i="13"/>
  <c r="K305" i="13"/>
  <c r="F305" i="13"/>
  <c r="E305" i="13"/>
  <c r="H305" i="13" s="1" a="1"/>
  <c r="H305" i="13" s="1"/>
  <c r="D305" i="13" a="1"/>
  <c r="D305" i="13" s="1"/>
  <c r="G305" i="13" s="1"/>
  <c r="I305" i="13" s="1"/>
  <c r="C305" i="13"/>
  <c r="B305" i="13"/>
  <c r="X304" i="13"/>
  <c r="W304" i="13"/>
  <c r="V304" i="13"/>
  <c r="U304" i="13"/>
  <c r="T304" i="13"/>
  <c r="S304" i="13"/>
  <c r="R304" i="13"/>
  <c r="Q304" i="13"/>
  <c r="P304" i="13"/>
  <c r="O304" i="13"/>
  <c r="N304" i="13"/>
  <c r="M304" i="13"/>
  <c r="L304" i="13"/>
  <c r="K304" i="13"/>
  <c r="F304" i="13"/>
  <c r="E304" i="13"/>
  <c r="H304" i="13" s="1" a="1"/>
  <c r="H304" i="13" s="1"/>
  <c r="D304" i="13" a="1"/>
  <c r="D304" i="13" s="1"/>
  <c r="G304" i="13" s="1"/>
  <c r="I304" i="13" s="1"/>
  <c r="C304" i="13"/>
  <c r="B304" i="13"/>
  <c r="X303" i="13"/>
  <c r="W303" i="13"/>
  <c r="V303" i="13"/>
  <c r="U303" i="13"/>
  <c r="T303" i="13"/>
  <c r="S303" i="13"/>
  <c r="R303" i="13"/>
  <c r="Q303" i="13"/>
  <c r="P303" i="13"/>
  <c r="O303" i="13"/>
  <c r="N303" i="13"/>
  <c r="M303" i="13"/>
  <c r="L303" i="13"/>
  <c r="K303" i="13"/>
  <c r="F303" i="13"/>
  <c r="E303" i="13"/>
  <c r="H303" i="13" s="1" a="1"/>
  <c r="H303" i="13" s="1"/>
  <c r="D303" i="13" a="1"/>
  <c r="D303" i="13" s="1"/>
  <c r="G303" i="13" s="1"/>
  <c r="I303" i="13" s="1"/>
  <c r="C303" i="13"/>
  <c r="B303" i="13"/>
  <c r="X302" i="13"/>
  <c r="W302" i="13"/>
  <c r="V302" i="13"/>
  <c r="U302" i="13"/>
  <c r="T302" i="13"/>
  <c r="S302" i="13"/>
  <c r="R302" i="13"/>
  <c r="Q302" i="13"/>
  <c r="P302" i="13"/>
  <c r="O302" i="13"/>
  <c r="N302" i="13"/>
  <c r="M302" i="13"/>
  <c r="L302" i="13"/>
  <c r="K302" i="13"/>
  <c r="F302" i="13"/>
  <c r="E302" i="13"/>
  <c r="H302" i="13" s="1" a="1"/>
  <c r="H302" i="13" s="1"/>
  <c r="D302" i="13" a="1"/>
  <c r="D302" i="13" s="1"/>
  <c r="G302" i="13" s="1"/>
  <c r="I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E296" i="13"/>
  <c r="H296" i="13" s="1" a="1"/>
  <c r="H296" i="13" s="1"/>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Q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AB674" i="10"/>
  <c r="AA674" i="10"/>
  <c r="Z674" i="10"/>
  <c r="Y674" i="10"/>
  <c r="X674" i="10"/>
  <c r="W674" i="10"/>
  <c r="V674" i="10"/>
  <c r="U674" i="10"/>
  <c r="T674" i="10"/>
  <c r="S674" i="10"/>
  <c r="R674" i="10"/>
  <c r="Q674" i="10"/>
  <c r="P674" i="10"/>
  <c r="O674" i="10"/>
  <c r="N674" i="10"/>
  <c r="M674" i="10"/>
  <c r="L674" i="10"/>
  <c r="K674" i="10"/>
  <c r="J674" i="10"/>
  <c r="I674" i="10"/>
  <c r="H674" i="10"/>
  <c r="G674" i="10"/>
  <c r="F674" i="10"/>
  <c r="AB673" i="10"/>
  <c r="AA673" i="10"/>
  <c r="Z673" i="10"/>
  <c r="Y673" i="10"/>
  <c r="X673" i="10"/>
  <c r="W673" i="10"/>
  <c r="V673" i="10"/>
  <c r="U673" i="10"/>
  <c r="T673" i="10"/>
  <c r="S673" i="10"/>
  <c r="R673" i="10"/>
  <c r="Q673" i="10"/>
  <c r="P673" i="10"/>
  <c r="O673" i="10"/>
  <c r="N673" i="10"/>
  <c r="M673" i="10"/>
  <c r="L673" i="10"/>
  <c r="K673" i="10"/>
  <c r="J673" i="10"/>
  <c r="I673" i="10"/>
  <c r="H673" i="10"/>
  <c r="G673" i="10"/>
  <c r="F673" i="10"/>
  <c r="AB672" i="10"/>
  <c r="AA672" i="10"/>
  <c r="Z672" i="10"/>
  <c r="Y672" i="10"/>
  <c r="X672" i="10"/>
  <c r="W672" i="10"/>
  <c r="V672" i="10"/>
  <c r="U672" i="10"/>
  <c r="T672" i="10"/>
  <c r="S672" i="10"/>
  <c r="R672" i="10"/>
  <c r="Q672" i="10"/>
  <c r="P672" i="10"/>
  <c r="O672" i="10"/>
  <c r="N672" i="10"/>
  <c r="M672" i="10"/>
  <c r="L672" i="10"/>
  <c r="K672" i="10"/>
  <c r="J672" i="10"/>
  <c r="I672" i="10"/>
  <c r="H672" i="10"/>
  <c r="G672" i="10"/>
  <c r="F672" i="10"/>
  <c r="AB671" i="10"/>
  <c r="AA671" i="10"/>
  <c r="Z671" i="10"/>
  <c r="Y671" i="10"/>
  <c r="X671" i="10"/>
  <c r="W671" i="10"/>
  <c r="V671" i="10"/>
  <c r="U671" i="10"/>
  <c r="T671" i="10"/>
  <c r="S671" i="10"/>
  <c r="R671" i="10"/>
  <c r="Q671" i="10"/>
  <c r="P671" i="10"/>
  <c r="O671" i="10"/>
  <c r="N671" i="10"/>
  <c r="M671" i="10"/>
  <c r="L671" i="10"/>
  <c r="K671" i="10"/>
  <c r="J671" i="10"/>
  <c r="I671" i="10"/>
  <c r="H671" i="10"/>
  <c r="G671" i="10"/>
  <c r="F671" i="10"/>
  <c r="AB670" i="10"/>
  <c r="AA670" i="10"/>
  <c r="Z670" i="10"/>
  <c r="Y670" i="10"/>
  <c r="X670" i="10"/>
  <c r="W670" i="10"/>
  <c r="V670" i="10"/>
  <c r="U670" i="10"/>
  <c r="T670" i="10"/>
  <c r="S670" i="10"/>
  <c r="R670" i="10"/>
  <c r="Q670" i="10"/>
  <c r="P670" i="10"/>
  <c r="O670" i="10"/>
  <c r="N670" i="10"/>
  <c r="M670" i="10"/>
  <c r="L670" i="10"/>
  <c r="K670" i="10"/>
  <c r="J670" i="10"/>
  <c r="I670" i="10"/>
  <c r="H670" i="10"/>
  <c r="G670" i="10"/>
  <c r="F670" i="10"/>
  <c r="AB669" i="10"/>
  <c r="AA669" i="10"/>
  <c r="Z669" i="10"/>
  <c r="Y669" i="10"/>
  <c r="X669" i="10"/>
  <c r="W669" i="10"/>
  <c r="V669" i="10"/>
  <c r="U669" i="10"/>
  <c r="T669" i="10"/>
  <c r="S669" i="10"/>
  <c r="R669" i="10"/>
  <c r="Q669" i="10"/>
  <c r="P669" i="10"/>
  <c r="O669" i="10"/>
  <c r="N669" i="10"/>
  <c r="M669" i="10"/>
  <c r="L669" i="10"/>
  <c r="K669" i="10"/>
  <c r="J669" i="10"/>
  <c r="I669" i="10"/>
  <c r="H669" i="10"/>
  <c r="G669" i="10"/>
  <c r="F669" i="10"/>
  <c r="AB668" i="10"/>
  <c r="AA668" i="10"/>
  <c r="Z668" i="10"/>
  <c r="Y668" i="10"/>
  <c r="X668" i="10"/>
  <c r="W668" i="10"/>
  <c r="V668" i="10"/>
  <c r="U668" i="10"/>
  <c r="T668" i="10"/>
  <c r="S668" i="10"/>
  <c r="R668" i="10"/>
  <c r="Q668" i="10"/>
  <c r="P668" i="10"/>
  <c r="O668" i="10"/>
  <c r="N668" i="10"/>
  <c r="M668" i="10"/>
  <c r="L668" i="10"/>
  <c r="K668" i="10"/>
  <c r="J668" i="10"/>
  <c r="I668" i="10"/>
  <c r="H668" i="10"/>
  <c r="G668" i="10"/>
  <c r="F668" i="10"/>
  <c r="AB667" i="10"/>
  <c r="AA667" i="10"/>
  <c r="Z667" i="10"/>
  <c r="Y667" i="10"/>
  <c r="X667" i="10"/>
  <c r="W667" i="10"/>
  <c r="V667" i="10"/>
  <c r="U667" i="10"/>
  <c r="T667" i="10"/>
  <c r="S667" i="10"/>
  <c r="R667" i="10"/>
  <c r="Q667" i="10"/>
  <c r="P667" i="10"/>
  <c r="O667" i="10"/>
  <c r="N667" i="10"/>
  <c r="M667" i="10"/>
  <c r="L667" i="10"/>
  <c r="K667" i="10"/>
  <c r="J667" i="10"/>
  <c r="I667" i="10"/>
  <c r="H667" i="10"/>
  <c r="G667" i="10"/>
  <c r="F667" i="10"/>
  <c r="AB666" i="10"/>
  <c r="AA666" i="10"/>
  <c r="Z666" i="10"/>
  <c r="Y666" i="10"/>
  <c r="X666" i="10"/>
  <c r="W666" i="10"/>
  <c r="V666" i="10"/>
  <c r="U666" i="10"/>
  <c r="T666" i="10"/>
  <c r="S666" i="10"/>
  <c r="R666" i="10"/>
  <c r="Q666" i="10"/>
  <c r="P666" i="10"/>
  <c r="O666" i="10"/>
  <c r="N666" i="10"/>
  <c r="M666" i="10"/>
  <c r="L666" i="10"/>
  <c r="K666" i="10"/>
  <c r="J666" i="10"/>
  <c r="I666" i="10"/>
  <c r="H666" i="10"/>
  <c r="G666" i="10"/>
  <c r="F666" i="10"/>
  <c r="AB665" i="10"/>
  <c r="AA665" i="10"/>
  <c r="Z665" i="10"/>
  <c r="Y665" i="10"/>
  <c r="X665" i="10"/>
  <c r="W665" i="10"/>
  <c r="V665" i="10"/>
  <c r="U665" i="10"/>
  <c r="T665" i="10"/>
  <c r="S665" i="10"/>
  <c r="R665" i="10"/>
  <c r="Q665" i="10"/>
  <c r="P665" i="10"/>
  <c r="O665" i="10"/>
  <c r="N665" i="10"/>
  <c r="M665" i="10"/>
  <c r="L665" i="10"/>
  <c r="K665" i="10"/>
  <c r="J665" i="10"/>
  <c r="I665" i="10"/>
  <c r="H665" i="10"/>
  <c r="G665" i="10"/>
  <c r="F665" i="10"/>
  <c r="AB664" i="10"/>
  <c r="AA664" i="10"/>
  <c r="Z664" i="10"/>
  <c r="Y664" i="10"/>
  <c r="X664" i="10"/>
  <c r="W664" i="10"/>
  <c r="V664" i="10"/>
  <c r="U664" i="10"/>
  <c r="T664" i="10"/>
  <c r="S664" i="10"/>
  <c r="R664" i="10"/>
  <c r="Q664" i="10"/>
  <c r="P664" i="10"/>
  <c r="O664" i="10"/>
  <c r="N664" i="10"/>
  <c r="M664" i="10"/>
  <c r="L664" i="10"/>
  <c r="K664" i="10"/>
  <c r="J664" i="10"/>
  <c r="I664" i="10"/>
  <c r="H664" i="10"/>
  <c r="G664" i="10"/>
  <c r="F664" i="10"/>
  <c r="AB663" i="10"/>
  <c r="AA663" i="10"/>
  <c r="Z663" i="10"/>
  <c r="Y663" i="10"/>
  <c r="X663" i="10"/>
  <c r="W663" i="10"/>
  <c r="V663" i="10"/>
  <c r="U663" i="10"/>
  <c r="T663" i="10"/>
  <c r="S663" i="10"/>
  <c r="R663" i="10"/>
  <c r="Q663" i="10"/>
  <c r="P663" i="10"/>
  <c r="O663" i="10"/>
  <c r="N663" i="10"/>
  <c r="M663" i="10"/>
  <c r="L663" i="10"/>
  <c r="K663" i="10"/>
  <c r="J663" i="10"/>
  <c r="I663" i="10"/>
  <c r="H663" i="10"/>
  <c r="G663" i="10"/>
  <c r="F663" i="10"/>
  <c r="AB662" i="10"/>
  <c r="AA662" i="10"/>
  <c r="Z662" i="10"/>
  <c r="Y662" i="10"/>
  <c r="X662" i="10"/>
  <c r="W662" i="10"/>
  <c r="V662" i="10"/>
  <c r="U662" i="10"/>
  <c r="T662" i="10"/>
  <c r="S662" i="10"/>
  <c r="R662" i="10"/>
  <c r="Q662" i="10"/>
  <c r="P662" i="10"/>
  <c r="O662" i="10"/>
  <c r="N662" i="10"/>
  <c r="M662" i="10"/>
  <c r="L662" i="10"/>
  <c r="K662" i="10"/>
  <c r="J662" i="10"/>
  <c r="I662" i="10"/>
  <c r="H662" i="10"/>
  <c r="G662" i="10"/>
  <c r="F662" i="10"/>
  <c r="AB661" i="10"/>
  <c r="AA661" i="10"/>
  <c r="Z661" i="10"/>
  <c r="Y661" i="10"/>
  <c r="X661" i="10"/>
  <c r="W661" i="10"/>
  <c r="V661" i="10"/>
  <c r="U661" i="10"/>
  <c r="T661" i="10"/>
  <c r="S661" i="10"/>
  <c r="R661" i="10"/>
  <c r="Q661" i="10"/>
  <c r="P661" i="10"/>
  <c r="O661" i="10"/>
  <c r="N661" i="10"/>
  <c r="M661" i="10"/>
  <c r="L661" i="10"/>
  <c r="K661" i="10"/>
  <c r="J661" i="10"/>
  <c r="I661" i="10"/>
  <c r="H661" i="10"/>
  <c r="G661" i="10"/>
  <c r="F661" i="10"/>
  <c r="AB660" i="10"/>
  <c r="AA660" i="10"/>
  <c r="Z660" i="10"/>
  <c r="Y660" i="10"/>
  <c r="X660" i="10"/>
  <c r="W660" i="10"/>
  <c r="V660" i="10"/>
  <c r="U660" i="10"/>
  <c r="T660" i="10"/>
  <c r="S660" i="10"/>
  <c r="R660" i="10"/>
  <c r="Q660" i="10"/>
  <c r="P660" i="10"/>
  <c r="O660" i="10"/>
  <c r="N660" i="10"/>
  <c r="M660" i="10"/>
  <c r="L660" i="10"/>
  <c r="K660" i="10"/>
  <c r="J660" i="10"/>
  <c r="I660" i="10"/>
  <c r="H660" i="10"/>
  <c r="G660" i="10"/>
  <c r="F660" i="10"/>
  <c r="AB659" i="10"/>
  <c r="AA659" i="10"/>
  <c r="Z659" i="10"/>
  <c r="Y659" i="10"/>
  <c r="X659" i="10"/>
  <c r="W659" i="10"/>
  <c r="V659" i="10"/>
  <c r="U659" i="10"/>
  <c r="T659" i="10"/>
  <c r="S659" i="10"/>
  <c r="R659" i="10"/>
  <c r="Q659" i="10"/>
  <c r="P659" i="10"/>
  <c r="O659" i="10"/>
  <c r="N659" i="10"/>
  <c r="M659" i="10"/>
  <c r="L659" i="10"/>
  <c r="K659" i="10"/>
  <c r="J659" i="10"/>
  <c r="I659" i="10"/>
  <c r="H659" i="10"/>
  <c r="G659" i="10"/>
  <c r="F659" i="10"/>
  <c r="AB658" i="10"/>
  <c r="AA658" i="10"/>
  <c r="Z658" i="10"/>
  <c r="Y658" i="10"/>
  <c r="X658" i="10"/>
  <c r="W658" i="10"/>
  <c r="V658" i="10"/>
  <c r="U658" i="10"/>
  <c r="T658" i="10"/>
  <c r="S658" i="10"/>
  <c r="R658" i="10"/>
  <c r="Q658" i="10"/>
  <c r="P658" i="10"/>
  <c r="O658" i="10"/>
  <c r="N658" i="10"/>
  <c r="M658" i="10"/>
  <c r="L658" i="10"/>
  <c r="K658" i="10"/>
  <c r="J658" i="10"/>
  <c r="I658" i="10"/>
  <c r="H658" i="10"/>
  <c r="G658" i="10"/>
  <c r="F658" i="10"/>
  <c r="AB657" i="10"/>
  <c r="AA657" i="10"/>
  <c r="Z657" i="10"/>
  <c r="Y657" i="10"/>
  <c r="X657" i="10"/>
  <c r="W657" i="10"/>
  <c r="V657" i="10"/>
  <c r="U657" i="10"/>
  <c r="T657" i="10"/>
  <c r="S657" i="10"/>
  <c r="R657" i="10"/>
  <c r="Q657" i="10"/>
  <c r="P657" i="10"/>
  <c r="O657" i="10"/>
  <c r="N657" i="10"/>
  <c r="M657" i="10"/>
  <c r="L657" i="10"/>
  <c r="K657" i="10"/>
  <c r="J657" i="10"/>
  <c r="I657" i="10"/>
  <c r="H657" i="10"/>
  <c r="G657" i="10"/>
  <c r="F657" i="10"/>
  <c r="T656" i="10"/>
  <c r="R656" i="10"/>
  <c r="O656" i="10"/>
  <c r="L656" i="10"/>
  <c r="G656" i="10"/>
  <c r="F656" i="10"/>
  <c r="T655" i="10"/>
  <c r="R655" i="10"/>
  <c r="O655" i="10"/>
  <c r="G655" i="10"/>
  <c r="F655" i="10"/>
  <c r="E301" i="13" s="1"/>
  <c r="H301" i="13" s="1" a="1"/>
  <c r="H301" i="13" s="1"/>
  <c r="T654" i="10"/>
  <c r="R654" i="10"/>
  <c r="O654" i="10"/>
  <c r="G654" i="10"/>
  <c r="F654" i="10"/>
  <c r="L654" i="10" s="1"/>
  <c r="T653" i="10"/>
  <c r="R653" i="10"/>
  <c r="O653" i="10"/>
  <c r="L653" i="10"/>
  <c r="G653" i="10"/>
  <c r="F653" i="10"/>
  <c r="T652" i="10"/>
  <c r="R652" i="10"/>
  <c r="O652" i="10"/>
  <c r="L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L649" i="10"/>
  <c r="G649" i="10"/>
  <c r="F649" i="10"/>
  <c r="U648" i="10"/>
  <c r="T648" i="10"/>
  <c r="R648" i="10"/>
  <c r="O648" i="10"/>
  <c r="G648" i="10"/>
  <c r="F648" i="10"/>
  <c r="L648" i="10" s="1"/>
  <c r="T647" i="10"/>
  <c r="R647" i="10"/>
  <c r="O647" i="10"/>
  <c r="G647" i="10"/>
  <c r="F647" i="10"/>
  <c r="T646" i="10"/>
  <c r="R646" i="10"/>
  <c r="O646" i="10"/>
  <c r="L646" i="10"/>
  <c r="G646" i="10"/>
  <c r="F646" i="10"/>
  <c r="T645" i="10"/>
  <c r="R645" i="10"/>
  <c r="O645" i="10"/>
  <c r="L645" i="10"/>
  <c r="G645" i="10"/>
  <c r="F645" i="10"/>
  <c r="E297" i="13" s="1"/>
  <c r="H297" i="13" s="1" a="1"/>
  <c r="H297" i="13" s="1"/>
  <c r="T644" i="10"/>
  <c r="R644" i="10"/>
  <c r="O644" i="10"/>
  <c r="L644" i="10"/>
  <c r="G644" i="10"/>
  <c r="F644" i="10"/>
  <c r="T643" i="10"/>
  <c r="R643" i="10"/>
  <c r="O643" i="10"/>
  <c r="L643" i="10"/>
  <c r="G643" i="10"/>
  <c r="F643" i="10"/>
  <c r="T642" i="10"/>
  <c r="R642" i="10"/>
  <c r="O642" i="10"/>
  <c r="G642" i="10"/>
  <c r="F642" i="10"/>
  <c r="L642" i="10" s="1"/>
  <c r="T641" i="10"/>
  <c r="R641" i="10"/>
  <c r="O641" i="10"/>
  <c r="L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L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L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L115" i="7"/>
  <c r="K115" i="7"/>
  <c r="J115" i="7"/>
  <c r="I115" i="7"/>
  <c r="H115" i="7"/>
  <c r="G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E63" i="7" s="1"/>
  <c r="C61" i="9" s="1"/>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55" i="10" l="1"/>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S152" i="10"/>
  <c r="I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15" i="7"/>
  <c r="B19" i="3" s="1"/>
  <c r="C19" i="3"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F61" i="13"/>
  <c r="G61" i="13" s="1"/>
  <c r="I61" i="13" s="1"/>
  <c r="Y61" i="13"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K97" i="10"/>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F60" i="13"/>
  <c r="G60" i="13" s="1"/>
  <c r="I60" i="13" s="1"/>
  <c r="Y60" i="13" s="1"/>
  <c r="K82"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K152"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K270" i="10"/>
  <c r="E113" i="13"/>
  <c r="H113" i="13" s="1" a="1"/>
  <c r="H113" i="13" s="1"/>
  <c r="S246" i="10"/>
  <c r="I246" i="10" s="1"/>
  <c r="S269" i="10"/>
  <c r="I269" i="10" s="1"/>
  <c r="K269" i="10" s="1"/>
  <c r="S268" i="10"/>
  <c r="I268" i="10" s="1"/>
  <c r="L242" i="10"/>
  <c r="F143" i="13"/>
  <c r="G143" i="13" s="1"/>
  <c r="I143" i="13" s="1"/>
  <c r="Y143" i="13" s="1"/>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F130" i="13"/>
  <c r="G130" i="13" s="1"/>
  <c r="I130" i="13" s="1"/>
  <c r="Y130" i="13" s="1"/>
  <c r="K260" i="10"/>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K308" i="10"/>
  <c r="S342" i="10"/>
  <c r="I342" i="10" s="1"/>
  <c r="K342" i="10" s="1"/>
  <c r="S341" i="10"/>
  <c r="I341" i="10" s="1"/>
  <c r="S326" i="10"/>
  <c r="I326" i="10" s="1"/>
  <c r="S328" i="10"/>
  <c r="I328" i="10" s="1"/>
  <c r="K328" i="10" s="1"/>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F202" i="13"/>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K392" i="10"/>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K432" i="10"/>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K434" i="10"/>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F232" i="13"/>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339" i="13"/>
  <c r="Y367" i="13"/>
  <c r="Y355" i="13"/>
  <c r="Y344" i="13"/>
  <c r="Y360" i="13"/>
  <c r="Y346" i="13"/>
  <c r="Y323" i="13"/>
  <c r="Y369" i="13"/>
  <c r="Y341" i="13"/>
  <c r="Y328" i="13"/>
  <c r="Y357" i="13"/>
  <c r="Y330" i="13"/>
  <c r="Y303" i="13"/>
  <c r="Y376" i="13"/>
  <c r="Y343" i="13"/>
  <c r="Y305" i="13"/>
  <c r="Y351" i="13"/>
  <c r="Y325" i="13"/>
  <c r="Y335" i="13"/>
  <c r="Y211" i="13"/>
  <c r="Y353" i="13"/>
  <c r="Y337" i="13"/>
  <c r="Y327" i="13"/>
  <c r="Y307" i="13"/>
  <c r="Y317" i="13"/>
  <c r="Y312"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210" i="13"/>
  <c r="I210" i="13" s="1"/>
  <c r="Y210" i="13" s="1"/>
  <c r="G185" i="13"/>
  <c r="I185" i="13" s="1"/>
  <c r="Y185" i="13" s="1"/>
  <c r="Y311" i="13"/>
  <c r="Y319" i="13"/>
  <c r="Y309" i="13"/>
  <c r="Y313" i="13"/>
  <c r="Y321" i="13"/>
  <c r="Y315" i="13"/>
  <c r="Y379" i="13"/>
  <c r="Y386" i="13"/>
  <c r="Y402" i="13"/>
  <c r="Y418" i="13"/>
  <c r="Y434" i="13"/>
  <c r="Y318" i="13"/>
  <c r="Y372" i="13"/>
  <c r="Y391" i="13"/>
  <c r="Y407" i="13"/>
  <c r="Y423" i="13"/>
  <c r="Y308" i="13"/>
  <c r="Y366" i="13"/>
  <c r="Y333" i="13"/>
  <c r="Y338" i="13"/>
  <c r="Y354" i="13"/>
  <c r="Y395" i="13"/>
  <c r="Y411" i="13"/>
  <c r="Y427" i="13"/>
  <c r="Y336" i="13"/>
  <c r="Y349" i="13"/>
  <c r="Y439" i="13"/>
  <c r="Y352" i="13"/>
  <c r="Y363" i="13"/>
  <c r="Y384" i="13"/>
  <c r="Y306" i="13"/>
  <c r="Y377" i="13"/>
  <c r="Y400" i="13"/>
  <c r="Y416" i="13"/>
  <c r="Y432" i="13"/>
  <c r="Y443" i="13"/>
  <c r="Y304" i="13"/>
  <c r="Y334" i="13"/>
  <c r="Y381" i="13"/>
  <c r="Y331" i="13"/>
  <c r="Y350" i="13"/>
  <c r="Y388" i="13"/>
  <c r="Y404" i="13"/>
  <c r="Y420" i="13"/>
  <c r="Y302"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F301" i="13" l="1"/>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D19" i="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51" i="10" l="1"/>
  <c r="D13" i="3"/>
  <c r="C13" i="3"/>
  <c r="Y76" i="10"/>
  <c r="Y25" i="10"/>
  <c r="Z25" i="10" s="1"/>
  <c r="AA25" i="10" s="1"/>
  <c r="AB25" i="10" s="1"/>
  <c r="U27" i="10" s="1"/>
  <c r="J4" i="10"/>
  <c r="Z277" i="10"/>
  <c r="AA277" i="10" s="1"/>
  <c r="AB277" i="10" s="1"/>
  <c r="U365" i="10" s="1"/>
  <c r="AA128" i="10"/>
  <c r="AB128" i="10" s="1"/>
  <c r="U136"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276" i="10"/>
  <c r="AB276" i="10" s="1"/>
  <c r="U364" i="10"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AA32" i="10"/>
  <c r="AB32" i="10" s="1"/>
  <c r="U34" i="10" s="1"/>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M4" i="10"/>
  <c r="AA487" i="10"/>
  <c r="AB487" i="10" s="1"/>
  <c r="F114" i="7" s="1"/>
  <c r="AA488" i="10"/>
  <c r="AB488" i="10" s="1"/>
  <c r="P25" i="13"/>
  <c r="H8" i="10"/>
  <c r="U25" i="13"/>
  <c r="H13" i="10"/>
  <c r="Y308" i="10"/>
  <c r="Z308" i="10" s="1"/>
  <c r="Y309" i="10"/>
  <c r="Z309" i="10" s="1"/>
  <c r="Y137" i="10"/>
  <c r="Y136" i="10"/>
  <c r="Z136"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Q82" i="13"/>
  <c r="Q66" i="13"/>
  <c r="Q50" i="13"/>
  <c r="Q73" i="13"/>
  <c r="Q57" i="13"/>
  <c r="Q71" i="13"/>
  <c r="Q78" i="13"/>
  <c r="Q62" i="13"/>
  <c r="Q69" i="13"/>
  <c r="Q53" i="13"/>
  <c r="Q76" i="13"/>
  <c r="Q60" i="13"/>
  <c r="Q44" i="13"/>
  <c r="Q67" i="13"/>
  <c r="Q51" i="13"/>
  <c r="Q74" i="13"/>
  <c r="Q58" i="13"/>
  <c r="Q42" i="13"/>
  <c r="Q81" i="13"/>
  <c r="Q65" i="13"/>
  <c r="Q49" i="13"/>
  <c r="Q72" i="13"/>
  <c r="Q56" i="13"/>
  <c r="Q79" i="13"/>
  <c r="Q70" i="13"/>
  <c r="Q77" i="13"/>
  <c r="Q61" i="13"/>
  <c r="Q75" i="13"/>
  <c r="Q59" i="13"/>
  <c r="Q43" i="13"/>
  <c r="Q52" i="13"/>
  <c r="Q46" i="13"/>
  <c r="Q45" i="13"/>
  <c r="Q32" i="13"/>
  <c r="Q55" i="13"/>
  <c r="Q54" i="13"/>
  <c r="Q37" i="13"/>
  <c r="Q28" i="13"/>
  <c r="Q63" i="13"/>
  <c r="Q39" i="13"/>
  <c r="Q35" i="13"/>
  <c r="Q33" i="13"/>
  <c r="Q64" i="13"/>
  <c r="Q31" i="13"/>
  <c r="Q41" i="13"/>
  <c r="Q48" i="13"/>
  <c r="Q47" i="13"/>
  <c r="Q38" i="13"/>
  <c r="Q36" i="13"/>
  <c r="Q80" i="13"/>
  <c r="Q68" i="13"/>
  <c r="Q40" i="13"/>
  <c r="Q34" i="13"/>
  <c r="Q27" i="13"/>
  <c r="Q26" i="13"/>
  <c r="Q30" i="13"/>
  <c r="Q29" i="13"/>
  <c r="H128" i="10"/>
  <c r="Z52" i="10"/>
  <c r="AA74" i="10"/>
  <c r="AB74" i="10" s="1"/>
  <c r="U76" i="10" s="1"/>
  <c r="Z76" i="10" s="1"/>
  <c r="AA73" i="10"/>
  <c r="AB73" i="10" s="1"/>
  <c r="U382" i="10" s="1"/>
  <c r="AA46" i="10"/>
  <c r="AB46" i="10" s="1"/>
  <c r="AA45" i="10"/>
  <c r="AB45" i="10" s="1"/>
  <c r="U47" i="10" s="1"/>
  <c r="AA651" i="10" l="1"/>
  <c r="AB651" i="10" s="1"/>
  <c r="AA650" i="10"/>
  <c r="AB650" i="10" s="1"/>
  <c r="U653" i="10" s="1"/>
  <c r="AA649" i="10"/>
  <c r="AB649" i="10" s="1"/>
  <c r="U652" i="10" s="1"/>
  <c r="U654" i="10"/>
  <c r="AA26" i="10"/>
  <c r="AB26" i="10" s="1"/>
  <c r="U28"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Y27" i="10"/>
  <c r="Z27"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653" i="10" l="1"/>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U46" i="13"/>
  <c r="U49" i="13"/>
  <c r="U40" i="13"/>
  <c r="U47" i="13"/>
  <c r="U45" i="13"/>
  <c r="U52" i="13"/>
  <c r="U44" i="13"/>
  <c r="U43" i="13"/>
  <c r="U37" i="13"/>
  <c r="U28" i="13"/>
  <c r="U39" i="13"/>
  <c r="U42" i="13"/>
  <c r="U33" i="13"/>
  <c r="U31" i="13"/>
  <c r="U41" i="13"/>
  <c r="U29" i="13"/>
  <c r="U50" i="13"/>
  <c r="U48" i="13"/>
  <c r="U38" i="13"/>
  <c r="U36" i="13"/>
  <c r="U27" i="13"/>
  <c r="U51" i="13"/>
  <c r="U34" i="13"/>
  <c r="U32" i="13"/>
  <c r="U30" i="13"/>
  <c r="U35" i="13"/>
  <c r="U26" i="13"/>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54" i="10" l="1"/>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P26" i="13"/>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C18" i="3" l="1"/>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AA383" i="10"/>
  <c r="AB383" i="10" s="1"/>
  <c r="U385" i="10" s="1"/>
  <c r="Y119" i="10"/>
  <c r="Z119" i="10" s="1"/>
  <c r="Y118" i="10"/>
  <c r="Z118" i="10" s="1"/>
  <c r="Y463" i="10"/>
  <c r="Z463" i="10" s="1"/>
  <c r="Y462" i="10"/>
  <c r="Z462" i="10" s="1"/>
  <c r="U656" i="10" l="1"/>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Z385" i="10" s="1"/>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55" i="10" l="1"/>
  <c r="Z655" i="10" s="1"/>
  <c r="AA655" i="10" s="1"/>
  <c r="AB655" i="10" s="1"/>
  <c r="G106" i="7"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P106" i="7" l="1"/>
  <c r="B10" i="3" s="1"/>
  <c r="D10" i="3"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P27" i="13"/>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C10" i="3" l="1"/>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643" i="10" l="1"/>
  <c r="U644" i="10"/>
  <c r="AA603" i="10"/>
  <c r="AB603" i="10" s="1"/>
  <c r="D125" i="7" s="1"/>
  <c r="Y563" i="10"/>
  <c r="Z563" i="10" s="1"/>
  <c r="Y562" i="10"/>
  <c r="U562" i="10"/>
  <c r="U528" i="10"/>
  <c r="U524" i="10"/>
  <c r="AA504" i="10"/>
  <c r="AB504" i="10" s="1"/>
  <c r="U506" i="10"/>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X17" i="10" s="1"/>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644" i="10" l="1"/>
  <c r="Z644" i="10" s="1"/>
  <c r="AA644" i="10" s="1"/>
  <c r="AB644" i="10" s="1"/>
  <c r="Y643" i="10"/>
  <c r="Z643" i="10" s="1"/>
  <c r="AA643" i="10" s="1"/>
  <c r="AB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U646" i="10" l="1"/>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P28" i="13"/>
  <c r="H20" i="10"/>
  <c r="N17" i="10"/>
  <c r="AA274" i="10"/>
  <c r="AB274" i="10" s="1"/>
  <c r="B119" i="7" s="1"/>
  <c r="AA275" i="10"/>
  <c r="AB275" i="10" s="1"/>
  <c r="U278" i="10" s="1"/>
  <c r="Y295" i="10"/>
  <c r="Z295" i="10" s="1"/>
  <c r="Y294" i="10"/>
  <c r="Z294" i="10" s="1"/>
  <c r="Y645" i="10" l="1"/>
  <c r="Z645" i="10" s="1"/>
  <c r="AA645" i="10" s="1"/>
  <c r="AB645" i="10" s="1"/>
  <c r="G125" i="7"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25" i="7" l="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U606" i="10"/>
  <c r="U565" i="10"/>
  <c r="Y509" i="10"/>
  <c r="Z509" i="10" s="1"/>
  <c r="Y510" i="10"/>
  <c r="Z510" i="10" s="1"/>
  <c r="AA450" i="10"/>
  <c r="AB450" i="10" s="1"/>
  <c r="G110" i="7" s="1"/>
  <c r="AA451" i="10"/>
  <c r="AB451" i="10" s="1"/>
  <c r="F110" i="7" s="1"/>
  <c r="AA362" i="10"/>
  <c r="AB362" i="10" s="1"/>
  <c r="I110" i="7"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P29" i="13"/>
  <c r="H22" i="10"/>
  <c r="N19" i="10"/>
  <c r="AA80" i="10"/>
  <c r="AB80" i="10" s="1"/>
  <c r="U83" i="10" s="1"/>
  <c r="AA81" i="10"/>
  <c r="AB81" i="10" s="1"/>
  <c r="U85" i="10" s="1"/>
  <c r="AA281" i="10"/>
  <c r="AB281" i="10" s="1"/>
  <c r="U283" i="10" s="1"/>
  <c r="AA280" i="10"/>
  <c r="AB280" i="10" s="1"/>
  <c r="U282" i="10" s="1"/>
  <c r="P121" i="7"/>
  <c r="B25" i="3" s="1"/>
  <c r="U614" i="10" l="1"/>
  <c r="Z606" i="10"/>
  <c r="H9" i="5"/>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U623" i="10" l="1"/>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Z623" i="10" l="1"/>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AA623" i="10" l="1"/>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P30" i="13"/>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P31" i="13"/>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P32" i="13"/>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P34" i="13"/>
  <c r="P35" i="13"/>
  <c r="P33" i="13"/>
  <c r="P36" i="13"/>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37" i="13" l="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AA565" i="10" s="1"/>
  <c r="AB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P38" i="13"/>
  <c r="H39" i="10"/>
  <c r="Y230" i="10"/>
  <c r="Z230" i="10" s="1"/>
  <c r="Y229" i="10"/>
  <c r="Z229" i="10" s="1"/>
  <c r="U627" i="10" l="1"/>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P39" i="13"/>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AA628" i="10" l="1"/>
  <c r="AB628" i="10" s="1"/>
  <c r="AA627" i="10"/>
  <c r="AB627" i="10" s="1"/>
  <c r="AA568" i="10"/>
  <c r="AB568" i="10" s="1"/>
  <c r="B108" i="7" s="1"/>
  <c r="D108" i="7"/>
  <c r="W41" i="10"/>
  <c r="X41" i="10" s="1"/>
  <c r="W42" i="10"/>
  <c r="X42" i="10" s="1"/>
  <c r="Y447" i="10"/>
  <c r="Z447" i="10" s="1"/>
  <c r="Y446" i="10"/>
  <c r="Z446" i="10" s="1"/>
  <c r="Z287" i="10"/>
  <c r="U630" i="10" l="1"/>
  <c r="U629" i="10"/>
  <c r="AA447" i="10"/>
  <c r="AB447" i="10" s="1"/>
  <c r="L124" i="7" s="1"/>
  <c r="AA446" i="10"/>
  <c r="AB446" i="10" s="1"/>
  <c r="G124" i="7" s="1"/>
  <c r="AA287" i="10"/>
  <c r="AB287" i="10" s="1"/>
  <c r="U289" i="10" s="1"/>
  <c r="AA286" i="10"/>
  <c r="AB286" i="10" s="1"/>
  <c r="U288" i="10" s="1"/>
  <c r="J41" i="10"/>
  <c r="M41" i="10" s="1"/>
  <c r="N41" i="10" s="1"/>
  <c r="J42" i="10"/>
  <c r="M42" i="10" s="1"/>
  <c r="N42" i="10" s="1"/>
  <c r="Y630" i="10" l="1"/>
  <c r="Z630" i="10" s="1"/>
  <c r="AA630" i="10" s="1"/>
  <c r="AB630" i="10" s="1"/>
  <c r="Y629" i="10"/>
  <c r="Z629" i="10" s="1"/>
  <c r="AA629" i="10" s="1"/>
  <c r="AB629" i="10" s="1"/>
  <c r="U631" i="10" s="1"/>
  <c r="R42" i="13"/>
  <c r="R40" i="13"/>
  <c r="R41" i="13"/>
  <c r="H48" i="10"/>
  <c r="P75" i="13"/>
  <c r="P59" i="13"/>
  <c r="P66" i="13"/>
  <c r="P50" i="13"/>
  <c r="P71" i="13"/>
  <c r="P78" i="13"/>
  <c r="P62" i="13"/>
  <c r="P46" i="13"/>
  <c r="P69" i="13"/>
  <c r="P53" i="13"/>
  <c r="P76" i="13"/>
  <c r="P60" i="13"/>
  <c r="P44" i="13"/>
  <c r="P67" i="13"/>
  <c r="P51" i="13"/>
  <c r="P74" i="13"/>
  <c r="P58" i="13"/>
  <c r="P42" i="13"/>
  <c r="P65" i="13"/>
  <c r="P49" i="13"/>
  <c r="P63" i="13"/>
  <c r="P70" i="13"/>
  <c r="P54" i="13"/>
  <c r="P77" i="13"/>
  <c r="P68" i="13"/>
  <c r="P52" i="13"/>
  <c r="P40" i="13"/>
  <c r="P45" i="13"/>
  <c r="P56" i="13"/>
  <c r="P72" i="13"/>
  <c r="P55" i="13"/>
  <c r="P57" i="13"/>
  <c r="P43" i="13"/>
  <c r="P73" i="13"/>
  <c r="P64" i="13"/>
  <c r="P41" i="13"/>
  <c r="P48" i="13"/>
  <c r="P47" i="13"/>
  <c r="P61" i="13"/>
  <c r="H120" i="10"/>
  <c r="Y289" i="10"/>
  <c r="Z289" i="10" s="1"/>
  <c r="Y288" i="10"/>
  <c r="Z288" i="10" s="1"/>
  <c r="H23" i="5"/>
  <c r="P124" i="7"/>
  <c r="B28" i="3" s="1"/>
  <c r="Y631" i="10" l="1"/>
  <c r="Z631" i="10" s="1"/>
  <c r="Y632" i="10"/>
  <c r="U632" i="10"/>
  <c r="G108" i="7"/>
  <c r="V120" i="10"/>
  <c r="D28" i="3"/>
  <c r="C28" i="3"/>
  <c r="V48" i="10"/>
  <c r="X48" i="10" s="1"/>
  <c r="Q48" i="10"/>
  <c r="AA288" i="10"/>
  <c r="AB288" i="10" s="1"/>
  <c r="AA289" i="10"/>
  <c r="AB289" i="10" s="1"/>
  <c r="U634" i="10" l="1"/>
  <c r="AA631" i="10"/>
  <c r="AB631" i="10" s="1"/>
  <c r="Z632" i="10"/>
  <c r="AA632" i="10" s="1"/>
  <c r="AB632" i="10" s="1"/>
  <c r="I108" i="7" s="1"/>
  <c r="U511" i="10"/>
  <c r="H16" i="5"/>
  <c r="B19" i="5" s="1"/>
  <c r="J48" i="10"/>
  <c r="M48" i="10" s="1"/>
  <c r="N48" i="10" s="1"/>
  <c r="J47" i="10"/>
  <c r="M47" i="10" s="1"/>
  <c r="N47" i="10" s="1"/>
  <c r="U647" i="10" l="1"/>
  <c r="Y511" i="10"/>
  <c r="Z511" i="10" s="1"/>
  <c r="Y512" i="10"/>
  <c r="Z512" i="10" s="1"/>
  <c r="AA512" i="10" s="1"/>
  <c r="AB512" i="10" s="1"/>
  <c r="K43" i="13"/>
  <c r="K50" i="13"/>
  <c r="K48" i="13"/>
  <c r="K46" i="13"/>
  <c r="K51" i="13"/>
  <c r="K49" i="13"/>
  <c r="K47" i="13"/>
  <c r="K52" i="13"/>
  <c r="K44" i="13"/>
  <c r="K45" i="13"/>
  <c r="H67" i="10"/>
  <c r="R43" i="13"/>
  <c r="H50" i="10"/>
  <c r="Y647" i="10" l="1"/>
  <c r="Z647" i="10" s="1"/>
  <c r="Y648" i="10"/>
  <c r="Z648" i="10" s="1"/>
  <c r="AA648" i="10" s="1"/>
  <c r="AB648" i="10" s="1"/>
  <c r="H108" i="7" s="1"/>
  <c r="AA511" i="10"/>
  <c r="AB511" i="10" s="1"/>
  <c r="U514" i="10"/>
  <c r="U513" i="10"/>
  <c r="V67" i="10"/>
  <c r="X67" i="10" s="1"/>
  <c r="Q67" i="10"/>
  <c r="V50" i="10"/>
  <c r="X50" i="10" s="1"/>
  <c r="Q50" i="10"/>
  <c r="AA647" i="10" l="1"/>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D12" i="3" l="1"/>
  <c r="AA513" i="10"/>
  <c r="AB513" i="10" s="1"/>
  <c r="U516" i="10"/>
  <c r="U515" i="10"/>
  <c r="K53" i="13"/>
  <c r="H69" i="10"/>
  <c r="U53" i="13"/>
  <c r="U56" i="13"/>
  <c r="U54" i="13"/>
  <c r="U61" i="13"/>
  <c r="U57" i="13"/>
  <c r="U55" i="13"/>
  <c r="U58" i="13"/>
  <c r="U59" i="13"/>
  <c r="U60" i="13"/>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U62" i="13"/>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U67" i="13"/>
  <c r="U65" i="13"/>
  <c r="U63" i="13"/>
  <c r="U66" i="13"/>
  <c r="U64" i="13"/>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AA633" i="10" s="1"/>
  <c r="AB633" i="10" s="1"/>
  <c r="Y634" i="10"/>
  <c r="Z634" i="10" s="1"/>
  <c r="AA634" i="10" s="1"/>
  <c r="AB634" i="10" s="1"/>
  <c r="U636" i="10" s="1"/>
  <c r="Y548" i="10"/>
  <c r="Z548" i="10" s="1"/>
  <c r="AA548" i="10" s="1"/>
  <c r="AB548" i="10" s="1"/>
  <c r="Y547" i="10"/>
  <c r="Z547" i="10" s="1"/>
  <c r="W62" i="10"/>
  <c r="X62" i="10" s="1"/>
  <c r="W61" i="10"/>
  <c r="W59" i="10"/>
  <c r="X59" i="10" s="1"/>
  <c r="W60" i="10"/>
  <c r="X60" i="10" s="1"/>
  <c r="U635" i="10" l="1"/>
  <c r="AA547" i="10"/>
  <c r="AB547" i="10" s="1"/>
  <c r="U554" i="10"/>
  <c r="U549" i="10"/>
  <c r="J59" i="10"/>
  <c r="M59" i="10" s="1"/>
  <c r="N59" i="10" s="1"/>
  <c r="J60" i="10"/>
  <c r="M60" i="10" s="1"/>
  <c r="N60" i="10" s="1"/>
  <c r="Y635" i="10" l="1"/>
  <c r="Z635" i="10" s="1"/>
  <c r="AA635" i="10" s="1"/>
  <c r="AB635" i="10" s="1"/>
  <c r="U637" i="10" s="1"/>
  <c r="Y636" i="10"/>
  <c r="Z636" i="10" s="1"/>
  <c r="AA636" i="10" s="1"/>
  <c r="AB636" i="10" s="1"/>
  <c r="U638" i="10" s="1"/>
  <c r="Z554" i="10"/>
  <c r="Z549" i="10"/>
  <c r="N49" i="13"/>
  <c r="H61" i="10"/>
  <c r="O49" i="13"/>
  <c r="O50" i="13"/>
  <c r="H63" i="10"/>
  <c r="Y637" i="10" l="1"/>
  <c r="Z637" i="10" s="1"/>
  <c r="AA637" i="10" s="1"/>
  <c r="AB637" i="10" s="1"/>
  <c r="U639" i="10" s="1"/>
  <c r="Y638" i="10"/>
  <c r="Z638" i="10" s="1"/>
  <c r="AA638" i="10" s="1"/>
  <c r="AB638" i="10" s="1"/>
  <c r="U640" i="10" s="1"/>
  <c r="AA554" i="10"/>
  <c r="AB554" i="10" s="1"/>
  <c r="E117" i="7" s="1"/>
  <c r="AA555" i="10"/>
  <c r="AB555" i="10" s="1"/>
  <c r="AA549" i="10"/>
  <c r="AB549" i="10" s="1"/>
  <c r="AA550" i="10"/>
  <c r="AB550" i="10" s="1"/>
  <c r="J117" i="7" s="1"/>
  <c r="P64" i="10"/>
  <c r="P63" i="10"/>
  <c r="Q63" i="10" s="1"/>
  <c r="V63" i="10"/>
  <c r="V61" i="10"/>
  <c r="X61" i="10" s="1"/>
  <c r="Q61" i="10"/>
  <c r="Y639" i="10" l="1"/>
  <c r="Z639" i="10" s="1"/>
  <c r="AA639" i="10" s="1"/>
  <c r="AB639" i="10" s="1"/>
  <c r="U641" i="10" s="1"/>
  <c r="Y640" i="10"/>
  <c r="Z640" i="10" s="1"/>
  <c r="AA640" i="10" s="1"/>
  <c r="AB640" i="10" s="1"/>
  <c r="U642" i="10" s="1"/>
  <c r="U559" i="10"/>
  <c r="U557" i="10"/>
  <c r="J61" i="10"/>
  <c r="M61" i="10" s="1"/>
  <c r="N61" i="10" s="1"/>
  <c r="J62" i="10"/>
  <c r="M62" i="10" s="1"/>
  <c r="N62" i="10" s="1"/>
  <c r="W64" i="10"/>
  <c r="W63" i="10"/>
  <c r="X63" i="10" s="1"/>
  <c r="Y642" i="10" l="1"/>
  <c r="Z642" i="10" s="1"/>
  <c r="AA642" i="10" s="1"/>
  <c r="AB642" i="10" s="1"/>
  <c r="L117" i="7" s="1"/>
  <c r="Y641" i="10"/>
  <c r="Z641" i="10" s="1"/>
  <c r="AA641" i="10" s="1"/>
  <c r="AB641" i="10" s="1"/>
  <c r="H117" i="7" s="1"/>
  <c r="Z557" i="10"/>
  <c r="R50" i="13"/>
  <c r="H64" i="10"/>
  <c r="N51" i="13"/>
  <c r="N50" i="13"/>
  <c r="H66" i="10"/>
  <c r="AA557" i="10" l="1"/>
  <c r="AB557" i="10" s="1"/>
  <c r="AA556" i="10"/>
  <c r="AB556" i="10" s="1"/>
  <c r="V66" i="10"/>
  <c r="V64" i="10"/>
  <c r="X64" i="10" s="1"/>
  <c r="Q64" i="10"/>
  <c r="U560" i="10" l="1"/>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AA589" i="10" s="1"/>
  <c r="AB589" i="10" s="1"/>
  <c r="V72" i="10"/>
  <c r="X72" i="10" s="1"/>
  <c r="Q72" i="10"/>
  <c r="P81" i="10"/>
  <c r="Q81" i="10" s="1"/>
  <c r="P80" i="10"/>
  <c r="Q80" i="10" s="1"/>
  <c r="V80" i="10"/>
  <c r="U593" i="10" l="1"/>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Q85" i="13" l="1"/>
  <c r="Q83" i="13"/>
  <c r="Q86" i="13"/>
  <c r="Q84" i="13"/>
  <c r="H136" i="10"/>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U68" i="13"/>
  <c r="H101" i="10"/>
  <c r="V101" i="10" l="1"/>
  <c r="P100" i="10"/>
  <c r="Q100" i="10" s="1"/>
  <c r="P101" i="10"/>
  <c r="Q101" i="10" s="1"/>
  <c r="V100" i="10"/>
  <c r="W101" i="10" l="1"/>
  <c r="X101" i="10" s="1"/>
  <c r="W100" i="10"/>
  <c r="X100" i="10" s="1"/>
  <c r="J101" i="10" l="1"/>
  <c r="M101" i="10" s="1"/>
  <c r="N101" i="10" s="1"/>
  <c r="J100" i="10"/>
  <c r="M100" i="10" s="1"/>
  <c r="N100" i="10" s="1"/>
  <c r="O69" i="13" l="1"/>
  <c r="H102" i="10"/>
  <c r="U69" i="13"/>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U70" i="13"/>
  <c r="H105" i="10"/>
  <c r="V105" i="10" l="1"/>
  <c r="X105" i="10" s="1"/>
  <c r="Q105" i="10"/>
  <c r="V123" i="10"/>
  <c r="J105" i="10" l="1"/>
  <c r="M105" i="10" s="1"/>
  <c r="N105" i="10" s="1"/>
  <c r="J104" i="10"/>
  <c r="M104" i="10" s="1"/>
  <c r="N104" i="10" s="1"/>
  <c r="R71" i="13" l="1"/>
  <c r="H106" i="10"/>
  <c r="U71" i="13"/>
  <c r="H107" i="10"/>
  <c r="V107" i="10" l="1"/>
  <c r="P107" i="10"/>
  <c r="Q107" i="10" s="1"/>
  <c r="P106" i="10"/>
  <c r="Q106" i="10" s="1"/>
  <c r="V106" i="10"/>
  <c r="W107" i="10" l="1"/>
  <c r="X107" i="10" s="1"/>
  <c r="W106" i="10"/>
  <c r="X106" i="10" s="1"/>
  <c r="J107" i="10" l="1"/>
  <c r="M107" i="10" s="1"/>
  <c r="N107" i="10" s="1"/>
  <c r="J106" i="10"/>
  <c r="M106" i="10" s="1"/>
  <c r="N106" i="10" s="1"/>
  <c r="R72" i="13" l="1"/>
  <c r="H108" i="10"/>
  <c r="U72" i="13"/>
  <c r="H109" i="10"/>
  <c r="P109" i="10" l="1"/>
  <c r="Q109" i="10" s="1"/>
  <c r="P108" i="10"/>
  <c r="Q108" i="10" s="1"/>
  <c r="V109" i="10"/>
  <c r="V108" i="10"/>
  <c r="W108" i="10" l="1"/>
  <c r="X108" i="10" s="1"/>
  <c r="W109" i="10"/>
  <c r="X109" i="10" s="1"/>
  <c r="J108" i="10" l="1"/>
  <c r="M108" i="10" s="1"/>
  <c r="N108" i="10" s="1"/>
  <c r="J109" i="10"/>
  <c r="M109" i="10" s="1"/>
  <c r="N109" i="10" s="1"/>
  <c r="U73" i="13" l="1"/>
  <c r="H111" i="10"/>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U74" i="13"/>
  <c r="H113" i="10"/>
  <c r="V113" i="10" l="1"/>
  <c r="P112" i="10"/>
  <c r="Q112" i="10" s="1"/>
  <c r="P113" i="10"/>
  <c r="Q113" i="10" s="1"/>
  <c r="V112" i="10"/>
  <c r="W113" i="10" l="1"/>
  <c r="X113" i="10" s="1"/>
  <c r="W112" i="10"/>
  <c r="X112" i="10" s="1"/>
  <c r="J113" i="10" l="1"/>
  <c r="M113" i="10" s="1"/>
  <c r="N113" i="10" s="1"/>
  <c r="J112" i="10"/>
  <c r="M112" i="10" s="1"/>
  <c r="N112" i="10" s="1"/>
  <c r="S75" i="13" l="1"/>
  <c r="H114" i="10"/>
  <c r="U75" i="13"/>
  <c r="H115" i="10"/>
  <c r="V115" i="10" l="1"/>
  <c r="P114" i="10"/>
  <c r="Q114" i="10" s="1"/>
  <c r="P115" i="10"/>
  <c r="Q115" i="10" s="1"/>
  <c r="V114" i="10"/>
  <c r="W115" i="10" l="1"/>
  <c r="X115" i="10" s="1"/>
  <c r="W114" i="10"/>
  <c r="X114" i="10" s="1"/>
  <c r="J115" i="10" l="1"/>
  <c r="M115" i="10" s="1"/>
  <c r="N115" i="10" s="1"/>
  <c r="J114" i="10"/>
  <c r="M114" i="10" s="1"/>
  <c r="N114" i="10" s="1"/>
  <c r="S76" i="13" l="1"/>
  <c r="H117" i="10"/>
  <c r="U76" i="13"/>
  <c r="H116" i="10"/>
  <c r="P116" i="10" l="1"/>
  <c r="Q116" i="10" s="1"/>
  <c r="P117" i="10"/>
  <c r="Q117" i="10" s="1"/>
  <c r="V116" i="10"/>
  <c r="V117" i="10"/>
  <c r="W117" i="10" l="1"/>
  <c r="X117" i="10" s="1"/>
  <c r="W116" i="10"/>
  <c r="X116" i="10" s="1"/>
  <c r="J117" i="10" l="1"/>
  <c r="M117" i="10" s="1"/>
  <c r="N117" i="10" s="1"/>
  <c r="J116" i="10"/>
  <c r="M116" i="10" s="1"/>
  <c r="N116" i="10" s="1"/>
  <c r="U77" i="13" l="1"/>
  <c r="H118" i="10"/>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U78" i="13" l="1"/>
  <c r="H121" i="10"/>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P79" i="13"/>
  <c r="H122" i="10"/>
  <c r="S87" i="13"/>
  <c r="S92" i="13"/>
  <c r="S90" i="13"/>
  <c r="S88" i="13"/>
  <c r="S86" i="13"/>
  <c r="S91" i="13"/>
  <c r="S89" i="13"/>
  <c r="H150" i="10"/>
  <c r="U83" i="13"/>
  <c r="U81" i="13"/>
  <c r="U79" i="13"/>
  <c r="U84" i="13"/>
  <c r="U82" i="13"/>
  <c r="U80" i="13"/>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P82" i="13"/>
  <c r="P80" i="13"/>
  <c r="P83" i="13"/>
  <c r="P81" i="13"/>
  <c r="P84" i="13"/>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U85" i="13" l="1"/>
  <c r="U86" i="13"/>
  <c r="H137" i="10"/>
  <c r="P91" i="13"/>
  <c r="P89" i="13"/>
  <c r="P87" i="13"/>
  <c r="P85" i="13"/>
  <c r="P92" i="13"/>
  <c r="P90" i="13"/>
  <c r="P88" i="13"/>
  <c r="P86" i="13"/>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Q89" i="13"/>
  <c r="Q87" i="13"/>
  <c r="Q88" i="13"/>
  <c r="H142" i="10"/>
  <c r="J150" i="10"/>
  <c r="M150" i="10" s="1"/>
  <c r="N150" i="10" s="1"/>
  <c r="J149" i="10"/>
  <c r="M149" i="10" s="1"/>
  <c r="N149" i="10" s="1"/>
  <c r="J148" i="10"/>
  <c r="M148" i="10" s="1"/>
  <c r="N148" i="10" s="1"/>
  <c r="U88" i="13"/>
  <c r="U87" i="13"/>
  <c r="H141" i="10"/>
  <c r="O93" i="13" l="1"/>
  <c r="H155" i="10"/>
  <c r="S96" i="13"/>
  <c r="S94" i="13"/>
  <c r="S98" i="13"/>
  <c r="S95" i="13"/>
  <c r="S97" i="13"/>
  <c r="S93" i="13"/>
  <c r="H172" i="10"/>
  <c r="V141" i="10"/>
  <c r="X141" i="10" s="1"/>
  <c r="Q141" i="10"/>
  <c r="P142" i="10"/>
  <c r="Q142" i="10" s="1"/>
  <c r="P143" i="10"/>
  <c r="V142" i="10"/>
  <c r="P93" i="13"/>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U89" i="13"/>
  <c r="H143" i="10"/>
  <c r="T90" i="13"/>
  <c r="T89" i="13"/>
  <c r="H144" i="10"/>
  <c r="P144" i="10" l="1"/>
  <c r="Q144" i="10" s="1"/>
  <c r="P145" i="10"/>
  <c r="V144" i="10"/>
  <c r="V143" i="10"/>
  <c r="X143" i="10" s="1"/>
  <c r="Q143" i="10"/>
  <c r="J143" i="10" l="1"/>
  <c r="M143" i="10" s="1"/>
  <c r="N143" i="10" s="1"/>
  <c r="J142" i="10"/>
  <c r="M142" i="10" s="1"/>
  <c r="N142" i="10" s="1"/>
  <c r="W145" i="10"/>
  <c r="W144" i="10"/>
  <c r="X144" i="10" s="1"/>
  <c r="Q90" i="13" l="1"/>
  <c r="Q91" i="13"/>
  <c r="H146" i="10"/>
  <c r="U90" i="13"/>
  <c r="H145" i="10"/>
  <c r="V145" i="10" l="1"/>
  <c r="X145" i="10" s="1"/>
  <c r="Q145" i="10"/>
  <c r="P146" i="10"/>
  <c r="Q146" i="10" s="1"/>
  <c r="P147" i="10"/>
  <c r="V146" i="10"/>
  <c r="W147" i="10" l="1"/>
  <c r="W146" i="10"/>
  <c r="X146" i="10" s="1"/>
  <c r="J145" i="10"/>
  <c r="M145" i="10" s="1"/>
  <c r="N145" i="10" s="1"/>
  <c r="J144" i="10"/>
  <c r="M144" i="10" s="1"/>
  <c r="N144" i="10" s="1"/>
  <c r="U92" i="13" l="1"/>
  <c r="U93" i="13"/>
  <c r="U91" i="13"/>
  <c r="H152" i="10"/>
  <c r="T91" i="13"/>
  <c r="H147" i="10"/>
  <c r="V147" i="10" l="1"/>
  <c r="X147" i="10" s="1"/>
  <c r="Q147" i="10"/>
  <c r="V152" i="10"/>
  <c r="J147" i="10" l="1"/>
  <c r="M147" i="10" s="1"/>
  <c r="N147" i="10" s="1"/>
  <c r="J146" i="10"/>
  <c r="M146" i="10" s="1"/>
  <c r="N146" i="10" s="1"/>
  <c r="Q92" i="13" l="1"/>
  <c r="Q93" i="13"/>
  <c r="H153" i="10"/>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P96" i="13"/>
  <c r="P94" i="13"/>
  <c r="P95" i="13"/>
  <c r="P97" i="13"/>
  <c r="H169" i="10"/>
  <c r="U94" i="13"/>
  <c r="H157" i="10"/>
  <c r="Q94" i="13"/>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Q95" i="13"/>
  <c r="H160" i="10"/>
  <c r="U95" i="13"/>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Q96" i="13"/>
  <c r="H167" i="10"/>
  <c r="U96" i="13"/>
  <c r="H166" i="10"/>
  <c r="T99" i="13"/>
  <c r="T96" i="13"/>
  <c r="T98" i="13"/>
  <c r="T97" i="13"/>
  <c r="T100" i="13"/>
  <c r="H182" i="10"/>
  <c r="V182" i="10" l="1"/>
  <c r="V166" i="10"/>
  <c r="X166" i="10" s="1"/>
  <c r="Q166" i="10"/>
  <c r="V167" i="10"/>
  <c r="X167" i="10" s="1"/>
  <c r="J167" i="10" s="1"/>
  <c r="M167" i="10" s="1"/>
  <c r="N167" i="10" s="1"/>
  <c r="Q167" i="10"/>
  <c r="Q98" i="13" l="1"/>
  <c r="Q101" i="13"/>
  <c r="Q97" i="13"/>
  <c r="Q102" i="13"/>
  <c r="Q100" i="13"/>
  <c r="Q99" i="13"/>
  <c r="H189" i="10"/>
  <c r="J166" i="10"/>
  <c r="M166" i="10" s="1"/>
  <c r="N166" i="10" s="1"/>
  <c r="J165" i="10"/>
  <c r="M165" i="10" s="1"/>
  <c r="N165" i="10" s="1"/>
  <c r="J164" i="10"/>
  <c r="M164" i="10" s="1"/>
  <c r="N164" i="10" s="1"/>
  <c r="W97" i="13" l="1"/>
  <c r="H170" i="10"/>
  <c r="L97" i="13"/>
  <c r="H171" i="10"/>
  <c r="U101" i="13"/>
  <c r="U99" i="13"/>
  <c r="U98" i="13"/>
  <c r="U97" i="13"/>
  <c r="U102" i="13"/>
  <c r="U100" i="13"/>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P98" i="13"/>
  <c r="H175" i="10"/>
  <c r="V184" i="10"/>
  <c r="P184" i="10" l="1"/>
  <c r="Q184" i="10" s="1"/>
  <c r="P186" i="10"/>
  <c r="P185" i="10"/>
  <c r="Q185" i="10" s="1"/>
  <c r="V175" i="10"/>
  <c r="X175" i="10" s="1"/>
  <c r="J175" i="10" s="1"/>
  <c r="M175" i="10" s="1"/>
  <c r="N175" i="10" s="1"/>
  <c r="Q175" i="10"/>
  <c r="V174" i="10"/>
  <c r="X174" i="10" s="1"/>
  <c r="Q174" i="10"/>
  <c r="V185" i="10"/>
  <c r="W187" i="10" s="1"/>
  <c r="W185" i="10" l="1"/>
  <c r="X185" i="10" s="1"/>
  <c r="P103" i="13"/>
  <c r="P101" i="13"/>
  <c r="P102" i="13"/>
  <c r="P100" i="13"/>
  <c r="P99" i="13"/>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U103" i="13" l="1"/>
  <c r="H195" i="10"/>
  <c r="L104" i="13"/>
  <c r="L105" i="13"/>
  <c r="L106" i="13"/>
  <c r="L103" i="13"/>
  <c r="H205" i="10"/>
  <c r="Q103" i="13"/>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U106" i="13" l="1"/>
  <c r="U104" i="13"/>
  <c r="U105" i="13"/>
  <c r="U107" i="13"/>
  <c r="H211" i="10"/>
  <c r="W207" i="10"/>
  <c r="W205" i="10"/>
  <c r="X205" i="10" s="1"/>
  <c r="W206" i="10"/>
  <c r="W204" i="10"/>
  <c r="X204" i="10" s="1"/>
  <c r="J193" i="10"/>
  <c r="M193" i="10" s="1"/>
  <c r="N193" i="10" s="1"/>
  <c r="J194" i="10"/>
  <c r="M194" i="10" s="1"/>
  <c r="N194" i="10" s="1"/>
  <c r="J192" i="10"/>
  <c r="M192" i="10" s="1"/>
  <c r="N192" i="10" s="1"/>
  <c r="O104" i="13" l="1"/>
  <c r="H198" i="10"/>
  <c r="P104" i="13"/>
  <c r="H199" i="10"/>
  <c r="Q107" i="13"/>
  <c r="Q105" i="13"/>
  <c r="Q104" i="13"/>
  <c r="Q106" i="13"/>
  <c r="H210" i="10"/>
  <c r="V211" i="10"/>
  <c r="V210" i="10" l="1"/>
  <c r="V199" i="10"/>
  <c r="X199" i="10" s="1"/>
  <c r="J199" i="10" s="1"/>
  <c r="M199" i="10" s="1"/>
  <c r="N199" i="10" s="1"/>
  <c r="Q199" i="10"/>
  <c r="V198" i="10"/>
  <c r="X198" i="10" s="1"/>
  <c r="Q198" i="10"/>
  <c r="P109" i="13" l="1"/>
  <c r="P107" i="13"/>
  <c r="P105" i="13"/>
  <c r="P106" i="13"/>
  <c r="P108" i="13"/>
  <c r="H218" i="10"/>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U112" i="13"/>
  <c r="U110" i="13"/>
  <c r="U108" i="13"/>
  <c r="U111" i="13"/>
  <c r="U109" i="13"/>
  <c r="H225" i="10"/>
  <c r="K108" i="13" l="1"/>
  <c r="H214" i="10"/>
  <c r="Q110" i="13"/>
  <c r="Q108" i="13"/>
  <c r="Q109" i="13"/>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U113" i="13"/>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Q111" i="13"/>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P111" i="13"/>
  <c r="P112" i="13"/>
  <c r="P110" i="13"/>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Q112" i="13"/>
  <c r="Q113" i="13"/>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P118" i="13"/>
  <c r="P116" i="13"/>
  <c r="P114" i="13"/>
  <c r="P117" i="13"/>
  <c r="P115" i="13"/>
  <c r="P113" i="13"/>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U114" i="13" l="1"/>
  <c r="H229" i="10"/>
  <c r="V238" i="10"/>
  <c r="P235" i="10"/>
  <c r="Q235" i="10" s="1"/>
  <c r="P236" i="10"/>
  <c r="Q236" i="10" s="1"/>
  <c r="V235" i="10"/>
  <c r="V411" i="10"/>
  <c r="P410" i="10"/>
  <c r="Q410" i="10" s="1"/>
  <c r="P411" i="10"/>
  <c r="Q411" i="10" s="1"/>
  <c r="V410" i="10"/>
  <c r="Q114" i="13"/>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U115" i="13" l="1"/>
  <c r="H231" i="10"/>
  <c r="V417" i="10"/>
  <c r="P412" i="10"/>
  <c r="Q412" i="10" s="1"/>
  <c r="P413" i="10"/>
  <c r="Q413" i="10" s="1"/>
  <c r="V412" i="10"/>
  <c r="Q115" i="13"/>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P121" i="13"/>
  <c r="P119" i="13"/>
  <c r="P120" i="13"/>
  <c r="H244" i="10"/>
  <c r="P245" i="10" l="1"/>
  <c r="P244" i="10"/>
  <c r="Q244" i="10" s="1"/>
  <c r="V244" i="10"/>
  <c r="Q175" i="13"/>
  <c r="Q166" i="13"/>
  <c r="Q150" i="13"/>
  <c r="Q180" i="13"/>
  <c r="Q171" i="13"/>
  <c r="Q155" i="13"/>
  <c r="Q178" i="13"/>
  <c r="Q162" i="13"/>
  <c r="Q146" i="13"/>
  <c r="Q169" i="13"/>
  <c r="Q176" i="13"/>
  <c r="Q160" i="13"/>
  <c r="Q167" i="13"/>
  <c r="Q151" i="13"/>
  <c r="Q174" i="13"/>
  <c r="Q158" i="13"/>
  <c r="Q181" i="13"/>
  <c r="Q172" i="13"/>
  <c r="Q156" i="13"/>
  <c r="Q179" i="13"/>
  <c r="Q170" i="13"/>
  <c r="Q177" i="13"/>
  <c r="Q161" i="13"/>
  <c r="Q168" i="13"/>
  <c r="Q134" i="13"/>
  <c r="Q118" i="13"/>
  <c r="Q141" i="13"/>
  <c r="Q125" i="13"/>
  <c r="Q132" i="13"/>
  <c r="Q116" i="13"/>
  <c r="Q157" i="13"/>
  <c r="Q139" i="13"/>
  <c r="Q123" i="13"/>
  <c r="Q163" i="13"/>
  <c r="Q130" i="13"/>
  <c r="Q137" i="13"/>
  <c r="Q121" i="13"/>
  <c r="Q144" i="13"/>
  <c r="Q128" i="13"/>
  <c r="Q135" i="13"/>
  <c r="Q119" i="13"/>
  <c r="Q149" i="13"/>
  <c r="Q142" i="13"/>
  <c r="Q126" i="13"/>
  <c r="Q159" i="13"/>
  <c r="Q152" i="13"/>
  <c r="Q133" i="13"/>
  <c r="Q117" i="13"/>
  <c r="Q164" i="13"/>
  <c r="Q148" i="13"/>
  <c r="Q140" i="13"/>
  <c r="Q124" i="13"/>
  <c r="Q153" i="13"/>
  <c r="Q131" i="13"/>
  <c r="Q173" i="13"/>
  <c r="Q138" i="13"/>
  <c r="Q165" i="13"/>
  <c r="Q145" i="13"/>
  <c r="Q129" i="13"/>
  <c r="Q154" i="13"/>
  <c r="Q147" i="13"/>
  <c r="Q136" i="13"/>
  <c r="Q143" i="13"/>
  <c r="Q127" i="13"/>
  <c r="Q120" i="13"/>
  <c r="Q122" i="13"/>
  <c r="H366" i="10"/>
  <c r="U116" i="13"/>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Q182" i="13"/>
  <c r="Q183" i="13"/>
  <c r="Q184" i="13"/>
  <c r="H374" i="10"/>
  <c r="M184" i="13"/>
  <c r="M182" i="13"/>
  <c r="M183" i="13"/>
  <c r="H376" i="10"/>
  <c r="J234" i="10"/>
  <c r="M234" i="10" s="1"/>
  <c r="N234" i="10" s="1"/>
  <c r="J233" i="10"/>
  <c r="M233" i="10" s="1"/>
  <c r="N233" i="10" s="1"/>
  <c r="L301" i="13" s="1"/>
  <c r="L298" i="13" l="1"/>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U117" i="13"/>
  <c r="U118" i="13"/>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U130" i="13"/>
  <c r="U137" i="13"/>
  <c r="U121" i="13"/>
  <c r="U128" i="13"/>
  <c r="U135" i="13"/>
  <c r="U119" i="13"/>
  <c r="U126" i="13"/>
  <c r="U133" i="13"/>
  <c r="U124" i="13"/>
  <c r="U131" i="13"/>
  <c r="U138" i="13"/>
  <c r="U122" i="13"/>
  <c r="U129" i="13"/>
  <c r="U136" i="13"/>
  <c r="U120" i="13"/>
  <c r="U127" i="13"/>
  <c r="U134" i="13"/>
  <c r="U125" i="13"/>
  <c r="U132" i="13"/>
  <c r="U123" i="13"/>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01" i="13" s="1"/>
  <c r="J241" i="10"/>
  <c r="M241" i="10" s="1"/>
  <c r="N241" i="10" s="1"/>
  <c r="J240" i="10"/>
  <c r="M240" i="10" s="1"/>
  <c r="N240" i="10" s="1"/>
  <c r="W279" i="10"/>
  <c r="X279" i="10" s="1"/>
  <c r="W278" i="10"/>
  <c r="T298" i="13" l="1"/>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P127" i="13"/>
  <c r="P125" i="13"/>
  <c r="P123" i="13"/>
  <c r="P126" i="13"/>
  <c r="P124" i="13"/>
  <c r="P122" i="13"/>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P128" i="13"/>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P129" i="13"/>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P130" i="13"/>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P131" i="13"/>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P132" i="13" l="1"/>
  <c r="H267" i="10"/>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P133" i="13" l="1"/>
  <c r="H269" i="10"/>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P134" i="13"/>
  <c r="H271" i="10"/>
  <c r="V271" i="10" l="1"/>
  <c r="P271" i="10"/>
  <c r="Q271" i="10" s="1"/>
  <c r="P270" i="10"/>
  <c r="Q270" i="10" s="1"/>
  <c r="V270" i="10"/>
  <c r="W271" i="10" l="1"/>
  <c r="X271" i="10" s="1"/>
  <c r="W270" i="10"/>
  <c r="X270" i="10" s="1"/>
  <c r="J270" i="10" l="1"/>
  <c r="M270" i="10" s="1"/>
  <c r="N270" i="10" s="1"/>
  <c r="J271" i="10"/>
  <c r="M271" i="10" s="1"/>
  <c r="N271" i="10" s="1"/>
  <c r="P135" i="13" l="1"/>
  <c r="H273" i="10"/>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P136" i="13"/>
  <c r="H275" i="10"/>
  <c r="V275" i="10" l="1"/>
  <c r="P275" i="10"/>
  <c r="Q275" i="10" s="1"/>
  <c r="P274" i="10"/>
  <c r="Q274" i="10" s="1"/>
  <c r="V274" i="10"/>
  <c r="W275" i="10" l="1"/>
  <c r="X275" i="10" s="1"/>
  <c r="W274" i="10"/>
  <c r="X274" i="10" s="1"/>
  <c r="J274" i="10" l="1"/>
  <c r="M274" i="10" s="1"/>
  <c r="N274" i="10" s="1"/>
  <c r="J275" i="10"/>
  <c r="M275" i="10" s="1"/>
  <c r="N275" i="10" s="1"/>
  <c r="P137" i="13" l="1"/>
  <c r="H276" i="10"/>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P138" i="13" l="1"/>
  <c r="H278" i="10"/>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U139" i="13" l="1"/>
  <c r="H281" i="10"/>
  <c r="P139" i="13"/>
  <c r="H280" i="10"/>
  <c r="V280" i="10" l="1"/>
  <c r="P281" i="10"/>
  <c r="Q281" i="10" s="1"/>
  <c r="P280" i="10"/>
  <c r="Q280" i="10" s="1"/>
  <c r="V281" i="10"/>
  <c r="W281" i="10" l="1"/>
  <c r="X281" i="10" s="1"/>
  <c r="W280" i="10"/>
  <c r="X280" i="10" s="1"/>
  <c r="J281" i="10" l="1"/>
  <c r="M281" i="10" s="1"/>
  <c r="N281" i="10" s="1"/>
  <c r="J280" i="10"/>
  <c r="M280" i="10" s="1"/>
  <c r="N280" i="10" s="1"/>
  <c r="P140" i="13" l="1"/>
  <c r="H282" i="10"/>
  <c r="U140" i="13"/>
  <c r="H283" i="10"/>
  <c r="P283" i="10" l="1"/>
  <c r="Q283" i="10" s="1"/>
  <c r="P282" i="10"/>
  <c r="Q282" i="10" s="1"/>
  <c r="V283" i="10"/>
  <c r="V282" i="10"/>
  <c r="W282" i="10" l="1"/>
  <c r="X282" i="10" s="1"/>
  <c r="W283" i="10"/>
  <c r="X283" i="10" s="1"/>
  <c r="J283" i="10" l="1"/>
  <c r="M283" i="10" s="1"/>
  <c r="N283" i="10" s="1"/>
  <c r="J282" i="10"/>
  <c r="M282" i="10" s="1"/>
  <c r="N282" i="10" s="1"/>
  <c r="P141" i="13" l="1"/>
  <c r="H284" i="10"/>
  <c r="U141" i="13"/>
  <c r="H285" i="10"/>
  <c r="P285" i="10" l="1"/>
  <c r="Q285" i="10" s="1"/>
  <c r="P284" i="10"/>
  <c r="Q284" i="10" s="1"/>
  <c r="V285" i="10"/>
  <c r="V284" i="10"/>
  <c r="W284" i="10" l="1"/>
  <c r="X284" i="10" s="1"/>
  <c r="W285" i="10"/>
  <c r="X285" i="10" s="1"/>
  <c r="J285" i="10" l="1"/>
  <c r="M285" i="10" s="1"/>
  <c r="N285" i="10" s="1"/>
  <c r="J284" i="10"/>
  <c r="M284" i="10" s="1"/>
  <c r="N284" i="10" s="1"/>
  <c r="P142" i="13" l="1"/>
  <c r="H286" i="10"/>
  <c r="U142" i="13"/>
  <c r="H287" i="10"/>
  <c r="V287" i="10" l="1"/>
  <c r="P287" i="10"/>
  <c r="Q287" i="10" s="1"/>
  <c r="P286" i="10"/>
  <c r="Q286" i="10" s="1"/>
  <c r="V286" i="10"/>
  <c r="W286" i="10" l="1"/>
  <c r="X286" i="10" s="1"/>
  <c r="W287" i="10"/>
  <c r="X287" i="10" s="1"/>
  <c r="J287" i="10" l="1"/>
  <c r="M287" i="10" s="1"/>
  <c r="N287" i="10" s="1"/>
  <c r="J286" i="10"/>
  <c r="M286" i="10" s="1"/>
  <c r="N286" i="10" s="1"/>
  <c r="P143" i="13" l="1"/>
  <c r="H288" i="10"/>
  <c r="U143" i="13"/>
  <c r="H289" i="10"/>
  <c r="V289" i="10" l="1"/>
  <c r="P289" i="10"/>
  <c r="Q289" i="10" s="1"/>
  <c r="P288" i="10"/>
  <c r="Q288" i="10" s="1"/>
  <c r="V288" i="10"/>
  <c r="W288" i="10" l="1"/>
  <c r="X288" i="10" s="1"/>
  <c r="W289" i="10"/>
  <c r="X289" i="10" s="1"/>
  <c r="J288" i="10" l="1"/>
  <c r="M288" i="10" s="1"/>
  <c r="N288" i="10" s="1"/>
  <c r="J289" i="10"/>
  <c r="M289" i="10" s="1"/>
  <c r="N289" i="10" s="1"/>
  <c r="U146" i="13" l="1"/>
  <c r="U144" i="13"/>
  <c r="U145" i="13"/>
  <c r="U147" i="13"/>
  <c r="H297" i="10"/>
  <c r="P144" i="13"/>
  <c r="H290" i="10"/>
  <c r="V290" i="10" l="1"/>
  <c r="X290" i="10" s="1"/>
  <c r="Q290" i="10"/>
  <c r="V297" i="10"/>
  <c r="J291" i="10" l="1"/>
  <c r="M291" i="10" s="1"/>
  <c r="N291" i="10" s="1"/>
  <c r="J290" i="10"/>
  <c r="M290" i="10" s="1"/>
  <c r="N290" i="10" s="1"/>
  <c r="P145" i="13" l="1"/>
  <c r="H292" i="10"/>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P146" i="13"/>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P147" i="13"/>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P148" i="13" l="1"/>
  <c r="H298" i="10"/>
  <c r="U148" i="13"/>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U149" i="13" l="1"/>
  <c r="H301" i="10"/>
  <c r="P149" i="13"/>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U171" i="13"/>
  <c r="U178" i="13"/>
  <c r="U162" i="13"/>
  <c r="U176" i="13"/>
  <c r="U167" i="13"/>
  <c r="U151" i="13"/>
  <c r="U174" i="13"/>
  <c r="U158" i="13"/>
  <c r="U181" i="13"/>
  <c r="U165" i="13"/>
  <c r="U172" i="13"/>
  <c r="U156" i="13"/>
  <c r="U179" i="13"/>
  <c r="U163" i="13"/>
  <c r="U170" i="13"/>
  <c r="U154" i="13"/>
  <c r="U177" i="13"/>
  <c r="U168" i="13"/>
  <c r="U152" i="13"/>
  <c r="U175" i="13"/>
  <c r="U182" i="13"/>
  <c r="U166" i="13"/>
  <c r="U173" i="13"/>
  <c r="U157" i="13"/>
  <c r="U180" i="13"/>
  <c r="U169" i="13"/>
  <c r="U159" i="13"/>
  <c r="U150" i="13"/>
  <c r="U164" i="13"/>
  <c r="U160" i="13"/>
  <c r="U153" i="13"/>
  <c r="U161" i="13"/>
  <c r="U155" i="13"/>
  <c r="H369" i="10"/>
  <c r="P150" i="13"/>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P151" i="13"/>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P152" i="13" l="1"/>
  <c r="H306" i="10"/>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P153" i="13"/>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P154" i="13"/>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P155" i="13"/>
  <c r="H312" i="10"/>
  <c r="V312" i="10" l="1"/>
  <c r="P313" i="10"/>
  <c r="Q313" i="10" s="1"/>
  <c r="P312" i="10"/>
  <c r="Q312" i="10" s="1"/>
  <c r="V313" i="10"/>
  <c r="W312" i="10" l="1"/>
  <c r="X312" i="10" s="1"/>
  <c r="W313" i="10"/>
  <c r="X313" i="10" s="1"/>
  <c r="J313" i="10" l="1"/>
  <c r="M313" i="10" s="1"/>
  <c r="N313" i="10" s="1"/>
  <c r="J312" i="10"/>
  <c r="M312" i="10" s="1"/>
  <c r="N312" i="10" s="1"/>
  <c r="P156" i="13" l="1"/>
  <c r="H314" i="10"/>
  <c r="K156" i="13"/>
  <c r="H315" i="10"/>
  <c r="P315" i="10" l="1"/>
  <c r="Q315" i="10" s="1"/>
  <c r="P314" i="10"/>
  <c r="Q314" i="10" s="1"/>
  <c r="V315" i="10"/>
  <c r="V314" i="10"/>
  <c r="W314" i="10" l="1"/>
  <c r="X314" i="10" s="1"/>
  <c r="W315" i="10"/>
  <c r="X315" i="10" s="1"/>
  <c r="J315" i="10" l="1"/>
  <c r="M315" i="10" s="1"/>
  <c r="N315" i="10" s="1"/>
  <c r="J314" i="10"/>
  <c r="M314" i="10" s="1"/>
  <c r="N314" i="10" s="1"/>
  <c r="P157" i="13" l="1"/>
  <c r="H316" i="10"/>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P158" i="13"/>
  <c r="H318" i="10"/>
  <c r="V318" i="10" l="1"/>
  <c r="P319" i="10"/>
  <c r="Q319" i="10" s="1"/>
  <c r="P318" i="10"/>
  <c r="Q318" i="10" s="1"/>
  <c r="V319" i="10"/>
  <c r="W319" i="10" l="1"/>
  <c r="X319" i="10" s="1"/>
  <c r="W318" i="10"/>
  <c r="X318" i="10" s="1"/>
  <c r="J319" i="10" l="1"/>
  <c r="M319" i="10" s="1"/>
  <c r="N319" i="10" s="1"/>
  <c r="J318" i="10"/>
  <c r="M318" i="10" s="1"/>
  <c r="N318" i="10" s="1"/>
  <c r="P159" i="13" l="1"/>
  <c r="H320" i="10"/>
  <c r="K159" i="13"/>
  <c r="H321" i="10"/>
  <c r="P320" i="10" l="1"/>
  <c r="Q320" i="10" s="1"/>
  <c r="P321" i="10"/>
  <c r="Q321" i="10" s="1"/>
  <c r="V321" i="10"/>
  <c r="V320" i="10"/>
  <c r="W321" i="10" l="1"/>
  <c r="X321" i="10" s="1"/>
  <c r="W320" i="10"/>
  <c r="X320" i="10" s="1"/>
  <c r="J321" i="10" l="1"/>
  <c r="M321" i="10" s="1"/>
  <c r="N321" i="10" s="1"/>
  <c r="J320" i="10"/>
  <c r="M320" i="10" s="1"/>
  <c r="N320" i="10" s="1"/>
  <c r="P160" i="13" l="1"/>
  <c r="H322" i="10"/>
  <c r="K160" i="13"/>
  <c r="H323" i="10"/>
  <c r="P323" i="10" l="1"/>
  <c r="Q323" i="10" s="1"/>
  <c r="P322" i="10"/>
  <c r="Q322" i="10" s="1"/>
  <c r="V323" i="10"/>
  <c r="V322" i="10"/>
  <c r="W323" i="10" l="1"/>
  <c r="X323" i="10" s="1"/>
  <c r="W322" i="10"/>
  <c r="X322" i="10" s="1"/>
  <c r="J323" i="10" l="1"/>
  <c r="M323" i="10" s="1"/>
  <c r="N323" i="10" s="1"/>
  <c r="J322" i="10"/>
  <c r="M322" i="10" s="1"/>
  <c r="N322" i="10" s="1"/>
  <c r="P161" i="13" l="1"/>
  <c r="H324" i="10"/>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P162" i="13"/>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P163" i="13"/>
  <c r="H329" i="10"/>
  <c r="P329" i="10" l="1"/>
  <c r="Q329" i="10" s="1"/>
  <c r="P330" i="10"/>
  <c r="Q330" i="10" s="1"/>
  <c r="V329" i="10"/>
  <c r="V330" i="10"/>
  <c r="W330" i="10" l="1"/>
  <c r="X330" i="10" s="1"/>
  <c r="W329" i="10"/>
  <c r="X329" i="10" s="1"/>
  <c r="J330" i="10" l="1"/>
  <c r="M330" i="10" s="1"/>
  <c r="N330" i="10" s="1"/>
  <c r="J329" i="10"/>
  <c r="M329" i="10" s="1"/>
  <c r="N329" i="10" s="1"/>
  <c r="K164" i="13" l="1"/>
  <c r="H332" i="10"/>
  <c r="P164" i="13"/>
  <c r="H331" i="10"/>
  <c r="V331" i="10" l="1"/>
  <c r="P331" i="10"/>
  <c r="Q331" i="10" s="1"/>
  <c r="P332" i="10"/>
  <c r="Q332" i="10" s="1"/>
  <c r="V332" i="10"/>
  <c r="W332" i="10" l="1"/>
  <c r="X332" i="10" s="1"/>
  <c r="W331" i="10"/>
  <c r="X331" i="10" s="1"/>
  <c r="J332" i="10" l="1"/>
  <c r="M332" i="10" s="1"/>
  <c r="N332" i="10" s="1"/>
  <c r="J331" i="10"/>
  <c r="M331" i="10" s="1"/>
  <c r="N331" i="10" s="1"/>
  <c r="P165" i="13" l="1"/>
  <c r="H333" i="10"/>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P166" i="13"/>
  <c r="H336" i="10"/>
  <c r="V336" i="10" l="1"/>
  <c r="P336" i="10"/>
  <c r="Q336" i="10" s="1"/>
  <c r="P335" i="10"/>
  <c r="Q335" i="10" s="1"/>
  <c r="V335" i="10"/>
  <c r="W335" i="10" l="1"/>
  <c r="X335" i="10" s="1"/>
  <c r="W336" i="10"/>
  <c r="X336" i="10" s="1"/>
  <c r="J335" i="10" l="1"/>
  <c r="M335" i="10" s="1"/>
  <c r="N335" i="10" s="1"/>
  <c r="J336" i="10"/>
  <c r="M336" i="10" s="1"/>
  <c r="N336" i="10" s="1"/>
  <c r="P168" i="13" l="1"/>
  <c r="P167" i="13"/>
  <c r="H339" i="10"/>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P169" i="13"/>
  <c r="H341" i="10"/>
  <c r="P341" i="10" l="1"/>
  <c r="Q341" i="10" s="1"/>
  <c r="P342" i="10"/>
  <c r="Q342" i="10" s="1"/>
  <c r="V341" i="10"/>
  <c r="V342" i="10"/>
  <c r="W342" i="10" l="1"/>
  <c r="X342" i="10" s="1"/>
  <c r="W341" i="10"/>
  <c r="X341" i="10" s="1"/>
  <c r="J342" i="10" l="1"/>
  <c r="M342" i="10" s="1"/>
  <c r="N342" i="10" s="1"/>
  <c r="J341" i="10"/>
  <c r="M341" i="10" s="1"/>
  <c r="N341" i="10" s="1"/>
  <c r="P170" i="13" l="1"/>
  <c r="H343" i="10"/>
  <c r="K170" i="13"/>
  <c r="H344" i="10"/>
  <c r="V344" i="10" l="1"/>
  <c r="P343" i="10"/>
  <c r="Q343" i="10" s="1"/>
  <c r="P344" i="10"/>
  <c r="Q344" i="10" s="1"/>
  <c r="V343" i="10"/>
  <c r="W344" i="10" l="1"/>
  <c r="X344" i="10" s="1"/>
  <c r="W343" i="10"/>
  <c r="X343" i="10" s="1"/>
  <c r="J344" i="10" l="1"/>
  <c r="M344" i="10" s="1"/>
  <c r="N344" i="10" s="1"/>
  <c r="J343" i="10"/>
  <c r="M343" i="10" s="1"/>
  <c r="N343" i="10" s="1"/>
  <c r="P171" i="13" l="1"/>
  <c r="H345" i="10"/>
  <c r="K171" i="13"/>
  <c r="H346" i="10"/>
  <c r="V346" i="10" l="1"/>
  <c r="P345" i="10"/>
  <c r="Q345" i="10" s="1"/>
  <c r="P346" i="10"/>
  <c r="Q346" i="10" s="1"/>
  <c r="V345" i="10"/>
  <c r="W346" i="10" l="1"/>
  <c r="X346" i="10" s="1"/>
  <c r="W345" i="10"/>
  <c r="X345" i="10" s="1"/>
  <c r="J346" i="10" l="1"/>
  <c r="M346" i="10" s="1"/>
  <c r="N346" i="10" s="1"/>
  <c r="J345" i="10"/>
  <c r="M345" i="10" s="1"/>
  <c r="N345" i="10" s="1"/>
  <c r="P175" i="13" l="1"/>
  <c r="P173" i="13"/>
  <c r="P180" i="13"/>
  <c r="P178" i="13"/>
  <c r="P176" i="13"/>
  <c r="P174" i="13"/>
  <c r="P172" i="13"/>
  <c r="P179" i="13"/>
  <c r="P177" i="13"/>
  <c r="H364" i="10"/>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P182" i="13"/>
  <c r="P181" i="13"/>
  <c r="H368" i="10"/>
  <c r="P369" i="10" l="1"/>
  <c r="Q369" i="10" s="1"/>
  <c r="P368" i="10"/>
  <c r="Q368" i="10" s="1"/>
  <c r="V368" i="10"/>
  <c r="V372" i="10"/>
  <c r="W368" i="10" l="1"/>
  <c r="X368" i="10" s="1"/>
  <c r="W369" i="10"/>
  <c r="X369" i="10" s="1"/>
  <c r="J369" i="10" l="1"/>
  <c r="M369" i="10" s="1"/>
  <c r="N369" i="10" s="1"/>
  <c r="J368" i="10"/>
  <c r="M368" i="10" s="1"/>
  <c r="N368" i="10" s="1"/>
  <c r="P183" i="13" l="1"/>
  <c r="H370" i="10"/>
  <c r="U183" i="13"/>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P184" i="13"/>
  <c r="H373" i="10"/>
  <c r="U184" i="13"/>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U185" i="13" l="1"/>
  <c r="H379" i="10"/>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P185" i="13"/>
  <c r="H377" i="10"/>
  <c r="Q185" i="13"/>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Q195" i="13"/>
  <c r="Q202" i="13"/>
  <c r="Q200" i="13"/>
  <c r="Q198" i="13"/>
  <c r="Q203" i="13"/>
  <c r="Q191" i="13"/>
  <c r="Q189" i="13"/>
  <c r="Q187" i="13"/>
  <c r="Q196" i="13"/>
  <c r="Q194" i="13"/>
  <c r="Q201" i="13"/>
  <c r="Q192" i="13"/>
  <c r="Q199" i="13"/>
  <c r="Q190" i="13"/>
  <c r="Q188" i="13"/>
  <c r="Q204" i="13"/>
  <c r="Q186" i="13"/>
  <c r="Q193" i="13"/>
  <c r="Q197" i="13"/>
  <c r="H423" i="10"/>
  <c r="U187" i="13"/>
  <c r="U188" i="13"/>
  <c r="U186" i="13"/>
  <c r="U189" i="13"/>
  <c r="H388" i="10"/>
  <c r="J380" i="10"/>
  <c r="M380" i="10" s="1"/>
  <c r="N380" i="10" s="1"/>
  <c r="J377" i="10"/>
  <c r="M377" i="10" s="1"/>
  <c r="N377" i="10" s="1"/>
  <c r="J383" i="10"/>
  <c r="M383" i="10" s="1"/>
  <c r="N383" i="10" s="1"/>
  <c r="J384" i="10"/>
  <c r="M384" i="10" s="1"/>
  <c r="N384" i="10" s="1"/>
  <c r="R188" i="13" l="1"/>
  <c r="H386" i="10"/>
  <c r="K188" i="13"/>
  <c r="H385" i="10"/>
  <c r="P189" i="13"/>
  <c r="P187" i="13"/>
  <c r="P188" i="13"/>
  <c r="P186" i="13"/>
  <c r="H387" i="10"/>
  <c r="M186" i="13"/>
  <c r="M191" i="13"/>
  <c r="M189" i="13"/>
  <c r="M187" i="13"/>
  <c r="M192" i="13"/>
  <c r="M190" i="13"/>
  <c r="M188" i="13"/>
  <c r="H395" i="10"/>
  <c r="P388" i="10"/>
  <c r="Q388" i="10" s="1"/>
  <c r="P387" i="10"/>
  <c r="V388" i="10"/>
  <c r="V423" i="10"/>
  <c r="X423" i="10" s="1"/>
  <c r="J423" i="10" s="1"/>
  <c r="M423" i="10" s="1"/>
  <c r="N423" i="10" s="1"/>
  <c r="Q423" i="10"/>
  <c r="H520" i="10" l="1"/>
  <c r="Q247" i="13"/>
  <c r="Q248" i="13"/>
  <c r="Q245" i="13"/>
  <c r="Q246" i="13"/>
  <c r="Q243" i="13"/>
  <c r="Q244" i="13"/>
  <c r="Q241" i="13"/>
  <c r="Q242" i="13"/>
  <c r="Q239" i="13"/>
  <c r="Q240" i="13"/>
  <c r="Q237" i="13"/>
  <c r="Q238" i="13"/>
  <c r="Q387" i="10"/>
  <c r="Q236" i="13"/>
  <c r="Q231" i="13"/>
  <c r="Q215" i="13"/>
  <c r="Q235" i="13"/>
  <c r="Q222" i="13"/>
  <c r="Q206" i="13"/>
  <c r="Q229" i="13"/>
  <c r="Q213" i="13"/>
  <c r="Q220" i="13"/>
  <c r="Q227" i="13"/>
  <c r="Q211" i="13"/>
  <c r="Q218" i="13"/>
  <c r="Q234" i="13"/>
  <c r="Q225" i="13"/>
  <c r="Q209" i="13"/>
  <c r="Q232" i="13"/>
  <c r="Q216" i="13"/>
  <c r="Q223" i="13"/>
  <c r="Q207" i="13"/>
  <c r="Q230" i="13"/>
  <c r="Q214" i="13"/>
  <c r="Q228" i="13"/>
  <c r="Q219" i="13"/>
  <c r="Q233" i="13"/>
  <c r="Q217" i="13"/>
  <c r="Q224" i="13"/>
  <c r="Q208" i="13"/>
  <c r="Q221" i="13"/>
  <c r="Q226" i="13"/>
  <c r="Q212" i="13"/>
  <c r="Q205" i="13"/>
  <c r="Q210" i="13"/>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U190" i="13"/>
  <c r="H390" i="10"/>
  <c r="P190" i="13"/>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P191" i="13"/>
  <c r="H391" i="10"/>
  <c r="U191" i="13"/>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P192" i="13" l="1"/>
  <c r="H393" i="10"/>
  <c r="U192" i="13"/>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P193" i="13" l="1"/>
  <c r="H396" i="10"/>
  <c r="V397" i="10"/>
  <c r="J407" i="10"/>
  <c r="M407" i="10" s="1"/>
  <c r="N407" i="10" s="1"/>
  <c r="J406" i="10"/>
  <c r="M406" i="10" s="1"/>
  <c r="N406" i="10" s="1"/>
  <c r="U193" i="13"/>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U194" i="13"/>
  <c r="H401" i="10"/>
  <c r="P194" i="13"/>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U202" i="13"/>
  <c r="U209" i="13"/>
  <c r="U207" i="13"/>
  <c r="U198" i="13"/>
  <c r="U205" i="13"/>
  <c r="U203" i="13"/>
  <c r="U210" i="13"/>
  <c r="U196" i="13"/>
  <c r="U208" i="13"/>
  <c r="U201" i="13"/>
  <c r="U200" i="13"/>
  <c r="U199" i="13"/>
  <c r="U204" i="13"/>
  <c r="U195" i="13"/>
  <c r="U197" i="13"/>
  <c r="U206" i="13"/>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P199" i="13"/>
  <c r="P204" i="13"/>
  <c r="P202" i="13"/>
  <c r="P200" i="13"/>
  <c r="P197" i="13"/>
  <c r="P196" i="13"/>
  <c r="P201" i="13"/>
  <c r="P203" i="13"/>
  <c r="P198" i="13"/>
  <c r="P19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P205" i="13"/>
  <c r="H425" i="10"/>
  <c r="P449" i="10" l="1"/>
  <c r="P448" i="10"/>
  <c r="Q448" i="10" s="1"/>
  <c r="V448" i="10"/>
  <c r="V425" i="10"/>
  <c r="X425" i="10" s="1"/>
  <c r="Q425" i="10"/>
  <c r="W448" i="10" l="1"/>
  <c r="X448" i="10" s="1"/>
  <c r="W449" i="10"/>
  <c r="J425" i="10"/>
  <c r="M425" i="10" s="1"/>
  <c r="N425" i="10" s="1"/>
  <c r="J426" i="10"/>
  <c r="M426" i="10" s="1"/>
  <c r="N426" i="10" s="1"/>
  <c r="R206" i="13" l="1"/>
  <c r="H428" i="10"/>
  <c r="P206" i="13"/>
  <c r="H427" i="10"/>
  <c r="P427" i="10" l="1"/>
  <c r="Q427" i="10" s="1"/>
  <c r="P428" i="10"/>
  <c r="Q428" i="10" s="1"/>
  <c r="V427" i="10"/>
  <c r="V428" i="10"/>
  <c r="W428" i="10" l="1"/>
  <c r="X428" i="10" s="1"/>
  <c r="W427" i="10"/>
  <c r="X427" i="10" s="1"/>
  <c r="J427" i="10" l="1"/>
  <c r="M427" i="10" s="1"/>
  <c r="N427" i="10" s="1"/>
  <c r="J428" i="10"/>
  <c r="M428" i="10" s="1"/>
  <c r="N428" i="10" s="1"/>
  <c r="R207" i="13" l="1"/>
  <c r="H430" i="10"/>
  <c r="P207" i="13"/>
  <c r="H429" i="10"/>
  <c r="P429" i="10" l="1"/>
  <c r="Q429" i="10" s="1"/>
  <c r="P430" i="10"/>
  <c r="Q430" i="10" s="1"/>
  <c r="V429" i="10"/>
  <c r="V430" i="10"/>
  <c r="W429" i="10" l="1"/>
  <c r="X429" i="10" s="1"/>
  <c r="W430" i="10"/>
  <c r="X430" i="10" s="1"/>
  <c r="J429" i="10" l="1"/>
  <c r="M429" i="10" s="1"/>
  <c r="N429" i="10" s="1"/>
  <c r="J430" i="10"/>
  <c r="M430" i="10" s="1"/>
  <c r="N430" i="10" s="1"/>
  <c r="R208" i="13" l="1"/>
  <c r="H432" i="10"/>
  <c r="P208" i="13"/>
  <c r="H431" i="10"/>
  <c r="V431" i="10" l="1"/>
  <c r="P431" i="10"/>
  <c r="Q431" i="10" s="1"/>
  <c r="P432" i="10"/>
  <c r="Q432" i="10" s="1"/>
  <c r="V432" i="10"/>
  <c r="W432" i="10" l="1"/>
  <c r="X432" i="10" s="1"/>
  <c r="W431" i="10"/>
  <c r="X431" i="10" s="1"/>
  <c r="J431" i="10" l="1"/>
  <c r="M431" i="10" s="1"/>
  <c r="N431" i="10" s="1"/>
  <c r="J432" i="10"/>
  <c r="M432" i="10" s="1"/>
  <c r="N432" i="10" s="1"/>
  <c r="R209" i="13" l="1"/>
  <c r="H434" i="10"/>
  <c r="P209" i="13"/>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P210" i="13"/>
  <c r="H435" i="10"/>
  <c r="P435" i="10" l="1"/>
  <c r="Q435" i="10" s="1"/>
  <c r="P436" i="10"/>
  <c r="Q436" i="10" s="1"/>
  <c r="V435" i="10"/>
  <c r="V438" i="10"/>
  <c r="W436" i="10" l="1"/>
  <c r="X436" i="10" s="1"/>
  <c r="W435" i="10"/>
  <c r="X435" i="10" s="1"/>
  <c r="J435" i="10" l="1"/>
  <c r="M435" i="10" s="1"/>
  <c r="N435" i="10" s="1"/>
  <c r="J436" i="10"/>
  <c r="M436" i="10" s="1"/>
  <c r="N436" i="10" s="1"/>
  <c r="U211" i="13" l="1"/>
  <c r="H439" i="10"/>
  <c r="P211" i="13"/>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U212" i="13"/>
  <c r="H442" i="10"/>
  <c r="V442" i="10" l="1"/>
  <c r="R212" i="13"/>
  <c r="H441" i="10"/>
  <c r="P212" i="13"/>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U213" i="13"/>
  <c r="H445" i="10"/>
  <c r="V445" i="10" l="1"/>
  <c r="R213" i="13"/>
  <c r="H444" i="10"/>
  <c r="P213" i="13"/>
  <c r="H443" i="10"/>
  <c r="V443" i="10" l="1"/>
  <c r="P444" i="10"/>
  <c r="Q444" i="10" s="1"/>
  <c r="P443" i="10"/>
  <c r="Q443" i="10" s="1"/>
  <c r="P445" i="10"/>
  <c r="Q445" i="10" s="1"/>
  <c r="V444" i="10"/>
  <c r="W443" i="10" l="1"/>
  <c r="X443" i="10" s="1"/>
  <c r="W445" i="10"/>
  <c r="X445" i="10" s="1"/>
  <c r="J445" i="10" s="1"/>
  <c r="M445" i="10" s="1"/>
  <c r="N445" i="10" s="1"/>
  <c r="W444" i="10"/>
  <c r="X444" i="10" s="1"/>
  <c r="U214" i="13" l="1"/>
  <c r="H447" i="10"/>
  <c r="J443" i="10"/>
  <c r="M443" i="10" s="1"/>
  <c r="N443" i="10" s="1"/>
  <c r="J444" i="10"/>
  <c r="M444" i="10" s="1"/>
  <c r="N444" i="10" s="1"/>
  <c r="R222" i="13" l="1"/>
  <c r="R220" i="13"/>
  <c r="R218" i="13"/>
  <c r="R225" i="13"/>
  <c r="R216" i="13"/>
  <c r="R223" i="13"/>
  <c r="R214" i="13"/>
  <c r="R221" i="13"/>
  <c r="R219" i="13"/>
  <c r="R224" i="13"/>
  <c r="R215" i="13"/>
  <c r="R217" i="13"/>
  <c r="H469" i="10"/>
  <c r="P214" i="13"/>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U267" i="13" l="1"/>
  <c r="U265" i="13"/>
  <c r="U266" i="13"/>
  <c r="U263" i="13"/>
  <c r="U264" i="13"/>
  <c r="U261" i="13"/>
  <c r="U262" i="13"/>
  <c r="U259" i="13"/>
  <c r="U260" i="13"/>
  <c r="U257" i="13"/>
  <c r="U258" i="13"/>
  <c r="U255" i="13"/>
  <c r="U256" i="13"/>
  <c r="U253" i="13"/>
  <c r="U254" i="13"/>
  <c r="U251" i="13"/>
  <c r="U252" i="13"/>
  <c r="U249" i="13"/>
  <c r="U250" i="13"/>
  <c r="U247" i="13"/>
  <c r="U248" i="13"/>
  <c r="U245" i="13"/>
  <c r="U246" i="13"/>
  <c r="U243" i="13"/>
  <c r="U244" i="13"/>
  <c r="U241" i="13"/>
  <c r="U242" i="13"/>
  <c r="U239" i="13"/>
  <c r="U240" i="13"/>
  <c r="U237" i="13"/>
  <c r="U238" i="13"/>
  <c r="P215" i="13"/>
  <c r="H449" i="10"/>
  <c r="U227" i="13"/>
  <c r="U218" i="13"/>
  <c r="U225" i="13"/>
  <c r="U232" i="13"/>
  <c r="U234" i="13"/>
  <c r="U223" i="13"/>
  <c r="U230" i="13"/>
  <c r="U221" i="13"/>
  <c r="U228" i="13"/>
  <c r="U236" i="13"/>
  <c r="U219" i="13"/>
  <c r="U226" i="13"/>
  <c r="U233" i="13"/>
  <c r="U224" i="13"/>
  <c r="U231" i="13"/>
  <c r="U215" i="13"/>
  <c r="U235" i="13"/>
  <c r="U229" i="13"/>
  <c r="U220" i="13"/>
  <c r="U216" i="13"/>
  <c r="U222" i="13"/>
  <c r="U217" i="13"/>
  <c r="V449" i="10" l="1"/>
  <c r="X449" i="10" s="1"/>
  <c r="Q449" i="10"/>
  <c r="J449" i="10" l="1"/>
  <c r="M449" i="10" s="1"/>
  <c r="N449" i="10" s="1"/>
  <c r="J448" i="10"/>
  <c r="M448" i="10" s="1"/>
  <c r="N448" i="10" s="1"/>
  <c r="O216" i="13" l="1"/>
  <c r="H451" i="10"/>
  <c r="P216" i="13"/>
  <c r="H450" i="10"/>
  <c r="P451" i="10" l="1"/>
  <c r="Q451" i="10" s="1"/>
  <c r="P450" i="10"/>
  <c r="Q450" i="10" s="1"/>
  <c r="V450" i="10"/>
  <c r="V451" i="10"/>
  <c r="W450" i="10" l="1"/>
  <c r="X450" i="10" s="1"/>
  <c r="W451" i="10"/>
  <c r="X451" i="10" s="1"/>
  <c r="J450" i="10" l="1"/>
  <c r="M450" i="10" s="1"/>
  <c r="N450" i="10" s="1"/>
  <c r="J451" i="10"/>
  <c r="M451" i="10" s="1"/>
  <c r="N451" i="10" s="1"/>
  <c r="O217" i="13" l="1"/>
  <c r="H453" i="10"/>
  <c r="P217" i="13"/>
  <c r="H452" i="10"/>
  <c r="V452" i="10" l="1"/>
  <c r="P453" i="10"/>
  <c r="Q453" i="10" s="1"/>
  <c r="P452" i="10"/>
  <c r="Q452" i="10" s="1"/>
  <c r="V453" i="10"/>
  <c r="W452" i="10" l="1"/>
  <c r="X452" i="10" s="1"/>
  <c r="W453" i="10"/>
  <c r="X453" i="10" s="1"/>
  <c r="J453" i="10" l="1"/>
  <c r="M453" i="10" s="1"/>
  <c r="N453" i="10" s="1"/>
  <c r="J452" i="10"/>
  <c r="M452" i="10" s="1"/>
  <c r="N452" i="10" s="1"/>
  <c r="P218" i="13" l="1"/>
  <c r="H454" i="10"/>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P219" i="13"/>
  <c r="H456" i="10"/>
  <c r="P456" i="10" l="1"/>
  <c r="Q456" i="10" s="1"/>
  <c r="P457" i="10"/>
  <c r="Q457" i="10" s="1"/>
  <c r="V456" i="10"/>
  <c r="V457" i="10"/>
  <c r="W457" i="10" l="1"/>
  <c r="X457" i="10" s="1"/>
  <c r="W456" i="10"/>
  <c r="X456" i="10" s="1"/>
  <c r="J456" i="10" l="1"/>
  <c r="M456" i="10" s="1"/>
  <c r="N456" i="10" s="1"/>
  <c r="J457" i="10"/>
  <c r="M457" i="10" s="1"/>
  <c r="N457" i="10" s="1"/>
  <c r="O220" i="13" l="1"/>
  <c r="H459" i="10"/>
  <c r="P220" i="13"/>
  <c r="H458" i="10"/>
  <c r="V458" i="10" l="1"/>
  <c r="P458" i="10"/>
  <c r="Q458" i="10" s="1"/>
  <c r="P459" i="10"/>
  <c r="Q459" i="10" s="1"/>
  <c r="V459" i="10"/>
  <c r="W459" i="10" l="1"/>
  <c r="X459" i="10" s="1"/>
  <c r="W458" i="10"/>
  <c r="X458" i="10" s="1"/>
  <c r="J459" i="10" l="1"/>
  <c r="M459" i="10" s="1"/>
  <c r="N459" i="10" s="1"/>
  <c r="J458" i="10"/>
  <c r="M458" i="10" s="1"/>
  <c r="N458" i="10" s="1"/>
  <c r="P221" i="13" l="1"/>
  <c r="H460" i="10"/>
  <c r="O221" i="13"/>
  <c r="H461" i="10"/>
  <c r="V461" i="10" l="1"/>
  <c r="P460" i="10"/>
  <c r="Q460" i="10" s="1"/>
  <c r="P461" i="10"/>
  <c r="Q461" i="10" s="1"/>
  <c r="V460" i="10"/>
  <c r="W461" i="10" l="1"/>
  <c r="X461" i="10" s="1"/>
  <c r="W460" i="10"/>
  <c r="X460" i="10" s="1"/>
  <c r="J461" i="10" l="1"/>
  <c r="M461" i="10" s="1"/>
  <c r="N461" i="10" s="1"/>
  <c r="J460" i="10"/>
  <c r="M460" i="10" s="1"/>
  <c r="N460" i="10" s="1"/>
  <c r="P222" i="13" l="1"/>
  <c r="H462" i="10"/>
  <c r="O222" i="13"/>
  <c r="H463" i="10"/>
  <c r="P462" i="10" l="1"/>
  <c r="Q462" i="10" s="1"/>
  <c r="P463" i="10"/>
  <c r="Q463" i="10" s="1"/>
  <c r="V463" i="10"/>
  <c r="V462" i="10"/>
  <c r="W462" i="10" l="1"/>
  <c r="X462" i="10" s="1"/>
  <c r="W463" i="10"/>
  <c r="X463" i="10" s="1"/>
  <c r="J463" i="10" l="1"/>
  <c r="M463" i="10" s="1"/>
  <c r="N463" i="10" s="1"/>
  <c r="J462" i="10"/>
  <c r="M462" i="10" s="1"/>
  <c r="N462" i="10" s="1"/>
  <c r="P223" i="13" l="1"/>
  <c r="H464" i="10"/>
  <c r="O223" i="13"/>
  <c r="H465" i="10"/>
  <c r="P465" i="10" l="1"/>
  <c r="Q465" i="10" s="1"/>
  <c r="P464" i="10"/>
  <c r="Q464" i="10" s="1"/>
  <c r="V465" i="10"/>
  <c r="V464" i="10"/>
  <c r="W464" i="10" l="1"/>
  <c r="X464" i="10" s="1"/>
  <c r="W465" i="10"/>
  <c r="X465" i="10" s="1"/>
  <c r="J465" i="10" l="1"/>
  <c r="M465" i="10" s="1"/>
  <c r="N465" i="10" s="1"/>
  <c r="J464" i="10"/>
  <c r="M464" i="10" s="1"/>
  <c r="N464" i="10" s="1"/>
  <c r="P224" i="13" l="1"/>
  <c r="H466" i="10"/>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P225" i="13"/>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P243" i="13"/>
  <c r="P244" i="13"/>
  <c r="P241" i="13"/>
  <c r="P242" i="13"/>
  <c r="P239" i="13"/>
  <c r="P240" i="13"/>
  <c r="P237" i="13"/>
  <c r="P238" i="13"/>
  <c r="P236" i="13"/>
  <c r="P231" i="13"/>
  <c r="P235" i="13"/>
  <c r="P229" i="13"/>
  <c r="P227" i="13"/>
  <c r="P234" i="13"/>
  <c r="P232" i="13"/>
  <c r="P230" i="13"/>
  <c r="P228" i="13"/>
  <c r="P226" i="13"/>
  <c r="P233" i="13"/>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P245" i="13"/>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P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P247" i="13"/>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P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Q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Q255" i="13"/>
  <c r="Q253" i="13"/>
  <c r="Q254" i="13"/>
  <c r="Q251" i="13"/>
  <c r="Q252" i="13"/>
  <c r="H532" i="10"/>
  <c r="Q250" i="13"/>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01" i="13" s="1"/>
  <c r="Q484" i="10"/>
  <c r="Q485" i="10"/>
  <c r="V484" i="10"/>
  <c r="W298" i="13" l="1"/>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01" i="13" s="1"/>
  <c r="V247" i="13"/>
  <c r="V248" i="13"/>
  <c r="R232" i="13"/>
  <c r="H488" i="10"/>
  <c r="V232" i="13"/>
  <c r="V234" i="13"/>
  <c r="V236" i="13"/>
  <c r="V233" i="13"/>
  <c r="V235" i="13"/>
  <c r="P2" i="14"/>
  <c r="B19" i="13"/>
  <c r="V298" i="13" l="1"/>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O301" i="13" s="1"/>
  <c r="W509" i="10"/>
  <c r="X509" i="10" s="1"/>
  <c r="O244" i="13"/>
  <c r="B6" i="14"/>
  <c r="O298" i="13" l="1"/>
  <c r="O299" i="13"/>
  <c r="O300" i="13"/>
  <c r="J11"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H2" i="14"/>
  <c r="B11" i="13"/>
  <c r="Q523" i="10" l="1"/>
  <c r="V523" i="10"/>
  <c r="X523" i="10" s="1"/>
  <c r="S11" i="13"/>
  <c r="J523" i="10" l="1"/>
  <c r="M523" i="10" s="1"/>
  <c r="N523" i="10" s="1"/>
  <c r="J519" i="10"/>
  <c r="M519" i="10" s="1"/>
  <c r="N519" i="10" s="1"/>
  <c r="R249" i="13"/>
  <c r="W11" i="13"/>
  <c r="B24" i="5" s="1"/>
  <c r="F90" i="7"/>
  <c r="S90" i="7" s="1"/>
  <c r="AI11" i="13"/>
  <c r="H528" i="10" l="1"/>
  <c r="H524" i="10"/>
  <c r="P249" i="13"/>
  <c r="Q528" i="10" l="1"/>
  <c r="V528" i="10"/>
  <c r="X528" i="10" s="1"/>
  <c r="J528" i="10" s="1"/>
  <c r="M528" i="10" s="1"/>
  <c r="N528" i="10" s="1"/>
  <c r="Q524" i="10"/>
  <c r="V524" i="10"/>
  <c r="X524" i="10" s="1"/>
  <c r="H531" i="10" l="1"/>
  <c r="J524" i="10"/>
  <c r="M524" i="10" s="1"/>
  <c r="J527" i="10"/>
  <c r="M527" i="10" s="1"/>
  <c r="N527" i="10" s="1"/>
  <c r="R250" i="13"/>
  <c r="N524" i="10"/>
  <c r="H529" i="10" l="1"/>
  <c r="H530" i="10"/>
  <c r="V531" i="10"/>
  <c r="K250" i="13"/>
  <c r="P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P251" i="13"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P261" i="13"/>
  <c r="P259" i="13"/>
  <c r="P260" i="13"/>
  <c r="P257" i="13"/>
  <c r="P258" i="13"/>
  <c r="P255" i="13"/>
  <c r="P256" i="13"/>
  <c r="V542" i="10"/>
  <c r="P253" i="13"/>
  <c r="P254" i="13"/>
  <c r="P538" i="10"/>
  <c r="Q538" i="10" s="1"/>
  <c r="P537" i="10"/>
  <c r="Q537" i="10" s="1"/>
  <c r="V537" i="10"/>
  <c r="P252" i="13"/>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Q256" i="13"/>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Q258" i="13"/>
  <c r="Q259" i="13"/>
  <c r="H547" i="10"/>
  <c r="R257" i="13"/>
  <c r="Q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289" i="13"/>
  <c r="Q290" i="13"/>
  <c r="Q287" i="13"/>
  <c r="Q288" i="13"/>
  <c r="Q285" i="13"/>
  <c r="Q286" i="13"/>
  <c r="Q284" i="13"/>
  <c r="Q283" i="13"/>
  <c r="Q277" i="13"/>
  <c r="Q282" i="13"/>
  <c r="Q276" i="13"/>
  <c r="Q281" i="13"/>
  <c r="Q275" i="13"/>
  <c r="Q280" i="13"/>
  <c r="Q274" i="13"/>
  <c r="Q279" i="13"/>
  <c r="Q273" i="13"/>
  <c r="Q278" i="13"/>
  <c r="Q271" i="13"/>
  <c r="Q272" i="13"/>
  <c r="Q269" i="13"/>
  <c r="Q270" i="13"/>
  <c r="Q267" i="13"/>
  <c r="Q268" i="13"/>
  <c r="Q265" i="13"/>
  <c r="Q266" i="13"/>
  <c r="Q263" i="13"/>
  <c r="Q264" i="13"/>
  <c r="Q261" i="13"/>
  <c r="Q262" i="13"/>
  <c r="Q260" i="13"/>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P262" i="13"/>
  <c r="K262" i="13"/>
  <c r="W561" i="10" l="1"/>
  <c r="W560" i="10"/>
  <c r="X560" i="10" s="1"/>
  <c r="P559" i="10"/>
  <c r="Q559" i="10" s="1"/>
  <c r="P558" i="10"/>
  <c r="Q558" i="10" s="1"/>
  <c r="V558" i="10"/>
  <c r="W558" i="10" l="1"/>
  <c r="X558" i="10" s="1"/>
  <c r="W559" i="10"/>
  <c r="X559" i="10" s="1"/>
  <c r="J559" i="10" s="1"/>
  <c r="M559" i="10" s="1"/>
  <c r="N559" i="10" s="1"/>
  <c r="J558" i="10" l="1"/>
  <c r="M558" i="10" s="1"/>
  <c r="N558" i="10" s="1"/>
  <c r="P263" i="13" s="1"/>
  <c r="H561" i="10"/>
  <c r="R263" i="13"/>
  <c r="H564" i="10" l="1"/>
  <c r="P264" i="13"/>
  <c r="P265" i="13"/>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P267" i="13"/>
  <c r="P268" i="13"/>
  <c r="W566" i="10"/>
  <c r="X566" i="10" s="1"/>
  <c r="W567" i="10"/>
  <c r="H567" i="10"/>
  <c r="P266" i="13"/>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U268" i="13"/>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P269" i="13"/>
  <c r="K269" i="13"/>
  <c r="U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U270" i="13"/>
  <c r="K270" i="13"/>
  <c r="R270" i="13"/>
  <c r="V581" i="10" l="1"/>
  <c r="V580" i="10"/>
  <c r="V579" i="10"/>
  <c r="H578" i="10"/>
  <c r="P270" i="13"/>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P271" i="13" s="1"/>
  <c r="H585" i="10"/>
  <c r="H584" i="10"/>
  <c r="H583" i="10"/>
  <c r="K271" i="13"/>
  <c r="R271" i="13"/>
  <c r="U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U284" i="13"/>
  <c r="U283" i="13"/>
  <c r="U280" i="13"/>
  <c r="U281" i="13"/>
  <c r="U282" i="13"/>
  <c r="P598" i="10"/>
  <c r="P599" i="10"/>
  <c r="Q599" i="10" s="1"/>
  <c r="P597" i="10"/>
  <c r="V599" i="10"/>
  <c r="U278" i="13"/>
  <c r="U279" i="13"/>
  <c r="U276" i="13"/>
  <c r="U277" i="13"/>
  <c r="M277" i="13"/>
  <c r="M276" i="13"/>
  <c r="V592" i="10"/>
  <c r="V587" i="10"/>
  <c r="U273" i="13"/>
  <c r="U274" i="13"/>
  <c r="U275" i="13"/>
  <c r="M273" i="13"/>
  <c r="M275" i="13"/>
  <c r="M274" i="13"/>
  <c r="R273" i="13"/>
  <c r="R274" i="13"/>
  <c r="N582" i="10"/>
  <c r="H588" i="10" s="1"/>
  <c r="U272" i="13"/>
  <c r="M272" i="13"/>
  <c r="R272" i="13"/>
  <c r="K272" i="13"/>
  <c r="P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P273" i="13"/>
  <c r="X590" i="10" l="1"/>
  <c r="J590" i="10" s="1"/>
  <c r="M590" i="10" s="1"/>
  <c r="N590" i="10" s="1"/>
  <c r="H593" i="10" s="1"/>
  <c r="P593" i="10" l="1"/>
  <c r="Q593" i="10" s="1"/>
  <c r="P594" i="10"/>
  <c r="V593" i="10"/>
  <c r="J589" i="10"/>
  <c r="M589" i="10" s="1"/>
  <c r="P275" i="13"/>
  <c r="P274" i="13"/>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276" i="13"/>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P277" i="13"/>
  <c r="V597" i="10" l="1"/>
  <c r="X597" i="10" s="1"/>
  <c r="J597" i="10" s="1"/>
  <c r="M597" i="10" s="1"/>
  <c r="N597" i="10" s="1"/>
  <c r="H600" i="10" s="1"/>
  <c r="J599" i="10"/>
  <c r="M599" i="10" s="1"/>
  <c r="N599" i="10" s="1"/>
  <c r="H603" i="10" l="1"/>
  <c r="M278" i="13"/>
  <c r="V600" i="10"/>
  <c r="P278" i="13"/>
  <c r="P603" i="10" l="1"/>
  <c r="Q603" i="10" s="1"/>
  <c r="P601" i="10"/>
  <c r="Q601" i="10" s="1"/>
  <c r="P602" i="10"/>
  <c r="Q602" i="10" s="1"/>
  <c r="P600" i="10"/>
  <c r="Q600" i="10" s="1"/>
  <c r="V603" i="10"/>
  <c r="W603" i="10" l="1"/>
  <c r="X603" i="10" s="1"/>
  <c r="J603" i="10" s="1"/>
  <c r="M603" i="10" s="1"/>
  <c r="W601" i="10"/>
  <c r="X601" i="10" s="1"/>
  <c r="J601" i="10" s="1"/>
  <c r="M601" i="10" s="1"/>
  <c r="N601" i="10" s="1"/>
  <c r="H605" i="10" s="1"/>
  <c r="W602" i="10"/>
  <c r="X602" i="10" s="1"/>
  <c r="J602" i="10" s="1"/>
  <c r="M602" i="10" s="1"/>
  <c r="N602" i="10" s="1"/>
  <c r="H604" i="10" s="1"/>
  <c r="W600" i="10"/>
  <c r="X600" i="10" s="1"/>
  <c r="J600" i="10" s="1"/>
  <c r="M600" i="10" s="1"/>
  <c r="N600" i="10" s="1"/>
  <c r="H606" i="10" s="1"/>
  <c r="P279" i="13"/>
  <c r="P605" i="10" l="1"/>
  <c r="Q605" i="10" s="1"/>
  <c r="P606" i="10"/>
  <c r="Q606" i="10" s="1"/>
  <c r="P604" i="10"/>
  <c r="Q604" i="10" s="1"/>
  <c r="V606" i="10"/>
  <c r="V604" i="10"/>
  <c r="V605" i="10"/>
  <c r="N603" i="10"/>
  <c r="R279" i="13"/>
  <c r="K279" i="13"/>
  <c r="M301" i="13" l="1"/>
  <c r="J9"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B4" i="14"/>
  <c r="M279" i="13"/>
  <c r="J604" i="10" l="1"/>
  <c r="M604" i="10" s="1"/>
  <c r="N604" i="10" s="1"/>
  <c r="H609" i="10"/>
  <c r="P280" i="13"/>
  <c r="H607" i="10"/>
  <c r="K280" i="13"/>
  <c r="H608" i="10"/>
  <c r="R280" i="13"/>
  <c r="F2" i="14"/>
  <c r="B9" i="13"/>
  <c r="P608" i="10" l="1"/>
  <c r="Q608" i="10" s="1"/>
  <c r="P609" i="10"/>
  <c r="Q609" i="10" s="1"/>
  <c r="P607" i="10"/>
  <c r="Q607" i="10" s="1"/>
  <c r="V607" i="10"/>
  <c r="V609" i="10"/>
  <c r="V608" i="10"/>
  <c r="S9" i="13"/>
  <c r="W608" i="10" l="1"/>
  <c r="X608" i="10" s="1"/>
  <c r="J608" i="10" s="1"/>
  <c r="M608" i="10" s="1"/>
  <c r="N608" i="10" s="1"/>
  <c r="H611" i="10" s="1"/>
  <c r="W609" i="10"/>
  <c r="X609" i="10" s="1"/>
  <c r="J609" i="10" s="1"/>
  <c r="M609" i="10" s="1"/>
  <c r="N609" i="10" s="1"/>
  <c r="W607" i="10"/>
  <c r="X607" i="10" s="1"/>
  <c r="F99" i="7"/>
  <c r="S99" i="7" s="1"/>
  <c r="AI9" i="13"/>
  <c r="W9" i="13"/>
  <c r="J607" i="10" l="1"/>
  <c r="M607" i="10" s="1"/>
  <c r="N607" i="10" s="1"/>
  <c r="H610" i="10"/>
  <c r="V610" i="10" s="1"/>
  <c r="K281" i="13"/>
  <c r="P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P283" i="13"/>
  <c r="P284" i="13"/>
  <c r="R284" i="13"/>
  <c r="R283" i="13"/>
  <c r="P282"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U286" i="13"/>
  <c r="H623" i="10"/>
  <c r="H622" i="10"/>
  <c r="P285" i="13"/>
  <c r="R285" i="13"/>
  <c r="U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5" i="13"/>
  <c r="S286" i="13"/>
  <c r="N615" i="10"/>
  <c r="S284" i="13"/>
  <c r="B10" i="14"/>
  <c r="L2" i="14" s="1"/>
  <c r="S301" i="13" l="1"/>
  <c r="J15"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J618" i="10"/>
  <c r="M618" i="10" s="1"/>
  <c r="N618" i="10" s="1"/>
  <c r="N301" i="13" l="1"/>
  <c r="J10"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R286" i="13"/>
  <c r="P286" i="13"/>
  <c r="K286" i="13"/>
  <c r="B2" i="14"/>
  <c r="F101" i="7"/>
  <c r="S101" i="7" s="1"/>
  <c r="W10" i="13"/>
  <c r="AI10" i="13"/>
  <c r="K301" i="13" l="1"/>
  <c r="J7"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U288" i="13" l="1"/>
  <c r="H627" i="10"/>
  <c r="U287" i="13"/>
  <c r="P287" i="13"/>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288" i="13"/>
  <c r="P644" i="10" l="1"/>
  <c r="P643" i="10"/>
  <c r="Q643" i="10" s="1"/>
  <c r="V643" i="10"/>
  <c r="P295" i="13"/>
  <c r="P294" i="13"/>
  <c r="P290" i="13"/>
  <c r="P293" i="13"/>
  <c r="P292" i="13"/>
  <c r="P291" i="13"/>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U289" i="13"/>
  <c r="P289" i="13"/>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U290" i="13"/>
  <c r="V646" i="10" l="1"/>
  <c r="H645" i="10"/>
  <c r="P296" i="13"/>
  <c r="J634" i="10"/>
  <c r="M634" i="10" s="1"/>
  <c r="N634" i="10" s="1"/>
  <c r="H636" i="10" s="1"/>
  <c r="J633" i="10"/>
  <c r="M633" i="10" s="1"/>
  <c r="N633" i="10" s="1"/>
  <c r="P646" i="10" l="1"/>
  <c r="Q646" i="10" s="1"/>
  <c r="P645" i="10"/>
  <c r="Q645" i="10" s="1"/>
  <c r="V645" i="10"/>
  <c r="H635" i="10"/>
  <c r="Q291" i="13"/>
  <c r="V636" i="10"/>
  <c r="U291" i="13"/>
  <c r="W645" i="10" l="1"/>
  <c r="X645" i="10" s="1"/>
  <c r="W646" i="10"/>
  <c r="X646" i="10" s="1"/>
  <c r="J646" i="10" s="1"/>
  <c r="M646" i="10" s="1"/>
  <c r="N646" i="10" s="1"/>
  <c r="H656" i="10" s="1"/>
  <c r="P636" i="10"/>
  <c r="Q636" i="10" s="1"/>
  <c r="P635" i="10"/>
  <c r="Q635" i="10" s="1"/>
  <c r="V635" i="10"/>
  <c r="V656" i="10" l="1"/>
  <c r="J14" i="13"/>
  <c r="J645" i="10"/>
  <c r="M645" i="10" s="1"/>
  <c r="N645" i="10" s="1"/>
  <c r="R298" i="13"/>
  <c r="R300" i="13"/>
  <c r="R299" i="13"/>
  <c r="P298" i="13"/>
  <c r="P297" i="13"/>
  <c r="R297" i="13"/>
  <c r="W635" i="10"/>
  <c r="X635" i="10" s="1"/>
  <c r="W636" i="10"/>
  <c r="X636" i="10" s="1"/>
  <c r="J636" i="10" s="1"/>
  <c r="M636" i="10" s="1"/>
  <c r="N636" i="10" s="1"/>
  <c r="H638" i="10"/>
  <c r="U292" i="13"/>
  <c r="H651" i="10" l="1"/>
  <c r="V651" i="10" s="1"/>
  <c r="J12" i="13"/>
  <c r="J635" i="10"/>
  <c r="M635" i="10" s="1"/>
  <c r="N635" i="10" s="1"/>
  <c r="H637" i="10"/>
  <c r="Q292" i="13"/>
  <c r="V638" i="10"/>
  <c r="P637" i="10" l="1"/>
  <c r="Q637" i="10" s="1"/>
  <c r="P638" i="10"/>
  <c r="Q638" i="10" s="1"/>
  <c r="V637" i="10"/>
  <c r="W637" i="10" l="1"/>
  <c r="X637" i="10" s="1"/>
  <c r="J637" i="10" s="1"/>
  <c r="M637" i="10" s="1"/>
  <c r="N637" i="10" s="1"/>
  <c r="W638" i="10"/>
  <c r="X638" i="10" s="1"/>
  <c r="J638" i="10" s="1"/>
  <c r="M638" i="10" s="1"/>
  <c r="N638" i="10" s="1"/>
  <c r="Q293" i="13" l="1"/>
  <c r="H639" i="10"/>
  <c r="H640" i="10"/>
  <c r="U293" i="13"/>
  <c r="P639" i="10" l="1"/>
  <c r="Q639" i="10" s="1"/>
  <c r="P640" i="10"/>
  <c r="Q640" i="10" s="1"/>
  <c r="V640" i="10"/>
  <c r="V639" i="10"/>
  <c r="W639" i="10" l="1"/>
  <c r="X639" i="10" s="1"/>
  <c r="J639" i="10" s="1"/>
  <c r="M639" i="10" s="1"/>
  <c r="N639" i="10" s="1"/>
  <c r="W640" i="10"/>
  <c r="X640" i="10" s="1"/>
  <c r="J640" i="10" s="1"/>
  <c r="M640" i="10" s="1"/>
  <c r="N640" i="10" s="1"/>
  <c r="U294" i="13" l="1"/>
  <c r="H642" i="10"/>
  <c r="H641" i="10"/>
  <c r="Q294" i="13"/>
  <c r="P641" i="10" l="1"/>
  <c r="Q641" i="10" s="1"/>
  <c r="P642" i="10"/>
  <c r="Q642" i="10" s="1"/>
  <c r="V641" i="10"/>
  <c r="V642" i="10"/>
  <c r="W641" i="10" l="1"/>
  <c r="X641" i="10" s="1"/>
  <c r="J641" i="10" s="1"/>
  <c r="M641" i="10" s="1"/>
  <c r="W642" i="10"/>
  <c r="X642" i="10" s="1"/>
  <c r="J642" i="10" s="1"/>
  <c r="M642" i="10" s="1"/>
  <c r="N642" i="10" s="1"/>
  <c r="H647" i="10" l="1"/>
  <c r="P647" i="10" s="1"/>
  <c r="Q647" i="10" s="1"/>
  <c r="J17" i="13"/>
  <c r="U297" i="13"/>
  <c r="U296" i="13"/>
  <c r="U295" i="13"/>
  <c r="N641" i="10"/>
  <c r="J13" i="13" s="1"/>
  <c r="Q295" i="13"/>
  <c r="K13" i="13" l="1"/>
  <c r="K12" i="13"/>
  <c r="K8" i="13"/>
  <c r="K18" i="13"/>
  <c r="K15" i="13"/>
  <c r="K20" i="13"/>
  <c r="K7" i="13"/>
  <c r="K19" i="13"/>
  <c r="K16" i="13"/>
  <c r="K9" i="13"/>
  <c r="K11" i="13"/>
  <c r="K10" i="13"/>
  <c r="V647" i="10"/>
  <c r="W647" i="10" s="1"/>
  <c r="X647" i="10" s="1"/>
  <c r="P648" i="10"/>
  <c r="K17" i="13"/>
  <c r="K14" i="13"/>
  <c r="H648" i="10"/>
  <c r="Q297" i="13"/>
  <c r="Q296" i="13"/>
  <c r="W648" i="10" l="1"/>
  <c r="Q648" i="10"/>
  <c r="V648" i="10"/>
  <c r="X648" i="10" l="1"/>
  <c r="J648" i="10" s="1"/>
  <c r="M648" i="10" s="1"/>
  <c r="J647" i="10"/>
  <c r="M647" i="10" s="1"/>
  <c r="N647" i="10" s="1"/>
  <c r="H649" i="10" s="1"/>
  <c r="N648" i="10"/>
  <c r="H650" i="10" s="1"/>
  <c r="P650" i="10" l="1"/>
  <c r="Q650" i="10" s="1"/>
  <c r="P651" i="10"/>
  <c r="Q651" i="10" s="1"/>
  <c r="P649" i="10"/>
  <c r="Q649" i="10" s="1"/>
  <c r="V650" i="10"/>
  <c r="V649" i="10"/>
  <c r="U298" i="13"/>
  <c r="Q298" i="13"/>
  <c r="W651" i="10" l="1"/>
  <c r="X651" i="10" s="1"/>
  <c r="J651" i="10" s="1"/>
  <c r="M651" i="10" s="1"/>
  <c r="N651" i="10" s="1"/>
  <c r="W649" i="10"/>
  <c r="X649" i="10" s="1"/>
  <c r="J649" i="10" s="1"/>
  <c r="M649" i="10" s="1"/>
  <c r="N649" i="10" s="1"/>
  <c r="H652" i="10" s="1"/>
  <c r="W650" i="10"/>
  <c r="X650" i="10" s="1"/>
  <c r="J650" i="10" s="1"/>
  <c r="M650" i="10" s="1"/>
  <c r="N650" i="10" s="1"/>
  <c r="H653" i="10" l="1"/>
  <c r="Q299" i="13"/>
  <c r="H654" i="10"/>
  <c r="P299" i="13"/>
  <c r="V652" i="10"/>
  <c r="U299" i="13"/>
  <c r="P653" i="10" l="1"/>
  <c r="Q653" i="10" s="1"/>
  <c r="P654" i="10"/>
  <c r="Q654" i="10" s="1"/>
  <c r="P652" i="10"/>
  <c r="Q652" i="10" s="1"/>
  <c r="V654" i="10"/>
  <c r="V653" i="10"/>
  <c r="W653" i="10" l="1"/>
  <c r="X653" i="10" s="1"/>
  <c r="J653" i="10" s="1"/>
  <c r="M653" i="10" s="1"/>
  <c r="N653" i="10" s="1"/>
  <c r="Q301" i="13" s="1"/>
  <c r="W654" i="10"/>
  <c r="X654" i="10" s="1"/>
  <c r="J654" i="10" s="1"/>
  <c r="M654" i="10" s="1"/>
  <c r="N654" i="10" s="1"/>
  <c r="W652" i="10"/>
  <c r="X652" i="10" s="1"/>
  <c r="J652" i="10" s="1"/>
  <c r="M652" i="10" s="1"/>
  <c r="H655" i="10" l="1"/>
  <c r="P300" i="13"/>
  <c r="B8" i="14"/>
  <c r="J2" i="14" s="1"/>
  <c r="Q300" i="13"/>
  <c r="N652" i="10"/>
  <c r="U301" i="13" s="1"/>
  <c r="P656" i="10" l="1"/>
  <c r="Q656" i="10" s="1"/>
  <c r="P655" i="10"/>
  <c r="Q655" i="10" s="1"/>
  <c r="V655" i="10"/>
  <c r="B13" i="13"/>
  <c r="S13" i="13" s="1"/>
  <c r="AI13" i="13" s="1"/>
  <c r="U300" i="13"/>
  <c r="B12" i="14"/>
  <c r="W655" i="10" l="1"/>
  <c r="X655" i="10" s="1"/>
  <c r="J655" i="10" s="1"/>
  <c r="M655" i="10" s="1"/>
  <c r="W656" i="10"/>
  <c r="X656" i="10" s="1"/>
  <c r="J656" i="10" s="1"/>
  <c r="M656" i="10" s="1"/>
  <c r="N656" i="10" s="1"/>
  <c r="F91" i="7"/>
  <c r="S91" i="7" s="1"/>
  <c r="W13" i="13"/>
  <c r="N2" i="14"/>
  <c r="B17" i="13"/>
  <c r="B19" i="8" l="1"/>
  <c r="H18" i="8"/>
  <c r="E18" i="8" s="1"/>
  <c r="B18" i="8"/>
  <c r="N655" i="10"/>
  <c r="H19" i="8"/>
  <c r="D19" i="8" s="1"/>
  <c r="B9" i="14"/>
  <c r="R301" i="13"/>
  <c r="P301" i="13"/>
  <c r="B7" i="14"/>
  <c r="H17" i="8"/>
  <c r="B17" i="8"/>
  <c r="S17" i="13"/>
  <c r="C19" i="8" l="1"/>
  <c r="F19" i="8"/>
  <c r="E19" i="8"/>
  <c r="B14" i="13"/>
  <c r="S14" i="13" s="1"/>
  <c r="K2" i="14"/>
  <c r="C18" i="8"/>
  <c r="D18" i="8"/>
  <c r="F18" i="8"/>
  <c r="E17" i="8"/>
  <c r="C17" i="8"/>
  <c r="D17" i="8"/>
  <c r="F17" i="8"/>
  <c r="I2" i="14"/>
  <c r="B12" i="13"/>
  <c r="AI17" i="13"/>
  <c r="F92" i="7"/>
  <c r="S92" i="7" s="1"/>
  <c r="W17" i="13"/>
  <c r="AI14" i="13" l="1"/>
  <c r="W14" i="13"/>
  <c r="F93" i="7"/>
  <c r="S93" i="7" s="1"/>
  <c r="C7" i="14"/>
  <c r="C12" i="13" s="1"/>
  <c r="AA12" i="13" s="1"/>
  <c r="C4" i="14"/>
  <c r="C9" i="13" s="1"/>
  <c r="AA9" i="13" s="1"/>
  <c r="C6" i="14"/>
  <c r="C11" i="13" s="1"/>
  <c r="C11" i="14"/>
  <c r="C16" i="13" s="1"/>
  <c r="AA16" i="13" s="1"/>
  <c r="C8" i="14"/>
  <c r="C13" i="13" s="1"/>
  <c r="AA13" i="13" s="1"/>
  <c r="C12" i="14"/>
  <c r="C17" i="13" s="1"/>
  <c r="AA17" i="13" s="1"/>
  <c r="C14" i="14"/>
  <c r="C19" i="13" s="1"/>
  <c r="AA19" i="13" s="1"/>
  <c r="C5" i="14"/>
  <c r="C10" i="13" s="1"/>
  <c r="AA10" i="13" s="1"/>
  <c r="C9" i="14"/>
  <c r="C14" i="13" s="1"/>
  <c r="AA14" i="13" s="1"/>
  <c r="C10" i="14"/>
  <c r="C15" i="13" s="1"/>
  <c r="AA15" i="13" s="1"/>
  <c r="C13" i="14"/>
  <c r="C18" i="13" s="1"/>
  <c r="AA18" i="13" s="1"/>
  <c r="C3" i="14"/>
  <c r="C8" i="13" s="1"/>
  <c r="AA8" i="13" s="1"/>
  <c r="C2" i="14"/>
  <c r="C7" i="13" s="1"/>
  <c r="AA7" i="13" s="1"/>
  <c r="C15" i="14"/>
  <c r="C20" i="13" s="1"/>
  <c r="AA20" i="13" s="1"/>
  <c r="S12" i="13"/>
  <c r="D11" i="13"/>
  <c r="L11" i="13" s="1"/>
  <c r="E12" i="13"/>
  <c r="C19" i="9"/>
  <c r="C18" i="9"/>
  <c r="E20" i="13"/>
  <c r="E9" i="13"/>
  <c r="E17" i="13"/>
  <c r="E19" i="13"/>
  <c r="B18" i="9"/>
  <c r="D18" i="13"/>
  <c r="L18" i="13" s="1"/>
  <c r="D14" i="13"/>
  <c r="L14" i="13" s="1"/>
  <c r="E18" i="13"/>
  <c r="D19" i="13"/>
  <c r="L19" i="13" s="1"/>
  <c r="B19" i="9"/>
  <c r="D8" i="13"/>
  <c r="L8" i="13" s="1"/>
  <c r="E10" i="13"/>
  <c r="D15" i="13"/>
  <c r="L15" i="13" s="1"/>
  <c r="D12" i="13"/>
  <c r="L12" i="13" s="1"/>
  <c r="D10" i="13"/>
  <c r="L10" i="13" s="1"/>
  <c r="E15" i="13"/>
  <c r="D20" i="13"/>
  <c r="L20" i="13" s="1"/>
  <c r="D7" i="13"/>
  <c r="L7" i="13" s="1"/>
  <c r="C17" i="9"/>
  <c r="E11" i="13"/>
  <c r="B15" i="5" s="1"/>
  <c r="D13" i="13"/>
  <c r="L13" i="13" s="1"/>
  <c r="A5" i="9"/>
  <c r="D9" i="13"/>
  <c r="L9" i="13" s="1"/>
  <c r="E16" i="13"/>
  <c r="E14" i="13"/>
  <c r="D19" i="9"/>
  <c r="B17" i="9"/>
  <c r="E8" i="13"/>
  <c r="D18" i="9"/>
  <c r="D17" i="13"/>
  <c r="L17" i="13" s="1"/>
  <c r="D16" i="13"/>
  <c r="L16" i="13" s="1"/>
  <c r="E13" i="13"/>
  <c r="E7" i="13"/>
  <c r="W12" i="13" l="1"/>
  <c r="F95" i="7"/>
  <c r="S95" i="7" s="1"/>
  <c r="C4" i="7" s="1"/>
  <c r="AI12" i="13"/>
  <c r="A8" i="9"/>
  <c r="AA11" i="13"/>
  <c r="B28" i="5" s="1"/>
  <c r="B12" i="5"/>
  <c r="B12" i="4" l="1"/>
  <c r="B17" i="4"/>
  <c r="B10" i="4"/>
  <c r="B9" i="4"/>
  <c r="B16" i="4"/>
  <c r="B8" i="4"/>
  <c r="B18" i="4"/>
  <c r="B5" i="4"/>
  <c r="B13" i="4"/>
  <c r="B15" i="4"/>
  <c r="B14" i="4"/>
  <c r="B7" i="4"/>
  <c r="B6" i="4"/>
  <c r="B11" i="4"/>
  <c r="A6" i="3"/>
  <c r="A5" i="3"/>
  <c r="B28" i="8" s="1"/>
  <c r="H11" i="4" l="1"/>
  <c r="S11" i="4"/>
  <c r="E11" i="4"/>
  <c r="J11" i="4"/>
  <c r="X11" i="4"/>
  <c r="R11" i="4"/>
  <c r="U11" i="4"/>
  <c r="C11" i="4"/>
  <c r="T11" i="4"/>
  <c r="I11" i="4"/>
  <c r="V11" i="4"/>
  <c r="K11" i="4"/>
  <c r="Y9" i="13" s="1"/>
  <c r="P11" i="4"/>
  <c r="Q11" i="4"/>
  <c r="O11" i="4"/>
  <c r="D11" i="4"/>
  <c r="M11" i="4"/>
  <c r="T6" i="4"/>
  <c r="J6" i="4"/>
  <c r="C6" i="4"/>
  <c r="H6" i="4"/>
  <c r="S6" i="4"/>
  <c r="V6" i="4"/>
  <c r="M6" i="4"/>
  <c r="E6" i="4"/>
  <c r="D6" i="4"/>
  <c r="O6" i="4"/>
  <c r="Q6" i="4"/>
  <c r="P6" i="4"/>
  <c r="I6" i="4"/>
  <c r="K6" i="4"/>
  <c r="X6" i="4"/>
  <c r="R6" i="4"/>
  <c r="U6" i="4"/>
  <c r="R7" i="4"/>
  <c r="I7" i="4"/>
  <c r="E7" i="4"/>
  <c r="P7" i="4"/>
  <c r="O7" i="4"/>
  <c r="U7" i="4"/>
  <c r="D7" i="4"/>
  <c r="J7" i="4"/>
  <c r="X7" i="4"/>
  <c r="M7" i="4"/>
  <c r="T7" i="4"/>
  <c r="H7" i="4"/>
  <c r="S7" i="4"/>
  <c r="K7" i="4"/>
  <c r="Q7" i="4"/>
  <c r="C7" i="4"/>
  <c r="V7" i="4"/>
  <c r="X14" i="4"/>
  <c r="T14" i="4"/>
  <c r="V14" i="4"/>
  <c r="I14" i="4"/>
  <c r="C14" i="4"/>
  <c r="Q14" i="4"/>
  <c r="U14" i="4"/>
  <c r="P14" i="4"/>
  <c r="H14" i="4"/>
  <c r="S14" i="4"/>
  <c r="K14" i="4"/>
  <c r="Y20" i="13" s="1"/>
  <c r="O14" i="4"/>
  <c r="E14" i="4"/>
  <c r="J14" i="4"/>
  <c r="R14" i="4"/>
  <c r="D14" i="4"/>
  <c r="M14" i="4"/>
  <c r="V15" i="4"/>
  <c r="H15" i="4"/>
  <c r="S15" i="4"/>
  <c r="R15" i="4"/>
  <c r="I15" i="4"/>
  <c r="D15" i="4"/>
  <c r="O15" i="4"/>
  <c r="U15" i="4"/>
  <c r="J15" i="4"/>
  <c r="T15" i="4"/>
  <c r="E15" i="4"/>
  <c r="P15" i="4"/>
  <c r="M15" i="4"/>
  <c r="Q15" i="4"/>
  <c r="K15" i="4"/>
  <c r="C15" i="4"/>
  <c r="X15" i="4"/>
  <c r="V13" i="4"/>
  <c r="O13" i="4"/>
  <c r="U13" i="4"/>
  <c r="K13" i="4"/>
  <c r="P13" i="4"/>
  <c r="C13" i="4"/>
  <c r="M13" i="4"/>
  <c r="T13" i="4"/>
  <c r="H13" i="4"/>
  <c r="E13" i="4"/>
  <c r="J13" i="4"/>
  <c r="S13" i="4"/>
  <c r="R13" i="4"/>
  <c r="X13" i="4"/>
  <c r="Q13" i="4"/>
  <c r="D13" i="4"/>
  <c r="I13" i="4"/>
  <c r="H5" i="4"/>
  <c r="U5" i="4"/>
  <c r="B5" i="5"/>
  <c r="D5" i="4"/>
  <c r="E5" i="4"/>
  <c r="S5" i="4"/>
  <c r="P5" i="4"/>
  <c r="AD13" i="13"/>
  <c r="K5" i="4"/>
  <c r="C5" i="4"/>
  <c r="Q5" i="4"/>
  <c r="T5" i="4"/>
  <c r="R5" i="4"/>
  <c r="I5" i="4"/>
  <c r="X5" i="4"/>
  <c r="M5" i="4"/>
  <c r="AD20" i="13"/>
  <c r="AF20" i="13" s="1"/>
  <c r="O5" i="4"/>
  <c r="J5" i="4"/>
  <c r="V5" i="4"/>
  <c r="M18" i="4"/>
  <c r="C18" i="4"/>
  <c r="H18" i="4"/>
  <c r="R18" i="4"/>
  <c r="X18" i="4"/>
  <c r="E18" i="4"/>
  <c r="O18" i="4"/>
  <c r="K18" i="4"/>
  <c r="Y16" i="13" s="1"/>
  <c r="T18" i="4"/>
  <c r="I18" i="4"/>
  <c r="D18" i="4"/>
  <c r="S18" i="4"/>
  <c r="J18" i="4"/>
  <c r="P18" i="4"/>
  <c r="U18" i="4"/>
  <c r="Q18" i="4"/>
  <c r="V18" i="4"/>
  <c r="U8" i="4"/>
  <c r="E8" i="4"/>
  <c r="V8" i="4"/>
  <c r="J8" i="4"/>
  <c r="H8" i="4"/>
  <c r="M8" i="4"/>
  <c r="K8" i="4"/>
  <c r="P8" i="4"/>
  <c r="X8" i="4"/>
  <c r="T8" i="4"/>
  <c r="I8" i="4"/>
  <c r="R8" i="4"/>
  <c r="S8" i="4"/>
  <c r="C8" i="4"/>
  <c r="O8" i="4"/>
  <c r="Q8" i="4"/>
  <c r="D8" i="4"/>
  <c r="AD11" i="13" s="1"/>
  <c r="U16" i="4"/>
  <c r="J16" i="4"/>
  <c r="K16" i="4"/>
  <c r="AE8" i="13" s="1"/>
  <c r="E16" i="4"/>
  <c r="H16" i="4"/>
  <c r="Q16" i="4"/>
  <c r="V16" i="4"/>
  <c r="R16" i="4"/>
  <c r="D16" i="4"/>
  <c r="X16" i="4"/>
  <c r="O16" i="4"/>
  <c r="P16" i="4"/>
  <c r="S16" i="4"/>
  <c r="M16" i="4"/>
  <c r="T16" i="4"/>
  <c r="I16" i="4"/>
  <c r="C16" i="4"/>
  <c r="B6" i="5"/>
  <c r="S9" i="4"/>
  <c r="T9" i="4"/>
  <c r="Q9" i="4"/>
  <c r="V9" i="4"/>
  <c r="R9" i="4"/>
  <c r="H9" i="4"/>
  <c r="J9" i="4"/>
  <c r="E9" i="4"/>
  <c r="I9" i="4"/>
  <c r="X9" i="4"/>
  <c r="O9" i="4"/>
  <c r="K9" i="4"/>
  <c r="Y18" i="13" s="1"/>
  <c r="M9" i="4"/>
  <c r="P9" i="4"/>
  <c r="U9" i="4"/>
  <c r="D9" i="4"/>
  <c r="AD18" i="13" s="1"/>
  <c r="C9" i="4"/>
  <c r="AD16" i="13"/>
  <c r="I10" i="4"/>
  <c r="H10" i="4"/>
  <c r="R10" i="4"/>
  <c r="P10" i="4"/>
  <c r="M10" i="4"/>
  <c r="J10" i="4"/>
  <c r="S10" i="4"/>
  <c r="C10" i="4"/>
  <c r="V10" i="4"/>
  <c r="D10" i="4"/>
  <c r="E10" i="4"/>
  <c r="T10" i="4"/>
  <c r="K10" i="4"/>
  <c r="U10" i="4"/>
  <c r="X10" i="4"/>
  <c r="Q10" i="4"/>
  <c r="O10" i="4"/>
  <c r="AD15" i="13"/>
  <c r="T17" i="4"/>
  <c r="I17" i="4"/>
  <c r="S17" i="4"/>
  <c r="M17" i="4"/>
  <c r="E17" i="4"/>
  <c r="V17" i="4"/>
  <c r="Q17" i="4"/>
  <c r="H17" i="4"/>
  <c r="U17" i="4"/>
  <c r="O17" i="4"/>
  <c r="J17" i="4"/>
  <c r="P17" i="4"/>
  <c r="K17" i="4"/>
  <c r="AE10" i="13" s="1"/>
  <c r="X17" i="4"/>
  <c r="C17" i="4"/>
  <c r="R17" i="4"/>
  <c r="D17" i="4"/>
  <c r="K12" i="4"/>
  <c r="AE19" i="13" s="1"/>
  <c r="C12" i="4"/>
  <c r="I12" i="4"/>
  <c r="E12" i="4"/>
  <c r="Q12" i="4"/>
  <c r="H12" i="4"/>
  <c r="J12" i="4"/>
  <c r="T12" i="4"/>
  <c r="U12" i="4"/>
  <c r="O12" i="4"/>
  <c r="X12" i="4"/>
  <c r="S12" i="4"/>
  <c r="D12" i="4"/>
  <c r="AD19" i="13" s="1"/>
  <c r="P12" i="4"/>
  <c r="R12" i="4"/>
  <c r="M12" i="4"/>
  <c r="V12" i="4"/>
  <c r="Y7" i="13" l="1"/>
  <c r="Y17" i="13"/>
  <c r="AE15" i="13"/>
  <c r="Y15" i="13"/>
  <c r="F11" i="4"/>
  <c r="L11" i="4"/>
  <c r="G11" i="4"/>
  <c r="AE7" i="13"/>
  <c r="Y12" i="13"/>
  <c r="AE14" i="13"/>
  <c r="Y14" i="13"/>
  <c r="Y10" i="13"/>
  <c r="F18" i="4"/>
  <c r="L18" i="4"/>
  <c r="G18" i="4"/>
  <c r="X16" i="13" s="1"/>
  <c r="AB16" i="13" s="1"/>
  <c r="Y11" i="13"/>
  <c r="B26" i="5" s="1"/>
  <c r="AE11" i="13"/>
  <c r="L13" i="4"/>
  <c r="AD14" i="13"/>
  <c r="F13" i="4"/>
  <c r="G13" i="4"/>
  <c r="AD12" i="13"/>
  <c r="L6" i="4"/>
  <c r="G6" i="4"/>
  <c r="F6" i="4"/>
  <c r="AE13" i="13"/>
  <c r="Y13" i="13"/>
  <c r="L9" i="4"/>
  <c r="F9" i="4"/>
  <c r="G9" i="4"/>
  <c r="X18" i="13" s="1"/>
  <c r="AB18" i="13" s="1"/>
  <c r="T2" i="4"/>
  <c r="AD9" i="13"/>
  <c r="L7" i="4"/>
  <c r="F7" i="4"/>
  <c r="G7" i="4"/>
  <c r="X15" i="13" s="1"/>
  <c r="AE17" i="13"/>
  <c r="G10" i="4"/>
  <c r="F10" i="4"/>
  <c r="L10" i="4"/>
  <c r="AD8" i="13"/>
  <c r="F16" i="4"/>
  <c r="G16" i="4"/>
  <c r="X8" i="13" s="1"/>
  <c r="AB8" i="13" s="1"/>
  <c r="L16" i="4"/>
  <c r="N18" i="4"/>
  <c r="N7" i="4"/>
  <c r="N6" i="4"/>
  <c r="N17" i="4"/>
  <c r="N15" i="4"/>
  <c r="N5" i="4"/>
  <c r="N8" i="4"/>
  <c r="N10" i="4"/>
  <c r="N9" i="4"/>
  <c r="N12" i="4"/>
  <c r="N13" i="4"/>
  <c r="N16" i="4"/>
  <c r="N11" i="4"/>
  <c r="N14" i="4"/>
  <c r="B33" i="8"/>
  <c r="F14" i="4"/>
  <c r="L14" i="4"/>
  <c r="G14" i="4"/>
  <c r="X20" i="13" s="1"/>
  <c r="AB20" i="13" s="1"/>
  <c r="AE12" i="13"/>
  <c r="B22" i="8"/>
  <c r="C22" i="8"/>
  <c r="B31" i="8"/>
  <c r="B11" i="5"/>
  <c r="AE16" i="13"/>
  <c r="AD17" i="13"/>
  <c r="F8" i="4"/>
  <c r="B8" i="5" s="1"/>
  <c r="L8" i="4"/>
  <c r="B16" i="5" s="1"/>
  <c r="G8" i="4"/>
  <c r="B10" i="5"/>
  <c r="Y19" i="13"/>
  <c r="F12" i="4"/>
  <c r="G12" i="4"/>
  <c r="X19" i="13" s="1"/>
  <c r="L12" i="4"/>
  <c r="L15" i="4"/>
  <c r="F15" i="4"/>
  <c r="G15" i="4"/>
  <c r="X17" i="13" s="1"/>
  <c r="AB17" i="13" s="1"/>
  <c r="Y8" i="13"/>
  <c r="AE9" i="13"/>
  <c r="AE20" i="13"/>
  <c r="AE18" i="13"/>
  <c r="L5" i="4"/>
  <c r="C21" i="8"/>
  <c r="F21" i="8" s="1"/>
  <c r="A10" i="9"/>
  <c r="F5" i="4"/>
  <c r="AD7" i="13"/>
  <c r="G5" i="4"/>
  <c r="B30" i="8"/>
  <c r="B21" i="8"/>
  <c r="G17" i="4"/>
  <c r="X10" i="13" s="1"/>
  <c r="AB10" i="13" s="1"/>
  <c r="AD10" i="13"/>
  <c r="F17" i="4"/>
  <c r="L17" i="4"/>
  <c r="AB15" i="13" l="1"/>
  <c r="AF15" i="13" s="1"/>
  <c r="W7" i="4" s="1"/>
  <c r="AF10" i="13"/>
  <c r="W17" i="4" s="1"/>
  <c r="AF18" i="13"/>
  <c r="W9" i="4" s="1"/>
  <c r="AB19" i="13"/>
  <c r="AF19" i="13" s="1"/>
  <c r="W12" i="4" s="1"/>
  <c r="X7" i="13"/>
  <c r="AB7" i="13" s="1"/>
  <c r="X14" i="13"/>
  <c r="AF8" i="13"/>
  <c r="W16" i="4" s="1"/>
  <c r="B9" i="5"/>
  <c r="X11" i="13"/>
  <c r="X9" i="13"/>
  <c r="AB9" i="13" s="1"/>
  <c r="AF9" i="13" s="1"/>
  <c r="W11" i="4" s="1"/>
  <c r="X13" i="13"/>
  <c r="AB13" i="13" s="1"/>
  <c r="AF13" i="13" s="1"/>
  <c r="W10" i="4" s="1"/>
  <c r="AB14" i="13"/>
  <c r="AF14" i="13" s="1"/>
  <c r="W13" i="4" s="1"/>
  <c r="A3" i="4"/>
  <c r="AF17" i="13"/>
  <c r="W15" i="4" s="1"/>
  <c r="X12" i="13"/>
  <c r="AB12" i="13" s="1"/>
  <c r="AF12" i="13" s="1"/>
  <c r="W5" i="4" s="1"/>
  <c r="AF7" i="13"/>
  <c r="AF16" i="13"/>
  <c r="W18" i="4" s="1"/>
  <c r="AB11" i="13" l="1"/>
  <c r="B25" i="5"/>
  <c r="W6" i="4"/>
  <c r="AF11" i="13" l="1"/>
  <c r="B23" i="5"/>
  <c r="W14" i="4" l="1"/>
  <c r="W8" i="4"/>
  <c r="B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<sst xmlns="http://schemas.openxmlformats.org/spreadsheetml/2006/main" count="2950" uniqueCount="458">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</sst>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65" sqref="B65"/>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45" x14ac:dyDescent="0.2">
      <c r="B62" s="2" t="s">
        <v>127</v>
      </c>
    </row>
    <row r="63" spans="2:4" ht="30" customHeight="1" x14ac:dyDescent="0.2">
      <c r="B63" s="2" t="s">
        <v>128</v>
      </c>
    </row>
    <row r="64" spans="2:4" ht="30" customHeight="1" x14ac:dyDescent="0.2">
      <c r="B64" s="2" t="s">
        <v>129</v>
      </c>
    </row>
    <row r="65" spans="2:4" ht="68" x14ac:dyDescent="0.2">
      <c r="B65" s="140" t="s">
        <v>457</v>
      </c>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4" t="s">
        <v>191</v>
      </c>
      <c r="B1" s="142"/>
      <c r="C1" s="142"/>
      <c r="D1" s="142"/>
      <c r="E1" s="142"/>
      <c r="F1" s="142"/>
      <c r="G1" s="142"/>
      <c r="H1" s="142"/>
    </row>
    <row r="2" spans="1:8" ht="18" customHeight="1" x14ac:dyDescent="0.2">
      <c r="A2" s="146" t="s">
        <v>192</v>
      </c>
      <c r="B2" s="142"/>
      <c r="C2" s="142"/>
      <c r="D2" s="142"/>
      <c r="E2" s="142"/>
      <c r="F2" s="142"/>
      <c r="G2" s="142"/>
      <c r="H2" s="142"/>
    </row>
    <row r="3" spans="1:8" ht="48" customHeight="1" x14ac:dyDescent="0.2">
      <c r="A3" s="145" t="s">
        <v>193</v>
      </c>
      <c r="B3" s="142"/>
      <c r="C3" s="142"/>
      <c r="D3" s="142"/>
      <c r="E3" s="142"/>
      <c r="F3" s="142"/>
      <c r="G3" s="142"/>
      <c r="H3" s="142"/>
    </row>
    <row r="6" spans="1:8" ht="21.75" customHeight="1" x14ac:dyDescent="0.2">
      <c r="A6" s="143" t="s">
        <v>194</v>
      </c>
      <c r="B6" s="142"/>
      <c r="C6" s="142"/>
      <c r="D6" s="142"/>
      <c r="E6" s="142"/>
      <c r="F6" s="142"/>
      <c r="G6" s="142"/>
      <c r="H6" s="142"/>
    </row>
    <row r="7" spans="1:8" ht="51" customHeight="1" x14ac:dyDescent="0.2">
      <c r="A7" s="25" t="s">
        <v>195</v>
      </c>
      <c r="B7" s="141" t="s">
        <v>196</v>
      </c>
      <c r="C7" s="142"/>
      <c r="D7" s="142"/>
      <c r="E7" s="142"/>
      <c r="F7" s="142"/>
      <c r="G7" s="142"/>
      <c r="H7" s="142"/>
    </row>
    <row r="8" spans="1:8" ht="36" customHeight="1" x14ac:dyDescent="0.2">
      <c r="A8" s="26" t="s">
        <v>197</v>
      </c>
      <c r="B8" s="141" t="s">
        <v>198</v>
      </c>
      <c r="C8" s="142"/>
      <c r="D8" s="142"/>
      <c r="E8" s="142"/>
      <c r="F8" s="142"/>
      <c r="G8" s="142"/>
      <c r="H8" s="142"/>
    </row>
    <row r="9" spans="1:8" ht="21" customHeight="1" x14ac:dyDescent="0.2">
      <c r="A9" s="25" t="s">
        <v>195</v>
      </c>
      <c r="B9" s="141" t="s">
        <v>199</v>
      </c>
      <c r="C9" s="142"/>
      <c r="D9" s="142"/>
      <c r="E9" s="142"/>
      <c r="F9" s="142"/>
      <c r="G9" s="142"/>
      <c r="H9" s="142"/>
    </row>
    <row r="10" spans="1:8" ht="36" customHeight="1" x14ac:dyDescent="0.2">
      <c r="A10" s="26" t="s">
        <v>197</v>
      </c>
      <c r="B10" s="141" t="s">
        <v>200</v>
      </c>
      <c r="C10" s="142"/>
      <c r="D10" s="142"/>
      <c r="E10" s="142"/>
      <c r="F10" s="142"/>
      <c r="G10" s="142"/>
      <c r="H10" s="142"/>
    </row>
    <row r="12" spans="1:8" ht="21.75" customHeight="1" x14ac:dyDescent="0.2">
      <c r="A12" s="143" t="s">
        <v>201</v>
      </c>
      <c r="B12" s="142"/>
      <c r="C12" s="142"/>
      <c r="D12" s="142"/>
      <c r="E12" s="142"/>
      <c r="F12" s="142"/>
      <c r="G12" s="142"/>
      <c r="H12" s="142"/>
    </row>
    <row r="13" spans="1:8" ht="36" customHeight="1" x14ac:dyDescent="0.2">
      <c r="A13" s="25" t="s">
        <v>195</v>
      </c>
      <c r="B13" s="141" t="s">
        <v>202</v>
      </c>
      <c r="C13" s="142"/>
      <c r="D13" s="142"/>
      <c r="E13" s="142"/>
      <c r="F13" s="142"/>
      <c r="G13" s="142"/>
      <c r="H13" s="142"/>
    </row>
    <row r="14" spans="1:8" ht="36" customHeight="1" x14ac:dyDescent="0.2">
      <c r="A14" s="26" t="s">
        <v>197</v>
      </c>
      <c r="B14" s="141" t="s">
        <v>203</v>
      </c>
      <c r="C14" s="142"/>
      <c r="D14" s="142"/>
      <c r="E14" s="142"/>
      <c r="F14" s="142"/>
      <c r="G14" s="142"/>
      <c r="H14" s="142"/>
    </row>
    <row r="15" spans="1:8" ht="21" customHeight="1" x14ac:dyDescent="0.2">
      <c r="A15" s="25" t="s">
        <v>195</v>
      </c>
      <c r="B15" s="141" t="s">
        <v>204</v>
      </c>
      <c r="C15" s="142"/>
      <c r="D15" s="142"/>
      <c r="E15" s="142"/>
      <c r="F15" s="142"/>
      <c r="G15" s="142"/>
      <c r="H15" s="142"/>
    </row>
    <row r="16" spans="1:8" ht="36" customHeight="1" x14ac:dyDescent="0.2">
      <c r="A16" s="26" t="s">
        <v>197</v>
      </c>
      <c r="B16" s="141" t="s">
        <v>205</v>
      </c>
      <c r="C16" s="142"/>
      <c r="D16" s="142"/>
      <c r="E16" s="142"/>
      <c r="F16" s="142"/>
      <c r="G16" s="142"/>
      <c r="H16" s="142"/>
    </row>
    <row r="18" spans="1:8" ht="21.75" customHeight="1" x14ac:dyDescent="0.2">
      <c r="A18" s="143" t="s">
        <v>206</v>
      </c>
      <c r="B18" s="142"/>
      <c r="C18" s="142"/>
      <c r="D18" s="142"/>
      <c r="E18" s="142"/>
      <c r="F18" s="142"/>
      <c r="G18" s="142"/>
      <c r="H18" s="142"/>
    </row>
    <row r="19" spans="1:8" ht="21" customHeight="1" x14ac:dyDescent="0.2">
      <c r="A19" s="25" t="s">
        <v>195</v>
      </c>
      <c r="B19" s="141" t="s">
        <v>207</v>
      </c>
      <c r="C19" s="142"/>
      <c r="D19" s="142"/>
      <c r="E19" s="142"/>
      <c r="F19" s="142"/>
      <c r="G19" s="142"/>
      <c r="H19" s="142"/>
    </row>
    <row r="20" spans="1:8" ht="51" customHeight="1" x14ac:dyDescent="0.2">
      <c r="A20" s="26" t="s">
        <v>197</v>
      </c>
      <c r="B20" s="141" t="s">
        <v>208</v>
      </c>
      <c r="C20" s="142"/>
      <c r="D20" s="142"/>
      <c r="E20" s="142"/>
      <c r="F20" s="142"/>
      <c r="G20" s="142"/>
      <c r="H20" s="142"/>
    </row>
    <row r="21" spans="1:8" ht="21" customHeight="1" x14ac:dyDescent="0.2">
      <c r="A21" s="25" t="s">
        <v>195</v>
      </c>
      <c r="B21" s="141" t="s">
        <v>209</v>
      </c>
      <c r="C21" s="142"/>
      <c r="D21" s="142"/>
      <c r="E21" s="142"/>
      <c r="F21" s="142"/>
      <c r="G21" s="142"/>
      <c r="H21" s="142"/>
    </row>
    <row r="22" spans="1:8" ht="51" customHeight="1" x14ac:dyDescent="0.2">
      <c r="A22" s="26" t="s">
        <v>197</v>
      </c>
      <c r="B22" s="141" t="s">
        <v>210</v>
      </c>
      <c r="C22" s="142"/>
      <c r="D22" s="142"/>
      <c r="E22" s="142"/>
      <c r="F22" s="142"/>
      <c r="G22" s="142"/>
      <c r="H22" s="142"/>
    </row>
    <row r="24" spans="1:8" ht="21.75" customHeight="1" x14ac:dyDescent="0.2">
      <c r="A24" s="143" t="s">
        <v>211</v>
      </c>
      <c r="B24" s="142"/>
      <c r="C24" s="142"/>
      <c r="D24" s="142"/>
      <c r="E24" s="142"/>
      <c r="F24" s="142"/>
      <c r="G24" s="142"/>
      <c r="H24" s="142"/>
    </row>
    <row r="25" spans="1:8" ht="21" customHeight="1" x14ac:dyDescent="0.2">
      <c r="A25" s="25" t="s">
        <v>195</v>
      </c>
      <c r="B25" s="141" t="s">
        <v>212</v>
      </c>
      <c r="C25" s="142"/>
      <c r="D25" s="142"/>
      <c r="E25" s="142"/>
      <c r="F25" s="142"/>
      <c r="G25" s="142"/>
      <c r="H25" s="142"/>
    </row>
    <row r="26" spans="1:8" ht="51" customHeight="1" x14ac:dyDescent="0.2">
      <c r="A26" s="26" t="s">
        <v>197</v>
      </c>
      <c r="B26" s="141" t="s">
        <v>213</v>
      </c>
      <c r="C26" s="142"/>
      <c r="D26" s="142"/>
      <c r="E26" s="142"/>
      <c r="F26" s="142"/>
      <c r="G26" s="142"/>
      <c r="H26" s="142"/>
    </row>
    <row r="27" spans="1:8" ht="21" customHeight="1" x14ac:dyDescent="0.2">
      <c r="A27" s="25" t="s">
        <v>195</v>
      </c>
      <c r="B27" s="141" t="s">
        <v>214</v>
      </c>
      <c r="C27" s="142"/>
      <c r="D27" s="142"/>
      <c r="E27" s="142"/>
      <c r="F27" s="142"/>
      <c r="G27" s="142"/>
      <c r="H27" s="142"/>
    </row>
    <row r="28" spans="1:8" ht="51" customHeight="1" x14ac:dyDescent="0.2">
      <c r="A28" s="26" t="s">
        <v>197</v>
      </c>
      <c r="B28" s="141" t="s">
        <v>215</v>
      </c>
      <c r="C28" s="142"/>
      <c r="D28" s="142"/>
      <c r="E28" s="142"/>
      <c r="F28" s="142"/>
      <c r="G28" s="142"/>
      <c r="H28" s="142"/>
    </row>
    <row r="29" spans="1:8" ht="21" customHeight="1" x14ac:dyDescent="0.2">
      <c r="A29" s="25" t="s">
        <v>195</v>
      </c>
      <c r="B29" s="141" t="s">
        <v>216</v>
      </c>
      <c r="C29" s="142"/>
      <c r="D29" s="142"/>
      <c r="E29" s="142"/>
      <c r="F29" s="142"/>
      <c r="G29" s="142"/>
      <c r="H29" s="142"/>
    </row>
    <row r="30" spans="1:8" ht="36" customHeight="1" x14ac:dyDescent="0.2">
      <c r="A30" s="26" t="s">
        <v>197</v>
      </c>
      <c r="B30" s="141" t="s">
        <v>217</v>
      </c>
      <c r="C30" s="142"/>
      <c r="D30" s="142"/>
      <c r="E30" s="142"/>
      <c r="F30" s="142"/>
      <c r="G30" s="142"/>
      <c r="H30" s="142"/>
    </row>
    <row r="32" spans="1:8" ht="21.75" customHeight="1" x14ac:dyDescent="0.2">
      <c r="A32" s="143" t="s">
        <v>218</v>
      </c>
      <c r="B32" s="142"/>
      <c r="C32" s="142"/>
      <c r="D32" s="142"/>
      <c r="E32" s="142"/>
      <c r="F32" s="142"/>
      <c r="G32" s="142"/>
      <c r="H32" s="142"/>
    </row>
    <row r="33" spans="1:8" ht="21" customHeight="1" x14ac:dyDescent="0.2">
      <c r="A33" s="25" t="s">
        <v>195</v>
      </c>
      <c r="B33" s="141" t="s">
        <v>219</v>
      </c>
      <c r="C33" s="142"/>
      <c r="D33" s="142"/>
      <c r="E33" s="142"/>
      <c r="F33" s="142"/>
      <c r="G33" s="142"/>
      <c r="H33" s="142"/>
    </row>
    <row r="34" spans="1:8" ht="51" customHeight="1" x14ac:dyDescent="0.2">
      <c r="A34" s="26" t="s">
        <v>197</v>
      </c>
      <c r="B34" s="141" t="s">
        <v>220</v>
      </c>
      <c r="C34" s="142"/>
      <c r="D34" s="142"/>
      <c r="E34" s="142"/>
      <c r="F34" s="142"/>
      <c r="G34" s="142"/>
      <c r="H34" s="142"/>
    </row>
    <row r="35" spans="1:8" ht="21" customHeight="1" x14ac:dyDescent="0.2">
      <c r="A35" s="25" t="s">
        <v>195</v>
      </c>
      <c r="B35" s="141" t="s">
        <v>221</v>
      </c>
      <c r="C35" s="142"/>
      <c r="D35" s="142"/>
      <c r="E35" s="142"/>
      <c r="F35" s="142"/>
      <c r="G35" s="142"/>
      <c r="H35" s="142"/>
    </row>
    <row r="36" spans="1:8" ht="36" customHeight="1" x14ac:dyDescent="0.2">
      <c r="A36" s="26" t="s">
        <v>197</v>
      </c>
      <c r="B36" s="141" t="s">
        <v>222</v>
      </c>
      <c r="C36" s="142"/>
      <c r="D36" s="142"/>
      <c r="E36" s="142"/>
      <c r="F36" s="142"/>
      <c r="G36" s="142"/>
      <c r="H36" s="142"/>
    </row>
    <row r="37" spans="1:8" ht="21" customHeight="1" x14ac:dyDescent="0.2">
      <c r="A37" s="25" t="s">
        <v>195</v>
      </c>
      <c r="B37" s="141" t="s">
        <v>223</v>
      </c>
      <c r="C37" s="142"/>
      <c r="D37" s="142"/>
      <c r="E37" s="142"/>
      <c r="F37" s="142"/>
      <c r="G37" s="142"/>
      <c r="H37" s="142"/>
    </row>
    <row r="38" spans="1:8" ht="51" customHeight="1" x14ac:dyDescent="0.2">
      <c r="A38" s="26" t="s">
        <v>197</v>
      </c>
      <c r="B38" s="141" t="s">
        <v>224</v>
      </c>
      <c r="C38" s="142"/>
      <c r="D38" s="142"/>
      <c r="E38" s="142"/>
      <c r="F38" s="142"/>
      <c r="G38" s="142"/>
      <c r="H38" s="142"/>
    </row>
    <row r="39" spans="1:8" ht="21" customHeight="1" x14ac:dyDescent="0.2">
      <c r="A39" s="25" t="s">
        <v>195</v>
      </c>
      <c r="B39" s="141" t="s">
        <v>225</v>
      </c>
      <c r="C39" s="142"/>
      <c r="D39" s="142"/>
      <c r="E39" s="142"/>
      <c r="F39" s="142"/>
      <c r="G39" s="142"/>
      <c r="H39" s="142"/>
    </row>
    <row r="41" spans="1:8" ht="21.75" customHeight="1" x14ac:dyDescent="0.2">
      <c r="A41" s="143" t="s">
        <v>226</v>
      </c>
      <c r="B41" s="142"/>
      <c r="C41" s="142"/>
      <c r="D41" s="142"/>
      <c r="E41" s="142"/>
      <c r="F41" s="142"/>
      <c r="G41" s="142"/>
      <c r="H41" s="142"/>
    </row>
    <row r="42" spans="1:8" ht="21" customHeight="1" x14ac:dyDescent="0.2">
      <c r="A42" s="25" t="s">
        <v>195</v>
      </c>
      <c r="B42" s="141" t="s">
        <v>227</v>
      </c>
      <c r="C42" s="142"/>
      <c r="D42" s="142"/>
      <c r="E42" s="142"/>
      <c r="F42" s="142"/>
      <c r="G42" s="142"/>
      <c r="H42" s="142"/>
    </row>
    <row r="43" spans="1:8" ht="51" customHeight="1" x14ac:dyDescent="0.2">
      <c r="A43" s="26" t="s">
        <v>197</v>
      </c>
      <c r="B43" s="141" t="s">
        <v>228</v>
      </c>
      <c r="C43" s="142"/>
      <c r="D43" s="142"/>
      <c r="E43" s="142"/>
      <c r="F43" s="142"/>
      <c r="G43" s="142"/>
      <c r="H43" s="142"/>
    </row>
    <row r="44" spans="1:8" ht="21" customHeight="1" x14ac:dyDescent="0.2">
      <c r="A44" s="25" t="s">
        <v>195</v>
      </c>
      <c r="B44" s="141" t="s">
        <v>229</v>
      </c>
      <c r="C44" s="142"/>
      <c r="D44" s="142"/>
      <c r="E44" s="142"/>
      <c r="F44" s="142"/>
      <c r="G44" s="142"/>
      <c r="H44" s="142"/>
    </row>
    <row r="45" spans="1:8" ht="36" customHeight="1" x14ac:dyDescent="0.2">
      <c r="A45" s="26" t="s">
        <v>197</v>
      </c>
      <c r="B45" s="141" t="s">
        <v>230</v>
      </c>
      <c r="C45" s="142"/>
      <c r="D45" s="142"/>
      <c r="E45" s="142"/>
      <c r="F45" s="142"/>
      <c r="G45" s="142"/>
      <c r="H45" s="142"/>
    </row>
    <row r="46" spans="1:8" ht="21" customHeight="1" x14ac:dyDescent="0.2">
      <c r="A46" s="25" t="s">
        <v>195</v>
      </c>
      <c r="B46" s="141" t="s">
        <v>231</v>
      </c>
      <c r="C46" s="142"/>
      <c r="D46" s="142"/>
      <c r="E46" s="142"/>
      <c r="F46" s="142"/>
      <c r="G46" s="142"/>
      <c r="H46" s="142"/>
    </row>
    <row r="47" spans="1:8" ht="21" customHeight="1" x14ac:dyDescent="0.2">
      <c r="A47" s="26" t="s">
        <v>197</v>
      </c>
      <c r="B47" s="141" t="s">
        <v>232</v>
      </c>
      <c r="C47" s="142"/>
      <c r="D47" s="142"/>
      <c r="E47" s="142"/>
      <c r="F47" s="142"/>
      <c r="G47" s="142"/>
      <c r="H47" s="142"/>
    </row>
    <row r="49" spans="1:8" ht="21.75" customHeight="1" x14ac:dyDescent="0.2">
      <c r="A49" s="143" t="s">
        <v>233</v>
      </c>
      <c r="B49" s="142"/>
      <c r="C49" s="142"/>
      <c r="D49" s="142"/>
      <c r="E49" s="142"/>
      <c r="F49" s="142"/>
      <c r="G49" s="142"/>
      <c r="H49" s="142"/>
    </row>
    <row r="50" spans="1:8" ht="36" customHeight="1" x14ac:dyDescent="0.2">
      <c r="A50" s="25" t="s">
        <v>195</v>
      </c>
      <c r="B50" s="141" t="s">
        <v>234</v>
      </c>
      <c r="C50" s="142"/>
      <c r="D50" s="142"/>
      <c r="E50" s="142"/>
      <c r="F50" s="142"/>
      <c r="G50" s="142"/>
      <c r="H50" s="142"/>
    </row>
    <row r="51" spans="1:8" ht="21" customHeight="1" x14ac:dyDescent="0.2">
      <c r="A51" s="26" t="s">
        <v>197</v>
      </c>
      <c r="B51" s="141" t="s">
        <v>235</v>
      </c>
      <c r="C51" s="142"/>
      <c r="D51" s="142"/>
      <c r="E51" s="142"/>
      <c r="F51" s="142"/>
      <c r="G51" s="142"/>
      <c r="H51" s="142"/>
    </row>
    <row r="52" spans="1:8" ht="21" customHeight="1" x14ac:dyDescent="0.2">
      <c r="A52" s="25" t="s">
        <v>195</v>
      </c>
      <c r="B52" s="141" t="s">
        <v>236</v>
      </c>
      <c r="C52" s="142"/>
      <c r="D52" s="142"/>
      <c r="E52" s="142"/>
      <c r="F52" s="142"/>
      <c r="G52" s="142"/>
      <c r="H52" s="142"/>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237</v>
      </c>
      <c r="B1" s="142"/>
      <c r="C1" s="142"/>
      <c r="D1" s="142"/>
      <c r="E1" s="142"/>
      <c r="G1" s="27"/>
      <c r="H1" s="27"/>
      <c r="I1" s="27"/>
    </row>
    <row r="2" spans="1:9" ht="28.5" customHeight="1" x14ac:dyDescent="0.2">
      <c r="A2" s="148" t="s">
        <v>238</v>
      </c>
      <c r="B2" s="142"/>
      <c r="C2" s="142"/>
      <c r="D2" s="142"/>
      <c r="E2" s="142"/>
      <c r="G2" s="27"/>
      <c r="H2" s="27"/>
      <c r="I2" s="27"/>
    </row>
    <row r="3" spans="1:9" ht="3" customHeight="1" x14ac:dyDescent="0.2">
      <c r="G3" s="27"/>
      <c r="H3" s="27"/>
      <c r="I3" s="27"/>
    </row>
    <row r="4" spans="1:9" ht="15" customHeight="1" x14ac:dyDescent="0.2">
      <c r="A4" s="147" t="s">
        <v>239</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1297   |   68 wins, 68 losses   |   highest-rated eligible player</v>
      </c>
      <c r="B6" s="142"/>
      <c r="C6" s="142"/>
      <c r="D6" s="142"/>
      <c r="E6" s="142"/>
      <c r="G6" s="27"/>
      <c r="H6" s="27"/>
      <c r="I6" s="27"/>
    </row>
    <row r="7" spans="1:9" ht="15" customHeight="1" x14ac:dyDescent="0.2">
      <c r="G7" s="27"/>
      <c r="H7" s="27"/>
      <c r="I7" s="27"/>
    </row>
    <row r="8" spans="1:9" ht="15" customHeight="1" x14ac:dyDescent="0.2">
      <c r="A8" s="151" t="s">
        <v>240</v>
      </c>
      <c r="B8" s="142"/>
      <c r="C8" s="142"/>
      <c r="D8" s="142"/>
      <c r="E8" s="142"/>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1067</v>
      </c>
      <c r="D10" s="31" t="str">
        <f>IF(OR($B10="—",$B10=""),"—",COUNTIFS('Match Log'!$D$4:$D$810,$B10,'Match Log'!$C$4:$C$810,$A10,'Match Log'!$E$4:$E$810,"Win")&amp;"–"&amp;(COUNTIFS('Match Log'!$D$4:$D$810,$B10,'Match Log'!$C$4:$C$810,$A10)-COUNTIFS('Match Log'!$D$4:$D$810,$B10,'Match Log'!$C$4:$C$810,$A10,'Match Log'!$E$4:$E$810,"Win")))</f>
        <v>5–0</v>
      </c>
      <c r="E10" s="31">
        <f>IFERROR('Sport Records'!$P$8,0)</f>
        <v>6</v>
      </c>
      <c r="G10" s="32" t="s">
        <v>244</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245</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246</v>
      </c>
      <c r="H13" s="34" t="s">
        <v>247</v>
      </c>
      <c r="I13" s="34" t="s">
        <v>248</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20</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254</v>
      </c>
      <c r="H18" s="41" t="s">
        <v>255</v>
      </c>
      <c r="I18" s="37"/>
    </row>
    <row r="19" spans="1:9" ht="15" customHeight="1" x14ac:dyDescent="0.2">
      <c r="A19" s="29" t="str">
        <f>IF(Lists!$C$11="","",Lists!$C$11)</f>
        <v>Back Yard Putt Putt</v>
      </c>
      <c r="B19" s="30" t="str">
        <f>IFERROR('Sport Records'!$P$115,"—")</f>
        <v>—</v>
      </c>
      <c r="C19" s="31" t="str">
        <f>IF(OR($B19="—",$B19=""),"",ROUND(MAX('Sport Records'!$B$115:$O$115),0))</f>
        <v/>
      </c>
      <c r="D19" s="31" t="str">
        <f>IF(OR($B19="—",$B19=""),"—",COUNTIFS('Match Log'!$D$4:$D$810,$B19,'Match Log'!$C$4:$C$810,$A19,'Match Log'!$E$4:$E$810,"Win")&amp;"–"&amp;(COUNTIFS('Match Log'!$D$4:$D$810,$B19,'Match Log'!$C$4:$C$810,$A19)-COUNTIFS('Match Log'!$D$4:$D$810,$B19,'Match Log'!$C$4:$C$810,$A19,'Match Log'!$E$4:$E$810,"Win")))</f>
        <v>—</v>
      </c>
      <c r="E19" s="31">
        <f>IFERROR('Sport Records'!$P$17,0)</f>
        <v>0</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K5" activePane="bottomRight" state="frozen"/>
      <selection pane="topRight" activeCell="D1" sqref="D1"/>
      <selection pane="bottomLeft" activeCell="A5" sqref="A5"/>
      <selection pane="bottomRight" activeCell="R9" sqref="R9"/>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277  ·  30 Aug 2026</v>
      </c>
      <c r="T2" s="49" t="str">
        <f ca="1">IF(COUNTIF($T$5:$T$18,"At risk")+COUNTIF($T$5:$T$18,"Inactive")=0,"Inactivity watch:  all players active ✓","⚠ Inactivity watch:  "&amp;(COUNTIF($T$5:$T$18,"At risk")+COUNTIF($T$5:$T$18,"Inactive"))&amp;" player(s) need a game — see Activity column")</f>
        <v>⚠ Inactivity watch:  4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Shawn</v>
      </c>
      <c r="C5" s="54">
        <f ca="1">IFERROR(INDEX(Calcs!$S$7:$S$20,MATCH($B5,Calcs!$A$7:$A$20,0)),"")</f>
        <v>1296.9435678239984</v>
      </c>
      <c r="D5" s="55">
        <f ca="1">COUNTIF('Match Log'!$D$4:$D$810,$B5)</f>
        <v>136</v>
      </c>
      <c r="E5" s="55">
        <f ca="1">COUNTIFS('Match Log'!$D$4:$D$810,$B5,'Match Log'!$E$4:$E$810,"Win")</f>
        <v>68</v>
      </c>
      <c r="F5" s="55">
        <f t="shared" ref="F5:F18" ca="1" si="1">$D5-$E5</f>
        <v>68</v>
      </c>
      <c r="G5" s="56">
        <f t="shared" ref="G5:G18" ca="1" si="2">IF($D5=0,"",$E5/$D5)</f>
        <v>0.5</v>
      </c>
      <c r="H5" s="57">
        <f ca="1">SUMIF('Match Log'!$D$4:$D$810,$B5,'Match Log'!$J$4:$J$810)</f>
        <v>100.64050961131022</v>
      </c>
      <c r="I5" s="57">
        <f ca="1">SUMIF('Match Log'!$D$4:$D$810,$B5,'Match Log'!$K$4:$K$810)</f>
        <v>53.053058212688256</v>
      </c>
      <c r="J5" s="57">
        <f ca="1">SUMIF('Match Log'!$D$4:$D$810,$B5,'Match Log'!$L$4:$L$810)</f>
        <v>147</v>
      </c>
      <c r="K5" s="55">
        <f ca="1">SUMPRODUCT(--(COUNTIFS('Match Log'!$D$4:$D$810,$B5,'Match Log'!$C$4:$C$810,Lists!$C$2:$C$26)&gt;0))</f>
        <v>18</v>
      </c>
      <c r="L5" s="55" t="str">
        <f ca="1">IF($D5=0,"No games",IF(AND($D5&gt;='Guide &amp; Settings'!$C$45,$K5&gt;='Guide &amp; Settings'!$C$46),"Eligible","Provisional"))</f>
        <v>Eligible</v>
      </c>
      <c r="M5" s="54">
        <f ca="1">IFERROR(INDEX(Calcs!$C$7:$C$20,MATCH($B5,Calcs!$A$7:$A$20,0)),"")</f>
        <v>1102.1219534639042</v>
      </c>
      <c r="N5" s="54">
        <f t="shared" ref="N5:N18" ca="1" si="3">MAX($C$5:$C$18)-$C5</f>
        <v>0</v>
      </c>
      <c r="O5" s="55" t="str">
        <f ca="1">IFERROR(INDEX(Calcs!$H$7:$H$20,MATCH($B5,Calcs!$A$7:$A$20,0)),"")</f>
        <v>W2</v>
      </c>
      <c r="P5" s="55" t="str">
        <f ca="1">IFERROR(INDEX(Calcs!$I$7:$I$20,MATCH($B5,Calcs!$A$7:$A$20,0)),"")</f>
        <v>WWLWW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30 Aug</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1297</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Aaron</v>
      </c>
      <c r="C6" s="54">
        <f ca="1">IFERROR(INDEX(Calcs!$S$7:$S$20,MATCH($B6,Calcs!$A$7:$A$20,0)),"")</f>
        <v>1254.4221853966828</v>
      </c>
      <c r="D6" s="55">
        <f ca="1">COUNTIF('Match Log'!$D$4:$D$810,$B6)</f>
        <v>84</v>
      </c>
      <c r="E6" s="55">
        <f ca="1">COUNTIFS('Match Log'!$D$4:$D$810,$B6,'Match Log'!$E$4:$E$810,"Win")</f>
        <v>42</v>
      </c>
      <c r="F6" s="55">
        <f t="shared" ca="1" si="1"/>
        <v>42</v>
      </c>
      <c r="G6" s="56">
        <f t="shared" ca="1" si="2"/>
        <v>0.5</v>
      </c>
      <c r="H6" s="57">
        <f ca="1">SUMIF('Match Log'!$D$4:$D$810,$B6,'Match Log'!$J$4:$J$810)</f>
        <v>92.776527810197052</v>
      </c>
      <c r="I6" s="57">
        <f ca="1">SUMIF('Match Log'!$D$4:$D$810,$B6,'Match Log'!$K$4:$K$810)</f>
        <v>80.745657586485379</v>
      </c>
      <c r="J6" s="57">
        <f ca="1">SUMIF('Match Log'!$D$4:$D$810,$B6,'Match Log'!$L$4:$L$810)</f>
        <v>92</v>
      </c>
      <c r="K6" s="55">
        <f ca="1">SUMPRODUCT(--(COUNTIFS('Match Log'!$D$4:$D$810,$B6,'Match Log'!$C$4:$C$810,Lists!$C$2:$C$26)&gt;0))</f>
        <v>14</v>
      </c>
      <c r="L6" s="55" t="str">
        <f ca="1">IF($D6=0,"No games",IF(AND($D6&gt;='Guide &amp; Settings'!$C$45,$K6&gt;='Guide &amp; Settings'!$C$46),"Eligible","Provisional"))</f>
        <v>Eligible</v>
      </c>
      <c r="M6" s="54">
        <f ca="1">IFERROR(INDEX(Calcs!$C$7:$C$20,MATCH($B6,Calcs!$A$7:$A$20,0)),"")</f>
        <v>1143.6044055133605</v>
      </c>
      <c r="N6" s="54">
        <f t="shared" ca="1" si="3"/>
        <v>42.52138242731553</v>
      </c>
      <c r="O6" s="55" t="str">
        <f ca="1">IFERROR(INDEX(Calcs!$H$7:$H$20,MATCH($B6,Calcs!$A$7:$A$20,0)),"")</f>
        <v>W2</v>
      </c>
      <c r="P6" s="55" t="str">
        <f ca="1">IFERROR(INDEX(Calcs!$I$7:$I$20,MATCH($B6,Calcs!$A$7:$A$20,0)),"")</f>
        <v>WWLWW</v>
      </c>
      <c r="Q6" s="55" t="str">
        <f ca="1">IFERROR(IF(INDEX(Calcs!$L$7:$L$20,MATCH($B6,Calcs!$A$7:$A$20,0))&gt;0,"▲"&amp;INDEX(Calcs!$L$7:$L$20,MATCH($B6,Calcs!$A$7:$A$20,0)),IF(INDEX(Calcs!$L$7:$L$20,MATCH($B6,Calcs!$A$7:$A$20,0))&lt;0,"▼"&amp;ABS(INDEX(Calcs!$L$7:$L$20,MATCH($B6,Calcs!$A$7:$A$20,0))),"–")),"")</f>
        <v>–</v>
      </c>
      <c r="R6" s="55" t="str">
        <f ca="1">IFERROR(IF(INDEX(Calcs!$P$7:$P$20,MATCH($B6,Calcs!$A$7:$A$20,0))=0,"—",TEXT(INDEX(Calcs!$P$7:$P$20,MATCH($B6,Calcs!$A$7:$A$20,0)),"d mmm")),"")</f>
        <v>22 Aug</v>
      </c>
      <c r="S6" s="55">
        <f ca="1">IFERROR(ROUND(INDEX(Calcs!$Q$7:$Q$20,MATCH($B6,Calcs!$A$7:$A$20,0)),1),"")</f>
        <v>1.1000000000000001</v>
      </c>
      <c r="T6" s="55" t="str">
        <f ca="1">IFERROR(INDEX(Calcs!$T$7:$T$20,MATCH($B6,Calcs!$A$7:$A$20,0)),"")</f>
        <v>Active</v>
      </c>
      <c r="U6">
        <f ca="1">IFERROR(ROUND(INDEX(Calcs!$R$7:$R$20,MATCH($B6,Calcs!$A$7:$A$20,0))+INDEX(Calcs!$U$7:$U$20,MATCH($B6,Calcs!$A$7:$A$20,0)),0),0)</f>
        <v>0</v>
      </c>
      <c r="V6" s="57">
        <f ca="1">IFERROR(ROUND(INDEX(Calcs!$S$7:$S$20,MATCH($B6,Calcs!$A$7:$A$20,0)),0),"")</f>
        <v>1254</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1078.0648163906919</v>
      </c>
      <c r="N7" s="54">
        <f t="shared" ca="1" si="3"/>
        <v>68.014756676740944</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1.1000000000000001</v>
      </c>
      <c r="T7" s="55" t="str">
        <f ca="1">IFERROR(INDEX(Calcs!$T$7:$T$20,MATCH($B7,Calcs!$A$7:$A$20,0)),"")</f>
        <v>Active</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1177.6612046633588</v>
      </c>
      <c r="D8" s="55">
        <f ca="1">COUNTIF('Match Log'!$D$4:$D$810,$B8)</f>
        <v>60</v>
      </c>
      <c r="E8" s="55">
        <f ca="1">COUNTIFS('Match Log'!$D$4:$D$810,$B8,'Match Log'!$E$4:$E$810,"Win")</f>
        <v>35</v>
      </c>
      <c r="F8" s="55">
        <f t="shared" ca="1" si="1"/>
        <v>25</v>
      </c>
      <c r="G8" s="56">
        <f t="shared" ca="1" si="2"/>
        <v>0.58333333333333337</v>
      </c>
      <c r="H8" s="57">
        <f ca="1">SUMIF('Match Log'!$D$4:$D$810,$B8,'Match Log'!$J$4:$J$810)</f>
        <v>63.994170612571914</v>
      </c>
      <c r="I8" s="57">
        <f ca="1">SUMIF('Match Log'!$D$4:$D$810,$B8,'Match Log'!$K$4:$K$810)</f>
        <v>41.917034050786619</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1103.9112051202276</v>
      </c>
      <c r="N8" s="54">
        <f t="shared" ca="1" si="3"/>
        <v>119.28236316063953</v>
      </c>
      <c r="O8" s="55" t="str">
        <f ca="1">IFERROR(INDEX(Calcs!$H$7:$H$20,MATCH($B8,Calcs!$A$7:$A$20,0)),"")</f>
        <v>W1</v>
      </c>
      <c r="P8" s="55" t="str">
        <f ca="1">IFERROR(INDEX(Calcs!$I$7:$I$20,MATCH($B8,Calcs!$A$7:$A$20,0)),"")</f>
        <v>WLWLW</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19 Aug</v>
      </c>
      <c r="S8" s="55">
        <f ca="1">IFERROR(ROUND(INDEX(Calcs!$Q$7:$Q$20,MATCH($B8,Calcs!$A$7:$A$20,0)),1),"")</f>
        <v>1.6</v>
      </c>
      <c r="T8" s="55" t="str">
        <f ca="1">IFERROR(INDEX(Calcs!$T$7:$T$20,MATCH($B8,Calcs!$A$7:$A$20,0)),"")</f>
        <v>Active</v>
      </c>
      <c r="U8">
        <f ca="1">IFERROR(ROUND(INDEX(Calcs!$R$7:$R$20,MATCH($B8,Calcs!$A$7:$A$20,0))+INDEX(Calcs!$U$7:$U$20,MATCH($B8,Calcs!$A$7:$A$20,0)),0),0)</f>
        <v>0</v>
      </c>
      <c r="V8" s="57">
        <f ca="1">IFERROR(ROUND(INDEX(Calcs!$S$7:$S$20,MATCH($B8,Calcs!$A$7:$A$20,0)),0),"")</f>
        <v>1178</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Dean M</v>
      </c>
      <c r="C9" s="54">
        <f ca="1">IFERROR(INDEX(Calcs!$S$7:$S$20,MATCH($B9,Calcs!$A$7:$A$20,0)),"")</f>
        <v>1087.5488947064855</v>
      </c>
      <c r="D9" s="55">
        <f ca="1">COUNTIF('Match Log'!$D$4:$D$810,$B9)</f>
        <v>15</v>
      </c>
      <c r="E9" s="55">
        <f ca="1">COUNTIFS('Match Log'!$D$4:$D$810,$B9,'Match Log'!$E$4:$E$810,"Win")</f>
        <v>7</v>
      </c>
      <c r="F9" s="55">
        <f t="shared" ca="1" si="1"/>
        <v>8</v>
      </c>
      <c r="G9" s="56">
        <f t="shared" ca="1" si="2"/>
        <v>0.46666666666666667</v>
      </c>
      <c r="H9" s="57">
        <f ca="1">SUMIF('Match Log'!$D$4:$D$810,$B9,'Match Log'!$J$4:$J$810)</f>
        <v>28.076161354904098</v>
      </c>
      <c r="I9" s="57">
        <f ca="1">SUMIF('Match Log'!$D$4:$D$810,$B9,'Match Log'!$K$4:$K$810)</f>
        <v>24.47273335158134</v>
      </c>
      <c r="J9" s="57">
        <f ca="1">SUMIF('Match Log'!$D$4:$D$810,$B9,'Match Log'!$L$4:$L$810)</f>
        <v>35</v>
      </c>
      <c r="K9" s="55">
        <f ca="1">SUMPRODUCT(--(COUNTIFS('Match Log'!$D$4:$D$810,$B9,'Match Log'!$C$4:$C$810,Lists!$C$2:$C$26)&gt;0))</f>
        <v>4</v>
      </c>
      <c r="L9" s="55" t="str">
        <f ca="1">IF($D9=0,"No games",IF(AND($D9&gt;='Guide &amp; Settings'!$C$45,$K9&gt;='Guide &amp; Settings'!$C$46),"Eligible","Provisional"))</f>
        <v>Eligible</v>
      </c>
      <c r="M9" s="54">
        <f ca="1">IFERROR(INDEX(Calcs!$C$7:$C$20,MATCH($B9,Calcs!$A$7:$A$20,0)),"")</f>
        <v>1032.9922227143129</v>
      </c>
      <c r="N9" s="54">
        <f t="shared" ca="1" si="3"/>
        <v>209.39467311751287</v>
      </c>
      <c r="O9" s="55" t="str">
        <f ca="1">IFERROR(INDEX(Calcs!$H$7:$H$20,MATCH($B9,Calcs!$A$7:$A$20,0)),"")</f>
        <v>W1</v>
      </c>
      <c r="P9" s="55" t="str">
        <f ca="1">IFERROR(INDEX(Calcs!$I$7:$I$20,MATCH($B9,Calcs!$A$7:$A$20,0)),"")</f>
        <v>LWWLW</v>
      </c>
      <c r="Q9" s="55" t="str">
        <f ca="1">IFERROR(IF(INDEX(Calcs!$L$7:$L$20,MATCH($B9,Calcs!$A$7:$A$20,0))&gt;0,"▲"&amp;INDEX(Calcs!$L$7:$L$20,MATCH($B9,Calcs!$A$7:$A$20,0)),IF(INDEX(Calcs!$L$7:$L$20,MATCH($B9,Calcs!$A$7:$A$20,0))&lt;0,"▼"&amp;ABS(INDEX(Calcs!$L$7:$L$20,MATCH($B9,Calcs!$A$7:$A$20,0))),"–")),"")</f>
        <v>–</v>
      </c>
      <c r="R9" s="55" t="str">
        <f ca="1">IFERROR(IF(INDEX(Calcs!$P$7:$P$20,MATCH($B9,Calcs!$A$7:$A$20,0))=0,"—",TEXT(INDEX(Calcs!$P$7:$P$20,MATCH($B9,Calcs!$A$7:$A$20,0)),"d mmm")),"")</f>
        <v>15 Aug</v>
      </c>
      <c r="S9" s="55">
        <f ca="1">IFERROR(ROUND(INDEX(Calcs!$Q$7:$Q$20,MATCH($B9,Calcs!$A$7:$A$20,0)),1),"")</f>
        <v>2.1</v>
      </c>
      <c r="T9" s="55" t="str">
        <f ca="1">IFERROR(INDEX(Calcs!$T$7:$T$20,MATCH($B9,Calcs!$A$7:$A$20,0)),"")</f>
        <v>At risk</v>
      </c>
      <c r="U9">
        <f ca="1">IFERROR(ROUND(INDEX(Calcs!$R$7:$R$20,MATCH($B9,Calcs!$A$7:$A$20,0))+INDEX(Calcs!$U$7:$U$20,MATCH($B9,Calcs!$A$7:$A$20,0)),0),0)</f>
        <v>0</v>
      </c>
      <c r="V9" s="57">
        <f ca="1">IFERROR(ROUND(INDEX(Calcs!$S$7:$S$20,MATCH($B9,Calcs!$A$7:$A$20,0)),0),"")</f>
        <v>1088</v>
      </c>
      <c r="W9" s="55" t="str">
        <f ca="1">IFERROR(INDEX(Calcs!$AF$7:$AF$20,MATCH($B9,Calcs!$A$7:$A$20,0)),"")</f>
        <v>Strong</v>
      </c>
      <c r="X9" s="57">
        <f ca="1">IFERROR(ROUND(SUMIF('Poker Stake Ledger'!$C$18:$C$137,$B9,'Poker Stake Ledger'!$K$18:$K$137),1),0)</f>
        <v>0</v>
      </c>
    </row>
    <row r="10" spans="1:24" ht="15" customHeight="1" x14ac:dyDescent="0.2">
      <c r="A10" s="52">
        <f t="shared" si="0"/>
        <v>6</v>
      </c>
      <c r="B10" s="53" t="str">
        <f ca="1">IFERROR(INDEX(Calcs!$A$7:$A$20,MATCH(LARGE(Calcs!$AI$7:$AI$20,ROW()-4),Calcs!$AI$7:$AI$20,0)),"")</f>
        <v>Simon</v>
      </c>
      <c r="C10" s="54">
        <f ca="1">IFERROR(INDEX(Calcs!$S$7:$S$20,MATCH($B10,Calcs!$A$7:$A$20,0)),"")</f>
        <v>1084.7973286809788</v>
      </c>
      <c r="D10" s="55">
        <f ca="1">COUNTIF('Match Log'!$D$4:$D$810,$B10)</f>
        <v>34</v>
      </c>
      <c r="E10" s="55">
        <f ca="1">COUNTIFS('Match Log'!$D$4:$D$810,$B10,'Match Log'!$E$4:$E$810,"Win")</f>
        <v>16</v>
      </c>
      <c r="F10" s="55">
        <f t="shared" ca="1" si="1"/>
        <v>18</v>
      </c>
      <c r="G10" s="56">
        <f t="shared" ca="1" si="2"/>
        <v>0.47058823529411764</v>
      </c>
      <c r="H10" s="57">
        <f ca="1">SUMIF('Match Log'!$D$4:$D$810,$B10,'Match Log'!$J$4:$J$810)</f>
        <v>-6.8431242057148074</v>
      </c>
      <c r="I10" s="57">
        <f ca="1">SUMIF('Match Log'!$D$4:$D$810,$B10,'Match Log'!$K$4:$K$810)</f>
        <v>29.190452886693691</v>
      </c>
      <c r="J10" s="57">
        <f ca="1">SUMIF('Match Log'!$D$4:$D$810,$B10,'Match Log'!$L$4:$L$810)</f>
        <v>68</v>
      </c>
      <c r="K10" s="55">
        <f ca="1">SUMPRODUCT(--(COUNTIFS('Match Log'!$D$4:$D$810,$B10,'Match Log'!$C$4:$C$810,Lists!$C$2:$C$26)&gt;0))</f>
        <v>11</v>
      </c>
      <c r="L10" s="55" t="str">
        <f ca="1">IF($D10=0,"No games",IF(AND($D10&gt;='Guide &amp; Settings'!$C$45,$K10&gt;='Guide &amp; Settings'!$C$46),"Eligible","Provisional"))</f>
        <v>Eligible</v>
      </c>
      <c r="M10" s="54">
        <f ca="1">IFERROR(INDEX(Calcs!$C$7:$C$20,MATCH($B10,Calcs!$A$7:$A$20,0)),"")</f>
        <v>1097.9827897208252</v>
      </c>
      <c r="N10" s="54">
        <f t="shared" ca="1" si="3"/>
        <v>212.14623914301956</v>
      </c>
      <c r="O10" s="55" t="str">
        <f ca="1">IFERROR(INDEX(Calcs!$H$7:$H$20,MATCH($B10,Calcs!$A$7:$A$20,0)),"")</f>
        <v>L1</v>
      </c>
      <c r="P10" s="55" t="str">
        <f ca="1">IFERROR(INDEX(Calcs!$I$7:$I$20,MATCH($B10,Calcs!$A$7:$A$20,0)),"")</f>
        <v>WWLWL</v>
      </c>
      <c r="Q10" s="55" t="str">
        <f ca="1">IFERROR(IF(INDEX(Calcs!$L$7:$L$20,MATCH($B10,Calcs!$A$7:$A$20,0))&gt;0,"▲"&amp;INDEX(Calcs!$L$7:$L$20,MATCH($B10,Calcs!$A$7:$A$20,0)),IF(INDEX(Calcs!$L$7:$L$20,MATCH($B10,Calcs!$A$7:$A$20,0))&lt;0,"▼"&amp;ABS(INDEX(Calcs!$L$7:$L$20,MATCH($B10,Calcs!$A$7:$A$20,0))),"–")),"")</f>
        <v>▼1</v>
      </c>
      <c r="R10" s="55" t="str">
        <f ca="1">IFERROR(IF(INDEX(Calcs!$P$7:$P$20,MATCH($B10,Calcs!$A$7:$A$20,0))=0,"—",TEXT(INDEX(Calcs!$P$7:$P$20,MATCH($B10,Calcs!$A$7:$A$20,0)),"d mmm")),"")</f>
        <v>26 Aug</v>
      </c>
      <c r="S10" s="55">
        <f ca="1">IFERROR(ROUND(INDEX(Calcs!$Q$7:$Q$20,MATCH($B10,Calcs!$A$7:$A$20,0)),1),"")</f>
        <v>0.6</v>
      </c>
      <c r="T10" s="55" t="str">
        <f ca="1">IFERROR(INDEX(Calcs!$T$7:$T$20,MATCH($B10,Calcs!$A$7:$A$20,0)),"")</f>
        <v>Active</v>
      </c>
      <c r="U10">
        <f ca="1">IFERROR(ROUND(INDEX(Calcs!$R$7:$R$20,MATCH($B10,Calcs!$A$7:$A$20,0))+INDEX(Calcs!$U$7:$U$20,MATCH($B10,Calcs!$A$7:$A$20,0)),0),0)</f>
        <v>0</v>
      </c>
      <c r="V10" s="57">
        <f ca="1">IFERROR(ROUND(INDEX(Calcs!$S$7:$S$20,MATCH($B10,Calcs!$A$7:$A$20,0)),0),"")</f>
        <v>1085</v>
      </c>
      <c r="W10" s="55" t="str">
        <f ca="1">IFERROR(INDEX(Calcs!$AF$7:$AF$20,MATCH($B10,Calcs!$A$7:$A$20,0)),"")</f>
        <v>Strong</v>
      </c>
      <c r="X10" s="57">
        <f ca="1">IFERROR(ROUND(SUMIF('Poker Stake Ledger'!$C$18:$C$137,$B10,'Poker Stake Ledger'!$K$18:$K$137),1),0)</f>
        <v>-5.6</v>
      </c>
    </row>
    <row r="11" spans="1:24" ht="15" customHeight="1" x14ac:dyDescent="0.2">
      <c r="A11" s="52">
        <f t="shared" si="0"/>
        <v>7</v>
      </c>
      <c r="B11" s="53" t="str">
        <f ca="1">IFERROR(INDEX(Calcs!$A$7:$A$20,MATCH(LARGE(Calcs!$AI$7:$AI$20,ROW()-4),Calcs!$AI$7:$AI$20,0)),"")</f>
        <v>Chase</v>
      </c>
      <c r="C11" s="54">
        <f ca="1">IFERROR(INDEX(Calcs!$S$7:$S$20,MATCH($B11,Calcs!$A$7:$A$20,0)),"")</f>
        <v>1078.8851304702137</v>
      </c>
      <c r="D11" s="55">
        <f ca="1">COUNTIF('Match Log'!$D$4:$D$810,$B11)</f>
        <v>19</v>
      </c>
      <c r="E11" s="55">
        <f ca="1">COUNTIFS('Match Log'!$D$4:$D$810,$B11,'Match Log'!$E$4:$E$810,"Win")</f>
        <v>9</v>
      </c>
      <c r="F11" s="55">
        <f t="shared" ca="1" si="1"/>
        <v>10</v>
      </c>
      <c r="G11" s="56">
        <f t="shared" ca="1" si="2"/>
        <v>0.47368421052631576</v>
      </c>
      <c r="H11" s="57">
        <f ca="1">SUMIF('Match Log'!$D$4:$D$810,$B11,'Match Log'!$J$4:$J$810)</f>
        <v>50.67196343048122</v>
      </c>
      <c r="I11" s="57">
        <f ca="1">SUMIF('Match Log'!$D$4:$D$810,$B11,'Match Log'!$K$4:$K$810)</f>
        <v>8.213167039732447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1114.8645500908747</v>
      </c>
      <c r="N11" s="54">
        <f t="shared" ca="1" si="3"/>
        <v>218.05843735378471</v>
      </c>
      <c r="O11" s="55" t="str">
        <f ca="1">IFERROR(INDEX(Calcs!$H$7:$H$20,MATCH($B11,Calcs!$A$7:$A$20,0)),"")</f>
        <v>W2</v>
      </c>
      <c r="P11" s="55" t="str">
        <f ca="1">IFERROR(INDEX(Calcs!$I$7:$I$20,MATCH($B11,Calcs!$A$7:$A$20,0)),"")</f>
        <v>LLLWW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22 Aug</v>
      </c>
      <c r="S11" s="55">
        <f ca="1">IFERROR(ROUND(INDEX(Calcs!$Q$7:$Q$20,MATCH($B11,Calcs!$A$7:$A$20,0)),1),"")</f>
        <v>1.1000000000000001</v>
      </c>
      <c r="T11" s="55" t="str">
        <f ca="1">IFERROR(INDEX(Calcs!$T$7:$T$20,MATCH($B11,Calcs!$A$7:$A$20,0)),"")</f>
        <v>Active</v>
      </c>
      <c r="U11">
        <f ca="1">IFERROR(ROUND(INDEX(Calcs!$R$7:$R$20,MATCH($B11,Calcs!$A$7:$A$20,0))+INDEX(Calcs!$U$7:$U$20,MATCH($B11,Calcs!$A$7:$A$20,0)),0),0)</f>
        <v>20</v>
      </c>
      <c r="V11" s="57">
        <f ca="1">IFERROR(ROUND(INDEX(Calcs!$S$7:$S$20,MATCH($B11,Calcs!$A$7:$A$20,0)),0),"")</f>
        <v>1079</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Dylan A</v>
      </c>
      <c r="C12" s="54">
        <f ca="1">IFERROR(INDEX(Calcs!$S$7:$S$20,MATCH($B12,Calcs!$A$7:$A$20,0)),"")</f>
        <v>1023.2192605207141</v>
      </c>
      <c r="D12" s="55">
        <f ca="1">COUNTIF('Match Log'!$D$4:$D$810,$B12)</f>
        <v>15</v>
      </c>
      <c r="E12" s="55">
        <f ca="1">COUNTIFS('Match Log'!$D$4:$D$810,$B12,'Match Log'!$E$4:$E$810,"Win")</f>
        <v>6</v>
      </c>
      <c r="F12" s="55">
        <f t="shared" ca="1" si="1"/>
        <v>9</v>
      </c>
      <c r="G12" s="56">
        <f t="shared" ca="1" si="2"/>
        <v>0.4</v>
      </c>
      <c r="H12" s="57">
        <f ca="1">SUMIF('Match Log'!$D$4:$D$810,$B12,'Match Log'!$J$4:$J$810)</f>
        <v>-11.626983026245711</v>
      </c>
      <c r="I12" s="57">
        <f ca="1">SUMIF('Match Log'!$D$4:$D$810,$B12,'Match Log'!$K$4:$K$810)</f>
        <v>3.8462435469599932</v>
      </c>
      <c r="J12" s="57">
        <f ca="1">SUMIF('Match Log'!$D$4:$D$810,$B12,'Match Log'!$L$4:$L$810)</f>
        <v>31</v>
      </c>
      <c r="K12" s="55">
        <f ca="1">SUMPRODUCT(--(COUNTIFS('Match Log'!$D$4:$D$810,$B12,'Match Log'!$C$4:$C$810,Lists!$C$2:$C$26)&gt;0))</f>
        <v>4</v>
      </c>
      <c r="L12" s="55" t="str">
        <f ca="1">IF($D12=0,"No games",IF(AND($D12&gt;='Guide &amp; Settings'!$C$45,$K12&gt;='Guide &amp; Settings'!$C$46),"Eligible","Provisional"))</f>
        <v>Eligible</v>
      </c>
      <c r="M12" s="54">
        <f ca="1">IFERROR(INDEX(Calcs!$C$7:$C$20,MATCH($B12,Calcs!$A$7:$A$20,0)),"")</f>
        <v>1060.2666246758506</v>
      </c>
      <c r="N12" s="54">
        <f t="shared" ca="1" si="3"/>
        <v>273.72430730328426</v>
      </c>
      <c r="O12" s="55" t="str">
        <f ca="1">IFERROR(INDEX(Calcs!$H$7:$H$20,MATCH($B12,Calcs!$A$7:$A$20,0)),"")</f>
        <v>L6</v>
      </c>
      <c r="P12" s="55" t="str">
        <f ca="1">IFERROR(INDEX(Calcs!$I$7:$I$20,MATCH($B12,Calcs!$A$7:$A$20,0)),"")</f>
        <v>LLLLL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2.1</v>
      </c>
      <c r="T12" s="55" t="str">
        <f ca="1">IFERROR(INDEX(Calcs!$T$7:$T$20,MATCH($B12,Calcs!$A$7:$A$20,0)),"")</f>
        <v>At risk</v>
      </c>
      <c r="U12">
        <f ca="1">IFERROR(ROUND(INDEX(Calcs!$R$7:$R$20,MATCH($B12,Calcs!$A$7:$A$20,0))+INDEX(Calcs!$U$7:$U$20,MATCH($B12,Calcs!$A$7:$A$20,0)),0),0)</f>
        <v>0</v>
      </c>
      <c r="V12" s="57">
        <f ca="1">IFERROR(ROUND(INDEX(Calcs!$S$7:$S$20,MATCH($B12,Calcs!$A$7:$A$20,0)),0),"")</f>
        <v>1023</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Daniel (Ferret)</v>
      </c>
      <c r="C13" s="54">
        <f ca="1">IFERROR(INDEX(Calcs!$S$7:$S$20,MATCH($B13,Calcs!$A$7:$A$20,0)),"")</f>
        <v>1006.38207758807</v>
      </c>
      <c r="D13" s="55">
        <f ca="1">COUNTIF('Match Log'!$D$4:$D$810,$B13)</f>
        <v>127</v>
      </c>
      <c r="E13" s="55">
        <f ca="1">COUNTIFS('Match Log'!$D$4:$D$810,$B13,'Match Log'!$E$4:$E$810,"Win")</f>
        <v>48</v>
      </c>
      <c r="F13" s="55">
        <f t="shared" ca="1" si="1"/>
        <v>79</v>
      </c>
      <c r="G13" s="56">
        <f t="shared" ca="1" si="2"/>
        <v>0.37795275590551181</v>
      </c>
      <c r="H13" s="57">
        <f ca="1">SUMIF('Match Log'!$D$4:$D$810,$B13,'Match Log'!$J$4:$J$810)</f>
        <v>-127.31150971511369</v>
      </c>
      <c r="I13" s="57">
        <f ca="1">SUMIF('Match Log'!$D$4:$D$810,$B13,'Match Log'!$K$4:$K$810)</f>
        <v>-7.9564126968154625</v>
      </c>
      <c r="J13" s="57">
        <f ca="1">SUMIF('Match Log'!$D$4:$D$810,$B13,'Match Log'!$L$4:$L$810)</f>
        <v>143</v>
      </c>
      <c r="K13" s="55">
        <f ca="1">SUMPRODUCT(--(COUNTIFS('Match Log'!$D$4:$D$810,$B13,'Match Log'!$C$4:$C$810,Lists!$C$2:$C$26)&gt;0))</f>
        <v>20</v>
      </c>
      <c r="L13" s="55" t="str">
        <f ca="1">IF($D13=0,"No games",IF(AND($D13&gt;='Guide &amp; Settings'!$C$45,$K13&gt;='Guide &amp; Settings'!$C$46),"Eligible","Provisional"))</f>
        <v>Eligible</v>
      </c>
      <c r="M13" s="54">
        <f ca="1">IFERROR(INDEX(Calcs!$C$7:$C$20,MATCH($B13,Calcs!$A$7:$A$20,0)),"")</f>
        <v>1187.5348426568205</v>
      </c>
      <c r="N13" s="54">
        <f t="shared" ca="1" si="3"/>
        <v>290.56149023592832</v>
      </c>
      <c r="O13" s="55" t="str">
        <f ca="1">IFERROR(INDEX(Calcs!$H$7:$H$20,MATCH($B13,Calcs!$A$7:$A$20,0)),"")</f>
        <v>L4</v>
      </c>
      <c r="P13" s="55" t="str">
        <f ca="1">IFERROR(INDEX(Calcs!$I$7:$I$20,MATCH($B13,Calcs!$A$7:$A$20,0)),"")</f>
        <v>WLLLL</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30 Aug</v>
      </c>
      <c r="S13" s="55">
        <f ca="1">IFERROR(ROUND(INDEX(Calcs!$Q$7:$Q$20,MATCH($B13,Calcs!$A$7:$A$20,0)),1),"")</f>
        <v>0</v>
      </c>
      <c r="T13" s="55" t="str">
        <f ca="1">IFERROR(INDEX(Calcs!$T$7:$T$20,MATCH($B13,Calcs!$A$7:$A$20,0)),"")</f>
        <v>Active</v>
      </c>
      <c r="U13">
        <f ca="1">IFERROR(ROUND(INDEX(Calcs!$R$7:$R$20,MATCH($B13,Calcs!$A$7:$A$20,0))+INDEX(Calcs!$U$7:$U$20,MATCH($B13,Calcs!$A$7:$A$20,0)),0),0)</f>
        <v>0</v>
      </c>
      <c r="V13" s="57">
        <f ca="1">IFERROR(ROUND(INDEX(Calcs!$S$7:$S$20,MATCH($B13,Calcs!$A$7:$A$20,0)),0),"")</f>
        <v>1006</v>
      </c>
      <c r="W13" s="55" t="str">
        <f ca="1">IFERROR(INDEX(Calcs!$AF$7:$AF$20,MATCH($B13,Calcs!$A$7:$A$20,0)),"")</f>
        <v>Strong</v>
      </c>
      <c r="X13" s="57">
        <f ca="1">IFERROR(ROUND(SUMIF('Poker Stake Ledger'!$C$18:$C$137,$B13,'Poker Stake Ledger'!$K$18:$K$137),1),0)</f>
        <v>-1.4</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296.94356782399836</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989.43966229077671</v>
      </c>
      <c r="D15" s="55">
        <f ca="1">COUNTIF('Match Log'!$D$4:$D$810,$B15)</f>
        <v>76</v>
      </c>
      <c r="E15" s="55">
        <f ca="1">COUNTIFS('Match Log'!$D$4:$D$810,$B15,'Match Log'!$E$4:$E$810,"Win")</f>
        <v>29</v>
      </c>
      <c r="F15" s="55">
        <f t="shared" ca="1" si="1"/>
        <v>47</v>
      </c>
      <c r="G15" s="56">
        <f t="shared" ca="1" si="2"/>
        <v>0.38157894736842107</v>
      </c>
      <c r="H15" s="57">
        <f ca="1">SUMIF('Match Log'!$D$4:$D$810,$B15,'Match Log'!$J$4:$J$810)</f>
        <v>-92.232182389660466</v>
      </c>
      <c r="I15" s="57">
        <f ca="1">SUMIF('Match Log'!$D$4:$D$810,$B15,'Match Log'!$K$4:$K$810)</f>
        <v>-20.328155319563038</v>
      </c>
      <c r="J15" s="57">
        <f ca="1">SUMIF('Match Log'!$D$4:$D$810,$B15,'Match Log'!$L$4:$L$810)</f>
        <v>102</v>
      </c>
      <c r="K15" s="55">
        <f ca="1">SUMPRODUCT(--(COUNTIFS('Match Log'!$D$4:$D$810,$B15,'Match Log'!$C$4:$C$810,Lists!$C$2:$C$26)&gt;0))</f>
        <v>13</v>
      </c>
      <c r="L15" s="55" t="str">
        <f ca="1">IF($D15=0,"No games",IF(AND($D15&gt;='Guide &amp; Settings'!$C$45,$K15&gt;='Guide &amp; Settings'!$C$46),"Eligible","Provisional"))</f>
        <v>Eligible</v>
      </c>
      <c r="M15" s="54">
        <f ca="1">IFERROR(INDEX(Calcs!$C$7:$C$20,MATCH($B15,Calcs!$A$7:$A$20,0)),"")</f>
        <v>1159.3458378818898</v>
      </c>
      <c r="N15" s="54">
        <f t="shared" ca="1" si="3"/>
        <v>307.50390553322165</v>
      </c>
      <c r="O15" s="55" t="str">
        <f ca="1">IFERROR(INDEX(Calcs!$H$7:$H$20,MATCH($B15,Calcs!$A$7:$A$20,0)),"")</f>
        <v>L1</v>
      </c>
      <c r="P15" s="55" t="str">
        <f ca="1">IFERROR(INDEX(Calcs!$I$7:$I$20,MATCH($B15,Calcs!$A$7:$A$20,0)),"")</f>
        <v>LLWWL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Aug</v>
      </c>
      <c r="S15" s="55">
        <f ca="1">IFERROR(ROUND(INDEX(Calcs!$Q$7:$Q$20,MATCH($B15,Calcs!$A$7:$A$20,0)),1),"")</f>
        <v>0.6</v>
      </c>
      <c r="T15" s="55" t="str">
        <f ca="1">IFERROR(INDEX(Calcs!$T$7:$T$20,MATCH($B15,Calcs!$A$7:$A$20,0)),"")</f>
        <v>Active</v>
      </c>
      <c r="U15">
        <f ca="1">IFERROR(ROUND(INDEX(Calcs!$R$7:$R$20,MATCH($B15,Calcs!$A$7:$A$20,0))+INDEX(Calcs!$U$7:$U$20,MATCH($B15,Calcs!$A$7:$A$20,0)),0),0)</f>
        <v>0</v>
      </c>
      <c r="V15" s="57">
        <f ca="1">IFERROR(ROUND(INDEX(Calcs!$S$7:$S$20,MATCH($B15,Calcs!$A$7:$A$20,0)),0),"")</f>
        <v>989</v>
      </c>
      <c r="W15" s="55" t="str">
        <f ca="1">IFERROR(INDEX(Calcs!$AF$7:$AF$20,MATCH($B15,Calcs!$A$7:$A$20,0)),"")</f>
        <v>Strong</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959.51759653351382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1080.6005675255071</v>
      </c>
      <c r="N16" s="54">
        <f t="shared" ca="1" si="3"/>
        <v>337.42597129048454</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10.9</v>
      </c>
      <c r="T16" s="55" t="str">
        <f ca="1">IFERROR(INDEX(Calcs!$T$7:$T$20,MATCH($B16,Calcs!$A$7:$A$20,0)),"")</f>
        <v>Inactive</v>
      </c>
      <c r="U16">
        <f ca="1">IFERROR(ROUND(INDEX(Calcs!$R$7:$R$20,MATCH($B16,Calcs!$A$7:$A$20,0))+INDEX(Calcs!$U$7:$U$20,MATCH($B16,Calcs!$A$7:$A$20,0)),0),0)</f>
        <v>70</v>
      </c>
      <c r="V16" s="57">
        <f ca="1">IFERROR(ROUND(INDEX(Calcs!$S$7:$S$20,MATCH($B16,Calcs!$A$7:$A$20,0)),0),"")</f>
        <v>960</v>
      </c>
      <c r="W16" s="55" t="str">
        <f ca="1">IFERROR(INDEX(Calcs!$AF$7:$AF$20,MATCH($B16,Calcs!$A$7:$A$20,0)),"")</f>
        <v>Mid</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1149.1621145121287</v>
      </c>
      <c r="N17" s="54">
        <f t="shared" ca="1" si="3"/>
        <v>409.91223138282407</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1.1000000000000001</v>
      </c>
      <c r="T17" s="55" t="str">
        <f ca="1">IFERROR(INDEX(Calcs!$T$7:$T$20,MATCH($B17,Calcs!$A$7:$A$20,0)),"")</f>
        <v>Active</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832.22294373677494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1090.226211509294</v>
      </c>
      <c r="N18" s="54">
        <f t="shared" ca="1" si="3"/>
        <v>464.72062408722343</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6</v>
      </c>
      <c r="T18" s="55" t="str">
        <f ca="1">IFERROR(INDEX(Calcs!$T$7:$T$20,MATCH($B18,Calcs!$A$7:$A$20,0)),"")</f>
        <v>Inactive</v>
      </c>
      <c r="U18">
        <f ca="1">IFERROR(ROUND(INDEX(Calcs!$R$7:$R$20,MATCH($B18,Calcs!$A$7:$A$20,0))+INDEX(Calcs!$U$7:$U$20,MATCH($B18,Calcs!$A$7:$A$20,0)),0),0)</f>
        <v>30</v>
      </c>
      <c r="V18" s="57">
        <f ca="1">IFERROR(ROUND(INDEX(Calcs!$S$7:$S$20,MATCH($B18,Calcs!$A$7:$A$20,0)),0),"")</f>
        <v>832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19</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133</v>
      </c>
      <c r="B6" s="66">
        <f ca="1">IFERROR(INDEX(Dashboard!$C$5:$C$18,MATCH($B$3,Dashboard!$B$5:$B$18,0)),"")</f>
        <v>1177.6612046633588</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163</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243</v>
      </c>
      <c r="B8" s="62" t="str">
        <f ca="1">IFERROR(INDEX(Dashboard!$E$5:$E$18,MATCH($B$3,Dashboard!$B$5:$B$18,0))&amp;"–"&amp;INDEX(Dashboard!$F$5:$F$18,MATCH($B$3,Dashboard!$B$5:$B$18,0)),"")</f>
        <v>35–25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0.58333333333333337</v>
      </c>
      <c r="D9" s="63" t="s">
        <v>37</v>
      </c>
      <c r="E9" s="37">
        <f>COUNTIFS('Match Log'!$D$4:$D$810,$B$3,'Match Log'!$C$4:$C$810,$D9)</f>
        <v>2</v>
      </c>
      <c r="F9" s="37">
        <f>COUNTIFS('Match Log'!$D$4:$D$810,$B$3,'Match Log'!$C$4:$C$810,$D9,'Match Log'!$E$4:$E$810,"Win")</f>
        <v>0</v>
      </c>
      <c r="G9" s="64">
        <f t="shared" si="0"/>
        <v>0</v>
      </c>
      <c r="H9" s="65">
        <f>IFERROR(IF($E9=0,"",INDEX('Sport Records'!$B$106:$O$130,MATCH($D9,'Sport Records'!$A$106:$A$130,0),MATCH($B$3,'Sport Records'!$B$105:$O$105,0))),"")</f>
        <v>968.56830839539452</v>
      </c>
    </row>
    <row r="10" spans="1:8" ht="15" customHeight="1" x14ac:dyDescent="0.2">
      <c r="A10" s="61" t="s">
        <v>10</v>
      </c>
      <c r="B10" s="62">
        <f ca="1">IFERROR(INDEX(Dashboard!$D$5:$D$18,MATCH($B$3,Dashboard!$B$5:$B$18,0)),"")</f>
        <v>60</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1103.9112051202276</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W1</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272</v>
      </c>
      <c r="B14" s="62" t="str">
        <f>IFERROR(INDEX(Calcs!$I$7:$I$20,MATCH($B$3,Calcs!$A$7:$A$20,0)),"")</f>
        <v>WLWLW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144.78236316063953</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286</v>
      </c>
      <c r="B17" s="72" t="str">
        <f ca="1">IFERROR(TEXT(INDEX(Calcs!$P$7:$P$20,MATCH($B$3,Calcs!$A$7:$A$20,0)),"d mmm")&amp;"  ·  "&amp;INDEX(Calcs!$T$7:$T$20,MATCH($B$3,Calcs!$A$7:$A$20,0)),"")</f>
        <v>19 Aug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287</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290</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291</v>
      </c>
      <c r="B23" s="74">
        <f ca="1">IFERROR(ROUND(INDEX(Calcs!$AB$7:$AB$20,MATCH($B$3,Calcs!$A$7:$A$20,0)),0),"")</f>
        <v>81</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292</v>
      </c>
      <c r="B24" s="72">
        <f ca="1">IFERROR(ROUND(INDEX(Calcs!$W$7:$W$20,MATCH($B$3,Calcs!$A$7:$A$20,0)),0),"")</f>
        <v>94</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58</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294</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295</v>
      </c>
      <c r="B27" s="72">
        <f>IFERROR(ROUND(INDEX(Calcs!$Z$7:$Z$20,MATCH($B$3,Calcs!$A$7:$A$20,0)),0),"")</f>
        <v>60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296</v>
      </c>
      <c r="B28" s="72">
        <f>IFERROR(ROUND(INDEX(Calcs!$AA$7:$AA$20,MATCH($B$3,Calcs!$A$7:$A$20,0)),0),"")</f>
        <v>76</v>
      </c>
      <c r="D28" s="63" t="s">
        <v>456</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5" t="s">
        <v>298</v>
      </c>
      <c r="B2" s="142"/>
      <c r="C2" s="142"/>
      <c r="D2" s="142"/>
      <c r="E2" s="142"/>
      <c r="F2" s="142"/>
      <c r="G2" s="142"/>
      <c r="H2" s="142"/>
      <c r="I2" s="142"/>
      <c r="J2" s="142"/>
      <c r="K2" s="142"/>
      <c r="L2" s="142"/>
      <c r="M2" s="142"/>
      <c r="N2" s="142"/>
      <c r="O2" s="142"/>
    </row>
    <row r="3" spans="1:15" ht="37.5" customHeight="1" x14ac:dyDescent="0.2">
      <c r="A3" s="153" t="s">
        <v>299</v>
      </c>
      <c r="B3" s="154"/>
      <c r="C3" s="154"/>
      <c r="D3" s="154"/>
      <c r="E3" s="154"/>
      <c r="F3" s="154"/>
      <c r="G3" s="154"/>
      <c r="H3" s="154"/>
      <c r="I3" s="154"/>
      <c r="J3" s="154"/>
      <c r="K3" s="154"/>
      <c r="L3" s="154"/>
      <c r="M3" s="154"/>
      <c r="N3" s="154"/>
      <c r="O3" s="154"/>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57% of 28</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6</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64% of 47</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53% of 32</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6</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64% of 11</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43% of 28</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36% of 47</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47% of 32</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36% of 11</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29</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10</v>
      </c>
      <c r="I27" s="77">
        <f>IF($A27=I$21,0,SUMPRODUCT(('Match Log'!$D$4:$D$810=$A27)*(COUNTIFS('Match Log'!$A$4:$A$810,'Match Log'!$A$4:$A$810,'Match Log'!$D$4:$D$810,I$21)&gt;0)))</f>
        <v>57</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40</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10</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23</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29</v>
      </c>
      <c r="G29" s="77">
        <f>IF($A29=G$21,0,SUMPRODUCT(('Match Log'!$D$4:$D$810=$A29)*(COUNTIFS('Match Log'!$A$4:$A$810,'Match Log'!$A$4:$A$810,'Match Log'!$D$4:$D$810,G$21)&gt;0)))</f>
        <v>57</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40</v>
      </c>
      <c r="H32" s="77">
        <f>IF($A32=H$21,0,SUMPRODUCT(('Match Log'!$D$4:$D$810=$A32)*(COUNTIFS('Match Log'!$A$4:$A$810,'Match Log'!$A$4:$A$810,'Match Log'!$D$4:$D$810,H$21)&gt;0)))</f>
        <v>23</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58" t="s">
        <v>304</v>
      </c>
      <c r="B2" s="142"/>
      <c r="C2" s="142"/>
      <c r="D2" s="142"/>
      <c r="E2" s="142"/>
      <c r="F2" s="142"/>
      <c r="G2" s="142"/>
      <c r="H2" s="142"/>
      <c r="I2" s="142"/>
      <c r="J2" s="142"/>
      <c r="K2" s="142"/>
      <c r="L2" s="142"/>
      <c r="M2" s="142"/>
      <c r="N2" s="142"/>
      <c r="O2" s="142"/>
      <c r="P2" s="142"/>
      <c r="Q2" s="142"/>
    </row>
    <row r="3" spans="1:18" ht="18.75" customHeight="1" x14ac:dyDescent="0.2">
      <c r="A3" s="43" t="s">
        <v>305</v>
      </c>
      <c r="C3" s="79">
        <f>SUM($P$8:$P$32)</f>
        <v>277</v>
      </c>
    </row>
    <row r="4" spans="1:18" ht="18.75" customHeight="1" x14ac:dyDescent="0.2">
      <c r="A4" s="43" t="s">
        <v>306</v>
      </c>
      <c r="C4" s="157" t="str">
        <f ca="1">INDEX($A$89:$A$102,MATCH(MAX($S$89:$S$102),$S$89:$S$102,0))</f>
        <v>Shawn</v>
      </c>
      <c r="D4" s="142"/>
      <c r="E4" s="142"/>
      <c r="F4" s="142"/>
      <c r="G4" s="142"/>
    </row>
    <row r="6" spans="1:18" ht="15" customHeight="1" x14ac:dyDescent="0.2">
      <c r="A6" s="156" t="s">
        <v>307</v>
      </c>
      <c r="B6" s="142"/>
      <c r="C6" s="142"/>
      <c r="D6" s="142"/>
      <c r="E6" s="142"/>
      <c r="F6" s="142"/>
      <c r="G6" s="142"/>
      <c r="H6" s="142"/>
      <c r="I6" s="142"/>
      <c r="J6" s="142"/>
      <c r="K6" s="142"/>
      <c r="L6" s="142"/>
      <c r="M6" s="142"/>
      <c r="N6" s="142"/>
      <c r="O6" s="142"/>
      <c r="P6" s="142"/>
      <c r="Q6" s="142"/>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5</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6</v>
      </c>
      <c r="Q8" s="85" t="str">
        <f t="shared" ref="Q8:Q32" si="0">IF($P8=0,"—",INDEX($B$34:$O$34,MATCH(MAX($B35:$O35),$B35:$O35,0)))</f>
        <v>Shawn</v>
      </c>
      <c r="R8" s="84">
        <f t="shared" ref="R8:R32" si="1">IF($P8=0,"—",MAX($B35:$O35))</f>
        <v>5</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2</v>
      </c>
      <c r="G12" s="83">
        <f>COUNTIFS('Match Log'!$D$4:$D$819,G$7,'Match Log'!$C$4:$C$819,$A12)</f>
        <v>1</v>
      </c>
      <c r="H12" s="83">
        <f>COUNTIFS('Match Log'!$D$4:$D$819,H$7,'Match Log'!$C$4:$C$819,$A12)</f>
        <v>2</v>
      </c>
      <c r="I12" s="83">
        <f>COUNTIFS('Match Log'!$D$4:$D$819,I$7,'Match Log'!$C$4:$C$819,$A12)</f>
        <v>6</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20</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0</v>
      </c>
      <c r="H17" s="83">
        <f>COUNTIFS('Match Log'!$D$4:$D$819,H$7,'Match Log'!$C$4:$C$819,$A17)</f>
        <v>0</v>
      </c>
      <c r="I17" s="83">
        <f>COUNTIFS('Match Log'!$D$4:$D$819,I$7,'Match Log'!$C$4:$C$819,$A17)</f>
        <v>0</v>
      </c>
      <c r="J17" s="83">
        <f>COUNTIFS('Match Log'!$D$4:$D$819,J$7,'Match Log'!$C$4:$C$819,$A17)</f>
        <v>0</v>
      </c>
      <c r="K17" s="83">
        <f>COUNTIFS('Match Log'!$D$4:$D$819,K$7,'Match Log'!$C$4:$C$819,$A17)</f>
        <v>0</v>
      </c>
      <c r="L17" s="83">
        <f>COUNTIFS('Match Log'!$D$4:$D$819,L$7,'Match Log'!$C$4:$C$819,$A17)</f>
        <v>0</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0</v>
      </c>
      <c r="Q17" s="85" t="str">
        <f t="shared" si="0"/>
        <v>—</v>
      </c>
      <c r="R17" s="84" t="str">
        <f t="shared" si="1"/>
        <v>—</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309</v>
      </c>
      <c r="B33" s="142"/>
      <c r="C33" s="142"/>
      <c r="D33" s="142"/>
      <c r="E33" s="142"/>
      <c r="F33" s="142"/>
      <c r="G33" s="142"/>
      <c r="H33" s="142"/>
      <c r="I33" s="142"/>
      <c r="J33" s="142"/>
      <c r="K33" s="142"/>
      <c r="L33" s="142"/>
      <c r="M33" s="142"/>
      <c r="N33" s="142"/>
      <c r="O33" s="142"/>
      <c r="P33" s="142"/>
      <c r="Q33" s="142"/>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5</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0</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0</v>
      </c>
      <c r="H44" s="83">
        <f>COUNTIFS('Match Log'!$D$4:$D$819,H$34,'Match Log'!$C$4:$C$819,$A44,'Match Log'!$E$4:$E$819,"Win")</f>
        <v>0</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1</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310</v>
      </c>
      <c r="B60" s="142"/>
      <c r="C60" s="142"/>
      <c r="D60" s="142"/>
      <c r="E60" s="142"/>
      <c r="F60" s="142"/>
      <c r="G60" s="142"/>
      <c r="H60" s="142"/>
      <c r="I60" s="142"/>
      <c r="J60" s="142"/>
      <c r="K60" s="142"/>
      <c r="L60" s="142"/>
      <c r="M60" s="142"/>
      <c r="N60" s="142"/>
      <c r="O60" s="142"/>
      <c r="P60" s="142"/>
      <c r="Q60" s="142"/>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v>
      </c>
      <c r="G66" s="86">
        <f t="shared" si="6"/>
        <v>1</v>
      </c>
      <c r="H66" s="86">
        <f t="shared" si="6"/>
        <v>1</v>
      </c>
      <c r="I66" s="86">
        <f t="shared" si="6"/>
        <v>0.5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t="str">
        <f t="shared" si="11"/>
        <v/>
      </c>
      <c r="H71" s="86" t="str">
        <f t="shared" si="11"/>
        <v/>
      </c>
      <c r="I71" s="86" t="str">
        <f t="shared" si="11"/>
        <v/>
      </c>
      <c r="J71" s="86" t="str">
        <f t="shared" si="11"/>
        <v/>
      </c>
      <c r="K71" s="86" t="str">
        <f t="shared" si="11"/>
        <v/>
      </c>
      <c r="L71" s="86" t="str">
        <f t="shared" si="11"/>
        <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0.5</v>
      </c>
      <c r="M84" s="86">
        <f t="shared" si="24"/>
        <v>0.66666666666666663</v>
      </c>
      <c r="N84" s="86">
        <f t="shared" si="24"/>
        <v>0</v>
      </c>
      <c r="O84" s="86" t="str">
        <f t="shared" si="24"/>
        <v/>
      </c>
    </row>
    <row r="85" spans="1:19" x14ac:dyDescent="0.2">
      <c r="A85" s="82" t="s">
        <v>456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311</v>
      </c>
      <c r="B87" s="142"/>
      <c r="C87" s="142"/>
      <c r="D87" s="142"/>
      <c r="E87" s="142"/>
      <c r="F87" s="142"/>
      <c r="G87" s="142"/>
      <c r="H87" s="142"/>
      <c r="I87" s="142"/>
      <c r="J87" s="142"/>
      <c r="K87" s="142"/>
      <c r="L87" s="142"/>
      <c r="M87" s="142"/>
      <c r="N87" s="142"/>
      <c r="O87" s="142"/>
      <c r="P87" s="142"/>
      <c r="Q87" s="142"/>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60</v>
      </c>
      <c r="C90" s="83">
        <f>SUMPRODUCT(--(COUNTIFS('Match Log'!$D$4:$D$819,$A90,'Match Log'!$C$4:$C$819,Lists!$C$2:$C$26)&gt;0))</f>
        <v>15</v>
      </c>
      <c r="D90" s="83">
        <f>COUNTIFS('Match Log'!$D$4:$D$819,$A90,'Match Log'!$E$4:$E$819,"Win")</f>
        <v>35</v>
      </c>
      <c r="E90" s="86">
        <f t="shared" si="27"/>
        <v>0.58333333333333337</v>
      </c>
      <c r="F90" s="88">
        <f ca="1">IFERROR(INDEX(Calcs!$S$7:$S$20,MATCH($A90,Calcs!$A$7:$A$20,0)),"")</f>
        <v>1177.6612046633588</v>
      </c>
      <c r="G90" s="83" t="str">
        <f>IF($B90=0,"No games",IF(AND($B90&gt;='Guide &amp; Settings'!$C$45,$C90&gt;='Guide &amp; Settings'!$C$46),"Eligible","Provisional"))</f>
        <v>Eligible</v>
      </c>
      <c r="S90" s="89">
        <f ca="1">IF($G90="Eligible",IF(IFERROR(INDEX(Calcs!$T$7:$T$20,MATCH($A90,Calcs!$A$7:$A$20,0)),"")="Inactive",-1,$F90),-1)</f>
        <v>1177.6612046633588</v>
      </c>
    </row>
    <row r="91" spans="1:19" ht="15" customHeight="1" x14ac:dyDescent="0.2">
      <c r="A91" s="82" t="s">
        <v>21</v>
      </c>
      <c r="B91" s="83">
        <f>COUNTIF('Match Log'!$D$4:$D$819,$A91)</f>
        <v>34</v>
      </c>
      <c r="C91" s="83">
        <f>SUMPRODUCT(--(COUNTIFS('Match Log'!$D$4:$D$819,$A91,'Match Log'!$C$4:$C$819,Lists!$C$2:$C$26)&gt;0))</f>
        <v>11</v>
      </c>
      <c r="D91" s="83">
        <f>COUNTIFS('Match Log'!$D$4:$D$819,$A91,'Match Log'!$E$4:$E$819,"Win")</f>
        <v>16</v>
      </c>
      <c r="E91" s="86">
        <f t="shared" si="27"/>
        <v>0.47058823529411764</v>
      </c>
      <c r="F91" s="88">
        <f ca="1">IFERROR(INDEX(Calcs!$S$7:$S$20,MATCH($A91,Calcs!$A$7:$A$20,0)),"")</f>
        <v>1084.7973286809788</v>
      </c>
      <c r="G91" s="83" t="str">
        <f>IF($B91=0,"No games",IF(AND($B91&gt;='Guide &amp; Settings'!$C$45,$C91&gt;='Guide &amp; Settings'!$C$46),"Eligible","Provisional"))</f>
        <v>Eligible</v>
      </c>
      <c r="S91" s="89">
        <f ca="1">IF($G91="Eligible",IF(IFERROR(INDEX(Calcs!$T$7:$T$20,MATCH($A91,Calcs!$A$7:$A$20,0)),"")="Inactive",-1,$F91),-1)</f>
        <v>1084.7973286809788</v>
      </c>
    </row>
    <row r="92" spans="1:19" ht="15" customHeight="1" x14ac:dyDescent="0.2">
      <c r="A92" s="82" t="s">
        <v>25</v>
      </c>
      <c r="B92" s="83">
        <f>COUNTIF('Match Log'!$D$4:$D$819,$A92)</f>
        <v>76</v>
      </c>
      <c r="C92" s="83">
        <f>SUMPRODUCT(--(COUNTIFS('Match Log'!$D$4:$D$819,$A92,'Match Log'!$C$4:$C$819,Lists!$C$2:$C$26)&gt;0))</f>
        <v>13</v>
      </c>
      <c r="D92" s="83">
        <f>COUNTIFS('Match Log'!$D$4:$D$819,$A92,'Match Log'!$E$4:$E$819,"Win")</f>
        <v>29</v>
      </c>
      <c r="E92" s="86">
        <f t="shared" si="27"/>
        <v>0.38157894736842107</v>
      </c>
      <c r="F92" s="88">
        <f ca="1">IFERROR(INDEX(Calcs!$S$7:$S$20,MATCH($A92,Calcs!$A$7:$A$20,0)),"")</f>
        <v>989.43966229077671</v>
      </c>
      <c r="G92" s="83" t="str">
        <f>IF($B92=0,"No games",IF(AND($B92&gt;='Guide &amp; Settings'!$C$45,$C92&gt;='Guide &amp; Settings'!$C$46),"Eligible","Provisional"))</f>
        <v>Eligible</v>
      </c>
      <c r="S92" s="89">
        <f ca="1">IF($G92="Eligible",IF(IFERROR(INDEX(Calcs!$T$7:$T$20,MATCH($A92,Calcs!$A$7:$A$20,0)),"")="Inactive",-1,$F92),-1)</f>
        <v>989.43966229077671</v>
      </c>
    </row>
    <row r="93" spans="1:19" ht="15" customHeight="1" x14ac:dyDescent="0.2">
      <c r="A93" s="82" t="s">
        <v>22</v>
      </c>
      <c r="B93" s="83">
        <f>COUNTIF('Match Log'!$D$4:$D$819,$A93)</f>
        <v>127</v>
      </c>
      <c r="C93" s="83">
        <f>SUMPRODUCT(--(COUNTIFS('Match Log'!$D$4:$D$819,$A93,'Match Log'!$C$4:$C$819,Lists!$C$2:$C$26)&gt;0))</f>
        <v>20</v>
      </c>
      <c r="D93" s="83">
        <f>COUNTIFS('Match Log'!$D$4:$D$819,$A93,'Match Log'!$E$4:$E$819,"Win")</f>
        <v>48</v>
      </c>
      <c r="E93" s="86">
        <f t="shared" si="27"/>
        <v>0.37795275590551181</v>
      </c>
      <c r="F93" s="88">
        <f ca="1">IFERROR(INDEX(Calcs!$S$7:$S$20,MATCH($A93,Calcs!$A$7:$A$20,0)),"")</f>
        <v>1006.38207758807</v>
      </c>
      <c r="G93" s="83" t="str">
        <f>IF($B93=0,"No games",IF(AND($B93&gt;='Guide &amp; Settings'!$C$45,$C93&gt;='Guide &amp; Settings'!$C$46),"Eligible","Provisional"))</f>
        <v>Eligible</v>
      </c>
      <c r="S93" s="89">
        <f ca="1">IF($G93="Eligible",IF(IFERROR(INDEX(Calcs!$T$7:$T$20,MATCH($A93,Calcs!$A$7:$A$20,0)),"")="Inactive",-1,$F93),-1)</f>
        <v>1006.38207758807</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136</v>
      </c>
      <c r="C95" s="83">
        <f>SUMPRODUCT(--(COUNTIFS('Match Log'!$D$4:$D$819,$A95,'Match Log'!$C$4:$C$819,Lists!$C$2:$C$26)&gt;0))</f>
        <v>18</v>
      </c>
      <c r="D95" s="83">
        <f>COUNTIFS('Match Log'!$D$4:$D$819,$A95,'Match Log'!$E$4:$E$819,"Win")</f>
        <v>68</v>
      </c>
      <c r="E95" s="86">
        <f t="shared" si="27"/>
        <v>0.5</v>
      </c>
      <c r="F95" s="88">
        <f ca="1">IFERROR(INDEX(Calcs!$S$7:$S$20,MATCH($A95,Calcs!$A$7:$A$20,0)),"")</f>
        <v>1296.9435678239984</v>
      </c>
      <c r="G95" s="83" t="str">
        <f>IF($B95=0,"No games",IF(AND($B95&gt;='Guide &amp; Settings'!$C$45,$C95&gt;='Guide &amp; Settings'!$C$46),"Eligible","Provisional"))</f>
        <v>Eligible</v>
      </c>
      <c r="S95" s="89">
        <f ca="1">IF($G95="Eligible",IF(IFERROR(INDEX(Calcs!$T$7:$T$20,MATCH($A95,Calcs!$A$7:$A$20,0)),"")="Inactive",-1,$F95),-1)</f>
        <v>1296.9435678239984</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959.51759653351382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832.22294373677494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313</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1066.8312456204001</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968.56830839539452</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995.85024786256349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t="str">
        <f>IFERROR(LOOKUP(2,1/(('Match Log'!$D$4:$D$819=G$105)*('Match Log'!$C$4:$C$819=$A115)),'Match Log'!$AB$4:$AB$819),"")</f>
        <v/>
      </c>
      <c r="H115" s="88" t="str">
        <f>IFERROR(LOOKUP(2,1/(('Match Log'!$D$4:$D$819=H$105)*('Match Log'!$C$4:$C$819=$A115)),'Match Log'!$AB$4:$AB$819),"")</f>
        <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t="str">
        <f>IFERROR(LOOKUP(2,1/(('Match Log'!$D$4:$D$819=L$105)*('Match Log'!$C$4:$C$819=$A115)),'Match Log'!$AB$4:$AB$819),"")</f>
        <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1001.0915114845671</v>
      </c>
      <c r="H128" s="88">
        <f>IFERROR(LOOKUP(2,1/(('Match Log'!$D$4:$D$810=H$105)*('Match Log'!$C$4:$C$810=$A128)),'Match Log'!$AB$4:$AB$810),"")</f>
        <v>995.45424425771637</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995.45424425771637</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59" t="s">
        <v>316</v>
      </c>
      <c r="B2" s="142"/>
      <c r="C2" s="142"/>
      <c r="D2" s="142"/>
      <c r="E2" s="142"/>
      <c r="F2" s="142"/>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Shawn</v>
      </c>
      <c r="C11" s="40" t="str">
        <f>IFERROR(INDEX(Calcs!$H$25:$H$444,MATCH(LARGE(Calcs!$I$25:$I$444,6),Calcs!$I$25:$I$444,0)),"")</f>
        <v>the field</v>
      </c>
      <c r="D11" s="40" t="str">
        <f>IFERROR(INDEX(Calcs!$C$25:$C$444,MATCH(LARGE(Calcs!$I$25:$I$444,6),Calcs!$I$25:$I$444,0)),"")</f>
        <v>Cards</v>
      </c>
      <c r="E11" s="40" t="str">
        <f>IFERROR(TEXT(INDEX(Calcs!$F$25:$F$444,MATCH(LARGE(Calcs!$I$25:$I$444,6),Calcs!$I$25:$I$444,0)),"0%"),"")</f>
        <v>16%</v>
      </c>
      <c r="F11" s="40" t="str">
        <f>IFERROR(TEXT(INDEX(Calcs!$B$25:$B$444,MATCH(LARGE(Calcs!$I$25:$I$444,6),Calcs!$I$25:$I$444,0)),"d mmm"),"")</f>
        <v>26 Aug</v>
      </c>
    </row>
    <row r="12" spans="1:6" ht="15" customHeight="1" x14ac:dyDescent="0.2">
      <c r="A12" s="63">
        <v>7</v>
      </c>
      <c r="B12" s="37" t="str">
        <f>IFERROR(INDEX(Calcs!$D$25:$D$444,MATCH(LARGE(Calcs!$I$25:$I$444,7),Calcs!$I$25:$I$444,0)),"")</f>
        <v>Aaron</v>
      </c>
      <c r="C12" s="37" t="str">
        <f>IFERROR(INDEX(Calcs!$H$25:$H$444,MATCH(LARGE(Calcs!$I$25:$I$444,7),Calcs!$I$25:$I$444,0)),"")</f>
        <v>Shawn</v>
      </c>
      <c r="D12" s="37" t="str">
        <f>IFERROR(INDEX(Calcs!$C$25:$C$444,MATCH(LARGE(Calcs!$I$25:$I$444,7),Calcs!$I$25:$I$444,0)),"")</f>
        <v>Table Tennis</v>
      </c>
      <c r="E12" s="37" t="str">
        <f>IFERROR(TEXT(INDEX(Calcs!$F$25:$F$444,MATCH(LARGE(Calcs!$I$25:$I$444,7),Calcs!$I$25:$I$444,0)),"0%"),"")</f>
        <v>24%</v>
      </c>
      <c r="F12" s="37" t="str">
        <f>IFERROR(TEXT(INDEX(Calcs!$B$25:$B$444,MATCH(LARGE(Calcs!$I$25:$I$444,7),Calcs!$I$25:$I$444,0)),"d mmm"),"")</f>
        <v>21 Aug</v>
      </c>
    </row>
    <row r="13" spans="1:6" ht="15" customHeight="1" x14ac:dyDescent="0.2">
      <c r="A13" s="67">
        <v>8</v>
      </c>
      <c r="B13" s="40" t="str">
        <f>IFERROR(INDEX(Calcs!$D$25:$D$444,MATCH(LARGE(Calcs!$I$25:$I$444,8),Calcs!$I$25:$I$444,0)),"")</f>
        <v>Oscar</v>
      </c>
      <c r="C13" s="40" t="str">
        <f>IFERROR(INDEX(Calcs!$H$25:$H$444,MATCH(LARGE(Calcs!$I$25:$I$444,8),Calcs!$I$25:$I$444,0)),"")</f>
        <v>Daniel (Ferret)</v>
      </c>
      <c r="D13" s="40" t="str">
        <f>IFERROR(INDEX(Calcs!$C$25:$C$444,MATCH(LARGE(Calcs!$I$25:$I$444,8),Calcs!$I$25:$I$444,0)),"")</f>
        <v>Mario Kart</v>
      </c>
      <c r="E13" s="40" t="str">
        <f>IFERROR(TEXT(INDEX(Calcs!$F$25:$F$444,MATCH(LARGE(Calcs!$I$25:$I$444,8),Calcs!$I$25:$I$444,0)),"0%"),"")</f>
        <v>25%</v>
      </c>
      <c r="F13" s="40" t="str">
        <f>IFERROR(TEXT(INDEX(Calcs!$B$25:$B$444,MATCH(LARGE(Calcs!$I$25:$I$444,8),Calcs!$I$25:$I$444,0)),"d mmm"),"")</f>
        <v>3 Jun</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330</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331</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136</v>
      </c>
      <c r="C21" s="37" t="str">
        <f ca="1">INDEX(Dashboard!$B$5:$B$18,MATCH(MAX(Dashboard!$D$5:$D$18),Dashboard!$D$5:$D$18,0))</f>
        <v>Shawn</v>
      </c>
      <c r="D21" s="37" t="s">
        <v>334</v>
      </c>
      <c r="E21" s="37" t="s">
        <v>334</v>
      </c>
      <c r="F21" s="37" t="str">
        <f ca="1">"across "&amp;INDEX(Dashboard!$K$5:$K$18,MATCH($C21,Dashboard!$B$5:$B$18,0))&amp;" sports"</f>
        <v>across 18 sports</v>
      </c>
    </row>
    <row r="22" spans="1:8" ht="15" customHeight="1" x14ac:dyDescent="0.2">
      <c r="A22" s="93" t="s">
        <v>335</v>
      </c>
      <c r="B22" s="40" t="str">
        <f ca="1">TEXT(MAX(Dashboard!$K$5:$K$18),"0")</f>
        <v>20</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56 games</v>
      </c>
      <c r="C23" s="37" t="str">
        <f>INDEX('Sport Records'!$A$8:$A$32,MATCH(MAX('Sport Records'!$P$8:$P$32),'Sport Records'!$P$8:$P$32,0))</f>
        <v>Table Tennis</v>
      </c>
      <c r="D23" s="37" t="s">
        <v>334</v>
      </c>
      <c r="E23" s="37" t="s">
        <v>334</v>
      </c>
      <c r="F23" s="37" t="s">
        <v>337</v>
      </c>
    </row>
    <row r="24" spans="1:8" ht="15" customHeight="1" x14ac:dyDescent="0.2">
      <c r="A24" s="93" t="s">
        <v>338</v>
      </c>
      <c r="B24" s="40" t="str">
        <f>MAX(Calcs!$O$7:$O$20)&amp;" wins"</f>
        <v>3 wins</v>
      </c>
      <c r="C24" s="40" t="str">
        <f>INDEX(Calcs!$A$7:$A$20,MATCH(MAX(Calcs!$O$7:$O$20),Calcs!$O$7:$O$20,0))</f>
        <v>Dean B</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Shawn</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Aaron</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Shawn leads the title race — 35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Dean B is on a heater — 3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Cody can't take a trick — 6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Chase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136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277 games played across 20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Shawn</v>
      </c>
      <c r="C17" s="107">
        <f>ROUND(LARGE(Calcs!$B$7:$B$20,1),0)</f>
        <v>1301</v>
      </c>
      <c r="D17" s="109" t="str">
        <f>IF(1=1,"— leader —",ROUND(MAX(Calcs!$B$7:$B$20)-LARGE(Calcs!$B$7:$B$20,1),0)&amp;" behind")</f>
        <v>— leader —</v>
      </c>
      <c r="E17" s="105"/>
      <c r="F17" s="27"/>
    </row>
    <row r="18" spans="1:6" ht="15" customHeight="1" x14ac:dyDescent="0.2">
      <c r="A18" s="110">
        <v>2</v>
      </c>
      <c r="B18" s="62" t="str">
        <f>INDEX(Calcs!$A$7:$A$20,MATCH(LARGE(Calcs!$B$7:$B$20,2),Calcs!$B$7:$B$20,0))</f>
        <v>Aaron</v>
      </c>
      <c r="C18" s="110">
        <f>ROUND(LARGE(Calcs!$B$7:$B$20,2),0)</f>
        <v>1266</v>
      </c>
      <c r="D18" s="111" t="str">
        <f>IF(2=1,"— leader —",ROUND(MAX(Calcs!$B$7:$B$20)-LARGE(Calcs!$B$7:$B$20,2),0)&amp;" behind")</f>
        <v>35 behind</v>
      </c>
      <c r="E18" s="105"/>
      <c r="F18" s="27"/>
    </row>
    <row r="19" spans="1:6" ht="15" customHeight="1" x14ac:dyDescent="0.2">
      <c r="A19" s="110">
        <v>3</v>
      </c>
      <c r="B19" s="62" t="str">
        <f>INDEX(Calcs!$A$7:$A$20,MATCH(LARGE(Calcs!$B$7:$B$20,3),Calcs!$B$7:$B$20,0))</f>
        <v>Dean B</v>
      </c>
      <c r="C19" s="110">
        <f>ROUND(LARGE(Calcs!$B$7:$B$20,3),0)</f>
        <v>1249</v>
      </c>
      <c r="D19" s="111" t="str">
        <f>IF(3=1,"— leader —",ROUND(MAX(Calcs!$B$7:$B$20)-LARGE(Calcs!$B$7:$B$20,3),0)&amp;" behind")</f>
        <v>52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L</v>
      </c>
      <c r="F44" s="113" t="str">
        <f>IFERROR(IF(INDEX('Match Log'!$E$1:$E$810,_xlfn.AGGREGATE(14,6,ROW('Match Log'!$A$4:$A$810)/('Match Log'!$D$4:$D$810=$A44),6))="Win","W","L"),"")</f>
        <v>W</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L</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L</v>
      </c>
      <c r="C45" s="113" t="str">
        <f>IFERROR(IF(INDEX('Match Log'!$E$1:$E$810,_xlfn.AGGREGATE(14,6,ROW('Match Log'!$A$4:$A$810)/('Match Log'!$D$4:$D$810=$A45),9))="Win","W","L"),"")</f>
        <v>L</v>
      </c>
      <c r="D45" s="113" t="str">
        <f>IFERROR(IF(INDEX('Match Log'!$E$1:$E$810,_xlfn.AGGREGATE(14,6,ROW('Match Log'!$A$4:$A$810)/('Match Log'!$D$4:$D$810=$A45),8))="Win","W","L"),"")</f>
        <v>L</v>
      </c>
      <c r="E45" s="113" t="str">
        <f>IFERROR(IF(INDEX('Match Log'!$E$1:$E$810,_xlfn.AGGREGATE(14,6,ROW('Match Log'!$A$4:$A$810)/('Match Log'!$D$4:$D$810=$A45),7))="Win","W","L"),"")</f>
        <v>L</v>
      </c>
      <c r="F45" s="113" t="str">
        <f>IFERROR(IF(INDEX('Match Log'!$E$1:$E$810,_xlfn.AGGREGATE(14,6,ROW('Match Log'!$A$4:$A$810)/('Match Log'!$D$4:$D$810=$A45),6))="Win","W","L"),"")</f>
        <v>W</v>
      </c>
      <c r="G45" s="113" t="str">
        <f>IFERROR(IF(INDEX('Match Log'!$E$1:$E$810,_xlfn.AGGREGATE(14,6,ROW('Match Log'!$A$4:$A$810)/('Match Log'!$D$4:$D$810=$A45),5))="Win","W","L"),"")</f>
        <v>W</v>
      </c>
      <c r="H45" s="113" t="str">
        <f>IFERROR(IF(INDEX('Match Log'!$E$1:$E$810,_xlfn.AGGREGATE(14,6,ROW('Match Log'!$A$4:$A$810)/('Match Log'!$D$4:$D$810=$A45),4))="Win","W","L"),"")</f>
        <v>W</v>
      </c>
      <c r="I45" s="113" t="str">
        <f>IFERROR(IF(INDEX('Match Log'!$E$1:$E$810,_xlfn.AGGREGATE(14,6,ROW('Match Log'!$A$4:$A$810)/('Match Log'!$D$4:$D$810=$A45),3))="Win","W","L"),"")</f>
        <v>L</v>
      </c>
      <c r="J45" s="113" t="str">
        <f>IFERROR(IF(INDEX('Match Log'!$E$1:$E$810,_xlfn.AGGREGATE(14,6,ROW('Match Log'!$A$4:$A$810)/('Match Log'!$D$4:$D$810=$A45),2))="Win","W","L"),"")</f>
        <v>W</v>
      </c>
      <c r="K45" s="113" t="str">
        <f>IFERROR(IF(INDEX('Match Log'!$E$1:$E$810,_xlfn.AGGREGATE(14,6,ROW('Match Log'!$A$4:$A$810)/('Match Log'!$D$4:$D$810=$A45),1))="Win","W","L"),"")</f>
        <v>W</v>
      </c>
    </row>
    <row r="46" spans="1:21" x14ac:dyDescent="0.2">
      <c r="A46" s="92" t="s">
        <v>21</v>
      </c>
      <c r="B46" s="113" t="str">
        <f>IFERROR(IF(INDEX('Match Log'!$E$1:$E$810,_xlfn.AGGREGATE(14,6,ROW('Match Log'!$A$4:$A$810)/('Match Log'!$D$4:$D$810=$A46),10))="Win","W","L"),"")</f>
        <v>L</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W</v>
      </c>
      <c r="F46" s="113" t="str">
        <f>IFERROR(IF(INDEX('Match Log'!$E$1:$E$810,_xlfn.AGGREGATE(14,6,ROW('Match Log'!$A$4:$A$810)/('Match Log'!$D$4:$D$810=$A46),6))="Win","W","L"),"")</f>
        <v>W</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L</v>
      </c>
      <c r="J46" s="113" t="str">
        <f>IFERROR(IF(INDEX('Match Log'!$E$1:$E$810,_xlfn.AGGREGATE(14,6,ROW('Match Log'!$A$4:$A$810)/('Match Log'!$D$4:$D$810=$A46),2))="Win","W","L"),"")</f>
        <v>W</v>
      </c>
      <c r="K46" s="113" t="str">
        <f>IFERROR(IF(INDEX('Match Log'!$E$1:$E$810,_xlfn.AGGREGATE(14,6,ROW('Match Log'!$A$4:$A$810)/('Match Log'!$D$4:$D$810=$A46),1))="Win","W","L"),"")</f>
        <v>L</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W</v>
      </c>
      <c r="D47" s="113" t="str">
        <f>IFERROR(IF(INDEX('Match Log'!$E$1:$E$810,_xlfn.AGGREGATE(14,6,ROW('Match Log'!$A$4:$A$810)/('Match Log'!$D$4:$D$810=$A47),8))="Win","W","L"),"")</f>
        <v>L</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W</v>
      </c>
      <c r="H47" s="113" t="str">
        <f>IFERROR(IF(INDEX('Match Log'!$E$1:$E$810,_xlfn.AGGREGATE(14,6,ROW('Match Log'!$A$4:$A$810)/('Match Log'!$D$4:$D$810=$A47),4))="Win","W","L"),"")</f>
        <v>L</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W</v>
      </c>
      <c r="J50" s="113" t="str">
        <f>IFERROR(IF(INDEX('Match Log'!$E$1:$E$810,_xlfn.AGGREGATE(14,6,ROW('Match Log'!$A$4:$A$810)/('Match Log'!$D$4:$D$810=$A50),2))="Win","W","L"),"")</f>
        <v>W</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t="str">
        <f>IFERROR(INDEX('Sport Records'!$B$62:$O$86,MATCH($K$57,'Sport Records'!$A$62:$A$86,0),MATCH($A63,'Sport Records'!$B$61:$O$61,0)),"")</f>
        <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t="str">
        <f>IFERROR(INDEX('Sport Records'!$B$62:$O$86,MATCH($K$57,'Sport Records'!$A$62:$A$86,0),MATCH($A64,'Sport Records'!$B$61:$O$61,0)),"")</f>
        <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t="str">
        <f>IFERROR(INDEX('Sport Records'!$B$62:$O$86,MATCH($K$57,'Sport Records'!$A$62:$A$86,0),MATCH($A68,'Sport Records'!$B$61:$O$61,0)),"")</f>
        <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0.5</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622" activePane="bottomRight" state="frozen"/>
      <selection pane="topRight" activeCell="F1" sqref="F1"/>
      <selection pane="bottomLeft" activeCell="A442" sqref="A442"/>
      <selection pane="bottomRight" activeCell="E657" sqref="E657"/>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355</v>
      </c>
      <c r="B1" s="142"/>
      <c r="C1" s="142"/>
      <c r="D1" s="142"/>
      <c r="E1" s="142"/>
      <c r="F1" s="142"/>
      <c r="G1" s="142"/>
      <c r="H1" s="142"/>
      <c r="I1" s="142"/>
      <c r="J1" s="142"/>
      <c r="K1" s="142"/>
      <c r="L1" s="142"/>
      <c r="M1" s="142"/>
      <c r="N1" s="142"/>
      <c r="O1" s="142"/>
    </row>
    <row r="2" spans="1:29" ht="15" customHeight="1" x14ac:dyDescent="0.2">
      <c r="A2" s="161" t="s">
        <v>356</v>
      </c>
      <c r="B2" s="142"/>
      <c r="C2" s="142"/>
      <c r="D2" s="142"/>
      <c r="E2" s="142"/>
      <c r="F2" s="142"/>
      <c r="G2" s="142"/>
      <c r="H2" s="142"/>
      <c r="I2" s="142"/>
      <c r="J2" s="142"/>
      <c r="K2" s="142"/>
      <c r="L2" s="142"/>
      <c r="M2" s="142"/>
      <c r="N2" s="142"/>
      <c r="O2" s="142"/>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379</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380</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379</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380</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379</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380</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380</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379</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379</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380</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380</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380</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380</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380</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380</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380</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379</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380</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379</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380</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380</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380</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379</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380</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380</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380</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379</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380</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379</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380</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379</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380</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379</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380</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380</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379</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379</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380</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380</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379</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380</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379</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380</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380</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379</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379</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380</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379</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380</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379</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380</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380</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379</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380</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379</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379</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380</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379</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380</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379</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380</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380</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380</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379</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380</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380</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380</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379</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380</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380</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380</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379</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380</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380</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380</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380</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380</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379</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379</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380</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379</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380</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379</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380</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379</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380</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380</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380</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379</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380</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380</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380</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379</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379</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380</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380</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379</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380</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380</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380</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379</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380</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380</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379</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380</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379</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380</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379</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380</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380</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380</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380</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380</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379</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379</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380</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379</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380</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380</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379</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379</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380</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379</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380</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379</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380</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379</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380</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379</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380</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379</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380</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379</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380</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379</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380</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379</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380</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379</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6.0965312972524712</v>
      </c>
      <c r="K649" s="124">
        <f>IF($D649="",0,'Guide &amp; Settings'!$C$43*(IF($E649="Win",1,0)-$I649))</f>
        <v>7.5</v>
      </c>
      <c r="L649" s="125">
        <f>IF($D649="",0,'Guide &amp; Settings'!$C$44*IF($F649&gt;=3,$F649,0))</f>
        <v>3</v>
      </c>
      <c r="M649" s="124">
        <f t="shared" si="173"/>
        <v>16.596531297252472</v>
      </c>
      <c r="N649" s="122">
        <f t="shared" si="174"/>
        <v>995.50333084428144</v>
      </c>
      <c r="O649" s="121" t="str">
        <f t="shared" si="175"/>
        <v>OK</v>
      </c>
      <c r="P649">
        <f t="shared" si="176"/>
        <v>1030.184423315457</v>
      </c>
      <c r="Q649">
        <f t="shared" si="177"/>
        <v>0.42673674816354695</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1030.184423315457</v>
      </c>
      <c r="X649">
        <f t="shared" si="183"/>
        <v>0.42673674816354695</v>
      </c>
      <c r="Y649">
        <f t="shared" si="184"/>
        <v>1000</v>
      </c>
      <c r="Z649">
        <f t="shared" si="185"/>
        <v>0.5</v>
      </c>
      <c r="AA649">
        <f>IF($D649="",0,IF($F649&lt;2,0,IF($E649="Win",('Guide &amp; Settings'!$C$42/(($F649-1)*COUNTIFS($A$4:$A$810,$A649,$E$4:$E$810,"Win")))*SUMIFS($Z$4:$Z$810,$A$4:$A$810,$A649,$E$4:$E$810,"Loss"),-('Guide &amp; Settings'!$C$42/($F649-1))*$Z649)))</f>
        <v>3.9079128702576664</v>
      </c>
      <c r="AB649" s="126">
        <f t="shared" si="186"/>
        <v>1003.9079128702576</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379</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6.0965312972524712</v>
      </c>
      <c r="K650" s="124">
        <f>IF($D650="",0,'Guide &amp; Settings'!$C$43*(IF($E650="Win",1,0)-$I650))</f>
        <v>7.5</v>
      </c>
      <c r="L650" s="125">
        <f>IF($D650="",0,'Guide &amp; Settings'!$C$44*IF($F650&gt;=3,$F650,0))</f>
        <v>3</v>
      </c>
      <c r="M650" s="124">
        <f t="shared" si="173"/>
        <v>16.596531297252472</v>
      </c>
      <c r="N650" s="122">
        <f t="shared" si="174"/>
        <v>1098.0585783811377</v>
      </c>
      <c r="O650" s="121" t="str">
        <f t="shared" si="175"/>
        <v>OK</v>
      </c>
      <c r="P650">
        <f t="shared" si="176"/>
        <v>1030.184423315457</v>
      </c>
      <c r="Q650">
        <f t="shared" si="177"/>
        <v>0.57326325183645321</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1030.184423315457</v>
      </c>
      <c r="X650">
        <f t="shared" si="183"/>
        <v>0.57326325183645321</v>
      </c>
      <c r="Y650">
        <f t="shared" si="184"/>
        <v>1000</v>
      </c>
      <c r="Z650">
        <f t="shared" si="185"/>
        <v>0.5</v>
      </c>
      <c r="AA650">
        <f>IF($D650="",0,IF($F650&lt;2,0,IF($E650="Win",('Guide &amp; Settings'!$C$42/(($F650-1)*COUNTIFS($A$4:$A$810,$A650,$E$4:$E$810,"Win")))*SUMIFS($Z$4:$Z$810,$A$4:$A$810,$A650,$E$4:$E$810,"Loss"),-('Guide &amp; Settings'!$C$42/($F650-1))*$Z650)))</f>
        <v>3.9079128702576664</v>
      </c>
      <c r="AB650" s="126">
        <f t="shared" si="186"/>
        <v>1003.9079128702576</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380</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-12.193062594504942</v>
      </c>
      <c r="K651" s="124">
        <f>IF($D651="",0,'Guide &amp; Settings'!$C$43*(IF($E651="Win",1,0)-$I651))</f>
        <v>-3</v>
      </c>
      <c r="L651" s="125">
        <f>IF($D651="",0,'Guide &amp; Settings'!$C$44*IF($F651&gt;=3,$F651,0))</f>
        <v>3</v>
      </c>
      <c r="M651" s="124">
        <f t="shared" si="173"/>
        <v>-12.193062594504942</v>
      </c>
      <c r="N651" s="122">
        <f t="shared" si="174"/>
        <v>1268.2860376404833</v>
      </c>
      <c r="O651" s="121" t="str">
        <f t="shared" si="175"/>
        <v>OK</v>
      </c>
      <c r="P651">
        <f t="shared" si="176"/>
        <v>1030.184423315457</v>
      </c>
      <c r="Q651">
        <f t="shared" si="177"/>
        <v>0.80858035967405983</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1030.184423315457</v>
      </c>
      <c r="X651">
        <f t="shared" si="183"/>
        <v>0.7620664121565589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380</v>
      </c>
      <c r="F652" s="120">
        <f t="shared" si="170"/>
        <v>3</v>
      </c>
      <c r="G652" s="121" t="str">
        <f t="shared" si="171"/>
        <v>Shawn</v>
      </c>
      <c r="H652" s="122">
        <f>IF($D652="",0,IFERROR(LOOKUP(2,1/(($D$3:D651=$D652)*($A$3:A651&lt;$A652)),$N$3:N651),'Guide &amp; Settings'!$C$41))</f>
        <v>995.50333084428144</v>
      </c>
      <c r="I652" s="123">
        <f t="shared" si="172"/>
        <v>0.42105263157894735</v>
      </c>
      <c r="J652" s="124">
        <f>IF($D652="",0,IF($F652&lt;2,0,IF($E652="Win",('Guide &amp; Settings'!$C$42/(($F652-1)*COUNTIFS($A$4:$A$810,$A652,$E$4:$E$810,"Win")))*SUMIFS($X$4:$X$810,$A$4:$A$810,$A652,$E$4:$E$810,"Loss"),-('Guide &amp; Settings'!$C$42/($F652-1))*$X652)))</f>
        <v>-4.0110369745573884</v>
      </c>
      <c r="K652" s="124">
        <f>IF($D652="",0,'Guide &amp; Settings'!$C$43*(IF($E652="Win",1,0)-$I652))</f>
        <v>-5.0526315789473681</v>
      </c>
      <c r="L652" s="125">
        <f>IF($D652="",0,'Guide &amp; Settings'!$C$44*IF($F652&gt;=3,$F652,0))</f>
        <v>3</v>
      </c>
      <c r="M652" s="124">
        <f t="shared" si="173"/>
        <v>-6.0636685535047565</v>
      </c>
      <c r="N652" s="122">
        <f t="shared" si="174"/>
        <v>989.43966229077671</v>
      </c>
      <c r="O652" s="121" t="str">
        <f t="shared" si="175"/>
        <v>OK</v>
      </c>
      <c r="P652">
        <f t="shared" si="176"/>
        <v>1268.2860376404833</v>
      </c>
      <c r="Q652">
        <f t="shared" si="177"/>
        <v>0.17217883300268683</v>
      </c>
      <c r="R652">
        <f t="shared" si="178"/>
        <v>0.66666666666666663</v>
      </c>
      <c r="S652">
        <f t="shared" si="179"/>
        <v>1.5833333333333333</v>
      </c>
      <c r="T652" s="89">
        <f t="shared" si="180"/>
        <v>1</v>
      </c>
      <c r="U652" s="126">
        <f>IF($D652="",0,IFERROR(LOOKUP(2,1/(($D$3:D651=$D652)*($C$3:C651=$C652)*($A$3:A651&lt;$A652)),$AB$3:AB651),1000))</f>
        <v>1003.9079128702576</v>
      </c>
      <c r="V652" s="126">
        <f t="shared" si="181"/>
        <v>996.90409451527751</v>
      </c>
      <c r="W652">
        <f t="shared" si="182"/>
        <v>1187.1140766744836</v>
      </c>
      <c r="X652">
        <f t="shared" si="183"/>
        <v>0.25068981090983677</v>
      </c>
      <c r="Y652">
        <f t="shared" si="184"/>
        <v>984.18417425948462</v>
      </c>
      <c r="Z652">
        <f t="shared" si="185"/>
        <v>0.52835428828382947</v>
      </c>
      <c r="AA652">
        <f>IF($D652="",0,IF($F652&lt;2,0,IF($E652="Win",('Guide &amp; Settings'!$C$42/(($F652-1)*COUNTIFS($A$4:$A$810,$A652,$E$4:$E$810,"Win")))*SUMIFS($Z$4:$Z$810,$A$4:$A$810,$A652,$E$4:$E$810,"Loss"),-('Guide &amp; Settings'!$C$42/($F652-1))*$Z652)))</f>
        <v>-8.4536686125412714</v>
      </c>
      <c r="AB652" s="126">
        <f t="shared" si="186"/>
        <v>995.45424425771637</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380</v>
      </c>
      <c r="F653" s="120">
        <f t="shared" si="170"/>
        <v>3</v>
      </c>
      <c r="G653" s="121" t="str">
        <f t="shared" si="171"/>
        <v>Shawn</v>
      </c>
      <c r="H653" s="122">
        <f>IF($D653="",0,IFERROR(LOOKUP(2,1/(($D$3:D652=$D653)*($A$3:A652&lt;$A653)),$N$3:N652),'Guide &amp; Settings'!$C$41))</f>
        <v>1098.0585783811377</v>
      </c>
      <c r="I653" s="123">
        <f t="shared" si="172"/>
        <v>0.42105263157894735</v>
      </c>
      <c r="J653" s="124">
        <f>IF($D653="",0,IF($F653&lt;2,0,IF($E653="Win",('Guide &amp; Settings'!$C$42/(($F653-1)*COUNTIFS($A$4:$A$810,$A653,$E$4:$E$810,"Win")))*SUMIFS($X$4:$X$810,$A$4:$A$810,$A653,$E$4:$E$810,"Loss"),-('Guide &amp; Settings'!$C$42/($F653-1))*$X653)))</f>
        <v>-5.6586181212116315</v>
      </c>
      <c r="K653" s="124">
        <f>IF($D653="",0,'Guide &amp; Settings'!$C$43*(IF($E653="Win",1,0)-$I653))</f>
        <v>-5.0526315789473681</v>
      </c>
      <c r="L653" s="125">
        <f>IF($D653="",0,'Guide &amp; Settings'!$C$44*IF($F653&gt;=3,$F653,0))</f>
        <v>3</v>
      </c>
      <c r="M653" s="124">
        <f t="shared" si="173"/>
        <v>-7.7112497001589997</v>
      </c>
      <c r="N653" s="122">
        <f t="shared" si="174"/>
        <v>1090.3473286809788</v>
      </c>
      <c r="O653" s="121" t="str">
        <f t="shared" si="175"/>
        <v>OK</v>
      </c>
      <c r="P653">
        <f t="shared" si="176"/>
        <v>1268.2860376404833</v>
      </c>
      <c r="Q653">
        <f t="shared" si="177"/>
        <v>0.27291003383648649</v>
      </c>
      <c r="R653">
        <f t="shared" si="178"/>
        <v>0.66666666666666663</v>
      </c>
      <c r="S653">
        <f t="shared" si="179"/>
        <v>1.5833333333333333</v>
      </c>
      <c r="T653" s="89">
        <f t="shared" si="180"/>
        <v>1</v>
      </c>
      <c r="U653" s="126">
        <f>IF($D653="",0,IFERROR(LOOKUP(2,1/(($D$3:D652=$D653)*($C$3:C652=$C653)*($A$3:A652&lt;$A653)),$AB$3:AB652),1000))</f>
        <v>1003.9079128702576</v>
      </c>
      <c r="V653" s="126">
        <f t="shared" si="181"/>
        <v>1082.3668007959911</v>
      </c>
      <c r="W653">
        <f t="shared" si="182"/>
        <v>1187.1140766744836</v>
      </c>
      <c r="X653">
        <f t="shared" si="183"/>
        <v>0.35366363257572697</v>
      </c>
      <c r="Y653">
        <f t="shared" si="184"/>
        <v>984.18417425948462</v>
      </c>
      <c r="Z653">
        <f t="shared" si="185"/>
        <v>0.52835428828382947</v>
      </c>
      <c r="AA653">
        <f>IF($D653="",0,IF($F653&lt;2,0,IF($E653="Win",('Guide &amp; Settings'!$C$42/(($F653-1)*COUNTIFS($A$4:$A$810,$A653,$E$4:$E$810,"Win")))*SUMIFS($Z$4:$Z$810,$A$4:$A$810,$A653,$E$4:$E$810,"Loss"),-('Guide &amp; Settings'!$C$42/($F653-1))*$Z653)))</f>
        <v>-8.4536686125412714</v>
      </c>
      <c r="AB653" s="126">
        <f t="shared" si="186"/>
        <v>995.45424425771637</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379</v>
      </c>
      <c r="F654" s="120">
        <f t="shared" si="170"/>
        <v>3</v>
      </c>
      <c r="G654" s="121" t="str">
        <f t="shared" si="171"/>
        <v>Shawn</v>
      </c>
      <c r="H654" s="122">
        <f>IF($D654="",0,IFERROR(LOOKUP(2,1/(($D$3:D653=$D654)*($A$3:A653&lt;$A654)),$N$3:N653),'Guide &amp; Settings'!$C$41))</f>
        <v>1268.2860376404833</v>
      </c>
      <c r="I654" s="123">
        <f t="shared" si="172"/>
        <v>0.15789473684210528</v>
      </c>
      <c r="J654" s="124">
        <f>IF($D654="",0,IF($F654&lt;2,0,IF($E654="Win",('Guide &amp; Settings'!$C$42/(($F654-1)*COUNTIFS($A$4:$A$810,$A654,$E$4:$E$810,"Win")))*SUMIFS($X$4:$X$810,$A$4:$A$810,$A654,$E$4:$E$810,"Loss"),-('Guide &amp; Settings'!$C$42/($F654-1))*$X654)))</f>
        <v>9.6696550957690199</v>
      </c>
      <c r="K654" s="124">
        <f>IF($D654="",0,'Guide &amp; Settings'!$C$43*(IF($E654="Win",1,0)-$I654))</f>
        <v>10.105263157894736</v>
      </c>
      <c r="L654" s="125">
        <f>IF($D654="",0,'Guide &amp; Settings'!$C$44*IF($F654&gt;=3,$F654,0))</f>
        <v>3</v>
      </c>
      <c r="M654" s="124">
        <f t="shared" si="173"/>
        <v>22.774918253663756</v>
      </c>
      <c r="N654" s="122">
        <f t="shared" si="174"/>
        <v>1291.0609558941471</v>
      </c>
      <c r="O654" s="121" t="str">
        <f t="shared" si="175"/>
        <v>OK</v>
      </c>
      <c r="P654">
        <f t="shared" si="176"/>
        <v>1268.2860376404833</v>
      </c>
      <c r="Q654">
        <f t="shared" si="177"/>
        <v>0.5</v>
      </c>
      <c r="R654">
        <f t="shared" si="178"/>
        <v>0.25</v>
      </c>
      <c r="S654">
        <f t="shared" si="179"/>
        <v>1.5833333333333333</v>
      </c>
      <c r="T654" s="89">
        <f t="shared" si="180"/>
        <v>2</v>
      </c>
      <c r="U654" s="126">
        <f>IF($D654="",0,IFERROR(LOOKUP(2,1/(($D$3:D653=$D654)*($C$3:C653=$C654)*($A$3:A653&lt;$A654)),$AB$3:AB653),1000))</f>
        <v>984.18417425948462</v>
      </c>
      <c r="V654" s="126">
        <f t="shared" si="181"/>
        <v>1187.1140766744836</v>
      </c>
      <c r="W654">
        <f t="shared" si="182"/>
        <v>1187.1140766744836</v>
      </c>
      <c r="X654">
        <f t="shared" si="183"/>
        <v>0.5</v>
      </c>
      <c r="Y654">
        <f t="shared" si="184"/>
        <v>984.18417425948462</v>
      </c>
      <c r="Z654">
        <f t="shared" si="185"/>
        <v>0.5</v>
      </c>
      <c r="AA654">
        <f>IF($D654="",0,IF($F654&lt;2,0,IF($E654="Win",('Guide &amp; Settings'!$C$42/(($F654-1)*COUNTIFS($A$4:$A$810,$A654,$E$4:$E$810,"Win")))*SUMIFS($Z$4:$Z$810,$A$4:$A$810,$A654,$E$4:$E$810,"Loss"),-('Guide &amp; Settings'!$C$42/($F654-1))*$Z654)))</f>
        <v>16.907337225082543</v>
      </c>
      <c r="AB654" s="126">
        <f t="shared" si="186"/>
        <v>1001.0915114845671</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379</v>
      </c>
      <c r="F655" s="120">
        <f t="shared" si="170"/>
        <v>2</v>
      </c>
      <c r="G655" s="121" t="str">
        <f t="shared" si="171"/>
        <v>Shawn</v>
      </c>
      <c r="H655" s="122">
        <f>IF($D655="",0,IFERROR(LOOKUP(2,1/(($D$3:D654=$D655)*($A$3:A654&lt;$A655)),$N$3:N654),'Guide &amp; Settings'!$C$41))</f>
        <v>1291.0609558941471</v>
      </c>
      <c r="I655" s="123">
        <f t="shared" si="172"/>
        <v>0.83333333333333337</v>
      </c>
      <c r="J655" s="124">
        <f>IF($D655="",0,IF($F655&lt;2,0,IF($E655="Win",('Guide &amp; Settings'!$C$42/(($F655-1)*COUNTIFS($A$4:$A$810,$A655,$E$4:$E$810,"Win")))*SUMIFS($X$4:$X$810,$A$4:$A$810,$A655,$E$4:$E$810,"Loss"),-('Guide &amp; Settings'!$C$42/($F655-1))*$X655)))</f>
        <v>7.6326119298512003</v>
      </c>
      <c r="K655" s="124">
        <f>IF($D655="",0,'Guide &amp; Settings'!$C$43*(IF($E655="Win",1,0)-$I655))</f>
        <v>1.9999999999999996</v>
      </c>
      <c r="L655" s="125">
        <f>IF($D655="",0,'Guide &amp; Settings'!$C$44*IF($F655&gt;=3,$F655,0))</f>
        <v>0</v>
      </c>
      <c r="M655" s="124">
        <f t="shared" si="173"/>
        <v>9.6326119298511994</v>
      </c>
      <c r="N655" s="122">
        <f t="shared" si="174"/>
        <v>1300.6935678239984</v>
      </c>
      <c r="O655" s="121" t="str">
        <f t="shared" si="175"/>
        <v>OK</v>
      </c>
      <c r="P655">
        <f t="shared" si="176"/>
        <v>1291.0609558941471</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1186.5009499985251</v>
      </c>
      <c r="W655">
        <f t="shared" si="182"/>
        <v>1186.5009499985251</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380</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-7.6326119298512003</v>
      </c>
      <c r="K656" s="124">
        <f>IF($D656="",0,'Guide &amp; Settings'!$C$43*(IF($E656="Win",1,0)-$I656))</f>
        <v>-2</v>
      </c>
      <c r="L656" s="125">
        <f>IF($D656="",0,'Guide &amp; Settings'!$C$44*IF($F656&gt;=3,$F656,0))</f>
        <v>0</v>
      </c>
      <c r="M656" s="124">
        <f t="shared" si="173"/>
        <v>-9.6326119298512012</v>
      </c>
      <c r="N656" s="122">
        <f t="shared" si="174"/>
        <v>1007.7320775880701</v>
      </c>
      <c r="O656" s="121" t="str">
        <f t="shared" si="175"/>
        <v>OK</v>
      </c>
      <c r="P656">
        <f t="shared" si="176"/>
        <v>1291.0609558941471</v>
      </c>
      <c r="Q656">
        <f t="shared" si="177"/>
        <v>0.17143056048404484</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1186.5009499985251</v>
      </c>
      <c r="X656">
        <f t="shared" si="183"/>
        <v>0.23851912280785001</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c r="B657" s="118"/>
      <c r="C657" s="119"/>
      <c r="D657" s="119"/>
      <c r="E657" s="117"/>
      <c r="F657" s="120">
        <f t="shared" si="170"/>
        <v>0</v>
      </c>
      <c r="G657" s="121" t="str">
        <f t="shared" si="171"/>
        <v/>
      </c>
      <c r="H657" s="122">
        <f>IF($D657="",0,IFERROR(LOOKUP(2,1/(($D$3:D656=$D657)*($A$3:A656&lt;$A657)),$N$3:N656),'Guide &amp; Settings'!$C$41))</f>
        <v>0</v>
      </c>
      <c r="I657" s="123">
        <f t="shared" si="172"/>
        <v>0</v>
      </c>
      <c r="J657" s="124">
        <f>IF($D657="",0,IF($F657&lt;2,0,IF($E657="Win",('Guide &amp; Settings'!$C$42/(($F657-1)*COUNTIFS($A$4:$A$810,$A657,$E$4:$E$810,"Win")))*SUMIFS($X$4:$X$810,$A$4:$A$810,$A657,$E$4:$E$810,"Loss"),-('Guide &amp; Settings'!$C$42/($F657-1))*$X657)))</f>
        <v>0</v>
      </c>
      <c r="K657" s="124">
        <f>IF($D657="",0,'Guide &amp; Settings'!$C$43*(IF($E657="Win",1,0)-$I657))</f>
        <v>0</v>
      </c>
      <c r="L657" s="125">
        <f>IF($D657="",0,'Guide &amp; Settings'!$C$44*IF($F657&gt;=3,$F657,0))</f>
        <v>0</v>
      </c>
      <c r="M657" s="124">
        <f t="shared" si="173"/>
        <v>0</v>
      </c>
      <c r="N657" s="122">
        <f t="shared" si="174"/>
        <v>0</v>
      </c>
      <c r="O657" s="121" t="str">
        <f t="shared" si="175"/>
        <v/>
      </c>
      <c r="P657">
        <f t="shared" si="176"/>
        <v>0</v>
      </c>
      <c r="Q657">
        <f t="shared" si="177"/>
        <v>0</v>
      </c>
      <c r="R657">
        <f t="shared" si="178"/>
        <v>0</v>
      </c>
      <c r="S657">
        <f t="shared" si="179"/>
        <v>0</v>
      </c>
      <c r="T657" s="89">
        <f t="shared" si="180"/>
        <v>0</v>
      </c>
      <c r="U657" s="126">
        <f>IF($D657="",0,IFERROR(LOOKUP(2,1/(($D$3:D656=$D657)*($C$3:C656=$C657)*($A$3:A656&lt;$A657)),$AB$3:AB656),1000))</f>
        <v>0</v>
      </c>
      <c r="V657" s="126">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6">
        <f t="shared" si="186"/>
        <v>0</v>
      </c>
      <c r="AC657" s="126" t="str"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
      </c>
    </row>
    <row r="658" spans="1:29" x14ac:dyDescent="0.2">
      <c r="A658" s="117"/>
      <c r="B658" s="118"/>
      <c r="C658" s="119"/>
      <c r="D658" s="119"/>
      <c r="E658" s="117"/>
      <c r="F658" s="120">
        <f t="shared" si="170"/>
        <v>0</v>
      </c>
      <c r="G658" s="121" t="str">
        <f t="shared" si="171"/>
        <v/>
      </c>
      <c r="H658" s="122">
        <f>IF($D658="",0,IFERROR(LOOKUP(2,1/(($D$3:D657=$D658)*($A$3:A657&lt;$A658)),$N$3:N657),'Guide &amp; Settings'!$C$41))</f>
        <v>0</v>
      </c>
      <c r="I658" s="123">
        <f t="shared" si="172"/>
        <v>0</v>
      </c>
      <c r="J658" s="124">
        <f>IF($D658="",0,IF($F658&lt;2,0,IF($E658="Win",('Guide &amp; Settings'!$C$42/(($F658-1)*COUNTIFS($A$4:$A$810,$A658,$E$4:$E$810,"Win")))*SUMIFS($X$4:$X$810,$A$4:$A$810,$A658,$E$4:$E$810,"Loss"),-('Guide &amp; Settings'!$C$42/($F658-1))*$X658)))</f>
        <v>0</v>
      </c>
      <c r="K658" s="124">
        <f>IF($D658="",0,'Guide &amp; Settings'!$C$43*(IF($E658="Win",1,0)-$I658))</f>
        <v>0</v>
      </c>
      <c r="L658" s="125">
        <f>IF($D658="",0,'Guide &amp; Settings'!$C$44*IF($F658&gt;=3,$F658,0))</f>
        <v>0</v>
      </c>
      <c r="M658" s="124">
        <f t="shared" si="173"/>
        <v>0</v>
      </c>
      <c r="N658" s="122">
        <f t="shared" si="174"/>
        <v>0</v>
      </c>
      <c r="O658" s="121" t="str">
        <f t="shared" si="175"/>
        <v/>
      </c>
      <c r="P658">
        <f t="shared" si="176"/>
        <v>0</v>
      </c>
      <c r="Q658">
        <f t="shared" si="177"/>
        <v>0</v>
      </c>
      <c r="R658">
        <f t="shared" si="178"/>
        <v>0</v>
      </c>
      <c r="S658">
        <f t="shared" si="179"/>
        <v>0</v>
      </c>
      <c r="T658" s="89">
        <f t="shared" si="180"/>
        <v>0</v>
      </c>
      <c r="U658" s="126">
        <f>IF($D658="",0,IFERROR(LOOKUP(2,1/(($D$3:D657=$D658)*($C$3:C657=$C658)*($A$3:A657&lt;$A658)),$AB$3:AB657),1000))</f>
        <v>0</v>
      </c>
      <c r="V658" s="126">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6">
        <f t="shared" si="186"/>
        <v>0</v>
      </c>
      <c r="AC658" s="126" t="str"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
      </c>
    </row>
    <row r="659" spans="1:29" x14ac:dyDescent="0.2">
      <c r="A659" s="117"/>
      <c r="B659" s="118"/>
      <c r="C659" s="119"/>
      <c r="D659" s="119"/>
      <c r="E659" s="117"/>
      <c r="F659" s="120">
        <f t="shared" si="170"/>
        <v>0</v>
      </c>
      <c r="G659" s="121" t="str">
        <f t="shared" si="171"/>
        <v/>
      </c>
      <c r="H659" s="122">
        <f>IF($D659="",0,IFERROR(LOOKUP(2,1/(($D$3:D658=$D659)*($A$3:A658&lt;$A659)),$N$3:N658),'Guide &amp; Settings'!$C$41))</f>
        <v>0</v>
      </c>
      <c r="I659" s="123">
        <f t="shared" si="172"/>
        <v>0</v>
      </c>
      <c r="J659" s="124">
        <f>IF($D659="",0,IF($F659&lt;2,0,IF($E659="Win",('Guide &amp; Settings'!$C$42/(($F659-1)*COUNTIFS($A$4:$A$810,$A659,$E$4:$E$810,"Win")))*SUMIFS($X$4:$X$810,$A$4:$A$810,$A659,$E$4:$E$810,"Loss"),-('Guide &amp; Settings'!$C$42/($F659-1))*$X659)))</f>
        <v>0</v>
      </c>
      <c r="K659" s="124">
        <f>IF($D659="",0,'Guide &amp; Settings'!$C$43*(IF($E659="Win",1,0)-$I659))</f>
        <v>0</v>
      </c>
      <c r="L659" s="125">
        <f>IF($D659="",0,'Guide &amp; Settings'!$C$44*IF($F659&gt;=3,$F659,0))</f>
        <v>0</v>
      </c>
      <c r="M659" s="124">
        <f t="shared" si="173"/>
        <v>0</v>
      </c>
      <c r="N659" s="122">
        <f t="shared" si="174"/>
        <v>0</v>
      </c>
      <c r="O659" s="121" t="str">
        <f t="shared" si="175"/>
        <v/>
      </c>
      <c r="P659">
        <f t="shared" si="176"/>
        <v>0</v>
      </c>
      <c r="Q659">
        <f t="shared" si="177"/>
        <v>0</v>
      </c>
      <c r="R659">
        <f t="shared" si="178"/>
        <v>0</v>
      </c>
      <c r="S659">
        <f t="shared" si="179"/>
        <v>0</v>
      </c>
      <c r="T659" s="89">
        <f t="shared" si="180"/>
        <v>0</v>
      </c>
      <c r="U659" s="126">
        <f>IF($D659="",0,IFERROR(LOOKUP(2,1/(($D$3:D658=$D659)*($C$3:C658=$C659)*($A$3:A658&lt;$A659)),$AB$3:AB658),1000))</f>
        <v>0</v>
      </c>
      <c r="V659" s="126">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6">
        <f t="shared" si="186"/>
        <v>0</v>
      </c>
      <c r="AC659" s="126" t="str"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
      </c>
    </row>
    <row r="660" spans="1:29" x14ac:dyDescent="0.2">
      <c r="A660" s="117"/>
      <c r="B660" s="118"/>
      <c r="C660" s="119"/>
      <c r="D660" s="119"/>
      <c r="E660" s="117"/>
      <c r="F660" s="120">
        <f t="shared" si="170"/>
        <v>0</v>
      </c>
      <c r="G660" s="121" t="str">
        <f t="shared" si="171"/>
        <v/>
      </c>
      <c r="H660" s="122">
        <f>IF($D660="",0,IFERROR(LOOKUP(2,1/(($D$3:D659=$D660)*($A$3:A659&lt;$A660)),$N$3:N659),'Guide &amp; Settings'!$C$41))</f>
        <v>0</v>
      </c>
      <c r="I660" s="123">
        <f t="shared" si="172"/>
        <v>0</v>
      </c>
      <c r="J660" s="124">
        <f>IF($D660="",0,IF($F660&lt;2,0,IF($E660="Win",('Guide &amp; Settings'!$C$42/(($F660-1)*COUNTIFS($A$4:$A$810,$A660,$E$4:$E$810,"Win")))*SUMIFS($X$4:$X$810,$A$4:$A$810,$A660,$E$4:$E$810,"Loss"),-('Guide &amp; Settings'!$C$42/($F660-1))*$X660)))</f>
        <v>0</v>
      </c>
      <c r="K660" s="124">
        <f>IF($D660="",0,'Guide &amp; Settings'!$C$43*(IF($E660="Win",1,0)-$I660))</f>
        <v>0</v>
      </c>
      <c r="L660" s="125">
        <f>IF($D660="",0,'Guide &amp; Settings'!$C$44*IF($F660&gt;=3,$F660,0))</f>
        <v>0</v>
      </c>
      <c r="M660" s="124">
        <f t="shared" si="173"/>
        <v>0</v>
      </c>
      <c r="N660" s="122">
        <f t="shared" si="174"/>
        <v>0</v>
      </c>
      <c r="O660" s="121" t="str">
        <f t="shared" si="175"/>
        <v/>
      </c>
      <c r="P660">
        <f t="shared" si="176"/>
        <v>0</v>
      </c>
      <c r="Q660">
        <f t="shared" si="177"/>
        <v>0</v>
      </c>
      <c r="R660">
        <f t="shared" si="178"/>
        <v>0</v>
      </c>
      <c r="S660">
        <f t="shared" si="179"/>
        <v>0</v>
      </c>
      <c r="T660" s="89">
        <f t="shared" si="180"/>
        <v>0</v>
      </c>
      <c r="U660" s="126">
        <f>IF($D660="",0,IFERROR(LOOKUP(2,1/(($D$3:D659=$D660)*($C$3:C659=$C660)*($A$3:A659&lt;$A660)),$AB$3:AB659),1000))</f>
        <v>0</v>
      </c>
      <c r="V660" s="126">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6">
        <f t="shared" si="186"/>
        <v>0</v>
      </c>
      <c r="AC660" s="126" t="str"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
      </c>
    </row>
    <row r="661" spans="1:29" x14ac:dyDescent="0.2">
      <c r="A661" s="117"/>
      <c r="B661" s="118"/>
      <c r="C661" s="119"/>
      <c r="D661" s="119"/>
      <c r="E661" s="117"/>
      <c r="F661" s="120">
        <f t="shared" si="170"/>
        <v>0</v>
      </c>
      <c r="G661" s="121" t="str">
        <f t="shared" si="171"/>
        <v/>
      </c>
      <c r="H661" s="122">
        <f>IF($D661="",0,IFERROR(LOOKUP(2,1/(($D$3:D660=$D661)*($A$3:A660&lt;$A661)),$N$3:N660),'Guide &amp; Settings'!$C$41))</f>
        <v>0</v>
      </c>
      <c r="I661" s="123">
        <f t="shared" si="172"/>
        <v>0</v>
      </c>
      <c r="J661" s="124">
        <f>IF($D661="",0,IF($F661&lt;2,0,IF($E661="Win",('Guide &amp; Settings'!$C$42/(($F661-1)*COUNTIFS($A$4:$A$810,$A661,$E$4:$E$810,"Win")))*SUMIFS($X$4:$X$810,$A$4:$A$810,$A661,$E$4:$E$810,"Loss"),-('Guide &amp; Settings'!$C$42/($F661-1))*$X661)))</f>
        <v>0</v>
      </c>
      <c r="K661" s="124">
        <f>IF($D661="",0,'Guide &amp; Settings'!$C$43*(IF($E661="Win",1,0)-$I661))</f>
        <v>0</v>
      </c>
      <c r="L661" s="125">
        <f>IF($D661="",0,'Guide &amp; Settings'!$C$44*IF($F661&gt;=3,$F661,0))</f>
        <v>0</v>
      </c>
      <c r="M661" s="124">
        <f t="shared" si="173"/>
        <v>0</v>
      </c>
      <c r="N661" s="122">
        <f t="shared" si="174"/>
        <v>0</v>
      </c>
      <c r="O661" s="121" t="str">
        <f t="shared" si="175"/>
        <v/>
      </c>
      <c r="P661">
        <f t="shared" si="176"/>
        <v>0</v>
      </c>
      <c r="Q661">
        <f t="shared" si="177"/>
        <v>0</v>
      </c>
      <c r="R661">
        <f t="shared" si="178"/>
        <v>0</v>
      </c>
      <c r="S661">
        <f t="shared" si="179"/>
        <v>0</v>
      </c>
      <c r="T661" s="89">
        <f t="shared" si="180"/>
        <v>0</v>
      </c>
      <c r="U661" s="126">
        <f>IF($D661="",0,IFERROR(LOOKUP(2,1/(($D$3:D660=$D661)*($C$3:C660=$C661)*($A$3:A660&lt;$A661)),$AB$3:AB660),1000))</f>
        <v>0</v>
      </c>
      <c r="V661" s="126">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6">
        <f t="shared" si="186"/>
        <v>0</v>
      </c>
      <c r="AC661" s="126" t="str"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
      </c>
    </row>
    <row r="662" spans="1:29" x14ac:dyDescent="0.2">
      <c r="A662" s="117"/>
      <c r="B662" s="118"/>
      <c r="C662" s="119"/>
      <c r="D662" s="119"/>
      <c r="E662" s="117"/>
      <c r="F662" s="120">
        <f t="shared" si="170"/>
        <v>0</v>
      </c>
      <c r="G662" s="121" t="str">
        <f t="shared" si="171"/>
        <v/>
      </c>
      <c r="H662" s="122">
        <f>IF($D662="",0,IFERROR(LOOKUP(2,1/(($D$3:D661=$D662)*($A$3:A661&lt;$A662)),$N$3:N661),'Guide &amp; Settings'!$C$41))</f>
        <v>0</v>
      </c>
      <c r="I662" s="123">
        <f t="shared" si="172"/>
        <v>0</v>
      </c>
      <c r="J662" s="124">
        <f>IF($D662="",0,IF($F662&lt;2,0,IF($E662="Win",('Guide &amp; Settings'!$C$42/(($F662-1)*COUNTIFS($A$4:$A$810,$A662,$E$4:$E$810,"Win")))*SUMIFS($X$4:$X$810,$A$4:$A$810,$A662,$E$4:$E$810,"Loss"),-('Guide &amp; Settings'!$C$42/($F662-1))*$X662)))</f>
        <v>0</v>
      </c>
      <c r="K662" s="124">
        <f>IF($D662="",0,'Guide &amp; Settings'!$C$43*(IF($E662="Win",1,0)-$I662))</f>
        <v>0</v>
      </c>
      <c r="L662" s="125">
        <f>IF($D662="",0,'Guide &amp; Settings'!$C$44*IF($F662&gt;=3,$F662,0))</f>
        <v>0</v>
      </c>
      <c r="M662" s="124">
        <f t="shared" si="173"/>
        <v>0</v>
      </c>
      <c r="N662" s="122">
        <f t="shared" si="174"/>
        <v>0</v>
      </c>
      <c r="O662" s="121" t="str">
        <f t="shared" si="175"/>
        <v/>
      </c>
      <c r="P662">
        <f t="shared" si="176"/>
        <v>0</v>
      </c>
      <c r="Q662">
        <f t="shared" si="177"/>
        <v>0</v>
      </c>
      <c r="R662">
        <f t="shared" si="178"/>
        <v>0</v>
      </c>
      <c r="S662">
        <f t="shared" si="179"/>
        <v>0</v>
      </c>
      <c r="T662" s="89">
        <f t="shared" si="180"/>
        <v>0</v>
      </c>
      <c r="U662" s="126">
        <f>IF($D662="",0,IFERROR(LOOKUP(2,1/(($D$3:D661=$D662)*($C$3:C661=$C662)*($A$3:A661&lt;$A662)),$AB$3:AB661),1000))</f>
        <v>0</v>
      </c>
      <c r="V662" s="126">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6">
        <f t="shared" si="186"/>
        <v>0</v>
      </c>
      <c r="AC662" s="126" t="str"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
      </c>
    </row>
    <row r="663" spans="1:29" x14ac:dyDescent="0.2">
      <c r="A663" s="117"/>
      <c r="B663" s="118"/>
      <c r="C663" s="119"/>
      <c r="D663" s="119"/>
      <c r="E663" s="117"/>
      <c r="F663" s="120">
        <f t="shared" si="170"/>
        <v>0</v>
      </c>
      <c r="G663" s="121" t="str">
        <f t="shared" si="171"/>
        <v/>
      </c>
      <c r="H663" s="122">
        <f>IF($D663="",0,IFERROR(LOOKUP(2,1/(($D$3:D662=$D663)*($A$3:A662&lt;$A663)),$N$3:N662),'Guide &amp; Settings'!$C$41))</f>
        <v>0</v>
      </c>
      <c r="I663" s="123">
        <f t="shared" si="172"/>
        <v>0</v>
      </c>
      <c r="J663" s="124">
        <f>IF($D663="",0,IF($F663&lt;2,0,IF($E663="Win",('Guide &amp; Settings'!$C$42/(($F663-1)*COUNTIFS($A$4:$A$810,$A663,$E$4:$E$810,"Win")))*SUMIFS($X$4:$X$810,$A$4:$A$810,$A663,$E$4:$E$810,"Loss"),-('Guide &amp; Settings'!$C$42/($F663-1))*$X663)))</f>
        <v>0</v>
      </c>
      <c r="K663" s="124">
        <f>IF($D663="",0,'Guide &amp; Settings'!$C$43*(IF($E663="Win",1,0)-$I663))</f>
        <v>0</v>
      </c>
      <c r="L663" s="125">
        <f>IF($D663="",0,'Guide &amp; Settings'!$C$44*IF($F663&gt;=3,$F663,0))</f>
        <v>0</v>
      </c>
      <c r="M663" s="124">
        <f t="shared" si="173"/>
        <v>0</v>
      </c>
      <c r="N663" s="122">
        <f t="shared" si="174"/>
        <v>0</v>
      </c>
      <c r="O663" s="121" t="str">
        <f t="shared" si="175"/>
        <v/>
      </c>
      <c r="P663">
        <f t="shared" si="176"/>
        <v>0</v>
      </c>
      <c r="Q663">
        <f t="shared" si="177"/>
        <v>0</v>
      </c>
      <c r="R663">
        <f t="shared" si="178"/>
        <v>0</v>
      </c>
      <c r="S663">
        <f t="shared" si="179"/>
        <v>0</v>
      </c>
      <c r="T663" s="89">
        <f t="shared" si="180"/>
        <v>0</v>
      </c>
      <c r="U663" s="126">
        <f>IF($D663="",0,IFERROR(LOOKUP(2,1/(($D$3:D662=$D663)*($C$3:C662=$C663)*($A$3:A662&lt;$A663)),$AB$3:AB662),1000))</f>
        <v>0</v>
      </c>
      <c r="V663" s="126">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6">
        <f t="shared" si="186"/>
        <v>0</v>
      </c>
      <c r="AC663" s="126" t="str"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
      </c>
    </row>
    <row r="664" spans="1:29" x14ac:dyDescent="0.2">
      <c r="A664" s="117"/>
      <c r="B664" s="118"/>
      <c r="C664" s="119"/>
      <c r="D664" s="119"/>
      <c r="E664" s="117"/>
      <c r="F664" s="120">
        <f t="shared" si="170"/>
        <v>0</v>
      </c>
      <c r="G664" s="121" t="str">
        <f t="shared" si="171"/>
        <v/>
      </c>
      <c r="H664" s="122">
        <f>IF($D664="",0,IFERROR(LOOKUP(2,1/(($D$3:D663=$D664)*($A$3:A663&lt;$A664)),$N$3:N663),'Guide &amp; Settings'!$C$41))</f>
        <v>0</v>
      </c>
      <c r="I664" s="123">
        <f t="shared" si="172"/>
        <v>0</v>
      </c>
      <c r="J664" s="124">
        <f>IF($D664="",0,IF($F664&lt;2,0,IF($E664="Win",('Guide &amp; Settings'!$C$42/(($F664-1)*COUNTIFS($A$4:$A$810,$A664,$E$4:$E$810,"Win")))*SUMIFS($X$4:$X$810,$A$4:$A$810,$A664,$E$4:$E$810,"Loss"),-('Guide &amp; Settings'!$C$42/($F664-1))*$X664)))</f>
        <v>0</v>
      </c>
      <c r="K664" s="124">
        <f>IF($D664="",0,'Guide &amp; Settings'!$C$43*(IF($E664="Win",1,0)-$I664))</f>
        <v>0</v>
      </c>
      <c r="L664" s="125">
        <f>IF($D664="",0,'Guide &amp; Settings'!$C$44*IF($F664&gt;=3,$F664,0))</f>
        <v>0</v>
      </c>
      <c r="M664" s="124">
        <f t="shared" si="173"/>
        <v>0</v>
      </c>
      <c r="N664" s="122">
        <f t="shared" si="174"/>
        <v>0</v>
      </c>
      <c r="O664" s="121" t="str">
        <f t="shared" si="175"/>
        <v/>
      </c>
      <c r="P664">
        <f t="shared" si="176"/>
        <v>0</v>
      </c>
      <c r="Q664">
        <f t="shared" si="177"/>
        <v>0</v>
      </c>
      <c r="R664">
        <f t="shared" si="178"/>
        <v>0</v>
      </c>
      <c r="S664">
        <f t="shared" si="179"/>
        <v>0</v>
      </c>
      <c r="T664" s="89">
        <f t="shared" si="180"/>
        <v>0</v>
      </c>
      <c r="U664" s="126">
        <f>IF($D664="",0,IFERROR(LOOKUP(2,1/(($D$3:D663=$D664)*($C$3:C663=$C664)*($A$3:A663&lt;$A664)),$AB$3:AB663),1000))</f>
        <v>0</v>
      </c>
      <c r="V664" s="126">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6">
        <f t="shared" si="186"/>
        <v>0</v>
      </c>
      <c r="AC664" s="126" t="str"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
      </c>
    </row>
    <row r="665" spans="1:29" x14ac:dyDescent="0.2">
      <c r="A665" s="117"/>
      <c r="B665" s="118"/>
      <c r="C665" s="119"/>
      <c r="D665" s="119"/>
      <c r="E665" s="117"/>
      <c r="F665" s="120">
        <f t="shared" si="170"/>
        <v>0</v>
      </c>
      <c r="G665" s="121" t="str">
        <f t="shared" si="171"/>
        <v/>
      </c>
      <c r="H665" s="122">
        <f>IF($D665="",0,IFERROR(LOOKUP(2,1/(($D$3:D664=$D665)*($A$3:A664&lt;$A665)),$N$3:N664),'Guide &amp; Settings'!$C$41))</f>
        <v>0</v>
      </c>
      <c r="I665" s="123">
        <f t="shared" si="172"/>
        <v>0</v>
      </c>
      <c r="J665" s="124">
        <f>IF($D665="",0,IF($F665&lt;2,0,IF($E665="Win",('Guide &amp; Settings'!$C$42/(($F665-1)*COUNTIFS($A$4:$A$810,$A665,$E$4:$E$810,"Win")))*SUMIFS($X$4:$X$810,$A$4:$A$810,$A665,$E$4:$E$810,"Loss"),-('Guide &amp; Settings'!$C$42/($F665-1))*$X665)))</f>
        <v>0</v>
      </c>
      <c r="K665" s="124">
        <f>IF($D665="",0,'Guide &amp; Settings'!$C$43*(IF($E665="Win",1,0)-$I665))</f>
        <v>0</v>
      </c>
      <c r="L665" s="125">
        <f>IF($D665="",0,'Guide &amp; Settings'!$C$44*IF($F665&gt;=3,$F665,0))</f>
        <v>0</v>
      </c>
      <c r="M665" s="124">
        <f t="shared" si="173"/>
        <v>0</v>
      </c>
      <c r="N665" s="122">
        <f t="shared" si="174"/>
        <v>0</v>
      </c>
      <c r="O665" s="121" t="str">
        <f t="shared" si="175"/>
        <v/>
      </c>
      <c r="P665">
        <f t="shared" si="176"/>
        <v>0</v>
      </c>
      <c r="Q665">
        <f t="shared" si="177"/>
        <v>0</v>
      </c>
      <c r="R665">
        <f t="shared" si="178"/>
        <v>0</v>
      </c>
      <c r="S665">
        <f t="shared" si="179"/>
        <v>0</v>
      </c>
      <c r="T665" s="89">
        <f t="shared" si="180"/>
        <v>0</v>
      </c>
      <c r="U665" s="126">
        <f>IF($D665="",0,IFERROR(LOOKUP(2,1/(($D$3:D664=$D665)*($C$3:C664=$C665)*($A$3:A664&lt;$A665)),$AB$3:AB664),1000))</f>
        <v>0</v>
      </c>
      <c r="V665" s="126">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6">
        <f t="shared" si="186"/>
        <v>0</v>
      </c>
      <c r="AC665" s="126" t="str"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
      </c>
    </row>
    <row r="666" spans="1:29" x14ac:dyDescent="0.2">
      <c r="A666" s="117"/>
      <c r="B666" s="118"/>
      <c r="C666" s="119"/>
      <c r="D666" s="119"/>
      <c r="E666" s="117"/>
      <c r="F666" s="120">
        <f t="shared" si="170"/>
        <v>0</v>
      </c>
      <c r="G666" s="121" t="str">
        <f t="shared" si="171"/>
        <v/>
      </c>
      <c r="H666" s="122">
        <f>IF($D666="",0,IFERROR(LOOKUP(2,1/(($D$3:D665=$D666)*($A$3:A665&lt;$A666)),$N$3:N665),'Guide &amp; Settings'!$C$41))</f>
        <v>0</v>
      </c>
      <c r="I666" s="123">
        <f t="shared" si="172"/>
        <v>0</v>
      </c>
      <c r="J666" s="124">
        <f>IF($D666="",0,IF($F666&lt;2,0,IF($E666="Win",('Guide &amp; Settings'!$C$42/(($F666-1)*COUNTIFS($A$4:$A$810,$A666,$E$4:$E$810,"Win")))*SUMIFS($X$4:$X$810,$A$4:$A$810,$A666,$E$4:$E$810,"Loss"),-('Guide &amp; Settings'!$C$42/($F666-1))*$X666)))</f>
        <v>0</v>
      </c>
      <c r="K666" s="124">
        <f>IF($D666="",0,'Guide &amp; Settings'!$C$43*(IF($E666="Win",1,0)-$I666))</f>
        <v>0</v>
      </c>
      <c r="L666" s="125">
        <f>IF($D666="",0,'Guide &amp; Settings'!$C$44*IF($F666&gt;=3,$F666,0))</f>
        <v>0</v>
      </c>
      <c r="M666" s="124">
        <f t="shared" si="173"/>
        <v>0</v>
      </c>
      <c r="N666" s="122">
        <f t="shared" si="174"/>
        <v>0</v>
      </c>
      <c r="O666" s="121" t="str">
        <f t="shared" si="175"/>
        <v/>
      </c>
      <c r="P666">
        <f t="shared" si="176"/>
        <v>0</v>
      </c>
      <c r="Q666">
        <f t="shared" si="177"/>
        <v>0</v>
      </c>
      <c r="R666">
        <f t="shared" si="178"/>
        <v>0</v>
      </c>
      <c r="S666">
        <f t="shared" si="179"/>
        <v>0</v>
      </c>
      <c r="T666" s="89">
        <f t="shared" si="180"/>
        <v>0</v>
      </c>
      <c r="U666" s="126">
        <f>IF($D666="",0,IFERROR(LOOKUP(2,1/(($D$3:D665=$D666)*($C$3:C665=$C666)*($A$3:A665&lt;$A666)),$AB$3:AB665),1000))</f>
        <v>0</v>
      </c>
      <c r="V666" s="126">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6">
        <f t="shared" si="186"/>
        <v>0</v>
      </c>
      <c r="AC666" s="126" t="str"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
      </c>
    </row>
    <row r="667" spans="1:29" x14ac:dyDescent="0.2">
      <c r="A667" s="117"/>
      <c r="B667" s="118"/>
      <c r="C667" s="119"/>
      <c r="D667" s="119"/>
      <c r="E667" s="117"/>
      <c r="F667" s="120">
        <f t="shared" si="170"/>
        <v>0</v>
      </c>
      <c r="G667" s="121" t="str">
        <f t="shared" si="171"/>
        <v/>
      </c>
      <c r="H667" s="122">
        <f>IF($D667="",0,IFERROR(LOOKUP(2,1/(($D$3:D666=$D667)*($A$3:A666&lt;$A667)),$N$3:N666),'Guide &amp; Settings'!$C$41))</f>
        <v>0</v>
      </c>
      <c r="I667" s="123">
        <f t="shared" si="172"/>
        <v>0</v>
      </c>
      <c r="J667" s="124">
        <f>IF($D667="",0,IF($F667&lt;2,0,IF($E667="Win",('Guide &amp; Settings'!$C$42/(($F667-1)*COUNTIFS($A$4:$A$810,$A667,$E$4:$E$810,"Win")))*SUMIFS($X$4:$X$810,$A$4:$A$810,$A667,$E$4:$E$810,"Loss"),-('Guide &amp; Settings'!$C$42/($F667-1))*$X667)))</f>
        <v>0</v>
      </c>
      <c r="K667" s="124">
        <f>IF($D667="",0,'Guide &amp; Settings'!$C$43*(IF($E667="Win",1,0)-$I667))</f>
        <v>0</v>
      </c>
      <c r="L667" s="125">
        <f>IF($D667="",0,'Guide &amp; Settings'!$C$44*IF($F667&gt;=3,$F667,0))</f>
        <v>0</v>
      </c>
      <c r="M667" s="124">
        <f t="shared" si="173"/>
        <v>0</v>
      </c>
      <c r="N667" s="122">
        <f t="shared" si="174"/>
        <v>0</v>
      </c>
      <c r="O667" s="121" t="str">
        <f t="shared" si="175"/>
        <v/>
      </c>
      <c r="P667">
        <f t="shared" si="176"/>
        <v>0</v>
      </c>
      <c r="Q667">
        <f t="shared" si="177"/>
        <v>0</v>
      </c>
      <c r="R667">
        <f t="shared" si="178"/>
        <v>0</v>
      </c>
      <c r="S667">
        <f t="shared" si="179"/>
        <v>0</v>
      </c>
      <c r="T667" s="89">
        <f t="shared" si="180"/>
        <v>0</v>
      </c>
      <c r="U667" s="126">
        <f>IF($D667="",0,IFERROR(LOOKUP(2,1/(($D$3:D666=$D667)*($C$3:C666=$C667)*($A$3:A666&lt;$A667)),$AB$3:AB666),1000))</f>
        <v>0</v>
      </c>
      <c r="V667" s="126">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6">
        <f t="shared" si="186"/>
        <v>0</v>
      </c>
      <c r="AC667" s="126" t="str"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
      </c>
    </row>
    <row r="668" spans="1:29" x14ac:dyDescent="0.2">
      <c r="A668" s="117"/>
      <c r="B668" s="118"/>
      <c r="C668" s="119"/>
      <c r="D668" s="119"/>
      <c r="E668" s="117"/>
      <c r="F668" s="120">
        <f t="shared" si="170"/>
        <v>0</v>
      </c>
      <c r="G668" s="121" t="str">
        <f t="shared" si="171"/>
        <v/>
      </c>
      <c r="H668" s="122">
        <f>IF($D668="",0,IFERROR(LOOKUP(2,1/(($D$3:D667=$D668)*($A$3:A667&lt;$A668)),$N$3:N667),'Guide &amp; Settings'!$C$41))</f>
        <v>0</v>
      </c>
      <c r="I668" s="123">
        <f t="shared" si="172"/>
        <v>0</v>
      </c>
      <c r="J668" s="124">
        <f>IF($D668="",0,IF($F668&lt;2,0,IF($E668="Win",('Guide &amp; Settings'!$C$42/(($F668-1)*COUNTIFS($A$4:$A$810,$A668,$E$4:$E$810,"Win")))*SUMIFS($X$4:$X$810,$A$4:$A$810,$A668,$E$4:$E$810,"Loss"),-('Guide &amp; Settings'!$C$42/($F668-1))*$X668)))</f>
        <v>0</v>
      </c>
      <c r="K668" s="124">
        <f>IF($D668="",0,'Guide &amp; Settings'!$C$43*(IF($E668="Win",1,0)-$I668))</f>
        <v>0</v>
      </c>
      <c r="L668" s="125">
        <f>IF($D668="",0,'Guide &amp; Settings'!$C$44*IF($F668&gt;=3,$F668,0))</f>
        <v>0</v>
      </c>
      <c r="M668" s="124">
        <f t="shared" si="173"/>
        <v>0</v>
      </c>
      <c r="N668" s="122">
        <f t="shared" si="174"/>
        <v>0</v>
      </c>
      <c r="O668" s="121" t="str">
        <f t="shared" si="175"/>
        <v/>
      </c>
      <c r="P668">
        <f t="shared" si="176"/>
        <v>0</v>
      </c>
      <c r="Q668">
        <f t="shared" si="177"/>
        <v>0</v>
      </c>
      <c r="R668">
        <f t="shared" si="178"/>
        <v>0</v>
      </c>
      <c r="S668">
        <f t="shared" si="179"/>
        <v>0</v>
      </c>
      <c r="T668" s="89">
        <f t="shared" si="180"/>
        <v>0</v>
      </c>
      <c r="U668" s="126">
        <f>IF($D668="",0,IFERROR(LOOKUP(2,1/(($D$3:D667=$D668)*($C$3:C667=$C668)*($A$3:A667&lt;$A668)),$AB$3:AB667),1000))</f>
        <v>0</v>
      </c>
      <c r="V668" s="126">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6">
        <f t="shared" si="186"/>
        <v>0</v>
      </c>
      <c r="AC668" s="126" t="str"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
      </c>
    </row>
    <row r="669" spans="1:29" x14ac:dyDescent="0.2">
      <c r="A669" s="117"/>
      <c r="B669" s="118"/>
      <c r="C669" s="119"/>
      <c r="D669" s="119"/>
      <c r="E669" s="117"/>
      <c r="F669" s="120">
        <f t="shared" si="170"/>
        <v>0</v>
      </c>
      <c r="G669" s="121" t="str">
        <f t="shared" si="171"/>
        <v/>
      </c>
      <c r="H669" s="122">
        <f>IF($D669="",0,IFERROR(LOOKUP(2,1/(($D$3:D668=$D669)*($A$3:A668&lt;$A669)),$N$3:N668),'Guide &amp; Settings'!$C$41))</f>
        <v>0</v>
      </c>
      <c r="I669" s="123">
        <f t="shared" si="172"/>
        <v>0</v>
      </c>
      <c r="J669" s="124">
        <f>IF($D669="",0,IF($F669&lt;2,0,IF($E669="Win",('Guide &amp; Settings'!$C$42/(($F669-1)*COUNTIFS($A$4:$A$810,$A669,$E$4:$E$810,"Win")))*SUMIFS($X$4:$X$810,$A$4:$A$810,$A669,$E$4:$E$810,"Loss"),-('Guide &amp; Settings'!$C$42/($F669-1))*$X669)))</f>
        <v>0</v>
      </c>
      <c r="K669" s="124">
        <f>IF($D669="",0,'Guide &amp; Settings'!$C$43*(IF($E669="Win",1,0)-$I669))</f>
        <v>0</v>
      </c>
      <c r="L669" s="125">
        <f>IF($D669="",0,'Guide &amp; Settings'!$C$44*IF($F669&gt;=3,$F669,0))</f>
        <v>0</v>
      </c>
      <c r="M669" s="124">
        <f t="shared" si="173"/>
        <v>0</v>
      </c>
      <c r="N669" s="122">
        <f t="shared" si="174"/>
        <v>0</v>
      </c>
      <c r="O669" s="121" t="str">
        <f t="shared" si="175"/>
        <v/>
      </c>
      <c r="P669">
        <f t="shared" si="176"/>
        <v>0</v>
      </c>
      <c r="Q669">
        <f t="shared" si="177"/>
        <v>0</v>
      </c>
      <c r="R669">
        <f t="shared" si="178"/>
        <v>0</v>
      </c>
      <c r="S669">
        <f t="shared" si="179"/>
        <v>0</v>
      </c>
      <c r="T669" s="89">
        <f t="shared" si="180"/>
        <v>0</v>
      </c>
      <c r="U669" s="126">
        <f>IF($D669="",0,IFERROR(LOOKUP(2,1/(($D$3:D668=$D669)*($C$3:C668=$C669)*($A$3:A668&lt;$A669)),$AB$3:AB668),1000))</f>
        <v>0</v>
      </c>
      <c r="V669" s="126">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6">
        <f t="shared" si="186"/>
        <v>0</v>
      </c>
      <c r="AC669" s="126" t="str"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
      </c>
    </row>
    <row r="670" spans="1:29" x14ac:dyDescent="0.2">
      <c r="A670" s="117"/>
      <c r="B670" s="118"/>
      <c r="C670" s="119"/>
      <c r="D670" s="119"/>
      <c r="E670" s="117"/>
      <c r="F670" s="120">
        <f t="shared" si="170"/>
        <v>0</v>
      </c>
      <c r="G670" s="121" t="str">
        <f t="shared" si="171"/>
        <v/>
      </c>
      <c r="H670" s="122">
        <f>IF($D670="",0,IFERROR(LOOKUP(2,1/(($D$3:D669=$D670)*($A$3:A669&lt;$A670)),$N$3:N669),'Guide &amp; Settings'!$C$41))</f>
        <v>0</v>
      </c>
      <c r="I670" s="123">
        <f t="shared" si="172"/>
        <v>0</v>
      </c>
      <c r="J670" s="124">
        <f>IF($D670="",0,IF($F670&lt;2,0,IF($E670="Win",('Guide &amp; Settings'!$C$42/(($F670-1)*COUNTIFS($A$4:$A$810,$A670,$E$4:$E$810,"Win")))*SUMIFS($X$4:$X$810,$A$4:$A$810,$A670,$E$4:$E$810,"Loss"),-('Guide &amp; Settings'!$C$42/($F670-1))*$X670)))</f>
        <v>0</v>
      </c>
      <c r="K670" s="124">
        <f>IF($D670="",0,'Guide &amp; Settings'!$C$43*(IF($E670="Win",1,0)-$I670))</f>
        <v>0</v>
      </c>
      <c r="L670" s="125">
        <f>IF($D670="",0,'Guide &amp; Settings'!$C$44*IF($F670&gt;=3,$F670,0))</f>
        <v>0</v>
      </c>
      <c r="M670" s="124">
        <f t="shared" si="173"/>
        <v>0</v>
      </c>
      <c r="N670" s="122">
        <f t="shared" si="174"/>
        <v>0</v>
      </c>
      <c r="O670" s="121" t="str">
        <f t="shared" si="175"/>
        <v/>
      </c>
      <c r="P670">
        <f t="shared" si="176"/>
        <v>0</v>
      </c>
      <c r="Q670">
        <f t="shared" si="177"/>
        <v>0</v>
      </c>
      <c r="R670">
        <f t="shared" si="178"/>
        <v>0</v>
      </c>
      <c r="S670">
        <f t="shared" si="179"/>
        <v>0</v>
      </c>
      <c r="T670" s="89">
        <f t="shared" si="180"/>
        <v>0</v>
      </c>
      <c r="U670" s="126">
        <f>IF($D670="",0,IFERROR(LOOKUP(2,1/(($D$3:D669=$D670)*($C$3:C669=$C670)*($A$3:A669&lt;$A670)),$AB$3:AB669),1000))</f>
        <v>0</v>
      </c>
      <c r="V670" s="126">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6">
        <f t="shared" si="186"/>
        <v>0</v>
      </c>
      <c r="AC670" s="126" t="str"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
      </c>
    </row>
    <row r="671" spans="1:29" x14ac:dyDescent="0.2">
      <c r="A671" s="117"/>
      <c r="B671" s="118"/>
      <c r="C671" s="119"/>
      <c r="D671" s="119"/>
      <c r="E671" s="117"/>
      <c r="F671" s="120">
        <f t="shared" si="170"/>
        <v>0</v>
      </c>
      <c r="G671" s="121" t="str">
        <f t="shared" si="171"/>
        <v/>
      </c>
      <c r="H671" s="122">
        <f>IF($D671="",0,IFERROR(LOOKUP(2,1/(($D$3:D670=$D671)*($A$3:A670&lt;$A671)),$N$3:N670),'Guide &amp; Settings'!$C$41))</f>
        <v>0</v>
      </c>
      <c r="I671" s="123">
        <f t="shared" si="172"/>
        <v>0</v>
      </c>
      <c r="J671" s="124">
        <f>IF($D671="",0,IF($F671&lt;2,0,IF($E671="Win",('Guide &amp; Settings'!$C$42/(($F671-1)*COUNTIFS($A$4:$A$810,$A671,$E$4:$E$810,"Win")))*SUMIFS($X$4:$X$810,$A$4:$A$810,$A671,$E$4:$E$810,"Loss"),-('Guide &amp; Settings'!$C$42/($F671-1))*$X671)))</f>
        <v>0</v>
      </c>
      <c r="K671" s="124">
        <f>IF($D671="",0,'Guide &amp; Settings'!$C$43*(IF($E671="Win",1,0)-$I671))</f>
        <v>0</v>
      </c>
      <c r="L671" s="125">
        <f>IF($D671="",0,'Guide &amp; Settings'!$C$44*IF($F671&gt;=3,$F671,0))</f>
        <v>0</v>
      </c>
      <c r="M671" s="124">
        <f t="shared" si="173"/>
        <v>0</v>
      </c>
      <c r="N671" s="122">
        <f t="shared" si="174"/>
        <v>0</v>
      </c>
      <c r="O671" s="121" t="str">
        <f t="shared" si="175"/>
        <v/>
      </c>
      <c r="P671">
        <f t="shared" si="176"/>
        <v>0</v>
      </c>
      <c r="Q671">
        <f t="shared" si="177"/>
        <v>0</v>
      </c>
      <c r="R671">
        <f t="shared" si="178"/>
        <v>0</v>
      </c>
      <c r="S671">
        <f t="shared" si="179"/>
        <v>0</v>
      </c>
      <c r="T671" s="89">
        <f t="shared" si="180"/>
        <v>0</v>
      </c>
      <c r="U671" s="126">
        <f>IF($D671="",0,IFERROR(LOOKUP(2,1/(($D$3:D670=$D671)*($C$3:C670=$C671)*($A$3:A670&lt;$A671)),$AB$3:AB670),1000))</f>
        <v>0</v>
      </c>
      <c r="V671" s="126">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6">
        <f t="shared" si="186"/>
        <v>0</v>
      </c>
      <c r="AC671" s="126" t="str"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
      </c>
    </row>
    <row r="672" spans="1:29" x14ac:dyDescent="0.2">
      <c r="A672" s="117"/>
      <c r="B672" s="118"/>
      <c r="C672" s="119"/>
      <c r="D672" s="119"/>
      <c r="E672" s="117"/>
      <c r="F672" s="120">
        <f t="shared" si="170"/>
        <v>0</v>
      </c>
      <c r="G672" s="121" t="str">
        <f t="shared" si="171"/>
        <v/>
      </c>
      <c r="H672" s="122">
        <f>IF($D672="",0,IFERROR(LOOKUP(2,1/(($D$3:D671=$D672)*($A$3:A671&lt;$A672)),$N$3:N671),'Guide &amp; Settings'!$C$41))</f>
        <v>0</v>
      </c>
      <c r="I672" s="123">
        <f t="shared" si="172"/>
        <v>0</v>
      </c>
      <c r="J672" s="124">
        <f>IF($D672="",0,IF($F672&lt;2,0,IF($E672="Win",('Guide &amp; Settings'!$C$42/(($F672-1)*COUNTIFS($A$4:$A$810,$A672,$E$4:$E$810,"Win")))*SUMIFS($X$4:$X$810,$A$4:$A$810,$A672,$E$4:$E$810,"Loss"),-('Guide &amp; Settings'!$C$42/($F672-1))*$X672)))</f>
        <v>0</v>
      </c>
      <c r="K672" s="124">
        <f>IF($D672="",0,'Guide &amp; Settings'!$C$43*(IF($E672="Win",1,0)-$I672))</f>
        <v>0</v>
      </c>
      <c r="L672" s="125">
        <f>IF($D672="",0,'Guide &amp; Settings'!$C$44*IF($F672&gt;=3,$F672,0))</f>
        <v>0</v>
      </c>
      <c r="M672" s="124">
        <f t="shared" si="173"/>
        <v>0</v>
      </c>
      <c r="N672" s="122">
        <f t="shared" si="174"/>
        <v>0</v>
      </c>
      <c r="O672" s="121" t="str">
        <f t="shared" si="175"/>
        <v/>
      </c>
      <c r="P672">
        <f t="shared" si="176"/>
        <v>0</v>
      </c>
      <c r="Q672">
        <f t="shared" si="177"/>
        <v>0</v>
      </c>
      <c r="R672">
        <f t="shared" si="178"/>
        <v>0</v>
      </c>
      <c r="S672">
        <f t="shared" si="179"/>
        <v>0</v>
      </c>
      <c r="T672" s="89">
        <f t="shared" si="180"/>
        <v>0</v>
      </c>
      <c r="U672" s="126">
        <f>IF($D672="",0,IFERROR(LOOKUP(2,1/(($D$3:D671=$D672)*($C$3:C671=$C672)*($A$3:A671&lt;$A672)),$AB$3:AB671),1000))</f>
        <v>0</v>
      </c>
      <c r="V672" s="126">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6">
        <f t="shared" si="186"/>
        <v>0</v>
      </c>
      <c r="AC672" s="126" t="str"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
      </c>
    </row>
    <row r="673" spans="1:29" x14ac:dyDescent="0.2">
      <c r="A673" s="117"/>
      <c r="B673" s="118"/>
      <c r="C673" s="119"/>
      <c r="D673" s="119"/>
      <c r="E673" s="117"/>
      <c r="F673" s="120">
        <f t="shared" si="170"/>
        <v>0</v>
      </c>
      <c r="G673" s="121" t="str">
        <f t="shared" si="171"/>
        <v/>
      </c>
      <c r="H673" s="122">
        <f>IF($D673="",0,IFERROR(LOOKUP(2,1/(($D$3:D672=$D673)*($A$3:A672&lt;$A673)),$N$3:N672),'Guide &amp; Settings'!$C$41))</f>
        <v>0</v>
      </c>
      <c r="I673" s="123">
        <f t="shared" si="172"/>
        <v>0</v>
      </c>
      <c r="J673" s="124">
        <f>IF($D673="",0,IF($F673&lt;2,0,IF($E673="Win",('Guide &amp; Settings'!$C$42/(($F673-1)*COUNTIFS($A$4:$A$810,$A673,$E$4:$E$810,"Win")))*SUMIFS($X$4:$X$810,$A$4:$A$810,$A673,$E$4:$E$810,"Loss"),-('Guide &amp; Settings'!$C$42/($F673-1))*$X673)))</f>
        <v>0</v>
      </c>
      <c r="K673" s="124">
        <f>IF($D673="",0,'Guide &amp; Settings'!$C$43*(IF($E673="Win",1,0)-$I673))</f>
        <v>0</v>
      </c>
      <c r="L673" s="125">
        <f>IF($D673="",0,'Guide &amp; Settings'!$C$44*IF($F673&gt;=3,$F673,0))</f>
        <v>0</v>
      </c>
      <c r="M673" s="124">
        <f t="shared" si="173"/>
        <v>0</v>
      </c>
      <c r="N673" s="122">
        <f t="shared" si="174"/>
        <v>0</v>
      </c>
      <c r="O673" s="121" t="str">
        <f t="shared" si="175"/>
        <v/>
      </c>
      <c r="P673">
        <f t="shared" si="176"/>
        <v>0</v>
      </c>
      <c r="Q673">
        <f t="shared" si="177"/>
        <v>0</v>
      </c>
      <c r="R673">
        <f t="shared" si="178"/>
        <v>0</v>
      </c>
      <c r="S673">
        <f t="shared" si="179"/>
        <v>0</v>
      </c>
      <c r="T673" s="89">
        <f t="shared" si="180"/>
        <v>0</v>
      </c>
      <c r="U673" s="126">
        <f>IF($D673="",0,IFERROR(LOOKUP(2,1/(($D$3:D672=$D673)*($C$3:C672=$C673)*($A$3:A672&lt;$A673)),$AB$3:AB672),1000))</f>
        <v>0</v>
      </c>
      <c r="V673" s="126">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6">
        <f t="shared" si="186"/>
        <v>0</v>
      </c>
      <c r="AC673" s="126" t="str"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
      </c>
    </row>
    <row r="674" spans="1:29" x14ac:dyDescent="0.2">
      <c r="A674" s="117"/>
      <c r="B674" s="118"/>
      <c r="C674" s="119"/>
      <c r="D674" s="119"/>
      <c r="E674" s="117"/>
      <c r="F674" s="120">
        <f t="shared" si="170"/>
        <v>0</v>
      </c>
      <c r="G674" s="121" t="str">
        <f t="shared" si="171"/>
        <v/>
      </c>
      <c r="H674" s="122">
        <f>IF($D674="",0,IFERROR(LOOKUP(2,1/(($D$3:D673=$D674)*($A$3:A673&lt;$A674)),$N$3:N673),'Guide &amp; Settings'!$C$41))</f>
        <v>0</v>
      </c>
      <c r="I674" s="123">
        <f t="shared" si="172"/>
        <v>0</v>
      </c>
      <c r="J674" s="124">
        <f>IF($D674="",0,IF($F674&lt;2,0,IF($E674="Win",('Guide &amp; Settings'!$C$42/(($F674-1)*COUNTIFS($A$4:$A$810,$A674,$E$4:$E$810,"Win")))*SUMIFS($X$4:$X$810,$A$4:$A$810,$A674,$E$4:$E$810,"Loss"),-('Guide &amp; Settings'!$C$42/($F674-1))*$X674)))</f>
        <v>0</v>
      </c>
      <c r="K674" s="124">
        <f>IF($D674="",0,'Guide &amp; Settings'!$C$43*(IF($E674="Win",1,0)-$I674))</f>
        <v>0</v>
      </c>
      <c r="L674" s="125">
        <f>IF($D674="",0,'Guide &amp; Settings'!$C$44*IF($F674&gt;=3,$F674,0))</f>
        <v>0</v>
      </c>
      <c r="M674" s="124">
        <f t="shared" si="173"/>
        <v>0</v>
      </c>
      <c r="N674" s="122">
        <f t="shared" si="174"/>
        <v>0</v>
      </c>
      <c r="O674" s="121" t="str">
        <f t="shared" si="175"/>
        <v/>
      </c>
      <c r="P674">
        <f t="shared" si="176"/>
        <v>0</v>
      </c>
      <c r="Q674">
        <f t="shared" si="177"/>
        <v>0</v>
      </c>
      <c r="R674">
        <f t="shared" si="178"/>
        <v>0</v>
      </c>
      <c r="S674">
        <f t="shared" si="179"/>
        <v>0</v>
      </c>
      <c r="T674" s="89">
        <f t="shared" si="180"/>
        <v>0</v>
      </c>
      <c r="U674" s="126">
        <f>IF($D674="",0,IFERROR(LOOKUP(2,1/(($D$3:D673=$D674)*($C$3:C673=$C674)*($A$3:A673&lt;$A674)),$AB$3:AB673),1000))</f>
        <v>0</v>
      </c>
      <c r="V674" s="126">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6">
        <f t="shared" si="186"/>
        <v>0</v>
      </c>
      <c r="AC674" s="126" t="str"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
      </c>
    </row>
    <row r="675" spans="1:29" x14ac:dyDescent="0.2">
      <c r="A675" s="117"/>
      <c r="B675" s="118"/>
      <c r="C675" s="119"/>
      <c r="D675" s="119"/>
      <c r="E675" s="117"/>
      <c r="F675" s="120">
        <f t="shared" si="170"/>
        <v>0</v>
      </c>
      <c r="G675" s="121" t="str">
        <f t="shared" si="171"/>
        <v/>
      </c>
      <c r="H675" s="122">
        <f>IF($D675="",0,IFERROR(LOOKUP(2,1/(($D$3:D674=$D675)*($A$3:A674&lt;$A675)),$N$3:N674),'Guide &amp; Settings'!$C$41))</f>
        <v>0</v>
      </c>
      <c r="I675" s="123">
        <f t="shared" si="172"/>
        <v>0</v>
      </c>
      <c r="J675" s="124">
        <f>IF($D675="",0,IF($F675&lt;2,0,IF($E675="Win",('Guide &amp; Settings'!$C$42/(($F675-1)*COUNTIFS($A$4:$A$810,$A675,$E$4:$E$810,"Win")))*SUMIFS($X$4:$X$810,$A$4:$A$810,$A675,$E$4:$E$810,"Loss"),-('Guide &amp; Settings'!$C$42/($F675-1))*$X675)))</f>
        <v>0</v>
      </c>
      <c r="K675" s="124">
        <f>IF($D675="",0,'Guide &amp; Settings'!$C$43*(IF($E675="Win",1,0)-$I675))</f>
        <v>0</v>
      </c>
      <c r="L675" s="125">
        <f>IF($D675="",0,'Guide &amp; Settings'!$C$44*IF($F675&gt;=3,$F675,0))</f>
        <v>0</v>
      </c>
      <c r="M675" s="124">
        <f t="shared" si="173"/>
        <v>0</v>
      </c>
      <c r="N675" s="122">
        <f t="shared" si="174"/>
        <v>0</v>
      </c>
      <c r="O675" s="121" t="str">
        <f t="shared" si="175"/>
        <v/>
      </c>
      <c r="P675">
        <f t="shared" si="176"/>
        <v>0</v>
      </c>
      <c r="Q675">
        <f t="shared" si="177"/>
        <v>0</v>
      </c>
      <c r="R675">
        <f t="shared" si="178"/>
        <v>0</v>
      </c>
      <c r="S675">
        <f t="shared" si="179"/>
        <v>0</v>
      </c>
      <c r="T675" s="89">
        <f t="shared" si="180"/>
        <v>0</v>
      </c>
      <c r="U675" s="126">
        <f>IF($D675="",0,IFERROR(LOOKUP(2,1/(($D$3:D674=$D675)*($C$3:C674=$C675)*($A$3:A674&lt;$A675)),$AB$3:AB674),1000))</f>
        <v>0</v>
      </c>
      <c r="V675" s="126">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6">
        <f t="shared" si="186"/>
        <v>0</v>
      </c>
      <c r="AC675" s="126" t="str"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
      </c>
    </row>
    <row r="676" spans="1:29" x14ac:dyDescent="0.2">
      <c r="A676" s="117"/>
      <c r="B676" s="118"/>
      <c r="C676" s="119"/>
      <c r="D676" s="119"/>
      <c r="E676" s="117"/>
      <c r="F676" s="120">
        <f t="shared" si="170"/>
        <v>0</v>
      </c>
      <c r="G676" s="121" t="str">
        <f t="shared" si="171"/>
        <v/>
      </c>
      <c r="H676" s="122">
        <f>IF($D676="",0,IFERROR(LOOKUP(2,1/(($D$3:D675=$D676)*($A$3:A675&lt;$A676)),$N$3:N675),'Guide &amp; Settings'!$C$41))</f>
        <v>0</v>
      </c>
      <c r="I676" s="123">
        <f t="shared" si="172"/>
        <v>0</v>
      </c>
      <c r="J676" s="124">
        <f>IF($D676="",0,IF($F676&lt;2,0,IF($E676="Win",('Guide &amp; Settings'!$C$42/(($F676-1)*COUNTIFS($A$4:$A$810,$A676,$E$4:$E$810,"Win")))*SUMIFS($X$4:$X$810,$A$4:$A$810,$A676,$E$4:$E$810,"Loss"),-('Guide &amp; Settings'!$C$42/($F676-1))*$X676)))</f>
        <v>0</v>
      </c>
      <c r="K676" s="124">
        <f>IF($D676="",0,'Guide &amp; Settings'!$C$43*(IF($E676="Win",1,0)-$I676))</f>
        <v>0</v>
      </c>
      <c r="L676" s="125">
        <f>IF($D676="",0,'Guide &amp; Settings'!$C$44*IF($F676&gt;=3,$F676,0))</f>
        <v>0</v>
      </c>
      <c r="M676" s="124">
        <f t="shared" si="173"/>
        <v>0</v>
      </c>
      <c r="N676" s="122">
        <f t="shared" si="174"/>
        <v>0</v>
      </c>
      <c r="O676" s="121" t="str">
        <f t="shared" si="175"/>
        <v/>
      </c>
      <c r="P676">
        <f t="shared" si="176"/>
        <v>0</v>
      </c>
      <c r="Q676">
        <f t="shared" si="177"/>
        <v>0</v>
      </c>
      <c r="R676">
        <f t="shared" si="178"/>
        <v>0</v>
      </c>
      <c r="S676">
        <f t="shared" si="179"/>
        <v>0</v>
      </c>
      <c r="T676" s="89">
        <f t="shared" si="180"/>
        <v>0</v>
      </c>
      <c r="U676" s="126">
        <f>IF($D676="",0,IFERROR(LOOKUP(2,1/(($D$3:D675=$D676)*($C$3:C675=$C676)*($A$3:A675&lt;$A676)),$AB$3:AB675),1000))</f>
        <v>0</v>
      </c>
      <c r="V676" s="126">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6">
        <f t="shared" si="186"/>
        <v>0</v>
      </c>
      <c r="AC676" s="126" t="str"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
      </c>
    </row>
    <row r="677" spans="1:29" x14ac:dyDescent="0.2">
      <c r="A677" s="117"/>
      <c r="B677" s="118"/>
      <c r="C677" s="119"/>
      <c r="D677" s="119"/>
      <c r="E677" s="117"/>
      <c r="F677" s="120">
        <f t="shared" si="170"/>
        <v>0</v>
      </c>
      <c r="G677" s="121" t="str">
        <f t="shared" si="171"/>
        <v/>
      </c>
      <c r="H677" s="122">
        <f>IF($D677="",0,IFERROR(LOOKUP(2,1/(($D$3:D676=$D677)*($A$3:A676&lt;$A677)),$N$3:N676),'Guide &amp; Settings'!$C$41))</f>
        <v>0</v>
      </c>
      <c r="I677" s="123">
        <f t="shared" si="172"/>
        <v>0</v>
      </c>
      <c r="J677" s="124">
        <f>IF($D677="",0,IF($F677&lt;2,0,IF($E677="Win",('Guide &amp; Settings'!$C$42/(($F677-1)*COUNTIFS($A$4:$A$810,$A677,$E$4:$E$810,"Win")))*SUMIFS($X$4:$X$810,$A$4:$A$810,$A677,$E$4:$E$810,"Loss"),-('Guide &amp; Settings'!$C$42/($F677-1))*$X677)))</f>
        <v>0</v>
      </c>
      <c r="K677" s="124">
        <f>IF($D677="",0,'Guide &amp; Settings'!$C$43*(IF($E677="Win",1,0)-$I677))</f>
        <v>0</v>
      </c>
      <c r="L677" s="125">
        <f>IF($D677="",0,'Guide &amp; Settings'!$C$44*IF($F677&gt;=3,$F677,0))</f>
        <v>0</v>
      </c>
      <c r="M677" s="124">
        <f t="shared" si="173"/>
        <v>0</v>
      </c>
      <c r="N677" s="122">
        <f t="shared" si="174"/>
        <v>0</v>
      </c>
      <c r="O677" s="121" t="str">
        <f t="shared" si="175"/>
        <v/>
      </c>
      <c r="P677">
        <f t="shared" si="176"/>
        <v>0</v>
      </c>
      <c r="Q677">
        <f t="shared" si="177"/>
        <v>0</v>
      </c>
      <c r="R677">
        <f t="shared" si="178"/>
        <v>0</v>
      </c>
      <c r="S677">
        <f t="shared" si="179"/>
        <v>0</v>
      </c>
      <c r="T677" s="89">
        <f t="shared" si="180"/>
        <v>0</v>
      </c>
      <c r="U677" s="126">
        <f>IF($D677="",0,IFERROR(LOOKUP(2,1/(($D$3:D676=$D677)*($C$3:C676=$C677)*($A$3:A676&lt;$A677)),$AB$3:AB676),1000))</f>
        <v>0</v>
      </c>
      <c r="V677" s="126">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6">
        <f t="shared" si="186"/>
        <v>0</v>
      </c>
      <c r="AC677" s="126" t="str"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
      </c>
    </row>
    <row r="678" spans="1:29" x14ac:dyDescent="0.2">
      <c r="A678" s="117"/>
      <c r="B678" s="118"/>
      <c r="C678" s="119"/>
      <c r="D678" s="119"/>
      <c r="E678" s="117"/>
      <c r="F678" s="120">
        <f t="shared" si="170"/>
        <v>0</v>
      </c>
      <c r="G678" s="121" t="str">
        <f t="shared" si="171"/>
        <v/>
      </c>
      <c r="H678" s="122">
        <f>IF($D678="",0,IFERROR(LOOKUP(2,1/(($D$3:D677=$D678)*($A$3:A677&lt;$A678)),$N$3:N677),'Guide &amp; Settings'!$C$41))</f>
        <v>0</v>
      </c>
      <c r="I678" s="123">
        <f t="shared" si="172"/>
        <v>0</v>
      </c>
      <c r="J678" s="124">
        <f>IF($D678="",0,IF($F678&lt;2,0,IF($E678="Win",('Guide &amp; Settings'!$C$42/(($F678-1)*COUNTIFS($A$4:$A$810,$A678,$E$4:$E$810,"Win")))*SUMIFS($X$4:$X$810,$A$4:$A$810,$A678,$E$4:$E$810,"Loss"),-('Guide &amp; Settings'!$C$42/($F678-1))*$X678)))</f>
        <v>0</v>
      </c>
      <c r="K678" s="124">
        <f>IF($D678="",0,'Guide &amp; Settings'!$C$43*(IF($E678="Win",1,0)-$I678))</f>
        <v>0</v>
      </c>
      <c r="L678" s="125">
        <f>IF($D678="",0,'Guide &amp; Settings'!$C$44*IF($F678&gt;=3,$F678,0))</f>
        <v>0</v>
      </c>
      <c r="M678" s="124">
        <f t="shared" si="173"/>
        <v>0</v>
      </c>
      <c r="N678" s="122">
        <f t="shared" si="174"/>
        <v>0</v>
      </c>
      <c r="O678" s="121" t="str">
        <f t="shared" si="175"/>
        <v/>
      </c>
      <c r="P678">
        <f t="shared" si="176"/>
        <v>0</v>
      </c>
      <c r="Q678">
        <f t="shared" si="177"/>
        <v>0</v>
      </c>
      <c r="R678">
        <f t="shared" si="178"/>
        <v>0</v>
      </c>
      <c r="S678">
        <f t="shared" si="179"/>
        <v>0</v>
      </c>
      <c r="T678" s="89">
        <f t="shared" si="180"/>
        <v>0</v>
      </c>
      <c r="U678" s="126">
        <f>IF($D678="",0,IFERROR(LOOKUP(2,1/(($D$3:D677=$D678)*($C$3:C677=$C678)*($A$3:A677&lt;$A678)),$AB$3:AB677),1000))</f>
        <v>0</v>
      </c>
      <c r="V678" s="126">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6">
        <f t="shared" si="186"/>
        <v>0</v>
      </c>
      <c r="AC678" s="126" t="str"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58" t="s">
        <v>382</v>
      </c>
      <c r="B2" s="142"/>
      <c r="C2" s="142"/>
      <c r="D2" s="142"/>
      <c r="E2" s="142"/>
      <c r="F2" s="142"/>
      <c r="G2" s="142"/>
      <c r="H2" s="142"/>
      <c r="I2" s="142"/>
      <c r="J2" s="142"/>
      <c r="K2" s="142"/>
      <c r="L2" s="142"/>
      <c r="M2" s="142"/>
      <c r="N2" s="142"/>
      <c r="O2" s="142"/>
      <c r="P2" s="142"/>
      <c r="Q2" s="142"/>
      <c r="R2" s="142"/>
    </row>
    <row r="3" spans="1:18" ht="15" customHeight="1" x14ac:dyDescent="0.2">
      <c r="A3" s="43" t="s">
        <v>383</v>
      </c>
      <c r="B3" s="127">
        <f>COUNTA($B$6:$O$6)</f>
        <v>14</v>
      </c>
      <c r="C3" s="43" t="s">
        <v>384</v>
      </c>
      <c r="D3" s="127">
        <f>INT($B$3/2)+1</f>
        <v>8</v>
      </c>
      <c r="E3" s="43" t="s">
        <v>385</v>
      </c>
      <c r="F3" s="127">
        <f>ROUNDUP($B$3/2,0)</f>
        <v>7</v>
      </c>
      <c r="H3" s="158" t="s">
        <v>386</v>
      </c>
      <c r="I3" s="142"/>
      <c r="J3" s="142"/>
      <c r="K3" s="142"/>
      <c r="L3" s="142"/>
      <c r="M3" s="142"/>
      <c r="N3" s="142"/>
      <c r="O3" s="142"/>
      <c r="P3" s="142"/>
      <c r="Q3" s="142"/>
      <c r="R3" s="142"/>
    </row>
    <row r="5" spans="1:18" ht="15" customHeight="1" x14ac:dyDescent="0.2">
      <c r="A5" s="156" t="s">
        <v>387</v>
      </c>
      <c r="B5" s="142"/>
      <c r="C5" s="142"/>
      <c r="D5" s="142"/>
      <c r="E5" s="142"/>
      <c r="F5" s="142"/>
      <c r="G5" s="142"/>
      <c r="H5" s="142"/>
      <c r="I5" s="142"/>
      <c r="J5" s="142"/>
      <c r="K5" s="142"/>
      <c r="L5" s="142"/>
      <c r="M5" s="142"/>
      <c r="N5" s="142"/>
      <c r="O5" s="142"/>
      <c r="P5" s="142"/>
      <c r="Q5" s="142"/>
      <c r="R5" s="142"/>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396</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399</v>
      </c>
      <c r="B1" s="142"/>
      <c r="C1" s="142"/>
    </row>
    <row r="2" spans="1:20" ht="40.5" customHeight="1" x14ac:dyDescent="0.2">
      <c r="A2" s="164" t="s">
        <v>400</v>
      </c>
      <c r="B2" s="142"/>
      <c r="C2" s="142"/>
      <c r="D2" s="142"/>
      <c r="E2" s="142"/>
      <c r="F2" s="142"/>
      <c r="G2" s="142"/>
      <c r="H2" s="142"/>
      <c r="I2" s="142"/>
      <c r="J2" s="142"/>
      <c r="K2" s="142"/>
      <c r="L2" s="132"/>
      <c r="M2" s="132"/>
      <c r="N2" s="132"/>
      <c r="O2" s="132"/>
      <c r="P2" s="132"/>
      <c r="Q2" s="132"/>
      <c r="R2" s="132"/>
      <c r="S2" s="132"/>
      <c r="T2" s="132"/>
    </row>
    <row r="3" spans="1:20" x14ac:dyDescent="0.2">
      <c r="A3" s="133" t="s">
        <v>401</v>
      </c>
      <c r="D3" s="163" t="s">
        <v>402</v>
      </c>
      <c r="E3" s="142"/>
      <c r="F3" s="142"/>
      <c r="G3" s="142"/>
      <c r="H3" s="142"/>
      <c r="I3" s="142"/>
      <c r="J3" s="142"/>
      <c r="K3" s="142"/>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46257</v>
      </c>
    </row>
    <row r="4" spans="1:35" ht="15" customHeight="1" x14ac:dyDescent="0.2">
      <c r="A4" t="s">
        <v>425</v>
      </c>
      <c r="B4" s="138">
        <f>MAX('Match Log'!$B$4:$B$810)</f>
        <v>46264</v>
      </c>
      <c r="C4" t="s">
        <v>426</v>
      </c>
      <c r="D4" s="138">
        <f ca="1">MAX($B$4,TODAY())</f>
        <v>46264</v>
      </c>
    </row>
    <row r="5" spans="1:35" x14ac:dyDescent="0.2">
      <c r="B5" s="137">
        <f ca="1">TODAY()-7</f>
        <v>46257</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1265.5221853966827</v>
      </c>
      <c r="C7">
        <f>IFERROR(INDEX(Engine!$C$2:$C$15,MATCH($A7,Engine!$A$2:$A$15,0)),"")</f>
        <v>1143.6044055133605</v>
      </c>
      <c r="D7">
        <f t="shared" ref="D7:D20" si="0">RANK($B7,$B$7:$B$20)</f>
        <v>2</v>
      </c>
      <c r="E7">
        <f t="shared" ref="E7:E20" si="1">MAX($B$7:$B$20)-$B7</f>
        <v>35.171382427315621</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1265.5221853966827</v>
      </c>
      <c r="K7">
        <f t="shared" ref="K7:K20" si="3">RANK($J7,$J$7:$J$20)</f>
        <v>2</v>
      </c>
      <c r="L7">
        <f t="shared" ref="L7:L20" si="4">$K7-$D7</f>
        <v>0</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1.1428571428571428</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Active</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85.901101378340115</v>
      </c>
      <c r="AB7">
        <f t="shared" ref="AB7:AB20" ca="1" si="13">0.35*$W7+0.2*$X7+0.2*$Y7+0.15*$Z7+0.1*$AA7</f>
        <v>85.590110137834017</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1080.6005675255071</v>
      </c>
      <c r="D8">
        <f t="shared" si="0"/>
        <v>8</v>
      </c>
      <c r="E8">
        <f t="shared" si="1"/>
        <v>271.17597129048454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8</v>
      </c>
      <c r="L8">
        <f t="shared" si="4"/>
        <v>0</v>
      </c>
      <c r="M8">
        <f t="shared" si="5"/>
        <v>0</v>
      </c>
      <c r="N8">
        <f t="shared" si="6"/>
        <v>2</v>
      </c>
      <c r="O8">
        <f t="shared" si="7"/>
        <v>0</v>
      </c>
      <c r="P8">
        <f>IFERROR(SUMPRODUCT(MAX(('Match Log'!$D$4:$D$810=$A8)*'Match Log'!$B$4:$B$810)),0)</f>
        <v>46188</v>
      </c>
      <c r="Q8">
        <f t="shared" ca="1" si="8"/>
        <v>10.857142857142858</v>
      </c>
      <c r="R8">
        <f ca="1">IF($P8=0,0,IF($Q8&gt;='Guide &amp; Settings'!$C$48,(INT($Q8-'Guide &amp; Settings'!$C$48)+1)*'Guide &amp; Settings'!$C$49,0))</f>
        <v>70</v>
      </c>
      <c r="S8">
        <f ca="1">$B8-$R8-$U8+SUMIF('Poker Stake Ledger'!$C$18:$C$137,$A8,'Poker Stake Ledger'!$K$18:$K$137)</f>
        <v>959.51759653351382</v>
      </c>
      <c r="T8" t="str">
        <f ca="1">IF($P8=0,"No games",IF($Q8&gt;='Guide &amp; Settings'!$C$48,"Inactive",IF($Q8&gt;='Guide &amp; Settings'!$C$47,"At risk","Active")))</f>
        <v>Inactive</v>
      </c>
      <c r="U8">
        <f>SUMIF('Match Log'!$D$4:$D$810,$A8,'Match Log'!$AC$4:$AC$810)</f>
        <v>0</v>
      </c>
      <c r="V8">
        <f t="shared" si="9"/>
        <v>2</v>
      </c>
      <c r="W8">
        <f t="shared" ca="1" si="10"/>
        <v>39.879399133378456</v>
      </c>
      <c r="X8">
        <f ca="1">IFERROR(INDEX(Dashboard!$G$5:$G$18,MATCH($A8,Dashboard!$B$5:$B$18,0))*100,0)</f>
        <v>50</v>
      </c>
      <c r="Y8">
        <f ca="1">MIN(100,IFERROR(INDEX(Dashboard!$K$5:$K$18,MATCH($A8,Dashboard!$B$5:$B$18,0)),0)/5*50+$AC8/4*50)</f>
        <v>42.5</v>
      </c>
      <c r="Z8">
        <f t="shared" si="11"/>
        <v>40</v>
      </c>
      <c r="AA8">
        <f t="shared" si="12"/>
        <v>70.150141881376783</v>
      </c>
      <c r="AB8">
        <f t="shared" ca="1" si="13"/>
        <v>45.472803884820138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959.51759733351378</v>
      </c>
    </row>
    <row r="9" spans="1:35" ht="15" customHeight="1" x14ac:dyDescent="0.2">
      <c r="A9" t="s">
        <v>17</v>
      </c>
      <c r="B9">
        <f>IFERROR(INDEX(Engine!$B$2:$B$15,MATCH($A9,Engine!$A$2:$A$15,0)),1000)</f>
        <v>1098.8851304702137</v>
      </c>
      <c r="C9">
        <f>IFERROR(INDEX(Engine!$C$2:$C$15,MATCH($A9,Engine!$A$2:$A$15,0)),"")</f>
        <v>1114.8645500908747</v>
      </c>
      <c r="D9">
        <f t="shared" si="0"/>
        <v>5</v>
      </c>
      <c r="E9">
        <f t="shared" si="1"/>
        <v>201.80843735378471</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1098.8851304702137</v>
      </c>
      <c r="K9">
        <f t="shared" si="3"/>
        <v>6</v>
      </c>
      <c r="L9">
        <f t="shared" si="4"/>
        <v>1</v>
      </c>
      <c r="M9">
        <f t="shared" si="5"/>
        <v>0</v>
      </c>
      <c r="N9">
        <f t="shared" si="6"/>
        <v>2</v>
      </c>
      <c r="O9">
        <f t="shared" si="7"/>
        <v>2</v>
      </c>
      <c r="P9">
        <f>IFERROR(SUMPRODUCT(MAX(('Match Log'!$D$4:$D$810=$A9)*'Match Log'!$B$4:$B$810)),0)</f>
        <v>46256</v>
      </c>
      <c r="Q9">
        <f t="shared" ca="1" si="8"/>
        <v>1.1428571428571428</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Active</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78.716137522718668</v>
      </c>
      <c r="AB9">
        <f t="shared" ca="1" si="13"/>
        <v>67.747746878941882</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0</v>
      </c>
      <c r="AH9">
        <f ca="1">COUNTIFS('Match Log'!$D$4:$D$810,$A9,'Match Log'!$B$4:$B$810,"&gt;="&amp;$B$5,'Match Log'!$E$4:$E$810,"Win")</f>
        <v>0</v>
      </c>
      <c r="AI9">
        <f t="shared" ca="1" si="15"/>
        <v>1078.8851313702137</v>
      </c>
    </row>
    <row r="10" spans="1:35" ht="15" customHeight="1" x14ac:dyDescent="0.2">
      <c r="A10" t="s">
        <v>18</v>
      </c>
      <c r="B10">
        <f>IFERROR(INDEX(Engine!$B$2:$B$15,MATCH($A10,Engine!$A$2:$A$15,0)),1000)</f>
        <v>907.03133644117429</v>
      </c>
      <c r="C10">
        <f>IFERROR(INDEX(Engine!$C$2:$C$15,MATCH($A10,Engine!$A$2:$A$15,0)),"")</f>
        <v>1149.1621145121287</v>
      </c>
      <c r="D10">
        <f t="shared" si="0"/>
        <v>13</v>
      </c>
      <c r="E10">
        <f t="shared" si="1"/>
        <v>393.66223138282407</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907.03133644117429</v>
      </c>
      <c r="K10">
        <f t="shared" si="3"/>
        <v>13</v>
      </c>
      <c r="L10">
        <f t="shared" si="4"/>
        <v>0</v>
      </c>
      <c r="M10">
        <f t="shared" si="5"/>
        <v>0</v>
      </c>
      <c r="N10">
        <f t="shared" si="6"/>
        <v>0</v>
      </c>
      <c r="O10">
        <f t="shared" si="7"/>
        <v>0</v>
      </c>
      <c r="P10">
        <f>IFERROR(SUMPRODUCT(MAX(('Match Log'!$D$4:$D$810=$A10)*'Match Log'!$B$4:$B$810)),0)</f>
        <v>46256</v>
      </c>
      <c r="Q10">
        <f t="shared" ca="1" si="8"/>
        <v>1.1428571428571428</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Active</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87.290528628032177</v>
      </c>
      <c r="AB10">
        <f t="shared" ca="1" si="13"/>
        <v>32.692120888362496</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0</v>
      </c>
      <c r="AH10">
        <f ca="1">COUNTIFS('Match Log'!$D$4:$D$810,$A10,'Match Log'!$B$4:$B$810,"&gt;="&amp;$B$5,'Match Log'!$E$4:$E$810,"Win")</f>
        <v>0</v>
      </c>
      <c r="AI10">
        <f t="shared" ca="1" si="15"/>
        <v>887.03133744117429</v>
      </c>
    </row>
    <row r="11" spans="1:35" ht="15" customHeight="1" x14ac:dyDescent="0.2">
      <c r="A11" t="s">
        <v>19</v>
      </c>
      <c r="B11">
        <f>IFERROR(INDEX(Engine!$B$2:$B$15,MATCH($A11,Engine!$A$2:$A$15,0)),1000)</f>
        <v>1155.9112046633588</v>
      </c>
      <c r="C11">
        <f>IFERROR(INDEX(Engine!$C$2:$C$15,MATCH($A11,Engine!$A$2:$A$15,0)),"")</f>
        <v>1103.9112051202276</v>
      </c>
      <c r="D11">
        <f t="shared" si="0"/>
        <v>4</v>
      </c>
      <c r="E11">
        <f t="shared" si="1"/>
        <v>144.78236316063953</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WLWLW</v>
      </c>
      <c r="J11">
        <f>IFERROR(LOOKUP(2,1/(('Match Log'!$D$4:$D$810=$A11)*('Match Log'!$B$4:$B$810&lt;=$B$3)),'Match Log'!$N$4:$N$810),1000)</f>
        <v>1155.9112046633588</v>
      </c>
      <c r="K11">
        <f t="shared" si="3"/>
        <v>4</v>
      </c>
      <c r="L11">
        <f t="shared" si="4"/>
        <v>0</v>
      </c>
      <c r="M11">
        <f t="shared" si="5"/>
        <v>1</v>
      </c>
      <c r="N11">
        <f t="shared" si="6"/>
        <v>3</v>
      </c>
      <c r="O11">
        <f t="shared" si="7"/>
        <v>1</v>
      </c>
      <c r="P11">
        <f>IFERROR(SUMPRODUCT(MAX(('Match Log'!$D$4:$D$810=$A11)*'Match Log'!$B$4:$B$810)),0)</f>
        <v>46253</v>
      </c>
      <c r="Q11">
        <f t="shared" ca="1" si="8"/>
        <v>1.5714285714285714</v>
      </c>
      <c r="R11">
        <f ca="1">IF($P11=0,0,IF($Q11&gt;='Guide &amp; Settings'!$C$48,(INT($Q11-'Guide &amp; Settings'!$C$48)+1)*'Guide &amp; Settings'!$C$49,0))</f>
        <v>0</v>
      </c>
      <c r="S11">
        <f ca="1">$B11-$R11-$U11+SUMIF('Poker Stake Ledger'!$C$18:$C$137,$A11,'Poker Stake Ledger'!$K$18:$K$137)</f>
        <v>1177.6612046633588</v>
      </c>
      <c r="T11" t="str">
        <f ca="1">IF($P11=0,"No games",IF($Q11&gt;='Guide &amp; Settings'!$C$48,"Inactive",IF($Q11&gt;='Guide &amp; Settings'!$C$47,"At risk","Active")))</f>
        <v>Active</v>
      </c>
      <c r="U11">
        <f>SUMIF('Match Log'!$D$4:$D$810,$A11,'Match Log'!$AC$4:$AC$810)</f>
        <v>0</v>
      </c>
      <c r="V11">
        <f t="shared" si="9"/>
        <v>0</v>
      </c>
      <c r="W11">
        <f t="shared" ca="1" si="10"/>
        <v>94.415301165839708</v>
      </c>
      <c r="X11">
        <f ca="1">IFERROR(INDEX(Dashboard!$G$5:$G$18,MATCH($A11,Dashboard!$B$5:$B$18,0))*100,0)</f>
        <v>58.333333333333336</v>
      </c>
      <c r="Y11">
        <f ca="1">MIN(100,IFERROR(INDEX(Dashboard!$K$5:$K$18,MATCH($A11,Dashboard!$B$5:$B$18,0)),0)/5*50+$AC11/4*50)</f>
        <v>100</v>
      </c>
      <c r="Z11">
        <f t="shared" si="11"/>
        <v>60</v>
      </c>
      <c r="AA11">
        <f t="shared" si="12"/>
        <v>75.977801280056894</v>
      </c>
      <c r="AB11">
        <f t="shared" ca="1" si="13"/>
        <v>81.309802202716256</v>
      </c>
      <c r="AC11">
        <f>IFERROR(SUMPRODUCT((INDEX('Sport Records'!$B$8:$O$32,0,MATCH($A11,'Sport Records'!$B$7:$O$7,0))&gt;=2)*(INDEX('Sport Records'!$B$62:$O$86,0,MATCH($A11,'Sport Records'!$B$61:$O$61,0))&gt;=0.5)),0)</f>
        <v>8</v>
      </c>
      <c r="AD11">
        <f ca="1">IFERROR(INDEX(Dashboard!$D$5:$D$18,MATCH($A11,Dashboard!$B$5:$B$18,0)),0)</f>
        <v>60</v>
      </c>
      <c r="AE11">
        <f ca="1">IFERROR(INDEX(Dashboard!$K$5:$K$18,MATCH($A11,Dashboard!$B$5:$B$18,0)),0)</f>
        <v>15</v>
      </c>
      <c r="AF11" t="str">
        <f t="shared" ca="1" si="14"/>
        <v>Elite</v>
      </c>
      <c r="AG11">
        <f ca="1">COUNTIFS('Match Log'!$D$4:$D$810,$A11,'Match Log'!$B$4:$B$810,"&gt;="&amp;$B$5)</f>
        <v>0</v>
      </c>
      <c r="AH11">
        <f ca="1">COUNTIFS('Match Log'!$D$4:$D$810,$A11,'Match Log'!$B$4:$B$810,"&gt;="&amp;$B$5,'Match Log'!$E$4:$E$810,"Win")</f>
        <v>0</v>
      </c>
      <c r="AI11">
        <f t="shared" ca="1" si="15"/>
        <v>1177.6612057633588</v>
      </c>
    </row>
    <row r="12" spans="1:35" ht="15" customHeight="1" x14ac:dyDescent="0.2">
      <c r="A12" t="s">
        <v>20</v>
      </c>
      <c r="B12">
        <f>IFERROR(INDEX(Engine!$B$2:$B$15,MATCH($A12,Engine!$A$2:$A$15,0)),1000)</f>
        <v>1300.6935678239984</v>
      </c>
      <c r="C12">
        <f>IFERROR(INDEX(Engine!$C$2:$C$15,MATCH($A12,Engine!$A$2:$A$15,0)),"")</f>
        <v>1102.1219534639042</v>
      </c>
      <c r="D12">
        <f t="shared" si="0"/>
        <v>1</v>
      </c>
      <c r="E12">
        <f t="shared" si="1"/>
        <v>0</v>
      </c>
      <c r="F12" t="str">
        <f>IFERROR(LOOKUP(2,1/('Match Log'!$D$4:$D$810=$A12),'Match Log'!$E$4:$E$810),"")</f>
        <v>Win</v>
      </c>
      <c r="G12">
        <f>IF($F12="",0,SUMPRODUCT(('Match Log'!$D$4:$D$810=$A12)*(ROW('Match Log'!$A$4:$A$810)&gt;SUMPRODUCT(MAX(('Match Log'!$D$4:$D$810=$A12)*('Match Log'!$E$4:$E$810&lt;&gt;$F12)*ROW('Match Log'!$A$4:$A$810))))))</f>
        <v>2</v>
      </c>
      <c r="H12" t="str">
        <f t="shared" si="2"/>
        <v>W2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WWLWW</v>
      </c>
      <c r="J12">
        <f>IFERROR(LOOKUP(2,1/(('Match Log'!$D$4:$D$810=$A12)*('Match Log'!$B$4:$B$810&lt;=$B$3)),'Match Log'!$N$4:$N$810),1000)</f>
        <v>1280.4791002349882</v>
      </c>
      <c r="K12">
        <f t="shared" si="3"/>
        <v>1</v>
      </c>
      <c r="L12">
        <f t="shared" si="4"/>
        <v>0</v>
      </c>
      <c r="M12">
        <f t="shared" si="5"/>
        <v>6</v>
      </c>
      <c r="N12">
        <f t="shared" si="6"/>
        <v>4</v>
      </c>
      <c r="O12">
        <f t="shared" si="7"/>
        <v>2</v>
      </c>
      <c r="P12">
        <f>IFERROR(SUMPRODUCT(MAX(('Match Log'!$D$4:$D$810=$A12)*'Match Log'!$B$4:$B$810)),0)</f>
        <v>46264</v>
      </c>
      <c r="Q12">
        <f t="shared" ca="1" si="8"/>
        <v>0</v>
      </c>
      <c r="R12">
        <f ca="1">IF($P12=0,0,IF($Q12&gt;='Guide &amp; Settings'!$C$48,(INT($Q12-'Guide &amp; Settings'!$C$48)+1)*'Guide &amp; Settings'!$C$49,0))</f>
        <v>0</v>
      </c>
      <c r="S12">
        <f ca="1">$B12-$R12-$U12+SUMIF('Poker Stake Ledger'!$C$18:$C$137,$A12,'Poker Stake Ledger'!$K$18:$K$137)</f>
        <v>1296.9435678239984</v>
      </c>
      <c r="T12" t="str">
        <f ca="1">IF($P12=0,"No games",IF($Q12&gt;='Guide &amp; Settings'!$C$48,"Inactive",IF($Q12&gt;='Guide &amp; Settings'!$C$47,"At risk","Active")))</f>
        <v>Active</v>
      </c>
      <c r="U12">
        <f>SUMIF('Match Log'!$D$4:$D$810,$A12,'Match Log'!$AC$4:$AC$810)</f>
        <v>0</v>
      </c>
      <c r="V12">
        <f t="shared" si="9"/>
        <v>0</v>
      </c>
      <c r="W12">
        <f t="shared" ca="1" si="10"/>
        <v>100</v>
      </c>
      <c r="X12">
        <f ca="1">IFERROR(INDEX(Dashboard!$G$5:$G$18,MATCH($A12,Dashboard!$B$5:$B$18,0))*100,0)</f>
        <v>50</v>
      </c>
      <c r="Y12">
        <f ca="1">MIN(100,IFERROR(INDEX(Dashboard!$K$5:$K$18,MATCH($A12,Dashboard!$B$5:$B$18,0)),0)/5*50+$AC12/4*50)</f>
        <v>100</v>
      </c>
      <c r="Z12">
        <f t="shared" si="11"/>
        <v>80</v>
      </c>
      <c r="AA12">
        <f t="shared" si="12"/>
        <v>75.530488365976055</v>
      </c>
      <c r="AB12">
        <f t="shared" ca="1" si="13"/>
        <v>84.553048836597611</v>
      </c>
      <c r="AC12">
        <f>IFERROR(SUMPRODUCT((INDEX('Sport Records'!$B$8:$O$32,0,MATCH($A12,'Sport Records'!$B$7:$O$7,0))&gt;=2)*(INDEX('Sport Records'!$B$62:$O$86,0,MATCH($A12,'Sport Records'!$B$61:$O$61,0))&gt;=0.5)),0)</f>
        <v>6</v>
      </c>
      <c r="AD12">
        <f ca="1">IFERROR(INDEX(Dashboard!$D$5:$D$18,MATCH($A12,Dashboard!$B$5:$B$18,0)),0)</f>
        <v>136</v>
      </c>
      <c r="AE12">
        <f ca="1">IFERROR(INDEX(Dashboard!$K$5:$K$18,MATCH($A12,Dashboard!$B$5:$B$18,0)),0)</f>
        <v>18</v>
      </c>
      <c r="AF12" t="str">
        <f t="shared" ca="1" si="14"/>
        <v>Elite</v>
      </c>
      <c r="AG12">
        <f ca="1">COUNTIFS('Match Log'!$D$4:$D$810,$A12,'Match Log'!$B$4:$B$810,"&gt;="&amp;$B$5)</f>
        <v>6</v>
      </c>
      <c r="AH12">
        <f ca="1">COUNTIFS('Match Log'!$D$4:$D$810,$A12,'Match Log'!$B$4:$B$810,"&gt;="&amp;$B$5,'Match Log'!$E$4:$E$810,"Win")</f>
        <v>5</v>
      </c>
      <c r="AI12">
        <f t="shared" ca="1" si="15"/>
        <v>1296.9435690239984</v>
      </c>
    </row>
    <row r="13" spans="1:35" ht="15" customHeight="1" x14ac:dyDescent="0.2">
      <c r="A13" t="s">
        <v>21</v>
      </c>
      <c r="B13">
        <f>IFERROR(INDEX(Engine!$B$2:$B$15,MATCH($A13,Engine!$A$2:$A$15,0)),1000)</f>
        <v>1090.3473286809788</v>
      </c>
      <c r="C13">
        <f>IFERROR(INDEX(Engine!$C$2:$C$15,MATCH($A13,Engine!$A$2:$A$15,0)),"")</f>
        <v>1097.9827897208252</v>
      </c>
      <c r="D13">
        <f t="shared" si="0"/>
        <v>6</v>
      </c>
      <c r="E13">
        <f t="shared" si="1"/>
        <v>210.3462391430196</v>
      </c>
      <c r="F13" t="str">
        <f>IFERROR(LOOKUP(2,1/('Match Log'!$D$4:$D$810=$A13),'Match Log'!$E$4:$E$810),"")</f>
        <v>Loss</v>
      </c>
      <c r="G13">
        <f>IF($F13="",0,SUMPRODUCT(('Match Log'!$D$4:$D$810=$A13)*(ROW('Match Log'!$A$4:$A$810)&gt;SUMPRODUCT(MAX(('Match Log'!$D$4:$D$810=$A13)*('Match Log'!$E$4:$E$810&lt;&gt;$F13)*ROW('Match Log'!$A$4:$A$810))))))</f>
        <v>1</v>
      </c>
      <c r="H13" t="str">
        <f t="shared" si="2"/>
        <v>L1</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WWLWL</v>
      </c>
      <c r="J13">
        <f>IFERROR(LOOKUP(2,1/(('Match Log'!$D$4:$D$810=$A13)*('Match Log'!$B$4:$B$810&lt;=$B$3)),'Match Log'!$N$4:$N$810),1000)</f>
        <v>1110.7425533765304</v>
      </c>
      <c r="K13">
        <f t="shared" si="3"/>
        <v>5</v>
      </c>
      <c r="L13">
        <f t="shared" si="4"/>
        <v>-1</v>
      </c>
      <c r="M13">
        <f t="shared" si="5"/>
        <v>2</v>
      </c>
      <c r="N13">
        <f t="shared" si="6"/>
        <v>3</v>
      </c>
      <c r="O13">
        <f t="shared" si="7"/>
        <v>0</v>
      </c>
      <c r="P13">
        <f>IFERROR(SUMPRODUCT(MAX(('Match Log'!$D$4:$D$810=$A13)*'Match Log'!$B$4:$B$810)),0)</f>
        <v>46260</v>
      </c>
      <c r="Q13">
        <f t="shared" ca="1" si="8"/>
        <v>0.5714285714285714</v>
      </c>
      <c r="R13">
        <f ca="1">IF($P13=0,0,IF($Q13&gt;='Guide &amp; Settings'!$C$48,(INT($Q13-'Guide &amp; Settings'!$C$48)+1)*'Guide &amp; Settings'!$C$49,0))</f>
        <v>0</v>
      </c>
      <c r="S13">
        <f ca="1">$B13-$R13-$U13+SUMIF('Poker Stake Ledger'!$C$18:$C$137,$A13,'Poker Stake Ledger'!$K$18:$K$137)</f>
        <v>1084.7973286809788</v>
      </c>
      <c r="T13" t="str">
        <f ca="1">IF($P13=0,"No games",IF($Q13&gt;='Guide &amp; Settings'!$C$48,"Inactive",IF($Q13&gt;='Guide &amp; Settings'!$C$47,"At risk","Active")))</f>
        <v>Active</v>
      </c>
      <c r="U13">
        <f>SUMIF('Match Log'!$D$4:$D$810,$A13,'Match Log'!$AC$4:$AC$810)</f>
        <v>0</v>
      </c>
      <c r="V13">
        <f t="shared" si="9"/>
        <v>1</v>
      </c>
      <c r="W13">
        <f t="shared" ca="1" si="10"/>
        <v>71.199332170244702</v>
      </c>
      <c r="X13">
        <f ca="1">IFERROR(INDEX(Dashboard!$G$5:$G$18,MATCH($A13,Dashboard!$B$5:$B$18,0))*100,0)</f>
        <v>47.058823529411761</v>
      </c>
      <c r="Y13">
        <f ca="1">MIN(100,IFERROR(INDEX(Dashboard!$K$5:$K$18,MATCH($A13,Dashboard!$B$5:$B$18,0)),0)/5*50+$AC13/4*50)</f>
        <v>100</v>
      </c>
      <c r="Z13">
        <f t="shared" si="11"/>
        <v>60</v>
      </c>
      <c r="AA13">
        <f t="shared" si="12"/>
        <v>74.495697430206292</v>
      </c>
      <c r="AB13">
        <f t="shared" ca="1" si="13"/>
        <v>70.781100708488623</v>
      </c>
      <c r="AC13">
        <f>IFERROR(SUMPRODUCT((INDEX('Sport Records'!$B$8:$O$32,0,MATCH($A13,'Sport Records'!$B$7:$O$7,0))&gt;=2)*(INDEX('Sport Records'!$B$62:$O$86,0,MATCH($A13,'Sport Records'!$B$61:$O$61,0))&gt;=0.5)),0)</f>
        <v>4</v>
      </c>
      <c r="AD13">
        <f ca="1">IFERROR(INDEX(Dashboard!$D$5:$D$18,MATCH($A13,Dashboard!$B$5:$B$18,0)),0)</f>
        <v>34</v>
      </c>
      <c r="AE13">
        <f ca="1">IFERROR(INDEX(Dashboard!$K$5:$K$18,MATCH($A13,Dashboard!$B$5:$B$18,0)),0)</f>
        <v>11</v>
      </c>
      <c r="AF13" t="str">
        <f t="shared" ca="1" si="14"/>
        <v>Strong</v>
      </c>
      <c r="AG13">
        <f ca="1">COUNTIFS('Match Log'!$D$4:$D$810,$A13,'Match Log'!$B$4:$B$810,"&gt;="&amp;$B$5)</f>
        <v>8</v>
      </c>
      <c r="AH13">
        <f ca="1">COUNTIFS('Match Log'!$D$4:$D$810,$A13,'Match Log'!$B$4:$B$810,"&gt;="&amp;$B$5,'Match Log'!$E$4:$E$810,"Win")</f>
        <v>6</v>
      </c>
      <c r="AI13">
        <f t="shared" ca="1" si="15"/>
        <v>1084.7973299809787</v>
      </c>
    </row>
    <row r="14" spans="1:35" ht="15" customHeight="1" x14ac:dyDescent="0.2">
      <c r="A14" t="s">
        <v>22</v>
      </c>
      <c r="B14">
        <f>IFERROR(INDEX(Engine!$B$2:$B$15,MATCH($A14,Engine!$A$2:$A$15,0)),1000)</f>
        <v>1007.7320775880701</v>
      </c>
      <c r="C14">
        <f>IFERROR(INDEX(Engine!$C$2:$C$15,MATCH($A14,Engine!$A$2:$A$15,0)),"")</f>
        <v>1187.5348426568205</v>
      </c>
      <c r="D14">
        <f t="shared" si="0"/>
        <v>10</v>
      </c>
      <c r="E14">
        <f t="shared" si="1"/>
        <v>292.9614902359283</v>
      </c>
      <c r="F14" t="str">
        <f>IFERROR(LOOKUP(2,1/('Match Log'!$D$4:$D$810=$A14),'Match Log'!$E$4:$E$810),"")</f>
        <v>Loss</v>
      </c>
      <c r="G14">
        <f>IF($F14="",0,SUMPRODUCT(('Match Log'!$D$4:$D$810=$A14)*(ROW('Match Log'!$A$4:$A$810)&gt;SUMPRODUCT(MAX(('Match Log'!$D$4:$D$810=$A14)*('Match Log'!$E$4:$E$810&lt;&gt;$F14)*ROW('Match Log'!$A$4:$A$810))))))</f>
        <v>4</v>
      </c>
      <c r="H14" t="str">
        <f t="shared" si="2"/>
        <v>L4</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WLLLL</v>
      </c>
      <c r="J14">
        <f>IFERROR(LOOKUP(2,1/(('Match Log'!$D$4:$D$810=$A14)*('Match Log'!$B$4:$B$810&lt;=$B$3)),'Match Log'!$N$4:$N$810),1000)</f>
        <v>1017.3646895179213</v>
      </c>
      <c r="K14">
        <f t="shared" si="3"/>
        <v>10</v>
      </c>
      <c r="L14">
        <f t="shared" si="4"/>
        <v>0</v>
      </c>
      <c r="M14">
        <f t="shared" si="5"/>
        <v>10</v>
      </c>
      <c r="N14">
        <f t="shared" si="6"/>
        <v>1</v>
      </c>
      <c r="O14">
        <f t="shared" si="7"/>
        <v>0</v>
      </c>
      <c r="P14">
        <f>IFERROR(SUMPRODUCT(MAX(('Match Log'!$D$4:$D$810=$A14)*'Match Log'!$B$4:$B$810)),0)</f>
        <v>46264</v>
      </c>
      <c r="Q14">
        <f t="shared" ca="1" si="8"/>
        <v>0</v>
      </c>
      <c r="R14">
        <f ca="1">IF($P14=0,0,IF($Q14&gt;='Guide &amp; Settings'!$C$48,(INT($Q14-'Guide &amp; Settings'!$C$48)+1)*'Guide &amp; Settings'!$C$49,0))</f>
        <v>0</v>
      </c>
      <c r="S14">
        <f ca="1">$B14-$R14-$U14+SUMIF('Poker Stake Ledger'!$C$18:$C$137,$A14,'Poker Stake Ledger'!$K$18:$K$137)</f>
        <v>1006.38207758807</v>
      </c>
      <c r="T14" t="str">
        <f ca="1">IF($P14=0,"No games",IF($Q14&gt;='Guide &amp; Settings'!$C$48,"Inactive",IF($Q14&gt;='Guide &amp; Settings'!$C$47,"At risk","Active")))</f>
        <v>Active</v>
      </c>
      <c r="U14">
        <f>SUMIF('Match Log'!$D$4:$D$810,$A14,'Match Log'!$AC$4:$AC$810)</f>
        <v>0</v>
      </c>
      <c r="V14">
        <f t="shared" si="9"/>
        <v>4</v>
      </c>
      <c r="W14">
        <f t="shared" ca="1" si="10"/>
        <v>51.595519397017512</v>
      </c>
      <c r="X14">
        <f ca="1">IFERROR(INDEX(Dashboard!$G$5:$G$18,MATCH($A14,Dashboard!$B$5:$B$18,0))*100,0)</f>
        <v>37.795275590551178</v>
      </c>
      <c r="Y14">
        <f ca="1">MIN(100,IFERROR(INDEX(Dashboard!$K$5:$K$18,MATCH($A14,Dashboard!$B$5:$B$18,0)),0)/5*50+$AC14/4*50)</f>
        <v>100</v>
      </c>
      <c r="Z14">
        <f t="shared" si="11"/>
        <v>20</v>
      </c>
      <c r="AA14">
        <f t="shared" si="12"/>
        <v>96.883710664205125</v>
      </c>
      <c r="AB14">
        <f t="shared" ca="1" si="13"/>
        <v>58.30585797348688</v>
      </c>
      <c r="AC14">
        <f>IFERROR(SUMPRODUCT((INDEX('Sport Records'!$B$8:$O$32,0,MATCH($A14,'Sport Records'!$B$7:$O$7,0))&gt;=2)*(INDEX('Sport Records'!$B$62:$O$86,0,MATCH($A14,'Sport Records'!$B$61:$O$61,0))&gt;=0.5)),0)</f>
        <v>6</v>
      </c>
      <c r="AD14">
        <f ca="1">IFERROR(INDEX(Dashboard!$D$5:$D$18,MATCH($A14,Dashboard!$B$5:$B$18,0)),0)</f>
        <v>127</v>
      </c>
      <c r="AE14">
        <f ca="1">IFERROR(INDEX(Dashboard!$K$5:$K$18,MATCH($A14,Dashboard!$B$5:$B$18,0)),0)</f>
        <v>20</v>
      </c>
      <c r="AF14" t="str">
        <f t="shared" ca="1" si="14"/>
        <v>Strong</v>
      </c>
      <c r="AG14">
        <f ca="1">COUNTIFS('Match Log'!$D$4:$D$810,$A14,'Match Log'!$B$4:$B$810,"&gt;="&amp;$B$5)</f>
        <v>6</v>
      </c>
      <c r="AH14">
        <f ca="1">COUNTIFS('Match Log'!$D$4:$D$810,$A14,'Match Log'!$B$4:$B$810,"&gt;="&amp;$B$5,'Match Log'!$E$4:$E$810,"Win")</f>
        <v>1</v>
      </c>
      <c r="AI14">
        <f t="shared" ca="1" si="15"/>
        <v>1006.38207898807</v>
      </c>
    </row>
    <row r="15" spans="1:35" ht="15" customHeight="1" x14ac:dyDescent="0.2">
      <c r="A15" t="s">
        <v>23</v>
      </c>
      <c r="B15">
        <f>IFERROR(INDEX(Engine!$B$2:$B$15,MATCH($A15,Engine!$A$2:$A$15,0)),1000)</f>
        <v>1248.9288111472574</v>
      </c>
      <c r="C15">
        <f>IFERROR(INDEX(Engine!$C$2:$C$15,MATCH($A15,Engine!$A$2:$A$15,0)),"")</f>
        <v>1078.0648163906919</v>
      </c>
      <c r="D15">
        <f t="shared" si="0"/>
        <v>3</v>
      </c>
      <c r="E15">
        <f t="shared" si="1"/>
        <v>51.764756676740944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1248.9288111472574</v>
      </c>
      <c r="K15">
        <f t="shared" si="3"/>
        <v>3</v>
      </c>
      <c r="L15">
        <f t="shared" si="4"/>
        <v>0</v>
      </c>
      <c r="M15">
        <f t="shared" si="5"/>
        <v>3</v>
      </c>
      <c r="N15">
        <f t="shared" si="6"/>
        <v>4</v>
      </c>
      <c r="O15">
        <f t="shared" si="7"/>
        <v>3</v>
      </c>
      <c r="P15">
        <f>IFERROR(SUMPRODUCT(MAX(('Match Log'!$D$4:$D$810=$A15)*'Match Log'!$B$4:$B$810)),0)</f>
        <v>46256</v>
      </c>
      <c r="Q15">
        <f t="shared" ca="1" si="8"/>
        <v>1.1428571428571428</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Active</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69.516204097672983</v>
      </c>
      <c r="AB15">
        <f t="shared" ca="1" si="13"/>
        <v>86.259312717459608</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0</v>
      </c>
      <c r="AH15">
        <f ca="1">COUNTIFS('Match Log'!$D$4:$D$810,$A15,'Match Log'!$B$4:$B$810,"&gt;="&amp;$B$5,'Match Log'!$E$4:$E$810,"Win")</f>
        <v>0</v>
      </c>
      <c r="AI15">
        <f t="shared" ca="1" si="15"/>
        <v>1228.9288126472575</v>
      </c>
    </row>
    <row r="16" spans="1:35" ht="15" customHeight="1" x14ac:dyDescent="0.2">
      <c r="A16" t="s">
        <v>24</v>
      </c>
      <c r="B16">
        <f>IFERROR(INDEX(Engine!$B$2:$B$15,MATCH($A16,Engine!$A$2:$A$15,0)),1000)</f>
        <v>862.22294373677494</v>
      </c>
      <c r="C16">
        <f>IFERROR(INDEX(Engine!$C$2:$C$15,MATCH($A16,Engine!$A$2:$A$15,0)),"")</f>
        <v>1090.226211509294</v>
      </c>
      <c r="D16">
        <f t="shared" si="0"/>
        <v>14</v>
      </c>
      <c r="E16">
        <f t="shared" si="1"/>
        <v>438.47062408722343</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6</v>
      </c>
      <c r="R16">
        <f ca="1">IF($P16=0,0,IF($Q16&gt;='Guide &amp; Settings'!$C$48,(INT($Q16-'Guide &amp; Settings'!$C$48)+1)*'Guide &amp; Settings'!$C$49,0))</f>
        <v>30</v>
      </c>
      <c r="S16">
        <f ca="1">$B16-$R16-$U16+SUMIF('Poker Stake Ledger'!$C$18:$C$137,$A16,'Poker Stake Ledger'!$K$18:$K$137)</f>
        <v>832.22294373677494</v>
      </c>
      <c r="T16" t="str">
        <f ca="1">IF($P16=0,"No games",IF($Q16&gt;='Guide &amp; Settings'!$C$48,"Inactive",IF($Q16&gt;='Guide &amp; Settings'!$C$47,"At risk","Active")))</f>
        <v>Inactive</v>
      </c>
      <c r="U16">
        <f>SUMIF('Match Log'!$D$4:$D$810,$A16,'Match Log'!$AC$4:$AC$810)</f>
        <v>0</v>
      </c>
      <c r="V16">
        <f t="shared" si="9"/>
        <v>6</v>
      </c>
      <c r="W16">
        <f t="shared" ca="1" si="10"/>
        <v>8.0557359341937342</v>
      </c>
      <c r="X16">
        <f ca="1">IFERROR(INDEX(Dashboard!$G$5:$G$18,MATCH($A16,Dashboard!$B$5:$B$18,0))*100,0)</f>
        <v>13.333333333333334</v>
      </c>
      <c r="Y16">
        <f ca="1">MIN(100,IFERROR(INDEX(Dashboard!$K$5:$K$18,MATCH($A16,Dashboard!$B$5:$B$18,0)),0)/5*50+$AC16/4*50)</f>
        <v>30</v>
      </c>
      <c r="Z16">
        <f t="shared" si="11"/>
        <v>0</v>
      </c>
      <c r="AA16">
        <f t="shared" si="12"/>
        <v>72.556552877323497</v>
      </c>
      <c r="AB16">
        <f t="shared" ca="1" si="13"/>
        <v>18.741829531366822</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832.22294533677496</v>
      </c>
    </row>
    <row r="17" spans="1:35" ht="15" customHeight="1" x14ac:dyDescent="0.2">
      <c r="A17" t="s">
        <v>25</v>
      </c>
      <c r="B17">
        <f>IFERROR(INDEX(Engine!$B$2:$B$15,MATCH($A17,Engine!$A$2:$A$15,0)),1000)</f>
        <v>989.43966229077671</v>
      </c>
      <c r="C17">
        <f>IFERROR(INDEX(Engine!$C$2:$C$15,MATCH($A17,Engine!$A$2:$A$15,0)),"")</f>
        <v>1159.3458378818898</v>
      </c>
      <c r="D17">
        <f t="shared" si="0"/>
        <v>12</v>
      </c>
      <c r="E17">
        <f t="shared" si="1"/>
        <v>311.25390553322165</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LLWWL</v>
      </c>
      <c r="J17">
        <f>IFERROR(LOOKUP(2,1/(('Match Log'!$D$4:$D$810=$A17)*('Match Log'!$B$4:$B$810&lt;=$B$3)),'Match Log'!$N$4:$N$810),1000)</f>
        <v>949.62629325438388</v>
      </c>
      <c r="K17">
        <f t="shared" si="3"/>
        <v>12</v>
      </c>
      <c r="L17">
        <f t="shared" si="4"/>
        <v>0</v>
      </c>
      <c r="M17">
        <f t="shared" si="5"/>
        <v>4</v>
      </c>
      <c r="N17">
        <f t="shared" si="6"/>
        <v>2</v>
      </c>
      <c r="O17">
        <f t="shared" si="7"/>
        <v>0</v>
      </c>
      <c r="P17">
        <f>IFERROR(SUMPRODUCT(MAX(('Match Log'!$D$4:$D$810=$A17)*'Match Log'!$B$4:$B$810)),0)</f>
        <v>46260</v>
      </c>
      <c r="Q17">
        <f t="shared" ca="1" si="8"/>
        <v>0.5714285714285714</v>
      </c>
      <c r="R17">
        <f ca="1">IF($P17=0,0,IF($Q17&gt;='Guide &amp; Settings'!$C$48,(INT($Q17-'Guide &amp; Settings'!$C$48)+1)*'Guide &amp; Settings'!$C$49,0))</f>
        <v>0</v>
      </c>
      <c r="S17">
        <f ca="1">$B17-$R17-$U17+SUMIF('Poker Stake Ledger'!$C$18:$C$137,$A17,'Poker Stake Ledger'!$K$18:$K$137)</f>
        <v>989.43966229077671</v>
      </c>
      <c r="T17" t="str">
        <f ca="1">IF($P17=0,"No games",IF($Q17&gt;='Guide &amp; Settings'!$C$48,"Inactive",IF($Q17&gt;='Guide &amp; Settings'!$C$47,"At risk","Active")))</f>
        <v>Active</v>
      </c>
      <c r="U17">
        <f>SUMIF('Match Log'!$D$4:$D$810,$A17,'Match Log'!$AC$4:$AC$810)</f>
        <v>0</v>
      </c>
      <c r="V17">
        <f t="shared" si="9"/>
        <v>1</v>
      </c>
      <c r="W17">
        <f t="shared" ca="1" si="10"/>
        <v>47.359915572694177</v>
      </c>
      <c r="X17">
        <f ca="1">IFERROR(INDEX(Dashboard!$G$5:$G$18,MATCH($A17,Dashboard!$B$5:$B$18,0))*100,0)</f>
        <v>38.15789473684211</v>
      </c>
      <c r="Y17">
        <f ca="1">MIN(100,IFERROR(INDEX(Dashboard!$K$5:$K$18,MATCH($A17,Dashboard!$B$5:$B$18,0)),0)/5*50+$AC17/4*50)</f>
        <v>100</v>
      </c>
      <c r="Z17">
        <f t="shared" si="11"/>
        <v>40</v>
      </c>
      <c r="AA17">
        <f t="shared" si="12"/>
        <v>89.836459470472448</v>
      </c>
      <c r="AB17">
        <f t="shared" ca="1" si="13"/>
        <v>59.191195344858627</v>
      </c>
      <c r="AC17">
        <f>IFERROR(SUMPRODUCT((INDEX('Sport Records'!$B$8:$O$32,0,MATCH($A17,'Sport Records'!$B$7:$O$7,0))&gt;=2)*(INDEX('Sport Records'!$B$62:$O$86,0,MATCH($A17,'Sport Records'!$B$61:$O$61,0))&gt;=0.5)),0)</f>
        <v>3</v>
      </c>
      <c r="AD17">
        <f ca="1">IFERROR(INDEX(Dashboard!$D$5:$D$18,MATCH($A17,Dashboard!$B$5:$B$18,0)),0)</f>
        <v>76</v>
      </c>
      <c r="AE17">
        <f ca="1">IFERROR(INDEX(Dashboard!$K$5:$K$18,MATCH($A17,Dashboard!$B$5:$B$18,0)),0)</f>
        <v>13</v>
      </c>
      <c r="AF17" t="str">
        <f t="shared" ca="1" si="14"/>
        <v>Strong</v>
      </c>
      <c r="AG17">
        <f ca="1">COUNTIFS('Match Log'!$D$4:$D$810,$A17,'Match Log'!$B$4:$B$810,"&gt;="&amp;$B$5)</f>
        <v>10</v>
      </c>
      <c r="AH17">
        <f ca="1">COUNTIFS('Match Log'!$D$4:$D$810,$A17,'Match Log'!$B$4:$B$810,"&gt;="&amp;$B$5,'Match Log'!$E$4:$E$810,"Win")</f>
        <v>3</v>
      </c>
      <c r="AI17">
        <f t="shared" ca="1" si="15"/>
        <v>989.43966399077669</v>
      </c>
    </row>
    <row r="18" spans="1:35" ht="15" customHeight="1" x14ac:dyDescent="0.2">
      <c r="A18" t="s">
        <v>26</v>
      </c>
      <c r="B18">
        <f>IFERROR(INDEX(Engine!$B$2:$B$15,MATCH($A18,Engine!$A$2:$A$15,0)),1000)</f>
        <v>1087.5488947064855</v>
      </c>
      <c r="C18">
        <f>IFERROR(INDEX(Engine!$C$2:$C$15,MATCH($A18,Engine!$A$2:$A$15,0)),"")</f>
        <v>1032.9922227143129</v>
      </c>
      <c r="D18">
        <f t="shared" si="0"/>
        <v>7</v>
      </c>
      <c r="E18">
        <f t="shared" si="1"/>
        <v>213.14467311751287</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7</v>
      </c>
      <c r="L18">
        <f t="shared" si="4"/>
        <v>0</v>
      </c>
      <c r="M18">
        <f t="shared" si="5"/>
        <v>2</v>
      </c>
      <c r="N18">
        <f t="shared" si="6"/>
        <v>3</v>
      </c>
      <c r="O18">
        <f t="shared" si="7"/>
        <v>1</v>
      </c>
      <c r="P18">
        <f>IFERROR(SUMPRODUCT(MAX(('Match Log'!$D$4:$D$810=$A18)*'Match Log'!$B$4:$B$810)),0)</f>
        <v>46249</v>
      </c>
      <c r="Q18">
        <f t="shared" ca="1" si="8"/>
        <v>2.1428571428571428</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At risk</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58.248055678578226</v>
      </c>
      <c r="AB18">
        <f t="shared" ca="1" si="13"/>
        <v>62.318667188008639</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1087.5488965064856</v>
      </c>
    </row>
    <row r="19" spans="1:35" ht="15" customHeight="1" x14ac:dyDescent="0.2">
      <c r="A19" t="s">
        <v>27</v>
      </c>
      <c r="B19">
        <f>IFERROR(INDEX(Engine!$B$2:$B$15,MATCH($A19,Engine!$A$2:$A$15,0)),1000)</f>
        <v>1023.2192605207141</v>
      </c>
      <c r="C19">
        <f>IFERROR(INDEX(Engine!$C$2:$C$15,MATCH($A19,Engine!$A$2:$A$15,0)),"")</f>
        <v>1060.2666246758506</v>
      </c>
      <c r="D19">
        <f t="shared" si="0"/>
        <v>9</v>
      </c>
      <c r="E19">
        <f t="shared" si="1"/>
        <v>277.47430730328426</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9</v>
      </c>
      <c r="L19">
        <f t="shared" si="4"/>
        <v>0</v>
      </c>
      <c r="M19">
        <f t="shared" si="5"/>
        <v>0</v>
      </c>
      <c r="N19">
        <f t="shared" si="6"/>
        <v>0</v>
      </c>
      <c r="O19">
        <f t="shared" si="7"/>
        <v>0</v>
      </c>
      <c r="P19">
        <f>IFERROR(SUMPRODUCT(MAX(('Match Log'!$D$4:$D$810=$A19)*'Match Log'!$B$4:$B$810)),0)</f>
        <v>46249</v>
      </c>
      <c r="Q19">
        <f t="shared" ca="1" si="8"/>
        <v>2.1428571428571428</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At risk</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65.066656168962652</v>
      </c>
      <c r="AB19">
        <f t="shared" ca="1" si="13"/>
        <v>47.038350912458746</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11</v>
      </c>
      <c r="E20">
        <f t="shared" si="1"/>
        <v>300.69356782399836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7"/>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7"/>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7"/>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7"/>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7"/>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7"/>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7"/>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7"/>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7"/>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7"/>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7"/>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7"/>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7"/>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7"/>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7"/>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7"/>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7"/>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7"/>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7"/>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7"/>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7"/>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7"/>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7"/>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7"/>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7"/>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7"/>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7"/>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7"/>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7"/>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7"/>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7"/>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7"/>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7"/>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7"/>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7"/>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7"/>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7"/>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7"/>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7"/>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7"/>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7"/>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7"/>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7"/>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7"/>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7"/>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7"/>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7"/>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7"/>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0">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0"/>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0"/>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0"/>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0"/>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0"/>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0"/>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f t="shared" ca="1" si="30"/>
        <v>2.9586746268656802E-2</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f t="shared" ca="1" si="30"/>
        <v>-0.12526499999999999</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f t="shared" ca="1" si="30"/>
        <v>0.24024032911392412</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f t="shared" ca="1" si="30"/>
        <v>0.53098299999999998</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f t="shared" ca="1" si="30"/>
        <v>0.27245927272727272</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f t="shared" ca="1" si="30"/>
        <v>0.10499415789473694</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f t="shared" ca="1" si="30"/>
        <v>-1.4354507042253502E-2</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f t="shared" ca="1" si="30"/>
        <v>-0.10492216279069763</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f t="shared" ca="1" si="30"/>
        <v>-0.60027200000000014</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f t="shared" ca="1" si="30"/>
        <v>-0.66693966666666671</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8"/>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29"/>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f t="shared" ca="1" si="30"/>
        <v>0.14258314285714291</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Oscar + Simon</v>
      </c>
      <c r="E299">
        <f>IFERROR(INDEX('Match Log'!$F$4:$F$810,MATCH(275,'Match Log'!$A$4:$A$810,0)),"")</f>
        <v>3</v>
      </c>
      <c r="F299">
        <f>IFERROR(SUMIFS('Match Log'!$I$4:$I$810,'Match Log'!$A$4:$A$810,275,'Match Log'!$E$4:$E$810,"Win"),"")</f>
        <v>0.75</v>
      </c>
      <c r="G299">
        <f t="shared" si="28"/>
        <v>-1.25</v>
      </c>
      <c r="H299" t="str">
        <f t="array" ref="H299">IFERROR(IF(COUNTIFS('Match Log'!$A$4:$A$810,$A299,'Match Log'!$E$4:$E$810,"Win")&gt;1,_xlfn.TEXTJOIN(" + ",TRUE(),IF(('Match Log'!$A$4:$A$810=$A299)*('Match Log'!$E$4:$E$810="Loss"),'Match Log'!$D$4:$D$810,"")),IF($E299=2,LOOKUP(2,1/(('Match Log'!$A$4:$A$810=$A299)*('Match Log'!$E$4:$E$810="Loss")),'Match Log'!$D$4:$D$810),"the field")),"")</f>
        <v>Shawn</v>
      </c>
      <c r="I299">
        <f t="shared" si="29"/>
        <v>-1.250275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1268.2860376404833</v>
      </c>
      <c r="Q299">
        <f>IF($J299&gt;MAX('Match Log'!$A$4:$A$810),NA(),IFERROR(LOOKUP(2,1/(('Match Log'!$D$4:$D$810=$Q$24)*('Match Log'!$A$4:$A$810&lt;=$J299)),'Match Log'!$N$4:$N$810),NA()))</f>
        <v>1098.0585783811377</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995.50333084428144</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f t="shared" ca="1" si="30"/>
        <v>-1.250275</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0.15789473684210528</v>
      </c>
      <c r="G300">
        <f t="shared" si="28"/>
        <v>0.52631578947368418</v>
      </c>
      <c r="H300" t="str">
        <f t="array" ref="H300">IFERROR(IF(COUNTIFS('Match Log'!$A$4:$A$810,$A300,'Match Log'!$E$4:$E$810,"Win")&gt;1,_xlfn.TEXTJOIN(" + ",TRUE(),IF(('Match Log'!$A$4:$A$810=$A300)*('Match Log'!$E$4:$E$810="Loss"),'Match Log'!$D$4:$D$810,"")),IF($E300=2,LOOKUP(2,1/(('Match Log'!$A$4:$A$810=$A300)*('Match Log'!$E$4:$E$810="Loss")),'Match Log'!$D$4:$D$810),"the field")),"")</f>
        <v>the field</v>
      </c>
      <c r="I300">
        <f t="shared" si="29"/>
        <v>0.52603978947368413</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1291.0609558941471</v>
      </c>
      <c r="Q300">
        <f>IF($J300&gt;MAX('Match Log'!$A$4:$A$810),NA(),IFERROR(LOOKUP(2,1/(('Match Log'!$D$4:$D$810=$Q$24)*('Match Log'!$A$4:$A$810&lt;=$J300)),'Match Log'!$N$4:$N$810),NA()))</f>
        <v>1090.3473286809788</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989.43966229077671</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f t="shared" ca="1" si="30"/>
        <v>0.52603978947368413</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8"/>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29"/>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1300.6935678239984</v>
      </c>
      <c r="Q301">
        <f>IF($J301&gt;MAX('Match Log'!$A$4:$A$810),NA(),IFERROR(LOOKUP(2,1/(('Match Log'!$D$4:$D$810=$Q$24)*('Match Log'!$A$4:$A$810&lt;=$J301)),'Match Log'!$N$4:$N$810),NA()))</f>
        <v>1090.3473286809788</v>
      </c>
      <c r="R301">
        <f>IF($J301&gt;MAX('Match Log'!$A$4:$A$810),NA(),IFERROR(LOOKUP(2,1/(('Match Log'!$D$4:$D$810=$R$24)*('Match Log'!$A$4:$A$810&lt;=$J301)),'Match Log'!$N$4:$N$810),NA()))</f>
        <v>1007.7320775880701</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989.43966229077671</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f t="shared" ca="1" si="30"/>
        <v>-0.66694366666666671</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28"/>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29"/>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0"/>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28"/>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29"/>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0"/>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28"/>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29"/>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0"/>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28"/>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29"/>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0"/>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28"/>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29"/>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0"/>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28"/>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29"/>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0"/>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1143.6044055133605</v>
      </c>
      <c r="D2">
        <f>$B$2</f>
        <v>1265.5221853966827</v>
      </c>
      <c r="E2">
        <f>$B$3</f>
        <v>1029.5175965335138</v>
      </c>
      <c r="F2">
        <f>$B$4</f>
        <v>1098.8851304702137</v>
      </c>
      <c r="G2">
        <f>$B$5</f>
        <v>907.03133644117429</v>
      </c>
      <c r="H2">
        <f>$B$6</f>
        <v>1155.9112046633588</v>
      </c>
      <c r="I2">
        <f>$B$7</f>
        <v>1300.6935678239984</v>
      </c>
      <c r="J2">
        <f>$B$8</f>
        <v>1090.3473286809788</v>
      </c>
      <c r="K2">
        <f>$B$9</f>
        <v>1007.7320775880701</v>
      </c>
      <c r="L2">
        <f>$B$10</f>
        <v>1248.9288111472574</v>
      </c>
      <c r="M2">
        <f>$B$11</f>
        <v>862.22294373677494</v>
      </c>
      <c r="N2">
        <f>$B$12</f>
        <v>989.43966229077671</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1080.6005675255071</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1114.8645500908747</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1149.1621145121287</v>
      </c>
    </row>
    <row r="6" spans="1:17" ht="15" customHeight="1" x14ac:dyDescent="0.2">
      <c r="A6" t="s">
        <v>19</v>
      </c>
      <c r="B6">
        <f>IF(COUNTIF('Match Log'!$D$4:$D$810,$A6)=0,'Guide &amp; Settings'!$C$41,IFERROR(LOOKUP(2,1/('Match Log'!$D$4:$D$810=$A6),'Match Log'!$N$4:$N$810),'Guide &amp; Settings'!$C$41))</f>
        <v>1155.9112046633588</v>
      </c>
      <c r="C6">
        <f>IFERROR(SUMPRODUCT(INDEX('Head-to-Head'!$B$22:$O$35,5,0),$D$2:$Q$2)/SUM(INDEX('Head-to-Head'!$B$22:$O$35,5,0)),"")</f>
        <v>1103.9112051202276</v>
      </c>
    </row>
    <row r="7" spans="1:17" ht="15" customHeight="1" x14ac:dyDescent="0.2">
      <c r="A7" t="s">
        <v>20</v>
      </c>
      <c r="B7">
        <f>IF(COUNTIF('Match Log'!$D$4:$D$810,$A7)=0,'Guide &amp; Settings'!$C$41,IFERROR(LOOKUP(2,1/('Match Log'!$D$4:$D$810=$A7),'Match Log'!$N$4:$N$810),'Guide &amp; Settings'!$C$41))</f>
        <v>1300.6935678239984</v>
      </c>
      <c r="C7">
        <f>IFERROR(SUMPRODUCT(INDEX('Head-to-Head'!$B$22:$O$35,6,0),$D$2:$Q$2)/SUM(INDEX('Head-to-Head'!$B$22:$O$35,6,0)),"")</f>
        <v>1102.1219534639042</v>
      </c>
    </row>
    <row r="8" spans="1:17" ht="15" customHeight="1" x14ac:dyDescent="0.2">
      <c r="A8" t="s">
        <v>21</v>
      </c>
      <c r="B8">
        <f>IF(COUNTIF('Match Log'!$D$4:$D$810,$A8)=0,'Guide &amp; Settings'!$C$41,IFERROR(LOOKUP(2,1/('Match Log'!$D$4:$D$810=$A8),'Match Log'!$N$4:$N$810),'Guide &amp; Settings'!$C$41))</f>
        <v>1090.3473286809788</v>
      </c>
      <c r="C8">
        <f>IFERROR(SUMPRODUCT(INDEX('Head-to-Head'!$B$22:$O$35,7,0),$D$2:$Q$2)/SUM(INDEX('Head-to-Head'!$B$22:$O$35,7,0)),"")</f>
        <v>1097.9827897208252</v>
      </c>
    </row>
    <row r="9" spans="1:17" ht="15" customHeight="1" x14ac:dyDescent="0.2">
      <c r="A9" t="s">
        <v>22</v>
      </c>
      <c r="B9">
        <f>IF(COUNTIF('Match Log'!$D$4:$D$810,$A9)=0,'Guide &amp; Settings'!$C$41,IFERROR(LOOKUP(2,1/('Match Log'!$D$4:$D$810=$A9),'Match Log'!$N$4:$N$810),'Guide &amp; Settings'!$C$41))</f>
        <v>1007.7320775880701</v>
      </c>
      <c r="C9">
        <f>IFERROR(SUMPRODUCT(INDEX('Head-to-Head'!$B$22:$O$35,8,0),$D$2:$Q$2)/SUM(INDEX('Head-to-Head'!$B$22:$O$35,8,0)),"")</f>
        <v>1187.5348426568205</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1078.0648163906919</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1090.226211509294</v>
      </c>
    </row>
    <row r="12" spans="1:17" ht="15" customHeight="1" x14ac:dyDescent="0.2">
      <c r="A12" t="s">
        <v>25</v>
      </c>
      <c r="B12">
        <f>IF(COUNTIF('Match Log'!$D$4:$D$810,$A12)=0,'Guide &amp; Settings'!$C$41,IFERROR(LOOKUP(2,1/('Match Log'!$D$4:$D$810=$A12),'Match Log'!$N$4:$N$810),'Guide &amp; Settings'!$C$41))</f>
        <v>989.43966229077671</v>
      </c>
      <c r="C12">
        <f>IFERROR(SUMPRODUCT(INDEX('Head-to-Head'!$B$22:$O$35,11,0),$D$2:$Q$2)/SUM(INDEX('Head-to-Head'!$B$22:$O$35,11,0)),"")</f>
        <v>1159.3458378818898</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1032.9922227143129</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1060.2666246758506</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2026-08-30T12:38:10Z</dcterms:modified>
  <dc:language>en-US</dc:language>
</cp:coreProperties>
</file>