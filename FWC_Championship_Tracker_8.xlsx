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F6D4035F-A93C-CD4F-B917-A776E196AC37}"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W195" i="11"/>
  <c r="V195" i="11"/>
  <c r="U195" i="11"/>
  <c r="T195" i="11"/>
  <c r="S195" i="11"/>
  <c r="R195" i="11"/>
  <c r="Q195" i="11"/>
  <c r="P195" i="11"/>
  <c r="O195" i="11"/>
  <c r="N195" i="11"/>
  <c r="M195" i="11"/>
  <c r="L195" i="11"/>
  <c r="K195" i="11"/>
  <c r="F195" i="11"/>
  <c r="E195" i="11"/>
  <c r="H195" i="11" s="1" a="1"/>
  <c r="H195" i="11" s="1"/>
  <c r="D195" i="11" a="1"/>
  <c r="D195" i="11" s="1"/>
  <c r="G195" i="11" s="1"/>
  <c r="I195" i="11" s="1"/>
  <c r="C195" i="11"/>
  <c r="B195" i="11"/>
  <c r="X194" i="11"/>
  <c r="W194" i="11"/>
  <c r="V194" i="11"/>
  <c r="U194" i="11"/>
  <c r="T194" i="11"/>
  <c r="S194" i="11"/>
  <c r="R194" i="11"/>
  <c r="Q194" i="11"/>
  <c r="P194" i="11"/>
  <c r="O194" i="11"/>
  <c r="N194" i="11"/>
  <c r="M194" i="11"/>
  <c r="L194" i="11"/>
  <c r="K194" i="11"/>
  <c r="F194" i="11"/>
  <c r="E194" i="11"/>
  <c r="H194" i="11" s="1" a="1"/>
  <c r="H194" i="11" s="1"/>
  <c r="D194" i="11" a="1"/>
  <c r="D194" i="11" s="1"/>
  <c r="G194" i="11" s="1"/>
  <c r="I194" i="11" s="1"/>
  <c r="C194" i="11"/>
  <c r="B194" i="11"/>
  <c r="X193" i="11"/>
  <c r="W193" i="11"/>
  <c r="V193" i="11"/>
  <c r="U193" i="11"/>
  <c r="T193" i="11"/>
  <c r="S193" i="11"/>
  <c r="R193" i="11"/>
  <c r="Q193" i="11"/>
  <c r="P193" i="11"/>
  <c r="O193" i="11"/>
  <c r="N193" i="11"/>
  <c r="M193" i="11"/>
  <c r="L193" i="11"/>
  <c r="K193" i="11"/>
  <c r="F193" i="11"/>
  <c r="E193" i="11"/>
  <c r="H193" i="11" s="1" a="1"/>
  <c r="H193" i="11" s="1"/>
  <c r="D193" i="11" a="1"/>
  <c r="D193" i="11" s="1"/>
  <c r="G193" i="11" s="1"/>
  <c r="I193" i="11" s="1"/>
  <c r="C193" i="11"/>
  <c r="B193" i="11"/>
  <c r="X192" i="11"/>
  <c r="W192" i="11"/>
  <c r="V192" i="11"/>
  <c r="U192" i="11"/>
  <c r="T192" i="11"/>
  <c r="S192" i="11"/>
  <c r="R192" i="11"/>
  <c r="Q192" i="11"/>
  <c r="P192" i="11"/>
  <c r="O192" i="11"/>
  <c r="N192" i="11"/>
  <c r="M192" i="11"/>
  <c r="L192" i="11"/>
  <c r="K192" i="11"/>
  <c r="F192" i="11"/>
  <c r="E192" i="11"/>
  <c r="H192" i="11" s="1" a="1"/>
  <c r="H192" i="11" s="1"/>
  <c r="D192" i="11" a="1"/>
  <c r="D192" i="11" s="1"/>
  <c r="G192" i="11" s="1"/>
  <c r="I192" i="11" s="1"/>
  <c r="C192" i="11"/>
  <c r="B192" i="11"/>
  <c r="X191" i="11"/>
  <c r="W191" i="11"/>
  <c r="V191" i="11"/>
  <c r="U191" i="11"/>
  <c r="T191" i="11"/>
  <c r="S191" i="11"/>
  <c r="R191" i="11"/>
  <c r="Q191" i="11"/>
  <c r="P191" i="11"/>
  <c r="O191" i="11"/>
  <c r="N191" i="11"/>
  <c r="M191" i="11"/>
  <c r="L191" i="11"/>
  <c r="K191" i="11"/>
  <c r="F191" i="11"/>
  <c r="E191" i="11"/>
  <c r="H191" i="11" s="1" a="1"/>
  <c r="H191" i="11" s="1"/>
  <c r="D191" i="11" a="1"/>
  <c r="D191" i="11" s="1"/>
  <c r="G191" i="11" s="1"/>
  <c r="I191" i="11" s="1"/>
  <c r="C191" i="11"/>
  <c r="B191" i="11"/>
  <c r="X190" i="11"/>
  <c r="W190" i="11"/>
  <c r="V190" i="11"/>
  <c r="U190" i="11"/>
  <c r="T190" i="11"/>
  <c r="S190" i="11"/>
  <c r="R190" i="11"/>
  <c r="Q190" i="11"/>
  <c r="P190" i="11"/>
  <c r="O190" i="11"/>
  <c r="N190" i="11"/>
  <c r="M190" i="11"/>
  <c r="L190" i="11"/>
  <c r="K190" i="11"/>
  <c r="F190" i="11"/>
  <c r="E190" i="11"/>
  <c r="H190" i="11" s="1" a="1"/>
  <c r="H190" i="11" s="1"/>
  <c r="D190" i="11" a="1"/>
  <c r="D190" i="11" s="1"/>
  <c r="G190" i="11" s="1"/>
  <c r="I190" i="11" s="1"/>
  <c r="C190" i="11"/>
  <c r="B190" i="11"/>
  <c r="X189" i="11"/>
  <c r="W189" i="11"/>
  <c r="V189" i="11"/>
  <c r="U189" i="11"/>
  <c r="T189" i="11"/>
  <c r="S189" i="11"/>
  <c r="R189" i="11"/>
  <c r="Q189" i="11"/>
  <c r="P189" i="11"/>
  <c r="O189" i="11"/>
  <c r="N189" i="11"/>
  <c r="M189" i="11"/>
  <c r="L189" i="11"/>
  <c r="K189" i="11"/>
  <c r="F189" i="11"/>
  <c r="E189" i="11"/>
  <c r="H189" i="11" s="1" a="1"/>
  <c r="H189" i="11" s="1"/>
  <c r="D189" i="11" a="1"/>
  <c r="D189" i="11" s="1"/>
  <c r="G189" i="11" s="1"/>
  <c r="I189" i="11" s="1"/>
  <c r="C189" i="11"/>
  <c r="B189" i="11"/>
  <c r="X188" i="11"/>
  <c r="W188" i="11"/>
  <c r="V188" i="11"/>
  <c r="U188" i="11"/>
  <c r="T188" i="11"/>
  <c r="S188" i="11"/>
  <c r="R188" i="11"/>
  <c r="Q188" i="11"/>
  <c r="P188" i="11"/>
  <c r="O188" i="11"/>
  <c r="N188" i="11"/>
  <c r="M188" i="11"/>
  <c r="L188" i="11"/>
  <c r="K188" i="11"/>
  <c r="F188" i="11"/>
  <c r="E188" i="11"/>
  <c r="H188" i="11" s="1" a="1"/>
  <c r="H188" i="11" s="1"/>
  <c r="D188" i="11" a="1"/>
  <c r="D188" i="11" s="1"/>
  <c r="G188" i="11" s="1"/>
  <c r="I188" i="11" s="1"/>
  <c r="C188" i="11"/>
  <c r="B188" i="11"/>
  <c r="X187" i="11"/>
  <c r="W187" i="11"/>
  <c r="V187" i="11"/>
  <c r="U187" i="11"/>
  <c r="T187" i="11"/>
  <c r="S187" i="11"/>
  <c r="R187" i="11"/>
  <c r="Q187" i="11"/>
  <c r="P187" i="11"/>
  <c r="O187" i="11"/>
  <c r="N187" i="11"/>
  <c r="M187" i="11"/>
  <c r="L187" i="11"/>
  <c r="K187" i="11"/>
  <c r="F187" i="11"/>
  <c r="E187" i="11"/>
  <c r="H187" i="11" s="1" a="1"/>
  <c r="H187" i="11" s="1"/>
  <c r="D187" i="11" a="1"/>
  <c r="D187" i="11" s="1"/>
  <c r="G187" i="11" s="1"/>
  <c r="I187" i="11" s="1"/>
  <c r="C187" i="11"/>
  <c r="B187" i="11"/>
  <c r="X186" i="11"/>
  <c r="W186" i="11"/>
  <c r="V186" i="11"/>
  <c r="U186" i="11"/>
  <c r="T186" i="11"/>
  <c r="S186" i="11"/>
  <c r="R186" i="11"/>
  <c r="Q186" i="11"/>
  <c r="P186" i="11"/>
  <c r="O186" i="11"/>
  <c r="N186" i="11"/>
  <c r="M186" i="11"/>
  <c r="L186" i="11"/>
  <c r="K186" i="11"/>
  <c r="F186" i="11"/>
  <c r="E186" i="11"/>
  <c r="H186" i="11" s="1" a="1"/>
  <c r="H186" i="11" s="1"/>
  <c r="D186" i="11" a="1"/>
  <c r="D186" i="11" s="1"/>
  <c r="G186" i="11" s="1"/>
  <c r="I186" i="11" s="1"/>
  <c r="C186" i="11"/>
  <c r="B186" i="11"/>
  <c r="X185" i="11"/>
  <c r="W185" i="11"/>
  <c r="V185" i="11"/>
  <c r="U185" i="11"/>
  <c r="T185" i="11"/>
  <c r="S185" i="11"/>
  <c r="R185" i="11"/>
  <c r="Q185" i="11"/>
  <c r="P185" i="11"/>
  <c r="O185" i="11"/>
  <c r="N185" i="11"/>
  <c r="M185" i="11"/>
  <c r="L185" i="11"/>
  <c r="K185" i="11"/>
  <c r="F185" i="11"/>
  <c r="E185" i="11"/>
  <c r="H185" i="11" s="1" a="1"/>
  <c r="H185" i="11" s="1"/>
  <c r="D185" i="11" a="1"/>
  <c r="D185" i="11" s="1"/>
  <c r="G185" i="11" s="1"/>
  <c r="I185" i="11" s="1"/>
  <c r="C185" i="11"/>
  <c r="B185" i="11"/>
  <c r="X184" i="11"/>
  <c r="W184" i="11"/>
  <c r="V184" i="11"/>
  <c r="U184" i="11"/>
  <c r="T184" i="11"/>
  <c r="S184" i="11"/>
  <c r="R184" i="11"/>
  <c r="Q184" i="11"/>
  <c r="P184" i="11"/>
  <c r="O184" i="11"/>
  <c r="N184" i="11"/>
  <c r="M184" i="11"/>
  <c r="L184" i="11"/>
  <c r="K184" i="11"/>
  <c r="F184" i="11"/>
  <c r="E184" i="11"/>
  <c r="H184" i="11" s="1" a="1"/>
  <c r="H184" i="11" s="1"/>
  <c r="D184" i="11" a="1"/>
  <c r="D184" i="11" s="1"/>
  <c r="G184" i="11" s="1"/>
  <c r="I184" i="11" s="1"/>
  <c r="C184" i="11"/>
  <c r="B184" i="11"/>
  <c r="X183" i="11"/>
  <c r="W183" i="11"/>
  <c r="V183" i="11"/>
  <c r="U183" i="11"/>
  <c r="T183" i="11"/>
  <c r="S183" i="11"/>
  <c r="R183" i="11"/>
  <c r="Q183" i="11"/>
  <c r="P183" i="11"/>
  <c r="O183" i="11"/>
  <c r="N183" i="11"/>
  <c r="M183" i="11"/>
  <c r="L183" i="11"/>
  <c r="K183" i="11"/>
  <c r="F183" i="11"/>
  <c r="E183" i="11"/>
  <c r="H183" i="11" s="1" a="1"/>
  <c r="H183" i="11" s="1"/>
  <c r="D183" i="11" a="1"/>
  <c r="D183" i="11" s="1"/>
  <c r="G183" i="11" s="1"/>
  <c r="I183" i="11" s="1"/>
  <c r="C183" i="11"/>
  <c r="B183" i="11"/>
  <c r="X182" i="11"/>
  <c r="W182" i="11"/>
  <c r="V182" i="11"/>
  <c r="U182" i="11"/>
  <c r="T182" i="11"/>
  <c r="S182" i="11"/>
  <c r="R182" i="11"/>
  <c r="Q182" i="11"/>
  <c r="P182" i="11"/>
  <c r="O182" i="11"/>
  <c r="N182" i="11"/>
  <c r="M182" i="11"/>
  <c r="L182" i="11"/>
  <c r="K182" i="11"/>
  <c r="F182" i="11"/>
  <c r="E182" i="11"/>
  <c r="H182" i="11" s="1" a="1"/>
  <c r="H182" i="11" s="1"/>
  <c r="D182" i="11" a="1"/>
  <c r="D182" i="11" s="1"/>
  <c r="G182" i="11" s="1"/>
  <c r="I182" i="11" s="1"/>
  <c r="C182" i="11"/>
  <c r="B182" i="11"/>
  <c r="X181" i="11"/>
  <c r="W181" i="11"/>
  <c r="V181" i="11"/>
  <c r="U181" i="11"/>
  <c r="T181" i="11"/>
  <c r="S181" i="11"/>
  <c r="R181" i="11"/>
  <c r="Q181" i="11"/>
  <c r="P181" i="11"/>
  <c r="O181" i="11"/>
  <c r="N181" i="11"/>
  <c r="M181" i="11"/>
  <c r="L181" i="11"/>
  <c r="K181" i="11"/>
  <c r="F181" i="11"/>
  <c r="E181" i="11"/>
  <c r="H181" i="11" s="1" a="1"/>
  <c r="H181" i="11" s="1"/>
  <c r="D181" i="11" a="1"/>
  <c r="D181" i="11" s="1"/>
  <c r="G181" i="11" s="1"/>
  <c r="I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L118" i="6"/>
  <c r="K118" i="6"/>
  <c r="J118" i="6"/>
  <c r="H118" i="6"/>
  <c r="E118" i="6"/>
  <c r="D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H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H100" i="6"/>
  <c r="F100" i="6"/>
  <c r="E100" i="6"/>
  <c r="D100" i="6"/>
  <c r="C100" i="6"/>
  <c r="B100" i="6"/>
  <c r="D96" i="6"/>
  <c r="C96" i="6"/>
  <c r="B96" i="6"/>
  <c r="D95" i="6"/>
  <c r="C95" i="6"/>
  <c r="B95" i="6"/>
  <c r="F94"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L76" i="6" s="1"/>
  <c r="T68" i="8" s="1"/>
  <c r="K26" i="6"/>
  <c r="K76" i="6" s="1"/>
  <c r="T67" i="8" s="1"/>
  <c r="J26" i="6"/>
  <c r="J76" i="6" s="1"/>
  <c r="T66" i="8" s="1"/>
  <c r="I26" i="6"/>
  <c r="H26" i="6"/>
  <c r="H76" i="6" s="1"/>
  <c r="T64" i="8" s="1"/>
  <c r="G26" i="6"/>
  <c r="F26" i="6"/>
  <c r="E26" i="6"/>
  <c r="E76" i="6" s="1"/>
  <c r="T61" i="8" s="1"/>
  <c r="D26" i="6"/>
  <c r="D76" i="6" s="1"/>
  <c r="T60" i="8" s="1"/>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H71" i="6" s="1"/>
  <c r="O64" i="8" s="1"/>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D58" i="6" s="1"/>
  <c r="B60" i="8" s="1"/>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U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363" i="9" l="1"/>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S28" i="9"/>
  <c r="I28" i="9" s="1"/>
  <c r="AH8" i="11"/>
  <c r="L49" i="9"/>
  <c r="S17" i="9"/>
  <c r="I17" i="9" s="1"/>
  <c r="K17" i="9" s="1"/>
  <c r="G5" i="4"/>
  <c r="S40" i="9"/>
  <c r="I40" i="9"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Y139" i="9"/>
  <c r="S233" i="9"/>
  <c r="I233" i="9" s="1"/>
  <c r="K233" i="9" s="1"/>
  <c r="L326" i="9"/>
  <c r="Z334" i="9"/>
  <c r="AA333" i="9" s="1"/>
  <c r="AB333" i="9" s="1"/>
  <c r="U336" i="9" s="1"/>
  <c r="S57" i="9"/>
  <c r="I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S289" i="9"/>
  <c r="I289" i="9" s="1"/>
  <c r="K289" i="9" s="1"/>
  <c r="S297" i="9"/>
  <c r="I297" i="9" s="1"/>
  <c r="K297" i="9" s="1"/>
  <c r="Z9" i="9"/>
  <c r="AA9" i="9" s="1"/>
  <c r="AB9" i="9" s="1"/>
  <c r="I105" i="6" s="1"/>
  <c r="S46" i="9"/>
  <c r="I46" i="9" s="1"/>
  <c r="K46" i="9" s="1"/>
  <c r="S134" i="9"/>
  <c r="I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S138" i="9"/>
  <c r="I138" i="9"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U51"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L333" i="9"/>
  <c r="L339" i="9"/>
  <c r="G91" i="6"/>
  <c r="S91" i="6" s="1"/>
  <c r="B32" i="7"/>
  <c r="S150" i="9"/>
  <c r="I150" i="9" s="1"/>
  <c r="K150" i="9" s="1"/>
  <c r="L200" i="9"/>
  <c r="Z225" i="9"/>
  <c r="S266" i="9"/>
  <c r="I266" i="9"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R32" i="10"/>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S175" i="9"/>
  <c r="I175" i="9" s="1"/>
  <c r="K175" i="9" s="1"/>
  <c r="L220" i="9"/>
  <c r="S236" i="9"/>
  <c r="I236" i="9" s="1"/>
  <c r="K236" i="9" s="1"/>
  <c r="S268" i="9"/>
  <c r="I268" i="9"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K244" i="9"/>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S238" i="9"/>
  <c r="I238" i="9" s="1"/>
  <c r="K238" i="9" s="1"/>
  <c r="S239" i="9"/>
  <c r="I239" i="9" s="1"/>
  <c r="K239" i="9" s="1"/>
  <c r="L244" i="9"/>
  <c r="S255" i="9"/>
  <c r="I255" i="9" s="1"/>
  <c r="K255" i="9" s="1"/>
  <c r="S264" i="9"/>
  <c r="I264" i="9" s="1"/>
  <c r="K264" i="9" s="1"/>
  <c r="S276" i="9"/>
  <c r="I276" i="9" s="1"/>
  <c r="S295" i="9"/>
  <c r="I295" i="9" s="1"/>
  <c r="G24" i="4"/>
  <c r="Q12" i="11"/>
  <c r="R12" i="11" s="1"/>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S246" i="9"/>
  <c r="I246" i="9" s="1"/>
  <c r="J62" i="6"/>
  <c r="F66" i="8" s="1"/>
  <c r="H69" i="6"/>
  <c r="M64" i="8" s="1"/>
  <c r="L71" i="6"/>
  <c r="O68" i="8" s="1"/>
  <c r="D75" i="6"/>
  <c r="S60" i="8" s="1"/>
  <c r="AH10" i="11"/>
  <c r="AH18" i="11"/>
  <c r="F48" i="11"/>
  <c r="K57" i="9"/>
  <c r="AA24" i="9"/>
  <c r="AB24" i="9" s="1"/>
  <c r="U26" i="9" s="1"/>
  <c r="AA23" i="9"/>
  <c r="AB23" i="9" s="1"/>
  <c r="U25" i="9" s="1"/>
  <c r="L62" i="9"/>
  <c r="L5" i="9"/>
  <c r="S66" i="9"/>
  <c r="I66" i="9" s="1"/>
  <c r="K66" i="9" s="1"/>
  <c r="S65" i="9"/>
  <c r="I65" i="9" s="1"/>
  <c r="F65" i="11"/>
  <c r="K93" i="9"/>
  <c r="L14" i="9"/>
  <c r="F57" i="11"/>
  <c r="K75" i="9"/>
  <c r="F67" i="11"/>
  <c r="K97" i="9"/>
  <c r="E46" i="11"/>
  <c r="H46" i="11" s="1" a="1"/>
  <c r="H46" i="11" s="1"/>
  <c r="L53" i="9"/>
  <c r="F33" i="11"/>
  <c r="G33" i="11" s="1"/>
  <c r="I33" i="11" s="1"/>
  <c r="K28" i="9"/>
  <c r="S58" i="9"/>
  <c r="I58" i="9" s="1"/>
  <c r="K58" i="9" s="1"/>
  <c r="S50" i="9"/>
  <c r="I50" i="9" s="1"/>
  <c r="K50" i="9" s="1"/>
  <c r="S49" i="9"/>
  <c r="I49" i="9" s="1"/>
  <c r="F39" i="11"/>
  <c r="K40" i="9"/>
  <c r="L46" i="9"/>
  <c r="E69" i="11"/>
  <c r="H69" i="11" s="1" a="1"/>
  <c r="H69" i="11" s="1"/>
  <c r="L100" i="9"/>
  <c r="E38" i="11"/>
  <c r="H38" i="11" s="1" a="1"/>
  <c r="H38" i="11" s="1"/>
  <c r="L37" i="9"/>
  <c r="E53" i="11"/>
  <c r="H53" i="11" s="1" a="1"/>
  <c r="H53" i="11" s="1"/>
  <c r="L67" i="9"/>
  <c r="F64" i="11"/>
  <c r="K90" i="9"/>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F40" i="11"/>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K134" i="9"/>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F88" i="11"/>
  <c r="K138" i="9"/>
  <c r="U12" i="11"/>
  <c r="U10" i="11"/>
  <c r="Y49" i="9"/>
  <c r="Z49" i="9" s="1"/>
  <c r="Y68" i="9"/>
  <c r="Z68" i="9" s="1"/>
  <c r="S69" i="9"/>
  <c r="I69" i="9" s="1"/>
  <c r="L107" i="9"/>
  <c r="L108" i="9"/>
  <c r="S24" i="9"/>
  <c r="I24" i="9" s="1"/>
  <c r="W6" i="9"/>
  <c r="X6" i="9" s="1"/>
  <c r="J6"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K128" i="9"/>
  <c r="S132" i="9"/>
  <c r="I132" i="9" s="1"/>
  <c r="E86" i="11"/>
  <c r="H86" i="11" s="1" a="1"/>
  <c r="H86" i="11" s="1"/>
  <c r="L128" i="9"/>
  <c r="S163" i="9"/>
  <c r="I163" i="9" s="1"/>
  <c r="K163" i="9" s="1"/>
  <c r="AA126" i="9"/>
  <c r="AB126" i="9" s="1"/>
  <c r="U134"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AA125" i="9"/>
  <c r="AB125" i="9" s="1"/>
  <c r="U129"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K235" i="9"/>
  <c r="E92" i="11"/>
  <c r="H92" i="11" s="1" a="1"/>
  <c r="H92" i="11" s="1"/>
  <c r="U18" i="11"/>
  <c r="S193" i="9"/>
  <c r="I193" i="9" s="1"/>
  <c r="K193" i="9" s="1"/>
  <c r="E96" i="11"/>
  <c r="L175" i="9"/>
  <c r="E91" i="11"/>
  <c r="H91" i="11" s="1" a="1"/>
  <c r="H91" i="11" s="1"/>
  <c r="S182" i="9"/>
  <c r="I182" i="9" s="1"/>
  <c r="K182" i="9" s="1"/>
  <c r="S180" i="9"/>
  <c r="I180" i="9" s="1"/>
  <c r="L208" i="9"/>
  <c r="Y221" i="9"/>
  <c r="F119" i="11"/>
  <c r="S257" i="9"/>
  <c r="I257" i="9" s="1"/>
  <c r="S256" i="9"/>
  <c r="I256" i="9" s="1"/>
  <c r="K256" i="9" s="1"/>
  <c r="S218" i="9"/>
  <c r="I218" i="9" s="1"/>
  <c r="K218" i="9" s="1"/>
  <c r="S216" i="9"/>
  <c r="I216" i="9" s="1"/>
  <c r="E116" i="11"/>
  <c r="H116" i="11" s="1" a="1"/>
  <c r="H116" i="11" s="1"/>
  <c r="L261" i="9"/>
  <c r="S229" i="9"/>
  <c r="I229" i="9" s="1"/>
  <c r="Y244" i="9"/>
  <c r="Z244" i="9" s="1"/>
  <c r="F134" i="11"/>
  <c r="K268" i="9"/>
  <c r="E139" i="11"/>
  <c r="H139" i="11" s="1" a="1"/>
  <c r="H139" i="11" s="1"/>
  <c r="L278" i="9"/>
  <c r="AA225" i="9"/>
  <c r="AB225" i="9" s="1"/>
  <c r="U239" i="9" s="1"/>
  <c r="F133" i="11"/>
  <c r="K266" i="9"/>
  <c r="E118" i="11"/>
  <c r="H118" i="11" s="1" a="1"/>
  <c r="H118" i="11" s="1"/>
  <c r="L242" i="9"/>
  <c r="Y246" i="9"/>
  <c r="Z246" i="9" s="1"/>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K222" i="9"/>
  <c r="L225" i="9"/>
  <c r="S227" i="9"/>
  <c r="I227" i="9" s="1"/>
  <c r="L222" i="9"/>
  <c r="S226" i="9"/>
  <c r="I226" i="9" s="1"/>
  <c r="K226" i="9" s="1"/>
  <c r="S224" i="9"/>
  <c r="I224" i="9" s="1"/>
  <c r="L235" i="9"/>
  <c r="L239" i="9"/>
  <c r="Y247" i="9"/>
  <c r="Z247" i="9" s="1"/>
  <c r="AA246" i="9" s="1"/>
  <c r="AB246" i="9" s="1"/>
  <c r="U248" i="9" s="1"/>
  <c r="F126" i="11"/>
  <c r="K252" i="9"/>
  <c r="S179" i="9"/>
  <c r="I179" i="9" s="1"/>
  <c r="K179" i="9" s="1"/>
  <c r="S186" i="9"/>
  <c r="I186" i="9" s="1"/>
  <c r="K186" i="9" s="1"/>
  <c r="S184" i="9"/>
  <c r="I184" i="9" s="1"/>
  <c r="F129" i="11"/>
  <c r="K258" i="9"/>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K240"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K220" i="9"/>
  <c r="E127" i="11"/>
  <c r="H127" i="11" s="1" a="1"/>
  <c r="H127" i="11" s="1"/>
  <c r="L254" i="9"/>
  <c r="E128" i="11"/>
  <c r="H128" i="11" s="1" a="1"/>
  <c r="H128" i="11" s="1"/>
  <c r="S263" i="9"/>
  <c r="I263" i="9" s="1"/>
  <c r="S271" i="9"/>
  <c r="I271" i="9" s="1"/>
  <c r="K271" i="9" s="1"/>
  <c r="S270" i="9"/>
  <c r="I270" i="9" s="1"/>
  <c r="L283" i="9"/>
  <c r="F150" i="11"/>
  <c r="K300" i="9"/>
  <c r="F147" i="11"/>
  <c r="K295" i="9"/>
  <c r="L323" i="9"/>
  <c r="E145" i="11"/>
  <c r="H145" i="11" s="1" a="1"/>
  <c r="H145" i="11" s="1"/>
  <c r="L290" i="9"/>
  <c r="L307" i="9"/>
  <c r="S309" i="9"/>
  <c r="I309" i="9" s="1"/>
  <c r="K309" i="9" s="1"/>
  <c r="S308" i="9"/>
  <c r="I308" i="9" s="1"/>
  <c r="F144" i="11"/>
  <c r="K288" i="9"/>
  <c r="K299" i="9"/>
  <c r="F168" i="11"/>
  <c r="G168" i="11" s="1"/>
  <c r="I168" i="11" s="1"/>
  <c r="Y168" i="11"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F138" i="11"/>
  <c r="K276"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AA306" i="9"/>
  <c r="AB306" i="9" s="1"/>
  <c r="U308" i="9"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AC12" i="11"/>
  <c r="Q34" i="10"/>
  <c r="P34" i="10"/>
  <c r="P119" i="6"/>
  <c r="B29" i="2" s="1"/>
  <c r="H18" i="11"/>
  <c r="V18" i="11"/>
  <c r="AC15" i="11"/>
  <c r="P50" i="10"/>
  <c r="R50" i="10" s="1"/>
  <c r="O12" i="11"/>
  <c r="AC16" i="11"/>
  <c r="P114" i="6"/>
  <c r="B24" i="2" s="1"/>
  <c r="H10" i="11"/>
  <c r="V10" i="11"/>
  <c r="AC17" i="11"/>
  <c r="C58" i="6"/>
  <c r="B59" i="8" s="1"/>
  <c r="E86" i="6"/>
  <c r="Q37" i="10"/>
  <c r="P37" i="10"/>
  <c r="AC18" i="11"/>
  <c r="G89" i="6"/>
  <c r="AC19" i="11"/>
  <c r="E58" i="6"/>
  <c r="B61" i="8" s="1"/>
  <c r="AC20" i="11"/>
  <c r="F58" i="6"/>
  <c r="B62" i="8" s="1"/>
  <c r="O7" i="11"/>
  <c r="G7" i="11"/>
  <c r="H7" i="11" s="1"/>
  <c r="E29" i="8"/>
  <c r="F29" i="8" s="1"/>
  <c r="D29" i="8"/>
  <c r="H58" i="6"/>
  <c r="B64" i="8" s="1"/>
  <c r="O9" i="11"/>
  <c r="AC7" i="11"/>
  <c r="I58" i="6"/>
  <c r="B65" i="8" s="1"/>
  <c r="G39" i="11"/>
  <c r="I39" i="11" s="1"/>
  <c r="Y39" i="11" s="1"/>
  <c r="G8" i="11"/>
  <c r="H8" i="11" s="1"/>
  <c r="V13" i="11"/>
  <c r="V19" i="11"/>
  <c r="G20" i="11"/>
  <c r="H20" i="11" s="1"/>
  <c r="G55" i="11"/>
  <c r="I55" i="11" s="1"/>
  <c r="Y55" i="11" s="1"/>
  <c r="Q18" i="11"/>
  <c r="G80" i="11"/>
  <c r="I80" i="11" s="1"/>
  <c r="Y80" i="11" s="1"/>
  <c r="O17" i="11"/>
  <c r="G57" i="11"/>
  <c r="I57" i="11" s="1"/>
  <c r="Y57" i="11" s="1"/>
  <c r="R9" i="10"/>
  <c r="Q38" i="10"/>
  <c r="R38" i="10" s="1"/>
  <c r="G19" i="11"/>
  <c r="H19" i="11" s="1"/>
  <c r="P47" i="10"/>
  <c r="Q17" i="11"/>
  <c r="R17" i="11" s="1"/>
  <c r="AH20" i="11"/>
  <c r="D23" i="8"/>
  <c r="Q47" i="10"/>
  <c r="AG16" i="11"/>
  <c r="G41" i="11"/>
  <c r="I41" i="11" s="1"/>
  <c r="Y41" i="11" s="1"/>
  <c r="R10" i="10"/>
  <c r="O16" i="11"/>
  <c r="AH16" i="11"/>
  <c r="D33" i="8"/>
  <c r="P35" i="10"/>
  <c r="R35" i="10" s="1"/>
  <c r="Q39" i="10"/>
  <c r="R39" i="10" s="1"/>
  <c r="R20" i="11"/>
  <c r="S20" i="11" s="1"/>
  <c r="Y33" i="11"/>
  <c r="G74" i="11"/>
  <c r="I74" i="11" s="1"/>
  <c r="Y74" i="11" s="1"/>
  <c r="AG7" i="11"/>
  <c r="AG8" i="11"/>
  <c r="AG9" i="11"/>
  <c r="AG10" i="11"/>
  <c r="AG11" i="11"/>
  <c r="AG12" i="11"/>
  <c r="Q16" i="11"/>
  <c r="V17" i="11"/>
  <c r="Q7" i="11"/>
  <c r="T7" i="11" s="1"/>
  <c r="Q8" i="11"/>
  <c r="Q9" i="11"/>
  <c r="R9" i="11" s="1"/>
  <c r="Q10" i="11"/>
  <c r="R10" i="11" s="1"/>
  <c r="Q11" i="11"/>
  <c r="R11" i="11" s="1"/>
  <c r="R31" i="10"/>
  <c r="P40" i="10"/>
  <c r="Y443" i="11"/>
  <c r="Y416" i="11"/>
  <c r="Y430" i="11"/>
  <c r="Y428" i="11"/>
  <c r="Y410" i="11"/>
  <c r="Y394" i="11"/>
  <c r="Y433" i="11"/>
  <c r="Y392" i="11"/>
  <c r="Y431" i="11"/>
  <c r="Y415" i="11"/>
  <c r="Y383" i="11"/>
  <c r="Y363" i="11"/>
  <c r="Y300" i="11"/>
  <c r="Y291" i="11"/>
  <c r="Y256" i="11"/>
  <c r="Y239" i="11"/>
  <c r="Y213" i="11"/>
  <c r="Y197" i="11"/>
  <c r="Y181"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182" i="11"/>
  <c r="Y382" i="11"/>
  <c r="Y328" i="11"/>
  <c r="Y257" i="11"/>
  <c r="Y253" i="11"/>
  <c r="Y369" i="11"/>
  <c r="Y305" i="11"/>
  <c r="Y296" i="11"/>
  <c r="Y240" i="11"/>
  <c r="Y238" i="11"/>
  <c r="Y212" i="11"/>
  <c r="Y196" i="11"/>
  <c r="Y376" i="11"/>
  <c r="Y364" i="11"/>
  <c r="Y347" i="11"/>
  <c r="Y321" i="11"/>
  <c r="Y287" i="11"/>
  <c r="Y263" i="11"/>
  <c r="Y259" i="11"/>
  <c r="Y228" i="11"/>
  <c r="Y219" i="11"/>
  <c r="Y203" i="11"/>
  <c r="Y187" i="11"/>
  <c r="Y379" i="11"/>
  <c r="Y344" i="11"/>
  <c r="Y337" i="11"/>
  <c r="Y285" i="11"/>
  <c r="Y248" i="11"/>
  <c r="Y244" i="11"/>
  <c r="Y236" i="11"/>
  <c r="Y397" i="11"/>
  <c r="Y371" i="11"/>
  <c r="Y356" i="11"/>
  <c r="Y349" i="11"/>
  <c r="Y413" i="11"/>
  <c r="Y366" i="11"/>
  <c r="Y351" i="11"/>
  <c r="Y323" i="11"/>
  <c r="Y289" i="11"/>
  <c r="Y280" i="11"/>
  <c r="Y224" i="11"/>
  <c r="Y208" i="11"/>
  <c r="Y192" i="11"/>
  <c r="Y339" i="11"/>
  <c r="Y271" i="11"/>
  <c r="Y427" i="11"/>
  <c r="Y399" i="11"/>
  <c r="Y381" i="11"/>
  <c r="Y302" i="11"/>
  <c r="Y269" i="11"/>
  <c r="Y193" i="11"/>
  <c r="Y183" i="11"/>
  <c r="Y209" i="11"/>
  <c r="Y199" i="11"/>
  <c r="Y225" i="11"/>
  <c r="Y215" i="11"/>
  <c r="Y122" i="11"/>
  <c r="AG20" i="11"/>
  <c r="AG19" i="11"/>
  <c r="Y76" i="11"/>
  <c r="AH15" i="11"/>
  <c r="AH7" i="11"/>
  <c r="Q13" i="11"/>
  <c r="T13" i="11" s="1"/>
  <c r="AH13" i="11"/>
  <c r="Q14" i="11"/>
  <c r="T14" i="11" s="1"/>
  <c r="AH14" i="11"/>
  <c r="Q15" i="11"/>
  <c r="R15" i="11" s="1"/>
  <c r="Q40" i="10"/>
  <c r="Q19" i="11"/>
  <c r="T19" i="11" s="1"/>
  <c r="V20" i="11"/>
  <c r="G48" i="11"/>
  <c r="I48" i="11" s="1"/>
  <c r="Y48" i="11" s="1"/>
  <c r="P49" i="10"/>
  <c r="R49" i="10" s="1"/>
  <c r="G65" i="11"/>
  <c r="I65" i="11" s="1"/>
  <c r="Y65" i="11" s="1"/>
  <c r="G49" i="11"/>
  <c r="I49" i="11" s="1"/>
  <c r="Y49" i="11" s="1"/>
  <c r="G67" i="11"/>
  <c r="I67" i="11" s="1"/>
  <c r="Y67" i="11" s="1"/>
  <c r="G70" i="11"/>
  <c r="I70" i="11" s="1"/>
  <c r="Y70" i="11" s="1"/>
  <c r="G83" i="11"/>
  <c r="I83" i="11" s="1"/>
  <c r="Y83" i="11" s="1"/>
  <c r="G112" i="11"/>
  <c r="I112" i="11" s="1"/>
  <c r="Y112" i="11" s="1"/>
  <c r="G121" i="11"/>
  <c r="I121" i="11" s="1"/>
  <c r="Y121" i="11" s="1"/>
  <c r="G111" i="11"/>
  <c r="I111" i="11" s="1"/>
  <c r="Y111" i="11" s="1"/>
  <c r="Y169" i="11"/>
  <c r="Y205" i="11"/>
  <c r="Y332" i="11"/>
  <c r="Y216" i="11"/>
  <c r="Y222" i="11"/>
  <c r="Y260" i="11"/>
  <c r="Y270" i="11"/>
  <c r="Y294" i="11"/>
  <c r="Y387" i="11"/>
  <c r="Y189" i="11"/>
  <c r="Y226" i="11"/>
  <c r="Y230" i="11"/>
  <c r="Y267" i="11"/>
  <c r="Y316" i="11"/>
  <c r="Y340" i="11"/>
  <c r="Y186" i="11"/>
  <c r="Y200" i="11"/>
  <c r="Y206" i="11"/>
  <c r="Y223" i="11"/>
  <c r="Y250" i="11"/>
  <c r="Y264" i="11"/>
  <c r="Y326" i="11"/>
  <c r="Y210" i="11"/>
  <c r="Y237" i="11"/>
  <c r="Y299" i="11"/>
  <c r="Y303" i="11"/>
  <c r="Y411" i="11"/>
  <c r="Y184" i="11"/>
  <c r="Y190" i="11"/>
  <c r="Y217" i="11"/>
  <c r="Y278" i="11"/>
  <c r="Y207" i="11"/>
  <c r="Y227" i="11"/>
  <c r="Y254" i="11"/>
  <c r="Y268" i="11"/>
  <c r="Y310" i="11"/>
  <c r="Y348" i="11"/>
  <c r="Y355" i="11"/>
  <c r="Y194" i="11"/>
  <c r="Y220" i="11"/>
  <c r="Y231" i="11"/>
  <c r="Y262" i="11"/>
  <c r="Y292" i="11"/>
  <c r="Y295" i="11"/>
  <c r="Y307" i="11"/>
  <c r="Y324" i="11"/>
  <c r="Y201" i="11"/>
  <c r="Y211" i="11"/>
  <c r="Y334" i="11"/>
  <c r="Y191" i="11"/>
  <c r="Y251" i="11"/>
  <c r="Y395" i="11"/>
  <c r="Y204" i="11"/>
  <c r="Y308" i="11"/>
  <c r="Y331" i="11"/>
  <c r="Y185" i="11"/>
  <c r="Y195" i="11"/>
  <c r="Y221" i="11"/>
  <c r="Y232" i="11"/>
  <c r="Y276" i="11"/>
  <c r="Y246" i="11"/>
  <c r="Y283" i="11"/>
  <c r="Y403" i="11"/>
  <c r="Y188"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R36" i="10" l="1"/>
  <c r="F30" i="11"/>
  <c r="AC9" i="11"/>
  <c r="G40" i="11"/>
  <c r="I40" i="11" s="1"/>
  <c r="Y40" i="11" s="1"/>
  <c r="R33" i="10"/>
  <c r="R7" i="10"/>
  <c r="K363" i="9"/>
  <c r="F180" i="11"/>
  <c r="G180" i="11" s="1"/>
  <c r="I180" i="11" s="1"/>
  <c r="Y180" i="11" s="1"/>
  <c r="K231" i="9"/>
  <c r="F46" i="1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G30" i="11"/>
  <c r="I30" i="11" s="1"/>
  <c r="Y30"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T12" i="11"/>
  <c r="B17" i="4" s="1"/>
  <c r="Y46" i="9"/>
  <c r="Z46" i="9" s="1"/>
  <c r="AA45" i="9" s="1"/>
  <c r="AB45" i="9" s="1"/>
  <c r="U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U52" i="9" s="1"/>
  <c r="G144" i="11"/>
  <c r="I144" i="11" s="1"/>
  <c r="Y144" i="11" s="1"/>
  <c r="G118" i="11"/>
  <c r="I118" i="11" s="1"/>
  <c r="Y118" i="11" s="1"/>
  <c r="G25" i="11"/>
  <c r="I25" i="11" s="1"/>
  <c r="Y25" i="11" s="1"/>
  <c r="G143" i="11"/>
  <c r="I143" i="11" s="1"/>
  <c r="Y143" i="11" s="1"/>
  <c r="T15" i="1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G119" i="11"/>
  <c r="I119" i="11" s="1"/>
  <c r="Y119" i="11" s="1"/>
  <c r="F117" i="11"/>
  <c r="G117" i="11" s="1"/>
  <c r="I117" i="11" s="1"/>
  <c r="Y117" i="11" s="1"/>
  <c r="K234" i="9"/>
  <c r="AA247" i="9"/>
  <c r="AB247" i="9" s="1"/>
  <c r="U249" i="9" s="1"/>
  <c r="W10" i="9"/>
  <c r="F139" i="11"/>
  <c r="G139" i="11" s="1"/>
  <c r="I139" i="11" s="1"/>
  <c r="Y139" i="11" s="1"/>
  <c r="K279" i="9"/>
  <c r="C20" i="2"/>
  <c r="D20" i="2"/>
  <c r="F29" i="11"/>
  <c r="G29" i="11" s="1"/>
  <c r="I29" i="11" s="1"/>
  <c r="Y29" i="11" s="1"/>
  <c r="K20" i="9"/>
  <c r="O14" i="11"/>
  <c r="T9" i="11"/>
  <c r="AA122" i="9"/>
  <c r="AB122" i="9" s="1"/>
  <c r="U133" i="9" s="1"/>
  <c r="Z133" i="9" s="1"/>
  <c r="W14" i="9"/>
  <c r="X14" i="9" s="1"/>
  <c r="J14" i="9" s="1"/>
  <c r="M14" i="9" s="1"/>
  <c r="N14" i="9" s="1"/>
  <c r="W12" i="9"/>
  <c r="X12" i="9" s="1"/>
  <c r="J12" i="9" s="1"/>
  <c r="M12" i="9" s="1"/>
  <c r="N12" i="9" s="1"/>
  <c r="N42" i="11" s="1"/>
  <c r="AC11" i="11"/>
  <c r="V7" i="11"/>
  <c r="T17" i="11"/>
  <c r="R41" i="10"/>
  <c r="W13" i="9"/>
  <c r="W4" i="9"/>
  <c r="X4" i="9" s="1"/>
  <c r="W5" i="9"/>
  <c r="X5" i="9" s="1"/>
  <c r="W9" i="9"/>
  <c r="X9" i="9" s="1"/>
  <c r="J9" i="9" s="1"/>
  <c r="AA71" i="9"/>
  <c r="AB71" i="9" s="1"/>
  <c r="U73" i="9" s="1"/>
  <c r="AA72" i="9"/>
  <c r="AB72" i="9" s="1"/>
  <c r="U75" i="9" s="1"/>
  <c r="W11" i="9"/>
  <c r="X11" i="9" s="1"/>
  <c r="J11" i="9" s="1"/>
  <c r="M11" i="9" s="1"/>
  <c r="N11" i="9" s="1"/>
  <c r="Q62" i="11" s="1"/>
  <c r="R37" i="10"/>
  <c r="R34" i="10"/>
  <c r="AA338" i="9"/>
  <c r="AB338" i="9" s="1"/>
  <c r="M101" i="6" s="1"/>
  <c r="G138" i="11"/>
  <c r="I138" i="11" s="1"/>
  <c r="Y138" i="11" s="1"/>
  <c r="C17" i="2"/>
  <c r="D17" i="2"/>
  <c r="Q69" i="11"/>
  <c r="Q81" i="11"/>
  <c r="Q72" i="11"/>
  <c r="Q61" i="11"/>
  <c r="Q73" i="11"/>
  <c r="Q46" i="11"/>
  <c r="Q28" i="11"/>
  <c r="Q33" i="11"/>
  <c r="Q31" i="11"/>
  <c r="Q82" i="11"/>
  <c r="Q32" i="11"/>
  <c r="Q42" i="11"/>
  <c r="Q43" i="11"/>
  <c r="Z139" i="9"/>
  <c r="Y18" i="9"/>
  <c r="Z18" i="9" s="1"/>
  <c r="Y17" i="9"/>
  <c r="M34" i="11"/>
  <c r="M41" i="11"/>
  <c r="M32" i="11"/>
  <c r="M39" i="11"/>
  <c r="M37" i="11"/>
  <c r="M35" i="11"/>
  <c r="M33" i="11"/>
  <c r="M40" i="11"/>
  <c r="M36" i="11"/>
  <c r="M28" i="11"/>
  <c r="M27" i="11"/>
  <c r="M29" i="11"/>
  <c r="M30" i="11"/>
  <c r="M26" i="11"/>
  <c r="M38" i="11"/>
  <c r="M31" i="11"/>
  <c r="H46" i="9"/>
  <c r="Y47" i="9"/>
  <c r="Z47" i="9" s="1"/>
  <c r="Y48"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Z129" i="9"/>
  <c r="T18" i="11"/>
  <c r="R18" i="1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Y52" i="9"/>
  <c r="Z52" i="9" s="1"/>
  <c r="Y51" i="9"/>
  <c r="Z51" i="9" s="1"/>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T10" i="11"/>
  <c r="F163" i="11"/>
  <c r="G163" i="11" s="1"/>
  <c r="I163" i="11" s="1"/>
  <c r="Y163" i="11" s="1"/>
  <c r="K326" i="9"/>
  <c r="F156" i="11"/>
  <c r="G156" i="11" s="1"/>
  <c r="I156" i="11" s="1"/>
  <c r="Y156" i="11" s="1"/>
  <c r="K313" i="9"/>
  <c r="F104" i="11"/>
  <c r="G104" i="11" s="1"/>
  <c r="I104" i="11" s="1"/>
  <c r="Y104" i="11" s="1"/>
  <c r="K192" i="9"/>
  <c r="R14" i="11"/>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M9" i="9"/>
  <c r="N9" i="9" s="1"/>
  <c r="F113" i="11"/>
  <c r="G113" i="11" s="1"/>
  <c r="I113" i="11" s="1"/>
  <c r="Y113" i="11" s="1"/>
  <c r="K224" i="9"/>
  <c r="R27" i="6"/>
  <c r="Q27" i="6"/>
  <c r="E29" i="2"/>
  <c r="R7" i="11"/>
  <c r="F132" i="11"/>
  <c r="G132" i="11" s="1"/>
  <c r="I132" i="11" s="1"/>
  <c r="Y132" i="11" s="1"/>
  <c r="K265" i="9"/>
  <c r="F105" i="11"/>
  <c r="G105" i="11" s="1"/>
  <c r="I105" i="11" s="1"/>
  <c r="Y105" i="11" s="1"/>
  <c r="K196" i="9"/>
  <c r="F93" i="11"/>
  <c r="G93" i="11" s="1"/>
  <c r="I93" i="11" s="1"/>
  <c r="Y93" i="11" s="1"/>
  <c r="K148" i="9"/>
  <c r="R13" i="6"/>
  <c r="Q13" i="6"/>
  <c r="E15" i="2"/>
  <c r="Q25" i="6"/>
  <c r="R25" i="6"/>
  <c r="E27" i="2"/>
  <c r="M6" i="9"/>
  <c r="N6" i="9" s="1"/>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A6" i="8" s="1"/>
  <c r="F101" i="11"/>
  <c r="G101" i="11" s="1"/>
  <c r="I101" i="11" s="1"/>
  <c r="Y101" i="11" s="1"/>
  <c r="K180" i="9"/>
  <c r="F94" i="11"/>
  <c r="G94" i="11" s="1"/>
  <c r="I94" i="11" s="1"/>
  <c r="Y94" i="11" s="1"/>
  <c r="K152" i="9"/>
  <c r="R15" i="6"/>
  <c r="Q15" i="6"/>
  <c r="E17" i="2"/>
  <c r="F31" i="11"/>
  <c r="G31" i="11" s="1"/>
  <c r="I31" i="11" s="1"/>
  <c r="Y31" i="11" s="1"/>
  <c r="K24" i="9"/>
  <c r="G46" i="11"/>
  <c r="I46" i="11" s="1"/>
  <c r="Y46" i="11" s="1"/>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R19" i="11"/>
  <c r="AC13" i="11"/>
  <c r="AC8" i="11"/>
  <c r="F141" i="11"/>
  <c r="G141" i="11" s="1"/>
  <c r="I141" i="11" s="1"/>
  <c r="Y141" i="11" s="1"/>
  <c r="K283" i="9"/>
  <c r="F159" i="11"/>
  <c r="G159" i="11" s="1"/>
  <c r="I159" i="11" s="1"/>
  <c r="Y159" i="11" s="1"/>
  <c r="K319" i="9"/>
  <c r="Y249" i="9"/>
  <c r="Z249" i="9" s="1"/>
  <c r="Y248" i="9"/>
  <c r="Z248" i="9" s="1"/>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AA46" i="9"/>
  <c r="AB46" i="9" s="1"/>
  <c r="D102" i="6" s="1"/>
  <c r="Y336" i="9"/>
  <c r="Z336" i="9" s="1"/>
  <c r="Y335" i="9"/>
  <c r="Z335" i="9" s="1"/>
  <c r="T8" i="11"/>
  <c r="R8" i="11"/>
  <c r="D29" i="2"/>
  <c r="C29" i="2"/>
  <c r="T11" i="11"/>
  <c r="Y309" i="9"/>
  <c r="Z309" i="9" s="1"/>
  <c r="Y308" i="9"/>
  <c r="Z308" i="9" s="1"/>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75" i="9"/>
  <c r="Z75" i="9" s="1"/>
  <c r="Y76" i="9"/>
  <c r="Y327" i="9"/>
  <c r="Z327" i="9" s="1"/>
  <c r="Y326" i="9"/>
  <c r="Z326" i="9" s="1"/>
  <c r="Y328" i="9"/>
  <c r="Z328" i="9" s="1"/>
  <c r="AA328" i="9" s="1"/>
  <c r="AB328" i="9" s="1"/>
  <c r="E108" i="6" s="1"/>
  <c r="V8" i="11"/>
  <c r="A7" i="8" s="1"/>
  <c r="T16" i="11"/>
  <c r="R16" i="11"/>
  <c r="R13"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Z32" i="9"/>
  <c r="Q36" i="11" l="1"/>
  <c r="Q44" i="11"/>
  <c r="Q65" i="11"/>
  <c r="Z17" i="9"/>
  <c r="Q29" i="11"/>
  <c r="Q37" i="11"/>
  <c r="Q58" i="11"/>
  <c r="Q38" i="11"/>
  <c r="Q66" i="11"/>
  <c r="Q74" i="11"/>
  <c r="Q64" i="11"/>
  <c r="Q30" i="11"/>
  <c r="Q51" i="11"/>
  <c r="H128" i="9"/>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V46" i="9"/>
  <c r="AA335" i="9"/>
  <c r="AB335" i="9" s="1"/>
  <c r="B101" i="6" s="1"/>
  <c r="AA336" i="9"/>
  <c r="AB336" i="9" s="1"/>
  <c r="G101" i="6" s="1"/>
  <c r="H6" i="4" s="1"/>
  <c r="AA25" i="9"/>
  <c r="AB25" i="9" s="1"/>
  <c r="U27" i="9" s="1"/>
  <c r="AA26" i="9"/>
  <c r="AB26" i="9" s="1"/>
  <c r="U28" i="9" s="1"/>
  <c r="AA132" i="9"/>
  <c r="AB132" i="9" s="1"/>
  <c r="U137" i="9" s="1"/>
  <c r="AA133" i="9"/>
  <c r="AB133" i="9" s="1"/>
  <c r="U148" i="9" s="1"/>
  <c r="U25" i="11"/>
  <c r="H13" i="9"/>
  <c r="AA17" i="9"/>
  <c r="AB17" i="9" s="1"/>
  <c r="U19" i="9" s="1"/>
  <c r="AA18" i="9"/>
  <c r="AB18" i="9" s="1"/>
  <c r="U20" i="9" s="1"/>
  <c r="M9" i="11"/>
  <c r="AA134" i="9"/>
  <c r="AB134" i="9" s="1"/>
  <c r="U150" i="9" s="1"/>
  <c r="AA135" i="9"/>
  <c r="AB135" i="9" s="1"/>
  <c r="U158" i="9" s="1"/>
  <c r="AA249" i="9"/>
  <c r="AB249" i="9" s="1"/>
  <c r="U250" i="9" s="1"/>
  <c r="AA248" i="9"/>
  <c r="AB248" i="9" s="1"/>
  <c r="U251" i="9" s="1"/>
  <c r="V60" i="9"/>
  <c r="Z277" i="9"/>
  <c r="P105" i="6"/>
  <c r="B15" i="2" s="1"/>
  <c r="AA51" i="9"/>
  <c r="AB51" i="9" s="1"/>
  <c r="U53" i="9" s="1"/>
  <c r="AA52" i="9"/>
  <c r="AB52" i="9" s="1"/>
  <c r="U54" i="9"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P129" i="9"/>
  <c r="P128" i="9"/>
  <c r="Q128" i="9" s="1"/>
  <c r="V128" i="9"/>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H8" i="9" l="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I115" i="6" s="1"/>
  <c r="A9" i="8"/>
  <c r="B29" i="7"/>
  <c r="Y150" i="9"/>
  <c r="Z150" i="9" s="1"/>
  <c r="Y151" i="9"/>
  <c r="Z151" i="9" s="1"/>
  <c r="AA151" i="9" s="1"/>
  <c r="AB151" i="9" s="1"/>
  <c r="U173" i="9" s="1"/>
  <c r="Y149" i="9"/>
  <c r="Z149" i="9" s="1"/>
  <c r="Y148" i="9"/>
  <c r="Z148" i="9" s="1"/>
  <c r="Y311" i="9"/>
  <c r="Z311" i="9" s="1"/>
  <c r="Y310" i="9"/>
  <c r="Z310" i="9" s="1"/>
  <c r="Y27" i="9"/>
  <c r="Z27" i="9" s="1"/>
  <c r="Y28" i="9"/>
  <c r="Z28" i="9" s="1"/>
  <c r="Q8" i="9"/>
  <c r="V8" i="9"/>
  <c r="X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250" i="9"/>
  <c r="Z250" i="9" s="1"/>
  <c r="Y251" i="9"/>
  <c r="Z251" i="9" s="1"/>
  <c r="D11" i="2"/>
  <c r="Y141" i="9"/>
  <c r="Y140" i="9"/>
  <c r="Z140" i="9" s="1"/>
  <c r="AA88" i="9"/>
  <c r="AB88" i="9" s="1"/>
  <c r="U91" i="9" s="1"/>
  <c r="AA89" i="9"/>
  <c r="AB89" i="9" s="1"/>
  <c r="U116" i="9" s="1"/>
  <c r="Y54" i="9"/>
  <c r="Z54" i="9" s="1"/>
  <c r="Y53" i="9"/>
  <c r="Z53" i="9" s="1"/>
  <c r="D15" i="2"/>
  <c r="C15" i="2"/>
  <c r="Y137" i="9"/>
  <c r="Z137" i="9" s="1"/>
  <c r="Y136" i="9"/>
  <c r="Z136" i="9" s="1"/>
  <c r="AA277" i="9"/>
  <c r="AB277" i="9" s="1"/>
  <c r="I100" i="6" s="1"/>
  <c r="AA276" i="9"/>
  <c r="AB276" i="9" s="1"/>
  <c r="G100" i="6"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AA349" i="9" l="1"/>
  <c r="AB349" i="9" s="1"/>
  <c r="U352" i="9"/>
  <c r="U351" i="9"/>
  <c r="Q10" i="9"/>
  <c r="AA75" i="9"/>
  <c r="AB75" i="9" s="1"/>
  <c r="B115" i="6"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H5" i="4"/>
  <c r="P100" i="6"/>
  <c r="B10" i="2" s="1"/>
  <c r="AA251" i="9"/>
  <c r="AB251" i="9" s="1"/>
  <c r="U253" i="9" s="1"/>
  <c r="AA250" i="9"/>
  <c r="AB250" i="9" s="1"/>
  <c r="U252" i="9" s="1"/>
  <c r="AA137" i="9"/>
  <c r="AB137" i="9" s="1"/>
  <c r="U141" i="9" s="1"/>
  <c r="Z141" i="9" s="1"/>
  <c r="AA136" i="9"/>
  <c r="AB136" i="9" s="1"/>
  <c r="U142" i="9" s="1"/>
  <c r="Y117" i="9"/>
  <c r="Y116" i="9"/>
  <c r="Z116" i="9" s="1"/>
  <c r="Z91" i="9"/>
  <c r="AA54" i="9"/>
  <c r="AB54" i="9" s="1"/>
  <c r="U56" i="9" s="1"/>
  <c r="AA53" i="9"/>
  <c r="AB53" i="9" s="1"/>
  <c r="U55" i="9" s="1"/>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351" i="9" l="1"/>
  <c r="Z351" i="9" s="1"/>
  <c r="Y352" i="9"/>
  <c r="Z352" i="9" s="1"/>
  <c r="AA352" i="9" s="1"/>
  <c r="AB352" i="9" s="1"/>
  <c r="U354" i="9" s="1"/>
  <c r="P115" i="6"/>
  <c r="B25" i="2" s="1"/>
  <c r="Y253" i="9"/>
  <c r="Z253" i="9" s="1"/>
  <c r="Y252" i="9"/>
  <c r="Z252" i="9" s="1"/>
  <c r="AA140" i="9"/>
  <c r="AB140" i="9" s="1"/>
  <c r="U144" i="9" s="1"/>
  <c r="AA141" i="9"/>
  <c r="AB141" i="9" s="1"/>
  <c r="U143" i="9" s="1"/>
  <c r="D10" i="2"/>
  <c r="C10" i="2"/>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Y56" i="9"/>
  <c r="Z56" i="9" s="1"/>
  <c r="Y55" i="9"/>
  <c r="Z55" i="9" s="1"/>
  <c r="P67" i="9"/>
  <c r="P68" i="9"/>
  <c r="Q68" i="9" s="1"/>
  <c r="V68" i="9"/>
  <c r="AA351" i="9" l="1"/>
  <c r="AB351" i="9" s="1"/>
  <c r="U353" i="9"/>
  <c r="I120" i="6"/>
  <c r="C25" i="2"/>
  <c r="D25" i="2"/>
  <c r="AA58" i="9"/>
  <c r="AB58" i="9" s="1"/>
  <c r="U62" i="9" s="1"/>
  <c r="AA57" i="9"/>
  <c r="AB57" i="9" s="1"/>
  <c r="U59" i="9" s="1"/>
  <c r="P16" i="9"/>
  <c r="Q16" i="9" s="1"/>
  <c r="P15" i="9"/>
  <c r="Q15" i="9" s="1"/>
  <c r="V16" i="9"/>
  <c r="W68" i="9"/>
  <c r="X68" i="9" s="1"/>
  <c r="W67" i="9"/>
  <c r="Z143" i="9"/>
  <c r="AA56" i="9"/>
  <c r="AB56" i="9" s="1"/>
  <c r="U104" i="9" s="1"/>
  <c r="AA55" i="9"/>
  <c r="AB55" i="9" s="1"/>
  <c r="D113" i="6" s="1"/>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AA253" i="9"/>
  <c r="AB253" i="9" s="1"/>
  <c r="I118" i="6" s="1"/>
  <c r="AA252" i="9"/>
  <c r="AB252" i="9" s="1"/>
  <c r="F118" i="6" s="1"/>
  <c r="Y353" i="9" l="1"/>
  <c r="Z353" i="9" s="1"/>
  <c r="Y354" i="9"/>
  <c r="Z354" i="9" s="1"/>
  <c r="AA354" i="9" s="1"/>
  <c r="AB354" i="9" s="1"/>
  <c r="F120" i="6" s="1"/>
  <c r="Z221" i="9"/>
  <c r="P44" i="9"/>
  <c r="V43" i="9"/>
  <c r="P43" i="9"/>
  <c r="Q43" i="9" s="1"/>
  <c r="Y105" i="9"/>
  <c r="Z105" i="9" s="1"/>
  <c r="Y104" i="9"/>
  <c r="Z104"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353" i="9" l="1"/>
  <c r="AB353" i="9" s="1"/>
  <c r="J120" i="6" s="1"/>
  <c r="P120" i="6" s="1"/>
  <c r="B30" i="2" s="1"/>
  <c r="D30" i="2" s="1"/>
  <c r="AA144" i="9"/>
  <c r="AB144" i="9" s="1"/>
  <c r="U147" i="9" s="1"/>
  <c r="AA145" i="9"/>
  <c r="AB145" i="9" s="1"/>
  <c r="U152" i="9" s="1"/>
  <c r="O34" i="11"/>
  <c r="H31" i="9"/>
  <c r="Y321" i="9"/>
  <c r="Z321" i="9" s="1"/>
  <c r="Y320" i="9"/>
  <c r="Z284" i="9"/>
  <c r="AA104" i="9"/>
  <c r="AB104" i="9" s="1"/>
  <c r="U106" i="9" s="1"/>
  <c r="AA105" i="9"/>
  <c r="AB105" i="9" s="1"/>
  <c r="U107" i="9" s="1"/>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C30" i="2" l="1"/>
  <c r="Y107" i="9"/>
  <c r="Z107" i="9" s="1"/>
  <c r="Y106" i="9"/>
  <c r="Z106" i="9" s="1"/>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P17" i="9" l="1"/>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106" i="9"/>
  <c r="AB106" i="9" s="1"/>
  <c r="U108" i="9" s="1"/>
  <c r="AA107" i="9"/>
  <c r="AB107" i="9" s="1"/>
  <c r="U109" i="9" s="1"/>
  <c r="AA323" i="9"/>
  <c r="AB323" i="9" s="1"/>
  <c r="U325" i="9" s="1"/>
  <c r="AA322" i="9"/>
  <c r="AB322" i="9" s="1"/>
  <c r="U324" i="9" s="1"/>
  <c r="W32" i="9"/>
  <c r="X32" i="9" s="1"/>
  <c r="W31" i="9"/>
  <c r="X31" i="9" s="1"/>
  <c r="R27" i="11"/>
  <c r="H17" i="9"/>
  <c r="AA290" i="9" l="1"/>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109" i="9"/>
  <c r="Z109" i="9" s="1"/>
  <c r="Y108" i="9"/>
  <c r="Z108" i="9" s="1"/>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AA325" i="9" l="1"/>
  <c r="AB325" i="9" s="1"/>
  <c r="U330" i="9" s="1"/>
  <c r="AA324" i="9"/>
  <c r="AB324" i="9" s="1"/>
  <c r="U329" i="9" s="1"/>
  <c r="O35" i="11"/>
  <c r="H33" i="9"/>
  <c r="T35" i="11"/>
  <c r="H34" i="9"/>
  <c r="Y65" i="9"/>
  <c r="Z65" i="9" s="1"/>
  <c r="Y66" i="9"/>
  <c r="Z66" i="9" s="1"/>
  <c r="AA40" i="9"/>
  <c r="AB40" i="9" s="1"/>
  <c r="U42" i="9" s="1"/>
  <c r="AA39" i="9"/>
  <c r="AB39" i="9" s="1"/>
  <c r="U41" i="9" s="1"/>
  <c r="AA108" i="9"/>
  <c r="AB108" i="9" s="1"/>
  <c r="I113" i="6" s="1"/>
  <c r="AA109" i="9"/>
  <c r="AB109" i="9" s="1"/>
  <c r="U12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Y169" i="9" l="1"/>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Y121" i="9"/>
  <c r="Z121" i="9" s="1"/>
  <c r="Y120" i="9"/>
  <c r="Z120" i="9" s="1"/>
  <c r="AA293" i="9"/>
  <c r="AB293" i="9" s="1"/>
  <c r="U295" i="9" s="1"/>
  <c r="AA292" i="9"/>
  <c r="AB292" i="9" s="1"/>
  <c r="U294" i="9" s="1"/>
  <c r="P33" i="9"/>
  <c r="Q33" i="9" s="1"/>
  <c r="P34" i="9"/>
  <c r="Q34" i="9" s="1"/>
  <c r="V33" i="9"/>
  <c r="Y330" i="9"/>
  <c r="Z330" i="9" s="1"/>
  <c r="Y329" i="9"/>
  <c r="Z329" i="9" s="1"/>
  <c r="Y83" i="9" l="1"/>
  <c r="Y82" i="9"/>
  <c r="Z82" i="9" s="1"/>
  <c r="AA242" i="9"/>
  <c r="AB242" i="9" s="1"/>
  <c r="AA243" i="9"/>
  <c r="AB243" i="9" s="1"/>
  <c r="AA330" i="9"/>
  <c r="AB330" i="9" s="1"/>
  <c r="U332" i="9" s="1"/>
  <c r="AA329" i="9"/>
  <c r="AB329" i="9" s="1"/>
  <c r="U331" i="9" s="1"/>
  <c r="AA120" i="9"/>
  <c r="AB120" i="9" s="1"/>
  <c r="U271" i="9" s="1"/>
  <c r="AA121" i="9"/>
  <c r="AB121" i="9" s="1"/>
  <c r="U279"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U363" i="9" l="1"/>
  <c r="U360" i="9"/>
  <c r="Y279" i="9"/>
  <c r="Z279" i="9" s="1"/>
  <c r="Y278" i="9"/>
  <c r="Z271"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363" i="9" l="1"/>
  <c r="Z363" i="9" s="1"/>
  <c r="Y362" i="9"/>
  <c r="Y361" i="9"/>
  <c r="Z361" i="9" s="1"/>
  <c r="AA361" i="9" s="1"/>
  <c r="AB361" i="9" s="1"/>
  <c r="F104" i="6" s="1"/>
  <c r="Y360" i="9"/>
  <c r="Z360" i="9" s="1"/>
  <c r="AA360" i="9" s="1"/>
  <c r="AB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G118" i="6" s="1"/>
  <c r="H23" i="4"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U362" i="9" l="1"/>
  <c r="X19" i="9"/>
  <c r="J19" i="9" s="1"/>
  <c r="M19" i="9" s="1"/>
  <c r="V44" i="9"/>
  <c r="X44" i="9" s="1"/>
  <c r="Q44" i="9"/>
  <c r="V81" i="9"/>
  <c r="AA80" i="9"/>
  <c r="AB80" i="9" s="1"/>
  <c r="U83" i="9" s="1"/>
  <c r="AA81" i="9"/>
  <c r="AB81" i="9" s="1"/>
  <c r="U85" i="9" s="1"/>
  <c r="Z166" i="9"/>
  <c r="P118" i="6"/>
  <c r="B28" i="2" s="1"/>
  <c r="AA321" i="9"/>
  <c r="AB321" i="9" s="1"/>
  <c r="U340" i="9" s="1"/>
  <c r="AA320" i="9"/>
  <c r="AB320" i="9" s="1"/>
  <c r="U339" i="9" s="1"/>
  <c r="Z167" i="9"/>
  <c r="AA167" i="9" s="1"/>
  <c r="AB167" i="9" s="1"/>
  <c r="U189" i="9" s="1"/>
  <c r="Y260" i="9"/>
  <c r="Z260" i="9" s="1"/>
  <c r="Y261" i="9"/>
  <c r="Z261" i="9" s="1"/>
  <c r="J20" i="9"/>
  <c r="M20" i="9" s="1"/>
  <c r="N20" i="9" s="1"/>
  <c r="Y273" i="9"/>
  <c r="Z273" i="9" s="1"/>
  <c r="Y272" i="9"/>
  <c r="Z272" i="9" s="1"/>
  <c r="Z362" i="9" l="1"/>
  <c r="AA273" i="9"/>
  <c r="AB273" i="9" s="1"/>
  <c r="U275" i="9" s="1"/>
  <c r="AA272" i="9"/>
  <c r="AB272" i="9" s="1"/>
  <c r="U274" i="9" s="1"/>
  <c r="Y339" i="9"/>
  <c r="Z339" i="9" s="1"/>
  <c r="Y340" i="9"/>
  <c r="Z340" i="9" s="1"/>
  <c r="C28" i="2"/>
  <c r="D28" i="2"/>
  <c r="AA166" i="9"/>
  <c r="AB166" i="9" s="1"/>
  <c r="U188" i="9" s="1"/>
  <c r="AA165" i="9"/>
  <c r="AB165" i="9" s="1"/>
  <c r="U170" i="9" s="1"/>
  <c r="AA164" i="9"/>
  <c r="AB164" i="9" s="1"/>
  <c r="U171" i="9" s="1"/>
  <c r="P29" i="11"/>
  <c r="H22" i="9"/>
  <c r="N19" i="9"/>
  <c r="Z83" i="9"/>
  <c r="J44" i="9"/>
  <c r="M44" i="9" s="1"/>
  <c r="N44" i="9" s="1"/>
  <c r="J43" i="9"/>
  <c r="M43" i="9" s="1"/>
  <c r="N43" i="9" s="1"/>
  <c r="AA261" i="9"/>
  <c r="AB261" i="9" s="1"/>
  <c r="U263" i="9" s="1"/>
  <c r="AA260" i="9"/>
  <c r="AB260" i="9" s="1"/>
  <c r="U262" i="9" s="1"/>
  <c r="AA362" i="9" l="1"/>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P104" i="6" l="1"/>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C14" i="2" l="1"/>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J45" i="9" l="1"/>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Y281" i="9" l="1"/>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P49" i="9" l="1"/>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AA94" i="9" l="1"/>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AA269" i="9" l="1"/>
  <c r="AB269" i="9" s="1"/>
  <c r="U296" i="9" s="1"/>
  <c r="AA268" i="9"/>
  <c r="AB268" i="9" s="1"/>
  <c r="U303" i="9" s="1"/>
  <c r="AA181" i="9"/>
  <c r="AB181" i="9" s="1"/>
  <c r="U187" i="9" s="1"/>
  <c r="AA180" i="9"/>
  <c r="AB180" i="9" s="1"/>
  <c r="U186" i="9" s="1"/>
  <c r="AA182" i="9"/>
  <c r="AB182" i="9" s="1"/>
  <c r="K117" i="6" s="1"/>
  <c r="AA283" i="9"/>
  <c r="AB283" i="9" s="1"/>
  <c r="L113" i="6" s="1"/>
  <c r="AA282" i="9"/>
  <c r="AB282" i="9" s="1"/>
  <c r="G113" i="6" s="1"/>
  <c r="J24" i="9"/>
  <c r="M24" i="9" s="1"/>
  <c r="N24" i="9" s="1"/>
  <c r="J23" i="9"/>
  <c r="M23" i="9" s="1"/>
  <c r="N23" i="9" s="1"/>
  <c r="E28" i="8"/>
  <c r="H17" i="4"/>
  <c r="P112" i="6"/>
  <c r="B22" i="2" s="1"/>
  <c r="E23" i="8"/>
  <c r="Y97" i="9"/>
  <c r="Z97" i="9" s="1"/>
  <c r="Y96" i="9"/>
  <c r="Z96" i="9" s="1"/>
  <c r="F23" i="8" l="1"/>
  <c r="F27" i="8"/>
  <c r="F33" i="8"/>
  <c r="F30" i="8"/>
  <c r="F28" i="8"/>
  <c r="D22" i="2"/>
  <c r="C22" i="2"/>
  <c r="R31" i="11"/>
  <c r="H25" i="9"/>
  <c r="P31" i="11"/>
  <c r="H26" i="9"/>
  <c r="H18" i="4"/>
  <c r="P113" i="6"/>
  <c r="B23" i="2" s="1"/>
  <c r="Z187" i="9"/>
  <c r="AA187" i="9" s="1"/>
  <c r="AB187" i="9" s="1"/>
  <c r="U197" i="9" s="1"/>
  <c r="Z186" i="9"/>
  <c r="Y296" i="9"/>
  <c r="Z296" i="9" s="1"/>
  <c r="Y297" i="9"/>
  <c r="Z297" i="9" s="1"/>
  <c r="AA96" i="9"/>
  <c r="AB96" i="9" s="1"/>
  <c r="U98" i="9" s="1"/>
  <c r="AA97" i="9"/>
  <c r="AB97" i="9" s="1"/>
  <c r="U110" i="9" s="1"/>
  <c r="Y110" i="9" l="1"/>
  <c r="Z110" i="9" s="1"/>
  <c r="Y111" i="9"/>
  <c r="Y99" i="9"/>
  <c r="Z99" i="9" s="1"/>
  <c r="Y98" i="9"/>
  <c r="Z98" i="9" s="1"/>
  <c r="P26" i="9"/>
  <c r="Q26" i="9" s="1"/>
  <c r="P25" i="9"/>
  <c r="Q25" i="9" s="1"/>
  <c r="V26" i="9"/>
  <c r="V25" i="9"/>
  <c r="D23" i="2"/>
  <c r="C23" i="2"/>
  <c r="AA296" i="9"/>
  <c r="AB296" i="9" s="1"/>
  <c r="U298" i="9" s="1"/>
  <c r="AA297" i="9"/>
  <c r="AB297" i="9" s="1"/>
  <c r="U299" i="9" s="1"/>
  <c r="AA184" i="9"/>
  <c r="AB184" i="9" s="1"/>
  <c r="U190" i="9" s="1"/>
  <c r="AA185" i="9"/>
  <c r="AB185" i="9" s="1"/>
  <c r="U191" i="9" s="1"/>
  <c r="AA186" i="9"/>
  <c r="AB186" i="9" s="1"/>
  <c r="U196" i="9" s="1"/>
  <c r="W25" i="9" l="1"/>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AA190" i="9" l="1"/>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R32" i="11" l="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Y103" i="9" l="1"/>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Y303" i="9" l="1"/>
  <c r="Z303" i="9" s="1"/>
  <c r="Y302" i="9"/>
  <c r="Z302" i="9" s="1"/>
  <c r="Z198" i="9"/>
  <c r="AA102" i="9"/>
  <c r="AB102" i="9" s="1"/>
  <c r="F111" i="6" s="1"/>
  <c r="AA103" i="9"/>
  <c r="AB103" i="9" s="1"/>
  <c r="U111" i="9" s="1"/>
  <c r="W27" i="9"/>
  <c r="X27" i="9" s="1"/>
  <c r="W28" i="9"/>
  <c r="X28" i="9" s="1"/>
  <c r="Z199" i="9"/>
  <c r="AA199" i="9" s="1"/>
  <c r="AB199" i="9" s="1"/>
  <c r="U218" i="9" s="1"/>
  <c r="J28" i="9" l="1"/>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05" i="9" l="1"/>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V36" i="9" l="1"/>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207" i="9" l="1"/>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W132" i="9"/>
  <c r="X132" i="9" s="1"/>
  <c r="W133" i="9"/>
  <c r="W122" i="9"/>
  <c r="X122" i="9" s="1"/>
  <c r="W123" i="9"/>
  <c r="X123" i="9" s="1"/>
  <c r="M179" i="11" l="1"/>
  <c r="M180" i="11"/>
  <c r="M177" i="11"/>
  <c r="M178" i="11"/>
  <c r="M175" i="11"/>
  <c r="M176" i="11"/>
  <c r="M173" i="11"/>
  <c r="M174" i="11"/>
  <c r="B4" i="12"/>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P80" i="11" l="1"/>
  <c r="P83" i="11"/>
  <c r="P81" i="11"/>
  <c r="P82" i="11"/>
  <c r="P84" i="11"/>
  <c r="H133" i="9"/>
  <c r="P140" i="9"/>
  <c r="Q140" i="9" s="1"/>
  <c r="P141" i="9"/>
  <c r="V140" i="9"/>
  <c r="O89" i="11"/>
  <c r="O80" i="11"/>
  <c r="O87" i="11"/>
  <c r="O85" i="11"/>
  <c r="O92" i="11"/>
  <c r="O83" i="11"/>
  <c r="O90" i="11"/>
  <c r="O81" i="11"/>
  <c r="O88" i="11"/>
  <c r="O91" i="11"/>
  <c r="O84" i="11"/>
  <c r="O82" i="11"/>
  <c r="O86" i="11"/>
  <c r="H149" i="9"/>
  <c r="F2" i="12"/>
  <c r="B9" i="11"/>
  <c r="F93" i="6"/>
  <c r="S93" i="6" s="1"/>
  <c r="S9" i="11" l="1"/>
  <c r="W141" i="9"/>
  <c r="W140" i="9"/>
  <c r="X140" i="9" s="1"/>
  <c r="V149" i="9"/>
  <c r="V133" i="9"/>
  <c r="X133" i="9" s="1"/>
  <c r="Q133" i="9"/>
  <c r="J132" i="9" l="1"/>
  <c r="M132" i="9" s="1"/>
  <c r="N132" i="9" s="1"/>
  <c r="J133" i="9"/>
  <c r="M133" i="9" s="1"/>
  <c r="N133" i="9" s="1"/>
  <c r="AI9" i="11"/>
  <c r="W9" i="1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J338" i="9"/>
  <c r="M338" i="9" s="1"/>
  <c r="N338" i="9" s="1"/>
  <c r="W179" i="11" l="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F91" i="6"/>
  <c r="V238" i="9"/>
  <c r="P2" i="12"/>
  <c r="B19" i="11"/>
  <c r="F92" i="6"/>
  <c r="S18" i="11" l="1"/>
  <c r="S19" i="11"/>
  <c r="W236" i="9"/>
  <c r="X236" i="9" s="1"/>
  <c r="W235" i="9"/>
  <c r="X235" i="9" s="1"/>
  <c r="P230" i="9"/>
  <c r="Q230" i="9" s="1"/>
  <c r="P229" i="9"/>
  <c r="Q229" i="9" s="1"/>
  <c r="V229" i="9"/>
  <c r="V230" i="9"/>
  <c r="J235" i="9" l="1"/>
  <c r="M235" i="9" s="1"/>
  <c r="N235" i="9" s="1"/>
  <c r="J236" i="9"/>
  <c r="M236" i="9" s="1"/>
  <c r="N236" i="9" s="1"/>
  <c r="W230" i="9"/>
  <c r="X230" i="9" s="1"/>
  <c r="W229" i="9"/>
  <c r="X229" i="9" s="1"/>
  <c r="AI18" i="11"/>
  <c r="W18" i="11"/>
  <c r="AI19" i="11"/>
  <c r="W19" i="11"/>
  <c r="T179" i="11" l="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F96" i="6"/>
  <c r="S96" i="6" s="1"/>
  <c r="U115" i="11"/>
  <c r="H231" i="9"/>
  <c r="Q115" i="11"/>
  <c r="H232" i="9"/>
  <c r="V232" i="9" l="1"/>
  <c r="P232" i="9"/>
  <c r="Q232" i="9" s="1"/>
  <c r="P231" i="9"/>
  <c r="Q231" i="9" s="1"/>
  <c r="V231" i="9"/>
  <c r="W238" i="9"/>
  <c r="X238" i="9" s="1"/>
  <c r="W237" i="9"/>
  <c r="X237" i="9" s="1"/>
  <c r="W239" i="9"/>
  <c r="S16" i="11"/>
  <c r="W16" i="11" l="1"/>
  <c r="AI16" i="11"/>
  <c r="J238" i="9"/>
  <c r="M238" i="9" s="1"/>
  <c r="N238" i="9" s="1"/>
  <c r="W232" i="9"/>
  <c r="X232" i="9" s="1"/>
  <c r="W231" i="9"/>
  <c r="X231" i="9" s="1"/>
  <c r="P120" i="11" l="1"/>
  <c r="P121" i="11"/>
  <c r="P119" i="11"/>
  <c r="H244" i="9"/>
  <c r="J231" i="9"/>
  <c r="M231" i="9" s="1"/>
  <c r="N231" i="9" s="1"/>
  <c r="J232" i="9"/>
  <c r="M232" i="9" s="1"/>
  <c r="N232" i="9" s="1"/>
  <c r="Q179" i="11" l="1"/>
  <c r="Q180" i="11"/>
  <c r="Q177" i="11"/>
  <c r="Q178" i="11"/>
  <c r="Q175" i="11"/>
  <c r="Q176" i="11"/>
  <c r="Q173" i="11"/>
  <c r="Q174" i="11"/>
  <c r="B8" i="12"/>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J2" i="12"/>
  <c r="B13" i="11"/>
  <c r="F85" i="6"/>
  <c r="S85" i="6" s="1"/>
  <c r="S13" i="11" l="1"/>
  <c r="W234" i="9"/>
  <c r="X234" i="9" s="1"/>
  <c r="W233" i="9"/>
  <c r="X233" i="9" s="1"/>
  <c r="J233" i="9" l="1"/>
  <c r="M233" i="9" s="1"/>
  <c r="N233" i="9" s="1"/>
  <c r="J234" i="9"/>
  <c r="M234" i="9" s="1"/>
  <c r="N234" i="9" s="1"/>
  <c r="AI13" i="11"/>
  <c r="W13" i="11"/>
  <c r="L179" i="11" l="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F90" i="6"/>
  <c r="S90" i="6" s="1"/>
  <c r="V239" i="9"/>
  <c r="X239" i="9" s="1"/>
  <c r="Q239" i="9"/>
  <c r="J239" i="9" l="1"/>
  <c r="M239" i="9" s="1"/>
  <c r="N239" i="9" s="1"/>
  <c r="J237" i="9"/>
  <c r="M237" i="9" s="1"/>
  <c r="N237" i="9" s="1"/>
  <c r="S8" i="11"/>
  <c r="AI8" i="11" l="1"/>
  <c r="W8" i="11"/>
  <c r="R119" i="1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J7"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J17" i="11"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12" i="11" s="1"/>
  <c r="J295" i="9"/>
  <c r="M295" i="9" s="1"/>
  <c r="N295" i="9" s="1"/>
  <c r="H348" i="9" s="1"/>
  <c r="Q348" i="9" l="1"/>
  <c r="V348" i="9"/>
  <c r="X348" i="9" s="1"/>
  <c r="J14" i="11"/>
  <c r="K14" i="11"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K15" i="11"/>
  <c r="K17" i="11"/>
  <c r="K16" i="11"/>
  <c r="K18" i="11"/>
  <c r="K20" i="11"/>
  <c r="K7" i="11"/>
  <c r="K12" i="11"/>
  <c r="K10" i="11"/>
  <c r="K13" i="11"/>
  <c r="K19" i="11"/>
  <c r="K11" i="11"/>
  <c r="K8" i="11"/>
  <c r="K9"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J349" i="9" s="1"/>
  <c r="M349" i="9" s="1"/>
  <c r="N349" i="9" s="1"/>
  <c r="W350" i="9"/>
  <c r="X350" i="9" s="1"/>
  <c r="J350" i="9" s="1"/>
  <c r="M350" i="9" s="1"/>
  <c r="N350" i="9" s="1"/>
  <c r="H356" i="9" s="1"/>
  <c r="U148" i="11"/>
  <c r="H299" i="9"/>
  <c r="P148" i="11"/>
  <c r="H298" i="9"/>
  <c r="V356" i="9" l="1"/>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J351" i="9" s="1"/>
  <c r="M351" i="9" s="1"/>
  <c r="N351" i="9" s="1"/>
  <c r="W352" i="9"/>
  <c r="X352" i="9" s="1"/>
  <c r="J352" i="9" s="1"/>
  <c r="M352" i="9" s="1"/>
  <c r="N352" i="9" s="1"/>
  <c r="R175" i="11"/>
  <c r="J298" i="9"/>
  <c r="M298" i="9" s="1"/>
  <c r="N298" i="9" s="1"/>
  <c r="J299" i="9"/>
  <c r="M299" i="9" s="1"/>
  <c r="N299" i="9" s="1"/>
  <c r="H354" i="9" l="1"/>
  <c r="H353" i="9"/>
  <c r="O175" i="11"/>
  <c r="S175" i="11"/>
  <c r="U149" i="11"/>
  <c r="H301" i="9"/>
  <c r="P149" i="11"/>
  <c r="H300" i="9"/>
  <c r="P354" i="9" l="1"/>
  <c r="Q354" i="9" s="1"/>
  <c r="P353" i="9"/>
  <c r="Q353" i="9" s="1"/>
  <c r="V353" i="9"/>
  <c r="V354" i="9"/>
  <c r="P300" i="9"/>
  <c r="Q300" i="9" s="1"/>
  <c r="P301" i="9"/>
  <c r="Q301" i="9" s="1"/>
  <c r="V300" i="9"/>
  <c r="V301" i="9"/>
  <c r="W353" i="9" l="1"/>
  <c r="X353" i="9" s="1"/>
  <c r="J353" i="9" s="1"/>
  <c r="M353" i="9" s="1"/>
  <c r="N353" i="9" s="1"/>
  <c r="H359" i="9" s="1"/>
  <c r="W354" i="9"/>
  <c r="X354" i="9" s="1"/>
  <c r="J354" i="9" s="1"/>
  <c r="M354" i="9" s="1"/>
  <c r="N354" i="9" s="1"/>
  <c r="W301" i="9"/>
  <c r="X301" i="9" s="1"/>
  <c r="W300" i="9"/>
  <c r="X300" i="9" s="1"/>
  <c r="V359" i="9" l="1"/>
  <c r="S177" i="11"/>
  <c r="H355" i="9"/>
  <c r="O176" i="11"/>
  <c r="S176" i="11"/>
  <c r="J300" i="9"/>
  <c r="M300" i="9" s="1"/>
  <c r="N300" i="9" s="1"/>
  <c r="J301" i="9"/>
  <c r="M301" i="9" s="1"/>
  <c r="N301" i="9" s="1"/>
  <c r="U179" i="11" l="1"/>
  <c r="U180" i="11"/>
  <c r="U177" i="11"/>
  <c r="U178" i="11"/>
  <c r="P356" i="9"/>
  <c r="Q356" i="9" s="1"/>
  <c r="P355" i="9"/>
  <c r="Q355" i="9" s="1"/>
  <c r="V355" i="9"/>
  <c r="U175" i="11"/>
  <c r="U176" i="11"/>
  <c r="U173" i="11"/>
  <c r="U174" i="11"/>
  <c r="B12" i="12"/>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W355" i="9" l="1"/>
  <c r="X355" i="9" s="1"/>
  <c r="W356" i="9"/>
  <c r="X356" i="9" s="1"/>
  <c r="J356" i="9" s="1"/>
  <c r="M356" i="9" s="1"/>
  <c r="N356" i="9" s="1"/>
  <c r="P302" i="9"/>
  <c r="Q302" i="9" s="1"/>
  <c r="P303" i="9"/>
  <c r="Q303" i="9" s="1"/>
  <c r="V302" i="9"/>
  <c r="N2" i="12"/>
  <c r="B17" i="11"/>
  <c r="F86" i="6"/>
  <c r="S86" i="6" s="1"/>
  <c r="H357" i="9" l="1"/>
  <c r="J355" i="9"/>
  <c r="M355" i="9" s="1"/>
  <c r="N355" i="9" s="1"/>
  <c r="O177" i="11"/>
  <c r="R177" i="11"/>
  <c r="S17" i="11"/>
  <c r="W303" i="9"/>
  <c r="X303" i="9" s="1"/>
  <c r="W302" i="9"/>
  <c r="X302" i="9" s="1"/>
  <c r="P358" i="9" l="1"/>
  <c r="P359" i="9"/>
  <c r="Q359" i="9" s="1"/>
  <c r="P357" i="9"/>
  <c r="Q357" i="9" s="1"/>
  <c r="H358" i="9"/>
  <c r="V357" i="9"/>
  <c r="J302" i="9"/>
  <c r="M302" i="9" s="1"/>
  <c r="N302" i="9" s="1"/>
  <c r="J303" i="9"/>
  <c r="M303" i="9" s="1"/>
  <c r="N303" i="9" s="1"/>
  <c r="W17" i="11"/>
  <c r="AI17" i="1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O180" i="11" s="1"/>
  <c r="W360" i="9"/>
  <c r="X360" i="9" s="1"/>
  <c r="J360" i="9" s="1"/>
  <c r="M360" i="9" s="1"/>
  <c r="N360" i="9" s="1"/>
  <c r="P152" i="11"/>
  <c r="H306" i="9"/>
  <c r="K152" i="11"/>
  <c r="H307" i="9"/>
  <c r="H362" i="9" l="1"/>
  <c r="R179" i="11"/>
  <c r="O179" i="11"/>
  <c r="B6" i="12"/>
  <c r="F84" i="6" s="1"/>
  <c r="S84" i="6" s="1"/>
  <c r="V307" i="9"/>
  <c r="P307" i="9"/>
  <c r="Q307" i="9" s="1"/>
  <c r="V306" i="9"/>
  <c r="P306" i="9"/>
  <c r="Q306" i="9" s="1"/>
  <c r="Q362" i="9" l="1"/>
  <c r="V362" i="9"/>
  <c r="X362" i="9" s="1"/>
  <c r="B11" i="11"/>
  <c r="S11" i="11" s="1"/>
  <c r="AI11" i="11" s="1"/>
  <c r="H2" i="12"/>
  <c r="W306" i="9"/>
  <c r="X306" i="9" s="1"/>
  <c r="W307" i="9"/>
  <c r="X307" i="9" s="1"/>
  <c r="J362" i="9" l="1"/>
  <c r="M362" i="9" s="1"/>
  <c r="N362" i="9" s="1"/>
  <c r="J363" i="9"/>
  <c r="M363" i="9" s="1"/>
  <c r="N363" i="9" s="1"/>
  <c r="R180" i="11"/>
  <c r="B9" i="12"/>
  <c r="W11" i="11"/>
  <c r="J306" i="9"/>
  <c r="M306" i="9" s="1"/>
  <c r="N306" i="9" s="1"/>
  <c r="J307" i="9"/>
  <c r="M307" i="9" s="1"/>
  <c r="N307" i="9" s="1"/>
  <c r="B10" i="12" l="1"/>
  <c r="S180" i="11"/>
  <c r="F87" i="6"/>
  <c r="S87" i="6" s="1"/>
  <c r="B14" i="11"/>
  <c r="S14" i="11" s="1"/>
  <c r="K2" i="12"/>
  <c r="K153" i="11"/>
  <c r="H309" i="9"/>
  <c r="P153" i="11"/>
  <c r="H308" i="9"/>
  <c r="B15" i="11" l="1"/>
  <c r="S15" i="11" s="1"/>
  <c r="L2" i="12"/>
  <c r="F83" i="6"/>
  <c r="S83" i="6" s="1"/>
  <c r="W14" i="11"/>
  <c r="AI14" i="11"/>
  <c r="P308" i="9"/>
  <c r="Q308" i="9" s="1"/>
  <c r="P309" i="9"/>
  <c r="Q309" i="9" s="1"/>
  <c r="V308" i="9"/>
  <c r="V309" i="9"/>
  <c r="W15" i="11" l="1"/>
  <c r="AI15" i="11"/>
  <c r="W309" i="9"/>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179" i="11" l="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F95" i="6"/>
  <c r="S95" i="6" s="1"/>
  <c r="K163" i="11"/>
  <c r="H330" i="9"/>
  <c r="P163" i="11"/>
  <c r="H329" i="9"/>
  <c r="V330" i="9" l="1"/>
  <c r="S10" i="11"/>
  <c r="P330" i="9"/>
  <c r="Q330" i="9" s="1"/>
  <c r="P329" i="9"/>
  <c r="Q329" i="9" s="1"/>
  <c r="V329" i="9"/>
  <c r="W329" i="9" l="1"/>
  <c r="X329" i="9" s="1"/>
  <c r="W330" i="9"/>
  <c r="X330" i="9" s="1"/>
  <c r="AI10" i="11"/>
  <c r="W10" i="1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P179" i="11" l="1"/>
  <c r="P180" i="11"/>
  <c r="P177" i="11"/>
  <c r="P178" i="11"/>
  <c r="P175" i="11"/>
  <c r="P176" i="11"/>
  <c r="P173" i="11"/>
  <c r="P174" i="11"/>
  <c r="H19" i="7"/>
  <c r="B19" i="7"/>
  <c r="B18" i="7"/>
  <c r="H18" i="7"/>
  <c r="N346" i="9"/>
  <c r="B7" i="12"/>
  <c r="P172" i="11"/>
  <c r="K179" i="11" l="1"/>
  <c r="K180" i="11"/>
  <c r="K177" i="11"/>
  <c r="K178" i="11"/>
  <c r="K175" i="11"/>
  <c r="K176" i="11"/>
  <c r="K173" i="11"/>
  <c r="K174" i="11"/>
  <c r="I2" i="12"/>
  <c r="B12" i="11"/>
  <c r="F89" i="6"/>
  <c r="S89" i="6" s="1"/>
  <c r="B2" i="12"/>
  <c r="K172" i="11"/>
  <c r="H17" i="7"/>
  <c r="B17" i="7"/>
  <c r="F18" i="7"/>
  <c r="E18" i="7"/>
  <c r="D18" i="7"/>
  <c r="C18" i="7"/>
  <c r="E19" i="7"/>
  <c r="C19" i="7"/>
  <c r="F19" i="7"/>
  <c r="D19" i="7"/>
  <c r="D2" i="12" l="1"/>
  <c r="B7" i="11"/>
  <c r="D12" i="11" s="1"/>
  <c r="L12" i="11" s="1"/>
  <c r="F88" i="6"/>
  <c r="S88" i="6" s="1"/>
  <c r="C4" i="6" s="1"/>
  <c r="S12" i="11"/>
  <c r="C17" i="7"/>
  <c r="F17" i="7"/>
  <c r="E17" i="7"/>
  <c r="D17" i="7"/>
  <c r="E12" i="11" l="1"/>
  <c r="B15" i="4" s="1"/>
  <c r="AI12" i="11"/>
  <c r="W12" i="11"/>
  <c r="A6" i="2"/>
  <c r="A5" i="2"/>
  <c r="B28" i="7" s="1"/>
  <c r="D7" i="11"/>
  <c r="L7" i="11" s="1"/>
  <c r="S7" i="11"/>
  <c r="B17" i="8"/>
  <c r="D18" i="8"/>
  <c r="E7" i="11"/>
  <c r="D19" i="8"/>
  <c r="C19" i="8"/>
  <c r="B19" i="8"/>
  <c r="C18" i="8"/>
  <c r="B18" i="8"/>
  <c r="E20" i="11"/>
  <c r="C17" i="8"/>
  <c r="A5" i="8"/>
  <c r="D20" i="11"/>
  <c r="L20" i="11" s="1"/>
  <c r="E9" i="11"/>
  <c r="D9" i="11"/>
  <c r="L9" i="11" s="1"/>
  <c r="E18" i="11"/>
  <c r="D18" i="11"/>
  <c r="L18" i="11" s="1"/>
  <c r="E19" i="11"/>
  <c r="D19" i="11"/>
  <c r="L19" i="11" s="1"/>
  <c r="D16" i="11"/>
  <c r="L16" i="11" s="1"/>
  <c r="E16" i="11"/>
  <c r="E13" i="11"/>
  <c r="D13" i="11"/>
  <c r="L13" i="11" s="1"/>
  <c r="D8" i="11"/>
  <c r="L8" i="11" s="1"/>
  <c r="E8" i="11"/>
  <c r="E15" i="11"/>
  <c r="D15" i="11"/>
  <c r="L15" i="11" s="1"/>
  <c r="E11" i="11"/>
  <c r="D11" i="11"/>
  <c r="L11" i="11" s="1"/>
  <c r="D14" i="11"/>
  <c r="L14" i="11" s="1"/>
  <c r="E14" i="11"/>
  <c r="E17" i="11"/>
  <c r="D17" i="11"/>
  <c r="L17" i="11" s="1"/>
  <c r="D10" i="11"/>
  <c r="L10" i="11" s="1"/>
  <c r="E10" i="11"/>
  <c r="C15" i="12"/>
  <c r="C20" i="11" s="1"/>
  <c r="AA20" i="11" s="1"/>
  <c r="C7" i="12"/>
  <c r="C12" i="11" s="1"/>
  <c r="C14" i="12"/>
  <c r="C19" i="11" s="1"/>
  <c r="AA19" i="11" s="1"/>
  <c r="C6" i="12"/>
  <c r="C11" i="11" s="1"/>
  <c r="AA11" i="11" s="1"/>
  <c r="C13" i="12"/>
  <c r="C18" i="11" s="1"/>
  <c r="AA18" i="11" s="1"/>
  <c r="C5" i="12"/>
  <c r="C10" i="11" s="1"/>
  <c r="AA10" i="11" s="1"/>
  <c r="C12" i="12"/>
  <c r="C17" i="11" s="1"/>
  <c r="AA17" i="11" s="1"/>
  <c r="C4" i="12"/>
  <c r="C9" i="11" s="1"/>
  <c r="AA9" i="11" s="1"/>
  <c r="C11" i="12"/>
  <c r="C16" i="11" s="1"/>
  <c r="AA16" i="11" s="1"/>
  <c r="C3" i="12"/>
  <c r="C8" i="11" s="1"/>
  <c r="AA8" i="11" s="1"/>
  <c r="C2" i="12"/>
  <c r="C7" i="11" s="1"/>
  <c r="AA7" i="11" s="1"/>
  <c r="C10" i="12"/>
  <c r="C15" i="11" s="1"/>
  <c r="AA15" i="11" s="1"/>
  <c r="C9" i="12"/>
  <c r="C14" i="11" s="1"/>
  <c r="AA14" i="11" s="1"/>
  <c r="C8" i="12"/>
  <c r="C13" i="11" s="1"/>
  <c r="AA13" i="11" s="1"/>
  <c r="AI7" i="11" l="1"/>
  <c r="W7" i="11"/>
  <c r="A8" i="8"/>
  <c r="B24" i="4"/>
  <c r="AA12" i="11"/>
  <c r="B28" i="4" s="1"/>
  <c r="B12" i="4"/>
  <c r="B18" i="3" l="1"/>
  <c r="B16" i="3"/>
  <c r="B14" i="3"/>
  <c r="B12" i="3"/>
  <c r="B10" i="3"/>
  <c r="B8" i="3"/>
  <c r="B6" i="3"/>
  <c r="B9" i="3"/>
  <c r="B15" i="3"/>
  <c r="B5" i="3"/>
  <c r="B11" i="3"/>
  <c r="B17" i="3"/>
  <c r="B7" i="3"/>
  <c r="B13" i="3"/>
  <c r="S10" i="3" l="1"/>
  <c r="C10" i="3"/>
  <c r="R10" i="3"/>
  <c r="M10" i="3"/>
  <c r="K10" i="3"/>
  <c r="J10" i="3"/>
  <c r="I10" i="3"/>
  <c r="H10" i="3"/>
  <c r="X10" i="3"/>
  <c r="E10" i="3"/>
  <c r="V10" i="3"/>
  <c r="D10" i="3"/>
  <c r="T10" i="3"/>
  <c r="Q10" i="3"/>
  <c r="P10" i="3"/>
  <c r="O10" i="3"/>
  <c r="K13" i="3"/>
  <c r="J13" i="3"/>
  <c r="P13" i="3"/>
  <c r="O13" i="3"/>
  <c r="M13" i="3"/>
  <c r="I13" i="3"/>
  <c r="H13" i="3"/>
  <c r="X13" i="3"/>
  <c r="E13" i="3"/>
  <c r="V13" i="3"/>
  <c r="D13" i="3"/>
  <c r="C13" i="3"/>
  <c r="T13" i="3"/>
  <c r="S13" i="3"/>
  <c r="R13" i="3"/>
  <c r="Q13" i="3"/>
  <c r="K11" i="3"/>
  <c r="J11" i="3"/>
  <c r="H11" i="3"/>
  <c r="X11" i="3"/>
  <c r="E11" i="3"/>
  <c r="V11" i="3"/>
  <c r="D11" i="3"/>
  <c r="C11" i="3"/>
  <c r="T11" i="3"/>
  <c r="S11" i="3"/>
  <c r="R11" i="3"/>
  <c r="Q11" i="3"/>
  <c r="P11" i="3"/>
  <c r="O11" i="3"/>
  <c r="M11" i="3"/>
  <c r="I11" i="3"/>
  <c r="S14" i="3"/>
  <c r="C14" i="3"/>
  <c r="R14" i="3"/>
  <c r="J14" i="3"/>
  <c r="I14" i="3"/>
  <c r="H14" i="3"/>
  <c r="X14" i="3"/>
  <c r="E14" i="3"/>
  <c r="V14" i="3"/>
  <c r="D14" i="3"/>
  <c r="T14" i="3"/>
  <c r="Q14" i="3"/>
  <c r="P14" i="3"/>
  <c r="O14" i="3"/>
  <c r="M14" i="3"/>
  <c r="K14" i="3"/>
  <c r="K7" i="3"/>
  <c r="AE12" i="11" s="1"/>
  <c r="J7" i="3"/>
  <c r="M7" i="3"/>
  <c r="I7" i="3"/>
  <c r="H7" i="3"/>
  <c r="X7" i="3"/>
  <c r="E7" i="3"/>
  <c r="V7" i="3"/>
  <c r="D7" i="3"/>
  <c r="C7" i="3"/>
  <c r="T7" i="3"/>
  <c r="S7" i="3"/>
  <c r="R7" i="3"/>
  <c r="Q7" i="3"/>
  <c r="P7" i="3"/>
  <c r="O7" i="3"/>
  <c r="K5" i="3"/>
  <c r="Y15" i="11" s="1"/>
  <c r="J5" i="3"/>
  <c r="X5" i="3"/>
  <c r="E5" i="3"/>
  <c r="V5" i="3"/>
  <c r="D5" i="3"/>
  <c r="AD15" i="11" s="1"/>
  <c r="C5" i="3"/>
  <c r="T5" i="3"/>
  <c r="S5" i="3"/>
  <c r="R5" i="3"/>
  <c r="Q5" i="3"/>
  <c r="P5" i="3"/>
  <c r="O5" i="3"/>
  <c r="M5" i="3"/>
  <c r="I5" i="3"/>
  <c r="H5" i="3"/>
  <c r="B5" i="4"/>
  <c r="S12" i="3"/>
  <c r="C12" i="3"/>
  <c r="R12" i="3"/>
  <c r="V12" i="3"/>
  <c r="D12" i="3"/>
  <c r="T12" i="3"/>
  <c r="Q12" i="3"/>
  <c r="P12" i="3"/>
  <c r="O12" i="3"/>
  <c r="M12" i="3"/>
  <c r="K12" i="3"/>
  <c r="J12" i="3"/>
  <c r="I12" i="3"/>
  <c r="H12" i="3"/>
  <c r="X12" i="3"/>
  <c r="E12" i="3"/>
  <c r="K15" i="3"/>
  <c r="J15" i="3"/>
  <c r="V15" i="3"/>
  <c r="D15" i="3"/>
  <c r="AD18" i="11" s="1"/>
  <c r="C15" i="3"/>
  <c r="T15" i="3"/>
  <c r="S15" i="3"/>
  <c r="R15" i="3"/>
  <c r="Q15" i="3"/>
  <c r="P15" i="3"/>
  <c r="O15" i="3"/>
  <c r="M15" i="3"/>
  <c r="I15" i="3"/>
  <c r="H15" i="3"/>
  <c r="X15" i="3"/>
  <c r="E15" i="3"/>
  <c r="S8" i="3"/>
  <c r="C8" i="3"/>
  <c r="R8" i="3"/>
  <c r="H8" i="3"/>
  <c r="X8" i="3"/>
  <c r="E8" i="3"/>
  <c r="V8" i="3"/>
  <c r="D8" i="3"/>
  <c r="AD13" i="11" s="1"/>
  <c r="T8" i="3"/>
  <c r="Q8" i="3"/>
  <c r="P8" i="3"/>
  <c r="O8" i="3"/>
  <c r="M8" i="3"/>
  <c r="K8" i="3"/>
  <c r="J8" i="3"/>
  <c r="I8" i="3"/>
  <c r="S18" i="3"/>
  <c r="C18" i="3"/>
  <c r="R18" i="3"/>
  <c r="X18" i="3"/>
  <c r="E18" i="3"/>
  <c r="V18" i="3"/>
  <c r="D18" i="3"/>
  <c r="AD16" i="11" s="1"/>
  <c r="T18" i="3"/>
  <c r="Q18" i="3"/>
  <c r="P18" i="3"/>
  <c r="O18" i="3"/>
  <c r="M18" i="3"/>
  <c r="K18" i="3"/>
  <c r="Y16" i="11" s="1"/>
  <c r="J18" i="3"/>
  <c r="I18" i="3"/>
  <c r="H18" i="3"/>
  <c r="K17" i="3"/>
  <c r="AE10" i="11" s="1"/>
  <c r="J17" i="3"/>
  <c r="I17" i="3"/>
  <c r="H17" i="3"/>
  <c r="X17" i="3"/>
  <c r="E17" i="3"/>
  <c r="V17" i="3"/>
  <c r="D17" i="3"/>
  <c r="AD10" i="11" s="1"/>
  <c r="C17" i="3"/>
  <c r="T17" i="3"/>
  <c r="S17" i="3"/>
  <c r="R17" i="3"/>
  <c r="Q17" i="3"/>
  <c r="P17" i="3"/>
  <c r="O17" i="3"/>
  <c r="M17" i="3"/>
  <c r="K9" i="3"/>
  <c r="Y17" i="11" s="1"/>
  <c r="J9" i="3"/>
  <c r="T9" i="3"/>
  <c r="S9" i="3"/>
  <c r="R9" i="3"/>
  <c r="Q9" i="3"/>
  <c r="P9" i="3"/>
  <c r="O9" i="3"/>
  <c r="M9" i="3"/>
  <c r="I9" i="3"/>
  <c r="H9" i="3"/>
  <c r="X9" i="3"/>
  <c r="E9" i="3"/>
  <c r="V9" i="3"/>
  <c r="D9" i="3"/>
  <c r="C9" i="3"/>
  <c r="S6" i="3"/>
  <c r="C6" i="3"/>
  <c r="R6" i="3"/>
  <c r="T6" i="3"/>
  <c r="Q6" i="3"/>
  <c r="P6" i="3"/>
  <c r="O6" i="3"/>
  <c r="M6" i="3"/>
  <c r="K6" i="3"/>
  <c r="J6" i="3"/>
  <c r="I6" i="3"/>
  <c r="H6" i="3"/>
  <c r="X6" i="3"/>
  <c r="E6" i="3"/>
  <c r="V6" i="3"/>
  <c r="D6" i="3"/>
  <c r="AD11" i="11" s="1"/>
  <c r="S16" i="3"/>
  <c r="C16" i="3"/>
  <c r="R16" i="3"/>
  <c r="P16" i="3"/>
  <c r="O16" i="3"/>
  <c r="M16" i="3"/>
  <c r="K16" i="3"/>
  <c r="AE20" i="11" s="1"/>
  <c r="J16" i="3"/>
  <c r="I16" i="3"/>
  <c r="H16" i="3"/>
  <c r="X16" i="3"/>
  <c r="E16" i="3"/>
  <c r="V16" i="3"/>
  <c r="D16" i="3"/>
  <c r="AD20" i="11" s="1"/>
  <c r="AF20" i="11" s="1"/>
  <c r="T16" i="3"/>
  <c r="Q16" i="3"/>
  <c r="Y14" i="11" l="1"/>
  <c r="AE9" i="11"/>
  <c r="AD19" i="11"/>
  <c r="Y19" i="11"/>
  <c r="Y13" i="11"/>
  <c r="AE11" i="11"/>
  <c r="AD12" i="11"/>
  <c r="AE18" i="11"/>
  <c r="AD14" i="11"/>
  <c r="AD8" i="11"/>
  <c r="Y7" i="11"/>
  <c r="AE8" i="11"/>
  <c r="Y11" i="11"/>
  <c r="AE13" i="11"/>
  <c r="U17" i="3"/>
  <c r="N17" i="3"/>
  <c r="AE15" i="11"/>
  <c r="L17" i="3"/>
  <c r="G17" i="3"/>
  <c r="X10" i="11" s="1"/>
  <c r="F17" i="3"/>
  <c r="Y8" i="11"/>
  <c r="F18" i="3"/>
  <c r="L18" i="3"/>
  <c r="G18" i="3"/>
  <c r="X16" i="11" s="1"/>
  <c r="AB16" i="11" s="1"/>
  <c r="G8" i="3"/>
  <c r="F8" i="3"/>
  <c r="L8" i="3"/>
  <c r="Y9" i="11"/>
  <c r="AE14" i="11"/>
  <c r="N7" i="3"/>
  <c r="U7" i="3"/>
  <c r="AE16" i="11"/>
  <c r="N16" i="3"/>
  <c r="U16" i="3"/>
  <c r="AE19" i="11"/>
  <c r="L7" i="3"/>
  <c r="G7" i="3"/>
  <c r="F7" i="3"/>
  <c r="G14" i="3"/>
  <c r="F14" i="3"/>
  <c r="L14" i="3"/>
  <c r="N13" i="3"/>
  <c r="U13" i="3"/>
  <c r="B10" i="4"/>
  <c r="L13" i="3"/>
  <c r="G13" i="3"/>
  <c r="F13" i="3"/>
  <c r="L10" i="3"/>
  <c r="G10" i="3"/>
  <c r="F10" i="3"/>
  <c r="C22" i="7"/>
  <c r="B22" i="7"/>
  <c r="B31" i="7"/>
  <c r="U15" i="3"/>
  <c r="N15" i="3"/>
  <c r="Y18" i="11"/>
  <c r="T2" i="3"/>
  <c r="AE7" i="11"/>
  <c r="U11" i="3"/>
  <c r="N11" i="3"/>
  <c r="U18" i="3"/>
  <c r="N18" i="3"/>
  <c r="L15" i="3"/>
  <c r="G15" i="3"/>
  <c r="F15" i="3"/>
  <c r="L12" i="3"/>
  <c r="G12" i="3"/>
  <c r="F12" i="3"/>
  <c r="Y12" i="11"/>
  <c r="B26" i="4" s="1"/>
  <c r="B11" i="4"/>
  <c r="AD9" i="11"/>
  <c r="G11" i="3"/>
  <c r="F11" i="3"/>
  <c r="L11" i="3"/>
  <c r="Y20" i="11"/>
  <c r="B33" i="7"/>
  <c r="U5" i="3"/>
  <c r="N5" i="3"/>
  <c r="AE17" i="11"/>
  <c r="Y10" i="11"/>
  <c r="N6" i="3"/>
  <c r="U6" i="3"/>
  <c r="L6" i="3"/>
  <c r="G6" i="3"/>
  <c r="F6" i="3"/>
  <c r="L16" i="3"/>
  <c r="G16" i="3"/>
  <c r="F16" i="3"/>
  <c r="N9" i="3"/>
  <c r="U9" i="3"/>
  <c r="L9" i="3"/>
  <c r="G9" i="3"/>
  <c r="X17" i="11" s="1"/>
  <c r="AB17" i="11" s="1"/>
  <c r="F9" i="3"/>
  <c r="U8" i="3"/>
  <c r="N8" i="3"/>
  <c r="A10" i="8"/>
  <c r="C21" i="7"/>
  <c r="F21" i="7" s="1"/>
  <c r="B30" i="7"/>
  <c r="B21" i="7"/>
  <c r="F5" i="3"/>
  <c r="L5" i="3"/>
  <c r="G5" i="3"/>
  <c r="X15" i="11" s="1"/>
  <c r="AB15" i="11" s="1"/>
  <c r="AD17" i="11"/>
  <c r="U12" i="3"/>
  <c r="N12" i="3"/>
  <c r="U14" i="3"/>
  <c r="N14" i="3"/>
  <c r="N10" i="3"/>
  <c r="U10" i="3"/>
  <c r="B6" i="4"/>
  <c r="AD7" i="11"/>
  <c r="X19" i="11" l="1"/>
  <c r="AB19" i="11" s="1"/>
  <c r="AF19" i="11" s="1"/>
  <c r="W10" i="3" s="1"/>
  <c r="X13" i="11"/>
  <c r="X11" i="11"/>
  <c r="AB11" i="11" s="1"/>
  <c r="AF11" i="11" s="1"/>
  <c r="X20" i="11"/>
  <c r="AB20" i="11" s="1"/>
  <c r="AB13" i="11"/>
  <c r="AF13" i="11" s="1"/>
  <c r="B16" i="4"/>
  <c r="B8" i="4"/>
  <c r="X18" i="11"/>
  <c r="AB18" i="11" s="1"/>
  <c r="AF18" i="11" s="1"/>
  <c r="X9" i="11"/>
  <c r="AB9" i="11" s="1"/>
  <c r="AF9" i="11" s="1"/>
  <c r="X14" i="11"/>
  <c r="AB14" i="11" s="1"/>
  <c r="AF14" i="11" s="1"/>
  <c r="W16" i="3" s="1"/>
  <c r="X7" i="11"/>
  <c r="AB7" i="11" s="1"/>
  <c r="AF7" i="11" s="1"/>
  <c r="X8" i="11"/>
  <c r="AB8" i="11" s="1"/>
  <c r="AF8" i="11" s="1"/>
  <c r="AF16" i="11"/>
  <c r="W18" i="3" s="1"/>
  <c r="AF15" i="11"/>
  <c r="W5" i="3" s="1"/>
  <c r="AB10" i="11"/>
  <c r="AF10" i="11" s="1"/>
  <c r="W17" i="3" s="1"/>
  <c r="AF17" i="11"/>
  <c r="B9" i="4"/>
  <c r="X12" i="11"/>
  <c r="A3" i="3"/>
  <c r="W9" i="3" l="1"/>
  <c r="W14" i="3"/>
  <c r="W15" i="3"/>
  <c r="W8" i="3"/>
  <c r="W12" i="3"/>
  <c r="W13" i="3"/>
  <c r="W11" i="3"/>
  <c r="B25" i="4"/>
  <c r="AB12" i="11"/>
  <c r="B23" i="4" l="1"/>
  <c r="AF12" i="11"/>
  <c r="W6" i="3" s="1"/>
  <c r="B7" i="4" l="1"/>
  <c r="W7" i="3"/>
</calcChain>
</file>

<file path=xl/sharedStrings.xml><?xml version="1.0" encoding="utf-8"?>
<sst xmlns="http://schemas.openxmlformats.org/spreadsheetml/2006/main" count="2037" uniqueCount="450">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</sst>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56" fillId="0" borderId="0" xfId="0" applyFont="1"/>
    <xf numFmtId="0" fontId="57" fillId="0" borderId="0" xfId="0" applyFont="1"/>
    <xf numFmtId="0" fontId="64" fillId="4" borderId="0" xfId="0" applyFont="1" applyFill="1" applyAlignment="1">
      <alignment horizontal="left" vertical="center" indent="1"/>
    </xf>
    <xf numFmtId="0" fontId="0" fillId="0" borderId="0" xfId="0"/>
    <xf numFmtId="0" fontId="65" fillId="0" borderId="0" xfId="0" applyFont="1" applyAlignment="1">
      <alignment horizontal="left" vertical="top" wrapText="1"/>
    </xf>
    <xf numFmtId="0" fontId="62" fillId="0" borderId="0" xfId="0" applyFont="1" applyAlignment="1">
      <alignment horizontal="center" vertical="center"/>
    </xf>
    <xf numFmtId="0" fontId="63" fillId="0" borderId="0" xfId="0" applyFont="1" applyAlignment="1">
      <alignment horizontal="center" vertical="center"/>
    </xf>
    <xf numFmtId="0" fontId="68"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8" t="s">
        <v>359</v>
      </c>
      <c r="B1" s="146"/>
      <c r="C1" s="146"/>
      <c r="D1" s="146"/>
      <c r="E1" s="146"/>
      <c r="F1" s="146"/>
      <c r="G1" s="146"/>
      <c r="H1" s="146"/>
    </row>
    <row r="2" spans="1:8" ht="18" customHeight="1" x14ac:dyDescent="0.2">
      <c r="A2" s="149" t="s">
        <v>372</v>
      </c>
      <c r="B2" s="146"/>
      <c r="C2" s="146"/>
      <c r="D2" s="146"/>
      <c r="E2" s="146"/>
      <c r="F2" s="146"/>
      <c r="G2" s="146"/>
      <c r="H2" s="146"/>
    </row>
    <row r="3" spans="1:8" ht="48" customHeight="1" x14ac:dyDescent="0.2">
      <c r="A3" s="150" t="s">
        <v>360</v>
      </c>
      <c r="B3" s="146"/>
      <c r="C3" s="146"/>
      <c r="D3" s="146"/>
      <c r="E3" s="146"/>
      <c r="F3" s="146"/>
      <c r="G3" s="146"/>
      <c r="H3" s="146"/>
    </row>
    <row r="6" spans="1:8" ht="22" customHeight="1" x14ac:dyDescent="0.2">
      <c r="A6" s="145" t="s">
        <v>361</v>
      </c>
      <c r="B6" s="146"/>
      <c r="C6" s="146"/>
      <c r="D6" s="146"/>
      <c r="E6" s="146"/>
      <c r="F6" s="146"/>
      <c r="G6" s="146"/>
      <c r="H6" s="146"/>
    </row>
    <row r="7" spans="1:8" ht="51" customHeight="1" x14ac:dyDescent="0.2">
      <c r="A7" s="129" t="s">
        <v>362</v>
      </c>
      <c r="B7" s="147" t="s">
        <v>373</v>
      </c>
      <c r="C7" s="146"/>
      <c r="D7" s="146"/>
      <c r="E7" s="146"/>
      <c r="F7" s="146"/>
      <c r="G7" s="146"/>
      <c r="H7" s="146"/>
    </row>
    <row r="8" spans="1:8" ht="36" customHeight="1" x14ac:dyDescent="0.2">
      <c r="A8" s="130" t="s">
        <v>363</v>
      </c>
      <c r="B8" s="147" t="s">
        <v>374</v>
      </c>
      <c r="C8" s="146"/>
      <c r="D8" s="146"/>
      <c r="E8" s="146"/>
      <c r="F8" s="146"/>
      <c r="G8" s="146"/>
      <c r="H8" s="146"/>
    </row>
    <row r="9" spans="1:8" ht="21" customHeight="1" x14ac:dyDescent="0.2">
      <c r="A9" s="129" t="s">
        <v>362</v>
      </c>
      <c r="B9" s="147" t="s">
        <v>375</v>
      </c>
      <c r="C9" s="146"/>
      <c r="D9" s="146"/>
      <c r="E9" s="146"/>
      <c r="F9" s="146"/>
      <c r="G9" s="146"/>
      <c r="H9" s="146"/>
    </row>
    <row r="10" spans="1:8" ht="36" customHeight="1" x14ac:dyDescent="0.2">
      <c r="A10" s="130" t="s">
        <v>363</v>
      </c>
      <c r="B10" s="147" t="s">
        <v>376</v>
      </c>
      <c r="C10" s="146"/>
      <c r="D10" s="146"/>
      <c r="E10" s="146"/>
      <c r="F10" s="146"/>
      <c r="G10" s="146"/>
      <c r="H10" s="146"/>
    </row>
    <row r="12" spans="1:8" ht="22" customHeight="1" x14ac:dyDescent="0.2">
      <c r="A12" s="145" t="s">
        <v>364</v>
      </c>
      <c r="B12" s="146"/>
      <c r="C12" s="146"/>
      <c r="D12" s="146"/>
      <c r="E12" s="146"/>
      <c r="F12" s="146"/>
      <c r="G12" s="146"/>
      <c r="H12" s="146"/>
    </row>
    <row r="13" spans="1:8" ht="36" customHeight="1" x14ac:dyDescent="0.2">
      <c r="A13" s="129" t="s">
        <v>362</v>
      </c>
      <c r="B13" s="147" t="s">
        <v>377</v>
      </c>
      <c r="C13" s="146"/>
      <c r="D13" s="146"/>
      <c r="E13" s="146"/>
      <c r="F13" s="146"/>
      <c r="G13" s="146"/>
      <c r="H13" s="146"/>
    </row>
    <row r="14" spans="1:8" ht="36" customHeight="1" x14ac:dyDescent="0.2">
      <c r="A14" s="130" t="s">
        <v>363</v>
      </c>
      <c r="B14" s="147" t="s">
        <v>378</v>
      </c>
      <c r="C14" s="146"/>
      <c r="D14" s="146"/>
      <c r="E14" s="146"/>
      <c r="F14" s="146"/>
      <c r="G14" s="146"/>
      <c r="H14" s="146"/>
    </row>
    <row r="15" spans="1:8" ht="21" customHeight="1" x14ac:dyDescent="0.2">
      <c r="A15" s="129" t="s">
        <v>362</v>
      </c>
      <c r="B15" s="147" t="s">
        <v>379</v>
      </c>
      <c r="C15" s="146"/>
      <c r="D15" s="146"/>
      <c r="E15" s="146"/>
      <c r="F15" s="146"/>
      <c r="G15" s="146"/>
      <c r="H15" s="146"/>
    </row>
    <row r="16" spans="1:8" ht="36" customHeight="1" x14ac:dyDescent="0.2">
      <c r="A16" s="130" t="s">
        <v>363</v>
      </c>
      <c r="B16" s="147" t="s">
        <v>380</v>
      </c>
      <c r="C16" s="146"/>
      <c r="D16" s="146"/>
      <c r="E16" s="146"/>
      <c r="F16" s="146"/>
      <c r="G16" s="146"/>
      <c r="H16" s="146"/>
    </row>
    <row r="18" spans="1:8" ht="22" customHeight="1" x14ac:dyDescent="0.2">
      <c r="A18" s="145" t="s">
        <v>365</v>
      </c>
      <c r="B18" s="146"/>
      <c r="C18" s="146"/>
      <c r="D18" s="146"/>
      <c r="E18" s="146"/>
      <c r="F18" s="146"/>
      <c r="G18" s="146"/>
      <c r="H18" s="146"/>
    </row>
    <row r="19" spans="1:8" ht="21" customHeight="1" x14ac:dyDescent="0.2">
      <c r="A19" s="129" t="s">
        <v>362</v>
      </c>
      <c r="B19" s="147" t="s">
        <v>381</v>
      </c>
      <c r="C19" s="146"/>
      <c r="D19" s="146"/>
      <c r="E19" s="146"/>
      <c r="F19" s="146"/>
      <c r="G19" s="146"/>
      <c r="H19" s="146"/>
    </row>
    <row r="20" spans="1:8" ht="51" customHeight="1" x14ac:dyDescent="0.2">
      <c r="A20" s="130" t="s">
        <v>363</v>
      </c>
      <c r="B20" s="147" t="s">
        <v>382</v>
      </c>
      <c r="C20" s="146"/>
      <c r="D20" s="146"/>
      <c r="E20" s="146"/>
      <c r="F20" s="146"/>
      <c r="G20" s="146"/>
      <c r="H20" s="146"/>
    </row>
    <row r="21" spans="1:8" ht="21" customHeight="1" x14ac:dyDescent="0.2">
      <c r="A21" s="129" t="s">
        <v>362</v>
      </c>
      <c r="B21" s="147" t="s">
        <v>383</v>
      </c>
      <c r="C21" s="146"/>
      <c r="D21" s="146"/>
      <c r="E21" s="146"/>
      <c r="F21" s="146"/>
      <c r="G21" s="146"/>
      <c r="H21" s="146"/>
    </row>
    <row r="22" spans="1:8" ht="51" customHeight="1" x14ac:dyDescent="0.2">
      <c r="A22" s="130" t="s">
        <v>363</v>
      </c>
      <c r="B22" s="147" t="s">
        <v>384</v>
      </c>
      <c r="C22" s="146"/>
      <c r="D22" s="146"/>
      <c r="E22" s="146"/>
      <c r="F22" s="146"/>
      <c r="G22" s="146"/>
      <c r="H22" s="146"/>
    </row>
    <row r="24" spans="1:8" ht="22" customHeight="1" x14ac:dyDescent="0.2">
      <c r="A24" s="145" t="s">
        <v>366</v>
      </c>
      <c r="B24" s="146"/>
      <c r="C24" s="146"/>
      <c r="D24" s="146"/>
      <c r="E24" s="146"/>
      <c r="F24" s="146"/>
      <c r="G24" s="146"/>
      <c r="H24" s="146"/>
    </row>
    <row r="25" spans="1:8" ht="21" customHeight="1" x14ac:dyDescent="0.2">
      <c r="A25" s="129" t="s">
        <v>362</v>
      </c>
      <c r="B25" s="147" t="s">
        <v>385</v>
      </c>
      <c r="C25" s="146"/>
      <c r="D25" s="146"/>
      <c r="E25" s="146"/>
      <c r="F25" s="146"/>
      <c r="G25" s="146"/>
      <c r="H25" s="146"/>
    </row>
    <row r="26" spans="1:8" ht="51" customHeight="1" x14ac:dyDescent="0.2">
      <c r="A26" s="130" t="s">
        <v>363</v>
      </c>
      <c r="B26" s="147" t="s">
        <v>386</v>
      </c>
      <c r="C26" s="146"/>
      <c r="D26" s="146"/>
      <c r="E26" s="146"/>
      <c r="F26" s="146"/>
      <c r="G26" s="146"/>
      <c r="H26" s="146"/>
    </row>
    <row r="27" spans="1:8" ht="21" customHeight="1" x14ac:dyDescent="0.2">
      <c r="A27" s="129" t="s">
        <v>362</v>
      </c>
      <c r="B27" s="147" t="s">
        <v>387</v>
      </c>
      <c r="C27" s="146"/>
      <c r="D27" s="146"/>
      <c r="E27" s="146"/>
      <c r="F27" s="146"/>
      <c r="G27" s="146"/>
      <c r="H27" s="146"/>
    </row>
    <row r="28" spans="1:8" ht="51" customHeight="1" x14ac:dyDescent="0.2">
      <c r="A28" s="130" t="s">
        <v>363</v>
      </c>
      <c r="B28" s="147" t="s">
        <v>388</v>
      </c>
      <c r="C28" s="146"/>
      <c r="D28" s="146"/>
      <c r="E28" s="146"/>
      <c r="F28" s="146"/>
      <c r="G28" s="146"/>
      <c r="H28" s="146"/>
    </row>
    <row r="29" spans="1:8" ht="21" customHeight="1" x14ac:dyDescent="0.2">
      <c r="A29" s="129" t="s">
        <v>362</v>
      </c>
      <c r="B29" s="147" t="s">
        <v>389</v>
      </c>
      <c r="C29" s="146"/>
      <c r="D29" s="146"/>
      <c r="E29" s="146"/>
      <c r="F29" s="146"/>
      <c r="G29" s="146"/>
      <c r="H29" s="146"/>
    </row>
    <row r="30" spans="1:8" ht="36" customHeight="1" x14ac:dyDescent="0.2">
      <c r="A30" s="130" t="s">
        <v>363</v>
      </c>
      <c r="B30" s="147" t="s">
        <v>390</v>
      </c>
      <c r="C30" s="146"/>
      <c r="D30" s="146"/>
      <c r="E30" s="146"/>
      <c r="F30" s="146"/>
      <c r="G30" s="146"/>
      <c r="H30" s="146"/>
    </row>
    <row r="32" spans="1:8" ht="22" customHeight="1" x14ac:dyDescent="0.2">
      <c r="A32" s="145" t="s">
        <v>367</v>
      </c>
      <c r="B32" s="146"/>
      <c r="C32" s="146"/>
      <c r="D32" s="146"/>
      <c r="E32" s="146"/>
      <c r="F32" s="146"/>
      <c r="G32" s="146"/>
      <c r="H32" s="146"/>
    </row>
    <row r="33" spans="1:8" ht="21" customHeight="1" x14ac:dyDescent="0.2">
      <c r="A33" s="129" t="s">
        <v>362</v>
      </c>
      <c r="B33" s="147" t="s">
        <v>391</v>
      </c>
      <c r="C33" s="146"/>
      <c r="D33" s="146"/>
      <c r="E33" s="146"/>
      <c r="F33" s="146"/>
      <c r="G33" s="146"/>
      <c r="H33" s="146"/>
    </row>
    <row r="34" spans="1:8" ht="51" customHeight="1" x14ac:dyDescent="0.2">
      <c r="A34" s="130" t="s">
        <v>363</v>
      </c>
      <c r="B34" s="147" t="s">
        <v>392</v>
      </c>
      <c r="C34" s="146"/>
      <c r="D34" s="146"/>
      <c r="E34" s="146"/>
      <c r="F34" s="146"/>
      <c r="G34" s="146"/>
      <c r="H34" s="146"/>
    </row>
    <row r="35" spans="1:8" ht="21" customHeight="1" x14ac:dyDescent="0.2">
      <c r="A35" s="129" t="s">
        <v>362</v>
      </c>
      <c r="B35" s="147" t="s">
        <v>393</v>
      </c>
      <c r="C35" s="146"/>
      <c r="D35" s="146"/>
      <c r="E35" s="146"/>
      <c r="F35" s="146"/>
      <c r="G35" s="146"/>
      <c r="H35" s="146"/>
    </row>
    <row r="36" spans="1:8" ht="36" customHeight="1" x14ac:dyDescent="0.2">
      <c r="A36" s="130" t="s">
        <v>363</v>
      </c>
      <c r="B36" s="147" t="s">
        <v>394</v>
      </c>
      <c r="C36" s="146"/>
      <c r="D36" s="146"/>
      <c r="E36" s="146"/>
      <c r="F36" s="146"/>
      <c r="G36" s="146"/>
      <c r="H36" s="146"/>
    </row>
    <row r="37" spans="1:8" ht="21" customHeight="1" x14ac:dyDescent="0.2">
      <c r="A37" s="129" t="s">
        <v>362</v>
      </c>
      <c r="B37" s="147" t="s">
        <v>395</v>
      </c>
      <c r="C37" s="146"/>
      <c r="D37" s="146"/>
      <c r="E37" s="146"/>
      <c r="F37" s="146"/>
      <c r="G37" s="146"/>
      <c r="H37" s="146"/>
    </row>
    <row r="38" spans="1:8" ht="51" customHeight="1" x14ac:dyDescent="0.2">
      <c r="A38" s="130" t="s">
        <v>363</v>
      </c>
      <c r="B38" s="147" t="s">
        <v>396</v>
      </c>
      <c r="C38" s="146"/>
      <c r="D38" s="146"/>
      <c r="E38" s="146"/>
      <c r="F38" s="146"/>
      <c r="G38" s="146"/>
      <c r="H38" s="146"/>
    </row>
    <row r="39" spans="1:8" ht="21" customHeight="1" x14ac:dyDescent="0.2">
      <c r="A39" s="129" t="s">
        <v>362</v>
      </c>
      <c r="B39" s="147" t="s">
        <v>397</v>
      </c>
      <c r="C39" s="146"/>
      <c r="D39" s="146"/>
      <c r="E39" s="146"/>
      <c r="F39" s="146"/>
      <c r="G39" s="146"/>
      <c r="H39" s="146"/>
    </row>
    <row r="41" spans="1:8" ht="22" customHeight="1" x14ac:dyDescent="0.2">
      <c r="A41" s="145" t="s">
        <v>368</v>
      </c>
      <c r="B41" s="146"/>
      <c r="C41" s="146"/>
      <c r="D41" s="146"/>
      <c r="E41" s="146"/>
      <c r="F41" s="146"/>
      <c r="G41" s="146"/>
      <c r="H41" s="146"/>
    </row>
    <row r="42" spans="1:8" ht="21" customHeight="1" x14ac:dyDescent="0.2">
      <c r="A42" s="129" t="s">
        <v>362</v>
      </c>
      <c r="B42" s="147" t="s">
        <v>398</v>
      </c>
      <c r="C42" s="146"/>
      <c r="D42" s="146"/>
      <c r="E42" s="146"/>
      <c r="F42" s="146"/>
      <c r="G42" s="146"/>
      <c r="H42" s="146"/>
    </row>
    <row r="43" spans="1:8" ht="51" customHeight="1" x14ac:dyDescent="0.2">
      <c r="A43" s="130" t="s">
        <v>363</v>
      </c>
      <c r="B43" s="147" t="s">
        <v>399</v>
      </c>
      <c r="C43" s="146"/>
      <c r="D43" s="146"/>
      <c r="E43" s="146"/>
      <c r="F43" s="146"/>
      <c r="G43" s="146"/>
      <c r="H43" s="146"/>
    </row>
    <row r="44" spans="1:8" ht="21" customHeight="1" x14ac:dyDescent="0.2">
      <c r="A44" s="129" t="s">
        <v>362</v>
      </c>
      <c r="B44" s="147" t="s">
        <v>400</v>
      </c>
      <c r="C44" s="146"/>
      <c r="D44" s="146"/>
      <c r="E44" s="146"/>
      <c r="F44" s="146"/>
      <c r="G44" s="146"/>
      <c r="H44" s="146"/>
    </row>
    <row r="45" spans="1:8" ht="36" customHeight="1" x14ac:dyDescent="0.2">
      <c r="A45" s="130" t="s">
        <v>363</v>
      </c>
      <c r="B45" s="147" t="s">
        <v>401</v>
      </c>
      <c r="C45" s="146"/>
      <c r="D45" s="146"/>
      <c r="E45" s="146"/>
      <c r="F45" s="146"/>
      <c r="G45" s="146"/>
      <c r="H45" s="146"/>
    </row>
    <row r="46" spans="1:8" ht="21" customHeight="1" x14ac:dyDescent="0.2">
      <c r="A46" s="129" t="s">
        <v>362</v>
      </c>
      <c r="B46" s="147" t="s">
        <v>402</v>
      </c>
      <c r="C46" s="146"/>
      <c r="D46" s="146"/>
      <c r="E46" s="146"/>
      <c r="F46" s="146"/>
      <c r="G46" s="146"/>
      <c r="H46" s="146"/>
    </row>
    <row r="47" spans="1:8" ht="21" customHeight="1" x14ac:dyDescent="0.2">
      <c r="A47" s="130" t="s">
        <v>363</v>
      </c>
      <c r="B47" s="147" t="s">
        <v>369</v>
      </c>
      <c r="C47" s="146"/>
      <c r="D47" s="146"/>
      <c r="E47" s="146"/>
      <c r="F47" s="146"/>
      <c r="G47" s="146"/>
      <c r="H47" s="146"/>
    </row>
    <row r="49" spans="1:8" ht="22" customHeight="1" x14ac:dyDescent="0.2">
      <c r="A49" s="145" t="s">
        <v>370</v>
      </c>
      <c r="B49" s="146"/>
      <c r="C49" s="146"/>
      <c r="D49" s="146"/>
      <c r="E49" s="146"/>
      <c r="F49" s="146"/>
      <c r="G49" s="146"/>
      <c r="H49" s="146"/>
    </row>
    <row r="50" spans="1:8" ht="36" customHeight="1" x14ac:dyDescent="0.2">
      <c r="A50" s="129" t="s">
        <v>362</v>
      </c>
      <c r="B50" s="147" t="s">
        <v>403</v>
      </c>
      <c r="C50" s="146"/>
      <c r="D50" s="146"/>
      <c r="E50" s="146"/>
      <c r="F50" s="146"/>
      <c r="G50" s="146"/>
      <c r="H50" s="146"/>
    </row>
    <row r="51" spans="1:8" ht="21" customHeight="1" x14ac:dyDescent="0.2">
      <c r="A51" s="130" t="s">
        <v>363</v>
      </c>
      <c r="B51" s="147" t="s">
        <v>404</v>
      </c>
      <c r="C51" s="146"/>
      <c r="D51" s="146"/>
      <c r="E51" s="146"/>
      <c r="F51" s="146"/>
      <c r="G51" s="146"/>
      <c r="H51" s="146"/>
    </row>
    <row r="52" spans="1:8" ht="21" customHeight="1" x14ac:dyDescent="0.2">
      <c r="A52" s="129" t="s">
        <v>362</v>
      </c>
      <c r="B52" s="147" t="s">
        <v>371</v>
      </c>
      <c r="C52" s="146"/>
      <c r="D52" s="146"/>
      <c r="E52" s="146"/>
      <c r="F52" s="146"/>
      <c r="G52" s="146"/>
      <c r="H52" s="146"/>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2" t="s">
        <v>119</v>
      </c>
      <c r="B1" s="152"/>
      <c r="C1" s="152"/>
      <c r="D1" s="152"/>
      <c r="E1" s="152"/>
      <c r="G1" s="26"/>
      <c r="H1" s="26"/>
      <c r="I1" s="26"/>
    </row>
    <row r="2" spans="1:9" ht="28.5" customHeight="1" x14ac:dyDescent="0.2">
      <c r="A2" s="153" t="s">
        <v>120</v>
      </c>
      <c r="B2" s="153"/>
      <c r="C2" s="153"/>
      <c r="D2" s="153"/>
      <c r="E2" s="153"/>
      <c r="G2" s="26"/>
      <c r="H2" s="26"/>
      <c r="I2" s="26"/>
    </row>
    <row r="3" spans="1:9" ht="3" customHeight="1" x14ac:dyDescent="0.2">
      <c r="G3" s="26"/>
      <c r="H3" s="26"/>
      <c r="I3" s="26"/>
    </row>
    <row r="4" spans="1:9" ht="15" customHeight="1" x14ac:dyDescent="0.2">
      <c r="A4" s="154" t="s">
        <v>121</v>
      </c>
      <c r="B4" s="154"/>
      <c r="C4" s="154"/>
      <c r="D4" s="154"/>
      <c r="E4" s="154"/>
      <c r="G4" s="26"/>
      <c r="H4" s="26"/>
      <c r="I4" s="26"/>
    </row>
    <row r="5" spans="1:9" ht="24.75" customHeight="1" x14ac:dyDescent="0.2">
      <c r="A5" s="155" t="str">
        <f>'Sport Records'!$C$4</f>
        <v>Dean B</v>
      </c>
      <c r="B5" s="155"/>
      <c r="C5" s="155"/>
      <c r="D5" s="155"/>
      <c r="E5" s="155"/>
      <c r="G5" s="26"/>
      <c r="H5" s="26"/>
      <c r="I5" s="26"/>
    </row>
    <row r="6" spans="1:9" ht="15" customHeight="1" x14ac:dyDescent="0.2">
      <c r="A6" s="156"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6"/>
      <c r="C6" s="156"/>
      <c r="D6" s="156"/>
      <c r="E6" s="156"/>
      <c r="G6" s="26"/>
      <c r="H6" s="26"/>
      <c r="I6" s="26"/>
    </row>
    <row r="7" spans="1:9" ht="15" customHeight="1" x14ac:dyDescent="0.2">
      <c r="G7" s="26"/>
      <c r="H7" s="26"/>
      <c r="I7" s="26"/>
    </row>
    <row r="8" spans="1:9" ht="15" customHeight="1" x14ac:dyDescent="0.2">
      <c r="A8" s="151" t="s">
        <v>122</v>
      </c>
      <c r="B8" s="151"/>
      <c r="C8" s="151"/>
      <c r="D8" s="151"/>
      <c r="E8" s="151"/>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Chase</v>
      </c>
      <c r="C23" s="30">
        <f>IF(OR($B23="—",$B23=""),"",ROUND(MAX('Sport Records'!$B$113:$O$113),0))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1024</v>
      </c>
      <c r="D28" s="30" t="str">
        <f>IF(OR($B28="—",$B28=""),"—",COUNTIFS('Match Log'!$D$4:$D$810,$B28,'Match Log'!$C$4:$C$810,$A28,'Match Log'!$E$4:$E$810,"Win")&amp;"–"&amp;(COUNTIFS('Match Log'!$D$4:$D$810,$B28,'Match Log'!$C$4:$C$810,$A28)-COUNTIFS('Match Log'!$D$4:$D$810,$B28,'Match Log'!$C$4:$C$810,$A28,'Match Log'!$E$4:$E$810,"Win")))</f>
        <v>6–3</v>
      </c>
      <c r="E28" s="30">
        <f>'Sport Records'!$P$26</f>
        <v>13</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447</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448</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449</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O5" activePane="bottomRight" state="frozen"/>
      <selection pane="topRight" activeCell="D1" sqref="D1"/>
      <selection pane="bottomLeft" activeCell="A5" sqref="A5"/>
      <selection pane="bottomRight" activeCell="B21" sqref="B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156  ·  12 Jul 2026</v>
      </c>
      <c r="T2" s="44" t="str">
        <f>IF(COUNTIF($T$5:$T$18,"At risk")+COUNTIF($T$5:$T$18,"Inactive")=0,"Inactivity watch:  all players active ✓","⚠ Inactivity watch:  "&amp;(COUNTIF($T$5:$T$18,"At risk")+COUNTIF($T$5:$T$18,"Inactive"))&amp;" player(s) need a game — see Activity column")</f>
        <v>⚠ Inactivity watch:  4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1242.0685981700271</v>
      </c>
      <c r="D5" s="49">
        <f>COUNTIF('Match Log'!$D$4:$D$810,$B5)</f>
        <v>29</v>
      </c>
      <c r="E5" s="49">
        <f>COUNTIFS('Match Log'!$D$4:$D$810,$B5,'Match Log'!$E$4:$E$810,"Win")</f>
        <v>20</v>
      </c>
      <c r="F5" s="49">
        <f>$D5-$E5</f>
        <v>9</v>
      </c>
      <c r="G5" s="50">
        <f>IF($D5=0,"",$E5/$D5)</f>
        <v>0.68965517241379315</v>
      </c>
      <c r="H5" s="51">
        <f>SUMIF('Match Log'!$D$4:$D$810,$B5,'Match Log'!$J$4:$J$810)</f>
        <v>129.69882428549235</v>
      </c>
      <c r="I5" s="51">
        <f>SUMIF('Match Log'!$D$4:$D$810,$B5,'Match Log'!$K$4:$K$810)</f>
        <v>77.369773884534624</v>
      </c>
      <c r="J5" s="51">
        <f>SUMIF('Match Log'!$D$4:$D$810,$B5,'Match Log'!$L$4:$L$810)</f>
        <v>35</v>
      </c>
      <c r="K5" s="49">
        <f>SUMPRODUCT(--(COUNTIFS('Match Log'!$D$4:$D$810,$B5,'Match Log'!$C$4:$C$810,Lists!$C$2:$C$24)&gt;0))</f>
        <v>5</v>
      </c>
      <c r="L5" s="49" t="str">
        <f>IF($D5=0,"No games",IF(AND($D5&gt;='Guide &amp; Settings'!$C$45,$K5&gt;='Guide &amp; Settings'!$C$46),"Eligible","Provisional"))</f>
        <v>Eligible</v>
      </c>
      <c r="M5" s="48">
        <f>IFERROR(INDEX(Calcs!$C$7:$C$20,MATCH($B5,Calcs!$A$7:$A$20,0)),"")</f>
        <v>1046.0377424962787</v>
      </c>
      <c r="N5" s="48">
        <f>MAX($C$5:$C$18)-$C5</f>
        <v>0</v>
      </c>
      <c r="O5" s="49" t="str">
        <f>IFERROR(INDEX(Calcs!$H$7:$H$20,MATCH($B5,Calcs!$A$7:$A$20,0)),"")</f>
        <v>W1</v>
      </c>
      <c r="P5" s="49" t="str">
        <f>IFERROR(INDEX(Calcs!$I$7:$I$20,MATCH($B5,Calcs!$A$7:$A$20,0)),"")</f>
        <v>WWWLW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12 Jul</v>
      </c>
      <c r="S5" s="49">
        <f>IFERROR(ROUND(INDEX(Calcs!$Q$7:$Q$20,MATCH($B5,Calcs!$A$7:$A$20,0)),1),"")</f>
        <v>0</v>
      </c>
      <c r="T5" s="49" t="str">
        <f>IFERROR(INDEX(Calcs!$T$7:$T$20,MATCH($B5,Calcs!$A$7:$A$20,0)),"")</f>
        <v>Active</v>
      </c>
      <c r="U5">
        <f>IFERROR(MAX(0,ROUND($C5-INDEX(Calcs!$S$7:$S$20,MATCH($B5,Calcs!$A$7:$A$20,0)),0)),0)</f>
        <v>0</v>
      </c>
      <c r="V5" s="51">
        <f>IFERROR(ROUND(INDEX(Calcs!$S$7:$S$20,MATCH($B5,Calcs!$A$7:$A$20,0)),0),"")</f>
        <v>1242</v>
      </c>
      <c r="W5" s="49" t="str">
        <f>IFERROR(INDEX(Calcs!$AF$7:$AF$20,MATCH($B5,Calcs!$A$7:$A$20,0)),"")</f>
        <v>Elite</v>
      </c>
      <c r="X5" s="51">
        <f>IFERROR(ROUND(SUMIF('Poker Stake Ledger'!$C$18:$C$137,$B5,'Poker Stake Ledger'!$K$18:$K$137),1),0)</f>
        <v>0</v>
      </c>
    </row>
    <row r="6" spans="1:24" ht="15" customHeight="1" x14ac:dyDescent="0.2">
      <c r="A6" s="46">
        <f>ROW()-4</f>
        <v>2</v>
      </c>
      <c r="B6" s="47" t="str">
        <f>IFERROR(INDEX(Calcs!$A$7:$A$20,MATCH(LARGE(Calcs!$AI$7:$AI$20,ROW()-4),Calcs!$AI$7:$AI$20,0)),"")</f>
        <v>Shawn</v>
      </c>
      <c r="C6" s="48">
        <f>INDEX(Engine!$B$2:$B$15,MATCH($B6,Engine!$A$2:$A$15,0))+SUMIF('Poker Stake Ledger'!$C$18:$C$137,$B6,'Poker Stake Ledger'!$K$18:$K$137)</f>
        <v>1107.2617518410073</v>
      </c>
      <c r="D6" s="49">
        <f>COUNTIF('Match Log'!$D$4:$D$810,$B6)</f>
        <v>70</v>
      </c>
      <c r="E6" s="49">
        <f>COUNTIFS('Match Log'!$D$4:$D$810,$B6,'Match Log'!$E$4:$E$810,"Win")</f>
        <v>33</v>
      </c>
      <c r="F6" s="49">
        <f>$D6-$E6</f>
        <v>37</v>
      </c>
      <c r="G6" s="50">
        <f>IF($D6=0,"",$E6/$D6)</f>
        <v>0.47142857142857142</v>
      </c>
      <c r="H6" s="51">
        <f>SUMIF('Match Log'!$D$4:$D$810,$B6,'Match Log'!$J$4:$J$810)</f>
        <v>53.836672289924934</v>
      </c>
      <c r="I6" s="51">
        <f>SUMIF('Match Log'!$D$4:$D$810,$B6,'Match Log'!$K$4:$K$810)</f>
        <v>5.4250795510823568</v>
      </c>
      <c r="J6" s="51">
        <f>SUMIF('Match Log'!$D$4:$D$810,$B6,'Match Log'!$L$4:$L$810)</f>
        <v>48</v>
      </c>
      <c r="K6" s="49">
        <f>SUMPRODUCT(--(COUNTIFS('Match Log'!$D$4:$D$810,$B6,'Match Log'!$C$4:$C$810,Lists!$C$2:$C$24)&gt;0))</f>
        <v>10</v>
      </c>
      <c r="L6" s="49" t="str">
        <f>IF($D6=0,"No games",IF(AND($D6&gt;='Guide &amp; Settings'!$C$45,$K6&gt;='Guide &amp; Settings'!$C$46),"Eligible","Provisional"))</f>
        <v>Eligible</v>
      </c>
      <c r="M6" s="48">
        <f>IFERROR(INDEX(Calcs!$C$7:$C$20,MATCH($B6,Calcs!$A$7:$A$20,0)),"")</f>
        <v>1052.3400492745759</v>
      </c>
      <c r="N6" s="48">
        <f>MAX($C$5:$C$18)-$C6</f>
        <v>134.80684632901989</v>
      </c>
      <c r="O6" s="49" t="str">
        <f>IFERROR(INDEX(Calcs!$H$7:$H$20,MATCH($B6,Calcs!$A$7:$A$20,0)),"")</f>
        <v>W3</v>
      </c>
      <c r="P6" s="49" t="str">
        <f>IFERROR(INDEX(Calcs!$I$7:$I$20,MATCH($B6,Calcs!$A$7:$A$20,0)),"")</f>
        <v>LLWWW</v>
      </c>
      <c r="Q6" s="49" t="str">
        <f>IFERROR(IF(INDEX(Calcs!$L$7:$L$20,MATCH($B6,Calcs!$A$7:$A$20,0))&gt;0,"▲"&amp;INDEX(Calcs!$L$7:$L$20,MATCH($B6,Calcs!$A$7:$A$20,0)),IF(INDEX(Calcs!$L$7:$L$20,MATCH($B6,Calcs!$A$7:$A$20,0))&lt;0,"▼"&amp;ABS(INDEX(Calcs!$L$7:$L$20,MATCH($B6,Calcs!$A$7:$A$20,0))),"–")),"")</f>
        <v>▲10</v>
      </c>
      <c r="R6" s="49" t="str">
        <f>IFERROR(IF(INDEX(Calcs!$P$7:$P$20,MATCH($B6,Calcs!$A$7:$A$20,0))=0,"—",TEXT(INDEX(Calcs!$P$7:$P$20,MATCH($B6,Calcs!$A$7:$A$20,0)),"d mmm")),"")</f>
        <v>11 Jul</v>
      </c>
      <c r="S6" s="49">
        <f>IFERROR(ROUND(INDEX(Calcs!$Q$7:$Q$20,MATCH($B6,Calcs!$A$7:$A$20,0)),1),"")</f>
        <v>0.1</v>
      </c>
      <c r="T6" s="49" t="str">
        <f>IFERROR(INDEX(Calcs!$T$7:$T$20,MATCH($B6,Calcs!$A$7:$A$20,0)),"")</f>
        <v>Active</v>
      </c>
      <c r="U6">
        <f>IFERROR(MAX(0,ROUND($C6-INDEX(Calcs!$S$7:$S$20,MATCH($B6,Calcs!$A$7:$A$20,0)),0)),0)</f>
        <v>0</v>
      </c>
      <c r="V6" s="51">
        <f>IFERROR(ROUND(INDEX(Calcs!$S$7:$S$20,MATCH($B6,Calcs!$A$7:$A$20,0)),0),"")</f>
        <v>1107</v>
      </c>
      <c r="W6" s="49" t="str">
        <f>IFERROR(INDEX(Calcs!$AF$7:$AF$20,MATCH($B6,Calcs!$A$7:$A$20,0)),"")</f>
        <v>Strong</v>
      </c>
      <c r="X6" s="51">
        <f>IFERROR(ROUND(SUMIF('Poker Stake Ledger'!$C$18:$C$137,$B6,'Poker Stake Ledger'!$K$18:$K$137),1),0)</f>
        <v>0</v>
      </c>
    </row>
    <row r="7" spans="1:24" ht="15" customHeight="1" x14ac:dyDescent="0.2">
      <c r="A7" s="46">
        <f>ROW()-4</f>
        <v>3</v>
      </c>
      <c r="B7" s="47" t="str">
        <f>IFERROR(INDEX(Calcs!$A$7:$A$20,MATCH(LARGE(Calcs!$AI$7:$AI$20,ROW()-4),Calcs!$AI$7:$AI$20,0)),"")</f>
        <v>Simon</v>
      </c>
      <c r="C7" s="48">
        <f>INDEX(Engine!$B$2:$B$15,MATCH($B7,Engine!$A$2:$A$15,0))+SUMIF('Poker Stake Ledger'!$C$18:$C$137,$B7,'Poker Stake Ledger'!$K$18:$K$137)</f>
        <v>1084.8903813508514</v>
      </c>
      <c r="D7" s="49">
        <f>COUNTIF('Match Log'!$D$4:$D$810,$B7)</f>
        <v>17</v>
      </c>
      <c r="E7" s="49">
        <f>COUNTIFS('Match Log'!$D$4:$D$810,$B7,'Match Log'!$E$4:$E$810,"Win")</f>
        <v>10</v>
      </c>
      <c r="F7" s="49">
        <f>$D7-$E7</f>
        <v>7</v>
      </c>
      <c r="G7" s="50">
        <f>IF($D7=0,"",$E7/$D7)</f>
        <v>0.58823529411764708</v>
      </c>
      <c r="H7" s="51">
        <f>SUMIF('Match Log'!$D$4:$D$810,$B7,'Match Log'!$J$4:$J$810)</f>
        <v>19.980017009183754</v>
      </c>
      <c r="I7" s="51">
        <f>SUMIF('Match Log'!$D$4:$D$810,$B7,'Match Log'!$K$4:$K$810)</f>
        <v>28.910364341667837</v>
      </c>
      <c r="J7" s="51">
        <f>SUMIF('Match Log'!$D$4:$D$810,$B7,'Match Log'!$L$4:$L$810)</f>
        <v>36</v>
      </c>
      <c r="K7" s="49">
        <f>SUMPRODUCT(--(COUNTIFS('Match Log'!$D$4:$D$810,$B7,'Match Log'!$C$4:$C$810,Lists!$C$2:$C$24)&gt;0))</f>
        <v>4</v>
      </c>
      <c r="L7" s="49" t="str">
        <f>IF($D7=0,"No games",IF(AND($D7&gt;='Guide &amp; Settings'!$C$45,$K7&gt;='Guide &amp; Settings'!$C$46),"Eligible","Provisional"))</f>
        <v>Eligible</v>
      </c>
      <c r="M7" s="48">
        <f>IFERROR(INDEX(Calcs!$C$7:$C$20,MATCH($B7,Calcs!$A$7:$A$20,0)),"")</f>
        <v>1052.513885880174</v>
      </c>
      <c r="N7" s="48">
        <f>MAX($C$5:$C$18)-$C7</f>
        <v>157.17821681917576</v>
      </c>
      <c r="O7" s="49" t="str">
        <f>IFERROR(INDEX(Calcs!$H$7:$H$20,MATCH($B7,Calcs!$A$7:$A$20,0)),"")</f>
        <v>L3</v>
      </c>
      <c r="P7" s="49" t="str">
        <f>IFERROR(INDEX(Calcs!$I$7:$I$20,MATCH($B7,Calcs!$A$7:$A$20,0)),"")</f>
        <v>WWLLL</v>
      </c>
      <c r="Q7" s="49" t="str">
        <f>IFERROR(IF(INDEX(Calcs!$L$7:$L$20,MATCH($B7,Calcs!$A$7:$A$20,0))&gt;0,"▲"&amp;INDEX(Calcs!$L$7:$L$20,MATCH($B7,Calcs!$A$7:$A$20,0)),IF(INDEX(Calcs!$L$7:$L$20,MATCH($B7,Calcs!$A$7:$A$20,0))&lt;0,"▼"&amp;ABS(INDEX(Calcs!$L$7:$L$20,MATCH($B7,Calcs!$A$7:$A$20,0))),"–")),"")</f>
        <v>▲2</v>
      </c>
      <c r="R7" s="49" t="str">
        <f>IFERROR(IF(INDEX(Calcs!$P$7:$P$20,MATCH($B7,Calcs!$A$7:$A$20,0))=0,"—",TEXT(INDEX(Calcs!$P$7:$P$20,MATCH($B7,Calcs!$A$7:$A$20,0)),"d mmm")),"")</f>
        <v>15 Jun</v>
      </c>
      <c r="S7" s="49">
        <f>IFERROR(ROUND(INDEX(Calcs!$Q$7:$Q$20,MATCH($B7,Calcs!$A$7:$A$20,0)),1),"")</f>
        <v>3.9</v>
      </c>
      <c r="T7" s="49" t="str">
        <f>IFERROR(INDEX(Calcs!$T$7:$T$20,MATCH($B7,Calcs!$A$7:$A$20,0)),"")</f>
        <v>At risk</v>
      </c>
      <c r="U7">
        <f>IFERROR(MAX(0,ROUND($C7-INDEX(Calcs!$S$7:$S$20,MATCH($B7,Calcs!$A$7:$A$20,0)),0)),0)</f>
        <v>0</v>
      </c>
      <c r="V7" s="51">
        <f>IFERROR(ROUND(INDEX(Calcs!$S$7:$S$20,MATCH($B7,Calcs!$A$7:$A$20,0)),0),"")</f>
        <v>1085</v>
      </c>
      <c r="W7" s="49" t="str">
        <f>IFERROR(INDEX(Calcs!$AF$7:$AF$20,MATCH($B7,Calcs!$A$7:$A$20,0)),"")</f>
        <v>Strong</v>
      </c>
      <c r="X7" s="51">
        <f>IFERROR(ROUND(SUMIF('Poker Stake Ledger'!$C$18:$C$137,$B7,'Poker Stake Ledger'!$K$18:$K$137),1),0)</f>
        <v>0</v>
      </c>
    </row>
    <row r="8" spans="1:24" ht="15" customHeight="1" x14ac:dyDescent="0.2">
      <c r="A8" s="46">
        <f>ROW()-4</f>
        <v>4</v>
      </c>
      <c r="B8" s="47" t="str">
        <f>IFERROR(INDEX(Calcs!$A$7:$A$20,MATCH(LARGE(Calcs!$AI$7:$AI$20,ROW()-4),Calcs!$AI$7:$AI$20,0)),"")</f>
        <v>Josh</v>
      </c>
      <c r="C8" s="48">
        <f>INDEX(Engine!$B$2:$B$15,MATCH($B8,Engine!$A$2:$A$15,0))+SUMIF('Poker Stake Ledger'!$C$18:$C$137,$B8,'Poker Stake Ledger'!$K$18:$K$137)</f>
        <v>1074.7649297202038</v>
      </c>
      <c r="D8" s="49">
        <f>COUNTIF('Match Log'!$D$4:$D$810,$B8)</f>
        <v>37</v>
      </c>
      <c r="E8" s="49">
        <f>COUNTIFS('Match Log'!$D$4:$D$810,$B8,'Match Log'!$E$4:$E$810,"Win")</f>
        <v>21</v>
      </c>
      <c r="F8" s="49">
        <f>$D8-$E8</f>
        <v>16</v>
      </c>
      <c r="G8" s="50">
        <f>IF($D8=0,"",$E8/$D8)</f>
        <v>0.56756756756756754</v>
      </c>
      <c r="H8" s="51">
        <f>SUMIF('Match Log'!$D$4:$D$810,$B8,'Match Log'!$J$4:$J$810)</f>
        <v>-9.3770504606252292</v>
      </c>
      <c r="I8" s="51">
        <f>SUMIF('Match Log'!$D$4:$D$810,$B8,'Match Log'!$K$4:$K$810)</f>
        <v>39.141980180828995</v>
      </c>
      <c r="J8" s="51">
        <f>SUMIF('Match Log'!$D$4:$D$810,$B8,'Match Log'!$L$4:$L$810)</f>
        <v>45</v>
      </c>
      <c r="K8" s="49">
        <f>SUMPRODUCT(--(COUNTIFS('Match Log'!$D$4:$D$810,$B8,'Match Log'!$C$4:$C$810,Lists!$C$2:$C$24)&gt;0))</f>
        <v>12</v>
      </c>
      <c r="L8" s="49" t="str">
        <f>IF($D8=0,"No games",IF(AND($D8&gt;='Guide &amp; Settings'!$C$45,$K8&gt;='Guide &amp; Settings'!$C$46),"Eligible","Provisional"))</f>
        <v>Eligible</v>
      </c>
      <c r="M8" s="48">
        <f>IFERROR(INDEX(Calcs!$C$7:$C$20,MATCH($B8,Calcs!$A$7:$A$20,0)),"")</f>
        <v>1066.1867071320421</v>
      </c>
      <c r="N8" s="48">
        <f>MAX($C$5:$C$18)-$C8</f>
        <v>167.30366844982336</v>
      </c>
      <c r="O8" s="49" t="str">
        <f>IFERROR(INDEX(Calcs!$H$7:$H$20,MATCH($B8,Calcs!$A$7:$A$20,0)),"")</f>
        <v>L2</v>
      </c>
      <c r="P8" s="49" t="str">
        <f>IFERROR(INDEX(Calcs!$I$7:$I$20,MATCH($B8,Calcs!$A$7:$A$20,0)),"")</f>
        <v>LLWLL</v>
      </c>
      <c r="Q8" s="49" t="str">
        <f>IFERROR(IF(INDEX(Calcs!$L$7:$L$20,MATCH($B8,Calcs!$A$7:$A$20,0))&gt;0,"▲"&amp;INDEX(Calcs!$L$7:$L$20,MATCH($B8,Calcs!$A$7:$A$20,0)),IF(INDEX(Calcs!$L$7:$L$20,MATCH($B8,Calcs!$A$7:$A$20,0))&lt;0,"▼"&amp;ABS(INDEX(Calcs!$L$7:$L$20,MATCH($B8,Calcs!$A$7:$A$20,0))),"–")),"")</f>
        <v>▼2</v>
      </c>
      <c r="R8" s="49" t="str">
        <f>IFERROR(IF(INDEX(Calcs!$P$7:$P$20,MATCH($B8,Calcs!$A$7:$A$20,0))=0,"—",TEXT(INDEX(Calcs!$P$7:$P$20,MATCH($B8,Calcs!$A$7:$A$20,0)),"d mmm")),"")</f>
        <v>12 Jul</v>
      </c>
      <c r="S8" s="49">
        <f>IFERROR(ROUND(INDEX(Calcs!$Q$7:$Q$20,MATCH($B8,Calcs!$A$7:$A$20,0)),1),"")</f>
        <v>0</v>
      </c>
      <c r="T8" s="49" t="str">
        <f>IFERROR(INDEX(Calcs!$T$7:$T$20,MATCH($B8,Calcs!$A$7:$A$20,0)),"")</f>
        <v>Active</v>
      </c>
      <c r="U8">
        <f>IFERROR(MAX(0,ROUND($C8-INDEX(Calcs!$S$7:$S$20,MATCH($B8,Calcs!$A$7:$A$20,0)),0)),0)</f>
        <v>0</v>
      </c>
      <c r="V8" s="51">
        <f>IFERROR(ROUND(INDEX(Calcs!$S$7:$S$20,MATCH($B8,Calcs!$A$7:$A$20,0)),0),"")</f>
        <v>1075</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Oscar</v>
      </c>
      <c r="C9" s="48">
        <f>INDEX(Engine!$B$2:$B$15,MATCH($B9,Engine!$A$2:$A$15,0))+SUMIF('Poker Stake Ledger'!$C$18:$C$137,$B9,'Poker Stake Ledger'!$K$18:$K$137)</f>
        <v>1058.6657209484931</v>
      </c>
      <c r="D9" s="49">
        <f>COUNTIF('Match Log'!$D$4:$D$810,$B9)</f>
        <v>44</v>
      </c>
      <c r="E9" s="49">
        <f>COUNTIFS('Match Log'!$D$4:$D$810,$B9,'Match Log'!$E$4:$E$810,"Win")</f>
        <v>20</v>
      </c>
      <c r="F9" s="49">
        <f>$D9-$E9</f>
        <v>24</v>
      </c>
      <c r="G9" s="50">
        <f>IF($D9=0,"",$E9/$D9)</f>
        <v>0.45454545454545453</v>
      </c>
      <c r="H9" s="51">
        <f>SUMIF('Match Log'!$D$4:$D$810,$B9,'Match Log'!$J$4:$J$810)</f>
        <v>-4.5119528516974903</v>
      </c>
      <c r="I9" s="51">
        <f>SUMIF('Match Log'!$D$4:$D$810,$B9,'Match Log'!$K$4:$K$810)</f>
        <v>18.177673800191201</v>
      </c>
      <c r="J9" s="51">
        <f>SUMIF('Match Log'!$D$4:$D$810,$B9,'Match Log'!$L$4:$L$810)</f>
        <v>45</v>
      </c>
      <c r="K9" s="49">
        <f>SUMPRODUCT(--(COUNTIFS('Match Log'!$D$4:$D$810,$B9,'Match Log'!$C$4:$C$810,Lists!$C$2:$C$24)&gt;0))</f>
        <v>8</v>
      </c>
      <c r="L9" s="49" t="str">
        <f>IF($D9=0,"No games",IF(AND($D9&gt;='Guide &amp; Settings'!$C$45,$K9&gt;='Guide &amp; Settings'!$C$46),"Eligible","Provisional"))</f>
        <v>Eligible</v>
      </c>
      <c r="M9" s="48">
        <f>IFERROR(INDEX(Calcs!$C$7:$C$20,MATCH($B9,Calcs!$A$7:$A$20,0)),"")</f>
        <v>1077.7480989807311</v>
      </c>
      <c r="N9" s="48">
        <f>MAX($C$5:$C$18)-$C9</f>
        <v>183.40287722153403</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▼1</v>
      </c>
      <c r="R9" s="49" t="str">
        <f>IFERROR(IF(INDEX(Calcs!$P$7:$P$20,MATCH($B9,Calcs!$A$7:$A$20,0))=0,"—",TEXT(INDEX(Calcs!$P$7:$P$20,MATCH($B9,Calcs!$A$7:$A$20,0)),"d mmm")),"")</f>
        <v>6 Jul</v>
      </c>
      <c r="S9" s="49">
        <f>IFERROR(ROUND(INDEX(Calcs!$Q$7:$Q$20,MATCH($B9,Calcs!$A$7:$A$20,0)),1),"")</f>
        <v>0.9</v>
      </c>
      <c r="T9" s="49" t="str">
        <f>IFERROR(INDEX(Calcs!$T$7:$T$20,MATCH($B9,Calcs!$A$7:$A$20,0)),"")</f>
        <v>Active</v>
      </c>
      <c r="U9">
        <f>IFERROR(MAX(0,ROUND($C9-INDEX(Calcs!$S$7:$S$20,MATCH($B9,Calcs!$A$7:$A$20,0)),0)),0)</f>
        <v>0</v>
      </c>
      <c r="V9" s="51">
        <f>IFERROR(ROUND(INDEX(Calcs!$S$7:$S$20,MATCH($B9,Calcs!$A$7:$A$20,0)),0),"")</f>
        <v>1059</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Dylan A</v>
      </c>
      <c r="C10" s="48">
        <f>INDEX(Engine!$B$2:$B$15,MATCH($B10,Engine!$A$2:$A$15,0))+SUMIF('Poker Stake Ledger'!$C$18:$C$137,$B10,'Poker Stake Ledger'!$K$18:$K$137)</f>
        <v>1052.4204774129059</v>
      </c>
      <c r="D10" s="49">
        <f>COUNTIF('Match Log'!$D$4:$D$810,$B10)</f>
        <v>5</v>
      </c>
      <c r="E10" s="49">
        <f>COUNTIFS('Match Log'!$D$4:$D$810,$B10,'Match Log'!$E$4:$E$810,"Win")</f>
        <v>3</v>
      </c>
      <c r="F10" s="49">
        <f>$D10-$E10</f>
        <v>2</v>
      </c>
      <c r="G10" s="50">
        <f>IF($D10=0,"",$E10/$D10)</f>
        <v>0.6</v>
      </c>
      <c r="H10" s="51">
        <f>SUMIF('Match Log'!$D$4:$D$810,$B10,'Match Log'!$J$4:$J$810)</f>
        <v>17.555186246898288</v>
      </c>
      <c r="I10" s="51">
        <f>SUMIF('Match Log'!$D$4:$D$810,$B10,'Match Log'!$K$4:$K$810)</f>
        <v>18.865291166007616</v>
      </c>
      <c r="J10" s="51">
        <f>SUMIF('Match Log'!$D$4:$D$810,$B10,'Match Log'!$L$4:$L$810)</f>
        <v>16</v>
      </c>
      <c r="K10" s="49">
        <f>SUMPRODUCT(--(COUNTIFS('Match Log'!$D$4:$D$810,$B10,'Match Log'!$C$4:$C$810,Lists!$C$2:$C$24)&gt;0))</f>
        <v>2</v>
      </c>
      <c r="L10" s="49" t="str">
        <f>IF($D10=0,"No games",IF(AND($D10&gt;='Guide &amp; Settings'!$C$45,$K10&gt;='Guide &amp; Settings'!$C$46),"Eligible","Provisional"))</f>
        <v>Provisional</v>
      </c>
      <c r="M10" s="48">
        <f>IFERROR(INDEX(Calcs!$C$7:$C$20,MATCH($B10,Calcs!$A$7:$A$20,0)),"")</f>
        <v>1067.5552089809428</v>
      </c>
      <c r="N10" s="48">
        <f>MAX($C$5:$C$18)-$C10</f>
        <v>189.64812075712121</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▲2</v>
      </c>
      <c r="R10" s="49" t="str">
        <f>IFERROR(IF(INDEX(Calcs!$P$7:$P$20,MATCH($B10,Calcs!$A$7:$A$20,0))=0,"—",TEXT(INDEX(Calcs!$P$7:$P$20,MATCH($B10,Calcs!$A$7:$A$20,0)),"d mmm")),"")</f>
        <v>11 Jul</v>
      </c>
      <c r="S10" s="49">
        <f>IFERROR(ROUND(INDEX(Calcs!$Q$7:$Q$20,MATCH($B10,Calcs!$A$7:$A$20,0)),1),"")</f>
        <v>0.1</v>
      </c>
      <c r="T10" s="49" t="str">
        <f>IFERROR(INDEX(Calcs!$T$7:$T$20,MATCH($B10,Calcs!$A$7:$A$20,0)),"")</f>
        <v>Active</v>
      </c>
      <c r="U10">
        <f>IFERROR(MAX(0,ROUND($C10-INDEX(Calcs!$S$7:$S$20,MATCH($B10,Calcs!$A$7:$A$20,0)),0)),0)</f>
        <v>0</v>
      </c>
      <c r="V10" s="51">
        <f>IFERROR(ROUND(INDEX(Calcs!$S$7:$S$20,MATCH($B10,Calcs!$A$7:$A$20,0)),0),"")</f>
        <v>1052</v>
      </c>
      <c r="W10" s="49" t="str">
        <f>IFERROR(INDEX(Calcs!$AF$7:$AF$20,MATCH($B10,Calcs!$A$7:$A$20,0)),"")</f>
        <v>Mid</v>
      </c>
      <c r="X10" s="51">
        <f>IFERROR(ROUND(SUMIF('Poker Stake Ledger'!$C$18:$C$137,$B10,'Poker Stake Ledger'!$K$18:$K$137),1),0)</f>
        <v>0</v>
      </c>
    </row>
    <row r="11" spans="1:24" ht="15" customHeight="1" x14ac:dyDescent="0.2">
      <c r="A11" s="46">
        <f>ROW()-4</f>
        <v>7</v>
      </c>
      <c r="B11" s="47" t="str">
        <f>IFERROR(INDEX(Calcs!$A$7:$A$20,MATCH(LARGE(Calcs!$AI$7:$AI$20,ROW()-4),Calcs!$AI$7:$AI$20,0)),"")</f>
        <v>Daniel (Ferret)</v>
      </c>
      <c r="C11" s="48">
        <f>INDEX(Engine!$B$2:$B$15,MATCH($B11,Engine!$A$2:$A$15,0))+SUMIF('Poker Stake Ledger'!$C$18:$C$137,$B11,'Poker Stake Ledger'!$K$18:$K$137)</f>
        <v>1040.9424995855443</v>
      </c>
      <c r="D11" s="49">
        <f>COUNTIF('Match Log'!$D$4:$D$810,$B11)</f>
        <v>58</v>
      </c>
      <c r="E11" s="49">
        <f>COUNTIFS('Match Log'!$D$4:$D$810,$B11,'Match Log'!$E$4:$E$810,"Win")</f>
        <v>25</v>
      </c>
      <c r="F11" s="49">
        <f>$D11-$E11</f>
        <v>33</v>
      </c>
      <c r="G11" s="50">
        <f>IF($D11=0,"",$E11/$D11)</f>
        <v>0.43103448275862066</v>
      </c>
      <c r="H11" s="51">
        <f>SUMIF('Match Log'!$D$4:$D$810,$B11,'Match Log'!$J$4:$J$810)</f>
        <v>-28.194750844236502</v>
      </c>
      <c r="I11" s="51">
        <f>SUMIF('Match Log'!$D$4:$D$810,$B11,'Match Log'!$K$4:$K$810)</f>
        <v>17.137250429780579</v>
      </c>
      <c r="J11" s="51">
        <f>SUMIF('Match Log'!$D$4:$D$810,$B11,'Match Log'!$L$4:$L$810)</f>
        <v>52</v>
      </c>
      <c r="K11" s="49">
        <f>SUMPRODUCT(--(COUNTIFS('Match Log'!$D$4:$D$810,$B11,'Match Log'!$C$4:$C$810,Lists!$C$2:$C$24)&gt;0))</f>
        <v>14</v>
      </c>
      <c r="L11" s="49" t="str">
        <f>IF($D11=0,"No games",IF(AND($D11&gt;='Guide &amp; Settings'!$C$45,$K11&gt;='Guide &amp; Settings'!$C$46),"Eligible","Provisional"))</f>
        <v>Eligible</v>
      </c>
      <c r="M11" s="48">
        <f>IFERROR(INDEX(Calcs!$C$7:$C$20,MATCH($B11,Calcs!$A$7:$A$20,0)),"")</f>
        <v>1095.1116103283528</v>
      </c>
      <c r="N11" s="48">
        <f>MAX($C$5:$C$18)-$C11</f>
        <v>201.12609858448286</v>
      </c>
      <c r="O11" s="49" t="str">
        <f>IFERROR(INDEX(Calcs!$H$7:$H$20,MATCH($B11,Calcs!$A$7:$A$20,0)),"")</f>
        <v>L1</v>
      </c>
      <c r="P11" s="49" t="str">
        <f>IFERROR(INDEX(Calcs!$I$7:$I$20,MATCH($B11,Calcs!$A$7:$A$20,0)),"")</f>
        <v>LLWWL</v>
      </c>
      <c r="Q11" s="49" t="str">
        <f>IFERROR(IF(INDEX(Calcs!$L$7:$L$20,MATCH($B11,Calcs!$A$7:$A$20,0))&gt;0,"▲"&amp;INDEX(Calcs!$L$7:$L$20,MATCH($B11,Calcs!$A$7:$A$20,0)),IF(INDEX(Calcs!$L$7:$L$20,MATCH($B11,Calcs!$A$7:$A$20,0))&lt;0,"▼"&amp;ABS(INDEX(Calcs!$L$7:$L$20,MATCH($B11,Calcs!$A$7:$A$20,0))),"–")),"")</f>
        <v>▼1</v>
      </c>
      <c r="R11" s="49" t="str">
        <f>IFERROR(IF(INDEX(Calcs!$P$7:$P$20,MATCH($B11,Calcs!$A$7:$A$20,0))=0,"—",TEXT(INDEX(Calcs!$P$7:$P$20,MATCH($B11,Calcs!$A$7:$A$20,0)),"d mmm")),"")</f>
        <v>12 Jul</v>
      </c>
      <c r="S11" s="49">
        <f>IFERROR(ROUND(INDEX(Calcs!$Q$7:$Q$20,MATCH($B11,Calcs!$A$7:$A$20,0)),1),"")</f>
        <v>0</v>
      </c>
      <c r="T11" s="49" t="str">
        <f>IFERROR(INDEX(Calcs!$T$7:$T$20,MATCH($B11,Calcs!$A$7:$A$20,0)),"")</f>
        <v>Active</v>
      </c>
      <c r="U11">
        <f>IFERROR(MAX(0,ROUND($C11-INDEX(Calcs!$S$7:$S$20,MATCH($B11,Calcs!$A$7:$A$20,0)),0)),0)</f>
        <v>0</v>
      </c>
      <c r="V11" s="51">
        <f>IFERROR(ROUND(INDEX(Calcs!$S$7:$S$20,MATCH($B11,Calcs!$A$7:$A$20,0)),0),"")</f>
        <v>1041</v>
      </c>
      <c r="W11" s="49" t="str">
        <f>IFERROR(INDEX(Calcs!$AF$7:$AF$20,MATCH($B11,Calcs!$A$7:$A$20,0)),"")</f>
        <v>Strong</v>
      </c>
      <c r="X11" s="51">
        <f>IFERROR(ROUND(SUMIF('Poker Stake Ledger'!$C$18:$C$137,$B11,'Poker Stake Ledger'!$K$18:$K$137),1),0)</f>
        <v>0</v>
      </c>
    </row>
    <row r="12" spans="1:24" ht="15" customHeight="1" x14ac:dyDescent="0.2">
      <c r="A12" s="46">
        <f>ROW()-4</f>
        <v>8</v>
      </c>
      <c r="B12" s="47" t="str">
        <f>IFERROR(INDEX(Calcs!$A$7:$A$20,MATCH(LARGE(Calcs!$AI$7:$AI$20,ROW()-4),Calcs!$AI$7:$AI$20,0)),"")</f>
        <v>Aaron</v>
      </c>
      <c r="C12" s="48">
        <f>INDEX(Engine!$B$2:$B$15,MATCH($B12,Engine!$A$2:$A$15,0))+SUMIF('Poker Stake Ledger'!$C$18:$C$137,$B12,'Poker Stake Ledger'!$K$18:$K$137)</f>
        <v>1039.5689964868309</v>
      </c>
      <c r="D12" s="49">
        <f>COUNTIF('Match Log'!$D$4:$D$810,$B12)</f>
        <v>46</v>
      </c>
      <c r="E12" s="49">
        <f>COUNTIFS('Match Log'!$D$4:$D$810,$B12,'Match Log'!$E$4:$E$810,"Win")</f>
        <v>24</v>
      </c>
      <c r="F12" s="49">
        <f>$D12-$E12</f>
        <v>22</v>
      </c>
      <c r="G12" s="50">
        <f>IF($D12=0,"",$E12/$D12)</f>
        <v>0.52173913043478259</v>
      </c>
      <c r="H12" s="51">
        <f>SUMIF('Match Log'!$D$4:$D$810,$B12,'Match Log'!$J$4:$J$810)</f>
        <v>-24.593272335699204</v>
      </c>
      <c r="I12" s="51">
        <f>SUMIF('Match Log'!$D$4:$D$810,$B12,'Match Log'!$K$4:$K$810)</f>
        <v>33.162268822530379</v>
      </c>
      <c r="J12" s="51">
        <f>SUMIF('Match Log'!$D$4:$D$810,$B12,'Match Log'!$L$4:$L$810)</f>
        <v>31</v>
      </c>
      <c r="K12" s="49">
        <f>SUMPRODUCT(--(COUNTIFS('Match Log'!$D$4:$D$810,$B12,'Match Log'!$C$4:$C$810,Lists!$C$2:$C$24)&gt;0))</f>
        <v>10</v>
      </c>
      <c r="L12" s="49" t="str">
        <f>IF($D12=0,"No games",IF(AND($D12&gt;='Guide &amp; Settings'!$C$45,$K12&gt;='Guide &amp; Settings'!$C$46),"Eligible","Provisional"))</f>
        <v>Eligible</v>
      </c>
      <c r="M12" s="48">
        <f>IFERROR(INDEX(Calcs!$C$7:$C$20,MATCH($B12,Calcs!$A$7:$A$20,0)),"")</f>
        <v>1073.7174151785355</v>
      </c>
      <c r="N12" s="48">
        <f>MAX($C$5:$C$18)-$C12</f>
        <v>202.49960168319626</v>
      </c>
      <c r="O12" s="49" t="str">
        <f>IFERROR(INDEX(Calcs!$H$7:$H$20,MATCH($B12,Calcs!$A$7:$A$20,0)),"")</f>
        <v>L3</v>
      </c>
      <c r="P12" s="49" t="str">
        <f>IFERROR(INDEX(Calcs!$I$7:$I$20,MATCH($B12,Calcs!$A$7:$A$20,0)),"")</f>
        <v>WWLLL</v>
      </c>
      <c r="Q12" s="49" t="str">
        <f>IFERROR(IF(INDEX(Calcs!$L$7:$L$20,MATCH($B12,Calcs!$A$7:$A$20,0))&gt;0,"▲"&amp;INDEX(Calcs!$L$7:$L$20,MATCH($B12,Calcs!$A$7:$A$20,0)),IF(INDEX(Calcs!$L$7:$L$20,MATCH($B12,Calcs!$A$7:$A$20,0))&lt;0,"▼"&amp;ABS(INDEX(Calcs!$L$7:$L$20,MATCH($B12,Calcs!$A$7:$A$20,0))),"–")),"")</f>
        <v>▼5</v>
      </c>
      <c r="R12" s="49" t="str">
        <f>IFERROR(IF(INDEX(Calcs!$P$7:$P$20,MATCH($B12,Calcs!$A$7:$A$20,0))=0,"—",TEXT(INDEX(Calcs!$P$7:$P$20,MATCH($B12,Calcs!$A$7:$A$20,0)),"d mmm")),"")</f>
        <v>11 Jul</v>
      </c>
      <c r="S12" s="49">
        <f>IFERROR(ROUND(INDEX(Calcs!$Q$7:$Q$20,MATCH($B12,Calcs!$A$7:$A$20,0)),1),"")</f>
        <v>0.1</v>
      </c>
      <c r="T12" s="49" t="str">
        <f>IFERROR(INDEX(Calcs!$T$7:$T$20,MATCH($B12,Calcs!$A$7:$A$20,0)),"")</f>
        <v>Active</v>
      </c>
      <c r="U12">
        <f>IFERROR(MAX(0,ROUND($C12-INDEX(Calcs!$S$7:$S$20,MATCH($B12,Calcs!$A$7:$A$20,0)),0)),0)</f>
        <v>0</v>
      </c>
      <c r="V12" s="51">
        <f>IFERROR(ROUND(INDEX(Calcs!$S$7:$S$20,MATCH($B12,Calcs!$A$7:$A$20,0)),0),"")</f>
        <v>1040</v>
      </c>
      <c r="W12" s="49" t="str">
        <f>IFERROR(INDEX(Calcs!$AF$7:$AF$20,MATCH($B12,Calcs!$A$7:$A$20,0)),"")</f>
        <v>Strong</v>
      </c>
      <c r="X12" s="51">
        <f>IFERROR(ROUND(SUMIF('Poker Stake Ledger'!$C$18:$C$137,$B12,'Poker Stake Ledger'!$K$18:$K$137),1),0)</f>
        <v>0</v>
      </c>
    </row>
    <row r="13" spans="1:24" ht="15" customHeight="1" x14ac:dyDescent="0.2">
      <c r="A13" s="46">
        <f>ROW()-4</f>
        <v>9</v>
      </c>
      <c r="B13" s="47" t="str">
        <f>IFERROR(INDEX(Calcs!$A$7:$A$20,MATCH(LARGE(Calcs!$AI$7:$AI$20,ROW()-4),Calcs!$AI$7:$AI$20,0)),"")</f>
        <v>Beau</v>
      </c>
      <c r="C13" s="48">
        <f>INDEX(Engine!$B$2:$B$15,MATCH($B13,Engine!$A$2:$A$15,0))+SUMIF('Poker Stake Ledger'!$C$18:$C$137,$B13,'Poker Stake Ledger'!$K$18:$K$137)</f>
        <v>1029.2201908859522</v>
      </c>
      <c r="D13" s="49">
        <f>COUNTIF('Match Log'!$D$4:$D$810,$B13)</f>
        <v>10</v>
      </c>
      <c r="E13" s="49">
        <f>COUNTIFS('Match Log'!$D$4:$D$810,$B13,'Match Log'!$E$4:$E$810,"Win")</f>
        <v>5</v>
      </c>
      <c r="F13" s="49">
        <f>$D13-$E13</f>
        <v>5</v>
      </c>
      <c r="G13" s="50">
        <f>IF($D13=0,"",$E13/$D13)</f>
        <v>0.5</v>
      </c>
      <c r="H13" s="51">
        <f>SUMIF('Match Log'!$D$4:$D$810,$B13,'Match Log'!$J$4:$J$810)</f>
        <v>-14.85952397332303</v>
      </c>
      <c r="I13" s="51">
        <f>SUMIF('Match Log'!$D$4:$D$810,$B13,'Match Log'!$K$4:$K$810)</f>
        <v>16.079714859275072</v>
      </c>
      <c r="J13" s="51">
        <f>SUMIF('Match Log'!$D$4:$D$810,$B13,'Match Log'!$L$4:$L$810)</f>
        <v>28</v>
      </c>
      <c r="K13" s="49">
        <f>SUMPRODUCT(--(COUNTIFS('Match Log'!$D$4:$D$810,$B13,'Match Log'!$C$4:$C$810,Lists!$C$2:$C$24)&gt;0))</f>
        <v>3</v>
      </c>
      <c r="L13" s="49" t="str">
        <f>IF($D13=0,"No games",IF(AND($D13&gt;='Guide &amp; Settings'!$C$45,$K13&gt;='Guide &amp; Settings'!$C$46),"Eligible","Provisional"))</f>
        <v>Eligible</v>
      </c>
      <c r="M13" s="48">
        <f>IFERROR(INDEX(Calcs!$C$7:$C$20,MATCH($B13,Calcs!$A$7:$A$20,0)),"")</f>
        <v>1062.4937579945872</v>
      </c>
      <c r="N13" s="48">
        <f>MAX($C$5:$C$18)-$C13</f>
        <v>212.84840728407494</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3.9</v>
      </c>
      <c r="T13" s="49" t="str">
        <f>IFERROR(INDEX(Calcs!$T$7:$T$20,MATCH($B13,Calcs!$A$7:$A$20,0)),"")</f>
        <v>At risk</v>
      </c>
      <c r="U13">
        <f>IFERROR(MAX(0,ROUND($C13-INDEX(Calcs!$S$7:$S$20,MATCH($B13,Calcs!$A$7:$A$20,0)),0)),0)</f>
        <v>0</v>
      </c>
      <c r="V13" s="51">
        <f>IFERROR(ROUND(INDEX(Calcs!$S$7:$S$20,MATCH($B13,Calcs!$A$7:$A$20,0)),0),"")</f>
        <v>1029</v>
      </c>
      <c r="W13" s="49" t="str">
        <f>IFERROR(INDEX(Calcs!$AF$7:$AF$20,MATCH($B13,Calcs!$A$7:$A$20,0)),"")</f>
        <v>Mid</v>
      </c>
      <c r="X13" s="51">
        <f>IFERROR(ROUND(SUMIF('Poker Stake Ledger'!$C$18:$C$137,$B13,'Poker Stake Ledger'!$K$18:$K$137),1),0)</f>
        <v>0</v>
      </c>
    </row>
    <row r="14" spans="1:24" ht="15" customHeight="1" x14ac:dyDescent="0.2">
      <c r="A14" s="46">
        <f>ROW()-4</f>
        <v>10</v>
      </c>
      <c r="B14" s="47" t="str">
        <f>IFERROR(INDEX(Calcs!$A$7:$A$20,MATCH(LARGE(Calcs!$AI$7:$AI$20,ROW()-4),Calcs!$AI$7:$AI$20,0)),"")</f>
        <v>Chase</v>
      </c>
      <c r="C14" s="48">
        <f>INDEX(Engine!$B$2:$B$15,MATCH($B14,Engine!$A$2:$A$15,0))+SUMIF('Poker Stake Ledger'!$C$18:$C$137,$B14,'Poker Stake Ledger'!$K$18:$K$137)</f>
        <v>1016.7837867075796</v>
      </c>
      <c r="D14" s="49">
        <f>COUNTIF('Match Log'!$D$4:$D$810,$B14)</f>
        <v>10</v>
      </c>
      <c r="E14" s="49">
        <f>COUNTIFS('Match Log'!$D$4:$D$810,$B14,'Match Log'!$E$4:$E$810,"Win")</f>
        <v>5</v>
      </c>
      <c r="F14" s="49">
        <f>$D14-$E14</f>
        <v>5</v>
      </c>
      <c r="G14" s="50">
        <f>IF($D14=0,"",$E14/$D14)</f>
        <v>0.5</v>
      </c>
      <c r="H14" s="51">
        <f>SUMIF('Match Log'!$D$4:$D$810,$B14,'Match Log'!$J$4:$J$810)</f>
        <v>7.3695009932937108</v>
      </c>
      <c r="I14" s="51">
        <f>SUMIF('Match Log'!$D$4:$D$810,$B14,'Match Log'!$K$4:$K$810)</f>
        <v>-1.5857142857142881</v>
      </c>
      <c r="J14" s="51">
        <f>SUMIF('Match Log'!$D$4:$D$810,$B14,'Match Log'!$L$4:$L$810)</f>
        <v>11</v>
      </c>
      <c r="K14" s="49">
        <f>SUMPRODUCT(--(COUNTIFS('Match Log'!$D$4:$D$810,$B14,'Match Log'!$C$4:$C$810,Lists!$C$2:$C$24)&gt;0))</f>
        <v>6</v>
      </c>
      <c r="L14" s="49" t="str">
        <f>IF($D14=0,"No games",IF(AND($D14&gt;='Guide &amp; Settings'!$C$45,$K14&gt;='Guide &amp; Settings'!$C$46),"Eligible","Provisional"))</f>
        <v>Eligible</v>
      </c>
      <c r="M14" s="48">
        <f>IFERROR(INDEX(Calcs!$C$7:$C$20,MATCH($B14,Calcs!$A$7:$A$20,0)),"")</f>
        <v>1039.5222292786875</v>
      </c>
      <c r="N14" s="48">
        <f>MAX($C$5:$C$18)-$C14</f>
        <v>225.28481146244758</v>
      </c>
      <c r="O14" s="49" t="str">
        <f>IFERROR(INDEX(Calcs!$H$7:$H$20,MATCH($B14,Calcs!$A$7:$A$20,0)),"")</f>
        <v>W1</v>
      </c>
      <c r="P14" s="49" t="str">
        <f>IFERROR(INDEX(Calcs!$I$7:$I$20,MATCH($B14,Calcs!$A$7:$A$20,0)),"")</f>
        <v>WLLLW</v>
      </c>
      <c r="Q14" s="49" t="str">
        <f>IFERROR(IF(INDEX(Calcs!$L$7:$L$20,MATCH($B14,Calcs!$A$7:$A$20,0))&gt;0,"▲"&amp;INDEX(Calcs!$L$7:$L$20,MATCH($B14,Calcs!$A$7:$A$20,0)),IF(INDEX(Calcs!$L$7:$L$20,MATCH($B14,Calcs!$A$7:$A$20,0))&lt;0,"▼"&amp;ABS(INDEX(Calcs!$L$7:$L$20,MATCH($B14,Calcs!$A$7:$A$20,0))),"–")),"")</f>
        <v>–</v>
      </c>
      <c r="R14" s="49" t="str">
        <f>IFERROR(IF(INDEX(Calcs!$P$7:$P$20,MATCH($B14,Calcs!$A$7:$A$20,0))=0,"—",TEXT(INDEX(Calcs!$P$7:$P$20,MATCH($B14,Calcs!$A$7:$A$20,0)),"d mmm")),"")</f>
        <v>15 Jun</v>
      </c>
      <c r="S14" s="49">
        <f>IFERROR(ROUND(INDEX(Calcs!$Q$7:$Q$20,MATCH($B14,Calcs!$A$7:$A$20,0)),1),"")</f>
        <v>3.9</v>
      </c>
      <c r="T14" s="49" t="str">
        <f>IFERROR(INDEX(Calcs!$T$7:$T$20,MATCH($B14,Calcs!$A$7:$A$20,0)),"")</f>
        <v>At risk</v>
      </c>
      <c r="U14">
        <f>IFERROR(MAX(0,ROUND($C14-INDEX(Calcs!$S$7:$S$20,MATCH($B14,Calcs!$A$7:$A$20,0)),0)),0)</f>
        <v>0</v>
      </c>
      <c r="V14" s="51">
        <f>IFERROR(ROUND(INDEX(Calcs!$S$7:$S$20,MATCH($B14,Calcs!$A$7:$A$20,0)),0),"")</f>
        <v>1017</v>
      </c>
      <c r="W14" s="49" t="str">
        <f>IFERROR(INDEX(Calcs!$AF$7:$AF$20,MATCH($B14,Calcs!$A$7:$A$20,0)),"")</f>
        <v>Mid</v>
      </c>
      <c r="X14" s="51">
        <f>IFERROR(ROUND(SUMIF('Poker Stake Ledger'!$C$18:$C$137,$B14,'Poker Stake Ledger'!$K$18:$K$137),1),0)</f>
        <v>0</v>
      </c>
    </row>
    <row r="15" spans="1:24" ht="15" customHeight="1" x14ac:dyDescent="0.2">
      <c r="A15" s="46">
        <f>ROW()-4</f>
        <v>11</v>
      </c>
      <c r="B15" s="47" t="str">
        <f>IFERROR(INDEX(Calcs!$A$7:$A$20,MATCH(LARGE(Calcs!$AI$7:$AI$20,ROW()-4),Calcs!$AI$7:$AI$20,0)),"")</f>
        <v>Dean M</v>
      </c>
      <c r="C15" s="48">
        <f>INDEX(Engine!$B$2:$B$15,MATCH($B15,Engine!$A$2:$A$15,0))+SUMIF('Poker Stake Ledger'!$C$18:$C$137,$B15,'Poker Stake Ledger'!$K$18:$K$137)</f>
        <v>1009.1869692929786</v>
      </c>
      <c r="D15" s="49">
        <f>COUNTIF('Match Log'!$D$4:$D$810,$B15)</f>
        <v>6</v>
      </c>
      <c r="E15" s="49">
        <f>COUNTIFS('Match Log'!$D$4:$D$810,$B15,'Match Log'!$E$4:$E$810,"Win")</f>
        <v>2</v>
      </c>
      <c r="F15" s="49">
        <f>$D15-$E15</f>
        <v>4</v>
      </c>
      <c r="G15" s="50">
        <f>IF($D15=0,"",$E15/$D15)</f>
        <v>0.33333333333333331</v>
      </c>
      <c r="H15" s="51">
        <f>SUMIF('Match Log'!$D$4:$D$810,$B15,'Match Log'!$J$4:$J$810)</f>
        <v>-18.279903252741974</v>
      </c>
      <c r="I15" s="51">
        <f>SUMIF('Match Log'!$D$4:$D$810,$B15,'Match Log'!$K$4:$K$810)</f>
        <v>7.4668725457205358</v>
      </c>
      <c r="J15" s="51">
        <f>SUMIF('Match Log'!$D$4:$D$810,$B15,'Match Log'!$L$4:$L$810)</f>
        <v>20</v>
      </c>
      <c r="K15" s="49">
        <f>SUMPRODUCT(--(COUNTIFS('Match Log'!$D$4:$D$810,$B15,'Match Log'!$C$4:$C$810,Lists!$C$2:$C$24)&gt;0))</f>
        <v>2</v>
      </c>
      <c r="L15" s="49" t="str">
        <f>IF($D15=0,"No games",IF(AND($D15&gt;='Guide &amp; Settings'!$C$45,$K15&gt;='Guide &amp; Settings'!$C$46),"Eligible","Provisional"))</f>
        <v>Provisional</v>
      </c>
      <c r="M15" s="48">
        <f>IFERROR(INDEX(Calcs!$C$7:$C$20,MATCH($B15,Calcs!$A$7:$A$20,0)),"")</f>
        <v>1054.9224607974536</v>
      </c>
      <c r="N15" s="48">
        <f>MAX($C$5:$C$18)-$C15</f>
        <v>232.88162887704857</v>
      </c>
      <c r="O15" s="49" t="str">
        <f>IFERROR(INDEX(Calcs!$H$7:$H$20,MATCH($B15,Calcs!$A$7:$A$20,0)),"")</f>
        <v>L1</v>
      </c>
      <c r="P15" s="49" t="str">
        <f>IFERROR(INDEX(Calcs!$I$7:$I$20,MATCH($B15,Calcs!$A$7:$A$20,0)),"")</f>
        <v>LLWWL</v>
      </c>
      <c r="Q15" s="49" t="str">
        <f>IFERROR(IF(INDEX(Calcs!$L$7:$L$20,MATCH($B15,Calcs!$A$7:$A$20,0))&gt;0,"▲"&amp;INDEX(Calcs!$L$7:$L$20,MATCH($B15,Calcs!$A$7:$A$20,0)),IF(INDEX(Calcs!$L$7:$L$20,MATCH($B15,Calcs!$A$7:$A$20,0))&lt;0,"▼"&amp;ABS(INDEX(Calcs!$L$7:$L$20,MATCH($B15,Calcs!$A$7:$A$20,0))),"–")),"")</f>
        <v>▼4</v>
      </c>
      <c r="R15" s="49" t="str">
        <f>IFERROR(IF(INDEX(Calcs!$P$7:$P$20,MATCH($B15,Calcs!$A$7:$A$20,0))=0,"—",TEXT(INDEX(Calcs!$P$7:$P$20,MATCH($B15,Calcs!$A$7:$A$20,0)),"d mmm")),"")</f>
        <v>11 Jul</v>
      </c>
      <c r="S15" s="49">
        <f>IFERROR(ROUND(INDEX(Calcs!$Q$7:$Q$20,MATCH($B15,Calcs!$A$7:$A$20,0)),1),"")</f>
        <v>0.1</v>
      </c>
      <c r="T15" s="49" t="str">
        <f>IFERROR(INDEX(Calcs!$T$7:$T$20,MATCH($B15,Calcs!$A$7:$A$20,0)),"")</f>
        <v>Active</v>
      </c>
      <c r="U15">
        <f>IFERROR(MAX(0,ROUND($C15-INDEX(Calcs!$S$7:$S$20,MATCH($B15,Calcs!$A$7:$A$20,0)),0)),0)</f>
        <v>0</v>
      </c>
      <c r="V15" s="51">
        <f>IFERROR(ROUND(INDEX(Calcs!$S$7:$S$20,MATCH($B15,Calcs!$A$7:$A$20,0)),0),"")</f>
        <v>1009</v>
      </c>
      <c r="W15" s="49" t="str">
        <f>IFERROR(INDEX(Calcs!$AF$7:$AF$20,MATCH($B15,Calcs!$A$7:$A$20,0)),"")</f>
        <v>Developing</v>
      </c>
      <c r="X15" s="51">
        <f>IFERROR(ROUND(SUMIF('Poker Stake Ledger'!$C$18:$C$137,$B15,'Poker Stake Ledger'!$K$18:$K$137),1),0)</f>
        <v>0</v>
      </c>
    </row>
    <row r="16" spans="1:24" ht="15" customHeight="1" x14ac:dyDescent="0.2">
      <c r="A16" s="46">
        <f>ROW()-4</f>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$D16-$E16</f>
        <v>0</v>
      </c>
      <c r="G16" s="50" t="str">
        <f>IF($D16=0,"",$E16/$D16)</f>
        <v/>
      </c>
      <c r="H16" s="51">
        <f>SUMIF('Match Log'!$D$4:$D$810,$B16,'Match Log'!$J$4:$J$810)</f>
        <v>0</v>
      </c>
      <c r="I16" s="51">
        <f>SUMIF('Match Log'!$D$4:$D$810,$B16,'Match Log'!$K$4:$K$810)</f>
        <v>0</v>
      </c>
      <c r="J16" s="51">
        <f>SUMIF('Match Log'!$D$4:$D$810,$B16,'Match Log'!$L$4:$L$810)</f>
        <v>0</v>
      </c>
      <c r="K16" s="49">
        <f>SUMPRODUCT(--(COUNTIFS('Match Log'!$D$4:$D$810,$B16,'Match Log'!$C$4:$C$810,Lists!$C$2:$C$24)&gt;0))</f>
        <v>0</v>
      </c>
      <c r="L16" s="49" t="str">
        <f>IF($D16=0,"No games",IF(AND($D16&gt;='Guide &amp; Settings'!$C$45,$K16&gt;='Guide &amp; Settings'!$C$46),"Eligible","Provisional"))</f>
        <v>No games</v>
      </c>
      <c r="M16" s="48" t="str">
        <f>IFERROR(INDEX(Calcs!$C$7:$C$20,MATCH($B16,Calcs!$A$7:$A$20,0)),"")</f>
        <v/>
      </c>
      <c r="N16" s="48">
        <f>MAX($C$5:$C$18)-$C16</f>
        <v>242.06859817002714</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973.18894572037368</v>
      </c>
      <c r="D17" s="49">
        <f>COUNTIF('Match Log'!$D$4:$D$810,$B17)</f>
        <v>15</v>
      </c>
      <c r="E17" s="49">
        <f>COUNTIFS('Match Log'!$D$4:$D$810,$B17,'Match Log'!$E$4:$E$810,"Win")</f>
        <v>4</v>
      </c>
      <c r="F17" s="49">
        <f>$D17-$E17</f>
        <v>11</v>
      </c>
      <c r="G17" s="50">
        <f>IF($D17=0,"",$E17/$D17)</f>
        <v>0.26666666666666666</v>
      </c>
      <c r="H17" s="51">
        <f>SUMIF('Match Log'!$D$4:$D$810,$B17,'Match Log'!$J$4:$J$810)</f>
        <v>-47.273602017876598</v>
      </c>
      <c r="I17" s="51">
        <f>SUMIF('Match Log'!$D$4:$D$810,$B17,'Match Log'!$K$4:$K$810)</f>
        <v>-10.537452261749699</v>
      </c>
      <c r="J17" s="51">
        <f>SUMIF('Match Log'!$D$4:$D$810,$B17,'Match Log'!$L$4:$L$810)</f>
        <v>31</v>
      </c>
      <c r="K17" s="49">
        <f>SUMPRODUCT(--(COUNTIFS('Match Log'!$D$4:$D$810,$B17,'Match Log'!$C$4:$C$810,Lists!$C$2:$C$24)&gt;0))</f>
        <v>4</v>
      </c>
      <c r="L17" s="49" t="str">
        <f>IF($D17=0,"No games",IF(AND($D17&gt;='Guide &amp; Settings'!$C$45,$K17&gt;='Guide &amp; Settings'!$C$46),"Eligible","Provisional"))</f>
        <v>Eligible</v>
      </c>
      <c r="M17" s="48">
        <f>IFERROR(INDEX(Calcs!$C$7:$C$20,MATCH($B17,Calcs!$A$7:$A$20,0)),"")</f>
        <v>1064.2349518732756</v>
      </c>
      <c r="N17" s="48">
        <f>MAX($C$5:$C$18)-$C17</f>
        <v>268.87965244965346</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v>
      </c>
      <c r="R17" s="49" t="str">
        <f>IFERROR(IF(INDEX(Calcs!$P$7:$P$20,MATCH($B17,Calcs!$A$7:$A$20,0))=0,"—",TEXT(INDEX(Calcs!$P$7:$P$20,MATCH($B17,Calcs!$A$7:$A$20,0)),"d mmm")),"")</f>
        <v>11 Jul</v>
      </c>
      <c r="S17" s="49">
        <f>IFERROR(ROUND(INDEX(Calcs!$Q$7:$Q$20,MATCH($B17,Calcs!$A$7:$A$20,0)),1),"")</f>
        <v>0.1</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893.03675187725173</v>
      </c>
      <c r="D18" s="49">
        <f>COUNTIF('Match Log'!$D$4:$D$810,$B18)</f>
        <v>13</v>
      </c>
      <c r="E18" s="49">
        <f>COUNTIFS('Match Log'!$D$4:$D$810,$B18,'Match Log'!$E$4:$E$810,"Win")</f>
        <v>2</v>
      </c>
      <c r="F18" s="49">
        <f>$D18-$E18</f>
        <v>11</v>
      </c>
      <c r="G18" s="50">
        <f>IF($D18=0,"",$E18/$D18)</f>
        <v>0.15384615384615385</v>
      </c>
      <c r="H18" s="51">
        <f>SUMIF('Match Log'!$D$4:$D$810,$B18,'Match Log'!$J$4:$J$810)</f>
        <v>-81.350145088592967</v>
      </c>
      <c r="I18" s="51">
        <f>SUMIF('Match Log'!$D$4:$D$810,$B18,'Match Log'!$K$4:$K$810)</f>
        <v>-33.613103034155223</v>
      </c>
      <c r="J18" s="51">
        <f>SUMIF('Match Log'!$D$4:$D$810,$B18,'Match Log'!$L$4:$L$810)</f>
        <v>8</v>
      </c>
      <c r="K18" s="49">
        <f>SUMPRODUCT(--(COUNTIFS('Match Log'!$D$4:$D$810,$B18,'Match Log'!$C$4:$C$810,Lists!$C$2:$C$24)&gt;0))</f>
        <v>3</v>
      </c>
      <c r="L18" s="49" t="str">
        <f>IF($D18=0,"No games",IF(AND($D18&gt;='Guide &amp; Settings'!$C$45,$K18&gt;='Guide &amp; Settings'!$C$46),"Eligible","Provisional"))</f>
        <v>Eligible</v>
      </c>
      <c r="M18" s="48">
        <f>IFERROR(INDEX(Calcs!$C$7:$C$20,MATCH($B18,Calcs!$A$7:$A$20,0)),"")</f>
        <v>1062.7718916503929</v>
      </c>
      <c r="N18" s="48">
        <f>MAX($C$5:$C$18)-$C18</f>
        <v>349.03184629277541</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3.9</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2</v>
      </c>
      <c r="D5" s="56" t="s">
        <v>181</v>
      </c>
      <c r="E5" s="36">
        <f>COUNTIFS('Match Log'!$D$4:$D$810,$B$3,'Match Log'!$C$4:$C$810,$D5)</f>
        <v>2</v>
      </c>
      <c r="F5" s="36">
        <f>COUNTIFS('Match Log'!$D$4:$D$810,$B$3,'Match Log'!$C$4:$C$810,$D5,'Match Log'!$E$4:$E$810,"Win")</f>
        <v>2</v>
      </c>
      <c r="G5" s="57">
        <f t="shared" ref="G5:G23" si="0">IF($E5=0,"",$F5/$E5)</f>
        <v>1</v>
      </c>
      <c r="H5" s="58">
        <f>IFERROR(IF($E5=0,"",INDEX('Sport Records'!$B$100:$O$122,MATCH($D5,'Sport Records'!$A$100:$A$122,0),MATCH($B$3,'Sport Records'!$B$99:$O$99,0))),"")</f>
        <v>1030.5304984710244</v>
      </c>
    </row>
    <row r="6" spans="1:8" ht="15" customHeight="1" x14ac:dyDescent="0.2">
      <c r="A6" s="54" t="s">
        <v>69</v>
      </c>
      <c r="B6" s="59">
        <f>IFERROR(INDEX(Dashboard!$C$5:$C$18,MATCH($B$3,Dashboard!$B$5:$B$18,0)),"")</f>
        <v>1107.2617518410073</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IFERROR(INDEX(Dashboard!$E$5:$E$18,MATCH($B$3,Dashboard!$B$5:$B$18,0))&amp;"–"&amp;INDEX(Dashboard!$F$5:$F$18,MATCH($B$3,Dashboard!$B$5:$B$18,0)),"")</f>
        <v>33–37</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IFERROR(INDEX(Dashboard!$G$5:$G$18,MATCH($B$3,Dashboard!$B$5:$B$18,0)),"")</f>
        <v>0.47142857142857142</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IFERROR(INDEX(Dashboard!$D$5:$D$18,MATCH($B$3,Dashboard!$B$5:$B$18,0)),"")</f>
        <v>70</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1052.3400492745759</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W3</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LLWWW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134.80684632901989</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IFERROR(TEXT(INDEX(Calcs!$P$7:$P$20,MATCH($B$3,Calcs!$A$7:$A$20,0)),"d mmm")&amp;"  ·  "&amp;INDEX(Calcs!$T$7:$T$20,MATCH($B$3,Calcs!$A$7:$A$20,0)),"")</f>
        <v>11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Records'!$B$100:$O$122,MATCH($D18,'Sport Records'!$A$100:$A$122,0),MATCH($B$3,'Sport Records'!$B$99:$O$99,0))),"")</f>
        <v>904.65647514018167</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IFERROR(ROUND(INDEX(Calcs!$AB$7:$AB$20,MATCH($B$3,Calcs!$A$7:$A$20,0)),0),"")</f>
        <v>72</v>
      </c>
      <c r="D23" s="56" t="s">
        <v>208</v>
      </c>
      <c r="E23" s="36">
        <f>COUNTIFS('Match Log'!$D$4:$D$810,$B$3,'Match Log'!$C$4:$C$810,$D23)</f>
        <v>9</v>
      </c>
      <c r="F23" s="36">
        <f>COUNTIFS('Match Log'!$D$4:$D$810,$B$3,'Match Log'!$C$4:$C$810,$D23,'Match Log'!$E$4:$E$810,"Win")</f>
        <v>6</v>
      </c>
      <c r="G23" s="57">
        <f t="shared" si="0"/>
        <v>0.66666666666666663</v>
      </c>
      <c r="H23" s="58">
        <f>IFERROR(IF($E23=0,"",INDEX('Sport Records'!$B$100:$O$122,MATCH($D23,'Sport Records'!$A$100:$A$122,0),MATCH($B$3,'Sport Records'!$B$99:$O$99,0))),"")</f>
        <v>1023.5480887963037</v>
      </c>
    </row>
    <row r="24" spans="1:8" x14ac:dyDescent="0.2">
      <c r="A24" s="64" t="s">
        <v>209</v>
      </c>
      <c r="B24" s="65">
        <f>IFERROR(ROUND(INDEX(Calcs!$W$7:$W$20,MATCH($B$3,Calcs!$A$7:$A$20,0)),0),"")</f>
        <v>77</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IFERROR(ROUND(INDEX(Calcs!$X$7:$X$20,MATCH($B$3,Calcs!$A$7:$A$20,0)),0),"")</f>
        <v>47</v>
      </c>
      <c r="D25" s="56" t="s">
        <v>447</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IFERROR(ROUND(INDEX(Calcs!$Y$7:$Y$20,MATCH($B$3,Calcs!$A$7:$A$20,0)),0),"")</f>
        <v>100</v>
      </c>
      <c r="D26" s="56" t="s">
        <v>448</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60</v>
      </c>
      <c r="D27" s="56" t="s">
        <v>449</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63</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7" t="s">
        <v>215</v>
      </c>
      <c r="B2" s="157"/>
      <c r="C2" s="157"/>
      <c r="D2" s="157"/>
      <c r="E2" s="157"/>
      <c r="F2" s="157"/>
      <c r="G2" s="157"/>
      <c r="H2" s="157"/>
      <c r="I2" s="157"/>
      <c r="J2" s="157"/>
      <c r="K2" s="157"/>
      <c r="L2" s="157"/>
      <c r="M2" s="157"/>
      <c r="N2" s="157"/>
      <c r="O2" s="157"/>
    </row>
    <row r="3" spans="1:15" ht="38" customHeight="1" x14ac:dyDescent="0.2">
      <c r="A3" s="158" t="s">
        <v>216</v>
      </c>
      <c r="B3" s="158"/>
      <c r="C3" s="158"/>
      <c r="D3" s="158"/>
      <c r="E3" s="158"/>
      <c r="F3" s="158"/>
      <c r="G3" s="158"/>
      <c r="H3" s="158"/>
      <c r="I3" s="158"/>
      <c r="J3" s="158"/>
      <c r="K3" s="158"/>
      <c r="L3" s="158"/>
      <c r="M3" s="158"/>
      <c r="N3" s="158"/>
      <c r="O3" s="158"/>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60" t="s">
        <v>221</v>
      </c>
      <c r="B2" s="160"/>
      <c r="C2" s="160"/>
      <c r="D2" s="160"/>
      <c r="E2" s="160"/>
      <c r="F2" s="160"/>
      <c r="G2" s="160"/>
      <c r="H2" s="160"/>
      <c r="I2" s="160"/>
      <c r="J2" s="160"/>
      <c r="K2" s="160"/>
      <c r="L2" s="160"/>
      <c r="M2" s="160"/>
      <c r="N2" s="160"/>
      <c r="O2" s="160"/>
      <c r="P2" s="160"/>
      <c r="Q2" s="160"/>
    </row>
    <row r="3" spans="1:18" ht="18.75" customHeight="1" x14ac:dyDescent="0.2">
      <c r="A3" s="73" t="s">
        <v>222</v>
      </c>
      <c r="C3" s="1">
        <f>SUM($P$8:$P$30)</f>
        <v>156</v>
      </c>
    </row>
    <row r="4" spans="1:18" ht="18.75" customHeight="1" x14ac:dyDescent="0.2">
      <c r="A4" s="73" t="s">
        <v>223</v>
      </c>
      <c r="C4" s="161" t="str">
        <f>INDEX($A$83:$A$96,MATCH(MAX($S$83:$S$96),$S$83:$S$96,0))</f>
        <v>Dean B</v>
      </c>
      <c r="D4" s="161"/>
      <c r="E4" s="161"/>
      <c r="F4" s="161"/>
      <c r="G4" s="161"/>
    </row>
    <row r="6" spans="1:18" ht="15" customHeight="1" x14ac:dyDescent="0.2">
      <c r="A6" s="159" t="s">
        <v>224</v>
      </c>
      <c r="B6" s="159"/>
      <c r="C6" s="159"/>
      <c r="D6" s="159"/>
      <c r="E6" s="159"/>
      <c r="F6" s="159"/>
      <c r="G6" s="159"/>
      <c r="H6" s="159"/>
      <c r="I6" s="159"/>
      <c r="J6" s="159"/>
      <c r="K6" s="159"/>
      <c r="L6" s="159"/>
      <c r="M6" s="159"/>
      <c r="N6" s="159"/>
      <c r="O6" s="159"/>
      <c r="P6" s="159"/>
      <c r="Q6" s="159"/>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0</v>
      </c>
      <c r="E8" s="77">
        <f>COUNTIFS('Match Log'!$D$4:$D$819,E$7,'Match Log'!$C$4:$C$819,$A8)</f>
        <v>0</v>
      </c>
      <c r="F8" s="77">
        <f>COUNTIFS('Match Log'!$D$4:$D$819,F$7,'Match Log'!$C$4:$C$819,$A8)</f>
        <v>0</v>
      </c>
      <c r="G8" s="77">
        <f>COUNTIFS('Match Log'!$D$4:$D$819,G$7,'Match Log'!$C$4:$C$819,$A8)</f>
        <v>2</v>
      </c>
      <c r="H8" s="77">
        <f>COUNTIFS('Match Log'!$D$4:$D$819,H$7,'Match Log'!$C$4:$C$819,$A8)</f>
        <v>0</v>
      </c>
      <c r="I8" s="77">
        <f>COUNTIFS('Match Log'!$D$4:$D$819,I$7,'Match Log'!$C$4:$C$819,$A8)</f>
        <v>2</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2</v>
      </c>
      <c r="Q8" s="79" t="str">
        <f t="shared" ref="Q8:Q26" si="0">IF($P8=0,"—",INDEX($B$32:$O$32,MATCH(MAX($B33:$O33),$B33:$O33,0)))</f>
        <v>Shawn</v>
      </c>
      <c r="R8" s="78">
        <f t="shared" ref="R8:R26" si="1">IF($P8=0,"—",MAX($B33:$O33))</f>
        <v>2</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4</v>
      </c>
      <c r="E21" s="77">
        <f>COUNTIFS('Match Log'!$D$4:$D$819,E$7,'Match Log'!$C$4:$C$819,$A21)</f>
        <v>0</v>
      </c>
      <c r="F21" s="77">
        <f>COUNTIFS('Match Log'!$D$4:$D$819,F$7,'Match Log'!$C$4:$C$819,$A21)</f>
        <v>0</v>
      </c>
      <c r="G21" s="77">
        <f>COUNTIFS('Match Log'!$D$4:$D$819,G$7,'Match Log'!$C$4:$C$819,$A21)</f>
        <v>7</v>
      </c>
      <c r="H21" s="77">
        <f>COUNTIFS('Match Log'!$D$4:$D$819,H$7,'Match Log'!$C$4:$C$819,$A21)</f>
        <v>0</v>
      </c>
      <c r="I21" s="77">
        <f>COUNTIFS('Match Log'!$D$4:$D$819,I$7,'Match Log'!$C$4:$C$819,$A21)</f>
        <v>7</v>
      </c>
      <c r="J21" s="77">
        <f>COUNTIFS('Match Log'!$D$4:$D$819,J$7,'Match Log'!$C$4:$C$819,$A21)</f>
        <v>0</v>
      </c>
      <c r="K21" s="77">
        <f>COUNTIFS('Match Log'!$D$4:$D$819,K$7,'Match Log'!$C$4:$C$819,$A21)</f>
        <v>0</v>
      </c>
      <c r="L21" s="77">
        <f>COUNTIFS('Match Log'!$D$4:$D$819,L$7,'Match Log'!$C$4:$C$819,$A21)</f>
        <v>7</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14</v>
      </c>
      <c r="Q21" s="79" t="str">
        <f t="shared" si="0"/>
        <v>Oscar</v>
      </c>
      <c r="R21" s="78">
        <f t="shared" si="1"/>
        <v>5</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2</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2</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3</v>
      </c>
      <c r="Q23" s="79" t="str">
        <f t="shared" si="0"/>
        <v>Daniel (Ferret)</v>
      </c>
      <c r="R23" s="78">
        <f t="shared" si="1"/>
        <v>2</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0</v>
      </c>
      <c r="E26" s="77">
        <f>COUNTIFS('Match Log'!$D$4:$D$819,E$7,'Match Log'!$C$4:$C$819,$A26)</f>
        <v>0</v>
      </c>
      <c r="F26" s="77">
        <f>COUNTIFS('Match Log'!$D$4:$D$819,F$7,'Match Log'!$C$4:$C$819,$A26)</f>
        <v>4</v>
      </c>
      <c r="G26" s="77">
        <f>COUNTIFS('Match Log'!$D$4:$D$819,G$7,'Match Log'!$C$4:$C$819,$A26)</f>
        <v>9</v>
      </c>
      <c r="H26" s="77">
        <f>COUNTIFS('Match Log'!$D$4:$D$819,H$7,'Match Log'!$C$4:$C$819,$A26)</f>
        <v>0</v>
      </c>
      <c r="I26" s="77">
        <f>COUNTIFS('Match Log'!$D$4:$D$819,I$7,'Match Log'!$C$4:$C$819,$A26)</f>
        <v>4</v>
      </c>
      <c r="J26" s="77">
        <f>COUNTIFS('Match Log'!$D$4:$D$819,J$7,'Match Log'!$C$4:$C$819,$A26)</f>
        <v>0</v>
      </c>
      <c r="K26" s="77">
        <f>COUNTIFS('Match Log'!$D$4:$D$819,K$7,'Match Log'!$C$4:$C$819,$A26)</f>
        <v>0</v>
      </c>
      <c r="L26" s="77">
        <f>COUNTIFS('Match Log'!$D$4:$D$819,L$7,'Match Log'!$C$4:$C$819,$A26)</f>
        <v>0</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13</v>
      </c>
      <c r="Q26" s="79" t="str">
        <f t="shared" si="0"/>
        <v>Shawn</v>
      </c>
      <c r="R26" s="78">
        <f t="shared" si="1"/>
        <v>6</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447</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448</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449</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9" t="s">
        <v>226</v>
      </c>
      <c r="B31" s="159"/>
      <c r="C31" s="159"/>
      <c r="D31" s="159"/>
      <c r="E31" s="159"/>
      <c r="F31" s="159"/>
      <c r="G31" s="159"/>
      <c r="H31" s="159"/>
      <c r="I31" s="159"/>
      <c r="J31" s="159"/>
      <c r="K31" s="159"/>
      <c r="L31" s="159"/>
      <c r="M31" s="159"/>
      <c r="N31" s="159"/>
      <c r="O31" s="159"/>
      <c r="P31" s="159"/>
      <c r="Q31" s="159"/>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0</v>
      </c>
      <c r="E33" s="77">
        <f>COUNTIFS('Match Log'!$D$4:$D$819,E$32,'Match Log'!$C$4:$C$819,$A33,'Match Log'!$E$4:$E$819,"Win")</f>
        <v>0</v>
      </c>
      <c r="F33" s="77">
        <f>COUNTIFS('Match Log'!$D$4:$D$819,F$32,'Match Log'!$C$4:$C$819,$A33,'Match Log'!$E$4:$E$819,"Win")</f>
        <v>0</v>
      </c>
      <c r="G33" s="77">
        <f>COUNTIFS('Match Log'!$D$4:$D$819,G$32,'Match Log'!$C$4:$C$819,$A33,'Match Log'!$E$4:$E$819,"Win")</f>
        <v>2</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4</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5</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2</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0</v>
      </c>
      <c r="E51" s="77">
        <f>COUNTIFS('Match Log'!$D$4:$D$819,E$32,'Match Log'!$C$4:$C$819,$A51,'Match Log'!$E$4:$E$819,"Win")</f>
        <v>0</v>
      </c>
      <c r="F51" s="77">
        <f>COUNTIFS('Match Log'!$D$4:$D$819,F$32,'Match Log'!$C$4:$C$819,$A51,'Match Log'!$E$4:$E$819,"Win")</f>
        <v>2</v>
      </c>
      <c r="G51" s="77">
        <f>COUNTIFS('Match Log'!$D$4:$D$819,G$32,'Match Log'!$C$4:$C$819,$A51,'Match Log'!$E$4:$E$819,"Win")</f>
        <v>6</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0</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447</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448</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449</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9" t="s">
        <v>227</v>
      </c>
      <c r="B56" s="159"/>
      <c r="C56" s="159"/>
      <c r="D56" s="159"/>
      <c r="E56" s="159"/>
      <c r="F56" s="159"/>
      <c r="G56" s="159"/>
      <c r="H56" s="159"/>
      <c r="I56" s="159"/>
      <c r="J56" s="159"/>
      <c r="K56" s="159"/>
      <c r="L56" s="159"/>
      <c r="M56" s="159"/>
      <c r="N56" s="159"/>
      <c r="O56" s="159"/>
      <c r="P56" s="159"/>
      <c r="Q56" s="159"/>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t="str">
        <f t="shared" si="2"/>
        <v/>
      </c>
      <c r="E58" s="80" t="str">
        <f t="shared" si="2"/>
        <v/>
      </c>
      <c r="F58" s="80" t="str">
        <f t="shared" si="2"/>
        <v/>
      </c>
      <c r="G58" s="80">
        <f t="shared" si="2"/>
        <v>1</v>
      </c>
      <c r="H58" s="80" t="str">
        <f t="shared" si="2"/>
        <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t="str">
        <f t="shared" si="15"/>
        <v/>
      </c>
      <c r="G71" s="80">
        <f t="shared" si="15"/>
        <v>0</v>
      </c>
      <c r="H71" s="80" t="str">
        <f t="shared" si="15"/>
        <v/>
      </c>
      <c r="I71" s="80">
        <f t="shared" si="15"/>
        <v>0.2857142857142857</v>
      </c>
      <c r="J71" s="80" t="str">
        <f t="shared" si="15"/>
        <v/>
      </c>
      <c r="K71" s="80" t="str">
        <f t="shared" si="15"/>
        <v/>
      </c>
      <c r="L71" s="80">
        <f t="shared" si="15"/>
        <v>0.7142857142857143</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0.5</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t="str">
        <f t="shared" si="20"/>
        <v/>
      </c>
      <c r="E76" s="80" t="str">
        <f t="shared" si="20"/>
        <v/>
      </c>
      <c r="F76" s="80">
        <f t="shared" si="20"/>
        <v>0.5</v>
      </c>
      <c r="G76" s="80">
        <f t="shared" si="20"/>
        <v>0.66666666666666663</v>
      </c>
      <c r="H76" s="80" t="str">
        <f t="shared" si="20"/>
        <v/>
      </c>
      <c r="I76" s="80">
        <f t="shared" si="20"/>
        <v>0.5</v>
      </c>
      <c r="J76" s="80" t="str">
        <f t="shared" si="20"/>
        <v/>
      </c>
      <c r="K76" s="80" t="str">
        <f t="shared" si="20"/>
        <v/>
      </c>
      <c r="L76" s="80" t="str">
        <f t="shared" si="20"/>
        <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447</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448</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449</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9" t="s">
        <v>228</v>
      </c>
      <c r="B81" s="159"/>
      <c r="C81" s="159"/>
      <c r="D81" s="159"/>
      <c r="E81" s="159"/>
      <c r="F81" s="159"/>
      <c r="G81" s="159"/>
      <c r="H81" s="159"/>
      <c r="I81" s="159"/>
      <c r="J81" s="159"/>
      <c r="K81" s="159"/>
      <c r="L81" s="159"/>
      <c r="M81" s="159"/>
      <c r="N81" s="159"/>
      <c r="O81" s="159"/>
      <c r="P81" s="159"/>
      <c r="Q81" s="159"/>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IFERROR(INDEX(Engine!$B$2:$B$15,MATCH($A83,Engine!$A$2:$A$15,0)),"")</f>
        <v>1242.0685981700271</v>
      </c>
      <c r="G83" s="77" t="str">
        <f>IF($B83=0,"No games",IF(AND($B83&gt;='Guide &amp; Settings'!$C$45,$C83&gt;='Guide &amp; Settings'!$C$46),"Eligible","Provisional"))</f>
        <v>Eligible</v>
      </c>
      <c r="S83" s="83">
        <f t="shared" ref="S83:S96" si="26">IF($G83="Eligible",$F83,-1)</f>
        <v>1242.0685981700271</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IFERROR(INDEX(Engine!$B$2:$B$15,MATCH($A84,Engine!$A$2:$A$15,0)),"")</f>
        <v>1074.7649297202038</v>
      </c>
      <c r="G84" s="77" t="str">
        <f>IF($B84=0,"No games",IF(AND($B84&gt;='Guide &amp; Settings'!$C$45,$C84&gt;='Guide &amp; Settings'!$C$46),"Eligible","Provisional"))</f>
        <v>Eligible</v>
      </c>
      <c r="S84" s="83">
        <f t="shared" si="26"/>
        <v>1074.7649297202038</v>
      </c>
    </row>
    <row r="85" spans="1:19" ht="15" customHeight="1" x14ac:dyDescent="0.2">
      <c r="A85" s="76" t="s">
        <v>168</v>
      </c>
      <c r="B85" s="77">
        <f>COUNTIF('Match Log'!$D$4:$D$819,$A85)</f>
        <v>17</v>
      </c>
      <c r="C85" s="77">
        <f>SUMPRODUCT(--(COUNTIFS('Match Log'!$D$4:$D$819,$A85,'Match Log'!$C$4:$C$819,Lists!$C$2:$C$24)&gt;0))</f>
        <v>4</v>
      </c>
      <c r="D85" s="77">
        <f>COUNTIFS('Match Log'!$D$4:$D$819,$A85,'Match Log'!$E$4:$E$819,"Win")</f>
        <v>10</v>
      </c>
      <c r="E85" s="80">
        <f t="shared" si="25"/>
        <v>0.58823529411764708</v>
      </c>
      <c r="F85" s="82">
        <f>IFERROR(INDEX(Engine!$B$2:$B$15,MATCH($A85,Engine!$A$2:$A$15,0)),"")</f>
        <v>1084.8903813508514</v>
      </c>
      <c r="G85" s="77" t="str">
        <f>IF($B85=0,"No games",IF(AND($B85&gt;='Guide &amp; Settings'!$C$45,$C85&gt;='Guide &amp; Settings'!$C$46),"Eligible","Provisional"))</f>
        <v>Eligible</v>
      </c>
      <c r="S85" s="83">
        <f t="shared" si="26"/>
        <v>1084.8903813508514</v>
      </c>
    </row>
    <row r="86" spans="1:19" ht="15" customHeight="1" x14ac:dyDescent="0.2">
      <c r="A86" s="76" t="s">
        <v>169</v>
      </c>
      <c r="B86" s="77">
        <f>COUNTIF('Match Log'!$D$4:$D$819,$A86)</f>
        <v>44</v>
      </c>
      <c r="C86" s="77">
        <f>SUMPRODUCT(--(COUNTIFS('Match Log'!$D$4:$D$819,$A86,'Match Log'!$C$4:$C$819,Lists!$C$2:$C$24)&gt;0))</f>
        <v>8</v>
      </c>
      <c r="D86" s="77">
        <f>COUNTIFS('Match Log'!$D$4:$D$819,$A86,'Match Log'!$E$4:$E$819,"Win")</f>
        <v>20</v>
      </c>
      <c r="E86" s="80">
        <f t="shared" si="25"/>
        <v>0.45454545454545453</v>
      </c>
      <c r="F86" s="82">
        <f>IFERROR(INDEX(Engine!$B$2:$B$15,MATCH($A86,Engine!$A$2:$A$15,0)),"")</f>
        <v>1058.6657209484931</v>
      </c>
      <c r="G86" s="77" t="str">
        <f>IF($B86=0,"No games",IF(AND($B86&gt;='Guide &amp; Settings'!$C$45,$C86&gt;='Guide &amp; Settings'!$C$46),"Eligible","Provisional"))</f>
        <v>Eligible</v>
      </c>
      <c r="S86" s="83">
        <f t="shared" si="26"/>
        <v>1058.6657209484931</v>
      </c>
    </row>
    <row r="87" spans="1:19" ht="15" customHeight="1" x14ac:dyDescent="0.2">
      <c r="A87" s="76" t="s">
        <v>170</v>
      </c>
      <c r="B87" s="77">
        <f>COUNTIF('Match Log'!$D$4:$D$819,$A87)</f>
        <v>58</v>
      </c>
      <c r="C87" s="77">
        <f>SUMPRODUCT(--(COUNTIFS('Match Log'!$D$4:$D$819,$A87,'Match Log'!$C$4:$C$819,Lists!$C$2:$C$24)&gt;0))</f>
        <v>14</v>
      </c>
      <c r="D87" s="77">
        <f>COUNTIFS('Match Log'!$D$4:$D$819,$A87,'Match Log'!$E$4:$E$819,"Win")</f>
        <v>25</v>
      </c>
      <c r="E87" s="80">
        <f t="shared" si="25"/>
        <v>0.43103448275862066</v>
      </c>
      <c r="F87" s="82">
        <f>IFERROR(INDEX(Engine!$B$2:$B$15,MATCH($A87,Engine!$A$2:$A$15,0)),"")</f>
        <v>1040.9424995855443</v>
      </c>
      <c r="G87" s="77" t="str">
        <f>IF($B87=0,"No games",IF(AND($B87&gt;='Guide &amp; Settings'!$C$45,$C87&gt;='Guide &amp; Settings'!$C$46),"Eligible","Provisional"))</f>
        <v>Eligible</v>
      </c>
      <c r="S87" s="83">
        <f t="shared" si="26"/>
        <v>1040.9424995855443</v>
      </c>
    </row>
    <row r="88" spans="1:19" ht="15" customHeight="1" x14ac:dyDescent="0.2">
      <c r="A88" s="76" t="s">
        <v>138</v>
      </c>
      <c r="B88" s="77">
        <f>COUNTIF('Match Log'!$D$4:$D$819,$A88)</f>
        <v>46</v>
      </c>
      <c r="C88" s="77">
        <f>SUMPRODUCT(--(COUNTIFS('Match Log'!$D$4:$D$819,$A88,'Match Log'!$C$4:$C$819,Lists!$C$2:$C$24)&gt;0))</f>
        <v>10</v>
      </c>
      <c r="D88" s="77">
        <f>COUNTIFS('Match Log'!$D$4:$D$819,$A88,'Match Log'!$E$4:$E$819,"Win")</f>
        <v>24</v>
      </c>
      <c r="E88" s="80">
        <f t="shared" si="25"/>
        <v>0.52173913043478259</v>
      </c>
      <c r="F88" s="82">
        <f>IFERROR(INDEX(Engine!$B$2:$B$15,MATCH($A88,Engine!$A$2:$A$15,0)),"")</f>
        <v>1039.5689964868309</v>
      </c>
      <c r="G88" s="77" t="str">
        <f>IF($B88=0,"No games",IF(AND($B88&gt;='Guide &amp; Settings'!$C$45,$C88&gt;='Guide &amp; Settings'!$C$46),"Eligible","Provisional"))</f>
        <v>Eligible</v>
      </c>
      <c r="S88" s="83">
        <f t="shared" si="26"/>
        <v>1039.5689964868309</v>
      </c>
    </row>
    <row r="89" spans="1:19" ht="15" customHeight="1" x14ac:dyDescent="0.2">
      <c r="A89" s="76" t="s">
        <v>134</v>
      </c>
      <c r="B89" s="77">
        <f>COUNTIF('Match Log'!$D$4:$D$819,$A89)</f>
        <v>70</v>
      </c>
      <c r="C89" s="77">
        <f>SUMPRODUCT(--(COUNTIFS('Match Log'!$D$4:$D$819,$A89,'Match Log'!$C$4:$C$819,Lists!$C$2:$C$24)&gt;0))</f>
        <v>10</v>
      </c>
      <c r="D89" s="77">
        <f>COUNTIFS('Match Log'!$D$4:$D$819,$A89,'Match Log'!$E$4:$E$819,"Win")</f>
        <v>33</v>
      </c>
      <c r="E89" s="80">
        <f t="shared" si="25"/>
        <v>0.47142857142857142</v>
      </c>
      <c r="F89" s="82">
        <f>IFERROR(INDEX(Engine!$B$2:$B$15,MATCH($A89,Engine!$A$2:$A$15,0)),"")</f>
        <v>1107.2617518410073</v>
      </c>
      <c r="G89" s="77" t="str">
        <f>IF($B89=0,"No games",IF(AND($B89&gt;='Guide &amp; Settings'!$C$45,$C89&gt;='Guide &amp; Settings'!$C$46),"Eligible","Provisional"))</f>
        <v>Eligible</v>
      </c>
      <c r="S89" s="83">
        <f t="shared" si="26"/>
        <v>1107.2617518410073</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IFERROR(INDEX(Engine!$B$2:$B$15,MATCH($A90,Engine!$A$2:$A$15,0)),"")</f>
        <v>1029.2201908859522</v>
      </c>
      <c r="G90" s="77" t="str">
        <f>IF($B90=0,"No games",IF(AND($B90&gt;='Guide &amp; Settings'!$C$45,$C90&gt;='Guide &amp; Settings'!$C$46),"Eligible","Provisional"))</f>
        <v>Eligible</v>
      </c>
      <c r="S90" s="83">
        <f t="shared" si="26"/>
        <v>1029.2201908859522</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IFERROR(INDEX(Engine!$B$2:$B$15,MATCH($A91,Engine!$A$2:$A$15,0)),"")</f>
        <v>1009.1869692929786</v>
      </c>
      <c r="G91" s="77" t="str">
        <f>IF($B91=0,"No games",IF(AND($B91&gt;='Guide &amp; Settings'!$C$45,$C91&gt;='Guide &amp; Settings'!$C$46),"Eligible","Provisional"))</f>
        <v>Provisional</v>
      </c>
      <c r="S91" s="83">
        <f t="shared" si="26"/>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IFERROR(INDEX(Engine!$B$2:$B$15,MATCH($A92,Engine!$A$2:$A$15,0)),"")</f>
        <v>1052.4204774129059</v>
      </c>
      <c r="G92" s="77" t="str">
        <f>IF($B92=0,"No games",IF(AND($B92&gt;='Guide &amp; Settings'!$C$45,$C92&gt;='Guide &amp; Settings'!$C$46),"Eligible","Provisional"))</f>
        <v>Provisional</v>
      </c>
      <c r="S92" s="83">
        <f t="shared" si="26"/>
        <v>-1</v>
      </c>
    </row>
    <row r="93" spans="1:19" ht="15" customHeight="1" x14ac:dyDescent="0.2">
      <c r="A93" s="76" t="s">
        <v>173</v>
      </c>
      <c r="B93" s="77">
        <f>COUNTIF('Match Log'!$D$4:$D$819,$A93)</f>
        <v>10</v>
      </c>
      <c r="C93" s="77">
        <f>SUMPRODUCT(--(COUNTIFS('Match Log'!$D$4:$D$819,$A93,'Match Log'!$C$4:$C$819,Lists!$C$2:$C$24)&gt;0))</f>
        <v>6</v>
      </c>
      <c r="D93" s="77">
        <f>COUNTIFS('Match Log'!$D$4:$D$819,$A93,'Match Log'!$E$4:$E$819,"Win")</f>
        <v>5</v>
      </c>
      <c r="E93" s="80">
        <f t="shared" si="25"/>
        <v>0.5</v>
      </c>
      <c r="F93" s="82">
        <f>IFERROR(INDEX(Engine!$B$2:$B$15,MATCH($A93,Engine!$A$2:$A$15,0)),"")</f>
        <v>1016.7837867075796</v>
      </c>
      <c r="G93" s="77" t="str">
        <f>IF($B93=0,"No games",IF(AND($B93&gt;='Guide &amp; Settings'!$C$45,$C93&gt;='Guide &amp; Settings'!$C$46),"Eligible","Provisional"))</f>
        <v>Eligible</v>
      </c>
      <c r="S93" s="83">
        <f t="shared" si="26"/>
        <v>1016.7837867075796</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IFERROR(INDEX(Engine!$B$2:$B$15,MATCH($A94,Engine!$A$2:$A$15,0)),"")</f>
        <v>1000</v>
      </c>
      <c r="G94" s="77" t="str">
        <f>IF($B94=0,"No games",IF(AND($B94&gt;='Guide &amp; Settings'!$C$45,$C94&gt;='Guide &amp; Settings'!$C$46),"Eligible","Provisional"))</f>
        <v>No games</v>
      </c>
      <c r="S94">
        <f t="shared" si="26"/>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IFERROR(INDEX(Engine!$B$2:$B$15,MATCH($A95,Engine!$A$2:$A$15,0)),"")</f>
        <v>973.18894572037368</v>
      </c>
      <c r="G95" s="77" t="str">
        <f>IF($B95=0,"No games",IF(AND($B95&gt;='Guide &amp; Settings'!$C$45,$C95&gt;='Guide &amp; Settings'!$C$46),"Eligible","Provisional"))</f>
        <v>Eligible</v>
      </c>
      <c r="S95" s="83">
        <f t="shared" si="26"/>
        <v>973.18894572037368</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IFERROR(INDEX(Engine!$B$2:$B$15,MATCH($A96,Engine!$A$2:$A$15,0)),"")</f>
        <v>893.03675187725173</v>
      </c>
      <c r="G96" s="77" t="str">
        <f>IF($B96=0,"No games",IF(AND($B96&gt;='Guide &amp; Settings'!$C$45,$C96&gt;='Guide &amp; Settings'!$C$46),"Eligible","Provisional"))</f>
        <v>Eligible</v>
      </c>
      <c r="S96" s="83">
        <f t="shared" si="26"/>
        <v>893.03675187725173</v>
      </c>
    </row>
    <row r="98" spans="1:17" ht="15" customHeight="1" x14ac:dyDescent="0.2">
      <c r="A98" s="159" t="s">
        <v>231</v>
      </c>
      <c r="B98" s="159"/>
      <c r="C98" s="159"/>
      <c r="D98" s="159"/>
      <c r="E98" s="159"/>
      <c r="F98" s="159"/>
      <c r="G98" s="159"/>
      <c r="H98" s="159"/>
      <c r="I98" s="159"/>
      <c r="J98" s="159"/>
      <c r="K98" s="159"/>
      <c r="L98" s="159"/>
      <c r="M98" s="159"/>
      <c r="N98" s="159"/>
      <c r="O98" s="159"/>
      <c r="P98" s="159"/>
      <c r="Q98" s="159"/>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t="str">
        <f>IFERROR(LOOKUP(2,1/(('Match Log'!$D$4:$D$819=D$99)*('Match Log'!$C$4:$C$819=$A100)),'Match Log'!$AB$4:$AB$819),"")</f>
        <v/>
      </c>
      <c r="E100" s="82" t="str">
        <f>IFERROR(LOOKUP(2,1/(('Match Log'!$D$4:$D$819=E$99)*('Match Log'!$C$4:$C$819=$A100)),'Match Log'!$AB$4:$AB$819),"")</f>
        <v/>
      </c>
      <c r="F100" s="82" t="str">
        <f>IFERROR(LOOKUP(2,1/(('Match Log'!$D$4:$D$819=F$99)*('Match Log'!$C$4:$C$819=$A100)),'Match Log'!$AB$4:$AB$819),"")</f>
        <v/>
      </c>
      <c r="G100" s="82">
        <f>IFERROR(LOOKUP(2,1/(('Match Log'!$D$4:$D$819=G$99)*('Match Log'!$C$4:$C$819=$A100)),'Match Log'!$AB$4:$AB$819),"")</f>
        <v>1030.5304984710244</v>
      </c>
      <c r="H100" s="82" t="str">
        <f>IFERROR(LOOKUP(2,1/(('Match Log'!$D$4:$D$819=H$99)*('Match Log'!$C$4:$C$819=$A100)),'Match Log'!$AB$4:$AB$819),"")</f>
        <v/>
      </c>
      <c r="I100" s="82">
        <f>IFERROR(LOOKUP(2,1/(('Match Log'!$D$4:$D$819=I$99)*('Match Log'!$C$4:$C$819=$A100)),'Match Log'!$AB$4:$AB$819),"")</f>
        <v>969.46950152897546</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7">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7"/>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7"/>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7"/>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7"/>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7"/>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7"/>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7"/>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7"/>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7"/>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7"/>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7"/>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7"/>
        <v>Daniel (Ferret)</v>
      </c>
    </row>
    <row r="113" spans="1:16" ht="15" customHeight="1" x14ac:dyDescent="0.2">
      <c r="A113" s="76" t="s">
        <v>199</v>
      </c>
      <c r="B113" s="82">
        <f>IFERROR(LOOKUP(2,1/(('Match Log'!$D$4:$D$819=B$99)*('Match Log'!$C$4:$C$819=$A113)),'Match Log'!$AB$4:$AB$819),"")</f>
        <v>1041.6585373017128</v>
      </c>
      <c r="C113" s="82" t="str">
        <f>IFERROR(LOOKUP(2,1/(('Match Log'!$D$4:$D$819=C$99)*('Match Log'!$C$4:$C$819=$A113)),'Match Log'!$AB$4:$AB$819),"")</f>
        <v/>
      </c>
      <c r="D113" s="82">
        <f>IFERROR(LOOKUP(2,1/(('Match Log'!$D$4:$D$819=D$99)*('Match Log'!$C$4:$C$819=$A113)),'Match Log'!$AB$4:$AB$819),"")</f>
        <v>1055.8009426289977</v>
      </c>
      <c r="E113" s="82" t="str">
        <f>IFERROR(LOOKUP(2,1/(('Match Log'!$D$4:$D$819=E$99)*('Match Log'!$C$4:$C$819=$A113)),'Match Log'!$AB$4:$AB$819),"")</f>
        <v/>
      </c>
      <c r="F113" s="82" t="str">
        <f>IFERROR(LOOKUP(2,1/(('Match Log'!$D$4:$D$819=F$99)*('Match Log'!$C$4:$C$819=$A113)),'Match Log'!$AB$4:$AB$819),"")</f>
        <v/>
      </c>
      <c r="G113" s="82">
        <f>IFERROR(LOOKUP(2,1/(('Match Log'!$D$4:$D$819=G$99)*('Match Log'!$C$4:$C$819=$A113)),'Match Log'!$AB$4:$AB$819),"")</f>
        <v>904.65647514018167</v>
      </c>
      <c r="H113" s="82" t="str">
        <f>IFERROR(LOOKUP(2,1/(('Match Log'!$D$4:$D$819=H$99)*('Match Log'!$C$4:$C$819=$A113)),'Match Log'!$AB$4:$AB$819),"")</f>
        <v/>
      </c>
      <c r="I113" s="82">
        <f>IFERROR(LOOKUP(2,1/(('Match Log'!$D$4:$D$819=I$99)*('Match Log'!$C$4:$C$819=$A113)),'Match Log'!$AB$4:$AB$819),"")</f>
        <v>962.91641343501885</v>
      </c>
      <c r="J113" s="82" t="str">
        <f>IFERROR(LOOKUP(2,1/(('Match Log'!$D$4:$D$819=J$99)*('Match Log'!$C$4:$C$819=$A113)),'Match Log'!$AB$4:$AB$819),"")</f>
        <v/>
      </c>
      <c r="K113" s="82" t="str">
        <f>IFERROR(LOOKUP(2,1/(('Match Log'!$D$4:$D$819=K$99)*('Match Log'!$C$4:$C$819=$A113)),'Match Log'!$AB$4:$AB$819),"")</f>
        <v/>
      </c>
      <c r="L113" s="82">
        <f>IFERROR(LOOKUP(2,1/(('Match Log'!$D$4:$D$819=L$99)*('Match Log'!$C$4:$C$819=$A113)),'Match Log'!$AB$4:$AB$819),"")</f>
        <v>1034.9676314940889</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7"/>
        <v>Chase</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7"/>
        <v>—</v>
      </c>
    </row>
    <row r="115" spans="1:16" ht="15" customHeight="1" x14ac:dyDescent="0.2">
      <c r="A115" s="76" t="s">
        <v>203</v>
      </c>
      <c r="B115" s="82">
        <f>IFERROR(LOOKUP(2,1/(('Match Log'!$D$4:$D$819=B$99)*('Match Log'!$C$4:$C$819=$A115)),'Match Log'!$AB$4:$AB$819),"")</f>
        <v>1000.0339081301692</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1031.2636932064779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7"/>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7"/>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7"/>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t="str">
        <f>IFERROR(LOOKUP(2,1/(('Match Log'!$D$4:$D$819=D$99)*('Match Log'!$C$4:$C$819=$A118)),'Match Log'!$AB$4:$AB$819),"")</f>
        <v/>
      </c>
      <c r="E118" s="82" t="str">
        <f>IFERROR(LOOKUP(2,1/(('Match Log'!$D$4:$D$819=E$99)*('Match Log'!$C$4:$C$819=$A118)),'Match Log'!$AB$4:$AB$819),"")</f>
        <v/>
      </c>
      <c r="F118" s="82">
        <f>IFERROR(LOOKUP(2,1/(('Match Log'!$D$4:$D$819=F$99)*('Match Log'!$C$4:$C$819=$A118)),'Match Log'!$AB$4:$AB$819),"")</f>
        <v>1005.3331712136038</v>
      </c>
      <c r="G118" s="82">
        <f>IFERROR(LOOKUP(2,1/(('Match Log'!$D$4:$D$819=G$99)*('Match Log'!$C$4:$C$819=$A118)),'Match Log'!$AB$4:$AB$819),"")</f>
        <v>1023.5480887963037</v>
      </c>
      <c r="H118" s="82" t="str">
        <f>IFERROR(LOOKUP(2,1/(('Match Log'!$D$4:$D$819=H$99)*('Match Log'!$C$4:$C$819=$A118)),'Match Log'!$AB$4:$AB$819),"")</f>
        <v/>
      </c>
      <c r="I118" s="82">
        <f>IFERROR(LOOKUP(2,1/(('Match Log'!$D$4:$D$819=I$99)*('Match Log'!$C$4:$C$819=$A118)),'Match Log'!$AB$4:$AB$819),"")</f>
        <v>994.66682878639608</v>
      </c>
      <c r="J118" s="82" t="str">
        <f>IFERROR(LOOKUP(2,1/(('Match Log'!$D$4:$D$819=J$99)*('Match Log'!$C$4:$C$819=$A118)),'Match Log'!$AB$4:$AB$819),"")</f>
        <v/>
      </c>
      <c r="K118" s="82" t="str">
        <f>IFERROR(LOOKUP(2,1/(('Match Log'!$D$4:$D$819=K$99)*('Match Log'!$C$4:$C$819=$A118)),'Match Log'!$AB$4:$AB$819),"")</f>
        <v/>
      </c>
      <c r="L118" s="82" t="str">
        <f>IFERROR(LOOKUP(2,1/(('Match Log'!$D$4:$D$819=L$99)*('Match Log'!$C$4:$C$819=$A118)),'Match Log'!$AB$4:$AB$819),"")</f>
        <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7"/>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447</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448</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449</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2" t="s">
        <v>234</v>
      </c>
      <c r="B2" s="162"/>
      <c r="C2" s="162"/>
      <c r="D2" s="162"/>
      <c r="E2" s="162"/>
      <c r="F2" s="162"/>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Daniel (Ferret)</v>
      </c>
      <c r="C9" s="39" t="str">
        <f>IFERROR(INDEX(Calcs!$H$25:$H$444,MATCH(LARGE(Calcs!$I$25:$I$444,4),Calcs!$I$25:$I$444,0)),"")</f>
        <v>Oscar</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Josh</v>
      </c>
      <c r="C10" s="36" t="str">
        <f>IFERROR(INDEX(Calcs!$H$25:$H$444,MATCH(LARGE(Calcs!$I$25:$I$444,5),Calcs!$I$25:$I$444,0)),"")</f>
        <v>Daniel (Ferret)</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70</v>
      </c>
      <c r="C21" s="36" t="str">
        <f>INDEX(Dashboard!$B$5:$B$18,MATCH(MAX(Dashboard!$D$5:$D$18),Dashboard!$D$5:$D$18,0))</f>
        <v>Shawn</v>
      </c>
      <c r="D21" s="36" t="s">
        <v>252</v>
      </c>
      <c r="E21" s="36" t="s">
        <v>252</v>
      </c>
      <c r="F21" s="36" t="str">
        <f>"across "&amp;INDEX(Dashboard!$K$5:$K$18,MATCH($C21,Dashboard!$B$5:$B$18,0))&amp;" sports"</f>
        <v>across 10 sports</v>
      </c>
    </row>
    <row r="22" spans="1:8" ht="15" customHeight="1" x14ac:dyDescent="0.2">
      <c r="A22" s="87" t="s">
        <v>253</v>
      </c>
      <c r="B22" s="39" t="str">
        <f>TEXT(MAX(Dashboard!$K$5:$K$18),"0")</f>
        <v>14</v>
      </c>
      <c r="C22" s="39" t="str">
        <f>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3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Dean B</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135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3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10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70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156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1107</v>
      </c>
      <c r="D18" s="105" t="str">
        <f>IF(2=1,"— leader —",ROUND(MAX(Calcs!$B$7:$B$20)-LARGE(Calcs!$B$7:$B$20,2),0)&amp;" behind")</f>
        <v>135 behind</v>
      </c>
      <c r="E18" s="99"/>
      <c r="F18" s="26"/>
    </row>
    <row r="19" spans="1:6" ht="15" customHeight="1" x14ac:dyDescent="0.2">
      <c r="A19" s="104">
        <v>3</v>
      </c>
      <c r="B19" s="55" t="str">
        <f>INDEX(Calcs!$A$7:$A$20,MATCH(LARGE(Calcs!$B$7:$B$20,3),Calcs!$B$7:$B$20,0))</f>
        <v>Simon</v>
      </c>
      <c r="C19" s="104">
        <f>ROUND(LARGE(Calcs!$B$7:$B$20,3),0)</f>
        <v>1085</v>
      </c>
      <c r="D19" s="105" t="str">
        <f>IF(3=1,"— leader —",ROUND(MAX(Calcs!$B$7:$B$20)-LARGE(Calcs!$B$7:$B$20,3),0)&amp;" behind")</f>
        <v>157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W</v>
      </c>
      <c r="E45" s="107" t="str">
        <f>IFERROR(IF(INDEX('Match Log'!$E$1:$E$810,_xlfn.AGGREGATE(14,6,ROW('Match Log'!$A$4:$A$810)/('Match Log'!$D$4:$D$810=$A45),7))="Win","W","L"),"")</f>
        <v>L</v>
      </c>
      <c r="F45" s="107" t="str">
        <f>IFERROR(IF(INDEX('Match Log'!$E$1:$E$810,_xlfn.AGGREGATE(14,6,ROW('Match Log'!$A$4:$A$810)/('Match Log'!$D$4:$D$810=$A45),6))="Win","W","L"),"")</f>
        <v>W</v>
      </c>
      <c r="G45" s="107" t="str">
        <f>IFERROR(IF(INDEX('Match Log'!$E$1:$E$810,_xlfn.AGGREGATE(14,6,ROW('Match Log'!$A$4:$A$810)/('Match Log'!$D$4:$D$810=$A45),5))="Win","W","L"),"")</f>
        <v>L</v>
      </c>
      <c r="H45" s="107" t="str">
        <f>IFERROR(IF(INDEX('Match Log'!$E$1:$E$810,_xlfn.AGGREGATE(14,6,ROW('Match Log'!$A$4:$A$810)/('Match Log'!$D$4:$D$810=$A45),4))="Win","W","L"),"")</f>
        <v>L</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L</v>
      </c>
      <c r="E47" s="107" t="str">
        <f>IFERROR(IF(INDEX('Match Log'!$E$1:$E$810,_xlfn.AGGREGATE(14,6,ROW('Match Log'!$A$4:$A$810)/('Match Log'!$D$4:$D$810=$A47),7))="Win","W","L"),"")</f>
        <v>W</v>
      </c>
      <c r="F47" s="107" t="str">
        <f>IFERROR(IF(INDEX('Match Log'!$E$1:$E$810,_xlfn.AGGREGATE(14,6,ROW('Match Log'!$A$4:$A$810)/('Match Log'!$D$4:$D$810=$A47),6))="Win","W","L"),"")</f>
        <v>L</v>
      </c>
      <c r="G47" s="107" t="str">
        <f>IFERROR(IF(INDEX('Match Log'!$E$1:$E$810,_xlfn.AGGREGATE(14,6,ROW('Match Log'!$A$4:$A$810)/('Match Log'!$D$4:$D$810=$A47),5))="Win","W","L"),"")</f>
        <v>L</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W</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447</v>
      </c>
      <c r="W57" s="26" t="s">
        <v>448</v>
      </c>
      <c r="X57" s="26" t="s">
        <v>449</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0.5</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t="str">
        <f>IFERROR(INDEX('Sport Records'!$B$58:$O$80,MATCH($B$57,'Sport Records'!$A$58:$A$80,0),MATCH($A60,'Sport Records'!$B$57:$O$57,0)),"")</f>
        <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t="str">
        <f>IFERROR(INDEX('Sport Records'!$B$58:$O$80,MATCH($T$57,'Sport Records'!$A$58:$A$80,0),MATCH($A60,'Sport Records'!$B$57:$O$57,0)),"")</f>
        <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t="str">
        <f>IFERROR(INDEX('Sport Records'!$B$58:$O$80,MATCH($B$57,'Sport Records'!$A$58:$A$80,0),MATCH($A64,'Sport Records'!$B$57:$O$57,0)),"")</f>
        <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t="str">
        <f>IFERROR(INDEX('Sport Records'!$B$58:$O$80,MATCH($O$57,'Sport Records'!$A$58:$A$80,0),MATCH($A64,'Sport Records'!$B$57:$O$57,0)),"")</f>
        <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t="str">
        <f>IFERROR(INDEX('Sport Records'!$B$58:$O$80,MATCH($T$57,'Sport Records'!$A$58:$A$80,0),MATCH($A64,'Sport Records'!$B$57:$O$57,0)),"")</f>
        <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0.2857142857142857</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0.5</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0.7142857142857143</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t="str">
        <f>IFERROR(INDEX('Sport Records'!$B$58:$O$80,MATCH($T$57,'Sport Records'!$A$58:$A$80,0),MATCH($A68,'Sport Records'!$B$57:$O$57,0)),"")</f>
        <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31" activePane="bottomRight" state="frozen"/>
      <selection pane="topRight" activeCell="F1" sqref="F1"/>
      <selection pane="bottomLeft" activeCell="A244" sqref="A244"/>
      <selection pane="bottomRight" activeCell="E364" sqref="E364"/>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3" t="s">
        <v>284</v>
      </c>
      <c r="B1" s="143"/>
      <c r="C1" s="143"/>
      <c r="D1" s="143"/>
      <c r="E1" s="143"/>
      <c r="F1" s="143"/>
      <c r="G1" s="143"/>
      <c r="H1" s="143"/>
      <c r="I1" s="143"/>
      <c r="J1" s="143"/>
      <c r="K1" s="143"/>
      <c r="L1" s="143"/>
      <c r="M1" s="143"/>
      <c r="N1" s="143"/>
      <c r="O1" s="143"/>
    </row>
    <row r="2" spans="1:29" ht="15" customHeight="1" x14ac:dyDescent="0.2">
      <c r="A2" s="144" t="s">
        <v>285</v>
      </c>
      <c r="B2" s="144"/>
      <c r="C2" s="144"/>
      <c r="D2" s="144"/>
      <c r="E2" s="144"/>
      <c r="F2" s="144"/>
      <c r="G2" s="144"/>
      <c r="H2" s="144"/>
      <c r="I2" s="144"/>
      <c r="J2" s="144"/>
      <c r="K2" s="144"/>
      <c r="L2" s="144"/>
      <c r="M2" s="144"/>
      <c r="N2" s="144"/>
      <c r="O2" s="144"/>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199</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199</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199</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199</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199</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199</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199</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199</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0.25</v>
      </c>
      <c r="J104" s="118">
        <f>IF($D104="",0,IF($F104&lt;2,0,IF($E104="Win",('Guide &amp; Settings'!$C$42/(($F104-1)*COUNTIFS($A$4:$A$810,$A104,$E$4:$E$810,"Win")))*SUMIFS($X$4:$X$810,$A$4:$A$810,$A104,$E$4:$E$810,"Loss"),-('Guide &amp; Settings'!$C$42/($F104-1))*$X104)))</f>
        <v>17.06184968395684</v>
      </c>
      <c r="K104" s="118">
        <f>IF($D104="",0,'Guide &amp; Settings'!$C$43*(IF($E104="Win",1,0)-$I104))</f>
        <v>9</v>
      </c>
      <c r="L104" s="119">
        <f>IF($D104="",0,'Guide &amp; Settings'!$C$44*IF($F104&gt;=3,$F104,0))</f>
        <v>0</v>
      </c>
      <c r="M104" s="118">
        <f t="shared" si="20"/>
        <v>26.06184968395684</v>
      </c>
      <c r="N104" s="116">
        <f t="shared" si="21"/>
        <v>998.28627447903841</v>
      </c>
      <c r="O104" s="115" t="str">
        <f t="shared" si="22"/>
        <v>OK</v>
      </c>
      <c r="P104">
        <f t="shared" si="23"/>
        <v>972.22442479508152</v>
      </c>
      <c r="Q104">
        <f t="shared" si="24"/>
        <v>0.5</v>
      </c>
      <c r="R104">
        <f t="shared" si="25"/>
        <v>0.16666666666666666</v>
      </c>
      <c r="S104">
        <f t="shared" si="26"/>
        <v>0.66666666666666663</v>
      </c>
      <c r="T104" s="83">
        <f t="shared" si="27"/>
        <v>4</v>
      </c>
      <c r="U104" s="120">
        <f>IF($D104="",0,IFERROR(LOOKUP(2,1/(($D$3:D103=$D104)*($C$3:C103=$C104)*($A$3:A103&lt;$A104)),$AB$3:AB103),1000))</f>
        <v>944.19905737100225</v>
      </c>
      <c r="V104" s="120">
        <f t="shared" si="28"/>
        <v>959.76870593993522</v>
      </c>
      <c r="W104">
        <f t="shared" si="29"/>
        <v>959.76870593993522</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0">
        <f t="shared" si="33"/>
        <v>962.74691604051804</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0.75</v>
      </c>
      <c r="J105" s="118">
        <f>IF($D105="",0,IF($F105&lt;2,0,IF($E105="Win",('Guide &amp; Settings'!$C$42/(($F105-1)*COUNTIFS($A$4:$A$810,$A105,$E$4:$E$810,"Win")))*SUMIFS($X$4:$X$810,$A$4:$A$810,$A105,$E$4:$E$810,"Loss"),-('Guide &amp; Settings'!$C$42/($F105-1))*$X105)))</f>
        <v>-17.06184968395684</v>
      </c>
      <c r="K105" s="118">
        <f>IF($D105="",0,'Guide &amp; Settings'!$C$43*(IF($E105="Win",1,0)-$I105))</f>
        <v>-9</v>
      </c>
      <c r="L105" s="119">
        <f>IF($D105="",0,'Guide &amp; Settings'!$C$44*IF($F105&gt;=3,$F105,0))</f>
        <v>0</v>
      </c>
      <c r="M105" s="118">
        <f t="shared" si="20"/>
        <v>-26.06184968395684</v>
      </c>
      <c r="N105" s="116">
        <f t="shared" si="21"/>
        <v>956.79857074963707</v>
      </c>
      <c r="O105" s="115" t="str">
        <f t="shared" si="22"/>
        <v>OK</v>
      </c>
      <c r="P105">
        <f t="shared" si="23"/>
        <v>972.22442479508152</v>
      </c>
      <c r="Q105">
        <f t="shared" si="24"/>
        <v>0.51530164846311244</v>
      </c>
      <c r="R105">
        <f t="shared" si="25"/>
        <v>0.5</v>
      </c>
      <c r="S105">
        <f t="shared" si="26"/>
        <v>0.66666666666666663</v>
      </c>
      <c r="T105" s="83">
        <f t="shared" si="27"/>
        <v>0</v>
      </c>
      <c r="U105" s="120">
        <f>IF($D105="",0,IFERROR(LOOKUP(2,1/(($D$3:D104=$D105)*($C$3:C104=$C105)*($A$3:A104&lt;$A105)),$AB$3:AB104),1000))</f>
        <v>1000</v>
      </c>
      <c r="V105" s="120">
        <f t="shared" si="28"/>
        <v>982.86042043359396</v>
      </c>
      <c r="W105">
        <f t="shared" si="29"/>
        <v>959.76870593993522</v>
      </c>
      <c r="X105">
        <f t="shared" si="30"/>
        <v>0.53318280262365125</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0">
        <f t="shared" si="33"/>
        <v>981.45214133048421</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998.28627447903841</v>
      </c>
      <c r="I106" s="117">
        <f t="shared" si="19"/>
        <v>0.46153846153846151</v>
      </c>
      <c r="J106" s="118">
        <f>IF($D106="",0,IF($F106&lt;2,0,IF($E106="Win",('Guide &amp; Settings'!$C$42/(($F106-1)*COUNTIFS($A$4:$A$810,$A106,$E$4:$E$810,"Win")))*SUMIFS($X$4:$X$810,$A$4:$A$810,$A106,$E$4:$E$810,"Loss"),-('Guide &amp; Settings'!$C$42/($F106-1))*$X106)))</f>
        <v>15.097925378753624</v>
      </c>
      <c r="K106" s="118">
        <f>IF($D106="",0,'Guide &amp; Settings'!$C$43*(IF($E106="Win",1,0)-$I106))</f>
        <v>6.4615384615384626</v>
      </c>
      <c r="L106" s="119">
        <f>IF($D106="",0,'Guide &amp; Settings'!$C$44*IF($F106&gt;=3,$F106,0))</f>
        <v>0</v>
      </c>
      <c r="M106" s="118">
        <f t="shared" si="20"/>
        <v>21.559463840292086</v>
      </c>
      <c r="N106" s="116">
        <f t="shared" si="21"/>
        <v>1019.8457383193305</v>
      </c>
      <c r="O106" s="115" t="str">
        <f t="shared" si="22"/>
        <v>OK</v>
      </c>
      <c r="P106">
        <f t="shared" si="23"/>
        <v>998.28627447903841</v>
      </c>
      <c r="Q106">
        <f t="shared" si="24"/>
        <v>0.5</v>
      </c>
      <c r="R106">
        <f t="shared" si="25"/>
        <v>0.2857142857142857</v>
      </c>
      <c r="S106">
        <f t="shared" si="26"/>
        <v>0.61904761904761907</v>
      </c>
      <c r="T106" s="83">
        <f t="shared" si="27"/>
        <v>5</v>
      </c>
      <c r="U106" s="120">
        <f>IF($D106="",0,IFERROR(LOOKUP(2,1/(($D$3:D105=$D106)*($C$3:C105=$C106)*($A$3:A105&lt;$A106)),$AB$3:AB105),1000))</f>
        <v>962.74691604051804</v>
      </c>
      <c r="V106" s="120">
        <f t="shared" si="28"/>
        <v>980.51659525977823</v>
      </c>
      <c r="W106">
        <f t="shared" si="29"/>
        <v>980.51659525977823</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0">
        <f t="shared" si="33"/>
        <v>979.60749219179638</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956.79857074963707</v>
      </c>
      <c r="I107" s="117">
        <f t="shared" si="19"/>
        <v>0.53846153846153844</v>
      </c>
      <c r="J107" s="118">
        <f>IF($D107="",0,IF($F107&lt;2,0,IF($E107="Win",('Guide &amp; Settings'!$C$42/(($F107-1)*COUNTIFS($A$4:$A$810,$A107,$E$4:$E$810,"Win")))*SUMIFS($X$4:$X$810,$A$4:$A$810,$A107,$E$4:$E$810,"Loss"),-('Guide &amp; Settings'!$C$42/($F107-1))*$X107)))</f>
        <v>-15.097925378753624</v>
      </c>
      <c r="K107" s="118">
        <f>IF($D107="",0,'Guide &amp; Settings'!$C$43*(IF($E107="Win",1,0)-$I107))</f>
        <v>-6.4615384615384617</v>
      </c>
      <c r="L107" s="119">
        <f>IF($D107="",0,'Guide &amp; Settings'!$C$44*IF($F107&gt;=3,$F107,0))</f>
        <v>0</v>
      </c>
      <c r="M107" s="118">
        <f t="shared" si="20"/>
        <v>-21.559463840292086</v>
      </c>
      <c r="N107" s="116">
        <f t="shared" si="21"/>
        <v>935.23910690934497</v>
      </c>
      <c r="O107" s="115" t="str">
        <f t="shared" si="22"/>
        <v>OK</v>
      </c>
      <c r="P107">
        <f t="shared" si="23"/>
        <v>998.28627447903841</v>
      </c>
      <c r="Q107">
        <f t="shared" si="24"/>
        <v>0.44057656709379672</v>
      </c>
      <c r="R107">
        <f t="shared" si="25"/>
        <v>0.33333333333333331</v>
      </c>
      <c r="S107">
        <f t="shared" si="26"/>
        <v>0.61904761904761907</v>
      </c>
      <c r="T107" s="83">
        <f t="shared" si="27"/>
        <v>1</v>
      </c>
      <c r="U107" s="120">
        <f>IF($D107="",0,IFERROR(LOOKUP(2,1/(($D$3:D106=$D107)*($C$3:C106=$C107)*($A$3:A106&lt;$A107)),$AB$3:AB106),1000))</f>
        <v>981.45214133048421</v>
      </c>
      <c r="V107" s="120">
        <f t="shared" si="28"/>
        <v>960.90749917977826</v>
      </c>
      <c r="W107">
        <f t="shared" si="29"/>
        <v>980.51659525977823</v>
      </c>
      <c r="X107">
        <f t="shared" si="30"/>
        <v>0.47181016808605075</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0">
        <f t="shared" si="33"/>
        <v>964.59156517920587</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1019.8457383193305</v>
      </c>
      <c r="I108" s="117">
        <f t="shared" si="19"/>
        <v>0.6</v>
      </c>
      <c r="J108" s="118">
        <f>IF($D108="",0,IF($F108&lt;2,0,IF($E108="Win",('Guide &amp; Settings'!$C$42/(($F108-1)*COUNTIFS($A$4:$A$810,$A108,$E$4:$E$810,"Win")))*SUMIFS($X$4:$X$810,$A$4:$A$810,$A108,$E$4:$E$810,"Loss"),-('Guide &amp; Settings'!$C$42/($F108-1))*$X108)))</f>
        <v>-18.479189647467326</v>
      </c>
      <c r="K108" s="118">
        <f>IF($D108="",0,'Guide &amp; Settings'!$C$43*(IF($E108="Win",1,0)-$I108))</f>
        <v>-7.1999999999999993</v>
      </c>
      <c r="L108" s="119">
        <f>IF($D108="",0,'Guide &amp; Settings'!$C$44*IF($F108&gt;=3,$F108,0))</f>
        <v>0</v>
      </c>
      <c r="M108" s="118">
        <f t="shared" si="20"/>
        <v>-25.679189647467325</v>
      </c>
      <c r="N108" s="116">
        <f t="shared" si="21"/>
        <v>994.16654867186321</v>
      </c>
      <c r="O108" s="115" t="str">
        <f t="shared" si="22"/>
        <v>OK</v>
      </c>
      <c r="P108">
        <f t="shared" si="23"/>
        <v>935.23910690934497</v>
      </c>
      <c r="Q108">
        <f t="shared" si="24"/>
        <v>0.61940768708822447</v>
      </c>
      <c r="R108">
        <f t="shared" si="25"/>
        <v>0.375</v>
      </c>
      <c r="S108">
        <f t="shared" si="26"/>
        <v>0.625</v>
      </c>
      <c r="T108" s="83">
        <f t="shared" si="27"/>
        <v>6</v>
      </c>
      <c r="U108" s="120">
        <f>IF($D108="",0,IFERROR(LOOKUP(2,1/(($D$3:D107=$D108)*($C$3:C107=$C108)*($A$3:A107&lt;$A108)),$AB$3:AB107),1000))</f>
        <v>979.60749219179638</v>
      </c>
      <c r="V108" s="120">
        <f t="shared" si="28"/>
        <v>997.89760406794835</v>
      </c>
      <c r="W108">
        <f t="shared" si="29"/>
        <v>943.6255235578767</v>
      </c>
      <c r="X108">
        <f t="shared" si="30"/>
        <v>0.57747467648335393</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0">
        <f t="shared" si="33"/>
        <v>962.91641343501885</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935.23910690934497</v>
      </c>
      <c r="I109" s="117">
        <f t="shared" si="19"/>
        <v>0.4</v>
      </c>
      <c r="J109" s="118">
        <f>IF($D109="",0,IF($F109&lt;2,0,IF($E109="Win",('Guide &amp; Settings'!$C$42/(($F109-1)*COUNTIFS($A$4:$A$810,$A109,$E$4:$E$810,"Win")))*SUMIFS($X$4:$X$810,$A$4:$A$810,$A109,$E$4:$E$810,"Loss"),-('Guide &amp; Settings'!$C$42/($F109-1))*$X109)))</f>
        <v>18.479189647467326</v>
      </c>
      <c r="K109" s="118">
        <f>IF($D109="",0,'Guide &amp; Settings'!$C$43*(IF($E109="Win",1,0)-$I109))</f>
        <v>7.1999999999999993</v>
      </c>
      <c r="L109" s="119">
        <f>IF($D109="",0,'Guide &amp; Settings'!$C$44*IF($F109&gt;=3,$F109,0))</f>
        <v>0</v>
      </c>
      <c r="M109" s="118">
        <f t="shared" si="20"/>
        <v>25.679189647467325</v>
      </c>
      <c r="N109" s="116">
        <f t="shared" si="21"/>
        <v>960.91829655681227</v>
      </c>
      <c r="O109" s="115" t="str">
        <f t="shared" si="22"/>
        <v>OK</v>
      </c>
      <c r="P109">
        <f t="shared" si="23"/>
        <v>935.23910690934497</v>
      </c>
      <c r="Q109">
        <f t="shared" si="24"/>
        <v>0.5</v>
      </c>
      <c r="R109">
        <f t="shared" si="25"/>
        <v>0.25</v>
      </c>
      <c r="S109">
        <f t="shared" si="26"/>
        <v>0.625</v>
      </c>
      <c r="T109" s="83">
        <f t="shared" si="27"/>
        <v>2</v>
      </c>
      <c r="U109" s="120">
        <f>IF($D109="",0,IFERROR(LOOKUP(2,1/(($D$3:D108=$D109)*($C$3:C108=$C109)*($A$3:A108&lt;$A109)),$AB$3:AB108),1000))</f>
        <v>964.59156517920587</v>
      </c>
      <c r="V109" s="120">
        <f t="shared" si="28"/>
        <v>943.6255235578767</v>
      </c>
      <c r="W109">
        <f t="shared" si="29"/>
        <v>943.6255235578767</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0">
        <f t="shared" si="33"/>
        <v>981.2826439359834</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14.138800551081921</v>
      </c>
      <c r="K110" s="118">
        <f>IF($D110="",0,'Guide &amp; Settings'!$C$43*(IF($E110="Win",1,0)-$I110))</f>
        <v>6</v>
      </c>
      <c r="L110" s="119">
        <f>IF($D110="",0,'Guide &amp; Settings'!$C$44*IF($F110&gt;=3,$F110,0))</f>
        <v>0</v>
      </c>
      <c r="M110" s="118">
        <f t="shared" si="20"/>
        <v>20.138800551081921</v>
      </c>
      <c r="N110" s="116">
        <f t="shared" si="21"/>
        <v>1051.5351713835635</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960.91829655681227</v>
      </c>
      <c r="I111" s="117">
        <f t="shared" si="19"/>
        <v>0.5</v>
      </c>
      <c r="J111" s="118">
        <f>IF($D111="",0,IF($F111&lt;2,0,IF($E111="Win",('Guide &amp; Settings'!$C$42/(($F111-1)*COUNTIFS($A$4:$A$810,$A111,$E$4:$E$810,"Win")))*SUMIFS($X$4:$X$810,$A$4:$A$810,$A111,$E$4:$E$810,"Loss"),-('Guide &amp; Settings'!$C$42/($F111-1))*$X111)))</f>
        <v>-14.138800551081921</v>
      </c>
      <c r="K111" s="118">
        <f>IF($D111="",0,'Guide &amp; Settings'!$C$43*(IF($E111="Win",1,0)-$I111))</f>
        <v>-6</v>
      </c>
      <c r="L111" s="119">
        <f>IF($D111="",0,'Guide &amp; Settings'!$C$44*IF($F111&gt;=3,$F111,0))</f>
        <v>0</v>
      </c>
      <c r="M111" s="118">
        <f t="shared" si="20"/>
        <v>-20.138800551081921</v>
      </c>
      <c r="N111" s="116">
        <f t="shared" si="21"/>
        <v>940.77949600573038</v>
      </c>
      <c r="O111" s="115" t="str">
        <f t="shared" si="22"/>
        <v>OK</v>
      </c>
      <c r="P111">
        <f t="shared" si="23"/>
        <v>1031.3963708324816</v>
      </c>
      <c r="Q111">
        <f t="shared" si="24"/>
        <v>0.39994256939449746</v>
      </c>
      <c r="R111">
        <f t="shared" si="25"/>
        <v>0.5</v>
      </c>
      <c r="S111">
        <f t="shared" si="26"/>
        <v>1</v>
      </c>
      <c r="T111" s="83">
        <f t="shared" si="27"/>
        <v>4</v>
      </c>
      <c r="U111" s="120">
        <f>IF($D111="",0,IFERROR(LOOKUP(2,1/(($D$3:D110=$D111)*($C$3:C110=$C111)*($A$3:A110&lt;$A111)),$AB$3:AB110),1000))</f>
        <v>1015.3406373059906</v>
      </c>
      <c r="V111" s="120">
        <f t="shared" si="28"/>
        <v>985.10600355644715</v>
      </c>
      <c r="W111">
        <f t="shared" si="29"/>
        <v>1025.7052243338603</v>
      </c>
      <c r="X111">
        <f t="shared" si="30"/>
        <v>0.44183751722131004</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1051.5351713835635</v>
      </c>
      <c r="I112" s="117">
        <f t="shared" si="19"/>
        <v>0.58333333333333337</v>
      </c>
      <c r="J112" s="118">
        <f>IF($D112="",0,IF($F112&lt;2,0,IF($E112="Win",('Guide &amp; Settings'!$C$42/(($F112-1)*COUNTIFS($A$4:$A$810,$A112,$E$4:$E$810,"Win")))*SUMIFS($X$4:$X$810,$A$4:$A$810,$A112,$E$4:$E$810,"Loss"),-('Guide &amp; Settings'!$C$42/($F112-1))*$X112)))</f>
        <v>12.704071969967577</v>
      </c>
      <c r="K112" s="118">
        <f>IF($D112="",0,'Guide &amp; Settings'!$C$43*(IF($E112="Win",1,0)-$I112))</f>
        <v>5</v>
      </c>
      <c r="L112" s="119">
        <f>IF($D112="",0,'Guide &amp; Settings'!$C$44*IF($F112&gt;=3,$F112,0))</f>
        <v>0</v>
      </c>
      <c r="M112" s="118">
        <f t="shared" si="20"/>
        <v>17.704071969967579</v>
      </c>
      <c r="N112" s="116">
        <f t="shared" si="21"/>
        <v>1069.239243353531</v>
      </c>
      <c r="O112" s="115" t="str">
        <f t="shared" si="22"/>
        <v>OK</v>
      </c>
      <c r="P112">
        <f t="shared" si="23"/>
        <v>1051.5351713835635</v>
      </c>
      <c r="Q112">
        <f t="shared" si="24"/>
        <v>0.5</v>
      </c>
      <c r="R112">
        <f t="shared" si="25"/>
        <v>0.6</v>
      </c>
      <c r="S112">
        <f t="shared" si="26"/>
        <v>1.0285714285714285</v>
      </c>
      <c r="T112" s="83">
        <f t="shared" si="27"/>
        <v>3</v>
      </c>
      <c r="U112" s="120">
        <f>IF($D112="",0,IFERROR(LOOKUP(2,1/(($D$3:D111=$D112)*($C$3:C111=$C112)*($A$3:A111&lt;$A112)),$AB$3:AB111),1000))</f>
        <v>1027.6552613380845</v>
      </c>
      <c r="V112" s="120">
        <f t="shared" si="28"/>
        <v>1042.5802051165088</v>
      </c>
      <c r="W112">
        <f t="shared" si="29"/>
        <v>1042.5802051165088</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940.77949600573038</v>
      </c>
      <c r="I113" s="117">
        <f t="shared" si="19"/>
        <v>0.41666666666666669</v>
      </c>
      <c r="J113" s="118">
        <f>IF($D113="",0,IF($F113&lt;2,0,IF($E113="Win",('Guide &amp; Settings'!$C$42/(($F113-1)*COUNTIFS($A$4:$A$810,$A113,$E$4:$E$810,"Win")))*SUMIFS($X$4:$X$810,$A$4:$A$810,$A113,$E$4:$E$810,"Loss"),-('Guide &amp; Settings'!$C$42/($F113-1))*$X113)))</f>
        <v>-12.704071969967577</v>
      </c>
      <c r="K113" s="118">
        <f>IF($D113="",0,'Guide &amp; Settings'!$C$43*(IF($E113="Win",1,0)-$I113))</f>
        <v>-5</v>
      </c>
      <c r="L113" s="119">
        <f>IF($D113="",0,'Guide &amp; Settings'!$C$44*IF($F113&gt;=3,$F113,0))</f>
        <v>0</v>
      </c>
      <c r="M113" s="118">
        <f t="shared" si="20"/>
        <v>-17.704071969967579</v>
      </c>
      <c r="N113" s="116">
        <f t="shared" si="21"/>
        <v>923.07542403576281</v>
      </c>
      <c r="O113" s="115" t="str">
        <f t="shared" si="22"/>
        <v>OK</v>
      </c>
      <c r="P113">
        <f t="shared" si="23"/>
        <v>1051.5351713835635</v>
      </c>
      <c r="Q113">
        <f t="shared" si="24"/>
        <v>0.34579810519368054</v>
      </c>
      <c r="R113">
        <f t="shared" si="25"/>
        <v>0.42857142857142855</v>
      </c>
      <c r="S113">
        <f t="shared" si="26"/>
        <v>1.0285714285714285</v>
      </c>
      <c r="T113" s="83">
        <f t="shared" si="27"/>
        <v>5</v>
      </c>
      <c r="U113" s="120">
        <f>IF($D113="",0,IFERROR(LOOKUP(2,1/(($D$3:D112=$D113)*($C$3:C112=$C113)*($A$3:A112&lt;$A113)),$AB$3:AB112),1000))</f>
        <v>999.1627340552136</v>
      </c>
      <c r="V113" s="120">
        <f t="shared" si="28"/>
        <v>969.97111503047199</v>
      </c>
      <c r="W113">
        <f t="shared" si="29"/>
        <v>1042.5802051165088</v>
      </c>
      <c r="X113">
        <f t="shared" si="30"/>
        <v>0.39700224906148679</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1069.239243353531</v>
      </c>
      <c r="I114" s="117">
        <f t="shared" si="19"/>
        <v>0.64</v>
      </c>
      <c r="J114" s="118">
        <f>IF($D114="",0,IF($F114&lt;2,0,IF($E114="Win",('Guide &amp; Settings'!$C$42/(($F114-1)*COUNTIFS($A$4:$A$810,$A114,$E$4:$E$810,"Win")))*SUMIFS($X$4:$X$810,$A$4:$A$810,$A114,$E$4:$E$810,"Loss"),-('Guide &amp; Settings'!$C$42/($F114-1))*$X114)))</f>
        <v>11.487285309072599</v>
      </c>
      <c r="K114" s="118">
        <f>IF($D114="",0,'Guide &amp; Settings'!$C$43*(IF($E114="Win",1,0)-$I114))</f>
        <v>4.32</v>
      </c>
      <c r="L114" s="119">
        <f>IF($D114="",0,'Guide &amp; Settings'!$C$44*IF($F114&gt;=3,$F114,0))</f>
        <v>0</v>
      </c>
      <c r="M114" s="118">
        <f t="shared" si="20"/>
        <v>15.807285309072599</v>
      </c>
      <c r="N114" s="116">
        <f t="shared" si="21"/>
        <v>1085.0465286626036</v>
      </c>
      <c r="O114" s="115" t="str">
        <f t="shared" si="22"/>
        <v>OK</v>
      </c>
      <c r="P114">
        <f t="shared" si="23"/>
        <v>1069.239243353531</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1057.2867198960498</v>
      </c>
      <c r="W114">
        <f t="shared" si="29"/>
        <v>1057.2867198960498</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923.07542403576281</v>
      </c>
      <c r="I115" s="117">
        <f t="shared" si="19"/>
        <v>0.36000000000000004</v>
      </c>
      <c r="J115" s="118">
        <f>IF($D115="",0,IF($F115&lt;2,0,IF($E115="Win",('Guide &amp; Settings'!$C$42/(($F115-1)*COUNTIFS($A$4:$A$810,$A115,$E$4:$E$810,"Win")))*SUMIFS($X$4:$X$810,$A$4:$A$810,$A115,$E$4:$E$810,"Loss"),-('Guide &amp; Settings'!$C$42/($F115-1))*$X115)))</f>
        <v>-11.487285309072599</v>
      </c>
      <c r="K115" s="118">
        <f>IF($D115="",0,'Guide &amp; Settings'!$C$43*(IF($E115="Win",1,0)-$I115))</f>
        <v>-4.32</v>
      </c>
      <c r="L115" s="119">
        <f>IF($D115="",0,'Guide &amp; Settings'!$C$44*IF($F115&gt;=3,$F115,0))</f>
        <v>0</v>
      </c>
      <c r="M115" s="118">
        <f t="shared" si="20"/>
        <v>-15.807285309072599</v>
      </c>
      <c r="N115" s="116">
        <f t="shared" si="21"/>
        <v>907.26813872669015</v>
      </c>
      <c r="O115" s="115" t="str">
        <f t="shared" si="22"/>
        <v>OK</v>
      </c>
      <c r="P115">
        <f t="shared" si="23"/>
        <v>1069.239243353531</v>
      </c>
      <c r="Q115">
        <f t="shared" si="24"/>
        <v>0.30124283487616771</v>
      </c>
      <c r="R115">
        <f t="shared" si="25"/>
        <v>0.375</v>
      </c>
      <c r="S115">
        <f t="shared" si="26"/>
        <v>1.0416666666666665</v>
      </c>
      <c r="T115" s="83">
        <f t="shared" si="27"/>
        <v>6</v>
      </c>
      <c r="U115" s="120">
        <f>IF($D115="",0,IFERROR(LOOKUP(2,1/(($D$3:D114=$D115)*($C$3:C114=$C115)*($A$3:A114&lt;$A115)),$AB$3:AB114),1000))</f>
        <v>984.47192981909961</v>
      </c>
      <c r="V115" s="120">
        <f t="shared" si="28"/>
        <v>956.5644271903102</v>
      </c>
      <c r="W115">
        <f t="shared" si="29"/>
        <v>1057.2867198960498</v>
      </c>
      <c r="X115">
        <f t="shared" si="30"/>
        <v>0.35897766590851871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907.26813872669015</v>
      </c>
      <c r="I116" s="117">
        <f t="shared" si="19"/>
        <v>0.29411764705882354</v>
      </c>
      <c r="J116" s="118">
        <f>IF($D116="",0,IF($F116&lt;2,0,IF($E116="Win",('Guide &amp; Settings'!$C$42/(($F116-1)*COUNTIFS($A$4:$A$810,$A116,$E$4:$E$810,"Win")))*SUMIFS($X$4:$X$810,$A$4:$A$810,$A116,$E$4:$E$810,"Loss"),-('Guide &amp; Settings'!$C$42/($F116-1))*$X116)))</f>
        <v>21.843735818307859</v>
      </c>
      <c r="K116" s="118">
        <f>IF($D116="",0,'Guide &amp; Settings'!$C$43*(IF($E116="Win",1,0)-$I116))</f>
        <v>8.470588235294116</v>
      </c>
      <c r="L116" s="119">
        <f>IF($D116="",0,'Guide &amp; Settings'!$C$44*IF($F116&gt;=3,$F116,0))</f>
        <v>0</v>
      </c>
      <c r="M116" s="118">
        <f t="shared" si="20"/>
        <v>30.314324053601975</v>
      </c>
      <c r="N116" s="116">
        <f t="shared" si="21"/>
        <v>937.58246278029208</v>
      </c>
      <c r="O116" s="115" t="str">
        <f t="shared" si="22"/>
        <v>OK</v>
      </c>
      <c r="P116">
        <f t="shared" si="23"/>
        <v>907.26813872669015</v>
      </c>
      <c r="Q116">
        <f t="shared" si="24"/>
        <v>0.5</v>
      </c>
      <c r="R116">
        <f t="shared" si="25"/>
        <v>0.25</v>
      </c>
      <c r="S116">
        <f t="shared" si="26"/>
        <v>0.85</v>
      </c>
      <c r="T116" s="83">
        <f t="shared" si="27"/>
        <v>2</v>
      </c>
      <c r="U116" s="120">
        <f>IF($D116="",0,IFERROR(LOOKUP(2,1/(($D$3:D115=$D116)*($C$3:C115=$C116)*($A$3:A115&lt;$A116)),$AB$3:AB115),1000))</f>
        <v>969.46950152897546</v>
      </c>
      <c r="V116" s="120">
        <f t="shared" si="28"/>
        <v>925.03995667020035</v>
      </c>
      <c r="W116">
        <f t="shared" si="29"/>
        <v>925.03995667020035</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1085.0465286626036</v>
      </c>
      <c r="I117" s="117">
        <f t="shared" si="19"/>
        <v>0.70588235294117652</v>
      </c>
      <c r="J117" s="118">
        <f>IF($D117="",0,IF($F117&lt;2,0,IF($E117="Win",('Guide &amp; Settings'!$C$42/(($F117-1)*COUNTIFS($A$4:$A$810,$A117,$E$4:$E$810,"Win")))*SUMIFS($X$4:$X$810,$A$4:$A$810,$A117,$E$4:$E$810,"Loss"),-('Guide &amp; Settings'!$C$42/($F117-1))*$X117)))</f>
        <v>-21.843735818307859</v>
      </c>
      <c r="K117" s="118">
        <f>IF($D117="",0,'Guide &amp; Settings'!$C$43*(IF($E117="Win",1,0)-$I117))</f>
        <v>-8.4705882352941178</v>
      </c>
      <c r="L117" s="119">
        <f>IF($D117="",0,'Guide &amp; Settings'!$C$44*IF($F117&gt;=3,$F117,0))</f>
        <v>0</v>
      </c>
      <c r="M117" s="118">
        <f t="shared" si="20"/>
        <v>-30.314324053601979</v>
      </c>
      <c r="N117" s="116">
        <f t="shared" si="21"/>
        <v>1054.7322046090017</v>
      </c>
      <c r="O117" s="115" t="str">
        <f t="shared" si="22"/>
        <v>OK</v>
      </c>
      <c r="P117">
        <f t="shared" si="23"/>
        <v>907.26813872669015</v>
      </c>
      <c r="Q117">
        <f t="shared" si="24"/>
        <v>0.73562942404501963</v>
      </c>
      <c r="R117">
        <f t="shared" si="25"/>
        <v>0.6</v>
      </c>
      <c r="S117">
        <f t="shared" si="26"/>
        <v>0.85</v>
      </c>
      <c r="T117" s="83">
        <f t="shared" si="27"/>
        <v>3</v>
      </c>
      <c r="U117" s="120">
        <f>IF($D117="",0,IFERROR(LOOKUP(2,1/(($D$3:D116=$D117)*($C$3:C116=$C117)*($A$3:A116&lt;$A117)),$AB$3:AB116),1000))</f>
        <v>1013.1281248226184</v>
      </c>
      <c r="V117" s="120">
        <f t="shared" si="28"/>
        <v>1058.0771272226093</v>
      </c>
      <c r="W117">
        <f t="shared" si="29"/>
        <v>925.03995667020035</v>
      </c>
      <c r="X117">
        <f t="shared" si="30"/>
        <v>0.68261674432212061</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937.58246278029208</v>
      </c>
      <c r="I118" s="117">
        <f t="shared" si="19"/>
        <v>0.44444444444444448</v>
      </c>
      <c r="J118" s="118">
        <f>IF($D118="",0,IF($F118&lt;2,0,IF($E118="Win",('Guide &amp; Settings'!$C$42/(($F118-1)*COUNTIFS($A$4:$A$810,$A118,$E$4:$E$810,"Win")))*SUMIFS($X$4:$X$810,$A$4:$A$810,$A118,$E$4:$E$810,"Loss"),-('Guide &amp; Settings'!$C$42/($F118-1))*$X118)))</f>
        <v>18.002361566192853</v>
      </c>
      <c r="K118" s="118">
        <f>IF($D118="",0,'Guide &amp; Settings'!$C$43*(IF($E118="Win",1,0)-$I118))</f>
        <v>6.666666666666667</v>
      </c>
      <c r="L118" s="119">
        <f>IF($D118="",0,'Guide &amp; Settings'!$C$44*IF($F118&gt;=3,$F118,0))</f>
        <v>0</v>
      </c>
      <c r="M118" s="118">
        <f t="shared" si="20"/>
        <v>24.669028232859521</v>
      </c>
      <c r="N118" s="116">
        <f t="shared" si="21"/>
        <v>962.25149101315162</v>
      </c>
      <c r="O118" s="115" t="str">
        <f t="shared" si="22"/>
        <v>OK</v>
      </c>
      <c r="P118">
        <f t="shared" si="23"/>
        <v>937.58246278029208</v>
      </c>
      <c r="Q118">
        <f t="shared" si="24"/>
        <v>0.5</v>
      </c>
      <c r="R118">
        <f t="shared" si="25"/>
        <v>0.4</v>
      </c>
      <c r="S118">
        <f t="shared" si="26"/>
        <v>0.9</v>
      </c>
      <c r="T118" s="83">
        <f t="shared" si="27"/>
        <v>3</v>
      </c>
      <c r="U118" s="120">
        <f>IF($D118="",0,IFERROR(LOOKUP(2,1/(($D$3:D117=$D118)*($C$3:C117=$C118)*($A$3:A117&lt;$A118)),$AB$3:AB117),1000))</f>
        <v>987.4695394050409</v>
      </c>
      <c r="V118" s="120">
        <f t="shared" si="28"/>
        <v>956.2901165145729</v>
      </c>
      <c r="W118">
        <f t="shared" si="29"/>
        <v>956.2901165145729</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-18.002361566192853</v>
      </c>
      <c r="K119" s="118">
        <f>IF($D119="",0,'Guide &amp; Settings'!$C$43*(IF($E119="Win",1,0)-$I119))</f>
        <v>-6.666666666666667</v>
      </c>
      <c r="L119" s="119">
        <f>IF($D119="",0,'Guide &amp; Settings'!$C$44*IF($F119&gt;=3,$F119,0))</f>
        <v>0</v>
      </c>
      <c r="M119" s="118">
        <f t="shared" si="20"/>
        <v>-24.669028232859521</v>
      </c>
      <c r="N119" s="116">
        <f t="shared" si="21"/>
        <v>975.33097176714045</v>
      </c>
      <c r="O119" s="115" t="str">
        <f t="shared" si="22"/>
        <v>OK</v>
      </c>
      <c r="P119">
        <f t="shared" si="23"/>
        <v>937.58246278029208</v>
      </c>
      <c r="Q119">
        <f t="shared" si="24"/>
        <v>0.58887199657296974</v>
      </c>
      <c r="R119">
        <f t="shared" si="25"/>
        <v>0.5</v>
      </c>
      <c r="S119">
        <f t="shared" si="26"/>
        <v>0.9</v>
      </c>
      <c r="T119" s="83">
        <f t="shared" si="27"/>
        <v>0</v>
      </c>
      <c r="U119" s="120">
        <f>IF($D119="",0,IFERROR(LOOKUP(2,1/(($D$3:D118=$D119)*($C$3:C118=$C119)*($A$3:A118&lt;$A119)),$AB$3:AB118),1000))</f>
        <v>1000</v>
      </c>
      <c r="V119" s="120">
        <f t="shared" si="28"/>
        <v>1000</v>
      </c>
      <c r="W119">
        <f t="shared" si="29"/>
        <v>956.2901165145729</v>
      </c>
      <c r="X119">
        <f t="shared" si="30"/>
        <v>0.56257379894352666</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-17.74694146669885</v>
      </c>
      <c r="K120" s="118">
        <f>IF($D120="",0,'Guide &amp; Settings'!$C$43*(IF($E120="Win",1,0)-$I120))</f>
        <v>-6.666666666666667</v>
      </c>
      <c r="L120" s="119">
        <f>IF($D120="",0,'Guide &amp; Settings'!$C$44*IF($F120&gt;=3,$F120,0))</f>
        <v>0</v>
      </c>
      <c r="M120" s="118">
        <f t="shared" si="20"/>
        <v>-24.413608133365518</v>
      </c>
      <c r="N120" s="116">
        <f t="shared" si="21"/>
        <v>983.06074452161181</v>
      </c>
      <c r="O120" s="115" t="str">
        <f t="shared" si="22"/>
        <v>OK</v>
      </c>
      <c r="P120">
        <f t="shared" si="23"/>
        <v>962.25149101315162</v>
      </c>
      <c r="Q120">
        <f t="shared" si="24"/>
        <v>0.56471586711762944</v>
      </c>
      <c r="R120">
        <f t="shared" si="25"/>
        <v>0.5</v>
      </c>
      <c r="S120">
        <f t="shared" si="26"/>
        <v>0.9</v>
      </c>
      <c r="T120" s="83">
        <f t="shared" si="27"/>
        <v>0</v>
      </c>
      <c r="U120" s="120">
        <f>IF($D120="",0,IFERROR(LOOKUP(2,1/(($D$3:D119=$D120)*($C$3:C119=$C120)*($A$3:A119&lt;$A120)),$AB$3:AB119),1000))</f>
        <v>1000</v>
      </c>
      <c r="V120" s="120">
        <f t="shared" si="28"/>
        <v>1007.4743526549773</v>
      </c>
      <c r="W120">
        <f t="shared" si="29"/>
        <v>969.38817335921362</v>
      </c>
      <c r="X120">
        <f t="shared" si="30"/>
        <v>0.55459192083433906</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0">
        <f t="shared" si="33"/>
        <v>983.13886682309521</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962.25149101315162</v>
      </c>
      <c r="I121" s="117">
        <f t="shared" si="19"/>
        <v>0.44444444444444448</v>
      </c>
      <c r="J121" s="118">
        <f>IF($D121="",0,IF($F121&lt;2,0,IF($E121="Win",('Guide &amp; Settings'!$C$42/(($F121-1)*COUNTIFS($A$4:$A$810,$A121,$E$4:$E$810,"Win")))*SUMIFS($X$4:$X$810,$A$4:$A$810,$A121,$E$4:$E$810,"Loss"),-('Guide &amp; Settings'!$C$42/($F121-1))*$X121)))</f>
        <v>17.74694146669885</v>
      </c>
      <c r="K121" s="118">
        <f>IF($D121="",0,'Guide &amp; Settings'!$C$43*(IF($E121="Win",1,0)-$I121))</f>
        <v>6.666666666666667</v>
      </c>
      <c r="L121" s="119">
        <f>IF($D121="",0,'Guide &amp; Settings'!$C$44*IF($F121&gt;=3,$F121,0))</f>
        <v>0</v>
      </c>
      <c r="M121" s="118">
        <f t="shared" si="20"/>
        <v>24.413608133365518</v>
      </c>
      <c r="N121" s="116">
        <f t="shared" si="21"/>
        <v>986.66509914651715</v>
      </c>
      <c r="O121" s="115" t="str">
        <f t="shared" si="22"/>
        <v>OK</v>
      </c>
      <c r="P121">
        <f t="shared" si="23"/>
        <v>962.25149101315162</v>
      </c>
      <c r="Q121">
        <f t="shared" si="24"/>
        <v>0.5</v>
      </c>
      <c r="R121">
        <f t="shared" si="25"/>
        <v>0.4</v>
      </c>
      <c r="S121">
        <f t="shared" si="26"/>
        <v>0.9</v>
      </c>
      <c r="T121" s="83">
        <f t="shared" si="27"/>
        <v>3</v>
      </c>
      <c r="U121" s="120">
        <f>IF($D121="",0,IFERROR(LOOKUP(2,1/(($D$3:D120=$D121)*($C$3:C120=$C121)*($A$3:A120&lt;$A121)),$AB$3:AB120),1000))</f>
        <v>981.2826439359834</v>
      </c>
      <c r="V121" s="120">
        <f t="shared" si="28"/>
        <v>969.38817335921362</v>
      </c>
      <c r="W121">
        <f t="shared" si="29"/>
        <v>969.38817335921362</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0">
        <f t="shared" si="33"/>
        <v>998.14377711288819</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983.06074452161181</v>
      </c>
      <c r="I122" s="117">
        <f t="shared" si="19"/>
        <v>0.5</v>
      </c>
      <c r="J122" s="118">
        <f>IF($D122="",0,IF($F122&lt;2,0,IF($E122="Win",('Guide &amp; Settings'!$C$42/(($F122-1)*COUNTIFS($A$4:$A$810,$A122,$E$4:$E$810,"Win")))*SUMIFS($X$4:$X$810,$A$4:$A$810,$A122,$E$4:$E$810,"Loss"),-('Guide &amp; Settings'!$C$42/($F122-1))*$X122)))</f>
        <v>23.19553712333671</v>
      </c>
      <c r="K122" s="118">
        <f>IF($D122="",0,'Guide &amp; Settings'!$C$43*(IF($E122="Win",1,0)-$I122))</f>
        <v>6</v>
      </c>
      <c r="L122" s="119">
        <f>IF($D122="",0,'Guide &amp; Settings'!$C$44*IF($F122&gt;=3,$F122,0))</f>
        <v>0</v>
      </c>
      <c r="M122" s="118">
        <f t="shared" si="20"/>
        <v>29.19553712333671</v>
      </c>
      <c r="N122" s="116">
        <f t="shared" si="21"/>
        <v>1012.2562816449486</v>
      </c>
      <c r="O122" s="115" t="str">
        <f t="shared" si="22"/>
        <v>OK</v>
      </c>
      <c r="P122">
        <f t="shared" si="23"/>
        <v>983.06074452161181</v>
      </c>
      <c r="Q122">
        <f t="shared" si="24"/>
        <v>0.5</v>
      </c>
      <c r="R122">
        <f t="shared" si="25"/>
        <v>0.5</v>
      </c>
      <c r="S122">
        <f t="shared" si="26"/>
        <v>1</v>
      </c>
      <c r="T122" s="83">
        <f t="shared" si="27"/>
        <v>0</v>
      </c>
      <c r="U122" s="120">
        <f>IF($D122="",0,IFERROR(LOOKUP(2,1/(($D$3:D121=$D122)*($C$3:C121=$C122)*($A$3:A121&lt;$A122)),$AB$3:AB121),1000))</f>
        <v>1000</v>
      </c>
      <c r="V122" s="120">
        <f t="shared" si="28"/>
        <v>983.06074452161181</v>
      </c>
      <c r="W122">
        <f t="shared" si="29"/>
        <v>983.06074452161181</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-23.19553712333671</v>
      </c>
      <c r="K123" s="118">
        <f>IF($D123="",0,'Guide &amp; Settings'!$C$43*(IF($E123="Win",1,0)-$I123))</f>
        <v>-6</v>
      </c>
      <c r="L123" s="119">
        <f>IF($D123="",0,'Guide &amp; Settings'!$C$44*IF($F123&gt;=3,$F123,0))</f>
        <v>0</v>
      </c>
      <c r="M123" s="118">
        <f t="shared" si="20"/>
        <v>-29.19553712333671</v>
      </c>
      <c r="N123" s="116">
        <f t="shared" si="21"/>
        <v>1122.1458342010349</v>
      </c>
      <c r="O123" s="115" t="str">
        <f t="shared" si="22"/>
        <v>OK</v>
      </c>
      <c r="P123">
        <f t="shared" si="23"/>
        <v>983.06074452161181</v>
      </c>
      <c r="Q123">
        <f t="shared" si="24"/>
        <v>0.72486053510427217</v>
      </c>
      <c r="R123">
        <f t="shared" si="25"/>
        <v>0.5</v>
      </c>
      <c r="S123">
        <f t="shared" si="26"/>
        <v>1</v>
      </c>
      <c r="T123" s="83">
        <f t="shared" si="27"/>
        <v>0</v>
      </c>
      <c r="U123" s="120">
        <f>IF($D123="",0,IFERROR(LOOKUP(2,1/(($D$3:D122=$D123)*($C$3:C122=$C123)*($A$3:A122&lt;$A123)),$AB$3:AB122),1000))</f>
        <v>1000</v>
      </c>
      <c r="V123" s="120">
        <f t="shared" si="28"/>
        <v>1151.3413713243715</v>
      </c>
      <c r="W123">
        <f t="shared" si="29"/>
        <v>983.06074452161181</v>
      </c>
      <c r="X123">
        <f t="shared" si="30"/>
        <v>0.72486053510427217</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1054.7322046090017</v>
      </c>
      <c r="I126" s="117">
        <f t="shared" si="19"/>
        <v>0.5</v>
      </c>
      <c r="J126" s="118">
        <f>IF($D126="",0,IF($F126&lt;2,0,IF($E126="Win",('Guide &amp; Settings'!$C$42/(($F126-1)*COUNTIFS($A$4:$A$810,$A126,$E$4:$E$810,"Win")))*SUMIFS($X$4:$X$810,$A$4:$A$810,$A126,$E$4:$E$810,"Loss"),-('Guide &amp; Settings'!$C$42/($F126-1))*$X126)))</f>
        <v>13.238761611881984</v>
      </c>
      <c r="K126" s="118">
        <f>IF($D126="",0,'Guide &amp; Settings'!$C$43*(IF($E126="Win",1,0)-$I126))</f>
        <v>6</v>
      </c>
      <c r="L126" s="119">
        <f>IF($D126="",0,'Guide &amp; Settings'!$C$44*IF($F126&gt;=3,$F126,0))</f>
        <v>0</v>
      </c>
      <c r="M126" s="118">
        <f t="shared" si="20"/>
        <v>19.238761611881984</v>
      </c>
      <c r="N126" s="116">
        <f t="shared" si="21"/>
        <v>1073.9709662208836</v>
      </c>
      <c r="O126" s="115" t="str">
        <f t="shared" si="22"/>
        <v>OK</v>
      </c>
      <c r="P126">
        <f t="shared" si="23"/>
        <v>1054.7322046090017</v>
      </c>
      <c r="Q126">
        <f t="shared" si="24"/>
        <v>0.5</v>
      </c>
      <c r="R126">
        <f t="shared" si="25"/>
        <v>0.5</v>
      </c>
      <c r="S126">
        <f t="shared" si="26"/>
        <v>1</v>
      </c>
      <c r="T126" s="83">
        <f t="shared" si="27"/>
        <v>0</v>
      </c>
      <c r="U126" s="120">
        <f>IF($D126="",0,IFERROR(LOOKUP(2,1/(($D$3:D125=$D126)*($C$3:C125=$C126)*($A$3:A125&lt;$A126)),$AB$3:AB125),1000))</f>
        <v>1000</v>
      </c>
      <c r="V126" s="120">
        <f t="shared" si="28"/>
        <v>1054.7322046090017</v>
      </c>
      <c r="W126">
        <f t="shared" si="29"/>
        <v>1054.7322046090017</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994.16654867186321</v>
      </c>
      <c r="I127" s="117">
        <f t="shared" si="19"/>
        <v>0.5</v>
      </c>
      <c r="J127" s="118">
        <f>IF($D127="",0,IF($F127&lt;2,0,IF($E127="Win",('Guide &amp; Settings'!$C$42/(($F127-1)*COUNTIFS($A$4:$A$810,$A127,$E$4:$E$810,"Win")))*SUMIFS($X$4:$X$810,$A$4:$A$810,$A127,$E$4:$E$810,"Loss"),-('Guide &amp; Settings'!$C$42/($F127-1))*$X127)))</f>
        <v>-13.238761611881984</v>
      </c>
      <c r="K127" s="118">
        <f>IF($D127="",0,'Guide &amp; Settings'!$C$43*(IF($E127="Win",1,0)-$I127))</f>
        <v>-6</v>
      </c>
      <c r="L127" s="119">
        <f>IF($D127="",0,'Guide &amp; Settings'!$C$44*IF($F127&gt;=3,$F127,0))</f>
        <v>0</v>
      </c>
      <c r="M127" s="118">
        <f t="shared" si="20"/>
        <v>-19.238761611881984</v>
      </c>
      <c r="N127" s="116">
        <f t="shared" si="21"/>
        <v>974.92778705998126</v>
      </c>
      <c r="O127" s="115" t="str">
        <f t="shared" si="22"/>
        <v>OK</v>
      </c>
      <c r="P127">
        <f t="shared" si="23"/>
        <v>1054.7322046090017</v>
      </c>
      <c r="Q127">
        <f t="shared" si="24"/>
        <v>0.41371130037131199</v>
      </c>
      <c r="R127">
        <f t="shared" si="25"/>
        <v>0.5</v>
      </c>
      <c r="S127">
        <f t="shared" si="26"/>
        <v>1</v>
      </c>
      <c r="T127" s="83">
        <f t="shared" si="27"/>
        <v>0</v>
      </c>
      <c r="U127" s="120">
        <f>IF($D127="",0,IFERROR(LOOKUP(2,1/(($D$3:D126=$D127)*($C$3:C126=$C127)*($A$3:A126&lt;$A127)),$AB$3:AB126),1000))</f>
        <v>1000</v>
      </c>
      <c r="V127" s="120">
        <f t="shared" si="28"/>
        <v>994.16654867186321</v>
      </c>
      <c r="W127">
        <f t="shared" si="29"/>
        <v>1054.7322046090017</v>
      </c>
      <c r="X127">
        <f t="shared" si="30"/>
        <v>0.41371130037131199</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975.33097176714045</v>
      </c>
      <c r="I130" s="117">
        <f t="shared" si="19"/>
        <v>0.5</v>
      </c>
      <c r="J130" s="118">
        <f>IF($D130="",0,IF($F130&lt;2,0,IF($E130="Win",('Guide &amp; Settings'!$C$42/(($F130-1)*COUNTIFS($A$4:$A$810,$A130,$E$4:$E$810,"Win")))*SUMIFS($X$4:$X$810,$A$4:$A$810,$A130,$E$4:$E$810,"Loss"),-('Guide &amp; Settings'!$C$42/($F130-1))*$X130)))</f>
        <v>13.223557123611547</v>
      </c>
      <c r="K130" s="118">
        <f>IF($D130="",0,'Guide &amp; Settings'!$C$43*(IF($E130="Win",1,0)-$I130))</f>
        <v>6</v>
      </c>
      <c r="L130" s="119">
        <f>IF($D130="",0,'Guide &amp; Settings'!$C$44*IF($F130&gt;=3,$F130,0))</f>
        <v>0</v>
      </c>
      <c r="M130" s="118">
        <f t="shared" si="20"/>
        <v>19.223557123611549</v>
      </c>
      <c r="N130" s="116">
        <f t="shared" si="21"/>
        <v>994.55452889075195</v>
      </c>
      <c r="O130" s="115" t="str">
        <f t="shared" si="22"/>
        <v>OK</v>
      </c>
      <c r="P130">
        <f t="shared" si="23"/>
        <v>975.33097176714045</v>
      </c>
      <c r="Q130">
        <f t="shared" si="24"/>
        <v>0.5</v>
      </c>
      <c r="R130">
        <f t="shared" si="25"/>
        <v>0.5</v>
      </c>
      <c r="S130">
        <f t="shared" si="26"/>
        <v>1</v>
      </c>
      <c r="T130" s="83">
        <f t="shared" si="27"/>
        <v>0</v>
      </c>
      <c r="U130" s="120">
        <f>IF($D130="",0,IFERROR(LOOKUP(2,1/(($D$3:D129=$D130)*($C$3:C129=$C130)*($A$3:A129&lt;$A130)),$AB$3:AB129),1000))</f>
        <v>1000</v>
      </c>
      <c r="V130" s="120">
        <f t="shared" si="28"/>
        <v>975.33097176714045</v>
      </c>
      <c r="W130">
        <f t="shared" si="29"/>
        <v>975.33097176714045</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-13.223557123611547</v>
      </c>
      <c r="K131" s="118">
        <f>IF($D131="",0,'Guide &amp; Settings'!$C$43*(IF($E131="Win",1,0)-$I131))</f>
        <v>-6</v>
      </c>
      <c r="L131" s="119">
        <f>IF($D131="",0,'Guide &amp; Settings'!$C$44*IF($F131&gt;=3,$F131,0))</f>
        <v>0</v>
      </c>
      <c r="M131" s="118">
        <f t="shared" si="20"/>
        <v>-19.223557123611549</v>
      </c>
      <c r="N131" s="116">
        <f t="shared" si="21"/>
        <v>895.20140476869074</v>
      </c>
      <c r="O131" s="115" t="str">
        <f t="shared" si="22"/>
        <v>OK</v>
      </c>
      <c r="P131">
        <f t="shared" si="23"/>
        <v>975.33097176714045</v>
      </c>
      <c r="Q131">
        <f t="shared" si="24"/>
        <v>0.41323616011286085</v>
      </c>
      <c r="R131">
        <f t="shared" si="25"/>
        <v>0.5</v>
      </c>
      <c r="S131">
        <f t="shared" si="26"/>
        <v>1</v>
      </c>
      <c r="T131" s="83">
        <f t="shared" si="27"/>
        <v>0</v>
      </c>
      <c r="U131" s="120">
        <f>IF($D131="",0,IFERROR(LOOKUP(2,1/(($D$3:D130=$D131)*($C$3:C130=$C131)*($A$3:A130&lt;$A131)),$AB$3:AB130),1000))</f>
        <v>1000</v>
      </c>
      <c r="V131" s="120">
        <f t="shared" si="28"/>
        <v>914.42496189230224</v>
      </c>
      <c r="W131">
        <f t="shared" si="29"/>
        <v>975.33097176714045</v>
      </c>
      <c r="X131">
        <f t="shared" si="30"/>
        <v>0.41323616011286085</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986.66509914651715</v>
      </c>
      <c r="I132" s="117">
        <f t="shared" ref="I132:I195" si="36">IF($D132="",0,IF($S132=0,0,$R132/$S132))</f>
        <v>0.4285714285714286</v>
      </c>
      <c r="J132" s="118">
        <f>IF($D132="",0,IF($F132&lt;2,0,IF($E132="Win",('Guide &amp; Settings'!$C$42/(($F132-1)*COUNTIFS($A$4:$A$810,$A132,$E$4:$E$810,"Win")))*SUMIFS($X$4:$X$810,$A$4:$A$810,$A132,$E$4:$E$810,"Loss"),-('Guide &amp; Settings'!$C$42/($F132-1))*$X132)))</f>
        <v>17.204965774962339</v>
      </c>
      <c r="K132" s="118">
        <f>IF($D132="",0,'Guide &amp; Settings'!$C$43*(IF($E132="Win",1,0)-$I132))</f>
        <v>6.8571428571428568</v>
      </c>
      <c r="L132" s="119">
        <f>IF($D132="",0,'Guide &amp; Settings'!$C$44*IF($F132&gt;=3,$F132,0))</f>
        <v>0</v>
      </c>
      <c r="M132" s="118">
        <f t="shared" ref="M132:M195" si="37">IF($D132="",0,$J132+$K132+$L132)</f>
        <v>24.062108632105197</v>
      </c>
      <c r="N132" s="116">
        <f t="shared" ref="N132:N195" si="38">IF($D132="",0,$H132+$M132)</f>
        <v>1010.7272077786223</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986.66509914651715</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986.66509914651715</v>
      </c>
      <c r="W132">
        <f t="shared" ref="W132:W195" si="46">IF($D132="",0,IFERROR(SUMIFS($V$4:$V$810,$A$4:$A$810,$A132,$E$4:$E$810,"Win")/COUNTIFS($A$4:$A$810,$A132,$E$4:$E$810,"Win"),0))</f>
        <v>986.66509914651715</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1012.2562816449486</v>
      </c>
      <c r="I133" s="117">
        <f t="shared" si="36"/>
        <v>0.57142857142857151</v>
      </c>
      <c r="J133" s="118">
        <f>IF($D133="",0,IF($F133&lt;2,0,IF($E133="Win",('Guide &amp; Settings'!$C$42/(($F133-1)*COUNTIFS($A$4:$A$810,$A133,$E$4:$E$810,"Win")))*SUMIFS($X$4:$X$810,$A$4:$A$810,$A133,$E$4:$E$810,"Loss"),-('Guide &amp; Settings'!$C$42/($F133-1))*$X133)))</f>
        <v>-17.204965774962339</v>
      </c>
      <c r="K133" s="118">
        <f>IF($D133="",0,'Guide &amp; Settings'!$C$43*(IF($E133="Win",1,0)-$I133))</f>
        <v>-6.8571428571428577</v>
      </c>
      <c r="L133" s="119">
        <f>IF($D133="",0,'Guide &amp; Settings'!$C$44*IF($F133&gt;=3,$F133,0))</f>
        <v>0</v>
      </c>
      <c r="M133" s="118">
        <f t="shared" si="37"/>
        <v>-24.062108632105197</v>
      </c>
      <c r="N133" s="116">
        <f t="shared" si="38"/>
        <v>988.19417301284341</v>
      </c>
      <c r="O133" s="115" t="str">
        <f t="shared" si="39"/>
        <v>OK</v>
      </c>
      <c r="P133">
        <f t="shared" si="40"/>
        <v>986.66509914651715</v>
      </c>
      <c r="Q133">
        <f t="shared" si="41"/>
        <v>0.53676221282748315</v>
      </c>
      <c r="R133">
        <f t="shared" si="42"/>
        <v>0.66666666666666663</v>
      </c>
      <c r="S133">
        <f t="shared" si="43"/>
        <v>1.1666666666666665</v>
      </c>
      <c r="T133" s="83">
        <f t="shared" si="44"/>
        <v>1</v>
      </c>
      <c r="U133" s="120">
        <f>IF($D133="",0,IFERROR(LOOKUP(2,1/(($D$3:D132=$D133)*($C$3:C132=$C133)*($A$3:A132&lt;$A133)),$AB$3:AB132),1000))</f>
        <v>1016</v>
      </c>
      <c r="V133" s="120">
        <f t="shared" si="45"/>
        <v>1012.8802347041237</v>
      </c>
      <c r="W133">
        <f t="shared" si="46"/>
        <v>986.66509914651715</v>
      </c>
      <c r="X133">
        <f t="shared" si="47"/>
        <v>0.5376551804675731</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1073.9709662208836</v>
      </c>
      <c r="I134" s="117">
        <f t="shared" si="36"/>
        <v>0.5</v>
      </c>
      <c r="J134" s="118">
        <f>IF($D134="",0,IF($F134&lt;2,0,IF($E134="Win",('Guide &amp; Settings'!$C$42/(($F134-1)*COUNTIFS($A$4:$A$810,$A134,$E$4:$E$810,"Win")))*SUMIFS($X$4:$X$810,$A$4:$A$810,$A134,$E$4:$E$810,"Loss"),-('Guide &amp; Settings'!$C$42/($F134-1))*$X134)))</f>
        <v>12.066887756734788</v>
      </c>
      <c r="K134" s="118">
        <f>IF($D134="",0,'Guide &amp; Settings'!$C$43*(IF($E134="Win",1,0)-$I134))</f>
        <v>6</v>
      </c>
      <c r="L134" s="119">
        <f>IF($D134="",0,'Guide &amp; Settings'!$C$44*IF($F134&gt;=3,$F134,0))</f>
        <v>0</v>
      </c>
      <c r="M134" s="118">
        <f t="shared" si="37"/>
        <v>18.066887756734786</v>
      </c>
      <c r="N134" s="116">
        <f t="shared" si="38"/>
        <v>1092.0378539776184</v>
      </c>
      <c r="O134" s="115" t="str">
        <f t="shared" si="39"/>
        <v>OK</v>
      </c>
      <c r="P134">
        <f t="shared" si="40"/>
        <v>1073.9709662208836</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1064.309138517403</v>
      </c>
      <c r="W134">
        <f t="shared" si="46"/>
        <v>1064.309138517403</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-12.066887756734788</v>
      </c>
      <c r="K135" s="118">
        <f>IF($D135="",0,'Guide &amp; Settings'!$C$43*(IF($E135="Win",1,0)-$I135))</f>
        <v>-6</v>
      </c>
      <c r="L135" s="119">
        <f>IF($D135="",0,'Guide &amp; Settings'!$C$44*IF($F135&gt;=3,$F135,0))</f>
        <v>0</v>
      </c>
      <c r="M135" s="118">
        <f t="shared" si="37"/>
        <v>-18.066887756734786</v>
      </c>
      <c r="N135" s="116">
        <f t="shared" si="38"/>
        <v>951.2737556356999</v>
      </c>
      <c r="O135" s="115" t="str">
        <f t="shared" si="39"/>
        <v>OK</v>
      </c>
      <c r="P135">
        <f t="shared" si="40"/>
        <v>1073.9709662208836</v>
      </c>
      <c r="Q135">
        <f t="shared" si="41"/>
        <v>0.35381753980437913</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1064.309138517403</v>
      </c>
      <c r="X135">
        <f t="shared" si="47"/>
        <v>0.37709024239796213</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15.403940044730891</v>
      </c>
      <c r="K136" s="118">
        <f>IF($D136="",0,'Guide &amp; Settings'!$C$43*(IF($E136="Win",1,0)-$I136))</f>
        <v>6</v>
      </c>
      <c r="L136" s="119">
        <f>IF($D136="",0,'Guide &amp; Settings'!$C$44*IF($F136&gt;=3,$F136,0))</f>
        <v>0</v>
      </c>
      <c r="M136" s="118">
        <f t="shared" si="37"/>
        <v>21.403940044730891</v>
      </c>
      <c r="N136" s="116">
        <f t="shared" si="38"/>
        <v>1047.9647947853223</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1010.7272077786223</v>
      </c>
      <c r="I137" s="117">
        <f t="shared" si="36"/>
        <v>0.5</v>
      </c>
      <c r="J137" s="118">
        <f>IF($D137="",0,IF($F137&lt;2,0,IF($E137="Win",('Guide &amp; Settings'!$C$42/(($F137-1)*COUNTIFS($A$4:$A$810,$A137,$E$4:$E$810,"Win")))*SUMIFS($X$4:$X$810,$A$4:$A$810,$A137,$E$4:$E$810,"Loss"),-('Guide &amp; Settings'!$C$42/($F137-1))*$X137)))</f>
        <v>-15.403940044730891</v>
      </c>
      <c r="K137" s="118">
        <f>IF($D137="",0,'Guide &amp; Settings'!$C$43*(IF($E137="Win",1,0)-$I137))</f>
        <v>-6</v>
      </c>
      <c r="L137" s="119">
        <f>IF($D137="",0,'Guide &amp; Settings'!$C$44*IF($F137&gt;=3,$F137,0))</f>
        <v>0</v>
      </c>
      <c r="M137" s="118">
        <f t="shared" si="37"/>
        <v>-21.403940044730891</v>
      </c>
      <c r="N137" s="116">
        <f t="shared" si="38"/>
        <v>989.32326773389138</v>
      </c>
      <c r="O137" s="115" t="str">
        <f t="shared" si="39"/>
        <v>OK</v>
      </c>
      <c r="P137">
        <f t="shared" si="40"/>
        <v>1026.5608547405914</v>
      </c>
      <c r="Q137">
        <f t="shared" si="41"/>
        <v>0.47722931221859638</v>
      </c>
      <c r="R137">
        <f t="shared" si="42"/>
        <v>0.66666666666666663</v>
      </c>
      <c r="S137">
        <f t="shared" si="43"/>
        <v>1.3333333333333333</v>
      </c>
      <c r="T137" s="83">
        <f t="shared" si="44"/>
        <v>1</v>
      </c>
      <c r="U137" s="120">
        <f>IF($D137="",0,IFERROR(LOOKUP(2,1/(($D$3:D136=$D137)*($C$3:C136=$C137)*($A$3:A136&lt;$A137)),$AB$3:AB136),1000))</f>
        <v>1016.736306793522</v>
      </c>
      <c r="V137" s="120">
        <f t="shared" si="45"/>
        <v>1011.7287242811055</v>
      </c>
      <c r="W137">
        <f t="shared" si="46"/>
        <v>1024.6779944849059</v>
      </c>
      <c r="X137">
        <f t="shared" si="47"/>
        <v>0.48137312639784036</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11.943963722712418</v>
      </c>
      <c r="K138" s="118">
        <f>IF($D138="",0,'Guide &amp; Settings'!$C$43*(IF($E138="Win",1,0)-$I138))</f>
        <v>4.7999999999999989</v>
      </c>
      <c r="L138" s="119">
        <f>IF($D138="",0,'Guide &amp; Settings'!$C$44*IF($F138&gt;=3,$F138,0))</f>
        <v>0</v>
      </c>
      <c r="M138" s="118">
        <f t="shared" si="37"/>
        <v>16.743963722712415</v>
      </c>
      <c r="N138" s="116">
        <f t="shared" si="38"/>
        <v>1016.7837867075796</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895.20140476869074</v>
      </c>
      <c r="I139" s="117">
        <f t="shared" si="36"/>
        <v>0.4</v>
      </c>
      <c r="J139" s="118">
        <f>IF($D139="",0,IF($F139&lt;2,0,IF($E139="Win",('Guide &amp; Settings'!$C$42/(($F139-1)*COUNTIFS($A$4:$A$810,$A139,$E$4:$E$810,"Win")))*SUMIFS($X$4:$X$810,$A$4:$A$810,$A139,$E$4:$E$810,"Loss"),-('Guide &amp; Settings'!$C$42/($F139-1))*$X139)))</f>
        <v>-11.943963722712418</v>
      </c>
      <c r="K139" s="118">
        <f>IF($D139="",0,'Guide &amp; Settings'!$C$43*(IF($E139="Win",1,0)-$I139))</f>
        <v>-4.8000000000000007</v>
      </c>
      <c r="L139" s="119">
        <f>IF($D139="",0,'Guide &amp; Settings'!$C$44*IF($F139&gt;=3,$F139,0))</f>
        <v>0</v>
      </c>
      <c r="M139" s="118">
        <f t="shared" si="37"/>
        <v>-16.743963722712419</v>
      </c>
      <c r="N139" s="116">
        <f t="shared" si="38"/>
        <v>878.45744104597827</v>
      </c>
      <c r="O139" s="115" t="str">
        <f t="shared" si="39"/>
        <v>OK</v>
      </c>
      <c r="P139">
        <f t="shared" si="40"/>
        <v>1000.0398229848671</v>
      </c>
      <c r="Q139">
        <f t="shared" si="41"/>
        <v>0.35354371260743206</v>
      </c>
      <c r="R139">
        <f t="shared" si="42"/>
        <v>0.33333333333333331</v>
      </c>
      <c r="S139">
        <f t="shared" si="43"/>
        <v>0.83333333333333326</v>
      </c>
      <c r="T139" s="83">
        <f t="shared" si="44"/>
        <v>1</v>
      </c>
      <c r="U139" s="120">
        <f>IF($D139="",0,IFERROR(LOOKUP(2,1/(($D$3:D138=$D139)*($C$3:C138=$C139)*($A$3:A138&lt;$A139)),$AB$3:AB138),1000))</f>
        <v>984</v>
      </c>
      <c r="V139" s="120">
        <f t="shared" si="45"/>
        <v>910.00117064057565</v>
      </c>
      <c r="W139">
        <f t="shared" si="46"/>
        <v>1000.0398229848671</v>
      </c>
      <c r="X139">
        <f t="shared" si="47"/>
        <v>0.37324886633476306</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878.45744104597827</v>
      </c>
      <c r="I140" s="117">
        <f t="shared" si="36"/>
        <v>0.33333333333333331</v>
      </c>
      <c r="J140" s="118">
        <f>IF($D140="",0,IF($F140&lt;2,0,IF($E140="Win",('Guide &amp; Settings'!$C$42/(($F140-1)*COUNTIFS($A$4:$A$810,$A140,$E$4:$E$810,"Win")))*SUMIFS($X$4:$X$810,$A$4:$A$810,$A140,$E$4:$E$810,"Loss"),-('Guide &amp; Settings'!$C$42/($F140-1))*$X140)))</f>
        <v>19.981596316011267</v>
      </c>
      <c r="K140" s="118">
        <f>IF($D140="",0,'Guide &amp; Settings'!$C$43*(IF($E140="Win",1,0)-$I140))</f>
        <v>8</v>
      </c>
      <c r="L140" s="119">
        <f>IF($D140="",0,'Guide &amp; Settings'!$C$44*IF($F140&gt;=3,$F140,0))</f>
        <v>0</v>
      </c>
      <c r="M140" s="118">
        <f t="shared" si="37"/>
        <v>27.981596316011267</v>
      </c>
      <c r="N140" s="116">
        <f t="shared" si="38"/>
        <v>906.43903736198956</v>
      </c>
      <c r="O140" s="115" t="str">
        <f t="shared" si="39"/>
        <v>OK</v>
      </c>
      <c r="P140">
        <f t="shared" si="40"/>
        <v>878.45744104597827</v>
      </c>
      <c r="Q140">
        <f t="shared" si="41"/>
        <v>0.5</v>
      </c>
      <c r="R140">
        <f t="shared" si="42"/>
        <v>0.25</v>
      </c>
      <c r="S140">
        <f t="shared" si="43"/>
        <v>0.75</v>
      </c>
      <c r="T140" s="83">
        <f t="shared" si="44"/>
        <v>2</v>
      </c>
      <c r="U140" s="120">
        <f>IF($D140="",0,IFERROR(LOOKUP(2,1/(($D$3:D139=$D140)*($C$3:C139=$C140)*($A$3:A139&lt;$A140)),$AB$3:AB139),1000))</f>
        <v>968.73630679352198</v>
      </c>
      <c r="V140" s="120">
        <f t="shared" si="45"/>
        <v>904.25140268813368</v>
      </c>
      <c r="W140">
        <f t="shared" si="46"/>
        <v>904.25140268813368</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989.32326773389138</v>
      </c>
      <c r="I141" s="117">
        <f t="shared" si="36"/>
        <v>0.66666666666666663</v>
      </c>
      <c r="J141" s="118">
        <f>IF($D141="",0,IF($F141&lt;2,0,IF($E141="Win",('Guide &amp; Settings'!$C$42/(($F141-1)*COUNTIFS($A$4:$A$810,$A141,$E$4:$E$810,"Win")))*SUMIFS($X$4:$X$810,$A$4:$A$810,$A141,$E$4:$E$810,"Loss"),-('Guide &amp; Settings'!$C$42/($F141-1))*$X141)))</f>
        <v>-19.981596316011267</v>
      </c>
      <c r="K141" s="118">
        <f>IF($D141="",0,'Guide &amp; Settings'!$C$43*(IF($E141="Win",1,0)-$I141))</f>
        <v>-8</v>
      </c>
      <c r="L141" s="119">
        <f>IF($D141="",0,'Guide &amp; Settings'!$C$44*IF($F141&gt;=3,$F141,0))</f>
        <v>0</v>
      </c>
      <c r="M141" s="118">
        <f t="shared" si="37"/>
        <v>-27.981596316011267</v>
      </c>
      <c r="N141" s="116">
        <f t="shared" si="38"/>
        <v>961.34167141788009</v>
      </c>
      <c r="O141" s="115" t="str">
        <f t="shared" si="39"/>
        <v>OK</v>
      </c>
      <c r="P141">
        <f t="shared" si="40"/>
        <v>878.45744104597827</v>
      </c>
      <c r="Q141">
        <f t="shared" si="41"/>
        <v>0.65434532391339806</v>
      </c>
      <c r="R141">
        <f t="shared" si="42"/>
        <v>0.5</v>
      </c>
      <c r="S141">
        <f t="shared" si="43"/>
        <v>0.75</v>
      </c>
      <c r="T141" s="83">
        <f t="shared" si="44"/>
        <v>2</v>
      </c>
      <c r="U141" s="120">
        <f>IF($D141="",0,IFERROR(LOOKUP(2,1/(($D$3:D140=$D141)*($C$3:C140=$C141)*($A$3:A140&lt;$A141)),$AB$3:AB140),1000))</f>
        <v>1000.6684908377623</v>
      </c>
      <c r="V141" s="120">
        <f t="shared" si="45"/>
        <v>992.564760049283</v>
      </c>
      <c r="W141">
        <f t="shared" si="46"/>
        <v>904.25140268813368</v>
      </c>
      <c r="X141">
        <f t="shared" si="47"/>
        <v>0.62442488487535208</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1047.9647947853223</v>
      </c>
      <c r="I142" s="117">
        <f t="shared" si="36"/>
        <v>0.65217391304347827</v>
      </c>
      <c r="J142" s="118">
        <f>IF($D142="",0,IF($F142&lt;2,0,IF($E142="Win",('Guide &amp; Settings'!$C$42/(($F142-1)*COUNTIFS($A$4:$A$810,$A142,$E$4:$E$810,"Win")))*SUMIFS($X$4:$X$810,$A$4:$A$810,$A142,$E$4:$E$810,"Loss"),-('Guide &amp; Settings'!$C$42/($F142-1))*$X142)))</f>
        <v>12.657181456418279</v>
      </c>
      <c r="K142" s="118">
        <f>IF($D142="",0,'Guide &amp; Settings'!$C$43*(IF($E142="Win",1,0)-$I142))</f>
        <v>4.1739130434782608</v>
      </c>
      <c r="L142" s="119">
        <f>IF($D142="",0,'Guide &amp; Settings'!$C$44*IF($F142&gt;=3,$F142,0))</f>
        <v>0</v>
      </c>
      <c r="M142" s="118">
        <f t="shared" si="37"/>
        <v>16.83109449989654</v>
      </c>
      <c r="N142" s="116">
        <f t="shared" si="38"/>
        <v>1064.7958892852189</v>
      </c>
      <c r="O142" s="115" t="str">
        <f t="shared" si="39"/>
        <v>OK</v>
      </c>
      <c r="P142">
        <f t="shared" si="40"/>
        <v>1047.9647947853223</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1043.2124274644409</v>
      </c>
      <c r="W142">
        <f t="shared" si="46"/>
        <v>1043.2124274644409</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961.34167141788009</v>
      </c>
      <c r="I143" s="117">
        <f t="shared" si="36"/>
        <v>0.34782608695652178</v>
      </c>
      <c r="J143" s="118">
        <f>IF($D143="",0,IF($F143&lt;2,0,IF($E143="Win",('Guide &amp; Settings'!$C$42/(($F143-1)*COUNTIFS($A$4:$A$810,$A143,$E$4:$E$810,"Win")))*SUMIFS($X$4:$X$810,$A$4:$A$810,$A143,$E$4:$E$810,"Loss"),-('Guide &amp; Settings'!$C$42/($F143-1))*$X143)))</f>
        <v>-12.657181456418279</v>
      </c>
      <c r="K143" s="118">
        <f>IF($D143="",0,'Guide &amp; Settings'!$C$43*(IF($E143="Win",1,0)-$I143))</f>
        <v>-4.1739130434782616</v>
      </c>
      <c r="L143" s="119">
        <f>IF($D143="",0,'Guide &amp; Settings'!$C$44*IF($F143&gt;=3,$F143,0))</f>
        <v>0</v>
      </c>
      <c r="M143" s="118">
        <f t="shared" si="37"/>
        <v>-16.83109449989654</v>
      </c>
      <c r="N143" s="116">
        <f t="shared" si="38"/>
        <v>944.5105769179836</v>
      </c>
      <c r="O143" s="115" t="str">
        <f t="shared" si="39"/>
        <v>OK</v>
      </c>
      <c r="P143">
        <f t="shared" si="40"/>
        <v>1047.9647947853223</v>
      </c>
      <c r="Q143">
        <f t="shared" si="41"/>
        <v>0.37785967316978014</v>
      </c>
      <c r="R143">
        <f t="shared" si="42"/>
        <v>0.4</v>
      </c>
      <c r="S143">
        <f t="shared" si="43"/>
        <v>1.1499999999999999</v>
      </c>
      <c r="T143" s="83">
        <f t="shared" si="44"/>
        <v>3</v>
      </c>
      <c r="U143" s="120">
        <f>IF($D143="",0,IFERROR(LOOKUP(2,1/(($D$3:D142=$D143)*($C$3:C142=$C143)*($A$3:A142&lt;$A143)),$AB$3:AB142),1000))</f>
        <v>983.2020860606832</v>
      </c>
      <c r="V143" s="120">
        <f t="shared" si="45"/>
        <v>969.53932690893123</v>
      </c>
      <c r="W143">
        <f t="shared" si="46"/>
        <v>1043.2124274644409</v>
      </c>
      <c r="X143">
        <f t="shared" si="47"/>
        <v>0.39553692051307121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906.43903736198956</v>
      </c>
      <c r="I144" s="117">
        <f t="shared" si="36"/>
        <v>0.54545454545454541</v>
      </c>
      <c r="J144" s="118">
        <f>IF($D144="",0,IF($F144&lt;2,0,IF($E144="Win",('Guide &amp; Settings'!$C$42/(($F144-1)*COUNTIFS($A$4:$A$810,$A144,$E$4:$E$810,"Win")))*SUMIFS($X$4:$X$810,$A$4:$A$810,$A144,$E$4:$E$810,"Loss"),-('Guide &amp; Settings'!$C$42/($F144-1))*$X144)))</f>
        <v>16.884400566534442</v>
      </c>
      <c r="K144" s="118">
        <f>IF($D144="",0,'Guide &amp; Settings'!$C$43*(IF($E144="Win",1,0)-$I144))</f>
        <v>5.454545454545455</v>
      </c>
      <c r="L144" s="119">
        <f>IF($D144="",0,'Guide &amp; Settings'!$C$44*IF($F144&gt;=3,$F144,0))</f>
        <v>0</v>
      </c>
      <c r="M144" s="118">
        <f t="shared" si="37"/>
        <v>22.338946021079899</v>
      </c>
      <c r="N144" s="116">
        <f t="shared" si="38"/>
        <v>928.77798338306945</v>
      </c>
      <c r="O144" s="115" t="str">
        <f t="shared" si="39"/>
        <v>OK</v>
      </c>
      <c r="P144">
        <f t="shared" si="40"/>
        <v>906.43903736198956</v>
      </c>
      <c r="Q144">
        <f t="shared" si="41"/>
        <v>0.5</v>
      </c>
      <c r="R144">
        <f t="shared" si="42"/>
        <v>0.4</v>
      </c>
      <c r="S144">
        <f t="shared" si="43"/>
        <v>0.73333333333333339</v>
      </c>
      <c r="T144" s="83">
        <f t="shared" si="44"/>
        <v>3</v>
      </c>
      <c r="U144" s="120">
        <f>IF($D144="",0,IFERROR(LOOKUP(2,1/(($D$3:D143=$D144)*($C$3:C143=$C144)*($A$3:A143&lt;$A144)),$AB$3:AB143),1000))</f>
        <v>986.20271157060108</v>
      </c>
      <c r="V144" s="120">
        <f t="shared" si="45"/>
        <v>936.35041519021888</v>
      </c>
      <c r="W144">
        <f t="shared" si="46"/>
        <v>936.35041519021888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944.5105769179836</v>
      </c>
      <c r="I145" s="117">
        <f t="shared" si="36"/>
        <v>0.45454545454545447</v>
      </c>
      <c r="J145" s="118">
        <f>IF($D145="",0,IF($F145&lt;2,0,IF($E145="Win",('Guide &amp; Settings'!$C$42/(($F145-1)*COUNTIFS($A$4:$A$810,$A145,$E$4:$E$810,"Win")))*SUMIFS($X$4:$X$810,$A$4:$A$810,$A145,$E$4:$E$810,"Loss"),-('Guide &amp; Settings'!$C$42/($F145-1))*$X145)))</f>
        <v>-16.884400566534442</v>
      </c>
      <c r="K145" s="118">
        <f>IF($D145="",0,'Guide &amp; Settings'!$C$43*(IF($E145="Win",1,0)-$I145))</f>
        <v>-5.4545454545454533</v>
      </c>
      <c r="L145" s="119">
        <f>IF($D145="",0,'Guide &amp; Settings'!$C$44*IF($F145&gt;=3,$F145,0))</f>
        <v>0</v>
      </c>
      <c r="M145" s="118">
        <f t="shared" si="37"/>
        <v>-22.338946021079895</v>
      </c>
      <c r="N145" s="116">
        <f t="shared" si="38"/>
        <v>922.17163089690371</v>
      </c>
      <c r="O145" s="115" t="str">
        <f t="shared" si="39"/>
        <v>OK</v>
      </c>
      <c r="P145">
        <f t="shared" si="40"/>
        <v>906.43903736198956</v>
      </c>
      <c r="Q145">
        <f t="shared" si="41"/>
        <v>0.55457110361677942</v>
      </c>
      <c r="R145">
        <f t="shared" si="42"/>
        <v>0.33333333333333331</v>
      </c>
      <c r="S145">
        <f t="shared" si="43"/>
        <v>0.73333333333333339</v>
      </c>
      <c r="T145" s="83">
        <f t="shared" si="44"/>
        <v>4</v>
      </c>
      <c r="U145" s="120">
        <f>IF($D145="",0,IFERROR(LOOKUP(2,1/(($D$3:D144=$D145)*($C$3:C144=$C145)*($A$3:A144&lt;$A145)),$AB$3:AB144),1000))</f>
        <v>969.40445812732128</v>
      </c>
      <c r="V145" s="120">
        <f t="shared" si="45"/>
        <v>955.57452412213365</v>
      </c>
      <c r="W145">
        <f t="shared" si="46"/>
        <v>936.35041519021888</v>
      </c>
      <c r="X145">
        <f t="shared" si="47"/>
        <v>0.52763751770420131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1064.7958892852189</v>
      </c>
      <c r="I146" s="117">
        <f t="shared" si="36"/>
        <v>0.61538461538461542</v>
      </c>
      <c r="J146" s="118">
        <f>IF($D146="",0,IF($F146&lt;2,0,IF($E146="Win",('Guide &amp; Settings'!$C$42/(($F146-1)*COUNTIFS($A$4:$A$810,$A146,$E$4:$E$810,"Win")))*SUMIFS($X$4:$X$810,$A$4:$A$810,$A146,$E$4:$E$810,"Loss"),-('Guide &amp; Settings'!$C$42/($F146-1))*$X146)))</f>
        <v>11.673132748701628</v>
      </c>
      <c r="K146" s="118">
        <f>IF($D146="",0,'Guide &amp; Settings'!$C$43*(IF($E146="Win",1,0)-$I146))</f>
        <v>4.615384615384615</v>
      </c>
      <c r="L146" s="119">
        <f>IF($D146="",0,'Guide &amp; Settings'!$C$44*IF($F146&gt;=3,$F146,0))</f>
        <v>0</v>
      </c>
      <c r="M146" s="118">
        <f t="shared" si="37"/>
        <v>16.288517364086243</v>
      </c>
      <c r="N146" s="116">
        <f t="shared" si="38"/>
        <v>1081.084406649305</v>
      </c>
      <c r="O146" s="115" t="str">
        <f t="shared" si="39"/>
        <v>OK</v>
      </c>
      <c r="P146">
        <f t="shared" si="40"/>
        <v>1064.7958892852189</v>
      </c>
      <c r="Q146">
        <f t="shared" si="41"/>
        <v>0.5</v>
      </c>
      <c r="R146">
        <f t="shared" si="42"/>
        <v>0.8</v>
      </c>
      <c r="S146">
        <f t="shared" si="43"/>
        <v>1.3</v>
      </c>
      <c r="T146" s="83">
        <f t="shared" si="44"/>
        <v>3</v>
      </c>
      <c r="U146" s="120">
        <f>IF($D146="",0,IFERROR(LOOKUP(2,1/(($D$3:D145=$D146)*($C$3:C145=$C146)*($A$3:A145&lt;$A146)),$AB$3:AB145),1000))</f>
        <v>1045.1291370955996</v>
      </c>
      <c r="V146" s="120">
        <f t="shared" si="45"/>
        <v>1057.4208572141115</v>
      </c>
      <c r="W146">
        <f t="shared" si="46"/>
        <v>1057.4208572141115</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928.77798338306945</v>
      </c>
      <c r="I147" s="117">
        <f t="shared" si="36"/>
        <v>0.38461538461538458</v>
      </c>
      <c r="J147" s="118">
        <f>IF($D147="",0,IF($F147&lt;2,0,IF($E147="Win",('Guide &amp; Settings'!$C$42/(($F147-1)*COUNTIFS($A$4:$A$810,$A147,$E$4:$E$810,"Win")))*SUMIFS($X$4:$X$810,$A$4:$A$810,$A147,$E$4:$E$810,"Loss"),-('Guide &amp; Settings'!$C$42/($F147-1))*$X147)))</f>
        <v>-11.673132748701628</v>
      </c>
      <c r="K147" s="118">
        <f>IF($D147="",0,'Guide &amp; Settings'!$C$43*(IF($E147="Win",1,0)-$I147))</f>
        <v>-4.615384615384615</v>
      </c>
      <c r="L147" s="119">
        <f>IF($D147="",0,'Guide &amp; Settings'!$C$44*IF($F147&gt;=3,$F147,0))</f>
        <v>0</v>
      </c>
      <c r="M147" s="118">
        <f t="shared" si="37"/>
        <v>-16.288517364086243</v>
      </c>
      <c r="N147" s="116">
        <f t="shared" si="38"/>
        <v>912.48946601898319</v>
      </c>
      <c r="O147" s="115" t="str">
        <f t="shared" si="39"/>
        <v>OK</v>
      </c>
      <c r="P147">
        <f t="shared" si="40"/>
        <v>1064.7958892852189</v>
      </c>
      <c r="Q147">
        <f t="shared" si="41"/>
        <v>0.3136775515714163</v>
      </c>
      <c r="R147">
        <f t="shared" si="42"/>
        <v>0.5</v>
      </c>
      <c r="S147">
        <f t="shared" si="43"/>
        <v>1.3</v>
      </c>
      <c r="T147" s="83">
        <f t="shared" si="44"/>
        <v>4</v>
      </c>
      <c r="U147" s="120">
        <f>IF($D147="",0,IFERROR(LOOKUP(2,1/(($D$3:D146=$D147)*($C$3:C146=$C147)*($A$3:A146&lt;$A147)),$AB$3:AB146),1000))</f>
        <v>1001.4297256411783</v>
      </c>
      <c r="V147" s="120">
        <f t="shared" si="45"/>
        <v>961.06764660889553</v>
      </c>
      <c r="W147">
        <f t="shared" si="46"/>
        <v>1057.4208572141115</v>
      </c>
      <c r="X147">
        <f t="shared" si="47"/>
        <v>0.36478539839692586</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988.19417301284341</v>
      </c>
      <c r="I148" s="117">
        <f t="shared" si="36"/>
        <v>0.2608695652173913</v>
      </c>
      <c r="J148" s="118">
        <f>IF($D148="",0,IF($F148&lt;2,0,IF($E148="Win",('Guide &amp; Settings'!$C$42/(($F148-1)*COUNTIFS($A$4:$A$810,$A148,$E$4:$E$810,"Win")))*SUMIFS($X$4:$X$810,$A$4:$A$810,$A148,$E$4:$E$810,"Loss"),-('Guide &amp; Settings'!$C$42/($F148-1))*$X148)))</f>
        <v>5.0390569864289532</v>
      </c>
      <c r="K148" s="118">
        <f>IF($D148="",0,'Guide &amp; Settings'!$C$43*(IF($E148="Win",1,0)-$I148))</f>
        <v>8.8695652173913047</v>
      </c>
      <c r="L148" s="119">
        <f>IF($D148="",0,'Guide &amp; Settings'!$C$44*IF($F148&gt;=3,$F148,0))</f>
        <v>4</v>
      </c>
      <c r="M148" s="118">
        <f t="shared" si="37"/>
        <v>17.908622203820258</v>
      </c>
      <c r="N148" s="116">
        <f t="shared" si="38"/>
        <v>1006.1027952166637</v>
      </c>
      <c r="O148" s="115" t="str">
        <f t="shared" si="39"/>
        <v>OK</v>
      </c>
      <c r="P148">
        <f t="shared" si="40"/>
        <v>1055.1700036069392</v>
      </c>
      <c r="Q148">
        <f t="shared" si="41"/>
        <v>0.40479048127992689</v>
      </c>
      <c r="R148">
        <f t="shared" si="42"/>
        <v>0.5</v>
      </c>
      <c r="S148">
        <f t="shared" si="43"/>
        <v>1.9166666666666665</v>
      </c>
      <c r="T148" s="83">
        <f t="shared" si="44"/>
        <v>2</v>
      </c>
      <c r="U148" s="120">
        <f>IF($D148="",0,IFERROR(LOOKUP(2,1/(($D$3:D147=$D148)*($C$3:C147=$C148)*($A$3:A147&lt;$A148)),$AB$3:AB147),1000))</f>
        <v>999.26369320647802</v>
      </c>
      <c r="V148" s="120">
        <f t="shared" si="45"/>
        <v>991.35689306816766</v>
      </c>
      <c r="W148">
        <f t="shared" si="46"/>
        <v>1045.2392107845151</v>
      </c>
      <c r="X148">
        <f t="shared" si="47"/>
        <v>0.42307286506570896</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1122.1458342010349</v>
      </c>
      <c r="I149" s="117">
        <f t="shared" si="36"/>
        <v>0.17391304347826086</v>
      </c>
      <c r="J149" s="118">
        <f>IF($D149="",0,IF($F149&lt;2,0,IF($E149="Win",('Guide &amp; Settings'!$C$42/(($F149-1)*COUNTIFS($A$4:$A$810,$A149,$E$4:$E$810,"Win")))*SUMIFS($X$4:$X$810,$A$4:$A$810,$A149,$E$4:$E$810,"Loss"),-('Guide &amp; Settings'!$C$42/($F149-1))*$X149)))</f>
        <v>5.0390569864289532</v>
      </c>
      <c r="K149" s="118">
        <f>IF($D149="",0,'Guide &amp; Settings'!$C$43*(IF($E149="Win",1,0)-$I149))</f>
        <v>9.9130434782608692</v>
      </c>
      <c r="L149" s="119">
        <f>IF($D149="",0,'Guide &amp; Settings'!$C$44*IF($F149&gt;=3,$F149,0))</f>
        <v>4</v>
      </c>
      <c r="M149" s="118">
        <f t="shared" si="37"/>
        <v>18.952100464689821</v>
      </c>
      <c r="N149" s="116">
        <f t="shared" si="38"/>
        <v>1141.0979346657248</v>
      </c>
      <c r="O149" s="115" t="str">
        <f t="shared" si="39"/>
        <v>OK</v>
      </c>
      <c r="P149">
        <f t="shared" si="40"/>
        <v>1055.1700036069392</v>
      </c>
      <c r="Q149">
        <f t="shared" si="41"/>
        <v>0.59520951872007299</v>
      </c>
      <c r="R149">
        <f t="shared" si="42"/>
        <v>0.33333333333333331</v>
      </c>
      <c r="S149">
        <f t="shared" si="43"/>
        <v>1.9166666666666665</v>
      </c>
      <c r="T149" s="83">
        <f t="shared" si="44"/>
        <v>1</v>
      </c>
      <c r="U149" s="120">
        <f>IF($D149="",0,IFERROR(LOOKUP(2,1/(($D$3:D148=$D149)*($C$3:C148=$C149)*($A$3:A148&lt;$A149)),$AB$3:AB148),1000))</f>
        <v>984</v>
      </c>
      <c r="V149" s="120">
        <f t="shared" si="45"/>
        <v>1099.1215285008625</v>
      </c>
      <c r="W149">
        <f t="shared" si="46"/>
        <v>1045.2392107845151</v>
      </c>
      <c r="X149">
        <f t="shared" si="47"/>
        <v>0.57692713493429104</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1092.0378539776184</v>
      </c>
      <c r="I150" s="117">
        <f t="shared" si="36"/>
        <v>0.39130434782608697</v>
      </c>
      <c r="J150" s="118">
        <f>IF($D150="",0,IF($F150&lt;2,0,IF($E150="Win",('Guide &amp; Settings'!$C$42/(($F150-1)*COUNTIFS($A$4:$A$810,$A150,$E$4:$E$810,"Win")))*SUMIFS($X$4:$X$810,$A$4:$A$810,$A150,$E$4:$E$810,"Loss"),-('Guide &amp; Settings'!$C$42/($F150-1))*$X150)))</f>
        <v>-5.787299303928604</v>
      </c>
      <c r="K150" s="118">
        <f>IF($D150="",0,'Guide &amp; Settings'!$C$43*(IF($E150="Win",1,0)-$I150))</f>
        <v>-4.6956521739130439</v>
      </c>
      <c r="L150" s="119">
        <f>IF($D150="",0,'Guide &amp; Settings'!$C$44*IF($F150&gt;=3,$F150,0))</f>
        <v>4</v>
      </c>
      <c r="M150" s="118">
        <f t="shared" si="37"/>
        <v>-6.4829514778416488</v>
      </c>
      <c r="N150" s="116">
        <f t="shared" si="38"/>
        <v>1085.5549024997767</v>
      </c>
      <c r="O150" s="115" t="str">
        <f t="shared" si="39"/>
        <v>OK</v>
      </c>
      <c r="P150">
        <f t="shared" si="40"/>
        <v>1055.1700036069392</v>
      </c>
      <c r="Q150">
        <f t="shared" si="41"/>
        <v>0.5528588496160477</v>
      </c>
      <c r="R150">
        <f t="shared" si="42"/>
        <v>0.75</v>
      </c>
      <c r="S150">
        <f t="shared" si="43"/>
        <v>1.9166666666666665</v>
      </c>
      <c r="T150" s="83">
        <f t="shared" si="44"/>
        <v>2</v>
      </c>
      <c r="U150" s="120">
        <f>IF($D150="",0,IFERROR(LOOKUP(2,1/(($D$3:D149=$D150)*($C$3:C149=$C150)*($A$3:A149&lt;$A150)),$AB$3:AB149),1000))</f>
        <v>1032</v>
      </c>
      <c r="V150" s="120">
        <f t="shared" si="45"/>
        <v>1074.8841814125847</v>
      </c>
      <c r="W150">
        <f t="shared" si="46"/>
        <v>1045.2392107845151</v>
      </c>
      <c r="X150">
        <f t="shared" si="47"/>
        <v>0.54255930974330668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974.92778705998126</v>
      </c>
      <c r="I151" s="117">
        <f t="shared" si="36"/>
        <v>0.17391304347826086</v>
      </c>
      <c r="J151" s="118">
        <f>IF($D151="",0,IF($F151&lt;2,0,IF($E151="Win",('Guide &amp; Settings'!$C$42/(($F151-1)*COUNTIFS($A$4:$A$810,$A151,$E$4:$E$810,"Win")))*SUMIFS($X$4:$X$810,$A$4:$A$810,$A151,$E$4:$E$810,"Loss"),-('Guide &amp; Settings'!$C$42/($F151-1))*$X151)))</f>
        <v>-4.2908146689293023</v>
      </c>
      <c r="K151" s="118">
        <f>IF($D151="",0,'Guide &amp; Settings'!$C$43*(IF($E151="Win",1,0)-$I151))</f>
        <v>-2.0869565217391304</v>
      </c>
      <c r="L151" s="119">
        <f>IF($D151="",0,'Guide &amp; Settings'!$C$44*IF($F151&gt;=3,$F151,0))</f>
        <v>4</v>
      </c>
      <c r="M151" s="118">
        <f t="shared" si="37"/>
        <v>-2.3777711906684331</v>
      </c>
      <c r="N151" s="116">
        <f t="shared" si="38"/>
        <v>972.5500158693128</v>
      </c>
      <c r="O151" s="115" t="str">
        <f t="shared" si="39"/>
        <v>OK</v>
      </c>
      <c r="P151">
        <f t="shared" si="40"/>
        <v>1055.1700036069392</v>
      </c>
      <c r="Q151">
        <f t="shared" si="41"/>
        <v>0.38653250152396323</v>
      </c>
      <c r="R151">
        <f t="shared" si="42"/>
        <v>0.33333333333333331</v>
      </c>
      <c r="S151">
        <f t="shared" si="43"/>
        <v>1.9166666666666665</v>
      </c>
      <c r="T151" s="83">
        <f t="shared" si="44"/>
        <v>1</v>
      </c>
      <c r="U151" s="120">
        <f>IF($D151="",0,IFERROR(LOOKUP(2,1/(($D$3:D150=$D151)*($C$3:C150=$C151)*($A$3:A150&lt;$A151)),$AB$3:AB150),1000))</f>
        <v>984</v>
      </c>
      <c r="V151" s="120">
        <f t="shared" si="45"/>
        <v>976.43982254998446</v>
      </c>
      <c r="W151">
        <f t="shared" si="46"/>
        <v>1045.2392107845151</v>
      </c>
      <c r="X151">
        <f t="shared" si="47"/>
        <v>0.40226387521212209</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922.17163089690371</v>
      </c>
      <c r="I152" s="117">
        <f t="shared" si="36"/>
        <v>0.12875536480686695</v>
      </c>
      <c r="J152" s="118">
        <f>IF($D152="",0,IF($F152&lt;2,0,IF($E152="Win",('Guide &amp; Settings'!$C$42/(($F152-1)*COUNTIFS($A$4:$A$810,$A152,$E$4:$E$810,"Win")))*SUMIFS($X$4:$X$810,$A$4:$A$810,$A152,$E$4:$E$810,"Loss"),-('Guide &amp; Settings'!$C$42/($F152-1))*$X152)))</f>
        <v>6.0377431655972345</v>
      </c>
      <c r="K152" s="118">
        <f>IF($D152="",0,'Guide &amp; Settings'!$C$43*(IF($E152="Win",1,0)-$I152))</f>
        <v>10.454935622317597</v>
      </c>
      <c r="L152" s="119">
        <f>IF($D152="",0,'Guide &amp; Settings'!$C$44*IF($F152&gt;=3,$F152,0))</f>
        <v>4</v>
      </c>
      <c r="M152" s="118">
        <f t="shared" si="37"/>
        <v>20.492678787914834</v>
      </c>
      <c r="N152" s="116">
        <f t="shared" si="38"/>
        <v>942.66430968481859</v>
      </c>
      <c r="O152" s="115" t="str">
        <f t="shared" si="39"/>
        <v>OK</v>
      </c>
      <c r="P152">
        <f t="shared" si="40"/>
        <v>1001.6280187731044</v>
      </c>
      <c r="Q152">
        <f t="shared" si="41"/>
        <v>0.38760570822243079</v>
      </c>
      <c r="R152">
        <f t="shared" si="42"/>
        <v>0.2857142857142857</v>
      </c>
      <c r="S152">
        <f t="shared" si="43"/>
        <v>2.2190476190476192</v>
      </c>
      <c r="T152" s="83">
        <f t="shared" si="44"/>
        <v>5</v>
      </c>
      <c r="U152" s="120">
        <f>IF($D152="",0,IFERROR(LOOKUP(2,1/(($D$3:D151=$D152)*($C$3:C151=$C152)*($A$3:A151&lt;$A152)),$AB$3:AB151),1000))</f>
        <v>954.17744405674409</v>
      </c>
      <c r="V152" s="120">
        <f t="shared" si="45"/>
        <v>938.17453747682384</v>
      </c>
      <c r="W152">
        <f t="shared" si="46"/>
        <v>1004.7501039705544</v>
      </c>
      <c r="X152">
        <f t="shared" si="47"/>
        <v>0.4053457428124756</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1081.084406649305</v>
      </c>
      <c r="I153" s="117">
        <f t="shared" si="36"/>
        <v>0.37553648068669526</v>
      </c>
      <c r="J153" s="118">
        <f>IF($D153="",0,IF($F153&lt;2,0,IF($E153="Win",('Guide &amp; Settings'!$C$42/(($F153-1)*COUNTIFS($A$4:$A$810,$A153,$E$4:$E$810,"Win")))*SUMIFS($X$4:$X$810,$A$4:$A$810,$A153,$E$4:$E$810,"Loss"),-('Guide &amp; Settings'!$C$42/($F153-1))*$X153)))</f>
        <v>6.0377431655972345</v>
      </c>
      <c r="K153" s="118">
        <f>IF($D153="",0,'Guide &amp; Settings'!$C$43*(IF($E153="Win",1,0)-$I153))</f>
        <v>7.4935622317596575</v>
      </c>
      <c r="L153" s="119">
        <f>IF($D153="",0,'Guide &amp; Settings'!$C$44*IF($F153&gt;=3,$F153,0))</f>
        <v>4</v>
      </c>
      <c r="M153" s="118">
        <f t="shared" si="37"/>
        <v>17.531305397356892</v>
      </c>
      <c r="N153" s="116">
        <f t="shared" si="38"/>
        <v>1098.6157120466619</v>
      </c>
      <c r="O153" s="115" t="str">
        <f t="shared" si="39"/>
        <v>OK</v>
      </c>
      <c r="P153">
        <f t="shared" si="40"/>
        <v>1001.6280187731044</v>
      </c>
      <c r="Q153">
        <f t="shared" si="41"/>
        <v>0.61239429177756921</v>
      </c>
      <c r="R153">
        <f t="shared" si="42"/>
        <v>0.83333333333333337</v>
      </c>
      <c r="S153">
        <f t="shared" si="43"/>
        <v>2.2190476190476192</v>
      </c>
      <c r="T153" s="83">
        <f t="shared" si="44"/>
        <v>4</v>
      </c>
      <c r="U153" s="120">
        <f>IF($D153="",0,IFERROR(LOOKUP(2,1/(($D$3:D152=$D153)*($C$3:C152=$C153)*($A$3:A152&lt;$A153)),$AB$3:AB152),1000))</f>
        <v>1059.1272502330096</v>
      </c>
      <c r="V153" s="120">
        <f t="shared" si="45"/>
        <v>1071.3256704642849</v>
      </c>
      <c r="W153">
        <f t="shared" si="46"/>
        <v>1004.7501039705544</v>
      </c>
      <c r="X153">
        <f t="shared" si="47"/>
        <v>0.5946542571875244</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1006.1027952166637</v>
      </c>
      <c r="I154" s="117">
        <f t="shared" si="36"/>
        <v>0.27038626609442057</v>
      </c>
      <c r="J154" s="118">
        <f>IF($D154="",0,IF($F154&lt;2,0,IF($E154="Win",('Guide &amp; Settings'!$C$42/(($F154-1)*COUNTIFS($A$4:$A$810,$A154,$E$4:$E$810,"Win")))*SUMIFS($X$4:$X$810,$A$4:$A$810,$A154,$E$4:$E$810,"Loss"),-('Guide &amp; Settings'!$C$42/($F154-1))*$X154)))</f>
        <v>-5.3468684237226469</v>
      </c>
      <c r="K154" s="118">
        <f>IF($D154="",0,'Guide &amp; Settings'!$C$43*(IF($E154="Win",1,0)-$I154))</f>
        <v>-3.244635193133047</v>
      </c>
      <c r="L154" s="119">
        <f>IF($D154="",0,'Guide &amp; Settings'!$C$44*IF($F154&gt;=3,$F154,0))</f>
        <v>4</v>
      </c>
      <c r="M154" s="118">
        <f t="shared" si="37"/>
        <v>-4.5915036168556931</v>
      </c>
      <c r="N154" s="116">
        <f t="shared" si="38"/>
        <v>1001.511291599808</v>
      </c>
      <c r="O154" s="115" t="str">
        <f t="shared" si="39"/>
        <v>OK</v>
      </c>
      <c r="P154">
        <f t="shared" si="40"/>
        <v>1001.6280187731044</v>
      </c>
      <c r="Q154">
        <f t="shared" si="41"/>
        <v>0.50643936490832331</v>
      </c>
      <c r="R154">
        <f t="shared" si="42"/>
        <v>0.6</v>
      </c>
      <c r="S154">
        <f t="shared" si="43"/>
        <v>2.2190476190476192</v>
      </c>
      <c r="T154" s="83">
        <f t="shared" si="44"/>
        <v>3</v>
      </c>
      <c r="U154" s="120">
        <f>IF($D154="",0,IFERROR(LOOKUP(2,1/(($D$3:D153=$D154)*($C$3:C153=$C154)*($A$3:A153&lt;$A154)),$AB$3:AB153),1000))</f>
        <v>1004.8469096355284</v>
      </c>
      <c r="V154" s="120">
        <f t="shared" si="45"/>
        <v>1005.631838123738</v>
      </c>
      <c r="W154">
        <f t="shared" si="46"/>
        <v>1004.7501039705544</v>
      </c>
      <c r="X154">
        <f t="shared" si="47"/>
        <v>0.50126891472399815</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1141.0979346657248</v>
      </c>
      <c r="I155" s="117">
        <f t="shared" si="36"/>
        <v>0.22532188841201717</v>
      </c>
      <c r="J155" s="118">
        <f>IF($D155="",0,IF($F155&lt;2,0,IF($E155="Win",('Guide &amp; Settings'!$C$42/(($F155-1)*COUNTIFS($A$4:$A$810,$A155,$E$4:$E$810,"Win")))*SUMIFS($X$4:$X$810,$A$4:$A$810,$A155,$E$4:$E$810,"Loss"),-('Guide &amp; Settings'!$C$42/($F155-1))*$X155)))</f>
        <v>-6.7286179074718229</v>
      </c>
      <c r="K155" s="118">
        <f>IF($D155="",0,'Guide &amp; Settings'!$C$43*(IF($E155="Win",1,0)-$I155))</f>
        <v>-2.703862660944206</v>
      </c>
      <c r="L155" s="119">
        <f>IF($D155="",0,'Guide &amp; Settings'!$C$44*IF($F155&gt;=3,$F155,0))</f>
        <v>4</v>
      </c>
      <c r="M155" s="118">
        <f t="shared" si="37"/>
        <v>-5.4324805684160289</v>
      </c>
      <c r="N155" s="116">
        <f t="shared" si="38"/>
        <v>1135.6654540973088</v>
      </c>
      <c r="O155" s="115" t="str">
        <f t="shared" si="39"/>
        <v>OK</v>
      </c>
      <c r="P155">
        <f t="shared" si="40"/>
        <v>1001.6280187731044</v>
      </c>
      <c r="Q155">
        <f t="shared" si="41"/>
        <v>0.69058451421641132</v>
      </c>
      <c r="R155">
        <f t="shared" si="42"/>
        <v>0.5</v>
      </c>
      <c r="S155">
        <f t="shared" si="43"/>
        <v>2.2190476190476192</v>
      </c>
      <c r="T155" s="83">
        <f t="shared" si="44"/>
        <v>2</v>
      </c>
      <c r="U155" s="120">
        <f>IF($D155="",0,IFERROR(LOOKUP(2,1/(($D$3:D154=$D155)*($C$3:C154=$C155)*($A$3:A154&lt;$A155)),$AB$3:AB154),1000))</f>
        <v>989.58321642905037</v>
      </c>
      <c r="V155" s="120">
        <f t="shared" si="45"/>
        <v>1097.8080151695322</v>
      </c>
      <c r="W155">
        <f t="shared" si="46"/>
        <v>1004.7501039705544</v>
      </c>
      <c r="X155">
        <f t="shared" si="47"/>
        <v>0.63080792882548342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1098.6157120466619</v>
      </c>
      <c r="I156" s="117">
        <f t="shared" si="36"/>
        <v>0.38399999999999995</v>
      </c>
      <c r="J156" s="118">
        <f>IF($D156="",0,IF($F156&lt;2,0,IF($E156="Win",('Guide &amp; Settings'!$C$42/(($F156-1)*COUNTIFS($A$4:$A$810,$A156,$E$4:$E$810,"Win")))*SUMIFS($X$4:$X$810,$A$4:$A$810,$A156,$E$4:$E$810,"Loss"),-('Guide &amp; Settings'!$C$42/($F156-1))*$X156)))</f>
        <v>4.8140265020540536</v>
      </c>
      <c r="K156" s="118">
        <f>IF($D156="",0,'Guide &amp; Settings'!$C$43*(IF($E156="Win",1,0)-$I156))</f>
        <v>7.3920000000000012</v>
      </c>
      <c r="L156" s="119">
        <f>IF($D156="",0,'Guide &amp; Settings'!$C$44*IF($F156&gt;=3,$F156,0))</f>
        <v>4</v>
      </c>
      <c r="M156" s="118">
        <f t="shared" si="37"/>
        <v>16.206026502054055</v>
      </c>
      <c r="N156" s="116">
        <f t="shared" si="38"/>
        <v>1114.821738548716</v>
      </c>
      <c r="O156" s="115" t="str">
        <f t="shared" si="39"/>
        <v>OK</v>
      </c>
      <c r="P156">
        <f t="shared" si="40"/>
        <v>1020.6400108657402</v>
      </c>
      <c r="Q156">
        <f t="shared" si="41"/>
        <v>0.61036915766612798</v>
      </c>
      <c r="R156">
        <f t="shared" si="42"/>
        <v>0.8571428571428571</v>
      </c>
      <c r="S156">
        <f t="shared" si="43"/>
        <v>2.2321428571428572</v>
      </c>
      <c r="T156" s="83">
        <f t="shared" si="44"/>
        <v>5</v>
      </c>
      <c r="U156" s="120">
        <f>IF($D156="",0,IFERROR(LOOKUP(2,1/(($D$3:D155=$D156)*($C$3:C155=$C156)*($A$3:A155&lt;$A156)),$AB$3:AB155),1000))</f>
        <v>1064.3158213290476</v>
      </c>
      <c r="V156" s="120">
        <f t="shared" si="45"/>
        <v>1081.4657666878547</v>
      </c>
      <c r="W156">
        <f t="shared" si="46"/>
        <v>1016.6200487685085</v>
      </c>
      <c r="X156">
        <f t="shared" si="47"/>
        <v>0.59225177664658835</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942.66430968481859</v>
      </c>
      <c r="I157" s="117">
        <f t="shared" si="36"/>
        <v>0.16799999999999998</v>
      </c>
      <c r="J157" s="118">
        <f>IF($D157="",0,IF($F157&lt;2,0,IF($E157="Win",('Guide &amp; Settings'!$C$42/(($F157-1)*COUNTIFS($A$4:$A$810,$A157,$E$4:$E$810,"Win")))*SUMIFS($X$4:$X$810,$A$4:$A$810,$A157,$E$4:$E$810,"Loss"),-('Guide &amp; Settings'!$C$42/($F157-1))*$X157)))</f>
        <v>4.8140265020540536</v>
      </c>
      <c r="K157" s="118">
        <f>IF($D157="",0,'Guide &amp; Settings'!$C$43*(IF($E157="Win",1,0)-$I157))</f>
        <v>9.9840000000000018</v>
      </c>
      <c r="L157" s="119">
        <f>IF($D157="",0,'Guide &amp; Settings'!$C$44*IF($F157&gt;=3,$F157,0))</f>
        <v>4</v>
      </c>
      <c r="M157" s="118">
        <f t="shared" si="37"/>
        <v>18.798026502054057</v>
      </c>
      <c r="N157" s="116">
        <f t="shared" si="38"/>
        <v>961.46233618687268</v>
      </c>
      <c r="O157" s="115" t="str">
        <f t="shared" si="39"/>
        <v>OK</v>
      </c>
      <c r="P157">
        <f t="shared" si="40"/>
        <v>1020.6400108657402</v>
      </c>
      <c r="Q157">
        <f t="shared" si="41"/>
        <v>0.38963084233387202</v>
      </c>
      <c r="R157">
        <f t="shared" si="42"/>
        <v>0.375</v>
      </c>
      <c r="S157">
        <f t="shared" si="43"/>
        <v>2.2321428571428572</v>
      </c>
      <c r="T157" s="83">
        <f t="shared" si="44"/>
        <v>6</v>
      </c>
      <c r="U157" s="120">
        <f>IF($D157="",0,IFERROR(LOOKUP(2,1/(($D$3:D156=$D157)*($C$3:C156=$C157)*($A$3:A156&lt;$A157)),$AB$3:AB156),1000))</f>
        <v>959.36601515278198</v>
      </c>
      <c r="V157" s="120">
        <f t="shared" si="45"/>
        <v>951.7743308491622</v>
      </c>
      <c r="W157">
        <f t="shared" si="46"/>
        <v>1016.6200487685085</v>
      </c>
      <c r="X157">
        <f t="shared" si="47"/>
        <v>0.4077482233534116</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951.2737556356999</v>
      </c>
      <c r="I158" s="117">
        <f t="shared" si="36"/>
        <v>0.224</v>
      </c>
      <c r="J158" s="118">
        <f>IF($D158="",0,IF($F158&lt;2,0,IF($E158="Win",('Guide &amp; Settings'!$C$42/(($F158-1)*COUNTIFS($A$4:$A$810,$A158,$E$4:$E$810,"Win")))*SUMIFS($X$4:$X$810,$A$4:$A$810,$A158,$E$4:$E$810,"Loss"),-('Guide &amp; Settings'!$C$42/($F158-1))*$X158)))</f>
        <v>-4.5496524217997738</v>
      </c>
      <c r="K158" s="118">
        <f>IF($D158="",0,'Guide &amp; Settings'!$C$43*(IF($E158="Win",1,0)-$I158))</f>
        <v>-2.6880000000000002</v>
      </c>
      <c r="L158" s="119">
        <f>IF($D158="",0,'Guide &amp; Settings'!$C$44*IF($F158&gt;=3,$F158,0))</f>
        <v>4</v>
      </c>
      <c r="M158" s="118">
        <f t="shared" si="37"/>
        <v>-3.2376524217997744</v>
      </c>
      <c r="N158" s="116">
        <f t="shared" si="38"/>
        <v>948.03610321390011</v>
      </c>
      <c r="O158" s="115" t="str">
        <f t="shared" si="39"/>
        <v>OK</v>
      </c>
      <c r="P158">
        <f t="shared" si="40"/>
        <v>1020.6400108657402</v>
      </c>
      <c r="Q158">
        <f t="shared" si="41"/>
        <v>0.40147950961950735</v>
      </c>
      <c r="R158">
        <f t="shared" si="42"/>
        <v>0.5</v>
      </c>
      <c r="S158">
        <f t="shared" si="43"/>
        <v>2.2321428571428572</v>
      </c>
      <c r="T158" s="83">
        <f t="shared" si="44"/>
        <v>2</v>
      </c>
      <c r="U158" s="120">
        <f>IF($D158="",0,IFERROR(LOOKUP(2,1/(($D$3:D157=$D158)*($C$3:C157=$C158)*($A$3:A157&lt;$A158)),$AB$3:AB157),1000))</f>
        <v>1000</v>
      </c>
      <c r="V158" s="120">
        <f t="shared" si="45"/>
        <v>965.19553973978577</v>
      </c>
      <c r="W158">
        <f t="shared" si="46"/>
        <v>1016.6200487685085</v>
      </c>
      <c r="X158">
        <f t="shared" si="47"/>
        <v>0.42652991454372879</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-5.0784005823083334</v>
      </c>
      <c r="K159" s="118">
        <f>IF($D159="",0,'Guide &amp; Settings'!$C$43*(IF($E159="Win",1,0)-$I159))</f>
        <v>-2.6880000000000002</v>
      </c>
      <c r="L159" s="119">
        <f>IF($D159="",0,'Guide &amp; Settings'!$C$44*IF($F159&gt;=3,$F159,0))</f>
        <v>4</v>
      </c>
      <c r="M159" s="118">
        <f t="shared" si="37"/>
        <v>-3.766400582308334</v>
      </c>
      <c r="N159" s="116">
        <f t="shared" si="38"/>
        <v>996.23359941769172</v>
      </c>
      <c r="O159" s="115" t="str">
        <f t="shared" si="39"/>
        <v>OK</v>
      </c>
      <c r="P159">
        <f t="shared" si="40"/>
        <v>1020.6400108657402</v>
      </c>
      <c r="Q159">
        <f t="shared" si="41"/>
        <v>0.47033153003884332</v>
      </c>
      <c r="R159">
        <f t="shared" si="42"/>
        <v>0.5</v>
      </c>
      <c r="S159">
        <f t="shared" si="43"/>
        <v>2.2321428571428572</v>
      </c>
      <c r="T159" s="83">
        <f t="shared" si="44"/>
        <v>0</v>
      </c>
      <c r="U159" s="120">
        <f>IF($D159="",0,IFERROR(LOOKUP(2,1/(($D$3:D158=$D159)*($C$3:C158=$C159)*($A$3:A158&lt;$A159)),$AB$3:AB158),1000))</f>
        <v>1000</v>
      </c>
      <c r="V159" s="120">
        <f t="shared" si="45"/>
        <v>1000</v>
      </c>
      <c r="W159">
        <f t="shared" si="46"/>
        <v>1016.6200487685085</v>
      </c>
      <c r="X159">
        <f t="shared" si="47"/>
        <v>0.47610005459140625</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1114.821738548716</v>
      </c>
      <c r="I160" s="117">
        <f t="shared" si="36"/>
        <v>0.43793445878848064</v>
      </c>
      <c r="J160" s="118">
        <f>IF($D160="",0,IF($F160&lt;2,0,IF($E160="Win",('Guide &amp; Settings'!$C$42/(($F160-1)*COUNTIFS($A$4:$A$810,$A160,$E$4:$E$810,"Win")))*SUMIFS($X$4:$X$810,$A$4:$A$810,$A160,$E$4:$E$810,"Loss"),-('Guide &amp; Settings'!$C$42/($F160-1))*$X160)))</f>
        <v>4.6252712844412409</v>
      </c>
      <c r="K160" s="118">
        <f>IF($D160="",0,'Guide &amp; Settings'!$C$43*(IF($E160="Win",1,0)-$I160))</f>
        <v>6.744786494538233</v>
      </c>
      <c r="L160" s="119">
        <f>IF($D160="",0,'Guide &amp; Settings'!$C$44*IF($F160&gt;=3,$F160,0))</f>
        <v>4</v>
      </c>
      <c r="M160" s="118">
        <f t="shared" si="37"/>
        <v>15.370057778979474</v>
      </c>
      <c r="N160" s="116">
        <f t="shared" si="38"/>
        <v>1130.1917963276956</v>
      </c>
      <c r="O160" s="115" t="str">
        <f t="shared" si="39"/>
        <v>OK</v>
      </c>
      <c r="P160">
        <f t="shared" si="40"/>
        <v>1038.1420373677943</v>
      </c>
      <c r="Q160">
        <f t="shared" si="41"/>
        <v>0.60859348735253671</v>
      </c>
      <c r="R160">
        <f t="shared" si="42"/>
        <v>0.875</v>
      </c>
      <c r="S160">
        <f t="shared" si="43"/>
        <v>1.998015873015873</v>
      </c>
      <c r="T160" s="83">
        <f t="shared" si="44"/>
        <v>6</v>
      </c>
      <c r="U160" s="120">
        <f>IF($D160="",0,IFERROR(LOOKUP(2,1/(($D$3:D159=$D160)*($C$3:C159=$C160)*($A$3:A159&lt;$A160)),$AB$3:AB159),1000))</f>
        <v>1069.4674601912629</v>
      </c>
      <c r="V160" s="120">
        <f t="shared" si="45"/>
        <v>1090.0830412628325</v>
      </c>
      <c r="W160">
        <f t="shared" si="46"/>
        <v>1026.6638230913891</v>
      </c>
      <c r="X160">
        <f t="shared" si="47"/>
        <v>0.59026727016584035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961.46233618687268</v>
      </c>
      <c r="I161" s="117">
        <f t="shared" si="36"/>
        <v>0.22244289970208539</v>
      </c>
      <c r="J161" s="118">
        <f>IF($D161="",0,IF($F161&lt;2,0,IF($E161="Win",('Guide &amp; Settings'!$C$42/(($F161-1)*COUNTIFS($A$4:$A$810,$A161,$E$4:$E$810,"Win")))*SUMIFS($X$4:$X$810,$A$4:$A$810,$A161,$E$4:$E$810,"Loss"),-('Guide &amp; Settings'!$C$42/($F161-1))*$X161)))</f>
        <v>4.6252712844412409</v>
      </c>
      <c r="K161" s="118">
        <f>IF($D161="",0,'Guide &amp; Settings'!$C$43*(IF($E161="Win",1,0)-$I161))</f>
        <v>9.3306852035749746</v>
      </c>
      <c r="L161" s="119">
        <f>IF($D161="",0,'Guide &amp; Settings'!$C$44*IF($F161&gt;=3,$F161,0))</f>
        <v>4</v>
      </c>
      <c r="M161" s="118">
        <f t="shared" si="37"/>
        <v>17.955956488016216</v>
      </c>
      <c r="N161" s="116">
        <f t="shared" si="38"/>
        <v>979.4182926748889</v>
      </c>
      <c r="O161" s="115" t="str">
        <f t="shared" si="39"/>
        <v>OK</v>
      </c>
      <c r="P161">
        <f t="shared" si="40"/>
        <v>1038.1420373677943</v>
      </c>
      <c r="Q161">
        <f t="shared" si="41"/>
        <v>0.39140651264746346</v>
      </c>
      <c r="R161">
        <f t="shared" si="42"/>
        <v>0.44444444444444442</v>
      </c>
      <c r="S161">
        <f t="shared" si="43"/>
        <v>1.998015873015873</v>
      </c>
      <c r="T161" s="83">
        <f t="shared" si="44"/>
        <v>7</v>
      </c>
      <c r="U161" s="120">
        <f>IF($D161="",0,IFERROR(LOOKUP(2,1/(($D$3:D160=$D161)*($C$3:C160=$C161)*($A$3:A160&lt;$A161)),$AB$3:AB160),1000))</f>
        <v>964.51765401499733</v>
      </c>
      <c r="V161" s="120">
        <f t="shared" si="45"/>
        <v>963.24460491994546</v>
      </c>
      <c r="W161">
        <f t="shared" si="46"/>
        <v>1026.6638230913891</v>
      </c>
      <c r="X161">
        <f t="shared" si="47"/>
        <v>0.40973272983415937</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912.48946601898319</v>
      </c>
      <c r="I162" s="117">
        <f t="shared" si="36"/>
        <v>0.2144985104270109</v>
      </c>
      <c r="J162" s="118">
        <f>IF($D162="",0,IF($F162&lt;2,0,IF($E162="Win",('Guide &amp; Settings'!$C$42/(($F162-1)*COUNTIFS($A$4:$A$810,$A162,$E$4:$E$810,"Win")))*SUMIFS($X$4:$X$810,$A$4:$A$810,$A162,$E$4:$E$810,"Loss"),-('Guide &amp; Settings'!$C$42/($F162-1))*$X162)))</f>
        <v>-4.1746578755546757</v>
      </c>
      <c r="K162" s="118">
        <f>IF($D162="",0,'Guide &amp; Settings'!$C$43*(IF($E162="Win",1,0)-$I162))</f>
        <v>-2.5739821251241306</v>
      </c>
      <c r="L162" s="119">
        <f>IF($D162="",0,'Guide &amp; Settings'!$C$44*IF($F162&gt;=3,$F162,0))</f>
        <v>4</v>
      </c>
      <c r="M162" s="118">
        <f t="shared" si="37"/>
        <v>-2.7486400006788063</v>
      </c>
      <c r="N162" s="116">
        <f t="shared" si="38"/>
        <v>909.74082601830435</v>
      </c>
      <c r="O162" s="115" t="str">
        <f t="shared" si="39"/>
        <v>OK</v>
      </c>
      <c r="P162">
        <f t="shared" si="40"/>
        <v>1038.1420373677943</v>
      </c>
      <c r="Q162">
        <f t="shared" si="41"/>
        <v>0.32666355969653349</v>
      </c>
      <c r="R162">
        <f t="shared" si="42"/>
        <v>0.42857142857142855</v>
      </c>
      <c r="S162">
        <f t="shared" si="43"/>
        <v>1.998015873015873</v>
      </c>
      <c r="T162" s="83">
        <f t="shared" si="44"/>
        <v>5</v>
      </c>
      <c r="U162" s="120">
        <f>IF($D162="",0,IFERROR(LOOKUP(2,1/(($D$3:D161=$D162)*($C$3:C161=$C162)*($A$3:A161&lt;$A162)),$AB$3:AB161),1000))</f>
        <v>987.43161250376841</v>
      </c>
      <c r="V162" s="120">
        <f t="shared" si="45"/>
        <v>949.96053926137574</v>
      </c>
      <c r="W162">
        <f t="shared" si="46"/>
        <v>1026.6638230913891</v>
      </c>
      <c r="X162">
        <f t="shared" si="47"/>
        <v>0.3913741758332509</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-5.0758846933278061</v>
      </c>
      <c r="K163" s="118">
        <f>IF($D163="",0,'Guide &amp; Settings'!$C$43*(IF($E163="Win",1,0)-$I163))</f>
        <v>-1.5014895729890765</v>
      </c>
      <c r="L163" s="119">
        <f>IF($D163="",0,'Guide &amp; Settings'!$C$44*IF($F163&gt;=3,$F163,0))</f>
        <v>4</v>
      </c>
      <c r="M163" s="118">
        <f t="shared" si="37"/>
        <v>-2.5773742663168822</v>
      </c>
      <c r="N163" s="116">
        <f t="shared" si="38"/>
        <v>1023.7594026829813</v>
      </c>
      <c r="O163" s="115" t="str">
        <f t="shared" si="39"/>
        <v>OK</v>
      </c>
      <c r="P163">
        <f t="shared" si="40"/>
        <v>1038.1420373677943</v>
      </c>
      <c r="Q163">
        <f t="shared" si="41"/>
        <v>0.48301739968568758</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1026.6638230913891</v>
      </c>
      <c r="X163">
        <f t="shared" si="47"/>
        <v>0.47586418999948188</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994.55452889075195</v>
      </c>
      <c r="I164" s="117">
        <f t="shared" si="36"/>
        <v>0.2608695652173913</v>
      </c>
      <c r="J164" s="118">
        <f>IF($D164="",0,IF($F164&lt;2,0,IF($E164="Win",('Guide &amp; Settings'!$C$42/(($F164-1)*COUNTIFS($A$4:$A$810,$A164,$E$4:$E$810,"Win")))*SUMIFS($X$4:$X$810,$A$4:$A$810,$A164,$E$4:$E$810,"Loss"),-('Guide &amp; Settings'!$C$42/($F164-1))*$X164)))</f>
        <v>5.8710885566634632</v>
      </c>
      <c r="K164" s="118">
        <f>IF($D164="",0,'Guide &amp; Settings'!$C$43*(IF($E164="Win",1,0)-$I164))</f>
        <v>8.8695652173913047</v>
      </c>
      <c r="L164" s="119">
        <f>IF($D164="",0,'Guide &amp; Settings'!$C$44*IF($F164&gt;=3,$F164,0))</f>
        <v>4</v>
      </c>
      <c r="M164" s="118">
        <f t="shared" si="37"/>
        <v>18.740653774054767</v>
      </c>
      <c r="N164" s="116">
        <f t="shared" si="38"/>
        <v>1013.2951826648067</v>
      </c>
      <c r="O164" s="115" t="str">
        <f t="shared" si="39"/>
        <v>OK</v>
      </c>
      <c r="P164">
        <f t="shared" si="40"/>
        <v>997.27726444537598</v>
      </c>
      <c r="Q164">
        <f t="shared" si="41"/>
        <v>0.49608174877291339</v>
      </c>
      <c r="R164">
        <f t="shared" si="42"/>
        <v>0.66666666666666663</v>
      </c>
      <c r="S164">
        <f t="shared" si="43"/>
        <v>2.5555555555555554</v>
      </c>
      <c r="T164" s="83">
        <f t="shared" si="44"/>
        <v>1</v>
      </c>
      <c r="U164" s="120">
        <f>IF($D164="",0,IFERROR(LOOKUP(2,1/(($D$3:D163=$D164)*($C$3:C163=$C164)*($A$3:A163&lt;$A164)),$AB$3:AB163),1000))</f>
        <v>1016</v>
      </c>
      <c r="V164" s="120">
        <f t="shared" si="45"/>
        <v>998.12877407562655</v>
      </c>
      <c r="W164">
        <f t="shared" si="46"/>
        <v>999.06438703781328</v>
      </c>
      <c r="X164">
        <f t="shared" si="47"/>
        <v>0.49865354796750289</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5.8710885566634632</v>
      </c>
      <c r="K165" s="118">
        <f>IF($D165="",0,'Guide &amp; Settings'!$C$43*(IF($E165="Win",1,0)-$I165))</f>
        <v>9.6521739130434785</v>
      </c>
      <c r="L165" s="119">
        <f>IF($D165="",0,'Guide &amp; Settings'!$C$44*IF($F165&gt;=3,$F165,0))</f>
        <v>4</v>
      </c>
      <c r="M165" s="118">
        <f t="shared" si="37"/>
        <v>19.523262469706943</v>
      </c>
      <c r="N165" s="116">
        <f t="shared" si="38"/>
        <v>1019.523262469707</v>
      </c>
      <c r="O165" s="115" t="str">
        <f t="shared" si="39"/>
        <v>OK</v>
      </c>
      <c r="P165">
        <f t="shared" si="40"/>
        <v>997.27726444537598</v>
      </c>
      <c r="Q165">
        <f t="shared" si="41"/>
        <v>0.50391825122708667</v>
      </c>
      <c r="R165">
        <f t="shared" si="42"/>
        <v>0.5</v>
      </c>
      <c r="S165">
        <f t="shared" si="43"/>
        <v>2.5555555555555554</v>
      </c>
      <c r="T165" s="83">
        <f t="shared" si="44"/>
        <v>0</v>
      </c>
      <c r="U165" s="120">
        <f>IF($D165="",0,IFERROR(LOOKUP(2,1/(($D$3:D164=$D165)*($C$3:C164=$C165)*($A$3:A164&lt;$A165)),$AB$3:AB164),1000))</f>
        <v>1000</v>
      </c>
      <c r="V165" s="120">
        <f t="shared" si="45"/>
        <v>1000</v>
      </c>
      <c r="W165">
        <f t="shared" si="46"/>
        <v>999.06438703781328</v>
      </c>
      <c r="X165">
        <f t="shared" si="47"/>
        <v>0.50134645203249706</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979.4182926748889</v>
      </c>
      <c r="I166" s="117">
        <f t="shared" si="36"/>
        <v>0.19565217391304349</v>
      </c>
      <c r="J166" s="118">
        <f>IF($D166="",0,IF($F166&lt;2,0,IF($E166="Win",('Guide &amp; Settings'!$C$42/(($F166-1)*COUNTIFS($A$4:$A$810,$A166,$E$4:$E$810,"Win")))*SUMIFS($X$4:$X$810,$A$4:$A$810,$A166,$E$4:$E$810,"Loss"),-('Guide &amp; Settings'!$C$42/($F166-1))*$X166)))</f>
        <v>-4.9364972273926551</v>
      </c>
      <c r="K166" s="118">
        <f>IF($D166="",0,'Guide &amp; Settings'!$C$43*(IF($E166="Win",1,0)-$I166))</f>
        <v>-2.347826086956522</v>
      </c>
      <c r="L166" s="119">
        <f>IF($D166="",0,'Guide &amp; Settings'!$C$44*IF($F166&gt;=3,$F166,0))</f>
        <v>4</v>
      </c>
      <c r="M166" s="118">
        <f t="shared" si="37"/>
        <v>-3.2843233143491766</v>
      </c>
      <c r="N166" s="116">
        <f t="shared" si="38"/>
        <v>976.13396936053971</v>
      </c>
      <c r="O166" s="115" t="str">
        <f t="shared" si="39"/>
        <v>OK</v>
      </c>
      <c r="P166">
        <f t="shared" si="40"/>
        <v>997.27726444537598</v>
      </c>
      <c r="Q166">
        <f t="shared" si="41"/>
        <v>0.47432148550960995</v>
      </c>
      <c r="R166">
        <f t="shared" si="42"/>
        <v>0.5</v>
      </c>
      <c r="S166">
        <f t="shared" si="43"/>
        <v>2.5555555555555554</v>
      </c>
      <c r="T166" s="83">
        <f t="shared" si="44"/>
        <v>8</v>
      </c>
      <c r="U166" s="120">
        <f>IF($D166="",0,IFERROR(LOOKUP(2,1/(($D$3:D165=$D166)*($C$3:C165=$C166)*($A$3:A165&lt;$A166)),$AB$3:AB165),1000))</f>
        <v>969.25662767305062</v>
      </c>
      <c r="V166" s="120">
        <f t="shared" si="45"/>
        <v>973.16496036606532</v>
      </c>
      <c r="W166">
        <f t="shared" si="46"/>
        <v>999.06438703781328</v>
      </c>
      <c r="X166">
        <f t="shared" si="47"/>
        <v>0.46279661506806141</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1130.1917963276956</v>
      </c>
      <c r="I167" s="117">
        <f t="shared" si="36"/>
        <v>0.34782608695652173</v>
      </c>
      <c r="J167" s="118">
        <f>IF($D167="",0,IF($F167&lt;2,0,IF($E167="Win",('Guide &amp; Settings'!$C$42/(($F167-1)*COUNTIFS($A$4:$A$810,$A167,$E$4:$E$810,"Win")))*SUMIFS($X$4:$X$810,$A$4:$A$810,$A167,$E$4:$E$810,"Loss"),-('Guide &amp; Settings'!$C$42/($F167-1))*$X167)))</f>
        <v>-6.8056798859342713</v>
      </c>
      <c r="K167" s="118">
        <f>IF($D167="",0,'Guide &amp; Settings'!$C$43*(IF($E167="Win",1,0)-$I167))</f>
        <v>-4.1739130434782608</v>
      </c>
      <c r="L167" s="119">
        <f>IF($D167="",0,'Guide &amp; Settings'!$C$44*IF($F167&gt;=3,$F167,0))</f>
        <v>4</v>
      </c>
      <c r="M167" s="118">
        <f t="shared" si="37"/>
        <v>-6.979592929412533</v>
      </c>
      <c r="N167" s="116">
        <f t="shared" si="38"/>
        <v>1123.212203398283</v>
      </c>
      <c r="O167" s="115" t="str">
        <f t="shared" si="39"/>
        <v>OK</v>
      </c>
      <c r="P167">
        <f t="shared" si="40"/>
        <v>997.27726444537598</v>
      </c>
      <c r="Q167">
        <f t="shared" si="41"/>
        <v>0.68246377651077772</v>
      </c>
      <c r="R167">
        <f t="shared" si="42"/>
        <v>0.88888888888888884</v>
      </c>
      <c r="S167">
        <f t="shared" si="43"/>
        <v>2.5555555555555554</v>
      </c>
      <c r="T167" s="83">
        <f t="shared" si="44"/>
        <v>7</v>
      </c>
      <c r="U167" s="120">
        <f>IF($D167="",0,IFERROR(LOOKUP(2,1/(($D$3:D166=$D167)*($C$3:C166=$C167)*($A$3:A166&lt;$A167)),$AB$3:AB166),1000))</f>
        <v>1074.2064338493162</v>
      </c>
      <c r="V167" s="120">
        <f t="shared" si="45"/>
        <v>1097.5336682153077</v>
      </c>
      <c r="W167">
        <f t="shared" si="46"/>
        <v>999.06438703781328</v>
      </c>
      <c r="X167">
        <f t="shared" si="47"/>
        <v>0.63803248930633794</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1135.6654540973088</v>
      </c>
      <c r="I168" s="117">
        <f t="shared" si="36"/>
        <v>0.17266187050359716</v>
      </c>
      <c r="J168" s="118">
        <f>IF($D168="",0,IF($F168&lt;2,0,IF($E168="Win",('Guide &amp; Settings'!$C$42/(($F168-1)*COUNTIFS($A$4:$A$810,$A168,$E$4:$E$810,"Win")))*SUMIFS($X$4:$X$810,$A$4:$A$810,$A168,$E$4:$E$810,"Loss"),-('Guide &amp; Settings'!$C$42/($F168-1))*$X168)))</f>
        <v>4.9748627606210771</v>
      </c>
      <c r="K168" s="118">
        <f>IF($D168="",0,'Guide &amp; Settings'!$C$43*(IF($E168="Win",1,0)-$I168))</f>
        <v>9.9280575539568332</v>
      </c>
      <c r="L168" s="119">
        <f>IF($D168="",0,'Guide &amp; Settings'!$C$44*IF($F168&gt;=3,$F168,0))</f>
        <v>4</v>
      </c>
      <c r="M168" s="118">
        <f t="shared" si="37"/>
        <v>18.902920314577912</v>
      </c>
      <c r="N168" s="116">
        <f t="shared" si="38"/>
        <v>1154.5683744118867</v>
      </c>
      <c r="O168" s="115" t="str">
        <f t="shared" si="39"/>
        <v>OK</v>
      </c>
      <c r="P168">
        <f t="shared" si="40"/>
        <v>1068.5883728485585</v>
      </c>
      <c r="Q168">
        <f t="shared" si="41"/>
        <v>0.59534993891932586</v>
      </c>
      <c r="R168">
        <f t="shared" si="42"/>
        <v>0.4</v>
      </c>
      <c r="S168">
        <f t="shared" si="43"/>
        <v>2.3166666666666664</v>
      </c>
      <c r="T168" s="83">
        <f t="shared" si="44"/>
        <v>3</v>
      </c>
      <c r="U168" s="120">
        <f>IF($D168="",0,IFERROR(LOOKUP(2,1/(($D$3:D167=$D168)*($C$3:C167=$C168)*($A$3:A167&lt;$A168)),$AB$3:AB167),1000))</f>
        <v>984.51169332979669</v>
      </c>
      <c r="V168" s="120">
        <f t="shared" si="45"/>
        <v>1078.9827938094918</v>
      </c>
      <c r="W168">
        <f t="shared" si="46"/>
        <v>1039.8092646919606</v>
      </c>
      <c r="X168">
        <f t="shared" si="47"/>
        <v>0.55613755539667342</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1001.511291599808</v>
      </c>
      <c r="I169" s="117">
        <f t="shared" si="36"/>
        <v>0.21582733812949642</v>
      </c>
      <c r="J169" s="118">
        <f>IF($D169="",0,IF($F169&lt;2,0,IF($E169="Win",('Guide &amp; Settings'!$C$42/(($F169-1)*COUNTIFS($A$4:$A$810,$A169,$E$4:$E$810,"Win")))*SUMIFS($X$4:$X$810,$A$4:$A$810,$A169,$E$4:$E$810,"Loss"),-('Guide &amp; Settings'!$C$42/($F169-1))*$X169)))</f>
        <v>4.9748627606210771</v>
      </c>
      <c r="K169" s="118">
        <f>IF($D169="",0,'Guide &amp; Settings'!$C$43*(IF($E169="Win",1,0)-$I169))</f>
        <v>9.4100719424460433</v>
      </c>
      <c r="L169" s="119">
        <f>IF($D169="",0,'Guide &amp; Settings'!$C$44*IF($F169&gt;=3,$F169,0))</f>
        <v>4</v>
      </c>
      <c r="M169" s="118">
        <f t="shared" si="37"/>
        <v>18.38493470306712</v>
      </c>
      <c r="N169" s="116">
        <f t="shared" si="38"/>
        <v>1019.8962263028751</v>
      </c>
      <c r="O169" s="115" t="str">
        <f t="shared" si="39"/>
        <v>OK</v>
      </c>
      <c r="P169">
        <f t="shared" si="40"/>
        <v>1068.5883728485585</v>
      </c>
      <c r="Q169">
        <f t="shared" si="41"/>
        <v>0.40465006108067397</v>
      </c>
      <c r="R169">
        <f t="shared" si="42"/>
        <v>0.5</v>
      </c>
      <c r="S169">
        <f t="shared" si="43"/>
        <v>2.3166666666666664</v>
      </c>
      <c r="T169" s="83">
        <f t="shared" si="44"/>
        <v>4</v>
      </c>
      <c r="U169" s="120">
        <f>IF($D169="",0,IFERROR(LOOKUP(2,1/(($D$3:D168=$D169)*($C$3:C168=$C169)*($A$3:A168&lt;$A169)),$AB$3:AB168),1000))</f>
        <v>999.54129054270618</v>
      </c>
      <c r="V169" s="120">
        <f t="shared" si="45"/>
        <v>1000.6357355744294</v>
      </c>
      <c r="W169">
        <f t="shared" si="46"/>
        <v>1039.8092646919606</v>
      </c>
      <c r="X169">
        <f t="shared" si="47"/>
        <v>0.44386244460332658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1019.523262469707</v>
      </c>
      <c r="I170" s="117">
        <f t="shared" si="36"/>
        <v>0.28776978417266186</v>
      </c>
      <c r="J170" s="118">
        <f>IF($D170="",0,IF($F170&lt;2,0,IF($E170="Win",('Guide &amp; Settings'!$C$42/(($F170-1)*COUNTIFS($A$4:$A$810,$A170,$E$4:$E$810,"Win")))*SUMIFS($X$4:$X$810,$A$4:$A$810,$A170,$E$4:$E$810,"Loss"),-('Guide &amp; Settings'!$C$42/($F170-1))*$X170)))</f>
        <v>-4.9866442494191787</v>
      </c>
      <c r="K170" s="118">
        <f>IF($D170="",0,'Guide &amp; Settings'!$C$43*(IF($E170="Win",1,0)-$I170))</f>
        <v>-3.4532374100719423</v>
      </c>
      <c r="L170" s="119">
        <f>IF($D170="",0,'Guide &amp; Settings'!$C$44*IF($F170&gt;=3,$F170,0))</f>
        <v>4</v>
      </c>
      <c r="M170" s="118">
        <f t="shared" si="37"/>
        <v>-4.439881659491121</v>
      </c>
      <c r="N170" s="116">
        <f t="shared" si="38"/>
        <v>1015.0833808102159</v>
      </c>
      <c r="O170" s="115" t="str">
        <f t="shared" si="39"/>
        <v>OK</v>
      </c>
      <c r="P170">
        <f t="shared" si="40"/>
        <v>1068.5883728485585</v>
      </c>
      <c r="Q170">
        <f t="shared" si="41"/>
        <v>0.42985531678127642</v>
      </c>
      <c r="R170">
        <f t="shared" si="42"/>
        <v>0.66666666666666663</v>
      </c>
      <c r="S170">
        <f t="shared" si="43"/>
        <v>2.3166666666666664</v>
      </c>
      <c r="T170" s="83">
        <f t="shared" si="44"/>
        <v>1</v>
      </c>
      <c r="U170" s="120">
        <f>IF($D170="",0,IFERROR(LOOKUP(2,1/(($D$3:D169=$D170)*($C$3:C169=$C170)*($A$3:A169&lt;$A170)),$AB$3:AB169),1000))</f>
        <v>1005.5392839402241</v>
      </c>
      <c r="V170" s="120">
        <f t="shared" si="45"/>
        <v>1017.1925993814598</v>
      </c>
      <c r="W170">
        <f t="shared" si="46"/>
        <v>1039.8092646919606</v>
      </c>
      <c r="X170">
        <f t="shared" si="47"/>
        <v>0.46749789838304801</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1013.2951826648067</v>
      </c>
      <c r="I171" s="117">
        <f t="shared" si="36"/>
        <v>0.32374100719424465</v>
      </c>
      <c r="J171" s="118">
        <f>IF($D171="",0,IF($F171&lt;2,0,IF($E171="Win",('Guide &amp; Settings'!$C$42/(($F171-1)*COUNTIFS($A$4:$A$810,$A171,$E$4:$E$810,"Win")))*SUMIFS($X$4:$X$810,$A$4:$A$810,$A171,$E$4:$E$810,"Loss"),-('Guide &amp; Settings'!$C$42/($F171-1))*$X171)))</f>
        <v>-4.9630812718229773</v>
      </c>
      <c r="K171" s="118">
        <f>IF($D171="",0,'Guide &amp; Settings'!$C$43*(IF($E171="Win",1,0)-$I171))</f>
        <v>-3.884892086330936</v>
      </c>
      <c r="L171" s="119">
        <f>IF($D171="",0,'Guide &amp; Settings'!$C$44*IF($F171&gt;=3,$F171,0))</f>
        <v>4</v>
      </c>
      <c r="M171" s="118">
        <f t="shared" si="37"/>
        <v>-4.8479733581539133</v>
      </c>
      <c r="N171" s="116">
        <f t="shared" si="38"/>
        <v>1008.4472093066528</v>
      </c>
      <c r="O171" s="115" t="str">
        <f t="shared" si="39"/>
        <v>OK</v>
      </c>
      <c r="P171">
        <f t="shared" si="40"/>
        <v>1068.5883728485585</v>
      </c>
      <c r="Q171">
        <f t="shared" si="41"/>
        <v>0.42109176708033647</v>
      </c>
      <c r="R171">
        <f t="shared" si="42"/>
        <v>0.75</v>
      </c>
      <c r="S171">
        <f t="shared" si="43"/>
        <v>2.3166666666666664</v>
      </c>
      <c r="T171" s="83">
        <f t="shared" si="44"/>
        <v>2</v>
      </c>
      <c r="U171" s="120">
        <f>IF($D171="",0,IFERROR(LOOKUP(2,1/(($D$3:D170=$D171)*($C$3:C170=$C171)*($A$3:A170&lt;$A171)),$AB$3:AB170),1000))</f>
        <v>1021.5392839402241</v>
      </c>
      <c r="V171" s="120">
        <f t="shared" si="45"/>
        <v>1015.6506401720688</v>
      </c>
      <c r="W171">
        <f t="shared" si="46"/>
        <v>1039.8092646919606</v>
      </c>
      <c r="X171">
        <f t="shared" si="47"/>
        <v>0.46528886923340412</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1085.5549024997767</v>
      </c>
      <c r="I172" s="117">
        <f t="shared" si="36"/>
        <v>0.31226765799256506</v>
      </c>
      <c r="J172" s="118">
        <f>IF($D172="",0,IF($F172&lt;2,0,IF($E172="Win",('Guide &amp; Settings'!$C$42/(($F172-1)*COUNTIFS($A$4:$A$810,$A172,$E$4:$E$810,"Win")))*SUMIFS($X$4:$X$810,$A$4:$A$810,$A172,$E$4:$E$810,"Loss"),-('Guide &amp; Settings'!$C$42/($F172-1))*$X172)))</f>
        <v>5.7617011540433722</v>
      </c>
      <c r="K172" s="118">
        <f>IF($D172="",0,'Guide &amp; Settings'!$C$43*(IF($E172="Win",1,0)-$I172))</f>
        <v>8.2527881040892197</v>
      </c>
      <c r="L172" s="119">
        <f>IF($D172="",0,'Guide &amp; Settings'!$C$44*IF($F172&gt;=3,$F172,0))</f>
        <v>4</v>
      </c>
      <c r="M172" s="118">
        <f t="shared" si="37"/>
        <v>18.014489258132592</v>
      </c>
      <c r="N172" s="116">
        <f t="shared" si="38"/>
        <v>1103.5693917579094</v>
      </c>
      <c r="O172" s="115" t="str">
        <f t="shared" si="39"/>
        <v>OK</v>
      </c>
      <c r="P172">
        <f t="shared" si="40"/>
        <v>1029.0524591845447</v>
      </c>
      <c r="Q172">
        <f t="shared" si="41"/>
        <v>0.58060420679121871</v>
      </c>
      <c r="R172">
        <f t="shared" si="42"/>
        <v>0.6</v>
      </c>
      <c r="S172">
        <f t="shared" si="43"/>
        <v>1.9214285714285715</v>
      </c>
      <c r="T172" s="83">
        <f t="shared" si="44"/>
        <v>3</v>
      </c>
      <c r="U172" s="120">
        <f>IF($D172="",0,IFERROR(LOOKUP(2,1/(($D$3:D171=$D172)*($C$3:C171=$C172)*($A$3:A171&lt;$A172)),$AB$3:AB171),1000))</f>
        <v>1026.049766139507</v>
      </c>
      <c r="V172" s="120">
        <f t="shared" si="45"/>
        <v>1063.2404763646755</v>
      </c>
      <c r="W172">
        <f t="shared" si="46"/>
        <v>1018.7857868502912</v>
      </c>
      <c r="X172">
        <f t="shared" si="47"/>
        <v>0.56362858896498691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972.5500158693128</v>
      </c>
      <c r="I173" s="117">
        <f t="shared" si="36"/>
        <v>0.13011152416356878</v>
      </c>
      <c r="J173" s="118">
        <f>IF($D173="",0,IF($F173&lt;2,0,IF($E173="Win",('Guide &amp; Settings'!$C$42/(($F173-1)*COUNTIFS($A$4:$A$810,$A173,$E$4:$E$810,"Win")))*SUMIFS($X$4:$X$810,$A$4:$A$810,$A173,$E$4:$E$810,"Loss"),-('Guide &amp; Settings'!$C$42/($F173-1))*$X173)))</f>
        <v>5.7617011540433722</v>
      </c>
      <c r="K173" s="118">
        <f>IF($D173="",0,'Guide &amp; Settings'!$C$43*(IF($E173="Win",1,0)-$I173))</f>
        <v>10.438661710037175</v>
      </c>
      <c r="L173" s="119">
        <f>IF($D173="",0,'Guide &amp; Settings'!$C$44*IF($F173&gt;=3,$F173,0))</f>
        <v>4</v>
      </c>
      <c r="M173" s="118">
        <f t="shared" si="37"/>
        <v>20.200362864080546</v>
      </c>
      <c r="N173" s="116">
        <f t="shared" si="38"/>
        <v>992.75037873339329</v>
      </c>
      <c r="O173" s="115" t="str">
        <f t="shared" si="39"/>
        <v>OK</v>
      </c>
      <c r="P173">
        <f t="shared" si="40"/>
        <v>1029.0524591845447</v>
      </c>
      <c r="Q173">
        <f t="shared" si="41"/>
        <v>0.41939579320878162</v>
      </c>
      <c r="R173">
        <f t="shared" si="42"/>
        <v>0.25</v>
      </c>
      <c r="S173">
        <f t="shared" si="43"/>
        <v>1.9214285714285715</v>
      </c>
      <c r="T173" s="83">
        <f t="shared" si="44"/>
        <v>2</v>
      </c>
      <c r="U173" s="120">
        <f>IF($D173="",0,IFERROR(LOOKUP(2,1/(($D$3:D172=$D173)*($C$3:C172=$C173)*($A$3:A172&lt;$A173)),$AB$3:AB172),1000))</f>
        <v>978.78380100239212</v>
      </c>
      <c r="V173" s="120">
        <f t="shared" si="45"/>
        <v>974.33109733590686</v>
      </c>
      <c r="W173">
        <f t="shared" si="46"/>
        <v>1018.7857868502912</v>
      </c>
      <c r="X173">
        <f t="shared" si="47"/>
        <v>0.43637141103501309</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1154.5683744118867</v>
      </c>
      <c r="I174" s="117">
        <f t="shared" si="36"/>
        <v>0.26022304832713755</v>
      </c>
      <c r="J174" s="118">
        <f>IF($D174="",0,IF($F174&lt;2,0,IF($E174="Win",('Guide &amp; Settings'!$C$42/(($F174-1)*COUNTIFS($A$4:$A$810,$A174,$E$4:$E$810,"Win")))*SUMIFS($X$4:$X$810,$A$4:$A$810,$A174,$E$4:$E$810,"Loss"),-('Guide &amp; Settings'!$C$42/($F174-1))*$X174)))</f>
        <v>-6.2857778172081229</v>
      </c>
      <c r="K174" s="118">
        <f>IF($D174="",0,'Guide &amp; Settings'!$C$43*(IF($E174="Win",1,0)-$I174))</f>
        <v>-3.1226765799256508</v>
      </c>
      <c r="L174" s="119">
        <f>IF($D174="",0,'Guide &amp; Settings'!$C$44*IF($F174&gt;=3,$F174,0))</f>
        <v>4</v>
      </c>
      <c r="M174" s="118">
        <f t="shared" si="37"/>
        <v>-5.4084543971337737</v>
      </c>
      <c r="N174" s="116">
        <f t="shared" si="38"/>
        <v>1149.159920014753</v>
      </c>
      <c r="O174" s="115" t="str">
        <f t="shared" si="39"/>
        <v>OK</v>
      </c>
      <c r="P174">
        <f t="shared" si="40"/>
        <v>1029.0524591845447</v>
      </c>
      <c r="Q174">
        <f t="shared" si="41"/>
        <v>0.67316338823397626</v>
      </c>
      <c r="R174">
        <f t="shared" si="42"/>
        <v>0.5</v>
      </c>
      <c r="S174">
        <f t="shared" si="43"/>
        <v>1.9214285714285715</v>
      </c>
      <c r="T174" s="83">
        <f t="shared" si="44"/>
        <v>4</v>
      </c>
      <c r="U174" s="120">
        <f>IF($D174="",0,IFERROR(LOOKUP(2,1/(($D$3:D173=$D174)*($C$3:C173=$C174)*($A$3:A173&lt;$A174)),$AB$3:AB173),1000))</f>
        <v>990.17466470582804</v>
      </c>
      <c r="V174" s="120">
        <f t="shared" si="45"/>
        <v>1081.5045034314162</v>
      </c>
      <c r="W174">
        <f t="shared" si="46"/>
        <v>1018.7857868502912</v>
      </c>
      <c r="X174">
        <f t="shared" si="47"/>
        <v>0.58929167036326158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1019.8962263028751</v>
      </c>
      <c r="I175" s="117">
        <f t="shared" si="36"/>
        <v>0.29739776951672858</v>
      </c>
      <c r="J175" s="118">
        <f>IF($D175="",0,IF($F175&lt;2,0,IF($E175="Win",('Guide &amp; Settings'!$C$42/(($F175-1)*COUNTIFS($A$4:$A$810,$A175,$E$4:$E$810,"Win")))*SUMIFS($X$4:$X$810,$A$4:$A$810,$A175,$E$4:$E$810,"Loss"),-('Guide &amp; Settings'!$C$42/($F175-1))*$X175)))</f>
        <v>-5.2376244908786216</v>
      </c>
      <c r="K175" s="118">
        <f>IF($D175="",0,'Guide &amp; Settings'!$C$43*(IF($E175="Win",1,0)-$I175))</f>
        <v>-3.568773234200743</v>
      </c>
      <c r="L175" s="119">
        <f>IF($D175="",0,'Guide &amp; Settings'!$C$44*IF($F175&gt;=3,$F175,0))</f>
        <v>4</v>
      </c>
      <c r="M175" s="118">
        <f t="shared" si="37"/>
        <v>-4.8063977250793641</v>
      </c>
      <c r="N175" s="116">
        <f t="shared" si="38"/>
        <v>1015.0898285777957</v>
      </c>
      <c r="O175" s="115" t="str">
        <f t="shared" si="39"/>
        <v>OK</v>
      </c>
      <c r="P175">
        <f t="shared" si="40"/>
        <v>1029.0524591845447</v>
      </c>
      <c r="Q175">
        <f t="shared" si="41"/>
        <v>0.48682617135179013</v>
      </c>
      <c r="R175">
        <f t="shared" si="42"/>
        <v>0.5714285714285714</v>
      </c>
      <c r="S175">
        <f t="shared" si="43"/>
        <v>1.9214285714285715</v>
      </c>
      <c r="T175" s="83">
        <f t="shared" si="44"/>
        <v>5</v>
      </c>
      <c r="U175" s="120">
        <f>IF($D175="",0,IFERROR(LOOKUP(2,1/(($D$3:D174=$D175)*($C$3:C174=$C175)*($A$3:A174&lt;$A175)),$AB$3:AB174),1000))</f>
        <v>1005.2042619187375</v>
      </c>
      <c r="V175" s="120">
        <f t="shared" si="45"/>
        <v>1012.5502441108063</v>
      </c>
      <c r="W175">
        <f t="shared" si="46"/>
        <v>1018.7857868502912</v>
      </c>
      <c r="X175">
        <f t="shared" si="47"/>
        <v>0.49102729601987077</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1103.5693917579094</v>
      </c>
      <c r="I176" s="117">
        <f t="shared" si="36"/>
        <v>0.37037037037037035</v>
      </c>
      <c r="J176" s="118">
        <f>IF($D176="",0,IF($F176&lt;2,0,IF($E176="Win",('Guide &amp; Settings'!$C$42/(($F176-1)*COUNTIFS($A$4:$A$810,$A176,$E$4:$E$810,"Win")))*SUMIFS($X$4:$X$810,$A$4:$A$810,$A176,$E$4:$E$810,"Loss"),-('Guide &amp; Settings'!$C$42/($F176-1))*$X176)))</f>
        <v>4.5773926750612803</v>
      </c>
      <c r="K176" s="118">
        <f>IF($D176="",0,'Guide &amp; Settings'!$C$43*(IF($E176="Win",1,0)-$I176))</f>
        <v>7.5555555555555554</v>
      </c>
      <c r="L176" s="119">
        <f>IF($D176="",0,'Guide &amp; Settings'!$C$44*IF($F176&gt;=3,$F176,0))</f>
        <v>4</v>
      </c>
      <c r="M176" s="118">
        <f t="shared" si="37"/>
        <v>16.132948230616837</v>
      </c>
      <c r="N176" s="116">
        <f t="shared" si="38"/>
        <v>1119.7023399885263</v>
      </c>
      <c r="O176" s="115" t="str">
        <f t="shared" si="39"/>
        <v>OK</v>
      </c>
      <c r="P176">
        <f t="shared" si="40"/>
        <v>1048.1598852456514</v>
      </c>
      <c r="Q176">
        <f t="shared" si="41"/>
        <v>0.5790714478551412</v>
      </c>
      <c r="R176">
        <f t="shared" si="42"/>
        <v>0.66666666666666663</v>
      </c>
      <c r="S176">
        <f t="shared" si="43"/>
        <v>1.8</v>
      </c>
      <c r="T176" s="83">
        <f t="shared" si="44"/>
        <v>4</v>
      </c>
      <c r="U176" s="120">
        <f>IF($D176="",0,IFERROR(LOOKUP(2,1/(($D$3:D175=$D176)*($C$3:C175=$C176)*($A$3:A175&lt;$A176)),$AB$3:AB175),1000))</f>
        <v>1031.3105708328824</v>
      </c>
      <c r="V176" s="120">
        <f t="shared" si="45"/>
        <v>1071.4543602356753</v>
      </c>
      <c r="W176">
        <f t="shared" si="46"/>
        <v>1030.4700370399794</v>
      </c>
      <c r="X176">
        <f t="shared" si="47"/>
        <v>0.55870911975354287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992.75037873339329</v>
      </c>
      <c r="I177" s="117">
        <f t="shared" si="36"/>
        <v>0.22222222222222224</v>
      </c>
      <c r="J177" s="118">
        <f>IF($D177="",0,IF($F177&lt;2,0,IF($E177="Win",('Guide &amp; Settings'!$C$42/(($F177-1)*COUNTIFS($A$4:$A$810,$A177,$E$4:$E$810,"Win")))*SUMIFS($X$4:$X$810,$A$4:$A$810,$A177,$E$4:$E$810,"Loss"),-('Guide &amp; Settings'!$C$42/($F177-1))*$X177)))</f>
        <v>4.5773926750612803</v>
      </c>
      <c r="K177" s="118">
        <f>IF($D177="",0,'Guide &amp; Settings'!$C$43*(IF($E177="Win",1,0)-$I177))</f>
        <v>9.3333333333333339</v>
      </c>
      <c r="L177" s="119">
        <f>IF($D177="",0,'Guide &amp; Settings'!$C$44*IF($F177&gt;=3,$F177,0))</f>
        <v>4</v>
      </c>
      <c r="M177" s="118">
        <f t="shared" si="37"/>
        <v>17.910726008394615</v>
      </c>
      <c r="N177" s="116">
        <f t="shared" si="38"/>
        <v>1010.6611047417879</v>
      </c>
      <c r="O177" s="115" t="str">
        <f t="shared" si="39"/>
        <v>OK</v>
      </c>
      <c r="P177">
        <f t="shared" si="40"/>
        <v>1048.1598852456514</v>
      </c>
      <c r="Q177">
        <f t="shared" si="41"/>
        <v>0.42092855214485886</v>
      </c>
      <c r="R177">
        <f t="shared" si="42"/>
        <v>0.4</v>
      </c>
      <c r="S177">
        <f t="shared" si="43"/>
        <v>1.8</v>
      </c>
      <c r="T177" s="83">
        <f t="shared" si="44"/>
        <v>3</v>
      </c>
      <c r="U177" s="120">
        <f>IF($D177="",0,IFERROR(LOOKUP(2,1/(($D$3:D176=$D177)*($C$3:C176=$C177)*($A$3:A176&lt;$A177)),$AB$3:AB176),1000))</f>
        <v>984.04460569576747</v>
      </c>
      <c r="V177" s="120">
        <f t="shared" si="45"/>
        <v>989.48571384428362</v>
      </c>
      <c r="W177">
        <f t="shared" si="46"/>
        <v>1030.4700370399794</v>
      </c>
      <c r="X177">
        <f t="shared" si="47"/>
        <v>0.4412908802464573</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948.03610321390011</v>
      </c>
      <c r="I178" s="117">
        <f t="shared" si="36"/>
        <v>0.22222222222222224</v>
      </c>
      <c r="J178" s="118">
        <f>IF($D178="",0,IF($F178&lt;2,0,IF($E178="Win",('Guide &amp; Settings'!$C$42/(($F178-1)*COUNTIFS($A$4:$A$810,$A178,$E$4:$E$810,"Win")))*SUMIFS($X$4:$X$810,$A$4:$A$810,$A178,$E$4:$E$810,"Loss"),-('Guide &amp; Settings'!$C$42/($F178-1))*$X178)))</f>
        <v>-4.3488158857218915</v>
      </c>
      <c r="K178" s="118">
        <f>IF($D178="",0,'Guide &amp; Settings'!$C$43*(IF($E178="Win",1,0)-$I178))</f>
        <v>-2.666666666666667</v>
      </c>
      <c r="L178" s="119">
        <f>IF($D178="",0,'Guide &amp; Settings'!$C$44*IF($F178&gt;=3,$F178,0))</f>
        <v>4</v>
      </c>
      <c r="M178" s="118">
        <f t="shared" si="37"/>
        <v>-3.0154825523885584</v>
      </c>
      <c r="N178" s="116">
        <f t="shared" si="38"/>
        <v>945.02062066151154</v>
      </c>
      <c r="O178" s="115" t="str">
        <f t="shared" si="39"/>
        <v>OK</v>
      </c>
      <c r="P178">
        <f t="shared" si="40"/>
        <v>1048.1598852456514</v>
      </c>
      <c r="Q178">
        <f t="shared" si="41"/>
        <v>0.35977085880836951</v>
      </c>
      <c r="R178">
        <f t="shared" si="42"/>
        <v>0.4</v>
      </c>
      <c r="S178">
        <f t="shared" si="43"/>
        <v>1.8</v>
      </c>
      <c r="T178" s="83">
        <f t="shared" si="44"/>
        <v>3</v>
      </c>
      <c r="U178" s="120">
        <f>IF($D178="",0,IFERROR(LOOKUP(2,1/(($D$3:D177=$D178)*($C$3:C177=$C178)*($A$3:A177&lt;$A178)),$AB$3:AB177),1000))</f>
        <v>994.84836113778465</v>
      </c>
      <c r="V178" s="120">
        <f t="shared" si="45"/>
        <v>965.59069993535672</v>
      </c>
      <c r="W178">
        <f t="shared" si="46"/>
        <v>1030.4700370399794</v>
      </c>
      <c r="X178">
        <f t="shared" si="47"/>
        <v>0.40770148928642735</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996.23359941769172</v>
      </c>
      <c r="I179" s="117">
        <f t="shared" si="36"/>
        <v>0.18518518518518517</v>
      </c>
      <c r="J179" s="118">
        <f>IF($D179="",0,IF($F179&lt;2,0,IF($E179="Win",('Guide &amp; Settings'!$C$42/(($F179-1)*COUNTIFS($A$4:$A$810,$A179,$E$4:$E$810,"Win")))*SUMIFS($X$4:$X$810,$A$4:$A$810,$A179,$E$4:$E$810,"Loss"),-('Guide &amp; Settings'!$C$42/($F179-1))*$X179)))</f>
        <v>-4.8059694644006701</v>
      </c>
      <c r="K179" s="118">
        <f>IF($D179="",0,'Guide &amp; Settings'!$C$43*(IF($E179="Win",1,0)-$I179))</f>
        <v>-2.2222222222222223</v>
      </c>
      <c r="L179" s="119">
        <f>IF($D179="",0,'Guide &amp; Settings'!$C$44*IF($F179&gt;=3,$F179,0))</f>
        <v>4</v>
      </c>
      <c r="M179" s="118">
        <f t="shared" si="37"/>
        <v>-3.0281916866228924</v>
      </c>
      <c r="N179" s="116">
        <f t="shared" si="38"/>
        <v>993.20540773106882</v>
      </c>
      <c r="O179" s="115" t="str">
        <f t="shared" si="39"/>
        <v>OK</v>
      </c>
      <c r="P179">
        <f t="shared" si="40"/>
        <v>1048.1598852456514</v>
      </c>
      <c r="Q179">
        <f t="shared" si="41"/>
        <v>0.42582354155763658</v>
      </c>
      <c r="R179">
        <f t="shared" si="42"/>
        <v>0.33333333333333331</v>
      </c>
      <c r="S179">
        <f t="shared" si="43"/>
        <v>1.8</v>
      </c>
      <c r="T179" s="83">
        <f t="shared" si="44"/>
        <v>1</v>
      </c>
      <c r="U179" s="120">
        <f>IF($D179="",0,IFERROR(LOOKUP(2,1/(($D$3:D178=$D179)*($C$3:C178=$C179)*($A$3:A178&lt;$A179)),$AB$3:AB178),1000))</f>
        <v>994.84836113778465</v>
      </c>
      <c r="V179" s="120">
        <f t="shared" si="45"/>
        <v>996.00272637104058</v>
      </c>
      <c r="W179">
        <f t="shared" si="46"/>
        <v>1030.4700370399794</v>
      </c>
      <c r="X179">
        <f t="shared" si="47"/>
        <v>0.45055963728756282</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1119.7023399885263</v>
      </c>
      <c r="I180" s="117">
        <f t="shared" si="36"/>
        <v>0.39920159680638723</v>
      </c>
      <c r="J180" s="118">
        <f>IF($D180="",0,IF($F180&lt;2,0,IF($E180="Win",('Guide &amp; Settings'!$C$42/(($F180-1)*COUNTIFS($A$4:$A$810,$A180,$E$4:$E$810,"Win")))*SUMIFS($X$4:$X$810,$A$4:$A$810,$A180,$E$4:$E$810,"Loss"),-('Guide &amp; Settings'!$C$42/($F180-1))*$X180)))</f>
        <v>4.3646402279410648</v>
      </c>
      <c r="K180" s="118">
        <f>IF($D180="",0,'Guide &amp; Settings'!$C$43*(IF($E180="Win",1,0)-$I180))</f>
        <v>7.2095808383233528</v>
      </c>
      <c r="L180" s="119">
        <f>IF($D180="",0,'Guide &amp; Settings'!$C$44*IF($F180&gt;=3,$F180,0))</f>
        <v>4</v>
      </c>
      <c r="M180" s="118">
        <f t="shared" si="37"/>
        <v>15.574221066264418</v>
      </c>
      <c r="N180" s="116">
        <f t="shared" si="38"/>
        <v>1135.2765610547908</v>
      </c>
      <c r="O180" s="115" t="str">
        <f t="shared" si="39"/>
        <v>OK</v>
      </c>
      <c r="P180">
        <f t="shared" si="40"/>
        <v>1065.1817223651572</v>
      </c>
      <c r="Q180">
        <f t="shared" si="41"/>
        <v>0.5778237238972187</v>
      </c>
      <c r="R180">
        <f t="shared" si="42"/>
        <v>0.7142857142857143</v>
      </c>
      <c r="S180">
        <f t="shared" si="43"/>
        <v>1.7892857142857144</v>
      </c>
      <c r="T180" s="83">
        <f t="shared" si="44"/>
        <v>5</v>
      </c>
      <c r="U180" s="120">
        <f>IF($D180="",0,IFERROR(LOOKUP(2,1/(($D$3:D179=$D180)*($C$3:C179=$C180)*($A$3:A179&lt;$A180)),$AB$3:AB179),1000))</f>
        <v>1036.4470577099905</v>
      </c>
      <c r="V180" s="120">
        <f t="shared" si="45"/>
        <v>1078.0746988492583</v>
      </c>
      <c r="W180">
        <f t="shared" si="46"/>
        <v>1039.5945657579871</v>
      </c>
      <c r="X180">
        <f t="shared" si="47"/>
        <v>0.5551520377205128</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1010.6611047417879</v>
      </c>
      <c r="I181" s="117">
        <f t="shared" si="36"/>
        <v>0.27944111776447106</v>
      </c>
      <c r="J181" s="118">
        <f>IF($D181="",0,IF($F181&lt;2,0,IF($E181="Win",('Guide &amp; Settings'!$C$42/(($F181-1)*COUNTIFS($A$4:$A$810,$A181,$E$4:$E$810,"Win")))*SUMIFS($X$4:$X$810,$A$4:$A$810,$A181,$E$4:$E$810,"Loss"),-('Guide &amp; Settings'!$C$42/($F181-1))*$X181)))</f>
        <v>4.3646402279410648</v>
      </c>
      <c r="K181" s="118">
        <f>IF($D181="",0,'Guide &amp; Settings'!$C$43*(IF($E181="Win",1,0)-$I181))</f>
        <v>8.6467065868263475</v>
      </c>
      <c r="L181" s="119">
        <f>IF($D181="",0,'Guide &amp; Settings'!$C$44*IF($F181&gt;=3,$F181,0))</f>
        <v>4</v>
      </c>
      <c r="M181" s="118">
        <f t="shared" si="37"/>
        <v>17.011346814767414</v>
      </c>
      <c r="N181" s="116">
        <f t="shared" si="38"/>
        <v>1027.6724515565552</v>
      </c>
      <c r="O181" s="115" t="str">
        <f t="shared" si="39"/>
        <v>OK</v>
      </c>
      <c r="P181">
        <f t="shared" si="40"/>
        <v>1065.1817223651572</v>
      </c>
      <c r="Q181">
        <f t="shared" si="41"/>
        <v>0.42217627610278124</v>
      </c>
      <c r="R181">
        <f t="shared" si="42"/>
        <v>0.5</v>
      </c>
      <c r="S181">
        <f t="shared" si="43"/>
        <v>1.7892857142857144</v>
      </c>
      <c r="T181" s="83">
        <f t="shared" si="44"/>
        <v>4</v>
      </c>
      <c r="U181" s="120">
        <f>IF($D181="",0,IFERROR(LOOKUP(2,1/(($D$3:D180=$D181)*($C$3:C180=$C181)*($A$3:A180&lt;$A181)),$AB$3:AB180),1000))</f>
        <v>989.18109257287563</v>
      </c>
      <c r="V181" s="120">
        <f t="shared" si="45"/>
        <v>1001.1144326667157</v>
      </c>
      <c r="W181">
        <f t="shared" si="46"/>
        <v>1039.5945657579871</v>
      </c>
      <c r="X181">
        <f t="shared" si="47"/>
        <v>0.44484796227948703</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909.74082601830435</v>
      </c>
      <c r="I182" s="117">
        <f t="shared" si="36"/>
        <v>0.20958083832335328</v>
      </c>
      <c r="J182" s="118">
        <f>IF($D182="",0,IF($F182&lt;2,0,IF($E182="Win",('Guide &amp; Settings'!$C$42/(($F182-1)*COUNTIFS($A$4:$A$810,$A182,$E$4:$E$810,"Win")))*SUMIFS($X$4:$X$810,$A$4:$A$810,$A182,$E$4:$E$810,"Loss"),-('Guide &amp; Settings'!$C$42/($F182-1))*$X182)))</f>
        <v>-3.9798782393524785</v>
      </c>
      <c r="K182" s="118">
        <f>IF($D182="",0,'Guide &amp; Settings'!$C$43*(IF($E182="Win",1,0)-$I182))</f>
        <v>-2.5149700598802394</v>
      </c>
      <c r="L182" s="119">
        <f>IF($D182="",0,'Guide &amp; Settings'!$C$44*IF($F182&gt;=3,$F182,0))</f>
        <v>4</v>
      </c>
      <c r="M182" s="118">
        <f t="shared" si="37"/>
        <v>-2.4948482992327179</v>
      </c>
      <c r="N182" s="116">
        <f t="shared" si="38"/>
        <v>907.24597771907167</v>
      </c>
      <c r="O182" s="115" t="str">
        <f t="shared" si="39"/>
        <v>OK</v>
      </c>
      <c r="P182">
        <f t="shared" si="40"/>
        <v>1065.1817223651572</v>
      </c>
      <c r="Q182">
        <f t="shared" si="41"/>
        <v>0.29012238578581612</v>
      </c>
      <c r="R182">
        <f t="shared" si="42"/>
        <v>0.375</v>
      </c>
      <c r="S182">
        <f t="shared" si="43"/>
        <v>1.7892857142857144</v>
      </c>
      <c r="T182" s="83">
        <f t="shared" si="44"/>
        <v>6</v>
      </c>
      <c r="U182" s="120">
        <f>IF($D182="",0,IFERROR(LOOKUP(2,1/(($D$3:D181=$D182)*($C$3:C181=$C182)*($A$3:A181&lt;$A182)),$AB$3:AB181),1000))</f>
        <v>982.55096461266169</v>
      </c>
      <c r="V182" s="120">
        <f t="shared" si="45"/>
        <v>949.45544706977205</v>
      </c>
      <c r="W182">
        <f t="shared" si="46"/>
        <v>1039.5945657579871</v>
      </c>
      <c r="X182">
        <f t="shared" si="47"/>
        <v>0.37311358493929486</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1023.7594026829813</v>
      </c>
      <c r="I183" s="117">
        <f t="shared" si="36"/>
        <v>0.11177644710578842</v>
      </c>
      <c r="J183" s="118">
        <f>IF($D183="",0,IF($F183&lt;2,0,IF($E183="Win",('Guide &amp; Settings'!$C$42/(($F183-1)*COUNTIFS($A$4:$A$810,$A183,$E$4:$E$810,"Win")))*SUMIFS($X$4:$X$810,$A$4:$A$810,$A183,$E$4:$E$810,"Loss"),-('Guide &amp; Settings'!$C$42/($F183-1))*$X183)))</f>
        <v>-4.749402216529651</v>
      </c>
      <c r="K183" s="118">
        <f>IF($D183="",0,'Guide &amp; Settings'!$C$43*(IF($E183="Win",1,0)-$I183))</f>
        <v>-1.341317365269461</v>
      </c>
      <c r="L183" s="119">
        <f>IF($D183="",0,'Guide &amp; Settings'!$C$44*IF($F183&gt;=3,$F183,0))</f>
        <v>4</v>
      </c>
      <c r="M183" s="118">
        <f t="shared" si="37"/>
        <v>-2.090719581799112</v>
      </c>
      <c r="N183" s="116">
        <f t="shared" si="38"/>
        <v>1021.6686831011822</v>
      </c>
      <c r="O183" s="115" t="str">
        <f t="shared" si="39"/>
        <v>OK</v>
      </c>
      <c r="P183">
        <f t="shared" si="40"/>
        <v>1065.1817223651572</v>
      </c>
      <c r="Q183">
        <f t="shared" si="41"/>
        <v>0.44066933532027314</v>
      </c>
      <c r="R183">
        <f t="shared" si="42"/>
        <v>0.2</v>
      </c>
      <c r="S183">
        <f t="shared" si="43"/>
        <v>1.7892857142857144</v>
      </c>
      <c r="T183" s="83">
        <f t="shared" si="44"/>
        <v>3</v>
      </c>
      <c r="U183" s="120">
        <f>IF($D183="",0,IFERROR(LOOKUP(2,1/(($D$3:D182=$D183)*($C$3:C182=$C183)*($A$3:A182&lt;$A183)),$AB$3:AB182),1000))</f>
        <v>964.13900736852213</v>
      </c>
      <c r="V183" s="120">
        <f t="shared" si="45"/>
        <v>1001.4017544400591</v>
      </c>
      <c r="W183">
        <f t="shared" si="46"/>
        <v>1039.5945657579871</v>
      </c>
      <c r="X183">
        <f t="shared" si="47"/>
        <v>0.44525645779965478</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1008.4472093066528</v>
      </c>
      <c r="I184" s="117">
        <f t="shared" si="36"/>
        <v>0.247787610619469</v>
      </c>
      <c r="J184" s="118">
        <f>IF($D184="",0,IF($F184&lt;2,0,IF($E184="Win",('Guide &amp; Settings'!$C$42/(($F184-1)*COUNTIFS($A$4:$A$810,$A184,$E$4:$E$810,"Win")))*SUMIFS($X$4:$X$810,$A$4:$A$810,$A184,$E$4:$E$810,"Loss"),-('Guide &amp; Settings'!$C$42/($F184-1))*$X184)))</f>
        <v>5.8838570941683566</v>
      </c>
      <c r="K184" s="118">
        <f>IF($D184="",0,'Guide &amp; Settings'!$C$43*(IF($E184="Win",1,0)-$I184))</f>
        <v>9.0265486725663724</v>
      </c>
      <c r="L184" s="119">
        <f>IF($D184="",0,'Guide &amp; Settings'!$C$44*IF($F184&gt;=3,$F184,0))</f>
        <v>4</v>
      </c>
      <c r="M184" s="118">
        <f t="shared" si="37"/>
        <v>18.91040576673473</v>
      </c>
      <c r="N184" s="116">
        <f t="shared" si="38"/>
        <v>1027.3576150733875</v>
      </c>
      <c r="O184" s="115" t="str">
        <f t="shared" si="39"/>
        <v>OK</v>
      </c>
      <c r="P184">
        <f t="shared" si="40"/>
        <v>1011.7652950584343</v>
      </c>
      <c r="Q184">
        <f t="shared" si="41"/>
        <v>0.49522503592531653</v>
      </c>
      <c r="R184">
        <f t="shared" si="42"/>
        <v>0.6</v>
      </c>
      <c r="S184">
        <f t="shared" si="43"/>
        <v>2.4214285714285717</v>
      </c>
      <c r="T184" s="83">
        <f t="shared" si="44"/>
        <v>3</v>
      </c>
      <c r="U184" s="120">
        <f>IF($D184="",0,IFERROR(LOOKUP(2,1/(($D$3:D183=$D184)*($C$3:C183=$C184)*($A$3:A183&lt;$A184)),$AB$3:AB183),1000))</f>
        <v>1015.7539990177011</v>
      </c>
      <c r="V184" s="120">
        <f t="shared" si="45"/>
        <v>1011.1872554482959</v>
      </c>
      <c r="W184">
        <f t="shared" si="46"/>
        <v>1010.98035317218</v>
      </c>
      <c r="X184">
        <f t="shared" si="47"/>
        <v>0.50029775627523365</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1015.0833808102159</v>
      </c>
      <c r="I185" s="117">
        <f t="shared" si="36"/>
        <v>0.20648967551622416</v>
      </c>
      <c r="J185" s="118">
        <f>IF($D185="",0,IF($F185&lt;2,0,IF($E185="Win",('Guide &amp; Settings'!$C$42/(($F185-1)*COUNTIFS($A$4:$A$810,$A185,$E$4:$E$810,"Win")))*SUMIFS($X$4:$X$810,$A$4:$A$810,$A185,$E$4:$E$810,"Loss"),-('Guide &amp; Settings'!$C$42/($F185-1))*$X185)))</f>
        <v>5.8838570941683566</v>
      </c>
      <c r="K185" s="118">
        <f>IF($D185="",0,'Guide &amp; Settings'!$C$43*(IF($E185="Win",1,0)-$I185))</f>
        <v>9.5221238938053094</v>
      </c>
      <c r="L185" s="119">
        <f>IF($D185="",0,'Guide &amp; Settings'!$C$44*IF($F185&gt;=3,$F185,0))</f>
        <v>4</v>
      </c>
      <c r="M185" s="118">
        <f t="shared" si="37"/>
        <v>19.405980987973667</v>
      </c>
      <c r="N185" s="116">
        <f t="shared" si="38"/>
        <v>1034.4893617981895</v>
      </c>
      <c r="O185" s="115" t="str">
        <f t="shared" si="39"/>
        <v>OK</v>
      </c>
      <c r="P185">
        <f t="shared" si="40"/>
        <v>1011.7652950584343</v>
      </c>
      <c r="Q185">
        <f t="shared" si="41"/>
        <v>0.5047749640746837</v>
      </c>
      <c r="R185">
        <f t="shared" si="42"/>
        <v>0.5</v>
      </c>
      <c r="S185">
        <f t="shared" si="43"/>
        <v>2.4214285714285717</v>
      </c>
      <c r="T185" s="83">
        <f t="shared" si="44"/>
        <v>2</v>
      </c>
      <c r="U185" s="120">
        <f>IF($D185="",0,IFERROR(LOOKUP(2,1/(($D$3:D184=$D185)*($C$3:C184=$C185)*($A$3:A184&lt;$A185)),$AB$3:AB184),1000))</f>
        <v>999.99862611068431</v>
      </c>
      <c r="V185" s="120">
        <f t="shared" si="45"/>
        <v>1010.773450896064</v>
      </c>
      <c r="W185">
        <f t="shared" si="46"/>
        <v>1010.98035317218</v>
      </c>
      <c r="X185">
        <f t="shared" si="47"/>
        <v>0.49970224372476624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1135.2765610547908</v>
      </c>
      <c r="I186" s="117">
        <f t="shared" si="36"/>
        <v>0.30973451327433627</v>
      </c>
      <c r="J186" s="118">
        <f>IF($D186="",0,IF($F186&lt;2,0,IF($E186="Win",('Guide &amp; Settings'!$C$42/(($F186-1)*COUNTIFS($A$4:$A$810,$A186,$E$4:$E$810,"Win")))*SUMIFS($X$4:$X$810,$A$4:$A$810,$A186,$E$4:$E$810,"Loss"),-('Guide &amp; Settings'!$C$42/($F186-1))*$X186)))</f>
        <v>-6.4372720643875461</v>
      </c>
      <c r="K186" s="118">
        <f>IF($D186="",0,'Guide &amp; Settings'!$C$43*(IF($E186="Win",1,0)-$I186))</f>
        <v>-3.716814159292035</v>
      </c>
      <c r="L186" s="119">
        <f>IF($D186="",0,'Guide &amp; Settings'!$C$44*IF($F186&gt;=3,$F186,0))</f>
        <v>4</v>
      </c>
      <c r="M186" s="118">
        <f t="shared" si="37"/>
        <v>-6.154086223679581</v>
      </c>
      <c r="N186" s="116">
        <f t="shared" si="38"/>
        <v>1129.1224748311113</v>
      </c>
      <c r="O186" s="115" t="str">
        <f t="shared" si="39"/>
        <v>OK</v>
      </c>
      <c r="P186">
        <f t="shared" si="40"/>
        <v>1011.7652950584343</v>
      </c>
      <c r="Q186">
        <f t="shared" si="41"/>
        <v>0.6706194348713066</v>
      </c>
      <c r="R186">
        <f t="shared" si="42"/>
        <v>0.75</v>
      </c>
      <c r="S186">
        <f t="shared" si="43"/>
        <v>2.4214285714285717</v>
      </c>
      <c r="T186" s="83">
        <f t="shared" si="44"/>
        <v>6</v>
      </c>
      <c r="U186" s="120">
        <f>IF($D186="",0,IFERROR(LOOKUP(2,1/(($D$3:D185=$D186)*($C$3:C185=$C186)*($A$3:A185&lt;$A186)),$AB$3:AB185),1000))</f>
        <v>1041.1775290035487</v>
      </c>
      <c r="V186" s="120">
        <f t="shared" si="45"/>
        <v>1083.9498162995678</v>
      </c>
      <c r="W186">
        <f t="shared" si="46"/>
        <v>1010.98035317218</v>
      </c>
      <c r="X186">
        <f t="shared" si="47"/>
        <v>0.60349425603633244</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1027.6724515565552</v>
      </c>
      <c r="I187" s="117">
        <f t="shared" si="36"/>
        <v>0.23598820058997047</v>
      </c>
      <c r="J187" s="118">
        <f>IF($D187="",0,IF($F187&lt;2,0,IF($E187="Win",('Guide &amp; Settings'!$C$42/(($F187-1)*COUNTIFS($A$4:$A$810,$A187,$E$4:$E$810,"Win")))*SUMIFS($X$4:$X$810,$A$4:$A$810,$A187,$E$4:$E$810,"Loss"),-('Guide &amp; Settings'!$C$42/($F187-1))*$X187)))</f>
        <v>-5.3304421239491679</v>
      </c>
      <c r="K187" s="118">
        <f>IF($D187="",0,'Guide &amp; Settings'!$C$43*(IF($E187="Win",1,0)-$I187))</f>
        <v>-2.8318584070796455</v>
      </c>
      <c r="L187" s="119">
        <f>IF($D187="",0,'Guide &amp; Settings'!$C$44*IF($F187&gt;=3,$F187,0))</f>
        <v>4</v>
      </c>
      <c r="M187" s="118">
        <f t="shared" si="37"/>
        <v>-4.1623005310288139</v>
      </c>
      <c r="N187" s="116">
        <f t="shared" si="38"/>
        <v>1023.5101510255264</v>
      </c>
      <c r="O187" s="115" t="str">
        <f t="shared" si="39"/>
        <v>OK</v>
      </c>
      <c r="P187">
        <f t="shared" si="40"/>
        <v>1011.7652950584343</v>
      </c>
      <c r="Q187">
        <f t="shared" si="41"/>
        <v>0.52287625608135213</v>
      </c>
      <c r="R187">
        <f t="shared" si="42"/>
        <v>0.5714285714285714</v>
      </c>
      <c r="S187">
        <f t="shared" si="43"/>
        <v>2.4214285714285717</v>
      </c>
      <c r="T187" s="83">
        <f t="shared" si="44"/>
        <v>5</v>
      </c>
      <c r="U187" s="120">
        <f>IF($D187="",0,IFERROR(LOOKUP(2,1/(($D$3:D186=$D187)*($C$3:C186=$C187)*($A$3:A186&lt;$A187)),$AB$3:AB186),1000))</f>
        <v>993.91156386643377</v>
      </c>
      <c r="V187" s="120">
        <f t="shared" si="45"/>
        <v>1010.7920077114945</v>
      </c>
      <c r="W187">
        <f t="shared" si="46"/>
        <v>1010.98035317218</v>
      </c>
      <c r="X187">
        <f t="shared" si="47"/>
        <v>0.49972894912023452</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976.13396936053971</v>
      </c>
      <c r="I188" s="117">
        <f t="shared" si="36"/>
        <v>0.18028846153846151</v>
      </c>
      <c r="J188" s="118">
        <f>IF($D188="",0,IF($F188&lt;2,0,IF($E188="Win",('Guide &amp; Settings'!$C$42/(($F188-1)*COUNTIFS($A$4:$A$810,$A188,$E$4:$E$810,"Win")))*SUMIFS($X$4:$X$810,$A$4:$A$810,$A188,$E$4:$E$810,"Loss"),-('Guide &amp; Settings'!$C$42/($F188-1))*$X188)))</f>
        <v>5.2598655984543585</v>
      </c>
      <c r="K188" s="118">
        <f>IF($D188="",0,'Guide &amp; Settings'!$C$43*(IF($E188="Win",1,0)-$I188))</f>
        <v>9.8365384615384635</v>
      </c>
      <c r="L188" s="119">
        <f>IF($D188="",0,'Guide &amp; Settings'!$C$44*IF($F188&gt;=3,$F188,0))</f>
        <v>4</v>
      </c>
      <c r="M188" s="118">
        <f t="shared" si="37"/>
        <v>19.096404059992821</v>
      </c>
      <c r="N188" s="116">
        <f t="shared" si="38"/>
        <v>995.23037342053249</v>
      </c>
      <c r="O188" s="115" t="str">
        <f t="shared" si="39"/>
        <v>OK</v>
      </c>
      <c r="P188">
        <f t="shared" si="40"/>
        <v>1049.6730863794114</v>
      </c>
      <c r="Q188">
        <f t="shared" si="41"/>
        <v>0.39572133664674414</v>
      </c>
      <c r="R188">
        <f t="shared" si="42"/>
        <v>0.45454545454545453</v>
      </c>
      <c r="S188">
        <f t="shared" si="43"/>
        <v>2.5212121212121215</v>
      </c>
      <c r="T188" s="83">
        <f t="shared" si="44"/>
        <v>9</v>
      </c>
      <c r="U188" s="120">
        <f>IF($D188="",0,IFERROR(LOOKUP(2,1/(($D$3:D187=$D188)*($C$3:C187=$C188)*($A$3:A187&lt;$A188)),$AB$3:AB187),1000))</f>
        <v>964.51557411409249</v>
      </c>
      <c r="V188" s="120">
        <f t="shared" si="45"/>
        <v>968.66500098782376</v>
      </c>
      <c r="W188">
        <f t="shared" si="46"/>
        <v>1028.909899463682</v>
      </c>
      <c r="X188">
        <f t="shared" si="47"/>
        <v>0.41415923067895616</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1123.212203398283</v>
      </c>
      <c r="I189" s="117">
        <f t="shared" si="36"/>
        <v>0.31730769230769229</v>
      </c>
      <c r="J189" s="118">
        <f>IF($D189="",0,IF($F189&lt;2,0,IF($E189="Win",('Guide &amp; Settings'!$C$42/(($F189-1)*COUNTIFS($A$4:$A$810,$A189,$E$4:$E$810,"Win")))*SUMIFS($X$4:$X$810,$A$4:$A$810,$A189,$E$4:$E$810,"Loss"),-('Guide &amp; Settings'!$C$42/($F189-1))*$X189)))</f>
        <v>5.2598655984543585</v>
      </c>
      <c r="K189" s="118">
        <f>IF($D189="",0,'Guide &amp; Settings'!$C$43*(IF($E189="Win",1,0)-$I189))</f>
        <v>8.1923076923076934</v>
      </c>
      <c r="L189" s="119">
        <f>IF($D189="",0,'Guide &amp; Settings'!$C$44*IF($F189&gt;=3,$F189,0))</f>
        <v>4</v>
      </c>
      <c r="M189" s="118">
        <f t="shared" si="37"/>
        <v>17.452173290762051</v>
      </c>
      <c r="N189" s="116">
        <f t="shared" si="38"/>
        <v>1140.664376689045</v>
      </c>
      <c r="O189" s="115" t="str">
        <f t="shared" si="39"/>
        <v>OK</v>
      </c>
      <c r="P189">
        <f t="shared" si="40"/>
        <v>1049.6730863794114</v>
      </c>
      <c r="Q189">
        <f t="shared" si="41"/>
        <v>0.60427866335325575</v>
      </c>
      <c r="R189">
        <f t="shared" si="42"/>
        <v>0.8</v>
      </c>
      <c r="S189">
        <f t="shared" si="43"/>
        <v>2.5212121212121215</v>
      </c>
      <c r="T189" s="83">
        <f t="shared" si="44"/>
        <v>8</v>
      </c>
      <c r="U189" s="120">
        <f>IF($D189="",0,IFERROR(LOOKUP(2,1/(($D$3:D188=$D189)*($C$3:C188=$C189)*($A$3:A188&lt;$A189)),$AB$3:AB188),1000))</f>
        <v>1067.8689195278262</v>
      </c>
      <c r="V189" s="120">
        <f t="shared" si="45"/>
        <v>1089.1547979395402</v>
      </c>
      <c r="W189">
        <f t="shared" si="46"/>
        <v>1028.909899463682</v>
      </c>
      <c r="X189">
        <f t="shared" si="47"/>
        <v>0.5858407693210439</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1027.3576150733875</v>
      </c>
      <c r="I190" s="117">
        <f t="shared" si="36"/>
        <v>0.26442307692307687</v>
      </c>
      <c r="J190" s="118">
        <f>IF($D190="",0,IF($F190&lt;2,0,IF($E190="Win",('Guide &amp; Settings'!$C$42/(($F190-1)*COUNTIFS($A$4:$A$810,$A190,$E$4:$E$810,"Win")))*SUMIFS($X$4:$X$810,$A$4:$A$810,$A190,$E$4:$E$810,"Loss"),-('Guide &amp; Settings'!$C$42/($F190-1))*$X190)))</f>
        <v>-5.2677369683220068</v>
      </c>
      <c r="K190" s="118">
        <f>IF($D190="",0,'Guide &amp; Settings'!$C$43*(IF($E190="Win",1,0)-$I190))</f>
        <v>-3.1730769230769225</v>
      </c>
      <c r="L190" s="119">
        <f>IF($D190="",0,'Guide &amp; Settings'!$C$44*IF($F190&gt;=3,$F190,0))</f>
        <v>4</v>
      </c>
      <c r="M190" s="118">
        <f t="shared" si="37"/>
        <v>-4.4408138913989283</v>
      </c>
      <c r="N190" s="116">
        <f t="shared" si="38"/>
        <v>1022.9168011819886</v>
      </c>
      <c r="O190" s="115" t="str">
        <f t="shared" si="39"/>
        <v>OK</v>
      </c>
      <c r="P190">
        <f t="shared" si="40"/>
        <v>1049.6730863794114</v>
      </c>
      <c r="Q190">
        <f t="shared" si="41"/>
        <v>0.46792954403890336</v>
      </c>
      <c r="R190">
        <f t="shared" si="42"/>
        <v>0.66666666666666663</v>
      </c>
      <c r="S190">
        <f t="shared" si="43"/>
        <v>2.5212121212121215</v>
      </c>
      <c r="T190" s="83">
        <f t="shared" si="44"/>
        <v>4</v>
      </c>
      <c r="U190" s="120">
        <f>IF($D190="",0,IFERROR(LOOKUP(2,1/(($D$3:D189=$D190)*($C$3:C189=$C190)*($A$3:A189&lt;$A190)),$AB$3:AB189),1000))</f>
        <v>1021.2350230564828</v>
      </c>
      <c r="V190" s="120">
        <f t="shared" si="45"/>
        <v>1024.6364630658743</v>
      </c>
      <c r="W190">
        <f t="shared" si="46"/>
        <v>1028.909899463682</v>
      </c>
      <c r="X190">
        <f t="shared" si="47"/>
        <v>0.49385034078018819</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1034.4893617981895</v>
      </c>
      <c r="I191" s="117">
        <f t="shared" si="36"/>
        <v>0.23798076923076919</v>
      </c>
      <c r="J191" s="118">
        <f>IF($D191="",0,IF($F191&lt;2,0,IF($E191="Win",('Guide &amp; Settings'!$C$42/(($F191-1)*COUNTIFS($A$4:$A$810,$A191,$E$4:$E$810,"Win")))*SUMIFS($X$4:$X$810,$A$4:$A$810,$A191,$E$4:$E$810,"Loss"),-('Guide &amp; Settings'!$C$42/($F191-1))*$X191)))</f>
        <v>-5.2519942285867094</v>
      </c>
      <c r="K191" s="118">
        <f>IF($D191="",0,'Guide &amp; Settings'!$C$43*(IF($E191="Win",1,0)-$I191))</f>
        <v>-2.8557692307692304</v>
      </c>
      <c r="L191" s="119">
        <f>IF($D191="",0,'Guide &amp; Settings'!$C$44*IF($F191&gt;=3,$F191,0))</f>
        <v>4</v>
      </c>
      <c r="M191" s="118">
        <f t="shared" si="37"/>
        <v>-4.1077634593559402</v>
      </c>
      <c r="N191" s="116">
        <f t="shared" si="38"/>
        <v>1030.3815983388336</v>
      </c>
      <c r="O191" s="115" t="str">
        <f t="shared" si="39"/>
        <v>OK</v>
      </c>
      <c r="P191">
        <f t="shared" si="40"/>
        <v>1049.6730863794114</v>
      </c>
      <c r="Q191">
        <f t="shared" si="41"/>
        <v>0.4781627642864188</v>
      </c>
      <c r="R191">
        <f t="shared" si="42"/>
        <v>0.6</v>
      </c>
      <c r="S191">
        <f t="shared" si="43"/>
        <v>2.5212121212121215</v>
      </c>
      <c r="T191" s="83">
        <f t="shared" si="44"/>
        <v>3</v>
      </c>
      <c r="U191" s="120">
        <f>IF($D191="",0,IFERROR(LOOKUP(2,1/(($D$3:D190=$D191)*($C$3:C190=$C191)*($A$3:A190&lt;$A191)),$AB$3:AB190),1000))</f>
        <v>1005.479650149466</v>
      </c>
      <c r="V191" s="120">
        <f t="shared" si="45"/>
        <v>1023.6107199299182</v>
      </c>
      <c r="W191">
        <f t="shared" si="46"/>
        <v>1028.909899463682</v>
      </c>
      <c r="X191">
        <f t="shared" si="47"/>
        <v>0.49237445893000403</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1149.159920014753</v>
      </c>
      <c r="I192" s="117">
        <f t="shared" si="36"/>
        <v>0.19075144508670519</v>
      </c>
      <c r="J192" s="118">
        <f>IF($D192="",0,IF($F192&lt;2,0,IF($E192="Win",('Guide &amp; Settings'!$C$42/(($F192-1)*COUNTIFS($A$4:$A$810,$A192,$E$4:$E$810,"Win")))*SUMIFS($X$4:$X$810,$A$4:$A$810,$A192,$E$4:$E$810,"Loss"),-('Guide &amp; Settings'!$C$42/($F192-1))*$X192)))</f>
        <v>5.3459202405647632</v>
      </c>
      <c r="K192" s="118">
        <f>IF($D192="",0,'Guide &amp; Settings'!$C$43*(IF($E192="Win",1,0)-$I192))</f>
        <v>9.7109826589595372</v>
      </c>
      <c r="L192" s="119">
        <f>IF($D192="",0,'Guide &amp; Settings'!$C$44*IF($F192&gt;=3,$F192,0))</f>
        <v>4</v>
      </c>
      <c r="M192" s="118">
        <f t="shared" si="37"/>
        <v>19.056902899524299</v>
      </c>
      <c r="N192" s="116">
        <f t="shared" si="38"/>
        <v>1168.2168229142774</v>
      </c>
      <c r="O192" s="115" t="str">
        <f t="shared" si="39"/>
        <v>OK</v>
      </c>
      <c r="P192">
        <f t="shared" si="40"/>
        <v>1082.1248742962744</v>
      </c>
      <c r="Q192">
        <f t="shared" si="41"/>
        <v>0.59529164353502906</v>
      </c>
      <c r="R192">
        <f t="shared" si="42"/>
        <v>0.42857142857142855</v>
      </c>
      <c r="S192">
        <f t="shared" si="43"/>
        <v>2.2467532467532467</v>
      </c>
      <c r="T192" s="83">
        <f t="shared" si="44"/>
        <v>5</v>
      </c>
      <c r="U192" s="120">
        <f>IF($D192="",0,IFERROR(LOOKUP(2,1/(($D$3:D191=$D192)*($C$3:C191=$C192)*($A$3:A191&lt;$A192)),$AB$3:AB191),1000))</f>
        <v>985.02917710827387</v>
      </c>
      <c r="V192" s="120">
        <f t="shared" si="45"/>
        <v>1067.0945485615134</v>
      </c>
      <c r="W192">
        <f t="shared" si="46"/>
        <v>1036.9299099019486</v>
      </c>
      <c r="X192">
        <f t="shared" si="47"/>
        <v>0.54330165869507263</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1015.0898285777957</v>
      </c>
      <c r="I193" s="117">
        <f t="shared" si="36"/>
        <v>0.22254335260115607</v>
      </c>
      <c r="J193" s="118">
        <f>IF($D193="",0,IF($F193&lt;2,0,IF($E193="Win",('Guide &amp; Settings'!$C$42/(($F193-1)*COUNTIFS($A$4:$A$810,$A193,$E$4:$E$810,"Win")))*SUMIFS($X$4:$X$810,$A$4:$A$810,$A193,$E$4:$E$810,"Loss"),-('Guide &amp; Settings'!$C$42/($F193-1))*$X193)))</f>
        <v>5.3459202405647632</v>
      </c>
      <c r="K193" s="118">
        <f>IF($D193="",0,'Guide &amp; Settings'!$C$43*(IF($E193="Win",1,0)-$I193))</f>
        <v>9.3294797687861273</v>
      </c>
      <c r="L193" s="119">
        <f>IF($D193="",0,'Guide &amp; Settings'!$C$44*IF($F193&gt;=3,$F193,0))</f>
        <v>4</v>
      </c>
      <c r="M193" s="118">
        <f t="shared" si="37"/>
        <v>18.675400009350891</v>
      </c>
      <c r="N193" s="116">
        <f t="shared" si="38"/>
        <v>1033.7652285871466</v>
      </c>
      <c r="O193" s="115" t="str">
        <f t="shared" si="39"/>
        <v>OK</v>
      </c>
      <c r="P193">
        <f t="shared" si="40"/>
        <v>1082.1248742962744</v>
      </c>
      <c r="Q193">
        <f t="shared" si="41"/>
        <v>0.40470835646497089</v>
      </c>
      <c r="R193">
        <f t="shared" si="42"/>
        <v>0.5</v>
      </c>
      <c r="S193">
        <f t="shared" si="43"/>
        <v>2.2467532467532467</v>
      </c>
      <c r="T193" s="83">
        <f t="shared" si="44"/>
        <v>6</v>
      </c>
      <c r="U193" s="120">
        <f>IF($D193="",0,IFERROR(LOOKUP(2,1/(($D$3:D192=$D193)*($C$3:C192=$C193)*($A$3:A192&lt;$A193)),$AB$3:AB192),1000))</f>
        <v>999.82814012954088</v>
      </c>
      <c r="V193" s="120">
        <f t="shared" si="45"/>
        <v>1006.765271242384</v>
      </c>
      <c r="W193">
        <f t="shared" si="46"/>
        <v>1036.9299099019486</v>
      </c>
      <c r="X193">
        <f t="shared" si="47"/>
        <v>0.4566983413049277</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1140.664376689045</v>
      </c>
      <c r="I194" s="117">
        <f t="shared" si="36"/>
        <v>0.3641618497109827</v>
      </c>
      <c r="J194" s="118">
        <f>IF($D194="",0,IF($F194&lt;2,0,IF($E194="Win",('Guide &amp; Settings'!$C$42/(($F194-1)*COUNTIFS($A$4:$A$810,$A194,$E$4:$E$810,"Win")))*SUMIFS($X$4:$X$810,$A$4:$A$810,$A194,$E$4:$E$810,"Loss"),-('Guide &amp; Settings'!$C$42/($F194-1))*$X194)))</f>
        <v>-6.2503551510642659</v>
      </c>
      <c r="K194" s="118">
        <f>IF($D194="",0,'Guide &amp; Settings'!$C$43*(IF($E194="Win",1,0)-$I194))</f>
        <v>-4.3699421965317926</v>
      </c>
      <c r="L194" s="119">
        <f>IF($D194="",0,'Guide &amp; Settings'!$C$44*IF($F194&gt;=3,$F194,0))</f>
        <v>4</v>
      </c>
      <c r="M194" s="118">
        <f t="shared" si="37"/>
        <v>-6.6202973475960576</v>
      </c>
      <c r="N194" s="116">
        <f t="shared" si="38"/>
        <v>1134.0440793414489</v>
      </c>
      <c r="O194" s="115" t="str">
        <f t="shared" si="39"/>
        <v>OK</v>
      </c>
      <c r="P194">
        <f t="shared" si="40"/>
        <v>1082.1248742962744</v>
      </c>
      <c r="Q194">
        <f t="shared" si="41"/>
        <v>0.5834568555633578</v>
      </c>
      <c r="R194">
        <f t="shared" si="42"/>
        <v>0.81818181818181823</v>
      </c>
      <c r="S194">
        <f t="shared" si="43"/>
        <v>2.2467532467532467</v>
      </c>
      <c r="T194" s="83">
        <f t="shared" si="44"/>
        <v>9</v>
      </c>
      <c r="U194" s="120">
        <f>IF($D194="",0,IFERROR(LOOKUP(2,1/(($D$3:D193=$D194)*($C$3:C193=$C194)*($A$3:A193&lt;$A194)),$AB$3:AB193),1000))</f>
        <v>1073.1587587095958</v>
      </c>
      <c r="V194" s="120">
        <f t="shared" si="45"/>
        <v>1097.2679079879704</v>
      </c>
      <c r="W194">
        <f t="shared" si="46"/>
        <v>1036.9299099019486</v>
      </c>
      <c r="X194">
        <f t="shared" si="47"/>
        <v>0.58597079541227493</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995.23037342053249</v>
      </c>
      <c r="I195" s="117">
        <f t="shared" si="36"/>
        <v>0.22254335260115607</v>
      </c>
      <c r="J195" s="118">
        <f>IF($D195="",0,IF($F195&lt;2,0,IF($E195="Win",('Guide &amp; Settings'!$C$42/(($F195-1)*COUNTIFS($A$4:$A$810,$A195,$E$4:$E$810,"Win")))*SUMIFS($X$4:$X$810,$A$4:$A$810,$A195,$E$4:$E$810,"Loss"),-('Guide &amp; Settings'!$C$42/($F195-1))*$X195)))</f>
        <v>-4.4414853300652597</v>
      </c>
      <c r="K195" s="118">
        <f>IF($D195="",0,'Guide &amp; Settings'!$C$43*(IF($E195="Win",1,0)-$I195))</f>
        <v>-2.6705202312138727</v>
      </c>
      <c r="L195" s="119">
        <f>IF($D195="",0,'Guide &amp; Settings'!$C$44*IF($F195&gt;=3,$F195,0))</f>
        <v>4</v>
      </c>
      <c r="M195" s="118">
        <f t="shared" si="37"/>
        <v>-3.1120055612791324</v>
      </c>
      <c r="N195" s="116">
        <f t="shared" si="38"/>
        <v>992.11836785925334</v>
      </c>
      <c r="O195" s="115" t="str">
        <f t="shared" si="39"/>
        <v>OK</v>
      </c>
      <c r="P195">
        <f t="shared" si="40"/>
        <v>1082.1248742962744</v>
      </c>
      <c r="Q195">
        <f t="shared" si="41"/>
        <v>0.37749250459829914</v>
      </c>
      <c r="R195">
        <f t="shared" si="42"/>
        <v>0.5</v>
      </c>
      <c r="S195">
        <f t="shared" si="43"/>
        <v>2.2467532467532467</v>
      </c>
      <c r="T195" s="83">
        <f t="shared" si="44"/>
        <v>10</v>
      </c>
      <c r="U195" s="120">
        <f>IF($D195="",0,IFERROR(LOOKUP(2,1/(($D$3:D194=$D195)*($C$3:C194=$C195)*($A$3:A194&lt;$A195)),$AB$3:AB194),1000))</f>
        <v>969.80541329586208</v>
      </c>
      <c r="V195" s="120">
        <f t="shared" si="45"/>
        <v>978.28040000408555</v>
      </c>
      <c r="W195">
        <f t="shared" si="46"/>
        <v>1036.9299099019486</v>
      </c>
      <c r="X195">
        <f t="shared" si="47"/>
        <v>0.41638924969361812</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1129.1224748311113</v>
      </c>
      <c r="I196" s="117">
        <f t="shared" ref="I196:I259" si="53">IF($D196="",0,IF($S196=0,0,$R196/$S196))</f>
        <v>0.3</v>
      </c>
      <c r="J196" s="118">
        <f>IF($D196="",0,IF($F196&lt;2,0,IF($E196="Win",('Guide &amp; Settings'!$C$42/(($F196-1)*COUNTIFS($A$4:$A$810,$A196,$E$4:$E$810,"Win")))*SUMIFS($X$4:$X$810,$A$4:$A$810,$A196,$E$4:$E$810,"Loss"),-('Guide &amp; Settings'!$C$42/($F196-1))*$X196)))</f>
        <v>5.4080184891828296</v>
      </c>
      <c r="K196" s="118">
        <f>IF($D196="",0,'Guide &amp; Settings'!$C$43*(IF($E196="Win",1,0)-$I196))</f>
        <v>8.3999999999999986</v>
      </c>
      <c r="L196" s="119">
        <f>IF($D196="",0,'Guide &amp; Settings'!$C$44*IF($F196&gt;=3,$F196,0))</f>
        <v>4</v>
      </c>
      <c r="M196" s="118">
        <f t="shared" ref="M196:M259" si="54">IF($D196="",0,$J196+$K196+$L196)</f>
        <v>17.808018489182828</v>
      </c>
      <c r="N196" s="116">
        <f t="shared" ref="N196:N259" si="55">IF($D196="",0,$H196+$M196)</f>
        <v>1146.9304933202941</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1076.3163129283189</v>
      </c>
      <c r="Q196">
        <f t="shared" ref="Q196:Q259" si="58">IF($D196="",0,1/(1+10^(($P196-$H196)/400)))</f>
        <v>0.57541436593980244</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1074.4128594852377</v>
      </c>
      <c r="W196">
        <f t="shared" ref="W196:W259" si="63">IF($D196="",0,IFERROR(SUMIFS($V$4:$V$810,$A$4:$A$810,$A196,$E$4:$E$810,"Win")/COUNTIFS($A$4:$A$810,$A196,$E$4:$E$810,"Win"),0))</f>
        <v>1039.4930500619125</v>
      </c>
      <c r="X196">
        <f t="shared" ref="X196:X259" si="64">IF($D196="",0,1/(1+10^(($W196-$V196)/400)))</f>
        <v>0.55008511034765195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1023.5101510255264</v>
      </c>
      <c r="I197" s="117">
        <f t="shared" si="53"/>
        <v>0.22499999999999998</v>
      </c>
      <c r="J197" s="118">
        <f>IF($D197="",0,IF($F197&lt;2,0,IF($E197="Win",('Guide &amp; Settings'!$C$42/(($F197-1)*COUNTIFS($A$4:$A$810,$A197,$E$4:$E$810,"Win")))*SUMIFS($X$4:$X$810,$A$4:$A$810,$A197,$E$4:$E$810,"Loss"),-('Guide &amp; Settings'!$C$42/($F197-1))*$X197)))</f>
        <v>5.4080184891828296</v>
      </c>
      <c r="K197" s="118">
        <f>IF($D197="",0,'Guide &amp; Settings'!$C$43*(IF($E197="Win",1,0)-$I197))</f>
        <v>9.3000000000000007</v>
      </c>
      <c r="L197" s="119">
        <f>IF($D197="",0,'Guide &amp; Settings'!$C$44*IF($F197&gt;=3,$F197,0))</f>
        <v>4</v>
      </c>
      <c r="M197" s="118">
        <f t="shared" si="54"/>
        <v>18.70801848918283</v>
      </c>
      <c r="N197" s="116">
        <f t="shared" si="55"/>
        <v>1042.2181695147092</v>
      </c>
      <c r="O197" s="115" t="str">
        <f t="shared" si="56"/>
        <v>OK</v>
      </c>
      <c r="P197">
        <f t="shared" si="57"/>
        <v>1076.3163129283189</v>
      </c>
      <c r="Q197">
        <f t="shared" si="58"/>
        <v>0.42458563406019734</v>
      </c>
      <c r="R197">
        <f t="shared" si="59"/>
        <v>0.5</v>
      </c>
      <c r="S197">
        <f t="shared" si="60"/>
        <v>2.2222222222222223</v>
      </c>
      <c r="T197" s="83">
        <f t="shared" si="61"/>
        <v>6</v>
      </c>
      <c r="U197" s="120">
        <f>IF($D197="",0,IFERROR(LOOKUP(2,1/(($D$3:D196=$D197)*($C$3:C196=$C197)*($A$3:A196&lt;$A197)),$AB$3:AB196),1000))</f>
        <v>988.79248198280493</v>
      </c>
      <c r="V197" s="120">
        <f t="shared" si="62"/>
        <v>1004.5732406385873</v>
      </c>
      <c r="W197">
        <f t="shared" si="63"/>
        <v>1039.4930500619125</v>
      </c>
      <c r="X197">
        <f t="shared" si="64"/>
        <v>0.4499148896523481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1168.2168229142774</v>
      </c>
      <c r="I198" s="117">
        <f t="shared" si="53"/>
        <v>0.22499999999999998</v>
      </c>
      <c r="J198" s="118">
        <f>IF($D198="",0,IF($F198&lt;2,0,IF($E198="Win",('Guide &amp; Settings'!$C$42/(($F198-1)*COUNTIFS($A$4:$A$810,$A198,$E$4:$E$810,"Win")))*SUMIFS($X$4:$X$810,$A$4:$A$810,$A198,$E$4:$E$810,"Loss"),-('Guide &amp; Settings'!$C$42/($F198-1))*$X198)))</f>
        <v>-5.8224026825282742</v>
      </c>
      <c r="K198" s="118">
        <f>IF($D198="",0,'Guide &amp; Settings'!$C$43*(IF($E198="Win",1,0)-$I198))</f>
        <v>-2.6999999999999997</v>
      </c>
      <c r="L198" s="119">
        <f>IF($D198="",0,'Guide &amp; Settings'!$C$44*IF($F198&gt;=3,$F198,0))</f>
        <v>4</v>
      </c>
      <c r="M198" s="118">
        <f t="shared" si="54"/>
        <v>-4.5224026825282735</v>
      </c>
      <c r="N198" s="116">
        <f t="shared" si="55"/>
        <v>1163.6944202317491</v>
      </c>
      <c r="O198" s="115" t="str">
        <f t="shared" si="56"/>
        <v>OK</v>
      </c>
      <c r="P198">
        <f t="shared" si="57"/>
        <v>1076.3163129283189</v>
      </c>
      <c r="Q198">
        <f t="shared" si="58"/>
        <v>0.62925494765594603</v>
      </c>
      <c r="R198">
        <f t="shared" si="59"/>
        <v>0.5</v>
      </c>
      <c r="S198">
        <f t="shared" si="60"/>
        <v>2.2222222222222223</v>
      </c>
      <c r="T198" s="83">
        <f t="shared" si="61"/>
        <v>6</v>
      </c>
      <c r="U198" s="120">
        <f>IF($D198="",0,IFERROR(LOOKUP(2,1/(($D$3:D197=$D198)*($C$3:C197=$C198)*($A$3:A197&lt;$A198)),$AB$3:AB197),1000))</f>
        <v>990.79782626498309</v>
      </c>
      <c r="V198" s="120">
        <f t="shared" si="62"/>
        <v>1071.4428247419351</v>
      </c>
      <c r="W198">
        <f t="shared" si="63"/>
        <v>1039.4930500619125</v>
      </c>
      <c r="X198">
        <f t="shared" si="64"/>
        <v>0.54585025148702571</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1033.7652285871466</v>
      </c>
      <c r="I199" s="117">
        <f t="shared" si="53"/>
        <v>0.25</v>
      </c>
      <c r="J199" s="118">
        <f>IF($D199="",0,IF($F199&lt;2,0,IF($E199="Win",('Guide &amp; Settings'!$C$42/(($F199-1)*COUNTIFS($A$4:$A$810,$A199,$E$4:$E$810,"Win")))*SUMIFS($X$4:$X$810,$A$4:$A$810,$A199,$E$4:$E$810,"Loss"),-('Guide &amp; Settings'!$C$42/($F199-1))*$X199)))</f>
        <v>-4.9936342958373849</v>
      </c>
      <c r="K199" s="118">
        <f>IF($D199="",0,'Guide &amp; Settings'!$C$43*(IF($E199="Win",1,0)-$I199))</f>
        <v>-3</v>
      </c>
      <c r="L199" s="119">
        <f>IF($D199="",0,'Guide &amp; Settings'!$C$44*IF($F199&gt;=3,$F199,0))</f>
        <v>4</v>
      </c>
      <c r="M199" s="118">
        <f t="shared" si="54"/>
        <v>-3.9936342958373849</v>
      </c>
      <c r="N199" s="116">
        <f t="shared" si="55"/>
        <v>1029.7715942913092</v>
      </c>
      <c r="O199" s="115" t="str">
        <f t="shared" si="56"/>
        <v>OK</v>
      </c>
      <c r="P199">
        <f t="shared" si="57"/>
        <v>1076.3163129283189</v>
      </c>
      <c r="Q199">
        <f t="shared" si="58"/>
        <v>0.43906840791184393</v>
      </c>
      <c r="R199">
        <f t="shared" si="59"/>
        <v>0.55555555555555558</v>
      </c>
      <c r="S199">
        <f t="shared" si="60"/>
        <v>2.2222222222222223</v>
      </c>
      <c r="T199" s="83">
        <f t="shared" si="61"/>
        <v>7</v>
      </c>
      <c r="U199" s="120">
        <f>IF($D199="",0,IFERROR(LOOKUP(2,1/(($D$3:D198=$D199)*($C$3:C198=$C199)*($A$3:A198&lt;$A199)),$AB$3:AB198),1000))</f>
        <v>1005.5967892862501</v>
      </c>
      <c r="V199" s="120">
        <f t="shared" si="62"/>
        <v>1017.333638994957</v>
      </c>
      <c r="W199">
        <f t="shared" si="63"/>
        <v>1039.4930500619125</v>
      </c>
      <c r="X199">
        <f t="shared" si="64"/>
        <v>0.46815321523475489</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1146.9304933202941</v>
      </c>
      <c r="I200" s="117">
        <f t="shared" si="53"/>
        <v>0.38066465256797583</v>
      </c>
      <c r="J200" s="118">
        <f>IF($D200="",0,IF($F200&lt;2,0,IF($E200="Win",('Guide &amp; Settings'!$C$42/(($F200-1)*COUNTIFS($A$4:$A$810,$A200,$E$4:$E$810,"Win")))*SUMIFS($X$4:$X$810,$A$4:$A$810,$A200,$E$4:$E$810,"Loss"),-('Guide &amp; Settings'!$C$42/($F200-1))*$X200)))</f>
        <v>4.2867761685740229</v>
      </c>
      <c r="K200" s="118">
        <f>IF($D200="",0,'Guide &amp; Settings'!$C$43*(IF($E200="Win",1,0)-$I200))</f>
        <v>7.4320241691842908</v>
      </c>
      <c r="L200" s="119">
        <f>IF($D200="",0,'Guide &amp; Settings'!$C$44*IF($F200&gt;=3,$F200,0))</f>
        <v>4</v>
      </c>
      <c r="M200" s="118">
        <f t="shared" si="54"/>
        <v>15.718800337758314</v>
      </c>
      <c r="N200" s="116">
        <f t="shared" si="55"/>
        <v>1162.6492936580523</v>
      </c>
      <c r="O200" s="115" t="str">
        <f t="shared" si="56"/>
        <v>OK</v>
      </c>
      <c r="P200">
        <f t="shared" si="57"/>
        <v>1094.5743314175015</v>
      </c>
      <c r="Q200">
        <f t="shared" si="58"/>
        <v>0.5747813730762773</v>
      </c>
      <c r="R200">
        <f t="shared" si="59"/>
        <v>0.7</v>
      </c>
      <c r="S200">
        <f t="shared" si="60"/>
        <v>1.8388888888888888</v>
      </c>
      <c r="T200" s="83">
        <f t="shared" si="61"/>
        <v>8</v>
      </c>
      <c r="U200" s="120">
        <f>IF($D200="",0,IFERROR(LOOKUP(2,1/(($D$3:D199=$D200)*($C$3:C199=$C200)*($A$3:A199&lt;$A200)),$AB$3:AB199),1000))</f>
        <v>1040.4552511360616</v>
      </c>
      <c r="V200" s="120">
        <f t="shared" si="62"/>
        <v>1081.4072673607664</v>
      </c>
      <c r="W200">
        <f t="shared" si="63"/>
        <v>1047.7237603361464</v>
      </c>
      <c r="X200">
        <f t="shared" si="64"/>
        <v>0.54832316002380932</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1042.2181695147092</v>
      </c>
      <c r="I201" s="117">
        <f t="shared" si="53"/>
        <v>0.30211480362537768</v>
      </c>
      <c r="J201" s="118">
        <f>IF($D201="",0,IF($F201&lt;2,0,IF($E201="Win",('Guide &amp; Settings'!$C$42/(($F201-1)*COUNTIFS($A$4:$A$810,$A201,$E$4:$E$810,"Win")))*SUMIFS($X$4:$X$810,$A$4:$A$810,$A201,$E$4:$E$810,"Loss"),-('Guide &amp; Settings'!$C$42/($F201-1))*$X201)))</f>
        <v>4.2867761685740229</v>
      </c>
      <c r="K201" s="118">
        <f>IF($D201="",0,'Guide &amp; Settings'!$C$43*(IF($E201="Win",1,0)-$I201))</f>
        <v>8.3746223564954683</v>
      </c>
      <c r="L201" s="119">
        <f>IF($D201="",0,'Guide &amp; Settings'!$C$44*IF($F201&gt;=3,$F201,0))</f>
        <v>4</v>
      </c>
      <c r="M201" s="118">
        <f t="shared" si="54"/>
        <v>16.66139852506949</v>
      </c>
      <c r="N201" s="116">
        <f t="shared" si="55"/>
        <v>1058.8795680397786</v>
      </c>
      <c r="O201" s="115" t="str">
        <f t="shared" si="56"/>
        <v>OK</v>
      </c>
      <c r="P201">
        <f t="shared" si="57"/>
        <v>1094.5743314175015</v>
      </c>
      <c r="Q201">
        <f t="shared" si="58"/>
        <v>0.42521862692372298</v>
      </c>
      <c r="R201">
        <f t="shared" si="59"/>
        <v>0.55555555555555558</v>
      </c>
      <c r="S201">
        <f t="shared" si="60"/>
        <v>1.8388888888888888</v>
      </c>
      <c r="T201" s="83">
        <f t="shared" si="61"/>
        <v>7</v>
      </c>
      <c r="U201" s="120">
        <f>IF($D201="",0,IFERROR(LOOKUP(2,1/(($D$3:D200=$D201)*($C$3:C200=$C201)*($A$3:A200&lt;$A201)),$AB$3:AB200),1000))</f>
        <v>993.91317030925256</v>
      </c>
      <c r="V201" s="120">
        <f t="shared" si="62"/>
        <v>1014.0402533115262</v>
      </c>
      <c r="W201">
        <f t="shared" si="63"/>
        <v>1047.7237603361464</v>
      </c>
      <c r="X201">
        <f t="shared" si="64"/>
        <v>0.45167683997619035</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945.02062066151154</v>
      </c>
      <c r="I202" s="117">
        <f t="shared" si="53"/>
        <v>0.18126888217522658</v>
      </c>
      <c r="J202" s="118">
        <f>IF($D202="",0,IF($F202&lt;2,0,IF($E202="Win",('Guide &amp; Settings'!$C$42/(($F202-1)*COUNTIFS($A$4:$A$810,$A202,$E$4:$E$810,"Win")))*SUMIFS($X$4:$X$810,$A$4:$A$810,$A202,$E$4:$E$810,"Loss"),-('Guide &amp; Settings'!$C$42/($F202-1))*$X202)))</f>
        <v>-4.0852491135012858</v>
      </c>
      <c r="K202" s="118">
        <f>IF($D202="",0,'Guide &amp; Settings'!$C$43*(IF($E202="Win",1,0)-$I202))</f>
        <v>-2.1752265861027187</v>
      </c>
      <c r="L202" s="119">
        <f>IF($D202="",0,'Guide &amp; Settings'!$C$44*IF($F202&gt;=3,$F202,0))</f>
        <v>4</v>
      </c>
      <c r="M202" s="118">
        <f t="shared" si="54"/>
        <v>-2.2604756996040045</v>
      </c>
      <c r="N202" s="116">
        <f t="shared" si="55"/>
        <v>942.76014496190749</v>
      </c>
      <c r="O202" s="115" t="str">
        <f t="shared" si="56"/>
        <v>OK</v>
      </c>
      <c r="P202">
        <f t="shared" si="57"/>
        <v>1094.5743314175015</v>
      </c>
      <c r="Q202">
        <f t="shared" si="58"/>
        <v>0.29715126846206036</v>
      </c>
      <c r="R202">
        <f t="shared" si="59"/>
        <v>0.33333333333333331</v>
      </c>
      <c r="S202">
        <f t="shared" si="60"/>
        <v>1.8388888888888888</v>
      </c>
      <c r="T202" s="83">
        <f t="shared" si="61"/>
        <v>4</v>
      </c>
      <c r="U202" s="120">
        <f>IF($D202="",0,IFERROR(LOOKUP(2,1/(($D$3:D201=$D202)*($C$3:C201=$C202)*($A$3:A201&lt;$A202)),$AB$3:AB201),1000))</f>
        <v>989.7118742606765</v>
      </c>
      <c r="V202" s="120">
        <f t="shared" si="62"/>
        <v>964.88340003891824</v>
      </c>
      <c r="W202">
        <f t="shared" si="63"/>
        <v>1047.7237603361464</v>
      </c>
      <c r="X202">
        <f t="shared" si="64"/>
        <v>0.38299210439074555</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993.20540773106882</v>
      </c>
      <c r="I203" s="117">
        <f t="shared" si="53"/>
        <v>0.13595166163141995</v>
      </c>
      <c r="J203" s="118">
        <f>IF($D203="",0,IF($F203&lt;2,0,IF($E203="Win",('Guide &amp; Settings'!$C$42/(($F203-1)*COUNTIFS($A$4:$A$810,$A203,$E$4:$E$810,"Win")))*SUMIFS($X$4:$X$810,$A$4:$A$810,$A203,$E$4:$E$810,"Loss"),-('Guide &amp; Settings'!$C$42/($F203-1))*$X203)))</f>
        <v>-4.4883032236467599</v>
      </c>
      <c r="K203" s="118">
        <f>IF($D203="",0,'Guide &amp; Settings'!$C$43*(IF($E203="Win",1,0)-$I203))</f>
        <v>-1.6314199395770395</v>
      </c>
      <c r="L203" s="119">
        <f>IF($D203="",0,'Guide &amp; Settings'!$C$44*IF($F203&gt;=3,$F203,0))</f>
        <v>4</v>
      </c>
      <c r="M203" s="118">
        <f t="shared" si="54"/>
        <v>-2.1197231632237994</v>
      </c>
      <c r="N203" s="116">
        <f t="shared" si="55"/>
        <v>991.08568456784496</v>
      </c>
      <c r="O203" s="115" t="str">
        <f t="shared" si="56"/>
        <v>OK</v>
      </c>
      <c r="P203">
        <f t="shared" si="57"/>
        <v>1094.5743314175015</v>
      </c>
      <c r="Q203">
        <f t="shared" si="58"/>
        <v>0.35812156613664275</v>
      </c>
      <c r="R203">
        <f t="shared" si="59"/>
        <v>0.25</v>
      </c>
      <c r="S203">
        <f t="shared" si="60"/>
        <v>1.8388888888888888</v>
      </c>
      <c r="T203" s="83">
        <f t="shared" si="61"/>
        <v>2</v>
      </c>
      <c r="U203" s="120">
        <f>IF($D203="",0,IFERROR(LOOKUP(2,1/(($D$3:D202=$D203)*($C$3:C202=$C203)*($A$3:A202&lt;$A203)),$AB$3:AB202),1000))</f>
        <v>989.7118742606765</v>
      </c>
      <c r="V203" s="120">
        <f t="shared" si="62"/>
        <v>992.20725531095673</v>
      </c>
      <c r="W203">
        <f t="shared" si="63"/>
        <v>1047.7237603361464</v>
      </c>
      <c r="X203">
        <f t="shared" si="64"/>
        <v>0.42077842721688374</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1021.6686831011822</v>
      </c>
      <c r="I204" s="117">
        <f t="shared" si="53"/>
        <v>8.0695870886606583E-2</v>
      </c>
      <c r="J204" s="118">
        <f>IF($D204="",0,IF($F204&lt;2,0,IF($E204="Win",('Guide &amp; Settings'!$C$42/(($F204-1)*COUNTIFS($A$4:$A$810,$A204,$E$4:$E$810,"Win")))*SUMIFS($X$4:$X$810,$A$4:$A$810,$A204,$E$4:$E$810,"Loss"),-('Guide &amp; Settings'!$C$42/($F204-1))*$X204)))</f>
        <v>6.057306955134333</v>
      </c>
      <c r="K204" s="118">
        <f>IF($D204="",0,'Guide &amp; Settings'!$C$43*(IF($E204="Win",1,0)-$I204))</f>
        <v>11.031649549360722</v>
      </c>
      <c r="L204" s="119">
        <f>IF($D204="",0,'Guide &amp; Settings'!$C$44*IF($F204&gt;=3,$F204,0))</f>
        <v>4</v>
      </c>
      <c r="M204" s="118">
        <f t="shared" si="54"/>
        <v>21.088956504495055</v>
      </c>
      <c r="N204" s="116">
        <f t="shared" si="55"/>
        <v>1042.7576396056772</v>
      </c>
      <c r="O204" s="115" t="str">
        <f t="shared" si="56"/>
        <v>OK</v>
      </c>
      <c r="P204">
        <f t="shared" si="57"/>
        <v>1022.2927421415854</v>
      </c>
      <c r="Q204">
        <f t="shared" si="58"/>
        <v>0.4991019078135957</v>
      </c>
      <c r="R204">
        <f t="shared" si="59"/>
        <v>0.16666666666666666</v>
      </c>
      <c r="S204">
        <f t="shared" si="60"/>
        <v>2.0653679653679653</v>
      </c>
      <c r="T204" s="83">
        <f t="shared" si="61"/>
        <v>4</v>
      </c>
      <c r="U204" s="120">
        <f>IF($D204="",0,IFERROR(LOOKUP(2,1/(($D$3:D203=$D204)*($C$3:C203=$C204)*($A$3:A203&lt;$A204)),$AB$3:AB203),1000))</f>
        <v>959.54801353033133</v>
      </c>
      <c r="V204" s="120">
        <f t="shared" si="62"/>
        <v>994.05949662524847</v>
      </c>
      <c r="W204">
        <f t="shared" si="63"/>
        <v>1006.7150200287662</v>
      </c>
      <c r="X204">
        <f t="shared" si="64"/>
        <v>0.48179528853110926</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1022.9168011819886</v>
      </c>
      <c r="I205" s="117">
        <f t="shared" si="53"/>
        <v>0.2766715573255083</v>
      </c>
      <c r="J205" s="118">
        <f>IF($D205="",0,IF($F205&lt;2,0,IF($E205="Win",('Guide &amp; Settings'!$C$42/(($F205-1)*COUNTIFS($A$4:$A$810,$A205,$E$4:$E$810,"Win")))*SUMIFS($X$4:$X$810,$A$4:$A$810,$A205,$E$4:$E$810,"Loss"),-('Guide &amp; Settings'!$C$42/($F205-1))*$X205)))</f>
        <v>6.057306955134333</v>
      </c>
      <c r="K205" s="118">
        <f>IF($D205="",0,'Guide &amp; Settings'!$C$43*(IF($E205="Win",1,0)-$I205))</f>
        <v>8.6799413120939004</v>
      </c>
      <c r="L205" s="119">
        <f>IF($D205="",0,'Guide &amp; Settings'!$C$44*IF($F205&gt;=3,$F205,0))</f>
        <v>4</v>
      </c>
      <c r="M205" s="118">
        <f t="shared" si="54"/>
        <v>18.737248267228232</v>
      </c>
      <c r="N205" s="116">
        <f t="shared" si="55"/>
        <v>1041.6540494492169</v>
      </c>
      <c r="O205" s="115" t="str">
        <f t="shared" si="56"/>
        <v>OK</v>
      </c>
      <c r="P205">
        <f t="shared" si="57"/>
        <v>1022.2927421415854</v>
      </c>
      <c r="Q205">
        <f t="shared" si="58"/>
        <v>0.50089809218640413</v>
      </c>
      <c r="R205">
        <f t="shared" si="59"/>
        <v>0.5714285714285714</v>
      </c>
      <c r="S205">
        <f t="shared" si="60"/>
        <v>2.0653679653679653</v>
      </c>
      <c r="T205" s="83">
        <f t="shared" si="61"/>
        <v>5</v>
      </c>
      <c r="U205" s="120">
        <f>IF($D205="",0,IFERROR(LOOKUP(2,1/(($D$3:D204=$D205)*($C$3:C204=$C205)*($A$3:A204&lt;$A205)),$AB$3:AB204),1000))</f>
        <v>1015.8242856825791</v>
      </c>
      <c r="V205" s="120">
        <f t="shared" si="62"/>
        <v>1019.3705434322839</v>
      </c>
      <c r="W205">
        <f t="shared" si="63"/>
        <v>1006.7150200287662</v>
      </c>
      <c r="X205">
        <f t="shared" si="64"/>
        <v>0.5182047114688908</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1162.6492936580523</v>
      </c>
      <c r="I206" s="117">
        <f t="shared" si="53"/>
        <v>0.35212743659610146</v>
      </c>
      <c r="J206" s="118">
        <f>IF($D206="",0,IF($F206&lt;2,0,IF($E206="Win",('Guide &amp; Settings'!$C$42/(($F206-1)*COUNTIFS($A$4:$A$810,$A206,$E$4:$E$810,"Win")))*SUMIFS($X$4:$X$810,$A$4:$A$810,$A206,$E$4:$E$810,"Loss"),-('Guide &amp; Settings'!$C$42/($F206-1))*$X206)))</f>
        <v>-6.5479735426047423</v>
      </c>
      <c r="K206" s="118">
        <f>IF($D206="",0,'Guide &amp; Settings'!$C$43*(IF($E206="Win",1,0)-$I206))</f>
        <v>-4.225529239153218</v>
      </c>
      <c r="L206" s="119">
        <f>IF($D206="",0,'Guide &amp; Settings'!$C$44*IF($F206&gt;=3,$F206,0))</f>
        <v>4</v>
      </c>
      <c r="M206" s="118">
        <f t="shared" si="54"/>
        <v>-6.7735027817579603</v>
      </c>
      <c r="N206" s="116">
        <f t="shared" si="55"/>
        <v>1155.8757908762943</v>
      </c>
      <c r="O206" s="115" t="str">
        <f t="shared" si="56"/>
        <v>OK</v>
      </c>
      <c r="P206">
        <f t="shared" si="57"/>
        <v>1022.2927421415854</v>
      </c>
      <c r="Q206">
        <f t="shared" si="58"/>
        <v>0.69167403763892399</v>
      </c>
      <c r="R206">
        <f t="shared" si="59"/>
        <v>0.72727272727272729</v>
      </c>
      <c r="S206">
        <f t="shared" si="60"/>
        <v>2.0653679653679653</v>
      </c>
      <c r="T206" s="83">
        <f t="shared" si="61"/>
        <v>9</v>
      </c>
      <c r="U206" s="120">
        <f>IF($D206="",0,IFERROR(LOOKUP(2,1/(($D$3:D205=$D206)*($C$3:C205=$C206)*($A$3:A205&lt;$A206)),$AB$3:AB205),1000))</f>
        <v>1045.3677452313345</v>
      </c>
      <c r="V206" s="120">
        <f t="shared" si="62"/>
        <v>1087.2540125265909</v>
      </c>
      <c r="W206">
        <f t="shared" si="63"/>
        <v>1006.7150200287662</v>
      </c>
      <c r="X206">
        <f t="shared" si="64"/>
        <v>0.61387251961919465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1058.8795680397786</v>
      </c>
      <c r="I207" s="117">
        <f t="shared" si="53"/>
        <v>0.29050513519178367</v>
      </c>
      <c r="J207" s="118">
        <f>IF($D207="",0,IF($F207&lt;2,0,IF($E207="Win",('Guide &amp; Settings'!$C$42/(($F207-1)*COUNTIFS($A$4:$A$810,$A207,$E$4:$E$810,"Win")))*SUMIFS($X$4:$X$810,$A$4:$A$810,$A207,$E$4:$E$810,"Loss"),-('Guide &amp; Settings'!$C$42/($F207-1))*$X207)))</f>
        <v>-5.5666403676639229</v>
      </c>
      <c r="K207" s="118">
        <f>IF($D207="",0,'Guide &amp; Settings'!$C$43*(IF($E207="Win",1,0)-$I207))</f>
        <v>-3.486061622301404</v>
      </c>
      <c r="L207" s="119">
        <f>IF($D207="",0,'Guide &amp; Settings'!$C$44*IF($F207&gt;=3,$F207,0))</f>
        <v>4</v>
      </c>
      <c r="M207" s="118">
        <f t="shared" si="54"/>
        <v>-5.0527019899653265</v>
      </c>
      <c r="N207" s="116">
        <f t="shared" si="55"/>
        <v>1053.8268660498134</v>
      </c>
      <c r="O207" s="115" t="str">
        <f t="shared" si="56"/>
        <v>OK</v>
      </c>
      <c r="P207">
        <f t="shared" si="57"/>
        <v>1022.2927421415854</v>
      </c>
      <c r="Q207">
        <f t="shared" si="58"/>
        <v>0.552458908745463</v>
      </c>
      <c r="R207">
        <f t="shared" si="59"/>
        <v>0.6</v>
      </c>
      <c r="S207">
        <f t="shared" si="60"/>
        <v>2.0653679653679653</v>
      </c>
      <c r="T207" s="83">
        <f t="shared" si="61"/>
        <v>8</v>
      </c>
      <c r="U207" s="120">
        <f>IF($D207="",0,IFERROR(LOOKUP(2,1/(($D$3:D206=$D207)*($C$3:C206=$C207)*($A$3:A206&lt;$A207)),$AB$3:AB206),1000))</f>
        <v>998.82566440452536</v>
      </c>
      <c r="V207" s="120">
        <f t="shared" si="62"/>
        <v>1021.9233196488535</v>
      </c>
      <c r="W207">
        <f t="shared" si="63"/>
        <v>1006.7150200287662</v>
      </c>
      <c r="X207">
        <f t="shared" si="64"/>
        <v>0.5218725344684928</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1042.7576396056772</v>
      </c>
      <c r="I208" s="117">
        <f t="shared" si="53"/>
        <v>0.13462783171521034</v>
      </c>
      <c r="J208" s="118">
        <f>IF($D208="",0,IF($F208&lt;2,0,IF($E208="Win",('Guide &amp; Settings'!$C$42/(($F208-1)*COUNTIFS($A$4:$A$810,$A208,$E$4:$E$810,"Win")))*SUMIFS($X$4:$X$810,$A$4:$A$810,$A208,$E$4:$E$810,"Loss"),-('Guide &amp; Settings'!$C$42/($F208-1))*$X208)))</f>
        <v>5.5392646200057039</v>
      </c>
      <c r="K208" s="118">
        <f>IF($D208="",0,'Guide &amp; Settings'!$C$43*(IF($E208="Win",1,0)-$I208))</f>
        <v>10.384466019417477</v>
      </c>
      <c r="L208" s="119">
        <f>IF($D208="",0,'Guide &amp; Settings'!$C$44*IF($F208&gt;=3,$F208,0))</f>
        <v>4</v>
      </c>
      <c r="M208" s="118">
        <f t="shared" si="54"/>
        <v>19.92373063942318</v>
      </c>
      <c r="N208" s="116">
        <f t="shared" si="55"/>
        <v>1062.6813702451004</v>
      </c>
      <c r="O208" s="115" t="str">
        <f t="shared" si="56"/>
        <v>OK</v>
      </c>
      <c r="P208">
        <f t="shared" si="57"/>
        <v>1042.205844527447</v>
      </c>
      <c r="Q208">
        <f t="shared" si="58"/>
        <v>0.50079409628328486</v>
      </c>
      <c r="R208">
        <f t="shared" si="59"/>
        <v>0.2857142857142857</v>
      </c>
      <c r="S208">
        <f t="shared" si="60"/>
        <v>2.1222527472527473</v>
      </c>
      <c r="T208" s="83">
        <f t="shared" si="61"/>
        <v>5</v>
      </c>
      <c r="U208" s="120">
        <f>IF($D208="",0,IFERROR(LOOKUP(2,1/(($D$3:D207=$D208)*($C$3:C207=$C208)*($A$3:A207&lt;$A208)),$AB$3:AB207),1000))</f>
        <v>965.40551589030713</v>
      </c>
      <c r="V208" s="120">
        <f t="shared" si="62"/>
        <v>1004.0815777479922</v>
      </c>
      <c r="W208">
        <f t="shared" si="63"/>
        <v>1017.4208332149695</v>
      </c>
      <c r="X208">
        <f t="shared" si="64"/>
        <v>0.48081269506366647</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1041.6540494492169</v>
      </c>
      <c r="I209" s="117">
        <f t="shared" si="53"/>
        <v>0.29449838187702265</v>
      </c>
      <c r="J209" s="118">
        <f>IF($D209="",0,IF($F209&lt;2,0,IF($E209="Win",('Guide &amp; Settings'!$C$42/(($F209-1)*COUNTIFS($A$4:$A$810,$A209,$E$4:$E$810,"Win")))*SUMIFS($X$4:$X$810,$A$4:$A$810,$A209,$E$4:$E$810,"Loss"),-('Guide &amp; Settings'!$C$42/($F209-1))*$X209)))</f>
        <v>5.5392646200057039</v>
      </c>
      <c r="K209" s="118">
        <f>IF($D209="",0,'Guide &amp; Settings'!$C$43*(IF($E209="Win",1,0)-$I209))</f>
        <v>8.4660194174757279</v>
      </c>
      <c r="L209" s="119">
        <f>IF($D209="",0,'Guide &amp; Settings'!$C$44*IF($F209&gt;=3,$F209,0))</f>
        <v>4</v>
      </c>
      <c r="M209" s="118">
        <f t="shared" si="54"/>
        <v>18.005284037481431</v>
      </c>
      <c r="N209" s="116">
        <f t="shared" si="55"/>
        <v>1059.6593334866984</v>
      </c>
      <c r="O209" s="115" t="str">
        <f t="shared" si="56"/>
        <v>OK</v>
      </c>
      <c r="P209">
        <f t="shared" si="57"/>
        <v>1042.205844527447</v>
      </c>
      <c r="Q209">
        <f t="shared" si="58"/>
        <v>0.49920590371671542</v>
      </c>
      <c r="R209">
        <f t="shared" si="59"/>
        <v>0.625</v>
      </c>
      <c r="S209">
        <f t="shared" si="60"/>
        <v>2.1222527472527473</v>
      </c>
      <c r="T209" s="83">
        <f t="shared" si="61"/>
        <v>6</v>
      </c>
      <c r="U209" s="120">
        <f>IF($D209="",0,IFERROR(LOOKUP(2,1/(($D$3:D208=$D209)*($C$3:C208=$C209)*($A$3:A208&lt;$A209)),$AB$3:AB208),1000))</f>
        <v>1021.6817880425549</v>
      </c>
      <c r="V209" s="120">
        <f t="shared" si="62"/>
        <v>1030.7600886819469</v>
      </c>
      <c r="W209">
        <f t="shared" si="63"/>
        <v>1017.4208332149695</v>
      </c>
      <c r="X209">
        <f t="shared" si="64"/>
        <v>0.51918730493633347</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1134.0440793414489</v>
      </c>
      <c r="I210" s="117">
        <f t="shared" si="53"/>
        <v>0.35339805825242721</v>
      </c>
      <c r="J210" s="118">
        <f>IF($D210="",0,IF($F210&lt;2,0,IF($E210="Win",('Guide &amp; Settings'!$C$42/(($F210-1)*COUNTIFS($A$4:$A$810,$A210,$E$4:$E$810,"Win")))*SUMIFS($X$4:$X$810,$A$4:$A$810,$A210,$E$4:$E$810,"Loss"),-('Guide &amp; Settings'!$C$42/($F210-1))*$X210)))</f>
        <v>-6.4181036164884624</v>
      </c>
      <c r="K210" s="118">
        <f>IF($D210="",0,'Guide &amp; Settings'!$C$43*(IF($E210="Win",1,0)-$I210))</f>
        <v>-4.2407766990291265</v>
      </c>
      <c r="L210" s="119">
        <f>IF($D210="",0,'Guide &amp; Settings'!$C$44*IF($F210&gt;=3,$F210,0))</f>
        <v>4</v>
      </c>
      <c r="M210" s="118">
        <f t="shared" si="54"/>
        <v>-6.6588803155175889</v>
      </c>
      <c r="N210" s="116">
        <f t="shared" si="55"/>
        <v>1127.3851990259313</v>
      </c>
      <c r="O210" s="115" t="str">
        <f t="shared" si="56"/>
        <v>OK</v>
      </c>
      <c r="P210">
        <f t="shared" si="57"/>
        <v>1042.205844527447</v>
      </c>
      <c r="Q210">
        <f t="shared" si="58"/>
        <v>0.62917131175203289</v>
      </c>
      <c r="R210">
        <f t="shared" si="59"/>
        <v>0.75</v>
      </c>
      <c r="S210">
        <f t="shared" si="60"/>
        <v>2.1222527472527473</v>
      </c>
      <c r="T210" s="83">
        <f t="shared" si="61"/>
        <v>10</v>
      </c>
      <c r="U210" s="120">
        <f>IF($D210="",0,IFERROR(LOOKUP(2,1/(($D$3:D209=$D210)*($C$3:C209=$C210)*($A$3:A209&lt;$A210)),$AB$3:AB209),1000))</f>
        <v>1066.6080040656045</v>
      </c>
      <c r="V210" s="120">
        <f t="shared" si="62"/>
        <v>1089.0866958242193</v>
      </c>
      <c r="W210">
        <f t="shared" si="63"/>
        <v>1017.4208332149695</v>
      </c>
      <c r="X210">
        <f t="shared" si="64"/>
        <v>0.60169721404579335</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992.11836785925334</v>
      </c>
      <c r="I211" s="117">
        <f t="shared" si="53"/>
        <v>0.2174757281553398</v>
      </c>
      <c r="J211" s="118">
        <f>IF($D211="",0,IF($F211&lt;2,0,IF($E211="Win",('Guide &amp; Settings'!$C$42/(($F211-1)*COUNTIFS($A$4:$A$810,$A211,$E$4:$E$810,"Win")))*SUMIFS($X$4:$X$810,$A$4:$A$810,$A211,$E$4:$E$810,"Loss"),-('Guide &amp; Settings'!$C$42/($F211-1))*$X211)))</f>
        <v>-4.6604256235229453</v>
      </c>
      <c r="K211" s="118">
        <f>IF($D211="",0,'Guide &amp; Settings'!$C$43*(IF($E211="Win",1,0)-$I211))</f>
        <v>-2.6097087378640778</v>
      </c>
      <c r="L211" s="119">
        <f>IF($D211="",0,'Guide &amp; Settings'!$C$44*IF($F211&gt;=3,$F211,0))</f>
        <v>4</v>
      </c>
      <c r="M211" s="118">
        <f t="shared" si="54"/>
        <v>-3.2701343613870231</v>
      </c>
      <c r="N211" s="116">
        <f t="shared" si="55"/>
        <v>988.84823349786632</v>
      </c>
      <c r="O211" s="115" t="str">
        <f t="shared" si="56"/>
        <v>OK</v>
      </c>
      <c r="P211">
        <f t="shared" si="57"/>
        <v>1042.205844527447</v>
      </c>
      <c r="Q211">
        <f t="shared" si="58"/>
        <v>0.42841356963652888</v>
      </c>
      <c r="R211">
        <f t="shared" si="59"/>
        <v>0.46153846153846156</v>
      </c>
      <c r="S211">
        <f t="shared" si="60"/>
        <v>2.1222527472527473</v>
      </c>
      <c r="T211" s="83">
        <f t="shared" si="61"/>
        <v>11</v>
      </c>
      <c r="U211" s="120">
        <f>IF($D211="",0,IFERROR(LOOKUP(2,1/(($D$3:D210=$D211)*($C$3:C210=$C211)*($A$3:A210&lt;$A211)),$AB$3:AB210),1000))</f>
        <v>964.81886962643489</v>
      </c>
      <c r="V211" s="120">
        <f t="shared" si="62"/>
        <v>973.3499628241907</v>
      </c>
      <c r="W211">
        <f t="shared" si="63"/>
        <v>1017.4208332149695</v>
      </c>
      <c r="X211">
        <f t="shared" si="64"/>
        <v>0.43691490220527618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991.08568456784496</v>
      </c>
      <c r="I212" s="117">
        <f t="shared" si="53"/>
        <v>0.13094310210444274</v>
      </c>
      <c r="J212" s="118">
        <f>IF($D212="",0,IF($F212&lt;2,0,IF($E212="Win",('Guide &amp; Settings'!$C$42/(($F212-1)*COUNTIFS($A$4:$A$810,$A212,$E$4:$E$810,"Win")))*SUMIFS($X$4:$X$810,$A$4:$A$810,$A212,$E$4:$E$810,"Loss"),-('Guide &amp; Settings'!$C$42/($F212-1))*$X212)))</f>
        <v>6.1020066918505096</v>
      </c>
      <c r="K212" s="118">
        <f>IF($D212="",0,'Guide &amp; Settings'!$C$43*(IF($E212="Win",1,0)-$I212))</f>
        <v>10.428682774746687</v>
      </c>
      <c r="L212" s="119">
        <f>IF($D212="",0,'Guide &amp; Settings'!$C$44*IF($F212&gt;=3,$F212,0))</f>
        <v>4</v>
      </c>
      <c r="M212" s="118">
        <f t="shared" si="54"/>
        <v>20.530689466597195</v>
      </c>
      <c r="N212" s="116">
        <f t="shared" si="55"/>
        <v>1011.6163740344422</v>
      </c>
      <c r="O212" s="115" t="str">
        <f t="shared" si="56"/>
        <v>OK</v>
      </c>
      <c r="P212">
        <f t="shared" si="57"/>
        <v>966.92291476487617</v>
      </c>
      <c r="Q212">
        <f t="shared" si="58"/>
        <v>0.53471706755293213</v>
      </c>
      <c r="R212">
        <f t="shared" si="59"/>
        <v>0.2</v>
      </c>
      <c r="S212">
        <f t="shared" si="60"/>
        <v>1.5273809523809523</v>
      </c>
      <c r="T212" s="83">
        <f t="shared" si="61"/>
        <v>3</v>
      </c>
      <c r="U212" s="120">
        <f>IF($D212="",0,IFERROR(LOOKUP(2,1/(($D$3:D211=$D212)*($C$3:C211=$C212)*($A$3:A211&lt;$A212)),$AB$3:AB211),1000))</f>
        <v>984.7993801654037</v>
      </c>
      <c r="V212" s="120">
        <f t="shared" si="62"/>
        <v>988.72832041692936</v>
      </c>
      <c r="W212">
        <f t="shared" si="63"/>
        <v>976.25404149029248</v>
      </c>
      <c r="X212">
        <f t="shared" si="64"/>
        <v>0.5179442205463477</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942.76014496190749</v>
      </c>
      <c r="I213" s="117">
        <f t="shared" si="53"/>
        <v>0.18706157443491817</v>
      </c>
      <c r="J213" s="118">
        <f>IF($D213="",0,IF($F213&lt;2,0,IF($E213="Win",('Guide &amp; Settings'!$C$42/(($F213-1)*COUNTIFS($A$4:$A$810,$A213,$E$4:$E$810,"Win")))*SUMIFS($X$4:$X$810,$A$4:$A$810,$A213,$E$4:$E$810,"Loss"),-('Guide &amp; Settings'!$C$42/($F213-1))*$X213)))</f>
        <v>6.1020066918505096</v>
      </c>
      <c r="K213" s="118">
        <f>IF($D213="",0,'Guide &amp; Settings'!$C$43*(IF($E213="Win",1,0)-$I213))</f>
        <v>9.7552611067809814</v>
      </c>
      <c r="L213" s="119">
        <f>IF($D213="",0,'Guide &amp; Settings'!$C$44*IF($F213&gt;=3,$F213,0))</f>
        <v>4</v>
      </c>
      <c r="M213" s="118">
        <f t="shared" si="54"/>
        <v>19.85726779863149</v>
      </c>
      <c r="N213" s="116">
        <f t="shared" si="55"/>
        <v>962.61741276053897</v>
      </c>
      <c r="O213" s="115" t="str">
        <f t="shared" si="56"/>
        <v>OK</v>
      </c>
      <c r="P213">
        <f t="shared" si="57"/>
        <v>966.92291476487617</v>
      </c>
      <c r="Q213">
        <f t="shared" si="58"/>
        <v>0.46528293244706798</v>
      </c>
      <c r="R213">
        <f t="shared" si="59"/>
        <v>0.2857142857142857</v>
      </c>
      <c r="S213">
        <f t="shared" si="60"/>
        <v>1.5273809523809523</v>
      </c>
      <c r="T213" s="83">
        <f t="shared" si="61"/>
        <v>5</v>
      </c>
      <c r="U213" s="120">
        <f>IF($D213="",0,IFERROR(LOOKUP(2,1/(($D$3:D212=$D213)*($C$3:C212=$C213)*($A$3:A212&lt;$A213)),$AB$3:AB212),1000))</f>
        <v>984.7993801654037</v>
      </c>
      <c r="V213" s="120">
        <f t="shared" si="62"/>
        <v>963.77976256365559</v>
      </c>
      <c r="W213">
        <f t="shared" si="63"/>
        <v>976.25404149029248</v>
      </c>
      <c r="X213">
        <f t="shared" si="64"/>
        <v>0.48205577945365236</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1062.6813702451004</v>
      </c>
      <c r="I214" s="117">
        <f t="shared" si="53"/>
        <v>0.24551831644583011</v>
      </c>
      <c r="J214" s="118">
        <f>IF($D214="",0,IF($F214&lt;2,0,IF($E214="Win",('Guide &amp; Settings'!$C$42/(($F214-1)*COUNTIFS($A$4:$A$810,$A214,$E$4:$E$810,"Win")))*SUMIFS($X$4:$X$810,$A$4:$A$810,$A214,$E$4:$E$810,"Loss"),-('Guide &amp; Settings'!$C$42/($F214-1))*$X214)))</f>
        <v>-5.890944233074265</v>
      </c>
      <c r="K214" s="118">
        <f>IF($D214="",0,'Guide &amp; Settings'!$C$43*(IF($E214="Win",1,0)-$I214))</f>
        <v>-2.9462197973499613</v>
      </c>
      <c r="L214" s="119">
        <f>IF($D214="",0,'Guide &amp; Settings'!$C$44*IF($F214&gt;=3,$F214,0))</f>
        <v>4</v>
      </c>
      <c r="M214" s="118">
        <f t="shared" si="54"/>
        <v>-4.8371640304242263</v>
      </c>
      <c r="N214" s="116">
        <f t="shared" si="55"/>
        <v>1057.8442062146762</v>
      </c>
      <c r="O214" s="115" t="str">
        <f t="shared" si="56"/>
        <v>OK</v>
      </c>
      <c r="P214">
        <f t="shared" si="57"/>
        <v>966.92291476487617</v>
      </c>
      <c r="Q214">
        <f t="shared" si="58"/>
        <v>0.63442090873074974</v>
      </c>
      <c r="R214">
        <f t="shared" si="59"/>
        <v>0.375</v>
      </c>
      <c r="S214">
        <f t="shared" si="60"/>
        <v>1.5273809523809523</v>
      </c>
      <c r="T214" s="83">
        <f t="shared" si="61"/>
        <v>6</v>
      </c>
      <c r="U214" s="120">
        <f>IF($D214="",0,IFERROR(LOOKUP(2,1/(($D$3:D213=$D214)*($C$3:C213=$C214)*($A$3:A213&lt;$A214)),$AB$3:AB213),1000))</f>
        <v>971.07154576093114</v>
      </c>
      <c r="V214" s="120">
        <f t="shared" si="62"/>
        <v>1012.7123750719172</v>
      </c>
      <c r="W214">
        <f t="shared" si="63"/>
        <v>976.25404149029248</v>
      </c>
      <c r="X214">
        <f t="shared" si="64"/>
        <v>0.55227602185071234</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1059.6593334866984</v>
      </c>
      <c r="I215" s="117">
        <f t="shared" si="53"/>
        <v>0.43647700701480907</v>
      </c>
      <c r="J215" s="118">
        <f>IF($D215="",0,IF($F215&lt;2,0,IF($E215="Win",('Guide &amp; Settings'!$C$42/(($F215-1)*COUNTIFS($A$4:$A$810,$A215,$E$4:$E$810,"Win")))*SUMIFS($X$4:$X$810,$A$4:$A$810,$A215,$E$4:$E$810,"Loss"),-('Guide &amp; Settings'!$C$42/($F215-1))*$X215)))</f>
        <v>-6.3130691506267542</v>
      </c>
      <c r="K215" s="118">
        <f>IF($D215="",0,'Guide &amp; Settings'!$C$43*(IF($E215="Win",1,0)-$I215))</f>
        <v>-5.2377240841777084</v>
      </c>
      <c r="L215" s="119">
        <f>IF($D215="",0,'Guide &amp; Settings'!$C$44*IF($F215&gt;=3,$F215,0))</f>
        <v>4</v>
      </c>
      <c r="M215" s="118">
        <f t="shared" si="54"/>
        <v>-7.5507932348044626</v>
      </c>
      <c r="N215" s="116">
        <f t="shared" si="55"/>
        <v>1052.1085402518941</v>
      </c>
      <c r="O215" s="115" t="str">
        <f t="shared" si="56"/>
        <v>OK</v>
      </c>
      <c r="P215">
        <f t="shared" si="57"/>
        <v>966.92291476487617</v>
      </c>
      <c r="Q215">
        <f t="shared" si="58"/>
        <v>0.63037682582607213</v>
      </c>
      <c r="R215">
        <f t="shared" si="59"/>
        <v>0.66666666666666663</v>
      </c>
      <c r="S215">
        <f t="shared" si="60"/>
        <v>1.5273809523809523</v>
      </c>
      <c r="T215" s="83">
        <f t="shared" si="61"/>
        <v>7</v>
      </c>
      <c r="U215" s="120">
        <f>IF($D215="",0,IFERROR(LOOKUP(2,1/(($D$3:D214=$D215)*($C$3:C214=$C215)*($A$3:A214&lt;$A215)),$AB$3:AB214),1000))</f>
        <v>1027.3478179131789</v>
      </c>
      <c r="V215" s="120">
        <f t="shared" si="62"/>
        <v>1040.8109494021455</v>
      </c>
      <c r="W215">
        <f t="shared" si="63"/>
        <v>976.25404149029248</v>
      </c>
      <c r="X215">
        <f t="shared" si="64"/>
        <v>0.59185023287125826</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1011.6163740344422</v>
      </c>
      <c r="I216" s="117">
        <f t="shared" si="53"/>
        <v>0.20168067226890757</v>
      </c>
      <c r="J216" s="118">
        <f>IF($D216="",0,IF($F216&lt;2,0,IF($E216="Win",('Guide &amp; Settings'!$C$42/(($F216-1)*COUNTIFS($A$4:$A$810,$A216,$E$4:$E$810,"Win")))*SUMIFS($X$4:$X$810,$A$4:$A$810,$A216,$E$4:$E$810,"Loss"),-('Guide &amp; Settings'!$C$42/($F216-1))*$X216)))</f>
        <v>6.0296423998356339</v>
      </c>
      <c r="K216" s="118">
        <f>IF($D216="",0,'Guide &amp; Settings'!$C$43*(IF($E216="Win",1,0)-$I216))</f>
        <v>9.5798319327731107</v>
      </c>
      <c r="L216" s="119">
        <f>IF($D216="",0,'Guide &amp; Settings'!$C$44*IF($F216&gt;=3,$F216,0))</f>
        <v>4</v>
      </c>
      <c r="M216" s="118">
        <f t="shared" si="54"/>
        <v>19.609474332608745</v>
      </c>
      <c r="N216" s="116">
        <f t="shared" si="55"/>
        <v>1031.225848367051</v>
      </c>
      <c r="O216" s="115" t="str">
        <f t="shared" si="56"/>
        <v>OK</v>
      </c>
      <c r="P216">
        <f t="shared" si="57"/>
        <v>987.11689339749057</v>
      </c>
      <c r="Q216">
        <f t="shared" si="58"/>
        <v>0.53519926465643985</v>
      </c>
      <c r="R216">
        <f t="shared" si="59"/>
        <v>0.33333333333333331</v>
      </c>
      <c r="S216">
        <f t="shared" si="60"/>
        <v>1.6527777777777777</v>
      </c>
      <c r="T216" s="83">
        <f t="shared" si="61"/>
        <v>4</v>
      </c>
      <c r="U216" s="120">
        <f>IF($D216="",0,IFERROR(LOOKUP(2,1/(($D$3:D215=$D216)*($C$3:C215=$C216)*($A$3:A215&lt;$A216)),$AB$3:AB215),1000))</f>
        <v>990.35235175265393</v>
      </c>
      <c r="V216" s="120">
        <f t="shared" si="62"/>
        <v>1002.1656974647585</v>
      </c>
      <c r="W216">
        <f t="shared" si="63"/>
        <v>989.95562938322553</v>
      </c>
      <c r="X216">
        <f t="shared" si="64"/>
        <v>0.51756447001334061</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962.61741276053897</v>
      </c>
      <c r="I217" s="117">
        <f t="shared" si="53"/>
        <v>0.22689075630252103</v>
      </c>
      <c r="J217" s="118">
        <f>IF($D217="",0,IF($F217&lt;2,0,IF($E217="Win",('Guide &amp; Settings'!$C$42/(($F217-1)*COUNTIFS($A$4:$A$810,$A217,$E$4:$E$810,"Win")))*SUMIFS($X$4:$X$810,$A$4:$A$810,$A217,$E$4:$E$810,"Loss"),-('Guide &amp; Settings'!$C$42/($F217-1))*$X217)))</f>
        <v>6.0296423998356339</v>
      </c>
      <c r="K217" s="118">
        <f>IF($D217="",0,'Guide &amp; Settings'!$C$43*(IF($E217="Win",1,0)-$I217))</f>
        <v>9.2773109243697469</v>
      </c>
      <c r="L217" s="119">
        <f>IF($D217="",0,'Guide &amp; Settings'!$C$44*IF($F217&gt;=3,$F217,0))</f>
        <v>4</v>
      </c>
      <c r="M217" s="118">
        <f t="shared" si="54"/>
        <v>19.306953324205381</v>
      </c>
      <c r="N217" s="116">
        <f t="shared" si="55"/>
        <v>981.92436608474441</v>
      </c>
      <c r="O217" s="115" t="str">
        <f t="shared" si="56"/>
        <v>OK</v>
      </c>
      <c r="P217">
        <f t="shared" si="57"/>
        <v>987.11689339749057</v>
      </c>
      <c r="Q217">
        <f t="shared" si="58"/>
        <v>0.46480073534356003</v>
      </c>
      <c r="R217">
        <f t="shared" si="59"/>
        <v>0.375</v>
      </c>
      <c r="S217">
        <f t="shared" si="60"/>
        <v>1.6527777777777777</v>
      </c>
      <c r="T217" s="83">
        <f t="shared" si="61"/>
        <v>6</v>
      </c>
      <c r="U217" s="120">
        <f>IF($D217="",0,IFERROR(LOOKUP(2,1/(($D$3:D216=$D217)*($C$3:C216=$C217)*($A$3:A216&lt;$A217)),$AB$3:AB216),1000))</f>
        <v>990.35235175265393</v>
      </c>
      <c r="V217" s="120">
        <f t="shared" si="62"/>
        <v>977.74556130169253</v>
      </c>
      <c r="W217">
        <f t="shared" si="63"/>
        <v>989.95562938322553</v>
      </c>
      <c r="X217">
        <f t="shared" si="64"/>
        <v>0.48243552998665945</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1029.7715942913092</v>
      </c>
      <c r="I218" s="117">
        <f t="shared" si="53"/>
        <v>0.30252100840336138</v>
      </c>
      <c r="J218" s="118">
        <f>IF($D218="",0,IF($F218&lt;2,0,IF($E218="Win",('Guide &amp; Settings'!$C$42/(($F218-1)*COUNTIFS($A$4:$A$810,$A218,$E$4:$E$810,"Win")))*SUMIFS($X$4:$X$810,$A$4:$A$810,$A218,$E$4:$E$810,"Loss"),-('Guide &amp; Settings'!$C$42/($F218-1))*$X218)))</f>
        <v>-5.666286335300609</v>
      </c>
      <c r="K218" s="118">
        <f>IF($D218="",0,'Guide &amp; Settings'!$C$43*(IF($E218="Win",1,0)-$I218))</f>
        <v>-3.6302521008403366</v>
      </c>
      <c r="L218" s="119">
        <f>IF($D218="",0,'Guide &amp; Settings'!$C$44*IF($F218&gt;=3,$F218,0))</f>
        <v>4</v>
      </c>
      <c r="M218" s="118">
        <f t="shared" si="54"/>
        <v>-5.2965384361409455</v>
      </c>
      <c r="N218" s="116">
        <f t="shared" si="55"/>
        <v>1024.4750558551682</v>
      </c>
      <c r="O218" s="115" t="str">
        <f t="shared" si="56"/>
        <v>OK</v>
      </c>
      <c r="P218">
        <f t="shared" si="57"/>
        <v>987.11689339749057</v>
      </c>
      <c r="Q218">
        <f t="shared" si="58"/>
        <v>0.56107848848056352</v>
      </c>
      <c r="R218">
        <f t="shared" si="59"/>
        <v>0.5</v>
      </c>
      <c r="S218">
        <f t="shared" si="60"/>
        <v>1.6527777777777777</v>
      </c>
      <c r="T218" s="83">
        <f t="shared" si="61"/>
        <v>8</v>
      </c>
      <c r="U218" s="120">
        <f>IF($D218="",0,IFERROR(LOOKUP(2,1/(($D$3:D217=$D218)*($C$3:C217=$C218)*($A$3:A217&lt;$A218)),$AB$3:AB217),1000))</f>
        <v>1000.3627125129412</v>
      </c>
      <c r="V218" s="120">
        <f t="shared" si="62"/>
        <v>1011.6738208892366</v>
      </c>
      <c r="W218">
        <f t="shared" si="63"/>
        <v>989.95562938322553</v>
      </c>
      <c r="X218">
        <f t="shared" si="64"/>
        <v>0.53121434393443212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1163.6944202317491</v>
      </c>
      <c r="I219" s="117">
        <f t="shared" si="53"/>
        <v>0.26890756302521007</v>
      </c>
      <c r="J219" s="118">
        <f>IF($D219="",0,IF($F219&lt;2,0,IF($E219="Win",('Guide &amp; Settings'!$C$42/(($F219-1)*COUNTIFS($A$4:$A$810,$A219,$E$4:$E$810,"Win")))*SUMIFS($X$4:$X$810,$A$4:$A$810,$A219,$E$4:$E$810,"Loss"),-('Guide &amp; Settings'!$C$42/($F219-1))*$X219)))</f>
        <v>-6.3929984643706579</v>
      </c>
      <c r="K219" s="118">
        <f>IF($D219="",0,'Guide &amp; Settings'!$C$43*(IF($E219="Win",1,0)-$I219))</f>
        <v>-3.2268907563025211</v>
      </c>
      <c r="L219" s="119">
        <f>IF($D219="",0,'Guide &amp; Settings'!$C$44*IF($F219&gt;=3,$F219,0))</f>
        <v>4</v>
      </c>
      <c r="M219" s="118">
        <f t="shared" si="54"/>
        <v>-5.6198892206731799</v>
      </c>
      <c r="N219" s="116">
        <f t="shared" si="55"/>
        <v>1158.0745310110758</v>
      </c>
      <c r="O219" s="115" t="str">
        <f t="shared" si="56"/>
        <v>OK</v>
      </c>
      <c r="P219">
        <f t="shared" si="57"/>
        <v>987.11689339749057</v>
      </c>
      <c r="Q219">
        <f t="shared" si="58"/>
        <v>0.73428285803302462</v>
      </c>
      <c r="R219">
        <f t="shared" si="59"/>
        <v>0.44444444444444442</v>
      </c>
      <c r="S219">
        <f t="shared" si="60"/>
        <v>1.6527777777777777</v>
      </c>
      <c r="T219" s="83">
        <f t="shared" si="61"/>
        <v>7</v>
      </c>
      <c r="U219" s="120">
        <f>IF($D219="",0,IFERROR(LOOKUP(2,1/(($D$3:D218=$D219)*($C$3:C218=$C219)*($A$3:A218&lt;$A219)),$AB$3:AB218),1000))</f>
        <v>985.79052638539679</v>
      </c>
      <c r="V219" s="120">
        <f t="shared" si="62"/>
        <v>1059.9171488213769</v>
      </c>
      <c r="W219">
        <f t="shared" si="63"/>
        <v>989.95562938322553</v>
      </c>
      <c r="X219">
        <f t="shared" si="64"/>
        <v>0.59934360603474923</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1127.3851990259313</v>
      </c>
      <c r="I220" s="117">
        <f t="shared" si="53"/>
        <v>0.5</v>
      </c>
      <c r="J220" s="118">
        <f>IF($D220="",0,IF($F220&lt;2,0,IF($E220="Win",('Guide &amp; Settings'!$C$42/(($F220-1)*COUNTIFS($A$4:$A$810,$A220,$E$4:$E$810,"Win")))*SUMIFS($X$4:$X$810,$A$4:$A$810,$A220,$E$4:$E$810,"Loss"),-('Guide &amp; Settings'!$C$42/($F220-1))*$X220)))</f>
        <v>14.031965214538561</v>
      </c>
      <c r="K220" s="118">
        <f>IF($D220="",0,'Guide &amp; Settings'!$C$43*(IF($E220="Win",1,0)-$I220))</f>
        <v>6</v>
      </c>
      <c r="L220" s="119">
        <f>IF($D220="",0,'Guide &amp; Settings'!$C$44*IF($F220&gt;=3,$F220,0))</f>
        <v>0</v>
      </c>
      <c r="M220" s="118">
        <f t="shared" si="54"/>
        <v>20.031965214538559</v>
      </c>
      <c r="N220" s="116">
        <f t="shared" si="55"/>
        <v>1147.4171642404699</v>
      </c>
      <c r="O220" s="115" t="str">
        <f t="shared" si="56"/>
        <v>OK</v>
      </c>
      <c r="P220">
        <f t="shared" si="57"/>
        <v>1127.3851990259313</v>
      </c>
      <c r="Q220">
        <f t="shared" si="58"/>
        <v>0.5</v>
      </c>
      <c r="R220">
        <f t="shared" si="59"/>
        <v>0.5</v>
      </c>
      <c r="S220">
        <f t="shared" si="60"/>
        <v>1</v>
      </c>
      <c r="T220" s="83">
        <f t="shared" si="61"/>
        <v>0</v>
      </c>
      <c r="U220" s="120">
        <f>IF($D220="",0,IFERROR(LOOKUP(2,1/(($D$3:D219=$D220)*($C$3:C219=$C220)*($A$3:A219&lt;$A220)),$AB$3:AB219),1000))</f>
        <v>1000</v>
      </c>
      <c r="V220" s="120">
        <f t="shared" si="62"/>
        <v>1127.3851990259313</v>
      </c>
      <c r="W220">
        <f t="shared" si="63"/>
        <v>1127.3851990259313</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1155.8757908762943</v>
      </c>
      <c r="I221" s="117">
        <f t="shared" si="53"/>
        <v>0.5</v>
      </c>
      <c r="J221" s="118">
        <f>IF($D221="",0,IF($F221&lt;2,0,IF($E221="Win",('Guide &amp; Settings'!$C$42/(($F221-1)*COUNTIFS($A$4:$A$810,$A221,$E$4:$E$810,"Win")))*SUMIFS($X$4:$X$810,$A$4:$A$810,$A221,$E$4:$E$810,"Loss"),-('Guide &amp; Settings'!$C$42/($F221-1))*$X221)))</f>
        <v>-14.031965214538561</v>
      </c>
      <c r="K221" s="118">
        <f>IF($D221="",0,'Guide &amp; Settings'!$C$43*(IF($E221="Win",1,0)-$I221))</f>
        <v>-6</v>
      </c>
      <c r="L221" s="119">
        <f>IF($D221="",0,'Guide &amp; Settings'!$C$44*IF($F221&gt;=3,$F221,0))</f>
        <v>0</v>
      </c>
      <c r="M221" s="118">
        <f t="shared" si="54"/>
        <v>-20.031965214538559</v>
      </c>
      <c r="N221" s="116">
        <f t="shared" si="55"/>
        <v>1135.8438256617558</v>
      </c>
      <c r="O221" s="115" t="str">
        <f t="shared" si="56"/>
        <v>OK</v>
      </c>
      <c r="P221">
        <f t="shared" si="57"/>
        <v>1127.3851990259313</v>
      </c>
      <c r="Q221">
        <f t="shared" si="58"/>
        <v>0.54090960095736162</v>
      </c>
      <c r="R221">
        <f t="shared" si="59"/>
        <v>0.5</v>
      </c>
      <c r="S221">
        <f t="shared" si="60"/>
        <v>1</v>
      </c>
      <c r="T221" s="83">
        <f t="shared" si="61"/>
        <v>4</v>
      </c>
      <c r="U221" s="120">
        <f>IF($D221="",0,IFERROR(LOOKUP(2,1/(($D$3:D220=$D221)*($C$3:C220=$C221)*($A$3:A220&lt;$A221)),$AB$3:AB220),1000))</f>
        <v>995.12808694655291</v>
      </c>
      <c r="V221" s="120">
        <f t="shared" si="62"/>
        <v>1084.4323669075202</v>
      </c>
      <c r="W221">
        <f t="shared" si="63"/>
        <v>1127.3851990259313</v>
      </c>
      <c r="X221">
        <f t="shared" si="64"/>
        <v>0.43849891295433002</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1147.4171642404699</v>
      </c>
      <c r="I222" s="117">
        <f t="shared" si="53"/>
        <v>0.60869565217391308</v>
      </c>
      <c r="J222" s="118">
        <f>IF($D222="",0,IF($F222&lt;2,0,IF($E222="Win",('Guide &amp; Settings'!$C$42/(($F222-1)*COUNTIFS($A$4:$A$810,$A222,$E$4:$E$810,"Win")))*SUMIFS($X$4:$X$810,$A$4:$A$810,$A222,$E$4:$E$810,"Loss"),-('Guide &amp; Settings'!$C$42/($F222-1))*$X222)))</f>
        <v>12.913240540934135</v>
      </c>
      <c r="K222" s="118">
        <f>IF($D222="",0,'Guide &amp; Settings'!$C$43*(IF($E222="Win",1,0)-$I222))</f>
        <v>4.695652173913043</v>
      </c>
      <c r="L222" s="119">
        <f>IF($D222="",0,'Guide &amp; Settings'!$C$44*IF($F222&gt;=3,$F222,0))</f>
        <v>0</v>
      </c>
      <c r="M222" s="118">
        <f t="shared" si="54"/>
        <v>17.60889271484718</v>
      </c>
      <c r="N222" s="116">
        <f t="shared" si="55"/>
        <v>1165.026056955317</v>
      </c>
      <c r="O222" s="115" t="str">
        <f t="shared" si="56"/>
        <v>OK</v>
      </c>
      <c r="P222">
        <f t="shared" si="57"/>
        <v>1147.4171642404699</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1125.4769126698477</v>
      </c>
      <c r="W222">
        <f t="shared" si="63"/>
        <v>1125.4769126698477</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1135.8438256617558</v>
      </c>
      <c r="I223" s="117">
        <f t="shared" si="53"/>
        <v>0.39130434782608697</v>
      </c>
      <c r="J223" s="118">
        <f>IF($D223="",0,IF($F223&lt;2,0,IF($E223="Win",('Guide &amp; Settings'!$C$42/(($F223-1)*COUNTIFS($A$4:$A$810,$A223,$E$4:$E$810,"Win")))*SUMIFS($X$4:$X$810,$A$4:$A$810,$A223,$E$4:$E$810,"Loss"),-('Guide &amp; Settings'!$C$42/($F223-1))*$X223)))</f>
        <v>-12.913240540934135</v>
      </c>
      <c r="K223" s="118">
        <f>IF($D223="",0,'Guide &amp; Settings'!$C$43*(IF($E223="Win",1,0)-$I223))</f>
        <v>-4.6956521739130439</v>
      </c>
      <c r="L223" s="119">
        <f>IF($D223="",0,'Guide &amp; Settings'!$C$44*IF($F223&gt;=3,$F223,0))</f>
        <v>0</v>
      </c>
      <c r="M223" s="118">
        <f t="shared" si="54"/>
        <v>-17.60889271484718</v>
      </c>
      <c r="N223" s="116">
        <f t="shared" si="55"/>
        <v>1118.2349329469087</v>
      </c>
      <c r="O223" s="115" t="str">
        <f t="shared" si="56"/>
        <v>OK</v>
      </c>
      <c r="P223">
        <f t="shared" si="57"/>
        <v>1147.4171642404699</v>
      </c>
      <c r="Q223">
        <f t="shared" si="58"/>
        <v>0.48335078451187535</v>
      </c>
      <c r="R223">
        <f t="shared" si="59"/>
        <v>0.42857142857142855</v>
      </c>
      <c r="S223">
        <f t="shared" si="60"/>
        <v>1.0952380952380951</v>
      </c>
      <c r="T223" s="83">
        <f t="shared" si="61"/>
        <v>5</v>
      </c>
      <c r="U223" s="120">
        <f>IF($D223="",0,IFERROR(LOOKUP(2,1/(($D$3:D222=$D223)*($C$3:C222=$C223)*($A$3:A222&lt;$A223)),$AB$3:AB222),1000))</f>
        <v>979.35243212981607</v>
      </c>
      <c r="V223" s="120">
        <f t="shared" si="62"/>
        <v>1057.598128895786</v>
      </c>
      <c r="W223">
        <f t="shared" si="63"/>
        <v>1125.4769126698477</v>
      </c>
      <c r="X223">
        <f t="shared" si="64"/>
        <v>0.40353876690419171</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1053.8268660498134</v>
      </c>
      <c r="I224" s="117">
        <f t="shared" si="53"/>
        <v>0.33333333333333331</v>
      </c>
      <c r="J224" s="118">
        <f>IF($D224="",0,IF($F224&lt;2,0,IF($E224="Win",('Guide &amp; Settings'!$C$42/(($F224-1)*COUNTIFS($A$4:$A$810,$A224,$E$4:$E$810,"Win")))*SUMIFS($X$4:$X$810,$A$4:$A$810,$A224,$E$4:$E$810,"Loss"),-('Guide &amp; Settings'!$C$42/($F224-1))*$X224)))</f>
        <v>13.846768378582084</v>
      </c>
      <c r="K224" s="118">
        <f>IF($D224="",0,'Guide &amp; Settings'!$C$43*(IF($E224="Win",1,0)-$I224))</f>
        <v>8</v>
      </c>
      <c r="L224" s="119">
        <f>IF($D224="",0,'Guide &amp; Settings'!$C$44*IF($F224&gt;=3,$F224,0))</f>
        <v>3</v>
      </c>
      <c r="M224" s="118">
        <f t="shared" si="54"/>
        <v>24.846768378582084</v>
      </c>
      <c r="N224" s="116">
        <f t="shared" si="55"/>
        <v>1078.6736344283954</v>
      </c>
      <c r="O224" s="115" t="str">
        <f t="shared" si="56"/>
        <v>OK</v>
      </c>
      <c r="P224">
        <f t="shared" si="57"/>
        <v>1053.8268660498134</v>
      </c>
      <c r="Q224">
        <f t="shared" si="58"/>
        <v>0.5</v>
      </c>
      <c r="R224">
        <f t="shared" si="59"/>
        <v>0.5</v>
      </c>
      <c r="S224">
        <f t="shared" si="60"/>
        <v>1.5</v>
      </c>
      <c r="T224" s="83">
        <f t="shared" si="61"/>
        <v>0</v>
      </c>
      <c r="U224" s="120">
        <f>IF($D224="",0,IFERROR(LOOKUP(2,1/(($D$3:D223=$D224)*($C$3:C223=$C224)*($A$3:A223&lt;$A224)),$AB$3:AB223),1000))</f>
        <v>1000</v>
      </c>
      <c r="V224" s="120">
        <f t="shared" si="62"/>
        <v>1053.8268660498134</v>
      </c>
      <c r="W224">
        <f t="shared" si="63"/>
        <v>1053.8268660498134</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988.84823349786632</v>
      </c>
      <c r="I225" s="117">
        <f t="shared" si="53"/>
        <v>0.33333333333333331</v>
      </c>
      <c r="J225" s="118">
        <f>IF($D225="",0,IF($F225&lt;2,0,IF($E225="Win",('Guide &amp; Settings'!$C$42/(($F225-1)*COUNTIFS($A$4:$A$810,$A225,$E$4:$E$810,"Win")))*SUMIFS($X$4:$X$810,$A$4:$A$810,$A225,$E$4:$E$810,"Loss"),-('Guide &amp; Settings'!$C$42/($F225-1))*$X225)))</f>
        <v>-6.5210154931950557</v>
      </c>
      <c r="K225" s="118">
        <f>IF($D225="",0,'Guide &amp; Settings'!$C$43*(IF($E225="Win",1,0)-$I225))</f>
        <v>-4</v>
      </c>
      <c r="L225" s="119">
        <f>IF($D225="",0,'Guide &amp; Settings'!$C$44*IF($F225&gt;=3,$F225,0))</f>
        <v>3</v>
      </c>
      <c r="M225" s="118">
        <f t="shared" si="54"/>
        <v>-7.5210154931950548</v>
      </c>
      <c r="N225" s="116">
        <f t="shared" si="55"/>
        <v>981.32721800467129</v>
      </c>
      <c r="O225" s="115" t="str">
        <f t="shared" si="56"/>
        <v>OK</v>
      </c>
      <c r="P225">
        <f t="shared" si="57"/>
        <v>1053.8268660498134</v>
      </c>
      <c r="Q225">
        <f t="shared" si="58"/>
        <v>0.40756346832469098</v>
      </c>
      <c r="R225">
        <f t="shared" si="59"/>
        <v>0.5</v>
      </c>
      <c r="S225">
        <f t="shared" si="60"/>
        <v>1.5</v>
      </c>
      <c r="T225" s="83">
        <f t="shared" si="61"/>
        <v>0</v>
      </c>
      <c r="U225" s="120">
        <f>IF($D225="",0,IFERROR(LOOKUP(2,1/(($D$3:D224=$D225)*($C$3:C224=$C225)*($A$3:A224&lt;$A225)),$AB$3:AB224),1000))</f>
        <v>1000</v>
      </c>
      <c r="V225" s="120">
        <f t="shared" si="62"/>
        <v>988.84823349786632</v>
      </c>
      <c r="W225">
        <f t="shared" si="63"/>
        <v>1053.8268660498134</v>
      </c>
      <c r="X225">
        <f t="shared" si="64"/>
        <v>0.40756346832469098</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1024.4750558551682</v>
      </c>
      <c r="I226" s="117">
        <f t="shared" si="53"/>
        <v>0.33333333333333331</v>
      </c>
      <c r="J226" s="118">
        <f>IF($D226="",0,IF($F226&lt;2,0,IF($E226="Win",('Guide &amp; Settings'!$C$42/(($F226-1)*COUNTIFS($A$4:$A$810,$A226,$E$4:$E$810,"Win")))*SUMIFS($X$4:$X$810,$A$4:$A$810,$A226,$E$4:$E$810,"Loss"),-('Guide &amp; Settings'!$C$42/($F226-1))*$X226)))</f>
        <v>-7.3257528853870291</v>
      </c>
      <c r="K226" s="118">
        <f>IF($D226="",0,'Guide &amp; Settings'!$C$43*(IF($E226="Win",1,0)-$I226))</f>
        <v>-4</v>
      </c>
      <c r="L226" s="119">
        <f>IF($D226="",0,'Guide &amp; Settings'!$C$44*IF($F226&gt;=3,$F226,0))</f>
        <v>3</v>
      </c>
      <c r="M226" s="118">
        <f t="shared" si="54"/>
        <v>-8.3257528853870291</v>
      </c>
      <c r="N226" s="116">
        <f t="shared" si="55"/>
        <v>1016.1493029697812</v>
      </c>
      <c r="O226" s="115" t="str">
        <f t="shared" si="56"/>
        <v>OK</v>
      </c>
      <c r="P226">
        <f t="shared" si="57"/>
        <v>1053.8268660498134</v>
      </c>
      <c r="Q226">
        <f t="shared" si="58"/>
        <v>0.45785955533668932</v>
      </c>
      <c r="R226">
        <f t="shared" si="59"/>
        <v>0.5</v>
      </c>
      <c r="S226">
        <f t="shared" si="60"/>
        <v>1.5</v>
      </c>
      <c r="T226" s="83">
        <f t="shared" si="61"/>
        <v>0</v>
      </c>
      <c r="U226" s="120">
        <f>IF($D226="",0,IFERROR(LOOKUP(2,1/(($D$3:D225=$D226)*($C$3:C225=$C226)*($A$3:A225&lt;$A226)),$AB$3:AB225),1000))</f>
        <v>1000</v>
      </c>
      <c r="V226" s="120">
        <f t="shared" si="62"/>
        <v>1024.4750558551682</v>
      </c>
      <c r="W226">
        <f t="shared" si="63"/>
        <v>1053.8268660498134</v>
      </c>
      <c r="X226">
        <f t="shared" si="64"/>
        <v>0.45785955533668932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981.32721800467129</v>
      </c>
      <c r="I227" s="117">
        <f t="shared" si="53"/>
        <v>0.4</v>
      </c>
      <c r="J227" s="118">
        <f>IF($D227="",0,IF($F227&lt;2,0,IF($E227="Win",('Guide &amp; Settings'!$C$42/(($F227-1)*COUNTIFS($A$4:$A$810,$A227,$E$4:$E$810,"Win")))*SUMIFS($X$4:$X$810,$A$4:$A$810,$A227,$E$4:$E$810,"Loss"),-('Guide &amp; Settings'!$C$42/($F227-1))*$X227)))</f>
        <v>23.958786071371375</v>
      </c>
      <c r="K227" s="118">
        <f>IF($D227="",0,'Guide &amp; Settings'!$C$43*(IF($E227="Win",1,0)-$I227))</f>
        <v>7.1999999999999993</v>
      </c>
      <c r="L227" s="119">
        <f>IF($D227="",0,'Guide &amp; Settings'!$C$44*IF($F227&gt;=3,$F227,0))</f>
        <v>0</v>
      </c>
      <c r="M227" s="118">
        <f t="shared" si="54"/>
        <v>31.158786071371374</v>
      </c>
      <c r="N227" s="116">
        <f t="shared" si="55"/>
        <v>1012.4860040760427</v>
      </c>
      <c r="O227" s="115" t="str">
        <f t="shared" si="56"/>
        <v>OK</v>
      </c>
      <c r="P227">
        <f t="shared" si="57"/>
        <v>981.32721800467129</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975.36877956856483</v>
      </c>
      <c r="W227">
        <f t="shared" si="63"/>
        <v>975.36877956856483</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1165.026056955317</v>
      </c>
      <c r="I228" s="117">
        <f t="shared" si="53"/>
        <v>0.60000000000000009</v>
      </c>
      <c r="J228" s="118">
        <f>IF($D228="",0,IF($F228&lt;2,0,IF($E228="Win",('Guide &amp; Settings'!$C$42/(($F228-1)*COUNTIFS($A$4:$A$810,$A228,$E$4:$E$810,"Win")))*SUMIFS($X$4:$X$810,$A$4:$A$810,$A228,$E$4:$E$810,"Loss"),-('Guide &amp; Settings'!$C$42/($F228-1))*$X228)))</f>
        <v>-23.958786071371375</v>
      </c>
      <c r="K228" s="118">
        <f>IF($D228="",0,'Guide &amp; Settings'!$C$43*(IF($E228="Win",1,0)-$I228))</f>
        <v>-7.2000000000000011</v>
      </c>
      <c r="L228" s="119">
        <f>IF($D228="",0,'Guide &amp; Settings'!$C$44*IF($F228&gt;=3,$F228,0))</f>
        <v>0</v>
      </c>
      <c r="M228" s="118">
        <f t="shared" si="54"/>
        <v>-31.158786071371374</v>
      </c>
      <c r="N228" s="116">
        <f t="shared" si="55"/>
        <v>1133.8672708839456</v>
      </c>
      <c r="O228" s="115" t="str">
        <f t="shared" si="56"/>
        <v>OK</v>
      </c>
      <c r="P228">
        <f t="shared" si="57"/>
        <v>981.32721800467129</v>
      </c>
      <c r="Q228">
        <f t="shared" si="58"/>
        <v>0.74220399175455187</v>
      </c>
      <c r="R228">
        <f t="shared" si="59"/>
        <v>0.5</v>
      </c>
      <c r="S228">
        <f t="shared" si="60"/>
        <v>0.83333333333333326</v>
      </c>
      <c r="T228" s="83">
        <f t="shared" si="61"/>
        <v>0</v>
      </c>
      <c r="U228" s="120">
        <f>IF($D228="",0,IFERROR(LOOKUP(2,1/(($D$3:D227=$D228)*($C$3:C227=$C228)*($A$3:A227&lt;$A228)),$AB$3:AB227),1000))</f>
        <v>1000</v>
      </c>
      <c r="V228" s="120">
        <f t="shared" si="62"/>
        <v>1165.026056955317</v>
      </c>
      <c r="W228">
        <f t="shared" si="63"/>
        <v>975.36877956856483</v>
      </c>
      <c r="X228">
        <f t="shared" si="64"/>
        <v>0.74871206473035545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1012.4860040760427</v>
      </c>
      <c r="I229" s="117">
        <f t="shared" si="53"/>
        <v>0.54545454545454541</v>
      </c>
      <c r="J229" s="118">
        <f>IF($D229="",0,IF($F229&lt;2,0,IF($E229="Win",('Guide &amp; Settings'!$C$42/(($F229-1)*COUNTIFS($A$4:$A$810,$A229,$E$4:$E$810,"Win")))*SUMIFS($X$4:$X$810,$A$4:$A$810,$A229,$E$4:$E$810,"Loss"),-('Guide &amp; Settings'!$C$42/($F229-1))*$X229)))</f>
        <v>20.943795060250654</v>
      </c>
      <c r="K229" s="118">
        <f>IF($D229="",0,'Guide &amp; Settings'!$C$43*(IF($E229="Win",1,0)-$I229))</f>
        <v>5.454545454545455</v>
      </c>
      <c r="L229" s="119">
        <f>IF($D229="",0,'Guide &amp; Settings'!$C$44*IF($F229&gt;=3,$F229,0))</f>
        <v>0</v>
      </c>
      <c r="M229" s="118">
        <f t="shared" si="54"/>
        <v>26.398340514796111</v>
      </c>
      <c r="N229" s="116">
        <f t="shared" si="55"/>
        <v>1038.8843445908387</v>
      </c>
      <c r="O229" s="115" t="str">
        <f t="shared" si="56"/>
        <v>OK</v>
      </c>
      <c r="P229">
        <f t="shared" si="57"/>
        <v>1012.4860040760427</v>
      </c>
      <c r="Q229">
        <f t="shared" si="58"/>
        <v>0.5</v>
      </c>
      <c r="R229">
        <f t="shared" si="59"/>
        <v>0.4</v>
      </c>
      <c r="S229">
        <f t="shared" si="60"/>
        <v>0.73333333333333339</v>
      </c>
      <c r="T229" s="83">
        <f t="shared" si="61"/>
        <v>8</v>
      </c>
      <c r="U229" s="120">
        <f>IF($D229="",0,IFERROR(LOOKUP(2,1/(($D$3:D228=$D229)*($C$3:C228=$C229)*($A$3:A228&lt;$A229)),$AB$3:AB228),1000))</f>
        <v>988.44000204355825</v>
      </c>
      <c r="V229" s="120">
        <f t="shared" si="62"/>
        <v>997.68846436374463</v>
      </c>
      <c r="W229">
        <f t="shared" si="63"/>
        <v>997.68846436374463</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1133.8672708839456</v>
      </c>
      <c r="I230" s="117">
        <f t="shared" si="53"/>
        <v>0.45454545454545447</v>
      </c>
      <c r="J230" s="118">
        <f>IF($D230="",0,IF($F230&lt;2,0,IF($E230="Win",('Guide &amp; Settings'!$C$42/(($F230-1)*COUNTIFS($A$4:$A$810,$A230,$E$4:$E$810,"Win")))*SUMIFS($X$4:$X$810,$A$4:$A$810,$A230,$E$4:$E$810,"Loss"),-('Guide &amp; Settings'!$C$42/($F230-1))*$X230)))</f>
        <v>-20.943795060250654</v>
      </c>
      <c r="K230" s="118">
        <f>IF($D230="",0,'Guide &amp; Settings'!$C$43*(IF($E230="Win",1,0)-$I230))</f>
        <v>-5.4545454545454533</v>
      </c>
      <c r="L230" s="119">
        <f>IF($D230="",0,'Guide &amp; Settings'!$C$44*IF($F230&gt;=3,$F230,0))</f>
        <v>0</v>
      </c>
      <c r="M230" s="118">
        <f t="shared" si="54"/>
        <v>-26.398340514796107</v>
      </c>
      <c r="N230" s="116">
        <f t="shared" si="55"/>
        <v>1107.4689303691496</v>
      </c>
      <c r="O230" s="115" t="str">
        <f t="shared" si="56"/>
        <v>OK</v>
      </c>
      <c r="P230">
        <f t="shared" si="57"/>
        <v>1012.4860040760427</v>
      </c>
      <c r="Q230">
        <f t="shared" si="58"/>
        <v>0.66790541334126052</v>
      </c>
      <c r="R230">
        <f t="shared" si="59"/>
        <v>0.33333333333333331</v>
      </c>
      <c r="S230">
        <f t="shared" si="60"/>
        <v>0.73333333333333339</v>
      </c>
      <c r="T230" s="83">
        <f t="shared" si="61"/>
        <v>1</v>
      </c>
      <c r="U230" s="120">
        <f>IF($D230="",0,IFERROR(LOOKUP(2,1/(($D$3:D229=$D230)*($C$3:C229=$C230)*($A$3:A229&lt;$A230)),$AB$3:AB229),1000))</f>
        <v>982.67275007064484</v>
      </c>
      <c r="V230" s="120">
        <f t="shared" si="62"/>
        <v>1108.6681840817289</v>
      </c>
      <c r="W230">
        <f t="shared" si="63"/>
        <v>997.68846436374463</v>
      </c>
      <c r="X230">
        <f t="shared" si="64"/>
        <v>0.65449359563283294</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1038.8843445908387</v>
      </c>
      <c r="I231" s="117">
        <f t="shared" si="53"/>
        <v>0.64516129032258063</v>
      </c>
      <c r="J231" s="118">
        <f>IF($D231="",0,IF($F231&lt;2,0,IF($E231="Win",('Guide &amp; Settings'!$C$42/(($F231-1)*COUNTIFS($A$4:$A$810,$A231,$E$4:$E$810,"Win")))*SUMIFS($X$4:$X$810,$A$4:$A$810,$A231,$E$4:$E$810,"Loss"),-('Guide &amp; Settings'!$C$42/($F231-1))*$X231)))</f>
        <v>18.320484502169066</v>
      </c>
      <c r="K231" s="118">
        <f>IF($D231="",0,'Guide &amp; Settings'!$C$43*(IF($E231="Win",1,0)-$I231))</f>
        <v>4.258064516129032</v>
      </c>
      <c r="L231" s="119">
        <f>IF($D231="",0,'Guide &amp; Settings'!$C$44*IF($F231&gt;=3,$F231,0))</f>
        <v>0</v>
      </c>
      <c r="M231" s="118">
        <f t="shared" si="54"/>
        <v>22.578549018298098</v>
      </c>
      <c r="N231" s="116">
        <f t="shared" si="55"/>
        <v>1061.4628936091369</v>
      </c>
      <c r="O231" s="115" t="str">
        <f t="shared" si="56"/>
        <v>OK</v>
      </c>
      <c r="P231">
        <f t="shared" si="57"/>
        <v>1038.8843445908387</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1016.5708310680108</v>
      </c>
      <c r="W231">
        <f t="shared" si="63"/>
        <v>1016.5708310680108</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1107.4689303691496</v>
      </c>
      <c r="I232" s="117">
        <f t="shared" si="53"/>
        <v>0.35483870967741932</v>
      </c>
      <c r="J232" s="118">
        <f>IF($D232="",0,IF($F232&lt;2,0,IF($E232="Win",('Guide &amp; Settings'!$C$42/(($F232-1)*COUNTIFS($A$4:$A$810,$A232,$E$4:$E$810,"Win")))*SUMIFS($X$4:$X$810,$A$4:$A$810,$A232,$E$4:$E$810,"Loss"),-('Guide &amp; Settings'!$C$42/($F232-1))*$X232)))</f>
        <v>-18.320484502169066</v>
      </c>
      <c r="K232" s="118">
        <f>IF($D232="",0,'Guide &amp; Settings'!$C$43*(IF($E232="Win",1,0)-$I232))</f>
        <v>-4.258064516129032</v>
      </c>
      <c r="L232" s="119">
        <f>IF($D232="",0,'Guide &amp; Settings'!$C$44*IF($F232&gt;=3,$F232,0))</f>
        <v>0</v>
      </c>
      <c r="M232" s="118">
        <f t="shared" si="54"/>
        <v>-22.578549018298098</v>
      </c>
      <c r="N232" s="116">
        <f t="shared" si="55"/>
        <v>1084.8903813508514</v>
      </c>
      <c r="O232" s="115" t="str">
        <f t="shared" si="56"/>
        <v>OK</v>
      </c>
      <c r="P232">
        <f t="shared" si="57"/>
        <v>1038.8843445908387</v>
      </c>
      <c r="Q232">
        <f t="shared" si="58"/>
        <v>0.59743877481039909</v>
      </c>
      <c r="R232">
        <f t="shared" si="59"/>
        <v>0.25</v>
      </c>
      <c r="S232">
        <f t="shared" si="60"/>
        <v>0.70454545454545459</v>
      </c>
      <c r="T232" s="83">
        <f t="shared" si="61"/>
        <v>2</v>
      </c>
      <c r="U232" s="120">
        <f>IF($D232="",0,IFERROR(LOOKUP(2,1/(($D$3:D231=$D232)*($C$3:C231=$C232)*($A$3:A231&lt;$A232)),$AB$3:AB231),1000))</f>
        <v>966.93831744776344</v>
      </c>
      <c r="V232" s="120">
        <f t="shared" si="62"/>
        <v>1067.3173266773251</v>
      </c>
      <c r="W232">
        <f t="shared" si="63"/>
        <v>1016.5708310680108</v>
      </c>
      <c r="X232">
        <f t="shared" si="64"/>
        <v>0.57251514069278331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1052.1085402518941</v>
      </c>
      <c r="I233" s="117">
        <f t="shared" si="53"/>
        <v>0.5</v>
      </c>
      <c r="J233" s="118">
        <f>IF($D233="",0,IF($F233&lt;2,0,IF($E233="Win",('Guide &amp; Settings'!$C$42/(($F233-1)*COUNTIFS($A$4:$A$810,$A233,$E$4:$E$810,"Win")))*SUMIFS($X$4:$X$810,$A$4:$A$810,$A233,$E$4:$E$810,"Loss"),-('Guide &amp; Settings'!$C$42/($F233-1))*$X233)))</f>
        <v>-16.888349365941842</v>
      </c>
      <c r="K233" s="118">
        <f>IF($D233="",0,'Guide &amp; Settings'!$C$43*(IF($E233="Win",1,0)-$I233))</f>
        <v>-6</v>
      </c>
      <c r="L233" s="119">
        <f>IF($D233="",0,'Guide &amp; Settings'!$C$44*IF($F233&gt;=3,$F233,0))</f>
        <v>0</v>
      </c>
      <c r="M233" s="118">
        <f t="shared" si="54"/>
        <v>-22.888349365941842</v>
      </c>
      <c r="N233" s="116">
        <f t="shared" si="55"/>
        <v>1029.2201908859522</v>
      </c>
      <c r="O233" s="115" t="str">
        <f t="shared" si="56"/>
        <v>OK</v>
      </c>
      <c r="P233">
        <f t="shared" si="57"/>
        <v>1061.4628936091369</v>
      </c>
      <c r="Q233">
        <f t="shared" si="58"/>
        <v>0.48654125530865927</v>
      </c>
      <c r="R233">
        <f t="shared" si="59"/>
        <v>0.5</v>
      </c>
      <c r="S233">
        <f t="shared" si="60"/>
        <v>1</v>
      </c>
      <c r="T233" s="83">
        <f t="shared" si="61"/>
        <v>0</v>
      </c>
      <c r="U233" s="120">
        <f>IF($D233="",0,IFERROR(LOOKUP(2,1/(($D$3:D232=$D233)*($C$3:C232=$C233)*($A$3:A232&lt;$A233)),$AB$3:AB232),1000))</f>
        <v>1000</v>
      </c>
      <c r="V233" s="120">
        <f t="shared" si="62"/>
        <v>1052.1085402518941</v>
      </c>
      <c r="W233">
        <f t="shared" si="63"/>
        <v>1032.7984202631137</v>
      </c>
      <c r="X233">
        <f t="shared" si="64"/>
        <v>0.52776091768568256</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1061.4628936091369</v>
      </c>
      <c r="I234" s="117">
        <f t="shared" si="53"/>
        <v>0.5</v>
      </c>
      <c r="J234" s="118">
        <f>IF($D234="",0,IF($F234&lt;2,0,IF($E234="Win",('Guide &amp; Settings'!$C$42/(($F234-1)*COUNTIFS($A$4:$A$810,$A234,$E$4:$E$810,"Win")))*SUMIFS($X$4:$X$810,$A$4:$A$810,$A234,$E$4:$E$810,"Loss"),-('Guide &amp; Settings'!$C$42/($F234-1))*$X234)))</f>
        <v>16.888349365941842</v>
      </c>
      <c r="K234" s="118">
        <f>IF($D234="",0,'Guide &amp; Settings'!$C$43*(IF($E234="Win",1,0)-$I234))</f>
        <v>6</v>
      </c>
      <c r="L234" s="119">
        <f>IF($D234="",0,'Guide &amp; Settings'!$C$44*IF($F234&gt;=3,$F234,0))</f>
        <v>0</v>
      </c>
      <c r="M234" s="118">
        <f t="shared" si="54"/>
        <v>22.888349365941842</v>
      </c>
      <c r="N234" s="116">
        <f t="shared" si="55"/>
        <v>1084.3512429750788</v>
      </c>
      <c r="O234" s="115" t="str">
        <f t="shared" si="56"/>
        <v>OK</v>
      </c>
      <c r="P234">
        <f t="shared" si="57"/>
        <v>1061.4628936091369</v>
      </c>
      <c r="Q234">
        <f t="shared" si="58"/>
        <v>0.5</v>
      </c>
      <c r="R234">
        <f t="shared" si="59"/>
        <v>0.5</v>
      </c>
      <c r="S234">
        <f t="shared" si="60"/>
        <v>1</v>
      </c>
      <c r="T234" s="83">
        <f t="shared" si="61"/>
        <v>10</v>
      </c>
      <c r="U234" s="120">
        <f>IF($D234="",0,IFERROR(LOOKUP(2,1/(($D$3:D233=$D234)*($C$3:C233=$C234)*($A$3:A233&lt;$A234)),$AB$3:AB233),1000))</f>
        <v>1018.4661835901022</v>
      </c>
      <c r="V234" s="120">
        <f t="shared" si="62"/>
        <v>1032.7984202631137</v>
      </c>
      <c r="W234">
        <f t="shared" si="63"/>
        <v>1032.7984202631137</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1078.6736344283954</v>
      </c>
      <c r="I235" s="117">
        <f t="shared" si="53"/>
        <v>0.57142857142857151</v>
      </c>
      <c r="J235" s="118">
        <f>IF($D235="",0,IF($F235&lt;2,0,IF($E235="Win",('Guide &amp; Settings'!$C$42/(($F235-1)*COUNTIFS($A$4:$A$810,$A235,$E$4:$E$810,"Win")))*SUMIFS($X$4:$X$810,$A$4:$A$810,$A235,$E$4:$E$810,"Loss"),-('Guide &amp; Settings'!$C$42/($F235-1))*$X235)))</f>
        <v>9.066368698962826</v>
      </c>
      <c r="K235" s="118">
        <f>IF($D235="",0,'Guide &amp; Settings'!$C$43*(IF($E235="Win",1,0)-$I235))</f>
        <v>5.1428571428571423</v>
      </c>
      <c r="L235" s="119">
        <f>IF($D235="",0,'Guide &amp; Settings'!$C$44*IF($F235&gt;=3,$F235,0))</f>
        <v>0</v>
      </c>
      <c r="M235" s="118">
        <f t="shared" si="54"/>
        <v>14.209225841819968</v>
      </c>
      <c r="N235" s="116">
        <f t="shared" si="55"/>
        <v>1092.8828602702154</v>
      </c>
      <c r="O235" s="115" t="str">
        <f t="shared" si="56"/>
        <v>OK</v>
      </c>
      <c r="P235">
        <f t="shared" si="57"/>
        <v>1078.6736344283954</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1068.4617576317305</v>
      </c>
      <c r="W235">
        <f t="shared" si="63"/>
        <v>1068.4617576317305</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907.24597771907167</v>
      </c>
      <c r="I236" s="117">
        <f t="shared" si="53"/>
        <v>0.4285714285714286</v>
      </c>
      <c r="J236" s="118">
        <f>IF($D236="",0,IF($F236&lt;2,0,IF($E236="Win",('Guide &amp; Settings'!$C$42/(($F236-1)*COUNTIFS($A$4:$A$810,$A236,$E$4:$E$810,"Win")))*SUMIFS($X$4:$X$810,$A$4:$A$810,$A236,$E$4:$E$810,"Loss"),-('Guide &amp; Settings'!$C$42/($F236-1))*$X236)))</f>
        <v>-9.066368698962826</v>
      </c>
      <c r="K236" s="118">
        <f>IF($D236="",0,'Guide &amp; Settings'!$C$43*(IF($E236="Win",1,0)-$I236))</f>
        <v>-5.1428571428571432</v>
      </c>
      <c r="L236" s="119">
        <f>IF($D236="",0,'Guide &amp; Settings'!$C$44*IF($F236&gt;=3,$F236,0))</f>
        <v>0</v>
      </c>
      <c r="M236" s="118">
        <f t="shared" si="54"/>
        <v>-14.209225841819968</v>
      </c>
      <c r="N236" s="116">
        <f t="shared" si="55"/>
        <v>893.03675187725173</v>
      </c>
      <c r="O236" s="115" t="str">
        <f t="shared" si="56"/>
        <v>OK</v>
      </c>
      <c r="P236">
        <f t="shared" si="57"/>
        <v>1078.6736344283954</v>
      </c>
      <c r="Q236">
        <f t="shared" si="58"/>
        <v>0.27154125437832793</v>
      </c>
      <c r="R236">
        <f t="shared" si="59"/>
        <v>0.5</v>
      </c>
      <c r="S236">
        <f t="shared" si="60"/>
        <v>1.1666666666666665</v>
      </c>
      <c r="T236" s="83">
        <f t="shared" si="61"/>
        <v>0</v>
      </c>
      <c r="U236" s="120">
        <f>IF($D236="",0,IFERROR(LOOKUP(2,1/(($D$3:D235=$D236)*($C$3:C235=$C236)*($A$3:A235&lt;$A236)),$AB$3:AB235),1000))</f>
        <v>1000</v>
      </c>
      <c r="V236" s="120">
        <f t="shared" si="62"/>
        <v>907.24597771907167</v>
      </c>
      <c r="W236">
        <f t="shared" si="63"/>
        <v>1068.4617576317305</v>
      </c>
      <c r="X236">
        <f t="shared" si="64"/>
        <v>0.28332402184258831</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1092.8828602702154</v>
      </c>
      <c r="I237" s="117">
        <f t="shared" si="53"/>
        <v>0.5</v>
      </c>
      <c r="J237" s="118">
        <f>IF($D237="",0,IF($F237&lt;2,0,IF($E237="Win",('Guide &amp; Settings'!$C$42/(($F237-1)*COUNTIFS($A$4:$A$810,$A237,$E$4:$E$810,"Win")))*SUMIFS($X$4:$X$810,$A$4:$A$810,$A237,$E$4:$E$810,"Loss"),-('Guide &amp; Settings'!$C$42/($F237-1))*$X237)))</f>
        <v>14.199437855447254</v>
      </c>
      <c r="K237" s="118">
        <f>IF($D237="",0,'Guide &amp; Settings'!$C$43*(IF($E237="Win",1,0)-$I237))</f>
        <v>6</v>
      </c>
      <c r="L237" s="119">
        <f>IF($D237="",0,'Guide &amp; Settings'!$C$44*IF($F237&gt;=3,$F237,0))</f>
        <v>3</v>
      </c>
      <c r="M237" s="118">
        <f t="shared" si="54"/>
        <v>23.199437855447254</v>
      </c>
      <c r="N237" s="116">
        <f t="shared" si="55"/>
        <v>1116.0822981256626</v>
      </c>
      <c r="O237" s="115" t="str">
        <f t="shared" si="56"/>
        <v>OK</v>
      </c>
      <c r="P237">
        <f t="shared" si="57"/>
        <v>1092.8828602702154</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1080.0690502251796</v>
      </c>
      <c r="W237">
        <f t="shared" si="63"/>
        <v>1080.0690502251796</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1016.1493029697812</v>
      </c>
      <c r="I238" s="117">
        <f t="shared" si="53"/>
        <v>0.25</v>
      </c>
      <c r="J238" s="118">
        <f>IF($D238="",0,IF($F238&lt;2,0,IF($E238="Win",('Guide &amp; Settings'!$C$42/(($F238-1)*COUNTIFS($A$4:$A$810,$A238,$E$4:$E$810,"Win")))*SUMIFS($X$4:$X$810,$A$4:$A$810,$A238,$E$4:$E$810,"Loss"),-('Guide &amp; Settings'!$C$42/($F238-1))*$X238)))</f>
        <v>-6.4551605647268993</v>
      </c>
      <c r="K238" s="118">
        <f>IF($D238="",0,'Guide &amp; Settings'!$C$43*(IF($E238="Win",1,0)-$I238))</f>
        <v>-3</v>
      </c>
      <c r="L238" s="119">
        <f>IF($D238="",0,'Guide &amp; Settings'!$C$44*IF($F238&gt;=3,$F238,0))</f>
        <v>3</v>
      </c>
      <c r="M238" s="118">
        <f t="shared" si="54"/>
        <v>-6.4551605647268993</v>
      </c>
      <c r="N238" s="116">
        <f t="shared" si="55"/>
        <v>1009.6941424050542</v>
      </c>
      <c r="O238" s="115" t="str">
        <f t="shared" si="56"/>
        <v>OK</v>
      </c>
      <c r="P238">
        <f t="shared" si="57"/>
        <v>1092.8828602702154</v>
      </c>
      <c r="Q238">
        <f t="shared" si="58"/>
        <v>0.39133266588171339</v>
      </c>
      <c r="R238">
        <f t="shared" si="59"/>
        <v>0.33333333333333331</v>
      </c>
      <c r="S238">
        <f t="shared" si="60"/>
        <v>1.3333333333333333</v>
      </c>
      <c r="T238" s="83">
        <f t="shared" si="61"/>
        <v>1</v>
      </c>
      <c r="U238" s="120">
        <f>IF($D238="",0,IFERROR(LOOKUP(2,1/(($D$3:D237=$D238)*($C$3:C237=$C238)*($A$3:A237&lt;$A238)),$AB$3:AB237),1000))</f>
        <v>992</v>
      </c>
      <c r="V238" s="120">
        <f t="shared" si="62"/>
        <v>1012.1244191414844</v>
      </c>
      <c r="W238">
        <f t="shared" si="63"/>
        <v>1080.0690502251796</v>
      </c>
      <c r="X238">
        <f t="shared" si="64"/>
        <v>0.4034475352954312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1084.3512429750788</v>
      </c>
      <c r="I239" s="117">
        <f t="shared" si="53"/>
        <v>0.25</v>
      </c>
      <c r="J239" s="118">
        <f>IF($D239="",0,IF($F239&lt;2,0,IF($E239="Win",('Guide &amp; Settings'!$C$42/(($F239-1)*COUNTIFS($A$4:$A$810,$A239,$E$4:$E$810,"Win")))*SUMIFS($X$4:$X$810,$A$4:$A$810,$A239,$E$4:$E$810,"Loss"),-('Guide &amp; Settings'!$C$42/($F239-1))*$X239)))</f>
        <v>-7.7442772907203539</v>
      </c>
      <c r="K239" s="118">
        <f>IF($D239="",0,'Guide &amp; Settings'!$C$43*(IF($E239="Win",1,0)-$I239))</f>
        <v>-3</v>
      </c>
      <c r="L239" s="119">
        <f>IF($D239="",0,'Guide &amp; Settings'!$C$44*IF($F239&gt;=3,$F239,0))</f>
        <v>3</v>
      </c>
      <c r="M239" s="118">
        <f t="shared" si="54"/>
        <v>-7.7442772907203548</v>
      </c>
      <c r="N239" s="116">
        <f t="shared" si="55"/>
        <v>1076.6069656843583</v>
      </c>
      <c r="O239" s="115" t="str">
        <f t="shared" si="56"/>
        <v>OK</v>
      </c>
      <c r="P239">
        <f t="shared" si="57"/>
        <v>1092.8828602702154</v>
      </c>
      <c r="Q239">
        <f t="shared" si="58"/>
        <v>0.48772448300986526</v>
      </c>
      <c r="R239">
        <f t="shared" si="59"/>
        <v>0.33333333333333331</v>
      </c>
      <c r="S239">
        <f t="shared" si="60"/>
        <v>1.3333333333333333</v>
      </c>
      <c r="T239" s="83">
        <f t="shared" si="61"/>
        <v>1</v>
      </c>
      <c r="U239" s="120">
        <f>IF($D239="",0,IFERROR(LOOKUP(2,1/(($D$3:D238=$D239)*($C$3:C238=$C239)*($A$3:A238&lt;$A239)),$AB$3:AB238),1000))</f>
        <v>992</v>
      </c>
      <c r="V239" s="120">
        <f t="shared" si="62"/>
        <v>1068.959369145899</v>
      </c>
      <c r="W239">
        <f t="shared" si="63"/>
        <v>1080.0690502251796</v>
      </c>
      <c r="X239">
        <f t="shared" si="64"/>
        <v>0.48401733067002212</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1118.2349329469087</v>
      </c>
      <c r="I240" s="117">
        <f t="shared" si="53"/>
        <v>0.33333333333333331</v>
      </c>
      <c r="J240" s="118">
        <f>IF($D240="",0,IF($F240&lt;2,0,IF($E240="Win",('Guide &amp; Settings'!$C$42/(($F240-1)*COUNTIFS($A$4:$A$810,$A240,$E$4:$E$810,"Win")))*SUMIFS($X$4:$X$810,$A$4:$A$810,$A240,$E$4:$E$810,"Loss"),-('Guide &amp; Settings'!$C$42/($F240-1))*$X240)))</f>
        <v>18.626995570500643</v>
      </c>
      <c r="K240" s="118">
        <f>IF($D240="",0,'Guide &amp; Settings'!$C$43*(IF($E240="Win",1,0)-$I240))</f>
        <v>8</v>
      </c>
      <c r="L240" s="119">
        <f>IF($D240="",0,'Guide &amp; Settings'!$C$44*IF($F240&gt;=3,$F240,0))</f>
        <v>0</v>
      </c>
      <c r="M240" s="118">
        <f t="shared" si="54"/>
        <v>26.626995570500643</v>
      </c>
      <c r="N240" s="116">
        <f t="shared" si="55"/>
        <v>1144.8619285174093</v>
      </c>
      <c r="O240" s="115" t="str">
        <f t="shared" si="56"/>
        <v>OK</v>
      </c>
      <c r="P240">
        <f t="shared" si="57"/>
        <v>1118.2349329469087</v>
      </c>
      <c r="Q240">
        <f t="shared" si="58"/>
        <v>0.5</v>
      </c>
      <c r="R240">
        <f t="shared" si="59"/>
        <v>0.375</v>
      </c>
      <c r="S240">
        <f t="shared" si="60"/>
        <v>1.125</v>
      </c>
      <c r="T240" s="83">
        <f t="shared" si="61"/>
        <v>6</v>
      </c>
      <c r="U240" s="120">
        <f>IF($D240="",0,IFERROR(LOOKUP(2,1/(($D$3:D239=$D240)*($C$3:C239=$C240)*($A$3:A239&lt;$A240)),$AB$3:AB239),1000))</f>
        <v>965.02366557041569</v>
      </c>
      <c r="V240" s="120">
        <f t="shared" si="62"/>
        <v>1034.665150741549</v>
      </c>
      <c r="W240">
        <f t="shared" si="63"/>
        <v>1034.665150741549</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1116.0822981256626</v>
      </c>
      <c r="I241" s="117">
        <f t="shared" si="53"/>
        <v>0.66666666666666663</v>
      </c>
      <c r="J241" s="118">
        <f>IF($D241="",0,IF($F241&lt;2,0,IF($E241="Win",('Guide &amp; Settings'!$C$42/(($F241-1)*COUNTIFS($A$4:$A$810,$A241,$E$4:$E$810,"Win")))*SUMIFS($X$4:$X$810,$A$4:$A$810,$A241,$E$4:$E$810,"Loss"),-('Guide &amp; Settings'!$C$42/($F241-1))*$X241)))</f>
        <v>-18.626995570500643</v>
      </c>
      <c r="K241" s="118">
        <f>IF($D241="",0,'Guide &amp; Settings'!$C$43*(IF($E241="Win",1,0)-$I241))</f>
        <v>-8</v>
      </c>
      <c r="L241" s="119">
        <f>IF($D241="",0,'Guide &amp; Settings'!$C$44*IF($F241&gt;=3,$F241,0))</f>
        <v>0</v>
      </c>
      <c r="M241" s="118">
        <f t="shared" si="54"/>
        <v>-26.626995570500643</v>
      </c>
      <c r="N241" s="116">
        <f t="shared" si="55"/>
        <v>1089.455302555162</v>
      </c>
      <c r="O241" s="115" t="str">
        <f t="shared" si="56"/>
        <v>OK</v>
      </c>
      <c r="P241">
        <f t="shared" si="57"/>
        <v>1118.2349329469087</v>
      </c>
      <c r="Q241">
        <f t="shared" si="58"/>
        <v>0.49690214910840375</v>
      </c>
      <c r="R241">
        <f t="shared" si="59"/>
        <v>0.75</v>
      </c>
      <c r="S241">
        <f t="shared" si="60"/>
        <v>1.125</v>
      </c>
      <c r="T241" s="83">
        <f t="shared" si="61"/>
        <v>2</v>
      </c>
      <c r="U241" s="120">
        <f>IF($D241="",0,IFERROR(LOOKUP(2,1/(($D$3:D240=$D241)*($C$3:C240=$C241)*($A$3:A240&lt;$A241)),$AB$3:AB240),1000))</f>
        <v>1032.6016342488008</v>
      </c>
      <c r="V241" s="120">
        <f t="shared" si="62"/>
        <v>1092.2306798751306</v>
      </c>
      <c r="W241">
        <f t="shared" si="63"/>
        <v>1034.665150741549</v>
      </c>
      <c r="X241">
        <f t="shared" si="64"/>
        <v>0.5820936115781451</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1144.8619285174093</v>
      </c>
      <c r="I242" s="117">
        <f t="shared" si="53"/>
        <v>0.42553191489361708</v>
      </c>
      <c r="J242" s="118">
        <f>IF($D242="",0,IF($F242&lt;2,0,IF($E242="Win",('Guide &amp; Settings'!$C$42/(($F242-1)*COUNTIFS($A$4:$A$810,$A242,$E$4:$E$810,"Win")))*SUMIFS($X$4:$X$810,$A$4:$A$810,$A242,$E$4:$E$810,"Loss"),-('Guide &amp; Settings'!$C$42/($F242-1))*$X242)))</f>
        <v>16.455798062058349</v>
      </c>
      <c r="K242" s="118">
        <f>IF($D242="",0,'Guide &amp; Settings'!$C$43*(IF($E242="Win",1,0)-$I242))</f>
        <v>6.8936170212765955</v>
      </c>
      <c r="L242" s="119">
        <f>IF($D242="",0,'Guide &amp; Settings'!$C$44*IF($F242&gt;=3,$F242,0))</f>
        <v>0</v>
      </c>
      <c r="M242" s="118">
        <f t="shared" si="54"/>
        <v>23.349415083334947</v>
      </c>
      <c r="N242" s="116">
        <f t="shared" si="55"/>
        <v>1168.2113436007442</v>
      </c>
      <c r="O242" s="115" t="str">
        <f t="shared" si="56"/>
        <v>OK</v>
      </c>
      <c r="P242">
        <f t="shared" si="57"/>
        <v>1144.8619285174093</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1051.0824366727627</v>
      </c>
      <c r="W242">
        <f t="shared" si="63"/>
        <v>1051.0824366727627</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1089.455302555162</v>
      </c>
      <c r="I243" s="117">
        <f t="shared" si="53"/>
        <v>0.57446808510638303</v>
      </c>
      <c r="J243" s="118">
        <f>IF($D243="",0,IF($F243&lt;2,0,IF($E243="Win",('Guide &amp; Settings'!$C$42/(($F243-1)*COUNTIFS($A$4:$A$810,$A243,$E$4:$E$810,"Win")))*SUMIFS($X$4:$X$810,$A$4:$A$810,$A243,$E$4:$E$810,"Loss"),-('Guide &amp; Settings'!$C$42/($F243-1))*$X243)))</f>
        <v>-16.455798062058349</v>
      </c>
      <c r="K243" s="118">
        <f>IF($D243="",0,'Guide &amp; Settings'!$C$43*(IF($E243="Win",1,0)-$I243))</f>
        <v>-6.8936170212765964</v>
      </c>
      <c r="L243" s="119">
        <f>IF($D243="",0,'Guide &amp; Settings'!$C$44*IF($F243&gt;=3,$F243,0))</f>
        <v>0</v>
      </c>
      <c r="M243" s="118">
        <f t="shared" si="54"/>
        <v>-23.349415083334947</v>
      </c>
      <c r="N243" s="116">
        <f t="shared" si="55"/>
        <v>1066.1058874718271</v>
      </c>
      <c r="O243" s="115" t="str">
        <f t="shared" si="56"/>
        <v>OK</v>
      </c>
      <c r="P243">
        <f t="shared" si="57"/>
        <v>1144.8619285174093</v>
      </c>
      <c r="Q243">
        <f t="shared" si="58"/>
        <v>0.42093259392070081</v>
      </c>
      <c r="R243">
        <f t="shared" si="59"/>
        <v>0.6</v>
      </c>
      <c r="S243">
        <f t="shared" si="60"/>
        <v>1.0444444444444443</v>
      </c>
      <c r="T243" s="83">
        <f t="shared" si="61"/>
        <v>3</v>
      </c>
      <c r="U243" s="120">
        <f>IF($D243="",0,IFERROR(LOOKUP(2,1/(($D$3:D242=$D243)*($C$3:C242=$C243)*($A$3:A242&lt;$A243)),$AB$3:AB242),1000))</f>
        <v>1013.5282144640585</v>
      </c>
      <c r="V243" s="120">
        <f t="shared" si="62"/>
        <v>1060.9826445209983</v>
      </c>
      <c r="W243">
        <f t="shared" si="63"/>
        <v>1051.0824366727627</v>
      </c>
      <c r="X243">
        <f t="shared" si="64"/>
        <v>0.51424368943932341</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1009.6941424050542</v>
      </c>
      <c r="I244" s="117">
        <f t="shared" si="53"/>
        <v>0.5</v>
      </c>
      <c r="J244" s="118">
        <f>IF($D244="",0,IF($F244&lt;2,0,IF($E244="Win",('Guide &amp; Settings'!$C$42/(($F244-1)*COUNTIFS($A$4:$A$810,$A244,$E$4:$E$810,"Win")))*SUMIFS($X$4:$X$810,$A$4:$A$810,$A244,$E$4:$E$810,"Loss"),-('Guide &amp; Settings'!$C$42/($F244-1))*$X244)))</f>
        <v>18.575266185041961</v>
      </c>
      <c r="K244" s="118">
        <f>IF($D244="",0,'Guide &amp; Settings'!$C$43*(IF($E244="Win",1,0)-$I244))</f>
        <v>6</v>
      </c>
      <c r="L244" s="119">
        <f>IF($D244="",0,'Guide &amp; Settings'!$C$44*IF($F244&gt;=3,$F244,0))</f>
        <v>0</v>
      </c>
      <c r="M244" s="118">
        <f t="shared" si="54"/>
        <v>24.575266185041961</v>
      </c>
      <c r="N244" s="116">
        <f t="shared" si="55"/>
        <v>1034.2694085900962</v>
      </c>
      <c r="O244" s="115" t="str">
        <f t="shared" si="56"/>
        <v>OK</v>
      </c>
      <c r="P244">
        <f t="shared" si="57"/>
        <v>1009.6941424050542</v>
      </c>
      <c r="Q244">
        <f t="shared" si="58"/>
        <v>0.5</v>
      </c>
      <c r="R244">
        <f t="shared" si="59"/>
        <v>0.5</v>
      </c>
      <c r="S244">
        <f t="shared" si="60"/>
        <v>1</v>
      </c>
      <c r="T244" s="83">
        <f t="shared" si="61"/>
        <v>0</v>
      </c>
      <c r="U244" s="120">
        <f>IF($D244="",0,IFERROR(LOOKUP(2,1/(($D$3:D243=$D244)*($C$3:C243=$C244)*($A$3:A243&lt;$A244)),$AB$3:AB243),1000))</f>
        <v>1000</v>
      </c>
      <c r="V244" s="120">
        <f t="shared" si="62"/>
        <v>1009.6941424050542</v>
      </c>
      <c r="W244">
        <f t="shared" si="63"/>
        <v>1009.6941424050542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1066.1058874718271</v>
      </c>
      <c r="I245" s="117">
        <f t="shared" si="53"/>
        <v>0.5</v>
      </c>
      <c r="J245" s="118">
        <f>IF($D245="",0,IF($F245&lt;2,0,IF($E245="Win",('Guide &amp; Settings'!$C$42/(($F245-1)*COUNTIFS($A$4:$A$810,$A245,$E$4:$E$810,"Win")))*SUMIFS($X$4:$X$810,$A$4:$A$810,$A245,$E$4:$E$810,"Loss"),-('Guide &amp; Settings'!$C$42/($F245-1))*$X245)))</f>
        <v>-18.575266185041961</v>
      </c>
      <c r="K245" s="118">
        <f>IF($D245="",0,'Guide &amp; Settings'!$C$43*(IF($E245="Win",1,0)-$I245))</f>
        <v>-6</v>
      </c>
      <c r="L245" s="119">
        <f>IF($D245="",0,'Guide &amp; Settings'!$C$44*IF($F245&gt;=3,$F245,0))</f>
        <v>0</v>
      </c>
      <c r="M245" s="118">
        <f t="shared" si="54"/>
        <v>-24.575266185041961</v>
      </c>
      <c r="N245" s="116">
        <f t="shared" si="55"/>
        <v>1041.5306212867852</v>
      </c>
      <c r="O245" s="115" t="str">
        <f t="shared" si="56"/>
        <v>OK</v>
      </c>
      <c r="P245">
        <f t="shared" si="57"/>
        <v>1009.6941424050542</v>
      </c>
      <c r="Q245">
        <f t="shared" si="58"/>
        <v>0.58047706828256129</v>
      </c>
      <c r="R245">
        <f t="shared" si="59"/>
        <v>0.5</v>
      </c>
      <c r="S245">
        <f t="shared" si="60"/>
        <v>1</v>
      </c>
      <c r="T245" s="83">
        <f t="shared" si="61"/>
        <v>0</v>
      </c>
      <c r="U245" s="120">
        <f>IF($D245="",0,IFERROR(LOOKUP(2,1/(($D$3:D244=$D245)*($C$3:C244=$C245)*($A$3:A244&lt;$A245)),$AB$3:AB244),1000))</f>
        <v>1000</v>
      </c>
      <c r="V245" s="120">
        <f t="shared" si="62"/>
        <v>1066.1058874718271</v>
      </c>
      <c r="W245">
        <f t="shared" si="63"/>
        <v>1009.6941424050542</v>
      </c>
      <c r="X245">
        <f t="shared" si="64"/>
        <v>0.58047706828256129</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1041.5306212867852</v>
      </c>
      <c r="I246" s="117">
        <f t="shared" si="53"/>
        <v>0.5</v>
      </c>
      <c r="J246" s="118">
        <f>IF($D246="",0,IF($F246&lt;2,0,IF($E246="Win",('Guide &amp; Settings'!$C$42/(($F246-1)*COUNTIFS($A$4:$A$810,$A246,$E$4:$E$810,"Win")))*SUMIFS($X$4:$X$810,$A$4:$A$810,$A246,$E$4:$E$810,"Loss"),-('Guide &amp; Settings'!$C$42/($F246-1))*$X246)))</f>
        <v>21.174410514250127</v>
      </c>
      <c r="K246" s="118">
        <f>IF($D246="",0,'Guide &amp; Settings'!$C$43*(IF($E246="Win",1,0)-$I246))</f>
        <v>6</v>
      </c>
      <c r="L246" s="119">
        <f>IF($D246="",0,'Guide &amp; Settings'!$C$44*IF($F246&gt;=3,$F246,0))</f>
        <v>0</v>
      </c>
      <c r="M246" s="118">
        <f t="shared" si="54"/>
        <v>27.174410514250127</v>
      </c>
      <c r="N246" s="116">
        <f t="shared" si="55"/>
        <v>1068.7050318010354</v>
      </c>
      <c r="O246" s="115" t="str">
        <f t="shared" si="56"/>
        <v>OK</v>
      </c>
      <c r="P246">
        <f t="shared" si="57"/>
        <v>1041.5306212867852</v>
      </c>
      <c r="Q246">
        <f t="shared" si="58"/>
        <v>0.5</v>
      </c>
      <c r="R246">
        <f t="shared" si="59"/>
        <v>0.5</v>
      </c>
      <c r="S246">
        <f t="shared" si="60"/>
        <v>1</v>
      </c>
      <c r="T246" s="83">
        <f t="shared" si="61"/>
        <v>0</v>
      </c>
      <c r="U246" s="120">
        <f>IF($D246="",0,IFERROR(LOOKUP(2,1/(($D$3:D245=$D246)*($C$3:C245=$C246)*($A$3:A245&lt;$A246)),$AB$3:AB245),1000))</f>
        <v>1000</v>
      </c>
      <c r="V246" s="120">
        <f t="shared" si="62"/>
        <v>1041.5306212867852</v>
      </c>
      <c r="W246">
        <f t="shared" si="63"/>
        <v>1041.5306212867852</v>
      </c>
      <c r="X246">
        <f t="shared" si="64"/>
        <v>0.5</v>
      </c>
      <c r="Y246">
        <f t="shared" si="65"/>
        <v>1000</v>
      </c>
      <c r="Z246">
        <f t="shared" si="66"/>
        <v>0.5</v>
      </c>
      <c r="AA246">
        <f>IF($D246="",0,IF($F246&lt;2,0,IF($E246="Win",('Guide &amp; Settings'!$C$42/(($F246-1)*COUNTIFS($A$4:$A$810,$A246,$E$4:$E$810,"Win")))*SUMIFS($Z$4:$Z$810,$A$4:$A$810,$A246,$E$4:$E$810,"Loss"),-('Guide &amp; Settings'!$C$42/($F246-1))*$Z246)))</f>
        <v>16</v>
      </c>
      <c r="AB246" s="120">
        <f t="shared" si="67"/>
        <v>1016</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1158.0745310110758</v>
      </c>
      <c r="I247" s="117">
        <f t="shared" si="53"/>
        <v>0.5</v>
      </c>
      <c r="J247" s="118">
        <f>IF($D247="",0,IF($F247&lt;2,0,IF($E247="Win",('Guide &amp; Settings'!$C$42/(($F247-1)*COUNTIFS($A$4:$A$810,$A247,$E$4:$E$810,"Win")))*SUMIFS($X$4:$X$810,$A$4:$A$810,$A247,$E$4:$E$810,"Loss"),-('Guide &amp; Settings'!$C$42/($F247-1))*$X247)))</f>
        <v>-21.174410514250127</v>
      </c>
      <c r="K247" s="118">
        <f>IF($D247="",0,'Guide &amp; Settings'!$C$43*(IF($E247="Win",1,0)-$I247))</f>
        <v>-6</v>
      </c>
      <c r="L247" s="119">
        <f>IF($D247="",0,'Guide &amp; Settings'!$C$44*IF($F247&gt;=3,$F247,0))</f>
        <v>0</v>
      </c>
      <c r="M247" s="118">
        <f t="shared" si="54"/>
        <v>-27.174410514250127</v>
      </c>
      <c r="N247" s="116">
        <f t="shared" si="55"/>
        <v>1130.9001204968256</v>
      </c>
      <c r="O247" s="115" t="str">
        <f t="shared" si="56"/>
        <v>OK</v>
      </c>
      <c r="P247">
        <f t="shared" si="57"/>
        <v>1041.5306212867852</v>
      </c>
      <c r="Q247">
        <f t="shared" si="58"/>
        <v>0.66170032857031647</v>
      </c>
      <c r="R247">
        <f t="shared" si="59"/>
        <v>0.5</v>
      </c>
      <c r="S247">
        <f t="shared" si="60"/>
        <v>1</v>
      </c>
      <c r="T247" s="83">
        <f t="shared" si="61"/>
        <v>0</v>
      </c>
      <c r="U247" s="120">
        <f>IF($D247="",0,IFERROR(LOOKUP(2,1/(($D$3:D246=$D247)*($C$3:C246=$C247)*($A$3:A246&lt;$A247)),$AB$3:AB246),1000))</f>
        <v>1000</v>
      </c>
      <c r="V247" s="120">
        <f t="shared" si="62"/>
        <v>1158.0745310110758</v>
      </c>
      <c r="W247">
        <f t="shared" si="63"/>
        <v>1041.5306212867852</v>
      </c>
      <c r="X247">
        <f t="shared" si="64"/>
        <v>0.66170032857031647</v>
      </c>
      <c r="Y247">
        <f t="shared" si="65"/>
        <v>1000</v>
      </c>
      <c r="Z247">
        <f t="shared" si="66"/>
        <v>0.5</v>
      </c>
      <c r="AA247">
        <f>IF($D247="",0,IF($F247&lt;2,0,IF($E247="Win",('Guide &amp; Settings'!$C$42/(($F247-1)*COUNTIFS($A$4:$A$810,$A247,$E$4:$E$810,"Win")))*SUMIFS($Z$4:$Z$810,$A$4:$A$810,$A247,$E$4:$E$810,"Loss"),-('Guide &amp; Settings'!$C$42/($F247-1))*$Z247)))</f>
        <v>-16</v>
      </c>
      <c r="AB247" s="120">
        <f t="shared" si="67"/>
        <v>984</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1068.7050318010354</v>
      </c>
      <c r="I248" s="117">
        <f t="shared" si="53"/>
        <v>0.66666666666666663</v>
      </c>
      <c r="J248" s="118">
        <f>IF($D248="",0,IF($F248&lt;2,0,IF($E248="Win",('Guide &amp; Settings'!$C$42/(($F248-1)*COUNTIFS($A$4:$A$810,$A248,$E$4:$E$810,"Win")))*SUMIFS($X$4:$X$810,$A$4:$A$810,$A248,$E$4:$E$810,"Loss"),-('Guide &amp; Settings'!$C$42/($F248-1))*$X248)))</f>
        <v>18.12852394688333</v>
      </c>
      <c r="K248" s="118">
        <f>IF($D248="",0,'Guide &amp; Settings'!$C$43*(IF($E248="Win",1,0)-$I248))</f>
        <v>4</v>
      </c>
      <c r="L248" s="119">
        <f>IF($D248="",0,'Guide &amp; Settings'!$C$44*IF($F248&gt;=3,$F248,0))</f>
        <v>0</v>
      </c>
      <c r="M248" s="118">
        <f t="shared" si="54"/>
        <v>22.12852394688333</v>
      </c>
      <c r="N248" s="116">
        <f t="shared" si="55"/>
        <v>1090.8335557479188</v>
      </c>
      <c r="O248" s="115" t="str">
        <f t="shared" si="56"/>
        <v>OK</v>
      </c>
      <c r="P248">
        <f t="shared" si="57"/>
        <v>1068.7050318010354</v>
      </c>
      <c r="Q248">
        <f t="shared" si="58"/>
        <v>0.5</v>
      </c>
      <c r="R248">
        <f t="shared" si="59"/>
        <v>0.66666666666666663</v>
      </c>
      <c r="S248">
        <f t="shared" si="60"/>
        <v>1</v>
      </c>
      <c r="T248" s="83">
        <f t="shared" si="61"/>
        <v>1</v>
      </c>
      <c r="U248" s="120">
        <f>IF($D248="",0,IFERROR(LOOKUP(2,1/(($D$3:D247=$D248)*($C$3:C247=$C248)*($A$3:A247&lt;$A248)),$AB$3:AB247),1000))</f>
        <v>1016</v>
      </c>
      <c r="V248" s="120">
        <f t="shared" si="62"/>
        <v>1059.9208598341961</v>
      </c>
      <c r="W248">
        <f t="shared" si="63"/>
        <v>1059.9208598341961</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0">
        <f t="shared" si="67"/>
        <v>1030.5304984710244</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1130.9001204968256</v>
      </c>
      <c r="I249" s="117">
        <f t="shared" si="53"/>
        <v>0.33333333333333331</v>
      </c>
      <c r="J249" s="118">
        <f>IF($D249="",0,IF($F249&lt;2,0,IF($E249="Win",('Guide &amp; Settings'!$C$42/(($F249-1)*COUNTIFS($A$4:$A$810,$A249,$E$4:$E$810,"Win")))*SUMIFS($X$4:$X$810,$A$4:$A$810,$A249,$E$4:$E$810,"Loss"),-('Guide &amp; Settings'!$C$42/($F249-1))*$X249)))</f>
        <v>-18.12852394688333</v>
      </c>
      <c r="K249" s="118">
        <f>IF($D249="",0,'Guide &amp; Settings'!$C$43*(IF($E249="Win",1,0)-$I249))</f>
        <v>-4</v>
      </c>
      <c r="L249" s="119">
        <f>IF($D249="",0,'Guide &amp; Settings'!$C$44*IF($F249&gt;=3,$F249,0))</f>
        <v>0</v>
      </c>
      <c r="M249" s="118">
        <f t="shared" si="54"/>
        <v>-22.12852394688333</v>
      </c>
      <c r="N249" s="116">
        <f t="shared" si="55"/>
        <v>1108.7715965499422</v>
      </c>
      <c r="O249" s="115" t="str">
        <f t="shared" si="56"/>
        <v>OK</v>
      </c>
      <c r="P249">
        <f t="shared" si="57"/>
        <v>1068.7050318010354</v>
      </c>
      <c r="Q249">
        <f t="shared" si="58"/>
        <v>0.58856194598867784</v>
      </c>
      <c r="R249">
        <f t="shared" si="59"/>
        <v>0.33333333333333331</v>
      </c>
      <c r="S249">
        <f t="shared" si="60"/>
        <v>1</v>
      </c>
      <c r="T249" s="83">
        <f t="shared" si="61"/>
        <v>1</v>
      </c>
      <c r="U249" s="120">
        <f>IF($D249="",0,IFERROR(LOOKUP(2,1/(($D$3:D248=$D249)*($C$3:C248=$C249)*($A$3:A248&lt;$A249)),$AB$3:AB248),1000))</f>
        <v>984</v>
      </c>
      <c r="V249" s="120">
        <f t="shared" si="62"/>
        <v>1106.416767080688</v>
      </c>
      <c r="W249">
        <f t="shared" si="63"/>
        <v>1059.9208598341961</v>
      </c>
      <c r="X249">
        <f t="shared" si="64"/>
        <v>0.56651637334010407</v>
      </c>
      <c r="Y249">
        <f t="shared" si="65"/>
        <v>1016</v>
      </c>
      <c r="Z249">
        <f t="shared" si="66"/>
        <v>0.45407807721951632</v>
      </c>
      <c r="AA249">
        <f>IF($D249="",0,IF($F249&lt;2,0,IF($E249="Win",('Guide &amp; Settings'!$C$42/(($F249-1)*COUNTIFS($A$4:$A$810,$A249,$E$4:$E$810,"Win")))*SUMIFS($Z$4:$Z$810,$A$4:$A$810,$A249,$E$4:$E$810,"Loss"),-('Guide &amp; Settings'!$C$42/($F249-1))*$Z249)))</f>
        <v>-14.530498471024522</v>
      </c>
      <c r="AB249" s="120">
        <f t="shared" si="67"/>
        <v>969.46950152897546</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1108.7715965499422</v>
      </c>
      <c r="I250" s="117">
        <f t="shared" si="53"/>
        <v>0.25</v>
      </c>
      <c r="J250" s="118">
        <f>IF($D250="",0,IF($F250&lt;2,0,IF($E250="Win",('Guide &amp; Settings'!$C$42/(($F250-1)*COUNTIFS($A$4:$A$810,$A250,$E$4:$E$810,"Win")))*SUMIFS($X$4:$X$810,$A$4:$A$810,$A250,$E$4:$E$810,"Loss"),-('Guide &amp; Settings'!$C$42/($F250-1))*$X250)))</f>
        <v>16.213350084848507</v>
      </c>
      <c r="K250" s="118">
        <f>IF($D250="",0,'Guide &amp; Settings'!$C$43*(IF($E250="Win",1,0)-$I250))</f>
        <v>9</v>
      </c>
      <c r="L250" s="119">
        <f>IF($D250="",0,'Guide &amp; Settings'!$C$44*IF($F250&gt;=3,$F250,0))</f>
        <v>0</v>
      </c>
      <c r="M250" s="118">
        <f t="shared" si="54"/>
        <v>25.213350084848507</v>
      </c>
      <c r="N250" s="116">
        <f t="shared" si="55"/>
        <v>1133.9849466347907</v>
      </c>
      <c r="O250" s="115" t="str">
        <f t="shared" si="56"/>
        <v>OK</v>
      </c>
      <c r="P250">
        <f t="shared" si="57"/>
        <v>1108.7715965499422</v>
      </c>
      <c r="Q250">
        <f t="shared" si="58"/>
        <v>0.5</v>
      </c>
      <c r="R250">
        <f t="shared" si="59"/>
        <v>0.25</v>
      </c>
      <c r="S250">
        <f t="shared" si="60"/>
        <v>1</v>
      </c>
      <c r="T250" s="83">
        <f t="shared" si="61"/>
        <v>2</v>
      </c>
      <c r="U250" s="120">
        <f>IF($D250="",0,IFERROR(LOOKUP(2,1/(($D$3:D249=$D250)*($C$3:C249=$C250)*($A$3:A249&lt;$A250)),$AB$3:AB249),1000))</f>
        <v>969.46950152897546</v>
      </c>
      <c r="V250" s="120">
        <f t="shared" si="62"/>
        <v>1068.970997972523</v>
      </c>
      <c r="W250">
        <f t="shared" si="63"/>
        <v>1068.970997972523</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0">
        <f t="shared" si="67"/>
        <v>988.25286636638907</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1090.8335557479188</v>
      </c>
      <c r="I251" s="117">
        <f t="shared" si="53"/>
        <v>0.75</v>
      </c>
      <c r="J251" s="118">
        <f>IF($D251="",0,IF($F251&lt;2,0,IF($E251="Win",('Guide &amp; Settings'!$C$42/(($F251-1)*COUNTIFS($A$4:$A$810,$A251,$E$4:$E$810,"Win")))*SUMIFS($X$4:$X$810,$A$4:$A$810,$A251,$E$4:$E$810,"Loss"),-('Guide &amp; Settings'!$C$42/($F251-1))*$X251)))</f>
        <v>-16.213350084848507</v>
      </c>
      <c r="K251" s="118">
        <f>IF($D251="",0,'Guide &amp; Settings'!$C$43*(IF($E251="Win",1,0)-$I251))</f>
        <v>-9</v>
      </c>
      <c r="L251" s="119">
        <f>IF($D251="",0,'Guide &amp; Settings'!$C$44*IF($F251&gt;=3,$F251,0))</f>
        <v>0</v>
      </c>
      <c r="M251" s="118">
        <f t="shared" si="54"/>
        <v>-25.213350084848507</v>
      </c>
      <c r="N251" s="116">
        <f t="shared" si="55"/>
        <v>1065.6202056630702</v>
      </c>
      <c r="O251" s="115" t="str">
        <f t="shared" si="56"/>
        <v>OK</v>
      </c>
      <c r="P251">
        <f t="shared" si="57"/>
        <v>1108.7715965499422</v>
      </c>
      <c r="Q251">
        <f t="shared" si="58"/>
        <v>0.47420799747947673</v>
      </c>
      <c r="R251">
        <f t="shared" si="59"/>
        <v>0.75</v>
      </c>
      <c r="S251">
        <f t="shared" si="60"/>
        <v>1</v>
      </c>
      <c r="T251" s="83">
        <f t="shared" si="61"/>
        <v>2</v>
      </c>
      <c r="U251" s="120">
        <f>IF($D251="",0,IFERROR(LOOKUP(2,1/(($D$3:D250=$D251)*($C$3:C250=$C251)*($A$3:A250&lt;$A251)),$AB$3:AB250),1000))</f>
        <v>1030.5304984710244</v>
      </c>
      <c r="V251" s="120">
        <f t="shared" si="62"/>
        <v>1073.6041108116633</v>
      </c>
      <c r="W251">
        <f t="shared" si="63"/>
        <v>1068.970997972523</v>
      </c>
      <c r="X251">
        <f t="shared" si="64"/>
        <v>0.50666719015151584</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0">
        <f t="shared" si="67"/>
        <v>1011.7471336336108</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1133.9849466347907</v>
      </c>
      <c r="I252" s="117">
        <f t="shared" si="53"/>
        <v>0.4</v>
      </c>
      <c r="J252" s="118">
        <f>IF($D252="",0,IF($F252&lt;2,0,IF($E252="Win",('Guide &amp; Settings'!$C$42/(($F252-1)*COUNTIFS($A$4:$A$810,$A252,$E$4:$E$810,"Win")))*SUMIFS($X$4:$X$810,$A$4:$A$810,$A252,$E$4:$E$810,"Loss"),-('Guide &amp; Settings'!$C$42/($F252-1))*$X252)))</f>
        <v>14.442979302969768</v>
      </c>
      <c r="K252" s="118">
        <f>IF($D252="",0,'Guide &amp; Settings'!$C$43*(IF($E252="Win",1,0)-$I252))</f>
        <v>7.1999999999999993</v>
      </c>
      <c r="L252" s="119">
        <f>IF($D252="",0,'Guide &amp; Settings'!$C$44*IF($F252&gt;=3,$F252,0))</f>
        <v>0</v>
      </c>
      <c r="M252" s="118">
        <f t="shared" si="54"/>
        <v>21.642979302969767</v>
      </c>
      <c r="N252" s="116">
        <f t="shared" si="55"/>
        <v>1155.6279259377604</v>
      </c>
      <c r="O252" s="115" t="str">
        <f t="shared" si="56"/>
        <v>OK</v>
      </c>
      <c r="P252">
        <f t="shared" si="57"/>
        <v>1133.9849466347907</v>
      </c>
      <c r="Q252">
        <f t="shared" si="58"/>
        <v>0.5</v>
      </c>
      <c r="R252">
        <f t="shared" si="59"/>
        <v>0.4</v>
      </c>
      <c r="S252">
        <f t="shared" si="60"/>
        <v>1</v>
      </c>
      <c r="T252" s="83">
        <f t="shared" si="61"/>
        <v>3</v>
      </c>
      <c r="U252" s="120">
        <f>IF($D252="",0,IFERROR(LOOKUP(2,1/(($D$3:D251=$D252)*($C$3:C251=$C252)*($A$3:A251&lt;$A252)),$AB$3:AB251),1000))</f>
        <v>988.25286636638907</v>
      </c>
      <c r="V252" s="120">
        <f t="shared" si="62"/>
        <v>1079.3354165341402</v>
      </c>
      <c r="W252">
        <f t="shared" si="63"/>
        <v>1079.3354165341402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0">
        <f t="shared" si="67"/>
        <v>1005.3331712136038</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1065.6202056630702</v>
      </c>
      <c r="I253" s="117">
        <f t="shared" si="53"/>
        <v>0.6</v>
      </c>
      <c r="J253" s="118">
        <f>IF($D253="",0,IF($F253&lt;2,0,IF($E253="Win",('Guide &amp; Settings'!$C$42/(($F253-1)*COUNTIFS($A$4:$A$810,$A253,$E$4:$E$810,"Win")))*SUMIFS($X$4:$X$810,$A$4:$A$810,$A253,$E$4:$E$810,"Loss"),-('Guide &amp; Settings'!$C$42/($F253-1))*$X253)))</f>
        <v>-14.442979302969768</v>
      </c>
      <c r="K253" s="118">
        <f>IF($D253="",0,'Guide &amp; Settings'!$C$43*(IF($E253="Win",1,0)-$I253))</f>
        <v>-7.1999999999999993</v>
      </c>
      <c r="L253" s="119">
        <f>IF($D253="",0,'Guide &amp; Settings'!$C$44*IF($F253&gt;=3,$F253,0))</f>
        <v>0</v>
      </c>
      <c r="M253" s="118">
        <f t="shared" si="54"/>
        <v>-21.642979302969767</v>
      </c>
      <c r="N253" s="116">
        <f t="shared" si="55"/>
        <v>1043.9772263601005</v>
      </c>
      <c r="O253" s="115" t="str">
        <f t="shared" si="56"/>
        <v>OK</v>
      </c>
      <c r="P253">
        <f t="shared" si="57"/>
        <v>1133.9849466347907</v>
      </c>
      <c r="Q253">
        <f t="shared" si="58"/>
        <v>0.40286562946914495</v>
      </c>
      <c r="R253">
        <f t="shared" si="59"/>
        <v>0.6</v>
      </c>
      <c r="S253">
        <f t="shared" si="60"/>
        <v>1</v>
      </c>
      <c r="T253" s="83">
        <f t="shared" si="61"/>
        <v>3</v>
      </c>
      <c r="U253" s="120">
        <f>IF($D253="",0,IFERROR(LOOKUP(2,1/(($D$3:D252=$D253)*($C$3:C252=$C253)*($A$3:A252&lt;$A253)),$AB$3:AB252),1000))</f>
        <v>1011.7471336336108</v>
      </c>
      <c r="V253" s="120">
        <f t="shared" si="62"/>
        <v>1045.4178036520229</v>
      </c>
      <c r="W253">
        <f t="shared" si="63"/>
        <v>1079.3354165341402</v>
      </c>
      <c r="X253">
        <f t="shared" si="64"/>
        <v>0.45134310321780524</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0">
        <f t="shared" si="67"/>
        <v>994.66682878639608</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1043.9772263601005</v>
      </c>
      <c r="I254" s="117">
        <f t="shared" si="53"/>
        <v>0.6</v>
      </c>
      <c r="J254" s="118">
        <f>IF($D254="",0,IF($F254&lt;2,0,IF($E254="Win",('Guide &amp; Settings'!$C$42/(($F254-1)*COUNTIFS($A$4:$A$810,$A254,$E$4:$E$810,"Win")))*SUMIFS($X$4:$X$810,$A$4:$A$810,$A254,$E$4:$E$810,"Loss"),-('Guide &amp; Settings'!$C$42/($F254-1))*$X254)))</f>
        <v>21.12669703017124</v>
      </c>
      <c r="K254" s="118">
        <f>IF($D254="",0,'Guide &amp; Settings'!$C$43*(IF($E254="Win",1,0)-$I254))</f>
        <v>4.8000000000000007</v>
      </c>
      <c r="L254" s="119">
        <f>IF($D254="",0,'Guide &amp; Settings'!$C$44*IF($F254&gt;=3,$F254,0))</f>
        <v>0</v>
      </c>
      <c r="M254" s="118">
        <f t="shared" si="54"/>
        <v>25.92669703017124</v>
      </c>
      <c r="N254" s="116">
        <f t="shared" si="55"/>
        <v>1069.9039233902718</v>
      </c>
      <c r="O254" s="115" t="str">
        <f t="shared" si="56"/>
        <v>OK</v>
      </c>
      <c r="P254">
        <f t="shared" si="57"/>
        <v>1043.9772263601005</v>
      </c>
      <c r="Q254">
        <f t="shared" si="58"/>
        <v>0.5</v>
      </c>
      <c r="R254">
        <f t="shared" si="59"/>
        <v>0.75</v>
      </c>
      <c r="S254">
        <f t="shared" si="60"/>
        <v>1.25</v>
      </c>
      <c r="T254" s="83">
        <f t="shared" si="61"/>
        <v>2</v>
      </c>
      <c r="U254" s="120">
        <f>IF($D254="",0,IFERROR(LOOKUP(2,1/(($D$3:D253=$D254)*($C$3:C253=$C254)*($A$3:A253&lt;$A254)),$AB$3:AB253),1000))</f>
        <v>1030.8965137687414</v>
      </c>
      <c r="V254" s="120">
        <f t="shared" si="62"/>
        <v>1040.2398799054265</v>
      </c>
      <c r="W254">
        <f t="shared" si="63"/>
        <v>1040.2398799054265</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1155.6279259377604</v>
      </c>
      <c r="I255" s="117">
        <f t="shared" si="53"/>
        <v>0.4</v>
      </c>
      <c r="J255" s="118">
        <f>IF($D255="",0,IF($F255&lt;2,0,IF($E255="Win",('Guide &amp; Settings'!$C$42/(($F255-1)*COUNTIFS($A$4:$A$810,$A255,$E$4:$E$810,"Win")))*SUMIFS($X$4:$X$810,$A$4:$A$810,$A255,$E$4:$E$810,"Loss"),-('Guide &amp; Settings'!$C$42/($F255-1))*$X255)))</f>
        <v>-21.12669703017124</v>
      </c>
      <c r="K255" s="118">
        <f>IF($D255="",0,'Guide &amp; Settings'!$C$43*(IF($E255="Win",1,0)-$I255))</f>
        <v>-4.8000000000000007</v>
      </c>
      <c r="L255" s="119">
        <f>IF($D255="",0,'Guide &amp; Settings'!$C$44*IF($F255&gt;=3,$F255,0))</f>
        <v>0</v>
      </c>
      <c r="M255" s="118">
        <f t="shared" si="54"/>
        <v>-25.92669703017124</v>
      </c>
      <c r="N255" s="116">
        <f t="shared" si="55"/>
        <v>1129.7012289075892</v>
      </c>
      <c r="O255" s="115" t="str">
        <f t="shared" si="56"/>
        <v>OK</v>
      </c>
      <c r="P255">
        <f t="shared" si="57"/>
        <v>1043.9772263601005</v>
      </c>
      <c r="Q255">
        <f t="shared" si="58"/>
        <v>0.65536650080635572</v>
      </c>
      <c r="R255">
        <f t="shared" si="59"/>
        <v>0.5</v>
      </c>
      <c r="S255">
        <f t="shared" si="60"/>
        <v>1.25</v>
      </c>
      <c r="T255" s="83">
        <f t="shared" si="61"/>
        <v>0</v>
      </c>
      <c r="U255" s="120">
        <f>IF($D255="",0,IFERROR(LOOKUP(2,1/(($D$3:D254=$D255)*($C$3:C254=$C255)*($A$3:A254&lt;$A255)),$AB$3:AB254),1000))</f>
        <v>1000</v>
      </c>
      <c r="V255" s="120">
        <f t="shared" si="62"/>
        <v>1155.6279259377604</v>
      </c>
      <c r="W255">
        <f t="shared" si="63"/>
        <v>1040.2398799054265</v>
      </c>
      <c r="X255">
        <f t="shared" si="64"/>
        <v>0.66020928219285124</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1057.8442062146762</v>
      </c>
      <c r="I256" s="117">
        <f t="shared" si="53"/>
        <v>0.66666666666666663</v>
      </c>
      <c r="J256" s="118">
        <f>IF($D256="",0,IF($F256&lt;2,0,IF($E256="Win",('Guide &amp; Settings'!$C$42/(($F256-1)*COUNTIFS($A$4:$A$810,$A256,$E$4:$E$810,"Win")))*SUMIFS($X$4:$X$810,$A$4:$A$810,$A256,$E$4:$E$810,"Loss"),-('Guide &amp; Settings'!$C$42/($F256-1))*$X256)))</f>
        <v>-17.733001081920793</v>
      </c>
      <c r="K256" s="118">
        <f>IF($D256="",0,'Guide &amp; Settings'!$C$43*(IF($E256="Win",1,0)-$I256))</f>
        <v>-8</v>
      </c>
      <c r="L256" s="119">
        <f>IF($D256="",0,'Guide &amp; Settings'!$C$44*IF($F256&gt;=3,$F256,0))</f>
        <v>0</v>
      </c>
      <c r="M256" s="118">
        <f t="shared" si="54"/>
        <v>-25.733001081920793</v>
      </c>
      <c r="N256" s="116">
        <f t="shared" si="55"/>
        <v>1032.1112051327555</v>
      </c>
      <c r="O256" s="115" t="str">
        <f t="shared" si="56"/>
        <v>OK</v>
      </c>
      <c r="P256">
        <f t="shared" si="57"/>
        <v>1034.2694085900962</v>
      </c>
      <c r="Q256">
        <f t="shared" si="58"/>
        <v>0.53387488883488798</v>
      </c>
      <c r="R256">
        <f t="shared" si="59"/>
        <v>0.5</v>
      </c>
      <c r="S256">
        <f t="shared" si="60"/>
        <v>0.75</v>
      </c>
      <c r="T256" s="83">
        <f t="shared" si="61"/>
        <v>0</v>
      </c>
      <c r="U256" s="120">
        <f>IF($D256="",0,IFERROR(LOOKUP(2,1/(($D$3:D255=$D256)*($C$3:C255=$C256)*($A$3:A255&lt;$A256)),$AB$3:AB255),1000))</f>
        <v>1000</v>
      </c>
      <c r="V256" s="120">
        <f t="shared" si="62"/>
        <v>1057.8442062146762</v>
      </c>
      <c r="W256">
        <f t="shared" si="63"/>
        <v>1020.0643613116772</v>
      </c>
      <c r="X256">
        <f t="shared" si="64"/>
        <v>0.5541562838100248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1034.2694085900962</v>
      </c>
      <c r="I257" s="117">
        <f t="shared" si="53"/>
        <v>0.33333333333333331</v>
      </c>
      <c r="J257" s="118">
        <f>IF($D257="",0,IF($F257&lt;2,0,IF($E257="Win",('Guide &amp; Settings'!$C$42/(($F257-1)*COUNTIFS($A$4:$A$810,$A257,$E$4:$E$810,"Win")))*SUMIFS($X$4:$X$810,$A$4:$A$810,$A257,$E$4:$E$810,"Loss"),-('Guide &amp; Settings'!$C$42/($F257-1))*$X257)))</f>
        <v>17.733001081920793</v>
      </c>
      <c r="K257" s="118">
        <f>IF($D257="",0,'Guide &amp; Settings'!$C$43*(IF($E257="Win",1,0)-$I257))</f>
        <v>8</v>
      </c>
      <c r="L257" s="119">
        <f>IF($D257="",0,'Guide &amp; Settings'!$C$44*IF($F257&gt;=3,$F257,0))</f>
        <v>0</v>
      </c>
      <c r="M257" s="118">
        <f t="shared" si="54"/>
        <v>25.733001081920793</v>
      </c>
      <c r="N257" s="116">
        <f t="shared" si="55"/>
        <v>1060.0024096720169</v>
      </c>
      <c r="O257" s="115" t="str">
        <f t="shared" si="56"/>
        <v>OK</v>
      </c>
      <c r="P257">
        <f t="shared" si="57"/>
        <v>1034.2694085900962</v>
      </c>
      <c r="Q257">
        <f t="shared" si="58"/>
        <v>0.5</v>
      </c>
      <c r="R257">
        <f t="shared" si="59"/>
        <v>0.25</v>
      </c>
      <c r="S257">
        <f t="shared" si="60"/>
        <v>0.75</v>
      </c>
      <c r="T257" s="83">
        <f t="shared" si="61"/>
        <v>2</v>
      </c>
      <c r="U257" s="120">
        <f>IF($D257="",0,IFERROR(LOOKUP(2,1/(($D$3:D256=$D257)*($C$3:C256=$C257)*($A$3:A256&lt;$A257)),$AB$3:AB256),1000))</f>
        <v>984.55174311562928</v>
      </c>
      <c r="V257" s="120">
        <f t="shared" si="62"/>
        <v>1020.0643613116772</v>
      </c>
      <c r="W257">
        <f t="shared" si="63"/>
        <v>1020.0643613116772</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1032.1112051327555</v>
      </c>
      <c r="I258" s="117">
        <f t="shared" si="53"/>
        <v>0.45454545454545447</v>
      </c>
      <c r="J258" s="118">
        <f>IF($D258="",0,IF($F258&lt;2,0,IF($E258="Win",('Guide &amp; Settings'!$C$42/(($F258-1)*COUNTIFS($A$4:$A$810,$A258,$E$4:$E$810,"Win")))*SUMIFS($X$4:$X$810,$A$4:$A$810,$A258,$E$4:$E$810,"Loss"),-('Guide &amp; Settings'!$C$42/($F258-1))*$X258)))</f>
        <v>16.644413575007892</v>
      </c>
      <c r="K258" s="118">
        <f>IF($D258="",0,'Guide &amp; Settings'!$C$43*(IF($E258="Win",1,0)-$I258))</f>
        <v>6.5454545454545467</v>
      </c>
      <c r="L258" s="119">
        <f>IF($D258="",0,'Guide &amp; Settings'!$C$44*IF($F258&gt;=3,$F258,0))</f>
        <v>0</v>
      </c>
      <c r="M258" s="118">
        <f t="shared" si="54"/>
        <v>23.189868120462439</v>
      </c>
      <c r="N258" s="116">
        <f t="shared" si="55"/>
        <v>1055.301073253218</v>
      </c>
      <c r="O258" s="115" t="str">
        <f t="shared" si="56"/>
        <v>OK</v>
      </c>
      <c r="P258">
        <f t="shared" si="57"/>
        <v>1032.1112051327555</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1023.9741792669709</v>
      </c>
      <c r="W258">
        <f t="shared" si="63"/>
        <v>1023.9741792669709</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1060.0024096720169</v>
      </c>
      <c r="I259" s="117">
        <f t="shared" si="53"/>
        <v>0.54545454545454541</v>
      </c>
      <c r="J259" s="118">
        <f>IF($D259="",0,IF($F259&lt;2,0,IF($E259="Win",('Guide &amp; Settings'!$C$42/(($F259-1)*COUNTIFS($A$4:$A$810,$A259,$E$4:$E$810,"Win")))*SUMIFS($X$4:$X$810,$A$4:$A$810,$A259,$E$4:$E$810,"Loss"),-('Guide &amp; Settings'!$C$42/($F259-1))*$X259)))</f>
        <v>-16.644413575007892</v>
      </c>
      <c r="K259" s="118">
        <f>IF($D259="",0,'Guide &amp; Settings'!$C$43*(IF($E259="Win",1,0)-$I259))</f>
        <v>-6.545454545454545</v>
      </c>
      <c r="L259" s="119">
        <f>IF($D259="",0,'Guide &amp; Settings'!$C$44*IF($F259&gt;=3,$F259,0))</f>
        <v>0</v>
      </c>
      <c r="M259" s="118">
        <f t="shared" si="54"/>
        <v>-23.189868120462435</v>
      </c>
      <c r="N259" s="116">
        <f t="shared" si="55"/>
        <v>1036.8125415515544</v>
      </c>
      <c r="O259" s="115" t="str">
        <f t="shared" si="56"/>
        <v>OK</v>
      </c>
      <c r="P259">
        <f t="shared" si="57"/>
        <v>1032.1112051327555</v>
      </c>
      <c r="Q259">
        <f t="shared" si="58"/>
        <v>0.54005266766084803</v>
      </c>
      <c r="R259">
        <f t="shared" si="59"/>
        <v>0.4</v>
      </c>
      <c r="S259">
        <f t="shared" si="60"/>
        <v>0.73333333333333339</v>
      </c>
      <c r="T259" s="83">
        <f t="shared" si="61"/>
        <v>3</v>
      </c>
      <c r="U259" s="120">
        <f>IF($D259="",0,IFERROR(LOOKUP(2,1/(($D$3:D258=$D259)*($C$3:C258=$C259)*($A$3:A258&lt;$A259)),$AB$3:AB258),1000))</f>
        <v>1001.2626931775815</v>
      </c>
      <c r="V259" s="120">
        <f t="shared" si="62"/>
        <v>1037.9750159866037</v>
      </c>
      <c r="W259">
        <f t="shared" si="63"/>
        <v>1023.9741792669709</v>
      </c>
      <c r="X259">
        <f t="shared" si="64"/>
        <v>0.52013792421899663</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1055.301073253218</v>
      </c>
      <c r="I260" s="117">
        <f t="shared" ref="I260:I311" si="70">IF($D260="",0,IF($S260=0,0,$R260/$S260))</f>
        <v>0.61538461538461542</v>
      </c>
      <c r="J260" s="118">
        <f>IF($D260="",0,IF($F260&lt;2,0,IF($E260="Win",('Guide &amp; Settings'!$C$42/(($F260-1)*COUNTIFS($A$4:$A$810,$A260,$E$4:$E$810,"Win")))*SUMIFS($X$4:$X$810,$A$4:$A$810,$A260,$E$4:$E$810,"Loss"),-('Guide &amp; Settings'!$C$42/($F260-1))*$X260)))</f>
        <v>13.830530634922741</v>
      </c>
      <c r="K260" s="118">
        <f>IF($D260="",0,'Guide &amp; Settings'!$C$43*(IF($E260="Win",1,0)-$I260))</f>
        <v>4.615384615384615</v>
      </c>
      <c r="L260" s="119">
        <f>IF($D260="",0,'Guide &amp; Settings'!$C$44*IF($F260&gt;=3,$F260,0))</f>
        <v>0</v>
      </c>
      <c r="M260" s="118">
        <f t="shared" ref="M260:M311" si="71">IF($D260="",0,$J260+$K260+$L260)</f>
        <v>18.445915250307358</v>
      </c>
      <c r="N260" s="116">
        <f t="shared" ref="N260:N311" si="72">IF($D260="",0,$H260+$M260)</f>
        <v>1073.7469885035252</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1055.301073253218</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1052.0151916370105</v>
      </c>
      <c r="W260">
        <f t="shared" ref="W260:W311" si="80">IF($D260="",0,IFERROR(SUMIFS($V$4:$V$810,$A$4:$A$810,$A260,$E$4:$E$810,"Win")/COUNTIFS($A$4:$A$810,$A260,$E$4:$E$810,"Win"),0))</f>
        <v>1052.0151916370105</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1036.8125415515544</v>
      </c>
      <c r="I261" s="117">
        <f t="shared" si="70"/>
        <v>0.38461538461538458</v>
      </c>
      <c r="J261" s="118">
        <f>IF($D261="",0,IF($F261&lt;2,0,IF($E261="Win",('Guide &amp; Settings'!$C$42/(($F261-1)*COUNTIFS($A$4:$A$810,$A261,$E$4:$E$810,"Win")))*SUMIFS($X$4:$X$810,$A$4:$A$810,$A261,$E$4:$E$810,"Loss"),-('Guide &amp; Settings'!$C$42/($F261-1))*$X261)))</f>
        <v>-13.830530634922741</v>
      </c>
      <c r="K261" s="118">
        <f>IF($D261="",0,'Guide &amp; Settings'!$C$43*(IF($E261="Win",1,0)-$I261))</f>
        <v>-4.615384615384615</v>
      </c>
      <c r="L261" s="119">
        <f>IF($D261="",0,'Guide &amp; Settings'!$C$44*IF($F261&gt;=3,$F261,0))</f>
        <v>0</v>
      </c>
      <c r="M261" s="118">
        <f t="shared" si="71"/>
        <v>-18.445915250307358</v>
      </c>
      <c r="N261" s="116">
        <f t="shared" si="72"/>
        <v>1018.366626301247</v>
      </c>
      <c r="O261" s="115" t="str">
        <f t="shared" si="73"/>
        <v>OK</v>
      </c>
      <c r="P261">
        <f t="shared" si="74"/>
        <v>1055.301073253218</v>
      </c>
      <c r="Q261">
        <f t="shared" si="75"/>
        <v>0.47341795065145509</v>
      </c>
      <c r="R261">
        <f t="shared" si="76"/>
        <v>0.5</v>
      </c>
      <c r="S261">
        <f t="shared" si="77"/>
        <v>1.3</v>
      </c>
      <c r="T261" s="83">
        <f t="shared" si="78"/>
        <v>8</v>
      </c>
      <c r="U261" s="120">
        <f>IF($D261="",0,IFERROR(LOOKUP(2,1/(($D$3:D260=$D261)*($C$3:C260=$C261)*($A$3:A260&lt;$A261)),$AB$3:AB260),1000))</f>
        <v>984.48963725383635</v>
      </c>
      <c r="V261" s="120">
        <f t="shared" si="79"/>
        <v>1004.6138312144972</v>
      </c>
      <c r="W261">
        <f t="shared" si="80"/>
        <v>1052.0151916370105</v>
      </c>
      <c r="X261">
        <f t="shared" si="81"/>
        <v>0.43220408234133567</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1073.7469885035252</v>
      </c>
      <c r="I262" s="117">
        <f t="shared" si="70"/>
        <v>0.6470588235294118</v>
      </c>
      <c r="J262" s="118">
        <f>IF($D262="",0,IF($F262&lt;2,0,IF($E262="Win",('Guide &amp; Settings'!$C$42/(($F262-1)*COUNTIFS($A$4:$A$810,$A262,$E$4:$E$810,"Win")))*SUMIFS($X$4:$X$810,$A$4:$A$810,$A262,$E$4:$E$810,"Loss"),-('Guide &amp; Settings'!$C$42/($F262-1))*$X262)))</f>
        <v>-19.593643479470582</v>
      </c>
      <c r="K262" s="118">
        <f>IF($D262="",0,'Guide &amp; Settings'!$C$43*(IF($E262="Win",1,0)-$I262))</f>
        <v>-7.764705882352942</v>
      </c>
      <c r="L262" s="119">
        <f>IF($D262="",0,'Guide &amp; Settings'!$C$44*IF($F262&gt;=3,$F262,0))</f>
        <v>0</v>
      </c>
      <c r="M262" s="118">
        <f t="shared" si="71"/>
        <v>-27.358349361823525</v>
      </c>
      <c r="N262" s="116">
        <f t="shared" si="72"/>
        <v>1046.3886391417018</v>
      </c>
      <c r="O262" s="115" t="str">
        <f t="shared" si="73"/>
        <v>OK</v>
      </c>
      <c r="P262">
        <f t="shared" si="74"/>
        <v>1018.366626301247</v>
      </c>
      <c r="Q262">
        <f t="shared" si="75"/>
        <v>0.5790305542148666</v>
      </c>
      <c r="R262">
        <f t="shared" si="76"/>
        <v>0.83333333333333337</v>
      </c>
      <c r="S262">
        <f t="shared" si="77"/>
        <v>1.2878787878787878</v>
      </c>
      <c r="T262" s="83">
        <f t="shared" si="78"/>
        <v>4</v>
      </c>
      <c r="U262" s="120">
        <f>IF($D262="",0,IFERROR(LOOKUP(2,1/(($D$3:D261=$D262)*($C$3:C261=$C262)*($A$3:A261&lt;$A262)),$AB$3:AB261),1000))</f>
        <v>1059.7112532647241</v>
      </c>
      <c r="V262" s="120">
        <f t="shared" si="79"/>
        <v>1067.5088839529469</v>
      </c>
      <c r="W262">
        <f t="shared" si="80"/>
        <v>988.12050627844474</v>
      </c>
      <c r="X262">
        <f t="shared" si="81"/>
        <v>0.6123013587334557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1018.366626301247</v>
      </c>
      <c r="I263" s="117">
        <f t="shared" si="70"/>
        <v>0.35294117647058826</v>
      </c>
      <c r="J263" s="118">
        <f>IF($D263="",0,IF($F263&lt;2,0,IF($E263="Win",('Guide &amp; Settings'!$C$42/(($F263-1)*COUNTIFS($A$4:$A$810,$A263,$E$4:$E$810,"Win")))*SUMIFS($X$4:$X$810,$A$4:$A$810,$A263,$E$4:$E$810,"Loss"),-('Guide &amp; Settings'!$C$42/($F263-1))*$X263)))</f>
        <v>19.593643479470582</v>
      </c>
      <c r="K263" s="118">
        <f>IF($D263="",0,'Guide &amp; Settings'!$C$43*(IF($E263="Win",1,0)-$I263))</f>
        <v>7.7647058823529402</v>
      </c>
      <c r="L263" s="119">
        <f>IF($D263="",0,'Guide &amp; Settings'!$C$44*IF($F263&gt;=3,$F263,0))</f>
        <v>0</v>
      </c>
      <c r="M263" s="118">
        <f t="shared" si="71"/>
        <v>27.358349361823521</v>
      </c>
      <c r="N263" s="116">
        <f t="shared" si="72"/>
        <v>1045.7249756630706</v>
      </c>
      <c r="O263" s="115" t="str">
        <f t="shared" si="73"/>
        <v>OK</v>
      </c>
      <c r="P263">
        <f t="shared" si="74"/>
        <v>1018.366626301247</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988.12050627844474</v>
      </c>
      <c r="W263">
        <f t="shared" si="80"/>
        <v>988.12050627844474</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1046.3886391417018</v>
      </c>
      <c r="I264" s="117">
        <f t="shared" si="70"/>
        <v>0.58823529411764697</v>
      </c>
      <c r="J264" s="118">
        <f>IF($D264="",0,IF($F264&lt;2,0,IF($E264="Win",('Guide &amp; Settings'!$C$42/(($F264-1)*COUNTIFS($A$4:$A$810,$A264,$E$4:$E$810,"Win")))*SUMIFS($X$4:$X$810,$A$4:$A$810,$A264,$E$4:$E$810,"Loss"),-('Guide &amp; Settings'!$C$42/($F264-1))*$X264)))</f>
        <v>-17.543182947030239</v>
      </c>
      <c r="K264" s="118">
        <f>IF($D264="",0,'Guide &amp; Settings'!$C$43*(IF($E264="Win",1,0)-$I264))</f>
        <v>-7.0588235294117636</v>
      </c>
      <c r="L264" s="119">
        <f>IF($D264="",0,'Guide &amp; Settings'!$C$44*IF($F264&gt;=3,$F264,0))</f>
        <v>0</v>
      </c>
      <c r="M264" s="118">
        <f t="shared" si="71"/>
        <v>-24.602006476442003</v>
      </c>
      <c r="N264" s="116">
        <f t="shared" si="72"/>
        <v>1021.7866326652597</v>
      </c>
      <c r="O264" s="115" t="str">
        <f t="shared" si="73"/>
        <v>OK</v>
      </c>
      <c r="P264">
        <f t="shared" si="74"/>
        <v>1045.7249756630706</v>
      </c>
      <c r="Q264">
        <f t="shared" si="75"/>
        <v>0.5009550873587798</v>
      </c>
      <c r="R264">
        <f t="shared" si="76"/>
        <v>0.7142857142857143</v>
      </c>
      <c r="S264">
        <f t="shared" si="77"/>
        <v>1.2142857142857144</v>
      </c>
      <c r="T264" s="83">
        <f t="shared" si="78"/>
        <v>5</v>
      </c>
      <c r="U264" s="120">
        <f>IF($D264="",0,IFERROR(LOOKUP(2,1/(($D$3:D263=$D264)*($C$3:C263=$C264)*($A$3:A263&lt;$A264)),$AB$3:AB263),1000))</f>
        <v>1039.7261670468827</v>
      </c>
      <c r="V264" s="120">
        <f t="shared" si="79"/>
        <v>1043.0574030942921</v>
      </c>
      <c r="W264">
        <f t="shared" si="80"/>
        <v>1009.4431202101023</v>
      </c>
      <c r="X264">
        <f t="shared" si="81"/>
        <v>0.54822446709469497</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1045.7249756630706</v>
      </c>
      <c r="I265" s="117">
        <f t="shared" si="70"/>
        <v>0.41176470588235292</v>
      </c>
      <c r="J265" s="118">
        <f>IF($D265="",0,IF($F265&lt;2,0,IF($E265="Win",('Guide &amp; Settings'!$C$42/(($F265-1)*COUNTIFS($A$4:$A$810,$A265,$E$4:$E$810,"Win")))*SUMIFS($X$4:$X$810,$A$4:$A$810,$A265,$E$4:$E$810,"Loss"),-('Guide &amp; Settings'!$C$42/($F265-1))*$X265)))</f>
        <v>17.543182947030239</v>
      </c>
      <c r="K265" s="118">
        <f>IF($D265="",0,'Guide &amp; Settings'!$C$43*(IF($E265="Win",1,0)-$I265))</f>
        <v>7.0588235294117645</v>
      </c>
      <c r="L265" s="119">
        <f>IF($D265="",0,'Guide &amp; Settings'!$C$44*IF($F265&gt;=3,$F265,0))</f>
        <v>0</v>
      </c>
      <c r="M265" s="118">
        <f t="shared" si="71"/>
        <v>24.602006476442003</v>
      </c>
      <c r="N265" s="116">
        <f t="shared" si="72"/>
        <v>1070.3269821395127</v>
      </c>
      <c r="O265" s="115" t="str">
        <f t="shared" si="73"/>
        <v>OK</v>
      </c>
      <c r="P265">
        <f t="shared" si="74"/>
        <v>1045.7249756630706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1009.4431202101023</v>
      </c>
      <c r="W265">
        <f t="shared" si="80"/>
        <v>1009.4431202101023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1021.7866326652597</v>
      </c>
      <c r="I266" s="117">
        <f t="shared" si="70"/>
        <v>0.5371900826446282</v>
      </c>
      <c r="J266" s="118">
        <f>IF($D266="",0,IF($F266&lt;2,0,IF($E266="Win",('Guide &amp; Settings'!$C$42/(($F266-1)*COUNTIFS($A$4:$A$810,$A266,$E$4:$E$810,"Win")))*SUMIFS($X$4:$X$810,$A$4:$A$810,$A266,$E$4:$E$810,"Loss"),-('Guide &amp; Settings'!$C$42/($F266-1))*$X266)))</f>
        <v>16.317011079932236</v>
      </c>
      <c r="K266" s="118">
        <f>IF($D266="",0,'Guide &amp; Settings'!$C$43*(IF($E266="Win",1,0)-$I266))</f>
        <v>5.5537190082644621</v>
      </c>
      <c r="L266" s="119">
        <f>IF($D266="",0,'Guide &amp; Settings'!$C$44*IF($F266&gt;=3,$F266,0))</f>
        <v>0</v>
      </c>
      <c r="M266" s="118">
        <f t="shared" si="71"/>
        <v>21.870730088196698</v>
      </c>
      <c r="N266" s="116">
        <f t="shared" si="72"/>
        <v>1043.6573627534565</v>
      </c>
      <c r="O266" s="115" t="str">
        <f t="shared" si="73"/>
        <v>OK</v>
      </c>
      <c r="P266">
        <f t="shared" si="74"/>
        <v>1021.7866326652597</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1021.6360088200665</v>
      </c>
      <c r="W266">
        <f t="shared" si="80"/>
        <v>1021.6360088200665</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1070.3269821395127</v>
      </c>
      <c r="I267" s="117">
        <f t="shared" si="70"/>
        <v>0.46280991735537191</v>
      </c>
      <c r="J267" s="118">
        <f>IF($D267="",0,IF($F267&lt;2,0,IF($E267="Win",('Guide &amp; Settings'!$C$42/(($F267-1)*COUNTIFS($A$4:$A$810,$A267,$E$4:$E$810,"Win")))*SUMIFS($X$4:$X$810,$A$4:$A$810,$A267,$E$4:$E$810,"Loss"),-('Guide &amp; Settings'!$C$42/($F267-1))*$X267)))</f>
        <v>-16.317011079932236</v>
      </c>
      <c r="K267" s="118">
        <f>IF($D267="",0,'Guide &amp; Settings'!$C$43*(IF($E267="Win",1,0)-$I267))</f>
        <v>-5.553719008264463</v>
      </c>
      <c r="L267" s="119">
        <f>IF($D267="",0,'Guide &amp; Settings'!$C$44*IF($F267&gt;=3,$F267,0))</f>
        <v>0</v>
      </c>
      <c r="M267" s="118">
        <f t="shared" si="71"/>
        <v>-21.870730088196698</v>
      </c>
      <c r="N267" s="116">
        <f t="shared" si="72"/>
        <v>1048.4562520513159</v>
      </c>
      <c r="O267" s="115" t="str">
        <f t="shared" si="73"/>
        <v>OK</v>
      </c>
      <c r="P267">
        <f t="shared" si="74"/>
        <v>1021.7866326652597</v>
      </c>
      <c r="Q267">
        <f t="shared" si="75"/>
        <v>0.56940419823933552</v>
      </c>
      <c r="R267">
        <f t="shared" si="76"/>
        <v>0.53846153846153844</v>
      </c>
      <c r="S267">
        <f t="shared" si="77"/>
        <v>1.1634615384615383</v>
      </c>
      <c r="T267" s="83">
        <f t="shared" si="78"/>
        <v>11</v>
      </c>
      <c r="U267" s="120">
        <f>IF($D267="",0,IFERROR(LOOKUP(2,1/(($D$3:D266=$D267)*($C$3:C266=$C267)*($A$3:A266&lt;$A267)),$AB$3:AB266),1000))</f>
        <v>1009.5178705814286</v>
      </c>
      <c r="V267" s="120">
        <f t="shared" si="79"/>
        <v>1028.5207179433298</v>
      </c>
      <c r="W267">
        <f t="shared" si="80"/>
        <v>1021.6360088200665</v>
      </c>
      <c r="X267">
        <f t="shared" si="81"/>
        <v>0.50990659624788237</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1043.6573627534565</v>
      </c>
      <c r="I268" s="117">
        <f t="shared" si="70"/>
        <v>0.57142857142857151</v>
      </c>
      <c r="J268" s="118">
        <f>IF($D268="",0,IF($F268&lt;2,0,IF($E268="Win",('Guide &amp; Settings'!$C$42/(($F268-1)*COUNTIFS($A$4:$A$810,$A268,$E$4:$E$810,"Win")))*SUMIFS($X$4:$X$810,$A$4:$A$810,$A268,$E$4:$E$810,"Loss"),-('Guide &amp; Settings'!$C$42/($F268-1))*$X268)))</f>
        <v>14.636329541157044</v>
      </c>
      <c r="K268" s="118">
        <f>IF($D268="",0,'Guide &amp; Settings'!$C$43*(IF($E268="Win",1,0)-$I268))</f>
        <v>5.1428571428571423</v>
      </c>
      <c r="L268" s="119">
        <f>IF($D268="",0,'Guide &amp; Settings'!$C$44*IF($F268&gt;=3,$F268,0))</f>
        <v>0</v>
      </c>
      <c r="M268" s="118">
        <f t="shared" si="71"/>
        <v>19.779186684014185</v>
      </c>
      <c r="N268" s="116">
        <f t="shared" si="72"/>
        <v>1063.4365494374706</v>
      </c>
      <c r="O268" s="115" t="str">
        <f t="shared" si="73"/>
        <v>OK</v>
      </c>
      <c r="P268">
        <f t="shared" si="74"/>
        <v>1043.6573627534565</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1039.7496506383686</v>
      </c>
      <c r="W268">
        <f t="shared" si="80"/>
        <v>1039.7496506383686</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1048.4562520513159</v>
      </c>
      <c r="I269" s="117">
        <f t="shared" si="70"/>
        <v>0.4285714285714286</v>
      </c>
      <c r="J269" s="118">
        <f>IF($D269="",0,IF($F269&lt;2,0,IF($E269="Win",('Guide &amp; Settings'!$C$42/(($F269-1)*COUNTIFS($A$4:$A$810,$A269,$E$4:$E$810,"Win")))*SUMIFS($X$4:$X$810,$A$4:$A$810,$A269,$E$4:$E$810,"Loss"),-('Guide &amp; Settings'!$C$42/($F269-1))*$X269)))</f>
        <v>-14.636329541157044</v>
      </c>
      <c r="K269" s="118">
        <f>IF($D269="",0,'Guide &amp; Settings'!$C$43*(IF($E269="Win",1,0)-$I269))</f>
        <v>-5.1428571428571432</v>
      </c>
      <c r="L269" s="119">
        <f>IF($D269="",0,'Guide &amp; Settings'!$C$44*IF($F269&gt;=3,$F269,0))</f>
        <v>0</v>
      </c>
      <c r="M269" s="118">
        <f t="shared" si="71"/>
        <v>-19.779186684014189</v>
      </c>
      <c r="N269" s="116">
        <f t="shared" si="72"/>
        <v>1028.6770653673018</v>
      </c>
      <c r="O269" s="115" t="str">
        <f t="shared" si="73"/>
        <v>OK</v>
      </c>
      <c r="P269">
        <f t="shared" si="74"/>
        <v>1043.6573627534565</v>
      </c>
      <c r="Q269">
        <f t="shared" si="75"/>
        <v>0.5069057176980678</v>
      </c>
      <c r="R269">
        <f t="shared" si="76"/>
        <v>0.5</v>
      </c>
      <c r="S269">
        <f t="shared" si="77"/>
        <v>1.1666666666666665</v>
      </c>
      <c r="T269" s="83">
        <f t="shared" si="78"/>
        <v>12</v>
      </c>
      <c r="U269" s="120">
        <f>IF($D269="",0,IFERROR(LOOKUP(2,1/(($D$3:D268=$D269)*($C$3:C268=$C269)*($A$3:A268&lt;$A269)),$AB$3:AB268),1000))</f>
        <v>994.06993183148052</v>
      </c>
      <c r="V269" s="120">
        <f t="shared" si="79"/>
        <v>1010.0659083667263</v>
      </c>
      <c r="W269">
        <f t="shared" si="80"/>
        <v>1039.7496506383686</v>
      </c>
      <c r="X269">
        <f t="shared" si="81"/>
        <v>0.45738529816115764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1063.4365494374706</v>
      </c>
      <c r="I270" s="117">
        <f t="shared" si="70"/>
        <v>0.60000000000000009</v>
      </c>
      <c r="J270" s="118">
        <f>IF($D270="",0,IF($F270&lt;2,0,IF($E270="Win",('Guide &amp; Settings'!$C$42/(($F270-1)*COUNTIFS($A$4:$A$810,$A270,$E$4:$E$810,"Win")))*SUMIFS($X$4:$X$810,$A$4:$A$810,$A270,$E$4:$E$810,"Loss"),-('Guide &amp; Settings'!$C$42/($F270-1))*$X270)))</f>
        <v>14.059349483953781</v>
      </c>
      <c r="K270" s="118">
        <f>IF($D270="",0,'Guide &amp; Settings'!$C$43*(IF($E270="Win",1,0)-$I270))</f>
        <v>4.7999999999999989</v>
      </c>
      <c r="L270" s="119">
        <f>IF($D270="",0,'Guide &amp; Settings'!$C$44*IF($F270&gt;=3,$F270,0))</f>
        <v>0</v>
      </c>
      <c r="M270" s="118">
        <f t="shared" si="71"/>
        <v>18.859349483953778</v>
      </c>
      <c r="N270" s="116">
        <f t="shared" si="72"/>
        <v>1082.2958989214244</v>
      </c>
      <c r="O270" s="115" t="str">
        <f t="shared" si="73"/>
        <v>OK</v>
      </c>
      <c r="P270">
        <f t="shared" si="74"/>
        <v>1063.4365494374706</v>
      </c>
      <c r="Q270">
        <f t="shared" si="75"/>
        <v>0.5</v>
      </c>
      <c r="R270">
        <f t="shared" si="76"/>
        <v>0.5</v>
      </c>
      <c r="S270">
        <f t="shared" si="77"/>
        <v>0.83333333333333326</v>
      </c>
      <c r="T270" s="83">
        <f t="shared" si="78"/>
        <v>0</v>
      </c>
      <c r="U270" s="120">
        <f>IF($D270="",0,IFERROR(LOOKUP(2,1/(($D$3:D269=$D270)*($C$3:C269=$C270)*($A$3:A269&lt;$A270)),$AB$3:AB269),1000))</f>
        <v>1000</v>
      </c>
      <c r="V270" s="120">
        <f t="shared" si="79"/>
        <v>1063.4365494374706</v>
      </c>
      <c r="W270">
        <f t="shared" si="80"/>
        <v>1063.4365494374706</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0">
        <f t="shared" si="84"/>
        <v>1015.2241251357667</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1028.6770653673018</v>
      </c>
      <c r="I271" s="117">
        <f t="shared" si="70"/>
        <v>0.4</v>
      </c>
      <c r="J271" s="118">
        <f>IF($D271="",0,IF($F271&lt;2,0,IF($E271="Win",('Guide &amp; Settings'!$C$42/(($F271-1)*COUNTIFS($A$4:$A$810,$A271,$E$4:$E$810,"Win")))*SUMIFS($X$4:$X$810,$A$4:$A$810,$A271,$E$4:$E$810,"Loss"),-('Guide &amp; Settings'!$C$42/($F271-1))*$X271)))</f>
        <v>-14.059349483953781</v>
      </c>
      <c r="K271" s="118">
        <f>IF($D271="",0,'Guide &amp; Settings'!$C$43*(IF($E271="Win",1,0)-$I271))</f>
        <v>-4.8000000000000007</v>
      </c>
      <c r="L271" s="119">
        <f>IF($D271="",0,'Guide &amp; Settings'!$C$44*IF($F271&gt;=3,$F271,0))</f>
        <v>0</v>
      </c>
      <c r="M271" s="118">
        <f t="shared" si="71"/>
        <v>-18.859349483953782</v>
      </c>
      <c r="N271" s="116">
        <f t="shared" si="72"/>
        <v>1009.817715883348</v>
      </c>
      <c r="O271" s="115" t="str">
        <f t="shared" si="73"/>
        <v>OK</v>
      </c>
      <c r="P271">
        <f t="shared" si="74"/>
        <v>1063.4365494374706</v>
      </c>
      <c r="Q271">
        <f t="shared" si="75"/>
        <v>0.45014331179594574</v>
      </c>
      <c r="R271">
        <f t="shared" si="76"/>
        <v>0.33333333333333331</v>
      </c>
      <c r="S271">
        <f t="shared" si="77"/>
        <v>0.83333333333333326</v>
      </c>
      <c r="T271" s="83">
        <f t="shared" si="78"/>
        <v>1</v>
      </c>
      <c r="U271" s="120">
        <f>IF($D271="",0,IFERROR(LOOKUP(2,1/(($D$3:D270=$D271)*($C$3:C270=$C271)*($A$3:A270&lt;$A271)),$AB$3:AB270),1000))</f>
        <v>983.13886682309521</v>
      </c>
      <c r="V271" s="120">
        <f t="shared" si="79"/>
        <v>1021.0873656099341</v>
      </c>
      <c r="W271">
        <f t="shared" si="80"/>
        <v>1063.4365494374706</v>
      </c>
      <c r="X271">
        <f t="shared" si="81"/>
        <v>0.43935467137355566</v>
      </c>
      <c r="Y271">
        <f t="shared" si="82"/>
        <v>1000</v>
      </c>
      <c r="Z271">
        <f t="shared" si="83"/>
        <v>0.4757539104927081</v>
      </c>
      <c r="AA271">
        <f>IF($D271="",0,IF($F271&lt;2,0,IF($E271="Win",('Guide &amp; Settings'!$C$42/(($F271-1)*COUNTIFS($A$4:$A$810,$A271,$E$4:$E$810,"Win")))*SUMIFS($Z$4:$Z$810,$A$4:$A$810,$A271,$E$4:$E$810,"Loss"),-('Guide &amp; Settings'!$C$42/($F271-1))*$Z271)))</f>
        <v>-15.224125135766659</v>
      </c>
      <c r="AB271" s="120">
        <f t="shared" si="84"/>
        <v>967.9147416873285</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1082.2958989214244</v>
      </c>
      <c r="I272" s="117">
        <f t="shared" si="70"/>
        <v>0.72727272727272729</v>
      </c>
      <c r="J272" s="118">
        <f>IF($D272="",0,IF($F272&lt;2,0,IF($E272="Win",('Guide &amp; Settings'!$C$42/(($F272-1)*COUNTIFS($A$4:$A$810,$A272,$E$4:$E$810,"Win")))*SUMIFS($X$4:$X$810,$A$4:$A$810,$A272,$E$4:$E$810,"Loss"),-('Guide &amp; Settings'!$C$42/($F272-1))*$X272)))</f>
        <v>12.674858180200337</v>
      </c>
      <c r="K272" s="118">
        <f>IF($D272="",0,'Guide &amp; Settings'!$C$43*(IF($E272="Win",1,0)-$I272))</f>
        <v>3.2727272727272725</v>
      </c>
      <c r="L272" s="119">
        <f>IF($D272="",0,'Guide &amp; Settings'!$C$44*IF($F272&gt;=3,$F272,0))</f>
        <v>0</v>
      </c>
      <c r="M272" s="118">
        <f t="shared" si="71"/>
        <v>15.947585452927608</v>
      </c>
      <c r="N272" s="116">
        <f t="shared" si="72"/>
        <v>1098.243484374352</v>
      </c>
      <c r="O272" s="115" t="str">
        <f t="shared" si="73"/>
        <v>OK</v>
      </c>
      <c r="P272">
        <f t="shared" si="74"/>
        <v>1082.2958989214244</v>
      </c>
      <c r="Q272">
        <f t="shared" si="75"/>
        <v>0.5</v>
      </c>
      <c r="R272">
        <f t="shared" si="76"/>
        <v>0.66666666666666663</v>
      </c>
      <c r="S272">
        <f t="shared" si="77"/>
        <v>0.91666666666666663</v>
      </c>
      <c r="T272" s="83">
        <f t="shared" si="78"/>
        <v>1</v>
      </c>
      <c r="U272" s="120">
        <f>IF($D272="",0,IFERROR(LOOKUP(2,1/(($D$3:D271=$D272)*($C$3:C271=$C272)*($A$3:A271&lt;$A272)),$AB$3:AB271),1000))</f>
        <v>1015.2241251357667</v>
      </c>
      <c r="V272" s="120">
        <f t="shared" si="79"/>
        <v>1071.1172699571482</v>
      </c>
      <c r="W272">
        <f t="shared" si="80"/>
        <v>1071.1172699571482</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0">
        <f t="shared" si="84"/>
        <v>1029.0588137421403</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1009.817715883348</v>
      </c>
      <c r="I273" s="117">
        <f t="shared" si="70"/>
        <v>0.27272727272727276</v>
      </c>
      <c r="J273" s="118">
        <f>IF($D273="",0,IF($F273&lt;2,0,IF($E273="Win",('Guide &amp; Settings'!$C$42/(($F273-1)*COUNTIFS($A$4:$A$810,$A273,$E$4:$E$810,"Win")))*SUMIFS($X$4:$X$810,$A$4:$A$810,$A273,$E$4:$E$810,"Loss"),-('Guide &amp; Settings'!$C$42/($F273-1))*$X273)))</f>
        <v>-12.674858180200337</v>
      </c>
      <c r="K273" s="118">
        <f>IF($D273="",0,'Guide &amp; Settings'!$C$43*(IF($E273="Win",1,0)-$I273))</f>
        <v>-3.2727272727272734</v>
      </c>
      <c r="L273" s="119">
        <f>IF($D273="",0,'Guide &amp; Settings'!$C$44*IF($F273&gt;=3,$F273,0))</f>
        <v>0</v>
      </c>
      <c r="M273" s="118">
        <f t="shared" si="71"/>
        <v>-15.94758545292761</v>
      </c>
      <c r="N273" s="116">
        <f t="shared" si="72"/>
        <v>993.87013043042043</v>
      </c>
      <c r="O273" s="115" t="str">
        <f t="shared" si="73"/>
        <v>OK</v>
      </c>
      <c r="P273">
        <f t="shared" si="74"/>
        <v>1082.2958989214244</v>
      </c>
      <c r="Q273">
        <f t="shared" si="75"/>
        <v>0.39718265925598023</v>
      </c>
      <c r="R273">
        <f t="shared" si="76"/>
        <v>0.25</v>
      </c>
      <c r="S273">
        <f t="shared" si="77"/>
        <v>0.91666666666666663</v>
      </c>
      <c r="T273" s="83">
        <f t="shared" si="78"/>
        <v>2</v>
      </c>
      <c r="U273" s="120">
        <f>IF($D273="",0,IFERROR(LOOKUP(2,1/(($D$3:D272=$D273)*($C$3:C272=$C273)*($A$3:A272&lt;$A273)),$AB$3:AB272),1000))</f>
        <v>967.9147416873285</v>
      </c>
      <c r="V273" s="120">
        <f t="shared" si="79"/>
        <v>997.84543754162814</v>
      </c>
      <c r="W273">
        <f t="shared" si="80"/>
        <v>1071.1172699571482</v>
      </c>
      <c r="X273">
        <f t="shared" si="81"/>
        <v>0.39608931813126053</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0">
        <f t="shared" si="84"/>
        <v>954.08005308095494</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1098.243484374352</v>
      </c>
      <c r="I274" s="117">
        <f t="shared" si="70"/>
        <v>0.78947368421052633</v>
      </c>
      <c r="J274" s="118">
        <f>IF($D274="",0,IF($F274&lt;2,0,IF($E274="Win",('Guide &amp; Settings'!$C$42/(($F274-1)*COUNTIFS($A$4:$A$810,$A274,$E$4:$E$810,"Win")))*SUMIFS($X$4:$X$810,$A$4:$A$810,$A274,$E$4:$E$810,"Loss"),-('Guide &amp; Settings'!$C$42/($F274-1))*$X274)))</f>
        <v>11.537975965493914</v>
      </c>
      <c r="K274" s="118">
        <f>IF($D274="",0,'Guide &amp; Settings'!$C$43*(IF($E274="Win",1,0)-$I274))</f>
        <v>2.5263157894736841</v>
      </c>
      <c r="L274" s="119">
        <f>IF($D274="",0,'Guide &amp; Settings'!$C$44*IF($F274&gt;=3,$F274,0))</f>
        <v>0</v>
      </c>
      <c r="M274" s="118">
        <f t="shared" si="71"/>
        <v>14.064291754967599</v>
      </c>
      <c r="N274" s="116">
        <f t="shared" si="72"/>
        <v>1112.3077761293196</v>
      </c>
      <c r="O274" s="115" t="str">
        <f t="shared" si="73"/>
        <v>OK</v>
      </c>
      <c r="P274">
        <f t="shared" si="74"/>
        <v>1098.243484374352</v>
      </c>
      <c r="Q274">
        <f t="shared" si="75"/>
        <v>0.5</v>
      </c>
      <c r="R274">
        <f t="shared" si="76"/>
        <v>0.75</v>
      </c>
      <c r="S274">
        <f t="shared" si="77"/>
        <v>0.95</v>
      </c>
      <c r="T274" s="83">
        <f t="shared" si="78"/>
        <v>2</v>
      </c>
      <c r="U274" s="120">
        <f>IF($D274="",0,IFERROR(LOOKUP(2,1/(($D$3:D273=$D274)*($C$3:C273=$C274)*($A$3:A273&lt;$A274)),$AB$3:AB273),1000))</f>
        <v>1029.0588137421403</v>
      </c>
      <c r="V274" s="120">
        <f t="shared" si="79"/>
        <v>1078.4764356222915</v>
      </c>
      <c r="W274">
        <f t="shared" si="80"/>
        <v>1078.4764356222915</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0">
        <f t="shared" si="84"/>
        <v>1041.6585373017128</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993.87013043042043</v>
      </c>
      <c r="I275" s="117">
        <f t="shared" si="70"/>
        <v>0.2105263157894737</v>
      </c>
      <c r="J275" s="118">
        <f>IF($D275="",0,IF($F275&lt;2,0,IF($E275="Win",('Guide &amp; Settings'!$C$42/(($F275-1)*COUNTIFS($A$4:$A$810,$A275,$E$4:$E$810,"Win")))*SUMIFS($X$4:$X$810,$A$4:$A$810,$A275,$E$4:$E$810,"Loss"),-('Guide &amp; Settings'!$C$42/($F275-1))*$X275)))</f>
        <v>-11.537975965493914</v>
      </c>
      <c r="K275" s="118">
        <f>IF($D275="",0,'Guide &amp; Settings'!$C$43*(IF($E275="Win",1,0)-$I275))</f>
        <v>-2.5263157894736845</v>
      </c>
      <c r="L275" s="119">
        <f>IF($D275="",0,'Guide &amp; Settings'!$C$44*IF($F275&gt;=3,$F275,0))</f>
        <v>0</v>
      </c>
      <c r="M275" s="118">
        <f t="shared" si="71"/>
        <v>-14.064291754967599</v>
      </c>
      <c r="N275" s="116">
        <f t="shared" si="72"/>
        <v>979.80583867545283</v>
      </c>
      <c r="O275" s="115" t="str">
        <f t="shared" si="73"/>
        <v>OK</v>
      </c>
      <c r="P275">
        <f t="shared" si="74"/>
        <v>1098.243484374352</v>
      </c>
      <c r="Q275">
        <f t="shared" si="75"/>
        <v>0.35415581067589397</v>
      </c>
      <c r="R275">
        <f t="shared" si="76"/>
        <v>0.2</v>
      </c>
      <c r="S275">
        <f t="shared" si="77"/>
        <v>0.95</v>
      </c>
      <c r="T275" s="83">
        <f t="shared" si="78"/>
        <v>3</v>
      </c>
      <c r="U275" s="120">
        <f>IF($D275="",0,IFERROR(LOOKUP(2,1/(($D$3:D274=$D275)*($C$3:C274=$C275)*($A$3:A274&lt;$A275)),$AB$3:AB274),1000))</f>
        <v>954.08005308095494</v>
      </c>
      <c r="V275" s="120">
        <f t="shared" si="79"/>
        <v>978.9488514243709</v>
      </c>
      <c r="W275">
        <f t="shared" si="80"/>
        <v>1078.4764356222915</v>
      </c>
      <c r="X275">
        <f t="shared" si="81"/>
        <v>0.3605617489216848</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0">
        <f t="shared" si="84"/>
        <v>941.48032952138237</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979.80583867545283</v>
      </c>
      <c r="I276" s="117">
        <f t="shared" si="70"/>
        <v>0.66666666666666663</v>
      </c>
      <c r="J276" s="118">
        <f>IF($D276="",0,IF($F276&lt;2,0,IF($E276="Win",('Guide &amp; Settings'!$C$42/(($F276-1)*COUNTIFS($A$4:$A$810,$A276,$E$4:$E$810,"Win")))*SUMIFS($X$4:$X$810,$A$4:$A$810,$A276,$E$4:$E$810,"Loss"),-('Guide &amp; Settings'!$C$42/($F276-1))*$X276)))</f>
        <v>19.169567349908785</v>
      </c>
      <c r="K276" s="118">
        <f>IF($D276="",0,'Guide &amp; Settings'!$C$43*(IF($E276="Win",1,0)-$I276))</f>
        <v>4</v>
      </c>
      <c r="L276" s="119">
        <f>IF($D276="",0,'Guide &amp; Settings'!$C$44*IF($F276&gt;=3,$F276,0))</f>
        <v>0</v>
      </c>
      <c r="M276" s="118">
        <f t="shared" si="71"/>
        <v>23.169567349908785</v>
      </c>
      <c r="N276" s="116">
        <f t="shared" si="72"/>
        <v>1002.9754060253616</v>
      </c>
      <c r="O276" s="115" t="str">
        <f t="shared" si="73"/>
        <v>OK</v>
      </c>
      <c r="P276">
        <f t="shared" si="74"/>
        <v>979.80583867545283</v>
      </c>
      <c r="Q276">
        <f t="shared" si="75"/>
        <v>0.5</v>
      </c>
      <c r="R276">
        <f t="shared" si="76"/>
        <v>0.66666666666666663</v>
      </c>
      <c r="S276">
        <f t="shared" si="77"/>
        <v>1</v>
      </c>
      <c r="T276" s="83">
        <f t="shared" si="78"/>
        <v>1</v>
      </c>
      <c r="U276" s="120">
        <f>IF($D276="",0,IFERROR(LOOKUP(2,1/(($D$3:D275=$D276)*($C$3:C275=$C276)*($A$3:A275&lt;$A276)),$AB$3:AB275),1000))</f>
        <v>1016</v>
      </c>
      <c r="V276" s="120">
        <f t="shared" si="79"/>
        <v>985.83819889621077</v>
      </c>
      <c r="W276">
        <f t="shared" si="80"/>
        <v>985.83819889621077</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1069.9039233902718</v>
      </c>
      <c r="I277" s="117">
        <f t="shared" si="70"/>
        <v>0.33333333333333331</v>
      </c>
      <c r="J277" s="118">
        <f>IF($D277="",0,IF($F277&lt;2,0,IF($E277="Win",('Guide &amp; Settings'!$C$42/(($F277-1)*COUNTIFS($A$4:$A$810,$A277,$E$4:$E$810,"Win")))*SUMIFS($X$4:$X$810,$A$4:$A$810,$A277,$E$4:$E$810,"Loss"),-('Guide &amp; Settings'!$C$42/($F277-1))*$X277)))</f>
        <v>-19.169567349908785</v>
      </c>
      <c r="K277" s="118">
        <f>IF($D277="",0,'Guide &amp; Settings'!$C$43*(IF($E277="Win",1,0)-$I277))</f>
        <v>-4</v>
      </c>
      <c r="L277" s="119">
        <f>IF($D277="",0,'Guide &amp; Settings'!$C$44*IF($F277&gt;=3,$F277,0))</f>
        <v>0</v>
      </c>
      <c r="M277" s="118">
        <f t="shared" si="71"/>
        <v>-23.169567349908785</v>
      </c>
      <c r="N277" s="116">
        <f t="shared" si="72"/>
        <v>1046.7343560403631</v>
      </c>
      <c r="O277" s="115" t="str">
        <f t="shared" si="73"/>
        <v>OK</v>
      </c>
      <c r="P277">
        <f t="shared" si="74"/>
        <v>979.80583867545283</v>
      </c>
      <c r="Q277">
        <f t="shared" si="75"/>
        <v>0.62683116379833637</v>
      </c>
      <c r="R277">
        <f t="shared" si="76"/>
        <v>0.33333333333333331</v>
      </c>
      <c r="S277">
        <f t="shared" si="77"/>
        <v>1</v>
      </c>
      <c r="T277" s="83">
        <f t="shared" si="78"/>
        <v>1</v>
      </c>
      <c r="U277" s="120">
        <f>IF($D277="",0,IFERROR(LOOKUP(2,1/(($D$3:D276=$D277)*($C$3:C276=$C277)*($A$3:A276&lt;$A277)),$AB$3:AB276),1000))</f>
        <v>984</v>
      </c>
      <c r="V277" s="120">
        <f t="shared" si="79"/>
        <v>1055.5866028252265</v>
      </c>
      <c r="W277">
        <f t="shared" si="80"/>
        <v>985.83819889621077</v>
      </c>
      <c r="X277">
        <f t="shared" si="81"/>
        <v>0.59904897968464954</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1002.9754060253616</v>
      </c>
      <c r="I278" s="117">
        <f t="shared" si="70"/>
        <v>0.25</v>
      </c>
      <c r="J278" s="118">
        <f>IF($D278="",0,IF($F278&lt;2,0,IF($E278="Win",('Guide &amp; Settings'!$C$42/(($F278-1)*COUNTIFS($A$4:$A$810,$A278,$E$4:$E$810,"Win")))*SUMIFS($X$4:$X$810,$A$4:$A$810,$A278,$E$4:$E$810,"Loss"),-('Guide &amp; Settings'!$C$42/($F278-1))*$X278)))</f>
        <v>-12.992621410263446</v>
      </c>
      <c r="K278" s="118">
        <f>IF($D278="",0,'Guide &amp; Settings'!$C$43*(IF($E278="Win",1,0)-$I278))</f>
        <v>-3</v>
      </c>
      <c r="L278" s="119">
        <f>IF($D278="",0,'Guide &amp; Settings'!$C$44*IF($F278&gt;=3,$F278,0))</f>
        <v>0</v>
      </c>
      <c r="M278" s="118">
        <f t="shared" si="71"/>
        <v>-15.992621410263446</v>
      </c>
      <c r="N278" s="116">
        <f t="shared" si="72"/>
        <v>986.98278461509813</v>
      </c>
      <c r="O278" s="115" t="str">
        <f t="shared" si="73"/>
        <v>OK</v>
      </c>
      <c r="P278">
        <f t="shared" si="74"/>
        <v>1076.6069656843583</v>
      </c>
      <c r="Q278">
        <f t="shared" si="75"/>
        <v>0.39559409459721812</v>
      </c>
      <c r="R278">
        <f t="shared" si="76"/>
        <v>0.16666666666666666</v>
      </c>
      <c r="S278">
        <f t="shared" si="77"/>
        <v>0.66666666666666663</v>
      </c>
      <c r="T278" s="83">
        <f t="shared" si="78"/>
        <v>4</v>
      </c>
      <c r="U278" s="120">
        <f>IF($D278="",0,IFERROR(LOOKUP(2,1/(($D$3:D277=$D278)*($C$3:C277=$C278)*($A$3:A277&lt;$A278)),$AB$3:AB277),1000))</f>
        <v>941.48032952138237</v>
      </c>
      <c r="V278" s="120">
        <f t="shared" si="79"/>
        <v>975.64426091248197</v>
      </c>
      <c r="W278">
        <f t="shared" si="80"/>
        <v>1041.7344374303716</v>
      </c>
      <c r="X278">
        <f t="shared" si="81"/>
        <v>0.40601941907073269</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0">
        <f t="shared" si="84"/>
        <v>928.06688542994414</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1076.6069656843583</v>
      </c>
      <c r="I279" s="117">
        <f t="shared" si="70"/>
        <v>0.75</v>
      </c>
      <c r="J279" s="118">
        <f>IF($D279="",0,IF($F279&lt;2,0,IF($E279="Win",('Guide &amp; Settings'!$C$42/(($F279-1)*COUNTIFS($A$4:$A$810,$A279,$E$4:$E$810,"Win")))*SUMIFS($X$4:$X$810,$A$4:$A$810,$A279,$E$4:$E$810,"Loss"),-('Guide &amp; Settings'!$C$42/($F279-1))*$X279)))</f>
        <v>12.992621410263446</v>
      </c>
      <c r="K279" s="118">
        <f>IF($D279="",0,'Guide &amp; Settings'!$C$43*(IF($E279="Win",1,0)-$I279))</f>
        <v>3</v>
      </c>
      <c r="L279" s="119">
        <f>IF($D279="",0,'Guide &amp; Settings'!$C$44*IF($F279&gt;=3,$F279,0))</f>
        <v>0</v>
      </c>
      <c r="M279" s="118">
        <f t="shared" si="71"/>
        <v>15.992621410263446</v>
      </c>
      <c r="N279" s="116">
        <f t="shared" si="72"/>
        <v>1092.5995870946217</v>
      </c>
      <c r="O279" s="115" t="str">
        <f t="shared" si="73"/>
        <v>OK</v>
      </c>
      <c r="P279">
        <f t="shared" si="74"/>
        <v>1076.6069656843583</v>
      </c>
      <c r="Q279">
        <f t="shared" si="75"/>
        <v>0.5</v>
      </c>
      <c r="R279">
        <f t="shared" si="76"/>
        <v>0.5</v>
      </c>
      <c r="S279">
        <f t="shared" si="77"/>
        <v>0.66666666666666663</v>
      </c>
      <c r="T279" s="83">
        <f t="shared" si="78"/>
        <v>4</v>
      </c>
      <c r="U279" s="120">
        <f>IF($D279="",0,IFERROR(LOOKUP(2,1/(($D$3:D278=$D279)*($C$3:C278=$C279)*($A$3:A278&lt;$A279)),$AB$3:AB278),1000))</f>
        <v>998.14377711288819</v>
      </c>
      <c r="V279" s="120">
        <f t="shared" si="79"/>
        <v>1041.7344374303716</v>
      </c>
      <c r="W279">
        <f t="shared" si="80"/>
        <v>1041.7344374303716</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0">
        <f t="shared" si="84"/>
        <v>1011.5572212043264</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986.98278461509813</v>
      </c>
      <c r="I280" s="117">
        <f t="shared" si="70"/>
        <v>0.2</v>
      </c>
      <c r="J280" s="118">
        <f>IF($D280="",0,IF($F280&lt;2,0,IF($E280="Win",('Guide &amp; Settings'!$C$42/(($F280-1)*COUNTIFS($A$4:$A$810,$A280,$E$4:$E$810,"Win")))*SUMIFS($X$4:$X$810,$A$4:$A$810,$A280,$E$4:$E$810,"Loss"),-('Guide &amp; Settings'!$C$42/($F280-1))*$X280)))</f>
        <v>-11.750055439935712</v>
      </c>
      <c r="K280" s="118">
        <f>IF($D280="",0,'Guide &amp; Settings'!$C$43*(IF($E280="Win",1,0)-$I280))</f>
        <v>-2.4000000000000004</v>
      </c>
      <c r="L280" s="119">
        <f>IF($D280="",0,'Guide &amp; Settings'!$C$44*IF($F280&gt;=3,$F280,0))</f>
        <v>0</v>
      </c>
      <c r="M280" s="118">
        <f t="shared" si="71"/>
        <v>-14.150055439935713</v>
      </c>
      <c r="N280" s="116">
        <f t="shared" si="72"/>
        <v>972.8327291751624</v>
      </c>
      <c r="O280" s="115" t="str">
        <f t="shared" si="73"/>
        <v>OK</v>
      </c>
      <c r="P280">
        <f t="shared" si="74"/>
        <v>1092.5995870946217</v>
      </c>
      <c r="Q280">
        <f t="shared" si="75"/>
        <v>0.35252031029100833</v>
      </c>
      <c r="R280">
        <f t="shared" si="76"/>
        <v>0.14285714285714285</v>
      </c>
      <c r="S280">
        <f t="shared" si="77"/>
        <v>0.71428571428571419</v>
      </c>
      <c r="T280" s="83">
        <f t="shared" si="78"/>
        <v>5</v>
      </c>
      <c r="U280" s="120">
        <f>IF($D280="",0,IFERROR(LOOKUP(2,1/(($D$3:D279=$D280)*($C$3:C279=$C280)*($A$3:A279&lt;$A280)),$AB$3:AB279),1000))</f>
        <v>928.06688542994414</v>
      </c>
      <c r="V280" s="120">
        <f t="shared" si="79"/>
        <v>957.52483502252107</v>
      </c>
      <c r="W280">
        <f t="shared" si="80"/>
        <v>1052.078404149474</v>
      </c>
      <c r="X280">
        <f t="shared" si="81"/>
        <v>0.36718923249799101</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0">
        <f t="shared" si="84"/>
        <v>915.83941894828183</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1092.5995870946217</v>
      </c>
      <c r="I281" s="117">
        <f t="shared" si="70"/>
        <v>0.8</v>
      </c>
      <c r="J281" s="118">
        <f>IF($D281="",0,IF($F281&lt;2,0,IF($E281="Win",('Guide &amp; Settings'!$C$42/(($F281-1)*COUNTIFS($A$4:$A$810,$A281,$E$4:$E$810,"Win")))*SUMIFS($X$4:$X$810,$A$4:$A$810,$A281,$E$4:$E$810,"Loss"),-('Guide &amp; Settings'!$C$42/($F281-1))*$X281)))</f>
        <v>11.750055439935712</v>
      </c>
      <c r="K281" s="118">
        <f>IF($D281="",0,'Guide &amp; Settings'!$C$43*(IF($E281="Win",1,0)-$I281))</f>
        <v>2.3999999999999995</v>
      </c>
      <c r="L281" s="119">
        <f>IF($D281="",0,'Guide &amp; Settings'!$C$44*IF($F281&gt;=3,$F281,0))</f>
        <v>0</v>
      </c>
      <c r="M281" s="118">
        <f t="shared" si="71"/>
        <v>14.150055439935713</v>
      </c>
      <c r="N281" s="116">
        <f t="shared" si="72"/>
        <v>1106.7496425345573</v>
      </c>
      <c r="O281" s="115" t="str">
        <f t="shared" si="73"/>
        <v>OK</v>
      </c>
      <c r="P281">
        <f t="shared" si="74"/>
        <v>1092.5995870946217</v>
      </c>
      <c r="Q281">
        <f t="shared" si="75"/>
        <v>0.5</v>
      </c>
      <c r="R281">
        <f t="shared" si="76"/>
        <v>0.5714285714285714</v>
      </c>
      <c r="S281">
        <f t="shared" si="77"/>
        <v>0.71428571428571419</v>
      </c>
      <c r="T281" s="83">
        <f t="shared" si="78"/>
        <v>5</v>
      </c>
      <c r="U281" s="120">
        <f>IF($D281="",0,IFERROR(LOOKUP(2,1/(($D$3:D280=$D281)*($C$3:C280=$C281)*($A$3:A280&lt;$A281)),$AB$3:AB280),1000))</f>
        <v>1011.5572212043264</v>
      </c>
      <c r="V281" s="120">
        <f t="shared" si="79"/>
        <v>1052.078404149474</v>
      </c>
      <c r="W281">
        <f t="shared" si="80"/>
        <v>1052.078404149474</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0">
        <f t="shared" si="84"/>
        <v>1023.7846876859887</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972.8327291751624</v>
      </c>
      <c r="I282" s="117">
        <f t="shared" si="70"/>
        <v>0.16666666666666666</v>
      </c>
      <c r="J282" s="118">
        <f>IF($D282="",0,IF($F282&lt;2,0,IF($E282="Win",('Guide &amp; Settings'!$C$42/(($F282-1)*COUNTIFS($A$4:$A$810,$A282,$E$4:$E$810,"Win")))*SUMIFS($X$4:$X$810,$A$4:$A$810,$A282,$E$4:$E$810,"Loss"),-('Guide &amp; Settings'!$C$42/($F282-1))*$X282)))</f>
        <v>-10.693759628903043</v>
      </c>
      <c r="K282" s="118">
        <f>IF($D282="",0,'Guide &amp; Settings'!$C$43*(IF($E282="Win",1,0)-$I282))</f>
        <v>-2</v>
      </c>
      <c r="L282" s="119">
        <f>IF($D282="",0,'Guide &amp; Settings'!$C$44*IF($F282&gt;=3,$F282,0))</f>
        <v>0</v>
      </c>
      <c r="M282" s="118">
        <f t="shared" si="71"/>
        <v>-12.693759628903043</v>
      </c>
      <c r="N282" s="116">
        <f t="shared" si="72"/>
        <v>960.13896954625932</v>
      </c>
      <c r="O282" s="115" t="str">
        <f t="shared" si="73"/>
        <v>OK</v>
      </c>
      <c r="P282">
        <f t="shared" si="74"/>
        <v>1106.7496425345573</v>
      </c>
      <c r="Q282">
        <f t="shared" si="75"/>
        <v>0.31628710567640728</v>
      </c>
      <c r="R282">
        <f t="shared" si="76"/>
        <v>0.125</v>
      </c>
      <c r="S282">
        <f t="shared" si="77"/>
        <v>0.75</v>
      </c>
      <c r="T282" s="83">
        <f t="shared" si="78"/>
        <v>6</v>
      </c>
      <c r="U282" s="120">
        <f>IF($D282="",0,IFERROR(LOOKUP(2,1/(($D$3:D281=$D282)*($C$3:C281=$C282)*($A$3:A281&lt;$A282)),$AB$3:AB281),1000))</f>
        <v>915.83941894828183</v>
      </c>
      <c r="V282" s="120">
        <f t="shared" si="79"/>
        <v>941.74546905140937</v>
      </c>
      <c r="W282">
        <f t="shared" si="80"/>
        <v>1061.4960307989745</v>
      </c>
      <c r="X282">
        <f t="shared" si="81"/>
        <v>0.33417998840322011</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0">
        <f t="shared" si="84"/>
        <v>904.65647514018167</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1106.7496425345573</v>
      </c>
      <c r="I283" s="117">
        <f t="shared" si="70"/>
        <v>0.83333333333333337</v>
      </c>
      <c r="J283" s="118">
        <f>IF($D283="",0,IF($F283&lt;2,0,IF($E283="Win",('Guide &amp; Settings'!$C$42/(($F283-1)*COUNTIFS($A$4:$A$810,$A283,$E$4:$E$810,"Win")))*SUMIFS($X$4:$X$810,$A$4:$A$810,$A283,$E$4:$E$810,"Loss"),-('Guide &amp; Settings'!$C$42/($F283-1))*$X283)))</f>
        <v>10.693759628903043</v>
      </c>
      <c r="K283" s="118">
        <f>IF($D283="",0,'Guide &amp; Settings'!$C$43*(IF($E283="Win",1,0)-$I283))</f>
        <v>1.9999999999999996</v>
      </c>
      <c r="L283" s="119">
        <f>IF($D283="",0,'Guide &amp; Settings'!$C$44*IF($F283&gt;=3,$F283,0))</f>
        <v>0</v>
      </c>
      <c r="M283" s="118">
        <f t="shared" si="71"/>
        <v>12.693759628903043</v>
      </c>
      <c r="N283" s="116">
        <f t="shared" si="72"/>
        <v>1119.4434021634604</v>
      </c>
      <c r="O283" s="115" t="str">
        <f t="shared" si="73"/>
        <v>OK</v>
      </c>
      <c r="P283">
        <f t="shared" si="74"/>
        <v>1106.7496425345573</v>
      </c>
      <c r="Q283">
        <f t="shared" si="75"/>
        <v>0.5</v>
      </c>
      <c r="R283">
        <f t="shared" si="76"/>
        <v>0.625</v>
      </c>
      <c r="S283">
        <f t="shared" si="77"/>
        <v>0.75</v>
      </c>
      <c r="T283" s="83">
        <f t="shared" si="78"/>
        <v>6</v>
      </c>
      <c r="U283" s="120">
        <f>IF($D283="",0,IFERROR(LOOKUP(2,1/(($D$3:D282=$D283)*($C$3:C282=$C283)*($A$3:A282&lt;$A283)),$AB$3:AB282),1000))</f>
        <v>1023.7846876859887</v>
      </c>
      <c r="V283" s="120">
        <f t="shared" si="79"/>
        <v>1061.4960307989745</v>
      </c>
      <c r="W283">
        <f t="shared" si="80"/>
        <v>1061.4960307989745</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0">
        <f t="shared" si="84"/>
        <v>1034.9676314940889</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960.13896954625932</v>
      </c>
      <c r="I284" s="117">
        <f t="shared" si="70"/>
        <v>0.57142857142857151</v>
      </c>
      <c r="J284" s="118">
        <f>IF($D284="",0,IF($F284&lt;2,0,IF($E284="Win",('Guide &amp; Settings'!$C$42/(($F284-1)*COUNTIFS($A$4:$A$810,$A284,$E$4:$E$810,"Win")))*SUMIFS($X$4:$X$810,$A$4:$A$810,$A284,$E$4:$E$810,"Loss"),-('Guide &amp; Settings'!$C$42/($F284-1))*$X284)))</f>
        <v>-11.098494227906516</v>
      </c>
      <c r="K284" s="118">
        <f>IF($D284="",0,'Guide &amp; Settings'!$C$43*(IF($E284="Win",1,0)-$I284))</f>
        <v>-6.8571428571428577</v>
      </c>
      <c r="L284" s="119">
        <f>IF($D284="",0,'Guide &amp; Settings'!$C$44*IF($F284&gt;=3,$F284,0))</f>
        <v>0</v>
      </c>
      <c r="M284" s="118">
        <f t="shared" si="71"/>
        <v>-17.955637085049375</v>
      </c>
      <c r="N284" s="116">
        <f t="shared" si="72"/>
        <v>942.18333246120994</v>
      </c>
      <c r="O284" s="115" t="str">
        <f t="shared" si="73"/>
        <v>OK</v>
      </c>
      <c r="P284">
        <f t="shared" si="74"/>
        <v>1119.4434021634604</v>
      </c>
      <c r="Q284">
        <f t="shared" si="75"/>
        <v>0.2855634325569113</v>
      </c>
      <c r="R284">
        <f t="shared" si="76"/>
        <v>0.33333333333333331</v>
      </c>
      <c r="S284">
        <f t="shared" si="77"/>
        <v>0.58333333333333326</v>
      </c>
      <c r="T284" s="83">
        <f t="shared" si="78"/>
        <v>4</v>
      </c>
      <c r="U284" s="120">
        <f>IF($D284="",0,IFERROR(LOOKUP(2,1/(($D$3:D283=$D284)*($C$3:C283=$C284)*($A$3:A283&lt;$A284)),$AB$3:AB283),1000))</f>
        <v>984.43571391543799</v>
      </c>
      <c r="V284" s="120">
        <f t="shared" si="79"/>
        <v>970.93752259922758</v>
      </c>
      <c r="W284">
        <f t="shared" si="80"/>
        <v>1080.9029281497944</v>
      </c>
      <c r="X284">
        <f t="shared" si="81"/>
        <v>0.34682794462207861</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1119.4434021634604</v>
      </c>
      <c r="I285" s="117">
        <f t="shared" si="70"/>
        <v>0.4285714285714286</v>
      </c>
      <c r="J285" s="118">
        <f>IF($D285="",0,IF($F285&lt;2,0,IF($E285="Win",('Guide &amp; Settings'!$C$42/(($F285-1)*COUNTIFS($A$4:$A$810,$A285,$E$4:$E$810,"Win")))*SUMIFS($X$4:$X$810,$A$4:$A$810,$A285,$E$4:$E$810,"Loss"),-('Guide &amp; Settings'!$C$42/($F285-1))*$X285)))</f>
        <v>11.098494227906516</v>
      </c>
      <c r="K285" s="118">
        <f>IF($D285="",0,'Guide &amp; Settings'!$C$43*(IF($E285="Win",1,0)-$I285))</f>
        <v>6.8571428571428568</v>
      </c>
      <c r="L285" s="119">
        <f>IF($D285="",0,'Guide &amp; Settings'!$C$44*IF($F285&gt;=3,$F285,0))</f>
        <v>0</v>
      </c>
      <c r="M285" s="118">
        <f t="shared" si="71"/>
        <v>17.955637085049371</v>
      </c>
      <c r="N285" s="116">
        <f t="shared" si="72"/>
        <v>1137.3990392485098</v>
      </c>
      <c r="O285" s="115" t="str">
        <f t="shared" si="73"/>
        <v>OK</v>
      </c>
      <c r="P285">
        <f t="shared" si="74"/>
        <v>1119.4434021634604</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1080.9029281497944</v>
      </c>
      <c r="W285">
        <f t="shared" si="80"/>
        <v>1080.9029281497944</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942.18333246120994</v>
      </c>
      <c r="I286" s="117">
        <f t="shared" si="70"/>
        <v>0.59770114942528729</v>
      </c>
      <c r="J286" s="118">
        <f>IF($D286="",0,IF($F286&lt;2,0,IF($E286="Win",('Guide &amp; Settings'!$C$42/(($F286-1)*COUNTIFS($A$4:$A$810,$A286,$E$4:$E$810,"Win")))*SUMIFS($X$4:$X$810,$A$4:$A$810,$A286,$E$4:$E$810,"Loss"),-('Guide &amp; Settings'!$C$42/($F286-1))*$X286)))</f>
        <v>19.871908411670749</v>
      </c>
      <c r="K286" s="118">
        <f>IF($D286="",0,'Guide &amp; Settings'!$C$43*(IF($E286="Win",1,0)-$I286))</f>
        <v>4.8275862068965525</v>
      </c>
      <c r="L286" s="119">
        <f>IF($D286="",0,'Guide &amp; Settings'!$C$44*IF($F286&gt;=3,$F286,0))</f>
        <v>0</v>
      </c>
      <c r="M286" s="118">
        <f t="shared" si="71"/>
        <v>24.6994946185673</v>
      </c>
      <c r="N286" s="116">
        <f t="shared" si="72"/>
        <v>966.88282707977726</v>
      </c>
      <c r="O286" s="115" t="str">
        <f t="shared" si="73"/>
        <v>OK</v>
      </c>
      <c r="P286">
        <f t="shared" si="74"/>
        <v>942.18333246120994</v>
      </c>
      <c r="Q286">
        <f t="shared" si="75"/>
        <v>0.5</v>
      </c>
      <c r="R286">
        <f t="shared" si="76"/>
        <v>0.8</v>
      </c>
      <c r="S286">
        <f t="shared" si="77"/>
        <v>1.3384615384615386</v>
      </c>
      <c r="T286" s="83">
        <f t="shared" si="78"/>
        <v>3</v>
      </c>
      <c r="U286" s="120">
        <f>IF($D286="",0,IFERROR(LOOKUP(2,1/(($D$3:D285=$D286)*($C$3:C285=$C286)*($A$3:A285&lt;$A286)),$AB$3:AB285),1000))</f>
        <v>1043.7471336336109</v>
      </c>
      <c r="V286" s="120">
        <f t="shared" si="79"/>
        <v>980.26975790086033</v>
      </c>
      <c r="W286">
        <f t="shared" si="80"/>
        <v>980.26975790086033</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1137.3990392485098</v>
      </c>
      <c r="I287" s="117">
        <f t="shared" si="70"/>
        <v>0.4022988505747126</v>
      </c>
      <c r="J287" s="118">
        <f>IF($D287="",0,IF($F287&lt;2,0,IF($E287="Win",('Guide &amp; Settings'!$C$42/(($F287-1)*COUNTIFS($A$4:$A$810,$A287,$E$4:$E$810,"Win")))*SUMIFS($X$4:$X$810,$A$4:$A$810,$A287,$E$4:$E$810,"Loss"),-('Guide &amp; Settings'!$C$42/($F287-1))*$X287)))</f>
        <v>-19.871908411670749</v>
      </c>
      <c r="K287" s="118">
        <f>IF($D287="",0,'Guide &amp; Settings'!$C$43*(IF($E287="Win",1,0)-$I287))</f>
        <v>-4.8275862068965516</v>
      </c>
      <c r="L287" s="119">
        <f>IF($D287="",0,'Guide &amp; Settings'!$C$44*IF($F287&gt;=3,$F287,0))</f>
        <v>0</v>
      </c>
      <c r="M287" s="118">
        <f t="shared" si="71"/>
        <v>-24.6994946185673</v>
      </c>
      <c r="N287" s="116">
        <f t="shared" si="72"/>
        <v>1112.6995446299425</v>
      </c>
      <c r="O287" s="115" t="str">
        <f t="shared" si="73"/>
        <v>OK</v>
      </c>
      <c r="P287">
        <f t="shared" si="74"/>
        <v>942.18333246120994</v>
      </c>
      <c r="Q287">
        <f t="shared" si="75"/>
        <v>0.75468399957763532</v>
      </c>
      <c r="R287">
        <f t="shared" si="76"/>
        <v>0.53846153846153844</v>
      </c>
      <c r="S287">
        <f t="shared" si="77"/>
        <v>1.3384615384615386</v>
      </c>
      <c r="T287" s="83">
        <f t="shared" si="78"/>
        <v>11</v>
      </c>
      <c r="U287" s="120">
        <f>IF($D287="",0,IFERROR(LOOKUP(2,1/(($D$3:D286=$D287)*($C$3:C286=$C287)*($A$3:A286&lt;$A287)),$AB$3:AB286),1000))</f>
        <v>1033.6165842741636</v>
      </c>
      <c r="V287" s="120">
        <f t="shared" si="79"/>
        <v>1066.0486014536468</v>
      </c>
      <c r="W287">
        <f t="shared" si="80"/>
        <v>980.26975790086033</v>
      </c>
      <c r="X287">
        <f t="shared" si="81"/>
        <v>0.62099713786471089</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966.88282707977726</v>
      </c>
      <c r="I288" s="117">
        <f t="shared" si="70"/>
        <v>0.625</v>
      </c>
      <c r="J288" s="118">
        <f>IF($D288="",0,IF($F288&lt;2,0,IF($E288="Win",('Guide &amp; Settings'!$C$42/(($F288-1)*COUNTIFS($A$4:$A$810,$A288,$E$4:$E$810,"Win")))*SUMIFS($X$4:$X$810,$A$4:$A$810,$A288,$E$4:$E$810,"Loss"),-('Guide &amp; Settings'!$C$42/($F288-1))*$X288)))</f>
        <v>17.741327950613481</v>
      </c>
      <c r="K288" s="118">
        <f>IF($D288="",0,'Guide &amp; Settings'!$C$43*(IF($E288="Win",1,0)-$I288))</f>
        <v>4.5</v>
      </c>
      <c r="L288" s="119">
        <f>IF($D288="",0,'Guide &amp; Settings'!$C$44*IF($F288&gt;=3,$F288,0))</f>
        <v>0</v>
      </c>
      <c r="M288" s="118">
        <f t="shared" si="71"/>
        <v>22.241327950613481</v>
      </c>
      <c r="N288" s="116">
        <f t="shared" si="72"/>
        <v>989.12415503039074</v>
      </c>
      <c r="O288" s="115" t="str">
        <f t="shared" si="73"/>
        <v>OK</v>
      </c>
      <c r="P288">
        <f t="shared" si="74"/>
        <v>966.88282707977726</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1007.9485647168042</v>
      </c>
      <c r="W288">
        <f t="shared" si="80"/>
        <v>1007.9485647168042</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1112.6995446299425</v>
      </c>
      <c r="I289" s="117">
        <f t="shared" si="70"/>
        <v>0.37499999999999994</v>
      </c>
      <c r="J289" s="118">
        <f>IF($D289="",0,IF($F289&lt;2,0,IF($E289="Win",('Guide &amp; Settings'!$C$42/(($F289-1)*COUNTIFS($A$4:$A$810,$A289,$E$4:$E$810,"Win")))*SUMIFS($X$4:$X$810,$A$4:$A$810,$A289,$E$4:$E$810,"Loss"),-('Guide &amp; Settings'!$C$42/($F289-1))*$X289)))</f>
        <v>-17.741327950613481</v>
      </c>
      <c r="K289" s="118">
        <f>IF($D289="",0,'Guide &amp; Settings'!$C$43*(IF($E289="Win",1,0)-$I289))</f>
        <v>-4.4999999999999991</v>
      </c>
      <c r="L289" s="119">
        <f>IF($D289="",0,'Guide &amp; Settings'!$C$44*IF($F289&gt;=3,$F289,0))</f>
        <v>0</v>
      </c>
      <c r="M289" s="118">
        <f t="shared" si="71"/>
        <v>-22.241327950613481</v>
      </c>
      <c r="N289" s="116">
        <f t="shared" si="72"/>
        <v>1090.4582166793289</v>
      </c>
      <c r="O289" s="115" t="str">
        <f t="shared" si="73"/>
        <v>OK</v>
      </c>
      <c r="P289">
        <f t="shared" si="74"/>
        <v>966.88282707977726</v>
      </c>
      <c r="Q289">
        <f t="shared" si="75"/>
        <v>0.69833641148080416</v>
      </c>
      <c r="R289">
        <f t="shared" si="76"/>
        <v>0.5</v>
      </c>
      <c r="S289">
        <f t="shared" si="77"/>
        <v>1.3333333333333335</v>
      </c>
      <c r="T289" s="83">
        <f t="shared" si="78"/>
        <v>12</v>
      </c>
      <c r="U289" s="120">
        <f>IF($D289="",0,IFERROR(LOOKUP(2,1/(($D$3:D288=$D289)*($C$3:C288=$C289)*($A$3:A288&lt;$A289)),$AB$3:AB288),1000))</f>
        <v>1018.0829811446868</v>
      </c>
      <c r="V289" s="120">
        <f t="shared" si="79"/>
        <v>1045.911382169762</v>
      </c>
      <c r="W289">
        <f t="shared" si="80"/>
        <v>1007.9485647168042</v>
      </c>
      <c r="X289">
        <f t="shared" si="81"/>
        <v>0.55441649845667129</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989.12415503039074</v>
      </c>
      <c r="I290" s="117">
        <f t="shared" si="70"/>
        <v>0.26315789473684204</v>
      </c>
      <c r="J290" s="118">
        <f>IF($D290="",0,IF($F290&lt;2,0,IF($E290="Win",('Guide &amp; Settings'!$C$42/(($F290-1)*COUNTIFS($A$4:$A$810,$A290,$E$4:$E$810,"Win")))*SUMIFS($X$4:$X$810,$A$4:$A$810,$A290,$E$4:$E$810,"Loss"),-('Guide &amp; Settings'!$C$42/($F290-1))*$X290)))</f>
        <v>-12.930907985614377</v>
      </c>
      <c r="K290" s="118">
        <f>IF($D290="",0,'Guide &amp; Settings'!$C$43*(IF($E290="Win",1,0)-$I290))</f>
        <v>-3.1578947368421044</v>
      </c>
      <c r="L290" s="119">
        <f>IF($D290="",0,'Guide &amp; Settings'!$C$44*IF($F290&gt;=3,$F290,0))</f>
        <v>0</v>
      </c>
      <c r="M290" s="118">
        <f t="shared" si="71"/>
        <v>-16.088802722456482</v>
      </c>
      <c r="N290" s="116">
        <f t="shared" si="72"/>
        <v>973.0353523079342</v>
      </c>
      <c r="O290" s="115" t="str">
        <f t="shared" si="73"/>
        <v>OK</v>
      </c>
      <c r="P290">
        <f t="shared" si="74"/>
        <v>1046.7343560403631</v>
      </c>
      <c r="Q290">
        <f t="shared" si="75"/>
        <v>0.41784383478495124</v>
      </c>
      <c r="R290">
        <f t="shared" si="76"/>
        <v>0.2857142857142857</v>
      </c>
      <c r="S290">
        <f t="shared" si="77"/>
        <v>1.0857142857142859</v>
      </c>
      <c r="T290" s="83">
        <f t="shared" si="78"/>
        <v>5</v>
      </c>
      <c r="U290" s="120">
        <f>IF($D290="",0,IFERROR(LOOKUP(2,1/(($D$3:D289=$D290)*($C$3:C289=$C290)*($A$3:A289&lt;$A290)),$AB$3:AB289),1000))</f>
        <v>968.44105725737359</v>
      </c>
      <c r="V290" s="120">
        <f t="shared" si="79"/>
        <v>978.78260614388216</v>
      </c>
      <c r="W290">
        <f t="shared" si="80"/>
        <v>1046.263003349839</v>
      </c>
      <c r="X290">
        <f t="shared" si="81"/>
        <v>0.40409087455044929</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1046.7343560403631</v>
      </c>
      <c r="I291" s="117">
        <f t="shared" si="70"/>
        <v>0.73684210526315785</v>
      </c>
      <c r="J291" s="118">
        <f>IF($D291="",0,IF($F291&lt;2,0,IF($E291="Win",('Guide &amp; Settings'!$C$42/(($F291-1)*COUNTIFS($A$4:$A$810,$A291,$E$4:$E$810,"Win")))*SUMIFS($X$4:$X$810,$A$4:$A$810,$A291,$E$4:$E$810,"Loss"),-('Guide &amp; Settings'!$C$42/($F291-1))*$X291)))</f>
        <v>12.930907985614377</v>
      </c>
      <c r="K291" s="118">
        <f>IF($D291="",0,'Guide &amp; Settings'!$C$43*(IF($E291="Win",1,0)-$I291))</f>
        <v>3.1578947368421058</v>
      </c>
      <c r="L291" s="119">
        <f>IF($D291="",0,'Guide &amp; Settings'!$C$44*IF($F291&gt;=3,$F291,0))</f>
        <v>0</v>
      </c>
      <c r="M291" s="118">
        <f t="shared" si="71"/>
        <v>16.088802722456482</v>
      </c>
      <c r="N291" s="116">
        <f t="shared" si="72"/>
        <v>1062.8231587628195</v>
      </c>
      <c r="O291" s="115" t="str">
        <f t="shared" si="73"/>
        <v>OK</v>
      </c>
      <c r="P291">
        <f t="shared" si="74"/>
        <v>1046.7343560403631</v>
      </c>
      <c r="Q291">
        <f t="shared" si="75"/>
        <v>0.5</v>
      </c>
      <c r="R291">
        <f t="shared" si="76"/>
        <v>0.8</v>
      </c>
      <c r="S291">
        <f t="shared" si="77"/>
        <v>1.0857142857142859</v>
      </c>
      <c r="T291" s="83">
        <f t="shared" si="78"/>
        <v>3</v>
      </c>
      <c r="U291" s="120">
        <f>IF($D291="",0,IFERROR(LOOKUP(2,1/(($D$3:D290=$D291)*($C$3:C290=$C291)*($A$3:A290&lt;$A291)),$AB$3:AB290),1000))</f>
        <v>1045.4774155322991</v>
      </c>
      <c r="V291" s="120">
        <f t="shared" si="79"/>
        <v>1046.263003349839</v>
      </c>
      <c r="W291">
        <f t="shared" si="80"/>
        <v>1046.263003349839</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973.0353523079342</v>
      </c>
      <c r="I292" s="117">
        <f t="shared" si="70"/>
        <v>0.23076923076923073</v>
      </c>
      <c r="J292" s="118">
        <f>IF($D292="",0,IF($F292&lt;2,0,IF($E292="Win",('Guide &amp; Settings'!$C$42/(($F292-1)*COUNTIFS($A$4:$A$810,$A292,$E$4:$E$810,"Win")))*SUMIFS($X$4:$X$810,$A$4:$A$810,$A292,$E$4:$E$810,"Loss"),-('Guide &amp; Settings'!$C$42/($F292-1))*$X292)))</f>
        <v>20.353077964334474</v>
      </c>
      <c r="K292" s="118">
        <f>IF($D292="",0,'Guide &amp; Settings'!$C$43*(IF($E292="Win",1,0)-$I292))</f>
        <v>9.2307692307692317</v>
      </c>
      <c r="L292" s="119">
        <f>IF($D292="",0,'Guide &amp; Settings'!$C$44*IF($F292&gt;=3,$F292,0))</f>
        <v>0</v>
      </c>
      <c r="M292" s="118">
        <f t="shared" si="71"/>
        <v>29.583847195103708</v>
      </c>
      <c r="N292" s="116">
        <f t="shared" si="72"/>
        <v>1002.6191995030379</v>
      </c>
      <c r="O292" s="115" t="str">
        <f t="shared" si="73"/>
        <v>OK</v>
      </c>
      <c r="P292">
        <f t="shared" si="74"/>
        <v>973.0353523079342</v>
      </c>
      <c r="Q292">
        <f t="shared" si="75"/>
        <v>0.5</v>
      </c>
      <c r="R292">
        <f t="shared" si="76"/>
        <v>0.25</v>
      </c>
      <c r="S292">
        <f t="shared" si="77"/>
        <v>1.0833333333333335</v>
      </c>
      <c r="T292" s="83">
        <f t="shared" si="78"/>
        <v>6</v>
      </c>
      <c r="U292" s="120">
        <f>IF($D292="",0,IFERROR(LOOKUP(2,1/(($D$3:D291=$D292)*($C$3:C291=$C292)*($A$3:A291&lt;$A292)),$AB$3:AB291),1000))</f>
        <v>955.93169527043449</v>
      </c>
      <c r="V292" s="120">
        <f t="shared" si="79"/>
        <v>963.70608483293438</v>
      </c>
      <c r="W292">
        <f t="shared" si="80"/>
        <v>963.70608483293438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1062.8231587628195</v>
      </c>
      <c r="I293" s="117">
        <f t="shared" si="70"/>
        <v>0.76923076923076916</v>
      </c>
      <c r="J293" s="118">
        <f>IF($D293="",0,IF($F293&lt;2,0,IF($E293="Win",('Guide &amp; Settings'!$C$42/(($F293-1)*COUNTIFS($A$4:$A$810,$A293,$E$4:$E$810,"Win")))*SUMIFS($X$4:$X$810,$A$4:$A$810,$A293,$E$4:$E$810,"Loss"),-('Guide &amp; Settings'!$C$42/($F293-1))*$X293)))</f>
        <v>-20.353077964334474</v>
      </c>
      <c r="K293" s="118">
        <f>IF($D293="",0,'Guide &amp; Settings'!$C$43*(IF($E293="Win",1,0)-$I293))</f>
        <v>-9.2307692307692299</v>
      </c>
      <c r="L293" s="119">
        <f>IF($D293="",0,'Guide &amp; Settings'!$C$44*IF($F293&gt;=3,$F293,0))</f>
        <v>0</v>
      </c>
      <c r="M293" s="118">
        <f t="shared" si="71"/>
        <v>-29.583847195103704</v>
      </c>
      <c r="N293" s="116">
        <f t="shared" si="72"/>
        <v>1033.2393115677157</v>
      </c>
      <c r="O293" s="115" t="str">
        <f t="shared" si="73"/>
        <v>OK</v>
      </c>
      <c r="P293">
        <f t="shared" si="74"/>
        <v>973.0353523079342</v>
      </c>
      <c r="Q293">
        <f t="shared" si="75"/>
        <v>0.62641327447965833</v>
      </c>
      <c r="R293">
        <f t="shared" si="76"/>
        <v>0.83333333333333337</v>
      </c>
      <c r="S293">
        <f t="shared" si="77"/>
        <v>1.0833333333333335</v>
      </c>
      <c r="T293" s="83">
        <f t="shared" si="78"/>
        <v>4</v>
      </c>
      <c r="U293" s="120">
        <f>IF($D293="",0,IFERROR(LOOKUP(2,1/(($D$3:D292=$D293)*($C$3:C292=$C293)*($A$3:A292&lt;$A293)),$AB$3:AB292),1000))</f>
        <v>1057.9867775192383</v>
      </c>
      <c r="V293" s="120">
        <f t="shared" si="79"/>
        <v>1060.6736559878946</v>
      </c>
      <c r="W293">
        <f t="shared" si="80"/>
        <v>963.70608483293438</v>
      </c>
      <c r="X293">
        <f t="shared" si="81"/>
        <v>0.63603368638545232</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1002.6191995030379</v>
      </c>
      <c r="I294" s="117">
        <f t="shared" si="70"/>
        <v>0.31818181818181812</v>
      </c>
      <c r="J294" s="118">
        <f>IF($D294="",0,IF($F294&lt;2,0,IF($E294="Win",('Guide &amp; Settings'!$C$42/(($F294-1)*COUNTIFS($A$4:$A$810,$A294,$E$4:$E$810,"Win")))*SUMIFS($X$4:$X$810,$A$4:$A$810,$A294,$E$4:$E$810,"Loss"),-('Guide &amp; Settings'!$C$42/($F294-1))*$X294)))</f>
        <v>-13.80596158154383</v>
      </c>
      <c r="K294" s="118">
        <f>IF($D294="",0,'Guide &amp; Settings'!$C$43*(IF($E294="Win",1,0)-$I294))</f>
        <v>-3.8181818181818175</v>
      </c>
      <c r="L294" s="119">
        <f>IF($D294="",0,'Guide &amp; Settings'!$C$44*IF($F294&gt;=3,$F294,0))</f>
        <v>0</v>
      </c>
      <c r="M294" s="118">
        <f t="shared" si="71"/>
        <v>-17.624143399725646</v>
      </c>
      <c r="N294" s="116">
        <f t="shared" si="72"/>
        <v>984.99505610331221</v>
      </c>
      <c r="O294" s="115" t="str">
        <f t="shared" si="73"/>
        <v>OK</v>
      </c>
      <c r="P294">
        <f t="shared" si="74"/>
        <v>1033.2393115677157</v>
      </c>
      <c r="Q294">
        <f t="shared" si="75"/>
        <v>0.45604785278925686</v>
      </c>
      <c r="R294">
        <f t="shared" si="76"/>
        <v>0.33333333333333331</v>
      </c>
      <c r="S294">
        <f t="shared" si="77"/>
        <v>1.0476190476190477</v>
      </c>
      <c r="T294" s="83">
        <f t="shared" si="78"/>
        <v>7</v>
      </c>
      <c r="U294" s="120">
        <f>IF($D294="",0,IFERROR(LOOKUP(2,1/(($D$3:D293=$D294)*($C$3:C293=$C294)*($A$3:A293&lt;$A294)),$AB$3:AB293),1000))</f>
        <v>976.50084334444693</v>
      </c>
      <c r="V294" s="120">
        <f t="shared" si="79"/>
        <v>987.38349174385985</v>
      </c>
      <c r="W294">
        <f t="shared" si="80"/>
        <v>1035.3284705064707</v>
      </c>
      <c r="X294">
        <f t="shared" si="81"/>
        <v>0.43143629942324468</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1033.2393115677157</v>
      </c>
      <c r="I295" s="117">
        <f t="shared" si="70"/>
        <v>0.68181818181818177</v>
      </c>
      <c r="J295" s="118">
        <f>IF($D295="",0,IF($F295&lt;2,0,IF($E295="Win",('Guide &amp; Settings'!$C$42/(($F295-1)*COUNTIFS($A$4:$A$810,$A295,$E$4:$E$810,"Win")))*SUMIFS($X$4:$X$810,$A$4:$A$810,$A295,$E$4:$E$810,"Loss"),-('Guide &amp; Settings'!$C$42/($F295-1))*$X295)))</f>
        <v>13.80596158154383</v>
      </c>
      <c r="K295" s="118">
        <f>IF($D295="",0,'Guide &amp; Settings'!$C$43*(IF($E295="Win",1,0)-$I295))</f>
        <v>3.8181818181818188</v>
      </c>
      <c r="L295" s="119">
        <f>IF($D295="",0,'Guide &amp; Settings'!$C$44*IF($F295&gt;=3,$F295,0))</f>
        <v>0</v>
      </c>
      <c r="M295" s="118">
        <f t="shared" si="71"/>
        <v>17.62414339972565</v>
      </c>
      <c r="N295" s="116">
        <f t="shared" si="72"/>
        <v>1050.8634549674414</v>
      </c>
      <c r="O295" s="115" t="str">
        <f t="shared" si="73"/>
        <v>OK</v>
      </c>
      <c r="P295">
        <f t="shared" si="74"/>
        <v>1033.2393115677157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1035.3284705064707</v>
      </c>
      <c r="W295">
        <f t="shared" si="80"/>
        <v>1035.3284705064707</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984.99505610331221</v>
      </c>
      <c r="I296" s="117">
        <f t="shared" si="70"/>
        <v>0.48275862068965519</v>
      </c>
      <c r="J296" s="118">
        <f>IF($D296="",0,IF($F296&lt;2,0,IF($E296="Win",('Guide &amp; Settings'!$C$42/(($F296-1)*COUNTIFS($A$4:$A$810,$A296,$E$4:$E$810,"Win")))*SUMIFS($X$4:$X$810,$A$4:$A$810,$A296,$E$4:$E$810,"Loss"),-('Guide &amp; Settings'!$C$42/($F296-1))*$X296)))</f>
        <v>20.863082461010471</v>
      </c>
      <c r="K296" s="118">
        <f>IF($D296="",0,'Guide &amp; Settings'!$C$43*(IF($E296="Win",1,0)-$I296))</f>
        <v>6.206896551724137</v>
      </c>
      <c r="L296" s="119">
        <f>IF($D296="",0,'Guide &amp; Settings'!$C$44*IF($F296&gt;=3,$F296,0))</f>
        <v>0</v>
      </c>
      <c r="M296" s="118">
        <f t="shared" si="71"/>
        <v>27.069979012734606</v>
      </c>
      <c r="N296" s="116">
        <f t="shared" si="72"/>
        <v>1012.0650351160468</v>
      </c>
      <c r="O296" s="115" t="str">
        <f t="shared" si="73"/>
        <v>OK</v>
      </c>
      <c r="P296">
        <f t="shared" si="74"/>
        <v>984.99505610331221</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981.41282844929128</v>
      </c>
      <c r="W296">
        <f t="shared" si="80"/>
        <v>981.41282844929128</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1090.4582166793289</v>
      </c>
      <c r="I297" s="117">
        <f t="shared" si="70"/>
        <v>0.51724137931034486</v>
      </c>
      <c r="J297" s="118">
        <f>IF($D297="",0,IF($F297&lt;2,0,IF($E297="Win",('Guide &amp; Settings'!$C$42/(($F297-1)*COUNTIFS($A$4:$A$810,$A297,$E$4:$E$810,"Win")))*SUMIFS($X$4:$X$810,$A$4:$A$810,$A297,$E$4:$E$810,"Loss"),-('Guide &amp; Settings'!$C$42/($F297-1))*$X297)))</f>
        <v>-20.863082461010471</v>
      </c>
      <c r="K297" s="118">
        <f>IF($D297="",0,'Guide &amp; Settings'!$C$43*(IF($E297="Win",1,0)-$I297))</f>
        <v>-6.2068965517241388</v>
      </c>
      <c r="L297" s="119">
        <f>IF($D297="",0,'Guide &amp; Settings'!$C$44*IF($F297&gt;=3,$F297,0))</f>
        <v>0</v>
      </c>
      <c r="M297" s="118">
        <f t="shared" si="71"/>
        <v>-27.06997901273461</v>
      </c>
      <c r="N297" s="116">
        <f t="shared" si="72"/>
        <v>1063.3882376665943</v>
      </c>
      <c r="O297" s="115" t="str">
        <f t="shared" si="73"/>
        <v>OK</v>
      </c>
      <c r="P297">
        <f t="shared" si="74"/>
        <v>984.99505610331221</v>
      </c>
      <c r="Q297">
        <f t="shared" si="75"/>
        <v>0.64727779158054288</v>
      </c>
      <c r="R297">
        <f t="shared" si="76"/>
        <v>0.5</v>
      </c>
      <c r="S297">
        <f t="shared" si="77"/>
        <v>0.96666666666666667</v>
      </c>
      <c r="T297" s="83">
        <f t="shared" si="78"/>
        <v>0</v>
      </c>
      <c r="U297" s="120">
        <f>IF($D297="",0,IFERROR(LOOKUP(2,1/(($D$3:D296=$D297)*($C$3:C296=$C297)*($A$3:A296&lt;$A297)),$AB$3:AB296),1000))</f>
        <v>1000</v>
      </c>
      <c r="V297" s="120">
        <f t="shared" si="79"/>
        <v>1090.4582166793289</v>
      </c>
      <c r="W297">
        <f t="shared" si="80"/>
        <v>981.41282844929128</v>
      </c>
      <c r="X297">
        <f t="shared" si="81"/>
        <v>0.65197132690657722</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1012.0650351160468</v>
      </c>
      <c r="I298" s="117">
        <f t="shared" si="70"/>
        <v>0.60000000000000009</v>
      </c>
      <c r="J298" s="118">
        <f>IF($D298="",0,IF($F298&lt;2,0,IF($E298="Win",('Guide &amp; Settings'!$C$42/(($F298-1)*COUNTIFS($A$4:$A$810,$A298,$E$4:$E$810,"Win")))*SUMIFS($X$4:$X$810,$A$4:$A$810,$A298,$E$4:$E$810,"Loss"),-('Guide &amp; Settings'!$C$42/($F298-1))*$X298)))</f>
        <v>-13.754986521513139</v>
      </c>
      <c r="K298" s="118">
        <f>IF($D298="",0,'Guide &amp; Settings'!$C$43*(IF($E298="Win",1,0)-$I298))</f>
        <v>-7.2000000000000011</v>
      </c>
      <c r="L298" s="119">
        <f>IF($D298="",0,'Guide &amp; Settings'!$C$44*IF($F298&gt;=3,$F298,0))</f>
        <v>0</v>
      </c>
      <c r="M298" s="118">
        <f t="shared" si="71"/>
        <v>-20.954986521513142</v>
      </c>
      <c r="N298" s="116">
        <f t="shared" si="72"/>
        <v>991.11004859453374</v>
      </c>
      <c r="O298" s="115" t="str">
        <f t="shared" si="73"/>
        <v>OK</v>
      </c>
      <c r="P298">
        <f t="shared" si="74"/>
        <v>1063.3882376665943</v>
      </c>
      <c r="Q298">
        <f t="shared" si="75"/>
        <v>0.42667256454329139</v>
      </c>
      <c r="R298">
        <f t="shared" si="76"/>
        <v>0.5</v>
      </c>
      <c r="S298">
        <f t="shared" si="77"/>
        <v>0.83333333333333326</v>
      </c>
      <c r="T298" s="83">
        <f t="shared" si="78"/>
        <v>14</v>
      </c>
      <c r="U298" s="120">
        <f>IF($D298="",0,IFERROR(LOOKUP(2,1/(($D$3:D297=$D298)*($C$3:C297=$C298)*($A$3:A297&lt;$A298)),$AB$3:AB297),1000))</f>
        <v>996.95345790737315</v>
      </c>
      <c r="V298" s="120">
        <f t="shared" si="79"/>
        <v>1000.930188751761</v>
      </c>
      <c r="W298">
        <f t="shared" si="80"/>
        <v>1050.0037965013264</v>
      </c>
      <c r="X298">
        <f t="shared" si="81"/>
        <v>0.4298433287972856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1063.3882376665943</v>
      </c>
      <c r="I299" s="117">
        <f t="shared" si="70"/>
        <v>0.4</v>
      </c>
      <c r="J299" s="118">
        <f>IF($D299="",0,IF($F299&lt;2,0,IF($E299="Win",('Guide &amp; Settings'!$C$42/(($F299-1)*COUNTIFS($A$4:$A$810,$A299,$E$4:$E$810,"Win")))*SUMIFS($X$4:$X$810,$A$4:$A$810,$A299,$E$4:$E$810,"Loss"),-('Guide &amp; Settings'!$C$42/($F299-1))*$X299)))</f>
        <v>13.754986521513139</v>
      </c>
      <c r="K299" s="118">
        <f>IF($D299="",0,'Guide &amp; Settings'!$C$43*(IF($E299="Win",1,0)-$I299))</f>
        <v>7.1999999999999993</v>
      </c>
      <c r="L299" s="119">
        <f>IF($D299="",0,'Guide &amp; Settings'!$C$44*IF($F299&gt;=3,$F299,0))</f>
        <v>0</v>
      </c>
      <c r="M299" s="118">
        <f t="shared" si="71"/>
        <v>20.954986521513138</v>
      </c>
      <c r="N299" s="116">
        <f t="shared" si="72"/>
        <v>1084.3432241881073</v>
      </c>
      <c r="O299" s="115" t="str">
        <f t="shared" si="73"/>
        <v>OK</v>
      </c>
      <c r="P299">
        <f t="shared" si="74"/>
        <v>1063.3882376665943</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1050.0037965013264</v>
      </c>
      <c r="W299">
        <f t="shared" si="80"/>
        <v>1050.0037965013264</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991.11004859453374</v>
      </c>
      <c r="I300" s="117">
        <f t="shared" si="70"/>
        <v>0.48484848484848486</v>
      </c>
      <c r="J300" s="118">
        <f>IF($D300="",0,IF($F300&lt;2,0,IF($E300="Win",('Guide &amp; Settings'!$C$42/(($F300-1)*COUNTIFS($A$4:$A$810,$A300,$E$4:$E$810,"Win")))*SUMIFS($X$4:$X$810,$A$4:$A$810,$A300,$E$4:$E$810,"Loss"),-('Guide &amp; Settings'!$C$42/($F300-1))*$X300)))</f>
        <v>19.495685057796013</v>
      </c>
      <c r="K300" s="118">
        <f>IF($D300="",0,'Guide &amp; Settings'!$C$43*(IF($E300="Win",1,0)-$I300))</f>
        <v>6.1818181818181817</v>
      </c>
      <c r="L300" s="119">
        <f>IF($D300="",0,'Guide &amp; Settings'!$C$44*IF($F300&gt;=3,$F300,0))</f>
        <v>0</v>
      </c>
      <c r="M300" s="118">
        <f t="shared" si="71"/>
        <v>25.677503239614197</v>
      </c>
      <c r="N300" s="116">
        <f t="shared" si="72"/>
        <v>1016.787551834148</v>
      </c>
      <c r="O300" s="115" t="str">
        <f t="shared" si="73"/>
        <v>OK</v>
      </c>
      <c r="P300">
        <f t="shared" si="74"/>
        <v>991.11004859453374</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983.01374268671793</v>
      </c>
      <c r="W300">
        <f t="shared" si="80"/>
        <v>983.01374268671793</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1084.3432241881073</v>
      </c>
      <c r="I301" s="117">
        <f t="shared" si="70"/>
        <v>0.51515151515151514</v>
      </c>
      <c r="J301" s="118">
        <f>IF($D301="",0,IF($F301&lt;2,0,IF($E301="Win",('Guide &amp; Settings'!$C$42/(($F301-1)*COUNTIFS($A$4:$A$810,$A301,$E$4:$E$810,"Win")))*SUMIFS($X$4:$X$810,$A$4:$A$810,$A301,$E$4:$E$810,"Loss"),-('Guide &amp; Settings'!$C$42/($F301-1))*$X301)))</f>
        <v>-19.495685057796013</v>
      </c>
      <c r="K301" s="118">
        <f>IF($D301="",0,'Guide &amp; Settings'!$C$43*(IF($E301="Win",1,0)-$I301))</f>
        <v>-6.1818181818181817</v>
      </c>
      <c r="L301" s="119">
        <f>IF($D301="",0,'Guide &amp; Settings'!$C$44*IF($F301&gt;=3,$F301,0))</f>
        <v>0</v>
      </c>
      <c r="M301" s="118">
        <f t="shared" si="71"/>
        <v>-25.677503239614197</v>
      </c>
      <c r="N301" s="116">
        <f t="shared" si="72"/>
        <v>1058.6657209484931</v>
      </c>
      <c r="O301" s="115" t="str">
        <f t="shared" si="73"/>
        <v>OK</v>
      </c>
      <c r="P301">
        <f t="shared" si="74"/>
        <v>991.11004859453374</v>
      </c>
      <c r="Q301">
        <f t="shared" si="75"/>
        <v>0.63104286048981406</v>
      </c>
      <c r="R301">
        <f t="shared" si="76"/>
        <v>0.5</v>
      </c>
      <c r="S301">
        <f t="shared" si="77"/>
        <v>0.97058823529411764</v>
      </c>
      <c r="T301" s="83">
        <f t="shared" si="78"/>
        <v>2</v>
      </c>
      <c r="U301" s="120">
        <f>IF($D301="",0,IFERROR(LOOKUP(2,1/(($D$3:D300=$D301)*($C$3:C300=$C301)*($A$3:A300&lt;$A301)),$AB$3:AB300),1000))</f>
        <v>999.72007453158096</v>
      </c>
      <c r="V301" s="120">
        <f t="shared" si="79"/>
        <v>1060.1651814290999</v>
      </c>
      <c r="W301">
        <f t="shared" si="80"/>
        <v>983.01374268671793</v>
      </c>
      <c r="X301">
        <f t="shared" si="81"/>
        <v>0.60924015805612541</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1016.787551834148</v>
      </c>
      <c r="I302" s="117">
        <f t="shared" si="70"/>
        <v>0.41666666666666669</v>
      </c>
      <c r="J302" s="118">
        <f>IF($D302="",0,IF($F302&lt;2,0,IF($E302="Win",('Guide &amp; Settings'!$C$42/(($F302-1)*COUNTIFS($A$4:$A$810,$A302,$E$4:$E$810,"Win")))*SUMIFS($X$4:$X$810,$A$4:$A$810,$A302,$E$4:$E$810,"Loss"),-('Guide &amp; Settings'!$C$42/($F302-1))*$X302)))</f>
        <v>19.300211870714467</v>
      </c>
      <c r="K302" s="118">
        <f>IF($D302="",0,'Guide &amp; Settings'!$C$43*(IF($E302="Win",1,0)-$I302))</f>
        <v>6.9999999999999991</v>
      </c>
      <c r="L302" s="119">
        <f>IF($D302="",0,'Guide &amp; Settings'!$C$44*IF($F302&gt;=3,$F302,0))</f>
        <v>0</v>
      </c>
      <c r="M302" s="118">
        <f t="shared" si="71"/>
        <v>26.300211870714467</v>
      </c>
      <c r="N302" s="116">
        <f t="shared" si="72"/>
        <v>1043.0877637048625</v>
      </c>
      <c r="O302" s="115" t="str">
        <f t="shared" si="73"/>
        <v>OK</v>
      </c>
      <c r="P302">
        <f t="shared" si="74"/>
        <v>1016.787551834148</v>
      </c>
      <c r="Q302">
        <f t="shared" si="75"/>
        <v>0.5</v>
      </c>
      <c r="R302">
        <f t="shared" si="76"/>
        <v>0.5</v>
      </c>
      <c r="S302">
        <f t="shared" si="77"/>
        <v>1.2</v>
      </c>
      <c r="T302" s="83">
        <f t="shared" si="78"/>
        <v>16</v>
      </c>
      <c r="U302" s="120">
        <f>IF($D302="",0,IFERROR(LOOKUP(2,1/(($D$3:D301=$D302)*($C$3:C301=$C302)*($A$3:A301&lt;$A302)),$AB$3:AB301),1000))</f>
        <v>997.20768388007116</v>
      </c>
      <c r="V302" s="120">
        <f t="shared" si="79"/>
        <v>1001.8695572024704</v>
      </c>
      <c r="W302">
        <f t="shared" si="80"/>
        <v>1001.8695572024704</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1112.3077761293196</v>
      </c>
      <c r="I303" s="117">
        <f t="shared" si="70"/>
        <v>0.58333333333333337</v>
      </c>
      <c r="J303" s="118">
        <f>IF($D303="",0,IF($F303&lt;2,0,IF($E303="Win",('Guide &amp; Settings'!$C$42/(($F303-1)*COUNTIFS($A$4:$A$810,$A303,$E$4:$E$810,"Win")))*SUMIFS($X$4:$X$810,$A$4:$A$810,$A303,$E$4:$E$810,"Loss"),-('Guide &amp; Settings'!$C$42/($F303-1))*$X303)))</f>
        <v>-19.300211870714467</v>
      </c>
      <c r="K303" s="118">
        <f>IF($D303="",0,'Guide &amp; Settings'!$C$43*(IF($E303="Win",1,0)-$I303))</f>
        <v>-7</v>
      </c>
      <c r="L303" s="119">
        <f>IF($D303="",0,'Guide &amp; Settings'!$C$44*IF($F303&gt;=3,$F303,0))</f>
        <v>0</v>
      </c>
      <c r="M303" s="118">
        <f t="shared" si="71"/>
        <v>-26.300211870714467</v>
      </c>
      <c r="N303" s="116">
        <f t="shared" si="72"/>
        <v>1086.007564258605</v>
      </c>
      <c r="O303" s="115" t="str">
        <f t="shared" si="73"/>
        <v>OK</v>
      </c>
      <c r="P303">
        <f t="shared" si="74"/>
        <v>1016.787551834148</v>
      </c>
      <c r="Q303">
        <f t="shared" si="75"/>
        <v>0.63410278714213231</v>
      </c>
      <c r="R303">
        <f t="shared" si="76"/>
        <v>0.7</v>
      </c>
      <c r="S303">
        <f t="shared" si="77"/>
        <v>1.2</v>
      </c>
      <c r="T303" s="83">
        <f t="shared" si="78"/>
        <v>8</v>
      </c>
      <c r="U303" s="120">
        <f>IF($D303="",0,IFERROR(LOOKUP(2,1/(($D$3:D302=$D303)*($C$3:C302=$C303)*($A$3:A302&lt;$A303)),$AB$3:AB302),1000))</f>
        <v>1050.9933109481403</v>
      </c>
      <c r="V303" s="120">
        <f t="shared" si="79"/>
        <v>1074.5757975562863</v>
      </c>
      <c r="W303">
        <f t="shared" si="80"/>
        <v>1001.8695572024704</v>
      </c>
      <c r="X303">
        <f t="shared" si="81"/>
        <v>0.60313162095982709</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1043.0877637048625</v>
      </c>
      <c r="I304" s="117">
        <f t="shared" si="70"/>
        <v>0.45267489711934156</v>
      </c>
      <c r="J304" s="118">
        <f>IF($D304="",0,IF($F304&lt;2,0,IF($E304="Win",('Guide &amp; Settings'!$C$42/(($F304-1)*COUNTIFS($A$4:$A$810,$A304,$E$4:$E$810,"Win")))*SUMIFS($X$4:$X$810,$A$4:$A$810,$A304,$E$4:$E$810,"Loss"),-('Guide &amp; Settings'!$C$42/($F304-1))*$X304)))</f>
        <v>-14.633961934886059</v>
      </c>
      <c r="K304" s="118">
        <f>IF($D304="",0,'Guide &amp; Settings'!$C$43*(IF($E304="Win",1,0)-$I304))</f>
        <v>-5.4320987654320989</v>
      </c>
      <c r="L304" s="119">
        <f>IF($D304="",0,'Guide &amp; Settings'!$C$44*IF($F304&gt;=3,$F304,0))</f>
        <v>0</v>
      </c>
      <c r="M304" s="118">
        <f t="shared" si="71"/>
        <v>-20.066060700318157</v>
      </c>
      <c r="N304" s="116">
        <f t="shared" si="72"/>
        <v>1023.0217030045443</v>
      </c>
      <c r="O304" s="115" t="str">
        <f t="shared" si="73"/>
        <v>OK</v>
      </c>
      <c r="P304">
        <f t="shared" si="74"/>
        <v>1086.007564258605</v>
      </c>
      <c r="Q304">
        <f t="shared" si="75"/>
        <v>0.43854573054319174</v>
      </c>
      <c r="R304">
        <f t="shared" si="76"/>
        <v>0.52631578947368418</v>
      </c>
      <c r="S304">
        <f t="shared" si="77"/>
        <v>1.1626794258373205</v>
      </c>
      <c r="T304" s="83">
        <f t="shared" si="78"/>
        <v>17</v>
      </c>
      <c r="U304" s="120">
        <f>IF($D304="",0,IFERROR(LOOKUP(2,1/(($D$3:D303=$D304)*($C$3:C303=$C304)*($A$3:A303&lt;$A304)),$AB$3:AB303),1000))</f>
        <v>1015.6650046451228</v>
      </c>
      <c r="V304" s="120">
        <f t="shared" si="79"/>
        <v>1021.8974498859728</v>
      </c>
      <c r="W304">
        <f t="shared" si="80"/>
        <v>1051.6329809243446</v>
      </c>
      <c r="X304">
        <f t="shared" si="81"/>
        <v>0.45731131046518936</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1086.007564258605</v>
      </c>
      <c r="I305" s="117">
        <f t="shared" si="70"/>
        <v>0.5473251028806585</v>
      </c>
      <c r="J305" s="118">
        <f>IF($D305="",0,IF($F305&lt;2,0,IF($E305="Win",('Guide &amp; Settings'!$C$42/(($F305-1)*COUNTIFS($A$4:$A$810,$A305,$E$4:$E$810,"Win")))*SUMIFS($X$4:$X$810,$A$4:$A$810,$A305,$E$4:$E$810,"Loss"),-('Guide &amp; Settings'!$C$42/($F305-1))*$X305)))</f>
        <v>14.633961934886059</v>
      </c>
      <c r="K305" s="118">
        <f>IF($D305="",0,'Guide &amp; Settings'!$C$43*(IF($E305="Win",1,0)-$I305))</f>
        <v>5.432098765432098</v>
      </c>
      <c r="L305" s="119">
        <f>IF($D305="",0,'Guide &amp; Settings'!$C$44*IF($F305&gt;=3,$F305,0))</f>
        <v>0</v>
      </c>
      <c r="M305" s="118">
        <f t="shared" si="71"/>
        <v>20.066060700318157</v>
      </c>
      <c r="N305" s="116">
        <f t="shared" si="72"/>
        <v>1106.0736249589231</v>
      </c>
      <c r="O305" s="115" t="str">
        <f t="shared" si="73"/>
        <v>OK</v>
      </c>
      <c r="P305">
        <f t="shared" si="74"/>
        <v>1086.007564258605</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1051.6329809243446</v>
      </c>
      <c r="W305">
        <f t="shared" si="80"/>
        <v>1051.6329809243446</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1023.0217030045443</v>
      </c>
      <c r="I306" s="117">
        <f t="shared" si="70"/>
        <v>0.5</v>
      </c>
      <c r="J306" s="118">
        <f>IF($D306="",0,IF($F306&lt;2,0,IF($E306="Win",('Guide &amp; Settings'!$C$42/(($F306-1)*COUNTIFS($A$4:$A$810,$A306,$E$4:$E$810,"Win")))*SUMIFS($X$4:$X$810,$A$4:$A$810,$A306,$E$4:$E$810,"Loss"),-('Guide &amp; Settings'!$C$42/($F306-1))*$X306)))</f>
        <v>19.7534605732545</v>
      </c>
      <c r="K306" s="118">
        <f>IF($D306="",0,'Guide &amp; Settings'!$C$43*(IF($E306="Win",1,0)-$I306))</f>
        <v>6</v>
      </c>
      <c r="L306" s="119">
        <f>IF($D306="",0,'Guide &amp; Settings'!$C$44*IF($F306&gt;=3,$F306,0))</f>
        <v>0</v>
      </c>
      <c r="M306" s="118">
        <f t="shared" si="71"/>
        <v>25.7534605732545</v>
      </c>
      <c r="N306" s="116">
        <f t="shared" si="72"/>
        <v>1048.7751635777988</v>
      </c>
      <c r="O306" s="115" t="str">
        <f t="shared" si="73"/>
        <v>OK</v>
      </c>
      <c r="P306">
        <f t="shared" si="74"/>
        <v>1023.0217030045443</v>
      </c>
      <c r="Q306">
        <f t="shared" si="75"/>
        <v>0.5</v>
      </c>
      <c r="R306">
        <f t="shared" si="76"/>
        <v>0.5</v>
      </c>
      <c r="S306">
        <f t="shared" si="77"/>
        <v>1</v>
      </c>
      <c r="T306" s="83">
        <f t="shared" si="78"/>
        <v>0</v>
      </c>
      <c r="U306" s="120">
        <f>IF($D306="",0,IFERROR(LOOKUP(2,1/(($D$3:D305=$D306)*($C$3:C305=$C306)*($A$3:A305&lt;$A306)),$AB$3:AB305),1000))</f>
        <v>1000</v>
      </c>
      <c r="V306" s="120">
        <f t="shared" si="79"/>
        <v>1023.0217030045443</v>
      </c>
      <c r="W306">
        <f t="shared" si="80"/>
        <v>1023.0217030045443</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1106.0736249589231</v>
      </c>
      <c r="I307" s="117">
        <f t="shared" si="70"/>
        <v>0.5</v>
      </c>
      <c r="J307" s="118">
        <f>IF($D307="",0,IF($F307&lt;2,0,IF($E307="Win",('Guide &amp; Settings'!$C$42/(($F307-1)*COUNTIFS($A$4:$A$810,$A307,$E$4:$E$810,"Win")))*SUMIFS($X$4:$X$810,$A$4:$A$810,$A307,$E$4:$E$810,"Loss"),-('Guide &amp; Settings'!$C$42/($F307-1))*$X307)))</f>
        <v>-19.7534605732545</v>
      </c>
      <c r="K307" s="118">
        <f>IF($D307="",0,'Guide &amp; Settings'!$C$43*(IF($E307="Win",1,0)-$I307))</f>
        <v>-6</v>
      </c>
      <c r="L307" s="119">
        <f>IF($D307="",0,'Guide &amp; Settings'!$C$44*IF($F307&gt;=3,$F307,0))</f>
        <v>0</v>
      </c>
      <c r="M307" s="118">
        <f t="shared" si="71"/>
        <v>-25.7534605732545</v>
      </c>
      <c r="N307" s="116">
        <f t="shared" si="72"/>
        <v>1080.3201643856687</v>
      </c>
      <c r="O307" s="115" t="str">
        <f t="shared" si="73"/>
        <v>OK</v>
      </c>
      <c r="P307">
        <f t="shared" si="74"/>
        <v>1023.0217030045443</v>
      </c>
      <c r="Q307">
        <f t="shared" si="75"/>
        <v>0.61729564291420314</v>
      </c>
      <c r="R307">
        <f t="shared" si="76"/>
        <v>0.5</v>
      </c>
      <c r="S307">
        <f t="shared" si="77"/>
        <v>1</v>
      </c>
      <c r="T307" s="83">
        <f t="shared" si="78"/>
        <v>0</v>
      </c>
      <c r="U307" s="120">
        <f>IF($D307="",0,IFERROR(LOOKUP(2,1/(($D$3:D306=$D307)*($C$3:C306=$C307)*($A$3:A306&lt;$A307)),$AB$3:AB306),1000))</f>
        <v>1000</v>
      </c>
      <c r="V307" s="120">
        <f t="shared" si="79"/>
        <v>1106.0736249589231</v>
      </c>
      <c r="W307">
        <f t="shared" si="80"/>
        <v>1023.0217030045443</v>
      </c>
      <c r="X307">
        <f t="shared" si="81"/>
        <v>0.61729564291420314</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1048.7751635777988</v>
      </c>
      <c r="I308" s="117">
        <f t="shared" si="70"/>
        <v>0.66666666666666663</v>
      </c>
      <c r="J308" s="118">
        <f>IF($D308="",0,IF($F308&lt;2,0,IF($E308="Win",('Guide &amp; Settings'!$C$42/(($F308-1)*COUNTIFS($A$4:$A$810,$A308,$E$4:$E$810,"Win")))*SUMIFS($X$4:$X$810,$A$4:$A$810,$A308,$E$4:$E$810,"Loss"),-('Guide &amp; Settings'!$C$42/($F308-1))*$X308)))</f>
        <v>16.963806763649458</v>
      </c>
      <c r="K308" s="118">
        <f>IF($D308="",0,'Guide &amp; Settings'!$C$43*(IF($E308="Win",1,0)-$I308))</f>
        <v>4</v>
      </c>
      <c r="L308" s="119">
        <f>IF($D308="",0,'Guide &amp; Settings'!$C$44*IF($F308&gt;=3,$F308,0))</f>
        <v>0</v>
      </c>
      <c r="M308" s="118">
        <f t="shared" si="71"/>
        <v>20.963806763649458</v>
      </c>
      <c r="N308" s="116">
        <f t="shared" si="72"/>
        <v>1069.7389703414483</v>
      </c>
      <c r="O308" s="115" t="str">
        <f t="shared" si="73"/>
        <v>OK</v>
      </c>
      <c r="P308">
        <f t="shared" si="74"/>
        <v>1048.7751635777988</v>
      </c>
      <c r="Q308">
        <f t="shared" si="75"/>
        <v>0.5</v>
      </c>
      <c r="R308">
        <f t="shared" si="76"/>
        <v>0.66666666666666663</v>
      </c>
      <c r="S308">
        <f t="shared" si="77"/>
        <v>1</v>
      </c>
      <c r="T308" s="83">
        <f t="shared" si="78"/>
        <v>1</v>
      </c>
      <c r="U308" s="120">
        <f>IF($D308="",0,IFERROR(LOOKUP(2,1/(($D$3:D307=$D308)*($C$3:C307=$C308)*($A$3:A307&lt;$A308)),$AB$3:AB307),1000))</f>
        <v>1016</v>
      </c>
      <c r="V308" s="120">
        <f t="shared" si="79"/>
        <v>1043.3126363148324</v>
      </c>
      <c r="W308">
        <f t="shared" si="80"/>
        <v>1043.3126363148324</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1080.3201643856687</v>
      </c>
      <c r="I309" s="117">
        <f t="shared" si="70"/>
        <v>0.33333333333333331</v>
      </c>
      <c r="J309" s="118">
        <f>IF($D309="",0,IF($F309&lt;2,0,IF($E309="Win",('Guide &amp; Settings'!$C$42/(($F309-1)*COUNTIFS($A$4:$A$810,$A309,$E$4:$E$810,"Win")))*SUMIFS($X$4:$X$810,$A$4:$A$810,$A309,$E$4:$E$810,"Loss"),-('Guide &amp; Settings'!$C$42/($F309-1))*$X309)))</f>
        <v>-16.963806763649458</v>
      </c>
      <c r="K309" s="118">
        <f>IF($D309="",0,'Guide &amp; Settings'!$C$43*(IF($E309="Win",1,0)-$I309))</f>
        <v>-4</v>
      </c>
      <c r="L309" s="119">
        <f>IF($D309="",0,'Guide &amp; Settings'!$C$44*IF($F309&gt;=3,$F309,0))</f>
        <v>0</v>
      </c>
      <c r="M309" s="118">
        <f t="shared" si="71"/>
        <v>-20.963806763649458</v>
      </c>
      <c r="N309" s="116">
        <f t="shared" si="72"/>
        <v>1059.3563576220192</v>
      </c>
      <c r="O309" s="115" t="str">
        <f t="shared" si="73"/>
        <v>OK</v>
      </c>
      <c r="P309">
        <f t="shared" si="74"/>
        <v>1048.7751635777988</v>
      </c>
      <c r="Q309">
        <f t="shared" si="75"/>
        <v>0.54527257197528178</v>
      </c>
      <c r="R309">
        <f t="shared" si="76"/>
        <v>0.33333333333333331</v>
      </c>
      <c r="S309">
        <f t="shared" si="77"/>
        <v>1</v>
      </c>
      <c r="T309" s="83">
        <f t="shared" si="78"/>
        <v>1</v>
      </c>
      <c r="U309" s="120">
        <f>IF($D309="",0,IFERROR(LOOKUP(2,1/(($D$3:D308=$D309)*($C$3:C308=$C309)*($A$3:A308&lt;$A309)),$AB$3:AB308),1000))</f>
        <v>984</v>
      </c>
      <c r="V309" s="120">
        <f t="shared" si="79"/>
        <v>1064.2668036547238</v>
      </c>
      <c r="W309">
        <f t="shared" si="80"/>
        <v>1043.3126363148324</v>
      </c>
      <c r="X309">
        <f t="shared" si="81"/>
        <v>0.53011896136404557</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1069.7389703414483</v>
      </c>
      <c r="I310" s="117">
        <f t="shared" si="70"/>
        <v>0.75</v>
      </c>
      <c r="J310" s="118">
        <f>IF($D310="",0,IF($F310&lt;2,0,IF($E310="Win",('Guide &amp; Settings'!$C$42/(($F310-1)*COUNTIFS($A$4:$A$810,$A310,$E$4:$E$810,"Win")))*SUMIFS($X$4:$X$810,$A$4:$A$810,$A310,$E$4:$E$810,"Loss"),-('Guide &amp; Settings'!$C$42/($F310-1))*$X310)))</f>
        <v>14.857005939879265</v>
      </c>
      <c r="K310" s="118">
        <f>IF($D310="",0,'Guide &amp; Settings'!$C$43*(IF($E310="Win",1,0)-$I310))</f>
        <v>3</v>
      </c>
      <c r="L310" s="119">
        <f>IF($D310="",0,'Guide &amp; Settings'!$C$44*IF($F310&gt;=3,$F310,0))</f>
        <v>0</v>
      </c>
      <c r="M310" s="118">
        <f t="shared" si="71"/>
        <v>17.857005939879265</v>
      </c>
      <c r="N310" s="116">
        <f t="shared" si="72"/>
        <v>1087.5959762813275</v>
      </c>
      <c r="O310" s="115" t="str">
        <f t="shared" si="73"/>
        <v>OK</v>
      </c>
      <c r="P310">
        <f t="shared" si="74"/>
        <v>1069.7389703414483</v>
      </c>
      <c r="Q310">
        <f t="shared" si="75"/>
        <v>0.5</v>
      </c>
      <c r="R310">
        <f t="shared" si="76"/>
        <v>0.75</v>
      </c>
      <c r="S310">
        <f t="shared" si="77"/>
        <v>1</v>
      </c>
      <c r="T310" s="83">
        <f t="shared" si="78"/>
        <v>2</v>
      </c>
      <c r="U310" s="120">
        <f>IF($D310="",0,IFERROR(LOOKUP(2,1/(($D$3:D309=$D310)*($C$3:C309=$C310)*($A$3:A309&lt;$A310)),$AB$3:AB309),1000))</f>
        <v>1030.5304984710244</v>
      </c>
      <c r="V310" s="120">
        <f t="shared" si="79"/>
        <v>1058.5365498070414</v>
      </c>
      <c r="W310">
        <f t="shared" si="80"/>
        <v>1058.5365498070414</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1059.3563576220192</v>
      </c>
      <c r="I311" s="117">
        <f t="shared" si="70"/>
        <v>0.25</v>
      </c>
      <c r="J311" s="118">
        <f>IF($D311="",0,IF($F311&lt;2,0,IF($E311="Win",('Guide &amp; Settings'!$C$42/(($F311-1)*COUNTIFS($A$4:$A$810,$A311,$E$4:$E$810,"Win")))*SUMIFS($X$4:$X$810,$A$4:$A$810,$A311,$E$4:$E$810,"Loss"),-('Guide &amp; Settings'!$C$42/($F311-1))*$X311)))</f>
        <v>-14.857005939879265</v>
      </c>
      <c r="K311" s="118">
        <f>IF($D311="",0,'Guide &amp; Settings'!$C$43*(IF($E311="Win",1,0)-$I311))</f>
        <v>-3</v>
      </c>
      <c r="L311" s="119">
        <f>IF($D311="",0,'Guide &amp; Settings'!$C$44*IF($F311&gt;=3,$F311,0))</f>
        <v>0</v>
      </c>
      <c r="M311" s="118">
        <f t="shared" si="71"/>
        <v>-17.857005939879265</v>
      </c>
      <c r="N311" s="116">
        <f t="shared" si="72"/>
        <v>1041.4993516821401</v>
      </c>
      <c r="O311" s="115" t="str">
        <f t="shared" si="73"/>
        <v>OK</v>
      </c>
      <c r="P311">
        <f t="shared" si="74"/>
        <v>1069.7389703414483</v>
      </c>
      <c r="Q311">
        <f t="shared" si="75"/>
        <v>0.48506266542128662</v>
      </c>
      <c r="R311">
        <f t="shared" si="76"/>
        <v>0.25</v>
      </c>
      <c r="S311">
        <f t="shared" si="77"/>
        <v>1</v>
      </c>
      <c r="T311" s="83">
        <f t="shared" si="78"/>
        <v>2</v>
      </c>
      <c r="U311" s="120">
        <f>IF($D311="",0,IFERROR(LOOKUP(2,1/(($D$3:D310=$D311)*($C$3:C310=$C311)*($A$3:A310&lt;$A311)),$AB$3:AB310),1000))</f>
        <v>969.46950152897546</v>
      </c>
      <c r="V311" s="120">
        <f t="shared" si="79"/>
        <v>1033.6743987382924</v>
      </c>
      <c r="W311">
        <f t="shared" si="80"/>
        <v>1058.5365498070414</v>
      </c>
      <c r="X311">
        <f t="shared" si="81"/>
        <v>0.46428143562122703</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1087.5959762813275</v>
      </c>
      <c r="I312" s="117">
        <f t="shared" ref="I312:I375" si="87">IF($D312="",0,IF($S312=0,0,$R312/$S312))</f>
        <v>0.4285714285714286</v>
      </c>
      <c r="J312" s="118">
        <f>IF($D312="",0,IF($F312&lt;2,0,IF($E312="Win",('Guide &amp; Settings'!$C$42/(($F312-1)*COUNTIFS($A$4:$A$810,$A312,$E$4:$E$810,"Win")))*SUMIFS($X$4:$X$810,$A$4:$A$810,$A312,$E$4:$E$810,"Loss"),-('Guide &amp; Settings'!$C$42/($F312-1))*$X312)))</f>
        <v>-14.791839796411267</v>
      </c>
      <c r="K312" s="118">
        <f>IF($D312="",0,'Guide &amp; Settings'!$C$43*(IF($E312="Win",1,0)-$I312))</f>
        <v>-5.1428571428571432</v>
      </c>
      <c r="L312" s="119">
        <f>IF($D312="",0,'Guide &amp; Settings'!$C$44*IF($F312&gt;=3,$F312,0))</f>
        <v>0</v>
      </c>
      <c r="M312" s="118">
        <f t="shared" ref="M312:M375" si="88">IF($D312="",0,$J312+$K312+$L312)</f>
        <v>-19.934696939268409</v>
      </c>
      <c r="N312" s="116">
        <f t="shared" ref="N312:N375" si="89">IF($D312="",0,$H312+$M312)</f>
        <v>1067.6612793420591</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1041.4993516821401</v>
      </c>
      <c r="Q312">
        <f t="shared" ref="Q312:Q375" si="92">IF($D312="",0,1/(1+10^(($P312-$H312)/400)))</f>
        <v>0.56595184271215493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1019.3879939253603</v>
      </c>
      <c r="W312">
        <f t="shared" ref="W312:W375" si="97">IF($D312="",0,IFERROR(SUMIFS($V$4:$V$810,$A$4:$A$810,$A312,$E$4:$E$810,"Win")/COUNTIFS($A$4:$A$810,$A312,$E$4:$E$810,"Win"),0))</f>
        <v>1045.6728923396452</v>
      </c>
      <c r="X312">
        <f t="shared" ref="X312:X375" si="98">IF($D312="",0,1/(1+10^(($W312-$V312)/400)))</f>
        <v>0.4622449936378521</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1041.4993516821401</v>
      </c>
      <c r="I313" s="117">
        <f t="shared" si="87"/>
        <v>0.57142857142857151</v>
      </c>
      <c r="J313" s="118">
        <f>IF($D313="",0,IF($F313&lt;2,0,IF($E313="Win",('Guide &amp; Settings'!$C$42/(($F313-1)*COUNTIFS($A$4:$A$810,$A313,$E$4:$E$810,"Win")))*SUMIFS($X$4:$X$810,$A$4:$A$810,$A313,$E$4:$E$810,"Loss"),-('Guide &amp; Settings'!$C$42/($F313-1))*$X313)))</f>
        <v>14.791839796411267</v>
      </c>
      <c r="K313" s="118">
        <f>IF($D313="",0,'Guide &amp; Settings'!$C$43*(IF($E313="Win",1,0)-$I313))</f>
        <v>5.1428571428571423</v>
      </c>
      <c r="L313" s="119">
        <f>IF($D313="",0,'Guide &amp; Settings'!$C$44*IF($F313&gt;=3,$F313,0))</f>
        <v>0</v>
      </c>
      <c r="M313" s="118">
        <f t="shared" si="88"/>
        <v>19.934696939268409</v>
      </c>
      <c r="N313" s="116">
        <f t="shared" si="89"/>
        <v>1061.4340486214085</v>
      </c>
      <c r="O313" s="115" t="str">
        <f t="shared" si="90"/>
        <v>OK</v>
      </c>
      <c r="P313">
        <f t="shared" si="91"/>
        <v>1041.4993516821401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1045.6728923396452</v>
      </c>
      <c r="W313">
        <f t="shared" si="97"/>
        <v>1045.6728923396452</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1067.6612793420591</v>
      </c>
      <c r="I314" s="117">
        <f t="shared" si="87"/>
        <v>0.40752351097178685</v>
      </c>
      <c r="J314" s="118">
        <f>IF($D314="",0,IF($F314&lt;2,0,IF($E314="Win",('Guide &amp; Settings'!$C$42/(($F314-1)*COUNTIFS($A$4:$A$810,$A314,$E$4:$E$810,"Win")))*SUMIFS($X$4:$X$810,$A$4:$A$810,$A314,$E$4:$E$810,"Loss"),-('Guide &amp; Settings'!$C$42/($F314-1))*$X314)))</f>
        <v>-13.351271819763314</v>
      </c>
      <c r="K314" s="118">
        <f>IF($D314="",0,'Guide &amp; Settings'!$C$43*(IF($E314="Win",1,0)-$I314))</f>
        <v>-4.8902821316614418</v>
      </c>
      <c r="L314" s="119">
        <f>IF($D314="",0,'Guide &amp; Settings'!$C$44*IF($F314&gt;=3,$F314,0))</f>
        <v>0</v>
      </c>
      <c r="M314" s="118">
        <f t="shared" si="88"/>
        <v>-18.241553951424756</v>
      </c>
      <c r="N314" s="116">
        <f t="shared" si="89"/>
        <v>1049.4197253906343</v>
      </c>
      <c r="O314" s="115" t="str">
        <f t="shared" si="90"/>
        <v>OK</v>
      </c>
      <c r="P314">
        <f t="shared" si="91"/>
        <v>1061.4340486214085</v>
      </c>
      <c r="Q314">
        <f t="shared" si="92"/>
        <v>0.5089607458705353</v>
      </c>
      <c r="R314">
        <f t="shared" si="93"/>
        <v>0.47619047619047616</v>
      </c>
      <c r="S314">
        <f t="shared" si="94"/>
        <v>1.1684981684981683</v>
      </c>
      <c r="T314" s="83">
        <f t="shared" si="95"/>
        <v>19</v>
      </c>
      <c r="U314" s="120">
        <f>IF($D314="",0,IFERROR(LOOKUP(2,1/(($D$3:D313=$D314)*($C$3:C313=$C314)*($A$3:A313&lt;$A314)),$AB$3:AB313),1000))</f>
        <v>986.60704803320323</v>
      </c>
      <c r="V314" s="120">
        <f t="shared" si="96"/>
        <v>1003.4933462225482</v>
      </c>
      <c r="W314">
        <f t="shared" si="97"/>
        <v>1061.5439786157583</v>
      </c>
      <c r="X314">
        <f t="shared" si="98"/>
        <v>0.41722724436760356</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1061.4340486214085</v>
      </c>
      <c r="I315" s="117">
        <f t="shared" si="87"/>
        <v>0.59247648902821326</v>
      </c>
      <c r="J315" s="118">
        <f>IF($D315="",0,IF($F315&lt;2,0,IF($E315="Win",('Guide &amp; Settings'!$C$42/(($F315-1)*COUNTIFS($A$4:$A$810,$A315,$E$4:$E$810,"Win")))*SUMIFS($X$4:$X$810,$A$4:$A$810,$A315,$E$4:$E$810,"Loss"),-('Guide &amp; Settings'!$C$42/($F315-1))*$X315)))</f>
        <v>13.351271819763314</v>
      </c>
      <c r="K315" s="118">
        <f>IF($D315="",0,'Guide &amp; Settings'!$C$43*(IF($E315="Win",1,0)-$I315))</f>
        <v>4.8902821316614409</v>
      </c>
      <c r="L315" s="119">
        <f>IF($D315="",0,'Guide &amp; Settings'!$C$44*IF($F315&gt;=3,$F315,0))</f>
        <v>0</v>
      </c>
      <c r="M315" s="118">
        <f t="shared" si="88"/>
        <v>18.241553951424756</v>
      </c>
      <c r="N315" s="116">
        <f t="shared" si="89"/>
        <v>1079.6756025728332</v>
      </c>
      <c r="O315" s="115" t="str">
        <f t="shared" si="90"/>
        <v>OK</v>
      </c>
      <c r="P315">
        <f t="shared" si="91"/>
        <v>1061.4340486214085</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1061.5439786157583</v>
      </c>
      <c r="W315">
        <f t="shared" si="97"/>
        <v>1061.5439786157583</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1049.4197253906343</v>
      </c>
      <c r="I316" s="117">
        <f t="shared" si="87"/>
        <v>0.8</v>
      </c>
      <c r="J316" s="118">
        <f>IF($D316="",0,IF($F316&lt;2,0,IF($E316="Win",('Guide &amp; Settings'!$C$42/(($F316-1)*COUNTIFS($A$4:$A$810,$A316,$E$4:$E$810,"Win")))*SUMIFS($X$4:$X$810,$A$4:$A$810,$A316,$E$4:$E$810,"Loss"),-('Guide &amp; Settings'!$C$42/($F316-1))*$X316)))</f>
        <v>15.360203016844471</v>
      </c>
      <c r="K316" s="118">
        <f>IF($D316="",0,'Guide &amp; Settings'!$C$43*(IF($E316="Win",1,0)-$I316))</f>
        <v>2.3999999999999995</v>
      </c>
      <c r="L316" s="119">
        <f>IF($D316="",0,'Guide &amp; Settings'!$C$44*IF($F316&gt;=3,$F316,0))</f>
        <v>0</v>
      </c>
      <c r="M316" s="118">
        <f t="shared" si="88"/>
        <v>17.760203016844471</v>
      </c>
      <c r="N316" s="116">
        <f t="shared" si="89"/>
        <v>1067.1799284074789</v>
      </c>
      <c r="O316" s="115" t="str">
        <f t="shared" si="90"/>
        <v>OK</v>
      </c>
      <c r="P316">
        <f t="shared" si="91"/>
        <v>1049.4197253906343</v>
      </c>
      <c r="Q316">
        <f t="shared" si="92"/>
        <v>0.5</v>
      </c>
      <c r="R316">
        <f t="shared" si="93"/>
        <v>0.8</v>
      </c>
      <c r="S316">
        <f t="shared" si="94"/>
        <v>1</v>
      </c>
      <c r="T316" s="83">
        <f t="shared" si="95"/>
        <v>3</v>
      </c>
      <c r="U316" s="120">
        <f>IF($D316="",0,IFERROR(LOOKUP(2,1/(($D$3:D315=$D316)*($C$3:C315=$C316)*($A$3:A315&lt;$A316)),$AB$3:AB315),1000))</f>
        <v>1043.7471336336109</v>
      </c>
      <c r="V316" s="120">
        <f t="shared" si="96"/>
        <v>1047.2925034817504</v>
      </c>
      <c r="W316">
        <f t="shared" si="97"/>
        <v>1047.2925034817504</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1079.6756025728332</v>
      </c>
      <c r="I317" s="117">
        <f t="shared" si="87"/>
        <v>0.2</v>
      </c>
      <c r="J317" s="118">
        <f>IF($D317="",0,IF($F317&lt;2,0,IF($E317="Win",('Guide &amp; Settings'!$C$42/(($F317-1)*COUNTIFS($A$4:$A$810,$A317,$E$4:$E$810,"Win")))*SUMIFS($X$4:$X$810,$A$4:$A$810,$A317,$E$4:$E$810,"Loss"),-('Guide &amp; Settings'!$C$42/($F317-1))*$X317)))</f>
        <v>-15.360203016844471</v>
      </c>
      <c r="K317" s="118">
        <f>IF($D317="",0,'Guide &amp; Settings'!$C$43*(IF($E317="Win",1,0)-$I317))</f>
        <v>-2.4000000000000004</v>
      </c>
      <c r="L317" s="119">
        <f>IF($D317="",0,'Guide &amp; Settings'!$C$44*IF($F317&gt;=3,$F317,0))</f>
        <v>0</v>
      </c>
      <c r="M317" s="118">
        <f t="shared" si="88"/>
        <v>-17.760203016844471</v>
      </c>
      <c r="N317" s="116">
        <f t="shared" si="89"/>
        <v>1061.9153995559886</v>
      </c>
      <c r="O317" s="115" t="str">
        <f t="shared" si="90"/>
        <v>OK</v>
      </c>
      <c r="P317">
        <f t="shared" si="91"/>
        <v>1049.4197253906343</v>
      </c>
      <c r="Q317">
        <f t="shared" si="92"/>
        <v>0.54343197372862562</v>
      </c>
      <c r="R317">
        <f t="shared" si="93"/>
        <v>0.2</v>
      </c>
      <c r="S317">
        <f t="shared" si="94"/>
        <v>1</v>
      </c>
      <c r="T317" s="83">
        <f t="shared" si="95"/>
        <v>3</v>
      </c>
      <c r="U317" s="120">
        <f>IF($D317="",0,IFERROR(LOOKUP(2,1/(($D$3:D316=$D317)*($C$3:C316=$C317)*($A$3:A316&lt;$A317)),$AB$3:AB316),1000))</f>
        <v>956.25286636638907</v>
      </c>
      <c r="V317" s="120">
        <f t="shared" si="96"/>
        <v>1033.3920764954169</v>
      </c>
      <c r="W317">
        <f t="shared" si="97"/>
        <v>1047.2925034817504</v>
      </c>
      <c r="X317">
        <f t="shared" si="98"/>
        <v>0.48000634427638972</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1067.1799284074789</v>
      </c>
      <c r="I318" s="117">
        <f t="shared" si="87"/>
        <v>0.83333333333333337</v>
      </c>
      <c r="J318" s="118">
        <f>IF($D318="",0,IF($F318&lt;2,0,IF($E318="Win",('Guide &amp; Settings'!$C$42/(($F318-1)*COUNTIFS($A$4:$A$810,$A318,$E$4:$E$810,"Win")))*SUMIFS($X$4:$X$810,$A$4:$A$810,$A318,$E$4:$E$810,"Loss"),-('Guide &amp; Settings'!$C$42/($F318-1))*$X318)))</f>
        <v>-18.400630676824097</v>
      </c>
      <c r="K318" s="118">
        <f>IF($D318="",0,'Guide &amp; Settings'!$C$43*(IF($E318="Win",1,0)-$I318))</f>
        <v>-10</v>
      </c>
      <c r="L318" s="119">
        <f>IF($D318="",0,'Guide &amp; Settings'!$C$44*IF($F318&gt;=3,$F318,0))</f>
        <v>0</v>
      </c>
      <c r="M318" s="118">
        <f t="shared" si="88"/>
        <v>-28.400630676824097</v>
      </c>
      <c r="N318" s="116">
        <f t="shared" si="89"/>
        <v>1038.7792977306549</v>
      </c>
      <c r="O318" s="115" t="str">
        <f t="shared" si="90"/>
        <v>OK</v>
      </c>
      <c r="P318">
        <f t="shared" si="91"/>
        <v>1061.9153995559886</v>
      </c>
      <c r="Q318">
        <f t="shared" si="92"/>
        <v>0.50757568625272653</v>
      </c>
      <c r="R318">
        <f t="shared" si="93"/>
        <v>0.83333333333333337</v>
      </c>
      <c r="S318">
        <f t="shared" si="94"/>
        <v>1</v>
      </c>
      <c r="T318" s="83">
        <f t="shared" si="95"/>
        <v>4</v>
      </c>
      <c r="U318" s="120">
        <f>IF($D318="",0,IFERROR(LOOKUP(2,1/(($D$3:D317=$D318)*($C$3:C317=$C318)*($A$3:A317&lt;$A318)),$AB$3:AB317),1000))</f>
        <v>1055.8009426289977</v>
      </c>
      <c r="V318" s="120">
        <f t="shared" si="96"/>
        <v>1062.1226013948205</v>
      </c>
      <c r="W318">
        <f t="shared" si="97"/>
        <v>1009.5970252515502</v>
      </c>
      <c r="X318">
        <f t="shared" si="98"/>
        <v>0.57501970865075303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1061.9153995559886</v>
      </c>
      <c r="I319" s="117">
        <f t="shared" si="87"/>
        <v>0.16666666666666666</v>
      </c>
      <c r="J319" s="118">
        <f>IF($D319="",0,IF($F319&lt;2,0,IF($E319="Win",('Guide &amp; Settings'!$C$42/(($F319-1)*COUNTIFS($A$4:$A$810,$A319,$E$4:$E$810,"Win")))*SUMIFS($X$4:$X$810,$A$4:$A$810,$A319,$E$4:$E$810,"Loss"),-('Guide &amp; Settings'!$C$42/($F319-1))*$X319)))</f>
        <v>18.400630676824097</v>
      </c>
      <c r="K319" s="118">
        <f>IF($D319="",0,'Guide &amp; Settings'!$C$43*(IF($E319="Win",1,0)-$I319))</f>
        <v>10</v>
      </c>
      <c r="L319" s="119">
        <f>IF($D319="",0,'Guide &amp; Settings'!$C$44*IF($F319&gt;=3,$F319,0))</f>
        <v>0</v>
      </c>
      <c r="M319" s="118">
        <f t="shared" si="88"/>
        <v>28.400630676824097</v>
      </c>
      <c r="N319" s="116">
        <f t="shared" si="89"/>
        <v>1090.3160302328126</v>
      </c>
      <c r="O319" s="115" t="str">
        <f t="shared" si="90"/>
        <v>OK</v>
      </c>
      <c r="P319">
        <f t="shared" si="91"/>
        <v>1061.9153995559886</v>
      </c>
      <c r="Q319">
        <f t="shared" si="92"/>
        <v>0.5</v>
      </c>
      <c r="R319">
        <f t="shared" si="93"/>
        <v>0.16666666666666666</v>
      </c>
      <c r="S319">
        <f t="shared" si="94"/>
        <v>1</v>
      </c>
      <c r="T319" s="83">
        <f t="shared" si="95"/>
        <v>4</v>
      </c>
      <c r="U319" s="120">
        <f>IF($D319="",0,IFERROR(LOOKUP(2,1/(($D$3:D318=$D319)*($C$3:C318=$C319)*($A$3:A318&lt;$A319)),$AB$3:AB318),1000))</f>
        <v>944.19905737100225</v>
      </c>
      <c r="V319" s="120">
        <f t="shared" si="96"/>
        <v>1009.5970252515502</v>
      </c>
      <c r="W319">
        <f t="shared" si="97"/>
        <v>1009.5970252515502</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1038.7792977306549</v>
      </c>
      <c r="I320" s="117">
        <f t="shared" si="87"/>
        <v>0.37499999999999994</v>
      </c>
      <c r="J320" s="118">
        <f>IF($D320="",0,IF($F320&lt;2,0,IF($E320="Win",('Guide &amp; Settings'!$C$42/(($F320-1)*COUNTIFS($A$4:$A$810,$A320,$E$4:$E$810,"Win")))*SUMIFS($X$4:$X$810,$A$4:$A$810,$A320,$E$4:$E$810,"Loss"),-('Guide &amp; Settings'!$C$42/($F320-1))*$X320)))</f>
        <v>-12.720890435646909</v>
      </c>
      <c r="K320" s="118">
        <f>IF($D320="",0,'Guide &amp; Settings'!$C$43*(IF($E320="Win",1,0)-$I320))</f>
        <v>-4.4999999999999991</v>
      </c>
      <c r="L320" s="119">
        <f>IF($D320="",0,'Guide &amp; Settings'!$C$44*IF($F320&gt;=3,$F320,0))</f>
        <v>0</v>
      </c>
      <c r="M320" s="118">
        <f t="shared" si="88"/>
        <v>-17.220890435646908</v>
      </c>
      <c r="N320" s="116">
        <f t="shared" si="89"/>
        <v>1021.558407295008</v>
      </c>
      <c r="O320" s="115" t="str">
        <f t="shared" si="90"/>
        <v>OK</v>
      </c>
      <c r="P320">
        <f t="shared" si="91"/>
        <v>1090.3160302328126</v>
      </c>
      <c r="Q320">
        <f t="shared" si="92"/>
        <v>0.42637190655665269</v>
      </c>
      <c r="R320">
        <f t="shared" si="93"/>
        <v>0.3</v>
      </c>
      <c r="S320">
        <f t="shared" si="94"/>
        <v>0.8</v>
      </c>
      <c r="T320" s="83">
        <f t="shared" si="95"/>
        <v>8</v>
      </c>
      <c r="U320" s="120">
        <f>IF($D320="",0,IFERROR(LOOKUP(2,1/(($D$3:D319=$D320)*($C$3:C319=$C320)*($A$3:A319&lt;$A320)),$AB$3:AB319),1000))</f>
        <v>963.2777675383727</v>
      </c>
      <c r="V320" s="120">
        <f t="shared" si="96"/>
        <v>992.31681761232744</v>
      </c>
      <c r="W320">
        <f t="shared" si="97"/>
        <v>1064.5446013663495</v>
      </c>
      <c r="X320">
        <f t="shared" si="98"/>
        <v>0.39752782611396592</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1090.3160302328126</v>
      </c>
      <c r="I321" s="117">
        <f t="shared" si="87"/>
        <v>0.625</v>
      </c>
      <c r="J321" s="118">
        <f>IF($D321="",0,IF($F321&lt;2,0,IF($E321="Win",('Guide &amp; Settings'!$C$42/(($F321-1)*COUNTIFS($A$4:$A$810,$A321,$E$4:$E$810,"Win")))*SUMIFS($X$4:$X$810,$A$4:$A$810,$A321,$E$4:$E$810,"Loss"),-('Guide &amp; Settings'!$C$42/($F321-1))*$X321)))</f>
        <v>12.720890435646909</v>
      </c>
      <c r="K321" s="118">
        <f>IF($D321="",0,'Guide &amp; Settings'!$C$43*(IF($E321="Win",1,0)-$I321))</f>
        <v>4.5</v>
      </c>
      <c r="L321" s="119">
        <f>IF($D321="",0,'Guide &amp; Settings'!$C$44*IF($F321&gt;=3,$F321,0))</f>
        <v>0</v>
      </c>
      <c r="M321" s="118">
        <f t="shared" si="88"/>
        <v>17.220890435646908</v>
      </c>
      <c r="N321" s="116">
        <f t="shared" si="89"/>
        <v>1107.5369206684595</v>
      </c>
      <c r="O321" s="115" t="str">
        <f t="shared" si="90"/>
        <v>OK</v>
      </c>
      <c r="P321">
        <f t="shared" si="91"/>
        <v>1090.3160302328126</v>
      </c>
      <c r="Q321">
        <f t="shared" si="92"/>
        <v>0.5</v>
      </c>
      <c r="R321">
        <f t="shared" si="93"/>
        <v>0.5</v>
      </c>
      <c r="S321">
        <f t="shared" si="94"/>
        <v>0.8</v>
      </c>
      <c r="T321" s="83">
        <f t="shared" si="95"/>
        <v>2</v>
      </c>
      <c r="U321" s="120">
        <f>IF($D321="",0,IFERROR(LOOKUP(2,1/(($D$3:D320=$D321)*($C$3:C320=$C321)*($A$3:A320&lt;$A321)),$AB$3:AB320),1000))</f>
        <v>1000.1160292001913</v>
      </c>
      <c r="V321" s="120">
        <f t="shared" si="96"/>
        <v>1064.5446013663495</v>
      </c>
      <c r="W321">
        <f t="shared" si="97"/>
        <v>1064.5446013663495</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1021.558407295008</v>
      </c>
      <c r="I322" s="117">
        <f t="shared" si="87"/>
        <v>0.7142857142857143</v>
      </c>
      <c r="J322" s="118">
        <f>IF($D322="",0,IF($F322&lt;2,0,IF($E322="Win",('Guide &amp; Settings'!$C$42/(($F322-1)*COUNTIFS($A$4:$A$810,$A322,$E$4:$E$810,"Win")))*SUMIFS($X$4:$X$810,$A$4:$A$810,$A322,$E$4:$E$810,"Loss"),-('Guide &amp; Settings'!$C$42/($F322-1))*$X322)))</f>
        <v>-15.624378735819253</v>
      </c>
      <c r="K322" s="118">
        <f>IF($D322="",0,'Guide &amp; Settings'!$C$43*(IF($E322="Win",1,0)-$I322))</f>
        <v>-8.5714285714285712</v>
      </c>
      <c r="L322" s="119">
        <f>IF($D322="",0,'Guide &amp; Settings'!$C$44*IF($F322&gt;=3,$F322,0))</f>
        <v>0</v>
      </c>
      <c r="M322" s="118">
        <f t="shared" si="88"/>
        <v>-24.195807307247826</v>
      </c>
      <c r="N322" s="116">
        <f t="shared" si="89"/>
        <v>997.36259998776018</v>
      </c>
      <c r="O322" s="115" t="str">
        <f t="shared" si="90"/>
        <v>OK</v>
      </c>
      <c r="P322">
        <f t="shared" si="91"/>
        <v>1107.5369206684595</v>
      </c>
      <c r="Q322">
        <f t="shared" si="92"/>
        <v>0.37873237926203607</v>
      </c>
      <c r="R322">
        <f t="shared" si="93"/>
        <v>0.7142857142857143</v>
      </c>
      <c r="S322">
        <f t="shared" si="94"/>
        <v>1</v>
      </c>
      <c r="T322" s="83">
        <f t="shared" si="95"/>
        <v>5</v>
      </c>
      <c r="U322" s="120">
        <f>IF($D322="",0,IFERROR(LOOKUP(2,1/(($D$3:D321=$D322)*($C$3:C321=$C322)*($A$3:A321&lt;$A322)),$AB$3:AB321),1000))</f>
        <v>1034.8312456204001</v>
      </c>
      <c r="V322" s="120">
        <f t="shared" si="96"/>
        <v>1028.194826457704</v>
      </c>
      <c r="W322">
        <f t="shared" si="97"/>
        <v>1036.3528375240298</v>
      </c>
      <c r="X322">
        <f t="shared" si="98"/>
        <v>0.48826183549435165</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1107.5369206684595</v>
      </c>
      <c r="I323" s="117">
        <f t="shared" si="87"/>
        <v>0.2857142857142857</v>
      </c>
      <c r="J323" s="118">
        <f>IF($D323="",0,IF($F323&lt;2,0,IF($E323="Win",('Guide &amp; Settings'!$C$42/(($F323-1)*COUNTIFS($A$4:$A$810,$A323,$E$4:$E$810,"Win")))*SUMIFS($X$4:$X$810,$A$4:$A$810,$A323,$E$4:$E$810,"Loss"),-('Guide &amp; Settings'!$C$42/($F323-1))*$X323)))</f>
        <v>15.624378735819253</v>
      </c>
      <c r="K323" s="118">
        <f>IF($D323="",0,'Guide &amp; Settings'!$C$43*(IF($E323="Win",1,0)-$I323))</f>
        <v>8.5714285714285712</v>
      </c>
      <c r="L323" s="119">
        <f>IF($D323="",0,'Guide &amp; Settings'!$C$44*IF($F323&gt;=3,$F323,0))</f>
        <v>0</v>
      </c>
      <c r="M323" s="118">
        <f t="shared" si="88"/>
        <v>24.195807307247826</v>
      </c>
      <c r="N323" s="116">
        <f t="shared" si="89"/>
        <v>1131.7327279757073</v>
      </c>
      <c r="O323" s="115" t="str">
        <f t="shared" si="90"/>
        <v>OK</v>
      </c>
      <c r="P323">
        <f t="shared" si="91"/>
        <v>1107.5369206684595</v>
      </c>
      <c r="Q323">
        <f t="shared" si="92"/>
        <v>0.5</v>
      </c>
      <c r="R323">
        <f t="shared" si="93"/>
        <v>0.2857142857142857</v>
      </c>
      <c r="S323">
        <f t="shared" si="94"/>
        <v>1</v>
      </c>
      <c r="T323" s="83">
        <f t="shared" si="95"/>
        <v>5</v>
      </c>
      <c r="U323" s="120">
        <f>IF($D323="",0,IFERROR(LOOKUP(2,1/(($D$3:D322=$D323)*($C$3:C322=$C323)*($A$3:A322&lt;$A323)),$AB$3:AB322),1000))</f>
        <v>965.16875437959993</v>
      </c>
      <c r="V323" s="120">
        <f t="shared" si="96"/>
        <v>1036.3528375240298</v>
      </c>
      <c r="W323">
        <f t="shared" si="97"/>
        <v>1036.3528375240298</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997.36259998776018</v>
      </c>
      <c r="I324" s="117">
        <f t="shared" si="87"/>
        <v>0.625</v>
      </c>
      <c r="J324" s="118">
        <f>IF($D324="",0,IF($F324&lt;2,0,IF($E324="Win",('Guide &amp; Settings'!$C$42/(($F324-1)*COUNTIFS($A$4:$A$810,$A324,$E$4:$E$810,"Win")))*SUMIFS($X$4:$X$810,$A$4:$A$810,$A324,$E$4:$E$810,"Loss"),-('Guide &amp; Settings'!$C$42/($F324-1))*$X324)))</f>
        <v>18.014954609390589</v>
      </c>
      <c r="K324" s="118">
        <f>IF($D324="",0,'Guide &amp; Settings'!$C$43*(IF($E324="Win",1,0)-$I324))</f>
        <v>4.5</v>
      </c>
      <c r="L324" s="119">
        <f>IF($D324="",0,'Guide &amp; Settings'!$C$44*IF($F324&gt;=3,$F324,0))</f>
        <v>0</v>
      </c>
      <c r="M324" s="118">
        <f t="shared" si="88"/>
        <v>22.514954609390589</v>
      </c>
      <c r="N324" s="116">
        <f t="shared" si="89"/>
        <v>1019.8775545971507</v>
      </c>
      <c r="O324" s="115" t="str">
        <f t="shared" si="90"/>
        <v>OK</v>
      </c>
      <c r="P324">
        <f t="shared" si="91"/>
        <v>997.36259998776018</v>
      </c>
      <c r="Q324">
        <f t="shared" si="92"/>
        <v>0.5</v>
      </c>
      <c r="R324">
        <f t="shared" si="93"/>
        <v>0.625</v>
      </c>
      <c r="S324">
        <f t="shared" si="94"/>
        <v>1</v>
      </c>
      <c r="T324" s="83">
        <f t="shared" si="95"/>
        <v>6</v>
      </c>
      <c r="U324" s="120">
        <f>IF($D324="",0,IFERROR(LOOKUP(2,1/(($D$3:D323=$D324)*($C$3:C323=$C324)*($A$3:A323&lt;$A324)),$AB$3:AB323),1000))</f>
        <v>1015.6654796209059</v>
      </c>
      <c r="V324" s="120">
        <f t="shared" si="96"/>
        <v>1007.3459888785669</v>
      </c>
      <c r="W324">
        <f t="shared" si="97"/>
        <v>1007.3459888785669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IF($D324="","",IF(SUMPRODUCT(MAX(($D$4:$D$810=$D324)*($B$4:$B$810&lt;$B324)*$B$4:$B$810))=0,0,MAX(($B324-MAX(SUMPRODUCT(MAX(($D$4:$D$810=$D324)*($B$4:$B$810&lt;$B324)*$B$4:$B$810)),'Guide &amp; Settings'!$C$50))/7-'Guide &amp; Settings'!$C$48,0)*'Guide &amp; Settings'!$C$49))</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1131.7327279757073</v>
      </c>
      <c r="I325" s="117">
        <f t="shared" si="87"/>
        <v>0.375</v>
      </c>
      <c r="J325" s="118">
        <f>IF($D325="",0,IF($F325&lt;2,0,IF($E325="Win",('Guide &amp; Settings'!$C$42/(($F325-1)*COUNTIFS($A$4:$A$810,$A325,$E$4:$E$810,"Win")))*SUMIFS($X$4:$X$810,$A$4:$A$810,$A325,$E$4:$E$810,"Loss"),-('Guide &amp; Settings'!$C$42/($F325-1))*$X325)))</f>
        <v>-18.014954609390589</v>
      </c>
      <c r="K325" s="118">
        <f>IF($D325="",0,'Guide &amp; Settings'!$C$43*(IF($E325="Win",1,0)-$I325))</f>
        <v>-4.5</v>
      </c>
      <c r="L325" s="119">
        <f>IF($D325="",0,'Guide &amp; Settings'!$C$44*IF($F325&gt;=3,$F325,0))</f>
        <v>0</v>
      </c>
      <c r="M325" s="118">
        <f t="shared" si="88"/>
        <v>-22.514954609390589</v>
      </c>
      <c r="N325" s="116">
        <f t="shared" si="89"/>
        <v>1109.2177733663168</v>
      </c>
      <c r="O325" s="115" t="str">
        <f t="shared" si="90"/>
        <v>OK</v>
      </c>
      <c r="P325">
        <f t="shared" si="91"/>
        <v>997.36259998776018</v>
      </c>
      <c r="Q325">
        <f t="shared" si="92"/>
        <v>0.6842768000753876</v>
      </c>
      <c r="R325">
        <f t="shared" si="93"/>
        <v>0.375</v>
      </c>
      <c r="S325">
        <f t="shared" si="94"/>
        <v>1</v>
      </c>
      <c r="T325" s="83">
        <f t="shared" si="95"/>
        <v>6</v>
      </c>
      <c r="U325" s="120">
        <f>IF($D325="",0,IFERROR(LOOKUP(2,1/(($D$3:D324=$D325)*($C$3:C324=$C325)*($A$3:A324&lt;$A325)),$AB$3:AB324),1000))</f>
        <v>984.3345203790941</v>
      </c>
      <c r="V325" s="120">
        <f t="shared" si="96"/>
        <v>1051.3337056502819</v>
      </c>
      <c r="W325">
        <f t="shared" si="97"/>
        <v>1007.3459888785669</v>
      </c>
      <c r="X325">
        <f t="shared" si="98"/>
        <v>0.56296733154345591</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IF($D325="","",IF(SUMPRODUCT(MAX(($D$4:$D$810=$D325)*($B$4:$B$810&lt;$B325)*$B$4:$B$810))=0,0,MAX(($B325-MAX(SUMPRODUCT(MAX(($D$4:$D$810=$D325)*($B$4:$B$810&lt;$B325)*$B$4:$B$810)),'Guide &amp; Settings'!$C$50))/7-'Guide &amp; Settings'!$C$48,0)*'Guide &amp; Settings'!$C$49))</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1019.8775545971507</v>
      </c>
      <c r="I326" s="117">
        <f t="shared" si="87"/>
        <v>0.25</v>
      </c>
      <c r="J326" s="118">
        <f>IF($D326="",0,IF($F326&lt;2,0,IF($E326="Win",('Guide &amp; Settings'!$C$42/(($F326-1)*COUNTIFS($A$4:$A$810,$A326,$E$4:$E$810,"Win")))*SUMIFS($X$4:$X$810,$A$4:$A$810,$A326,$E$4:$E$810,"Loss"),-('Guide &amp; Settings'!$C$42/($F326-1))*$X326)))</f>
        <v>17.348250919887988</v>
      </c>
      <c r="K326" s="118">
        <f>IF($D326="",0,'Guide &amp; Settings'!$C$43*(IF($E326="Win",1,0)-$I326))</f>
        <v>9</v>
      </c>
      <c r="L326" s="119">
        <f>IF($D326="",0,'Guide &amp; Settings'!$C$44*IF($F326&gt;=3,$F326,0))</f>
        <v>3</v>
      </c>
      <c r="M326" s="118">
        <f t="shared" si="88"/>
        <v>29.348250919887988</v>
      </c>
      <c r="N326" s="116">
        <f t="shared" si="89"/>
        <v>1049.2258055170387</v>
      </c>
      <c r="O326" s="115" t="str">
        <f>IF($D326="","",IF(COUNTIFS($A$4:$A$810,$A326,$E$4:$E$810,"Win")=0,"need a winner",IF(COUNTIFS($A$4:$A$810,$A326,$E$4:$E$810,"Loss")=0,"need a loser",IF(COUNTIFS($A$4:$A$810,$A326,$D$4:$D$810,$D326)&gt;1,"duplicate player","OK"))))</f>
        <v>OK</v>
      </c>
      <c r="P326">
        <f>IF($D326="",0,IFERROR(SUMIFS($H$4:$H$810,$A$4:$A$810,$A326,$E$4:$E$810,"Win")/COUNTIFS($A$4:$A$810,$A326,$E$4:$E$810,"Win"),0))</f>
        <v>1019.8775545971507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1015.2312954976255</v>
      </c>
      <c r="W326">
        <f>IF($D326="",0,IFERROR(SUMIFS($V$4:$V$810,$A$4:$A$810,$A326,$E$4:$E$810,"Win")/COUNTIFS($A$4:$A$810,$A326,$E$4:$E$810,"Win"),0))</f>
        <v>1015.2312954976255</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IF($D326="","",IF(SUMPRODUCT(MAX(($D$4:$D$810=$D326)*($B$4:$B$810&lt;$B326)*$B$4:$B$810))=0,0,MAX(($B326-MAX(SUMPRODUCT(MAX(($D$4:$D$810=$D326)*($B$4:$B$810&lt;$B326)*$B$4:$B$810)),'Guide &amp; Settings'!$C$50))/7-'Guide &amp; Settings'!$C$48,0)*'Guide &amp; Settings'!$C$49))</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1109.2177733663168</v>
      </c>
      <c r="I327" s="117">
        <f t="shared" si="87"/>
        <v>0.375</v>
      </c>
      <c r="J327" s="118">
        <f>IF($D327="",0,IF($F327&lt;2,0,IF($E327="Win",('Guide &amp; Settings'!$C$42/(($F327-1)*COUNTIFS($A$4:$A$810,$A327,$E$4:$E$810,"Win")))*SUMIFS($X$4:$X$810,$A$4:$A$810,$A327,$E$4:$E$810,"Loss"),-('Guide &amp; Settings'!$C$42/($F327-1))*$X327)))</f>
        <v>-10.112830555517277</v>
      </c>
      <c r="K327" s="118">
        <f>IF($D327="",0,'Guide &amp; Settings'!$C$43*(IF($E327="Win",1,0)-$I327))</f>
        <v>-4.5</v>
      </c>
      <c r="L327" s="119">
        <f>IF($D327="",0,'Guide &amp; Settings'!$C$44*IF($F327&gt;=3,$F327,0))</f>
        <v>3</v>
      </c>
      <c r="M327" s="118">
        <f t="shared" si="88"/>
        <v>-11.612830555517277</v>
      </c>
      <c r="N327" s="116">
        <f t="shared" si="89"/>
        <v>1097.6049428107995</v>
      </c>
      <c r="O327" s="115" t="str">
        <f>IF($D327="","",IF(COUNTIFS($A$4:$A$810,$A327,$E$4:$E$810,"Win")=0,"need a winner",IF(COUNTIFS($A$4:$A$810,$A327,$E$4:$E$810,"Loss")=0,"need a loser",IF(COUNTIFS($A$4:$A$810,$A327,$D$4:$D$810,$D327)&gt;1,"duplicate player","OK"))))</f>
        <v>OK</v>
      </c>
      <c r="P327">
        <f>IF($D327="",0,IFERROR(SUMIFS($H$4:$H$810,$A$4:$A$810,$A327,$E$4:$E$810,"Win")/COUNTIFS($A$4:$A$810,$A327,$E$4:$E$810,"Win"),0))</f>
        <v>1019.8775545971507</v>
      </c>
      <c r="Q327">
        <f t="shared" si="92"/>
        <v>0.62581012153733528</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1109.2177733663168</v>
      </c>
      <c r="W327">
        <f>IF($D327="",0,IFERROR(SUMIFS($V$4:$V$810,$A$4:$A$810,$A327,$E$4:$E$810,"Win")/COUNTIFS($A$4:$A$810,$A327,$E$4:$E$810,"Win"),0))</f>
        <v>1015.2312954976255</v>
      </c>
      <c r="X327">
        <f t="shared" si="98"/>
        <v>0.63205190971982983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IF($D327="","",IF(SUMPRODUCT(MAX(($D$4:$D$810=$D327)*($B$4:$B$810&lt;$B327)*$B$4:$B$810))=0,0,MAX(($B327-MAX(SUMPRODUCT(MAX(($D$4:$D$810=$D327)*($B$4:$B$810&lt;$B327)*$B$4:$B$810)),'Guide &amp; Settings'!$C$50))/7-'Guide &amp; Settings'!$C$48,0)*'Guide &amp; Settings'!$C$49))</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981.92436608474441</v>
      </c>
      <c r="I328" s="117">
        <f t="shared" si="87"/>
        <v>0.375</v>
      </c>
      <c r="J328" s="118">
        <f>IF($D328="",0,IF($F328&lt;2,0,IF($E328="Win",('Guide &amp; Settings'!$C$42/(($F328-1)*COUNTIFS($A$4:$A$810,$A328,$E$4:$E$810,"Win")))*SUMIFS($X$4:$X$810,$A$4:$A$810,$A328,$E$4:$E$810,"Loss"),-('Guide &amp; Settings'!$C$42/($F328-1))*$X328)))</f>
        <v>-7.2354203643707127</v>
      </c>
      <c r="K328" s="118">
        <f>IF($D328="",0,'Guide &amp; Settings'!$C$43*(IF($E328="Win",1,0)-$I328))</f>
        <v>-4.5</v>
      </c>
      <c r="L328" s="119">
        <f>IF($D328="",0,'Guide &amp; Settings'!$C$44*IF($F328&gt;=3,$F328,0))</f>
        <v>3</v>
      </c>
      <c r="M328" s="118">
        <f t="shared" si="88"/>
        <v>-8.7354203643707127</v>
      </c>
      <c r="N328" s="116">
        <f t="shared" si="89"/>
        <v>973.18894572037368</v>
      </c>
      <c r="O328" s="115" t="str">
        <f t="shared" si="90"/>
        <v>OK</v>
      </c>
      <c r="P328">
        <f t="shared" si="91"/>
        <v>1019.8775545971507</v>
      </c>
      <c r="Q328">
        <f t="shared" si="92"/>
        <v>0.4455971946111823</v>
      </c>
      <c r="R328">
        <f t="shared" si="93"/>
        <v>0.5</v>
      </c>
      <c r="S328">
        <f t="shared" si="94"/>
        <v>1.3333333333333333</v>
      </c>
      <c r="T328" s="83">
        <f t="shared" si="95"/>
        <v>0</v>
      </c>
      <c r="U328" s="120">
        <f>IF($D328="",0,IFERROR(LOOKUP(2,1/(($D$3:D327=$D328)*($C$3:C327=$C328)*($A$3:A327&lt;$A328)),$AB$3:AB327),1000))</f>
        <v>1000</v>
      </c>
      <c r="V328" s="120">
        <f t="shared" si="96"/>
        <v>981.92436608474441</v>
      </c>
      <c r="W328">
        <f t="shared" si="97"/>
        <v>1015.2312954976255</v>
      </c>
      <c r="X328">
        <f t="shared" si="98"/>
        <v>0.45221377277316954</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IF($D328="","",IF(SUMPRODUCT(MAX(($D$4:$D$810=$D328)*($B$4:$B$810&lt;$B328)*$B$4:$B$810))=0,0,MAX(($B328-MAX(SUMPRODUCT(MAX(($D$4:$D$810=$D328)*($B$4:$B$810&lt;$B328)*$B$4:$B$810)),'Guide &amp; Settings'!$C$50))/7-'Guide &amp; Settings'!$C$48,0)*'Guide &amp; Settings'!$C$49))</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1049.2258055170387</v>
      </c>
      <c r="I329" s="117">
        <f t="shared" si="87"/>
        <v>0.66666666666666663</v>
      </c>
      <c r="J329" s="118">
        <f>IF($D329="",0,IF($F329&lt;2,0,IF($E329="Win",('Guide &amp; Settings'!$C$42/(($F329-1)*COUNTIFS($A$4:$A$810,$A329,$E$4:$E$810,"Win")))*SUMIFS($X$4:$X$810,$A$4:$A$810,$A329,$E$4:$E$810,"Loss"),-('Guide &amp; Settings'!$C$42/($F329-1))*$X329)))</f>
        <v>15.304766496853651</v>
      </c>
      <c r="K329" s="118">
        <f>IF($D329="",0,'Guide &amp; Settings'!$C$43*(IF($E329="Win",1,0)-$I329))</f>
        <v>4</v>
      </c>
      <c r="L329" s="119">
        <f>IF($D329="",0,'Guide &amp; Settings'!$C$44*IF($F329&gt;=3,$F329,0))</f>
        <v>0</v>
      </c>
      <c r="M329" s="118">
        <f t="shared" si="88"/>
        <v>19.304766496853652</v>
      </c>
      <c r="N329" s="116">
        <f t="shared" si="89"/>
        <v>1068.5305720138924</v>
      </c>
      <c r="O329" s="115" t="str">
        <f t="shared" si="90"/>
        <v>OK</v>
      </c>
      <c r="P329">
        <f t="shared" si="91"/>
        <v>1049.2258055170387</v>
      </c>
      <c r="Q329">
        <f t="shared" si="92"/>
        <v>0.5</v>
      </c>
      <c r="R329">
        <f t="shared" si="93"/>
        <v>0.66666666666666663</v>
      </c>
      <c r="S329">
        <f t="shared" si="94"/>
        <v>1</v>
      </c>
      <c r="T329" s="83">
        <f t="shared" si="95"/>
        <v>7</v>
      </c>
      <c r="U329" s="120">
        <f>IF($D329="",0,IFERROR(LOOKUP(2,1/(($D$3:D328=$D329)*($C$3:C328=$C329)*($A$3:A328&lt;$A329)),$AB$3:AB328),1000))</f>
        <v>1030.2265340285246</v>
      </c>
      <c r="V329" s="120">
        <f t="shared" si="96"/>
        <v>1038.1428971487389</v>
      </c>
      <c r="W329">
        <f t="shared" si="97"/>
        <v>1038.1428971487389</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IF($D329="","",IF(SUMPRODUCT(MAX(($D$4:$D$810=$D329)*($B$4:$B$810&lt;$B329)*$B$4:$B$810))=0,0,MAX(($B329-MAX(SUMPRODUCT(MAX(($D$4:$D$810=$D329)*($B$4:$B$810&lt;$B329)*$B$4:$B$810)),'Guide &amp; Settings'!$C$50))/7-'Guide &amp; Settings'!$C$48,0)*'Guide &amp; Settings'!$C$49))</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1097.6049428107995</v>
      </c>
      <c r="I330" s="117">
        <f t="shared" si="87"/>
        <v>0.33333333333333331</v>
      </c>
      <c r="J330" s="118">
        <f>IF($D330="",0,IF($F330&lt;2,0,IF($E330="Win",('Guide &amp; Settings'!$C$42/(($F330-1)*COUNTIFS($A$4:$A$810,$A330,$E$4:$E$810,"Win")))*SUMIFS($X$4:$X$810,$A$4:$A$810,$A330,$E$4:$E$810,"Loss"),-('Guide &amp; Settings'!$C$42/($F330-1))*$X330)))</f>
        <v>-15.304766496853651</v>
      </c>
      <c r="K330" s="118">
        <f>IF($D330="",0,'Guide &amp; Settings'!$C$43*(IF($E330="Win",1,0)-$I330))</f>
        <v>-4</v>
      </c>
      <c r="L330" s="119">
        <f>IF($D330="",0,'Guide &amp; Settings'!$C$44*IF($F330&gt;=3,$F330,0))</f>
        <v>0</v>
      </c>
      <c r="M330" s="118">
        <f t="shared" si="88"/>
        <v>-19.304766496853652</v>
      </c>
      <c r="N330" s="116">
        <f t="shared" si="89"/>
        <v>1078.3001763139457</v>
      </c>
      <c r="O330" s="115" t="str">
        <f t="shared" si="90"/>
        <v>OK</v>
      </c>
      <c r="P330">
        <f t="shared" si="91"/>
        <v>1049.2258055170387</v>
      </c>
      <c r="Q330">
        <f t="shared" si="92"/>
        <v>0.56917665080277347</v>
      </c>
      <c r="R330">
        <f t="shared" si="93"/>
        <v>0.33333333333333331</v>
      </c>
      <c r="S330">
        <f t="shared" si="94"/>
        <v>1</v>
      </c>
      <c r="T330" s="83">
        <f t="shared" si="95"/>
        <v>7</v>
      </c>
      <c r="U330" s="120">
        <f>IF($D330="",0,IFERROR(LOOKUP(2,1/(($D$3:D329=$D330)*($C$3:C329=$C330)*($A$3:A329&lt;$A330)),$AB$3:AB329),1000))</f>
        <v>969.77346597147539</v>
      </c>
      <c r="V330" s="120">
        <f t="shared" si="96"/>
        <v>1023.0365813211937</v>
      </c>
      <c r="W330">
        <f t="shared" si="97"/>
        <v>1038.1428971487389</v>
      </c>
      <c r="X330">
        <f t="shared" si="98"/>
        <v>0.47827395302667658</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IF($D330="","",IF(SUMPRODUCT(MAX(($D$4:$D$810=$D330)*($B$4:$B$810&lt;$B330)*$B$4:$B$810))=0,0,MAX(($B330-MAX(SUMPRODUCT(MAX(($D$4:$D$810=$D330)*($B$4:$B$810&lt;$B330)*$B$4:$B$810)),'Guide &amp; Settings'!$C$50))/7-'Guide &amp; Settings'!$C$48,0)*'Guide &amp; Settings'!$C$49))</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1068.5305720138924</v>
      </c>
      <c r="I331" s="117">
        <f t="shared" si="87"/>
        <v>0.7</v>
      </c>
      <c r="J331" s="118">
        <f>IF($D331="",0,IF($F331&lt;2,0,IF($E331="Win",('Guide &amp; Settings'!$C$42/(($F331-1)*COUNTIFS($A$4:$A$810,$A331,$E$4:$E$810,"Win")))*SUMIFS($X$4:$X$810,$A$4:$A$810,$A331,$E$4:$E$810,"Loss"),-('Guide &amp; Settings'!$C$42/($F331-1))*$X331)))</f>
        <v>-18.275288185921696</v>
      </c>
      <c r="K331" s="118">
        <f>IF($D331="",0,'Guide &amp; Settings'!$C$43*(IF($E331="Win",1,0)-$I331))</f>
        <v>-8.3999999999999986</v>
      </c>
      <c r="L331" s="119">
        <f>IF($D331="",0,'Guide &amp; Settings'!$C$44*IF($F331&gt;=3,$F331,0))</f>
        <v>0</v>
      </c>
      <c r="M331" s="118">
        <f t="shared" si="88"/>
        <v>-26.675288185921694</v>
      </c>
      <c r="N331" s="116">
        <f t="shared" si="89"/>
        <v>1041.8552838279707</v>
      </c>
      <c r="O331" s="115" t="str">
        <f t="shared" si="90"/>
        <v>OK</v>
      </c>
      <c r="P331">
        <f t="shared" si="91"/>
        <v>1078.3001763139457</v>
      </c>
      <c r="Q331">
        <f t="shared" si="92"/>
        <v>0.48594411364726281</v>
      </c>
      <c r="R331">
        <f t="shared" si="93"/>
        <v>0.7</v>
      </c>
      <c r="S331">
        <f t="shared" si="94"/>
        <v>1</v>
      </c>
      <c r="T331" s="83">
        <f t="shared" si="95"/>
        <v>8</v>
      </c>
      <c r="U331" s="120">
        <f>IF($D331="",0,IFERROR(LOOKUP(2,1/(($D$3:D330=$D331)*($C$3:C330=$C331)*($A$3:A330&lt;$A331)),$AB$3:AB330),1000))</f>
        <v>1043.4703263644824</v>
      </c>
      <c r="V331" s="120">
        <f t="shared" si="96"/>
        <v>1053.1088823834862</v>
      </c>
      <c r="W331">
        <f t="shared" si="97"/>
        <v>1003.36448235799</v>
      </c>
      <c r="X331">
        <f t="shared" si="98"/>
        <v>0.57110275581005299</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IF($D331="","",IF(SUMPRODUCT(MAX(($D$4:$D$810=$D331)*($B$4:$B$810&lt;$B331)*$B$4:$B$810))=0,0,MAX(($B331-MAX(SUMPRODUCT(MAX(($D$4:$D$810=$D331)*($B$4:$B$810&lt;$B331)*$B$4:$B$810)),'Guide &amp; Settings'!$C$50))/7-'Guide &amp; Settings'!$C$48,0)*'Guide &amp; Settings'!$C$49))</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1078.3001763139457</v>
      </c>
      <c r="I332" s="117">
        <f t="shared" si="87"/>
        <v>0.3</v>
      </c>
      <c r="J332" s="118">
        <f>IF($D332="",0,IF($F332&lt;2,0,IF($E332="Win",('Guide &amp; Settings'!$C$42/(($F332-1)*COUNTIFS($A$4:$A$810,$A332,$E$4:$E$810,"Win")))*SUMIFS($X$4:$X$810,$A$4:$A$810,$A332,$E$4:$E$810,"Loss"),-('Guide &amp; Settings'!$C$42/($F332-1))*$X332)))</f>
        <v>18.275288185921696</v>
      </c>
      <c r="K332" s="118">
        <f>IF($D332="",0,'Guide &amp; Settings'!$C$43*(IF($E332="Win",1,0)-$I332))</f>
        <v>8.3999999999999986</v>
      </c>
      <c r="L332" s="119">
        <f>IF($D332="",0,'Guide &amp; Settings'!$C$44*IF($F332&gt;=3,$F332,0))</f>
        <v>0</v>
      </c>
      <c r="M332" s="118">
        <f t="shared" si="88"/>
        <v>26.675288185921694</v>
      </c>
      <c r="N332" s="116">
        <f t="shared" si="89"/>
        <v>1104.9754644998675</v>
      </c>
      <c r="O332" s="115" t="str">
        <f t="shared" si="90"/>
        <v>OK</v>
      </c>
      <c r="P332">
        <f t="shared" si="91"/>
        <v>1078.3001763139457</v>
      </c>
      <c r="Q332">
        <f t="shared" si="92"/>
        <v>0.5</v>
      </c>
      <c r="R332">
        <f t="shared" si="93"/>
        <v>0.3</v>
      </c>
      <c r="S332">
        <f t="shared" si="94"/>
        <v>1</v>
      </c>
      <c r="T332" s="83">
        <f t="shared" si="95"/>
        <v>8</v>
      </c>
      <c r="U332" s="120">
        <f>IF($D332="",0,IFERROR(LOOKUP(2,1/(($D$3:D331=$D332)*($C$3:C331=$C332)*($A$3:A331&lt;$A332)),$AB$3:AB331),1000))</f>
        <v>956.52967363551772</v>
      </c>
      <c r="V332" s="120">
        <f t="shared" si="96"/>
        <v>1003.36448235799</v>
      </c>
      <c r="W332">
        <f t="shared" si="97"/>
        <v>1003.36448235799</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IF($D332="","",IF(SUMPRODUCT(MAX(($D$4:$D$810=$D332)*($B$4:$B$810&lt;$B332)*$B$4:$B$810))=0,0,MAX(($B332-MAX(SUMPRODUCT(MAX(($D$4:$D$810=$D332)*($B$4:$B$810&lt;$B332)*$B$4:$B$810)),'Guide &amp; Settings'!$C$50))/7-'Guide &amp; Settings'!$C$48,0)*'Guide &amp; Settings'!$C$49))</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1041.8552838279707</v>
      </c>
      <c r="I333" s="117">
        <f t="shared" si="87"/>
        <v>0.5</v>
      </c>
      <c r="J333" s="118">
        <f>IF($D333="",0,IF($F333&lt;2,0,IF($E333="Win",('Guide &amp; Settings'!$C$42/(($F333-1)*COUNTIFS($A$4:$A$810,$A333,$E$4:$E$810,"Win")))*SUMIFS($X$4:$X$810,$A$4:$A$810,$A333,$E$4:$E$810,"Loss"),-('Guide &amp; Settings'!$C$42/($F333-1))*$X333)))</f>
        <v>18.875228232802513</v>
      </c>
      <c r="K333" s="118">
        <f>IF($D333="",0,'Guide &amp; Settings'!$C$43*(IF($E333="Win",1,0)-$I333))</f>
        <v>6</v>
      </c>
      <c r="L333" s="119">
        <f>IF($D333="",0,'Guide &amp; Settings'!$C$44*IF($F333&gt;=3,$F333,0))</f>
        <v>0</v>
      </c>
      <c r="M333" s="118">
        <f t="shared" si="88"/>
        <v>24.875228232802513</v>
      </c>
      <c r="N333" s="116">
        <f t="shared" si="89"/>
        <v>1066.7305120607732</v>
      </c>
      <c r="O333" s="115" t="str">
        <f t="shared" si="90"/>
        <v>OK</v>
      </c>
      <c r="P333">
        <f t="shared" si="91"/>
        <v>1041.8552838279707</v>
      </c>
      <c r="Q333">
        <f t="shared" si="92"/>
        <v>0.5</v>
      </c>
      <c r="R333">
        <f t="shared" si="93"/>
        <v>0.5</v>
      </c>
      <c r="S333">
        <f t="shared" si="94"/>
        <v>1</v>
      </c>
      <c r="T333" s="83">
        <f t="shared" si="95"/>
        <v>0</v>
      </c>
      <c r="U333" s="120">
        <f>IF($D333="",0,IFERROR(LOOKUP(2,1/(($D$3:D332=$D333)*($C$3:C332=$C333)*($A$3:A332&lt;$A333)),$AB$3:AB332),1000))</f>
        <v>1000</v>
      </c>
      <c r="V333" s="120">
        <f t="shared" si="96"/>
        <v>1041.8552838279707</v>
      </c>
      <c r="W333">
        <f t="shared" si="97"/>
        <v>1041.8552838279707</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IF($D333="","",IF(SUMPRODUCT(MAX(($D$4:$D$810=$D333)*($B$4:$B$810&lt;$B333)*$B$4:$B$810))=0,0,MAX(($B333-MAX(SUMPRODUCT(MAX(($D$4:$D$810=$D333)*($B$4:$B$810&lt;$B333)*$B$4:$B$810)),'Guide &amp; Settings'!$C$50))/7-'Guide &amp; Settings'!$C$48,0)*'Guide &amp; Settings'!$C$49))</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1104.9754644998675</v>
      </c>
      <c r="I334" s="117">
        <f t="shared" si="87"/>
        <v>0.5</v>
      </c>
      <c r="J334" s="118">
        <f>IF($D334="",0,IF($F334&lt;2,0,IF($E334="Win",('Guide &amp; Settings'!$C$42/(($F334-1)*COUNTIFS($A$4:$A$810,$A334,$E$4:$E$810,"Win")))*SUMIFS($X$4:$X$810,$A$4:$A$810,$A334,$E$4:$E$810,"Loss"),-('Guide &amp; Settings'!$C$42/($F334-1))*$X334)))</f>
        <v>-18.875228232802513</v>
      </c>
      <c r="K334" s="118">
        <f>IF($D334="",0,'Guide &amp; Settings'!$C$43*(IF($E334="Win",1,0)-$I334))</f>
        <v>-6</v>
      </c>
      <c r="L334" s="119">
        <f>IF($D334="",0,'Guide &amp; Settings'!$C$44*IF($F334&gt;=3,$F334,0))</f>
        <v>0</v>
      </c>
      <c r="M334" s="118">
        <f t="shared" si="88"/>
        <v>-24.875228232802513</v>
      </c>
      <c r="N334" s="116">
        <f t="shared" si="89"/>
        <v>1080.1002362670649</v>
      </c>
      <c r="O334" s="115" t="str">
        <f t="shared" si="90"/>
        <v>OK</v>
      </c>
      <c r="P334">
        <f t="shared" si="91"/>
        <v>1041.8552838279707</v>
      </c>
      <c r="Q334">
        <f t="shared" si="92"/>
        <v>0.58985088227507854</v>
      </c>
      <c r="R334">
        <f t="shared" si="93"/>
        <v>0.5</v>
      </c>
      <c r="S334">
        <f t="shared" si="94"/>
        <v>1</v>
      </c>
      <c r="T334" s="83">
        <f t="shared" si="95"/>
        <v>0</v>
      </c>
      <c r="U334" s="120">
        <f>IF($D334="",0,IFERROR(LOOKUP(2,1/(($D$3:D333=$D334)*($C$3:C333=$C334)*($A$3:A333&lt;$A334)),$AB$3:AB333),1000))</f>
        <v>1000</v>
      </c>
      <c r="V334" s="120">
        <f t="shared" si="96"/>
        <v>1104.9754644998675</v>
      </c>
      <c r="W334">
        <f t="shared" si="97"/>
        <v>1041.8552838279707</v>
      </c>
      <c r="X334">
        <f t="shared" si="98"/>
        <v>0.58985088227507854</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IF($D334="","",IF(SUMPRODUCT(MAX(($D$4:$D$810=$D334)*($B$4:$B$810&lt;$B334)*$B$4:$B$810))=0,0,MAX(($B334-MAX(SUMPRODUCT(MAX(($D$4:$D$810=$D334)*($B$4:$B$810&lt;$B334)*$B$4:$B$810)),'Guide &amp; Settings'!$C$50))/7-'Guide &amp; Settings'!$C$48,0)*'Guide &amp; Settings'!$C$49))</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1080.1002362670649</v>
      </c>
      <c r="I335" s="117">
        <f t="shared" si="87"/>
        <v>0.33333333333333331</v>
      </c>
      <c r="J335" s="118">
        <f>IF($D335="",0,IF($F335&lt;2,0,IF($E335="Win",('Guide &amp; Settings'!$C$42/(($F335-1)*COUNTIFS($A$4:$A$810,$A335,$E$4:$E$810,"Win")))*SUMIFS($X$4:$X$810,$A$4:$A$810,$A335,$E$4:$E$810,"Loss"),-('Guide &amp; Settings'!$C$42/($F335-1))*$X335)))</f>
        <v>15.732551862252018</v>
      </c>
      <c r="K335" s="118">
        <f>IF($D335="",0,'Guide &amp; Settings'!$C$43*(IF($E335="Win",1,0)-$I335))</f>
        <v>8</v>
      </c>
      <c r="L335" s="119">
        <f>IF($D335="",0,'Guide &amp; Settings'!$C$44*IF($F335&gt;=3,$F335,0))</f>
        <v>0</v>
      </c>
      <c r="M335" s="118">
        <f t="shared" si="88"/>
        <v>23.732551862252016</v>
      </c>
      <c r="N335" s="116">
        <f t="shared" si="89"/>
        <v>1103.8327881293169</v>
      </c>
      <c r="O335" s="115" t="str">
        <f t="shared" si="90"/>
        <v>OK</v>
      </c>
      <c r="P335">
        <f t="shared" si="91"/>
        <v>1080.1002362670649</v>
      </c>
      <c r="Q335">
        <f t="shared" si="92"/>
        <v>0.5</v>
      </c>
      <c r="R335">
        <f t="shared" si="93"/>
        <v>0.33333333333333331</v>
      </c>
      <c r="S335">
        <f t="shared" si="94"/>
        <v>1</v>
      </c>
      <c r="T335" s="83">
        <f t="shared" si="95"/>
        <v>1</v>
      </c>
      <c r="U335" s="120">
        <f>IF($D335="",0,IFERROR(LOOKUP(2,1/(($D$3:D334=$D335)*($C$3:C334=$C335)*($A$3:A334&lt;$A335)),$AB$3:AB334),1000))</f>
        <v>984</v>
      </c>
      <c r="V335" s="120">
        <f t="shared" si="96"/>
        <v>1064.0835302225541</v>
      </c>
      <c r="W335">
        <f t="shared" si="97"/>
        <v>1064.0835302225541</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IF($D335="","",IF(SUMPRODUCT(MAX(($D$4:$D$810=$D335)*($B$4:$B$810&lt;$B335)*$B$4:$B$810))=0,0,MAX(($B335-MAX(SUMPRODUCT(MAX(($D$4:$D$810=$D335)*($B$4:$B$810&lt;$B335)*$B$4:$B$810)),'Guide &amp; Settings'!$C$50))/7-'Guide &amp; Settings'!$C$48,0)*'Guide &amp; Settings'!$C$49))</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1066.7305120607732</v>
      </c>
      <c r="I336" s="117">
        <f t="shared" si="87"/>
        <v>0.66666666666666663</v>
      </c>
      <c r="J336" s="118">
        <f>IF($D336="",0,IF($F336&lt;2,0,IF($E336="Win",('Guide &amp; Settings'!$C$42/(($F336-1)*COUNTIFS($A$4:$A$810,$A336,$E$4:$E$810,"Win")))*SUMIFS($X$4:$X$810,$A$4:$A$810,$A336,$E$4:$E$810,"Loss"),-('Guide &amp; Settings'!$C$42/($F336-1))*$X336)))</f>
        <v>-15.732551862252018</v>
      </c>
      <c r="K336" s="118">
        <f>IF($D336="",0,'Guide &amp; Settings'!$C$43*(IF($E336="Win",1,0)-$I336))</f>
        <v>-8</v>
      </c>
      <c r="L336" s="119">
        <f>IF($D336="",0,'Guide &amp; Settings'!$C$44*IF($F336&gt;=3,$F336,0))</f>
        <v>0</v>
      </c>
      <c r="M336" s="118">
        <f t="shared" si="88"/>
        <v>-23.732551862252016</v>
      </c>
      <c r="N336" s="116">
        <f t="shared" si="89"/>
        <v>1042.9979601985212</v>
      </c>
      <c r="O336" s="115" t="str">
        <f t="shared" si="90"/>
        <v>OK</v>
      </c>
      <c r="P336">
        <f t="shared" si="91"/>
        <v>1080.1002362670649</v>
      </c>
      <c r="Q336">
        <f t="shared" si="92"/>
        <v>0.48076891174162362</v>
      </c>
      <c r="R336">
        <f t="shared" si="93"/>
        <v>0.66666666666666663</v>
      </c>
      <c r="S336">
        <f t="shared" si="94"/>
        <v>1</v>
      </c>
      <c r="T336" s="83">
        <f t="shared" si="95"/>
        <v>1</v>
      </c>
      <c r="U336" s="120">
        <f>IF($D336="",0,IFERROR(LOOKUP(2,1/(($D$3:D335=$D336)*($C$3:C335=$C336)*($A$3:A335&lt;$A336)),$AB$3:AB335),1000))</f>
        <v>1016</v>
      </c>
      <c r="V336" s="120">
        <f t="shared" si="96"/>
        <v>1058.2754267173111</v>
      </c>
      <c r="W336">
        <f t="shared" si="97"/>
        <v>1064.0835302225541</v>
      </c>
      <c r="X336">
        <f t="shared" si="98"/>
        <v>0.49164224569537557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IF($D336="","",IF(SUMPRODUCT(MAX(($D$4:$D$810=$D336)*($B$4:$B$810&lt;$B336)*$B$4:$B$810))=0,0,MAX(($B336-MAX(SUMPRODUCT(MAX(($D$4:$D$810=$D336)*($B$4:$B$810&lt;$B336)*$B$4:$B$810)),'Guide &amp; Settings'!$C$50))/7-'Guide &amp; Settings'!$C$48,0)*'Guide &amp; Settings'!$C$49))</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1030.3815983388336</v>
      </c>
      <c r="I337" s="117">
        <f t="shared" si="87"/>
        <v>0.5</v>
      </c>
      <c r="J337" s="118">
        <f>IF($D337="",0,IF($F337&lt;2,0,IF($E337="Win",('Guide &amp; Settings'!$C$42/(($F337-1)*COUNTIFS($A$4:$A$810,$A337,$E$4:$E$810,"Win")))*SUMIFS($X$4:$X$810,$A$4:$A$810,$A337,$E$4:$E$810,"Loss"),-('Guide &amp; Settings'!$C$42/($F337-1))*$X337)))</f>
        <v>16.038879074072355</v>
      </c>
      <c r="K337" s="118">
        <f>IF($D337="",0,'Guide &amp; Settings'!$C$43*(IF($E337="Win",1,0)-$I337))</f>
        <v>6</v>
      </c>
      <c r="L337" s="119">
        <f>IF($D337="",0,'Guide &amp; Settings'!$C$44*IF($F337&gt;=3,$F337,0))</f>
        <v>0</v>
      </c>
      <c r="M337" s="118">
        <f t="shared" si="88"/>
        <v>22.038879074072355</v>
      </c>
      <c r="N337" s="116">
        <f t="shared" si="89"/>
        <v>1052.4204774129059</v>
      </c>
      <c r="O337" s="115" t="str">
        <f t="shared" si="90"/>
        <v>OK</v>
      </c>
      <c r="P337">
        <f t="shared" si="91"/>
        <v>1030.3815983388336</v>
      </c>
      <c r="Q337">
        <f t="shared" si="92"/>
        <v>0.5</v>
      </c>
      <c r="R337">
        <f t="shared" si="93"/>
        <v>0.5</v>
      </c>
      <c r="S337">
        <f t="shared" si="94"/>
        <v>1</v>
      </c>
      <c r="T337" s="83">
        <f t="shared" si="95"/>
        <v>0</v>
      </c>
      <c r="U337" s="120">
        <f>IF($D337="",0,IFERROR(LOOKUP(2,1/(($D$3:D336=$D337)*($C$3:C336=$C337)*($A$3:A336&lt;$A337)),$AB$3:AB336),1000))</f>
        <v>1000</v>
      </c>
      <c r="V337" s="120">
        <f t="shared" si="96"/>
        <v>1030.3815983388336</v>
      </c>
      <c r="W337">
        <f t="shared" si="97"/>
        <v>1030.3815983388336</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IF($D337="","",IF(SUMPRODUCT(MAX(($D$4:$D$810=$D337)*($B$4:$B$810&lt;$B337)*$B$4:$B$810))=0,0,MAX(($B337-MAX(SUMPRODUCT(MAX(($D$4:$D$810=$D337)*($B$4:$B$810&lt;$B337)*$B$4:$B$810)),'Guide &amp; Settings'!$C$50))/7-'Guide &amp; Settings'!$C$48,0)*'Guide &amp; Settings'!$C$49))</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1031.225848367051</v>
      </c>
      <c r="I338" s="117">
        <f t="shared" si="87"/>
        <v>0.5</v>
      </c>
      <c r="J338" s="118">
        <f>IF($D338="",0,IF($F338&lt;2,0,IF($E338="Win",('Guide &amp; Settings'!$C$42/(($F338-1)*COUNTIFS($A$4:$A$810,$A338,$E$4:$E$810,"Win")))*SUMIFS($X$4:$X$810,$A$4:$A$810,$A338,$E$4:$E$810,"Loss"),-('Guide &amp; Settings'!$C$42/($F338-1))*$X338)))</f>
        <v>-16.038879074072355</v>
      </c>
      <c r="K338" s="118">
        <f>IF($D338="",0,'Guide &amp; Settings'!$C$43*(IF($E338="Win",1,0)-$I338))</f>
        <v>-6</v>
      </c>
      <c r="L338" s="119">
        <f>IF($D338="",0,'Guide &amp; Settings'!$C$44*IF($F338&gt;=3,$F338,0))</f>
        <v>0</v>
      </c>
      <c r="M338" s="118">
        <f t="shared" si="88"/>
        <v>-22.038879074072355</v>
      </c>
      <c r="N338" s="116">
        <f t="shared" si="89"/>
        <v>1009.1869692929786</v>
      </c>
      <c r="O338" s="115" t="str">
        <f t="shared" si="90"/>
        <v>OK</v>
      </c>
      <c r="P338">
        <f t="shared" si="91"/>
        <v>1030.3815983388336</v>
      </c>
      <c r="Q338">
        <f t="shared" si="92"/>
        <v>0.50121497106476109</v>
      </c>
      <c r="R338">
        <f t="shared" si="93"/>
        <v>0.5</v>
      </c>
      <c r="S338">
        <f t="shared" si="94"/>
        <v>1</v>
      </c>
      <c r="T338" s="83">
        <f t="shared" si="95"/>
        <v>0</v>
      </c>
      <c r="U338" s="120">
        <f>IF($D338="",0,IFERROR(LOOKUP(2,1/(($D$3:D337=$D338)*($C$3:C337=$C338)*($A$3:A337&lt;$A338)),$AB$3:AB337),1000))</f>
        <v>1000</v>
      </c>
      <c r="V338" s="120">
        <f t="shared" si="96"/>
        <v>1031.225848367051</v>
      </c>
      <c r="W338">
        <f t="shared" si="97"/>
        <v>1030.3815983388336</v>
      </c>
      <c r="X338">
        <f t="shared" si="98"/>
        <v>0.50121497106476109</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IF($D338="","",IF(SUMPRODUCT(MAX(($D$4:$D$810=$D338)*($B$4:$B$810&lt;$B338)*$B$4:$B$810))=0,0,MAX(($B338-MAX(SUMPRODUCT(MAX(($D$4:$D$810=$D338)*($B$4:$B$810&lt;$B338)*$B$4:$B$810)),'Guide &amp; Settings'!$C$50))/7-'Guide &amp; Settings'!$C$48,0)*'Guide &amp; Settings'!$C$49))</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1042.9979601985212</v>
      </c>
      <c r="I339" s="117">
        <f t="shared" si="87"/>
        <v>0.3125</v>
      </c>
      <c r="J339" s="118">
        <f>IF($D339="",0,IF($F339&lt;2,0,IF($E339="Win",('Guide &amp; Settings'!$C$42/(($F339-1)*COUNTIFS($A$4:$A$810,$A339,$E$4:$E$810,"Win")))*SUMIFS($X$4:$X$810,$A$4:$A$810,$A339,$E$4:$E$810,"Loss"),-('Guide &amp; Settings'!$C$42/($F339-1))*$X339)))</f>
        <v>-12.042528408126769</v>
      </c>
      <c r="K339" s="118">
        <f>IF($D339="",0,'Guide &amp; Settings'!$C$43*(IF($E339="Win",1,0)-$I339))</f>
        <v>-3.75</v>
      </c>
      <c r="L339" s="119">
        <f>IF($D339="",0,'Guide &amp; Settings'!$C$44*IF($F339&gt;=3,$F339,0))</f>
        <v>0</v>
      </c>
      <c r="M339" s="118">
        <f t="shared" si="88"/>
        <v>-15.792528408126769</v>
      </c>
      <c r="N339" s="116">
        <f t="shared" si="89"/>
        <v>1027.2054317903944</v>
      </c>
      <c r="O339" s="115" t="str">
        <f t="shared" si="90"/>
        <v>OK</v>
      </c>
      <c r="P339">
        <f t="shared" si="91"/>
        <v>1103.8327881293169</v>
      </c>
      <c r="Q339">
        <f t="shared" si="92"/>
        <v>0.41333551806592617</v>
      </c>
      <c r="R339">
        <f t="shared" si="93"/>
        <v>0.27272727272727271</v>
      </c>
      <c r="S339">
        <f t="shared" si="94"/>
        <v>0.87272727272727268</v>
      </c>
      <c r="T339" s="83">
        <f t="shared" si="95"/>
        <v>9</v>
      </c>
      <c r="U339" s="120">
        <f>IF($D339="",0,IFERROR(LOOKUP(2,1/(($D$3:D338=$D339)*($C$3:C338=$C339)*($A$3:A338&lt;$A339)),$AB$3:AB338),1000))</f>
        <v>948.96790333240949</v>
      </c>
      <c r="V339" s="120">
        <f t="shared" si="96"/>
        <v>982.55006649887787</v>
      </c>
      <c r="W339">
        <f t="shared" si="97"/>
        <v>1070.3052026081309</v>
      </c>
      <c r="X339">
        <f t="shared" si="98"/>
        <v>0.37632901275396152</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IF($D339="","",IF(SUMPRODUCT(MAX(($D$4:$D$810=$D339)*($B$4:$B$810&lt;$B339)*$B$4:$B$810))=0,0,MAX(($B339-MAX(SUMPRODUCT(MAX(($D$4:$D$810=$D339)*($B$4:$B$810&lt;$B339)*$B$4:$B$810)),'Guide &amp; Settings'!$C$50))/7-'Guide &amp; Settings'!$C$48,0)*'Guide &amp; Settings'!$C$49))</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1103.8327881293169</v>
      </c>
      <c r="I340" s="117">
        <f t="shared" si="87"/>
        <v>0.6875</v>
      </c>
      <c r="J340" s="118">
        <f>IF($D340="",0,IF($F340&lt;2,0,IF($E340="Win",('Guide &amp; Settings'!$C$42/(($F340-1)*COUNTIFS($A$4:$A$810,$A340,$E$4:$E$810,"Win")))*SUMIFS($X$4:$X$810,$A$4:$A$810,$A340,$E$4:$E$810,"Loss"),-('Guide &amp; Settings'!$C$42/($F340-1))*$X340)))</f>
        <v>12.042528408126769</v>
      </c>
      <c r="K340" s="118">
        <f>IF($D340="",0,'Guide &amp; Settings'!$C$43*(IF($E340="Win",1,0)-$I340))</f>
        <v>3.75</v>
      </c>
      <c r="L340" s="119">
        <f>IF($D340="",0,'Guide &amp; Settings'!$C$44*IF($F340&gt;=3,$F340,0))</f>
        <v>0</v>
      </c>
      <c r="M340" s="118">
        <f t="shared" si="88"/>
        <v>15.792528408126769</v>
      </c>
      <c r="N340" s="116">
        <f t="shared" si="89"/>
        <v>1119.6253165374437</v>
      </c>
      <c r="O340" s="115" t="str">
        <f t="shared" si="90"/>
        <v>OK</v>
      </c>
      <c r="P340">
        <f t="shared" si="91"/>
        <v>1103.8327881293169</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1070.3052026081309</v>
      </c>
      <c r="W340">
        <f t="shared" si="97"/>
        <v>1070.3052026081309</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IF($D340="","",IF(SUMPRODUCT(MAX(($D$4:$D$810=$D340)*($B$4:$B$810&lt;$B340)*$B$4:$B$810))=0,0,MAX(($B340-MAX(SUMPRODUCT(MAX(($D$4:$D$810=$D340)*($B$4:$B$810&lt;$B340)*$B$4:$B$810)),'Guide &amp; Settings'!$C$50))/7-'Guide &amp; Settings'!$C$48,0)*'Guide &amp; Settings'!$C$49))</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1027.2054317903944</v>
      </c>
      <c r="I341" s="117">
        <f t="shared" si="87"/>
        <v>0.27272727272727276</v>
      </c>
      <c r="J341" s="118">
        <f>IF($D341="",0,IF($F341&lt;2,0,IF($E341="Win",('Guide &amp; Settings'!$C$42/(($F341-1)*COUNTIFS($A$4:$A$810,$A341,$E$4:$E$810,"Win")))*SUMIFS($X$4:$X$810,$A$4:$A$810,$A341,$E$4:$E$810,"Loss"),-('Guide &amp; Settings'!$C$42/($F341-1))*$X341)))</f>
        <v>20.998327618926375</v>
      </c>
      <c r="K341" s="118">
        <f>IF($D341="",0,'Guide &amp; Settings'!$C$43*(IF($E341="Win",1,0)-$I341))</f>
        <v>8.7272727272727266</v>
      </c>
      <c r="L341" s="119">
        <f>IF($D341="",0,'Guide &amp; Settings'!$C$44*IF($F341&gt;=3,$F341,0))</f>
        <v>0</v>
      </c>
      <c r="M341" s="118">
        <f t="shared" si="88"/>
        <v>29.725600346199101</v>
      </c>
      <c r="N341" s="116">
        <f t="shared" si="89"/>
        <v>1056.9310321365936</v>
      </c>
      <c r="O341" s="115" t="str">
        <f t="shared" si="90"/>
        <v>OK</v>
      </c>
      <c r="P341">
        <f t="shared" si="91"/>
        <v>1027.2054317903944</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966.36660235479394</v>
      </c>
      <c r="W341">
        <f t="shared" si="97"/>
        <v>966.36660235479394</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IF($D341="","",IF(SUMPRODUCT(MAX(($D$4:$D$810=$D341)*($B$4:$B$810&lt;$B341)*$B$4:$B$810))=0,0,MAX(($B341-MAX(SUMPRODUCT(MAX(($D$4:$D$810=$D341)*($B$4:$B$810&lt;$B341)*$B$4:$B$810)),'Guide &amp; Settings'!$C$50))/7-'Guide &amp; Settings'!$C$48,0)*'Guide &amp; Settings'!$C$49))</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1119.6253165374437</v>
      </c>
      <c r="I342" s="117">
        <f t="shared" si="87"/>
        <v>0.72727272727272729</v>
      </c>
      <c r="J342" s="118">
        <f>IF($D342="",0,IF($F342&lt;2,0,IF($E342="Win",('Guide &amp; Settings'!$C$42/(($F342-1)*COUNTIFS($A$4:$A$810,$A342,$E$4:$E$810,"Win")))*SUMIFS($X$4:$X$810,$A$4:$A$810,$A342,$E$4:$E$810,"Loss"),-('Guide &amp; Settings'!$C$42/($F342-1))*$X342)))</f>
        <v>-20.998327618926375</v>
      </c>
      <c r="K342" s="118">
        <f>IF($D342="",0,'Guide &amp; Settings'!$C$43*(IF($E342="Win",1,0)-$I342))</f>
        <v>-8.7272727272727266</v>
      </c>
      <c r="L342" s="119">
        <f>IF($D342="",0,'Guide &amp; Settings'!$C$44*IF($F342&gt;=3,$F342,0))</f>
        <v>0</v>
      </c>
      <c r="M342" s="118">
        <f t="shared" si="88"/>
        <v>-29.725600346199101</v>
      </c>
      <c r="N342" s="116">
        <f t="shared" si="89"/>
        <v>1089.8997161912446</v>
      </c>
      <c r="O342" s="115" t="str">
        <f t="shared" si="90"/>
        <v>OK</v>
      </c>
      <c r="P342">
        <f t="shared" si="91"/>
        <v>1027.2054317903944</v>
      </c>
      <c r="Q342">
        <f t="shared" si="92"/>
        <v>0.6299521685948628</v>
      </c>
      <c r="R342">
        <f t="shared" si="93"/>
        <v>0.66666666666666663</v>
      </c>
      <c r="S342">
        <f t="shared" si="94"/>
        <v>0.91666666666666663</v>
      </c>
      <c r="T342" s="83">
        <f t="shared" si="95"/>
        <v>4</v>
      </c>
      <c r="U342" s="120">
        <f>IF($D342="",0,IFERROR(LOOKUP(2,1/(($D$3:D341=$D342)*($C$3:C341=$C342)*($A$3:A341&lt;$A342)),$AB$3:AB341),1000))</f>
        <v>1027.4466091015704</v>
      </c>
      <c r="V342" s="120">
        <f t="shared" si="96"/>
        <v>1078.6570021215</v>
      </c>
      <c r="W342">
        <f t="shared" si="97"/>
        <v>966.36660235479394</v>
      </c>
      <c r="X342">
        <f t="shared" si="98"/>
        <v>0.65619773809144921</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IF($D342="","",IF(SUMPRODUCT(MAX(($D$4:$D$810=$D342)*($B$4:$B$810&lt;$B342)*$B$4:$B$810))=0,0,MAX(($B342-MAX(SUMPRODUCT(MAX(($D$4:$D$810=$D342)*($B$4:$B$810&lt;$B342)*$B$4:$B$810)),'Guide &amp; Settings'!$C$50))/7-'Guide &amp; Settings'!$C$48,0)*'Guide &amp; Settings'!$C$49))</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1056.9310321365936</v>
      </c>
      <c r="I343" s="117">
        <f t="shared" si="87"/>
        <v>0.35000000000000003</v>
      </c>
      <c r="J343" s="118">
        <f>IF($D343="",0,IF($F343&lt;2,0,IF($E343="Win",('Guide &amp; Settings'!$C$42/(($F343-1)*COUNTIFS($A$4:$A$810,$A343,$E$4:$E$810,"Win")))*SUMIFS($X$4:$X$810,$A$4:$A$810,$A343,$E$4:$E$810,"Loss"),-('Guide &amp; Settings'!$C$42/($F343-1))*$X343)))</f>
        <v>18.781860417197773</v>
      </c>
      <c r="K343" s="118">
        <f>IF($D343="",0,'Guide &amp; Settings'!$C$43*(IF($E343="Win",1,0)-$I343))</f>
        <v>7.7999999999999989</v>
      </c>
      <c r="L343" s="119">
        <f>IF($D343="",0,'Guide &amp; Settings'!$C$44*IF($F343&gt;=3,$F343,0))</f>
        <v>0</v>
      </c>
      <c r="M343" s="118">
        <f t="shared" si="88"/>
        <v>26.581860417197774</v>
      </c>
      <c r="N343" s="116">
        <f t="shared" si="89"/>
        <v>1083.5128925537913</v>
      </c>
      <c r="O343" s="115" t="str">
        <f t="shared" si="90"/>
        <v>OK</v>
      </c>
      <c r="P343">
        <f t="shared" si="91"/>
        <v>1056.9310321365936</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987.58639429756568</v>
      </c>
      <c r="W343">
        <f t="shared" si="97"/>
        <v>987.58639429756568</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IF($D343="","",IF(SUMPRODUCT(MAX(($D$4:$D$810=$D343)*($B$4:$B$810&lt;$B343)*$B$4:$B$810))=0,0,MAX(($B343-MAX(SUMPRODUCT(MAX(($D$4:$D$810=$D343)*($B$4:$B$810&lt;$B343)*$B$4:$B$810)),'Guide &amp; Settings'!$C$50))/7-'Guide &amp; Settings'!$C$48,0)*'Guide &amp; Settings'!$C$49))</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1089.8997161912446</v>
      </c>
      <c r="I344" s="117">
        <f t="shared" si="87"/>
        <v>0.65</v>
      </c>
      <c r="J344" s="118">
        <f>IF($D344="",0,IF($F344&lt;2,0,IF($E344="Win",('Guide &amp; Settings'!$C$42/(($F344-1)*COUNTIFS($A$4:$A$810,$A344,$E$4:$E$810,"Win")))*SUMIFS($X$4:$X$810,$A$4:$A$810,$A344,$E$4:$E$810,"Loss"),-('Guide &amp; Settings'!$C$42/($F344-1))*$X344)))</f>
        <v>-18.781860417197773</v>
      </c>
      <c r="K344" s="118">
        <f>IF($D344="",0,'Guide &amp; Settings'!$C$43*(IF($E344="Win",1,0)-$I344))</f>
        <v>-7.8000000000000007</v>
      </c>
      <c r="L344" s="119">
        <f>IF($D344="",0,'Guide &amp; Settings'!$C$44*IF($F344&gt;=3,$F344,0))</f>
        <v>0</v>
      </c>
      <c r="M344" s="118">
        <f t="shared" si="88"/>
        <v>-26.581860417197774</v>
      </c>
      <c r="N344" s="116">
        <f t="shared" si="89"/>
        <v>1063.3178557740468</v>
      </c>
      <c r="O344" s="115" t="str">
        <f t="shared" si="90"/>
        <v>OK</v>
      </c>
      <c r="P344">
        <f t="shared" si="91"/>
        <v>1056.9310321365936</v>
      </c>
      <c r="Q344">
        <f t="shared" si="92"/>
        <v>0.54730385453869546</v>
      </c>
      <c r="R344">
        <f t="shared" si="93"/>
        <v>0.5714285714285714</v>
      </c>
      <c r="S344">
        <f t="shared" si="94"/>
        <v>0.87912087912087911</v>
      </c>
      <c r="T344" s="83">
        <f t="shared" si="95"/>
        <v>5</v>
      </c>
      <c r="U344" s="120">
        <f>IF($D344="",0,IFERROR(LOOKUP(2,1/(($D$3:D343=$D344)*($C$3:C343=$C344)*($A$3:A343&lt;$A344)),$AB$3:AB343),1000))</f>
        <v>1007.3276923678292</v>
      </c>
      <c r="V344" s="120">
        <f t="shared" si="96"/>
        <v>1048.6137042795369</v>
      </c>
      <c r="W344">
        <f t="shared" si="97"/>
        <v>987.58639429756568</v>
      </c>
      <c r="X344">
        <f t="shared" si="98"/>
        <v>0.58693313803743041</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IF($D344="","",IF(SUMPRODUCT(MAX(($D$4:$D$810=$D344)*($B$4:$B$810&lt;$B344)*$B$4:$B$810))=0,0,MAX(($B344-MAX(SUMPRODUCT(MAX(($D$4:$D$810=$D344)*($B$4:$B$810&lt;$B344)*$B$4:$B$810)),'Guide &amp; Settings'!$C$50))/7-'Guide &amp; Settings'!$C$48,0)*'Guide &amp; Settings'!$C$49))</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1083.5128925537913</v>
      </c>
      <c r="I345" s="117">
        <f t="shared" si="87"/>
        <v>0.41666666666666663</v>
      </c>
      <c r="J345" s="118">
        <f>IF($D345="",0,IF($F345&lt;2,0,IF($E345="Win",('Guide &amp; Settings'!$C$42/(($F345-1)*COUNTIFS($A$4:$A$810,$A345,$E$4:$E$810,"Win")))*SUMIFS($X$4:$X$810,$A$4:$A$810,$A345,$E$4:$E$810,"Loss"),-('Guide &amp; Settings'!$C$42/($F345-1))*$X345)))</f>
        <v>16.748859287215996</v>
      </c>
      <c r="K345" s="118">
        <f>IF($D345="",0,'Guide &amp; Settings'!$C$43*(IF($E345="Win",1,0)-$I345))</f>
        <v>7</v>
      </c>
      <c r="L345" s="119">
        <f>IF($D345="",0,'Guide &amp; Settings'!$C$44*IF($F345&gt;=3,$F345,0))</f>
        <v>0</v>
      </c>
      <c r="M345" s="118">
        <f t="shared" si="88"/>
        <v>23.748859287215996</v>
      </c>
      <c r="N345" s="116">
        <f t="shared" si="89"/>
        <v>1107.2617518410073</v>
      </c>
      <c r="O345" s="115" t="str">
        <f t="shared" si="90"/>
        <v>OK</v>
      </c>
      <c r="P345">
        <f t="shared" si="91"/>
        <v>1083.5128925537913</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1006.4989489664904</v>
      </c>
      <c r="W345">
        <f t="shared" si="97"/>
        <v>1006.4989489664904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IF($D345="","",IF(SUMPRODUCT(MAX(($D$4:$D$810=$D345)*($B$4:$B$810&lt;$B345)*$B$4:$B$810))=0,0,MAX(($B345-MAX(SUMPRODUCT(MAX(($D$4:$D$810=$D345)*($B$4:$B$810&lt;$B345)*$B$4:$B$810)),'Guide &amp; Settings'!$C$50))/7-'Guide &amp; Settings'!$C$48,0)*'Guide &amp; Settings'!$C$49))</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1063.3178557740468</v>
      </c>
      <c r="I346" s="117">
        <f t="shared" si="87"/>
        <v>0.58333333333333326</v>
      </c>
      <c r="J346" s="118">
        <f>IF($D346="",0,IF($F346&lt;2,0,IF($E346="Win",('Guide &amp; Settings'!$C$42/(($F346-1)*COUNTIFS($A$4:$A$810,$A346,$E$4:$E$810,"Win")))*SUMIFS($X$4:$X$810,$A$4:$A$810,$A346,$E$4:$E$810,"Loss"),-('Guide &amp; Settings'!$C$42/($F346-1))*$X346)))</f>
        <v>-16.748859287215996</v>
      </c>
      <c r="K346" s="118">
        <f>IF($D346="",0,'Guide &amp; Settings'!$C$43*(IF($E346="Win",1,0)-$I346))</f>
        <v>-6.9999999999999991</v>
      </c>
      <c r="L346" s="119">
        <f>IF($D346="",0,'Guide &amp; Settings'!$C$44*IF($F346&gt;=3,$F346,0))</f>
        <v>0</v>
      </c>
      <c r="M346" s="118">
        <f t="shared" si="88"/>
        <v>-23.748859287215996</v>
      </c>
      <c r="N346" s="116">
        <f t="shared" si="89"/>
        <v>1039.5689964868309</v>
      </c>
      <c r="O346" s="115" t="str">
        <f t="shared" si="90"/>
        <v>OK</v>
      </c>
      <c r="P346">
        <f t="shared" si="91"/>
        <v>1083.5128925537913</v>
      </c>
      <c r="Q346">
        <f t="shared" si="92"/>
        <v>0.47096969271467487</v>
      </c>
      <c r="R346">
        <f t="shared" si="93"/>
        <v>0.5</v>
      </c>
      <c r="S346">
        <f t="shared" si="94"/>
        <v>0.85714285714285721</v>
      </c>
      <c r="T346" s="83">
        <f t="shared" si="95"/>
        <v>6</v>
      </c>
      <c r="U346" s="120">
        <f>IF($D346="",0,IFERROR(LOOKUP(2,1/(($D$3:D345=$D346)*($C$3:C345=$C346)*($A$3:A345&lt;$A346)),$AB$3:AB345),1000))</f>
        <v>988.98399093344892</v>
      </c>
      <c r="V346" s="120">
        <f t="shared" si="96"/>
        <v>1022.7721113155388</v>
      </c>
      <c r="W346">
        <f t="shared" si="97"/>
        <v>1006.4989489664904</v>
      </c>
      <c r="X346">
        <f t="shared" si="98"/>
        <v>0.52340185272549988</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IF($D346="","",IF(SUMPRODUCT(MAX(($D$4:$D$810=$D346)*($B$4:$B$810&lt;$B346)*$B$4:$B$810))=0,0,MAX(($B346-MAX(SUMPRODUCT(MAX(($D$4:$D$810=$D346)*($B$4:$B$810&lt;$B346)*$B$4:$B$810)),'Guide &amp; Settings'!$C$50))/7-'Guide &amp; Settings'!$C$48,0)*'Guide &amp; Settings'!$C$49))</f>
        <v>0</v>
      </c>
    </row>
    <row r="347" spans="1:29" x14ac:dyDescent="0.2">
      <c r="A347" s="111">
        <v>149</v>
      </c>
      <c r="B347" s="112">
        <v>46215</v>
      </c>
      <c r="C347" s="113" t="s">
        <v>447</v>
      </c>
      <c r="D347" s="113" t="s">
        <v>167</v>
      </c>
      <c r="E347" s="111" t="s">
        <v>308</v>
      </c>
      <c r="F347" s="114">
        <f t="shared" si="85"/>
        <v>2</v>
      </c>
      <c r="G347" s="115" t="str">
        <f t="shared" si="86"/>
        <v>Dean B</v>
      </c>
      <c r="H347" s="116">
        <f>IF($D347="",0,IFERROR(LOOKUP(2,1/(($D$3:D346=$D347)*($A$3:A346&lt;$A347)),$N$3:N346),'Guide &amp; Settings'!$C$41))</f>
        <v>1168.2113436007442</v>
      </c>
      <c r="I347" s="117">
        <f t="shared" si="87"/>
        <v>0.5</v>
      </c>
      <c r="J347" s="118">
        <f>IF($D347="",0,IF($F347&lt;2,0,IF($E347="Win",('Guide &amp; Settings'!$C$42/(($F347-1)*COUNTIFS($A$4:$A$810,$A347,$E$4:$E$810,"Win")))*SUMIFS($X$4:$X$810,$A$4:$A$810,$A347,$E$4:$E$810,"Loss"),-('Guide &amp; Settings'!$C$42/($F347-1))*$X347)))</f>
        <v>10.792462067133775</v>
      </c>
      <c r="K347" s="118">
        <f>IF($D347="",0,'Guide &amp; Settings'!$C$43*(IF($E347="Win",1,0)-$I347))</f>
        <v>6</v>
      </c>
      <c r="L347" s="119">
        <f>IF($D347="",0,'Guide &amp; Settings'!$C$44*IF($F347&gt;=3,$F347,0))</f>
        <v>0</v>
      </c>
      <c r="M347" s="118">
        <f t="shared" si="88"/>
        <v>16.792462067133776</v>
      </c>
      <c r="N347" s="116">
        <f t="shared" si="89"/>
        <v>1185.0038056678779</v>
      </c>
      <c r="O347" s="115" t="str">
        <f t="shared" si="90"/>
        <v>OK</v>
      </c>
      <c r="P347">
        <f t="shared" si="91"/>
        <v>1168.2113436007442</v>
      </c>
      <c r="Q347">
        <f t="shared" si="92"/>
        <v>0.5</v>
      </c>
      <c r="R347">
        <f t="shared" si="93"/>
        <v>0.5</v>
      </c>
      <c r="S347">
        <f t="shared" si="94"/>
        <v>1</v>
      </c>
      <c r="T347" s="83">
        <f t="shared" si="95"/>
        <v>0</v>
      </c>
      <c r="U347" s="120">
        <f>IF($D347="",0,IFERROR(LOOKUP(2,1/(($D$3:D346=$D347)*($C$3:C346=$C347)*($A$3:A346&lt;$A347)),$AB$3:AB346),1000))</f>
        <v>1000</v>
      </c>
      <c r="V347" s="120">
        <f t="shared" si="96"/>
        <v>1168.2113436007442</v>
      </c>
      <c r="W347">
        <f t="shared" si="97"/>
        <v>1168.2113436007442</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IF($D347="","",IF(SUMPRODUCT(MAX(($D$4:$D$810=$D347)*($B$4:$B$810&lt;$B347)*$B$4:$B$810))=0,0,MAX(($B347-MAX(SUMPRODUCT(MAX(($D$4:$D$810=$D347)*($B$4:$B$810&lt;$B347)*$B$4:$B$810)),'Guide &amp; Settings'!$C$50))/7-'Guide &amp; Settings'!$C$48,0)*'Guide &amp; Settings'!$C$49))</f>
        <v>0</v>
      </c>
    </row>
    <row r="348" spans="1:29" x14ac:dyDescent="0.2">
      <c r="A348" s="111">
        <v>149</v>
      </c>
      <c r="B348" s="112">
        <v>46215</v>
      </c>
      <c r="C348" s="113" t="s">
        <v>447</v>
      </c>
      <c r="D348" s="113" t="s">
        <v>170</v>
      </c>
      <c r="E348" s="111" t="s">
        <v>309</v>
      </c>
      <c r="F348" s="114">
        <f t="shared" si="85"/>
        <v>2</v>
      </c>
      <c r="G348" s="115" t="str">
        <f t="shared" si="86"/>
        <v>Dean B</v>
      </c>
      <c r="H348" s="116">
        <f>IF($D348="",0,IFERROR(LOOKUP(2,1/(($D$3:D347=$D348)*($A$3:A347&lt;$A348)),$N$3:N347),'Guide &amp; Settings'!$C$41))</f>
        <v>1050.8634549674414</v>
      </c>
      <c r="I348" s="117">
        <f t="shared" si="87"/>
        <v>0.5</v>
      </c>
      <c r="J348" s="118">
        <f>IF($D348="",0,IF($F348&lt;2,0,IF($E348="Win",('Guide &amp; Settings'!$C$42/(($F348-1)*COUNTIFS($A$4:$A$810,$A348,$E$4:$E$810,"Win")))*SUMIFS($X$4:$X$810,$A$4:$A$810,$A348,$E$4:$E$810,"Loss"),-('Guide &amp; Settings'!$C$42/($F348-1))*$X348)))</f>
        <v>-10.792462067133775</v>
      </c>
      <c r="K348" s="118">
        <f>IF($D348="",0,'Guide &amp; Settings'!$C$43*(IF($E348="Win",1,0)-$I348))</f>
        <v>-6</v>
      </c>
      <c r="L348" s="119">
        <f>IF($D348="",0,'Guide &amp; Settings'!$C$44*IF($F348&gt;=3,$F348,0))</f>
        <v>0</v>
      </c>
      <c r="M348" s="118">
        <f t="shared" si="88"/>
        <v>-16.792462067133776</v>
      </c>
      <c r="N348" s="116">
        <f t="shared" si="89"/>
        <v>1034.0709929003076</v>
      </c>
      <c r="O348" s="115" t="str">
        <f t="shared" si="90"/>
        <v>OK</v>
      </c>
      <c r="P348">
        <f t="shared" si="91"/>
        <v>1168.2113436007442</v>
      </c>
      <c r="Q348">
        <f t="shared" si="92"/>
        <v>0.33726443959793045</v>
      </c>
      <c r="R348">
        <f t="shared" si="93"/>
        <v>0.5</v>
      </c>
      <c r="S348">
        <f t="shared" si="94"/>
        <v>1</v>
      </c>
      <c r="T348" s="83">
        <f t="shared" si="95"/>
        <v>0</v>
      </c>
      <c r="U348" s="120">
        <f>IF($D348="",0,IFERROR(LOOKUP(2,1/(($D$3:D347=$D348)*($C$3:C347=$C348)*($A$3:A347&lt;$A348)),$AB$3:AB347),1000))</f>
        <v>1000</v>
      </c>
      <c r="V348" s="120">
        <f t="shared" si="96"/>
        <v>1050.8634549674414</v>
      </c>
      <c r="W348">
        <f t="shared" si="97"/>
        <v>1168.2113436007442</v>
      </c>
      <c r="X348">
        <f t="shared" si="98"/>
        <v>0.33726443959793045</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IF($D348="","",IF(SUMPRODUCT(MAX(($D$4:$D$810=$D348)*($B$4:$B$810&lt;$B348)*$B$4:$B$810))=0,0,MAX(($B348-MAX(SUMPRODUCT(MAX(($D$4:$D$810=$D348)*($B$4:$B$810&lt;$B348)*$B$4:$B$810)),'Guide &amp; Settings'!$C$50))/7-'Guide &amp; Settings'!$C$48,0)*'Guide &amp; Settings'!$C$49))</f>
        <v>0</v>
      </c>
    </row>
    <row r="349" spans="1:29" x14ac:dyDescent="0.2">
      <c r="A349" s="111">
        <v>150</v>
      </c>
      <c r="B349" s="112">
        <v>46215</v>
      </c>
      <c r="C349" s="113" t="s">
        <v>447</v>
      </c>
      <c r="D349" s="113" t="s">
        <v>167</v>
      </c>
      <c r="E349" s="111" t="s">
        <v>308</v>
      </c>
      <c r="F349" s="114">
        <f t="shared" si="85"/>
        <v>2</v>
      </c>
      <c r="G349" s="115" t="str">
        <f t="shared" si="86"/>
        <v>Dean B</v>
      </c>
      <c r="H349" s="116">
        <f>IF($D349="",0,IFERROR(LOOKUP(2,1/(($D$3:D348=$D349)*($A$3:A348&lt;$A349)),$N$3:N348),'Guide &amp; Settings'!$C$41))</f>
        <v>1185.0038056678779</v>
      </c>
      <c r="I349" s="117">
        <f t="shared" si="87"/>
        <v>0.66666666666666663</v>
      </c>
      <c r="J349" s="118">
        <f>IF($D349="",0,IF($F349&lt;2,0,IF($E349="Win",('Guide &amp; Settings'!$C$42/(($F349-1)*COUNTIFS($A$4:$A$810,$A349,$E$4:$E$810,"Win")))*SUMIFS($X$4:$X$810,$A$4:$A$810,$A349,$E$4:$E$810,"Loss"),-('Guide &amp; Settings'!$C$42/($F349-1))*$X349)))</f>
        <v>10.233303081340541</v>
      </c>
      <c r="K349" s="118">
        <f>IF($D349="",0,'Guide &amp; Settings'!$C$43*(IF($E349="Win",1,0)-$I349))</f>
        <v>4</v>
      </c>
      <c r="L349" s="119">
        <f>IF($D349="",0,'Guide &amp; Settings'!$C$44*IF($F349&gt;=3,$F349,0))</f>
        <v>0</v>
      </c>
      <c r="M349" s="118">
        <f t="shared" si="88"/>
        <v>14.233303081340541</v>
      </c>
      <c r="N349" s="116">
        <f t="shared" si="89"/>
        <v>1199.2371087492186</v>
      </c>
      <c r="O349" s="115" t="str">
        <f t="shared" si="90"/>
        <v>OK</v>
      </c>
      <c r="P349">
        <f t="shared" si="91"/>
        <v>1185.0038056678779</v>
      </c>
      <c r="Q349">
        <f t="shared" si="92"/>
        <v>0.5</v>
      </c>
      <c r="R349">
        <f t="shared" si="93"/>
        <v>0.66666666666666663</v>
      </c>
      <c r="S349">
        <f t="shared" si="94"/>
        <v>1</v>
      </c>
      <c r="T349" s="83">
        <f t="shared" si="95"/>
        <v>1</v>
      </c>
      <c r="U349" s="120">
        <f>IF($D349="",0,IFERROR(LOOKUP(2,1/(($D$3:D348=$D349)*($C$3:C348=$C349)*($A$3:A348&lt;$A349)),$AB$3:AB348),1000))</f>
        <v>1016</v>
      </c>
      <c r="V349" s="120">
        <f t="shared" si="96"/>
        <v>1156.8365047232317</v>
      </c>
      <c r="W349">
        <f t="shared" si="97"/>
        <v>1156.8365047232317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IF($D349="","",IF(SUMPRODUCT(MAX(($D$4:$D$810=$D349)*($B$4:$B$810&lt;$B349)*$B$4:$B$810))=0,0,MAX(($B349-MAX(SUMPRODUCT(MAX(($D$4:$D$810=$D349)*($B$4:$B$810&lt;$B349)*$B$4:$B$810)),'Guide &amp; Settings'!$C$50))/7-'Guide &amp; Settings'!$C$48,0)*'Guide &amp; Settings'!$C$49))</f>
        <v>0</v>
      </c>
    </row>
    <row r="350" spans="1:29" x14ac:dyDescent="0.2">
      <c r="A350" s="111">
        <v>150</v>
      </c>
      <c r="B350" s="112">
        <v>46215</v>
      </c>
      <c r="C350" s="113" t="s">
        <v>447</v>
      </c>
      <c r="D350" s="113" t="s">
        <v>170</v>
      </c>
      <c r="E350" s="111" t="s">
        <v>309</v>
      </c>
      <c r="F350" s="114">
        <f t="shared" si="85"/>
        <v>2</v>
      </c>
      <c r="G350" s="115" t="str">
        <f t="shared" si="86"/>
        <v>Dean B</v>
      </c>
      <c r="H350" s="116">
        <f>IF($D350="",0,IFERROR(LOOKUP(2,1/(($D$3:D349=$D350)*($A$3:A349&lt;$A350)),$N$3:N349),'Guide &amp; Settings'!$C$41))</f>
        <v>1034.0709929003076</v>
      </c>
      <c r="I350" s="117">
        <f t="shared" si="87"/>
        <v>0.33333333333333331</v>
      </c>
      <c r="J350" s="118">
        <f>IF($D350="",0,IF($F350&lt;2,0,IF($E350="Win",('Guide &amp; Settings'!$C$42/(($F350-1)*COUNTIFS($A$4:$A$810,$A350,$E$4:$E$810,"Win")))*SUMIFS($X$4:$X$810,$A$4:$A$810,$A350,$E$4:$E$810,"Loss"),-('Guide &amp; Settings'!$C$42/($F350-1))*$X350)))</f>
        <v>-10.233303081340541</v>
      </c>
      <c r="K350" s="118">
        <f>IF($D350="",0,'Guide &amp; Settings'!$C$43*(IF($E350="Win",1,0)-$I350))</f>
        <v>-4</v>
      </c>
      <c r="L350" s="119">
        <f>IF($D350="",0,'Guide &amp; Settings'!$C$44*IF($F350&gt;=3,$F350,0))</f>
        <v>0</v>
      </c>
      <c r="M350" s="118">
        <f t="shared" si="88"/>
        <v>-14.233303081340541</v>
      </c>
      <c r="N350" s="116">
        <f t="shared" si="89"/>
        <v>1019.8376898189671</v>
      </c>
      <c r="O350" s="115" t="str">
        <f t="shared" si="90"/>
        <v>OK</v>
      </c>
      <c r="P350">
        <f t="shared" si="91"/>
        <v>1185.0038056678779</v>
      </c>
      <c r="Q350">
        <f t="shared" si="92"/>
        <v>0.29549591608904896</v>
      </c>
      <c r="R350">
        <f t="shared" si="93"/>
        <v>0.33333333333333331</v>
      </c>
      <c r="S350">
        <f t="shared" si="94"/>
        <v>1</v>
      </c>
      <c r="T350" s="83">
        <f t="shared" si="95"/>
        <v>1</v>
      </c>
      <c r="U350" s="120">
        <f>IF($D350="",0,IFERROR(LOOKUP(2,1/(($D$3:D349=$D350)*($C$3:C349=$C350)*($A$3:A349&lt;$A350)),$AB$3:AB349),1000))</f>
        <v>984</v>
      </c>
      <c r="V350" s="120">
        <f t="shared" si="96"/>
        <v>1025.725827416923</v>
      </c>
      <c r="W350">
        <f t="shared" si="97"/>
        <v>1156.8365047232317</v>
      </c>
      <c r="X350">
        <f t="shared" si="98"/>
        <v>0.3197907212918919</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IF($D350="","",IF(SUMPRODUCT(MAX(($D$4:$D$810=$D350)*($B$4:$B$810&lt;$B350)*$B$4:$B$810))=0,0,MAX(($B350-MAX(SUMPRODUCT(MAX(($D$4:$D$810=$D350)*($B$4:$B$810&lt;$B350)*$B$4:$B$810)),'Guide &amp; Settings'!$C$50))/7-'Guide &amp; Settings'!$C$48,0)*'Guide &amp; Settings'!$C$49))</f>
        <v>0</v>
      </c>
    </row>
    <row r="351" spans="1:29" x14ac:dyDescent="0.2">
      <c r="A351" s="111">
        <v>151</v>
      </c>
      <c r="B351" s="112">
        <v>46215</v>
      </c>
      <c r="C351" s="113" t="s">
        <v>447</v>
      </c>
      <c r="D351" s="113" t="s">
        <v>167</v>
      </c>
      <c r="E351" s="111" t="s">
        <v>308</v>
      </c>
      <c r="F351" s="114">
        <f t="shared" si="85"/>
        <v>2</v>
      </c>
      <c r="G351" s="115" t="str">
        <f t="shared" si="86"/>
        <v>Dean B</v>
      </c>
      <c r="H351" s="116">
        <f>IF($D351="",0,IFERROR(LOOKUP(2,1/(($D$3:D350=$D351)*($A$3:A350&lt;$A351)),$N$3:N350),'Guide &amp; Settings'!$C$41))</f>
        <v>1199.2371087492186</v>
      </c>
      <c r="I351" s="117">
        <f t="shared" si="87"/>
        <v>0.6</v>
      </c>
      <c r="J351" s="118">
        <f>IF($D351="",0,IF($F351&lt;2,0,IF($E351="Win",('Guide &amp; Settings'!$C$42/(($F351-1)*COUNTIFS($A$4:$A$810,$A351,$E$4:$E$810,"Win")))*SUMIFS($X$4:$X$810,$A$4:$A$810,$A351,$E$4:$E$810,"Loss"),-('Guide &amp; Settings'!$C$42/($F351-1))*$X351)))</f>
        <v>15.018766326087334</v>
      </c>
      <c r="K351" s="118">
        <f>IF($D351="",0,'Guide &amp; Settings'!$C$43*(IF($E351="Win",1,0)-$I351))</f>
        <v>4.8000000000000007</v>
      </c>
      <c r="L351" s="119">
        <f>IF($D351="",0,'Guide &amp; Settings'!$C$44*IF($F351&gt;=3,$F351,0))</f>
        <v>0</v>
      </c>
      <c r="M351" s="118">
        <f t="shared" si="88"/>
        <v>19.818766326087335</v>
      </c>
      <c r="N351" s="116">
        <f t="shared" si="89"/>
        <v>1219.0558750753059</v>
      </c>
      <c r="O351" s="115" t="str">
        <f t="shared" si="90"/>
        <v>OK</v>
      </c>
      <c r="P351">
        <f t="shared" si="91"/>
        <v>1199.2371087492186</v>
      </c>
      <c r="Q351">
        <f t="shared" si="92"/>
        <v>0.5</v>
      </c>
      <c r="R351">
        <f t="shared" si="93"/>
        <v>0.75</v>
      </c>
      <c r="S351">
        <f t="shared" si="94"/>
        <v>1.25</v>
      </c>
      <c r="T351" s="83">
        <f t="shared" si="95"/>
        <v>2</v>
      </c>
      <c r="U351" s="120">
        <f>IF($D351="",0,IFERROR(LOOKUP(2,1/(($D$3:D350=$D351)*($C$3:C350=$C351)*($A$3:A350&lt;$A351)),$AB$3:AB350),1000))</f>
        <v>1030.5304984710244</v>
      </c>
      <c r="V351" s="120">
        <f t="shared" si="96"/>
        <v>1151.0352200983061</v>
      </c>
      <c r="W351">
        <f t="shared" si="97"/>
        <v>1151.0352200983061</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IF($D351="","",IF(SUMPRODUCT(MAX(($D$4:$D$810=$D351)*($B$4:$B$810&lt;$B351)*$B$4:$B$810))=0,0,MAX(($B351-MAX(SUMPRODUCT(MAX(($D$4:$D$810=$D351)*($B$4:$B$810&lt;$B351)*$B$4:$B$810)),'Guide &amp; Settings'!$C$50))/7-'Guide &amp; Settings'!$C$48,0)*'Guide &amp; Settings'!$C$49))</f>
        <v>0</v>
      </c>
    </row>
    <row r="352" spans="1:29" x14ac:dyDescent="0.2">
      <c r="A352" s="111">
        <v>151</v>
      </c>
      <c r="B352" s="112">
        <v>46215</v>
      </c>
      <c r="C352" s="113" t="s">
        <v>447</v>
      </c>
      <c r="D352" s="113" t="s">
        <v>137</v>
      </c>
      <c r="E352" s="111" t="s">
        <v>309</v>
      </c>
      <c r="F352" s="114">
        <f t="shared" si="85"/>
        <v>2</v>
      </c>
      <c r="G352" s="115" t="str">
        <f t="shared" si="86"/>
        <v>Dean B</v>
      </c>
      <c r="H352" s="116">
        <f>IF($D352="",0,IFERROR(LOOKUP(2,1/(($D$3:D351=$D352)*($A$3:A351&lt;$A352)),$N$3:N351),'Guide &amp; Settings'!$C$41))</f>
        <v>1129.7012289075892</v>
      </c>
      <c r="I352" s="117">
        <f t="shared" si="87"/>
        <v>0.4</v>
      </c>
      <c r="J352" s="118">
        <f>IF($D352="",0,IF($F352&lt;2,0,IF($E352="Win",('Guide &amp; Settings'!$C$42/(($F352-1)*COUNTIFS($A$4:$A$810,$A352,$E$4:$E$810,"Win")))*SUMIFS($X$4:$X$810,$A$4:$A$810,$A352,$E$4:$E$810,"Loss"),-('Guide &amp; Settings'!$C$42/($F352-1))*$X352)))</f>
        <v>-15.018766326087334</v>
      </c>
      <c r="K352" s="118">
        <f>IF($D352="",0,'Guide &amp; Settings'!$C$43*(IF($E352="Win",1,0)-$I352))</f>
        <v>-4.8000000000000007</v>
      </c>
      <c r="L352" s="119">
        <f>IF($D352="",0,'Guide &amp; Settings'!$C$44*IF($F352&gt;=3,$F352,0))</f>
        <v>0</v>
      </c>
      <c r="M352" s="118">
        <f t="shared" si="88"/>
        <v>-19.818766326087335</v>
      </c>
      <c r="N352" s="116">
        <f t="shared" si="89"/>
        <v>1109.8824625815018</v>
      </c>
      <c r="O352" s="115" t="str">
        <f t="shared" si="90"/>
        <v>OK</v>
      </c>
      <c r="P352">
        <f t="shared" si="91"/>
        <v>1199.2371087492186</v>
      </c>
      <c r="Q352">
        <f t="shared" si="92"/>
        <v>0.40124490035368604</v>
      </c>
      <c r="R352">
        <f t="shared" si="93"/>
        <v>0.5</v>
      </c>
      <c r="S352">
        <f t="shared" si="94"/>
        <v>1.25</v>
      </c>
      <c r="T352" s="83">
        <f t="shared" si="95"/>
        <v>0</v>
      </c>
      <c r="U352" s="120">
        <f>IF($D352="",0,IFERROR(LOOKUP(2,1/(($D$3:D351=$D352)*($C$3:C351=$C352)*($A$3:A351&lt;$A352)),$AB$3:AB351),1000))</f>
        <v>1000</v>
      </c>
      <c r="V352" s="120">
        <f t="shared" si="96"/>
        <v>1129.7012289075892</v>
      </c>
      <c r="W352">
        <f t="shared" si="97"/>
        <v>1151.0352200983061</v>
      </c>
      <c r="X352">
        <f t="shared" si="98"/>
        <v>0.4693364476902292</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IF($D352="","",IF(SUMPRODUCT(MAX(($D$4:$D$810=$D352)*($B$4:$B$810&lt;$B352)*$B$4:$B$810))=0,0,MAX(($B352-MAX(SUMPRODUCT(MAX(($D$4:$D$810=$D352)*($B$4:$B$810&lt;$B352)*$B$4:$B$810)),'Guide &amp; Settings'!$C$50))/7-'Guide &amp; Settings'!$C$48,0)*'Guide &amp; Settings'!$C$49))</f>
        <v>0</v>
      </c>
    </row>
    <row r="353" spans="1:29" x14ac:dyDescent="0.2">
      <c r="A353" s="111">
        <v>152</v>
      </c>
      <c r="B353" s="112">
        <v>46215</v>
      </c>
      <c r="C353" s="113" t="s">
        <v>447</v>
      </c>
      <c r="D353" s="113" t="s">
        <v>167</v>
      </c>
      <c r="E353" s="111" t="s">
        <v>308</v>
      </c>
      <c r="F353" s="114">
        <f t="shared" si="85"/>
        <v>2</v>
      </c>
      <c r="G353" s="115" t="str">
        <f t="shared" si="86"/>
        <v>Dean B</v>
      </c>
      <c r="H353" s="116">
        <f>IF($D353="",0,IFERROR(LOOKUP(2,1/(($D$3:D352=$D353)*($A$3:A352&lt;$A353)),$N$3:N352),'Guide &amp; Settings'!$C$41))</f>
        <v>1219.0558750753059</v>
      </c>
      <c r="I353" s="117">
        <f t="shared" si="87"/>
        <v>0.70588235294117652</v>
      </c>
      <c r="J353" s="118">
        <f>IF($D353="",0,IF($F353&lt;2,0,IF($E353="Win",('Guide &amp; Settings'!$C$42/(($F353-1)*COUNTIFS($A$4:$A$810,$A353,$E$4:$E$810,"Win")))*SUMIFS($X$4:$X$810,$A$4:$A$810,$A353,$E$4:$E$810,"Loss"),-('Guide &amp; Settings'!$C$42/($F353-1))*$X353)))</f>
        <v>13.054550893600867</v>
      </c>
      <c r="K353" s="118">
        <f>IF($D353="",0,'Guide &amp; Settings'!$C$43*(IF($E353="Win",1,0)-$I353))</f>
        <v>3.5294117647058818</v>
      </c>
      <c r="L353" s="119">
        <f>IF($D353="",0,'Guide &amp; Settings'!$C$44*IF($F353&gt;=3,$F353,0))</f>
        <v>0</v>
      </c>
      <c r="M353" s="118">
        <f t="shared" si="88"/>
        <v>16.583962658306749</v>
      </c>
      <c r="N353" s="116">
        <f t="shared" si="89"/>
        <v>1235.6398377336127</v>
      </c>
      <c r="O353" s="115" t="str">
        <f t="shared" si="90"/>
        <v>OK</v>
      </c>
      <c r="P353">
        <f t="shared" si="91"/>
        <v>1219.0558750753059</v>
      </c>
      <c r="Q353">
        <f t="shared" si="92"/>
        <v>0.5</v>
      </c>
      <c r="R353">
        <f t="shared" si="93"/>
        <v>0.8</v>
      </c>
      <c r="S353">
        <f t="shared" si="94"/>
        <v>1.1333333333333333</v>
      </c>
      <c r="T353" s="83">
        <f t="shared" si="95"/>
        <v>3</v>
      </c>
      <c r="U353" s="120">
        <f>IF($D353="",0,IFERROR(LOOKUP(2,1/(($D$3:D352=$D353)*($C$3:C352=$C353)*($A$3:A352&lt;$A353)),$AB$3:AB352),1000))</f>
        <v>1045.1281248226185</v>
      </c>
      <c r="V353" s="120">
        <f t="shared" si="96"/>
        <v>1153.8329687305481</v>
      </c>
      <c r="W353">
        <f t="shared" si="97"/>
        <v>1153.8329687305481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IF($D353="","",IF(SUMPRODUCT(MAX(($D$4:$D$810=$D353)*($B$4:$B$810&lt;$B353)*$B$4:$B$810))=0,0,MAX(($B353-MAX(SUMPRODUCT(MAX(($D$4:$D$810=$D353)*($B$4:$B$810&lt;$B353)*$B$4:$B$810)),'Guide &amp; Settings'!$C$50))/7-'Guide &amp; Settings'!$C$48,0)*'Guide &amp; Settings'!$C$49))</f>
        <v>0</v>
      </c>
    </row>
    <row r="354" spans="1:29" x14ac:dyDescent="0.2">
      <c r="A354" s="111">
        <v>152</v>
      </c>
      <c r="B354" s="112">
        <v>46215</v>
      </c>
      <c r="C354" s="113" t="s">
        <v>447</v>
      </c>
      <c r="D354" s="113" t="s">
        <v>137</v>
      </c>
      <c r="E354" s="111" t="s">
        <v>309</v>
      </c>
      <c r="F354" s="114">
        <f t="shared" si="85"/>
        <v>2</v>
      </c>
      <c r="G354" s="115" t="str">
        <f t="shared" si="86"/>
        <v>Dean B</v>
      </c>
      <c r="H354" s="116">
        <f>IF($D354="",0,IFERROR(LOOKUP(2,1/(($D$3:D353=$D354)*($A$3:A353&lt;$A354)),$N$3:N353),'Guide &amp; Settings'!$C$41))</f>
        <v>1109.8824625815018</v>
      </c>
      <c r="I354" s="117">
        <f t="shared" si="87"/>
        <v>0.29411764705882354</v>
      </c>
      <c r="J354" s="118">
        <f>IF($D354="",0,IF($F354&lt;2,0,IF($E354="Win",('Guide &amp; Settings'!$C$42/(($F354-1)*COUNTIFS($A$4:$A$810,$A354,$E$4:$E$810,"Win")))*SUMIFS($X$4:$X$810,$A$4:$A$810,$A354,$E$4:$E$810,"Loss"),-('Guide &amp; Settings'!$C$42/($F354-1))*$X354)))</f>
        <v>-13.054550893600867</v>
      </c>
      <c r="K354" s="118">
        <f>IF($D354="",0,'Guide &amp; Settings'!$C$43*(IF($E354="Win",1,0)-$I354))</f>
        <v>-3.5294117647058822</v>
      </c>
      <c r="L354" s="119">
        <f>IF($D354="",0,'Guide &amp; Settings'!$C$44*IF($F354&gt;=3,$F354,0))</f>
        <v>0</v>
      </c>
      <c r="M354" s="118">
        <f t="shared" si="88"/>
        <v>-16.583962658306749</v>
      </c>
      <c r="N354" s="116">
        <f t="shared" si="89"/>
        <v>1093.2984999231951</v>
      </c>
      <c r="O354" s="115" t="str">
        <f t="shared" si="90"/>
        <v>OK</v>
      </c>
      <c r="P354">
        <f t="shared" si="91"/>
        <v>1219.0558750753059</v>
      </c>
      <c r="Q354">
        <f t="shared" si="92"/>
        <v>0.34786147056158329</v>
      </c>
      <c r="R354">
        <f t="shared" si="93"/>
        <v>0.33333333333333331</v>
      </c>
      <c r="S354">
        <f t="shared" si="94"/>
        <v>1.1333333333333333</v>
      </c>
      <c r="T354" s="83">
        <f t="shared" si="95"/>
        <v>1</v>
      </c>
      <c r="U354" s="120">
        <f>IF($D354="",0,IFERROR(LOOKUP(2,1/(($D$3:D353=$D354)*($C$3:C353=$C354)*($A$3:A353&lt;$A354)),$AB$3:AB353),1000))</f>
        <v>985.40237364840607</v>
      </c>
      <c r="V354" s="120">
        <f t="shared" si="96"/>
        <v>1089.1357810926527</v>
      </c>
      <c r="W354">
        <f t="shared" si="97"/>
        <v>1153.8329687305481</v>
      </c>
      <c r="X354">
        <f t="shared" si="98"/>
        <v>0.40795471542502709</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IF($D354="","",IF(SUMPRODUCT(MAX(($D$4:$D$810=$D354)*($B$4:$B$810&lt;$B354)*$B$4:$B$810))=0,0,MAX(($B354-MAX(SUMPRODUCT(MAX(($D$4:$D$810=$D354)*($B$4:$B$810&lt;$B354)*$B$4:$B$810)),'Guide &amp; Settings'!$C$50))/7-'Guide &amp; Settings'!$C$48,0)*'Guide &amp; Settings'!$C$49))</f>
        <v>0</v>
      </c>
    </row>
    <row r="355" spans="1:29" x14ac:dyDescent="0.2">
      <c r="A355" s="111">
        <v>153</v>
      </c>
      <c r="B355" s="112">
        <v>46215</v>
      </c>
      <c r="C355" s="113" t="s">
        <v>448</v>
      </c>
      <c r="D355" s="113" t="s">
        <v>137</v>
      </c>
      <c r="E355" s="111" t="s">
        <v>308</v>
      </c>
      <c r="F355" s="114">
        <f t="shared" si="85"/>
        <v>2</v>
      </c>
      <c r="G355" s="115" t="str">
        <f t="shared" si="86"/>
        <v>Josh</v>
      </c>
      <c r="H355" s="116">
        <f>IF($D355="",0,IFERROR(LOOKUP(2,1/(($D$3:D354=$D355)*($A$3:A354&lt;$A355)),$N$3:N354),'Guide &amp; Settings'!$C$41))</f>
        <v>1093.2984999231951</v>
      </c>
      <c r="I355" s="117">
        <f t="shared" si="87"/>
        <v>0.5</v>
      </c>
      <c r="J355" s="118">
        <f>IF($D355="",0,IF($F355&lt;2,0,IF($E355="Win",('Guide &amp; Settings'!$C$42/(($F355-1)*COUNTIFS($A$4:$A$810,$A355,$E$4:$E$810,"Win")))*SUMIFS($X$4:$X$810,$A$4:$A$810,$A355,$E$4:$E$810,"Loss"),-('Guide &amp; Settings'!$C$42/($F355-1))*$X355)))</f>
        <v>12.666532247071508</v>
      </c>
      <c r="K355" s="118">
        <f>IF($D355="",0,'Guide &amp; Settings'!$C$43*(IF($E355="Win",1,0)-$I355))</f>
        <v>6</v>
      </c>
      <c r="L355" s="119">
        <f>IF($D355="",0,'Guide &amp; Settings'!$C$44*IF($F355&gt;=3,$F355,0))</f>
        <v>0</v>
      </c>
      <c r="M355" s="118">
        <f t="shared" si="88"/>
        <v>18.666532247071508</v>
      </c>
      <c r="N355" s="116">
        <f t="shared" si="89"/>
        <v>1111.9650321702666</v>
      </c>
      <c r="O355" s="115" t="str">
        <f t="shared" si="90"/>
        <v>OK</v>
      </c>
      <c r="P355">
        <f t="shared" si="91"/>
        <v>1093.2984999231951</v>
      </c>
      <c r="Q355">
        <f t="shared" si="92"/>
        <v>0.5</v>
      </c>
      <c r="R355">
        <f t="shared" si="93"/>
        <v>0.5</v>
      </c>
      <c r="S355">
        <f t="shared" si="94"/>
        <v>1</v>
      </c>
      <c r="T355" s="83">
        <f t="shared" si="95"/>
        <v>0</v>
      </c>
      <c r="U355" s="120">
        <f>IF($D355="",0,IFERROR(LOOKUP(2,1/(($D$3:D354=$D355)*($C$3:C354=$C355)*($A$3:A354&lt;$A355)),$AB$3:AB354),1000))</f>
        <v>1000</v>
      </c>
      <c r="V355" s="120">
        <f t="shared" si="96"/>
        <v>1093.2984999231951</v>
      </c>
      <c r="W355">
        <f t="shared" si="97"/>
        <v>1093.2984999231951</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IF($D355="","",IF(SUMPRODUCT(MAX(($D$4:$D$810=$D355)*($B$4:$B$810&lt;$B355)*$B$4:$B$810))=0,0,MAX(($B355-MAX(SUMPRODUCT(MAX(($D$4:$D$810=$D355)*($B$4:$B$810&lt;$B355)*$B$4:$B$810)),'Guide &amp; Settings'!$C$50))/7-'Guide &amp; Settings'!$C$48,0)*'Guide &amp; Settings'!$C$49))</f>
        <v>0</v>
      </c>
    </row>
    <row r="356" spans="1:29" x14ac:dyDescent="0.2">
      <c r="A356" s="111">
        <v>153</v>
      </c>
      <c r="B356" s="112">
        <v>46215</v>
      </c>
      <c r="C356" s="113" t="s">
        <v>448</v>
      </c>
      <c r="D356" s="113" t="s">
        <v>170</v>
      </c>
      <c r="E356" s="111" t="s">
        <v>309</v>
      </c>
      <c r="F356" s="114">
        <f t="shared" si="85"/>
        <v>2</v>
      </c>
      <c r="G356" s="115" t="str">
        <f t="shared" si="86"/>
        <v>Josh</v>
      </c>
      <c r="H356" s="116">
        <f>IF($D356="",0,IFERROR(LOOKUP(2,1/(($D$3:D355=$D356)*($A$3:A355&lt;$A356)),$N$3:N355),'Guide &amp; Settings'!$C$41))</f>
        <v>1019.8376898189671</v>
      </c>
      <c r="I356" s="117">
        <f t="shared" si="87"/>
        <v>0.5</v>
      </c>
      <c r="J356" s="118">
        <f>IF($D356="",0,IF($F356&lt;2,0,IF($E356="Win",('Guide &amp; Settings'!$C$42/(($F356-1)*COUNTIFS($A$4:$A$810,$A356,$E$4:$E$810,"Win")))*SUMIFS($X$4:$X$810,$A$4:$A$810,$A356,$E$4:$E$810,"Loss"),-('Guide &amp; Settings'!$C$42/($F356-1))*$X356)))</f>
        <v>-12.666532247071508</v>
      </c>
      <c r="K356" s="118">
        <f>IF($D356="",0,'Guide &amp; Settings'!$C$43*(IF($E356="Win",1,0)-$I356))</f>
        <v>-6</v>
      </c>
      <c r="L356" s="119">
        <f>IF($D356="",0,'Guide &amp; Settings'!$C$44*IF($F356&gt;=3,$F356,0))</f>
        <v>0</v>
      </c>
      <c r="M356" s="118">
        <f t="shared" si="88"/>
        <v>-18.666532247071508</v>
      </c>
      <c r="N356" s="116">
        <f t="shared" si="89"/>
        <v>1001.1711575718956</v>
      </c>
      <c r="O356" s="115" t="str">
        <f t="shared" si="90"/>
        <v>OK</v>
      </c>
      <c r="P356">
        <f t="shared" si="91"/>
        <v>1093.2984999231951</v>
      </c>
      <c r="Q356">
        <f t="shared" si="92"/>
        <v>0.39582913272098463</v>
      </c>
      <c r="R356">
        <f t="shared" si="93"/>
        <v>0.5</v>
      </c>
      <c r="S356">
        <f t="shared" si="94"/>
        <v>1</v>
      </c>
      <c r="T356" s="83">
        <f t="shared" si="95"/>
        <v>0</v>
      </c>
      <c r="U356" s="120">
        <f>IF($D356="",0,IFERROR(LOOKUP(2,1/(($D$3:D355=$D356)*($C$3:C355=$C356)*($A$3:A355&lt;$A356)),$AB$3:AB355),1000))</f>
        <v>1000</v>
      </c>
      <c r="V356" s="120">
        <f t="shared" si="96"/>
        <v>1019.8376898189671</v>
      </c>
      <c r="W356">
        <f t="shared" si="97"/>
        <v>1093.2984999231951</v>
      </c>
      <c r="X356">
        <f t="shared" si="98"/>
        <v>0.39582913272098463</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IF($D356="","",IF(SUMPRODUCT(MAX(($D$4:$D$810=$D356)*($B$4:$B$810&lt;$B356)*$B$4:$B$810))=0,0,MAX(($B356-MAX(SUMPRODUCT(MAX(($D$4:$D$810=$D356)*($B$4:$B$810&lt;$B356)*$B$4:$B$810)),'Guide &amp; Settings'!$C$50))/7-'Guide &amp; Settings'!$C$48,0)*'Guide &amp; Settings'!$C$49))</f>
        <v>0</v>
      </c>
    </row>
    <row r="357" spans="1:29" x14ac:dyDescent="0.2">
      <c r="A357" s="111">
        <v>154</v>
      </c>
      <c r="B357" s="112">
        <v>46215</v>
      </c>
      <c r="C357" s="113" t="s">
        <v>449</v>
      </c>
      <c r="D357" s="113" t="s">
        <v>170</v>
      </c>
      <c r="E357" s="111" t="s">
        <v>308</v>
      </c>
      <c r="F357" s="114">
        <f t="shared" si="85"/>
        <v>3</v>
      </c>
      <c r="G357" s="115" t="str">
        <f t="shared" si="86"/>
        <v>Daniel (Ferret)</v>
      </c>
      <c r="H357" s="116">
        <f>IF($D357="",0,IFERROR(LOOKUP(2,1/(($D$3:D356=$D357)*($A$3:A356&lt;$A357)),$N$3:N356),'Guide &amp; Settings'!$C$41))</f>
        <v>1001.1711575718956</v>
      </c>
      <c r="I357" s="117">
        <f t="shared" si="87"/>
        <v>0.33333333333333331</v>
      </c>
      <c r="J357" s="118">
        <f>IF($D357="",0,IF($F357&lt;2,0,IF($E357="Win",('Guide &amp; Settings'!$C$42/(($F357-1)*COUNTIFS($A$4:$A$810,$A357,$E$4:$E$810,"Win")))*SUMIFS($X$4:$X$810,$A$4:$A$810,$A357,$E$4:$E$810,"Loss"),-('Guide &amp; Settings'!$C$42/($F357-1))*$X357)))</f>
        <v>23.173342178031085</v>
      </c>
      <c r="K357" s="118">
        <f>IF($D357="",0,'Guide &amp; Settings'!$C$43*(IF($E357="Win",1,0)-$I357))</f>
        <v>8</v>
      </c>
      <c r="L357" s="119">
        <f>IF($D357="",0,'Guide &amp; Settings'!$C$44*IF($F357&gt;=3,$F357,0))</f>
        <v>3</v>
      </c>
      <c r="M357" s="118">
        <f t="shared" si="88"/>
        <v>34.173342178031085</v>
      </c>
      <c r="N357" s="116">
        <f t="shared" si="89"/>
        <v>1035.3444997499266</v>
      </c>
      <c r="O357" s="115" t="str">
        <f t="shared" si="90"/>
        <v>OK</v>
      </c>
      <c r="P357">
        <f t="shared" si="91"/>
        <v>1001.1711575718956</v>
      </c>
      <c r="Q357">
        <f t="shared" si="92"/>
        <v>0.5</v>
      </c>
      <c r="R357">
        <f t="shared" si="93"/>
        <v>0.5</v>
      </c>
      <c r="S357">
        <f t="shared" si="94"/>
        <v>1.5</v>
      </c>
      <c r="T357" s="83">
        <f t="shared" si="95"/>
        <v>0</v>
      </c>
      <c r="U357" s="120">
        <f>IF($D357="",0,IFERROR(LOOKUP(2,1/(($D$3:D356=$D357)*($C$3:C356=$C357)*($A$3:A356&lt;$A357)),$AB$3:AB356),1000))</f>
        <v>1000</v>
      </c>
      <c r="V357" s="120">
        <f t="shared" si="96"/>
        <v>1001.1711575718956</v>
      </c>
      <c r="W357">
        <f t="shared" si="97"/>
        <v>1001.1711575718956</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IF($D357="","",IF(SUMPRODUCT(MAX(($D$4:$D$810=$D357)*($B$4:$B$810&lt;$B357)*$B$4:$B$810))=0,0,MAX(($B357-MAX(SUMPRODUCT(MAX(($D$4:$D$810=$D357)*($B$4:$B$810&lt;$B357)*$B$4:$B$810)),'Guide &amp; Settings'!$C$50))/7-'Guide &amp; Settings'!$C$48,0)*'Guide &amp; Settings'!$C$49))</f>
        <v>0</v>
      </c>
    </row>
    <row r="358" spans="1:29" x14ac:dyDescent="0.2">
      <c r="A358" s="111">
        <v>154</v>
      </c>
      <c r="B358" s="112">
        <v>46215</v>
      </c>
      <c r="C358" s="113" t="s">
        <v>449</v>
      </c>
      <c r="D358" s="113" t="s">
        <v>137</v>
      </c>
      <c r="E358" s="111" t="s">
        <v>309</v>
      </c>
      <c r="F358" s="114">
        <f t="shared" si="85"/>
        <v>3</v>
      </c>
      <c r="G358" s="115" t="str">
        <f t="shared" si="86"/>
        <v>Daniel (Ferret)</v>
      </c>
      <c r="H358" s="116">
        <f>IF($D358="",0,IFERROR(LOOKUP(2,1/(($D$3:D357=$D358)*($A$3:A357&lt;$A358)),$N$3:N357),'Guide &amp; Settings'!$C$41))</f>
        <v>1111.9650321702666</v>
      </c>
      <c r="I358" s="117">
        <f t="shared" si="87"/>
        <v>0.33333333333333331</v>
      </c>
      <c r="J358" s="118">
        <f>IF($D358="",0,IF($F358&lt;2,0,IF($E358="Win",('Guide &amp; Settings'!$C$42/(($F358-1)*COUNTIFS($A$4:$A$810,$A358,$E$4:$E$810,"Win")))*SUMIFS($X$4:$X$810,$A$4:$A$810,$A358,$E$4:$E$810,"Loss"),-('Guide &amp; Settings'!$C$42/($F358-1))*$X358)))</f>
        <v>-10.468026201059805</v>
      </c>
      <c r="K358" s="118">
        <f>IF($D358="",0,'Guide &amp; Settings'!$C$43*(IF($E358="Win",1,0)-$I358))</f>
        <v>-4</v>
      </c>
      <c r="L358" s="119">
        <f>IF($D358="",0,'Guide &amp; Settings'!$C$44*IF($F358&gt;=3,$F358,0))</f>
        <v>3</v>
      </c>
      <c r="M358" s="118">
        <f t="shared" si="88"/>
        <v>-11.468026201059805</v>
      </c>
      <c r="N358" s="116">
        <f t="shared" si="89"/>
        <v>1100.4970059692068</v>
      </c>
      <c r="O358" s="115" t="str">
        <f t="shared" si="90"/>
        <v>OK</v>
      </c>
      <c r="P358">
        <f t="shared" si="91"/>
        <v>1001.1711575718956</v>
      </c>
      <c r="Q358">
        <f t="shared" si="92"/>
        <v>0.65425163756623783</v>
      </c>
      <c r="R358">
        <f t="shared" si="93"/>
        <v>0.5</v>
      </c>
      <c r="S358">
        <f t="shared" si="94"/>
        <v>1.5</v>
      </c>
      <c r="T358" s="83">
        <f t="shared" si="95"/>
        <v>0</v>
      </c>
      <c r="U358" s="120">
        <f>IF($D358="",0,IFERROR(LOOKUP(2,1/(($D$3:D357=$D358)*($C$3:C357=$C358)*($A$3:A357&lt;$A358)),$AB$3:AB357),1000))</f>
        <v>1000</v>
      </c>
      <c r="V358" s="120">
        <f t="shared" si="96"/>
        <v>1111.9650321702666</v>
      </c>
      <c r="W358">
        <f t="shared" si="97"/>
        <v>1001.1711575718956</v>
      </c>
      <c r="X358">
        <f t="shared" si="98"/>
        <v>0.65425163756623783</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IF($D358="","",IF(SUMPRODUCT(MAX(($D$4:$D$810=$D358)*($B$4:$B$810&lt;$B358)*$B$4:$B$810))=0,0,MAX(($B358-MAX(SUMPRODUCT(MAX(($D$4:$D$810=$D358)*($B$4:$B$810&lt;$B358)*$B$4:$B$810)),'Guide &amp; Settings'!$C$50))/7-'Guide &amp; Settings'!$C$48,0)*'Guide &amp; Settings'!$C$49))</f>
        <v>0</v>
      </c>
    </row>
    <row r="359" spans="1:29" x14ac:dyDescent="0.2">
      <c r="A359" s="111">
        <v>154</v>
      </c>
      <c r="B359" s="112">
        <v>46215</v>
      </c>
      <c r="C359" s="113" t="s">
        <v>449</v>
      </c>
      <c r="D359" s="113" t="s">
        <v>167</v>
      </c>
      <c r="E359" s="111" t="s">
        <v>309</v>
      </c>
      <c r="F359" s="114">
        <f t="shared" si="85"/>
        <v>3</v>
      </c>
      <c r="G359" s="115" t="str">
        <f t="shared" si="86"/>
        <v>Daniel (Ferret)</v>
      </c>
      <c r="H359" s="116">
        <f>IF($D359="",0,IFERROR(LOOKUP(2,1/(($D$3:D358=$D359)*($A$3:A358&lt;$A359)),$N$3:N358),'Guide &amp; Settings'!$C$41))</f>
        <v>1235.6398377336127</v>
      </c>
      <c r="I359" s="117">
        <f t="shared" si="87"/>
        <v>0.33333333333333331</v>
      </c>
      <c r="J359" s="118">
        <f>IF($D359="",0,IF($F359&lt;2,0,IF($E359="Win",('Guide &amp; Settings'!$C$42/(($F359-1)*COUNTIFS($A$4:$A$810,$A359,$E$4:$E$810,"Win")))*SUMIFS($X$4:$X$810,$A$4:$A$810,$A359,$E$4:$E$810,"Loss"),-('Guide &amp; Settings'!$C$42/($F359-1))*$X359)))</f>
        <v>-12.70531597697128</v>
      </c>
      <c r="K359" s="118">
        <f>IF($D359="",0,'Guide &amp; Settings'!$C$43*(IF($E359="Win",1,0)-$I359))</f>
        <v>-4</v>
      </c>
      <c r="L359" s="119">
        <f>IF($D359="",0,'Guide &amp; Settings'!$C$44*IF($F359&gt;=3,$F359,0))</f>
        <v>3</v>
      </c>
      <c r="M359" s="118">
        <f t="shared" si="88"/>
        <v>-13.705315976971278</v>
      </c>
      <c r="N359" s="116">
        <f t="shared" si="89"/>
        <v>1221.9345217566415</v>
      </c>
      <c r="O359" s="115" t="str">
        <f t="shared" si="90"/>
        <v>OK</v>
      </c>
      <c r="P359">
        <f t="shared" si="91"/>
        <v>1001.1711575718956</v>
      </c>
      <c r="Q359">
        <f t="shared" si="92"/>
        <v>0.79408224856070497</v>
      </c>
      <c r="R359">
        <f t="shared" si="93"/>
        <v>0.5</v>
      </c>
      <c r="S359">
        <f t="shared" si="94"/>
        <v>1.5</v>
      </c>
      <c r="T359" s="83">
        <f t="shared" si="95"/>
        <v>0</v>
      </c>
      <c r="U359" s="120">
        <f>IF($D359="",0,IFERROR(LOOKUP(2,1/(($D$3:D358=$D359)*($C$3:C358=$C359)*($A$3:A358&lt;$A359)),$AB$3:AB358),1000))</f>
        <v>1000</v>
      </c>
      <c r="V359" s="120">
        <f t="shared" si="96"/>
        <v>1235.6398377336127</v>
      </c>
      <c r="W359">
        <f t="shared" si="97"/>
        <v>1001.1711575718956</v>
      </c>
      <c r="X359">
        <f t="shared" si="98"/>
        <v>0.79408224856070497</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IF($D359="","",IF(SUMPRODUCT(MAX(($D$4:$D$810=$D359)*($B$4:$B$810&lt;$B359)*$B$4:$B$810))=0,0,MAX(($B359-MAX(SUMPRODUCT(MAX(($D$4:$D$810=$D359)*($B$4:$B$810&lt;$B359)*$B$4:$B$810)),'Guide &amp; Settings'!$C$50))/7-'Guide &amp; Settings'!$C$48,0)*'Guide &amp; Settings'!$C$49))</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1035.3444997499266</v>
      </c>
      <c r="I360" s="117">
        <f t="shared" si="87"/>
        <v>0.5</v>
      </c>
      <c r="J360" s="118">
        <f>IF($D360="",0,IF($F360&lt;2,0,IF($E360="Win",('Guide &amp; Settings'!$C$42/(($F360-1)*COUNTIFS($A$4:$A$810,$A360,$E$4:$E$810,"Win")))*SUMIFS($X$4:$X$810,$A$4:$A$810,$A360,$E$4:$E$810,"Loss"),-('Guide &amp; Settings'!$C$42/($F360-1))*$X360)))</f>
        <v>19.732076249002969</v>
      </c>
      <c r="K360" s="118">
        <f>IF($D360="",0,'Guide &amp; Settings'!$C$43*(IF($E360="Win",1,0)-$I360))</f>
        <v>6</v>
      </c>
      <c r="L360" s="119">
        <f>IF($D360="",0,'Guide &amp; Settings'!$C$44*IF($F360&gt;=3,$F360,0))</f>
        <v>0</v>
      </c>
      <c r="M360" s="118">
        <f t="shared" si="88"/>
        <v>25.732076249002969</v>
      </c>
      <c r="N360" s="116">
        <f t="shared" si="89"/>
        <v>1061.0765759989297</v>
      </c>
      <c r="O360" s="115" t="str">
        <f t="shared" si="90"/>
        <v>OK</v>
      </c>
      <c r="P360">
        <f t="shared" si="91"/>
        <v>1035.3444997499266</v>
      </c>
      <c r="Q360">
        <f t="shared" si="92"/>
        <v>0.5</v>
      </c>
      <c r="R360">
        <f t="shared" si="93"/>
        <v>0.5</v>
      </c>
      <c r="S360">
        <f t="shared" si="94"/>
        <v>1</v>
      </c>
      <c r="T360" s="83">
        <f t="shared" si="95"/>
        <v>4</v>
      </c>
      <c r="U360" s="120">
        <f>IF($D360="",0,IFERROR(LOOKUP(2,1/(($D$3:D359=$D360)*($C$3:C359=$C360)*($A$3:A359&lt;$A360)),$AB$3:AB359),1000))</f>
        <v>996.17609348029987</v>
      </c>
      <c r="V360" s="120">
        <f t="shared" si="96"/>
        <v>1017.936319185648</v>
      </c>
      <c r="W360">
        <f t="shared" si="97"/>
        <v>1017.936319185648</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IF($D360="","",IF(SUMPRODUCT(MAX(($D$4:$D$810=$D360)*($B$4:$B$810&lt;$B360)*$B$4:$B$810))=0,0,MAX(($B360-MAX(SUMPRODUCT(MAX(($D$4:$D$810=$D360)*($B$4:$B$810&lt;$B360)*$B$4:$B$810)),'Guide &amp; Settings'!$C$50))/7-'Guide &amp; Settings'!$C$48,0)*'Guide &amp; Settings'!$C$49))</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1100.4970059692068</v>
      </c>
      <c r="I361" s="117">
        <f t="shared" si="87"/>
        <v>0.5</v>
      </c>
      <c r="J361" s="118">
        <f>IF($D361="",0,IF($F361&lt;2,0,IF($E361="Win",('Guide &amp; Settings'!$C$42/(($F361-1)*COUNTIFS($A$4:$A$810,$A361,$E$4:$E$810,"Win")))*SUMIFS($X$4:$X$810,$A$4:$A$810,$A361,$E$4:$E$810,"Loss"),-('Guide &amp; Settings'!$C$42/($F361-1))*$X361)))</f>
        <v>-19.732076249002969</v>
      </c>
      <c r="K361" s="118">
        <f>IF($D361="",0,'Guide &amp; Settings'!$C$43*(IF($E361="Win",1,0)-$I361))</f>
        <v>-6</v>
      </c>
      <c r="L361" s="119">
        <f>IF($D361="",0,'Guide &amp; Settings'!$C$44*IF($F361&gt;=3,$F361,0))</f>
        <v>0</v>
      </c>
      <c r="M361" s="118">
        <f t="shared" si="88"/>
        <v>-25.732076249002969</v>
      </c>
      <c r="N361" s="116">
        <f t="shared" si="89"/>
        <v>1074.7649297202038</v>
      </c>
      <c r="O361" s="115" t="str">
        <f t="shared" si="90"/>
        <v>OK</v>
      </c>
      <c r="P361">
        <f t="shared" si="91"/>
        <v>1035.3444997499266</v>
      </c>
      <c r="Q361">
        <f t="shared" si="92"/>
        <v>0.59267818144010642</v>
      </c>
      <c r="R361">
        <f t="shared" si="93"/>
        <v>0.5</v>
      </c>
      <c r="S361">
        <f t="shared" si="94"/>
        <v>1</v>
      </c>
      <c r="T361" s="83">
        <f t="shared" si="95"/>
        <v>0</v>
      </c>
      <c r="U361" s="120">
        <f>IF($D361="",0,IFERROR(LOOKUP(2,1/(($D$3:D360=$D361)*($C$3:C360=$C361)*($A$3:A360&lt;$A361)),$AB$3:AB360),1000))</f>
        <v>1000</v>
      </c>
      <c r="V361" s="120">
        <f t="shared" si="96"/>
        <v>1100.4970059692068</v>
      </c>
      <c r="W361">
        <f t="shared" si="97"/>
        <v>1017.936319185648</v>
      </c>
      <c r="X361">
        <f t="shared" si="98"/>
        <v>0.61662738278134277</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IF($D361="","",IF(SUMPRODUCT(MAX(($D$4:$D$810=$D361)*($B$4:$B$810&lt;$B361)*$B$4:$B$810))=0,0,MAX(($B361-MAX(SUMPRODUCT(MAX(($D$4:$D$810=$D361)*($B$4:$B$810&lt;$B361)*$B$4:$B$810)),'Guide &amp; Settings'!$C$50))/7-'Guide &amp; Settings'!$C$48,0)*'Guide &amp; Settings'!$C$49))</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1061.0765759989297</v>
      </c>
      <c r="I362" s="117">
        <f t="shared" si="87"/>
        <v>0.53333333333333333</v>
      </c>
      <c r="J362" s="118">
        <f>IF($D362="",0,IF($F362&lt;2,0,IF($E362="Win",('Guide &amp; Settings'!$C$42/(($F362-1)*COUNTIFS($A$4:$A$810,$A362,$E$4:$E$810,"Win")))*SUMIFS($X$4:$X$810,$A$4:$A$810,$A362,$E$4:$E$810,"Loss"),-('Guide &amp; Settings'!$C$42/($F362-1))*$X362)))</f>
        <v>-13.734076413385512</v>
      </c>
      <c r="K362" s="118">
        <f>IF($D362="",0,'Guide &amp; Settings'!$C$43*(IF($E362="Win",1,0)-$I362))</f>
        <v>-6.4</v>
      </c>
      <c r="L362" s="119">
        <f>IF($D362="",0,'Guide &amp; Settings'!$C$44*IF($F362&gt;=3,$F362,0))</f>
        <v>0</v>
      </c>
      <c r="M362" s="118">
        <f t="shared" si="88"/>
        <v>-20.134076413385515</v>
      </c>
      <c r="N362" s="116">
        <f t="shared" si="89"/>
        <v>1040.9424995855443</v>
      </c>
      <c r="O362" s="115" t="str">
        <f t="shared" si="90"/>
        <v>OK</v>
      </c>
      <c r="P362">
        <f t="shared" si="91"/>
        <v>1221.9345217566415</v>
      </c>
      <c r="Q362">
        <f t="shared" si="92"/>
        <v>0.28374246595277519</v>
      </c>
      <c r="R362">
        <f t="shared" si="93"/>
        <v>0.5714285714285714</v>
      </c>
      <c r="S362">
        <f t="shared" si="94"/>
        <v>1.0714285714285714</v>
      </c>
      <c r="T362" s="83">
        <f t="shared" si="95"/>
        <v>5</v>
      </c>
      <c r="U362" s="120">
        <f>IF($D362="",0,IFERROR(LOOKUP(2,1/(($D$3:D361=$D362)*($C$3:C361=$C362)*($A$3:A361&lt;$A362)),$AB$3:AB361),1000))</f>
        <v>1012.3521837731707</v>
      </c>
      <c r="V362" s="120">
        <f t="shared" si="96"/>
        <v>1036.7143798860502</v>
      </c>
      <c r="W362">
        <f t="shared" si="97"/>
        <v>1086.2512507303493</v>
      </c>
      <c r="X362">
        <f t="shared" si="98"/>
        <v>0.42918988791829726</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IF($D362="","",IF(SUMPRODUCT(MAX(($D$4:$D$810=$D362)*($B$4:$B$810&lt;$B362)*$B$4:$B$810))=0,0,MAX(($B362-MAX(SUMPRODUCT(MAX(($D$4:$D$810=$D362)*($B$4:$B$810&lt;$B362)*$B$4:$B$810)),'Guide &amp; Settings'!$C$50))/7-'Guide &amp; Settings'!$C$48,0)*'Guide &amp; Settings'!$C$49))</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1221.9345217566415</v>
      </c>
      <c r="I363" s="117">
        <f t="shared" si="87"/>
        <v>0.46666666666666667</v>
      </c>
      <c r="J363" s="118">
        <f>IF($D363="",0,IF($F363&lt;2,0,IF($E363="Win",('Guide &amp; Settings'!$C$42/(($F363-1)*COUNTIFS($A$4:$A$810,$A363,$E$4:$E$810,"Win")))*SUMIFS($X$4:$X$810,$A$4:$A$810,$A363,$E$4:$E$810,"Loss"),-('Guide &amp; Settings'!$C$42/($F363-1))*$X363)))</f>
        <v>13.734076413385512</v>
      </c>
      <c r="K363" s="118">
        <f>IF($D363="",0,'Guide &amp; Settings'!$C$43*(IF($E363="Win",1,0)-$I363))</f>
        <v>6.4</v>
      </c>
      <c r="L363" s="119">
        <f>IF($D363="",0,'Guide &amp; Settings'!$C$44*IF($F363&gt;=3,$F363,0))</f>
        <v>0</v>
      </c>
      <c r="M363" s="118">
        <f t="shared" si="88"/>
        <v>20.134076413385515</v>
      </c>
      <c r="N363" s="116">
        <f t="shared" si="89"/>
        <v>1242.0685981700271</v>
      </c>
      <c r="O363" s="115" t="str">
        <f t="shared" si="90"/>
        <v>OK</v>
      </c>
      <c r="P363">
        <f t="shared" si="91"/>
        <v>1221.9345217566415</v>
      </c>
      <c r="Q363">
        <f t="shared" si="92"/>
        <v>0.5</v>
      </c>
      <c r="R363">
        <f t="shared" si="93"/>
        <v>0.5</v>
      </c>
      <c r="S363">
        <f t="shared" si="94"/>
        <v>1.0714285714285714</v>
      </c>
      <c r="T363" s="83">
        <f t="shared" si="95"/>
        <v>8</v>
      </c>
      <c r="U363" s="120">
        <f>IF($D363="",0,IFERROR(LOOKUP(2,1/(($D$3:D362=$D363)*($C$3:C362=$C363)*($A$3:A362&lt;$A363)),$AB$3:AB362),1000))</f>
        <v>1001.4492063389166</v>
      </c>
      <c r="V363" s="120">
        <f t="shared" si="96"/>
        <v>1086.2512507303493</v>
      </c>
      <c r="W363">
        <f t="shared" si="97"/>
        <v>1086.2512507303493</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IF($D363="","",IF(SUMPRODUCT(MAX(($D$4:$D$810=$D363)*($B$4:$B$810&lt;$B363)*$B$4:$B$810))=0,0,MAX(($B363-MAX(SUMPRODUCT(MAX(($D$4:$D$810=$D363)*($B$4:$B$810&lt;$B363)*$B$4:$B$810)),'Guide &amp; Settings'!$C$50))/7-'Guide &amp; Settings'!$C$48,0)*'Guide &amp; Settings'!$C$49))</f>
        <v>0</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60" t="s">
        <v>311</v>
      </c>
      <c r="B2" s="160"/>
      <c r="C2" s="160"/>
      <c r="D2" s="160"/>
      <c r="E2" s="160"/>
      <c r="F2" s="160"/>
      <c r="G2" s="160"/>
      <c r="H2" s="160"/>
      <c r="I2" s="160"/>
      <c r="J2" s="160"/>
      <c r="K2" s="160"/>
      <c r="L2" s="160"/>
      <c r="M2" s="160"/>
      <c r="N2" s="160"/>
      <c r="O2" s="160"/>
      <c r="P2" s="160"/>
      <c r="Q2" s="160"/>
      <c r="R2" s="160"/>
    </row>
    <row r="3" spans="1:18" ht="15" customHeight="1" x14ac:dyDescent="0.2">
      <c r="A3" s="73" t="s">
        <v>312</v>
      </c>
      <c r="B3" s="121">
        <f>COUNTA($B$6:$O$6)</f>
        <v>14</v>
      </c>
      <c r="C3" s="73" t="s">
        <v>313</v>
      </c>
      <c r="D3" s="121">
        <f>INT($B$3/2)+1</f>
        <v>8</v>
      </c>
      <c r="E3" s="73" t="s">
        <v>314</v>
      </c>
      <c r="F3" s="121">
        <f>ROUNDUP($B$3/2,0)</f>
        <v>7</v>
      </c>
      <c r="H3" s="160" t="s">
        <v>315</v>
      </c>
      <c r="I3" s="160"/>
      <c r="J3" s="160"/>
      <c r="K3" s="160"/>
      <c r="L3" s="160"/>
      <c r="M3" s="160"/>
      <c r="N3" s="160"/>
      <c r="O3" s="160"/>
      <c r="P3" s="160"/>
      <c r="Q3" s="160"/>
      <c r="R3" s="160"/>
    </row>
    <row r="5" spans="1:18" ht="15" customHeight="1" x14ac:dyDescent="0.2">
      <c r="A5" s="159" t="s">
        <v>316</v>
      </c>
      <c r="B5" s="159"/>
      <c r="C5" s="159"/>
      <c r="D5" s="159"/>
      <c r="E5" s="159"/>
      <c r="F5" s="159"/>
      <c r="G5" s="159"/>
      <c r="H5" s="159"/>
      <c r="I5" s="159"/>
      <c r="J5" s="159"/>
      <c r="K5" s="159"/>
      <c r="L5" s="159"/>
      <c r="M5" s="159"/>
      <c r="N5" s="159"/>
      <c r="O5" s="159"/>
      <c r="P5" s="159"/>
      <c r="Q5" s="159"/>
      <c r="R5" s="159"/>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9" t="s">
        <v>325</v>
      </c>
      <c r="B29" s="159"/>
      <c r="C29" s="159"/>
      <c r="D29" s="159"/>
      <c r="E29" s="159"/>
      <c r="F29" s="159"/>
      <c r="G29" s="159"/>
      <c r="H29" s="159"/>
      <c r="I29" s="159"/>
      <c r="J29" s="159"/>
      <c r="K29" s="159"/>
      <c r="L29" s="159"/>
      <c r="M29" s="159"/>
      <c r="N29" s="159"/>
      <c r="O29" s="159"/>
      <c r="P29" s="159"/>
      <c r="Q29" s="159"/>
      <c r="R29" s="159"/>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46208</v>
      </c>
    </row>
    <row r="4" spans="1:35" ht="15" customHeight="1" x14ac:dyDescent="0.2">
      <c r="A4" t="s">
        <v>330</v>
      </c>
      <c r="B4" s="127">
        <f>MAX('Match Log'!$B$4:$B$810)</f>
        <v>46215</v>
      </c>
    </row>
    <row r="5" spans="1:35" x14ac:dyDescent="0.2">
      <c r="B5">
        <f ca="1">TODAY()-7</f>
        <v>46208</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1039.5689964868309</v>
      </c>
      <c r="C7">
        <f>IFERROR(INDEX(Engine!$C$2:$C$15,MATCH($A7,Engine!$A$2:$A$15,0)),"")</f>
        <v>1073.7174151785355</v>
      </c>
      <c r="D7">
        <f t="shared" ref="D7:D20" si="0">RANK($B7,$B$7:$B$20)</f>
        <v>8</v>
      </c>
      <c r="E7">
        <f t="shared" ref="E7:E20" si="1">MAX($B$7:$B$20)-$B7</f>
        <v>202.49960168319626</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1112.3077761293196</v>
      </c>
      <c r="K7">
        <f t="shared" ref="K7:K20" si="3">RANK($J7,$J$7:$J$20)</f>
        <v>3</v>
      </c>
      <c r="L7">
        <f t="shared" ref="L7:L20" si="4">$K7-$D7</f>
        <v>-5</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si="8">IF($P7=0,"",($B$4-$P7)/7)</f>
        <v>0.14285714285714285</v>
      </c>
      <c r="R7">
        <f>IF($P7=0,0,MAX($Q7-'Guide &amp; Settings'!$C$48,0)*'Guide &amp; Settings'!$C$49)</f>
        <v>0</v>
      </c>
      <c r="S7">
        <f>$B7-$R7-$U7+SUMIF('Poker Stake Ledger'!$C$18:$C$137,$A7,'Poker Stake Ledger'!$K$18:$K$137)</f>
        <v>1039.5689964868309</v>
      </c>
      <c r="T7" t="str">
        <f>IF($P7=0,"No games",IF($Q7&gt;='Guide &amp; Settings'!$C$48,"Inactive",IF($Q7&gt;='Guide &amp; Settings'!$C$47,"At risk","Active")))</f>
        <v>Active</v>
      </c>
      <c r="U7">
        <f>SUMIF('Match Log'!$D$4:$D$810,$A7,'Match Log'!$AC$4:$AC$810)</f>
        <v>0</v>
      </c>
      <c r="V7">
        <f t="shared" ref="V7:V20" si="9">IF($F7="Loss",$G7,0)</f>
        <v>3</v>
      </c>
      <c r="W7">
        <f t="shared" ref="W7:W20" si="10">MAX(0,MIN(100,50+($S7-1000)/4))</f>
        <v>59.892249121707721</v>
      </c>
      <c r="X7">
        <f>IFERROR(INDEX(Dashboard!$G$5:$G$18,MATCH($A7,Dashboard!$B$5:$B$18,0))*100,0)</f>
        <v>52.173913043478258</v>
      </c>
      <c r="Y7">
        <f>MIN(100,IFERROR(INDEX(Dashboard!$K$5:$K$18,MATCH($A7,Dashboard!$B$5:$B$18,0)),0)/5*50+$AC7/4*50)</f>
        <v>100</v>
      </c>
      <c r="Z7">
        <f t="shared" ref="Z7:Z20" si="11">IFERROR($N7/LEN($I7)*100,0)</f>
        <v>40</v>
      </c>
      <c r="AA7">
        <f t="shared" ref="AA7:AA20" si="12">IF($C7="",0,MAX(0,MIN(100,50+($C7-1000)/4)))</f>
        <v>68.429353794633869</v>
      </c>
      <c r="AB7">
        <f t="shared" ref="AB7:AB20" si="13">0.35*$W7+0.2*$X7+0.2*$Y7+0.15*$Z7+0.1*$AA7</f>
        <v>64.240005180756739</v>
      </c>
      <c r="AC7">
        <f>IFERROR(SUMPRODUCT((INDEX('Sport Records'!$B$8:$O$26,0,MATCH($A7,'Sport Records'!$B$7:$O$7,0))&gt;=2)*(INDEX('Sport Records'!$B$58:$O$76,0,MATCH($A7,'Sport Records'!$B$57:$O$57,0))&gt;=0.5)),0)</f>
        <v>5</v>
      </c>
      <c r="AD7">
        <f>IFERROR(INDEX(Dashboard!$D$5:$D$18,MATCH($A7,Dashboard!$B$5:$B$18,0)),0)</f>
        <v>46</v>
      </c>
      <c r="AE7">
        <f>IFERROR(INDEX(Dashboard!$K$5:$K$18,MATCH($A7,Dashboard!$B$5:$B$18,0)),0)</f>
        <v>10</v>
      </c>
      <c r="AF7" t="str">
        <f t="shared" ref="AF7:AF20"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si="15">IF(ISNUMBER($S7),$S7,-1000000)+ROW()/10000000</f>
        <v>1039.568997186831</v>
      </c>
    </row>
    <row r="8" spans="1:35" ht="15" customHeight="1" x14ac:dyDescent="0.2">
      <c r="A8" t="s">
        <v>135</v>
      </c>
      <c r="B8">
        <f>IFERROR(INDEX(Engine!$B$2:$B$15,MATCH($A8,Engine!$A$2:$A$15,0)),1000)</f>
        <v>1029.2201908859522</v>
      </c>
      <c r="C8">
        <f>IFERROR(INDEX(Engine!$C$2:$C$15,MATCH($A8,Engine!$A$2:$A$15,0)),"")</f>
        <v>1062.4937579945872</v>
      </c>
      <c r="D8">
        <f t="shared" si="0"/>
        <v>9</v>
      </c>
      <c r="E8">
        <f t="shared" si="1"/>
        <v>212.84840728407494</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1029.2201908859522</v>
      </c>
      <c r="K8">
        <f t="shared" si="3"/>
        <v>9</v>
      </c>
      <c r="L8">
        <f t="shared" si="4"/>
        <v>0</v>
      </c>
      <c r="M8">
        <f t="shared" si="5"/>
        <v>0</v>
      </c>
      <c r="N8">
        <f t="shared" si="6"/>
        <v>2</v>
      </c>
      <c r="O8">
        <f t="shared" si="7"/>
        <v>0</v>
      </c>
      <c r="P8">
        <f>IFERROR(SUMPRODUCT(MAX(('Match Log'!$D$4:$D$810=$A8)*'Match Log'!$B$4:$B$810)),0)</f>
        <v>46188</v>
      </c>
      <c r="Q8">
        <f t="shared" si="8"/>
        <v>3.8571428571428572</v>
      </c>
      <c r="R8">
        <f>IF($P8=0,0,MAX($Q8-'Guide &amp; Settings'!$C$48,0)*'Guide &amp; Settings'!$C$49)</f>
        <v>0</v>
      </c>
      <c r="S8">
        <f>$B8-$R8-$U8+SUMIF('Poker Stake Ledger'!$C$18:$C$137,$A8,'Poker Stake Ledger'!$K$18:$K$137)</f>
        <v>1029.2201908859522</v>
      </c>
      <c r="T8" t="str">
        <f>IF($P8=0,"No games",IF($Q8&gt;='Guide &amp; Settings'!$C$48,"Inactive",IF($Q8&gt;='Guide &amp; Settings'!$C$47,"At risk","Active")))</f>
        <v>At risk</v>
      </c>
      <c r="U8">
        <f>SUMIF('Match Log'!$D$4:$D$810,$A8,'Match Log'!$AC$4:$AC$810)</f>
        <v>0</v>
      </c>
      <c r="V8">
        <f t="shared" si="9"/>
        <v>2</v>
      </c>
      <c r="W8">
        <f t="shared" si="10"/>
        <v>57.305047721488052</v>
      </c>
      <c r="X8">
        <f>IFERROR(INDEX(Dashboard!$G$5:$G$18,MATCH($A8,Dashboard!$B$5:$B$18,0))*100,0)</f>
        <v>50</v>
      </c>
      <c r="Y8">
        <f>MIN(100,IFERROR(INDEX(Dashboard!$K$5:$K$18,MATCH($A8,Dashboard!$B$5:$B$18,0)),0)/5*50+$AC8/4*50)</f>
        <v>42.5</v>
      </c>
      <c r="Z8">
        <f t="shared" si="11"/>
        <v>40</v>
      </c>
      <c r="AA8">
        <f t="shared" si="12"/>
        <v>65.623439498646803</v>
      </c>
      <c r="AB8">
        <f t="shared" si="13"/>
        <v>51.119110652385501</v>
      </c>
      <c r="AC8">
        <f>IFERROR(SUMPRODUCT((INDEX('Sport Records'!$B$8:$O$26,0,MATCH($A8,'Sport Records'!$B$7:$O$7,0))&gt;=2)*(INDEX('Sport Records'!$B$58:$O$76,0,MATCH($A8,'Sport Records'!$B$57:$O$57,0))&gt;=0.5)),0)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1029.2201916859522</v>
      </c>
    </row>
    <row r="9" spans="1:35" ht="15" customHeight="1" x14ac:dyDescent="0.2">
      <c r="A9" t="s">
        <v>173</v>
      </c>
      <c r="B9">
        <f>IFERROR(INDEX(Engine!$B$2:$B$15,MATCH($A9,Engine!$A$2:$A$15,0)),1000)</f>
        <v>1016.7837867075796</v>
      </c>
      <c r="C9">
        <f>IFERROR(INDEX(Engine!$C$2:$C$15,MATCH($A9,Engine!$A$2:$A$15,0)),"")</f>
        <v>1039.5222292786875</v>
      </c>
      <c r="D9">
        <f t="shared" si="0"/>
        <v>10</v>
      </c>
      <c r="E9">
        <f t="shared" si="1"/>
        <v>225.28481146244758</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1016.7837867075796</v>
      </c>
      <c r="K9">
        <f t="shared" si="3"/>
        <v>10</v>
      </c>
      <c r="L9">
        <f t="shared" si="4"/>
        <v>0</v>
      </c>
      <c r="M9">
        <f t="shared" si="5"/>
        <v>0</v>
      </c>
      <c r="N9">
        <f t="shared" si="6"/>
        <v>2</v>
      </c>
      <c r="O9">
        <f t="shared" si="7"/>
        <v>1</v>
      </c>
      <c r="P9">
        <f>IFERROR(SUMPRODUCT(MAX(('Match Log'!$D$4:$D$810=$A9)*'Match Log'!$B$4:$B$810)),0)</f>
        <v>46188</v>
      </c>
      <c r="Q9">
        <f t="shared" si="8"/>
        <v>3.8571428571428572</v>
      </c>
      <c r="R9">
        <f>IF($P9=0,0,MAX($Q9-'Guide &amp; Settings'!$C$48,0)*'Guide &amp; Settings'!$C$49)</f>
        <v>0</v>
      </c>
      <c r="S9">
        <f>$B9-$R9-$U9+SUMIF('Poker Stake Ledger'!$C$18:$C$137,$A9,'Poker Stake Ledger'!$K$18:$K$137)</f>
        <v>1016.7837867075796</v>
      </c>
      <c r="T9" t="str">
        <f>IF($P9=0,"No games",IF($Q9&gt;='Guide &amp; Settings'!$C$48,"Inactive",IF($Q9&gt;='Guide &amp; Settings'!$C$47,"At risk","Active")))</f>
        <v>At risk</v>
      </c>
      <c r="U9">
        <f>SUMIF('Match Log'!$D$4:$D$810,$A9,'Match Log'!$AC$4:$AC$810)</f>
        <v>0</v>
      </c>
      <c r="V9">
        <f t="shared" si="9"/>
        <v>0</v>
      </c>
      <c r="W9">
        <f t="shared" si="10"/>
        <v>54.195946676894891</v>
      </c>
      <c r="X9">
        <f>IFERROR(INDEX(Dashboard!$G$5:$G$18,MATCH($A9,Dashboard!$B$5:$B$18,0))*100,0)</f>
        <v>50</v>
      </c>
      <c r="Y9">
        <f>MIN(100,IFERROR(INDEX(Dashboard!$K$5:$K$18,MATCH($A9,Dashboard!$B$5:$B$18,0)),0)/5*50+$AC9/4*50)</f>
        <v>72.5</v>
      </c>
      <c r="Z9">
        <f t="shared" si="11"/>
        <v>40</v>
      </c>
      <c r="AA9">
        <f t="shared" si="12"/>
        <v>59.88055731967188</v>
      </c>
      <c r="AB9">
        <f t="shared" si="13"/>
        <v>55.456637068880397</v>
      </c>
      <c r="AC9">
        <f>IFERROR(SUMPRODUCT((INDEX('Sport Records'!$B$8:$O$26,0,MATCH($A9,'Sport Records'!$B$7:$O$7,0))&gt;=2)*(INDEX('Sport Records'!$B$58:$O$76,0,MATCH($A9,'Sport Records'!$B$57:$O$57,0))&gt;=0.5)),0)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1016.7837876075796</v>
      </c>
    </row>
    <row r="10" spans="1:35" ht="15" customHeight="1" x14ac:dyDescent="0.2">
      <c r="A10" t="s">
        <v>140</v>
      </c>
      <c r="B10">
        <f>IFERROR(INDEX(Engine!$B$2:$B$15,MATCH($A10,Engine!$A$2:$A$15,0)),1000)</f>
        <v>973.18894572037368</v>
      </c>
      <c r="C10">
        <f>IFERROR(INDEX(Engine!$C$2:$C$15,MATCH($A10,Engine!$A$2:$A$15,0)),"")</f>
        <v>1064.2349518732756</v>
      </c>
      <c r="D10">
        <f t="shared" si="0"/>
        <v>13</v>
      </c>
      <c r="E10">
        <f t="shared" si="1"/>
        <v>268.87965244965346</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981.92436608474441</v>
      </c>
      <c r="K10">
        <f t="shared" si="3"/>
        <v>13</v>
      </c>
      <c r="L10">
        <f t="shared" si="4"/>
        <v>0</v>
      </c>
      <c r="M10">
        <f t="shared" si="5"/>
        <v>0</v>
      </c>
      <c r="N10">
        <f t="shared" si="6"/>
        <v>2</v>
      </c>
      <c r="O10">
        <f t="shared" si="7"/>
        <v>0</v>
      </c>
      <c r="P10">
        <f>IFERROR(SUMPRODUCT(MAX(('Match Log'!$D$4:$D$810=$A10)*'Match Log'!$B$4:$B$810)),0)</f>
        <v>46214</v>
      </c>
      <c r="Q10">
        <f t="shared" si="8"/>
        <v>0.14285714285714285</v>
      </c>
      <c r="R10">
        <f>IF($P10=0,0,MAX($Q10-'Guide &amp; Settings'!$C$48,0)*'Guide &amp; Settings'!$C$49)</f>
        <v>0</v>
      </c>
      <c r="S10">
        <f>$B10-$R10-$U10+SUMIF('Poker Stake Ledger'!$C$18:$C$137,$A10,'Poker Stake Ledger'!$K$18:$K$137)</f>
        <v>973.18894572037368</v>
      </c>
      <c r="T10" t="str">
        <f>IF($P10=0,"No games",IF($Q10&gt;='Guide &amp; Settings'!$C$48,"Inactive",IF($Q10&gt;='Guide &amp; Settings'!$C$47,"At risk","Active")))</f>
        <v>Active</v>
      </c>
      <c r="U10">
        <f>SUMIF('Match Log'!$D$4:$D$810,$A10,'Match Log'!$AC$4:$AC$810)</f>
        <v>0</v>
      </c>
      <c r="V10">
        <f t="shared" si="9"/>
        <v>1</v>
      </c>
      <c r="W10">
        <f t="shared" si="10"/>
        <v>43.29723643009342</v>
      </c>
      <c r="X10">
        <f>IFERROR(INDEX(Dashboard!$G$5:$G$18,MATCH($A10,Dashboard!$B$5:$B$18,0))*100,0)</f>
        <v>26.666666666666668</v>
      </c>
      <c r="Y10">
        <f>MIN(100,IFERROR(INDEX(Dashboard!$K$5:$K$18,MATCH($A10,Dashboard!$B$5:$B$18,0)),0)/5*50+$AC10/4*50)</f>
        <v>40</v>
      </c>
      <c r="Z10">
        <f t="shared" si="11"/>
        <v>40</v>
      </c>
      <c r="AA10">
        <f t="shared" si="12"/>
        <v>66.058737968318894</v>
      </c>
      <c r="AB10">
        <f t="shared" si="13"/>
        <v>41.093239880697922</v>
      </c>
      <c r="AC10">
        <f>IFERROR(SUMPRODUCT((INDEX('Sport Records'!$B$8:$O$26,0,MATCH($A10,'Sport Records'!$B$7:$O$7,0))&gt;=2)*(INDEX('Sport Records'!$B$58:$O$76,0,MATCH($A10,'Sport Records'!$B$57:$O$57,0))&gt;=0.5)),0)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973.18894672037368</v>
      </c>
    </row>
    <row r="11" spans="1:35" ht="15" customHeight="1" x14ac:dyDescent="0.2">
      <c r="A11" t="s">
        <v>137</v>
      </c>
      <c r="B11">
        <f>IFERROR(INDEX(Engine!$B$2:$B$15,MATCH($A11,Engine!$A$2:$A$15,0)),1000)</f>
        <v>1074.7649297202038</v>
      </c>
      <c r="C11">
        <f>IFERROR(INDEX(Engine!$C$2:$C$15,MATCH($A11,Engine!$A$2:$A$15,0)),"")</f>
        <v>1066.1867071320421</v>
      </c>
      <c r="D11">
        <f t="shared" si="0"/>
        <v>4</v>
      </c>
      <c r="E11">
        <f t="shared" si="1"/>
        <v>167.30366844982336</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1129.7012289075892</v>
      </c>
      <c r="K11">
        <f t="shared" si="3"/>
        <v>2</v>
      </c>
      <c r="L11">
        <f t="shared" si="4"/>
        <v>-2</v>
      </c>
      <c r="M11">
        <f t="shared" si="5"/>
        <v>1</v>
      </c>
      <c r="N11">
        <f t="shared" si="6"/>
        <v>1</v>
      </c>
      <c r="O11">
        <f t="shared" si="7"/>
        <v>0</v>
      </c>
      <c r="P11">
        <f>IFERROR(SUMPRODUCT(MAX(('Match Log'!$D$4:$D$810=$A11)*'Match Log'!$B$4:$B$810)),0)</f>
        <v>46215</v>
      </c>
      <c r="Q11">
        <f t="shared" si="8"/>
        <v>0</v>
      </c>
      <c r="R11">
        <f>IF($P11=0,0,MAX($Q11-'Guide &amp; Settings'!$C$48,0)*'Guide &amp; Settings'!$C$49)</f>
        <v>0</v>
      </c>
      <c r="S11">
        <f>$B11-$R11-$U11+SUMIF('Poker Stake Ledger'!$C$18:$C$137,$A11,'Poker Stake Ledger'!$K$18:$K$137)</f>
        <v>1074.7649297202038</v>
      </c>
      <c r="T11" t="str">
        <f>IF($P11=0,"No games",IF($Q11&gt;='Guide &amp; Settings'!$C$48,"Inactive",IF($Q11&gt;='Guide &amp; Settings'!$C$47,"At risk","Active")))</f>
        <v>Active</v>
      </c>
      <c r="U11">
        <f>SUMIF('Match Log'!$D$4:$D$810,$A11,'Match Log'!$AC$4:$AC$810)</f>
        <v>0</v>
      </c>
      <c r="V11">
        <f t="shared" si="9"/>
        <v>2</v>
      </c>
      <c r="W11">
        <f t="shared" si="10"/>
        <v>68.691232430050945</v>
      </c>
      <c r="X11">
        <f>IFERROR(INDEX(Dashboard!$G$5:$G$18,MATCH($A11,Dashboard!$B$5:$B$18,0))*100,0)</f>
        <v>56.756756756756758</v>
      </c>
      <c r="Y11">
        <f>MIN(100,IFERROR(INDEX(Dashboard!$K$5:$K$18,MATCH($A11,Dashboard!$B$5:$B$18,0)),0)/5*50+$AC11/4*50)</f>
        <v>100</v>
      </c>
      <c r="Z11">
        <f t="shared" si="11"/>
        <v>20</v>
      </c>
      <c r="AA11">
        <f t="shared" si="12"/>
        <v>66.546676783010525</v>
      </c>
      <c r="AB11">
        <f t="shared" si="13"/>
        <v>65.047950380170235</v>
      </c>
      <c r="AC11">
        <f>IFERROR(SUMPRODUCT((INDEX('Sport Records'!$B$8:$O$26,0,MATCH($A11,'Sport Records'!$B$7:$O$7,0))&gt;=2)*(INDEX('Sport Records'!$B$58:$O$76,0,MATCH($A11,'Sport Records'!$B$57:$O$57,0))&gt;=0.5)),0)</f>
        <v>2</v>
      </c>
      <c r="AD11">
        <f>IFERROR(INDEX(Dashboard!$D$5:$D$18,MATCH($A11,Dashboard!$B$5:$B$18,0)),0)</f>
        <v>37</v>
      </c>
      <c r="AE11">
        <f>IFERROR(INDEX(Dashboard!$K$5:$K$18,MATCH($A11,Dashboard!$B$5:$B$18,0)),0)</f>
        <v>12</v>
      </c>
      <c r="AF11" t="str">
        <f t="shared" si="14"/>
        <v>Strong</v>
      </c>
      <c r="AG11">
        <f ca="1">COUNTIFS('Match Log'!$D$4:$D$810,$A11,'Match Log'!$B$4:$B$810,"&gt;="&amp;$B$5)</f>
        <v>5</v>
      </c>
      <c r="AH11">
        <f ca="1">COUNTIFS('Match Log'!$D$4:$D$810,$A11,'Match Log'!$B$4:$B$810,"&gt;="&amp;$B$5,'Match Log'!$E$4:$E$810,"Win")</f>
        <v>1</v>
      </c>
      <c r="AI11">
        <f t="shared" si="15"/>
        <v>1074.7649308202037</v>
      </c>
    </row>
    <row r="12" spans="1:35" ht="15" customHeight="1" x14ac:dyDescent="0.2">
      <c r="A12" t="s">
        <v>134</v>
      </c>
      <c r="B12">
        <f>IFERROR(INDEX(Engine!$B$2:$B$15,MATCH($A12,Engine!$A$2:$A$15,0)),1000)</f>
        <v>1107.2617518410073</v>
      </c>
      <c r="C12">
        <f>IFERROR(INDEX(Engine!$C$2:$C$15,MATCH($A12,Engine!$A$2:$A$15,0)),"")</f>
        <v>1052.3400492745759</v>
      </c>
      <c r="D12">
        <f t="shared" si="0"/>
        <v>2</v>
      </c>
      <c r="E12">
        <f t="shared" si="1"/>
        <v>134.80684632901989</v>
      </c>
      <c r="F12" t="str">
        <f>IFERROR(LOOKUP(2,1/('Match Log'!$D$4:$D$810=$A12),'Match Log'!$E$4:$E$810),"")</f>
        <v>Win</v>
      </c>
      <c r="G12">
        <f>IF($F12="",0,SUMPRODUCT(('Match Log'!$D$4:$D$810=$A12)*(ROW('Match Log'!$A$4:$A$810)&gt;SUMPRODUCT(MAX(('Match Log'!$D$4:$D$810=$A12)*('Match Log'!$E$4:$E$810&lt;&gt;$F12)*ROW('Match Log'!$A$4:$A$810))))))</f>
        <v>3</v>
      </c>
      <c r="H12" t="str">
        <f t="shared" si="2"/>
        <v>W3</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LLWWW</v>
      </c>
      <c r="J12">
        <f>IFERROR(LOOKUP(2,1/(('Match Log'!$D$4:$D$810=$A12)*('Match Log'!$B$4:$B$810&lt;=$B$3)),'Match Log'!$N$4:$N$810),1000)</f>
        <v>984.99505610331221</v>
      </c>
      <c r="K12">
        <f t="shared" si="3"/>
        <v>12</v>
      </c>
      <c r="L12">
        <f t="shared" si="4"/>
        <v>10</v>
      </c>
      <c r="M12">
        <f t="shared" si="5"/>
        <v>5</v>
      </c>
      <c r="N12">
        <f t="shared" si="6"/>
        <v>3</v>
      </c>
      <c r="O12">
        <f t="shared" si="7"/>
        <v>3</v>
      </c>
      <c r="P12">
        <f>IFERROR(SUMPRODUCT(MAX(('Match Log'!$D$4:$D$810=$A12)*'Match Log'!$B$4:$B$810)),0)</f>
        <v>46214</v>
      </c>
      <c r="Q12">
        <f t="shared" si="8"/>
        <v>0.14285714285714285</v>
      </c>
      <c r="R12">
        <f>IF($P12=0,0,MAX($Q12-'Guide &amp; Settings'!$C$48,0)*'Guide &amp; Settings'!$C$49)</f>
        <v>0</v>
      </c>
      <c r="S12">
        <f>$B12-$R12-$U12+SUMIF('Poker Stake Ledger'!$C$18:$C$137,$A12,'Poker Stake Ledger'!$K$18:$K$137)</f>
        <v>1107.2617518410073</v>
      </c>
      <c r="T12" t="str">
        <f>IF($P12=0,"No games",IF($Q12&gt;='Guide &amp; Settings'!$C$48,"Inactive",IF($Q12&gt;='Guide &amp; Settings'!$C$47,"At risk","Active")))</f>
        <v>Active</v>
      </c>
      <c r="U12">
        <f>SUMIF('Match Log'!$D$4:$D$810,$A12,'Match Log'!$AC$4:$AC$810)</f>
        <v>0</v>
      </c>
      <c r="V12">
        <f t="shared" si="9"/>
        <v>0</v>
      </c>
      <c r="W12">
        <f t="shared" si="10"/>
        <v>76.815437960251813</v>
      </c>
      <c r="X12">
        <f>IFERROR(INDEX(Dashboard!$G$5:$G$18,MATCH($A12,Dashboard!$B$5:$B$18,0))*100,0)</f>
        <v>47.142857142857139</v>
      </c>
      <c r="Y12">
        <f>MIN(100,IFERROR(INDEX(Dashboard!$K$5:$K$18,MATCH($A12,Dashboard!$B$5:$B$18,0)),0)/5*50+$AC12/4*50)</f>
        <v>100</v>
      </c>
      <c r="Z12">
        <f t="shared" si="11"/>
        <v>60</v>
      </c>
      <c r="AA12">
        <f t="shared" si="12"/>
        <v>63.085012318643976</v>
      </c>
      <c r="AB12">
        <f t="shared" si="13"/>
        <v>71.622475946523963</v>
      </c>
      <c r="AC12">
        <f>IFERROR(SUMPRODUCT((INDEX('Sport Records'!$B$8:$O$26,0,MATCH($A12,'Sport Records'!$B$7:$O$7,0))&gt;=2)*(INDEX('Sport Records'!$B$58:$O$76,0,MATCH($A12,'Sport Records'!$B$57:$O$57,0))&gt;=0.5)),0)</f>
        <v>5</v>
      </c>
      <c r="AD12">
        <f>IFERROR(INDEX(Dashboard!$D$5:$D$18,MATCH($A12,Dashboard!$B$5:$B$18,0)),0)</f>
        <v>70</v>
      </c>
      <c r="AE12">
        <f>IFERROR(INDEX(Dashboard!$K$5:$K$18,MATCH($A12,Dashboard!$B$5:$B$18,0)),0)</f>
        <v>10</v>
      </c>
      <c r="AF12" t="str">
        <f t="shared" si="14"/>
        <v>Strong</v>
      </c>
      <c r="AG12">
        <f ca="1">COUNTIFS('Match Log'!$D$4:$D$810,$A12,'Match Log'!$B$4:$B$810,"&gt;="&amp;$B$5)</f>
        <v>29</v>
      </c>
      <c r="AH12">
        <f ca="1">COUNTIFS('Match Log'!$D$4:$D$810,$A12,'Match Log'!$B$4:$B$810,"&gt;="&amp;$B$5,'Match Log'!$E$4:$E$810,"Win")</f>
        <v>17</v>
      </c>
      <c r="AI12">
        <f t="shared" si="15"/>
        <v>1107.2617530410073</v>
      </c>
    </row>
    <row r="13" spans="1:35" ht="15" customHeight="1" x14ac:dyDescent="0.2">
      <c r="A13" t="s">
        <v>168</v>
      </c>
      <c r="B13">
        <f>IFERROR(INDEX(Engine!$B$2:$B$15,MATCH($A13,Engine!$A$2:$A$15,0)),1000)</f>
        <v>1084.8903813508514</v>
      </c>
      <c r="C13">
        <f>IFERROR(INDEX(Engine!$C$2:$C$15,MATCH($A13,Engine!$A$2:$A$15,0)),"")</f>
        <v>1052.513885880174</v>
      </c>
      <c r="D13">
        <f t="shared" si="0"/>
        <v>3</v>
      </c>
      <c r="E13">
        <f t="shared" si="1"/>
        <v>157.17821681917576</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1084.8903813508514</v>
      </c>
      <c r="K13">
        <f t="shared" si="3"/>
        <v>5</v>
      </c>
      <c r="L13">
        <f t="shared" si="4"/>
        <v>2</v>
      </c>
      <c r="M13">
        <f t="shared" si="5"/>
        <v>0</v>
      </c>
      <c r="N13">
        <f t="shared" si="6"/>
        <v>2</v>
      </c>
      <c r="O13">
        <f t="shared" si="7"/>
        <v>0</v>
      </c>
      <c r="P13">
        <f>IFERROR(SUMPRODUCT(MAX(('Match Log'!$D$4:$D$810=$A13)*'Match Log'!$B$4:$B$810)),0)</f>
        <v>46188</v>
      </c>
      <c r="Q13">
        <f t="shared" si="8"/>
        <v>3.8571428571428572</v>
      </c>
      <c r="R13">
        <f>IF($P13=0,0,MAX($Q13-'Guide &amp; Settings'!$C$48,0)*'Guide &amp; Settings'!$C$49)</f>
        <v>0</v>
      </c>
      <c r="S13">
        <f>$B13-$R13-$U13+SUMIF('Poker Stake Ledger'!$C$18:$C$137,$A13,'Poker Stake Ledger'!$K$18:$K$137)</f>
        <v>1084.8903813508514</v>
      </c>
      <c r="T13" t="str">
        <f>IF($P13=0,"No games",IF($Q13&gt;='Guide &amp; Settings'!$C$48,"Inactive",IF($Q13&gt;='Guide &amp; Settings'!$C$47,"At risk","Active")))</f>
        <v>At risk</v>
      </c>
      <c r="U13">
        <f>SUMIF('Match Log'!$D$4:$D$810,$A13,'Match Log'!$AC$4:$AC$810)</f>
        <v>0</v>
      </c>
      <c r="V13">
        <f t="shared" si="9"/>
        <v>3</v>
      </c>
      <c r="W13">
        <f t="shared" si="10"/>
        <v>71.222595337712846</v>
      </c>
      <c r="X13">
        <f>IFERROR(INDEX(Dashboard!$G$5:$G$18,MATCH($A13,Dashboard!$B$5:$B$18,0))*100,0)</f>
        <v>58.82352941176471</v>
      </c>
      <c r="Y13">
        <f>MIN(100,IFERROR(INDEX(Dashboard!$K$5:$K$18,MATCH($A13,Dashboard!$B$5:$B$18,0)),0)/5*50+$AC13/4*50)</f>
        <v>65</v>
      </c>
      <c r="Z13">
        <f t="shared" si="11"/>
        <v>40</v>
      </c>
      <c r="AA13">
        <f t="shared" si="12"/>
        <v>63.128471470043507</v>
      </c>
      <c r="AB13">
        <f t="shared" si="13"/>
        <v>62.005461397556786</v>
      </c>
      <c r="AC13">
        <f>IFERROR(SUMPRODUCT((INDEX('Sport Records'!$B$8:$O$26,0,MATCH($A13,'Sport Records'!$B$7:$O$7,0))&gt;=2)*(INDEX('Sport Records'!$B$58:$O$76,0,MATCH($A13,'Sport Records'!$B$57:$O$57,0))&gt;=0.5)),0)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1084.8903826508513</v>
      </c>
    </row>
    <row r="14" spans="1:35" ht="15" customHeight="1" x14ac:dyDescent="0.2">
      <c r="A14" t="s">
        <v>170</v>
      </c>
      <c r="B14">
        <f>IFERROR(INDEX(Engine!$B$2:$B$15,MATCH($A14,Engine!$A$2:$A$15,0)),1000)</f>
        <v>1040.9424995855443</v>
      </c>
      <c r="C14">
        <f>IFERROR(INDEX(Engine!$C$2:$C$15,MATCH($A14,Engine!$A$2:$A$15,0)),"")</f>
        <v>1095.1116103283528</v>
      </c>
      <c r="D14">
        <f t="shared" si="0"/>
        <v>7</v>
      </c>
      <c r="E14">
        <f t="shared" si="1"/>
        <v>201.12609858448286</v>
      </c>
      <c r="F14" t="str">
        <f>IFERROR(LOOKUP(2,1/('Match Log'!$D$4:$D$810=$A14),'Match Log'!$E$4:$E$810),"")</f>
        <v>Loss</v>
      </c>
      <c r="G14">
        <f>IF($F14="",0,SUMPRODUCT(('Match Log'!$D$4:$D$810=$A14)*(ROW('Match Log'!$A$4:$A$810)&gt;SUMPRODUCT(MAX(('Match Log'!$D$4:$D$810=$A14)*('Match Log'!$E$4:$E$810&lt;&gt;$F14)*ROW('Match Log'!$A$4:$A$810))))))</f>
        <v>1</v>
      </c>
      <c r="H14" t="str">
        <f t="shared" si="2"/>
        <v>L1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LLWWL</v>
      </c>
      <c r="J14">
        <f>IFERROR(LOOKUP(2,1/(('Match Log'!$D$4:$D$810=$A14)*('Match Log'!$B$4:$B$810&lt;=$B$3)),'Match Log'!$N$4:$N$810),1000)</f>
        <v>1050.8634549674414</v>
      </c>
      <c r="K14">
        <f t="shared" si="3"/>
        <v>6</v>
      </c>
      <c r="L14">
        <f t="shared" si="4"/>
        <v>-1</v>
      </c>
      <c r="M14">
        <f t="shared" si="5"/>
        <v>4</v>
      </c>
      <c r="N14">
        <f t="shared" si="6"/>
        <v>2</v>
      </c>
      <c r="O14">
        <f t="shared" si="7"/>
        <v>0</v>
      </c>
      <c r="P14">
        <f>IFERROR(SUMPRODUCT(MAX(('Match Log'!$D$4:$D$810=$A14)*'Match Log'!$B$4:$B$810)),0)</f>
        <v>46215</v>
      </c>
      <c r="Q14">
        <f t="shared" si="8"/>
        <v>0</v>
      </c>
      <c r="R14">
        <f>IF($P14=0,0,MAX($Q14-'Guide &amp; Settings'!$C$48,0)*'Guide &amp; Settings'!$C$49)</f>
        <v>0</v>
      </c>
      <c r="S14">
        <f>$B14-$R14-$U14+SUMIF('Poker Stake Ledger'!$C$18:$C$137,$A14,'Poker Stake Ledger'!$K$18:$K$137)</f>
        <v>1040.9424995855443</v>
      </c>
      <c r="T14" t="str">
        <f>IF($P14=0,"No games",IF($Q14&gt;='Guide &amp; Settings'!$C$48,"Inactive",IF($Q14&gt;='Guide &amp; Settings'!$C$47,"At risk","Active")))</f>
        <v>Active</v>
      </c>
      <c r="U14">
        <f>SUMIF('Match Log'!$D$4:$D$810,$A14,'Match Log'!$AC$4:$AC$810)</f>
        <v>0</v>
      </c>
      <c r="V14">
        <f t="shared" si="9"/>
        <v>1</v>
      </c>
      <c r="W14">
        <f t="shared" si="10"/>
        <v>60.235624896386071</v>
      </c>
      <c r="X14">
        <f>IFERROR(INDEX(Dashboard!$G$5:$G$18,MATCH($A14,Dashboard!$B$5:$B$18,0))*100,0)</f>
        <v>43.103448275862064</v>
      </c>
      <c r="Y14">
        <f>MIN(100,IFERROR(INDEX(Dashboard!$K$5:$K$18,MATCH($A14,Dashboard!$B$5:$B$18,0)),0)/5*50+$AC14/4*50)</f>
        <v>100</v>
      </c>
      <c r="Z14">
        <f t="shared" si="11"/>
        <v>40</v>
      </c>
      <c r="AA14">
        <f t="shared" si="12"/>
        <v>73.777902582088188</v>
      </c>
      <c r="AB14">
        <f t="shared" si="13"/>
        <v>63.080948627116356</v>
      </c>
      <c r="AC14">
        <f>IFERROR(SUMPRODUCT((INDEX('Sport Records'!$B$8:$O$26,0,MATCH($A14,'Sport Records'!$B$7:$O$7,0))&gt;=2)*(INDEX('Sport Records'!$B$58:$O$76,0,MATCH($A14,'Sport Records'!$B$57:$O$57,0))&gt;=0.5)),0)</f>
        <v>5</v>
      </c>
      <c r="AD14">
        <f>IFERROR(INDEX(Dashboard!$D$5:$D$18,MATCH($A14,Dashboard!$B$5:$B$18,0)),0)</f>
        <v>58</v>
      </c>
      <c r="AE14">
        <f>IFERROR(INDEX(Dashboard!$K$5:$K$18,MATCH($A14,Dashboard!$B$5:$B$18,0)),0)</f>
        <v>14</v>
      </c>
      <c r="AF14" t="str">
        <f t="shared" si="14"/>
        <v>Strong</v>
      </c>
      <c r="AG14">
        <f ca="1">COUNTIFS('Match Log'!$D$4:$D$810,$A14,'Match Log'!$B$4:$B$810,"&gt;="&amp;$B$5)</f>
        <v>9</v>
      </c>
      <c r="AH14">
        <f ca="1">COUNTIFS('Match Log'!$D$4:$D$810,$A14,'Match Log'!$B$4:$B$810,"&gt;="&amp;$B$5,'Match Log'!$E$4:$E$810,"Win")</f>
        <v>4</v>
      </c>
      <c r="AI14">
        <f t="shared" si="15"/>
        <v>1040.9425009855443</v>
      </c>
    </row>
    <row r="15" spans="1:35" ht="15" customHeight="1" x14ac:dyDescent="0.2">
      <c r="A15" t="s">
        <v>167</v>
      </c>
      <c r="B15">
        <f>IFERROR(INDEX(Engine!$B$2:$B$15,MATCH($A15,Engine!$A$2:$A$15,0)),1000)</f>
        <v>1242.0685981700271</v>
      </c>
      <c r="C15">
        <f>IFERROR(INDEX(Engine!$C$2:$C$15,MATCH($A15,Engine!$A$2:$A$15,0)),"")</f>
        <v>1046.0377424962787</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1168.2113436007442</v>
      </c>
      <c r="K15">
        <f t="shared" si="3"/>
        <v>1</v>
      </c>
      <c r="L15">
        <f t="shared" si="4"/>
        <v>0</v>
      </c>
      <c r="M15">
        <f t="shared" si="5"/>
        <v>2</v>
      </c>
      <c r="N15">
        <f t="shared" si="6"/>
        <v>4</v>
      </c>
      <c r="O15">
        <f t="shared" si="7"/>
        <v>1</v>
      </c>
      <c r="P15">
        <f>IFERROR(SUMPRODUCT(MAX(('Match Log'!$D$4:$D$810=$A15)*'Match Log'!$B$4:$B$810)),0)</f>
        <v>46215</v>
      </c>
      <c r="Q15">
        <f t="shared" si="8"/>
        <v>0</v>
      </c>
      <c r="R15">
        <f>IF($P15=0,0,MAX($Q15-'Guide &amp; Settings'!$C$48,0)*'Guide &amp; Settings'!$C$49)</f>
        <v>0</v>
      </c>
      <c r="S15">
        <f>$B15-$R15-$U15+SUMIF('Poker Stake Ledger'!$C$18:$C$137,$A15,'Poker Stake Ledger'!$K$18:$K$137)</f>
        <v>1242.0685981700271</v>
      </c>
      <c r="T15" t="str">
        <f>IF($P15=0,"No games",IF($Q15&gt;='Guide &amp; Settings'!$C$48,"Inactive",IF($Q15&gt;='Guide &amp; Settings'!$C$47,"At risk","Active")))</f>
        <v>Active</v>
      </c>
      <c r="U15">
        <f>SUMIF('Match Log'!$D$4:$D$810,$A15,'Match Log'!$AC$4:$AC$810)</f>
        <v>0</v>
      </c>
      <c r="V15">
        <f t="shared" si="9"/>
        <v>0</v>
      </c>
      <c r="W15">
        <f t="shared" si="10"/>
        <v>100</v>
      </c>
      <c r="X15">
        <f>IFERROR(INDEX(Dashboard!$G$5:$G$18,MATCH($A15,Dashboard!$B$5:$B$18,0))*100,0)</f>
        <v>68.965517241379317</v>
      </c>
      <c r="Y15">
        <f>MIN(100,IFERROR(INDEX(Dashboard!$K$5:$K$18,MATCH($A15,Dashboard!$B$5:$B$18,0)),0)/5*50+$AC15/4*50)</f>
        <v>87.5</v>
      </c>
      <c r="Z15">
        <f t="shared" si="11"/>
        <v>80</v>
      </c>
      <c r="AA15">
        <f t="shared" si="12"/>
        <v>61.509435624069681</v>
      </c>
      <c r="AB15">
        <f t="shared" si="13"/>
        <v>84.444047010682837</v>
      </c>
      <c r="AC15">
        <f>IFERROR(SUMPRODUCT((INDEX('Sport Records'!$B$8:$O$26,0,MATCH($A15,'Sport Records'!$B$7:$O$7,0))&gt;=2)*(INDEX('Sport Records'!$B$58:$O$76,0,MATCH($A15,'Sport Records'!$B$57:$O$57,0))&gt;=0.5)),0)</f>
        <v>3</v>
      </c>
      <c r="AD15">
        <f>IFERROR(INDEX(Dashboard!$D$5:$D$18,MATCH($A15,Dashboard!$B$5:$B$18,0)),0)</f>
        <v>29</v>
      </c>
      <c r="AE15">
        <f>IFERROR(INDEX(Dashboard!$K$5:$K$18,MATCH($A15,Dashboard!$B$5:$B$18,0)),0)</f>
        <v>5</v>
      </c>
      <c r="AF15" t="str">
        <f t="shared" si="14"/>
        <v>Elite</v>
      </c>
      <c r="AG15">
        <f ca="1">COUNTIFS('Match Log'!$D$4:$D$810,$A15,'Match Log'!$B$4:$B$810,"&gt;="&amp;$B$5)</f>
        <v>6</v>
      </c>
      <c r="AH15">
        <f ca="1">COUNTIFS('Match Log'!$D$4:$D$810,$A15,'Match Log'!$B$4:$B$810,"&gt;="&amp;$B$5,'Match Log'!$E$4:$E$810,"Win")</f>
        <v>5</v>
      </c>
      <c r="AI15">
        <f t="shared" si="15"/>
        <v>1242.0685996700272</v>
      </c>
    </row>
    <row r="16" spans="1:35" ht="15" customHeight="1" x14ac:dyDescent="0.2">
      <c r="A16" t="s">
        <v>175</v>
      </c>
      <c r="B16">
        <f>IFERROR(INDEX(Engine!$B$2:$B$15,MATCH($A16,Engine!$A$2:$A$15,0)),1000)</f>
        <v>893.03675187725173</v>
      </c>
      <c r="C16">
        <f>IFERROR(INDEX(Engine!$C$2:$C$15,MATCH($A16,Engine!$A$2:$A$15,0)),"")</f>
        <v>1062.7718916503929</v>
      </c>
      <c r="D16">
        <f t="shared" si="0"/>
        <v>14</v>
      </c>
      <c r="E16">
        <f t="shared" si="1"/>
        <v>349.03184629277541</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893.03675187725173</v>
      </c>
      <c r="K16">
        <f t="shared" si="3"/>
        <v>14</v>
      </c>
      <c r="L16">
        <f t="shared" si="4"/>
        <v>0</v>
      </c>
      <c r="M16">
        <f t="shared" si="5"/>
        <v>1</v>
      </c>
      <c r="N16">
        <f t="shared" si="6"/>
        <v>1</v>
      </c>
      <c r="O16">
        <f t="shared" si="7"/>
        <v>0</v>
      </c>
      <c r="P16">
        <f>IFERROR(SUMPRODUCT(MAX(('Match Log'!$D$4:$D$810=$A16)*'Match Log'!$B$4:$B$810)),0)</f>
        <v>46188</v>
      </c>
      <c r="Q16">
        <f t="shared" si="8"/>
        <v>3.8571428571428572</v>
      </c>
      <c r="R16">
        <f>IF($P16=0,0,MAX($Q16-'Guide &amp; Settings'!$C$48,0)*'Guide &amp; Settings'!$C$49)</f>
        <v>0</v>
      </c>
      <c r="S16">
        <f>$B16-$R16-$U16+SUMIF('Poker Stake Ledger'!$C$18:$C$137,$A16,'Poker Stake Ledger'!$K$18:$K$137)</f>
        <v>893.03675187725173</v>
      </c>
      <c r="T16" t="str">
        <f>IF($P16=0,"No games",IF($Q16&gt;='Guide &amp; Settings'!$C$48,"Inactive",IF($Q16&gt;='Guide &amp; Settings'!$C$47,"At risk","Active")))</f>
        <v>At risk</v>
      </c>
      <c r="U16">
        <f>SUMIF('Match Log'!$D$4:$D$810,$A16,'Match Log'!$AC$4:$AC$810)</f>
        <v>0</v>
      </c>
      <c r="V16">
        <f t="shared" si="9"/>
        <v>4</v>
      </c>
      <c r="W16">
        <f t="shared" si="10"/>
        <v>23.259187969312933</v>
      </c>
      <c r="X16">
        <f>IFERROR(INDEX(Dashboard!$G$5:$G$18,MATCH($A16,Dashboard!$B$5:$B$18,0))*100,0)</f>
        <v>15.384615384615385</v>
      </c>
      <c r="Y16">
        <f>MIN(100,IFERROR(INDEX(Dashboard!$K$5:$K$18,MATCH($A16,Dashboard!$B$5:$B$18,0)),0)/5*50+$AC16/4*50)</f>
        <v>30</v>
      </c>
      <c r="Z16">
        <f t="shared" si="11"/>
        <v>20</v>
      </c>
      <c r="AA16">
        <f t="shared" si="12"/>
        <v>65.692972912598236</v>
      </c>
      <c r="AB16">
        <f t="shared" si="13"/>
        <v>26.786936157442426</v>
      </c>
      <c r="AC16">
        <f>IFERROR(SUMPRODUCT((INDEX('Sport Records'!$B$8:$O$26,0,MATCH($A16,'Sport Records'!$B$7:$O$7,0))&gt;=2)*(INDEX('Sport Records'!$B$58:$O$76,0,MATCH($A16,'Sport Records'!$B$57:$O$57,0))&gt;=0.5)),0)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893.03675347725175</v>
      </c>
    </row>
    <row r="17" spans="1:35" ht="15" customHeight="1" x14ac:dyDescent="0.2">
      <c r="A17" t="s">
        <v>169</v>
      </c>
      <c r="B17">
        <f>IFERROR(INDEX(Engine!$B$2:$B$15,MATCH($A17,Engine!$A$2:$A$15,0)),1000)</f>
        <v>1058.6657209484931</v>
      </c>
      <c r="C17">
        <f>IFERROR(INDEX(Engine!$C$2:$C$15,MATCH($A17,Engine!$A$2:$A$15,0)),"")</f>
        <v>1077.7480989807311</v>
      </c>
      <c r="D17">
        <f t="shared" si="0"/>
        <v>5</v>
      </c>
      <c r="E17">
        <f t="shared" si="1"/>
        <v>183.40287722153403</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1090.4582166793289</v>
      </c>
      <c r="K17">
        <f t="shared" si="3"/>
        <v>4</v>
      </c>
      <c r="L17">
        <f t="shared" si="4"/>
        <v>-1</v>
      </c>
      <c r="M17">
        <f t="shared" si="5"/>
        <v>2</v>
      </c>
      <c r="N17">
        <f t="shared" si="6"/>
        <v>1</v>
      </c>
      <c r="O17">
        <f t="shared" si="7"/>
        <v>0</v>
      </c>
      <c r="P17">
        <f>IFERROR(SUMPRODUCT(MAX(('Match Log'!$D$4:$D$810=$A17)*'Match Log'!$B$4:$B$810)),0)</f>
        <v>46209</v>
      </c>
      <c r="Q17">
        <f t="shared" si="8"/>
        <v>0.8571428571428571</v>
      </c>
      <c r="R17">
        <f>IF($P17=0,0,MAX($Q17-'Guide &amp; Settings'!$C$48,0)*'Guide &amp; Settings'!$C$49)</f>
        <v>0</v>
      </c>
      <c r="S17">
        <f>$B17-$R17-$U17+SUMIF('Poker Stake Ledger'!$C$18:$C$137,$A17,'Poker Stake Ledger'!$K$18:$K$137)</f>
        <v>1058.6657209484931</v>
      </c>
      <c r="T17" t="str">
        <f>IF($P17=0,"No games",IF($Q17&gt;='Guide &amp; Settings'!$C$48,"Inactive",IF($Q17&gt;='Guide &amp; Settings'!$C$47,"At risk","Active")))</f>
        <v>Active</v>
      </c>
      <c r="U17">
        <f>SUMIF('Match Log'!$D$4:$D$810,$A17,'Match Log'!$AC$4:$AC$810)</f>
        <v>0</v>
      </c>
      <c r="V17">
        <f t="shared" si="9"/>
        <v>1</v>
      </c>
      <c r="W17">
        <f t="shared" si="10"/>
        <v>64.666430237123279</v>
      </c>
      <c r="X17">
        <f>IFERROR(INDEX(Dashboard!$G$5:$G$18,MATCH($A17,Dashboard!$B$5:$B$18,0))*100,0)</f>
        <v>45.454545454545453</v>
      </c>
      <c r="Y17">
        <f>MIN(100,IFERROR(INDEX(Dashboard!$K$5:$K$18,MATCH($A17,Dashboard!$B$5:$B$18,0)),0)/5*50+$AC17/4*50)</f>
        <v>100</v>
      </c>
      <c r="Z17">
        <f t="shared" si="11"/>
        <v>20</v>
      </c>
      <c r="AA17">
        <f t="shared" si="12"/>
        <v>69.437024745182782</v>
      </c>
      <c r="AB17">
        <f t="shared" si="13"/>
        <v>61.667862148420511</v>
      </c>
      <c r="AC17">
        <f>IFERROR(SUMPRODUCT((INDEX('Sport Records'!$B$8:$O$26,0,MATCH($A17,'Sport Records'!$B$7:$O$7,0))&gt;=2)*(INDEX('Sport Records'!$B$58:$O$76,0,MATCH($A17,'Sport Records'!$B$57:$O$57,0))&gt;=0.5)),0)</f>
        <v>2</v>
      </c>
      <c r="AD17">
        <f>IFERROR(INDEX(Dashboard!$D$5:$D$18,MATCH($A17,Dashboard!$B$5:$B$18,0)),0)</f>
        <v>44</v>
      </c>
      <c r="AE17">
        <f>IFERROR(INDEX(Dashboard!$K$5:$K$18,MATCH($A17,Dashboard!$B$5:$B$18,0)),0)</f>
        <v>8</v>
      </c>
      <c r="AF17" t="str">
        <f t="shared" si="14"/>
        <v>Strong</v>
      </c>
      <c r="AG17">
        <f ca="1">COUNTIFS('Match Log'!$D$4:$D$810,$A17,'Match Log'!$B$4:$B$810,"&gt;="&amp;$B$5)</f>
        <v>5</v>
      </c>
      <c r="AH17">
        <f ca="1">COUNTIFS('Match Log'!$D$4:$D$810,$A17,'Match Log'!$B$4:$B$810,"&gt;="&amp;$B$5,'Match Log'!$E$4:$E$810,"Win")</f>
        <v>1</v>
      </c>
      <c r="AI17">
        <f t="shared" si="15"/>
        <v>1058.6657226484931</v>
      </c>
    </row>
    <row r="18" spans="1:35" ht="15" customHeight="1" x14ac:dyDescent="0.2">
      <c r="A18" t="s">
        <v>171</v>
      </c>
      <c r="B18">
        <f>IFERROR(INDEX(Engine!$B$2:$B$15,MATCH($A18,Engine!$A$2:$A$15,0)),1000)</f>
        <v>1009.1869692929786</v>
      </c>
      <c r="C18">
        <f>IFERROR(INDEX(Engine!$C$2:$C$15,MATCH($A18,Engine!$A$2:$A$15,0)),"")</f>
        <v>1054.9224607974536</v>
      </c>
      <c r="D18">
        <f t="shared" si="0"/>
        <v>11</v>
      </c>
      <c r="E18">
        <f t="shared" si="1"/>
        <v>232.88162887704857</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1031.225848367051</v>
      </c>
      <c r="K18">
        <f t="shared" si="3"/>
        <v>7</v>
      </c>
      <c r="L18">
        <f t="shared" si="4"/>
        <v>-4</v>
      </c>
      <c r="M18">
        <f t="shared" si="5"/>
        <v>0</v>
      </c>
      <c r="N18">
        <f t="shared" si="6"/>
        <v>2</v>
      </c>
      <c r="O18">
        <f t="shared" si="7"/>
        <v>0</v>
      </c>
      <c r="P18">
        <f>IFERROR(SUMPRODUCT(MAX(('Match Log'!$D$4:$D$810=$A18)*'Match Log'!$B$4:$B$810)),0)</f>
        <v>46214</v>
      </c>
      <c r="Q18">
        <f t="shared" si="8"/>
        <v>0.14285714285714285</v>
      </c>
      <c r="R18">
        <f>IF($P18=0,0,MAX($Q18-'Guide &amp; Settings'!$C$48,0)*'Guide &amp; Settings'!$C$49)</f>
        <v>0</v>
      </c>
      <c r="S18">
        <f>$B18-$R18-$U18+SUMIF('Poker Stake Ledger'!$C$18:$C$137,$A18,'Poker Stake Ledger'!$K$18:$K$137)</f>
        <v>1009.1869692929786</v>
      </c>
      <c r="T18" t="str">
        <f>IF($P18=0,"No games",IF($Q18&gt;='Guide &amp; Settings'!$C$48,"Inactive",IF($Q18&gt;='Guide &amp; Settings'!$C$47,"At risk","Active")))</f>
        <v>Active</v>
      </c>
      <c r="U18">
        <f>SUMIF('Match Log'!$D$4:$D$810,$A18,'Match Log'!$AC$4:$AC$810)</f>
        <v>0</v>
      </c>
      <c r="V18">
        <f t="shared" si="9"/>
        <v>1</v>
      </c>
      <c r="W18">
        <f t="shared" si="10"/>
        <v>52.296742323244644</v>
      </c>
      <c r="X18">
        <f>IFERROR(INDEX(Dashboard!$G$5:$G$18,MATCH($A18,Dashboard!$B$5:$B$18,0))*100,0)</f>
        <v>33.333333333333329</v>
      </c>
      <c r="Y18">
        <f>MIN(100,IFERROR(INDEX(Dashboard!$K$5:$K$18,MATCH($A18,Dashboard!$B$5:$B$18,0)),0)/5*50+$AC18/4*50)</f>
        <v>20</v>
      </c>
      <c r="Z18">
        <f t="shared" si="11"/>
        <v>40</v>
      </c>
      <c r="AA18">
        <f t="shared" si="12"/>
        <v>63.730615199363399</v>
      </c>
      <c r="AB18">
        <f t="shared" si="13"/>
        <v>41.343587999738631</v>
      </c>
      <c r="AC18">
        <f>IFERROR(SUMPRODUCT((INDEX('Sport Records'!$B$8:$O$26,0,MATCH($A18,'Sport Records'!$B$7:$O$7,0))&gt;=2)*(INDEX('Sport Records'!$B$58:$O$76,0,MATCH($A18,'Sport Records'!$B$57:$O$57,0))&gt;=0.5)),0)</f>
        <v>0</v>
      </c>
      <c r="AD18">
        <f>IFERROR(INDEX(Dashboard!$D$5:$D$18,MATCH($A18,Dashboard!$B$5:$B$18,0)),0)</f>
        <v>6</v>
      </c>
      <c r="AE18">
        <f>IFERROR(INDEX(Dashboard!$K$5:$K$18,MATCH($A18,Dashboard!$B$5:$B$18,0)),0)</f>
        <v>2</v>
      </c>
      <c r="AF18" t="str">
        <f t="shared" si="14"/>
        <v>Developing</v>
      </c>
      <c r="AG18">
        <f ca="1">COUNTIFS('Match Log'!$D$4:$D$810,$A18,'Match Log'!$B$4:$B$810,"&gt;="&amp;$B$5)</f>
        <v>1</v>
      </c>
      <c r="AH18">
        <f ca="1">COUNTIFS('Match Log'!$D$4:$D$810,$A18,'Match Log'!$B$4:$B$810,"&gt;="&amp;$B$5,'Match Log'!$E$4:$E$810,"Win")</f>
        <v>0</v>
      </c>
      <c r="AI18">
        <f t="shared" si="15"/>
        <v>1009.1869710929785</v>
      </c>
    </row>
    <row r="19" spans="1:35" ht="15" customHeight="1" x14ac:dyDescent="0.2">
      <c r="A19" t="s">
        <v>172</v>
      </c>
      <c r="B19">
        <f>IFERROR(INDEX(Engine!$B$2:$B$15,MATCH($A19,Engine!$A$2:$A$15,0)),1000)</f>
        <v>1052.4204774129059</v>
      </c>
      <c r="C19">
        <f>IFERROR(INDEX(Engine!$C$2:$C$15,MATCH($A19,Engine!$A$2:$A$15,0)),"")</f>
        <v>1067.5552089809428</v>
      </c>
      <c r="D19">
        <f t="shared" si="0"/>
        <v>6</v>
      </c>
      <c r="E19">
        <f t="shared" si="1"/>
        <v>189.64812075712121</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1030.3815983388336</v>
      </c>
      <c r="K19">
        <f t="shared" si="3"/>
        <v>8</v>
      </c>
      <c r="L19">
        <f t="shared" si="4"/>
        <v>2</v>
      </c>
      <c r="M19">
        <f t="shared" si="5"/>
        <v>0</v>
      </c>
      <c r="N19">
        <f t="shared" si="6"/>
        <v>3</v>
      </c>
      <c r="O19">
        <f t="shared" si="7"/>
        <v>1</v>
      </c>
      <c r="P19">
        <f>IFERROR(SUMPRODUCT(MAX(('Match Log'!$D$4:$D$810=$A19)*'Match Log'!$B$4:$B$810)),0)</f>
        <v>46214</v>
      </c>
      <c r="Q19">
        <f t="shared" si="8"/>
        <v>0.14285714285714285</v>
      </c>
      <c r="R19">
        <f>IF($P19=0,0,MAX($Q19-'Guide &amp; Settings'!$C$48,0)*'Guide &amp; Settings'!$C$49)</f>
        <v>0</v>
      </c>
      <c r="S19">
        <f>$B19-$R19-$U19+SUMIF('Poker Stake Ledger'!$C$18:$C$137,$A19,'Poker Stake Ledger'!$K$18:$K$137)</f>
        <v>1052.4204774129059</v>
      </c>
      <c r="T19" t="str">
        <f>IF($P19=0,"No games",IF($Q19&gt;='Guide &amp; Settings'!$C$48,"Inactive",IF($Q19&gt;='Guide &amp; Settings'!$C$47,"At risk","Active")))</f>
        <v>Active</v>
      </c>
      <c r="U19">
        <f>SUMIF('Match Log'!$D$4:$D$810,$A19,'Match Log'!$AC$4:$AC$810)</f>
        <v>0</v>
      </c>
      <c r="V19">
        <f t="shared" si="9"/>
        <v>0</v>
      </c>
      <c r="W19">
        <f t="shared" si="10"/>
        <v>63.105119353226485</v>
      </c>
      <c r="X19">
        <f>IFERROR(INDEX(Dashboard!$G$5:$G$18,MATCH($A19,Dashboard!$B$5:$B$18,0))*100,0)</f>
        <v>60</v>
      </c>
      <c r="Y19">
        <f>MIN(100,IFERROR(INDEX(Dashboard!$K$5:$K$18,MATCH($A19,Dashboard!$B$5:$B$18,0)),0)/5*50+$AC19/4*50)</f>
        <v>32.5</v>
      </c>
      <c r="Z19">
        <f t="shared" si="11"/>
        <v>60</v>
      </c>
      <c r="AA19">
        <f t="shared" si="12"/>
        <v>66.888802245235695</v>
      </c>
      <c r="AB19">
        <f t="shared" si="13"/>
        <v>56.275671998152845</v>
      </c>
      <c r="AC19">
        <f>IFERROR(SUMPRODUCT((INDEX('Sport Records'!$B$8:$O$26,0,MATCH($A19,'Sport Records'!$B$7:$O$7,0))&gt;=2)*(INDEX('Sport Records'!$B$58:$O$76,0,MATCH($A19,'Sport Records'!$B$57:$O$57,0))&gt;=0.5)),0)</f>
        <v>1</v>
      </c>
      <c r="AD19">
        <f>IFERROR(INDEX(Dashboard!$D$5:$D$18,MATCH($A19,Dashboard!$B$5:$B$18,0)),0)</f>
        <v>5</v>
      </c>
      <c r="AE19">
        <f>IFERROR(INDEX(Dashboard!$K$5:$K$18,MATCH($A19,Dashboard!$B$5:$B$18,0)),0)</f>
        <v>2</v>
      </c>
      <c r="AF19" t="str">
        <f t="shared" si="14"/>
        <v>Mid</v>
      </c>
      <c r="AG19">
        <f ca="1">COUNTIFS('Match Log'!$D$4:$D$810,$A19,'Match Log'!$B$4:$B$810,"&gt;="&amp;$B$5)</f>
        <v>1</v>
      </c>
      <c r="AH19">
        <f ca="1">COUNTIFS('Match Log'!$D$4:$D$810,$A19,'Match Log'!$B$4:$B$810,"&gt;="&amp;$B$5,'Match Log'!$E$4:$E$810,"Win")</f>
        <v>1</v>
      </c>
      <c r="AI19">
        <f t="shared" si="15"/>
        <v>1052.4204793129059</v>
      </c>
    </row>
    <row r="20" spans="1:35" ht="15" customHeight="1" x14ac:dyDescent="0.2">
      <c r="A20" t="s">
        <v>174</v>
      </c>
      <c r="B20">
        <f>IFERROR(INDEX(Engine!$B$2:$B$15,MATCH($A20,Engine!$A$2:$A$15,0)),1000)</f>
        <v>1000</v>
      </c>
      <c r="C20" t="str">
        <f>IFERROR(INDEX(Engine!$C$2:$C$15,MATCH($A20,Engine!$A$2:$A$15,0)),"")</f>
        <v/>
      </c>
      <c r="D20">
        <f t="shared" si="0"/>
        <v>12</v>
      </c>
      <c r="E20">
        <f t="shared" si="1"/>
        <v>242.06859817002714</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Records'!$B$58:$O$76,0,MATCH($A20,'Sport Records'!$B$57:$O$57,0))&gt;=0.5)),0)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Kart</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Kart</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Kart</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Kart</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0.25</v>
      </c>
      <c r="G71">
        <f t="shared" si="19"/>
        <v>0.5</v>
      </c>
      <c r="H71" t="str">
        <f t="array" ref="H71">IFERROR(IF(COUNTIFS('Match Log'!$A$4:$A$810,$A71,'Match Log'!$E$4:$E$810,"Win")&gt;1,_xlfn.TEXTJOIN("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998.28627447903841</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956.79857074963707</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0.46153846153846151</v>
      </c>
      <c r="G72">
        <f t="shared" si="19"/>
        <v>7.6923076923076983E-2</v>
      </c>
      <c r="H72" t="str">
        <f t="array" ref="H72">IFERROR(IF(COUNTIFS('Match Log'!$A$4:$A$810,$A72,'Match Log'!$E$4:$E$810,"Win")&gt;1,_xlfn.TEXTJOIN("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1019.8457383193305</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935.23910690934497</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0.4</v>
      </c>
      <c r="G73">
        <f t="shared" si="19"/>
        <v>0.19999999999999996</v>
      </c>
      <c r="H73" t="str">
        <f t="array" ref="H73">IFERROR(IF(COUNTIFS('Match Log'!$A$4:$A$810,$A73,'Match Log'!$E$4:$E$810,"Win")&gt;1,_xlfn.TEXTJOIN("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994.16654867186321</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960.91829655681227</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994.16654867186321</v>
      </c>
      <c r="S74">
        <f>IF($J74&gt;MAX('Match Log'!$A$4:$A$810),NA(),IFERROR(LOOKUP(2,1/(('Match Log'!$D$4:$D$810=$S$24)*('Match Log'!$A$4:$A$810&lt;=$J74)),'Match Log'!$N$4:$N$810),NA()))</f>
        <v>1051.5351713835635</v>
      </c>
      <c r="T74">
        <f>IF($J74&gt;MAX('Match Log'!$A$4:$A$810),NA(),IFERROR(LOOKUP(2,1/(('Match Log'!$D$4:$D$810=$T$24)*('Match Log'!$A$4:$A$810&lt;=$J74)),'Match Log'!$N$4:$N$810),NA()))</f>
        <v>914.42496189230224</v>
      </c>
      <c r="U74">
        <f>IF($J74&gt;MAX('Match Log'!$A$4:$A$810),NA(),IFERROR(LOOKUP(2,1/(('Match Log'!$D$4:$D$810=$U$24)*('Match Log'!$A$4:$A$810&lt;=$J74)),'Match Log'!$N$4:$N$810),NA()))</f>
        <v>940.77949600573038</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994.16654867186321</v>
      </c>
      <c r="S75">
        <f>IF($J75&gt;MAX('Match Log'!$A$4:$A$810),NA(),IFERROR(LOOKUP(2,1/(('Match Log'!$D$4:$D$810=$S$24)*('Match Log'!$A$4:$A$810&lt;=$J75)),'Match Log'!$N$4:$N$810),NA()))</f>
        <v>1069.239243353531</v>
      </c>
      <c r="T75">
        <f>IF($J75&gt;MAX('Match Log'!$A$4:$A$810),NA(),IFERROR(LOOKUP(2,1/(('Match Log'!$D$4:$D$810=$T$24)*('Match Log'!$A$4:$A$810&lt;=$J75)),'Match Log'!$N$4:$N$810),NA()))</f>
        <v>914.42496189230224</v>
      </c>
      <c r="U75">
        <f>IF($J75&gt;MAX('Match Log'!$A$4:$A$810),NA(),IFERROR(LOOKUP(2,1/(('Match Log'!$D$4:$D$810=$U$24)*('Match Log'!$A$4:$A$810&lt;=$J75)),'Match Log'!$N$4:$N$810),NA()))</f>
        <v>923.07542403576281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994.16654867186321</v>
      </c>
      <c r="S76">
        <f>IF($J76&gt;MAX('Match Log'!$A$4:$A$810),NA(),IFERROR(LOOKUP(2,1/(('Match Log'!$D$4:$D$810=$S$24)*('Match Log'!$A$4:$A$810&lt;=$J76)),'Match Log'!$N$4:$N$810),NA()))</f>
        <v>1085.0465286626036</v>
      </c>
      <c r="T76">
        <f>IF($J76&gt;MAX('Match Log'!$A$4:$A$810),NA(),IFERROR(LOOKUP(2,1/(('Match Log'!$D$4:$D$810=$T$24)*('Match Log'!$A$4:$A$810&lt;=$J76)),'Match Log'!$N$4:$N$810),NA()))</f>
        <v>914.42496189230224</v>
      </c>
      <c r="U76">
        <f>IF($J76&gt;MAX('Match Log'!$A$4:$A$810),NA(),IFERROR(LOOKUP(2,1/(('Match Log'!$D$4:$D$810=$U$24)*('Match Log'!$A$4:$A$810&lt;=$J76)),'Match Log'!$N$4:$N$810),NA()))</f>
        <v>907.26813872669015</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994.16654867186321</v>
      </c>
      <c r="S77">
        <f>IF($J77&gt;MAX('Match Log'!$A$4:$A$810),NA(),IFERROR(LOOKUP(2,1/(('Match Log'!$D$4:$D$810=$S$24)*('Match Log'!$A$4:$A$810&lt;=$J77)),'Match Log'!$N$4:$N$810),NA()))</f>
        <v>1054.7322046090017</v>
      </c>
      <c r="T77">
        <f>IF($J77&gt;MAX('Match Log'!$A$4:$A$810),NA(),IFERROR(LOOKUP(2,1/(('Match Log'!$D$4:$D$810=$T$24)*('Match Log'!$A$4:$A$810&lt;=$J77)),'Match Log'!$N$4:$N$810),NA()))</f>
        <v>914.42496189230224</v>
      </c>
      <c r="U77">
        <f>IF($J77&gt;MAX('Match Log'!$A$4:$A$810),NA(),IFERROR(LOOKUP(2,1/(('Match Log'!$D$4:$D$810=$U$24)*('Match Log'!$A$4:$A$810&lt;=$J77)),'Match Log'!$N$4:$N$810),NA()))</f>
        <v>937.58246278029208</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975.33097176714045</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994.16654867186321</v>
      </c>
      <c r="S78">
        <f>IF($J78&gt;MAX('Match Log'!$A$4:$A$810),NA(),IFERROR(LOOKUP(2,1/(('Match Log'!$D$4:$D$810=$S$24)*('Match Log'!$A$4:$A$810&lt;=$J78)),'Match Log'!$N$4:$N$810),NA()))</f>
        <v>1054.7322046090017</v>
      </c>
      <c r="T78">
        <f>IF($J78&gt;MAX('Match Log'!$A$4:$A$810),NA(),IFERROR(LOOKUP(2,1/(('Match Log'!$D$4:$D$810=$T$24)*('Match Log'!$A$4:$A$810&lt;=$J78)),'Match Log'!$N$4:$N$810),NA()))</f>
        <v>914.42496189230224</v>
      </c>
      <c r="U78">
        <f>IF($J78&gt;MAX('Match Log'!$A$4:$A$810),NA(),IFERROR(LOOKUP(2,1/(('Match Log'!$D$4:$D$810=$U$24)*('Match Log'!$A$4:$A$810&lt;=$J78)),'Match Log'!$N$4:$N$810),NA()))</f>
        <v>962.25149101315162</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975.33097176714045</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983.06074452161181</v>
      </c>
      <c r="Q79">
        <f>IF($J79&gt;MAX('Match Log'!$A$4:$A$810),NA(),IFERROR(LOOKUP(2,1/(('Match Log'!$D$4:$D$810=$Q$24)*('Match Log'!$A$4:$A$810&lt;=$J79)),'Match Log'!$N$4:$N$810),NA()))</f>
        <v>1004.2142857142857</v>
      </c>
      <c r="R79">
        <f>IF($J79&gt;MAX('Match Log'!$A$4:$A$810),NA(),IFERROR(LOOKUP(2,1/(('Match Log'!$D$4:$D$810=$R$24)*('Match Log'!$A$4:$A$810&lt;=$J79)),'Match Log'!$N$4:$N$810),NA()))</f>
        <v>994.16654867186321</v>
      </c>
      <c r="S79">
        <f>IF($J79&gt;MAX('Match Log'!$A$4:$A$810),NA(),IFERROR(LOOKUP(2,1/(('Match Log'!$D$4:$D$810=$S$24)*('Match Log'!$A$4:$A$810&lt;=$J79)),'Match Log'!$N$4:$N$810),NA()))</f>
        <v>1054.7322046090017</v>
      </c>
      <c r="T79">
        <f>IF($J79&gt;MAX('Match Log'!$A$4:$A$810),NA(),IFERROR(LOOKUP(2,1/(('Match Log'!$D$4:$D$810=$T$24)*('Match Log'!$A$4:$A$810&lt;=$J79)),'Match Log'!$N$4:$N$810),NA()))</f>
        <v>914.42496189230224</v>
      </c>
      <c r="U79">
        <f>IF($J79&gt;MAX('Match Log'!$A$4:$A$810),NA(),IFERROR(LOOKUP(2,1/(('Match Log'!$D$4:$D$810=$U$24)*('Match Log'!$A$4:$A$810&lt;=$J79)),'Match Log'!$N$4:$N$810),NA()))</f>
        <v>986.66509914651715</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975.33097176714045</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1122.1458342010349</v>
      </c>
      <c r="P80">
        <f>IF($J80&gt;MAX('Match Log'!$A$4:$A$810),NA(),IFERROR(LOOKUP(2,1/(('Match Log'!$D$4:$D$810=$P$24)*('Match Log'!$A$4:$A$810&lt;=$J80)),'Match Log'!$N$4:$N$810),NA()))</f>
        <v>1012.2562816449486</v>
      </c>
      <c r="Q80">
        <f>IF($J80&gt;MAX('Match Log'!$A$4:$A$810),NA(),IFERROR(LOOKUP(2,1/(('Match Log'!$D$4:$D$810=$Q$24)*('Match Log'!$A$4:$A$810&lt;=$J80)),'Match Log'!$N$4:$N$810),NA()))</f>
        <v>1004.2142857142857</v>
      </c>
      <c r="R80">
        <f>IF($J80&gt;MAX('Match Log'!$A$4:$A$810),NA(),IFERROR(LOOKUP(2,1/(('Match Log'!$D$4:$D$810=$R$24)*('Match Log'!$A$4:$A$810&lt;=$J80)),'Match Log'!$N$4:$N$810),NA()))</f>
        <v>994.16654867186321</v>
      </c>
      <c r="S80">
        <f>IF($J80&gt;MAX('Match Log'!$A$4:$A$810),NA(),IFERROR(LOOKUP(2,1/(('Match Log'!$D$4:$D$810=$S$24)*('Match Log'!$A$4:$A$810&lt;=$J80)),'Match Log'!$N$4:$N$810),NA()))</f>
        <v>1054.7322046090017</v>
      </c>
      <c r="T80">
        <f>IF($J80&gt;MAX('Match Log'!$A$4:$A$810),NA(),IFERROR(LOOKUP(2,1/(('Match Log'!$D$4:$D$810=$T$24)*('Match Log'!$A$4:$A$810&lt;=$J80)),'Match Log'!$N$4:$N$810),NA()))</f>
        <v>914.42496189230224</v>
      </c>
      <c r="U80">
        <f>IF($J80&gt;MAX('Match Log'!$A$4:$A$810),NA(),IFERROR(LOOKUP(2,1/(('Match Log'!$D$4:$D$810=$U$24)*('Match Log'!$A$4:$A$810&lt;=$J80)),'Match Log'!$N$4:$N$810),NA()))</f>
        <v>986.66509914651715</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975.33097176714045</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1122.1458342010349</v>
      </c>
      <c r="P81">
        <f>IF($J81&gt;MAX('Match Log'!$A$4:$A$810),NA(),IFERROR(LOOKUP(2,1/(('Match Log'!$D$4:$D$810=$P$24)*('Match Log'!$A$4:$A$810&lt;=$J81)),'Match Log'!$N$4:$N$810),NA()))</f>
        <v>1012.2562816449486</v>
      </c>
      <c r="Q81">
        <f>IF($J81&gt;MAX('Match Log'!$A$4:$A$810),NA(),IFERROR(LOOKUP(2,1/(('Match Log'!$D$4:$D$810=$Q$24)*('Match Log'!$A$4:$A$810&lt;=$J81)),'Match Log'!$N$4:$N$810),NA()))</f>
        <v>1004.2142857142857</v>
      </c>
      <c r="R81">
        <f>IF($J81&gt;MAX('Match Log'!$A$4:$A$810),NA(),IFERROR(LOOKUP(2,1/(('Match Log'!$D$4:$D$810=$R$24)*('Match Log'!$A$4:$A$810&lt;=$J81)),'Match Log'!$N$4:$N$810),NA()))</f>
        <v>994.16654867186321</v>
      </c>
      <c r="S81">
        <f>IF($J81&gt;MAX('Match Log'!$A$4:$A$810),NA(),IFERROR(LOOKUP(2,1/(('Match Log'!$D$4:$D$810=$S$24)*('Match Log'!$A$4:$A$810&lt;=$J81)),'Match Log'!$N$4:$N$810),NA()))</f>
        <v>1054.7322046090017</v>
      </c>
      <c r="T81">
        <f>IF($J81&gt;MAX('Match Log'!$A$4:$A$810),NA(),IFERROR(LOOKUP(2,1/(('Match Log'!$D$4:$D$810=$T$24)*('Match Log'!$A$4:$A$810&lt;=$J81)),'Match Log'!$N$4:$N$810),NA()))</f>
        <v>914.42496189230224</v>
      </c>
      <c r="U81">
        <f>IF($J81&gt;MAX('Match Log'!$A$4:$A$810),NA(),IFERROR(LOOKUP(2,1/(('Match Log'!$D$4:$D$810=$U$24)*('Match Log'!$A$4:$A$810&lt;=$J81)),'Match Log'!$N$4:$N$810),NA()))</f>
        <v>986.66509914651715</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975.33097176714045</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1122.1458342010349</v>
      </c>
      <c r="P82">
        <f>IF($J82&gt;MAX('Match Log'!$A$4:$A$810),NA(),IFERROR(LOOKUP(2,1/(('Match Log'!$D$4:$D$810=$P$24)*('Match Log'!$A$4:$A$810&lt;=$J82)),'Match Log'!$N$4:$N$810),NA()))</f>
        <v>1012.2562816449486</v>
      </c>
      <c r="Q82">
        <f>IF($J82&gt;MAX('Match Log'!$A$4:$A$810),NA(),IFERROR(LOOKUP(2,1/(('Match Log'!$D$4:$D$810=$Q$24)*('Match Log'!$A$4:$A$810&lt;=$J82)),'Match Log'!$N$4:$N$810),NA()))</f>
        <v>1004.2142857142857</v>
      </c>
      <c r="R82">
        <f>IF($J82&gt;MAX('Match Log'!$A$4:$A$810),NA(),IFERROR(LOOKUP(2,1/(('Match Log'!$D$4:$D$810=$R$24)*('Match Log'!$A$4:$A$810&lt;=$J82)),'Match Log'!$N$4:$N$810),NA()))</f>
        <v>974.92778705998126</v>
      </c>
      <c r="S82">
        <f>IF($J82&gt;MAX('Match Log'!$A$4:$A$810),NA(),IFERROR(LOOKUP(2,1/(('Match Log'!$D$4:$D$810=$S$24)*('Match Log'!$A$4:$A$810&lt;=$J82)),'Match Log'!$N$4:$N$810),NA()))</f>
        <v>1073.9709662208836</v>
      </c>
      <c r="T82">
        <f>IF($J82&gt;MAX('Match Log'!$A$4:$A$810),NA(),IFERROR(LOOKUP(2,1/(('Match Log'!$D$4:$D$810=$T$24)*('Match Log'!$A$4:$A$810&lt;=$J82)),'Match Log'!$N$4:$N$810),NA()))</f>
        <v>914.42496189230224</v>
      </c>
      <c r="U82">
        <f>IF($J82&gt;MAX('Match Log'!$A$4:$A$810),NA(),IFERROR(LOOKUP(2,1/(('Match Log'!$D$4:$D$810=$U$24)*('Match Log'!$A$4:$A$810&lt;=$J82)),'Match Log'!$N$4:$N$810),NA()))</f>
        <v>986.66509914651715</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975.33097176714045</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1122.1458342010349</v>
      </c>
      <c r="P83">
        <f>IF($J83&gt;MAX('Match Log'!$A$4:$A$810),NA(),IFERROR(LOOKUP(2,1/(('Match Log'!$D$4:$D$810=$P$24)*('Match Log'!$A$4:$A$810&lt;=$J83)),'Match Log'!$N$4:$N$810),NA()))</f>
        <v>1012.2562816449486</v>
      </c>
      <c r="Q83">
        <f>IF($J83&gt;MAX('Match Log'!$A$4:$A$810),NA(),IFERROR(LOOKUP(2,1/(('Match Log'!$D$4:$D$810=$Q$24)*('Match Log'!$A$4:$A$810&lt;=$J83)),'Match Log'!$N$4:$N$810),NA()))</f>
        <v>1026.5608547405914</v>
      </c>
      <c r="R83">
        <f>IF($J83&gt;MAX('Match Log'!$A$4:$A$810),NA(),IFERROR(LOOKUP(2,1/(('Match Log'!$D$4:$D$810=$R$24)*('Match Log'!$A$4:$A$810&lt;=$J83)),'Match Log'!$N$4:$N$810),NA()))</f>
        <v>974.92778705998126</v>
      </c>
      <c r="S83">
        <f>IF($J83&gt;MAX('Match Log'!$A$4:$A$810),NA(),IFERROR(LOOKUP(2,1/(('Match Log'!$D$4:$D$810=$S$24)*('Match Log'!$A$4:$A$810&lt;=$J83)),'Match Log'!$N$4:$N$810),NA()))</f>
        <v>1073.9709662208836</v>
      </c>
      <c r="T83">
        <f>IF($J83&gt;MAX('Match Log'!$A$4:$A$810),NA(),IFERROR(LOOKUP(2,1/(('Match Log'!$D$4:$D$810=$T$24)*('Match Log'!$A$4:$A$810&lt;=$J83)),'Match Log'!$N$4:$N$810),NA()))</f>
        <v>914.42496189230224</v>
      </c>
      <c r="U83">
        <f>IF($J83&gt;MAX('Match Log'!$A$4:$A$810),NA(),IFERROR(LOOKUP(2,1/(('Match Log'!$D$4:$D$810=$U$24)*('Match Log'!$A$4:$A$810&lt;=$J83)),'Match Log'!$N$4:$N$810),NA()))</f>
        <v>986.66509914651715</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994.55452889075195</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1122.1458342010349</v>
      </c>
      <c r="P84">
        <f>IF($J84&gt;MAX('Match Log'!$A$4:$A$810),NA(),IFERROR(LOOKUP(2,1/(('Match Log'!$D$4:$D$810=$P$24)*('Match Log'!$A$4:$A$810&lt;=$J84)),'Match Log'!$N$4:$N$810),NA()))</f>
        <v>1012.2562816449486</v>
      </c>
      <c r="Q84">
        <f>IF($J84&gt;MAX('Match Log'!$A$4:$A$810),NA(),IFERROR(LOOKUP(2,1/(('Match Log'!$D$4:$D$810=$Q$24)*('Match Log'!$A$4:$A$810&lt;=$J84)),'Match Log'!$N$4:$N$810),NA()))</f>
        <v>1026.5608547405914</v>
      </c>
      <c r="R84">
        <f>IF($J84&gt;MAX('Match Log'!$A$4:$A$810),NA(),IFERROR(LOOKUP(2,1/(('Match Log'!$D$4:$D$810=$R$24)*('Match Log'!$A$4:$A$810&lt;=$J84)),'Match Log'!$N$4:$N$810),NA()))</f>
        <v>974.92778705998126</v>
      </c>
      <c r="S84">
        <f>IF($J84&gt;MAX('Match Log'!$A$4:$A$810),NA(),IFERROR(LOOKUP(2,1/(('Match Log'!$D$4:$D$810=$S$24)*('Match Log'!$A$4:$A$810&lt;=$J84)),'Match Log'!$N$4:$N$810),NA()))</f>
        <v>1073.9709662208836</v>
      </c>
      <c r="T84">
        <f>IF($J84&gt;MAX('Match Log'!$A$4:$A$810),NA(),IFERROR(LOOKUP(2,1/(('Match Log'!$D$4:$D$810=$T$24)*('Match Log'!$A$4:$A$810&lt;=$J84)),'Match Log'!$N$4:$N$810),NA()))</f>
        <v>895.20140476869074</v>
      </c>
      <c r="U84">
        <f>IF($J84&gt;MAX('Match Log'!$A$4:$A$810),NA(),IFERROR(LOOKUP(2,1/(('Match Log'!$D$4:$D$810=$U$24)*('Match Log'!$A$4:$A$810&lt;=$J84)),'Match Log'!$N$4:$N$810),NA()))</f>
        <v>986.66509914651715</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994.55452889075195</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1122.1458342010349</v>
      </c>
      <c r="P85">
        <f>IF($J85&gt;MAX('Match Log'!$A$4:$A$810),NA(),IFERROR(LOOKUP(2,1/(('Match Log'!$D$4:$D$810=$P$24)*('Match Log'!$A$4:$A$810&lt;=$J85)),'Match Log'!$N$4:$N$810),NA()))</f>
        <v>988.19417301284341</v>
      </c>
      <c r="Q85">
        <f>IF($J85&gt;MAX('Match Log'!$A$4:$A$810),NA(),IFERROR(LOOKUP(2,1/(('Match Log'!$D$4:$D$810=$Q$24)*('Match Log'!$A$4:$A$810&lt;=$J85)),'Match Log'!$N$4:$N$810),NA()))</f>
        <v>1026.5608547405914</v>
      </c>
      <c r="R85">
        <f>IF($J85&gt;MAX('Match Log'!$A$4:$A$810),NA(),IFERROR(LOOKUP(2,1/(('Match Log'!$D$4:$D$810=$R$24)*('Match Log'!$A$4:$A$810&lt;=$J85)),'Match Log'!$N$4:$N$810),NA()))</f>
        <v>974.92778705998126</v>
      </c>
      <c r="S85">
        <f>IF($J85&gt;MAX('Match Log'!$A$4:$A$810),NA(),IFERROR(LOOKUP(2,1/(('Match Log'!$D$4:$D$810=$S$24)*('Match Log'!$A$4:$A$810&lt;=$J85)),'Match Log'!$N$4:$N$810),NA()))</f>
        <v>1073.9709662208836</v>
      </c>
      <c r="T85">
        <f>IF($J85&gt;MAX('Match Log'!$A$4:$A$810),NA(),IFERROR(LOOKUP(2,1/(('Match Log'!$D$4:$D$810=$T$24)*('Match Log'!$A$4:$A$810&lt;=$J85)),'Match Log'!$N$4:$N$810),NA()))</f>
        <v>895.20140476869074</v>
      </c>
      <c r="U85">
        <f>IF($J85&gt;MAX('Match Log'!$A$4:$A$810),NA(),IFERROR(LOOKUP(2,1/(('Match Log'!$D$4:$D$810=$U$24)*('Match Log'!$A$4:$A$810&lt;=$J85)),'Match Log'!$N$4:$N$810),NA()))</f>
        <v>1010.7272077786223</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994.55452889075195</v>
      </c>
      <c r="M86">
        <f>IF($J86&gt;MAX('Match Log'!$A$4:$A$810),NA(),IFERROR(LOOKUP(2,1/(('Match Log'!$D$4:$D$810=$M$24)*('Match Log'!$A$4:$A$810&lt;=$J86)),'Match Log'!$N$4:$N$810),NA()))</f>
        <v>1000.0398229848671</v>
      </c>
      <c r="N86">
        <f>IF($J86&gt;MAX('Match Log'!$A$4:$A$810),NA(),IFERROR(LOOKUP(2,1/(('Match Log'!$D$4:$D$810=$N$24)*('Match Log'!$A$4:$A$810&lt;=$J86)),'Match Log'!$N$4:$N$810),NA()))</f>
        <v>951.2737556356999</v>
      </c>
      <c r="O86">
        <f>IF($J86&gt;MAX('Match Log'!$A$4:$A$810),NA(),IFERROR(LOOKUP(2,1/(('Match Log'!$D$4:$D$810=$O$24)*('Match Log'!$A$4:$A$810&lt;=$J86)),'Match Log'!$N$4:$N$810),NA()))</f>
        <v>1122.1458342010349</v>
      </c>
      <c r="P86">
        <f>IF($J86&gt;MAX('Match Log'!$A$4:$A$810),NA(),IFERROR(LOOKUP(2,1/(('Match Log'!$D$4:$D$810=$P$24)*('Match Log'!$A$4:$A$810&lt;=$J86)),'Match Log'!$N$4:$N$810),NA()))</f>
        <v>988.19417301284341</v>
      </c>
      <c r="Q86">
        <f>IF($J86&gt;MAX('Match Log'!$A$4:$A$810),NA(),IFERROR(LOOKUP(2,1/(('Match Log'!$D$4:$D$810=$Q$24)*('Match Log'!$A$4:$A$810&lt;=$J86)),'Match Log'!$N$4:$N$810),NA()))</f>
        <v>1026.5608547405914</v>
      </c>
      <c r="R86">
        <f>IF($J86&gt;MAX('Match Log'!$A$4:$A$810),NA(),IFERROR(LOOKUP(2,1/(('Match Log'!$D$4:$D$810=$R$24)*('Match Log'!$A$4:$A$810&lt;=$J86)),'Match Log'!$N$4:$N$810),NA()))</f>
        <v>974.92778705998126</v>
      </c>
      <c r="S86">
        <f>IF($J86&gt;MAX('Match Log'!$A$4:$A$810),NA(),IFERROR(LOOKUP(2,1/(('Match Log'!$D$4:$D$810=$S$24)*('Match Log'!$A$4:$A$810&lt;=$J86)),'Match Log'!$N$4:$N$810),NA()))</f>
        <v>1092.0378539776184</v>
      </c>
      <c r="T86">
        <f>IF($J86&gt;MAX('Match Log'!$A$4:$A$810),NA(),IFERROR(LOOKUP(2,1/(('Match Log'!$D$4:$D$810=$T$24)*('Match Log'!$A$4:$A$810&lt;=$J86)),'Match Log'!$N$4:$N$810),NA()))</f>
        <v>895.20140476869074</v>
      </c>
      <c r="U86">
        <f>IF($J86&gt;MAX('Match Log'!$A$4:$A$810),NA(),IFERROR(LOOKUP(2,1/(('Match Log'!$D$4:$D$810=$U$24)*('Match Log'!$A$4:$A$810&lt;=$J86)),'Match Log'!$N$4:$N$810),NA()))</f>
        <v>1010.7272077786223</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994.55452889075195</v>
      </c>
      <c r="M87">
        <f>IF($J87&gt;MAX('Match Log'!$A$4:$A$810),NA(),IFERROR(LOOKUP(2,1/(('Match Log'!$D$4:$D$810=$M$24)*('Match Log'!$A$4:$A$810&lt;=$J87)),'Match Log'!$N$4:$N$810),NA()))</f>
        <v>1000.0398229848671</v>
      </c>
      <c r="N87">
        <f>IF($J87&gt;MAX('Match Log'!$A$4:$A$810),NA(),IFERROR(LOOKUP(2,1/(('Match Log'!$D$4:$D$810=$N$24)*('Match Log'!$A$4:$A$810&lt;=$J87)),'Match Log'!$N$4:$N$810),NA()))</f>
        <v>951.2737556356999</v>
      </c>
      <c r="O87">
        <f>IF($J87&gt;MAX('Match Log'!$A$4:$A$810),NA(),IFERROR(LOOKUP(2,1/(('Match Log'!$D$4:$D$810=$O$24)*('Match Log'!$A$4:$A$810&lt;=$J87)),'Match Log'!$N$4:$N$810),NA()))</f>
        <v>1122.1458342010349</v>
      </c>
      <c r="P87">
        <f>IF($J87&gt;MAX('Match Log'!$A$4:$A$810),NA(),IFERROR(LOOKUP(2,1/(('Match Log'!$D$4:$D$810=$P$24)*('Match Log'!$A$4:$A$810&lt;=$J87)),'Match Log'!$N$4:$N$810),NA()))</f>
        <v>988.19417301284341</v>
      </c>
      <c r="Q87">
        <f>IF($J87&gt;MAX('Match Log'!$A$4:$A$810),NA(),IFERROR(LOOKUP(2,1/(('Match Log'!$D$4:$D$810=$Q$24)*('Match Log'!$A$4:$A$810&lt;=$J87)),'Match Log'!$N$4:$N$810),NA()))</f>
        <v>1047.9647947853223</v>
      </c>
      <c r="R87">
        <f>IF($J87&gt;MAX('Match Log'!$A$4:$A$810),NA(),IFERROR(LOOKUP(2,1/(('Match Log'!$D$4:$D$810=$R$24)*('Match Log'!$A$4:$A$810&lt;=$J87)),'Match Log'!$N$4:$N$810),NA()))</f>
        <v>974.92778705998126</v>
      </c>
      <c r="S87">
        <f>IF($J87&gt;MAX('Match Log'!$A$4:$A$810),NA(),IFERROR(LOOKUP(2,1/(('Match Log'!$D$4:$D$810=$S$24)*('Match Log'!$A$4:$A$810&lt;=$J87)),'Match Log'!$N$4:$N$810),NA()))</f>
        <v>1092.0378539776184</v>
      </c>
      <c r="T87">
        <f>IF($J87&gt;MAX('Match Log'!$A$4:$A$810),NA(),IFERROR(LOOKUP(2,1/(('Match Log'!$D$4:$D$810=$T$24)*('Match Log'!$A$4:$A$810&lt;=$J87)),'Match Log'!$N$4:$N$810),NA()))</f>
        <v>895.20140476869074</v>
      </c>
      <c r="U87">
        <f>IF($J87&gt;MAX('Match Log'!$A$4:$A$810),NA(),IFERROR(LOOKUP(2,1/(('Match Log'!$D$4:$D$810=$U$24)*('Match Log'!$A$4:$A$810&lt;=$J87)),'Match Log'!$N$4:$N$810),NA()))</f>
        <v>989.32326773389138</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994.55452889075195</v>
      </c>
      <c r="M88">
        <f>IF($J88&gt;MAX('Match Log'!$A$4:$A$810),NA(),IFERROR(LOOKUP(2,1/(('Match Log'!$D$4:$D$810=$M$24)*('Match Log'!$A$4:$A$810&lt;=$J88)),'Match Log'!$N$4:$N$810),NA()))</f>
        <v>1016.7837867075796</v>
      </c>
      <c r="N88">
        <f>IF($J88&gt;MAX('Match Log'!$A$4:$A$810),NA(),IFERROR(LOOKUP(2,1/(('Match Log'!$D$4:$D$810=$N$24)*('Match Log'!$A$4:$A$810&lt;=$J88)),'Match Log'!$N$4:$N$810),NA()))</f>
        <v>951.2737556356999</v>
      </c>
      <c r="O88">
        <f>IF($J88&gt;MAX('Match Log'!$A$4:$A$810),NA(),IFERROR(LOOKUP(2,1/(('Match Log'!$D$4:$D$810=$O$24)*('Match Log'!$A$4:$A$810&lt;=$J88)),'Match Log'!$N$4:$N$810),NA()))</f>
        <v>1122.1458342010349</v>
      </c>
      <c r="P88">
        <f>IF($J88&gt;MAX('Match Log'!$A$4:$A$810),NA(),IFERROR(LOOKUP(2,1/(('Match Log'!$D$4:$D$810=$P$24)*('Match Log'!$A$4:$A$810&lt;=$J88)),'Match Log'!$N$4:$N$810),NA()))</f>
        <v>988.19417301284341</v>
      </c>
      <c r="Q88">
        <f>IF($J88&gt;MAX('Match Log'!$A$4:$A$810),NA(),IFERROR(LOOKUP(2,1/(('Match Log'!$D$4:$D$810=$Q$24)*('Match Log'!$A$4:$A$810&lt;=$J88)),'Match Log'!$N$4:$N$810),NA()))</f>
        <v>1047.9647947853223</v>
      </c>
      <c r="R88">
        <f>IF($J88&gt;MAX('Match Log'!$A$4:$A$810),NA(),IFERROR(LOOKUP(2,1/(('Match Log'!$D$4:$D$810=$R$24)*('Match Log'!$A$4:$A$810&lt;=$J88)),'Match Log'!$N$4:$N$810),NA()))</f>
        <v>974.92778705998126</v>
      </c>
      <c r="S88">
        <f>IF($J88&gt;MAX('Match Log'!$A$4:$A$810),NA(),IFERROR(LOOKUP(2,1/(('Match Log'!$D$4:$D$810=$S$24)*('Match Log'!$A$4:$A$810&lt;=$J88)),'Match Log'!$N$4:$N$810),NA()))</f>
        <v>1092.0378539776184</v>
      </c>
      <c r="T88">
        <f>IF($J88&gt;MAX('Match Log'!$A$4:$A$810),NA(),IFERROR(LOOKUP(2,1/(('Match Log'!$D$4:$D$810=$T$24)*('Match Log'!$A$4:$A$810&lt;=$J88)),'Match Log'!$N$4:$N$810),NA()))</f>
        <v>878.45744104597827</v>
      </c>
      <c r="U88">
        <f>IF($J88&gt;MAX('Match Log'!$A$4:$A$810),NA(),IFERROR(LOOKUP(2,1/(('Match Log'!$D$4:$D$810=$U$24)*('Match Log'!$A$4:$A$810&lt;=$J88)),'Match Log'!$N$4:$N$810),NA()))</f>
        <v>989.32326773389138</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994.55452889075195</v>
      </c>
      <c r="M89">
        <f>IF($J89&gt;MAX('Match Log'!$A$4:$A$810),NA(),IFERROR(LOOKUP(2,1/(('Match Log'!$D$4:$D$810=$M$24)*('Match Log'!$A$4:$A$810&lt;=$J89)),'Match Log'!$N$4:$N$810),NA()))</f>
        <v>1016.7837867075796</v>
      </c>
      <c r="N89">
        <f>IF($J89&gt;MAX('Match Log'!$A$4:$A$810),NA(),IFERROR(LOOKUP(2,1/(('Match Log'!$D$4:$D$810=$N$24)*('Match Log'!$A$4:$A$810&lt;=$J89)),'Match Log'!$N$4:$N$810),NA()))</f>
        <v>951.2737556356999</v>
      </c>
      <c r="O89">
        <f>IF($J89&gt;MAX('Match Log'!$A$4:$A$810),NA(),IFERROR(LOOKUP(2,1/(('Match Log'!$D$4:$D$810=$O$24)*('Match Log'!$A$4:$A$810&lt;=$J89)),'Match Log'!$N$4:$N$810),NA()))</f>
        <v>1122.1458342010349</v>
      </c>
      <c r="P89">
        <f>IF($J89&gt;MAX('Match Log'!$A$4:$A$810),NA(),IFERROR(LOOKUP(2,1/(('Match Log'!$D$4:$D$810=$P$24)*('Match Log'!$A$4:$A$810&lt;=$J89)),'Match Log'!$N$4:$N$810),NA()))</f>
        <v>988.19417301284341</v>
      </c>
      <c r="Q89">
        <f>IF($J89&gt;MAX('Match Log'!$A$4:$A$810),NA(),IFERROR(LOOKUP(2,1/(('Match Log'!$D$4:$D$810=$Q$24)*('Match Log'!$A$4:$A$810&lt;=$J89)),'Match Log'!$N$4:$N$810),NA()))</f>
        <v>1047.9647947853223</v>
      </c>
      <c r="R89">
        <f>IF($J89&gt;MAX('Match Log'!$A$4:$A$810),NA(),IFERROR(LOOKUP(2,1/(('Match Log'!$D$4:$D$810=$R$24)*('Match Log'!$A$4:$A$810&lt;=$J89)),'Match Log'!$N$4:$N$810),NA()))</f>
        <v>974.92778705998126</v>
      </c>
      <c r="S89">
        <f>IF($J89&gt;MAX('Match Log'!$A$4:$A$810),NA(),IFERROR(LOOKUP(2,1/(('Match Log'!$D$4:$D$810=$S$24)*('Match Log'!$A$4:$A$810&lt;=$J89)),'Match Log'!$N$4:$N$810),NA()))</f>
        <v>1092.0378539776184</v>
      </c>
      <c r="T89">
        <f>IF($J89&gt;MAX('Match Log'!$A$4:$A$810),NA(),IFERROR(LOOKUP(2,1/(('Match Log'!$D$4:$D$810=$T$24)*('Match Log'!$A$4:$A$810&lt;=$J89)),'Match Log'!$N$4:$N$810),NA()))</f>
        <v>906.43903736198956</v>
      </c>
      <c r="U89">
        <f>IF($J89&gt;MAX('Match Log'!$A$4:$A$810),NA(),IFERROR(LOOKUP(2,1/(('Match Log'!$D$4:$D$810=$U$24)*('Match Log'!$A$4:$A$810&lt;=$J89)),'Match Log'!$N$4:$N$810),NA()))</f>
        <v>961.34167141788009</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994.55452889075195</v>
      </c>
      <c r="M90">
        <f>IF($J90&gt;MAX('Match Log'!$A$4:$A$810),NA(),IFERROR(LOOKUP(2,1/(('Match Log'!$D$4:$D$810=$M$24)*('Match Log'!$A$4:$A$810&lt;=$J90)),'Match Log'!$N$4:$N$810),NA()))</f>
        <v>1016.7837867075796</v>
      </c>
      <c r="N90">
        <f>IF($J90&gt;MAX('Match Log'!$A$4:$A$810),NA(),IFERROR(LOOKUP(2,1/(('Match Log'!$D$4:$D$810=$N$24)*('Match Log'!$A$4:$A$810&lt;=$J90)),'Match Log'!$N$4:$N$810),NA()))</f>
        <v>951.2737556356999</v>
      </c>
      <c r="O90">
        <f>IF($J90&gt;MAX('Match Log'!$A$4:$A$810),NA(),IFERROR(LOOKUP(2,1/(('Match Log'!$D$4:$D$810=$O$24)*('Match Log'!$A$4:$A$810&lt;=$J90)),'Match Log'!$N$4:$N$810),NA()))</f>
        <v>1122.1458342010349</v>
      </c>
      <c r="P90">
        <f>IF($J90&gt;MAX('Match Log'!$A$4:$A$810),NA(),IFERROR(LOOKUP(2,1/(('Match Log'!$D$4:$D$810=$P$24)*('Match Log'!$A$4:$A$810&lt;=$J90)),'Match Log'!$N$4:$N$810),NA()))</f>
        <v>988.19417301284341</v>
      </c>
      <c r="Q90">
        <f>IF($J90&gt;MAX('Match Log'!$A$4:$A$810),NA(),IFERROR(LOOKUP(2,1/(('Match Log'!$D$4:$D$810=$Q$24)*('Match Log'!$A$4:$A$810&lt;=$J90)),'Match Log'!$N$4:$N$810),NA()))</f>
        <v>1064.7958892852189</v>
      </c>
      <c r="R90">
        <f>IF($J90&gt;MAX('Match Log'!$A$4:$A$810),NA(),IFERROR(LOOKUP(2,1/(('Match Log'!$D$4:$D$810=$R$24)*('Match Log'!$A$4:$A$810&lt;=$J90)),'Match Log'!$N$4:$N$810),NA()))</f>
        <v>974.92778705998126</v>
      </c>
      <c r="S90">
        <f>IF($J90&gt;MAX('Match Log'!$A$4:$A$810),NA(),IFERROR(LOOKUP(2,1/(('Match Log'!$D$4:$D$810=$S$24)*('Match Log'!$A$4:$A$810&lt;=$J90)),'Match Log'!$N$4:$N$810),NA()))</f>
        <v>1092.0378539776184</v>
      </c>
      <c r="T90">
        <f>IF($J90&gt;MAX('Match Log'!$A$4:$A$810),NA(),IFERROR(LOOKUP(2,1/(('Match Log'!$D$4:$D$810=$T$24)*('Match Log'!$A$4:$A$810&lt;=$J90)),'Match Log'!$N$4:$N$810),NA()))</f>
        <v>906.43903736198956</v>
      </c>
      <c r="U90">
        <f>IF($J90&gt;MAX('Match Log'!$A$4:$A$810),NA(),IFERROR(LOOKUP(2,1/(('Match Log'!$D$4:$D$810=$U$24)*('Match Log'!$A$4:$A$810&lt;=$J90)),'Match Log'!$N$4:$N$810),NA()))</f>
        <v>944.5105769179836</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994.55452889075195</v>
      </c>
      <c r="M91">
        <f>IF($J91&gt;MAX('Match Log'!$A$4:$A$810),NA(),IFERROR(LOOKUP(2,1/(('Match Log'!$D$4:$D$810=$M$24)*('Match Log'!$A$4:$A$810&lt;=$J91)),'Match Log'!$N$4:$N$810),NA()))</f>
        <v>1016.7837867075796</v>
      </c>
      <c r="N91">
        <f>IF($J91&gt;MAX('Match Log'!$A$4:$A$810),NA(),IFERROR(LOOKUP(2,1/(('Match Log'!$D$4:$D$810=$N$24)*('Match Log'!$A$4:$A$810&lt;=$J91)),'Match Log'!$N$4:$N$810),NA()))</f>
        <v>951.2737556356999</v>
      </c>
      <c r="O91">
        <f>IF($J91&gt;MAX('Match Log'!$A$4:$A$810),NA(),IFERROR(LOOKUP(2,1/(('Match Log'!$D$4:$D$810=$O$24)*('Match Log'!$A$4:$A$810&lt;=$J91)),'Match Log'!$N$4:$N$810),NA()))</f>
        <v>1122.1458342010349</v>
      </c>
      <c r="P91">
        <f>IF($J91&gt;MAX('Match Log'!$A$4:$A$810),NA(),IFERROR(LOOKUP(2,1/(('Match Log'!$D$4:$D$810=$P$24)*('Match Log'!$A$4:$A$810&lt;=$J91)),'Match Log'!$N$4:$N$810),NA()))</f>
        <v>988.19417301284341</v>
      </c>
      <c r="Q91">
        <f>IF($J91&gt;MAX('Match Log'!$A$4:$A$810),NA(),IFERROR(LOOKUP(2,1/(('Match Log'!$D$4:$D$810=$Q$24)*('Match Log'!$A$4:$A$810&lt;=$J91)),'Match Log'!$N$4:$N$810),NA()))</f>
        <v>1064.7958892852189</v>
      </c>
      <c r="R91">
        <f>IF($J91&gt;MAX('Match Log'!$A$4:$A$810),NA(),IFERROR(LOOKUP(2,1/(('Match Log'!$D$4:$D$810=$R$24)*('Match Log'!$A$4:$A$810&lt;=$J91)),'Match Log'!$N$4:$N$810),NA()))</f>
        <v>974.92778705998126</v>
      </c>
      <c r="S91">
        <f>IF($J91&gt;MAX('Match Log'!$A$4:$A$810),NA(),IFERROR(LOOKUP(2,1/(('Match Log'!$D$4:$D$810=$S$24)*('Match Log'!$A$4:$A$810&lt;=$J91)),'Match Log'!$N$4:$N$810),NA()))</f>
        <v>1092.0378539776184</v>
      </c>
      <c r="T91">
        <f>IF($J91&gt;MAX('Match Log'!$A$4:$A$810),NA(),IFERROR(LOOKUP(2,1/(('Match Log'!$D$4:$D$810=$T$24)*('Match Log'!$A$4:$A$810&lt;=$J91)),'Match Log'!$N$4:$N$810),NA()))</f>
        <v>928.77798338306945</v>
      </c>
      <c r="U91">
        <f>IF($J91&gt;MAX('Match Log'!$A$4:$A$810),NA(),IFERROR(LOOKUP(2,1/(('Match Log'!$D$4:$D$810=$U$24)*('Match Log'!$A$4:$A$810&lt;=$J91)),'Match Log'!$N$4:$N$810),NA()))</f>
        <v>922.17163089690371</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994.55452889075195</v>
      </c>
      <c r="M92">
        <f>IF($J92&gt;MAX('Match Log'!$A$4:$A$810),NA(),IFERROR(LOOKUP(2,1/(('Match Log'!$D$4:$D$810=$M$24)*('Match Log'!$A$4:$A$810&lt;=$J92)),'Match Log'!$N$4:$N$810),NA()))</f>
        <v>1016.7837867075796</v>
      </c>
      <c r="N92">
        <f>IF($J92&gt;MAX('Match Log'!$A$4:$A$810),NA(),IFERROR(LOOKUP(2,1/(('Match Log'!$D$4:$D$810=$N$24)*('Match Log'!$A$4:$A$810&lt;=$J92)),'Match Log'!$N$4:$N$810),NA()))</f>
        <v>951.2737556356999</v>
      </c>
      <c r="O92">
        <f>IF($J92&gt;MAX('Match Log'!$A$4:$A$810),NA(),IFERROR(LOOKUP(2,1/(('Match Log'!$D$4:$D$810=$O$24)*('Match Log'!$A$4:$A$810&lt;=$J92)),'Match Log'!$N$4:$N$810),NA()))</f>
        <v>1122.1458342010349</v>
      </c>
      <c r="P92">
        <f>IF($J92&gt;MAX('Match Log'!$A$4:$A$810),NA(),IFERROR(LOOKUP(2,1/(('Match Log'!$D$4:$D$810=$P$24)*('Match Log'!$A$4:$A$810&lt;=$J92)),'Match Log'!$N$4:$N$810),NA()))</f>
        <v>988.19417301284341</v>
      </c>
      <c r="Q92">
        <f>IF($J92&gt;MAX('Match Log'!$A$4:$A$810),NA(),IFERROR(LOOKUP(2,1/(('Match Log'!$D$4:$D$810=$Q$24)*('Match Log'!$A$4:$A$810&lt;=$J92)),'Match Log'!$N$4:$N$810),NA()))</f>
        <v>1081.084406649305</v>
      </c>
      <c r="R92">
        <f>IF($J92&gt;MAX('Match Log'!$A$4:$A$810),NA(),IFERROR(LOOKUP(2,1/(('Match Log'!$D$4:$D$810=$R$24)*('Match Log'!$A$4:$A$810&lt;=$J92)),'Match Log'!$N$4:$N$810),NA()))</f>
        <v>974.92778705998126</v>
      </c>
      <c r="S92">
        <f>IF($J92&gt;MAX('Match Log'!$A$4:$A$810),NA(),IFERROR(LOOKUP(2,1/(('Match Log'!$D$4:$D$810=$S$24)*('Match Log'!$A$4:$A$810&lt;=$J92)),'Match Log'!$N$4:$N$810),NA()))</f>
        <v>1092.0378539776184</v>
      </c>
      <c r="T92">
        <f>IF($J92&gt;MAX('Match Log'!$A$4:$A$810),NA(),IFERROR(LOOKUP(2,1/(('Match Log'!$D$4:$D$810=$T$24)*('Match Log'!$A$4:$A$810&lt;=$J92)),'Match Log'!$N$4:$N$810),NA()))</f>
        <v>912.48946601898319</v>
      </c>
      <c r="U92">
        <f>IF($J92&gt;MAX('Match Log'!$A$4:$A$810),NA(),IFERROR(LOOKUP(2,1/(('Match Log'!$D$4:$D$810=$U$24)*('Match Log'!$A$4:$A$810&lt;=$J92)),'Match Log'!$N$4:$N$810),NA()))</f>
        <v>922.17163089690371</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994.55452889075195</v>
      </c>
      <c r="M93">
        <f>IF($J93&gt;MAX('Match Log'!$A$4:$A$810),NA(),IFERROR(LOOKUP(2,1/(('Match Log'!$D$4:$D$810=$M$24)*('Match Log'!$A$4:$A$810&lt;=$J93)),'Match Log'!$N$4:$N$810),NA()))</f>
        <v>1016.7837867075796</v>
      </c>
      <c r="N93">
        <f>IF($J93&gt;MAX('Match Log'!$A$4:$A$810),NA(),IFERROR(LOOKUP(2,1/(('Match Log'!$D$4:$D$810=$N$24)*('Match Log'!$A$4:$A$810&lt;=$J93)),'Match Log'!$N$4:$N$810),NA()))</f>
        <v>951.2737556356999</v>
      </c>
      <c r="O93">
        <f>IF($J93&gt;MAX('Match Log'!$A$4:$A$810),NA(),IFERROR(LOOKUP(2,1/(('Match Log'!$D$4:$D$810=$O$24)*('Match Log'!$A$4:$A$810&lt;=$J93)),'Match Log'!$N$4:$N$810),NA()))</f>
        <v>1141.0979346657248</v>
      </c>
      <c r="P93">
        <f>IF($J93&gt;MAX('Match Log'!$A$4:$A$810),NA(),IFERROR(LOOKUP(2,1/(('Match Log'!$D$4:$D$810=$P$24)*('Match Log'!$A$4:$A$810&lt;=$J93)),'Match Log'!$N$4:$N$810),NA()))</f>
        <v>1006.1027952166637</v>
      </c>
      <c r="Q93">
        <f>IF($J93&gt;MAX('Match Log'!$A$4:$A$810),NA(),IFERROR(LOOKUP(2,1/(('Match Log'!$D$4:$D$810=$Q$24)*('Match Log'!$A$4:$A$810&lt;=$J93)),'Match Log'!$N$4:$N$810),NA()))</f>
        <v>1081.084406649305</v>
      </c>
      <c r="R93">
        <f>IF($J93&gt;MAX('Match Log'!$A$4:$A$810),NA(),IFERROR(LOOKUP(2,1/(('Match Log'!$D$4:$D$810=$R$24)*('Match Log'!$A$4:$A$810&lt;=$J93)),'Match Log'!$N$4:$N$810),NA()))</f>
        <v>972.5500158693128</v>
      </c>
      <c r="S93">
        <f>IF($J93&gt;MAX('Match Log'!$A$4:$A$810),NA(),IFERROR(LOOKUP(2,1/(('Match Log'!$D$4:$D$810=$S$24)*('Match Log'!$A$4:$A$810&lt;=$J93)),'Match Log'!$N$4:$N$810),NA()))</f>
        <v>1085.5549024997767</v>
      </c>
      <c r="T93">
        <f>IF($J93&gt;MAX('Match Log'!$A$4:$A$810),NA(),IFERROR(LOOKUP(2,1/(('Match Log'!$D$4:$D$810=$T$24)*('Match Log'!$A$4:$A$810&lt;=$J93)),'Match Log'!$N$4:$N$810),NA()))</f>
        <v>912.48946601898319</v>
      </c>
      <c r="U93">
        <f>IF($J93&gt;MAX('Match Log'!$A$4:$A$810),NA(),IFERROR(LOOKUP(2,1/(('Match Log'!$D$4:$D$810=$U$24)*('Match Log'!$A$4:$A$810&lt;=$J93)),'Match Log'!$N$4:$N$810),NA()))</f>
        <v>922.17163089690371</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994.55452889075195</v>
      </c>
      <c r="M94">
        <f>IF($J94&gt;MAX('Match Log'!$A$4:$A$810),NA(),IFERROR(LOOKUP(2,1/(('Match Log'!$D$4:$D$810=$M$24)*('Match Log'!$A$4:$A$810&lt;=$J94)),'Match Log'!$N$4:$N$810),NA()))</f>
        <v>1016.7837867075796</v>
      </c>
      <c r="N94">
        <f>IF($J94&gt;MAX('Match Log'!$A$4:$A$810),NA(),IFERROR(LOOKUP(2,1/(('Match Log'!$D$4:$D$810=$N$24)*('Match Log'!$A$4:$A$810&lt;=$J94)),'Match Log'!$N$4:$N$810),NA()))</f>
        <v>951.2737556356999</v>
      </c>
      <c r="O94">
        <f>IF($J94&gt;MAX('Match Log'!$A$4:$A$810),NA(),IFERROR(LOOKUP(2,1/(('Match Log'!$D$4:$D$810=$O$24)*('Match Log'!$A$4:$A$810&lt;=$J94)),'Match Log'!$N$4:$N$810),NA()))</f>
        <v>1135.6654540973088</v>
      </c>
      <c r="P94">
        <f>IF($J94&gt;MAX('Match Log'!$A$4:$A$810),NA(),IFERROR(LOOKUP(2,1/(('Match Log'!$D$4:$D$810=$P$24)*('Match Log'!$A$4:$A$810&lt;=$J94)),'Match Log'!$N$4:$N$810),NA()))</f>
        <v>1001.511291599808</v>
      </c>
      <c r="Q94">
        <f>IF($J94&gt;MAX('Match Log'!$A$4:$A$810),NA(),IFERROR(LOOKUP(2,1/(('Match Log'!$D$4:$D$810=$Q$24)*('Match Log'!$A$4:$A$810&lt;=$J94)),'Match Log'!$N$4:$N$810),NA()))</f>
        <v>1098.6157120466619</v>
      </c>
      <c r="R94">
        <f>IF($J94&gt;MAX('Match Log'!$A$4:$A$810),NA(),IFERROR(LOOKUP(2,1/(('Match Log'!$D$4:$D$810=$R$24)*('Match Log'!$A$4:$A$810&lt;=$J94)),'Match Log'!$N$4:$N$810),NA()))</f>
        <v>972.5500158693128</v>
      </c>
      <c r="S94">
        <f>IF($J94&gt;MAX('Match Log'!$A$4:$A$810),NA(),IFERROR(LOOKUP(2,1/(('Match Log'!$D$4:$D$810=$S$24)*('Match Log'!$A$4:$A$810&lt;=$J94)),'Match Log'!$N$4:$N$810),NA()))</f>
        <v>1085.5549024997767</v>
      </c>
      <c r="T94">
        <f>IF($J94&gt;MAX('Match Log'!$A$4:$A$810),NA(),IFERROR(LOOKUP(2,1/(('Match Log'!$D$4:$D$810=$T$24)*('Match Log'!$A$4:$A$810&lt;=$J94)),'Match Log'!$N$4:$N$810),NA()))</f>
        <v>912.48946601898319</v>
      </c>
      <c r="U94">
        <f>IF($J94&gt;MAX('Match Log'!$A$4:$A$810),NA(),IFERROR(LOOKUP(2,1/(('Match Log'!$D$4:$D$810=$U$24)*('Match Log'!$A$4:$A$810&lt;=$J94)),'Match Log'!$N$4:$N$810),NA()))</f>
        <v>942.66430968481859</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994.55452889075195</v>
      </c>
      <c r="M95">
        <f>IF($J95&gt;MAX('Match Log'!$A$4:$A$810),NA(),IFERROR(LOOKUP(2,1/(('Match Log'!$D$4:$D$810=$M$24)*('Match Log'!$A$4:$A$810&lt;=$J95)),'Match Log'!$N$4:$N$810),NA()))</f>
        <v>1016.7837867075796</v>
      </c>
      <c r="N95">
        <f>IF($J95&gt;MAX('Match Log'!$A$4:$A$810),NA(),IFERROR(LOOKUP(2,1/(('Match Log'!$D$4:$D$810=$N$24)*('Match Log'!$A$4:$A$810&lt;=$J95)),'Match Log'!$N$4:$N$810),NA()))</f>
        <v>948.03610321390011</v>
      </c>
      <c r="O95">
        <f>IF($J95&gt;MAX('Match Log'!$A$4:$A$810),NA(),IFERROR(LOOKUP(2,1/(('Match Log'!$D$4:$D$810=$O$24)*('Match Log'!$A$4:$A$810&lt;=$J95)),'Match Log'!$N$4:$N$810),NA()))</f>
        <v>1135.6654540973088</v>
      </c>
      <c r="P95">
        <f>IF($J95&gt;MAX('Match Log'!$A$4:$A$810),NA(),IFERROR(LOOKUP(2,1/(('Match Log'!$D$4:$D$810=$P$24)*('Match Log'!$A$4:$A$810&lt;=$J95)),'Match Log'!$N$4:$N$810),NA()))</f>
        <v>1001.511291599808</v>
      </c>
      <c r="Q95">
        <f>IF($J95&gt;MAX('Match Log'!$A$4:$A$810),NA(),IFERROR(LOOKUP(2,1/(('Match Log'!$D$4:$D$810=$Q$24)*('Match Log'!$A$4:$A$810&lt;=$J95)),'Match Log'!$N$4:$N$810),NA()))</f>
        <v>1114.821738548716</v>
      </c>
      <c r="R95">
        <f>IF($J95&gt;MAX('Match Log'!$A$4:$A$810),NA(),IFERROR(LOOKUP(2,1/(('Match Log'!$D$4:$D$810=$R$24)*('Match Log'!$A$4:$A$810&lt;=$J95)),'Match Log'!$N$4:$N$810),NA()))</f>
        <v>972.5500158693128</v>
      </c>
      <c r="S95">
        <f>IF($J95&gt;MAX('Match Log'!$A$4:$A$810),NA(),IFERROR(LOOKUP(2,1/(('Match Log'!$D$4:$D$810=$S$24)*('Match Log'!$A$4:$A$810&lt;=$J95)),'Match Log'!$N$4:$N$810),NA()))</f>
        <v>1085.5549024997767</v>
      </c>
      <c r="T95">
        <f>IF($J95&gt;MAX('Match Log'!$A$4:$A$810),NA(),IFERROR(LOOKUP(2,1/(('Match Log'!$D$4:$D$810=$T$24)*('Match Log'!$A$4:$A$810&lt;=$J95)),'Match Log'!$N$4:$N$810),NA()))</f>
        <v>912.48946601898319</v>
      </c>
      <c r="U95">
        <f>IF($J95&gt;MAX('Match Log'!$A$4:$A$810),NA(),IFERROR(LOOKUP(2,1/(('Match Log'!$D$4:$D$810=$U$24)*('Match Log'!$A$4:$A$810&lt;=$J95)),'Match Log'!$N$4:$N$810),NA()))</f>
        <v>961.46233618687268</v>
      </c>
      <c r="V95">
        <f>IF($J95&gt;MAX('Match Log'!$A$4:$A$810),NA(),IFERROR(LOOKUP(2,1/(('Match Log'!$D$4:$D$810=$V$24)*('Match Log'!$A$4:$A$810&lt;=$J95)),'Match Log'!$N$4:$N$810),NA()))</f>
        <v>996.23359941769172</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1023.7594026829813</v>
      </c>
      <c r="L96">
        <f>IF($J96&gt;MAX('Match Log'!$A$4:$A$810),NA(),IFERROR(LOOKUP(2,1/(('Match Log'!$D$4:$D$810=$L$24)*('Match Log'!$A$4:$A$810&lt;=$J96)),'Match Log'!$N$4:$N$810),NA()))</f>
        <v>994.55452889075195</v>
      </c>
      <c r="M96">
        <f>IF($J96&gt;MAX('Match Log'!$A$4:$A$810),NA(),IFERROR(LOOKUP(2,1/(('Match Log'!$D$4:$D$810=$M$24)*('Match Log'!$A$4:$A$810&lt;=$J96)),'Match Log'!$N$4:$N$810),NA()))</f>
        <v>1016.7837867075796</v>
      </c>
      <c r="N96">
        <f>IF($J96&gt;MAX('Match Log'!$A$4:$A$810),NA(),IFERROR(LOOKUP(2,1/(('Match Log'!$D$4:$D$810=$N$24)*('Match Log'!$A$4:$A$810&lt;=$J96)),'Match Log'!$N$4:$N$810),NA()))</f>
        <v>948.03610321390011</v>
      </c>
      <c r="O96">
        <f>IF($J96&gt;MAX('Match Log'!$A$4:$A$810),NA(),IFERROR(LOOKUP(2,1/(('Match Log'!$D$4:$D$810=$O$24)*('Match Log'!$A$4:$A$810&lt;=$J96)),'Match Log'!$N$4:$N$810),NA()))</f>
        <v>1135.6654540973088</v>
      </c>
      <c r="P96">
        <f>IF($J96&gt;MAX('Match Log'!$A$4:$A$810),NA(),IFERROR(LOOKUP(2,1/(('Match Log'!$D$4:$D$810=$P$24)*('Match Log'!$A$4:$A$810&lt;=$J96)),'Match Log'!$N$4:$N$810),NA()))</f>
        <v>1001.511291599808</v>
      </c>
      <c r="Q96">
        <f>IF($J96&gt;MAX('Match Log'!$A$4:$A$810),NA(),IFERROR(LOOKUP(2,1/(('Match Log'!$D$4:$D$810=$Q$24)*('Match Log'!$A$4:$A$810&lt;=$J96)),'Match Log'!$N$4:$N$810),NA()))</f>
        <v>1130.1917963276956</v>
      </c>
      <c r="R96">
        <f>IF($J96&gt;MAX('Match Log'!$A$4:$A$810),NA(),IFERROR(LOOKUP(2,1/(('Match Log'!$D$4:$D$810=$R$24)*('Match Log'!$A$4:$A$810&lt;=$J96)),'Match Log'!$N$4:$N$810),NA()))</f>
        <v>972.5500158693128</v>
      </c>
      <c r="S96">
        <f>IF($J96&gt;MAX('Match Log'!$A$4:$A$810),NA(),IFERROR(LOOKUP(2,1/(('Match Log'!$D$4:$D$810=$S$24)*('Match Log'!$A$4:$A$810&lt;=$J96)),'Match Log'!$N$4:$N$810),NA()))</f>
        <v>1085.5549024997767</v>
      </c>
      <c r="T96">
        <f>IF($J96&gt;MAX('Match Log'!$A$4:$A$810),NA(),IFERROR(LOOKUP(2,1/(('Match Log'!$D$4:$D$810=$T$24)*('Match Log'!$A$4:$A$810&lt;=$J96)),'Match Log'!$N$4:$N$810),NA()))</f>
        <v>909.74082601830435</v>
      </c>
      <c r="U96">
        <f>IF($J96&gt;MAX('Match Log'!$A$4:$A$810),NA(),IFERROR(LOOKUP(2,1/(('Match Log'!$D$4:$D$810=$U$24)*('Match Log'!$A$4:$A$810&lt;=$J96)),'Match Log'!$N$4:$N$810),NA()))</f>
        <v>979.4182926748889</v>
      </c>
      <c r="V96">
        <f>IF($J96&gt;MAX('Match Log'!$A$4:$A$810),NA(),IFERROR(LOOKUP(2,1/(('Match Log'!$D$4:$D$810=$V$24)*('Match Log'!$A$4:$A$810&lt;=$J96)),'Match Log'!$N$4:$N$810),NA()))</f>
        <v>996.23359941769172</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1023.7594026829813</v>
      </c>
      <c r="L97">
        <f>IF($J97&gt;MAX('Match Log'!$A$4:$A$810),NA(),IFERROR(LOOKUP(2,1/(('Match Log'!$D$4:$D$810=$L$24)*('Match Log'!$A$4:$A$810&lt;=$J97)),'Match Log'!$N$4:$N$810),NA()))</f>
        <v>1013.2951826648067</v>
      </c>
      <c r="M97">
        <f>IF($J97&gt;MAX('Match Log'!$A$4:$A$810),NA(),IFERROR(LOOKUP(2,1/(('Match Log'!$D$4:$D$810=$M$24)*('Match Log'!$A$4:$A$810&lt;=$J97)),'Match Log'!$N$4:$N$810),NA()))</f>
        <v>1016.7837867075796</v>
      </c>
      <c r="N97">
        <f>IF($J97&gt;MAX('Match Log'!$A$4:$A$810),NA(),IFERROR(LOOKUP(2,1/(('Match Log'!$D$4:$D$810=$N$24)*('Match Log'!$A$4:$A$810&lt;=$J97)),'Match Log'!$N$4:$N$810),NA()))</f>
        <v>948.03610321390011</v>
      </c>
      <c r="O97">
        <f>IF($J97&gt;MAX('Match Log'!$A$4:$A$810),NA(),IFERROR(LOOKUP(2,1/(('Match Log'!$D$4:$D$810=$O$24)*('Match Log'!$A$4:$A$810&lt;=$J97)),'Match Log'!$N$4:$N$810),NA()))</f>
        <v>1135.6654540973088</v>
      </c>
      <c r="P97">
        <f>IF($J97&gt;MAX('Match Log'!$A$4:$A$810),NA(),IFERROR(LOOKUP(2,1/(('Match Log'!$D$4:$D$810=$P$24)*('Match Log'!$A$4:$A$810&lt;=$J97)),'Match Log'!$N$4:$N$810),NA()))</f>
        <v>1001.511291599808</v>
      </c>
      <c r="Q97">
        <f>IF($J97&gt;MAX('Match Log'!$A$4:$A$810),NA(),IFERROR(LOOKUP(2,1/(('Match Log'!$D$4:$D$810=$Q$24)*('Match Log'!$A$4:$A$810&lt;=$J97)),'Match Log'!$N$4:$N$810),NA()))</f>
        <v>1123.212203398283</v>
      </c>
      <c r="R97">
        <f>IF($J97&gt;MAX('Match Log'!$A$4:$A$810),NA(),IFERROR(LOOKUP(2,1/(('Match Log'!$D$4:$D$810=$R$24)*('Match Log'!$A$4:$A$810&lt;=$J97)),'Match Log'!$N$4:$N$810),NA()))</f>
        <v>972.5500158693128</v>
      </c>
      <c r="S97">
        <f>IF($J97&gt;MAX('Match Log'!$A$4:$A$810),NA(),IFERROR(LOOKUP(2,1/(('Match Log'!$D$4:$D$810=$S$24)*('Match Log'!$A$4:$A$810&lt;=$J97)),'Match Log'!$N$4:$N$810),NA()))</f>
        <v>1085.5549024997767</v>
      </c>
      <c r="T97">
        <f>IF($J97&gt;MAX('Match Log'!$A$4:$A$810),NA(),IFERROR(LOOKUP(2,1/(('Match Log'!$D$4:$D$810=$T$24)*('Match Log'!$A$4:$A$810&lt;=$J97)),'Match Log'!$N$4:$N$810),NA()))</f>
        <v>909.74082601830435</v>
      </c>
      <c r="U97">
        <f>IF($J97&gt;MAX('Match Log'!$A$4:$A$810),NA(),IFERROR(LOOKUP(2,1/(('Match Log'!$D$4:$D$810=$U$24)*('Match Log'!$A$4:$A$810&lt;=$J97)),'Match Log'!$N$4:$N$810),NA()))</f>
        <v>976.13396936053971</v>
      </c>
      <c r="V97">
        <f>IF($J97&gt;MAX('Match Log'!$A$4:$A$810),NA(),IFERROR(LOOKUP(2,1/(('Match Log'!$D$4:$D$810=$V$24)*('Match Log'!$A$4:$A$810&lt;=$J97)),'Match Log'!$N$4:$N$810),NA()))</f>
        <v>996.23359941769172</v>
      </c>
      <c r="W97">
        <f>IF($J97&gt;MAX('Match Log'!$A$4:$A$810),NA(),IFERROR(LOOKUP(2,1/(('Match Log'!$D$4:$D$810=$W$24)*('Match Log'!$A$4:$A$810&lt;=$J97)),'Match Log'!$N$4:$N$810),NA()))</f>
        <v>1019.523262469707</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1023.7594026829813</v>
      </c>
      <c r="L98">
        <f>IF($J98&gt;MAX('Match Log'!$A$4:$A$810),NA(),IFERROR(LOOKUP(2,1/(('Match Log'!$D$4:$D$810=$L$24)*('Match Log'!$A$4:$A$810&lt;=$J98)),'Match Log'!$N$4:$N$810),NA()))</f>
        <v>1008.4472093066528</v>
      </c>
      <c r="M98">
        <f>IF($J98&gt;MAX('Match Log'!$A$4:$A$810),NA(),IFERROR(LOOKUP(2,1/(('Match Log'!$D$4:$D$810=$M$24)*('Match Log'!$A$4:$A$810&lt;=$J98)),'Match Log'!$N$4:$N$810),NA()))</f>
        <v>1016.7837867075796</v>
      </c>
      <c r="N98">
        <f>IF($J98&gt;MAX('Match Log'!$A$4:$A$810),NA(),IFERROR(LOOKUP(2,1/(('Match Log'!$D$4:$D$810=$N$24)*('Match Log'!$A$4:$A$810&lt;=$J98)),'Match Log'!$N$4:$N$810),NA()))</f>
        <v>948.03610321390011</v>
      </c>
      <c r="O98">
        <f>IF($J98&gt;MAX('Match Log'!$A$4:$A$810),NA(),IFERROR(LOOKUP(2,1/(('Match Log'!$D$4:$D$810=$O$24)*('Match Log'!$A$4:$A$810&lt;=$J98)),'Match Log'!$N$4:$N$810),NA()))</f>
        <v>1154.5683744118867</v>
      </c>
      <c r="P98">
        <f>IF($J98&gt;MAX('Match Log'!$A$4:$A$810),NA(),IFERROR(LOOKUP(2,1/(('Match Log'!$D$4:$D$810=$P$24)*('Match Log'!$A$4:$A$810&lt;=$J98)),'Match Log'!$N$4:$N$810),NA()))</f>
        <v>1019.8962263028751</v>
      </c>
      <c r="Q98">
        <f>IF($J98&gt;MAX('Match Log'!$A$4:$A$810),NA(),IFERROR(LOOKUP(2,1/(('Match Log'!$D$4:$D$810=$Q$24)*('Match Log'!$A$4:$A$810&lt;=$J98)),'Match Log'!$N$4:$N$810),NA()))</f>
        <v>1123.212203398283</v>
      </c>
      <c r="R98">
        <f>IF($J98&gt;MAX('Match Log'!$A$4:$A$810),NA(),IFERROR(LOOKUP(2,1/(('Match Log'!$D$4:$D$810=$R$24)*('Match Log'!$A$4:$A$810&lt;=$J98)),'Match Log'!$N$4:$N$810),NA()))</f>
        <v>972.5500158693128</v>
      </c>
      <c r="S98">
        <f>IF($J98&gt;MAX('Match Log'!$A$4:$A$810),NA(),IFERROR(LOOKUP(2,1/(('Match Log'!$D$4:$D$810=$S$24)*('Match Log'!$A$4:$A$810&lt;=$J98)),'Match Log'!$N$4:$N$810),NA()))</f>
        <v>1085.5549024997767</v>
      </c>
      <c r="T98">
        <f>IF($J98&gt;MAX('Match Log'!$A$4:$A$810),NA(),IFERROR(LOOKUP(2,1/(('Match Log'!$D$4:$D$810=$T$24)*('Match Log'!$A$4:$A$810&lt;=$J98)),'Match Log'!$N$4:$N$810),NA()))</f>
        <v>909.74082601830435</v>
      </c>
      <c r="U98">
        <f>IF($J98&gt;MAX('Match Log'!$A$4:$A$810),NA(),IFERROR(LOOKUP(2,1/(('Match Log'!$D$4:$D$810=$U$24)*('Match Log'!$A$4:$A$810&lt;=$J98)),'Match Log'!$N$4:$N$810),NA()))</f>
        <v>976.13396936053971</v>
      </c>
      <c r="V98">
        <f>IF($J98&gt;MAX('Match Log'!$A$4:$A$810),NA(),IFERROR(LOOKUP(2,1/(('Match Log'!$D$4:$D$810=$V$24)*('Match Log'!$A$4:$A$810&lt;=$J98)),'Match Log'!$N$4:$N$810),NA()))</f>
        <v>996.23359941769172</v>
      </c>
      <c r="W98">
        <f>IF($J98&gt;MAX('Match Log'!$A$4:$A$810),NA(),IFERROR(LOOKUP(2,1/(('Match Log'!$D$4:$D$810=$W$24)*('Match Log'!$A$4:$A$810&lt;=$J98)),'Match Log'!$N$4:$N$810),NA()))</f>
        <v>1015.0833808102159</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1023.7594026829813</v>
      </c>
      <c r="L99">
        <f>IF($J99&gt;MAX('Match Log'!$A$4:$A$810),NA(),IFERROR(LOOKUP(2,1/(('Match Log'!$D$4:$D$810=$L$24)*('Match Log'!$A$4:$A$810&lt;=$J99)),'Match Log'!$N$4:$N$810),NA()))</f>
        <v>1008.4472093066528</v>
      </c>
      <c r="M99">
        <f>IF($J99&gt;MAX('Match Log'!$A$4:$A$810),NA(),IFERROR(LOOKUP(2,1/(('Match Log'!$D$4:$D$810=$M$24)*('Match Log'!$A$4:$A$810&lt;=$J99)),'Match Log'!$N$4:$N$810),NA()))</f>
        <v>1016.7837867075796</v>
      </c>
      <c r="N99">
        <f>IF($J99&gt;MAX('Match Log'!$A$4:$A$810),NA(),IFERROR(LOOKUP(2,1/(('Match Log'!$D$4:$D$810=$N$24)*('Match Log'!$A$4:$A$810&lt;=$J99)),'Match Log'!$N$4:$N$810),NA()))</f>
        <v>948.03610321390011</v>
      </c>
      <c r="O99">
        <f>IF($J99&gt;MAX('Match Log'!$A$4:$A$810),NA(),IFERROR(LOOKUP(2,1/(('Match Log'!$D$4:$D$810=$O$24)*('Match Log'!$A$4:$A$810&lt;=$J99)),'Match Log'!$N$4:$N$810),NA()))</f>
        <v>1149.159920014753</v>
      </c>
      <c r="P99">
        <f>IF($J99&gt;MAX('Match Log'!$A$4:$A$810),NA(),IFERROR(LOOKUP(2,1/(('Match Log'!$D$4:$D$810=$P$24)*('Match Log'!$A$4:$A$810&lt;=$J99)),'Match Log'!$N$4:$N$810),NA()))</f>
        <v>1015.0898285777957</v>
      </c>
      <c r="Q99">
        <f>IF($J99&gt;MAX('Match Log'!$A$4:$A$810),NA(),IFERROR(LOOKUP(2,1/(('Match Log'!$D$4:$D$810=$Q$24)*('Match Log'!$A$4:$A$810&lt;=$J99)),'Match Log'!$N$4:$N$810),NA()))</f>
        <v>1123.212203398283</v>
      </c>
      <c r="R99">
        <f>IF($J99&gt;MAX('Match Log'!$A$4:$A$810),NA(),IFERROR(LOOKUP(2,1/(('Match Log'!$D$4:$D$810=$R$24)*('Match Log'!$A$4:$A$810&lt;=$J99)),'Match Log'!$N$4:$N$810),NA()))</f>
        <v>992.75037873339329</v>
      </c>
      <c r="S99">
        <f>IF($J99&gt;MAX('Match Log'!$A$4:$A$810),NA(),IFERROR(LOOKUP(2,1/(('Match Log'!$D$4:$D$810=$S$24)*('Match Log'!$A$4:$A$810&lt;=$J99)),'Match Log'!$N$4:$N$810),NA()))</f>
        <v>1103.5693917579094</v>
      </c>
      <c r="T99">
        <f>IF($J99&gt;MAX('Match Log'!$A$4:$A$810),NA(),IFERROR(LOOKUP(2,1/(('Match Log'!$D$4:$D$810=$T$24)*('Match Log'!$A$4:$A$810&lt;=$J99)),'Match Log'!$N$4:$N$810),NA()))</f>
        <v>909.74082601830435</v>
      </c>
      <c r="U99">
        <f>IF($J99&gt;MAX('Match Log'!$A$4:$A$810),NA(),IFERROR(LOOKUP(2,1/(('Match Log'!$D$4:$D$810=$U$24)*('Match Log'!$A$4:$A$810&lt;=$J99)),'Match Log'!$N$4:$N$810),NA()))</f>
        <v>976.13396936053971</v>
      </c>
      <c r="V99">
        <f>IF($J99&gt;MAX('Match Log'!$A$4:$A$810),NA(),IFERROR(LOOKUP(2,1/(('Match Log'!$D$4:$D$810=$V$24)*('Match Log'!$A$4:$A$810&lt;=$J99)),'Match Log'!$N$4:$N$810),NA()))</f>
        <v>996.23359941769172</v>
      </c>
      <c r="W99">
        <f>IF($J99&gt;MAX('Match Log'!$A$4:$A$810),NA(),IFERROR(LOOKUP(2,1/(('Match Log'!$D$4:$D$810=$W$24)*('Match Log'!$A$4:$A$810&lt;=$J99)),'Match Log'!$N$4:$N$810),NA()))</f>
        <v>1015.0833808102159</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1023.7594026829813</v>
      </c>
      <c r="L100">
        <f>IF($J100&gt;MAX('Match Log'!$A$4:$A$810),NA(),IFERROR(LOOKUP(2,1/(('Match Log'!$D$4:$D$810=$L$24)*('Match Log'!$A$4:$A$810&lt;=$J100)),'Match Log'!$N$4:$N$810),NA()))</f>
        <v>1008.4472093066528</v>
      </c>
      <c r="M100">
        <f>IF($J100&gt;MAX('Match Log'!$A$4:$A$810),NA(),IFERROR(LOOKUP(2,1/(('Match Log'!$D$4:$D$810=$M$24)*('Match Log'!$A$4:$A$810&lt;=$J100)),'Match Log'!$N$4:$N$810),NA()))</f>
        <v>1016.7837867075796</v>
      </c>
      <c r="N100">
        <f>IF($J100&gt;MAX('Match Log'!$A$4:$A$810),NA(),IFERROR(LOOKUP(2,1/(('Match Log'!$D$4:$D$810=$N$24)*('Match Log'!$A$4:$A$810&lt;=$J100)),'Match Log'!$N$4:$N$810),NA()))</f>
        <v>945.02062066151154</v>
      </c>
      <c r="O100">
        <f>IF($J100&gt;MAX('Match Log'!$A$4:$A$810),NA(),IFERROR(LOOKUP(2,1/(('Match Log'!$D$4:$D$810=$O$24)*('Match Log'!$A$4:$A$810&lt;=$J100)),'Match Log'!$N$4:$N$810),NA()))</f>
        <v>1149.159920014753</v>
      </c>
      <c r="P100">
        <f>IF($J100&gt;MAX('Match Log'!$A$4:$A$810),NA(),IFERROR(LOOKUP(2,1/(('Match Log'!$D$4:$D$810=$P$24)*('Match Log'!$A$4:$A$810&lt;=$J100)),'Match Log'!$N$4:$N$810),NA()))</f>
        <v>1015.0898285777957</v>
      </c>
      <c r="Q100">
        <f>IF($J100&gt;MAX('Match Log'!$A$4:$A$810),NA(),IFERROR(LOOKUP(2,1/(('Match Log'!$D$4:$D$810=$Q$24)*('Match Log'!$A$4:$A$810&lt;=$J100)),'Match Log'!$N$4:$N$810),NA()))</f>
        <v>1123.212203398283</v>
      </c>
      <c r="R100">
        <f>IF($J100&gt;MAX('Match Log'!$A$4:$A$810),NA(),IFERROR(LOOKUP(2,1/(('Match Log'!$D$4:$D$810=$R$24)*('Match Log'!$A$4:$A$810&lt;=$J100)),'Match Log'!$N$4:$N$810),NA()))</f>
        <v>1010.6611047417879</v>
      </c>
      <c r="S100">
        <f>IF($J100&gt;MAX('Match Log'!$A$4:$A$810),NA(),IFERROR(LOOKUP(2,1/(('Match Log'!$D$4:$D$810=$S$24)*('Match Log'!$A$4:$A$810&lt;=$J100)),'Match Log'!$N$4:$N$810),NA()))</f>
        <v>1119.7023399885263</v>
      </c>
      <c r="T100">
        <f>IF($J100&gt;MAX('Match Log'!$A$4:$A$810),NA(),IFERROR(LOOKUP(2,1/(('Match Log'!$D$4:$D$810=$T$24)*('Match Log'!$A$4:$A$810&lt;=$J100)),'Match Log'!$N$4:$N$810),NA()))</f>
        <v>909.74082601830435</v>
      </c>
      <c r="U100">
        <f>IF($J100&gt;MAX('Match Log'!$A$4:$A$810),NA(),IFERROR(LOOKUP(2,1/(('Match Log'!$D$4:$D$810=$U$24)*('Match Log'!$A$4:$A$810&lt;=$J100)),'Match Log'!$N$4:$N$810),NA()))</f>
        <v>976.13396936053971</v>
      </c>
      <c r="V100">
        <f>IF($J100&gt;MAX('Match Log'!$A$4:$A$810),NA(),IFERROR(LOOKUP(2,1/(('Match Log'!$D$4:$D$810=$V$24)*('Match Log'!$A$4:$A$810&lt;=$J100)),'Match Log'!$N$4:$N$810),NA()))</f>
        <v>993.20540773106882</v>
      </c>
      <c r="W100">
        <f>IF($J100&gt;MAX('Match Log'!$A$4:$A$810),NA(),IFERROR(LOOKUP(2,1/(('Match Log'!$D$4:$D$810=$W$24)*('Match Log'!$A$4:$A$810&lt;=$J100)),'Match Log'!$N$4:$N$810),NA()))</f>
        <v>1015.0833808102159</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1021.6686831011822</v>
      </c>
      <c r="L101">
        <f>IF($J101&gt;MAX('Match Log'!$A$4:$A$810),NA(),IFERROR(LOOKUP(2,1/(('Match Log'!$D$4:$D$810=$L$24)*('Match Log'!$A$4:$A$810&lt;=$J101)),'Match Log'!$N$4:$N$810),NA()))</f>
        <v>1008.4472093066528</v>
      </c>
      <c r="M101">
        <f>IF($J101&gt;MAX('Match Log'!$A$4:$A$810),NA(),IFERROR(LOOKUP(2,1/(('Match Log'!$D$4:$D$810=$M$24)*('Match Log'!$A$4:$A$810&lt;=$J101)),'Match Log'!$N$4:$N$810),NA()))</f>
        <v>1016.7837867075796</v>
      </c>
      <c r="N101">
        <f>IF($J101&gt;MAX('Match Log'!$A$4:$A$810),NA(),IFERROR(LOOKUP(2,1/(('Match Log'!$D$4:$D$810=$N$24)*('Match Log'!$A$4:$A$810&lt;=$J101)),'Match Log'!$N$4:$N$810),NA()))</f>
        <v>945.02062066151154</v>
      </c>
      <c r="O101">
        <f>IF($J101&gt;MAX('Match Log'!$A$4:$A$810),NA(),IFERROR(LOOKUP(2,1/(('Match Log'!$D$4:$D$810=$O$24)*('Match Log'!$A$4:$A$810&lt;=$J101)),'Match Log'!$N$4:$N$810),NA()))</f>
        <v>1149.159920014753</v>
      </c>
      <c r="P101">
        <f>IF($J101&gt;MAX('Match Log'!$A$4:$A$810),NA(),IFERROR(LOOKUP(2,1/(('Match Log'!$D$4:$D$810=$P$24)*('Match Log'!$A$4:$A$810&lt;=$J101)),'Match Log'!$N$4:$N$810),NA()))</f>
        <v>1015.0898285777957</v>
      </c>
      <c r="Q101">
        <f>IF($J101&gt;MAX('Match Log'!$A$4:$A$810),NA(),IFERROR(LOOKUP(2,1/(('Match Log'!$D$4:$D$810=$Q$24)*('Match Log'!$A$4:$A$810&lt;=$J101)),'Match Log'!$N$4:$N$810),NA()))</f>
        <v>1123.212203398283</v>
      </c>
      <c r="R101">
        <f>IF($J101&gt;MAX('Match Log'!$A$4:$A$810),NA(),IFERROR(LOOKUP(2,1/(('Match Log'!$D$4:$D$810=$R$24)*('Match Log'!$A$4:$A$810&lt;=$J101)),'Match Log'!$N$4:$N$810),NA()))</f>
        <v>1027.6724515565552</v>
      </c>
      <c r="S101">
        <f>IF($J101&gt;MAX('Match Log'!$A$4:$A$810),NA(),IFERROR(LOOKUP(2,1/(('Match Log'!$D$4:$D$810=$S$24)*('Match Log'!$A$4:$A$810&lt;=$J101)),'Match Log'!$N$4:$N$810),NA()))</f>
        <v>1135.2765610547908</v>
      </c>
      <c r="T101">
        <f>IF($J101&gt;MAX('Match Log'!$A$4:$A$810),NA(),IFERROR(LOOKUP(2,1/(('Match Log'!$D$4:$D$810=$T$24)*('Match Log'!$A$4:$A$810&lt;=$J101)),'Match Log'!$N$4:$N$810),NA()))</f>
        <v>907.24597771907167</v>
      </c>
      <c r="U101">
        <f>IF($J101&gt;MAX('Match Log'!$A$4:$A$810),NA(),IFERROR(LOOKUP(2,1/(('Match Log'!$D$4:$D$810=$U$24)*('Match Log'!$A$4:$A$810&lt;=$J101)),'Match Log'!$N$4:$N$810),NA()))</f>
        <v>976.13396936053971</v>
      </c>
      <c r="V101">
        <f>IF($J101&gt;MAX('Match Log'!$A$4:$A$810),NA(),IFERROR(LOOKUP(2,1/(('Match Log'!$D$4:$D$810=$V$24)*('Match Log'!$A$4:$A$810&lt;=$J101)),'Match Log'!$N$4:$N$810),NA()))</f>
        <v>993.20540773106882</v>
      </c>
      <c r="W101">
        <f>IF($J101&gt;MAX('Match Log'!$A$4:$A$810),NA(),IFERROR(LOOKUP(2,1/(('Match Log'!$D$4:$D$810=$W$24)*('Match Log'!$A$4:$A$810&lt;=$J101)),'Match Log'!$N$4:$N$810),NA()))</f>
        <v>1015.0833808102159</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1021.6686831011822</v>
      </c>
      <c r="L102">
        <f>IF($J102&gt;MAX('Match Log'!$A$4:$A$810),NA(),IFERROR(LOOKUP(2,1/(('Match Log'!$D$4:$D$810=$L$24)*('Match Log'!$A$4:$A$810&lt;=$J102)),'Match Log'!$N$4:$N$810),NA()))</f>
        <v>1027.3576150733875</v>
      </c>
      <c r="M102">
        <f>IF($J102&gt;MAX('Match Log'!$A$4:$A$810),NA(),IFERROR(LOOKUP(2,1/(('Match Log'!$D$4:$D$810=$M$24)*('Match Log'!$A$4:$A$810&lt;=$J102)),'Match Log'!$N$4:$N$810),NA()))</f>
        <v>1016.7837867075796</v>
      </c>
      <c r="N102">
        <f>IF($J102&gt;MAX('Match Log'!$A$4:$A$810),NA(),IFERROR(LOOKUP(2,1/(('Match Log'!$D$4:$D$810=$N$24)*('Match Log'!$A$4:$A$810&lt;=$J102)),'Match Log'!$N$4:$N$810),NA()))</f>
        <v>945.02062066151154</v>
      </c>
      <c r="O102">
        <f>IF($J102&gt;MAX('Match Log'!$A$4:$A$810),NA(),IFERROR(LOOKUP(2,1/(('Match Log'!$D$4:$D$810=$O$24)*('Match Log'!$A$4:$A$810&lt;=$J102)),'Match Log'!$N$4:$N$810),NA()))</f>
        <v>1149.159920014753</v>
      </c>
      <c r="P102">
        <f>IF($J102&gt;MAX('Match Log'!$A$4:$A$810),NA(),IFERROR(LOOKUP(2,1/(('Match Log'!$D$4:$D$810=$P$24)*('Match Log'!$A$4:$A$810&lt;=$J102)),'Match Log'!$N$4:$N$810),NA()))</f>
        <v>1015.0898285777957</v>
      </c>
      <c r="Q102">
        <f>IF($J102&gt;MAX('Match Log'!$A$4:$A$810),NA(),IFERROR(LOOKUP(2,1/(('Match Log'!$D$4:$D$810=$Q$24)*('Match Log'!$A$4:$A$810&lt;=$J102)),'Match Log'!$N$4:$N$810),NA()))</f>
        <v>1123.212203398283</v>
      </c>
      <c r="R102">
        <f>IF($J102&gt;MAX('Match Log'!$A$4:$A$810),NA(),IFERROR(LOOKUP(2,1/(('Match Log'!$D$4:$D$810=$R$24)*('Match Log'!$A$4:$A$810&lt;=$J102)),'Match Log'!$N$4:$N$810),NA()))</f>
        <v>1023.5101510255264</v>
      </c>
      <c r="S102">
        <f>IF($J102&gt;MAX('Match Log'!$A$4:$A$810),NA(),IFERROR(LOOKUP(2,1/(('Match Log'!$D$4:$D$810=$S$24)*('Match Log'!$A$4:$A$810&lt;=$J102)),'Match Log'!$N$4:$N$810),NA()))</f>
        <v>1129.1224748311113</v>
      </c>
      <c r="T102">
        <f>IF($J102&gt;MAX('Match Log'!$A$4:$A$810),NA(),IFERROR(LOOKUP(2,1/(('Match Log'!$D$4:$D$810=$T$24)*('Match Log'!$A$4:$A$810&lt;=$J102)),'Match Log'!$N$4:$N$810),NA()))</f>
        <v>907.24597771907167</v>
      </c>
      <c r="U102">
        <f>IF($J102&gt;MAX('Match Log'!$A$4:$A$810),NA(),IFERROR(LOOKUP(2,1/(('Match Log'!$D$4:$D$810=$U$24)*('Match Log'!$A$4:$A$810&lt;=$J102)),'Match Log'!$N$4:$N$810),NA()))</f>
        <v>976.13396936053971</v>
      </c>
      <c r="V102">
        <f>IF($J102&gt;MAX('Match Log'!$A$4:$A$810),NA(),IFERROR(LOOKUP(2,1/(('Match Log'!$D$4:$D$810=$V$24)*('Match Log'!$A$4:$A$810&lt;=$J102)),'Match Log'!$N$4:$N$810),NA()))</f>
        <v>993.20540773106882</v>
      </c>
      <c r="W102">
        <f>IF($J102&gt;MAX('Match Log'!$A$4:$A$810),NA(),IFERROR(LOOKUP(2,1/(('Match Log'!$D$4:$D$810=$W$24)*('Match Log'!$A$4:$A$810&lt;=$J102)),'Match Log'!$N$4:$N$810),NA()))</f>
        <v>1034.4893617981895</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1021.6686831011822</v>
      </c>
      <c r="L103">
        <f>IF($J103&gt;MAX('Match Log'!$A$4:$A$810),NA(),IFERROR(LOOKUP(2,1/(('Match Log'!$D$4:$D$810=$L$24)*('Match Log'!$A$4:$A$810&lt;=$J103)),'Match Log'!$N$4:$N$810),NA()))</f>
        <v>1022.9168011819886</v>
      </c>
      <c r="M103">
        <f>IF($J103&gt;MAX('Match Log'!$A$4:$A$810),NA(),IFERROR(LOOKUP(2,1/(('Match Log'!$D$4:$D$810=$M$24)*('Match Log'!$A$4:$A$810&lt;=$J103)),'Match Log'!$N$4:$N$810),NA()))</f>
        <v>1016.7837867075796</v>
      </c>
      <c r="N103">
        <f>IF($J103&gt;MAX('Match Log'!$A$4:$A$810),NA(),IFERROR(LOOKUP(2,1/(('Match Log'!$D$4:$D$810=$N$24)*('Match Log'!$A$4:$A$810&lt;=$J103)),'Match Log'!$N$4:$N$810),NA()))</f>
        <v>945.02062066151154</v>
      </c>
      <c r="O103">
        <f>IF($J103&gt;MAX('Match Log'!$A$4:$A$810),NA(),IFERROR(LOOKUP(2,1/(('Match Log'!$D$4:$D$810=$O$24)*('Match Log'!$A$4:$A$810&lt;=$J103)),'Match Log'!$N$4:$N$810),NA()))</f>
        <v>1149.159920014753</v>
      </c>
      <c r="P103">
        <f>IF($J103&gt;MAX('Match Log'!$A$4:$A$810),NA(),IFERROR(LOOKUP(2,1/(('Match Log'!$D$4:$D$810=$P$24)*('Match Log'!$A$4:$A$810&lt;=$J103)),'Match Log'!$N$4:$N$810),NA()))</f>
        <v>1015.0898285777957</v>
      </c>
      <c r="Q103">
        <f>IF($J103&gt;MAX('Match Log'!$A$4:$A$810),NA(),IFERROR(LOOKUP(2,1/(('Match Log'!$D$4:$D$810=$Q$24)*('Match Log'!$A$4:$A$810&lt;=$J103)),'Match Log'!$N$4:$N$810),NA()))</f>
        <v>1140.664376689045</v>
      </c>
      <c r="R103">
        <f>IF($J103&gt;MAX('Match Log'!$A$4:$A$810),NA(),IFERROR(LOOKUP(2,1/(('Match Log'!$D$4:$D$810=$R$24)*('Match Log'!$A$4:$A$810&lt;=$J103)),'Match Log'!$N$4:$N$810),NA()))</f>
        <v>1023.5101510255264</v>
      </c>
      <c r="S103">
        <f>IF($J103&gt;MAX('Match Log'!$A$4:$A$810),NA(),IFERROR(LOOKUP(2,1/(('Match Log'!$D$4:$D$810=$S$24)*('Match Log'!$A$4:$A$810&lt;=$J103)),'Match Log'!$N$4:$N$810),NA()))</f>
        <v>1129.1224748311113</v>
      </c>
      <c r="T103">
        <f>IF($J103&gt;MAX('Match Log'!$A$4:$A$810),NA(),IFERROR(LOOKUP(2,1/(('Match Log'!$D$4:$D$810=$T$24)*('Match Log'!$A$4:$A$810&lt;=$J103)),'Match Log'!$N$4:$N$810),NA()))</f>
        <v>907.24597771907167</v>
      </c>
      <c r="U103">
        <f>IF($J103&gt;MAX('Match Log'!$A$4:$A$810),NA(),IFERROR(LOOKUP(2,1/(('Match Log'!$D$4:$D$810=$U$24)*('Match Log'!$A$4:$A$810&lt;=$J103)),'Match Log'!$N$4:$N$810),NA()))</f>
        <v>995.23037342053249</v>
      </c>
      <c r="V103">
        <f>IF($J103&gt;MAX('Match Log'!$A$4:$A$810),NA(),IFERROR(LOOKUP(2,1/(('Match Log'!$D$4:$D$810=$V$24)*('Match Log'!$A$4:$A$810&lt;=$J103)),'Match Log'!$N$4:$N$810),NA()))</f>
        <v>993.20540773106882</v>
      </c>
      <c r="W103">
        <f>IF($J103&gt;MAX('Match Log'!$A$4:$A$810),NA(),IFERROR(LOOKUP(2,1/(('Match Log'!$D$4:$D$810=$W$24)*('Match Log'!$A$4:$A$810&lt;=$J103)),'Match Log'!$N$4:$N$810),NA()))</f>
        <v>1030.3815983388336</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1021.6686831011822</v>
      </c>
      <c r="L104">
        <f>IF($J104&gt;MAX('Match Log'!$A$4:$A$810),NA(),IFERROR(LOOKUP(2,1/(('Match Log'!$D$4:$D$810=$L$24)*('Match Log'!$A$4:$A$810&lt;=$J104)),'Match Log'!$N$4:$N$810),NA()))</f>
        <v>1022.9168011819886</v>
      </c>
      <c r="M104">
        <f>IF($J104&gt;MAX('Match Log'!$A$4:$A$810),NA(),IFERROR(LOOKUP(2,1/(('Match Log'!$D$4:$D$810=$M$24)*('Match Log'!$A$4:$A$810&lt;=$J104)),'Match Log'!$N$4:$N$810),NA()))</f>
        <v>1016.7837867075796</v>
      </c>
      <c r="N104">
        <f>IF($J104&gt;MAX('Match Log'!$A$4:$A$810),NA(),IFERROR(LOOKUP(2,1/(('Match Log'!$D$4:$D$810=$N$24)*('Match Log'!$A$4:$A$810&lt;=$J104)),'Match Log'!$N$4:$N$810),NA()))</f>
        <v>945.02062066151154</v>
      </c>
      <c r="O104">
        <f>IF($J104&gt;MAX('Match Log'!$A$4:$A$810),NA(),IFERROR(LOOKUP(2,1/(('Match Log'!$D$4:$D$810=$O$24)*('Match Log'!$A$4:$A$810&lt;=$J104)),'Match Log'!$N$4:$N$810),NA()))</f>
        <v>1168.2168229142774</v>
      </c>
      <c r="P104">
        <f>IF($J104&gt;MAX('Match Log'!$A$4:$A$810),NA(),IFERROR(LOOKUP(2,1/(('Match Log'!$D$4:$D$810=$P$24)*('Match Log'!$A$4:$A$810&lt;=$J104)),'Match Log'!$N$4:$N$810),NA()))</f>
        <v>1033.7652285871466</v>
      </c>
      <c r="Q104">
        <f>IF($J104&gt;MAX('Match Log'!$A$4:$A$810),NA(),IFERROR(LOOKUP(2,1/(('Match Log'!$D$4:$D$810=$Q$24)*('Match Log'!$A$4:$A$810&lt;=$J104)),'Match Log'!$N$4:$N$810),NA()))</f>
        <v>1134.0440793414489</v>
      </c>
      <c r="R104">
        <f>IF($J104&gt;MAX('Match Log'!$A$4:$A$810),NA(),IFERROR(LOOKUP(2,1/(('Match Log'!$D$4:$D$810=$R$24)*('Match Log'!$A$4:$A$810&lt;=$J104)),'Match Log'!$N$4:$N$810),NA()))</f>
        <v>1023.5101510255264</v>
      </c>
      <c r="S104">
        <f>IF($J104&gt;MAX('Match Log'!$A$4:$A$810),NA(),IFERROR(LOOKUP(2,1/(('Match Log'!$D$4:$D$810=$S$24)*('Match Log'!$A$4:$A$810&lt;=$J104)),'Match Log'!$N$4:$N$810),NA()))</f>
        <v>1129.1224748311113</v>
      </c>
      <c r="T104">
        <f>IF($J104&gt;MAX('Match Log'!$A$4:$A$810),NA(),IFERROR(LOOKUP(2,1/(('Match Log'!$D$4:$D$810=$T$24)*('Match Log'!$A$4:$A$810&lt;=$J104)),'Match Log'!$N$4:$N$810),NA()))</f>
        <v>907.24597771907167</v>
      </c>
      <c r="U104">
        <f>IF($J104&gt;MAX('Match Log'!$A$4:$A$810),NA(),IFERROR(LOOKUP(2,1/(('Match Log'!$D$4:$D$810=$U$24)*('Match Log'!$A$4:$A$810&lt;=$J104)),'Match Log'!$N$4:$N$810),NA()))</f>
        <v>992.11836785925334</v>
      </c>
      <c r="V104">
        <f>IF($J104&gt;MAX('Match Log'!$A$4:$A$810),NA(),IFERROR(LOOKUP(2,1/(('Match Log'!$D$4:$D$810=$V$24)*('Match Log'!$A$4:$A$810&lt;=$J104)),'Match Log'!$N$4:$N$810),NA()))</f>
        <v>993.20540773106882</v>
      </c>
      <c r="W104">
        <f>IF($J104&gt;MAX('Match Log'!$A$4:$A$810),NA(),IFERROR(LOOKUP(2,1/(('Match Log'!$D$4:$D$810=$W$24)*('Match Log'!$A$4:$A$810&lt;=$J104)),'Match Log'!$N$4:$N$810),NA()))</f>
        <v>1030.3815983388336</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1021.6686831011822</v>
      </c>
      <c r="L105">
        <f>IF($J105&gt;MAX('Match Log'!$A$4:$A$810),NA(),IFERROR(LOOKUP(2,1/(('Match Log'!$D$4:$D$810=$L$24)*('Match Log'!$A$4:$A$810&lt;=$J105)),'Match Log'!$N$4:$N$810),NA()))</f>
        <v>1022.9168011819886</v>
      </c>
      <c r="M105">
        <f>IF($J105&gt;MAX('Match Log'!$A$4:$A$810),NA(),IFERROR(LOOKUP(2,1/(('Match Log'!$D$4:$D$810=$M$24)*('Match Log'!$A$4:$A$810&lt;=$J105)),'Match Log'!$N$4:$N$810),NA()))</f>
        <v>1016.7837867075796</v>
      </c>
      <c r="N105">
        <f>IF($J105&gt;MAX('Match Log'!$A$4:$A$810),NA(),IFERROR(LOOKUP(2,1/(('Match Log'!$D$4:$D$810=$N$24)*('Match Log'!$A$4:$A$810&lt;=$J105)),'Match Log'!$N$4:$N$810),NA()))</f>
        <v>945.02062066151154</v>
      </c>
      <c r="O105">
        <f>IF($J105&gt;MAX('Match Log'!$A$4:$A$810),NA(),IFERROR(LOOKUP(2,1/(('Match Log'!$D$4:$D$810=$O$24)*('Match Log'!$A$4:$A$810&lt;=$J105)),'Match Log'!$N$4:$N$810),NA()))</f>
        <v>1163.6944202317491</v>
      </c>
      <c r="P105">
        <f>IF($J105&gt;MAX('Match Log'!$A$4:$A$810),NA(),IFERROR(LOOKUP(2,1/(('Match Log'!$D$4:$D$810=$P$24)*('Match Log'!$A$4:$A$810&lt;=$J105)),'Match Log'!$N$4:$N$810),NA()))</f>
        <v>1029.7715942913092</v>
      </c>
      <c r="Q105">
        <f>IF($J105&gt;MAX('Match Log'!$A$4:$A$810),NA(),IFERROR(LOOKUP(2,1/(('Match Log'!$D$4:$D$810=$Q$24)*('Match Log'!$A$4:$A$810&lt;=$J105)),'Match Log'!$N$4:$N$810),NA()))</f>
        <v>1134.0440793414489</v>
      </c>
      <c r="R105">
        <f>IF($J105&gt;MAX('Match Log'!$A$4:$A$810),NA(),IFERROR(LOOKUP(2,1/(('Match Log'!$D$4:$D$810=$R$24)*('Match Log'!$A$4:$A$810&lt;=$J105)),'Match Log'!$N$4:$N$810),NA()))</f>
        <v>1042.2181695147092</v>
      </c>
      <c r="S105">
        <f>IF($J105&gt;MAX('Match Log'!$A$4:$A$810),NA(),IFERROR(LOOKUP(2,1/(('Match Log'!$D$4:$D$810=$S$24)*('Match Log'!$A$4:$A$810&lt;=$J105)),'Match Log'!$N$4:$N$810),NA()))</f>
        <v>1146.9304933202941</v>
      </c>
      <c r="T105">
        <f>IF($J105&gt;MAX('Match Log'!$A$4:$A$810),NA(),IFERROR(LOOKUP(2,1/(('Match Log'!$D$4:$D$810=$T$24)*('Match Log'!$A$4:$A$810&lt;=$J105)),'Match Log'!$N$4:$N$810),NA()))</f>
        <v>907.24597771907167</v>
      </c>
      <c r="U105">
        <f>IF($J105&gt;MAX('Match Log'!$A$4:$A$810),NA(),IFERROR(LOOKUP(2,1/(('Match Log'!$D$4:$D$810=$U$24)*('Match Log'!$A$4:$A$810&lt;=$J105)),'Match Log'!$N$4:$N$810),NA()))</f>
        <v>992.11836785925334</v>
      </c>
      <c r="V105">
        <f>IF($J105&gt;MAX('Match Log'!$A$4:$A$810),NA(),IFERROR(LOOKUP(2,1/(('Match Log'!$D$4:$D$810=$V$24)*('Match Log'!$A$4:$A$810&lt;=$J105)),'Match Log'!$N$4:$N$810),NA()))</f>
        <v>993.20540773106882</v>
      </c>
      <c r="W105">
        <f>IF($J105&gt;MAX('Match Log'!$A$4:$A$810),NA(),IFERROR(LOOKUP(2,1/(('Match Log'!$D$4:$D$810=$W$24)*('Match Log'!$A$4:$A$810&lt;=$J105)),'Match Log'!$N$4:$N$810),NA()))</f>
        <v>1030.3815983388336</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1021.6686831011822</v>
      </c>
      <c r="L106">
        <f>IF($J106&gt;MAX('Match Log'!$A$4:$A$810),NA(),IFERROR(LOOKUP(2,1/(('Match Log'!$D$4:$D$810=$L$24)*('Match Log'!$A$4:$A$810&lt;=$J106)),'Match Log'!$N$4:$N$810),NA()))</f>
        <v>1022.9168011819886</v>
      </c>
      <c r="M106">
        <f>IF($J106&gt;MAX('Match Log'!$A$4:$A$810),NA(),IFERROR(LOOKUP(2,1/(('Match Log'!$D$4:$D$810=$M$24)*('Match Log'!$A$4:$A$810&lt;=$J106)),'Match Log'!$N$4:$N$810),NA()))</f>
        <v>1016.7837867075796</v>
      </c>
      <c r="N106">
        <f>IF($J106&gt;MAX('Match Log'!$A$4:$A$810),NA(),IFERROR(LOOKUP(2,1/(('Match Log'!$D$4:$D$810=$N$24)*('Match Log'!$A$4:$A$810&lt;=$J106)),'Match Log'!$N$4:$N$810),NA()))</f>
        <v>942.76014496190749</v>
      </c>
      <c r="O106">
        <f>IF($J106&gt;MAX('Match Log'!$A$4:$A$810),NA(),IFERROR(LOOKUP(2,1/(('Match Log'!$D$4:$D$810=$O$24)*('Match Log'!$A$4:$A$810&lt;=$J106)),'Match Log'!$N$4:$N$810),NA()))</f>
        <v>1163.6944202317491</v>
      </c>
      <c r="P106">
        <f>IF($J106&gt;MAX('Match Log'!$A$4:$A$810),NA(),IFERROR(LOOKUP(2,1/(('Match Log'!$D$4:$D$810=$P$24)*('Match Log'!$A$4:$A$810&lt;=$J106)),'Match Log'!$N$4:$N$810),NA()))</f>
        <v>1029.7715942913092</v>
      </c>
      <c r="Q106">
        <f>IF($J106&gt;MAX('Match Log'!$A$4:$A$810),NA(),IFERROR(LOOKUP(2,1/(('Match Log'!$D$4:$D$810=$Q$24)*('Match Log'!$A$4:$A$810&lt;=$J106)),'Match Log'!$N$4:$N$810),NA()))</f>
        <v>1134.0440793414489</v>
      </c>
      <c r="R106">
        <f>IF($J106&gt;MAX('Match Log'!$A$4:$A$810),NA(),IFERROR(LOOKUP(2,1/(('Match Log'!$D$4:$D$810=$R$24)*('Match Log'!$A$4:$A$810&lt;=$J106)),'Match Log'!$N$4:$N$810),NA()))</f>
        <v>1058.8795680397786</v>
      </c>
      <c r="S106">
        <f>IF($J106&gt;MAX('Match Log'!$A$4:$A$810),NA(),IFERROR(LOOKUP(2,1/(('Match Log'!$D$4:$D$810=$S$24)*('Match Log'!$A$4:$A$810&lt;=$J106)),'Match Log'!$N$4:$N$810),NA()))</f>
        <v>1162.6492936580523</v>
      </c>
      <c r="T106">
        <f>IF($J106&gt;MAX('Match Log'!$A$4:$A$810),NA(),IFERROR(LOOKUP(2,1/(('Match Log'!$D$4:$D$810=$T$24)*('Match Log'!$A$4:$A$810&lt;=$J106)),'Match Log'!$N$4:$N$810),NA()))</f>
        <v>907.24597771907167</v>
      </c>
      <c r="U106">
        <f>IF($J106&gt;MAX('Match Log'!$A$4:$A$810),NA(),IFERROR(LOOKUP(2,1/(('Match Log'!$D$4:$D$810=$U$24)*('Match Log'!$A$4:$A$810&lt;=$J106)),'Match Log'!$N$4:$N$810),NA()))</f>
        <v>992.11836785925334</v>
      </c>
      <c r="V106">
        <f>IF($J106&gt;MAX('Match Log'!$A$4:$A$810),NA(),IFERROR(LOOKUP(2,1/(('Match Log'!$D$4:$D$810=$V$24)*('Match Log'!$A$4:$A$810&lt;=$J106)),'Match Log'!$N$4:$N$810),NA()))</f>
        <v>991.08568456784496</v>
      </c>
      <c r="W106">
        <f>IF($J106&gt;MAX('Match Log'!$A$4:$A$810),NA(),IFERROR(LOOKUP(2,1/(('Match Log'!$D$4:$D$810=$W$24)*('Match Log'!$A$4:$A$810&lt;=$J106)),'Match Log'!$N$4:$N$810),NA()))</f>
        <v>1030.3815983388336</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1042.7576396056772</v>
      </c>
      <c r="L107">
        <f>IF($J107&gt;MAX('Match Log'!$A$4:$A$810),NA(),IFERROR(LOOKUP(2,1/(('Match Log'!$D$4:$D$810=$L$24)*('Match Log'!$A$4:$A$810&lt;=$J107)),'Match Log'!$N$4:$N$810),NA()))</f>
        <v>1041.6540494492169</v>
      </c>
      <c r="M107">
        <f>IF($J107&gt;MAX('Match Log'!$A$4:$A$810),NA(),IFERROR(LOOKUP(2,1/(('Match Log'!$D$4:$D$810=$M$24)*('Match Log'!$A$4:$A$810&lt;=$J107)),'Match Log'!$N$4:$N$810),NA()))</f>
        <v>1016.7837867075796</v>
      </c>
      <c r="N107">
        <f>IF($J107&gt;MAX('Match Log'!$A$4:$A$810),NA(),IFERROR(LOOKUP(2,1/(('Match Log'!$D$4:$D$810=$N$24)*('Match Log'!$A$4:$A$810&lt;=$J107)),'Match Log'!$N$4:$N$810),NA()))</f>
        <v>942.76014496190749</v>
      </c>
      <c r="O107">
        <f>IF($J107&gt;MAX('Match Log'!$A$4:$A$810),NA(),IFERROR(LOOKUP(2,1/(('Match Log'!$D$4:$D$810=$O$24)*('Match Log'!$A$4:$A$810&lt;=$J107)),'Match Log'!$N$4:$N$810),NA()))</f>
        <v>1163.6944202317491</v>
      </c>
      <c r="P107">
        <f>IF($J107&gt;MAX('Match Log'!$A$4:$A$810),NA(),IFERROR(LOOKUP(2,1/(('Match Log'!$D$4:$D$810=$P$24)*('Match Log'!$A$4:$A$810&lt;=$J107)),'Match Log'!$N$4:$N$810),NA()))</f>
        <v>1029.7715942913092</v>
      </c>
      <c r="Q107">
        <f>IF($J107&gt;MAX('Match Log'!$A$4:$A$810),NA(),IFERROR(LOOKUP(2,1/(('Match Log'!$D$4:$D$810=$Q$24)*('Match Log'!$A$4:$A$810&lt;=$J107)),'Match Log'!$N$4:$N$810),NA()))</f>
        <v>1134.0440793414489</v>
      </c>
      <c r="R107">
        <f>IF($J107&gt;MAX('Match Log'!$A$4:$A$810),NA(),IFERROR(LOOKUP(2,1/(('Match Log'!$D$4:$D$810=$R$24)*('Match Log'!$A$4:$A$810&lt;=$J107)),'Match Log'!$N$4:$N$810),NA()))</f>
        <v>1053.8268660498134</v>
      </c>
      <c r="S107">
        <f>IF($J107&gt;MAX('Match Log'!$A$4:$A$810),NA(),IFERROR(LOOKUP(2,1/(('Match Log'!$D$4:$D$810=$S$24)*('Match Log'!$A$4:$A$810&lt;=$J107)),'Match Log'!$N$4:$N$810),NA()))</f>
        <v>1155.8757908762943</v>
      </c>
      <c r="T107">
        <f>IF($J107&gt;MAX('Match Log'!$A$4:$A$810),NA(),IFERROR(LOOKUP(2,1/(('Match Log'!$D$4:$D$810=$T$24)*('Match Log'!$A$4:$A$810&lt;=$J107)),'Match Log'!$N$4:$N$810),NA()))</f>
        <v>907.24597771907167</v>
      </c>
      <c r="U107">
        <f>IF($J107&gt;MAX('Match Log'!$A$4:$A$810),NA(),IFERROR(LOOKUP(2,1/(('Match Log'!$D$4:$D$810=$U$24)*('Match Log'!$A$4:$A$810&lt;=$J107)),'Match Log'!$N$4:$N$810),NA()))</f>
        <v>992.11836785925334</v>
      </c>
      <c r="V107">
        <f>IF($J107&gt;MAX('Match Log'!$A$4:$A$810),NA(),IFERROR(LOOKUP(2,1/(('Match Log'!$D$4:$D$810=$V$24)*('Match Log'!$A$4:$A$810&lt;=$J107)),'Match Log'!$N$4:$N$810),NA()))</f>
        <v>991.08568456784496</v>
      </c>
      <c r="W107">
        <f>IF($J107&gt;MAX('Match Log'!$A$4:$A$810),NA(),IFERROR(LOOKUP(2,1/(('Match Log'!$D$4:$D$810=$W$24)*('Match Log'!$A$4:$A$810&lt;=$J107)),'Match Log'!$N$4:$N$810),NA()))</f>
        <v>1030.3815983388336</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1062.6813702451004</v>
      </c>
      <c r="L108">
        <f>IF($J108&gt;MAX('Match Log'!$A$4:$A$810),NA(),IFERROR(LOOKUP(2,1/(('Match Log'!$D$4:$D$810=$L$24)*('Match Log'!$A$4:$A$810&lt;=$J108)),'Match Log'!$N$4:$N$810),NA()))</f>
        <v>1059.6593334866984</v>
      </c>
      <c r="M108">
        <f>IF($J108&gt;MAX('Match Log'!$A$4:$A$810),NA(),IFERROR(LOOKUP(2,1/(('Match Log'!$D$4:$D$810=$M$24)*('Match Log'!$A$4:$A$810&lt;=$J108)),'Match Log'!$N$4:$N$810),NA()))</f>
        <v>1016.7837867075796</v>
      </c>
      <c r="N108">
        <f>IF($J108&gt;MAX('Match Log'!$A$4:$A$810),NA(),IFERROR(LOOKUP(2,1/(('Match Log'!$D$4:$D$810=$N$24)*('Match Log'!$A$4:$A$810&lt;=$J108)),'Match Log'!$N$4:$N$810),NA()))</f>
        <v>942.76014496190749</v>
      </c>
      <c r="O108">
        <f>IF($J108&gt;MAX('Match Log'!$A$4:$A$810),NA(),IFERROR(LOOKUP(2,1/(('Match Log'!$D$4:$D$810=$O$24)*('Match Log'!$A$4:$A$810&lt;=$J108)),'Match Log'!$N$4:$N$810),NA()))</f>
        <v>1163.6944202317491</v>
      </c>
      <c r="P108">
        <f>IF($J108&gt;MAX('Match Log'!$A$4:$A$810),NA(),IFERROR(LOOKUP(2,1/(('Match Log'!$D$4:$D$810=$P$24)*('Match Log'!$A$4:$A$810&lt;=$J108)),'Match Log'!$N$4:$N$810),NA()))</f>
        <v>1029.7715942913092</v>
      </c>
      <c r="Q108">
        <f>IF($J108&gt;MAX('Match Log'!$A$4:$A$810),NA(),IFERROR(LOOKUP(2,1/(('Match Log'!$D$4:$D$810=$Q$24)*('Match Log'!$A$4:$A$810&lt;=$J108)),'Match Log'!$N$4:$N$810),NA()))</f>
        <v>1127.3851990259313</v>
      </c>
      <c r="R108">
        <f>IF($J108&gt;MAX('Match Log'!$A$4:$A$810),NA(),IFERROR(LOOKUP(2,1/(('Match Log'!$D$4:$D$810=$R$24)*('Match Log'!$A$4:$A$810&lt;=$J108)),'Match Log'!$N$4:$N$810),NA()))</f>
        <v>1053.8268660498134</v>
      </c>
      <c r="S108">
        <f>IF($J108&gt;MAX('Match Log'!$A$4:$A$810),NA(),IFERROR(LOOKUP(2,1/(('Match Log'!$D$4:$D$810=$S$24)*('Match Log'!$A$4:$A$810&lt;=$J108)),'Match Log'!$N$4:$N$810),NA()))</f>
        <v>1155.8757908762943</v>
      </c>
      <c r="T108">
        <f>IF($J108&gt;MAX('Match Log'!$A$4:$A$810),NA(),IFERROR(LOOKUP(2,1/(('Match Log'!$D$4:$D$810=$T$24)*('Match Log'!$A$4:$A$810&lt;=$J108)),'Match Log'!$N$4:$N$810),NA()))</f>
        <v>907.24597771907167</v>
      </c>
      <c r="U108">
        <f>IF($J108&gt;MAX('Match Log'!$A$4:$A$810),NA(),IFERROR(LOOKUP(2,1/(('Match Log'!$D$4:$D$810=$U$24)*('Match Log'!$A$4:$A$810&lt;=$J108)),'Match Log'!$N$4:$N$810),NA()))</f>
        <v>988.84823349786632</v>
      </c>
      <c r="V108">
        <f>IF($J108&gt;MAX('Match Log'!$A$4:$A$810),NA(),IFERROR(LOOKUP(2,1/(('Match Log'!$D$4:$D$810=$V$24)*('Match Log'!$A$4:$A$810&lt;=$J108)),'Match Log'!$N$4:$N$810),NA()))</f>
        <v>991.08568456784496</v>
      </c>
      <c r="W108">
        <f>IF($J108&gt;MAX('Match Log'!$A$4:$A$810),NA(),IFERROR(LOOKUP(2,1/(('Match Log'!$D$4:$D$810=$W$24)*('Match Log'!$A$4:$A$810&lt;=$J108)),'Match Log'!$N$4:$N$810),NA()))</f>
        <v>1030.3815983388336</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1057.8442062146762</v>
      </c>
      <c r="L109">
        <f>IF($J109&gt;MAX('Match Log'!$A$4:$A$810),NA(),IFERROR(LOOKUP(2,1/(('Match Log'!$D$4:$D$810=$L$24)*('Match Log'!$A$4:$A$810&lt;=$J109)),'Match Log'!$N$4:$N$810),NA()))</f>
        <v>1052.1085402518941</v>
      </c>
      <c r="M109">
        <f>IF($J109&gt;MAX('Match Log'!$A$4:$A$810),NA(),IFERROR(LOOKUP(2,1/(('Match Log'!$D$4:$D$810=$M$24)*('Match Log'!$A$4:$A$810&lt;=$J109)),'Match Log'!$N$4:$N$810),NA()))</f>
        <v>1016.7837867075796</v>
      </c>
      <c r="N109">
        <f>IF($J109&gt;MAX('Match Log'!$A$4:$A$810),NA(),IFERROR(LOOKUP(2,1/(('Match Log'!$D$4:$D$810=$N$24)*('Match Log'!$A$4:$A$810&lt;=$J109)),'Match Log'!$N$4:$N$810),NA()))</f>
        <v>962.61741276053897</v>
      </c>
      <c r="O109">
        <f>IF($J109&gt;MAX('Match Log'!$A$4:$A$810),NA(),IFERROR(LOOKUP(2,1/(('Match Log'!$D$4:$D$810=$O$24)*('Match Log'!$A$4:$A$810&lt;=$J109)),'Match Log'!$N$4:$N$810),NA()))</f>
        <v>1163.6944202317491</v>
      </c>
      <c r="P109">
        <f>IF($J109&gt;MAX('Match Log'!$A$4:$A$810),NA(),IFERROR(LOOKUP(2,1/(('Match Log'!$D$4:$D$810=$P$24)*('Match Log'!$A$4:$A$810&lt;=$J109)),'Match Log'!$N$4:$N$810),NA()))</f>
        <v>1029.7715942913092</v>
      </c>
      <c r="Q109">
        <f>IF($J109&gt;MAX('Match Log'!$A$4:$A$810),NA(),IFERROR(LOOKUP(2,1/(('Match Log'!$D$4:$D$810=$Q$24)*('Match Log'!$A$4:$A$810&lt;=$J109)),'Match Log'!$N$4:$N$810),NA()))</f>
        <v>1127.3851990259313</v>
      </c>
      <c r="R109">
        <f>IF($J109&gt;MAX('Match Log'!$A$4:$A$810),NA(),IFERROR(LOOKUP(2,1/(('Match Log'!$D$4:$D$810=$R$24)*('Match Log'!$A$4:$A$810&lt;=$J109)),'Match Log'!$N$4:$N$810),NA()))</f>
        <v>1053.8268660498134</v>
      </c>
      <c r="S109">
        <f>IF($J109&gt;MAX('Match Log'!$A$4:$A$810),NA(),IFERROR(LOOKUP(2,1/(('Match Log'!$D$4:$D$810=$S$24)*('Match Log'!$A$4:$A$810&lt;=$J109)),'Match Log'!$N$4:$N$810),NA()))</f>
        <v>1155.8757908762943</v>
      </c>
      <c r="T109">
        <f>IF($J109&gt;MAX('Match Log'!$A$4:$A$810),NA(),IFERROR(LOOKUP(2,1/(('Match Log'!$D$4:$D$810=$T$24)*('Match Log'!$A$4:$A$810&lt;=$J109)),'Match Log'!$N$4:$N$810),NA()))</f>
        <v>907.24597771907167</v>
      </c>
      <c r="U109">
        <f>IF($J109&gt;MAX('Match Log'!$A$4:$A$810),NA(),IFERROR(LOOKUP(2,1/(('Match Log'!$D$4:$D$810=$U$24)*('Match Log'!$A$4:$A$810&lt;=$J109)),'Match Log'!$N$4:$N$810),NA()))</f>
        <v>988.84823349786632</v>
      </c>
      <c r="V109">
        <f>IF($J109&gt;MAX('Match Log'!$A$4:$A$810),NA(),IFERROR(LOOKUP(2,1/(('Match Log'!$D$4:$D$810=$V$24)*('Match Log'!$A$4:$A$810&lt;=$J109)),'Match Log'!$N$4:$N$810),NA()))</f>
        <v>1011.6163740344422</v>
      </c>
      <c r="W109">
        <f>IF($J109&gt;MAX('Match Log'!$A$4:$A$810),NA(),IFERROR(LOOKUP(2,1/(('Match Log'!$D$4:$D$810=$W$24)*('Match Log'!$A$4:$A$810&lt;=$J109)),'Match Log'!$N$4:$N$810),NA()))</f>
        <v>1030.3815983388336</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1057.8442062146762</v>
      </c>
      <c r="L110">
        <f>IF($J110&gt;MAX('Match Log'!$A$4:$A$810),NA(),IFERROR(LOOKUP(2,1/(('Match Log'!$D$4:$D$810=$L$24)*('Match Log'!$A$4:$A$810&lt;=$J110)),'Match Log'!$N$4:$N$810),NA()))</f>
        <v>1052.1085402518941</v>
      </c>
      <c r="M110">
        <f>IF($J110&gt;MAX('Match Log'!$A$4:$A$810),NA(),IFERROR(LOOKUP(2,1/(('Match Log'!$D$4:$D$810=$M$24)*('Match Log'!$A$4:$A$810&lt;=$J110)),'Match Log'!$N$4:$N$810),NA()))</f>
        <v>1016.7837867075796</v>
      </c>
      <c r="N110">
        <f>IF($J110&gt;MAX('Match Log'!$A$4:$A$810),NA(),IFERROR(LOOKUP(2,1/(('Match Log'!$D$4:$D$810=$N$24)*('Match Log'!$A$4:$A$810&lt;=$J110)),'Match Log'!$N$4:$N$810),NA()))</f>
        <v>981.92436608474441</v>
      </c>
      <c r="O110">
        <f>IF($J110&gt;MAX('Match Log'!$A$4:$A$810),NA(),IFERROR(LOOKUP(2,1/(('Match Log'!$D$4:$D$810=$O$24)*('Match Log'!$A$4:$A$810&lt;=$J110)),'Match Log'!$N$4:$N$810),NA()))</f>
        <v>1158.0745310110758</v>
      </c>
      <c r="P110">
        <f>IF($J110&gt;MAX('Match Log'!$A$4:$A$810),NA(),IFERROR(LOOKUP(2,1/(('Match Log'!$D$4:$D$810=$P$24)*('Match Log'!$A$4:$A$810&lt;=$J110)),'Match Log'!$N$4:$N$810),NA()))</f>
        <v>1024.4750558551682</v>
      </c>
      <c r="Q110">
        <f>IF($J110&gt;MAX('Match Log'!$A$4:$A$810),NA(),IFERROR(LOOKUP(2,1/(('Match Log'!$D$4:$D$810=$Q$24)*('Match Log'!$A$4:$A$810&lt;=$J110)),'Match Log'!$N$4:$N$810),NA()))</f>
        <v>1127.3851990259313</v>
      </c>
      <c r="R110">
        <f>IF($J110&gt;MAX('Match Log'!$A$4:$A$810),NA(),IFERROR(LOOKUP(2,1/(('Match Log'!$D$4:$D$810=$R$24)*('Match Log'!$A$4:$A$810&lt;=$J110)),'Match Log'!$N$4:$N$810),NA()))</f>
        <v>1053.8268660498134</v>
      </c>
      <c r="S110">
        <f>IF($J110&gt;MAX('Match Log'!$A$4:$A$810),NA(),IFERROR(LOOKUP(2,1/(('Match Log'!$D$4:$D$810=$S$24)*('Match Log'!$A$4:$A$810&lt;=$J110)),'Match Log'!$N$4:$N$810),NA()))</f>
        <v>1155.8757908762943</v>
      </c>
      <c r="T110">
        <f>IF($J110&gt;MAX('Match Log'!$A$4:$A$810),NA(),IFERROR(LOOKUP(2,1/(('Match Log'!$D$4:$D$810=$T$24)*('Match Log'!$A$4:$A$810&lt;=$J110)),'Match Log'!$N$4:$N$810),NA()))</f>
        <v>907.24597771907167</v>
      </c>
      <c r="U110">
        <f>IF($J110&gt;MAX('Match Log'!$A$4:$A$810),NA(),IFERROR(LOOKUP(2,1/(('Match Log'!$D$4:$D$810=$U$24)*('Match Log'!$A$4:$A$810&lt;=$J110)),'Match Log'!$N$4:$N$810),NA()))</f>
        <v>988.84823349786632</v>
      </c>
      <c r="V110">
        <f>IF($J110&gt;MAX('Match Log'!$A$4:$A$810),NA(),IFERROR(LOOKUP(2,1/(('Match Log'!$D$4:$D$810=$V$24)*('Match Log'!$A$4:$A$810&lt;=$J110)),'Match Log'!$N$4:$N$810),NA()))</f>
        <v>1031.225848367051</v>
      </c>
      <c r="W110">
        <f>IF($J110&gt;MAX('Match Log'!$A$4:$A$810),NA(),IFERROR(LOOKUP(2,1/(('Match Log'!$D$4:$D$810=$W$24)*('Match Log'!$A$4:$A$810&lt;=$J110)),'Match Log'!$N$4:$N$810),NA()))</f>
        <v>1030.3815983388336</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1057.8442062146762</v>
      </c>
      <c r="L111">
        <f>IF($J111&gt;MAX('Match Log'!$A$4:$A$810),NA(),IFERROR(LOOKUP(2,1/(('Match Log'!$D$4:$D$810=$L$24)*('Match Log'!$A$4:$A$810&lt;=$J111)),'Match Log'!$N$4:$N$810),NA()))</f>
        <v>1052.1085402518941</v>
      </c>
      <c r="M111">
        <f>IF($J111&gt;MAX('Match Log'!$A$4:$A$810),NA(),IFERROR(LOOKUP(2,1/(('Match Log'!$D$4:$D$810=$M$24)*('Match Log'!$A$4:$A$810&lt;=$J111)),'Match Log'!$N$4:$N$810),NA()))</f>
        <v>1016.7837867075796</v>
      </c>
      <c r="N111">
        <f>IF($J111&gt;MAX('Match Log'!$A$4:$A$810),NA(),IFERROR(LOOKUP(2,1/(('Match Log'!$D$4:$D$810=$N$24)*('Match Log'!$A$4:$A$810&lt;=$J111)),'Match Log'!$N$4:$N$810),NA()))</f>
        <v>981.92436608474441</v>
      </c>
      <c r="O111">
        <f>IF($J111&gt;MAX('Match Log'!$A$4:$A$810),NA(),IFERROR(LOOKUP(2,1/(('Match Log'!$D$4:$D$810=$O$24)*('Match Log'!$A$4:$A$810&lt;=$J111)),'Match Log'!$N$4:$N$810),NA()))</f>
        <v>1158.0745310110758</v>
      </c>
      <c r="P111">
        <f>IF($J111&gt;MAX('Match Log'!$A$4:$A$810),NA(),IFERROR(LOOKUP(2,1/(('Match Log'!$D$4:$D$810=$P$24)*('Match Log'!$A$4:$A$810&lt;=$J111)),'Match Log'!$N$4:$N$810),NA()))</f>
        <v>1024.4750558551682</v>
      </c>
      <c r="Q111">
        <f>IF($J111&gt;MAX('Match Log'!$A$4:$A$810),NA(),IFERROR(LOOKUP(2,1/(('Match Log'!$D$4:$D$810=$Q$24)*('Match Log'!$A$4:$A$810&lt;=$J111)),'Match Log'!$N$4:$N$810),NA()))</f>
        <v>1147.4171642404699</v>
      </c>
      <c r="R111">
        <f>IF($J111&gt;MAX('Match Log'!$A$4:$A$810),NA(),IFERROR(LOOKUP(2,1/(('Match Log'!$D$4:$D$810=$R$24)*('Match Log'!$A$4:$A$810&lt;=$J111)),'Match Log'!$N$4:$N$810),NA()))</f>
        <v>1053.8268660498134</v>
      </c>
      <c r="S111">
        <f>IF($J111&gt;MAX('Match Log'!$A$4:$A$810),NA(),IFERROR(LOOKUP(2,1/(('Match Log'!$D$4:$D$810=$S$24)*('Match Log'!$A$4:$A$810&lt;=$J111)),'Match Log'!$N$4:$N$810),NA()))</f>
        <v>1135.8438256617558</v>
      </c>
      <c r="T111">
        <f>IF($J111&gt;MAX('Match Log'!$A$4:$A$810),NA(),IFERROR(LOOKUP(2,1/(('Match Log'!$D$4:$D$810=$T$24)*('Match Log'!$A$4:$A$810&lt;=$J111)),'Match Log'!$N$4:$N$810),NA()))</f>
        <v>907.24597771907167</v>
      </c>
      <c r="U111">
        <f>IF($J111&gt;MAX('Match Log'!$A$4:$A$810),NA(),IFERROR(LOOKUP(2,1/(('Match Log'!$D$4:$D$810=$U$24)*('Match Log'!$A$4:$A$810&lt;=$J111)),'Match Log'!$N$4:$N$810),NA()))</f>
        <v>988.84823349786632</v>
      </c>
      <c r="V111">
        <f>IF($J111&gt;MAX('Match Log'!$A$4:$A$810),NA(),IFERROR(LOOKUP(2,1/(('Match Log'!$D$4:$D$810=$V$24)*('Match Log'!$A$4:$A$810&lt;=$J111)),'Match Log'!$N$4:$N$810),NA()))</f>
        <v>1031.225848367051</v>
      </c>
      <c r="W111">
        <f>IF($J111&gt;MAX('Match Log'!$A$4:$A$810),NA(),IFERROR(LOOKUP(2,1/(('Match Log'!$D$4:$D$810=$W$24)*('Match Log'!$A$4:$A$810&lt;=$J111)),'Match Log'!$N$4:$N$810),NA()))</f>
        <v>1030.3815983388336</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1057.8442062146762</v>
      </c>
      <c r="L112">
        <f>IF($J112&gt;MAX('Match Log'!$A$4:$A$810),NA(),IFERROR(LOOKUP(2,1/(('Match Log'!$D$4:$D$810=$L$24)*('Match Log'!$A$4:$A$810&lt;=$J112)),'Match Log'!$N$4:$N$810),NA()))</f>
        <v>1052.1085402518941</v>
      </c>
      <c r="M112">
        <f>IF($J112&gt;MAX('Match Log'!$A$4:$A$810),NA(),IFERROR(LOOKUP(2,1/(('Match Log'!$D$4:$D$810=$M$24)*('Match Log'!$A$4:$A$810&lt;=$J112)),'Match Log'!$N$4:$N$810),NA()))</f>
        <v>1016.7837867075796</v>
      </c>
      <c r="N112">
        <f>IF($J112&gt;MAX('Match Log'!$A$4:$A$810),NA(),IFERROR(LOOKUP(2,1/(('Match Log'!$D$4:$D$810=$N$24)*('Match Log'!$A$4:$A$810&lt;=$J112)),'Match Log'!$N$4:$N$810),NA()))</f>
        <v>981.92436608474441</v>
      </c>
      <c r="O112">
        <f>IF($J112&gt;MAX('Match Log'!$A$4:$A$810),NA(),IFERROR(LOOKUP(2,1/(('Match Log'!$D$4:$D$810=$O$24)*('Match Log'!$A$4:$A$810&lt;=$J112)),'Match Log'!$N$4:$N$810),NA()))</f>
        <v>1158.0745310110758</v>
      </c>
      <c r="P112">
        <f>IF($J112&gt;MAX('Match Log'!$A$4:$A$810),NA(),IFERROR(LOOKUP(2,1/(('Match Log'!$D$4:$D$810=$P$24)*('Match Log'!$A$4:$A$810&lt;=$J112)),'Match Log'!$N$4:$N$810),NA()))</f>
        <v>1024.4750558551682</v>
      </c>
      <c r="Q112">
        <f>IF($J112&gt;MAX('Match Log'!$A$4:$A$810),NA(),IFERROR(LOOKUP(2,1/(('Match Log'!$D$4:$D$810=$Q$24)*('Match Log'!$A$4:$A$810&lt;=$J112)),'Match Log'!$N$4:$N$810),NA()))</f>
        <v>1165.026056955317</v>
      </c>
      <c r="R112">
        <f>IF($J112&gt;MAX('Match Log'!$A$4:$A$810),NA(),IFERROR(LOOKUP(2,1/(('Match Log'!$D$4:$D$810=$R$24)*('Match Log'!$A$4:$A$810&lt;=$J112)),'Match Log'!$N$4:$N$810),NA()))</f>
        <v>1053.8268660498134</v>
      </c>
      <c r="S112">
        <f>IF($J112&gt;MAX('Match Log'!$A$4:$A$810),NA(),IFERROR(LOOKUP(2,1/(('Match Log'!$D$4:$D$810=$S$24)*('Match Log'!$A$4:$A$810&lt;=$J112)),'Match Log'!$N$4:$N$810),NA()))</f>
        <v>1118.2349329469087</v>
      </c>
      <c r="T112">
        <f>IF($J112&gt;MAX('Match Log'!$A$4:$A$810),NA(),IFERROR(LOOKUP(2,1/(('Match Log'!$D$4:$D$810=$T$24)*('Match Log'!$A$4:$A$810&lt;=$J112)),'Match Log'!$N$4:$N$810),NA()))</f>
        <v>907.24597771907167</v>
      </c>
      <c r="U112">
        <f>IF($J112&gt;MAX('Match Log'!$A$4:$A$810),NA(),IFERROR(LOOKUP(2,1/(('Match Log'!$D$4:$D$810=$U$24)*('Match Log'!$A$4:$A$810&lt;=$J112)),'Match Log'!$N$4:$N$810),NA()))</f>
        <v>988.84823349786632</v>
      </c>
      <c r="V112">
        <f>IF($J112&gt;MAX('Match Log'!$A$4:$A$810),NA(),IFERROR(LOOKUP(2,1/(('Match Log'!$D$4:$D$810=$V$24)*('Match Log'!$A$4:$A$810&lt;=$J112)),'Match Log'!$N$4:$N$810),NA()))</f>
        <v>1031.225848367051</v>
      </c>
      <c r="W112">
        <f>IF($J112&gt;MAX('Match Log'!$A$4:$A$810),NA(),IFERROR(LOOKUP(2,1/(('Match Log'!$D$4:$D$810=$W$24)*('Match Log'!$A$4:$A$810&lt;=$J112)),'Match Log'!$N$4:$N$810),NA()))</f>
        <v>1030.3815983388336</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1057.8442062146762</v>
      </c>
      <c r="L113">
        <f>IF($J113&gt;MAX('Match Log'!$A$4:$A$810),NA(),IFERROR(LOOKUP(2,1/(('Match Log'!$D$4:$D$810=$L$24)*('Match Log'!$A$4:$A$810&lt;=$J113)),'Match Log'!$N$4:$N$810),NA()))</f>
        <v>1052.1085402518941</v>
      </c>
      <c r="M113">
        <f>IF($J113&gt;MAX('Match Log'!$A$4:$A$810),NA(),IFERROR(LOOKUP(2,1/(('Match Log'!$D$4:$D$810=$M$24)*('Match Log'!$A$4:$A$810&lt;=$J113)),'Match Log'!$N$4:$N$810),NA()))</f>
        <v>1016.7837867075796</v>
      </c>
      <c r="N113">
        <f>IF($J113&gt;MAX('Match Log'!$A$4:$A$810),NA(),IFERROR(LOOKUP(2,1/(('Match Log'!$D$4:$D$810=$N$24)*('Match Log'!$A$4:$A$810&lt;=$J113)),'Match Log'!$N$4:$N$810),NA()))</f>
        <v>981.92436608474441</v>
      </c>
      <c r="O113">
        <f>IF($J113&gt;MAX('Match Log'!$A$4:$A$810),NA(),IFERROR(LOOKUP(2,1/(('Match Log'!$D$4:$D$810=$O$24)*('Match Log'!$A$4:$A$810&lt;=$J113)),'Match Log'!$N$4:$N$810),NA()))</f>
        <v>1158.0745310110758</v>
      </c>
      <c r="P113">
        <f>IF($J113&gt;MAX('Match Log'!$A$4:$A$810),NA(),IFERROR(LOOKUP(2,1/(('Match Log'!$D$4:$D$810=$P$24)*('Match Log'!$A$4:$A$810&lt;=$J113)),'Match Log'!$N$4:$N$810),NA()))</f>
        <v>1016.1493029697812</v>
      </c>
      <c r="Q113">
        <f>IF($J113&gt;MAX('Match Log'!$A$4:$A$810),NA(),IFERROR(LOOKUP(2,1/(('Match Log'!$D$4:$D$810=$Q$24)*('Match Log'!$A$4:$A$810&lt;=$J113)),'Match Log'!$N$4:$N$810),NA()))</f>
        <v>1165.026056955317</v>
      </c>
      <c r="R113">
        <f>IF($J113&gt;MAX('Match Log'!$A$4:$A$810),NA(),IFERROR(LOOKUP(2,1/(('Match Log'!$D$4:$D$810=$R$24)*('Match Log'!$A$4:$A$810&lt;=$J113)),'Match Log'!$N$4:$N$810),NA()))</f>
        <v>1078.6736344283954</v>
      </c>
      <c r="S113">
        <f>IF($J113&gt;MAX('Match Log'!$A$4:$A$810),NA(),IFERROR(LOOKUP(2,1/(('Match Log'!$D$4:$D$810=$S$24)*('Match Log'!$A$4:$A$810&lt;=$J113)),'Match Log'!$N$4:$N$810),NA()))</f>
        <v>1118.2349329469087</v>
      </c>
      <c r="T113">
        <f>IF($J113&gt;MAX('Match Log'!$A$4:$A$810),NA(),IFERROR(LOOKUP(2,1/(('Match Log'!$D$4:$D$810=$T$24)*('Match Log'!$A$4:$A$810&lt;=$J113)),'Match Log'!$N$4:$N$810),NA()))</f>
        <v>907.24597771907167</v>
      </c>
      <c r="U113">
        <f>IF($J113&gt;MAX('Match Log'!$A$4:$A$810),NA(),IFERROR(LOOKUP(2,1/(('Match Log'!$D$4:$D$810=$U$24)*('Match Log'!$A$4:$A$810&lt;=$J113)),'Match Log'!$N$4:$N$810),NA()))</f>
        <v>981.32721800467129</v>
      </c>
      <c r="V113">
        <f>IF($J113&gt;MAX('Match Log'!$A$4:$A$810),NA(),IFERROR(LOOKUP(2,1/(('Match Log'!$D$4:$D$810=$V$24)*('Match Log'!$A$4:$A$810&lt;=$J113)),'Match Log'!$N$4:$N$810),NA()))</f>
        <v>1031.225848367051</v>
      </c>
      <c r="W113">
        <f>IF($J113&gt;MAX('Match Log'!$A$4:$A$810),NA(),IFERROR(LOOKUP(2,1/(('Match Log'!$D$4:$D$810=$W$24)*('Match Log'!$A$4:$A$810&lt;=$J113)),'Match Log'!$N$4:$N$810),NA()))</f>
        <v>1030.3815983388336</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1057.8442062146762</v>
      </c>
      <c r="L114">
        <f>IF($J114&gt;MAX('Match Log'!$A$4:$A$810),NA(),IFERROR(LOOKUP(2,1/(('Match Log'!$D$4:$D$810=$L$24)*('Match Log'!$A$4:$A$810&lt;=$J114)),'Match Log'!$N$4:$N$810),NA()))</f>
        <v>1052.1085402518941</v>
      </c>
      <c r="M114">
        <f>IF($J114&gt;MAX('Match Log'!$A$4:$A$810),NA(),IFERROR(LOOKUP(2,1/(('Match Log'!$D$4:$D$810=$M$24)*('Match Log'!$A$4:$A$810&lt;=$J114)),'Match Log'!$N$4:$N$810),NA()))</f>
        <v>1016.7837867075796</v>
      </c>
      <c r="N114">
        <f>IF($J114&gt;MAX('Match Log'!$A$4:$A$810),NA(),IFERROR(LOOKUP(2,1/(('Match Log'!$D$4:$D$810=$N$24)*('Match Log'!$A$4:$A$810&lt;=$J114)),'Match Log'!$N$4:$N$810),NA()))</f>
        <v>981.92436608474441</v>
      </c>
      <c r="O114">
        <f>IF($J114&gt;MAX('Match Log'!$A$4:$A$810),NA(),IFERROR(LOOKUP(2,1/(('Match Log'!$D$4:$D$810=$O$24)*('Match Log'!$A$4:$A$810&lt;=$J114)),'Match Log'!$N$4:$N$810),NA()))</f>
        <v>1158.0745310110758</v>
      </c>
      <c r="P114">
        <f>IF($J114&gt;MAX('Match Log'!$A$4:$A$810),NA(),IFERROR(LOOKUP(2,1/(('Match Log'!$D$4:$D$810=$P$24)*('Match Log'!$A$4:$A$810&lt;=$J114)),'Match Log'!$N$4:$N$810),NA()))</f>
        <v>1016.1493029697812</v>
      </c>
      <c r="Q114">
        <f>IF($J114&gt;MAX('Match Log'!$A$4:$A$810),NA(),IFERROR(LOOKUP(2,1/(('Match Log'!$D$4:$D$810=$Q$24)*('Match Log'!$A$4:$A$810&lt;=$J114)),'Match Log'!$N$4:$N$810),NA()))</f>
        <v>1133.8672708839456</v>
      </c>
      <c r="R114">
        <f>IF($J114&gt;MAX('Match Log'!$A$4:$A$810),NA(),IFERROR(LOOKUP(2,1/(('Match Log'!$D$4:$D$810=$R$24)*('Match Log'!$A$4:$A$810&lt;=$J114)),'Match Log'!$N$4:$N$810),NA()))</f>
        <v>1078.6736344283954</v>
      </c>
      <c r="S114">
        <f>IF($J114&gt;MAX('Match Log'!$A$4:$A$810),NA(),IFERROR(LOOKUP(2,1/(('Match Log'!$D$4:$D$810=$S$24)*('Match Log'!$A$4:$A$810&lt;=$J114)),'Match Log'!$N$4:$N$810),NA()))</f>
        <v>1118.2349329469087</v>
      </c>
      <c r="T114">
        <f>IF($J114&gt;MAX('Match Log'!$A$4:$A$810),NA(),IFERROR(LOOKUP(2,1/(('Match Log'!$D$4:$D$810=$T$24)*('Match Log'!$A$4:$A$810&lt;=$J114)),'Match Log'!$N$4:$N$810),NA()))</f>
        <v>907.24597771907167</v>
      </c>
      <c r="U114">
        <f>IF($J114&gt;MAX('Match Log'!$A$4:$A$810),NA(),IFERROR(LOOKUP(2,1/(('Match Log'!$D$4:$D$810=$U$24)*('Match Log'!$A$4:$A$810&lt;=$J114)),'Match Log'!$N$4:$N$810),NA()))</f>
        <v>1012.4860040760427</v>
      </c>
      <c r="V114">
        <f>IF($J114&gt;MAX('Match Log'!$A$4:$A$810),NA(),IFERROR(LOOKUP(2,1/(('Match Log'!$D$4:$D$810=$V$24)*('Match Log'!$A$4:$A$810&lt;=$J114)),'Match Log'!$N$4:$N$810),NA()))</f>
        <v>1031.225848367051</v>
      </c>
      <c r="W114">
        <f>IF($J114&gt;MAX('Match Log'!$A$4:$A$810),NA(),IFERROR(LOOKUP(2,1/(('Match Log'!$D$4:$D$810=$W$24)*('Match Log'!$A$4:$A$810&lt;=$J114)),'Match Log'!$N$4:$N$810),NA()))</f>
        <v>1030.3815983388336</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1057.8442062146762</v>
      </c>
      <c r="L115">
        <f>IF($J115&gt;MAX('Match Log'!$A$4:$A$810),NA(),IFERROR(LOOKUP(2,1/(('Match Log'!$D$4:$D$810=$L$24)*('Match Log'!$A$4:$A$810&lt;=$J115)),'Match Log'!$N$4:$N$810),NA()))</f>
        <v>1052.1085402518941</v>
      </c>
      <c r="M115">
        <f>IF($J115&gt;MAX('Match Log'!$A$4:$A$810),NA(),IFERROR(LOOKUP(2,1/(('Match Log'!$D$4:$D$810=$M$24)*('Match Log'!$A$4:$A$810&lt;=$J115)),'Match Log'!$N$4:$N$810),NA()))</f>
        <v>1016.7837867075796</v>
      </c>
      <c r="N115">
        <f>IF($J115&gt;MAX('Match Log'!$A$4:$A$810),NA(),IFERROR(LOOKUP(2,1/(('Match Log'!$D$4:$D$810=$N$24)*('Match Log'!$A$4:$A$810&lt;=$J115)),'Match Log'!$N$4:$N$810),NA()))</f>
        <v>981.92436608474441</v>
      </c>
      <c r="O115">
        <f>IF($J115&gt;MAX('Match Log'!$A$4:$A$810),NA(),IFERROR(LOOKUP(2,1/(('Match Log'!$D$4:$D$810=$O$24)*('Match Log'!$A$4:$A$810&lt;=$J115)),'Match Log'!$N$4:$N$810),NA()))</f>
        <v>1158.0745310110758</v>
      </c>
      <c r="P115">
        <f>IF($J115&gt;MAX('Match Log'!$A$4:$A$810),NA(),IFERROR(LOOKUP(2,1/(('Match Log'!$D$4:$D$810=$P$24)*('Match Log'!$A$4:$A$810&lt;=$J115)),'Match Log'!$N$4:$N$810),NA()))</f>
        <v>1016.1493029697812</v>
      </c>
      <c r="Q115">
        <f>IF($J115&gt;MAX('Match Log'!$A$4:$A$810),NA(),IFERROR(LOOKUP(2,1/(('Match Log'!$D$4:$D$810=$Q$24)*('Match Log'!$A$4:$A$810&lt;=$J115)),'Match Log'!$N$4:$N$810),NA()))</f>
        <v>1107.4689303691496</v>
      </c>
      <c r="R115">
        <f>IF($J115&gt;MAX('Match Log'!$A$4:$A$810),NA(),IFERROR(LOOKUP(2,1/(('Match Log'!$D$4:$D$810=$R$24)*('Match Log'!$A$4:$A$810&lt;=$J115)),'Match Log'!$N$4:$N$810),NA()))</f>
        <v>1078.6736344283954</v>
      </c>
      <c r="S115">
        <f>IF($J115&gt;MAX('Match Log'!$A$4:$A$810),NA(),IFERROR(LOOKUP(2,1/(('Match Log'!$D$4:$D$810=$S$24)*('Match Log'!$A$4:$A$810&lt;=$J115)),'Match Log'!$N$4:$N$810),NA()))</f>
        <v>1118.2349329469087</v>
      </c>
      <c r="T115">
        <f>IF($J115&gt;MAX('Match Log'!$A$4:$A$810),NA(),IFERROR(LOOKUP(2,1/(('Match Log'!$D$4:$D$810=$T$24)*('Match Log'!$A$4:$A$810&lt;=$J115)),'Match Log'!$N$4:$N$810),NA()))</f>
        <v>907.24597771907167</v>
      </c>
      <c r="U115">
        <f>IF($J115&gt;MAX('Match Log'!$A$4:$A$810),NA(),IFERROR(LOOKUP(2,1/(('Match Log'!$D$4:$D$810=$U$24)*('Match Log'!$A$4:$A$810&lt;=$J115)),'Match Log'!$N$4:$N$810),NA()))</f>
        <v>1038.8843445908387</v>
      </c>
      <c r="V115">
        <f>IF($J115&gt;MAX('Match Log'!$A$4:$A$810),NA(),IFERROR(LOOKUP(2,1/(('Match Log'!$D$4:$D$810=$V$24)*('Match Log'!$A$4:$A$810&lt;=$J115)),'Match Log'!$N$4:$N$810),NA()))</f>
        <v>1031.225848367051</v>
      </c>
      <c r="W115">
        <f>IF($J115&gt;MAX('Match Log'!$A$4:$A$810),NA(),IFERROR(LOOKUP(2,1/(('Match Log'!$D$4:$D$810=$W$24)*('Match Log'!$A$4:$A$810&lt;=$J115)),'Match Log'!$N$4:$N$810),NA()))</f>
        <v>1030.3815983388336</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1057.8442062146762</v>
      </c>
      <c r="L116">
        <f>IF($J116&gt;MAX('Match Log'!$A$4:$A$810),NA(),IFERROR(LOOKUP(2,1/(('Match Log'!$D$4:$D$810=$L$24)*('Match Log'!$A$4:$A$810&lt;=$J116)),'Match Log'!$N$4:$N$810),NA()))</f>
        <v>1052.1085402518941</v>
      </c>
      <c r="M116">
        <f>IF($J116&gt;MAX('Match Log'!$A$4:$A$810),NA(),IFERROR(LOOKUP(2,1/(('Match Log'!$D$4:$D$810=$M$24)*('Match Log'!$A$4:$A$810&lt;=$J116)),'Match Log'!$N$4:$N$810),NA()))</f>
        <v>1016.7837867075796</v>
      </c>
      <c r="N116">
        <f>IF($J116&gt;MAX('Match Log'!$A$4:$A$810),NA(),IFERROR(LOOKUP(2,1/(('Match Log'!$D$4:$D$810=$N$24)*('Match Log'!$A$4:$A$810&lt;=$J116)),'Match Log'!$N$4:$N$810),NA()))</f>
        <v>981.92436608474441</v>
      </c>
      <c r="O116">
        <f>IF($J116&gt;MAX('Match Log'!$A$4:$A$810),NA(),IFERROR(LOOKUP(2,1/(('Match Log'!$D$4:$D$810=$O$24)*('Match Log'!$A$4:$A$810&lt;=$J116)),'Match Log'!$N$4:$N$810),NA()))</f>
        <v>1158.0745310110758</v>
      </c>
      <c r="P116">
        <f>IF($J116&gt;MAX('Match Log'!$A$4:$A$810),NA(),IFERROR(LOOKUP(2,1/(('Match Log'!$D$4:$D$810=$P$24)*('Match Log'!$A$4:$A$810&lt;=$J116)),'Match Log'!$N$4:$N$810),NA()))</f>
        <v>1016.1493029697812</v>
      </c>
      <c r="Q116">
        <f>IF($J116&gt;MAX('Match Log'!$A$4:$A$810),NA(),IFERROR(LOOKUP(2,1/(('Match Log'!$D$4:$D$810=$Q$24)*('Match Log'!$A$4:$A$810&lt;=$J116)),'Match Log'!$N$4:$N$810),NA()))</f>
        <v>1084.8903813508514</v>
      </c>
      <c r="R116">
        <f>IF($J116&gt;MAX('Match Log'!$A$4:$A$810),NA(),IFERROR(LOOKUP(2,1/(('Match Log'!$D$4:$D$810=$R$24)*('Match Log'!$A$4:$A$810&lt;=$J116)),'Match Log'!$N$4:$N$810),NA()))</f>
        <v>1078.6736344283954</v>
      </c>
      <c r="S116">
        <f>IF($J116&gt;MAX('Match Log'!$A$4:$A$810),NA(),IFERROR(LOOKUP(2,1/(('Match Log'!$D$4:$D$810=$S$24)*('Match Log'!$A$4:$A$810&lt;=$J116)),'Match Log'!$N$4:$N$810),NA()))</f>
        <v>1118.2349329469087</v>
      </c>
      <c r="T116">
        <f>IF($J116&gt;MAX('Match Log'!$A$4:$A$810),NA(),IFERROR(LOOKUP(2,1/(('Match Log'!$D$4:$D$810=$T$24)*('Match Log'!$A$4:$A$810&lt;=$J116)),'Match Log'!$N$4:$N$810),NA()))</f>
        <v>907.24597771907167</v>
      </c>
      <c r="U116">
        <f>IF($J116&gt;MAX('Match Log'!$A$4:$A$810),NA(),IFERROR(LOOKUP(2,1/(('Match Log'!$D$4:$D$810=$U$24)*('Match Log'!$A$4:$A$810&lt;=$J116)),'Match Log'!$N$4:$N$810),NA()))</f>
        <v>1061.4628936091369</v>
      </c>
      <c r="V116">
        <f>IF($J116&gt;MAX('Match Log'!$A$4:$A$810),NA(),IFERROR(LOOKUP(2,1/(('Match Log'!$D$4:$D$810=$V$24)*('Match Log'!$A$4:$A$810&lt;=$J116)),'Match Log'!$N$4:$N$810),NA()))</f>
        <v>1031.225848367051</v>
      </c>
      <c r="W116">
        <f>IF($J116&gt;MAX('Match Log'!$A$4:$A$810),NA(),IFERROR(LOOKUP(2,1/(('Match Log'!$D$4:$D$810=$W$24)*('Match Log'!$A$4:$A$810&lt;=$J116)),'Match Log'!$N$4:$N$810),NA()))</f>
        <v>1030.3815983388336</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1057.8442062146762</v>
      </c>
      <c r="L117">
        <f>IF($J117&gt;MAX('Match Log'!$A$4:$A$810),NA(),IFERROR(LOOKUP(2,1/(('Match Log'!$D$4:$D$810=$L$24)*('Match Log'!$A$4:$A$810&lt;=$J117)),'Match Log'!$N$4:$N$810),NA()))</f>
        <v>1029.2201908859522</v>
      </c>
      <c r="M117">
        <f>IF($J117&gt;MAX('Match Log'!$A$4:$A$810),NA(),IFERROR(LOOKUP(2,1/(('Match Log'!$D$4:$D$810=$M$24)*('Match Log'!$A$4:$A$810&lt;=$J117)),'Match Log'!$N$4:$N$810),NA()))</f>
        <v>1016.7837867075796</v>
      </c>
      <c r="N117">
        <f>IF($J117&gt;MAX('Match Log'!$A$4:$A$810),NA(),IFERROR(LOOKUP(2,1/(('Match Log'!$D$4:$D$810=$N$24)*('Match Log'!$A$4:$A$810&lt;=$J117)),'Match Log'!$N$4:$N$810),NA()))</f>
        <v>981.92436608474441</v>
      </c>
      <c r="O117">
        <f>IF($J117&gt;MAX('Match Log'!$A$4:$A$810),NA(),IFERROR(LOOKUP(2,1/(('Match Log'!$D$4:$D$810=$O$24)*('Match Log'!$A$4:$A$810&lt;=$J117)),'Match Log'!$N$4:$N$810),NA()))</f>
        <v>1158.0745310110758</v>
      </c>
      <c r="P117">
        <f>IF($J117&gt;MAX('Match Log'!$A$4:$A$810),NA(),IFERROR(LOOKUP(2,1/(('Match Log'!$D$4:$D$810=$P$24)*('Match Log'!$A$4:$A$810&lt;=$J117)),'Match Log'!$N$4:$N$810),NA()))</f>
        <v>1016.1493029697812</v>
      </c>
      <c r="Q117">
        <f>IF($J117&gt;MAX('Match Log'!$A$4:$A$810),NA(),IFERROR(LOOKUP(2,1/(('Match Log'!$D$4:$D$810=$Q$24)*('Match Log'!$A$4:$A$810&lt;=$J117)),'Match Log'!$N$4:$N$810),NA()))</f>
        <v>1084.8903813508514</v>
      </c>
      <c r="R117">
        <f>IF($J117&gt;MAX('Match Log'!$A$4:$A$810),NA(),IFERROR(LOOKUP(2,1/(('Match Log'!$D$4:$D$810=$R$24)*('Match Log'!$A$4:$A$810&lt;=$J117)),'Match Log'!$N$4:$N$810),NA()))</f>
        <v>1078.6736344283954</v>
      </c>
      <c r="S117">
        <f>IF($J117&gt;MAX('Match Log'!$A$4:$A$810),NA(),IFERROR(LOOKUP(2,1/(('Match Log'!$D$4:$D$810=$S$24)*('Match Log'!$A$4:$A$810&lt;=$J117)),'Match Log'!$N$4:$N$810),NA()))</f>
        <v>1118.2349329469087</v>
      </c>
      <c r="T117">
        <f>IF($J117&gt;MAX('Match Log'!$A$4:$A$810),NA(),IFERROR(LOOKUP(2,1/(('Match Log'!$D$4:$D$810=$T$24)*('Match Log'!$A$4:$A$810&lt;=$J117)),'Match Log'!$N$4:$N$810),NA()))</f>
        <v>907.24597771907167</v>
      </c>
      <c r="U117">
        <f>IF($J117&gt;MAX('Match Log'!$A$4:$A$810),NA(),IFERROR(LOOKUP(2,1/(('Match Log'!$D$4:$D$810=$U$24)*('Match Log'!$A$4:$A$810&lt;=$J117)),'Match Log'!$N$4:$N$810),NA()))</f>
        <v>1084.3512429750788</v>
      </c>
      <c r="V117">
        <f>IF($J117&gt;MAX('Match Log'!$A$4:$A$810),NA(),IFERROR(LOOKUP(2,1/(('Match Log'!$D$4:$D$810=$V$24)*('Match Log'!$A$4:$A$810&lt;=$J117)),'Match Log'!$N$4:$N$810),NA()))</f>
        <v>1031.225848367051</v>
      </c>
      <c r="W117">
        <f>IF($J117&gt;MAX('Match Log'!$A$4:$A$810),NA(),IFERROR(LOOKUP(2,1/(('Match Log'!$D$4:$D$810=$W$24)*('Match Log'!$A$4:$A$810&lt;=$J117)),'Match Log'!$N$4:$N$810),NA()))</f>
        <v>1030.3815983388336</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1057.8442062146762</v>
      </c>
      <c r="L118">
        <f>IF($J118&gt;MAX('Match Log'!$A$4:$A$810),NA(),IFERROR(LOOKUP(2,1/(('Match Log'!$D$4:$D$810=$L$24)*('Match Log'!$A$4:$A$810&lt;=$J118)),'Match Log'!$N$4:$N$810),NA()))</f>
        <v>1029.2201908859522</v>
      </c>
      <c r="M118">
        <f>IF($J118&gt;MAX('Match Log'!$A$4:$A$810),NA(),IFERROR(LOOKUP(2,1/(('Match Log'!$D$4:$D$810=$M$24)*('Match Log'!$A$4:$A$810&lt;=$J118)),'Match Log'!$N$4:$N$810),NA()))</f>
        <v>1016.7837867075796</v>
      </c>
      <c r="N118">
        <f>IF($J118&gt;MAX('Match Log'!$A$4:$A$810),NA(),IFERROR(LOOKUP(2,1/(('Match Log'!$D$4:$D$810=$N$24)*('Match Log'!$A$4:$A$810&lt;=$J118)),'Match Log'!$N$4:$N$810),NA()))</f>
        <v>981.92436608474441</v>
      </c>
      <c r="O118">
        <f>IF($J118&gt;MAX('Match Log'!$A$4:$A$810),NA(),IFERROR(LOOKUP(2,1/(('Match Log'!$D$4:$D$810=$O$24)*('Match Log'!$A$4:$A$810&lt;=$J118)),'Match Log'!$N$4:$N$810),NA()))</f>
        <v>1158.0745310110758</v>
      </c>
      <c r="P118">
        <f>IF($J118&gt;MAX('Match Log'!$A$4:$A$810),NA(),IFERROR(LOOKUP(2,1/(('Match Log'!$D$4:$D$810=$P$24)*('Match Log'!$A$4:$A$810&lt;=$J118)),'Match Log'!$N$4:$N$810),NA()))</f>
        <v>1016.1493029697812</v>
      </c>
      <c r="Q118">
        <f>IF($J118&gt;MAX('Match Log'!$A$4:$A$810),NA(),IFERROR(LOOKUP(2,1/(('Match Log'!$D$4:$D$810=$Q$24)*('Match Log'!$A$4:$A$810&lt;=$J118)),'Match Log'!$N$4:$N$810),NA()))</f>
        <v>1084.8903813508514</v>
      </c>
      <c r="R118">
        <f>IF($J118&gt;MAX('Match Log'!$A$4:$A$810),NA(),IFERROR(LOOKUP(2,1/(('Match Log'!$D$4:$D$810=$R$24)*('Match Log'!$A$4:$A$810&lt;=$J118)),'Match Log'!$N$4:$N$810),NA()))</f>
        <v>1092.8828602702154</v>
      </c>
      <c r="S118">
        <f>IF($J118&gt;MAX('Match Log'!$A$4:$A$810),NA(),IFERROR(LOOKUP(2,1/(('Match Log'!$D$4:$D$810=$S$24)*('Match Log'!$A$4:$A$810&lt;=$J118)),'Match Log'!$N$4:$N$810),NA()))</f>
        <v>1118.2349329469087</v>
      </c>
      <c r="T118">
        <f>IF($J118&gt;MAX('Match Log'!$A$4:$A$810),NA(),IFERROR(LOOKUP(2,1/(('Match Log'!$D$4:$D$810=$T$24)*('Match Log'!$A$4:$A$810&lt;=$J118)),'Match Log'!$N$4:$N$810),NA()))</f>
        <v>893.03675187725173</v>
      </c>
      <c r="U118">
        <f>IF($J118&gt;MAX('Match Log'!$A$4:$A$810),NA(),IFERROR(LOOKUP(2,1/(('Match Log'!$D$4:$D$810=$U$24)*('Match Log'!$A$4:$A$810&lt;=$J118)),'Match Log'!$N$4:$N$810),NA()))</f>
        <v>1084.3512429750788</v>
      </c>
      <c r="V118">
        <f>IF($J118&gt;MAX('Match Log'!$A$4:$A$810),NA(),IFERROR(LOOKUP(2,1/(('Match Log'!$D$4:$D$810=$V$24)*('Match Log'!$A$4:$A$810&lt;=$J118)),'Match Log'!$N$4:$N$810),NA()))</f>
        <v>1031.225848367051</v>
      </c>
      <c r="W118">
        <f>IF($J118&gt;MAX('Match Log'!$A$4:$A$810),NA(),IFERROR(LOOKUP(2,1/(('Match Log'!$D$4:$D$810=$W$24)*('Match Log'!$A$4:$A$810&lt;=$J118)),'Match Log'!$N$4:$N$810),NA()))</f>
        <v>1030.3815983388336</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1057.8442062146762</v>
      </c>
      <c r="L119">
        <f>IF($J119&gt;MAX('Match Log'!$A$4:$A$810),NA(),IFERROR(LOOKUP(2,1/(('Match Log'!$D$4:$D$810=$L$24)*('Match Log'!$A$4:$A$810&lt;=$J119)),'Match Log'!$N$4:$N$810),NA()))</f>
        <v>1029.2201908859522</v>
      </c>
      <c r="M119">
        <f>IF($J119&gt;MAX('Match Log'!$A$4:$A$810),NA(),IFERROR(LOOKUP(2,1/(('Match Log'!$D$4:$D$810=$M$24)*('Match Log'!$A$4:$A$810&lt;=$J119)),'Match Log'!$N$4:$N$810),NA()))</f>
        <v>1016.7837867075796</v>
      </c>
      <c r="N119">
        <f>IF($J119&gt;MAX('Match Log'!$A$4:$A$810),NA(),IFERROR(LOOKUP(2,1/(('Match Log'!$D$4:$D$810=$N$24)*('Match Log'!$A$4:$A$810&lt;=$J119)),'Match Log'!$N$4:$N$810),NA()))</f>
        <v>981.92436608474441</v>
      </c>
      <c r="O119">
        <f>IF($J119&gt;MAX('Match Log'!$A$4:$A$810),NA(),IFERROR(LOOKUP(2,1/(('Match Log'!$D$4:$D$810=$O$24)*('Match Log'!$A$4:$A$810&lt;=$J119)),'Match Log'!$N$4:$N$810),NA()))</f>
        <v>1158.0745310110758</v>
      </c>
      <c r="P119">
        <f>IF($J119&gt;MAX('Match Log'!$A$4:$A$810),NA(),IFERROR(LOOKUP(2,1/(('Match Log'!$D$4:$D$810=$P$24)*('Match Log'!$A$4:$A$810&lt;=$J119)),'Match Log'!$N$4:$N$810),NA()))</f>
        <v>1009.6941424050542</v>
      </c>
      <c r="Q119">
        <f>IF($J119&gt;MAX('Match Log'!$A$4:$A$810),NA(),IFERROR(LOOKUP(2,1/(('Match Log'!$D$4:$D$810=$Q$24)*('Match Log'!$A$4:$A$810&lt;=$J119)),'Match Log'!$N$4:$N$810),NA()))</f>
        <v>1084.8903813508514</v>
      </c>
      <c r="R119">
        <f>IF($J119&gt;MAX('Match Log'!$A$4:$A$810),NA(),IFERROR(LOOKUP(2,1/(('Match Log'!$D$4:$D$810=$R$24)*('Match Log'!$A$4:$A$810&lt;=$J119)),'Match Log'!$N$4:$N$810),NA()))</f>
        <v>1116.0822981256626</v>
      </c>
      <c r="S119">
        <f>IF($J119&gt;MAX('Match Log'!$A$4:$A$810),NA(),IFERROR(LOOKUP(2,1/(('Match Log'!$D$4:$D$810=$S$24)*('Match Log'!$A$4:$A$810&lt;=$J119)),'Match Log'!$N$4:$N$810),NA()))</f>
        <v>1118.2349329469087</v>
      </c>
      <c r="T119">
        <f>IF($J119&gt;MAX('Match Log'!$A$4:$A$810),NA(),IFERROR(LOOKUP(2,1/(('Match Log'!$D$4:$D$810=$T$24)*('Match Log'!$A$4:$A$810&lt;=$J119)),'Match Log'!$N$4:$N$810),NA()))</f>
        <v>893.03675187725173</v>
      </c>
      <c r="U119">
        <f>IF($J119&gt;MAX('Match Log'!$A$4:$A$810),NA(),IFERROR(LOOKUP(2,1/(('Match Log'!$D$4:$D$810=$U$24)*('Match Log'!$A$4:$A$810&lt;=$J119)),'Match Log'!$N$4:$N$810),NA()))</f>
        <v>1076.6069656843583</v>
      </c>
      <c r="V119">
        <f>IF($J119&gt;MAX('Match Log'!$A$4:$A$810),NA(),IFERROR(LOOKUP(2,1/(('Match Log'!$D$4:$D$810=$V$24)*('Match Log'!$A$4:$A$810&lt;=$J119)),'Match Log'!$N$4:$N$810),NA()))</f>
        <v>1031.225848367051</v>
      </c>
      <c r="W119">
        <f>IF($J119&gt;MAX('Match Log'!$A$4:$A$810),NA(),IFERROR(LOOKUP(2,1/(('Match Log'!$D$4:$D$810=$W$24)*('Match Log'!$A$4:$A$810&lt;=$J119)),'Match Log'!$N$4:$N$810),NA()))</f>
        <v>1030.3815983388336</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1057.8442062146762</v>
      </c>
      <c r="L120">
        <f>IF($J120&gt;MAX('Match Log'!$A$4:$A$810),NA(),IFERROR(LOOKUP(2,1/(('Match Log'!$D$4:$D$810=$L$24)*('Match Log'!$A$4:$A$810&lt;=$J120)),'Match Log'!$N$4:$N$810),NA()))</f>
        <v>1029.2201908859522</v>
      </c>
      <c r="M120">
        <f>IF($J120&gt;MAX('Match Log'!$A$4:$A$810),NA(),IFERROR(LOOKUP(2,1/(('Match Log'!$D$4:$D$810=$M$24)*('Match Log'!$A$4:$A$810&lt;=$J120)),'Match Log'!$N$4:$N$810),NA()))</f>
        <v>1016.7837867075796</v>
      </c>
      <c r="N120">
        <f>IF($J120&gt;MAX('Match Log'!$A$4:$A$810),NA(),IFERROR(LOOKUP(2,1/(('Match Log'!$D$4:$D$810=$N$24)*('Match Log'!$A$4:$A$810&lt;=$J120)),'Match Log'!$N$4:$N$810),NA()))</f>
        <v>981.92436608474441</v>
      </c>
      <c r="O120">
        <f>IF($J120&gt;MAX('Match Log'!$A$4:$A$810),NA(),IFERROR(LOOKUP(2,1/(('Match Log'!$D$4:$D$810=$O$24)*('Match Log'!$A$4:$A$810&lt;=$J120)),'Match Log'!$N$4:$N$810),NA()))</f>
        <v>1158.0745310110758</v>
      </c>
      <c r="P120">
        <f>IF($J120&gt;MAX('Match Log'!$A$4:$A$810),NA(),IFERROR(LOOKUP(2,1/(('Match Log'!$D$4:$D$810=$P$24)*('Match Log'!$A$4:$A$810&lt;=$J120)),'Match Log'!$N$4:$N$810),NA()))</f>
        <v>1009.6941424050542</v>
      </c>
      <c r="Q120">
        <f>IF($J120&gt;MAX('Match Log'!$A$4:$A$810),NA(),IFERROR(LOOKUP(2,1/(('Match Log'!$D$4:$D$810=$Q$24)*('Match Log'!$A$4:$A$810&lt;=$J120)),'Match Log'!$N$4:$N$810),NA()))</f>
        <v>1084.8903813508514</v>
      </c>
      <c r="R120">
        <f>IF($J120&gt;MAX('Match Log'!$A$4:$A$810),NA(),IFERROR(LOOKUP(2,1/(('Match Log'!$D$4:$D$810=$R$24)*('Match Log'!$A$4:$A$810&lt;=$J120)),'Match Log'!$N$4:$N$810),NA()))</f>
        <v>1089.455302555162</v>
      </c>
      <c r="S120">
        <f>IF($J120&gt;MAX('Match Log'!$A$4:$A$810),NA(),IFERROR(LOOKUP(2,1/(('Match Log'!$D$4:$D$810=$S$24)*('Match Log'!$A$4:$A$810&lt;=$J120)),'Match Log'!$N$4:$N$810),NA()))</f>
        <v>1144.8619285174093</v>
      </c>
      <c r="T120">
        <f>IF($J120&gt;MAX('Match Log'!$A$4:$A$810),NA(),IFERROR(LOOKUP(2,1/(('Match Log'!$D$4:$D$810=$T$24)*('Match Log'!$A$4:$A$810&lt;=$J120)),'Match Log'!$N$4:$N$810),NA()))</f>
        <v>893.03675187725173</v>
      </c>
      <c r="U120">
        <f>IF($J120&gt;MAX('Match Log'!$A$4:$A$810),NA(),IFERROR(LOOKUP(2,1/(('Match Log'!$D$4:$D$810=$U$24)*('Match Log'!$A$4:$A$810&lt;=$J120)),'Match Log'!$N$4:$N$810),NA()))</f>
        <v>1076.6069656843583</v>
      </c>
      <c r="V120">
        <f>IF($J120&gt;MAX('Match Log'!$A$4:$A$810),NA(),IFERROR(LOOKUP(2,1/(('Match Log'!$D$4:$D$810=$V$24)*('Match Log'!$A$4:$A$810&lt;=$J120)),'Match Log'!$N$4:$N$810),NA()))</f>
        <v>1031.225848367051</v>
      </c>
      <c r="W120">
        <f>IF($J120&gt;MAX('Match Log'!$A$4:$A$810),NA(),IFERROR(LOOKUP(2,1/(('Match Log'!$D$4:$D$810=$W$24)*('Match Log'!$A$4:$A$810&lt;=$J120)),'Match Log'!$N$4:$N$810),NA()))</f>
        <v>1030.3815983388336</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1057.8442062146762</v>
      </c>
      <c r="L121">
        <f>IF($J121&gt;MAX('Match Log'!$A$4:$A$810),NA(),IFERROR(LOOKUP(2,1/(('Match Log'!$D$4:$D$810=$L$24)*('Match Log'!$A$4:$A$810&lt;=$J121)),'Match Log'!$N$4:$N$810),NA()))</f>
        <v>1029.2201908859522</v>
      </c>
      <c r="M121">
        <f>IF($J121&gt;MAX('Match Log'!$A$4:$A$810),NA(),IFERROR(LOOKUP(2,1/(('Match Log'!$D$4:$D$810=$M$24)*('Match Log'!$A$4:$A$810&lt;=$J121)),'Match Log'!$N$4:$N$810),NA()))</f>
        <v>1016.7837867075796</v>
      </c>
      <c r="N121">
        <f>IF($J121&gt;MAX('Match Log'!$A$4:$A$810),NA(),IFERROR(LOOKUP(2,1/(('Match Log'!$D$4:$D$810=$N$24)*('Match Log'!$A$4:$A$810&lt;=$J121)),'Match Log'!$N$4:$N$810),NA()))</f>
        <v>981.92436608474441</v>
      </c>
      <c r="O121">
        <f>IF($J121&gt;MAX('Match Log'!$A$4:$A$810),NA(),IFERROR(LOOKUP(2,1/(('Match Log'!$D$4:$D$810=$O$24)*('Match Log'!$A$4:$A$810&lt;=$J121)),'Match Log'!$N$4:$N$810),NA()))</f>
        <v>1158.0745310110758</v>
      </c>
      <c r="P121">
        <f>IF($J121&gt;MAX('Match Log'!$A$4:$A$810),NA(),IFERROR(LOOKUP(2,1/(('Match Log'!$D$4:$D$810=$P$24)*('Match Log'!$A$4:$A$810&lt;=$J121)),'Match Log'!$N$4:$N$810),NA()))</f>
        <v>1009.6941424050542</v>
      </c>
      <c r="Q121">
        <f>IF($J121&gt;MAX('Match Log'!$A$4:$A$810),NA(),IFERROR(LOOKUP(2,1/(('Match Log'!$D$4:$D$810=$Q$24)*('Match Log'!$A$4:$A$810&lt;=$J121)),'Match Log'!$N$4:$N$810),NA()))</f>
        <v>1084.8903813508514</v>
      </c>
      <c r="R121">
        <f>IF($J121&gt;MAX('Match Log'!$A$4:$A$810),NA(),IFERROR(LOOKUP(2,1/(('Match Log'!$D$4:$D$810=$R$24)*('Match Log'!$A$4:$A$810&lt;=$J121)),'Match Log'!$N$4:$N$810),NA()))</f>
        <v>1066.1058874718271</v>
      </c>
      <c r="S121">
        <f>IF($J121&gt;MAX('Match Log'!$A$4:$A$810),NA(),IFERROR(LOOKUP(2,1/(('Match Log'!$D$4:$D$810=$S$24)*('Match Log'!$A$4:$A$810&lt;=$J121)),'Match Log'!$N$4:$N$810),NA()))</f>
        <v>1168.2113436007442</v>
      </c>
      <c r="T121">
        <f>IF($J121&gt;MAX('Match Log'!$A$4:$A$810),NA(),IFERROR(LOOKUP(2,1/(('Match Log'!$D$4:$D$810=$T$24)*('Match Log'!$A$4:$A$810&lt;=$J121)),'Match Log'!$N$4:$N$810),NA()))</f>
        <v>893.03675187725173</v>
      </c>
      <c r="U121">
        <f>IF($J121&gt;MAX('Match Log'!$A$4:$A$810),NA(),IFERROR(LOOKUP(2,1/(('Match Log'!$D$4:$D$810=$U$24)*('Match Log'!$A$4:$A$810&lt;=$J121)),'Match Log'!$N$4:$N$810),NA()))</f>
        <v>1076.6069656843583</v>
      </c>
      <c r="V121">
        <f>IF($J121&gt;MAX('Match Log'!$A$4:$A$810),NA(),IFERROR(LOOKUP(2,1/(('Match Log'!$D$4:$D$810=$V$24)*('Match Log'!$A$4:$A$810&lt;=$J121)),'Match Log'!$N$4:$N$810),NA()))</f>
        <v>1031.225848367051</v>
      </c>
      <c r="W121">
        <f>IF($J121&gt;MAX('Match Log'!$A$4:$A$810),NA(),IFERROR(LOOKUP(2,1/(('Match Log'!$D$4:$D$810=$W$24)*('Match Log'!$A$4:$A$810&lt;=$J121)),'Match Log'!$N$4:$N$810),NA()))</f>
        <v>1030.3815983388336</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1057.8442062146762</v>
      </c>
      <c r="L122">
        <f>IF($J122&gt;MAX('Match Log'!$A$4:$A$810),NA(),IFERROR(LOOKUP(2,1/(('Match Log'!$D$4:$D$810=$L$24)*('Match Log'!$A$4:$A$810&lt;=$J122)),'Match Log'!$N$4:$N$810),NA()))</f>
        <v>1029.2201908859522</v>
      </c>
      <c r="M122">
        <f>IF($J122&gt;MAX('Match Log'!$A$4:$A$810),NA(),IFERROR(LOOKUP(2,1/(('Match Log'!$D$4:$D$810=$M$24)*('Match Log'!$A$4:$A$810&lt;=$J122)),'Match Log'!$N$4:$N$810),NA()))</f>
        <v>1016.7837867075796</v>
      </c>
      <c r="N122">
        <f>IF($J122&gt;MAX('Match Log'!$A$4:$A$810),NA(),IFERROR(LOOKUP(2,1/(('Match Log'!$D$4:$D$810=$N$24)*('Match Log'!$A$4:$A$810&lt;=$J122)),'Match Log'!$N$4:$N$810),NA()))</f>
        <v>981.92436608474441</v>
      </c>
      <c r="O122">
        <f>IF($J122&gt;MAX('Match Log'!$A$4:$A$810),NA(),IFERROR(LOOKUP(2,1/(('Match Log'!$D$4:$D$810=$O$24)*('Match Log'!$A$4:$A$810&lt;=$J122)),'Match Log'!$N$4:$N$810),NA()))</f>
        <v>1158.0745310110758</v>
      </c>
      <c r="P122">
        <f>IF($J122&gt;MAX('Match Log'!$A$4:$A$810),NA(),IFERROR(LOOKUP(2,1/(('Match Log'!$D$4:$D$810=$P$24)*('Match Log'!$A$4:$A$810&lt;=$J122)),'Match Log'!$N$4:$N$810),NA()))</f>
        <v>1034.2694085900962</v>
      </c>
      <c r="Q122">
        <f>IF($J122&gt;MAX('Match Log'!$A$4:$A$810),NA(),IFERROR(LOOKUP(2,1/(('Match Log'!$D$4:$D$810=$Q$24)*('Match Log'!$A$4:$A$810&lt;=$J122)),'Match Log'!$N$4:$N$810),NA()))</f>
        <v>1084.8903813508514</v>
      </c>
      <c r="R122">
        <f>IF($J122&gt;MAX('Match Log'!$A$4:$A$810),NA(),IFERROR(LOOKUP(2,1/(('Match Log'!$D$4:$D$810=$R$24)*('Match Log'!$A$4:$A$810&lt;=$J122)),'Match Log'!$N$4:$N$810),NA()))</f>
        <v>1041.5306212867852</v>
      </c>
      <c r="S122">
        <f>IF($J122&gt;MAX('Match Log'!$A$4:$A$810),NA(),IFERROR(LOOKUP(2,1/(('Match Log'!$D$4:$D$810=$S$24)*('Match Log'!$A$4:$A$810&lt;=$J122)),'Match Log'!$N$4:$N$810),NA()))</f>
        <v>1168.2113436007442</v>
      </c>
      <c r="T122">
        <f>IF($J122&gt;MAX('Match Log'!$A$4:$A$810),NA(),IFERROR(LOOKUP(2,1/(('Match Log'!$D$4:$D$810=$T$24)*('Match Log'!$A$4:$A$810&lt;=$J122)),'Match Log'!$N$4:$N$810),NA()))</f>
        <v>893.03675187725173</v>
      </c>
      <c r="U122">
        <f>IF($J122&gt;MAX('Match Log'!$A$4:$A$810),NA(),IFERROR(LOOKUP(2,1/(('Match Log'!$D$4:$D$810=$U$24)*('Match Log'!$A$4:$A$810&lt;=$J122)),'Match Log'!$N$4:$N$810),NA()))</f>
        <v>1076.6069656843583</v>
      </c>
      <c r="V122">
        <f>IF($J122&gt;MAX('Match Log'!$A$4:$A$810),NA(),IFERROR(LOOKUP(2,1/(('Match Log'!$D$4:$D$810=$V$24)*('Match Log'!$A$4:$A$810&lt;=$J122)),'Match Log'!$N$4:$N$810),NA()))</f>
        <v>1031.225848367051</v>
      </c>
      <c r="W122">
        <f>IF($J122&gt;MAX('Match Log'!$A$4:$A$810),NA(),IFERROR(LOOKUP(2,1/(('Match Log'!$D$4:$D$810=$W$24)*('Match Log'!$A$4:$A$810&lt;=$J122)),'Match Log'!$N$4:$N$810),NA()))</f>
        <v>1030.3815983388336</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0.5</v>
      </c>
      <c r="G123">
        <f t="shared" si="25"/>
        <v>0</v>
      </c>
      <c r="H123" t="str">
        <f t="array" ref="H123">IFERROR(IF(COUNTIFS('Match Log'!$A$4:$A$810,$A123,'Match Log'!$E$4:$E$810,"Win")&gt;1,_xlfn.TEXTJOIN("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1057.8442062146762</v>
      </c>
      <c r="L123">
        <f>IF($J123&gt;MAX('Match Log'!$A$4:$A$810),NA(),IFERROR(LOOKUP(2,1/(('Match Log'!$D$4:$D$810=$L$24)*('Match Log'!$A$4:$A$810&lt;=$J123)),'Match Log'!$N$4:$N$810),NA()))</f>
        <v>1029.2201908859522</v>
      </c>
      <c r="M123">
        <f>IF($J123&gt;MAX('Match Log'!$A$4:$A$810),NA(),IFERROR(LOOKUP(2,1/(('Match Log'!$D$4:$D$810=$M$24)*('Match Log'!$A$4:$A$810&lt;=$J123)),'Match Log'!$N$4:$N$810),NA()))</f>
        <v>1016.7837867075796</v>
      </c>
      <c r="N123">
        <f>IF($J123&gt;MAX('Match Log'!$A$4:$A$810),NA(),IFERROR(LOOKUP(2,1/(('Match Log'!$D$4:$D$810=$N$24)*('Match Log'!$A$4:$A$810&lt;=$J123)),'Match Log'!$N$4:$N$810),NA()))</f>
        <v>981.92436608474441</v>
      </c>
      <c r="O123">
        <f>IF($J123&gt;MAX('Match Log'!$A$4:$A$810),NA(),IFERROR(LOOKUP(2,1/(('Match Log'!$D$4:$D$810=$O$24)*('Match Log'!$A$4:$A$810&lt;=$J123)),'Match Log'!$N$4:$N$810),NA()))</f>
        <v>1130.9001204968256</v>
      </c>
      <c r="P123">
        <f>IF($J123&gt;MAX('Match Log'!$A$4:$A$810),NA(),IFERROR(LOOKUP(2,1/(('Match Log'!$D$4:$D$810=$P$24)*('Match Log'!$A$4:$A$810&lt;=$J123)),'Match Log'!$N$4:$N$810),NA()))</f>
        <v>1034.2694085900962</v>
      </c>
      <c r="Q123">
        <f>IF($J123&gt;MAX('Match Log'!$A$4:$A$810),NA(),IFERROR(LOOKUP(2,1/(('Match Log'!$D$4:$D$810=$Q$24)*('Match Log'!$A$4:$A$810&lt;=$J123)),'Match Log'!$N$4:$N$810),NA()))</f>
        <v>1084.8903813508514</v>
      </c>
      <c r="R123">
        <f>IF($J123&gt;MAX('Match Log'!$A$4:$A$810),NA(),IFERROR(LOOKUP(2,1/(('Match Log'!$D$4:$D$810=$R$24)*('Match Log'!$A$4:$A$810&lt;=$J123)),'Match Log'!$N$4:$N$810),NA()))</f>
        <v>1068.7050318010354</v>
      </c>
      <c r="S123">
        <f>IF($J123&gt;MAX('Match Log'!$A$4:$A$810),NA(),IFERROR(LOOKUP(2,1/(('Match Log'!$D$4:$D$810=$S$24)*('Match Log'!$A$4:$A$810&lt;=$J123)),'Match Log'!$N$4:$N$810),NA()))</f>
        <v>1168.2113436007442</v>
      </c>
      <c r="T123">
        <f>IF($J123&gt;MAX('Match Log'!$A$4:$A$810),NA(),IFERROR(LOOKUP(2,1/(('Match Log'!$D$4:$D$810=$T$24)*('Match Log'!$A$4:$A$810&lt;=$J123)),'Match Log'!$N$4:$N$810),NA()))</f>
        <v>893.03675187725173</v>
      </c>
      <c r="U123">
        <f>IF($J123&gt;MAX('Match Log'!$A$4:$A$810),NA(),IFERROR(LOOKUP(2,1/(('Match Log'!$D$4:$D$810=$U$24)*('Match Log'!$A$4:$A$810&lt;=$J123)),'Match Log'!$N$4:$N$810),NA()))</f>
        <v>1076.6069656843583</v>
      </c>
      <c r="V123">
        <f>IF($J123&gt;MAX('Match Log'!$A$4:$A$810),NA(),IFERROR(LOOKUP(2,1/(('Match Log'!$D$4:$D$810=$V$24)*('Match Log'!$A$4:$A$810&lt;=$J123)),'Match Log'!$N$4:$N$810),NA()))</f>
        <v>1031.225848367051</v>
      </c>
      <c r="W123">
        <f>IF($J123&gt;MAX('Match Log'!$A$4:$A$810),NA(),IFERROR(LOOKUP(2,1/(('Match Log'!$D$4:$D$810=$W$24)*('Match Log'!$A$4:$A$810&lt;=$J123)),'Match Log'!$N$4:$N$810),NA()))</f>
        <v>1030.3815983388336</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0.66666666666666663</v>
      </c>
      <c r="G124">
        <f t="shared" si="25"/>
        <v>-0.33333333333333326</v>
      </c>
      <c r="H124" t="str">
        <f t="array" ref="H124">IFERROR(IF(COUNTIFS('Match Log'!$A$4:$A$810,$A124,'Match Log'!$E$4:$E$810,"Win")&gt;1,_xlfn.TEXTJOIN("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1057.8442062146762</v>
      </c>
      <c r="L124">
        <f>IF($J124&gt;MAX('Match Log'!$A$4:$A$810),NA(),IFERROR(LOOKUP(2,1/(('Match Log'!$D$4:$D$810=$L$24)*('Match Log'!$A$4:$A$810&lt;=$J124)),'Match Log'!$N$4:$N$810),NA()))</f>
        <v>1029.2201908859522</v>
      </c>
      <c r="M124">
        <f>IF($J124&gt;MAX('Match Log'!$A$4:$A$810),NA(),IFERROR(LOOKUP(2,1/(('Match Log'!$D$4:$D$810=$M$24)*('Match Log'!$A$4:$A$810&lt;=$J124)),'Match Log'!$N$4:$N$810),NA()))</f>
        <v>1016.7837867075796</v>
      </c>
      <c r="N124">
        <f>IF($J124&gt;MAX('Match Log'!$A$4:$A$810),NA(),IFERROR(LOOKUP(2,1/(('Match Log'!$D$4:$D$810=$N$24)*('Match Log'!$A$4:$A$810&lt;=$J124)),'Match Log'!$N$4:$N$810),NA()))</f>
        <v>981.92436608474441</v>
      </c>
      <c r="O124">
        <f>IF($J124&gt;MAX('Match Log'!$A$4:$A$810),NA(),IFERROR(LOOKUP(2,1/(('Match Log'!$D$4:$D$810=$O$24)*('Match Log'!$A$4:$A$810&lt;=$J124)),'Match Log'!$N$4:$N$810),NA()))</f>
        <v>1108.7715965499422</v>
      </c>
      <c r="P124">
        <f>IF($J124&gt;MAX('Match Log'!$A$4:$A$810),NA(),IFERROR(LOOKUP(2,1/(('Match Log'!$D$4:$D$810=$P$24)*('Match Log'!$A$4:$A$810&lt;=$J124)),'Match Log'!$N$4:$N$810),NA()))</f>
        <v>1034.2694085900962</v>
      </c>
      <c r="Q124">
        <f>IF($J124&gt;MAX('Match Log'!$A$4:$A$810),NA(),IFERROR(LOOKUP(2,1/(('Match Log'!$D$4:$D$810=$Q$24)*('Match Log'!$A$4:$A$810&lt;=$J124)),'Match Log'!$N$4:$N$810),NA()))</f>
        <v>1084.8903813508514</v>
      </c>
      <c r="R124">
        <f>IF($J124&gt;MAX('Match Log'!$A$4:$A$810),NA(),IFERROR(LOOKUP(2,1/(('Match Log'!$D$4:$D$810=$R$24)*('Match Log'!$A$4:$A$810&lt;=$J124)),'Match Log'!$N$4:$N$810),NA()))</f>
        <v>1090.8335557479188</v>
      </c>
      <c r="S124">
        <f>IF($J124&gt;MAX('Match Log'!$A$4:$A$810),NA(),IFERROR(LOOKUP(2,1/(('Match Log'!$D$4:$D$810=$S$24)*('Match Log'!$A$4:$A$810&lt;=$J124)),'Match Log'!$N$4:$N$810),NA()))</f>
        <v>1168.2113436007442</v>
      </c>
      <c r="T124">
        <f>IF($J124&gt;MAX('Match Log'!$A$4:$A$810),NA(),IFERROR(LOOKUP(2,1/(('Match Log'!$D$4:$D$810=$T$24)*('Match Log'!$A$4:$A$810&lt;=$J124)),'Match Log'!$N$4:$N$810),NA()))</f>
        <v>893.03675187725173</v>
      </c>
      <c r="U124">
        <f>IF($J124&gt;MAX('Match Log'!$A$4:$A$810),NA(),IFERROR(LOOKUP(2,1/(('Match Log'!$D$4:$D$810=$U$24)*('Match Log'!$A$4:$A$810&lt;=$J124)),'Match Log'!$N$4:$N$810),NA()))</f>
        <v>1076.6069656843583</v>
      </c>
      <c r="V124">
        <f>IF($J124&gt;MAX('Match Log'!$A$4:$A$810),NA(),IFERROR(LOOKUP(2,1/(('Match Log'!$D$4:$D$810=$V$24)*('Match Log'!$A$4:$A$810&lt;=$J124)),'Match Log'!$N$4:$N$810),NA()))</f>
        <v>1031.225848367051</v>
      </c>
      <c r="W124">
        <f>IF($J124&gt;MAX('Match Log'!$A$4:$A$810),NA(),IFERROR(LOOKUP(2,1/(('Match Log'!$D$4:$D$810=$W$24)*('Match Log'!$A$4:$A$810&lt;=$J124)),'Match Log'!$N$4:$N$810),NA()))</f>
        <v>1030.3815983388336</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0.25</v>
      </c>
      <c r="G125">
        <f t="shared" si="25"/>
        <v>0.5</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1057.8442062146762</v>
      </c>
      <c r="L125">
        <f>IF($J125&gt;MAX('Match Log'!$A$4:$A$810),NA(),IFERROR(LOOKUP(2,1/(('Match Log'!$D$4:$D$810=$L$24)*('Match Log'!$A$4:$A$810&lt;=$J125)),'Match Log'!$N$4:$N$810),NA()))</f>
        <v>1029.2201908859522</v>
      </c>
      <c r="M125">
        <f>IF($J125&gt;MAX('Match Log'!$A$4:$A$810),NA(),IFERROR(LOOKUP(2,1/(('Match Log'!$D$4:$D$810=$M$24)*('Match Log'!$A$4:$A$810&lt;=$J125)),'Match Log'!$N$4:$N$810),NA()))</f>
        <v>1016.7837867075796</v>
      </c>
      <c r="N125">
        <f>IF($J125&gt;MAX('Match Log'!$A$4:$A$810),NA(),IFERROR(LOOKUP(2,1/(('Match Log'!$D$4:$D$810=$N$24)*('Match Log'!$A$4:$A$810&lt;=$J125)),'Match Log'!$N$4:$N$810),NA()))</f>
        <v>981.92436608474441</v>
      </c>
      <c r="O125">
        <f>IF($J125&gt;MAX('Match Log'!$A$4:$A$810),NA(),IFERROR(LOOKUP(2,1/(('Match Log'!$D$4:$D$810=$O$24)*('Match Log'!$A$4:$A$810&lt;=$J125)),'Match Log'!$N$4:$N$810),NA()))</f>
        <v>1133.9849466347907</v>
      </c>
      <c r="P125">
        <f>IF($J125&gt;MAX('Match Log'!$A$4:$A$810),NA(),IFERROR(LOOKUP(2,1/(('Match Log'!$D$4:$D$810=$P$24)*('Match Log'!$A$4:$A$810&lt;=$J125)),'Match Log'!$N$4:$N$810),NA()))</f>
        <v>1034.2694085900962</v>
      </c>
      <c r="Q125">
        <f>IF($J125&gt;MAX('Match Log'!$A$4:$A$810),NA(),IFERROR(LOOKUP(2,1/(('Match Log'!$D$4:$D$810=$Q$24)*('Match Log'!$A$4:$A$810&lt;=$J125)),'Match Log'!$N$4:$N$810),NA()))</f>
        <v>1084.8903813508514</v>
      </c>
      <c r="R125">
        <f>IF($J125&gt;MAX('Match Log'!$A$4:$A$810),NA(),IFERROR(LOOKUP(2,1/(('Match Log'!$D$4:$D$810=$R$24)*('Match Log'!$A$4:$A$810&lt;=$J125)),'Match Log'!$N$4:$N$810),NA()))</f>
        <v>1065.6202056630702</v>
      </c>
      <c r="S125">
        <f>IF($J125&gt;MAX('Match Log'!$A$4:$A$810),NA(),IFERROR(LOOKUP(2,1/(('Match Log'!$D$4:$D$810=$S$24)*('Match Log'!$A$4:$A$810&lt;=$J125)),'Match Log'!$N$4:$N$810),NA()))</f>
        <v>1168.2113436007442</v>
      </c>
      <c r="T125">
        <f>IF($J125&gt;MAX('Match Log'!$A$4:$A$810),NA(),IFERROR(LOOKUP(2,1/(('Match Log'!$D$4:$D$810=$T$24)*('Match Log'!$A$4:$A$810&lt;=$J125)),'Match Log'!$N$4:$N$810),NA()))</f>
        <v>893.03675187725173</v>
      </c>
      <c r="U125">
        <f>IF($J125&gt;MAX('Match Log'!$A$4:$A$810),NA(),IFERROR(LOOKUP(2,1/(('Match Log'!$D$4:$D$810=$U$24)*('Match Log'!$A$4:$A$810&lt;=$J125)),'Match Log'!$N$4:$N$810),NA()))</f>
        <v>1076.6069656843583</v>
      </c>
      <c r="V125">
        <f>IF($J125&gt;MAX('Match Log'!$A$4:$A$810),NA(),IFERROR(LOOKUP(2,1/(('Match Log'!$D$4:$D$810=$V$24)*('Match Log'!$A$4:$A$810&lt;=$J125)),'Match Log'!$N$4:$N$810),NA()))</f>
        <v>1031.225848367051</v>
      </c>
      <c r="W125">
        <f>IF($J125&gt;MAX('Match Log'!$A$4:$A$810),NA(),IFERROR(LOOKUP(2,1/(('Match Log'!$D$4:$D$810=$W$24)*('Match Log'!$A$4:$A$810&lt;=$J125)),'Match Log'!$N$4:$N$810),NA()))</f>
        <v>1030.3815983388336</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0.4</v>
      </c>
      <c r="G126">
        <f t="shared" si="25"/>
        <v>0.19999999999999996</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1057.8442062146762</v>
      </c>
      <c r="L126">
        <f>IF($J126&gt;MAX('Match Log'!$A$4:$A$810),NA(),IFERROR(LOOKUP(2,1/(('Match Log'!$D$4:$D$810=$L$24)*('Match Log'!$A$4:$A$810&lt;=$J126)),'Match Log'!$N$4:$N$810),NA()))</f>
        <v>1029.2201908859522</v>
      </c>
      <c r="M126">
        <f>IF($J126&gt;MAX('Match Log'!$A$4:$A$810),NA(),IFERROR(LOOKUP(2,1/(('Match Log'!$D$4:$D$810=$M$24)*('Match Log'!$A$4:$A$810&lt;=$J126)),'Match Log'!$N$4:$N$810),NA()))</f>
        <v>1016.7837867075796</v>
      </c>
      <c r="N126">
        <f>IF($J126&gt;MAX('Match Log'!$A$4:$A$810),NA(),IFERROR(LOOKUP(2,1/(('Match Log'!$D$4:$D$810=$N$24)*('Match Log'!$A$4:$A$810&lt;=$J126)),'Match Log'!$N$4:$N$810),NA()))</f>
        <v>981.92436608474441</v>
      </c>
      <c r="O126">
        <f>IF($J126&gt;MAX('Match Log'!$A$4:$A$810),NA(),IFERROR(LOOKUP(2,1/(('Match Log'!$D$4:$D$810=$O$24)*('Match Log'!$A$4:$A$810&lt;=$J126)),'Match Log'!$N$4:$N$810),NA()))</f>
        <v>1155.6279259377604</v>
      </c>
      <c r="P126">
        <f>IF($J126&gt;MAX('Match Log'!$A$4:$A$810),NA(),IFERROR(LOOKUP(2,1/(('Match Log'!$D$4:$D$810=$P$24)*('Match Log'!$A$4:$A$810&lt;=$J126)),'Match Log'!$N$4:$N$810),NA()))</f>
        <v>1034.2694085900962</v>
      </c>
      <c r="Q126">
        <f>IF($J126&gt;MAX('Match Log'!$A$4:$A$810),NA(),IFERROR(LOOKUP(2,1/(('Match Log'!$D$4:$D$810=$Q$24)*('Match Log'!$A$4:$A$810&lt;=$J126)),'Match Log'!$N$4:$N$810),NA()))</f>
        <v>1084.8903813508514</v>
      </c>
      <c r="R126">
        <f>IF($J126&gt;MAX('Match Log'!$A$4:$A$810),NA(),IFERROR(LOOKUP(2,1/(('Match Log'!$D$4:$D$810=$R$24)*('Match Log'!$A$4:$A$810&lt;=$J126)),'Match Log'!$N$4:$N$810),NA()))</f>
        <v>1043.9772263601005</v>
      </c>
      <c r="S126">
        <f>IF($J126&gt;MAX('Match Log'!$A$4:$A$810),NA(),IFERROR(LOOKUP(2,1/(('Match Log'!$D$4:$D$810=$S$24)*('Match Log'!$A$4:$A$810&lt;=$J126)),'Match Log'!$N$4:$N$810),NA()))</f>
        <v>1168.2113436007442</v>
      </c>
      <c r="T126">
        <f>IF($J126&gt;MAX('Match Log'!$A$4:$A$810),NA(),IFERROR(LOOKUP(2,1/(('Match Log'!$D$4:$D$810=$T$24)*('Match Log'!$A$4:$A$810&lt;=$J126)),'Match Log'!$N$4:$N$810),NA()))</f>
        <v>893.03675187725173</v>
      </c>
      <c r="U126">
        <f>IF($J126&gt;MAX('Match Log'!$A$4:$A$810),NA(),IFERROR(LOOKUP(2,1/(('Match Log'!$D$4:$D$810=$U$24)*('Match Log'!$A$4:$A$810&lt;=$J126)),'Match Log'!$N$4:$N$810),NA()))</f>
        <v>1076.6069656843583</v>
      </c>
      <c r="V126">
        <f>IF($J126&gt;MAX('Match Log'!$A$4:$A$810),NA(),IFERROR(LOOKUP(2,1/(('Match Log'!$D$4:$D$810=$V$24)*('Match Log'!$A$4:$A$810&lt;=$J126)),'Match Log'!$N$4:$N$810),NA()))</f>
        <v>1031.225848367051</v>
      </c>
      <c r="W126">
        <f>IF($J126&gt;MAX('Match Log'!$A$4:$A$810),NA(),IFERROR(LOOKUP(2,1/(('Match Log'!$D$4:$D$810=$W$24)*('Match Log'!$A$4:$A$810&lt;=$J126)),'Match Log'!$N$4:$N$810),NA()))</f>
        <v>1030.3815983388336</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1057.8442062146762</v>
      </c>
      <c r="L127">
        <f>IF($J127&gt;MAX('Match Log'!$A$4:$A$810),NA(),IFERROR(LOOKUP(2,1/(('Match Log'!$D$4:$D$810=$L$24)*('Match Log'!$A$4:$A$810&lt;=$J127)),'Match Log'!$N$4:$N$810),NA()))</f>
        <v>1029.2201908859522</v>
      </c>
      <c r="M127">
        <f>IF($J127&gt;MAX('Match Log'!$A$4:$A$810),NA(),IFERROR(LOOKUP(2,1/(('Match Log'!$D$4:$D$810=$M$24)*('Match Log'!$A$4:$A$810&lt;=$J127)),'Match Log'!$N$4:$N$810),NA()))</f>
        <v>1016.7837867075796</v>
      </c>
      <c r="N127">
        <f>IF($J127&gt;MAX('Match Log'!$A$4:$A$810),NA(),IFERROR(LOOKUP(2,1/(('Match Log'!$D$4:$D$810=$N$24)*('Match Log'!$A$4:$A$810&lt;=$J127)),'Match Log'!$N$4:$N$810),NA()))</f>
        <v>981.92436608474441</v>
      </c>
      <c r="O127">
        <f>IF($J127&gt;MAX('Match Log'!$A$4:$A$810),NA(),IFERROR(LOOKUP(2,1/(('Match Log'!$D$4:$D$810=$O$24)*('Match Log'!$A$4:$A$810&lt;=$J127)),'Match Log'!$N$4:$N$810),NA()))</f>
        <v>1129.7012289075892</v>
      </c>
      <c r="P127">
        <f>IF($J127&gt;MAX('Match Log'!$A$4:$A$810),NA(),IFERROR(LOOKUP(2,1/(('Match Log'!$D$4:$D$810=$P$24)*('Match Log'!$A$4:$A$810&lt;=$J127)),'Match Log'!$N$4:$N$810),NA()))</f>
        <v>1034.2694085900962</v>
      </c>
      <c r="Q127">
        <f>IF($J127&gt;MAX('Match Log'!$A$4:$A$810),NA(),IFERROR(LOOKUP(2,1/(('Match Log'!$D$4:$D$810=$Q$24)*('Match Log'!$A$4:$A$810&lt;=$J127)),'Match Log'!$N$4:$N$810),NA()))</f>
        <v>1084.8903813508514</v>
      </c>
      <c r="R127">
        <f>IF($J127&gt;MAX('Match Log'!$A$4:$A$810),NA(),IFERROR(LOOKUP(2,1/(('Match Log'!$D$4:$D$810=$R$24)*('Match Log'!$A$4:$A$810&lt;=$J127)),'Match Log'!$N$4:$N$810),NA()))</f>
        <v>1069.9039233902718</v>
      </c>
      <c r="S127">
        <f>IF($J127&gt;MAX('Match Log'!$A$4:$A$810),NA(),IFERROR(LOOKUP(2,1/(('Match Log'!$D$4:$D$810=$S$24)*('Match Log'!$A$4:$A$810&lt;=$J127)),'Match Log'!$N$4:$N$810),NA()))</f>
        <v>1168.2113436007442</v>
      </c>
      <c r="T127">
        <f>IF($J127&gt;MAX('Match Log'!$A$4:$A$810),NA(),IFERROR(LOOKUP(2,1/(('Match Log'!$D$4:$D$810=$T$24)*('Match Log'!$A$4:$A$810&lt;=$J127)),'Match Log'!$N$4:$N$810),NA()))</f>
        <v>893.03675187725173</v>
      </c>
      <c r="U127">
        <f>IF($J127&gt;MAX('Match Log'!$A$4:$A$810),NA(),IFERROR(LOOKUP(2,1/(('Match Log'!$D$4:$D$810=$U$24)*('Match Log'!$A$4:$A$810&lt;=$J127)),'Match Log'!$N$4:$N$810),NA()))</f>
        <v>1076.6069656843583</v>
      </c>
      <c r="V127">
        <f>IF($J127&gt;MAX('Match Log'!$A$4:$A$810),NA(),IFERROR(LOOKUP(2,1/(('Match Log'!$D$4:$D$810=$V$24)*('Match Log'!$A$4:$A$810&lt;=$J127)),'Match Log'!$N$4:$N$810),NA()))</f>
        <v>1031.225848367051</v>
      </c>
      <c r="W127">
        <f>IF($J127&gt;MAX('Match Log'!$A$4:$A$810),NA(),IFERROR(LOOKUP(2,1/(('Match Log'!$D$4:$D$810=$W$24)*('Match Log'!$A$4:$A$810&lt;=$J127)),'Match Log'!$N$4:$N$810),NA()))</f>
        <v>1030.3815983388336</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1032.1112051327555</v>
      </c>
      <c r="L128">
        <f>IF($J128&gt;MAX('Match Log'!$A$4:$A$810),NA(),IFERROR(LOOKUP(2,1/(('Match Log'!$D$4:$D$810=$L$24)*('Match Log'!$A$4:$A$810&lt;=$J128)),'Match Log'!$N$4:$N$810),NA()))</f>
        <v>1029.2201908859522</v>
      </c>
      <c r="M128">
        <f>IF($J128&gt;MAX('Match Log'!$A$4:$A$810),NA(),IFERROR(LOOKUP(2,1/(('Match Log'!$D$4:$D$810=$M$24)*('Match Log'!$A$4:$A$810&lt;=$J128)),'Match Log'!$N$4:$N$810),NA()))</f>
        <v>1016.7837867075796</v>
      </c>
      <c r="N128">
        <f>IF($J128&gt;MAX('Match Log'!$A$4:$A$810),NA(),IFERROR(LOOKUP(2,1/(('Match Log'!$D$4:$D$810=$N$24)*('Match Log'!$A$4:$A$810&lt;=$J128)),'Match Log'!$N$4:$N$810),NA()))</f>
        <v>981.92436608474441</v>
      </c>
      <c r="O128">
        <f>IF($J128&gt;MAX('Match Log'!$A$4:$A$810),NA(),IFERROR(LOOKUP(2,1/(('Match Log'!$D$4:$D$810=$O$24)*('Match Log'!$A$4:$A$810&lt;=$J128)),'Match Log'!$N$4:$N$810),NA()))</f>
        <v>1129.7012289075892</v>
      </c>
      <c r="P128">
        <f>IF($J128&gt;MAX('Match Log'!$A$4:$A$810),NA(),IFERROR(LOOKUP(2,1/(('Match Log'!$D$4:$D$810=$P$24)*('Match Log'!$A$4:$A$810&lt;=$J128)),'Match Log'!$N$4:$N$810),NA()))</f>
        <v>1060.0024096720169</v>
      </c>
      <c r="Q128">
        <f>IF($J128&gt;MAX('Match Log'!$A$4:$A$810),NA(),IFERROR(LOOKUP(2,1/(('Match Log'!$D$4:$D$810=$Q$24)*('Match Log'!$A$4:$A$810&lt;=$J128)),'Match Log'!$N$4:$N$810),NA()))</f>
        <v>1084.8903813508514</v>
      </c>
      <c r="R128">
        <f>IF($J128&gt;MAX('Match Log'!$A$4:$A$810),NA(),IFERROR(LOOKUP(2,1/(('Match Log'!$D$4:$D$810=$R$24)*('Match Log'!$A$4:$A$810&lt;=$J128)),'Match Log'!$N$4:$N$810),NA()))</f>
        <v>1069.9039233902718</v>
      </c>
      <c r="S128">
        <f>IF($J128&gt;MAX('Match Log'!$A$4:$A$810),NA(),IFERROR(LOOKUP(2,1/(('Match Log'!$D$4:$D$810=$S$24)*('Match Log'!$A$4:$A$810&lt;=$J128)),'Match Log'!$N$4:$N$810),NA()))</f>
        <v>1168.2113436007442</v>
      </c>
      <c r="T128">
        <f>IF($J128&gt;MAX('Match Log'!$A$4:$A$810),NA(),IFERROR(LOOKUP(2,1/(('Match Log'!$D$4:$D$810=$T$24)*('Match Log'!$A$4:$A$810&lt;=$J128)),'Match Log'!$N$4:$N$810),NA()))</f>
        <v>893.03675187725173</v>
      </c>
      <c r="U128">
        <f>IF($J128&gt;MAX('Match Log'!$A$4:$A$810),NA(),IFERROR(LOOKUP(2,1/(('Match Log'!$D$4:$D$810=$U$24)*('Match Log'!$A$4:$A$810&lt;=$J128)),'Match Log'!$N$4:$N$810),NA()))</f>
        <v>1076.6069656843583</v>
      </c>
      <c r="V128">
        <f>IF($J128&gt;MAX('Match Log'!$A$4:$A$810),NA(),IFERROR(LOOKUP(2,1/(('Match Log'!$D$4:$D$810=$V$24)*('Match Log'!$A$4:$A$810&lt;=$J128)),'Match Log'!$N$4:$N$810),NA()))</f>
        <v>1031.225848367051</v>
      </c>
      <c r="W128">
        <f>IF($J128&gt;MAX('Match Log'!$A$4:$A$810),NA(),IFERROR(LOOKUP(2,1/(('Match Log'!$D$4:$D$810=$W$24)*('Match Log'!$A$4:$A$810&lt;=$J128)),'Match Log'!$N$4:$N$810),NA()))</f>
        <v>1030.3815983388336</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1055.301073253218</v>
      </c>
      <c r="L129">
        <f>IF($J129&gt;MAX('Match Log'!$A$4:$A$810),NA(),IFERROR(LOOKUP(2,1/(('Match Log'!$D$4:$D$810=$L$24)*('Match Log'!$A$4:$A$810&lt;=$J129)),'Match Log'!$N$4:$N$810),NA()))</f>
        <v>1029.2201908859522</v>
      </c>
      <c r="M129">
        <f>IF($J129&gt;MAX('Match Log'!$A$4:$A$810),NA(),IFERROR(LOOKUP(2,1/(('Match Log'!$D$4:$D$810=$M$24)*('Match Log'!$A$4:$A$810&lt;=$J129)),'Match Log'!$N$4:$N$810),NA()))</f>
        <v>1016.7837867075796</v>
      </c>
      <c r="N129">
        <f>IF($J129&gt;MAX('Match Log'!$A$4:$A$810),NA(),IFERROR(LOOKUP(2,1/(('Match Log'!$D$4:$D$810=$N$24)*('Match Log'!$A$4:$A$810&lt;=$J129)),'Match Log'!$N$4:$N$810),NA()))</f>
        <v>981.92436608474441</v>
      </c>
      <c r="O129">
        <f>IF($J129&gt;MAX('Match Log'!$A$4:$A$810),NA(),IFERROR(LOOKUP(2,1/(('Match Log'!$D$4:$D$810=$O$24)*('Match Log'!$A$4:$A$810&lt;=$J129)),'Match Log'!$N$4:$N$810),NA()))</f>
        <v>1129.7012289075892</v>
      </c>
      <c r="P129">
        <f>IF($J129&gt;MAX('Match Log'!$A$4:$A$810),NA(),IFERROR(LOOKUP(2,1/(('Match Log'!$D$4:$D$810=$P$24)*('Match Log'!$A$4:$A$810&lt;=$J129)),'Match Log'!$N$4:$N$810),NA()))</f>
        <v>1036.8125415515544</v>
      </c>
      <c r="Q129">
        <f>IF($J129&gt;MAX('Match Log'!$A$4:$A$810),NA(),IFERROR(LOOKUP(2,1/(('Match Log'!$D$4:$D$810=$Q$24)*('Match Log'!$A$4:$A$810&lt;=$J129)),'Match Log'!$N$4:$N$810),NA()))</f>
        <v>1084.8903813508514</v>
      </c>
      <c r="R129">
        <f>IF($J129&gt;MAX('Match Log'!$A$4:$A$810),NA(),IFERROR(LOOKUP(2,1/(('Match Log'!$D$4:$D$810=$R$24)*('Match Log'!$A$4:$A$810&lt;=$J129)),'Match Log'!$N$4:$N$810),NA()))</f>
        <v>1069.9039233902718</v>
      </c>
      <c r="S129">
        <f>IF($J129&gt;MAX('Match Log'!$A$4:$A$810),NA(),IFERROR(LOOKUP(2,1/(('Match Log'!$D$4:$D$810=$S$24)*('Match Log'!$A$4:$A$810&lt;=$J129)),'Match Log'!$N$4:$N$810),NA()))</f>
        <v>1168.2113436007442</v>
      </c>
      <c r="T129">
        <f>IF($J129&gt;MAX('Match Log'!$A$4:$A$810),NA(),IFERROR(LOOKUP(2,1/(('Match Log'!$D$4:$D$810=$T$24)*('Match Log'!$A$4:$A$810&lt;=$J129)),'Match Log'!$N$4:$N$810),NA()))</f>
        <v>893.03675187725173</v>
      </c>
      <c r="U129">
        <f>IF($J129&gt;MAX('Match Log'!$A$4:$A$810),NA(),IFERROR(LOOKUP(2,1/(('Match Log'!$D$4:$D$810=$U$24)*('Match Log'!$A$4:$A$810&lt;=$J129)),'Match Log'!$N$4:$N$810),NA()))</f>
        <v>1076.6069656843583</v>
      </c>
      <c r="V129">
        <f>IF($J129&gt;MAX('Match Log'!$A$4:$A$810),NA(),IFERROR(LOOKUP(2,1/(('Match Log'!$D$4:$D$810=$V$24)*('Match Log'!$A$4:$A$810&lt;=$J129)),'Match Log'!$N$4:$N$810),NA()))</f>
        <v>1031.225848367051</v>
      </c>
      <c r="W129">
        <f>IF($J129&gt;MAX('Match Log'!$A$4:$A$810),NA(),IFERROR(LOOKUP(2,1/(('Match Log'!$D$4:$D$810=$W$24)*('Match Log'!$A$4:$A$810&lt;=$J129)),'Match Log'!$N$4:$N$810),NA()))</f>
        <v>1030.3815983388336</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1073.7469885035252</v>
      </c>
      <c r="L130">
        <f>IF($J130&gt;MAX('Match Log'!$A$4:$A$810),NA(),IFERROR(LOOKUP(2,1/(('Match Log'!$D$4:$D$810=$L$24)*('Match Log'!$A$4:$A$810&lt;=$J130)),'Match Log'!$N$4:$N$810),NA()))</f>
        <v>1029.2201908859522</v>
      </c>
      <c r="M130">
        <f>IF($J130&gt;MAX('Match Log'!$A$4:$A$810),NA(),IFERROR(LOOKUP(2,1/(('Match Log'!$D$4:$D$810=$M$24)*('Match Log'!$A$4:$A$810&lt;=$J130)),'Match Log'!$N$4:$N$810),NA()))</f>
        <v>1016.7837867075796</v>
      </c>
      <c r="N130">
        <f>IF($J130&gt;MAX('Match Log'!$A$4:$A$810),NA(),IFERROR(LOOKUP(2,1/(('Match Log'!$D$4:$D$810=$N$24)*('Match Log'!$A$4:$A$810&lt;=$J130)),'Match Log'!$N$4:$N$810),NA()))</f>
        <v>981.92436608474441</v>
      </c>
      <c r="O130">
        <f>IF($J130&gt;MAX('Match Log'!$A$4:$A$810),NA(),IFERROR(LOOKUP(2,1/(('Match Log'!$D$4:$D$810=$O$24)*('Match Log'!$A$4:$A$810&lt;=$J130)),'Match Log'!$N$4:$N$810),NA()))</f>
        <v>1129.7012289075892</v>
      </c>
      <c r="P130">
        <f>IF($J130&gt;MAX('Match Log'!$A$4:$A$810),NA(),IFERROR(LOOKUP(2,1/(('Match Log'!$D$4:$D$810=$P$24)*('Match Log'!$A$4:$A$810&lt;=$J130)),'Match Log'!$N$4:$N$810),NA()))</f>
        <v>1018.366626301247</v>
      </c>
      <c r="Q130">
        <f>IF($J130&gt;MAX('Match Log'!$A$4:$A$810),NA(),IFERROR(LOOKUP(2,1/(('Match Log'!$D$4:$D$810=$Q$24)*('Match Log'!$A$4:$A$810&lt;=$J130)),'Match Log'!$N$4:$N$810),NA()))</f>
        <v>1084.8903813508514</v>
      </c>
      <c r="R130">
        <f>IF($J130&gt;MAX('Match Log'!$A$4:$A$810),NA(),IFERROR(LOOKUP(2,1/(('Match Log'!$D$4:$D$810=$R$24)*('Match Log'!$A$4:$A$810&lt;=$J130)),'Match Log'!$N$4:$N$810),NA()))</f>
        <v>1069.9039233902718</v>
      </c>
      <c r="S130">
        <f>IF($J130&gt;MAX('Match Log'!$A$4:$A$810),NA(),IFERROR(LOOKUP(2,1/(('Match Log'!$D$4:$D$810=$S$24)*('Match Log'!$A$4:$A$810&lt;=$J130)),'Match Log'!$N$4:$N$810),NA()))</f>
        <v>1168.2113436007442</v>
      </c>
      <c r="T130">
        <f>IF($J130&gt;MAX('Match Log'!$A$4:$A$810),NA(),IFERROR(LOOKUP(2,1/(('Match Log'!$D$4:$D$810=$T$24)*('Match Log'!$A$4:$A$810&lt;=$J130)),'Match Log'!$N$4:$N$810),NA()))</f>
        <v>893.03675187725173</v>
      </c>
      <c r="U130">
        <f>IF($J130&gt;MAX('Match Log'!$A$4:$A$810),NA(),IFERROR(LOOKUP(2,1/(('Match Log'!$D$4:$D$810=$U$24)*('Match Log'!$A$4:$A$810&lt;=$J130)),'Match Log'!$N$4:$N$810),NA()))</f>
        <v>1076.6069656843583</v>
      </c>
      <c r="V130">
        <f>IF($J130&gt;MAX('Match Log'!$A$4:$A$810),NA(),IFERROR(LOOKUP(2,1/(('Match Log'!$D$4:$D$810=$V$24)*('Match Log'!$A$4:$A$810&lt;=$J130)),'Match Log'!$N$4:$N$810),NA()))</f>
        <v>1031.225848367051</v>
      </c>
      <c r="W130">
        <f>IF($J130&gt;MAX('Match Log'!$A$4:$A$810),NA(),IFERROR(LOOKUP(2,1/(('Match Log'!$D$4:$D$810=$W$24)*('Match Log'!$A$4:$A$810&lt;=$J130)),'Match Log'!$N$4:$N$810),NA()))</f>
        <v>1030.3815983388336</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1046.3886391417018</v>
      </c>
      <c r="L131">
        <f>IF($J131&gt;MAX('Match Log'!$A$4:$A$810),NA(),IFERROR(LOOKUP(2,1/(('Match Log'!$D$4:$D$810=$L$24)*('Match Log'!$A$4:$A$810&lt;=$J131)),'Match Log'!$N$4:$N$810),NA()))</f>
        <v>1029.2201908859522</v>
      </c>
      <c r="M131">
        <f>IF($J131&gt;MAX('Match Log'!$A$4:$A$810),NA(),IFERROR(LOOKUP(2,1/(('Match Log'!$D$4:$D$810=$M$24)*('Match Log'!$A$4:$A$810&lt;=$J131)),'Match Log'!$N$4:$N$810),NA()))</f>
        <v>1016.7837867075796</v>
      </c>
      <c r="N131">
        <f>IF($J131&gt;MAX('Match Log'!$A$4:$A$810),NA(),IFERROR(LOOKUP(2,1/(('Match Log'!$D$4:$D$810=$N$24)*('Match Log'!$A$4:$A$810&lt;=$J131)),'Match Log'!$N$4:$N$810),NA()))</f>
        <v>981.92436608474441</v>
      </c>
      <c r="O131">
        <f>IF($J131&gt;MAX('Match Log'!$A$4:$A$810),NA(),IFERROR(LOOKUP(2,1/(('Match Log'!$D$4:$D$810=$O$24)*('Match Log'!$A$4:$A$810&lt;=$J131)),'Match Log'!$N$4:$N$810),NA()))</f>
        <v>1129.7012289075892</v>
      </c>
      <c r="P131">
        <f>IF($J131&gt;MAX('Match Log'!$A$4:$A$810),NA(),IFERROR(LOOKUP(2,1/(('Match Log'!$D$4:$D$810=$P$24)*('Match Log'!$A$4:$A$810&lt;=$J131)),'Match Log'!$N$4:$N$810),NA()))</f>
        <v>1045.7249756630706</v>
      </c>
      <c r="Q131">
        <f>IF($J131&gt;MAX('Match Log'!$A$4:$A$810),NA(),IFERROR(LOOKUP(2,1/(('Match Log'!$D$4:$D$810=$Q$24)*('Match Log'!$A$4:$A$810&lt;=$J131)),'Match Log'!$N$4:$N$810),NA()))</f>
        <v>1084.8903813508514</v>
      </c>
      <c r="R131">
        <f>IF($J131&gt;MAX('Match Log'!$A$4:$A$810),NA(),IFERROR(LOOKUP(2,1/(('Match Log'!$D$4:$D$810=$R$24)*('Match Log'!$A$4:$A$810&lt;=$J131)),'Match Log'!$N$4:$N$810),NA()))</f>
        <v>1069.9039233902718</v>
      </c>
      <c r="S131">
        <f>IF($J131&gt;MAX('Match Log'!$A$4:$A$810),NA(),IFERROR(LOOKUP(2,1/(('Match Log'!$D$4:$D$810=$S$24)*('Match Log'!$A$4:$A$810&lt;=$J131)),'Match Log'!$N$4:$N$810),NA()))</f>
        <v>1168.2113436007442</v>
      </c>
      <c r="T131">
        <f>IF($J131&gt;MAX('Match Log'!$A$4:$A$810),NA(),IFERROR(LOOKUP(2,1/(('Match Log'!$D$4:$D$810=$T$24)*('Match Log'!$A$4:$A$810&lt;=$J131)),'Match Log'!$N$4:$N$810),NA()))</f>
        <v>893.03675187725173</v>
      </c>
      <c r="U131">
        <f>IF($J131&gt;MAX('Match Log'!$A$4:$A$810),NA(),IFERROR(LOOKUP(2,1/(('Match Log'!$D$4:$D$810=$U$24)*('Match Log'!$A$4:$A$810&lt;=$J131)),'Match Log'!$N$4:$N$810),NA()))</f>
        <v>1076.6069656843583</v>
      </c>
      <c r="V131">
        <f>IF($J131&gt;MAX('Match Log'!$A$4:$A$810),NA(),IFERROR(LOOKUP(2,1/(('Match Log'!$D$4:$D$810=$V$24)*('Match Log'!$A$4:$A$810&lt;=$J131)),'Match Log'!$N$4:$N$810),NA()))</f>
        <v>1031.225848367051</v>
      </c>
      <c r="W131">
        <f>IF($J131&gt;MAX('Match Log'!$A$4:$A$810),NA(),IFERROR(LOOKUP(2,1/(('Match Log'!$D$4:$D$810=$W$24)*('Match Log'!$A$4:$A$810&lt;=$J131)),'Match Log'!$N$4:$N$810),NA()))</f>
        <v>1030.3815983388336</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1021.7866326652597</v>
      </c>
      <c r="L132">
        <f>IF($J132&gt;MAX('Match Log'!$A$4:$A$810),NA(),IFERROR(LOOKUP(2,1/(('Match Log'!$D$4:$D$810=$L$24)*('Match Log'!$A$4:$A$810&lt;=$J132)),'Match Log'!$N$4:$N$810),NA()))</f>
        <v>1029.2201908859522</v>
      </c>
      <c r="M132">
        <f>IF($J132&gt;MAX('Match Log'!$A$4:$A$810),NA(),IFERROR(LOOKUP(2,1/(('Match Log'!$D$4:$D$810=$M$24)*('Match Log'!$A$4:$A$810&lt;=$J132)),'Match Log'!$N$4:$N$810),NA()))</f>
        <v>1016.7837867075796</v>
      </c>
      <c r="N132">
        <f>IF($J132&gt;MAX('Match Log'!$A$4:$A$810),NA(),IFERROR(LOOKUP(2,1/(('Match Log'!$D$4:$D$810=$N$24)*('Match Log'!$A$4:$A$810&lt;=$J132)),'Match Log'!$N$4:$N$810),NA()))</f>
        <v>981.92436608474441</v>
      </c>
      <c r="O132">
        <f>IF($J132&gt;MAX('Match Log'!$A$4:$A$810),NA(),IFERROR(LOOKUP(2,1/(('Match Log'!$D$4:$D$810=$O$24)*('Match Log'!$A$4:$A$810&lt;=$J132)),'Match Log'!$N$4:$N$810),NA()))</f>
        <v>1129.7012289075892</v>
      </c>
      <c r="P132">
        <f>IF($J132&gt;MAX('Match Log'!$A$4:$A$810),NA(),IFERROR(LOOKUP(2,1/(('Match Log'!$D$4:$D$810=$P$24)*('Match Log'!$A$4:$A$810&lt;=$J132)),'Match Log'!$N$4:$N$810),NA()))</f>
        <v>1070.3269821395127</v>
      </c>
      <c r="Q132">
        <f>IF($J132&gt;MAX('Match Log'!$A$4:$A$810),NA(),IFERROR(LOOKUP(2,1/(('Match Log'!$D$4:$D$810=$Q$24)*('Match Log'!$A$4:$A$810&lt;=$J132)),'Match Log'!$N$4:$N$810),NA()))</f>
        <v>1084.8903813508514</v>
      </c>
      <c r="R132">
        <f>IF($J132&gt;MAX('Match Log'!$A$4:$A$810),NA(),IFERROR(LOOKUP(2,1/(('Match Log'!$D$4:$D$810=$R$24)*('Match Log'!$A$4:$A$810&lt;=$J132)),'Match Log'!$N$4:$N$810),NA()))</f>
        <v>1069.9039233902718</v>
      </c>
      <c r="S132">
        <f>IF($J132&gt;MAX('Match Log'!$A$4:$A$810),NA(),IFERROR(LOOKUP(2,1/(('Match Log'!$D$4:$D$810=$S$24)*('Match Log'!$A$4:$A$810&lt;=$J132)),'Match Log'!$N$4:$N$810),NA()))</f>
        <v>1168.2113436007442</v>
      </c>
      <c r="T132">
        <f>IF($J132&gt;MAX('Match Log'!$A$4:$A$810),NA(),IFERROR(LOOKUP(2,1/(('Match Log'!$D$4:$D$810=$T$24)*('Match Log'!$A$4:$A$810&lt;=$J132)),'Match Log'!$N$4:$N$810),NA()))</f>
        <v>893.03675187725173</v>
      </c>
      <c r="U132">
        <f>IF($J132&gt;MAX('Match Log'!$A$4:$A$810),NA(),IFERROR(LOOKUP(2,1/(('Match Log'!$D$4:$D$810=$U$24)*('Match Log'!$A$4:$A$810&lt;=$J132)),'Match Log'!$N$4:$N$810),NA()))</f>
        <v>1076.6069656843583</v>
      </c>
      <c r="V132">
        <f>IF($J132&gt;MAX('Match Log'!$A$4:$A$810),NA(),IFERROR(LOOKUP(2,1/(('Match Log'!$D$4:$D$810=$V$24)*('Match Log'!$A$4:$A$810&lt;=$J132)),'Match Log'!$N$4:$N$810),NA()))</f>
        <v>1031.225848367051</v>
      </c>
      <c r="W132">
        <f>IF($J132&gt;MAX('Match Log'!$A$4:$A$810),NA(),IFERROR(LOOKUP(2,1/(('Match Log'!$D$4:$D$810=$W$24)*('Match Log'!$A$4:$A$810&lt;=$J132)),'Match Log'!$N$4:$N$810),NA()))</f>
        <v>1030.3815983388336</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1043.6573627534565</v>
      </c>
      <c r="L133">
        <f>IF($J133&gt;MAX('Match Log'!$A$4:$A$810),NA(),IFERROR(LOOKUP(2,1/(('Match Log'!$D$4:$D$810=$L$24)*('Match Log'!$A$4:$A$810&lt;=$J133)),'Match Log'!$N$4:$N$810),NA()))</f>
        <v>1029.2201908859522</v>
      </c>
      <c r="M133">
        <f>IF($J133&gt;MAX('Match Log'!$A$4:$A$810),NA(),IFERROR(LOOKUP(2,1/(('Match Log'!$D$4:$D$810=$M$24)*('Match Log'!$A$4:$A$810&lt;=$J133)),'Match Log'!$N$4:$N$810),NA()))</f>
        <v>1016.7837867075796</v>
      </c>
      <c r="N133">
        <f>IF($J133&gt;MAX('Match Log'!$A$4:$A$810),NA(),IFERROR(LOOKUP(2,1/(('Match Log'!$D$4:$D$810=$N$24)*('Match Log'!$A$4:$A$810&lt;=$J133)),'Match Log'!$N$4:$N$810),NA()))</f>
        <v>981.92436608474441</v>
      </c>
      <c r="O133">
        <f>IF($J133&gt;MAX('Match Log'!$A$4:$A$810),NA(),IFERROR(LOOKUP(2,1/(('Match Log'!$D$4:$D$810=$O$24)*('Match Log'!$A$4:$A$810&lt;=$J133)),'Match Log'!$N$4:$N$810),NA()))</f>
        <v>1129.7012289075892</v>
      </c>
      <c r="P133">
        <f>IF($J133&gt;MAX('Match Log'!$A$4:$A$810),NA(),IFERROR(LOOKUP(2,1/(('Match Log'!$D$4:$D$810=$P$24)*('Match Log'!$A$4:$A$810&lt;=$J133)),'Match Log'!$N$4:$N$810),NA()))</f>
        <v>1048.4562520513159</v>
      </c>
      <c r="Q133">
        <f>IF($J133&gt;MAX('Match Log'!$A$4:$A$810),NA(),IFERROR(LOOKUP(2,1/(('Match Log'!$D$4:$D$810=$Q$24)*('Match Log'!$A$4:$A$810&lt;=$J133)),'Match Log'!$N$4:$N$810),NA()))</f>
        <v>1084.8903813508514</v>
      </c>
      <c r="R133">
        <f>IF($J133&gt;MAX('Match Log'!$A$4:$A$810),NA(),IFERROR(LOOKUP(2,1/(('Match Log'!$D$4:$D$810=$R$24)*('Match Log'!$A$4:$A$810&lt;=$J133)),'Match Log'!$N$4:$N$810),NA()))</f>
        <v>1069.9039233902718</v>
      </c>
      <c r="S133">
        <f>IF($J133&gt;MAX('Match Log'!$A$4:$A$810),NA(),IFERROR(LOOKUP(2,1/(('Match Log'!$D$4:$D$810=$S$24)*('Match Log'!$A$4:$A$810&lt;=$J133)),'Match Log'!$N$4:$N$810),NA()))</f>
        <v>1168.2113436007442</v>
      </c>
      <c r="T133">
        <f>IF($J133&gt;MAX('Match Log'!$A$4:$A$810),NA(),IFERROR(LOOKUP(2,1/(('Match Log'!$D$4:$D$810=$T$24)*('Match Log'!$A$4:$A$810&lt;=$J133)),'Match Log'!$N$4:$N$810),NA()))</f>
        <v>893.03675187725173</v>
      </c>
      <c r="U133">
        <f>IF($J133&gt;MAX('Match Log'!$A$4:$A$810),NA(),IFERROR(LOOKUP(2,1/(('Match Log'!$D$4:$D$810=$U$24)*('Match Log'!$A$4:$A$810&lt;=$J133)),'Match Log'!$N$4:$N$810),NA()))</f>
        <v>1076.6069656843583</v>
      </c>
      <c r="V133">
        <f>IF($J133&gt;MAX('Match Log'!$A$4:$A$810),NA(),IFERROR(LOOKUP(2,1/(('Match Log'!$D$4:$D$810=$V$24)*('Match Log'!$A$4:$A$810&lt;=$J133)),'Match Log'!$N$4:$N$810),NA()))</f>
        <v>1031.225848367051</v>
      </c>
      <c r="W133">
        <f>IF($J133&gt;MAX('Match Log'!$A$4:$A$810),NA(),IFERROR(LOOKUP(2,1/(('Match Log'!$D$4:$D$810=$W$24)*('Match Log'!$A$4:$A$810&lt;=$J133)),'Match Log'!$N$4:$N$810),NA()))</f>
        <v>1030.3815983388336</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1063.4365494374706</v>
      </c>
      <c r="L134">
        <f>IF($J134&gt;MAX('Match Log'!$A$4:$A$810),NA(),IFERROR(LOOKUP(2,1/(('Match Log'!$D$4:$D$810=$L$24)*('Match Log'!$A$4:$A$810&lt;=$J134)),'Match Log'!$N$4:$N$810),NA()))</f>
        <v>1029.2201908859522</v>
      </c>
      <c r="M134">
        <f>IF($J134&gt;MAX('Match Log'!$A$4:$A$810),NA(),IFERROR(LOOKUP(2,1/(('Match Log'!$D$4:$D$810=$M$24)*('Match Log'!$A$4:$A$810&lt;=$J134)),'Match Log'!$N$4:$N$810),NA()))</f>
        <v>1016.7837867075796</v>
      </c>
      <c r="N134">
        <f>IF($J134&gt;MAX('Match Log'!$A$4:$A$810),NA(),IFERROR(LOOKUP(2,1/(('Match Log'!$D$4:$D$810=$N$24)*('Match Log'!$A$4:$A$810&lt;=$J134)),'Match Log'!$N$4:$N$810),NA()))</f>
        <v>981.92436608474441</v>
      </c>
      <c r="O134">
        <f>IF($J134&gt;MAX('Match Log'!$A$4:$A$810),NA(),IFERROR(LOOKUP(2,1/(('Match Log'!$D$4:$D$810=$O$24)*('Match Log'!$A$4:$A$810&lt;=$J134)),'Match Log'!$N$4:$N$810),NA()))</f>
        <v>1129.7012289075892</v>
      </c>
      <c r="P134">
        <f>IF($J134&gt;MAX('Match Log'!$A$4:$A$810),NA(),IFERROR(LOOKUP(2,1/(('Match Log'!$D$4:$D$810=$P$24)*('Match Log'!$A$4:$A$810&lt;=$J134)),'Match Log'!$N$4:$N$810),NA()))</f>
        <v>1028.6770653673018</v>
      </c>
      <c r="Q134">
        <f>IF($J134&gt;MAX('Match Log'!$A$4:$A$810),NA(),IFERROR(LOOKUP(2,1/(('Match Log'!$D$4:$D$810=$Q$24)*('Match Log'!$A$4:$A$810&lt;=$J134)),'Match Log'!$N$4:$N$810),NA()))</f>
        <v>1084.8903813508514</v>
      </c>
      <c r="R134">
        <f>IF($J134&gt;MAX('Match Log'!$A$4:$A$810),NA(),IFERROR(LOOKUP(2,1/(('Match Log'!$D$4:$D$810=$R$24)*('Match Log'!$A$4:$A$810&lt;=$J134)),'Match Log'!$N$4:$N$810),NA()))</f>
        <v>1069.9039233902718</v>
      </c>
      <c r="S134">
        <f>IF($J134&gt;MAX('Match Log'!$A$4:$A$810),NA(),IFERROR(LOOKUP(2,1/(('Match Log'!$D$4:$D$810=$S$24)*('Match Log'!$A$4:$A$810&lt;=$J134)),'Match Log'!$N$4:$N$810),NA()))</f>
        <v>1168.2113436007442</v>
      </c>
      <c r="T134">
        <f>IF($J134&gt;MAX('Match Log'!$A$4:$A$810),NA(),IFERROR(LOOKUP(2,1/(('Match Log'!$D$4:$D$810=$T$24)*('Match Log'!$A$4:$A$810&lt;=$J134)),'Match Log'!$N$4:$N$810),NA()))</f>
        <v>893.03675187725173</v>
      </c>
      <c r="U134">
        <f>IF($J134&gt;MAX('Match Log'!$A$4:$A$810),NA(),IFERROR(LOOKUP(2,1/(('Match Log'!$D$4:$D$810=$U$24)*('Match Log'!$A$4:$A$810&lt;=$J134)),'Match Log'!$N$4:$N$810),NA()))</f>
        <v>1076.6069656843583</v>
      </c>
      <c r="V134">
        <f>IF($J134&gt;MAX('Match Log'!$A$4:$A$810),NA(),IFERROR(LOOKUP(2,1/(('Match Log'!$D$4:$D$810=$V$24)*('Match Log'!$A$4:$A$810&lt;=$J134)),'Match Log'!$N$4:$N$810),NA()))</f>
        <v>1031.225848367051</v>
      </c>
      <c r="W134">
        <f>IF($J134&gt;MAX('Match Log'!$A$4:$A$810),NA(),IFERROR(LOOKUP(2,1/(('Match Log'!$D$4:$D$810=$W$24)*('Match Log'!$A$4:$A$810&lt;=$J134)),'Match Log'!$N$4:$N$810),NA()))</f>
        <v>1030.3815983388336</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1082.2958989214244</v>
      </c>
      <c r="L135">
        <f>IF($J135&gt;MAX('Match Log'!$A$4:$A$810),NA(),IFERROR(LOOKUP(2,1/(('Match Log'!$D$4:$D$810=$L$24)*('Match Log'!$A$4:$A$810&lt;=$J135)),'Match Log'!$N$4:$N$810),NA()))</f>
        <v>1029.2201908859522</v>
      </c>
      <c r="M135">
        <f>IF($J135&gt;MAX('Match Log'!$A$4:$A$810),NA(),IFERROR(LOOKUP(2,1/(('Match Log'!$D$4:$D$810=$M$24)*('Match Log'!$A$4:$A$810&lt;=$J135)),'Match Log'!$N$4:$N$810),NA()))</f>
        <v>1016.7837867075796</v>
      </c>
      <c r="N135">
        <f>IF($J135&gt;MAX('Match Log'!$A$4:$A$810),NA(),IFERROR(LOOKUP(2,1/(('Match Log'!$D$4:$D$810=$N$24)*('Match Log'!$A$4:$A$810&lt;=$J135)),'Match Log'!$N$4:$N$810),NA()))</f>
        <v>981.92436608474441</v>
      </c>
      <c r="O135">
        <f>IF($J135&gt;MAX('Match Log'!$A$4:$A$810),NA(),IFERROR(LOOKUP(2,1/(('Match Log'!$D$4:$D$810=$O$24)*('Match Log'!$A$4:$A$810&lt;=$J135)),'Match Log'!$N$4:$N$810),NA()))</f>
        <v>1129.7012289075892</v>
      </c>
      <c r="P135">
        <f>IF($J135&gt;MAX('Match Log'!$A$4:$A$810),NA(),IFERROR(LOOKUP(2,1/(('Match Log'!$D$4:$D$810=$P$24)*('Match Log'!$A$4:$A$810&lt;=$J135)),'Match Log'!$N$4:$N$810),NA()))</f>
        <v>1009.817715883348</v>
      </c>
      <c r="Q135">
        <f>IF($J135&gt;MAX('Match Log'!$A$4:$A$810),NA(),IFERROR(LOOKUP(2,1/(('Match Log'!$D$4:$D$810=$Q$24)*('Match Log'!$A$4:$A$810&lt;=$J135)),'Match Log'!$N$4:$N$810),NA()))</f>
        <v>1084.8903813508514</v>
      </c>
      <c r="R135">
        <f>IF($J135&gt;MAX('Match Log'!$A$4:$A$810),NA(),IFERROR(LOOKUP(2,1/(('Match Log'!$D$4:$D$810=$R$24)*('Match Log'!$A$4:$A$810&lt;=$J135)),'Match Log'!$N$4:$N$810),NA()))</f>
        <v>1069.9039233902718</v>
      </c>
      <c r="S135">
        <f>IF($J135&gt;MAX('Match Log'!$A$4:$A$810),NA(),IFERROR(LOOKUP(2,1/(('Match Log'!$D$4:$D$810=$S$24)*('Match Log'!$A$4:$A$810&lt;=$J135)),'Match Log'!$N$4:$N$810),NA()))</f>
        <v>1168.2113436007442</v>
      </c>
      <c r="T135">
        <f>IF($J135&gt;MAX('Match Log'!$A$4:$A$810),NA(),IFERROR(LOOKUP(2,1/(('Match Log'!$D$4:$D$810=$T$24)*('Match Log'!$A$4:$A$810&lt;=$J135)),'Match Log'!$N$4:$N$810),NA()))</f>
        <v>893.03675187725173</v>
      </c>
      <c r="U135">
        <f>IF($J135&gt;MAX('Match Log'!$A$4:$A$810),NA(),IFERROR(LOOKUP(2,1/(('Match Log'!$D$4:$D$810=$U$24)*('Match Log'!$A$4:$A$810&lt;=$J135)),'Match Log'!$N$4:$N$810),NA()))</f>
        <v>1076.6069656843583</v>
      </c>
      <c r="V135">
        <f>IF($J135&gt;MAX('Match Log'!$A$4:$A$810),NA(),IFERROR(LOOKUP(2,1/(('Match Log'!$D$4:$D$810=$V$24)*('Match Log'!$A$4:$A$810&lt;=$J135)),'Match Log'!$N$4:$N$810),NA()))</f>
        <v>1031.225848367051</v>
      </c>
      <c r="W135">
        <f>IF($J135&gt;MAX('Match Log'!$A$4:$A$810),NA(),IFERROR(LOOKUP(2,1/(('Match Log'!$D$4:$D$810=$W$24)*('Match Log'!$A$4:$A$810&lt;=$J135)),'Match Log'!$N$4:$N$810),NA()))</f>
        <v>1030.3815983388336</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1098.243484374352</v>
      </c>
      <c r="L136">
        <f>IF($J136&gt;MAX('Match Log'!$A$4:$A$810),NA(),IFERROR(LOOKUP(2,1/(('Match Log'!$D$4:$D$810=$L$24)*('Match Log'!$A$4:$A$810&lt;=$J136)),'Match Log'!$N$4:$N$810),NA()))</f>
        <v>1029.2201908859522</v>
      </c>
      <c r="M136">
        <f>IF($J136&gt;MAX('Match Log'!$A$4:$A$810),NA(),IFERROR(LOOKUP(2,1/(('Match Log'!$D$4:$D$810=$M$24)*('Match Log'!$A$4:$A$810&lt;=$J136)),'Match Log'!$N$4:$N$810),NA()))</f>
        <v>1016.7837867075796</v>
      </c>
      <c r="N136">
        <f>IF($J136&gt;MAX('Match Log'!$A$4:$A$810),NA(),IFERROR(LOOKUP(2,1/(('Match Log'!$D$4:$D$810=$N$24)*('Match Log'!$A$4:$A$810&lt;=$J136)),'Match Log'!$N$4:$N$810),NA()))</f>
        <v>981.92436608474441</v>
      </c>
      <c r="O136">
        <f>IF($J136&gt;MAX('Match Log'!$A$4:$A$810),NA(),IFERROR(LOOKUP(2,1/(('Match Log'!$D$4:$D$810=$O$24)*('Match Log'!$A$4:$A$810&lt;=$J136)),'Match Log'!$N$4:$N$810),NA()))</f>
        <v>1129.7012289075892</v>
      </c>
      <c r="P136">
        <f>IF($J136&gt;MAX('Match Log'!$A$4:$A$810),NA(),IFERROR(LOOKUP(2,1/(('Match Log'!$D$4:$D$810=$P$24)*('Match Log'!$A$4:$A$810&lt;=$J136)),'Match Log'!$N$4:$N$810),NA()))</f>
        <v>993.87013043042043</v>
      </c>
      <c r="Q136">
        <f>IF($J136&gt;MAX('Match Log'!$A$4:$A$810),NA(),IFERROR(LOOKUP(2,1/(('Match Log'!$D$4:$D$810=$Q$24)*('Match Log'!$A$4:$A$810&lt;=$J136)),'Match Log'!$N$4:$N$810),NA()))</f>
        <v>1084.8903813508514</v>
      </c>
      <c r="R136">
        <f>IF($J136&gt;MAX('Match Log'!$A$4:$A$810),NA(),IFERROR(LOOKUP(2,1/(('Match Log'!$D$4:$D$810=$R$24)*('Match Log'!$A$4:$A$810&lt;=$J136)),'Match Log'!$N$4:$N$810),NA()))</f>
        <v>1069.9039233902718</v>
      </c>
      <c r="S136">
        <f>IF($J136&gt;MAX('Match Log'!$A$4:$A$810),NA(),IFERROR(LOOKUP(2,1/(('Match Log'!$D$4:$D$810=$S$24)*('Match Log'!$A$4:$A$810&lt;=$J136)),'Match Log'!$N$4:$N$810),NA()))</f>
        <v>1168.2113436007442</v>
      </c>
      <c r="T136">
        <f>IF($J136&gt;MAX('Match Log'!$A$4:$A$810),NA(),IFERROR(LOOKUP(2,1/(('Match Log'!$D$4:$D$810=$T$24)*('Match Log'!$A$4:$A$810&lt;=$J136)),'Match Log'!$N$4:$N$810),NA()))</f>
        <v>893.03675187725173</v>
      </c>
      <c r="U136">
        <f>IF($J136&gt;MAX('Match Log'!$A$4:$A$810),NA(),IFERROR(LOOKUP(2,1/(('Match Log'!$D$4:$D$810=$U$24)*('Match Log'!$A$4:$A$810&lt;=$J136)),'Match Log'!$N$4:$N$810),NA()))</f>
        <v>1076.6069656843583</v>
      </c>
      <c r="V136">
        <f>IF($J136&gt;MAX('Match Log'!$A$4:$A$810),NA(),IFERROR(LOOKUP(2,1/(('Match Log'!$D$4:$D$810=$V$24)*('Match Log'!$A$4:$A$810&lt;=$J136)),'Match Log'!$N$4:$N$810),NA()))</f>
        <v>1031.225848367051</v>
      </c>
      <c r="W136">
        <f>IF($J136&gt;MAX('Match Log'!$A$4:$A$810),NA(),IFERROR(LOOKUP(2,1/(('Match Log'!$D$4:$D$810=$W$24)*('Match Log'!$A$4:$A$810&lt;=$J136)),'Match Log'!$N$4:$N$810),NA()))</f>
        <v>1030.3815983388336</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1112.3077761293196</v>
      </c>
      <c r="L137">
        <f>IF($J137&gt;MAX('Match Log'!$A$4:$A$810),NA(),IFERROR(LOOKUP(2,1/(('Match Log'!$D$4:$D$810=$L$24)*('Match Log'!$A$4:$A$810&lt;=$J137)),'Match Log'!$N$4:$N$810),NA()))</f>
        <v>1029.2201908859522</v>
      </c>
      <c r="M137">
        <f>IF($J137&gt;MAX('Match Log'!$A$4:$A$810),NA(),IFERROR(LOOKUP(2,1/(('Match Log'!$D$4:$D$810=$M$24)*('Match Log'!$A$4:$A$810&lt;=$J137)),'Match Log'!$N$4:$N$810),NA()))</f>
        <v>1016.7837867075796</v>
      </c>
      <c r="N137">
        <f>IF($J137&gt;MAX('Match Log'!$A$4:$A$810),NA(),IFERROR(LOOKUP(2,1/(('Match Log'!$D$4:$D$810=$N$24)*('Match Log'!$A$4:$A$810&lt;=$J137)),'Match Log'!$N$4:$N$810),NA()))</f>
        <v>981.92436608474441</v>
      </c>
      <c r="O137">
        <f>IF($J137&gt;MAX('Match Log'!$A$4:$A$810),NA(),IFERROR(LOOKUP(2,1/(('Match Log'!$D$4:$D$810=$O$24)*('Match Log'!$A$4:$A$810&lt;=$J137)),'Match Log'!$N$4:$N$810),NA()))</f>
        <v>1129.7012289075892</v>
      </c>
      <c r="P137">
        <f>IF($J137&gt;MAX('Match Log'!$A$4:$A$810),NA(),IFERROR(LOOKUP(2,1/(('Match Log'!$D$4:$D$810=$P$24)*('Match Log'!$A$4:$A$810&lt;=$J137)),'Match Log'!$N$4:$N$810),NA()))</f>
        <v>979.80583867545283</v>
      </c>
      <c r="Q137">
        <f>IF($J137&gt;MAX('Match Log'!$A$4:$A$810),NA(),IFERROR(LOOKUP(2,1/(('Match Log'!$D$4:$D$810=$Q$24)*('Match Log'!$A$4:$A$810&lt;=$J137)),'Match Log'!$N$4:$N$810),NA()))</f>
        <v>1084.8903813508514</v>
      </c>
      <c r="R137">
        <f>IF($J137&gt;MAX('Match Log'!$A$4:$A$810),NA(),IFERROR(LOOKUP(2,1/(('Match Log'!$D$4:$D$810=$R$24)*('Match Log'!$A$4:$A$810&lt;=$J137)),'Match Log'!$N$4:$N$810),NA()))</f>
        <v>1069.9039233902718</v>
      </c>
      <c r="S137">
        <f>IF($J137&gt;MAX('Match Log'!$A$4:$A$810),NA(),IFERROR(LOOKUP(2,1/(('Match Log'!$D$4:$D$810=$S$24)*('Match Log'!$A$4:$A$810&lt;=$J137)),'Match Log'!$N$4:$N$810),NA()))</f>
        <v>1168.2113436007442</v>
      </c>
      <c r="T137">
        <f>IF($J137&gt;MAX('Match Log'!$A$4:$A$810),NA(),IFERROR(LOOKUP(2,1/(('Match Log'!$D$4:$D$810=$T$24)*('Match Log'!$A$4:$A$810&lt;=$J137)),'Match Log'!$N$4:$N$810),NA()))</f>
        <v>893.03675187725173</v>
      </c>
      <c r="U137">
        <f>IF($J137&gt;MAX('Match Log'!$A$4:$A$810),NA(),IFERROR(LOOKUP(2,1/(('Match Log'!$D$4:$D$810=$U$24)*('Match Log'!$A$4:$A$810&lt;=$J137)),'Match Log'!$N$4:$N$810),NA()))</f>
        <v>1076.6069656843583</v>
      </c>
      <c r="V137">
        <f>IF($J137&gt;MAX('Match Log'!$A$4:$A$810),NA(),IFERROR(LOOKUP(2,1/(('Match Log'!$D$4:$D$810=$V$24)*('Match Log'!$A$4:$A$810&lt;=$J137)),'Match Log'!$N$4:$N$810),NA()))</f>
        <v>1031.225848367051</v>
      </c>
      <c r="W137">
        <f>IF($J137&gt;MAX('Match Log'!$A$4:$A$810),NA(),IFERROR(LOOKUP(2,1/(('Match Log'!$D$4:$D$810=$W$24)*('Match Log'!$A$4:$A$810&lt;=$J137)),'Match Log'!$N$4:$N$810),NA()))</f>
        <v>1030.3815983388336</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1112.3077761293196</v>
      </c>
      <c r="L138">
        <f>IF($J138&gt;MAX('Match Log'!$A$4:$A$810),NA(),IFERROR(LOOKUP(2,1/(('Match Log'!$D$4:$D$810=$L$24)*('Match Log'!$A$4:$A$810&lt;=$J138)),'Match Log'!$N$4:$N$810),NA()))</f>
        <v>1029.2201908859522</v>
      </c>
      <c r="M138">
        <f>IF($J138&gt;MAX('Match Log'!$A$4:$A$810),NA(),IFERROR(LOOKUP(2,1/(('Match Log'!$D$4:$D$810=$M$24)*('Match Log'!$A$4:$A$810&lt;=$J138)),'Match Log'!$N$4:$N$810),NA()))</f>
        <v>1016.7837867075796</v>
      </c>
      <c r="N138">
        <f>IF($J138&gt;MAX('Match Log'!$A$4:$A$810),NA(),IFERROR(LOOKUP(2,1/(('Match Log'!$D$4:$D$810=$N$24)*('Match Log'!$A$4:$A$810&lt;=$J138)),'Match Log'!$N$4:$N$810),NA()))</f>
        <v>981.92436608474441</v>
      </c>
      <c r="O138">
        <f>IF($J138&gt;MAX('Match Log'!$A$4:$A$810),NA(),IFERROR(LOOKUP(2,1/(('Match Log'!$D$4:$D$810=$O$24)*('Match Log'!$A$4:$A$810&lt;=$J138)),'Match Log'!$N$4:$N$810),NA()))</f>
        <v>1129.7012289075892</v>
      </c>
      <c r="P138">
        <f>IF($J138&gt;MAX('Match Log'!$A$4:$A$810),NA(),IFERROR(LOOKUP(2,1/(('Match Log'!$D$4:$D$810=$P$24)*('Match Log'!$A$4:$A$810&lt;=$J138)),'Match Log'!$N$4:$N$810),NA()))</f>
        <v>1002.9754060253616</v>
      </c>
      <c r="Q138">
        <f>IF($J138&gt;MAX('Match Log'!$A$4:$A$810),NA(),IFERROR(LOOKUP(2,1/(('Match Log'!$D$4:$D$810=$Q$24)*('Match Log'!$A$4:$A$810&lt;=$J138)),'Match Log'!$N$4:$N$810),NA()))</f>
        <v>1084.8903813508514</v>
      </c>
      <c r="R138">
        <f>IF($J138&gt;MAX('Match Log'!$A$4:$A$810),NA(),IFERROR(LOOKUP(2,1/(('Match Log'!$D$4:$D$810=$R$24)*('Match Log'!$A$4:$A$810&lt;=$J138)),'Match Log'!$N$4:$N$810),NA()))</f>
        <v>1046.7343560403631</v>
      </c>
      <c r="S138">
        <f>IF($J138&gt;MAX('Match Log'!$A$4:$A$810),NA(),IFERROR(LOOKUP(2,1/(('Match Log'!$D$4:$D$810=$S$24)*('Match Log'!$A$4:$A$810&lt;=$J138)),'Match Log'!$N$4:$N$810),NA()))</f>
        <v>1168.2113436007442</v>
      </c>
      <c r="T138">
        <f>IF($J138&gt;MAX('Match Log'!$A$4:$A$810),NA(),IFERROR(LOOKUP(2,1/(('Match Log'!$D$4:$D$810=$T$24)*('Match Log'!$A$4:$A$810&lt;=$J138)),'Match Log'!$N$4:$N$810),NA()))</f>
        <v>893.03675187725173</v>
      </c>
      <c r="U138">
        <f>IF($J138&gt;MAX('Match Log'!$A$4:$A$810),NA(),IFERROR(LOOKUP(2,1/(('Match Log'!$D$4:$D$810=$U$24)*('Match Log'!$A$4:$A$810&lt;=$J138)),'Match Log'!$N$4:$N$810),NA()))</f>
        <v>1076.6069656843583</v>
      </c>
      <c r="V138">
        <f>IF($J138&gt;MAX('Match Log'!$A$4:$A$810),NA(),IFERROR(LOOKUP(2,1/(('Match Log'!$D$4:$D$810=$V$24)*('Match Log'!$A$4:$A$810&lt;=$J138)),'Match Log'!$N$4:$N$810),NA()))</f>
        <v>1031.225848367051</v>
      </c>
      <c r="W138">
        <f>IF($J138&gt;MAX('Match Log'!$A$4:$A$810),NA(),IFERROR(LOOKUP(2,1/(('Match Log'!$D$4:$D$810=$W$24)*('Match Log'!$A$4:$A$810&lt;=$J138)),'Match Log'!$N$4:$N$810),NA()))</f>
        <v>1030.3815983388336</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1112.3077761293196</v>
      </c>
      <c r="L139">
        <f>IF($J139&gt;MAX('Match Log'!$A$4:$A$810),NA(),IFERROR(LOOKUP(2,1/(('Match Log'!$D$4:$D$810=$L$24)*('Match Log'!$A$4:$A$810&lt;=$J139)),'Match Log'!$N$4:$N$810),NA()))</f>
        <v>1029.2201908859522</v>
      </c>
      <c r="M139">
        <f>IF($J139&gt;MAX('Match Log'!$A$4:$A$810),NA(),IFERROR(LOOKUP(2,1/(('Match Log'!$D$4:$D$810=$M$24)*('Match Log'!$A$4:$A$810&lt;=$J139)),'Match Log'!$N$4:$N$810),NA()))</f>
        <v>1016.7837867075796</v>
      </c>
      <c r="N139">
        <f>IF($J139&gt;MAX('Match Log'!$A$4:$A$810),NA(),IFERROR(LOOKUP(2,1/(('Match Log'!$D$4:$D$810=$N$24)*('Match Log'!$A$4:$A$810&lt;=$J139)),'Match Log'!$N$4:$N$810),NA()))</f>
        <v>981.92436608474441</v>
      </c>
      <c r="O139">
        <f>IF($J139&gt;MAX('Match Log'!$A$4:$A$810),NA(),IFERROR(LOOKUP(2,1/(('Match Log'!$D$4:$D$810=$O$24)*('Match Log'!$A$4:$A$810&lt;=$J139)),'Match Log'!$N$4:$N$810),NA()))</f>
        <v>1129.7012289075892</v>
      </c>
      <c r="P139">
        <f>IF($J139&gt;MAX('Match Log'!$A$4:$A$810),NA(),IFERROR(LOOKUP(2,1/(('Match Log'!$D$4:$D$810=$P$24)*('Match Log'!$A$4:$A$810&lt;=$J139)),'Match Log'!$N$4:$N$810),NA()))</f>
        <v>986.98278461509813</v>
      </c>
      <c r="Q139">
        <f>IF($J139&gt;MAX('Match Log'!$A$4:$A$810),NA(),IFERROR(LOOKUP(2,1/(('Match Log'!$D$4:$D$810=$Q$24)*('Match Log'!$A$4:$A$810&lt;=$J139)),'Match Log'!$N$4:$N$810),NA()))</f>
        <v>1084.8903813508514</v>
      </c>
      <c r="R139">
        <f>IF($J139&gt;MAX('Match Log'!$A$4:$A$810),NA(),IFERROR(LOOKUP(2,1/(('Match Log'!$D$4:$D$810=$R$24)*('Match Log'!$A$4:$A$810&lt;=$J139)),'Match Log'!$N$4:$N$810),NA()))</f>
        <v>1046.7343560403631</v>
      </c>
      <c r="S139">
        <f>IF($J139&gt;MAX('Match Log'!$A$4:$A$810),NA(),IFERROR(LOOKUP(2,1/(('Match Log'!$D$4:$D$810=$S$24)*('Match Log'!$A$4:$A$810&lt;=$J139)),'Match Log'!$N$4:$N$810),NA()))</f>
        <v>1168.2113436007442</v>
      </c>
      <c r="T139">
        <f>IF($J139&gt;MAX('Match Log'!$A$4:$A$810),NA(),IFERROR(LOOKUP(2,1/(('Match Log'!$D$4:$D$810=$T$24)*('Match Log'!$A$4:$A$810&lt;=$J139)),'Match Log'!$N$4:$N$810),NA()))</f>
        <v>893.03675187725173</v>
      </c>
      <c r="U139">
        <f>IF($J139&gt;MAX('Match Log'!$A$4:$A$810),NA(),IFERROR(LOOKUP(2,1/(('Match Log'!$D$4:$D$810=$U$24)*('Match Log'!$A$4:$A$810&lt;=$J139)),'Match Log'!$N$4:$N$810),NA()))</f>
        <v>1092.5995870946217</v>
      </c>
      <c r="V139">
        <f>IF($J139&gt;MAX('Match Log'!$A$4:$A$810),NA(),IFERROR(LOOKUP(2,1/(('Match Log'!$D$4:$D$810=$V$24)*('Match Log'!$A$4:$A$810&lt;=$J139)),'Match Log'!$N$4:$N$810),NA()))</f>
        <v>1031.225848367051</v>
      </c>
      <c r="W139">
        <f>IF($J139&gt;MAX('Match Log'!$A$4:$A$810),NA(),IFERROR(LOOKUP(2,1/(('Match Log'!$D$4:$D$810=$W$24)*('Match Log'!$A$4:$A$810&lt;=$J139)),'Match Log'!$N$4:$N$810),NA()))</f>
        <v>1030.3815983388336</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1112.3077761293196</v>
      </c>
      <c r="L140">
        <f>IF($J140&gt;MAX('Match Log'!$A$4:$A$810),NA(),IFERROR(LOOKUP(2,1/(('Match Log'!$D$4:$D$810=$L$24)*('Match Log'!$A$4:$A$810&lt;=$J140)),'Match Log'!$N$4:$N$810),NA()))</f>
        <v>1029.2201908859522</v>
      </c>
      <c r="M140">
        <f>IF($J140&gt;MAX('Match Log'!$A$4:$A$810),NA(),IFERROR(LOOKUP(2,1/(('Match Log'!$D$4:$D$810=$M$24)*('Match Log'!$A$4:$A$810&lt;=$J140)),'Match Log'!$N$4:$N$810),NA()))</f>
        <v>1016.7837867075796</v>
      </c>
      <c r="N140">
        <f>IF($J140&gt;MAX('Match Log'!$A$4:$A$810),NA(),IFERROR(LOOKUP(2,1/(('Match Log'!$D$4:$D$810=$N$24)*('Match Log'!$A$4:$A$810&lt;=$J140)),'Match Log'!$N$4:$N$810),NA()))</f>
        <v>981.92436608474441</v>
      </c>
      <c r="O140">
        <f>IF($J140&gt;MAX('Match Log'!$A$4:$A$810),NA(),IFERROR(LOOKUP(2,1/(('Match Log'!$D$4:$D$810=$O$24)*('Match Log'!$A$4:$A$810&lt;=$J140)),'Match Log'!$N$4:$N$810),NA()))</f>
        <v>1129.7012289075892</v>
      </c>
      <c r="P140">
        <f>IF($J140&gt;MAX('Match Log'!$A$4:$A$810),NA(),IFERROR(LOOKUP(2,1/(('Match Log'!$D$4:$D$810=$P$24)*('Match Log'!$A$4:$A$810&lt;=$J140)),'Match Log'!$N$4:$N$810),NA()))</f>
        <v>972.8327291751624</v>
      </c>
      <c r="Q140">
        <f>IF($J140&gt;MAX('Match Log'!$A$4:$A$810),NA(),IFERROR(LOOKUP(2,1/(('Match Log'!$D$4:$D$810=$Q$24)*('Match Log'!$A$4:$A$810&lt;=$J140)),'Match Log'!$N$4:$N$810),NA()))</f>
        <v>1084.8903813508514</v>
      </c>
      <c r="R140">
        <f>IF($J140&gt;MAX('Match Log'!$A$4:$A$810),NA(),IFERROR(LOOKUP(2,1/(('Match Log'!$D$4:$D$810=$R$24)*('Match Log'!$A$4:$A$810&lt;=$J140)),'Match Log'!$N$4:$N$810),NA()))</f>
        <v>1046.7343560403631</v>
      </c>
      <c r="S140">
        <f>IF($J140&gt;MAX('Match Log'!$A$4:$A$810),NA(),IFERROR(LOOKUP(2,1/(('Match Log'!$D$4:$D$810=$S$24)*('Match Log'!$A$4:$A$810&lt;=$J140)),'Match Log'!$N$4:$N$810),NA()))</f>
        <v>1168.2113436007442</v>
      </c>
      <c r="T140">
        <f>IF($J140&gt;MAX('Match Log'!$A$4:$A$810),NA(),IFERROR(LOOKUP(2,1/(('Match Log'!$D$4:$D$810=$T$24)*('Match Log'!$A$4:$A$810&lt;=$J140)),'Match Log'!$N$4:$N$810),NA()))</f>
        <v>893.03675187725173</v>
      </c>
      <c r="U140">
        <f>IF($J140&gt;MAX('Match Log'!$A$4:$A$810),NA(),IFERROR(LOOKUP(2,1/(('Match Log'!$D$4:$D$810=$U$24)*('Match Log'!$A$4:$A$810&lt;=$J140)),'Match Log'!$N$4:$N$810),NA()))</f>
        <v>1106.7496425345573</v>
      </c>
      <c r="V140">
        <f>IF($J140&gt;MAX('Match Log'!$A$4:$A$810),NA(),IFERROR(LOOKUP(2,1/(('Match Log'!$D$4:$D$810=$V$24)*('Match Log'!$A$4:$A$810&lt;=$J140)),'Match Log'!$N$4:$N$810),NA()))</f>
        <v>1031.225848367051</v>
      </c>
      <c r="W140">
        <f>IF($J140&gt;MAX('Match Log'!$A$4:$A$810),NA(),IFERROR(LOOKUP(2,1/(('Match Log'!$D$4:$D$810=$W$24)*('Match Log'!$A$4:$A$810&lt;=$J140)),'Match Log'!$N$4:$N$810),NA()))</f>
        <v>1030.3815983388336</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1112.3077761293196</v>
      </c>
      <c r="L141">
        <f>IF($J141&gt;MAX('Match Log'!$A$4:$A$810),NA(),IFERROR(LOOKUP(2,1/(('Match Log'!$D$4:$D$810=$L$24)*('Match Log'!$A$4:$A$810&lt;=$J141)),'Match Log'!$N$4:$N$810),NA()))</f>
        <v>1029.2201908859522</v>
      </c>
      <c r="M141">
        <f>IF($J141&gt;MAX('Match Log'!$A$4:$A$810),NA(),IFERROR(LOOKUP(2,1/(('Match Log'!$D$4:$D$810=$M$24)*('Match Log'!$A$4:$A$810&lt;=$J141)),'Match Log'!$N$4:$N$810),NA()))</f>
        <v>1016.7837867075796</v>
      </c>
      <c r="N141">
        <f>IF($J141&gt;MAX('Match Log'!$A$4:$A$810),NA(),IFERROR(LOOKUP(2,1/(('Match Log'!$D$4:$D$810=$N$24)*('Match Log'!$A$4:$A$810&lt;=$J141)),'Match Log'!$N$4:$N$810),NA()))</f>
        <v>981.92436608474441</v>
      </c>
      <c r="O141">
        <f>IF($J141&gt;MAX('Match Log'!$A$4:$A$810),NA(),IFERROR(LOOKUP(2,1/(('Match Log'!$D$4:$D$810=$O$24)*('Match Log'!$A$4:$A$810&lt;=$J141)),'Match Log'!$N$4:$N$810),NA()))</f>
        <v>1129.7012289075892</v>
      </c>
      <c r="P141">
        <f>IF($J141&gt;MAX('Match Log'!$A$4:$A$810),NA(),IFERROR(LOOKUP(2,1/(('Match Log'!$D$4:$D$810=$P$24)*('Match Log'!$A$4:$A$810&lt;=$J141)),'Match Log'!$N$4:$N$810),NA()))</f>
        <v>960.13896954625932</v>
      </c>
      <c r="Q141">
        <f>IF($J141&gt;MAX('Match Log'!$A$4:$A$810),NA(),IFERROR(LOOKUP(2,1/(('Match Log'!$D$4:$D$810=$Q$24)*('Match Log'!$A$4:$A$810&lt;=$J141)),'Match Log'!$N$4:$N$810),NA()))</f>
        <v>1084.8903813508514</v>
      </c>
      <c r="R141">
        <f>IF($J141&gt;MAX('Match Log'!$A$4:$A$810),NA(),IFERROR(LOOKUP(2,1/(('Match Log'!$D$4:$D$810=$R$24)*('Match Log'!$A$4:$A$810&lt;=$J141)),'Match Log'!$N$4:$N$810),NA()))</f>
        <v>1046.7343560403631</v>
      </c>
      <c r="S141">
        <f>IF($J141&gt;MAX('Match Log'!$A$4:$A$810),NA(),IFERROR(LOOKUP(2,1/(('Match Log'!$D$4:$D$810=$S$24)*('Match Log'!$A$4:$A$810&lt;=$J141)),'Match Log'!$N$4:$N$810),NA()))</f>
        <v>1168.2113436007442</v>
      </c>
      <c r="T141">
        <f>IF($J141&gt;MAX('Match Log'!$A$4:$A$810),NA(),IFERROR(LOOKUP(2,1/(('Match Log'!$D$4:$D$810=$T$24)*('Match Log'!$A$4:$A$810&lt;=$J141)),'Match Log'!$N$4:$N$810),NA()))</f>
        <v>893.03675187725173</v>
      </c>
      <c r="U141">
        <f>IF($J141&gt;MAX('Match Log'!$A$4:$A$810),NA(),IFERROR(LOOKUP(2,1/(('Match Log'!$D$4:$D$810=$U$24)*('Match Log'!$A$4:$A$810&lt;=$J141)),'Match Log'!$N$4:$N$810),NA()))</f>
        <v>1119.4434021634604</v>
      </c>
      <c r="V141">
        <f>IF($J141&gt;MAX('Match Log'!$A$4:$A$810),NA(),IFERROR(LOOKUP(2,1/(('Match Log'!$D$4:$D$810=$V$24)*('Match Log'!$A$4:$A$810&lt;=$J141)),'Match Log'!$N$4:$N$810),NA()))</f>
        <v>1031.225848367051</v>
      </c>
      <c r="W141">
        <f>IF($J141&gt;MAX('Match Log'!$A$4:$A$810),NA(),IFERROR(LOOKUP(2,1/(('Match Log'!$D$4:$D$810=$W$24)*('Match Log'!$A$4:$A$810&lt;=$J141)),'Match Log'!$N$4:$N$810),NA()))</f>
        <v>1030.3815983388336</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1112.3077761293196</v>
      </c>
      <c r="L142">
        <f>IF($J142&gt;MAX('Match Log'!$A$4:$A$810),NA(),IFERROR(LOOKUP(2,1/(('Match Log'!$D$4:$D$810=$L$24)*('Match Log'!$A$4:$A$810&lt;=$J142)),'Match Log'!$N$4:$N$810),NA()))</f>
        <v>1029.2201908859522</v>
      </c>
      <c r="M142">
        <f>IF($J142&gt;MAX('Match Log'!$A$4:$A$810),NA(),IFERROR(LOOKUP(2,1/(('Match Log'!$D$4:$D$810=$M$24)*('Match Log'!$A$4:$A$810&lt;=$J142)),'Match Log'!$N$4:$N$810),NA()))</f>
        <v>1016.7837867075796</v>
      </c>
      <c r="N142">
        <f>IF($J142&gt;MAX('Match Log'!$A$4:$A$810),NA(),IFERROR(LOOKUP(2,1/(('Match Log'!$D$4:$D$810=$N$24)*('Match Log'!$A$4:$A$810&lt;=$J142)),'Match Log'!$N$4:$N$810),NA()))</f>
        <v>981.92436608474441</v>
      </c>
      <c r="O142">
        <f>IF($J142&gt;MAX('Match Log'!$A$4:$A$810),NA(),IFERROR(LOOKUP(2,1/(('Match Log'!$D$4:$D$810=$O$24)*('Match Log'!$A$4:$A$810&lt;=$J142)),'Match Log'!$N$4:$N$810),NA()))</f>
        <v>1129.7012289075892</v>
      </c>
      <c r="P142">
        <f>IF($J142&gt;MAX('Match Log'!$A$4:$A$810),NA(),IFERROR(LOOKUP(2,1/(('Match Log'!$D$4:$D$810=$P$24)*('Match Log'!$A$4:$A$810&lt;=$J142)),'Match Log'!$N$4:$N$810),NA()))</f>
        <v>942.18333246120994</v>
      </c>
      <c r="Q142">
        <f>IF($J142&gt;MAX('Match Log'!$A$4:$A$810),NA(),IFERROR(LOOKUP(2,1/(('Match Log'!$D$4:$D$810=$Q$24)*('Match Log'!$A$4:$A$810&lt;=$J142)),'Match Log'!$N$4:$N$810),NA()))</f>
        <v>1084.8903813508514</v>
      </c>
      <c r="R142">
        <f>IF($J142&gt;MAX('Match Log'!$A$4:$A$810),NA(),IFERROR(LOOKUP(2,1/(('Match Log'!$D$4:$D$810=$R$24)*('Match Log'!$A$4:$A$810&lt;=$J142)),'Match Log'!$N$4:$N$810),NA()))</f>
        <v>1046.7343560403631</v>
      </c>
      <c r="S142">
        <f>IF($J142&gt;MAX('Match Log'!$A$4:$A$810),NA(),IFERROR(LOOKUP(2,1/(('Match Log'!$D$4:$D$810=$S$24)*('Match Log'!$A$4:$A$810&lt;=$J142)),'Match Log'!$N$4:$N$810),NA()))</f>
        <v>1168.2113436007442</v>
      </c>
      <c r="T142">
        <f>IF($J142&gt;MAX('Match Log'!$A$4:$A$810),NA(),IFERROR(LOOKUP(2,1/(('Match Log'!$D$4:$D$810=$T$24)*('Match Log'!$A$4:$A$810&lt;=$J142)),'Match Log'!$N$4:$N$810),NA()))</f>
        <v>893.03675187725173</v>
      </c>
      <c r="U142">
        <f>IF($J142&gt;MAX('Match Log'!$A$4:$A$810),NA(),IFERROR(LOOKUP(2,1/(('Match Log'!$D$4:$D$810=$U$24)*('Match Log'!$A$4:$A$810&lt;=$J142)),'Match Log'!$N$4:$N$810),NA()))</f>
        <v>1137.3990392485098</v>
      </c>
      <c r="V142">
        <f>IF($J142&gt;MAX('Match Log'!$A$4:$A$810),NA(),IFERROR(LOOKUP(2,1/(('Match Log'!$D$4:$D$810=$V$24)*('Match Log'!$A$4:$A$810&lt;=$J142)),'Match Log'!$N$4:$N$810),NA()))</f>
        <v>1031.225848367051</v>
      </c>
      <c r="W142">
        <f>IF($J142&gt;MAX('Match Log'!$A$4:$A$810),NA(),IFERROR(LOOKUP(2,1/(('Match Log'!$D$4:$D$810=$W$24)*('Match Log'!$A$4:$A$810&lt;=$J142)),'Match Log'!$N$4:$N$810),NA()))</f>
        <v>1030.3815983388336</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1112.3077761293196</v>
      </c>
      <c r="L143">
        <f>IF($J143&gt;MAX('Match Log'!$A$4:$A$810),NA(),IFERROR(LOOKUP(2,1/(('Match Log'!$D$4:$D$810=$L$24)*('Match Log'!$A$4:$A$810&lt;=$J143)),'Match Log'!$N$4:$N$810),NA()))</f>
        <v>1029.2201908859522</v>
      </c>
      <c r="M143">
        <f>IF($J143&gt;MAX('Match Log'!$A$4:$A$810),NA(),IFERROR(LOOKUP(2,1/(('Match Log'!$D$4:$D$810=$M$24)*('Match Log'!$A$4:$A$810&lt;=$J143)),'Match Log'!$N$4:$N$810),NA()))</f>
        <v>1016.7837867075796</v>
      </c>
      <c r="N143">
        <f>IF($J143&gt;MAX('Match Log'!$A$4:$A$810),NA(),IFERROR(LOOKUP(2,1/(('Match Log'!$D$4:$D$810=$N$24)*('Match Log'!$A$4:$A$810&lt;=$J143)),'Match Log'!$N$4:$N$810),NA()))</f>
        <v>981.92436608474441</v>
      </c>
      <c r="O143">
        <f>IF($J143&gt;MAX('Match Log'!$A$4:$A$810),NA(),IFERROR(LOOKUP(2,1/(('Match Log'!$D$4:$D$810=$O$24)*('Match Log'!$A$4:$A$810&lt;=$J143)),'Match Log'!$N$4:$N$810),NA()))</f>
        <v>1129.7012289075892</v>
      </c>
      <c r="P143">
        <f>IF($J143&gt;MAX('Match Log'!$A$4:$A$810),NA(),IFERROR(LOOKUP(2,1/(('Match Log'!$D$4:$D$810=$P$24)*('Match Log'!$A$4:$A$810&lt;=$J143)),'Match Log'!$N$4:$N$810),NA()))</f>
        <v>966.88282707977726</v>
      </c>
      <c r="Q143">
        <f>IF($J143&gt;MAX('Match Log'!$A$4:$A$810),NA(),IFERROR(LOOKUP(2,1/(('Match Log'!$D$4:$D$810=$Q$24)*('Match Log'!$A$4:$A$810&lt;=$J143)),'Match Log'!$N$4:$N$810),NA()))</f>
        <v>1084.8903813508514</v>
      </c>
      <c r="R143">
        <f>IF($J143&gt;MAX('Match Log'!$A$4:$A$810),NA(),IFERROR(LOOKUP(2,1/(('Match Log'!$D$4:$D$810=$R$24)*('Match Log'!$A$4:$A$810&lt;=$J143)),'Match Log'!$N$4:$N$810),NA()))</f>
        <v>1046.7343560403631</v>
      </c>
      <c r="S143">
        <f>IF($J143&gt;MAX('Match Log'!$A$4:$A$810),NA(),IFERROR(LOOKUP(2,1/(('Match Log'!$D$4:$D$810=$S$24)*('Match Log'!$A$4:$A$810&lt;=$J143)),'Match Log'!$N$4:$N$810),NA()))</f>
        <v>1168.2113436007442</v>
      </c>
      <c r="T143">
        <f>IF($J143&gt;MAX('Match Log'!$A$4:$A$810),NA(),IFERROR(LOOKUP(2,1/(('Match Log'!$D$4:$D$810=$T$24)*('Match Log'!$A$4:$A$810&lt;=$J143)),'Match Log'!$N$4:$N$810),NA()))</f>
        <v>893.03675187725173</v>
      </c>
      <c r="U143">
        <f>IF($J143&gt;MAX('Match Log'!$A$4:$A$810),NA(),IFERROR(LOOKUP(2,1/(('Match Log'!$D$4:$D$810=$U$24)*('Match Log'!$A$4:$A$810&lt;=$J143)),'Match Log'!$N$4:$N$810),NA()))</f>
        <v>1112.6995446299425</v>
      </c>
      <c r="V143">
        <f>IF($J143&gt;MAX('Match Log'!$A$4:$A$810),NA(),IFERROR(LOOKUP(2,1/(('Match Log'!$D$4:$D$810=$V$24)*('Match Log'!$A$4:$A$810&lt;=$J143)),'Match Log'!$N$4:$N$810),NA()))</f>
        <v>1031.225848367051</v>
      </c>
      <c r="W143">
        <f>IF($J143&gt;MAX('Match Log'!$A$4:$A$810),NA(),IFERROR(LOOKUP(2,1/(('Match Log'!$D$4:$D$810=$W$24)*('Match Log'!$A$4:$A$810&lt;=$J143)),'Match Log'!$N$4:$N$810),NA()))</f>
        <v>1030.3815983388336</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1112.3077761293196</v>
      </c>
      <c r="L144">
        <f>IF($J144&gt;MAX('Match Log'!$A$4:$A$810),NA(),IFERROR(LOOKUP(2,1/(('Match Log'!$D$4:$D$810=$L$24)*('Match Log'!$A$4:$A$810&lt;=$J144)),'Match Log'!$N$4:$N$810),NA()))</f>
        <v>1029.2201908859522</v>
      </c>
      <c r="M144">
        <f>IF($J144&gt;MAX('Match Log'!$A$4:$A$810),NA(),IFERROR(LOOKUP(2,1/(('Match Log'!$D$4:$D$810=$M$24)*('Match Log'!$A$4:$A$810&lt;=$J144)),'Match Log'!$N$4:$N$810),NA()))</f>
        <v>1016.7837867075796</v>
      </c>
      <c r="N144">
        <f>IF($J144&gt;MAX('Match Log'!$A$4:$A$810),NA(),IFERROR(LOOKUP(2,1/(('Match Log'!$D$4:$D$810=$N$24)*('Match Log'!$A$4:$A$810&lt;=$J144)),'Match Log'!$N$4:$N$810),NA()))</f>
        <v>981.92436608474441</v>
      </c>
      <c r="O144">
        <f>IF($J144&gt;MAX('Match Log'!$A$4:$A$810),NA(),IFERROR(LOOKUP(2,1/(('Match Log'!$D$4:$D$810=$O$24)*('Match Log'!$A$4:$A$810&lt;=$J144)),'Match Log'!$N$4:$N$810),NA()))</f>
        <v>1129.7012289075892</v>
      </c>
      <c r="P144">
        <f>IF($J144&gt;MAX('Match Log'!$A$4:$A$810),NA(),IFERROR(LOOKUP(2,1/(('Match Log'!$D$4:$D$810=$P$24)*('Match Log'!$A$4:$A$810&lt;=$J144)),'Match Log'!$N$4:$N$810),NA()))</f>
        <v>989.12415503039074</v>
      </c>
      <c r="Q144">
        <f>IF($J144&gt;MAX('Match Log'!$A$4:$A$810),NA(),IFERROR(LOOKUP(2,1/(('Match Log'!$D$4:$D$810=$Q$24)*('Match Log'!$A$4:$A$810&lt;=$J144)),'Match Log'!$N$4:$N$810),NA()))</f>
        <v>1084.8903813508514</v>
      </c>
      <c r="R144">
        <f>IF($J144&gt;MAX('Match Log'!$A$4:$A$810),NA(),IFERROR(LOOKUP(2,1/(('Match Log'!$D$4:$D$810=$R$24)*('Match Log'!$A$4:$A$810&lt;=$J144)),'Match Log'!$N$4:$N$810),NA()))</f>
        <v>1046.7343560403631</v>
      </c>
      <c r="S144">
        <f>IF($J144&gt;MAX('Match Log'!$A$4:$A$810),NA(),IFERROR(LOOKUP(2,1/(('Match Log'!$D$4:$D$810=$S$24)*('Match Log'!$A$4:$A$810&lt;=$J144)),'Match Log'!$N$4:$N$810),NA()))</f>
        <v>1168.2113436007442</v>
      </c>
      <c r="T144">
        <f>IF($J144&gt;MAX('Match Log'!$A$4:$A$810),NA(),IFERROR(LOOKUP(2,1/(('Match Log'!$D$4:$D$810=$T$24)*('Match Log'!$A$4:$A$810&lt;=$J144)),'Match Log'!$N$4:$N$810),NA()))</f>
        <v>893.03675187725173</v>
      </c>
      <c r="U144">
        <f>IF($J144&gt;MAX('Match Log'!$A$4:$A$810),NA(),IFERROR(LOOKUP(2,1/(('Match Log'!$D$4:$D$810=$U$24)*('Match Log'!$A$4:$A$810&lt;=$J144)),'Match Log'!$N$4:$N$810),NA()))</f>
        <v>1090.4582166793289</v>
      </c>
      <c r="V144">
        <f>IF($J144&gt;MAX('Match Log'!$A$4:$A$810),NA(),IFERROR(LOOKUP(2,1/(('Match Log'!$D$4:$D$810=$V$24)*('Match Log'!$A$4:$A$810&lt;=$J144)),'Match Log'!$N$4:$N$810),NA()))</f>
        <v>1031.225848367051</v>
      </c>
      <c r="W144">
        <f>IF($J144&gt;MAX('Match Log'!$A$4:$A$810),NA(),IFERROR(LOOKUP(2,1/(('Match Log'!$D$4:$D$810=$W$24)*('Match Log'!$A$4:$A$810&lt;=$J144)),'Match Log'!$N$4:$N$810),NA()))</f>
        <v>1030.3815983388336</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1112.3077761293196</v>
      </c>
      <c r="L145">
        <f>IF($J145&gt;MAX('Match Log'!$A$4:$A$810),NA(),IFERROR(LOOKUP(2,1/(('Match Log'!$D$4:$D$810=$L$24)*('Match Log'!$A$4:$A$810&lt;=$J145)),'Match Log'!$N$4:$N$810),NA()))</f>
        <v>1029.2201908859522</v>
      </c>
      <c r="M145">
        <f>IF($J145&gt;MAX('Match Log'!$A$4:$A$810),NA(),IFERROR(LOOKUP(2,1/(('Match Log'!$D$4:$D$810=$M$24)*('Match Log'!$A$4:$A$810&lt;=$J145)),'Match Log'!$N$4:$N$810),NA()))</f>
        <v>1016.7837867075796</v>
      </c>
      <c r="N145">
        <f>IF($J145&gt;MAX('Match Log'!$A$4:$A$810),NA(),IFERROR(LOOKUP(2,1/(('Match Log'!$D$4:$D$810=$N$24)*('Match Log'!$A$4:$A$810&lt;=$J145)),'Match Log'!$N$4:$N$810),NA()))</f>
        <v>981.92436608474441</v>
      </c>
      <c r="O145">
        <f>IF($J145&gt;MAX('Match Log'!$A$4:$A$810),NA(),IFERROR(LOOKUP(2,1/(('Match Log'!$D$4:$D$810=$O$24)*('Match Log'!$A$4:$A$810&lt;=$J145)),'Match Log'!$N$4:$N$810),NA()))</f>
        <v>1129.7012289075892</v>
      </c>
      <c r="P145">
        <f>IF($J145&gt;MAX('Match Log'!$A$4:$A$810),NA(),IFERROR(LOOKUP(2,1/(('Match Log'!$D$4:$D$810=$P$24)*('Match Log'!$A$4:$A$810&lt;=$J145)),'Match Log'!$N$4:$N$810),NA()))</f>
        <v>973.0353523079342</v>
      </c>
      <c r="Q145">
        <f>IF($J145&gt;MAX('Match Log'!$A$4:$A$810),NA(),IFERROR(LOOKUP(2,1/(('Match Log'!$D$4:$D$810=$Q$24)*('Match Log'!$A$4:$A$810&lt;=$J145)),'Match Log'!$N$4:$N$810),NA()))</f>
        <v>1084.8903813508514</v>
      </c>
      <c r="R145">
        <f>IF($J145&gt;MAX('Match Log'!$A$4:$A$810),NA(),IFERROR(LOOKUP(2,1/(('Match Log'!$D$4:$D$810=$R$24)*('Match Log'!$A$4:$A$810&lt;=$J145)),'Match Log'!$N$4:$N$810),NA()))</f>
        <v>1062.8231587628195</v>
      </c>
      <c r="S145">
        <f>IF($J145&gt;MAX('Match Log'!$A$4:$A$810),NA(),IFERROR(LOOKUP(2,1/(('Match Log'!$D$4:$D$810=$S$24)*('Match Log'!$A$4:$A$810&lt;=$J145)),'Match Log'!$N$4:$N$810),NA()))</f>
        <v>1168.2113436007442</v>
      </c>
      <c r="T145">
        <f>IF($J145&gt;MAX('Match Log'!$A$4:$A$810),NA(),IFERROR(LOOKUP(2,1/(('Match Log'!$D$4:$D$810=$T$24)*('Match Log'!$A$4:$A$810&lt;=$J145)),'Match Log'!$N$4:$N$810),NA()))</f>
        <v>893.03675187725173</v>
      </c>
      <c r="U145">
        <f>IF($J145&gt;MAX('Match Log'!$A$4:$A$810),NA(),IFERROR(LOOKUP(2,1/(('Match Log'!$D$4:$D$810=$U$24)*('Match Log'!$A$4:$A$810&lt;=$J145)),'Match Log'!$N$4:$N$810),NA()))</f>
        <v>1090.4582166793289</v>
      </c>
      <c r="V145">
        <f>IF($J145&gt;MAX('Match Log'!$A$4:$A$810),NA(),IFERROR(LOOKUP(2,1/(('Match Log'!$D$4:$D$810=$V$24)*('Match Log'!$A$4:$A$810&lt;=$J145)),'Match Log'!$N$4:$N$810),NA()))</f>
        <v>1031.225848367051</v>
      </c>
      <c r="W145">
        <f>IF($J145&gt;MAX('Match Log'!$A$4:$A$810),NA(),IFERROR(LOOKUP(2,1/(('Match Log'!$D$4:$D$810=$W$24)*('Match Log'!$A$4:$A$810&lt;=$J145)),'Match Log'!$N$4:$N$810),NA()))</f>
        <v>1030.3815983388336</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1112.3077761293196</v>
      </c>
      <c r="L146">
        <f>IF($J146&gt;MAX('Match Log'!$A$4:$A$810),NA(),IFERROR(LOOKUP(2,1/(('Match Log'!$D$4:$D$810=$L$24)*('Match Log'!$A$4:$A$810&lt;=$J146)),'Match Log'!$N$4:$N$810),NA()))</f>
        <v>1029.2201908859522</v>
      </c>
      <c r="M146">
        <f>IF($J146&gt;MAX('Match Log'!$A$4:$A$810),NA(),IFERROR(LOOKUP(2,1/(('Match Log'!$D$4:$D$810=$M$24)*('Match Log'!$A$4:$A$810&lt;=$J146)),'Match Log'!$N$4:$N$810),NA()))</f>
        <v>1016.7837867075796</v>
      </c>
      <c r="N146">
        <f>IF($J146&gt;MAX('Match Log'!$A$4:$A$810),NA(),IFERROR(LOOKUP(2,1/(('Match Log'!$D$4:$D$810=$N$24)*('Match Log'!$A$4:$A$810&lt;=$J146)),'Match Log'!$N$4:$N$810),NA()))</f>
        <v>981.92436608474441</v>
      </c>
      <c r="O146">
        <f>IF($J146&gt;MAX('Match Log'!$A$4:$A$810),NA(),IFERROR(LOOKUP(2,1/(('Match Log'!$D$4:$D$810=$O$24)*('Match Log'!$A$4:$A$810&lt;=$J146)),'Match Log'!$N$4:$N$810),NA()))</f>
        <v>1129.7012289075892</v>
      </c>
      <c r="P146">
        <f>IF($J146&gt;MAX('Match Log'!$A$4:$A$810),NA(),IFERROR(LOOKUP(2,1/(('Match Log'!$D$4:$D$810=$P$24)*('Match Log'!$A$4:$A$810&lt;=$J146)),'Match Log'!$N$4:$N$810),NA()))</f>
        <v>1002.6191995030379</v>
      </c>
      <c r="Q146">
        <f>IF($J146&gt;MAX('Match Log'!$A$4:$A$810),NA(),IFERROR(LOOKUP(2,1/(('Match Log'!$D$4:$D$810=$Q$24)*('Match Log'!$A$4:$A$810&lt;=$J146)),'Match Log'!$N$4:$N$810),NA()))</f>
        <v>1084.8903813508514</v>
      </c>
      <c r="R146">
        <f>IF($J146&gt;MAX('Match Log'!$A$4:$A$810),NA(),IFERROR(LOOKUP(2,1/(('Match Log'!$D$4:$D$810=$R$24)*('Match Log'!$A$4:$A$810&lt;=$J146)),'Match Log'!$N$4:$N$810),NA()))</f>
        <v>1033.2393115677157</v>
      </c>
      <c r="S146">
        <f>IF($J146&gt;MAX('Match Log'!$A$4:$A$810),NA(),IFERROR(LOOKUP(2,1/(('Match Log'!$D$4:$D$810=$S$24)*('Match Log'!$A$4:$A$810&lt;=$J146)),'Match Log'!$N$4:$N$810),NA()))</f>
        <v>1168.2113436007442</v>
      </c>
      <c r="T146">
        <f>IF($J146&gt;MAX('Match Log'!$A$4:$A$810),NA(),IFERROR(LOOKUP(2,1/(('Match Log'!$D$4:$D$810=$T$24)*('Match Log'!$A$4:$A$810&lt;=$J146)),'Match Log'!$N$4:$N$810),NA()))</f>
        <v>893.03675187725173</v>
      </c>
      <c r="U146">
        <f>IF($J146&gt;MAX('Match Log'!$A$4:$A$810),NA(),IFERROR(LOOKUP(2,1/(('Match Log'!$D$4:$D$810=$U$24)*('Match Log'!$A$4:$A$810&lt;=$J146)),'Match Log'!$N$4:$N$810),NA()))</f>
        <v>1090.4582166793289</v>
      </c>
      <c r="V146">
        <f>IF($J146&gt;MAX('Match Log'!$A$4:$A$810),NA(),IFERROR(LOOKUP(2,1/(('Match Log'!$D$4:$D$810=$V$24)*('Match Log'!$A$4:$A$810&lt;=$J146)),'Match Log'!$N$4:$N$810),NA()))</f>
        <v>1031.225848367051</v>
      </c>
      <c r="W146">
        <f>IF($J146&gt;MAX('Match Log'!$A$4:$A$810),NA(),IFERROR(LOOKUP(2,1/(('Match Log'!$D$4:$D$810=$W$24)*('Match Log'!$A$4:$A$810&lt;=$J146)),'Match Log'!$N$4:$N$810),NA()))</f>
        <v>1030.3815983388336</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1112.3077761293196</v>
      </c>
      <c r="L147">
        <f>IF($J147&gt;MAX('Match Log'!$A$4:$A$810),NA(),IFERROR(LOOKUP(2,1/(('Match Log'!$D$4:$D$810=$L$24)*('Match Log'!$A$4:$A$810&lt;=$J147)),'Match Log'!$N$4:$N$810),NA()))</f>
        <v>1029.2201908859522</v>
      </c>
      <c r="M147">
        <f>IF($J147&gt;MAX('Match Log'!$A$4:$A$810),NA(),IFERROR(LOOKUP(2,1/(('Match Log'!$D$4:$D$810=$M$24)*('Match Log'!$A$4:$A$810&lt;=$J147)),'Match Log'!$N$4:$N$810),NA()))</f>
        <v>1016.7837867075796</v>
      </c>
      <c r="N147">
        <f>IF($J147&gt;MAX('Match Log'!$A$4:$A$810),NA(),IFERROR(LOOKUP(2,1/(('Match Log'!$D$4:$D$810=$N$24)*('Match Log'!$A$4:$A$810&lt;=$J147)),'Match Log'!$N$4:$N$810),NA()))</f>
        <v>981.92436608474441</v>
      </c>
      <c r="O147">
        <f>IF($J147&gt;MAX('Match Log'!$A$4:$A$810),NA(),IFERROR(LOOKUP(2,1/(('Match Log'!$D$4:$D$810=$O$24)*('Match Log'!$A$4:$A$810&lt;=$J147)),'Match Log'!$N$4:$N$810),NA()))</f>
        <v>1129.7012289075892</v>
      </c>
      <c r="P147">
        <f>IF($J147&gt;MAX('Match Log'!$A$4:$A$810),NA(),IFERROR(LOOKUP(2,1/(('Match Log'!$D$4:$D$810=$P$24)*('Match Log'!$A$4:$A$810&lt;=$J147)),'Match Log'!$N$4:$N$810),NA()))</f>
        <v>984.99505610331221</v>
      </c>
      <c r="Q147">
        <f>IF($J147&gt;MAX('Match Log'!$A$4:$A$810),NA(),IFERROR(LOOKUP(2,1/(('Match Log'!$D$4:$D$810=$Q$24)*('Match Log'!$A$4:$A$810&lt;=$J147)),'Match Log'!$N$4:$N$810),NA()))</f>
        <v>1084.8903813508514</v>
      </c>
      <c r="R147">
        <f>IF($J147&gt;MAX('Match Log'!$A$4:$A$810),NA(),IFERROR(LOOKUP(2,1/(('Match Log'!$D$4:$D$810=$R$24)*('Match Log'!$A$4:$A$810&lt;=$J147)),'Match Log'!$N$4:$N$810),NA()))</f>
        <v>1050.8634549674414</v>
      </c>
      <c r="S147">
        <f>IF($J147&gt;MAX('Match Log'!$A$4:$A$810),NA(),IFERROR(LOOKUP(2,1/(('Match Log'!$D$4:$D$810=$S$24)*('Match Log'!$A$4:$A$810&lt;=$J147)),'Match Log'!$N$4:$N$810),NA()))</f>
        <v>1168.2113436007442</v>
      </c>
      <c r="T147">
        <f>IF($J147&gt;MAX('Match Log'!$A$4:$A$810),NA(),IFERROR(LOOKUP(2,1/(('Match Log'!$D$4:$D$810=$T$24)*('Match Log'!$A$4:$A$810&lt;=$J147)),'Match Log'!$N$4:$N$810),NA()))</f>
        <v>893.03675187725173</v>
      </c>
      <c r="U147">
        <f>IF($J147&gt;MAX('Match Log'!$A$4:$A$810),NA(),IFERROR(LOOKUP(2,1/(('Match Log'!$D$4:$D$810=$U$24)*('Match Log'!$A$4:$A$810&lt;=$J147)),'Match Log'!$N$4:$N$810),NA()))</f>
        <v>1090.4582166793289</v>
      </c>
      <c r="V147">
        <f>IF($J147&gt;MAX('Match Log'!$A$4:$A$810),NA(),IFERROR(LOOKUP(2,1/(('Match Log'!$D$4:$D$810=$V$24)*('Match Log'!$A$4:$A$810&lt;=$J147)),'Match Log'!$N$4:$N$810),NA()))</f>
        <v>1031.225848367051</v>
      </c>
      <c r="W147">
        <f>IF($J147&gt;MAX('Match Log'!$A$4:$A$810),NA(),IFERROR(LOOKUP(2,1/(('Match Log'!$D$4:$D$810=$W$24)*('Match Log'!$A$4:$A$810&lt;=$J147)),'Match Log'!$N$4:$N$810),NA()))</f>
        <v>1030.3815983388336</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1112.3077761293196</v>
      </c>
      <c r="L148">
        <f>IF($J148&gt;MAX('Match Log'!$A$4:$A$810),NA(),IFERROR(LOOKUP(2,1/(('Match Log'!$D$4:$D$810=$L$24)*('Match Log'!$A$4:$A$810&lt;=$J148)),'Match Log'!$N$4:$N$810),NA()))</f>
        <v>1029.2201908859522</v>
      </c>
      <c r="M148">
        <f>IF($J148&gt;MAX('Match Log'!$A$4:$A$810),NA(),IFERROR(LOOKUP(2,1/(('Match Log'!$D$4:$D$810=$M$24)*('Match Log'!$A$4:$A$810&lt;=$J148)),'Match Log'!$N$4:$N$810),NA()))</f>
        <v>1016.7837867075796</v>
      </c>
      <c r="N148">
        <f>IF($J148&gt;MAX('Match Log'!$A$4:$A$810),NA(),IFERROR(LOOKUP(2,1/(('Match Log'!$D$4:$D$810=$N$24)*('Match Log'!$A$4:$A$810&lt;=$J148)),'Match Log'!$N$4:$N$810),NA()))</f>
        <v>981.92436608474441</v>
      </c>
      <c r="O148">
        <f>IF($J148&gt;MAX('Match Log'!$A$4:$A$810),NA(),IFERROR(LOOKUP(2,1/(('Match Log'!$D$4:$D$810=$O$24)*('Match Log'!$A$4:$A$810&lt;=$J148)),'Match Log'!$N$4:$N$810),NA()))</f>
        <v>1129.7012289075892</v>
      </c>
      <c r="P148">
        <f>IF($J148&gt;MAX('Match Log'!$A$4:$A$810),NA(),IFERROR(LOOKUP(2,1/(('Match Log'!$D$4:$D$810=$P$24)*('Match Log'!$A$4:$A$810&lt;=$J148)),'Match Log'!$N$4:$N$810),NA()))</f>
        <v>1012.0650351160468</v>
      </c>
      <c r="Q148">
        <f>IF($J148&gt;MAX('Match Log'!$A$4:$A$810),NA(),IFERROR(LOOKUP(2,1/(('Match Log'!$D$4:$D$810=$Q$24)*('Match Log'!$A$4:$A$810&lt;=$J148)),'Match Log'!$N$4:$N$810),NA()))</f>
        <v>1084.8903813508514</v>
      </c>
      <c r="R148">
        <f>IF($J148&gt;MAX('Match Log'!$A$4:$A$810),NA(),IFERROR(LOOKUP(2,1/(('Match Log'!$D$4:$D$810=$R$24)*('Match Log'!$A$4:$A$810&lt;=$J148)),'Match Log'!$N$4:$N$810),NA()))</f>
        <v>1050.8634549674414</v>
      </c>
      <c r="S148">
        <f>IF($J148&gt;MAX('Match Log'!$A$4:$A$810),NA(),IFERROR(LOOKUP(2,1/(('Match Log'!$D$4:$D$810=$S$24)*('Match Log'!$A$4:$A$810&lt;=$J148)),'Match Log'!$N$4:$N$810),NA()))</f>
        <v>1168.2113436007442</v>
      </c>
      <c r="T148">
        <f>IF($J148&gt;MAX('Match Log'!$A$4:$A$810),NA(),IFERROR(LOOKUP(2,1/(('Match Log'!$D$4:$D$810=$T$24)*('Match Log'!$A$4:$A$810&lt;=$J148)),'Match Log'!$N$4:$N$810),NA()))</f>
        <v>893.03675187725173</v>
      </c>
      <c r="U148">
        <f>IF($J148&gt;MAX('Match Log'!$A$4:$A$810),NA(),IFERROR(LOOKUP(2,1/(('Match Log'!$D$4:$D$810=$U$24)*('Match Log'!$A$4:$A$810&lt;=$J148)),'Match Log'!$N$4:$N$810),NA()))</f>
        <v>1063.3882376665943</v>
      </c>
      <c r="V148">
        <f>IF($J148&gt;MAX('Match Log'!$A$4:$A$810),NA(),IFERROR(LOOKUP(2,1/(('Match Log'!$D$4:$D$810=$V$24)*('Match Log'!$A$4:$A$810&lt;=$J148)),'Match Log'!$N$4:$N$810),NA()))</f>
        <v>1031.225848367051</v>
      </c>
      <c r="W148">
        <f>IF($J148&gt;MAX('Match Log'!$A$4:$A$810),NA(),IFERROR(LOOKUP(2,1/(('Match Log'!$D$4:$D$810=$W$24)*('Match Log'!$A$4:$A$810&lt;=$J148)),'Match Log'!$N$4:$N$810),NA()))</f>
        <v>1030.3815983388336</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1112.3077761293196</v>
      </c>
      <c r="L149">
        <f>IF($J149&gt;MAX('Match Log'!$A$4:$A$810),NA(),IFERROR(LOOKUP(2,1/(('Match Log'!$D$4:$D$810=$L$24)*('Match Log'!$A$4:$A$810&lt;=$J149)),'Match Log'!$N$4:$N$810),NA()))</f>
        <v>1029.2201908859522</v>
      </c>
      <c r="M149">
        <f>IF($J149&gt;MAX('Match Log'!$A$4:$A$810),NA(),IFERROR(LOOKUP(2,1/(('Match Log'!$D$4:$D$810=$M$24)*('Match Log'!$A$4:$A$810&lt;=$J149)),'Match Log'!$N$4:$N$810),NA()))</f>
        <v>1016.7837867075796</v>
      </c>
      <c r="N149">
        <f>IF($J149&gt;MAX('Match Log'!$A$4:$A$810),NA(),IFERROR(LOOKUP(2,1/(('Match Log'!$D$4:$D$810=$N$24)*('Match Log'!$A$4:$A$810&lt;=$J149)),'Match Log'!$N$4:$N$810),NA()))</f>
        <v>981.92436608474441</v>
      </c>
      <c r="O149">
        <f>IF($J149&gt;MAX('Match Log'!$A$4:$A$810),NA(),IFERROR(LOOKUP(2,1/(('Match Log'!$D$4:$D$810=$O$24)*('Match Log'!$A$4:$A$810&lt;=$J149)),'Match Log'!$N$4:$N$810),NA()))</f>
        <v>1129.7012289075892</v>
      </c>
      <c r="P149">
        <f>IF($J149&gt;MAX('Match Log'!$A$4:$A$810),NA(),IFERROR(LOOKUP(2,1/(('Match Log'!$D$4:$D$810=$P$24)*('Match Log'!$A$4:$A$810&lt;=$J149)),'Match Log'!$N$4:$N$810),NA()))</f>
        <v>991.11004859453374</v>
      </c>
      <c r="Q149">
        <f>IF($J149&gt;MAX('Match Log'!$A$4:$A$810),NA(),IFERROR(LOOKUP(2,1/(('Match Log'!$D$4:$D$810=$Q$24)*('Match Log'!$A$4:$A$810&lt;=$J149)),'Match Log'!$N$4:$N$810),NA()))</f>
        <v>1084.8903813508514</v>
      </c>
      <c r="R149">
        <f>IF($J149&gt;MAX('Match Log'!$A$4:$A$810),NA(),IFERROR(LOOKUP(2,1/(('Match Log'!$D$4:$D$810=$R$24)*('Match Log'!$A$4:$A$810&lt;=$J149)),'Match Log'!$N$4:$N$810),NA()))</f>
        <v>1050.8634549674414</v>
      </c>
      <c r="S149">
        <f>IF($J149&gt;MAX('Match Log'!$A$4:$A$810),NA(),IFERROR(LOOKUP(2,1/(('Match Log'!$D$4:$D$810=$S$24)*('Match Log'!$A$4:$A$810&lt;=$J149)),'Match Log'!$N$4:$N$810),NA()))</f>
        <v>1168.2113436007442</v>
      </c>
      <c r="T149">
        <f>IF($J149&gt;MAX('Match Log'!$A$4:$A$810),NA(),IFERROR(LOOKUP(2,1/(('Match Log'!$D$4:$D$810=$T$24)*('Match Log'!$A$4:$A$810&lt;=$J149)),'Match Log'!$N$4:$N$810),NA()))</f>
        <v>893.03675187725173</v>
      </c>
      <c r="U149">
        <f>IF($J149&gt;MAX('Match Log'!$A$4:$A$810),NA(),IFERROR(LOOKUP(2,1/(('Match Log'!$D$4:$D$810=$U$24)*('Match Log'!$A$4:$A$810&lt;=$J149)),'Match Log'!$N$4:$N$810),NA()))</f>
        <v>1084.3432241881073</v>
      </c>
      <c r="V149">
        <f>IF($J149&gt;MAX('Match Log'!$A$4:$A$810),NA(),IFERROR(LOOKUP(2,1/(('Match Log'!$D$4:$D$810=$V$24)*('Match Log'!$A$4:$A$810&lt;=$J149)),'Match Log'!$N$4:$N$810),NA()))</f>
        <v>1031.225848367051</v>
      </c>
      <c r="W149">
        <f>IF($J149&gt;MAX('Match Log'!$A$4:$A$810),NA(),IFERROR(LOOKUP(2,1/(('Match Log'!$D$4:$D$810=$W$24)*('Match Log'!$A$4:$A$810&lt;=$J149)),'Match Log'!$N$4:$N$810),NA()))</f>
        <v>1030.3815983388336</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1112.3077761293196</v>
      </c>
      <c r="L150">
        <f>IF($J150&gt;MAX('Match Log'!$A$4:$A$810),NA(),IFERROR(LOOKUP(2,1/(('Match Log'!$D$4:$D$810=$L$24)*('Match Log'!$A$4:$A$810&lt;=$J150)),'Match Log'!$N$4:$N$810),NA()))</f>
        <v>1029.2201908859522</v>
      </c>
      <c r="M150">
        <f>IF($J150&gt;MAX('Match Log'!$A$4:$A$810),NA(),IFERROR(LOOKUP(2,1/(('Match Log'!$D$4:$D$810=$M$24)*('Match Log'!$A$4:$A$810&lt;=$J150)),'Match Log'!$N$4:$N$810),NA()))</f>
        <v>1016.7837867075796</v>
      </c>
      <c r="N150">
        <f>IF($J150&gt;MAX('Match Log'!$A$4:$A$810),NA(),IFERROR(LOOKUP(2,1/(('Match Log'!$D$4:$D$810=$N$24)*('Match Log'!$A$4:$A$810&lt;=$J150)),'Match Log'!$N$4:$N$810),NA()))</f>
        <v>981.92436608474441</v>
      </c>
      <c r="O150">
        <f>IF($J150&gt;MAX('Match Log'!$A$4:$A$810),NA(),IFERROR(LOOKUP(2,1/(('Match Log'!$D$4:$D$810=$O$24)*('Match Log'!$A$4:$A$810&lt;=$J150)),'Match Log'!$N$4:$N$810),NA()))</f>
        <v>1129.7012289075892</v>
      </c>
      <c r="P150">
        <f>IF($J150&gt;MAX('Match Log'!$A$4:$A$810),NA(),IFERROR(LOOKUP(2,1/(('Match Log'!$D$4:$D$810=$P$24)*('Match Log'!$A$4:$A$810&lt;=$J150)),'Match Log'!$N$4:$N$810),NA()))</f>
        <v>1016.787551834148</v>
      </c>
      <c r="Q150">
        <f>IF($J150&gt;MAX('Match Log'!$A$4:$A$810),NA(),IFERROR(LOOKUP(2,1/(('Match Log'!$D$4:$D$810=$Q$24)*('Match Log'!$A$4:$A$810&lt;=$J150)),'Match Log'!$N$4:$N$810),NA()))</f>
        <v>1084.8903813508514</v>
      </c>
      <c r="R150">
        <f>IF($J150&gt;MAX('Match Log'!$A$4:$A$810),NA(),IFERROR(LOOKUP(2,1/(('Match Log'!$D$4:$D$810=$R$24)*('Match Log'!$A$4:$A$810&lt;=$J150)),'Match Log'!$N$4:$N$810),NA()))</f>
        <v>1050.8634549674414</v>
      </c>
      <c r="S150">
        <f>IF($J150&gt;MAX('Match Log'!$A$4:$A$810),NA(),IFERROR(LOOKUP(2,1/(('Match Log'!$D$4:$D$810=$S$24)*('Match Log'!$A$4:$A$810&lt;=$J150)),'Match Log'!$N$4:$N$810),NA()))</f>
        <v>1168.2113436007442</v>
      </c>
      <c r="T150">
        <f>IF($J150&gt;MAX('Match Log'!$A$4:$A$810),NA(),IFERROR(LOOKUP(2,1/(('Match Log'!$D$4:$D$810=$T$24)*('Match Log'!$A$4:$A$810&lt;=$J150)),'Match Log'!$N$4:$N$810),NA()))</f>
        <v>893.03675187725173</v>
      </c>
      <c r="U150">
        <f>IF($J150&gt;MAX('Match Log'!$A$4:$A$810),NA(),IFERROR(LOOKUP(2,1/(('Match Log'!$D$4:$D$810=$U$24)*('Match Log'!$A$4:$A$810&lt;=$J150)),'Match Log'!$N$4:$N$810),NA()))</f>
        <v>1058.6657209484931</v>
      </c>
      <c r="V150">
        <f>IF($J150&gt;MAX('Match Log'!$A$4:$A$810),NA(),IFERROR(LOOKUP(2,1/(('Match Log'!$D$4:$D$810=$V$24)*('Match Log'!$A$4:$A$810&lt;=$J150)),'Match Log'!$N$4:$N$810),NA()))</f>
        <v>1031.225848367051</v>
      </c>
      <c r="W150">
        <f>IF($J150&gt;MAX('Match Log'!$A$4:$A$810),NA(),IFERROR(LOOKUP(2,1/(('Match Log'!$D$4:$D$810=$W$24)*('Match Log'!$A$4:$A$810&lt;=$J150)),'Match Log'!$N$4:$N$810),NA()))</f>
        <v>1030.3815983388336</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1086.007564258605</v>
      </c>
      <c r="L151">
        <f>IF($J151&gt;MAX('Match Log'!$A$4:$A$810),NA(),IFERROR(LOOKUP(2,1/(('Match Log'!$D$4:$D$810=$L$24)*('Match Log'!$A$4:$A$810&lt;=$J151)),'Match Log'!$N$4:$N$810),NA()))</f>
        <v>1029.2201908859522</v>
      </c>
      <c r="M151">
        <f>IF($J151&gt;MAX('Match Log'!$A$4:$A$810),NA(),IFERROR(LOOKUP(2,1/(('Match Log'!$D$4:$D$810=$M$24)*('Match Log'!$A$4:$A$810&lt;=$J151)),'Match Log'!$N$4:$N$810),NA()))</f>
        <v>1016.7837867075796</v>
      </c>
      <c r="N151">
        <f>IF($J151&gt;MAX('Match Log'!$A$4:$A$810),NA(),IFERROR(LOOKUP(2,1/(('Match Log'!$D$4:$D$810=$N$24)*('Match Log'!$A$4:$A$810&lt;=$J151)),'Match Log'!$N$4:$N$810),NA()))</f>
        <v>981.92436608474441</v>
      </c>
      <c r="O151">
        <f>IF($J151&gt;MAX('Match Log'!$A$4:$A$810),NA(),IFERROR(LOOKUP(2,1/(('Match Log'!$D$4:$D$810=$O$24)*('Match Log'!$A$4:$A$810&lt;=$J151)),'Match Log'!$N$4:$N$810),NA()))</f>
        <v>1129.7012289075892</v>
      </c>
      <c r="P151">
        <f>IF($J151&gt;MAX('Match Log'!$A$4:$A$810),NA(),IFERROR(LOOKUP(2,1/(('Match Log'!$D$4:$D$810=$P$24)*('Match Log'!$A$4:$A$810&lt;=$J151)),'Match Log'!$N$4:$N$810),NA()))</f>
        <v>1043.0877637048625</v>
      </c>
      <c r="Q151">
        <f>IF($J151&gt;MAX('Match Log'!$A$4:$A$810),NA(),IFERROR(LOOKUP(2,1/(('Match Log'!$D$4:$D$810=$Q$24)*('Match Log'!$A$4:$A$810&lt;=$J151)),'Match Log'!$N$4:$N$810),NA()))</f>
        <v>1084.8903813508514</v>
      </c>
      <c r="R151">
        <f>IF($J151&gt;MAX('Match Log'!$A$4:$A$810),NA(),IFERROR(LOOKUP(2,1/(('Match Log'!$D$4:$D$810=$R$24)*('Match Log'!$A$4:$A$810&lt;=$J151)),'Match Log'!$N$4:$N$810),NA()))</f>
        <v>1050.8634549674414</v>
      </c>
      <c r="S151">
        <f>IF($J151&gt;MAX('Match Log'!$A$4:$A$810),NA(),IFERROR(LOOKUP(2,1/(('Match Log'!$D$4:$D$810=$S$24)*('Match Log'!$A$4:$A$810&lt;=$J151)),'Match Log'!$N$4:$N$810),NA()))</f>
        <v>1168.2113436007442</v>
      </c>
      <c r="T151">
        <f>IF($J151&gt;MAX('Match Log'!$A$4:$A$810),NA(),IFERROR(LOOKUP(2,1/(('Match Log'!$D$4:$D$810=$T$24)*('Match Log'!$A$4:$A$810&lt;=$J151)),'Match Log'!$N$4:$N$810),NA()))</f>
        <v>893.03675187725173</v>
      </c>
      <c r="U151">
        <f>IF($J151&gt;MAX('Match Log'!$A$4:$A$810),NA(),IFERROR(LOOKUP(2,1/(('Match Log'!$D$4:$D$810=$U$24)*('Match Log'!$A$4:$A$810&lt;=$J151)),'Match Log'!$N$4:$N$810),NA()))</f>
        <v>1058.6657209484931</v>
      </c>
      <c r="V151">
        <f>IF($J151&gt;MAX('Match Log'!$A$4:$A$810),NA(),IFERROR(LOOKUP(2,1/(('Match Log'!$D$4:$D$810=$V$24)*('Match Log'!$A$4:$A$810&lt;=$J151)),'Match Log'!$N$4:$N$810),NA()))</f>
        <v>1031.225848367051</v>
      </c>
      <c r="W151">
        <f>IF($J151&gt;MAX('Match Log'!$A$4:$A$810),NA(),IFERROR(LOOKUP(2,1/(('Match Log'!$D$4:$D$810=$W$24)*('Match Log'!$A$4:$A$810&lt;=$J151)),'Match Log'!$N$4:$N$810),NA()))</f>
        <v>1030.3815983388336</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1106.0736249589231</v>
      </c>
      <c r="L152">
        <f>IF($J152&gt;MAX('Match Log'!$A$4:$A$810),NA(),IFERROR(LOOKUP(2,1/(('Match Log'!$D$4:$D$810=$L$24)*('Match Log'!$A$4:$A$810&lt;=$J152)),'Match Log'!$N$4:$N$810),NA()))</f>
        <v>1029.2201908859522</v>
      </c>
      <c r="M152">
        <f>IF($J152&gt;MAX('Match Log'!$A$4:$A$810),NA(),IFERROR(LOOKUP(2,1/(('Match Log'!$D$4:$D$810=$M$24)*('Match Log'!$A$4:$A$810&lt;=$J152)),'Match Log'!$N$4:$N$810),NA()))</f>
        <v>1016.7837867075796</v>
      </c>
      <c r="N152">
        <f>IF($J152&gt;MAX('Match Log'!$A$4:$A$810),NA(),IFERROR(LOOKUP(2,1/(('Match Log'!$D$4:$D$810=$N$24)*('Match Log'!$A$4:$A$810&lt;=$J152)),'Match Log'!$N$4:$N$810),NA()))</f>
        <v>981.92436608474441</v>
      </c>
      <c r="O152">
        <f>IF($J152&gt;MAX('Match Log'!$A$4:$A$810),NA(),IFERROR(LOOKUP(2,1/(('Match Log'!$D$4:$D$810=$O$24)*('Match Log'!$A$4:$A$810&lt;=$J152)),'Match Log'!$N$4:$N$810),NA()))</f>
        <v>1129.7012289075892</v>
      </c>
      <c r="P152">
        <f>IF($J152&gt;MAX('Match Log'!$A$4:$A$810),NA(),IFERROR(LOOKUP(2,1/(('Match Log'!$D$4:$D$810=$P$24)*('Match Log'!$A$4:$A$810&lt;=$J152)),'Match Log'!$N$4:$N$810),NA()))</f>
        <v>1023.0217030045443</v>
      </c>
      <c r="Q152">
        <f>IF($J152&gt;MAX('Match Log'!$A$4:$A$810),NA(),IFERROR(LOOKUP(2,1/(('Match Log'!$D$4:$D$810=$Q$24)*('Match Log'!$A$4:$A$810&lt;=$J152)),'Match Log'!$N$4:$N$810),NA()))</f>
        <v>1084.8903813508514</v>
      </c>
      <c r="R152">
        <f>IF($J152&gt;MAX('Match Log'!$A$4:$A$810),NA(),IFERROR(LOOKUP(2,1/(('Match Log'!$D$4:$D$810=$R$24)*('Match Log'!$A$4:$A$810&lt;=$J152)),'Match Log'!$N$4:$N$810),NA()))</f>
        <v>1050.8634549674414</v>
      </c>
      <c r="S152">
        <f>IF($J152&gt;MAX('Match Log'!$A$4:$A$810),NA(),IFERROR(LOOKUP(2,1/(('Match Log'!$D$4:$D$810=$S$24)*('Match Log'!$A$4:$A$810&lt;=$J152)),'Match Log'!$N$4:$N$810),NA()))</f>
        <v>1168.2113436007442</v>
      </c>
      <c r="T152">
        <f>IF($J152&gt;MAX('Match Log'!$A$4:$A$810),NA(),IFERROR(LOOKUP(2,1/(('Match Log'!$D$4:$D$810=$T$24)*('Match Log'!$A$4:$A$810&lt;=$J152)),'Match Log'!$N$4:$N$810),NA()))</f>
        <v>893.03675187725173</v>
      </c>
      <c r="U152">
        <f>IF($J152&gt;MAX('Match Log'!$A$4:$A$810),NA(),IFERROR(LOOKUP(2,1/(('Match Log'!$D$4:$D$810=$U$24)*('Match Log'!$A$4:$A$810&lt;=$J152)),'Match Log'!$N$4:$N$810),NA()))</f>
        <v>1058.6657209484931</v>
      </c>
      <c r="V152">
        <f>IF($J152&gt;MAX('Match Log'!$A$4:$A$810),NA(),IFERROR(LOOKUP(2,1/(('Match Log'!$D$4:$D$810=$V$24)*('Match Log'!$A$4:$A$810&lt;=$J152)),'Match Log'!$N$4:$N$810),NA()))</f>
        <v>1031.225848367051</v>
      </c>
      <c r="W152">
        <f>IF($J152&gt;MAX('Match Log'!$A$4:$A$810),NA(),IFERROR(LOOKUP(2,1/(('Match Log'!$D$4:$D$810=$W$24)*('Match Log'!$A$4:$A$810&lt;=$J152)),'Match Log'!$N$4:$N$810),NA()))</f>
        <v>1030.3815983388336</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1080.3201643856687</v>
      </c>
      <c r="L153">
        <f>IF($J153&gt;MAX('Match Log'!$A$4:$A$810),NA(),IFERROR(LOOKUP(2,1/(('Match Log'!$D$4:$D$810=$L$24)*('Match Log'!$A$4:$A$810&lt;=$J153)),'Match Log'!$N$4:$N$810),NA()))</f>
        <v>1029.2201908859522</v>
      </c>
      <c r="M153">
        <f>IF($J153&gt;MAX('Match Log'!$A$4:$A$810),NA(),IFERROR(LOOKUP(2,1/(('Match Log'!$D$4:$D$810=$M$24)*('Match Log'!$A$4:$A$810&lt;=$J153)),'Match Log'!$N$4:$N$810),NA()))</f>
        <v>1016.7837867075796</v>
      </c>
      <c r="N153">
        <f>IF($J153&gt;MAX('Match Log'!$A$4:$A$810),NA(),IFERROR(LOOKUP(2,1/(('Match Log'!$D$4:$D$810=$N$24)*('Match Log'!$A$4:$A$810&lt;=$J153)),'Match Log'!$N$4:$N$810),NA()))</f>
        <v>981.92436608474441</v>
      </c>
      <c r="O153">
        <f>IF($J153&gt;MAX('Match Log'!$A$4:$A$810),NA(),IFERROR(LOOKUP(2,1/(('Match Log'!$D$4:$D$810=$O$24)*('Match Log'!$A$4:$A$810&lt;=$J153)),'Match Log'!$N$4:$N$810),NA()))</f>
        <v>1129.7012289075892</v>
      </c>
      <c r="P153">
        <f>IF($J153&gt;MAX('Match Log'!$A$4:$A$810),NA(),IFERROR(LOOKUP(2,1/(('Match Log'!$D$4:$D$810=$P$24)*('Match Log'!$A$4:$A$810&lt;=$J153)),'Match Log'!$N$4:$N$810),NA()))</f>
        <v>1048.7751635777988</v>
      </c>
      <c r="Q153">
        <f>IF($J153&gt;MAX('Match Log'!$A$4:$A$810),NA(),IFERROR(LOOKUP(2,1/(('Match Log'!$D$4:$D$810=$Q$24)*('Match Log'!$A$4:$A$810&lt;=$J153)),'Match Log'!$N$4:$N$810),NA()))</f>
        <v>1084.8903813508514</v>
      </c>
      <c r="R153">
        <f>IF($J153&gt;MAX('Match Log'!$A$4:$A$810),NA(),IFERROR(LOOKUP(2,1/(('Match Log'!$D$4:$D$810=$R$24)*('Match Log'!$A$4:$A$810&lt;=$J153)),'Match Log'!$N$4:$N$810),NA()))</f>
        <v>1050.8634549674414</v>
      </c>
      <c r="S153">
        <f>IF($J153&gt;MAX('Match Log'!$A$4:$A$810),NA(),IFERROR(LOOKUP(2,1/(('Match Log'!$D$4:$D$810=$S$24)*('Match Log'!$A$4:$A$810&lt;=$J153)),'Match Log'!$N$4:$N$810),NA()))</f>
        <v>1168.2113436007442</v>
      </c>
      <c r="T153">
        <f>IF($J153&gt;MAX('Match Log'!$A$4:$A$810),NA(),IFERROR(LOOKUP(2,1/(('Match Log'!$D$4:$D$810=$T$24)*('Match Log'!$A$4:$A$810&lt;=$J153)),'Match Log'!$N$4:$N$810),NA()))</f>
        <v>893.03675187725173</v>
      </c>
      <c r="U153">
        <f>IF($J153&gt;MAX('Match Log'!$A$4:$A$810),NA(),IFERROR(LOOKUP(2,1/(('Match Log'!$D$4:$D$810=$U$24)*('Match Log'!$A$4:$A$810&lt;=$J153)),'Match Log'!$N$4:$N$810),NA()))</f>
        <v>1058.6657209484931</v>
      </c>
      <c r="V153">
        <f>IF($J153&gt;MAX('Match Log'!$A$4:$A$810),NA(),IFERROR(LOOKUP(2,1/(('Match Log'!$D$4:$D$810=$V$24)*('Match Log'!$A$4:$A$810&lt;=$J153)),'Match Log'!$N$4:$N$810),NA()))</f>
        <v>1031.225848367051</v>
      </c>
      <c r="W153">
        <f>IF($J153&gt;MAX('Match Log'!$A$4:$A$810),NA(),IFERROR(LOOKUP(2,1/(('Match Log'!$D$4:$D$810=$W$24)*('Match Log'!$A$4:$A$810&lt;=$J153)),'Match Log'!$N$4:$N$810),NA()))</f>
        <v>1030.3815983388336</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1059.3563576220192</v>
      </c>
      <c r="L154">
        <f>IF($J154&gt;MAX('Match Log'!$A$4:$A$810),NA(),IFERROR(LOOKUP(2,1/(('Match Log'!$D$4:$D$810=$L$24)*('Match Log'!$A$4:$A$810&lt;=$J154)),'Match Log'!$N$4:$N$810),NA()))</f>
        <v>1029.2201908859522</v>
      </c>
      <c r="M154">
        <f>IF($J154&gt;MAX('Match Log'!$A$4:$A$810),NA(),IFERROR(LOOKUP(2,1/(('Match Log'!$D$4:$D$810=$M$24)*('Match Log'!$A$4:$A$810&lt;=$J154)),'Match Log'!$N$4:$N$810),NA()))</f>
        <v>1016.7837867075796</v>
      </c>
      <c r="N154">
        <f>IF($J154&gt;MAX('Match Log'!$A$4:$A$810),NA(),IFERROR(LOOKUP(2,1/(('Match Log'!$D$4:$D$810=$N$24)*('Match Log'!$A$4:$A$810&lt;=$J154)),'Match Log'!$N$4:$N$810),NA()))</f>
        <v>981.92436608474441</v>
      </c>
      <c r="O154">
        <f>IF($J154&gt;MAX('Match Log'!$A$4:$A$810),NA(),IFERROR(LOOKUP(2,1/(('Match Log'!$D$4:$D$810=$O$24)*('Match Log'!$A$4:$A$810&lt;=$J154)),'Match Log'!$N$4:$N$810),NA()))</f>
        <v>1129.7012289075892</v>
      </c>
      <c r="P154">
        <f>IF($J154&gt;MAX('Match Log'!$A$4:$A$810),NA(),IFERROR(LOOKUP(2,1/(('Match Log'!$D$4:$D$810=$P$24)*('Match Log'!$A$4:$A$810&lt;=$J154)),'Match Log'!$N$4:$N$810),NA()))</f>
        <v>1069.7389703414483</v>
      </c>
      <c r="Q154">
        <f>IF($J154&gt;MAX('Match Log'!$A$4:$A$810),NA(),IFERROR(LOOKUP(2,1/(('Match Log'!$D$4:$D$810=$Q$24)*('Match Log'!$A$4:$A$810&lt;=$J154)),'Match Log'!$N$4:$N$810),NA()))</f>
        <v>1084.8903813508514</v>
      </c>
      <c r="R154">
        <f>IF($J154&gt;MAX('Match Log'!$A$4:$A$810),NA(),IFERROR(LOOKUP(2,1/(('Match Log'!$D$4:$D$810=$R$24)*('Match Log'!$A$4:$A$810&lt;=$J154)),'Match Log'!$N$4:$N$810),NA()))</f>
        <v>1050.8634549674414</v>
      </c>
      <c r="S154">
        <f>IF($J154&gt;MAX('Match Log'!$A$4:$A$810),NA(),IFERROR(LOOKUP(2,1/(('Match Log'!$D$4:$D$810=$S$24)*('Match Log'!$A$4:$A$810&lt;=$J154)),'Match Log'!$N$4:$N$810),NA()))</f>
        <v>1168.2113436007442</v>
      </c>
      <c r="T154">
        <f>IF($J154&gt;MAX('Match Log'!$A$4:$A$810),NA(),IFERROR(LOOKUP(2,1/(('Match Log'!$D$4:$D$810=$T$24)*('Match Log'!$A$4:$A$810&lt;=$J154)),'Match Log'!$N$4:$N$810),NA()))</f>
        <v>893.03675187725173</v>
      </c>
      <c r="U154">
        <f>IF($J154&gt;MAX('Match Log'!$A$4:$A$810),NA(),IFERROR(LOOKUP(2,1/(('Match Log'!$D$4:$D$810=$U$24)*('Match Log'!$A$4:$A$810&lt;=$J154)),'Match Log'!$N$4:$N$810),NA()))</f>
        <v>1058.6657209484931</v>
      </c>
      <c r="V154">
        <f>IF($J154&gt;MAX('Match Log'!$A$4:$A$810),NA(),IFERROR(LOOKUP(2,1/(('Match Log'!$D$4:$D$810=$V$24)*('Match Log'!$A$4:$A$810&lt;=$J154)),'Match Log'!$N$4:$N$810),NA()))</f>
        <v>1031.225848367051</v>
      </c>
      <c r="W154">
        <f>IF($J154&gt;MAX('Match Log'!$A$4:$A$810),NA(),IFERROR(LOOKUP(2,1/(('Match Log'!$D$4:$D$810=$W$24)*('Match Log'!$A$4:$A$810&lt;=$J154)),'Match Log'!$N$4:$N$810),NA()))</f>
        <v>1030.3815983388336</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1041.4993516821401</v>
      </c>
      <c r="L155">
        <f>IF($J155&gt;MAX('Match Log'!$A$4:$A$810),NA(),IFERROR(LOOKUP(2,1/(('Match Log'!$D$4:$D$810=$L$24)*('Match Log'!$A$4:$A$810&lt;=$J155)),'Match Log'!$N$4:$N$810),NA()))</f>
        <v>1029.2201908859522</v>
      </c>
      <c r="M155">
        <f>IF($J155&gt;MAX('Match Log'!$A$4:$A$810),NA(),IFERROR(LOOKUP(2,1/(('Match Log'!$D$4:$D$810=$M$24)*('Match Log'!$A$4:$A$810&lt;=$J155)),'Match Log'!$N$4:$N$810),NA()))</f>
        <v>1016.7837867075796</v>
      </c>
      <c r="N155">
        <f>IF($J155&gt;MAX('Match Log'!$A$4:$A$810),NA(),IFERROR(LOOKUP(2,1/(('Match Log'!$D$4:$D$810=$N$24)*('Match Log'!$A$4:$A$810&lt;=$J155)),'Match Log'!$N$4:$N$810),NA()))</f>
        <v>981.92436608474441</v>
      </c>
      <c r="O155">
        <f>IF($J155&gt;MAX('Match Log'!$A$4:$A$810),NA(),IFERROR(LOOKUP(2,1/(('Match Log'!$D$4:$D$810=$O$24)*('Match Log'!$A$4:$A$810&lt;=$J155)),'Match Log'!$N$4:$N$810),NA()))</f>
        <v>1129.7012289075892</v>
      </c>
      <c r="P155">
        <f>IF($J155&gt;MAX('Match Log'!$A$4:$A$810),NA(),IFERROR(LOOKUP(2,1/(('Match Log'!$D$4:$D$810=$P$24)*('Match Log'!$A$4:$A$810&lt;=$J155)),'Match Log'!$N$4:$N$810),NA()))</f>
        <v>1087.5959762813275</v>
      </c>
      <c r="Q155">
        <f>IF($J155&gt;MAX('Match Log'!$A$4:$A$810),NA(),IFERROR(LOOKUP(2,1/(('Match Log'!$D$4:$D$810=$Q$24)*('Match Log'!$A$4:$A$810&lt;=$J155)),'Match Log'!$N$4:$N$810),NA()))</f>
        <v>1084.8903813508514</v>
      </c>
      <c r="R155">
        <f>IF($J155&gt;MAX('Match Log'!$A$4:$A$810),NA(),IFERROR(LOOKUP(2,1/(('Match Log'!$D$4:$D$810=$R$24)*('Match Log'!$A$4:$A$810&lt;=$J155)),'Match Log'!$N$4:$N$810),NA()))</f>
        <v>1050.8634549674414</v>
      </c>
      <c r="S155">
        <f>IF($J155&gt;MAX('Match Log'!$A$4:$A$810),NA(),IFERROR(LOOKUP(2,1/(('Match Log'!$D$4:$D$810=$S$24)*('Match Log'!$A$4:$A$810&lt;=$J155)),'Match Log'!$N$4:$N$810),NA()))</f>
        <v>1168.2113436007442</v>
      </c>
      <c r="T155">
        <f>IF($J155&gt;MAX('Match Log'!$A$4:$A$810),NA(),IFERROR(LOOKUP(2,1/(('Match Log'!$D$4:$D$810=$T$24)*('Match Log'!$A$4:$A$810&lt;=$J155)),'Match Log'!$N$4:$N$810),NA()))</f>
        <v>893.03675187725173</v>
      </c>
      <c r="U155">
        <f>IF($J155&gt;MAX('Match Log'!$A$4:$A$810),NA(),IFERROR(LOOKUP(2,1/(('Match Log'!$D$4:$D$810=$U$24)*('Match Log'!$A$4:$A$810&lt;=$J155)),'Match Log'!$N$4:$N$810),NA()))</f>
        <v>1058.6657209484931</v>
      </c>
      <c r="V155">
        <f>IF($J155&gt;MAX('Match Log'!$A$4:$A$810),NA(),IFERROR(LOOKUP(2,1/(('Match Log'!$D$4:$D$810=$V$24)*('Match Log'!$A$4:$A$810&lt;=$J155)),'Match Log'!$N$4:$N$810),NA()))</f>
        <v>1031.225848367051</v>
      </c>
      <c r="W155">
        <f>IF($J155&gt;MAX('Match Log'!$A$4:$A$810),NA(),IFERROR(LOOKUP(2,1/(('Match Log'!$D$4:$D$810=$W$24)*('Match Log'!$A$4:$A$810&lt;=$J155)),'Match Log'!$N$4:$N$810),NA()))</f>
        <v>1030.3815983388336</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1061.4340486214085</v>
      </c>
      <c r="L156">
        <f>IF($J156&gt;MAX('Match Log'!$A$4:$A$810),NA(),IFERROR(LOOKUP(2,1/(('Match Log'!$D$4:$D$810=$L$24)*('Match Log'!$A$4:$A$810&lt;=$J156)),'Match Log'!$N$4:$N$810),NA()))</f>
        <v>1029.2201908859522</v>
      </c>
      <c r="M156">
        <f>IF($J156&gt;MAX('Match Log'!$A$4:$A$810),NA(),IFERROR(LOOKUP(2,1/(('Match Log'!$D$4:$D$810=$M$24)*('Match Log'!$A$4:$A$810&lt;=$J156)),'Match Log'!$N$4:$N$810),NA()))</f>
        <v>1016.7837867075796</v>
      </c>
      <c r="N156">
        <f>IF($J156&gt;MAX('Match Log'!$A$4:$A$810),NA(),IFERROR(LOOKUP(2,1/(('Match Log'!$D$4:$D$810=$N$24)*('Match Log'!$A$4:$A$810&lt;=$J156)),'Match Log'!$N$4:$N$810),NA()))</f>
        <v>981.92436608474441</v>
      </c>
      <c r="O156">
        <f>IF($J156&gt;MAX('Match Log'!$A$4:$A$810),NA(),IFERROR(LOOKUP(2,1/(('Match Log'!$D$4:$D$810=$O$24)*('Match Log'!$A$4:$A$810&lt;=$J156)),'Match Log'!$N$4:$N$810),NA()))</f>
        <v>1129.7012289075892</v>
      </c>
      <c r="P156">
        <f>IF($J156&gt;MAX('Match Log'!$A$4:$A$810),NA(),IFERROR(LOOKUP(2,1/(('Match Log'!$D$4:$D$810=$P$24)*('Match Log'!$A$4:$A$810&lt;=$J156)),'Match Log'!$N$4:$N$810),NA()))</f>
        <v>1067.6612793420591</v>
      </c>
      <c r="Q156">
        <f>IF($J156&gt;MAX('Match Log'!$A$4:$A$810),NA(),IFERROR(LOOKUP(2,1/(('Match Log'!$D$4:$D$810=$Q$24)*('Match Log'!$A$4:$A$810&lt;=$J156)),'Match Log'!$N$4:$N$810),NA()))</f>
        <v>1084.8903813508514</v>
      </c>
      <c r="R156">
        <f>IF($J156&gt;MAX('Match Log'!$A$4:$A$810),NA(),IFERROR(LOOKUP(2,1/(('Match Log'!$D$4:$D$810=$R$24)*('Match Log'!$A$4:$A$810&lt;=$J156)),'Match Log'!$N$4:$N$810),NA()))</f>
        <v>1050.8634549674414</v>
      </c>
      <c r="S156">
        <f>IF($J156&gt;MAX('Match Log'!$A$4:$A$810),NA(),IFERROR(LOOKUP(2,1/(('Match Log'!$D$4:$D$810=$S$24)*('Match Log'!$A$4:$A$810&lt;=$J156)),'Match Log'!$N$4:$N$810),NA()))</f>
        <v>1168.2113436007442</v>
      </c>
      <c r="T156">
        <f>IF($J156&gt;MAX('Match Log'!$A$4:$A$810),NA(),IFERROR(LOOKUP(2,1/(('Match Log'!$D$4:$D$810=$T$24)*('Match Log'!$A$4:$A$810&lt;=$J156)),'Match Log'!$N$4:$N$810),NA()))</f>
        <v>893.03675187725173</v>
      </c>
      <c r="U156">
        <f>IF($J156&gt;MAX('Match Log'!$A$4:$A$810),NA(),IFERROR(LOOKUP(2,1/(('Match Log'!$D$4:$D$810=$U$24)*('Match Log'!$A$4:$A$810&lt;=$J156)),'Match Log'!$N$4:$N$810),NA()))</f>
        <v>1058.6657209484931</v>
      </c>
      <c r="V156">
        <f>IF($J156&gt;MAX('Match Log'!$A$4:$A$810),NA(),IFERROR(LOOKUP(2,1/(('Match Log'!$D$4:$D$810=$V$24)*('Match Log'!$A$4:$A$810&lt;=$J156)),'Match Log'!$N$4:$N$810),NA()))</f>
        <v>1031.225848367051</v>
      </c>
      <c r="W156">
        <f>IF($J156&gt;MAX('Match Log'!$A$4:$A$810),NA(),IFERROR(LOOKUP(2,1/(('Match Log'!$D$4:$D$810=$W$24)*('Match Log'!$A$4:$A$810&lt;=$J156)),'Match Log'!$N$4:$N$810),NA()))</f>
        <v>1030.3815983388336</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1079.6756025728332</v>
      </c>
      <c r="L157">
        <f>IF($J157&gt;MAX('Match Log'!$A$4:$A$810),NA(),IFERROR(LOOKUP(2,1/(('Match Log'!$D$4:$D$810=$L$24)*('Match Log'!$A$4:$A$810&lt;=$J157)),'Match Log'!$N$4:$N$810),NA()))</f>
        <v>1029.2201908859522</v>
      </c>
      <c r="M157">
        <f>IF($J157&gt;MAX('Match Log'!$A$4:$A$810),NA(),IFERROR(LOOKUP(2,1/(('Match Log'!$D$4:$D$810=$M$24)*('Match Log'!$A$4:$A$810&lt;=$J157)),'Match Log'!$N$4:$N$810),NA()))</f>
        <v>1016.7837867075796</v>
      </c>
      <c r="N157">
        <f>IF($J157&gt;MAX('Match Log'!$A$4:$A$810),NA(),IFERROR(LOOKUP(2,1/(('Match Log'!$D$4:$D$810=$N$24)*('Match Log'!$A$4:$A$810&lt;=$J157)),'Match Log'!$N$4:$N$810),NA()))</f>
        <v>981.92436608474441</v>
      </c>
      <c r="O157">
        <f>IF($J157&gt;MAX('Match Log'!$A$4:$A$810),NA(),IFERROR(LOOKUP(2,1/(('Match Log'!$D$4:$D$810=$O$24)*('Match Log'!$A$4:$A$810&lt;=$J157)),'Match Log'!$N$4:$N$810),NA()))</f>
        <v>1129.7012289075892</v>
      </c>
      <c r="P157">
        <f>IF($J157&gt;MAX('Match Log'!$A$4:$A$810),NA(),IFERROR(LOOKUP(2,1/(('Match Log'!$D$4:$D$810=$P$24)*('Match Log'!$A$4:$A$810&lt;=$J157)),'Match Log'!$N$4:$N$810),NA()))</f>
        <v>1049.4197253906343</v>
      </c>
      <c r="Q157">
        <f>IF($J157&gt;MAX('Match Log'!$A$4:$A$810),NA(),IFERROR(LOOKUP(2,1/(('Match Log'!$D$4:$D$810=$Q$24)*('Match Log'!$A$4:$A$810&lt;=$J157)),'Match Log'!$N$4:$N$810),NA()))</f>
        <v>1084.8903813508514</v>
      </c>
      <c r="R157">
        <f>IF($J157&gt;MAX('Match Log'!$A$4:$A$810),NA(),IFERROR(LOOKUP(2,1/(('Match Log'!$D$4:$D$810=$R$24)*('Match Log'!$A$4:$A$810&lt;=$J157)),'Match Log'!$N$4:$N$810),NA()))</f>
        <v>1050.8634549674414</v>
      </c>
      <c r="S157">
        <f>IF($J157&gt;MAX('Match Log'!$A$4:$A$810),NA(),IFERROR(LOOKUP(2,1/(('Match Log'!$D$4:$D$810=$S$24)*('Match Log'!$A$4:$A$810&lt;=$J157)),'Match Log'!$N$4:$N$810),NA()))</f>
        <v>1168.2113436007442</v>
      </c>
      <c r="T157">
        <f>IF($J157&gt;MAX('Match Log'!$A$4:$A$810),NA(),IFERROR(LOOKUP(2,1/(('Match Log'!$D$4:$D$810=$T$24)*('Match Log'!$A$4:$A$810&lt;=$J157)),'Match Log'!$N$4:$N$810),NA()))</f>
        <v>893.03675187725173</v>
      </c>
      <c r="U157">
        <f>IF($J157&gt;MAX('Match Log'!$A$4:$A$810),NA(),IFERROR(LOOKUP(2,1/(('Match Log'!$D$4:$D$810=$U$24)*('Match Log'!$A$4:$A$810&lt;=$J157)),'Match Log'!$N$4:$N$810),NA()))</f>
        <v>1058.6657209484931</v>
      </c>
      <c r="V157">
        <f>IF($J157&gt;MAX('Match Log'!$A$4:$A$810),NA(),IFERROR(LOOKUP(2,1/(('Match Log'!$D$4:$D$810=$V$24)*('Match Log'!$A$4:$A$810&lt;=$J157)),'Match Log'!$N$4:$N$810),NA()))</f>
        <v>1031.225848367051</v>
      </c>
      <c r="W157">
        <f>IF($J157&gt;MAX('Match Log'!$A$4:$A$810),NA(),IFERROR(LOOKUP(2,1/(('Match Log'!$D$4:$D$810=$W$24)*('Match Log'!$A$4:$A$810&lt;=$J157)),'Match Log'!$N$4:$N$810),NA()))</f>
        <v>1030.3815983388336</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1061.9153995559886</v>
      </c>
      <c r="L158">
        <f>IF($J158&gt;MAX('Match Log'!$A$4:$A$810),NA(),IFERROR(LOOKUP(2,1/(('Match Log'!$D$4:$D$810=$L$24)*('Match Log'!$A$4:$A$810&lt;=$J158)),'Match Log'!$N$4:$N$810),NA()))</f>
        <v>1029.2201908859522</v>
      </c>
      <c r="M158">
        <f>IF($J158&gt;MAX('Match Log'!$A$4:$A$810),NA(),IFERROR(LOOKUP(2,1/(('Match Log'!$D$4:$D$810=$M$24)*('Match Log'!$A$4:$A$810&lt;=$J158)),'Match Log'!$N$4:$N$810),NA()))</f>
        <v>1016.7837867075796</v>
      </c>
      <c r="N158">
        <f>IF($J158&gt;MAX('Match Log'!$A$4:$A$810),NA(),IFERROR(LOOKUP(2,1/(('Match Log'!$D$4:$D$810=$N$24)*('Match Log'!$A$4:$A$810&lt;=$J158)),'Match Log'!$N$4:$N$810),NA()))</f>
        <v>981.92436608474441</v>
      </c>
      <c r="O158">
        <f>IF($J158&gt;MAX('Match Log'!$A$4:$A$810),NA(),IFERROR(LOOKUP(2,1/(('Match Log'!$D$4:$D$810=$O$24)*('Match Log'!$A$4:$A$810&lt;=$J158)),'Match Log'!$N$4:$N$810),NA()))</f>
        <v>1129.7012289075892</v>
      </c>
      <c r="P158">
        <f>IF($J158&gt;MAX('Match Log'!$A$4:$A$810),NA(),IFERROR(LOOKUP(2,1/(('Match Log'!$D$4:$D$810=$P$24)*('Match Log'!$A$4:$A$810&lt;=$J158)),'Match Log'!$N$4:$N$810),NA()))</f>
        <v>1067.1799284074789</v>
      </c>
      <c r="Q158">
        <f>IF($J158&gt;MAX('Match Log'!$A$4:$A$810),NA(),IFERROR(LOOKUP(2,1/(('Match Log'!$D$4:$D$810=$Q$24)*('Match Log'!$A$4:$A$810&lt;=$J158)),'Match Log'!$N$4:$N$810),NA()))</f>
        <v>1084.8903813508514</v>
      </c>
      <c r="R158">
        <f>IF($J158&gt;MAX('Match Log'!$A$4:$A$810),NA(),IFERROR(LOOKUP(2,1/(('Match Log'!$D$4:$D$810=$R$24)*('Match Log'!$A$4:$A$810&lt;=$J158)),'Match Log'!$N$4:$N$810),NA()))</f>
        <v>1050.8634549674414</v>
      </c>
      <c r="S158">
        <f>IF($J158&gt;MAX('Match Log'!$A$4:$A$810),NA(),IFERROR(LOOKUP(2,1/(('Match Log'!$D$4:$D$810=$S$24)*('Match Log'!$A$4:$A$810&lt;=$J158)),'Match Log'!$N$4:$N$810),NA()))</f>
        <v>1168.2113436007442</v>
      </c>
      <c r="T158">
        <f>IF($J158&gt;MAX('Match Log'!$A$4:$A$810),NA(),IFERROR(LOOKUP(2,1/(('Match Log'!$D$4:$D$810=$T$24)*('Match Log'!$A$4:$A$810&lt;=$J158)),'Match Log'!$N$4:$N$810),NA()))</f>
        <v>893.03675187725173</v>
      </c>
      <c r="U158">
        <f>IF($J158&gt;MAX('Match Log'!$A$4:$A$810),NA(),IFERROR(LOOKUP(2,1/(('Match Log'!$D$4:$D$810=$U$24)*('Match Log'!$A$4:$A$810&lt;=$J158)),'Match Log'!$N$4:$N$810),NA()))</f>
        <v>1058.6657209484931</v>
      </c>
      <c r="V158">
        <f>IF($J158&gt;MAX('Match Log'!$A$4:$A$810),NA(),IFERROR(LOOKUP(2,1/(('Match Log'!$D$4:$D$810=$V$24)*('Match Log'!$A$4:$A$810&lt;=$J158)),'Match Log'!$N$4:$N$810),NA()))</f>
        <v>1031.225848367051</v>
      </c>
      <c r="W158">
        <f>IF($J158&gt;MAX('Match Log'!$A$4:$A$810),NA(),IFERROR(LOOKUP(2,1/(('Match Log'!$D$4:$D$810=$W$24)*('Match Log'!$A$4:$A$810&lt;=$J158)),'Match Log'!$N$4:$N$810),NA()))</f>
        <v>1030.3815983388336</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1090.3160302328126</v>
      </c>
      <c r="L159">
        <f>IF($J159&gt;MAX('Match Log'!$A$4:$A$810),NA(),IFERROR(LOOKUP(2,1/(('Match Log'!$D$4:$D$810=$L$24)*('Match Log'!$A$4:$A$810&lt;=$J159)),'Match Log'!$N$4:$N$810),NA()))</f>
        <v>1029.2201908859522</v>
      </c>
      <c r="M159">
        <f>IF($J159&gt;MAX('Match Log'!$A$4:$A$810),NA(),IFERROR(LOOKUP(2,1/(('Match Log'!$D$4:$D$810=$M$24)*('Match Log'!$A$4:$A$810&lt;=$J159)),'Match Log'!$N$4:$N$810),NA()))</f>
        <v>1016.7837867075796</v>
      </c>
      <c r="N159">
        <f>IF($J159&gt;MAX('Match Log'!$A$4:$A$810),NA(),IFERROR(LOOKUP(2,1/(('Match Log'!$D$4:$D$810=$N$24)*('Match Log'!$A$4:$A$810&lt;=$J159)),'Match Log'!$N$4:$N$810),NA()))</f>
        <v>981.92436608474441</v>
      </c>
      <c r="O159">
        <f>IF($J159&gt;MAX('Match Log'!$A$4:$A$810),NA(),IFERROR(LOOKUP(2,1/(('Match Log'!$D$4:$D$810=$O$24)*('Match Log'!$A$4:$A$810&lt;=$J159)),'Match Log'!$N$4:$N$810),NA()))</f>
        <v>1129.7012289075892</v>
      </c>
      <c r="P159">
        <f>IF($J159&gt;MAX('Match Log'!$A$4:$A$810),NA(),IFERROR(LOOKUP(2,1/(('Match Log'!$D$4:$D$810=$P$24)*('Match Log'!$A$4:$A$810&lt;=$J159)),'Match Log'!$N$4:$N$810),NA()))</f>
        <v>1038.7792977306549</v>
      </c>
      <c r="Q159">
        <f>IF($J159&gt;MAX('Match Log'!$A$4:$A$810),NA(),IFERROR(LOOKUP(2,1/(('Match Log'!$D$4:$D$810=$Q$24)*('Match Log'!$A$4:$A$810&lt;=$J159)),'Match Log'!$N$4:$N$810),NA()))</f>
        <v>1084.8903813508514</v>
      </c>
      <c r="R159">
        <f>IF($J159&gt;MAX('Match Log'!$A$4:$A$810),NA(),IFERROR(LOOKUP(2,1/(('Match Log'!$D$4:$D$810=$R$24)*('Match Log'!$A$4:$A$810&lt;=$J159)),'Match Log'!$N$4:$N$810),NA()))</f>
        <v>1050.8634549674414</v>
      </c>
      <c r="S159">
        <f>IF($J159&gt;MAX('Match Log'!$A$4:$A$810),NA(),IFERROR(LOOKUP(2,1/(('Match Log'!$D$4:$D$810=$S$24)*('Match Log'!$A$4:$A$810&lt;=$J159)),'Match Log'!$N$4:$N$810),NA()))</f>
        <v>1168.2113436007442</v>
      </c>
      <c r="T159">
        <f>IF($J159&gt;MAX('Match Log'!$A$4:$A$810),NA(),IFERROR(LOOKUP(2,1/(('Match Log'!$D$4:$D$810=$T$24)*('Match Log'!$A$4:$A$810&lt;=$J159)),'Match Log'!$N$4:$N$810),NA()))</f>
        <v>893.03675187725173</v>
      </c>
      <c r="U159">
        <f>IF($J159&gt;MAX('Match Log'!$A$4:$A$810),NA(),IFERROR(LOOKUP(2,1/(('Match Log'!$D$4:$D$810=$U$24)*('Match Log'!$A$4:$A$810&lt;=$J159)),'Match Log'!$N$4:$N$810),NA()))</f>
        <v>1058.6657209484931</v>
      </c>
      <c r="V159">
        <f>IF($J159&gt;MAX('Match Log'!$A$4:$A$810),NA(),IFERROR(LOOKUP(2,1/(('Match Log'!$D$4:$D$810=$V$24)*('Match Log'!$A$4:$A$810&lt;=$J159)),'Match Log'!$N$4:$N$810),NA()))</f>
        <v>1031.225848367051</v>
      </c>
      <c r="W159">
        <f>IF($J159&gt;MAX('Match Log'!$A$4:$A$810),NA(),IFERROR(LOOKUP(2,1/(('Match Log'!$D$4:$D$810=$W$24)*('Match Log'!$A$4:$A$810&lt;=$J159)),'Match Log'!$N$4:$N$810),NA()))</f>
        <v>1030.3815983388336</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1107.5369206684595</v>
      </c>
      <c r="L160">
        <f>IF($J160&gt;MAX('Match Log'!$A$4:$A$810),NA(),IFERROR(LOOKUP(2,1/(('Match Log'!$D$4:$D$810=$L$24)*('Match Log'!$A$4:$A$810&lt;=$J160)),'Match Log'!$N$4:$N$810),NA()))</f>
        <v>1029.2201908859522</v>
      </c>
      <c r="M160">
        <f>IF($J160&gt;MAX('Match Log'!$A$4:$A$810),NA(),IFERROR(LOOKUP(2,1/(('Match Log'!$D$4:$D$810=$M$24)*('Match Log'!$A$4:$A$810&lt;=$J160)),'Match Log'!$N$4:$N$810),NA()))</f>
        <v>1016.7837867075796</v>
      </c>
      <c r="N160">
        <f>IF($J160&gt;MAX('Match Log'!$A$4:$A$810),NA(),IFERROR(LOOKUP(2,1/(('Match Log'!$D$4:$D$810=$N$24)*('Match Log'!$A$4:$A$810&lt;=$J160)),'Match Log'!$N$4:$N$810),NA()))</f>
        <v>981.92436608474441</v>
      </c>
      <c r="O160">
        <f>IF($J160&gt;MAX('Match Log'!$A$4:$A$810),NA(),IFERROR(LOOKUP(2,1/(('Match Log'!$D$4:$D$810=$O$24)*('Match Log'!$A$4:$A$810&lt;=$J160)),'Match Log'!$N$4:$N$810),NA()))</f>
        <v>1129.7012289075892</v>
      </c>
      <c r="P160">
        <f>IF($J160&gt;MAX('Match Log'!$A$4:$A$810),NA(),IFERROR(LOOKUP(2,1/(('Match Log'!$D$4:$D$810=$P$24)*('Match Log'!$A$4:$A$810&lt;=$J160)),'Match Log'!$N$4:$N$810),NA()))</f>
        <v>1021.558407295008</v>
      </c>
      <c r="Q160">
        <f>IF($J160&gt;MAX('Match Log'!$A$4:$A$810),NA(),IFERROR(LOOKUP(2,1/(('Match Log'!$D$4:$D$810=$Q$24)*('Match Log'!$A$4:$A$810&lt;=$J160)),'Match Log'!$N$4:$N$810),NA()))</f>
        <v>1084.8903813508514</v>
      </c>
      <c r="R160">
        <f>IF($J160&gt;MAX('Match Log'!$A$4:$A$810),NA(),IFERROR(LOOKUP(2,1/(('Match Log'!$D$4:$D$810=$R$24)*('Match Log'!$A$4:$A$810&lt;=$J160)),'Match Log'!$N$4:$N$810),NA()))</f>
        <v>1050.8634549674414</v>
      </c>
      <c r="S160">
        <f>IF($J160&gt;MAX('Match Log'!$A$4:$A$810),NA(),IFERROR(LOOKUP(2,1/(('Match Log'!$D$4:$D$810=$S$24)*('Match Log'!$A$4:$A$810&lt;=$J160)),'Match Log'!$N$4:$N$810),NA()))</f>
        <v>1168.2113436007442</v>
      </c>
      <c r="T160">
        <f>IF($J160&gt;MAX('Match Log'!$A$4:$A$810),NA(),IFERROR(LOOKUP(2,1/(('Match Log'!$D$4:$D$810=$T$24)*('Match Log'!$A$4:$A$810&lt;=$J160)),'Match Log'!$N$4:$N$810),NA()))</f>
        <v>893.03675187725173</v>
      </c>
      <c r="U160">
        <f>IF($J160&gt;MAX('Match Log'!$A$4:$A$810),NA(),IFERROR(LOOKUP(2,1/(('Match Log'!$D$4:$D$810=$U$24)*('Match Log'!$A$4:$A$810&lt;=$J160)),'Match Log'!$N$4:$N$810),NA()))</f>
        <v>1058.6657209484931</v>
      </c>
      <c r="V160">
        <f>IF($J160&gt;MAX('Match Log'!$A$4:$A$810),NA(),IFERROR(LOOKUP(2,1/(('Match Log'!$D$4:$D$810=$V$24)*('Match Log'!$A$4:$A$810&lt;=$J160)),'Match Log'!$N$4:$N$810),NA()))</f>
        <v>1031.225848367051</v>
      </c>
      <c r="W160">
        <f>IF($J160&gt;MAX('Match Log'!$A$4:$A$810),NA(),IFERROR(LOOKUP(2,1/(('Match Log'!$D$4:$D$810=$W$24)*('Match Log'!$A$4:$A$810&lt;=$J160)),'Match Log'!$N$4:$N$810),NA()))</f>
        <v>1030.3815983388336</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1131.7327279757073</v>
      </c>
      <c r="L161">
        <f>IF($J161&gt;MAX('Match Log'!$A$4:$A$810),NA(),IFERROR(LOOKUP(2,1/(('Match Log'!$D$4:$D$810=$L$24)*('Match Log'!$A$4:$A$810&lt;=$J161)),'Match Log'!$N$4:$N$810),NA()))</f>
        <v>1029.2201908859522</v>
      </c>
      <c r="M161">
        <f>IF($J161&gt;MAX('Match Log'!$A$4:$A$810),NA(),IFERROR(LOOKUP(2,1/(('Match Log'!$D$4:$D$810=$M$24)*('Match Log'!$A$4:$A$810&lt;=$J161)),'Match Log'!$N$4:$N$810),NA()))</f>
        <v>1016.7837867075796</v>
      </c>
      <c r="N161">
        <f>IF($J161&gt;MAX('Match Log'!$A$4:$A$810),NA(),IFERROR(LOOKUP(2,1/(('Match Log'!$D$4:$D$810=$N$24)*('Match Log'!$A$4:$A$810&lt;=$J161)),'Match Log'!$N$4:$N$810),NA()))</f>
        <v>981.92436608474441</v>
      </c>
      <c r="O161">
        <f>IF($J161&gt;MAX('Match Log'!$A$4:$A$810),NA(),IFERROR(LOOKUP(2,1/(('Match Log'!$D$4:$D$810=$O$24)*('Match Log'!$A$4:$A$810&lt;=$J161)),'Match Log'!$N$4:$N$810),NA()))</f>
        <v>1129.7012289075892</v>
      </c>
      <c r="P161">
        <f>IF($J161&gt;MAX('Match Log'!$A$4:$A$810),NA(),IFERROR(LOOKUP(2,1/(('Match Log'!$D$4:$D$810=$P$24)*('Match Log'!$A$4:$A$810&lt;=$J161)),'Match Log'!$N$4:$N$810),NA()))</f>
        <v>997.36259998776018</v>
      </c>
      <c r="Q161">
        <f>IF($J161&gt;MAX('Match Log'!$A$4:$A$810),NA(),IFERROR(LOOKUP(2,1/(('Match Log'!$D$4:$D$810=$Q$24)*('Match Log'!$A$4:$A$810&lt;=$J161)),'Match Log'!$N$4:$N$810),NA()))</f>
        <v>1084.8903813508514</v>
      </c>
      <c r="R161">
        <f>IF($J161&gt;MAX('Match Log'!$A$4:$A$810),NA(),IFERROR(LOOKUP(2,1/(('Match Log'!$D$4:$D$810=$R$24)*('Match Log'!$A$4:$A$810&lt;=$J161)),'Match Log'!$N$4:$N$810),NA()))</f>
        <v>1050.8634549674414</v>
      </c>
      <c r="S161">
        <f>IF($J161&gt;MAX('Match Log'!$A$4:$A$810),NA(),IFERROR(LOOKUP(2,1/(('Match Log'!$D$4:$D$810=$S$24)*('Match Log'!$A$4:$A$810&lt;=$J161)),'Match Log'!$N$4:$N$810),NA()))</f>
        <v>1168.2113436007442</v>
      </c>
      <c r="T161">
        <f>IF($J161&gt;MAX('Match Log'!$A$4:$A$810),NA(),IFERROR(LOOKUP(2,1/(('Match Log'!$D$4:$D$810=$T$24)*('Match Log'!$A$4:$A$810&lt;=$J161)),'Match Log'!$N$4:$N$810),NA()))</f>
        <v>893.03675187725173</v>
      </c>
      <c r="U161">
        <f>IF($J161&gt;MAX('Match Log'!$A$4:$A$810),NA(),IFERROR(LOOKUP(2,1/(('Match Log'!$D$4:$D$810=$U$24)*('Match Log'!$A$4:$A$810&lt;=$J161)),'Match Log'!$N$4:$N$810),NA()))</f>
        <v>1058.6657209484931</v>
      </c>
      <c r="V161">
        <f>IF($J161&gt;MAX('Match Log'!$A$4:$A$810),NA(),IFERROR(LOOKUP(2,1/(('Match Log'!$D$4:$D$810=$V$24)*('Match Log'!$A$4:$A$810&lt;=$J161)),'Match Log'!$N$4:$N$810),NA()))</f>
        <v>1031.225848367051</v>
      </c>
      <c r="W161">
        <f>IF($J161&gt;MAX('Match Log'!$A$4:$A$810),NA(),IFERROR(LOOKUP(2,1/(('Match Log'!$D$4:$D$810=$W$24)*('Match Log'!$A$4:$A$810&lt;=$J161)),'Match Log'!$N$4:$N$810),NA()))</f>
        <v>1030.3815983388336</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1109.2177733663168</v>
      </c>
      <c r="L162">
        <f>IF($J162&gt;MAX('Match Log'!$A$4:$A$810),NA(),IFERROR(LOOKUP(2,1/(('Match Log'!$D$4:$D$810=$L$24)*('Match Log'!$A$4:$A$810&lt;=$J162)),'Match Log'!$N$4:$N$810),NA()))</f>
        <v>1029.2201908859522</v>
      </c>
      <c r="M162">
        <f>IF($J162&gt;MAX('Match Log'!$A$4:$A$810),NA(),IFERROR(LOOKUP(2,1/(('Match Log'!$D$4:$D$810=$M$24)*('Match Log'!$A$4:$A$810&lt;=$J162)),'Match Log'!$N$4:$N$810),NA()))</f>
        <v>1016.7837867075796</v>
      </c>
      <c r="N162">
        <f>IF($J162&gt;MAX('Match Log'!$A$4:$A$810),NA(),IFERROR(LOOKUP(2,1/(('Match Log'!$D$4:$D$810=$N$24)*('Match Log'!$A$4:$A$810&lt;=$J162)),'Match Log'!$N$4:$N$810),NA()))</f>
        <v>981.92436608474441</v>
      </c>
      <c r="O162">
        <f>IF($J162&gt;MAX('Match Log'!$A$4:$A$810),NA(),IFERROR(LOOKUP(2,1/(('Match Log'!$D$4:$D$810=$O$24)*('Match Log'!$A$4:$A$810&lt;=$J162)),'Match Log'!$N$4:$N$810),NA()))</f>
        <v>1129.7012289075892</v>
      </c>
      <c r="P162">
        <f>IF($J162&gt;MAX('Match Log'!$A$4:$A$810),NA(),IFERROR(LOOKUP(2,1/(('Match Log'!$D$4:$D$810=$P$24)*('Match Log'!$A$4:$A$810&lt;=$J162)),'Match Log'!$N$4:$N$810),NA()))</f>
        <v>1019.8775545971507</v>
      </c>
      <c r="Q162">
        <f>IF($J162&gt;MAX('Match Log'!$A$4:$A$810),NA(),IFERROR(LOOKUP(2,1/(('Match Log'!$D$4:$D$810=$Q$24)*('Match Log'!$A$4:$A$810&lt;=$J162)),'Match Log'!$N$4:$N$810),NA()))</f>
        <v>1084.8903813508514</v>
      </c>
      <c r="R162">
        <f>IF($J162&gt;MAX('Match Log'!$A$4:$A$810),NA(),IFERROR(LOOKUP(2,1/(('Match Log'!$D$4:$D$810=$R$24)*('Match Log'!$A$4:$A$810&lt;=$J162)),'Match Log'!$N$4:$N$810),NA()))</f>
        <v>1050.8634549674414</v>
      </c>
      <c r="S162">
        <f>IF($J162&gt;MAX('Match Log'!$A$4:$A$810),NA(),IFERROR(LOOKUP(2,1/(('Match Log'!$D$4:$D$810=$S$24)*('Match Log'!$A$4:$A$810&lt;=$J162)),'Match Log'!$N$4:$N$810),NA()))</f>
        <v>1168.2113436007442</v>
      </c>
      <c r="T162">
        <f>IF($J162&gt;MAX('Match Log'!$A$4:$A$810),NA(),IFERROR(LOOKUP(2,1/(('Match Log'!$D$4:$D$810=$T$24)*('Match Log'!$A$4:$A$810&lt;=$J162)),'Match Log'!$N$4:$N$810),NA()))</f>
        <v>893.03675187725173</v>
      </c>
      <c r="U162">
        <f>IF($J162&gt;MAX('Match Log'!$A$4:$A$810),NA(),IFERROR(LOOKUP(2,1/(('Match Log'!$D$4:$D$810=$U$24)*('Match Log'!$A$4:$A$810&lt;=$J162)),'Match Log'!$N$4:$N$810),NA()))</f>
        <v>1058.6657209484931</v>
      </c>
      <c r="V162">
        <f>IF($J162&gt;MAX('Match Log'!$A$4:$A$810),NA(),IFERROR(LOOKUP(2,1/(('Match Log'!$D$4:$D$810=$V$24)*('Match Log'!$A$4:$A$810&lt;=$J162)),'Match Log'!$N$4:$N$810),NA()))</f>
        <v>1031.225848367051</v>
      </c>
      <c r="W162">
        <f>IF($J162&gt;MAX('Match Log'!$A$4:$A$810),NA(),IFERROR(LOOKUP(2,1/(('Match Log'!$D$4:$D$810=$W$24)*('Match Log'!$A$4:$A$810&lt;=$J162)),'Match Log'!$N$4:$N$810),NA()))</f>
        <v>1030.3815983388336</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1097.6049428107995</v>
      </c>
      <c r="L163">
        <f>IF($J163&gt;MAX('Match Log'!$A$4:$A$810),NA(),IFERROR(LOOKUP(2,1/(('Match Log'!$D$4:$D$810=$L$24)*('Match Log'!$A$4:$A$810&lt;=$J163)),'Match Log'!$N$4:$N$810),NA()))</f>
        <v>1029.2201908859522</v>
      </c>
      <c r="M163">
        <f>IF($J163&gt;MAX('Match Log'!$A$4:$A$810),NA(),IFERROR(LOOKUP(2,1/(('Match Log'!$D$4:$D$810=$M$24)*('Match Log'!$A$4:$A$810&lt;=$J163)),'Match Log'!$N$4:$N$810),NA()))</f>
        <v>1016.7837867075796</v>
      </c>
      <c r="N163">
        <f>IF($J163&gt;MAX('Match Log'!$A$4:$A$810),NA(),IFERROR(LOOKUP(2,1/(('Match Log'!$D$4:$D$810=$N$24)*('Match Log'!$A$4:$A$810&lt;=$J163)),'Match Log'!$N$4:$N$810),NA()))</f>
        <v>973.18894572037368</v>
      </c>
      <c r="O163">
        <f>IF($J163&gt;MAX('Match Log'!$A$4:$A$810),NA(),IFERROR(LOOKUP(2,1/(('Match Log'!$D$4:$D$810=$O$24)*('Match Log'!$A$4:$A$810&lt;=$J163)),'Match Log'!$N$4:$N$810),NA()))</f>
        <v>1129.7012289075892</v>
      </c>
      <c r="P163">
        <f>IF($J163&gt;MAX('Match Log'!$A$4:$A$810),NA(),IFERROR(LOOKUP(2,1/(('Match Log'!$D$4:$D$810=$P$24)*('Match Log'!$A$4:$A$810&lt;=$J163)),'Match Log'!$N$4:$N$810),NA()))</f>
        <v>1049.2258055170387</v>
      </c>
      <c r="Q163">
        <f>IF($J163&gt;MAX('Match Log'!$A$4:$A$810),NA(),IFERROR(LOOKUP(2,1/(('Match Log'!$D$4:$D$810=$Q$24)*('Match Log'!$A$4:$A$810&lt;=$J163)),'Match Log'!$N$4:$N$810),NA()))</f>
        <v>1084.8903813508514</v>
      </c>
      <c r="R163">
        <f>IF($J163&gt;MAX('Match Log'!$A$4:$A$810),NA(),IFERROR(LOOKUP(2,1/(('Match Log'!$D$4:$D$810=$R$24)*('Match Log'!$A$4:$A$810&lt;=$J163)),'Match Log'!$N$4:$N$810),NA()))</f>
        <v>1050.8634549674414</v>
      </c>
      <c r="S163">
        <f>IF($J163&gt;MAX('Match Log'!$A$4:$A$810),NA(),IFERROR(LOOKUP(2,1/(('Match Log'!$D$4:$D$810=$S$24)*('Match Log'!$A$4:$A$810&lt;=$J163)),'Match Log'!$N$4:$N$810),NA()))</f>
        <v>1168.2113436007442</v>
      </c>
      <c r="T163">
        <f>IF($J163&gt;MAX('Match Log'!$A$4:$A$810),NA(),IFERROR(LOOKUP(2,1/(('Match Log'!$D$4:$D$810=$T$24)*('Match Log'!$A$4:$A$810&lt;=$J163)),'Match Log'!$N$4:$N$810),NA()))</f>
        <v>893.03675187725173</v>
      </c>
      <c r="U163">
        <f>IF($J163&gt;MAX('Match Log'!$A$4:$A$810),NA(),IFERROR(LOOKUP(2,1/(('Match Log'!$D$4:$D$810=$U$24)*('Match Log'!$A$4:$A$810&lt;=$J163)),'Match Log'!$N$4:$N$810),NA()))</f>
        <v>1058.6657209484931</v>
      </c>
      <c r="V163">
        <f>IF($J163&gt;MAX('Match Log'!$A$4:$A$810),NA(),IFERROR(LOOKUP(2,1/(('Match Log'!$D$4:$D$810=$V$24)*('Match Log'!$A$4:$A$810&lt;=$J163)),'Match Log'!$N$4:$N$810),NA()))</f>
        <v>1031.225848367051</v>
      </c>
      <c r="W163">
        <f>IF($J163&gt;MAX('Match Log'!$A$4:$A$810),NA(),IFERROR(LOOKUP(2,1/(('Match Log'!$D$4:$D$810=$W$24)*('Match Log'!$A$4:$A$810&lt;=$J163)),'Match Log'!$N$4:$N$810),NA()))</f>
        <v>1030.3815983388336</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1078.3001763139457</v>
      </c>
      <c r="L164">
        <f>IF($J164&gt;MAX('Match Log'!$A$4:$A$810),NA(),IFERROR(LOOKUP(2,1/(('Match Log'!$D$4:$D$810=$L$24)*('Match Log'!$A$4:$A$810&lt;=$J164)),'Match Log'!$N$4:$N$810),NA()))</f>
        <v>1029.2201908859522</v>
      </c>
      <c r="M164">
        <f>IF($J164&gt;MAX('Match Log'!$A$4:$A$810),NA(),IFERROR(LOOKUP(2,1/(('Match Log'!$D$4:$D$810=$M$24)*('Match Log'!$A$4:$A$810&lt;=$J164)),'Match Log'!$N$4:$N$810),NA()))</f>
        <v>1016.7837867075796</v>
      </c>
      <c r="N164">
        <f>IF($J164&gt;MAX('Match Log'!$A$4:$A$810),NA(),IFERROR(LOOKUP(2,1/(('Match Log'!$D$4:$D$810=$N$24)*('Match Log'!$A$4:$A$810&lt;=$J164)),'Match Log'!$N$4:$N$810),NA()))</f>
        <v>973.18894572037368</v>
      </c>
      <c r="O164">
        <f>IF($J164&gt;MAX('Match Log'!$A$4:$A$810),NA(),IFERROR(LOOKUP(2,1/(('Match Log'!$D$4:$D$810=$O$24)*('Match Log'!$A$4:$A$810&lt;=$J164)),'Match Log'!$N$4:$N$810),NA()))</f>
        <v>1129.7012289075892</v>
      </c>
      <c r="P164">
        <f>IF($J164&gt;MAX('Match Log'!$A$4:$A$810),NA(),IFERROR(LOOKUP(2,1/(('Match Log'!$D$4:$D$810=$P$24)*('Match Log'!$A$4:$A$810&lt;=$J164)),'Match Log'!$N$4:$N$810),NA()))</f>
        <v>1068.5305720138924</v>
      </c>
      <c r="Q164">
        <f>IF($J164&gt;MAX('Match Log'!$A$4:$A$810),NA(),IFERROR(LOOKUP(2,1/(('Match Log'!$D$4:$D$810=$Q$24)*('Match Log'!$A$4:$A$810&lt;=$J164)),'Match Log'!$N$4:$N$810),NA()))</f>
        <v>1084.8903813508514</v>
      </c>
      <c r="R164">
        <f>IF($J164&gt;MAX('Match Log'!$A$4:$A$810),NA(),IFERROR(LOOKUP(2,1/(('Match Log'!$D$4:$D$810=$R$24)*('Match Log'!$A$4:$A$810&lt;=$J164)),'Match Log'!$N$4:$N$810),NA()))</f>
        <v>1050.8634549674414</v>
      </c>
      <c r="S164">
        <f>IF($J164&gt;MAX('Match Log'!$A$4:$A$810),NA(),IFERROR(LOOKUP(2,1/(('Match Log'!$D$4:$D$810=$S$24)*('Match Log'!$A$4:$A$810&lt;=$J164)),'Match Log'!$N$4:$N$810),NA()))</f>
        <v>1168.2113436007442</v>
      </c>
      <c r="T164">
        <f>IF($J164&gt;MAX('Match Log'!$A$4:$A$810),NA(),IFERROR(LOOKUP(2,1/(('Match Log'!$D$4:$D$810=$T$24)*('Match Log'!$A$4:$A$810&lt;=$J164)),'Match Log'!$N$4:$N$810),NA()))</f>
        <v>893.03675187725173</v>
      </c>
      <c r="U164">
        <f>IF($J164&gt;MAX('Match Log'!$A$4:$A$810),NA(),IFERROR(LOOKUP(2,1/(('Match Log'!$D$4:$D$810=$U$24)*('Match Log'!$A$4:$A$810&lt;=$J164)),'Match Log'!$N$4:$N$810),NA()))</f>
        <v>1058.6657209484931</v>
      </c>
      <c r="V164">
        <f>IF($J164&gt;MAX('Match Log'!$A$4:$A$810),NA(),IFERROR(LOOKUP(2,1/(('Match Log'!$D$4:$D$810=$V$24)*('Match Log'!$A$4:$A$810&lt;=$J164)),'Match Log'!$N$4:$N$810),NA()))</f>
        <v>1031.225848367051</v>
      </c>
      <c r="W164">
        <f>IF($J164&gt;MAX('Match Log'!$A$4:$A$810),NA(),IFERROR(LOOKUP(2,1/(('Match Log'!$D$4:$D$810=$W$24)*('Match Log'!$A$4:$A$810&lt;=$J164)),'Match Log'!$N$4:$N$810),NA()))</f>
        <v>1030.3815983388336</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1104.9754644998675</v>
      </c>
      <c r="L165">
        <f>IF($J165&gt;MAX('Match Log'!$A$4:$A$810),NA(),IFERROR(LOOKUP(2,1/(('Match Log'!$D$4:$D$810=$L$24)*('Match Log'!$A$4:$A$810&lt;=$J165)),'Match Log'!$N$4:$N$810),NA()))</f>
        <v>1029.2201908859522</v>
      </c>
      <c r="M165">
        <f>IF($J165&gt;MAX('Match Log'!$A$4:$A$810),NA(),IFERROR(LOOKUP(2,1/(('Match Log'!$D$4:$D$810=$M$24)*('Match Log'!$A$4:$A$810&lt;=$J165)),'Match Log'!$N$4:$N$810),NA()))</f>
        <v>1016.7837867075796</v>
      </c>
      <c r="N165">
        <f>IF($J165&gt;MAX('Match Log'!$A$4:$A$810),NA(),IFERROR(LOOKUP(2,1/(('Match Log'!$D$4:$D$810=$N$24)*('Match Log'!$A$4:$A$810&lt;=$J165)),'Match Log'!$N$4:$N$810),NA()))</f>
        <v>973.18894572037368</v>
      </c>
      <c r="O165">
        <f>IF($J165&gt;MAX('Match Log'!$A$4:$A$810),NA(),IFERROR(LOOKUP(2,1/(('Match Log'!$D$4:$D$810=$O$24)*('Match Log'!$A$4:$A$810&lt;=$J165)),'Match Log'!$N$4:$N$810),NA()))</f>
        <v>1129.7012289075892</v>
      </c>
      <c r="P165">
        <f>IF($J165&gt;MAX('Match Log'!$A$4:$A$810),NA(),IFERROR(LOOKUP(2,1/(('Match Log'!$D$4:$D$810=$P$24)*('Match Log'!$A$4:$A$810&lt;=$J165)),'Match Log'!$N$4:$N$810),NA()))</f>
        <v>1041.8552838279707</v>
      </c>
      <c r="Q165">
        <f>IF($J165&gt;MAX('Match Log'!$A$4:$A$810),NA(),IFERROR(LOOKUP(2,1/(('Match Log'!$D$4:$D$810=$Q$24)*('Match Log'!$A$4:$A$810&lt;=$J165)),'Match Log'!$N$4:$N$810),NA()))</f>
        <v>1084.8903813508514</v>
      </c>
      <c r="R165">
        <f>IF($J165&gt;MAX('Match Log'!$A$4:$A$810),NA(),IFERROR(LOOKUP(2,1/(('Match Log'!$D$4:$D$810=$R$24)*('Match Log'!$A$4:$A$810&lt;=$J165)),'Match Log'!$N$4:$N$810),NA()))</f>
        <v>1050.8634549674414</v>
      </c>
      <c r="S165">
        <f>IF($J165&gt;MAX('Match Log'!$A$4:$A$810),NA(),IFERROR(LOOKUP(2,1/(('Match Log'!$D$4:$D$810=$S$24)*('Match Log'!$A$4:$A$810&lt;=$J165)),'Match Log'!$N$4:$N$810),NA()))</f>
        <v>1168.2113436007442</v>
      </c>
      <c r="T165">
        <f>IF($J165&gt;MAX('Match Log'!$A$4:$A$810),NA(),IFERROR(LOOKUP(2,1/(('Match Log'!$D$4:$D$810=$T$24)*('Match Log'!$A$4:$A$810&lt;=$J165)),'Match Log'!$N$4:$N$810),NA()))</f>
        <v>893.03675187725173</v>
      </c>
      <c r="U165">
        <f>IF($J165&gt;MAX('Match Log'!$A$4:$A$810),NA(),IFERROR(LOOKUP(2,1/(('Match Log'!$D$4:$D$810=$U$24)*('Match Log'!$A$4:$A$810&lt;=$J165)),'Match Log'!$N$4:$N$810),NA()))</f>
        <v>1058.6657209484931</v>
      </c>
      <c r="V165">
        <f>IF($J165&gt;MAX('Match Log'!$A$4:$A$810),NA(),IFERROR(LOOKUP(2,1/(('Match Log'!$D$4:$D$810=$V$24)*('Match Log'!$A$4:$A$810&lt;=$J165)),'Match Log'!$N$4:$N$810),NA()))</f>
        <v>1031.225848367051</v>
      </c>
      <c r="W165">
        <f>IF($J165&gt;MAX('Match Log'!$A$4:$A$810),NA(),IFERROR(LOOKUP(2,1/(('Match Log'!$D$4:$D$810=$W$24)*('Match Log'!$A$4:$A$810&lt;=$J165)),'Match Log'!$N$4:$N$810),NA()))</f>
        <v>1030.3815983388336</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1080.1002362670649</v>
      </c>
      <c r="L166">
        <f>IF($J166&gt;MAX('Match Log'!$A$4:$A$810),NA(),IFERROR(LOOKUP(2,1/(('Match Log'!$D$4:$D$810=$L$24)*('Match Log'!$A$4:$A$810&lt;=$J166)),'Match Log'!$N$4:$N$810),NA()))</f>
        <v>1029.2201908859522</v>
      </c>
      <c r="M166">
        <f>IF($J166&gt;MAX('Match Log'!$A$4:$A$810),NA(),IFERROR(LOOKUP(2,1/(('Match Log'!$D$4:$D$810=$M$24)*('Match Log'!$A$4:$A$810&lt;=$J166)),'Match Log'!$N$4:$N$810),NA()))</f>
        <v>1016.7837867075796</v>
      </c>
      <c r="N166">
        <f>IF($J166&gt;MAX('Match Log'!$A$4:$A$810),NA(),IFERROR(LOOKUP(2,1/(('Match Log'!$D$4:$D$810=$N$24)*('Match Log'!$A$4:$A$810&lt;=$J166)),'Match Log'!$N$4:$N$810),NA()))</f>
        <v>973.18894572037368</v>
      </c>
      <c r="O166">
        <f>IF($J166&gt;MAX('Match Log'!$A$4:$A$810),NA(),IFERROR(LOOKUP(2,1/(('Match Log'!$D$4:$D$810=$O$24)*('Match Log'!$A$4:$A$810&lt;=$J166)),'Match Log'!$N$4:$N$810),NA()))</f>
        <v>1129.7012289075892</v>
      </c>
      <c r="P166">
        <f>IF($J166&gt;MAX('Match Log'!$A$4:$A$810),NA(),IFERROR(LOOKUP(2,1/(('Match Log'!$D$4:$D$810=$P$24)*('Match Log'!$A$4:$A$810&lt;=$J166)),'Match Log'!$N$4:$N$810),NA()))</f>
        <v>1066.7305120607732</v>
      </c>
      <c r="Q166">
        <f>IF($J166&gt;MAX('Match Log'!$A$4:$A$810),NA(),IFERROR(LOOKUP(2,1/(('Match Log'!$D$4:$D$810=$Q$24)*('Match Log'!$A$4:$A$810&lt;=$J166)),'Match Log'!$N$4:$N$810),NA()))</f>
        <v>1084.8903813508514</v>
      </c>
      <c r="R166">
        <f>IF($J166&gt;MAX('Match Log'!$A$4:$A$810),NA(),IFERROR(LOOKUP(2,1/(('Match Log'!$D$4:$D$810=$R$24)*('Match Log'!$A$4:$A$810&lt;=$J166)),'Match Log'!$N$4:$N$810),NA()))</f>
        <v>1050.8634549674414</v>
      </c>
      <c r="S166">
        <f>IF($J166&gt;MAX('Match Log'!$A$4:$A$810),NA(),IFERROR(LOOKUP(2,1/(('Match Log'!$D$4:$D$810=$S$24)*('Match Log'!$A$4:$A$810&lt;=$J166)),'Match Log'!$N$4:$N$810),NA()))</f>
        <v>1168.2113436007442</v>
      </c>
      <c r="T166">
        <f>IF($J166&gt;MAX('Match Log'!$A$4:$A$810),NA(),IFERROR(LOOKUP(2,1/(('Match Log'!$D$4:$D$810=$T$24)*('Match Log'!$A$4:$A$810&lt;=$J166)),'Match Log'!$N$4:$N$810),NA()))</f>
        <v>893.03675187725173</v>
      </c>
      <c r="U166">
        <f>IF($J166&gt;MAX('Match Log'!$A$4:$A$810),NA(),IFERROR(LOOKUP(2,1/(('Match Log'!$D$4:$D$810=$U$24)*('Match Log'!$A$4:$A$810&lt;=$J166)),'Match Log'!$N$4:$N$810),NA()))</f>
        <v>1058.6657209484931</v>
      </c>
      <c r="V166">
        <f>IF($J166&gt;MAX('Match Log'!$A$4:$A$810),NA(),IFERROR(LOOKUP(2,1/(('Match Log'!$D$4:$D$810=$V$24)*('Match Log'!$A$4:$A$810&lt;=$J166)),'Match Log'!$N$4:$N$810),NA()))</f>
        <v>1031.225848367051</v>
      </c>
      <c r="W166">
        <f>IF($J166&gt;MAX('Match Log'!$A$4:$A$810),NA(),IFERROR(LOOKUP(2,1/(('Match Log'!$D$4:$D$810=$W$24)*('Match Log'!$A$4:$A$810&lt;=$J166)),'Match Log'!$N$4:$N$810),NA()))</f>
        <v>1030.3815983388336</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1103.8327881293169</v>
      </c>
      <c r="L167">
        <f>IF($J167&gt;MAX('Match Log'!$A$4:$A$810),NA(),IFERROR(LOOKUP(2,1/(('Match Log'!$D$4:$D$810=$L$24)*('Match Log'!$A$4:$A$810&lt;=$J167)),'Match Log'!$N$4:$N$810),NA()))</f>
        <v>1029.2201908859522</v>
      </c>
      <c r="M167">
        <f>IF($J167&gt;MAX('Match Log'!$A$4:$A$810),NA(),IFERROR(LOOKUP(2,1/(('Match Log'!$D$4:$D$810=$M$24)*('Match Log'!$A$4:$A$810&lt;=$J167)),'Match Log'!$N$4:$N$810),NA()))</f>
        <v>1016.7837867075796</v>
      </c>
      <c r="N167">
        <f>IF($J167&gt;MAX('Match Log'!$A$4:$A$810),NA(),IFERROR(LOOKUP(2,1/(('Match Log'!$D$4:$D$810=$N$24)*('Match Log'!$A$4:$A$810&lt;=$J167)),'Match Log'!$N$4:$N$810),NA()))</f>
        <v>973.18894572037368</v>
      </c>
      <c r="O167">
        <f>IF($J167&gt;MAX('Match Log'!$A$4:$A$810),NA(),IFERROR(LOOKUP(2,1/(('Match Log'!$D$4:$D$810=$O$24)*('Match Log'!$A$4:$A$810&lt;=$J167)),'Match Log'!$N$4:$N$810),NA()))</f>
        <v>1129.7012289075892</v>
      </c>
      <c r="P167">
        <f>IF($J167&gt;MAX('Match Log'!$A$4:$A$810),NA(),IFERROR(LOOKUP(2,1/(('Match Log'!$D$4:$D$810=$P$24)*('Match Log'!$A$4:$A$810&lt;=$J167)),'Match Log'!$N$4:$N$810),NA()))</f>
        <v>1042.9979601985212</v>
      </c>
      <c r="Q167">
        <f>IF($J167&gt;MAX('Match Log'!$A$4:$A$810),NA(),IFERROR(LOOKUP(2,1/(('Match Log'!$D$4:$D$810=$Q$24)*('Match Log'!$A$4:$A$810&lt;=$J167)),'Match Log'!$N$4:$N$810),NA()))</f>
        <v>1084.8903813508514</v>
      </c>
      <c r="R167">
        <f>IF($J167&gt;MAX('Match Log'!$A$4:$A$810),NA(),IFERROR(LOOKUP(2,1/(('Match Log'!$D$4:$D$810=$R$24)*('Match Log'!$A$4:$A$810&lt;=$J167)),'Match Log'!$N$4:$N$810),NA()))</f>
        <v>1050.8634549674414</v>
      </c>
      <c r="S167">
        <f>IF($J167&gt;MAX('Match Log'!$A$4:$A$810),NA(),IFERROR(LOOKUP(2,1/(('Match Log'!$D$4:$D$810=$S$24)*('Match Log'!$A$4:$A$810&lt;=$J167)),'Match Log'!$N$4:$N$810),NA()))</f>
        <v>1168.2113436007442</v>
      </c>
      <c r="T167">
        <f>IF($J167&gt;MAX('Match Log'!$A$4:$A$810),NA(),IFERROR(LOOKUP(2,1/(('Match Log'!$D$4:$D$810=$T$24)*('Match Log'!$A$4:$A$810&lt;=$J167)),'Match Log'!$N$4:$N$810),NA()))</f>
        <v>893.03675187725173</v>
      </c>
      <c r="U167">
        <f>IF($J167&gt;MAX('Match Log'!$A$4:$A$810),NA(),IFERROR(LOOKUP(2,1/(('Match Log'!$D$4:$D$810=$U$24)*('Match Log'!$A$4:$A$810&lt;=$J167)),'Match Log'!$N$4:$N$810),NA()))</f>
        <v>1058.6657209484931</v>
      </c>
      <c r="V167">
        <f>IF($J167&gt;MAX('Match Log'!$A$4:$A$810),NA(),IFERROR(LOOKUP(2,1/(('Match Log'!$D$4:$D$810=$V$24)*('Match Log'!$A$4:$A$810&lt;=$J167)),'Match Log'!$N$4:$N$810),NA()))</f>
        <v>1031.225848367051</v>
      </c>
      <c r="W167">
        <f>IF($J167&gt;MAX('Match Log'!$A$4:$A$810),NA(),IFERROR(LOOKUP(2,1/(('Match Log'!$D$4:$D$810=$W$24)*('Match Log'!$A$4:$A$810&lt;=$J167)),'Match Log'!$N$4:$N$810),NA()))</f>
        <v>1030.3815983388336</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1103.8327881293169</v>
      </c>
      <c r="L168">
        <f>IF($J168&gt;MAX('Match Log'!$A$4:$A$810),NA(),IFERROR(LOOKUP(2,1/(('Match Log'!$D$4:$D$810=$L$24)*('Match Log'!$A$4:$A$810&lt;=$J168)),'Match Log'!$N$4:$N$810),NA()))</f>
        <v>1029.2201908859522</v>
      </c>
      <c r="M168">
        <f>IF($J168&gt;MAX('Match Log'!$A$4:$A$810),NA(),IFERROR(LOOKUP(2,1/(('Match Log'!$D$4:$D$810=$M$24)*('Match Log'!$A$4:$A$810&lt;=$J168)),'Match Log'!$N$4:$N$810),NA()))</f>
        <v>1016.7837867075796</v>
      </c>
      <c r="N168">
        <f>IF($J168&gt;MAX('Match Log'!$A$4:$A$810),NA(),IFERROR(LOOKUP(2,1/(('Match Log'!$D$4:$D$810=$N$24)*('Match Log'!$A$4:$A$810&lt;=$J168)),'Match Log'!$N$4:$N$810),NA()))</f>
        <v>973.18894572037368</v>
      </c>
      <c r="O168">
        <f>IF($J168&gt;MAX('Match Log'!$A$4:$A$810),NA(),IFERROR(LOOKUP(2,1/(('Match Log'!$D$4:$D$810=$O$24)*('Match Log'!$A$4:$A$810&lt;=$J168)),'Match Log'!$N$4:$N$810),NA()))</f>
        <v>1129.7012289075892</v>
      </c>
      <c r="P168">
        <f>IF($J168&gt;MAX('Match Log'!$A$4:$A$810),NA(),IFERROR(LOOKUP(2,1/(('Match Log'!$D$4:$D$810=$P$24)*('Match Log'!$A$4:$A$810&lt;=$J168)),'Match Log'!$N$4:$N$810),NA()))</f>
        <v>1042.9979601985212</v>
      </c>
      <c r="Q168">
        <f>IF($J168&gt;MAX('Match Log'!$A$4:$A$810),NA(),IFERROR(LOOKUP(2,1/(('Match Log'!$D$4:$D$810=$Q$24)*('Match Log'!$A$4:$A$810&lt;=$J168)),'Match Log'!$N$4:$N$810),NA()))</f>
        <v>1084.8903813508514</v>
      </c>
      <c r="R168">
        <f>IF($J168&gt;MAX('Match Log'!$A$4:$A$810),NA(),IFERROR(LOOKUP(2,1/(('Match Log'!$D$4:$D$810=$R$24)*('Match Log'!$A$4:$A$810&lt;=$J168)),'Match Log'!$N$4:$N$810),NA()))</f>
        <v>1050.8634549674414</v>
      </c>
      <c r="S168">
        <f>IF($J168&gt;MAX('Match Log'!$A$4:$A$810),NA(),IFERROR(LOOKUP(2,1/(('Match Log'!$D$4:$D$810=$S$24)*('Match Log'!$A$4:$A$810&lt;=$J168)),'Match Log'!$N$4:$N$810),NA()))</f>
        <v>1168.2113436007442</v>
      </c>
      <c r="T168">
        <f>IF($J168&gt;MAX('Match Log'!$A$4:$A$810),NA(),IFERROR(LOOKUP(2,1/(('Match Log'!$D$4:$D$810=$T$24)*('Match Log'!$A$4:$A$810&lt;=$J168)),'Match Log'!$N$4:$N$810),NA()))</f>
        <v>893.03675187725173</v>
      </c>
      <c r="U168">
        <f>IF($J168&gt;MAX('Match Log'!$A$4:$A$810),NA(),IFERROR(LOOKUP(2,1/(('Match Log'!$D$4:$D$810=$U$24)*('Match Log'!$A$4:$A$810&lt;=$J168)),'Match Log'!$N$4:$N$810),NA()))</f>
        <v>1058.6657209484931</v>
      </c>
      <c r="V168">
        <f>IF($J168&gt;MAX('Match Log'!$A$4:$A$810),NA(),IFERROR(LOOKUP(2,1/(('Match Log'!$D$4:$D$810=$V$24)*('Match Log'!$A$4:$A$810&lt;=$J168)),'Match Log'!$N$4:$N$810),NA()))</f>
        <v>1009.1869692929786</v>
      </c>
      <c r="W168">
        <f>IF($J168&gt;MAX('Match Log'!$A$4:$A$810),NA(),IFERROR(LOOKUP(2,1/(('Match Log'!$D$4:$D$810=$W$24)*('Match Log'!$A$4:$A$810&lt;=$J168)),'Match Log'!$N$4:$N$810),NA()))</f>
        <v>1052.4204774129059</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1119.6253165374437</v>
      </c>
      <c r="L169">
        <f>IF($J169&gt;MAX('Match Log'!$A$4:$A$810),NA(),IFERROR(LOOKUP(2,1/(('Match Log'!$D$4:$D$810=$L$24)*('Match Log'!$A$4:$A$810&lt;=$J169)),'Match Log'!$N$4:$N$810),NA()))</f>
        <v>1029.2201908859522</v>
      </c>
      <c r="M169">
        <f>IF($J169&gt;MAX('Match Log'!$A$4:$A$810),NA(),IFERROR(LOOKUP(2,1/(('Match Log'!$D$4:$D$810=$M$24)*('Match Log'!$A$4:$A$810&lt;=$J169)),'Match Log'!$N$4:$N$810),NA()))</f>
        <v>1016.7837867075796</v>
      </c>
      <c r="N169">
        <f>IF($J169&gt;MAX('Match Log'!$A$4:$A$810),NA(),IFERROR(LOOKUP(2,1/(('Match Log'!$D$4:$D$810=$N$24)*('Match Log'!$A$4:$A$810&lt;=$J169)),'Match Log'!$N$4:$N$810),NA()))</f>
        <v>973.18894572037368</v>
      </c>
      <c r="O169">
        <f>IF($J169&gt;MAX('Match Log'!$A$4:$A$810),NA(),IFERROR(LOOKUP(2,1/(('Match Log'!$D$4:$D$810=$O$24)*('Match Log'!$A$4:$A$810&lt;=$J169)),'Match Log'!$N$4:$N$810),NA()))</f>
        <v>1129.7012289075892</v>
      </c>
      <c r="P169">
        <f>IF($J169&gt;MAX('Match Log'!$A$4:$A$810),NA(),IFERROR(LOOKUP(2,1/(('Match Log'!$D$4:$D$810=$P$24)*('Match Log'!$A$4:$A$810&lt;=$J169)),'Match Log'!$N$4:$N$810),NA()))</f>
        <v>1027.2054317903944</v>
      </c>
      <c r="Q169">
        <f>IF($J169&gt;MAX('Match Log'!$A$4:$A$810),NA(),IFERROR(LOOKUP(2,1/(('Match Log'!$D$4:$D$810=$Q$24)*('Match Log'!$A$4:$A$810&lt;=$J169)),'Match Log'!$N$4:$N$810),NA()))</f>
        <v>1084.8903813508514</v>
      </c>
      <c r="R169">
        <f>IF($J169&gt;MAX('Match Log'!$A$4:$A$810),NA(),IFERROR(LOOKUP(2,1/(('Match Log'!$D$4:$D$810=$R$24)*('Match Log'!$A$4:$A$810&lt;=$J169)),'Match Log'!$N$4:$N$810),NA()))</f>
        <v>1050.8634549674414</v>
      </c>
      <c r="S169">
        <f>IF($J169&gt;MAX('Match Log'!$A$4:$A$810),NA(),IFERROR(LOOKUP(2,1/(('Match Log'!$D$4:$D$810=$S$24)*('Match Log'!$A$4:$A$810&lt;=$J169)),'Match Log'!$N$4:$N$810),NA()))</f>
        <v>1168.2113436007442</v>
      </c>
      <c r="T169">
        <f>IF($J169&gt;MAX('Match Log'!$A$4:$A$810),NA(),IFERROR(LOOKUP(2,1/(('Match Log'!$D$4:$D$810=$T$24)*('Match Log'!$A$4:$A$810&lt;=$J169)),'Match Log'!$N$4:$N$810),NA()))</f>
        <v>893.03675187725173</v>
      </c>
      <c r="U169">
        <f>IF($J169&gt;MAX('Match Log'!$A$4:$A$810),NA(),IFERROR(LOOKUP(2,1/(('Match Log'!$D$4:$D$810=$U$24)*('Match Log'!$A$4:$A$810&lt;=$J169)),'Match Log'!$N$4:$N$810),NA()))</f>
        <v>1058.6657209484931</v>
      </c>
      <c r="V169">
        <f>IF($J169&gt;MAX('Match Log'!$A$4:$A$810),NA(),IFERROR(LOOKUP(2,1/(('Match Log'!$D$4:$D$810=$V$24)*('Match Log'!$A$4:$A$810&lt;=$J169)),'Match Log'!$N$4:$N$810),NA()))</f>
        <v>1009.1869692929786</v>
      </c>
      <c r="W169">
        <f>IF($J169&gt;MAX('Match Log'!$A$4:$A$810),NA(),IFERROR(LOOKUP(2,1/(('Match Log'!$D$4:$D$810=$W$24)*('Match Log'!$A$4:$A$810&lt;=$J169)),'Match Log'!$N$4:$N$810),NA()))</f>
        <v>1052.4204774129059</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1089.8997161912446</v>
      </c>
      <c r="L170">
        <f>IF($J170&gt;MAX('Match Log'!$A$4:$A$810),NA(),IFERROR(LOOKUP(2,1/(('Match Log'!$D$4:$D$810=$L$24)*('Match Log'!$A$4:$A$810&lt;=$J170)),'Match Log'!$N$4:$N$810),NA()))</f>
        <v>1029.2201908859522</v>
      </c>
      <c r="M170">
        <f>IF($J170&gt;MAX('Match Log'!$A$4:$A$810),NA(),IFERROR(LOOKUP(2,1/(('Match Log'!$D$4:$D$810=$M$24)*('Match Log'!$A$4:$A$810&lt;=$J170)),'Match Log'!$N$4:$N$810),NA()))</f>
        <v>1016.7837867075796</v>
      </c>
      <c r="N170">
        <f>IF($J170&gt;MAX('Match Log'!$A$4:$A$810),NA(),IFERROR(LOOKUP(2,1/(('Match Log'!$D$4:$D$810=$N$24)*('Match Log'!$A$4:$A$810&lt;=$J170)),'Match Log'!$N$4:$N$810),NA()))</f>
        <v>973.18894572037368</v>
      </c>
      <c r="O170">
        <f>IF($J170&gt;MAX('Match Log'!$A$4:$A$810),NA(),IFERROR(LOOKUP(2,1/(('Match Log'!$D$4:$D$810=$O$24)*('Match Log'!$A$4:$A$810&lt;=$J170)),'Match Log'!$N$4:$N$810),NA()))</f>
        <v>1129.7012289075892</v>
      </c>
      <c r="P170">
        <f>IF($J170&gt;MAX('Match Log'!$A$4:$A$810),NA(),IFERROR(LOOKUP(2,1/(('Match Log'!$D$4:$D$810=$P$24)*('Match Log'!$A$4:$A$810&lt;=$J170)),'Match Log'!$N$4:$N$810),NA()))</f>
        <v>1056.9310321365936</v>
      </c>
      <c r="Q170">
        <f>IF($J170&gt;MAX('Match Log'!$A$4:$A$810),NA(),IFERROR(LOOKUP(2,1/(('Match Log'!$D$4:$D$810=$Q$24)*('Match Log'!$A$4:$A$810&lt;=$J170)),'Match Log'!$N$4:$N$810),NA()))</f>
        <v>1084.8903813508514</v>
      </c>
      <c r="R170">
        <f>IF($J170&gt;MAX('Match Log'!$A$4:$A$810),NA(),IFERROR(LOOKUP(2,1/(('Match Log'!$D$4:$D$810=$R$24)*('Match Log'!$A$4:$A$810&lt;=$J170)),'Match Log'!$N$4:$N$810),NA()))</f>
        <v>1050.8634549674414</v>
      </c>
      <c r="S170">
        <f>IF($J170&gt;MAX('Match Log'!$A$4:$A$810),NA(),IFERROR(LOOKUP(2,1/(('Match Log'!$D$4:$D$810=$S$24)*('Match Log'!$A$4:$A$810&lt;=$J170)),'Match Log'!$N$4:$N$810),NA()))</f>
        <v>1168.2113436007442</v>
      </c>
      <c r="T170">
        <f>IF($J170&gt;MAX('Match Log'!$A$4:$A$810),NA(),IFERROR(LOOKUP(2,1/(('Match Log'!$D$4:$D$810=$T$24)*('Match Log'!$A$4:$A$810&lt;=$J170)),'Match Log'!$N$4:$N$810),NA()))</f>
        <v>893.03675187725173</v>
      </c>
      <c r="U170">
        <f>IF($J170&gt;MAX('Match Log'!$A$4:$A$810),NA(),IFERROR(LOOKUP(2,1/(('Match Log'!$D$4:$D$810=$U$24)*('Match Log'!$A$4:$A$810&lt;=$J170)),'Match Log'!$N$4:$N$810),NA()))</f>
        <v>1058.6657209484931</v>
      </c>
      <c r="V170">
        <f>IF($J170&gt;MAX('Match Log'!$A$4:$A$810),NA(),IFERROR(LOOKUP(2,1/(('Match Log'!$D$4:$D$810=$V$24)*('Match Log'!$A$4:$A$810&lt;=$J170)),'Match Log'!$N$4:$N$810),NA()))</f>
        <v>1009.1869692929786</v>
      </c>
      <c r="W170">
        <f>IF($J170&gt;MAX('Match Log'!$A$4:$A$810),NA(),IFERROR(LOOKUP(2,1/(('Match Log'!$D$4:$D$810=$W$24)*('Match Log'!$A$4:$A$810&lt;=$J170)),'Match Log'!$N$4:$N$810),NA()))</f>
        <v>1052.4204774129059</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1063.3178557740468</v>
      </c>
      <c r="L171">
        <f>IF($J171&gt;MAX('Match Log'!$A$4:$A$810),NA(),IFERROR(LOOKUP(2,1/(('Match Log'!$D$4:$D$810=$L$24)*('Match Log'!$A$4:$A$810&lt;=$J171)),'Match Log'!$N$4:$N$810),NA()))</f>
        <v>1029.2201908859522</v>
      </c>
      <c r="M171">
        <f>IF($J171&gt;MAX('Match Log'!$A$4:$A$810),NA(),IFERROR(LOOKUP(2,1/(('Match Log'!$D$4:$D$810=$M$24)*('Match Log'!$A$4:$A$810&lt;=$J171)),'Match Log'!$N$4:$N$810),NA()))</f>
        <v>1016.7837867075796</v>
      </c>
      <c r="N171">
        <f>IF($J171&gt;MAX('Match Log'!$A$4:$A$810),NA(),IFERROR(LOOKUP(2,1/(('Match Log'!$D$4:$D$810=$N$24)*('Match Log'!$A$4:$A$810&lt;=$J171)),'Match Log'!$N$4:$N$810),NA()))</f>
        <v>973.18894572037368</v>
      </c>
      <c r="O171">
        <f>IF($J171&gt;MAX('Match Log'!$A$4:$A$810),NA(),IFERROR(LOOKUP(2,1/(('Match Log'!$D$4:$D$810=$O$24)*('Match Log'!$A$4:$A$810&lt;=$J171)),'Match Log'!$N$4:$N$810),NA()))</f>
        <v>1129.7012289075892</v>
      </c>
      <c r="P171">
        <f>IF($J171&gt;MAX('Match Log'!$A$4:$A$810),NA(),IFERROR(LOOKUP(2,1/(('Match Log'!$D$4:$D$810=$P$24)*('Match Log'!$A$4:$A$810&lt;=$J171)),'Match Log'!$N$4:$N$810),NA()))</f>
        <v>1083.5128925537913</v>
      </c>
      <c r="Q171">
        <f>IF($J171&gt;MAX('Match Log'!$A$4:$A$810),NA(),IFERROR(LOOKUP(2,1/(('Match Log'!$D$4:$D$810=$Q$24)*('Match Log'!$A$4:$A$810&lt;=$J171)),'Match Log'!$N$4:$N$810),NA()))</f>
        <v>1084.8903813508514</v>
      </c>
      <c r="R171">
        <f>IF($J171&gt;MAX('Match Log'!$A$4:$A$810),NA(),IFERROR(LOOKUP(2,1/(('Match Log'!$D$4:$D$810=$R$24)*('Match Log'!$A$4:$A$810&lt;=$J171)),'Match Log'!$N$4:$N$810),NA()))</f>
        <v>1050.8634549674414</v>
      </c>
      <c r="S171">
        <f>IF($J171&gt;MAX('Match Log'!$A$4:$A$810),NA(),IFERROR(LOOKUP(2,1/(('Match Log'!$D$4:$D$810=$S$24)*('Match Log'!$A$4:$A$810&lt;=$J171)),'Match Log'!$N$4:$N$810),NA()))</f>
        <v>1168.2113436007442</v>
      </c>
      <c r="T171">
        <f>IF($J171&gt;MAX('Match Log'!$A$4:$A$810),NA(),IFERROR(LOOKUP(2,1/(('Match Log'!$D$4:$D$810=$T$24)*('Match Log'!$A$4:$A$810&lt;=$J171)),'Match Log'!$N$4:$N$810),NA()))</f>
        <v>893.03675187725173</v>
      </c>
      <c r="U171">
        <f>IF($J171&gt;MAX('Match Log'!$A$4:$A$810),NA(),IFERROR(LOOKUP(2,1/(('Match Log'!$D$4:$D$810=$U$24)*('Match Log'!$A$4:$A$810&lt;=$J171)),'Match Log'!$N$4:$N$810),NA()))</f>
        <v>1058.6657209484931</v>
      </c>
      <c r="V171">
        <f>IF($J171&gt;MAX('Match Log'!$A$4:$A$810),NA(),IFERROR(LOOKUP(2,1/(('Match Log'!$D$4:$D$810=$V$24)*('Match Log'!$A$4:$A$810&lt;=$J171)),'Match Log'!$N$4:$N$810),NA()))</f>
        <v>1009.1869692929786</v>
      </c>
      <c r="W171">
        <f>IF($J171&gt;MAX('Match Log'!$A$4:$A$810),NA(),IFERROR(LOOKUP(2,1/(('Match Log'!$D$4:$D$810=$W$24)*('Match Log'!$A$4:$A$810&lt;=$J171)),'Match Log'!$N$4:$N$810),NA()))</f>
        <v>1052.4204774129059</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1039.5689964868309</v>
      </c>
      <c r="L172">
        <f>IF($J172&gt;MAX('Match Log'!$A$4:$A$810),NA(),IFERROR(LOOKUP(2,1/(('Match Log'!$D$4:$D$810=$L$24)*('Match Log'!$A$4:$A$810&lt;=$J172)),'Match Log'!$N$4:$N$810),NA()))</f>
        <v>1029.2201908859522</v>
      </c>
      <c r="M172">
        <f>IF($J172&gt;MAX('Match Log'!$A$4:$A$810),NA(),IFERROR(LOOKUP(2,1/(('Match Log'!$D$4:$D$810=$M$24)*('Match Log'!$A$4:$A$810&lt;=$J172)),'Match Log'!$N$4:$N$810),NA()))</f>
        <v>1016.7837867075796</v>
      </c>
      <c r="N172">
        <f>IF($J172&gt;MAX('Match Log'!$A$4:$A$810),NA(),IFERROR(LOOKUP(2,1/(('Match Log'!$D$4:$D$810=$N$24)*('Match Log'!$A$4:$A$810&lt;=$J172)),'Match Log'!$N$4:$N$810),NA()))</f>
        <v>973.18894572037368</v>
      </c>
      <c r="O172">
        <f>IF($J172&gt;MAX('Match Log'!$A$4:$A$810),NA(),IFERROR(LOOKUP(2,1/(('Match Log'!$D$4:$D$810=$O$24)*('Match Log'!$A$4:$A$810&lt;=$J172)),'Match Log'!$N$4:$N$810),NA()))</f>
        <v>1129.7012289075892</v>
      </c>
      <c r="P172">
        <f>IF($J172&gt;MAX('Match Log'!$A$4:$A$810),NA(),IFERROR(LOOKUP(2,1/(('Match Log'!$D$4:$D$810=$P$24)*('Match Log'!$A$4:$A$810&lt;=$J172)),'Match Log'!$N$4:$N$810),NA()))</f>
        <v>1107.2617518410073</v>
      </c>
      <c r="Q172">
        <f>IF($J172&gt;MAX('Match Log'!$A$4:$A$810),NA(),IFERROR(LOOKUP(2,1/(('Match Log'!$D$4:$D$810=$Q$24)*('Match Log'!$A$4:$A$810&lt;=$J172)),'Match Log'!$N$4:$N$810),NA()))</f>
        <v>1084.8903813508514</v>
      </c>
      <c r="R172">
        <f>IF($J172&gt;MAX('Match Log'!$A$4:$A$810),NA(),IFERROR(LOOKUP(2,1/(('Match Log'!$D$4:$D$810=$R$24)*('Match Log'!$A$4:$A$810&lt;=$J172)),'Match Log'!$N$4:$N$810),NA()))</f>
        <v>1050.8634549674414</v>
      </c>
      <c r="S172">
        <f>IF($J172&gt;MAX('Match Log'!$A$4:$A$810),NA(),IFERROR(LOOKUP(2,1/(('Match Log'!$D$4:$D$810=$S$24)*('Match Log'!$A$4:$A$810&lt;=$J172)),'Match Log'!$N$4:$N$810),NA()))</f>
        <v>1168.2113436007442</v>
      </c>
      <c r="T172">
        <f>IF($J172&gt;MAX('Match Log'!$A$4:$A$810),NA(),IFERROR(LOOKUP(2,1/(('Match Log'!$D$4:$D$810=$T$24)*('Match Log'!$A$4:$A$810&lt;=$J172)),'Match Log'!$N$4:$N$810),NA()))</f>
        <v>893.03675187725173</v>
      </c>
      <c r="U172">
        <f>IF($J172&gt;MAX('Match Log'!$A$4:$A$810),NA(),IFERROR(LOOKUP(2,1/(('Match Log'!$D$4:$D$810=$U$24)*('Match Log'!$A$4:$A$810&lt;=$J172)),'Match Log'!$N$4:$N$810),NA()))</f>
        <v>1058.6657209484931</v>
      </c>
      <c r="V172">
        <f>IF($J172&gt;MAX('Match Log'!$A$4:$A$810),NA(),IFERROR(LOOKUP(2,1/(('Match Log'!$D$4:$D$810=$V$24)*('Match Log'!$A$4:$A$810&lt;=$J172)),'Match Log'!$N$4:$N$810),NA()))</f>
        <v>1009.1869692929786</v>
      </c>
      <c r="W172">
        <f>IF($J172&gt;MAX('Match Log'!$A$4:$A$810),NA(),IFERROR(LOOKUP(2,1/(('Match Log'!$D$4:$D$810=$W$24)*('Match Log'!$A$4:$A$810&lt;=$J172)),'Match Log'!$N$4:$N$810),NA()))</f>
        <v>1052.4204774129059</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1039.5689964868309</v>
      </c>
      <c r="L173">
        <f>IF($J173&gt;MAX('Match Log'!$A$4:$A$810),NA(),IFERROR(LOOKUP(2,1/(('Match Log'!$D$4:$D$810=$L$24)*('Match Log'!$A$4:$A$810&lt;=$J173)),'Match Log'!$N$4:$N$810),NA()))</f>
        <v>1029.2201908859522</v>
      </c>
      <c r="M173">
        <f>IF($J173&gt;MAX('Match Log'!$A$4:$A$810),NA(),IFERROR(LOOKUP(2,1/(('Match Log'!$D$4:$D$810=$M$24)*('Match Log'!$A$4:$A$810&lt;=$J173)),'Match Log'!$N$4:$N$810),NA()))</f>
        <v>1016.7837867075796</v>
      </c>
      <c r="N173">
        <f>IF($J173&gt;MAX('Match Log'!$A$4:$A$810),NA(),IFERROR(LOOKUP(2,1/(('Match Log'!$D$4:$D$810=$N$24)*('Match Log'!$A$4:$A$810&lt;=$J173)),'Match Log'!$N$4:$N$810),NA()))</f>
        <v>973.18894572037368</v>
      </c>
      <c r="O173">
        <f>IF($J173&gt;MAX('Match Log'!$A$4:$A$810),NA(),IFERROR(LOOKUP(2,1/(('Match Log'!$D$4:$D$810=$O$24)*('Match Log'!$A$4:$A$810&lt;=$J173)),'Match Log'!$N$4:$N$810),NA()))</f>
        <v>1129.7012289075892</v>
      </c>
      <c r="P173">
        <f>IF($J173&gt;MAX('Match Log'!$A$4:$A$810),NA(),IFERROR(LOOKUP(2,1/(('Match Log'!$D$4:$D$810=$P$24)*('Match Log'!$A$4:$A$810&lt;=$J173)),'Match Log'!$N$4:$N$810),NA()))</f>
        <v>1107.2617518410073</v>
      </c>
      <c r="Q173">
        <f>IF($J173&gt;MAX('Match Log'!$A$4:$A$810),NA(),IFERROR(LOOKUP(2,1/(('Match Log'!$D$4:$D$810=$Q$24)*('Match Log'!$A$4:$A$810&lt;=$J173)),'Match Log'!$N$4:$N$810),NA()))</f>
        <v>1084.8903813508514</v>
      </c>
      <c r="R173">
        <f>IF($J173&gt;MAX('Match Log'!$A$4:$A$810),NA(),IFERROR(LOOKUP(2,1/(('Match Log'!$D$4:$D$810=$R$24)*('Match Log'!$A$4:$A$810&lt;=$J173)),'Match Log'!$N$4:$N$810),NA()))</f>
        <v>1034.0709929003076</v>
      </c>
      <c r="S173">
        <f>IF($J173&gt;MAX('Match Log'!$A$4:$A$810),NA(),IFERROR(LOOKUP(2,1/(('Match Log'!$D$4:$D$810=$S$24)*('Match Log'!$A$4:$A$810&lt;=$J173)),'Match Log'!$N$4:$N$810),NA()))</f>
        <v>1185.0038056678779</v>
      </c>
      <c r="T173">
        <f>IF($J173&gt;MAX('Match Log'!$A$4:$A$810),NA(),IFERROR(LOOKUP(2,1/(('Match Log'!$D$4:$D$810=$T$24)*('Match Log'!$A$4:$A$810&lt;=$J173)),'Match Log'!$N$4:$N$810),NA()))</f>
        <v>893.03675187725173</v>
      </c>
      <c r="U173">
        <f>IF($J173&gt;MAX('Match Log'!$A$4:$A$810),NA(),IFERROR(LOOKUP(2,1/(('Match Log'!$D$4:$D$810=$U$24)*('Match Log'!$A$4:$A$810&lt;=$J173)),'Match Log'!$N$4:$N$810),NA()))</f>
        <v>1058.6657209484931</v>
      </c>
      <c r="V173">
        <f>IF($J173&gt;MAX('Match Log'!$A$4:$A$810),NA(),IFERROR(LOOKUP(2,1/(('Match Log'!$D$4:$D$810=$V$24)*('Match Log'!$A$4:$A$810&lt;=$J173)),'Match Log'!$N$4:$N$810),NA()))</f>
        <v>1009.1869692929786</v>
      </c>
      <c r="W173">
        <f>IF($J173&gt;MAX('Match Log'!$A$4:$A$810),NA(),IFERROR(LOOKUP(2,1/(('Match Log'!$D$4:$D$810=$W$24)*('Match Log'!$A$4:$A$810&lt;=$J173)),'Match Log'!$N$4:$N$810),NA()))</f>
        <v>1052.4204774129059</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1039.5689964868309</v>
      </c>
      <c r="L174">
        <f>IF($J174&gt;MAX('Match Log'!$A$4:$A$810),NA(),IFERROR(LOOKUP(2,1/(('Match Log'!$D$4:$D$810=$L$24)*('Match Log'!$A$4:$A$810&lt;=$J174)),'Match Log'!$N$4:$N$810),NA()))</f>
        <v>1029.2201908859522</v>
      </c>
      <c r="M174">
        <f>IF($J174&gt;MAX('Match Log'!$A$4:$A$810),NA(),IFERROR(LOOKUP(2,1/(('Match Log'!$D$4:$D$810=$M$24)*('Match Log'!$A$4:$A$810&lt;=$J174)),'Match Log'!$N$4:$N$810),NA()))</f>
        <v>1016.7837867075796</v>
      </c>
      <c r="N174">
        <f>IF($J174&gt;MAX('Match Log'!$A$4:$A$810),NA(),IFERROR(LOOKUP(2,1/(('Match Log'!$D$4:$D$810=$N$24)*('Match Log'!$A$4:$A$810&lt;=$J174)),'Match Log'!$N$4:$N$810),NA()))</f>
        <v>973.18894572037368</v>
      </c>
      <c r="O174">
        <f>IF($J174&gt;MAX('Match Log'!$A$4:$A$810),NA(),IFERROR(LOOKUP(2,1/(('Match Log'!$D$4:$D$810=$O$24)*('Match Log'!$A$4:$A$810&lt;=$J174)),'Match Log'!$N$4:$N$810),NA()))</f>
        <v>1129.7012289075892</v>
      </c>
      <c r="P174">
        <f>IF($J174&gt;MAX('Match Log'!$A$4:$A$810),NA(),IFERROR(LOOKUP(2,1/(('Match Log'!$D$4:$D$810=$P$24)*('Match Log'!$A$4:$A$810&lt;=$J174)),'Match Log'!$N$4:$N$810),NA()))</f>
        <v>1107.2617518410073</v>
      </c>
      <c r="Q174">
        <f>IF($J174&gt;MAX('Match Log'!$A$4:$A$810),NA(),IFERROR(LOOKUP(2,1/(('Match Log'!$D$4:$D$810=$Q$24)*('Match Log'!$A$4:$A$810&lt;=$J174)),'Match Log'!$N$4:$N$810),NA()))</f>
        <v>1084.8903813508514</v>
      </c>
      <c r="R174">
        <f>IF($J174&gt;MAX('Match Log'!$A$4:$A$810),NA(),IFERROR(LOOKUP(2,1/(('Match Log'!$D$4:$D$810=$R$24)*('Match Log'!$A$4:$A$810&lt;=$J174)),'Match Log'!$N$4:$N$810),NA()))</f>
        <v>1019.8376898189671</v>
      </c>
      <c r="S174">
        <f>IF($J174&gt;MAX('Match Log'!$A$4:$A$810),NA(),IFERROR(LOOKUP(2,1/(('Match Log'!$D$4:$D$810=$S$24)*('Match Log'!$A$4:$A$810&lt;=$J174)),'Match Log'!$N$4:$N$810),NA()))</f>
        <v>1199.2371087492186</v>
      </c>
      <c r="T174">
        <f>IF($J174&gt;MAX('Match Log'!$A$4:$A$810),NA(),IFERROR(LOOKUP(2,1/(('Match Log'!$D$4:$D$810=$T$24)*('Match Log'!$A$4:$A$810&lt;=$J174)),'Match Log'!$N$4:$N$810),NA()))</f>
        <v>893.03675187725173</v>
      </c>
      <c r="U174">
        <f>IF($J174&gt;MAX('Match Log'!$A$4:$A$810),NA(),IFERROR(LOOKUP(2,1/(('Match Log'!$D$4:$D$810=$U$24)*('Match Log'!$A$4:$A$810&lt;=$J174)),'Match Log'!$N$4:$N$810),NA()))</f>
        <v>1058.6657209484931</v>
      </c>
      <c r="V174">
        <f>IF($J174&gt;MAX('Match Log'!$A$4:$A$810),NA(),IFERROR(LOOKUP(2,1/(('Match Log'!$D$4:$D$810=$V$24)*('Match Log'!$A$4:$A$810&lt;=$J174)),'Match Log'!$N$4:$N$810),NA()))</f>
        <v>1009.1869692929786</v>
      </c>
      <c r="W174">
        <f>IF($J174&gt;MAX('Match Log'!$A$4:$A$810),NA(),IFERROR(LOOKUP(2,1/(('Match Log'!$D$4:$D$810=$W$24)*('Match Log'!$A$4:$A$810&lt;=$J174)),'Match Log'!$N$4:$N$810),NA()))</f>
        <v>1052.4204774129059</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1039.5689964868309</v>
      </c>
      <c r="L175">
        <f>IF($J175&gt;MAX('Match Log'!$A$4:$A$810),NA(),IFERROR(LOOKUP(2,1/(('Match Log'!$D$4:$D$810=$L$24)*('Match Log'!$A$4:$A$810&lt;=$J175)),'Match Log'!$N$4:$N$810),NA()))</f>
        <v>1029.2201908859522</v>
      </c>
      <c r="M175">
        <f>IF($J175&gt;MAX('Match Log'!$A$4:$A$810),NA(),IFERROR(LOOKUP(2,1/(('Match Log'!$D$4:$D$810=$M$24)*('Match Log'!$A$4:$A$810&lt;=$J175)),'Match Log'!$N$4:$N$810),NA()))</f>
        <v>1016.7837867075796</v>
      </c>
      <c r="N175">
        <f>IF($J175&gt;MAX('Match Log'!$A$4:$A$810),NA(),IFERROR(LOOKUP(2,1/(('Match Log'!$D$4:$D$810=$N$24)*('Match Log'!$A$4:$A$810&lt;=$J175)),'Match Log'!$N$4:$N$810),NA()))</f>
        <v>973.18894572037368</v>
      </c>
      <c r="O175">
        <f>IF($J175&gt;MAX('Match Log'!$A$4:$A$810),NA(),IFERROR(LOOKUP(2,1/(('Match Log'!$D$4:$D$810=$O$24)*('Match Log'!$A$4:$A$810&lt;=$J175)),'Match Log'!$N$4:$N$810),NA()))</f>
        <v>1109.8824625815018</v>
      </c>
      <c r="P175">
        <f>IF($J175&gt;MAX('Match Log'!$A$4:$A$810),NA(),IFERROR(LOOKUP(2,1/(('Match Log'!$D$4:$D$810=$P$24)*('Match Log'!$A$4:$A$810&lt;=$J175)),'Match Log'!$N$4:$N$810),NA()))</f>
        <v>1107.2617518410073</v>
      </c>
      <c r="Q175">
        <f>IF($J175&gt;MAX('Match Log'!$A$4:$A$810),NA(),IFERROR(LOOKUP(2,1/(('Match Log'!$D$4:$D$810=$Q$24)*('Match Log'!$A$4:$A$810&lt;=$J175)),'Match Log'!$N$4:$N$810),NA()))</f>
        <v>1084.8903813508514</v>
      </c>
      <c r="R175">
        <f>IF($J175&gt;MAX('Match Log'!$A$4:$A$810),NA(),IFERROR(LOOKUP(2,1/(('Match Log'!$D$4:$D$810=$R$24)*('Match Log'!$A$4:$A$810&lt;=$J175)),'Match Log'!$N$4:$N$810),NA()))</f>
        <v>1019.8376898189671</v>
      </c>
      <c r="S175">
        <f>IF($J175&gt;MAX('Match Log'!$A$4:$A$810),NA(),IFERROR(LOOKUP(2,1/(('Match Log'!$D$4:$D$810=$S$24)*('Match Log'!$A$4:$A$810&lt;=$J175)),'Match Log'!$N$4:$N$810),NA()))</f>
        <v>1219.0558750753059</v>
      </c>
      <c r="T175">
        <f>IF($J175&gt;MAX('Match Log'!$A$4:$A$810),NA(),IFERROR(LOOKUP(2,1/(('Match Log'!$D$4:$D$810=$T$24)*('Match Log'!$A$4:$A$810&lt;=$J175)),'Match Log'!$N$4:$N$810),NA()))</f>
        <v>893.03675187725173</v>
      </c>
      <c r="U175">
        <f>IF($J175&gt;MAX('Match Log'!$A$4:$A$810),NA(),IFERROR(LOOKUP(2,1/(('Match Log'!$D$4:$D$810=$U$24)*('Match Log'!$A$4:$A$810&lt;=$J175)),'Match Log'!$N$4:$N$810),NA()))</f>
        <v>1058.6657209484931</v>
      </c>
      <c r="V175">
        <f>IF($J175&gt;MAX('Match Log'!$A$4:$A$810),NA(),IFERROR(LOOKUP(2,1/(('Match Log'!$D$4:$D$810=$V$24)*('Match Log'!$A$4:$A$810&lt;=$J175)),'Match Log'!$N$4:$N$810),NA()))</f>
        <v>1009.1869692929786</v>
      </c>
      <c r="W175">
        <f>IF($J175&gt;MAX('Match Log'!$A$4:$A$810),NA(),IFERROR(LOOKUP(2,1/(('Match Log'!$D$4:$D$810=$W$24)*('Match Log'!$A$4:$A$810&lt;=$J175)),'Match Log'!$N$4:$N$810),NA()))</f>
        <v>1052.4204774129059</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1039.5689964868309</v>
      </c>
      <c r="L176">
        <f>IF($J176&gt;MAX('Match Log'!$A$4:$A$810),NA(),IFERROR(LOOKUP(2,1/(('Match Log'!$D$4:$D$810=$L$24)*('Match Log'!$A$4:$A$810&lt;=$J176)),'Match Log'!$N$4:$N$810),NA()))</f>
        <v>1029.2201908859522</v>
      </c>
      <c r="M176">
        <f>IF($J176&gt;MAX('Match Log'!$A$4:$A$810),NA(),IFERROR(LOOKUP(2,1/(('Match Log'!$D$4:$D$810=$M$24)*('Match Log'!$A$4:$A$810&lt;=$J176)),'Match Log'!$N$4:$N$810),NA()))</f>
        <v>1016.7837867075796</v>
      </c>
      <c r="N176">
        <f>IF($J176&gt;MAX('Match Log'!$A$4:$A$810),NA(),IFERROR(LOOKUP(2,1/(('Match Log'!$D$4:$D$810=$N$24)*('Match Log'!$A$4:$A$810&lt;=$J176)),'Match Log'!$N$4:$N$810),NA()))</f>
        <v>973.18894572037368</v>
      </c>
      <c r="O176">
        <f>IF($J176&gt;MAX('Match Log'!$A$4:$A$810),NA(),IFERROR(LOOKUP(2,1/(('Match Log'!$D$4:$D$810=$O$24)*('Match Log'!$A$4:$A$810&lt;=$J176)),'Match Log'!$N$4:$N$810),NA()))</f>
        <v>1093.2984999231951</v>
      </c>
      <c r="P176">
        <f>IF($J176&gt;MAX('Match Log'!$A$4:$A$810),NA(),IFERROR(LOOKUP(2,1/(('Match Log'!$D$4:$D$810=$P$24)*('Match Log'!$A$4:$A$810&lt;=$J176)),'Match Log'!$N$4:$N$810),NA()))</f>
        <v>1107.2617518410073</v>
      </c>
      <c r="Q176">
        <f>IF($J176&gt;MAX('Match Log'!$A$4:$A$810),NA(),IFERROR(LOOKUP(2,1/(('Match Log'!$D$4:$D$810=$Q$24)*('Match Log'!$A$4:$A$810&lt;=$J176)),'Match Log'!$N$4:$N$810),NA()))</f>
        <v>1084.8903813508514</v>
      </c>
      <c r="R176">
        <f>IF($J176&gt;MAX('Match Log'!$A$4:$A$810),NA(),IFERROR(LOOKUP(2,1/(('Match Log'!$D$4:$D$810=$R$24)*('Match Log'!$A$4:$A$810&lt;=$J176)),'Match Log'!$N$4:$N$810),NA()))</f>
        <v>1019.8376898189671</v>
      </c>
      <c r="S176">
        <f>IF($J176&gt;MAX('Match Log'!$A$4:$A$810),NA(),IFERROR(LOOKUP(2,1/(('Match Log'!$D$4:$D$810=$S$24)*('Match Log'!$A$4:$A$810&lt;=$J176)),'Match Log'!$N$4:$N$810),NA()))</f>
        <v>1235.6398377336127</v>
      </c>
      <c r="T176">
        <f>IF($J176&gt;MAX('Match Log'!$A$4:$A$810),NA(),IFERROR(LOOKUP(2,1/(('Match Log'!$D$4:$D$810=$T$24)*('Match Log'!$A$4:$A$810&lt;=$J176)),'Match Log'!$N$4:$N$810),NA()))</f>
        <v>893.03675187725173</v>
      </c>
      <c r="U176">
        <f>IF($J176&gt;MAX('Match Log'!$A$4:$A$810),NA(),IFERROR(LOOKUP(2,1/(('Match Log'!$D$4:$D$810=$U$24)*('Match Log'!$A$4:$A$810&lt;=$J176)),'Match Log'!$N$4:$N$810),NA()))</f>
        <v>1058.6657209484931</v>
      </c>
      <c r="V176">
        <f>IF($J176&gt;MAX('Match Log'!$A$4:$A$810),NA(),IFERROR(LOOKUP(2,1/(('Match Log'!$D$4:$D$810=$V$24)*('Match Log'!$A$4:$A$810&lt;=$J176)),'Match Log'!$N$4:$N$810),NA()))</f>
        <v>1009.1869692929786</v>
      </c>
      <c r="W176">
        <f>IF($J176&gt;MAX('Match Log'!$A$4:$A$810),NA(),IFERROR(LOOKUP(2,1/(('Match Log'!$D$4:$D$810=$W$24)*('Match Log'!$A$4:$A$810&lt;=$J176)),'Match Log'!$N$4:$N$810),NA()))</f>
        <v>1052.4204774129059</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1039.5689964868309</v>
      </c>
      <c r="L177">
        <f>IF($J177&gt;MAX('Match Log'!$A$4:$A$810),NA(),IFERROR(LOOKUP(2,1/(('Match Log'!$D$4:$D$810=$L$24)*('Match Log'!$A$4:$A$810&lt;=$J177)),'Match Log'!$N$4:$N$810),NA()))</f>
        <v>1029.2201908859522</v>
      </c>
      <c r="M177">
        <f>IF($J177&gt;MAX('Match Log'!$A$4:$A$810),NA(),IFERROR(LOOKUP(2,1/(('Match Log'!$D$4:$D$810=$M$24)*('Match Log'!$A$4:$A$810&lt;=$J177)),'Match Log'!$N$4:$N$810),NA()))</f>
        <v>1016.7837867075796</v>
      </c>
      <c r="N177">
        <f>IF($J177&gt;MAX('Match Log'!$A$4:$A$810),NA(),IFERROR(LOOKUP(2,1/(('Match Log'!$D$4:$D$810=$N$24)*('Match Log'!$A$4:$A$810&lt;=$J177)),'Match Log'!$N$4:$N$810),NA()))</f>
        <v>973.18894572037368</v>
      </c>
      <c r="O177">
        <f>IF($J177&gt;MAX('Match Log'!$A$4:$A$810),NA(),IFERROR(LOOKUP(2,1/(('Match Log'!$D$4:$D$810=$O$24)*('Match Log'!$A$4:$A$810&lt;=$J177)),'Match Log'!$N$4:$N$810),NA()))</f>
        <v>1111.9650321702666</v>
      </c>
      <c r="P177">
        <f>IF($J177&gt;MAX('Match Log'!$A$4:$A$810),NA(),IFERROR(LOOKUP(2,1/(('Match Log'!$D$4:$D$810=$P$24)*('Match Log'!$A$4:$A$810&lt;=$J177)),'Match Log'!$N$4:$N$810),NA()))</f>
        <v>1107.2617518410073</v>
      </c>
      <c r="Q177">
        <f>IF($J177&gt;MAX('Match Log'!$A$4:$A$810),NA(),IFERROR(LOOKUP(2,1/(('Match Log'!$D$4:$D$810=$Q$24)*('Match Log'!$A$4:$A$810&lt;=$J177)),'Match Log'!$N$4:$N$810),NA()))</f>
        <v>1084.8903813508514</v>
      </c>
      <c r="R177">
        <f>IF($J177&gt;MAX('Match Log'!$A$4:$A$810),NA(),IFERROR(LOOKUP(2,1/(('Match Log'!$D$4:$D$810=$R$24)*('Match Log'!$A$4:$A$810&lt;=$J177)),'Match Log'!$N$4:$N$810),NA()))</f>
        <v>1001.1711575718956</v>
      </c>
      <c r="S177">
        <f>IF($J177&gt;MAX('Match Log'!$A$4:$A$810),NA(),IFERROR(LOOKUP(2,1/(('Match Log'!$D$4:$D$810=$S$24)*('Match Log'!$A$4:$A$810&lt;=$J177)),'Match Log'!$N$4:$N$810),NA()))</f>
        <v>1235.6398377336127</v>
      </c>
      <c r="T177">
        <f>IF($J177&gt;MAX('Match Log'!$A$4:$A$810),NA(),IFERROR(LOOKUP(2,1/(('Match Log'!$D$4:$D$810=$T$24)*('Match Log'!$A$4:$A$810&lt;=$J177)),'Match Log'!$N$4:$N$810),NA()))</f>
        <v>893.03675187725173</v>
      </c>
      <c r="U177">
        <f>IF($J177&gt;MAX('Match Log'!$A$4:$A$810),NA(),IFERROR(LOOKUP(2,1/(('Match Log'!$D$4:$D$810=$U$24)*('Match Log'!$A$4:$A$810&lt;=$J177)),'Match Log'!$N$4:$N$810),NA()))</f>
        <v>1058.6657209484931</v>
      </c>
      <c r="V177">
        <f>IF($J177&gt;MAX('Match Log'!$A$4:$A$810),NA(),IFERROR(LOOKUP(2,1/(('Match Log'!$D$4:$D$810=$V$24)*('Match Log'!$A$4:$A$810&lt;=$J177)),'Match Log'!$N$4:$N$810),NA()))</f>
        <v>1009.1869692929786</v>
      </c>
      <c r="W177">
        <f>IF($J177&gt;MAX('Match Log'!$A$4:$A$810),NA(),IFERROR(LOOKUP(2,1/(('Match Log'!$D$4:$D$810=$W$24)*('Match Log'!$A$4:$A$810&lt;=$J177)),'Match Log'!$N$4:$N$810),NA()))</f>
        <v>1052.4204774129059</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1039.5689964868309</v>
      </c>
      <c r="L178">
        <f>IF($J178&gt;MAX('Match Log'!$A$4:$A$810),NA(),IFERROR(LOOKUP(2,1/(('Match Log'!$D$4:$D$810=$L$24)*('Match Log'!$A$4:$A$810&lt;=$J178)),'Match Log'!$N$4:$N$810),NA()))</f>
        <v>1029.2201908859522</v>
      </c>
      <c r="M178">
        <f>IF($J178&gt;MAX('Match Log'!$A$4:$A$810),NA(),IFERROR(LOOKUP(2,1/(('Match Log'!$D$4:$D$810=$M$24)*('Match Log'!$A$4:$A$810&lt;=$J178)),'Match Log'!$N$4:$N$810),NA()))</f>
        <v>1016.7837867075796</v>
      </c>
      <c r="N178">
        <f>IF($J178&gt;MAX('Match Log'!$A$4:$A$810),NA(),IFERROR(LOOKUP(2,1/(('Match Log'!$D$4:$D$810=$N$24)*('Match Log'!$A$4:$A$810&lt;=$J178)),'Match Log'!$N$4:$N$810),NA()))</f>
        <v>973.18894572037368</v>
      </c>
      <c r="O178">
        <f>IF($J178&gt;MAX('Match Log'!$A$4:$A$810),NA(),IFERROR(LOOKUP(2,1/(('Match Log'!$D$4:$D$810=$O$24)*('Match Log'!$A$4:$A$810&lt;=$J178)),'Match Log'!$N$4:$N$810),NA()))</f>
        <v>1100.4970059692068</v>
      </c>
      <c r="P178">
        <f>IF($J178&gt;MAX('Match Log'!$A$4:$A$810),NA(),IFERROR(LOOKUP(2,1/(('Match Log'!$D$4:$D$810=$P$24)*('Match Log'!$A$4:$A$810&lt;=$J178)),'Match Log'!$N$4:$N$810),NA()))</f>
        <v>1107.2617518410073</v>
      </c>
      <c r="Q178">
        <f>IF($J178&gt;MAX('Match Log'!$A$4:$A$810),NA(),IFERROR(LOOKUP(2,1/(('Match Log'!$D$4:$D$810=$Q$24)*('Match Log'!$A$4:$A$810&lt;=$J178)),'Match Log'!$N$4:$N$810),NA()))</f>
        <v>1084.8903813508514</v>
      </c>
      <c r="R178">
        <f>IF($J178&gt;MAX('Match Log'!$A$4:$A$810),NA(),IFERROR(LOOKUP(2,1/(('Match Log'!$D$4:$D$810=$R$24)*('Match Log'!$A$4:$A$810&lt;=$J178)),'Match Log'!$N$4:$N$810),NA()))</f>
        <v>1035.3444997499266</v>
      </c>
      <c r="S178">
        <f>IF($J178&gt;MAX('Match Log'!$A$4:$A$810),NA(),IFERROR(LOOKUP(2,1/(('Match Log'!$D$4:$D$810=$S$24)*('Match Log'!$A$4:$A$810&lt;=$J178)),'Match Log'!$N$4:$N$810),NA()))</f>
        <v>1221.9345217566415</v>
      </c>
      <c r="T178">
        <f>IF($J178&gt;MAX('Match Log'!$A$4:$A$810),NA(),IFERROR(LOOKUP(2,1/(('Match Log'!$D$4:$D$810=$T$24)*('Match Log'!$A$4:$A$810&lt;=$J178)),'Match Log'!$N$4:$N$810),NA()))</f>
        <v>893.03675187725173</v>
      </c>
      <c r="U178">
        <f>IF($J178&gt;MAX('Match Log'!$A$4:$A$810),NA(),IFERROR(LOOKUP(2,1/(('Match Log'!$D$4:$D$810=$U$24)*('Match Log'!$A$4:$A$810&lt;=$J178)),'Match Log'!$N$4:$N$810),NA()))</f>
        <v>1058.6657209484931</v>
      </c>
      <c r="V178">
        <f>IF($J178&gt;MAX('Match Log'!$A$4:$A$810),NA(),IFERROR(LOOKUP(2,1/(('Match Log'!$D$4:$D$810=$V$24)*('Match Log'!$A$4:$A$810&lt;=$J178)),'Match Log'!$N$4:$N$810),NA()))</f>
        <v>1009.1869692929786</v>
      </c>
      <c r="W178">
        <f>IF($J178&gt;MAX('Match Log'!$A$4:$A$810),NA(),IFERROR(LOOKUP(2,1/(('Match Log'!$D$4:$D$810=$W$24)*('Match Log'!$A$4:$A$810&lt;=$J178)),'Match Log'!$N$4:$N$810),NA()))</f>
        <v>1052.4204774129059</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1039.5689964868309</v>
      </c>
      <c r="L179">
        <f>IF($J179&gt;MAX('Match Log'!$A$4:$A$810),NA(),IFERROR(LOOKUP(2,1/(('Match Log'!$D$4:$D$810=$L$24)*('Match Log'!$A$4:$A$810&lt;=$J179)),'Match Log'!$N$4:$N$810),NA()))</f>
        <v>1029.2201908859522</v>
      </c>
      <c r="M179">
        <f>IF($J179&gt;MAX('Match Log'!$A$4:$A$810),NA(),IFERROR(LOOKUP(2,1/(('Match Log'!$D$4:$D$810=$M$24)*('Match Log'!$A$4:$A$810&lt;=$J179)),'Match Log'!$N$4:$N$810),NA()))</f>
        <v>1016.7837867075796</v>
      </c>
      <c r="N179">
        <f>IF($J179&gt;MAX('Match Log'!$A$4:$A$810),NA(),IFERROR(LOOKUP(2,1/(('Match Log'!$D$4:$D$810=$N$24)*('Match Log'!$A$4:$A$810&lt;=$J179)),'Match Log'!$N$4:$N$810),NA()))</f>
        <v>973.18894572037368</v>
      </c>
      <c r="O179">
        <f>IF($J179&gt;MAX('Match Log'!$A$4:$A$810),NA(),IFERROR(LOOKUP(2,1/(('Match Log'!$D$4:$D$810=$O$24)*('Match Log'!$A$4:$A$810&lt;=$J179)),'Match Log'!$N$4:$N$810),NA()))</f>
        <v>1074.7649297202038</v>
      </c>
      <c r="P179">
        <f>IF($J179&gt;MAX('Match Log'!$A$4:$A$810),NA(),IFERROR(LOOKUP(2,1/(('Match Log'!$D$4:$D$810=$P$24)*('Match Log'!$A$4:$A$810&lt;=$J179)),'Match Log'!$N$4:$N$810),NA()))</f>
        <v>1107.2617518410073</v>
      </c>
      <c r="Q179">
        <f>IF($J179&gt;MAX('Match Log'!$A$4:$A$810),NA(),IFERROR(LOOKUP(2,1/(('Match Log'!$D$4:$D$810=$Q$24)*('Match Log'!$A$4:$A$810&lt;=$J179)),'Match Log'!$N$4:$N$810),NA()))</f>
        <v>1084.8903813508514</v>
      </c>
      <c r="R179">
        <f>IF($J179&gt;MAX('Match Log'!$A$4:$A$810),NA(),IFERROR(LOOKUP(2,1/(('Match Log'!$D$4:$D$810=$R$24)*('Match Log'!$A$4:$A$810&lt;=$J179)),'Match Log'!$N$4:$N$810),NA()))</f>
        <v>1061.0765759989297</v>
      </c>
      <c r="S179">
        <f>IF($J179&gt;MAX('Match Log'!$A$4:$A$810),NA(),IFERROR(LOOKUP(2,1/(('Match Log'!$D$4:$D$810=$S$24)*('Match Log'!$A$4:$A$810&lt;=$J179)),'Match Log'!$N$4:$N$810),NA()))</f>
        <v>1221.9345217566415</v>
      </c>
      <c r="T179">
        <f>IF($J179&gt;MAX('Match Log'!$A$4:$A$810),NA(),IFERROR(LOOKUP(2,1/(('Match Log'!$D$4:$D$810=$T$24)*('Match Log'!$A$4:$A$810&lt;=$J179)),'Match Log'!$N$4:$N$810),NA()))</f>
        <v>893.03675187725173</v>
      </c>
      <c r="U179">
        <f>IF($J179&gt;MAX('Match Log'!$A$4:$A$810),NA(),IFERROR(LOOKUP(2,1/(('Match Log'!$D$4:$D$810=$U$24)*('Match Log'!$A$4:$A$810&lt;=$J179)),'Match Log'!$N$4:$N$810),NA()))</f>
        <v>1058.6657209484931</v>
      </c>
      <c r="V179">
        <f>IF($J179&gt;MAX('Match Log'!$A$4:$A$810),NA(),IFERROR(LOOKUP(2,1/(('Match Log'!$D$4:$D$810=$V$24)*('Match Log'!$A$4:$A$810&lt;=$J179)),'Match Log'!$N$4:$N$810),NA()))</f>
        <v>1009.1869692929786</v>
      </c>
      <c r="W179">
        <f>IF($J179&gt;MAX('Match Log'!$A$4:$A$810),NA(),IFERROR(LOOKUP(2,1/(('Match Log'!$D$4:$D$810=$W$24)*('Match Log'!$A$4:$A$810&lt;=$J179)),'Match Log'!$N$4:$N$810),NA()))</f>
        <v>1052.4204774129059</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1039.5689964868309</v>
      </c>
      <c r="L180">
        <f>IF($J180&gt;MAX('Match Log'!$A$4:$A$810),NA(),IFERROR(LOOKUP(2,1/(('Match Log'!$D$4:$D$810=$L$24)*('Match Log'!$A$4:$A$810&lt;=$J180)),'Match Log'!$N$4:$N$810),NA()))</f>
        <v>1029.2201908859522</v>
      </c>
      <c r="M180">
        <f>IF($J180&gt;MAX('Match Log'!$A$4:$A$810),NA(),IFERROR(LOOKUP(2,1/(('Match Log'!$D$4:$D$810=$M$24)*('Match Log'!$A$4:$A$810&lt;=$J180)),'Match Log'!$N$4:$N$810),NA()))</f>
        <v>1016.7837867075796</v>
      </c>
      <c r="N180">
        <f>IF($J180&gt;MAX('Match Log'!$A$4:$A$810),NA(),IFERROR(LOOKUP(2,1/(('Match Log'!$D$4:$D$810=$N$24)*('Match Log'!$A$4:$A$810&lt;=$J180)),'Match Log'!$N$4:$N$810),NA()))</f>
        <v>973.18894572037368</v>
      </c>
      <c r="O180">
        <f>IF($J180&gt;MAX('Match Log'!$A$4:$A$810),NA(),IFERROR(LOOKUP(2,1/(('Match Log'!$D$4:$D$810=$O$24)*('Match Log'!$A$4:$A$810&lt;=$J180)),'Match Log'!$N$4:$N$810),NA()))</f>
        <v>1074.7649297202038</v>
      </c>
      <c r="P180">
        <f>IF($J180&gt;MAX('Match Log'!$A$4:$A$810),NA(),IFERROR(LOOKUP(2,1/(('Match Log'!$D$4:$D$810=$P$24)*('Match Log'!$A$4:$A$810&lt;=$J180)),'Match Log'!$N$4:$N$810),NA()))</f>
        <v>1107.2617518410073</v>
      </c>
      <c r="Q180">
        <f>IF($J180&gt;MAX('Match Log'!$A$4:$A$810),NA(),IFERROR(LOOKUP(2,1/(('Match Log'!$D$4:$D$810=$Q$24)*('Match Log'!$A$4:$A$810&lt;=$J180)),'Match Log'!$N$4:$N$810),NA()))</f>
        <v>1084.8903813508514</v>
      </c>
      <c r="R180">
        <f>IF($J180&gt;MAX('Match Log'!$A$4:$A$810),NA(),IFERROR(LOOKUP(2,1/(('Match Log'!$D$4:$D$810=$R$24)*('Match Log'!$A$4:$A$810&lt;=$J180)),'Match Log'!$N$4:$N$810),NA()))</f>
        <v>1040.9424995855443</v>
      </c>
      <c r="S180">
        <f>IF($J180&gt;MAX('Match Log'!$A$4:$A$810),NA(),IFERROR(LOOKUP(2,1/(('Match Log'!$D$4:$D$810=$S$24)*('Match Log'!$A$4:$A$810&lt;=$J180)),'Match Log'!$N$4:$N$810),NA()))</f>
        <v>1242.0685981700271</v>
      </c>
      <c r="T180">
        <f>IF($J180&gt;MAX('Match Log'!$A$4:$A$810),NA(),IFERROR(LOOKUP(2,1/(('Match Log'!$D$4:$D$810=$T$24)*('Match Log'!$A$4:$A$810&lt;=$J180)),'Match Log'!$N$4:$N$810),NA()))</f>
        <v>893.03675187725173</v>
      </c>
      <c r="U180">
        <f>IF($J180&gt;MAX('Match Log'!$A$4:$A$810),NA(),IFERROR(LOOKUP(2,1/(('Match Log'!$D$4:$D$810=$U$24)*('Match Log'!$A$4:$A$810&lt;=$J180)),'Match Log'!$N$4:$N$810),NA()))</f>
        <v>1058.6657209484931</v>
      </c>
      <c r="V180">
        <f>IF($J180&gt;MAX('Match Log'!$A$4:$A$810),NA(),IFERROR(LOOKUP(2,1/(('Match Log'!$D$4:$D$810=$V$24)*('Match Log'!$A$4:$A$810&lt;=$J180)),'Match Log'!$N$4:$N$810),NA()))</f>
        <v>1009.1869692929786</v>
      </c>
      <c r="W180">
        <f>IF($J180&gt;MAX('Match Log'!$A$4:$A$810),NA(),IFERROR(LOOKUP(2,1/(('Match Log'!$D$4:$D$810=$W$24)*('Match Log'!$A$4:$A$810&lt;=$J180)),'Match Log'!$N$4:$N$810),NA()))</f>
        <v>1052.4204774129059</v>
      </c>
      <c r="X180" t="e">
        <f>IF($J180&gt;MAX('Match Log'!$A$4:$A$810),NA(),IFERROR(LOOKUP(2,1/(('Match Log'!$D$4:$D$810=$X$24)*('Match Log'!$A$4:$A$810&lt;=$J180)),'Match Log'!$N$4:$N$810),NA()))</f>
        <v>#N/A</v>
      </c>
      <c r="Y180">
        <f t="shared" ca="1" si="30"/>
        <v>6.6510666666666649E-2</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1039.5689964868309</v>
      </c>
      <c r="C2">
        <f>IFERROR(SUMPRODUCT(INDEX('Head-to-Head'!$B$22:$O$35,1,0),$D$2:$Q$2)/SUM(INDEX('Head-to-Head'!$B$22:$O$35,1,0)),"")</f>
        <v>1073.7174151785355</v>
      </c>
      <c r="D2">
        <f>$B$2</f>
        <v>1039.5689964868309</v>
      </c>
      <c r="E2">
        <f>$B$3</f>
        <v>1029.2201908859522</v>
      </c>
      <c r="F2">
        <f>$B$4</f>
        <v>1016.7837867075796</v>
      </c>
      <c r="G2">
        <f>$B$5</f>
        <v>973.18894572037368</v>
      </c>
      <c r="H2">
        <f>$B$6</f>
        <v>1074.7649297202038</v>
      </c>
      <c r="I2">
        <f>$B$7</f>
        <v>1107.2617518410073</v>
      </c>
      <c r="J2">
        <f>$B$8</f>
        <v>1084.8903813508514</v>
      </c>
      <c r="K2">
        <f>$B$9</f>
        <v>1040.9424995855443</v>
      </c>
      <c r="L2">
        <f>$B$10</f>
        <v>1242.0685981700271</v>
      </c>
      <c r="M2">
        <f>$B$11</f>
        <v>893.03675187725173</v>
      </c>
      <c r="N2">
        <f>$B$12</f>
        <v>1058.6657209484931</v>
      </c>
      <c r="O2">
        <f>$B$13</f>
        <v>1009.1869692929786</v>
      </c>
      <c r="P2">
        <f>$B$14</f>
        <v>1052.4204774129059</v>
      </c>
      <c r="Q2">
        <f>$B$15</f>
        <v>1000</v>
      </c>
    </row>
    <row r="3" spans="1:17" ht="15" customHeight="1" x14ac:dyDescent="0.2">
      <c r="A3" t="s">
        <v>135</v>
      </c>
      <c r="B3">
        <f>IF(COUNTIF('Match Log'!$D$4:$D$810,$A3)=0,'Guide &amp; Settings'!$C$41,IFERROR(LOOKUP(2,1/('Match Log'!$D$4:$D$810=$A3),'Match Log'!$N$4:$N$810),'Guide &amp; Settings'!$C$41))</f>
        <v>1029.2201908859522</v>
      </c>
      <c r="C3">
        <f>IFERROR(SUMPRODUCT(INDEX('Head-to-Head'!$B$22:$O$35,2,0),$D$2:$Q$2)/SUM(INDEX('Head-to-Head'!$B$22:$O$35,2,0)),"")</f>
        <v>1062.4937579945872</v>
      </c>
    </row>
    <row r="4" spans="1:17" ht="15" customHeight="1" x14ac:dyDescent="0.2">
      <c r="A4" t="s">
        <v>173</v>
      </c>
      <c r="B4">
        <f>IF(COUNTIF('Match Log'!$D$4:$D$810,$A4)=0,'Guide &amp; Settings'!$C$41,IFERROR(LOOKUP(2,1/('Match Log'!$D$4:$D$810=$A4),'Match Log'!$N$4:$N$810),'Guide &amp; Settings'!$C$41))</f>
        <v>1016.7837867075796</v>
      </c>
      <c r="C4">
        <f>IFERROR(SUMPRODUCT(INDEX('Head-to-Head'!$B$22:$O$35,3,0),$D$2:$Q$2)/SUM(INDEX('Head-to-Head'!$B$22:$O$35,3,0)),"")</f>
        <v>1039.5222292786875</v>
      </c>
    </row>
    <row r="5" spans="1:17" ht="15" customHeight="1" x14ac:dyDescent="0.2">
      <c r="A5" t="s">
        <v>140</v>
      </c>
      <c r="B5">
        <f>IF(COUNTIF('Match Log'!$D$4:$D$810,$A5)=0,'Guide &amp; Settings'!$C$41,IFERROR(LOOKUP(2,1/('Match Log'!$D$4:$D$810=$A5),'Match Log'!$N$4:$N$810),'Guide &amp; Settings'!$C$41))</f>
        <v>973.18894572037368</v>
      </c>
      <c r="C5">
        <f>IFERROR(SUMPRODUCT(INDEX('Head-to-Head'!$B$22:$O$35,4,0),$D$2:$Q$2)/SUM(INDEX('Head-to-Head'!$B$22:$O$35,4,0)),"")</f>
        <v>1064.2349518732756</v>
      </c>
    </row>
    <row r="6" spans="1:17" ht="15" customHeight="1" x14ac:dyDescent="0.2">
      <c r="A6" t="s">
        <v>137</v>
      </c>
      <c r="B6">
        <f>IF(COUNTIF('Match Log'!$D$4:$D$810,$A6)=0,'Guide &amp; Settings'!$C$41,IFERROR(LOOKUP(2,1/('Match Log'!$D$4:$D$810=$A6),'Match Log'!$N$4:$N$810),'Guide &amp; Settings'!$C$41))</f>
        <v>1074.7649297202038</v>
      </c>
      <c r="C6">
        <f>IFERROR(SUMPRODUCT(INDEX('Head-to-Head'!$B$22:$O$35,5,0),$D$2:$Q$2)/SUM(INDEX('Head-to-Head'!$B$22:$O$35,5,0)),"")</f>
        <v>1066.1867071320421</v>
      </c>
    </row>
    <row r="7" spans="1:17" ht="15" customHeight="1" x14ac:dyDescent="0.2">
      <c r="A7" t="s">
        <v>134</v>
      </c>
      <c r="B7">
        <f>IF(COUNTIF('Match Log'!$D$4:$D$810,$A7)=0,'Guide &amp; Settings'!$C$41,IFERROR(LOOKUP(2,1/('Match Log'!$D$4:$D$810=$A7),'Match Log'!$N$4:$N$810),'Guide &amp; Settings'!$C$41))</f>
        <v>1107.2617518410073</v>
      </c>
      <c r="C7">
        <f>IFERROR(SUMPRODUCT(INDEX('Head-to-Head'!$B$22:$O$35,6,0),$D$2:$Q$2)/SUM(INDEX('Head-to-Head'!$B$22:$O$35,6,0)),"")</f>
        <v>1052.3400492745759</v>
      </c>
    </row>
    <row r="8" spans="1:17" ht="15" customHeight="1" x14ac:dyDescent="0.2">
      <c r="A8" t="s">
        <v>168</v>
      </c>
      <c r="B8">
        <f>IF(COUNTIF('Match Log'!$D$4:$D$810,$A8)=0,'Guide &amp; Settings'!$C$41,IFERROR(LOOKUP(2,1/('Match Log'!$D$4:$D$810=$A8),'Match Log'!$N$4:$N$810),'Guide &amp; Settings'!$C$41))</f>
        <v>1084.8903813508514</v>
      </c>
      <c r="C8">
        <f>IFERROR(SUMPRODUCT(INDEX('Head-to-Head'!$B$22:$O$35,7,0),$D$2:$Q$2)/SUM(INDEX('Head-to-Head'!$B$22:$O$35,7,0)),"")</f>
        <v>1052.513885880174</v>
      </c>
    </row>
    <row r="9" spans="1:17" ht="15" customHeight="1" x14ac:dyDescent="0.2">
      <c r="A9" t="s">
        <v>170</v>
      </c>
      <c r="B9">
        <f>IF(COUNTIF('Match Log'!$D$4:$D$810,$A9)=0,'Guide &amp; Settings'!$C$41,IFERROR(LOOKUP(2,1/('Match Log'!$D$4:$D$810=$A9),'Match Log'!$N$4:$N$810),'Guide &amp; Settings'!$C$41))</f>
        <v>1040.9424995855443</v>
      </c>
      <c r="C9">
        <f>IFERROR(SUMPRODUCT(INDEX('Head-to-Head'!$B$22:$O$35,8,0),$D$2:$Q$2)/SUM(INDEX('Head-to-Head'!$B$22:$O$35,8,0)),"")</f>
        <v>1095.1116103283528</v>
      </c>
    </row>
    <row r="10" spans="1:17" ht="15" customHeight="1" x14ac:dyDescent="0.2">
      <c r="A10" t="s">
        <v>167</v>
      </c>
      <c r="B10">
        <f>IF(COUNTIF('Match Log'!$D$4:$D$810,$A10)=0,'Guide &amp; Settings'!$C$41,IFERROR(LOOKUP(2,1/('Match Log'!$D$4:$D$810=$A10),'Match Log'!$N$4:$N$810),'Guide &amp; Settings'!$C$41))</f>
        <v>1242.0685981700271</v>
      </c>
      <c r="C10">
        <f>IFERROR(SUMPRODUCT(INDEX('Head-to-Head'!$B$22:$O$35,9,0),$D$2:$Q$2)/SUM(INDEX('Head-to-Head'!$B$22:$O$35,9,0)),"")</f>
        <v>1046.0377424962787</v>
      </c>
    </row>
    <row r="11" spans="1:17" ht="15" customHeight="1" x14ac:dyDescent="0.2">
      <c r="A11" t="s">
        <v>175</v>
      </c>
      <c r="B11">
        <f>IF(COUNTIF('Match Log'!$D$4:$D$810,$A11)=0,'Guide &amp; Settings'!$C$41,IFERROR(LOOKUP(2,1/('Match Log'!$D$4:$D$810=$A11),'Match Log'!$N$4:$N$810),'Guide &amp; Settings'!$C$41))</f>
        <v>893.03675187725173</v>
      </c>
      <c r="C11">
        <f>IFERROR(SUMPRODUCT(INDEX('Head-to-Head'!$B$22:$O$35,10,0),$D$2:$Q$2)/SUM(INDEX('Head-to-Head'!$B$22:$O$35,10,0)),"")</f>
        <v>1062.7718916503929</v>
      </c>
    </row>
    <row r="12" spans="1:17" ht="15" customHeight="1" x14ac:dyDescent="0.2">
      <c r="A12" t="s">
        <v>169</v>
      </c>
      <c r="B12">
        <f>IF(COUNTIF('Match Log'!$D$4:$D$810,$A12)=0,'Guide &amp; Settings'!$C$41,IFERROR(LOOKUP(2,1/('Match Log'!$D$4:$D$810=$A12),'Match Log'!$N$4:$N$810),'Guide &amp; Settings'!$C$41))</f>
        <v>1058.6657209484931</v>
      </c>
      <c r="C12">
        <f>IFERROR(SUMPRODUCT(INDEX('Head-to-Head'!$B$22:$O$35,11,0),$D$2:$Q$2)/SUM(INDEX('Head-to-Head'!$B$22:$O$35,11,0)),"")</f>
        <v>1077.7480989807311</v>
      </c>
    </row>
    <row r="13" spans="1:17" ht="15" customHeight="1" x14ac:dyDescent="0.2">
      <c r="A13" t="s">
        <v>171</v>
      </c>
      <c r="B13">
        <f>IF(COUNTIF('Match Log'!$D$4:$D$810,$A13)=0,'Guide &amp; Settings'!$C$41,IFERROR(LOOKUP(2,1/('Match Log'!$D$4:$D$810=$A13),'Match Log'!$N$4:$N$810),'Guide &amp; Settings'!$C$41))</f>
        <v>1009.1869692929786</v>
      </c>
      <c r="C13">
        <f>IFERROR(SUMPRODUCT(INDEX('Head-to-Head'!$B$22:$O$35,12,0),$D$2:$Q$2)/SUM(INDEX('Head-to-Head'!$B$22:$O$35,12,0)),"")</f>
        <v>1054.9224607974536</v>
      </c>
    </row>
    <row r="14" spans="1:17" ht="15" customHeight="1" x14ac:dyDescent="0.2">
      <c r="A14" t="s">
        <v>172</v>
      </c>
      <c r="B14">
        <f>IF(COUNTIF('Match Log'!$D$4:$D$810,$A14)=0,'Guide &amp; Settings'!$C$41,IFERROR(LOOKUP(2,1/('Match Log'!$D$4:$D$810=$A14),'Match Log'!$N$4:$N$810),'Guide &amp; Settings'!$C$41))</f>
        <v>1052.4204774129059</v>
      </c>
      <c r="C14">
        <f>IFERROR(SUMPRODUCT(INDEX('Head-to-Head'!$B$22:$O$35,13,0),$D$2:$Q$2)/SUM(INDEX('Head-to-Head'!$B$22:$O$35,13,0)),"")</f>
        <v>1067.5552089809428</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447</v>
      </c>
    </row>
    <row r="23" spans="3:3" x14ac:dyDescent="0.2">
      <c r="C23" t="s">
        <v>448</v>
      </c>
    </row>
    <row r="24" spans="3:3" x14ac:dyDescent="0.2">
      <c r="C24" t="s">
        <v>449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2026-07-12T09:35:04Z</dcterms:modified>
  <dc:language>en-US</dc:language>
</cp:coreProperties>
</file>