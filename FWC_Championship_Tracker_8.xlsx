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8C24BF6-0779-E043-A3DD-79B23F306418}"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W182" i="11"/>
  <c r="V182" i="11"/>
  <c r="U182" i="11"/>
  <c r="T182" i="11"/>
  <c r="S182" i="11"/>
  <c r="R182" i="11"/>
  <c r="Q182" i="11"/>
  <c r="P182" i="11"/>
  <c r="O182" i="11"/>
  <c r="N182" i="11"/>
  <c r="M182" i="11"/>
  <c r="L182" i="11"/>
  <c r="K182" i="11"/>
  <c r="F182" i="11"/>
  <c r="E182" i="11"/>
  <c r="H182" i="11" s="1" a="1"/>
  <c r="H182" i="11" s="1"/>
  <c r="D182" i="11" a="1"/>
  <c r="D182" i="11" s="1"/>
  <c r="G182" i="11" s="1"/>
  <c r="I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H100" i="6"/>
  <c r="F100" i="6"/>
  <c r="E100" i="6"/>
  <c r="D100" i="6"/>
  <c r="C100" i="6"/>
  <c r="B100" i="6"/>
  <c r="D96" i="6"/>
  <c r="C96" i="6"/>
  <c r="B96" i="6"/>
  <c r="D95" i="6"/>
  <c r="C95" i="6"/>
  <c r="B95" i="6"/>
  <c r="F94"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D58" i="6" s="1"/>
  <c r="B60" i="8" s="1"/>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365" i="9" l="1"/>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S28" i="9"/>
  <c r="I28" i="9" s="1"/>
  <c r="AH8" i="11"/>
  <c r="L49" i="9"/>
  <c r="S17" i="9"/>
  <c r="I17" i="9" s="1"/>
  <c r="K17" i="9" s="1"/>
  <c r="G5" i="4"/>
  <c r="S40" i="9"/>
  <c r="I40" i="9"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Y139" i="9"/>
  <c r="S233" i="9"/>
  <c r="I233" i="9" s="1"/>
  <c r="K233" i="9" s="1"/>
  <c r="L326" i="9"/>
  <c r="Z334" i="9"/>
  <c r="AA333" i="9" s="1"/>
  <c r="AB333" i="9" s="1"/>
  <c r="U336" i="9" s="1"/>
  <c r="S57" i="9"/>
  <c r="I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L333" i="9"/>
  <c r="L339" i="9"/>
  <c r="G91" i="6"/>
  <c r="S91" i="6" s="1"/>
  <c r="B32" i="7"/>
  <c r="S150" i="9"/>
  <c r="I150" i="9" s="1"/>
  <c r="K150" i="9" s="1"/>
  <c r="L200" i="9"/>
  <c r="Z225" i="9"/>
  <c r="AA225" i="9" s="1"/>
  <c r="AB225" i="9" s="1"/>
  <c r="U239" i="9" s="1"/>
  <c r="S266" i="9"/>
  <c r="I266" i="9"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S175" i="9"/>
  <c r="I175" i="9" s="1"/>
  <c r="K175" i="9" s="1"/>
  <c r="L220" i="9"/>
  <c r="S236" i="9"/>
  <c r="I236" i="9" s="1"/>
  <c r="K236" i="9" s="1"/>
  <c r="S268" i="9"/>
  <c r="I268" i="9"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K244" i="9"/>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S238" i="9"/>
  <c r="I238" i="9" s="1"/>
  <c r="K238" i="9" s="1"/>
  <c r="S239" i="9"/>
  <c r="I239" i="9" s="1"/>
  <c r="K239" i="9" s="1"/>
  <c r="L244" i="9"/>
  <c r="S255" i="9"/>
  <c r="I255" i="9" s="1"/>
  <c r="K255" i="9" s="1"/>
  <c r="S264" i="9"/>
  <c r="I264" i="9" s="1"/>
  <c r="K264" i="9" s="1"/>
  <c r="S276" i="9"/>
  <c r="I276" i="9" s="1"/>
  <c r="F138" i="11" s="1"/>
  <c r="S295" i="9"/>
  <c r="I295" i="9" s="1"/>
  <c r="G24" i="4"/>
  <c r="Q12" i="11"/>
  <c r="R12" i="11" s="1"/>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K57" i="9"/>
  <c r="AA24" i="9"/>
  <c r="AB24" i="9" s="1"/>
  <c r="U26" i="9" s="1"/>
  <c r="AA23" i="9"/>
  <c r="AB23" i="9" s="1"/>
  <c r="U25" i="9" s="1"/>
  <c r="L62" i="9"/>
  <c r="L5" i="9"/>
  <c r="S66" i="9"/>
  <c r="I66" i="9" s="1"/>
  <c r="K66" i="9" s="1"/>
  <c r="S65" i="9"/>
  <c r="I65" i="9" s="1"/>
  <c r="F65" i="11"/>
  <c r="K93" i="9"/>
  <c r="L14" i="9"/>
  <c r="F57" i="11"/>
  <c r="K75" i="9"/>
  <c r="F67" i="11"/>
  <c r="K97" i="9"/>
  <c r="E46" i="11"/>
  <c r="H46" i="11" s="1" a="1"/>
  <c r="H46" i="11" s="1"/>
  <c r="L53" i="9"/>
  <c r="F33" i="11"/>
  <c r="G33" i="11" s="1"/>
  <c r="I33" i="11" s="1"/>
  <c r="K28" i="9"/>
  <c r="S58" i="9"/>
  <c r="I58" i="9" s="1"/>
  <c r="K58" i="9" s="1"/>
  <c r="S50" i="9"/>
  <c r="I50" i="9" s="1"/>
  <c r="K50" i="9" s="1"/>
  <c r="S49" i="9"/>
  <c r="I49" i="9" s="1"/>
  <c r="F39" i="11"/>
  <c r="K40" i="9"/>
  <c r="L46" i="9"/>
  <c r="E69" i="11"/>
  <c r="H69" i="11" s="1" a="1"/>
  <c r="H69" i="11" s="1"/>
  <c r="L100" i="9"/>
  <c r="E38" i="11"/>
  <c r="H38" i="11" s="1" a="1"/>
  <c r="H38" i="11" s="1"/>
  <c r="L37" i="9"/>
  <c r="E53" i="11"/>
  <c r="H53" i="11" s="1" a="1"/>
  <c r="H53" i="11" s="1"/>
  <c r="L67" i="9"/>
  <c r="F64" i="11"/>
  <c r="K90" i="9"/>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F40" i="11"/>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AA125" i="9"/>
  <c r="AB125" i="9" s="1"/>
  <c r="U129"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F119" i="11"/>
  <c r="S257" i="9"/>
  <c r="I257" i="9" s="1"/>
  <c r="S256" i="9"/>
  <c r="I256" i="9" s="1"/>
  <c r="K256" i="9" s="1"/>
  <c r="S218" i="9"/>
  <c r="I218" i="9" s="1"/>
  <c r="K218" i="9" s="1"/>
  <c r="S216" i="9"/>
  <c r="I216" i="9" s="1"/>
  <c r="E116" i="11"/>
  <c r="H116" i="11" s="1" a="1"/>
  <c r="H116" i="11" s="1"/>
  <c r="L261" i="9"/>
  <c r="S229" i="9"/>
  <c r="I229" i="9" s="1"/>
  <c r="Y244" i="9"/>
  <c r="Z244" i="9" s="1"/>
  <c r="F134" i="11"/>
  <c r="K268" i="9"/>
  <c r="E139" i="11"/>
  <c r="H139" i="11" s="1" a="1"/>
  <c r="H139" i="11" s="1"/>
  <c r="L278" i="9"/>
  <c r="F133" i="11"/>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F126" i="11"/>
  <c r="K252" i="9"/>
  <c r="S179" i="9"/>
  <c r="I179" i="9" s="1"/>
  <c r="K179" i="9" s="1"/>
  <c r="S186" i="9"/>
  <c r="I186" i="9" s="1"/>
  <c r="K186" i="9" s="1"/>
  <c r="S184" i="9"/>
  <c r="I184" i="9" s="1"/>
  <c r="F129" i="11"/>
  <c r="K258" i="9"/>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F147" i="11"/>
  <c r="K295" i="9"/>
  <c r="L323" i="9"/>
  <c r="E145" i="11"/>
  <c r="H145" i="11" s="1" a="1"/>
  <c r="H145" i="11" s="1"/>
  <c r="L290" i="9"/>
  <c r="L307" i="9"/>
  <c r="S309" i="9"/>
  <c r="I309" i="9" s="1"/>
  <c r="K309" i="9" s="1"/>
  <c r="S308" i="9"/>
  <c r="I308" i="9" s="1"/>
  <c r="F144" i="11"/>
  <c r="K288" i="9"/>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AA306" i="9"/>
  <c r="AB306" i="9" s="1"/>
  <c r="U308" i="9"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AC12" i="11"/>
  <c r="Q34" i="10"/>
  <c r="P34" i="10"/>
  <c r="P119" i="6"/>
  <c r="B29" i="2" s="1"/>
  <c r="H18" i="11"/>
  <c r="V18" i="11"/>
  <c r="AC15"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AC7" i="11"/>
  <c r="I58" i="6"/>
  <c r="B65" i="8" s="1"/>
  <c r="G39" i="11"/>
  <c r="I39" i="11" s="1"/>
  <c r="Y39" i="11" s="1"/>
  <c r="G8" i="11"/>
  <c r="H8" i="11" s="1"/>
  <c r="V13" i="11"/>
  <c r="V19" i="11"/>
  <c r="G20" i="11"/>
  <c r="H20" i="11" s="1"/>
  <c r="G55" i="11"/>
  <c r="I55" i="11" s="1"/>
  <c r="Y55" i="11" s="1"/>
  <c r="Q18" i="11"/>
  <c r="G80" i="11"/>
  <c r="I80" i="11" s="1"/>
  <c r="Y80" i="11" s="1"/>
  <c r="O17" i="11"/>
  <c r="G57" i="11"/>
  <c r="I57" i="11" s="1"/>
  <c r="Y57" i="11" s="1"/>
  <c r="R9" i="10"/>
  <c r="Q38" i="10"/>
  <c r="R38" i="10" s="1"/>
  <c r="G19" i="11"/>
  <c r="H19" i="11" s="1"/>
  <c r="P47" i="10"/>
  <c r="Q17" i="11"/>
  <c r="R17" i="11" s="1"/>
  <c r="AH20" i="11"/>
  <c r="D23" i="8"/>
  <c r="Q47" i="10"/>
  <c r="AG16" i="11"/>
  <c r="G41" i="11"/>
  <c r="I41" i="11" s="1"/>
  <c r="Y41" i="11" s="1"/>
  <c r="R10" i="10"/>
  <c r="O16" i="11"/>
  <c r="AH16" i="11"/>
  <c r="D33" i="8"/>
  <c r="P35" i="10"/>
  <c r="R35" i="10" s="1"/>
  <c r="Q39" i="10"/>
  <c r="R39" i="10" s="1"/>
  <c r="R20" i="11"/>
  <c r="S20" i="11" s="1"/>
  <c r="Y33" i="11"/>
  <c r="G74" i="11"/>
  <c r="I74" i="11" s="1"/>
  <c r="Y74" i="11" s="1"/>
  <c r="AG7" i="11"/>
  <c r="AG8" i="11"/>
  <c r="AG9" i="11"/>
  <c r="AG10" i="11"/>
  <c r="AG11" i="11"/>
  <c r="AG12" i="11"/>
  <c r="Q16" i="11"/>
  <c r="V17" i="11"/>
  <c r="Q7" i="11"/>
  <c r="T7" i="11" s="1"/>
  <c r="Q8" i="11"/>
  <c r="Q9" i="11"/>
  <c r="R9" i="11" s="1"/>
  <c r="Q10" i="11"/>
  <c r="R10" i="11" s="1"/>
  <c r="Q11" i="11"/>
  <c r="R11" i="11" s="1"/>
  <c r="R31" i="10"/>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182"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Q13" i="11"/>
  <c r="T13" i="11" s="1"/>
  <c r="AH13" i="11"/>
  <c r="Q14" i="11"/>
  <c r="T14" i="11" s="1"/>
  <c r="AH14" i="11"/>
  <c r="Q15" i="11"/>
  <c r="R15" i="11" s="1"/>
  <c r="Q40" i="10"/>
  <c r="Q19" i="11"/>
  <c r="T19" i="11" s="1"/>
  <c r="V20" i="11"/>
  <c r="G48" i="11"/>
  <c r="I48" i="11" s="1"/>
  <c r="Y48" i="11" s="1"/>
  <c r="P49" i="10"/>
  <c r="R49" i="10" s="1"/>
  <c r="G49" i="11"/>
  <c r="I49" i="11" s="1"/>
  <c r="Y49" i="11" s="1"/>
  <c r="G70" i="11"/>
  <c r="I70" i="11" s="1"/>
  <c r="Y70" i="11" s="1"/>
  <c r="G83" i="11"/>
  <c r="I83" i="11" s="1"/>
  <c r="Y83" i="11" s="1"/>
  <c r="G112" i="11"/>
  <c r="I112" i="11" s="1"/>
  <c r="Y112"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235" i="9" l="1"/>
  <c r="R32" i="10"/>
  <c r="K364" i="9"/>
  <c r="F181" i="11"/>
  <c r="G181" i="11" s="1"/>
  <c r="I181" i="11" s="1"/>
  <c r="Y181" i="11" s="1"/>
  <c r="K276" i="9"/>
  <c r="X6" i="9"/>
  <c r="J6" i="9" s="1"/>
  <c r="K138" i="9"/>
  <c r="G65" i="11"/>
  <c r="I65" i="11" s="1"/>
  <c r="Y65" i="11" s="1"/>
  <c r="AA126" i="9"/>
  <c r="AB126" i="9" s="1"/>
  <c r="U134" i="9" s="1"/>
  <c r="G67" i="11"/>
  <c r="I67" i="11" s="1"/>
  <c r="Y67" i="11" s="1"/>
  <c r="K299" i="9"/>
  <c r="U51" i="9"/>
  <c r="R36" i="10"/>
  <c r="F30" i="11"/>
  <c r="G30" i="11" s="1"/>
  <c r="I30" i="11" s="1"/>
  <c r="Y30" i="11" s="1"/>
  <c r="AC9" i="11"/>
  <c r="G40" i="11"/>
  <c r="I40" i="11" s="1"/>
  <c r="Y40" i="11" s="1"/>
  <c r="R33" i="10"/>
  <c r="R7" i="10"/>
  <c r="K363" i="9"/>
  <c r="F180" i="11"/>
  <c r="G180" i="11" s="1"/>
  <c r="I180" i="11" s="1"/>
  <c r="Y180" i="11" s="1"/>
  <c r="K231" i="9"/>
  <c r="F46" i="1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T12" i="11"/>
  <c r="B17" i="4" s="1"/>
  <c r="Y46" i="9"/>
  <c r="Z46" i="9" s="1"/>
  <c r="AA45" i="9" s="1"/>
  <c r="AB45" i="9" s="1"/>
  <c r="U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T15" i="1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G119" i="11"/>
  <c r="I119" i="11" s="1"/>
  <c r="Y119" i="11" s="1"/>
  <c r="F117" i="11"/>
  <c r="G117" i="11" s="1"/>
  <c r="I117" i="11" s="1"/>
  <c r="Y117" i="11" s="1"/>
  <c r="K234" i="9"/>
  <c r="W10" i="9"/>
  <c r="F139" i="11"/>
  <c r="G139" i="11" s="1"/>
  <c r="I139" i="11" s="1"/>
  <c r="Y139" i="11" s="1"/>
  <c r="K279" i="9"/>
  <c r="C20" i="2"/>
  <c r="D20" i="2"/>
  <c r="F29" i="11"/>
  <c r="G29" i="11" s="1"/>
  <c r="I29" i="11" s="1"/>
  <c r="Y29" i="11" s="1"/>
  <c r="K20" i="9"/>
  <c r="O14" i="11"/>
  <c r="T9" i="11"/>
  <c r="AA122" i="9"/>
  <c r="AB122" i="9" s="1"/>
  <c r="U133" i="9" s="1"/>
  <c r="Z133" i="9" s="1"/>
  <c r="W14" i="9"/>
  <c r="X14" i="9" s="1"/>
  <c r="J14" i="9" s="1"/>
  <c r="M14" i="9" s="1"/>
  <c r="N14" i="9" s="1"/>
  <c r="M32" i="11" s="1"/>
  <c r="W12" i="9"/>
  <c r="X12" i="9" s="1"/>
  <c r="J12" i="9" s="1"/>
  <c r="M12" i="9" s="1"/>
  <c r="N12" i="9" s="1"/>
  <c r="N42" i="11" s="1"/>
  <c r="AC11" i="11"/>
  <c r="V7" i="11"/>
  <c r="T17" i="11"/>
  <c r="R41" i="10"/>
  <c r="W13" i="9"/>
  <c r="W4" i="9"/>
  <c r="X4" i="9" s="1"/>
  <c r="W5" i="9"/>
  <c r="X5" i="9" s="1"/>
  <c r="W9" i="9"/>
  <c r="X9" i="9" s="1"/>
  <c r="J9" i="9" s="1"/>
  <c r="AA71" i="9"/>
  <c r="AB71" i="9" s="1"/>
  <c r="U73" i="9" s="1"/>
  <c r="AA72" i="9"/>
  <c r="AB72" i="9" s="1"/>
  <c r="U75" i="9" s="1"/>
  <c r="W11" i="9"/>
  <c r="X11" i="9" s="1"/>
  <c r="J11" i="9" s="1"/>
  <c r="M11" i="9" s="1"/>
  <c r="N11" i="9" s="1"/>
  <c r="Q62" i="11" s="1"/>
  <c r="R37" i="10"/>
  <c r="R34" i="10"/>
  <c r="AA338" i="9"/>
  <c r="AB338" i="9" s="1"/>
  <c r="M101" i="6" s="1"/>
  <c r="G138" i="11"/>
  <c r="I138" i="11" s="1"/>
  <c r="Y138" i="11" s="1"/>
  <c r="C17" i="2"/>
  <c r="D17" i="2"/>
  <c r="Q31" i="11"/>
  <c r="Z139" i="9"/>
  <c r="Y18" i="9"/>
  <c r="Z18" i="9" s="1"/>
  <c r="Y17" i="9"/>
  <c r="M41" i="11"/>
  <c r="M37" i="11"/>
  <c r="M35" i="11"/>
  <c r="M36" i="11"/>
  <c r="M28" i="11"/>
  <c r="M27" i="11"/>
  <c r="M30" i="11"/>
  <c r="M26" i="11"/>
  <c r="M38" i="11"/>
  <c r="M31" i="11"/>
  <c r="H46" i="9"/>
  <c r="Y47" i="9"/>
  <c r="Z47" i="9" s="1"/>
  <c r="Y48"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T18" i="11"/>
  <c r="R18" i="1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T10" i="11"/>
  <c r="F163" i="11"/>
  <c r="G163" i="11" s="1"/>
  <c r="I163" i="11" s="1"/>
  <c r="Y163" i="11" s="1"/>
  <c r="K326" i="9"/>
  <c r="F156" i="11"/>
  <c r="G156" i="11" s="1"/>
  <c r="I156" i="11" s="1"/>
  <c r="Y156" i="11" s="1"/>
  <c r="K313" i="9"/>
  <c r="F104" i="11"/>
  <c r="G104" i="11" s="1"/>
  <c r="I104" i="11" s="1"/>
  <c r="Y104" i="11" s="1"/>
  <c r="K192" i="9"/>
  <c r="R14" i="11"/>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M9" i="9"/>
  <c r="N9" i="9" s="1"/>
  <c r="F113" i="11"/>
  <c r="G113" i="11" s="1"/>
  <c r="I113" i="11" s="1"/>
  <c r="Y113" i="11" s="1"/>
  <c r="K224" i="9"/>
  <c r="R27" i="6"/>
  <c r="Q27" i="6"/>
  <c r="E29" i="2"/>
  <c r="R7" i="11"/>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G46" i="11"/>
  <c r="I46" i="11" s="1"/>
  <c r="Y46" i="11" s="1"/>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R19" i="1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T8" i="11"/>
  <c r="R8" i="11"/>
  <c r="D29" i="2"/>
  <c r="C29" i="2"/>
  <c r="T11" i="11"/>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75" i="9"/>
  <c r="Z75" i="9" s="1"/>
  <c r="Y76" i="9"/>
  <c r="Y327" i="9"/>
  <c r="Z327" i="9" s="1"/>
  <c r="Y326" i="9"/>
  <c r="Z326" i="9" s="1"/>
  <c r="Y328" i="9"/>
  <c r="Z328" i="9" s="1"/>
  <c r="AA328" i="9" s="1"/>
  <c r="AB328" i="9" s="1"/>
  <c r="E108" i="6" s="1"/>
  <c r="V8" i="11"/>
  <c r="A7" i="8" s="1"/>
  <c r="T16" i="11"/>
  <c r="R16" i="11"/>
  <c r="R13"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M34" i="11" l="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P129" i="9"/>
  <c r="P128" i="9"/>
  <c r="Q128" i="9" s="1"/>
  <c r="V128" i="9"/>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AA18" i="9" l="1"/>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D11" i="2"/>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U365" i="9" l="1"/>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G100" i="6"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H5" i="4" l="1"/>
  <c r="P100" i="6"/>
  <c r="B10" i="2" s="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D10" i="2" l="1"/>
  <c r="C10" i="2"/>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Y56" i="9" l="1"/>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AA55" i="9" l="1"/>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Y104" i="9" l="1"/>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360" i="9" l="1"/>
  <c r="AB360" i="9" s="1"/>
  <c r="AA253" i="9"/>
  <c r="AB253" i="9" s="1"/>
  <c r="I118" i="6"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P118" i="6" l="1"/>
  <c r="B28" i="2" s="1"/>
  <c r="C28" i="2" s="1"/>
  <c r="J20" i="9"/>
  <c r="M20" i="9" s="1"/>
  <c r="N20"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D28" i="2" l="1"/>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M181" i="11" s="1"/>
  <c r="W132" i="9"/>
  <c r="X132" i="9" s="1"/>
  <c r="W133" i="9"/>
  <c r="W122" i="9"/>
  <c r="X122" i="9" s="1"/>
  <c r="W123" i="9"/>
  <c r="X123" i="9" s="1"/>
  <c r="M179" i="11" l="1"/>
  <c r="M180" i="11"/>
  <c r="M177" i="11"/>
  <c r="M178" i="11"/>
  <c r="M175" i="11"/>
  <c r="M176" i="11"/>
  <c r="M173" i="11"/>
  <c r="M174" i="11"/>
  <c r="B4" i="12"/>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P80" i="11" l="1"/>
  <c r="P83" i="11"/>
  <c r="P81" i="11"/>
  <c r="P82" i="11"/>
  <c r="P84" i="11"/>
  <c r="H133" i="9"/>
  <c r="P140" i="9"/>
  <c r="Q140" i="9" s="1"/>
  <c r="P141" i="9"/>
  <c r="V140" i="9"/>
  <c r="O89" i="11"/>
  <c r="O80" i="11"/>
  <c r="O87" i="11"/>
  <c r="O85" i="11"/>
  <c r="O92" i="11"/>
  <c r="O83" i="11"/>
  <c r="O90" i="11"/>
  <c r="O81" i="11"/>
  <c r="O88" i="11"/>
  <c r="O91" i="11"/>
  <c r="O84" i="11"/>
  <c r="O82" i="11"/>
  <c r="O86" i="11"/>
  <c r="H149" i="9"/>
  <c r="F2" i="12"/>
  <c r="B9" i="11"/>
  <c r="F93" i="6"/>
  <c r="S93" i="6" s="1"/>
  <c r="S9" i="11" l="1"/>
  <c r="W141" i="9"/>
  <c r="W140" i="9"/>
  <c r="X140" i="9" s="1"/>
  <c r="V149" i="9"/>
  <c r="V133" i="9"/>
  <c r="X133" i="9" s="1"/>
  <c r="Q133" i="9"/>
  <c r="J132" i="9" l="1"/>
  <c r="M132" i="9" s="1"/>
  <c r="N132" i="9" s="1"/>
  <c r="J133" i="9"/>
  <c r="M133" i="9" s="1"/>
  <c r="N133" i="9" s="1"/>
  <c r="AI9" i="11"/>
  <c r="W9" i="1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W181" i="11" s="1"/>
  <c r="J338" i="9"/>
  <c r="M338" i="9" s="1"/>
  <c r="N338" i="9" s="1"/>
  <c r="V181" i="11" s="1"/>
  <c r="W179" i="11" l="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F91" i="6"/>
  <c r="V238" i="9"/>
  <c r="P2" i="12"/>
  <c r="B19" i="11"/>
  <c r="F92" i="6"/>
  <c r="S18" i="11" l="1"/>
  <c r="S19" i="11"/>
  <c r="W236" i="9"/>
  <c r="X236" i="9" s="1"/>
  <c r="W235" i="9"/>
  <c r="X235" i="9" s="1"/>
  <c r="P230" i="9"/>
  <c r="Q230" i="9" s="1"/>
  <c r="P229" i="9"/>
  <c r="Q229" i="9" s="1"/>
  <c r="V229" i="9"/>
  <c r="V230" i="9"/>
  <c r="J235" i="9" l="1"/>
  <c r="M235" i="9" s="1"/>
  <c r="N235" i="9" s="1"/>
  <c r="J236" i="9"/>
  <c r="M236" i="9" s="1"/>
  <c r="N236" i="9" s="1"/>
  <c r="T181" i="11" s="1"/>
  <c r="W230" i="9"/>
  <c r="X230" i="9" s="1"/>
  <c r="W229" i="9"/>
  <c r="X229" i="9" s="1"/>
  <c r="AI18" i="11"/>
  <c r="W18" i="11"/>
  <c r="AI19" i="11"/>
  <c r="W19" i="11"/>
  <c r="T179" i="11" l="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F96" i="6"/>
  <c r="S96" i="6" s="1"/>
  <c r="U115" i="11"/>
  <c r="H231" i="9"/>
  <c r="Q115" i="11"/>
  <c r="H232" i="9"/>
  <c r="V232" i="9" l="1"/>
  <c r="P232" i="9"/>
  <c r="Q232" i="9" s="1"/>
  <c r="P231" i="9"/>
  <c r="Q231" i="9" s="1"/>
  <c r="V231" i="9"/>
  <c r="W238" i="9"/>
  <c r="X238" i="9" s="1"/>
  <c r="W237" i="9"/>
  <c r="X237" i="9" s="1"/>
  <c r="W239" i="9"/>
  <c r="S16" i="11"/>
  <c r="W16" i="11" l="1"/>
  <c r="AI16" i="11"/>
  <c r="J238" i="9"/>
  <c r="M238" i="9" s="1"/>
  <c r="N238" i="9" s="1"/>
  <c r="W232" i="9"/>
  <c r="X232" i="9" s="1"/>
  <c r="W231" i="9"/>
  <c r="X231" i="9" s="1"/>
  <c r="P120" i="11" l="1"/>
  <c r="P121" i="11"/>
  <c r="P119" i="11"/>
  <c r="H244" i="9"/>
  <c r="J231" i="9"/>
  <c r="M231" i="9" s="1"/>
  <c r="N231" i="9" s="1"/>
  <c r="J232" i="9"/>
  <c r="M232" i="9" s="1"/>
  <c r="N232" i="9" s="1"/>
  <c r="Q181" i="11" s="1"/>
  <c r="Q179" i="11" l="1"/>
  <c r="Q180" i="11"/>
  <c r="Q177" i="11"/>
  <c r="Q178" i="11"/>
  <c r="Q175" i="11"/>
  <c r="Q176" i="11"/>
  <c r="Q173" i="11"/>
  <c r="Q174" i="11"/>
  <c r="B8" i="12"/>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J2" i="12"/>
  <c r="B13" i="11"/>
  <c r="F85" i="6"/>
  <c r="S85" i="6" s="1"/>
  <c r="S13" i="11" l="1"/>
  <c r="W234" i="9"/>
  <c r="X234" i="9" s="1"/>
  <c r="W233" i="9"/>
  <c r="X233" i="9" s="1"/>
  <c r="J233" i="9" l="1"/>
  <c r="M233" i="9" s="1"/>
  <c r="N233" i="9" s="1"/>
  <c r="L181" i="11" s="1"/>
  <c r="J234" i="9"/>
  <c r="M234" i="9" s="1"/>
  <c r="N234" i="9" s="1"/>
  <c r="AI13" i="11"/>
  <c r="W13" i="11"/>
  <c r="L179" i="11" l="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F90" i="6"/>
  <c r="S90" i="6" s="1"/>
  <c r="V239" i="9"/>
  <c r="X239" i="9" s="1"/>
  <c r="Q239" i="9"/>
  <c r="J239" i="9" l="1"/>
  <c r="M239" i="9" s="1"/>
  <c r="N239" i="9" s="1"/>
  <c r="J237" i="9"/>
  <c r="M237" i="9" s="1"/>
  <c r="N237" i="9" s="1"/>
  <c r="S8" i="11"/>
  <c r="AI8" i="11" l="1"/>
  <c r="W8" i="11"/>
  <c r="R119" i="1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J353" i="9" s="1"/>
  <c r="M353" i="9" s="1"/>
  <c r="N353" i="9" s="1"/>
  <c r="H359" i="9" s="1"/>
  <c r="W354" i="9"/>
  <c r="X354" i="9" s="1"/>
  <c r="J354" i="9" s="1"/>
  <c r="M354" i="9" s="1"/>
  <c r="N354" i="9" s="1"/>
  <c r="W301" i="9"/>
  <c r="X301" i="9" s="1"/>
  <c r="W300" i="9"/>
  <c r="X300" i="9" s="1"/>
  <c r="V359" i="9" l="1"/>
  <c r="S177" i="11"/>
  <c r="H355" i="9"/>
  <c r="O176" i="11"/>
  <c r="S176" i="11"/>
  <c r="J300" i="9"/>
  <c r="M300" i="9" s="1"/>
  <c r="N300" i="9" s="1"/>
  <c r="J301" i="9"/>
  <c r="M301" i="9" s="1"/>
  <c r="N301" i="9" s="1"/>
  <c r="U181" i="11" s="1"/>
  <c r="U179" i="11" l="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F86" i="6"/>
  <c r="S86" i="6" s="1"/>
  <c r="H357" i="9" l="1"/>
  <c r="J355" i="9"/>
  <c r="M355" i="9" s="1"/>
  <c r="N355" i="9" s="1"/>
  <c r="O177" i="11"/>
  <c r="R177" i="11"/>
  <c r="S17" i="11"/>
  <c r="W303" i="9"/>
  <c r="X303" i="9" s="1"/>
  <c r="W302" i="9"/>
  <c r="X302" i="9" s="1"/>
  <c r="P358" i="9" l="1"/>
  <c r="P359" i="9"/>
  <c r="Q359" i="9" s="1"/>
  <c r="P357" i="9"/>
  <c r="Q357" i="9" s="1"/>
  <c r="H358" i="9"/>
  <c r="V357" i="9"/>
  <c r="J302" i="9"/>
  <c r="M302" i="9" s="1"/>
  <c r="N302" i="9" s="1"/>
  <c r="J303" i="9"/>
  <c r="M303" i="9" s="1"/>
  <c r="N303" i="9" s="1"/>
  <c r="W17" i="11"/>
  <c r="AI17" i="1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W360" i="9"/>
  <c r="X360" i="9" s="1"/>
  <c r="J360" i="9" s="1"/>
  <c r="M360" i="9" s="1"/>
  <c r="N360" i="9" s="1"/>
  <c r="P152" i="11"/>
  <c r="H306" i="9"/>
  <c r="K152" i="11"/>
  <c r="H307" i="9"/>
  <c r="O180" i="11" l="1"/>
  <c r="O181" i="11"/>
  <c r="H362" i="9"/>
  <c r="R179" i="11"/>
  <c r="O179" i="11"/>
  <c r="B6" i="12"/>
  <c r="F84" i="6" s="1"/>
  <c r="S84" i="6" s="1"/>
  <c r="V307" i="9"/>
  <c r="P307" i="9"/>
  <c r="Q307" i="9" s="1"/>
  <c r="V306" i="9"/>
  <c r="P306" i="9"/>
  <c r="Q306" i="9" s="1"/>
  <c r="Q362" i="9" l="1"/>
  <c r="V362" i="9"/>
  <c r="X362" i="9" s="1"/>
  <c r="B11" i="11"/>
  <c r="S11" i="11" s="1"/>
  <c r="AI11" i="11" s="1"/>
  <c r="H2" i="12"/>
  <c r="W306" i="9"/>
  <c r="X306" i="9" s="1"/>
  <c r="W307" i="9"/>
  <c r="X307" i="9" s="1"/>
  <c r="J362" i="9" l="1"/>
  <c r="M362" i="9" s="1"/>
  <c r="N362" i="9" s="1"/>
  <c r="J363" i="9"/>
  <c r="M363" i="9" s="1"/>
  <c r="N363" i="9" s="1"/>
  <c r="S181" i="11" s="1"/>
  <c r="R180" i="11"/>
  <c r="W11" i="11"/>
  <c r="J306" i="9"/>
  <c r="M306" i="9" s="1"/>
  <c r="N306" i="9" s="1"/>
  <c r="J307" i="9"/>
  <c r="M307" i="9" s="1"/>
  <c r="N307" i="9" s="1"/>
  <c r="H365" i="9" l="1"/>
  <c r="B10" i="12"/>
  <c r="S180" i="11"/>
  <c r="K153" i="11"/>
  <c r="H309" i="9"/>
  <c r="P153" i="11"/>
  <c r="H308" i="9"/>
  <c r="V365" i="9" l="1"/>
  <c r="B15" i="11"/>
  <c r="S15" i="11" s="1"/>
  <c r="L2" i="12"/>
  <c r="F83" i="6"/>
  <c r="S83" i="6" s="1"/>
  <c r="P308" i="9"/>
  <c r="Q308" i="9" s="1"/>
  <c r="P309" i="9"/>
  <c r="Q309" i="9" s="1"/>
  <c r="V308" i="9"/>
  <c r="V309" i="9"/>
  <c r="W15" i="11" l="1"/>
  <c r="AI15" i="11"/>
  <c r="W309" i="9"/>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181" i="11" s="1"/>
  <c r="W327" i="9"/>
  <c r="X327" i="9" s="1"/>
  <c r="W326" i="9"/>
  <c r="X326" i="9" s="1"/>
  <c r="N179" i="11" l="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F95" i="6"/>
  <c r="S95" i="6" s="1"/>
  <c r="K163" i="11"/>
  <c r="H330" i="9"/>
  <c r="P163" i="11"/>
  <c r="H329" i="9"/>
  <c r="V330" i="9" l="1"/>
  <c r="S10" i="11"/>
  <c r="P330" i="9"/>
  <c r="Q330" i="9" s="1"/>
  <c r="P329" i="9"/>
  <c r="Q329" i="9" s="1"/>
  <c r="V329" i="9"/>
  <c r="W329" i="9" l="1"/>
  <c r="X329" i="9" s="1"/>
  <c r="W330" i="9"/>
  <c r="X330" i="9" s="1"/>
  <c r="AI10" i="11"/>
  <c r="W10" i="1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K181" i="11" s="1"/>
  <c r="P172" i="11"/>
  <c r="P365" i="9" l="1"/>
  <c r="Q365" i="9" s="1"/>
  <c r="P364" i="9"/>
  <c r="Q364" i="9" s="1"/>
  <c r="V364" i="9"/>
  <c r="K179" i="11"/>
  <c r="K180" i="11"/>
  <c r="K177" i="11"/>
  <c r="K178" i="11"/>
  <c r="K175" i="11"/>
  <c r="K176" i="11"/>
  <c r="K173" i="11"/>
  <c r="K174" i="11"/>
  <c r="B2" i="12"/>
  <c r="K172" i="11"/>
  <c r="W365" i="9" l="1"/>
  <c r="X365" i="9" s="1"/>
  <c r="J365" i="9" s="1"/>
  <c r="M365" i="9" s="1"/>
  <c r="N365" i="9" s="1"/>
  <c r="W364" i="9"/>
  <c r="X364" i="9" s="1"/>
  <c r="J364" i="9" s="1"/>
  <c r="M364" i="9" s="1"/>
  <c r="D2" i="12"/>
  <c r="B7" i="11"/>
  <c r="F88" i="6"/>
  <c r="S88" i="6" s="1"/>
  <c r="H19" i="7" l="1"/>
  <c r="F19" i="7" s="1"/>
  <c r="H18" i="7"/>
  <c r="B18" i="7"/>
  <c r="N364" i="9"/>
  <c r="B19" i="7"/>
  <c r="B9" i="12"/>
  <c r="R181" i="11"/>
  <c r="P181" i="11"/>
  <c r="B7" i="12"/>
  <c r="H17" i="7"/>
  <c r="B17" i="7"/>
  <c r="C18" i="7"/>
  <c r="F18" i="7"/>
  <c r="E18" i="7"/>
  <c r="D18" i="7"/>
  <c r="E19" i="7"/>
  <c r="C19" i="7"/>
  <c r="S7" i="11"/>
  <c r="F87" i="6" l="1"/>
  <c r="S87" i="6" s="1"/>
  <c r="B14" i="11"/>
  <c r="S14" i="11" s="1"/>
  <c r="K2" i="12"/>
  <c r="D19" i="7"/>
  <c r="E17" i="7"/>
  <c r="C17" i="7"/>
  <c r="F17" i="7"/>
  <c r="D17" i="7"/>
  <c r="I2" i="12"/>
  <c r="F89" i="6"/>
  <c r="S89" i="6" s="1"/>
  <c r="C4" i="6" s="1"/>
  <c r="B12" i="11"/>
  <c r="AI7" i="11"/>
  <c r="W7" i="11"/>
  <c r="AI14" i="11" l="1"/>
  <c r="W14" i="11"/>
  <c r="A5" i="2"/>
  <c r="B28" i="7" s="1"/>
  <c r="A6" i="2"/>
  <c r="C3" i="12"/>
  <c r="C8" i="11" s="1"/>
  <c r="AA8" i="11" s="1"/>
  <c r="C10" i="12"/>
  <c r="C15" i="11" s="1"/>
  <c r="AA15" i="11" s="1"/>
  <c r="C8" i="12"/>
  <c r="C13" i="11" s="1"/>
  <c r="AA13" i="11" s="1"/>
  <c r="C2" i="12"/>
  <c r="C7" i="11" s="1"/>
  <c r="AA7" i="11" s="1"/>
  <c r="C9" i="12"/>
  <c r="C14" i="11" s="1"/>
  <c r="AA14" i="11" s="1"/>
  <c r="C7" i="12"/>
  <c r="C12" i="11" s="1"/>
  <c r="C14" i="12"/>
  <c r="C19" i="11" s="1"/>
  <c r="AA19" i="11" s="1"/>
  <c r="C13" i="12"/>
  <c r="C18" i="11" s="1"/>
  <c r="AA18" i="11" s="1"/>
  <c r="C5" i="12"/>
  <c r="C10" i="11" s="1"/>
  <c r="AA10" i="11" s="1"/>
  <c r="C15" i="12"/>
  <c r="C20" i="11" s="1"/>
  <c r="AA20" i="11" s="1"/>
  <c r="C11" i="12"/>
  <c r="C16" i="11" s="1"/>
  <c r="AA16" i="11" s="1"/>
  <c r="C6" i="12"/>
  <c r="C11" i="11" s="1"/>
  <c r="AA11" i="11" s="1"/>
  <c r="C12" i="12"/>
  <c r="C17" i="11" s="1"/>
  <c r="AA17" i="11" s="1"/>
  <c r="C4" i="12"/>
  <c r="C9" i="11" s="1"/>
  <c r="AA9" i="11" s="1"/>
  <c r="S12" i="11"/>
  <c r="D20" i="11"/>
  <c r="L20" i="11" s="1"/>
  <c r="D11" i="11"/>
  <c r="L11" i="11" s="1"/>
  <c r="D9" i="11"/>
  <c r="L9" i="11" s="1"/>
  <c r="E19" i="11"/>
  <c r="E10" i="11"/>
  <c r="D12" i="11"/>
  <c r="L12" i="11" s="1"/>
  <c r="E9" i="11"/>
  <c r="D14" i="11"/>
  <c r="L14" i="11" s="1"/>
  <c r="E14" i="11"/>
  <c r="D7" i="11"/>
  <c r="L7" i="11" s="1"/>
  <c r="E18" i="11"/>
  <c r="E17" i="11"/>
  <c r="D18" i="11"/>
  <c r="L18" i="11" s="1"/>
  <c r="D17" i="11"/>
  <c r="L17" i="11" s="1"/>
  <c r="B17" i="8"/>
  <c r="D8" i="11"/>
  <c r="L8" i="11" s="1"/>
  <c r="D15" i="11"/>
  <c r="L15" i="11" s="1"/>
  <c r="A5" i="8"/>
  <c r="D16" i="11"/>
  <c r="L16" i="11" s="1"/>
  <c r="E8" i="11"/>
  <c r="E15" i="11"/>
  <c r="C17" i="8"/>
  <c r="E11" i="11"/>
  <c r="D10" i="11"/>
  <c r="L10" i="11" s="1"/>
  <c r="D18" i="8"/>
  <c r="D19" i="11"/>
  <c r="L19" i="11" s="1"/>
  <c r="E7" i="11"/>
  <c r="D19" i="8"/>
  <c r="E16" i="11"/>
  <c r="C19" i="8"/>
  <c r="E13" i="11"/>
  <c r="B19" i="8"/>
  <c r="D13" i="11"/>
  <c r="L13" i="11" s="1"/>
  <c r="C18" i="8"/>
  <c r="B18" i="8"/>
  <c r="E20" i="11"/>
  <c r="E12" i="11"/>
  <c r="B15" i="4" s="1"/>
  <c r="AA12" i="11" l="1"/>
  <c r="B28" i="4" s="1"/>
  <c r="B12" i="4"/>
  <c r="A8" i="8"/>
  <c r="W12" i="11"/>
  <c r="B24" i="4" s="1"/>
  <c r="AI12" i="11"/>
  <c r="B11" i="3" l="1"/>
  <c r="B17" i="3"/>
  <c r="B13" i="3"/>
  <c r="B5" i="3"/>
  <c r="B7" i="3"/>
  <c r="B12" i="3"/>
  <c r="B18" i="3"/>
  <c r="B10" i="3"/>
  <c r="B14" i="3"/>
  <c r="B16" i="3"/>
  <c r="B8" i="3"/>
  <c r="B6" i="3"/>
  <c r="B9" i="3"/>
  <c r="B15" i="3"/>
  <c r="O15" i="3" l="1"/>
  <c r="M15" i="3"/>
  <c r="P15" i="3"/>
  <c r="I15" i="3"/>
  <c r="E15" i="3"/>
  <c r="D15" i="3"/>
  <c r="H15" i="3"/>
  <c r="T15" i="3"/>
  <c r="X15" i="3"/>
  <c r="R15" i="3"/>
  <c r="K15" i="3"/>
  <c r="Y18" i="11" s="1"/>
  <c r="S15" i="3"/>
  <c r="J15" i="3"/>
  <c r="V15" i="3"/>
  <c r="C15" i="3"/>
  <c r="U15" i="3" s="1"/>
  <c r="Q15" i="3"/>
  <c r="H9" i="3"/>
  <c r="X9" i="3"/>
  <c r="E9" i="3"/>
  <c r="C9" i="3"/>
  <c r="U9" i="3" s="1"/>
  <c r="V9" i="3"/>
  <c r="P9" i="3"/>
  <c r="O9" i="3"/>
  <c r="D9" i="3"/>
  <c r="Q9" i="3"/>
  <c r="M9" i="3"/>
  <c r="I9" i="3"/>
  <c r="K9" i="3"/>
  <c r="Y17" i="11" s="1"/>
  <c r="J9" i="3"/>
  <c r="S9" i="3"/>
  <c r="R9" i="3"/>
  <c r="T9" i="3"/>
  <c r="I6" i="3"/>
  <c r="H6" i="3"/>
  <c r="X6" i="3"/>
  <c r="Q6" i="3"/>
  <c r="M6" i="3"/>
  <c r="E6" i="3"/>
  <c r="D6" i="3"/>
  <c r="T6" i="3"/>
  <c r="V6" i="3"/>
  <c r="C6" i="3"/>
  <c r="U6" i="3" s="1"/>
  <c r="P6" i="3"/>
  <c r="S6" i="3"/>
  <c r="O6" i="3"/>
  <c r="J6" i="3"/>
  <c r="R6" i="3"/>
  <c r="K6" i="3"/>
  <c r="P8" i="3"/>
  <c r="O8" i="3"/>
  <c r="E8" i="3"/>
  <c r="D8" i="3"/>
  <c r="M8" i="3"/>
  <c r="V8" i="3"/>
  <c r="Q8" i="3"/>
  <c r="K8" i="3"/>
  <c r="Y11" i="11" s="1"/>
  <c r="J8" i="3"/>
  <c r="I8" i="3"/>
  <c r="C8" i="3"/>
  <c r="U8" i="3" s="1"/>
  <c r="S8" i="3"/>
  <c r="R8" i="3"/>
  <c r="T8" i="3"/>
  <c r="H8" i="3"/>
  <c r="X8" i="3"/>
  <c r="X16" i="3"/>
  <c r="E16" i="3"/>
  <c r="M16" i="3"/>
  <c r="K16" i="3"/>
  <c r="AE20" i="11" s="1"/>
  <c r="V16" i="3"/>
  <c r="P16" i="3"/>
  <c r="I16" i="3"/>
  <c r="D16" i="3"/>
  <c r="C16" i="3"/>
  <c r="U16" i="3" s="1"/>
  <c r="T16" i="3"/>
  <c r="Q16" i="3"/>
  <c r="O16" i="3"/>
  <c r="S16" i="3"/>
  <c r="J16" i="3"/>
  <c r="R16" i="3"/>
  <c r="H16" i="3"/>
  <c r="Q14" i="3"/>
  <c r="P14" i="3"/>
  <c r="O14" i="3"/>
  <c r="R14" i="3"/>
  <c r="M14" i="3"/>
  <c r="K14" i="3"/>
  <c r="T14" i="3"/>
  <c r="S14" i="3"/>
  <c r="X14" i="3"/>
  <c r="C14" i="3"/>
  <c r="U14" i="3" s="1"/>
  <c r="V14" i="3"/>
  <c r="J14" i="3"/>
  <c r="I14" i="3"/>
  <c r="H14" i="3"/>
  <c r="E14" i="3"/>
  <c r="D14" i="3"/>
  <c r="AD14" i="11" s="1"/>
  <c r="D10" i="3"/>
  <c r="T10" i="3"/>
  <c r="Q10" i="3"/>
  <c r="X10" i="3"/>
  <c r="P10" i="3"/>
  <c r="H10" i="3"/>
  <c r="O10" i="3"/>
  <c r="S10" i="3"/>
  <c r="C10" i="3"/>
  <c r="U10" i="3" s="1"/>
  <c r="R10" i="3"/>
  <c r="I10" i="3"/>
  <c r="V10" i="3"/>
  <c r="M10" i="3"/>
  <c r="K10" i="3"/>
  <c r="Y19" i="11" s="1"/>
  <c r="J10" i="3"/>
  <c r="E10" i="3"/>
  <c r="O18" i="3"/>
  <c r="M18" i="3"/>
  <c r="K18" i="3"/>
  <c r="Y16" i="11" s="1"/>
  <c r="C18" i="3"/>
  <c r="U18" i="3" s="1"/>
  <c r="J18" i="3"/>
  <c r="E18" i="3"/>
  <c r="I18" i="3"/>
  <c r="H18" i="3"/>
  <c r="S18" i="3"/>
  <c r="X18" i="3"/>
  <c r="T18" i="3"/>
  <c r="D18" i="3"/>
  <c r="R18" i="3"/>
  <c r="V18" i="3"/>
  <c r="Q18" i="3"/>
  <c r="P18" i="3"/>
  <c r="K12" i="3"/>
  <c r="J12" i="3"/>
  <c r="I12" i="3"/>
  <c r="H12" i="3"/>
  <c r="E12" i="3"/>
  <c r="O12" i="3"/>
  <c r="X12" i="3"/>
  <c r="V12" i="3"/>
  <c r="Q12" i="3"/>
  <c r="S12" i="3"/>
  <c r="C12" i="3"/>
  <c r="U12" i="3" s="1"/>
  <c r="R12" i="3"/>
  <c r="T12" i="3"/>
  <c r="P12" i="3"/>
  <c r="M12" i="3"/>
  <c r="D12" i="3"/>
  <c r="S7" i="3"/>
  <c r="R7" i="3"/>
  <c r="H7" i="3"/>
  <c r="Q7" i="3"/>
  <c r="P7" i="3"/>
  <c r="T7" i="3"/>
  <c r="O7" i="3"/>
  <c r="K7" i="3"/>
  <c r="J7" i="3"/>
  <c r="M7" i="3"/>
  <c r="E7" i="3"/>
  <c r="I7" i="3"/>
  <c r="V7" i="3"/>
  <c r="X7" i="3"/>
  <c r="D7" i="3"/>
  <c r="AD12" i="11" s="1"/>
  <c r="C7" i="3"/>
  <c r="U7" i="3" s="1"/>
  <c r="P5" i="3"/>
  <c r="R5" i="3"/>
  <c r="O5" i="3"/>
  <c r="M5" i="3"/>
  <c r="I5" i="3"/>
  <c r="H5" i="3"/>
  <c r="X5" i="3"/>
  <c r="C5" i="3"/>
  <c r="K5" i="3"/>
  <c r="B5" i="4"/>
  <c r="V5" i="3"/>
  <c r="J5" i="3"/>
  <c r="E5" i="3"/>
  <c r="S5" i="3"/>
  <c r="Q5" i="3"/>
  <c r="T5" i="3"/>
  <c r="D5" i="3"/>
  <c r="C13" i="3"/>
  <c r="U13" i="3" s="1"/>
  <c r="T13" i="3"/>
  <c r="S13" i="3"/>
  <c r="R13" i="3"/>
  <c r="Q13" i="3"/>
  <c r="X13" i="3"/>
  <c r="K13" i="3"/>
  <c r="Y8" i="11" s="1"/>
  <c r="E13" i="3"/>
  <c r="D13" i="3"/>
  <c r="J13" i="3"/>
  <c r="P13" i="3"/>
  <c r="O13" i="3"/>
  <c r="H13" i="3"/>
  <c r="M13" i="3"/>
  <c r="I13" i="3"/>
  <c r="V13" i="3"/>
  <c r="S17" i="3"/>
  <c r="T17" i="3"/>
  <c r="R17" i="3"/>
  <c r="J17" i="3"/>
  <c r="C17" i="3"/>
  <c r="U17" i="3" s="1"/>
  <c r="Q17" i="3"/>
  <c r="E17" i="3"/>
  <c r="P17" i="3"/>
  <c r="O17" i="3"/>
  <c r="M17" i="3"/>
  <c r="V17" i="3"/>
  <c r="D17" i="3"/>
  <c r="K17" i="3"/>
  <c r="AE10" i="11" s="1"/>
  <c r="I17" i="3"/>
  <c r="H17" i="3"/>
  <c r="X17" i="3"/>
  <c r="AD19" i="11"/>
  <c r="Q11" i="3"/>
  <c r="P11" i="3"/>
  <c r="C11" i="3"/>
  <c r="U11" i="3" s="1"/>
  <c r="O11" i="3"/>
  <c r="D11" i="3"/>
  <c r="M11" i="3"/>
  <c r="H11" i="3"/>
  <c r="I11" i="3"/>
  <c r="K11" i="3"/>
  <c r="J11" i="3"/>
  <c r="T11" i="3"/>
  <c r="R11" i="3"/>
  <c r="X11" i="3"/>
  <c r="E11" i="3"/>
  <c r="V11" i="3"/>
  <c r="S11" i="3"/>
  <c r="AE12" i="11" l="1"/>
  <c r="Y13" i="11"/>
  <c r="AE14" i="11"/>
  <c r="AD8" i="11"/>
  <c r="AE9" i="11"/>
  <c r="AE7" i="11"/>
  <c r="T2" i="3"/>
  <c r="AE18" i="11"/>
  <c r="AE11" i="11"/>
  <c r="B11" i="4"/>
  <c r="L7" i="3"/>
  <c r="G7" i="3"/>
  <c r="F7" i="3"/>
  <c r="B8" i="4" s="1"/>
  <c r="L10" i="3"/>
  <c r="G10" i="3"/>
  <c r="X19" i="11" s="1"/>
  <c r="AB19" i="11" s="1"/>
  <c r="F10" i="3"/>
  <c r="AD11" i="11"/>
  <c r="L6" i="3"/>
  <c r="G6" i="3"/>
  <c r="F6" i="3"/>
  <c r="G12" i="3"/>
  <c r="F12" i="3"/>
  <c r="L12" i="3"/>
  <c r="L13" i="3"/>
  <c r="G13" i="3"/>
  <c r="X8" i="11" s="1"/>
  <c r="AB8" i="11" s="1"/>
  <c r="F13" i="3"/>
  <c r="AE19" i="11"/>
  <c r="L9" i="3"/>
  <c r="F9" i="3"/>
  <c r="G9" i="3"/>
  <c r="X17" i="11" s="1"/>
  <c r="AB17" i="11" s="1"/>
  <c r="AD17" i="11"/>
  <c r="Y15" i="11"/>
  <c r="C22" i="7"/>
  <c r="B22" i="7"/>
  <c r="B31" i="7"/>
  <c r="AE15" i="11"/>
  <c r="F14" i="3"/>
  <c r="L14" i="3"/>
  <c r="G14" i="3"/>
  <c r="AD9" i="11"/>
  <c r="Y7" i="11"/>
  <c r="Y9" i="11"/>
  <c r="N9" i="3"/>
  <c r="N12" i="3"/>
  <c r="N14" i="3"/>
  <c r="N10" i="3"/>
  <c r="U5" i="3"/>
  <c r="N7" i="3"/>
  <c r="N18" i="3"/>
  <c r="N5" i="3"/>
  <c r="N16" i="3"/>
  <c r="N6" i="3"/>
  <c r="N15" i="3"/>
  <c r="B33" i="7"/>
  <c r="N13" i="3"/>
  <c r="N11" i="3"/>
  <c r="N8" i="3"/>
  <c r="N17" i="3"/>
  <c r="AD16" i="11"/>
  <c r="G18" i="3"/>
  <c r="X16" i="11" s="1"/>
  <c r="AB16" i="11" s="1"/>
  <c r="F18" i="3"/>
  <c r="L18" i="3"/>
  <c r="Y20" i="11"/>
  <c r="AD13" i="11"/>
  <c r="G8" i="3"/>
  <c r="X11" i="11" s="1"/>
  <c r="AB11" i="11" s="1"/>
  <c r="F8" i="3"/>
  <c r="L8" i="3"/>
  <c r="AE13" i="11"/>
  <c r="B10" i="4"/>
  <c r="AD18" i="11"/>
  <c r="F15" i="3"/>
  <c r="L15" i="3"/>
  <c r="G15" i="3"/>
  <c r="X18" i="11" s="1"/>
  <c r="AB18" i="11" s="1"/>
  <c r="AE8" i="11"/>
  <c r="Y12" i="11"/>
  <c r="B26" i="4" s="1"/>
  <c r="AD7" i="11"/>
  <c r="AE16" i="11"/>
  <c r="Y10" i="11"/>
  <c r="B6" i="4"/>
  <c r="AD10" i="11"/>
  <c r="G17" i="3"/>
  <c r="X10" i="11" s="1"/>
  <c r="F17" i="3"/>
  <c r="L17" i="3"/>
  <c r="G11" i="3"/>
  <c r="F11" i="3"/>
  <c r="L11" i="3"/>
  <c r="AD15" i="11"/>
  <c r="B21" i="7"/>
  <c r="G5" i="3"/>
  <c r="X15" i="11" s="1"/>
  <c r="F5" i="3"/>
  <c r="L5" i="3"/>
  <c r="C21" i="7"/>
  <c r="F21" i="7" s="1"/>
  <c r="A10" i="8"/>
  <c r="B30" i="7"/>
  <c r="Y14" i="11"/>
  <c r="AD20" i="11"/>
  <c r="AF20" i="11" s="1"/>
  <c r="G16" i="3"/>
  <c r="X20" i="11" s="1"/>
  <c r="F16" i="3"/>
  <c r="L16" i="3"/>
  <c r="AE17" i="11"/>
  <c r="B16" i="4" l="1"/>
  <c r="AB20" i="11"/>
  <c r="AF11" i="11"/>
  <c r="W8" i="3" s="1"/>
  <c r="X13" i="11"/>
  <c r="AB13" i="11" s="1"/>
  <c r="AB10" i="11"/>
  <c r="AF10" i="11" s="1"/>
  <c r="W17" i="3" s="1"/>
  <c r="X14" i="11"/>
  <c r="AF19" i="11"/>
  <c r="W10" i="3" s="1"/>
  <c r="X9" i="11"/>
  <c r="AB9" i="11" s="1"/>
  <c r="AF9" i="11" s="1"/>
  <c r="AF16" i="11"/>
  <c r="W18" i="3" s="1"/>
  <c r="AB15" i="11"/>
  <c r="AF15" i="11" s="1"/>
  <c r="W5" i="3" s="1"/>
  <c r="AF17" i="11"/>
  <c r="W9" i="3" s="1"/>
  <c r="X7" i="11"/>
  <c r="AB7" i="11" s="1"/>
  <c r="AF7" i="11" s="1"/>
  <c r="AB14" i="11"/>
  <c r="AF14" i="11" s="1"/>
  <c r="W14" i="3" s="1"/>
  <c r="AF13" i="11"/>
  <c r="B9" i="4"/>
  <c r="X12" i="11"/>
  <c r="A3" i="3"/>
  <c r="AF18" i="11"/>
  <c r="W15" i="3" s="1"/>
  <c r="AF8" i="11"/>
  <c r="W13" i="3" l="1"/>
  <c r="W12" i="3"/>
  <c r="B25" i="4"/>
  <c r="AB12" i="11"/>
  <c r="W16" i="3"/>
  <c r="W11" i="3"/>
  <c r="B23" i="4" l="1"/>
  <c r="AF12" i="11"/>
  <c r="W6" i="3" l="1"/>
  <c r="B7" i="4"/>
  <c r="W7" i="3"/>
</calcChain>
</file>

<file path=xl/sharedStrings.xml><?xml version="1.0" encoding="utf-8"?>
<sst xmlns="http://schemas.openxmlformats.org/spreadsheetml/2006/main" count="2043" uniqueCount="450">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</sst>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3</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447</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448</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449</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O5" activePane="bottomRight" state="frozen"/>
      <selection pane="topRight" activeCell="D1" sqref="D1"/>
      <selection pane="bottomLeft" activeCell="A5" sqref="A5"/>
      <selection pane="bottomRight" activeCell="C23" sqref="C23"/>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157  ·  12 Jul 2026</v>
      </c>
      <c r="T2" s="44" t="str">
        <f>IF(COUNTIF($T$5:$T$18,"At risk")+COUNTIF($T$5:$T$18,"Inactive")=0,"Inactivity watch:  all players active ✓","⚠ Inactivity watch:  "&amp;(COUNTIF($T$5:$T$18,"At risk")+COUNTIF($T$5:$T$18,"Inactive"))&amp;" player(s) need a game — see Activity column")</f>
        <v>⚠ Inactivity watch:  4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 t="shared" ref="A5:A18" si="0">ROW()-4</f>
        <v>1</v>
      </c>
      <c r="B5" s="47" t="str">
        <f>IFERROR(INDEX(Calcs!$A$7:$A$20,MATCH(LARGE(Calcs!$AI$7:$AI$20,ROW()-4),Calcs!$AI$7:$AI$20,0)),"")</f>
        <v>Dean B</v>
      </c>
      <c r="C5" s="48">
        <f>INDEX(Engine!$B$2:$B$15,MATCH($B5,Engine!$A$2:$A$15,0))+SUMIF('Poker Stake Ledger'!$C$18:$C$137,$B5,'Poker Stake Ledger'!$K$18:$K$137)</f>
        <v>1241.7029363250533</v>
      </c>
      <c r="D5" s="49">
        <f>COUNTIF('Match Log'!$D$4:$D$810,$B5)</f>
        <v>29</v>
      </c>
      <c r="E5" s="49">
        <f>COUNTIFS('Match Log'!$D$4:$D$810,$B5,'Match Log'!$E$4:$E$810,"Win")</f>
        <v>20</v>
      </c>
      <c r="F5" s="49">
        <f t="shared" ref="F5:F18" si="1">$D5-$E5</f>
        <v>9</v>
      </c>
      <c r="G5" s="50">
        <f t="shared" ref="G5:G18" si="2">IF($D5=0,"",$E5/$D5)</f>
        <v>0.68965517241379315</v>
      </c>
      <c r="H5" s="51">
        <f>SUMIF('Match Log'!$D$4:$D$810,$B5,'Match Log'!$J$4:$J$810)</f>
        <v>129.333162440519</v>
      </c>
      <c r="I5" s="51">
        <f>SUMIF('Match Log'!$D$4:$D$810,$B5,'Match Log'!$K$4:$K$810)</f>
        <v>77.369773884534624</v>
      </c>
      <c r="J5" s="51">
        <f>SUMIF('Match Log'!$D$4:$D$810,$B5,'Match Log'!$L$4:$L$810)</f>
        <v>35</v>
      </c>
      <c r="K5" s="49">
        <f>SUMPRODUCT(--(COUNTIFS('Match Log'!$D$4:$D$810,$B5,'Match Log'!$C$4:$C$810,Lists!$C$2:$C$24)&gt;0))</f>
        <v>5</v>
      </c>
      <c r="L5" s="49" t="str">
        <f>IF($D5=0,"No games",IF(AND($D5&gt;='Guide &amp; Settings'!$C$45,$K5&gt;='Guide &amp; Settings'!$C$46),"Eligible","Provisional"))</f>
        <v>Eligible</v>
      </c>
      <c r="M5" s="48">
        <f>IFERROR(INDEX(Calcs!$C$7:$C$20,MATCH($B5,Calcs!$A$7:$A$20,0)),"")</f>
        <v>1041.8083589352211</v>
      </c>
      <c r="N5" s="48">
        <f t="shared" ref="N5:N18" si="3">MAX($C$5:$C$18)-$C5</f>
        <v>0</v>
      </c>
      <c r="O5" s="49" t="str">
        <f>IFERROR(INDEX(Calcs!$H$7:$H$20,MATCH($B5,Calcs!$A$7:$A$20,0)),"")</f>
        <v>W1</v>
      </c>
      <c r="P5" s="49" t="str">
        <f>IFERROR(INDEX(Calcs!$I$7:$I$20,MATCH($B5,Calcs!$A$7:$A$20,0)),"")</f>
        <v>WWWLW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12 Jul</v>
      </c>
      <c r="S5" s="49">
        <f>IFERROR(ROUND(INDEX(Calcs!$Q$7:$Q$20,MATCH($B5,Calcs!$A$7:$A$20,0)),1),"")</f>
        <v>0</v>
      </c>
      <c r="T5" s="49" t="str">
        <f>IFERROR(INDEX(Calcs!$T$7:$T$20,MATCH($B5,Calcs!$A$7:$A$20,0)),"")</f>
        <v>Active</v>
      </c>
      <c r="U5">
        <f>IFERROR(MAX(0,ROUND($C5-INDEX(Calcs!$S$7:$S$20,MATCH($B5,Calcs!$A$7:$A$20,0)),0)),0)</f>
        <v>0</v>
      </c>
      <c r="V5" s="51">
        <f>IFERROR(ROUND(INDEX(Calcs!$S$7:$S$20,MATCH($B5,Calcs!$A$7:$A$20,0)),0),"")</f>
        <v>1242</v>
      </c>
      <c r="W5" s="49" t="str">
        <f>IFERROR(INDEX(Calcs!$AF$7:$AF$20,MATCH($B5,Calcs!$A$7:$A$20,0)),"")</f>
        <v>Elite</v>
      </c>
      <c r="X5" s="51">
        <f>IFERROR(ROUND(SUMIF('Poker Stake Ledger'!$C$18:$C$137,$B5,'Poker Stake Ledger'!$K$18:$K$137),1),0)</f>
        <v>0</v>
      </c>
    </row>
    <row r="6" spans="1:24" ht="15" customHeight="1" x14ac:dyDescent="0.2">
      <c r="A6" s="46">
        <f t="shared" si="0"/>
        <v>2</v>
      </c>
      <c r="B6" s="47" t="str">
        <f>IFERROR(INDEX(Calcs!$A$7:$A$20,MATCH(LARGE(Calcs!$AI$7:$AI$20,ROW()-4),Calcs!$AI$7:$AI$20,0)),"")</f>
        <v>Shawn</v>
      </c>
      <c r="C6" s="48">
        <f>INDEX(Engine!$B$2:$B$15,MATCH($B6,Engine!$A$2:$A$15,0))+SUMIF('Poker Stake Ledger'!$C$18:$C$137,$B6,'Poker Stake Ledger'!$K$18:$K$137)</f>
        <v>1124.7994137993414</v>
      </c>
      <c r="D6" s="49">
        <f>COUNTIF('Match Log'!$D$4:$D$810,$B6)</f>
        <v>71</v>
      </c>
      <c r="E6" s="49">
        <f>COUNTIFS('Match Log'!$D$4:$D$810,$B6,'Match Log'!$E$4:$E$810,"Win")</f>
        <v>34</v>
      </c>
      <c r="F6" s="49">
        <f t="shared" si="1"/>
        <v>37</v>
      </c>
      <c r="G6" s="50">
        <f t="shared" si="2"/>
        <v>0.47887323943661969</v>
      </c>
      <c r="H6" s="51">
        <f>SUMIF('Match Log'!$D$4:$D$810,$B6,'Match Log'!$J$4:$J$810)</f>
        <v>68.37433424825916</v>
      </c>
      <c r="I6" s="51">
        <f>SUMIF('Match Log'!$D$4:$D$810,$B6,'Match Log'!$K$4:$K$810)</f>
        <v>8.4250795510823568</v>
      </c>
      <c r="J6" s="51">
        <f>SUMIF('Match Log'!$D$4:$D$810,$B6,'Match Log'!$L$4:$L$810)</f>
        <v>48</v>
      </c>
      <c r="K6" s="49">
        <f>SUMPRODUCT(--(COUNTIFS('Match Log'!$D$4:$D$810,$B6,'Match Log'!$C$4:$C$810,Lists!$C$2:$C$24)&gt;0))</f>
        <v>10</v>
      </c>
      <c r="L6" s="49" t="str">
        <f>IF($D6=0,"No games",IF(AND($D6&gt;='Guide &amp; Settings'!$C$45,$K6&gt;='Guide &amp; Settings'!$C$46),"Eligible","Provisional"))</f>
        <v>Eligible</v>
      </c>
      <c r="M6" s="48">
        <f>IFERROR(INDEX(Calcs!$C$7:$C$20,MATCH($B6,Calcs!$A$7:$A$20,0)),"")</f>
        <v>1049.1850649520352</v>
      </c>
      <c r="N6" s="48">
        <f t="shared" si="3"/>
        <v>116.90352252571188</v>
      </c>
      <c r="O6" s="49" t="str">
        <f>IFERROR(INDEX(Calcs!$H$7:$H$20,MATCH($B6,Calcs!$A$7:$A$20,0)),"")</f>
        <v>W4</v>
      </c>
      <c r="P6" s="49" t="str">
        <f>IFERROR(INDEX(Calcs!$I$7:$I$20,MATCH($B6,Calcs!$A$7:$A$20,0)),"")</f>
        <v>LWWWW</v>
      </c>
      <c r="Q6" s="49" t="str">
        <f>IFERROR(IF(INDEX(Calcs!$L$7:$L$20,MATCH($B6,Calcs!$A$7:$A$20,0))&gt;0,"▲"&amp;INDEX(Calcs!$L$7:$L$20,MATCH($B6,Calcs!$A$7:$A$20,0)),IF(INDEX(Calcs!$L$7:$L$20,MATCH($B6,Calcs!$A$7:$A$20,0))&lt;0,"▼"&amp;ABS(INDEX(Calcs!$L$7:$L$20,MATCH($B6,Calcs!$A$7:$A$20,0))),"–")),"")</f>
        <v>▲10</v>
      </c>
      <c r="R6" s="49" t="str">
        <f>IFERROR(IF(INDEX(Calcs!$P$7:$P$20,MATCH($B6,Calcs!$A$7:$A$20,0))=0,"—",TEXT(INDEX(Calcs!$P$7:$P$20,MATCH($B6,Calcs!$A$7:$A$20,0)),"d mmm")),"")</f>
        <v>12 Jul</v>
      </c>
      <c r="S6" s="49">
        <f>IFERROR(ROUND(INDEX(Calcs!$Q$7:$Q$20,MATCH($B6,Calcs!$A$7:$A$20,0)),1),"")</f>
        <v>0</v>
      </c>
      <c r="T6" s="49" t="str">
        <f>IFERROR(INDEX(Calcs!$T$7:$T$20,MATCH($B6,Calcs!$A$7:$A$20,0)),"")</f>
        <v>Active</v>
      </c>
      <c r="U6">
        <f>IFERROR(MAX(0,ROUND($C6-INDEX(Calcs!$S$7:$S$20,MATCH($B6,Calcs!$A$7:$A$20,0)),0)),0)</f>
        <v>0</v>
      </c>
      <c r="V6" s="51">
        <f>IFERROR(ROUND(INDEX(Calcs!$S$7:$S$20,MATCH($B6,Calcs!$A$7:$A$20,0)),0),"")</f>
        <v>1125</v>
      </c>
      <c r="W6" s="49" t="str">
        <f>IFERROR(INDEX(Calcs!$AF$7:$AF$20,MATCH($B6,Calcs!$A$7:$A$20,0)),"")</f>
        <v>Elite</v>
      </c>
      <c r="X6" s="51">
        <f>IFERROR(ROUND(SUMIF('Poker Stake Ledger'!$C$18:$C$137,$B6,'Poker Stake Ledger'!$K$18:$K$137),1),0)</f>
        <v>0</v>
      </c>
    </row>
    <row r="7" spans="1:24" ht="15" customHeight="1" x14ac:dyDescent="0.2">
      <c r="A7" s="46">
        <f t="shared" si="0"/>
        <v>3</v>
      </c>
      <c r="B7" s="47" t="str">
        <f>IFERROR(INDEX(Calcs!$A$7:$A$20,MATCH(LARGE(Calcs!$AI$7:$AI$20,ROW()-4),Calcs!$AI$7:$AI$20,0)),"")</f>
        <v>Simon</v>
      </c>
      <c r="C7" s="48">
        <f>INDEX(Engine!$B$2:$B$15,MATCH($B7,Engine!$A$2:$A$15,0))+SUMIF('Poker Stake Ledger'!$C$18:$C$137,$B7,'Poker Stake Ledger'!$K$18:$K$137)</f>
        <v>1085.4901250893295</v>
      </c>
      <c r="D7" s="49">
        <f>COUNTIF('Match Log'!$D$4:$D$810,$B7)</f>
        <v>17</v>
      </c>
      <c r="E7" s="49">
        <f>COUNTIFS('Match Log'!$D$4:$D$810,$B7,'Match Log'!$E$4:$E$810,"Win")</f>
        <v>10</v>
      </c>
      <c r="F7" s="49">
        <f t="shared" si="1"/>
        <v>7</v>
      </c>
      <c r="G7" s="50">
        <f t="shared" si="2"/>
        <v>0.58823529411764708</v>
      </c>
      <c r="H7" s="51">
        <f>SUMIF('Match Log'!$D$4:$D$810,$B7,'Match Log'!$J$4:$J$810)</f>
        <v>20.579760747661652</v>
      </c>
      <c r="I7" s="51">
        <f>SUMIF('Match Log'!$D$4:$D$810,$B7,'Match Log'!$K$4:$K$810)</f>
        <v>28.910364341667837</v>
      </c>
      <c r="J7" s="51">
        <f>SUMIF('Match Log'!$D$4:$D$810,$B7,'Match Log'!$L$4:$L$810)</f>
        <v>36</v>
      </c>
      <c r="K7" s="49">
        <f>SUMPRODUCT(--(COUNTIFS('Match Log'!$D$4:$D$810,$B7,'Match Log'!$C$4:$C$810,Lists!$C$2:$C$24)&gt;0))</f>
        <v>4</v>
      </c>
      <c r="L7" s="49" t="str">
        <f>IF($D7=0,"No games",IF(AND($D7&gt;='Guide &amp; Settings'!$C$45,$K7&gt;='Guide &amp; Settings'!$C$46),"Eligible","Provisional"))</f>
        <v>Eligible</v>
      </c>
      <c r="M7" s="48">
        <f>IFERROR(INDEX(Calcs!$C$7:$C$20,MATCH($B7,Calcs!$A$7:$A$20,0)),"")</f>
        <v>1054.2347369690626</v>
      </c>
      <c r="N7" s="48">
        <f t="shared" si="3"/>
        <v>156.21281123572385</v>
      </c>
      <c r="O7" s="49" t="str">
        <f>IFERROR(INDEX(Calcs!$H$7:$H$20,MATCH($B7,Calcs!$A$7:$A$20,0)),"")</f>
        <v>L3</v>
      </c>
      <c r="P7" s="49" t="str">
        <f>IFERROR(INDEX(Calcs!$I$7:$I$20,MATCH($B7,Calcs!$A$7:$A$20,0)),"")</f>
        <v>WWLLL</v>
      </c>
      <c r="Q7" s="49" t="str">
        <f>IFERROR(IF(INDEX(Calcs!$L$7:$L$20,MATCH($B7,Calcs!$A$7:$A$20,0))&gt;0,"▲"&amp;INDEX(Calcs!$L$7:$L$20,MATCH($B7,Calcs!$A$7:$A$20,0)),IF(INDEX(Calcs!$L$7:$L$20,MATCH($B7,Calcs!$A$7:$A$20,0))&lt;0,"▼"&amp;ABS(INDEX(Calcs!$L$7:$L$20,MATCH($B7,Calcs!$A$7:$A$20,0))),"–")),"")</f>
        <v>▲2</v>
      </c>
      <c r="R7" s="49" t="str">
        <f>IFERROR(IF(INDEX(Calcs!$P$7:$P$20,MATCH($B7,Calcs!$A$7:$A$20,0))=0,"—",TEXT(INDEX(Calcs!$P$7:$P$20,MATCH($B7,Calcs!$A$7:$A$20,0)),"d mmm")),"")</f>
        <v>15 Jun</v>
      </c>
      <c r="S7" s="49">
        <f>IFERROR(ROUND(INDEX(Calcs!$Q$7:$Q$20,MATCH($B7,Calcs!$A$7:$A$20,0)),1),"")</f>
        <v>3.9</v>
      </c>
      <c r="T7" s="49" t="str">
        <f>IFERROR(INDEX(Calcs!$T$7:$T$20,MATCH($B7,Calcs!$A$7:$A$20,0)),"")</f>
        <v>At risk</v>
      </c>
      <c r="U7">
        <f>IFERROR(MAX(0,ROUND($C7-INDEX(Calcs!$S$7:$S$20,MATCH($B7,Calcs!$A$7:$A$20,0)),0)),0)</f>
        <v>0</v>
      </c>
      <c r="V7" s="51">
        <f>IFERROR(ROUND(INDEX(Calcs!$S$7:$S$20,MATCH($B7,Calcs!$A$7:$A$20,0)),0),"")</f>
        <v>1085</v>
      </c>
      <c r="W7" s="49" t="str">
        <f>IFERROR(INDEX(Calcs!$AF$7:$AF$20,MATCH($B7,Calcs!$A$7:$A$20,0)),"")</f>
        <v>Strong</v>
      </c>
      <c r="X7" s="51">
        <f>IFERROR(ROUND(SUMIF('Poker Stake Ledger'!$C$18:$C$137,$B7,'Poker Stake Ledger'!$K$18:$K$137),1),0)</f>
        <v>0</v>
      </c>
    </row>
    <row r="8" spans="1:24" ht="15" customHeight="1" x14ac:dyDescent="0.2">
      <c r="A8" s="46">
        <f t="shared" si="0"/>
        <v>4</v>
      </c>
      <c r="B8" s="47" t="str">
        <f>IFERROR(INDEX(Calcs!$A$7:$A$20,MATCH(LARGE(Calcs!$AI$7:$AI$20,ROW()-4),Calcs!$AI$7:$AI$20,0)),"")</f>
        <v>Josh</v>
      </c>
      <c r="C8" s="48">
        <f>INDEX(Engine!$B$2:$B$15,MATCH($B8,Engine!$A$2:$A$15,0))+SUMIF('Poker Stake Ledger'!$C$18:$C$137,$B8,'Poker Stake Ledger'!$K$18:$K$137)</f>
        <v>1063.3497487715442</v>
      </c>
      <c r="D8" s="49">
        <f>COUNTIF('Match Log'!$D$4:$D$810,$B8)</f>
        <v>37</v>
      </c>
      <c r="E8" s="49">
        <f>COUNTIFS('Match Log'!$D$4:$D$810,$B8,'Match Log'!$E$4:$E$810,"Win")</f>
        <v>21</v>
      </c>
      <c r="F8" s="49">
        <f t="shared" si="1"/>
        <v>16</v>
      </c>
      <c r="G8" s="50">
        <f t="shared" si="2"/>
        <v>0.56756756756756754</v>
      </c>
      <c r="H8" s="51">
        <f>SUMIF('Match Log'!$D$4:$D$810,$B8,'Match Log'!$J$4:$J$810)</f>
        <v>-11.785238402291522</v>
      </c>
      <c r="I8" s="51">
        <f>SUMIF('Match Log'!$D$4:$D$810,$B8,'Match Log'!$K$4:$K$810)</f>
        <v>30.134987173835981</v>
      </c>
      <c r="J8" s="51">
        <f>SUMIF('Match Log'!$D$4:$D$810,$B8,'Match Log'!$L$4:$L$810)</f>
        <v>45</v>
      </c>
      <c r="K8" s="49">
        <f>SUMPRODUCT(--(COUNTIFS('Match Log'!$D$4:$D$810,$B8,'Match Log'!$C$4:$C$810,Lists!$C$2:$C$24)&gt;0))</f>
        <v>12</v>
      </c>
      <c r="L8" s="49" t="str">
        <f>IF($D8=0,"No games",IF(AND($D8&gt;='Guide &amp; Settings'!$C$45,$K8&gt;='Guide &amp; Settings'!$C$46),"Eligible","Provisional"))</f>
        <v>Eligible</v>
      </c>
      <c r="M8" s="48">
        <f>IFERROR(INDEX(Calcs!$C$7:$C$20,MATCH($B8,Calcs!$A$7:$A$20,0)),"")</f>
        <v>1066.5448152967458</v>
      </c>
      <c r="N8" s="48">
        <f t="shared" si="3"/>
        <v>178.35318755350909</v>
      </c>
      <c r="O8" s="49" t="str">
        <f>IFERROR(INDEX(Calcs!$H$7:$H$20,MATCH($B8,Calcs!$A$7:$A$20,0)),"")</f>
        <v>L2</v>
      </c>
      <c r="P8" s="49" t="str">
        <f>IFERROR(INDEX(Calcs!$I$7:$I$20,MATCH($B8,Calcs!$A$7:$A$20,0)),"")</f>
        <v>LLWLL</v>
      </c>
      <c r="Q8" s="49" t="str">
        <f>IFERROR(IF(INDEX(Calcs!$L$7:$L$20,MATCH($B8,Calcs!$A$7:$A$20,0))&gt;0,"▲"&amp;INDEX(Calcs!$L$7:$L$20,MATCH($B8,Calcs!$A$7:$A$20,0)),IF(INDEX(Calcs!$L$7:$L$20,MATCH($B8,Calcs!$A$7:$A$20,0))&lt;0,"▼"&amp;ABS(INDEX(Calcs!$L$7:$L$20,MATCH($B8,Calcs!$A$7:$A$20,0))),"–")),"")</f>
        <v>▼2</v>
      </c>
      <c r="R8" s="49" t="str">
        <f>IFERROR(IF(INDEX(Calcs!$P$7:$P$20,MATCH($B8,Calcs!$A$7:$A$20,0))=0,"—",TEXT(INDEX(Calcs!$P$7:$P$20,MATCH($B8,Calcs!$A$7:$A$20,0)),"d mmm")),"")</f>
        <v>12 Jul</v>
      </c>
      <c r="S8" s="49">
        <f>IFERROR(ROUND(INDEX(Calcs!$Q$7:$Q$20,MATCH($B8,Calcs!$A$7:$A$20,0)),1),"")</f>
        <v>0</v>
      </c>
      <c r="T8" s="49" t="str">
        <f>IFERROR(INDEX(Calcs!$T$7:$T$20,MATCH($B8,Calcs!$A$7:$A$20,0)),"")</f>
        <v>Active</v>
      </c>
      <c r="U8">
        <f>IFERROR(MAX(0,ROUND($C8-INDEX(Calcs!$S$7:$S$20,MATCH($B8,Calcs!$A$7:$A$20,0)),0)),0)</f>
        <v>0</v>
      </c>
      <c r="V8" s="51">
        <f>IFERROR(ROUND(INDEX(Calcs!$S$7:$S$20,MATCH($B8,Calcs!$A$7:$A$20,0)),0),"")</f>
        <v>1063</v>
      </c>
      <c r="W8" s="49" t="str">
        <f>IFERROR(INDEX(Calcs!$AF$7:$AF$20,MATCH($B8,Calcs!$A$7:$A$20,0)),"")</f>
        <v>Strong</v>
      </c>
      <c r="X8" s="51">
        <f>IFERROR(ROUND(SUMIF('Poker Stake Ledger'!$C$18:$C$137,$B8,'Poker Stake Ledger'!$K$18:$K$137),1),0)</f>
        <v>0</v>
      </c>
    </row>
    <row r="9" spans="1:24" ht="15" customHeight="1" x14ac:dyDescent="0.2">
      <c r="A9" s="46">
        <f t="shared" si="0"/>
        <v>5</v>
      </c>
      <c r="B9" s="47" t="str">
        <f>IFERROR(INDEX(Calcs!$A$7:$A$20,MATCH(LARGE(Calcs!$AI$7:$AI$20,ROW()-4),Calcs!$AI$7:$AI$20,0)),"")</f>
        <v>Oscar</v>
      </c>
      <c r="C9" s="48">
        <f>INDEX(Engine!$B$2:$B$15,MATCH($B9,Engine!$A$2:$A$15,0))+SUMIF('Poker Stake Ledger'!$C$18:$C$137,$B9,'Poker Stake Ledger'!$K$18:$K$137)</f>
        <v>1062.8275894279936</v>
      </c>
      <c r="D9" s="49">
        <f>COUNTIF('Match Log'!$D$4:$D$810,$B9)</f>
        <v>44</v>
      </c>
      <c r="E9" s="49">
        <f>COUNTIFS('Match Log'!$D$4:$D$810,$B9,'Match Log'!$E$4:$E$810,"Win")</f>
        <v>20</v>
      </c>
      <c r="F9" s="49">
        <f t="shared" si="1"/>
        <v>24</v>
      </c>
      <c r="G9" s="50">
        <f t="shared" si="2"/>
        <v>0.45454545454545453</v>
      </c>
      <c r="H9" s="51">
        <f>SUMIF('Match Log'!$D$4:$D$810,$B9,'Match Log'!$J$4:$J$810)</f>
        <v>-7.6116228337358152</v>
      </c>
      <c r="I9" s="51">
        <f>SUMIF('Match Log'!$D$4:$D$810,$B9,'Match Log'!$K$4:$K$810)</f>
        <v>25.439212261729658</v>
      </c>
      <c r="J9" s="51">
        <f>SUMIF('Match Log'!$D$4:$D$810,$B9,'Match Log'!$L$4:$L$810)</f>
        <v>45</v>
      </c>
      <c r="K9" s="49">
        <f>SUMPRODUCT(--(COUNTIFS('Match Log'!$D$4:$D$810,$B9,'Match Log'!$C$4:$C$810,Lists!$C$2:$C$24)&gt;0))</f>
        <v>8</v>
      </c>
      <c r="L9" s="49" t="str">
        <f>IF($D9=0,"No games",IF(AND($D9&gt;='Guide &amp; Settings'!$C$45,$K9&gt;='Guide &amp; Settings'!$C$46),"Eligible","Provisional"))</f>
        <v>Eligible</v>
      </c>
      <c r="M9" s="48">
        <f>IFERROR(INDEX(Calcs!$C$7:$C$20,MATCH($B9,Calcs!$A$7:$A$20,0)),"")</f>
        <v>1080.1217453614972</v>
      </c>
      <c r="N9" s="48">
        <f t="shared" si="3"/>
        <v>178.87534689705967</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▼1</v>
      </c>
      <c r="R9" s="49" t="str">
        <f>IFERROR(IF(INDEX(Calcs!$P$7:$P$20,MATCH($B9,Calcs!$A$7:$A$20,0))=0,"—",TEXT(INDEX(Calcs!$P$7:$P$20,MATCH($B9,Calcs!$A$7:$A$20,0)),"d mmm")),"")</f>
        <v>6 Jul</v>
      </c>
      <c r="S9" s="49">
        <f>IFERROR(ROUND(INDEX(Calcs!$Q$7:$Q$20,MATCH($B9,Calcs!$A$7:$A$20,0)),1),"")</f>
        <v>0.9</v>
      </c>
      <c r="T9" s="49" t="str">
        <f>IFERROR(INDEX(Calcs!$T$7:$T$20,MATCH($B9,Calcs!$A$7:$A$20,0)),"")</f>
        <v>Active</v>
      </c>
      <c r="U9">
        <f>IFERROR(MAX(0,ROUND($C9-INDEX(Calcs!$S$7:$S$20,MATCH($B9,Calcs!$A$7:$A$20,0)),0)),0)</f>
        <v>0</v>
      </c>
      <c r="V9" s="51">
        <f>IFERROR(ROUND(INDEX(Calcs!$S$7:$S$20,MATCH($B9,Calcs!$A$7:$A$20,0)),0),"")</f>
        <v>1063</v>
      </c>
      <c r="W9" s="49" t="str">
        <f>IFERROR(INDEX(Calcs!$AF$7:$AF$20,MATCH($B9,Calcs!$A$7:$A$20,0)),"")</f>
        <v>Strong</v>
      </c>
      <c r="X9" s="51">
        <f>IFERROR(ROUND(SUMIF('Poker Stake Ledger'!$C$18:$C$137,$B9,'Poker Stake Ledger'!$K$18:$K$137),1),0)</f>
        <v>0</v>
      </c>
    </row>
    <row r="10" spans="1:24" ht="15" customHeight="1" x14ac:dyDescent="0.2">
      <c r="A10" s="46">
        <f t="shared" si="0"/>
        <v>6</v>
      </c>
      <c r="B10" s="47" t="str">
        <f>IFERROR(INDEX(Calcs!$A$7:$A$20,MATCH(LARGE(Calcs!$AI$7:$AI$20,ROW()-4),Calcs!$AI$7:$AI$20,0)),"")</f>
        <v>Dylan A</v>
      </c>
      <c r="C10" s="48">
        <f>INDEX(Engine!$B$2:$B$15,MATCH($B10,Engine!$A$2:$A$15,0))+SUMIF('Poker Stake Ledger'!$C$18:$C$137,$B10,'Poker Stake Ledger'!$K$18:$K$137)</f>
        <v>1052.4264189977837</v>
      </c>
      <c r="D10" s="49">
        <f>COUNTIF('Match Log'!$D$4:$D$810,$B10)</f>
        <v>5</v>
      </c>
      <c r="E10" s="49">
        <f>COUNTIFS('Match Log'!$D$4:$D$810,$B10,'Match Log'!$E$4:$E$810,"Win")</f>
        <v>3</v>
      </c>
      <c r="F10" s="49">
        <f t="shared" si="1"/>
        <v>2</v>
      </c>
      <c r="G10" s="50">
        <f t="shared" si="2"/>
        <v>0.6</v>
      </c>
      <c r="H10" s="51">
        <f>SUMIF('Match Log'!$D$4:$D$810,$B10,'Match Log'!$J$4:$J$810)</f>
        <v>17.561127831776151</v>
      </c>
      <c r="I10" s="51">
        <f>SUMIF('Match Log'!$D$4:$D$810,$B10,'Match Log'!$K$4:$K$810)</f>
        <v>18.865291166007616</v>
      </c>
      <c r="J10" s="51">
        <f>SUMIF('Match Log'!$D$4:$D$810,$B10,'Match Log'!$L$4:$L$810)</f>
        <v>16</v>
      </c>
      <c r="K10" s="49">
        <f>SUMPRODUCT(--(COUNTIFS('Match Log'!$D$4:$D$810,$B10,'Match Log'!$C$4:$C$810,Lists!$C$2:$C$24)&gt;0))</f>
        <v>2</v>
      </c>
      <c r="L10" s="49" t="str">
        <f>IF($D10=0,"No games",IF(AND($D10&gt;='Guide &amp; Settings'!$C$45,$K10&gt;='Guide &amp; Settings'!$C$46),"Eligible","Provisional"))</f>
        <v>Provisional</v>
      </c>
      <c r="M10" s="48">
        <f>IFERROR(INDEX(Calcs!$C$7:$C$20,MATCH($B10,Calcs!$A$7:$A$20,0)),"")</f>
        <v>1067.9356145164993</v>
      </c>
      <c r="N10" s="48">
        <f t="shared" si="3"/>
        <v>189.27651732726963</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0.1</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 t="shared" si="0"/>
        <v>7</v>
      </c>
      <c r="B11" s="47" t="str">
        <f>IFERROR(INDEX(Calcs!$A$7:$A$20,MATCH(LARGE(Calcs!$AI$7:$AI$20,ROW()-4),Calcs!$AI$7:$AI$20,0)),"")</f>
        <v>Aaron</v>
      </c>
      <c r="C11" s="48">
        <f>INDEX(Engine!$B$2:$B$15,MATCH($B11,Engine!$A$2:$A$15,0))+SUMIF('Poker Stake Ledger'!$C$18:$C$137,$B11,'Poker Stake Ledger'!$K$18:$K$137)</f>
        <v>1040.1422573837137</v>
      </c>
      <c r="D11" s="49">
        <f>COUNTIF('Match Log'!$D$4:$D$810,$B11)</f>
        <v>46</v>
      </c>
      <c r="E11" s="49">
        <f>COUNTIFS('Match Log'!$D$4:$D$810,$B11,'Match Log'!$E$4:$E$810,"Win")</f>
        <v>24</v>
      </c>
      <c r="F11" s="49">
        <f t="shared" si="1"/>
        <v>22</v>
      </c>
      <c r="G11" s="50">
        <f t="shared" si="2"/>
        <v>0.52173913043478259</v>
      </c>
      <c r="H11" s="51">
        <f>SUMIF('Match Log'!$D$4:$D$810,$B11,'Match Log'!$J$4:$J$810)</f>
        <v>-24.020011438816706</v>
      </c>
      <c r="I11" s="51">
        <f>SUMIF('Match Log'!$D$4:$D$810,$B11,'Match Log'!$K$4:$K$810)</f>
        <v>33.162268822530379</v>
      </c>
      <c r="J11" s="51">
        <f>SUMIF('Match Log'!$D$4:$D$810,$B11,'Match Log'!$L$4:$L$810)</f>
        <v>31</v>
      </c>
      <c r="K11" s="49">
        <f>SUMPRODUCT(--(COUNTIFS('Match Log'!$D$4:$D$810,$B11,'Match Log'!$C$4:$C$810,Lists!$C$2:$C$24)&gt;0))</f>
        <v>10</v>
      </c>
      <c r="L11" s="49" t="str">
        <f>IF($D11=0,"No games",IF(AND($D11&gt;='Guide &amp; Settings'!$C$45,$K11&gt;='Guide &amp; Settings'!$C$46),"Eligible","Provisional"))</f>
        <v>Eligible</v>
      </c>
      <c r="M11" s="48">
        <f>IFERROR(INDEX(Calcs!$C$7:$C$20,MATCH($B11,Calcs!$A$7:$A$20,0)),"")</f>
        <v>1081.6599848659405</v>
      </c>
      <c r="N11" s="48">
        <f t="shared" si="3"/>
        <v>201.56067894133957</v>
      </c>
      <c r="O11" s="49" t="str">
        <f>IFERROR(INDEX(Calcs!$H$7:$H$20,MATCH($B11,Calcs!$A$7:$A$20,0)),"")</f>
        <v>L3</v>
      </c>
      <c r="P11" s="49" t="str">
        <f>IFERROR(INDEX(Calcs!$I$7:$I$20,MATCH($B11,Calcs!$A$7:$A$20,0)),"")</f>
        <v>WWLLL</v>
      </c>
      <c r="Q11" s="49" t="str">
        <f>IFERROR(IF(INDEX(Calcs!$L$7:$L$20,MATCH($B11,Calcs!$A$7:$A$20,0))&gt;0,"▲"&amp;INDEX(Calcs!$L$7:$L$20,MATCH($B11,Calcs!$A$7:$A$20,0)),IF(INDEX(Calcs!$L$7:$L$20,MATCH($B11,Calcs!$A$7:$A$20,0))&lt;0,"▼"&amp;ABS(INDEX(Calcs!$L$7:$L$20,MATCH($B11,Calcs!$A$7:$A$20,0))),"–")),"")</f>
        <v>▼4</v>
      </c>
      <c r="R11" s="49" t="str">
        <f>IFERROR(IF(INDEX(Calcs!$P$7:$P$20,MATCH($B11,Calcs!$A$7:$A$20,0))=0,"—",TEXT(INDEX(Calcs!$P$7:$P$20,MATCH($B11,Calcs!$A$7:$A$20,0)),"d mmm")),"")</f>
        <v>11 Jul</v>
      </c>
      <c r="S11" s="49">
        <f>IFERROR(ROUND(INDEX(Calcs!$Q$7:$Q$20,MATCH($B11,Calcs!$A$7:$A$20,0)),1),"")</f>
        <v>0.1</v>
      </c>
      <c r="T11" s="49" t="str">
        <f>IFERROR(INDEX(Calcs!$T$7:$T$20,MATCH($B11,Calcs!$A$7:$A$20,0)),"")</f>
        <v>Active</v>
      </c>
      <c r="U11">
        <f>IFERROR(MAX(0,ROUND($C11-INDEX(Calcs!$S$7:$S$20,MATCH($B11,Calcs!$A$7:$A$20,0)),0)),0)</f>
        <v>0</v>
      </c>
      <c r="V11" s="51">
        <f>IFERROR(ROUND(INDEX(Calcs!$S$7:$S$20,MATCH($B11,Calcs!$A$7:$A$20,0)),0),"")</f>
        <v>1040</v>
      </c>
      <c r="W11" s="49" t="str">
        <f>IFERROR(INDEX(Calcs!$AF$7:$AF$20,MATCH($B11,Calcs!$A$7:$A$20,0)),"")</f>
        <v>Strong</v>
      </c>
      <c r="X11" s="51">
        <f>IFERROR(ROUND(SUMIF('Poker Stake Ledger'!$C$18:$C$137,$B11,'Poker Stake Ledger'!$K$18:$K$137),1),0)</f>
        <v>0</v>
      </c>
    </row>
    <row r="12" spans="1:24" ht="15" customHeight="1" x14ac:dyDescent="0.2">
      <c r="A12" s="46">
        <f t="shared" si="0"/>
        <v>8</v>
      </c>
      <c r="B12" s="47" t="str">
        <f>IFERROR(INDEX(Calcs!$A$7:$A$20,MATCH(LARGE(Calcs!$AI$7:$AI$20,ROW()-4),Calcs!$AI$7:$AI$20,0)),"")</f>
        <v>Beau</v>
      </c>
      <c r="C12" s="48">
        <f>INDEX(Engine!$B$2:$B$15,MATCH($B12,Engine!$A$2:$A$15,0))+SUMIF('Poker Stake Ledger'!$C$18:$C$137,$B12,'Poker Stake Ledger'!$K$18:$K$137)</f>
        <v>1029.5175965335138</v>
      </c>
      <c r="D12" s="49">
        <f>COUNTIF('Match Log'!$D$4:$D$810,$B12)</f>
        <v>10</v>
      </c>
      <c r="E12" s="49">
        <f>COUNTIFS('Match Log'!$D$4:$D$810,$B12,'Match Log'!$E$4:$E$810,"Win")</f>
        <v>5</v>
      </c>
      <c r="F12" s="49">
        <f t="shared" si="1"/>
        <v>5</v>
      </c>
      <c r="G12" s="50">
        <f t="shared" si="2"/>
        <v>0.5</v>
      </c>
      <c r="H12" s="51">
        <f>SUMIF('Match Log'!$D$4:$D$810,$B12,'Match Log'!$J$4:$J$810)</f>
        <v>-14.562118325761057</v>
      </c>
      <c r="I12" s="51">
        <f>SUMIF('Match Log'!$D$4:$D$810,$B12,'Match Log'!$K$4:$K$810)</f>
        <v>16.079714859275072</v>
      </c>
      <c r="J12" s="51">
        <f>SUMIF('Match Log'!$D$4:$D$810,$B12,'Match Log'!$L$4:$L$810)</f>
        <v>28</v>
      </c>
      <c r="K12" s="49">
        <f>SUMPRODUCT(--(COUNTIFS('Match Log'!$D$4:$D$810,$B12,'Match Log'!$C$4:$C$810,Lists!$C$2:$C$24)&gt;0))</f>
        <v>3</v>
      </c>
      <c r="L12" s="49" t="str">
        <f>IF($D12=0,"No games",IF(AND($D12&gt;='Guide &amp; Settings'!$C$45,$K12&gt;='Guide &amp; Settings'!$C$46),"Eligible","Provisional"))</f>
        <v>Eligible</v>
      </c>
      <c r="M12" s="48">
        <f>IFERROR(INDEX(Calcs!$C$7:$C$20,MATCH($B12,Calcs!$A$7:$A$20,0)),"")</f>
        <v>1062.7795094888347</v>
      </c>
      <c r="N12" s="48">
        <f t="shared" si="3"/>
        <v>212.18533979153949</v>
      </c>
      <c r="O12" s="49" t="str">
        <f>IFERROR(INDEX(Calcs!$H$7:$H$20,MATCH($B12,Calcs!$A$7:$A$20,0)),"")</f>
        <v>L2</v>
      </c>
      <c r="P12" s="49" t="str">
        <f>IFERROR(INDEX(Calcs!$I$7:$I$20,MATCH($B12,Calcs!$A$7:$A$20,0)),"")</f>
        <v>LWWLL</v>
      </c>
      <c r="Q12" s="49" t="str">
        <f>IFERROR(IF(INDEX(Calcs!$L$7:$L$20,MATCH($B12,Calcs!$A$7:$A$20,0))&gt;0,"▲"&amp;INDEX(Calcs!$L$7:$L$20,MATCH($B12,Calcs!$A$7:$A$20,0)),IF(INDEX(Calcs!$L$7:$L$20,MATCH($B12,Calcs!$A$7:$A$20,0))&lt;0,"▼"&amp;ABS(INDEX(Calcs!$L$7:$L$20,MATCH($B12,Calcs!$A$7:$A$20,0))),"–")),"")</f>
        <v>▲1</v>
      </c>
      <c r="R12" s="49" t="str">
        <f>IFERROR(IF(INDEX(Calcs!$P$7:$P$20,MATCH($B12,Calcs!$A$7:$A$20,0))=0,"—",TEXT(INDEX(Calcs!$P$7:$P$20,MATCH($B12,Calcs!$A$7:$A$20,0)),"d mmm")),"")</f>
        <v>15 Jun</v>
      </c>
      <c r="S12" s="49">
        <f>IFERROR(ROUND(INDEX(Calcs!$Q$7:$Q$20,MATCH($B12,Calcs!$A$7:$A$20,0)),1),"")</f>
        <v>3.9</v>
      </c>
      <c r="T12" s="49" t="str">
        <f>IFERROR(INDEX(Calcs!$T$7:$T$20,MATCH($B12,Calcs!$A$7:$A$20,0)),"")</f>
        <v>At risk</v>
      </c>
      <c r="U12">
        <f>IFERROR(MAX(0,ROUND($C12-INDEX(Calcs!$S$7:$S$20,MATCH($B12,Calcs!$A$7:$A$20,0)),0)),0)</f>
        <v>0</v>
      </c>
      <c r="V12" s="51">
        <f>IFERROR(ROUND(INDEX(Calcs!$S$7:$S$20,MATCH($B12,Calcs!$A$7:$A$20,0)),0),"")</f>
        <v>1030</v>
      </c>
      <c r="W12" s="49" t="str">
        <f>IFERROR(INDEX(Calcs!$AF$7:$AF$20,MATCH($B12,Calcs!$A$7:$A$20,0)),"")</f>
        <v>Mid</v>
      </c>
      <c r="X12" s="51">
        <f>IFERROR(ROUND(SUMIF('Poker Stake Ledger'!$C$18:$C$137,$B12,'Poker Stake Ledger'!$K$18:$K$137),1),0)</f>
        <v>0</v>
      </c>
    </row>
    <row r="13" spans="1:24" ht="15" customHeight="1" x14ac:dyDescent="0.2">
      <c r="A13" s="46">
        <f t="shared" si="0"/>
        <v>9</v>
      </c>
      <c r="B13" s="47" t="str">
        <f>IFERROR(INDEX(Calcs!$A$7:$A$20,MATCH(LARGE(Calcs!$AI$7:$AI$20,ROW()-4),Calcs!$AI$7:$AI$20,0)),"")</f>
        <v>Daniel (Ferret)</v>
      </c>
      <c r="C13" s="48">
        <f>INDEX(Engine!$B$2:$B$15,MATCH($B13,Engine!$A$2:$A$15,0))+SUMIF('Poker Stake Ledger'!$C$18:$C$137,$B13,'Poker Stake Ledger'!$K$18:$K$137)</f>
        <v>1029.4526731850108</v>
      </c>
      <c r="D13" s="49">
        <f>COUNTIF('Match Log'!$D$4:$D$810,$B13)</f>
        <v>59</v>
      </c>
      <c r="E13" s="49">
        <f>COUNTIFS('Match Log'!$D$4:$D$810,$B13,'Match Log'!$E$4:$E$810,"Win")</f>
        <v>25</v>
      </c>
      <c r="F13" s="49">
        <f t="shared" si="1"/>
        <v>34</v>
      </c>
      <c r="G13" s="50">
        <f t="shared" si="2"/>
        <v>0.42372881355932202</v>
      </c>
      <c r="H13" s="51">
        <f>SUMIF('Match Log'!$D$4:$D$810,$B13,'Match Log'!$J$4:$J$810)</f>
        <v>-38.430031790224753</v>
      </c>
      <c r="I13" s="51">
        <f>SUMIF('Match Log'!$D$4:$D$810,$B13,'Match Log'!$K$4:$K$810)</f>
        <v>15.882704975235129</v>
      </c>
      <c r="J13" s="51">
        <f>SUMIF('Match Log'!$D$4:$D$810,$B13,'Match Log'!$L$4:$L$810)</f>
        <v>52</v>
      </c>
      <c r="K13" s="49">
        <f>SUMPRODUCT(--(COUNTIFS('Match Log'!$D$4:$D$810,$B13,'Match Log'!$C$4:$C$810,Lists!$C$2:$C$24)&gt;0))</f>
        <v>14</v>
      </c>
      <c r="L13" s="49" t="str">
        <f>IF($D13=0,"No games",IF(AND($D13&gt;='Guide &amp; Settings'!$C$45,$K13&gt;='Guide &amp; Settings'!$C$46),"Eligible","Provisional"))</f>
        <v>Eligible</v>
      </c>
      <c r="M13" s="48">
        <f>IFERROR(INDEX(Calcs!$C$7:$C$20,MATCH($B13,Calcs!$A$7:$A$20,0)),"")</f>
        <v>1098.1265348574036</v>
      </c>
      <c r="N13" s="48">
        <f t="shared" si="3"/>
        <v>212.25026314004253</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▼3</v>
      </c>
      <c r="R13" s="49" t="str">
        <f>IFERROR(IF(INDEX(Calcs!$P$7:$P$20,MATCH($B13,Calcs!$A$7:$A$20,0))=0,"—",TEXT(INDEX(Calcs!$P$7:$P$20,MATCH($B13,Calcs!$A$7:$A$20,0)),"d mmm")),"")</f>
        <v>12 Jul</v>
      </c>
      <c r="S13" s="49">
        <f>IFERROR(ROUND(INDEX(Calcs!$Q$7:$Q$20,MATCH($B13,Calcs!$A$7:$A$20,0)),1),"")</f>
        <v>0</v>
      </c>
      <c r="T13" s="49" t="str">
        <f>IFERROR(INDEX(Calcs!$T$7:$T$20,MATCH($B13,Calcs!$A$7:$A$20,0)),"")</f>
        <v>Active</v>
      </c>
      <c r="U13">
        <f>IFERROR(MAX(0,ROUND($C13-INDEX(Calcs!$S$7:$S$20,MATCH($B13,Calcs!$A$7:$A$20,0)),0)),0)</f>
        <v>0</v>
      </c>
      <c r="V13" s="51">
        <f>IFERROR(ROUND(INDEX(Calcs!$S$7:$S$20,MATCH($B13,Calcs!$A$7:$A$20,0)),0),"")</f>
        <v>1029</v>
      </c>
      <c r="W13" s="49" t="str">
        <f>IFERROR(INDEX(Calcs!$AF$7:$AF$20,MATCH($B13,Calcs!$A$7:$A$20,0)),"")</f>
        <v>Strong</v>
      </c>
      <c r="X13" s="51">
        <f>IFERROR(ROUND(SUMIF('Poker Stake Ledger'!$C$18:$C$137,$B13,'Poker Stake Ledger'!$K$18:$K$137),1),0)</f>
        <v>0</v>
      </c>
    </row>
    <row r="14" spans="1:24" ht="15" customHeight="1" x14ac:dyDescent="0.2">
      <c r="A14" s="46">
        <f t="shared" si="0"/>
        <v>10</v>
      </c>
      <c r="B14" s="47" t="str">
        <f>IFERROR(INDEX(Calcs!$A$7:$A$20,MATCH(LARGE(Calcs!$AI$7:$AI$20,ROW()-4),Calcs!$AI$7:$AI$20,0)),"")</f>
        <v>Chase</v>
      </c>
      <c r="C14" s="48">
        <f>INDEX(Engine!$B$2:$B$15,MATCH($B14,Engine!$A$2:$A$15,0))+SUMIF('Poker Stake Ledger'!$C$18:$C$137,$B14,'Poker Stake Ledger'!$K$18:$K$137)</f>
        <v>1016.7841648959289</v>
      </c>
      <c r="D14" s="49">
        <f>COUNTIF('Match Log'!$D$4:$D$810,$B14)</f>
        <v>10</v>
      </c>
      <c r="E14" s="49">
        <f>COUNTIFS('Match Log'!$D$4:$D$810,$B14,'Match Log'!$E$4:$E$810,"Win")</f>
        <v>5</v>
      </c>
      <c r="F14" s="49">
        <f t="shared" si="1"/>
        <v>5</v>
      </c>
      <c r="G14" s="50">
        <f t="shared" si="2"/>
        <v>0.5</v>
      </c>
      <c r="H14" s="51">
        <f>SUMIF('Match Log'!$D$4:$D$810,$B14,'Match Log'!$J$4:$J$810)</f>
        <v>7.3698791816431548</v>
      </c>
      <c r="I14" s="51">
        <f>SUMIF('Match Log'!$D$4:$D$810,$B14,'Match Log'!$K$4:$K$810)</f>
        <v>-1.5857142857142881</v>
      </c>
      <c r="J14" s="51">
        <f>SUMIF('Match Log'!$D$4:$D$810,$B14,'Match Log'!$L$4:$L$810)</f>
        <v>11</v>
      </c>
      <c r="K14" s="49">
        <f>SUMPRODUCT(--(COUNTIFS('Match Log'!$D$4:$D$810,$B14,'Match Log'!$C$4:$C$810,Lists!$C$2:$C$24)&gt;0))</f>
        <v>6</v>
      </c>
      <c r="L14" s="49" t="str">
        <f>IF($D14=0,"No games",IF(AND($D14&gt;='Guide &amp; Settings'!$C$45,$K14&gt;='Guide &amp; Settings'!$C$46),"Eligible","Provisional"))</f>
        <v>Eligible</v>
      </c>
      <c r="M14" s="48">
        <f>IFERROR(INDEX(Calcs!$C$7:$C$20,MATCH($B14,Calcs!$A$7:$A$20,0)),"")</f>
        <v>1034.8686343783481</v>
      </c>
      <c r="N14" s="48">
        <f t="shared" si="3"/>
        <v>224.91877142912438</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3.9</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 t="shared" si="0"/>
        <v>11</v>
      </c>
      <c r="B15" s="47" t="str">
        <f>IFERROR(INDEX(Calcs!$A$7:$A$20,MATCH(LARGE(Calcs!$AI$7:$AI$20,ROW()-4),Calcs!$AI$7:$AI$20,0)),"")</f>
        <v>Dean M</v>
      </c>
      <c r="C15" s="48">
        <f>INDEX(Engine!$B$2:$B$15,MATCH($B15,Engine!$A$2:$A$15,0))+SUMIF('Poker Stake Ledger'!$C$18:$C$137,$B15,'Poker Stake Ledger'!$K$18:$K$137)</f>
        <v>1009.152401464836</v>
      </c>
      <c r="D15" s="49">
        <f>COUNTIF('Match Log'!$D$4:$D$810,$B15)</f>
        <v>6</v>
      </c>
      <c r="E15" s="49">
        <f>COUNTIFS('Match Log'!$D$4:$D$810,$B15,'Match Log'!$E$4:$E$810,"Win")</f>
        <v>2</v>
      </c>
      <c r="F15" s="49">
        <f t="shared" si="1"/>
        <v>4</v>
      </c>
      <c r="G15" s="50">
        <f t="shared" si="2"/>
        <v>0.33333333333333331</v>
      </c>
      <c r="H15" s="51">
        <f>SUMIF('Match Log'!$D$4:$D$810,$B15,'Match Log'!$J$4:$J$810)</f>
        <v>-18.314471080884388</v>
      </c>
      <c r="I15" s="51">
        <f>SUMIF('Match Log'!$D$4:$D$810,$B15,'Match Log'!$K$4:$K$810)</f>
        <v>7.4668725457205358</v>
      </c>
      <c r="J15" s="51">
        <f>SUMIF('Match Log'!$D$4:$D$810,$B15,'Match Log'!$L$4:$L$810)</f>
        <v>20</v>
      </c>
      <c r="K15" s="49">
        <f>SUMPRODUCT(--(COUNTIFS('Match Log'!$D$4:$D$810,$B15,'Match Log'!$C$4:$C$810,Lists!$C$2:$C$24)&gt;0))</f>
        <v>2</v>
      </c>
      <c r="L15" s="49" t="str">
        <f>IF($D15=0,"No games",IF(AND($D15&gt;='Guide &amp; Settings'!$C$45,$K15&gt;='Guide &amp; Settings'!$C$46),"Eligible","Provisional"))</f>
        <v>Provisional</v>
      </c>
      <c r="M15" s="48">
        <f>IFERROR(INDEX(Calcs!$C$7:$C$20,MATCH($B15,Calcs!$A$7:$A$20,0)),"")</f>
        <v>1054.1781039788254</v>
      </c>
      <c r="N15" s="48">
        <f t="shared" si="3"/>
        <v>232.55053486021734</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0.1</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 t="shared" si="0"/>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 t="shared" si="1"/>
        <v>0</v>
      </c>
      <c r="G16" s="50" t="str">
        <f t="shared" si="2"/>
        <v/>
      </c>
      <c r="H16" s="51">
        <f>SUMIF('Match Log'!$D$4:$D$810,$B16,'Match Log'!$J$4:$J$810)</f>
        <v>0</v>
      </c>
      <c r="I16" s="51">
        <f>SUMIF('Match Log'!$D$4:$D$810,$B16,'Match Log'!$K$4:$K$810)</f>
        <v>0</v>
      </c>
      <c r="J16" s="51">
        <f>SUMIF('Match Log'!$D$4:$D$810,$B16,'Match Log'!$L$4:$L$810)</f>
        <v>0</v>
      </c>
      <c r="K16" s="49">
        <f>SUMPRODUCT(--(COUNTIFS('Match Log'!$D$4:$D$810,$B16,'Match Log'!$C$4:$C$810,Lists!$C$2:$C$24)&gt;0))</f>
        <v>0</v>
      </c>
      <c r="L16" s="49" t="str">
        <f>IF($D16=0,"No games",IF(AND($D16&gt;='Guide &amp; Settings'!$C$45,$K16&gt;='Guide &amp; Settings'!$C$46),"Eligible","Provisional"))</f>
        <v>No games</v>
      </c>
      <c r="M16" s="48" t="str">
        <f>IFERROR(INDEX(Calcs!$C$7:$C$20,MATCH($B16,Calcs!$A$7:$A$20,0)),"")</f>
        <v/>
      </c>
      <c r="N16" s="48">
        <f t="shared" si="3"/>
        <v>241.70293632505332</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 t="shared" si="0"/>
        <v>13</v>
      </c>
      <c r="B17" s="47" t="str">
        <f>IFERROR(INDEX(Calcs!$A$7:$A$20,MATCH(LARGE(Calcs!$AI$7:$AI$20,ROW()-4),Calcs!$AI$7:$AI$20,0)),"")</f>
        <v>David</v>
      </c>
      <c r="C17" s="48">
        <f>INDEX(Engine!$B$2:$B$15,MATCH($B17,Engine!$A$2:$A$15,0))+SUMIF('Poker Stake Ledger'!$C$18:$C$137,$B17,'Poker Stake Ledger'!$K$18:$K$137)</f>
        <v>973.19705892757202</v>
      </c>
      <c r="D17" s="49">
        <f>COUNTIF('Match Log'!$D$4:$D$810,$B17)</f>
        <v>15</v>
      </c>
      <c r="E17" s="49">
        <f>COUNTIFS('Match Log'!$D$4:$D$810,$B17,'Match Log'!$E$4:$E$810,"Win")</f>
        <v>4</v>
      </c>
      <c r="F17" s="49">
        <f t="shared" si="1"/>
        <v>11</v>
      </c>
      <c r="G17" s="50">
        <f t="shared" si="2"/>
        <v>0.26666666666666666</v>
      </c>
      <c r="H17" s="51">
        <f>SUMIF('Match Log'!$D$4:$D$810,$B17,'Match Log'!$J$4:$J$810)</f>
        <v>-47.265488810678391</v>
      </c>
      <c r="I17" s="51">
        <f>SUMIF('Match Log'!$D$4:$D$810,$B17,'Match Log'!$K$4:$K$810)</f>
        <v>-10.537452261749699</v>
      </c>
      <c r="J17" s="51">
        <f>SUMIF('Match Log'!$D$4:$D$810,$B17,'Match Log'!$L$4:$L$810)</f>
        <v>31</v>
      </c>
      <c r="K17" s="49">
        <f>SUMPRODUCT(--(COUNTIFS('Match Log'!$D$4:$D$810,$B17,'Match Log'!$C$4:$C$810,Lists!$C$2:$C$24)&gt;0))</f>
        <v>4</v>
      </c>
      <c r="L17" s="49" t="str">
        <f>IF($D17=0,"No games",IF(AND($D17&gt;='Guide &amp; Settings'!$C$45,$K17&gt;='Guide &amp; Settings'!$C$46),"Eligible","Provisional"))</f>
        <v>Eligible</v>
      </c>
      <c r="M17" s="48">
        <f>IFERROR(INDEX(Calcs!$C$7:$C$20,MATCH($B17,Calcs!$A$7:$A$20,0)),"")</f>
        <v>1063.0198308398803</v>
      </c>
      <c r="N17" s="48">
        <f t="shared" si="3"/>
        <v>268.5058773974813</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11 Jul</v>
      </c>
      <c r="S17" s="49">
        <f>IFERROR(ROUND(INDEX(Calcs!$Q$7:$Q$20,MATCH($B17,Calcs!$A$7:$A$20,0)),1),"")</f>
        <v>0.1</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 t="shared" si="0"/>
        <v>14</v>
      </c>
      <c r="B18" s="47" t="str">
        <f>IFERROR(INDEX(Calcs!$A$7:$A$20,MATCH(LARGE(Calcs!$AI$7:$AI$20,ROW()-4),Calcs!$AI$7:$AI$20,0)),"")</f>
        <v>Cody</v>
      </c>
      <c r="C18" s="48">
        <f>INDEX(Engine!$B$2:$B$15,MATCH($B18,Engine!$A$2:$A$15,0))+SUMIF('Poker Stake Ledger'!$C$18:$C$137,$B18,'Poker Stake Ledger'!$K$18:$K$137)</f>
        <v>893.15761519837804</v>
      </c>
      <c r="D18" s="49">
        <f>COUNTIF('Match Log'!$D$4:$D$810,$B18)</f>
        <v>13</v>
      </c>
      <c r="E18" s="49">
        <f>COUNTIFS('Match Log'!$D$4:$D$810,$B18,'Match Log'!$E$4:$E$810,"Win")</f>
        <v>2</v>
      </c>
      <c r="F18" s="49">
        <f t="shared" si="1"/>
        <v>11</v>
      </c>
      <c r="G18" s="50">
        <f t="shared" si="2"/>
        <v>0.15384615384615385</v>
      </c>
      <c r="H18" s="51">
        <f>SUMIF('Match Log'!$D$4:$D$810,$B18,'Match Log'!$J$4:$J$810)</f>
        <v>-81.229281767466446</v>
      </c>
      <c r="I18" s="51">
        <f>SUMIF('Match Log'!$D$4:$D$810,$B18,'Match Log'!$K$4:$K$810)</f>
        <v>-33.613103034155223</v>
      </c>
      <c r="J18" s="51">
        <f>SUMIF('Match Log'!$D$4:$D$810,$B18,'Match Log'!$L$4:$L$810)</f>
        <v>8</v>
      </c>
      <c r="K18" s="49">
        <f>SUMPRODUCT(--(COUNTIFS('Match Log'!$D$4:$D$810,$B18,'Match Log'!$C$4:$C$810,Lists!$C$2:$C$24)&gt;0))</f>
        <v>3</v>
      </c>
      <c r="L18" s="49" t="str">
        <f>IF($D18=0,"No games",IF(AND($D18&gt;='Guide &amp; Settings'!$C$45,$K18&gt;='Guide &amp; Settings'!$C$46),"Eligible","Provisional"))</f>
        <v>Eligible</v>
      </c>
      <c r="M18" s="48">
        <f>IFERROR(INDEX(Calcs!$C$7:$C$20,MATCH($B18,Calcs!$A$7:$A$20,0)),"")</f>
        <v>1059.6031547863727</v>
      </c>
      <c r="N18" s="48">
        <f t="shared" si="3"/>
        <v>348.54532112667528</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3.9</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IFERROR(INDEX(Dashboard!$C$5:$C$18,MATCH($B$3,Dashboard!$B$5:$B$18,0)),"")</f>
        <v>1124.7994137993414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IFERROR(INDEX(Dashboard!$E$5:$E$18,MATCH($B$3,Dashboard!$B$5:$B$18,0))&amp;"–"&amp;INDEX(Dashboard!$F$5:$F$18,MATCH($B$3,Dashboard!$B$5:$B$18,0)),"")</f>
        <v>34–37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IFERROR(INDEX(Dashboard!$G$5:$G$18,MATCH($B$3,Dashboard!$B$5:$B$18,0)),"")</f>
        <v>0.47887323943661969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IFERROR(INDEX(Dashboard!$D$5:$D$18,MATCH($B$3,Dashboard!$B$5:$B$18,0)),"")</f>
        <v>71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1049.1850649520352</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W4</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116.90352252571188</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IFERROR(TEXT(INDEX(Calcs!$P$7:$P$20,MATCH($B$3,Calcs!$A$7:$A$20,0)),"d mmm")&amp;"  ·  "&amp;INDEX(Calcs!$T$7:$T$20,MATCH($B$3,Calcs!$A$7:$A$20,0)),"")</f>
        <v>12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IFERROR(ROUND(INDEX(Calcs!$AB$7:$AB$20,MATCH($B$3,Calcs!$A$7:$A$20,0)),0),"")</f>
        <v>76</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IFERROR(ROUND(INDEX(Calcs!$X$7:$X$20,MATCH($B$3,Calcs!$A$7:$A$20,0)),0),"")</f>
        <v>48</v>
      </c>
      <c r="D25" s="56" t="s">
        <v>447</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IFERROR(ROUND(INDEX(Calcs!$Y$7:$Y$20,MATCH($B$3,Calcs!$A$7:$A$20,0)),0),"")</f>
        <v>100</v>
      </c>
      <c r="D26" s="56" t="s">
        <v>448</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449</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23</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157</v>
      </c>
    </row>
    <row r="4" spans="1:18" ht="18.75" customHeight="1" x14ac:dyDescent="0.2">
      <c r="A4" s="73" t="s">
        <v>223</v>
      </c>
      <c r="C4" s="159" t="str">
        <f>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0</v>
      </c>
      <c r="E8" s="77">
        <f>COUNTIFS('Match Log'!$D$4:$D$819,E$7,'Match Log'!$C$4:$C$819,$A8)</f>
        <v>0</v>
      </c>
      <c r="F8" s="77">
        <f>COUNTIFS('Match Log'!$D$4:$D$819,F$7,'Match Log'!$C$4:$C$819,$A8)</f>
        <v>0</v>
      </c>
      <c r="G8" s="77">
        <f>COUNTIFS('Match Log'!$D$4:$D$819,G$7,'Match Log'!$C$4:$C$819,$A8)</f>
        <v>3</v>
      </c>
      <c r="H8" s="77">
        <f>COUNTIFS('Match Log'!$D$4:$D$819,H$7,'Match Log'!$C$4:$C$819,$A8)</f>
        <v>0</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3</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447</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448</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449</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0</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447</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448</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449</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t="str">
        <f t="shared" si="2"/>
        <v/>
      </c>
      <c r="E58" s="80" t="str">
        <f t="shared" si="2"/>
        <v/>
      </c>
      <c r="F58" s="80" t="str">
        <f t="shared" si="2"/>
        <v/>
      </c>
      <c r="G58" s="80">
        <f t="shared" si="2"/>
        <v>1</v>
      </c>
      <c r="H58" s="80" t="str">
        <f t="shared" si="2"/>
        <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447</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448</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449</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IFERROR(INDEX(Engine!$B$2:$B$15,MATCH($A83,Engine!$A$2:$A$15,0)),"")</f>
        <v>1241.7029363250533</v>
      </c>
      <c r="G83" s="77" t="str">
        <f>IF($B83=0,"No games",IF(AND($B83&gt;='Guide &amp; Settings'!$C$45,$C83&gt;='Guide &amp; Settings'!$C$46),"Eligible","Provisional"))</f>
        <v>Eligible</v>
      </c>
      <c r="S83" s="83">
        <f t="shared" ref="S83:S96" si="26">IF($G83="Eligible",$F83,-1)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IFERROR(INDEX(Engine!$B$2:$B$15,MATCH($A84,Engine!$A$2:$A$15,0)),"")</f>
        <v>1063.3497487715442</v>
      </c>
      <c r="G84" s="77" t="str">
        <f>IF($B84=0,"No games",IF(AND($B84&gt;='Guide &amp; Settings'!$C$45,$C84&gt;='Guide &amp; Settings'!$C$46),"Eligible","Provisional"))</f>
        <v>Eligible</v>
      </c>
      <c r="S84" s="83">
        <f t="shared" si="26"/>
        <v>1063.3497487715442</v>
      </c>
    </row>
    <row r="85" spans="1:19" ht="15" customHeight="1" x14ac:dyDescent="0.2">
      <c r="A85" s="76" t="s">
        <v>168</v>
      </c>
      <c r="B85" s="77">
        <f>COUNTIF('Match Log'!$D$4:$D$819,$A85)</f>
        <v>17</v>
      </c>
      <c r="C85" s="77">
        <f>SUMPRODUCT(--(COUNTIFS('Match Log'!$D$4:$D$819,$A85,'Match Log'!$C$4:$C$819,Lists!$C$2:$C$24)&gt;0))</f>
        <v>4</v>
      </c>
      <c r="D85" s="77">
        <f>COUNTIFS('Match Log'!$D$4:$D$819,$A85,'Match Log'!$E$4:$E$819,"Win")</f>
        <v>10</v>
      </c>
      <c r="E85" s="80">
        <f t="shared" si="25"/>
        <v>0.58823529411764708</v>
      </c>
      <c r="F85" s="82">
        <f>IFERROR(INDEX(Engine!$B$2:$B$15,MATCH($A85,Engine!$A$2:$A$15,0)),"")</f>
        <v>1085.4901250893295</v>
      </c>
      <c r="G85" s="77" t="str">
        <f>IF($B85=0,"No games",IF(AND($B85&gt;='Guide &amp; Settings'!$C$45,$C85&gt;='Guide &amp; Settings'!$C$46),"Eligible","Provisional"))</f>
        <v>Eligible</v>
      </c>
      <c r="S85" s="83">
        <f t="shared" si="26"/>
        <v>1085.4901250893295</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IFERROR(INDEX(Engine!$B$2:$B$15,MATCH($A86,Engine!$A$2:$A$15,0)),"")</f>
        <v>1062.8275894279936</v>
      </c>
      <c r="G86" s="77" t="str">
        <f>IF($B86=0,"No games",IF(AND($B86&gt;='Guide &amp; Settings'!$C$45,$C86&gt;='Guide &amp; Settings'!$C$46),"Eligible","Provisional"))</f>
        <v>Eligible</v>
      </c>
      <c r="S86" s="83">
        <f t="shared" si="26"/>
        <v>1062.8275894279936</v>
      </c>
    </row>
    <row r="87" spans="1:19" ht="15" customHeight="1" x14ac:dyDescent="0.2">
      <c r="A87" s="76" t="s">
        <v>170</v>
      </c>
      <c r="B87" s="77">
        <f>COUNTIF('Match Log'!$D$4:$D$819,$A87)</f>
        <v>59</v>
      </c>
      <c r="C87" s="77">
        <f>SUMPRODUCT(--(COUNTIFS('Match Log'!$D$4:$D$819,$A87,'Match Log'!$C$4:$C$819,Lists!$C$2:$C$24)&gt;0))</f>
        <v>14</v>
      </c>
      <c r="D87" s="77">
        <f>COUNTIFS('Match Log'!$D$4:$D$819,$A87,'Match Log'!$E$4:$E$819,"Win")</f>
        <v>25</v>
      </c>
      <c r="E87" s="80">
        <f t="shared" si="25"/>
        <v>0.42372881355932202</v>
      </c>
      <c r="F87" s="82">
        <f>IFERROR(INDEX(Engine!$B$2:$B$15,MATCH($A87,Engine!$A$2:$A$15,0)),"")</f>
        <v>1029.4526731850108</v>
      </c>
      <c r="G87" s="77" t="str">
        <f>IF($B87=0,"No games",IF(AND($B87&gt;='Guide &amp; Settings'!$C$45,$C87&gt;='Guide &amp; Settings'!$C$46),"Eligible","Provisional"))</f>
        <v>Eligible</v>
      </c>
      <c r="S87" s="83">
        <f t="shared" si="26"/>
        <v>1029.4526731850108</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IFERROR(INDEX(Engine!$B$2:$B$15,MATCH($A88,Engine!$A$2:$A$15,0)),"")</f>
        <v>1040.1422573837137</v>
      </c>
      <c r="G88" s="77" t="str">
        <f>IF($B88=0,"No games",IF(AND($B88&gt;='Guide &amp; Settings'!$C$45,$C88&gt;='Guide &amp; Settings'!$C$46),"Eligible","Provisional"))</f>
        <v>Eligible</v>
      </c>
      <c r="S88" s="83">
        <f t="shared" si="26"/>
        <v>1040.1422573837137</v>
      </c>
    </row>
    <row r="89" spans="1:19" ht="15" customHeight="1" x14ac:dyDescent="0.2">
      <c r="A89" s="76" t="s">
        <v>134</v>
      </c>
      <c r="B89" s="77">
        <f>COUNTIF('Match Log'!$D$4:$D$819,$A89)</f>
        <v>71</v>
      </c>
      <c r="C89" s="77">
        <f>SUMPRODUCT(--(COUNTIFS('Match Log'!$D$4:$D$819,$A89,'Match Log'!$C$4:$C$819,Lists!$C$2:$C$24)&gt;0))</f>
        <v>10</v>
      </c>
      <c r="D89" s="77">
        <f>COUNTIFS('Match Log'!$D$4:$D$819,$A89,'Match Log'!$E$4:$E$819,"Win")</f>
        <v>34</v>
      </c>
      <c r="E89" s="80">
        <f t="shared" si="25"/>
        <v>0.47887323943661969</v>
      </c>
      <c r="F89" s="82">
        <f>IFERROR(INDEX(Engine!$B$2:$B$15,MATCH($A89,Engine!$A$2:$A$15,0)),"")</f>
        <v>1124.7994137993414</v>
      </c>
      <c r="G89" s="77" t="str">
        <f>IF($B89=0,"No games",IF(AND($B89&gt;='Guide &amp; Settings'!$C$45,$C89&gt;='Guide &amp; Settings'!$C$46),"Eligible","Provisional"))</f>
        <v>Eligible</v>
      </c>
      <c r="S89" s="83">
        <f t="shared" si="26"/>
        <v>1124.7994137993414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IFERROR(INDEX(Engine!$B$2:$B$15,MATCH($A90,Engine!$A$2:$A$15,0)),"")</f>
        <v>1029.5175965335138</v>
      </c>
      <c r="G90" s="77" t="str">
        <f>IF($B90=0,"No games",IF(AND($B90&gt;='Guide &amp; Settings'!$C$45,$C90&gt;='Guide &amp; Settings'!$C$46),"Eligible","Provisional"))</f>
        <v>Eligible</v>
      </c>
      <c r="S90" s="83">
        <f t="shared" si="26"/>
        <v>1029.5175965335138</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IFERROR(INDEX(Engine!$B$2:$B$15,MATCH($A91,Engine!$A$2:$A$15,0)),"")</f>
        <v>1009.152401464836</v>
      </c>
      <c r="G91" s="77" t="str">
        <f>IF($B91=0,"No games",IF(AND($B91&gt;='Guide &amp; Settings'!$C$45,$C91&gt;='Guide &amp; Settings'!$C$46),"Eligible","Provisional"))</f>
        <v>Provisional</v>
      </c>
      <c r="S91" s="83">
        <f t="shared" si="26"/>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IFERROR(INDEX(Engine!$B$2:$B$15,MATCH($A92,Engine!$A$2:$A$15,0)),"")</f>
        <v>1052.4264189977837</v>
      </c>
      <c r="G92" s="77" t="str">
        <f>IF($B92=0,"No games",IF(AND($B92&gt;='Guide &amp; Settings'!$C$45,$C92&gt;='Guide &amp; Settings'!$C$46),"Eligible","Provisional"))</f>
        <v>Provisional</v>
      </c>
      <c r="S92" s="83">
        <f t="shared" si="26"/>
        <v>-1</v>
      </c>
    </row>
    <row r="93" spans="1:19" ht="15" customHeight="1" x14ac:dyDescent="0.2">
      <c r="A93" s="76" t="s">
        <v>173</v>
      </c>
      <c r="B93" s="77">
        <f>COUNTIF('Match Log'!$D$4:$D$819,$A93)</f>
        <v>10</v>
      </c>
      <c r="C93" s="77">
        <f>SUMPRODUCT(--(COUNTIFS('Match Log'!$D$4:$D$819,$A93,'Match Log'!$C$4:$C$819,Lists!$C$2:$C$24)&gt;0))</f>
        <v>6</v>
      </c>
      <c r="D93" s="77">
        <f>COUNTIFS('Match Log'!$D$4:$D$819,$A93,'Match Log'!$E$4:$E$819,"Win")</f>
        <v>5</v>
      </c>
      <c r="E93" s="80">
        <f t="shared" si="25"/>
        <v>0.5</v>
      </c>
      <c r="F93" s="82">
        <f>IFERROR(INDEX(Engine!$B$2:$B$15,MATCH($A93,Engine!$A$2:$A$15,0)),"")</f>
        <v>1016.7841648959289</v>
      </c>
      <c r="G93" s="77" t="str">
        <f>IF($B93=0,"No games",IF(AND($B93&gt;='Guide &amp; Settings'!$C$45,$C93&gt;='Guide &amp; Settings'!$C$46),"Eligible","Provisional"))</f>
        <v>Eligible</v>
      </c>
      <c r="S93" s="83">
        <f t="shared" si="26"/>
        <v>1016.7841648959289</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IFERROR(INDEX(Engine!$B$2:$B$15,MATCH($A94,Engine!$A$2:$A$15,0)),"")</f>
        <v>1000</v>
      </c>
      <c r="G94" s="77" t="str">
        <f>IF($B94=0,"No games",IF(AND($B94&gt;='Guide &amp; Settings'!$C$45,$C94&gt;='Guide &amp; Settings'!$C$46),"Eligible","Provisional"))</f>
        <v>No games</v>
      </c>
      <c r="S94">
        <f t="shared" si="26"/>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IFERROR(INDEX(Engine!$B$2:$B$15,MATCH($A95,Engine!$A$2:$A$15,0)),"")</f>
        <v>973.19705892757202</v>
      </c>
      <c r="G95" s="77" t="str">
        <f>IF($B95=0,"No games",IF(AND($B95&gt;='Guide &amp; Settings'!$C$45,$C95&gt;='Guide &amp; Settings'!$C$46),"Eligible","Provisional"))</f>
        <v>Eligible</v>
      </c>
      <c r="S95" s="83">
        <f t="shared" si="26"/>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IFERROR(INDEX(Engine!$B$2:$B$15,MATCH($A96,Engine!$A$2:$A$15,0)),"")</f>
        <v>893.15761519837804</v>
      </c>
      <c r="G96" s="77" t="str">
        <f>IF($B96=0,"No games",IF(AND($B96&gt;='Guide &amp; Settings'!$C$45,$C96&gt;='Guide &amp; Settings'!$C$46),"Eligible","Provisional"))</f>
        <v>Eligible</v>
      </c>
      <c r="S96" s="83">
        <f t="shared" si="26"/>
        <v>893.15761519837804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t="str">
        <f>IFERROR(LOOKUP(2,1/(('Match Log'!$D$4:$D$819=D$99)*('Match Log'!$C$4:$C$819=$A100)),'Match Log'!$AB$4:$AB$819),"")</f>
        <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t="str">
        <f>IFERROR(LOOKUP(2,1/(('Match Log'!$D$4:$D$819=H$99)*('Match Log'!$C$4:$C$819=$A100)),'Match Log'!$AB$4:$AB$819),"")</f>
        <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7">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7"/>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7"/>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7"/>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7"/>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7"/>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7"/>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7"/>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7"/>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7"/>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7"/>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7"/>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7"/>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7"/>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7"/>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7"/>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7"/>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7"/>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7"/>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447</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448</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449</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71</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14</v>
      </c>
      <c r="C22" s="39" t="str">
        <f>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4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117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4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157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1125</v>
      </c>
      <c r="D18" s="105" t="str">
        <f>IF(2=1,"— leader —",ROUND(MAX(Calcs!$B$7:$B$20)-LARGE(Calcs!$B$7:$B$20,2),0)&amp;" behind")</f>
        <v>117 behind</v>
      </c>
      <c r="E18" s="99"/>
      <c r="F18" s="26"/>
    </row>
    <row r="19" spans="1:6" ht="15" customHeight="1" x14ac:dyDescent="0.2">
      <c r="A19" s="104">
        <v>3</v>
      </c>
      <c r="B19" s="55" t="str">
        <f>INDEX(Calcs!$A$7:$A$20,MATCH(LARGE(Calcs!$B$7:$B$20,3),Calcs!$B$7:$B$20,0))</f>
        <v>Simon</v>
      </c>
      <c r="C19" s="104">
        <f>ROUND(LARGE(Calcs!$B$7:$B$20,3),0)</f>
        <v>1085</v>
      </c>
      <c r="D19" s="105" t="str">
        <f>IF(3=1,"— leader —",ROUND(MAX(Calcs!$B$7:$B$20)-LARGE(Calcs!$B$7:$B$20,3),0)&amp;" behind")</f>
        <v>156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W</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447</v>
      </c>
      <c r="W57" s="26" t="s">
        <v>448</v>
      </c>
      <c r="X57" s="26" t="s">
        <v>449</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t="str">
        <f>IFERROR(INDEX('Sport Records'!$B$58:$O$80,MATCH($B$57,'Sport Records'!$A$58:$A$80,0),MATCH($A60,'Sport Records'!$B$57:$O$57,0)),"")</f>
        <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t="str">
        <f>IFERROR(INDEX('Sport Records'!$B$58:$O$80,MATCH($B$57,'Sport Records'!$A$58:$A$80,0),MATCH($A64,'Sport Records'!$B$57:$O$57,0)),"")</f>
        <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337" activePane="bottomRight" state="frozen"/>
      <selection pane="topRight" activeCell="F1" sqref="F1"/>
      <selection pane="bottomLeft" activeCell="A244" sqref="A244"/>
      <selection pane="bottomRight" activeCell="D370" sqref="D370"/>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IF($D339="","",IF(SUMPRODUCT(MAX(($D$4:$D$810=$D339)*($B$4:$B$810&lt;$B339)*$B$4:$B$810))=0,0,MAX(($B339-MAX(SUMPRODUCT(MAX(($D$4:$D$810=$D339)*($B$4:$B$810&lt;$B339)*$B$4:$B$810)),'Guide &amp; Settings'!$C$50))/7-'Guide &amp; Settings'!$C$48,0)*'Guide &amp; Settings'!$C$49))</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IF($D340="","",IF(SUMPRODUCT(MAX(($D$4:$D$810=$D340)*($B$4:$B$810&lt;$B340)*$B$4:$B$810))=0,0,MAX(($B340-MAX(SUMPRODUCT(MAX(($D$4:$D$810=$D340)*($B$4:$B$810&lt;$B340)*$B$4:$B$810)),'Guide &amp; Settings'!$C$50))/7-'Guide &amp; Settings'!$C$48,0)*'Guide &amp; Settings'!$C$49))</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IF($D341="","",IF(SUMPRODUCT(MAX(($D$4:$D$810=$D341)*($B$4:$B$810&lt;$B341)*$B$4:$B$810))=0,0,MAX(($B341-MAX(SUMPRODUCT(MAX(($D$4:$D$810=$D341)*($B$4:$B$810&lt;$B341)*$B$4:$B$810)),'Guide &amp; Settings'!$C$50))/7-'Guide &amp; Settings'!$C$48,0)*'Guide &amp; Settings'!$C$49))</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IF($D342="","",IF(SUMPRODUCT(MAX(($D$4:$D$810=$D342)*($B$4:$B$810&lt;$B342)*$B$4:$B$810))=0,0,MAX(($B342-MAX(SUMPRODUCT(MAX(($D$4:$D$810=$D342)*($B$4:$B$810&lt;$B342)*$B$4:$B$810)),'Guide &amp; Settings'!$C$50))/7-'Guide &amp; Settings'!$C$48,0)*'Guide &amp; Settings'!$C$49))</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IF($D343="","",IF(SUMPRODUCT(MAX(($D$4:$D$810=$D343)*($B$4:$B$810&lt;$B343)*$B$4:$B$810))=0,0,MAX(($B343-MAX(SUMPRODUCT(MAX(($D$4:$D$810=$D343)*($B$4:$B$810&lt;$B343)*$B$4:$B$810)),'Guide &amp; Settings'!$C$50))/7-'Guide &amp; Settings'!$C$48,0)*'Guide &amp; Settings'!$C$49))</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IF($D344="","",IF(SUMPRODUCT(MAX(($D$4:$D$810=$D344)*($B$4:$B$810&lt;$B344)*$B$4:$B$810))=0,0,MAX(($B344-MAX(SUMPRODUCT(MAX(($D$4:$D$810=$D344)*($B$4:$B$810&lt;$B344)*$B$4:$B$810)),'Guide &amp; Settings'!$C$50))/7-'Guide &amp; Settings'!$C$48,0)*'Guide &amp; Settings'!$C$49))</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IF($D345="","",IF(SUMPRODUCT(MAX(($D$4:$D$810=$D345)*($B$4:$B$810&lt;$B345)*$B$4:$B$810))=0,0,MAX(($B345-MAX(SUMPRODUCT(MAX(($D$4:$D$810=$D345)*($B$4:$B$810&lt;$B345)*$B$4:$B$810)),'Guide &amp; Settings'!$C$50))/7-'Guide &amp; Settings'!$C$48,0)*'Guide &amp; Settings'!$C$49))</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IF($D346="","",IF(SUMPRODUCT(MAX(($D$4:$D$810=$D346)*($B$4:$B$810&lt;$B346)*$B$4:$B$810))=0,0,MAX(($B346-MAX(SUMPRODUCT(MAX(($D$4:$D$810=$D346)*($B$4:$B$810&lt;$B346)*$B$4:$B$810)),'Guide &amp; Settings'!$C$50))/7-'Guide &amp; Settings'!$C$48,0)*'Guide &amp; Settings'!$C$49))</f>
        <v>0</v>
      </c>
    </row>
    <row r="347" spans="1:29" x14ac:dyDescent="0.2">
      <c r="A347" s="111">
        <v>149</v>
      </c>
      <c r="B347" s="112">
        <v>46215</v>
      </c>
      <c r="C347" s="113" t="s">
        <v>447</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IF($D347="","",IF(SUMPRODUCT(MAX(($D$4:$D$810=$D347)*($B$4:$B$810&lt;$B347)*$B$4:$B$810))=0,0,MAX(($B347-MAX(SUMPRODUCT(MAX(($D$4:$D$810=$D347)*($B$4:$B$810&lt;$B347)*$B$4:$B$810)),'Guide &amp; Settings'!$C$50))/7-'Guide &amp; Settings'!$C$48,0)*'Guide &amp; Settings'!$C$49))</f>
        <v>0</v>
      </c>
    </row>
    <row r="348" spans="1:29" x14ac:dyDescent="0.2">
      <c r="A348" s="111">
        <v>149</v>
      </c>
      <c r="B348" s="112">
        <v>46215</v>
      </c>
      <c r="C348" s="113" t="s">
        <v>447</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IF($D348="","",IF(SUMPRODUCT(MAX(($D$4:$D$810=$D348)*($B$4:$B$810&lt;$B348)*$B$4:$B$810))=0,0,MAX(($B348-MAX(SUMPRODUCT(MAX(($D$4:$D$810=$D348)*($B$4:$B$810&lt;$B348)*$B$4:$B$810)),'Guide &amp; Settings'!$C$50))/7-'Guide &amp; Settings'!$C$48,0)*'Guide &amp; Settings'!$C$49))</f>
        <v>0</v>
      </c>
    </row>
    <row r="349" spans="1:29" x14ac:dyDescent="0.2">
      <c r="A349" s="111">
        <v>150</v>
      </c>
      <c r="B349" s="112">
        <v>46215</v>
      </c>
      <c r="C349" s="113" t="s">
        <v>447</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IF($D349="","",IF(SUMPRODUCT(MAX(($D$4:$D$810=$D349)*($B$4:$B$810&lt;$B349)*$B$4:$B$810))=0,0,MAX(($B349-MAX(SUMPRODUCT(MAX(($D$4:$D$810=$D349)*($B$4:$B$810&lt;$B349)*$B$4:$B$810)),'Guide &amp; Settings'!$C$50))/7-'Guide &amp; Settings'!$C$48,0)*'Guide &amp; Settings'!$C$49))</f>
        <v>0</v>
      </c>
    </row>
    <row r="350" spans="1:29" x14ac:dyDescent="0.2">
      <c r="A350" s="111">
        <v>150</v>
      </c>
      <c r="B350" s="112">
        <v>46215</v>
      </c>
      <c r="C350" s="113" t="s">
        <v>447</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IF($D350="","",IF(SUMPRODUCT(MAX(($D$4:$D$810=$D350)*($B$4:$B$810&lt;$B350)*$B$4:$B$810))=0,0,MAX(($B350-MAX(SUMPRODUCT(MAX(($D$4:$D$810=$D350)*($B$4:$B$810&lt;$B350)*$B$4:$B$810)),'Guide &amp; Settings'!$C$50))/7-'Guide &amp; Settings'!$C$48,0)*'Guide &amp; Settings'!$C$49))</f>
        <v>0</v>
      </c>
    </row>
    <row r="351" spans="1:29" x14ac:dyDescent="0.2">
      <c r="A351" s="111">
        <v>151</v>
      </c>
      <c r="B351" s="112">
        <v>46215</v>
      </c>
      <c r="C351" s="113" t="s">
        <v>447</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IF($D351="","",IF(SUMPRODUCT(MAX(($D$4:$D$810=$D351)*($B$4:$B$810&lt;$B351)*$B$4:$B$810))=0,0,MAX(($B351-MAX(SUMPRODUCT(MAX(($D$4:$D$810=$D351)*($B$4:$B$810&lt;$B351)*$B$4:$B$810)),'Guide &amp; Settings'!$C$50))/7-'Guide &amp; Settings'!$C$48,0)*'Guide &amp; Settings'!$C$49))</f>
        <v>0</v>
      </c>
    </row>
    <row r="352" spans="1:29" x14ac:dyDescent="0.2">
      <c r="A352" s="111">
        <v>151</v>
      </c>
      <c r="B352" s="112">
        <v>46215</v>
      </c>
      <c r="C352" s="113" t="s">
        <v>447</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IF($D352="","",IF(SUMPRODUCT(MAX(($D$4:$D$810=$D352)*($B$4:$B$810&lt;$B352)*$B$4:$B$810))=0,0,MAX(($B352-MAX(SUMPRODUCT(MAX(($D$4:$D$810=$D352)*($B$4:$B$810&lt;$B352)*$B$4:$B$810)),'Guide &amp; Settings'!$C$50))/7-'Guide &amp; Settings'!$C$48,0)*'Guide &amp; Settings'!$C$49))</f>
        <v>0</v>
      </c>
    </row>
    <row r="353" spans="1:29" x14ac:dyDescent="0.2">
      <c r="A353" s="111">
        <v>152</v>
      </c>
      <c r="B353" s="112">
        <v>46215</v>
      </c>
      <c r="C353" s="113" t="s">
        <v>447</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IF($D353="","",IF(SUMPRODUCT(MAX(($D$4:$D$810=$D353)*($B$4:$B$810&lt;$B353)*$B$4:$B$810))=0,0,MAX(($B353-MAX(SUMPRODUCT(MAX(($D$4:$D$810=$D353)*($B$4:$B$810&lt;$B353)*$B$4:$B$810)),'Guide &amp; Settings'!$C$50))/7-'Guide &amp; Settings'!$C$48,0)*'Guide &amp; Settings'!$C$49))</f>
        <v>0</v>
      </c>
    </row>
    <row r="354" spans="1:29" x14ac:dyDescent="0.2">
      <c r="A354" s="111">
        <v>152</v>
      </c>
      <c r="B354" s="112">
        <v>46215</v>
      </c>
      <c r="C354" s="113" t="s">
        <v>447</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IF($D354="","",IF(SUMPRODUCT(MAX(($D$4:$D$810=$D354)*($B$4:$B$810&lt;$B354)*$B$4:$B$810))=0,0,MAX(($B354-MAX(SUMPRODUCT(MAX(($D$4:$D$810=$D354)*($B$4:$B$810&lt;$B354)*$B$4:$B$810)),'Guide &amp; Settings'!$C$50))/7-'Guide &amp; Settings'!$C$48,0)*'Guide &amp; Settings'!$C$49))</f>
        <v>0</v>
      </c>
    </row>
    <row r="355" spans="1:29" x14ac:dyDescent="0.2">
      <c r="A355" s="111">
        <v>153</v>
      </c>
      <c r="B355" s="112">
        <v>46215</v>
      </c>
      <c r="C355" s="113" t="s">
        <v>448</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IF($D355="","",IF(SUMPRODUCT(MAX(($D$4:$D$810=$D355)*($B$4:$B$810&lt;$B355)*$B$4:$B$810))=0,0,MAX(($B355-MAX(SUMPRODUCT(MAX(($D$4:$D$810=$D355)*($B$4:$B$810&lt;$B355)*$B$4:$B$810)),'Guide &amp; Settings'!$C$50))/7-'Guide &amp; Settings'!$C$48,0)*'Guide &amp; Settings'!$C$49))</f>
        <v>0</v>
      </c>
    </row>
    <row r="356" spans="1:29" x14ac:dyDescent="0.2">
      <c r="A356" s="111">
        <v>153</v>
      </c>
      <c r="B356" s="112">
        <v>46215</v>
      </c>
      <c r="C356" s="113" t="s">
        <v>448</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IF($D356="","",IF(SUMPRODUCT(MAX(($D$4:$D$810=$D356)*($B$4:$B$810&lt;$B356)*$B$4:$B$810))=0,0,MAX(($B356-MAX(SUMPRODUCT(MAX(($D$4:$D$810=$D356)*($B$4:$B$810&lt;$B356)*$B$4:$B$810)),'Guide &amp; Settings'!$C$50))/7-'Guide &amp; Settings'!$C$48,0)*'Guide &amp; Settings'!$C$49))</f>
        <v>0</v>
      </c>
    </row>
    <row r="357" spans="1:29" x14ac:dyDescent="0.2">
      <c r="A357" s="111">
        <v>154</v>
      </c>
      <c r="B357" s="112">
        <v>46215</v>
      </c>
      <c r="C357" s="113" t="s">
        <v>449</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IF($D357="","",IF(SUMPRODUCT(MAX(($D$4:$D$810=$D357)*($B$4:$B$810&lt;$B357)*$B$4:$B$810))=0,0,MAX(($B357-MAX(SUMPRODUCT(MAX(($D$4:$D$810=$D357)*($B$4:$B$810&lt;$B357)*$B$4:$B$810)),'Guide &amp; Settings'!$C$50))/7-'Guide &amp; Settings'!$C$48,0)*'Guide &amp; Settings'!$C$49))</f>
        <v>0</v>
      </c>
    </row>
    <row r="358" spans="1:29" x14ac:dyDescent="0.2">
      <c r="A358" s="111">
        <v>154</v>
      </c>
      <c r="B358" s="112">
        <v>46215</v>
      </c>
      <c r="C358" s="113" t="s">
        <v>449</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IF($D358="","",IF(SUMPRODUCT(MAX(($D$4:$D$810=$D358)*($B$4:$B$810&lt;$B358)*$B$4:$B$810))=0,0,MAX(($B358-MAX(SUMPRODUCT(MAX(($D$4:$D$810=$D358)*($B$4:$B$810&lt;$B358)*$B$4:$B$810)),'Guide &amp; Settings'!$C$50))/7-'Guide &amp; Settings'!$C$48,0)*'Guide &amp; Settings'!$C$49))</f>
        <v>0</v>
      </c>
    </row>
    <row r="359" spans="1:29" x14ac:dyDescent="0.2">
      <c r="A359" s="111">
        <v>154</v>
      </c>
      <c r="B359" s="112">
        <v>46215</v>
      </c>
      <c r="C359" s="113" t="s">
        <v>449</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IF($D359="","",IF(SUMPRODUCT(MAX(($D$4:$D$810=$D359)*($B$4:$B$810&lt;$B359)*$B$4:$B$810))=0,0,MAX(($B359-MAX(SUMPRODUCT(MAX(($D$4:$D$810=$D359)*($B$4:$B$810&lt;$B359)*$B$4:$B$810)),'Guide &amp; Settings'!$C$50))/7-'Guide &amp; Settings'!$C$48,0)*'Guide &amp; Settings'!$C$49))</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IF($D360="","",IF(SUMPRODUCT(MAX(($D$4:$D$810=$D360)*($B$4:$B$810&lt;$B360)*$B$4:$B$810))=0,0,MAX(($B360-MAX(SUMPRODUCT(MAX(($D$4:$D$810=$D360)*($B$4:$B$810&lt;$B360)*$B$4:$B$810)),'Guide &amp; Settings'!$C$50))/7-'Guide &amp; Settings'!$C$48,0)*'Guide &amp; Settings'!$C$49))</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IF($D361="","",IF(SUMPRODUCT(MAX(($D$4:$D$810=$D361)*($B$4:$B$810&lt;$B361)*$B$4:$B$810))=0,0,MAX(($B361-MAX(SUMPRODUCT(MAX(($D$4:$D$810=$D361)*($B$4:$B$810&lt;$B361)*$B$4:$B$810)),'Guide &amp; Settings'!$C$50))/7-'Guide &amp; Settings'!$C$48,0)*'Guide &amp; Settings'!$C$49))</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IF($D362="","",IF(SUMPRODUCT(MAX(($D$4:$D$810=$D362)*($B$4:$B$810&lt;$B362)*$B$4:$B$810))=0,0,MAX(($B362-MAX(SUMPRODUCT(MAX(($D$4:$D$810=$D362)*($B$4:$B$810&lt;$B362)*$B$4:$B$810)),'Guide &amp; Settings'!$C$50))/7-'Guide &amp; Settings'!$C$48,0)*'Guide &amp; Settings'!$C$49))</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IF($D363="","",IF(SUMPRODUCT(MAX(($D$4:$D$810=$D363)*($B$4:$B$810&lt;$B363)*$B$4:$B$810))=0,0,MAX(($B363-MAX(SUMPRODUCT(MAX(($D$4:$D$810=$D363)*($B$4:$B$810&lt;$B363)*$B$4:$B$810)),'Guide &amp; Settings'!$C$50))/7-'Guide &amp; Settings'!$C$48,0)*'Guide &amp; Settings'!$C$49))</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IF($D364="","",IF(SUMPRODUCT(MAX(($D$4:$D$810=$D364)*($B$4:$B$810&lt;$B364)*$B$4:$B$810))=0,0,MAX(($B364-MAX(SUMPRODUCT(MAX(($D$4:$D$810=$D364)*($B$4:$B$810&lt;$B364)*$B$4:$B$810)),'Guide &amp; Settings'!$C$50))/7-'Guide &amp; Settings'!$C$48,0)*'Guide &amp; Settings'!$C$49))</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IF($D365="","",IF(SUMPRODUCT(MAX(($D$4:$D$810=$D365)*($B$4:$B$810&lt;$B365)*$B$4:$B$810))=0,0,MAX(($B365-MAX(SUMPRODUCT(MAX(($D$4:$D$810=$D365)*($B$4:$B$810&lt;$B365)*$B$4:$B$810)),'Guide &amp; Settings'!$C$50))/7-'Guide &amp; Settings'!$C$48,0)*'Guide &amp; Settings'!$C$49))</f>
        <v>0</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row>
    <row r="5" spans="1:35" x14ac:dyDescent="0.2">
      <c r="B5">
        <f ca="1">TODAY()-7</f>
        <v>46208</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1081.6599848659405</v>
      </c>
      <c r="D7">
        <f t="shared" ref="D7:D20" si="0">RANK($B7,$B$7:$B$20)</f>
        <v>7</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-4</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0.14285714285714285</v>
      </c>
      <c r="R7">
        <f>IF($P7=0,0,MAX($Q7-'Guide &amp; Settings'!$C$48,0)*'Guide &amp; Settings'!$C$49)</f>
        <v>0</v>
      </c>
      <c r="S7">
        <f>$B7-$R7-$U7+SUMIF('Poker Stake Ledger'!$C$18:$C$137,$A7,'Poker Stake Ledger'!$K$18:$K$137)</f>
        <v>1040.1422573837137</v>
      </c>
      <c r="T7" t="str">
        <f>IF($P7=0,"No games",IF($Q7&gt;='Guide &amp; Settings'!$C$48,"Inactive",IF($Q7&gt;='Guide &amp; Settings'!$C$47,"At risk","Active")))</f>
        <v>Active</v>
      </c>
      <c r="U7">
        <f>SUMIF('Match Log'!$D$4:$D$810,$A7,'Match Log'!$AC$4:$AC$810)</f>
        <v>0</v>
      </c>
      <c r="V7">
        <f t="shared" ref="V7:V20" si="9">IF($F7="Loss",$G7,0)</f>
        <v>3</v>
      </c>
      <c r="W7">
        <f t="shared" ref="W7:W20" si="10">MAX(0,MIN(100,50+($S7-1000)/4))</f>
        <v>60.035564345928435</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70.414996216485122</v>
      </c>
      <c r="AB7">
        <f t="shared" ref="AB7:AB20" si="13">0.35*$W7+0.2*$X7+0.2*$Y7+0.15*$Z7+0.1*$AA7</f>
        <v>64.488729751419115</v>
      </c>
      <c r="AC7">
        <f>IFERROR(SUMPRODUCT((INDEX('Sport Records'!$B$8:$O$26,0,MATCH($A7,'Sport Records'!$B$7:$O$7,0))&gt;=2)*(INDEX('Sport Records'!$B$58:$O$76,0,MATCH($A7,'Sport Records'!$B$57:$O$57,0))&gt;=0.5)),0)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1040.1422580837138</v>
      </c>
    </row>
    <row r="8" spans="1:35" ht="15" customHeight="1" x14ac:dyDescent="0.2">
      <c r="A8" t="s">
        <v>135</v>
      </c>
      <c r="B8">
        <f>IFERROR(INDEX(Engine!$B$2:$B$15,MATCH($A8,Engine!$A$2:$A$15,0)),1000)</f>
        <v>1029.5175965335138</v>
      </c>
      <c r="C8">
        <f>IFERROR(INDEX(Engine!$C$2:$C$15,MATCH($A8,Engine!$A$2:$A$15,0)),"")</f>
        <v>1062.7795094888347</v>
      </c>
      <c r="D8">
        <f t="shared" si="0"/>
        <v>8</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1</v>
      </c>
      <c r="M8">
        <f t="shared" si="5"/>
        <v>0</v>
      </c>
      <c r="N8">
        <f t="shared" si="6"/>
        <v>2</v>
      </c>
      <c r="O8">
        <f t="shared" si="7"/>
        <v>0</v>
      </c>
      <c r="P8">
        <f>IFERROR(SUMPRODUCT(MAX(('Match Log'!$D$4:$D$810=$A8)*'Match Log'!$B$4:$B$810)),0)</f>
        <v>46188</v>
      </c>
      <c r="Q8">
        <f t="shared" si="8"/>
        <v>3.8571428571428572</v>
      </c>
      <c r="R8">
        <f>IF($P8=0,0,MAX($Q8-'Guide &amp; Settings'!$C$48,0)*'Guide &amp; Settings'!$C$49)</f>
        <v>0</v>
      </c>
      <c r="S8">
        <f>$B8-$R8-$U8+SUMIF('Poker Stake Ledger'!$C$18:$C$137,$A8,'Poker Stake Ledger'!$K$18:$K$137)</f>
        <v>1029.5175965335138</v>
      </c>
      <c r="T8" t="str">
        <f>IF($P8=0,"No games",IF($Q8&gt;='Guide &amp; Settings'!$C$48,"Inactive",IF($Q8&gt;='Guide &amp; Settings'!$C$47,"At risk","Active")))</f>
        <v>At risk</v>
      </c>
      <c r="U8">
        <f>SUMIF('Match Log'!$D$4:$D$810,$A8,'Match Log'!$AC$4:$AC$810)</f>
        <v>0</v>
      </c>
      <c r="V8">
        <f t="shared" si="9"/>
        <v>2</v>
      </c>
      <c r="W8">
        <f t="shared" si="10"/>
        <v>57.379399133378456</v>
      </c>
      <c r="X8">
        <f>IFERROR(INDEX(Dashboard!$G$5:$G$18,MATCH($A8,Dashboard!$B$5:$B$18,0))*100,0)</f>
        <v>50</v>
      </c>
      <c r="Y8">
        <f>MIN(100,IFERROR(INDEX(Dashboard!$K$5:$K$18,MATCH($A8,Dashboard!$B$5:$B$18,0)),0)/5*50+$AC8/4*50)</f>
        <v>42.5</v>
      </c>
      <c r="Z8">
        <f t="shared" si="11"/>
        <v>40</v>
      </c>
      <c r="AA8">
        <f t="shared" si="12"/>
        <v>65.69487737220868</v>
      </c>
      <c r="AB8">
        <f t="shared" si="13"/>
        <v>51.152277433903322</v>
      </c>
      <c r="AC8">
        <f>IFERROR(SUMPRODUCT((INDEX('Sport Records'!$B$8:$O$26,0,MATCH($A8,'Sport Records'!$B$7:$O$7,0))&gt;=2)*(INDEX('Sport Records'!$B$58:$O$76,0,MATCH($A8,'Sport Records'!$B$57:$O$57,0))&gt;=0.5)),0)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1029.5175973335138</v>
      </c>
    </row>
    <row r="9" spans="1:35" ht="15" customHeight="1" x14ac:dyDescent="0.2">
      <c r="A9" t="s">
        <v>173</v>
      </c>
      <c r="B9">
        <f>IFERROR(INDEX(Engine!$B$2:$B$15,MATCH($A9,Engine!$A$2:$A$15,0)),1000)</f>
        <v>1016.7841648959289</v>
      </c>
      <c r="C9">
        <f>IFERROR(INDEX(Engine!$C$2:$C$15,MATCH($A9,Engine!$A$2:$A$15,0)),"")</f>
        <v>1034.8686343783481</v>
      </c>
      <c r="D9">
        <f t="shared" si="0"/>
        <v>10</v>
      </c>
      <c r="E9">
        <f t="shared" si="1"/>
        <v>224.91877142912438</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1016.7841648959289</v>
      </c>
      <c r="K9">
        <f t="shared" si="3"/>
        <v>10</v>
      </c>
      <c r="L9">
        <f t="shared" si="4"/>
        <v>0</v>
      </c>
      <c r="M9">
        <f t="shared" si="5"/>
        <v>0</v>
      </c>
      <c r="N9">
        <f t="shared" si="6"/>
        <v>2</v>
      </c>
      <c r="O9">
        <f t="shared" si="7"/>
        <v>1</v>
      </c>
      <c r="P9">
        <f>IFERROR(SUMPRODUCT(MAX(('Match Log'!$D$4:$D$810=$A9)*'Match Log'!$B$4:$B$810)),0)</f>
        <v>46188</v>
      </c>
      <c r="Q9">
        <f t="shared" si="8"/>
        <v>3.8571428571428572</v>
      </c>
      <c r="R9">
        <f>IF($P9=0,0,MAX($Q9-'Guide &amp; Settings'!$C$48,0)*'Guide &amp; Settings'!$C$49)</f>
        <v>0</v>
      </c>
      <c r="S9">
        <f>$B9-$R9-$U9+SUMIF('Poker Stake Ledger'!$C$18:$C$137,$A9,'Poker Stake Ledger'!$K$18:$K$137)</f>
        <v>1016.7841648959289</v>
      </c>
      <c r="T9" t="str">
        <f>IF($P9=0,"No games",IF($Q9&gt;='Guide &amp; Settings'!$C$48,"Inactive",IF($Q9&gt;='Guide &amp; Settings'!$C$47,"At risk","Active")))</f>
        <v>At risk</v>
      </c>
      <c r="U9">
        <f>SUMIF('Match Log'!$D$4:$D$810,$A9,'Match Log'!$AC$4:$AC$810)</f>
        <v>0</v>
      </c>
      <c r="V9">
        <f t="shared" si="9"/>
        <v>0</v>
      </c>
      <c r="W9">
        <f t="shared" si="10"/>
        <v>54.196041223982235</v>
      </c>
      <c r="X9">
        <f>IFERROR(INDEX(Dashboard!$G$5:$G$18,MATCH($A9,Dashboard!$B$5:$B$18,0))*100,0)</f>
        <v>50</v>
      </c>
      <c r="Y9">
        <f>MIN(100,IFERROR(INDEX(Dashboard!$K$5:$K$18,MATCH($A9,Dashboard!$B$5:$B$18,0)),0)/5*50+$AC9/4*50)</f>
        <v>72.5</v>
      </c>
      <c r="Z9">
        <f t="shared" si="11"/>
        <v>40</v>
      </c>
      <c r="AA9">
        <f t="shared" si="12"/>
        <v>58.717158594587033</v>
      </c>
      <c r="AB9">
        <f t="shared" si="13"/>
        <v>55.340330287852481</v>
      </c>
      <c r="AC9">
        <f>IFERROR(SUMPRODUCT((INDEX('Sport Records'!$B$8:$O$26,0,MATCH($A9,'Sport Records'!$B$7:$O$7,0))&gt;=2)*(INDEX('Sport Records'!$B$58:$O$76,0,MATCH($A9,'Sport Records'!$B$57:$O$57,0))&gt;=0.5)),0)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1016.784165795929</v>
      </c>
    </row>
    <row r="10" spans="1:35" ht="15" customHeight="1" x14ac:dyDescent="0.2">
      <c r="A10" t="s">
        <v>140</v>
      </c>
      <c r="B10">
        <f>IFERROR(INDEX(Engine!$B$2:$B$15,MATCH($A10,Engine!$A$2:$A$15,0)),1000)</f>
        <v>973.19705892757202</v>
      </c>
      <c r="C10">
        <f>IFERROR(INDEX(Engine!$C$2:$C$15,MATCH($A10,Engine!$A$2:$A$15,0)),"")</f>
        <v>1063.0198308398803</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si="8"/>
        <v>0.14285714285714285</v>
      </c>
      <c r="R10">
        <f>IF($P10=0,0,MAX($Q10-'Guide &amp; Settings'!$C$48,0)*'Guide &amp; Settings'!$C$49)</f>
        <v>0</v>
      </c>
      <c r="S10">
        <f>$B10-$R10-$U10+SUMIF('Poker Stake Ledger'!$C$18:$C$137,$A10,'Poker Stake Ledger'!$K$18:$K$137)</f>
        <v>973.19705892757202</v>
      </c>
      <c r="T10" t="str">
        <f>IF($P10=0,"No games",IF($Q10&gt;='Guide &amp; Settings'!$C$48,"Inactive",IF($Q10&gt;='Guide &amp; Settings'!$C$47,"At risk","Active")))</f>
        <v>Active</v>
      </c>
      <c r="U10">
        <f>SUMIF('Match Log'!$D$4:$D$810,$A10,'Match Log'!$AC$4:$AC$810)</f>
        <v>0</v>
      </c>
      <c r="V10">
        <f t="shared" si="9"/>
        <v>1</v>
      </c>
      <c r="W10">
        <f t="shared" si="10"/>
        <v>43.299264731893004</v>
      </c>
      <c r="X10">
        <f>IFERROR(INDEX(Dashboard!$G$5:$G$18,MATCH($A10,Dashboard!$B$5:$B$18,0))*100,0)</f>
        <v>26.666666666666668</v>
      </c>
      <c r="Y10">
        <f>MIN(100,IFERROR(INDEX(Dashboard!$K$5:$K$18,MATCH($A10,Dashboard!$B$5:$B$18,0)),0)/5*50+$AC10/4*50)</f>
        <v>40</v>
      </c>
      <c r="Z10">
        <f t="shared" si="11"/>
        <v>40</v>
      </c>
      <c r="AA10">
        <f t="shared" si="12"/>
        <v>65.754957709970085</v>
      </c>
      <c r="AB10">
        <f t="shared" si="13"/>
        <v>41.063571760492891</v>
      </c>
      <c r="AC10">
        <f>IFERROR(SUMPRODUCT((INDEX('Sport Records'!$B$8:$O$26,0,MATCH($A10,'Sport Records'!$B$7:$O$7,0))&gt;=2)*(INDEX('Sport Records'!$B$58:$O$76,0,MATCH($A10,'Sport Records'!$B$57:$O$57,0))&gt;=0.5)),0)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973.19705992757201</v>
      </c>
    </row>
    <row r="11" spans="1:35" ht="15" customHeight="1" x14ac:dyDescent="0.2">
      <c r="A11" t="s">
        <v>137</v>
      </c>
      <c r="B11">
        <f>IFERROR(INDEX(Engine!$B$2:$B$15,MATCH($A11,Engine!$A$2:$A$15,0)),1000)</f>
        <v>1063.3497487715442</v>
      </c>
      <c r="C11">
        <f>IFERROR(INDEX(Engine!$C$2:$C$15,MATCH($A11,Engine!$A$2:$A$15,0)),"")</f>
        <v>1066.5448152967458</v>
      </c>
      <c r="D11">
        <f t="shared" si="0"/>
        <v>4</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-2</v>
      </c>
      <c r="M11">
        <f t="shared" si="5"/>
        <v>0</v>
      </c>
      <c r="N11">
        <f t="shared" si="6"/>
        <v>1</v>
      </c>
      <c r="O11">
        <f t="shared" si="7"/>
        <v>0</v>
      </c>
      <c r="P11">
        <f>IFERROR(SUMPRODUCT(MAX(('Match Log'!$D$4:$D$810=$A11)*'Match Log'!$B$4:$B$810)),0)</f>
        <v>46215</v>
      </c>
      <c r="Q11">
        <f t="shared" si="8"/>
        <v>0</v>
      </c>
      <c r="R11">
        <f>IF($P11=0,0,MAX($Q11-'Guide &amp; Settings'!$C$48,0)*'Guide &amp; Settings'!$C$49)</f>
        <v>0</v>
      </c>
      <c r="S11">
        <f>$B11-$R11-$U11+SUMIF('Poker Stake Ledger'!$C$18:$C$137,$A11,'Poker Stake Ledger'!$K$18:$K$137)</f>
        <v>1063.3497487715442</v>
      </c>
      <c r="T11" t="str">
        <f>IF($P11=0,"No games",IF($Q11&gt;='Guide &amp; Settings'!$C$48,"Inactive",IF($Q11&gt;='Guide &amp; Settings'!$C$47,"At risk","Active")))</f>
        <v>Active</v>
      </c>
      <c r="U11">
        <f>SUMIF('Match Log'!$D$4:$D$810,$A11,'Match Log'!$AC$4:$AC$810)</f>
        <v>0</v>
      </c>
      <c r="V11">
        <f t="shared" si="9"/>
        <v>2</v>
      </c>
      <c r="W11">
        <f t="shared" si="10"/>
        <v>65.837437192886057</v>
      </c>
      <c r="X11">
        <f>IFERROR(INDEX(Dashboard!$G$5:$G$18,MATCH($A11,Dashboard!$B$5:$B$18,0))*100,0)</f>
        <v>56.756756756756758</v>
      </c>
      <c r="Y11">
        <f>MIN(100,IFERROR(INDEX(Dashboard!$K$5:$K$18,MATCH($A11,Dashboard!$B$5:$B$18,0)),0)/5*50+$AC11/4*50)</f>
        <v>100</v>
      </c>
      <c r="Z11">
        <f t="shared" si="11"/>
        <v>20</v>
      </c>
      <c r="AA11">
        <f t="shared" si="12"/>
        <v>66.636203824186452</v>
      </c>
      <c r="AB11">
        <f t="shared" si="13"/>
        <v>64.058074751280117</v>
      </c>
      <c r="AC11">
        <f>IFERROR(SUMPRODUCT((INDEX('Sport Records'!$B$8:$O$26,0,MATCH($A11,'Sport Records'!$B$7:$O$7,0))&gt;=2)*(INDEX('Sport Records'!$B$58:$O$76,0,MATCH($A11,'Sport Records'!$B$57:$O$57,0))&gt;=0.5)),0)</f>
        <v>2</v>
      </c>
      <c r="AD11">
        <f>IFERROR(INDEX(Dashboard!$D$5:$D$18,MATCH($A11,Dashboard!$B$5:$B$18,0)),0)</f>
        <v>37</v>
      </c>
      <c r="AE11">
        <f>IFERROR(INDEX(Dashboard!$K$5:$K$18,MATCH($A11,Dashboard!$B$5:$B$18,0)),0)</f>
        <v>12</v>
      </c>
      <c r="AF11" t="str">
        <f t="shared" si="14"/>
        <v>Strong</v>
      </c>
      <c r="AG11">
        <f ca="1">COUNTIFS('Match Log'!$D$4:$D$810,$A11,'Match Log'!$B$4:$B$810,"&gt;="&amp;$B$5)</f>
        <v>5</v>
      </c>
      <c r="AH11">
        <f ca="1">COUNTIFS('Match Log'!$D$4:$D$810,$A11,'Match Log'!$B$4:$B$810,"&gt;="&amp;$B$5,'Match Log'!$E$4:$E$810,"Win")</f>
        <v>1</v>
      </c>
      <c r="AI11">
        <f t="shared" si="15"/>
        <v>1063.3497498715442</v>
      </c>
    </row>
    <row r="12" spans="1:35" ht="15" customHeight="1" x14ac:dyDescent="0.2">
      <c r="A12" t="s">
        <v>134</v>
      </c>
      <c r="B12">
        <f>IFERROR(INDEX(Engine!$B$2:$B$15,MATCH($A12,Engine!$A$2:$A$15,0)),1000)</f>
        <v>1124.7994137993414</v>
      </c>
      <c r="C12">
        <f>IFERROR(INDEX(Engine!$C$2:$C$15,MATCH($A12,Engine!$A$2:$A$15,0)),"")</f>
        <v>1049.1850649520352</v>
      </c>
      <c r="D12">
        <f t="shared" si="0"/>
        <v>2</v>
      </c>
      <c r="E12">
        <f t="shared" si="1"/>
        <v>116.90352252571188</v>
      </c>
      <c r="F12" t="str">
        <f>IFERROR(LOOKUP(2,1/('Match Log'!$D$4:$D$810=$A12),'Match Log'!$E$4:$E$810),"")</f>
        <v>Win</v>
      </c>
      <c r="G12">
        <f>IF($F12="",0,SUMPRODUCT(('Match Log'!$D$4:$D$810=$A12)*(ROW('Match Log'!$A$4:$A$810)&gt;SUMPRODUCT(MAX(('Match Log'!$D$4:$D$810=$A12)*('Match Log'!$E$4:$E$810&lt;&gt;$F12)*ROW('Match Log'!$A$4:$A$810))))))</f>
        <v>4</v>
      </c>
      <c r="H12" t="str">
        <f t="shared" si="2"/>
        <v>W4</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LWWWW</v>
      </c>
      <c r="J12">
        <f>IFERROR(LOOKUP(2,1/(('Match Log'!$D$4:$D$810=$A12)*('Match Log'!$B$4:$B$810&lt;=$B$3)),'Match Log'!$N$4:$N$810),1000)</f>
        <v>986.57333856486002</v>
      </c>
      <c r="K12">
        <f t="shared" si="3"/>
        <v>12</v>
      </c>
      <c r="L12">
        <f t="shared" si="4"/>
        <v>10</v>
      </c>
      <c r="M12">
        <f t="shared" si="5"/>
        <v>5</v>
      </c>
      <c r="N12">
        <f t="shared" si="6"/>
        <v>4</v>
      </c>
      <c r="O12">
        <f t="shared" si="7"/>
        <v>4</v>
      </c>
      <c r="P12">
        <f>IFERROR(SUMPRODUCT(MAX(('Match Log'!$D$4:$D$810=$A12)*'Match Log'!$B$4:$B$810)),0)</f>
        <v>46215</v>
      </c>
      <c r="Q12">
        <f t="shared" si="8"/>
        <v>0</v>
      </c>
      <c r="R12">
        <f>IF($P12=0,0,MAX($Q12-'Guide &amp; Settings'!$C$48,0)*'Guide &amp; Settings'!$C$49)</f>
        <v>0</v>
      </c>
      <c r="S12">
        <f>$B12-$R12-$U12+SUMIF('Poker Stake Ledger'!$C$18:$C$137,$A12,'Poker Stake Ledger'!$K$18:$K$137)</f>
        <v>1124.7994137993414</v>
      </c>
      <c r="T12" t="str">
        <f>IF($P12=0,"No games",IF($Q12&gt;='Guide &amp; Settings'!$C$48,"Inactive",IF($Q12&gt;='Guide &amp; Settings'!$C$47,"At risk","Active")))</f>
        <v>Active</v>
      </c>
      <c r="U12">
        <f>SUMIF('Match Log'!$D$4:$D$810,$A12,'Match Log'!$AC$4:$AC$810)</f>
        <v>0</v>
      </c>
      <c r="V12">
        <f t="shared" si="9"/>
        <v>0</v>
      </c>
      <c r="W12">
        <f t="shared" si="10"/>
        <v>81.199853449835359</v>
      </c>
      <c r="X12">
        <f>IFERROR(INDEX(Dashboard!$G$5:$G$18,MATCH($A12,Dashboard!$B$5:$B$18,0))*100,0)</f>
        <v>47.887323943661968</v>
      </c>
      <c r="Y12">
        <f>MIN(100,IFERROR(INDEX(Dashboard!$K$5:$K$18,MATCH($A12,Dashboard!$B$5:$B$18,0)),0)/5*50+$AC12/4*50)</f>
        <v>100</v>
      </c>
      <c r="Z12">
        <f t="shared" si="11"/>
        <v>80</v>
      </c>
      <c r="AA12">
        <f t="shared" si="12"/>
        <v>62.296266238008798</v>
      </c>
      <c r="AB12">
        <f t="shared" si="13"/>
        <v>76.227040119975655</v>
      </c>
      <c r="AC12">
        <f>IFERROR(SUMPRODUCT((INDEX('Sport Records'!$B$8:$O$26,0,MATCH($A12,'Sport Records'!$B$7:$O$7,0))&gt;=2)*(INDEX('Sport Records'!$B$58:$O$76,0,MATCH($A12,'Sport Records'!$B$57:$O$57,0))&gt;=0.5)),0)</f>
        <v>5</v>
      </c>
      <c r="AD12">
        <f>IFERROR(INDEX(Dashboard!$D$5:$D$18,MATCH($A12,Dashboard!$B$5:$B$18,0)),0)</f>
        <v>71</v>
      </c>
      <c r="AE12">
        <f>IFERROR(INDEX(Dashboard!$K$5:$K$18,MATCH($A12,Dashboard!$B$5:$B$18,0)),0)</f>
        <v>10</v>
      </c>
      <c r="AF12" t="str">
        <f t="shared" si="14"/>
        <v>Elite</v>
      </c>
      <c r="AG12">
        <f ca="1">COUNTIFS('Match Log'!$D$4:$D$810,$A12,'Match Log'!$B$4:$B$810,"&gt;="&amp;$B$5)</f>
        <v>30</v>
      </c>
      <c r="AH12">
        <f ca="1">COUNTIFS('Match Log'!$D$4:$D$810,$A12,'Match Log'!$B$4:$B$810,"&gt;="&amp;$B$5,'Match Log'!$E$4:$E$810,"Win")</f>
        <v>18</v>
      </c>
      <c r="AI12">
        <f t="shared" si="15"/>
        <v>1124.7994149993415</v>
      </c>
    </row>
    <row r="13" spans="1:35" ht="15" customHeight="1" x14ac:dyDescent="0.2">
      <c r="A13" t="s">
        <v>168</v>
      </c>
      <c r="B13">
        <f>IFERROR(INDEX(Engine!$B$2:$B$15,MATCH($A13,Engine!$A$2:$A$15,0)),1000)</f>
        <v>1085.4901250893295</v>
      </c>
      <c r="C13">
        <f>IFERROR(INDEX(Engine!$C$2:$C$15,MATCH($A13,Engine!$A$2:$A$15,0)),"")</f>
        <v>1054.2347369690626</v>
      </c>
      <c r="D13">
        <f t="shared" si="0"/>
        <v>3</v>
      </c>
      <c r="E13">
        <f t="shared" si="1"/>
        <v>156.21281123572385</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1085.4901250893295</v>
      </c>
      <c r="K13">
        <f t="shared" si="3"/>
        <v>5</v>
      </c>
      <c r="L13">
        <f t="shared" si="4"/>
        <v>2</v>
      </c>
      <c r="M13">
        <f t="shared" si="5"/>
        <v>0</v>
      </c>
      <c r="N13">
        <f t="shared" si="6"/>
        <v>2</v>
      </c>
      <c r="O13">
        <f t="shared" si="7"/>
        <v>0</v>
      </c>
      <c r="P13">
        <f>IFERROR(SUMPRODUCT(MAX(('Match Log'!$D$4:$D$810=$A13)*'Match Log'!$B$4:$B$810)),0)</f>
        <v>46188</v>
      </c>
      <c r="Q13">
        <f t="shared" si="8"/>
        <v>3.8571428571428572</v>
      </c>
      <c r="R13">
        <f>IF($P13=0,0,MAX($Q13-'Guide &amp; Settings'!$C$48,0)*'Guide &amp; Settings'!$C$49)</f>
        <v>0</v>
      </c>
      <c r="S13">
        <f>$B13-$R13-$U13+SUMIF('Poker Stake Ledger'!$C$18:$C$137,$A13,'Poker Stake Ledger'!$K$18:$K$137)</f>
        <v>1085.4901250893295</v>
      </c>
      <c r="T13" t="str">
        <f>IF($P13=0,"No games",IF($Q13&gt;='Guide &amp; Settings'!$C$48,"Inactive",IF($Q13&gt;='Guide &amp; Settings'!$C$47,"At risk","Active")))</f>
        <v>At risk</v>
      </c>
      <c r="U13">
        <f>SUMIF('Match Log'!$D$4:$D$810,$A13,'Match Log'!$AC$4:$AC$810)</f>
        <v>0</v>
      </c>
      <c r="V13">
        <f t="shared" si="9"/>
        <v>3</v>
      </c>
      <c r="W13">
        <f t="shared" si="10"/>
        <v>71.372531272332367</v>
      </c>
      <c r="X13">
        <f>IFERROR(INDEX(Dashboard!$G$5:$G$18,MATCH($A13,Dashboard!$B$5:$B$18,0))*100,0)</f>
        <v>58.82352941176471</v>
      </c>
      <c r="Y13">
        <f>MIN(100,IFERROR(INDEX(Dashboard!$K$5:$K$18,MATCH($A13,Dashboard!$B$5:$B$18,0)),0)/5*50+$AC13/4*50)</f>
        <v>65</v>
      </c>
      <c r="Z13">
        <f t="shared" si="11"/>
        <v>40</v>
      </c>
      <c r="AA13">
        <f t="shared" si="12"/>
        <v>63.558684242265656</v>
      </c>
      <c r="AB13">
        <f t="shared" si="13"/>
        <v>62.100960251895835</v>
      </c>
      <c r="AC13">
        <f>IFERROR(SUMPRODUCT((INDEX('Sport Records'!$B$8:$O$26,0,MATCH($A13,'Sport Records'!$B$7:$O$7,0))&gt;=2)*(INDEX('Sport Records'!$B$58:$O$76,0,MATCH($A13,'Sport Records'!$B$57:$O$57,0))&gt;=0.5)),0)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1085.4901263893294</v>
      </c>
    </row>
    <row r="14" spans="1:35" ht="15" customHeight="1" x14ac:dyDescent="0.2">
      <c r="A14" t="s">
        <v>170</v>
      </c>
      <c r="B14">
        <f>IFERROR(INDEX(Engine!$B$2:$B$15,MATCH($A14,Engine!$A$2:$A$15,0)),1000)</f>
        <v>1029.4526731850108</v>
      </c>
      <c r="C14">
        <f>IFERROR(INDEX(Engine!$C$2:$C$15,MATCH($A14,Engine!$A$2:$A$15,0)),"")</f>
        <v>1098.1265348574036</v>
      </c>
      <c r="D14">
        <f t="shared" si="0"/>
        <v>9</v>
      </c>
      <c r="E14">
        <f t="shared" si="1"/>
        <v>212.25026314004253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1058.2210518223603</v>
      </c>
      <c r="K14">
        <f t="shared" si="3"/>
        <v>6</v>
      </c>
      <c r="L14">
        <f t="shared" si="4"/>
        <v>-3</v>
      </c>
      <c r="M14">
        <f t="shared" si="5"/>
        <v>4</v>
      </c>
      <c r="N14">
        <f t="shared" si="6"/>
        <v>2</v>
      </c>
      <c r="O14">
        <f t="shared" si="7"/>
        <v>0</v>
      </c>
      <c r="P14">
        <f>IFERROR(SUMPRODUCT(MAX(('Match Log'!$D$4:$D$810=$A14)*'Match Log'!$B$4:$B$810)),0)</f>
        <v>46215</v>
      </c>
      <c r="Q14">
        <f t="shared" si="8"/>
        <v>0</v>
      </c>
      <c r="R14">
        <f>IF($P14=0,0,MAX($Q14-'Guide &amp; Settings'!$C$48,0)*'Guide &amp; Settings'!$C$49)</f>
        <v>0</v>
      </c>
      <c r="S14">
        <f>$B14-$R14-$U14+SUMIF('Poker Stake Ledger'!$C$18:$C$137,$A14,'Poker Stake Ledger'!$K$18:$K$137)</f>
        <v>1029.4526731850108</v>
      </c>
      <c r="T14" t="str">
        <f>IF($P14=0,"No games",IF($Q14&gt;='Guide &amp; Settings'!$C$48,"Inactive",IF($Q14&gt;='Guide &amp; Settings'!$C$47,"At risk","Active")))</f>
        <v>Active</v>
      </c>
      <c r="U14">
        <f>SUMIF('Match Log'!$D$4:$D$810,$A14,'Match Log'!$AC$4:$AC$810)</f>
        <v>0</v>
      </c>
      <c r="V14">
        <f t="shared" si="9"/>
        <v>2</v>
      </c>
      <c r="W14">
        <f t="shared" si="10"/>
        <v>57.363168296252695</v>
      </c>
      <c r="X14">
        <f>IFERROR(INDEX(Dashboard!$G$5:$G$18,MATCH($A14,Dashboard!$B$5:$B$18,0))*100,0)</f>
        <v>42.372881355932201</v>
      </c>
      <c r="Y14">
        <f>MIN(100,IFERROR(INDEX(Dashboard!$K$5:$K$18,MATCH($A14,Dashboard!$B$5:$B$18,0)),0)/5*50+$AC14/4*50)</f>
        <v>100</v>
      </c>
      <c r="Z14">
        <f t="shared" si="11"/>
        <v>40</v>
      </c>
      <c r="AA14">
        <f t="shared" si="12"/>
        <v>74.531633714350903</v>
      </c>
      <c r="AB14">
        <f t="shared" si="13"/>
        <v>62.004848546309972</v>
      </c>
      <c r="AC14">
        <f>IFERROR(SUMPRODUCT((INDEX('Sport Records'!$B$8:$O$26,0,MATCH($A14,'Sport Records'!$B$7:$O$7,0))&gt;=2)*(INDEX('Sport Records'!$B$58:$O$76,0,MATCH($A14,'Sport Records'!$B$57:$O$57,0))&gt;=0.5)),0)</f>
        <v>5</v>
      </c>
      <c r="AD14">
        <f>IFERROR(INDEX(Dashboard!$D$5:$D$18,MATCH($A14,Dashboard!$B$5:$B$18,0)),0)</f>
        <v>59</v>
      </c>
      <c r="AE14">
        <f>IFERROR(INDEX(Dashboard!$K$5:$K$18,MATCH($A14,Dashboard!$B$5:$B$18,0)),0)</f>
        <v>14</v>
      </c>
      <c r="AF14" t="str">
        <f t="shared" si="14"/>
        <v>Strong</v>
      </c>
      <c r="AG14">
        <f ca="1">COUNTIFS('Match Log'!$D$4:$D$810,$A14,'Match Log'!$B$4:$B$810,"&gt;="&amp;$B$5)</f>
        <v>10</v>
      </c>
      <c r="AH14">
        <f ca="1">COUNTIFS('Match Log'!$D$4:$D$810,$A14,'Match Log'!$B$4:$B$810,"&gt;="&amp;$B$5,'Match Log'!$E$4:$E$810,"Win")</f>
        <v>4</v>
      </c>
      <c r="AI14">
        <f t="shared" si="15"/>
        <v>1029.4526745850108</v>
      </c>
    </row>
    <row r="15" spans="1:35" ht="15" customHeight="1" x14ac:dyDescent="0.2">
      <c r="A15" t="s">
        <v>167</v>
      </c>
      <c r="B15">
        <f>IFERROR(INDEX(Engine!$B$2:$B$15,MATCH($A15,Engine!$A$2:$A$15,0)),1000)</f>
        <v>1241.7029363250533</v>
      </c>
      <c r="C15">
        <f>IFERROR(INDEX(Engine!$C$2:$C$15,MATCH($A15,Engine!$A$2:$A$15,0)),"")</f>
        <v>1041.8083589352211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si="8"/>
        <v>0</v>
      </c>
      <c r="R15">
        <f>IF($P15=0,0,MAX($Q15-'Guide &amp; Settings'!$C$48,0)*'Guide &amp; Settings'!$C$49)</f>
        <v>0</v>
      </c>
      <c r="S15">
        <f>$B15-$R15-$U15+SUMIF('Poker Stake Ledger'!$C$18:$C$137,$A15,'Poker Stake Ledger'!$K$18:$K$137)</f>
        <v>1241.7029363250533</v>
      </c>
      <c r="T15" t="str">
        <f>IF($P15=0,"No games",IF($Q15&gt;='Guide &amp; Settings'!$C$48,"Inactive",IF($Q15&gt;='Guide &amp; Settings'!$C$47,"At risk","Active")))</f>
        <v>Active</v>
      </c>
      <c r="U15">
        <f>SUMIF('Match Log'!$D$4:$D$810,$A15,'Match Log'!$AC$4:$AC$810)</f>
        <v>0</v>
      </c>
      <c r="V15">
        <f t="shared" si="9"/>
        <v>0</v>
      </c>
      <c r="W15">
        <f t="shared" si="10"/>
        <v>100</v>
      </c>
      <c r="X15">
        <f>IFERROR(INDEX(Dashboard!$G$5:$G$18,MATCH($A15,Dashboard!$B$5:$B$18,0))*100,0)</f>
        <v>68.965517241379317</v>
      </c>
      <c r="Y15">
        <f>MIN(100,IFERROR(INDEX(Dashboard!$K$5:$K$18,MATCH($A15,Dashboard!$B$5:$B$18,0)),0)/5*50+$AC15/4*50)</f>
        <v>87.5</v>
      </c>
      <c r="Z15">
        <f t="shared" si="11"/>
        <v>80</v>
      </c>
      <c r="AA15">
        <f t="shared" si="12"/>
        <v>60.452089733805281</v>
      </c>
      <c r="AB15">
        <f t="shared" si="13"/>
        <v>84.338312421656397</v>
      </c>
      <c r="AC15">
        <f>IFERROR(SUMPRODUCT((INDEX('Sport Records'!$B$8:$O$26,0,MATCH($A15,'Sport Records'!$B$7:$O$7,0))&gt;=2)*(INDEX('Sport Records'!$B$58:$O$76,0,MATCH($A15,'Sport Records'!$B$57:$O$57,0))&gt;=0.5)),0)</f>
        <v>3</v>
      </c>
      <c r="AD15">
        <f>IFERROR(INDEX(Dashboard!$D$5:$D$18,MATCH($A15,Dashboard!$B$5:$B$18,0)),0)</f>
        <v>29</v>
      </c>
      <c r="AE15">
        <f>IFERROR(INDEX(Dashboard!$K$5:$K$18,MATCH($A15,Dashboard!$B$5:$B$18,0)),0)</f>
        <v>5</v>
      </c>
      <c r="AF15" t="str">
        <f t="shared" si="14"/>
        <v>Elite</v>
      </c>
      <c r="AG15">
        <f ca="1">COUNTIFS('Match Log'!$D$4:$D$810,$A15,'Match Log'!$B$4:$B$810,"&gt;="&amp;$B$5)</f>
        <v>6</v>
      </c>
      <c r="AH15">
        <f ca="1">COUNTIFS('Match Log'!$D$4:$D$810,$A15,'Match Log'!$B$4:$B$810,"&gt;="&amp;$B$5,'Match Log'!$E$4:$E$810,"Win")</f>
        <v>5</v>
      </c>
      <c r="AI15">
        <f t="shared" si="15"/>
        <v>1241.7029378250534</v>
      </c>
    </row>
    <row r="16" spans="1:35" ht="15" customHeight="1" x14ac:dyDescent="0.2">
      <c r="A16" t="s">
        <v>175</v>
      </c>
      <c r="B16">
        <f>IFERROR(INDEX(Engine!$B$2:$B$15,MATCH($A16,Engine!$A$2:$A$15,0)),1000)</f>
        <v>893.15761519837804</v>
      </c>
      <c r="C16">
        <f>IFERROR(INDEX(Engine!$C$2:$C$15,MATCH($A16,Engine!$A$2:$A$15,0)),"")</f>
        <v>1059.6031547863727</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si="8"/>
        <v>3.8571428571428572</v>
      </c>
      <c r="R16">
        <f>IF($P16=0,0,MAX($Q16-'Guide &amp; Settings'!$C$48,0)*'Guide &amp; Settings'!$C$49)</f>
        <v>0</v>
      </c>
      <c r="S16">
        <f>$B16-$R16-$U16+SUMIF('Poker Stake Ledger'!$C$18:$C$137,$A16,'Poker Stake Ledger'!$K$18:$K$137)</f>
        <v>893.15761519837804</v>
      </c>
      <c r="T16" t="str">
        <f>IF($P16=0,"No games",IF($Q16&gt;='Guide &amp; Settings'!$C$48,"Inactive",IF($Q16&gt;='Guide &amp; Settings'!$C$47,"At risk","Active")))</f>
        <v>At risk</v>
      </c>
      <c r="U16">
        <f>SUMIF('Match Log'!$D$4:$D$810,$A16,'Match Log'!$AC$4:$AC$810)</f>
        <v>0</v>
      </c>
      <c r="V16">
        <f t="shared" si="9"/>
        <v>4</v>
      </c>
      <c r="W16">
        <f t="shared" si="10"/>
        <v>23.28940379959451</v>
      </c>
      <c r="X16">
        <f>IFERROR(INDEX(Dashboard!$G$5:$G$18,MATCH($A16,Dashboard!$B$5:$B$18,0))*100,0)</f>
        <v>15.384615384615385</v>
      </c>
      <c r="Y16">
        <f>MIN(100,IFERROR(INDEX(Dashboard!$K$5:$K$18,MATCH($A16,Dashboard!$B$5:$B$18,0)),0)/5*50+$AC16/4*50)</f>
        <v>30</v>
      </c>
      <c r="Z16">
        <f t="shared" si="11"/>
        <v>20</v>
      </c>
      <c r="AA16">
        <f t="shared" si="12"/>
        <v>64.900788696593168</v>
      </c>
      <c r="AB16">
        <f t="shared" si="13"/>
        <v>26.718293276440473</v>
      </c>
      <c r="AC16">
        <f>IFERROR(SUMPRODUCT((INDEX('Sport Records'!$B$8:$O$26,0,MATCH($A16,'Sport Records'!$B$7:$O$7,0))&gt;=2)*(INDEX('Sport Records'!$B$58:$O$76,0,MATCH($A16,'Sport Records'!$B$57:$O$57,0))&gt;=0.5)),0)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893.15761679837806</v>
      </c>
    </row>
    <row r="17" spans="1:35" ht="15" customHeight="1" x14ac:dyDescent="0.2">
      <c r="A17" t="s">
        <v>169</v>
      </c>
      <c r="B17">
        <f>IFERROR(INDEX(Engine!$B$2:$B$15,MATCH($A17,Engine!$A$2:$A$15,0)),1000)</f>
        <v>1062.8275894279936</v>
      </c>
      <c r="C17">
        <f>IFERROR(INDEX(Engine!$C$2:$C$15,MATCH($A17,Engine!$A$2:$A$15,0)),"")</f>
        <v>1080.1217453614972</v>
      </c>
      <c r="D17">
        <f t="shared" si="0"/>
        <v>5</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-1</v>
      </c>
      <c r="M17">
        <f t="shared" si="5"/>
        <v>3</v>
      </c>
      <c r="N17">
        <f t="shared" si="6"/>
        <v>1</v>
      </c>
      <c r="O17">
        <f t="shared" si="7"/>
        <v>0</v>
      </c>
      <c r="P17">
        <f>IFERROR(SUMPRODUCT(MAX(('Match Log'!$D$4:$D$810=$A17)*'Match Log'!$B$4:$B$810)),0)</f>
        <v>46209</v>
      </c>
      <c r="Q17">
        <f t="shared" si="8"/>
        <v>0.8571428571428571</v>
      </c>
      <c r="R17">
        <f>IF($P17=0,0,MAX($Q17-'Guide &amp; Settings'!$C$48,0)*'Guide &amp; Settings'!$C$49)</f>
        <v>0</v>
      </c>
      <c r="S17">
        <f>$B17-$R17-$U17+SUMIF('Poker Stake Ledger'!$C$18:$C$137,$A17,'Poker Stake Ledger'!$K$18:$K$137)</f>
        <v>1062.8275894279936</v>
      </c>
      <c r="T17" t="str">
        <f>IF($P17=0,"No games",IF($Q17&gt;='Guide &amp; Settings'!$C$48,"Inactive",IF($Q17&gt;='Guide &amp; Settings'!$C$47,"At risk","Active")))</f>
        <v>Active</v>
      </c>
      <c r="U17">
        <f>SUMIF('Match Log'!$D$4:$D$810,$A17,'Match Log'!$AC$4:$AC$810)</f>
        <v>0</v>
      </c>
      <c r="V17">
        <f t="shared" si="9"/>
        <v>1</v>
      </c>
      <c r="W17">
        <f t="shared" si="10"/>
        <v>65.706897356998411</v>
      </c>
      <c r="X17">
        <f>IFERROR(INDEX(Dashboard!$G$5:$G$18,MATCH($A17,Dashboard!$B$5:$B$18,0))*100,0)</f>
        <v>45.454545454545453</v>
      </c>
      <c r="Y17">
        <f>MIN(100,IFERROR(INDEX(Dashboard!$K$5:$K$18,MATCH($A17,Dashboard!$B$5:$B$18,0)),0)/5*50+$AC17/4*50)</f>
        <v>100</v>
      </c>
      <c r="Z17">
        <f t="shared" si="11"/>
        <v>20</v>
      </c>
      <c r="AA17">
        <f t="shared" si="12"/>
        <v>70.030436340374308</v>
      </c>
      <c r="AB17">
        <f t="shared" si="13"/>
        <v>62.091366799895965</v>
      </c>
      <c r="AC17">
        <f>IFERROR(SUMPRODUCT((INDEX('Sport Records'!$B$8:$O$26,0,MATCH($A17,'Sport Records'!$B$7:$O$7,0))&gt;=2)*(INDEX('Sport Records'!$B$58:$O$76,0,MATCH($A17,'Sport Records'!$B$57:$O$57,0))&gt;=0.5)),0)</f>
        <v>2</v>
      </c>
      <c r="AD17">
        <f>IFERROR(INDEX(Dashboard!$D$5:$D$18,MATCH($A17,Dashboard!$B$5:$B$18,0)),0)</f>
        <v>44</v>
      </c>
      <c r="AE17">
        <f>IFERROR(INDEX(Dashboard!$K$5:$K$18,MATCH($A17,Dashboard!$B$5:$B$18,0)),0)</f>
        <v>8</v>
      </c>
      <c r="AF17" t="str">
        <f t="shared" si="14"/>
        <v>Strong</v>
      </c>
      <c r="AG17">
        <f ca="1">COUNTIFS('Match Log'!$D$4:$D$810,$A17,'Match Log'!$B$4:$B$810,"&gt;="&amp;$B$5)</f>
        <v>5</v>
      </c>
      <c r="AH17">
        <f ca="1">COUNTIFS('Match Log'!$D$4:$D$810,$A17,'Match Log'!$B$4:$B$810,"&gt;="&amp;$B$5,'Match Log'!$E$4:$E$810,"Win")</f>
        <v>1</v>
      </c>
      <c r="AI17">
        <f t="shared" si="15"/>
        <v>1062.8275911279936</v>
      </c>
    </row>
    <row r="18" spans="1:35" ht="15" customHeight="1" x14ac:dyDescent="0.2">
      <c r="A18" t="s">
        <v>171</v>
      </c>
      <c r="B18">
        <f>IFERROR(INDEX(Engine!$B$2:$B$15,MATCH($A18,Engine!$A$2:$A$15,0)),1000)</f>
        <v>1009.152401464836</v>
      </c>
      <c r="C18">
        <f>IFERROR(INDEX(Engine!$C$2:$C$15,MATCH($A18,Engine!$A$2:$A$15,0)),"")</f>
        <v>1054.1781039788254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si="8"/>
        <v>0.14285714285714285</v>
      </c>
      <c r="R18">
        <f>IF($P18=0,0,MAX($Q18-'Guide &amp; Settings'!$C$48,0)*'Guide &amp; Settings'!$C$49)</f>
        <v>0</v>
      </c>
      <c r="S18">
        <f>$B18-$R18-$U18+SUMIF('Poker Stake Ledger'!$C$18:$C$137,$A18,'Poker Stake Ledger'!$K$18:$K$137)</f>
        <v>1009.152401464836</v>
      </c>
      <c r="T18" t="str">
        <f>IF($P18=0,"No games",IF($Q18&gt;='Guide &amp; Settings'!$C$48,"Inactive",IF($Q18&gt;='Guide &amp; Settings'!$C$47,"At risk","Active")))</f>
        <v>Active</v>
      </c>
      <c r="U18">
        <f>SUMIF('Match Log'!$D$4:$D$810,$A18,'Match Log'!$AC$4:$AC$810)</f>
        <v>0</v>
      </c>
      <c r="V18">
        <f t="shared" si="9"/>
        <v>1</v>
      </c>
      <c r="W18">
        <f t="shared" si="10"/>
        <v>52.288100366208994</v>
      </c>
      <c r="X18">
        <f>IFERROR(INDEX(Dashboard!$G$5:$G$18,MATCH($A18,Dashboard!$B$5:$B$18,0))*100,0)</f>
        <v>33.333333333333329</v>
      </c>
      <c r="Y18">
        <f>MIN(100,IFERROR(INDEX(Dashboard!$K$5:$K$18,MATCH($A18,Dashboard!$B$5:$B$18,0)),0)/5*50+$AC18/4*50)</f>
        <v>20</v>
      </c>
      <c r="Z18">
        <f t="shared" si="11"/>
        <v>40</v>
      </c>
      <c r="AA18">
        <f t="shared" si="12"/>
        <v>63.544525994706362</v>
      </c>
      <c r="AB18">
        <f t="shared" si="13"/>
        <v>41.321954394310453</v>
      </c>
      <c r="AC18">
        <f>IFERROR(SUMPRODUCT((INDEX('Sport Records'!$B$8:$O$26,0,MATCH($A18,'Sport Records'!$B$7:$O$7,0))&gt;=2)*(INDEX('Sport Records'!$B$58:$O$76,0,MATCH($A18,'Sport Records'!$B$57:$O$57,0))&gt;=0.5)),0)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1009.1524032648359</v>
      </c>
    </row>
    <row r="19" spans="1:35" ht="15" customHeight="1" x14ac:dyDescent="0.2">
      <c r="A19" t="s">
        <v>172</v>
      </c>
      <c r="B19">
        <f>IFERROR(INDEX(Engine!$B$2:$B$15,MATCH($A19,Engine!$A$2:$A$15,0)),1000)</f>
        <v>1052.4264189977837</v>
      </c>
      <c r="C19">
        <f>IFERROR(INDEX(Engine!$C$2:$C$15,MATCH($A19,Engine!$A$2:$A$15,0)),"")</f>
        <v>1067.9356145164993</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si="8"/>
        <v>0.14285714285714285</v>
      </c>
      <c r="R19">
        <f>IF($P19=0,0,MAX($Q19-'Guide &amp; Settings'!$C$48,0)*'Guide &amp; Settings'!$C$49)</f>
        <v>0</v>
      </c>
      <c r="S19">
        <f>$B19-$R19-$U19+SUMIF('Poker Stake Ledger'!$C$18:$C$137,$A19,'Poker Stake Ledger'!$K$18:$K$137)</f>
        <v>1052.4264189977837</v>
      </c>
      <c r="T19" t="str">
        <f>IF($P19=0,"No games",IF($Q19&gt;='Guide &amp; Settings'!$C$48,"Inactive",IF($Q19&gt;='Guide &amp; Settings'!$C$47,"At risk","Active")))</f>
        <v>Active</v>
      </c>
      <c r="U19">
        <f>SUMIF('Match Log'!$D$4:$D$810,$A19,'Match Log'!$AC$4:$AC$810)</f>
        <v>0</v>
      </c>
      <c r="V19">
        <f t="shared" si="9"/>
        <v>0</v>
      </c>
      <c r="W19">
        <f t="shared" si="10"/>
        <v>63.106604749445921</v>
      </c>
      <c r="X19">
        <f>IFERROR(INDEX(Dashboard!$G$5:$G$18,MATCH($A19,Dashboard!$B$5:$B$18,0))*100,0)</f>
        <v>60</v>
      </c>
      <c r="Y19">
        <f>MIN(100,IFERROR(INDEX(Dashboard!$K$5:$K$18,MATCH($A19,Dashboard!$B$5:$B$18,0)),0)/5*50+$AC19/4*50)</f>
        <v>32.5</v>
      </c>
      <c r="Z19">
        <f t="shared" si="11"/>
        <v>60</v>
      </c>
      <c r="AA19">
        <f t="shared" si="12"/>
        <v>66.983903629124825</v>
      </c>
      <c r="AB19">
        <f t="shared" si="13"/>
        <v>56.285702025218555</v>
      </c>
      <c r="AC19">
        <f>IFERROR(SUMPRODUCT((INDEX('Sport Records'!$B$8:$O$26,0,MATCH($A19,'Sport Records'!$B$7:$O$7,0))&gt;=2)*(INDEX('Sport Records'!$B$58:$O$76,0,MATCH($A19,'Sport Records'!$B$57:$O$57,0))&gt;=0.5)),0)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Records'!$B$58:$O$76,0,MATCH($A20,'Sport Records'!$B$57:$O$57,0))&gt;=0.5)),0)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1081.6599848659405</v>
      </c>
      <c r="D2">
        <f>$B$2</f>
        <v>1040.1422573837137</v>
      </c>
      <c r="E2">
        <f>$B$3</f>
        <v>1029.5175965335138</v>
      </c>
      <c r="F2">
        <f>$B$4</f>
        <v>1016.7841648959289</v>
      </c>
      <c r="G2">
        <f>$B$5</f>
        <v>973.19705892757202</v>
      </c>
      <c r="H2">
        <f>$B$6</f>
        <v>1063.3497487715442</v>
      </c>
      <c r="I2">
        <f>$B$7</f>
        <v>1124.7994137993414</v>
      </c>
      <c r="J2">
        <f>$B$8</f>
        <v>1085.4901250893295</v>
      </c>
      <c r="K2">
        <f>$B$9</f>
        <v>1029.4526731850108</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1062.7795094888347</v>
      </c>
    </row>
    <row r="4" spans="1:17" ht="15" customHeight="1" x14ac:dyDescent="0.2">
      <c r="A4" t="s">
        <v>173</v>
      </c>
      <c r="B4">
        <f>IF(COUNTIF('Match Log'!$D$4:$D$810,$A4)=0,'Guide &amp; Settings'!$C$41,IFERROR(LOOKUP(2,1/('Match Log'!$D$4:$D$810=$A4),'Match Log'!$N$4:$N$810),'Guide &amp; Settings'!$C$41))</f>
        <v>1016.7841648959289</v>
      </c>
      <c r="C4">
        <f>IFERROR(SUMPRODUCT(INDEX('Head-to-Head'!$B$22:$O$35,3,0),$D$2:$Q$2)/SUM(INDEX('Head-to-Head'!$B$22:$O$35,3,0)),"")</f>
        <v>1034.8686343783481</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1063.0198308398803</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1066.5448152967458</v>
      </c>
    </row>
    <row r="7" spans="1:17" ht="15" customHeight="1" x14ac:dyDescent="0.2">
      <c r="A7" t="s">
        <v>134</v>
      </c>
      <c r="B7">
        <f>IF(COUNTIF('Match Log'!$D$4:$D$810,$A7)=0,'Guide &amp; Settings'!$C$41,IFERROR(LOOKUP(2,1/('Match Log'!$D$4:$D$810=$A7),'Match Log'!$N$4:$N$810),'Guide &amp; Settings'!$C$41))</f>
        <v>1124.7994137993414</v>
      </c>
      <c r="C7">
        <f>IFERROR(SUMPRODUCT(INDEX('Head-to-Head'!$B$22:$O$35,6,0),$D$2:$Q$2)/SUM(INDEX('Head-to-Head'!$B$22:$O$35,6,0)),"")</f>
        <v>1049.1850649520352</v>
      </c>
    </row>
    <row r="8" spans="1:17" ht="15" customHeight="1" x14ac:dyDescent="0.2">
      <c r="A8" t="s">
        <v>168</v>
      </c>
      <c r="B8">
        <f>IF(COUNTIF('Match Log'!$D$4:$D$810,$A8)=0,'Guide &amp; Settings'!$C$41,IFERROR(LOOKUP(2,1/('Match Log'!$D$4:$D$810=$A8),'Match Log'!$N$4:$N$810),'Guide &amp; Settings'!$C$41))</f>
        <v>1085.4901250893295</v>
      </c>
      <c r="C8">
        <f>IFERROR(SUMPRODUCT(INDEX('Head-to-Head'!$B$22:$O$35,7,0),$D$2:$Q$2)/SUM(INDEX('Head-to-Head'!$B$22:$O$35,7,0)),"")</f>
        <v>1054.2347369690626</v>
      </c>
    </row>
    <row r="9" spans="1:17" ht="15" customHeight="1" x14ac:dyDescent="0.2">
      <c r="A9" t="s">
        <v>170</v>
      </c>
      <c r="B9">
        <f>IF(COUNTIF('Match Log'!$D$4:$D$810,$A9)=0,'Guide &amp; Settings'!$C$41,IFERROR(LOOKUP(2,1/('Match Log'!$D$4:$D$810=$A9),'Match Log'!$N$4:$N$810),'Guide &amp; Settings'!$C$41))</f>
        <v>1029.4526731850108</v>
      </c>
      <c r="C9">
        <f>IFERROR(SUMPRODUCT(INDEX('Head-to-Head'!$B$22:$O$35,8,0),$D$2:$Q$2)/SUM(INDEX('Head-to-Head'!$B$22:$O$35,8,0)),"")</f>
        <v>1098.1265348574036</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1041.8083589352211</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1059.6031547863727</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1080.1217453614972</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1054.1781039788254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1067.9356145164993</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447</v>
      </c>
    </row>
    <row r="23" spans="3:3" x14ac:dyDescent="0.2">
      <c r="C23" t="s">
        <v>448</v>
      </c>
    </row>
    <row r="24" spans="3:3" x14ac:dyDescent="0.2">
      <c r="C24" t="s">
        <v>449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2026-07-12T09:52:23Z</dcterms:modified>
  <dc:language>en-US</dc:language>
</cp:coreProperties>
</file>