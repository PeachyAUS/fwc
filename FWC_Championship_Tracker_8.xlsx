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infocusmediagroup/Desktop/FAMILY CHAMPIONSHIPS/FAMILY CHAMPIONSHIPS/"/>
    </mc:Choice>
  </mc:AlternateContent>
  <xr:revisionPtr revIDLastSave="0" documentId="13_ncr:1_{D1ABDFFC-5270-5E45-AFBA-B45A669EC5AB}" xr6:coauthVersionLast="47" xr6:coauthVersionMax="47" xr10:uidLastSave="{00000000-0000-0000-0000-000000000000}"/>
  <bookViews>
    <workbookView xWindow="-20" yWindow="660" windowWidth="34560" windowHeight="20580" tabRatio="500" activeTab="3" xr2:uid="{00000000-000D-0000-FFFF-FFFF00000000}"/>
  </bookViews>
  <sheets>
    <sheet name="Guide &amp; Settings" sheetId="1" r:id="rId1"/>
    <sheet name="FWC Weekly" sheetId="14" r:id="rId2"/>
    <sheet name="Leaders" sheetId="2" r:id="rId3"/>
    <sheet name="Dashboard" sheetId="3" r:id="rId4"/>
    <sheet name="Player Card" sheetId="4" r:id="rId5"/>
    <sheet name="Head-to-Head" sheetId="5" r:id="rId6"/>
    <sheet name="Sport Records" sheetId="6" r:id="rId7"/>
    <sheet name="Records &amp; Awards" sheetId="7" r:id="rId8"/>
    <sheet name="Trends &amp; Stats" sheetId="8" r:id="rId9"/>
    <sheet name="Match Log" sheetId="9" r:id="rId10"/>
    <sheet name="Sport Voting" sheetId="10" r:id="rId11"/>
    <sheet name="Poker Stake Ledger" sheetId="15" r:id="rId12"/>
    <sheet name="Calcs" sheetId="11" state="hidden" r:id="rId13"/>
    <sheet name="Engine" sheetId="12" state="hidden" r:id="rId14"/>
    <sheet name="Lists" sheetId="13" state="hidden" r:id="rId15"/>
  </sheets>
  <definedNames>
    <definedName name="_xlnm._FilterDatabase" localSheetId="1" hidden="1">Leaders!$A$9:$E$29</definedName>
    <definedName name="_xlnm._FilterDatabase" localSheetId="5" hidden="1">'Sport Records'!$A$73:$G$87</definedName>
    <definedName name="_xlnm._FilterDatabase" localSheetId="2" hidden="1">Dashboard!$A$4:$W$18</definedName>
  </definedNames>
  <calcPr calcId="191029" iterateDelta="1E-4"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5" i="12" l="1"/>
  <c r="Q2" i="12" s="1"/>
  <c r="X444" i="11"/>
  <c r="W444" i="11"/>
  <c r="V444" i="11"/>
  <c r="U444" i="11"/>
  <c r="T444" i="11"/>
  <c r="S444" i="11"/>
  <c r="R444" i="11"/>
  <c r="Q444" i="11"/>
  <c r="P444" i="11"/>
  <c r="O444" i="11"/>
  <c r="N444" i="11"/>
  <c r="M444" i="11"/>
  <c r="L444" i="11"/>
  <c r="K444" i="11"/>
  <c r="F444" i="11"/>
  <c r="E444" i="11"/>
  <c r="C444" i="11"/>
  <c r="B444" i="11"/>
  <c r="X443" i="11"/>
  <c r="W443" i="11"/>
  <c r="V443" i="11"/>
  <c r="U443" i="11"/>
  <c r="T443" i="11"/>
  <c r="S443" i="11"/>
  <c r="R443" i="11"/>
  <c r="Q443" i="11"/>
  <c r="P443" i="11"/>
  <c r="O443" i="11"/>
  <c r="N443" i="11"/>
  <c r="M443" i="11"/>
  <c r="L443" i="11"/>
  <c r="K443" i="11"/>
  <c r="F443" i="11"/>
  <c r="E443" i="11"/>
  <c r="C443" i="11"/>
  <c r="B443" i="11"/>
  <c r="X442" i="11"/>
  <c r="W442" i="11"/>
  <c r="V442" i="11"/>
  <c r="U442" i="11"/>
  <c r="T442" i="11"/>
  <c r="S442" i="11"/>
  <c r="R442" i="11"/>
  <c r="Q442" i="11"/>
  <c r="P442" i="11"/>
  <c r="O442" i="11"/>
  <c r="N442" i="11"/>
  <c r="M442" i="11"/>
  <c r="L442" i="11"/>
  <c r="K442" i="11"/>
  <c r="F442" i="11"/>
  <c r="E442" i="11"/>
  <c r="C442" i="11"/>
  <c r="B442" i="11"/>
  <c r="X441" i="11"/>
  <c r="W441" i="11"/>
  <c r="V441" i="11"/>
  <c r="U441" i="11"/>
  <c r="T441" i="11"/>
  <c r="S441" i="11"/>
  <c r="R441" i="11"/>
  <c r="Q441" i="11"/>
  <c r="P441" i="11"/>
  <c r="O441" i="11"/>
  <c r="N441" i="11"/>
  <c r="M441" i="11"/>
  <c r="L441" i="11"/>
  <c r="K441" i="11"/>
  <c r="F441" i="11"/>
  <c r="E441" i="11"/>
  <c r="C441" i="11"/>
  <c r="B441" i="11"/>
  <c r="X440" i="11"/>
  <c r="W440" i="11"/>
  <c r="V440" i="11"/>
  <c r="U440" i="11"/>
  <c r="T440" i="11"/>
  <c r="S440" i="11"/>
  <c r="R440" i="11"/>
  <c r="Q440" i="11"/>
  <c r="P440" i="11"/>
  <c r="O440" i="11"/>
  <c r="N440" i="11"/>
  <c r="M440" i="11"/>
  <c r="L440" i="11"/>
  <c r="K440" i="11"/>
  <c r="F440" i="11"/>
  <c r="E440" i="11"/>
  <c r="C440" i="11"/>
  <c r="B440" i="11"/>
  <c r="X439" i="11"/>
  <c r="W439" i="11"/>
  <c r="V439" i="11"/>
  <c r="U439" i="11"/>
  <c r="T439" i="11"/>
  <c r="S439" i="11"/>
  <c r="R439" i="11"/>
  <c r="Q439" i="11"/>
  <c r="P439" i="11"/>
  <c r="O439" i="11"/>
  <c r="N439" i="11"/>
  <c r="M439" i="11"/>
  <c r="L439" i="11"/>
  <c r="K439" i="11"/>
  <c r="F439" i="11"/>
  <c r="E439" i="11"/>
  <c r="C439" i="11"/>
  <c r="B439" i="11"/>
  <c r="X438" i="11"/>
  <c r="W438" i="11"/>
  <c r="V438" i="11"/>
  <c r="U438" i="11"/>
  <c r="T438" i="11"/>
  <c r="S438" i="11"/>
  <c r="R438" i="11"/>
  <c r="Q438" i="11"/>
  <c r="P438" i="11"/>
  <c r="O438" i="11"/>
  <c r="N438" i="11"/>
  <c r="M438" i="11"/>
  <c r="L438" i="11"/>
  <c r="K438" i="11"/>
  <c r="F438" i="11"/>
  <c r="E438" i="11"/>
  <c r="C438" i="11"/>
  <c r="B438" i="11"/>
  <c r="X437" i="11"/>
  <c r="W437" i="11"/>
  <c r="V437" i="11"/>
  <c r="U437" i="11"/>
  <c r="T437" i="11"/>
  <c r="S437" i="11"/>
  <c r="R437" i="11"/>
  <c r="Q437" i="11"/>
  <c r="P437" i="11"/>
  <c r="O437" i="11"/>
  <c r="N437" i="11"/>
  <c r="M437" i="11"/>
  <c r="L437" i="11"/>
  <c r="K437" i="11"/>
  <c r="F437" i="11"/>
  <c r="E437" i="11"/>
  <c r="C437" i="11"/>
  <c r="B437" i="11"/>
  <c r="X436" i="11"/>
  <c r="W436" i="11"/>
  <c r="V436" i="11"/>
  <c r="U436" i="11"/>
  <c r="T436" i="11"/>
  <c r="S436" i="11"/>
  <c r="R436" i="11"/>
  <c r="Q436" i="11"/>
  <c r="P436" i="11"/>
  <c r="O436" i="11"/>
  <c r="N436" i="11"/>
  <c r="M436" i="11"/>
  <c r="L436" i="11"/>
  <c r="K436" i="11"/>
  <c r="F436" i="11"/>
  <c r="E436" i="11"/>
  <c r="C436" i="11"/>
  <c r="B436" i="11"/>
  <c r="X435" i="11"/>
  <c r="W435" i="11"/>
  <c r="V435" i="11"/>
  <c r="U435" i="11"/>
  <c r="T435" i="11"/>
  <c r="S435" i="11"/>
  <c r="R435" i="11"/>
  <c r="Q435" i="11"/>
  <c r="P435" i="11"/>
  <c r="O435" i="11"/>
  <c r="N435" i="11"/>
  <c r="M435" i="11"/>
  <c r="L435" i="11"/>
  <c r="K435" i="11"/>
  <c r="F435" i="11"/>
  <c r="E435" i="11"/>
  <c r="C435" i="11"/>
  <c r="B435" i="11"/>
  <c r="X434" i="11"/>
  <c r="W434" i="11"/>
  <c r="V434" i="11"/>
  <c r="U434" i="11"/>
  <c r="T434" i="11"/>
  <c r="S434" i="11"/>
  <c r="R434" i="11"/>
  <c r="Q434" i="11"/>
  <c r="P434" i="11"/>
  <c r="O434" i="11"/>
  <c r="N434" i="11"/>
  <c r="M434" i="11"/>
  <c r="L434" i="11"/>
  <c r="K434" i="11"/>
  <c r="F434" i="11"/>
  <c r="E434" i="11"/>
  <c r="C434" i="11"/>
  <c r="B434" i="11"/>
  <c r="X433" i="11"/>
  <c r="W433" i="11"/>
  <c r="V433" i="11"/>
  <c r="U433" i="11"/>
  <c r="T433" i="11"/>
  <c r="S433" i="11"/>
  <c r="R433" i="11"/>
  <c r="Q433" i="11"/>
  <c r="P433" i="11"/>
  <c r="O433" i="11"/>
  <c r="N433" i="11"/>
  <c r="M433" i="11"/>
  <c r="L433" i="11"/>
  <c r="K433" i="11"/>
  <c r="F433" i="11"/>
  <c r="E433" i="11"/>
  <c r="C433" i="11"/>
  <c r="B433" i="11"/>
  <c r="X432" i="11"/>
  <c r="W432" i="11"/>
  <c r="V432" i="11"/>
  <c r="U432" i="11"/>
  <c r="T432" i="11"/>
  <c r="S432" i="11"/>
  <c r="R432" i="11"/>
  <c r="Q432" i="11"/>
  <c r="P432" i="11"/>
  <c r="O432" i="11"/>
  <c r="N432" i="11"/>
  <c r="M432" i="11"/>
  <c r="L432" i="11"/>
  <c r="K432" i="11"/>
  <c r="F432" i="11"/>
  <c r="E432" i="11"/>
  <c r="C432" i="11"/>
  <c r="B432" i="11"/>
  <c r="X431" i="11"/>
  <c r="W431" i="11"/>
  <c r="V431" i="11"/>
  <c r="U431" i="11"/>
  <c r="T431" i="11"/>
  <c r="S431" i="11"/>
  <c r="R431" i="11"/>
  <c r="Q431" i="11"/>
  <c r="P431" i="11"/>
  <c r="O431" i="11"/>
  <c r="N431" i="11"/>
  <c r="M431" i="11"/>
  <c r="L431" i="11"/>
  <c r="K431" i="11"/>
  <c r="F431" i="11"/>
  <c r="E431" i="11"/>
  <c r="C431" i="11"/>
  <c r="B431" i="11"/>
  <c r="X430" i="11"/>
  <c r="W430" i="11"/>
  <c r="V430" i="11"/>
  <c r="U430" i="11"/>
  <c r="T430" i="11"/>
  <c r="S430" i="11"/>
  <c r="R430" i="11"/>
  <c r="Q430" i="11"/>
  <c r="P430" i="11"/>
  <c r="O430" i="11"/>
  <c r="N430" i="11"/>
  <c r="M430" i="11"/>
  <c r="L430" i="11"/>
  <c r="K430" i="11"/>
  <c r="F430" i="11"/>
  <c r="E430" i="11"/>
  <c r="C430" i="11"/>
  <c r="B430" i="11"/>
  <c r="X429" i="11"/>
  <c r="W429" i="11"/>
  <c r="V429" i="11"/>
  <c r="U429" i="11"/>
  <c r="T429" i="11"/>
  <c r="S429" i="11"/>
  <c r="R429" i="11"/>
  <c r="Q429" i="11"/>
  <c r="P429" i="11"/>
  <c r="O429" i="11"/>
  <c r="N429" i="11"/>
  <c r="M429" i="11"/>
  <c r="L429" i="11"/>
  <c r="K429" i="11"/>
  <c r="F429" i="11"/>
  <c r="E429" i="11"/>
  <c r="C429" i="11"/>
  <c r="B429" i="11"/>
  <c r="X428" i="11"/>
  <c r="W428" i="11"/>
  <c r="V428" i="11"/>
  <c r="U428" i="11"/>
  <c r="T428" i="11"/>
  <c r="S428" i="11"/>
  <c r="R428" i="11"/>
  <c r="Q428" i="11"/>
  <c r="P428" i="11"/>
  <c r="O428" i="11"/>
  <c r="N428" i="11"/>
  <c r="M428" i="11"/>
  <c r="L428" i="11"/>
  <c r="K428" i="11"/>
  <c r="F428" i="11"/>
  <c r="E428" i="11"/>
  <c r="C428" i="11"/>
  <c r="B428" i="11"/>
  <c r="X427" i="11"/>
  <c r="W427" i="11"/>
  <c r="V427" i="11"/>
  <c r="U427" i="11"/>
  <c r="T427" i="11"/>
  <c r="S427" i="11"/>
  <c r="R427" i="11"/>
  <c r="Q427" i="11"/>
  <c r="P427" i="11"/>
  <c r="O427" i="11"/>
  <c r="N427" i="11"/>
  <c r="M427" i="11"/>
  <c r="L427" i="11"/>
  <c r="K427" i="11"/>
  <c r="F427" i="11"/>
  <c r="E427" i="11"/>
  <c r="C427" i="11"/>
  <c r="B427" i="11"/>
  <c r="X426" i="11"/>
  <c r="W426" i="11"/>
  <c r="V426" i="11"/>
  <c r="U426" i="11"/>
  <c r="T426" i="11"/>
  <c r="S426" i="11"/>
  <c r="R426" i="11"/>
  <c r="Q426" i="11"/>
  <c r="P426" i="11"/>
  <c r="O426" i="11"/>
  <c r="N426" i="11"/>
  <c r="M426" i="11"/>
  <c r="L426" i="11"/>
  <c r="K426" i="11"/>
  <c r="F426" i="11"/>
  <c r="E426" i="11"/>
  <c r="C426" i="11"/>
  <c r="B426" i="11"/>
  <c r="X425" i="11"/>
  <c r="W425" i="11"/>
  <c r="V425" i="11"/>
  <c r="U425" i="11"/>
  <c r="T425" i="11"/>
  <c r="S425" i="11"/>
  <c r="R425" i="11"/>
  <c r="Q425" i="11"/>
  <c r="P425" i="11"/>
  <c r="O425" i="11"/>
  <c r="N425" i="11"/>
  <c r="M425" i="11"/>
  <c r="L425" i="11"/>
  <c r="K425" i="11"/>
  <c r="F425" i="11"/>
  <c r="E425" i="11"/>
  <c r="C425" i="11"/>
  <c r="B425" i="11"/>
  <c r="X424" i="11"/>
  <c r="W424" i="11"/>
  <c r="V424" i="11"/>
  <c r="U424" i="11"/>
  <c r="T424" i="11"/>
  <c r="S424" i="11"/>
  <c r="R424" i="11"/>
  <c r="Q424" i="11"/>
  <c r="P424" i="11"/>
  <c r="O424" i="11"/>
  <c r="N424" i="11"/>
  <c r="M424" i="11"/>
  <c r="L424" i="11"/>
  <c r="K424" i="11"/>
  <c r="F424" i="11"/>
  <c r="E424" i="11"/>
  <c r="C424" i="11"/>
  <c r="B424" i="11"/>
  <c r="X423" i="11"/>
  <c r="W423" i="11"/>
  <c r="V423" i="11"/>
  <c r="U423" i="11"/>
  <c r="T423" i="11"/>
  <c r="S423" i="11"/>
  <c r="R423" i="11"/>
  <c r="Q423" i="11"/>
  <c r="P423" i="11"/>
  <c r="O423" i="11"/>
  <c r="N423" i="11"/>
  <c r="M423" i="11"/>
  <c r="L423" i="11"/>
  <c r="K423" i="11"/>
  <c r="F423" i="11"/>
  <c r="E423" i="11"/>
  <c r="C423" i="11"/>
  <c r="B423" i="11"/>
  <c r="X422" i="11"/>
  <c r="W422" i="11"/>
  <c r="V422" i="11"/>
  <c r="U422" i="11"/>
  <c r="T422" i="11"/>
  <c r="S422" i="11"/>
  <c r="R422" i="11"/>
  <c r="Q422" i="11"/>
  <c r="P422" i="11"/>
  <c r="O422" i="11"/>
  <c r="N422" i="11"/>
  <c r="M422" i="11"/>
  <c r="L422" i="11"/>
  <c r="K422" i="11"/>
  <c r="F422" i="11"/>
  <c r="E422" i="11"/>
  <c r="C422" i="11"/>
  <c r="B422" i="11"/>
  <c r="X421" i="11"/>
  <c r="W421" i="11"/>
  <c r="V421" i="11"/>
  <c r="U421" i="11"/>
  <c r="T421" i="11"/>
  <c r="S421" i="11"/>
  <c r="R421" i="11"/>
  <c r="Q421" i="11"/>
  <c r="P421" i="11"/>
  <c r="O421" i="11"/>
  <c r="N421" i="11"/>
  <c r="M421" i="11"/>
  <c r="L421" i="11"/>
  <c r="K421" i="11"/>
  <c r="F421" i="11"/>
  <c r="E421" i="11"/>
  <c r="C421" i="11"/>
  <c r="B421" i="11"/>
  <c r="X420" i="11"/>
  <c r="W420" i="11"/>
  <c r="V420" i="11"/>
  <c r="U420" i="11"/>
  <c r="T420" i="11"/>
  <c r="S420" i="11"/>
  <c r="R420" i="11"/>
  <c r="Q420" i="11"/>
  <c r="P420" i="11"/>
  <c r="O420" i="11"/>
  <c r="N420" i="11"/>
  <c r="M420" i="11"/>
  <c r="L420" i="11"/>
  <c r="K420" i="11"/>
  <c r="F420" i="11"/>
  <c r="E420" i="11"/>
  <c r="C420" i="11"/>
  <c r="B420" i="11"/>
  <c r="X419" i="11"/>
  <c r="W419" i="11"/>
  <c r="V419" i="11"/>
  <c r="U419" i="11"/>
  <c r="T419" i="11"/>
  <c r="S419" i="11"/>
  <c r="R419" i="11"/>
  <c r="Q419" i="11"/>
  <c r="P419" i="11"/>
  <c r="O419" i="11"/>
  <c r="N419" i="11"/>
  <c r="M419" i="11"/>
  <c r="L419" i="11"/>
  <c r="K419" i="11"/>
  <c r="F419" i="11"/>
  <c r="E419" i="11"/>
  <c r="C419" i="11"/>
  <c r="B419" i="11"/>
  <c r="X418" i="11"/>
  <c r="W418" i="11"/>
  <c r="V418" i="11"/>
  <c r="U418" i="11"/>
  <c r="T418" i="11"/>
  <c r="S418" i="11"/>
  <c r="R418" i="11"/>
  <c r="Q418" i="11"/>
  <c r="P418" i="11"/>
  <c r="O418" i="11"/>
  <c r="N418" i="11"/>
  <c r="M418" i="11"/>
  <c r="L418" i="11"/>
  <c r="K418" i="11"/>
  <c r="F418" i="11"/>
  <c r="E418" i="11"/>
  <c r="C418" i="11"/>
  <c r="B418" i="11"/>
  <c r="X417" i="11"/>
  <c r="W417" i="11"/>
  <c r="V417" i="11"/>
  <c r="U417" i="11"/>
  <c r="T417" i="11"/>
  <c r="S417" i="11"/>
  <c r="R417" i="11"/>
  <c r="Q417" i="11"/>
  <c r="P417" i="11"/>
  <c r="O417" i="11"/>
  <c r="N417" i="11"/>
  <c r="M417" i="11"/>
  <c r="L417" i="11"/>
  <c r="K417" i="11"/>
  <c r="F417" i="11"/>
  <c r="E417" i="11"/>
  <c r="C417" i="11"/>
  <c r="B417" i="11"/>
  <c r="X416" i="11"/>
  <c r="W416" i="11"/>
  <c r="V416" i="11"/>
  <c r="U416" i="11"/>
  <c r="T416" i="11"/>
  <c r="S416" i="11"/>
  <c r="R416" i="11"/>
  <c r="Q416" i="11"/>
  <c r="P416" i="11"/>
  <c r="O416" i="11"/>
  <c r="N416" i="11"/>
  <c r="M416" i="11"/>
  <c r="L416" i="11"/>
  <c r="K416" i="11"/>
  <c r="F416" i="11"/>
  <c r="E416" i="11"/>
  <c r="C416" i="11"/>
  <c r="B416" i="11"/>
  <c r="X415" i="11"/>
  <c r="W415" i="11"/>
  <c r="V415" i="11"/>
  <c r="U415" i="11"/>
  <c r="T415" i="11"/>
  <c r="S415" i="11"/>
  <c r="R415" i="11"/>
  <c r="Q415" i="11"/>
  <c r="P415" i="11"/>
  <c r="O415" i="11"/>
  <c r="N415" i="11"/>
  <c r="M415" i="11"/>
  <c r="L415" i="11"/>
  <c r="K415" i="11"/>
  <c r="F415" i="11"/>
  <c r="E415" i="11"/>
  <c r="C415" i="11"/>
  <c r="B415" i="11"/>
  <c r="X414" i="11"/>
  <c r="W414" i="11"/>
  <c r="V414" i="11"/>
  <c r="U414" i="11"/>
  <c r="T414" i="11"/>
  <c r="S414" i="11"/>
  <c r="R414" i="11"/>
  <c r="Q414" i="11"/>
  <c r="P414" i="11"/>
  <c r="O414" i="11"/>
  <c r="N414" i="11"/>
  <c r="M414" i="11"/>
  <c r="L414" i="11"/>
  <c r="K414" i="11"/>
  <c r="F414" i="11"/>
  <c r="E414" i="11"/>
  <c r="C414" i="11"/>
  <c r="B414" i="11"/>
  <c r="X413" i="11"/>
  <c r="W413" i="11"/>
  <c r="V413" i="11"/>
  <c r="U413" i="11"/>
  <c r="T413" i="11"/>
  <c r="S413" i="11"/>
  <c r="R413" i="11"/>
  <c r="Q413" i="11"/>
  <c r="P413" i="11"/>
  <c r="O413" i="11"/>
  <c r="N413" i="11"/>
  <c r="M413" i="11"/>
  <c r="L413" i="11"/>
  <c r="K413" i="11"/>
  <c r="F413" i="11"/>
  <c r="E413" i="11"/>
  <c r="C413" i="11"/>
  <c r="B413" i="11"/>
  <c r="X412" i="11"/>
  <c r="W412" i="11"/>
  <c r="V412" i="11"/>
  <c r="U412" i="11"/>
  <c r="T412" i="11"/>
  <c r="S412" i="11"/>
  <c r="R412" i="11"/>
  <c r="Q412" i="11"/>
  <c r="P412" i="11"/>
  <c r="O412" i="11"/>
  <c r="N412" i="11"/>
  <c r="M412" i="11"/>
  <c r="L412" i="11"/>
  <c r="K412" i="11"/>
  <c r="F412" i="11"/>
  <c r="E412" i="11"/>
  <c r="C412" i="11"/>
  <c r="B412" i="11"/>
  <c r="X411" i="11"/>
  <c r="W411" i="11"/>
  <c r="V411" i="11"/>
  <c r="U411" i="11"/>
  <c r="T411" i="11"/>
  <c r="S411" i="11"/>
  <c r="R411" i="11"/>
  <c r="Q411" i="11"/>
  <c r="P411" i="11"/>
  <c r="O411" i="11"/>
  <c r="N411" i="11"/>
  <c r="M411" i="11"/>
  <c r="L411" i="11"/>
  <c r="K411" i="11"/>
  <c r="F411" i="11"/>
  <c r="E411" i="11"/>
  <c r="C411" i="11"/>
  <c r="B411" i="11"/>
  <c r="X410" i="11"/>
  <c r="W410" i="11"/>
  <c r="V410" i="11"/>
  <c r="U410" i="11"/>
  <c r="T410" i="11"/>
  <c r="S410" i="11"/>
  <c r="R410" i="11"/>
  <c r="Q410" i="11"/>
  <c r="P410" i="11"/>
  <c r="O410" i="11"/>
  <c r="N410" i="11"/>
  <c r="M410" i="11"/>
  <c r="L410" i="11"/>
  <c r="K410" i="11"/>
  <c r="F410" i="11"/>
  <c r="E410" i="11"/>
  <c r="C410" i="11"/>
  <c r="B410" i="11"/>
  <c r="X409" i="11"/>
  <c r="W409" i="11"/>
  <c r="V409" i="11"/>
  <c r="U409" i="11"/>
  <c r="T409" i="11"/>
  <c r="S409" i="11"/>
  <c r="R409" i="11"/>
  <c r="Q409" i="11"/>
  <c r="P409" i="11"/>
  <c r="O409" i="11"/>
  <c r="N409" i="11"/>
  <c r="M409" i="11"/>
  <c r="L409" i="11"/>
  <c r="K409" i="11"/>
  <c r="F409" i="11"/>
  <c r="E409" i="11"/>
  <c r="C409" i="11"/>
  <c r="B409" i="11"/>
  <c r="X408" i="11"/>
  <c r="W408" i="11"/>
  <c r="V408" i="11"/>
  <c r="U408" i="11"/>
  <c r="T408" i="11"/>
  <c r="S408" i="11"/>
  <c r="R408" i="11"/>
  <c r="Q408" i="11"/>
  <c r="P408" i="11"/>
  <c r="O408" i="11"/>
  <c r="N408" i="11"/>
  <c r="M408" i="11"/>
  <c r="L408" i="11"/>
  <c r="K408" i="11"/>
  <c r="F408" i="11"/>
  <c r="E408" i="11"/>
  <c r="C408" i="11"/>
  <c r="B408" i="11"/>
  <c r="X407" i="11"/>
  <c r="W407" i="11"/>
  <c r="V407" i="11"/>
  <c r="U407" i="11"/>
  <c r="T407" i="11"/>
  <c r="S407" i="11"/>
  <c r="R407" i="11"/>
  <c r="Q407" i="11"/>
  <c r="P407" i="11"/>
  <c r="O407" i="11"/>
  <c r="N407" i="11"/>
  <c r="M407" i="11"/>
  <c r="L407" i="11"/>
  <c r="K407" i="11"/>
  <c r="F407" i="11"/>
  <c r="E407" i="11"/>
  <c r="C407" i="11"/>
  <c r="B407" i="11"/>
  <c r="X406" i="11"/>
  <c r="W406" i="11"/>
  <c r="V406" i="11"/>
  <c r="U406" i="11"/>
  <c r="T406" i="11"/>
  <c r="S406" i="11"/>
  <c r="R406" i="11"/>
  <c r="Q406" i="11"/>
  <c r="P406" i="11"/>
  <c r="O406" i="11"/>
  <c r="N406" i="11"/>
  <c r="M406" i="11"/>
  <c r="L406" i="11"/>
  <c r="K406" i="11"/>
  <c r="F406" i="11"/>
  <c r="E406" i="11"/>
  <c r="C406" i="11"/>
  <c r="B406" i="11"/>
  <c r="X405" i="11"/>
  <c r="W405" i="11"/>
  <c r="V405" i="11"/>
  <c r="U405" i="11"/>
  <c r="T405" i="11"/>
  <c r="S405" i="11"/>
  <c r="R405" i="11"/>
  <c r="Q405" i="11"/>
  <c r="P405" i="11"/>
  <c r="O405" i="11"/>
  <c r="N405" i="11"/>
  <c r="M405" i="11"/>
  <c r="L405" i="11"/>
  <c r="K405" i="11"/>
  <c r="F405" i="11"/>
  <c r="E405" i="11"/>
  <c r="C405" i="11"/>
  <c r="B405" i="11"/>
  <c r="X404" i="11"/>
  <c r="W404" i="11"/>
  <c r="V404" i="11"/>
  <c r="U404" i="11"/>
  <c r="T404" i="11"/>
  <c r="S404" i="11"/>
  <c r="R404" i="11"/>
  <c r="Q404" i="11"/>
  <c r="P404" i="11"/>
  <c r="O404" i="11"/>
  <c r="N404" i="11"/>
  <c r="M404" i="11"/>
  <c r="L404" i="11"/>
  <c r="K404" i="11"/>
  <c r="F404" i="11"/>
  <c r="E404" i="11"/>
  <c r="C404" i="11"/>
  <c r="B404" i="11"/>
  <c r="X403" i="11"/>
  <c r="W403" i="11"/>
  <c r="V403" i="11"/>
  <c r="U403" i="11"/>
  <c r="T403" i="11"/>
  <c r="S403" i="11"/>
  <c r="R403" i="11"/>
  <c r="Q403" i="11"/>
  <c r="P403" i="11"/>
  <c r="O403" i="11"/>
  <c r="N403" i="11"/>
  <c r="M403" i="11"/>
  <c r="L403" i="11"/>
  <c r="K403" i="11"/>
  <c r="F403" i="11"/>
  <c r="E403" i="11"/>
  <c r="C403" i="11"/>
  <c r="B403" i="11"/>
  <c r="X402" i="11"/>
  <c r="W402" i="11"/>
  <c r="V402" i="11"/>
  <c r="U402" i="11"/>
  <c r="T402" i="11"/>
  <c r="S402" i="11"/>
  <c r="R402" i="11"/>
  <c r="Q402" i="11"/>
  <c r="P402" i="11"/>
  <c r="O402" i="11"/>
  <c r="N402" i="11"/>
  <c r="M402" i="11"/>
  <c r="L402" i="11"/>
  <c r="K402" i="11"/>
  <c r="F402" i="11"/>
  <c r="E402" i="11"/>
  <c r="C402" i="11"/>
  <c r="B402" i="11"/>
  <c r="X401" i="11"/>
  <c r="W401" i="11"/>
  <c r="V401" i="11"/>
  <c r="U401" i="11"/>
  <c r="T401" i="11"/>
  <c r="S401" i="11"/>
  <c r="R401" i="11"/>
  <c r="Q401" i="11"/>
  <c r="P401" i="11"/>
  <c r="O401" i="11"/>
  <c r="N401" i="11"/>
  <c r="M401" i="11"/>
  <c r="L401" i="11"/>
  <c r="K401" i="11"/>
  <c r="F401" i="11"/>
  <c r="E401" i="11"/>
  <c r="C401" i="11"/>
  <c r="B401" i="11"/>
  <c r="X400" i="11"/>
  <c r="W400" i="11"/>
  <c r="V400" i="11"/>
  <c r="U400" i="11"/>
  <c r="T400" i="11"/>
  <c r="S400" i="11"/>
  <c r="R400" i="11"/>
  <c r="Q400" i="11"/>
  <c r="P400" i="11"/>
  <c r="O400" i="11"/>
  <c r="N400" i="11"/>
  <c r="M400" i="11"/>
  <c r="L400" i="11"/>
  <c r="K400" i="11"/>
  <c r="F400" i="11"/>
  <c r="E400" i="11"/>
  <c r="C400" i="11"/>
  <c r="B400" i="11"/>
  <c r="X399" i="11"/>
  <c r="W399" i="11"/>
  <c r="V399" i="11"/>
  <c r="U399" i="11"/>
  <c r="T399" i="11"/>
  <c r="S399" i="11"/>
  <c r="R399" i="11"/>
  <c r="Q399" i="11"/>
  <c r="P399" i="11"/>
  <c r="O399" i="11"/>
  <c r="N399" i="11"/>
  <c r="M399" i="11"/>
  <c r="L399" i="11"/>
  <c r="K399" i="11"/>
  <c r="F399" i="11"/>
  <c r="E399" i="11"/>
  <c r="C399" i="11"/>
  <c r="B399" i="11"/>
  <c r="X398" i="11"/>
  <c r="W398" i="11"/>
  <c r="V398" i="11"/>
  <c r="U398" i="11"/>
  <c r="T398" i="11"/>
  <c r="S398" i="11"/>
  <c r="R398" i="11"/>
  <c r="Q398" i="11"/>
  <c r="P398" i="11"/>
  <c r="O398" i="11"/>
  <c r="N398" i="11"/>
  <c r="M398" i="11"/>
  <c r="L398" i="11"/>
  <c r="K398" i="11"/>
  <c r="F398" i="11"/>
  <c r="E398" i="11"/>
  <c r="C398" i="11"/>
  <c r="B398" i="11"/>
  <c r="X397" i="11"/>
  <c r="W397" i="11"/>
  <c r="V397" i="11"/>
  <c r="U397" i="11"/>
  <c r="T397" i="11"/>
  <c r="S397" i="11"/>
  <c r="R397" i="11"/>
  <c r="Q397" i="11"/>
  <c r="P397" i="11"/>
  <c r="O397" i="11"/>
  <c r="N397" i="11"/>
  <c r="M397" i="11"/>
  <c r="L397" i="11"/>
  <c r="K397" i="11"/>
  <c r="F397" i="11"/>
  <c r="E397" i="11"/>
  <c r="C397" i="11"/>
  <c r="B397" i="11"/>
  <c r="X396" i="11"/>
  <c r="W396" i="11"/>
  <c r="V396" i="11"/>
  <c r="U396" i="11"/>
  <c r="T396" i="11"/>
  <c r="S396" i="11"/>
  <c r="R396" i="11"/>
  <c r="Q396" i="11"/>
  <c r="P396" i="11"/>
  <c r="O396" i="11"/>
  <c r="N396" i="11"/>
  <c r="M396" i="11"/>
  <c r="L396" i="11"/>
  <c r="K396" i="11"/>
  <c r="F396" i="11"/>
  <c r="E396" i="11"/>
  <c r="C396" i="11"/>
  <c r="B396" i="11"/>
  <c r="X395" i="11"/>
  <c r="W395" i="11"/>
  <c r="V395" i="11"/>
  <c r="U395" i="11"/>
  <c r="T395" i="11"/>
  <c r="S395" i="11"/>
  <c r="R395" i="11"/>
  <c r="Q395" i="11"/>
  <c r="P395" i="11"/>
  <c r="O395" i="11"/>
  <c r="N395" i="11"/>
  <c r="M395" i="11"/>
  <c r="L395" i="11"/>
  <c r="K395" i="11"/>
  <c r="F395" i="11"/>
  <c r="E395" i="11"/>
  <c r="C395" i="11"/>
  <c r="B395" i="11"/>
  <c r="X394" i="11"/>
  <c r="W394" i="11"/>
  <c r="V394" i="11"/>
  <c r="U394" i="11"/>
  <c r="T394" i="11"/>
  <c r="S394" i="11"/>
  <c r="R394" i="11"/>
  <c r="Q394" i="11"/>
  <c r="P394" i="11"/>
  <c r="O394" i="11"/>
  <c r="N394" i="11"/>
  <c r="M394" i="11"/>
  <c r="L394" i="11"/>
  <c r="K394" i="11"/>
  <c r="F394" i="11"/>
  <c r="E394" i="11"/>
  <c r="C394" i="11"/>
  <c r="B394" i="11"/>
  <c r="X393" i="11"/>
  <c r="W393" i="11"/>
  <c r="V393" i="11"/>
  <c r="U393" i="11"/>
  <c r="T393" i="11"/>
  <c r="S393" i="11"/>
  <c r="R393" i="11"/>
  <c r="Q393" i="11"/>
  <c r="P393" i="11"/>
  <c r="O393" i="11"/>
  <c r="N393" i="11"/>
  <c r="M393" i="11"/>
  <c r="L393" i="11"/>
  <c r="K393" i="11"/>
  <c r="F393" i="11"/>
  <c r="E393" i="11"/>
  <c r="C393" i="11"/>
  <c r="B393" i="11"/>
  <c r="X392" i="11"/>
  <c r="W392" i="11"/>
  <c r="V392" i="11"/>
  <c r="U392" i="11"/>
  <c r="T392" i="11"/>
  <c r="S392" i="11"/>
  <c r="R392" i="11"/>
  <c r="Q392" i="11"/>
  <c r="P392" i="11"/>
  <c r="O392" i="11"/>
  <c r="N392" i="11"/>
  <c r="M392" i="11"/>
  <c r="L392" i="11"/>
  <c r="K392" i="11"/>
  <c r="F392" i="11"/>
  <c r="E392" i="11"/>
  <c r="C392" i="11"/>
  <c r="B392" i="11"/>
  <c r="X391" i="11"/>
  <c r="W391" i="11"/>
  <c r="V391" i="11"/>
  <c r="U391" i="11"/>
  <c r="T391" i="11"/>
  <c r="S391" i="11"/>
  <c r="R391" i="11"/>
  <c r="Q391" i="11"/>
  <c r="P391" i="11"/>
  <c r="O391" i="11"/>
  <c r="N391" i="11"/>
  <c r="M391" i="11"/>
  <c r="L391" i="11"/>
  <c r="K391" i="11"/>
  <c r="F391" i="11"/>
  <c r="E391" i="11"/>
  <c r="C391" i="11"/>
  <c r="B391" i="11"/>
  <c r="X390" i="11"/>
  <c r="W390" i="11"/>
  <c r="V390" i="11"/>
  <c r="U390" i="11"/>
  <c r="T390" i="11"/>
  <c r="S390" i="11"/>
  <c r="R390" i="11"/>
  <c r="Q390" i="11"/>
  <c r="P390" i="11"/>
  <c r="O390" i="11"/>
  <c r="N390" i="11"/>
  <c r="M390" i="11"/>
  <c r="L390" i="11"/>
  <c r="K390" i="11"/>
  <c r="F390" i="11"/>
  <c r="E390" i="11"/>
  <c r="C390" i="11"/>
  <c r="B390" i="11"/>
  <c r="X389" i="11"/>
  <c r="W389" i="11"/>
  <c r="V389" i="11"/>
  <c r="U389" i="11"/>
  <c r="T389" i="11"/>
  <c r="S389" i="11"/>
  <c r="R389" i="11"/>
  <c r="Q389" i="11"/>
  <c r="P389" i="11"/>
  <c r="O389" i="11"/>
  <c r="N389" i="11"/>
  <c r="M389" i="11"/>
  <c r="L389" i="11"/>
  <c r="K389" i="11"/>
  <c r="F389" i="11"/>
  <c r="E389" i="11"/>
  <c r="C389" i="11"/>
  <c r="B389" i="11"/>
  <c r="X388" i="11"/>
  <c r="W388" i="11"/>
  <c r="V388" i="11"/>
  <c r="U388" i="11"/>
  <c r="T388" i="11"/>
  <c r="S388" i="11"/>
  <c r="R388" i="11"/>
  <c r="Q388" i="11"/>
  <c r="P388" i="11"/>
  <c r="O388" i="11"/>
  <c r="N388" i="11"/>
  <c r="M388" i="11"/>
  <c r="L388" i="11"/>
  <c r="K388" i="11"/>
  <c r="F388" i="11"/>
  <c r="E388" i="11"/>
  <c r="C388" i="11"/>
  <c r="B388" i="11"/>
  <c r="X387" i="11"/>
  <c r="W387" i="11"/>
  <c r="V387" i="11"/>
  <c r="U387" i="11"/>
  <c r="T387" i="11"/>
  <c r="S387" i="11"/>
  <c r="R387" i="11"/>
  <c r="Q387" i="11"/>
  <c r="P387" i="11"/>
  <c r="O387" i="11"/>
  <c r="N387" i="11"/>
  <c r="M387" i="11"/>
  <c r="L387" i="11"/>
  <c r="K387" i="11"/>
  <c r="F387" i="11"/>
  <c r="E387" i="11"/>
  <c r="C387" i="11"/>
  <c r="B387" i="11"/>
  <c r="X386" i="11"/>
  <c r="W386" i="11"/>
  <c r="V386" i="11"/>
  <c r="U386" i="11"/>
  <c r="T386" i="11"/>
  <c r="S386" i="11"/>
  <c r="R386" i="11"/>
  <c r="Q386" i="11"/>
  <c r="P386" i="11"/>
  <c r="O386" i="11"/>
  <c r="N386" i="11"/>
  <c r="M386" i="11"/>
  <c r="L386" i="11"/>
  <c r="K386" i="11"/>
  <c r="F386" i="11"/>
  <c r="E386" i="11"/>
  <c r="C386" i="11"/>
  <c r="B386" i="11"/>
  <c r="X385" i="11"/>
  <c r="W385" i="11"/>
  <c r="V385" i="11"/>
  <c r="U385" i="11"/>
  <c r="T385" i="11"/>
  <c r="S385" i="11"/>
  <c r="R385" i="11"/>
  <c r="Q385" i="11"/>
  <c r="P385" i="11"/>
  <c r="O385" i="11"/>
  <c r="N385" i="11"/>
  <c r="M385" i="11"/>
  <c r="L385" i="11"/>
  <c r="K385" i="11"/>
  <c r="F385" i="11"/>
  <c r="E385" i="11"/>
  <c r="C385" i="11"/>
  <c r="B385" i="11"/>
  <c r="X384" i="11"/>
  <c r="W384" i="11"/>
  <c r="V384" i="11"/>
  <c r="U384" i="11"/>
  <c r="T384" i="11"/>
  <c r="S384" i="11"/>
  <c r="R384" i="11"/>
  <c r="Q384" i="11"/>
  <c r="P384" i="11"/>
  <c r="O384" i="11"/>
  <c r="N384" i="11"/>
  <c r="M384" i="11"/>
  <c r="L384" i="11"/>
  <c r="K384" i="11"/>
  <c r="F384" i="11"/>
  <c r="E384" i="11"/>
  <c r="C384" i="11"/>
  <c r="B384" i="11"/>
  <c r="X383" i="11"/>
  <c r="W383" i="11"/>
  <c r="V383" i="11"/>
  <c r="U383" i="11"/>
  <c r="T383" i="11"/>
  <c r="S383" i="11"/>
  <c r="R383" i="11"/>
  <c r="Q383" i="11"/>
  <c r="P383" i="11"/>
  <c r="O383" i="11"/>
  <c r="N383" i="11"/>
  <c r="M383" i="11"/>
  <c r="L383" i="11"/>
  <c r="K383" i="11"/>
  <c r="F383" i="11"/>
  <c r="E383" i="11"/>
  <c r="C383" i="11"/>
  <c r="B383" i="11"/>
  <c r="X382" i="11"/>
  <c r="W382" i="11"/>
  <c r="V382" i="11"/>
  <c r="U382" i="11"/>
  <c r="T382" i="11"/>
  <c r="S382" i="11"/>
  <c r="R382" i="11"/>
  <c r="Q382" i="11"/>
  <c r="P382" i="11"/>
  <c r="O382" i="11"/>
  <c r="N382" i="11"/>
  <c r="M382" i="11"/>
  <c r="L382" i="11"/>
  <c r="K382" i="11"/>
  <c r="F382" i="11"/>
  <c r="E382" i="11"/>
  <c r="C382" i="11"/>
  <c r="B382" i="11"/>
  <c r="X381" i="11"/>
  <c r="W381" i="11"/>
  <c r="V381" i="11"/>
  <c r="U381" i="11"/>
  <c r="T381" i="11"/>
  <c r="S381" i="11"/>
  <c r="R381" i="11"/>
  <c r="Q381" i="11"/>
  <c r="P381" i="11"/>
  <c r="O381" i="11"/>
  <c r="N381" i="11"/>
  <c r="M381" i="11"/>
  <c r="L381" i="11"/>
  <c r="K381" i="11"/>
  <c r="F381" i="11"/>
  <c r="E381" i="11"/>
  <c r="C381" i="11"/>
  <c r="B381" i="11"/>
  <c r="X380" i="11"/>
  <c r="W380" i="11"/>
  <c r="V380" i="11"/>
  <c r="U380" i="11"/>
  <c r="T380" i="11"/>
  <c r="S380" i="11"/>
  <c r="R380" i="11"/>
  <c r="Q380" i="11"/>
  <c r="P380" i="11"/>
  <c r="O380" i="11"/>
  <c r="N380" i="11"/>
  <c r="M380" i="11"/>
  <c r="L380" i="11"/>
  <c r="K380" i="11"/>
  <c r="F380" i="11"/>
  <c r="E380" i="11"/>
  <c r="C380" i="11"/>
  <c r="B380" i="11"/>
  <c r="X379" i="11"/>
  <c r="W379" i="11"/>
  <c r="V379" i="11"/>
  <c r="U379" i="11"/>
  <c r="T379" i="11"/>
  <c r="S379" i="11"/>
  <c r="R379" i="11"/>
  <c r="Q379" i="11"/>
  <c r="P379" i="11"/>
  <c r="O379" i="11"/>
  <c r="N379" i="11"/>
  <c r="M379" i="11"/>
  <c r="L379" i="11"/>
  <c r="K379" i="11"/>
  <c r="F379" i="11"/>
  <c r="E379" i="11"/>
  <c r="C379" i="11"/>
  <c r="B379" i="11"/>
  <c r="X378" i="11"/>
  <c r="W378" i="11"/>
  <c r="V378" i="11"/>
  <c r="U378" i="11"/>
  <c r="T378" i="11"/>
  <c r="S378" i="11"/>
  <c r="R378" i="11"/>
  <c r="Q378" i="11"/>
  <c r="P378" i="11"/>
  <c r="O378" i="11"/>
  <c r="N378" i="11"/>
  <c r="M378" i="11"/>
  <c r="L378" i="11"/>
  <c r="K378" i="11"/>
  <c r="F378" i="11"/>
  <c r="E378" i="11"/>
  <c r="C378" i="11"/>
  <c r="B378" i="11"/>
  <c r="X377" i="11"/>
  <c r="W377" i="11"/>
  <c r="V377" i="11"/>
  <c r="U377" i="11"/>
  <c r="T377" i="11"/>
  <c r="S377" i="11"/>
  <c r="R377" i="11"/>
  <c r="Q377" i="11"/>
  <c r="P377" i="11"/>
  <c r="O377" i="11"/>
  <c r="N377" i="11"/>
  <c r="M377" i="11"/>
  <c r="L377" i="11"/>
  <c r="K377" i="11"/>
  <c r="F377" i="11"/>
  <c r="E377" i="11"/>
  <c r="C377" i="11"/>
  <c r="B377" i="11"/>
  <c r="X376" i="11"/>
  <c r="W376" i="11"/>
  <c r="V376" i="11"/>
  <c r="U376" i="11"/>
  <c r="T376" i="11"/>
  <c r="S376" i="11"/>
  <c r="R376" i="11"/>
  <c r="Q376" i="11"/>
  <c r="P376" i="11"/>
  <c r="O376" i="11"/>
  <c r="N376" i="11"/>
  <c r="M376" i="11"/>
  <c r="L376" i="11"/>
  <c r="K376" i="11"/>
  <c r="F376" i="11"/>
  <c r="E376" i="11"/>
  <c r="C376" i="11"/>
  <c r="B376" i="11"/>
  <c r="X375" i="11"/>
  <c r="W375" i="11"/>
  <c r="V375" i="11"/>
  <c r="U375" i="11"/>
  <c r="T375" i="11"/>
  <c r="S375" i="11"/>
  <c r="R375" i="11"/>
  <c r="Q375" i="11"/>
  <c r="P375" i="11"/>
  <c r="O375" i="11"/>
  <c r="N375" i="11"/>
  <c r="M375" i="11"/>
  <c r="L375" i="11"/>
  <c r="K375" i="11"/>
  <c r="F375" i="11"/>
  <c r="E375" i="11"/>
  <c r="C375" i="11"/>
  <c r="B375" i="11"/>
  <c r="X374" i="11"/>
  <c r="W374" i="11"/>
  <c r="V374" i="11"/>
  <c r="U374" i="11"/>
  <c r="T374" i="11"/>
  <c r="S374" i="11"/>
  <c r="R374" i="11"/>
  <c r="Q374" i="11"/>
  <c r="P374" i="11"/>
  <c r="O374" i="11"/>
  <c r="N374" i="11"/>
  <c r="M374" i="11"/>
  <c r="L374" i="11"/>
  <c r="K374" i="11"/>
  <c r="F374" i="11"/>
  <c r="E374" i="11"/>
  <c r="C374" i="11"/>
  <c r="B374" i="11"/>
  <c r="X373" i="11"/>
  <c r="W373" i="11"/>
  <c r="V373" i="11"/>
  <c r="U373" i="11"/>
  <c r="T373" i="11"/>
  <c r="S373" i="11"/>
  <c r="R373" i="11"/>
  <c r="Q373" i="11"/>
  <c r="P373" i="11"/>
  <c r="O373" i="11"/>
  <c r="N373" i="11"/>
  <c r="M373" i="11"/>
  <c r="L373" i="11"/>
  <c r="K373" i="11"/>
  <c r="F373" i="11"/>
  <c r="E373" i="11"/>
  <c r="C373" i="11"/>
  <c r="B373" i="11"/>
  <c r="X372" i="11"/>
  <c r="W372" i="11"/>
  <c r="V372" i="11"/>
  <c r="U372" i="11"/>
  <c r="T372" i="11"/>
  <c r="S372" i="11"/>
  <c r="R372" i="11"/>
  <c r="Q372" i="11"/>
  <c r="P372" i="11"/>
  <c r="O372" i="11"/>
  <c r="N372" i="11"/>
  <c r="M372" i="11"/>
  <c r="L372" i="11"/>
  <c r="K372" i="11"/>
  <c r="F372" i="11"/>
  <c r="E372" i="11"/>
  <c r="C372" i="11"/>
  <c r="B372" i="11"/>
  <c r="X371" i="11"/>
  <c r="W371" i="11"/>
  <c r="V371" i="11"/>
  <c r="U371" i="11"/>
  <c r="T371" i="11"/>
  <c r="S371" i="11"/>
  <c r="R371" i="11"/>
  <c r="Q371" i="11"/>
  <c r="P371" i="11"/>
  <c r="O371" i="11"/>
  <c r="N371" i="11"/>
  <c r="M371" i="11"/>
  <c r="L371" i="11"/>
  <c r="K371" i="11"/>
  <c r="F371" i="11"/>
  <c r="E371" i="11"/>
  <c r="C371" i="11"/>
  <c r="B371" i="11"/>
  <c r="X370" i="11"/>
  <c r="W370" i="11"/>
  <c r="V370" i="11"/>
  <c r="U370" i="11"/>
  <c r="T370" i="11"/>
  <c r="S370" i="11"/>
  <c r="R370" i="11"/>
  <c r="Q370" i="11"/>
  <c r="P370" i="11"/>
  <c r="O370" i="11"/>
  <c r="N370" i="11"/>
  <c r="M370" i="11"/>
  <c r="L370" i="11"/>
  <c r="K370" i="11"/>
  <c r="F370" i="11"/>
  <c r="E370" i="11"/>
  <c r="C370" i="11"/>
  <c r="B370" i="11"/>
  <c r="X369" i="11"/>
  <c r="W369" i="11"/>
  <c r="V369" i="11"/>
  <c r="U369" i="11"/>
  <c r="T369" i="11"/>
  <c r="S369" i="11"/>
  <c r="R369" i="11"/>
  <c r="Q369" i="11"/>
  <c r="P369" i="11"/>
  <c r="O369" i="11"/>
  <c r="N369" i="11"/>
  <c r="M369" i="11"/>
  <c r="L369" i="11"/>
  <c r="K369" i="11"/>
  <c r="F369" i="11"/>
  <c r="E369" i="11"/>
  <c r="C369" i="11"/>
  <c r="B369" i="11"/>
  <c r="X368" i="11"/>
  <c r="W368" i="11"/>
  <c r="V368" i="11"/>
  <c r="U368" i="11"/>
  <c r="T368" i="11"/>
  <c r="S368" i="11"/>
  <c r="R368" i="11"/>
  <c r="Q368" i="11"/>
  <c r="P368" i="11"/>
  <c r="O368" i="11"/>
  <c r="N368" i="11"/>
  <c r="M368" i="11"/>
  <c r="L368" i="11"/>
  <c r="K368" i="11"/>
  <c r="F368" i="11"/>
  <c r="E368" i="11"/>
  <c r="C368" i="11"/>
  <c r="B368" i="11"/>
  <c r="X367" i="11"/>
  <c r="W367" i="11"/>
  <c r="V367" i="11"/>
  <c r="U367" i="11"/>
  <c r="T367" i="11"/>
  <c r="S367" i="11"/>
  <c r="R367" i="11"/>
  <c r="Q367" i="11"/>
  <c r="P367" i="11"/>
  <c r="O367" i="11"/>
  <c r="N367" i="11"/>
  <c r="M367" i="11"/>
  <c r="L367" i="11"/>
  <c r="K367" i="11"/>
  <c r="F367" i="11"/>
  <c r="E367" i="11"/>
  <c r="C367" i="11"/>
  <c r="B367" i="11"/>
  <c r="X366" i="11"/>
  <c r="W366" i="11"/>
  <c r="V366" i="11"/>
  <c r="U366" i="11"/>
  <c r="T366" i="11"/>
  <c r="S366" i="11"/>
  <c r="R366" i="11"/>
  <c r="Q366" i="11"/>
  <c r="P366" i="11"/>
  <c r="O366" i="11"/>
  <c r="N366" i="11"/>
  <c r="M366" i="11"/>
  <c r="L366" i="11"/>
  <c r="K366" i="11"/>
  <c r="F366" i="11"/>
  <c r="E366" i="11"/>
  <c r="C366" i="11"/>
  <c r="B366" i="11"/>
  <c r="X365" i="11"/>
  <c r="W365" i="11"/>
  <c r="V365" i="11"/>
  <c r="U365" i="11"/>
  <c r="T365" i="11"/>
  <c r="S365" i="11"/>
  <c r="R365" i="11"/>
  <c r="Q365" i="11"/>
  <c r="P365" i="11"/>
  <c r="O365" i="11"/>
  <c r="N365" i="11"/>
  <c r="M365" i="11"/>
  <c r="L365" i="11"/>
  <c r="K365" i="11"/>
  <c r="F365" i="11"/>
  <c r="E365" i="11"/>
  <c r="C365" i="11"/>
  <c r="B365" i="11"/>
  <c r="X364" i="11"/>
  <c r="W364" i="11"/>
  <c r="V364" i="11"/>
  <c r="U364" i="11"/>
  <c r="T364" i="11"/>
  <c r="S364" i="11"/>
  <c r="R364" i="11"/>
  <c r="Q364" i="11"/>
  <c r="P364" i="11"/>
  <c r="O364" i="11"/>
  <c r="N364" i="11"/>
  <c r="M364" i="11"/>
  <c r="L364" i="11"/>
  <c r="K364" i="11"/>
  <c r="F364" i="11"/>
  <c r="E364" i="11"/>
  <c r="C364" i="11"/>
  <c r="B364" i="11"/>
  <c r="X363" i="11"/>
  <c r="W363" i="11"/>
  <c r="V363" i="11"/>
  <c r="U363" i="11"/>
  <c r="T363" i="11"/>
  <c r="S363" i="11"/>
  <c r="R363" i="11"/>
  <c r="Q363" i="11"/>
  <c r="P363" i="11"/>
  <c r="O363" i="11"/>
  <c r="N363" i="11"/>
  <c r="M363" i="11"/>
  <c r="L363" i="11"/>
  <c r="K363" i="11"/>
  <c r="F363" i="11"/>
  <c r="E363" i="11"/>
  <c r="C363" i="11"/>
  <c r="B363" i="11"/>
  <c r="X362" i="11"/>
  <c r="W362" i="11"/>
  <c r="V362" i="11"/>
  <c r="U362" i="11"/>
  <c r="T362" i="11"/>
  <c r="S362" i="11"/>
  <c r="R362" i="11"/>
  <c r="Q362" i="11"/>
  <c r="P362" i="11"/>
  <c r="O362" i="11"/>
  <c r="N362" i="11"/>
  <c r="M362" i="11"/>
  <c r="L362" i="11"/>
  <c r="K362" i="11"/>
  <c r="F362" i="11"/>
  <c r="E362" i="11"/>
  <c r="C362" i="11"/>
  <c r="B362" i="11"/>
  <c r="X361" i="11"/>
  <c r="W361" i="11"/>
  <c r="V361" i="11"/>
  <c r="U361" i="11"/>
  <c r="T361" i="11"/>
  <c r="S361" i="11"/>
  <c r="R361" i="11"/>
  <c r="Q361" i="11"/>
  <c r="P361" i="11"/>
  <c r="O361" i="11"/>
  <c r="N361" i="11"/>
  <c r="M361" i="11"/>
  <c r="L361" i="11"/>
  <c r="K361" i="11"/>
  <c r="F361" i="11"/>
  <c r="E361" i="11"/>
  <c r="C361" i="11"/>
  <c r="B361" i="11"/>
  <c r="X360" i="11"/>
  <c r="W360" i="11"/>
  <c r="V360" i="11"/>
  <c r="U360" i="11"/>
  <c r="T360" i="11"/>
  <c r="S360" i="11"/>
  <c r="R360" i="11"/>
  <c r="Q360" i="11"/>
  <c r="P360" i="11"/>
  <c r="O360" i="11"/>
  <c r="N360" i="11"/>
  <c r="M360" i="11"/>
  <c r="L360" i="11"/>
  <c r="K360" i="11"/>
  <c r="F360" i="11"/>
  <c r="E360" i="11"/>
  <c r="C360" i="11"/>
  <c r="B360" i="11"/>
  <c r="X359" i="11"/>
  <c r="W359" i="11"/>
  <c r="V359" i="11"/>
  <c r="U359" i="11"/>
  <c r="T359" i="11"/>
  <c r="S359" i="11"/>
  <c r="R359" i="11"/>
  <c r="Q359" i="11"/>
  <c r="P359" i="11"/>
  <c r="O359" i="11"/>
  <c r="N359" i="11"/>
  <c r="M359" i="11"/>
  <c r="L359" i="11"/>
  <c r="K359" i="11"/>
  <c r="F359" i="11"/>
  <c r="E359" i="11"/>
  <c r="C359" i="11"/>
  <c r="B359" i="11"/>
  <c r="X358" i="11"/>
  <c r="W358" i="11"/>
  <c r="V358" i="11"/>
  <c r="U358" i="11"/>
  <c r="T358" i="11"/>
  <c r="S358" i="11"/>
  <c r="R358" i="11"/>
  <c r="Q358" i="11"/>
  <c r="P358" i="11"/>
  <c r="O358" i="11"/>
  <c r="N358" i="11"/>
  <c r="M358" i="11"/>
  <c r="L358" i="11"/>
  <c r="K358" i="11"/>
  <c r="F358" i="11"/>
  <c r="E358" i="11"/>
  <c r="C358" i="11"/>
  <c r="B358" i="11"/>
  <c r="X357" i="11"/>
  <c r="W357" i="11"/>
  <c r="V357" i="11"/>
  <c r="U357" i="11"/>
  <c r="T357" i="11"/>
  <c r="S357" i="11"/>
  <c r="R357" i="11"/>
  <c r="Q357" i="11"/>
  <c r="P357" i="11"/>
  <c r="O357" i="11"/>
  <c r="N357" i="11"/>
  <c r="M357" i="11"/>
  <c r="L357" i="11"/>
  <c r="K357" i="11"/>
  <c r="F357" i="11"/>
  <c r="E357" i="11"/>
  <c r="C357" i="11"/>
  <c r="B357" i="11"/>
  <c r="X356" i="11"/>
  <c r="W356" i="11"/>
  <c r="V356" i="11"/>
  <c r="U356" i="11"/>
  <c r="T356" i="11"/>
  <c r="S356" i="11"/>
  <c r="R356" i="11"/>
  <c r="Q356" i="11"/>
  <c r="P356" i="11"/>
  <c r="O356" i="11"/>
  <c r="N356" i="11"/>
  <c r="M356" i="11"/>
  <c r="L356" i="11"/>
  <c r="K356" i="11"/>
  <c r="F356" i="11"/>
  <c r="E356" i="11"/>
  <c r="C356" i="11"/>
  <c r="B356" i="11"/>
  <c r="X355" i="11"/>
  <c r="W355" i="11"/>
  <c r="V355" i="11"/>
  <c r="U355" i="11"/>
  <c r="T355" i="11"/>
  <c r="S355" i="11"/>
  <c r="R355" i="11"/>
  <c r="Q355" i="11"/>
  <c r="P355" i="11"/>
  <c r="O355" i="11"/>
  <c r="N355" i="11"/>
  <c r="M355" i="11"/>
  <c r="L355" i="11"/>
  <c r="K355" i="11"/>
  <c r="F355" i="11"/>
  <c r="E355" i="11"/>
  <c r="C355" i="11"/>
  <c r="B355" i="11"/>
  <c r="X354" i="11"/>
  <c r="W354" i="11"/>
  <c r="V354" i="11"/>
  <c r="U354" i="11"/>
  <c r="T354" i="11"/>
  <c r="S354" i="11"/>
  <c r="R354" i="11"/>
  <c r="Q354" i="11"/>
  <c r="P354" i="11"/>
  <c r="O354" i="11"/>
  <c r="N354" i="11"/>
  <c r="M354" i="11"/>
  <c r="L354" i="11"/>
  <c r="K354" i="11"/>
  <c r="F354" i="11"/>
  <c r="E354" i="11"/>
  <c r="C354" i="11"/>
  <c r="B354" i="11"/>
  <c r="X353" i="11"/>
  <c r="W353" i="11"/>
  <c r="V353" i="11"/>
  <c r="U353" i="11"/>
  <c r="T353" i="11"/>
  <c r="S353" i="11"/>
  <c r="R353" i="11"/>
  <c r="Q353" i="11"/>
  <c r="P353" i="11"/>
  <c r="O353" i="11"/>
  <c r="N353" i="11"/>
  <c r="M353" i="11"/>
  <c r="L353" i="11"/>
  <c r="K353" i="11"/>
  <c r="F353" i="11"/>
  <c r="E353" i="11"/>
  <c r="C353" i="11"/>
  <c r="B353" i="11"/>
  <c r="X352" i="11"/>
  <c r="W352" i="11"/>
  <c r="V352" i="11"/>
  <c r="U352" i="11"/>
  <c r="T352" i="11"/>
  <c r="S352" i="11"/>
  <c r="R352" i="11"/>
  <c r="Q352" i="11"/>
  <c r="P352" i="11"/>
  <c r="O352" i="11"/>
  <c r="N352" i="11"/>
  <c r="M352" i="11"/>
  <c r="L352" i="11"/>
  <c r="K352" i="11"/>
  <c r="F352" i="11"/>
  <c r="E352" i="11"/>
  <c r="C352" i="11"/>
  <c r="B352" i="11"/>
  <c r="X351" i="11"/>
  <c r="W351" i="11"/>
  <c r="V351" i="11"/>
  <c r="U351" i="11"/>
  <c r="T351" i="11"/>
  <c r="S351" i="11"/>
  <c r="R351" i="11"/>
  <c r="Q351" i="11"/>
  <c r="P351" i="11"/>
  <c r="O351" i="11"/>
  <c r="N351" i="11"/>
  <c r="M351" i="11"/>
  <c r="L351" i="11"/>
  <c r="K351" i="11"/>
  <c r="F351" i="11"/>
  <c r="E351" i="11"/>
  <c r="C351" i="11"/>
  <c r="B351" i="11"/>
  <c r="X350" i="11"/>
  <c r="W350" i="11"/>
  <c r="V350" i="11"/>
  <c r="U350" i="11"/>
  <c r="T350" i="11"/>
  <c r="S350" i="11"/>
  <c r="R350" i="11"/>
  <c r="Q350" i="11"/>
  <c r="P350" i="11"/>
  <c r="O350" i="11"/>
  <c r="N350" i="11"/>
  <c r="M350" i="11"/>
  <c r="L350" i="11"/>
  <c r="K350" i="11"/>
  <c r="F350" i="11"/>
  <c r="E350" i="11"/>
  <c r="C350" i="11"/>
  <c r="B350" i="11"/>
  <c r="X349" i="11"/>
  <c r="W349" i="11"/>
  <c r="V349" i="11"/>
  <c r="U349" i="11"/>
  <c r="T349" i="11"/>
  <c r="S349" i="11"/>
  <c r="R349" i="11"/>
  <c r="Q349" i="11"/>
  <c r="P349" i="11"/>
  <c r="O349" i="11"/>
  <c r="N349" i="11"/>
  <c r="M349" i="11"/>
  <c r="L349" i="11"/>
  <c r="K349" i="11"/>
  <c r="F349" i="11"/>
  <c r="E349" i="11"/>
  <c r="C349" i="11"/>
  <c r="B349" i="11"/>
  <c r="X348" i="11"/>
  <c r="W348" i="11"/>
  <c r="V348" i="11"/>
  <c r="U348" i="11"/>
  <c r="T348" i="11"/>
  <c r="S348" i="11"/>
  <c r="R348" i="11"/>
  <c r="Q348" i="11"/>
  <c r="P348" i="11"/>
  <c r="O348" i="11"/>
  <c r="N348" i="11"/>
  <c r="M348" i="11"/>
  <c r="L348" i="11"/>
  <c r="K348" i="11"/>
  <c r="F348" i="11"/>
  <c r="E348" i="11"/>
  <c r="C348" i="11"/>
  <c r="B348" i="11"/>
  <c r="X347" i="11"/>
  <c r="W347" i="11"/>
  <c r="V347" i="11"/>
  <c r="U347" i="11"/>
  <c r="T347" i="11"/>
  <c r="S347" i="11"/>
  <c r="R347" i="11"/>
  <c r="Q347" i="11"/>
  <c r="P347" i="11"/>
  <c r="O347" i="11"/>
  <c r="N347" i="11"/>
  <c r="M347" i="11"/>
  <c r="L347" i="11"/>
  <c r="K347" i="11"/>
  <c r="F347" i="11"/>
  <c r="E347" i="11"/>
  <c r="C347" i="11"/>
  <c r="B347" i="11"/>
  <c r="X346" i="11"/>
  <c r="W346" i="11"/>
  <c r="V346" i="11"/>
  <c r="U346" i="11"/>
  <c r="T346" i="11"/>
  <c r="S346" i="11"/>
  <c r="R346" i="11"/>
  <c r="Q346" i="11"/>
  <c r="P346" i="11"/>
  <c r="O346" i="11"/>
  <c r="N346" i="11"/>
  <c r="M346" i="11"/>
  <c r="L346" i="11"/>
  <c r="K346" i="11"/>
  <c r="F346" i="11"/>
  <c r="E346" i="11"/>
  <c r="C346" i="11"/>
  <c r="B346" i="11"/>
  <c r="X345" i="11"/>
  <c r="W345" i="11"/>
  <c r="V345" i="11"/>
  <c r="U345" i="11"/>
  <c r="T345" i="11"/>
  <c r="S345" i="11"/>
  <c r="R345" i="11"/>
  <c r="Q345" i="11"/>
  <c r="P345" i="11"/>
  <c r="O345" i="11"/>
  <c r="N345" i="11"/>
  <c r="M345" i="11"/>
  <c r="L345" i="11"/>
  <c r="K345" i="11"/>
  <c r="F345" i="11"/>
  <c r="E345" i="11"/>
  <c r="C345" i="11"/>
  <c r="B345" i="11"/>
  <c r="X344" i="11"/>
  <c r="W344" i="11"/>
  <c r="V344" i="11"/>
  <c r="U344" i="11"/>
  <c r="T344" i="11"/>
  <c r="S344" i="11"/>
  <c r="R344" i="11"/>
  <c r="Q344" i="11"/>
  <c r="P344" i="11"/>
  <c r="O344" i="11"/>
  <c r="N344" i="11"/>
  <c r="M344" i="11"/>
  <c r="L344" i="11"/>
  <c r="K344" i="11"/>
  <c r="F344" i="11"/>
  <c r="E344" i="11"/>
  <c r="C344" i="11"/>
  <c r="B344" i="11"/>
  <c r="X343" i="11"/>
  <c r="W343" i="11"/>
  <c r="V343" i="11"/>
  <c r="U343" i="11"/>
  <c r="T343" i="11"/>
  <c r="S343" i="11"/>
  <c r="R343" i="11"/>
  <c r="Q343" i="11"/>
  <c r="P343" i="11"/>
  <c r="O343" i="11"/>
  <c r="N343" i="11"/>
  <c r="M343" i="11"/>
  <c r="L343" i="11"/>
  <c r="K343" i="11"/>
  <c r="F343" i="11"/>
  <c r="E343" i="11"/>
  <c r="C343" i="11"/>
  <c r="B343" i="11"/>
  <c r="X342" i="11"/>
  <c r="W342" i="11"/>
  <c r="V342" i="11"/>
  <c r="U342" i="11"/>
  <c r="T342" i="11"/>
  <c r="S342" i="11"/>
  <c r="R342" i="11"/>
  <c r="Q342" i="11"/>
  <c r="P342" i="11"/>
  <c r="O342" i="11"/>
  <c r="N342" i="11"/>
  <c r="M342" i="11"/>
  <c r="L342" i="11"/>
  <c r="K342" i="11"/>
  <c r="F342" i="11"/>
  <c r="E342" i="11"/>
  <c r="C342" i="11"/>
  <c r="B342" i="11"/>
  <c r="X341" i="11"/>
  <c r="W341" i="11"/>
  <c r="V341" i="11"/>
  <c r="U341" i="11"/>
  <c r="T341" i="11"/>
  <c r="S341" i="11"/>
  <c r="R341" i="11"/>
  <c r="Q341" i="11"/>
  <c r="P341" i="11"/>
  <c r="O341" i="11"/>
  <c r="N341" i="11"/>
  <c r="M341" i="11"/>
  <c r="L341" i="11"/>
  <c r="K341" i="11"/>
  <c r="F341" i="11"/>
  <c r="E341" i="11"/>
  <c r="C341" i="11"/>
  <c r="B341" i="11"/>
  <c r="X340" i="11"/>
  <c r="W340" i="11"/>
  <c r="V340" i="11"/>
  <c r="U340" i="11"/>
  <c r="T340" i="11"/>
  <c r="S340" i="11"/>
  <c r="R340" i="11"/>
  <c r="Q340" i="11"/>
  <c r="P340" i="11"/>
  <c r="O340" i="11"/>
  <c r="N340" i="11"/>
  <c r="M340" i="11"/>
  <c r="L340" i="11"/>
  <c r="K340" i="11"/>
  <c r="F340" i="11"/>
  <c r="E340" i="11"/>
  <c r="C340" i="11"/>
  <c r="B340" i="11"/>
  <c r="X339" i="11"/>
  <c r="W339" i="11"/>
  <c r="V339" i="11"/>
  <c r="U339" i="11"/>
  <c r="T339" i="11"/>
  <c r="S339" i="11"/>
  <c r="R339" i="11"/>
  <c r="Q339" i="11"/>
  <c r="P339" i="11"/>
  <c r="O339" i="11"/>
  <c r="N339" i="11"/>
  <c r="M339" i="11"/>
  <c r="L339" i="11"/>
  <c r="K339" i="11"/>
  <c r="F339" i="11"/>
  <c r="E339" i="11"/>
  <c r="C339" i="11"/>
  <c r="B339" i="11"/>
  <c r="X338" i="11"/>
  <c r="W338" i="11"/>
  <c r="V338" i="11"/>
  <c r="U338" i="11"/>
  <c r="T338" i="11"/>
  <c r="S338" i="11"/>
  <c r="R338" i="11"/>
  <c r="Q338" i="11"/>
  <c r="P338" i="11"/>
  <c r="O338" i="11"/>
  <c r="N338" i="11"/>
  <c r="M338" i="11"/>
  <c r="L338" i="11"/>
  <c r="K338" i="11"/>
  <c r="F338" i="11"/>
  <c r="E338" i="11"/>
  <c r="C338" i="11"/>
  <c r="B338" i="11"/>
  <c r="X337" i="11"/>
  <c r="W337" i="11"/>
  <c r="V337" i="11"/>
  <c r="U337" i="11"/>
  <c r="T337" i="11"/>
  <c r="S337" i="11"/>
  <c r="R337" i="11"/>
  <c r="Q337" i="11"/>
  <c r="P337" i="11"/>
  <c r="O337" i="11"/>
  <c r="N337" i="11"/>
  <c r="M337" i="11"/>
  <c r="L337" i="11"/>
  <c r="K337" i="11"/>
  <c r="F337" i="11"/>
  <c r="E337" i="11"/>
  <c r="C337" i="11"/>
  <c r="B337" i="11"/>
  <c r="X336" i="11"/>
  <c r="W336" i="11"/>
  <c r="V336" i="11"/>
  <c r="U336" i="11"/>
  <c r="T336" i="11"/>
  <c r="S336" i="11"/>
  <c r="R336" i="11"/>
  <c r="Q336" i="11"/>
  <c r="P336" i="11"/>
  <c r="O336" i="11"/>
  <c r="N336" i="11"/>
  <c r="M336" i="11"/>
  <c r="L336" i="11"/>
  <c r="K336" i="11"/>
  <c r="F336" i="11"/>
  <c r="E336" i="11"/>
  <c r="C336" i="11"/>
  <c r="B336" i="11"/>
  <c r="X335" i="11"/>
  <c r="W335" i="11"/>
  <c r="V335" i="11"/>
  <c r="U335" i="11"/>
  <c r="T335" i="11"/>
  <c r="S335" i="11"/>
  <c r="R335" i="11"/>
  <c r="Q335" i="11"/>
  <c r="P335" i="11"/>
  <c r="O335" i="11"/>
  <c r="N335" i="11"/>
  <c r="M335" i="11"/>
  <c r="L335" i="11"/>
  <c r="K335" i="11"/>
  <c r="F335" i="11"/>
  <c r="E335" i="11"/>
  <c r="C335" i="11"/>
  <c r="B335" i="11"/>
  <c r="X334" i="11"/>
  <c r="W334" i="11"/>
  <c r="V334" i="11"/>
  <c r="U334" i="11"/>
  <c r="T334" i="11"/>
  <c r="S334" i="11"/>
  <c r="R334" i="11"/>
  <c r="Q334" i="11"/>
  <c r="P334" i="11"/>
  <c r="O334" i="11"/>
  <c r="N334" i="11"/>
  <c r="M334" i="11"/>
  <c r="L334" i="11"/>
  <c r="K334" i="11"/>
  <c r="F334" i="11"/>
  <c r="E334" i="11"/>
  <c r="C334" i="11"/>
  <c r="B334" i="11"/>
  <c r="X333" i="11"/>
  <c r="W333" i="11"/>
  <c r="V333" i="11"/>
  <c r="U333" i="11"/>
  <c r="T333" i="11"/>
  <c r="S333" i="11"/>
  <c r="R333" i="11"/>
  <c r="Q333" i="11"/>
  <c r="P333" i="11"/>
  <c r="O333" i="11"/>
  <c r="N333" i="11"/>
  <c r="M333" i="11"/>
  <c r="L333" i="11"/>
  <c r="K333" i="11"/>
  <c r="F333" i="11"/>
  <c r="E333" i="11"/>
  <c r="C333" i="11"/>
  <c r="B333" i="11"/>
  <c r="X332" i="11"/>
  <c r="W332" i="11"/>
  <c r="V332" i="11"/>
  <c r="U332" i="11"/>
  <c r="T332" i="11"/>
  <c r="S332" i="11"/>
  <c r="R332" i="11"/>
  <c r="Q332" i="11"/>
  <c r="P332" i="11"/>
  <c r="O332" i="11"/>
  <c r="N332" i="11"/>
  <c r="M332" i="11"/>
  <c r="L332" i="11"/>
  <c r="K332" i="11"/>
  <c r="F332" i="11"/>
  <c r="E332" i="11"/>
  <c r="C332" i="11"/>
  <c r="B332" i="11"/>
  <c r="X331" i="11"/>
  <c r="W331" i="11"/>
  <c r="V331" i="11"/>
  <c r="U331" i="11"/>
  <c r="T331" i="11"/>
  <c r="S331" i="11"/>
  <c r="R331" i="11"/>
  <c r="Q331" i="11"/>
  <c r="P331" i="11"/>
  <c r="O331" i="11"/>
  <c r="N331" i="11"/>
  <c r="M331" i="11"/>
  <c r="L331" i="11"/>
  <c r="K331" i="11"/>
  <c r="F331" i="11"/>
  <c r="E331" i="11"/>
  <c r="C331" i="11"/>
  <c r="B331" i="11"/>
  <c r="X330" i="11"/>
  <c r="W330" i="11"/>
  <c r="V330" i="11"/>
  <c r="U330" i="11"/>
  <c r="T330" i="11"/>
  <c r="S330" i="11"/>
  <c r="R330" i="11"/>
  <c r="Q330" i="11"/>
  <c r="P330" i="11"/>
  <c r="O330" i="11"/>
  <c r="N330" i="11"/>
  <c r="M330" i="11"/>
  <c r="L330" i="11"/>
  <c r="K330" i="11"/>
  <c r="F330" i="11"/>
  <c r="E330" i="11"/>
  <c r="C330" i="11"/>
  <c r="B330" i="11"/>
  <c r="X329" i="11"/>
  <c r="W329" i="11"/>
  <c r="V329" i="11"/>
  <c r="U329" i="11"/>
  <c r="T329" i="11"/>
  <c r="S329" i="11"/>
  <c r="R329" i="11"/>
  <c r="Q329" i="11"/>
  <c r="P329" i="11"/>
  <c r="O329" i="11"/>
  <c r="N329" i="11"/>
  <c r="M329" i="11"/>
  <c r="L329" i="11"/>
  <c r="K329" i="11"/>
  <c r="F329" i="11"/>
  <c r="E329" i="11"/>
  <c r="C329" i="11"/>
  <c r="B329" i="11"/>
  <c r="X328" i="11"/>
  <c r="W328" i="11"/>
  <c r="V328" i="11"/>
  <c r="U328" i="11"/>
  <c r="T328" i="11"/>
  <c r="S328" i="11"/>
  <c r="R328" i="11"/>
  <c r="Q328" i="11"/>
  <c r="P328" i="11"/>
  <c r="O328" i="11"/>
  <c r="N328" i="11"/>
  <c r="M328" i="11"/>
  <c r="L328" i="11"/>
  <c r="K328" i="11"/>
  <c r="F328" i="11"/>
  <c r="E328" i="11"/>
  <c r="C328" i="11"/>
  <c r="B328" i="11"/>
  <c r="X327" i="11"/>
  <c r="W327" i="11"/>
  <c r="V327" i="11"/>
  <c r="U327" i="11"/>
  <c r="T327" i="11"/>
  <c r="S327" i="11"/>
  <c r="R327" i="11"/>
  <c r="Q327" i="11"/>
  <c r="P327" i="11"/>
  <c r="O327" i="11"/>
  <c r="N327" i="11"/>
  <c r="M327" i="11"/>
  <c r="L327" i="11"/>
  <c r="K327" i="11"/>
  <c r="F327" i="11"/>
  <c r="E327" i="11"/>
  <c r="C327" i="11"/>
  <c r="B327" i="11"/>
  <c r="X326" i="11"/>
  <c r="W326" i="11"/>
  <c r="V326" i="11"/>
  <c r="U326" i="11"/>
  <c r="T326" i="11"/>
  <c r="S326" i="11"/>
  <c r="R326" i="11"/>
  <c r="Q326" i="11"/>
  <c r="P326" i="11"/>
  <c r="O326" i="11"/>
  <c r="N326" i="11"/>
  <c r="M326" i="11"/>
  <c r="L326" i="11"/>
  <c r="K326" i="11"/>
  <c r="F326" i="11"/>
  <c r="E326" i="11"/>
  <c r="C326" i="11"/>
  <c r="B326" i="11"/>
  <c r="X325" i="11"/>
  <c r="W325" i="11"/>
  <c r="V325" i="11"/>
  <c r="U325" i="11"/>
  <c r="T325" i="11"/>
  <c r="S325" i="11"/>
  <c r="R325" i="11"/>
  <c r="Q325" i="11"/>
  <c r="P325" i="11"/>
  <c r="O325" i="11"/>
  <c r="N325" i="11"/>
  <c r="M325" i="11"/>
  <c r="L325" i="11"/>
  <c r="K325" i="11"/>
  <c r="F325" i="11"/>
  <c r="E325" i="11"/>
  <c r="C325" i="11"/>
  <c r="B325" i="11"/>
  <c r="X324" i="11"/>
  <c r="W324" i="11"/>
  <c r="V324" i="11"/>
  <c r="U324" i="11"/>
  <c r="T324" i="11"/>
  <c r="S324" i="11"/>
  <c r="R324" i="11"/>
  <c r="Q324" i="11"/>
  <c r="P324" i="11"/>
  <c r="O324" i="11"/>
  <c r="N324" i="11"/>
  <c r="M324" i="11"/>
  <c r="L324" i="11"/>
  <c r="K324" i="11"/>
  <c r="F324" i="11"/>
  <c r="E324" i="11"/>
  <c r="C324" i="11"/>
  <c r="B324" i="11"/>
  <c r="X323" i="11"/>
  <c r="W323" i="11"/>
  <c r="V323" i="11"/>
  <c r="U323" i="11"/>
  <c r="T323" i="11"/>
  <c r="S323" i="11"/>
  <c r="R323" i="11"/>
  <c r="Q323" i="11"/>
  <c r="P323" i="11"/>
  <c r="O323" i="11"/>
  <c r="N323" i="11"/>
  <c r="M323" i="11"/>
  <c r="L323" i="11"/>
  <c r="K323" i="11"/>
  <c r="F323" i="11"/>
  <c r="E323" i="11"/>
  <c r="C323" i="11"/>
  <c r="B323" i="11"/>
  <c r="X322" i="11"/>
  <c r="W322" i="11"/>
  <c r="V322" i="11"/>
  <c r="U322" i="11"/>
  <c r="T322" i="11"/>
  <c r="S322" i="11"/>
  <c r="R322" i="11"/>
  <c r="Q322" i="11"/>
  <c r="P322" i="11"/>
  <c r="O322" i="11"/>
  <c r="N322" i="11"/>
  <c r="M322" i="11"/>
  <c r="L322" i="11"/>
  <c r="K322" i="11"/>
  <c r="F322" i="11"/>
  <c r="E322" i="11"/>
  <c r="C322" i="11"/>
  <c r="B322" i="11"/>
  <c r="X321" i="11"/>
  <c r="W321" i="11"/>
  <c r="V321" i="11"/>
  <c r="U321" i="11"/>
  <c r="T321" i="11"/>
  <c r="S321" i="11"/>
  <c r="R321" i="11"/>
  <c r="Q321" i="11"/>
  <c r="P321" i="11"/>
  <c r="O321" i="11"/>
  <c r="N321" i="11"/>
  <c r="M321" i="11"/>
  <c r="L321" i="11"/>
  <c r="K321" i="11"/>
  <c r="F321" i="11"/>
  <c r="E321" i="11"/>
  <c r="C321" i="11"/>
  <c r="B321" i="11"/>
  <c r="X320" i="11"/>
  <c r="W320" i="11"/>
  <c r="V320" i="11"/>
  <c r="U320" i="11"/>
  <c r="T320" i="11"/>
  <c r="S320" i="11"/>
  <c r="R320" i="11"/>
  <c r="Q320" i="11"/>
  <c r="P320" i="11"/>
  <c r="O320" i="11"/>
  <c r="N320" i="11"/>
  <c r="M320" i="11"/>
  <c r="L320" i="11"/>
  <c r="K320" i="11"/>
  <c r="F320" i="11"/>
  <c r="E320" i="11"/>
  <c r="C320" i="11"/>
  <c r="B320" i="11"/>
  <c r="X319" i="11"/>
  <c r="W319" i="11"/>
  <c r="V319" i="11"/>
  <c r="U319" i="11"/>
  <c r="T319" i="11"/>
  <c r="S319" i="11"/>
  <c r="R319" i="11"/>
  <c r="Q319" i="11"/>
  <c r="P319" i="11"/>
  <c r="O319" i="11"/>
  <c r="N319" i="11"/>
  <c r="M319" i="11"/>
  <c r="L319" i="11"/>
  <c r="K319" i="11"/>
  <c r="F319" i="11"/>
  <c r="E319" i="11"/>
  <c r="C319" i="11"/>
  <c r="B319" i="11"/>
  <c r="X318" i="11"/>
  <c r="W318" i="11"/>
  <c r="V318" i="11"/>
  <c r="U318" i="11"/>
  <c r="T318" i="11"/>
  <c r="S318" i="11"/>
  <c r="R318" i="11"/>
  <c r="Q318" i="11"/>
  <c r="P318" i="11"/>
  <c r="O318" i="11"/>
  <c r="N318" i="11"/>
  <c r="M318" i="11"/>
  <c r="L318" i="11"/>
  <c r="K318" i="11"/>
  <c r="F318" i="11"/>
  <c r="E318" i="11"/>
  <c r="C318" i="11"/>
  <c r="B318" i="11"/>
  <c r="X317" i="11"/>
  <c r="W317" i="11"/>
  <c r="V317" i="11"/>
  <c r="U317" i="11"/>
  <c r="T317" i="11"/>
  <c r="S317" i="11"/>
  <c r="R317" i="11"/>
  <c r="Q317" i="11"/>
  <c r="P317" i="11"/>
  <c r="O317" i="11"/>
  <c r="N317" i="11"/>
  <c r="M317" i="11"/>
  <c r="L317" i="11"/>
  <c r="K317" i="11"/>
  <c r="F317" i="11"/>
  <c r="E317" i="11"/>
  <c r="C317" i="11"/>
  <c r="B317" i="11"/>
  <c r="X316" i="11"/>
  <c r="W316" i="11"/>
  <c r="V316" i="11"/>
  <c r="U316" i="11"/>
  <c r="T316" i="11"/>
  <c r="S316" i="11"/>
  <c r="R316" i="11"/>
  <c r="Q316" i="11"/>
  <c r="P316" i="11"/>
  <c r="O316" i="11"/>
  <c r="N316" i="11"/>
  <c r="M316" i="11"/>
  <c r="L316" i="11"/>
  <c r="K316" i="11"/>
  <c r="F316" i="11"/>
  <c r="E316" i="11"/>
  <c r="C316" i="11"/>
  <c r="B316" i="11"/>
  <c r="X315" i="11"/>
  <c r="W315" i="11"/>
  <c r="V315" i="11"/>
  <c r="U315" i="11"/>
  <c r="T315" i="11"/>
  <c r="S315" i="11"/>
  <c r="R315" i="11"/>
  <c r="Q315" i="11"/>
  <c r="P315" i="11"/>
  <c r="O315" i="11"/>
  <c r="N315" i="11"/>
  <c r="M315" i="11"/>
  <c r="L315" i="11"/>
  <c r="K315" i="11"/>
  <c r="F315" i="11"/>
  <c r="E315" i="11"/>
  <c r="C315" i="11"/>
  <c r="B315" i="11"/>
  <c r="X314" i="11"/>
  <c r="W314" i="11"/>
  <c r="V314" i="11"/>
  <c r="U314" i="11"/>
  <c r="T314" i="11"/>
  <c r="S314" i="11"/>
  <c r="R314" i="11"/>
  <c r="Q314" i="11"/>
  <c r="P314" i="11"/>
  <c r="O314" i="11"/>
  <c r="N314" i="11"/>
  <c r="M314" i="11"/>
  <c r="L314" i="11"/>
  <c r="K314" i="11"/>
  <c r="F314" i="11"/>
  <c r="E314" i="11"/>
  <c r="C314" i="11"/>
  <c r="B314" i="11"/>
  <c r="X313" i="11"/>
  <c r="W313" i="11"/>
  <c r="V313" i="11"/>
  <c r="U313" i="11"/>
  <c r="T313" i="11"/>
  <c r="S313" i="11"/>
  <c r="R313" i="11"/>
  <c r="Q313" i="11"/>
  <c r="P313" i="11"/>
  <c r="O313" i="11"/>
  <c r="N313" i="11"/>
  <c r="M313" i="11"/>
  <c r="L313" i="11"/>
  <c r="K313" i="11"/>
  <c r="F313" i="11"/>
  <c r="E313" i="11"/>
  <c r="C313" i="11"/>
  <c r="B313" i="11"/>
  <c r="X312" i="11"/>
  <c r="W312" i="11"/>
  <c r="V312" i="11"/>
  <c r="U312" i="11"/>
  <c r="T312" i="11"/>
  <c r="S312" i="11"/>
  <c r="R312" i="11"/>
  <c r="Q312" i="11"/>
  <c r="P312" i="11"/>
  <c r="O312" i="11"/>
  <c r="N312" i="11"/>
  <c r="M312" i="11"/>
  <c r="L312" i="11"/>
  <c r="K312" i="11"/>
  <c r="F312" i="11"/>
  <c r="E312" i="11"/>
  <c r="C312" i="11"/>
  <c r="B312" i="11"/>
  <c r="X311" i="11"/>
  <c r="W311" i="11"/>
  <c r="V311" i="11"/>
  <c r="U311" i="11"/>
  <c r="T311" i="11"/>
  <c r="S311" i="11"/>
  <c r="R311" i="11"/>
  <c r="Q311" i="11"/>
  <c r="P311" i="11"/>
  <c r="O311" i="11"/>
  <c r="N311" i="11"/>
  <c r="M311" i="11"/>
  <c r="L311" i="11"/>
  <c r="K311" i="11"/>
  <c r="F311" i="11"/>
  <c r="E311" i="11"/>
  <c r="C311" i="11"/>
  <c r="B311" i="11"/>
  <c r="X310" i="11"/>
  <c r="W310" i="11"/>
  <c r="V310" i="11"/>
  <c r="U310" i="11"/>
  <c r="T310" i="11"/>
  <c r="S310" i="11"/>
  <c r="R310" i="11"/>
  <c r="Q310" i="11"/>
  <c r="P310" i="11"/>
  <c r="O310" i="11"/>
  <c r="N310" i="11"/>
  <c r="M310" i="11"/>
  <c r="L310" i="11"/>
  <c r="K310" i="11"/>
  <c r="F310" i="11"/>
  <c r="E310" i="11"/>
  <c r="C310" i="11"/>
  <c r="B310" i="11"/>
  <c r="X309" i="11"/>
  <c r="W309" i="11"/>
  <c r="V309" i="11"/>
  <c r="U309" i="11"/>
  <c r="T309" i="11"/>
  <c r="S309" i="11"/>
  <c r="R309" i="11"/>
  <c r="Q309" i="11"/>
  <c r="P309" i="11"/>
  <c r="O309" i="11"/>
  <c r="N309" i="11"/>
  <c r="M309" i="11"/>
  <c r="L309" i="11"/>
  <c r="K309" i="11"/>
  <c r="F309" i="11"/>
  <c r="E309" i="11"/>
  <c r="C309" i="11"/>
  <c r="B309" i="11"/>
  <c r="X308" i="11"/>
  <c r="W308" i="11"/>
  <c r="V308" i="11"/>
  <c r="U308" i="11"/>
  <c r="T308" i="11"/>
  <c r="S308" i="11"/>
  <c r="R308" i="11"/>
  <c r="Q308" i="11"/>
  <c r="P308" i="11"/>
  <c r="O308" i="11"/>
  <c r="N308" i="11"/>
  <c r="M308" i="11"/>
  <c r="L308" i="11"/>
  <c r="K308" i="11"/>
  <c r="F308" i="11"/>
  <c r="E308" i="11"/>
  <c r="C308" i="11"/>
  <c r="B308" i="11"/>
  <c r="X307" i="11"/>
  <c r="W307" i="11"/>
  <c r="V307" i="11"/>
  <c r="U307" i="11"/>
  <c r="T307" i="11"/>
  <c r="S307" i="11"/>
  <c r="R307" i="11"/>
  <c r="Q307" i="11"/>
  <c r="P307" i="11"/>
  <c r="O307" i="11"/>
  <c r="N307" i="11"/>
  <c r="M307" i="11"/>
  <c r="L307" i="11"/>
  <c r="K307" i="11"/>
  <c r="F307" i="11"/>
  <c r="E307" i="11"/>
  <c r="C307" i="11"/>
  <c r="B307" i="11"/>
  <c r="X306" i="11"/>
  <c r="W306" i="11"/>
  <c r="V306" i="11"/>
  <c r="U306" i="11"/>
  <c r="T306" i="11"/>
  <c r="S306" i="11"/>
  <c r="R306" i="11"/>
  <c r="Q306" i="11"/>
  <c r="P306" i="11"/>
  <c r="O306" i="11"/>
  <c r="N306" i="11"/>
  <c r="M306" i="11"/>
  <c r="L306" i="11"/>
  <c r="K306" i="11"/>
  <c r="F306" i="11"/>
  <c r="E306" i="11"/>
  <c r="C306" i="11"/>
  <c r="B306" i="11"/>
  <c r="X305" i="11"/>
  <c r="W305" i="11"/>
  <c r="V305" i="11"/>
  <c r="U305" i="11"/>
  <c r="T305" i="11"/>
  <c r="S305" i="11"/>
  <c r="R305" i="11"/>
  <c r="Q305" i="11"/>
  <c r="P305" i="11"/>
  <c r="O305" i="11"/>
  <c r="N305" i="11"/>
  <c r="M305" i="11"/>
  <c r="L305" i="11"/>
  <c r="K305" i="11"/>
  <c r="F305" i="11"/>
  <c r="E305" i="11"/>
  <c r="C305" i="11"/>
  <c r="B305" i="11"/>
  <c r="X304" i="11"/>
  <c r="W304" i="11"/>
  <c r="V304" i="11"/>
  <c r="U304" i="11"/>
  <c r="T304" i="11"/>
  <c r="S304" i="11"/>
  <c r="R304" i="11"/>
  <c r="Q304" i="11"/>
  <c r="P304" i="11"/>
  <c r="O304" i="11"/>
  <c r="N304" i="11"/>
  <c r="M304" i="11"/>
  <c r="L304" i="11"/>
  <c r="K304" i="11"/>
  <c r="F304" i="11"/>
  <c r="E304" i="11"/>
  <c r="C304" i="11"/>
  <c r="B304" i="11"/>
  <c r="X303" i="11"/>
  <c r="W303" i="11"/>
  <c r="V303" i="11"/>
  <c r="U303" i="11"/>
  <c r="T303" i="11"/>
  <c r="S303" i="11"/>
  <c r="R303" i="11"/>
  <c r="Q303" i="11"/>
  <c r="P303" i="11"/>
  <c r="O303" i="11"/>
  <c r="N303" i="11"/>
  <c r="M303" i="11"/>
  <c r="L303" i="11"/>
  <c r="K303" i="11"/>
  <c r="F303" i="11"/>
  <c r="E303" i="11"/>
  <c r="C303" i="11"/>
  <c r="B303" i="11"/>
  <c r="X302" i="11"/>
  <c r="W302" i="11"/>
  <c r="V302" i="11"/>
  <c r="U302" i="11"/>
  <c r="T302" i="11"/>
  <c r="S302" i="11"/>
  <c r="R302" i="11"/>
  <c r="Q302" i="11"/>
  <c r="P302" i="11"/>
  <c r="O302" i="11"/>
  <c r="N302" i="11"/>
  <c r="M302" i="11"/>
  <c r="L302" i="11"/>
  <c r="K302" i="11"/>
  <c r="F302" i="11"/>
  <c r="E302" i="11"/>
  <c r="C302" i="11"/>
  <c r="B302" i="11"/>
  <c r="X301" i="11"/>
  <c r="W301" i="11"/>
  <c r="V301" i="11"/>
  <c r="U301" i="11"/>
  <c r="T301" i="11"/>
  <c r="S301" i="11"/>
  <c r="R301" i="11"/>
  <c r="Q301" i="11"/>
  <c r="P301" i="11"/>
  <c r="O301" i="11"/>
  <c r="N301" i="11"/>
  <c r="M301" i="11"/>
  <c r="L301" i="11"/>
  <c r="K301" i="11"/>
  <c r="F301" i="11"/>
  <c r="E301" i="11"/>
  <c r="C301" i="11"/>
  <c r="B301" i="11"/>
  <c r="X300" i="11"/>
  <c r="W300" i="11"/>
  <c r="V300" i="11"/>
  <c r="U300" i="11"/>
  <c r="T300" i="11"/>
  <c r="S300" i="11"/>
  <c r="R300" i="11"/>
  <c r="Q300" i="11"/>
  <c r="P300" i="11"/>
  <c r="O300" i="11"/>
  <c r="N300" i="11"/>
  <c r="M300" i="11"/>
  <c r="L300" i="11"/>
  <c r="K300" i="11"/>
  <c r="F300" i="11"/>
  <c r="E300" i="11"/>
  <c r="C300" i="11"/>
  <c r="B300" i="11"/>
  <c r="X299" i="11"/>
  <c r="W299" i="11"/>
  <c r="V299" i="11"/>
  <c r="U299" i="11"/>
  <c r="T299" i="11"/>
  <c r="S299" i="11"/>
  <c r="R299" i="11"/>
  <c r="Q299" i="11"/>
  <c r="P299" i="11"/>
  <c r="O299" i="11"/>
  <c r="N299" i="11"/>
  <c r="M299" i="11"/>
  <c r="L299" i="11"/>
  <c r="K299" i="11"/>
  <c r="F299" i="11"/>
  <c r="E299" i="11"/>
  <c r="C299" i="11"/>
  <c r="B299" i="11"/>
  <c r="X298" i="11"/>
  <c r="W298" i="11"/>
  <c r="V298" i="11"/>
  <c r="U298" i="11"/>
  <c r="T298" i="11"/>
  <c r="S298" i="11"/>
  <c r="R298" i="11"/>
  <c r="Q298" i="11"/>
  <c r="P298" i="11"/>
  <c r="O298" i="11"/>
  <c r="N298" i="11"/>
  <c r="M298" i="11"/>
  <c r="L298" i="11"/>
  <c r="K298" i="11"/>
  <c r="F298" i="11"/>
  <c r="E298" i="11"/>
  <c r="C298" i="11"/>
  <c r="B298" i="11"/>
  <c r="X297" i="11"/>
  <c r="W297" i="11"/>
  <c r="V297" i="11"/>
  <c r="U297" i="11"/>
  <c r="T297" i="11"/>
  <c r="S297" i="11"/>
  <c r="R297" i="11"/>
  <c r="Q297" i="11"/>
  <c r="P297" i="11"/>
  <c r="O297" i="11"/>
  <c r="N297" i="11"/>
  <c r="M297" i="11"/>
  <c r="L297" i="11"/>
  <c r="K297" i="11"/>
  <c r="F297" i="11"/>
  <c r="E297" i="11"/>
  <c r="C297" i="11"/>
  <c r="B297" i="11"/>
  <c r="X296" i="11"/>
  <c r="W296" i="11"/>
  <c r="V296" i="11"/>
  <c r="U296" i="11"/>
  <c r="T296" i="11"/>
  <c r="S296" i="11"/>
  <c r="R296" i="11"/>
  <c r="Q296" i="11"/>
  <c r="P296" i="11"/>
  <c r="O296" i="11"/>
  <c r="N296" i="11"/>
  <c r="M296" i="11"/>
  <c r="L296" i="11"/>
  <c r="K296" i="11"/>
  <c r="F296" i="11"/>
  <c r="E296" i="11"/>
  <c r="C296" i="11"/>
  <c r="B296" i="11"/>
  <c r="X295" i="11"/>
  <c r="W295" i="11"/>
  <c r="V295" i="11"/>
  <c r="U295" i="11"/>
  <c r="T295" i="11"/>
  <c r="S295" i="11"/>
  <c r="R295" i="11"/>
  <c r="Q295" i="11"/>
  <c r="P295" i="11"/>
  <c r="O295" i="11"/>
  <c r="N295" i="11"/>
  <c r="M295" i="11"/>
  <c r="L295" i="11"/>
  <c r="K295" i="11"/>
  <c r="F295" i="11"/>
  <c r="E295" i="11"/>
  <c r="C295" i="11"/>
  <c r="B295" i="11"/>
  <c r="X294" i="11"/>
  <c r="W294" i="11"/>
  <c r="V294" i="11"/>
  <c r="U294" i="11"/>
  <c r="T294" i="11"/>
  <c r="S294" i="11"/>
  <c r="R294" i="11"/>
  <c r="Q294" i="11"/>
  <c r="P294" i="11"/>
  <c r="O294" i="11"/>
  <c r="N294" i="11"/>
  <c r="M294" i="11"/>
  <c r="L294" i="11"/>
  <c r="K294" i="11"/>
  <c r="F294" i="11"/>
  <c r="E294" i="11"/>
  <c r="C294" i="11"/>
  <c r="B294" i="11"/>
  <c r="X293" i="11"/>
  <c r="W293" i="11"/>
  <c r="V293" i="11"/>
  <c r="U293" i="11"/>
  <c r="T293" i="11"/>
  <c r="S293" i="11"/>
  <c r="R293" i="11"/>
  <c r="Q293" i="11"/>
  <c r="P293" i="11"/>
  <c r="O293" i="11"/>
  <c r="N293" i="11"/>
  <c r="M293" i="11"/>
  <c r="L293" i="11"/>
  <c r="K293" i="11"/>
  <c r="F293" i="11"/>
  <c r="E293" i="11"/>
  <c r="C293" i="11"/>
  <c r="B293" i="11"/>
  <c r="X292" i="11"/>
  <c r="W292" i="11"/>
  <c r="V292" i="11"/>
  <c r="U292" i="11"/>
  <c r="T292" i="11"/>
  <c r="S292" i="11"/>
  <c r="R292" i="11"/>
  <c r="Q292" i="11"/>
  <c r="P292" i="11"/>
  <c r="O292" i="11"/>
  <c r="N292" i="11"/>
  <c r="M292" i="11"/>
  <c r="L292" i="11"/>
  <c r="K292" i="11"/>
  <c r="F292" i="11"/>
  <c r="E292" i="11"/>
  <c r="C292" i="11"/>
  <c r="B292" i="11"/>
  <c r="X291" i="11"/>
  <c r="W291" i="11"/>
  <c r="V291" i="11"/>
  <c r="U291" i="11"/>
  <c r="T291" i="11"/>
  <c r="S291" i="11"/>
  <c r="R291" i="11"/>
  <c r="Q291" i="11"/>
  <c r="P291" i="11"/>
  <c r="O291" i="11"/>
  <c r="N291" i="11"/>
  <c r="M291" i="11"/>
  <c r="L291" i="11"/>
  <c r="K291" i="11"/>
  <c r="F291" i="11"/>
  <c r="E291" i="11"/>
  <c r="C291" i="11"/>
  <c r="B291" i="11"/>
  <c r="X290" i="11"/>
  <c r="W290" i="11"/>
  <c r="V290" i="11"/>
  <c r="U290" i="11"/>
  <c r="T290" i="11"/>
  <c r="S290" i="11"/>
  <c r="R290" i="11"/>
  <c r="Q290" i="11"/>
  <c r="P290" i="11"/>
  <c r="O290" i="11"/>
  <c r="N290" i="11"/>
  <c r="M290" i="11"/>
  <c r="L290" i="11"/>
  <c r="K290" i="11"/>
  <c r="F290" i="11"/>
  <c r="E290" i="11"/>
  <c r="C290" i="11"/>
  <c r="B290" i="11"/>
  <c r="X289" i="11"/>
  <c r="W289" i="11"/>
  <c r="V289" i="11"/>
  <c r="U289" i="11"/>
  <c r="T289" i="11"/>
  <c r="S289" i="11"/>
  <c r="R289" i="11"/>
  <c r="Q289" i="11"/>
  <c r="P289" i="11"/>
  <c r="O289" i="11"/>
  <c r="N289" i="11"/>
  <c r="M289" i="11"/>
  <c r="L289" i="11"/>
  <c r="K289" i="11"/>
  <c r="F289" i="11"/>
  <c r="E289" i="11"/>
  <c r="C289" i="11"/>
  <c r="B289" i="11"/>
  <c r="X288" i="11"/>
  <c r="W288" i="11"/>
  <c r="V288" i="11"/>
  <c r="U288" i="11"/>
  <c r="T288" i="11"/>
  <c r="S288" i="11"/>
  <c r="R288" i="11"/>
  <c r="Q288" i="11"/>
  <c r="P288" i="11"/>
  <c r="O288" i="11"/>
  <c r="N288" i="11"/>
  <c r="M288" i="11"/>
  <c r="L288" i="11"/>
  <c r="K288" i="11"/>
  <c r="F288" i="11"/>
  <c r="E288" i="11"/>
  <c r="C288" i="11"/>
  <c r="B288" i="11"/>
  <c r="X287" i="11"/>
  <c r="W287" i="11"/>
  <c r="V287" i="11"/>
  <c r="U287" i="11"/>
  <c r="T287" i="11"/>
  <c r="S287" i="11"/>
  <c r="R287" i="11"/>
  <c r="Q287" i="11"/>
  <c r="P287" i="11"/>
  <c r="O287" i="11"/>
  <c r="N287" i="11"/>
  <c r="M287" i="11"/>
  <c r="L287" i="11"/>
  <c r="K287" i="11"/>
  <c r="F287" i="11"/>
  <c r="E287" i="11"/>
  <c r="C287" i="11"/>
  <c r="B287" i="11"/>
  <c r="X286" i="11"/>
  <c r="W286" i="11"/>
  <c r="V286" i="11"/>
  <c r="U286" i="11"/>
  <c r="T286" i="11"/>
  <c r="S286" i="11"/>
  <c r="R286" i="11"/>
  <c r="Q286" i="11"/>
  <c r="P286" i="11"/>
  <c r="O286" i="11"/>
  <c r="N286" i="11"/>
  <c r="M286" i="11"/>
  <c r="L286" i="11"/>
  <c r="K286" i="11"/>
  <c r="F286" i="11"/>
  <c r="E286" i="11"/>
  <c r="C286" i="11"/>
  <c r="B286" i="11"/>
  <c r="X285" i="11"/>
  <c r="W285" i="11"/>
  <c r="V285" i="11"/>
  <c r="U285" i="11"/>
  <c r="T285" i="11"/>
  <c r="S285" i="11"/>
  <c r="R285" i="11"/>
  <c r="Q285" i="11"/>
  <c r="P285" i="11"/>
  <c r="O285" i="11"/>
  <c r="N285" i="11"/>
  <c r="M285" i="11"/>
  <c r="L285" i="11"/>
  <c r="K285" i="11"/>
  <c r="F285" i="11"/>
  <c r="E285" i="11"/>
  <c r="C285" i="11"/>
  <c r="B285" i="11"/>
  <c r="X284" i="11"/>
  <c r="W284" i="11"/>
  <c r="V284" i="11"/>
  <c r="U284" i="11"/>
  <c r="T284" i="11"/>
  <c r="S284" i="11"/>
  <c r="R284" i="11"/>
  <c r="Q284" i="11"/>
  <c r="P284" i="11"/>
  <c r="O284" i="11"/>
  <c r="N284" i="11"/>
  <c r="M284" i="11"/>
  <c r="L284" i="11"/>
  <c r="K284" i="11"/>
  <c r="F284" i="11"/>
  <c r="E284" i="11"/>
  <c r="C284" i="11"/>
  <c r="B284" i="11"/>
  <c r="X283" i="11"/>
  <c r="W283" i="11"/>
  <c r="V283" i="11"/>
  <c r="U283" i="11"/>
  <c r="T283" i="11"/>
  <c r="S283" i="11"/>
  <c r="R283" i="11"/>
  <c r="Q283" i="11"/>
  <c r="P283" i="11"/>
  <c r="O283" i="11"/>
  <c r="N283" i="11"/>
  <c r="M283" i="11"/>
  <c r="L283" i="11"/>
  <c r="K283" i="11"/>
  <c r="F283" i="11"/>
  <c r="E283" i="11"/>
  <c r="C283" i="11"/>
  <c r="B283" i="11"/>
  <c r="X282" i="11"/>
  <c r="W282" i="11"/>
  <c r="V282" i="11"/>
  <c r="U282" i="11"/>
  <c r="T282" i="11"/>
  <c r="S282" i="11"/>
  <c r="R282" i="11"/>
  <c r="Q282" i="11"/>
  <c r="P282" i="11"/>
  <c r="O282" i="11"/>
  <c r="N282" i="11"/>
  <c r="M282" i="11"/>
  <c r="L282" i="11"/>
  <c r="K282" i="11"/>
  <c r="F282" i="11"/>
  <c r="E282" i="11"/>
  <c r="C282" i="11"/>
  <c r="B282" i="11"/>
  <c r="X281" i="11"/>
  <c r="W281" i="11"/>
  <c r="V281" i="11"/>
  <c r="U281" i="11"/>
  <c r="T281" i="11"/>
  <c r="S281" i="11"/>
  <c r="R281" i="11"/>
  <c r="Q281" i="11"/>
  <c r="P281" i="11"/>
  <c r="O281" i="11"/>
  <c r="N281" i="11"/>
  <c r="M281" i="11"/>
  <c r="L281" i="11"/>
  <c r="K281" i="11"/>
  <c r="F281" i="11"/>
  <c r="E281" i="11"/>
  <c r="C281" i="11"/>
  <c r="B281" i="11"/>
  <c r="X280" i="11"/>
  <c r="W280" i="11"/>
  <c r="V280" i="11"/>
  <c r="U280" i="11"/>
  <c r="T280" i="11"/>
  <c r="S280" i="11"/>
  <c r="R280" i="11"/>
  <c r="Q280" i="11"/>
  <c r="P280" i="11"/>
  <c r="O280" i="11"/>
  <c r="N280" i="11"/>
  <c r="M280" i="11"/>
  <c r="L280" i="11"/>
  <c r="K280" i="11"/>
  <c r="F280" i="11"/>
  <c r="E280" i="11"/>
  <c r="C280" i="11"/>
  <c r="B280" i="11"/>
  <c r="X279" i="11"/>
  <c r="W279" i="11"/>
  <c r="V279" i="11"/>
  <c r="U279" i="11"/>
  <c r="T279" i="11"/>
  <c r="S279" i="11"/>
  <c r="R279" i="11"/>
  <c r="Q279" i="11"/>
  <c r="P279" i="11"/>
  <c r="O279" i="11"/>
  <c r="N279" i="11"/>
  <c r="M279" i="11"/>
  <c r="L279" i="11"/>
  <c r="K279" i="11"/>
  <c r="F279" i="11"/>
  <c r="E279" i="11"/>
  <c r="C279" i="11"/>
  <c r="B279" i="11"/>
  <c r="X278" i="11"/>
  <c r="W278" i="11"/>
  <c r="V278" i="11"/>
  <c r="U278" i="11"/>
  <c r="T278" i="11"/>
  <c r="S278" i="11"/>
  <c r="R278" i="11"/>
  <c r="Q278" i="11"/>
  <c r="P278" i="11"/>
  <c r="O278" i="11"/>
  <c r="N278" i="11"/>
  <c r="M278" i="11"/>
  <c r="L278" i="11"/>
  <c r="K278" i="11"/>
  <c r="F278" i="11"/>
  <c r="E278" i="11"/>
  <c r="C278" i="11"/>
  <c r="B278" i="11"/>
  <c r="X277" i="11"/>
  <c r="W277" i="11"/>
  <c r="V277" i="11"/>
  <c r="U277" i="11"/>
  <c r="T277" i="11"/>
  <c r="S277" i="11"/>
  <c r="R277" i="11"/>
  <c r="Q277" i="11"/>
  <c r="P277" i="11"/>
  <c r="O277" i="11"/>
  <c r="N277" i="11"/>
  <c r="M277" i="11"/>
  <c r="L277" i="11"/>
  <c r="K277" i="11"/>
  <c r="F277" i="11"/>
  <c r="E277" i="11"/>
  <c r="C277" i="11"/>
  <c r="B277" i="11"/>
  <c r="X276" i="11"/>
  <c r="W276" i="11"/>
  <c r="V276" i="11"/>
  <c r="U276" i="11"/>
  <c r="T276" i="11"/>
  <c r="S276" i="11"/>
  <c r="R276" i="11"/>
  <c r="Q276" i="11"/>
  <c r="P276" i="11"/>
  <c r="O276" i="11"/>
  <c r="N276" i="11"/>
  <c r="M276" i="11"/>
  <c r="L276" i="11"/>
  <c r="K276" i="11"/>
  <c r="F276" i="11"/>
  <c r="E276" i="11"/>
  <c r="C276" i="11"/>
  <c r="B276" i="11"/>
  <c r="X275" i="11"/>
  <c r="W275" i="11"/>
  <c r="V275" i="11"/>
  <c r="U275" i="11"/>
  <c r="T275" i="11"/>
  <c r="S275" i="11"/>
  <c r="R275" i="11"/>
  <c r="Q275" i="11"/>
  <c r="P275" i="11"/>
  <c r="O275" i="11"/>
  <c r="N275" i="11"/>
  <c r="M275" i="11"/>
  <c r="L275" i="11"/>
  <c r="K275" i="11"/>
  <c r="F275" i="11"/>
  <c r="E275" i="11"/>
  <c r="C275" i="11"/>
  <c r="B275" i="11"/>
  <c r="X274" i="11"/>
  <c r="W274" i="11"/>
  <c r="V274" i="11"/>
  <c r="U274" i="11"/>
  <c r="T274" i="11"/>
  <c r="S274" i="11"/>
  <c r="R274" i="11"/>
  <c r="Q274" i="11"/>
  <c r="P274" i="11"/>
  <c r="O274" i="11"/>
  <c r="N274" i="11"/>
  <c r="M274" i="11"/>
  <c r="L274" i="11"/>
  <c r="K274" i="11"/>
  <c r="F274" i="11"/>
  <c r="E274" i="11"/>
  <c r="C274" i="11"/>
  <c r="B274" i="11"/>
  <c r="X273" i="11"/>
  <c r="W273" i="11"/>
  <c r="V273" i="11"/>
  <c r="U273" i="11"/>
  <c r="T273" i="11"/>
  <c r="S273" i="11"/>
  <c r="R273" i="11"/>
  <c r="Q273" i="11"/>
  <c r="P273" i="11"/>
  <c r="O273" i="11"/>
  <c r="N273" i="11"/>
  <c r="M273" i="11"/>
  <c r="L273" i="11"/>
  <c r="K273" i="11"/>
  <c r="F273" i="11"/>
  <c r="E273" i="11"/>
  <c r="C273" i="11"/>
  <c r="B273" i="11"/>
  <c r="X272" i="11"/>
  <c r="W272" i="11"/>
  <c r="V272" i="11"/>
  <c r="U272" i="11"/>
  <c r="T272" i="11"/>
  <c r="S272" i="11"/>
  <c r="R272" i="11"/>
  <c r="Q272" i="11"/>
  <c r="P272" i="11"/>
  <c r="O272" i="11"/>
  <c r="N272" i="11"/>
  <c r="M272" i="11"/>
  <c r="L272" i="11"/>
  <c r="K272" i="11"/>
  <c r="F272" i="11"/>
  <c r="E272" i="11"/>
  <c r="C272" i="11"/>
  <c r="B272" i="11"/>
  <c r="X271" i="11"/>
  <c r="W271" i="11"/>
  <c r="V271" i="11"/>
  <c r="U271" i="11"/>
  <c r="T271" i="11"/>
  <c r="S271" i="11"/>
  <c r="R271" i="11"/>
  <c r="Q271" i="11"/>
  <c r="P271" i="11"/>
  <c r="O271" i="11"/>
  <c r="N271" i="11"/>
  <c r="M271" i="11"/>
  <c r="L271" i="11"/>
  <c r="K271" i="11"/>
  <c r="F271" i="11"/>
  <c r="E271" i="11"/>
  <c r="C271" i="11"/>
  <c r="B271" i="11"/>
  <c r="X270" i="11"/>
  <c r="W270" i="11"/>
  <c r="V270" i="11"/>
  <c r="U270" i="11"/>
  <c r="T270" i="11"/>
  <c r="S270" i="11"/>
  <c r="R270" i="11"/>
  <c r="Q270" i="11"/>
  <c r="P270" i="11"/>
  <c r="O270" i="11"/>
  <c r="N270" i="11"/>
  <c r="M270" i="11"/>
  <c r="L270" i="11"/>
  <c r="K270" i="11"/>
  <c r="F270" i="11"/>
  <c r="E270" i="11"/>
  <c r="C270" i="11"/>
  <c r="B270" i="11"/>
  <c r="X269" i="11"/>
  <c r="W269" i="11"/>
  <c r="V269" i="11"/>
  <c r="U269" i="11"/>
  <c r="T269" i="11"/>
  <c r="S269" i="11"/>
  <c r="R269" i="11"/>
  <c r="Q269" i="11"/>
  <c r="P269" i="11"/>
  <c r="O269" i="11"/>
  <c r="N269" i="11"/>
  <c r="M269" i="11"/>
  <c r="L269" i="11"/>
  <c r="K269" i="11"/>
  <c r="F269" i="11"/>
  <c r="E269" i="11"/>
  <c r="C269" i="11"/>
  <c r="B269" i="11"/>
  <c r="X268" i="11"/>
  <c r="W268" i="11"/>
  <c r="V268" i="11"/>
  <c r="U268" i="11"/>
  <c r="T268" i="11"/>
  <c r="S268" i="11"/>
  <c r="R268" i="11"/>
  <c r="Q268" i="11"/>
  <c r="P268" i="11"/>
  <c r="O268" i="11"/>
  <c r="N268" i="11"/>
  <c r="M268" i="11"/>
  <c r="L268" i="11"/>
  <c r="K268" i="11"/>
  <c r="F268" i="11"/>
  <c r="E268" i="11"/>
  <c r="C268" i="11"/>
  <c r="B268" i="11"/>
  <c r="X267" i="11"/>
  <c r="W267" i="11"/>
  <c r="V267" i="11"/>
  <c r="U267" i="11"/>
  <c r="T267" i="11"/>
  <c r="S267" i="11"/>
  <c r="R267" i="11"/>
  <c r="Q267" i="11"/>
  <c r="P267" i="11"/>
  <c r="O267" i="11"/>
  <c r="N267" i="11"/>
  <c r="M267" i="11"/>
  <c r="L267" i="11"/>
  <c r="K267" i="11"/>
  <c r="F267" i="11"/>
  <c r="E267" i="11"/>
  <c r="C267" i="11"/>
  <c r="B267" i="11"/>
  <c r="X266" i="11"/>
  <c r="W266" i="11"/>
  <c r="V266" i="11"/>
  <c r="U266" i="11"/>
  <c r="T266" i="11"/>
  <c r="S266" i="11"/>
  <c r="R266" i="11"/>
  <c r="Q266" i="11"/>
  <c r="P266" i="11"/>
  <c r="O266" i="11"/>
  <c r="N266" i="11"/>
  <c r="M266" i="11"/>
  <c r="L266" i="11"/>
  <c r="K266" i="11"/>
  <c r="F266" i="11"/>
  <c r="E266" i="11"/>
  <c r="C266" i="11"/>
  <c r="B266" i="11"/>
  <c r="X265" i="11"/>
  <c r="W265" i="11"/>
  <c r="V265" i="11"/>
  <c r="U265" i="11"/>
  <c r="T265" i="11"/>
  <c r="S265" i="11"/>
  <c r="R265" i="11"/>
  <c r="Q265" i="11"/>
  <c r="P265" i="11"/>
  <c r="O265" i="11"/>
  <c r="N265" i="11"/>
  <c r="M265" i="11"/>
  <c r="L265" i="11"/>
  <c r="K265" i="11"/>
  <c r="F265" i="11"/>
  <c r="E265" i="11"/>
  <c r="C265" i="11"/>
  <c r="B265" i="11"/>
  <c r="X264" i="11"/>
  <c r="W264" i="11"/>
  <c r="V264" i="11"/>
  <c r="U264" i="11"/>
  <c r="T264" i="11"/>
  <c r="S264" i="11"/>
  <c r="R264" i="11"/>
  <c r="Q264" i="11"/>
  <c r="P264" i="11"/>
  <c r="O264" i="11"/>
  <c r="N264" i="11"/>
  <c r="M264" i="11"/>
  <c r="L264" i="11"/>
  <c r="K264" i="11"/>
  <c r="F264" i="11"/>
  <c r="E264" i="11"/>
  <c r="C264" i="11"/>
  <c r="B264" i="11"/>
  <c r="X263" i="11"/>
  <c r="W263" i="11"/>
  <c r="V263" i="11"/>
  <c r="U263" i="11"/>
  <c r="T263" i="11"/>
  <c r="S263" i="11"/>
  <c r="R263" i="11"/>
  <c r="Q263" i="11"/>
  <c r="P263" i="11"/>
  <c r="O263" i="11"/>
  <c r="N263" i="11"/>
  <c r="M263" i="11"/>
  <c r="L263" i="11"/>
  <c r="K263" i="11"/>
  <c r="F263" i="11"/>
  <c r="E263" i="11"/>
  <c r="C263" i="11"/>
  <c r="B263" i="11"/>
  <c r="X262" i="11"/>
  <c r="W262" i="11"/>
  <c r="V262" i="11"/>
  <c r="U262" i="11"/>
  <c r="T262" i="11"/>
  <c r="S262" i="11"/>
  <c r="R262" i="11"/>
  <c r="Q262" i="11"/>
  <c r="P262" i="11"/>
  <c r="O262" i="11"/>
  <c r="N262" i="11"/>
  <c r="M262" i="11"/>
  <c r="L262" i="11"/>
  <c r="K262" i="11"/>
  <c r="F262" i="11"/>
  <c r="E262" i="11"/>
  <c r="C262" i="11"/>
  <c r="B262" i="11"/>
  <c r="X261" i="11"/>
  <c r="W261" i="11"/>
  <c r="V261" i="11"/>
  <c r="U261" i="11"/>
  <c r="T261" i="11"/>
  <c r="S261" i="11"/>
  <c r="R261" i="11"/>
  <c r="Q261" i="11"/>
  <c r="P261" i="11"/>
  <c r="O261" i="11"/>
  <c r="N261" i="11"/>
  <c r="M261" i="11"/>
  <c r="L261" i="11"/>
  <c r="K261" i="11"/>
  <c r="F261" i="11"/>
  <c r="E261" i="11"/>
  <c r="C261" i="11"/>
  <c r="B261" i="11"/>
  <c r="X260" i="11"/>
  <c r="W260" i="11"/>
  <c r="V260" i="11"/>
  <c r="U260" i="11"/>
  <c r="T260" i="11"/>
  <c r="S260" i="11"/>
  <c r="R260" i="11"/>
  <c r="Q260" i="11"/>
  <c r="P260" i="11"/>
  <c r="O260" i="11"/>
  <c r="N260" i="11"/>
  <c r="M260" i="11"/>
  <c r="L260" i="11"/>
  <c r="K260" i="11"/>
  <c r="F260" i="11"/>
  <c r="E260" i="11"/>
  <c r="C260" i="11"/>
  <c r="B260" i="11"/>
  <c r="X259" i="11"/>
  <c r="W259" i="11"/>
  <c r="V259" i="11"/>
  <c r="U259" i="11"/>
  <c r="T259" i="11"/>
  <c r="S259" i="11"/>
  <c r="R259" i="11"/>
  <c r="Q259" i="11"/>
  <c r="P259" i="11"/>
  <c r="O259" i="11"/>
  <c r="N259" i="11"/>
  <c r="M259" i="11"/>
  <c r="L259" i="11"/>
  <c r="K259" i="11"/>
  <c r="F259" i="11"/>
  <c r="E259" i="11"/>
  <c r="C259" i="11"/>
  <c r="B259" i="11"/>
  <c r="X258" i="11"/>
  <c r="W258" i="11"/>
  <c r="V258" i="11"/>
  <c r="U258" i="11"/>
  <c r="T258" i="11"/>
  <c r="S258" i="11"/>
  <c r="R258" i="11"/>
  <c r="Q258" i="11"/>
  <c r="P258" i="11"/>
  <c r="O258" i="11"/>
  <c r="N258" i="11"/>
  <c r="M258" i="11"/>
  <c r="L258" i="11"/>
  <c r="K258" i="11"/>
  <c r="F258" i="11"/>
  <c r="E258" i="11"/>
  <c r="C258" i="11"/>
  <c r="B258" i="11"/>
  <c r="X257" i="11"/>
  <c r="W257" i="11"/>
  <c r="V257" i="11"/>
  <c r="U257" i="11"/>
  <c r="T257" i="11"/>
  <c r="S257" i="11"/>
  <c r="R257" i="11"/>
  <c r="Q257" i="11"/>
  <c r="P257" i="11"/>
  <c r="O257" i="11"/>
  <c r="N257" i="11"/>
  <c r="M257" i="11"/>
  <c r="L257" i="11"/>
  <c r="K257" i="11"/>
  <c r="F257" i="11"/>
  <c r="E257" i="11"/>
  <c r="C257" i="11"/>
  <c r="B257" i="11"/>
  <c r="X256" i="11"/>
  <c r="W256" i="11"/>
  <c r="V256" i="11"/>
  <c r="U256" i="11"/>
  <c r="T256" i="11"/>
  <c r="S256" i="11"/>
  <c r="R256" i="11"/>
  <c r="Q256" i="11"/>
  <c r="P256" i="11"/>
  <c r="O256" i="11"/>
  <c r="N256" i="11"/>
  <c r="M256" i="11"/>
  <c r="L256" i="11"/>
  <c r="K256" i="11"/>
  <c r="F256" i="11"/>
  <c r="E256" i="11"/>
  <c r="C256" i="11"/>
  <c r="B256" i="11"/>
  <c r="X255" i="11"/>
  <c r="W255" i="11"/>
  <c r="V255" i="11"/>
  <c r="U255" i="11"/>
  <c r="T255" i="11"/>
  <c r="S255" i="11"/>
  <c r="R255" i="11"/>
  <c r="Q255" i="11"/>
  <c r="P255" i="11"/>
  <c r="O255" i="11"/>
  <c r="N255" i="11"/>
  <c r="M255" i="11"/>
  <c r="L255" i="11"/>
  <c r="K255" i="11"/>
  <c r="F255" i="11"/>
  <c r="E255" i="11"/>
  <c r="C255" i="11"/>
  <c r="B255" i="11"/>
  <c r="X254" i="11"/>
  <c r="W254" i="11"/>
  <c r="V254" i="11"/>
  <c r="U254" i="11"/>
  <c r="T254" i="11"/>
  <c r="S254" i="11"/>
  <c r="R254" i="11"/>
  <c r="Q254" i="11"/>
  <c r="P254" i="11"/>
  <c r="O254" i="11"/>
  <c r="N254" i="11"/>
  <c r="M254" i="11"/>
  <c r="L254" i="11"/>
  <c r="K254" i="11"/>
  <c r="F254" i="11"/>
  <c r="E254" i="11"/>
  <c r="C254" i="11"/>
  <c r="B254" i="11"/>
  <c r="X253" i="11"/>
  <c r="W253" i="11"/>
  <c r="V253" i="11"/>
  <c r="U253" i="11"/>
  <c r="T253" i="11"/>
  <c r="S253" i="11"/>
  <c r="R253" i="11"/>
  <c r="Q253" i="11"/>
  <c r="P253" i="11"/>
  <c r="O253" i="11"/>
  <c r="N253" i="11"/>
  <c r="M253" i="11"/>
  <c r="L253" i="11"/>
  <c r="K253" i="11"/>
  <c r="F253" i="11"/>
  <c r="E253" i="11"/>
  <c r="C253" i="11"/>
  <c r="B253" i="11"/>
  <c r="X252" i="11"/>
  <c r="W252" i="11"/>
  <c r="V252" i="11"/>
  <c r="U252" i="11"/>
  <c r="T252" i="11"/>
  <c r="S252" i="11"/>
  <c r="R252" i="11"/>
  <c r="Q252" i="11"/>
  <c r="P252" i="11"/>
  <c r="O252" i="11"/>
  <c r="N252" i="11"/>
  <c r="M252" i="11"/>
  <c r="L252" i="11"/>
  <c r="K252" i="11"/>
  <c r="F252" i="11"/>
  <c r="E252" i="11"/>
  <c r="C252" i="11"/>
  <c r="B252" i="11"/>
  <c r="X251" i="11"/>
  <c r="W251" i="11"/>
  <c r="V251" i="11"/>
  <c r="U251" i="11"/>
  <c r="T251" i="11"/>
  <c r="S251" i="11"/>
  <c r="R251" i="11"/>
  <c r="Q251" i="11"/>
  <c r="P251" i="11"/>
  <c r="O251" i="11"/>
  <c r="N251" i="11"/>
  <c r="M251" i="11"/>
  <c r="L251" i="11"/>
  <c r="K251" i="11"/>
  <c r="F251" i="11"/>
  <c r="E251" i="11"/>
  <c r="C251" i="11"/>
  <c r="B251" i="11"/>
  <c r="X250" i="11"/>
  <c r="W250" i="11"/>
  <c r="V250" i="11"/>
  <c r="U250" i="11"/>
  <c r="T250" i="11"/>
  <c r="S250" i="11"/>
  <c r="R250" i="11"/>
  <c r="Q250" i="11"/>
  <c r="P250" i="11"/>
  <c r="O250" i="11"/>
  <c r="N250" i="11"/>
  <c r="M250" i="11"/>
  <c r="L250" i="11"/>
  <c r="K250" i="11"/>
  <c r="F250" i="11"/>
  <c r="E250" i="11"/>
  <c r="C250" i="11"/>
  <c r="B250" i="11"/>
  <c r="X249" i="11"/>
  <c r="W249" i="11"/>
  <c r="V249" i="11"/>
  <c r="U249" i="11"/>
  <c r="T249" i="11"/>
  <c r="S249" i="11"/>
  <c r="R249" i="11"/>
  <c r="Q249" i="11"/>
  <c r="P249" i="11"/>
  <c r="O249" i="11"/>
  <c r="N249" i="11"/>
  <c r="M249" i="11"/>
  <c r="L249" i="11"/>
  <c r="K249" i="11"/>
  <c r="F249" i="11"/>
  <c r="E249" i="11"/>
  <c r="C249" i="11"/>
  <c r="B249" i="11"/>
  <c r="X248" i="11"/>
  <c r="W248" i="11"/>
  <c r="V248" i="11"/>
  <c r="U248" i="11"/>
  <c r="T248" i="11"/>
  <c r="S248" i="11"/>
  <c r="R248" i="11"/>
  <c r="Q248" i="11"/>
  <c r="P248" i="11"/>
  <c r="O248" i="11"/>
  <c r="N248" i="11"/>
  <c r="M248" i="11"/>
  <c r="L248" i="11"/>
  <c r="K248" i="11"/>
  <c r="F248" i="11"/>
  <c r="E248" i="11"/>
  <c r="C248" i="11"/>
  <c r="B248" i="11"/>
  <c r="X247" i="11"/>
  <c r="W247" i="11"/>
  <c r="V247" i="11"/>
  <c r="U247" i="11"/>
  <c r="T247" i="11"/>
  <c r="S247" i="11"/>
  <c r="R247" i="11"/>
  <c r="Q247" i="11"/>
  <c r="P247" i="11"/>
  <c r="O247" i="11"/>
  <c r="N247" i="11"/>
  <c r="M247" i="11"/>
  <c r="L247" i="11"/>
  <c r="K247" i="11"/>
  <c r="F247" i="11"/>
  <c r="E247" i="11"/>
  <c r="C247" i="11"/>
  <c r="B247" i="11"/>
  <c r="X246" i="11"/>
  <c r="W246" i="11"/>
  <c r="V246" i="11"/>
  <c r="U246" i="11"/>
  <c r="T246" i="11"/>
  <c r="S246" i="11"/>
  <c r="R246" i="11"/>
  <c r="Q246" i="11"/>
  <c r="P246" i="11"/>
  <c r="O246" i="11"/>
  <c r="N246" i="11"/>
  <c r="M246" i="11"/>
  <c r="L246" i="11"/>
  <c r="K246" i="11"/>
  <c r="F246" i="11"/>
  <c r="E246" i="11"/>
  <c r="C246" i="11"/>
  <c r="B246" i="11"/>
  <c r="X245" i="11"/>
  <c r="W245" i="11"/>
  <c r="V245" i="11"/>
  <c r="U245" i="11"/>
  <c r="T245" i="11"/>
  <c r="S245" i="11"/>
  <c r="R245" i="11"/>
  <c r="Q245" i="11"/>
  <c r="P245" i="11"/>
  <c r="O245" i="11"/>
  <c r="N245" i="11"/>
  <c r="M245" i="11"/>
  <c r="L245" i="11"/>
  <c r="K245" i="11"/>
  <c r="F245" i="11"/>
  <c r="E245" i="11"/>
  <c r="C245" i="11"/>
  <c r="B245" i="11"/>
  <c r="X244" i="11"/>
  <c r="W244" i="11"/>
  <c r="V244" i="11"/>
  <c r="U244" i="11"/>
  <c r="T244" i="11"/>
  <c r="S244" i="11"/>
  <c r="R244" i="11"/>
  <c r="Q244" i="11"/>
  <c r="P244" i="11"/>
  <c r="O244" i="11"/>
  <c r="N244" i="11"/>
  <c r="M244" i="11"/>
  <c r="L244" i="11"/>
  <c r="K244" i="11"/>
  <c r="F244" i="11"/>
  <c r="E244" i="11"/>
  <c r="C244" i="11"/>
  <c r="B244" i="11"/>
  <c r="X243" i="11"/>
  <c r="W243" i="11"/>
  <c r="V243" i="11"/>
  <c r="U243" i="11"/>
  <c r="T243" i="11"/>
  <c r="S243" i="11"/>
  <c r="R243" i="11"/>
  <c r="Q243" i="11"/>
  <c r="P243" i="11"/>
  <c r="O243" i="11"/>
  <c r="N243" i="11"/>
  <c r="M243" i="11"/>
  <c r="L243" i="11"/>
  <c r="K243" i="11"/>
  <c r="F243" i="11"/>
  <c r="E243" i="11"/>
  <c r="C243" i="11"/>
  <c r="B243" i="11"/>
  <c r="X242" i="11"/>
  <c r="W242" i="11"/>
  <c r="V242" i="11"/>
  <c r="U242" i="11"/>
  <c r="T242" i="11"/>
  <c r="S242" i="11"/>
  <c r="R242" i="11"/>
  <c r="Q242" i="11"/>
  <c r="P242" i="11"/>
  <c r="O242" i="11"/>
  <c r="N242" i="11"/>
  <c r="M242" i="11"/>
  <c r="L242" i="11"/>
  <c r="K242" i="11"/>
  <c r="F242" i="11"/>
  <c r="E242" i="11"/>
  <c r="C242" i="11"/>
  <c r="B242" i="11"/>
  <c r="X241" i="11"/>
  <c r="W241" i="11"/>
  <c r="V241" i="11"/>
  <c r="U241" i="11"/>
  <c r="T241" i="11"/>
  <c r="S241" i="11"/>
  <c r="R241" i="11"/>
  <c r="Q241" i="11"/>
  <c r="P241" i="11"/>
  <c r="O241" i="11"/>
  <c r="N241" i="11"/>
  <c r="M241" i="11"/>
  <c r="L241" i="11"/>
  <c r="K241" i="11"/>
  <c r="F241" i="11"/>
  <c r="E241" i="11"/>
  <c r="C241" i="11"/>
  <c r="B241" i="11"/>
  <c r="X240" i="11"/>
  <c r="W240" i="11"/>
  <c r="V240" i="11"/>
  <c r="U240" i="11"/>
  <c r="T240" i="11"/>
  <c r="S240" i="11"/>
  <c r="R240" i="11"/>
  <c r="Q240" i="11"/>
  <c r="P240" i="11"/>
  <c r="O240" i="11"/>
  <c r="N240" i="11"/>
  <c r="M240" i="11"/>
  <c r="L240" i="11"/>
  <c r="K240" i="11"/>
  <c r="F240" i="11"/>
  <c r="E240" i="11"/>
  <c r="C240" i="11"/>
  <c r="B240" i="11"/>
  <c r="X239" i="11"/>
  <c r="W239" i="11"/>
  <c r="V239" i="11"/>
  <c r="U239" i="11"/>
  <c r="T239" i="11"/>
  <c r="S239" i="11"/>
  <c r="R239" i="11"/>
  <c r="Q239" i="11"/>
  <c r="P239" i="11"/>
  <c r="O239" i="11"/>
  <c r="N239" i="11"/>
  <c r="M239" i="11"/>
  <c r="L239" i="11"/>
  <c r="K239" i="11"/>
  <c r="F239" i="11"/>
  <c r="E239" i="11"/>
  <c r="C239" i="11"/>
  <c r="B239" i="11"/>
  <c r="X238" i="11"/>
  <c r="W238" i="11"/>
  <c r="V238" i="11"/>
  <c r="U238" i="11"/>
  <c r="T238" i="11"/>
  <c r="S238" i="11"/>
  <c r="R238" i="11"/>
  <c r="Q238" i="11"/>
  <c r="P238" i="11"/>
  <c r="O238" i="11"/>
  <c r="N238" i="11"/>
  <c r="M238" i="11"/>
  <c r="L238" i="11"/>
  <c r="K238" i="11"/>
  <c r="F238" i="11"/>
  <c r="E238" i="11"/>
  <c r="C238" i="11"/>
  <c r="B238" i="11"/>
  <c r="X237" i="11"/>
  <c r="W237" i="11"/>
  <c r="V237" i="11"/>
  <c r="U237" i="11"/>
  <c r="T237" i="11"/>
  <c r="S237" i="11"/>
  <c r="R237" i="11"/>
  <c r="Q237" i="11"/>
  <c r="P237" i="11"/>
  <c r="O237" i="11"/>
  <c r="N237" i="11"/>
  <c r="M237" i="11"/>
  <c r="L237" i="11"/>
  <c r="K237" i="11"/>
  <c r="F237" i="11"/>
  <c r="E237" i="11"/>
  <c r="C237" i="11"/>
  <c r="B237" i="11"/>
  <c r="X236" i="11"/>
  <c r="W236" i="11"/>
  <c r="V236" i="11"/>
  <c r="U236" i="11"/>
  <c r="T236" i="11"/>
  <c r="S236" i="11"/>
  <c r="R236" i="11"/>
  <c r="Q236" i="11"/>
  <c r="P236" i="11"/>
  <c r="O236" i="11"/>
  <c r="N236" i="11"/>
  <c r="M236" i="11"/>
  <c r="L236" i="11"/>
  <c r="K236" i="11"/>
  <c r="F236" i="11"/>
  <c r="E236" i="11"/>
  <c r="C236" i="11"/>
  <c r="B236" i="11"/>
  <c r="X235" i="11"/>
  <c r="W235" i="11"/>
  <c r="V235" i="11"/>
  <c r="U235" i="11"/>
  <c r="T235" i="11"/>
  <c r="S235" i="11"/>
  <c r="R235" i="11"/>
  <c r="Q235" i="11"/>
  <c r="P235" i="11"/>
  <c r="O235" i="11"/>
  <c r="N235" i="11"/>
  <c r="M235" i="11"/>
  <c r="L235" i="11"/>
  <c r="K235" i="11"/>
  <c r="F235" i="11"/>
  <c r="E235" i="11"/>
  <c r="C235" i="11"/>
  <c r="B235" i="11"/>
  <c r="X234" i="11"/>
  <c r="W234" i="11"/>
  <c r="V234" i="11"/>
  <c r="U234" i="11"/>
  <c r="T234" i="11"/>
  <c r="S234" i="11"/>
  <c r="R234" i="11"/>
  <c r="Q234" i="11"/>
  <c r="P234" i="11"/>
  <c r="O234" i="11"/>
  <c r="N234" i="11"/>
  <c r="M234" i="11"/>
  <c r="L234" i="11"/>
  <c r="K234" i="11"/>
  <c r="F234" i="11"/>
  <c r="E234" i="11"/>
  <c r="C234" i="11"/>
  <c r="B234" i="11"/>
  <c r="X233" i="11"/>
  <c r="W233" i="11"/>
  <c r="V233" i="11"/>
  <c r="U233" i="11"/>
  <c r="T233" i="11"/>
  <c r="S233" i="11"/>
  <c r="R233" i="11"/>
  <c r="Q233" i="11"/>
  <c r="P233" i="11"/>
  <c r="O233" i="11"/>
  <c r="N233" i="11"/>
  <c r="M233" i="11"/>
  <c r="L233" i="11"/>
  <c r="K233" i="11"/>
  <c r="F233" i="11"/>
  <c r="E233" i="11"/>
  <c r="C233" i="11"/>
  <c r="B233" i="11"/>
  <c r="X232" i="11"/>
  <c r="W232" i="11"/>
  <c r="V232" i="11"/>
  <c r="U232" i="11"/>
  <c r="T232" i="11"/>
  <c r="S232" i="11"/>
  <c r="R232" i="11"/>
  <c r="Q232" i="11"/>
  <c r="P232" i="11"/>
  <c r="O232" i="11"/>
  <c r="N232" i="11"/>
  <c r="M232" i="11"/>
  <c r="L232" i="11"/>
  <c r="K232" i="11"/>
  <c r="F232" i="11"/>
  <c r="E232" i="11"/>
  <c r="C232" i="11"/>
  <c r="B232" i="11"/>
  <c r="X231" i="11"/>
  <c r="W231" i="11"/>
  <c r="V231" i="11"/>
  <c r="U231" i="11"/>
  <c r="T231" i="11"/>
  <c r="S231" i="11"/>
  <c r="R231" i="11"/>
  <c r="Q231" i="11"/>
  <c r="P231" i="11"/>
  <c r="O231" i="11"/>
  <c r="N231" i="11"/>
  <c r="M231" i="11"/>
  <c r="L231" i="11"/>
  <c r="K231" i="11"/>
  <c r="F231" i="11"/>
  <c r="E231" i="11"/>
  <c r="C231" i="11"/>
  <c r="B231" i="11"/>
  <c r="X230" i="11"/>
  <c r="W230" i="11"/>
  <c r="V230" i="11"/>
  <c r="U230" i="11"/>
  <c r="T230" i="11"/>
  <c r="S230" i="11"/>
  <c r="R230" i="11"/>
  <c r="Q230" i="11"/>
  <c r="P230" i="11"/>
  <c r="O230" i="11"/>
  <c r="N230" i="11"/>
  <c r="M230" i="11"/>
  <c r="L230" i="11"/>
  <c r="K230" i="11"/>
  <c r="F230" i="11"/>
  <c r="E230" i="11"/>
  <c r="C230" i="11"/>
  <c r="B230" i="11"/>
  <c r="X229" i="11"/>
  <c r="W229" i="11"/>
  <c r="V229" i="11"/>
  <c r="U229" i="11"/>
  <c r="T229" i="11"/>
  <c r="S229" i="11"/>
  <c r="R229" i="11"/>
  <c r="Q229" i="11"/>
  <c r="P229" i="11"/>
  <c r="O229" i="11"/>
  <c r="N229" i="11"/>
  <c r="M229" i="11"/>
  <c r="L229" i="11"/>
  <c r="K229" i="11"/>
  <c r="F229" i="11"/>
  <c r="E229" i="11"/>
  <c r="C229" i="11"/>
  <c r="B229" i="11"/>
  <c r="X228" i="11"/>
  <c r="W228" i="11"/>
  <c r="V228" i="11"/>
  <c r="U228" i="11"/>
  <c r="T228" i="11"/>
  <c r="S228" i="11"/>
  <c r="R228" i="11"/>
  <c r="Q228" i="11"/>
  <c r="P228" i="11"/>
  <c r="O228" i="11"/>
  <c r="N228" i="11"/>
  <c r="M228" i="11"/>
  <c r="L228" i="11"/>
  <c r="K228" i="11"/>
  <c r="F228" i="11"/>
  <c r="E228" i="11"/>
  <c r="C228" i="11"/>
  <c r="B228" i="11"/>
  <c r="X227" i="11"/>
  <c r="W227" i="11"/>
  <c r="V227" i="11"/>
  <c r="U227" i="11"/>
  <c r="T227" i="11"/>
  <c r="S227" i="11"/>
  <c r="R227" i="11"/>
  <c r="Q227" i="11"/>
  <c r="P227" i="11"/>
  <c r="O227" i="11"/>
  <c r="N227" i="11"/>
  <c r="M227" i="11"/>
  <c r="L227" i="11"/>
  <c r="K227" i="11"/>
  <c r="F227" i="11"/>
  <c r="E227" i="11"/>
  <c r="C227" i="11"/>
  <c r="B227" i="11"/>
  <c r="X226" i="11"/>
  <c r="W226" i="11"/>
  <c r="V226" i="11"/>
  <c r="U226" i="11"/>
  <c r="T226" i="11"/>
  <c r="S226" i="11"/>
  <c r="R226" i="11"/>
  <c r="Q226" i="11"/>
  <c r="P226" i="11"/>
  <c r="O226" i="11"/>
  <c r="N226" i="11"/>
  <c r="M226" i="11"/>
  <c r="L226" i="11"/>
  <c r="K226" i="11"/>
  <c r="F226" i="11"/>
  <c r="E226" i="11"/>
  <c r="C226" i="11"/>
  <c r="B226" i="11"/>
  <c r="X225" i="11"/>
  <c r="W225" i="11"/>
  <c r="V225" i="11"/>
  <c r="U225" i="11"/>
  <c r="T225" i="11"/>
  <c r="S225" i="11"/>
  <c r="R225" i="11"/>
  <c r="Q225" i="11"/>
  <c r="P225" i="11"/>
  <c r="O225" i="11"/>
  <c r="N225" i="11"/>
  <c r="M225" i="11"/>
  <c r="L225" i="11"/>
  <c r="K225" i="11"/>
  <c r="F225" i="11"/>
  <c r="E225" i="11"/>
  <c r="C225" i="11"/>
  <c r="B225" i="11"/>
  <c r="X224" i="11"/>
  <c r="W224" i="11"/>
  <c r="V224" i="11"/>
  <c r="U224" i="11"/>
  <c r="T224" i="11"/>
  <c r="S224" i="11"/>
  <c r="R224" i="11"/>
  <c r="Q224" i="11"/>
  <c r="P224" i="11"/>
  <c r="O224" i="11"/>
  <c r="N224" i="11"/>
  <c r="M224" i="11"/>
  <c r="L224" i="11"/>
  <c r="K224" i="11"/>
  <c r="F224" i="11"/>
  <c r="E224" i="11"/>
  <c r="C224" i="11"/>
  <c r="B224" i="11"/>
  <c r="X223" i="11"/>
  <c r="W223" i="11"/>
  <c r="V223" i="11"/>
  <c r="U223" i="11"/>
  <c r="T223" i="11"/>
  <c r="S223" i="11"/>
  <c r="R223" i="11"/>
  <c r="Q223" i="11"/>
  <c r="P223" i="11"/>
  <c r="O223" i="11"/>
  <c r="N223" i="11"/>
  <c r="M223" i="11"/>
  <c r="L223" i="11"/>
  <c r="K223" i="11"/>
  <c r="F223" i="11"/>
  <c r="E223" i="11"/>
  <c r="C223" i="11"/>
  <c r="B223" i="11"/>
  <c r="X222" i="11"/>
  <c r="W222" i="11"/>
  <c r="V222" i="11"/>
  <c r="U222" i="11"/>
  <c r="T222" i="11"/>
  <c r="S222" i="11"/>
  <c r="R222" i="11"/>
  <c r="Q222" i="11"/>
  <c r="P222" i="11"/>
  <c r="O222" i="11"/>
  <c r="N222" i="11"/>
  <c r="M222" i="11"/>
  <c r="L222" i="11"/>
  <c r="K222" i="11"/>
  <c r="F222" i="11"/>
  <c r="E222" i="11"/>
  <c r="C222" i="11"/>
  <c r="B222" i="11"/>
  <c r="X221" i="11"/>
  <c r="W221" i="11"/>
  <c r="V221" i="11"/>
  <c r="U221" i="11"/>
  <c r="T221" i="11"/>
  <c r="S221" i="11"/>
  <c r="R221" i="11"/>
  <c r="Q221" i="11"/>
  <c r="P221" i="11"/>
  <c r="O221" i="11"/>
  <c r="N221" i="11"/>
  <c r="M221" i="11"/>
  <c r="L221" i="11"/>
  <c r="K221" i="11"/>
  <c r="F221" i="11"/>
  <c r="E221" i="11"/>
  <c r="C221" i="11"/>
  <c r="B221" i="11"/>
  <c r="X220" i="11"/>
  <c r="W220" i="11"/>
  <c r="V220" i="11"/>
  <c r="U220" i="11"/>
  <c r="T220" i="11"/>
  <c r="S220" i="11"/>
  <c r="R220" i="11"/>
  <c r="Q220" i="11"/>
  <c r="P220" i="11"/>
  <c r="O220" i="11"/>
  <c r="N220" i="11"/>
  <c r="M220" i="11"/>
  <c r="L220" i="11"/>
  <c r="K220" i="11"/>
  <c r="F220" i="11"/>
  <c r="E220" i="11"/>
  <c r="C220" i="11"/>
  <c r="B220" i="11"/>
  <c r="X219" i="11"/>
  <c r="W219" i="11"/>
  <c r="V219" i="11"/>
  <c r="U219" i="11"/>
  <c r="T219" i="11"/>
  <c r="S219" i="11"/>
  <c r="R219" i="11"/>
  <c r="Q219" i="11"/>
  <c r="P219" i="11"/>
  <c r="O219" i="11"/>
  <c r="N219" i="11"/>
  <c r="M219" i="11"/>
  <c r="L219" i="11"/>
  <c r="K219" i="11"/>
  <c r="F219" i="11"/>
  <c r="E219" i="11"/>
  <c r="C219" i="11"/>
  <c r="B219" i="11"/>
  <c r="X218" i="11"/>
  <c r="W218" i="11"/>
  <c r="V218" i="11"/>
  <c r="U218" i="11"/>
  <c r="T218" i="11"/>
  <c r="S218" i="11"/>
  <c r="R218" i="11"/>
  <c r="Q218" i="11"/>
  <c r="P218" i="11"/>
  <c r="O218" i="11"/>
  <c r="N218" i="11"/>
  <c r="M218" i="11"/>
  <c r="L218" i="11"/>
  <c r="K218" i="11"/>
  <c r="F218" i="11"/>
  <c r="E218" i="11"/>
  <c r="C218" i="11"/>
  <c r="B218" i="11"/>
  <c r="X217" i="11"/>
  <c r="W217" i="11"/>
  <c r="V217" i="11"/>
  <c r="U217" i="11"/>
  <c r="T217" i="11"/>
  <c r="S217" i="11"/>
  <c r="R217" i="11"/>
  <c r="Q217" i="11"/>
  <c r="P217" i="11"/>
  <c r="O217" i="11"/>
  <c r="N217" i="11"/>
  <c r="M217" i="11"/>
  <c r="L217" i="11"/>
  <c r="K217" i="11"/>
  <c r="F217" i="11"/>
  <c r="E217" i="11"/>
  <c r="C217" i="11"/>
  <c r="B217" i="11"/>
  <c r="X216" i="11"/>
  <c r="W216" i="11"/>
  <c r="V216" i="11"/>
  <c r="U216" i="11"/>
  <c r="T216" i="11"/>
  <c r="S216" i="11"/>
  <c r="R216" i="11"/>
  <c r="Q216" i="11"/>
  <c r="P216" i="11"/>
  <c r="O216" i="11"/>
  <c r="N216" i="11"/>
  <c r="M216" i="11"/>
  <c r="L216" i="11"/>
  <c r="K216" i="11"/>
  <c r="F216" i="11"/>
  <c r="E216" i="11"/>
  <c r="C216" i="11"/>
  <c r="B216" i="11"/>
  <c r="X215" i="11"/>
  <c r="W215" i="11"/>
  <c r="V215" i="11"/>
  <c r="U215" i="11"/>
  <c r="T215" i="11"/>
  <c r="S215" i="11"/>
  <c r="R215" i="11"/>
  <c r="Q215" i="11"/>
  <c r="P215" i="11"/>
  <c r="O215" i="11"/>
  <c r="N215" i="11"/>
  <c r="M215" i="11"/>
  <c r="L215" i="11"/>
  <c r="K215" i="11"/>
  <c r="F215" i="11"/>
  <c r="E215" i="11"/>
  <c r="C215" i="11"/>
  <c r="B215" i="11"/>
  <c r="X214" i="11"/>
  <c r="W214" i="11"/>
  <c r="V214" i="11"/>
  <c r="U214" i="11"/>
  <c r="T214" i="11"/>
  <c r="S214" i="11"/>
  <c r="R214" i="11"/>
  <c r="Q214" i="11"/>
  <c r="P214" i="11"/>
  <c r="O214" i="11"/>
  <c r="N214" i="11"/>
  <c r="M214" i="11"/>
  <c r="L214" i="11"/>
  <c r="K214" i="11"/>
  <c r="F214" i="11"/>
  <c r="E214" i="11"/>
  <c r="C214" i="11"/>
  <c r="B214" i="11"/>
  <c r="X213" i="11"/>
  <c r="W213" i="11"/>
  <c r="V213" i="11"/>
  <c r="U213" i="11"/>
  <c r="T213" i="11"/>
  <c r="S213" i="11"/>
  <c r="R213" i="11"/>
  <c r="Q213" i="11"/>
  <c r="P213" i="11"/>
  <c r="O213" i="11"/>
  <c r="N213" i="11"/>
  <c r="M213" i="11"/>
  <c r="L213" i="11"/>
  <c r="K213" i="11"/>
  <c r="F213" i="11"/>
  <c r="E213" i="11"/>
  <c r="C213" i="11"/>
  <c r="B213" i="11"/>
  <c r="X212" i="11"/>
  <c r="W212" i="11"/>
  <c r="V212" i="11"/>
  <c r="U212" i="11"/>
  <c r="T212" i="11"/>
  <c r="S212" i="11"/>
  <c r="R212" i="11"/>
  <c r="Q212" i="11"/>
  <c r="P212" i="11"/>
  <c r="O212" i="11"/>
  <c r="N212" i="11"/>
  <c r="M212" i="11"/>
  <c r="L212" i="11"/>
  <c r="K212" i="11"/>
  <c r="F212" i="11"/>
  <c r="E212" i="11"/>
  <c r="C212" i="11"/>
  <c r="B212" i="11"/>
  <c r="X211" i="11"/>
  <c r="W211" i="11"/>
  <c r="V211" i="11"/>
  <c r="U211" i="11"/>
  <c r="T211" i="11"/>
  <c r="S211" i="11"/>
  <c r="R211" i="11"/>
  <c r="Q211" i="11"/>
  <c r="P211" i="11"/>
  <c r="O211" i="11"/>
  <c r="N211" i="11"/>
  <c r="M211" i="11"/>
  <c r="L211" i="11"/>
  <c r="K211" i="11"/>
  <c r="F211" i="11"/>
  <c r="E211" i="11"/>
  <c r="C211" i="11"/>
  <c r="B211" i="11"/>
  <c r="X210" i="11"/>
  <c r="W210" i="11"/>
  <c r="V210" i="11"/>
  <c r="U210" i="11"/>
  <c r="T210" i="11"/>
  <c r="S210" i="11"/>
  <c r="R210" i="11"/>
  <c r="Q210" i="11"/>
  <c r="P210" i="11"/>
  <c r="O210" i="11"/>
  <c r="N210" i="11"/>
  <c r="M210" i="11"/>
  <c r="L210" i="11"/>
  <c r="K210" i="11"/>
  <c r="F210" i="11"/>
  <c r="E210" i="11"/>
  <c r="C210" i="11"/>
  <c r="B210" i="11"/>
  <c r="X209" i="11"/>
  <c r="W209" i="11"/>
  <c r="V209" i="11"/>
  <c r="U209" i="11"/>
  <c r="T209" i="11"/>
  <c r="S209" i="11"/>
  <c r="R209" i="11"/>
  <c r="Q209" i="11"/>
  <c r="P209" i="11"/>
  <c r="O209" i="11"/>
  <c r="N209" i="11"/>
  <c r="M209" i="11"/>
  <c r="L209" i="11"/>
  <c r="K209" i="11"/>
  <c r="F209" i="11"/>
  <c r="E209" i="11"/>
  <c r="C209" i="11"/>
  <c r="B209" i="11"/>
  <c r="X208" i="11"/>
  <c r="W208" i="11"/>
  <c r="V208" i="11"/>
  <c r="U208" i="11"/>
  <c r="T208" i="11"/>
  <c r="S208" i="11"/>
  <c r="R208" i="11"/>
  <c r="Q208" i="11"/>
  <c r="P208" i="11"/>
  <c r="O208" i="11"/>
  <c r="N208" i="11"/>
  <c r="M208" i="11"/>
  <c r="L208" i="11"/>
  <c r="K208" i="11"/>
  <c r="F208" i="11"/>
  <c r="E208" i="11"/>
  <c r="C208" i="11"/>
  <c r="B208" i="11"/>
  <c r="X207" i="11"/>
  <c r="W207" i="11"/>
  <c r="V207" i="11"/>
  <c r="U207" i="11"/>
  <c r="T207" i="11"/>
  <c r="S207" i="11"/>
  <c r="R207" i="11"/>
  <c r="Q207" i="11"/>
  <c r="P207" i="11"/>
  <c r="O207" i="11"/>
  <c r="N207" i="11"/>
  <c r="M207" i="11"/>
  <c r="L207" i="11"/>
  <c r="K207" i="11"/>
  <c r="F207" i="11"/>
  <c r="E207" i="11"/>
  <c r="C207" i="11"/>
  <c r="B207" i="11"/>
  <c r="X206" i="11"/>
  <c r="W206" i="11"/>
  <c r="V206" i="11"/>
  <c r="U206" i="11"/>
  <c r="T206" i="11"/>
  <c r="S206" i="11"/>
  <c r="R206" i="11"/>
  <c r="Q206" i="11"/>
  <c r="P206" i="11"/>
  <c r="O206" i="11"/>
  <c r="N206" i="11"/>
  <c r="M206" i="11"/>
  <c r="L206" i="11"/>
  <c r="K206" i="11"/>
  <c r="F206" i="11"/>
  <c r="E206" i="11"/>
  <c r="C206" i="11"/>
  <c r="B206" i="11"/>
  <c r="X205" i="11"/>
  <c r="W205" i="11"/>
  <c r="V205" i="11"/>
  <c r="U205" i="11"/>
  <c r="T205" i="11"/>
  <c r="S205" i="11"/>
  <c r="R205" i="11"/>
  <c r="Q205" i="11"/>
  <c r="P205" i="11"/>
  <c r="O205" i="11"/>
  <c r="N205" i="11"/>
  <c r="M205" i="11"/>
  <c r="L205" i="11"/>
  <c r="K205" i="11"/>
  <c r="F205" i="11"/>
  <c r="E205" i="11"/>
  <c r="C205" i="11"/>
  <c r="B205" i="11"/>
  <c r="X204" i="11"/>
  <c r="W204" i="11"/>
  <c r="V204" i="11"/>
  <c r="U204" i="11"/>
  <c r="T204" i="11"/>
  <c r="S204" i="11"/>
  <c r="R204" i="11"/>
  <c r="Q204" i="11"/>
  <c r="P204" i="11"/>
  <c r="O204" i="11"/>
  <c r="N204" i="11"/>
  <c r="M204" i="11"/>
  <c r="L204" i="11"/>
  <c r="K204" i="11"/>
  <c r="F204" i="11"/>
  <c r="E204" i="11"/>
  <c r="C204" i="11"/>
  <c r="B204" i="11"/>
  <c r="X203" i="11"/>
  <c r="W203" i="11"/>
  <c r="V203" i="11"/>
  <c r="U203" i="11"/>
  <c r="T203" i="11"/>
  <c r="S203" i="11"/>
  <c r="R203" i="11"/>
  <c r="Q203" i="11"/>
  <c r="P203" i="11"/>
  <c r="O203" i="11"/>
  <c r="N203" i="11"/>
  <c r="M203" i="11"/>
  <c r="L203" i="11"/>
  <c r="K203" i="11"/>
  <c r="F203" i="11"/>
  <c r="E203" i="11"/>
  <c r="C203" i="11"/>
  <c r="B203" i="11"/>
  <c r="X202" i="11"/>
  <c r="W202" i="11"/>
  <c r="V202" i="11"/>
  <c r="U202" i="11"/>
  <c r="T202" i="11"/>
  <c r="S202" i="11"/>
  <c r="R202" i="11"/>
  <c r="Q202" i="11"/>
  <c r="P202" i="11"/>
  <c r="O202" i="11"/>
  <c r="N202" i="11"/>
  <c r="M202" i="11"/>
  <c r="L202" i="11"/>
  <c r="K202" i="11"/>
  <c r="F202" i="11"/>
  <c r="E202" i="11"/>
  <c r="C202" i="11"/>
  <c r="B202" i="11"/>
  <c r="X201" i="11"/>
  <c r="W201" i="11"/>
  <c r="V201" i="11"/>
  <c r="U201" i="11"/>
  <c r="T201" i="11"/>
  <c r="S201" i="11"/>
  <c r="R201" i="11"/>
  <c r="Q201" i="11"/>
  <c r="P201" i="11"/>
  <c r="O201" i="11"/>
  <c r="N201" i="11"/>
  <c r="M201" i="11"/>
  <c r="L201" i="11"/>
  <c r="K201" i="11"/>
  <c r="F201" i="11"/>
  <c r="E201" i="11"/>
  <c r="C201" i="11"/>
  <c r="B201" i="11"/>
  <c r="X200" i="11"/>
  <c r="W200" i="11"/>
  <c r="V200" i="11"/>
  <c r="U200" i="11"/>
  <c r="T200" i="11"/>
  <c r="S200" i="11"/>
  <c r="R200" i="11"/>
  <c r="Q200" i="11"/>
  <c r="P200" i="11"/>
  <c r="O200" i="11"/>
  <c r="N200" i="11"/>
  <c r="M200" i="11"/>
  <c r="L200" i="11"/>
  <c r="K200" i="11"/>
  <c r="F200" i="11"/>
  <c r="E200" i="11"/>
  <c r="C200" i="11"/>
  <c r="B200" i="11"/>
  <c r="X199" i="11"/>
  <c r="W199" i="11"/>
  <c r="V199" i="11"/>
  <c r="U199" i="11"/>
  <c r="T199" i="11"/>
  <c r="S199" i="11"/>
  <c r="R199" i="11"/>
  <c r="Q199" i="11"/>
  <c r="P199" i="11"/>
  <c r="O199" i="11"/>
  <c r="N199" i="11"/>
  <c r="M199" i="11"/>
  <c r="L199" i="11"/>
  <c r="K199" i="11"/>
  <c r="F199" i="11"/>
  <c r="E199" i="11"/>
  <c r="C199" i="11"/>
  <c r="B199" i="11"/>
  <c r="X198" i="11"/>
  <c r="W198" i="11"/>
  <c r="V198" i="11"/>
  <c r="U198" i="11"/>
  <c r="T198" i="11"/>
  <c r="S198" i="11"/>
  <c r="R198" i="11"/>
  <c r="Q198" i="11"/>
  <c r="P198" i="11"/>
  <c r="O198" i="11"/>
  <c r="N198" i="11"/>
  <c r="M198" i="11"/>
  <c r="L198" i="11"/>
  <c r="K198" i="11"/>
  <c r="F198" i="11"/>
  <c r="E198" i="11"/>
  <c r="C198" i="11"/>
  <c r="B198" i="11"/>
  <c r="X197" i="11"/>
  <c r="W197" i="11"/>
  <c r="V197" i="11"/>
  <c r="U197" i="11"/>
  <c r="T197" i="11"/>
  <c r="S197" i="11"/>
  <c r="R197" i="11"/>
  <c r="Q197" i="11"/>
  <c r="P197" i="11"/>
  <c r="O197" i="11"/>
  <c r="N197" i="11"/>
  <c r="M197" i="11"/>
  <c r="L197" i="11"/>
  <c r="K197" i="11"/>
  <c r="F197" i="11"/>
  <c r="E197" i="11"/>
  <c r="C197" i="11"/>
  <c r="B197" i="11"/>
  <c r="X196" i="11"/>
  <c r="W196" i="11"/>
  <c r="V196" i="11"/>
  <c r="U196" i="11"/>
  <c r="T196" i="11"/>
  <c r="S196" i="11"/>
  <c r="R196" i="11"/>
  <c r="Q196" i="11"/>
  <c r="P196" i="11"/>
  <c r="O196" i="11"/>
  <c r="N196" i="11"/>
  <c r="M196" i="11"/>
  <c r="L196" i="11"/>
  <c r="K196" i="11"/>
  <c r="F196" i="11"/>
  <c r="E196" i="11"/>
  <c r="C196" i="11"/>
  <c r="B196" i="11"/>
  <c r="X195" i="11"/>
  <c r="W195" i="11"/>
  <c r="V195" i="11"/>
  <c r="U195" i="11"/>
  <c r="T195" i="11"/>
  <c r="S195" i="11"/>
  <c r="R195" i="11"/>
  <c r="Q195" i="11"/>
  <c r="P195" i="11"/>
  <c r="O195" i="11"/>
  <c r="N195" i="11"/>
  <c r="M195" i="11"/>
  <c r="L195" i="11"/>
  <c r="K195" i="11"/>
  <c r="F195" i="11"/>
  <c r="E195" i="11"/>
  <c r="C195" i="11"/>
  <c r="B195" i="11"/>
  <c r="X194" i="11"/>
  <c r="W194" i="11"/>
  <c r="V194" i="11"/>
  <c r="U194" i="11"/>
  <c r="T194" i="11"/>
  <c r="S194" i="11"/>
  <c r="R194" i="11"/>
  <c r="Q194" i="11"/>
  <c r="P194" i="11"/>
  <c r="O194" i="11"/>
  <c r="N194" i="11"/>
  <c r="M194" i="11"/>
  <c r="L194" i="11"/>
  <c r="K194" i="11"/>
  <c r="F194" i="11"/>
  <c r="E194" i="11"/>
  <c r="C194" i="11"/>
  <c r="B194" i="11"/>
  <c r="X193" i="11"/>
  <c r="W193" i="11"/>
  <c r="V193" i="11"/>
  <c r="U193" i="11"/>
  <c r="T193" i="11"/>
  <c r="S193" i="11"/>
  <c r="R193" i="11"/>
  <c r="Q193" i="11"/>
  <c r="P193" i="11"/>
  <c r="O193" i="11"/>
  <c r="N193" i="11"/>
  <c r="M193" i="11"/>
  <c r="L193" i="11"/>
  <c r="K193" i="11"/>
  <c r="F193" i="11"/>
  <c r="E193" i="11"/>
  <c r="C193" i="11"/>
  <c r="B193" i="11"/>
  <c r="X192" i="11"/>
  <c r="W192" i="11"/>
  <c r="V192" i="11"/>
  <c r="U192" i="11"/>
  <c r="T192" i="11"/>
  <c r="S192" i="11"/>
  <c r="R192" i="11"/>
  <c r="Q192" i="11"/>
  <c r="P192" i="11"/>
  <c r="O192" i="11"/>
  <c r="N192" i="11"/>
  <c r="M192" i="11"/>
  <c r="L192" i="11"/>
  <c r="K192" i="11"/>
  <c r="F192" i="11"/>
  <c r="E192" i="11"/>
  <c r="C192" i="11"/>
  <c r="B192" i="11"/>
  <c r="X191" i="11"/>
  <c r="W191" i="11"/>
  <c r="V191" i="11"/>
  <c r="U191" i="11"/>
  <c r="T191" i="11"/>
  <c r="S191" i="11"/>
  <c r="R191" i="11"/>
  <c r="Q191" i="11"/>
  <c r="P191" i="11"/>
  <c r="O191" i="11"/>
  <c r="N191" i="11"/>
  <c r="M191" i="11"/>
  <c r="L191" i="11"/>
  <c r="K191" i="11"/>
  <c r="F191" i="11"/>
  <c r="E191" i="11"/>
  <c r="C191" i="11"/>
  <c r="B191" i="11"/>
  <c r="X190" i="11"/>
  <c r="W190" i="11"/>
  <c r="V190" i="11"/>
  <c r="U190" i="11"/>
  <c r="T190" i="11"/>
  <c r="S190" i="11"/>
  <c r="R190" i="11"/>
  <c r="Q190" i="11"/>
  <c r="P190" i="11"/>
  <c r="O190" i="11"/>
  <c r="N190" i="11"/>
  <c r="M190" i="11"/>
  <c r="L190" i="11"/>
  <c r="K190" i="11"/>
  <c r="F190" i="11"/>
  <c r="E190" i="11"/>
  <c r="C190" i="11"/>
  <c r="B190" i="11"/>
  <c r="X189" i="11"/>
  <c r="W189" i="11"/>
  <c r="V189" i="11"/>
  <c r="U189" i="11"/>
  <c r="T189" i="11"/>
  <c r="S189" i="11"/>
  <c r="R189" i="11"/>
  <c r="Q189" i="11"/>
  <c r="P189" i="11"/>
  <c r="O189" i="11"/>
  <c r="N189" i="11"/>
  <c r="M189" i="11"/>
  <c r="L189" i="11"/>
  <c r="K189" i="11"/>
  <c r="F189" i="11"/>
  <c r="E189" i="11"/>
  <c r="C189" i="11"/>
  <c r="B189" i="11"/>
  <c r="X188" i="11"/>
  <c r="W188" i="11"/>
  <c r="V188" i="11"/>
  <c r="U188" i="11"/>
  <c r="T188" i="11"/>
  <c r="S188" i="11"/>
  <c r="R188" i="11"/>
  <c r="Q188" i="11"/>
  <c r="P188" i="11"/>
  <c r="O188" i="11"/>
  <c r="N188" i="11"/>
  <c r="M188" i="11"/>
  <c r="L188" i="11"/>
  <c r="K188" i="11"/>
  <c r="F188" i="11"/>
  <c r="E188" i="11"/>
  <c r="C188" i="11"/>
  <c r="B188" i="11"/>
  <c r="X187" i="11"/>
  <c r="W187" i="11"/>
  <c r="V187" i="11"/>
  <c r="U187" i="11"/>
  <c r="T187" i="11"/>
  <c r="S187" i="11"/>
  <c r="R187" i="11"/>
  <c r="Q187" i="11"/>
  <c r="P187" i="11"/>
  <c r="O187" i="11"/>
  <c r="N187" i="11"/>
  <c r="M187" i="11"/>
  <c r="L187" i="11"/>
  <c r="K187" i="11"/>
  <c r="F187" i="11"/>
  <c r="E187" i="11"/>
  <c r="C187" i="11"/>
  <c r="B187" i="11"/>
  <c r="X186" i="11"/>
  <c r="W186" i="11"/>
  <c r="V186" i="11"/>
  <c r="U186" i="11"/>
  <c r="T186" i="11"/>
  <c r="S186" i="11"/>
  <c r="R186" i="11"/>
  <c r="Q186" i="11"/>
  <c r="P186" i="11"/>
  <c r="O186" i="11"/>
  <c r="N186" i="11"/>
  <c r="M186" i="11"/>
  <c r="L186" i="11"/>
  <c r="K186" i="11"/>
  <c r="F186" i="11"/>
  <c r="E186" i="11"/>
  <c r="C186" i="11"/>
  <c r="B186" i="11"/>
  <c r="X185" i="11"/>
  <c r="W185" i="11"/>
  <c r="V185" i="11"/>
  <c r="U185" i="11"/>
  <c r="T185" i="11"/>
  <c r="S185" i="11"/>
  <c r="R185" i="11"/>
  <c r="Q185" i="11"/>
  <c r="P185" i="11"/>
  <c r="O185" i="11"/>
  <c r="N185" i="11"/>
  <c r="M185" i="11"/>
  <c r="L185" i="11"/>
  <c r="K185" i="11"/>
  <c r="F185" i="11"/>
  <c r="E185" i="11"/>
  <c r="C185" i="11"/>
  <c r="B185" i="11"/>
  <c r="X184" i="11"/>
  <c r="W184" i="11"/>
  <c r="V184" i="11"/>
  <c r="U184" i="11"/>
  <c r="T184" i="11"/>
  <c r="S184" i="11"/>
  <c r="R184" i="11"/>
  <c r="Q184" i="11"/>
  <c r="P184" i="11"/>
  <c r="O184" i="11"/>
  <c r="N184" i="11"/>
  <c r="M184" i="11"/>
  <c r="L184" i="11"/>
  <c r="K184" i="11"/>
  <c r="F184" i="11"/>
  <c r="E184" i="11"/>
  <c r="C184" i="11"/>
  <c r="B184" i="11"/>
  <c r="X183" i="11"/>
  <c r="W183" i="11"/>
  <c r="V183" i="11"/>
  <c r="U183" i="11"/>
  <c r="T183" i="11"/>
  <c r="S183" i="11"/>
  <c r="R183" i="11"/>
  <c r="Q183" i="11"/>
  <c r="P183" i="11"/>
  <c r="O183" i="11"/>
  <c r="N183" i="11"/>
  <c r="M183" i="11"/>
  <c r="L183" i="11"/>
  <c r="K183" i="11"/>
  <c r="F183" i="11"/>
  <c r="E183" i="11"/>
  <c r="C183" i="11"/>
  <c r="B183" i="11"/>
  <c r="X182" i="11"/>
  <c r="W182" i="11"/>
  <c r="V182" i="11"/>
  <c r="U182" i="11"/>
  <c r="T182" i="11"/>
  <c r="S182" i="11"/>
  <c r="R182" i="11"/>
  <c r="Q182" i="11"/>
  <c r="P182" i="11"/>
  <c r="O182" i="11"/>
  <c r="N182" i="11"/>
  <c r="M182" i="11"/>
  <c r="L182" i="11"/>
  <c r="K182" i="11"/>
  <c r="F182" i="11"/>
  <c r="E182" i="11"/>
  <c r="C182" i="11"/>
  <c r="B182" i="11"/>
  <c r="X181" i="11"/>
  <c r="W181" i="11"/>
  <c r="V181" i="11"/>
  <c r="U181" i="11"/>
  <c r="T181" i="11"/>
  <c r="S181" i="11"/>
  <c r="R181" i="11"/>
  <c r="Q181" i="11"/>
  <c r="P181" i="11"/>
  <c r="O181" i="11"/>
  <c r="N181" i="11"/>
  <c r="M181" i="11"/>
  <c r="L181" i="11"/>
  <c r="K181" i="11"/>
  <c r="F181" i="11"/>
  <c r="E181" i="11"/>
  <c r="C181" i="11"/>
  <c r="B181" i="11"/>
  <c r="X180" i="11"/>
  <c r="W180" i="11"/>
  <c r="V180" i="11"/>
  <c r="U180" i="11"/>
  <c r="T180" i="11"/>
  <c r="S180" i="11"/>
  <c r="R180" i="11"/>
  <c r="Q180" i="11"/>
  <c r="P180" i="11"/>
  <c r="O180" i="11"/>
  <c r="N180" i="11"/>
  <c r="M180" i="11"/>
  <c r="L180" i="11"/>
  <c r="K180" i="11"/>
  <c r="F180" i="11"/>
  <c r="E180" i="11"/>
  <c r="C180" i="11"/>
  <c r="B180" i="11"/>
  <c r="X179" i="11"/>
  <c r="W179" i="11"/>
  <c r="V179" i="11"/>
  <c r="U179" i="11"/>
  <c r="T179" i="11"/>
  <c r="S179" i="11"/>
  <c r="R179" i="11"/>
  <c r="Q179" i="11"/>
  <c r="P179" i="11"/>
  <c r="O179" i="11"/>
  <c r="N179" i="11"/>
  <c r="M179" i="11"/>
  <c r="L179" i="11"/>
  <c r="K179" i="11"/>
  <c r="F179" i="11"/>
  <c r="E179" i="11"/>
  <c r="C179" i="11"/>
  <c r="B179" i="11"/>
  <c r="X178" i="11"/>
  <c r="W178" i="11"/>
  <c r="V178" i="11"/>
  <c r="U178" i="11"/>
  <c r="T178" i="11"/>
  <c r="S178" i="11"/>
  <c r="R178" i="11"/>
  <c r="Q178" i="11"/>
  <c r="P178" i="11"/>
  <c r="O178" i="11"/>
  <c r="N178" i="11"/>
  <c r="M178" i="11"/>
  <c r="L178" i="11"/>
  <c r="K178" i="11"/>
  <c r="F178" i="11"/>
  <c r="E178" i="11"/>
  <c r="C178" i="11"/>
  <c r="B178" i="11"/>
  <c r="X177" i="11"/>
  <c r="W177" i="11"/>
  <c r="V177" i="11"/>
  <c r="U177" i="11"/>
  <c r="T177" i="11"/>
  <c r="S177" i="11"/>
  <c r="R177" i="11"/>
  <c r="Q177" i="11"/>
  <c r="P177" i="11"/>
  <c r="O177" i="11"/>
  <c r="N177" i="11"/>
  <c r="M177" i="11"/>
  <c r="L177" i="11"/>
  <c r="K177" i="11"/>
  <c r="F177" i="11"/>
  <c r="E177" i="11"/>
  <c r="C177" i="11"/>
  <c r="B177" i="11"/>
  <c r="X176" i="11"/>
  <c r="W176" i="11"/>
  <c r="V176" i="11"/>
  <c r="U176" i="11"/>
  <c r="T176" i="11"/>
  <c r="S176" i="11"/>
  <c r="R176" i="11"/>
  <c r="Q176" i="11"/>
  <c r="P176" i="11"/>
  <c r="O176" i="11"/>
  <c r="N176" i="11"/>
  <c r="M176" i="11"/>
  <c r="L176" i="11"/>
  <c r="K176" i="11"/>
  <c r="F176" i="11"/>
  <c r="E176" i="11"/>
  <c r="C176" i="11"/>
  <c r="B176" i="11"/>
  <c r="X175" i="11"/>
  <c r="W175" i="11"/>
  <c r="V175" i="11"/>
  <c r="U175" i="11"/>
  <c r="T175" i="11"/>
  <c r="S175" i="11"/>
  <c r="R175" i="11"/>
  <c r="Q175" i="11"/>
  <c r="P175" i="11"/>
  <c r="O175" i="11"/>
  <c r="N175" i="11"/>
  <c r="M175" i="11"/>
  <c r="L175" i="11"/>
  <c r="K175" i="11"/>
  <c r="F175" i="11"/>
  <c r="E175" i="11"/>
  <c r="C175" i="11"/>
  <c r="B175" i="11"/>
  <c r="X174" i="11"/>
  <c r="W174" i="11"/>
  <c r="V174" i="11"/>
  <c r="U174" i="11"/>
  <c r="T174" i="11"/>
  <c r="S174" i="11"/>
  <c r="R174" i="11"/>
  <c r="Q174" i="11"/>
  <c r="P174" i="11"/>
  <c r="O174" i="11"/>
  <c r="N174" i="11"/>
  <c r="M174" i="11"/>
  <c r="L174" i="11"/>
  <c r="K174" i="11"/>
  <c r="F174" i="11"/>
  <c r="E174" i="11"/>
  <c r="C174" i="11"/>
  <c r="B174" i="11"/>
  <c r="X173" i="11"/>
  <c r="W173" i="11"/>
  <c r="V173" i="11"/>
  <c r="U173" i="11"/>
  <c r="T173" i="11"/>
  <c r="S173" i="11"/>
  <c r="R173" i="11"/>
  <c r="Q173" i="11"/>
  <c r="P173" i="11"/>
  <c r="O173" i="11"/>
  <c r="N173" i="11"/>
  <c r="M173" i="11"/>
  <c r="L173" i="11"/>
  <c r="K173" i="11"/>
  <c r="F173" i="11"/>
  <c r="E173" i="11"/>
  <c r="C173" i="11"/>
  <c r="B173" i="11"/>
  <c r="X172" i="11"/>
  <c r="W172" i="11"/>
  <c r="V172" i="11"/>
  <c r="U172" i="11"/>
  <c r="T172" i="11"/>
  <c r="S172" i="11"/>
  <c r="R172" i="11"/>
  <c r="Q172" i="11"/>
  <c r="P172" i="11"/>
  <c r="O172" i="11"/>
  <c r="N172" i="11"/>
  <c r="M172" i="11"/>
  <c r="L172" i="11"/>
  <c r="K172" i="11"/>
  <c r="F172" i="11"/>
  <c r="E172" i="11"/>
  <c r="C172" i="11"/>
  <c r="B172" i="11"/>
  <c r="X171" i="11"/>
  <c r="W171" i="11"/>
  <c r="V171" i="11"/>
  <c r="U171" i="11"/>
  <c r="T171" i="11"/>
  <c r="S171" i="11"/>
  <c r="R171" i="11"/>
  <c r="Q171" i="11"/>
  <c r="P171" i="11"/>
  <c r="O171" i="11"/>
  <c r="N171" i="11"/>
  <c r="M171" i="11"/>
  <c r="L171" i="11"/>
  <c r="K171" i="11"/>
  <c r="F171" i="11"/>
  <c r="E171" i="11"/>
  <c r="C171" i="11"/>
  <c r="B171" i="11"/>
  <c r="X170" i="11"/>
  <c r="W170" i="11"/>
  <c r="V170" i="11"/>
  <c r="U170" i="11"/>
  <c r="T170" i="11"/>
  <c r="S170" i="11"/>
  <c r="R170" i="11"/>
  <c r="Q170" i="11"/>
  <c r="P170" i="11"/>
  <c r="O170" i="11"/>
  <c r="N170" i="11"/>
  <c r="M170" i="11"/>
  <c r="L170" i="11"/>
  <c r="K170" i="11"/>
  <c r="F170" i="11"/>
  <c r="E170" i="11"/>
  <c r="C170" i="11"/>
  <c r="B170" i="11"/>
  <c r="X169" i="11"/>
  <c r="W169" i="11"/>
  <c r="V169" i="11"/>
  <c r="U169" i="11"/>
  <c r="T169" i="11"/>
  <c r="S169" i="11"/>
  <c r="R169" i="11"/>
  <c r="Q169" i="11"/>
  <c r="P169" i="11"/>
  <c r="O169" i="11"/>
  <c r="N169" i="11"/>
  <c r="M169" i="11"/>
  <c r="L169" i="11"/>
  <c r="K169" i="11"/>
  <c r="F169" i="11"/>
  <c r="E169" i="11"/>
  <c r="C169" i="11"/>
  <c r="B169" i="11"/>
  <c r="X168" i="11"/>
  <c r="W168" i="11"/>
  <c r="V168" i="11"/>
  <c r="U168" i="11"/>
  <c r="T168" i="11"/>
  <c r="S168" i="11"/>
  <c r="R168" i="11"/>
  <c r="Q168" i="11"/>
  <c r="P168" i="11"/>
  <c r="O168" i="11"/>
  <c r="N168" i="11"/>
  <c r="M168" i="11"/>
  <c r="L168" i="11"/>
  <c r="K168" i="11"/>
  <c r="F168" i="11"/>
  <c r="E168" i="11"/>
  <c r="C168" i="11"/>
  <c r="B168" i="11"/>
  <c r="X167" i="11"/>
  <c r="W167" i="11"/>
  <c r="V167" i="11"/>
  <c r="U167" i="11"/>
  <c r="T167" i="11"/>
  <c r="S167" i="11"/>
  <c r="R167" i="11"/>
  <c r="Q167" i="11"/>
  <c r="P167" i="11"/>
  <c r="O167" i="11"/>
  <c r="N167" i="11"/>
  <c r="M167" i="11"/>
  <c r="L167" i="11"/>
  <c r="K167" i="11"/>
  <c r="F167" i="11"/>
  <c r="E167" i="11"/>
  <c r="C167" i="11"/>
  <c r="B167" i="11"/>
  <c r="X166" i="11"/>
  <c r="W166" i="11"/>
  <c r="V166" i="11"/>
  <c r="U166" i="11"/>
  <c r="T166" i="11"/>
  <c r="S166" i="11"/>
  <c r="R166" i="11"/>
  <c r="Q166" i="11"/>
  <c r="P166" i="11"/>
  <c r="O166" i="11"/>
  <c r="N166" i="11"/>
  <c r="M166" i="11"/>
  <c r="L166" i="11"/>
  <c r="K166" i="11"/>
  <c r="F166" i="11"/>
  <c r="E166" i="11"/>
  <c r="C166" i="11"/>
  <c r="B166" i="11"/>
  <c r="X165" i="11"/>
  <c r="W165" i="11"/>
  <c r="V165" i="11"/>
  <c r="U165" i="11"/>
  <c r="T165" i="11"/>
  <c r="S165" i="11"/>
  <c r="R165" i="11"/>
  <c r="Q165" i="11"/>
  <c r="P165" i="11"/>
  <c r="O165" i="11"/>
  <c r="N165" i="11"/>
  <c r="M165" i="11"/>
  <c r="L165" i="11"/>
  <c r="K165" i="11"/>
  <c r="F165" i="11"/>
  <c r="E165" i="11"/>
  <c r="C165" i="11"/>
  <c r="B165" i="11"/>
  <c r="X164" i="11"/>
  <c r="W164" i="11"/>
  <c r="V164" i="11"/>
  <c r="U164" i="11"/>
  <c r="T164" i="11"/>
  <c r="S164" i="11"/>
  <c r="R164" i="11"/>
  <c r="Q164" i="11"/>
  <c r="P164" i="11"/>
  <c r="O164" i="11"/>
  <c r="N164" i="11"/>
  <c r="M164" i="11"/>
  <c r="L164" i="11"/>
  <c r="K164" i="11"/>
  <c r="F164" i="11"/>
  <c r="E164" i="11"/>
  <c r="C164" i="11"/>
  <c r="B164" i="11"/>
  <c r="X163" i="11"/>
  <c r="W163" i="11"/>
  <c r="V163" i="11"/>
  <c r="U163" i="11"/>
  <c r="T163" i="11"/>
  <c r="S163" i="11"/>
  <c r="R163" i="11"/>
  <c r="Q163" i="11"/>
  <c r="P163" i="11"/>
  <c r="O163" i="11"/>
  <c r="N163" i="11"/>
  <c r="M163" i="11"/>
  <c r="L163" i="11"/>
  <c r="K163" i="11"/>
  <c r="F163" i="11"/>
  <c r="E163" i="11"/>
  <c r="C163" i="11"/>
  <c r="B163" i="11"/>
  <c r="X162" i="11"/>
  <c r="C162" i="11"/>
  <c r="B162" i="11"/>
  <c r="X161" i="11"/>
  <c r="C161" i="11"/>
  <c r="B161" i="11"/>
  <c r="X160" i="11"/>
  <c r="C160" i="11"/>
  <c r="B160" i="11"/>
  <c r="X159" i="11"/>
  <c r="C159" i="11"/>
  <c r="B159" i="11"/>
  <c r="X158" i="11"/>
  <c r="C158" i="11"/>
  <c r="B158" i="11"/>
  <c r="X157" i="11"/>
  <c r="C157" i="11"/>
  <c r="B157" i="11"/>
  <c r="X156" i="11"/>
  <c r="C156" i="11"/>
  <c r="B156" i="11"/>
  <c r="X155" i="11"/>
  <c r="C155" i="11"/>
  <c r="B155" i="11"/>
  <c r="X154" i="11"/>
  <c r="C154" i="11"/>
  <c r="B154" i="11"/>
  <c r="X153" i="11"/>
  <c r="C153" i="11"/>
  <c r="B153" i="11"/>
  <c r="X152" i="11"/>
  <c r="C152" i="11"/>
  <c r="B152" i="11"/>
  <c r="X151" i="11"/>
  <c r="C151" i="11"/>
  <c r="B151" i="11"/>
  <c r="X150" i="11"/>
  <c r="C150" i="11"/>
  <c r="B150" i="11"/>
  <c r="X149" i="11"/>
  <c r="C149" i="11"/>
  <c r="B149" i="11"/>
  <c r="X148" i="11"/>
  <c r="C148" i="11"/>
  <c r="B148" i="11"/>
  <c r="X147" i="11"/>
  <c r="C147" i="11"/>
  <c r="B147" i="11"/>
  <c r="X146" i="11"/>
  <c r="C146" i="11"/>
  <c r="B146" i="11"/>
  <c r="X145" i="11"/>
  <c r="C145" i="11"/>
  <c r="B145" i="11"/>
  <c r="X144" i="11"/>
  <c r="C144" i="11"/>
  <c r="B144" i="11"/>
  <c r="X143" i="11"/>
  <c r="C143" i="11"/>
  <c r="B143" i="11"/>
  <c r="X142" i="11"/>
  <c r="C142" i="11"/>
  <c r="B142" i="11"/>
  <c r="X141" i="11"/>
  <c r="C141" i="11"/>
  <c r="B141" i="11"/>
  <c r="X140" i="11"/>
  <c r="C140" i="11"/>
  <c r="B140" i="11"/>
  <c r="X139" i="11"/>
  <c r="C139" i="11"/>
  <c r="B139" i="11"/>
  <c r="X138" i="11"/>
  <c r="C138" i="11"/>
  <c r="B138" i="11"/>
  <c r="X137" i="11"/>
  <c r="C137" i="11"/>
  <c r="B137" i="11"/>
  <c r="X136" i="11"/>
  <c r="C136" i="11"/>
  <c r="B136" i="11"/>
  <c r="X135" i="11"/>
  <c r="C135" i="11"/>
  <c r="B135" i="11"/>
  <c r="X134" i="11"/>
  <c r="C134" i="11"/>
  <c r="B134" i="11"/>
  <c r="X133" i="11"/>
  <c r="C133" i="11"/>
  <c r="B133" i="11"/>
  <c r="X132" i="11"/>
  <c r="C132" i="11"/>
  <c r="B132" i="11"/>
  <c r="X131" i="11"/>
  <c r="C131" i="11"/>
  <c r="B131" i="11"/>
  <c r="X130" i="11"/>
  <c r="C130" i="11"/>
  <c r="B130" i="11"/>
  <c r="X129" i="11"/>
  <c r="C129" i="11"/>
  <c r="B129" i="11"/>
  <c r="X128" i="11"/>
  <c r="C128" i="11"/>
  <c r="B128" i="11"/>
  <c r="X127" i="11"/>
  <c r="C127" i="11"/>
  <c r="B127" i="11"/>
  <c r="X126" i="11"/>
  <c r="C126" i="11"/>
  <c r="B126" i="11"/>
  <c r="X125" i="11"/>
  <c r="C125" i="11"/>
  <c r="B125" i="11"/>
  <c r="X124" i="11"/>
  <c r="C124" i="11"/>
  <c r="B124" i="11"/>
  <c r="X123" i="11"/>
  <c r="C123" i="11"/>
  <c r="B123" i="11"/>
  <c r="X122" i="11"/>
  <c r="C122" i="11"/>
  <c r="B122" i="11"/>
  <c r="X121" i="11"/>
  <c r="C121" i="11"/>
  <c r="B121" i="11"/>
  <c r="X120" i="11"/>
  <c r="C120" i="11"/>
  <c r="B120" i="11"/>
  <c r="X119" i="11"/>
  <c r="C119" i="11"/>
  <c r="B119" i="11"/>
  <c r="X118" i="11"/>
  <c r="C118" i="11"/>
  <c r="B118" i="11"/>
  <c r="X117" i="11"/>
  <c r="C117" i="11"/>
  <c r="B117" i="11"/>
  <c r="X116" i="11"/>
  <c r="C116" i="11"/>
  <c r="B116" i="11"/>
  <c r="X115" i="11"/>
  <c r="C115" i="11"/>
  <c r="B115" i="11"/>
  <c r="X114" i="11"/>
  <c r="C114" i="11"/>
  <c r="B114" i="11"/>
  <c r="X113" i="11"/>
  <c r="C113" i="11"/>
  <c r="B113" i="11"/>
  <c r="X112" i="11"/>
  <c r="C112" i="11"/>
  <c r="B112" i="11"/>
  <c r="X111" i="11"/>
  <c r="C111" i="11"/>
  <c r="B111" i="11"/>
  <c r="X110" i="11"/>
  <c r="C110" i="11"/>
  <c r="B110" i="11"/>
  <c r="X109" i="11"/>
  <c r="C109" i="11"/>
  <c r="B109" i="11"/>
  <c r="X108" i="11"/>
  <c r="C108" i="11"/>
  <c r="B108" i="11"/>
  <c r="X107" i="11"/>
  <c r="C107" i="11"/>
  <c r="B107" i="11"/>
  <c r="X106" i="11"/>
  <c r="C106" i="11"/>
  <c r="B106" i="11"/>
  <c r="X105" i="11"/>
  <c r="C105" i="11"/>
  <c r="B105" i="11"/>
  <c r="X104" i="11"/>
  <c r="C104" i="11"/>
  <c r="B104" i="11"/>
  <c r="X103" i="11"/>
  <c r="C103" i="11"/>
  <c r="B103" i="11"/>
  <c r="X102" i="11"/>
  <c r="C102" i="11"/>
  <c r="B102" i="11"/>
  <c r="X101" i="11"/>
  <c r="C101" i="11"/>
  <c r="B101" i="11"/>
  <c r="X100" i="11"/>
  <c r="C100" i="11"/>
  <c r="B100" i="11"/>
  <c r="X99" i="11"/>
  <c r="C99" i="11"/>
  <c r="B99" i="11"/>
  <c r="X98" i="11"/>
  <c r="C98" i="11"/>
  <c r="B98" i="11"/>
  <c r="X97" i="11"/>
  <c r="C97" i="11"/>
  <c r="B97" i="11"/>
  <c r="X96" i="11"/>
  <c r="W96" i="11"/>
  <c r="C96" i="11"/>
  <c r="B96" i="11"/>
  <c r="X95" i="11"/>
  <c r="W95" i="11"/>
  <c r="C95" i="11"/>
  <c r="B95" i="11"/>
  <c r="X94" i="11"/>
  <c r="W94" i="11"/>
  <c r="V94" i="11"/>
  <c r="C94" i="11"/>
  <c r="B94" i="11"/>
  <c r="X93" i="11"/>
  <c r="W93" i="11"/>
  <c r="V93" i="11"/>
  <c r="C93" i="11"/>
  <c r="B93" i="11"/>
  <c r="X92" i="11"/>
  <c r="W92" i="11"/>
  <c r="V92" i="11"/>
  <c r="C92" i="11"/>
  <c r="B92" i="11"/>
  <c r="X91" i="11"/>
  <c r="W91" i="11"/>
  <c r="V91" i="11"/>
  <c r="C91" i="11"/>
  <c r="B91" i="11"/>
  <c r="X90" i="11"/>
  <c r="W90" i="11"/>
  <c r="V90" i="11"/>
  <c r="C90" i="11"/>
  <c r="B90" i="11"/>
  <c r="X89" i="11"/>
  <c r="W89" i="11"/>
  <c r="V89" i="11"/>
  <c r="C89" i="11"/>
  <c r="B89" i="11"/>
  <c r="X88" i="11"/>
  <c r="W88" i="11"/>
  <c r="V88" i="11"/>
  <c r="C88" i="11"/>
  <c r="B88" i="11"/>
  <c r="X87" i="11"/>
  <c r="W87" i="11"/>
  <c r="V87" i="11"/>
  <c r="C87" i="11"/>
  <c r="B87" i="11"/>
  <c r="X86" i="11"/>
  <c r="W86" i="11"/>
  <c r="V86" i="11"/>
  <c r="C86" i="11"/>
  <c r="B86" i="11"/>
  <c r="X85" i="11"/>
  <c r="W85" i="11"/>
  <c r="V85" i="11"/>
  <c r="C85" i="11"/>
  <c r="B85" i="11"/>
  <c r="X84" i="11"/>
  <c r="W84" i="11"/>
  <c r="V84" i="11"/>
  <c r="C84" i="11"/>
  <c r="B84" i="11"/>
  <c r="X83" i="11"/>
  <c r="W83" i="11"/>
  <c r="V83" i="11"/>
  <c r="C83" i="11"/>
  <c r="B83" i="11"/>
  <c r="X82" i="11"/>
  <c r="W82" i="11"/>
  <c r="V82" i="11"/>
  <c r="C82" i="11"/>
  <c r="B82" i="11"/>
  <c r="X81" i="11"/>
  <c r="W81" i="11"/>
  <c r="V81" i="11"/>
  <c r="C81" i="11"/>
  <c r="B81" i="11"/>
  <c r="X80" i="11"/>
  <c r="W80" i="11"/>
  <c r="V80" i="11"/>
  <c r="C80" i="11"/>
  <c r="B80" i="11"/>
  <c r="X79" i="11"/>
  <c r="W79" i="11"/>
  <c r="V79" i="11"/>
  <c r="C79" i="11"/>
  <c r="B79" i="11"/>
  <c r="X78" i="11"/>
  <c r="W78" i="11"/>
  <c r="V78" i="11"/>
  <c r="C78" i="11"/>
  <c r="B78" i="11"/>
  <c r="X77" i="11"/>
  <c r="W77" i="11"/>
  <c r="V77" i="11"/>
  <c r="L77" i="11"/>
  <c r="C77" i="11"/>
  <c r="B77" i="11"/>
  <c r="X76" i="11"/>
  <c r="W76" i="11"/>
  <c r="V76" i="11"/>
  <c r="L76" i="11"/>
  <c r="C76" i="11"/>
  <c r="B76" i="11"/>
  <c r="X75" i="11"/>
  <c r="W75" i="11"/>
  <c r="V75" i="11"/>
  <c r="L75" i="11"/>
  <c r="C75" i="11"/>
  <c r="B75" i="11"/>
  <c r="X74" i="11"/>
  <c r="W74" i="11"/>
  <c r="V74" i="11"/>
  <c r="L74" i="11"/>
  <c r="C74" i="11"/>
  <c r="B74" i="11"/>
  <c r="X73" i="11"/>
  <c r="W73" i="11"/>
  <c r="V73" i="11"/>
  <c r="L73" i="11"/>
  <c r="C73" i="11"/>
  <c r="B73" i="11"/>
  <c r="X72" i="11"/>
  <c r="W72" i="11"/>
  <c r="V72" i="11"/>
  <c r="L72" i="11"/>
  <c r="C72" i="11"/>
  <c r="B72" i="11"/>
  <c r="X71" i="11"/>
  <c r="W71" i="11"/>
  <c r="V71" i="11"/>
  <c r="L71" i="11"/>
  <c r="C71" i="11"/>
  <c r="B71" i="11"/>
  <c r="X70" i="11"/>
  <c r="W70" i="11"/>
  <c r="V70" i="11"/>
  <c r="L70" i="11"/>
  <c r="C70" i="11"/>
  <c r="B70" i="11"/>
  <c r="X69" i="11"/>
  <c r="W69" i="11"/>
  <c r="V69" i="11"/>
  <c r="L69" i="11"/>
  <c r="C69" i="11"/>
  <c r="B69" i="11"/>
  <c r="X68" i="11"/>
  <c r="W68" i="11"/>
  <c r="V68" i="11"/>
  <c r="L68" i="11"/>
  <c r="C68" i="11"/>
  <c r="B68" i="11"/>
  <c r="X67" i="11"/>
  <c r="W67" i="11"/>
  <c r="V67" i="11"/>
  <c r="L67" i="11"/>
  <c r="C67" i="11"/>
  <c r="B67" i="11"/>
  <c r="X66" i="11"/>
  <c r="W66" i="11"/>
  <c r="V66" i="11"/>
  <c r="L66" i="11"/>
  <c r="C66" i="11"/>
  <c r="B66" i="11"/>
  <c r="X65" i="11"/>
  <c r="W65" i="11"/>
  <c r="V65" i="11"/>
  <c r="L65" i="11"/>
  <c r="C65" i="11"/>
  <c r="B65" i="11"/>
  <c r="X64" i="11"/>
  <c r="W64" i="11"/>
  <c r="V64" i="11"/>
  <c r="L64" i="11"/>
  <c r="C64" i="11"/>
  <c r="B64" i="11"/>
  <c r="X63" i="11"/>
  <c r="W63" i="11"/>
  <c r="V63" i="11"/>
  <c r="L63" i="11"/>
  <c r="C63" i="11"/>
  <c r="B63" i="11"/>
  <c r="X62" i="11"/>
  <c r="W62" i="11"/>
  <c r="V62" i="11"/>
  <c r="L62" i="11"/>
  <c r="C62" i="11"/>
  <c r="B62" i="11"/>
  <c r="X61" i="11"/>
  <c r="W61" i="11"/>
  <c r="V61" i="11"/>
  <c r="S61" i="11"/>
  <c r="L61" i="11"/>
  <c r="C61" i="11"/>
  <c r="B61" i="11"/>
  <c r="X60" i="11"/>
  <c r="W60" i="11"/>
  <c r="V60" i="11"/>
  <c r="S60" i="11"/>
  <c r="L60" i="11"/>
  <c r="C60" i="11"/>
  <c r="B60" i="11"/>
  <c r="X59" i="11"/>
  <c r="W59" i="11"/>
  <c r="V59" i="11"/>
  <c r="S59" i="11"/>
  <c r="L59" i="11"/>
  <c r="C59" i="11"/>
  <c r="B59" i="11"/>
  <c r="X58" i="11"/>
  <c r="W58" i="11"/>
  <c r="V58" i="11"/>
  <c r="S58" i="11"/>
  <c r="L58" i="11"/>
  <c r="C58" i="11"/>
  <c r="B58" i="11"/>
  <c r="X57" i="11"/>
  <c r="W57" i="11"/>
  <c r="V57" i="11"/>
  <c r="S57" i="11"/>
  <c r="L57" i="11"/>
  <c r="C57" i="11"/>
  <c r="B57" i="11"/>
  <c r="X56" i="11"/>
  <c r="W56" i="11"/>
  <c r="V56" i="11"/>
  <c r="S56" i="11"/>
  <c r="L56" i="11"/>
  <c r="C56" i="11"/>
  <c r="B56" i="11"/>
  <c r="X55" i="11"/>
  <c r="W55" i="11"/>
  <c r="V55" i="11"/>
  <c r="S55" i="11"/>
  <c r="L55" i="11"/>
  <c r="C55" i="11"/>
  <c r="B55" i="11"/>
  <c r="X54" i="11"/>
  <c r="W54" i="11"/>
  <c r="V54" i="11"/>
  <c r="S54" i="11"/>
  <c r="L54" i="11"/>
  <c r="C54" i="11"/>
  <c r="B54" i="11"/>
  <c r="X53" i="11"/>
  <c r="W53" i="11"/>
  <c r="V53" i="11"/>
  <c r="S53" i="11"/>
  <c r="L53" i="11"/>
  <c r="C53" i="11"/>
  <c r="B53" i="11"/>
  <c r="X52" i="11"/>
  <c r="W52" i="11"/>
  <c r="V52" i="11"/>
  <c r="S52" i="11"/>
  <c r="L52" i="11"/>
  <c r="C52" i="11"/>
  <c r="B52" i="11"/>
  <c r="X51" i="11"/>
  <c r="W51" i="11"/>
  <c r="V51" i="11"/>
  <c r="S51" i="11"/>
  <c r="L51" i="11"/>
  <c r="C51" i="11"/>
  <c r="B51" i="11"/>
  <c r="X50" i="11"/>
  <c r="W50" i="11"/>
  <c r="V50" i="11"/>
  <c r="S50" i="11"/>
  <c r="L50" i="11"/>
  <c r="C50" i="11"/>
  <c r="B50" i="11"/>
  <c r="X49" i="11"/>
  <c r="W49" i="11"/>
  <c r="V49" i="11"/>
  <c r="S49" i="11"/>
  <c r="L49" i="11"/>
  <c r="C49" i="11"/>
  <c r="B49" i="11"/>
  <c r="X48" i="11"/>
  <c r="W48" i="11"/>
  <c r="V48" i="11"/>
  <c r="S48" i="11"/>
  <c r="L48" i="11"/>
  <c r="C48" i="11"/>
  <c r="B48" i="11"/>
  <c r="X47" i="11"/>
  <c r="W47" i="11"/>
  <c r="V47" i="11"/>
  <c r="S47" i="11"/>
  <c r="L47" i="11"/>
  <c r="C47" i="11"/>
  <c r="B47" i="11"/>
  <c r="X46" i="11"/>
  <c r="W46" i="11"/>
  <c r="V46" i="11"/>
  <c r="S46" i="11"/>
  <c r="L46" i="11"/>
  <c r="C46" i="11"/>
  <c r="B46" i="11"/>
  <c r="X45" i="11"/>
  <c r="W45" i="11"/>
  <c r="V45" i="11"/>
  <c r="S45" i="11"/>
  <c r="L45" i="11"/>
  <c r="C45" i="11"/>
  <c r="B45" i="11"/>
  <c r="X44" i="11"/>
  <c r="W44" i="11"/>
  <c r="V44" i="11"/>
  <c r="S44" i="11"/>
  <c r="L44" i="11"/>
  <c r="C44" i="11"/>
  <c r="B44" i="11"/>
  <c r="X43" i="11"/>
  <c r="W43" i="11"/>
  <c r="V43" i="11"/>
  <c r="S43" i="11"/>
  <c r="L43" i="11"/>
  <c r="C43" i="11"/>
  <c r="B43" i="11"/>
  <c r="X42" i="11"/>
  <c r="W42" i="11"/>
  <c r="V42" i="11"/>
  <c r="S42" i="11"/>
  <c r="L42" i="11"/>
  <c r="C42" i="11"/>
  <c r="B42" i="11"/>
  <c r="X41" i="11"/>
  <c r="W41" i="11"/>
  <c r="V41" i="11"/>
  <c r="S41" i="11"/>
  <c r="L41" i="11"/>
  <c r="C41" i="11"/>
  <c r="B41" i="11"/>
  <c r="X40" i="11"/>
  <c r="W40" i="11"/>
  <c r="V40" i="11"/>
  <c r="S40" i="11"/>
  <c r="L40" i="11"/>
  <c r="C40" i="11"/>
  <c r="B40" i="11"/>
  <c r="X39" i="11"/>
  <c r="W39" i="11"/>
  <c r="V39" i="11"/>
  <c r="S39" i="11"/>
  <c r="L39" i="11"/>
  <c r="C39" i="11"/>
  <c r="B39" i="11"/>
  <c r="X38" i="11"/>
  <c r="W38" i="11"/>
  <c r="V38" i="11"/>
  <c r="S38" i="11"/>
  <c r="L38" i="11"/>
  <c r="C38" i="11"/>
  <c r="B38" i="11"/>
  <c r="X37" i="11"/>
  <c r="W37" i="11"/>
  <c r="V37" i="11"/>
  <c r="S37" i="11"/>
  <c r="L37" i="11"/>
  <c r="C37" i="11"/>
  <c r="B37" i="11"/>
  <c r="X36" i="11"/>
  <c r="W36" i="11"/>
  <c r="V36" i="11"/>
  <c r="S36" i="11"/>
  <c r="L36" i="11"/>
  <c r="C36" i="11"/>
  <c r="B36" i="11"/>
  <c r="X35" i="11"/>
  <c r="W35" i="11"/>
  <c r="V35" i="11"/>
  <c r="S35" i="11"/>
  <c r="L35" i="11"/>
  <c r="C35" i="11"/>
  <c r="B35" i="11"/>
  <c r="X34" i="11"/>
  <c r="W34" i="11"/>
  <c r="V34" i="11"/>
  <c r="S34" i="11"/>
  <c r="L34" i="11"/>
  <c r="C34" i="11"/>
  <c r="B34" i="11"/>
  <c r="X33" i="11"/>
  <c r="W33" i="11"/>
  <c r="V33" i="11"/>
  <c r="T33" i="11"/>
  <c r="S33" i="11"/>
  <c r="L33" i="11"/>
  <c r="C33" i="11"/>
  <c r="B33" i="11"/>
  <c r="X32" i="11"/>
  <c r="W32" i="11"/>
  <c r="V32" i="11"/>
  <c r="T32" i="11"/>
  <c r="S32" i="11"/>
  <c r="L32" i="11"/>
  <c r="C32" i="11"/>
  <c r="B32" i="11"/>
  <c r="X31" i="11"/>
  <c r="W31" i="11"/>
  <c r="V31" i="11"/>
  <c r="T31" i="11"/>
  <c r="S31" i="11"/>
  <c r="L31" i="11"/>
  <c r="C31" i="11"/>
  <c r="B31" i="11"/>
  <c r="X30" i="11"/>
  <c r="W30" i="11"/>
  <c r="V30" i="11"/>
  <c r="T30" i="11"/>
  <c r="S30" i="11"/>
  <c r="L30" i="11"/>
  <c r="C30" i="11"/>
  <c r="B30" i="11"/>
  <c r="X29" i="11"/>
  <c r="W29" i="11"/>
  <c r="V29" i="11"/>
  <c r="T29" i="11"/>
  <c r="S29" i="11"/>
  <c r="L29" i="11"/>
  <c r="C29" i="11"/>
  <c r="B29" i="11"/>
  <c r="X28" i="11"/>
  <c r="W28" i="11"/>
  <c r="V28" i="11"/>
  <c r="T28" i="11"/>
  <c r="S28" i="11"/>
  <c r="L28" i="11"/>
  <c r="C28" i="11"/>
  <c r="B28" i="11"/>
  <c r="X27" i="11"/>
  <c r="W27" i="11"/>
  <c r="V27" i="11"/>
  <c r="T27" i="11"/>
  <c r="S27" i="11"/>
  <c r="L27" i="11"/>
  <c r="C27" i="11"/>
  <c r="B27" i="11"/>
  <c r="X26" i="11"/>
  <c r="W26" i="11"/>
  <c r="V26" i="11"/>
  <c r="T26" i="11"/>
  <c r="S26" i="11"/>
  <c r="L26" i="11"/>
  <c r="C26" i="11"/>
  <c r="B26" i="11"/>
  <c r="X25" i="11"/>
  <c r="W25" i="11"/>
  <c r="V25" i="11"/>
  <c r="T25" i="11"/>
  <c r="S25" i="11"/>
  <c r="R25" i="11"/>
  <c r="Q25" i="11"/>
  <c r="N25" i="11"/>
  <c r="M25" i="11"/>
  <c r="L25" i="11"/>
  <c r="K25" i="11"/>
  <c r="C25" i="11"/>
  <c r="B25" i="11"/>
  <c r="U20" i="11"/>
  <c r="P20" i="11"/>
  <c r="I20" i="11"/>
  <c r="N20" i="11" s="1"/>
  <c r="Z20" i="11" s="1"/>
  <c r="F20" i="11"/>
  <c r="P19" i="11"/>
  <c r="I19" i="11"/>
  <c r="N19" i="11" s="1"/>
  <c r="Z19" i="11" s="1"/>
  <c r="F19" i="11"/>
  <c r="P18" i="11"/>
  <c r="I18" i="11"/>
  <c r="N18" i="11" s="1"/>
  <c r="Z18" i="11" s="1"/>
  <c r="F18" i="11"/>
  <c r="G18" i="11" s="1"/>
  <c r="H18" i="11" s="1"/>
  <c r="P17" i="11"/>
  <c r="I17" i="11"/>
  <c r="N17" i="11" s="1"/>
  <c r="Z17" i="11" s="1"/>
  <c r="F17" i="11"/>
  <c r="G17" i="11" s="1"/>
  <c r="H17" i="11" s="1"/>
  <c r="P16" i="11"/>
  <c r="I16" i="11"/>
  <c r="N16" i="11" s="1"/>
  <c r="Z16" i="11" s="1"/>
  <c r="F16" i="11"/>
  <c r="G16" i="11" s="1"/>
  <c r="H16" i="11" s="1"/>
  <c r="P15" i="11"/>
  <c r="I15" i="11"/>
  <c r="N15" i="11" s="1"/>
  <c r="Z15" i="11" s="1"/>
  <c r="F15" i="11"/>
  <c r="G15" i="11" s="1"/>
  <c r="H15" i="11" s="1"/>
  <c r="P14" i="11"/>
  <c r="I14" i="11"/>
  <c r="N14" i="11" s="1"/>
  <c r="Z14" i="11" s="1"/>
  <c r="F14" i="11"/>
  <c r="P13" i="11"/>
  <c r="I13" i="11"/>
  <c r="N13" i="11" s="1"/>
  <c r="Z13" i="11" s="1"/>
  <c r="F13" i="11"/>
  <c r="O13" i="11" s="1"/>
  <c r="P12" i="11"/>
  <c r="I12" i="11"/>
  <c r="N12" i="11" s="1"/>
  <c r="Z12" i="11" s="1"/>
  <c r="F12" i="11"/>
  <c r="P11" i="11"/>
  <c r="I11" i="11"/>
  <c r="N11" i="11" s="1"/>
  <c r="Z11" i="11" s="1"/>
  <c r="F11" i="11"/>
  <c r="O11" i="11" s="1"/>
  <c r="P10" i="11"/>
  <c r="I10" i="11"/>
  <c r="N10" i="11" s="1"/>
  <c r="Z10" i="11" s="1"/>
  <c r="F10" i="11"/>
  <c r="V10" i="11" s="1"/>
  <c r="P9" i="11"/>
  <c r="I9" i="11"/>
  <c r="N9" i="11" s="1"/>
  <c r="Z9" i="11" s="1"/>
  <c r="F9" i="11"/>
  <c r="G9" i="11" s="1"/>
  <c r="O9" i="11" s="1"/>
  <c r="P8" i="11"/>
  <c r="I8" i="11"/>
  <c r="N8" i="11" s="1"/>
  <c r="Z8" i="11" s="1"/>
  <c r="F8" i="11"/>
  <c r="G8" i="11" s="1"/>
  <c r="H8" i="11" s="1"/>
  <c r="P7" i="11"/>
  <c r="I7" i="11"/>
  <c r="N7" i="11" s="1"/>
  <c r="F7" i="11"/>
  <c r="G7" i="11" s="1"/>
  <c r="H7" i="11" s="1"/>
  <c r="B5" i="11"/>
  <c r="AG19" i="11" s="1"/>
  <c r="B4" i="11"/>
  <c r="B3" i="11"/>
  <c r="L137" i="15"/>
  <c r="K137" i="15"/>
  <c r="J137" i="15"/>
  <c r="I137" i="15"/>
  <c r="H137" i="15"/>
  <c r="G137" i="15"/>
  <c r="F137" i="15"/>
  <c r="L136" i="15"/>
  <c r="K136" i="15"/>
  <c r="J136" i="15"/>
  <c r="I136" i="15"/>
  <c r="H136" i="15"/>
  <c r="G136" i="15"/>
  <c r="F136" i="15"/>
  <c r="L135" i="15"/>
  <c r="K135" i="15"/>
  <c r="J135" i="15"/>
  <c r="I135" i="15"/>
  <c r="H135" i="15"/>
  <c r="G135" i="15"/>
  <c r="F135" i="15"/>
  <c r="L134" i="15"/>
  <c r="K134" i="15"/>
  <c r="J134" i="15"/>
  <c r="I134" i="15"/>
  <c r="H134" i="15"/>
  <c r="G134" i="15"/>
  <c r="F134" i="15"/>
  <c r="L133" i="15"/>
  <c r="K133" i="15"/>
  <c r="J133" i="15"/>
  <c r="I133" i="15"/>
  <c r="H133" i="15"/>
  <c r="G133" i="15"/>
  <c r="F133" i="15"/>
  <c r="L132" i="15"/>
  <c r="K132" i="15"/>
  <c r="J132" i="15"/>
  <c r="I132" i="15"/>
  <c r="H132" i="15"/>
  <c r="G132" i="15"/>
  <c r="F132" i="15"/>
  <c r="L131" i="15"/>
  <c r="K131" i="15"/>
  <c r="J131" i="15"/>
  <c r="I131" i="15"/>
  <c r="H131" i="15"/>
  <c r="G131" i="15"/>
  <c r="F131" i="15"/>
  <c r="L130" i="15"/>
  <c r="K130" i="15"/>
  <c r="J130" i="15"/>
  <c r="I130" i="15"/>
  <c r="H130" i="15"/>
  <c r="G130" i="15"/>
  <c r="F130" i="15"/>
  <c r="L129" i="15"/>
  <c r="K129" i="15"/>
  <c r="J129" i="15"/>
  <c r="I129" i="15"/>
  <c r="H129" i="15"/>
  <c r="G129" i="15"/>
  <c r="F129" i="15"/>
  <c r="L128" i="15"/>
  <c r="K128" i="15"/>
  <c r="J128" i="15"/>
  <c r="I128" i="15"/>
  <c r="H128" i="15"/>
  <c r="G128" i="15"/>
  <c r="F128" i="15"/>
  <c r="L127" i="15"/>
  <c r="K127" i="15"/>
  <c r="J127" i="15"/>
  <c r="I127" i="15"/>
  <c r="H127" i="15"/>
  <c r="G127" i="15"/>
  <c r="F127" i="15"/>
  <c r="L126" i="15"/>
  <c r="K126" i="15"/>
  <c r="J126" i="15"/>
  <c r="I126" i="15"/>
  <c r="H126" i="15"/>
  <c r="G126" i="15"/>
  <c r="F126" i="15"/>
  <c r="L125" i="15"/>
  <c r="K125" i="15"/>
  <c r="J125" i="15"/>
  <c r="I125" i="15"/>
  <c r="H125" i="15"/>
  <c r="G125" i="15"/>
  <c r="F125" i="15"/>
  <c r="L124" i="15"/>
  <c r="K124" i="15"/>
  <c r="J124" i="15"/>
  <c r="I124" i="15"/>
  <c r="H124" i="15"/>
  <c r="G124" i="15"/>
  <c r="F124" i="15"/>
  <c r="L123" i="15"/>
  <c r="K123" i="15"/>
  <c r="J123" i="15"/>
  <c r="I123" i="15"/>
  <c r="H123" i="15"/>
  <c r="G123" i="15"/>
  <c r="F123" i="15"/>
  <c r="L122" i="15"/>
  <c r="K122" i="15"/>
  <c r="J122" i="15"/>
  <c r="I122" i="15"/>
  <c r="H122" i="15"/>
  <c r="G122" i="15"/>
  <c r="F122" i="15"/>
  <c r="L121" i="15"/>
  <c r="K121" i="15"/>
  <c r="J121" i="15"/>
  <c r="I121" i="15"/>
  <c r="H121" i="15"/>
  <c r="G121" i="15"/>
  <c r="F121" i="15"/>
  <c r="L120" i="15"/>
  <c r="K120" i="15"/>
  <c r="J120" i="15"/>
  <c r="I120" i="15"/>
  <c r="H120" i="15"/>
  <c r="G120" i="15"/>
  <c r="F120" i="15"/>
  <c r="L119" i="15"/>
  <c r="K119" i="15"/>
  <c r="J119" i="15"/>
  <c r="I119" i="15"/>
  <c r="H119" i="15"/>
  <c r="G119" i="15"/>
  <c r="F119" i="15"/>
  <c r="L118" i="15"/>
  <c r="K118" i="15"/>
  <c r="J118" i="15"/>
  <c r="I118" i="15"/>
  <c r="H118" i="15"/>
  <c r="G118" i="15"/>
  <c r="F118" i="15"/>
  <c r="L117" i="15"/>
  <c r="K117" i="15"/>
  <c r="J117" i="15"/>
  <c r="I117" i="15"/>
  <c r="H117" i="15"/>
  <c r="G117" i="15"/>
  <c r="F117" i="15"/>
  <c r="L116" i="15"/>
  <c r="K116" i="15"/>
  <c r="J116" i="15"/>
  <c r="I116" i="15"/>
  <c r="H116" i="15"/>
  <c r="G116" i="15"/>
  <c r="F116" i="15"/>
  <c r="L115" i="15"/>
  <c r="K115" i="15"/>
  <c r="J115" i="15"/>
  <c r="I115" i="15"/>
  <c r="H115" i="15"/>
  <c r="G115" i="15"/>
  <c r="F115" i="15"/>
  <c r="L114" i="15"/>
  <c r="K114" i="15"/>
  <c r="J114" i="15"/>
  <c r="I114" i="15"/>
  <c r="H114" i="15"/>
  <c r="G114" i="15"/>
  <c r="F114" i="15"/>
  <c r="L113" i="15"/>
  <c r="K113" i="15"/>
  <c r="J113" i="15"/>
  <c r="I113" i="15"/>
  <c r="H113" i="15"/>
  <c r="G113" i="15"/>
  <c r="F113" i="15"/>
  <c r="L112" i="15"/>
  <c r="K112" i="15"/>
  <c r="J112" i="15"/>
  <c r="I112" i="15"/>
  <c r="H112" i="15"/>
  <c r="G112" i="15"/>
  <c r="F112" i="15"/>
  <c r="L111" i="15"/>
  <c r="K111" i="15"/>
  <c r="J111" i="15"/>
  <c r="I111" i="15"/>
  <c r="H111" i="15"/>
  <c r="G111" i="15"/>
  <c r="F111" i="15"/>
  <c r="L110" i="15"/>
  <c r="K110" i="15"/>
  <c r="J110" i="15"/>
  <c r="I110" i="15"/>
  <c r="H110" i="15"/>
  <c r="G110" i="15"/>
  <c r="F110" i="15"/>
  <c r="L109" i="15"/>
  <c r="K109" i="15"/>
  <c r="J109" i="15"/>
  <c r="I109" i="15"/>
  <c r="H109" i="15"/>
  <c r="G109" i="15"/>
  <c r="F109" i="15"/>
  <c r="L108" i="15"/>
  <c r="K108" i="15"/>
  <c r="J108" i="15"/>
  <c r="I108" i="15"/>
  <c r="H108" i="15"/>
  <c r="G108" i="15"/>
  <c r="F108" i="15"/>
  <c r="L107" i="15"/>
  <c r="K107" i="15"/>
  <c r="J107" i="15"/>
  <c r="I107" i="15"/>
  <c r="H107" i="15"/>
  <c r="G107" i="15"/>
  <c r="F107" i="15"/>
  <c r="L106" i="15"/>
  <c r="K106" i="15"/>
  <c r="J106" i="15"/>
  <c r="I106" i="15"/>
  <c r="H106" i="15"/>
  <c r="G106" i="15"/>
  <c r="F106" i="15"/>
  <c r="L105" i="15"/>
  <c r="K105" i="15"/>
  <c r="J105" i="15"/>
  <c r="I105" i="15"/>
  <c r="H105" i="15"/>
  <c r="G105" i="15"/>
  <c r="F105" i="15"/>
  <c r="L104" i="15"/>
  <c r="K104" i="15"/>
  <c r="J104" i="15"/>
  <c r="I104" i="15"/>
  <c r="H104" i="15"/>
  <c r="G104" i="15"/>
  <c r="F104" i="15"/>
  <c r="L103" i="15"/>
  <c r="K103" i="15"/>
  <c r="J103" i="15"/>
  <c r="I103" i="15"/>
  <c r="H103" i="15"/>
  <c r="G103" i="15"/>
  <c r="F103" i="15"/>
  <c r="L102" i="15"/>
  <c r="K102" i="15"/>
  <c r="J102" i="15"/>
  <c r="I102" i="15"/>
  <c r="H102" i="15"/>
  <c r="G102" i="15"/>
  <c r="F102" i="15"/>
  <c r="L101" i="15"/>
  <c r="K101" i="15"/>
  <c r="J101" i="15"/>
  <c r="I101" i="15"/>
  <c r="H101" i="15"/>
  <c r="G101" i="15"/>
  <c r="F101" i="15"/>
  <c r="L100" i="15"/>
  <c r="K100" i="15"/>
  <c r="J100" i="15"/>
  <c r="I100" i="15"/>
  <c r="H100" i="15"/>
  <c r="G100" i="15"/>
  <c r="F100" i="15"/>
  <c r="L99" i="15"/>
  <c r="K99" i="15"/>
  <c r="J99" i="15"/>
  <c r="I99" i="15"/>
  <c r="H99" i="15"/>
  <c r="G99" i="15"/>
  <c r="F99" i="15"/>
  <c r="L98" i="15"/>
  <c r="K98" i="15"/>
  <c r="J98" i="15"/>
  <c r="I98" i="15"/>
  <c r="H98" i="15"/>
  <c r="G98" i="15"/>
  <c r="F98" i="15"/>
  <c r="L97" i="15"/>
  <c r="K97" i="15"/>
  <c r="J97" i="15"/>
  <c r="I97" i="15"/>
  <c r="H97" i="15"/>
  <c r="G97" i="15"/>
  <c r="F97" i="15"/>
  <c r="L96" i="15"/>
  <c r="K96" i="15"/>
  <c r="J96" i="15"/>
  <c r="I96" i="15"/>
  <c r="H96" i="15"/>
  <c r="G96" i="15"/>
  <c r="F96" i="15"/>
  <c r="L95" i="15"/>
  <c r="K95" i="15"/>
  <c r="J95" i="15"/>
  <c r="I95" i="15"/>
  <c r="H95" i="15"/>
  <c r="G95" i="15"/>
  <c r="F95" i="15"/>
  <c r="L94" i="15"/>
  <c r="K94" i="15"/>
  <c r="J94" i="15"/>
  <c r="I94" i="15"/>
  <c r="H94" i="15"/>
  <c r="G94" i="15"/>
  <c r="F94" i="15"/>
  <c r="L93" i="15"/>
  <c r="K93" i="15"/>
  <c r="J93" i="15"/>
  <c r="I93" i="15"/>
  <c r="H93" i="15"/>
  <c r="G93" i="15"/>
  <c r="F93" i="15"/>
  <c r="L92" i="15"/>
  <c r="K92" i="15"/>
  <c r="J92" i="15"/>
  <c r="I92" i="15"/>
  <c r="H92" i="15"/>
  <c r="G92" i="15"/>
  <c r="F92" i="15"/>
  <c r="L91" i="15"/>
  <c r="K91" i="15"/>
  <c r="J91" i="15"/>
  <c r="I91" i="15"/>
  <c r="H91" i="15"/>
  <c r="G91" i="15"/>
  <c r="F91" i="15"/>
  <c r="L90" i="15"/>
  <c r="K90" i="15"/>
  <c r="J90" i="15"/>
  <c r="I90" i="15"/>
  <c r="H90" i="15"/>
  <c r="G90" i="15"/>
  <c r="F90" i="15"/>
  <c r="L89" i="15"/>
  <c r="K89" i="15"/>
  <c r="J89" i="15"/>
  <c r="I89" i="15"/>
  <c r="H89" i="15"/>
  <c r="G89" i="15"/>
  <c r="F89" i="15"/>
  <c r="L88" i="15"/>
  <c r="K88" i="15"/>
  <c r="J88" i="15"/>
  <c r="I88" i="15"/>
  <c r="H88" i="15"/>
  <c r="G88" i="15"/>
  <c r="F88" i="15"/>
  <c r="L87" i="15"/>
  <c r="K87" i="15"/>
  <c r="J87" i="15"/>
  <c r="I87" i="15"/>
  <c r="H87" i="15"/>
  <c r="G87" i="15"/>
  <c r="F87" i="15"/>
  <c r="L86" i="15"/>
  <c r="K86" i="15"/>
  <c r="J86" i="15"/>
  <c r="I86" i="15"/>
  <c r="H86" i="15"/>
  <c r="G86" i="15"/>
  <c r="F86" i="15"/>
  <c r="L85" i="15"/>
  <c r="K85" i="15"/>
  <c r="J85" i="15"/>
  <c r="I85" i="15"/>
  <c r="H85" i="15"/>
  <c r="G85" i="15"/>
  <c r="F85" i="15"/>
  <c r="L84" i="15"/>
  <c r="K84" i="15"/>
  <c r="J84" i="15"/>
  <c r="I84" i="15"/>
  <c r="H84" i="15"/>
  <c r="G84" i="15"/>
  <c r="F84" i="15"/>
  <c r="L83" i="15"/>
  <c r="K83" i="15"/>
  <c r="J83" i="15"/>
  <c r="I83" i="15"/>
  <c r="H83" i="15"/>
  <c r="G83" i="15"/>
  <c r="F83" i="15"/>
  <c r="L82" i="15"/>
  <c r="K82" i="15"/>
  <c r="J82" i="15"/>
  <c r="I82" i="15"/>
  <c r="H82" i="15"/>
  <c r="G82" i="15"/>
  <c r="F82" i="15"/>
  <c r="L81" i="15"/>
  <c r="K81" i="15"/>
  <c r="J81" i="15"/>
  <c r="I81" i="15"/>
  <c r="H81" i="15"/>
  <c r="G81" i="15"/>
  <c r="F81" i="15"/>
  <c r="L80" i="15"/>
  <c r="K80" i="15"/>
  <c r="J80" i="15"/>
  <c r="I80" i="15"/>
  <c r="H80" i="15"/>
  <c r="G80" i="15"/>
  <c r="F80" i="15"/>
  <c r="L79" i="15"/>
  <c r="K79" i="15"/>
  <c r="J79" i="15"/>
  <c r="I79" i="15"/>
  <c r="H79" i="15"/>
  <c r="G79" i="15"/>
  <c r="F79" i="15"/>
  <c r="L78" i="15"/>
  <c r="K78" i="15"/>
  <c r="J78" i="15"/>
  <c r="I78" i="15"/>
  <c r="H78" i="15"/>
  <c r="G78" i="15"/>
  <c r="F78" i="15"/>
  <c r="L77" i="15"/>
  <c r="K77" i="15"/>
  <c r="J77" i="15"/>
  <c r="I77" i="15"/>
  <c r="H77" i="15"/>
  <c r="G77" i="15"/>
  <c r="F77" i="15"/>
  <c r="L76" i="15"/>
  <c r="K76" i="15"/>
  <c r="J76" i="15"/>
  <c r="I76" i="15"/>
  <c r="H76" i="15"/>
  <c r="G76" i="15"/>
  <c r="F76" i="15"/>
  <c r="L75" i="15"/>
  <c r="K75" i="15"/>
  <c r="J75" i="15"/>
  <c r="I75" i="15"/>
  <c r="H75" i="15"/>
  <c r="G75" i="15"/>
  <c r="F75" i="15"/>
  <c r="L74" i="15"/>
  <c r="K74" i="15"/>
  <c r="J74" i="15"/>
  <c r="I74" i="15"/>
  <c r="H74" i="15"/>
  <c r="G74" i="15"/>
  <c r="F74" i="15"/>
  <c r="L73" i="15"/>
  <c r="K73" i="15"/>
  <c r="J73" i="15"/>
  <c r="I73" i="15"/>
  <c r="H73" i="15"/>
  <c r="G73" i="15"/>
  <c r="F73" i="15"/>
  <c r="L72" i="15"/>
  <c r="K72" i="15"/>
  <c r="J72" i="15"/>
  <c r="I72" i="15"/>
  <c r="H72" i="15"/>
  <c r="G72" i="15"/>
  <c r="F72" i="15"/>
  <c r="L71" i="15"/>
  <c r="K71" i="15"/>
  <c r="J71" i="15"/>
  <c r="I71" i="15"/>
  <c r="H71" i="15"/>
  <c r="G71" i="15"/>
  <c r="F71" i="15"/>
  <c r="L70" i="15"/>
  <c r="K70" i="15"/>
  <c r="J70" i="15"/>
  <c r="I70" i="15"/>
  <c r="H70" i="15"/>
  <c r="G70" i="15"/>
  <c r="F70" i="15"/>
  <c r="L69" i="15"/>
  <c r="K69" i="15"/>
  <c r="J69" i="15"/>
  <c r="I69" i="15"/>
  <c r="H69" i="15"/>
  <c r="G69" i="15"/>
  <c r="F69" i="15"/>
  <c r="L68" i="15"/>
  <c r="K68" i="15"/>
  <c r="J68" i="15"/>
  <c r="I68" i="15"/>
  <c r="H68" i="15"/>
  <c r="G68" i="15"/>
  <c r="F68" i="15"/>
  <c r="L67" i="15"/>
  <c r="K67" i="15"/>
  <c r="J67" i="15"/>
  <c r="I67" i="15"/>
  <c r="H67" i="15"/>
  <c r="G67" i="15"/>
  <c r="F67" i="15"/>
  <c r="L66" i="15"/>
  <c r="K66" i="15"/>
  <c r="J66" i="15"/>
  <c r="I66" i="15"/>
  <c r="H66" i="15"/>
  <c r="G66" i="15"/>
  <c r="F66" i="15"/>
  <c r="L65" i="15"/>
  <c r="K65" i="15"/>
  <c r="J65" i="15"/>
  <c r="I65" i="15"/>
  <c r="H65" i="15"/>
  <c r="G65" i="15"/>
  <c r="F65" i="15"/>
  <c r="L64" i="15"/>
  <c r="K64" i="15"/>
  <c r="J64" i="15"/>
  <c r="I64" i="15"/>
  <c r="H64" i="15"/>
  <c r="G64" i="15"/>
  <c r="F64" i="15"/>
  <c r="L63" i="15"/>
  <c r="K63" i="15"/>
  <c r="J63" i="15"/>
  <c r="I63" i="15"/>
  <c r="H63" i="15"/>
  <c r="G63" i="15"/>
  <c r="F63" i="15"/>
  <c r="L62" i="15"/>
  <c r="K62" i="15"/>
  <c r="J62" i="15"/>
  <c r="I62" i="15"/>
  <c r="H62" i="15"/>
  <c r="G62" i="15"/>
  <c r="F62" i="15"/>
  <c r="L61" i="15"/>
  <c r="K61" i="15"/>
  <c r="J61" i="15"/>
  <c r="I61" i="15"/>
  <c r="H61" i="15"/>
  <c r="G61" i="15"/>
  <c r="F61" i="15"/>
  <c r="L60" i="15"/>
  <c r="K60" i="15"/>
  <c r="J60" i="15"/>
  <c r="I60" i="15"/>
  <c r="H60" i="15"/>
  <c r="G60" i="15"/>
  <c r="F60" i="15"/>
  <c r="L59" i="15"/>
  <c r="K59" i="15"/>
  <c r="J59" i="15"/>
  <c r="I59" i="15"/>
  <c r="H59" i="15"/>
  <c r="G59" i="15"/>
  <c r="F59" i="15"/>
  <c r="L58" i="15"/>
  <c r="K58" i="15"/>
  <c r="J58" i="15"/>
  <c r="I58" i="15"/>
  <c r="H58" i="15"/>
  <c r="G58" i="15"/>
  <c r="F58" i="15"/>
  <c r="L57" i="15"/>
  <c r="K57" i="15"/>
  <c r="J57" i="15"/>
  <c r="I57" i="15"/>
  <c r="H57" i="15"/>
  <c r="G57" i="15"/>
  <c r="F57" i="15"/>
  <c r="L56" i="15"/>
  <c r="K56" i="15"/>
  <c r="J56" i="15"/>
  <c r="I56" i="15"/>
  <c r="H56" i="15"/>
  <c r="G56" i="15"/>
  <c r="F56" i="15"/>
  <c r="L55" i="15"/>
  <c r="K55" i="15"/>
  <c r="J55" i="15"/>
  <c r="I55" i="15"/>
  <c r="H55" i="15"/>
  <c r="G55" i="15"/>
  <c r="F55" i="15"/>
  <c r="L54" i="15"/>
  <c r="K54" i="15"/>
  <c r="J54" i="15"/>
  <c r="I54" i="15"/>
  <c r="H54" i="15"/>
  <c r="G54" i="15"/>
  <c r="F54" i="15"/>
  <c r="L53" i="15"/>
  <c r="K53" i="15"/>
  <c r="J53" i="15"/>
  <c r="I53" i="15"/>
  <c r="H53" i="15"/>
  <c r="G53" i="15"/>
  <c r="F53" i="15"/>
  <c r="L52" i="15"/>
  <c r="K52" i="15"/>
  <c r="J52" i="15"/>
  <c r="I52" i="15"/>
  <c r="H52" i="15"/>
  <c r="G52" i="15"/>
  <c r="F52" i="15"/>
  <c r="L51" i="15"/>
  <c r="K51" i="15"/>
  <c r="J51" i="15"/>
  <c r="I51" i="15"/>
  <c r="H51" i="15"/>
  <c r="G51" i="15"/>
  <c r="F51" i="15"/>
  <c r="L50" i="15"/>
  <c r="K50" i="15"/>
  <c r="J50" i="15"/>
  <c r="I50" i="15"/>
  <c r="H50" i="15"/>
  <c r="G50" i="15"/>
  <c r="F50" i="15"/>
  <c r="L49" i="15"/>
  <c r="K49" i="15"/>
  <c r="J49" i="15"/>
  <c r="I49" i="15"/>
  <c r="H49" i="15"/>
  <c r="G49" i="15"/>
  <c r="F49" i="15"/>
  <c r="L48" i="15"/>
  <c r="K48" i="15"/>
  <c r="J48" i="15"/>
  <c r="I48" i="15"/>
  <c r="H48" i="15"/>
  <c r="G48" i="15"/>
  <c r="F48" i="15"/>
  <c r="L47" i="15"/>
  <c r="K47" i="15"/>
  <c r="J47" i="15"/>
  <c r="I47" i="15"/>
  <c r="H47" i="15"/>
  <c r="G47" i="15"/>
  <c r="F47" i="15"/>
  <c r="L46" i="15"/>
  <c r="K46" i="15"/>
  <c r="J46" i="15"/>
  <c r="I46" i="15"/>
  <c r="H46" i="15"/>
  <c r="G46" i="15"/>
  <c r="F46" i="15"/>
  <c r="L45" i="15"/>
  <c r="K45" i="15"/>
  <c r="J45" i="15"/>
  <c r="I45" i="15"/>
  <c r="H45" i="15"/>
  <c r="G45" i="15"/>
  <c r="F45" i="15"/>
  <c r="L44" i="15"/>
  <c r="K44" i="15"/>
  <c r="J44" i="15"/>
  <c r="I44" i="15"/>
  <c r="H44" i="15"/>
  <c r="G44" i="15"/>
  <c r="F44" i="15"/>
  <c r="L43" i="15"/>
  <c r="K43" i="15"/>
  <c r="J43" i="15"/>
  <c r="I43" i="15"/>
  <c r="H43" i="15"/>
  <c r="G43" i="15"/>
  <c r="F43" i="15"/>
  <c r="L42" i="15"/>
  <c r="K42" i="15"/>
  <c r="J42" i="15"/>
  <c r="I42" i="15"/>
  <c r="H42" i="15"/>
  <c r="G42" i="15"/>
  <c r="F42" i="15"/>
  <c r="L41" i="15"/>
  <c r="K41" i="15"/>
  <c r="J41" i="15"/>
  <c r="I41" i="15"/>
  <c r="H41" i="15"/>
  <c r="G41" i="15"/>
  <c r="F41" i="15"/>
  <c r="L40" i="15"/>
  <c r="K40" i="15"/>
  <c r="J40" i="15"/>
  <c r="I40" i="15"/>
  <c r="H40" i="15"/>
  <c r="G40" i="15"/>
  <c r="F40" i="15"/>
  <c r="L39" i="15"/>
  <c r="K39" i="15"/>
  <c r="J39" i="15"/>
  <c r="I39" i="15"/>
  <c r="H39" i="15"/>
  <c r="G39" i="15"/>
  <c r="F39" i="15"/>
  <c r="L38" i="15"/>
  <c r="K38" i="15"/>
  <c r="J38" i="15"/>
  <c r="I38" i="15"/>
  <c r="H38" i="15"/>
  <c r="G38" i="15"/>
  <c r="F38" i="15"/>
  <c r="L37" i="15"/>
  <c r="K37" i="15"/>
  <c r="J37" i="15"/>
  <c r="I37" i="15"/>
  <c r="H37" i="15"/>
  <c r="G37" i="15"/>
  <c r="F37" i="15"/>
  <c r="L36" i="15"/>
  <c r="K36" i="15"/>
  <c r="J36" i="15"/>
  <c r="I36" i="15"/>
  <c r="H36" i="15"/>
  <c r="G36" i="15"/>
  <c r="F36" i="15"/>
  <c r="L35" i="15"/>
  <c r="K35" i="15"/>
  <c r="J35" i="15"/>
  <c r="I35" i="15"/>
  <c r="H35" i="15"/>
  <c r="G35" i="15"/>
  <c r="F35" i="15"/>
  <c r="L34" i="15"/>
  <c r="K34" i="15"/>
  <c r="J34" i="15"/>
  <c r="I34" i="15"/>
  <c r="H34" i="15"/>
  <c r="G34" i="15"/>
  <c r="F34" i="15"/>
  <c r="L33" i="15"/>
  <c r="K33" i="15"/>
  <c r="J33" i="15"/>
  <c r="I33" i="15"/>
  <c r="H33" i="15"/>
  <c r="G33" i="15"/>
  <c r="F33" i="15"/>
  <c r="L32" i="15"/>
  <c r="K32" i="15"/>
  <c r="J32" i="15"/>
  <c r="I32" i="15"/>
  <c r="H32" i="15"/>
  <c r="G32" i="15"/>
  <c r="F32" i="15"/>
  <c r="N31" i="15"/>
  <c r="O31" i="15" s="1"/>
  <c r="L31" i="15"/>
  <c r="K31" i="15"/>
  <c r="J31" i="15"/>
  <c r="I31" i="15"/>
  <c r="H31" i="15"/>
  <c r="G31" i="15"/>
  <c r="F31" i="15"/>
  <c r="N30" i="15"/>
  <c r="O30" i="15" s="1"/>
  <c r="L30" i="15"/>
  <c r="K30" i="15"/>
  <c r="J30" i="15"/>
  <c r="I30" i="15"/>
  <c r="H30" i="15"/>
  <c r="G30" i="15"/>
  <c r="F30" i="15"/>
  <c r="N29" i="15"/>
  <c r="O29" i="15" s="1"/>
  <c r="L29" i="15"/>
  <c r="K29" i="15"/>
  <c r="J29" i="15"/>
  <c r="I29" i="15"/>
  <c r="H29" i="15"/>
  <c r="G29" i="15"/>
  <c r="F29" i="15"/>
  <c r="N28" i="15"/>
  <c r="O28" i="15" s="1"/>
  <c r="L28" i="15"/>
  <c r="K28" i="15"/>
  <c r="J28" i="15"/>
  <c r="I28" i="15"/>
  <c r="H28" i="15"/>
  <c r="G28" i="15"/>
  <c r="F28" i="15"/>
  <c r="N27" i="15"/>
  <c r="O27" i="15" s="1"/>
  <c r="G27" i="15"/>
  <c r="F27" i="15"/>
  <c r="N26" i="15"/>
  <c r="O26" i="15" s="1"/>
  <c r="G26" i="15"/>
  <c r="F26" i="15"/>
  <c r="N25" i="15"/>
  <c r="G25" i="15"/>
  <c r="F25" i="15"/>
  <c r="N24" i="15"/>
  <c r="G24" i="15"/>
  <c r="F24" i="15"/>
  <c r="N23" i="15"/>
  <c r="G23" i="15"/>
  <c r="F23" i="15"/>
  <c r="N22" i="15"/>
  <c r="G22" i="15"/>
  <c r="F22" i="15"/>
  <c r="N21" i="15"/>
  <c r="O21" i="15" s="1"/>
  <c r="G21" i="15"/>
  <c r="F21" i="15"/>
  <c r="I21" i="15" s="1"/>
  <c r="N20" i="15"/>
  <c r="G20" i="15"/>
  <c r="F20" i="15"/>
  <c r="N19" i="15"/>
  <c r="O19" i="15" s="1"/>
  <c r="G19" i="15"/>
  <c r="F19" i="15"/>
  <c r="I19" i="15" s="1"/>
  <c r="N18" i="15"/>
  <c r="G18" i="15"/>
  <c r="F18" i="15"/>
  <c r="I18" i="15" s="1"/>
  <c r="A50" i="10"/>
  <c r="A49" i="10"/>
  <c r="P49" i="10" s="1"/>
  <c r="A48" i="10"/>
  <c r="Q48" i="10" s="1"/>
  <c r="A47" i="10"/>
  <c r="P47" i="10" s="1"/>
  <c r="A46" i="10"/>
  <c r="A45" i="10"/>
  <c r="P45" i="10" s="1"/>
  <c r="A44" i="10"/>
  <c r="A43" i="10"/>
  <c r="A42" i="10"/>
  <c r="A41" i="10"/>
  <c r="P41" i="10" s="1"/>
  <c r="A40" i="10"/>
  <c r="A39" i="10"/>
  <c r="P39" i="10" s="1"/>
  <c r="A38" i="10"/>
  <c r="P38" i="10" s="1"/>
  <c r="A37" i="10"/>
  <c r="P37" i="10" s="1"/>
  <c r="A36" i="10"/>
  <c r="A35" i="10"/>
  <c r="P35" i="10" s="1"/>
  <c r="A34" i="10"/>
  <c r="Q34" i="10" s="1"/>
  <c r="A33" i="10"/>
  <c r="P33" i="10" s="1"/>
  <c r="A32" i="10"/>
  <c r="A31" i="10"/>
  <c r="Q31" i="10" s="1"/>
  <c r="R26" i="10"/>
  <c r="Q26" i="10"/>
  <c r="P26" i="10"/>
  <c r="R25" i="10"/>
  <c r="Q25" i="10"/>
  <c r="P25" i="10"/>
  <c r="R24" i="10"/>
  <c r="Q24" i="10"/>
  <c r="P24" i="10"/>
  <c r="R23" i="10"/>
  <c r="Q23" i="10"/>
  <c r="P23" i="10"/>
  <c r="R22" i="10"/>
  <c r="Q22" i="10"/>
  <c r="P22" i="10"/>
  <c r="R21" i="10"/>
  <c r="Q21" i="10"/>
  <c r="P21" i="10"/>
  <c r="R20" i="10"/>
  <c r="Q20" i="10"/>
  <c r="P20" i="10"/>
  <c r="R19" i="10"/>
  <c r="Q19" i="10"/>
  <c r="P19" i="10"/>
  <c r="R18" i="10"/>
  <c r="Q18" i="10"/>
  <c r="P18" i="10"/>
  <c r="R17" i="10"/>
  <c r="Q17" i="10"/>
  <c r="P17" i="10"/>
  <c r="R16" i="10"/>
  <c r="Q16" i="10"/>
  <c r="P16" i="10"/>
  <c r="R15" i="10"/>
  <c r="Q15" i="10"/>
  <c r="P15" i="10"/>
  <c r="R14" i="10"/>
  <c r="Q14" i="10"/>
  <c r="P14" i="10"/>
  <c r="R13" i="10"/>
  <c r="Q13" i="10"/>
  <c r="P13" i="10"/>
  <c r="R12" i="10"/>
  <c r="Q12" i="10"/>
  <c r="P12" i="10"/>
  <c r="R11" i="10"/>
  <c r="Q11" i="10"/>
  <c r="P11" i="10"/>
  <c r="Q10" i="10"/>
  <c r="P10" i="10"/>
  <c r="Q9" i="10"/>
  <c r="P9" i="10"/>
  <c r="Q8" i="10"/>
  <c r="P8" i="10"/>
  <c r="Q7" i="10"/>
  <c r="P7" i="10"/>
  <c r="B3" i="10"/>
  <c r="F3" i="10" s="1"/>
  <c r="AC810" i="9"/>
  <c r="AB810" i="9"/>
  <c r="AA810" i="9"/>
  <c r="Z810" i="9"/>
  <c r="Y810" i="9"/>
  <c r="X810" i="9"/>
  <c r="W810" i="9"/>
  <c r="V810" i="9"/>
  <c r="U810" i="9"/>
  <c r="T810" i="9"/>
  <c r="S810" i="9"/>
  <c r="R810" i="9"/>
  <c r="Q810" i="9"/>
  <c r="P810" i="9"/>
  <c r="O810" i="9"/>
  <c r="N810" i="9"/>
  <c r="M810" i="9"/>
  <c r="L810" i="9"/>
  <c r="K810" i="9"/>
  <c r="J810" i="9"/>
  <c r="I810" i="9"/>
  <c r="H810" i="9"/>
  <c r="G810" i="9"/>
  <c r="F810" i="9"/>
  <c r="AC809" i="9"/>
  <c r="AB809" i="9"/>
  <c r="AA809" i="9"/>
  <c r="Z809" i="9"/>
  <c r="Y809" i="9"/>
  <c r="X809" i="9"/>
  <c r="W809" i="9"/>
  <c r="V809" i="9"/>
  <c r="U809" i="9"/>
  <c r="T809" i="9"/>
  <c r="S809" i="9"/>
  <c r="R809" i="9"/>
  <c r="Q809" i="9"/>
  <c r="P809" i="9"/>
  <c r="O809" i="9"/>
  <c r="N809" i="9"/>
  <c r="M809" i="9"/>
  <c r="L809" i="9"/>
  <c r="K809" i="9"/>
  <c r="J809" i="9"/>
  <c r="I809" i="9"/>
  <c r="H809" i="9"/>
  <c r="G809" i="9"/>
  <c r="F809" i="9"/>
  <c r="AC808" i="9"/>
  <c r="AB808" i="9"/>
  <c r="AA808" i="9"/>
  <c r="Z808" i="9"/>
  <c r="Y808" i="9"/>
  <c r="X808" i="9"/>
  <c r="W808" i="9"/>
  <c r="V808" i="9"/>
  <c r="U808" i="9"/>
  <c r="T808" i="9"/>
  <c r="S808" i="9"/>
  <c r="R808" i="9"/>
  <c r="Q808" i="9"/>
  <c r="P808" i="9"/>
  <c r="O808" i="9"/>
  <c r="N808" i="9"/>
  <c r="M808" i="9"/>
  <c r="L808" i="9"/>
  <c r="K808" i="9"/>
  <c r="J808" i="9"/>
  <c r="I808" i="9"/>
  <c r="H808" i="9"/>
  <c r="G808" i="9"/>
  <c r="F808" i="9"/>
  <c r="AC807" i="9"/>
  <c r="AB807" i="9"/>
  <c r="AA807" i="9"/>
  <c r="Z807" i="9"/>
  <c r="Y807" i="9"/>
  <c r="X807" i="9"/>
  <c r="W807" i="9"/>
  <c r="V807" i="9"/>
  <c r="U807" i="9"/>
  <c r="T807" i="9"/>
  <c r="S807" i="9"/>
  <c r="R807" i="9"/>
  <c r="Q807" i="9"/>
  <c r="P807" i="9"/>
  <c r="O807" i="9"/>
  <c r="N807" i="9"/>
  <c r="M807" i="9"/>
  <c r="L807" i="9"/>
  <c r="K807" i="9"/>
  <c r="J807" i="9"/>
  <c r="I807" i="9"/>
  <c r="H807" i="9"/>
  <c r="G807" i="9"/>
  <c r="F807" i="9"/>
  <c r="AC806" i="9"/>
  <c r="AB806" i="9"/>
  <c r="AA806" i="9"/>
  <c r="Z806" i="9"/>
  <c r="Y806" i="9"/>
  <c r="X806" i="9"/>
  <c r="W806" i="9"/>
  <c r="V806" i="9"/>
  <c r="U806" i="9"/>
  <c r="T806" i="9"/>
  <c r="S806" i="9"/>
  <c r="R806" i="9"/>
  <c r="Q806" i="9"/>
  <c r="P806" i="9"/>
  <c r="O806" i="9"/>
  <c r="N806" i="9"/>
  <c r="M806" i="9"/>
  <c r="L806" i="9"/>
  <c r="K806" i="9"/>
  <c r="J806" i="9"/>
  <c r="I806" i="9"/>
  <c r="H806" i="9"/>
  <c r="G806" i="9"/>
  <c r="F806" i="9"/>
  <c r="AC805" i="9"/>
  <c r="AB805" i="9"/>
  <c r="AA805" i="9"/>
  <c r="Z805" i="9"/>
  <c r="Y805" i="9"/>
  <c r="X805" i="9"/>
  <c r="W805" i="9"/>
  <c r="V805" i="9"/>
  <c r="U805" i="9"/>
  <c r="T805" i="9"/>
  <c r="S805" i="9"/>
  <c r="R805" i="9"/>
  <c r="Q805" i="9"/>
  <c r="P805" i="9"/>
  <c r="O805" i="9"/>
  <c r="N805" i="9"/>
  <c r="M805" i="9"/>
  <c r="L805" i="9"/>
  <c r="K805" i="9"/>
  <c r="J805" i="9"/>
  <c r="I805" i="9"/>
  <c r="H805" i="9"/>
  <c r="G805" i="9"/>
  <c r="F805" i="9"/>
  <c r="AC804" i="9"/>
  <c r="AB804" i="9"/>
  <c r="AA804" i="9"/>
  <c r="Z804" i="9"/>
  <c r="Y804" i="9"/>
  <c r="X804" i="9"/>
  <c r="W804" i="9"/>
  <c r="V804" i="9"/>
  <c r="U804" i="9"/>
  <c r="T804" i="9"/>
  <c r="S804" i="9"/>
  <c r="R804" i="9"/>
  <c r="Q804" i="9"/>
  <c r="P804" i="9"/>
  <c r="O804" i="9"/>
  <c r="N804" i="9"/>
  <c r="M804" i="9"/>
  <c r="L804" i="9"/>
  <c r="K804" i="9"/>
  <c r="J804" i="9"/>
  <c r="I804" i="9"/>
  <c r="H804" i="9"/>
  <c r="G804" i="9"/>
  <c r="F804" i="9"/>
  <c r="AC803" i="9"/>
  <c r="AB803" i="9"/>
  <c r="AA803" i="9"/>
  <c r="Z803" i="9"/>
  <c r="Y803" i="9"/>
  <c r="X803" i="9"/>
  <c r="W803" i="9"/>
  <c r="V803" i="9"/>
  <c r="U803" i="9"/>
  <c r="T803" i="9"/>
  <c r="S803" i="9"/>
  <c r="R803" i="9"/>
  <c r="Q803" i="9"/>
  <c r="P803" i="9"/>
  <c r="O803" i="9"/>
  <c r="N803" i="9"/>
  <c r="M803" i="9"/>
  <c r="L803" i="9"/>
  <c r="K803" i="9"/>
  <c r="J803" i="9"/>
  <c r="I803" i="9"/>
  <c r="H803" i="9"/>
  <c r="G803" i="9"/>
  <c r="F803" i="9"/>
  <c r="AC802" i="9"/>
  <c r="AB802" i="9"/>
  <c r="AA802" i="9"/>
  <c r="Z802" i="9"/>
  <c r="Y802" i="9"/>
  <c r="X802" i="9"/>
  <c r="W802" i="9"/>
  <c r="V802" i="9"/>
  <c r="U802" i="9"/>
  <c r="T802" i="9"/>
  <c r="S802" i="9"/>
  <c r="R802" i="9"/>
  <c r="Q802" i="9"/>
  <c r="P802" i="9"/>
  <c r="O802" i="9"/>
  <c r="N802" i="9"/>
  <c r="M802" i="9"/>
  <c r="L802" i="9"/>
  <c r="K802" i="9"/>
  <c r="J802" i="9"/>
  <c r="I802" i="9"/>
  <c r="H802" i="9"/>
  <c r="G802" i="9"/>
  <c r="F802" i="9"/>
  <c r="AC801" i="9"/>
  <c r="AB801" i="9"/>
  <c r="AA801" i="9"/>
  <c r="Z801" i="9"/>
  <c r="Y801" i="9"/>
  <c r="X801" i="9"/>
  <c r="W801" i="9"/>
  <c r="V801" i="9"/>
  <c r="U801" i="9"/>
  <c r="T801" i="9"/>
  <c r="S801" i="9"/>
  <c r="R801" i="9"/>
  <c r="Q801" i="9"/>
  <c r="P801" i="9"/>
  <c r="O801" i="9"/>
  <c r="N801" i="9"/>
  <c r="M801" i="9"/>
  <c r="L801" i="9"/>
  <c r="K801" i="9"/>
  <c r="J801" i="9"/>
  <c r="I801" i="9"/>
  <c r="H801" i="9"/>
  <c r="G801" i="9"/>
  <c r="F801" i="9"/>
  <c r="AC800" i="9"/>
  <c r="AB800" i="9"/>
  <c r="AA800" i="9"/>
  <c r="Z800" i="9"/>
  <c r="Y800" i="9"/>
  <c r="X800" i="9"/>
  <c r="W800" i="9"/>
  <c r="V800" i="9"/>
  <c r="U800" i="9"/>
  <c r="T800" i="9"/>
  <c r="S800" i="9"/>
  <c r="R800" i="9"/>
  <c r="Q800" i="9"/>
  <c r="P800" i="9"/>
  <c r="O800" i="9"/>
  <c r="N800" i="9"/>
  <c r="M800" i="9"/>
  <c r="L800" i="9"/>
  <c r="K800" i="9"/>
  <c r="J800" i="9"/>
  <c r="I800" i="9"/>
  <c r="H800" i="9"/>
  <c r="G800" i="9"/>
  <c r="F800" i="9"/>
  <c r="AC799" i="9"/>
  <c r="AB799" i="9"/>
  <c r="AA799" i="9"/>
  <c r="Z799" i="9"/>
  <c r="Y799" i="9"/>
  <c r="X799" i="9"/>
  <c r="W799" i="9"/>
  <c r="V799" i="9"/>
  <c r="U799" i="9"/>
  <c r="T799" i="9"/>
  <c r="S799" i="9"/>
  <c r="R799" i="9"/>
  <c r="Q799" i="9"/>
  <c r="P799" i="9"/>
  <c r="O799" i="9"/>
  <c r="N799" i="9"/>
  <c r="M799" i="9"/>
  <c r="L799" i="9"/>
  <c r="K799" i="9"/>
  <c r="J799" i="9"/>
  <c r="I799" i="9"/>
  <c r="H799" i="9"/>
  <c r="G799" i="9"/>
  <c r="F799" i="9"/>
  <c r="AC798" i="9"/>
  <c r="AB798" i="9"/>
  <c r="AA798" i="9"/>
  <c r="Z798" i="9"/>
  <c r="Y798" i="9"/>
  <c r="X798" i="9"/>
  <c r="W798" i="9"/>
  <c r="V798" i="9"/>
  <c r="U798" i="9"/>
  <c r="T798" i="9"/>
  <c r="S798" i="9"/>
  <c r="R798" i="9"/>
  <c r="Q798" i="9"/>
  <c r="P798" i="9"/>
  <c r="O798" i="9"/>
  <c r="N798" i="9"/>
  <c r="M798" i="9"/>
  <c r="L798" i="9"/>
  <c r="K798" i="9"/>
  <c r="J798" i="9"/>
  <c r="I798" i="9"/>
  <c r="H798" i="9"/>
  <c r="G798" i="9"/>
  <c r="F798" i="9"/>
  <c r="AC797" i="9"/>
  <c r="AB797" i="9"/>
  <c r="AA797" i="9"/>
  <c r="Z797" i="9"/>
  <c r="Y797" i="9"/>
  <c r="X797" i="9"/>
  <c r="W797" i="9"/>
  <c r="V797" i="9"/>
  <c r="U797" i="9"/>
  <c r="T797" i="9"/>
  <c r="S797" i="9"/>
  <c r="R797" i="9"/>
  <c r="Q797" i="9"/>
  <c r="P797" i="9"/>
  <c r="O797" i="9"/>
  <c r="N797" i="9"/>
  <c r="M797" i="9"/>
  <c r="L797" i="9"/>
  <c r="K797" i="9"/>
  <c r="J797" i="9"/>
  <c r="I797" i="9"/>
  <c r="H797" i="9"/>
  <c r="G797" i="9"/>
  <c r="F797" i="9"/>
  <c r="AC796" i="9"/>
  <c r="AB796" i="9"/>
  <c r="AA796" i="9"/>
  <c r="Z796" i="9"/>
  <c r="Y796" i="9"/>
  <c r="X796" i="9"/>
  <c r="W796" i="9"/>
  <c r="V796" i="9"/>
  <c r="U796" i="9"/>
  <c r="T796" i="9"/>
  <c r="S796" i="9"/>
  <c r="R796" i="9"/>
  <c r="Q796" i="9"/>
  <c r="P796" i="9"/>
  <c r="O796" i="9"/>
  <c r="N796" i="9"/>
  <c r="M796" i="9"/>
  <c r="L796" i="9"/>
  <c r="K796" i="9"/>
  <c r="J796" i="9"/>
  <c r="I796" i="9"/>
  <c r="H796" i="9"/>
  <c r="G796" i="9"/>
  <c r="F796" i="9"/>
  <c r="AC795" i="9"/>
  <c r="AB795" i="9"/>
  <c r="AA795" i="9"/>
  <c r="Z795" i="9"/>
  <c r="Y795" i="9"/>
  <c r="X795" i="9"/>
  <c r="W795" i="9"/>
  <c r="V795" i="9"/>
  <c r="U795" i="9"/>
  <c r="T795" i="9"/>
  <c r="S795" i="9"/>
  <c r="R795" i="9"/>
  <c r="Q795" i="9"/>
  <c r="P795" i="9"/>
  <c r="O795" i="9"/>
  <c r="N795" i="9"/>
  <c r="M795" i="9"/>
  <c r="L795" i="9"/>
  <c r="K795" i="9"/>
  <c r="J795" i="9"/>
  <c r="I795" i="9"/>
  <c r="H795" i="9"/>
  <c r="G795" i="9"/>
  <c r="F795" i="9"/>
  <c r="AC794" i="9"/>
  <c r="AB794" i="9"/>
  <c r="AA794" i="9"/>
  <c r="Z794" i="9"/>
  <c r="Y794" i="9"/>
  <c r="X794" i="9"/>
  <c r="W794" i="9"/>
  <c r="V794" i="9"/>
  <c r="U794" i="9"/>
  <c r="T794" i="9"/>
  <c r="S794" i="9"/>
  <c r="R794" i="9"/>
  <c r="Q794" i="9"/>
  <c r="P794" i="9"/>
  <c r="O794" i="9"/>
  <c r="N794" i="9"/>
  <c r="M794" i="9"/>
  <c r="L794" i="9"/>
  <c r="K794" i="9"/>
  <c r="J794" i="9"/>
  <c r="I794" i="9"/>
  <c r="H794" i="9"/>
  <c r="G794" i="9"/>
  <c r="F794" i="9"/>
  <c r="AC793" i="9"/>
  <c r="AB793" i="9"/>
  <c r="AA793" i="9"/>
  <c r="Z793" i="9"/>
  <c r="Y793" i="9"/>
  <c r="X793" i="9"/>
  <c r="W793" i="9"/>
  <c r="V793" i="9"/>
  <c r="U793" i="9"/>
  <c r="T793" i="9"/>
  <c r="S793" i="9"/>
  <c r="R793" i="9"/>
  <c r="Q793" i="9"/>
  <c r="P793" i="9"/>
  <c r="O793" i="9"/>
  <c r="N793" i="9"/>
  <c r="M793" i="9"/>
  <c r="L793" i="9"/>
  <c r="K793" i="9"/>
  <c r="J793" i="9"/>
  <c r="I793" i="9"/>
  <c r="H793" i="9"/>
  <c r="G793" i="9"/>
  <c r="F793" i="9"/>
  <c r="AC792" i="9"/>
  <c r="AB792" i="9"/>
  <c r="AA792" i="9"/>
  <c r="Z792" i="9"/>
  <c r="Y792" i="9"/>
  <c r="X792" i="9"/>
  <c r="W792" i="9"/>
  <c r="V792" i="9"/>
  <c r="U792" i="9"/>
  <c r="T792" i="9"/>
  <c r="S792" i="9"/>
  <c r="R792" i="9"/>
  <c r="Q792" i="9"/>
  <c r="P792" i="9"/>
  <c r="O792" i="9"/>
  <c r="N792" i="9"/>
  <c r="M792" i="9"/>
  <c r="L792" i="9"/>
  <c r="K792" i="9"/>
  <c r="J792" i="9"/>
  <c r="I792" i="9"/>
  <c r="H792" i="9"/>
  <c r="G792" i="9"/>
  <c r="F792" i="9"/>
  <c r="AC791" i="9"/>
  <c r="AB791" i="9"/>
  <c r="AA791" i="9"/>
  <c r="Z791" i="9"/>
  <c r="Y791" i="9"/>
  <c r="X791" i="9"/>
  <c r="W791" i="9"/>
  <c r="V791" i="9"/>
  <c r="U791" i="9"/>
  <c r="T791" i="9"/>
  <c r="S791" i="9"/>
  <c r="R791" i="9"/>
  <c r="Q791" i="9"/>
  <c r="P791" i="9"/>
  <c r="O791" i="9"/>
  <c r="N791" i="9"/>
  <c r="M791" i="9"/>
  <c r="L791" i="9"/>
  <c r="K791" i="9"/>
  <c r="J791" i="9"/>
  <c r="I791" i="9"/>
  <c r="H791" i="9"/>
  <c r="G791" i="9"/>
  <c r="F791" i="9"/>
  <c r="AC790" i="9"/>
  <c r="AB790" i="9"/>
  <c r="AA790" i="9"/>
  <c r="Z790" i="9"/>
  <c r="Y790" i="9"/>
  <c r="X790" i="9"/>
  <c r="W790" i="9"/>
  <c r="V790" i="9"/>
  <c r="U790" i="9"/>
  <c r="T790" i="9"/>
  <c r="S790" i="9"/>
  <c r="R790" i="9"/>
  <c r="Q790" i="9"/>
  <c r="P790" i="9"/>
  <c r="O790" i="9"/>
  <c r="N790" i="9"/>
  <c r="M790" i="9"/>
  <c r="L790" i="9"/>
  <c r="K790" i="9"/>
  <c r="J790" i="9"/>
  <c r="I790" i="9"/>
  <c r="H790" i="9"/>
  <c r="G790" i="9"/>
  <c r="F790" i="9"/>
  <c r="AC789" i="9"/>
  <c r="AB789" i="9"/>
  <c r="AA789" i="9"/>
  <c r="Z789" i="9"/>
  <c r="Y789" i="9"/>
  <c r="X789" i="9"/>
  <c r="W789" i="9"/>
  <c r="V789" i="9"/>
  <c r="U789" i="9"/>
  <c r="T789" i="9"/>
  <c r="S789" i="9"/>
  <c r="R789" i="9"/>
  <c r="Q789" i="9"/>
  <c r="P789" i="9"/>
  <c r="O789" i="9"/>
  <c r="N789" i="9"/>
  <c r="M789" i="9"/>
  <c r="L789" i="9"/>
  <c r="K789" i="9"/>
  <c r="J789" i="9"/>
  <c r="I789" i="9"/>
  <c r="H789" i="9"/>
  <c r="G789" i="9"/>
  <c r="F789" i="9"/>
  <c r="AC788" i="9"/>
  <c r="AB788" i="9"/>
  <c r="AA788" i="9"/>
  <c r="Z788" i="9"/>
  <c r="Y788" i="9"/>
  <c r="X788" i="9"/>
  <c r="W788" i="9"/>
  <c r="V788" i="9"/>
  <c r="U788" i="9"/>
  <c r="T788" i="9"/>
  <c r="S788" i="9"/>
  <c r="R788" i="9"/>
  <c r="Q788" i="9"/>
  <c r="P788" i="9"/>
  <c r="O788" i="9"/>
  <c r="N788" i="9"/>
  <c r="M788" i="9"/>
  <c r="L788" i="9"/>
  <c r="K788" i="9"/>
  <c r="J788" i="9"/>
  <c r="I788" i="9"/>
  <c r="H788" i="9"/>
  <c r="G788" i="9"/>
  <c r="F788" i="9"/>
  <c r="AC787" i="9"/>
  <c r="AB787" i="9"/>
  <c r="AA787" i="9"/>
  <c r="Z787" i="9"/>
  <c r="Y787" i="9"/>
  <c r="X787" i="9"/>
  <c r="W787" i="9"/>
  <c r="V787" i="9"/>
  <c r="U787" i="9"/>
  <c r="T787" i="9"/>
  <c r="S787" i="9"/>
  <c r="R787" i="9"/>
  <c r="Q787" i="9"/>
  <c r="P787" i="9"/>
  <c r="O787" i="9"/>
  <c r="N787" i="9"/>
  <c r="M787" i="9"/>
  <c r="L787" i="9"/>
  <c r="K787" i="9"/>
  <c r="J787" i="9"/>
  <c r="I787" i="9"/>
  <c r="H787" i="9"/>
  <c r="G787" i="9"/>
  <c r="F787" i="9"/>
  <c r="AC786" i="9"/>
  <c r="AB786" i="9"/>
  <c r="AA786" i="9"/>
  <c r="Z786" i="9"/>
  <c r="Y786" i="9"/>
  <c r="X786" i="9"/>
  <c r="W786" i="9"/>
  <c r="V786" i="9"/>
  <c r="U786" i="9"/>
  <c r="T786" i="9"/>
  <c r="S786" i="9"/>
  <c r="R786" i="9"/>
  <c r="Q786" i="9"/>
  <c r="P786" i="9"/>
  <c r="O786" i="9"/>
  <c r="N786" i="9"/>
  <c r="M786" i="9"/>
  <c r="L786" i="9"/>
  <c r="K786" i="9"/>
  <c r="J786" i="9"/>
  <c r="I786" i="9"/>
  <c r="H786" i="9"/>
  <c r="G786" i="9"/>
  <c r="F786" i="9"/>
  <c r="AC785" i="9"/>
  <c r="AB785" i="9"/>
  <c r="AA785" i="9"/>
  <c r="Z785" i="9"/>
  <c r="Y785" i="9"/>
  <c r="X785" i="9"/>
  <c r="W785" i="9"/>
  <c r="V785" i="9"/>
  <c r="U785" i="9"/>
  <c r="T785" i="9"/>
  <c r="S785" i="9"/>
  <c r="R785" i="9"/>
  <c r="Q785" i="9"/>
  <c r="P785" i="9"/>
  <c r="O785" i="9"/>
  <c r="N785" i="9"/>
  <c r="M785" i="9"/>
  <c r="L785" i="9"/>
  <c r="K785" i="9"/>
  <c r="J785" i="9"/>
  <c r="I785" i="9"/>
  <c r="H785" i="9"/>
  <c r="G785" i="9"/>
  <c r="F785" i="9"/>
  <c r="AC784" i="9"/>
  <c r="AB784" i="9"/>
  <c r="AA784" i="9"/>
  <c r="Z784" i="9"/>
  <c r="Y784" i="9"/>
  <c r="X784" i="9"/>
  <c r="W784" i="9"/>
  <c r="V784" i="9"/>
  <c r="U784" i="9"/>
  <c r="T784" i="9"/>
  <c r="S784" i="9"/>
  <c r="R784" i="9"/>
  <c r="Q784" i="9"/>
  <c r="P784" i="9"/>
  <c r="O784" i="9"/>
  <c r="N784" i="9"/>
  <c r="M784" i="9"/>
  <c r="L784" i="9"/>
  <c r="K784" i="9"/>
  <c r="J784" i="9"/>
  <c r="I784" i="9"/>
  <c r="H784" i="9"/>
  <c r="G784" i="9"/>
  <c r="F784" i="9"/>
  <c r="AC783" i="9"/>
  <c r="AB783" i="9"/>
  <c r="AA783" i="9"/>
  <c r="Z783" i="9"/>
  <c r="Y783" i="9"/>
  <c r="X783" i="9"/>
  <c r="W783" i="9"/>
  <c r="V783" i="9"/>
  <c r="U783" i="9"/>
  <c r="T783" i="9"/>
  <c r="S783" i="9"/>
  <c r="R783" i="9"/>
  <c r="Q783" i="9"/>
  <c r="P783" i="9"/>
  <c r="O783" i="9"/>
  <c r="N783" i="9"/>
  <c r="M783" i="9"/>
  <c r="L783" i="9"/>
  <c r="K783" i="9"/>
  <c r="J783" i="9"/>
  <c r="I783" i="9"/>
  <c r="H783" i="9"/>
  <c r="G783" i="9"/>
  <c r="F783" i="9"/>
  <c r="AC782" i="9"/>
  <c r="AB782" i="9"/>
  <c r="AA782" i="9"/>
  <c r="Z782" i="9"/>
  <c r="Y782" i="9"/>
  <c r="X782" i="9"/>
  <c r="W782" i="9"/>
  <c r="V782" i="9"/>
  <c r="U782" i="9"/>
  <c r="T782" i="9"/>
  <c r="S782" i="9"/>
  <c r="R782" i="9"/>
  <c r="Q782" i="9"/>
  <c r="P782" i="9"/>
  <c r="O782" i="9"/>
  <c r="N782" i="9"/>
  <c r="M782" i="9"/>
  <c r="L782" i="9"/>
  <c r="K782" i="9"/>
  <c r="J782" i="9"/>
  <c r="I782" i="9"/>
  <c r="H782" i="9"/>
  <c r="G782" i="9"/>
  <c r="F782" i="9"/>
  <c r="AC781" i="9"/>
  <c r="AB781" i="9"/>
  <c r="AA781" i="9"/>
  <c r="Z781" i="9"/>
  <c r="Y781" i="9"/>
  <c r="X781" i="9"/>
  <c r="W781" i="9"/>
  <c r="V781" i="9"/>
  <c r="U781" i="9"/>
  <c r="T781" i="9"/>
  <c r="S781" i="9"/>
  <c r="R781" i="9"/>
  <c r="Q781" i="9"/>
  <c r="P781" i="9"/>
  <c r="O781" i="9"/>
  <c r="N781" i="9"/>
  <c r="M781" i="9"/>
  <c r="L781" i="9"/>
  <c r="K781" i="9"/>
  <c r="J781" i="9"/>
  <c r="I781" i="9"/>
  <c r="H781" i="9"/>
  <c r="G781" i="9"/>
  <c r="F781" i="9"/>
  <c r="AC780" i="9"/>
  <c r="AB780" i="9"/>
  <c r="AA780" i="9"/>
  <c r="Z780" i="9"/>
  <c r="Y780" i="9"/>
  <c r="X780" i="9"/>
  <c r="W780" i="9"/>
  <c r="V780" i="9"/>
  <c r="U780" i="9"/>
  <c r="T780" i="9"/>
  <c r="S780" i="9"/>
  <c r="R780" i="9"/>
  <c r="Q780" i="9"/>
  <c r="P780" i="9"/>
  <c r="O780" i="9"/>
  <c r="N780" i="9"/>
  <c r="M780" i="9"/>
  <c r="L780" i="9"/>
  <c r="K780" i="9"/>
  <c r="J780" i="9"/>
  <c r="I780" i="9"/>
  <c r="H780" i="9"/>
  <c r="G780" i="9"/>
  <c r="F780" i="9"/>
  <c r="AC779" i="9"/>
  <c r="AB779" i="9"/>
  <c r="AA779" i="9"/>
  <c r="Z779" i="9"/>
  <c r="Y779" i="9"/>
  <c r="X779" i="9"/>
  <c r="W779" i="9"/>
  <c r="V779" i="9"/>
  <c r="U779" i="9"/>
  <c r="T779" i="9"/>
  <c r="S779" i="9"/>
  <c r="R779" i="9"/>
  <c r="Q779" i="9"/>
  <c r="P779" i="9"/>
  <c r="O779" i="9"/>
  <c r="N779" i="9"/>
  <c r="M779" i="9"/>
  <c r="L779" i="9"/>
  <c r="K779" i="9"/>
  <c r="J779" i="9"/>
  <c r="I779" i="9"/>
  <c r="H779" i="9"/>
  <c r="G779" i="9"/>
  <c r="F779" i="9"/>
  <c r="AC778" i="9"/>
  <c r="AB778" i="9"/>
  <c r="AA778" i="9"/>
  <c r="Z778" i="9"/>
  <c r="Y778" i="9"/>
  <c r="X778" i="9"/>
  <c r="W778" i="9"/>
  <c r="V778" i="9"/>
  <c r="U778" i="9"/>
  <c r="T778" i="9"/>
  <c r="S778" i="9"/>
  <c r="R778" i="9"/>
  <c r="Q778" i="9"/>
  <c r="P778" i="9"/>
  <c r="O778" i="9"/>
  <c r="N778" i="9"/>
  <c r="M778" i="9"/>
  <c r="L778" i="9"/>
  <c r="K778" i="9"/>
  <c r="J778" i="9"/>
  <c r="I778" i="9"/>
  <c r="H778" i="9"/>
  <c r="G778" i="9"/>
  <c r="F778" i="9"/>
  <c r="AC777" i="9"/>
  <c r="AB777" i="9"/>
  <c r="AA777" i="9"/>
  <c r="Z777" i="9"/>
  <c r="Y777" i="9"/>
  <c r="X777" i="9"/>
  <c r="W777" i="9"/>
  <c r="V777" i="9"/>
  <c r="U777" i="9"/>
  <c r="T777" i="9"/>
  <c r="S777" i="9"/>
  <c r="R777" i="9"/>
  <c r="Q777" i="9"/>
  <c r="P777" i="9"/>
  <c r="O777" i="9"/>
  <c r="N777" i="9"/>
  <c r="M777" i="9"/>
  <c r="L777" i="9"/>
  <c r="K777" i="9"/>
  <c r="J777" i="9"/>
  <c r="I777" i="9"/>
  <c r="H777" i="9"/>
  <c r="G777" i="9"/>
  <c r="F777" i="9"/>
  <c r="AC776" i="9"/>
  <c r="AB776" i="9"/>
  <c r="AA776" i="9"/>
  <c r="Z776" i="9"/>
  <c r="Y776" i="9"/>
  <c r="X776" i="9"/>
  <c r="W776" i="9"/>
  <c r="V776" i="9"/>
  <c r="U776" i="9"/>
  <c r="T776" i="9"/>
  <c r="S776" i="9"/>
  <c r="R776" i="9"/>
  <c r="Q776" i="9"/>
  <c r="P776" i="9"/>
  <c r="O776" i="9"/>
  <c r="N776" i="9"/>
  <c r="M776" i="9"/>
  <c r="L776" i="9"/>
  <c r="K776" i="9"/>
  <c r="J776" i="9"/>
  <c r="I776" i="9"/>
  <c r="H776" i="9"/>
  <c r="G776" i="9"/>
  <c r="F776" i="9"/>
  <c r="AC775" i="9"/>
  <c r="AB775" i="9"/>
  <c r="AA775" i="9"/>
  <c r="Z775" i="9"/>
  <c r="Y775" i="9"/>
  <c r="X775" i="9"/>
  <c r="W775" i="9"/>
  <c r="V775" i="9"/>
  <c r="U775" i="9"/>
  <c r="T775" i="9"/>
  <c r="S775" i="9"/>
  <c r="R775" i="9"/>
  <c r="Q775" i="9"/>
  <c r="P775" i="9"/>
  <c r="O775" i="9"/>
  <c r="N775" i="9"/>
  <c r="M775" i="9"/>
  <c r="L775" i="9"/>
  <c r="K775" i="9"/>
  <c r="J775" i="9"/>
  <c r="I775" i="9"/>
  <c r="H775" i="9"/>
  <c r="G775" i="9"/>
  <c r="F775" i="9"/>
  <c r="AC774" i="9"/>
  <c r="AB774" i="9"/>
  <c r="AA774" i="9"/>
  <c r="Z774" i="9"/>
  <c r="Y774" i="9"/>
  <c r="X774" i="9"/>
  <c r="W774" i="9"/>
  <c r="V774" i="9"/>
  <c r="U774" i="9"/>
  <c r="T774" i="9"/>
  <c r="S774" i="9"/>
  <c r="R774" i="9"/>
  <c r="Q774" i="9"/>
  <c r="P774" i="9"/>
  <c r="O774" i="9"/>
  <c r="N774" i="9"/>
  <c r="M774" i="9"/>
  <c r="L774" i="9"/>
  <c r="K774" i="9"/>
  <c r="J774" i="9"/>
  <c r="I774" i="9"/>
  <c r="H774" i="9"/>
  <c r="G774" i="9"/>
  <c r="F774" i="9"/>
  <c r="AC773" i="9"/>
  <c r="AB773" i="9"/>
  <c r="AA773" i="9"/>
  <c r="Z773" i="9"/>
  <c r="Y773" i="9"/>
  <c r="X773" i="9"/>
  <c r="W773" i="9"/>
  <c r="V773" i="9"/>
  <c r="U773" i="9"/>
  <c r="T773" i="9"/>
  <c r="S773" i="9"/>
  <c r="R773" i="9"/>
  <c r="Q773" i="9"/>
  <c r="P773" i="9"/>
  <c r="O773" i="9"/>
  <c r="N773" i="9"/>
  <c r="M773" i="9"/>
  <c r="L773" i="9"/>
  <c r="K773" i="9"/>
  <c r="J773" i="9"/>
  <c r="I773" i="9"/>
  <c r="H773" i="9"/>
  <c r="G773" i="9"/>
  <c r="F773" i="9"/>
  <c r="AC772" i="9"/>
  <c r="AB772" i="9"/>
  <c r="AA772" i="9"/>
  <c r="Z772" i="9"/>
  <c r="Y772" i="9"/>
  <c r="X772" i="9"/>
  <c r="W772" i="9"/>
  <c r="V772" i="9"/>
  <c r="U772" i="9"/>
  <c r="T772" i="9"/>
  <c r="S772" i="9"/>
  <c r="R772" i="9"/>
  <c r="Q772" i="9"/>
  <c r="P772" i="9"/>
  <c r="O772" i="9"/>
  <c r="N772" i="9"/>
  <c r="M772" i="9"/>
  <c r="L772" i="9"/>
  <c r="K772" i="9"/>
  <c r="J772" i="9"/>
  <c r="I772" i="9"/>
  <c r="H772" i="9"/>
  <c r="G772" i="9"/>
  <c r="F772" i="9"/>
  <c r="AC771" i="9"/>
  <c r="AB771" i="9"/>
  <c r="AA771" i="9"/>
  <c r="Z771" i="9"/>
  <c r="Y771" i="9"/>
  <c r="X771" i="9"/>
  <c r="W771" i="9"/>
  <c r="V771" i="9"/>
  <c r="U771" i="9"/>
  <c r="T771" i="9"/>
  <c r="S771" i="9"/>
  <c r="R771" i="9"/>
  <c r="Q771" i="9"/>
  <c r="P771" i="9"/>
  <c r="O771" i="9"/>
  <c r="N771" i="9"/>
  <c r="M771" i="9"/>
  <c r="L771" i="9"/>
  <c r="K771" i="9"/>
  <c r="J771" i="9"/>
  <c r="I771" i="9"/>
  <c r="H771" i="9"/>
  <c r="G771" i="9"/>
  <c r="F771" i="9"/>
  <c r="AC770" i="9"/>
  <c r="AB770" i="9"/>
  <c r="AA770" i="9"/>
  <c r="Z770" i="9"/>
  <c r="Y770" i="9"/>
  <c r="X770" i="9"/>
  <c r="W770" i="9"/>
  <c r="V770" i="9"/>
  <c r="U770" i="9"/>
  <c r="T770" i="9"/>
  <c r="S770" i="9"/>
  <c r="R770" i="9"/>
  <c r="Q770" i="9"/>
  <c r="P770" i="9"/>
  <c r="O770" i="9"/>
  <c r="N770" i="9"/>
  <c r="M770" i="9"/>
  <c r="L770" i="9"/>
  <c r="K770" i="9"/>
  <c r="J770" i="9"/>
  <c r="I770" i="9"/>
  <c r="H770" i="9"/>
  <c r="G770" i="9"/>
  <c r="F770" i="9"/>
  <c r="AC769" i="9"/>
  <c r="AB769" i="9"/>
  <c r="AA769" i="9"/>
  <c r="Z769" i="9"/>
  <c r="Y769" i="9"/>
  <c r="X769" i="9"/>
  <c r="W769" i="9"/>
  <c r="V769" i="9"/>
  <c r="U769" i="9"/>
  <c r="T769" i="9"/>
  <c r="S769" i="9"/>
  <c r="R769" i="9"/>
  <c r="Q769" i="9"/>
  <c r="P769" i="9"/>
  <c r="O769" i="9"/>
  <c r="N769" i="9"/>
  <c r="M769" i="9"/>
  <c r="L769" i="9"/>
  <c r="K769" i="9"/>
  <c r="J769" i="9"/>
  <c r="I769" i="9"/>
  <c r="H769" i="9"/>
  <c r="G769" i="9"/>
  <c r="F769" i="9"/>
  <c r="AC768" i="9"/>
  <c r="AB768" i="9"/>
  <c r="AA768" i="9"/>
  <c r="Z768" i="9"/>
  <c r="Y768" i="9"/>
  <c r="X768" i="9"/>
  <c r="W768" i="9"/>
  <c r="V768" i="9"/>
  <c r="U768" i="9"/>
  <c r="T768" i="9"/>
  <c r="S768" i="9"/>
  <c r="R768" i="9"/>
  <c r="Q768" i="9"/>
  <c r="P768" i="9"/>
  <c r="O768" i="9"/>
  <c r="N768" i="9"/>
  <c r="M768" i="9"/>
  <c r="L768" i="9"/>
  <c r="K768" i="9"/>
  <c r="J768" i="9"/>
  <c r="I768" i="9"/>
  <c r="H768" i="9"/>
  <c r="G768" i="9"/>
  <c r="F768" i="9"/>
  <c r="AC767" i="9"/>
  <c r="AB767" i="9"/>
  <c r="AA767" i="9"/>
  <c r="Z767" i="9"/>
  <c r="Y767" i="9"/>
  <c r="X767" i="9"/>
  <c r="W767" i="9"/>
  <c r="V767" i="9"/>
  <c r="U767" i="9"/>
  <c r="T767" i="9"/>
  <c r="S767" i="9"/>
  <c r="R767" i="9"/>
  <c r="Q767" i="9"/>
  <c r="P767" i="9"/>
  <c r="O767" i="9"/>
  <c r="N767" i="9"/>
  <c r="M767" i="9"/>
  <c r="L767" i="9"/>
  <c r="K767" i="9"/>
  <c r="J767" i="9"/>
  <c r="I767" i="9"/>
  <c r="H767" i="9"/>
  <c r="G767" i="9"/>
  <c r="F767" i="9"/>
  <c r="AC766" i="9"/>
  <c r="AB766" i="9"/>
  <c r="AA766" i="9"/>
  <c r="Z766" i="9"/>
  <c r="Y766" i="9"/>
  <c r="X766" i="9"/>
  <c r="W766" i="9"/>
  <c r="V766" i="9"/>
  <c r="U766" i="9"/>
  <c r="T766" i="9"/>
  <c r="S766" i="9"/>
  <c r="R766" i="9"/>
  <c r="Q766" i="9"/>
  <c r="P766" i="9"/>
  <c r="O766" i="9"/>
  <c r="N766" i="9"/>
  <c r="M766" i="9"/>
  <c r="L766" i="9"/>
  <c r="K766" i="9"/>
  <c r="J766" i="9"/>
  <c r="I766" i="9"/>
  <c r="H766" i="9"/>
  <c r="G766" i="9"/>
  <c r="F766" i="9"/>
  <c r="AC765" i="9"/>
  <c r="AB765" i="9"/>
  <c r="AA765" i="9"/>
  <c r="Z765" i="9"/>
  <c r="Y765" i="9"/>
  <c r="X765" i="9"/>
  <c r="W765" i="9"/>
  <c r="V765" i="9"/>
  <c r="U765" i="9"/>
  <c r="T765" i="9"/>
  <c r="S765" i="9"/>
  <c r="R765" i="9"/>
  <c r="Q765" i="9"/>
  <c r="P765" i="9"/>
  <c r="O765" i="9"/>
  <c r="N765" i="9"/>
  <c r="M765" i="9"/>
  <c r="L765" i="9"/>
  <c r="K765" i="9"/>
  <c r="J765" i="9"/>
  <c r="I765" i="9"/>
  <c r="H765" i="9"/>
  <c r="G765" i="9"/>
  <c r="F765" i="9"/>
  <c r="AC764" i="9"/>
  <c r="AB764" i="9"/>
  <c r="AA764" i="9"/>
  <c r="Z764" i="9"/>
  <c r="Y764" i="9"/>
  <c r="X764" i="9"/>
  <c r="W764" i="9"/>
  <c r="V764" i="9"/>
  <c r="U764" i="9"/>
  <c r="T764" i="9"/>
  <c r="S764" i="9"/>
  <c r="R764" i="9"/>
  <c r="Q764" i="9"/>
  <c r="P764" i="9"/>
  <c r="O764" i="9"/>
  <c r="N764" i="9"/>
  <c r="M764" i="9"/>
  <c r="L764" i="9"/>
  <c r="K764" i="9"/>
  <c r="J764" i="9"/>
  <c r="I764" i="9"/>
  <c r="H764" i="9"/>
  <c r="G764" i="9"/>
  <c r="F764" i="9"/>
  <c r="AC763" i="9"/>
  <c r="AB763" i="9"/>
  <c r="AA763" i="9"/>
  <c r="Z763" i="9"/>
  <c r="Y763" i="9"/>
  <c r="X763" i="9"/>
  <c r="W763" i="9"/>
  <c r="V763" i="9"/>
  <c r="U763" i="9"/>
  <c r="T763" i="9"/>
  <c r="S763" i="9"/>
  <c r="R763" i="9"/>
  <c r="Q763" i="9"/>
  <c r="P763" i="9"/>
  <c r="O763" i="9"/>
  <c r="N763" i="9"/>
  <c r="M763" i="9"/>
  <c r="L763" i="9"/>
  <c r="K763" i="9"/>
  <c r="J763" i="9"/>
  <c r="I763" i="9"/>
  <c r="H763" i="9"/>
  <c r="G763" i="9"/>
  <c r="F763" i="9"/>
  <c r="AC762" i="9"/>
  <c r="AB762" i="9"/>
  <c r="AA762" i="9"/>
  <c r="Z762" i="9"/>
  <c r="Y762" i="9"/>
  <c r="X762" i="9"/>
  <c r="W762" i="9"/>
  <c r="V762" i="9"/>
  <c r="U762" i="9"/>
  <c r="T762" i="9"/>
  <c r="S762" i="9"/>
  <c r="R762" i="9"/>
  <c r="Q762" i="9"/>
  <c r="P762" i="9"/>
  <c r="O762" i="9"/>
  <c r="N762" i="9"/>
  <c r="M762" i="9"/>
  <c r="L762" i="9"/>
  <c r="K762" i="9"/>
  <c r="J762" i="9"/>
  <c r="I762" i="9"/>
  <c r="H762" i="9"/>
  <c r="G762" i="9"/>
  <c r="F762" i="9"/>
  <c r="AC761" i="9"/>
  <c r="AB761" i="9"/>
  <c r="AA761" i="9"/>
  <c r="Z761" i="9"/>
  <c r="Y761" i="9"/>
  <c r="X761" i="9"/>
  <c r="W761" i="9"/>
  <c r="V761" i="9"/>
  <c r="U761" i="9"/>
  <c r="T761" i="9"/>
  <c r="S761" i="9"/>
  <c r="R761" i="9"/>
  <c r="Q761" i="9"/>
  <c r="P761" i="9"/>
  <c r="O761" i="9"/>
  <c r="N761" i="9"/>
  <c r="M761" i="9"/>
  <c r="L761" i="9"/>
  <c r="K761" i="9"/>
  <c r="J761" i="9"/>
  <c r="I761" i="9"/>
  <c r="H761" i="9"/>
  <c r="G761" i="9"/>
  <c r="F761" i="9"/>
  <c r="AC760" i="9"/>
  <c r="AB760" i="9"/>
  <c r="AA760" i="9"/>
  <c r="Z760" i="9"/>
  <c r="Y760" i="9"/>
  <c r="X760" i="9"/>
  <c r="W760" i="9"/>
  <c r="V760" i="9"/>
  <c r="U760" i="9"/>
  <c r="T760" i="9"/>
  <c r="S760" i="9"/>
  <c r="R760" i="9"/>
  <c r="Q760" i="9"/>
  <c r="P760" i="9"/>
  <c r="O760" i="9"/>
  <c r="N760" i="9"/>
  <c r="M760" i="9"/>
  <c r="L760" i="9"/>
  <c r="K760" i="9"/>
  <c r="J760" i="9"/>
  <c r="I760" i="9"/>
  <c r="H760" i="9"/>
  <c r="G760" i="9"/>
  <c r="F760" i="9"/>
  <c r="AC759" i="9"/>
  <c r="AB759" i="9"/>
  <c r="AA759" i="9"/>
  <c r="Z759" i="9"/>
  <c r="Y759" i="9"/>
  <c r="X759" i="9"/>
  <c r="W759" i="9"/>
  <c r="V759" i="9"/>
  <c r="U759" i="9"/>
  <c r="T759" i="9"/>
  <c r="S759" i="9"/>
  <c r="R759" i="9"/>
  <c r="Q759" i="9"/>
  <c r="P759" i="9"/>
  <c r="O759" i="9"/>
  <c r="N759" i="9"/>
  <c r="M759" i="9"/>
  <c r="L759" i="9"/>
  <c r="K759" i="9"/>
  <c r="J759" i="9"/>
  <c r="I759" i="9"/>
  <c r="H759" i="9"/>
  <c r="G759" i="9"/>
  <c r="F759" i="9"/>
  <c r="AC758" i="9"/>
  <c r="AB758" i="9"/>
  <c r="AA758" i="9"/>
  <c r="Z758" i="9"/>
  <c r="Y758" i="9"/>
  <c r="X758" i="9"/>
  <c r="W758" i="9"/>
  <c r="V758" i="9"/>
  <c r="U758" i="9"/>
  <c r="T758" i="9"/>
  <c r="S758" i="9"/>
  <c r="R758" i="9"/>
  <c r="Q758" i="9"/>
  <c r="P758" i="9"/>
  <c r="O758" i="9"/>
  <c r="N758" i="9"/>
  <c r="M758" i="9"/>
  <c r="L758" i="9"/>
  <c r="K758" i="9"/>
  <c r="J758" i="9"/>
  <c r="I758" i="9"/>
  <c r="H758" i="9"/>
  <c r="G758" i="9"/>
  <c r="F758" i="9"/>
  <c r="AC757" i="9"/>
  <c r="AB757" i="9"/>
  <c r="AA757" i="9"/>
  <c r="Z757" i="9"/>
  <c r="Y757" i="9"/>
  <c r="X757" i="9"/>
  <c r="W757" i="9"/>
  <c r="V757" i="9"/>
  <c r="U757" i="9"/>
  <c r="T757" i="9"/>
  <c r="S757" i="9"/>
  <c r="R757" i="9"/>
  <c r="Q757" i="9"/>
  <c r="P757" i="9"/>
  <c r="O757" i="9"/>
  <c r="N757" i="9"/>
  <c r="M757" i="9"/>
  <c r="L757" i="9"/>
  <c r="K757" i="9"/>
  <c r="J757" i="9"/>
  <c r="I757" i="9"/>
  <c r="H757" i="9"/>
  <c r="G757" i="9"/>
  <c r="F757" i="9"/>
  <c r="AC756" i="9"/>
  <c r="AB756" i="9"/>
  <c r="AA756" i="9"/>
  <c r="Z756" i="9"/>
  <c r="Y756" i="9"/>
  <c r="X756" i="9"/>
  <c r="W756" i="9"/>
  <c r="V756" i="9"/>
  <c r="U756" i="9"/>
  <c r="T756" i="9"/>
  <c r="S756" i="9"/>
  <c r="R756" i="9"/>
  <c r="Q756" i="9"/>
  <c r="P756" i="9"/>
  <c r="O756" i="9"/>
  <c r="N756" i="9"/>
  <c r="M756" i="9"/>
  <c r="L756" i="9"/>
  <c r="K756" i="9"/>
  <c r="J756" i="9"/>
  <c r="I756" i="9"/>
  <c r="H756" i="9"/>
  <c r="G756" i="9"/>
  <c r="F756" i="9"/>
  <c r="AC755" i="9"/>
  <c r="AB755" i="9"/>
  <c r="AA755" i="9"/>
  <c r="Z755" i="9"/>
  <c r="Y755" i="9"/>
  <c r="X755" i="9"/>
  <c r="W755" i="9"/>
  <c r="V755" i="9"/>
  <c r="U755" i="9"/>
  <c r="T755" i="9"/>
  <c r="S755" i="9"/>
  <c r="R755" i="9"/>
  <c r="Q755" i="9"/>
  <c r="P755" i="9"/>
  <c r="O755" i="9"/>
  <c r="N755" i="9"/>
  <c r="M755" i="9"/>
  <c r="L755" i="9"/>
  <c r="K755" i="9"/>
  <c r="J755" i="9"/>
  <c r="I755" i="9"/>
  <c r="H755" i="9"/>
  <c r="G755" i="9"/>
  <c r="F755" i="9"/>
  <c r="AC754" i="9"/>
  <c r="AB754" i="9"/>
  <c r="AA754" i="9"/>
  <c r="Z754" i="9"/>
  <c r="Y754" i="9"/>
  <c r="X754" i="9"/>
  <c r="W754" i="9"/>
  <c r="V754" i="9"/>
  <c r="U754" i="9"/>
  <c r="T754" i="9"/>
  <c r="S754" i="9"/>
  <c r="R754" i="9"/>
  <c r="Q754" i="9"/>
  <c r="P754" i="9"/>
  <c r="O754" i="9"/>
  <c r="N754" i="9"/>
  <c r="M754" i="9"/>
  <c r="L754" i="9"/>
  <c r="K754" i="9"/>
  <c r="J754" i="9"/>
  <c r="I754" i="9"/>
  <c r="H754" i="9"/>
  <c r="G754" i="9"/>
  <c r="F754" i="9"/>
  <c r="AC753" i="9"/>
  <c r="AB753" i="9"/>
  <c r="AA753" i="9"/>
  <c r="Z753" i="9"/>
  <c r="Y753" i="9"/>
  <c r="X753" i="9"/>
  <c r="W753" i="9"/>
  <c r="V753" i="9"/>
  <c r="U753" i="9"/>
  <c r="T753" i="9"/>
  <c r="S753" i="9"/>
  <c r="R753" i="9"/>
  <c r="Q753" i="9"/>
  <c r="P753" i="9"/>
  <c r="O753" i="9"/>
  <c r="N753" i="9"/>
  <c r="M753" i="9"/>
  <c r="L753" i="9"/>
  <c r="K753" i="9"/>
  <c r="J753" i="9"/>
  <c r="I753" i="9"/>
  <c r="H753" i="9"/>
  <c r="G753" i="9"/>
  <c r="F753" i="9"/>
  <c r="AC752" i="9"/>
  <c r="AB752" i="9"/>
  <c r="AA752" i="9"/>
  <c r="Z752" i="9"/>
  <c r="Y752" i="9"/>
  <c r="X752" i="9"/>
  <c r="W752" i="9"/>
  <c r="V752" i="9"/>
  <c r="U752" i="9"/>
  <c r="T752" i="9"/>
  <c r="S752" i="9"/>
  <c r="R752" i="9"/>
  <c r="Q752" i="9"/>
  <c r="P752" i="9"/>
  <c r="O752" i="9"/>
  <c r="N752" i="9"/>
  <c r="M752" i="9"/>
  <c r="L752" i="9"/>
  <c r="K752" i="9"/>
  <c r="J752" i="9"/>
  <c r="I752" i="9"/>
  <c r="H752" i="9"/>
  <c r="G752" i="9"/>
  <c r="F752" i="9"/>
  <c r="AC751" i="9"/>
  <c r="AB751" i="9"/>
  <c r="AA751" i="9"/>
  <c r="Z751" i="9"/>
  <c r="Y751" i="9"/>
  <c r="X751" i="9"/>
  <c r="W751" i="9"/>
  <c r="V751" i="9"/>
  <c r="U751" i="9"/>
  <c r="T751" i="9"/>
  <c r="S751" i="9"/>
  <c r="R751" i="9"/>
  <c r="Q751" i="9"/>
  <c r="P751" i="9"/>
  <c r="O751" i="9"/>
  <c r="N751" i="9"/>
  <c r="M751" i="9"/>
  <c r="L751" i="9"/>
  <c r="K751" i="9"/>
  <c r="J751" i="9"/>
  <c r="I751" i="9"/>
  <c r="H751" i="9"/>
  <c r="G751" i="9"/>
  <c r="F751" i="9"/>
  <c r="AC750" i="9"/>
  <c r="AB750" i="9"/>
  <c r="AA750" i="9"/>
  <c r="Z750" i="9"/>
  <c r="Y750" i="9"/>
  <c r="X750" i="9"/>
  <c r="W750" i="9"/>
  <c r="V750" i="9"/>
  <c r="U750" i="9"/>
  <c r="T750" i="9"/>
  <c r="S750" i="9"/>
  <c r="R750" i="9"/>
  <c r="Q750" i="9"/>
  <c r="P750" i="9"/>
  <c r="O750" i="9"/>
  <c r="N750" i="9"/>
  <c r="M750" i="9"/>
  <c r="L750" i="9"/>
  <c r="K750" i="9"/>
  <c r="J750" i="9"/>
  <c r="I750" i="9"/>
  <c r="H750" i="9"/>
  <c r="G750" i="9"/>
  <c r="F750" i="9"/>
  <c r="AC749" i="9"/>
  <c r="AB749" i="9"/>
  <c r="AA749" i="9"/>
  <c r="Z749" i="9"/>
  <c r="Y749" i="9"/>
  <c r="X749" i="9"/>
  <c r="W749" i="9"/>
  <c r="V749" i="9"/>
  <c r="U749" i="9"/>
  <c r="T749" i="9"/>
  <c r="S749" i="9"/>
  <c r="R749" i="9"/>
  <c r="Q749" i="9"/>
  <c r="P749" i="9"/>
  <c r="O749" i="9"/>
  <c r="N749" i="9"/>
  <c r="M749" i="9"/>
  <c r="L749" i="9"/>
  <c r="K749" i="9"/>
  <c r="J749" i="9"/>
  <c r="I749" i="9"/>
  <c r="H749" i="9"/>
  <c r="G749" i="9"/>
  <c r="F749" i="9"/>
  <c r="AC748" i="9"/>
  <c r="AB748" i="9"/>
  <c r="AA748" i="9"/>
  <c r="Z748" i="9"/>
  <c r="Y748" i="9"/>
  <c r="X748" i="9"/>
  <c r="W748" i="9"/>
  <c r="V748" i="9"/>
  <c r="U748" i="9"/>
  <c r="T748" i="9"/>
  <c r="S748" i="9"/>
  <c r="R748" i="9"/>
  <c r="Q748" i="9"/>
  <c r="P748" i="9"/>
  <c r="O748" i="9"/>
  <c r="N748" i="9"/>
  <c r="M748" i="9"/>
  <c r="L748" i="9"/>
  <c r="K748" i="9"/>
  <c r="J748" i="9"/>
  <c r="I748" i="9"/>
  <c r="H748" i="9"/>
  <c r="G748" i="9"/>
  <c r="F748" i="9"/>
  <c r="AC747" i="9"/>
  <c r="AB747" i="9"/>
  <c r="AA747" i="9"/>
  <c r="Z747" i="9"/>
  <c r="Y747" i="9"/>
  <c r="X747" i="9"/>
  <c r="W747" i="9"/>
  <c r="V747" i="9"/>
  <c r="U747" i="9"/>
  <c r="T747" i="9"/>
  <c r="S747" i="9"/>
  <c r="R747" i="9"/>
  <c r="Q747" i="9"/>
  <c r="P747" i="9"/>
  <c r="O747" i="9"/>
  <c r="N747" i="9"/>
  <c r="M747" i="9"/>
  <c r="L747" i="9"/>
  <c r="K747" i="9"/>
  <c r="J747" i="9"/>
  <c r="I747" i="9"/>
  <c r="H747" i="9"/>
  <c r="G747" i="9"/>
  <c r="F747" i="9"/>
  <c r="AC746" i="9"/>
  <c r="AB746" i="9"/>
  <c r="AA746" i="9"/>
  <c r="Z746" i="9"/>
  <c r="Y746" i="9"/>
  <c r="X746" i="9"/>
  <c r="W746" i="9"/>
  <c r="V746" i="9"/>
  <c r="U746" i="9"/>
  <c r="T746" i="9"/>
  <c r="S746" i="9"/>
  <c r="R746" i="9"/>
  <c r="Q746" i="9"/>
  <c r="P746" i="9"/>
  <c r="O746" i="9"/>
  <c r="N746" i="9"/>
  <c r="M746" i="9"/>
  <c r="L746" i="9"/>
  <c r="K746" i="9"/>
  <c r="J746" i="9"/>
  <c r="I746" i="9"/>
  <c r="H746" i="9"/>
  <c r="G746" i="9"/>
  <c r="F746" i="9"/>
  <c r="AC745" i="9"/>
  <c r="AB745" i="9"/>
  <c r="AA745" i="9"/>
  <c r="Z745" i="9"/>
  <c r="Y745" i="9"/>
  <c r="X745" i="9"/>
  <c r="W745" i="9"/>
  <c r="V745" i="9"/>
  <c r="U745" i="9"/>
  <c r="T745" i="9"/>
  <c r="S745" i="9"/>
  <c r="R745" i="9"/>
  <c r="Q745" i="9"/>
  <c r="P745" i="9"/>
  <c r="O745" i="9"/>
  <c r="N745" i="9"/>
  <c r="M745" i="9"/>
  <c r="L745" i="9"/>
  <c r="K745" i="9"/>
  <c r="J745" i="9"/>
  <c r="I745" i="9"/>
  <c r="H745" i="9"/>
  <c r="G745" i="9"/>
  <c r="F745" i="9"/>
  <c r="AC744" i="9"/>
  <c r="AB744" i="9"/>
  <c r="AA744" i="9"/>
  <c r="Z744" i="9"/>
  <c r="Y744" i="9"/>
  <c r="X744" i="9"/>
  <c r="W744" i="9"/>
  <c r="V744" i="9"/>
  <c r="U744" i="9"/>
  <c r="T744" i="9"/>
  <c r="S744" i="9"/>
  <c r="R744" i="9"/>
  <c r="Q744" i="9"/>
  <c r="P744" i="9"/>
  <c r="O744" i="9"/>
  <c r="N744" i="9"/>
  <c r="M744" i="9"/>
  <c r="L744" i="9"/>
  <c r="K744" i="9"/>
  <c r="J744" i="9"/>
  <c r="I744" i="9"/>
  <c r="H744" i="9"/>
  <c r="G744" i="9"/>
  <c r="F744" i="9"/>
  <c r="AC743" i="9"/>
  <c r="AB743" i="9"/>
  <c r="AA743" i="9"/>
  <c r="Z743" i="9"/>
  <c r="Y743" i="9"/>
  <c r="X743" i="9"/>
  <c r="W743" i="9"/>
  <c r="V743" i="9"/>
  <c r="U743" i="9"/>
  <c r="T743" i="9"/>
  <c r="S743" i="9"/>
  <c r="R743" i="9"/>
  <c r="Q743" i="9"/>
  <c r="P743" i="9"/>
  <c r="O743" i="9"/>
  <c r="N743" i="9"/>
  <c r="M743" i="9"/>
  <c r="L743" i="9"/>
  <c r="K743" i="9"/>
  <c r="J743" i="9"/>
  <c r="I743" i="9"/>
  <c r="H743" i="9"/>
  <c r="G743" i="9"/>
  <c r="F743" i="9"/>
  <c r="AC742" i="9"/>
  <c r="AB742" i="9"/>
  <c r="AA742" i="9"/>
  <c r="Z742" i="9"/>
  <c r="Y742" i="9"/>
  <c r="X742" i="9"/>
  <c r="W742" i="9"/>
  <c r="V742" i="9"/>
  <c r="U742" i="9"/>
  <c r="T742" i="9"/>
  <c r="S742" i="9"/>
  <c r="R742" i="9"/>
  <c r="Q742" i="9"/>
  <c r="P742" i="9"/>
  <c r="O742" i="9"/>
  <c r="N742" i="9"/>
  <c r="M742" i="9"/>
  <c r="L742" i="9"/>
  <c r="K742" i="9"/>
  <c r="J742" i="9"/>
  <c r="I742" i="9"/>
  <c r="H742" i="9"/>
  <c r="G742" i="9"/>
  <c r="F742" i="9"/>
  <c r="AC741" i="9"/>
  <c r="AB741" i="9"/>
  <c r="AA741" i="9"/>
  <c r="Z741" i="9"/>
  <c r="Y741" i="9"/>
  <c r="X741" i="9"/>
  <c r="W741" i="9"/>
  <c r="V741" i="9"/>
  <c r="U741" i="9"/>
  <c r="T741" i="9"/>
  <c r="S741" i="9"/>
  <c r="R741" i="9"/>
  <c r="Q741" i="9"/>
  <c r="P741" i="9"/>
  <c r="O741" i="9"/>
  <c r="N741" i="9"/>
  <c r="M741" i="9"/>
  <c r="L741" i="9"/>
  <c r="K741" i="9"/>
  <c r="J741" i="9"/>
  <c r="I741" i="9"/>
  <c r="H741" i="9"/>
  <c r="G741" i="9"/>
  <c r="F741" i="9"/>
  <c r="AC740" i="9"/>
  <c r="AB740" i="9"/>
  <c r="AA740" i="9"/>
  <c r="Z740" i="9"/>
  <c r="Y740" i="9"/>
  <c r="X740" i="9"/>
  <c r="W740" i="9"/>
  <c r="V740" i="9"/>
  <c r="U740" i="9"/>
  <c r="T740" i="9"/>
  <c r="S740" i="9"/>
  <c r="R740" i="9"/>
  <c r="Q740" i="9"/>
  <c r="P740" i="9"/>
  <c r="O740" i="9"/>
  <c r="N740" i="9"/>
  <c r="M740" i="9"/>
  <c r="L740" i="9"/>
  <c r="K740" i="9"/>
  <c r="J740" i="9"/>
  <c r="I740" i="9"/>
  <c r="H740" i="9"/>
  <c r="G740" i="9"/>
  <c r="F740" i="9"/>
  <c r="AC739" i="9"/>
  <c r="AB739" i="9"/>
  <c r="AA739" i="9"/>
  <c r="Z739" i="9"/>
  <c r="Y739" i="9"/>
  <c r="X739" i="9"/>
  <c r="W739" i="9"/>
  <c r="V739" i="9"/>
  <c r="U739" i="9"/>
  <c r="T739" i="9"/>
  <c r="S739" i="9"/>
  <c r="R739" i="9"/>
  <c r="Q739" i="9"/>
  <c r="P739" i="9"/>
  <c r="O739" i="9"/>
  <c r="N739" i="9"/>
  <c r="M739" i="9"/>
  <c r="L739" i="9"/>
  <c r="K739" i="9"/>
  <c r="J739" i="9"/>
  <c r="I739" i="9"/>
  <c r="H739" i="9"/>
  <c r="G739" i="9"/>
  <c r="F739" i="9"/>
  <c r="AC738" i="9"/>
  <c r="AB738" i="9"/>
  <c r="AA738" i="9"/>
  <c r="Z738" i="9"/>
  <c r="Y738" i="9"/>
  <c r="X738" i="9"/>
  <c r="W738" i="9"/>
  <c r="V738" i="9"/>
  <c r="U738" i="9"/>
  <c r="T738" i="9"/>
  <c r="S738" i="9"/>
  <c r="R738" i="9"/>
  <c r="Q738" i="9"/>
  <c r="P738" i="9"/>
  <c r="O738" i="9"/>
  <c r="N738" i="9"/>
  <c r="M738" i="9"/>
  <c r="L738" i="9"/>
  <c r="K738" i="9"/>
  <c r="J738" i="9"/>
  <c r="I738" i="9"/>
  <c r="H738" i="9"/>
  <c r="G738" i="9"/>
  <c r="F738" i="9"/>
  <c r="AC737" i="9"/>
  <c r="AB737" i="9"/>
  <c r="AA737" i="9"/>
  <c r="Z737" i="9"/>
  <c r="Y737" i="9"/>
  <c r="X737" i="9"/>
  <c r="W737" i="9"/>
  <c r="V737" i="9"/>
  <c r="U737" i="9"/>
  <c r="T737" i="9"/>
  <c r="S737" i="9"/>
  <c r="R737" i="9"/>
  <c r="Q737" i="9"/>
  <c r="P737" i="9"/>
  <c r="O737" i="9"/>
  <c r="N737" i="9"/>
  <c r="M737" i="9"/>
  <c r="L737" i="9"/>
  <c r="K737" i="9"/>
  <c r="J737" i="9"/>
  <c r="I737" i="9"/>
  <c r="H737" i="9"/>
  <c r="G737" i="9"/>
  <c r="F737" i="9"/>
  <c r="AC736" i="9"/>
  <c r="AB736" i="9"/>
  <c r="AA736" i="9"/>
  <c r="Z736" i="9"/>
  <c r="Y736" i="9"/>
  <c r="X736" i="9"/>
  <c r="W736" i="9"/>
  <c r="V736" i="9"/>
  <c r="U736" i="9"/>
  <c r="T736" i="9"/>
  <c r="S736" i="9"/>
  <c r="R736" i="9"/>
  <c r="Q736" i="9"/>
  <c r="P736" i="9"/>
  <c r="O736" i="9"/>
  <c r="N736" i="9"/>
  <c r="M736" i="9"/>
  <c r="L736" i="9"/>
  <c r="K736" i="9"/>
  <c r="J736" i="9"/>
  <c r="I736" i="9"/>
  <c r="H736" i="9"/>
  <c r="G736" i="9"/>
  <c r="F736" i="9"/>
  <c r="AC735" i="9"/>
  <c r="AB735" i="9"/>
  <c r="AA735" i="9"/>
  <c r="Z735" i="9"/>
  <c r="Y735" i="9"/>
  <c r="X735" i="9"/>
  <c r="W735" i="9"/>
  <c r="V735" i="9"/>
  <c r="U735" i="9"/>
  <c r="T735" i="9"/>
  <c r="S735" i="9"/>
  <c r="R735" i="9"/>
  <c r="Q735" i="9"/>
  <c r="P735" i="9"/>
  <c r="O735" i="9"/>
  <c r="N735" i="9"/>
  <c r="M735" i="9"/>
  <c r="L735" i="9"/>
  <c r="K735" i="9"/>
  <c r="J735" i="9"/>
  <c r="I735" i="9"/>
  <c r="H735" i="9"/>
  <c r="G735" i="9"/>
  <c r="F735" i="9"/>
  <c r="AC734" i="9"/>
  <c r="AB734" i="9"/>
  <c r="AA734" i="9"/>
  <c r="Z734" i="9"/>
  <c r="Y734" i="9"/>
  <c r="X734" i="9"/>
  <c r="W734" i="9"/>
  <c r="V734" i="9"/>
  <c r="U734" i="9"/>
  <c r="T734" i="9"/>
  <c r="S734" i="9"/>
  <c r="R734" i="9"/>
  <c r="Q734" i="9"/>
  <c r="P734" i="9"/>
  <c r="O734" i="9"/>
  <c r="N734" i="9"/>
  <c r="M734" i="9"/>
  <c r="L734" i="9"/>
  <c r="K734" i="9"/>
  <c r="J734" i="9"/>
  <c r="I734" i="9"/>
  <c r="H734" i="9"/>
  <c r="G734" i="9"/>
  <c r="F734" i="9"/>
  <c r="AC733" i="9"/>
  <c r="AB733" i="9"/>
  <c r="AA733" i="9"/>
  <c r="Z733" i="9"/>
  <c r="Y733" i="9"/>
  <c r="X733" i="9"/>
  <c r="W733" i="9"/>
  <c r="V733" i="9"/>
  <c r="U733" i="9"/>
  <c r="T733" i="9"/>
  <c r="S733" i="9"/>
  <c r="R733" i="9"/>
  <c r="Q733" i="9"/>
  <c r="P733" i="9"/>
  <c r="O733" i="9"/>
  <c r="N733" i="9"/>
  <c r="M733" i="9"/>
  <c r="L733" i="9"/>
  <c r="K733" i="9"/>
  <c r="J733" i="9"/>
  <c r="I733" i="9"/>
  <c r="H733" i="9"/>
  <c r="G733" i="9"/>
  <c r="F733" i="9"/>
  <c r="AC732" i="9"/>
  <c r="AB732" i="9"/>
  <c r="AA732" i="9"/>
  <c r="Z732" i="9"/>
  <c r="Y732" i="9"/>
  <c r="X732" i="9"/>
  <c r="W732" i="9"/>
  <c r="V732" i="9"/>
  <c r="U732" i="9"/>
  <c r="T732" i="9"/>
  <c r="S732" i="9"/>
  <c r="R732" i="9"/>
  <c r="Q732" i="9"/>
  <c r="P732" i="9"/>
  <c r="O732" i="9"/>
  <c r="N732" i="9"/>
  <c r="M732" i="9"/>
  <c r="L732" i="9"/>
  <c r="K732" i="9"/>
  <c r="J732" i="9"/>
  <c r="I732" i="9"/>
  <c r="H732" i="9"/>
  <c r="G732" i="9"/>
  <c r="F732" i="9"/>
  <c r="AC731" i="9"/>
  <c r="AB731" i="9"/>
  <c r="AA731" i="9"/>
  <c r="Z731" i="9"/>
  <c r="Y731" i="9"/>
  <c r="X731" i="9"/>
  <c r="W731" i="9"/>
  <c r="V731" i="9"/>
  <c r="U731" i="9"/>
  <c r="T731" i="9"/>
  <c r="S731" i="9"/>
  <c r="R731" i="9"/>
  <c r="Q731" i="9"/>
  <c r="P731" i="9"/>
  <c r="O731" i="9"/>
  <c r="N731" i="9"/>
  <c r="M731" i="9"/>
  <c r="L731" i="9"/>
  <c r="K731" i="9"/>
  <c r="J731" i="9"/>
  <c r="I731" i="9"/>
  <c r="H731" i="9"/>
  <c r="G731" i="9"/>
  <c r="F731" i="9"/>
  <c r="AC730" i="9"/>
  <c r="AB730" i="9"/>
  <c r="AA730" i="9"/>
  <c r="Z730" i="9"/>
  <c r="Y730" i="9"/>
  <c r="X730" i="9"/>
  <c r="W730" i="9"/>
  <c r="V730" i="9"/>
  <c r="U730" i="9"/>
  <c r="T730" i="9"/>
  <c r="S730" i="9"/>
  <c r="R730" i="9"/>
  <c r="Q730" i="9"/>
  <c r="P730" i="9"/>
  <c r="O730" i="9"/>
  <c r="N730" i="9"/>
  <c r="M730" i="9"/>
  <c r="L730" i="9"/>
  <c r="K730" i="9"/>
  <c r="J730" i="9"/>
  <c r="I730" i="9"/>
  <c r="H730" i="9"/>
  <c r="G730" i="9"/>
  <c r="F730" i="9"/>
  <c r="AC729" i="9"/>
  <c r="AB729" i="9"/>
  <c r="AA729" i="9"/>
  <c r="Z729" i="9"/>
  <c r="Y729" i="9"/>
  <c r="X729" i="9"/>
  <c r="W729" i="9"/>
  <c r="V729" i="9"/>
  <c r="U729" i="9"/>
  <c r="T729" i="9"/>
  <c r="S729" i="9"/>
  <c r="R729" i="9"/>
  <c r="Q729" i="9"/>
  <c r="P729" i="9"/>
  <c r="O729" i="9"/>
  <c r="N729" i="9"/>
  <c r="M729" i="9"/>
  <c r="L729" i="9"/>
  <c r="K729" i="9"/>
  <c r="J729" i="9"/>
  <c r="I729" i="9"/>
  <c r="H729" i="9"/>
  <c r="G729" i="9"/>
  <c r="F729" i="9"/>
  <c r="AC728" i="9"/>
  <c r="AB728" i="9"/>
  <c r="AA728" i="9"/>
  <c r="Z728" i="9"/>
  <c r="Y728" i="9"/>
  <c r="X728" i="9"/>
  <c r="W728" i="9"/>
  <c r="V728" i="9"/>
  <c r="U728" i="9"/>
  <c r="T728" i="9"/>
  <c r="S728" i="9"/>
  <c r="R728" i="9"/>
  <c r="Q728" i="9"/>
  <c r="P728" i="9"/>
  <c r="O728" i="9"/>
  <c r="N728" i="9"/>
  <c r="M728" i="9"/>
  <c r="L728" i="9"/>
  <c r="K728" i="9"/>
  <c r="J728" i="9"/>
  <c r="I728" i="9"/>
  <c r="H728" i="9"/>
  <c r="G728" i="9"/>
  <c r="F728" i="9"/>
  <c r="AC727" i="9"/>
  <c r="AB727" i="9"/>
  <c r="AA727" i="9"/>
  <c r="Z727" i="9"/>
  <c r="Y727" i="9"/>
  <c r="X727" i="9"/>
  <c r="W727" i="9"/>
  <c r="V727" i="9"/>
  <c r="U727" i="9"/>
  <c r="T727" i="9"/>
  <c r="S727" i="9"/>
  <c r="R727" i="9"/>
  <c r="Q727" i="9"/>
  <c r="P727" i="9"/>
  <c r="O727" i="9"/>
  <c r="N727" i="9"/>
  <c r="M727" i="9"/>
  <c r="L727" i="9"/>
  <c r="K727" i="9"/>
  <c r="J727" i="9"/>
  <c r="I727" i="9"/>
  <c r="H727" i="9"/>
  <c r="G727" i="9"/>
  <c r="F727" i="9"/>
  <c r="AC726" i="9"/>
  <c r="AB726" i="9"/>
  <c r="AA726" i="9"/>
  <c r="Z726" i="9"/>
  <c r="Y726" i="9"/>
  <c r="X726" i="9"/>
  <c r="W726" i="9"/>
  <c r="V726" i="9"/>
  <c r="U726" i="9"/>
  <c r="T726" i="9"/>
  <c r="S726" i="9"/>
  <c r="R726" i="9"/>
  <c r="Q726" i="9"/>
  <c r="P726" i="9"/>
  <c r="O726" i="9"/>
  <c r="N726" i="9"/>
  <c r="M726" i="9"/>
  <c r="L726" i="9"/>
  <c r="K726" i="9"/>
  <c r="J726" i="9"/>
  <c r="I726" i="9"/>
  <c r="H726" i="9"/>
  <c r="G726" i="9"/>
  <c r="F726" i="9"/>
  <c r="AC725" i="9"/>
  <c r="AB725" i="9"/>
  <c r="AA725" i="9"/>
  <c r="Z725" i="9"/>
  <c r="Y725" i="9"/>
  <c r="X725" i="9"/>
  <c r="W725" i="9"/>
  <c r="V725" i="9"/>
  <c r="U725" i="9"/>
  <c r="T725" i="9"/>
  <c r="S725" i="9"/>
  <c r="R725" i="9"/>
  <c r="Q725" i="9"/>
  <c r="P725" i="9"/>
  <c r="O725" i="9"/>
  <c r="N725" i="9"/>
  <c r="M725" i="9"/>
  <c r="L725" i="9"/>
  <c r="K725" i="9"/>
  <c r="J725" i="9"/>
  <c r="I725" i="9"/>
  <c r="H725" i="9"/>
  <c r="G725" i="9"/>
  <c r="F725" i="9"/>
  <c r="AC724" i="9"/>
  <c r="AB724" i="9"/>
  <c r="AA724" i="9"/>
  <c r="Z724" i="9"/>
  <c r="Y724" i="9"/>
  <c r="X724" i="9"/>
  <c r="W724" i="9"/>
  <c r="V724" i="9"/>
  <c r="U724" i="9"/>
  <c r="T724" i="9"/>
  <c r="S724" i="9"/>
  <c r="R724" i="9"/>
  <c r="Q724" i="9"/>
  <c r="P724" i="9"/>
  <c r="O724" i="9"/>
  <c r="N724" i="9"/>
  <c r="M724" i="9"/>
  <c r="L724" i="9"/>
  <c r="K724" i="9"/>
  <c r="J724" i="9"/>
  <c r="I724" i="9"/>
  <c r="H724" i="9"/>
  <c r="G724" i="9"/>
  <c r="F724" i="9"/>
  <c r="AC723" i="9"/>
  <c r="AB723" i="9"/>
  <c r="AA723" i="9"/>
  <c r="Z723" i="9"/>
  <c r="Y723" i="9"/>
  <c r="X723" i="9"/>
  <c r="W723" i="9"/>
  <c r="V723" i="9"/>
  <c r="U723" i="9"/>
  <c r="T723" i="9"/>
  <c r="S723" i="9"/>
  <c r="R723" i="9"/>
  <c r="Q723" i="9"/>
  <c r="P723" i="9"/>
  <c r="O723" i="9"/>
  <c r="N723" i="9"/>
  <c r="M723" i="9"/>
  <c r="L723" i="9"/>
  <c r="K723" i="9"/>
  <c r="J723" i="9"/>
  <c r="I723" i="9"/>
  <c r="H723" i="9"/>
  <c r="G723" i="9"/>
  <c r="F723" i="9"/>
  <c r="AC722" i="9"/>
  <c r="AB722" i="9"/>
  <c r="AA722" i="9"/>
  <c r="Z722" i="9"/>
  <c r="Y722" i="9"/>
  <c r="X722" i="9"/>
  <c r="W722" i="9"/>
  <c r="V722" i="9"/>
  <c r="U722" i="9"/>
  <c r="T722" i="9"/>
  <c r="S722" i="9"/>
  <c r="R722" i="9"/>
  <c r="Q722" i="9"/>
  <c r="P722" i="9"/>
  <c r="O722" i="9"/>
  <c r="N722" i="9"/>
  <c r="M722" i="9"/>
  <c r="L722" i="9"/>
  <c r="K722" i="9"/>
  <c r="J722" i="9"/>
  <c r="I722" i="9"/>
  <c r="H722" i="9"/>
  <c r="G722" i="9"/>
  <c r="F722" i="9"/>
  <c r="AC721" i="9"/>
  <c r="AB721" i="9"/>
  <c r="AA721" i="9"/>
  <c r="Z721" i="9"/>
  <c r="Y721" i="9"/>
  <c r="X721" i="9"/>
  <c r="W721" i="9"/>
  <c r="V721" i="9"/>
  <c r="U721" i="9"/>
  <c r="T721" i="9"/>
  <c r="S721" i="9"/>
  <c r="R721" i="9"/>
  <c r="Q721" i="9"/>
  <c r="P721" i="9"/>
  <c r="O721" i="9"/>
  <c r="N721" i="9"/>
  <c r="M721" i="9"/>
  <c r="L721" i="9"/>
  <c r="K721" i="9"/>
  <c r="J721" i="9"/>
  <c r="I721" i="9"/>
  <c r="H721" i="9"/>
  <c r="G721" i="9"/>
  <c r="F721" i="9"/>
  <c r="AC720" i="9"/>
  <c r="AB720" i="9"/>
  <c r="AA720" i="9"/>
  <c r="Z720" i="9"/>
  <c r="Y720" i="9"/>
  <c r="X720" i="9"/>
  <c r="W720" i="9"/>
  <c r="V720" i="9"/>
  <c r="U720" i="9"/>
  <c r="T720" i="9"/>
  <c r="S720" i="9"/>
  <c r="R720" i="9"/>
  <c r="Q720" i="9"/>
  <c r="P720" i="9"/>
  <c r="O720" i="9"/>
  <c r="N720" i="9"/>
  <c r="M720" i="9"/>
  <c r="L720" i="9"/>
  <c r="K720" i="9"/>
  <c r="J720" i="9"/>
  <c r="I720" i="9"/>
  <c r="H720" i="9"/>
  <c r="G720" i="9"/>
  <c r="F720" i="9"/>
  <c r="AC719" i="9"/>
  <c r="AB719" i="9"/>
  <c r="AA719" i="9"/>
  <c r="Z719" i="9"/>
  <c r="Y719" i="9"/>
  <c r="X719" i="9"/>
  <c r="W719" i="9"/>
  <c r="V719" i="9"/>
  <c r="U719" i="9"/>
  <c r="T719" i="9"/>
  <c r="S719" i="9"/>
  <c r="R719" i="9"/>
  <c r="Q719" i="9"/>
  <c r="P719" i="9"/>
  <c r="O719" i="9"/>
  <c r="N719" i="9"/>
  <c r="M719" i="9"/>
  <c r="L719" i="9"/>
  <c r="K719" i="9"/>
  <c r="J719" i="9"/>
  <c r="I719" i="9"/>
  <c r="H719" i="9"/>
  <c r="G719" i="9"/>
  <c r="F719" i="9"/>
  <c r="AC718" i="9"/>
  <c r="AB718" i="9"/>
  <c r="AA718" i="9"/>
  <c r="Z718" i="9"/>
  <c r="Y718" i="9"/>
  <c r="X718" i="9"/>
  <c r="W718" i="9"/>
  <c r="V718" i="9"/>
  <c r="U718" i="9"/>
  <c r="T718" i="9"/>
  <c r="S718" i="9"/>
  <c r="R718" i="9"/>
  <c r="Q718" i="9"/>
  <c r="P718" i="9"/>
  <c r="O718" i="9"/>
  <c r="N718" i="9"/>
  <c r="M718" i="9"/>
  <c r="L718" i="9"/>
  <c r="K718" i="9"/>
  <c r="J718" i="9"/>
  <c r="I718" i="9"/>
  <c r="H718" i="9"/>
  <c r="G718" i="9"/>
  <c r="F718" i="9"/>
  <c r="AC717" i="9"/>
  <c r="AB717" i="9"/>
  <c r="AA717" i="9"/>
  <c r="Z717" i="9"/>
  <c r="Y717" i="9"/>
  <c r="X717" i="9"/>
  <c r="W717" i="9"/>
  <c r="V717" i="9"/>
  <c r="U717" i="9"/>
  <c r="T717" i="9"/>
  <c r="S717" i="9"/>
  <c r="R717" i="9"/>
  <c r="Q717" i="9"/>
  <c r="P717" i="9"/>
  <c r="O717" i="9"/>
  <c r="N717" i="9"/>
  <c r="M717" i="9"/>
  <c r="L717" i="9"/>
  <c r="K717" i="9"/>
  <c r="J717" i="9"/>
  <c r="I717" i="9"/>
  <c r="H717" i="9"/>
  <c r="G717" i="9"/>
  <c r="F717" i="9"/>
  <c r="AC716" i="9"/>
  <c r="AB716" i="9"/>
  <c r="AA716" i="9"/>
  <c r="Z716" i="9"/>
  <c r="Y716" i="9"/>
  <c r="X716" i="9"/>
  <c r="W716" i="9"/>
  <c r="V716" i="9"/>
  <c r="U716" i="9"/>
  <c r="T716" i="9"/>
  <c r="S716" i="9"/>
  <c r="R716" i="9"/>
  <c r="Q716" i="9"/>
  <c r="P716" i="9"/>
  <c r="O716" i="9"/>
  <c r="N716" i="9"/>
  <c r="M716" i="9"/>
  <c r="L716" i="9"/>
  <c r="K716" i="9"/>
  <c r="J716" i="9"/>
  <c r="I716" i="9"/>
  <c r="H716" i="9"/>
  <c r="G716" i="9"/>
  <c r="F716" i="9"/>
  <c r="AC715" i="9"/>
  <c r="AB715" i="9"/>
  <c r="AA715" i="9"/>
  <c r="Z715" i="9"/>
  <c r="Y715" i="9"/>
  <c r="X715" i="9"/>
  <c r="W715" i="9"/>
  <c r="V715" i="9"/>
  <c r="U715" i="9"/>
  <c r="T715" i="9"/>
  <c r="S715" i="9"/>
  <c r="R715" i="9"/>
  <c r="Q715" i="9"/>
  <c r="P715" i="9"/>
  <c r="O715" i="9"/>
  <c r="N715" i="9"/>
  <c r="M715" i="9"/>
  <c r="L715" i="9"/>
  <c r="K715" i="9"/>
  <c r="J715" i="9"/>
  <c r="I715" i="9"/>
  <c r="H715" i="9"/>
  <c r="G715" i="9"/>
  <c r="F715" i="9"/>
  <c r="AC714" i="9"/>
  <c r="AB714" i="9"/>
  <c r="AA714" i="9"/>
  <c r="Z714" i="9"/>
  <c r="Y714" i="9"/>
  <c r="X714" i="9"/>
  <c r="W714" i="9"/>
  <c r="V714" i="9"/>
  <c r="U714" i="9"/>
  <c r="T714" i="9"/>
  <c r="S714" i="9"/>
  <c r="R714" i="9"/>
  <c r="Q714" i="9"/>
  <c r="P714" i="9"/>
  <c r="O714" i="9"/>
  <c r="N714" i="9"/>
  <c r="M714" i="9"/>
  <c r="L714" i="9"/>
  <c r="K714" i="9"/>
  <c r="J714" i="9"/>
  <c r="I714" i="9"/>
  <c r="H714" i="9"/>
  <c r="G714" i="9"/>
  <c r="F714" i="9"/>
  <c r="AC713" i="9"/>
  <c r="AB713" i="9"/>
  <c r="AA713" i="9"/>
  <c r="Z713" i="9"/>
  <c r="Y713" i="9"/>
  <c r="X713" i="9"/>
  <c r="W713" i="9"/>
  <c r="V713" i="9"/>
  <c r="U713" i="9"/>
  <c r="T713" i="9"/>
  <c r="S713" i="9"/>
  <c r="R713" i="9"/>
  <c r="Q713" i="9"/>
  <c r="P713" i="9"/>
  <c r="O713" i="9"/>
  <c r="N713" i="9"/>
  <c r="M713" i="9"/>
  <c r="L713" i="9"/>
  <c r="K713" i="9"/>
  <c r="J713" i="9"/>
  <c r="I713" i="9"/>
  <c r="H713" i="9"/>
  <c r="G713" i="9"/>
  <c r="F713" i="9"/>
  <c r="AC712" i="9"/>
  <c r="AB712" i="9"/>
  <c r="AA712" i="9"/>
  <c r="Z712" i="9"/>
  <c r="Y712" i="9"/>
  <c r="X712" i="9"/>
  <c r="W712" i="9"/>
  <c r="V712" i="9"/>
  <c r="U712" i="9"/>
  <c r="T712" i="9"/>
  <c r="S712" i="9"/>
  <c r="R712" i="9"/>
  <c r="Q712" i="9"/>
  <c r="P712" i="9"/>
  <c r="O712" i="9"/>
  <c r="N712" i="9"/>
  <c r="M712" i="9"/>
  <c r="L712" i="9"/>
  <c r="K712" i="9"/>
  <c r="J712" i="9"/>
  <c r="I712" i="9"/>
  <c r="H712" i="9"/>
  <c r="G712" i="9"/>
  <c r="F712" i="9"/>
  <c r="AC711" i="9"/>
  <c r="AB711" i="9"/>
  <c r="AA711" i="9"/>
  <c r="Z711" i="9"/>
  <c r="Y711" i="9"/>
  <c r="X711" i="9"/>
  <c r="W711" i="9"/>
  <c r="V711" i="9"/>
  <c r="U711" i="9"/>
  <c r="T711" i="9"/>
  <c r="S711" i="9"/>
  <c r="R711" i="9"/>
  <c r="Q711" i="9"/>
  <c r="P711" i="9"/>
  <c r="O711" i="9"/>
  <c r="N711" i="9"/>
  <c r="M711" i="9"/>
  <c r="L711" i="9"/>
  <c r="K711" i="9"/>
  <c r="J711" i="9"/>
  <c r="I711" i="9"/>
  <c r="H711" i="9"/>
  <c r="G711" i="9"/>
  <c r="F711" i="9"/>
  <c r="AC710" i="9"/>
  <c r="AB710" i="9"/>
  <c r="AA710" i="9"/>
  <c r="Z710" i="9"/>
  <c r="Y710" i="9"/>
  <c r="X710" i="9"/>
  <c r="W710" i="9"/>
  <c r="V710" i="9"/>
  <c r="U710" i="9"/>
  <c r="T710" i="9"/>
  <c r="S710" i="9"/>
  <c r="R710" i="9"/>
  <c r="Q710" i="9"/>
  <c r="P710" i="9"/>
  <c r="O710" i="9"/>
  <c r="N710" i="9"/>
  <c r="M710" i="9"/>
  <c r="L710" i="9"/>
  <c r="K710" i="9"/>
  <c r="J710" i="9"/>
  <c r="I710" i="9"/>
  <c r="H710" i="9"/>
  <c r="G710" i="9"/>
  <c r="F710" i="9"/>
  <c r="AC709" i="9"/>
  <c r="AB709" i="9"/>
  <c r="AA709" i="9"/>
  <c r="Z709" i="9"/>
  <c r="Y709" i="9"/>
  <c r="X709" i="9"/>
  <c r="W709" i="9"/>
  <c r="V709" i="9"/>
  <c r="U709" i="9"/>
  <c r="T709" i="9"/>
  <c r="S709" i="9"/>
  <c r="R709" i="9"/>
  <c r="Q709" i="9"/>
  <c r="P709" i="9"/>
  <c r="O709" i="9"/>
  <c r="N709" i="9"/>
  <c r="M709" i="9"/>
  <c r="L709" i="9"/>
  <c r="K709" i="9"/>
  <c r="J709" i="9"/>
  <c r="I709" i="9"/>
  <c r="H709" i="9"/>
  <c r="G709" i="9"/>
  <c r="F709" i="9"/>
  <c r="AC708" i="9"/>
  <c r="AB708" i="9"/>
  <c r="AA708" i="9"/>
  <c r="Z708" i="9"/>
  <c r="Y708" i="9"/>
  <c r="X708" i="9"/>
  <c r="W708" i="9"/>
  <c r="V708" i="9"/>
  <c r="U708" i="9"/>
  <c r="T708" i="9"/>
  <c r="S708" i="9"/>
  <c r="R708" i="9"/>
  <c r="Q708" i="9"/>
  <c r="P708" i="9"/>
  <c r="O708" i="9"/>
  <c r="N708" i="9"/>
  <c r="M708" i="9"/>
  <c r="L708" i="9"/>
  <c r="K708" i="9"/>
  <c r="J708" i="9"/>
  <c r="I708" i="9"/>
  <c r="H708" i="9"/>
  <c r="G708" i="9"/>
  <c r="F708" i="9"/>
  <c r="AC707" i="9"/>
  <c r="AB707" i="9"/>
  <c r="AA707" i="9"/>
  <c r="Z707" i="9"/>
  <c r="Y707" i="9"/>
  <c r="X707" i="9"/>
  <c r="W707" i="9"/>
  <c r="V707" i="9"/>
  <c r="U707" i="9"/>
  <c r="T707" i="9"/>
  <c r="S707" i="9"/>
  <c r="R707" i="9"/>
  <c r="Q707" i="9"/>
  <c r="P707" i="9"/>
  <c r="O707" i="9"/>
  <c r="N707" i="9"/>
  <c r="M707" i="9"/>
  <c r="L707" i="9"/>
  <c r="K707" i="9"/>
  <c r="J707" i="9"/>
  <c r="I707" i="9"/>
  <c r="H707" i="9"/>
  <c r="G707" i="9"/>
  <c r="F707" i="9"/>
  <c r="AC706" i="9"/>
  <c r="AB706" i="9"/>
  <c r="AA706" i="9"/>
  <c r="Z706" i="9"/>
  <c r="Y706" i="9"/>
  <c r="X706" i="9"/>
  <c r="W706" i="9"/>
  <c r="V706" i="9"/>
  <c r="U706" i="9"/>
  <c r="T706" i="9"/>
  <c r="S706" i="9"/>
  <c r="R706" i="9"/>
  <c r="Q706" i="9"/>
  <c r="P706" i="9"/>
  <c r="O706" i="9"/>
  <c r="N706" i="9"/>
  <c r="M706" i="9"/>
  <c r="L706" i="9"/>
  <c r="K706" i="9"/>
  <c r="J706" i="9"/>
  <c r="I706" i="9"/>
  <c r="H706" i="9"/>
  <c r="G706" i="9"/>
  <c r="F706" i="9"/>
  <c r="AC705" i="9"/>
  <c r="AB705" i="9"/>
  <c r="AA705" i="9"/>
  <c r="Z705" i="9"/>
  <c r="Y705" i="9"/>
  <c r="X705" i="9"/>
  <c r="W705" i="9"/>
  <c r="V705" i="9"/>
  <c r="U705" i="9"/>
  <c r="T705" i="9"/>
  <c r="S705" i="9"/>
  <c r="R705" i="9"/>
  <c r="Q705" i="9"/>
  <c r="P705" i="9"/>
  <c r="O705" i="9"/>
  <c r="N705" i="9"/>
  <c r="M705" i="9"/>
  <c r="L705" i="9"/>
  <c r="K705" i="9"/>
  <c r="J705" i="9"/>
  <c r="I705" i="9"/>
  <c r="H705" i="9"/>
  <c r="G705" i="9"/>
  <c r="F705" i="9"/>
  <c r="AC704" i="9"/>
  <c r="AB704" i="9"/>
  <c r="AA704" i="9"/>
  <c r="Z704" i="9"/>
  <c r="Y704" i="9"/>
  <c r="X704" i="9"/>
  <c r="W704" i="9"/>
  <c r="V704" i="9"/>
  <c r="U704" i="9"/>
  <c r="T704" i="9"/>
  <c r="S704" i="9"/>
  <c r="R704" i="9"/>
  <c r="Q704" i="9"/>
  <c r="P704" i="9"/>
  <c r="O704" i="9"/>
  <c r="N704" i="9"/>
  <c r="M704" i="9"/>
  <c r="L704" i="9"/>
  <c r="K704" i="9"/>
  <c r="J704" i="9"/>
  <c r="I704" i="9"/>
  <c r="H704" i="9"/>
  <c r="G704" i="9"/>
  <c r="F704" i="9"/>
  <c r="AC703" i="9"/>
  <c r="AB703" i="9"/>
  <c r="AA703" i="9"/>
  <c r="Z703" i="9"/>
  <c r="Y703" i="9"/>
  <c r="X703" i="9"/>
  <c r="W703" i="9"/>
  <c r="V703" i="9"/>
  <c r="U703" i="9"/>
  <c r="T703" i="9"/>
  <c r="S703" i="9"/>
  <c r="R703" i="9"/>
  <c r="Q703" i="9"/>
  <c r="P703" i="9"/>
  <c r="O703" i="9"/>
  <c r="N703" i="9"/>
  <c r="M703" i="9"/>
  <c r="L703" i="9"/>
  <c r="K703" i="9"/>
  <c r="J703" i="9"/>
  <c r="I703" i="9"/>
  <c r="H703" i="9"/>
  <c r="G703" i="9"/>
  <c r="F703" i="9"/>
  <c r="AC702" i="9"/>
  <c r="AB702" i="9"/>
  <c r="AA702" i="9"/>
  <c r="Z702" i="9"/>
  <c r="Y702" i="9"/>
  <c r="X702" i="9"/>
  <c r="W702" i="9"/>
  <c r="V702" i="9"/>
  <c r="U702" i="9"/>
  <c r="T702" i="9"/>
  <c r="S702" i="9"/>
  <c r="R702" i="9"/>
  <c r="Q702" i="9"/>
  <c r="P702" i="9"/>
  <c r="O702" i="9"/>
  <c r="N702" i="9"/>
  <c r="M702" i="9"/>
  <c r="L702" i="9"/>
  <c r="K702" i="9"/>
  <c r="J702" i="9"/>
  <c r="I702" i="9"/>
  <c r="H702" i="9"/>
  <c r="G702" i="9"/>
  <c r="F702" i="9"/>
  <c r="AC701" i="9"/>
  <c r="AB701" i="9"/>
  <c r="AA701" i="9"/>
  <c r="Z701" i="9"/>
  <c r="Y701" i="9"/>
  <c r="X701" i="9"/>
  <c r="W701" i="9"/>
  <c r="V701" i="9"/>
  <c r="U701" i="9"/>
  <c r="T701" i="9"/>
  <c r="S701" i="9"/>
  <c r="R701" i="9"/>
  <c r="Q701" i="9"/>
  <c r="P701" i="9"/>
  <c r="O701" i="9"/>
  <c r="N701" i="9"/>
  <c r="M701" i="9"/>
  <c r="L701" i="9"/>
  <c r="K701" i="9"/>
  <c r="J701" i="9"/>
  <c r="I701" i="9"/>
  <c r="H701" i="9"/>
  <c r="G701" i="9"/>
  <c r="F701" i="9"/>
  <c r="AC700" i="9"/>
  <c r="AB700" i="9"/>
  <c r="AA700" i="9"/>
  <c r="Z700" i="9"/>
  <c r="Y700" i="9"/>
  <c r="X700" i="9"/>
  <c r="W700" i="9"/>
  <c r="V700" i="9"/>
  <c r="U700" i="9"/>
  <c r="T700" i="9"/>
  <c r="S700" i="9"/>
  <c r="R700" i="9"/>
  <c r="Q700" i="9"/>
  <c r="P700" i="9"/>
  <c r="O700" i="9"/>
  <c r="N700" i="9"/>
  <c r="M700" i="9"/>
  <c r="L700" i="9"/>
  <c r="K700" i="9"/>
  <c r="J700" i="9"/>
  <c r="I700" i="9"/>
  <c r="H700" i="9"/>
  <c r="G700" i="9"/>
  <c r="F700" i="9"/>
  <c r="AC699" i="9"/>
  <c r="AB699" i="9"/>
  <c r="AA699" i="9"/>
  <c r="Z699" i="9"/>
  <c r="Y699" i="9"/>
  <c r="X699" i="9"/>
  <c r="W699" i="9"/>
  <c r="V699" i="9"/>
  <c r="U699" i="9"/>
  <c r="T699" i="9"/>
  <c r="S699" i="9"/>
  <c r="R699" i="9"/>
  <c r="Q699" i="9"/>
  <c r="P699" i="9"/>
  <c r="O699" i="9"/>
  <c r="N699" i="9"/>
  <c r="M699" i="9"/>
  <c r="L699" i="9"/>
  <c r="K699" i="9"/>
  <c r="J699" i="9"/>
  <c r="I699" i="9"/>
  <c r="H699" i="9"/>
  <c r="G699" i="9"/>
  <c r="F699" i="9"/>
  <c r="AC698" i="9"/>
  <c r="AB698" i="9"/>
  <c r="AA698" i="9"/>
  <c r="Z698" i="9"/>
  <c r="Y698" i="9"/>
  <c r="X698" i="9"/>
  <c r="W698" i="9"/>
  <c r="V698" i="9"/>
  <c r="U698" i="9"/>
  <c r="T698" i="9"/>
  <c r="S698" i="9"/>
  <c r="R698" i="9"/>
  <c r="Q698" i="9"/>
  <c r="P698" i="9"/>
  <c r="O698" i="9"/>
  <c r="N698" i="9"/>
  <c r="M698" i="9"/>
  <c r="L698" i="9"/>
  <c r="K698" i="9"/>
  <c r="J698" i="9"/>
  <c r="I698" i="9"/>
  <c r="H698" i="9"/>
  <c r="G698" i="9"/>
  <c r="F698" i="9"/>
  <c r="AC697" i="9"/>
  <c r="AB697" i="9"/>
  <c r="AA697" i="9"/>
  <c r="Z697" i="9"/>
  <c r="Y697" i="9"/>
  <c r="X697" i="9"/>
  <c r="W697" i="9"/>
  <c r="V697" i="9"/>
  <c r="U697" i="9"/>
  <c r="T697" i="9"/>
  <c r="S697" i="9"/>
  <c r="R697" i="9"/>
  <c r="Q697" i="9"/>
  <c r="P697" i="9"/>
  <c r="O697" i="9"/>
  <c r="N697" i="9"/>
  <c r="M697" i="9"/>
  <c r="L697" i="9"/>
  <c r="K697" i="9"/>
  <c r="J697" i="9"/>
  <c r="I697" i="9"/>
  <c r="H697" i="9"/>
  <c r="G697" i="9"/>
  <c r="F697" i="9"/>
  <c r="AC696" i="9"/>
  <c r="AB696" i="9"/>
  <c r="AA696" i="9"/>
  <c r="Z696" i="9"/>
  <c r="Y696" i="9"/>
  <c r="X696" i="9"/>
  <c r="W696" i="9"/>
  <c r="V696" i="9"/>
  <c r="U696" i="9"/>
  <c r="T696" i="9"/>
  <c r="S696" i="9"/>
  <c r="R696" i="9"/>
  <c r="Q696" i="9"/>
  <c r="P696" i="9"/>
  <c r="O696" i="9"/>
  <c r="N696" i="9"/>
  <c r="M696" i="9"/>
  <c r="L696" i="9"/>
  <c r="K696" i="9"/>
  <c r="J696" i="9"/>
  <c r="I696" i="9"/>
  <c r="H696" i="9"/>
  <c r="G696" i="9"/>
  <c r="F696" i="9"/>
  <c r="AC695" i="9"/>
  <c r="AB695" i="9"/>
  <c r="AA695" i="9"/>
  <c r="Z695" i="9"/>
  <c r="Y695" i="9"/>
  <c r="X695" i="9"/>
  <c r="W695" i="9"/>
  <c r="V695" i="9"/>
  <c r="U695" i="9"/>
  <c r="T695" i="9"/>
  <c r="S695" i="9"/>
  <c r="R695" i="9"/>
  <c r="Q695" i="9"/>
  <c r="P695" i="9"/>
  <c r="O695" i="9"/>
  <c r="N695" i="9"/>
  <c r="M695" i="9"/>
  <c r="L695" i="9"/>
  <c r="K695" i="9"/>
  <c r="J695" i="9"/>
  <c r="I695" i="9"/>
  <c r="H695" i="9"/>
  <c r="G695" i="9"/>
  <c r="F695" i="9"/>
  <c r="AC694" i="9"/>
  <c r="AB694" i="9"/>
  <c r="AA694" i="9"/>
  <c r="Z694" i="9"/>
  <c r="Y694" i="9"/>
  <c r="X694" i="9"/>
  <c r="W694" i="9"/>
  <c r="V694" i="9"/>
  <c r="U694" i="9"/>
  <c r="T694" i="9"/>
  <c r="S694" i="9"/>
  <c r="R694" i="9"/>
  <c r="Q694" i="9"/>
  <c r="P694" i="9"/>
  <c r="O694" i="9"/>
  <c r="N694" i="9"/>
  <c r="M694" i="9"/>
  <c r="L694" i="9"/>
  <c r="K694" i="9"/>
  <c r="J694" i="9"/>
  <c r="I694" i="9"/>
  <c r="H694" i="9"/>
  <c r="G694" i="9"/>
  <c r="F694" i="9"/>
  <c r="AC693" i="9"/>
  <c r="AB693" i="9"/>
  <c r="AA693" i="9"/>
  <c r="Z693" i="9"/>
  <c r="Y693" i="9"/>
  <c r="X693" i="9"/>
  <c r="W693" i="9"/>
  <c r="V693" i="9"/>
  <c r="U693" i="9"/>
  <c r="T693" i="9"/>
  <c r="S693" i="9"/>
  <c r="R693" i="9"/>
  <c r="Q693" i="9"/>
  <c r="P693" i="9"/>
  <c r="O693" i="9"/>
  <c r="N693" i="9"/>
  <c r="M693" i="9"/>
  <c r="L693" i="9"/>
  <c r="K693" i="9"/>
  <c r="J693" i="9"/>
  <c r="I693" i="9"/>
  <c r="H693" i="9"/>
  <c r="G693" i="9"/>
  <c r="F693" i="9"/>
  <c r="AC692" i="9"/>
  <c r="AB692" i="9"/>
  <c r="AA692" i="9"/>
  <c r="Z692" i="9"/>
  <c r="Y692" i="9"/>
  <c r="X692" i="9"/>
  <c r="W692" i="9"/>
  <c r="V692" i="9"/>
  <c r="U692" i="9"/>
  <c r="T692" i="9"/>
  <c r="S692" i="9"/>
  <c r="R692" i="9"/>
  <c r="Q692" i="9"/>
  <c r="P692" i="9"/>
  <c r="O692" i="9"/>
  <c r="N692" i="9"/>
  <c r="M692" i="9"/>
  <c r="L692" i="9"/>
  <c r="K692" i="9"/>
  <c r="J692" i="9"/>
  <c r="I692" i="9"/>
  <c r="H692" i="9"/>
  <c r="G692" i="9"/>
  <c r="F692" i="9"/>
  <c r="AC691" i="9"/>
  <c r="AB691" i="9"/>
  <c r="AA691" i="9"/>
  <c r="Z691" i="9"/>
  <c r="Y691" i="9"/>
  <c r="X691" i="9"/>
  <c r="W691" i="9"/>
  <c r="V691" i="9"/>
  <c r="U691" i="9"/>
  <c r="T691" i="9"/>
  <c r="S691" i="9"/>
  <c r="R691" i="9"/>
  <c r="Q691" i="9"/>
  <c r="P691" i="9"/>
  <c r="O691" i="9"/>
  <c r="N691" i="9"/>
  <c r="M691" i="9"/>
  <c r="L691" i="9"/>
  <c r="K691" i="9"/>
  <c r="J691" i="9"/>
  <c r="I691" i="9"/>
  <c r="H691" i="9"/>
  <c r="G691" i="9"/>
  <c r="F691" i="9"/>
  <c r="AC690" i="9"/>
  <c r="AB690" i="9"/>
  <c r="AA690" i="9"/>
  <c r="Z690" i="9"/>
  <c r="Y690" i="9"/>
  <c r="X690" i="9"/>
  <c r="W690" i="9"/>
  <c r="V690" i="9"/>
  <c r="U690" i="9"/>
  <c r="T690" i="9"/>
  <c r="S690" i="9"/>
  <c r="R690" i="9"/>
  <c r="Q690" i="9"/>
  <c r="P690" i="9"/>
  <c r="O690" i="9"/>
  <c r="N690" i="9"/>
  <c r="M690" i="9"/>
  <c r="L690" i="9"/>
  <c r="K690" i="9"/>
  <c r="J690" i="9"/>
  <c r="I690" i="9"/>
  <c r="H690" i="9"/>
  <c r="G690" i="9"/>
  <c r="F690" i="9"/>
  <c r="AC689" i="9"/>
  <c r="AB689" i="9"/>
  <c r="AA689" i="9"/>
  <c r="Z689" i="9"/>
  <c r="Y689" i="9"/>
  <c r="X689" i="9"/>
  <c r="W689" i="9"/>
  <c r="V689" i="9"/>
  <c r="U689" i="9"/>
  <c r="T689" i="9"/>
  <c r="S689" i="9"/>
  <c r="R689" i="9"/>
  <c r="Q689" i="9"/>
  <c r="P689" i="9"/>
  <c r="O689" i="9"/>
  <c r="N689" i="9"/>
  <c r="M689" i="9"/>
  <c r="L689" i="9"/>
  <c r="K689" i="9"/>
  <c r="J689" i="9"/>
  <c r="I689" i="9"/>
  <c r="H689" i="9"/>
  <c r="G689" i="9"/>
  <c r="F689" i="9"/>
  <c r="AC688" i="9"/>
  <c r="AB688" i="9"/>
  <c r="AA688" i="9"/>
  <c r="Z688" i="9"/>
  <c r="Y688" i="9"/>
  <c r="X688" i="9"/>
  <c r="W688" i="9"/>
  <c r="V688" i="9"/>
  <c r="U688" i="9"/>
  <c r="T688" i="9"/>
  <c r="S688" i="9"/>
  <c r="R688" i="9"/>
  <c r="Q688" i="9"/>
  <c r="P688" i="9"/>
  <c r="O688" i="9"/>
  <c r="N688" i="9"/>
  <c r="M688" i="9"/>
  <c r="L688" i="9"/>
  <c r="K688" i="9"/>
  <c r="J688" i="9"/>
  <c r="I688" i="9"/>
  <c r="H688" i="9"/>
  <c r="G688" i="9"/>
  <c r="F688" i="9"/>
  <c r="AC687" i="9"/>
  <c r="AB687" i="9"/>
  <c r="AA687" i="9"/>
  <c r="Z687" i="9"/>
  <c r="Y687" i="9"/>
  <c r="X687" i="9"/>
  <c r="W687" i="9"/>
  <c r="V687" i="9"/>
  <c r="U687" i="9"/>
  <c r="T687" i="9"/>
  <c r="S687" i="9"/>
  <c r="R687" i="9"/>
  <c r="Q687" i="9"/>
  <c r="P687" i="9"/>
  <c r="O687" i="9"/>
  <c r="N687" i="9"/>
  <c r="M687" i="9"/>
  <c r="L687" i="9"/>
  <c r="K687" i="9"/>
  <c r="J687" i="9"/>
  <c r="I687" i="9"/>
  <c r="H687" i="9"/>
  <c r="G687" i="9"/>
  <c r="F687" i="9"/>
  <c r="AC686" i="9"/>
  <c r="AB686" i="9"/>
  <c r="AA686" i="9"/>
  <c r="Z686" i="9"/>
  <c r="Y686" i="9"/>
  <c r="X686" i="9"/>
  <c r="W686" i="9"/>
  <c r="V686" i="9"/>
  <c r="U686" i="9"/>
  <c r="T686" i="9"/>
  <c r="S686" i="9"/>
  <c r="R686" i="9"/>
  <c r="Q686" i="9"/>
  <c r="P686" i="9"/>
  <c r="O686" i="9"/>
  <c r="N686" i="9"/>
  <c r="M686" i="9"/>
  <c r="L686" i="9"/>
  <c r="K686" i="9"/>
  <c r="J686" i="9"/>
  <c r="I686" i="9"/>
  <c r="H686" i="9"/>
  <c r="G686" i="9"/>
  <c r="F686" i="9"/>
  <c r="AC685" i="9"/>
  <c r="AB685" i="9"/>
  <c r="AA685" i="9"/>
  <c r="Z685" i="9"/>
  <c r="Y685" i="9"/>
  <c r="X685" i="9"/>
  <c r="W685" i="9"/>
  <c r="V685" i="9"/>
  <c r="U685" i="9"/>
  <c r="T685" i="9"/>
  <c r="S685" i="9"/>
  <c r="R685" i="9"/>
  <c r="Q685" i="9"/>
  <c r="P685" i="9"/>
  <c r="O685" i="9"/>
  <c r="N685" i="9"/>
  <c r="M685" i="9"/>
  <c r="L685" i="9"/>
  <c r="K685" i="9"/>
  <c r="J685" i="9"/>
  <c r="I685" i="9"/>
  <c r="H685" i="9"/>
  <c r="G685" i="9"/>
  <c r="F685" i="9"/>
  <c r="AC684" i="9"/>
  <c r="AB684" i="9"/>
  <c r="AA684" i="9"/>
  <c r="Z684" i="9"/>
  <c r="Y684" i="9"/>
  <c r="X684" i="9"/>
  <c r="W684" i="9"/>
  <c r="V684" i="9"/>
  <c r="U684" i="9"/>
  <c r="T684" i="9"/>
  <c r="S684" i="9"/>
  <c r="R684" i="9"/>
  <c r="Q684" i="9"/>
  <c r="P684" i="9"/>
  <c r="O684" i="9"/>
  <c r="N684" i="9"/>
  <c r="M684" i="9"/>
  <c r="L684" i="9"/>
  <c r="K684" i="9"/>
  <c r="J684" i="9"/>
  <c r="I684" i="9"/>
  <c r="H684" i="9"/>
  <c r="G684" i="9"/>
  <c r="F684" i="9"/>
  <c r="AC683" i="9"/>
  <c r="AB683" i="9"/>
  <c r="AA683" i="9"/>
  <c r="Z683" i="9"/>
  <c r="Y683" i="9"/>
  <c r="X683" i="9"/>
  <c r="W683" i="9"/>
  <c r="V683" i="9"/>
  <c r="U683" i="9"/>
  <c r="T683" i="9"/>
  <c r="S683" i="9"/>
  <c r="R683" i="9"/>
  <c r="Q683" i="9"/>
  <c r="P683" i="9"/>
  <c r="O683" i="9"/>
  <c r="N683" i="9"/>
  <c r="M683" i="9"/>
  <c r="L683" i="9"/>
  <c r="K683" i="9"/>
  <c r="J683" i="9"/>
  <c r="I683" i="9"/>
  <c r="H683" i="9"/>
  <c r="G683" i="9"/>
  <c r="F683" i="9"/>
  <c r="AC682" i="9"/>
  <c r="AB682" i="9"/>
  <c r="AA682" i="9"/>
  <c r="Z682" i="9"/>
  <c r="Y682" i="9"/>
  <c r="X682" i="9"/>
  <c r="W682" i="9"/>
  <c r="V682" i="9"/>
  <c r="U682" i="9"/>
  <c r="T682" i="9"/>
  <c r="S682" i="9"/>
  <c r="R682" i="9"/>
  <c r="Q682" i="9"/>
  <c r="P682" i="9"/>
  <c r="O682" i="9"/>
  <c r="N682" i="9"/>
  <c r="M682" i="9"/>
  <c r="L682" i="9"/>
  <c r="K682" i="9"/>
  <c r="J682" i="9"/>
  <c r="I682" i="9"/>
  <c r="H682" i="9"/>
  <c r="G682" i="9"/>
  <c r="F682" i="9"/>
  <c r="AC681" i="9"/>
  <c r="AB681" i="9"/>
  <c r="AA681" i="9"/>
  <c r="Z681" i="9"/>
  <c r="Y681" i="9"/>
  <c r="X681" i="9"/>
  <c r="W681" i="9"/>
  <c r="V681" i="9"/>
  <c r="U681" i="9"/>
  <c r="T681" i="9"/>
  <c r="S681" i="9"/>
  <c r="R681" i="9"/>
  <c r="Q681" i="9"/>
  <c r="P681" i="9"/>
  <c r="O681" i="9"/>
  <c r="N681" i="9"/>
  <c r="M681" i="9"/>
  <c r="L681" i="9"/>
  <c r="K681" i="9"/>
  <c r="J681" i="9"/>
  <c r="I681" i="9"/>
  <c r="H681" i="9"/>
  <c r="G681" i="9"/>
  <c r="F681" i="9"/>
  <c r="AC680" i="9"/>
  <c r="AB680" i="9"/>
  <c r="AA680" i="9"/>
  <c r="Z680" i="9"/>
  <c r="Y680" i="9"/>
  <c r="X680" i="9"/>
  <c r="W680" i="9"/>
  <c r="V680" i="9"/>
  <c r="U680" i="9"/>
  <c r="T680" i="9"/>
  <c r="S680" i="9"/>
  <c r="R680" i="9"/>
  <c r="Q680" i="9"/>
  <c r="P680" i="9"/>
  <c r="O680" i="9"/>
  <c r="N680" i="9"/>
  <c r="M680" i="9"/>
  <c r="L680" i="9"/>
  <c r="K680" i="9"/>
  <c r="J680" i="9"/>
  <c r="I680" i="9"/>
  <c r="H680" i="9"/>
  <c r="G680" i="9"/>
  <c r="F680" i="9"/>
  <c r="AC679" i="9"/>
  <c r="AB679" i="9"/>
  <c r="AA679" i="9"/>
  <c r="Z679" i="9"/>
  <c r="Y679" i="9"/>
  <c r="X679" i="9"/>
  <c r="W679" i="9"/>
  <c r="V679" i="9"/>
  <c r="U679" i="9"/>
  <c r="T679" i="9"/>
  <c r="S679" i="9"/>
  <c r="R679" i="9"/>
  <c r="Q679" i="9"/>
  <c r="P679" i="9"/>
  <c r="O679" i="9"/>
  <c r="N679" i="9"/>
  <c r="M679" i="9"/>
  <c r="L679" i="9"/>
  <c r="K679" i="9"/>
  <c r="J679" i="9"/>
  <c r="I679" i="9"/>
  <c r="H679" i="9"/>
  <c r="G679" i="9"/>
  <c r="F679" i="9"/>
  <c r="AC678" i="9"/>
  <c r="AB678" i="9"/>
  <c r="AA678" i="9"/>
  <c r="Z678" i="9"/>
  <c r="Y678" i="9"/>
  <c r="X678" i="9"/>
  <c r="W678" i="9"/>
  <c r="V678" i="9"/>
  <c r="U678" i="9"/>
  <c r="T678" i="9"/>
  <c r="S678" i="9"/>
  <c r="R678" i="9"/>
  <c r="Q678" i="9"/>
  <c r="P678" i="9"/>
  <c r="O678" i="9"/>
  <c r="N678" i="9"/>
  <c r="M678" i="9"/>
  <c r="L678" i="9"/>
  <c r="K678" i="9"/>
  <c r="J678" i="9"/>
  <c r="I678" i="9"/>
  <c r="H678" i="9"/>
  <c r="G678" i="9"/>
  <c r="F678" i="9"/>
  <c r="AC677" i="9"/>
  <c r="AB677" i="9"/>
  <c r="AA677" i="9"/>
  <c r="Z677" i="9"/>
  <c r="Y677" i="9"/>
  <c r="X677" i="9"/>
  <c r="W677" i="9"/>
  <c r="V677" i="9"/>
  <c r="U677" i="9"/>
  <c r="T677" i="9"/>
  <c r="S677" i="9"/>
  <c r="R677" i="9"/>
  <c r="Q677" i="9"/>
  <c r="P677" i="9"/>
  <c r="O677" i="9"/>
  <c r="N677" i="9"/>
  <c r="M677" i="9"/>
  <c r="L677" i="9"/>
  <c r="K677" i="9"/>
  <c r="J677" i="9"/>
  <c r="I677" i="9"/>
  <c r="H677" i="9"/>
  <c r="G677" i="9"/>
  <c r="F677" i="9"/>
  <c r="AC676" i="9"/>
  <c r="AB676" i="9"/>
  <c r="AA676" i="9"/>
  <c r="Z676" i="9"/>
  <c r="Y676" i="9"/>
  <c r="X676" i="9"/>
  <c r="W676" i="9"/>
  <c r="V676" i="9"/>
  <c r="U676" i="9"/>
  <c r="T676" i="9"/>
  <c r="S676" i="9"/>
  <c r="R676" i="9"/>
  <c r="Q676" i="9"/>
  <c r="P676" i="9"/>
  <c r="O676" i="9"/>
  <c r="N676" i="9"/>
  <c r="M676" i="9"/>
  <c r="L676" i="9"/>
  <c r="K676" i="9"/>
  <c r="J676" i="9"/>
  <c r="I676" i="9"/>
  <c r="H676" i="9"/>
  <c r="G676" i="9"/>
  <c r="F676" i="9"/>
  <c r="AC675" i="9"/>
  <c r="AB675" i="9"/>
  <c r="AA675" i="9"/>
  <c r="Z675" i="9"/>
  <c r="Y675" i="9"/>
  <c r="X675" i="9"/>
  <c r="W675" i="9"/>
  <c r="V675" i="9"/>
  <c r="U675" i="9"/>
  <c r="T675" i="9"/>
  <c r="S675" i="9"/>
  <c r="R675" i="9"/>
  <c r="Q675" i="9"/>
  <c r="P675" i="9"/>
  <c r="O675" i="9"/>
  <c r="N675" i="9"/>
  <c r="M675" i="9"/>
  <c r="L675" i="9"/>
  <c r="K675" i="9"/>
  <c r="J675" i="9"/>
  <c r="I675" i="9"/>
  <c r="H675" i="9"/>
  <c r="G675" i="9"/>
  <c r="F675" i="9"/>
  <c r="AC674" i="9"/>
  <c r="AB674" i="9"/>
  <c r="AA674" i="9"/>
  <c r="Z674" i="9"/>
  <c r="Y674" i="9"/>
  <c r="X674" i="9"/>
  <c r="W674" i="9"/>
  <c r="V674" i="9"/>
  <c r="U674" i="9"/>
  <c r="T674" i="9"/>
  <c r="S674" i="9"/>
  <c r="R674" i="9"/>
  <c r="Q674" i="9"/>
  <c r="P674" i="9"/>
  <c r="O674" i="9"/>
  <c r="N674" i="9"/>
  <c r="M674" i="9"/>
  <c r="L674" i="9"/>
  <c r="K674" i="9"/>
  <c r="J674" i="9"/>
  <c r="I674" i="9"/>
  <c r="H674" i="9"/>
  <c r="G674" i="9"/>
  <c r="F674" i="9"/>
  <c r="AC673" i="9"/>
  <c r="AB673" i="9"/>
  <c r="AA673" i="9"/>
  <c r="Z673" i="9"/>
  <c r="Y673" i="9"/>
  <c r="X673" i="9"/>
  <c r="W673" i="9"/>
  <c r="V673" i="9"/>
  <c r="U673" i="9"/>
  <c r="T673" i="9"/>
  <c r="S673" i="9"/>
  <c r="R673" i="9"/>
  <c r="Q673" i="9"/>
  <c r="P673" i="9"/>
  <c r="O673" i="9"/>
  <c r="N673" i="9"/>
  <c r="M673" i="9"/>
  <c r="L673" i="9"/>
  <c r="K673" i="9"/>
  <c r="J673" i="9"/>
  <c r="I673" i="9"/>
  <c r="H673" i="9"/>
  <c r="G673" i="9"/>
  <c r="F673" i="9"/>
  <c r="AC672" i="9"/>
  <c r="AB672" i="9"/>
  <c r="AA672" i="9"/>
  <c r="Z672" i="9"/>
  <c r="Y672" i="9"/>
  <c r="X672" i="9"/>
  <c r="W672" i="9"/>
  <c r="V672" i="9"/>
  <c r="U672" i="9"/>
  <c r="T672" i="9"/>
  <c r="S672" i="9"/>
  <c r="R672" i="9"/>
  <c r="Q672" i="9"/>
  <c r="P672" i="9"/>
  <c r="O672" i="9"/>
  <c r="N672" i="9"/>
  <c r="M672" i="9"/>
  <c r="L672" i="9"/>
  <c r="K672" i="9"/>
  <c r="J672" i="9"/>
  <c r="I672" i="9"/>
  <c r="H672" i="9"/>
  <c r="G672" i="9"/>
  <c r="F672" i="9"/>
  <c r="AC671" i="9"/>
  <c r="AB671" i="9"/>
  <c r="AA671" i="9"/>
  <c r="Z671" i="9"/>
  <c r="Y671" i="9"/>
  <c r="X671" i="9"/>
  <c r="W671" i="9"/>
  <c r="V671" i="9"/>
  <c r="U671" i="9"/>
  <c r="T671" i="9"/>
  <c r="S671" i="9"/>
  <c r="R671" i="9"/>
  <c r="Q671" i="9"/>
  <c r="P671" i="9"/>
  <c r="O671" i="9"/>
  <c r="N671" i="9"/>
  <c r="M671" i="9"/>
  <c r="L671" i="9"/>
  <c r="K671" i="9"/>
  <c r="J671" i="9"/>
  <c r="I671" i="9"/>
  <c r="H671" i="9"/>
  <c r="G671" i="9"/>
  <c r="F671" i="9"/>
  <c r="AC670" i="9"/>
  <c r="AB670" i="9"/>
  <c r="AA670" i="9"/>
  <c r="Z670" i="9"/>
  <c r="Y670" i="9"/>
  <c r="X670" i="9"/>
  <c r="W670" i="9"/>
  <c r="V670" i="9"/>
  <c r="U670" i="9"/>
  <c r="T670" i="9"/>
  <c r="S670" i="9"/>
  <c r="R670" i="9"/>
  <c r="Q670" i="9"/>
  <c r="P670" i="9"/>
  <c r="O670" i="9"/>
  <c r="N670" i="9"/>
  <c r="M670" i="9"/>
  <c r="L670" i="9"/>
  <c r="K670" i="9"/>
  <c r="J670" i="9"/>
  <c r="I670" i="9"/>
  <c r="H670" i="9"/>
  <c r="G670" i="9"/>
  <c r="F670" i="9"/>
  <c r="AC669" i="9"/>
  <c r="AB669" i="9"/>
  <c r="AA669" i="9"/>
  <c r="Z669" i="9"/>
  <c r="Y669" i="9"/>
  <c r="X669" i="9"/>
  <c r="W669" i="9"/>
  <c r="V669" i="9"/>
  <c r="U669" i="9"/>
  <c r="T669" i="9"/>
  <c r="S669" i="9"/>
  <c r="R669" i="9"/>
  <c r="Q669" i="9"/>
  <c r="P669" i="9"/>
  <c r="O669" i="9"/>
  <c r="N669" i="9"/>
  <c r="M669" i="9"/>
  <c r="L669" i="9"/>
  <c r="K669" i="9"/>
  <c r="J669" i="9"/>
  <c r="I669" i="9"/>
  <c r="H669" i="9"/>
  <c r="G669" i="9"/>
  <c r="F669" i="9"/>
  <c r="AC668" i="9"/>
  <c r="AB668" i="9"/>
  <c r="AA668" i="9"/>
  <c r="Z668" i="9"/>
  <c r="Y668" i="9"/>
  <c r="X668" i="9"/>
  <c r="W668" i="9"/>
  <c r="V668" i="9"/>
  <c r="U668" i="9"/>
  <c r="T668" i="9"/>
  <c r="S668" i="9"/>
  <c r="R668" i="9"/>
  <c r="Q668" i="9"/>
  <c r="P668" i="9"/>
  <c r="O668" i="9"/>
  <c r="N668" i="9"/>
  <c r="M668" i="9"/>
  <c r="L668" i="9"/>
  <c r="K668" i="9"/>
  <c r="J668" i="9"/>
  <c r="I668" i="9"/>
  <c r="H668" i="9"/>
  <c r="G668" i="9"/>
  <c r="F668" i="9"/>
  <c r="AC667" i="9"/>
  <c r="AB667" i="9"/>
  <c r="AA667" i="9"/>
  <c r="Z667" i="9"/>
  <c r="Y667" i="9"/>
  <c r="X667" i="9"/>
  <c r="W667" i="9"/>
  <c r="V667" i="9"/>
  <c r="U667" i="9"/>
  <c r="T667" i="9"/>
  <c r="S667" i="9"/>
  <c r="R667" i="9"/>
  <c r="Q667" i="9"/>
  <c r="P667" i="9"/>
  <c r="O667" i="9"/>
  <c r="N667" i="9"/>
  <c r="M667" i="9"/>
  <c r="L667" i="9"/>
  <c r="K667" i="9"/>
  <c r="J667" i="9"/>
  <c r="I667" i="9"/>
  <c r="H667" i="9"/>
  <c r="G667" i="9"/>
  <c r="F667" i="9"/>
  <c r="AC666" i="9"/>
  <c r="AB666" i="9"/>
  <c r="AA666" i="9"/>
  <c r="Z666" i="9"/>
  <c r="Y666" i="9"/>
  <c r="X666" i="9"/>
  <c r="W666" i="9"/>
  <c r="V666" i="9"/>
  <c r="U666" i="9"/>
  <c r="T666" i="9"/>
  <c r="S666" i="9"/>
  <c r="R666" i="9"/>
  <c r="Q666" i="9"/>
  <c r="P666" i="9"/>
  <c r="O666" i="9"/>
  <c r="N666" i="9"/>
  <c r="M666" i="9"/>
  <c r="L666" i="9"/>
  <c r="K666" i="9"/>
  <c r="J666" i="9"/>
  <c r="I666" i="9"/>
  <c r="H666" i="9"/>
  <c r="G666" i="9"/>
  <c r="F666" i="9"/>
  <c r="AC665" i="9"/>
  <c r="AB665" i="9"/>
  <c r="AA665" i="9"/>
  <c r="Z665" i="9"/>
  <c r="Y665" i="9"/>
  <c r="X665" i="9"/>
  <c r="W665" i="9"/>
  <c r="V665" i="9"/>
  <c r="U665" i="9"/>
  <c r="T665" i="9"/>
  <c r="S665" i="9"/>
  <c r="R665" i="9"/>
  <c r="Q665" i="9"/>
  <c r="P665" i="9"/>
  <c r="O665" i="9"/>
  <c r="N665" i="9"/>
  <c r="M665" i="9"/>
  <c r="L665" i="9"/>
  <c r="K665" i="9"/>
  <c r="J665" i="9"/>
  <c r="I665" i="9"/>
  <c r="H665" i="9"/>
  <c r="G665" i="9"/>
  <c r="F665" i="9"/>
  <c r="AC664" i="9"/>
  <c r="AB664" i="9"/>
  <c r="AA664" i="9"/>
  <c r="Z664" i="9"/>
  <c r="Y664" i="9"/>
  <c r="X664" i="9"/>
  <c r="W664" i="9"/>
  <c r="V664" i="9"/>
  <c r="U664" i="9"/>
  <c r="T664" i="9"/>
  <c r="S664" i="9"/>
  <c r="R664" i="9"/>
  <c r="Q664" i="9"/>
  <c r="P664" i="9"/>
  <c r="O664" i="9"/>
  <c r="N664" i="9"/>
  <c r="M664" i="9"/>
  <c r="L664" i="9"/>
  <c r="K664" i="9"/>
  <c r="J664" i="9"/>
  <c r="I664" i="9"/>
  <c r="H664" i="9"/>
  <c r="G664" i="9"/>
  <c r="F664" i="9"/>
  <c r="AC663" i="9"/>
  <c r="AB663" i="9"/>
  <c r="AA663" i="9"/>
  <c r="Z663" i="9"/>
  <c r="Y663" i="9"/>
  <c r="X663" i="9"/>
  <c r="W663" i="9"/>
  <c r="V663" i="9"/>
  <c r="U663" i="9"/>
  <c r="T663" i="9"/>
  <c r="S663" i="9"/>
  <c r="R663" i="9"/>
  <c r="Q663" i="9"/>
  <c r="P663" i="9"/>
  <c r="O663" i="9"/>
  <c r="N663" i="9"/>
  <c r="M663" i="9"/>
  <c r="L663" i="9"/>
  <c r="K663" i="9"/>
  <c r="J663" i="9"/>
  <c r="I663" i="9"/>
  <c r="H663" i="9"/>
  <c r="G663" i="9"/>
  <c r="F663" i="9"/>
  <c r="AC662" i="9"/>
  <c r="AB662" i="9"/>
  <c r="AA662" i="9"/>
  <c r="Z662" i="9"/>
  <c r="Y662" i="9"/>
  <c r="X662" i="9"/>
  <c r="W662" i="9"/>
  <c r="V662" i="9"/>
  <c r="U662" i="9"/>
  <c r="T662" i="9"/>
  <c r="S662" i="9"/>
  <c r="R662" i="9"/>
  <c r="Q662" i="9"/>
  <c r="P662" i="9"/>
  <c r="O662" i="9"/>
  <c r="N662" i="9"/>
  <c r="M662" i="9"/>
  <c r="L662" i="9"/>
  <c r="K662" i="9"/>
  <c r="J662" i="9"/>
  <c r="I662" i="9"/>
  <c r="H662" i="9"/>
  <c r="G662" i="9"/>
  <c r="F662" i="9"/>
  <c r="AC661" i="9"/>
  <c r="AB661" i="9"/>
  <c r="AA661" i="9"/>
  <c r="Z661" i="9"/>
  <c r="Y661" i="9"/>
  <c r="X661" i="9"/>
  <c r="W661" i="9"/>
  <c r="V661" i="9"/>
  <c r="U661" i="9"/>
  <c r="T661" i="9"/>
  <c r="S661" i="9"/>
  <c r="R661" i="9"/>
  <c r="Q661" i="9"/>
  <c r="P661" i="9"/>
  <c r="O661" i="9"/>
  <c r="N661" i="9"/>
  <c r="M661" i="9"/>
  <c r="L661" i="9"/>
  <c r="K661" i="9"/>
  <c r="J661" i="9"/>
  <c r="I661" i="9"/>
  <c r="H661" i="9"/>
  <c r="G661" i="9"/>
  <c r="F661" i="9"/>
  <c r="AC660" i="9"/>
  <c r="AB660" i="9"/>
  <c r="AA660" i="9"/>
  <c r="Z660" i="9"/>
  <c r="Y660" i="9"/>
  <c r="X660" i="9"/>
  <c r="W660" i="9"/>
  <c r="V660" i="9"/>
  <c r="U660" i="9"/>
  <c r="T660" i="9"/>
  <c r="S660" i="9"/>
  <c r="R660" i="9"/>
  <c r="Q660" i="9"/>
  <c r="P660" i="9"/>
  <c r="O660" i="9"/>
  <c r="N660" i="9"/>
  <c r="M660" i="9"/>
  <c r="L660" i="9"/>
  <c r="K660" i="9"/>
  <c r="J660" i="9"/>
  <c r="I660" i="9"/>
  <c r="H660" i="9"/>
  <c r="G660" i="9"/>
  <c r="F660" i="9"/>
  <c r="AC659" i="9"/>
  <c r="AB659" i="9"/>
  <c r="AA659" i="9"/>
  <c r="Z659" i="9"/>
  <c r="Y659" i="9"/>
  <c r="X659" i="9"/>
  <c r="W659" i="9"/>
  <c r="V659" i="9"/>
  <c r="U659" i="9"/>
  <c r="T659" i="9"/>
  <c r="S659" i="9"/>
  <c r="R659" i="9"/>
  <c r="Q659" i="9"/>
  <c r="P659" i="9"/>
  <c r="O659" i="9"/>
  <c r="N659" i="9"/>
  <c r="M659" i="9"/>
  <c r="L659" i="9"/>
  <c r="K659" i="9"/>
  <c r="J659" i="9"/>
  <c r="I659" i="9"/>
  <c r="H659" i="9"/>
  <c r="G659" i="9"/>
  <c r="F659" i="9"/>
  <c r="AC658" i="9"/>
  <c r="AB658" i="9"/>
  <c r="AA658" i="9"/>
  <c r="Z658" i="9"/>
  <c r="Y658" i="9"/>
  <c r="X658" i="9"/>
  <c r="W658" i="9"/>
  <c r="V658" i="9"/>
  <c r="U658" i="9"/>
  <c r="T658" i="9"/>
  <c r="S658" i="9"/>
  <c r="R658" i="9"/>
  <c r="Q658" i="9"/>
  <c r="P658" i="9"/>
  <c r="O658" i="9"/>
  <c r="N658" i="9"/>
  <c r="M658" i="9"/>
  <c r="L658" i="9"/>
  <c r="K658" i="9"/>
  <c r="J658" i="9"/>
  <c r="I658" i="9"/>
  <c r="H658" i="9"/>
  <c r="G658" i="9"/>
  <c r="F658" i="9"/>
  <c r="AC657" i="9"/>
  <c r="AB657" i="9"/>
  <c r="AA657" i="9"/>
  <c r="Z657" i="9"/>
  <c r="Y657" i="9"/>
  <c r="X657" i="9"/>
  <c r="W657" i="9"/>
  <c r="V657" i="9"/>
  <c r="U657" i="9"/>
  <c r="T657" i="9"/>
  <c r="S657" i="9"/>
  <c r="R657" i="9"/>
  <c r="Q657" i="9"/>
  <c r="P657" i="9"/>
  <c r="O657" i="9"/>
  <c r="N657" i="9"/>
  <c r="M657" i="9"/>
  <c r="L657" i="9"/>
  <c r="K657" i="9"/>
  <c r="J657" i="9"/>
  <c r="I657" i="9"/>
  <c r="H657" i="9"/>
  <c r="G657" i="9"/>
  <c r="F657" i="9"/>
  <c r="AC656" i="9"/>
  <c r="AB656" i="9"/>
  <c r="AA656" i="9"/>
  <c r="Z656" i="9"/>
  <c r="Y656" i="9"/>
  <c r="X656" i="9"/>
  <c r="W656" i="9"/>
  <c r="V656" i="9"/>
  <c r="U656" i="9"/>
  <c r="T656" i="9"/>
  <c r="S656" i="9"/>
  <c r="R656" i="9"/>
  <c r="Q656" i="9"/>
  <c r="P656" i="9"/>
  <c r="O656" i="9"/>
  <c r="N656" i="9"/>
  <c r="M656" i="9"/>
  <c r="L656" i="9"/>
  <c r="K656" i="9"/>
  <c r="J656" i="9"/>
  <c r="I656" i="9"/>
  <c r="H656" i="9"/>
  <c r="G656" i="9"/>
  <c r="F656" i="9"/>
  <c r="AC655" i="9"/>
  <c r="AB655" i="9"/>
  <c r="AA655" i="9"/>
  <c r="Z655" i="9"/>
  <c r="Y655" i="9"/>
  <c r="X655" i="9"/>
  <c r="W655" i="9"/>
  <c r="V655" i="9"/>
  <c r="U655" i="9"/>
  <c r="T655" i="9"/>
  <c r="S655" i="9"/>
  <c r="R655" i="9"/>
  <c r="Q655" i="9"/>
  <c r="P655" i="9"/>
  <c r="O655" i="9"/>
  <c r="N655" i="9"/>
  <c r="M655" i="9"/>
  <c r="L655" i="9"/>
  <c r="K655" i="9"/>
  <c r="J655" i="9"/>
  <c r="I655" i="9"/>
  <c r="H655" i="9"/>
  <c r="G655" i="9"/>
  <c r="F655" i="9"/>
  <c r="AC654" i="9"/>
  <c r="AB654" i="9"/>
  <c r="AA654" i="9"/>
  <c r="Z654" i="9"/>
  <c r="Y654" i="9"/>
  <c r="X654" i="9"/>
  <c r="W654" i="9"/>
  <c r="V654" i="9"/>
  <c r="U654" i="9"/>
  <c r="T654" i="9"/>
  <c r="S654" i="9"/>
  <c r="R654" i="9"/>
  <c r="Q654" i="9"/>
  <c r="P654" i="9"/>
  <c r="O654" i="9"/>
  <c r="N654" i="9"/>
  <c r="M654" i="9"/>
  <c r="L654" i="9"/>
  <c r="K654" i="9"/>
  <c r="J654" i="9"/>
  <c r="I654" i="9"/>
  <c r="H654" i="9"/>
  <c r="G654" i="9"/>
  <c r="F654" i="9"/>
  <c r="AC653" i="9"/>
  <c r="AB653" i="9"/>
  <c r="AA653" i="9"/>
  <c r="Z653" i="9"/>
  <c r="Y653" i="9"/>
  <c r="X653" i="9"/>
  <c r="W653" i="9"/>
  <c r="V653" i="9"/>
  <c r="U653" i="9"/>
  <c r="T653" i="9"/>
  <c r="S653" i="9"/>
  <c r="R653" i="9"/>
  <c r="Q653" i="9"/>
  <c r="P653" i="9"/>
  <c r="O653" i="9"/>
  <c r="N653" i="9"/>
  <c r="M653" i="9"/>
  <c r="L653" i="9"/>
  <c r="K653" i="9"/>
  <c r="J653" i="9"/>
  <c r="I653" i="9"/>
  <c r="H653" i="9"/>
  <c r="G653" i="9"/>
  <c r="F653" i="9"/>
  <c r="AC652" i="9"/>
  <c r="AB652" i="9"/>
  <c r="AA652" i="9"/>
  <c r="Z652" i="9"/>
  <c r="Y652" i="9"/>
  <c r="X652" i="9"/>
  <c r="W652" i="9"/>
  <c r="V652" i="9"/>
  <c r="U652" i="9"/>
  <c r="T652" i="9"/>
  <c r="S652" i="9"/>
  <c r="R652" i="9"/>
  <c r="Q652" i="9"/>
  <c r="P652" i="9"/>
  <c r="O652" i="9"/>
  <c r="N652" i="9"/>
  <c r="M652" i="9"/>
  <c r="L652" i="9"/>
  <c r="K652" i="9"/>
  <c r="J652" i="9"/>
  <c r="I652" i="9"/>
  <c r="H652" i="9"/>
  <c r="G652" i="9"/>
  <c r="F652" i="9"/>
  <c r="AC651" i="9"/>
  <c r="AB651" i="9"/>
  <c r="AA651" i="9"/>
  <c r="Z651" i="9"/>
  <c r="Y651" i="9"/>
  <c r="X651" i="9"/>
  <c r="W651" i="9"/>
  <c r="V651" i="9"/>
  <c r="U651" i="9"/>
  <c r="T651" i="9"/>
  <c r="S651" i="9"/>
  <c r="R651" i="9"/>
  <c r="Q651" i="9"/>
  <c r="P651" i="9"/>
  <c r="O651" i="9"/>
  <c r="N651" i="9"/>
  <c r="M651" i="9"/>
  <c r="L651" i="9"/>
  <c r="K651" i="9"/>
  <c r="J651" i="9"/>
  <c r="I651" i="9"/>
  <c r="H651" i="9"/>
  <c r="G651" i="9"/>
  <c r="F651" i="9"/>
  <c r="AC650" i="9"/>
  <c r="AB650" i="9"/>
  <c r="AA650" i="9"/>
  <c r="Z650" i="9"/>
  <c r="Y650" i="9"/>
  <c r="X650" i="9"/>
  <c r="W650" i="9"/>
  <c r="V650" i="9"/>
  <c r="U650" i="9"/>
  <c r="T650" i="9"/>
  <c r="S650" i="9"/>
  <c r="R650" i="9"/>
  <c r="Q650" i="9"/>
  <c r="P650" i="9"/>
  <c r="O650" i="9"/>
  <c r="N650" i="9"/>
  <c r="M650" i="9"/>
  <c r="L650" i="9"/>
  <c r="K650" i="9"/>
  <c r="J650" i="9"/>
  <c r="I650" i="9"/>
  <c r="H650" i="9"/>
  <c r="G650" i="9"/>
  <c r="F650" i="9"/>
  <c r="AC649" i="9"/>
  <c r="AB649" i="9"/>
  <c r="AA649" i="9"/>
  <c r="Z649" i="9"/>
  <c r="Y649" i="9"/>
  <c r="X649" i="9"/>
  <c r="W649" i="9"/>
  <c r="V649" i="9"/>
  <c r="U649" i="9"/>
  <c r="T649" i="9"/>
  <c r="S649" i="9"/>
  <c r="R649" i="9"/>
  <c r="Q649" i="9"/>
  <c r="P649" i="9"/>
  <c r="O649" i="9"/>
  <c r="N649" i="9"/>
  <c r="M649" i="9"/>
  <c r="L649" i="9"/>
  <c r="K649" i="9"/>
  <c r="J649" i="9"/>
  <c r="I649" i="9"/>
  <c r="H649" i="9"/>
  <c r="G649" i="9"/>
  <c r="F649" i="9"/>
  <c r="AC648" i="9"/>
  <c r="AB648" i="9"/>
  <c r="AA648" i="9"/>
  <c r="Z648" i="9"/>
  <c r="Y648" i="9"/>
  <c r="X648" i="9"/>
  <c r="W648" i="9"/>
  <c r="V648" i="9"/>
  <c r="U648" i="9"/>
  <c r="T648" i="9"/>
  <c r="S648" i="9"/>
  <c r="R648" i="9"/>
  <c r="Q648" i="9"/>
  <c r="P648" i="9"/>
  <c r="O648" i="9"/>
  <c r="N648" i="9"/>
  <c r="M648" i="9"/>
  <c r="L648" i="9"/>
  <c r="K648" i="9"/>
  <c r="J648" i="9"/>
  <c r="I648" i="9"/>
  <c r="H648" i="9"/>
  <c r="G648" i="9"/>
  <c r="F648" i="9"/>
  <c r="AC647" i="9"/>
  <c r="AB647" i="9"/>
  <c r="AA647" i="9"/>
  <c r="Z647" i="9"/>
  <c r="Y647" i="9"/>
  <c r="X647" i="9"/>
  <c r="W647" i="9"/>
  <c r="V647" i="9"/>
  <c r="U647" i="9"/>
  <c r="T647" i="9"/>
  <c r="S647" i="9"/>
  <c r="R647" i="9"/>
  <c r="Q647" i="9"/>
  <c r="P647" i="9"/>
  <c r="O647" i="9"/>
  <c r="N647" i="9"/>
  <c r="M647" i="9"/>
  <c r="L647" i="9"/>
  <c r="K647" i="9"/>
  <c r="J647" i="9"/>
  <c r="I647" i="9"/>
  <c r="H647" i="9"/>
  <c r="G647" i="9"/>
  <c r="F647" i="9"/>
  <c r="AC646" i="9"/>
  <c r="AB646" i="9"/>
  <c r="AA646" i="9"/>
  <c r="Z646" i="9"/>
  <c r="Y646" i="9"/>
  <c r="X646" i="9"/>
  <c r="W646" i="9"/>
  <c r="V646" i="9"/>
  <c r="U646" i="9"/>
  <c r="T646" i="9"/>
  <c r="S646" i="9"/>
  <c r="R646" i="9"/>
  <c r="Q646" i="9"/>
  <c r="P646" i="9"/>
  <c r="O646" i="9"/>
  <c r="N646" i="9"/>
  <c r="M646" i="9"/>
  <c r="L646" i="9"/>
  <c r="K646" i="9"/>
  <c r="J646" i="9"/>
  <c r="I646" i="9"/>
  <c r="H646" i="9"/>
  <c r="G646" i="9"/>
  <c r="F646" i="9"/>
  <c r="AC645" i="9"/>
  <c r="AB645" i="9"/>
  <c r="AA645" i="9"/>
  <c r="Z645" i="9"/>
  <c r="Y645" i="9"/>
  <c r="X645" i="9"/>
  <c r="W645" i="9"/>
  <c r="V645" i="9"/>
  <c r="U645" i="9"/>
  <c r="T645" i="9"/>
  <c r="S645" i="9"/>
  <c r="R645" i="9"/>
  <c r="Q645" i="9"/>
  <c r="P645" i="9"/>
  <c r="O645" i="9"/>
  <c r="N645" i="9"/>
  <c r="M645" i="9"/>
  <c r="L645" i="9"/>
  <c r="K645" i="9"/>
  <c r="J645" i="9"/>
  <c r="I645" i="9"/>
  <c r="H645" i="9"/>
  <c r="G645" i="9"/>
  <c r="F645" i="9"/>
  <c r="AC644" i="9"/>
  <c r="AB644" i="9"/>
  <c r="AA644" i="9"/>
  <c r="Z644" i="9"/>
  <c r="Y644" i="9"/>
  <c r="X644" i="9"/>
  <c r="W644" i="9"/>
  <c r="V644" i="9"/>
  <c r="U644" i="9"/>
  <c r="T644" i="9"/>
  <c r="S644" i="9"/>
  <c r="R644" i="9"/>
  <c r="Q644" i="9"/>
  <c r="P644" i="9"/>
  <c r="O644" i="9"/>
  <c r="N644" i="9"/>
  <c r="M644" i="9"/>
  <c r="L644" i="9"/>
  <c r="K644" i="9"/>
  <c r="J644" i="9"/>
  <c r="I644" i="9"/>
  <c r="H644" i="9"/>
  <c r="G644" i="9"/>
  <c r="F644" i="9"/>
  <c r="AC643" i="9"/>
  <c r="AB643" i="9"/>
  <c r="AA643" i="9"/>
  <c r="Z643" i="9"/>
  <c r="Y643" i="9"/>
  <c r="X643" i="9"/>
  <c r="W643" i="9"/>
  <c r="V643" i="9"/>
  <c r="U643" i="9"/>
  <c r="T643" i="9"/>
  <c r="S643" i="9"/>
  <c r="R643" i="9"/>
  <c r="Q643" i="9"/>
  <c r="P643" i="9"/>
  <c r="O643" i="9"/>
  <c r="N643" i="9"/>
  <c r="M643" i="9"/>
  <c r="L643" i="9"/>
  <c r="K643" i="9"/>
  <c r="J643" i="9"/>
  <c r="I643" i="9"/>
  <c r="H643" i="9"/>
  <c r="G643" i="9"/>
  <c r="F643" i="9"/>
  <c r="AC642" i="9"/>
  <c r="AB642" i="9"/>
  <c r="AA642" i="9"/>
  <c r="Z642" i="9"/>
  <c r="Y642" i="9"/>
  <c r="X642" i="9"/>
  <c r="W642" i="9"/>
  <c r="V642" i="9"/>
  <c r="U642" i="9"/>
  <c r="T642" i="9"/>
  <c r="S642" i="9"/>
  <c r="R642" i="9"/>
  <c r="Q642" i="9"/>
  <c r="P642" i="9"/>
  <c r="O642" i="9"/>
  <c r="N642" i="9"/>
  <c r="M642" i="9"/>
  <c r="L642" i="9"/>
  <c r="K642" i="9"/>
  <c r="J642" i="9"/>
  <c r="I642" i="9"/>
  <c r="H642" i="9"/>
  <c r="G642" i="9"/>
  <c r="F642" i="9"/>
  <c r="AC641" i="9"/>
  <c r="AB641" i="9"/>
  <c r="AA641" i="9"/>
  <c r="Z641" i="9"/>
  <c r="Y641" i="9"/>
  <c r="X641" i="9"/>
  <c r="W641" i="9"/>
  <c r="V641" i="9"/>
  <c r="U641" i="9"/>
  <c r="T641" i="9"/>
  <c r="S641" i="9"/>
  <c r="R641" i="9"/>
  <c r="Q641" i="9"/>
  <c r="P641" i="9"/>
  <c r="O641" i="9"/>
  <c r="N641" i="9"/>
  <c r="M641" i="9"/>
  <c r="L641" i="9"/>
  <c r="K641" i="9"/>
  <c r="J641" i="9"/>
  <c r="I641" i="9"/>
  <c r="H641" i="9"/>
  <c r="G641" i="9"/>
  <c r="F641" i="9"/>
  <c r="AC640" i="9"/>
  <c r="AB640" i="9"/>
  <c r="AA640" i="9"/>
  <c r="Z640" i="9"/>
  <c r="Y640" i="9"/>
  <c r="X640" i="9"/>
  <c r="W640" i="9"/>
  <c r="V640" i="9"/>
  <c r="U640" i="9"/>
  <c r="T640" i="9"/>
  <c r="S640" i="9"/>
  <c r="R640" i="9"/>
  <c r="Q640" i="9"/>
  <c r="P640" i="9"/>
  <c r="O640" i="9"/>
  <c r="N640" i="9"/>
  <c r="M640" i="9"/>
  <c r="L640" i="9"/>
  <c r="K640" i="9"/>
  <c r="J640" i="9"/>
  <c r="I640" i="9"/>
  <c r="H640" i="9"/>
  <c r="G640" i="9"/>
  <c r="F640" i="9"/>
  <c r="AC639" i="9"/>
  <c r="AB639" i="9"/>
  <c r="AA639" i="9"/>
  <c r="Z639" i="9"/>
  <c r="Y639" i="9"/>
  <c r="X639" i="9"/>
  <c r="W639" i="9"/>
  <c r="V639" i="9"/>
  <c r="U639" i="9"/>
  <c r="T639" i="9"/>
  <c r="S639" i="9"/>
  <c r="R639" i="9"/>
  <c r="Q639" i="9"/>
  <c r="P639" i="9"/>
  <c r="O639" i="9"/>
  <c r="N639" i="9"/>
  <c r="M639" i="9"/>
  <c r="L639" i="9"/>
  <c r="K639" i="9"/>
  <c r="J639" i="9"/>
  <c r="I639" i="9"/>
  <c r="H639" i="9"/>
  <c r="G639" i="9"/>
  <c r="F639" i="9"/>
  <c r="AC638" i="9"/>
  <c r="AB638" i="9"/>
  <c r="AA638" i="9"/>
  <c r="Z638" i="9"/>
  <c r="Y638" i="9"/>
  <c r="X638" i="9"/>
  <c r="W638" i="9"/>
  <c r="V638" i="9"/>
  <c r="U638" i="9"/>
  <c r="T638" i="9"/>
  <c r="S638" i="9"/>
  <c r="R638" i="9"/>
  <c r="Q638" i="9"/>
  <c r="P638" i="9"/>
  <c r="O638" i="9"/>
  <c r="N638" i="9"/>
  <c r="M638" i="9"/>
  <c r="L638" i="9"/>
  <c r="K638" i="9"/>
  <c r="J638" i="9"/>
  <c r="I638" i="9"/>
  <c r="H638" i="9"/>
  <c r="G638" i="9"/>
  <c r="F638" i="9"/>
  <c r="AC637" i="9"/>
  <c r="AB637" i="9"/>
  <c r="AA637" i="9"/>
  <c r="Z637" i="9"/>
  <c r="Y637" i="9"/>
  <c r="X637" i="9"/>
  <c r="W637" i="9"/>
  <c r="V637" i="9"/>
  <c r="U637" i="9"/>
  <c r="T637" i="9"/>
  <c r="S637" i="9"/>
  <c r="R637" i="9"/>
  <c r="Q637" i="9"/>
  <c r="P637" i="9"/>
  <c r="O637" i="9"/>
  <c r="N637" i="9"/>
  <c r="M637" i="9"/>
  <c r="L637" i="9"/>
  <c r="K637" i="9"/>
  <c r="J637" i="9"/>
  <c r="I637" i="9"/>
  <c r="H637" i="9"/>
  <c r="G637" i="9"/>
  <c r="F637" i="9"/>
  <c r="AC636" i="9"/>
  <c r="AB636" i="9"/>
  <c r="AA636" i="9"/>
  <c r="Z636" i="9"/>
  <c r="Y636" i="9"/>
  <c r="X636" i="9"/>
  <c r="W636" i="9"/>
  <c r="V636" i="9"/>
  <c r="U636" i="9"/>
  <c r="T636" i="9"/>
  <c r="S636" i="9"/>
  <c r="R636" i="9"/>
  <c r="Q636" i="9"/>
  <c r="P636" i="9"/>
  <c r="O636" i="9"/>
  <c r="N636" i="9"/>
  <c r="M636" i="9"/>
  <c r="L636" i="9"/>
  <c r="K636" i="9"/>
  <c r="J636" i="9"/>
  <c r="I636" i="9"/>
  <c r="H636" i="9"/>
  <c r="G636" i="9"/>
  <c r="F636" i="9"/>
  <c r="AC635" i="9"/>
  <c r="AB635" i="9"/>
  <c r="AA635" i="9"/>
  <c r="Z635" i="9"/>
  <c r="Y635" i="9"/>
  <c r="X635" i="9"/>
  <c r="W635" i="9"/>
  <c r="V635" i="9"/>
  <c r="U635" i="9"/>
  <c r="T635" i="9"/>
  <c r="S635" i="9"/>
  <c r="R635" i="9"/>
  <c r="Q635" i="9"/>
  <c r="P635" i="9"/>
  <c r="O635" i="9"/>
  <c r="N635" i="9"/>
  <c r="M635" i="9"/>
  <c r="L635" i="9"/>
  <c r="K635" i="9"/>
  <c r="J635" i="9"/>
  <c r="I635" i="9"/>
  <c r="H635" i="9"/>
  <c r="G635" i="9"/>
  <c r="F635" i="9"/>
  <c r="AC634" i="9"/>
  <c r="AB634" i="9"/>
  <c r="AA634" i="9"/>
  <c r="Z634" i="9"/>
  <c r="Y634" i="9"/>
  <c r="X634" i="9"/>
  <c r="W634" i="9"/>
  <c r="V634" i="9"/>
  <c r="U634" i="9"/>
  <c r="T634" i="9"/>
  <c r="S634" i="9"/>
  <c r="R634" i="9"/>
  <c r="Q634" i="9"/>
  <c r="P634" i="9"/>
  <c r="O634" i="9"/>
  <c r="N634" i="9"/>
  <c r="M634" i="9"/>
  <c r="L634" i="9"/>
  <c r="K634" i="9"/>
  <c r="J634" i="9"/>
  <c r="I634" i="9"/>
  <c r="H634" i="9"/>
  <c r="G634" i="9"/>
  <c r="F634" i="9"/>
  <c r="AC633" i="9"/>
  <c r="AB633" i="9"/>
  <c r="AA633" i="9"/>
  <c r="Z633" i="9"/>
  <c r="Y633" i="9"/>
  <c r="X633" i="9"/>
  <c r="W633" i="9"/>
  <c r="V633" i="9"/>
  <c r="U633" i="9"/>
  <c r="T633" i="9"/>
  <c r="S633" i="9"/>
  <c r="R633" i="9"/>
  <c r="Q633" i="9"/>
  <c r="P633" i="9"/>
  <c r="O633" i="9"/>
  <c r="N633" i="9"/>
  <c r="M633" i="9"/>
  <c r="L633" i="9"/>
  <c r="K633" i="9"/>
  <c r="J633" i="9"/>
  <c r="I633" i="9"/>
  <c r="H633" i="9"/>
  <c r="G633" i="9"/>
  <c r="F633" i="9"/>
  <c r="AC632" i="9"/>
  <c r="AB632" i="9"/>
  <c r="AA632" i="9"/>
  <c r="Z632" i="9"/>
  <c r="Y632" i="9"/>
  <c r="X632" i="9"/>
  <c r="W632" i="9"/>
  <c r="V632" i="9"/>
  <c r="U632" i="9"/>
  <c r="T632" i="9"/>
  <c r="S632" i="9"/>
  <c r="R632" i="9"/>
  <c r="Q632" i="9"/>
  <c r="P632" i="9"/>
  <c r="O632" i="9"/>
  <c r="N632" i="9"/>
  <c r="M632" i="9"/>
  <c r="L632" i="9"/>
  <c r="K632" i="9"/>
  <c r="J632" i="9"/>
  <c r="I632" i="9"/>
  <c r="H632" i="9"/>
  <c r="G632" i="9"/>
  <c r="F632" i="9"/>
  <c r="AC631" i="9"/>
  <c r="AB631" i="9"/>
  <c r="AA631" i="9"/>
  <c r="Z631" i="9"/>
  <c r="Y631" i="9"/>
  <c r="X631" i="9"/>
  <c r="W631" i="9"/>
  <c r="V631" i="9"/>
  <c r="U631" i="9"/>
  <c r="T631" i="9"/>
  <c r="S631" i="9"/>
  <c r="R631" i="9"/>
  <c r="Q631" i="9"/>
  <c r="P631" i="9"/>
  <c r="O631" i="9"/>
  <c r="N631" i="9"/>
  <c r="M631" i="9"/>
  <c r="L631" i="9"/>
  <c r="K631" i="9"/>
  <c r="J631" i="9"/>
  <c r="I631" i="9"/>
  <c r="H631" i="9"/>
  <c r="G631" i="9"/>
  <c r="F631" i="9"/>
  <c r="AC630" i="9"/>
  <c r="AB630" i="9"/>
  <c r="AA630" i="9"/>
  <c r="Z630" i="9"/>
  <c r="Y630" i="9"/>
  <c r="X630" i="9"/>
  <c r="W630" i="9"/>
  <c r="V630" i="9"/>
  <c r="U630" i="9"/>
  <c r="T630" i="9"/>
  <c r="S630" i="9"/>
  <c r="R630" i="9"/>
  <c r="Q630" i="9"/>
  <c r="P630" i="9"/>
  <c r="O630" i="9"/>
  <c r="N630" i="9"/>
  <c r="M630" i="9"/>
  <c r="L630" i="9"/>
  <c r="K630" i="9"/>
  <c r="J630" i="9"/>
  <c r="I630" i="9"/>
  <c r="H630" i="9"/>
  <c r="G630" i="9"/>
  <c r="F630" i="9"/>
  <c r="AC629" i="9"/>
  <c r="AB629" i="9"/>
  <c r="AA629" i="9"/>
  <c r="Z629" i="9"/>
  <c r="Y629" i="9"/>
  <c r="X629" i="9"/>
  <c r="W629" i="9"/>
  <c r="V629" i="9"/>
  <c r="U629" i="9"/>
  <c r="T629" i="9"/>
  <c r="S629" i="9"/>
  <c r="R629" i="9"/>
  <c r="Q629" i="9"/>
  <c r="P629" i="9"/>
  <c r="O629" i="9"/>
  <c r="N629" i="9"/>
  <c r="M629" i="9"/>
  <c r="L629" i="9"/>
  <c r="K629" i="9"/>
  <c r="J629" i="9"/>
  <c r="I629" i="9"/>
  <c r="H629" i="9"/>
  <c r="G629" i="9"/>
  <c r="F629" i="9"/>
  <c r="AC628" i="9"/>
  <c r="AB628" i="9"/>
  <c r="AA628" i="9"/>
  <c r="Z628" i="9"/>
  <c r="Y628" i="9"/>
  <c r="X628" i="9"/>
  <c r="W628" i="9"/>
  <c r="V628" i="9"/>
  <c r="U628" i="9"/>
  <c r="T628" i="9"/>
  <c r="S628" i="9"/>
  <c r="R628" i="9"/>
  <c r="Q628" i="9"/>
  <c r="P628" i="9"/>
  <c r="O628" i="9"/>
  <c r="N628" i="9"/>
  <c r="M628" i="9"/>
  <c r="L628" i="9"/>
  <c r="K628" i="9"/>
  <c r="J628" i="9"/>
  <c r="I628" i="9"/>
  <c r="H628" i="9"/>
  <c r="G628" i="9"/>
  <c r="F628" i="9"/>
  <c r="AC627" i="9"/>
  <c r="AB627" i="9"/>
  <c r="AA627" i="9"/>
  <c r="Z627" i="9"/>
  <c r="Y627" i="9"/>
  <c r="X627" i="9"/>
  <c r="W627" i="9"/>
  <c r="V627" i="9"/>
  <c r="U627" i="9"/>
  <c r="T627" i="9"/>
  <c r="S627" i="9"/>
  <c r="R627" i="9"/>
  <c r="Q627" i="9"/>
  <c r="P627" i="9"/>
  <c r="O627" i="9"/>
  <c r="N627" i="9"/>
  <c r="M627" i="9"/>
  <c r="L627" i="9"/>
  <c r="K627" i="9"/>
  <c r="J627" i="9"/>
  <c r="I627" i="9"/>
  <c r="H627" i="9"/>
  <c r="G627" i="9"/>
  <c r="F627" i="9"/>
  <c r="AC626" i="9"/>
  <c r="AB626" i="9"/>
  <c r="AA626" i="9"/>
  <c r="Z626" i="9"/>
  <c r="Y626" i="9"/>
  <c r="X626" i="9"/>
  <c r="W626" i="9"/>
  <c r="V626" i="9"/>
  <c r="U626" i="9"/>
  <c r="T626" i="9"/>
  <c r="S626" i="9"/>
  <c r="R626" i="9"/>
  <c r="Q626" i="9"/>
  <c r="P626" i="9"/>
  <c r="O626" i="9"/>
  <c r="N626" i="9"/>
  <c r="M626" i="9"/>
  <c r="L626" i="9"/>
  <c r="K626" i="9"/>
  <c r="J626" i="9"/>
  <c r="I626" i="9"/>
  <c r="H626" i="9"/>
  <c r="G626" i="9"/>
  <c r="F626" i="9"/>
  <c r="AC625" i="9"/>
  <c r="AB625" i="9"/>
  <c r="AA625" i="9"/>
  <c r="Z625" i="9"/>
  <c r="Y625" i="9"/>
  <c r="X625" i="9"/>
  <c r="W625" i="9"/>
  <c r="V625" i="9"/>
  <c r="U625" i="9"/>
  <c r="T625" i="9"/>
  <c r="S625" i="9"/>
  <c r="R625" i="9"/>
  <c r="Q625" i="9"/>
  <c r="P625" i="9"/>
  <c r="O625" i="9"/>
  <c r="N625" i="9"/>
  <c r="M625" i="9"/>
  <c r="L625" i="9"/>
  <c r="K625" i="9"/>
  <c r="J625" i="9"/>
  <c r="I625" i="9"/>
  <c r="H625" i="9"/>
  <c r="G625" i="9"/>
  <c r="F625" i="9"/>
  <c r="AC624" i="9"/>
  <c r="AB624" i="9"/>
  <c r="AA624" i="9"/>
  <c r="Z624" i="9"/>
  <c r="Y624" i="9"/>
  <c r="X624" i="9"/>
  <c r="W624" i="9"/>
  <c r="V624" i="9"/>
  <c r="U624" i="9"/>
  <c r="T624" i="9"/>
  <c r="S624" i="9"/>
  <c r="R624" i="9"/>
  <c r="Q624" i="9"/>
  <c r="P624" i="9"/>
  <c r="O624" i="9"/>
  <c r="N624" i="9"/>
  <c r="M624" i="9"/>
  <c r="L624" i="9"/>
  <c r="K624" i="9"/>
  <c r="J624" i="9"/>
  <c r="I624" i="9"/>
  <c r="H624" i="9"/>
  <c r="G624" i="9"/>
  <c r="F624" i="9"/>
  <c r="AC623" i="9"/>
  <c r="AB623" i="9"/>
  <c r="AA623" i="9"/>
  <c r="Z623" i="9"/>
  <c r="Y623" i="9"/>
  <c r="X623" i="9"/>
  <c r="W623" i="9"/>
  <c r="V623" i="9"/>
  <c r="U623" i="9"/>
  <c r="T623" i="9"/>
  <c r="S623" i="9"/>
  <c r="R623" i="9"/>
  <c r="Q623" i="9"/>
  <c r="P623" i="9"/>
  <c r="O623" i="9"/>
  <c r="N623" i="9"/>
  <c r="M623" i="9"/>
  <c r="L623" i="9"/>
  <c r="K623" i="9"/>
  <c r="J623" i="9"/>
  <c r="I623" i="9"/>
  <c r="H623" i="9"/>
  <c r="G623" i="9"/>
  <c r="F623" i="9"/>
  <c r="AC622" i="9"/>
  <c r="AB622" i="9"/>
  <c r="AA622" i="9"/>
  <c r="Z622" i="9"/>
  <c r="Y622" i="9"/>
  <c r="X622" i="9"/>
  <c r="W622" i="9"/>
  <c r="V622" i="9"/>
  <c r="U622" i="9"/>
  <c r="T622" i="9"/>
  <c r="S622" i="9"/>
  <c r="R622" i="9"/>
  <c r="Q622" i="9"/>
  <c r="P622" i="9"/>
  <c r="O622" i="9"/>
  <c r="N622" i="9"/>
  <c r="M622" i="9"/>
  <c r="L622" i="9"/>
  <c r="K622" i="9"/>
  <c r="J622" i="9"/>
  <c r="I622" i="9"/>
  <c r="H622" i="9"/>
  <c r="G622" i="9"/>
  <c r="F622" i="9"/>
  <c r="AC621" i="9"/>
  <c r="AB621" i="9"/>
  <c r="AA621" i="9"/>
  <c r="Z621" i="9"/>
  <c r="Y621" i="9"/>
  <c r="X621" i="9"/>
  <c r="W621" i="9"/>
  <c r="V621" i="9"/>
  <c r="U621" i="9"/>
  <c r="T621" i="9"/>
  <c r="S621" i="9"/>
  <c r="R621" i="9"/>
  <c r="Q621" i="9"/>
  <c r="P621" i="9"/>
  <c r="O621" i="9"/>
  <c r="N621" i="9"/>
  <c r="M621" i="9"/>
  <c r="L621" i="9"/>
  <c r="K621" i="9"/>
  <c r="J621" i="9"/>
  <c r="I621" i="9"/>
  <c r="H621" i="9"/>
  <c r="G621" i="9"/>
  <c r="F621" i="9"/>
  <c r="AC620" i="9"/>
  <c r="AB620" i="9"/>
  <c r="AA620" i="9"/>
  <c r="Z620" i="9"/>
  <c r="Y620" i="9"/>
  <c r="X620" i="9"/>
  <c r="W620" i="9"/>
  <c r="V620" i="9"/>
  <c r="U620" i="9"/>
  <c r="T620" i="9"/>
  <c r="S620" i="9"/>
  <c r="R620" i="9"/>
  <c r="Q620" i="9"/>
  <c r="P620" i="9"/>
  <c r="O620" i="9"/>
  <c r="N620" i="9"/>
  <c r="M620" i="9"/>
  <c r="L620" i="9"/>
  <c r="K620" i="9"/>
  <c r="J620" i="9"/>
  <c r="I620" i="9"/>
  <c r="H620" i="9"/>
  <c r="G620" i="9"/>
  <c r="F620" i="9"/>
  <c r="AC619" i="9"/>
  <c r="AB619" i="9"/>
  <c r="AA619" i="9"/>
  <c r="Z619" i="9"/>
  <c r="Y619" i="9"/>
  <c r="X619" i="9"/>
  <c r="W619" i="9"/>
  <c r="V619" i="9"/>
  <c r="U619" i="9"/>
  <c r="T619" i="9"/>
  <c r="S619" i="9"/>
  <c r="R619" i="9"/>
  <c r="Q619" i="9"/>
  <c r="P619" i="9"/>
  <c r="O619" i="9"/>
  <c r="N619" i="9"/>
  <c r="M619" i="9"/>
  <c r="L619" i="9"/>
  <c r="K619" i="9"/>
  <c r="J619" i="9"/>
  <c r="I619" i="9"/>
  <c r="H619" i="9"/>
  <c r="G619" i="9"/>
  <c r="F619" i="9"/>
  <c r="AC618" i="9"/>
  <c r="AB618" i="9"/>
  <c r="AA618" i="9"/>
  <c r="Z618" i="9"/>
  <c r="Y618" i="9"/>
  <c r="X618" i="9"/>
  <c r="W618" i="9"/>
  <c r="V618" i="9"/>
  <c r="U618" i="9"/>
  <c r="T618" i="9"/>
  <c r="S618" i="9"/>
  <c r="R618" i="9"/>
  <c r="Q618" i="9"/>
  <c r="P618" i="9"/>
  <c r="O618" i="9"/>
  <c r="N618" i="9"/>
  <c r="M618" i="9"/>
  <c r="L618" i="9"/>
  <c r="K618" i="9"/>
  <c r="J618" i="9"/>
  <c r="I618" i="9"/>
  <c r="H618" i="9"/>
  <c r="G618" i="9"/>
  <c r="F618" i="9"/>
  <c r="AC617" i="9"/>
  <c r="AB617" i="9"/>
  <c r="AA617" i="9"/>
  <c r="Z617" i="9"/>
  <c r="Y617" i="9"/>
  <c r="X617" i="9"/>
  <c r="W617" i="9"/>
  <c r="V617" i="9"/>
  <c r="U617" i="9"/>
  <c r="T617" i="9"/>
  <c r="S617" i="9"/>
  <c r="R617" i="9"/>
  <c r="Q617" i="9"/>
  <c r="P617" i="9"/>
  <c r="O617" i="9"/>
  <c r="N617" i="9"/>
  <c r="M617" i="9"/>
  <c r="L617" i="9"/>
  <c r="K617" i="9"/>
  <c r="J617" i="9"/>
  <c r="I617" i="9"/>
  <c r="H617" i="9"/>
  <c r="G617" i="9"/>
  <c r="F617" i="9"/>
  <c r="AC616" i="9"/>
  <c r="AB616" i="9"/>
  <c r="AA616" i="9"/>
  <c r="Z616" i="9"/>
  <c r="Y616" i="9"/>
  <c r="X616" i="9"/>
  <c r="W616" i="9"/>
  <c r="V616" i="9"/>
  <c r="U616" i="9"/>
  <c r="T616" i="9"/>
  <c r="S616" i="9"/>
  <c r="R616" i="9"/>
  <c r="Q616" i="9"/>
  <c r="P616" i="9"/>
  <c r="O616" i="9"/>
  <c r="N616" i="9"/>
  <c r="M616" i="9"/>
  <c r="L616" i="9"/>
  <c r="K616" i="9"/>
  <c r="J616" i="9"/>
  <c r="I616" i="9"/>
  <c r="H616" i="9"/>
  <c r="G616" i="9"/>
  <c r="F616" i="9"/>
  <c r="AC615" i="9"/>
  <c r="AB615" i="9"/>
  <c r="AA615" i="9"/>
  <c r="Z615" i="9"/>
  <c r="Y615" i="9"/>
  <c r="X615" i="9"/>
  <c r="W615" i="9"/>
  <c r="V615" i="9"/>
  <c r="U615" i="9"/>
  <c r="T615" i="9"/>
  <c r="S615" i="9"/>
  <c r="R615" i="9"/>
  <c r="Q615" i="9"/>
  <c r="P615" i="9"/>
  <c r="O615" i="9"/>
  <c r="N615" i="9"/>
  <c r="M615" i="9"/>
  <c r="L615" i="9"/>
  <c r="K615" i="9"/>
  <c r="J615" i="9"/>
  <c r="I615" i="9"/>
  <c r="H615" i="9"/>
  <c r="G615" i="9"/>
  <c r="F615" i="9"/>
  <c r="AC614" i="9"/>
  <c r="AB614" i="9"/>
  <c r="AA614" i="9"/>
  <c r="Z614" i="9"/>
  <c r="Y614" i="9"/>
  <c r="X614" i="9"/>
  <c r="W614" i="9"/>
  <c r="V614" i="9"/>
  <c r="U614" i="9"/>
  <c r="T614" i="9"/>
  <c r="S614" i="9"/>
  <c r="R614" i="9"/>
  <c r="Q614" i="9"/>
  <c r="P614" i="9"/>
  <c r="O614" i="9"/>
  <c r="N614" i="9"/>
  <c r="M614" i="9"/>
  <c r="L614" i="9"/>
  <c r="K614" i="9"/>
  <c r="J614" i="9"/>
  <c r="I614" i="9"/>
  <c r="H614" i="9"/>
  <c r="G614" i="9"/>
  <c r="F614" i="9"/>
  <c r="AC613" i="9"/>
  <c r="AB613" i="9"/>
  <c r="AA613" i="9"/>
  <c r="Z613" i="9"/>
  <c r="Y613" i="9"/>
  <c r="X613" i="9"/>
  <c r="W613" i="9"/>
  <c r="V613" i="9"/>
  <c r="U613" i="9"/>
  <c r="T613" i="9"/>
  <c r="S613" i="9"/>
  <c r="R613" i="9"/>
  <c r="Q613" i="9"/>
  <c r="P613" i="9"/>
  <c r="O613" i="9"/>
  <c r="N613" i="9"/>
  <c r="M613" i="9"/>
  <c r="L613" i="9"/>
  <c r="K613" i="9"/>
  <c r="J613" i="9"/>
  <c r="I613" i="9"/>
  <c r="H613" i="9"/>
  <c r="G613" i="9"/>
  <c r="F613" i="9"/>
  <c r="AC612" i="9"/>
  <c r="AB612" i="9"/>
  <c r="AA612" i="9"/>
  <c r="Z612" i="9"/>
  <c r="Y612" i="9"/>
  <c r="X612" i="9"/>
  <c r="W612" i="9"/>
  <c r="V612" i="9"/>
  <c r="U612" i="9"/>
  <c r="T612" i="9"/>
  <c r="S612" i="9"/>
  <c r="R612" i="9"/>
  <c r="Q612" i="9"/>
  <c r="P612" i="9"/>
  <c r="O612" i="9"/>
  <c r="N612" i="9"/>
  <c r="M612" i="9"/>
  <c r="L612" i="9"/>
  <c r="K612" i="9"/>
  <c r="J612" i="9"/>
  <c r="I612" i="9"/>
  <c r="H612" i="9"/>
  <c r="G612" i="9"/>
  <c r="F612" i="9"/>
  <c r="AC611" i="9"/>
  <c r="AB611" i="9"/>
  <c r="AA611" i="9"/>
  <c r="Z611" i="9"/>
  <c r="Y611" i="9"/>
  <c r="X611" i="9"/>
  <c r="W611" i="9"/>
  <c r="V611" i="9"/>
  <c r="U611" i="9"/>
  <c r="T611" i="9"/>
  <c r="S611" i="9"/>
  <c r="R611" i="9"/>
  <c r="Q611" i="9"/>
  <c r="P611" i="9"/>
  <c r="O611" i="9"/>
  <c r="N611" i="9"/>
  <c r="M611" i="9"/>
  <c r="L611" i="9"/>
  <c r="K611" i="9"/>
  <c r="J611" i="9"/>
  <c r="I611" i="9"/>
  <c r="H611" i="9"/>
  <c r="G611" i="9"/>
  <c r="F611" i="9"/>
  <c r="AC610" i="9"/>
  <c r="AB610" i="9"/>
  <c r="AA610" i="9"/>
  <c r="Z610" i="9"/>
  <c r="Y610" i="9"/>
  <c r="X610" i="9"/>
  <c r="W610" i="9"/>
  <c r="V610" i="9"/>
  <c r="U610" i="9"/>
  <c r="T610" i="9"/>
  <c r="S610" i="9"/>
  <c r="R610" i="9"/>
  <c r="Q610" i="9"/>
  <c r="P610" i="9"/>
  <c r="O610" i="9"/>
  <c r="N610" i="9"/>
  <c r="M610" i="9"/>
  <c r="L610" i="9"/>
  <c r="K610" i="9"/>
  <c r="J610" i="9"/>
  <c r="I610" i="9"/>
  <c r="H610" i="9"/>
  <c r="G610" i="9"/>
  <c r="F610" i="9"/>
  <c r="AC609" i="9"/>
  <c r="AB609" i="9"/>
  <c r="AA609" i="9"/>
  <c r="Z609" i="9"/>
  <c r="Y609" i="9"/>
  <c r="X609" i="9"/>
  <c r="W609" i="9"/>
  <c r="V609" i="9"/>
  <c r="U609" i="9"/>
  <c r="T609" i="9"/>
  <c r="S609" i="9"/>
  <c r="R609" i="9"/>
  <c r="Q609" i="9"/>
  <c r="P609" i="9"/>
  <c r="O609" i="9"/>
  <c r="N609" i="9"/>
  <c r="M609" i="9"/>
  <c r="L609" i="9"/>
  <c r="K609" i="9"/>
  <c r="J609" i="9"/>
  <c r="I609" i="9"/>
  <c r="H609" i="9"/>
  <c r="G609" i="9"/>
  <c r="F609" i="9"/>
  <c r="AC608" i="9"/>
  <c r="AB608" i="9"/>
  <c r="AA608" i="9"/>
  <c r="Z608" i="9"/>
  <c r="Y608" i="9"/>
  <c r="X608" i="9"/>
  <c r="W608" i="9"/>
  <c r="V608" i="9"/>
  <c r="U608" i="9"/>
  <c r="T608" i="9"/>
  <c r="S608" i="9"/>
  <c r="R608" i="9"/>
  <c r="Q608" i="9"/>
  <c r="P608" i="9"/>
  <c r="O608" i="9"/>
  <c r="N608" i="9"/>
  <c r="M608" i="9"/>
  <c r="L608" i="9"/>
  <c r="K608" i="9"/>
  <c r="J608" i="9"/>
  <c r="I608" i="9"/>
  <c r="H608" i="9"/>
  <c r="G608" i="9"/>
  <c r="F608" i="9"/>
  <c r="AC607" i="9"/>
  <c r="AB607" i="9"/>
  <c r="AA607" i="9"/>
  <c r="Z607" i="9"/>
  <c r="Y607" i="9"/>
  <c r="X607" i="9"/>
  <c r="W607" i="9"/>
  <c r="V607" i="9"/>
  <c r="U607" i="9"/>
  <c r="T607" i="9"/>
  <c r="S607" i="9"/>
  <c r="R607" i="9"/>
  <c r="Q607" i="9"/>
  <c r="P607" i="9"/>
  <c r="O607" i="9"/>
  <c r="N607" i="9"/>
  <c r="M607" i="9"/>
  <c r="L607" i="9"/>
  <c r="K607" i="9"/>
  <c r="J607" i="9"/>
  <c r="I607" i="9"/>
  <c r="H607" i="9"/>
  <c r="G607" i="9"/>
  <c r="F607" i="9"/>
  <c r="AC606" i="9"/>
  <c r="AB606" i="9"/>
  <c r="AA606" i="9"/>
  <c r="Z606" i="9"/>
  <c r="Y606" i="9"/>
  <c r="X606" i="9"/>
  <c r="W606" i="9"/>
  <c r="V606" i="9"/>
  <c r="U606" i="9"/>
  <c r="T606" i="9"/>
  <c r="S606" i="9"/>
  <c r="R606" i="9"/>
  <c r="Q606" i="9"/>
  <c r="P606" i="9"/>
  <c r="O606" i="9"/>
  <c r="N606" i="9"/>
  <c r="M606" i="9"/>
  <c r="L606" i="9"/>
  <c r="K606" i="9"/>
  <c r="J606" i="9"/>
  <c r="I606" i="9"/>
  <c r="H606" i="9"/>
  <c r="G606" i="9"/>
  <c r="F606" i="9"/>
  <c r="AC605" i="9"/>
  <c r="AB605" i="9"/>
  <c r="AA605" i="9"/>
  <c r="Z605" i="9"/>
  <c r="Y605" i="9"/>
  <c r="X605" i="9"/>
  <c r="W605" i="9"/>
  <c r="V605" i="9"/>
  <c r="U605" i="9"/>
  <c r="T605" i="9"/>
  <c r="S605" i="9"/>
  <c r="R605" i="9"/>
  <c r="Q605" i="9"/>
  <c r="P605" i="9"/>
  <c r="O605" i="9"/>
  <c r="N605" i="9"/>
  <c r="M605" i="9"/>
  <c r="L605" i="9"/>
  <c r="K605" i="9"/>
  <c r="J605" i="9"/>
  <c r="I605" i="9"/>
  <c r="H605" i="9"/>
  <c r="G605" i="9"/>
  <c r="F605" i="9"/>
  <c r="AC604" i="9"/>
  <c r="AB604" i="9"/>
  <c r="AA604" i="9"/>
  <c r="Z604" i="9"/>
  <c r="Y604" i="9"/>
  <c r="X604" i="9"/>
  <c r="W604" i="9"/>
  <c r="V604" i="9"/>
  <c r="U604" i="9"/>
  <c r="T604" i="9"/>
  <c r="S604" i="9"/>
  <c r="R604" i="9"/>
  <c r="Q604" i="9"/>
  <c r="P604" i="9"/>
  <c r="O604" i="9"/>
  <c r="N604" i="9"/>
  <c r="M604" i="9"/>
  <c r="L604" i="9"/>
  <c r="K604" i="9"/>
  <c r="J604" i="9"/>
  <c r="I604" i="9"/>
  <c r="H604" i="9"/>
  <c r="G604" i="9"/>
  <c r="F604" i="9"/>
  <c r="AC603" i="9"/>
  <c r="AB603" i="9"/>
  <c r="AA603" i="9"/>
  <c r="Z603" i="9"/>
  <c r="Y603" i="9"/>
  <c r="X603" i="9"/>
  <c r="W603" i="9"/>
  <c r="V603" i="9"/>
  <c r="U603" i="9"/>
  <c r="T603" i="9"/>
  <c r="S603" i="9"/>
  <c r="R603" i="9"/>
  <c r="Q603" i="9"/>
  <c r="P603" i="9"/>
  <c r="O603" i="9"/>
  <c r="N603" i="9"/>
  <c r="M603" i="9"/>
  <c r="L603" i="9"/>
  <c r="K603" i="9"/>
  <c r="J603" i="9"/>
  <c r="I603" i="9"/>
  <c r="H603" i="9"/>
  <c r="G603" i="9"/>
  <c r="F603" i="9"/>
  <c r="AC602" i="9"/>
  <c r="AB602" i="9"/>
  <c r="AA602" i="9"/>
  <c r="Z602" i="9"/>
  <c r="Y602" i="9"/>
  <c r="X602" i="9"/>
  <c r="W602" i="9"/>
  <c r="V602" i="9"/>
  <c r="U602" i="9"/>
  <c r="T602" i="9"/>
  <c r="S602" i="9"/>
  <c r="R602" i="9"/>
  <c r="Q602" i="9"/>
  <c r="P602" i="9"/>
  <c r="O602" i="9"/>
  <c r="N602" i="9"/>
  <c r="M602" i="9"/>
  <c r="L602" i="9"/>
  <c r="K602" i="9"/>
  <c r="J602" i="9"/>
  <c r="I602" i="9"/>
  <c r="H602" i="9"/>
  <c r="G602" i="9"/>
  <c r="F602" i="9"/>
  <c r="AC601" i="9"/>
  <c r="AB601" i="9"/>
  <c r="AA601" i="9"/>
  <c r="Z601" i="9"/>
  <c r="Y601" i="9"/>
  <c r="X601" i="9"/>
  <c r="W601" i="9"/>
  <c r="V601" i="9"/>
  <c r="U601" i="9"/>
  <c r="T601" i="9"/>
  <c r="S601" i="9"/>
  <c r="R601" i="9"/>
  <c r="Q601" i="9"/>
  <c r="P601" i="9"/>
  <c r="O601" i="9"/>
  <c r="N601" i="9"/>
  <c r="M601" i="9"/>
  <c r="L601" i="9"/>
  <c r="K601" i="9"/>
  <c r="J601" i="9"/>
  <c r="I601" i="9"/>
  <c r="H601" i="9"/>
  <c r="G601" i="9"/>
  <c r="F601" i="9"/>
  <c r="AC600" i="9"/>
  <c r="AB600" i="9"/>
  <c r="AA600" i="9"/>
  <c r="Z600" i="9"/>
  <c r="Y600" i="9"/>
  <c r="X600" i="9"/>
  <c r="W600" i="9"/>
  <c r="V600" i="9"/>
  <c r="U600" i="9"/>
  <c r="T600" i="9"/>
  <c r="S600" i="9"/>
  <c r="R600" i="9"/>
  <c r="Q600" i="9"/>
  <c r="P600" i="9"/>
  <c r="O600" i="9"/>
  <c r="N600" i="9"/>
  <c r="M600" i="9"/>
  <c r="L600" i="9"/>
  <c r="K600" i="9"/>
  <c r="J600" i="9"/>
  <c r="I600" i="9"/>
  <c r="H600" i="9"/>
  <c r="G600" i="9"/>
  <c r="F600" i="9"/>
  <c r="AC599" i="9"/>
  <c r="AB599" i="9"/>
  <c r="AA599" i="9"/>
  <c r="Z599" i="9"/>
  <c r="Y599" i="9"/>
  <c r="X599" i="9"/>
  <c r="W599" i="9"/>
  <c r="V599" i="9"/>
  <c r="U599" i="9"/>
  <c r="T599" i="9"/>
  <c r="S599" i="9"/>
  <c r="R599" i="9"/>
  <c r="Q599" i="9"/>
  <c r="P599" i="9"/>
  <c r="O599" i="9"/>
  <c r="N599" i="9"/>
  <c r="M599" i="9"/>
  <c r="L599" i="9"/>
  <c r="K599" i="9"/>
  <c r="J599" i="9"/>
  <c r="I599" i="9"/>
  <c r="H599" i="9"/>
  <c r="G599" i="9"/>
  <c r="F599" i="9"/>
  <c r="AC598" i="9"/>
  <c r="AB598" i="9"/>
  <c r="AA598" i="9"/>
  <c r="Z598" i="9"/>
  <c r="Y598" i="9"/>
  <c r="X598" i="9"/>
  <c r="W598" i="9"/>
  <c r="V598" i="9"/>
  <c r="U598" i="9"/>
  <c r="T598" i="9"/>
  <c r="S598" i="9"/>
  <c r="R598" i="9"/>
  <c r="Q598" i="9"/>
  <c r="P598" i="9"/>
  <c r="O598" i="9"/>
  <c r="N598" i="9"/>
  <c r="M598" i="9"/>
  <c r="L598" i="9"/>
  <c r="K598" i="9"/>
  <c r="J598" i="9"/>
  <c r="I598" i="9"/>
  <c r="H598" i="9"/>
  <c r="G598" i="9"/>
  <c r="F598" i="9"/>
  <c r="AC597" i="9"/>
  <c r="AB597" i="9"/>
  <c r="AA597" i="9"/>
  <c r="Z597" i="9"/>
  <c r="Y597" i="9"/>
  <c r="X597" i="9"/>
  <c r="W597" i="9"/>
  <c r="V597" i="9"/>
  <c r="U597" i="9"/>
  <c r="T597" i="9"/>
  <c r="S597" i="9"/>
  <c r="R597" i="9"/>
  <c r="Q597" i="9"/>
  <c r="P597" i="9"/>
  <c r="O597" i="9"/>
  <c r="N597" i="9"/>
  <c r="M597" i="9"/>
  <c r="L597" i="9"/>
  <c r="K597" i="9"/>
  <c r="J597" i="9"/>
  <c r="I597" i="9"/>
  <c r="H597" i="9"/>
  <c r="G597" i="9"/>
  <c r="F597" i="9"/>
  <c r="AC596" i="9"/>
  <c r="AB596" i="9"/>
  <c r="AA596" i="9"/>
  <c r="Z596" i="9"/>
  <c r="Y596" i="9"/>
  <c r="X596" i="9"/>
  <c r="W596" i="9"/>
  <c r="V596" i="9"/>
  <c r="U596" i="9"/>
  <c r="T596" i="9"/>
  <c r="S596" i="9"/>
  <c r="R596" i="9"/>
  <c r="Q596" i="9"/>
  <c r="P596" i="9"/>
  <c r="O596" i="9"/>
  <c r="N596" i="9"/>
  <c r="M596" i="9"/>
  <c r="L596" i="9"/>
  <c r="K596" i="9"/>
  <c r="J596" i="9"/>
  <c r="I596" i="9"/>
  <c r="H596" i="9"/>
  <c r="G596" i="9"/>
  <c r="F596" i="9"/>
  <c r="AC595" i="9"/>
  <c r="AB595" i="9"/>
  <c r="AA595" i="9"/>
  <c r="Z595" i="9"/>
  <c r="Y595" i="9"/>
  <c r="X595" i="9"/>
  <c r="W595" i="9"/>
  <c r="V595" i="9"/>
  <c r="U595" i="9"/>
  <c r="T595" i="9"/>
  <c r="S595" i="9"/>
  <c r="R595" i="9"/>
  <c r="Q595" i="9"/>
  <c r="P595" i="9"/>
  <c r="O595" i="9"/>
  <c r="N595" i="9"/>
  <c r="M595" i="9"/>
  <c r="L595" i="9"/>
  <c r="K595" i="9"/>
  <c r="J595" i="9"/>
  <c r="I595" i="9"/>
  <c r="H595" i="9"/>
  <c r="G595" i="9"/>
  <c r="F595" i="9"/>
  <c r="AC594" i="9"/>
  <c r="AB594" i="9"/>
  <c r="AA594" i="9"/>
  <c r="Z594" i="9"/>
  <c r="Y594" i="9"/>
  <c r="X594" i="9"/>
  <c r="W594" i="9"/>
  <c r="V594" i="9"/>
  <c r="U594" i="9"/>
  <c r="T594" i="9"/>
  <c r="S594" i="9"/>
  <c r="R594" i="9"/>
  <c r="Q594" i="9"/>
  <c r="P594" i="9"/>
  <c r="O594" i="9"/>
  <c r="N594" i="9"/>
  <c r="M594" i="9"/>
  <c r="L594" i="9"/>
  <c r="K594" i="9"/>
  <c r="J594" i="9"/>
  <c r="I594" i="9"/>
  <c r="H594" i="9"/>
  <c r="G594" i="9"/>
  <c r="F594" i="9"/>
  <c r="AC593" i="9"/>
  <c r="AB593" i="9"/>
  <c r="AA593" i="9"/>
  <c r="Z593" i="9"/>
  <c r="Y593" i="9"/>
  <c r="X593" i="9"/>
  <c r="W593" i="9"/>
  <c r="V593" i="9"/>
  <c r="U593" i="9"/>
  <c r="T593" i="9"/>
  <c r="S593" i="9"/>
  <c r="R593" i="9"/>
  <c r="Q593" i="9"/>
  <c r="P593" i="9"/>
  <c r="O593" i="9"/>
  <c r="N593" i="9"/>
  <c r="M593" i="9"/>
  <c r="L593" i="9"/>
  <c r="K593" i="9"/>
  <c r="J593" i="9"/>
  <c r="I593" i="9"/>
  <c r="H593" i="9"/>
  <c r="G593" i="9"/>
  <c r="F593" i="9"/>
  <c r="AC592" i="9"/>
  <c r="AB592" i="9"/>
  <c r="AA592" i="9"/>
  <c r="Z592" i="9"/>
  <c r="Y592" i="9"/>
  <c r="X592" i="9"/>
  <c r="W592" i="9"/>
  <c r="V592" i="9"/>
  <c r="U592" i="9"/>
  <c r="T592" i="9"/>
  <c r="S592" i="9"/>
  <c r="R592" i="9"/>
  <c r="Q592" i="9"/>
  <c r="P592" i="9"/>
  <c r="O592" i="9"/>
  <c r="N592" i="9"/>
  <c r="M592" i="9"/>
  <c r="L592" i="9"/>
  <c r="K592" i="9"/>
  <c r="J592" i="9"/>
  <c r="I592" i="9"/>
  <c r="H592" i="9"/>
  <c r="G592" i="9"/>
  <c r="F592" i="9"/>
  <c r="AC591" i="9"/>
  <c r="AB591" i="9"/>
  <c r="AA591" i="9"/>
  <c r="Z591" i="9"/>
  <c r="Y591" i="9"/>
  <c r="X591" i="9"/>
  <c r="W591" i="9"/>
  <c r="V591" i="9"/>
  <c r="U591" i="9"/>
  <c r="T591" i="9"/>
  <c r="S591" i="9"/>
  <c r="R591" i="9"/>
  <c r="Q591" i="9"/>
  <c r="P591" i="9"/>
  <c r="O591" i="9"/>
  <c r="N591" i="9"/>
  <c r="M591" i="9"/>
  <c r="L591" i="9"/>
  <c r="K591" i="9"/>
  <c r="J591" i="9"/>
  <c r="I591" i="9"/>
  <c r="H591" i="9"/>
  <c r="G591" i="9"/>
  <c r="F591" i="9"/>
  <c r="AC590" i="9"/>
  <c r="AB590" i="9"/>
  <c r="AA590" i="9"/>
  <c r="Z590" i="9"/>
  <c r="Y590" i="9"/>
  <c r="X590" i="9"/>
  <c r="W590" i="9"/>
  <c r="V590" i="9"/>
  <c r="U590" i="9"/>
  <c r="T590" i="9"/>
  <c r="S590" i="9"/>
  <c r="R590" i="9"/>
  <c r="Q590" i="9"/>
  <c r="P590" i="9"/>
  <c r="O590" i="9"/>
  <c r="N590" i="9"/>
  <c r="M590" i="9"/>
  <c r="L590" i="9"/>
  <c r="K590" i="9"/>
  <c r="J590" i="9"/>
  <c r="I590" i="9"/>
  <c r="H590" i="9"/>
  <c r="G590" i="9"/>
  <c r="F590" i="9"/>
  <c r="AC589" i="9"/>
  <c r="AB589" i="9"/>
  <c r="AA589" i="9"/>
  <c r="Z589" i="9"/>
  <c r="Y589" i="9"/>
  <c r="X589" i="9"/>
  <c r="W589" i="9"/>
  <c r="V589" i="9"/>
  <c r="U589" i="9"/>
  <c r="T589" i="9"/>
  <c r="S589" i="9"/>
  <c r="R589" i="9"/>
  <c r="Q589" i="9"/>
  <c r="P589" i="9"/>
  <c r="O589" i="9"/>
  <c r="N589" i="9"/>
  <c r="M589" i="9"/>
  <c r="L589" i="9"/>
  <c r="K589" i="9"/>
  <c r="J589" i="9"/>
  <c r="I589" i="9"/>
  <c r="H589" i="9"/>
  <c r="G589" i="9"/>
  <c r="F589" i="9"/>
  <c r="AC588" i="9"/>
  <c r="AB588" i="9"/>
  <c r="AA588" i="9"/>
  <c r="Z588" i="9"/>
  <c r="Y588" i="9"/>
  <c r="X588" i="9"/>
  <c r="W588" i="9"/>
  <c r="V588" i="9"/>
  <c r="U588" i="9"/>
  <c r="T588" i="9"/>
  <c r="S588" i="9"/>
  <c r="R588" i="9"/>
  <c r="Q588" i="9"/>
  <c r="P588" i="9"/>
  <c r="O588" i="9"/>
  <c r="N588" i="9"/>
  <c r="M588" i="9"/>
  <c r="L588" i="9"/>
  <c r="K588" i="9"/>
  <c r="J588" i="9"/>
  <c r="I588" i="9"/>
  <c r="H588" i="9"/>
  <c r="G588" i="9"/>
  <c r="F588" i="9"/>
  <c r="AC587" i="9"/>
  <c r="AB587" i="9"/>
  <c r="AA587" i="9"/>
  <c r="Z587" i="9"/>
  <c r="Y587" i="9"/>
  <c r="X587" i="9"/>
  <c r="W587" i="9"/>
  <c r="V587" i="9"/>
  <c r="U587" i="9"/>
  <c r="T587" i="9"/>
  <c r="S587" i="9"/>
  <c r="R587" i="9"/>
  <c r="Q587" i="9"/>
  <c r="P587" i="9"/>
  <c r="O587" i="9"/>
  <c r="N587" i="9"/>
  <c r="M587" i="9"/>
  <c r="L587" i="9"/>
  <c r="K587" i="9"/>
  <c r="J587" i="9"/>
  <c r="I587" i="9"/>
  <c r="H587" i="9"/>
  <c r="G587" i="9"/>
  <c r="F587" i="9"/>
  <c r="AC586" i="9"/>
  <c r="AB586" i="9"/>
  <c r="AA586" i="9"/>
  <c r="Z586" i="9"/>
  <c r="Y586" i="9"/>
  <c r="X586" i="9"/>
  <c r="W586" i="9"/>
  <c r="V586" i="9"/>
  <c r="U586" i="9"/>
  <c r="T586" i="9"/>
  <c r="S586" i="9"/>
  <c r="R586" i="9"/>
  <c r="Q586" i="9"/>
  <c r="P586" i="9"/>
  <c r="O586" i="9"/>
  <c r="N586" i="9"/>
  <c r="M586" i="9"/>
  <c r="L586" i="9"/>
  <c r="K586" i="9"/>
  <c r="J586" i="9"/>
  <c r="I586" i="9"/>
  <c r="H586" i="9"/>
  <c r="G586" i="9"/>
  <c r="F586" i="9"/>
  <c r="AC585" i="9"/>
  <c r="AB585" i="9"/>
  <c r="AA585" i="9"/>
  <c r="Z585" i="9"/>
  <c r="Y585" i="9"/>
  <c r="X585" i="9"/>
  <c r="W585" i="9"/>
  <c r="V585" i="9"/>
  <c r="U585" i="9"/>
  <c r="T585" i="9"/>
  <c r="S585" i="9"/>
  <c r="R585" i="9"/>
  <c r="Q585" i="9"/>
  <c r="P585" i="9"/>
  <c r="O585" i="9"/>
  <c r="N585" i="9"/>
  <c r="M585" i="9"/>
  <c r="L585" i="9"/>
  <c r="K585" i="9"/>
  <c r="J585" i="9"/>
  <c r="I585" i="9"/>
  <c r="H585" i="9"/>
  <c r="G585" i="9"/>
  <c r="F585" i="9"/>
  <c r="AC584" i="9"/>
  <c r="AB584" i="9"/>
  <c r="AA584" i="9"/>
  <c r="Z584" i="9"/>
  <c r="Y584" i="9"/>
  <c r="X584" i="9"/>
  <c r="W584" i="9"/>
  <c r="V584" i="9"/>
  <c r="U584" i="9"/>
  <c r="T584" i="9"/>
  <c r="S584" i="9"/>
  <c r="R584" i="9"/>
  <c r="Q584" i="9"/>
  <c r="P584" i="9"/>
  <c r="O584" i="9"/>
  <c r="N584" i="9"/>
  <c r="M584" i="9"/>
  <c r="L584" i="9"/>
  <c r="K584" i="9"/>
  <c r="J584" i="9"/>
  <c r="I584" i="9"/>
  <c r="H584" i="9"/>
  <c r="G584" i="9"/>
  <c r="F584" i="9"/>
  <c r="AC583" i="9"/>
  <c r="AB583" i="9"/>
  <c r="AA583" i="9"/>
  <c r="Z583" i="9"/>
  <c r="Y583" i="9"/>
  <c r="X583" i="9"/>
  <c r="W583" i="9"/>
  <c r="V583" i="9"/>
  <c r="U583" i="9"/>
  <c r="T583" i="9"/>
  <c r="S583" i="9"/>
  <c r="R583" i="9"/>
  <c r="Q583" i="9"/>
  <c r="P583" i="9"/>
  <c r="O583" i="9"/>
  <c r="N583" i="9"/>
  <c r="M583" i="9"/>
  <c r="L583" i="9"/>
  <c r="K583" i="9"/>
  <c r="J583" i="9"/>
  <c r="I583" i="9"/>
  <c r="H583" i="9"/>
  <c r="G583" i="9"/>
  <c r="F583" i="9"/>
  <c r="AC582" i="9"/>
  <c r="AB582" i="9"/>
  <c r="AA582" i="9"/>
  <c r="Z582" i="9"/>
  <c r="Y582" i="9"/>
  <c r="X582" i="9"/>
  <c r="W582" i="9"/>
  <c r="V582" i="9"/>
  <c r="U582" i="9"/>
  <c r="T582" i="9"/>
  <c r="S582" i="9"/>
  <c r="R582" i="9"/>
  <c r="Q582" i="9"/>
  <c r="P582" i="9"/>
  <c r="O582" i="9"/>
  <c r="N582" i="9"/>
  <c r="M582" i="9"/>
  <c r="L582" i="9"/>
  <c r="K582" i="9"/>
  <c r="J582" i="9"/>
  <c r="I582" i="9"/>
  <c r="H582" i="9"/>
  <c r="G582" i="9"/>
  <c r="F582" i="9"/>
  <c r="AC581" i="9"/>
  <c r="AB581" i="9"/>
  <c r="AA581" i="9"/>
  <c r="Z581" i="9"/>
  <c r="Y581" i="9"/>
  <c r="X581" i="9"/>
  <c r="W581" i="9"/>
  <c r="V581" i="9"/>
  <c r="U581" i="9"/>
  <c r="T581" i="9"/>
  <c r="S581" i="9"/>
  <c r="R581" i="9"/>
  <c r="Q581" i="9"/>
  <c r="P581" i="9"/>
  <c r="O581" i="9"/>
  <c r="N581" i="9"/>
  <c r="M581" i="9"/>
  <c r="L581" i="9"/>
  <c r="K581" i="9"/>
  <c r="J581" i="9"/>
  <c r="I581" i="9"/>
  <c r="H581" i="9"/>
  <c r="G581" i="9"/>
  <c r="F581" i="9"/>
  <c r="AC580" i="9"/>
  <c r="AB580" i="9"/>
  <c r="AA580" i="9"/>
  <c r="Z580" i="9"/>
  <c r="Y580" i="9"/>
  <c r="X580" i="9"/>
  <c r="W580" i="9"/>
  <c r="V580" i="9"/>
  <c r="U580" i="9"/>
  <c r="T580" i="9"/>
  <c r="S580" i="9"/>
  <c r="R580" i="9"/>
  <c r="Q580" i="9"/>
  <c r="P580" i="9"/>
  <c r="O580" i="9"/>
  <c r="N580" i="9"/>
  <c r="M580" i="9"/>
  <c r="L580" i="9"/>
  <c r="K580" i="9"/>
  <c r="J580" i="9"/>
  <c r="I580" i="9"/>
  <c r="H580" i="9"/>
  <c r="G580" i="9"/>
  <c r="F580" i="9"/>
  <c r="AC579" i="9"/>
  <c r="AB579" i="9"/>
  <c r="AA579" i="9"/>
  <c r="Z579" i="9"/>
  <c r="Y579" i="9"/>
  <c r="X579" i="9"/>
  <c r="W579" i="9"/>
  <c r="V579" i="9"/>
  <c r="U579" i="9"/>
  <c r="T579" i="9"/>
  <c r="S579" i="9"/>
  <c r="R579" i="9"/>
  <c r="Q579" i="9"/>
  <c r="P579" i="9"/>
  <c r="O579" i="9"/>
  <c r="N579" i="9"/>
  <c r="M579" i="9"/>
  <c r="L579" i="9"/>
  <c r="K579" i="9"/>
  <c r="J579" i="9"/>
  <c r="I579" i="9"/>
  <c r="H579" i="9"/>
  <c r="G579" i="9"/>
  <c r="F579" i="9"/>
  <c r="AC578" i="9"/>
  <c r="AB578" i="9"/>
  <c r="AA578" i="9"/>
  <c r="Z578" i="9"/>
  <c r="Y578" i="9"/>
  <c r="X578" i="9"/>
  <c r="W578" i="9"/>
  <c r="V578" i="9"/>
  <c r="U578" i="9"/>
  <c r="T578" i="9"/>
  <c r="S578" i="9"/>
  <c r="R578" i="9"/>
  <c r="Q578" i="9"/>
  <c r="P578" i="9"/>
  <c r="O578" i="9"/>
  <c r="N578" i="9"/>
  <c r="M578" i="9"/>
  <c r="L578" i="9"/>
  <c r="K578" i="9"/>
  <c r="J578" i="9"/>
  <c r="I578" i="9"/>
  <c r="H578" i="9"/>
  <c r="G578" i="9"/>
  <c r="F578" i="9"/>
  <c r="AC577" i="9"/>
  <c r="AB577" i="9"/>
  <c r="AA577" i="9"/>
  <c r="Z577" i="9"/>
  <c r="Y577" i="9"/>
  <c r="X577" i="9"/>
  <c r="W577" i="9"/>
  <c r="V577" i="9"/>
  <c r="U577" i="9"/>
  <c r="T577" i="9"/>
  <c r="S577" i="9"/>
  <c r="R577" i="9"/>
  <c r="Q577" i="9"/>
  <c r="P577" i="9"/>
  <c r="O577" i="9"/>
  <c r="N577" i="9"/>
  <c r="M577" i="9"/>
  <c r="L577" i="9"/>
  <c r="K577" i="9"/>
  <c r="J577" i="9"/>
  <c r="I577" i="9"/>
  <c r="H577" i="9"/>
  <c r="G577" i="9"/>
  <c r="F577" i="9"/>
  <c r="AC576" i="9"/>
  <c r="AB576" i="9"/>
  <c r="AA576" i="9"/>
  <c r="Z576" i="9"/>
  <c r="Y576" i="9"/>
  <c r="X576" i="9"/>
  <c r="W576" i="9"/>
  <c r="V576" i="9"/>
  <c r="U576" i="9"/>
  <c r="T576" i="9"/>
  <c r="S576" i="9"/>
  <c r="R576" i="9"/>
  <c r="Q576" i="9"/>
  <c r="P576" i="9"/>
  <c r="O576" i="9"/>
  <c r="N576" i="9"/>
  <c r="M576" i="9"/>
  <c r="L576" i="9"/>
  <c r="K576" i="9"/>
  <c r="J576" i="9"/>
  <c r="I576" i="9"/>
  <c r="H576" i="9"/>
  <c r="G576" i="9"/>
  <c r="F576" i="9"/>
  <c r="AC575" i="9"/>
  <c r="AB575" i="9"/>
  <c r="AA575" i="9"/>
  <c r="Z575" i="9"/>
  <c r="Y575" i="9"/>
  <c r="X575" i="9"/>
  <c r="W575" i="9"/>
  <c r="V575" i="9"/>
  <c r="U575" i="9"/>
  <c r="T575" i="9"/>
  <c r="S575" i="9"/>
  <c r="R575" i="9"/>
  <c r="Q575" i="9"/>
  <c r="P575" i="9"/>
  <c r="O575" i="9"/>
  <c r="N575" i="9"/>
  <c r="M575" i="9"/>
  <c r="L575" i="9"/>
  <c r="K575" i="9"/>
  <c r="J575" i="9"/>
  <c r="I575" i="9"/>
  <c r="H575" i="9"/>
  <c r="G575" i="9"/>
  <c r="F575" i="9"/>
  <c r="AC574" i="9"/>
  <c r="AB574" i="9"/>
  <c r="AA574" i="9"/>
  <c r="Z574" i="9"/>
  <c r="Y574" i="9"/>
  <c r="X574" i="9"/>
  <c r="W574" i="9"/>
  <c r="V574" i="9"/>
  <c r="U574" i="9"/>
  <c r="T574" i="9"/>
  <c r="S574" i="9"/>
  <c r="R574" i="9"/>
  <c r="Q574" i="9"/>
  <c r="P574" i="9"/>
  <c r="O574" i="9"/>
  <c r="N574" i="9"/>
  <c r="M574" i="9"/>
  <c r="L574" i="9"/>
  <c r="K574" i="9"/>
  <c r="J574" i="9"/>
  <c r="I574" i="9"/>
  <c r="H574" i="9"/>
  <c r="G574" i="9"/>
  <c r="F574" i="9"/>
  <c r="AC573" i="9"/>
  <c r="AB573" i="9"/>
  <c r="AA573" i="9"/>
  <c r="Z573" i="9"/>
  <c r="Y573" i="9"/>
  <c r="X573" i="9"/>
  <c r="W573" i="9"/>
  <c r="V573" i="9"/>
  <c r="U573" i="9"/>
  <c r="T573" i="9"/>
  <c r="S573" i="9"/>
  <c r="R573" i="9"/>
  <c r="Q573" i="9"/>
  <c r="P573" i="9"/>
  <c r="O573" i="9"/>
  <c r="N573" i="9"/>
  <c r="M573" i="9"/>
  <c r="L573" i="9"/>
  <c r="K573" i="9"/>
  <c r="J573" i="9"/>
  <c r="I573" i="9"/>
  <c r="H573" i="9"/>
  <c r="G573" i="9"/>
  <c r="F573" i="9"/>
  <c r="AC572" i="9"/>
  <c r="AB572" i="9"/>
  <c r="AA572" i="9"/>
  <c r="Z572" i="9"/>
  <c r="Y572" i="9"/>
  <c r="X572" i="9"/>
  <c r="W572" i="9"/>
  <c r="V572" i="9"/>
  <c r="U572" i="9"/>
  <c r="T572" i="9"/>
  <c r="S572" i="9"/>
  <c r="R572" i="9"/>
  <c r="Q572" i="9"/>
  <c r="P572" i="9"/>
  <c r="O572" i="9"/>
  <c r="N572" i="9"/>
  <c r="M572" i="9"/>
  <c r="L572" i="9"/>
  <c r="K572" i="9"/>
  <c r="J572" i="9"/>
  <c r="I572" i="9"/>
  <c r="H572" i="9"/>
  <c r="G572" i="9"/>
  <c r="F572" i="9"/>
  <c r="AC571" i="9"/>
  <c r="AB571" i="9"/>
  <c r="AA571" i="9"/>
  <c r="Z571" i="9"/>
  <c r="Y571" i="9"/>
  <c r="X571" i="9"/>
  <c r="W571" i="9"/>
  <c r="V571" i="9"/>
  <c r="U571" i="9"/>
  <c r="T571" i="9"/>
  <c r="S571" i="9"/>
  <c r="R571" i="9"/>
  <c r="Q571" i="9"/>
  <c r="P571" i="9"/>
  <c r="O571" i="9"/>
  <c r="N571" i="9"/>
  <c r="M571" i="9"/>
  <c r="L571" i="9"/>
  <c r="K571" i="9"/>
  <c r="J571" i="9"/>
  <c r="I571" i="9"/>
  <c r="H571" i="9"/>
  <c r="G571" i="9"/>
  <c r="F571" i="9"/>
  <c r="AC570" i="9"/>
  <c r="AB570" i="9"/>
  <c r="AA570" i="9"/>
  <c r="Z570" i="9"/>
  <c r="Y570" i="9"/>
  <c r="X570" i="9"/>
  <c r="W570" i="9"/>
  <c r="V570" i="9"/>
  <c r="U570" i="9"/>
  <c r="T570" i="9"/>
  <c r="S570" i="9"/>
  <c r="R570" i="9"/>
  <c r="Q570" i="9"/>
  <c r="P570" i="9"/>
  <c r="O570" i="9"/>
  <c r="N570" i="9"/>
  <c r="M570" i="9"/>
  <c r="L570" i="9"/>
  <c r="K570" i="9"/>
  <c r="J570" i="9"/>
  <c r="I570" i="9"/>
  <c r="H570" i="9"/>
  <c r="G570" i="9"/>
  <c r="F570" i="9"/>
  <c r="AC569" i="9"/>
  <c r="AB569" i="9"/>
  <c r="AA569" i="9"/>
  <c r="Z569" i="9"/>
  <c r="Y569" i="9"/>
  <c r="X569" i="9"/>
  <c r="W569" i="9"/>
  <c r="V569" i="9"/>
  <c r="U569" i="9"/>
  <c r="T569" i="9"/>
  <c r="S569" i="9"/>
  <c r="R569" i="9"/>
  <c r="Q569" i="9"/>
  <c r="P569" i="9"/>
  <c r="O569" i="9"/>
  <c r="N569" i="9"/>
  <c r="M569" i="9"/>
  <c r="L569" i="9"/>
  <c r="K569" i="9"/>
  <c r="J569" i="9"/>
  <c r="I569" i="9"/>
  <c r="H569" i="9"/>
  <c r="G569" i="9"/>
  <c r="F569" i="9"/>
  <c r="AC568" i="9"/>
  <c r="AB568" i="9"/>
  <c r="AA568" i="9"/>
  <c r="Z568" i="9"/>
  <c r="Y568" i="9"/>
  <c r="X568" i="9"/>
  <c r="W568" i="9"/>
  <c r="V568" i="9"/>
  <c r="U568" i="9"/>
  <c r="T568" i="9"/>
  <c r="S568" i="9"/>
  <c r="R568" i="9"/>
  <c r="Q568" i="9"/>
  <c r="P568" i="9"/>
  <c r="O568" i="9"/>
  <c r="N568" i="9"/>
  <c r="M568" i="9"/>
  <c r="L568" i="9"/>
  <c r="K568" i="9"/>
  <c r="J568" i="9"/>
  <c r="I568" i="9"/>
  <c r="H568" i="9"/>
  <c r="G568" i="9"/>
  <c r="F568" i="9"/>
  <c r="AC567" i="9"/>
  <c r="AB567" i="9"/>
  <c r="AA567" i="9"/>
  <c r="Z567" i="9"/>
  <c r="Y567" i="9"/>
  <c r="X567" i="9"/>
  <c r="W567" i="9"/>
  <c r="V567" i="9"/>
  <c r="U567" i="9"/>
  <c r="T567" i="9"/>
  <c r="S567" i="9"/>
  <c r="R567" i="9"/>
  <c r="Q567" i="9"/>
  <c r="P567" i="9"/>
  <c r="O567" i="9"/>
  <c r="N567" i="9"/>
  <c r="M567" i="9"/>
  <c r="L567" i="9"/>
  <c r="K567" i="9"/>
  <c r="J567" i="9"/>
  <c r="I567" i="9"/>
  <c r="H567" i="9"/>
  <c r="G567" i="9"/>
  <c r="F567" i="9"/>
  <c r="AC566" i="9"/>
  <c r="AB566" i="9"/>
  <c r="AA566" i="9"/>
  <c r="Z566" i="9"/>
  <c r="Y566" i="9"/>
  <c r="X566" i="9"/>
  <c r="W566" i="9"/>
  <c r="V566" i="9"/>
  <c r="U566" i="9"/>
  <c r="T566" i="9"/>
  <c r="S566" i="9"/>
  <c r="R566" i="9"/>
  <c r="Q566" i="9"/>
  <c r="P566" i="9"/>
  <c r="O566" i="9"/>
  <c r="N566" i="9"/>
  <c r="M566" i="9"/>
  <c r="L566" i="9"/>
  <c r="K566" i="9"/>
  <c r="J566" i="9"/>
  <c r="I566" i="9"/>
  <c r="H566" i="9"/>
  <c r="G566" i="9"/>
  <c r="F566" i="9"/>
  <c r="AC565" i="9"/>
  <c r="AB565" i="9"/>
  <c r="AA565" i="9"/>
  <c r="Z565" i="9"/>
  <c r="Y565" i="9"/>
  <c r="X565" i="9"/>
  <c r="W565" i="9"/>
  <c r="V565" i="9"/>
  <c r="U565" i="9"/>
  <c r="T565" i="9"/>
  <c r="S565" i="9"/>
  <c r="R565" i="9"/>
  <c r="Q565" i="9"/>
  <c r="P565" i="9"/>
  <c r="O565" i="9"/>
  <c r="N565" i="9"/>
  <c r="M565" i="9"/>
  <c r="L565" i="9"/>
  <c r="K565" i="9"/>
  <c r="J565" i="9"/>
  <c r="I565" i="9"/>
  <c r="H565" i="9"/>
  <c r="G565" i="9"/>
  <c r="F565" i="9"/>
  <c r="AC564" i="9"/>
  <c r="AB564" i="9"/>
  <c r="AA564" i="9"/>
  <c r="Z564" i="9"/>
  <c r="Y564" i="9"/>
  <c r="X564" i="9"/>
  <c r="W564" i="9"/>
  <c r="V564" i="9"/>
  <c r="U564" i="9"/>
  <c r="T564" i="9"/>
  <c r="S564" i="9"/>
  <c r="R564" i="9"/>
  <c r="Q564" i="9"/>
  <c r="P564" i="9"/>
  <c r="O564" i="9"/>
  <c r="N564" i="9"/>
  <c r="M564" i="9"/>
  <c r="L564" i="9"/>
  <c r="K564" i="9"/>
  <c r="J564" i="9"/>
  <c r="I564" i="9"/>
  <c r="H564" i="9"/>
  <c r="G564" i="9"/>
  <c r="F564" i="9"/>
  <c r="AC563" i="9"/>
  <c r="AB563" i="9"/>
  <c r="AA563" i="9"/>
  <c r="Z563" i="9"/>
  <c r="Y563" i="9"/>
  <c r="X563" i="9"/>
  <c r="W563" i="9"/>
  <c r="V563" i="9"/>
  <c r="U563" i="9"/>
  <c r="T563" i="9"/>
  <c r="S563" i="9"/>
  <c r="R563" i="9"/>
  <c r="Q563" i="9"/>
  <c r="P563" i="9"/>
  <c r="O563" i="9"/>
  <c r="N563" i="9"/>
  <c r="M563" i="9"/>
  <c r="L563" i="9"/>
  <c r="K563" i="9"/>
  <c r="J563" i="9"/>
  <c r="I563" i="9"/>
  <c r="H563" i="9"/>
  <c r="G563" i="9"/>
  <c r="F563" i="9"/>
  <c r="AC562" i="9"/>
  <c r="AB562" i="9"/>
  <c r="AA562" i="9"/>
  <c r="Z562" i="9"/>
  <c r="Y562" i="9"/>
  <c r="X562" i="9"/>
  <c r="W562" i="9"/>
  <c r="V562" i="9"/>
  <c r="U562" i="9"/>
  <c r="T562" i="9"/>
  <c r="S562" i="9"/>
  <c r="R562" i="9"/>
  <c r="Q562" i="9"/>
  <c r="P562" i="9"/>
  <c r="O562" i="9"/>
  <c r="N562" i="9"/>
  <c r="M562" i="9"/>
  <c r="L562" i="9"/>
  <c r="K562" i="9"/>
  <c r="J562" i="9"/>
  <c r="I562" i="9"/>
  <c r="H562" i="9"/>
  <c r="G562" i="9"/>
  <c r="F562" i="9"/>
  <c r="AC561" i="9"/>
  <c r="AB561" i="9"/>
  <c r="AA561" i="9"/>
  <c r="Z561" i="9"/>
  <c r="Y561" i="9"/>
  <c r="X561" i="9"/>
  <c r="W561" i="9"/>
  <c r="V561" i="9"/>
  <c r="U561" i="9"/>
  <c r="T561" i="9"/>
  <c r="S561" i="9"/>
  <c r="R561" i="9"/>
  <c r="Q561" i="9"/>
  <c r="P561" i="9"/>
  <c r="O561" i="9"/>
  <c r="N561" i="9"/>
  <c r="M561" i="9"/>
  <c r="L561" i="9"/>
  <c r="K561" i="9"/>
  <c r="J561" i="9"/>
  <c r="I561" i="9"/>
  <c r="H561" i="9"/>
  <c r="G561" i="9"/>
  <c r="F561" i="9"/>
  <c r="AC560" i="9"/>
  <c r="AB560" i="9"/>
  <c r="AA560" i="9"/>
  <c r="Z560" i="9"/>
  <c r="Y560" i="9"/>
  <c r="X560" i="9"/>
  <c r="W560" i="9"/>
  <c r="V560" i="9"/>
  <c r="U560" i="9"/>
  <c r="T560" i="9"/>
  <c r="S560" i="9"/>
  <c r="R560" i="9"/>
  <c r="Q560" i="9"/>
  <c r="P560" i="9"/>
  <c r="O560" i="9"/>
  <c r="N560" i="9"/>
  <c r="M560" i="9"/>
  <c r="L560" i="9"/>
  <c r="K560" i="9"/>
  <c r="J560" i="9"/>
  <c r="I560" i="9"/>
  <c r="H560" i="9"/>
  <c r="G560" i="9"/>
  <c r="F560" i="9"/>
  <c r="AC559" i="9"/>
  <c r="AB559" i="9"/>
  <c r="AA559" i="9"/>
  <c r="Z559" i="9"/>
  <c r="Y559" i="9"/>
  <c r="X559" i="9"/>
  <c r="W559" i="9"/>
  <c r="V559" i="9"/>
  <c r="U559" i="9"/>
  <c r="T559" i="9"/>
  <c r="S559" i="9"/>
  <c r="R559" i="9"/>
  <c r="Q559" i="9"/>
  <c r="P559" i="9"/>
  <c r="O559" i="9"/>
  <c r="N559" i="9"/>
  <c r="M559" i="9"/>
  <c r="L559" i="9"/>
  <c r="K559" i="9"/>
  <c r="J559" i="9"/>
  <c r="I559" i="9"/>
  <c r="H559" i="9"/>
  <c r="G559" i="9"/>
  <c r="F559" i="9"/>
  <c r="AC558" i="9"/>
  <c r="AB558" i="9"/>
  <c r="AA558" i="9"/>
  <c r="Z558" i="9"/>
  <c r="Y558" i="9"/>
  <c r="X558" i="9"/>
  <c r="W558" i="9"/>
  <c r="V558" i="9"/>
  <c r="U558" i="9"/>
  <c r="T558" i="9"/>
  <c r="S558" i="9"/>
  <c r="R558" i="9"/>
  <c r="Q558" i="9"/>
  <c r="P558" i="9"/>
  <c r="O558" i="9"/>
  <c r="N558" i="9"/>
  <c r="M558" i="9"/>
  <c r="L558" i="9"/>
  <c r="K558" i="9"/>
  <c r="J558" i="9"/>
  <c r="I558" i="9"/>
  <c r="H558" i="9"/>
  <c r="G558" i="9"/>
  <c r="F558" i="9"/>
  <c r="AC557" i="9"/>
  <c r="AB557" i="9"/>
  <c r="AA557" i="9"/>
  <c r="Z557" i="9"/>
  <c r="Y557" i="9"/>
  <c r="X557" i="9"/>
  <c r="W557" i="9"/>
  <c r="V557" i="9"/>
  <c r="U557" i="9"/>
  <c r="T557" i="9"/>
  <c r="S557" i="9"/>
  <c r="R557" i="9"/>
  <c r="Q557" i="9"/>
  <c r="P557" i="9"/>
  <c r="O557" i="9"/>
  <c r="N557" i="9"/>
  <c r="M557" i="9"/>
  <c r="L557" i="9"/>
  <c r="K557" i="9"/>
  <c r="J557" i="9"/>
  <c r="I557" i="9"/>
  <c r="H557" i="9"/>
  <c r="G557" i="9"/>
  <c r="F557" i="9"/>
  <c r="AC556" i="9"/>
  <c r="AB556" i="9"/>
  <c r="AA556" i="9"/>
  <c r="Z556" i="9"/>
  <c r="Y556" i="9"/>
  <c r="X556" i="9"/>
  <c r="W556" i="9"/>
  <c r="V556" i="9"/>
  <c r="U556" i="9"/>
  <c r="T556" i="9"/>
  <c r="S556" i="9"/>
  <c r="R556" i="9"/>
  <c r="Q556" i="9"/>
  <c r="P556" i="9"/>
  <c r="O556" i="9"/>
  <c r="N556" i="9"/>
  <c r="M556" i="9"/>
  <c r="L556" i="9"/>
  <c r="K556" i="9"/>
  <c r="J556" i="9"/>
  <c r="I556" i="9"/>
  <c r="H556" i="9"/>
  <c r="G556" i="9"/>
  <c r="F556" i="9"/>
  <c r="AC555" i="9"/>
  <c r="AB555" i="9"/>
  <c r="AA555" i="9"/>
  <c r="Z555" i="9"/>
  <c r="Y555" i="9"/>
  <c r="X555" i="9"/>
  <c r="W555" i="9"/>
  <c r="V555" i="9"/>
  <c r="U555" i="9"/>
  <c r="T555" i="9"/>
  <c r="S555" i="9"/>
  <c r="R555" i="9"/>
  <c r="Q555" i="9"/>
  <c r="P555" i="9"/>
  <c r="O555" i="9"/>
  <c r="N555" i="9"/>
  <c r="M555" i="9"/>
  <c r="L555" i="9"/>
  <c r="K555" i="9"/>
  <c r="J555" i="9"/>
  <c r="I555" i="9"/>
  <c r="H555" i="9"/>
  <c r="G555" i="9"/>
  <c r="F555" i="9"/>
  <c r="AC554" i="9"/>
  <c r="AB554" i="9"/>
  <c r="AA554" i="9"/>
  <c r="Z554" i="9"/>
  <c r="Y554" i="9"/>
  <c r="X554" i="9"/>
  <c r="W554" i="9"/>
  <c r="V554" i="9"/>
  <c r="U554" i="9"/>
  <c r="T554" i="9"/>
  <c r="S554" i="9"/>
  <c r="R554" i="9"/>
  <c r="Q554" i="9"/>
  <c r="P554" i="9"/>
  <c r="O554" i="9"/>
  <c r="N554" i="9"/>
  <c r="M554" i="9"/>
  <c r="L554" i="9"/>
  <c r="K554" i="9"/>
  <c r="J554" i="9"/>
  <c r="I554" i="9"/>
  <c r="H554" i="9"/>
  <c r="G554" i="9"/>
  <c r="F554" i="9"/>
  <c r="AC553" i="9"/>
  <c r="AB553" i="9"/>
  <c r="AA553" i="9"/>
  <c r="Z553" i="9"/>
  <c r="Y553" i="9"/>
  <c r="X553" i="9"/>
  <c r="W553" i="9"/>
  <c r="V553" i="9"/>
  <c r="U553" i="9"/>
  <c r="T553" i="9"/>
  <c r="S553" i="9"/>
  <c r="R553" i="9"/>
  <c r="Q553" i="9"/>
  <c r="P553" i="9"/>
  <c r="O553" i="9"/>
  <c r="N553" i="9"/>
  <c r="M553" i="9"/>
  <c r="L553" i="9"/>
  <c r="K553" i="9"/>
  <c r="J553" i="9"/>
  <c r="I553" i="9"/>
  <c r="H553" i="9"/>
  <c r="G553" i="9"/>
  <c r="F553" i="9"/>
  <c r="AC552" i="9"/>
  <c r="AB552" i="9"/>
  <c r="AA552" i="9"/>
  <c r="Z552" i="9"/>
  <c r="Y552" i="9"/>
  <c r="X552" i="9"/>
  <c r="W552" i="9"/>
  <c r="V552" i="9"/>
  <c r="U552" i="9"/>
  <c r="T552" i="9"/>
  <c r="S552" i="9"/>
  <c r="R552" i="9"/>
  <c r="Q552" i="9"/>
  <c r="P552" i="9"/>
  <c r="O552" i="9"/>
  <c r="N552" i="9"/>
  <c r="M552" i="9"/>
  <c r="L552" i="9"/>
  <c r="K552" i="9"/>
  <c r="J552" i="9"/>
  <c r="I552" i="9"/>
  <c r="H552" i="9"/>
  <c r="G552" i="9"/>
  <c r="F552" i="9"/>
  <c r="AC551" i="9"/>
  <c r="AB551" i="9"/>
  <c r="AA551" i="9"/>
  <c r="Z551" i="9"/>
  <c r="Y551" i="9"/>
  <c r="X551" i="9"/>
  <c r="W551" i="9"/>
  <c r="V551" i="9"/>
  <c r="U551" i="9"/>
  <c r="T551" i="9"/>
  <c r="S551" i="9"/>
  <c r="R551" i="9"/>
  <c r="Q551" i="9"/>
  <c r="P551" i="9"/>
  <c r="O551" i="9"/>
  <c r="N551" i="9"/>
  <c r="M551" i="9"/>
  <c r="L551" i="9"/>
  <c r="K551" i="9"/>
  <c r="J551" i="9"/>
  <c r="I551" i="9"/>
  <c r="H551" i="9"/>
  <c r="G551" i="9"/>
  <c r="F551" i="9"/>
  <c r="AC550" i="9"/>
  <c r="AB550" i="9"/>
  <c r="AA550" i="9"/>
  <c r="Z550" i="9"/>
  <c r="Y550" i="9"/>
  <c r="X550" i="9"/>
  <c r="W550" i="9"/>
  <c r="V550" i="9"/>
  <c r="U550" i="9"/>
  <c r="T550" i="9"/>
  <c r="S550" i="9"/>
  <c r="R550" i="9"/>
  <c r="Q550" i="9"/>
  <c r="P550" i="9"/>
  <c r="O550" i="9"/>
  <c r="N550" i="9"/>
  <c r="M550" i="9"/>
  <c r="L550" i="9"/>
  <c r="K550" i="9"/>
  <c r="J550" i="9"/>
  <c r="I550" i="9"/>
  <c r="H550" i="9"/>
  <c r="G550" i="9"/>
  <c r="F550" i="9"/>
  <c r="AC549" i="9"/>
  <c r="AB549" i="9"/>
  <c r="AA549" i="9"/>
  <c r="Z549" i="9"/>
  <c r="Y549" i="9"/>
  <c r="X549" i="9"/>
  <c r="W549" i="9"/>
  <c r="V549" i="9"/>
  <c r="U549" i="9"/>
  <c r="T549" i="9"/>
  <c r="S549" i="9"/>
  <c r="R549" i="9"/>
  <c r="Q549" i="9"/>
  <c r="P549" i="9"/>
  <c r="O549" i="9"/>
  <c r="N549" i="9"/>
  <c r="M549" i="9"/>
  <c r="L549" i="9"/>
  <c r="K549" i="9"/>
  <c r="J549" i="9"/>
  <c r="I549" i="9"/>
  <c r="H549" i="9"/>
  <c r="G549" i="9"/>
  <c r="F549" i="9"/>
  <c r="AC548" i="9"/>
  <c r="AB548" i="9"/>
  <c r="AA548" i="9"/>
  <c r="Z548" i="9"/>
  <c r="Y548" i="9"/>
  <c r="X548" i="9"/>
  <c r="W548" i="9"/>
  <c r="V548" i="9"/>
  <c r="U548" i="9"/>
  <c r="T548" i="9"/>
  <c r="S548" i="9"/>
  <c r="R548" i="9"/>
  <c r="Q548" i="9"/>
  <c r="P548" i="9"/>
  <c r="O548" i="9"/>
  <c r="N548" i="9"/>
  <c r="M548" i="9"/>
  <c r="L548" i="9"/>
  <c r="K548" i="9"/>
  <c r="J548" i="9"/>
  <c r="I548" i="9"/>
  <c r="H548" i="9"/>
  <c r="G548" i="9"/>
  <c r="F548" i="9"/>
  <c r="AC547" i="9"/>
  <c r="AB547" i="9"/>
  <c r="AA547" i="9"/>
  <c r="Z547" i="9"/>
  <c r="Y547" i="9"/>
  <c r="X547" i="9"/>
  <c r="W547" i="9"/>
  <c r="V547" i="9"/>
  <c r="U547" i="9"/>
  <c r="T547" i="9"/>
  <c r="S547" i="9"/>
  <c r="R547" i="9"/>
  <c r="Q547" i="9"/>
  <c r="P547" i="9"/>
  <c r="O547" i="9"/>
  <c r="N547" i="9"/>
  <c r="M547" i="9"/>
  <c r="L547" i="9"/>
  <c r="K547" i="9"/>
  <c r="J547" i="9"/>
  <c r="I547" i="9"/>
  <c r="H547" i="9"/>
  <c r="G547" i="9"/>
  <c r="F547" i="9"/>
  <c r="AC546" i="9"/>
  <c r="AB546" i="9"/>
  <c r="AA546" i="9"/>
  <c r="Z546" i="9"/>
  <c r="Y546" i="9"/>
  <c r="X546" i="9"/>
  <c r="W546" i="9"/>
  <c r="V546" i="9"/>
  <c r="U546" i="9"/>
  <c r="T546" i="9"/>
  <c r="S546" i="9"/>
  <c r="R546" i="9"/>
  <c r="Q546" i="9"/>
  <c r="P546" i="9"/>
  <c r="O546" i="9"/>
  <c r="N546" i="9"/>
  <c r="M546" i="9"/>
  <c r="L546" i="9"/>
  <c r="K546" i="9"/>
  <c r="J546" i="9"/>
  <c r="I546" i="9"/>
  <c r="H546" i="9"/>
  <c r="G546" i="9"/>
  <c r="F546" i="9"/>
  <c r="AC545" i="9"/>
  <c r="AB545" i="9"/>
  <c r="AA545" i="9"/>
  <c r="Z545" i="9"/>
  <c r="Y545" i="9"/>
  <c r="X545" i="9"/>
  <c r="W545" i="9"/>
  <c r="V545" i="9"/>
  <c r="U545" i="9"/>
  <c r="T545" i="9"/>
  <c r="S545" i="9"/>
  <c r="R545" i="9"/>
  <c r="Q545" i="9"/>
  <c r="P545" i="9"/>
  <c r="O545" i="9"/>
  <c r="N545" i="9"/>
  <c r="M545" i="9"/>
  <c r="L545" i="9"/>
  <c r="K545" i="9"/>
  <c r="J545" i="9"/>
  <c r="I545" i="9"/>
  <c r="H545" i="9"/>
  <c r="G545" i="9"/>
  <c r="F545" i="9"/>
  <c r="AC544" i="9"/>
  <c r="AB544" i="9"/>
  <c r="AA544" i="9"/>
  <c r="Z544" i="9"/>
  <c r="Y544" i="9"/>
  <c r="X544" i="9"/>
  <c r="W544" i="9"/>
  <c r="V544" i="9"/>
  <c r="U544" i="9"/>
  <c r="T544" i="9"/>
  <c r="S544" i="9"/>
  <c r="R544" i="9"/>
  <c r="Q544" i="9"/>
  <c r="P544" i="9"/>
  <c r="O544" i="9"/>
  <c r="N544" i="9"/>
  <c r="M544" i="9"/>
  <c r="L544" i="9"/>
  <c r="K544" i="9"/>
  <c r="J544" i="9"/>
  <c r="I544" i="9"/>
  <c r="H544" i="9"/>
  <c r="G544" i="9"/>
  <c r="F544" i="9"/>
  <c r="AC543" i="9"/>
  <c r="AB543" i="9"/>
  <c r="AA543" i="9"/>
  <c r="Z543" i="9"/>
  <c r="Y543" i="9"/>
  <c r="X543" i="9"/>
  <c r="W543" i="9"/>
  <c r="V543" i="9"/>
  <c r="U543" i="9"/>
  <c r="T543" i="9"/>
  <c r="S543" i="9"/>
  <c r="R543" i="9"/>
  <c r="Q543" i="9"/>
  <c r="P543" i="9"/>
  <c r="O543" i="9"/>
  <c r="N543" i="9"/>
  <c r="M543" i="9"/>
  <c r="L543" i="9"/>
  <c r="K543" i="9"/>
  <c r="J543" i="9"/>
  <c r="I543" i="9"/>
  <c r="H543" i="9"/>
  <c r="G543" i="9"/>
  <c r="F543" i="9"/>
  <c r="AC542" i="9"/>
  <c r="AB542" i="9"/>
  <c r="AA542" i="9"/>
  <c r="Z542" i="9"/>
  <c r="Y542" i="9"/>
  <c r="X542" i="9"/>
  <c r="W542" i="9"/>
  <c r="V542" i="9"/>
  <c r="U542" i="9"/>
  <c r="T542" i="9"/>
  <c r="S542" i="9"/>
  <c r="R542" i="9"/>
  <c r="Q542" i="9"/>
  <c r="P542" i="9"/>
  <c r="O542" i="9"/>
  <c r="N542" i="9"/>
  <c r="M542" i="9"/>
  <c r="L542" i="9"/>
  <c r="K542" i="9"/>
  <c r="J542" i="9"/>
  <c r="I542" i="9"/>
  <c r="H542" i="9"/>
  <c r="G542" i="9"/>
  <c r="F542" i="9"/>
  <c r="AC541" i="9"/>
  <c r="AB541" i="9"/>
  <c r="AA541" i="9"/>
  <c r="Z541" i="9"/>
  <c r="Y541" i="9"/>
  <c r="X541" i="9"/>
  <c r="W541" i="9"/>
  <c r="V541" i="9"/>
  <c r="U541" i="9"/>
  <c r="T541" i="9"/>
  <c r="S541" i="9"/>
  <c r="R541" i="9"/>
  <c r="Q541" i="9"/>
  <c r="P541" i="9"/>
  <c r="O541" i="9"/>
  <c r="N541" i="9"/>
  <c r="M541" i="9"/>
  <c r="L541" i="9"/>
  <c r="K541" i="9"/>
  <c r="J541" i="9"/>
  <c r="I541" i="9"/>
  <c r="H541" i="9"/>
  <c r="G541" i="9"/>
  <c r="F541" i="9"/>
  <c r="AC540" i="9"/>
  <c r="AB540" i="9"/>
  <c r="AA540" i="9"/>
  <c r="Z540" i="9"/>
  <c r="Y540" i="9"/>
  <c r="X540" i="9"/>
  <c r="W540" i="9"/>
  <c r="V540" i="9"/>
  <c r="U540" i="9"/>
  <c r="T540" i="9"/>
  <c r="S540" i="9"/>
  <c r="R540" i="9"/>
  <c r="Q540" i="9"/>
  <c r="P540" i="9"/>
  <c r="O540" i="9"/>
  <c r="N540" i="9"/>
  <c r="M540" i="9"/>
  <c r="L540" i="9"/>
  <c r="K540" i="9"/>
  <c r="J540" i="9"/>
  <c r="I540" i="9"/>
  <c r="H540" i="9"/>
  <c r="G540" i="9"/>
  <c r="F540" i="9"/>
  <c r="AC539" i="9"/>
  <c r="AB539" i="9"/>
  <c r="AA539" i="9"/>
  <c r="Z539" i="9"/>
  <c r="Y539" i="9"/>
  <c r="X539" i="9"/>
  <c r="W539" i="9"/>
  <c r="V539" i="9"/>
  <c r="U539" i="9"/>
  <c r="T539" i="9"/>
  <c r="S539" i="9"/>
  <c r="R539" i="9"/>
  <c r="Q539" i="9"/>
  <c r="P539" i="9"/>
  <c r="O539" i="9"/>
  <c r="N539" i="9"/>
  <c r="M539" i="9"/>
  <c r="L539" i="9"/>
  <c r="K539" i="9"/>
  <c r="J539" i="9"/>
  <c r="I539" i="9"/>
  <c r="H539" i="9"/>
  <c r="G539" i="9"/>
  <c r="F539" i="9"/>
  <c r="AC538" i="9"/>
  <c r="AB538" i="9"/>
  <c r="AA538" i="9"/>
  <c r="Z538" i="9"/>
  <c r="Y538" i="9"/>
  <c r="X538" i="9"/>
  <c r="W538" i="9"/>
  <c r="V538" i="9"/>
  <c r="U538" i="9"/>
  <c r="T538" i="9"/>
  <c r="S538" i="9"/>
  <c r="R538" i="9"/>
  <c r="Q538" i="9"/>
  <c r="P538" i="9"/>
  <c r="O538" i="9"/>
  <c r="N538" i="9"/>
  <c r="M538" i="9"/>
  <c r="L538" i="9"/>
  <c r="K538" i="9"/>
  <c r="J538" i="9"/>
  <c r="I538" i="9"/>
  <c r="H538" i="9"/>
  <c r="G538" i="9"/>
  <c r="F538" i="9"/>
  <c r="AC537" i="9"/>
  <c r="AB537" i="9"/>
  <c r="AA537" i="9"/>
  <c r="Z537" i="9"/>
  <c r="Y537" i="9"/>
  <c r="X537" i="9"/>
  <c r="W537" i="9"/>
  <c r="V537" i="9"/>
  <c r="U537" i="9"/>
  <c r="T537" i="9"/>
  <c r="S537" i="9"/>
  <c r="R537" i="9"/>
  <c r="Q537" i="9"/>
  <c r="P537" i="9"/>
  <c r="O537" i="9"/>
  <c r="N537" i="9"/>
  <c r="M537" i="9"/>
  <c r="L537" i="9"/>
  <c r="K537" i="9"/>
  <c r="J537" i="9"/>
  <c r="I537" i="9"/>
  <c r="H537" i="9"/>
  <c r="G537" i="9"/>
  <c r="F537" i="9"/>
  <c r="AC536" i="9"/>
  <c r="AB536" i="9"/>
  <c r="AA536" i="9"/>
  <c r="Z536" i="9"/>
  <c r="Y536" i="9"/>
  <c r="X536" i="9"/>
  <c r="W536" i="9"/>
  <c r="V536" i="9"/>
  <c r="U536" i="9"/>
  <c r="T536" i="9"/>
  <c r="S536" i="9"/>
  <c r="R536" i="9"/>
  <c r="Q536" i="9"/>
  <c r="P536" i="9"/>
  <c r="O536" i="9"/>
  <c r="N536" i="9"/>
  <c r="M536" i="9"/>
  <c r="L536" i="9"/>
  <c r="K536" i="9"/>
  <c r="J536" i="9"/>
  <c r="I536" i="9"/>
  <c r="H536" i="9"/>
  <c r="G536" i="9"/>
  <c r="F536" i="9"/>
  <c r="AC535" i="9"/>
  <c r="AB535" i="9"/>
  <c r="AA535" i="9"/>
  <c r="Z535" i="9"/>
  <c r="Y535" i="9"/>
  <c r="X535" i="9"/>
  <c r="W535" i="9"/>
  <c r="V535" i="9"/>
  <c r="U535" i="9"/>
  <c r="T535" i="9"/>
  <c r="S535" i="9"/>
  <c r="R535" i="9"/>
  <c r="Q535" i="9"/>
  <c r="P535" i="9"/>
  <c r="O535" i="9"/>
  <c r="N535" i="9"/>
  <c r="M535" i="9"/>
  <c r="L535" i="9"/>
  <c r="K535" i="9"/>
  <c r="J535" i="9"/>
  <c r="I535" i="9"/>
  <c r="H535" i="9"/>
  <c r="G535" i="9"/>
  <c r="F535" i="9"/>
  <c r="AC534" i="9"/>
  <c r="AB534" i="9"/>
  <c r="AA534" i="9"/>
  <c r="Z534" i="9"/>
  <c r="Y534" i="9"/>
  <c r="X534" i="9"/>
  <c r="W534" i="9"/>
  <c r="V534" i="9"/>
  <c r="U534" i="9"/>
  <c r="T534" i="9"/>
  <c r="S534" i="9"/>
  <c r="R534" i="9"/>
  <c r="Q534" i="9"/>
  <c r="P534" i="9"/>
  <c r="O534" i="9"/>
  <c r="N534" i="9"/>
  <c r="M534" i="9"/>
  <c r="L534" i="9"/>
  <c r="K534" i="9"/>
  <c r="J534" i="9"/>
  <c r="I534" i="9"/>
  <c r="H534" i="9"/>
  <c r="G534" i="9"/>
  <c r="F534" i="9"/>
  <c r="AC533" i="9"/>
  <c r="AB533" i="9"/>
  <c r="AA533" i="9"/>
  <c r="Z533" i="9"/>
  <c r="Y533" i="9"/>
  <c r="X533" i="9"/>
  <c r="W533" i="9"/>
  <c r="V533" i="9"/>
  <c r="U533" i="9"/>
  <c r="T533" i="9"/>
  <c r="S533" i="9"/>
  <c r="R533" i="9"/>
  <c r="Q533" i="9"/>
  <c r="P533" i="9"/>
  <c r="O533" i="9"/>
  <c r="N533" i="9"/>
  <c r="M533" i="9"/>
  <c r="L533" i="9"/>
  <c r="K533" i="9"/>
  <c r="J533" i="9"/>
  <c r="I533" i="9"/>
  <c r="H533" i="9"/>
  <c r="G533" i="9"/>
  <c r="F533" i="9"/>
  <c r="AC532" i="9"/>
  <c r="AB532" i="9"/>
  <c r="AA532" i="9"/>
  <c r="Z532" i="9"/>
  <c r="Y532" i="9"/>
  <c r="X532" i="9"/>
  <c r="W532" i="9"/>
  <c r="V532" i="9"/>
  <c r="U532" i="9"/>
  <c r="T532" i="9"/>
  <c r="S532" i="9"/>
  <c r="R532" i="9"/>
  <c r="Q532" i="9"/>
  <c r="P532" i="9"/>
  <c r="O532" i="9"/>
  <c r="N532" i="9"/>
  <c r="M532" i="9"/>
  <c r="L532" i="9"/>
  <c r="K532" i="9"/>
  <c r="J532" i="9"/>
  <c r="I532" i="9"/>
  <c r="H532" i="9"/>
  <c r="G532" i="9"/>
  <c r="F532" i="9"/>
  <c r="AC531" i="9"/>
  <c r="AB531" i="9"/>
  <c r="AA531" i="9"/>
  <c r="Z531" i="9"/>
  <c r="Y531" i="9"/>
  <c r="X531" i="9"/>
  <c r="W531" i="9"/>
  <c r="V531" i="9"/>
  <c r="U531" i="9"/>
  <c r="T531" i="9"/>
  <c r="S531" i="9"/>
  <c r="R531" i="9"/>
  <c r="Q531" i="9"/>
  <c r="P531" i="9"/>
  <c r="O531" i="9"/>
  <c r="N531" i="9"/>
  <c r="M531" i="9"/>
  <c r="L531" i="9"/>
  <c r="K531" i="9"/>
  <c r="J531" i="9"/>
  <c r="I531" i="9"/>
  <c r="H531" i="9"/>
  <c r="G531" i="9"/>
  <c r="F531" i="9"/>
  <c r="AC530" i="9"/>
  <c r="AB530" i="9"/>
  <c r="AA530" i="9"/>
  <c r="Z530" i="9"/>
  <c r="Y530" i="9"/>
  <c r="X530" i="9"/>
  <c r="W530" i="9"/>
  <c r="V530" i="9"/>
  <c r="U530" i="9"/>
  <c r="T530" i="9"/>
  <c r="S530" i="9"/>
  <c r="R530" i="9"/>
  <c r="Q530" i="9"/>
  <c r="P530" i="9"/>
  <c r="O530" i="9"/>
  <c r="N530" i="9"/>
  <c r="M530" i="9"/>
  <c r="L530" i="9"/>
  <c r="K530" i="9"/>
  <c r="J530" i="9"/>
  <c r="I530" i="9"/>
  <c r="H530" i="9"/>
  <c r="G530" i="9"/>
  <c r="F530" i="9"/>
  <c r="AC529" i="9"/>
  <c r="AB529" i="9"/>
  <c r="AA529" i="9"/>
  <c r="Z529" i="9"/>
  <c r="Y529" i="9"/>
  <c r="X529" i="9"/>
  <c r="W529" i="9"/>
  <c r="V529" i="9"/>
  <c r="U529" i="9"/>
  <c r="T529" i="9"/>
  <c r="S529" i="9"/>
  <c r="R529" i="9"/>
  <c r="Q529" i="9"/>
  <c r="P529" i="9"/>
  <c r="O529" i="9"/>
  <c r="N529" i="9"/>
  <c r="M529" i="9"/>
  <c r="L529" i="9"/>
  <c r="K529" i="9"/>
  <c r="J529" i="9"/>
  <c r="I529" i="9"/>
  <c r="H529" i="9"/>
  <c r="G529" i="9"/>
  <c r="F529" i="9"/>
  <c r="AC528" i="9"/>
  <c r="AB528" i="9"/>
  <c r="AA528" i="9"/>
  <c r="Z528" i="9"/>
  <c r="Y528" i="9"/>
  <c r="X528" i="9"/>
  <c r="W528" i="9"/>
  <c r="V528" i="9"/>
  <c r="U528" i="9"/>
  <c r="T528" i="9"/>
  <c r="S528" i="9"/>
  <c r="R528" i="9"/>
  <c r="Q528" i="9"/>
  <c r="P528" i="9"/>
  <c r="O528" i="9"/>
  <c r="N528" i="9"/>
  <c r="M528" i="9"/>
  <c r="L528" i="9"/>
  <c r="K528" i="9"/>
  <c r="J528" i="9"/>
  <c r="I528" i="9"/>
  <c r="H528" i="9"/>
  <c r="G528" i="9"/>
  <c r="F528" i="9"/>
  <c r="AC527" i="9"/>
  <c r="AB527" i="9"/>
  <c r="AA527" i="9"/>
  <c r="Z527" i="9"/>
  <c r="Y527" i="9"/>
  <c r="X527" i="9"/>
  <c r="W527" i="9"/>
  <c r="V527" i="9"/>
  <c r="U527" i="9"/>
  <c r="T527" i="9"/>
  <c r="S527" i="9"/>
  <c r="R527" i="9"/>
  <c r="Q527" i="9"/>
  <c r="P527" i="9"/>
  <c r="O527" i="9"/>
  <c r="N527" i="9"/>
  <c r="M527" i="9"/>
  <c r="L527" i="9"/>
  <c r="K527" i="9"/>
  <c r="J527" i="9"/>
  <c r="I527" i="9"/>
  <c r="H527" i="9"/>
  <c r="G527" i="9"/>
  <c r="F527" i="9"/>
  <c r="AC526" i="9"/>
  <c r="AB526" i="9"/>
  <c r="AA526" i="9"/>
  <c r="Z526" i="9"/>
  <c r="Y526" i="9"/>
  <c r="X526" i="9"/>
  <c r="W526" i="9"/>
  <c r="V526" i="9"/>
  <c r="U526" i="9"/>
  <c r="T526" i="9"/>
  <c r="S526" i="9"/>
  <c r="R526" i="9"/>
  <c r="Q526" i="9"/>
  <c r="P526" i="9"/>
  <c r="O526" i="9"/>
  <c r="N526" i="9"/>
  <c r="M526" i="9"/>
  <c r="L526" i="9"/>
  <c r="K526" i="9"/>
  <c r="J526" i="9"/>
  <c r="I526" i="9"/>
  <c r="H526" i="9"/>
  <c r="G526" i="9"/>
  <c r="F526" i="9"/>
  <c r="AC525" i="9"/>
  <c r="AB525" i="9"/>
  <c r="AA525" i="9"/>
  <c r="Z525" i="9"/>
  <c r="Y525" i="9"/>
  <c r="X525" i="9"/>
  <c r="W525" i="9"/>
  <c r="V525" i="9"/>
  <c r="U525" i="9"/>
  <c r="T525" i="9"/>
  <c r="S525" i="9"/>
  <c r="R525" i="9"/>
  <c r="Q525" i="9"/>
  <c r="P525" i="9"/>
  <c r="O525" i="9"/>
  <c r="N525" i="9"/>
  <c r="M525" i="9"/>
  <c r="L525" i="9"/>
  <c r="K525" i="9"/>
  <c r="J525" i="9"/>
  <c r="I525" i="9"/>
  <c r="H525" i="9"/>
  <c r="G525" i="9"/>
  <c r="F525" i="9"/>
  <c r="AC524" i="9"/>
  <c r="AB524" i="9"/>
  <c r="AA524" i="9"/>
  <c r="Z524" i="9"/>
  <c r="Y524" i="9"/>
  <c r="X524" i="9"/>
  <c r="W524" i="9"/>
  <c r="V524" i="9"/>
  <c r="U524" i="9"/>
  <c r="T524" i="9"/>
  <c r="S524" i="9"/>
  <c r="R524" i="9"/>
  <c r="Q524" i="9"/>
  <c r="P524" i="9"/>
  <c r="O524" i="9"/>
  <c r="N524" i="9"/>
  <c r="M524" i="9"/>
  <c r="L524" i="9"/>
  <c r="K524" i="9"/>
  <c r="J524" i="9"/>
  <c r="I524" i="9"/>
  <c r="H524" i="9"/>
  <c r="G524" i="9"/>
  <c r="F524" i="9"/>
  <c r="AC523" i="9"/>
  <c r="AB523" i="9"/>
  <c r="AA523" i="9"/>
  <c r="Z523" i="9"/>
  <c r="Y523" i="9"/>
  <c r="X523" i="9"/>
  <c r="W523" i="9"/>
  <c r="V523" i="9"/>
  <c r="U523" i="9"/>
  <c r="T523" i="9"/>
  <c r="S523" i="9"/>
  <c r="R523" i="9"/>
  <c r="Q523" i="9"/>
  <c r="P523" i="9"/>
  <c r="O523" i="9"/>
  <c r="N523" i="9"/>
  <c r="M523" i="9"/>
  <c r="L523" i="9"/>
  <c r="K523" i="9"/>
  <c r="J523" i="9"/>
  <c r="I523" i="9"/>
  <c r="H523" i="9"/>
  <c r="G523" i="9"/>
  <c r="F523" i="9"/>
  <c r="AC522" i="9"/>
  <c r="AB522" i="9"/>
  <c r="AA522" i="9"/>
  <c r="Z522" i="9"/>
  <c r="Y522" i="9"/>
  <c r="X522" i="9"/>
  <c r="W522" i="9"/>
  <c r="V522" i="9"/>
  <c r="U522" i="9"/>
  <c r="T522" i="9"/>
  <c r="S522" i="9"/>
  <c r="R522" i="9"/>
  <c r="Q522" i="9"/>
  <c r="P522" i="9"/>
  <c r="O522" i="9"/>
  <c r="N522" i="9"/>
  <c r="M522" i="9"/>
  <c r="L522" i="9"/>
  <c r="K522" i="9"/>
  <c r="J522" i="9"/>
  <c r="I522" i="9"/>
  <c r="H522" i="9"/>
  <c r="G522" i="9"/>
  <c r="F522" i="9"/>
  <c r="AC521" i="9"/>
  <c r="AB521" i="9"/>
  <c r="AA521" i="9"/>
  <c r="Z521" i="9"/>
  <c r="Y521" i="9"/>
  <c r="X521" i="9"/>
  <c r="W521" i="9"/>
  <c r="V521" i="9"/>
  <c r="U521" i="9"/>
  <c r="T521" i="9"/>
  <c r="S521" i="9"/>
  <c r="R521" i="9"/>
  <c r="Q521" i="9"/>
  <c r="P521" i="9"/>
  <c r="O521" i="9"/>
  <c r="N521" i="9"/>
  <c r="M521" i="9"/>
  <c r="L521" i="9"/>
  <c r="K521" i="9"/>
  <c r="J521" i="9"/>
  <c r="I521" i="9"/>
  <c r="H521" i="9"/>
  <c r="G521" i="9"/>
  <c r="F521" i="9"/>
  <c r="AC520" i="9"/>
  <c r="AB520" i="9"/>
  <c r="AA520" i="9"/>
  <c r="Z520" i="9"/>
  <c r="Y520" i="9"/>
  <c r="X520" i="9"/>
  <c r="W520" i="9"/>
  <c r="V520" i="9"/>
  <c r="U520" i="9"/>
  <c r="T520" i="9"/>
  <c r="S520" i="9"/>
  <c r="R520" i="9"/>
  <c r="Q520" i="9"/>
  <c r="P520" i="9"/>
  <c r="O520" i="9"/>
  <c r="N520" i="9"/>
  <c r="M520" i="9"/>
  <c r="L520" i="9"/>
  <c r="K520" i="9"/>
  <c r="J520" i="9"/>
  <c r="I520" i="9"/>
  <c r="H520" i="9"/>
  <c r="G520" i="9"/>
  <c r="F520" i="9"/>
  <c r="AC519" i="9"/>
  <c r="AB519" i="9"/>
  <c r="AA519" i="9"/>
  <c r="Z519" i="9"/>
  <c r="Y519" i="9"/>
  <c r="X519" i="9"/>
  <c r="W519" i="9"/>
  <c r="V519" i="9"/>
  <c r="U519" i="9"/>
  <c r="T519" i="9"/>
  <c r="S519" i="9"/>
  <c r="R519" i="9"/>
  <c r="Q519" i="9"/>
  <c r="P519" i="9"/>
  <c r="O519" i="9"/>
  <c r="N519" i="9"/>
  <c r="M519" i="9"/>
  <c r="L519" i="9"/>
  <c r="K519" i="9"/>
  <c r="J519" i="9"/>
  <c r="I519" i="9"/>
  <c r="H519" i="9"/>
  <c r="G519" i="9"/>
  <c r="F519" i="9"/>
  <c r="AC518" i="9"/>
  <c r="AB518" i="9"/>
  <c r="AA518" i="9"/>
  <c r="Z518" i="9"/>
  <c r="Y518" i="9"/>
  <c r="X518" i="9"/>
  <c r="W518" i="9"/>
  <c r="V518" i="9"/>
  <c r="U518" i="9"/>
  <c r="T518" i="9"/>
  <c r="S518" i="9"/>
  <c r="R518" i="9"/>
  <c r="Q518" i="9"/>
  <c r="P518" i="9"/>
  <c r="O518" i="9"/>
  <c r="N518" i="9"/>
  <c r="M518" i="9"/>
  <c r="L518" i="9"/>
  <c r="K518" i="9"/>
  <c r="J518" i="9"/>
  <c r="I518" i="9"/>
  <c r="H518" i="9"/>
  <c r="G518" i="9"/>
  <c r="F518" i="9"/>
  <c r="AC517" i="9"/>
  <c r="AB517" i="9"/>
  <c r="AA517" i="9"/>
  <c r="Z517" i="9"/>
  <c r="Y517" i="9"/>
  <c r="X517" i="9"/>
  <c r="W517" i="9"/>
  <c r="V517" i="9"/>
  <c r="U517" i="9"/>
  <c r="T517" i="9"/>
  <c r="S517" i="9"/>
  <c r="R517" i="9"/>
  <c r="Q517" i="9"/>
  <c r="P517" i="9"/>
  <c r="O517" i="9"/>
  <c r="N517" i="9"/>
  <c r="M517" i="9"/>
  <c r="L517" i="9"/>
  <c r="K517" i="9"/>
  <c r="J517" i="9"/>
  <c r="I517" i="9"/>
  <c r="H517" i="9"/>
  <c r="G517" i="9"/>
  <c r="F517" i="9"/>
  <c r="AC516" i="9"/>
  <c r="AB516" i="9"/>
  <c r="AA516" i="9"/>
  <c r="Z516" i="9"/>
  <c r="Y516" i="9"/>
  <c r="X516" i="9"/>
  <c r="W516" i="9"/>
  <c r="V516" i="9"/>
  <c r="U516" i="9"/>
  <c r="T516" i="9"/>
  <c r="S516" i="9"/>
  <c r="R516" i="9"/>
  <c r="Q516" i="9"/>
  <c r="P516" i="9"/>
  <c r="O516" i="9"/>
  <c r="N516" i="9"/>
  <c r="M516" i="9"/>
  <c r="L516" i="9"/>
  <c r="K516" i="9"/>
  <c r="J516" i="9"/>
  <c r="I516" i="9"/>
  <c r="H516" i="9"/>
  <c r="G516" i="9"/>
  <c r="F516" i="9"/>
  <c r="AC515" i="9"/>
  <c r="AB515" i="9"/>
  <c r="AA515" i="9"/>
  <c r="Z515" i="9"/>
  <c r="Y515" i="9"/>
  <c r="X515" i="9"/>
  <c r="W515" i="9"/>
  <c r="V515" i="9"/>
  <c r="U515" i="9"/>
  <c r="T515" i="9"/>
  <c r="S515" i="9"/>
  <c r="R515" i="9"/>
  <c r="Q515" i="9"/>
  <c r="P515" i="9"/>
  <c r="O515" i="9"/>
  <c r="N515" i="9"/>
  <c r="M515" i="9"/>
  <c r="L515" i="9"/>
  <c r="K515" i="9"/>
  <c r="J515" i="9"/>
  <c r="I515" i="9"/>
  <c r="H515" i="9"/>
  <c r="G515" i="9"/>
  <c r="F515" i="9"/>
  <c r="AC514" i="9"/>
  <c r="AB514" i="9"/>
  <c r="AA514" i="9"/>
  <c r="Z514" i="9"/>
  <c r="Y514" i="9"/>
  <c r="X514" i="9"/>
  <c r="W514" i="9"/>
  <c r="V514" i="9"/>
  <c r="U514" i="9"/>
  <c r="T514" i="9"/>
  <c r="S514" i="9"/>
  <c r="R514" i="9"/>
  <c r="Q514" i="9"/>
  <c r="P514" i="9"/>
  <c r="O514" i="9"/>
  <c r="N514" i="9"/>
  <c r="M514" i="9"/>
  <c r="L514" i="9"/>
  <c r="K514" i="9"/>
  <c r="J514" i="9"/>
  <c r="I514" i="9"/>
  <c r="H514" i="9"/>
  <c r="G514" i="9"/>
  <c r="F514" i="9"/>
  <c r="AC513" i="9"/>
  <c r="AB513" i="9"/>
  <c r="AA513" i="9"/>
  <c r="Z513" i="9"/>
  <c r="Y513" i="9"/>
  <c r="X513" i="9"/>
  <c r="W513" i="9"/>
  <c r="V513" i="9"/>
  <c r="U513" i="9"/>
  <c r="T513" i="9"/>
  <c r="S513" i="9"/>
  <c r="R513" i="9"/>
  <c r="Q513" i="9"/>
  <c r="P513" i="9"/>
  <c r="O513" i="9"/>
  <c r="N513" i="9"/>
  <c r="M513" i="9"/>
  <c r="L513" i="9"/>
  <c r="K513" i="9"/>
  <c r="J513" i="9"/>
  <c r="I513" i="9"/>
  <c r="H513" i="9"/>
  <c r="G513" i="9"/>
  <c r="F513" i="9"/>
  <c r="AC512" i="9"/>
  <c r="AB512" i="9"/>
  <c r="AA512" i="9"/>
  <c r="Z512" i="9"/>
  <c r="Y512" i="9"/>
  <c r="X512" i="9"/>
  <c r="W512" i="9"/>
  <c r="V512" i="9"/>
  <c r="U512" i="9"/>
  <c r="T512" i="9"/>
  <c r="S512" i="9"/>
  <c r="R512" i="9"/>
  <c r="Q512" i="9"/>
  <c r="P512" i="9"/>
  <c r="O512" i="9"/>
  <c r="N512" i="9"/>
  <c r="M512" i="9"/>
  <c r="L512" i="9"/>
  <c r="K512" i="9"/>
  <c r="J512" i="9"/>
  <c r="I512" i="9"/>
  <c r="H512" i="9"/>
  <c r="G512" i="9"/>
  <c r="F512" i="9"/>
  <c r="AC511" i="9"/>
  <c r="AB511" i="9"/>
  <c r="AA511" i="9"/>
  <c r="Z511" i="9"/>
  <c r="Y511" i="9"/>
  <c r="X511" i="9"/>
  <c r="W511" i="9"/>
  <c r="V511" i="9"/>
  <c r="U511" i="9"/>
  <c r="T511" i="9"/>
  <c r="S511" i="9"/>
  <c r="R511" i="9"/>
  <c r="Q511" i="9"/>
  <c r="P511" i="9"/>
  <c r="O511" i="9"/>
  <c r="N511" i="9"/>
  <c r="M511" i="9"/>
  <c r="L511" i="9"/>
  <c r="K511" i="9"/>
  <c r="J511" i="9"/>
  <c r="I511" i="9"/>
  <c r="H511" i="9"/>
  <c r="G511" i="9"/>
  <c r="F511" i="9"/>
  <c r="AC510" i="9"/>
  <c r="AB510" i="9"/>
  <c r="AA510" i="9"/>
  <c r="Z510" i="9"/>
  <c r="Y510" i="9"/>
  <c r="X510" i="9"/>
  <c r="W510" i="9"/>
  <c r="V510" i="9"/>
  <c r="U510" i="9"/>
  <c r="T510" i="9"/>
  <c r="S510" i="9"/>
  <c r="R510" i="9"/>
  <c r="Q510" i="9"/>
  <c r="P510" i="9"/>
  <c r="O510" i="9"/>
  <c r="N510" i="9"/>
  <c r="M510" i="9"/>
  <c r="L510" i="9"/>
  <c r="K510" i="9"/>
  <c r="J510" i="9"/>
  <c r="I510" i="9"/>
  <c r="H510" i="9"/>
  <c r="G510" i="9"/>
  <c r="F510" i="9"/>
  <c r="AC509" i="9"/>
  <c r="AB509" i="9"/>
  <c r="AA509" i="9"/>
  <c r="Z509" i="9"/>
  <c r="Y509" i="9"/>
  <c r="X509" i="9"/>
  <c r="W509" i="9"/>
  <c r="V509" i="9"/>
  <c r="U509" i="9"/>
  <c r="T509" i="9"/>
  <c r="S509" i="9"/>
  <c r="R509" i="9"/>
  <c r="Q509" i="9"/>
  <c r="P509" i="9"/>
  <c r="O509" i="9"/>
  <c r="N509" i="9"/>
  <c r="M509" i="9"/>
  <c r="L509" i="9"/>
  <c r="K509" i="9"/>
  <c r="J509" i="9"/>
  <c r="I509" i="9"/>
  <c r="H509" i="9"/>
  <c r="G509" i="9"/>
  <c r="F509" i="9"/>
  <c r="AC508" i="9"/>
  <c r="AB508" i="9"/>
  <c r="AA508" i="9"/>
  <c r="Z508" i="9"/>
  <c r="Y508" i="9"/>
  <c r="X508" i="9"/>
  <c r="W508" i="9"/>
  <c r="V508" i="9"/>
  <c r="U508" i="9"/>
  <c r="T508" i="9"/>
  <c r="S508" i="9"/>
  <c r="R508" i="9"/>
  <c r="Q508" i="9"/>
  <c r="P508" i="9"/>
  <c r="O508" i="9"/>
  <c r="N508" i="9"/>
  <c r="M508" i="9"/>
  <c r="L508" i="9"/>
  <c r="K508" i="9"/>
  <c r="J508" i="9"/>
  <c r="I508" i="9"/>
  <c r="H508" i="9"/>
  <c r="G508" i="9"/>
  <c r="F508" i="9"/>
  <c r="AC507" i="9"/>
  <c r="AB507" i="9"/>
  <c r="AA507" i="9"/>
  <c r="Z507" i="9"/>
  <c r="Y507" i="9"/>
  <c r="X507" i="9"/>
  <c r="W507" i="9"/>
  <c r="V507" i="9"/>
  <c r="U507" i="9"/>
  <c r="T507" i="9"/>
  <c r="S507" i="9"/>
  <c r="R507" i="9"/>
  <c r="Q507" i="9"/>
  <c r="P507" i="9"/>
  <c r="O507" i="9"/>
  <c r="N507" i="9"/>
  <c r="M507" i="9"/>
  <c r="L507" i="9"/>
  <c r="K507" i="9"/>
  <c r="J507" i="9"/>
  <c r="I507" i="9"/>
  <c r="H507" i="9"/>
  <c r="G507" i="9"/>
  <c r="F507" i="9"/>
  <c r="AC506" i="9"/>
  <c r="AB506" i="9"/>
  <c r="AA506" i="9"/>
  <c r="Z506" i="9"/>
  <c r="Y506" i="9"/>
  <c r="X506" i="9"/>
  <c r="W506" i="9"/>
  <c r="V506" i="9"/>
  <c r="U506" i="9"/>
  <c r="T506" i="9"/>
  <c r="S506" i="9"/>
  <c r="R506" i="9"/>
  <c r="Q506" i="9"/>
  <c r="P506" i="9"/>
  <c r="O506" i="9"/>
  <c r="N506" i="9"/>
  <c r="M506" i="9"/>
  <c r="L506" i="9"/>
  <c r="K506" i="9"/>
  <c r="J506" i="9"/>
  <c r="I506" i="9"/>
  <c r="H506" i="9"/>
  <c r="G506" i="9"/>
  <c r="F506" i="9"/>
  <c r="AC505" i="9"/>
  <c r="AB505" i="9"/>
  <c r="AA505" i="9"/>
  <c r="Z505" i="9"/>
  <c r="Y505" i="9"/>
  <c r="X505" i="9"/>
  <c r="W505" i="9"/>
  <c r="V505" i="9"/>
  <c r="U505" i="9"/>
  <c r="T505" i="9"/>
  <c r="S505" i="9"/>
  <c r="R505" i="9"/>
  <c r="Q505" i="9"/>
  <c r="P505" i="9"/>
  <c r="O505" i="9"/>
  <c r="N505" i="9"/>
  <c r="M505" i="9"/>
  <c r="L505" i="9"/>
  <c r="K505" i="9"/>
  <c r="J505" i="9"/>
  <c r="I505" i="9"/>
  <c r="H505" i="9"/>
  <c r="G505" i="9"/>
  <c r="F505" i="9"/>
  <c r="AC504" i="9"/>
  <c r="AB504" i="9"/>
  <c r="AA504" i="9"/>
  <c r="Z504" i="9"/>
  <c r="Y504" i="9"/>
  <c r="X504" i="9"/>
  <c r="W504" i="9"/>
  <c r="V504" i="9"/>
  <c r="U504" i="9"/>
  <c r="T504" i="9"/>
  <c r="S504" i="9"/>
  <c r="R504" i="9"/>
  <c r="Q504" i="9"/>
  <c r="P504" i="9"/>
  <c r="O504" i="9"/>
  <c r="N504" i="9"/>
  <c r="M504" i="9"/>
  <c r="L504" i="9"/>
  <c r="K504" i="9"/>
  <c r="J504" i="9"/>
  <c r="I504" i="9"/>
  <c r="H504" i="9"/>
  <c r="G504" i="9"/>
  <c r="F504" i="9"/>
  <c r="AC503" i="9"/>
  <c r="AB503" i="9"/>
  <c r="AA503" i="9"/>
  <c r="Z503" i="9"/>
  <c r="Y503" i="9"/>
  <c r="X503" i="9"/>
  <c r="W503" i="9"/>
  <c r="V503" i="9"/>
  <c r="U503" i="9"/>
  <c r="T503" i="9"/>
  <c r="S503" i="9"/>
  <c r="R503" i="9"/>
  <c r="Q503" i="9"/>
  <c r="P503" i="9"/>
  <c r="O503" i="9"/>
  <c r="N503" i="9"/>
  <c r="M503" i="9"/>
  <c r="L503" i="9"/>
  <c r="K503" i="9"/>
  <c r="J503" i="9"/>
  <c r="I503" i="9"/>
  <c r="H503" i="9"/>
  <c r="G503" i="9"/>
  <c r="F503" i="9"/>
  <c r="AC502" i="9"/>
  <c r="AB502" i="9"/>
  <c r="AA502" i="9"/>
  <c r="Z502" i="9"/>
  <c r="Y502" i="9"/>
  <c r="X502" i="9"/>
  <c r="W502" i="9"/>
  <c r="V502" i="9"/>
  <c r="U502" i="9"/>
  <c r="T502" i="9"/>
  <c r="S502" i="9"/>
  <c r="R502" i="9"/>
  <c r="Q502" i="9"/>
  <c r="P502" i="9"/>
  <c r="O502" i="9"/>
  <c r="N502" i="9"/>
  <c r="M502" i="9"/>
  <c r="L502" i="9"/>
  <c r="K502" i="9"/>
  <c r="J502" i="9"/>
  <c r="I502" i="9"/>
  <c r="H502" i="9"/>
  <c r="G502" i="9"/>
  <c r="F502" i="9"/>
  <c r="AC501" i="9"/>
  <c r="AB501" i="9"/>
  <c r="AA501" i="9"/>
  <c r="Z501" i="9"/>
  <c r="Y501" i="9"/>
  <c r="X501" i="9"/>
  <c r="W501" i="9"/>
  <c r="V501" i="9"/>
  <c r="U501" i="9"/>
  <c r="T501" i="9"/>
  <c r="S501" i="9"/>
  <c r="R501" i="9"/>
  <c r="Q501" i="9"/>
  <c r="P501" i="9"/>
  <c r="O501" i="9"/>
  <c r="N501" i="9"/>
  <c r="M501" i="9"/>
  <c r="L501" i="9"/>
  <c r="K501" i="9"/>
  <c r="J501" i="9"/>
  <c r="I501" i="9"/>
  <c r="H501" i="9"/>
  <c r="G501" i="9"/>
  <c r="F501" i="9"/>
  <c r="AC500" i="9"/>
  <c r="AB500" i="9"/>
  <c r="AA500" i="9"/>
  <c r="Z500" i="9"/>
  <c r="Y500" i="9"/>
  <c r="X500" i="9"/>
  <c r="W500" i="9"/>
  <c r="V500" i="9"/>
  <c r="U500" i="9"/>
  <c r="T500" i="9"/>
  <c r="S500" i="9"/>
  <c r="R500" i="9"/>
  <c r="Q500" i="9"/>
  <c r="P500" i="9"/>
  <c r="O500" i="9"/>
  <c r="N500" i="9"/>
  <c r="M500" i="9"/>
  <c r="L500" i="9"/>
  <c r="K500" i="9"/>
  <c r="J500" i="9"/>
  <c r="I500" i="9"/>
  <c r="H500" i="9"/>
  <c r="G500" i="9"/>
  <c r="F500" i="9"/>
  <c r="AC499" i="9"/>
  <c r="AB499" i="9"/>
  <c r="AA499" i="9"/>
  <c r="Z499" i="9"/>
  <c r="Y499" i="9"/>
  <c r="X499" i="9"/>
  <c r="W499" i="9"/>
  <c r="V499" i="9"/>
  <c r="U499" i="9"/>
  <c r="T499" i="9"/>
  <c r="S499" i="9"/>
  <c r="R499" i="9"/>
  <c r="Q499" i="9"/>
  <c r="P499" i="9"/>
  <c r="O499" i="9"/>
  <c r="N499" i="9"/>
  <c r="M499" i="9"/>
  <c r="L499" i="9"/>
  <c r="K499" i="9"/>
  <c r="J499" i="9"/>
  <c r="I499" i="9"/>
  <c r="H499" i="9"/>
  <c r="G499" i="9"/>
  <c r="F499" i="9"/>
  <c r="AC498" i="9"/>
  <c r="AB498" i="9"/>
  <c r="AA498" i="9"/>
  <c r="Z498" i="9"/>
  <c r="Y498" i="9"/>
  <c r="X498" i="9"/>
  <c r="W498" i="9"/>
  <c r="V498" i="9"/>
  <c r="U498" i="9"/>
  <c r="T498" i="9"/>
  <c r="S498" i="9"/>
  <c r="R498" i="9"/>
  <c r="Q498" i="9"/>
  <c r="P498" i="9"/>
  <c r="O498" i="9"/>
  <c r="N498" i="9"/>
  <c r="M498" i="9"/>
  <c r="L498" i="9"/>
  <c r="K498" i="9"/>
  <c r="J498" i="9"/>
  <c r="I498" i="9"/>
  <c r="H498" i="9"/>
  <c r="G498" i="9"/>
  <c r="F498" i="9"/>
  <c r="AC497" i="9"/>
  <c r="AB497" i="9"/>
  <c r="AA497" i="9"/>
  <c r="Z497" i="9"/>
  <c r="Y497" i="9"/>
  <c r="X497" i="9"/>
  <c r="W497" i="9"/>
  <c r="V497" i="9"/>
  <c r="U497" i="9"/>
  <c r="T497" i="9"/>
  <c r="S497" i="9"/>
  <c r="R497" i="9"/>
  <c r="Q497" i="9"/>
  <c r="P497" i="9"/>
  <c r="O497" i="9"/>
  <c r="N497" i="9"/>
  <c r="M497" i="9"/>
  <c r="L497" i="9"/>
  <c r="K497" i="9"/>
  <c r="J497" i="9"/>
  <c r="I497" i="9"/>
  <c r="H497" i="9"/>
  <c r="G497" i="9"/>
  <c r="F497" i="9"/>
  <c r="AC496" i="9"/>
  <c r="AB496" i="9"/>
  <c r="AA496" i="9"/>
  <c r="Z496" i="9"/>
  <c r="Y496" i="9"/>
  <c r="X496" i="9"/>
  <c r="W496" i="9"/>
  <c r="V496" i="9"/>
  <c r="U496" i="9"/>
  <c r="T496" i="9"/>
  <c r="S496" i="9"/>
  <c r="R496" i="9"/>
  <c r="Q496" i="9"/>
  <c r="P496" i="9"/>
  <c r="O496" i="9"/>
  <c r="N496" i="9"/>
  <c r="M496" i="9"/>
  <c r="L496" i="9"/>
  <c r="K496" i="9"/>
  <c r="J496" i="9"/>
  <c r="I496" i="9"/>
  <c r="H496" i="9"/>
  <c r="G496" i="9"/>
  <c r="F496" i="9"/>
  <c r="AC495" i="9"/>
  <c r="AB495" i="9"/>
  <c r="AA495" i="9"/>
  <c r="Z495" i="9"/>
  <c r="Y495" i="9"/>
  <c r="X495" i="9"/>
  <c r="W495" i="9"/>
  <c r="V495" i="9"/>
  <c r="U495" i="9"/>
  <c r="T495" i="9"/>
  <c r="S495" i="9"/>
  <c r="R495" i="9"/>
  <c r="Q495" i="9"/>
  <c r="P495" i="9"/>
  <c r="O495" i="9"/>
  <c r="N495" i="9"/>
  <c r="M495" i="9"/>
  <c r="L495" i="9"/>
  <c r="K495" i="9"/>
  <c r="J495" i="9"/>
  <c r="I495" i="9"/>
  <c r="H495" i="9"/>
  <c r="G495" i="9"/>
  <c r="F495" i="9"/>
  <c r="AC494" i="9"/>
  <c r="AB494" i="9"/>
  <c r="AA494" i="9"/>
  <c r="Z494" i="9"/>
  <c r="Y494" i="9"/>
  <c r="X494" i="9"/>
  <c r="W494" i="9"/>
  <c r="V494" i="9"/>
  <c r="U494" i="9"/>
  <c r="T494" i="9"/>
  <c r="S494" i="9"/>
  <c r="R494" i="9"/>
  <c r="Q494" i="9"/>
  <c r="P494" i="9"/>
  <c r="O494" i="9"/>
  <c r="N494" i="9"/>
  <c r="M494" i="9"/>
  <c r="L494" i="9"/>
  <c r="K494" i="9"/>
  <c r="J494" i="9"/>
  <c r="I494" i="9"/>
  <c r="H494" i="9"/>
  <c r="G494" i="9"/>
  <c r="F494" i="9"/>
  <c r="AC493" i="9"/>
  <c r="AB493" i="9"/>
  <c r="AA493" i="9"/>
  <c r="Z493" i="9"/>
  <c r="Y493" i="9"/>
  <c r="X493" i="9"/>
  <c r="W493" i="9"/>
  <c r="V493" i="9"/>
  <c r="U493" i="9"/>
  <c r="T493" i="9"/>
  <c r="S493" i="9"/>
  <c r="R493" i="9"/>
  <c r="Q493" i="9"/>
  <c r="P493" i="9"/>
  <c r="O493" i="9"/>
  <c r="N493" i="9"/>
  <c r="M493" i="9"/>
  <c r="L493" i="9"/>
  <c r="K493" i="9"/>
  <c r="J493" i="9"/>
  <c r="I493" i="9"/>
  <c r="H493" i="9"/>
  <c r="G493" i="9"/>
  <c r="F493" i="9"/>
  <c r="AC492" i="9"/>
  <c r="AB492" i="9"/>
  <c r="AA492" i="9"/>
  <c r="Z492" i="9"/>
  <c r="Y492" i="9"/>
  <c r="X492" i="9"/>
  <c r="W492" i="9"/>
  <c r="V492" i="9"/>
  <c r="U492" i="9"/>
  <c r="T492" i="9"/>
  <c r="S492" i="9"/>
  <c r="R492" i="9"/>
  <c r="Q492" i="9"/>
  <c r="P492" i="9"/>
  <c r="O492" i="9"/>
  <c r="N492" i="9"/>
  <c r="M492" i="9"/>
  <c r="L492" i="9"/>
  <c r="K492" i="9"/>
  <c r="J492" i="9"/>
  <c r="I492" i="9"/>
  <c r="H492" i="9"/>
  <c r="G492" i="9"/>
  <c r="F492" i="9"/>
  <c r="AC491" i="9"/>
  <c r="AB491" i="9"/>
  <c r="AA491" i="9"/>
  <c r="Z491" i="9"/>
  <c r="Y491" i="9"/>
  <c r="X491" i="9"/>
  <c r="W491" i="9"/>
  <c r="V491" i="9"/>
  <c r="U491" i="9"/>
  <c r="T491" i="9"/>
  <c r="S491" i="9"/>
  <c r="R491" i="9"/>
  <c r="Q491" i="9"/>
  <c r="P491" i="9"/>
  <c r="O491" i="9"/>
  <c r="N491" i="9"/>
  <c r="M491" i="9"/>
  <c r="L491" i="9"/>
  <c r="K491" i="9"/>
  <c r="J491" i="9"/>
  <c r="I491" i="9"/>
  <c r="H491" i="9"/>
  <c r="G491" i="9"/>
  <c r="F491" i="9"/>
  <c r="AC490" i="9"/>
  <c r="AB490" i="9"/>
  <c r="AA490" i="9"/>
  <c r="Z490" i="9"/>
  <c r="Y490" i="9"/>
  <c r="X490" i="9"/>
  <c r="W490" i="9"/>
  <c r="V490" i="9"/>
  <c r="U490" i="9"/>
  <c r="T490" i="9"/>
  <c r="S490" i="9"/>
  <c r="R490" i="9"/>
  <c r="Q490" i="9"/>
  <c r="P490" i="9"/>
  <c r="O490" i="9"/>
  <c r="N490" i="9"/>
  <c r="M490" i="9"/>
  <c r="L490" i="9"/>
  <c r="K490" i="9"/>
  <c r="J490" i="9"/>
  <c r="I490" i="9"/>
  <c r="H490" i="9"/>
  <c r="G490" i="9"/>
  <c r="F490" i="9"/>
  <c r="AC489" i="9"/>
  <c r="AB489" i="9"/>
  <c r="AA489" i="9"/>
  <c r="Z489" i="9"/>
  <c r="Y489" i="9"/>
  <c r="X489" i="9"/>
  <c r="W489" i="9"/>
  <c r="V489" i="9"/>
  <c r="U489" i="9"/>
  <c r="T489" i="9"/>
  <c r="S489" i="9"/>
  <c r="R489" i="9"/>
  <c r="Q489" i="9"/>
  <c r="P489" i="9"/>
  <c r="O489" i="9"/>
  <c r="N489" i="9"/>
  <c r="M489" i="9"/>
  <c r="L489" i="9"/>
  <c r="K489" i="9"/>
  <c r="J489" i="9"/>
  <c r="I489" i="9"/>
  <c r="H489" i="9"/>
  <c r="G489" i="9"/>
  <c r="F489" i="9"/>
  <c r="AC488" i="9"/>
  <c r="AB488" i="9"/>
  <c r="AA488" i="9"/>
  <c r="Z488" i="9"/>
  <c r="Y488" i="9"/>
  <c r="X488" i="9"/>
  <c r="W488" i="9"/>
  <c r="V488" i="9"/>
  <c r="U488" i="9"/>
  <c r="T488" i="9"/>
  <c r="S488" i="9"/>
  <c r="R488" i="9"/>
  <c r="Q488" i="9"/>
  <c r="P488" i="9"/>
  <c r="O488" i="9"/>
  <c r="N488" i="9"/>
  <c r="M488" i="9"/>
  <c r="L488" i="9"/>
  <c r="K488" i="9"/>
  <c r="J488" i="9"/>
  <c r="I488" i="9"/>
  <c r="H488" i="9"/>
  <c r="G488" i="9"/>
  <c r="F488" i="9"/>
  <c r="AC487" i="9"/>
  <c r="AB487" i="9"/>
  <c r="AA487" i="9"/>
  <c r="Z487" i="9"/>
  <c r="Y487" i="9"/>
  <c r="X487" i="9"/>
  <c r="W487" i="9"/>
  <c r="V487" i="9"/>
  <c r="U487" i="9"/>
  <c r="T487" i="9"/>
  <c r="S487" i="9"/>
  <c r="R487" i="9"/>
  <c r="Q487" i="9"/>
  <c r="P487" i="9"/>
  <c r="O487" i="9"/>
  <c r="N487" i="9"/>
  <c r="M487" i="9"/>
  <c r="L487" i="9"/>
  <c r="K487" i="9"/>
  <c r="J487" i="9"/>
  <c r="I487" i="9"/>
  <c r="H487" i="9"/>
  <c r="G487" i="9"/>
  <c r="F487" i="9"/>
  <c r="AC486" i="9"/>
  <c r="AB486" i="9"/>
  <c r="AA486" i="9"/>
  <c r="Z486" i="9"/>
  <c r="Y486" i="9"/>
  <c r="X486" i="9"/>
  <c r="W486" i="9"/>
  <c r="V486" i="9"/>
  <c r="U486" i="9"/>
  <c r="T486" i="9"/>
  <c r="S486" i="9"/>
  <c r="R486" i="9"/>
  <c r="Q486" i="9"/>
  <c r="P486" i="9"/>
  <c r="O486" i="9"/>
  <c r="N486" i="9"/>
  <c r="M486" i="9"/>
  <c r="L486" i="9"/>
  <c r="K486" i="9"/>
  <c r="J486" i="9"/>
  <c r="I486" i="9"/>
  <c r="H486" i="9"/>
  <c r="G486" i="9"/>
  <c r="F486" i="9"/>
  <c r="AC485" i="9"/>
  <c r="AB485" i="9"/>
  <c r="AA485" i="9"/>
  <c r="Z485" i="9"/>
  <c r="Y485" i="9"/>
  <c r="X485" i="9"/>
  <c r="W485" i="9"/>
  <c r="V485" i="9"/>
  <c r="U485" i="9"/>
  <c r="T485" i="9"/>
  <c r="S485" i="9"/>
  <c r="R485" i="9"/>
  <c r="Q485" i="9"/>
  <c r="P485" i="9"/>
  <c r="O485" i="9"/>
  <c r="N485" i="9"/>
  <c r="M485" i="9"/>
  <c r="L485" i="9"/>
  <c r="K485" i="9"/>
  <c r="J485" i="9"/>
  <c r="I485" i="9"/>
  <c r="H485" i="9"/>
  <c r="G485" i="9"/>
  <c r="F485" i="9"/>
  <c r="AC484" i="9"/>
  <c r="AB484" i="9"/>
  <c r="AA484" i="9"/>
  <c r="Z484" i="9"/>
  <c r="Y484" i="9"/>
  <c r="X484" i="9"/>
  <c r="W484" i="9"/>
  <c r="V484" i="9"/>
  <c r="U484" i="9"/>
  <c r="T484" i="9"/>
  <c r="S484" i="9"/>
  <c r="R484" i="9"/>
  <c r="Q484" i="9"/>
  <c r="P484" i="9"/>
  <c r="O484" i="9"/>
  <c r="N484" i="9"/>
  <c r="M484" i="9"/>
  <c r="L484" i="9"/>
  <c r="K484" i="9"/>
  <c r="J484" i="9"/>
  <c r="I484" i="9"/>
  <c r="H484" i="9"/>
  <c r="G484" i="9"/>
  <c r="F484" i="9"/>
  <c r="AC483" i="9"/>
  <c r="AB483" i="9"/>
  <c r="AA483" i="9"/>
  <c r="Z483" i="9"/>
  <c r="Y483" i="9"/>
  <c r="X483" i="9"/>
  <c r="W483" i="9"/>
  <c r="V483" i="9"/>
  <c r="U483" i="9"/>
  <c r="T483" i="9"/>
  <c r="S483" i="9"/>
  <c r="R483" i="9"/>
  <c r="Q483" i="9"/>
  <c r="P483" i="9"/>
  <c r="O483" i="9"/>
  <c r="N483" i="9"/>
  <c r="M483" i="9"/>
  <c r="L483" i="9"/>
  <c r="K483" i="9"/>
  <c r="J483" i="9"/>
  <c r="I483" i="9"/>
  <c r="H483" i="9"/>
  <c r="G483" i="9"/>
  <c r="F483" i="9"/>
  <c r="AC482" i="9"/>
  <c r="AB482" i="9"/>
  <c r="AA482" i="9"/>
  <c r="Z482" i="9"/>
  <c r="Y482" i="9"/>
  <c r="X482" i="9"/>
  <c r="W482" i="9"/>
  <c r="V482" i="9"/>
  <c r="U482" i="9"/>
  <c r="T482" i="9"/>
  <c r="S482" i="9"/>
  <c r="R482" i="9"/>
  <c r="Q482" i="9"/>
  <c r="P482" i="9"/>
  <c r="O482" i="9"/>
  <c r="N482" i="9"/>
  <c r="M482" i="9"/>
  <c r="L482" i="9"/>
  <c r="K482" i="9"/>
  <c r="J482" i="9"/>
  <c r="I482" i="9"/>
  <c r="H482" i="9"/>
  <c r="G482" i="9"/>
  <c r="F482" i="9"/>
  <c r="AC481" i="9"/>
  <c r="AB481" i="9"/>
  <c r="AA481" i="9"/>
  <c r="Z481" i="9"/>
  <c r="Y481" i="9"/>
  <c r="X481" i="9"/>
  <c r="W481" i="9"/>
  <c r="V481" i="9"/>
  <c r="U481" i="9"/>
  <c r="T481" i="9"/>
  <c r="S481" i="9"/>
  <c r="R481" i="9"/>
  <c r="Q481" i="9"/>
  <c r="P481" i="9"/>
  <c r="O481" i="9"/>
  <c r="N481" i="9"/>
  <c r="M481" i="9"/>
  <c r="L481" i="9"/>
  <c r="K481" i="9"/>
  <c r="J481" i="9"/>
  <c r="I481" i="9"/>
  <c r="H481" i="9"/>
  <c r="G481" i="9"/>
  <c r="F481" i="9"/>
  <c r="AC480" i="9"/>
  <c r="AB480" i="9"/>
  <c r="AA480" i="9"/>
  <c r="Z480" i="9"/>
  <c r="Y480" i="9"/>
  <c r="X480" i="9"/>
  <c r="W480" i="9"/>
  <c r="V480" i="9"/>
  <c r="U480" i="9"/>
  <c r="T480" i="9"/>
  <c r="S480" i="9"/>
  <c r="R480" i="9"/>
  <c r="Q480" i="9"/>
  <c r="P480" i="9"/>
  <c r="O480" i="9"/>
  <c r="N480" i="9"/>
  <c r="M480" i="9"/>
  <c r="L480" i="9"/>
  <c r="K480" i="9"/>
  <c r="J480" i="9"/>
  <c r="I480" i="9"/>
  <c r="H480" i="9"/>
  <c r="G480" i="9"/>
  <c r="F480" i="9"/>
  <c r="AC479" i="9"/>
  <c r="AB479" i="9"/>
  <c r="AA479" i="9"/>
  <c r="Z479" i="9"/>
  <c r="Y479" i="9"/>
  <c r="X479" i="9"/>
  <c r="W479" i="9"/>
  <c r="V479" i="9"/>
  <c r="U479" i="9"/>
  <c r="T479" i="9"/>
  <c r="S479" i="9"/>
  <c r="R479" i="9"/>
  <c r="Q479" i="9"/>
  <c r="P479" i="9"/>
  <c r="O479" i="9"/>
  <c r="N479" i="9"/>
  <c r="M479" i="9"/>
  <c r="L479" i="9"/>
  <c r="K479" i="9"/>
  <c r="J479" i="9"/>
  <c r="I479" i="9"/>
  <c r="H479" i="9"/>
  <c r="G479" i="9"/>
  <c r="F479" i="9"/>
  <c r="AC478" i="9"/>
  <c r="AB478" i="9"/>
  <c r="AA478" i="9"/>
  <c r="Z478" i="9"/>
  <c r="Y478" i="9"/>
  <c r="X478" i="9"/>
  <c r="W478" i="9"/>
  <c r="V478" i="9"/>
  <c r="U478" i="9"/>
  <c r="T478" i="9"/>
  <c r="S478" i="9"/>
  <c r="R478" i="9"/>
  <c r="Q478" i="9"/>
  <c r="P478" i="9"/>
  <c r="O478" i="9"/>
  <c r="N478" i="9"/>
  <c r="M478" i="9"/>
  <c r="L478" i="9"/>
  <c r="K478" i="9"/>
  <c r="J478" i="9"/>
  <c r="I478" i="9"/>
  <c r="H478" i="9"/>
  <c r="G478" i="9"/>
  <c r="F478" i="9"/>
  <c r="AC477" i="9"/>
  <c r="AB477" i="9"/>
  <c r="AA477" i="9"/>
  <c r="Z477" i="9"/>
  <c r="Y477" i="9"/>
  <c r="X477" i="9"/>
  <c r="W477" i="9"/>
  <c r="V477" i="9"/>
  <c r="U477" i="9"/>
  <c r="T477" i="9"/>
  <c r="S477" i="9"/>
  <c r="R477" i="9"/>
  <c r="Q477" i="9"/>
  <c r="P477" i="9"/>
  <c r="O477" i="9"/>
  <c r="N477" i="9"/>
  <c r="M477" i="9"/>
  <c r="L477" i="9"/>
  <c r="K477" i="9"/>
  <c r="J477" i="9"/>
  <c r="I477" i="9"/>
  <c r="H477" i="9"/>
  <c r="G477" i="9"/>
  <c r="F477" i="9"/>
  <c r="AC476" i="9"/>
  <c r="AB476" i="9"/>
  <c r="AA476" i="9"/>
  <c r="Z476" i="9"/>
  <c r="Y476" i="9"/>
  <c r="X476" i="9"/>
  <c r="W476" i="9"/>
  <c r="V476" i="9"/>
  <c r="U476" i="9"/>
  <c r="T476" i="9"/>
  <c r="S476" i="9"/>
  <c r="R476" i="9"/>
  <c r="Q476" i="9"/>
  <c r="P476" i="9"/>
  <c r="O476" i="9"/>
  <c r="N476" i="9"/>
  <c r="M476" i="9"/>
  <c r="L476" i="9"/>
  <c r="K476" i="9"/>
  <c r="J476" i="9"/>
  <c r="I476" i="9"/>
  <c r="H476" i="9"/>
  <c r="G476" i="9"/>
  <c r="F476" i="9"/>
  <c r="AC475" i="9"/>
  <c r="AB475" i="9"/>
  <c r="AA475" i="9"/>
  <c r="Z475" i="9"/>
  <c r="Y475" i="9"/>
  <c r="X475" i="9"/>
  <c r="W475" i="9"/>
  <c r="V475" i="9"/>
  <c r="U475" i="9"/>
  <c r="T475" i="9"/>
  <c r="S475" i="9"/>
  <c r="R475" i="9"/>
  <c r="Q475" i="9"/>
  <c r="P475" i="9"/>
  <c r="O475" i="9"/>
  <c r="N475" i="9"/>
  <c r="M475" i="9"/>
  <c r="L475" i="9"/>
  <c r="K475" i="9"/>
  <c r="J475" i="9"/>
  <c r="I475" i="9"/>
  <c r="H475" i="9"/>
  <c r="G475" i="9"/>
  <c r="F475" i="9"/>
  <c r="AC474" i="9"/>
  <c r="AB474" i="9"/>
  <c r="AA474" i="9"/>
  <c r="Z474" i="9"/>
  <c r="Y474" i="9"/>
  <c r="X474" i="9"/>
  <c r="W474" i="9"/>
  <c r="V474" i="9"/>
  <c r="U474" i="9"/>
  <c r="T474" i="9"/>
  <c r="S474" i="9"/>
  <c r="R474" i="9"/>
  <c r="Q474" i="9"/>
  <c r="P474" i="9"/>
  <c r="O474" i="9"/>
  <c r="N474" i="9"/>
  <c r="M474" i="9"/>
  <c r="L474" i="9"/>
  <c r="K474" i="9"/>
  <c r="J474" i="9"/>
  <c r="I474" i="9"/>
  <c r="H474" i="9"/>
  <c r="G474" i="9"/>
  <c r="F474" i="9"/>
  <c r="AC473" i="9"/>
  <c r="AB473" i="9"/>
  <c r="AA473" i="9"/>
  <c r="Z473" i="9"/>
  <c r="Y473" i="9"/>
  <c r="X473" i="9"/>
  <c r="W473" i="9"/>
  <c r="V473" i="9"/>
  <c r="U473" i="9"/>
  <c r="T473" i="9"/>
  <c r="S473" i="9"/>
  <c r="R473" i="9"/>
  <c r="Q473" i="9"/>
  <c r="P473" i="9"/>
  <c r="O473" i="9"/>
  <c r="N473" i="9"/>
  <c r="M473" i="9"/>
  <c r="L473" i="9"/>
  <c r="K473" i="9"/>
  <c r="J473" i="9"/>
  <c r="I473" i="9"/>
  <c r="H473" i="9"/>
  <c r="G473" i="9"/>
  <c r="F473" i="9"/>
  <c r="AC472" i="9"/>
  <c r="AB472" i="9"/>
  <c r="AA472" i="9"/>
  <c r="Z472" i="9"/>
  <c r="Y472" i="9"/>
  <c r="X472" i="9"/>
  <c r="W472" i="9"/>
  <c r="V472" i="9"/>
  <c r="U472" i="9"/>
  <c r="T472" i="9"/>
  <c r="S472" i="9"/>
  <c r="R472" i="9"/>
  <c r="Q472" i="9"/>
  <c r="P472" i="9"/>
  <c r="O472" i="9"/>
  <c r="N472" i="9"/>
  <c r="M472" i="9"/>
  <c r="L472" i="9"/>
  <c r="K472" i="9"/>
  <c r="J472" i="9"/>
  <c r="I472" i="9"/>
  <c r="H472" i="9"/>
  <c r="G472" i="9"/>
  <c r="F472" i="9"/>
  <c r="AC471" i="9"/>
  <c r="AB471" i="9"/>
  <c r="AA471" i="9"/>
  <c r="Z471" i="9"/>
  <c r="Y471" i="9"/>
  <c r="X471" i="9"/>
  <c r="W471" i="9"/>
  <c r="V471" i="9"/>
  <c r="U471" i="9"/>
  <c r="T471" i="9"/>
  <c r="S471" i="9"/>
  <c r="R471" i="9"/>
  <c r="Q471" i="9"/>
  <c r="P471" i="9"/>
  <c r="O471" i="9"/>
  <c r="N471" i="9"/>
  <c r="M471" i="9"/>
  <c r="L471" i="9"/>
  <c r="K471" i="9"/>
  <c r="J471" i="9"/>
  <c r="I471" i="9"/>
  <c r="H471" i="9"/>
  <c r="G471" i="9"/>
  <c r="F471" i="9"/>
  <c r="AC470" i="9"/>
  <c r="AB470" i="9"/>
  <c r="AA470" i="9"/>
  <c r="Z470" i="9"/>
  <c r="Y470" i="9"/>
  <c r="X470" i="9"/>
  <c r="W470" i="9"/>
  <c r="V470" i="9"/>
  <c r="U470" i="9"/>
  <c r="T470" i="9"/>
  <c r="S470" i="9"/>
  <c r="R470" i="9"/>
  <c r="Q470" i="9"/>
  <c r="P470" i="9"/>
  <c r="O470" i="9"/>
  <c r="N470" i="9"/>
  <c r="M470" i="9"/>
  <c r="L470" i="9"/>
  <c r="K470" i="9"/>
  <c r="J470" i="9"/>
  <c r="I470" i="9"/>
  <c r="H470" i="9"/>
  <c r="G470" i="9"/>
  <c r="F470" i="9"/>
  <c r="AC469" i="9"/>
  <c r="AB469" i="9"/>
  <c r="AA469" i="9"/>
  <c r="Z469" i="9"/>
  <c r="Y469" i="9"/>
  <c r="X469" i="9"/>
  <c r="W469" i="9"/>
  <c r="V469" i="9"/>
  <c r="U469" i="9"/>
  <c r="T469" i="9"/>
  <c r="S469" i="9"/>
  <c r="R469" i="9"/>
  <c r="Q469" i="9"/>
  <c r="P469" i="9"/>
  <c r="O469" i="9"/>
  <c r="N469" i="9"/>
  <c r="M469" i="9"/>
  <c r="L469" i="9"/>
  <c r="K469" i="9"/>
  <c r="J469" i="9"/>
  <c r="I469" i="9"/>
  <c r="H469" i="9"/>
  <c r="G469" i="9"/>
  <c r="F469" i="9"/>
  <c r="AC468" i="9"/>
  <c r="AB468" i="9"/>
  <c r="AA468" i="9"/>
  <c r="Z468" i="9"/>
  <c r="Y468" i="9"/>
  <c r="X468" i="9"/>
  <c r="W468" i="9"/>
  <c r="V468" i="9"/>
  <c r="U468" i="9"/>
  <c r="T468" i="9"/>
  <c r="S468" i="9"/>
  <c r="R468" i="9"/>
  <c r="Q468" i="9"/>
  <c r="P468" i="9"/>
  <c r="O468" i="9"/>
  <c r="N468" i="9"/>
  <c r="M468" i="9"/>
  <c r="L468" i="9"/>
  <c r="K468" i="9"/>
  <c r="J468" i="9"/>
  <c r="I468" i="9"/>
  <c r="H468" i="9"/>
  <c r="G468" i="9"/>
  <c r="F468" i="9"/>
  <c r="AC467" i="9"/>
  <c r="AB467" i="9"/>
  <c r="AA467" i="9"/>
  <c r="Z467" i="9"/>
  <c r="Y467" i="9"/>
  <c r="X467" i="9"/>
  <c r="W467" i="9"/>
  <c r="V467" i="9"/>
  <c r="U467" i="9"/>
  <c r="T467" i="9"/>
  <c r="S467" i="9"/>
  <c r="R467" i="9"/>
  <c r="Q467" i="9"/>
  <c r="P467" i="9"/>
  <c r="O467" i="9"/>
  <c r="N467" i="9"/>
  <c r="M467" i="9"/>
  <c r="L467" i="9"/>
  <c r="K467" i="9"/>
  <c r="J467" i="9"/>
  <c r="I467" i="9"/>
  <c r="H467" i="9"/>
  <c r="G467" i="9"/>
  <c r="F467" i="9"/>
  <c r="AC466" i="9"/>
  <c r="AB466" i="9"/>
  <c r="AA466" i="9"/>
  <c r="Z466" i="9"/>
  <c r="Y466" i="9"/>
  <c r="X466" i="9"/>
  <c r="W466" i="9"/>
  <c r="V466" i="9"/>
  <c r="U466" i="9"/>
  <c r="T466" i="9"/>
  <c r="S466" i="9"/>
  <c r="R466" i="9"/>
  <c r="Q466" i="9"/>
  <c r="P466" i="9"/>
  <c r="O466" i="9"/>
  <c r="N466" i="9"/>
  <c r="M466" i="9"/>
  <c r="L466" i="9"/>
  <c r="K466" i="9"/>
  <c r="J466" i="9"/>
  <c r="I466" i="9"/>
  <c r="H466" i="9"/>
  <c r="G466" i="9"/>
  <c r="F466" i="9"/>
  <c r="AC465" i="9"/>
  <c r="AB465" i="9"/>
  <c r="AA465" i="9"/>
  <c r="Z465" i="9"/>
  <c r="Y465" i="9"/>
  <c r="X465" i="9"/>
  <c r="W465" i="9"/>
  <c r="V465" i="9"/>
  <c r="U465" i="9"/>
  <c r="T465" i="9"/>
  <c r="S465" i="9"/>
  <c r="R465" i="9"/>
  <c r="Q465" i="9"/>
  <c r="P465" i="9"/>
  <c r="O465" i="9"/>
  <c r="N465" i="9"/>
  <c r="M465" i="9"/>
  <c r="L465" i="9"/>
  <c r="K465" i="9"/>
  <c r="J465" i="9"/>
  <c r="I465" i="9"/>
  <c r="H465" i="9"/>
  <c r="G465" i="9"/>
  <c r="F465" i="9"/>
  <c r="AC464" i="9"/>
  <c r="AB464" i="9"/>
  <c r="AA464" i="9"/>
  <c r="Z464" i="9"/>
  <c r="Y464" i="9"/>
  <c r="X464" i="9"/>
  <c r="W464" i="9"/>
  <c r="V464" i="9"/>
  <c r="U464" i="9"/>
  <c r="T464" i="9"/>
  <c r="S464" i="9"/>
  <c r="R464" i="9"/>
  <c r="Q464" i="9"/>
  <c r="P464" i="9"/>
  <c r="O464" i="9"/>
  <c r="N464" i="9"/>
  <c r="M464" i="9"/>
  <c r="L464" i="9"/>
  <c r="K464" i="9"/>
  <c r="J464" i="9"/>
  <c r="I464" i="9"/>
  <c r="H464" i="9"/>
  <c r="G464" i="9"/>
  <c r="F464" i="9"/>
  <c r="AC463" i="9"/>
  <c r="AB463" i="9"/>
  <c r="AA463" i="9"/>
  <c r="Z463" i="9"/>
  <c r="Y463" i="9"/>
  <c r="X463" i="9"/>
  <c r="W463" i="9"/>
  <c r="V463" i="9"/>
  <c r="U463" i="9"/>
  <c r="T463" i="9"/>
  <c r="S463" i="9"/>
  <c r="R463" i="9"/>
  <c r="Q463" i="9"/>
  <c r="P463" i="9"/>
  <c r="O463" i="9"/>
  <c r="N463" i="9"/>
  <c r="M463" i="9"/>
  <c r="L463" i="9"/>
  <c r="K463" i="9"/>
  <c r="J463" i="9"/>
  <c r="I463" i="9"/>
  <c r="H463" i="9"/>
  <c r="G463" i="9"/>
  <c r="F463" i="9"/>
  <c r="AC462" i="9"/>
  <c r="AB462" i="9"/>
  <c r="AA462" i="9"/>
  <c r="Z462" i="9"/>
  <c r="Y462" i="9"/>
  <c r="X462" i="9"/>
  <c r="W462" i="9"/>
  <c r="V462" i="9"/>
  <c r="U462" i="9"/>
  <c r="T462" i="9"/>
  <c r="S462" i="9"/>
  <c r="R462" i="9"/>
  <c r="Q462" i="9"/>
  <c r="P462" i="9"/>
  <c r="O462" i="9"/>
  <c r="N462" i="9"/>
  <c r="M462" i="9"/>
  <c r="L462" i="9"/>
  <c r="K462" i="9"/>
  <c r="J462" i="9"/>
  <c r="I462" i="9"/>
  <c r="H462" i="9"/>
  <c r="G462" i="9"/>
  <c r="F462" i="9"/>
  <c r="AC461" i="9"/>
  <c r="AB461" i="9"/>
  <c r="AA461" i="9"/>
  <c r="Z461" i="9"/>
  <c r="Y461" i="9"/>
  <c r="X461" i="9"/>
  <c r="W461" i="9"/>
  <c r="V461" i="9"/>
  <c r="U461" i="9"/>
  <c r="T461" i="9"/>
  <c r="S461" i="9"/>
  <c r="R461" i="9"/>
  <c r="Q461" i="9"/>
  <c r="P461" i="9"/>
  <c r="O461" i="9"/>
  <c r="N461" i="9"/>
  <c r="M461" i="9"/>
  <c r="L461" i="9"/>
  <c r="K461" i="9"/>
  <c r="J461" i="9"/>
  <c r="I461" i="9"/>
  <c r="H461" i="9"/>
  <c r="G461" i="9"/>
  <c r="F461" i="9"/>
  <c r="AC460" i="9"/>
  <c r="AB460" i="9"/>
  <c r="AA460" i="9"/>
  <c r="Z460" i="9"/>
  <c r="Y460" i="9"/>
  <c r="X460" i="9"/>
  <c r="W460" i="9"/>
  <c r="V460" i="9"/>
  <c r="U460" i="9"/>
  <c r="T460" i="9"/>
  <c r="S460" i="9"/>
  <c r="R460" i="9"/>
  <c r="Q460" i="9"/>
  <c r="P460" i="9"/>
  <c r="O460" i="9"/>
  <c r="N460" i="9"/>
  <c r="M460" i="9"/>
  <c r="L460" i="9"/>
  <c r="K460" i="9"/>
  <c r="J460" i="9"/>
  <c r="I460" i="9"/>
  <c r="H460" i="9"/>
  <c r="G460" i="9"/>
  <c r="F460" i="9"/>
  <c r="AC459" i="9"/>
  <c r="AB459" i="9"/>
  <c r="AA459" i="9"/>
  <c r="Z459" i="9"/>
  <c r="Y459" i="9"/>
  <c r="X459" i="9"/>
  <c r="W459" i="9"/>
  <c r="V459" i="9"/>
  <c r="U459" i="9"/>
  <c r="T459" i="9"/>
  <c r="S459" i="9"/>
  <c r="R459" i="9"/>
  <c r="Q459" i="9"/>
  <c r="P459" i="9"/>
  <c r="O459" i="9"/>
  <c r="N459" i="9"/>
  <c r="M459" i="9"/>
  <c r="L459" i="9"/>
  <c r="K459" i="9"/>
  <c r="J459" i="9"/>
  <c r="I459" i="9"/>
  <c r="H459" i="9"/>
  <c r="G459" i="9"/>
  <c r="F459" i="9"/>
  <c r="AC458" i="9"/>
  <c r="AB458" i="9"/>
  <c r="AA458" i="9"/>
  <c r="Z458" i="9"/>
  <c r="Y458" i="9"/>
  <c r="X458" i="9"/>
  <c r="W458" i="9"/>
  <c r="V458" i="9"/>
  <c r="U458" i="9"/>
  <c r="T458" i="9"/>
  <c r="S458" i="9"/>
  <c r="R458" i="9"/>
  <c r="Q458" i="9"/>
  <c r="P458" i="9"/>
  <c r="O458" i="9"/>
  <c r="N458" i="9"/>
  <c r="M458" i="9"/>
  <c r="L458" i="9"/>
  <c r="K458" i="9"/>
  <c r="J458" i="9"/>
  <c r="I458" i="9"/>
  <c r="H458" i="9"/>
  <c r="G458" i="9"/>
  <c r="F458" i="9"/>
  <c r="AC457" i="9"/>
  <c r="AB457" i="9"/>
  <c r="AA457" i="9"/>
  <c r="Z457" i="9"/>
  <c r="Y457" i="9"/>
  <c r="X457" i="9"/>
  <c r="W457" i="9"/>
  <c r="V457" i="9"/>
  <c r="U457" i="9"/>
  <c r="T457" i="9"/>
  <c r="S457" i="9"/>
  <c r="R457" i="9"/>
  <c r="Q457" i="9"/>
  <c r="P457" i="9"/>
  <c r="O457" i="9"/>
  <c r="N457" i="9"/>
  <c r="M457" i="9"/>
  <c r="L457" i="9"/>
  <c r="K457" i="9"/>
  <c r="J457" i="9"/>
  <c r="I457" i="9"/>
  <c r="H457" i="9"/>
  <c r="G457" i="9"/>
  <c r="F457" i="9"/>
  <c r="AC456" i="9"/>
  <c r="AB456" i="9"/>
  <c r="AA456" i="9"/>
  <c r="Z456" i="9"/>
  <c r="Y456" i="9"/>
  <c r="X456" i="9"/>
  <c r="W456" i="9"/>
  <c r="V456" i="9"/>
  <c r="U456" i="9"/>
  <c r="T456" i="9"/>
  <c r="S456" i="9"/>
  <c r="R456" i="9"/>
  <c r="Q456" i="9"/>
  <c r="P456" i="9"/>
  <c r="O456" i="9"/>
  <c r="N456" i="9"/>
  <c r="M456" i="9"/>
  <c r="L456" i="9"/>
  <c r="K456" i="9"/>
  <c r="J456" i="9"/>
  <c r="I456" i="9"/>
  <c r="H456" i="9"/>
  <c r="G456" i="9"/>
  <c r="F456" i="9"/>
  <c r="AC455" i="9"/>
  <c r="AB455" i="9"/>
  <c r="AA455" i="9"/>
  <c r="Z455" i="9"/>
  <c r="Y455" i="9"/>
  <c r="X455" i="9"/>
  <c r="W455" i="9"/>
  <c r="V455" i="9"/>
  <c r="U455" i="9"/>
  <c r="T455" i="9"/>
  <c r="S455" i="9"/>
  <c r="R455" i="9"/>
  <c r="Q455" i="9"/>
  <c r="P455" i="9"/>
  <c r="O455" i="9"/>
  <c r="N455" i="9"/>
  <c r="M455" i="9"/>
  <c r="L455" i="9"/>
  <c r="K455" i="9"/>
  <c r="J455" i="9"/>
  <c r="I455" i="9"/>
  <c r="H455" i="9"/>
  <c r="G455" i="9"/>
  <c r="F455" i="9"/>
  <c r="AC454" i="9"/>
  <c r="AB454" i="9"/>
  <c r="AA454" i="9"/>
  <c r="Z454" i="9"/>
  <c r="Y454" i="9"/>
  <c r="X454" i="9"/>
  <c r="W454" i="9"/>
  <c r="V454" i="9"/>
  <c r="U454" i="9"/>
  <c r="T454" i="9"/>
  <c r="S454" i="9"/>
  <c r="R454" i="9"/>
  <c r="Q454" i="9"/>
  <c r="P454" i="9"/>
  <c r="O454" i="9"/>
  <c r="N454" i="9"/>
  <c r="M454" i="9"/>
  <c r="L454" i="9"/>
  <c r="K454" i="9"/>
  <c r="J454" i="9"/>
  <c r="I454" i="9"/>
  <c r="H454" i="9"/>
  <c r="G454" i="9"/>
  <c r="F454" i="9"/>
  <c r="AC453" i="9"/>
  <c r="AB453" i="9"/>
  <c r="AA453" i="9"/>
  <c r="Z453" i="9"/>
  <c r="Y453" i="9"/>
  <c r="X453" i="9"/>
  <c r="W453" i="9"/>
  <c r="V453" i="9"/>
  <c r="U453" i="9"/>
  <c r="T453" i="9"/>
  <c r="S453" i="9"/>
  <c r="R453" i="9"/>
  <c r="Q453" i="9"/>
  <c r="P453" i="9"/>
  <c r="O453" i="9"/>
  <c r="N453" i="9"/>
  <c r="M453" i="9"/>
  <c r="L453" i="9"/>
  <c r="K453" i="9"/>
  <c r="J453" i="9"/>
  <c r="I453" i="9"/>
  <c r="H453" i="9"/>
  <c r="G453" i="9"/>
  <c r="F453" i="9"/>
  <c r="AC452" i="9"/>
  <c r="AB452" i="9"/>
  <c r="AA452" i="9"/>
  <c r="Z452" i="9"/>
  <c r="Y452" i="9"/>
  <c r="X452" i="9"/>
  <c r="W452" i="9"/>
  <c r="V452" i="9"/>
  <c r="U452" i="9"/>
  <c r="T452" i="9"/>
  <c r="S452" i="9"/>
  <c r="R452" i="9"/>
  <c r="Q452" i="9"/>
  <c r="P452" i="9"/>
  <c r="O452" i="9"/>
  <c r="N452" i="9"/>
  <c r="M452" i="9"/>
  <c r="L452" i="9"/>
  <c r="K452" i="9"/>
  <c r="J452" i="9"/>
  <c r="I452" i="9"/>
  <c r="H452" i="9"/>
  <c r="G452" i="9"/>
  <c r="F452" i="9"/>
  <c r="AC451" i="9"/>
  <c r="AB451" i="9"/>
  <c r="AA451" i="9"/>
  <c r="Z451" i="9"/>
  <c r="Y451" i="9"/>
  <c r="X451" i="9"/>
  <c r="W451" i="9"/>
  <c r="V451" i="9"/>
  <c r="U451" i="9"/>
  <c r="T451" i="9"/>
  <c r="S451" i="9"/>
  <c r="R451" i="9"/>
  <c r="Q451" i="9"/>
  <c r="P451" i="9"/>
  <c r="O451" i="9"/>
  <c r="N451" i="9"/>
  <c r="M451" i="9"/>
  <c r="L451" i="9"/>
  <c r="K451" i="9"/>
  <c r="J451" i="9"/>
  <c r="I451" i="9"/>
  <c r="H451" i="9"/>
  <c r="G451" i="9"/>
  <c r="F451" i="9"/>
  <c r="AC450" i="9"/>
  <c r="AB450" i="9"/>
  <c r="AA450" i="9"/>
  <c r="Z450" i="9"/>
  <c r="Y450" i="9"/>
  <c r="X450" i="9"/>
  <c r="W450" i="9"/>
  <c r="V450" i="9"/>
  <c r="U450" i="9"/>
  <c r="T450" i="9"/>
  <c r="S450" i="9"/>
  <c r="R450" i="9"/>
  <c r="Q450" i="9"/>
  <c r="P450" i="9"/>
  <c r="O450" i="9"/>
  <c r="N450" i="9"/>
  <c r="M450" i="9"/>
  <c r="L450" i="9"/>
  <c r="K450" i="9"/>
  <c r="J450" i="9"/>
  <c r="I450" i="9"/>
  <c r="H450" i="9"/>
  <c r="G450" i="9"/>
  <c r="F450" i="9"/>
  <c r="AC449" i="9"/>
  <c r="AB449" i="9"/>
  <c r="AA449" i="9"/>
  <c r="Z449" i="9"/>
  <c r="Y449" i="9"/>
  <c r="X449" i="9"/>
  <c r="W449" i="9"/>
  <c r="V449" i="9"/>
  <c r="U449" i="9"/>
  <c r="T449" i="9"/>
  <c r="S449" i="9"/>
  <c r="R449" i="9"/>
  <c r="Q449" i="9"/>
  <c r="P449" i="9"/>
  <c r="O449" i="9"/>
  <c r="N449" i="9"/>
  <c r="M449" i="9"/>
  <c r="L449" i="9"/>
  <c r="K449" i="9"/>
  <c r="J449" i="9"/>
  <c r="I449" i="9"/>
  <c r="H449" i="9"/>
  <c r="G449" i="9"/>
  <c r="F449" i="9"/>
  <c r="AC448" i="9"/>
  <c r="AB448" i="9"/>
  <c r="AA448" i="9"/>
  <c r="Z448" i="9"/>
  <c r="Y448" i="9"/>
  <c r="X448" i="9"/>
  <c r="W448" i="9"/>
  <c r="V448" i="9"/>
  <c r="U448" i="9"/>
  <c r="T448" i="9"/>
  <c r="S448" i="9"/>
  <c r="R448" i="9"/>
  <c r="Q448" i="9"/>
  <c r="P448" i="9"/>
  <c r="O448" i="9"/>
  <c r="N448" i="9"/>
  <c r="M448" i="9"/>
  <c r="L448" i="9"/>
  <c r="K448" i="9"/>
  <c r="J448" i="9"/>
  <c r="I448" i="9"/>
  <c r="H448" i="9"/>
  <c r="G448" i="9"/>
  <c r="F448" i="9"/>
  <c r="AC447" i="9"/>
  <c r="AB447" i="9"/>
  <c r="AA447" i="9"/>
  <c r="Z447" i="9"/>
  <c r="Y447" i="9"/>
  <c r="X447" i="9"/>
  <c r="W447" i="9"/>
  <c r="V447" i="9"/>
  <c r="U447" i="9"/>
  <c r="T447" i="9"/>
  <c r="S447" i="9"/>
  <c r="R447" i="9"/>
  <c r="Q447" i="9"/>
  <c r="P447" i="9"/>
  <c r="O447" i="9"/>
  <c r="N447" i="9"/>
  <c r="M447" i="9"/>
  <c r="L447" i="9"/>
  <c r="K447" i="9"/>
  <c r="J447" i="9"/>
  <c r="I447" i="9"/>
  <c r="H447" i="9"/>
  <c r="G447" i="9"/>
  <c r="F447" i="9"/>
  <c r="AC446" i="9"/>
  <c r="AB446" i="9"/>
  <c r="AA446" i="9"/>
  <c r="Z446" i="9"/>
  <c r="Y446" i="9"/>
  <c r="X446" i="9"/>
  <c r="W446" i="9"/>
  <c r="V446" i="9"/>
  <c r="U446" i="9"/>
  <c r="T446" i="9"/>
  <c r="S446" i="9"/>
  <c r="R446" i="9"/>
  <c r="Q446" i="9"/>
  <c r="P446" i="9"/>
  <c r="O446" i="9"/>
  <c r="N446" i="9"/>
  <c r="M446" i="9"/>
  <c r="L446" i="9"/>
  <c r="K446" i="9"/>
  <c r="J446" i="9"/>
  <c r="I446" i="9"/>
  <c r="H446" i="9"/>
  <c r="G446" i="9"/>
  <c r="F446" i="9"/>
  <c r="AC445" i="9"/>
  <c r="AB445" i="9"/>
  <c r="AA445" i="9"/>
  <c r="Z445" i="9"/>
  <c r="Y445" i="9"/>
  <c r="X445" i="9"/>
  <c r="W445" i="9"/>
  <c r="V445" i="9"/>
  <c r="U445" i="9"/>
  <c r="T445" i="9"/>
  <c r="S445" i="9"/>
  <c r="R445" i="9"/>
  <c r="Q445" i="9"/>
  <c r="P445" i="9"/>
  <c r="O445" i="9"/>
  <c r="N445" i="9"/>
  <c r="M445" i="9"/>
  <c r="L445" i="9"/>
  <c r="K445" i="9"/>
  <c r="J445" i="9"/>
  <c r="I445" i="9"/>
  <c r="H445" i="9"/>
  <c r="G445" i="9"/>
  <c r="F445" i="9"/>
  <c r="AC444" i="9"/>
  <c r="AB444" i="9"/>
  <c r="AA444" i="9"/>
  <c r="Z444" i="9"/>
  <c r="Y444" i="9"/>
  <c r="X444" i="9"/>
  <c r="W444" i="9"/>
  <c r="V444" i="9"/>
  <c r="U444" i="9"/>
  <c r="T444" i="9"/>
  <c r="S444" i="9"/>
  <c r="R444" i="9"/>
  <c r="Q444" i="9"/>
  <c r="P444" i="9"/>
  <c r="O444" i="9"/>
  <c r="N444" i="9"/>
  <c r="M444" i="9"/>
  <c r="L444" i="9"/>
  <c r="K444" i="9"/>
  <c r="J444" i="9"/>
  <c r="I444" i="9"/>
  <c r="H444" i="9"/>
  <c r="G444" i="9"/>
  <c r="F444" i="9"/>
  <c r="AC443" i="9"/>
  <c r="AB443" i="9"/>
  <c r="AA443" i="9"/>
  <c r="Z443" i="9"/>
  <c r="Y443" i="9"/>
  <c r="X443" i="9"/>
  <c r="W443" i="9"/>
  <c r="V443" i="9"/>
  <c r="U443" i="9"/>
  <c r="T443" i="9"/>
  <c r="S443" i="9"/>
  <c r="R443" i="9"/>
  <c r="Q443" i="9"/>
  <c r="P443" i="9"/>
  <c r="O443" i="9"/>
  <c r="N443" i="9"/>
  <c r="M443" i="9"/>
  <c r="L443" i="9"/>
  <c r="K443" i="9"/>
  <c r="J443" i="9"/>
  <c r="I443" i="9"/>
  <c r="H443" i="9"/>
  <c r="G443" i="9"/>
  <c r="F443" i="9"/>
  <c r="AC442" i="9"/>
  <c r="AB442" i="9"/>
  <c r="AA442" i="9"/>
  <c r="Z442" i="9"/>
  <c r="Y442" i="9"/>
  <c r="X442" i="9"/>
  <c r="W442" i="9"/>
  <c r="V442" i="9"/>
  <c r="U442" i="9"/>
  <c r="T442" i="9"/>
  <c r="S442" i="9"/>
  <c r="R442" i="9"/>
  <c r="Q442" i="9"/>
  <c r="P442" i="9"/>
  <c r="O442" i="9"/>
  <c r="N442" i="9"/>
  <c r="M442" i="9"/>
  <c r="L442" i="9"/>
  <c r="K442" i="9"/>
  <c r="J442" i="9"/>
  <c r="I442" i="9"/>
  <c r="H442" i="9"/>
  <c r="G442" i="9"/>
  <c r="F442" i="9"/>
  <c r="AC441" i="9"/>
  <c r="AB441" i="9"/>
  <c r="AA441" i="9"/>
  <c r="Z441" i="9"/>
  <c r="Y441" i="9"/>
  <c r="X441" i="9"/>
  <c r="W441" i="9"/>
  <c r="V441" i="9"/>
  <c r="U441" i="9"/>
  <c r="T441" i="9"/>
  <c r="S441" i="9"/>
  <c r="R441" i="9"/>
  <c r="Q441" i="9"/>
  <c r="P441" i="9"/>
  <c r="O441" i="9"/>
  <c r="N441" i="9"/>
  <c r="M441" i="9"/>
  <c r="L441" i="9"/>
  <c r="K441" i="9"/>
  <c r="J441" i="9"/>
  <c r="I441" i="9"/>
  <c r="H441" i="9"/>
  <c r="G441" i="9"/>
  <c r="F441" i="9"/>
  <c r="AC440" i="9"/>
  <c r="AB440" i="9"/>
  <c r="AA440" i="9"/>
  <c r="Z440" i="9"/>
  <c r="Y440" i="9"/>
  <c r="X440" i="9"/>
  <c r="W440" i="9"/>
  <c r="V440" i="9"/>
  <c r="U440" i="9"/>
  <c r="T440" i="9"/>
  <c r="S440" i="9"/>
  <c r="R440" i="9"/>
  <c r="Q440" i="9"/>
  <c r="P440" i="9"/>
  <c r="O440" i="9"/>
  <c r="N440" i="9"/>
  <c r="M440" i="9"/>
  <c r="L440" i="9"/>
  <c r="K440" i="9"/>
  <c r="J440" i="9"/>
  <c r="I440" i="9"/>
  <c r="H440" i="9"/>
  <c r="G440" i="9"/>
  <c r="F440" i="9"/>
  <c r="AC439" i="9"/>
  <c r="AB439" i="9"/>
  <c r="AA439" i="9"/>
  <c r="Z439" i="9"/>
  <c r="Y439" i="9"/>
  <c r="X439" i="9"/>
  <c r="W439" i="9"/>
  <c r="V439" i="9"/>
  <c r="U439" i="9"/>
  <c r="T439" i="9"/>
  <c r="S439" i="9"/>
  <c r="R439" i="9"/>
  <c r="Q439" i="9"/>
  <c r="P439" i="9"/>
  <c r="O439" i="9"/>
  <c r="N439" i="9"/>
  <c r="M439" i="9"/>
  <c r="L439" i="9"/>
  <c r="K439" i="9"/>
  <c r="J439" i="9"/>
  <c r="I439" i="9"/>
  <c r="H439" i="9"/>
  <c r="G439" i="9"/>
  <c r="F439" i="9"/>
  <c r="AC438" i="9"/>
  <c r="AB438" i="9"/>
  <c r="AA438" i="9"/>
  <c r="Z438" i="9"/>
  <c r="Y438" i="9"/>
  <c r="X438" i="9"/>
  <c r="W438" i="9"/>
  <c r="V438" i="9"/>
  <c r="U438" i="9"/>
  <c r="T438" i="9"/>
  <c r="S438" i="9"/>
  <c r="R438" i="9"/>
  <c r="Q438" i="9"/>
  <c r="P438" i="9"/>
  <c r="O438" i="9"/>
  <c r="N438" i="9"/>
  <c r="M438" i="9"/>
  <c r="L438" i="9"/>
  <c r="K438" i="9"/>
  <c r="J438" i="9"/>
  <c r="I438" i="9"/>
  <c r="H438" i="9"/>
  <c r="G438" i="9"/>
  <c r="F438" i="9"/>
  <c r="AC437" i="9"/>
  <c r="AB437" i="9"/>
  <c r="AA437" i="9"/>
  <c r="Z437" i="9"/>
  <c r="Y437" i="9"/>
  <c r="X437" i="9"/>
  <c r="W437" i="9"/>
  <c r="V437" i="9"/>
  <c r="U437" i="9"/>
  <c r="T437" i="9"/>
  <c r="S437" i="9"/>
  <c r="R437" i="9"/>
  <c r="Q437" i="9"/>
  <c r="P437" i="9"/>
  <c r="O437" i="9"/>
  <c r="N437" i="9"/>
  <c r="M437" i="9"/>
  <c r="L437" i="9"/>
  <c r="K437" i="9"/>
  <c r="J437" i="9"/>
  <c r="I437" i="9"/>
  <c r="H437" i="9"/>
  <c r="G437" i="9"/>
  <c r="F437" i="9"/>
  <c r="AC436" i="9"/>
  <c r="AB436" i="9"/>
  <c r="AA436" i="9"/>
  <c r="Z436" i="9"/>
  <c r="Y436" i="9"/>
  <c r="X436" i="9"/>
  <c r="W436" i="9"/>
  <c r="V436" i="9"/>
  <c r="U436" i="9"/>
  <c r="T436" i="9"/>
  <c r="S436" i="9"/>
  <c r="R436" i="9"/>
  <c r="Q436" i="9"/>
  <c r="P436" i="9"/>
  <c r="O436" i="9"/>
  <c r="N436" i="9"/>
  <c r="M436" i="9"/>
  <c r="L436" i="9"/>
  <c r="K436" i="9"/>
  <c r="J436" i="9"/>
  <c r="I436" i="9"/>
  <c r="H436" i="9"/>
  <c r="G436" i="9"/>
  <c r="F436" i="9"/>
  <c r="AC435" i="9"/>
  <c r="AB435" i="9"/>
  <c r="AA435" i="9"/>
  <c r="Z435" i="9"/>
  <c r="Y435" i="9"/>
  <c r="X435" i="9"/>
  <c r="W435" i="9"/>
  <c r="V435" i="9"/>
  <c r="U435" i="9"/>
  <c r="T435" i="9"/>
  <c r="S435" i="9"/>
  <c r="R435" i="9"/>
  <c r="Q435" i="9"/>
  <c r="P435" i="9"/>
  <c r="O435" i="9"/>
  <c r="N435" i="9"/>
  <c r="M435" i="9"/>
  <c r="L435" i="9"/>
  <c r="K435" i="9"/>
  <c r="J435" i="9"/>
  <c r="I435" i="9"/>
  <c r="H435" i="9"/>
  <c r="G435" i="9"/>
  <c r="F435" i="9"/>
  <c r="AC434" i="9"/>
  <c r="AB434" i="9"/>
  <c r="AA434" i="9"/>
  <c r="Z434" i="9"/>
  <c r="Y434" i="9"/>
  <c r="X434" i="9"/>
  <c r="W434" i="9"/>
  <c r="V434" i="9"/>
  <c r="U434" i="9"/>
  <c r="T434" i="9"/>
  <c r="S434" i="9"/>
  <c r="R434" i="9"/>
  <c r="Q434" i="9"/>
  <c r="P434" i="9"/>
  <c r="O434" i="9"/>
  <c r="N434" i="9"/>
  <c r="M434" i="9"/>
  <c r="L434" i="9"/>
  <c r="K434" i="9"/>
  <c r="J434" i="9"/>
  <c r="I434" i="9"/>
  <c r="H434" i="9"/>
  <c r="G434" i="9"/>
  <c r="F434" i="9"/>
  <c r="AC433" i="9"/>
  <c r="AB433" i="9"/>
  <c r="AA433" i="9"/>
  <c r="Z433" i="9"/>
  <c r="Y433" i="9"/>
  <c r="X433" i="9"/>
  <c r="W433" i="9"/>
  <c r="V433" i="9"/>
  <c r="U433" i="9"/>
  <c r="T433" i="9"/>
  <c r="S433" i="9"/>
  <c r="R433" i="9"/>
  <c r="Q433" i="9"/>
  <c r="P433" i="9"/>
  <c r="O433" i="9"/>
  <c r="N433" i="9"/>
  <c r="M433" i="9"/>
  <c r="L433" i="9"/>
  <c r="K433" i="9"/>
  <c r="J433" i="9"/>
  <c r="I433" i="9"/>
  <c r="H433" i="9"/>
  <c r="G433" i="9"/>
  <c r="F433" i="9"/>
  <c r="AC432" i="9"/>
  <c r="AB432" i="9"/>
  <c r="AA432" i="9"/>
  <c r="Z432" i="9"/>
  <c r="Y432" i="9"/>
  <c r="X432" i="9"/>
  <c r="W432" i="9"/>
  <c r="V432" i="9"/>
  <c r="U432" i="9"/>
  <c r="T432" i="9"/>
  <c r="S432" i="9"/>
  <c r="R432" i="9"/>
  <c r="Q432" i="9"/>
  <c r="P432" i="9"/>
  <c r="O432" i="9"/>
  <c r="N432" i="9"/>
  <c r="M432" i="9"/>
  <c r="L432" i="9"/>
  <c r="K432" i="9"/>
  <c r="J432" i="9"/>
  <c r="I432" i="9"/>
  <c r="H432" i="9"/>
  <c r="G432" i="9"/>
  <c r="F432" i="9"/>
  <c r="AC431" i="9"/>
  <c r="AB431" i="9"/>
  <c r="AA431" i="9"/>
  <c r="Z431" i="9"/>
  <c r="Y431" i="9"/>
  <c r="X431" i="9"/>
  <c r="W431" i="9"/>
  <c r="V431" i="9"/>
  <c r="U431" i="9"/>
  <c r="T431" i="9"/>
  <c r="S431" i="9"/>
  <c r="R431" i="9"/>
  <c r="Q431" i="9"/>
  <c r="P431" i="9"/>
  <c r="O431" i="9"/>
  <c r="N431" i="9"/>
  <c r="M431" i="9"/>
  <c r="L431" i="9"/>
  <c r="K431" i="9"/>
  <c r="J431" i="9"/>
  <c r="I431" i="9"/>
  <c r="H431" i="9"/>
  <c r="G431" i="9"/>
  <c r="F431" i="9"/>
  <c r="AC430" i="9"/>
  <c r="AB430" i="9"/>
  <c r="AA430" i="9"/>
  <c r="Z430" i="9"/>
  <c r="Y430" i="9"/>
  <c r="X430" i="9"/>
  <c r="W430" i="9"/>
  <c r="V430" i="9"/>
  <c r="U430" i="9"/>
  <c r="T430" i="9"/>
  <c r="S430" i="9"/>
  <c r="R430" i="9"/>
  <c r="Q430" i="9"/>
  <c r="P430" i="9"/>
  <c r="O430" i="9"/>
  <c r="N430" i="9"/>
  <c r="M430" i="9"/>
  <c r="L430" i="9"/>
  <c r="K430" i="9"/>
  <c r="J430" i="9"/>
  <c r="I430" i="9"/>
  <c r="H430" i="9"/>
  <c r="G430" i="9"/>
  <c r="F430" i="9"/>
  <c r="AC429" i="9"/>
  <c r="AB429" i="9"/>
  <c r="AA429" i="9"/>
  <c r="Z429" i="9"/>
  <c r="Y429" i="9"/>
  <c r="X429" i="9"/>
  <c r="W429" i="9"/>
  <c r="V429" i="9"/>
  <c r="U429" i="9"/>
  <c r="T429" i="9"/>
  <c r="S429" i="9"/>
  <c r="R429" i="9"/>
  <c r="Q429" i="9"/>
  <c r="P429" i="9"/>
  <c r="O429" i="9"/>
  <c r="N429" i="9"/>
  <c r="M429" i="9"/>
  <c r="L429" i="9"/>
  <c r="K429" i="9"/>
  <c r="J429" i="9"/>
  <c r="I429" i="9"/>
  <c r="H429" i="9"/>
  <c r="G429" i="9"/>
  <c r="F429" i="9"/>
  <c r="AC428" i="9"/>
  <c r="AB428" i="9"/>
  <c r="AA428" i="9"/>
  <c r="Z428" i="9"/>
  <c r="Y428" i="9"/>
  <c r="X428" i="9"/>
  <c r="W428" i="9"/>
  <c r="V428" i="9"/>
  <c r="U428" i="9"/>
  <c r="T428" i="9"/>
  <c r="S428" i="9"/>
  <c r="R428" i="9"/>
  <c r="Q428" i="9"/>
  <c r="P428" i="9"/>
  <c r="O428" i="9"/>
  <c r="N428" i="9"/>
  <c r="M428" i="9"/>
  <c r="L428" i="9"/>
  <c r="K428" i="9"/>
  <c r="J428" i="9"/>
  <c r="I428" i="9"/>
  <c r="H428" i="9"/>
  <c r="G428" i="9"/>
  <c r="F428" i="9"/>
  <c r="AC427" i="9"/>
  <c r="AB427" i="9"/>
  <c r="AA427" i="9"/>
  <c r="Z427" i="9"/>
  <c r="Y427" i="9"/>
  <c r="X427" i="9"/>
  <c r="W427" i="9"/>
  <c r="V427" i="9"/>
  <c r="U427" i="9"/>
  <c r="T427" i="9"/>
  <c r="S427" i="9"/>
  <c r="R427" i="9"/>
  <c r="Q427" i="9"/>
  <c r="P427" i="9"/>
  <c r="O427" i="9"/>
  <c r="N427" i="9"/>
  <c r="M427" i="9"/>
  <c r="L427" i="9"/>
  <c r="K427" i="9"/>
  <c r="J427" i="9"/>
  <c r="I427" i="9"/>
  <c r="H427" i="9"/>
  <c r="G427" i="9"/>
  <c r="F427" i="9"/>
  <c r="AC426" i="9"/>
  <c r="AB426" i="9"/>
  <c r="AA426" i="9"/>
  <c r="Z426" i="9"/>
  <c r="Y426" i="9"/>
  <c r="X426" i="9"/>
  <c r="W426" i="9"/>
  <c r="V426" i="9"/>
  <c r="U426" i="9"/>
  <c r="T426" i="9"/>
  <c r="S426" i="9"/>
  <c r="R426" i="9"/>
  <c r="Q426" i="9"/>
  <c r="P426" i="9"/>
  <c r="O426" i="9"/>
  <c r="N426" i="9"/>
  <c r="M426" i="9"/>
  <c r="L426" i="9"/>
  <c r="K426" i="9"/>
  <c r="J426" i="9"/>
  <c r="I426" i="9"/>
  <c r="H426" i="9"/>
  <c r="G426" i="9"/>
  <c r="F426" i="9"/>
  <c r="AC425" i="9"/>
  <c r="AB425" i="9"/>
  <c r="AA425" i="9"/>
  <c r="Z425" i="9"/>
  <c r="Y425" i="9"/>
  <c r="X425" i="9"/>
  <c r="W425" i="9"/>
  <c r="V425" i="9"/>
  <c r="U425" i="9"/>
  <c r="T425" i="9"/>
  <c r="S425" i="9"/>
  <c r="R425" i="9"/>
  <c r="Q425" i="9"/>
  <c r="P425" i="9"/>
  <c r="O425" i="9"/>
  <c r="N425" i="9"/>
  <c r="M425" i="9"/>
  <c r="L425" i="9"/>
  <c r="K425" i="9"/>
  <c r="J425" i="9"/>
  <c r="I425" i="9"/>
  <c r="H425" i="9"/>
  <c r="G425" i="9"/>
  <c r="F425" i="9"/>
  <c r="AC424" i="9"/>
  <c r="AB424" i="9"/>
  <c r="AA424" i="9"/>
  <c r="Z424" i="9"/>
  <c r="Y424" i="9"/>
  <c r="X424" i="9"/>
  <c r="W424" i="9"/>
  <c r="V424" i="9"/>
  <c r="U424" i="9"/>
  <c r="T424" i="9"/>
  <c r="S424" i="9"/>
  <c r="R424" i="9"/>
  <c r="Q424" i="9"/>
  <c r="P424" i="9"/>
  <c r="O424" i="9"/>
  <c r="N424" i="9"/>
  <c r="M424" i="9"/>
  <c r="L424" i="9"/>
  <c r="K424" i="9"/>
  <c r="J424" i="9"/>
  <c r="I424" i="9"/>
  <c r="H424" i="9"/>
  <c r="G424" i="9"/>
  <c r="F424" i="9"/>
  <c r="AC423" i="9"/>
  <c r="AB423" i="9"/>
  <c r="AA423" i="9"/>
  <c r="Z423" i="9"/>
  <c r="Y423" i="9"/>
  <c r="X423" i="9"/>
  <c r="W423" i="9"/>
  <c r="V423" i="9"/>
  <c r="U423" i="9"/>
  <c r="T423" i="9"/>
  <c r="S423" i="9"/>
  <c r="R423" i="9"/>
  <c r="Q423" i="9"/>
  <c r="P423" i="9"/>
  <c r="O423" i="9"/>
  <c r="N423" i="9"/>
  <c r="M423" i="9"/>
  <c r="L423" i="9"/>
  <c r="K423" i="9"/>
  <c r="J423" i="9"/>
  <c r="I423" i="9"/>
  <c r="H423" i="9"/>
  <c r="G423" i="9"/>
  <c r="F423" i="9"/>
  <c r="AC422" i="9"/>
  <c r="AB422" i="9"/>
  <c r="AA422" i="9"/>
  <c r="Z422" i="9"/>
  <c r="Y422" i="9"/>
  <c r="X422" i="9"/>
  <c r="W422" i="9"/>
  <c r="V422" i="9"/>
  <c r="U422" i="9"/>
  <c r="T422" i="9"/>
  <c r="S422" i="9"/>
  <c r="R422" i="9"/>
  <c r="Q422" i="9"/>
  <c r="P422" i="9"/>
  <c r="O422" i="9"/>
  <c r="N422" i="9"/>
  <c r="M422" i="9"/>
  <c r="L422" i="9"/>
  <c r="K422" i="9"/>
  <c r="J422" i="9"/>
  <c r="I422" i="9"/>
  <c r="H422" i="9"/>
  <c r="G422" i="9"/>
  <c r="F422" i="9"/>
  <c r="AC421" i="9"/>
  <c r="AB421" i="9"/>
  <c r="AA421" i="9"/>
  <c r="Z421" i="9"/>
  <c r="Y421" i="9"/>
  <c r="X421" i="9"/>
  <c r="W421" i="9"/>
  <c r="V421" i="9"/>
  <c r="U421" i="9"/>
  <c r="T421" i="9"/>
  <c r="S421" i="9"/>
  <c r="R421" i="9"/>
  <c r="Q421" i="9"/>
  <c r="P421" i="9"/>
  <c r="O421" i="9"/>
  <c r="N421" i="9"/>
  <c r="M421" i="9"/>
  <c r="L421" i="9"/>
  <c r="K421" i="9"/>
  <c r="J421" i="9"/>
  <c r="I421" i="9"/>
  <c r="H421" i="9"/>
  <c r="G421" i="9"/>
  <c r="F421" i="9"/>
  <c r="AC420" i="9"/>
  <c r="AB420" i="9"/>
  <c r="AA420" i="9"/>
  <c r="Z420" i="9"/>
  <c r="Y420" i="9"/>
  <c r="X420" i="9"/>
  <c r="W420" i="9"/>
  <c r="V420" i="9"/>
  <c r="U420" i="9"/>
  <c r="T420" i="9"/>
  <c r="S420" i="9"/>
  <c r="R420" i="9"/>
  <c r="Q420" i="9"/>
  <c r="P420" i="9"/>
  <c r="O420" i="9"/>
  <c r="N420" i="9"/>
  <c r="M420" i="9"/>
  <c r="L420" i="9"/>
  <c r="K420" i="9"/>
  <c r="J420" i="9"/>
  <c r="I420" i="9"/>
  <c r="H420" i="9"/>
  <c r="G420" i="9"/>
  <c r="F420" i="9"/>
  <c r="AC419" i="9"/>
  <c r="AB419" i="9"/>
  <c r="AA419" i="9"/>
  <c r="Z419" i="9"/>
  <c r="Y419" i="9"/>
  <c r="X419" i="9"/>
  <c r="W419" i="9"/>
  <c r="V419" i="9"/>
  <c r="U419" i="9"/>
  <c r="T419" i="9"/>
  <c r="S419" i="9"/>
  <c r="R419" i="9"/>
  <c r="Q419" i="9"/>
  <c r="P419" i="9"/>
  <c r="O419" i="9"/>
  <c r="N419" i="9"/>
  <c r="M419" i="9"/>
  <c r="L419" i="9"/>
  <c r="K419" i="9"/>
  <c r="J419" i="9"/>
  <c r="I419" i="9"/>
  <c r="H419" i="9"/>
  <c r="G419" i="9"/>
  <c r="F419" i="9"/>
  <c r="AC418" i="9"/>
  <c r="AB418" i="9"/>
  <c r="AA418" i="9"/>
  <c r="Z418" i="9"/>
  <c r="Y418" i="9"/>
  <c r="X418" i="9"/>
  <c r="W418" i="9"/>
  <c r="V418" i="9"/>
  <c r="U418" i="9"/>
  <c r="T418" i="9"/>
  <c r="S418" i="9"/>
  <c r="R418" i="9"/>
  <c r="Q418" i="9"/>
  <c r="P418" i="9"/>
  <c r="O418" i="9"/>
  <c r="N418" i="9"/>
  <c r="M418" i="9"/>
  <c r="L418" i="9"/>
  <c r="K418" i="9"/>
  <c r="J418" i="9"/>
  <c r="I418" i="9"/>
  <c r="H418" i="9"/>
  <c r="G418" i="9"/>
  <c r="F418" i="9"/>
  <c r="AC417" i="9"/>
  <c r="AB417" i="9"/>
  <c r="AA417" i="9"/>
  <c r="Z417" i="9"/>
  <c r="Y417" i="9"/>
  <c r="X417" i="9"/>
  <c r="W417" i="9"/>
  <c r="V417" i="9"/>
  <c r="U417" i="9"/>
  <c r="T417" i="9"/>
  <c r="S417" i="9"/>
  <c r="R417" i="9"/>
  <c r="Q417" i="9"/>
  <c r="P417" i="9"/>
  <c r="O417" i="9"/>
  <c r="N417" i="9"/>
  <c r="M417" i="9"/>
  <c r="L417" i="9"/>
  <c r="K417" i="9"/>
  <c r="J417" i="9"/>
  <c r="I417" i="9"/>
  <c r="H417" i="9"/>
  <c r="G417" i="9"/>
  <c r="F417" i="9"/>
  <c r="AC416" i="9"/>
  <c r="AB416" i="9"/>
  <c r="AA416" i="9"/>
  <c r="Z416" i="9"/>
  <c r="Y416" i="9"/>
  <c r="X416" i="9"/>
  <c r="W416" i="9"/>
  <c r="V416" i="9"/>
  <c r="U416" i="9"/>
  <c r="T416" i="9"/>
  <c r="S416" i="9"/>
  <c r="R416" i="9"/>
  <c r="Q416" i="9"/>
  <c r="P416" i="9"/>
  <c r="O416" i="9"/>
  <c r="N416" i="9"/>
  <c r="M416" i="9"/>
  <c r="L416" i="9"/>
  <c r="K416" i="9"/>
  <c r="J416" i="9"/>
  <c r="I416" i="9"/>
  <c r="H416" i="9"/>
  <c r="G416" i="9"/>
  <c r="F416" i="9"/>
  <c r="AC415" i="9"/>
  <c r="AB415" i="9"/>
  <c r="AA415" i="9"/>
  <c r="Z415" i="9"/>
  <c r="Y415" i="9"/>
  <c r="X415" i="9"/>
  <c r="W415" i="9"/>
  <c r="V415" i="9"/>
  <c r="U415" i="9"/>
  <c r="T415" i="9"/>
  <c r="S415" i="9"/>
  <c r="R415" i="9"/>
  <c r="Q415" i="9"/>
  <c r="P415" i="9"/>
  <c r="O415" i="9"/>
  <c r="N415" i="9"/>
  <c r="M415" i="9"/>
  <c r="L415" i="9"/>
  <c r="K415" i="9"/>
  <c r="J415" i="9"/>
  <c r="I415" i="9"/>
  <c r="H415" i="9"/>
  <c r="G415" i="9"/>
  <c r="F415" i="9"/>
  <c r="AC414" i="9"/>
  <c r="AB414" i="9"/>
  <c r="AA414" i="9"/>
  <c r="Z414" i="9"/>
  <c r="Y414" i="9"/>
  <c r="X414" i="9"/>
  <c r="W414" i="9"/>
  <c r="V414" i="9"/>
  <c r="U414" i="9"/>
  <c r="T414" i="9"/>
  <c r="S414" i="9"/>
  <c r="R414" i="9"/>
  <c r="Q414" i="9"/>
  <c r="P414" i="9"/>
  <c r="O414" i="9"/>
  <c r="N414" i="9"/>
  <c r="M414" i="9"/>
  <c r="L414" i="9"/>
  <c r="K414" i="9"/>
  <c r="J414" i="9"/>
  <c r="I414" i="9"/>
  <c r="H414" i="9"/>
  <c r="G414" i="9"/>
  <c r="F414" i="9"/>
  <c r="AC413" i="9"/>
  <c r="AB413" i="9"/>
  <c r="AA413" i="9"/>
  <c r="Z413" i="9"/>
  <c r="Y413" i="9"/>
  <c r="X413" i="9"/>
  <c r="W413" i="9"/>
  <c r="V413" i="9"/>
  <c r="U413" i="9"/>
  <c r="T413" i="9"/>
  <c r="S413" i="9"/>
  <c r="R413" i="9"/>
  <c r="Q413" i="9"/>
  <c r="P413" i="9"/>
  <c r="O413" i="9"/>
  <c r="N413" i="9"/>
  <c r="M413" i="9"/>
  <c r="L413" i="9"/>
  <c r="K413" i="9"/>
  <c r="J413" i="9"/>
  <c r="I413" i="9"/>
  <c r="H413" i="9"/>
  <c r="G413" i="9"/>
  <c r="F413" i="9"/>
  <c r="AC412" i="9"/>
  <c r="AB412" i="9"/>
  <c r="AA412" i="9"/>
  <c r="Z412" i="9"/>
  <c r="Y412" i="9"/>
  <c r="X412" i="9"/>
  <c r="W412" i="9"/>
  <c r="V412" i="9"/>
  <c r="U412" i="9"/>
  <c r="T412" i="9"/>
  <c r="S412" i="9"/>
  <c r="R412" i="9"/>
  <c r="Q412" i="9"/>
  <c r="P412" i="9"/>
  <c r="O412" i="9"/>
  <c r="N412" i="9"/>
  <c r="M412" i="9"/>
  <c r="L412" i="9"/>
  <c r="K412" i="9"/>
  <c r="J412" i="9"/>
  <c r="I412" i="9"/>
  <c r="H412" i="9"/>
  <c r="G412" i="9"/>
  <c r="F412" i="9"/>
  <c r="AC411" i="9"/>
  <c r="AB411" i="9"/>
  <c r="AA411" i="9"/>
  <c r="Z411" i="9"/>
  <c r="Y411" i="9"/>
  <c r="X411" i="9"/>
  <c r="W411" i="9"/>
  <c r="V411" i="9"/>
  <c r="U411" i="9"/>
  <c r="T411" i="9"/>
  <c r="S411" i="9"/>
  <c r="R411" i="9"/>
  <c r="Q411" i="9"/>
  <c r="P411" i="9"/>
  <c r="O411" i="9"/>
  <c r="N411" i="9"/>
  <c r="M411" i="9"/>
  <c r="L411" i="9"/>
  <c r="K411" i="9"/>
  <c r="J411" i="9"/>
  <c r="I411" i="9"/>
  <c r="H411" i="9"/>
  <c r="G411" i="9"/>
  <c r="F411" i="9"/>
  <c r="AC410" i="9"/>
  <c r="AB410" i="9"/>
  <c r="AA410" i="9"/>
  <c r="Z410" i="9"/>
  <c r="Y410" i="9"/>
  <c r="X410" i="9"/>
  <c r="W410" i="9"/>
  <c r="V410" i="9"/>
  <c r="U410" i="9"/>
  <c r="T410" i="9"/>
  <c r="S410" i="9"/>
  <c r="R410" i="9"/>
  <c r="Q410" i="9"/>
  <c r="P410" i="9"/>
  <c r="O410" i="9"/>
  <c r="N410" i="9"/>
  <c r="M410" i="9"/>
  <c r="L410" i="9"/>
  <c r="K410" i="9"/>
  <c r="J410" i="9"/>
  <c r="I410" i="9"/>
  <c r="H410" i="9"/>
  <c r="G410" i="9"/>
  <c r="F410" i="9"/>
  <c r="AC409" i="9"/>
  <c r="AB409" i="9"/>
  <c r="AA409" i="9"/>
  <c r="Z409" i="9"/>
  <c r="Y409" i="9"/>
  <c r="X409" i="9"/>
  <c r="W409" i="9"/>
  <c r="V409" i="9"/>
  <c r="U409" i="9"/>
  <c r="T409" i="9"/>
  <c r="S409" i="9"/>
  <c r="R409" i="9"/>
  <c r="Q409" i="9"/>
  <c r="P409" i="9"/>
  <c r="O409" i="9"/>
  <c r="N409" i="9"/>
  <c r="M409" i="9"/>
  <c r="L409" i="9"/>
  <c r="K409" i="9"/>
  <c r="J409" i="9"/>
  <c r="I409" i="9"/>
  <c r="H409" i="9"/>
  <c r="G409" i="9"/>
  <c r="F409" i="9"/>
  <c r="AC408" i="9"/>
  <c r="AB408" i="9"/>
  <c r="AA408" i="9"/>
  <c r="Z408" i="9"/>
  <c r="Y408" i="9"/>
  <c r="X408" i="9"/>
  <c r="W408" i="9"/>
  <c r="V408" i="9"/>
  <c r="U408" i="9"/>
  <c r="T408" i="9"/>
  <c r="S408" i="9"/>
  <c r="R408" i="9"/>
  <c r="Q408" i="9"/>
  <c r="P408" i="9"/>
  <c r="O408" i="9"/>
  <c r="N408" i="9"/>
  <c r="M408" i="9"/>
  <c r="L408" i="9"/>
  <c r="K408" i="9"/>
  <c r="J408" i="9"/>
  <c r="I408" i="9"/>
  <c r="H408" i="9"/>
  <c r="G408" i="9"/>
  <c r="F408" i="9"/>
  <c r="AC407" i="9"/>
  <c r="AB407" i="9"/>
  <c r="AA407" i="9"/>
  <c r="Z407" i="9"/>
  <c r="Y407" i="9"/>
  <c r="X407" i="9"/>
  <c r="W407" i="9"/>
  <c r="V407" i="9"/>
  <c r="U407" i="9"/>
  <c r="T407" i="9"/>
  <c r="S407" i="9"/>
  <c r="R407" i="9"/>
  <c r="Q407" i="9"/>
  <c r="P407" i="9"/>
  <c r="O407" i="9"/>
  <c r="N407" i="9"/>
  <c r="M407" i="9"/>
  <c r="L407" i="9"/>
  <c r="K407" i="9"/>
  <c r="J407" i="9"/>
  <c r="I407" i="9"/>
  <c r="H407" i="9"/>
  <c r="G407" i="9"/>
  <c r="F407" i="9"/>
  <c r="AC406" i="9"/>
  <c r="AB406" i="9"/>
  <c r="AA406" i="9"/>
  <c r="Z406" i="9"/>
  <c r="Y406" i="9"/>
  <c r="X406" i="9"/>
  <c r="W406" i="9"/>
  <c r="V406" i="9"/>
  <c r="U406" i="9"/>
  <c r="T406" i="9"/>
  <c r="S406" i="9"/>
  <c r="R406" i="9"/>
  <c r="Q406" i="9"/>
  <c r="P406" i="9"/>
  <c r="O406" i="9"/>
  <c r="N406" i="9"/>
  <c r="M406" i="9"/>
  <c r="L406" i="9"/>
  <c r="K406" i="9"/>
  <c r="J406" i="9"/>
  <c r="I406" i="9"/>
  <c r="H406" i="9"/>
  <c r="G406" i="9"/>
  <c r="F406" i="9"/>
  <c r="AC405" i="9"/>
  <c r="AB405" i="9"/>
  <c r="AA405" i="9"/>
  <c r="Z405" i="9"/>
  <c r="Y405" i="9"/>
  <c r="X405" i="9"/>
  <c r="W405" i="9"/>
  <c r="V405" i="9"/>
  <c r="U405" i="9"/>
  <c r="T405" i="9"/>
  <c r="S405" i="9"/>
  <c r="R405" i="9"/>
  <c r="Q405" i="9"/>
  <c r="P405" i="9"/>
  <c r="O405" i="9"/>
  <c r="N405" i="9"/>
  <c r="M405" i="9"/>
  <c r="L405" i="9"/>
  <c r="K405" i="9"/>
  <c r="J405" i="9"/>
  <c r="I405" i="9"/>
  <c r="H405" i="9"/>
  <c r="G405" i="9"/>
  <c r="F405" i="9"/>
  <c r="AC404" i="9"/>
  <c r="AB404" i="9"/>
  <c r="AA404" i="9"/>
  <c r="Z404" i="9"/>
  <c r="Y404" i="9"/>
  <c r="X404" i="9"/>
  <c r="W404" i="9"/>
  <c r="V404" i="9"/>
  <c r="U404" i="9"/>
  <c r="T404" i="9"/>
  <c r="S404" i="9"/>
  <c r="R404" i="9"/>
  <c r="Q404" i="9"/>
  <c r="P404" i="9"/>
  <c r="O404" i="9"/>
  <c r="N404" i="9"/>
  <c r="M404" i="9"/>
  <c r="L404" i="9"/>
  <c r="K404" i="9"/>
  <c r="J404" i="9"/>
  <c r="I404" i="9"/>
  <c r="H404" i="9"/>
  <c r="G404" i="9"/>
  <c r="F404" i="9"/>
  <c r="AC403" i="9"/>
  <c r="AB403" i="9"/>
  <c r="AA403" i="9"/>
  <c r="Z403" i="9"/>
  <c r="Y403" i="9"/>
  <c r="X403" i="9"/>
  <c r="W403" i="9"/>
  <c r="V403" i="9"/>
  <c r="U403" i="9"/>
  <c r="T403" i="9"/>
  <c r="S403" i="9"/>
  <c r="R403" i="9"/>
  <c r="Q403" i="9"/>
  <c r="P403" i="9"/>
  <c r="O403" i="9"/>
  <c r="N403" i="9"/>
  <c r="M403" i="9"/>
  <c r="L403" i="9"/>
  <c r="K403" i="9"/>
  <c r="J403" i="9"/>
  <c r="I403" i="9"/>
  <c r="H403" i="9"/>
  <c r="G403" i="9"/>
  <c r="F403" i="9"/>
  <c r="AC402" i="9"/>
  <c r="AB402" i="9"/>
  <c r="AA402" i="9"/>
  <c r="Z402" i="9"/>
  <c r="Y402" i="9"/>
  <c r="X402" i="9"/>
  <c r="W402" i="9"/>
  <c r="V402" i="9"/>
  <c r="U402" i="9"/>
  <c r="T402" i="9"/>
  <c r="S402" i="9"/>
  <c r="R402" i="9"/>
  <c r="Q402" i="9"/>
  <c r="P402" i="9"/>
  <c r="O402" i="9"/>
  <c r="N402" i="9"/>
  <c r="M402" i="9"/>
  <c r="L402" i="9"/>
  <c r="K402" i="9"/>
  <c r="J402" i="9"/>
  <c r="I402" i="9"/>
  <c r="H402" i="9"/>
  <c r="G402" i="9"/>
  <c r="F402" i="9"/>
  <c r="AC401" i="9"/>
  <c r="AB401" i="9"/>
  <c r="AA401" i="9"/>
  <c r="Z401" i="9"/>
  <c r="Y401" i="9"/>
  <c r="X401" i="9"/>
  <c r="W401" i="9"/>
  <c r="V401" i="9"/>
  <c r="U401" i="9"/>
  <c r="T401" i="9"/>
  <c r="S401" i="9"/>
  <c r="R401" i="9"/>
  <c r="Q401" i="9"/>
  <c r="P401" i="9"/>
  <c r="O401" i="9"/>
  <c r="N401" i="9"/>
  <c r="M401" i="9"/>
  <c r="L401" i="9"/>
  <c r="K401" i="9"/>
  <c r="J401" i="9"/>
  <c r="I401" i="9"/>
  <c r="H401" i="9"/>
  <c r="G401" i="9"/>
  <c r="F401" i="9"/>
  <c r="AC400" i="9"/>
  <c r="AB400" i="9"/>
  <c r="AA400" i="9"/>
  <c r="Z400" i="9"/>
  <c r="Y400" i="9"/>
  <c r="X400" i="9"/>
  <c r="W400" i="9"/>
  <c r="V400" i="9"/>
  <c r="U400" i="9"/>
  <c r="T400" i="9"/>
  <c r="S400" i="9"/>
  <c r="R400" i="9"/>
  <c r="Q400" i="9"/>
  <c r="P400" i="9"/>
  <c r="O400" i="9"/>
  <c r="N400" i="9"/>
  <c r="M400" i="9"/>
  <c r="L400" i="9"/>
  <c r="K400" i="9"/>
  <c r="J400" i="9"/>
  <c r="I400" i="9"/>
  <c r="H400" i="9"/>
  <c r="G400" i="9"/>
  <c r="F400" i="9"/>
  <c r="AC399" i="9"/>
  <c r="AB399" i="9"/>
  <c r="AA399" i="9"/>
  <c r="Z399" i="9"/>
  <c r="Y399" i="9"/>
  <c r="X399" i="9"/>
  <c r="W399" i="9"/>
  <c r="V399" i="9"/>
  <c r="U399" i="9"/>
  <c r="T399" i="9"/>
  <c r="S399" i="9"/>
  <c r="R399" i="9"/>
  <c r="Q399" i="9"/>
  <c r="P399" i="9"/>
  <c r="O399" i="9"/>
  <c r="N399" i="9"/>
  <c r="M399" i="9"/>
  <c r="L399" i="9"/>
  <c r="K399" i="9"/>
  <c r="J399" i="9"/>
  <c r="I399" i="9"/>
  <c r="H399" i="9"/>
  <c r="G399" i="9"/>
  <c r="F399" i="9"/>
  <c r="AC398" i="9"/>
  <c r="AB398" i="9"/>
  <c r="AA398" i="9"/>
  <c r="Z398" i="9"/>
  <c r="Y398" i="9"/>
  <c r="X398" i="9"/>
  <c r="W398" i="9"/>
  <c r="V398" i="9"/>
  <c r="U398" i="9"/>
  <c r="T398" i="9"/>
  <c r="S398" i="9"/>
  <c r="R398" i="9"/>
  <c r="Q398" i="9"/>
  <c r="P398" i="9"/>
  <c r="O398" i="9"/>
  <c r="N398" i="9"/>
  <c r="M398" i="9"/>
  <c r="L398" i="9"/>
  <c r="K398" i="9"/>
  <c r="J398" i="9"/>
  <c r="I398" i="9"/>
  <c r="H398" i="9"/>
  <c r="G398" i="9"/>
  <c r="F398" i="9"/>
  <c r="AC397" i="9"/>
  <c r="AB397" i="9"/>
  <c r="AA397" i="9"/>
  <c r="Z397" i="9"/>
  <c r="Y397" i="9"/>
  <c r="X397" i="9"/>
  <c r="W397" i="9"/>
  <c r="V397" i="9"/>
  <c r="U397" i="9"/>
  <c r="T397" i="9"/>
  <c r="S397" i="9"/>
  <c r="R397" i="9"/>
  <c r="Q397" i="9"/>
  <c r="P397" i="9"/>
  <c r="O397" i="9"/>
  <c r="N397" i="9"/>
  <c r="M397" i="9"/>
  <c r="L397" i="9"/>
  <c r="K397" i="9"/>
  <c r="J397" i="9"/>
  <c r="I397" i="9"/>
  <c r="H397" i="9"/>
  <c r="G397" i="9"/>
  <c r="F397" i="9"/>
  <c r="AC396" i="9"/>
  <c r="AB396" i="9"/>
  <c r="AA396" i="9"/>
  <c r="Z396" i="9"/>
  <c r="Y396" i="9"/>
  <c r="X396" i="9"/>
  <c r="W396" i="9"/>
  <c r="V396" i="9"/>
  <c r="U396" i="9"/>
  <c r="T396" i="9"/>
  <c r="S396" i="9"/>
  <c r="R396" i="9"/>
  <c r="Q396" i="9"/>
  <c r="P396" i="9"/>
  <c r="O396" i="9"/>
  <c r="N396" i="9"/>
  <c r="M396" i="9"/>
  <c r="L396" i="9"/>
  <c r="K396" i="9"/>
  <c r="J396" i="9"/>
  <c r="I396" i="9"/>
  <c r="H396" i="9"/>
  <c r="G396" i="9"/>
  <c r="F396" i="9"/>
  <c r="AC395" i="9"/>
  <c r="AB395" i="9"/>
  <c r="AA395" i="9"/>
  <c r="Z395" i="9"/>
  <c r="Y395" i="9"/>
  <c r="X395" i="9"/>
  <c r="W395" i="9"/>
  <c r="V395" i="9"/>
  <c r="U395" i="9"/>
  <c r="T395" i="9"/>
  <c r="S395" i="9"/>
  <c r="R395" i="9"/>
  <c r="Q395" i="9"/>
  <c r="P395" i="9"/>
  <c r="O395" i="9"/>
  <c r="N395" i="9"/>
  <c r="M395" i="9"/>
  <c r="L395" i="9"/>
  <c r="K395" i="9"/>
  <c r="J395" i="9"/>
  <c r="I395" i="9"/>
  <c r="H395" i="9"/>
  <c r="G395" i="9"/>
  <c r="F395" i="9"/>
  <c r="AC394" i="9"/>
  <c r="AB394" i="9"/>
  <c r="AA394" i="9"/>
  <c r="Z394" i="9"/>
  <c r="Y394" i="9"/>
  <c r="X394" i="9"/>
  <c r="W394" i="9"/>
  <c r="V394" i="9"/>
  <c r="U394" i="9"/>
  <c r="T394" i="9"/>
  <c r="S394" i="9"/>
  <c r="R394" i="9"/>
  <c r="Q394" i="9"/>
  <c r="P394" i="9"/>
  <c r="O394" i="9"/>
  <c r="N394" i="9"/>
  <c r="M394" i="9"/>
  <c r="L394" i="9"/>
  <c r="K394" i="9"/>
  <c r="J394" i="9"/>
  <c r="I394" i="9"/>
  <c r="H394" i="9"/>
  <c r="G394" i="9"/>
  <c r="F394" i="9"/>
  <c r="AC393" i="9"/>
  <c r="AB393" i="9"/>
  <c r="AA393" i="9"/>
  <c r="Z393" i="9"/>
  <c r="Y393" i="9"/>
  <c r="X393" i="9"/>
  <c r="W393" i="9"/>
  <c r="V393" i="9"/>
  <c r="U393" i="9"/>
  <c r="T393" i="9"/>
  <c r="S393" i="9"/>
  <c r="R393" i="9"/>
  <c r="Q393" i="9"/>
  <c r="P393" i="9"/>
  <c r="O393" i="9"/>
  <c r="N393" i="9"/>
  <c r="M393" i="9"/>
  <c r="L393" i="9"/>
  <c r="K393" i="9"/>
  <c r="J393" i="9"/>
  <c r="I393" i="9"/>
  <c r="H393" i="9"/>
  <c r="G393" i="9"/>
  <c r="F393" i="9"/>
  <c r="AC392" i="9"/>
  <c r="AB392" i="9"/>
  <c r="AA392" i="9"/>
  <c r="Z392" i="9"/>
  <c r="Y392" i="9"/>
  <c r="X392" i="9"/>
  <c r="W392" i="9"/>
  <c r="V392" i="9"/>
  <c r="U392" i="9"/>
  <c r="T392" i="9"/>
  <c r="S392" i="9"/>
  <c r="R392" i="9"/>
  <c r="Q392" i="9"/>
  <c r="P392" i="9"/>
  <c r="O392" i="9"/>
  <c r="N392" i="9"/>
  <c r="M392" i="9"/>
  <c r="L392" i="9"/>
  <c r="K392" i="9"/>
  <c r="J392" i="9"/>
  <c r="I392" i="9"/>
  <c r="H392" i="9"/>
  <c r="G392" i="9"/>
  <c r="F392" i="9"/>
  <c r="AC391" i="9"/>
  <c r="AB391" i="9"/>
  <c r="AA391" i="9"/>
  <c r="Z391" i="9"/>
  <c r="Y391" i="9"/>
  <c r="X391" i="9"/>
  <c r="W391" i="9"/>
  <c r="V391" i="9"/>
  <c r="U391" i="9"/>
  <c r="T391" i="9"/>
  <c r="S391" i="9"/>
  <c r="R391" i="9"/>
  <c r="Q391" i="9"/>
  <c r="P391" i="9"/>
  <c r="O391" i="9"/>
  <c r="N391" i="9"/>
  <c r="M391" i="9"/>
  <c r="L391" i="9"/>
  <c r="K391" i="9"/>
  <c r="J391" i="9"/>
  <c r="I391" i="9"/>
  <c r="H391" i="9"/>
  <c r="G391" i="9"/>
  <c r="F391" i="9"/>
  <c r="AC390" i="9"/>
  <c r="AB390" i="9"/>
  <c r="AA390" i="9"/>
  <c r="Z390" i="9"/>
  <c r="Y390" i="9"/>
  <c r="X390" i="9"/>
  <c r="W390" i="9"/>
  <c r="V390" i="9"/>
  <c r="U390" i="9"/>
  <c r="T390" i="9"/>
  <c r="S390" i="9"/>
  <c r="R390" i="9"/>
  <c r="Q390" i="9"/>
  <c r="P390" i="9"/>
  <c r="O390" i="9"/>
  <c r="N390" i="9"/>
  <c r="M390" i="9"/>
  <c r="L390" i="9"/>
  <c r="K390" i="9"/>
  <c r="J390" i="9"/>
  <c r="I390" i="9"/>
  <c r="H390" i="9"/>
  <c r="G390" i="9"/>
  <c r="F390" i="9"/>
  <c r="AC389" i="9"/>
  <c r="AB389" i="9"/>
  <c r="AA389" i="9"/>
  <c r="Z389" i="9"/>
  <c r="Y389" i="9"/>
  <c r="X389" i="9"/>
  <c r="W389" i="9"/>
  <c r="V389" i="9"/>
  <c r="U389" i="9"/>
  <c r="T389" i="9"/>
  <c r="S389" i="9"/>
  <c r="R389" i="9"/>
  <c r="Q389" i="9"/>
  <c r="P389" i="9"/>
  <c r="O389" i="9"/>
  <c r="N389" i="9"/>
  <c r="M389" i="9"/>
  <c r="L389" i="9"/>
  <c r="K389" i="9"/>
  <c r="J389" i="9"/>
  <c r="I389" i="9"/>
  <c r="H389" i="9"/>
  <c r="G389" i="9"/>
  <c r="F389" i="9"/>
  <c r="AC388" i="9"/>
  <c r="AB388" i="9"/>
  <c r="AA388" i="9"/>
  <c r="Z388" i="9"/>
  <c r="Y388" i="9"/>
  <c r="X388" i="9"/>
  <c r="W388" i="9"/>
  <c r="V388" i="9"/>
  <c r="U388" i="9"/>
  <c r="T388" i="9"/>
  <c r="S388" i="9"/>
  <c r="R388" i="9"/>
  <c r="Q388" i="9"/>
  <c r="P388" i="9"/>
  <c r="O388" i="9"/>
  <c r="N388" i="9"/>
  <c r="M388" i="9"/>
  <c r="L388" i="9"/>
  <c r="K388" i="9"/>
  <c r="J388" i="9"/>
  <c r="I388" i="9"/>
  <c r="H388" i="9"/>
  <c r="G388" i="9"/>
  <c r="F388" i="9"/>
  <c r="AC387" i="9"/>
  <c r="AB387" i="9"/>
  <c r="AA387" i="9"/>
  <c r="Z387" i="9"/>
  <c r="Y387" i="9"/>
  <c r="X387" i="9"/>
  <c r="W387" i="9"/>
  <c r="V387" i="9"/>
  <c r="U387" i="9"/>
  <c r="T387" i="9"/>
  <c r="S387" i="9"/>
  <c r="R387" i="9"/>
  <c r="Q387" i="9"/>
  <c r="P387" i="9"/>
  <c r="O387" i="9"/>
  <c r="N387" i="9"/>
  <c r="M387" i="9"/>
  <c r="L387" i="9"/>
  <c r="K387" i="9"/>
  <c r="J387" i="9"/>
  <c r="I387" i="9"/>
  <c r="H387" i="9"/>
  <c r="G387" i="9"/>
  <c r="F387" i="9"/>
  <c r="AC386" i="9"/>
  <c r="AB386" i="9"/>
  <c r="AA386" i="9"/>
  <c r="Z386" i="9"/>
  <c r="Y386" i="9"/>
  <c r="X386" i="9"/>
  <c r="W386" i="9"/>
  <c r="V386" i="9"/>
  <c r="U386" i="9"/>
  <c r="T386" i="9"/>
  <c r="S386" i="9"/>
  <c r="R386" i="9"/>
  <c r="Q386" i="9"/>
  <c r="P386" i="9"/>
  <c r="O386" i="9"/>
  <c r="N386" i="9"/>
  <c r="M386" i="9"/>
  <c r="L386" i="9"/>
  <c r="K386" i="9"/>
  <c r="J386" i="9"/>
  <c r="I386" i="9"/>
  <c r="H386" i="9"/>
  <c r="G386" i="9"/>
  <c r="F386" i="9"/>
  <c r="AC385" i="9"/>
  <c r="AB385" i="9"/>
  <c r="AA385" i="9"/>
  <c r="Z385" i="9"/>
  <c r="Y385" i="9"/>
  <c r="X385" i="9"/>
  <c r="W385" i="9"/>
  <c r="V385" i="9"/>
  <c r="U385" i="9"/>
  <c r="T385" i="9"/>
  <c r="S385" i="9"/>
  <c r="R385" i="9"/>
  <c r="Q385" i="9"/>
  <c r="P385" i="9"/>
  <c r="O385" i="9"/>
  <c r="N385" i="9"/>
  <c r="M385" i="9"/>
  <c r="L385" i="9"/>
  <c r="K385" i="9"/>
  <c r="J385" i="9"/>
  <c r="I385" i="9"/>
  <c r="H385" i="9"/>
  <c r="G385" i="9"/>
  <c r="F385" i="9"/>
  <c r="AC384" i="9"/>
  <c r="AB384" i="9"/>
  <c r="AA384" i="9"/>
  <c r="Z384" i="9"/>
  <c r="Y384" i="9"/>
  <c r="X384" i="9"/>
  <c r="W384" i="9"/>
  <c r="V384" i="9"/>
  <c r="U384" i="9"/>
  <c r="T384" i="9"/>
  <c r="S384" i="9"/>
  <c r="R384" i="9"/>
  <c r="Q384" i="9"/>
  <c r="P384" i="9"/>
  <c r="O384" i="9"/>
  <c r="N384" i="9"/>
  <c r="M384" i="9"/>
  <c r="L384" i="9"/>
  <c r="K384" i="9"/>
  <c r="J384" i="9"/>
  <c r="I384" i="9"/>
  <c r="H384" i="9"/>
  <c r="G384" i="9"/>
  <c r="F384" i="9"/>
  <c r="AC383" i="9"/>
  <c r="AB383" i="9"/>
  <c r="AA383" i="9"/>
  <c r="Z383" i="9"/>
  <c r="Y383" i="9"/>
  <c r="X383" i="9"/>
  <c r="W383" i="9"/>
  <c r="V383" i="9"/>
  <c r="U383" i="9"/>
  <c r="T383" i="9"/>
  <c r="S383" i="9"/>
  <c r="R383" i="9"/>
  <c r="Q383" i="9"/>
  <c r="P383" i="9"/>
  <c r="O383" i="9"/>
  <c r="N383" i="9"/>
  <c r="M383" i="9"/>
  <c r="L383" i="9"/>
  <c r="K383" i="9"/>
  <c r="J383" i="9"/>
  <c r="I383" i="9"/>
  <c r="H383" i="9"/>
  <c r="G383" i="9"/>
  <c r="F383" i="9"/>
  <c r="AC382" i="9"/>
  <c r="AB382" i="9"/>
  <c r="AA382" i="9"/>
  <c r="Z382" i="9"/>
  <c r="Y382" i="9"/>
  <c r="X382" i="9"/>
  <c r="W382" i="9"/>
  <c r="V382" i="9"/>
  <c r="U382" i="9"/>
  <c r="T382" i="9"/>
  <c r="S382" i="9"/>
  <c r="R382" i="9"/>
  <c r="Q382" i="9"/>
  <c r="P382" i="9"/>
  <c r="O382" i="9"/>
  <c r="N382" i="9"/>
  <c r="M382" i="9"/>
  <c r="L382" i="9"/>
  <c r="K382" i="9"/>
  <c r="J382" i="9"/>
  <c r="I382" i="9"/>
  <c r="H382" i="9"/>
  <c r="G382" i="9"/>
  <c r="F382" i="9"/>
  <c r="AC381" i="9"/>
  <c r="AB381" i="9"/>
  <c r="AA381" i="9"/>
  <c r="Z381" i="9"/>
  <c r="Y381" i="9"/>
  <c r="X381" i="9"/>
  <c r="W381" i="9"/>
  <c r="V381" i="9"/>
  <c r="U381" i="9"/>
  <c r="T381" i="9"/>
  <c r="S381" i="9"/>
  <c r="R381" i="9"/>
  <c r="Q381" i="9"/>
  <c r="P381" i="9"/>
  <c r="O381" i="9"/>
  <c r="N381" i="9"/>
  <c r="M381" i="9"/>
  <c r="L381" i="9"/>
  <c r="K381" i="9"/>
  <c r="J381" i="9"/>
  <c r="I381" i="9"/>
  <c r="H381" i="9"/>
  <c r="G381" i="9"/>
  <c r="F381" i="9"/>
  <c r="AC380" i="9"/>
  <c r="AB380" i="9"/>
  <c r="AA380" i="9"/>
  <c r="Z380" i="9"/>
  <c r="Y380" i="9"/>
  <c r="X380" i="9"/>
  <c r="W380" i="9"/>
  <c r="V380" i="9"/>
  <c r="U380" i="9"/>
  <c r="T380" i="9"/>
  <c r="S380" i="9"/>
  <c r="R380" i="9"/>
  <c r="Q380" i="9"/>
  <c r="P380" i="9"/>
  <c r="O380" i="9"/>
  <c r="N380" i="9"/>
  <c r="M380" i="9"/>
  <c r="L380" i="9"/>
  <c r="K380" i="9"/>
  <c r="J380" i="9"/>
  <c r="I380" i="9"/>
  <c r="H380" i="9"/>
  <c r="G380" i="9"/>
  <c r="F380" i="9"/>
  <c r="AC379" i="9"/>
  <c r="AB379" i="9"/>
  <c r="AA379" i="9"/>
  <c r="Z379" i="9"/>
  <c r="Y379" i="9"/>
  <c r="X379" i="9"/>
  <c r="W379" i="9"/>
  <c r="V379" i="9"/>
  <c r="U379" i="9"/>
  <c r="T379" i="9"/>
  <c r="S379" i="9"/>
  <c r="R379" i="9"/>
  <c r="Q379" i="9"/>
  <c r="P379" i="9"/>
  <c r="O379" i="9"/>
  <c r="N379" i="9"/>
  <c r="M379" i="9"/>
  <c r="L379" i="9"/>
  <c r="K379" i="9"/>
  <c r="J379" i="9"/>
  <c r="I379" i="9"/>
  <c r="H379" i="9"/>
  <c r="G379" i="9"/>
  <c r="F379" i="9"/>
  <c r="AC378" i="9"/>
  <c r="AB378" i="9"/>
  <c r="AA378" i="9"/>
  <c r="Z378" i="9"/>
  <c r="Y378" i="9"/>
  <c r="X378" i="9"/>
  <c r="W378" i="9"/>
  <c r="V378" i="9"/>
  <c r="U378" i="9"/>
  <c r="T378" i="9"/>
  <c r="S378" i="9"/>
  <c r="R378" i="9"/>
  <c r="Q378" i="9"/>
  <c r="P378" i="9"/>
  <c r="O378" i="9"/>
  <c r="N378" i="9"/>
  <c r="M378" i="9"/>
  <c r="L378" i="9"/>
  <c r="K378" i="9"/>
  <c r="J378" i="9"/>
  <c r="I378" i="9"/>
  <c r="H378" i="9"/>
  <c r="G378" i="9"/>
  <c r="F378" i="9"/>
  <c r="AC377" i="9"/>
  <c r="AB377" i="9"/>
  <c r="AA377" i="9"/>
  <c r="Z377" i="9"/>
  <c r="Y377" i="9"/>
  <c r="X377" i="9"/>
  <c r="W377" i="9"/>
  <c r="V377" i="9"/>
  <c r="U377" i="9"/>
  <c r="T377" i="9"/>
  <c r="S377" i="9"/>
  <c r="R377" i="9"/>
  <c r="Q377" i="9"/>
  <c r="P377" i="9"/>
  <c r="O377" i="9"/>
  <c r="N377" i="9"/>
  <c r="M377" i="9"/>
  <c r="L377" i="9"/>
  <c r="K377" i="9"/>
  <c r="J377" i="9"/>
  <c r="I377" i="9"/>
  <c r="H377" i="9"/>
  <c r="G377" i="9"/>
  <c r="F377" i="9"/>
  <c r="AC376" i="9"/>
  <c r="AB376" i="9"/>
  <c r="AA376" i="9"/>
  <c r="Z376" i="9"/>
  <c r="Y376" i="9"/>
  <c r="X376" i="9"/>
  <c r="W376" i="9"/>
  <c r="V376" i="9"/>
  <c r="U376" i="9"/>
  <c r="T376" i="9"/>
  <c r="S376" i="9"/>
  <c r="R376" i="9"/>
  <c r="Q376" i="9"/>
  <c r="P376" i="9"/>
  <c r="O376" i="9"/>
  <c r="N376" i="9"/>
  <c r="M376" i="9"/>
  <c r="L376" i="9"/>
  <c r="K376" i="9"/>
  <c r="J376" i="9"/>
  <c r="I376" i="9"/>
  <c r="H376" i="9"/>
  <c r="G376" i="9"/>
  <c r="F376" i="9"/>
  <c r="AC375" i="9"/>
  <c r="AB375" i="9"/>
  <c r="AA375" i="9"/>
  <c r="Z375" i="9"/>
  <c r="Y375" i="9"/>
  <c r="X375" i="9"/>
  <c r="W375" i="9"/>
  <c r="V375" i="9"/>
  <c r="U375" i="9"/>
  <c r="T375" i="9"/>
  <c r="S375" i="9"/>
  <c r="R375" i="9"/>
  <c r="Q375" i="9"/>
  <c r="P375" i="9"/>
  <c r="O375" i="9"/>
  <c r="N375" i="9"/>
  <c r="M375" i="9"/>
  <c r="L375" i="9"/>
  <c r="K375" i="9"/>
  <c r="J375" i="9"/>
  <c r="I375" i="9"/>
  <c r="H375" i="9"/>
  <c r="G375" i="9"/>
  <c r="F375" i="9"/>
  <c r="AC374" i="9"/>
  <c r="AB374" i="9"/>
  <c r="AA374" i="9"/>
  <c r="Z374" i="9"/>
  <c r="Y374" i="9"/>
  <c r="X374" i="9"/>
  <c r="W374" i="9"/>
  <c r="V374" i="9"/>
  <c r="U374" i="9"/>
  <c r="T374" i="9"/>
  <c r="S374" i="9"/>
  <c r="R374" i="9"/>
  <c r="Q374" i="9"/>
  <c r="P374" i="9"/>
  <c r="O374" i="9"/>
  <c r="N374" i="9"/>
  <c r="M374" i="9"/>
  <c r="L374" i="9"/>
  <c r="K374" i="9"/>
  <c r="J374" i="9"/>
  <c r="I374" i="9"/>
  <c r="H374" i="9"/>
  <c r="G374" i="9"/>
  <c r="F374" i="9"/>
  <c r="AC373" i="9"/>
  <c r="AB373" i="9"/>
  <c r="AA373" i="9"/>
  <c r="Z373" i="9"/>
  <c r="Y373" i="9"/>
  <c r="X373" i="9"/>
  <c r="W373" i="9"/>
  <c r="V373" i="9"/>
  <c r="U373" i="9"/>
  <c r="T373" i="9"/>
  <c r="S373" i="9"/>
  <c r="R373" i="9"/>
  <c r="Q373" i="9"/>
  <c r="P373" i="9"/>
  <c r="O373" i="9"/>
  <c r="N373" i="9"/>
  <c r="M373" i="9"/>
  <c r="L373" i="9"/>
  <c r="K373" i="9"/>
  <c r="J373" i="9"/>
  <c r="I373" i="9"/>
  <c r="H373" i="9"/>
  <c r="G373" i="9"/>
  <c r="F373" i="9"/>
  <c r="AC372" i="9"/>
  <c r="AB372" i="9"/>
  <c r="AA372" i="9"/>
  <c r="Z372" i="9"/>
  <c r="Y372" i="9"/>
  <c r="X372" i="9"/>
  <c r="W372" i="9"/>
  <c r="V372" i="9"/>
  <c r="U372" i="9"/>
  <c r="T372" i="9"/>
  <c r="S372" i="9"/>
  <c r="R372" i="9"/>
  <c r="Q372" i="9"/>
  <c r="P372" i="9"/>
  <c r="O372" i="9"/>
  <c r="N372" i="9"/>
  <c r="M372" i="9"/>
  <c r="L372" i="9"/>
  <c r="K372" i="9"/>
  <c r="J372" i="9"/>
  <c r="I372" i="9"/>
  <c r="H372" i="9"/>
  <c r="G372" i="9"/>
  <c r="F372" i="9"/>
  <c r="AC371" i="9"/>
  <c r="AB371" i="9"/>
  <c r="AA371" i="9"/>
  <c r="Z371" i="9"/>
  <c r="Y371" i="9"/>
  <c r="X371" i="9"/>
  <c r="W371" i="9"/>
  <c r="V371" i="9"/>
  <c r="U371" i="9"/>
  <c r="T371" i="9"/>
  <c r="S371" i="9"/>
  <c r="R371" i="9"/>
  <c r="Q371" i="9"/>
  <c r="P371" i="9"/>
  <c r="O371" i="9"/>
  <c r="N371" i="9"/>
  <c r="M371" i="9"/>
  <c r="L371" i="9"/>
  <c r="K371" i="9"/>
  <c r="J371" i="9"/>
  <c r="I371" i="9"/>
  <c r="H371" i="9"/>
  <c r="G371" i="9"/>
  <c r="F371" i="9"/>
  <c r="AC370" i="9"/>
  <c r="AB370" i="9"/>
  <c r="AA370" i="9"/>
  <c r="Z370" i="9"/>
  <c r="Y370" i="9"/>
  <c r="X370" i="9"/>
  <c r="W370" i="9"/>
  <c r="V370" i="9"/>
  <c r="U370" i="9"/>
  <c r="T370" i="9"/>
  <c r="S370" i="9"/>
  <c r="R370" i="9"/>
  <c r="Q370" i="9"/>
  <c r="P370" i="9"/>
  <c r="O370" i="9"/>
  <c r="N370" i="9"/>
  <c r="M370" i="9"/>
  <c r="L370" i="9"/>
  <c r="K370" i="9"/>
  <c r="J370" i="9"/>
  <c r="I370" i="9"/>
  <c r="H370" i="9"/>
  <c r="G370" i="9"/>
  <c r="F370" i="9"/>
  <c r="AC369" i="9"/>
  <c r="AB369" i="9"/>
  <c r="AA369" i="9"/>
  <c r="Z369" i="9"/>
  <c r="Y369" i="9"/>
  <c r="X369" i="9"/>
  <c r="W369" i="9"/>
  <c r="V369" i="9"/>
  <c r="U369" i="9"/>
  <c r="T369" i="9"/>
  <c r="S369" i="9"/>
  <c r="R369" i="9"/>
  <c r="Q369" i="9"/>
  <c r="P369" i="9"/>
  <c r="O369" i="9"/>
  <c r="N369" i="9"/>
  <c r="M369" i="9"/>
  <c r="L369" i="9"/>
  <c r="K369" i="9"/>
  <c r="J369" i="9"/>
  <c r="I369" i="9"/>
  <c r="H369" i="9"/>
  <c r="G369" i="9"/>
  <c r="F369" i="9"/>
  <c r="AC368" i="9"/>
  <c r="AB368" i="9"/>
  <c r="AA368" i="9"/>
  <c r="Z368" i="9"/>
  <c r="Y368" i="9"/>
  <c r="X368" i="9"/>
  <c r="W368" i="9"/>
  <c r="V368" i="9"/>
  <c r="U368" i="9"/>
  <c r="T368" i="9"/>
  <c r="S368" i="9"/>
  <c r="R368" i="9"/>
  <c r="Q368" i="9"/>
  <c r="P368" i="9"/>
  <c r="O368" i="9"/>
  <c r="N368" i="9"/>
  <c r="M368" i="9"/>
  <c r="L368" i="9"/>
  <c r="K368" i="9"/>
  <c r="J368" i="9"/>
  <c r="I368" i="9"/>
  <c r="H368" i="9"/>
  <c r="G368" i="9"/>
  <c r="F368" i="9"/>
  <c r="AC367" i="9"/>
  <c r="AB367" i="9"/>
  <c r="AA367" i="9"/>
  <c r="Z367" i="9"/>
  <c r="Y367" i="9"/>
  <c r="X367" i="9"/>
  <c r="W367" i="9"/>
  <c r="V367" i="9"/>
  <c r="U367" i="9"/>
  <c r="T367" i="9"/>
  <c r="S367" i="9"/>
  <c r="R367" i="9"/>
  <c r="Q367" i="9"/>
  <c r="P367" i="9"/>
  <c r="O367" i="9"/>
  <c r="N367" i="9"/>
  <c r="M367" i="9"/>
  <c r="L367" i="9"/>
  <c r="K367" i="9"/>
  <c r="J367" i="9"/>
  <c r="I367" i="9"/>
  <c r="H367" i="9"/>
  <c r="G367" i="9"/>
  <c r="F367" i="9"/>
  <c r="AC366" i="9"/>
  <c r="AB366" i="9"/>
  <c r="AA366" i="9"/>
  <c r="Z366" i="9"/>
  <c r="Y366" i="9"/>
  <c r="X366" i="9"/>
  <c r="W366" i="9"/>
  <c r="V366" i="9"/>
  <c r="U366" i="9"/>
  <c r="T366" i="9"/>
  <c r="S366" i="9"/>
  <c r="R366" i="9"/>
  <c r="Q366" i="9"/>
  <c r="P366" i="9"/>
  <c r="O366" i="9"/>
  <c r="N366" i="9"/>
  <c r="M366" i="9"/>
  <c r="L366" i="9"/>
  <c r="K366" i="9"/>
  <c r="J366" i="9"/>
  <c r="I366" i="9"/>
  <c r="H366" i="9"/>
  <c r="G366" i="9"/>
  <c r="F366" i="9"/>
  <c r="AC365" i="9"/>
  <c r="AB365" i="9"/>
  <c r="AA365" i="9"/>
  <c r="Z365" i="9"/>
  <c r="Y365" i="9"/>
  <c r="X365" i="9"/>
  <c r="W365" i="9"/>
  <c r="V365" i="9"/>
  <c r="U365" i="9"/>
  <c r="T365" i="9"/>
  <c r="S365" i="9"/>
  <c r="R365" i="9"/>
  <c r="Q365" i="9"/>
  <c r="P365" i="9"/>
  <c r="O365" i="9"/>
  <c r="N365" i="9"/>
  <c r="M365" i="9"/>
  <c r="L365" i="9"/>
  <c r="K365" i="9"/>
  <c r="J365" i="9"/>
  <c r="I365" i="9"/>
  <c r="H365" i="9"/>
  <c r="G365" i="9"/>
  <c r="F365" i="9"/>
  <c r="AC364" i="9"/>
  <c r="AB364" i="9"/>
  <c r="AA364" i="9"/>
  <c r="Z364" i="9"/>
  <c r="Y364" i="9"/>
  <c r="X364" i="9"/>
  <c r="W364" i="9"/>
  <c r="V364" i="9"/>
  <c r="U364" i="9"/>
  <c r="T364" i="9"/>
  <c r="S364" i="9"/>
  <c r="R364" i="9"/>
  <c r="Q364" i="9"/>
  <c r="P364" i="9"/>
  <c r="O364" i="9"/>
  <c r="N364" i="9"/>
  <c r="M364" i="9"/>
  <c r="L364" i="9"/>
  <c r="K364" i="9"/>
  <c r="J364" i="9"/>
  <c r="I364" i="9"/>
  <c r="H364" i="9"/>
  <c r="G364" i="9"/>
  <c r="F364" i="9"/>
  <c r="AC363" i="9"/>
  <c r="AB363" i="9"/>
  <c r="AA363" i="9"/>
  <c r="Z363" i="9"/>
  <c r="Y363" i="9"/>
  <c r="X363" i="9"/>
  <c r="W363" i="9"/>
  <c r="V363" i="9"/>
  <c r="U363" i="9"/>
  <c r="T363" i="9"/>
  <c r="S363" i="9"/>
  <c r="R363" i="9"/>
  <c r="Q363" i="9"/>
  <c r="P363" i="9"/>
  <c r="O363" i="9"/>
  <c r="N363" i="9"/>
  <c r="M363" i="9"/>
  <c r="L363" i="9"/>
  <c r="K363" i="9"/>
  <c r="J363" i="9"/>
  <c r="I363" i="9"/>
  <c r="H363" i="9"/>
  <c r="G363" i="9"/>
  <c r="F363" i="9"/>
  <c r="AC362" i="9"/>
  <c r="AB362" i="9"/>
  <c r="AA362" i="9"/>
  <c r="Z362" i="9"/>
  <c r="Y362" i="9"/>
  <c r="X362" i="9"/>
  <c r="W362" i="9"/>
  <c r="V362" i="9"/>
  <c r="U362" i="9"/>
  <c r="T362" i="9"/>
  <c r="S362" i="9"/>
  <c r="R362" i="9"/>
  <c r="Q362" i="9"/>
  <c r="P362" i="9"/>
  <c r="O362" i="9"/>
  <c r="N362" i="9"/>
  <c r="M362" i="9"/>
  <c r="L362" i="9"/>
  <c r="K362" i="9"/>
  <c r="J362" i="9"/>
  <c r="I362" i="9"/>
  <c r="H362" i="9"/>
  <c r="G362" i="9"/>
  <c r="F362" i="9"/>
  <c r="AC361" i="9"/>
  <c r="AB361" i="9"/>
  <c r="AA361" i="9"/>
  <c r="Z361" i="9"/>
  <c r="Y361" i="9"/>
  <c r="X361" i="9"/>
  <c r="W361" i="9"/>
  <c r="V361" i="9"/>
  <c r="U361" i="9"/>
  <c r="T361" i="9"/>
  <c r="S361" i="9"/>
  <c r="R361" i="9"/>
  <c r="Q361" i="9"/>
  <c r="P361" i="9"/>
  <c r="O361" i="9"/>
  <c r="N361" i="9"/>
  <c r="M361" i="9"/>
  <c r="L361" i="9"/>
  <c r="K361" i="9"/>
  <c r="J361" i="9"/>
  <c r="I361" i="9"/>
  <c r="H361" i="9"/>
  <c r="G361" i="9"/>
  <c r="F361" i="9"/>
  <c r="AC360" i="9"/>
  <c r="AB360" i="9"/>
  <c r="AA360" i="9"/>
  <c r="Z360" i="9"/>
  <c r="Y360" i="9"/>
  <c r="X360" i="9"/>
  <c r="W360" i="9"/>
  <c r="V360" i="9"/>
  <c r="U360" i="9"/>
  <c r="T360" i="9"/>
  <c r="S360" i="9"/>
  <c r="R360" i="9"/>
  <c r="Q360" i="9"/>
  <c r="P360" i="9"/>
  <c r="O360" i="9"/>
  <c r="N360" i="9"/>
  <c r="M360" i="9"/>
  <c r="L360" i="9"/>
  <c r="K360" i="9"/>
  <c r="J360" i="9"/>
  <c r="I360" i="9"/>
  <c r="H360" i="9"/>
  <c r="G360" i="9"/>
  <c r="F360" i="9"/>
  <c r="AC359" i="9"/>
  <c r="AB359" i="9"/>
  <c r="AA359" i="9"/>
  <c r="Z359" i="9"/>
  <c r="Y359" i="9"/>
  <c r="X359" i="9"/>
  <c r="W359" i="9"/>
  <c r="V359" i="9"/>
  <c r="U359" i="9"/>
  <c r="T359" i="9"/>
  <c r="S359" i="9"/>
  <c r="R359" i="9"/>
  <c r="Q359" i="9"/>
  <c r="P359" i="9"/>
  <c r="O359" i="9"/>
  <c r="N359" i="9"/>
  <c r="M359" i="9"/>
  <c r="L359" i="9"/>
  <c r="K359" i="9"/>
  <c r="J359" i="9"/>
  <c r="I359" i="9"/>
  <c r="H359" i="9"/>
  <c r="G359" i="9"/>
  <c r="F359" i="9"/>
  <c r="AC358" i="9"/>
  <c r="AB358" i="9"/>
  <c r="AA358" i="9"/>
  <c r="Z358" i="9"/>
  <c r="Y358" i="9"/>
  <c r="X358" i="9"/>
  <c r="W358" i="9"/>
  <c r="V358" i="9"/>
  <c r="U358" i="9"/>
  <c r="T358" i="9"/>
  <c r="S358" i="9"/>
  <c r="R358" i="9"/>
  <c r="Q358" i="9"/>
  <c r="P358" i="9"/>
  <c r="O358" i="9"/>
  <c r="N358" i="9"/>
  <c r="M358" i="9"/>
  <c r="L358" i="9"/>
  <c r="K358" i="9"/>
  <c r="J358" i="9"/>
  <c r="I358" i="9"/>
  <c r="H358" i="9"/>
  <c r="G358" i="9"/>
  <c r="F358" i="9"/>
  <c r="AC357" i="9"/>
  <c r="AB357" i="9"/>
  <c r="AA357" i="9"/>
  <c r="Z357" i="9"/>
  <c r="Y357" i="9"/>
  <c r="X357" i="9"/>
  <c r="W357" i="9"/>
  <c r="V357" i="9"/>
  <c r="U357" i="9"/>
  <c r="T357" i="9"/>
  <c r="S357" i="9"/>
  <c r="R357" i="9"/>
  <c r="Q357" i="9"/>
  <c r="P357" i="9"/>
  <c r="O357" i="9"/>
  <c r="N357" i="9"/>
  <c r="M357" i="9"/>
  <c r="L357" i="9"/>
  <c r="K357" i="9"/>
  <c r="J357" i="9"/>
  <c r="I357" i="9"/>
  <c r="H357" i="9"/>
  <c r="G357" i="9"/>
  <c r="F357" i="9"/>
  <c r="AC356" i="9"/>
  <c r="AB356" i="9"/>
  <c r="AA356" i="9"/>
  <c r="Z356" i="9"/>
  <c r="Y356" i="9"/>
  <c r="X356" i="9"/>
  <c r="W356" i="9"/>
  <c r="V356" i="9"/>
  <c r="U356" i="9"/>
  <c r="T356" i="9"/>
  <c r="S356" i="9"/>
  <c r="R356" i="9"/>
  <c r="Q356" i="9"/>
  <c r="P356" i="9"/>
  <c r="O356" i="9"/>
  <c r="N356" i="9"/>
  <c r="M356" i="9"/>
  <c r="L356" i="9"/>
  <c r="K356" i="9"/>
  <c r="J356" i="9"/>
  <c r="I356" i="9"/>
  <c r="H356" i="9"/>
  <c r="G356" i="9"/>
  <c r="F356" i="9"/>
  <c r="AC355" i="9"/>
  <c r="AB355" i="9"/>
  <c r="AA355" i="9"/>
  <c r="Z355" i="9"/>
  <c r="Y355" i="9"/>
  <c r="X355" i="9"/>
  <c r="W355" i="9"/>
  <c r="V355" i="9"/>
  <c r="U355" i="9"/>
  <c r="T355" i="9"/>
  <c r="S355" i="9"/>
  <c r="R355" i="9"/>
  <c r="Q355" i="9"/>
  <c r="P355" i="9"/>
  <c r="O355" i="9"/>
  <c r="N355" i="9"/>
  <c r="M355" i="9"/>
  <c r="L355" i="9"/>
  <c r="K355" i="9"/>
  <c r="J355" i="9"/>
  <c r="I355" i="9"/>
  <c r="H355" i="9"/>
  <c r="G355" i="9"/>
  <c r="F355" i="9"/>
  <c r="AC354" i="9"/>
  <c r="AB354" i="9"/>
  <c r="AA354" i="9"/>
  <c r="Z354" i="9"/>
  <c r="Y354" i="9"/>
  <c r="X354" i="9"/>
  <c r="W354" i="9"/>
  <c r="V354" i="9"/>
  <c r="U354" i="9"/>
  <c r="T354" i="9"/>
  <c r="S354" i="9"/>
  <c r="R354" i="9"/>
  <c r="Q354" i="9"/>
  <c r="P354" i="9"/>
  <c r="O354" i="9"/>
  <c r="N354" i="9"/>
  <c r="M354" i="9"/>
  <c r="L354" i="9"/>
  <c r="K354" i="9"/>
  <c r="J354" i="9"/>
  <c r="I354" i="9"/>
  <c r="H354" i="9"/>
  <c r="G354" i="9"/>
  <c r="F354" i="9"/>
  <c r="AC353" i="9"/>
  <c r="AB353" i="9"/>
  <c r="AA353" i="9"/>
  <c r="Z353" i="9"/>
  <c r="Y353" i="9"/>
  <c r="X353" i="9"/>
  <c r="W353" i="9"/>
  <c r="V353" i="9"/>
  <c r="U353" i="9"/>
  <c r="T353" i="9"/>
  <c r="S353" i="9"/>
  <c r="R353" i="9"/>
  <c r="Q353" i="9"/>
  <c r="P353" i="9"/>
  <c r="O353" i="9"/>
  <c r="N353" i="9"/>
  <c r="M353" i="9"/>
  <c r="L353" i="9"/>
  <c r="K353" i="9"/>
  <c r="J353" i="9"/>
  <c r="I353" i="9"/>
  <c r="H353" i="9"/>
  <c r="G353" i="9"/>
  <c r="F353" i="9"/>
  <c r="AC352" i="9"/>
  <c r="AB352" i="9"/>
  <c r="AA352" i="9"/>
  <c r="Z352" i="9"/>
  <c r="Y352" i="9"/>
  <c r="X352" i="9"/>
  <c r="W352" i="9"/>
  <c r="V352" i="9"/>
  <c r="U352" i="9"/>
  <c r="T352" i="9"/>
  <c r="S352" i="9"/>
  <c r="R352" i="9"/>
  <c r="Q352" i="9"/>
  <c r="P352" i="9"/>
  <c r="O352" i="9"/>
  <c r="N352" i="9"/>
  <c r="M352" i="9"/>
  <c r="L352" i="9"/>
  <c r="K352" i="9"/>
  <c r="J352" i="9"/>
  <c r="I352" i="9"/>
  <c r="H352" i="9"/>
  <c r="G352" i="9"/>
  <c r="F352" i="9"/>
  <c r="AC351" i="9"/>
  <c r="AB351" i="9"/>
  <c r="AA351" i="9"/>
  <c r="Z351" i="9"/>
  <c r="Y351" i="9"/>
  <c r="X351" i="9"/>
  <c r="W351" i="9"/>
  <c r="V351" i="9"/>
  <c r="U351" i="9"/>
  <c r="T351" i="9"/>
  <c r="S351" i="9"/>
  <c r="R351" i="9"/>
  <c r="Q351" i="9"/>
  <c r="P351" i="9"/>
  <c r="O351" i="9"/>
  <c r="N351" i="9"/>
  <c r="M351" i="9"/>
  <c r="L351" i="9"/>
  <c r="K351" i="9"/>
  <c r="J351" i="9"/>
  <c r="I351" i="9"/>
  <c r="H351" i="9"/>
  <c r="G351" i="9"/>
  <c r="F351" i="9"/>
  <c r="AC350" i="9"/>
  <c r="AB350" i="9"/>
  <c r="AA350" i="9"/>
  <c r="Z350" i="9"/>
  <c r="Y350" i="9"/>
  <c r="X350" i="9"/>
  <c r="W350" i="9"/>
  <c r="V350" i="9"/>
  <c r="U350" i="9"/>
  <c r="T350" i="9"/>
  <c r="S350" i="9"/>
  <c r="R350" i="9"/>
  <c r="Q350" i="9"/>
  <c r="P350" i="9"/>
  <c r="O350" i="9"/>
  <c r="N350" i="9"/>
  <c r="M350" i="9"/>
  <c r="L350" i="9"/>
  <c r="K350" i="9"/>
  <c r="J350" i="9"/>
  <c r="I350" i="9"/>
  <c r="H350" i="9"/>
  <c r="G350" i="9"/>
  <c r="F350" i="9"/>
  <c r="AC349" i="9"/>
  <c r="AB349" i="9"/>
  <c r="AA349" i="9"/>
  <c r="Z349" i="9"/>
  <c r="Y349" i="9"/>
  <c r="X349" i="9"/>
  <c r="W349" i="9"/>
  <c r="V349" i="9"/>
  <c r="U349" i="9"/>
  <c r="T349" i="9"/>
  <c r="S349" i="9"/>
  <c r="R349" i="9"/>
  <c r="Q349" i="9"/>
  <c r="P349" i="9"/>
  <c r="O349" i="9"/>
  <c r="N349" i="9"/>
  <c r="M349" i="9"/>
  <c r="L349" i="9"/>
  <c r="K349" i="9"/>
  <c r="J349" i="9"/>
  <c r="I349" i="9"/>
  <c r="H349" i="9"/>
  <c r="G349" i="9"/>
  <c r="F349" i="9"/>
  <c r="AC348" i="9"/>
  <c r="AB348" i="9"/>
  <c r="AA348" i="9"/>
  <c r="Z348" i="9"/>
  <c r="Y348" i="9"/>
  <c r="X348" i="9"/>
  <c r="W348" i="9"/>
  <c r="V348" i="9"/>
  <c r="U348" i="9"/>
  <c r="T348" i="9"/>
  <c r="S348" i="9"/>
  <c r="R348" i="9"/>
  <c r="Q348" i="9"/>
  <c r="P348" i="9"/>
  <c r="O348" i="9"/>
  <c r="N348" i="9"/>
  <c r="M348" i="9"/>
  <c r="L348" i="9"/>
  <c r="K348" i="9"/>
  <c r="J348" i="9"/>
  <c r="I348" i="9"/>
  <c r="H348" i="9"/>
  <c r="G348" i="9"/>
  <c r="F348" i="9"/>
  <c r="AC347" i="9"/>
  <c r="AB347" i="9"/>
  <c r="AA347" i="9"/>
  <c r="Z347" i="9"/>
  <c r="Y347" i="9"/>
  <c r="X347" i="9"/>
  <c r="W347" i="9"/>
  <c r="V347" i="9"/>
  <c r="U347" i="9"/>
  <c r="T347" i="9"/>
  <c r="S347" i="9"/>
  <c r="R347" i="9"/>
  <c r="Q347" i="9"/>
  <c r="P347" i="9"/>
  <c r="O347" i="9"/>
  <c r="N347" i="9"/>
  <c r="M347" i="9"/>
  <c r="L347" i="9"/>
  <c r="K347" i="9"/>
  <c r="J347" i="9"/>
  <c r="I347" i="9"/>
  <c r="H347" i="9"/>
  <c r="G347" i="9"/>
  <c r="F347" i="9"/>
  <c r="AC346" i="9"/>
  <c r="AB346" i="9"/>
  <c r="AA346" i="9"/>
  <c r="Z346" i="9"/>
  <c r="Y346" i="9"/>
  <c r="X346" i="9"/>
  <c r="W346" i="9"/>
  <c r="V346" i="9"/>
  <c r="U346" i="9"/>
  <c r="T346" i="9"/>
  <c r="S346" i="9"/>
  <c r="R346" i="9"/>
  <c r="Q346" i="9"/>
  <c r="P346" i="9"/>
  <c r="O346" i="9"/>
  <c r="N346" i="9"/>
  <c r="M346" i="9"/>
  <c r="L346" i="9"/>
  <c r="K346" i="9"/>
  <c r="J346" i="9"/>
  <c r="I346" i="9"/>
  <c r="H346" i="9"/>
  <c r="G346" i="9"/>
  <c r="F346" i="9"/>
  <c r="AC345" i="9"/>
  <c r="AB345" i="9"/>
  <c r="AA345" i="9"/>
  <c r="Z345" i="9"/>
  <c r="Y345" i="9"/>
  <c r="X345" i="9"/>
  <c r="W345" i="9"/>
  <c r="V345" i="9"/>
  <c r="U345" i="9"/>
  <c r="T345" i="9"/>
  <c r="S345" i="9"/>
  <c r="R345" i="9"/>
  <c r="Q345" i="9"/>
  <c r="P345" i="9"/>
  <c r="O345" i="9"/>
  <c r="N345" i="9"/>
  <c r="M345" i="9"/>
  <c r="L345" i="9"/>
  <c r="K345" i="9"/>
  <c r="J345" i="9"/>
  <c r="I345" i="9"/>
  <c r="H345" i="9"/>
  <c r="G345" i="9"/>
  <c r="F345" i="9"/>
  <c r="AC344" i="9"/>
  <c r="AB344" i="9"/>
  <c r="AA344" i="9"/>
  <c r="Z344" i="9"/>
  <c r="Y344" i="9"/>
  <c r="X344" i="9"/>
  <c r="W344" i="9"/>
  <c r="V344" i="9"/>
  <c r="U344" i="9"/>
  <c r="T344" i="9"/>
  <c r="S344" i="9"/>
  <c r="R344" i="9"/>
  <c r="Q344" i="9"/>
  <c r="P344" i="9"/>
  <c r="O344" i="9"/>
  <c r="N344" i="9"/>
  <c r="M344" i="9"/>
  <c r="L344" i="9"/>
  <c r="K344" i="9"/>
  <c r="J344" i="9"/>
  <c r="I344" i="9"/>
  <c r="H344" i="9"/>
  <c r="G344" i="9"/>
  <c r="F344" i="9"/>
  <c r="AC343" i="9"/>
  <c r="AB343" i="9"/>
  <c r="AA343" i="9"/>
  <c r="Z343" i="9"/>
  <c r="Y343" i="9"/>
  <c r="X343" i="9"/>
  <c r="W343" i="9"/>
  <c r="V343" i="9"/>
  <c r="U343" i="9"/>
  <c r="T343" i="9"/>
  <c r="S343" i="9"/>
  <c r="R343" i="9"/>
  <c r="Q343" i="9"/>
  <c r="P343" i="9"/>
  <c r="O343" i="9"/>
  <c r="N343" i="9"/>
  <c r="M343" i="9"/>
  <c r="L343" i="9"/>
  <c r="K343" i="9"/>
  <c r="J343" i="9"/>
  <c r="I343" i="9"/>
  <c r="H343" i="9"/>
  <c r="G343" i="9"/>
  <c r="F343" i="9"/>
  <c r="AC342" i="9"/>
  <c r="AB342" i="9"/>
  <c r="AA342" i="9"/>
  <c r="Z342" i="9"/>
  <c r="Y342" i="9"/>
  <c r="X342" i="9"/>
  <c r="W342" i="9"/>
  <c r="V342" i="9"/>
  <c r="U342" i="9"/>
  <c r="T342" i="9"/>
  <c r="S342" i="9"/>
  <c r="R342" i="9"/>
  <c r="Q342" i="9"/>
  <c r="P342" i="9"/>
  <c r="O342" i="9"/>
  <c r="N342" i="9"/>
  <c r="M342" i="9"/>
  <c r="L342" i="9"/>
  <c r="K342" i="9"/>
  <c r="J342" i="9"/>
  <c r="I342" i="9"/>
  <c r="H342" i="9"/>
  <c r="G342" i="9"/>
  <c r="F342" i="9"/>
  <c r="AC341" i="9"/>
  <c r="AB341" i="9"/>
  <c r="AA341" i="9"/>
  <c r="Z341" i="9"/>
  <c r="Y341" i="9"/>
  <c r="X341" i="9"/>
  <c r="W341" i="9"/>
  <c r="V341" i="9"/>
  <c r="U341" i="9"/>
  <c r="T341" i="9"/>
  <c r="S341" i="9"/>
  <c r="R341" i="9"/>
  <c r="Q341" i="9"/>
  <c r="P341" i="9"/>
  <c r="O341" i="9"/>
  <c r="N341" i="9"/>
  <c r="M341" i="9"/>
  <c r="L341" i="9"/>
  <c r="K341" i="9"/>
  <c r="J341" i="9"/>
  <c r="I341" i="9"/>
  <c r="H341" i="9"/>
  <c r="G341" i="9"/>
  <c r="F341" i="9"/>
  <c r="AC340" i="9"/>
  <c r="AB340" i="9"/>
  <c r="AA340" i="9"/>
  <c r="Z340" i="9"/>
  <c r="Y340" i="9"/>
  <c r="X340" i="9"/>
  <c r="W340" i="9"/>
  <c r="V340" i="9"/>
  <c r="U340" i="9"/>
  <c r="T340" i="9"/>
  <c r="S340" i="9"/>
  <c r="R340" i="9"/>
  <c r="Q340" i="9"/>
  <c r="P340" i="9"/>
  <c r="O340" i="9"/>
  <c r="N340" i="9"/>
  <c r="M340" i="9"/>
  <c r="L340" i="9"/>
  <c r="K340" i="9"/>
  <c r="J340" i="9"/>
  <c r="I340" i="9"/>
  <c r="H340" i="9"/>
  <c r="G340" i="9"/>
  <c r="F340" i="9"/>
  <c r="AC339" i="9"/>
  <c r="AB339" i="9"/>
  <c r="AA339" i="9"/>
  <c r="Z339" i="9"/>
  <c r="Y339" i="9"/>
  <c r="X339" i="9"/>
  <c r="W339" i="9"/>
  <c r="V339" i="9"/>
  <c r="U339" i="9"/>
  <c r="T339" i="9"/>
  <c r="S339" i="9"/>
  <c r="R339" i="9"/>
  <c r="Q339" i="9"/>
  <c r="P339" i="9"/>
  <c r="O339" i="9"/>
  <c r="N339" i="9"/>
  <c r="M339" i="9"/>
  <c r="L339" i="9"/>
  <c r="K339" i="9"/>
  <c r="J339" i="9"/>
  <c r="I339" i="9"/>
  <c r="H339" i="9"/>
  <c r="G339" i="9"/>
  <c r="F339" i="9"/>
  <c r="AC338" i="9"/>
  <c r="AB338" i="9"/>
  <c r="AA338" i="9"/>
  <c r="Z338" i="9"/>
  <c r="Y338" i="9"/>
  <c r="X338" i="9"/>
  <c r="W338" i="9"/>
  <c r="V338" i="9"/>
  <c r="U338" i="9"/>
  <c r="T338" i="9"/>
  <c r="S338" i="9"/>
  <c r="R338" i="9"/>
  <c r="Q338" i="9"/>
  <c r="P338" i="9"/>
  <c r="O338" i="9"/>
  <c r="N338" i="9"/>
  <c r="M338" i="9"/>
  <c r="L338" i="9"/>
  <c r="K338" i="9"/>
  <c r="J338" i="9"/>
  <c r="I338" i="9"/>
  <c r="H338" i="9"/>
  <c r="G338" i="9"/>
  <c r="F338" i="9"/>
  <c r="AC337" i="9"/>
  <c r="AB337" i="9"/>
  <c r="AA337" i="9"/>
  <c r="Z337" i="9"/>
  <c r="Y337" i="9"/>
  <c r="X337" i="9"/>
  <c r="W337" i="9"/>
  <c r="V337" i="9"/>
  <c r="U337" i="9"/>
  <c r="T337" i="9"/>
  <c r="S337" i="9"/>
  <c r="R337" i="9"/>
  <c r="Q337" i="9"/>
  <c r="P337" i="9"/>
  <c r="O337" i="9"/>
  <c r="N337" i="9"/>
  <c r="M337" i="9"/>
  <c r="L337" i="9"/>
  <c r="K337" i="9"/>
  <c r="J337" i="9"/>
  <c r="I337" i="9"/>
  <c r="H337" i="9"/>
  <c r="G337" i="9"/>
  <c r="F337" i="9"/>
  <c r="AC336" i="9"/>
  <c r="AB336" i="9"/>
  <c r="AA336" i="9"/>
  <c r="Z336" i="9"/>
  <c r="Y336" i="9"/>
  <c r="X336" i="9"/>
  <c r="W336" i="9"/>
  <c r="V336" i="9"/>
  <c r="U336" i="9"/>
  <c r="T336" i="9"/>
  <c r="S336" i="9"/>
  <c r="R336" i="9"/>
  <c r="Q336" i="9"/>
  <c r="P336" i="9"/>
  <c r="O336" i="9"/>
  <c r="N336" i="9"/>
  <c r="M336" i="9"/>
  <c r="L336" i="9"/>
  <c r="K336" i="9"/>
  <c r="J336" i="9"/>
  <c r="I336" i="9"/>
  <c r="H336" i="9"/>
  <c r="G336" i="9"/>
  <c r="F336" i="9"/>
  <c r="AC335" i="9"/>
  <c r="AB335" i="9"/>
  <c r="AA335" i="9"/>
  <c r="Z335" i="9"/>
  <c r="Y335" i="9"/>
  <c r="X335" i="9"/>
  <c r="W335" i="9"/>
  <c r="V335" i="9"/>
  <c r="U335" i="9"/>
  <c r="T335" i="9"/>
  <c r="S335" i="9"/>
  <c r="R335" i="9"/>
  <c r="Q335" i="9"/>
  <c r="P335" i="9"/>
  <c r="O335" i="9"/>
  <c r="N335" i="9"/>
  <c r="M335" i="9"/>
  <c r="L335" i="9"/>
  <c r="K335" i="9"/>
  <c r="J335" i="9"/>
  <c r="I335" i="9"/>
  <c r="H335" i="9"/>
  <c r="G335" i="9"/>
  <c r="F335" i="9"/>
  <c r="AC334" i="9"/>
  <c r="AB334" i="9"/>
  <c r="AA334" i="9"/>
  <c r="Z334" i="9"/>
  <c r="Y334" i="9"/>
  <c r="X334" i="9"/>
  <c r="W334" i="9"/>
  <c r="V334" i="9"/>
  <c r="U334" i="9"/>
  <c r="T334" i="9"/>
  <c r="S334" i="9"/>
  <c r="R334" i="9"/>
  <c r="Q334" i="9"/>
  <c r="P334" i="9"/>
  <c r="O334" i="9"/>
  <c r="N334" i="9"/>
  <c r="M334" i="9"/>
  <c r="L334" i="9"/>
  <c r="K334" i="9"/>
  <c r="J334" i="9"/>
  <c r="I334" i="9"/>
  <c r="H334" i="9"/>
  <c r="G334" i="9"/>
  <c r="F334" i="9"/>
  <c r="AC333" i="9"/>
  <c r="AB333" i="9"/>
  <c r="AA333" i="9"/>
  <c r="Z333" i="9"/>
  <c r="Y333" i="9"/>
  <c r="X333" i="9"/>
  <c r="W333" i="9"/>
  <c r="V333" i="9"/>
  <c r="U333" i="9"/>
  <c r="T333" i="9"/>
  <c r="S333" i="9"/>
  <c r="R333" i="9"/>
  <c r="Q333" i="9"/>
  <c r="P333" i="9"/>
  <c r="O333" i="9"/>
  <c r="N333" i="9"/>
  <c r="M333" i="9"/>
  <c r="L333" i="9"/>
  <c r="K333" i="9"/>
  <c r="J333" i="9"/>
  <c r="I333" i="9"/>
  <c r="H333" i="9"/>
  <c r="G333" i="9"/>
  <c r="F333" i="9"/>
  <c r="AC332" i="9"/>
  <c r="AB332" i="9"/>
  <c r="AA332" i="9"/>
  <c r="Z332" i="9"/>
  <c r="Y332" i="9"/>
  <c r="X332" i="9"/>
  <c r="W332" i="9"/>
  <c r="V332" i="9"/>
  <c r="U332" i="9"/>
  <c r="T332" i="9"/>
  <c r="S332" i="9"/>
  <c r="R332" i="9"/>
  <c r="Q332" i="9"/>
  <c r="P332" i="9"/>
  <c r="O332" i="9"/>
  <c r="N332" i="9"/>
  <c r="M332" i="9"/>
  <c r="L332" i="9"/>
  <c r="K332" i="9"/>
  <c r="J332" i="9"/>
  <c r="I332" i="9"/>
  <c r="H332" i="9"/>
  <c r="G332" i="9"/>
  <c r="F332" i="9"/>
  <c r="AC331" i="9"/>
  <c r="AB331" i="9"/>
  <c r="AA331" i="9"/>
  <c r="Z331" i="9"/>
  <c r="Y331" i="9"/>
  <c r="X331" i="9"/>
  <c r="W331" i="9"/>
  <c r="V331" i="9"/>
  <c r="U331" i="9"/>
  <c r="T331" i="9"/>
  <c r="S331" i="9"/>
  <c r="R331" i="9"/>
  <c r="Q331" i="9"/>
  <c r="P331" i="9"/>
  <c r="O331" i="9"/>
  <c r="N331" i="9"/>
  <c r="M331" i="9"/>
  <c r="L331" i="9"/>
  <c r="K331" i="9"/>
  <c r="J331" i="9"/>
  <c r="I331" i="9"/>
  <c r="H331" i="9"/>
  <c r="G331" i="9"/>
  <c r="F331" i="9"/>
  <c r="AC330" i="9"/>
  <c r="AB330" i="9"/>
  <c r="AA330" i="9"/>
  <c r="Z330" i="9"/>
  <c r="Y330" i="9"/>
  <c r="X330" i="9"/>
  <c r="W330" i="9"/>
  <c r="V330" i="9"/>
  <c r="U330" i="9"/>
  <c r="T330" i="9"/>
  <c r="S330" i="9"/>
  <c r="R330" i="9"/>
  <c r="Q330" i="9"/>
  <c r="P330" i="9"/>
  <c r="O330" i="9"/>
  <c r="N330" i="9"/>
  <c r="M330" i="9"/>
  <c r="L330" i="9"/>
  <c r="K330" i="9"/>
  <c r="J330" i="9"/>
  <c r="I330" i="9"/>
  <c r="H330" i="9"/>
  <c r="G330" i="9"/>
  <c r="F330" i="9"/>
  <c r="AC329" i="9"/>
  <c r="AB329" i="9"/>
  <c r="AA329" i="9"/>
  <c r="Z329" i="9"/>
  <c r="Y329" i="9"/>
  <c r="X329" i="9"/>
  <c r="W329" i="9"/>
  <c r="V329" i="9"/>
  <c r="U329" i="9"/>
  <c r="T329" i="9"/>
  <c r="S329" i="9"/>
  <c r="R329" i="9"/>
  <c r="Q329" i="9"/>
  <c r="P329" i="9"/>
  <c r="O329" i="9"/>
  <c r="N329" i="9"/>
  <c r="M329" i="9"/>
  <c r="L329" i="9"/>
  <c r="K329" i="9"/>
  <c r="J329" i="9"/>
  <c r="I329" i="9"/>
  <c r="H329" i="9"/>
  <c r="G329" i="9"/>
  <c r="F329" i="9"/>
  <c r="AC328" i="9"/>
  <c r="AB328" i="9"/>
  <c r="AA328" i="9"/>
  <c r="Z328" i="9"/>
  <c r="Y328" i="9"/>
  <c r="X328" i="9"/>
  <c r="W328" i="9"/>
  <c r="V328" i="9"/>
  <c r="U328" i="9"/>
  <c r="T328" i="9"/>
  <c r="S328" i="9"/>
  <c r="R328" i="9"/>
  <c r="Q328" i="9"/>
  <c r="P328" i="9"/>
  <c r="O328" i="9"/>
  <c r="N328" i="9"/>
  <c r="M328" i="9"/>
  <c r="L328" i="9"/>
  <c r="K328" i="9"/>
  <c r="J328" i="9"/>
  <c r="I328" i="9"/>
  <c r="H328" i="9"/>
  <c r="G328" i="9"/>
  <c r="F328" i="9"/>
  <c r="AC327" i="9"/>
  <c r="AB327" i="9"/>
  <c r="AA327" i="9"/>
  <c r="Z327" i="9"/>
  <c r="Y327" i="9"/>
  <c r="X327" i="9"/>
  <c r="W327" i="9"/>
  <c r="V327" i="9"/>
  <c r="U327" i="9"/>
  <c r="T327" i="9"/>
  <c r="S327" i="9"/>
  <c r="R327" i="9"/>
  <c r="Q327" i="9"/>
  <c r="P327" i="9"/>
  <c r="O327" i="9"/>
  <c r="N327" i="9"/>
  <c r="M327" i="9"/>
  <c r="L327" i="9"/>
  <c r="K327" i="9"/>
  <c r="J327" i="9"/>
  <c r="I327" i="9"/>
  <c r="H327" i="9"/>
  <c r="G327" i="9"/>
  <c r="F327" i="9"/>
  <c r="AC326" i="9"/>
  <c r="AB326" i="9"/>
  <c r="AA326" i="9"/>
  <c r="Z326" i="9"/>
  <c r="Y326" i="9"/>
  <c r="X326" i="9"/>
  <c r="W326" i="9"/>
  <c r="V326" i="9"/>
  <c r="U326" i="9"/>
  <c r="T326" i="9"/>
  <c r="S326" i="9"/>
  <c r="R326" i="9"/>
  <c r="Q326" i="9"/>
  <c r="P326" i="9"/>
  <c r="O326" i="9"/>
  <c r="N326" i="9"/>
  <c r="M326" i="9"/>
  <c r="L326" i="9"/>
  <c r="K326" i="9"/>
  <c r="J326" i="9"/>
  <c r="I326" i="9"/>
  <c r="H326" i="9"/>
  <c r="G326" i="9"/>
  <c r="F326" i="9"/>
  <c r="AC325" i="9"/>
  <c r="T325" i="9"/>
  <c r="R325" i="9"/>
  <c r="O325" i="9"/>
  <c r="G325" i="9"/>
  <c r="F325" i="9"/>
  <c r="L325" i="9" s="1"/>
  <c r="AC324" i="9"/>
  <c r="T324" i="9"/>
  <c r="R324" i="9"/>
  <c r="O324" i="9"/>
  <c r="G324" i="9"/>
  <c r="F324" i="9"/>
  <c r="E162" i="11" s="1"/>
  <c r="AC323" i="9"/>
  <c r="T323" i="9"/>
  <c r="R323" i="9"/>
  <c r="O323" i="9"/>
  <c r="G323" i="9"/>
  <c r="F323" i="9"/>
  <c r="L323" i="9" s="1"/>
  <c r="AC322" i="9"/>
  <c r="T322" i="9"/>
  <c r="R322" i="9"/>
  <c r="O322" i="9"/>
  <c r="G322" i="9"/>
  <c r="F322" i="9"/>
  <c r="E161" i="11" s="1"/>
  <c r="AC321" i="9"/>
  <c r="T321" i="9"/>
  <c r="R321" i="9"/>
  <c r="O321" i="9"/>
  <c r="G321" i="9"/>
  <c r="F321" i="9"/>
  <c r="L321" i="9" s="1"/>
  <c r="AC320" i="9"/>
  <c r="T320" i="9"/>
  <c r="R320" i="9"/>
  <c r="O320" i="9"/>
  <c r="G320" i="9"/>
  <c r="F320" i="9"/>
  <c r="E160" i="11" s="1"/>
  <c r="AC319" i="9"/>
  <c r="T319" i="9"/>
  <c r="R319" i="9"/>
  <c r="O319" i="9"/>
  <c r="G319" i="9"/>
  <c r="F319" i="9"/>
  <c r="L319" i="9" s="1"/>
  <c r="AC318" i="9"/>
  <c r="T318" i="9"/>
  <c r="R318" i="9"/>
  <c r="O318" i="9"/>
  <c r="G318" i="9"/>
  <c r="F318" i="9"/>
  <c r="L318" i="9" s="1"/>
  <c r="AC317" i="9"/>
  <c r="T317" i="9"/>
  <c r="R317" i="9"/>
  <c r="O317" i="9"/>
  <c r="G317" i="9"/>
  <c r="F317" i="9"/>
  <c r="L317" i="9" s="1"/>
  <c r="AC316" i="9"/>
  <c r="T316" i="9"/>
  <c r="R316" i="9"/>
  <c r="O316" i="9"/>
  <c r="G316" i="9"/>
  <c r="F316" i="9"/>
  <c r="E158" i="11" s="1"/>
  <c r="AC315" i="9"/>
  <c r="T315" i="9"/>
  <c r="R315" i="9"/>
  <c r="O315" i="9"/>
  <c r="G315" i="9"/>
  <c r="F315" i="9"/>
  <c r="L315" i="9" s="1"/>
  <c r="AC314" i="9"/>
  <c r="T314" i="9"/>
  <c r="R314" i="9"/>
  <c r="O314" i="9"/>
  <c r="G314" i="9"/>
  <c r="F314" i="9"/>
  <c r="E157" i="11" s="1"/>
  <c r="AC313" i="9"/>
  <c r="T313" i="9"/>
  <c r="R313" i="9"/>
  <c r="O313" i="9"/>
  <c r="G313" i="9"/>
  <c r="F313" i="9"/>
  <c r="L313" i="9" s="1"/>
  <c r="AC312" i="9"/>
  <c r="T312" i="9"/>
  <c r="R312" i="9"/>
  <c r="O312" i="9"/>
  <c r="G312" i="9"/>
  <c r="F312" i="9"/>
  <c r="E156" i="11" s="1"/>
  <c r="AC311" i="9"/>
  <c r="T311" i="9"/>
  <c r="R311" i="9"/>
  <c r="O311" i="9"/>
  <c r="G311" i="9"/>
  <c r="F311" i="9"/>
  <c r="L311" i="9" s="1"/>
  <c r="AC310" i="9"/>
  <c r="T310" i="9"/>
  <c r="R310" i="9"/>
  <c r="O310" i="9"/>
  <c r="G310" i="9"/>
  <c r="F310" i="9"/>
  <c r="E155" i="11" s="1"/>
  <c r="AC309" i="9"/>
  <c r="T309" i="9"/>
  <c r="R309" i="9"/>
  <c r="O309" i="9"/>
  <c r="G309" i="9"/>
  <c r="F309" i="9"/>
  <c r="L309" i="9" s="1"/>
  <c r="AC308" i="9"/>
  <c r="T308" i="9"/>
  <c r="R308" i="9"/>
  <c r="O308" i="9"/>
  <c r="G308" i="9"/>
  <c r="F308" i="9"/>
  <c r="E154" i="11" s="1"/>
  <c r="AC307" i="9"/>
  <c r="U307" i="9"/>
  <c r="T307" i="9"/>
  <c r="R307" i="9"/>
  <c r="O307" i="9"/>
  <c r="G307" i="9"/>
  <c r="F307" i="9"/>
  <c r="L307" i="9" s="1"/>
  <c r="AC306" i="9"/>
  <c r="U306" i="9"/>
  <c r="Y307" i="9" s="1"/>
  <c r="T306" i="9"/>
  <c r="R306" i="9"/>
  <c r="O306" i="9"/>
  <c r="G306" i="9"/>
  <c r="F306" i="9"/>
  <c r="E153" i="11" s="1"/>
  <c r="AC305" i="9"/>
  <c r="T305" i="9"/>
  <c r="R305" i="9"/>
  <c r="O305" i="9"/>
  <c r="G305" i="9"/>
  <c r="F305" i="9"/>
  <c r="L305" i="9" s="1"/>
  <c r="AC304" i="9"/>
  <c r="T304" i="9"/>
  <c r="R304" i="9"/>
  <c r="O304" i="9"/>
  <c r="G304" i="9"/>
  <c r="F304" i="9"/>
  <c r="L304" i="9" s="1"/>
  <c r="AC303" i="9"/>
  <c r="T303" i="9"/>
  <c r="R303" i="9"/>
  <c r="O303" i="9"/>
  <c r="G303" i="9"/>
  <c r="F303" i="9"/>
  <c r="L303" i="9" s="1"/>
  <c r="AC302" i="9"/>
  <c r="T302" i="9"/>
  <c r="R302" i="9"/>
  <c r="O302" i="9"/>
  <c r="G302" i="9"/>
  <c r="F302" i="9"/>
  <c r="E151" i="11" s="1"/>
  <c r="AC301" i="9"/>
  <c r="T301" i="9"/>
  <c r="R301" i="9"/>
  <c r="O301" i="9"/>
  <c r="G301" i="9"/>
  <c r="F301" i="9"/>
  <c r="L301" i="9" s="1"/>
  <c r="AC300" i="9"/>
  <c r="T300" i="9"/>
  <c r="R300" i="9"/>
  <c r="O300" i="9"/>
  <c r="G300" i="9"/>
  <c r="F300" i="9"/>
  <c r="E150" i="11" s="1"/>
  <c r="AC299" i="9"/>
  <c r="T299" i="9"/>
  <c r="R299" i="9"/>
  <c r="O299" i="9"/>
  <c r="G299" i="9"/>
  <c r="F299" i="9"/>
  <c r="L299" i="9" s="1"/>
  <c r="AC298" i="9"/>
  <c r="T298" i="9"/>
  <c r="R298" i="9"/>
  <c r="O298" i="9"/>
  <c r="G298" i="9"/>
  <c r="F298" i="9"/>
  <c r="E149" i="11" s="1"/>
  <c r="AC297" i="9"/>
  <c r="U297" i="9"/>
  <c r="T297" i="9"/>
  <c r="R297" i="9"/>
  <c r="O297" i="9"/>
  <c r="G297" i="9"/>
  <c r="F297" i="9"/>
  <c r="L297" i="9" s="1"/>
  <c r="AC296" i="9"/>
  <c r="T296" i="9"/>
  <c r="R296" i="9"/>
  <c r="O296" i="9"/>
  <c r="G296" i="9"/>
  <c r="F296" i="9"/>
  <c r="E148" i="11" s="1"/>
  <c r="AC295" i="9"/>
  <c r="T295" i="9"/>
  <c r="R295" i="9"/>
  <c r="O295" i="9"/>
  <c r="G295" i="9"/>
  <c r="F295" i="9"/>
  <c r="L295" i="9" s="1"/>
  <c r="AC294" i="9"/>
  <c r="T294" i="9"/>
  <c r="R294" i="9"/>
  <c r="O294" i="9"/>
  <c r="G294" i="9"/>
  <c r="F294" i="9"/>
  <c r="AC293" i="9"/>
  <c r="T293" i="9"/>
  <c r="R293" i="9"/>
  <c r="O293" i="9"/>
  <c r="G293" i="9"/>
  <c r="F293" i="9"/>
  <c r="L293" i="9" s="1"/>
  <c r="AC292" i="9"/>
  <c r="T292" i="9"/>
  <c r="R292" i="9"/>
  <c r="O292" i="9"/>
  <c r="G292" i="9"/>
  <c r="F292" i="9"/>
  <c r="AC291" i="9"/>
  <c r="T291" i="9"/>
  <c r="R291" i="9"/>
  <c r="O291" i="9"/>
  <c r="G291" i="9"/>
  <c r="F291" i="9"/>
  <c r="L291" i="9" s="1"/>
  <c r="AC290" i="9"/>
  <c r="T290" i="9"/>
  <c r="R290" i="9"/>
  <c r="O290" i="9"/>
  <c r="G290" i="9"/>
  <c r="F290" i="9"/>
  <c r="E145" i="11" s="1"/>
  <c r="AC289" i="9"/>
  <c r="T289" i="9"/>
  <c r="R289" i="9"/>
  <c r="O289" i="9"/>
  <c r="G289" i="9"/>
  <c r="F289" i="9"/>
  <c r="L289" i="9" s="1"/>
  <c r="AC288" i="9"/>
  <c r="T288" i="9"/>
  <c r="R288" i="9"/>
  <c r="O288" i="9"/>
  <c r="G288" i="9"/>
  <c r="F288" i="9"/>
  <c r="E144" i="11" s="1"/>
  <c r="AC287" i="9"/>
  <c r="T287" i="9"/>
  <c r="R287" i="9"/>
  <c r="O287" i="9"/>
  <c r="G287" i="9"/>
  <c r="F287" i="9"/>
  <c r="AC286" i="9"/>
  <c r="T286" i="9"/>
  <c r="R286" i="9"/>
  <c r="O286" i="9"/>
  <c r="G286" i="9"/>
  <c r="F286" i="9"/>
  <c r="AC285" i="9"/>
  <c r="T285" i="9"/>
  <c r="R285" i="9"/>
  <c r="O285" i="9"/>
  <c r="G285" i="9"/>
  <c r="F285" i="9"/>
  <c r="AC284" i="9"/>
  <c r="T284" i="9"/>
  <c r="R284" i="9"/>
  <c r="O284" i="9"/>
  <c r="G284" i="9"/>
  <c r="F284" i="9"/>
  <c r="E142" i="11" s="1"/>
  <c r="AC283" i="9"/>
  <c r="T283" i="9"/>
  <c r="R283" i="9"/>
  <c r="O283" i="9"/>
  <c r="G283" i="9"/>
  <c r="F283" i="9"/>
  <c r="L283" i="9" s="1"/>
  <c r="AC282" i="9"/>
  <c r="T282" i="9"/>
  <c r="R282" i="9"/>
  <c r="O282" i="9"/>
  <c r="G282" i="9"/>
  <c r="F282" i="9"/>
  <c r="AC281" i="9"/>
  <c r="T281" i="9"/>
  <c r="R281" i="9"/>
  <c r="O281" i="9"/>
  <c r="G281" i="9"/>
  <c r="F281" i="9"/>
  <c r="L281" i="9" s="1"/>
  <c r="AC280" i="9"/>
  <c r="T280" i="9"/>
  <c r="R280" i="9"/>
  <c r="O280" i="9"/>
  <c r="G280" i="9"/>
  <c r="F280" i="9"/>
  <c r="E140" i="11" s="1"/>
  <c r="AC279" i="9"/>
  <c r="T279" i="9"/>
  <c r="R279" i="9"/>
  <c r="O279" i="9"/>
  <c r="G279" i="9"/>
  <c r="F279" i="9"/>
  <c r="L279" i="9" s="1"/>
  <c r="AC278" i="9"/>
  <c r="T278" i="9"/>
  <c r="R278" i="9"/>
  <c r="O278" i="9"/>
  <c r="G278" i="9"/>
  <c r="F278" i="9"/>
  <c r="AC277" i="9"/>
  <c r="T277" i="9"/>
  <c r="R277" i="9"/>
  <c r="O277" i="9"/>
  <c r="G277" i="9"/>
  <c r="F277" i="9"/>
  <c r="L277" i="9" s="1"/>
  <c r="AC276" i="9"/>
  <c r="T276" i="9"/>
  <c r="R276" i="9"/>
  <c r="O276" i="9"/>
  <c r="G276" i="9"/>
  <c r="F276" i="9"/>
  <c r="AC275" i="9"/>
  <c r="T275" i="9"/>
  <c r="R275" i="9"/>
  <c r="O275" i="9"/>
  <c r="G275" i="9"/>
  <c r="F275" i="9"/>
  <c r="L275" i="9" s="1"/>
  <c r="AC274" i="9"/>
  <c r="T274" i="9"/>
  <c r="R274" i="9"/>
  <c r="O274" i="9"/>
  <c r="G274" i="9"/>
  <c r="F274" i="9"/>
  <c r="E137" i="11" s="1"/>
  <c r="AC273" i="9"/>
  <c r="T273" i="9"/>
  <c r="R273" i="9"/>
  <c r="O273" i="9"/>
  <c r="G273" i="9"/>
  <c r="F273" i="9"/>
  <c r="L273" i="9" s="1"/>
  <c r="AC272" i="9"/>
  <c r="T272" i="9"/>
  <c r="R272" i="9"/>
  <c r="O272" i="9"/>
  <c r="G272" i="9"/>
  <c r="F272" i="9"/>
  <c r="AC271" i="9"/>
  <c r="T271" i="9"/>
  <c r="R271" i="9"/>
  <c r="O271" i="9"/>
  <c r="G271" i="9"/>
  <c r="F271" i="9"/>
  <c r="AC270" i="9"/>
  <c r="U270" i="9"/>
  <c r="T270" i="9"/>
  <c r="R270" i="9"/>
  <c r="O270" i="9"/>
  <c r="G270" i="9"/>
  <c r="F270" i="9"/>
  <c r="AC269" i="9"/>
  <c r="T269" i="9"/>
  <c r="R269" i="9"/>
  <c r="O269" i="9"/>
  <c r="G269" i="9"/>
  <c r="F269" i="9"/>
  <c r="AC268" i="9"/>
  <c r="T268" i="9"/>
  <c r="R268" i="9"/>
  <c r="O268" i="9"/>
  <c r="G268" i="9"/>
  <c r="F268" i="9"/>
  <c r="E134" i="11" s="1"/>
  <c r="AC267" i="9"/>
  <c r="T267" i="9"/>
  <c r="R267" i="9"/>
  <c r="O267" i="9"/>
  <c r="G267" i="9"/>
  <c r="F267" i="9"/>
  <c r="L267" i="9" s="1"/>
  <c r="AC266" i="9"/>
  <c r="T266" i="9"/>
  <c r="R266" i="9"/>
  <c r="O266" i="9"/>
  <c r="G266" i="9"/>
  <c r="F266" i="9"/>
  <c r="E133" i="11" s="1"/>
  <c r="AC265" i="9"/>
  <c r="T265" i="9"/>
  <c r="R265" i="9"/>
  <c r="O265" i="9"/>
  <c r="G265" i="9"/>
  <c r="F265" i="9"/>
  <c r="L265" i="9" s="1"/>
  <c r="AC264" i="9"/>
  <c r="T264" i="9"/>
  <c r="R264" i="9"/>
  <c r="O264" i="9"/>
  <c r="G264" i="9"/>
  <c r="F264" i="9"/>
  <c r="AC263" i="9"/>
  <c r="T263" i="9"/>
  <c r="R263" i="9"/>
  <c r="O263" i="9"/>
  <c r="G263" i="9"/>
  <c r="F263" i="9"/>
  <c r="L263" i="9" s="1"/>
  <c r="AC262" i="9"/>
  <c r="T262" i="9"/>
  <c r="R262" i="9"/>
  <c r="O262" i="9"/>
  <c r="G262" i="9"/>
  <c r="F262" i="9"/>
  <c r="AC261" i="9"/>
  <c r="T261" i="9"/>
  <c r="R261" i="9"/>
  <c r="O261" i="9"/>
  <c r="G261" i="9"/>
  <c r="F261" i="9"/>
  <c r="L261" i="9" s="1"/>
  <c r="AC260" i="9"/>
  <c r="T260" i="9"/>
  <c r="R260" i="9"/>
  <c r="O260" i="9"/>
  <c r="G260" i="9"/>
  <c r="F260" i="9"/>
  <c r="AC259" i="9"/>
  <c r="T259" i="9"/>
  <c r="R259" i="9"/>
  <c r="O259" i="9"/>
  <c r="G259" i="9"/>
  <c r="F259" i="9"/>
  <c r="L259" i="9" s="1"/>
  <c r="AC258" i="9"/>
  <c r="T258" i="9"/>
  <c r="R258" i="9"/>
  <c r="O258" i="9"/>
  <c r="G258" i="9"/>
  <c r="F258" i="9"/>
  <c r="AC257" i="9"/>
  <c r="T257" i="9"/>
  <c r="R257" i="9"/>
  <c r="O257" i="9"/>
  <c r="G257" i="9"/>
  <c r="F257" i="9"/>
  <c r="L257" i="9" s="1"/>
  <c r="AC256" i="9"/>
  <c r="U256" i="9"/>
  <c r="T256" i="9"/>
  <c r="R256" i="9"/>
  <c r="O256" i="9"/>
  <c r="G256" i="9"/>
  <c r="F256" i="9"/>
  <c r="AC255" i="9"/>
  <c r="U255" i="9"/>
  <c r="T255" i="9"/>
  <c r="R255" i="9"/>
  <c r="O255" i="9"/>
  <c r="G255" i="9"/>
  <c r="F255" i="9"/>
  <c r="L255" i="9" s="1"/>
  <c r="AC254" i="9"/>
  <c r="T254" i="9"/>
  <c r="R254" i="9"/>
  <c r="O254" i="9"/>
  <c r="G254" i="9"/>
  <c r="F254" i="9"/>
  <c r="AC253" i="9"/>
  <c r="T253" i="9"/>
  <c r="R253" i="9"/>
  <c r="O253" i="9"/>
  <c r="G253" i="9"/>
  <c r="F253" i="9"/>
  <c r="L253" i="9" s="1"/>
  <c r="AC252" i="9"/>
  <c r="T252" i="9"/>
  <c r="R252" i="9"/>
  <c r="O252" i="9"/>
  <c r="G252" i="9"/>
  <c r="F252" i="9"/>
  <c r="AC251" i="9"/>
  <c r="T251" i="9"/>
  <c r="R251" i="9"/>
  <c r="O251" i="9"/>
  <c r="G251" i="9"/>
  <c r="F251" i="9"/>
  <c r="AC250" i="9"/>
  <c r="T250" i="9"/>
  <c r="R250" i="9"/>
  <c r="O250" i="9"/>
  <c r="G250" i="9"/>
  <c r="F250" i="9"/>
  <c r="AC249" i="9"/>
  <c r="T249" i="9"/>
  <c r="R249" i="9"/>
  <c r="O249" i="9"/>
  <c r="G249" i="9"/>
  <c r="F249" i="9"/>
  <c r="AC248" i="9"/>
  <c r="T248" i="9"/>
  <c r="R248" i="9"/>
  <c r="O248" i="9"/>
  <c r="G248" i="9"/>
  <c r="F248" i="9"/>
  <c r="AC247" i="9"/>
  <c r="U247" i="9"/>
  <c r="T247" i="9"/>
  <c r="R247" i="9"/>
  <c r="O247" i="9"/>
  <c r="G247" i="9"/>
  <c r="F247" i="9"/>
  <c r="L247" i="9" s="1"/>
  <c r="AC246" i="9"/>
  <c r="U246" i="9"/>
  <c r="T246" i="9"/>
  <c r="R246" i="9"/>
  <c r="O246" i="9"/>
  <c r="G246" i="9"/>
  <c r="F246" i="9"/>
  <c r="AC245" i="9"/>
  <c r="U245" i="9"/>
  <c r="T245" i="9"/>
  <c r="R245" i="9"/>
  <c r="O245" i="9"/>
  <c r="G245" i="9"/>
  <c r="F245" i="9"/>
  <c r="L245" i="9" s="1"/>
  <c r="AC244" i="9"/>
  <c r="U244" i="9"/>
  <c r="Y245" i="9" s="1"/>
  <c r="T244" i="9"/>
  <c r="R244" i="9"/>
  <c r="O244" i="9"/>
  <c r="G244" i="9"/>
  <c r="F244" i="9"/>
  <c r="AC243" i="9"/>
  <c r="T243" i="9"/>
  <c r="R243" i="9"/>
  <c r="O243" i="9"/>
  <c r="G243" i="9"/>
  <c r="F243" i="9"/>
  <c r="AC242" i="9"/>
  <c r="T242" i="9"/>
  <c r="R242" i="9"/>
  <c r="O242" i="9"/>
  <c r="G242" i="9"/>
  <c r="F242" i="9"/>
  <c r="AC241" i="9"/>
  <c r="T241" i="9"/>
  <c r="R241" i="9"/>
  <c r="O241" i="9"/>
  <c r="G241" i="9"/>
  <c r="F241" i="9"/>
  <c r="L241" i="9" s="1"/>
  <c r="AC240" i="9"/>
  <c r="T240" i="9"/>
  <c r="R240" i="9"/>
  <c r="O240" i="9"/>
  <c r="G240" i="9"/>
  <c r="F240" i="9"/>
  <c r="AC239" i="9"/>
  <c r="T239" i="9"/>
  <c r="R239" i="9"/>
  <c r="O239" i="9"/>
  <c r="G239" i="9"/>
  <c r="F239" i="9"/>
  <c r="L239" i="9" s="1"/>
  <c r="AC238" i="9"/>
  <c r="T238" i="9"/>
  <c r="R238" i="9"/>
  <c r="O238" i="9"/>
  <c r="G238" i="9"/>
  <c r="F238" i="9"/>
  <c r="L238" i="9" s="1"/>
  <c r="AC237" i="9"/>
  <c r="T237" i="9"/>
  <c r="R237" i="9"/>
  <c r="O237" i="9"/>
  <c r="G237" i="9"/>
  <c r="F237" i="9"/>
  <c r="AC236" i="9"/>
  <c r="U236" i="9"/>
  <c r="T236" i="9"/>
  <c r="R236" i="9"/>
  <c r="O236" i="9"/>
  <c r="G236" i="9"/>
  <c r="F236" i="9"/>
  <c r="L236" i="9" s="1"/>
  <c r="AC235" i="9"/>
  <c r="T235" i="9"/>
  <c r="R235" i="9"/>
  <c r="O235" i="9"/>
  <c r="G235" i="9"/>
  <c r="F235" i="9"/>
  <c r="AC234" i="9"/>
  <c r="T234" i="9"/>
  <c r="R234" i="9"/>
  <c r="O234" i="9"/>
  <c r="G234" i="9"/>
  <c r="F234" i="9"/>
  <c r="L234" i="9" s="1"/>
  <c r="AC233" i="9"/>
  <c r="U233" i="9"/>
  <c r="T233" i="9"/>
  <c r="R233" i="9"/>
  <c r="O233" i="9"/>
  <c r="G233" i="9"/>
  <c r="F233" i="9"/>
  <c r="AC232" i="9"/>
  <c r="T232" i="9"/>
  <c r="R232" i="9"/>
  <c r="O232" i="9"/>
  <c r="G232" i="9"/>
  <c r="F232" i="9"/>
  <c r="AC231" i="9"/>
  <c r="T231" i="9"/>
  <c r="R231" i="9"/>
  <c r="O231" i="9"/>
  <c r="G231" i="9"/>
  <c r="F231" i="9"/>
  <c r="E116" i="11" s="1"/>
  <c r="AC230" i="9"/>
  <c r="T230" i="9"/>
  <c r="R230" i="9"/>
  <c r="O230" i="9"/>
  <c r="G230" i="9"/>
  <c r="F230" i="9"/>
  <c r="L230" i="9" s="1"/>
  <c r="AC229" i="9"/>
  <c r="T229" i="9"/>
  <c r="R229" i="9"/>
  <c r="O229" i="9"/>
  <c r="G229" i="9"/>
  <c r="F229" i="9"/>
  <c r="AC228" i="9"/>
  <c r="U228" i="9"/>
  <c r="T228" i="9"/>
  <c r="R228" i="9"/>
  <c r="O228" i="9"/>
  <c r="G228" i="9"/>
  <c r="F228" i="9"/>
  <c r="L228" i="9" s="1"/>
  <c r="AC227" i="9"/>
  <c r="T227" i="9"/>
  <c r="R227" i="9"/>
  <c r="O227" i="9"/>
  <c r="G227" i="9"/>
  <c r="F227" i="9"/>
  <c r="AC226" i="9"/>
  <c r="U226" i="9"/>
  <c r="T226" i="9"/>
  <c r="R226" i="9"/>
  <c r="O226" i="9"/>
  <c r="G226" i="9"/>
  <c r="F226" i="9"/>
  <c r="AC225" i="9"/>
  <c r="U225" i="9"/>
  <c r="T225" i="9"/>
  <c r="R225" i="9"/>
  <c r="O225" i="9"/>
  <c r="G225" i="9"/>
  <c r="F225" i="9"/>
  <c r="L225" i="9" s="1"/>
  <c r="AC224" i="9"/>
  <c r="U224" i="9"/>
  <c r="Y226" i="9" s="1"/>
  <c r="T224" i="9"/>
  <c r="R224" i="9"/>
  <c r="O224" i="9"/>
  <c r="G224" i="9"/>
  <c r="F224" i="9"/>
  <c r="AC223" i="9"/>
  <c r="T223" i="9"/>
  <c r="R223" i="9"/>
  <c r="O223" i="9"/>
  <c r="G223" i="9"/>
  <c r="F223" i="9"/>
  <c r="L223" i="9" s="1"/>
  <c r="AC222" i="9"/>
  <c r="T222" i="9"/>
  <c r="R222" i="9"/>
  <c r="O222" i="9"/>
  <c r="G222" i="9"/>
  <c r="F222" i="9"/>
  <c r="AC221" i="9"/>
  <c r="T221" i="9"/>
  <c r="R221" i="9"/>
  <c r="O221" i="9"/>
  <c r="G221" i="9"/>
  <c r="F221" i="9"/>
  <c r="L221" i="9" s="1"/>
  <c r="AC220" i="9"/>
  <c r="U220" i="9"/>
  <c r="Y221" i="9" s="1"/>
  <c r="T220" i="9"/>
  <c r="R220" i="9"/>
  <c r="O220" i="9"/>
  <c r="G220" i="9"/>
  <c r="F220" i="9"/>
  <c r="AC219" i="9"/>
  <c r="T219" i="9"/>
  <c r="R219" i="9"/>
  <c r="O219" i="9"/>
  <c r="G219" i="9"/>
  <c r="F219" i="9"/>
  <c r="L219" i="9" s="1"/>
  <c r="AC218" i="9"/>
  <c r="T218" i="9"/>
  <c r="R218" i="9"/>
  <c r="O218" i="9"/>
  <c r="G218" i="9"/>
  <c r="F218" i="9"/>
  <c r="L218" i="9" s="1"/>
  <c r="AC217" i="9"/>
  <c r="T217" i="9"/>
  <c r="R217" i="9"/>
  <c r="O217" i="9"/>
  <c r="G217" i="9"/>
  <c r="F217" i="9"/>
  <c r="L217" i="9" s="1"/>
  <c r="AC216" i="9"/>
  <c r="T216" i="9"/>
  <c r="R216" i="9"/>
  <c r="O216" i="9"/>
  <c r="G216" i="9"/>
  <c r="F216" i="9"/>
  <c r="AC215" i="9"/>
  <c r="T215" i="9"/>
  <c r="R215" i="9"/>
  <c r="O215" i="9"/>
  <c r="G215" i="9"/>
  <c r="F215" i="9"/>
  <c r="AC214" i="9"/>
  <c r="T214" i="9"/>
  <c r="R214" i="9"/>
  <c r="O214" i="9"/>
  <c r="G214" i="9"/>
  <c r="F214" i="9"/>
  <c r="L214" i="9" s="1"/>
  <c r="AC213" i="9"/>
  <c r="T213" i="9"/>
  <c r="R213" i="9"/>
  <c r="O213" i="9"/>
  <c r="G213" i="9"/>
  <c r="F213" i="9"/>
  <c r="L213" i="9" s="1"/>
  <c r="AC212" i="9"/>
  <c r="T212" i="9"/>
  <c r="R212" i="9"/>
  <c r="O212" i="9"/>
  <c r="G212" i="9"/>
  <c r="F212" i="9"/>
  <c r="AC211" i="9"/>
  <c r="T211" i="9"/>
  <c r="R211" i="9"/>
  <c r="O211" i="9"/>
  <c r="G211" i="9"/>
  <c r="F211" i="9"/>
  <c r="L211" i="9" s="1"/>
  <c r="AC210" i="9"/>
  <c r="T210" i="9"/>
  <c r="R210" i="9"/>
  <c r="O210" i="9"/>
  <c r="G210" i="9"/>
  <c r="F210" i="9"/>
  <c r="AC209" i="9"/>
  <c r="T209" i="9"/>
  <c r="R209" i="9"/>
  <c r="O209" i="9"/>
  <c r="G209" i="9"/>
  <c r="F209" i="9"/>
  <c r="L209" i="9" s="1"/>
  <c r="AC208" i="9"/>
  <c r="T208" i="9"/>
  <c r="R208" i="9"/>
  <c r="O208" i="9"/>
  <c r="G208" i="9"/>
  <c r="F208" i="9"/>
  <c r="AC207" i="9"/>
  <c r="T207" i="9"/>
  <c r="R207" i="9"/>
  <c r="O207" i="9"/>
  <c r="G207" i="9"/>
  <c r="F207" i="9"/>
  <c r="AC206" i="9"/>
  <c r="T206" i="9"/>
  <c r="R206" i="9"/>
  <c r="O206" i="9"/>
  <c r="G206" i="9"/>
  <c r="F206" i="9"/>
  <c r="L206" i="9" s="1"/>
  <c r="AC205" i="9"/>
  <c r="T205" i="9"/>
  <c r="R205" i="9"/>
  <c r="O205" i="9"/>
  <c r="G205" i="9"/>
  <c r="F205" i="9"/>
  <c r="L205" i="9" s="1"/>
  <c r="AC204" i="9"/>
  <c r="T204" i="9"/>
  <c r="R204" i="9"/>
  <c r="O204" i="9"/>
  <c r="G204" i="9"/>
  <c r="F204" i="9"/>
  <c r="AC203" i="9"/>
  <c r="T203" i="9"/>
  <c r="R203" i="9"/>
  <c r="O203" i="9"/>
  <c r="G203" i="9"/>
  <c r="F203" i="9"/>
  <c r="AC202" i="9"/>
  <c r="T202" i="9"/>
  <c r="R202" i="9"/>
  <c r="O202" i="9"/>
  <c r="G202" i="9"/>
  <c r="F202" i="9"/>
  <c r="L202" i="9" s="1"/>
  <c r="AC201" i="9"/>
  <c r="T201" i="9"/>
  <c r="R201" i="9"/>
  <c r="O201" i="9"/>
  <c r="G201" i="9"/>
  <c r="F201" i="9"/>
  <c r="L201" i="9" s="1"/>
  <c r="AC200" i="9"/>
  <c r="T200" i="9"/>
  <c r="R200" i="9"/>
  <c r="O200" i="9"/>
  <c r="G200" i="9"/>
  <c r="F200" i="9"/>
  <c r="E106" i="11" s="1"/>
  <c r="AC199" i="9"/>
  <c r="T199" i="9"/>
  <c r="R199" i="9"/>
  <c r="O199" i="9"/>
  <c r="G199" i="9"/>
  <c r="F199" i="9"/>
  <c r="AC198" i="9"/>
  <c r="T198" i="9"/>
  <c r="R198" i="9"/>
  <c r="O198" i="9"/>
  <c r="G198" i="9"/>
  <c r="F198" i="9"/>
  <c r="L198" i="9" s="1"/>
  <c r="AC197" i="9"/>
  <c r="T197" i="9"/>
  <c r="R197" i="9"/>
  <c r="O197" i="9"/>
  <c r="G197" i="9"/>
  <c r="F197" i="9"/>
  <c r="L197" i="9" s="1"/>
  <c r="AC196" i="9"/>
  <c r="T196" i="9"/>
  <c r="R196" i="9"/>
  <c r="O196" i="9"/>
  <c r="G196" i="9"/>
  <c r="F196" i="9"/>
  <c r="AC195" i="9"/>
  <c r="T195" i="9"/>
  <c r="R195" i="9"/>
  <c r="O195" i="9"/>
  <c r="G195" i="9"/>
  <c r="F195" i="9"/>
  <c r="L195" i="9" s="1"/>
  <c r="AC194" i="9"/>
  <c r="T194" i="9"/>
  <c r="R194" i="9"/>
  <c r="O194" i="9"/>
  <c r="G194" i="9"/>
  <c r="F194" i="9"/>
  <c r="L194" i="9" s="1"/>
  <c r="AC193" i="9"/>
  <c r="T193" i="9"/>
  <c r="R193" i="9"/>
  <c r="O193" i="9"/>
  <c r="G193" i="9"/>
  <c r="F193" i="9"/>
  <c r="AC192" i="9"/>
  <c r="T192" i="9"/>
  <c r="R192" i="9"/>
  <c r="O192" i="9"/>
  <c r="G192" i="9"/>
  <c r="F192" i="9"/>
  <c r="E104" i="11" s="1"/>
  <c r="AC191" i="9"/>
  <c r="T191" i="9"/>
  <c r="R191" i="9"/>
  <c r="O191" i="9"/>
  <c r="G191" i="9"/>
  <c r="F191" i="9"/>
  <c r="L191" i="9" s="1"/>
  <c r="AC190" i="9"/>
  <c r="T190" i="9"/>
  <c r="R190" i="9"/>
  <c r="O190" i="9"/>
  <c r="G190" i="9"/>
  <c r="F190" i="9"/>
  <c r="L190" i="9" s="1"/>
  <c r="AC189" i="9"/>
  <c r="T189" i="9"/>
  <c r="R189" i="9"/>
  <c r="O189" i="9"/>
  <c r="G189" i="9"/>
  <c r="F189" i="9"/>
  <c r="L189" i="9" s="1"/>
  <c r="AC188" i="9"/>
  <c r="T188" i="9"/>
  <c r="R188" i="9"/>
  <c r="O188" i="9"/>
  <c r="G188" i="9"/>
  <c r="F188" i="9"/>
  <c r="AC187" i="9"/>
  <c r="T187" i="9"/>
  <c r="R187" i="9"/>
  <c r="O187" i="9"/>
  <c r="G187" i="9"/>
  <c r="F187" i="9"/>
  <c r="L187" i="9" s="1"/>
  <c r="AC186" i="9"/>
  <c r="T186" i="9"/>
  <c r="R186" i="9"/>
  <c r="O186" i="9"/>
  <c r="G186" i="9"/>
  <c r="F186" i="9"/>
  <c r="L186" i="9" s="1"/>
  <c r="AC185" i="9"/>
  <c r="T185" i="9"/>
  <c r="R185" i="9"/>
  <c r="O185" i="9"/>
  <c r="G185" i="9"/>
  <c r="F185" i="9"/>
  <c r="L185" i="9" s="1"/>
  <c r="AC184" i="9"/>
  <c r="T184" i="9"/>
  <c r="R184" i="9"/>
  <c r="O184" i="9"/>
  <c r="G184" i="9"/>
  <c r="F184" i="9"/>
  <c r="E102" i="11" s="1"/>
  <c r="AC183" i="9"/>
  <c r="T183" i="9"/>
  <c r="R183" i="9"/>
  <c r="O183" i="9"/>
  <c r="G183" i="9"/>
  <c r="F183" i="9"/>
  <c r="AC182" i="9"/>
  <c r="T182" i="9"/>
  <c r="R182" i="9"/>
  <c r="O182" i="9"/>
  <c r="G182" i="9"/>
  <c r="F182" i="9"/>
  <c r="L182" i="9" s="1"/>
  <c r="AC181" i="9"/>
  <c r="T181" i="9"/>
  <c r="R181" i="9"/>
  <c r="O181" i="9"/>
  <c r="G181" i="9"/>
  <c r="F181" i="9"/>
  <c r="L181" i="9" s="1"/>
  <c r="AC180" i="9"/>
  <c r="T180" i="9"/>
  <c r="R180" i="9"/>
  <c r="O180" i="9"/>
  <c r="G180" i="9"/>
  <c r="F180" i="9"/>
  <c r="E101" i="11" s="1"/>
  <c r="AC179" i="9"/>
  <c r="T179" i="9"/>
  <c r="R179" i="9"/>
  <c r="O179" i="9"/>
  <c r="G179" i="9"/>
  <c r="F179" i="9"/>
  <c r="AC178" i="9"/>
  <c r="T178" i="9"/>
  <c r="R178" i="9"/>
  <c r="O178" i="9"/>
  <c r="G178" i="9"/>
  <c r="F178" i="9"/>
  <c r="AC177" i="9"/>
  <c r="T177" i="9"/>
  <c r="R177" i="9"/>
  <c r="O177" i="9"/>
  <c r="G177" i="9"/>
  <c r="F177" i="9"/>
  <c r="L177" i="9" s="1"/>
  <c r="AC176" i="9"/>
  <c r="T176" i="9"/>
  <c r="R176" i="9"/>
  <c r="O176" i="9"/>
  <c r="G176" i="9"/>
  <c r="F176" i="9"/>
  <c r="AC175" i="9"/>
  <c r="T175" i="9"/>
  <c r="R175" i="9"/>
  <c r="O175" i="9"/>
  <c r="G175" i="9"/>
  <c r="F175" i="9"/>
  <c r="L175" i="9" s="1"/>
  <c r="AC174" i="9"/>
  <c r="T174" i="9"/>
  <c r="R174" i="9"/>
  <c r="O174" i="9"/>
  <c r="G174" i="9"/>
  <c r="F174" i="9"/>
  <c r="L174" i="9" s="1"/>
  <c r="AC173" i="9"/>
  <c r="T173" i="9"/>
  <c r="R173" i="9"/>
  <c r="O173" i="9"/>
  <c r="G173" i="9"/>
  <c r="F173" i="9"/>
  <c r="AC172" i="9"/>
  <c r="T172" i="9"/>
  <c r="R172" i="9"/>
  <c r="O172" i="9"/>
  <c r="G172" i="9"/>
  <c r="F172" i="9"/>
  <c r="E99" i="11" s="1"/>
  <c r="AC171" i="9"/>
  <c r="T171" i="9"/>
  <c r="R171" i="9"/>
  <c r="O171" i="9"/>
  <c r="G171" i="9"/>
  <c r="F171" i="9"/>
  <c r="AC170" i="9"/>
  <c r="T170" i="9"/>
  <c r="R170" i="9"/>
  <c r="O170" i="9"/>
  <c r="G170" i="9"/>
  <c r="F170" i="9"/>
  <c r="L170" i="9" s="1"/>
  <c r="AC169" i="9"/>
  <c r="T169" i="9"/>
  <c r="R169" i="9"/>
  <c r="O169" i="9"/>
  <c r="G169" i="9"/>
  <c r="F169" i="9"/>
  <c r="L169" i="9" s="1"/>
  <c r="AC168" i="9"/>
  <c r="T168" i="9"/>
  <c r="R168" i="9"/>
  <c r="O168" i="9"/>
  <c r="G168" i="9"/>
  <c r="F168" i="9"/>
  <c r="AC167" i="9"/>
  <c r="T167" i="9"/>
  <c r="R167" i="9"/>
  <c r="O167" i="9"/>
  <c r="G167" i="9"/>
  <c r="F167" i="9"/>
  <c r="AC166" i="9"/>
  <c r="T166" i="9"/>
  <c r="R166" i="9"/>
  <c r="O166" i="9"/>
  <c r="G166" i="9"/>
  <c r="F166" i="9"/>
  <c r="AC165" i="9"/>
  <c r="U165" i="9"/>
  <c r="T165" i="9"/>
  <c r="R165" i="9"/>
  <c r="O165" i="9"/>
  <c r="H165" i="9"/>
  <c r="G165" i="9"/>
  <c r="F165" i="9"/>
  <c r="L165" i="9" s="1"/>
  <c r="AC164" i="9"/>
  <c r="T164" i="9"/>
  <c r="R164" i="9"/>
  <c r="O164" i="9"/>
  <c r="G164" i="9"/>
  <c r="F164" i="9"/>
  <c r="E97" i="11" s="1"/>
  <c r="AC163" i="9"/>
  <c r="T163" i="9"/>
  <c r="R163" i="9"/>
  <c r="O163" i="9"/>
  <c r="G163" i="9"/>
  <c r="F163" i="9"/>
  <c r="AC162" i="9"/>
  <c r="T162" i="9"/>
  <c r="R162" i="9"/>
  <c r="O162" i="9"/>
  <c r="G162" i="9"/>
  <c r="F162" i="9"/>
  <c r="L162" i="9" s="1"/>
  <c r="AC161" i="9"/>
  <c r="T161" i="9"/>
  <c r="R161" i="9"/>
  <c r="O161" i="9"/>
  <c r="G161" i="9"/>
  <c r="F161" i="9"/>
  <c r="L161" i="9" s="1"/>
  <c r="AC160" i="9"/>
  <c r="T160" i="9"/>
  <c r="R160" i="9"/>
  <c r="O160" i="9"/>
  <c r="G160" i="9"/>
  <c r="F160" i="9"/>
  <c r="E96" i="11" s="1"/>
  <c r="AC159" i="9"/>
  <c r="U159" i="9"/>
  <c r="T159" i="9"/>
  <c r="R159" i="9"/>
  <c r="O159" i="9"/>
  <c r="H159" i="9"/>
  <c r="G159" i="9"/>
  <c r="F159" i="9"/>
  <c r="AC158" i="9"/>
  <c r="T158" i="9"/>
  <c r="R158" i="9"/>
  <c r="O158" i="9"/>
  <c r="G158" i="9"/>
  <c r="F158" i="9"/>
  <c r="L158" i="9" s="1"/>
  <c r="AC157" i="9"/>
  <c r="T157" i="9"/>
  <c r="R157" i="9"/>
  <c r="O157" i="9"/>
  <c r="G157" i="9"/>
  <c r="F157" i="9"/>
  <c r="L157" i="9" s="1"/>
  <c r="AC156" i="9"/>
  <c r="T156" i="9"/>
  <c r="R156" i="9"/>
  <c r="O156" i="9"/>
  <c r="G156" i="9"/>
  <c r="F156" i="9"/>
  <c r="AC155" i="9"/>
  <c r="T155" i="9"/>
  <c r="R155" i="9"/>
  <c r="O155" i="9"/>
  <c r="G155" i="9"/>
  <c r="F155" i="9"/>
  <c r="L155" i="9" s="1"/>
  <c r="AC154" i="9"/>
  <c r="T154" i="9"/>
  <c r="R154" i="9"/>
  <c r="O154" i="9"/>
  <c r="G154" i="9"/>
  <c r="F154" i="9"/>
  <c r="L154" i="9" s="1"/>
  <c r="AC153" i="9"/>
  <c r="T153" i="9"/>
  <c r="R153" i="9"/>
  <c r="O153" i="9"/>
  <c r="G153" i="9"/>
  <c r="F153" i="9"/>
  <c r="L153" i="9" s="1"/>
  <c r="AC152" i="9"/>
  <c r="T152" i="9"/>
  <c r="R152" i="9"/>
  <c r="O152" i="9"/>
  <c r="G152" i="9"/>
  <c r="F152" i="9"/>
  <c r="AC151" i="9"/>
  <c r="T151" i="9"/>
  <c r="R151" i="9"/>
  <c r="O151" i="9"/>
  <c r="G151" i="9"/>
  <c r="F151" i="9"/>
  <c r="L151" i="9" s="1"/>
  <c r="AC150" i="9"/>
  <c r="T150" i="9"/>
  <c r="R150" i="9"/>
  <c r="O150" i="9"/>
  <c r="G150" i="9"/>
  <c r="F150" i="9"/>
  <c r="AC149" i="9"/>
  <c r="T149" i="9"/>
  <c r="R149" i="9"/>
  <c r="O149" i="9"/>
  <c r="G149" i="9"/>
  <c r="F149" i="9"/>
  <c r="L149" i="9" s="1"/>
  <c r="AC148" i="9"/>
  <c r="T148" i="9"/>
  <c r="R148" i="9"/>
  <c r="O148" i="9"/>
  <c r="G148" i="9"/>
  <c r="F148" i="9"/>
  <c r="E93" i="11" s="1"/>
  <c r="AC147" i="9"/>
  <c r="T147" i="9"/>
  <c r="R147" i="9"/>
  <c r="O147" i="9"/>
  <c r="G147" i="9"/>
  <c r="F147" i="9"/>
  <c r="AC146" i="9"/>
  <c r="T146" i="9"/>
  <c r="R146" i="9"/>
  <c r="O146" i="9"/>
  <c r="G146" i="9"/>
  <c r="F146" i="9"/>
  <c r="L146" i="9" s="1"/>
  <c r="AC145" i="9"/>
  <c r="T145" i="9"/>
  <c r="R145" i="9"/>
  <c r="O145" i="9"/>
  <c r="G145" i="9"/>
  <c r="F145" i="9"/>
  <c r="L145" i="9" s="1"/>
  <c r="AC144" i="9"/>
  <c r="T144" i="9"/>
  <c r="R144" i="9"/>
  <c r="O144" i="9"/>
  <c r="G144" i="9"/>
  <c r="F144" i="9"/>
  <c r="AC143" i="9"/>
  <c r="T143" i="9"/>
  <c r="R143" i="9"/>
  <c r="O143" i="9"/>
  <c r="G143" i="9"/>
  <c r="F143" i="9"/>
  <c r="L143" i="9" s="1"/>
  <c r="AC142" i="9"/>
  <c r="T142" i="9"/>
  <c r="R142" i="9"/>
  <c r="O142" i="9"/>
  <c r="G142" i="9"/>
  <c r="F142" i="9"/>
  <c r="E90" i="11" s="1"/>
  <c r="AC141" i="9"/>
  <c r="T141" i="9"/>
  <c r="R141" i="9"/>
  <c r="O141" i="9"/>
  <c r="G141" i="9"/>
  <c r="F141" i="9"/>
  <c r="L141" i="9" s="1"/>
  <c r="AC140" i="9"/>
  <c r="T140" i="9"/>
  <c r="R140" i="9"/>
  <c r="O140" i="9"/>
  <c r="G140" i="9"/>
  <c r="F140" i="9"/>
  <c r="E89" i="11" s="1"/>
  <c r="AC139" i="9"/>
  <c r="T139" i="9"/>
  <c r="R139" i="9"/>
  <c r="O139" i="9"/>
  <c r="G139" i="9"/>
  <c r="F139" i="9"/>
  <c r="L139" i="9" s="1"/>
  <c r="AC138" i="9"/>
  <c r="U138" i="9"/>
  <c r="Y139" i="9" s="1"/>
  <c r="T138" i="9"/>
  <c r="R138" i="9"/>
  <c r="O138" i="9"/>
  <c r="G138" i="9"/>
  <c r="F138" i="9"/>
  <c r="AC137" i="9"/>
  <c r="T137" i="9"/>
  <c r="R137" i="9"/>
  <c r="O137" i="9"/>
  <c r="G137" i="9"/>
  <c r="F137" i="9"/>
  <c r="L137" i="9" s="1"/>
  <c r="AC136" i="9"/>
  <c r="T136" i="9"/>
  <c r="R136" i="9"/>
  <c r="O136" i="9"/>
  <c r="G136" i="9"/>
  <c r="F136" i="9"/>
  <c r="L136" i="9" s="1"/>
  <c r="AC135" i="9"/>
  <c r="T135" i="9"/>
  <c r="R135" i="9"/>
  <c r="O135" i="9"/>
  <c r="G135" i="9"/>
  <c r="F135" i="9"/>
  <c r="L135" i="9" s="1"/>
  <c r="AC134" i="9"/>
  <c r="T134" i="9"/>
  <c r="R134" i="9"/>
  <c r="O134" i="9"/>
  <c r="G134" i="9"/>
  <c r="F134" i="9"/>
  <c r="L134" i="9" s="1"/>
  <c r="AC133" i="9"/>
  <c r="T133" i="9"/>
  <c r="R133" i="9"/>
  <c r="O133" i="9"/>
  <c r="G133" i="9"/>
  <c r="F133" i="9"/>
  <c r="L133" i="9" s="1"/>
  <c r="AC132" i="9"/>
  <c r="U132" i="9"/>
  <c r="Y133" i="9" s="1"/>
  <c r="T132" i="9"/>
  <c r="R132" i="9"/>
  <c r="O132" i="9"/>
  <c r="G132" i="9"/>
  <c r="F132" i="9"/>
  <c r="L132" i="9" s="1"/>
  <c r="AC131" i="9"/>
  <c r="U131" i="9"/>
  <c r="T131" i="9"/>
  <c r="R131" i="9"/>
  <c r="O131" i="9"/>
  <c r="G131" i="9"/>
  <c r="F131" i="9"/>
  <c r="AC130" i="9"/>
  <c r="U130" i="9"/>
  <c r="Y131" i="9" s="1"/>
  <c r="T130" i="9"/>
  <c r="R130" i="9"/>
  <c r="O130" i="9"/>
  <c r="G130" i="9"/>
  <c r="F130" i="9"/>
  <c r="E84" i="11" s="1"/>
  <c r="AC129" i="9"/>
  <c r="T129" i="9"/>
  <c r="R129" i="9"/>
  <c r="O129" i="9"/>
  <c r="G129" i="9"/>
  <c r="F129" i="9"/>
  <c r="L129" i="9" s="1"/>
  <c r="AC128" i="9"/>
  <c r="U128" i="9"/>
  <c r="Y129" i="9" s="1"/>
  <c r="T128" i="9"/>
  <c r="R128" i="9"/>
  <c r="O128" i="9"/>
  <c r="G128" i="9"/>
  <c r="F128" i="9"/>
  <c r="AC127" i="9"/>
  <c r="U127" i="9"/>
  <c r="T127" i="9"/>
  <c r="R127" i="9"/>
  <c r="O127" i="9"/>
  <c r="G127" i="9"/>
  <c r="F127" i="9"/>
  <c r="L127" i="9" s="1"/>
  <c r="AC126" i="9"/>
  <c r="U126" i="9"/>
  <c r="Y126" i="9" s="1"/>
  <c r="Z126" i="9" s="1"/>
  <c r="T126" i="9"/>
  <c r="R126" i="9"/>
  <c r="O126" i="9"/>
  <c r="G126" i="9"/>
  <c r="F126" i="9"/>
  <c r="E82" i="11" s="1"/>
  <c r="AC125" i="9"/>
  <c r="U125" i="9"/>
  <c r="T125" i="9"/>
  <c r="R125" i="9"/>
  <c r="O125" i="9"/>
  <c r="G125" i="9"/>
  <c r="F125" i="9"/>
  <c r="AC124" i="9"/>
  <c r="U124" i="9"/>
  <c r="Y124" i="9" s="1"/>
  <c r="Z124" i="9" s="1"/>
  <c r="T124" i="9"/>
  <c r="R124" i="9"/>
  <c r="O124" i="9"/>
  <c r="G124" i="9"/>
  <c r="F124" i="9"/>
  <c r="AC123" i="9"/>
  <c r="U123" i="9"/>
  <c r="T123" i="9"/>
  <c r="R123" i="9"/>
  <c r="O123" i="9"/>
  <c r="G123" i="9"/>
  <c r="F123" i="9"/>
  <c r="L123" i="9" s="1"/>
  <c r="AC122" i="9"/>
  <c r="U122" i="9"/>
  <c r="Y123" i="9" s="1"/>
  <c r="T122" i="9"/>
  <c r="R122" i="9"/>
  <c r="O122" i="9"/>
  <c r="G122" i="9"/>
  <c r="F122" i="9"/>
  <c r="E80" i="11" s="1"/>
  <c r="AC121" i="9"/>
  <c r="T121" i="9"/>
  <c r="R121" i="9"/>
  <c r="O121" i="9"/>
  <c r="G121" i="9"/>
  <c r="F121" i="9"/>
  <c r="L121" i="9" s="1"/>
  <c r="AC120" i="9"/>
  <c r="U120" i="9"/>
  <c r="T120" i="9"/>
  <c r="R120" i="9"/>
  <c r="O120" i="9"/>
  <c r="G120" i="9"/>
  <c r="F120" i="9"/>
  <c r="E79" i="11" s="1"/>
  <c r="AC119" i="9"/>
  <c r="U119" i="9"/>
  <c r="T119" i="9"/>
  <c r="R119" i="9"/>
  <c r="O119" i="9"/>
  <c r="H119" i="9"/>
  <c r="G119" i="9"/>
  <c r="F119" i="9"/>
  <c r="L119" i="9" s="1"/>
  <c r="AC118" i="9"/>
  <c r="T118" i="9"/>
  <c r="R118" i="9"/>
  <c r="O118" i="9"/>
  <c r="G118" i="9"/>
  <c r="F118" i="9"/>
  <c r="AC117" i="9"/>
  <c r="T117" i="9"/>
  <c r="R117" i="9"/>
  <c r="O117" i="9"/>
  <c r="G117" i="9"/>
  <c r="F117" i="9"/>
  <c r="L117" i="9" s="1"/>
  <c r="AC116" i="9"/>
  <c r="T116" i="9"/>
  <c r="R116" i="9"/>
  <c r="O116" i="9"/>
  <c r="G116" i="9"/>
  <c r="F116" i="9"/>
  <c r="AC115" i="9"/>
  <c r="T115" i="9"/>
  <c r="R115" i="9"/>
  <c r="O115" i="9"/>
  <c r="G115" i="9"/>
  <c r="F115" i="9"/>
  <c r="L115" i="9" s="1"/>
  <c r="AC114" i="9"/>
  <c r="T114" i="9"/>
  <c r="R114" i="9"/>
  <c r="O114" i="9"/>
  <c r="G114" i="9"/>
  <c r="F114" i="9"/>
  <c r="E76" i="11" s="1"/>
  <c r="AC113" i="9"/>
  <c r="T113" i="9"/>
  <c r="R113" i="9"/>
  <c r="O113" i="9"/>
  <c r="G113" i="9"/>
  <c r="F113" i="9"/>
  <c r="L113" i="9" s="1"/>
  <c r="AC112" i="9"/>
  <c r="T112" i="9"/>
  <c r="R112" i="9"/>
  <c r="O112" i="9"/>
  <c r="G112" i="9"/>
  <c r="F112" i="9"/>
  <c r="E75" i="11" s="1"/>
  <c r="AC111" i="9"/>
  <c r="T111" i="9"/>
  <c r="R111" i="9"/>
  <c r="O111" i="9"/>
  <c r="G111" i="9"/>
  <c r="F111" i="9"/>
  <c r="L111" i="9" s="1"/>
  <c r="AC110" i="9"/>
  <c r="T110" i="9"/>
  <c r="R110" i="9"/>
  <c r="O110" i="9"/>
  <c r="G110" i="9"/>
  <c r="F110" i="9"/>
  <c r="E74" i="11" s="1"/>
  <c r="AC109" i="9"/>
  <c r="T109" i="9"/>
  <c r="R109" i="9"/>
  <c r="O109" i="9"/>
  <c r="G109" i="9"/>
  <c r="F109" i="9"/>
  <c r="L109" i="9" s="1"/>
  <c r="AC108" i="9"/>
  <c r="T108" i="9"/>
  <c r="R108" i="9"/>
  <c r="O108" i="9"/>
  <c r="G108" i="9"/>
  <c r="F108" i="9"/>
  <c r="E73" i="11" s="1"/>
  <c r="AC107" i="9"/>
  <c r="T107" i="9"/>
  <c r="R107" i="9"/>
  <c r="O107" i="9"/>
  <c r="G107" i="9"/>
  <c r="F107" i="9"/>
  <c r="L107" i="9" s="1"/>
  <c r="AC106" i="9"/>
  <c r="T106" i="9"/>
  <c r="R106" i="9"/>
  <c r="O106" i="9"/>
  <c r="G106" i="9"/>
  <c r="F106" i="9"/>
  <c r="E72" i="11" s="1"/>
  <c r="AC105" i="9"/>
  <c r="U105" i="9"/>
  <c r="T105" i="9"/>
  <c r="R105" i="9"/>
  <c r="O105" i="9"/>
  <c r="G105" i="9"/>
  <c r="F105" i="9"/>
  <c r="L105" i="9" s="1"/>
  <c r="AC104" i="9"/>
  <c r="T104" i="9"/>
  <c r="R104" i="9"/>
  <c r="O104" i="9"/>
  <c r="G104" i="9"/>
  <c r="F104" i="9"/>
  <c r="AC103" i="9"/>
  <c r="T103" i="9"/>
  <c r="R103" i="9"/>
  <c r="O103" i="9"/>
  <c r="G103" i="9"/>
  <c r="F103" i="9"/>
  <c r="L103" i="9" s="1"/>
  <c r="AC102" i="9"/>
  <c r="T102" i="9"/>
  <c r="R102" i="9"/>
  <c r="O102" i="9"/>
  <c r="G102" i="9"/>
  <c r="F102" i="9"/>
  <c r="E70" i="11" s="1"/>
  <c r="AC101" i="9"/>
  <c r="T101" i="9"/>
  <c r="R101" i="9"/>
  <c r="O101" i="9"/>
  <c r="G101" i="9"/>
  <c r="F101" i="9"/>
  <c r="L101" i="9" s="1"/>
  <c r="AC100" i="9"/>
  <c r="T100" i="9"/>
  <c r="R100" i="9"/>
  <c r="O100" i="9"/>
  <c r="G100" i="9"/>
  <c r="F100" i="9"/>
  <c r="E69" i="11" s="1"/>
  <c r="AC99" i="9"/>
  <c r="T99" i="9"/>
  <c r="R99" i="9"/>
  <c r="O99" i="9"/>
  <c r="G99" i="9"/>
  <c r="F99" i="9"/>
  <c r="L99" i="9" s="1"/>
  <c r="AC98" i="9"/>
  <c r="T98" i="9"/>
  <c r="R98" i="9"/>
  <c r="O98" i="9"/>
  <c r="G98" i="9"/>
  <c r="F98" i="9"/>
  <c r="E68" i="11" s="1"/>
  <c r="AC97" i="9"/>
  <c r="T97" i="9"/>
  <c r="R97" i="9"/>
  <c r="O97" i="9"/>
  <c r="G97" i="9"/>
  <c r="F97" i="9"/>
  <c r="L97" i="9" s="1"/>
  <c r="AC96" i="9"/>
  <c r="T96" i="9"/>
  <c r="R96" i="9"/>
  <c r="O96" i="9"/>
  <c r="G96" i="9"/>
  <c r="F96" i="9"/>
  <c r="E67" i="11" s="1"/>
  <c r="AC95" i="9"/>
  <c r="U95" i="9"/>
  <c r="T95" i="9"/>
  <c r="R95" i="9"/>
  <c r="O95" i="9"/>
  <c r="G95" i="9"/>
  <c r="F95" i="9"/>
  <c r="L95" i="9" s="1"/>
  <c r="AC94" i="9"/>
  <c r="T94" i="9"/>
  <c r="R94" i="9"/>
  <c r="O94" i="9"/>
  <c r="G94" i="9"/>
  <c r="F94" i="9"/>
  <c r="E66" i="11" s="1"/>
  <c r="AC93" i="9"/>
  <c r="T93" i="9"/>
  <c r="R93" i="9"/>
  <c r="O93" i="9"/>
  <c r="G93" i="9"/>
  <c r="F93" i="9"/>
  <c r="L93" i="9" s="1"/>
  <c r="AC92" i="9"/>
  <c r="T92" i="9"/>
  <c r="R92" i="9"/>
  <c r="O92" i="9"/>
  <c r="G92" i="9"/>
  <c r="F92" i="9"/>
  <c r="E65" i="11" s="1"/>
  <c r="AC91" i="9"/>
  <c r="T91" i="9"/>
  <c r="R91" i="9"/>
  <c r="O91" i="9"/>
  <c r="G91" i="9"/>
  <c r="F91" i="9"/>
  <c r="L91" i="9" s="1"/>
  <c r="AC90" i="9"/>
  <c r="U90" i="9"/>
  <c r="T90" i="9"/>
  <c r="R90" i="9"/>
  <c r="O90" i="9"/>
  <c r="G90" i="9"/>
  <c r="F90" i="9"/>
  <c r="E64" i="11" s="1"/>
  <c r="AC89" i="9"/>
  <c r="T89" i="9"/>
  <c r="R89" i="9"/>
  <c r="O89" i="9"/>
  <c r="G89" i="9"/>
  <c r="F89" i="9"/>
  <c r="L89" i="9" s="1"/>
  <c r="AC88" i="9"/>
  <c r="T88" i="9"/>
  <c r="R88" i="9"/>
  <c r="O88" i="9"/>
  <c r="G88" i="9"/>
  <c r="F88" i="9"/>
  <c r="AC87" i="9"/>
  <c r="U87" i="9"/>
  <c r="T87" i="9"/>
  <c r="R87" i="9"/>
  <c r="O87" i="9"/>
  <c r="G87" i="9"/>
  <c r="F87" i="9"/>
  <c r="L87" i="9" s="1"/>
  <c r="AC86" i="9"/>
  <c r="U86" i="9"/>
  <c r="Y86" i="9" s="1"/>
  <c r="Z86" i="9" s="1"/>
  <c r="T86" i="9"/>
  <c r="R86" i="9"/>
  <c r="O86" i="9"/>
  <c r="H86" i="9"/>
  <c r="P87" i="9" s="1"/>
  <c r="G86" i="9"/>
  <c r="F86" i="9"/>
  <c r="AC85" i="9"/>
  <c r="T85" i="9"/>
  <c r="R85" i="9"/>
  <c r="O85" i="9"/>
  <c r="G85" i="9"/>
  <c r="F85" i="9"/>
  <c r="L85" i="9" s="1"/>
  <c r="AC84" i="9"/>
  <c r="T84" i="9"/>
  <c r="R84" i="9"/>
  <c r="O84" i="9"/>
  <c r="G84" i="9"/>
  <c r="F84" i="9"/>
  <c r="E61" i="11" s="1"/>
  <c r="AC83" i="9"/>
  <c r="T83" i="9"/>
  <c r="R83" i="9"/>
  <c r="O83" i="9"/>
  <c r="G83" i="9"/>
  <c r="F83" i="9"/>
  <c r="L83" i="9" s="1"/>
  <c r="AC82" i="9"/>
  <c r="T82" i="9"/>
  <c r="R82" i="9"/>
  <c r="O82" i="9"/>
  <c r="G82" i="9"/>
  <c r="F82" i="9"/>
  <c r="E60" i="11" s="1"/>
  <c r="AC81" i="9"/>
  <c r="T81" i="9"/>
  <c r="R81" i="9"/>
  <c r="O81" i="9"/>
  <c r="G81" i="9"/>
  <c r="F81" i="9"/>
  <c r="L81" i="9" s="1"/>
  <c r="AC80" i="9"/>
  <c r="T80" i="9"/>
  <c r="R80" i="9"/>
  <c r="O80" i="9"/>
  <c r="G80" i="9"/>
  <c r="F80" i="9"/>
  <c r="E59" i="11" s="1"/>
  <c r="AC79" i="9"/>
  <c r="U79" i="9"/>
  <c r="T79" i="9"/>
  <c r="R79" i="9"/>
  <c r="O79" i="9"/>
  <c r="G79" i="9"/>
  <c r="F79" i="9"/>
  <c r="L79" i="9" s="1"/>
  <c r="AC78" i="9"/>
  <c r="U78" i="9"/>
  <c r="T78" i="9"/>
  <c r="R78" i="9"/>
  <c r="O78" i="9"/>
  <c r="G78" i="9"/>
  <c r="F78" i="9"/>
  <c r="AC77" i="9"/>
  <c r="U77" i="9"/>
  <c r="Y78" i="9" s="1"/>
  <c r="T77" i="9"/>
  <c r="R77" i="9"/>
  <c r="O77" i="9"/>
  <c r="G77" i="9"/>
  <c r="F77" i="9"/>
  <c r="E58" i="11" s="1"/>
  <c r="AC76" i="9"/>
  <c r="T76" i="9"/>
  <c r="R76" i="9"/>
  <c r="O76" i="9"/>
  <c r="G76" i="9"/>
  <c r="F76" i="9"/>
  <c r="AC75" i="9"/>
  <c r="T75" i="9"/>
  <c r="R75" i="9"/>
  <c r="O75" i="9"/>
  <c r="G75" i="9"/>
  <c r="F75" i="9"/>
  <c r="E57" i="11" s="1"/>
  <c r="AC74" i="9"/>
  <c r="U74" i="9"/>
  <c r="T74" i="9"/>
  <c r="R74" i="9"/>
  <c r="O74" i="9"/>
  <c r="G74" i="9"/>
  <c r="F74" i="9"/>
  <c r="L74" i="9" s="1"/>
  <c r="AC73" i="9"/>
  <c r="T73" i="9"/>
  <c r="R73" i="9"/>
  <c r="O73" i="9"/>
  <c r="G73" i="9"/>
  <c r="F73" i="9"/>
  <c r="E56" i="11" s="1"/>
  <c r="AC72" i="9"/>
  <c r="U72" i="9"/>
  <c r="T72" i="9"/>
  <c r="R72" i="9"/>
  <c r="O72" i="9"/>
  <c r="G72" i="9"/>
  <c r="F72" i="9"/>
  <c r="AC71" i="9"/>
  <c r="U71" i="9"/>
  <c r="Y72" i="9" s="1"/>
  <c r="T71" i="9"/>
  <c r="R71" i="9"/>
  <c r="O71" i="9"/>
  <c r="G71" i="9"/>
  <c r="F71" i="9"/>
  <c r="AC70" i="9"/>
  <c r="T70" i="9"/>
  <c r="R70" i="9"/>
  <c r="O70" i="9"/>
  <c r="G70" i="9"/>
  <c r="F70" i="9"/>
  <c r="L70" i="9" s="1"/>
  <c r="AC69" i="9"/>
  <c r="T69" i="9"/>
  <c r="R69" i="9"/>
  <c r="O69" i="9"/>
  <c r="G69" i="9"/>
  <c r="F69" i="9"/>
  <c r="E54" i="11" s="1"/>
  <c r="AC68" i="9"/>
  <c r="U68" i="9"/>
  <c r="Y68" i="9" s="1"/>
  <c r="Z68" i="9" s="1"/>
  <c r="T68" i="9"/>
  <c r="R68" i="9"/>
  <c r="O68" i="9"/>
  <c r="G68" i="9"/>
  <c r="F68" i="9"/>
  <c r="AC67" i="9"/>
  <c r="U67" i="9"/>
  <c r="T67" i="9"/>
  <c r="R67" i="9"/>
  <c r="O67" i="9"/>
  <c r="G67" i="9"/>
  <c r="F67" i="9"/>
  <c r="E53" i="11" s="1"/>
  <c r="AC66" i="9"/>
  <c r="T66" i="9"/>
  <c r="R66" i="9"/>
  <c r="O66" i="9"/>
  <c r="G66" i="9"/>
  <c r="F66" i="9"/>
  <c r="AC65" i="9"/>
  <c r="T65" i="9"/>
  <c r="R65" i="9"/>
  <c r="O65" i="9"/>
  <c r="G65" i="9"/>
  <c r="F65" i="9"/>
  <c r="E52" i="11" s="1"/>
  <c r="AC64" i="9"/>
  <c r="T64" i="9"/>
  <c r="R64" i="9"/>
  <c r="O64" i="9"/>
  <c r="G64" i="9"/>
  <c r="F64" i="9"/>
  <c r="L64" i="9" s="1"/>
  <c r="AC63" i="9"/>
  <c r="T63" i="9"/>
  <c r="R63" i="9"/>
  <c r="O63" i="9"/>
  <c r="G63" i="9"/>
  <c r="F63" i="9"/>
  <c r="E51" i="11" s="1"/>
  <c r="AC62" i="9"/>
  <c r="T62" i="9"/>
  <c r="R62" i="9"/>
  <c r="O62" i="9"/>
  <c r="G62" i="9"/>
  <c r="F62" i="9"/>
  <c r="AC61" i="9"/>
  <c r="T61" i="9"/>
  <c r="R61" i="9"/>
  <c r="O61" i="9"/>
  <c r="G61" i="9"/>
  <c r="F61" i="9"/>
  <c r="E50" i="11" s="1"/>
  <c r="AC60" i="9"/>
  <c r="U60" i="9"/>
  <c r="T60" i="9"/>
  <c r="R60" i="9"/>
  <c r="O60" i="9"/>
  <c r="G60" i="9"/>
  <c r="F60" i="9"/>
  <c r="AC59" i="9"/>
  <c r="T59" i="9"/>
  <c r="R59" i="9"/>
  <c r="O59" i="9"/>
  <c r="G59" i="9"/>
  <c r="F59" i="9"/>
  <c r="AC58" i="9"/>
  <c r="T58" i="9"/>
  <c r="R58" i="9"/>
  <c r="O58" i="9"/>
  <c r="G58" i="9"/>
  <c r="F58" i="9"/>
  <c r="L58" i="9" s="1"/>
  <c r="AC57" i="9"/>
  <c r="T57" i="9"/>
  <c r="R57" i="9"/>
  <c r="O57" i="9"/>
  <c r="G57" i="9"/>
  <c r="F57" i="9"/>
  <c r="E48" i="11" s="1"/>
  <c r="AC56" i="9"/>
  <c r="T56" i="9"/>
  <c r="R56" i="9"/>
  <c r="O56" i="9"/>
  <c r="G56" i="9"/>
  <c r="F56" i="9"/>
  <c r="L56" i="9" s="1"/>
  <c r="AC55" i="9"/>
  <c r="T55" i="9"/>
  <c r="R55" i="9"/>
  <c r="O55" i="9"/>
  <c r="G55" i="9"/>
  <c r="F55" i="9"/>
  <c r="E47" i="11" s="1"/>
  <c r="AC54" i="9"/>
  <c r="T54" i="9"/>
  <c r="R54" i="9"/>
  <c r="O54" i="9"/>
  <c r="G54" i="9"/>
  <c r="F54" i="9"/>
  <c r="AC53" i="9"/>
  <c r="T53" i="9"/>
  <c r="R53" i="9"/>
  <c r="O53" i="9"/>
  <c r="G53" i="9"/>
  <c r="F53" i="9"/>
  <c r="AC52" i="9"/>
  <c r="T52" i="9"/>
  <c r="R52" i="9"/>
  <c r="O52" i="9"/>
  <c r="G52" i="9"/>
  <c r="F52" i="9"/>
  <c r="L52" i="9" s="1"/>
  <c r="AC51" i="9"/>
  <c r="T51" i="9"/>
  <c r="R51" i="9"/>
  <c r="O51" i="9"/>
  <c r="G51" i="9"/>
  <c r="F51" i="9"/>
  <c r="E45" i="11" s="1"/>
  <c r="AC50" i="9"/>
  <c r="U50" i="9"/>
  <c r="T50" i="9"/>
  <c r="R50" i="9"/>
  <c r="O50" i="9"/>
  <c r="G50" i="9"/>
  <c r="F50" i="9"/>
  <c r="L50" i="9" s="1"/>
  <c r="AC49" i="9"/>
  <c r="U49" i="9"/>
  <c r="Y49" i="9" s="1"/>
  <c r="Z49" i="9" s="1"/>
  <c r="T49" i="9"/>
  <c r="R49" i="9"/>
  <c r="O49" i="9"/>
  <c r="G49" i="9"/>
  <c r="F49" i="9"/>
  <c r="AC48" i="9"/>
  <c r="T48" i="9"/>
  <c r="R48" i="9"/>
  <c r="O48" i="9"/>
  <c r="G48" i="9"/>
  <c r="F48" i="9"/>
  <c r="L48" i="9" s="1"/>
  <c r="AC47" i="9"/>
  <c r="T47" i="9"/>
  <c r="R47" i="9"/>
  <c r="O47" i="9"/>
  <c r="G47" i="9"/>
  <c r="F47" i="9"/>
  <c r="AC46" i="9"/>
  <c r="U46" i="9"/>
  <c r="T46" i="9"/>
  <c r="R46" i="9"/>
  <c r="O46" i="9"/>
  <c r="G46" i="9"/>
  <c r="F46" i="9"/>
  <c r="L46" i="9" s="1"/>
  <c r="AC45" i="9"/>
  <c r="T45" i="9"/>
  <c r="R45" i="9"/>
  <c r="O45" i="9"/>
  <c r="G45" i="9"/>
  <c r="F45" i="9"/>
  <c r="L45" i="9" s="1"/>
  <c r="AC44" i="9"/>
  <c r="U44" i="9"/>
  <c r="T44" i="9"/>
  <c r="R44" i="9"/>
  <c r="O44" i="9"/>
  <c r="G44" i="9"/>
  <c r="F44" i="9"/>
  <c r="L44" i="9" s="1"/>
  <c r="AC43" i="9"/>
  <c r="U43" i="9"/>
  <c r="Y44" i="9" s="1"/>
  <c r="T43" i="9"/>
  <c r="R43" i="9"/>
  <c r="O43" i="9"/>
  <c r="G43" i="9"/>
  <c r="F43" i="9"/>
  <c r="E41" i="11" s="1"/>
  <c r="AC42" i="9"/>
  <c r="T42" i="9"/>
  <c r="R42" i="9"/>
  <c r="O42" i="9"/>
  <c r="G42" i="9"/>
  <c r="F42" i="9"/>
  <c r="L42" i="9" s="1"/>
  <c r="AC41" i="9"/>
  <c r="T41" i="9"/>
  <c r="R41" i="9"/>
  <c r="O41" i="9"/>
  <c r="G41" i="9"/>
  <c r="F41" i="9"/>
  <c r="E40" i="11" s="1"/>
  <c r="AC40" i="9"/>
  <c r="T40" i="9"/>
  <c r="R40" i="9"/>
  <c r="O40" i="9"/>
  <c r="G40" i="9"/>
  <c r="F40" i="9"/>
  <c r="AC39" i="9"/>
  <c r="T39" i="9"/>
  <c r="R39" i="9"/>
  <c r="O39" i="9"/>
  <c r="G39" i="9"/>
  <c r="F39" i="9"/>
  <c r="E39" i="11" s="1"/>
  <c r="AC38" i="9"/>
  <c r="T38" i="9"/>
  <c r="R38" i="9"/>
  <c r="O38" i="9"/>
  <c r="G38" i="9"/>
  <c r="F38" i="9"/>
  <c r="L38" i="9" s="1"/>
  <c r="AC37" i="9"/>
  <c r="T37" i="9"/>
  <c r="R37" i="9"/>
  <c r="O37" i="9"/>
  <c r="G37" i="9"/>
  <c r="F37" i="9"/>
  <c r="E38" i="11" s="1"/>
  <c r="AC36" i="9"/>
  <c r="T36" i="9"/>
  <c r="R36" i="9"/>
  <c r="O36" i="9"/>
  <c r="G36" i="9"/>
  <c r="F36" i="9"/>
  <c r="L36" i="9" s="1"/>
  <c r="AC35" i="9"/>
  <c r="T35" i="9"/>
  <c r="R35" i="9"/>
  <c r="O35" i="9"/>
  <c r="G35" i="9"/>
  <c r="F35" i="9"/>
  <c r="AC34" i="9"/>
  <c r="T34" i="9"/>
  <c r="R34" i="9"/>
  <c r="O34" i="9"/>
  <c r="G34" i="9"/>
  <c r="F34" i="9"/>
  <c r="L34" i="9" s="1"/>
  <c r="AC33" i="9"/>
  <c r="T33" i="9"/>
  <c r="R33" i="9"/>
  <c r="O33" i="9"/>
  <c r="G33" i="9"/>
  <c r="F33" i="9"/>
  <c r="E36" i="11" s="1"/>
  <c r="AC32" i="9"/>
  <c r="T32" i="9"/>
  <c r="R32" i="9"/>
  <c r="O32" i="9"/>
  <c r="G32" i="9"/>
  <c r="F32" i="9"/>
  <c r="L32" i="9" s="1"/>
  <c r="AC31" i="9"/>
  <c r="T31" i="9"/>
  <c r="R31" i="9"/>
  <c r="O31" i="9"/>
  <c r="G31" i="9"/>
  <c r="F31" i="9"/>
  <c r="E35" i="11" s="1"/>
  <c r="AC30" i="9"/>
  <c r="U30" i="9"/>
  <c r="T30" i="9"/>
  <c r="R30" i="9"/>
  <c r="O30" i="9"/>
  <c r="H30" i="9"/>
  <c r="G30" i="9"/>
  <c r="F30" i="9"/>
  <c r="L30" i="9" s="1"/>
  <c r="AC29" i="9"/>
  <c r="U29" i="9"/>
  <c r="Y29" i="9" s="1"/>
  <c r="Z29" i="9" s="1"/>
  <c r="T29" i="9"/>
  <c r="R29" i="9"/>
  <c r="O29" i="9"/>
  <c r="G29" i="9"/>
  <c r="F29" i="9"/>
  <c r="E34" i="11" s="1"/>
  <c r="AC28" i="9"/>
  <c r="T28" i="9"/>
  <c r="R28" i="9"/>
  <c r="O28" i="9"/>
  <c r="G28" i="9"/>
  <c r="F28" i="9"/>
  <c r="AC27" i="9"/>
  <c r="T27" i="9"/>
  <c r="R27" i="9"/>
  <c r="O27" i="9"/>
  <c r="G27" i="9"/>
  <c r="F27" i="9"/>
  <c r="E33" i="11" s="1"/>
  <c r="AC26" i="9"/>
  <c r="T26" i="9"/>
  <c r="R26" i="9"/>
  <c r="O26" i="9"/>
  <c r="G26" i="9"/>
  <c r="F26" i="9"/>
  <c r="L26" i="9" s="1"/>
  <c r="AC25" i="9"/>
  <c r="T25" i="9"/>
  <c r="R25" i="9"/>
  <c r="O25" i="9"/>
  <c r="G25" i="9"/>
  <c r="F25" i="9"/>
  <c r="E32" i="11" s="1"/>
  <c r="AC24" i="9"/>
  <c r="U24" i="9"/>
  <c r="Y23" i="9" s="1"/>
  <c r="T24" i="9"/>
  <c r="R24" i="9"/>
  <c r="O24" i="9"/>
  <c r="G24" i="9"/>
  <c r="F24" i="9"/>
  <c r="L24" i="9" s="1"/>
  <c r="AC23" i="9"/>
  <c r="U23" i="9"/>
  <c r="T23" i="9"/>
  <c r="R23" i="9"/>
  <c r="O23" i="9"/>
  <c r="G23" i="9"/>
  <c r="F23" i="9"/>
  <c r="AC22" i="9"/>
  <c r="T22" i="9"/>
  <c r="R22" i="9"/>
  <c r="O22" i="9"/>
  <c r="G22" i="9"/>
  <c r="F22" i="9"/>
  <c r="L22" i="9" s="1"/>
  <c r="AC21" i="9"/>
  <c r="T21" i="9"/>
  <c r="R21" i="9"/>
  <c r="O21" i="9"/>
  <c r="G21" i="9"/>
  <c r="F21" i="9"/>
  <c r="AC20" i="9"/>
  <c r="T20" i="9"/>
  <c r="R20" i="9"/>
  <c r="O20" i="9"/>
  <c r="G20" i="9"/>
  <c r="F20" i="9"/>
  <c r="L20" i="9" s="1"/>
  <c r="AC19" i="9"/>
  <c r="T19" i="9"/>
  <c r="R19" i="9"/>
  <c r="O19" i="9"/>
  <c r="G19" i="9"/>
  <c r="F19" i="9"/>
  <c r="E29" i="11" s="1"/>
  <c r="AC18" i="9"/>
  <c r="T18" i="9"/>
  <c r="R18" i="9"/>
  <c r="O18" i="9"/>
  <c r="G18" i="9"/>
  <c r="F18" i="9"/>
  <c r="L18" i="9" s="1"/>
  <c r="AC17" i="9"/>
  <c r="T17" i="9"/>
  <c r="R17" i="9"/>
  <c r="O17" i="9"/>
  <c r="G17" i="9"/>
  <c r="F17" i="9"/>
  <c r="AC16" i="9"/>
  <c r="U16" i="9"/>
  <c r="Y16" i="9" s="1"/>
  <c r="Z16" i="9" s="1"/>
  <c r="T16" i="9"/>
  <c r="R16" i="9"/>
  <c r="O16" i="9"/>
  <c r="G16" i="9"/>
  <c r="F16" i="9"/>
  <c r="L16" i="9" s="1"/>
  <c r="AC15" i="9"/>
  <c r="U15" i="9"/>
  <c r="T15" i="9"/>
  <c r="R15" i="9"/>
  <c r="O15" i="9"/>
  <c r="G15" i="9"/>
  <c r="F15" i="9"/>
  <c r="E27" i="11" s="1"/>
  <c r="AC14" i="9"/>
  <c r="U14" i="9"/>
  <c r="T14" i="9"/>
  <c r="R14" i="9"/>
  <c r="O14" i="9"/>
  <c r="H14" i="9"/>
  <c r="G14" i="9"/>
  <c r="F14" i="9"/>
  <c r="L14" i="9" s="1"/>
  <c r="AC13" i="9"/>
  <c r="U13" i="9"/>
  <c r="T13" i="9"/>
  <c r="R13" i="9"/>
  <c r="O13" i="9"/>
  <c r="G13" i="9"/>
  <c r="F13" i="9"/>
  <c r="L13" i="9" s="1"/>
  <c r="AC12" i="9"/>
  <c r="U12" i="9"/>
  <c r="T12" i="9"/>
  <c r="R12" i="9"/>
  <c r="O12" i="9"/>
  <c r="H12" i="9"/>
  <c r="G12" i="9"/>
  <c r="F12" i="9"/>
  <c r="L12" i="9" s="1"/>
  <c r="AC11" i="9"/>
  <c r="U11" i="9"/>
  <c r="T11" i="9"/>
  <c r="R11" i="9"/>
  <c r="O11" i="9"/>
  <c r="H11" i="9"/>
  <c r="G11" i="9"/>
  <c r="F11" i="9"/>
  <c r="L11" i="9" s="1"/>
  <c r="AC10" i="9"/>
  <c r="U10" i="9"/>
  <c r="T10" i="9"/>
  <c r="R10" i="9"/>
  <c r="O10" i="9"/>
  <c r="G10" i="9"/>
  <c r="F10" i="9"/>
  <c r="L10" i="9" s="1"/>
  <c r="AC9" i="9"/>
  <c r="U9" i="9"/>
  <c r="T9" i="9"/>
  <c r="R9" i="9"/>
  <c r="O9" i="9"/>
  <c r="H9" i="9"/>
  <c r="G9" i="9"/>
  <c r="F9" i="9"/>
  <c r="L9" i="9" s="1"/>
  <c r="AC8" i="9"/>
  <c r="U8" i="9"/>
  <c r="T8" i="9"/>
  <c r="R8" i="9"/>
  <c r="O8" i="9"/>
  <c r="G8" i="9"/>
  <c r="F8" i="9"/>
  <c r="L8" i="9" s="1"/>
  <c r="AC7" i="9"/>
  <c r="U7" i="9"/>
  <c r="Y13" i="9" s="1"/>
  <c r="T7" i="9"/>
  <c r="R7" i="9"/>
  <c r="O7" i="9"/>
  <c r="H7" i="9"/>
  <c r="P8" i="9" s="1"/>
  <c r="G7" i="9"/>
  <c r="F7" i="9"/>
  <c r="AC6" i="9"/>
  <c r="U6" i="9"/>
  <c r="T6" i="9"/>
  <c r="R6" i="9"/>
  <c r="O6" i="9"/>
  <c r="H6" i="9"/>
  <c r="G6" i="9"/>
  <c r="F6" i="9"/>
  <c r="L6" i="9" s="1"/>
  <c r="AC5" i="9"/>
  <c r="U5" i="9"/>
  <c r="T5" i="9"/>
  <c r="R5" i="9"/>
  <c r="O5" i="9"/>
  <c r="H5" i="9"/>
  <c r="G5" i="9"/>
  <c r="F5" i="9"/>
  <c r="L5" i="9" s="1"/>
  <c r="AC4" i="9"/>
  <c r="U4" i="9"/>
  <c r="Y5" i="9" s="1"/>
  <c r="T4" i="9"/>
  <c r="R4" i="9"/>
  <c r="O4" i="9"/>
  <c r="H4" i="9"/>
  <c r="P5" i="9" s="1"/>
  <c r="G4" i="9"/>
  <c r="F4" i="9"/>
  <c r="E25" i="11" s="1"/>
  <c r="K53" i="8"/>
  <c r="J53" i="8"/>
  <c r="I53" i="8"/>
  <c r="H53" i="8"/>
  <c r="G53" i="8"/>
  <c r="F53" i="8"/>
  <c r="E53" i="8"/>
  <c r="D53" i="8"/>
  <c r="C53" i="8"/>
  <c r="B53" i="8"/>
  <c r="K52" i="8"/>
  <c r="J52" i="8"/>
  <c r="I52" i="8"/>
  <c r="H52" i="8"/>
  <c r="G52" i="8"/>
  <c r="F52" i="8"/>
  <c r="E52" i="8"/>
  <c r="D52" i="8"/>
  <c r="C52" i="8"/>
  <c r="B52" i="8"/>
  <c r="K51" i="8"/>
  <c r="J51" i="8"/>
  <c r="I51" i="8"/>
  <c r="H51" i="8"/>
  <c r="G51" i="8"/>
  <c r="F51" i="8"/>
  <c r="E51" i="8"/>
  <c r="D51" i="8"/>
  <c r="C51" i="8"/>
  <c r="B51" i="8"/>
  <c r="K50" i="8"/>
  <c r="J50" i="8"/>
  <c r="I50" i="8"/>
  <c r="H50" i="8"/>
  <c r="G50" i="8"/>
  <c r="F50" i="8"/>
  <c r="E50" i="8"/>
  <c r="D50" i="8"/>
  <c r="C50" i="8"/>
  <c r="B50" i="8"/>
  <c r="K49" i="8"/>
  <c r="J49" i="8"/>
  <c r="I49" i="8"/>
  <c r="H49" i="8"/>
  <c r="G49" i="8"/>
  <c r="F49" i="8"/>
  <c r="E49" i="8"/>
  <c r="D49" i="8"/>
  <c r="C49" i="8"/>
  <c r="B49" i="8"/>
  <c r="K48" i="8"/>
  <c r="J48" i="8"/>
  <c r="I48" i="8"/>
  <c r="H48" i="8"/>
  <c r="G48" i="8"/>
  <c r="F48" i="8"/>
  <c r="E48" i="8"/>
  <c r="D48" i="8"/>
  <c r="C48" i="8"/>
  <c r="B48" i="8"/>
  <c r="K47" i="8"/>
  <c r="J47" i="8"/>
  <c r="I47" i="8"/>
  <c r="H47" i="8"/>
  <c r="G47" i="8"/>
  <c r="F47" i="8"/>
  <c r="E47" i="8"/>
  <c r="D47" i="8"/>
  <c r="C47" i="8"/>
  <c r="B47" i="8"/>
  <c r="K46" i="8"/>
  <c r="J46" i="8"/>
  <c r="I46" i="8"/>
  <c r="H46" i="8"/>
  <c r="G46" i="8"/>
  <c r="F46" i="8"/>
  <c r="E46" i="8"/>
  <c r="D46" i="8"/>
  <c r="C46" i="8"/>
  <c r="B46" i="8"/>
  <c r="K45" i="8"/>
  <c r="J45" i="8"/>
  <c r="I45" i="8"/>
  <c r="H45" i="8"/>
  <c r="G45" i="8"/>
  <c r="F45" i="8"/>
  <c r="E45" i="8"/>
  <c r="D45" i="8"/>
  <c r="C45" i="8"/>
  <c r="B45" i="8"/>
  <c r="K44" i="8"/>
  <c r="J44" i="8"/>
  <c r="I44" i="8"/>
  <c r="H44" i="8"/>
  <c r="G44" i="8"/>
  <c r="F44" i="8"/>
  <c r="E44" i="8"/>
  <c r="D44" i="8"/>
  <c r="C44" i="8"/>
  <c r="B44" i="8"/>
  <c r="K43" i="8"/>
  <c r="J43" i="8"/>
  <c r="I43" i="8"/>
  <c r="H43" i="8"/>
  <c r="G43" i="8"/>
  <c r="F43" i="8"/>
  <c r="E43" i="8"/>
  <c r="D43" i="8"/>
  <c r="C43" i="8"/>
  <c r="B43" i="8"/>
  <c r="K42" i="8"/>
  <c r="J42" i="8"/>
  <c r="I42" i="8"/>
  <c r="H42" i="8"/>
  <c r="G42" i="8"/>
  <c r="F42" i="8"/>
  <c r="E42" i="8"/>
  <c r="D42" i="8"/>
  <c r="C42" i="8"/>
  <c r="B42" i="8"/>
  <c r="K41" i="8"/>
  <c r="J41" i="8"/>
  <c r="I41" i="8"/>
  <c r="H41" i="8"/>
  <c r="G41" i="8"/>
  <c r="F41" i="8"/>
  <c r="E41" i="8"/>
  <c r="D41" i="8"/>
  <c r="C41" i="8"/>
  <c r="B41" i="8"/>
  <c r="K40" i="8"/>
  <c r="J40" i="8"/>
  <c r="I40" i="8"/>
  <c r="H40" i="8"/>
  <c r="G40" i="8"/>
  <c r="F40" i="8"/>
  <c r="E40" i="8"/>
  <c r="D40" i="8"/>
  <c r="C40" i="8"/>
  <c r="B40" i="8"/>
  <c r="C36" i="8"/>
  <c r="B36" i="8"/>
  <c r="C35" i="8"/>
  <c r="B35" i="8"/>
  <c r="E35" i="8" s="1"/>
  <c r="F35" i="8" s="1"/>
  <c r="C34" i="8"/>
  <c r="B34" i="8"/>
  <c r="E34" i="8" s="1"/>
  <c r="F34" i="8" s="1"/>
  <c r="C33" i="8"/>
  <c r="B33" i="8"/>
  <c r="C32" i="8"/>
  <c r="B32" i="8"/>
  <c r="E32" i="8" s="1"/>
  <c r="F32" i="8" s="1"/>
  <c r="C31" i="8"/>
  <c r="B31" i="8"/>
  <c r="D31" i="8" s="1"/>
  <c r="C30" i="8"/>
  <c r="B30" i="8"/>
  <c r="C29" i="8"/>
  <c r="B29" i="8"/>
  <c r="E29" i="8" s="1"/>
  <c r="F29" i="8" s="1"/>
  <c r="C28" i="8"/>
  <c r="B28" i="8"/>
  <c r="C27" i="8"/>
  <c r="B27" i="8"/>
  <c r="C26" i="8"/>
  <c r="B26" i="8"/>
  <c r="E26" i="8" s="1"/>
  <c r="F26" i="8" s="1"/>
  <c r="C25" i="8"/>
  <c r="B25" i="8"/>
  <c r="C24" i="8"/>
  <c r="B24" i="8"/>
  <c r="E24" i="8" s="1"/>
  <c r="F24" i="8" s="1"/>
  <c r="C23" i="8"/>
  <c r="B23" i="8"/>
  <c r="D17" i="8"/>
  <c r="O110" i="6"/>
  <c r="N110" i="6"/>
  <c r="M110" i="6"/>
  <c r="L110" i="6"/>
  <c r="K110" i="6"/>
  <c r="J110" i="6"/>
  <c r="I110" i="6"/>
  <c r="H110" i="6"/>
  <c r="G110" i="6"/>
  <c r="F110" i="6"/>
  <c r="E110" i="6"/>
  <c r="D110" i="6"/>
  <c r="C110" i="6"/>
  <c r="B110" i="6"/>
  <c r="O109" i="6"/>
  <c r="N109" i="6"/>
  <c r="M109" i="6"/>
  <c r="K109" i="6"/>
  <c r="J109" i="6"/>
  <c r="H109" i="6"/>
  <c r="E109" i="6"/>
  <c r="D109" i="6"/>
  <c r="C109" i="6"/>
  <c r="O108" i="6"/>
  <c r="O107" i="6"/>
  <c r="N107" i="6"/>
  <c r="M107" i="6"/>
  <c r="L107" i="6"/>
  <c r="K107" i="6"/>
  <c r="J107" i="6"/>
  <c r="H107" i="6"/>
  <c r="E107" i="6"/>
  <c r="C107" i="6"/>
  <c r="O106" i="6"/>
  <c r="N106" i="6"/>
  <c r="M106" i="6"/>
  <c r="L106" i="6"/>
  <c r="K106" i="6"/>
  <c r="J106" i="6"/>
  <c r="H106" i="6"/>
  <c r="G106" i="6"/>
  <c r="F106" i="6"/>
  <c r="E106" i="6"/>
  <c r="C106" i="6"/>
  <c r="O105" i="6"/>
  <c r="N105" i="6"/>
  <c r="M105" i="6"/>
  <c r="L105" i="6"/>
  <c r="K105" i="6"/>
  <c r="J105" i="6"/>
  <c r="I105" i="6"/>
  <c r="H105" i="6"/>
  <c r="G105" i="6"/>
  <c r="F105" i="6"/>
  <c r="E105" i="6"/>
  <c r="D105" i="6"/>
  <c r="C105" i="6"/>
  <c r="B105" i="6"/>
  <c r="O104" i="6"/>
  <c r="N104" i="6"/>
  <c r="M104" i="6"/>
  <c r="K104" i="6"/>
  <c r="J104" i="6"/>
  <c r="H104" i="6"/>
  <c r="F104" i="6"/>
  <c r="E104" i="6"/>
  <c r="C104" i="6"/>
  <c r="O103" i="6"/>
  <c r="N103" i="6"/>
  <c r="M103" i="6"/>
  <c r="K103" i="6"/>
  <c r="J103" i="6"/>
  <c r="H103" i="6"/>
  <c r="E103" i="6"/>
  <c r="D103" i="6"/>
  <c r="C103" i="6"/>
  <c r="O102" i="6"/>
  <c r="N102" i="6"/>
  <c r="M102" i="6"/>
  <c r="D102" i="6"/>
  <c r="O101" i="6"/>
  <c r="N101" i="6"/>
  <c r="M101" i="6"/>
  <c r="L101" i="6"/>
  <c r="K101" i="6"/>
  <c r="J101" i="6"/>
  <c r="I101" i="6"/>
  <c r="H101" i="6"/>
  <c r="G101" i="6"/>
  <c r="F101" i="6"/>
  <c r="E101" i="6"/>
  <c r="D101" i="6"/>
  <c r="C101" i="6"/>
  <c r="B101" i="6"/>
  <c r="O100" i="6"/>
  <c r="N100" i="6"/>
  <c r="M100" i="6"/>
  <c r="L100" i="6"/>
  <c r="K100" i="6"/>
  <c r="J100" i="6"/>
  <c r="I100" i="6"/>
  <c r="H100" i="6"/>
  <c r="G100" i="6"/>
  <c r="F100" i="6"/>
  <c r="E100" i="6"/>
  <c r="D100" i="6"/>
  <c r="C100" i="6"/>
  <c r="B100" i="6"/>
  <c r="O99" i="6"/>
  <c r="N99" i="6"/>
  <c r="M99" i="6"/>
  <c r="K99" i="6"/>
  <c r="J99" i="6"/>
  <c r="I99" i="6"/>
  <c r="H99" i="6"/>
  <c r="E99" i="6"/>
  <c r="D99" i="6"/>
  <c r="C99" i="6"/>
  <c r="B99" i="6"/>
  <c r="O98" i="6"/>
  <c r="N98" i="6"/>
  <c r="M98" i="6"/>
  <c r="L98" i="6"/>
  <c r="K98" i="6"/>
  <c r="J98" i="6"/>
  <c r="I98" i="6"/>
  <c r="H98" i="6"/>
  <c r="G98" i="6"/>
  <c r="F98" i="6"/>
  <c r="E98" i="6"/>
  <c r="D98" i="6"/>
  <c r="C98" i="6"/>
  <c r="B98" i="6"/>
  <c r="O97" i="6"/>
  <c r="N97" i="6"/>
  <c r="M97" i="6"/>
  <c r="L97" i="6"/>
  <c r="K97" i="6"/>
  <c r="J97" i="6"/>
  <c r="I97" i="6"/>
  <c r="H97" i="6"/>
  <c r="G97" i="6"/>
  <c r="F97" i="6"/>
  <c r="E97" i="6"/>
  <c r="D97" i="6"/>
  <c r="C97" i="6"/>
  <c r="B97" i="6"/>
  <c r="O96" i="6"/>
  <c r="N96" i="6"/>
  <c r="M96" i="6"/>
  <c r="K96" i="6"/>
  <c r="J96" i="6"/>
  <c r="C96" i="6"/>
  <c r="O95" i="6"/>
  <c r="N95" i="6"/>
  <c r="M95" i="6"/>
  <c r="G95" i="6"/>
  <c r="F95" i="6"/>
  <c r="E95" i="6"/>
  <c r="D95" i="6"/>
  <c r="B95" i="6"/>
  <c r="O94" i="6"/>
  <c r="N94" i="6"/>
  <c r="M94" i="6"/>
  <c r="L94" i="6"/>
  <c r="K94" i="6"/>
  <c r="J94" i="6"/>
  <c r="I94" i="6"/>
  <c r="H94" i="6"/>
  <c r="G94" i="6"/>
  <c r="F94" i="6"/>
  <c r="E94" i="6"/>
  <c r="D94" i="6"/>
  <c r="C94" i="6"/>
  <c r="B94" i="6"/>
  <c r="O93" i="6"/>
  <c r="N93" i="6"/>
  <c r="M93" i="6"/>
  <c r="K93" i="6"/>
  <c r="J93" i="6"/>
  <c r="H93" i="6"/>
  <c r="E93" i="6"/>
  <c r="C93" i="6"/>
  <c r="O92" i="6"/>
  <c r="N92" i="6"/>
  <c r="M92" i="6"/>
  <c r="L92" i="6"/>
  <c r="K92" i="6"/>
  <c r="J92" i="6"/>
  <c r="I92" i="6"/>
  <c r="H92" i="6"/>
  <c r="G92" i="6"/>
  <c r="F92" i="6"/>
  <c r="E92" i="6"/>
  <c r="D92" i="6"/>
  <c r="C92" i="6"/>
  <c r="B92" i="6"/>
  <c r="O91" i="6"/>
  <c r="N91" i="6"/>
  <c r="M91" i="6"/>
  <c r="L91" i="6"/>
  <c r="K91" i="6"/>
  <c r="J91" i="6"/>
  <c r="H91" i="6"/>
  <c r="F91" i="6"/>
  <c r="E91" i="6"/>
  <c r="D91" i="6"/>
  <c r="C91" i="6"/>
  <c r="B91" i="6"/>
  <c r="D87" i="6"/>
  <c r="C87" i="6"/>
  <c r="B87" i="6"/>
  <c r="D86" i="6"/>
  <c r="C86" i="6"/>
  <c r="B86" i="6"/>
  <c r="F85" i="6"/>
  <c r="D85" i="6"/>
  <c r="C85" i="6"/>
  <c r="B85" i="6"/>
  <c r="G85" i="6" s="1"/>
  <c r="S85" i="6" s="1"/>
  <c r="D84" i="6"/>
  <c r="C84" i="6"/>
  <c r="B84" i="6"/>
  <c r="D83" i="6"/>
  <c r="C83" i="6"/>
  <c r="B83" i="6"/>
  <c r="D82" i="6"/>
  <c r="C82" i="6"/>
  <c r="B82" i="6"/>
  <c r="D81" i="6"/>
  <c r="C81" i="6"/>
  <c r="B81" i="6"/>
  <c r="D80" i="6"/>
  <c r="C80" i="6"/>
  <c r="B80" i="6"/>
  <c r="D79" i="6"/>
  <c r="C79" i="6"/>
  <c r="B79" i="6"/>
  <c r="D78" i="6"/>
  <c r="C78" i="6"/>
  <c r="B78" i="6"/>
  <c r="D77" i="6"/>
  <c r="C77" i="6"/>
  <c r="B77" i="6"/>
  <c r="D76" i="6"/>
  <c r="C76" i="6"/>
  <c r="B76" i="6"/>
  <c r="D75" i="6"/>
  <c r="C75" i="6"/>
  <c r="B75" i="6"/>
  <c r="D74" i="6"/>
  <c r="C74" i="6"/>
  <c r="B74" i="6"/>
  <c r="O49" i="6"/>
  <c r="N49" i="6"/>
  <c r="M49" i="6"/>
  <c r="L49" i="6"/>
  <c r="K49" i="6"/>
  <c r="J49" i="6"/>
  <c r="I49" i="6"/>
  <c r="H49" i="6"/>
  <c r="G49" i="6"/>
  <c r="F49" i="6"/>
  <c r="E49" i="6"/>
  <c r="D49" i="6"/>
  <c r="C49" i="6"/>
  <c r="B49" i="6"/>
  <c r="O48" i="6"/>
  <c r="N48" i="6"/>
  <c r="M48" i="6"/>
  <c r="L48" i="6"/>
  <c r="K48" i="6"/>
  <c r="J48" i="6"/>
  <c r="I48" i="6"/>
  <c r="H48" i="6"/>
  <c r="G48" i="6"/>
  <c r="F48" i="6"/>
  <c r="E48" i="6"/>
  <c r="D48" i="6"/>
  <c r="C48" i="6"/>
  <c r="B48" i="6"/>
  <c r="O47" i="6"/>
  <c r="N47" i="6"/>
  <c r="M47" i="6"/>
  <c r="L47" i="6"/>
  <c r="K47" i="6"/>
  <c r="J47" i="6"/>
  <c r="I47" i="6"/>
  <c r="H47" i="6"/>
  <c r="G47" i="6"/>
  <c r="F47" i="6"/>
  <c r="E47" i="6"/>
  <c r="D47" i="6"/>
  <c r="C47" i="6"/>
  <c r="B47" i="6"/>
  <c r="O46" i="6"/>
  <c r="N46" i="6"/>
  <c r="M46" i="6"/>
  <c r="L46" i="6"/>
  <c r="K46" i="6"/>
  <c r="J46" i="6"/>
  <c r="I46" i="6"/>
  <c r="H46" i="6"/>
  <c r="G46" i="6"/>
  <c r="F46" i="6"/>
  <c r="E46" i="6"/>
  <c r="D46" i="6"/>
  <c r="C46" i="6"/>
  <c r="B46" i="6"/>
  <c r="O45" i="6"/>
  <c r="N45" i="6"/>
  <c r="M45" i="6"/>
  <c r="L45" i="6"/>
  <c r="K45" i="6"/>
  <c r="J45" i="6"/>
  <c r="I45" i="6"/>
  <c r="H45" i="6"/>
  <c r="G45" i="6"/>
  <c r="F45" i="6"/>
  <c r="E45" i="6"/>
  <c r="D45" i="6"/>
  <c r="C45" i="6"/>
  <c r="B45" i="6"/>
  <c r="O44" i="6"/>
  <c r="N44" i="6"/>
  <c r="M44" i="6"/>
  <c r="L44" i="6"/>
  <c r="K44" i="6"/>
  <c r="J44" i="6"/>
  <c r="I44" i="6"/>
  <c r="H44" i="6"/>
  <c r="G44" i="6"/>
  <c r="F44" i="6"/>
  <c r="E44" i="6"/>
  <c r="D44" i="6"/>
  <c r="C44" i="6"/>
  <c r="B44" i="6"/>
  <c r="O43" i="6"/>
  <c r="N43" i="6"/>
  <c r="M43" i="6"/>
  <c r="L43" i="6"/>
  <c r="K43" i="6"/>
  <c r="J43" i="6"/>
  <c r="I43" i="6"/>
  <c r="H43" i="6"/>
  <c r="G43" i="6"/>
  <c r="F43" i="6"/>
  <c r="E43" i="6"/>
  <c r="D43" i="6"/>
  <c r="C43" i="6"/>
  <c r="B43" i="6"/>
  <c r="O42" i="6"/>
  <c r="N42" i="6"/>
  <c r="M42" i="6"/>
  <c r="L42" i="6"/>
  <c r="K42" i="6"/>
  <c r="J42" i="6"/>
  <c r="I42" i="6"/>
  <c r="H42" i="6"/>
  <c r="G42" i="6"/>
  <c r="F42" i="6"/>
  <c r="E42" i="6"/>
  <c r="D42" i="6"/>
  <c r="C42" i="6"/>
  <c r="B42" i="6"/>
  <c r="O41" i="6"/>
  <c r="N41" i="6"/>
  <c r="M41" i="6"/>
  <c r="L41" i="6"/>
  <c r="K41" i="6"/>
  <c r="J41" i="6"/>
  <c r="I41" i="6"/>
  <c r="H41" i="6"/>
  <c r="G41" i="6"/>
  <c r="F41" i="6"/>
  <c r="E41" i="6"/>
  <c r="D41" i="6"/>
  <c r="C41" i="6"/>
  <c r="B41" i="6"/>
  <c r="O40" i="6"/>
  <c r="N40" i="6"/>
  <c r="M40" i="6"/>
  <c r="L40" i="6"/>
  <c r="K40" i="6"/>
  <c r="J40" i="6"/>
  <c r="I40" i="6"/>
  <c r="H40" i="6"/>
  <c r="G40" i="6"/>
  <c r="F40" i="6"/>
  <c r="E40" i="6"/>
  <c r="D40" i="6"/>
  <c r="C40" i="6"/>
  <c r="B40" i="6"/>
  <c r="O39" i="6"/>
  <c r="N39" i="6"/>
  <c r="M39" i="6"/>
  <c r="L39" i="6"/>
  <c r="K39" i="6"/>
  <c r="J39" i="6"/>
  <c r="I39" i="6"/>
  <c r="H39" i="6"/>
  <c r="G39" i="6"/>
  <c r="F39" i="6"/>
  <c r="E39" i="6"/>
  <c r="D39" i="6"/>
  <c r="C39" i="6"/>
  <c r="B39" i="6"/>
  <c r="O38" i="6"/>
  <c r="N38" i="6"/>
  <c r="M38" i="6"/>
  <c r="L38" i="6"/>
  <c r="K38" i="6"/>
  <c r="J38" i="6"/>
  <c r="I38" i="6"/>
  <c r="H38" i="6"/>
  <c r="G38" i="6"/>
  <c r="F38" i="6"/>
  <c r="E38" i="6"/>
  <c r="D38" i="6"/>
  <c r="C38" i="6"/>
  <c r="B38" i="6"/>
  <c r="O37" i="6"/>
  <c r="N37" i="6"/>
  <c r="M37" i="6"/>
  <c r="L37" i="6"/>
  <c r="K37" i="6"/>
  <c r="J37" i="6"/>
  <c r="I37" i="6"/>
  <c r="H37" i="6"/>
  <c r="G37" i="6"/>
  <c r="F37" i="6"/>
  <c r="E37" i="6"/>
  <c r="D37" i="6"/>
  <c r="C37" i="6"/>
  <c r="B37" i="6"/>
  <c r="O36" i="6"/>
  <c r="N36" i="6"/>
  <c r="M36" i="6"/>
  <c r="L36" i="6"/>
  <c r="K36" i="6"/>
  <c r="J36" i="6"/>
  <c r="I36" i="6"/>
  <c r="H36" i="6"/>
  <c r="G36" i="6"/>
  <c r="F36" i="6"/>
  <c r="E36" i="6"/>
  <c r="D36" i="6"/>
  <c r="C36" i="6"/>
  <c r="B36" i="6"/>
  <c r="O35" i="6"/>
  <c r="N35" i="6"/>
  <c r="M35" i="6"/>
  <c r="L35" i="6"/>
  <c r="K35" i="6"/>
  <c r="J35" i="6"/>
  <c r="I35" i="6"/>
  <c r="H35" i="6"/>
  <c r="G35" i="6"/>
  <c r="F35" i="6"/>
  <c r="E35" i="6"/>
  <c r="D35" i="6"/>
  <c r="C35" i="6"/>
  <c r="B35" i="6"/>
  <c r="O34" i="6"/>
  <c r="N34" i="6"/>
  <c r="M34" i="6"/>
  <c r="L34" i="6"/>
  <c r="K34" i="6"/>
  <c r="J34" i="6"/>
  <c r="I34" i="6"/>
  <c r="H34" i="6"/>
  <c r="G34" i="6"/>
  <c r="F34" i="6"/>
  <c r="E34" i="6"/>
  <c r="D34" i="6"/>
  <c r="C34" i="6"/>
  <c r="B34" i="6"/>
  <c r="O33" i="6"/>
  <c r="N33" i="6"/>
  <c r="M33" i="6"/>
  <c r="L33" i="6"/>
  <c r="K33" i="6"/>
  <c r="J33" i="6"/>
  <c r="I33" i="6"/>
  <c r="H33" i="6"/>
  <c r="G33" i="6"/>
  <c r="F33" i="6"/>
  <c r="E33" i="6"/>
  <c r="D33" i="6"/>
  <c r="C33" i="6"/>
  <c r="B33" i="6"/>
  <c r="O32" i="6"/>
  <c r="N32" i="6"/>
  <c r="M32" i="6"/>
  <c r="L32" i="6"/>
  <c r="K32" i="6"/>
  <c r="J32" i="6"/>
  <c r="I32" i="6"/>
  <c r="H32" i="6"/>
  <c r="G32" i="6"/>
  <c r="F32" i="6"/>
  <c r="E32" i="6"/>
  <c r="D32" i="6"/>
  <c r="C32" i="6"/>
  <c r="B32" i="6"/>
  <c r="O31" i="6"/>
  <c r="N31" i="6"/>
  <c r="M31" i="6"/>
  <c r="L31" i="6"/>
  <c r="K31" i="6"/>
  <c r="J31" i="6"/>
  <c r="I31" i="6"/>
  <c r="H31" i="6"/>
  <c r="G31" i="6"/>
  <c r="F31" i="6"/>
  <c r="E31" i="6"/>
  <c r="D31" i="6"/>
  <c r="C31" i="6"/>
  <c r="B31" i="6"/>
  <c r="O30" i="6"/>
  <c r="N30" i="6"/>
  <c r="M30" i="6"/>
  <c r="L30" i="6"/>
  <c r="K30" i="6"/>
  <c r="J30" i="6"/>
  <c r="I30" i="6"/>
  <c r="H30" i="6"/>
  <c r="G30" i="6"/>
  <c r="F30" i="6"/>
  <c r="E30" i="6"/>
  <c r="D30" i="6"/>
  <c r="C30" i="6"/>
  <c r="B30" i="6"/>
  <c r="O27" i="6"/>
  <c r="O71" i="6" s="1"/>
  <c r="U71" i="8" s="1"/>
  <c r="N27" i="6"/>
  <c r="N71" i="6" s="1"/>
  <c r="U70" i="8" s="1"/>
  <c r="M27" i="6"/>
  <c r="M71" i="6" s="1"/>
  <c r="U69" i="8" s="1"/>
  <c r="L27" i="6"/>
  <c r="L71" i="6" s="1"/>
  <c r="U68" i="8" s="1"/>
  <c r="K27" i="6"/>
  <c r="K71" i="6" s="1"/>
  <c r="U67" i="8" s="1"/>
  <c r="J27" i="6"/>
  <c r="J71" i="6" s="1"/>
  <c r="U66" i="8" s="1"/>
  <c r="I27" i="6"/>
  <c r="I71" i="6" s="1"/>
  <c r="U65" i="8" s="1"/>
  <c r="H27" i="6"/>
  <c r="H71" i="6" s="1"/>
  <c r="U64" i="8" s="1"/>
  <c r="G27" i="6"/>
  <c r="G71" i="6" s="1"/>
  <c r="U63" i="8" s="1"/>
  <c r="F27" i="6"/>
  <c r="F71" i="6" s="1"/>
  <c r="U62" i="8" s="1"/>
  <c r="E27" i="6"/>
  <c r="E71" i="6" s="1"/>
  <c r="U61" i="8" s="1"/>
  <c r="D27" i="6"/>
  <c r="D71" i="6" s="1"/>
  <c r="U60" i="8" s="1"/>
  <c r="C27" i="6"/>
  <c r="C71" i="6" s="1"/>
  <c r="U59" i="8" s="1"/>
  <c r="B27" i="6"/>
  <c r="B71" i="6" s="1"/>
  <c r="U58" i="8" s="1"/>
  <c r="O26" i="6"/>
  <c r="O70" i="6" s="1"/>
  <c r="T71" i="8" s="1"/>
  <c r="N26" i="6"/>
  <c r="N70" i="6" s="1"/>
  <c r="T70" i="8" s="1"/>
  <c r="M26" i="6"/>
  <c r="M70" i="6" s="1"/>
  <c r="T69" i="8" s="1"/>
  <c r="L26" i="6"/>
  <c r="K26" i="6"/>
  <c r="K70" i="6" s="1"/>
  <c r="T67" i="8" s="1"/>
  <c r="J26" i="6"/>
  <c r="J70" i="6" s="1"/>
  <c r="T66" i="8" s="1"/>
  <c r="I26" i="6"/>
  <c r="H26" i="6"/>
  <c r="H70" i="6" s="1"/>
  <c r="T64" i="8" s="1"/>
  <c r="G26" i="6"/>
  <c r="F26" i="6"/>
  <c r="E26" i="6"/>
  <c r="E70" i="6" s="1"/>
  <c r="T61" i="8" s="1"/>
  <c r="D26" i="6"/>
  <c r="D70" i="6" s="1"/>
  <c r="T60" i="8" s="1"/>
  <c r="C26" i="6"/>
  <c r="C70" i="6" s="1"/>
  <c r="T59" i="8" s="1"/>
  <c r="B26" i="6"/>
  <c r="O25" i="6"/>
  <c r="O69" i="6" s="1"/>
  <c r="S71" i="8" s="1"/>
  <c r="N25" i="6"/>
  <c r="M25" i="6"/>
  <c r="L25" i="6"/>
  <c r="K25" i="6"/>
  <c r="J25" i="6"/>
  <c r="I25" i="6"/>
  <c r="H25" i="6"/>
  <c r="G25" i="6"/>
  <c r="F25" i="6"/>
  <c r="E25" i="6"/>
  <c r="D25" i="6"/>
  <c r="C25" i="6"/>
  <c r="B25" i="6"/>
  <c r="O24" i="6"/>
  <c r="O68" i="6" s="1"/>
  <c r="R71" i="8" s="1"/>
  <c r="N24" i="6"/>
  <c r="N68" i="6" s="1"/>
  <c r="R70" i="8" s="1"/>
  <c r="M24" i="6"/>
  <c r="M68" i="6" s="1"/>
  <c r="R69" i="8" s="1"/>
  <c r="L24" i="6"/>
  <c r="L68" i="6" s="1"/>
  <c r="R68" i="8" s="1"/>
  <c r="K24" i="6"/>
  <c r="K68" i="6" s="1"/>
  <c r="R67" i="8" s="1"/>
  <c r="J24" i="6"/>
  <c r="J68" i="6" s="1"/>
  <c r="R66" i="8" s="1"/>
  <c r="I24" i="6"/>
  <c r="H24" i="6"/>
  <c r="H68" i="6" s="1"/>
  <c r="R64" i="8" s="1"/>
  <c r="G24" i="6"/>
  <c r="F24" i="6"/>
  <c r="E24" i="6"/>
  <c r="E68" i="6" s="1"/>
  <c r="R61" i="8" s="1"/>
  <c r="D24" i="6"/>
  <c r="C24" i="6"/>
  <c r="C68" i="6" s="1"/>
  <c r="R59" i="8" s="1"/>
  <c r="B24" i="6"/>
  <c r="O23" i="6"/>
  <c r="O67" i="6" s="1"/>
  <c r="Q71" i="8" s="1"/>
  <c r="N23" i="6"/>
  <c r="N67" i="6" s="1"/>
  <c r="Q70" i="8" s="1"/>
  <c r="M23" i="6"/>
  <c r="M67" i="6" s="1"/>
  <c r="Q69" i="8" s="1"/>
  <c r="L23" i="6"/>
  <c r="L67" i="6" s="1"/>
  <c r="Q68" i="8" s="1"/>
  <c r="K23" i="6"/>
  <c r="K67" i="6" s="1"/>
  <c r="Q67" i="8" s="1"/>
  <c r="J23" i="6"/>
  <c r="J67" i="6" s="1"/>
  <c r="Q66" i="8" s="1"/>
  <c r="I23" i="6"/>
  <c r="H23" i="6"/>
  <c r="H67" i="6" s="1"/>
  <c r="Q64" i="8" s="1"/>
  <c r="G23" i="6"/>
  <c r="G67" i="6" s="1"/>
  <c r="Q63" i="8" s="1"/>
  <c r="F23" i="6"/>
  <c r="F67" i="6" s="1"/>
  <c r="Q62" i="8" s="1"/>
  <c r="E23" i="6"/>
  <c r="E67" i="6" s="1"/>
  <c r="Q61" i="8" s="1"/>
  <c r="D23" i="6"/>
  <c r="C23" i="6"/>
  <c r="C67" i="6" s="1"/>
  <c r="Q59" i="8" s="1"/>
  <c r="B23" i="6"/>
  <c r="O22" i="6"/>
  <c r="O66" i="6" s="1"/>
  <c r="P71" i="8" s="1"/>
  <c r="N22" i="6"/>
  <c r="N66" i="6" s="1"/>
  <c r="P70" i="8" s="1"/>
  <c r="M22" i="6"/>
  <c r="M66" i="6" s="1"/>
  <c r="P69" i="8" s="1"/>
  <c r="L22" i="6"/>
  <c r="L66" i="6" s="1"/>
  <c r="P68" i="8" s="1"/>
  <c r="K22" i="6"/>
  <c r="K66" i="6" s="1"/>
  <c r="P67" i="8" s="1"/>
  <c r="J22" i="6"/>
  <c r="J66" i="6" s="1"/>
  <c r="P66" i="8" s="1"/>
  <c r="I22" i="6"/>
  <c r="I66" i="6" s="1"/>
  <c r="P65" i="8" s="1"/>
  <c r="H22" i="6"/>
  <c r="H66" i="6" s="1"/>
  <c r="P64" i="8" s="1"/>
  <c r="G22" i="6"/>
  <c r="G66" i="6" s="1"/>
  <c r="P63" i="8" s="1"/>
  <c r="F22" i="6"/>
  <c r="F66" i="6" s="1"/>
  <c r="P62" i="8" s="1"/>
  <c r="E22" i="6"/>
  <c r="E66" i="6" s="1"/>
  <c r="P61" i="8" s="1"/>
  <c r="D22" i="6"/>
  <c r="D66" i="6" s="1"/>
  <c r="P60" i="8" s="1"/>
  <c r="C22" i="6"/>
  <c r="C66" i="6" s="1"/>
  <c r="P59" i="8" s="1"/>
  <c r="B22" i="6"/>
  <c r="B66" i="6" s="1"/>
  <c r="P58" i="8" s="1"/>
  <c r="O21" i="6"/>
  <c r="O65" i="6" s="1"/>
  <c r="O71" i="8" s="1"/>
  <c r="N21" i="6"/>
  <c r="N65" i="6" s="1"/>
  <c r="O70" i="8" s="1"/>
  <c r="M21" i="6"/>
  <c r="M65" i="6" s="1"/>
  <c r="O69" i="8" s="1"/>
  <c r="L21" i="6"/>
  <c r="K21" i="6"/>
  <c r="K65" i="6" s="1"/>
  <c r="O67" i="8" s="1"/>
  <c r="J21" i="6"/>
  <c r="J65" i="6" s="1"/>
  <c r="O66" i="8" s="1"/>
  <c r="I21" i="6"/>
  <c r="H21" i="6"/>
  <c r="H65" i="6" s="1"/>
  <c r="O64" i="8" s="1"/>
  <c r="G21" i="6"/>
  <c r="F21" i="6"/>
  <c r="F65" i="6" s="1"/>
  <c r="O62" i="8" s="1"/>
  <c r="E21" i="6"/>
  <c r="E65" i="6" s="1"/>
  <c r="O61" i="8" s="1"/>
  <c r="D21" i="6"/>
  <c r="C21" i="6"/>
  <c r="C65" i="6" s="1"/>
  <c r="O59" i="8" s="1"/>
  <c r="B21" i="6"/>
  <c r="O20" i="6"/>
  <c r="O64" i="6" s="1"/>
  <c r="N71" i="8" s="1"/>
  <c r="N20" i="6"/>
  <c r="N64" i="6" s="1"/>
  <c r="N70" i="8" s="1"/>
  <c r="M20" i="6"/>
  <c r="M64" i="6" s="1"/>
  <c r="N69" i="8" s="1"/>
  <c r="L20" i="6"/>
  <c r="K20" i="6"/>
  <c r="K64" i="6" s="1"/>
  <c r="N67" i="8" s="1"/>
  <c r="J20" i="6"/>
  <c r="J64" i="6" s="1"/>
  <c r="N66" i="8" s="1"/>
  <c r="I20" i="6"/>
  <c r="H20" i="6"/>
  <c r="H64" i="6" s="1"/>
  <c r="N64" i="8" s="1"/>
  <c r="G20" i="6"/>
  <c r="F20" i="6"/>
  <c r="E20" i="6"/>
  <c r="E64" i="6" s="1"/>
  <c r="N61" i="8" s="1"/>
  <c r="D20" i="6"/>
  <c r="D64" i="6" s="1"/>
  <c r="N60" i="8" s="1"/>
  <c r="C20" i="6"/>
  <c r="C64" i="6" s="1"/>
  <c r="N59" i="8" s="1"/>
  <c r="B20" i="6"/>
  <c r="O19" i="6"/>
  <c r="O63" i="6" s="1"/>
  <c r="M71" i="8" s="1"/>
  <c r="N19" i="6"/>
  <c r="N63" i="6" s="1"/>
  <c r="M70" i="8" s="1"/>
  <c r="M19" i="6"/>
  <c r="M63" i="6" s="1"/>
  <c r="M69" i="8" s="1"/>
  <c r="L19" i="6"/>
  <c r="K19" i="6"/>
  <c r="J19" i="6"/>
  <c r="I19" i="6"/>
  <c r="H19" i="6"/>
  <c r="G19" i="6"/>
  <c r="F19" i="6"/>
  <c r="E19" i="6"/>
  <c r="D19" i="6"/>
  <c r="D63" i="6" s="1"/>
  <c r="M60" i="8" s="1"/>
  <c r="C19" i="6"/>
  <c r="B19" i="6"/>
  <c r="O18" i="6"/>
  <c r="O62" i="6" s="1"/>
  <c r="L71" i="8" s="1"/>
  <c r="N18" i="6"/>
  <c r="N62" i="6" s="1"/>
  <c r="L70" i="8" s="1"/>
  <c r="M18" i="6"/>
  <c r="M62" i="6" s="1"/>
  <c r="L69" i="8" s="1"/>
  <c r="L18" i="6"/>
  <c r="L62" i="6" s="1"/>
  <c r="L68" i="8" s="1"/>
  <c r="K18" i="6"/>
  <c r="K62" i="6" s="1"/>
  <c r="L67" i="8" s="1"/>
  <c r="J18" i="6"/>
  <c r="J62" i="6" s="1"/>
  <c r="L66" i="8" s="1"/>
  <c r="I18" i="6"/>
  <c r="I62" i="6" s="1"/>
  <c r="L65" i="8" s="1"/>
  <c r="H18" i="6"/>
  <c r="H62" i="6" s="1"/>
  <c r="L64" i="8" s="1"/>
  <c r="G18" i="6"/>
  <c r="G62" i="6" s="1"/>
  <c r="L63" i="8" s="1"/>
  <c r="F18" i="6"/>
  <c r="F62" i="6" s="1"/>
  <c r="L62" i="8" s="1"/>
  <c r="E18" i="6"/>
  <c r="E62" i="6" s="1"/>
  <c r="L61" i="8" s="1"/>
  <c r="D18" i="6"/>
  <c r="D62" i="6" s="1"/>
  <c r="L60" i="8" s="1"/>
  <c r="C18" i="6"/>
  <c r="C62" i="6" s="1"/>
  <c r="L59" i="8" s="1"/>
  <c r="B18" i="6"/>
  <c r="B62" i="6" s="1"/>
  <c r="L58" i="8" s="1"/>
  <c r="O17" i="6"/>
  <c r="O61" i="6" s="1"/>
  <c r="K71" i="8" s="1"/>
  <c r="N17" i="6"/>
  <c r="N61" i="6" s="1"/>
  <c r="K70" i="8" s="1"/>
  <c r="M17" i="6"/>
  <c r="M61" i="6" s="1"/>
  <c r="K69" i="8" s="1"/>
  <c r="L17" i="6"/>
  <c r="L61" i="6" s="1"/>
  <c r="K68" i="8" s="1"/>
  <c r="K17" i="6"/>
  <c r="K61" i="6" s="1"/>
  <c r="K67" i="8" s="1"/>
  <c r="J17" i="6"/>
  <c r="J61" i="6" s="1"/>
  <c r="K66" i="8" s="1"/>
  <c r="I17" i="6"/>
  <c r="I61" i="6" s="1"/>
  <c r="K65" i="8" s="1"/>
  <c r="H17" i="6"/>
  <c r="H61" i="6" s="1"/>
  <c r="K64" i="8" s="1"/>
  <c r="G17" i="6"/>
  <c r="G61" i="6" s="1"/>
  <c r="K63" i="8" s="1"/>
  <c r="F17" i="6"/>
  <c r="F61" i="6" s="1"/>
  <c r="K62" i="8" s="1"/>
  <c r="E17" i="6"/>
  <c r="E61" i="6" s="1"/>
  <c r="K61" i="8" s="1"/>
  <c r="D17" i="6"/>
  <c r="D61" i="6" s="1"/>
  <c r="K60" i="8" s="1"/>
  <c r="C17" i="6"/>
  <c r="C61" i="6" s="1"/>
  <c r="K59" i="8" s="1"/>
  <c r="B17" i="6"/>
  <c r="B61" i="6" s="1"/>
  <c r="K58" i="8" s="1"/>
  <c r="O16" i="6"/>
  <c r="O60" i="6" s="1"/>
  <c r="J71" i="8" s="1"/>
  <c r="N16" i="6"/>
  <c r="N60" i="6" s="1"/>
  <c r="J70" i="8" s="1"/>
  <c r="M16" i="6"/>
  <c r="M60" i="6" s="1"/>
  <c r="J69" i="8" s="1"/>
  <c r="L16" i="6"/>
  <c r="K16" i="6"/>
  <c r="K60" i="6" s="1"/>
  <c r="J67" i="8" s="1"/>
  <c r="J16" i="6"/>
  <c r="J60" i="6" s="1"/>
  <c r="J66" i="8" s="1"/>
  <c r="I16" i="6"/>
  <c r="I60" i="6" s="1"/>
  <c r="J65" i="8" s="1"/>
  <c r="H16" i="6"/>
  <c r="H60" i="6" s="1"/>
  <c r="J64" i="8" s="1"/>
  <c r="G16" i="6"/>
  <c r="F16" i="6"/>
  <c r="E16" i="6"/>
  <c r="E60" i="6" s="1"/>
  <c r="J61" i="8" s="1"/>
  <c r="D16" i="6"/>
  <c r="D60" i="6" s="1"/>
  <c r="J60" i="8" s="1"/>
  <c r="C16" i="6"/>
  <c r="C60" i="6" s="1"/>
  <c r="J59" i="8" s="1"/>
  <c r="B16" i="6"/>
  <c r="B60" i="6" s="1"/>
  <c r="J58" i="8" s="1"/>
  <c r="O15" i="6"/>
  <c r="O59" i="6" s="1"/>
  <c r="I71" i="8" s="1"/>
  <c r="N15" i="6"/>
  <c r="N59" i="6" s="1"/>
  <c r="I70" i="8" s="1"/>
  <c r="M15" i="6"/>
  <c r="M59" i="6" s="1"/>
  <c r="I69" i="8" s="1"/>
  <c r="L15" i="6"/>
  <c r="L59" i="6" s="1"/>
  <c r="I68" i="8" s="1"/>
  <c r="K15" i="6"/>
  <c r="K59" i="6" s="1"/>
  <c r="I67" i="8" s="1"/>
  <c r="J15" i="6"/>
  <c r="J59" i="6" s="1"/>
  <c r="I66" i="8" s="1"/>
  <c r="I15" i="6"/>
  <c r="I59" i="6" s="1"/>
  <c r="I65" i="8" s="1"/>
  <c r="H15" i="6"/>
  <c r="H59" i="6" s="1"/>
  <c r="I64" i="8" s="1"/>
  <c r="G15" i="6"/>
  <c r="G59" i="6" s="1"/>
  <c r="I63" i="8" s="1"/>
  <c r="F15" i="6"/>
  <c r="F59" i="6" s="1"/>
  <c r="I62" i="8" s="1"/>
  <c r="E15" i="6"/>
  <c r="E59" i="6" s="1"/>
  <c r="I61" i="8" s="1"/>
  <c r="D15" i="6"/>
  <c r="D59" i="6" s="1"/>
  <c r="I60" i="8" s="1"/>
  <c r="C15" i="6"/>
  <c r="C59" i="6" s="1"/>
  <c r="I59" i="8" s="1"/>
  <c r="B15" i="6"/>
  <c r="B59" i="6" s="1"/>
  <c r="I58" i="8" s="1"/>
  <c r="O14" i="6"/>
  <c r="O58" i="6" s="1"/>
  <c r="H71" i="8" s="1"/>
  <c r="N14" i="6"/>
  <c r="N58" i="6" s="1"/>
  <c r="H70" i="8" s="1"/>
  <c r="M14" i="6"/>
  <c r="M58" i="6" s="1"/>
  <c r="H69" i="8" s="1"/>
  <c r="L14" i="6"/>
  <c r="L58" i="6" s="1"/>
  <c r="H68" i="8" s="1"/>
  <c r="K14" i="6"/>
  <c r="K58" i="6" s="1"/>
  <c r="H67" i="8" s="1"/>
  <c r="J14" i="6"/>
  <c r="J58" i="6" s="1"/>
  <c r="H66" i="8" s="1"/>
  <c r="I14" i="6"/>
  <c r="I58" i="6" s="1"/>
  <c r="H65" i="8" s="1"/>
  <c r="H14" i="6"/>
  <c r="H58" i="6" s="1"/>
  <c r="H64" i="8" s="1"/>
  <c r="G14" i="6"/>
  <c r="G58" i="6" s="1"/>
  <c r="H63" i="8" s="1"/>
  <c r="F14" i="6"/>
  <c r="F58" i="6" s="1"/>
  <c r="H62" i="8" s="1"/>
  <c r="E14" i="6"/>
  <c r="E58" i="6" s="1"/>
  <c r="H61" i="8" s="1"/>
  <c r="D14" i="6"/>
  <c r="D58" i="6" s="1"/>
  <c r="H60" i="8" s="1"/>
  <c r="C14" i="6"/>
  <c r="C58" i="6" s="1"/>
  <c r="H59" i="8" s="1"/>
  <c r="B14" i="6"/>
  <c r="B58" i="6" s="1"/>
  <c r="H58" i="8" s="1"/>
  <c r="O13" i="6"/>
  <c r="O57" i="6" s="1"/>
  <c r="G71" i="8" s="1"/>
  <c r="N13" i="6"/>
  <c r="N57" i="6" s="1"/>
  <c r="G70" i="8" s="1"/>
  <c r="M13" i="6"/>
  <c r="M57" i="6" s="1"/>
  <c r="G69" i="8" s="1"/>
  <c r="L13" i="6"/>
  <c r="K13" i="6"/>
  <c r="K57" i="6" s="1"/>
  <c r="G67" i="8" s="1"/>
  <c r="J13" i="6"/>
  <c r="J57" i="6" s="1"/>
  <c r="G66" i="8" s="1"/>
  <c r="I13" i="6"/>
  <c r="H13" i="6"/>
  <c r="G13" i="6"/>
  <c r="F13" i="6"/>
  <c r="E13" i="6"/>
  <c r="D13" i="6"/>
  <c r="C13" i="6"/>
  <c r="C57" i="6" s="1"/>
  <c r="G59" i="8" s="1"/>
  <c r="B13" i="6"/>
  <c r="O12" i="6"/>
  <c r="O56" i="6" s="1"/>
  <c r="F71" i="8" s="1"/>
  <c r="N12" i="6"/>
  <c r="N56" i="6" s="1"/>
  <c r="F70" i="8" s="1"/>
  <c r="M12" i="6"/>
  <c r="M56" i="6" s="1"/>
  <c r="F69" i="8" s="1"/>
  <c r="L12" i="6"/>
  <c r="K12" i="6"/>
  <c r="J12" i="6"/>
  <c r="I12" i="6"/>
  <c r="H12" i="6"/>
  <c r="G12" i="6"/>
  <c r="G56" i="6" s="1"/>
  <c r="F63" i="8" s="1"/>
  <c r="F12" i="6"/>
  <c r="F56" i="6" s="1"/>
  <c r="F62" i="8" s="1"/>
  <c r="E12" i="6"/>
  <c r="E56" i="6" s="1"/>
  <c r="F61" i="8" s="1"/>
  <c r="D12" i="6"/>
  <c r="D56" i="6" s="1"/>
  <c r="F60" i="8" s="1"/>
  <c r="C12" i="6"/>
  <c r="B12" i="6"/>
  <c r="B56" i="6" s="1"/>
  <c r="F58" i="8" s="1"/>
  <c r="O11" i="6"/>
  <c r="O55" i="6" s="1"/>
  <c r="E71" i="8" s="1"/>
  <c r="N11" i="6"/>
  <c r="N55" i="6" s="1"/>
  <c r="E70" i="8" s="1"/>
  <c r="M11" i="6"/>
  <c r="M55" i="6" s="1"/>
  <c r="E69" i="8" s="1"/>
  <c r="L11" i="6"/>
  <c r="L55" i="6" s="1"/>
  <c r="E68" i="8" s="1"/>
  <c r="K11" i="6"/>
  <c r="K55" i="6" s="1"/>
  <c r="E67" i="8" s="1"/>
  <c r="J11" i="6"/>
  <c r="J55" i="6" s="1"/>
  <c r="E66" i="8" s="1"/>
  <c r="I11" i="6"/>
  <c r="I55" i="6" s="1"/>
  <c r="E65" i="8" s="1"/>
  <c r="H11" i="6"/>
  <c r="H55" i="6" s="1"/>
  <c r="E64" i="8" s="1"/>
  <c r="G11" i="6"/>
  <c r="G55" i="6" s="1"/>
  <c r="E63" i="8" s="1"/>
  <c r="F11" i="6"/>
  <c r="F55" i="6" s="1"/>
  <c r="E62" i="8" s="1"/>
  <c r="E11" i="6"/>
  <c r="E55" i="6" s="1"/>
  <c r="E61" i="8" s="1"/>
  <c r="D11" i="6"/>
  <c r="D55" i="6" s="1"/>
  <c r="E60" i="8" s="1"/>
  <c r="C11" i="6"/>
  <c r="C55" i="6" s="1"/>
  <c r="E59" i="8" s="1"/>
  <c r="B11" i="6"/>
  <c r="B55" i="6" s="1"/>
  <c r="E58" i="8" s="1"/>
  <c r="O10" i="6"/>
  <c r="O54" i="6" s="1"/>
  <c r="D71" i="8" s="1"/>
  <c r="N10" i="6"/>
  <c r="N54" i="6" s="1"/>
  <c r="D70" i="8" s="1"/>
  <c r="M10" i="6"/>
  <c r="M54" i="6" s="1"/>
  <c r="D69" i="8" s="1"/>
  <c r="L10" i="6"/>
  <c r="K10" i="6"/>
  <c r="K54" i="6" s="1"/>
  <c r="D67" i="8" s="1"/>
  <c r="J10" i="6"/>
  <c r="J54" i="6" s="1"/>
  <c r="D66" i="8" s="1"/>
  <c r="I10" i="6"/>
  <c r="H10" i="6"/>
  <c r="H54" i="6" s="1"/>
  <c r="D64" i="8" s="1"/>
  <c r="G10" i="6"/>
  <c r="F10" i="6"/>
  <c r="E10" i="6"/>
  <c r="E54" i="6" s="1"/>
  <c r="D61" i="8" s="1"/>
  <c r="D10" i="6"/>
  <c r="C10" i="6"/>
  <c r="C54" i="6" s="1"/>
  <c r="D59" i="8" s="1"/>
  <c r="B10" i="6"/>
  <c r="O9" i="6"/>
  <c r="O53" i="6" s="1"/>
  <c r="C71" i="8" s="1"/>
  <c r="N9" i="6"/>
  <c r="N53" i="6" s="1"/>
  <c r="C70" i="8" s="1"/>
  <c r="M9" i="6"/>
  <c r="M53" i="6" s="1"/>
  <c r="C69" i="8" s="1"/>
  <c r="L9" i="6"/>
  <c r="L53" i="6" s="1"/>
  <c r="C68" i="8" s="1"/>
  <c r="K9" i="6"/>
  <c r="K53" i="6" s="1"/>
  <c r="C67" i="8" s="1"/>
  <c r="J9" i="6"/>
  <c r="J53" i="6" s="1"/>
  <c r="C66" i="8" s="1"/>
  <c r="I9" i="6"/>
  <c r="I53" i="6" s="1"/>
  <c r="C65" i="8" s="1"/>
  <c r="H9" i="6"/>
  <c r="H53" i="6" s="1"/>
  <c r="C64" i="8" s="1"/>
  <c r="G9" i="6"/>
  <c r="G53" i="6" s="1"/>
  <c r="C63" i="8" s="1"/>
  <c r="F9" i="6"/>
  <c r="F53" i="6" s="1"/>
  <c r="C62" i="8" s="1"/>
  <c r="E9" i="6"/>
  <c r="E53" i="6" s="1"/>
  <c r="C61" i="8" s="1"/>
  <c r="D9" i="6"/>
  <c r="D53" i="6" s="1"/>
  <c r="C60" i="8" s="1"/>
  <c r="C9" i="6"/>
  <c r="C53" i="6" s="1"/>
  <c r="C59" i="8" s="1"/>
  <c r="B9" i="6"/>
  <c r="B53" i="6" s="1"/>
  <c r="C58" i="8" s="1"/>
  <c r="O8" i="6"/>
  <c r="N8" i="6"/>
  <c r="N52" i="6" s="1"/>
  <c r="B70" i="8" s="1"/>
  <c r="M8" i="6"/>
  <c r="M52" i="6" s="1"/>
  <c r="B69" i="8" s="1"/>
  <c r="L8" i="6"/>
  <c r="L52" i="6" s="1"/>
  <c r="B68" i="8" s="1"/>
  <c r="K8" i="6"/>
  <c r="K52" i="6" s="1"/>
  <c r="B67" i="8" s="1"/>
  <c r="J8" i="6"/>
  <c r="J52" i="6" s="1"/>
  <c r="B66" i="8" s="1"/>
  <c r="I8" i="6"/>
  <c r="H8" i="6"/>
  <c r="H52" i="6" s="1"/>
  <c r="B64" i="8" s="1"/>
  <c r="G8" i="6"/>
  <c r="F8" i="6"/>
  <c r="F52" i="6" s="1"/>
  <c r="B62" i="8" s="1"/>
  <c r="E8" i="6"/>
  <c r="E52" i="6" s="1"/>
  <c r="B61" i="8" s="1"/>
  <c r="D8" i="6"/>
  <c r="D52" i="6" s="1"/>
  <c r="B60" i="8" s="1"/>
  <c r="C8" i="6"/>
  <c r="C52" i="6" s="1"/>
  <c r="B59" i="8" s="1"/>
  <c r="B8" i="6"/>
  <c r="O35" i="5"/>
  <c r="N35" i="5"/>
  <c r="M35" i="5"/>
  <c r="L35" i="5"/>
  <c r="K35" i="5"/>
  <c r="J35" i="5"/>
  <c r="I35" i="5"/>
  <c r="H35" i="5"/>
  <c r="G35" i="5"/>
  <c r="F35" i="5"/>
  <c r="E35" i="5"/>
  <c r="D35" i="5"/>
  <c r="C35" i="5"/>
  <c r="B35" i="5"/>
  <c r="O34" i="5"/>
  <c r="N34" i="5"/>
  <c r="M34" i="5"/>
  <c r="L34" i="5"/>
  <c r="K34" i="5"/>
  <c r="J34" i="5"/>
  <c r="I34" i="5"/>
  <c r="H34" i="5"/>
  <c r="G34" i="5"/>
  <c r="F34" i="5"/>
  <c r="E34" i="5"/>
  <c r="D34" i="5"/>
  <c r="C34" i="5"/>
  <c r="B34" i="5"/>
  <c r="O33" i="5"/>
  <c r="N33" i="5"/>
  <c r="M33" i="5"/>
  <c r="L33" i="5"/>
  <c r="K33" i="5"/>
  <c r="J33" i="5"/>
  <c r="I33" i="5"/>
  <c r="H33" i="5"/>
  <c r="G33" i="5"/>
  <c r="F33" i="5"/>
  <c r="E33" i="5"/>
  <c r="D33" i="5"/>
  <c r="C33" i="5"/>
  <c r="B33" i="5"/>
  <c r="O32" i="5"/>
  <c r="N32" i="5"/>
  <c r="M32" i="5"/>
  <c r="L32" i="5"/>
  <c r="K32" i="5"/>
  <c r="J32" i="5"/>
  <c r="I32" i="5"/>
  <c r="H32" i="5"/>
  <c r="G32" i="5"/>
  <c r="F32" i="5"/>
  <c r="E32" i="5"/>
  <c r="D32" i="5"/>
  <c r="C32" i="5"/>
  <c r="B32" i="5"/>
  <c r="O31" i="5"/>
  <c r="N31" i="5"/>
  <c r="M31" i="5"/>
  <c r="L31" i="5"/>
  <c r="K31" i="5"/>
  <c r="J31" i="5"/>
  <c r="I31" i="5"/>
  <c r="H31" i="5"/>
  <c r="G31" i="5"/>
  <c r="F31" i="5"/>
  <c r="E31" i="5"/>
  <c r="D31" i="5"/>
  <c r="C31" i="5"/>
  <c r="B31" i="5"/>
  <c r="O30" i="5"/>
  <c r="N30" i="5"/>
  <c r="M30" i="5"/>
  <c r="L30" i="5"/>
  <c r="K30" i="5"/>
  <c r="J30" i="5"/>
  <c r="I30" i="5"/>
  <c r="H30" i="5"/>
  <c r="G30" i="5"/>
  <c r="F30" i="5"/>
  <c r="E30" i="5"/>
  <c r="D30" i="5"/>
  <c r="C30" i="5"/>
  <c r="B30" i="5"/>
  <c r="O29" i="5"/>
  <c r="N29" i="5"/>
  <c r="M29" i="5"/>
  <c r="L29" i="5"/>
  <c r="K29" i="5"/>
  <c r="J29" i="5"/>
  <c r="I29" i="5"/>
  <c r="H29" i="5"/>
  <c r="G29" i="5"/>
  <c r="F29" i="5"/>
  <c r="E29" i="5"/>
  <c r="D29" i="5"/>
  <c r="C29" i="5"/>
  <c r="B29" i="5"/>
  <c r="O28" i="5"/>
  <c r="N28" i="5"/>
  <c r="M28" i="5"/>
  <c r="L28" i="5"/>
  <c r="K28" i="5"/>
  <c r="J28" i="5"/>
  <c r="I28" i="5"/>
  <c r="H28" i="5"/>
  <c r="G28" i="5"/>
  <c r="F28" i="5"/>
  <c r="E28" i="5"/>
  <c r="D28" i="5"/>
  <c r="C28" i="5"/>
  <c r="B28" i="5"/>
  <c r="O27" i="5"/>
  <c r="N27" i="5"/>
  <c r="M27" i="5"/>
  <c r="L27" i="5"/>
  <c r="K27" i="5"/>
  <c r="J27" i="5"/>
  <c r="I27" i="5"/>
  <c r="H27" i="5"/>
  <c r="G27" i="5"/>
  <c r="F27" i="5"/>
  <c r="E27" i="5"/>
  <c r="D27" i="5"/>
  <c r="C27" i="5"/>
  <c r="B27" i="5"/>
  <c r="O26" i="5"/>
  <c r="N26" i="5"/>
  <c r="M26" i="5"/>
  <c r="L26" i="5"/>
  <c r="K26" i="5"/>
  <c r="J26" i="5"/>
  <c r="I26" i="5"/>
  <c r="H26" i="5"/>
  <c r="G26" i="5"/>
  <c r="F26" i="5"/>
  <c r="E26" i="5"/>
  <c r="D26" i="5"/>
  <c r="C26" i="5"/>
  <c r="B26" i="5"/>
  <c r="O25" i="5"/>
  <c r="N25" i="5"/>
  <c r="M25" i="5"/>
  <c r="L25" i="5"/>
  <c r="K25" i="5"/>
  <c r="J25" i="5"/>
  <c r="I25" i="5"/>
  <c r="H25" i="5"/>
  <c r="G25" i="5"/>
  <c r="F25" i="5"/>
  <c r="E25" i="5"/>
  <c r="D25" i="5"/>
  <c r="C25" i="5"/>
  <c r="B25" i="5"/>
  <c r="O24" i="5"/>
  <c r="N24" i="5"/>
  <c r="M24" i="5"/>
  <c r="L24" i="5"/>
  <c r="K24" i="5"/>
  <c r="J24" i="5"/>
  <c r="I24" i="5"/>
  <c r="H24" i="5"/>
  <c r="G24" i="5"/>
  <c r="F24" i="5"/>
  <c r="E24" i="5"/>
  <c r="D24" i="5"/>
  <c r="C24" i="5"/>
  <c r="B24" i="5"/>
  <c r="O23" i="5"/>
  <c r="N23" i="5"/>
  <c r="M23" i="5"/>
  <c r="L23" i="5"/>
  <c r="K23" i="5"/>
  <c r="J23" i="5"/>
  <c r="I23" i="5"/>
  <c r="H23" i="5"/>
  <c r="G23" i="5"/>
  <c r="F23" i="5"/>
  <c r="E23" i="5"/>
  <c r="D23" i="5"/>
  <c r="C23" i="5"/>
  <c r="B23" i="5"/>
  <c r="O22" i="5"/>
  <c r="N22" i="5"/>
  <c r="M22" i="5"/>
  <c r="L22" i="5"/>
  <c r="K22" i="5"/>
  <c r="J22" i="5"/>
  <c r="I22" i="5"/>
  <c r="H22" i="5"/>
  <c r="G22" i="5"/>
  <c r="F22" i="5"/>
  <c r="E22" i="5"/>
  <c r="D22" i="5"/>
  <c r="C22" i="5"/>
  <c r="B22" i="5"/>
  <c r="O18" i="5"/>
  <c r="N18" i="5"/>
  <c r="M18" i="5"/>
  <c r="L18" i="5"/>
  <c r="K18" i="5"/>
  <c r="J18" i="5"/>
  <c r="I18" i="5"/>
  <c r="H18" i="5"/>
  <c r="G18" i="5"/>
  <c r="F18" i="5"/>
  <c r="E18" i="5"/>
  <c r="D18" i="5"/>
  <c r="C18" i="5"/>
  <c r="B18" i="5"/>
  <c r="O17" i="5"/>
  <c r="N17" i="5"/>
  <c r="M17" i="5"/>
  <c r="L17" i="5"/>
  <c r="K17" i="5"/>
  <c r="J17" i="5"/>
  <c r="I17" i="5"/>
  <c r="H17" i="5"/>
  <c r="G17" i="5"/>
  <c r="F17" i="5"/>
  <c r="E17" i="5"/>
  <c r="D17" i="5"/>
  <c r="C17" i="5"/>
  <c r="B17" i="5"/>
  <c r="O16" i="5"/>
  <c r="N16" i="5"/>
  <c r="M16" i="5"/>
  <c r="L16" i="5"/>
  <c r="K16" i="5"/>
  <c r="J16" i="5"/>
  <c r="I16" i="5"/>
  <c r="H16" i="5"/>
  <c r="G16" i="5"/>
  <c r="F16" i="5"/>
  <c r="E16" i="5"/>
  <c r="D16" i="5"/>
  <c r="C16" i="5"/>
  <c r="B16" i="5"/>
  <c r="O15" i="5"/>
  <c r="N15" i="5"/>
  <c r="M15" i="5"/>
  <c r="L15" i="5"/>
  <c r="K15" i="5"/>
  <c r="J15" i="5"/>
  <c r="I15" i="5"/>
  <c r="H15" i="5"/>
  <c r="G15" i="5"/>
  <c r="F15" i="5"/>
  <c r="E15" i="5"/>
  <c r="D15" i="5"/>
  <c r="C15" i="5"/>
  <c r="B15" i="5"/>
  <c r="O14" i="5"/>
  <c r="N14" i="5"/>
  <c r="M14" i="5"/>
  <c r="L14" i="5"/>
  <c r="K14" i="5"/>
  <c r="J14" i="5"/>
  <c r="I14" i="5"/>
  <c r="H14" i="5"/>
  <c r="G14" i="5"/>
  <c r="F14" i="5"/>
  <c r="E14" i="5"/>
  <c r="D14" i="5"/>
  <c r="C14" i="5"/>
  <c r="B14" i="5"/>
  <c r="O13" i="5"/>
  <c r="N13" i="5"/>
  <c r="M13" i="5"/>
  <c r="L13" i="5"/>
  <c r="K13" i="5"/>
  <c r="J13" i="5"/>
  <c r="I13" i="5"/>
  <c r="H13" i="5"/>
  <c r="G13" i="5"/>
  <c r="F13" i="5"/>
  <c r="E13" i="5"/>
  <c r="D13" i="5"/>
  <c r="C13" i="5"/>
  <c r="B13" i="5"/>
  <c r="O12" i="5"/>
  <c r="N12" i="5"/>
  <c r="M12" i="5"/>
  <c r="L12" i="5"/>
  <c r="K12" i="5"/>
  <c r="J12" i="5"/>
  <c r="I12" i="5"/>
  <c r="H12" i="5"/>
  <c r="G12" i="5"/>
  <c r="F12" i="5"/>
  <c r="E12" i="5"/>
  <c r="D12" i="5"/>
  <c r="C12" i="5"/>
  <c r="B12" i="5"/>
  <c r="O11" i="5"/>
  <c r="N11" i="5"/>
  <c r="M11" i="5"/>
  <c r="L11" i="5"/>
  <c r="K11" i="5"/>
  <c r="J11" i="5"/>
  <c r="I11" i="5"/>
  <c r="H11" i="5"/>
  <c r="G11" i="5"/>
  <c r="F11" i="5"/>
  <c r="E11" i="5"/>
  <c r="D11" i="5"/>
  <c r="C11" i="5"/>
  <c r="B11" i="5"/>
  <c r="O10" i="5"/>
  <c r="N10" i="5"/>
  <c r="M10" i="5"/>
  <c r="L10" i="5"/>
  <c r="K10" i="5"/>
  <c r="J10" i="5"/>
  <c r="I10" i="5"/>
  <c r="H10" i="5"/>
  <c r="G10" i="5"/>
  <c r="F10" i="5"/>
  <c r="E10" i="5"/>
  <c r="D10" i="5"/>
  <c r="C10" i="5"/>
  <c r="B10" i="5"/>
  <c r="O9" i="5"/>
  <c r="N9" i="5"/>
  <c r="M9" i="5"/>
  <c r="L9" i="5"/>
  <c r="K9" i="5"/>
  <c r="J9" i="5"/>
  <c r="I9" i="5"/>
  <c r="H9" i="5"/>
  <c r="G9" i="5"/>
  <c r="F9" i="5"/>
  <c r="E9" i="5"/>
  <c r="D9" i="5"/>
  <c r="C9" i="5"/>
  <c r="B9" i="5"/>
  <c r="O8" i="5"/>
  <c r="N8" i="5"/>
  <c r="M8" i="5"/>
  <c r="L8" i="5"/>
  <c r="K8" i="5"/>
  <c r="J8" i="5"/>
  <c r="I8" i="5"/>
  <c r="H8" i="5"/>
  <c r="G8" i="5"/>
  <c r="F8" i="5"/>
  <c r="E8" i="5"/>
  <c r="D8" i="5"/>
  <c r="C8" i="5"/>
  <c r="B8" i="5"/>
  <c r="O7" i="5"/>
  <c r="N7" i="5"/>
  <c r="M7" i="5"/>
  <c r="L7" i="5"/>
  <c r="K7" i="5"/>
  <c r="J7" i="5"/>
  <c r="I7" i="5"/>
  <c r="H7" i="5"/>
  <c r="G7" i="5"/>
  <c r="F7" i="5"/>
  <c r="E7" i="5"/>
  <c r="D7" i="5"/>
  <c r="C7" i="5"/>
  <c r="B7" i="5"/>
  <c r="O6" i="5"/>
  <c r="N6" i="5"/>
  <c r="M6" i="5"/>
  <c r="L6" i="5"/>
  <c r="K6" i="5"/>
  <c r="J6" i="5"/>
  <c r="I6" i="5"/>
  <c r="H6" i="5"/>
  <c r="G6" i="5"/>
  <c r="F6" i="5"/>
  <c r="E6" i="5"/>
  <c r="D6" i="5"/>
  <c r="C6" i="5"/>
  <c r="B6" i="5"/>
  <c r="O5" i="5"/>
  <c r="N5" i="5"/>
  <c r="M5" i="5"/>
  <c r="L5" i="5"/>
  <c r="K5" i="5"/>
  <c r="J5" i="5"/>
  <c r="I5" i="5"/>
  <c r="H5" i="5"/>
  <c r="G5" i="5"/>
  <c r="F5" i="5"/>
  <c r="E5" i="5"/>
  <c r="D5" i="5"/>
  <c r="C5" i="5"/>
  <c r="B5" i="5"/>
  <c r="F24" i="4"/>
  <c r="E24" i="4"/>
  <c r="H24" i="4" s="1"/>
  <c r="F23" i="4"/>
  <c r="E23" i="4"/>
  <c r="F22" i="4"/>
  <c r="E22" i="4"/>
  <c r="F21" i="4"/>
  <c r="E21" i="4"/>
  <c r="F20" i="4"/>
  <c r="E20" i="4"/>
  <c r="F19" i="4"/>
  <c r="E19" i="4"/>
  <c r="H19" i="4" s="1"/>
  <c r="F18" i="4"/>
  <c r="E18" i="4"/>
  <c r="G18" i="4" s="1"/>
  <c r="F17" i="4"/>
  <c r="E17" i="4"/>
  <c r="F16" i="4"/>
  <c r="E16" i="4"/>
  <c r="F15" i="4"/>
  <c r="E15" i="4"/>
  <c r="H15" i="4" s="1"/>
  <c r="F14" i="4"/>
  <c r="E14" i="4"/>
  <c r="H14" i="4" s="1"/>
  <c r="B14" i="4"/>
  <c r="F13" i="4"/>
  <c r="E13" i="4"/>
  <c r="F12" i="4"/>
  <c r="E12" i="4"/>
  <c r="F11" i="4"/>
  <c r="E11" i="4"/>
  <c r="G11" i="4" s="1"/>
  <c r="F10" i="4"/>
  <c r="E10" i="4"/>
  <c r="F9" i="4"/>
  <c r="E9" i="4"/>
  <c r="F8" i="4"/>
  <c r="E8" i="4"/>
  <c r="H8" i="4" s="1"/>
  <c r="F7" i="4"/>
  <c r="E7" i="4"/>
  <c r="F6" i="4"/>
  <c r="E6" i="4"/>
  <c r="H6" i="4" s="1"/>
  <c r="F5" i="4"/>
  <c r="E5" i="4"/>
  <c r="G5" i="4" s="1"/>
  <c r="M2" i="3"/>
  <c r="A28" i="2"/>
  <c r="A27" i="2"/>
  <c r="A26" i="2"/>
  <c r="A25" i="2"/>
  <c r="A24" i="2"/>
  <c r="A23" i="2"/>
  <c r="A22" i="2"/>
  <c r="A21" i="2"/>
  <c r="A20" i="2"/>
  <c r="A19" i="2"/>
  <c r="A18" i="2"/>
  <c r="A17" i="2"/>
  <c r="A16" i="2"/>
  <c r="A15" i="2"/>
  <c r="A14" i="2"/>
  <c r="A13" i="2"/>
  <c r="A12" i="2"/>
  <c r="A11" i="2"/>
  <c r="A10" i="2"/>
  <c r="F22" i="7"/>
  <c r="L324" i="9" l="1"/>
  <c r="S325" i="9"/>
  <c r="I325" i="9" s="1"/>
  <c r="K325" i="9" s="1"/>
  <c r="S324" i="9"/>
  <c r="I324" i="9" s="1"/>
  <c r="S322" i="9"/>
  <c r="I322" i="9" s="1"/>
  <c r="K322" i="9" s="1"/>
  <c r="S323" i="9"/>
  <c r="I323" i="9" s="1"/>
  <c r="L322" i="9"/>
  <c r="D27" i="8"/>
  <c r="S320" i="9"/>
  <c r="I320" i="9" s="1"/>
  <c r="K320" i="9" s="1"/>
  <c r="S321" i="9"/>
  <c r="I321" i="9" s="1"/>
  <c r="L320" i="9"/>
  <c r="S319" i="9"/>
  <c r="I319" i="9" s="1"/>
  <c r="K319" i="9" s="1"/>
  <c r="E159" i="11"/>
  <c r="L70" i="6"/>
  <c r="T68" i="8" s="1"/>
  <c r="S318" i="9"/>
  <c r="I318" i="9" s="1"/>
  <c r="K318" i="9" s="1"/>
  <c r="L316" i="9"/>
  <c r="S317" i="9"/>
  <c r="I317" i="9" s="1"/>
  <c r="K317" i="9" s="1"/>
  <c r="S316" i="9"/>
  <c r="I316" i="9" s="1"/>
  <c r="K316" i="9" s="1"/>
  <c r="S314" i="9"/>
  <c r="I314" i="9" s="1"/>
  <c r="K314" i="9" s="1"/>
  <c r="S315" i="9"/>
  <c r="I315" i="9" s="1"/>
  <c r="L314" i="9"/>
  <c r="S313" i="9"/>
  <c r="I313" i="9" s="1"/>
  <c r="K313" i="9" s="1"/>
  <c r="S312" i="9"/>
  <c r="I312" i="9" s="1"/>
  <c r="K312" i="9" s="1"/>
  <c r="L312" i="9"/>
  <c r="S310" i="9"/>
  <c r="I310" i="9" s="1"/>
  <c r="Y306" i="9"/>
  <c r="Z306" i="9" s="1"/>
  <c r="B70" i="6"/>
  <c r="T58" i="8" s="1"/>
  <c r="S311" i="9"/>
  <c r="I311" i="9" s="1"/>
  <c r="K311" i="9" s="1"/>
  <c r="S306" i="9"/>
  <c r="I306" i="9" s="1"/>
  <c r="L310" i="9"/>
  <c r="Z307" i="9"/>
  <c r="AA307" i="9" s="1"/>
  <c r="AB307" i="9" s="1"/>
  <c r="U309" i="9" s="1"/>
  <c r="S308" i="9"/>
  <c r="I308" i="9" s="1"/>
  <c r="S309" i="9"/>
  <c r="I309" i="9" s="1"/>
  <c r="K309" i="9" s="1"/>
  <c r="L308" i="9"/>
  <c r="S307" i="9"/>
  <c r="I307" i="9" s="1"/>
  <c r="K307" i="9" s="1"/>
  <c r="L306" i="9"/>
  <c r="G70" i="6"/>
  <c r="T63" i="8" s="1"/>
  <c r="E152" i="11"/>
  <c r="S304" i="9"/>
  <c r="I304" i="9" s="1"/>
  <c r="B68" i="6"/>
  <c r="R58" i="8" s="1"/>
  <c r="L302" i="9"/>
  <c r="S302" i="9"/>
  <c r="I302" i="9" s="1"/>
  <c r="S303" i="9"/>
  <c r="I303" i="9" s="1"/>
  <c r="K303" i="9" s="1"/>
  <c r="S305" i="9"/>
  <c r="I305" i="9" s="1"/>
  <c r="K305" i="9" s="1"/>
  <c r="G68" i="6"/>
  <c r="R63" i="8" s="1"/>
  <c r="L80" i="9"/>
  <c r="Q41" i="10"/>
  <c r="S91" i="9"/>
  <c r="I91" i="9" s="1"/>
  <c r="K91" i="9" s="1"/>
  <c r="S17" i="9"/>
  <c r="I17" i="9" s="1"/>
  <c r="K17" i="9" s="1"/>
  <c r="L290" i="9"/>
  <c r="D57" i="6"/>
  <c r="G60" i="8" s="1"/>
  <c r="B64" i="6"/>
  <c r="N58" i="8" s="1"/>
  <c r="D65" i="6"/>
  <c r="O60" i="8" s="1"/>
  <c r="S297" i="9"/>
  <c r="I297" i="9" s="1"/>
  <c r="K297" i="9" s="1"/>
  <c r="F57" i="6"/>
  <c r="G62" i="8" s="1"/>
  <c r="L60" i="6"/>
  <c r="J68" i="8" s="1"/>
  <c r="B63" i="6"/>
  <c r="M58" i="8" s="1"/>
  <c r="N69" i="6"/>
  <c r="S70" i="8" s="1"/>
  <c r="J63" i="6"/>
  <c r="M66" i="8" s="1"/>
  <c r="S67" i="9"/>
  <c r="I67" i="9" s="1"/>
  <c r="K67" i="9" s="1"/>
  <c r="D28" i="8"/>
  <c r="S111" i="9"/>
  <c r="I111" i="9" s="1"/>
  <c r="K111" i="9" s="1"/>
  <c r="S292" i="9"/>
  <c r="I292" i="9" s="1"/>
  <c r="F146" i="11" s="1"/>
  <c r="S44" i="9"/>
  <c r="I44" i="9" s="1"/>
  <c r="K44" i="9" s="1"/>
  <c r="S105" i="9"/>
  <c r="I105" i="9" s="1"/>
  <c r="K105" i="9" s="1"/>
  <c r="S139" i="9"/>
  <c r="I139" i="9" s="1"/>
  <c r="K139" i="9" s="1"/>
  <c r="G77" i="6"/>
  <c r="S31" i="9"/>
  <c r="I31" i="9" s="1"/>
  <c r="F35" i="11" s="1"/>
  <c r="F70" i="6"/>
  <c r="T62" i="8" s="1"/>
  <c r="S140" i="9"/>
  <c r="I140" i="9" s="1"/>
  <c r="F89" i="11" s="1"/>
  <c r="D32" i="8"/>
  <c r="V9" i="9"/>
  <c r="S106" i="9"/>
  <c r="I106" i="9" s="1"/>
  <c r="F72" i="11" s="1"/>
  <c r="S147" i="9"/>
  <c r="I147" i="9" s="1"/>
  <c r="K147" i="9" s="1"/>
  <c r="S222" i="9"/>
  <c r="I222" i="9" s="1"/>
  <c r="E87" i="6"/>
  <c r="S228" i="9"/>
  <c r="I228" i="9" s="1"/>
  <c r="K228" i="9" s="1"/>
  <c r="Q39" i="10"/>
  <c r="I54" i="6"/>
  <c r="D65" i="8" s="1"/>
  <c r="K63" i="6"/>
  <c r="M67" i="8" s="1"/>
  <c r="G69" i="6"/>
  <c r="S63" i="8" s="1"/>
  <c r="I70" i="6"/>
  <c r="T65" i="8" s="1"/>
  <c r="S132" i="9"/>
  <c r="I132" i="9" s="1"/>
  <c r="F85" i="11" s="1"/>
  <c r="S247" i="9"/>
  <c r="I247" i="9" s="1"/>
  <c r="K247" i="9" s="1"/>
  <c r="L98" i="9"/>
  <c r="E79" i="6"/>
  <c r="L106" i="9"/>
  <c r="S128" i="9"/>
  <c r="I128" i="9" s="1"/>
  <c r="E57" i="6"/>
  <c r="G61" i="8" s="1"/>
  <c r="I67" i="6"/>
  <c r="Q65" i="8" s="1"/>
  <c r="E74" i="6"/>
  <c r="L67" i="9"/>
  <c r="S69" i="9"/>
  <c r="I69" i="9" s="1"/>
  <c r="F54" i="11" s="1"/>
  <c r="S230" i="9"/>
  <c r="I230" i="9" s="1"/>
  <c r="K230" i="9" s="1"/>
  <c r="Y138" i="9"/>
  <c r="Z138" i="9" s="1"/>
  <c r="L122" i="9"/>
  <c r="S244" i="9"/>
  <c r="I244" i="9" s="1"/>
  <c r="F122" i="11" s="1"/>
  <c r="G64" i="6"/>
  <c r="N63" i="8" s="1"/>
  <c r="L77" i="9"/>
  <c r="L43" i="9"/>
  <c r="S145" i="9"/>
  <c r="I145" i="9" s="1"/>
  <c r="K145" i="9" s="1"/>
  <c r="S220" i="9"/>
  <c r="I220" i="9" s="1"/>
  <c r="F111" i="11" s="1"/>
  <c r="S294" i="9"/>
  <c r="I294" i="9" s="1"/>
  <c r="K294" i="9" s="1"/>
  <c r="S298" i="9"/>
  <c r="I298" i="9" s="1"/>
  <c r="K298" i="9" s="1"/>
  <c r="S212" i="9"/>
  <c r="I212" i="9" s="1"/>
  <c r="G8" i="4"/>
  <c r="S87" i="9"/>
  <c r="I87" i="9" s="1"/>
  <c r="K87" i="9" s="1"/>
  <c r="E86" i="6"/>
  <c r="S252" i="9"/>
  <c r="I252" i="9" s="1"/>
  <c r="O16" i="11"/>
  <c r="I52" i="6"/>
  <c r="B65" i="8" s="1"/>
  <c r="I68" i="6"/>
  <c r="R65" i="8" s="1"/>
  <c r="S131" i="9"/>
  <c r="I131" i="9" s="1"/>
  <c r="K131" i="9" s="1"/>
  <c r="H63" i="6"/>
  <c r="M64" i="8" s="1"/>
  <c r="P34" i="10"/>
  <c r="S56" i="9"/>
  <c r="I56" i="9" s="1"/>
  <c r="K56" i="9" s="1"/>
  <c r="L94" i="9"/>
  <c r="Z131" i="9"/>
  <c r="AA131" i="9" s="1"/>
  <c r="AB131" i="9" s="1"/>
  <c r="U139" i="9" s="1"/>
  <c r="S169" i="9"/>
  <c r="I169" i="9" s="1"/>
  <c r="K169" i="9" s="1"/>
  <c r="S301" i="9"/>
  <c r="I301" i="9" s="1"/>
  <c r="K301" i="9" s="1"/>
  <c r="L126" i="9"/>
  <c r="O17" i="11"/>
  <c r="S37" i="9"/>
  <c r="I37" i="9" s="1"/>
  <c r="K37" i="9" s="1"/>
  <c r="S83" i="9"/>
  <c r="I83" i="9" s="1"/>
  <c r="K83" i="9" s="1"/>
  <c r="S115" i="9"/>
  <c r="I115" i="9" s="1"/>
  <c r="K115" i="9" s="1"/>
  <c r="L288" i="9"/>
  <c r="L298" i="9"/>
  <c r="D3" i="10"/>
  <c r="R7" i="10" s="1"/>
  <c r="Q49" i="10"/>
  <c r="B54" i="6"/>
  <c r="D58" i="8" s="1"/>
  <c r="H57" i="6"/>
  <c r="G64" i="8" s="1"/>
  <c r="F64" i="6"/>
  <c r="N62" i="8" s="1"/>
  <c r="S18" i="9"/>
  <c r="I18" i="9" s="1"/>
  <c r="S47" i="9"/>
  <c r="I47" i="9" s="1"/>
  <c r="F43" i="11" s="1"/>
  <c r="S232" i="9"/>
  <c r="I232" i="9" s="1"/>
  <c r="K232" i="9" s="1"/>
  <c r="Q37" i="10"/>
  <c r="V14" i="9"/>
  <c r="S41" i="9"/>
  <c r="I41" i="9" s="1"/>
  <c r="K41" i="9" s="1"/>
  <c r="S124" i="9"/>
  <c r="I124" i="9" s="1"/>
  <c r="B69" i="6"/>
  <c r="S58" i="8" s="1"/>
  <c r="G84" i="6"/>
  <c r="S74" i="9"/>
  <c r="I74" i="9" s="1"/>
  <c r="K74" i="9" s="1"/>
  <c r="G74" i="6"/>
  <c r="S100" i="9"/>
  <c r="I100" i="9" s="1"/>
  <c r="K100" i="9" s="1"/>
  <c r="L268" i="9"/>
  <c r="G80" i="6"/>
  <c r="Z5" i="9"/>
  <c r="AA5" i="9" s="1"/>
  <c r="AB5" i="9" s="1"/>
  <c r="G99" i="6" s="1"/>
  <c r="U18" i="11"/>
  <c r="Z7" i="11"/>
  <c r="B27" i="4" s="1"/>
  <c r="B32" i="7"/>
  <c r="S191" i="9"/>
  <c r="I191" i="9" s="1"/>
  <c r="K191" i="9" s="1"/>
  <c r="E77" i="6"/>
  <c r="E82" i="6"/>
  <c r="G87" i="6"/>
  <c r="P92" i="6"/>
  <c r="B11" i="2" s="1"/>
  <c r="D11" i="2" s="1"/>
  <c r="S20" i="9"/>
  <c r="I20" i="9" s="1"/>
  <c r="S66" i="9"/>
  <c r="I66" i="9" s="1"/>
  <c r="K66" i="9" s="1"/>
  <c r="Y132" i="9"/>
  <c r="Z132" i="9" s="1"/>
  <c r="S142" i="9"/>
  <c r="I142" i="9" s="1"/>
  <c r="F90" i="11" s="1"/>
  <c r="S155" i="9"/>
  <c r="I155" i="9" s="1"/>
  <c r="K155" i="9" s="1"/>
  <c r="Z226" i="9"/>
  <c r="G83" i="6"/>
  <c r="S83" i="6" s="1"/>
  <c r="S29" i="9"/>
  <c r="I29" i="9" s="1"/>
  <c r="K29" i="9" s="1"/>
  <c r="K31" i="9"/>
  <c r="S126" i="9"/>
  <c r="I126" i="9" s="1"/>
  <c r="K126" i="9" s="1"/>
  <c r="AA130" i="9"/>
  <c r="AB130" i="9" s="1"/>
  <c r="U164" i="9" s="1"/>
  <c r="Y165" i="9" s="1"/>
  <c r="Z165" i="9" s="1"/>
  <c r="L184" i="9"/>
  <c r="S245" i="9"/>
  <c r="I245" i="9" s="1"/>
  <c r="K245" i="9" s="1"/>
  <c r="I57" i="6"/>
  <c r="G65" i="8" s="1"/>
  <c r="E63" i="6"/>
  <c r="M61" i="8" s="1"/>
  <c r="S257" i="9"/>
  <c r="I257" i="9" s="1"/>
  <c r="S256" i="9"/>
  <c r="I256" i="9" s="1"/>
  <c r="K256" i="9" s="1"/>
  <c r="I56" i="6"/>
  <c r="F65" i="8" s="1"/>
  <c r="G63" i="6"/>
  <c r="M63" i="8" s="1"/>
  <c r="C69" i="6"/>
  <c r="S59" i="8" s="1"/>
  <c r="K69" i="6"/>
  <c r="S67" i="8" s="1"/>
  <c r="S10" i="9"/>
  <c r="I10" i="9" s="1"/>
  <c r="K10" i="9" s="1"/>
  <c r="L39" i="9"/>
  <c r="V86" i="9"/>
  <c r="W87" i="9" s="1"/>
  <c r="S123" i="9"/>
  <c r="I123" i="9" s="1"/>
  <c r="K123" i="9" s="1"/>
  <c r="Y128" i="9"/>
  <c r="Z128" i="9" s="1"/>
  <c r="L192" i="9"/>
  <c r="Y220" i="9"/>
  <c r="Z220" i="9" s="1"/>
  <c r="S227" i="9"/>
  <c r="I227" i="9" s="1"/>
  <c r="S264" i="9"/>
  <c r="I264" i="9" s="1"/>
  <c r="K264" i="9" s="1"/>
  <c r="S276" i="9"/>
  <c r="I276" i="9" s="1"/>
  <c r="L300" i="9"/>
  <c r="F54" i="6"/>
  <c r="D62" i="8" s="1"/>
  <c r="J56" i="6"/>
  <c r="F66" i="8" s="1"/>
  <c r="L57" i="6"/>
  <c r="G68" i="8" s="1"/>
  <c r="D34" i="8"/>
  <c r="S28" i="9"/>
  <c r="I28" i="9" s="1"/>
  <c r="F33" i="11" s="1"/>
  <c r="S54" i="9"/>
  <c r="I54" i="9" s="1"/>
  <c r="K54" i="9" s="1"/>
  <c r="S99" i="9"/>
  <c r="I99" i="9" s="1"/>
  <c r="K99" i="9" s="1"/>
  <c r="L160" i="9"/>
  <c r="Y244" i="9"/>
  <c r="Z244" i="9" s="1"/>
  <c r="I63" i="6"/>
  <c r="M65" i="8" s="1"/>
  <c r="E69" i="6"/>
  <c r="S61" i="8" s="1"/>
  <c r="V11" i="9"/>
  <c r="S40" i="9"/>
  <c r="I40" i="9" s="1"/>
  <c r="K40" i="9" s="1"/>
  <c r="S85" i="9"/>
  <c r="I85" i="9" s="1"/>
  <c r="K85" i="9" s="1"/>
  <c r="S102" i="9"/>
  <c r="I102" i="9" s="1"/>
  <c r="K102" i="9" s="1"/>
  <c r="Z123" i="9"/>
  <c r="AA123" i="9" s="1"/>
  <c r="V9" i="11"/>
  <c r="L56" i="6"/>
  <c r="F68" i="8" s="1"/>
  <c r="L64" i="6"/>
  <c r="N68" i="8" s="1"/>
  <c r="D68" i="6"/>
  <c r="R60" i="8" s="1"/>
  <c r="F69" i="6"/>
  <c r="S62" i="8" s="1"/>
  <c r="U7" i="11"/>
  <c r="Y9" i="9"/>
  <c r="Z9" i="9" s="1"/>
  <c r="AA9" i="9" s="1"/>
  <c r="AB9" i="9" s="1"/>
  <c r="I96" i="6" s="1"/>
  <c r="Y11" i="9"/>
  <c r="Z11" i="9" s="1"/>
  <c r="AA11" i="9" s="1"/>
  <c r="AB11" i="9" s="1"/>
  <c r="H96" i="6" s="1"/>
  <c r="L51" i="9"/>
  <c r="S76" i="9"/>
  <c r="I76" i="9" s="1"/>
  <c r="K76" i="9" s="1"/>
  <c r="Y77" i="9"/>
  <c r="Z77" i="9" s="1"/>
  <c r="L180" i="9"/>
  <c r="S211" i="9"/>
  <c r="I211" i="9" s="1"/>
  <c r="K211" i="9" s="1"/>
  <c r="Q45" i="10"/>
  <c r="O18" i="11"/>
  <c r="G23" i="4"/>
  <c r="E75" i="6"/>
  <c r="P9" i="6"/>
  <c r="R9" i="6" s="1"/>
  <c r="U13" i="11"/>
  <c r="S42" i="9"/>
  <c r="I42" i="9" s="1"/>
  <c r="F40" i="11" s="1"/>
  <c r="S82" i="9"/>
  <c r="I82" i="9" s="1"/>
  <c r="F60" i="11" s="1"/>
  <c r="S97" i="9"/>
  <c r="I97" i="9" s="1"/>
  <c r="F67" i="11" s="1"/>
  <c r="S118" i="9"/>
  <c r="I118" i="9" s="1"/>
  <c r="K118" i="9" s="1"/>
  <c r="S236" i="9"/>
  <c r="I236" i="9" s="1"/>
  <c r="K236" i="9" s="1"/>
  <c r="S283" i="9"/>
  <c r="I283" i="9" s="1"/>
  <c r="S299" i="9"/>
  <c r="I299" i="9" s="1"/>
  <c r="F60" i="6"/>
  <c r="J62" i="8" s="1"/>
  <c r="L63" i="6"/>
  <c r="M68" i="8" s="1"/>
  <c r="D67" i="6"/>
  <c r="Q60" i="8" s="1"/>
  <c r="G75" i="6"/>
  <c r="D30" i="8"/>
  <c r="L4" i="9"/>
  <c r="S49" i="9"/>
  <c r="I49" i="9" s="1"/>
  <c r="K49" i="9" s="1"/>
  <c r="S89" i="9"/>
  <c r="I89" i="9" s="1"/>
  <c r="K89" i="9" s="1"/>
  <c r="S101" i="9"/>
  <c r="I101" i="9" s="1"/>
  <c r="K101" i="9" s="1"/>
  <c r="S136" i="9"/>
  <c r="I136" i="9" s="1"/>
  <c r="F87" i="11" s="1"/>
  <c r="S181" i="9"/>
  <c r="I181" i="9" s="1"/>
  <c r="K181" i="9" s="1"/>
  <c r="S216" i="9"/>
  <c r="I216" i="9" s="1"/>
  <c r="K216" i="9" s="1"/>
  <c r="V18" i="11"/>
  <c r="S141" i="9"/>
  <c r="I141" i="9" s="1"/>
  <c r="K141" i="9" s="1"/>
  <c r="L54" i="6"/>
  <c r="D68" i="8" s="1"/>
  <c r="B57" i="6"/>
  <c r="G58" i="8" s="1"/>
  <c r="G81" i="6"/>
  <c r="S4" i="9"/>
  <c r="I4" i="9" s="1"/>
  <c r="K4" i="9" s="1"/>
  <c r="S30" i="9"/>
  <c r="I30" i="9" s="1"/>
  <c r="K30" i="9" s="1"/>
  <c r="S36" i="9"/>
  <c r="I36" i="9" s="1"/>
  <c r="K36" i="9" s="1"/>
  <c r="S94" i="9"/>
  <c r="I94" i="9" s="1"/>
  <c r="F66" i="11" s="1"/>
  <c r="P48" i="10"/>
  <c r="E31" i="8"/>
  <c r="F31" i="8" s="1"/>
  <c r="S104" i="9"/>
  <c r="I104" i="9" s="1"/>
  <c r="F71" i="11" s="1"/>
  <c r="S201" i="9"/>
  <c r="I201" i="9" s="1"/>
  <c r="K201" i="9" s="1"/>
  <c r="S239" i="9"/>
  <c r="I239" i="9" s="1"/>
  <c r="K239" i="9" s="1"/>
  <c r="Q38" i="10"/>
  <c r="R38" i="10" s="1"/>
  <c r="L231" i="9"/>
  <c r="S268" i="9"/>
  <c r="I268" i="9" s="1"/>
  <c r="F134" i="11" s="1"/>
  <c r="L284" i="9"/>
  <c r="G82" i="6"/>
  <c r="S82" i="6" s="1"/>
  <c r="V12" i="9"/>
  <c r="S149" i="9"/>
  <c r="I149" i="9" s="1"/>
  <c r="K149" i="9" s="1"/>
  <c r="G57" i="6"/>
  <c r="G63" i="8" s="1"/>
  <c r="G16" i="4"/>
  <c r="G52" i="6"/>
  <c r="B63" i="8" s="1"/>
  <c r="G54" i="6"/>
  <c r="D63" i="8" s="1"/>
  <c r="L65" i="6"/>
  <c r="O68" i="8" s="1"/>
  <c r="M69" i="6"/>
  <c r="S69" i="8" s="1"/>
  <c r="D25" i="8"/>
  <c r="L31" i="9"/>
  <c r="L82" i="9"/>
  <c r="L84" i="9"/>
  <c r="S86" i="9"/>
  <c r="I86" i="9" s="1"/>
  <c r="F62" i="11" s="1"/>
  <c r="Y122" i="9"/>
  <c r="Z122" i="9" s="1"/>
  <c r="L164" i="9"/>
  <c r="S208" i="9"/>
  <c r="I208" i="9" s="1"/>
  <c r="K208" i="9" s="1"/>
  <c r="H56" i="6"/>
  <c r="F64" i="8" s="1"/>
  <c r="P27" i="6"/>
  <c r="S24" i="9"/>
  <c r="I24" i="9" s="1"/>
  <c r="L148" i="9"/>
  <c r="G17" i="4"/>
  <c r="P23" i="6"/>
  <c r="P24" i="6"/>
  <c r="P26" i="6"/>
  <c r="Q26" i="6" s="1"/>
  <c r="Y71" i="9"/>
  <c r="Z71" i="9" s="1"/>
  <c r="E105" i="11"/>
  <c r="L196" i="9"/>
  <c r="E141" i="11"/>
  <c r="L282" i="9"/>
  <c r="P22" i="6"/>
  <c r="Q22" i="6" s="1"/>
  <c r="P25" i="6"/>
  <c r="Q25" i="6" s="1"/>
  <c r="E84" i="6"/>
  <c r="P97" i="6"/>
  <c r="B16" i="2" s="1"/>
  <c r="D16" i="2" s="1"/>
  <c r="D26" i="8"/>
  <c r="S16" i="9"/>
  <c r="I16" i="9" s="1"/>
  <c r="K16" i="9" s="1"/>
  <c r="S22" i="9"/>
  <c r="I22" i="9" s="1"/>
  <c r="K22" i="9" s="1"/>
  <c r="S53" i="9"/>
  <c r="I53" i="9" s="1"/>
  <c r="S151" i="9"/>
  <c r="I151" i="9" s="1"/>
  <c r="K151" i="9" s="1"/>
  <c r="K56" i="6"/>
  <c r="F67" i="8" s="1"/>
  <c r="P21" i="6"/>
  <c r="E23" i="2" s="1"/>
  <c r="B67" i="6"/>
  <c r="Q58" i="8" s="1"/>
  <c r="G76" i="6"/>
  <c r="S15" i="9"/>
  <c r="I15" i="9" s="1"/>
  <c r="K15" i="9" s="1"/>
  <c r="S21" i="9"/>
  <c r="I21" i="9" s="1"/>
  <c r="K21" i="9" s="1"/>
  <c r="S48" i="9"/>
  <c r="I48" i="9" s="1"/>
  <c r="K48" i="9" s="1"/>
  <c r="S81" i="9"/>
  <c r="I81" i="9" s="1"/>
  <c r="K81" i="9" s="1"/>
  <c r="S88" i="9"/>
  <c r="I88" i="9" s="1"/>
  <c r="F63" i="11" s="1"/>
  <c r="L112" i="9"/>
  <c r="S114" i="9"/>
  <c r="I114" i="9" s="1"/>
  <c r="K114" i="9" s="1"/>
  <c r="Y130" i="9"/>
  <c r="Z130" i="9" s="1"/>
  <c r="S134" i="9"/>
  <c r="I134" i="9" s="1"/>
  <c r="F86" i="11" s="1"/>
  <c r="S243" i="9"/>
  <c r="I243" i="9" s="1"/>
  <c r="K243" i="9" s="1"/>
  <c r="S242" i="9"/>
  <c r="I242" i="9" s="1"/>
  <c r="F121" i="11" s="1"/>
  <c r="S284" i="9"/>
  <c r="I284" i="9" s="1"/>
  <c r="K284" i="9" s="1"/>
  <c r="S285" i="9"/>
  <c r="I285" i="9" s="1"/>
  <c r="P20" i="6"/>
  <c r="E22" i="2" s="1"/>
  <c r="E80" i="6"/>
  <c r="P94" i="6"/>
  <c r="B13" i="2" s="1"/>
  <c r="D13" i="2" s="1"/>
  <c r="P110" i="6"/>
  <c r="B29" i="2" s="1"/>
  <c r="D29" i="2" s="1"/>
  <c r="S51" i="9"/>
  <c r="I51" i="9" s="1"/>
  <c r="F45" i="11" s="1"/>
  <c r="U15" i="11"/>
  <c r="S179" i="9"/>
  <c r="I179" i="9" s="1"/>
  <c r="K179" i="9" s="1"/>
  <c r="O20" i="11"/>
  <c r="V20" i="11"/>
  <c r="P17" i="6"/>
  <c r="P19" i="6"/>
  <c r="Q19" i="6" s="1"/>
  <c r="B65" i="6"/>
  <c r="O58" i="8" s="1"/>
  <c r="U17" i="11"/>
  <c r="S43" i="9"/>
  <c r="I43" i="9" s="1"/>
  <c r="F41" i="11" s="1"/>
  <c r="S109" i="9"/>
  <c r="I109" i="9" s="1"/>
  <c r="K109" i="9" s="1"/>
  <c r="S113" i="9"/>
  <c r="I113" i="9" s="1"/>
  <c r="K113" i="9" s="1"/>
  <c r="S112" i="9"/>
  <c r="I112" i="9" s="1"/>
  <c r="K112" i="9" s="1"/>
  <c r="E136" i="11"/>
  <c r="L272" i="9"/>
  <c r="S282" i="9"/>
  <c r="I282" i="9" s="1"/>
  <c r="K282" i="9" s="1"/>
  <c r="P14" i="6"/>
  <c r="P16" i="6"/>
  <c r="P18" i="6"/>
  <c r="Q18" i="6" s="1"/>
  <c r="D69" i="6"/>
  <c r="S60" i="8" s="1"/>
  <c r="E76" i="6"/>
  <c r="P101" i="6"/>
  <c r="B20" i="2" s="1"/>
  <c r="D20" i="2" s="1"/>
  <c r="Y15" i="9"/>
  <c r="Z15" i="9" s="1"/>
  <c r="AA16" i="9" s="1"/>
  <c r="AB16" i="9" s="1"/>
  <c r="U18" i="9" s="1"/>
  <c r="Y17" i="9" s="1"/>
  <c r="L61" i="9"/>
  <c r="S95" i="9"/>
  <c r="I95" i="9" s="1"/>
  <c r="K95" i="9" s="1"/>
  <c r="L102" i="9"/>
  <c r="S107" i="9"/>
  <c r="I107" i="9" s="1"/>
  <c r="K107" i="9" s="1"/>
  <c r="S108" i="9"/>
  <c r="I108" i="9" s="1"/>
  <c r="K108" i="9" s="1"/>
  <c r="S119" i="9"/>
  <c r="I119" i="9" s="1"/>
  <c r="K119" i="9" s="1"/>
  <c r="L172" i="9"/>
  <c r="S221" i="9"/>
  <c r="I221" i="9" s="1"/>
  <c r="K221" i="9" s="1"/>
  <c r="S241" i="9"/>
  <c r="I241" i="9" s="1"/>
  <c r="K241" i="9" s="1"/>
  <c r="S240" i="9"/>
  <c r="I240" i="9" s="1"/>
  <c r="R41" i="10"/>
  <c r="R20" i="11"/>
  <c r="T20" i="11"/>
  <c r="P11" i="6"/>
  <c r="P13" i="6"/>
  <c r="R13" i="6" s="1"/>
  <c r="P15" i="6"/>
  <c r="Q15" i="6" s="1"/>
  <c r="F68" i="6"/>
  <c r="R62" i="8" s="1"/>
  <c r="H69" i="6"/>
  <c r="S64" i="8" s="1"/>
  <c r="E85" i="6"/>
  <c r="P100" i="6"/>
  <c r="B19" i="2" s="1"/>
  <c r="D19" i="2" s="1"/>
  <c r="S72" i="9"/>
  <c r="I72" i="9" s="1"/>
  <c r="K72" i="9" s="1"/>
  <c r="S93" i="9"/>
  <c r="I93" i="9" s="1"/>
  <c r="F65" i="11" s="1"/>
  <c r="S125" i="9"/>
  <c r="I125" i="9" s="1"/>
  <c r="K125" i="9" s="1"/>
  <c r="P8" i="6"/>
  <c r="P10" i="6"/>
  <c r="Q10" i="6" s="1"/>
  <c r="P12" i="6"/>
  <c r="Q12" i="6" s="1"/>
  <c r="C63" i="6"/>
  <c r="M59" i="8" s="1"/>
  <c r="S38" i="9"/>
  <c r="I38" i="9" s="1"/>
  <c r="K38" i="9" s="1"/>
  <c r="S39" i="9"/>
  <c r="I39" i="9" s="1"/>
  <c r="K39" i="9" s="1"/>
  <c r="S61" i="9"/>
  <c r="I61" i="9" s="1"/>
  <c r="K61" i="9" s="1"/>
  <c r="S70" i="9"/>
  <c r="I70" i="9" s="1"/>
  <c r="K70" i="9" s="1"/>
  <c r="S117" i="9"/>
  <c r="I117" i="9" s="1"/>
  <c r="K117" i="9" s="1"/>
  <c r="E135" i="11"/>
  <c r="L270" i="9"/>
  <c r="S280" i="9"/>
  <c r="I280" i="9" s="1"/>
  <c r="K280" i="9" s="1"/>
  <c r="S281" i="9"/>
  <c r="I281" i="9" s="1"/>
  <c r="F140" i="11" s="1"/>
  <c r="Q43" i="10"/>
  <c r="P43" i="10"/>
  <c r="V5" i="9"/>
  <c r="U8" i="11"/>
  <c r="R34" i="10"/>
  <c r="Q44" i="10"/>
  <c r="P44" i="10"/>
  <c r="G65" i="6"/>
  <c r="O63" i="8" s="1"/>
  <c r="S14" i="9"/>
  <c r="I14" i="9" s="1"/>
  <c r="K14" i="9" s="1"/>
  <c r="C56" i="6"/>
  <c r="F59" i="8" s="1"/>
  <c r="F63" i="6"/>
  <c r="M62" i="8" s="1"/>
  <c r="I69" i="6"/>
  <c r="S65" i="8" s="1"/>
  <c r="L69" i="6"/>
  <c r="S68" i="8" s="1"/>
  <c r="G78" i="6"/>
  <c r="G86" i="6"/>
  <c r="Z23" i="9"/>
  <c r="AA24" i="9" s="1"/>
  <c r="AB24" i="9" s="1"/>
  <c r="U26" i="9" s="1"/>
  <c r="Y26" i="9" s="1"/>
  <c r="Z26" i="9" s="1"/>
  <c r="U16" i="11"/>
  <c r="S50" i="9"/>
  <c r="I50" i="9" s="1"/>
  <c r="K50" i="9" s="1"/>
  <c r="L57" i="9"/>
  <c r="E78" i="11"/>
  <c r="L118" i="9"/>
  <c r="L140" i="9"/>
  <c r="V165" i="9"/>
  <c r="S270" i="9"/>
  <c r="I270" i="9" s="1"/>
  <c r="K270" i="9" s="1"/>
  <c r="S271" i="9"/>
  <c r="I271" i="9" s="1"/>
  <c r="K271" i="9" s="1"/>
  <c r="D54" i="6"/>
  <c r="D60" i="8" s="1"/>
  <c r="I65" i="6"/>
  <c r="O65" i="8" s="1"/>
  <c r="J69" i="6"/>
  <c r="S66" i="8" s="1"/>
  <c r="D24" i="8"/>
  <c r="Z13" i="9"/>
  <c r="AA13" i="9" s="1"/>
  <c r="AB13" i="9" s="1"/>
  <c r="L96" i="6" s="1"/>
  <c r="L27" i="9"/>
  <c r="L33" i="9"/>
  <c r="S110" i="9"/>
  <c r="I110" i="9" s="1"/>
  <c r="F74" i="11" s="1"/>
  <c r="S122" i="9"/>
  <c r="I122" i="9" s="1"/>
  <c r="F80" i="11" s="1"/>
  <c r="S202" i="9"/>
  <c r="I202" i="9" s="1"/>
  <c r="K202" i="9" s="1"/>
  <c r="E115" i="11"/>
  <c r="L229" i="9"/>
  <c r="E143" i="11"/>
  <c r="L286" i="9"/>
  <c r="Q36" i="10"/>
  <c r="P36" i="10"/>
  <c r="G60" i="6"/>
  <c r="J63" i="8" s="1"/>
  <c r="I64" i="6"/>
  <c r="N65" i="8" s="1"/>
  <c r="Q5" i="9"/>
  <c r="Y7" i="9"/>
  <c r="Z7" i="9" s="1"/>
  <c r="U10" i="11"/>
  <c r="E46" i="11"/>
  <c r="L53" i="9"/>
  <c r="L73" i="9"/>
  <c r="Z78" i="9"/>
  <c r="AA78" i="9" s="1"/>
  <c r="AB78" i="9" s="1"/>
  <c r="Y79" i="9"/>
  <c r="Z79" i="9" s="1"/>
  <c r="AA79" i="9" s="1"/>
  <c r="AB79" i="9" s="1"/>
  <c r="D107" i="6" s="1"/>
  <c r="S183" i="9"/>
  <c r="I183" i="9" s="1"/>
  <c r="K183" i="9" s="1"/>
  <c r="S269" i="9"/>
  <c r="I269" i="9" s="1"/>
  <c r="K269" i="9" s="1"/>
  <c r="S277" i="9"/>
  <c r="I277" i="9" s="1"/>
  <c r="K277" i="9" s="1"/>
  <c r="G12" i="11"/>
  <c r="H12" i="11" s="1"/>
  <c r="S263" i="9"/>
  <c r="I263" i="9" s="1"/>
  <c r="S171" i="9"/>
  <c r="I171" i="9" s="1"/>
  <c r="K171" i="9" s="1"/>
  <c r="S262" i="9"/>
  <c r="I262" i="9" s="1"/>
  <c r="K262" i="9" s="1"/>
  <c r="L274" i="9"/>
  <c r="S291" i="9"/>
  <c r="I291" i="9" s="1"/>
  <c r="F145" i="11" s="1"/>
  <c r="Q47" i="10"/>
  <c r="S224" i="9"/>
  <c r="I224" i="9" s="1"/>
  <c r="F113" i="11" s="1"/>
  <c r="S261" i="9"/>
  <c r="I261" i="9" s="1"/>
  <c r="K261" i="9" s="1"/>
  <c r="S289" i="9"/>
  <c r="I289" i="9" s="1"/>
  <c r="K289" i="9" s="1"/>
  <c r="S103" i="9"/>
  <c r="I103" i="9" s="1"/>
  <c r="K103" i="9" s="1"/>
  <c r="S223" i="9"/>
  <c r="I223" i="9" s="1"/>
  <c r="K223" i="9" s="1"/>
  <c r="S234" i="9"/>
  <c r="I234" i="9" s="1"/>
  <c r="K234" i="9" s="1"/>
  <c r="S248" i="9"/>
  <c r="I248" i="9" s="1"/>
  <c r="F124" i="11" s="1"/>
  <c r="S253" i="9"/>
  <c r="I253" i="9" s="1"/>
  <c r="K253" i="9" s="1"/>
  <c r="S300" i="9"/>
  <c r="I300" i="9" s="1"/>
  <c r="F150" i="11" s="1"/>
  <c r="G10" i="11"/>
  <c r="H10" i="11" s="1"/>
  <c r="B20" i="11"/>
  <c r="L266" i="9"/>
  <c r="S274" i="9"/>
  <c r="I274" i="9" s="1"/>
  <c r="K274" i="9" s="1"/>
  <c r="Q35" i="10"/>
  <c r="R35" i="10" s="1"/>
  <c r="V8" i="11"/>
  <c r="S219" i="9"/>
  <c r="I219" i="9" s="1"/>
  <c r="K219" i="9" s="1"/>
  <c r="S272" i="9"/>
  <c r="I272" i="9" s="1"/>
  <c r="K272" i="9" s="1"/>
  <c r="S278" i="9"/>
  <c r="I278" i="9" s="1"/>
  <c r="K278" i="9" s="1"/>
  <c r="S296" i="9"/>
  <c r="I296" i="9" s="1"/>
  <c r="S213" i="9"/>
  <c r="I213" i="9" s="1"/>
  <c r="K213" i="9" s="1"/>
  <c r="S293" i="9"/>
  <c r="I293" i="9" s="1"/>
  <c r="K293" i="9" s="1"/>
  <c r="O8" i="11"/>
  <c r="R9" i="10"/>
  <c r="H27" i="15"/>
  <c r="I27" i="15"/>
  <c r="J27" i="15" s="1"/>
  <c r="K27" i="15" s="1"/>
  <c r="H24" i="15"/>
  <c r="H26" i="15"/>
  <c r="I26" i="15"/>
  <c r="H25" i="15"/>
  <c r="I25" i="15"/>
  <c r="I24" i="15"/>
  <c r="G14" i="4"/>
  <c r="G22" i="4"/>
  <c r="G15" i="4"/>
  <c r="G21" i="4"/>
  <c r="H11" i="4"/>
  <c r="G24" i="4"/>
  <c r="H19" i="15"/>
  <c r="J19" i="15" s="1"/>
  <c r="K19" i="15" s="1"/>
  <c r="H21" i="15"/>
  <c r="J21" i="15" s="1"/>
  <c r="K21" i="15" s="1"/>
  <c r="H22" i="15"/>
  <c r="H23" i="15"/>
  <c r="H20" i="15"/>
  <c r="I23" i="15"/>
  <c r="I20" i="15"/>
  <c r="I22" i="15"/>
  <c r="H18" i="15"/>
  <c r="J18" i="15" s="1"/>
  <c r="K18" i="15" s="1"/>
  <c r="AG10" i="11"/>
  <c r="AH13" i="11"/>
  <c r="B20" i="4"/>
  <c r="G9" i="4"/>
  <c r="G12" i="4"/>
  <c r="H12" i="4"/>
  <c r="G13" i="4"/>
  <c r="G10" i="4"/>
  <c r="G79" i="6"/>
  <c r="G6" i="4"/>
  <c r="G19" i="4"/>
  <c r="G7" i="4"/>
  <c r="G20" i="4"/>
  <c r="P105" i="6"/>
  <c r="B24" i="2" s="1"/>
  <c r="F25" i="11"/>
  <c r="S26" i="9"/>
  <c r="I26" i="9" s="1"/>
  <c r="S25" i="9"/>
  <c r="I25" i="9" s="1"/>
  <c r="K25" i="9" s="1"/>
  <c r="U11" i="11"/>
  <c r="E28" i="11"/>
  <c r="L17" i="9"/>
  <c r="E83" i="6"/>
  <c r="P98" i="6"/>
  <c r="B17" i="2" s="1"/>
  <c r="D29" i="8"/>
  <c r="S5" i="9"/>
  <c r="I5" i="9" s="1"/>
  <c r="K5" i="9" s="1"/>
  <c r="S6" i="9"/>
  <c r="I6" i="9" s="1"/>
  <c r="K6" i="9" s="1"/>
  <c r="E78" i="6"/>
  <c r="F39" i="11"/>
  <c r="Z44" i="9"/>
  <c r="AA44" i="9" s="1"/>
  <c r="AB44" i="9" s="1"/>
  <c r="F93" i="6" s="1"/>
  <c r="E26" i="11"/>
  <c r="L7" i="9"/>
  <c r="E30" i="11"/>
  <c r="L21" i="9"/>
  <c r="O52" i="6"/>
  <c r="B71" i="8" s="1"/>
  <c r="E81" i="6"/>
  <c r="D35" i="8"/>
  <c r="S12" i="9"/>
  <c r="I12" i="9" s="1"/>
  <c r="K12" i="9" s="1"/>
  <c r="S7" i="9"/>
  <c r="I7" i="9" s="1"/>
  <c r="S11" i="9"/>
  <c r="I11" i="9" s="1"/>
  <c r="K11" i="9" s="1"/>
  <c r="S8" i="9"/>
  <c r="I8" i="9" s="1"/>
  <c r="K8" i="9" s="1"/>
  <c r="V7" i="9"/>
  <c r="P10" i="9"/>
  <c r="P12" i="9"/>
  <c r="Q12" i="9" s="1"/>
  <c r="P7" i="9"/>
  <c r="Q7" i="9" s="1"/>
  <c r="P14" i="9"/>
  <c r="Q14" i="9" s="1"/>
  <c r="P9" i="9"/>
  <c r="Q9" i="9" s="1"/>
  <c r="P11" i="9"/>
  <c r="Q11" i="9" s="1"/>
  <c r="P13" i="9"/>
  <c r="E55" i="11"/>
  <c r="L71" i="9"/>
  <c r="E36" i="8"/>
  <c r="F36" i="8" s="1"/>
  <c r="D36" i="8"/>
  <c r="AC19" i="11"/>
  <c r="B52" i="6"/>
  <c r="B58" i="8" s="1"/>
  <c r="D23" i="8"/>
  <c r="L19" i="9"/>
  <c r="E37" i="11"/>
  <c r="L35" i="9"/>
  <c r="F28" i="11"/>
  <c r="K18" i="9"/>
  <c r="L28" i="9"/>
  <c r="Y30" i="9"/>
  <c r="Z30" i="9" s="1"/>
  <c r="AA30" i="9" s="1"/>
  <c r="AB30" i="9" s="1"/>
  <c r="U32" i="9" s="1"/>
  <c r="S58" i="9"/>
  <c r="I58" i="9" s="1"/>
  <c r="K58" i="9" s="1"/>
  <c r="S57" i="9"/>
  <c r="I57" i="9" s="1"/>
  <c r="P6" i="9"/>
  <c r="Q6" i="9" s="1"/>
  <c r="U14" i="11"/>
  <c r="S13" i="9"/>
  <c r="I13" i="9" s="1"/>
  <c r="K13" i="9" s="1"/>
  <c r="U9" i="11"/>
  <c r="E49" i="11"/>
  <c r="L59" i="9"/>
  <c r="Z72" i="9"/>
  <c r="AA71" i="9" s="1"/>
  <c r="AB71" i="9" s="1"/>
  <c r="U73" i="9" s="1"/>
  <c r="E44" i="11"/>
  <c r="S63" i="9"/>
  <c r="I63" i="9" s="1"/>
  <c r="S64" i="9"/>
  <c r="I64" i="9" s="1"/>
  <c r="K64" i="9" s="1"/>
  <c r="P4" i="9"/>
  <c r="Q4" i="9" s="1"/>
  <c r="S32" i="9"/>
  <c r="I32" i="9" s="1"/>
  <c r="K32" i="9" s="1"/>
  <c r="E43" i="11"/>
  <c r="L47" i="9"/>
  <c r="L62" i="9"/>
  <c r="S19" i="9"/>
  <c r="I19" i="9" s="1"/>
  <c r="K19" i="9" s="1"/>
  <c r="S23" i="9"/>
  <c r="I23" i="9" s="1"/>
  <c r="K23" i="9" s="1"/>
  <c r="S27" i="9"/>
  <c r="I27" i="9" s="1"/>
  <c r="K27" i="9" s="1"/>
  <c r="V30" i="9"/>
  <c r="E42" i="11"/>
  <c r="D33" i="8"/>
  <c r="S34" i="9"/>
  <c r="I34" i="9" s="1"/>
  <c r="K34" i="9" s="1"/>
  <c r="S33" i="9"/>
  <c r="I33" i="9" s="1"/>
  <c r="L40" i="9"/>
  <c r="L49" i="9"/>
  <c r="S52" i="9"/>
  <c r="I52" i="9" s="1"/>
  <c r="K52" i="9" s="1"/>
  <c r="S59" i="9"/>
  <c r="I59" i="9" s="1"/>
  <c r="U12" i="11"/>
  <c r="V6" i="9"/>
  <c r="S9" i="9"/>
  <c r="I9" i="9" s="1"/>
  <c r="K9" i="9" s="1"/>
  <c r="S35" i="9"/>
  <c r="I35" i="9" s="1"/>
  <c r="L37" i="9"/>
  <c r="L15" i="9"/>
  <c r="L29" i="9"/>
  <c r="Y6" i="9"/>
  <c r="Z6" i="9" s="1"/>
  <c r="AA6" i="9" s="1"/>
  <c r="AB6" i="9" s="1"/>
  <c r="L99" i="6" s="1"/>
  <c r="Y4" i="9"/>
  <c r="Z4" i="9" s="1"/>
  <c r="L41" i="9"/>
  <c r="V4" i="9"/>
  <c r="L25" i="9"/>
  <c r="E31" i="11"/>
  <c r="L23" i="9"/>
  <c r="S55" i="9"/>
  <c r="I55" i="9" s="1"/>
  <c r="F69" i="11"/>
  <c r="E83" i="11"/>
  <c r="L128" i="9"/>
  <c r="Y14" i="9"/>
  <c r="Z14" i="9" s="1"/>
  <c r="AA14" i="9" s="1"/>
  <c r="AB14" i="9" s="1"/>
  <c r="D96" i="6" s="1"/>
  <c r="Y12" i="9"/>
  <c r="Z12" i="9" s="1"/>
  <c r="AA12" i="9" s="1"/>
  <c r="AB12" i="9" s="1"/>
  <c r="E96" i="6" s="1"/>
  <c r="Y10" i="9"/>
  <c r="Z10" i="9" s="1"/>
  <c r="AA10" i="9" s="1"/>
  <c r="AB10" i="9" s="1"/>
  <c r="F96" i="6" s="1"/>
  <c r="Y8" i="9"/>
  <c r="Z8" i="9" s="1"/>
  <c r="AA8" i="9" s="1"/>
  <c r="AB8" i="9" s="1"/>
  <c r="G96" i="6" s="1"/>
  <c r="S46" i="9"/>
  <c r="I46" i="9" s="1"/>
  <c r="K46" i="9" s="1"/>
  <c r="Y50" i="9"/>
  <c r="Z50" i="9" s="1"/>
  <c r="AA50" i="9" s="1"/>
  <c r="AB50" i="9" s="1"/>
  <c r="U52" i="9" s="1"/>
  <c r="L54" i="9"/>
  <c r="Y24" i="9"/>
  <c r="Z24" i="9" s="1"/>
  <c r="S45" i="9"/>
  <c r="I45" i="9" s="1"/>
  <c r="S92" i="9"/>
  <c r="I92" i="9" s="1"/>
  <c r="K92" i="9" s="1"/>
  <c r="E62" i="11"/>
  <c r="F83" i="11"/>
  <c r="K128" i="9"/>
  <c r="S60" i="9"/>
  <c r="I60" i="9" s="1"/>
  <c r="K60" i="9" s="1"/>
  <c r="S73" i="9"/>
  <c r="I73" i="9" s="1"/>
  <c r="P86" i="9"/>
  <c r="Q86" i="9" s="1"/>
  <c r="L90" i="9"/>
  <c r="L96" i="9"/>
  <c r="L68" i="9"/>
  <c r="S121" i="9"/>
  <c r="I121" i="9" s="1"/>
  <c r="S120" i="9"/>
  <c r="I120" i="9" s="1"/>
  <c r="K120" i="9" s="1"/>
  <c r="S84" i="9"/>
  <c r="I84" i="9" s="1"/>
  <c r="L86" i="9"/>
  <c r="E63" i="11"/>
  <c r="L88" i="9"/>
  <c r="L65" i="9"/>
  <c r="L78" i="9"/>
  <c r="S80" i="9"/>
  <c r="I80" i="9" s="1"/>
  <c r="S79" i="9"/>
  <c r="I79" i="9" s="1"/>
  <c r="K79" i="9" s="1"/>
  <c r="S77" i="9"/>
  <c r="I77" i="9" s="1"/>
  <c r="L72" i="9"/>
  <c r="L75" i="9"/>
  <c r="S90" i="9"/>
  <c r="I90" i="9" s="1"/>
  <c r="S96" i="9"/>
  <c r="I96" i="9" s="1"/>
  <c r="K96" i="9" s="1"/>
  <c r="E81" i="11"/>
  <c r="L124" i="9"/>
  <c r="K69" i="9"/>
  <c r="S71" i="9"/>
  <c r="I71" i="9" s="1"/>
  <c r="E71" i="11"/>
  <c r="L104" i="9"/>
  <c r="Y43" i="9"/>
  <c r="Z43" i="9" s="1"/>
  <c r="L66" i="9"/>
  <c r="L69" i="9"/>
  <c r="Y91" i="9"/>
  <c r="L100" i="9"/>
  <c r="E77" i="11"/>
  <c r="L116" i="9"/>
  <c r="K136" i="9"/>
  <c r="S65" i="9"/>
  <c r="I65" i="9" s="1"/>
  <c r="Y67" i="9"/>
  <c r="Z67" i="9" s="1"/>
  <c r="AA67" i="9" s="1"/>
  <c r="AB67" i="9" s="1"/>
  <c r="U69" i="9" s="1"/>
  <c r="S68" i="9"/>
  <c r="I68" i="9" s="1"/>
  <c r="L92" i="9"/>
  <c r="S98" i="9"/>
  <c r="I98" i="9" s="1"/>
  <c r="K106" i="9"/>
  <c r="F81" i="11"/>
  <c r="K124" i="9"/>
  <c r="L55" i="9"/>
  <c r="L60" i="9"/>
  <c r="L63" i="9"/>
  <c r="L76" i="9"/>
  <c r="Y87" i="9"/>
  <c r="Z87" i="9" s="1"/>
  <c r="AA87" i="9" s="1"/>
  <c r="AB87" i="9" s="1"/>
  <c r="U89" i="9" s="1"/>
  <c r="S62" i="9"/>
  <c r="I62" i="9" s="1"/>
  <c r="S75" i="9"/>
  <c r="I75" i="9" s="1"/>
  <c r="S78" i="9"/>
  <c r="I78" i="9" s="1"/>
  <c r="K78" i="9" s="1"/>
  <c r="Y90" i="9"/>
  <c r="Z90" i="9" s="1"/>
  <c r="K94" i="9"/>
  <c r="S116" i="9"/>
  <c r="I116" i="9" s="1"/>
  <c r="L150" i="9"/>
  <c r="V119" i="9"/>
  <c r="S130" i="9"/>
  <c r="I130" i="9" s="1"/>
  <c r="E91" i="11"/>
  <c r="L144" i="9"/>
  <c r="S137" i="9"/>
  <c r="I137" i="9" s="1"/>
  <c r="K137" i="9" s="1"/>
  <c r="K142" i="9"/>
  <c r="Y125" i="9"/>
  <c r="Z125" i="9" s="1"/>
  <c r="S133" i="9"/>
  <c r="I133" i="9" s="1"/>
  <c r="K133" i="9" s="1"/>
  <c r="AA122" i="9"/>
  <c r="AB122" i="9" s="1"/>
  <c r="U133" i="9" s="1"/>
  <c r="Z133" i="9" s="1"/>
  <c r="S135" i="9"/>
  <c r="I135" i="9" s="1"/>
  <c r="K135" i="9" s="1"/>
  <c r="E88" i="11"/>
  <c r="S206" i="9"/>
  <c r="I206" i="9" s="1"/>
  <c r="K206" i="9" s="1"/>
  <c r="S207" i="9"/>
  <c r="I207" i="9" s="1"/>
  <c r="K207" i="9" s="1"/>
  <c r="S205" i="9"/>
  <c r="I205" i="9" s="1"/>
  <c r="K205" i="9" s="1"/>
  <c r="S204" i="9"/>
  <c r="I204" i="9" s="1"/>
  <c r="L110" i="9"/>
  <c r="S127" i="9"/>
  <c r="I127" i="9" s="1"/>
  <c r="K127" i="9" s="1"/>
  <c r="L125" i="9"/>
  <c r="F82" i="11"/>
  <c r="E85" i="11"/>
  <c r="L138" i="9"/>
  <c r="L108" i="9"/>
  <c r="Y127" i="9"/>
  <c r="Z127" i="9" s="1"/>
  <c r="AA127" i="9" s="1"/>
  <c r="AB127" i="9" s="1"/>
  <c r="U151" i="9" s="1"/>
  <c r="L130" i="9"/>
  <c r="E87" i="11"/>
  <c r="L114" i="9"/>
  <c r="AB123" i="9"/>
  <c r="U149" i="9" s="1"/>
  <c r="L120" i="9"/>
  <c r="S129" i="9"/>
  <c r="I129" i="9" s="1"/>
  <c r="K129" i="9" s="1"/>
  <c r="L131" i="9"/>
  <c r="K132" i="9"/>
  <c r="E86" i="11"/>
  <c r="S158" i="9"/>
  <c r="I158" i="9" s="1"/>
  <c r="K158" i="9" s="1"/>
  <c r="S156" i="9"/>
  <c r="I156" i="9" s="1"/>
  <c r="S157" i="9"/>
  <c r="I157" i="9" s="1"/>
  <c r="K157" i="9" s="1"/>
  <c r="U19" i="11"/>
  <c r="L171" i="9"/>
  <c r="S189" i="9"/>
  <c r="I189" i="9" s="1"/>
  <c r="K189" i="9" s="1"/>
  <c r="E94" i="11"/>
  <c r="L166" i="9"/>
  <c r="L207" i="9"/>
  <c r="L152" i="9"/>
  <c r="L173" i="9"/>
  <c r="E100" i="11"/>
  <c r="L176" i="9"/>
  <c r="E92" i="11"/>
  <c r="S150" i="9"/>
  <c r="I150" i="9" s="1"/>
  <c r="K150" i="9" s="1"/>
  <c r="S148" i="9"/>
  <c r="I148" i="9" s="1"/>
  <c r="L203" i="9"/>
  <c r="L163" i="9"/>
  <c r="S177" i="9"/>
  <c r="I177" i="9" s="1"/>
  <c r="K177" i="9" s="1"/>
  <c r="L178" i="9"/>
  <c r="L147" i="9"/>
  <c r="S162" i="9"/>
  <c r="I162" i="9" s="1"/>
  <c r="K162" i="9" s="1"/>
  <c r="S160" i="9"/>
  <c r="I160" i="9" s="1"/>
  <c r="S161" i="9"/>
  <c r="I161" i="9" s="1"/>
  <c r="K161" i="9" s="1"/>
  <c r="S163" i="9"/>
  <c r="I163" i="9" s="1"/>
  <c r="K163" i="9" s="1"/>
  <c r="E98" i="11"/>
  <c r="L168" i="9"/>
  <c r="K212" i="9"/>
  <c r="S143" i="9"/>
  <c r="I143" i="9" s="1"/>
  <c r="K143" i="9" s="1"/>
  <c r="S154" i="9"/>
  <c r="I154" i="9" s="1"/>
  <c r="K154" i="9" s="1"/>
  <c r="S152" i="9"/>
  <c r="I152" i="9" s="1"/>
  <c r="S153" i="9"/>
  <c r="I153" i="9" s="1"/>
  <c r="K153" i="9" s="1"/>
  <c r="S138" i="9"/>
  <c r="I138" i="9" s="1"/>
  <c r="S159" i="9"/>
  <c r="I159" i="9" s="1"/>
  <c r="K159" i="9" s="1"/>
  <c r="L215" i="9"/>
  <c r="S144" i="9"/>
  <c r="I144" i="9" s="1"/>
  <c r="E95" i="11"/>
  <c r="V159" i="9"/>
  <c r="S166" i="9"/>
  <c r="I166" i="9" s="1"/>
  <c r="K166" i="9" s="1"/>
  <c r="S164" i="9"/>
  <c r="I164" i="9" s="1"/>
  <c r="S165" i="9"/>
  <c r="I165" i="9" s="1"/>
  <c r="K165" i="9" s="1"/>
  <c r="S167" i="9"/>
  <c r="I167" i="9" s="1"/>
  <c r="K167" i="9" s="1"/>
  <c r="L183" i="9"/>
  <c r="L142" i="9"/>
  <c r="E103" i="11"/>
  <c r="L188" i="9"/>
  <c r="L156" i="9"/>
  <c r="S186" i="9"/>
  <c r="I186" i="9" s="1"/>
  <c r="K186" i="9" s="1"/>
  <c r="S184" i="9"/>
  <c r="I184" i="9" s="1"/>
  <c r="S185" i="9"/>
  <c r="I185" i="9" s="1"/>
  <c r="K185" i="9" s="1"/>
  <c r="S187" i="9"/>
  <c r="I187" i="9" s="1"/>
  <c r="K187" i="9" s="1"/>
  <c r="S198" i="9"/>
  <c r="I198" i="9" s="1"/>
  <c r="K198" i="9" s="1"/>
  <c r="S196" i="9"/>
  <c r="I196" i="9" s="1"/>
  <c r="F112" i="11"/>
  <c r="K222" i="9"/>
  <c r="E113" i="11"/>
  <c r="L224" i="9"/>
  <c r="S209" i="9"/>
  <c r="I209" i="9" s="1"/>
  <c r="K209" i="9" s="1"/>
  <c r="E114" i="11"/>
  <c r="L227" i="9"/>
  <c r="S174" i="9"/>
  <c r="I174" i="9" s="1"/>
  <c r="K174" i="9" s="1"/>
  <c r="S172" i="9"/>
  <c r="I172" i="9" s="1"/>
  <c r="S199" i="9"/>
  <c r="I199" i="9" s="1"/>
  <c r="K199" i="9" s="1"/>
  <c r="L200" i="9"/>
  <c r="E107" i="11"/>
  <c r="L204" i="9"/>
  <c r="E109" i="11"/>
  <c r="L212" i="9"/>
  <c r="F114" i="11"/>
  <c r="K227" i="9"/>
  <c r="S194" i="9"/>
  <c r="I194" i="9" s="1"/>
  <c r="K194" i="9" s="1"/>
  <c r="S192" i="9"/>
  <c r="I192" i="9" s="1"/>
  <c r="L193" i="9"/>
  <c r="S197" i="9"/>
  <c r="I197" i="9" s="1"/>
  <c r="K197" i="9" s="1"/>
  <c r="S210" i="9"/>
  <c r="I210" i="9" s="1"/>
  <c r="K210" i="9" s="1"/>
  <c r="S218" i="9"/>
  <c r="I218" i="9" s="1"/>
  <c r="K218" i="9" s="1"/>
  <c r="S217" i="9"/>
  <c r="I217" i="9" s="1"/>
  <c r="S175" i="9"/>
  <c r="I175" i="9" s="1"/>
  <c r="K175" i="9" s="1"/>
  <c r="S182" i="9"/>
  <c r="I182" i="9" s="1"/>
  <c r="K182" i="9" s="1"/>
  <c r="S180" i="9"/>
  <c r="I180" i="9" s="1"/>
  <c r="Y224" i="9"/>
  <c r="Z224" i="9" s="1"/>
  <c r="Y225" i="9"/>
  <c r="Z225" i="9" s="1"/>
  <c r="AA225" i="9" s="1"/>
  <c r="AB225" i="9" s="1"/>
  <c r="U239" i="9" s="1"/>
  <c r="L159" i="9"/>
  <c r="S170" i="9"/>
  <c r="I170" i="9" s="1"/>
  <c r="K170" i="9" s="1"/>
  <c r="S168" i="9"/>
  <c r="I168" i="9" s="1"/>
  <c r="S195" i="9"/>
  <c r="I195" i="9" s="1"/>
  <c r="K195" i="9" s="1"/>
  <c r="S200" i="9"/>
  <c r="I200" i="9" s="1"/>
  <c r="S146" i="9"/>
  <c r="I146" i="9" s="1"/>
  <c r="S173" i="9"/>
  <c r="I173" i="9" s="1"/>
  <c r="K173" i="9" s="1"/>
  <c r="L179" i="9"/>
  <c r="S203" i="9"/>
  <c r="I203" i="9" s="1"/>
  <c r="K203" i="9" s="1"/>
  <c r="S237" i="9"/>
  <c r="I237" i="9" s="1"/>
  <c r="S190" i="9"/>
  <c r="I190" i="9" s="1"/>
  <c r="K190" i="9" s="1"/>
  <c r="S188" i="9"/>
  <c r="I188" i="9" s="1"/>
  <c r="S233" i="9"/>
  <c r="I233" i="9" s="1"/>
  <c r="K233" i="9" s="1"/>
  <c r="S238" i="9"/>
  <c r="I238" i="9" s="1"/>
  <c r="K238" i="9" s="1"/>
  <c r="E121" i="11"/>
  <c r="L242" i="9"/>
  <c r="L167" i="9"/>
  <c r="S193" i="9"/>
  <c r="I193" i="9" s="1"/>
  <c r="K193" i="9" s="1"/>
  <c r="L199" i="9"/>
  <c r="L210" i="9"/>
  <c r="L232" i="9"/>
  <c r="S178" i="9"/>
  <c r="I178" i="9" s="1"/>
  <c r="K178" i="9" s="1"/>
  <c r="S176" i="9"/>
  <c r="I176" i="9" s="1"/>
  <c r="S215" i="9"/>
  <c r="I215" i="9" s="1"/>
  <c r="K215" i="9" s="1"/>
  <c r="S214" i="9"/>
  <c r="I214" i="9" s="1"/>
  <c r="K214" i="9" s="1"/>
  <c r="E119" i="11"/>
  <c r="L237" i="9"/>
  <c r="S229" i="9"/>
  <c r="I229" i="9" s="1"/>
  <c r="L226" i="9"/>
  <c r="AA226" i="9"/>
  <c r="AB226" i="9" s="1"/>
  <c r="U238" i="9" s="1"/>
  <c r="S246" i="9"/>
  <c r="I246" i="9" s="1"/>
  <c r="S249" i="9"/>
  <c r="I249" i="9" s="1"/>
  <c r="K249" i="9" s="1"/>
  <c r="F126" i="11"/>
  <c r="K252" i="9"/>
  <c r="F128" i="11"/>
  <c r="K257" i="9"/>
  <c r="Z245" i="9"/>
  <c r="AA245" i="9" s="1"/>
  <c r="AB245" i="9" s="1"/>
  <c r="U277" i="9" s="1"/>
  <c r="L251" i="9"/>
  <c r="E108" i="11"/>
  <c r="L208" i="9"/>
  <c r="E110" i="11"/>
  <c r="L216" i="9"/>
  <c r="S225" i="9"/>
  <c r="I225" i="9" s="1"/>
  <c r="K225" i="9" s="1"/>
  <c r="E122" i="11"/>
  <c r="L244" i="9"/>
  <c r="Y246" i="9"/>
  <c r="Z246" i="9" s="1"/>
  <c r="L243" i="9"/>
  <c r="Y247" i="9"/>
  <c r="Z247" i="9" s="1"/>
  <c r="AA247" i="9" s="1"/>
  <c r="AB247" i="9" s="1"/>
  <c r="U249" i="9" s="1"/>
  <c r="S267" i="9"/>
  <c r="I267" i="9" s="1"/>
  <c r="K267" i="9" s="1"/>
  <c r="S266" i="9"/>
  <c r="I266" i="9" s="1"/>
  <c r="E123" i="11"/>
  <c r="L246" i="9"/>
  <c r="E130" i="11"/>
  <c r="L260" i="9"/>
  <c r="E117" i="11"/>
  <c r="S235" i="9"/>
  <c r="I235" i="9" s="1"/>
  <c r="S259" i="9"/>
  <c r="I259" i="9" s="1"/>
  <c r="K259" i="9" s="1"/>
  <c r="S258" i="9"/>
  <c r="I258" i="9" s="1"/>
  <c r="K244" i="9"/>
  <c r="E124" i="11"/>
  <c r="L248" i="9"/>
  <c r="L249" i="9"/>
  <c r="S231" i="9"/>
  <c r="I231" i="9" s="1"/>
  <c r="E111" i="11"/>
  <c r="L220" i="9"/>
  <c r="S226" i="9"/>
  <c r="I226" i="9" s="1"/>
  <c r="K226" i="9" s="1"/>
  <c r="F141" i="11"/>
  <c r="K283" i="9"/>
  <c r="L233" i="9"/>
  <c r="F138" i="11"/>
  <c r="K276" i="9"/>
  <c r="S255" i="9"/>
  <c r="I255" i="9" s="1"/>
  <c r="K255" i="9" s="1"/>
  <c r="S254" i="9"/>
  <c r="I254" i="9" s="1"/>
  <c r="E118" i="11"/>
  <c r="L235" i="9"/>
  <c r="S250" i="9"/>
  <c r="I250" i="9" s="1"/>
  <c r="S251" i="9"/>
  <c r="I251" i="9" s="1"/>
  <c r="K251" i="9" s="1"/>
  <c r="E138" i="11"/>
  <c r="L276" i="9"/>
  <c r="Q7" i="11"/>
  <c r="T7" i="11" s="1"/>
  <c r="E126" i="11"/>
  <c r="L252" i="9"/>
  <c r="E129" i="11"/>
  <c r="L258" i="9"/>
  <c r="P46" i="10"/>
  <c r="E125" i="11"/>
  <c r="L250" i="9"/>
  <c r="Q46" i="10"/>
  <c r="S260" i="9"/>
  <c r="I260" i="9" s="1"/>
  <c r="S265" i="9"/>
  <c r="I265" i="9" s="1"/>
  <c r="L287" i="9"/>
  <c r="E132" i="11"/>
  <c r="L264" i="9"/>
  <c r="P32" i="10"/>
  <c r="S290" i="9"/>
  <c r="I290" i="9" s="1"/>
  <c r="K290" i="9" s="1"/>
  <c r="E146" i="11"/>
  <c r="L292" i="9"/>
  <c r="Q32" i="10"/>
  <c r="L285" i="9"/>
  <c r="E128" i="11"/>
  <c r="L256" i="9"/>
  <c r="L269" i="9"/>
  <c r="S273" i="9"/>
  <c r="I273" i="9" s="1"/>
  <c r="K273" i="9" s="1"/>
  <c r="K292" i="9"/>
  <c r="E147" i="11"/>
  <c r="L294" i="9"/>
  <c r="Y270" i="9"/>
  <c r="Z270" i="9" s="1"/>
  <c r="S275" i="9"/>
  <c r="I275" i="9" s="1"/>
  <c r="K275" i="9" s="1"/>
  <c r="S287" i="9"/>
  <c r="I287" i="9" s="1"/>
  <c r="K287" i="9" s="1"/>
  <c r="S286" i="9"/>
  <c r="I286" i="9" s="1"/>
  <c r="S288" i="9"/>
  <c r="I288" i="9" s="1"/>
  <c r="Q42" i="10"/>
  <c r="P42" i="10"/>
  <c r="E139" i="11"/>
  <c r="L278" i="9"/>
  <c r="F149" i="11"/>
  <c r="K299" i="9"/>
  <c r="Q17" i="11"/>
  <c r="R17" i="11" s="1"/>
  <c r="Q12" i="11"/>
  <c r="Q16" i="11"/>
  <c r="Q14" i="11"/>
  <c r="Y271" i="9"/>
  <c r="E120" i="11"/>
  <c r="L240" i="9"/>
  <c r="E127" i="11"/>
  <c r="L254" i="9"/>
  <c r="L271" i="9"/>
  <c r="E112" i="11"/>
  <c r="L222" i="9"/>
  <c r="E131" i="11"/>
  <c r="L262" i="9"/>
  <c r="R8" i="10"/>
  <c r="R45" i="10"/>
  <c r="O7" i="11"/>
  <c r="AH7" i="11"/>
  <c r="H9" i="11"/>
  <c r="AH18" i="11"/>
  <c r="AG16" i="11"/>
  <c r="J20" i="11"/>
  <c r="O15" i="11"/>
  <c r="R37" i="10"/>
  <c r="AH20" i="11"/>
  <c r="AH15" i="11"/>
  <c r="AG14" i="11"/>
  <c r="AG13" i="11"/>
  <c r="AH12" i="11"/>
  <c r="AH16" i="11"/>
  <c r="AG11" i="11"/>
  <c r="AH10" i="11"/>
  <c r="AG20" i="11"/>
  <c r="G19" i="11"/>
  <c r="H19" i="11" s="1"/>
  <c r="AH19" i="11"/>
  <c r="S279" i="9"/>
  <c r="I279" i="9" s="1"/>
  <c r="L280" i="9"/>
  <c r="S295" i="9"/>
  <c r="I295" i="9" s="1"/>
  <c r="L296" i="9"/>
  <c r="Q33" i="10"/>
  <c r="R33" i="10" s="1"/>
  <c r="Q10" i="11"/>
  <c r="T10" i="11" s="1"/>
  <c r="Q13" i="11"/>
  <c r="R13" i="11" s="1"/>
  <c r="Q18" i="11"/>
  <c r="R18" i="11" s="1"/>
  <c r="V7" i="11"/>
  <c r="AG9" i="11"/>
  <c r="G11" i="11"/>
  <c r="AH9" i="11"/>
  <c r="AG15" i="11"/>
  <c r="AG12" i="11"/>
  <c r="G14" i="11"/>
  <c r="H14" i="11" s="1"/>
  <c r="O19" i="11"/>
  <c r="Q9" i="11"/>
  <c r="AG17" i="11"/>
  <c r="G20" i="11"/>
  <c r="H20" i="11" s="1"/>
  <c r="Q15" i="11"/>
  <c r="AH17" i="11"/>
  <c r="Q19" i="11"/>
  <c r="R19" i="11" s="1"/>
  <c r="AG8" i="11"/>
  <c r="AH8" i="11"/>
  <c r="AH11" i="11"/>
  <c r="G13" i="11"/>
  <c r="H13" i="11" s="1"/>
  <c r="P31" i="10"/>
  <c r="R31" i="10" s="1"/>
  <c r="P40" i="10"/>
  <c r="R49" i="10"/>
  <c r="Q8" i="11"/>
  <c r="R8" i="11" s="1"/>
  <c r="AH14" i="11"/>
  <c r="V15" i="11"/>
  <c r="Q20" i="11"/>
  <c r="Q40" i="10"/>
  <c r="AG7" i="11"/>
  <c r="Q11" i="11"/>
  <c r="AG18" i="11"/>
  <c r="V17" i="11"/>
  <c r="V16" i="11"/>
  <c r="K324" i="9" l="1"/>
  <c r="F162" i="11"/>
  <c r="K323" i="9"/>
  <c r="F161" i="11"/>
  <c r="F159" i="11"/>
  <c r="K321" i="9"/>
  <c r="F160" i="11"/>
  <c r="F158" i="11"/>
  <c r="F156" i="11"/>
  <c r="K315" i="9"/>
  <c r="F157" i="11"/>
  <c r="K97" i="9"/>
  <c r="K47" i="9"/>
  <c r="K242" i="9"/>
  <c r="K86" i="9"/>
  <c r="AA306" i="9"/>
  <c r="AB306" i="9" s="1"/>
  <c r="U308" i="9" s="1"/>
  <c r="K310" i="9"/>
  <c r="F155" i="11"/>
  <c r="K308" i="9"/>
  <c r="F154" i="11"/>
  <c r="K306" i="9"/>
  <c r="F153" i="11"/>
  <c r="K140" i="9"/>
  <c r="V12" i="11"/>
  <c r="K304" i="9"/>
  <c r="F152" i="11"/>
  <c r="Y164" i="9"/>
  <c r="Z164" i="9" s="1"/>
  <c r="R48" i="10"/>
  <c r="R39" i="10"/>
  <c r="F76" i="11"/>
  <c r="K268" i="9"/>
  <c r="K134" i="9"/>
  <c r="V14" i="11"/>
  <c r="K302" i="9"/>
  <c r="F151" i="11"/>
  <c r="F27" i="11"/>
  <c r="F78" i="11"/>
  <c r="F34" i="11"/>
  <c r="Y167" i="9"/>
  <c r="R36" i="10"/>
  <c r="C29" i="2"/>
  <c r="F135" i="11"/>
  <c r="Y166" i="9"/>
  <c r="K82" i="9"/>
  <c r="K88" i="9"/>
  <c r="R47" i="10"/>
  <c r="F44" i="11"/>
  <c r="F38" i="11"/>
  <c r="AC10" i="11"/>
  <c r="K122" i="9"/>
  <c r="S20" i="11"/>
  <c r="R10" i="10"/>
  <c r="F30" i="11"/>
  <c r="W86" i="9"/>
  <c r="X86" i="9" s="1"/>
  <c r="K220" i="9"/>
  <c r="R44" i="10"/>
  <c r="F137" i="11"/>
  <c r="K248" i="9"/>
  <c r="Q9" i="6"/>
  <c r="K281" i="9"/>
  <c r="K104" i="9"/>
  <c r="AC18" i="11"/>
  <c r="C13" i="2"/>
  <c r="K42" i="9"/>
  <c r="F73" i="11"/>
  <c r="F109" i="11"/>
  <c r="C16" i="2"/>
  <c r="F117" i="11"/>
  <c r="C11" i="2"/>
  <c r="F136" i="11"/>
  <c r="T17" i="11"/>
  <c r="K300" i="9"/>
  <c r="Y18" i="9"/>
  <c r="Z18" i="9" s="1"/>
  <c r="K291" i="9"/>
  <c r="K224" i="9"/>
  <c r="C19" i="2"/>
  <c r="AC16" i="11"/>
  <c r="AA132" i="9"/>
  <c r="AB132" i="9" s="1"/>
  <c r="U137" i="9" s="1"/>
  <c r="AA133" i="9"/>
  <c r="AB133" i="9" s="1"/>
  <c r="U148" i="9" s="1"/>
  <c r="AC17" i="11"/>
  <c r="Y25" i="9"/>
  <c r="AC13" i="11"/>
  <c r="R32" i="10"/>
  <c r="AA15" i="9"/>
  <c r="AB15" i="9" s="1"/>
  <c r="U17" i="9" s="1"/>
  <c r="Z17" i="9" s="1"/>
  <c r="R21" i="6"/>
  <c r="K28" i="9"/>
  <c r="K43" i="9"/>
  <c r="F75" i="11"/>
  <c r="K110" i="9"/>
  <c r="C20" i="2"/>
  <c r="R10" i="11"/>
  <c r="AA126" i="9"/>
  <c r="AB126" i="9" s="1"/>
  <c r="U134" i="9" s="1"/>
  <c r="Y135" i="9" s="1"/>
  <c r="AC20" i="11"/>
  <c r="AA23" i="9"/>
  <c r="AB23" i="9" s="1"/>
  <c r="U25" i="9" s="1"/>
  <c r="AC14" i="11"/>
  <c r="Q20" i="6"/>
  <c r="A11" i="8"/>
  <c r="E11" i="2"/>
  <c r="AA224" i="9"/>
  <c r="AB224" i="9" s="1"/>
  <c r="U237" i="9" s="1"/>
  <c r="Y239" i="9" s="1"/>
  <c r="Z239" i="9" s="1"/>
  <c r="AA239" i="9" s="1"/>
  <c r="AB239" i="9" s="1"/>
  <c r="U285" i="9" s="1"/>
  <c r="AA43" i="9"/>
  <c r="AB43" i="9" s="1"/>
  <c r="U45" i="9" s="1"/>
  <c r="Y45" i="9" s="1"/>
  <c r="Z45" i="9" s="1"/>
  <c r="F29" i="11"/>
  <c r="K20" i="9"/>
  <c r="AC8" i="11"/>
  <c r="R40" i="10"/>
  <c r="AC15" i="11"/>
  <c r="AC11" i="11"/>
  <c r="F108" i="11"/>
  <c r="K217" i="9"/>
  <c r="F110" i="11"/>
  <c r="F148" i="11"/>
  <c r="K296" i="9"/>
  <c r="T19" i="11"/>
  <c r="AA124" i="9"/>
  <c r="AB124" i="9" s="1"/>
  <c r="U135" i="9" s="1"/>
  <c r="AA125" i="9"/>
  <c r="AB125" i="9" s="1"/>
  <c r="U129" i="9" s="1"/>
  <c r="Z129" i="9" s="1"/>
  <c r="R10" i="6"/>
  <c r="E12" i="2"/>
  <c r="R11" i="6"/>
  <c r="Q11" i="6"/>
  <c r="E13" i="2"/>
  <c r="R26" i="6"/>
  <c r="E28" i="2"/>
  <c r="E10" i="2"/>
  <c r="R8" i="6"/>
  <c r="Q8" i="6"/>
  <c r="C23" i="7"/>
  <c r="B23" i="7"/>
  <c r="R24" i="6"/>
  <c r="Q24" i="6"/>
  <c r="E26" i="2"/>
  <c r="A12" i="8"/>
  <c r="AA77" i="9"/>
  <c r="AB77" i="9" s="1"/>
  <c r="Q23" i="6"/>
  <c r="R23" i="6"/>
  <c r="E25" i="2"/>
  <c r="AC12" i="11"/>
  <c r="O12" i="11"/>
  <c r="AA72" i="9"/>
  <c r="AB72" i="9" s="1"/>
  <c r="U75" i="9" s="1"/>
  <c r="Y76" i="9" s="1"/>
  <c r="K51" i="9"/>
  <c r="AC9" i="11"/>
  <c r="C3" i="6"/>
  <c r="R43" i="10"/>
  <c r="F120" i="11"/>
  <c r="K240" i="9"/>
  <c r="R18" i="6"/>
  <c r="E20" i="2"/>
  <c r="Q21" i="6"/>
  <c r="Q16" i="6"/>
  <c r="E18" i="2"/>
  <c r="R20" i="6"/>
  <c r="E16" i="2"/>
  <c r="R14" i="6"/>
  <c r="Q14" i="6"/>
  <c r="R25" i="6"/>
  <c r="E27" i="2"/>
  <c r="R16" i="6"/>
  <c r="R19" i="6"/>
  <c r="E21" i="2"/>
  <c r="F142" i="11"/>
  <c r="K285" i="9"/>
  <c r="R22" i="6"/>
  <c r="E24" i="2"/>
  <c r="R17" i="6"/>
  <c r="Q17" i="6"/>
  <c r="E19" i="2"/>
  <c r="F31" i="11"/>
  <c r="K24" i="9"/>
  <c r="E29" i="2"/>
  <c r="R27" i="6"/>
  <c r="Q27" i="6"/>
  <c r="R46" i="10"/>
  <c r="F70" i="11"/>
  <c r="K93" i="9"/>
  <c r="F131" i="11"/>
  <c r="K263" i="9"/>
  <c r="R42" i="10"/>
  <c r="O10" i="11"/>
  <c r="J24" i="15"/>
  <c r="K24" i="15" s="1"/>
  <c r="R15" i="6"/>
  <c r="E17" i="2"/>
  <c r="R12" i="6"/>
  <c r="E14" i="2"/>
  <c r="Q13" i="6"/>
  <c r="E15" i="2"/>
  <c r="F46" i="11"/>
  <c r="K53" i="9"/>
  <c r="L27" i="15"/>
  <c r="J26" i="15"/>
  <c r="K26" i="15" s="1"/>
  <c r="J25" i="15"/>
  <c r="K25" i="15" s="1"/>
  <c r="L25" i="15" s="1"/>
  <c r="J22" i="15"/>
  <c r="K22" i="15" s="1"/>
  <c r="O25" i="15"/>
  <c r="J23" i="15"/>
  <c r="K23" i="15" s="1"/>
  <c r="O23" i="15"/>
  <c r="J20" i="15"/>
  <c r="K20" i="15" s="1"/>
  <c r="Y74" i="9"/>
  <c r="Z74" i="9" s="1"/>
  <c r="Y73" i="9"/>
  <c r="Z73" i="9" s="1"/>
  <c r="T16" i="11"/>
  <c r="R16" i="11"/>
  <c r="F104" i="11"/>
  <c r="K192" i="9"/>
  <c r="F68" i="11"/>
  <c r="K98" i="9"/>
  <c r="F95" i="11"/>
  <c r="K156" i="9"/>
  <c r="F58" i="11"/>
  <c r="K77" i="9"/>
  <c r="AA7" i="9"/>
  <c r="AB7" i="9" s="1"/>
  <c r="B96" i="6" s="1"/>
  <c r="P96" i="6" s="1"/>
  <c r="B15" i="2" s="1"/>
  <c r="F133" i="11"/>
  <c r="K266" i="9"/>
  <c r="F119" i="11"/>
  <c r="K237" i="9"/>
  <c r="F97" i="11"/>
  <c r="K164" i="9"/>
  <c r="F42" i="11"/>
  <c r="K45" i="9"/>
  <c r="T12" i="11"/>
  <c r="R12" i="11"/>
  <c r="V13" i="11"/>
  <c r="T13" i="11"/>
  <c r="T11" i="11"/>
  <c r="R11" i="11"/>
  <c r="F129" i="11"/>
  <c r="K258" i="9"/>
  <c r="F123" i="11"/>
  <c r="K246" i="9"/>
  <c r="F88" i="11"/>
  <c r="K138" i="9"/>
  <c r="F53" i="11"/>
  <c r="K68" i="9"/>
  <c r="F55" i="11"/>
  <c r="K71" i="9"/>
  <c r="F61" i="11"/>
  <c r="K84" i="9"/>
  <c r="F37" i="11"/>
  <c r="K35" i="9"/>
  <c r="AA29" i="9"/>
  <c r="AB29" i="9" s="1"/>
  <c r="U31" i="9" s="1"/>
  <c r="F26" i="11"/>
  <c r="K7" i="9"/>
  <c r="AC7" i="11"/>
  <c r="F100" i="11"/>
  <c r="K176" i="9"/>
  <c r="Y70" i="9"/>
  <c r="Y69" i="9"/>
  <c r="Z69" i="9" s="1"/>
  <c r="F132" i="11"/>
  <c r="K265" i="9"/>
  <c r="F118" i="11"/>
  <c r="K235" i="9"/>
  <c r="F98" i="11"/>
  <c r="K168" i="9"/>
  <c r="F77" i="11"/>
  <c r="K116" i="9"/>
  <c r="F52" i="11"/>
  <c r="K65" i="9"/>
  <c r="F56" i="11"/>
  <c r="K73" i="9"/>
  <c r="F36" i="11"/>
  <c r="K33" i="9"/>
  <c r="F130" i="11"/>
  <c r="K260" i="9"/>
  <c r="F99" i="11"/>
  <c r="K172" i="9"/>
  <c r="F94" i="11"/>
  <c r="K152" i="9"/>
  <c r="AA86" i="9"/>
  <c r="AB86" i="9" s="1"/>
  <c r="U88" i="9" s="1"/>
  <c r="F51" i="11"/>
  <c r="K63" i="9"/>
  <c r="F101" i="11"/>
  <c r="K180" i="9"/>
  <c r="F59" i="11"/>
  <c r="K80" i="9"/>
  <c r="F79" i="11"/>
  <c r="K121" i="9"/>
  <c r="F32" i="11"/>
  <c r="K26" i="9"/>
  <c r="F115" i="11"/>
  <c r="K229" i="9"/>
  <c r="F47" i="11"/>
  <c r="K55" i="9"/>
  <c r="AA4" i="9"/>
  <c r="AB4" i="9" s="1"/>
  <c r="F99" i="6" s="1"/>
  <c r="T8" i="11"/>
  <c r="H11" i="11"/>
  <c r="B13" i="4" s="1"/>
  <c r="V11" i="11"/>
  <c r="AA244" i="9"/>
  <c r="AB244" i="9" s="1"/>
  <c r="U276" i="9" s="1"/>
  <c r="AA68" i="9"/>
  <c r="AB68" i="9" s="1"/>
  <c r="U99" i="9" s="1"/>
  <c r="F48" i="11"/>
  <c r="K57" i="9"/>
  <c r="W14" i="9"/>
  <c r="X14" i="9" s="1"/>
  <c r="J14" i="9" s="1"/>
  <c r="W9" i="9"/>
  <c r="X9" i="9" s="1"/>
  <c r="J9" i="9" s="1"/>
  <c r="W11" i="9"/>
  <c r="X11" i="9" s="1"/>
  <c r="J11" i="9" s="1"/>
  <c r="W13" i="9"/>
  <c r="W8" i="9"/>
  <c r="W10" i="9"/>
  <c r="W12" i="9"/>
  <c r="X12" i="9" s="1"/>
  <c r="J12" i="9" s="1"/>
  <c r="W7" i="9"/>
  <c r="X7" i="9" s="1"/>
  <c r="F147" i="11"/>
  <c r="K295" i="9"/>
  <c r="O14" i="11"/>
  <c r="F127" i="11"/>
  <c r="K254" i="9"/>
  <c r="F139" i="11"/>
  <c r="K279" i="9"/>
  <c r="V19" i="11"/>
  <c r="F105" i="11"/>
  <c r="K196" i="9"/>
  <c r="F91" i="11"/>
  <c r="K144" i="9"/>
  <c r="F57" i="11"/>
  <c r="K75" i="9"/>
  <c r="AA49" i="9"/>
  <c r="AB49" i="9" s="1"/>
  <c r="U51" i="9" s="1"/>
  <c r="D17" i="2"/>
  <c r="C17" i="2"/>
  <c r="F50" i="11"/>
  <c r="K62" i="9"/>
  <c r="D24" i="2"/>
  <c r="C24" i="2"/>
  <c r="Z139" i="9"/>
  <c r="F64" i="11"/>
  <c r="K90" i="9"/>
  <c r="R9" i="11"/>
  <c r="T18" i="11"/>
  <c r="F144" i="11"/>
  <c r="K288" i="9"/>
  <c r="F84" i="11"/>
  <c r="K130" i="9"/>
  <c r="F49" i="11"/>
  <c r="K59" i="9"/>
  <c r="T15" i="11"/>
  <c r="R15" i="11"/>
  <c r="F125" i="11"/>
  <c r="K250" i="9"/>
  <c r="W20" i="11"/>
  <c r="F143" i="11"/>
  <c r="K286" i="9"/>
  <c r="T9" i="11"/>
  <c r="F92" i="11"/>
  <c r="K146" i="9"/>
  <c r="F93" i="11"/>
  <c r="K148" i="9"/>
  <c r="W4" i="9"/>
  <c r="X4" i="9" s="1"/>
  <c r="W6" i="9"/>
  <c r="X6" i="9" s="1"/>
  <c r="J6" i="9" s="1"/>
  <c r="W5" i="9"/>
  <c r="X5" i="9" s="1"/>
  <c r="F116" i="11"/>
  <c r="K231" i="9"/>
  <c r="R14" i="11"/>
  <c r="T14" i="11"/>
  <c r="R7" i="11"/>
  <c r="AA246" i="9"/>
  <c r="AB246" i="9" s="1"/>
  <c r="U248" i="9" s="1"/>
  <c r="F103" i="11"/>
  <c r="K188" i="9"/>
  <c r="F106" i="11"/>
  <c r="K200" i="9"/>
  <c r="F102" i="11"/>
  <c r="K184" i="9"/>
  <c r="F96" i="11"/>
  <c r="K160" i="9"/>
  <c r="F107" i="11"/>
  <c r="K204" i="9"/>
  <c r="P99" i="6" l="1"/>
  <c r="B18" i="2" s="1"/>
  <c r="D18" i="2" s="1"/>
  <c r="B17" i="4"/>
  <c r="Y308" i="9"/>
  <c r="Z308" i="9" s="1"/>
  <c r="Y309" i="9"/>
  <c r="Z309" i="9" s="1"/>
  <c r="AA309" i="9" s="1"/>
  <c r="AB309" i="9" s="1"/>
  <c r="U311" i="9"/>
  <c r="H10" i="4"/>
  <c r="O22" i="15"/>
  <c r="Y46" i="9"/>
  <c r="Z46" i="9" s="1"/>
  <c r="AA46" i="9" s="1"/>
  <c r="AB46" i="9" s="1"/>
  <c r="D93" i="6" s="1"/>
  <c r="Y134" i="9"/>
  <c r="Z134" i="9" s="1"/>
  <c r="Z25" i="9"/>
  <c r="AA25" i="9" s="1"/>
  <c r="AB25" i="9" s="1"/>
  <c r="U27" i="9" s="1"/>
  <c r="A7" i="8"/>
  <c r="C24" i="7"/>
  <c r="Z135" i="9"/>
  <c r="AA135" i="9" s="1"/>
  <c r="AB135" i="9" s="1"/>
  <c r="U158" i="9" s="1"/>
  <c r="Y75" i="9"/>
  <c r="Z75" i="9" s="1"/>
  <c r="A6" i="8"/>
  <c r="Y237" i="9"/>
  <c r="Z237" i="9" s="1"/>
  <c r="B24" i="7"/>
  <c r="Y238" i="9"/>
  <c r="Z238" i="9" s="1"/>
  <c r="AA238" i="9" s="1"/>
  <c r="AB238" i="9" s="1"/>
  <c r="U257" i="9" s="1"/>
  <c r="H13" i="4"/>
  <c r="L26" i="15"/>
  <c r="L24" i="15"/>
  <c r="O20" i="15"/>
  <c r="L22" i="15"/>
  <c r="L21" i="15"/>
  <c r="O24" i="15"/>
  <c r="L23" i="15"/>
  <c r="O18" i="15"/>
  <c r="L19" i="15"/>
  <c r="L20" i="15"/>
  <c r="L18" i="15"/>
  <c r="C15" i="2"/>
  <c r="D15" i="2"/>
  <c r="AA73" i="9"/>
  <c r="AB73" i="9" s="1"/>
  <c r="I106" i="6" s="1"/>
  <c r="AA74" i="9"/>
  <c r="AB74" i="9" s="1"/>
  <c r="U76" i="9" s="1"/>
  <c r="Z76" i="9" s="1"/>
  <c r="Y249" i="9"/>
  <c r="Z249" i="9" s="1"/>
  <c r="Y248" i="9"/>
  <c r="Z248" i="9" s="1"/>
  <c r="M12" i="9"/>
  <c r="N12" i="9" s="1"/>
  <c r="Y284" i="9"/>
  <c r="Y285" i="9"/>
  <c r="Z285" i="9" s="1"/>
  <c r="AA17" i="9"/>
  <c r="AB17" i="9" s="1"/>
  <c r="U19" i="9" s="1"/>
  <c r="AA18" i="9"/>
  <c r="AB18" i="9" s="1"/>
  <c r="U20" i="9" s="1"/>
  <c r="M11" i="9"/>
  <c r="N11" i="9" s="1"/>
  <c r="Y150" i="9"/>
  <c r="Y151" i="9"/>
  <c r="Z151" i="9" s="1"/>
  <c r="AA151" i="9" s="1"/>
  <c r="AB151" i="9" s="1"/>
  <c r="U173" i="9" s="1"/>
  <c r="Y149" i="9"/>
  <c r="Z149" i="9" s="1"/>
  <c r="Y148" i="9"/>
  <c r="Z148" i="9" s="1"/>
  <c r="Y32" i="9"/>
  <c r="Z32" i="9" s="1"/>
  <c r="Y31" i="9"/>
  <c r="Z31" i="9" s="1"/>
  <c r="M14" i="9"/>
  <c r="N14" i="9" s="1"/>
  <c r="M9" i="9"/>
  <c r="N9" i="9" s="1"/>
  <c r="Y52" i="9"/>
  <c r="Z52" i="9" s="1"/>
  <c r="Y51" i="9"/>
  <c r="Z51" i="9" s="1"/>
  <c r="J4" i="9"/>
  <c r="J5" i="9"/>
  <c r="AA139" i="9"/>
  <c r="AB139" i="9" s="1"/>
  <c r="U140" i="9" s="1"/>
  <c r="AA138" i="9"/>
  <c r="AB138" i="9" s="1"/>
  <c r="D108" i="6" s="1"/>
  <c r="M6" i="9"/>
  <c r="N6" i="9" s="1"/>
  <c r="AA128" i="9"/>
  <c r="AB128" i="9" s="1"/>
  <c r="U136" i="9" s="1"/>
  <c r="AA129" i="9"/>
  <c r="AB129" i="9" s="1"/>
  <c r="U163" i="9" s="1"/>
  <c r="Y277" i="9"/>
  <c r="Z277" i="9" s="1"/>
  <c r="Y276" i="9"/>
  <c r="Z276" i="9" s="1"/>
  <c r="Y89" i="9"/>
  <c r="Z89" i="9" s="1"/>
  <c r="Y88" i="9"/>
  <c r="Z88" i="9" s="1"/>
  <c r="C18" i="2" l="1"/>
  <c r="AA308" i="9"/>
  <c r="AB308" i="9" s="1"/>
  <c r="U310" i="9"/>
  <c r="AA45" i="9"/>
  <c r="AB45" i="9" s="1"/>
  <c r="U47" i="9" s="1"/>
  <c r="AA26" i="9"/>
  <c r="AB26" i="9" s="1"/>
  <c r="U28" i="9" s="1"/>
  <c r="Y28" i="9" s="1"/>
  <c r="Z28" i="9" s="1"/>
  <c r="AA134" i="9"/>
  <c r="AB134" i="9" s="1"/>
  <c r="U150" i="9" s="1"/>
  <c r="AA237" i="9"/>
  <c r="AB237" i="9" s="1"/>
  <c r="U254" i="9" s="1"/>
  <c r="AA89" i="9"/>
  <c r="AB89" i="9" s="1"/>
  <c r="U116" i="9" s="1"/>
  <c r="AA88" i="9"/>
  <c r="AB88" i="9" s="1"/>
  <c r="U91" i="9" s="1"/>
  <c r="M5" i="9"/>
  <c r="N5" i="9" s="1"/>
  <c r="M4" i="9"/>
  <c r="AA32" i="9"/>
  <c r="AB32" i="9" s="1"/>
  <c r="U34" i="9" s="1"/>
  <c r="AA31" i="9"/>
  <c r="AB31" i="9" s="1"/>
  <c r="U33" i="9" s="1"/>
  <c r="N43" i="11"/>
  <c r="N36" i="11"/>
  <c r="N47" i="11"/>
  <c r="N31" i="11"/>
  <c r="N40" i="11"/>
  <c r="N33" i="11"/>
  <c r="N42" i="11"/>
  <c r="N35" i="11"/>
  <c r="N44" i="11"/>
  <c r="N28" i="11"/>
  <c r="N37" i="11"/>
  <c r="N48" i="11"/>
  <c r="N46" i="11"/>
  <c r="N45" i="11"/>
  <c r="N27" i="11"/>
  <c r="N34" i="11"/>
  <c r="N39" i="11"/>
  <c r="N38" i="11"/>
  <c r="N32" i="11"/>
  <c r="N30" i="11"/>
  <c r="N41" i="11"/>
  <c r="N29" i="11"/>
  <c r="N26" i="11"/>
  <c r="H60" i="9"/>
  <c r="AA277" i="9"/>
  <c r="AB277" i="9" s="1"/>
  <c r="I91" i="6" s="1"/>
  <c r="AA276" i="9"/>
  <c r="AB276" i="9" s="1"/>
  <c r="G91" i="6" s="1"/>
  <c r="H5" i="4" s="1"/>
  <c r="AA248" i="9"/>
  <c r="AB248" i="9" s="1"/>
  <c r="U251" i="9" s="1"/>
  <c r="AA249" i="9"/>
  <c r="AB249" i="9" s="1"/>
  <c r="U250" i="9" s="1"/>
  <c r="Y137" i="9"/>
  <c r="Z137" i="9" s="1"/>
  <c r="Y136" i="9"/>
  <c r="Z136" i="9" s="1"/>
  <c r="AA51" i="9"/>
  <c r="AB51" i="9" s="1"/>
  <c r="U53" i="9" s="1"/>
  <c r="AA52" i="9"/>
  <c r="AB52" i="9" s="1"/>
  <c r="U54" i="9" s="1"/>
  <c r="AA76" i="9"/>
  <c r="AB76" i="9" s="1"/>
  <c r="D106" i="6" s="1"/>
  <c r="AA75" i="9"/>
  <c r="AB75" i="9" s="1"/>
  <c r="B106" i="6" s="1"/>
  <c r="H20" i="4" s="1"/>
  <c r="R26" i="11"/>
  <c r="H15" i="9"/>
  <c r="Z150" i="9"/>
  <c r="Y20" i="9"/>
  <c r="Z20" i="9" s="1"/>
  <c r="Y19" i="9"/>
  <c r="Z19" i="9" s="1"/>
  <c r="M38" i="11"/>
  <c r="M40" i="11"/>
  <c r="M33" i="11"/>
  <c r="M35" i="11"/>
  <c r="M28" i="11"/>
  <c r="M41" i="11"/>
  <c r="M29" i="11"/>
  <c r="M37" i="11"/>
  <c r="M36" i="11"/>
  <c r="M34" i="11"/>
  <c r="M39" i="11"/>
  <c r="M31" i="11"/>
  <c r="M30" i="11"/>
  <c r="M27" i="11"/>
  <c r="M26" i="11"/>
  <c r="M32" i="11"/>
  <c r="H46" i="9"/>
  <c r="Q70" i="11"/>
  <c r="Q54" i="11"/>
  <c r="Q38" i="11"/>
  <c r="Q79" i="11"/>
  <c r="Q63" i="11"/>
  <c r="Q47" i="11"/>
  <c r="Q31" i="11"/>
  <c r="Q72" i="11"/>
  <c r="Q56" i="11"/>
  <c r="Q81" i="11"/>
  <c r="Q65" i="11"/>
  <c r="Q49" i="11"/>
  <c r="Q74" i="11"/>
  <c r="Q58" i="11"/>
  <c r="Q42" i="11"/>
  <c r="Q67" i="11"/>
  <c r="Q51" i="11"/>
  <c r="Q35" i="11"/>
  <c r="Q76" i="11"/>
  <c r="Q60" i="11"/>
  <c r="Q44" i="11"/>
  <c r="Q69" i="11"/>
  <c r="Q53" i="11"/>
  <c r="Q37" i="11"/>
  <c r="Q78" i="11"/>
  <c r="Q62" i="11"/>
  <c r="Q46" i="11"/>
  <c r="Q30" i="11"/>
  <c r="Q71" i="11"/>
  <c r="Q55" i="11"/>
  <c r="Q39" i="11"/>
  <c r="Q80" i="11"/>
  <c r="Q64" i="11"/>
  <c r="Q48" i="11"/>
  <c r="Q32" i="11"/>
  <c r="Q73" i="11"/>
  <c r="Q82" i="11"/>
  <c r="Q66" i="11"/>
  <c r="Q75" i="11"/>
  <c r="Q59" i="11"/>
  <c r="Q68" i="11"/>
  <c r="Q52" i="11"/>
  <c r="Q77" i="11"/>
  <c r="Q57" i="11"/>
  <c r="Q50" i="11"/>
  <c r="Q27" i="11"/>
  <c r="Q61" i="11"/>
  <c r="Q45" i="11"/>
  <c r="Q34" i="11"/>
  <c r="Q36" i="11"/>
  <c r="Q33" i="11"/>
  <c r="Q41" i="11"/>
  <c r="Q40" i="11"/>
  <c r="Q43" i="11"/>
  <c r="Q29" i="11"/>
  <c r="Q28" i="11"/>
  <c r="Q26" i="11"/>
  <c r="H128" i="9"/>
  <c r="Y254" i="9"/>
  <c r="Z254" i="9" s="1"/>
  <c r="Y255" i="9"/>
  <c r="Z255" i="9" s="1"/>
  <c r="U25" i="11"/>
  <c r="H13" i="9"/>
  <c r="Y257" i="9"/>
  <c r="Z257" i="9" s="1"/>
  <c r="Y256" i="9"/>
  <c r="Z256" i="9" s="1"/>
  <c r="Y48" i="9"/>
  <c r="Y47" i="9"/>
  <c r="Z47" i="9" s="1"/>
  <c r="Y140" i="9"/>
  <c r="Z140" i="9" s="1"/>
  <c r="Y141" i="9"/>
  <c r="Y310" i="9" l="1"/>
  <c r="Z310" i="9" s="1"/>
  <c r="Y311" i="9"/>
  <c r="Z311" i="9" s="1"/>
  <c r="AA311" i="9" s="1"/>
  <c r="AB311" i="9" s="1"/>
  <c r="Y27" i="9"/>
  <c r="Z27" i="9" s="1"/>
  <c r="AA19" i="9"/>
  <c r="AB19" i="9" s="1"/>
  <c r="U21" i="9" s="1"/>
  <c r="AA20" i="9"/>
  <c r="AB20" i="9" s="1"/>
  <c r="U22" i="9" s="1"/>
  <c r="Y54" i="9"/>
  <c r="Z54" i="9" s="1"/>
  <c r="Y53" i="9"/>
  <c r="Z53" i="9" s="1"/>
  <c r="AA136" i="9"/>
  <c r="AB136" i="9" s="1"/>
  <c r="U142" i="9" s="1"/>
  <c r="AA137" i="9"/>
  <c r="AB137" i="9" s="1"/>
  <c r="U141" i="9" s="1"/>
  <c r="Z141" i="9" s="1"/>
  <c r="P129" i="9"/>
  <c r="P128" i="9"/>
  <c r="Q128" i="9" s="1"/>
  <c r="V128" i="9"/>
  <c r="Y34" i="9"/>
  <c r="Z34" i="9" s="1"/>
  <c r="Y33" i="9"/>
  <c r="Z33" i="9" s="1"/>
  <c r="V46" i="9"/>
  <c r="Y251" i="9"/>
  <c r="Z251" i="9" s="1"/>
  <c r="Y250" i="9"/>
  <c r="Z250" i="9" s="1"/>
  <c r="V60" i="9"/>
  <c r="AA257" i="9"/>
  <c r="AB257" i="9" s="1"/>
  <c r="U259" i="9" s="1"/>
  <c r="AA256" i="9"/>
  <c r="AB256" i="9" s="1"/>
  <c r="U258" i="9" s="1"/>
  <c r="AA149" i="9"/>
  <c r="AB149" i="9" s="1"/>
  <c r="U155" i="9" s="1"/>
  <c r="AA148" i="9"/>
  <c r="AB148" i="9" s="1"/>
  <c r="U154" i="9" s="1"/>
  <c r="AA150" i="9"/>
  <c r="AB150" i="9" s="1"/>
  <c r="U172" i="9" s="1"/>
  <c r="N4" i="9"/>
  <c r="V15" i="9"/>
  <c r="P25" i="11"/>
  <c r="H8" i="9"/>
  <c r="V13" i="9"/>
  <c r="X13" i="9" s="1"/>
  <c r="J13" i="9" s="1"/>
  <c r="Q13" i="9"/>
  <c r="P106" i="6"/>
  <c r="B25" i="2" s="1"/>
  <c r="P91" i="6"/>
  <c r="B10" i="2" s="1"/>
  <c r="Z91" i="9"/>
  <c r="AA255" i="9"/>
  <c r="AB255" i="9" s="1"/>
  <c r="F103" i="6" s="1"/>
  <c r="E27" i="8" s="1"/>
  <c r="AA254" i="9"/>
  <c r="AB254" i="9" s="1"/>
  <c r="U291" i="9" s="1"/>
  <c r="Y117" i="9"/>
  <c r="Y116" i="9"/>
  <c r="Z116" i="9" s="1"/>
  <c r="U317" i="9" l="1"/>
  <c r="AA310" i="9"/>
  <c r="AB310" i="9" s="1"/>
  <c r="AA27" i="9"/>
  <c r="AB27" i="9" s="1"/>
  <c r="U58" i="9" s="1"/>
  <c r="AA28" i="9"/>
  <c r="AB28" i="9" s="1"/>
  <c r="U286" i="9" s="1"/>
  <c r="Y259" i="9"/>
  <c r="Z259" i="9" s="1"/>
  <c r="Y258" i="9"/>
  <c r="Z258" i="9" s="1"/>
  <c r="Y291" i="9"/>
  <c r="Z291" i="9" s="1"/>
  <c r="Y290" i="9"/>
  <c r="W128" i="9"/>
  <c r="X128" i="9" s="1"/>
  <c r="W129" i="9"/>
  <c r="Y143" i="9"/>
  <c r="Y142" i="9"/>
  <c r="Z142" i="9" s="1"/>
  <c r="AA34" i="9"/>
  <c r="AB34" i="9" s="1"/>
  <c r="U81" i="9" s="1"/>
  <c r="AA33" i="9"/>
  <c r="AB33" i="9" s="1"/>
  <c r="U57" i="9" s="1"/>
  <c r="AA91" i="9"/>
  <c r="AB91" i="9" s="1"/>
  <c r="U117" i="9" s="1"/>
  <c r="AA90" i="9"/>
  <c r="AB90" i="9" s="1"/>
  <c r="U235" i="9" s="1"/>
  <c r="AA250" i="9"/>
  <c r="AB250" i="9" s="1"/>
  <c r="U252" i="9" s="1"/>
  <c r="AA251" i="9"/>
  <c r="AB251" i="9" s="1"/>
  <c r="U253" i="9" s="1"/>
  <c r="M13" i="9"/>
  <c r="N13" i="9" s="1"/>
  <c r="O25" i="11"/>
  <c r="H10" i="9"/>
  <c r="D25" i="2"/>
  <c r="C25" i="2"/>
  <c r="AA140" i="9"/>
  <c r="AB140" i="9" s="1"/>
  <c r="U144" i="9" s="1"/>
  <c r="AA141" i="9"/>
  <c r="AB141" i="9" s="1"/>
  <c r="U143" i="9" s="1"/>
  <c r="C10" i="2"/>
  <c r="D10" i="2"/>
  <c r="V8" i="9"/>
  <c r="X8" i="9" s="1"/>
  <c r="Q8" i="9"/>
  <c r="AA53" i="9"/>
  <c r="AB53" i="9" s="1"/>
  <c r="U55" i="9" s="1"/>
  <c r="AA54" i="9"/>
  <c r="AB54" i="9" s="1"/>
  <c r="U56" i="9" s="1"/>
  <c r="Y175" i="9"/>
  <c r="Y172" i="9"/>
  <c r="Z172" i="9" s="1"/>
  <c r="Y174" i="9"/>
  <c r="Y173" i="9"/>
  <c r="Z173" i="9" s="1"/>
  <c r="Y22" i="9"/>
  <c r="Z22" i="9" s="1"/>
  <c r="Y21" i="9"/>
  <c r="Z21" i="9" s="1"/>
  <c r="U316" i="9" l="1"/>
  <c r="Y316" i="9" s="1"/>
  <c r="Y287" i="9"/>
  <c r="Y286" i="9"/>
  <c r="Z286" i="9" s="1"/>
  <c r="Y236" i="9"/>
  <c r="Z236" i="9" s="1"/>
  <c r="Y235" i="9"/>
  <c r="Z235" i="9" s="1"/>
  <c r="Y58" i="9"/>
  <c r="Z58" i="9" s="1"/>
  <c r="Y57" i="9"/>
  <c r="Z57" i="9" s="1"/>
  <c r="Y145" i="9"/>
  <c r="Y144" i="9"/>
  <c r="Z144" i="9" s="1"/>
  <c r="Y253" i="9"/>
  <c r="Z253" i="9" s="1"/>
  <c r="Y252" i="9"/>
  <c r="Z252" i="9" s="1"/>
  <c r="J8" i="9"/>
  <c r="U42" i="11"/>
  <c r="U51" i="11"/>
  <c r="U35" i="11"/>
  <c r="U46" i="11"/>
  <c r="U30" i="11"/>
  <c r="U39" i="11"/>
  <c r="U48" i="11"/>
  <c r="U32" i="11"/>
  <c r="U41" i="11"/>
  <c r="U50" i="11"/>
  <c r="U34" i="11"/>
  <c r="U43" i="11"/>
  <c r="U27" i="11"/>
  <c r="U52" i="11"/>
  <c r="U36" i="11"/>
  <c r="U45" i="11"/>
  <c r="U37" i="11"/>
  <c r="U26" i="11"/>
  <c r="U47" i="11"/>
  <c r="U38" i="11"/>
  <c r="U33" i="11"/>
  <c r="U40" i="11"/>
  <c r="U29" i="11"/>
  <c r="U49" i="11"/>
  <c r="U44" i="11"/>
  <c r="U31" i="11"/>
  <c r="U28" i="11"/>
  <c r="H68" i="9"/>
  <c r="Z143" i="9"/>
  <c r="Y56" i="9"/>
  <c r="Z56" i="9" s="1"/>
  <c r="Y55" i="9"/>
  <c r="Z55" i="9" s="1"/>
  <c r="AA22" i="9"/>
  <c r="AB22" i="9" s="1"/>
  <c r="U35" i="9" s="1"/>
  <c r="AA21" i="9"/>
  <c r="AB21" i="9" s="1"/>
  <c r="U36" i="9" s="1"/>
  <c r="AA259" i="9"/>
  <c r="AB259" i="9" s="1"/>
  <c r="U284" i="9" s="1"/>
  <c r="AA258" i="9"/>
  <c r="AB258" i="9" s="1"/>
  <c r="Z117" i="9"/>
  <c r="V10" i="9"/>
  <c r="X10" i="9" s="1"/>
  <c r="J10" i="9" s="1"/>
  <c r="Q10" i="9"/>
  <c r="U321" i="9" l="1"/>
  <c r="Y317" i="9"/>
  <c r="Z317" i="9" s="1"/>
  <c r="AA317" i="9" s="1"/>
  <c r="AB317" i="9" s="1"/>
  <c r="Z316" i="9"/>
  <c r="J7" i="9"/>
  <c r="M8" i="9"/>
  <c r="N8" i="9" s="1"/>
  <c r="AA58" i="9"/>
  <c r="AB58" i="9" s="1"/>
  <c r="U62" i="9" s="1"/>
  <c r="AA57" i="9"/>
  <c r="AB57" i="9" s="1"/>
  <c r="U59" i="9" s="1"/>
  <c r="AA56" i="9"/>
  <c r="AB56" i="9" s="1"/>
  <c r="U104" i="9" s="1"/>
  <c r="AA55" i="9"/>
  <c r="AB55" i="9" s="1"/>
  <c r="D104" i="6" s="1"/>
  <c r="E25" i="8" s="1"/>
  <c r="AA143" i="9"/>
  <c r="AB143" i="9" s="1"/>
  <c r="U145" i="9" s="1"/>
  <c r="AA142" i="9"/>
  <c r="AB142" i="9" s="1"/>
  <c r="U146" i="9" s="1"/>
  <c r="M10" i="9"/>
  <c r="N10" i="9" s="1"/>
  <c r="P68" i="9"/>
  <c r="Q68" i="9" s="1"/>
  <c r="P67" i="9"/>
  <c r="V68" i="9"/>
  <c r="AA253" i="9"/>
  <c r="AB253" i="9" s="1"/>
  <c r="I109" i="6" s="1"/>
  <c r="AA252" i="9"/>
  <c r="AB252" i="9" s="1"/>
  <c r="F109" i="6" s="1"/>
  <c r="AA236" i="9"/>
  <c r="AB236" i="9" s="1"/>
  <c r="K95" i="6" s="1"/>
  <c r="AA235" i="9"/>
  <c r="AB235" i="9" s="1"/>
  <c r="U241" i="9" s="1"/>
  <c r="Y36" i="9"/>
  <c r="Z36" i="9" s="1"/>
  <c r="Y35" i="9"/>
  <c r="Z35" i="9" s="1"/>
  <c r="AA117" i="9"/>
  <c r="AB117" i="9" s="1"/>
  <c r="U221" i="9" s="1"/>
  <c r="AA116" i="9"/>
  <c r="AB116" i="9" s="1"/>
  <c r="U118" i="9" s="1"/>
  <c r="Z284" i="9"/>
  <c r="Y321" i="9" l="1"/>
  <c r="Z321" i="9" s="1"/>
  <c r="Y320" i="9"/>
  <c r="U319" i="9"/>
  <c r="AA316" i="9"/>
  <c r="AB316" i="9" s="1"/>
  <c r="AA284" i="9"/>
  <c r="AB284" i="9" s="1"/>
  <c r="U290" i="9" s="1"/>
  <c r="AA285" i="9"/>
  <c r="AB285" i="9" s="1"/>
  <c r="L103" i="6" s="1"/>
  <c r="W67" i="9"/>
  <c r="W68" i="9"/>
  <c r="X68" i="9" s="1"/>
  <c r="Y118" i="9"/>
  <c r="Z118" i="9" s="1"/>
  <c r="Y119" i="9"/>
  <c r="Z119" i="9" s="1"/>
  <c r="Z221" i="9"/>
  <c r="O29" i="11"/>
  <c r="O33" i="11"/>
  <c r="O28" i="11"/>
  <c r="O30" i="11"/>
  <c r="O27" i="11"/>
  <c r="O32" i="11"/>
  <c r="O26" i="11"/>
  <c r="O31" i="11"/>
  <c r="H29" i="9"/>
  <c r="Y147" i="9"/>
  <c r="Y146" i="9"/>
  <c r="Z146" i="9" s="1"/>
  <c r="Y105" i="9"/>
  <c r="Z105" i="9" s="1"/>
  <c r="Y104" i="9"/>
  <c r="Z104" i="9" s="1"/>
  <c r="Y60" i="9"/>
  <c r="Z60" i="9" s="1"/>
  <c r="Y59" i="9"/>
  <c r="Z59" i="9" s="1"/>
  <c r="Z145" i="9"/>
  <c r="AA36" i="9"/>
  <c r="AB36" i="9" s="1"/>
  <c r="U38" i="9" s="1"/>
  <c r="AA35" i="9"/>
  <c r="AB35" i="9" s="1"/>
  <c r="U37" i="9" s="1"/>
  <c r="Y62" i="9"/>
  <c r="Z62" i="9" s="1"/>
  <c r="Y61" i="9"/>
  <c r="P26" i="11"/>
  <c r="H16" i="9"/>
  <c r="M7" i="9"/>
  <c r="Y319" i="9" l="1"/>
  <c r="Z319" i="9" s="1"/>
  <c r="Y318" i="9"/>
  <c r="U318" i="9"/>
  <c r="Z318" i="9" s="1"/>
  <c r="AA318" i="9" s="1"/>
  <c r="AB318" i="9" s="1"/>
  <c r="AA105" i="9"/>
  <c r="AB105" i="9" s="1"/>
  <c r="U107" i="9" s="1"/>
  <c r="AA104" i="9"/>
  <c r="AB104" i="9" s="1"/>
  <c r="U106" i="9" s="1"/>
  <c r="AA220" i="9"/>
  <c r="AB220" i="9" s="1"/>
  <c r="U222" i="9" s="1"/>
  <c r="AA221" i="9"/>
  <c r="AB221" i="9" s="1"/>
  <c r="U223" i="9" s="1"/>
  <c r="AA119" i="9"/>
  <c r="AB119" i="9" s="1"/>
  <c r="C95" i="6" s="1"/>
  <c r="AA118" i="9"/>
  <c r="AB118" i="9" s="1"/>
  <c r="L95" i="6" s="1"/>
  <c r="H9" i="4" s="1"/>
  <c r="N7" i="9"/>
  <c r="AA60" i="9"/>
  <c r="AB60" i="9" s="1"/>
  <c r="U61" i="9" s="1"/>
  <c r="AA59" i="9"/>
  <c r="AB59" i="9" s="1"/>
  <c r="U63" i="9" s="1"/>
  <c r="Y38" i="9"/>
  <c r="Z38" i="9" s="1"/>
  <c r="Y37" i="9"/>
  <c r="Z37" i="9" s="1"/>
  <c r="P15" i="9"/>
  <c r="Q15" i="9" s="1"/>
  <c r="P16" i="9"/>
  <c r="Q16" i="9" s="1"/>
  <c r="V16" i="9"/>
  <c r="AA144" i="9"/>
  <c r="AB144" i="9" s="1"/>
  <c r="U147" i="9" s="1"/>
  <c r="AA145" i="9"/>
  <c r="AB145" i="9" s="1"/>
  <c r="U152" i="9" s="1"/>
  <c r="P29" i="9"/>
  <c r="Q29" i="9" s="1"/>
  <c r="P30" i="9"/>
  <c r="Q30" i="9" s="1"/>
  <c r="V29" i="9"/>
  <c r="Z290" i="9"/>
  <c r="L109" i="6" l="1"/>
  <c r="U322" i="9"/>
  <c r="AA319" i="9"/>
  <c r="AB319" i="9" s="1"/>
  <c r="Y64" i="9"/>
  <c r="Y63" i="9"/>
  <c r="Z63" i="9" s="1"/>
  <c r="Z147" i="9"/>
  <c r="Z61" i="9"/>
  <c r="W16" i="9"/>
  <c r="X16" i="9" s="1"/>
  <c r="W15" i="9"/>
  <c r="X15" i="9" s="1"/>
  <c r="K36" i="11"/>
  <c r="K38" i="11"/>
  <c r="K31" i="11"/>
  <c r="K40" i="11"/>
  <c r="K33" i="11"/>
  <c r="K26" i="11"/>
  <c r="K28" i="11"/>
  <c r="K29" i="11"/>
  <c r="K37" i="11"/>
  <c r="K32" i="11"/>
  <c r="K30" i="11"/>
  <c r="K39" i="11"/>
  <c r="K34" i="11"/>
  <c r="K35" i="11"/>
  <c r="K27" i="11"/>
  <c r="H43" i="9"/>
  <c r="AA290" i="9"/>
  <c r="AB290" i="9" s="1"/>
  <c r="U292" i="9" s="1"/>
  <c r="AA291" i="9"/>
  <c r="AB291" i="9" s="1"/>
  <c r="U293" i="9" s="1"/>
  <c r="Y223" i="9"/>
  <c r="Z223" i="9" s="1"/>
  <c r="Y222" i="9"/>
  <c r="Z222" i="9" s="1"/>
  <c r="Y106" i="9"/>
  <c r="Z106" i="9" s="1"/>
  <c r="Y107" i="9"/>
  <c r="Z107" i="9" s="1"/>
  <c r="AA38" i="9"/>
  <c r="AB38" i="9" s="1"/>
  <c r="U40" i="9" s="1"/>
  <c r="AA37" i="9"/>
  <c r="AB37" i="9" s="1"/>
  <c r="U39" i="9" s="1"/>
  <c r="W30" i="9"/>
  <c r="X30" i="9" s="1"/>
  <c r="W29" i="9"/>
  <c r="X29" i="9" s="1"/>
  <c r="U323" i="9" l="1"/>
  <c r="AA222" i="9"/>
  <c r="AB222" i="9" s="1"/>
  <c r="H95" i="6" s="1"/>
  <c r="AA223" i="9"/>
  <c r="AB223" i="9" s="1"/>
  <c r="U240" i="9" s="1"/>
  <c r="AA61" i="9"/>
  <c r="AB61" i="9" s="1"/>
  <c r="U66" i="9" s="1"/>
  <c r="AA62" i="9"/>
  <c r="AB62" i="9" s="1"/>
  <c r="U64" i="9" s="1"/>
  <c r="AA147" i="9"/>
  <c r="AB147" i="9" s="1"/>
  <c r="U162" i="9" s="1"/>
  <c r="AA146" i="9"/>
  <c r="AB146" i="9" s="1"/>
  <c r="U153" i="9" s="1"/>
  <c r="Y293" i="9"/>
  <c r="Z293" i="9" s="1"/>
  <c r="Y292" i="9"/>
  <c r="Z292" i="9" s="1"/>
  <c r="J30" i="9"/>
  <c r="J29" i="9"/>
  <c r="Y40" i="9"/>
  <c r="Z40" i="9" s="1"/>
  <c r="Y39" i="9"/>
  <c r="Z39" i="9" s="1"/>
  <c r="P44" i="9"/>
  <c r="P43" i="9"/>
  <c r="Q43" i="9" s="1"/>
  <c r="V43" i="9"/>
  <c r="J15" i="9"/>
  <c r="J16" i="9"/>
  <c r="AA106" i="9"/>
  <c r="AB106" i="9" s="1"/>
  <c r="U108" i="9" s="1"/>
  <c r="AA107" i="9"/>
  <c r="AB107" i="9" s="1"/>
  <c r="U109" i="9" s="1"/>
  <c r="Y323" i="9" l="1"/>
  <c r="Z323" i="9" s="1"/>
  <c r="Y322" i="9"/>
  <c r="Z322" i="9" s="1"/>
  <c r="AA322" i="9" s="1"/>
  <c r="AB322" i="9" s="1"/>
  <c r="Y109" i="9"/>
  <c r="Z109" i="9" s="1"/>
  <c r="Y108" i="9"/>
  <c r="Z108" i="9" s="1"/>
  <c r="M16" i="9"/>
  <c r="N16" i="9" s="1"/>
  <c r="AA293" i="9"/>
  <c r="AB293" i="9" s="1"/>
  <c r="U295" i="9" s="1"/>
  <c r="AA292" i="9"/>
  <c r="AB292" i="9" s="1"/>
  <c r="U294" i="9" s="1"/>
  <c r="M29" i="9"/>
  <c r="N29" i="9" s="1"/>
  <c r="Z64" i="9"/>
  <c r="M30" i="9"/>
  <c r="N30" i="9" s="1"/>
  <c r="M15" i="9"/>
  <c r="W43" i="9"/>
  <c r="X43" i="9" s="1"/>
  <c r="W44" i="9"/>
  <c r="AA39" i="9"/>
  <c r="AB39" i="9" s="1"/>
  <c r="U41" i="9" s="1"/>
  <c r="AA40" i="9"/>
  <c r="AB40" i="9" s="1"/>
  <c r="U42" i="9" s="1"/>
  <c r="Y152" i="9"/>
  <c r="Z152" i="9" s="1"/>
  <c r="Y154" i="9"/>
  <c r="Z154" i="9" s="1"/>
  <c r="Y153" i="9"/>
  <c r="Z153" i="9" s="1"/>
  <c r="Y155" i="9"/>
  <c r="Z155" i="9" s="1"/>
  <c r="AA155" i="9" s="1"/>
  <c r="AB155" i="9" s="1"/>
  <c r="U168" i="9" s="1"/>
  <c r="Y240" i="9"/>
  <c r="Z240" i="9" s="1"/>
  <c r="Y241" i="9"/>
  <c r="Z241" i="9" s="1"/>
  <c r="AA323" i="9" l="1"/>
  <c r="AB323" i="9" s="1"/>
  <c r="U324" i="9"/>
  <c r="T34" i="11"/>
  <c r="H32" i="9"/>
  <c r="O34" i="11"/>
  <c r="H31" i="9"/>
  <c r="AA152" i="9"/>
  <c r="AB152" i="9" s="1"/>
  <c r="U157" i="9" s="1"/>
  <c r="AA153" i="9"/>
  <c r="AB153" i="9" s="1"/>
  <c r="U156" i="9" s="1"/>
  <c r="AA154" i="9"/>
  <c r="AB154" i="9" s="1"/>
  <c r="U169" i="9" s="1"/>
  <c r="AA63" i="9"/>
  <c r="AB63" i="9" s="1"/>
  <c r="U65" i="9" s="1"/>
  <c r="AA64" i="9"/>
  <c r="AB64" i="9" s="1"/>
  <c r="U92" i="9" s="1"/>
  <c r="Y295" i="9"/>
  <c r="Z295" i="9" s="1"/>
  <c r="Y294" i="9"/>
  <c r="Z294" i="9" s="1"/>
  <c r="Y42" i="9"/>
  <c r="Z42" i="9" s="1"/>
  <c r="Y41" i="9"/>
  <c r="Z41" i="9" s="1"/>
  <c r="AA241" i="9"/>
  <c r="AB241" i="9" s="1"/>
  <c r="U243" i="9" s="1"/>
  <c r="AA240" i="9"/>
  <c r="AB240" i="9" s="1"/>
  <c r="U242" i="9" s="1"/>
  <c r="P27" i="11"/>
  <c r="H18" i="9"/>
  <c r="AA108" i="9"/>
  <c r="AB108" i="9" s="1"/>
  <c r="I104" i="6" s="1"/>
  <c r="AA109" i="9"/>
  <c r="AB109" i="9" s="1"/>
  <c r="U121" i="9" s="1"/>
  <c r="N15" i="9"/>
  <c r="Y325" i="9" l="1"/>
  <c r="Y324" i="9"/>
  <c r="Z324" i="9" s="1"/>
  <c r="U325" i="9"/>
  <c r="Y120" i="9"/>
  <c r="Z120" i="9" s="1"/>
  <c r="Y121" i="9"/>
  <c r="Z121" i="9" s="1"/>
  <c r="Y66" i="9"/>
  <c r="Z66" i="9" s="1"/>
  <c r="Y65" i="9"/>
  <c r="Z65" i="9" s="1"/>
  <c r="P18" i="9"/>
  <c r="Q18" i="9" s="1"/>
  <c r="P17" i="9"/>
  <c r="V18" i="9"/>
  <c r="Y157" i="9"/>
  <c r="Z157" i="9" s="1"/>
  <c r="Y159" i="9"/>
  <c r="Z159" i="9" s="1"/>
  <c r="AA159" i="9" s="1"/>
  <c r="AB159" i="9" s="1"/>
  <c r="U179" i="9" s="1"/>
  <c r="Y156" i="9"/>
  <c r="Z156" i="9" s="1"/>
  <c r="Y158" i="9"/>
  <c r="Z158" i="9" s="1"/>
  <c r="Y242" i="9"/>
  <c r="Z242" i="9" s="1"/>
  <c r="Y243" i="9"/>
  <c r="Z243" i="9" s="1"/>
  <c r="Y171" i="9"/>
  <c r="AA42" i="9"/>
  <c r="AB42" i="9" s="1"/>
  <c r="U48" i="9" s="1"/>
  <c r="AA41" i="9"/>
  <c r="AB41" i="9" s="1"/>
  <c r="U261" i="9" s="1"/>
  <c r="Y168" i="9"/>
  <c r="Z168" i="9" s="1"/>
  <c r="Y169" i="9"/>
  <c r="Z169" i="9" s="1"/>
  <c r="P32" i="9"/>
  <c r="Q32" i="9" s="1"/>
  <c r="P31" i="9"/>
  <c r="Q31" i="9" s="1"/>
  <c r="V31" i="9"/>
  <c r="AA295" i="9"/>
  <c r="AB295" i="9" s="1"/>
  <c r="I103" i="6" s="1"/>
  <c r="E30" i="8" s="1"/>
  <c r="AA294" i="9"/>
  <c r="AB294" i="9" s="1"/>
  <c r="R27" i="11"/>
  <c r="H17" i="9"/>
  <c r="Y170" i="9"/>
  <c r="V32" i="9"/>
  <c r="AA324" i="9" l="1"/>
  <c r="AB324" i="9" s="1"/>
  <c r="G109" i="6" s="1"/>
  <c r="H23" i="4" s="1"/>
  <c r="Z325" i="9"/>
  <c r="AA325" i="9" s="1"/>
  <c r="AB325" i="9" s="1"/>
  <c r="B109" i="6" s="1"/>
  <c r="U320" i="9"/>
  <c r="Q17" i="9"/>
  <c r="AA242" i="9"/>
  <c r="AB242" i="9" s="1"/>
  <c r="J95" i="6" s="1"/>
  <c r="AA243" i="9"/>
  <c r="AB243" i="9" s="1"/>
  <c r="I95" i="6" s="1"/>
  <c r="W31" i="9"/>
  <c r="X31" i="9" s="1"/>
  <c r="W32" i="9"/>
  <c r="X32" i="9" s="1"/>
  <c r="AA158" i="9"/>
  <c r="AB158" i="9" s="1"/>
  <c r="U178" i="9" s="1"/>
  <c r="AA156" i="9"/>
  <c r="AB156" i="9" s="1"/>
  <c r="U160" i="9" s="1"/>
  <c r="AA157" i="9"/>
  <c r="AB157" i="9" s="1"/>
  <c r="U161" i="9" s="1"/>
  <c r="AA66" i="9"/>
  <c r="AB66" i="9" s="1"/>
  <c r="U70" i="9" s="1"/>
  <c r="AA65" i="9"/>
  <c r="AB65" i="9" s="1"/>
  <c r="U82" i="9" s="1"/>
  <c r="W18" i="9"/>
  <c r="X18" i="9" s="1"/>
  <c r="W17" i="9"/>
  <c r="Z48" i="9"/>
  <c r="V17" i="9"/>
  <c r="AA120" i="9"/>
  <c r="AB120" i="9" s="1"/>
  <c r="U271" i="9" s="1"/>
  <c r="AA121" i="9"/>
  <c r="AB121" i="9" s="1"/>
  <c r="U279" i="9" s="1"/>
  <c r="P109" i="6" l="1"/>
  <c r="B28" i="2" s="1"/>
  <c r="D28" i="2" s="1"/>
  <c r="Z320" i="9"/>
  <c r="P95" i="6"/>
  <c r="B14" i="2" s="1"/>
  <c r="D14" i="2" s="1"/>
  <c r="X17" i="9"/>
  <c r="J17" i="9" s="1"/>
  <c r="Y83" i="9"/>
  <c r="Y82" i="9"/>
  <c r="Z82" i="9" s="1"/>
  <c r="Z70" i="9"/>
  <c r="Y162" i="9"/>
  <c r="Z162" i="9" s="1"/>
  <c r="Y161" i="9"/>
  <c r="Z161" i="9" s="1"/>
  <c r="Y160" i="9"/>
  <c r="Z160" i="9" s="1"/>
  <c r="Y163" i="9"/>
  <c r="Z163" i="9" s="1"/>
  <c r="AA163" i="9" s="1"/>
  <c r="AB163" i="9" s="1"/>
  <c r="U183" i="9" s="1"/>
  <c r="J18" i="9"/>
  <c r="J31" i="9"/>
  <c r="J32" i="9"/>
  <c r="Y279" i="9"/>
  <c r="Z279" i="9" s="1"/>
  <c r="Y278" i="9"/>
  <c r="Z271" i="9"/>
  <c r="AA47" i="9"/>
  <c r="AB47" i="9" s="1"/>
  <c r="U260" i="9" s="1"/>
  <c r="AA48" i="9"/>
  <c r="AB48" i="9" s="1"/>
  <c r="I93" i="6" s="1"/>
  <c r="C28" i="2" l="1"/>
  <c r="AA320" i="9"/>
  <c r="AB320" i="9" s="1"/>
  <c r="G103" i="6" s="1"/>
  <c r="H17" i="4" s="1"/>
  <c r="AA321" i="9"/>
  <c r="AB321" i="9" s="1"/>
  <c r="B103" i="6" s="1"/>
  <c r="C14" i="2"/>
  <c r="AA270" i="9"/>
  <c r="AB270" i="9" s="1"/>
  <c r="U272" i="9" s="1"/>
  <c r="AA271" i="9"/>
  <c r="AB271" i="9" s="1"/>
  <c r="U273" i="9" s="1"/>
  <c r="M17" i="9"/>
  <c r="AA160" i="9"/>
  <c r="AB160" i="9" s="1"/>
  <c r="U167" i="9" s="1"/>
  <c r="AA162" i="9"/>
  <c r="AB162" i="9" s="1"/>
  <c r="U182" i="9" s="1"/>
  <c r="AA161" i="9"/>
  <c r="AB161" i="9" s="1"/>
  <c r="U166" i="9" s="1"/>
  <c r="AA69" i="9"/>
  <c r="AB69" i="9" s="1"/>
  <c r="B102" i="6" s="1"/>
  <c r="AA70" i="9"/>
  <c r="AB70" i="9" s="1"/>
  <c r="U80" i="9" s="1"/>
  <c r="M32" i="9"/>
  <c r="N32" i="9" s="1"/>
  <c r="M31" i="9"/>
  <c r="N31" i="9" s="1"/>
  <c r="Y261" i="9"/>
  <c r="Z261" i="9" s="1"/>
  <c r="Y260" i="9"/>
  <c r="Z260" i="9" s="1"/>
  <c r="M18" i="9"/>
  <c r="N18" i="9" s="1"/>
  <c r="P103" i="6" l="1"/>
  <c r="B22" i="2" s="1"/>
  <c r="C22" i="2"/>
  <c r="D22" i="2"/>
  <c r="Z166" i="9"/>
  <c r="Y80" i="9"/>
  <c r="Z80" i="9" s="1"/>
  <c r="Y81" i="9"/>
  <c r="Z81" i="9" s="1"/>
  <c r="O35" i="11"/>
  <c r="H33" i="9"/>
  <c r="T35" i="11"/>
  <c r="H34" i="9"/>
  <c r="Z167" i="9"/>
  <c r="AA167" i="9" s="1"/>
  <c r="AB167" i="9" s="1"/>
  <c r="U189" i="9" s="1"/>
  <c r="P28" i="11"/>
  <c r="H20" i="9"/>
  <c r="AA261" i="9"/>
  <c r="AB261" i="9" s="1"/>
  <c r="U263" i="9" s="1"/>
  <c r="AA260" i="9"/>
  <c r="AB260" i="9" s="1"/>
  <c r="U262" i="9" s="1"/>
  <c r="N17" i="9"/>
  <c r="Y273" i="9"/>
  <c r="Z273" i="9" s="1"/>
  <c r="Y272" i="9"/>
  <c r="Z272" i="9" s="1"/>
  <c r="AA273" i="9" l="1"/>
  <c r="AB273" i="9" s="1"/>
  <c r="U275" i="9" s="1"/>
  <c r="AA272" i="9"/>
  <c r="AB272" i="9" s="1"/>
  <c r="U274" i="9" s="1"/>
  <c r="P34" i="9"/>
  <c r="Q34" i="9" s="1"/>
  <c r="P33" i="9"/>
  <c r="Q33" i="9" s="1"/>
  <c r="V33" i="9"/>
  <c r="R28" i="11"/>
  <c r="H19" i="9"/>
  <c r="AA80" i="9"/>
  <c r="AB80" i="9" s="1"/>
  <c r="U83" i="9" s="1"/>
  <c r="AA81" i="9"/>
  <c r="AB81" i="9" s="1"/>
  <c r="U85" i="9" s="1"/>
  <c r="V34" i="9"/>
  <c r="AA164" i="9"/>
  <c r="AB164" i="9" s="1"/>
  <c r="U171" i="9" s="1"/>
  <c r="AA165" i="9"/>
  <c r="AB165" i="9" s="1"/>
  <c r="U170" i="9" s="1"/>
  <c r="AA166" i="9"/>
  <c r="AB166" i="9" s="1"/>
  <c r="U188" i="9" s="1"/>
  <c r="Y262" i="9"/>
  <c r="Z262" i="9" s="1"/>
  <c r="Y263" i="9"/>
  <c r="Z263" i="9" s="1"/>
  <c r="P20" i="9"/>
  <c r="Q20" i="9" s="1"/>
  <c r="P19" i="9"/>
  <c r="Q19" i="9" s="1"/>
  <c r="V20" i="9"/>
  <c r="V19" i="9" l="1"/>
  <c r="W34" i="9"/>
  <c r="X34" i="9" s="1"/>
  <c r="W33" i="9"/>
  <c r="X33" i="9" s="1"/>
  <c r="AA263" i="9"/>
  <c r="AB263" i="9" s="1"/>
  <c r="U265" i="9" s="1"/>
  <c r="AA262" i="9"/>
  <c r="AB262" i="9" s="1"/>
  <c r="U264" i="9" s="1"/>
  <c r="Z83" i="9"/>
  <c r="W20" i="9"/>
  <c r="X20" i="9" s="1"/>
  <c r="W19" i="9"/>
  <c r="X19" i="9" s="1"/>
  <c r="Y189" i="9"/>
  <c r="Z189" i="9" s="1"/>
  <c r="Y191" i="9"/>
  <c r="Y188" i="9"/>
  <c r="Z188" i="9" s="1"/>
  <c r="Y190" i="9"/>
  <c r="Z170" i="9"/>
  <c r="Z171" i="9"/>
  <c r="AA171" i="9" s="1"/>
  <c r="AB171" i="9" s="1"/>
  <c r="U184" i="9" s="1"/>
  <c r="Y275" i="9"/>
  <c r="Z275" i="9" s="1"/>
  <c r="Y274" i="9"/>
  <c r="Z274" i="9" s="1"/>
  <c r="AA83" i="9" l="1"/>
  <c r="AB83" i="9" s="1"/>
  <c r="E102" i="6" s="1"/>
  <c r="AA82" i="9"/>
  <c r="AB82" i="9" s="1"/>
  <c r="U84" i="9" s="1"/>
  <c r="Y265" i="9"/>
  <c r="Z265" i="9" s="1"/>
  <c r="Y264" i="9"/>
  <c r="Z264" i="9" s="1"/>
  <c r="AA170" i="9"/>
  <c r="AB170" i="9" s="1"/>
  <c r="U185" i="9" s="1"/>
  <c r="AA168" i="9"/>
  <c r="AB168" i="9" s="1"/>
  <c r="U174" i="9" s="1"/>
  <c r="AA169" i="9"/>
  <c r="AB169" i="9" s="1"/>
  <c r="U175" i="9" s="1"/>
  <c r="J19" i="9"/>
  <c r="J20" i="9"/>
  <c r="AA274" i="9"/>
  <c r="AB274" i="9" s="1"/>
  <c r="B104" i="6" s="1"/>
  <c r="AA275" i="9"/>
  <c r="AB275" i="9" s="1"/>
  <c r="U278" i="9" s="1"/>
  <c r="J34" i="9"/>
  <c r="J33" i="9"/>
  <c r="Y85" i="9" l="1"/>
  <c r="Z85" i="9" s="1"/>
  <c r="Y84" i="9"/>
  <c r="Z84" i="9" s="1"/>
  <c r="M33" i="9"/>
  <c r="N33" i="9" s="1"/>
  <c r="M34" i="9"/>
  <c r="N34" i="9" s="1"/>
  <c r="AA265" i="9"/>
  <c r="AB265" i="9" s="1"/>
  <c r="U267" i="9" s="1"/>
  <c r="AA264" i="9"/>
  <c r="AB264" i="9" s="1"/>
  <c r="U266" i="9" s="1"/>
  <c r="Y185" i="9"/>
  <c r="Z185" i="9" s="1"/>
  <c r="E23" i="8"/>
  <c r="M20" i="9"/>
  <c r="N20" i="9" s="1"/>
  <c r="Y186" i="9"/>
  <c r="Z278" i="9"/>
  <c r="M19" i="9"/>
  <c r="Y184" i="9"/>
  <c r="Z184" i="9" s="1"/>
  <c r="Z175" i="9"/>
  <c r="AA175" i="9" s="1"/>
  <c r="AB175" i="9" s="1"/>
  <c r="U193" i="9" s="1"/>
  <c r="Z174" i="9"/>
  <c r="Y187" i="9"/>
  <c r="AA172" i="9" l="1"/>
  <c r="AB172" i="9" s="1"/>
  <c r="U176" i="9" s="1"/>
  <c r="AA174" i="9"/>
  <c r="AB174" i="9" s="1"/>
  <c r="U192" i="9" s="1"/>
  <c r="AA173" i="9"/>
  <c r="AB173" i="9" s="1"/>
  <c r="U177" i="9" s="1"/>
  <c r="T49" i="11"/>
  <c r="T58" i="11"/>
  <c r="T42" i="11"/>
  <c r="T51" i="11"/>
  <c r="T53" i="11"/>
  <c r="T37" i="11"/>
  <c r="T46" i="11"/>
  <c r="T55" i="11"/>
  <c r="T39" i="11"/>
  <c r="T48" i="11"/>
  <c r="T57" i="11"/>
  <c r="T41" i="11"/>
  <c r="T50" i="11"/>
  <c r="T43" i="11"/>
  <c r="T54" i="11"/>
  <c r="T47" i="11"/>
  <c r="T44" i="11"/>
  <c r="T45" i="11"/>
  <c r="T36" i="11"/>
  <c r="T52" i="11"/>
  <c r="T38" i="11"/>
  <c r="T56" i="11"/>
  <c r="T40" i="11"/>
  <c r="H81" i="9"/>
  <c r="P29" i="11"/>
  <c r="H22" i="9"/>
  <c r="N19" i="9"/>
  <c r="O40" i="11"/>
  <c r="O37" i="11"/>
  <c r="O39" i="11"/>
  <c r="O36" i="11"/>
  <c r="O38" i="11"/>
  <c r="H44" i="9"/>
  <c r="AA279" i="9"/>
  <c r="AB279" i="9" s="1"/>
  <c r="U281" i="9" s="1"/>
  <c r="AA278" i="9"/>
  <c r="AB278" i="9" s="1"/>
  <c r="U280" i="9" s="1"/>
  <c r="Y267" i="9"/>
  <c r="Z267" i="9" s="1"/>
  <c r="Y266" i="9"/>
  <c r="Z266" i="9" s="1"/>
  <c r="AA85" i="9"/>
  <c r="AB85" i="9" s="1"/>
  <c r="K102" i="6" s="1"/>
  <c r="AA84" i="9"/>
  <c r="AB84" i="9" s="1"/>
  <c r="U93" i="9" s="1"/>
  <c r="Y281" i="9" l="1"/>
  <c r="Z281" i="9" s="1"/>
  <c r="Y280" i="9"/>
  <c r="Z280" i="9" s="1"/>
  <c r="V81" i="9"/>
  <c r="R29" i="11"/>
  <c r="H21" i="9"/>
  <c r="Y93" i="9"/>
  <c r="Z93" i="9" s="1"/>
  <c r="Y92" i="9"/>
  <c r="Z92" i="9" s="1"/>
  <c r="Y192" i="9"/>
  <c r="Z192" i="9" s="1"/>
  <c r="Y194" i="9"/>
  <c r="Y193" i="9"/>
  <c r="Z193" i="9" s="1"/>
  <c r="Y195" i="9"/>
  <c r="Y177" i="9"/>
  <c r="Z177" i="9" s="1"/>
  <c r="Y179" i="9"/>
  <c r="Z179" i="9" s="1"/>
  <c r="AA179" i="9" s="1"/>
  <c r="AB179" i="9" s="1"/>
  <c r="U203" i="9" s="1"/>
  <c r="Y176" i="9"/>
  <c r="Z176" i="9" s="1"/>
  <c r="Y178" i="9"/>
  <c r="Z178" i="9" s="1"/>
  <c r="V22" i="9"/>
  <c r="V44" i="9"/>
  <c r="X44" i="9" s="1"/>
  <c r="Q44" i="9"/>
  <c r="AA266" i="9"/>
  <c r="AB266" i="9" s="1"/>
  <c r="U268" i="9" s="1"/>
  <c r="AA267" i="9"/>
  <c r="AB267" i="9" s="1"/>
  <c r="U269" i="9" s="1"/>
  <c r="AA177" i="9" l="1"/>
  <c r="AB177" i="9" s="1"/>
  <c r="U181" i="9" s="1"/>
  <c r="AA176" i="9"/>
  <c r="AB176" i="9" s="1"/>
  <c r="U180" i="9" s="1"/>
  <c r="AA178" i="9"/>
  <c r="AB178" i="9" s="1"/>
  <c r="U202" i="9" s="1"/>
  <c r="P21" i="9"/>
  <c r="Q21" i="9" s="1"/>
  <c r="P22" i="9"/>
  <c r="Q22" i="9" s="1"/>
  <c r="V21" i="9"/>
  <c r="AA93" i="9"/>
  <c r="AB93" i="9" s="1"/>
  <c r="U94" i="9" s="1"/>
  <c r="AA92" i="9"/>
  <c r="AB92" i="9" s="1"/>
  <c r="I102" i="6" s="1"/>
  <c r="AA280" i="9"/>
  <c r="AB280" i="9" s="1"/>
  <c r="U282" i="9" s="1"/>
  <c r="AA281" i="9"/>
  <c r="AB281" i="9" s="1"/>
  <c r="U283" i="9" s="1"/>
  <c r="Y269" i="9"/>
  <c r="Z269" i="9" s="1"/>
  <c r="Y268" i="9"/>
  <c r="Z268" i="9" s="1"/>
  <c r="J44" i="9"/>
  <c r="M44" i="9" s="1"/>
  <c r="N44" i="9" s="1"/>
  <c r="J43" i="9"/>
  <c r="Y283" i="9" l="1"/>
  <c r="Z283" i="9" s="1"/>
  <c r="Y282" i="9"/>
  <c r="Z282" i="9" s="1"/>
  <c r="Y95" i="9"/>
  <c r="Z95" i="9" s="1"/>
  <c r="Y94" i="9"/>
  <c r="Z94" i="9" s="1"/>
  <c r="W22" i="9"/>
  <c r="X22" i="9" s="1"/>
  <c r="W21" i="9"/>
  <c r="X21" i="9" s="1"/>
  <c r="AA268" i="9"/>
  <c r="AB268" i="9" s="1"/>
  <c r="AA269" i="9"/>
  <c r="AB269" i="9" s="1"/>
  <c r="U296" i="9" s="1"/>
  <c r="M43" i="9"/>
  <c r="N43" i="9" s="1"/>
  <c r="O45" i="11"/>
  <c r="O47" i="11"/>
  <c r="O42" i="11"/>
  <c r="O44" i="11"/>
  <c r="O46" i="11"/>
  <c r="O41" i="11"/>
  <c r="O43" i="11"/>
  <c r="H57" i="9"/>
  <c r="Y180" i="9"/>
  <c r="Z180" i="9" s="1"/>
  <c r="Y182" i="9"/>
  <c r="Z182" i="9" s="1"/>
  <c r="Y181" i="9"/>
  <c r="Z181" i="9" s="1"/>
  <c r="Y183" i="9"/>
  <c r="Z183" i="9" s="1"/>
  <c r="AA183" i="9" s="1"/>
  <c r="AB183" i="9" s="1"/>
  <c r="U204" i="9" s="1"/>
  <c r="U303" i="9" l="1"/>
  <c r="Y297" i="9"/>
  <c r="Z297" i="9" s="1"/>
  <c r="Y296" i="9"/>
  <c r="Z296" i="9" s="1"/>
  <c r="K41" i="11"/>
  <c r="H45" i="9"/>
  <c r="AA180" i="9"/>
  <c r="AB180" i="9" s="1"/>
  <c r="U186" i="9" s="1"/>
  <c r="AA182" i="9"/>
  <c r="AB182" i="9" s="1"/>
  <c r="K108" i="6" s="1"/>
  <c r="AA181" i="9"/>
  <c r="AB181" i="9" s="1"/>
  <c r="U187" i="9" s="1"/>
  <c r="J22" i="9"/>
  <c r="M22" i="9" s="1"/>
  <c r="N22" i="9" s="1"/>
  <c r="J21" i="9"/>
  <c r="P57" i="9"/>
  <c r="Q57" i="9" s="1"/>
  <c r="P58" i="9"/>
  <c r="V57" i="9"/>
  <c r="AA95" i="9"/>
  <c r="AB95" i="9" s="1"/>
  <c r="U97" i="9" s="1"/>
  <c r="AA94" i="9"/>
  <c r="AB94" i="9" s="1"/>
  <c r="U96" i="9" s="1"/>
  <c r="AA282" i="9"/>
  <c r="AB282" i="9" s="1"/>
  <c r="G104" i="6" s="1"/>
  <c r="AA283" i="9"/>
  <c r="AB283" i="9" s="1"/>
  <c r="L104" i="6" s="1"/>
  <c r="Y96" i="9" l="1"/>
  <c r="Z96" i="9" s="1"/>
  <c r="Y97" i="9"/>
  <c r="Z97" i="9" s="1"/>
  <c r="Z186" i="9"/>
  <c r="P45" i="9"/>
  <c r="Q45" i="9" s="1"/>
  <c r="P46" i="9"/>
  <c r="Q46" i="9" s="1"/>
  <c r="V45" i="9"/>
  <c r="Z187" i="9"/>
  <c r="AA187" i="9" s="1"/>
  <c r="AB187" i="9" s="1"/>
  <c r="U197" i="9" s="1"/>
  <c r="H18" i="4"/>
  <c r="E33" i="8"/>
  <c r="W58" i="9"/>
  <c r="W57" i="9"/>
  <c r="X57" i="9" s="1"/>
  <c r="AA296" i="9"/>
  <c r="AB296" i="9" s="1"/>
  <c r="U298" i="9" s="1"/>
  <c r="AA297" i="9"/>
  <c r="AB297" i="9" s="1"/>
  <c r="U299" i="9" s="1"/>
  <c r="E28" i="8"/>
  <c r="P104" i="6"/>
  <c r="B23" i="2" s="1"/>
  <c r="M21" i="9"/>
  <c r="N21" i="9" s="1"/>
  <c r="P30" i="11"/>
  <c r="H24" i="9"/>
  <c r="F27" i="8" l="1"/>
  <c r="P24" i="9"/>
  <c r="Q24" i="9" s="1"/>
  <c r="P23" i="9"/>
  <c r="V24" i="9"/>
  <c r="W46" i="9"/>
  <c r="X46" i="9" s="1"/>
  <c r="W45" i="9"/>
  <c r="X45" i="9" s="1"/>
  <c r="D23" i="2"/>
  <c r="C23" i="2"/>
  <c r="AA186" i="9"/>
  <c r="AB186" i="9" s="1"/>
  <c r="U196" i="9" s="1"/>
  <c r="AA185" i="9"/>
  <c r="AB185" i="9" s="1"/>
  <c r="U191" i="9" s="1"/>
  <c r="AA184" i="9"/>
  <c r="AB184" i="9" s="1"/>
  <c r="U190" i="9" s="1"/>
  <c r="F28" i="8"/>
  <c r="F23" i="8"/>
  <c r="F25" i="8"/>
  <c r="F30" i="8"/>
  <c r="Y299" i="9"/>
  <c r="Z299" i="9" s="1"/>
  <c r="Y298" i="9"/>
  <c r="Z298" i="9" s="1"/>
  <c r="AA97" i="9"/>
  <c r="AB97" i="9" s="1"/>
  <c r="U110" i="9" s="1"/>
  <c r="AA96" i="9"/>
  <c r="AB96" i="9" s="1"/>
  <c r="U98" i="9" s="1"/>
  <c r="R30" i="11"/>
  <c r="H23" i="9"/>
  <c r="F33" i="8"/>
  <c r="Y197" i="9" l="1"/>
  <c r="Z197" i="9" s="1"/>
  <c r="Y199" i="9"/>
  <c r="Y196" i="9"/>
  <c r="Z196" i="9" s="1"/>
  <c r="Y198" i="9"/>
  <c r="Z190" i="9"/>
  <c r="V23" i="9"/>
  <c r="AA298" i="9"/>
  <c r="AB298" i="9" s="1"/>
  <c r="U300" i="9" s="1"/>
  <c r="AA299" i="9"/>
  <c r="AB299" i="9" s="1"/>
  <c r="U301" i="9" s="1"/>
  <c r="Y99" i="9"/>
  <c r="Z99" i="9" s="1"/>
  <c r="Y98" i="9"/>
  <c r="Z98" i="9" s="1"/>
  <c r="Q23" i="9"/>
  <c r="Y111" i="9"/>
  <c r="Y110" i="9"/>
  <c r="Z110" i="9" s="1"/>
  <c r="Z191" i="9"/>
  <c r="AA191" i="9" s="1"/>
  <c r="AB191" i="9" s="1"/>
  <c r="N108" i="6" s="1"/>
  <c r="J46" i="9"/>
  <c r="J45" i="9"/>
  <c r="W23" i="9"/>
  <c r="W24" i="9"/>
  <c r="X24" i="9" s="1"/>
  <c r="X23" i="9" l="1"/>
  <c r="AA99" i="9"/>
  <c r="AB99" i="9" s="1"/>
  <c r="U101" i="9" s="1"/>
  <c r="AA98" i="9"/>
  <c r="AB98" i="9" s="1"/>
  <c r="U100" i="9" s="1"/>
  <c r="M46" i="9"/>
  <c r="N46" i="9" s="1"/>
  <c r="AA190" i="9"/>
  <c r="AB190" i="9" s="1"/>
  <c r="U205" i="9" s="1"/>
  <c r="AA188" i="9"/>
  <c r="AB188" i="9" s="1"/>
  <c r="U195" i="9" s="1"/>
  <c r="AA189" i="9"/>
  <c r="AB189" i="9" s="1"/>
  <c r="U194" i="9" s="1"/>
  <c r="M45" i="9"/>
  <c r="N45" i="9" s="1"/>
  <c r="J24" i="9"/>
  <c r="M24" i="9" s="1"/>
  <c r="N24" i="9" s="1"/>
  <c r="J23" i="9"/>
  <c r="M23" i="9" s="1"/>
  <c r="N23" i="9" s="1"/>
  <c r="Y300" i="9"/>
  <c r="Z300" i="9" s="1"/>
  <c r="Y301" i="9"/>
  <c r="Z301" i="9" s="1"/>
  <c r="R31" i="11" l="1"/>
  <c r="H25" i="9"/>
  <c r="P31" i="11"/>
  <c r="H26" i="9"/>
  <c r="K42" i="11"/>
  <c r="H47" i="9"/>
  <c r="Y204" i="9"/>
  <c r="Z204" i="9" s="1"/>
  <c r="Y206" i="9"/>
  <c r="Y205" i="9"/>
  <c r="Z205" i="9" s="1"/>
  <c r="Y207" i="9"/>
  <c r="M43" i="11"/>
  <c r="M42" i="11"/>
  <c r="H49" i="9"/>
  <c r="Z195" i="9"/>
  <c r="AA195" i="9" s="1"/>
  <c r="AB195" i="9" s="1"/>
  <c r="U211" i="9" s="1"/>
  <c r="Z194" i="9"/>
  <c r="AA300" i="9"/>
  <c r="AB300" i="9" s="1"/>
  <c r="AA301" i="9"/>
  <c r="AB301" i="9" s="1"/>
  <c r="L93" i="6" s="1"/>
  <c r="Y101" i="9"/>
  <c r="Z101" i="9" s="1"/>
  <c r="Y100" i="9"/>
  <c r="Z100" i="9" s="1"/>
  <c r="U302" i="9" l="1"/>
  <c r="P49" i="9"/>
  <c r="Q49" i="9" s="1"/>
  <c r="P50" i="9"/>
  <c r="V49" i="9"/>
  <c r="AA101" i="9"/>
  <c r="AB101" i="9" s="1"/>
  <c r="U103" i="9" s="1"/>
  <c r="AA100" i="9"/>
  <c r="AB100" i="9" s="1"/>
  <c r="U102" i="9" s="1"/>
  <c r="P47" i="9"/>
  <c r="Q47" i="9" s="1"/>
  <c r="P48" i="9"/>
  <c r="V47" i="9"/>
  <c r="P25" i="9"/>
  <c r="Q25" i="9" s="1"/>
  <c r="P26" i="9"/>
  <c r="Q26" i="9" s="1"/>
  <c r="V26" i="9"/>
  <c r="AA192" i="9"/>
  <c r="AB192" i="9" s="1"/>
  <c r="U198" i="9" s="1"/>
  <c r="AA194" i="9"/>
  <c r="AB194" i="9" s="1"/>
  <c r="U210" i="9" s="1"/>
  <c r="AA193" i="9"/>
  <c r="AB193" i="9" s="1"/>
  <c r="U199" i="9" s="1"/>
  <c r="V25" i="9"/>
  <c r="Y302" i="9" l="1"/>
  <c r="Z302" i="9" s="1"/>
  <c r="Y303" i="9"/>
  <c r="Z303" i="9" s="1"/>
  <c r="AA303" i="9" s="1"/>
  <c r="AB303" i="9" s="1"/>
  <c r="U305" i="9" s="1"/>
  <c r="W48" i="9"/>
  <c r="W47" i="9"/>
  <c r="X47" i="9" s="1"/>
  <c r="Z199" i="9"/>
  <c r="AA199" i="9" s="1"/>
  <c r="AB199" i="9" s="1"/>
  <c r="U218" i="9" s="1"/>
  <c r="Z198" i="9"/>
  <c r="Y103" i="9"/>
  <c r="Z103" i="9" s="1"/>
  <c r="Y102" i="9"/>
  <c r="Z102" i="9" s="1"/>
  <c r="W50" i="9"/>
  <c r="W49" i="9"/>
  <c r="X49" i="9" s="1"/>
  <c r="W26" i="9"/>
  <c r="X26" i="9" s="1"/>
  <c r="W25" i="9"/>
  <c r="X25" i="9" s="1"/>
  <c r="AA302" i="9" l="1"/>
  <c r="AB302" i="9" s="1"/>
  <c r="U304" i="9" s="1"/>
  <c r="Y305" i="9" s="1"/>
  <c r="Z305" i="9" s="1"/>
  <c r="Y304" i="9"/>
  <c r="B107" i="6"/>
  <c r="G107" i="6"/>
  <c r="AA103" i="9"/>
  <c r="AB103" i="9" s="1"/>
  <c r="U111" i="9" s="1"/>
  <c r="AA102" i="9"/>
  <c r="AB102" i="9" s="1"/>
  <c r="F102" i="6" s="1"/>
  <c r="J26" i="9"/>
  <c r="M26" i="9" s="1"/>
  <c r="N26" i="9" s="1"/>
  <c r="J25" i="9"/>
  <c r="M25" i="9" s="1"/>
  <c r="N25" i="9" s="1"/>
  <c r="AA198" i="9"/>
  <c r="AB198" i="9" s="1"/>
  <c r="U219" i="9" s="1"/>
  <c r="AA197" i="9"/>
  <c r="AB197" i="9" s="1"/>
  <c r="U201" i="9" s="1"/>
  <c r="AA196" i="9"/>
  <c r="AB196" i="9" s="1"/>
  <c r="U200" i="9" s="1"/>
  <c r="Z304" i="9" l="1"/>
  <c r="AA304" i="9" s="1"/>
  <c r="AB304" i="9" s="1"/>
  <c r="U312" i="9" s="1"/>
  <c r="F107" i="6"/>
  <c r="H21" i="4" s="1"/>
  <c r="Y202" i="9"/>
  <c r="Z202" i="9" s="1"/>
  <c r="Y201" i="9"/>
  <c r="Z201" i="9" s="1"/>
  <c r="Y203" i="9"/>
  <c r="Z203" i="9" s="1"/>
  <c r="AA203" i="9" s="1"/>
  <c r="AB203" i="9" s="1"/>
  <c r="U212" i="9" s="1"/>
  <c r="Y200" i="9"/>
  <c r="Z200" i="9" s="1"/>
  <c r="R32" i="11"/>
  <c r="H27" i="9"/>
  <c r="P32" i="11"/>
  <c r="H28" i="9"/>
  <c r="Z111" i="9"/>
  <c r="AA305" i="9" l="1"/>
  <c r="AB305" i="9" s="1"/>
  <c r="U313" i="9" s="1"/>
  <c r="I107" i="6"/>
  <c r="P107" i="6" s="1"/>
  <c r="B26" i="2" s="1"/>
  <c r="D26" i="2" s="1"/>
  <c r="P27" i="9"/>
  <c r="Q27" i="9" s="1"/>
  <c r="P28" i="9"/>
  <c r="Q28" i="9" s="1"/>
  <c r="V28" i="9"/>
  <c r="V27" i="9"/>
  <c r="AA201" i="9"/>
  <c r="AB201" i="9" s="1"/>
  <c r="U207" i="9" s="1"/>
  <c r="AA200" i="9"/>
  <c r="AB200" i="9" s="1"/>
  <c r="U206" i="9" s="1"/>
  <c r="AA202" i="9"/>
  <c r="AB202" i="9" s="1"/>
  <c r="U213" i="9" s="1"/>
  <c r="Y215" i="9" s="1"/>
  <c r="AA111" i="9"/>
  <c r="AB111" i="9" s="1"/>
  <c r="U113" i="9" s="1"/>
  <c r="AA110" i="9"/>
  <c r="AB110" i="9" s="1"/>
  <c r="U112" i="9" s="1"/>
  <c r="Y312" i="9" l="1"/>
  <c r="Z312" i="9" s="1"/>
  <c r="AA312" i="9" s="1"/>
  <c r="AB312" i="9" s="1"/>
  <c r="Y313" i="9"/>
  <c r="Z313" i="9" s="1"/>
  <c r="AA313" i="9" s="1"/>
  <c r="AB313" i="9" s="1"/>
  <c r="C26" i="2"/>
  <c r="Z207" i="9"/>
  <c r="AA207" i="9" s="1"/>
  <c r="AB207" i="9" s="1"/>
  <c r="I108" i="6" s="1"/>
  <c r="Y212" i="9"/>
  <c r="Z212" i="9" s="1"/>
  <c r="Z206" i="9"/>
  <c r="Y112" i="9"/>
  <c r="Z112" i="9" s="1"/>
  <c r="Y113" i="9"/>
  <c r="Z113" i="9" s="1"/>
  <c r="Y213" i="9"/>
  <c r="Z213" i="9" s="1"/>
  <c r="W27" i="9"/>
  <c r="X27" i="9" s="1"/>
  <c r="W28" i="9"/>
  <c r="X28" i="9" s="1"/>
  <c r="Y214" i="9"/>
  <c r="U315" i="9" l="1"/>
  <c r="U314" i="9"/>
  <c r="J27" i="9"/>
  <c r="M27" i="9" s="1"/>
  <c r="N27" i="9" s="1"/>
  <c r="J28" i="9"/>
  <c r="M28" i="9" s="1"/>
  <c r="N28" i="9" s="1"/>
  <c r="AA113" i="9"/>
  <c r="AB113" i="9" s="1"/>
  <c r="U115" i="9" s="1"/>
  <c r="AA112" i="9"/>
  <c r="AB112" i="9" s="1"/>
  <c r="U114" i="9" s="1"/>
  <c r="AA206" i="9"/>
  <c r="AB206" i="9" s="1"/>
  <c r="J108" i="6" s="1"/>
  <c r="AA205" i="9"/>
  <c r="AB205" i="9" s="1"/>
  <c r="U209" i="9" s="1"/>
  <c r="AA204" i="9"/>
  <c r="AB204" i="9" s="1"/>
  <c r="U208" i="9" s="1"/>
  <c r="Y314" i="9" l="1"/>
  <c r="Z314" i="9" s="1"/>
  <c r="AA314" i="9" s="1"/>
  <c r="AB314" i="9" s="1"/>
  <c r="G93" i="6" s="1"/>
  <c r="Y315" i="9"/>
  <c r="Z315" i="9" s="1"/>
  <c r="AA315" i="9" s="1"/>
  <c r="AB315" i="9" s="1"/>
  <c r="B93" i="6" s="1"/>
  <c r="Y208" i="9"/>
  <c r="Z208" i="9" s="1"/>
  <c r="Y210" i="9"/>
  <c r="Z210" i="9" s="1"/>
  <c r="Y209" i="9"/>
  <c r="Z209" i="9" s="1"/>
  <c r="Y211" i="9"/>
  <c r="Z211" i="9" s="1"/>
  <c r="AA211" i="9" s="1"/>
  <c r="AB211" i="9" s="1"/>
  <c r="L108" i="6" s="1"/>
  <c r="P33" i="11"/>
  <c r="P35" i="11"/>
  <c r="P34" i="11"/>
  <c r="P36" i="11"/>
  <c r="H35" i="9"/>
  <c r="Y115" i="9"/>
  <c r="Z115" i="9" s="1"/>
  <c r="Y114" i="9"/>
  <c r="Z114" i="9" s="1"/>
  <c r="R35" i="11"/>
  <c r="R34" i="11"/>
  <c r="R36" i="11"/>
  <c r="R33" i="11"/>
  <c r="H36" i="9"/>
  <c r="H7" i="4" l="1"/>
  <c r="P93" i="6"/>
  <c r="B12" i="2" s="1"/>
  <c r="AA115" i="9"/>
  <c r="AB115" i="9" s="1"/>
  <c r="U227" i="9" s="1"/>
  <c r="AA114" i="9"/>
  <c r="AB114" i="9" s="1"/>
  <c r="J102" i="6" s="1"/>
  <c r="P36" i="9"/>
  <c r="Q36" i="9" s="1"/>
  <c r="P35" i="9"/>
  <c r="Q35" i="9" s="1"/>
  <c r="V35" i="9"/>
  <c r="V36" i="9"/>
  <c r="AA209" i="9"/>
  <c r="AB209" i="9" s="1"/>
  <c r="U215" i="9" s="1"/>
  <c r="AA208" i="9"/>
  <c r="AB208" i="9" s="1"/>
  <c r="U214" i="9" s="1"/>
  <c r="AA210" i="9"/>
  <c r="AB210" i="9" s="1"/>
  <c r="H108" i="6" s="1"/>
  <c r="D12" i="2" l="1"/>
  <c r="C12" i="2"/>
  <c r="Z214" i="9"/>
  <c r="Z215" i="9"/>
  <c r="AA215" i="9" s="1"/>
  <c r="AB215" i="9" s="1"/>
  <c r="C108" i="6" s="1"/>
  <c r="W35" i="9"/>
  <c r="X35" i="9" s="1"/>
  <c r="W36" i="9"/>
  <c r="X36" i="9" s="1"/>
  <c r="Y228" i="9"/>
  <c r="Z228" i="9" s="1"/>
  <c r="Y227" i="9"/>
  <c r="Z227" i="9" s="1"/>
  <c r="AA228" i="9" l="1"/>
  <c r="AB228" i="9" s="1"/>
  <c r="U230" i="9" s="1"/>
  <c r="AA227" i="9"/>
  <c r="AB227" i="9" s="1"/>
  <c r="U229" i="9" s="1"/>
  <c r="J36" i="9"/>
  <c r="M36" i="9" s="1"/>
  <c r="N36" i="9" s="1"/>
  <c r="J35" i="9"/>
  <c r="M35" i="9" s="1"/>
  <c r="N35" i="9" s="1"/>
  <c r="AA213" i="9"/>
  <c r="AB213" i="9" s="1"/>
  <c r="U217" i="9" s="1"/>
  <c r="AA212" i="9"/>
  <c r="AB212" i="9" s="1"/>
  <c r="U216" i="9" s="1"/>
  <c r="AA214" i="9"/>
  <c r="AB214" i="9" s="1"/>
  <c r="B108" i="6" s="1"/>
  <c r="P37" i="11" l="1"/>
  <c r="H37" i="9"/>
  <c r="Y216" i="9"/>
  <c r="Z216" i="9" s="1"/>
  <c r="Y219" i="9"/>
  <c r="Z219" i="9" s="1"/>
  <c r="AA219" i="9" s="1"/>
  <c r="AB219" i="9" s="1"/>
  <c r="F108" i="6" s="1"/>
  <c r="Y218" i="9"/>
  <c r="Z218" i="9" s="1"/>
  <c r="Y217" i="9"/>
  <c r="Z217" i="9" s="1"/>
  <c r="R37" i="11"/>
  <c r="H38" i="9"/>
  <c r="Y230" i="9"/>
  <c r="Z230" i="9" s="1"/>
  <c r="Y229" i="9"/>
  <c r="Z229" i="9" s="1"/>
  <c r="P38" i="9" l="1"/>
  <c r="Q38" i="9" s="1"/>
  <c r="P37" i="9"/>
  <c r="Q37" i="9" s="1"/>
  <c r="V38" i="9"/>
  <c r="AA229" i="9"/>
  <c r="AB229" i="9" s="1"/>
  <c r="U231" i="9" s="1"/>
  <c r="AA230" i="9"/>
  <c r="AB230" i="9" s="1"/>
  <c r="U232" i="9" s="1"/>
  <c r="AA217" i="9"/>
  <c r="AB217" i="9" s="1"/>
  <c r="E108" i="6" s="1"/>
  <c r="AA218" i="9"/>
  <c r="AB218" i="9" s="1"/>
  <c r="G108" i="6" s="1"/>
  <c r="H22" i="4" s="1"/>
  <c r="AA216" i="9"/>
  <c r="AB216" i="9" s="1"/>
  <c r="M108" i="6" s="1"/>
  <c r="V37" i="9"/>
  <c r="P108" i="6" l="1"/>
  <c r="B27" i="2" s="1"/>
  <c r="Y231" i="9"/>
  <c r="Z231" i="9" s="1"/>
  <c r="Y232" i="9"/>
  <c r="Z232" i="9" s="1"/>
  <c r="W38" i="9"/>
  <c r="X38" i="9" s="1"/>
  <c r="W37" i="9"/>
  <c r="X37" i="9" s="1"/>
  <c r="AA231" i="9" l="1"/>
  <c r="AB231" i="9" s="1"/>
  <c r="U234" i="9" s="1"/>
  <c r="AA232" i="9"/>
  <c r="AB232" i="9" s="1"/>
  <c r="H102" i="6" s="1"/>
  <c r="J38" i="9"/>
  <c r="M38" i="9" s="1"/>
  <c r="N38" i="9" s="1"/>
  <c r="J37" i="9"/>
  <c r="M37" i="9" s="1"/>
  <c r="N37" i="9" s="1"/>
  <c r="D27" i="2"/>
  <c r="C27" i="2"/>
  <c r="P38" i="11" l="1"/>
  <c r="H39" i="9"/>
  <c r="R38" i="11"/>
  <c r="H40" i="9"/>
  <c r="Y234" i="9"/>
  <c r="Z234" i="9" s="1"/>
  <c r="Y233" i="9"/>
  <c r="Z233" i="9" s="1"/>
  <c r="AA234" i="9" l="1"/>
  <c r="AB234" i="9" s="1"/>
  <c r="U287" i="9" s="1"/>
  <c r="AA233" i="9"/>
  <c r="AB233" i="9" s="1"/>
  <c r="C102" i="6" s="1"/>
  <c r="P39" i="9"/>
  <c r="Q39" i="9" s="1"/>
  <c r="P40" i="9"/>
  <c r="Q40" i="9" s="1"/>
  <c r="V40" i="9"/>
  <c r="V39" i="9"/>
  <c r="W40" i="9" l="1"/>
  <c r="X40" i="9" s="1"/>
  <c r="W39" i="9"/>
  <c r="X39" i="9" s="1"/>
  <c r="Z287" i="9"/>
  <c r="AA286" i="9" l="1"/>
  <c r="AB286" i="9" s="1"/>
  <c r="U288" i="9" s="1"/>
  <c r="AA287" i="9"/>
  <c r="AB287" i="9" s="1"/>
  <c r="U289" i="9" s="1"/>
  <c r="J39" i="9"/>
  <c r="M39" i="9" s="1"/>
  <c r="N39" i="9" s="1"/>
  <c r="J40" i="9"/>
  <c r="M40" i="9" s="1"/>
  <c r="N40" i="9" s="1"/>
  <c r="R39" i="11" l="1"/>
  <c r="H42" i="9"/>
  <c r="P39" i="11"/>
  <c r="H41" i="9"/>
  <c r="Y288" i="9"/>
  <c r="Z288" i="9" s="1"/>
  <c r="Y289" i="9"/>
  <c r="Z289" i="9" s="1"/>
  <c r="AA288" i="9" l="1"/>
  <c r="AB288" i="9" s="1"/>
  <c r="G102" i="6" s="1"/>
  <c r="AA289" i="9"/>
  <c r="AB289" i="9" s="1"/>
  <c r="L102" i="6" s="1"/>
  <c r="V41" i="9"/>
  <c r="P41" i="9"/>
  <c r="Q41" i="9" s="1"/>
  <c r="P42" i="9"/>
  <c r="Q42" i="9" s="1"/>
  <c r="V42" i="9"/>
  <c r="H16" i="4" l="1"/>
  <c r="B19" i="4" s="1"/>
  <c r="P102" i="6"/>
  <c r="B21" i="2" s="1"/>
  <c r="D21" i="2" s="1"/>
  <c r="W42" i="9"/>
  <c r="X42" i="9" s="1"/>
  <c r="W41" i="9"/>
  <c r="X41" i="9" s="1"/>
  <c r="C21" i="2" l="1"/>
  <c r="J42" i="9"/>
  <c r="M42" i="9" s="1"/>
  <c r="N42" i="9" s="1"/>
  <c r="J41" i="9"/>
  <c r="M41" i="9" s="1"/>
  <c r="N41" i="9" s="1"/>
  <c r="P77" i="11" l="1"/>
  <c r="P61" i="11"/>
  <c r="P45" i="11"/>
  <c r="P70" i="11"/>
  <c r="P54" i="11"/>
  <c r="P63" i="11"/>
  <c r="P72" i="11"/>
  <c r="P56" i="11"/>
  <c r="P65" i="11"/>
  <c r="P49" i="11"/>
  <c r="P74" i="11"/>
  <c r="P58" i="11"/>
  <c r="P42" i="11"/>
  <c r="P67" i="11"/>
  <c r="P51" i="11"/>
  <c r="P76" i="11"/>
  <c r="P60" i="11"/>
  <c r="P44" i="11"/>
  <c r="P69" i="11"/>
  <c r="P53" i="11"/>
  <c r="P78" i="11"/>
  <c r="P62" i="11"/>
  <c r="P46" i="11"/>
  <c r="P71" i="11"/>
  <c r="P55" i="11"/>
  <c r="P73" i="11"/>
  <c r="P66" i="11"/>
  <c r="P50" i="11"/>
  <c r="P75" i="11"/>
  <c r="P59" i="11"/>
  <c r="P68" i="11"/>
  <c r="P43" i="11"/>
  <c r="P57" i="11"/>
  <c r="P64" i="11"/>
  <c r="P52" i="11"/>
  <c r="P47" i="11"/>
  <c r="P48" i="11"/>
  <c r="P41" i="11"/>
  <c r="P40" i="11"/>
  <c r="H120" i="9"/>
  <c r="R40" i="11"/>
  <c r="R41" i="11"/>
  <c r="R42" i="11"/>
  <c r="H48" i="9"/>
  <c r="V48" i="9" l="1"/>
  <c r="X48" i="9" s="1"/>
  <c r="Q48" i="9"/>
  <c r="V120" i="9"/>
  <c r="J47" i="9" l="1"/>
  <c r="J48" i="9"/>
  <c r="M48" i="9" s="1"/>
  <c r="N48" i="9" s="1"/>
  <c r="R43" i="11" l="1"/>
  <c r="H50" i="9"/>
  <c r="M47" i="9"/>
  <c r="N47" i="9" s="1"/>
  <c r="K48" i="11" l="1"/>
  <c r="K52" i="11"/>
  <c r="K45" i="11"/>
  <c r="K47" i="11"/>
  <c r="K49" i="11"/>
  <c r="K44" i="11"/>
  <c r="K43" i="11"/>
  <c r="K50" i="11"/>
  <c r="K51" i="11"/>
  <c r="K46" i="11"/>
  <c r="H67" i="9"/>
  <c r="V50" i="9"/>
  <c r="X50" i="9" s="1"/>
  <c r="Q50" i="9"/>
  <c r="J50" i="9" l="1"/>
  <c r="M50" i="9" s="1"/>
  <c r="N50" i="9" s="1"/>
  <c r="J49" i="9"/>
  <c r="V67" i="9"/>
  <c r="X67" i="9" s="1"/>
  <c r="Q67" i="9"/>
  <c r="M49" i="9" l="1"/>
  <c r="N49" i="9" s="1"/>
  <c r="J67" i="9"/>
  <c r="J68" i="9"/>
  <c r="R44" i="11"/>
  <c r="H52" i="9"/>
  <c r="V52" i="9" l="1"/>
  <c r="M68" i="9"/>
  <c r="N68" i="9" s="1"/>
  <c r="M67" i="9"/>
  <c r="N67" i="9" s="1"/>
  <c r="M44" i="11"/>
  <c r="H51" i="9"/>
  <c r="P52" i="9" l="1"/>
  <c r="Q52" i="9" s="1"/>
  <c r="P51" i="9"/>
  <c r="Q51" i="9" s="1"/>
  <c r="V51" i="9"/>
  <c r="K53" i="11"/>
  <c r="H69" i="9"/>
  <c r="U58" i="11"/>
  <c r="U60" i="11"/>
  <c r="U53" i="11"/>
  <c r="U55" i="11"/>
  <c r="U57" i="11"/>
  <c r="U59" i="11"/>
  <c r="U56" i="11"/>
  <c r="U54" i="11"/>
  <c r="U61" i="11"/>
  <c r="H87" i="9"/>
  <c r="Q87" i="9" l="1"/>
  <c r="V87" i="9"/>
  <c r="X87" i="9" s="1"/>
  <c r="P70" i="9"/>
  <c r="P69" i="9"/>
  <c r="Q69" i="9" s="1"/>
  <c r="V69" i="9"/>
  <c r="W51" i="9"/>
  <c r="X51" i="9" s="1"/>
  <c r="W52" i="9"/>
  <c r="X52" i="9" s="1"/>
  <c r="W70" i="9" l="1"/>
  <c r="W69" i="9"/>
  <c r="X69" i="9" s="1"/>
  <c r="J87" i="9"/>
  <c r="J86" i="9"/>
  <c r="J51" i="9"/>
  <c r="J52" i="9"/>
  <c r="M52" i="9" s="1"/>
  <c r="N52" i="9" s="1"/>
  <c r="R45" i="11" l="1"/>
  <c r="H54" i="9"/>
  <c r="M86" i="9"/>
  <c r="N86" i="9" s="1"/>
  <c r="M51" i="9"/>
  <c r="N51" i="9" s="1"/>
  <c r="M87" i="9"/>
  <c r="N87" i="9" s="1"/>
  <c r="U62" i="11" l="1"/>
  <c r="H89" i="9"/>
  <c r="M45" i="11"/>
  <c r="H53" i="9"/>
  <c r="S62" i="11"/>
  <c r="H88" i="9"/>
  <c r="V54" i="9"/>
  <c r="P88" i="9" l="1"/>
  <c r="Q88" i="9" s="1"/>
  <c r="P89" i="9"/>
  <c r="Q89" i="9" s="1"/>
  <c r="V88" i="9"/>
  <c r="P54" i="9"/>
  <c r="Q54" i="9" s="1"/>
  <c r="P53" i="9"/>
  <c r="Q53" i="9" s="1"/>
  <c r="V53" i="9"/>
  <c r="V89" i="9"/>
  <c r="W53" i="9" l="1"/>
  <c r="X53" i="9" s="1"/>
  <c r="W54" i="9"/>
  <c r="X54" i="9" s="1"/>
  <c r="W89" i="9"/>
  <c r="X89" i="9" s="1"/>
  <c r="W88" i="9"/>
  <c r="X88" i="9" s="1"/>
  <c r="J89" i="9" l="1"/>
  <c r="J88" i="9"/>
  <c r="J53" i="9"/>
  <c r="J54" i="9"/>
  <c r="M54" i="9" s="1"/>
  <c r="N54" i="9" s="1"/>
  <c r="R46" i="11" l="1"/>
  <c r="H56" i="9"/>
  <c r="M88" i="9"/>
  <c r="N88" i="9" s="1"/>
  <c r="M53" i="9"/>
  <c r="N53" i="9" s="1"/>
  <c r="M89" i="9"/>
  <c r="N89" i="9" s="1"/>
  <c r="U67" i="11" l="1"/>
  <c r="U64" i="11"/>
  <c r="U66" i="11"/>
  <c r="U63" i="11"/>
  <c r="U65" i="11"/>
  <c r="H99" i="9"/>
  <c r="M46" i="11"/>
  <c r="H55" i="9"/>
  <c r="S63" i="11"/>
  <c r="H91" i="9"/>
  <c r="V56" i="9"/>
  <c r="V91" i="9" l="1"/>
  <c r="P56" i="9"/>
  <c r="Q56" i="9" s="1"/>
  <c r="P55" i="9"/>
  <c r="Q55" i="9" s="1"/>
  <c r="V55" i="9"/>
  <c r="V99" i="9"/>
  <c r="W56" i="9" l="1"/>
  <c r="X56" i="9" s="1"/>
  <c r="W55" i="9"/>
  <c r="X55" i="9" s="1"/>
  <c r="J56" i="9" l="1"/>
  <c r="M56" i="9" s="1"/>
  <c r="N56" i="9" s="1"/>
  <c r="J55" i="9"/>
  <c r="M55" i="9" s="1"/>
  <c r="N55" i="9" s="1"/>
  <c r="M50" i="11" l="1"/>
  <c r="M52" i="11"/>
  <c r="M54" i="11"/>
  <c r="M47" i="11"/>
  <c r="M49" i="11"/>
  <c r="M51" i="11"/>
  <c r="M55" i="11"/>
  <c r="M48" i="11"/>
  <c r="M53" i="11"/>
  <c r="H74" i="9"/>
  <c r="R47" i="11"/>
  <c r="H58" i="9"/>
  <c r="V58" i="9" l="1"/>
  <c r="X58" i="9" s="1"/>
  <c r="Q58" i="9"/>
  <c r="V74" i="9"/>
  <c r="J58" i="9" l="1"/>
  <c r="M58" i="9" s="1"/>
  <c r="N58" i="9" s="1"/>
  <c r="J57" i="9"/>
  <c r="M57" i="9" s="1"/>
  <c r="N57" i="9" s="1"/>
  <c r="O48" i="11" l="1"/>
  <c r="H59" i="9"/>
  <c r="R48" i="11"/>
  <c r="R49" i="11"/>
  <c r="H62" i="9"/>
  <c r="P62" i="9" l="1"/>
  <c r="Q62" i="9" s="1"/>
  <c r="P61" i="9"/>
  <c r="V62" i="9"/>
  <c r="P59" i="9"/>
  <c r="Q59" i="9" s="1"/>
  <c r="P60" i="9"/>
  <c r="Q60" i="9" s="1"/>
  <c r="V59" i="9"/>
  <c r="W60" i="9" l="1"/>
  <c r="X60" i="9" s="1"/>
  <c r="W59" i="9"/>
  <c r="X59" i="9" s="1"/>
  <c r="W61" i="9"/>
  <c r="W62" i="9"/>
  <c r="X62" i="9" s="1"/>
  <c r="J60" i="9" l="1"/>
  <c r="J59" i="9"/>
  <c r="M59" i="9" s="1"/>
  <c r="N59" i="9" s="1"/>
  <c r="O49" i="11" l="1"/>
  <c r="O50" i="11"/>
  <c r="H63" i="9"/>
  <c r="M60" i="9"/>
  <c r="N60" i="9" s="1"/>
  <c r="N49" i="11" l="1"/>
  <c r="H61" i="9"/>
  <c r="P64" i="9"/>
  <c r="P63" i="9"/>
  <c r="Q63" i="9" s="1"/>
  <c r="V63" i="9"/>
  <c r="W64" i="9" l="1"/>
  <c r="W63" i="9"/>
  <c r="X63" i="9" s="1"/>
  <c r="V61" i="9"/>
  <c r="X61" i="9" s="1"/>
  <c r="Q61" i="9"/>
  <c r="J61" i="9" l="1"/>
  <c r="J62" i="9"/>
  <c r="M62" i="9" s="1"/>
  <c r="N62" i="9" s="1"/>
  <c r="R50" i="11" l="1"/>
  <c r="H64" i="9"/>
  <c r="M61" i="9"/>
  <c r="N61" i="9" s="1"/>
  <c r="N51" i="11" l="1"/>
  <c r="N50" i="11"/>
  <c r="H66" i="9"/>
  <c r="V64" i="9"/>
  <c r="X64" i="9" s="1"/>
  <c r="Q64" i="9"/>
  <c r="J64" i="9" l="1"/>
  <c r="M64" i="9" s="1"/>
  <c r="N64" i="9" s="1"/>
  <c r="J63" i="9"/>
  <c r="M63" i="9" s="1"/>
  <c r="N63" i="9" s="1"/>
  <c r="V66" i="9"/>
  <c r="O51" i="11" l="1"/>
  <c r="H65" i="9"/>
  <c r="R51" i="11"/>
  <c r="R53" i="11"/>
  <c r="R52" i="11"/>
  <c r="R54" i="11"/>
  <c r="H71" i="9"/>
  <c r="P72" i="9" l="1"/>
  <c r="P71" i="9"/>
  <c r="Q71" i="9" s="1"/>
  <c r="V71" i="9"/>
  <c r="P65" i="9"/>
  <c r="Q65" i="9" s="1"/>
  <c r="P66" i="9"/>
  <c r="Q66" i="9" s="1"/>
  <c r="V65" i="9"/>
  <c r="W66" i="9" l="1"/>
  <c r="X66" i="9" s="1"/>
  <c r="W65" i="9"/>
  <c r="X65" i="9" s="1"/>
  <c r="W71" i="9"/>
  <c r="X71" i="9" s="1"/>
  <c r="W72" i="9"/>
  <c r="J66" i="9" l="1"/>
  <c r="J65" i="9"/>
  <c r="M65" i="9" s="1"/>
  <c r="N65" i="9" s="1"/>
  <c r="O52" i="11" l="1"/>
  <c r="O54" i="11"/>
  <c r="O56" i="11"/>
  <c r="O53" i="11"/>
  <c r="O57" i="11"/>
  <c r="O55" i="11"/>
  <c r="H77" i="9"/>
  <c r="M66" i="9"/>
  <c r="N66" i="9" s="1"/>
  <c r="P78" i="9" l="1"/>
  <c r="P77" i="9"/>
  <c r="Q77" i="9" s="1"/>
  <c r="P79" i="9"/>
  <c r="V77" i="9"/>
  <c r="N52" i="11"/>
  <c r="N53" i="11"/>
  <c r="H70" i="9"/>
  <c r="V70" i="9" l="1"/>
  <c r="X70" i="9" s="1"/>
  <c r="Q70" i="9"/>
  <c r="W77" i="9"/>
  <c r="X77" i="9" s="1"/>
  <c r="W79" i="9"/>
  <c r="W78" i="9"/>
  <c r="J70" i="9" l="1"/>
  <c r="J69" i="9"/>
  <c r="M69" i="9" s="1"/>
  <c r="N69" i="9" s="1"/>
  <c r="K54" i="11" l="1"/>
  <c r="H72" i="9"/>
  <c r="M70" i="9"/>
  <c r="N70" i="9" s="1"/>
  <c r="N54" i="11" l="1"/>
  <c r="N56" i="11"/>
  <c r="N58" i="11"/>
  <c r="N57" i="11"/>
  <c r="N55" i="11"/>
  <c r="H80" i="9"/>
  <c r="V72" i="9"/>
  <c r="X72" i="9" s="1"/>
  <c r="Q72" i="9"/>
  <c r="J72" i="9" l="1"/>
  <c r="M72" i="9" s="1"/>
  <c r="N72" i="9" s="1"/>
  <c r="J71" i="9"/>
  <c r="M71" i="9" s="1"/>
  <c r="N71" i="9" s="1"/>
  <c r="P81" i="9"/>
  <c r="Q81" i="9" s="1"/>
  <c r="P80" i="9"/>
  <c r="Q80" i="9" s="1"/>
  <c r="V80" i="9"/>
  <c r="W80" i="9" l="1"/>
  <c r="X80" i="9" s="1"/>
  <c r="W81" i="9"/>
  <c r="X81" i="9" s="1"/>
  <c r="R55" i="11"/>
  <c r="H73" i="9"/>
  <c r="K56" i="11"/>
  <c r="K55" i="11"/>
  <c r="H75" i="9"/>
  <c r="P75" i="9" l="1"/>
  <c r="Q75" i="9" s="1"/>
  <c r="P76" i="9"/>
  <c r="V75" i="9"/>
  <c r="P74" i="9"/>
  <c r="Q74" i="9" s="1"/>
  <c r="P73" i="9"/>
  <c r="Q73" i="9" s="1"/>
  <c r="V73" i="9"/>
  <c r="J81" i="9"/>
  <c r="J80" i="9"/>
  <c r="M80" i="9" s="1"/>
  <c r="N80" i="9" s="1"/>
  <c r="N59" i="11" l="1"/>
  <c r="H83" i="9"/>
  <c r="M81" i="9"/>
  <c r="N81" i="9" s="1"/>
  <c r="W74" i="9"/>
  <c r="X74" i="9" s="1"/>
  <c r="W73" i="9"/>
  <c r="X73" i="9" s="1"/>
  <c r="W76" i="9"/>
  <c r="W75" i="9"/>
  <c r="X75" i="9" s="1"/>
  <c r="J74" i="9" l="1"/>
  <c r="M74" i="9" s="1"/>
  <c r="N74" i="9" s="1"/>
  <c r="J73" i="9"/>
  <c r="M73" i="9" s="1"/>
  <c r="N73" i="9" s="1"/>
  <c r="T60" i="11"/>
  <c r="T59" i="11"/>
  <c r="H85" i="9"/>
  <c r="V83" i="9"/>
  <c r="R56" i="11" l="1"/>
  <c r="R57" i="11"/>
  <c r="H78" i="9"/>
  <c r="V85" i="9"/>
  <c r="M56" i="11"/>
  <c r="H76" i="9"/>
  <c r="V76" i="9" l="1"/>
  <c r="X76" i="9" s="1"/>
  <c r="Q76" i="9"/>
  <c r="V78" i="9"/>
  <c r="X78" i="9" s="1"/>
  <c r="Q78" i="9"/>
  <c r="J76" i="9" l="1"/>
  <c r="M76" i="9" s="1"/>
  <c r="N76" i="9" s="1"/>
  <c r="J75" i="9"/>
  <c r="M75" i="9" s="1"/>
  <c r="N75" i="9" s="1"/>
  <c r="J78" i="9"/>
  <c r="M78" i="9" s="1"/>
  <c r="N78" i="9" s="1"/>
  <c r="K80" i="11" l="1"/>
  <c r="K64" i="11"/>
  <c r="K73" i="11"/>
  <c r="K57" i="11"/>
  <c r="K66" i="11"/>
  <c r="K75" i="11"/>
  <c r="K59" i="11"/>
  <c r="K68" i="11"/>
  <c r="K77" i="11"/>
  <c r="K61" i="11"/>
  <c r="K70" i="11"/>
  <c r="K79" i="11"/>
  <c r="K63" i="11"/>
  <c r="K72" i="11"/>
  <c r="K65" i="11"/>
  <c r="K74" i="11"/>
  <c r="K58" i="11"/>
  <c r="K67" i="11"/>
  <c r="K76" i="11"/>
  <c r="K69" i="11"/>
  <c r="K78" i="11"/>
  <c r="K62" i="11"/>
  <c r="K71" i="11"/>
  <c r="K60" i="11"/>
  <c r="H125" i="9"/>
  <c r="R63" i="11"/>
  <c r="R58" i="11"/>
  <c r="R60" i="11"/>
  <c r="R62" i="11"/>
  <c r="R61" i="11"/>
  <c r="R59" i="11"/>
  <c r="H90" i="9"/>
  <c r="M57" i="11"/>
  <c r="H79" i="9"/>
  <c r="V125" i="9" l="1"/>
  <c r="P90" i="9"/>
  <c r="Q90" i="9" s="1"/>
  <c r="P91" i="9"/>
  <c r="Q91" i="9" s="1"/>
  <c r="V90" i="9"/>
  <c r="V79" i="9"/>
  <c r="X79" i="9" s="1"/>
  <c r="Q79" i="9"/>
  <c r="J79" i="9" l="1"/>
  <c r="M79" i="9" s="1"/>
  <c r="N79" i="9" s="1"/>
  <c r="J77" i="9"/>
  <c r="M77" i="9" s="1"/>
  <c r="N77" i="9" s="1"/>
  <c r="W90" i="9"/>
  <c r="X90" i="9" s="1"/>
  <c r="W91" i="9"/>
  <c r="X91" i="9" s="1"/>
  <c r="J91" i="9" l="1"/>
  <c r="J90" i="9"/>
  <c r="M90" i="9" s="1"/>
  <c r="N90" i="9" s="1"/>
  <c r="O58" i="11"/>
  <c r="O59" i="11"/>
  <c r="H82" i="9"/>
  <c r="M82" i="11"/>
  <c r="M66" i="11"/>
  <c r="M75" i="11"/>
  <c r="M59" i="11"/>
  <c r="M84" i="11"/>
  <c r="M68" i="11"/>
  <c r="M77" i="11"/>
  <c r="M61" i="11"/>
  <c r="M86" i="11"/>
  <c r="M70" i="11"/>
  <c r="M79" i="11"/>
  <c r="M63" i="11"/>
  <c r="M72" i="11"/>
  <c r="M81" i="11"/>
  <c r="M65" i="11"/>
  <c r="M74" i="11"/>
  <c r="M58" i="11"/>
  <c r="M83" i="11"/>
  <c r="M67" i="11"/>
  <c r="M76" i="11"/>
  <c r="M60" i="11"/>
  <c r="M85" i="11"/>
  <c r="M69" i="11"/>
  <c r="M78" i="11"/>
  <c r="M62" i="11"/>
  <c r="M87" i="11"/>
  <c r="M71" i="11"/>
  <c r="M80" i="11"/>
  <c r="M64" i="11"/>
  <c r="M73" i="11"/>
  <c r="H138" i="9"/>
  <c r="P83" i="9" l="1"/>
  <c r="Q83" i="9" s="1"/>
  <c r="P82" i="9"/>
  <c r="Q82" i="9" s="1"/>
  <c r="V82" i="9"/>
  <c r="R64" i="11"/>
  <c r="H92" i="9"/>
  <c r="P138" i="9"/>
  <c r="Q138" i="9" s="1"/>
  <c r="P139" i="9"/>
  <c r="V138" i="9"/>
  <c r="M91" i="9"/>
  <c r="N91" i="9" s="1"/>
  <c r="W139" i="9" l="1"/>
  <c r="W138" i="9"/>
  <c r="X138" i="9" s="1"/>
  <c r="V92" i="9"/>
  <c r="W83" i="9"/>
  <c r="X83" i="9" s="1"/>
  <c r="W82" i="9"/>
  <c r="X82" i="9" s="1"/>
  <c r="S65" i="11"/>
  <c r="S64" i="11"/>
  <c r="H95" i="9"/>
  <c r="V95" i="9" l="1"/>
  <c r="J83" i="9"/>
  <c r="M83" i="9" s="1"/>
  <c r="N83" i="9" s="1"/>
  <c r="J82" i="9"/>
  <c r="M82" i="9" s="1"/>
  <c r="N82" i="9" s="1"/>
  <c r="O60" i="11" l="1"/>
  <c r="H84" i="9"/>
  <c r="N75" i="11"/>
  <c r="N68" i="11"/>
  <c r="N77" i="11"/>
  <c r="N61" i="11"/>
  <c r="N70" i="11"/>
  <c r="N79" i="11"/>
  <c r="N63" i="11"/>
  <c r="N72" i="11"/>
  <c r="N65" i="11"/>
  <c r="N74" i="11"/>
  <c r="N67" i="11"/>
  <c r="N76" i="11"/>
  <c r="N60" i="11"/>
  <c r="N69" i="11"/>
  <c r="N78" i="11"/>
  <c r="N71" i="11"/>
  <c r="N80" i="11"/>
  <c r="N64" i="11"/>
  <c r="N73" i="11"/>
  <c r="N66" i="11"/>
  <c r="N62" i="11"/>
  <c r="H124" i="9"/>
  <c r="P125" i="9" l="1"/>
  <c r="Q125" i="9" s="1"/>
  <c r="P124" i="9"/>
  <c r="Q124" i="9" s="1"/>
  <c r="V124" i="9"/>
  <c r="P84" i="9"/>
  <c r="Q84" i="9" s="1"/>
  <c r="P85" i="9"/>
  <c r="Q85" i="9" s="1"/>
  <c r="V84" i="9"/>
  <c r="W85" i="9" l="1"/>
  <c r="X85" i="9" s="1"/>
  <c r="W84" i="9"/>
  <c r="X84" i="9" s="1"/>
  <c r="W124" i="9"/>
  <c r="X124" i="9" s="1"/>
  <c r="W125" i="9"/>
  <c r="X125" i="9" s="1"/>
  <c r="J125" i="9" l="1"/>
  <c r="M125" i="9" s="1"/>
  <c r="N125" i="9" s="1"/>
  <c r="J124" i="9"/>
  <c r="M124" i="9" s="1"/>
  <c r="N124" i="9" s="1"/>
  <c r="J85" i="9"/>
  <c r="J84" i="9"/>
  <c r="M84" i="9" s="1"/>
  <c r="N84" i="9" s="1"/>
  <c r="M85" i="9" l="1"/>
  <c r="N85" i="9" s="1"/>
  <c r="N84" i="11"/>
  <c r="N81" i="11"/>
  <c r="N83" i="11"/>
  <c r="N85" i="11"/>
  <c r="N82" i="11"/>
  <c r="H135" i="9"/>
  <c r="O61" i="11"/>
  <c r="O63" i="11"/>
  <c r="O62" i="11"/>
  <c r="O64" i="11"/>
  <c r="H93" i="9"/>
  <c r="K82" i="11"/>
  <c r="K81" i="11"/>
  <c r="H129" i="9"/>
  <c r="V129" i="9" l="1"/>
  <c r="X129" i="9" s="1"/>
  <c r="Q129" i="9"/>
  <c r="P93" i="9"/>
  <c r="Q93" i="9" s="1"/>
  <c r="P92" i="9"/>
  <c r="Q92" i="9" s="1"/>
  <c r="V93" i="9"/>
  <c r="V135" i="9"/>
  <c r="T81" i="11"/>
  <c r="T65" i="11"/>
  <c r="T74" i="11"/>
  <c r="T83" i="11"/>
  <c r="T67" i="11"/>
  <c r="T76" i="11"/>
  <c r="T69" i="11"/>
  <c r="T78" i="11"/>
  <c r="T62" i="11"/>
  <c r="T71" i="11"/>
  <c r="T80" i="11"/>
  <c r="T64" i="11"/>
  <c r="T73" i="11"/>
  <c r="T82" i="11"/>
  <c r="T66" i="11"/>
  <c r="T75" i="11"/>
  <c r="T68" i="11"/>
  <c r="T77" i="11"/>
  <c r="T70" i="11"/>
  <c r="T79" i="11"/>
  <c r="T63" i="11"/>
  <c r="T72" i="11"/>
  <c r="T61" i="11"/>
  <c r="H131" i="9"/>
  <c r="W93" i="9" l="1"/>
  <c r="X93" i="9" s="1"/>
  <c r="W92" i="9"/>
  <c r="X92" i="9" s="1"/>
  <c r="J128" i="9"/>
  <c r="J129" i="9"/>
  <c r="M129" i="9" s="1"/>
  <c r="N129" i="9" s="1"/>
  <c r="V131" i="9"/>
  <c r="K93" i="11" l="1"/>
  <c r="K95" i="11"/>
  <c r="K94" i="11"/>
  <c r="K89" i="11"/>
  <c r="K91" i="11"/>
  <c r="K84" i="11"/>
  <c r="K86" i="11"/>
  <c r="K88" i="11"/>
  <c r="K90" i="11"/>
  <c r="K83" i="11"/>
  <c r="K92" i="11"/>
  <c r="K85" i="11"/>
  <c r="K87" i="11"/>
  <c r="H163" i="9"/>
  <c r="M128" i="9"/>
  <c r="N128" i="9" s="1"/>
  <c r="J93" i="9"/>
  <c r="M93" i="9" s="1"/>
  <c r="N93" i="9" s="1"/>
  <c r="J92" i="9"/>
  <c r="M92" i="9" s="1"/>
  <c r="N92" i="9" s="1"/>
  <c r="V163" i="9" l="1"/>
  <c r="Q86" i="11"/>
  <c r="Q83" i="11"/>
  <c r="Q85" i="11"/>
  <c r="Q84" i="11"/>
  <c r="H136" i="9"/>
  <c r="R65" i="11"/>
  <c r="R67" i="11"/>
  <c r="R69" i="11"/>
  <c r="R68" i="11"/>
  <c r="R70" i="11"/>
  <c r="R66" i="11"/>
  <c r="H104" i="9"/>
  <c r="O65" i="11"/>
  <c r="H94" i="9"/>
  <c r="P95" i="9" l="1"/>
  <c r="Q95" i="9" s="1"/>
  <c r="P94" i="9"/>
  <c r="Q94" i="9" s="1"/>
  <c r="V94" i="9"/>
  <c r="P105" i="9"/>
  <c r="P104" i="9"/>
  <c r="Q104" i="9" s="1"/>
  <c r="V104" i="9"/>
  <c r="P136" i="9"/>
  <c r="Q136" i="9" s="1"/>
  <c r="P137" i="9"/>
  <c r="V136" i="9"/>
  <c r="W137" i="9" l="1"/>
  <c r="W136" i="9"/>
  <c r="X136" i="9" s="1"/>
  <c r="W105" i="9"/>
  <c r="W104" i="9"/>
  <c r="X104" i="9" s="1"/>
  <c r="W95" i="9"/>
  <c r="X95" i="9" s="1"/>
  <c r="W94" i="9"/>
  <c r="X94" i="9" s="1"/>
  <c r="J95" i="9" l="1"/>
  <c r="J94" i="9"/>
  <c r="M94" i="9" s="1"/>
  <c r="N94" i="9" s="1"/>
  <c r="O66" i="11" l="1"/>
  <c r="H96" i="9"/>
  <c r="M95" i="9"/>
  <c r="N95" i="9" s="1"/>
  <c r="S66" i="11" l="1"/>
  <c r="H97" i="9"/>
  <c r="V96" i="9"/>
  <c r="P97" i="9" l="1"/>
  <c r="Q97" i="9" s="1"/>
  <c r="P96" i="9"/>
  <c r="Q96" i="9" s="1"/>
  <c r="V97" i="9"/>
  <c r="W97" i="9" l="1"/>
  <c r="X97" i="9" s="1"/>
  <c r="W96" i="9"/>
  <c r="X96" i="9" s="1"/>
  <c r="J97" i="9" l="1"/>
  <c r="J96" i="9"/>
  <c r="M96" i="9" s="1"/>
  <c r="N96" i="9" s="1"/>
  <c r="O67" i="11" l="1"/>
  <c r="H98" i="9"/>
  <c r="M97" i="9"/>
  <c r="N97" i="9" s="1"/>
  <c r="S72" i="11" l="1"/>
  <c r="S67" i="11"/>
  <c r="S69" i="11"/>
  <c r="S71" i="11"/>
  <c r="S73" i="11"/>
  <c r="S68" i="11"/>
  <c r="S70" i="11"/>
  <c r="H110" i="9"/>
  <c r="P99" i="9"/>
  <c r="Q99" i="9" s="1"/>
  <c r="P98" i="9"/>
  <c r="Q98" i="9" s="1"/>
  <c r="V98" i="9"/>
  <c r="W99" i="9" l="1"/>
  <c r="X99" i="9" s="1"/>
  <c r="W98" i="9"/>
  <c r="X98" i="9" s="1"/>
  <c r="P111" i="9"/>
  <c r="P110" i="9"/>
  <c r="Q110" i="9" s="1"/>
  <c r="V110" i="9"/>
  <c r="W111" i="9" l="1"/>
  <c r="W110" i="9"/>
  <c r="X110" i="9" s="1"/>
  <c r="J99" i="9"/>
  <c r="M99" i="9" s="1"/>
  <c r="N99" i="9" s="1"/>
  <c r="J98" i="9"/>
  <c r="M98" i="9" s="1"/>
  <c r="N98" i="9" s="1"/>
  <c r="U68" i="11" l="1"/>
  <c r="H101" i="9"/>
  <c r="O68" i="11"/>
  <c r="H100" i="9"/>
  <c r="P100" i="9" l="1"/>
  <c r="Q100" i="9" s="1"/>
  <c r="P101" i="9"/>
  <c r="Q101" i="9" s="1"/>
  <c r="V100" i="9"/>
  <c r="V101" i="9"/>
  <c r="W101" i="9" l="1"/>
  <c r="X101" i="9" s="1"/>
  <c r="W100" i="9"/>
  <c r="X100" i="9" s="1"/>
  <c r="J101" i="9" l="1"/>
  <c r="M101" i="9" s="1"/>
  <c r="N101" i="9" s="1"/>
  <c r="J100" i="9"/>
  <c r="M100" i="9" s="1"/>
  <c r="N100" i="9" s="1"/>
  <c r="O69" i="11" l="1"/>
  <c r="H102" i="9"/>
  <c r="U69" i="11"/>
  <c r="H103" i="9"/>
  <c r="P102" i="9" l="1"/>
  <c r="Q102" i="9" s="1"/>
  <c r="P103" i="9"/>
  <c r="Q103" i="9" s="1"/>
  <c r="V103" i="9"/>
  <c r="V102" i="9"/>
  <c r="W102" i="9" l="1"/>
  <c r="X102" i="9" s="1"/>
  <c r="W103" i="9"/>
  <c r="X103" i="9" s="1"/>
  <c r="J103" i="9" l="1"/>
  <c r="M103" i="9" s="1"/>
  <c r="N103" i="9" s="1"/>
  <c r="J102" i="9"/>
  <c r="M102" i="9" s="1"/>
  <c r="N102" i="9" s="1"/>
  <c r="O77" i="11" l="1"/>
  <c r="O70" i="11"/>
  <c r="O79" i="11"/>
  <c r="O72" i="11"/>
  <c r="O74" i="11"/>
  <c r="O76" i="11"/>
  <c r="O78" i="11"/>
  <c r="O71" i="11"/>
  <c r="O73" i="11"/>
  <c r="O75" i="11"/>
  <c r="H123" i="9"/>
  <c r="U70" i="11"/>
  <c r="H105" i="9"/>
  <c r="V105" i="9" l="1"/>
  <c r="X105" i="9" s="1"/>
  <c r="Q105" i="9"/>
  <c r="V123" i="9"/>
  <c r="J105" i="9" l="1"/>
  <c r="M105" i="9" s="1"/>
  <c r="N105" i="9" s="1"/>
  <c r="J104" i="9"/>
  <c r="M104" i="9" s="1"/>
  <c r="N104" i="9" s="1"/>
  <c r="R71" i="11" l="1"/>
  <c r="H106" i="9"/>
  <c r="U71" i="11"/>
  <c r="H107" i="9"/>
  <c r="V107" i="9" l="1"/>
  <c r="P107" i="9"/>
  <c r="Q107" i="9" s="1"/>
  <c r="P106" i="9"/>
  <c r="Q106" i="9" s="1"/>
  <c r="V106" i="9"/>
  <c r="W106" i="9" l="1"/>
  <c r="X106" i="9" s="1"/>
  <c r="W107" i="9"/>
  <c r="X107" i="9" s="1"/>
  <c r="J107" i="9" l="1"/>
  <c r="M107" i="9" s="1"/>
  <c r="N107" i="9" s="1"/>
  <c r="J106" i="9"/>
  <c r="M106" i="9" s="1"/>
  <c r="N106" i="9" s="1"/>
  <c r="R72" i="11" l="1"/>
  <c r="H108" i="9"/>
  <c r="U72" i="11"/>
  <c r="H109" i="9"/>
  <c r="P109" i="9" l="1"/>
  <c r="Q109" i="9" s="1"/>
  <c r="P108" i="9"/>
  <c r="Q108" i="9" s="1"/>
  <c r="V109" i="9"/>
  <c r="V108" i="9"/>
  <c r="W109" i="9" l="1"/>
  <c r="X109" i="9" s="1"/>
  <c r="W108" i="9"/>
  <c r="X108" i="9" s="1"/>
  <c r="J109" i="9" l="1"/>
  <c r="M109" i="9" s="1"/>
  <c r="N109" i="9" s="1"/>
  <c r="J108" i="9"/>
  <c r="M108" i="9" s="1"/>
  <c r="N108" i="9" s="1"/>
  <c r="R79" i="11" l="1"/>
  <c r="R81" i="11"/>
  <c r="R74" i="11"/>
  <c r="R76" i="11"/>
  <c r="R78" i="11"/>
  <c r="R80" i="11"/>
  <c r="R73" i="11"/>
  <c r="R75" i="11"/>
  <c r="R77" i="11"/>
  <c r="H127" i="9"/>
  <c r="U73" i="11"/>
  <c r="H111" i="9"/>
  <c r="V111" i="9" l="1"/>
  <c r="X111" i="9" s="1"/>
  <c r="Q111" i="9"/>
  <c r="V127" i="9"/>
  <c r="J111" i="9" l="1"/>
  <c r="M111" i="9" s="1"/>
  <c r="N111" i="9" s="1"/>
  <c r="J110" i="9"/>
  <c r="M110" i="9" s="1"/>
  <c r="N110" i="9" s="1"/>
  <c r="S74" i="11" l="1"/>
  <c r="H112" i="9"/>
  <c r="U74" i="11"/>
  <c r="H113" i="9"/>
  <c r="V113" i="9" l="1"/>
  <c r="P113" i="9"/>
  <c r="Q113" i="9" s="1"/>
  <c r="P112" i="9"/>
  <c r="Q112" i="9" s="1"/>
  <c r="V112" i="9"/>
  <c r="W112" i="9" l="1"/>
  <c r="X112" i="9" s="1"/>
  <c r="W113" i="9"/>
  <c r="X113" i="9" s="1"/>
  <c r="J113" i="9" l="1"/>
  <c r="M113" i="9" s="1"/>
  <c r="N113" i="9" s="1"/>
  <c r="J112" i="9"/>
  <c r="M112" i="9" s="1"/>
  <c r="N112" i="9" s="1"/>
  <c r="S75" i="11" l="1"/>
  <c r="H114" i="9"/>
  <c r="U75" i="11"/>
  <c r="H115" i="9"/>
  <c r="V115" i="9" l="1"/>
  <c r="P115" i="9"/>
  <c r="Q115" i="9" s="1"/>
  <c r="P114" i="9"/>
  <c r="Q114" i="9" s="1"/>
  <c r="V114" i="9"/>
  <c r="W115" i="9" l="1"/>
  <c r="X115" i="9" s="1"/>
  <c r="W114" i="9"/>
  <c r="X114" i="9" s="1"/>
  <c r="J115" i="9" l="1"/>
  <c r="M115" i="9" s="1"/>
  <c r="N115" i="9" s="1"/>
  <c r="J114" i="9"/>
  <c r="M114" i="9" s="1"/>
  <c r="N114" i="9" s="1"/>
  <c r="S76" i="11" l="1"/>
  <c r="H117" i="9"/>
  <c r="U76" i="11"/>
  <c r="H116" i="9"/>
  <c r="P117" i="9" l="1"/>
  <c r="Q117" i="9" s="1"/>
  <c r="P116" i="9"/>
  <c r="Q116" i="9" s="1"/>
  <c r="V116" i="9"/>
  <c r="V117" i="9"/>
  <c r="W117" i="9" l="1"/>
  <c r="X117" i="9" s="1"/>
  <c r="W116" i="9"/>
  <c r="X116" i="9" s="1"/>
  <c r="J117" i="9" l="1"/>
  <c r="M117" i="9" s="1"/>
  <c r="N117" i="9" s="1"/>
  <c r="J116" i="9"/>
  <c r="M116" i="9" s="1"/>
  <c r="N116" i="9" s="1"/>
  <c r="U77" i="11" l="1"/>
  <c r="H118" i="9"/>
  <c r="S81" i="11"/>
  <c r="S78" i="11"/>
  <c r="S80" i="11"/>
  <c r="S77" i="11"/>
  <c r="S79" i="11"/>
  <c r="H126" i="9"/>
  <c r="P127" i="9" l="1"/>
  <c r="Q127" i="9" s="1"/>
  <c r="P126" i="9"/>
  <c r="Q126" i="9" s="1"/>
  <c r="V126" i="9"/>
  <c r="P119" i="9"/>
  <c r="Q119" i="9" s="1"/>
  <c r="P118" i="9"/>
  <c r="Q118" i="9" s="1"/>
  <c r="V118" i="9"/>
  <c r="W118" i="9" l="1"/>
  <c r="X118" i="9" s="1"/>
  <c r="W119" i="9"/>
  <c r="X119" i="9" s="1"/>
  <c r="W127" i="9"/>
  <c r="X127" i="9" s="1"/>
  <c r="W126" i="9"/>
  <c r="X126" i="9" s="1"/>
  <c r="J126" i="9" l="1"/>
  <c r="M126" i="9" s="1"/>
  <c r="N126" i="9" s="1"/>
  <c r="J127" i="9"/>
  <c r="M127" i="9" s="1"/>
  <c r="N127" i="9" s="1"/>
  <c r="J119" i="9"/>
  <c r="J118" i="9"/>
  <c r="M118" i="9" s="1"/>
  <c r="N118" i="9" s="1"/>
  <c r="U78" i="11" l="1"/>
  <c r="H121" i="9"/>
  <c r="M119" i="9"/>
  <c r="N119" i="9" s="1"/>
  <c r="R88" i="11"/>
  <c r="R90" i="11"/>
  <c r="R83" i="11"/>
  <c r="R92" i="11"/>
  <c r="R85" i="11"/>
  <c r="R87" i="11"/>
  <c r="R89" i="11"/>
  <c r="R82" i="11"/>
  <c r="R91" i="11"/>
  <c r="R84" i="11"/>
  <c r="R86" i="11"/>
  <c r="H151" i="9"/>
  <c r="S83" i="11"/>
  <c r="S85" i="11"/>
  <c r="S82" i="11"/>
  <c r="S84" i="11"/>
  <c r="H134" i="9"/>
  <c r="V151" i="9" l="1"/>
  <c r="P135" i="9"/>
  <c r="Q135" i="9" s="1"/>
  <c r="P134" i="9"/>
  <c r="Q134" i="9" s="1"/>
  <c r="V134" i="9"/>
  <c r="L82" i="11"/>
  <c r="L79" i="11"/>
  <c r="L81" i="11"/>
  <c r="L83" i="11"/>
  <c r="L78" i="11"/>
  <c r="L80" i="11"/>
  <c r="H130" i="9"/>
  <c r="P121" i="9"/>
  <c r="Q121" i="9" s="1"/>
  <c r="P120" i="9"/>
  <c r="Q120" i="9" s="1"/>
  <c r="V121" i="9"/>
  <c r="P131" i="9" l="1"/>
  <c r="Q131" i="9" s="1"/>
  <c r="P130" i="9"/>
  <c r="Q130" i="9" s="1"/>
  <c r="V130" i="9"/>
  <c r="W135" i="9"/>
  <c r="X135" i="9" s="1"/>
  <c r="W134" i="9"/>
  <c r="X134" i="9" s="1"/>
  <c r="W121" i="9"/>
  <c r="X121" i="9" s="1"/>
  <c r="W120" i="9"/>
  <c r="X120" i="9" s="1"/>
  <c r="J121" i="9" l="1"/>
  <c r="M121" i="9" s="1"/>
  <c r="N121" i="9" s="1"/>
  <c r="J120" i="9"/>
  <c r="M120" i="9" s="1"/>
  <c r="N120" i="9" s="1"/>
  <c r="J135" i="9"/>
  <c r="M135" i="9" s="1"/>
  <c r="N135" i="9" s="1"/>
  <c r="J134" i="9"/>
  <c r="M134" i="9" s="1"/>
  <c r="N134" i="9" s="1"/>
  <c r="W131" i="9"/>
  <c r="X131" i="9" s="1"/>
  <c r="W130" i="9"/>
  <c r="X130" i="9" s="1"/>
  <c r="J130" i="9" l="1"/>
  <c r="J131" i="9"/>
  <c r="M131" i="9" s="1"/>
  <c r="N131" i="9" s="1"/>
  <c r="N94" i="11"/>
  <c r="N91" i="11"/>
  <c r="N93" i="11"/>
  <c r="N86" i="11"/>
  <c r="N88" i="11"/>
  <c r="N90" i="11"/>
  <c r="N92" i="11"/>
  <c r="N87" i="11"/>
  <c r="N89" i="11"/>
  <c r="H158" i="9"/>
  <c r="S88" i="11"/>
  <c r="S90" i="11"/>
  <c r="S92" i="11"/>
  <c r="S87" i="11"/>
  <c r="S89" i="11"/>
  <c r="S91" i="11"/>
  <c r="S86" i="11"/>
  <c r="H150" i="9"/>
  <c r="P79" i="11"/>
  <c r="H122" i="9"/>
  <c r="U83" i="11"/>
  <c r="U80" i="11"/>
  <c r="U82" i="11"/>
  <c r="U84" i="11"/>
  <c r="U79" i="11"/>
  <c r="U81" i="11"/>
  <c r="H132" i="9"/>
  <c r="V158" i="9" l="1"/>
  <c r="P123" i="9"/>
  <c r="Q123" i="9" s="1"/>
  <c r="P122" i="9"/>
  <c r="Q122" i="9" s="1"/>
  <c r="V122" i="9"/>
  <c r="V150" i="9"/>
  <c r="T85" i="11"/>
  <c r="T87" i="11"/>
  <c r="T84" i="11"/>
  <c r="T86" i="11"/>
  <c r="H139" i="9"/>
  <c r="P133" i="9"/>
  <c r="P132" i="9"/>
  <c r="Q132" i="9" s="1"/>
  <c r="V132" i="9"/>
  <c r="M130" i="9"/>
  <c r="N130" i="9" s="1"/>
  <c r="W123" i="9" l="1"/>
  <c r="X123" i="9" s="1"/>
  <c r="W122" i="9"/>
  <c r="X122" i="9" s="1"/>
  <c r="V139" i="9"/>
  <c r="X139" i="9" s="1"/>
  <c r="Q139" i="9"/>
  <c r="L96" i="11"/>
  <c r="L89" i="11"/>
  <c r="L94" i="11"/>
  <c r="L91" i="11"/>
  <c r="L84" i="11"/>
  <c r="L95" i="11"/>
  <c r="L93" i="11"/>
  <c r="L86" i="11"/>
  <c r="L88" i="11"/>
  <c r="L90" i="11"/>
  <c r="L92" i="11"/>
  <c r="L85" i="11"/>
  <c r="L87" i="11"/>
  <c r="H164" i="9"/>
  <c r="W133" i="9"/>
  <c r="W132" i="9"/>
  <c r="X132" i="9" s="1"/>
  <c r="J139" i="9" l="1"/>
  <c r="M139" i="9" s="1"/>
  <c r="N139" i="9" s="1"/>
  <c r="J138" i="9"/>
  <c r="M138" i="9" s="1"/>
  <c r="N138" i="9" s="1"/>
  <c r="M162" i="11" s="1"/>
  <c r="P166" i="9"/>
  <c r="P165" i="9"/>
  <c r="Q165" i="9" s="1"/>
  <c r="P164" i="9"/>
  <c r="Q164" i="9" s="1"/>
  <c r="P167" i="9"/>
  <c r="V164" i="9"/>
  <c r="J123" i="9"/>
  <c r="M123" i="9" s="1"/>
  <c r="N123" i="9" s="1"/>
  <c r="J122" i="9"/>
  <c r="M122" i="9" s="1"/>
  <c r="N122" i="9" s="1"/>
  <c r="M160" i="11" l="1"/>
  <c r="M161" i="11"/>
  <c r="M158" i="11"/>
  <c r="M159" i="11"/>
  <c r="M156" i="11"/>
  <c r="M157" i="11"/>
  <c r="M153" i="11"/>
  <c r="M154" i="11"/>
  <c r="M155" i="11"/>
  <c r="M151" i="11"/>
  <c r="M152" i="11"/>
  <c r="O84" i="11"/>
  <c r="O86" i="11"/>
  <c r="O88" i="11"/>
  <c r="O81" i="11"/>
  <c r="O90" i="11"/>
  <c r="O83" i="11"/>
  <c r="O92" i="11"/>
  <c r="O85" i="11"/>
  <c r="O87" i="11"/>
  <c r="O80" i="11"/>
  <c r="O89" i="11"/>
  <c r="O82" i="11"/>
  <c r="O91" i="11"/>
  <c r="H149" i="9"/>
  <c r="P81" i="11"/>
  <c r="P83" i="11"/>
  <c r="P80" i="11"/>
  <c r="P82" i="11"/>
  <c r="P84" i="11"/>
  <c r="H133" i="9"/>
  <c r="W165" i="9"/>
  <c r="X165" i="9" s="1"/>
  <c r="W167" i="9"/>
  <c r="W164" i="9"/>
  <c r="X164" i="9" s="1"/>
  <c r="W166" i="9"/>
  <c r="M150" i="11"/>
  <c r="M145" i="11"/>
  <c r="B4" i="12"/>
  <c r="M144" i="11"/>
  <c r="M146" i="11"/>
  <c r="M148" i="11"/>
  <c r="M143" i="11"/>
  <c r="M127" i="11"/>
  <c r="M111" i="11"/>
  <c r="M95" i="11"/>
  <c r="M136" i="11"/>
  <c r="M120" i="11"/>
  <c r="M129" i="11"/>
  <c r="M113" i="11"/>
  <c r="M97" i="11"/>
  <c r="M138" i="11"/>
  <c r="M122" i="11"/>
  <c r="M106" i="11"/>
  <c r="M131" i="11"/>
  <c r="M115" i="11"/>
  <c r="M99" i="11"/>
  <c r="M147" i="11"/>
  <c r="M140" i="11"/>
  <c r="M124" i="11"/>
  <c r="M108" i="11"/>
  <c r="M133" i="11"/>
  <c r="M117" i="11"/>
  <c r="M101" i="11"/>
  <c r="M142" i="11"/>
  <c r="M126" i="11"/>
  <c r="M110" i="11"/>
  <c r="M135" i="11"/>
  <c r="M119" i="11"/>
  <c r="M103" i="11"/>
  <c r="M128" i="11"/>
  <c r="M112" i="11"/>
  <c r="M96" i="11"/>
  <c r="M137" i="11"/>
  <c r="M121" i="11"/>
  <c r="M105" i="11"/>
  <c r="M130" i="11"/>
  <c r="M139" i="11"/>
  <c r="M132" i="11"/>
  <c r="M116" i="11"/>
  <c r="M141" i="11"/>
  <c r="M125" i="11"/>
  <c r="M109" i="11"/>
  <c r="M149" i="11"/>
  <c r="M134" i="11"/>
  <c r="M98" i="11"/>
  <c r="M94" i="11"/>
  <c r="M91" i="11"/>
  <c r="M107" i="11"/>
  <c r="M104" i="11"/>
  <c r="M93" i="11"/>
  <c r="M114" i="11"/>
  <c r="M88" i="11"/>
  <c r="M102" i="11"/>
  <c r="M118" i="11"/>
  <c r="M90" i="11"/>
  <c r="M92" i="11"/>
  <c r="M100" i="11"/>
  <c r="M123" i="11"/>
  <c r="M89" i="11"/>
  <c r="J9" i="11"/>
  <c r="T88" i="11"/>
  <c r="H140" i="9"/>
  <c r="V149" i="9" l="1"/>
  <c r="F2" i="12"/>
  <c r="B9" i="11"/>
  <c r="F84" i="6"/>
  <c r="S84" i="6" s="1"/>
  <c r="P141" i="9"/>
  <c r="P140" i="9"/>
  <c r="Q140" i="9" s="1"/>
  <c r="V140" i="9"/>
  <c r="V133" i="9"/>
  <c r="X133" i="9" s="1"/>
  <c r="Q133" i="9"/>
  <c r="J132" i="9" l="1"/>
  <c r="M132" i="9" s="1"/>
  <c r="N132" i="9" s="1"/>
  <c r="J133" i="9"/>
  <c r="M133" i="9" s="1"/>
  <c r="N133" i="9" s="1"/>
  <c r="S9" i="11"/>
  <c r="W140" i="9"/>
  <c r="X140" i="9" s="1"/>
  <c r="W141" i="9"/>
  <c r="W9" i="11" l="1"/>
  <c r="P86" i="11"/>
  <c r="P88" i="11"/>
  <c r="P90" i="11"/>
  <c r="P92" i="11"/>
  <c r="P85" i="11"/>
  <c r="P87" i="11"/>
  <c r="P89" i="11"/>
  <c r="P91" i="11"/>
  <c r="H148" i="9"/>
  <c r="U85" i="11"/>
  <c r="U86" i="11"/>
  <c r="H137" i="9"/>
  <c r="V137" i="9" l="1"/>
  <c r="X137" i="9" s="1"/>
  <c r="Q137" i="9"/>
  <c r="P150" i="9"/>
  <c r="Q150" i="9" s="1"/>
  <c r="P151" i="9"/>
  <c r="Q151" i="9" s="1"/>
  <c r="P149" i="9"/>
  <c r="Q149" i="9" s="1"/>
  <c r="P148" i="9"/>
  <c r="Q148" i="9" s="1"/>
  <c r="V148" i="9"/>
  <c r="W149" i="9" l="1"/>
  <c r="X149" i="9" s="1"/>
  <c r="W151" i="9"/>
  <c r="X151" i="9" s="1"/>
  <c r="J151" i="9" s="1"/>
  <c r="M151" i="9" s="1"/>
  <c r="N151" i="9" s="1"/>
  <c r="W150" i="9"/>
  <c r="X150" i="9" s="1"/>
  <c r="W148" i="9"/>
  <c r="X148" i="9" s="1"/>
  <c r="J137" i="9"/>
  <c r="M137" i="9" s="1"/>
  <c r="N137" i="9" s="1"/>
  <c r="J136" i="9"/>
  <c r="M136" i="9" l="1"/>
  <c r="N136" i="9" s="1"/>
  <c r="U87" i="11"/>
  <c r="U88" i="11"/>
  <c r="H141" i="9"/>
  <c r="J148" i="9"/>
  <c r="M148" i="9" s="1"/>
  <c r="N148" i="9" s="1"/>
  <c r="J149" i="9"/>
  <c r="M149" i="9" s="1"/>
  <c r="N149" i="9" s="1"/>
  <c r="J150" i="9"/>
  <c r="M150" i="9" s="1"/>
  <c r="N150" i="9" s="1"/>
  <c r="R94" i="11"/>
  <c r="R96" i="11"/>
  <c r="R98" i="11"/>
  <c r="R93" i="11"/>
  <c r="R95" i="11"/>
  <c r="R97" i="11"/>
  <c r="H173" i="9"/>
  <c r="V173" i="9" l="1"/>
  <c r="S96" i="11"/>
  <c r="S98" i="11"/>
  <c r="S95" i="11"/>
  <c r="S94" i="11"/>
  <c r="S97" i="11"/>
  <c r="S93" i="11"/>
  <c r="H172" i="9"/>
  <c r="O93" i="11"/>
  <c r="H155" i="9"/>
  <c r="P93" i="11"/>
  <c r="H154" i="9"/>
  <c r="V141" i="9"/>
  <c r="X141" i="9" s="1"/>
  <c r="Q141" i="9"/>
  <c r="Q88" i="11"/>
  <c r="Q87" i="11"/>
  <c r="Q89" i="11"/>
  <c r="H142" i="9"/>
  <c r="J141" i="9" l="1"/>
  <c r="M141" i="9" s="1"/>
  <c r="N141" i="9" s="1"/>
  <c r="J140" i="9"/>
  <c r="M140" i="9" s="1"/>
  <c r="N140" i="9" s="1"/>
  <c r="P143" i="9"/>
  <c r="P142" i="9"/>
  <c r="Q142" i="9" s="1"/>
  <c r="V142" i="9"/>
  <c r="V154" i="9"/>
  <c r="V155" i="9"/>
  <c r="P173" i="9"/>
  <c r="Q173" i="9" s="1"/>
  <c r="P175" i="9"/>
  <c r="P172" i="9"/>
  <c r="Q172" i="9" s="1"/>
  <c r="P174" i="9"/>
  <c r="V172" i="9"/>
  <c r="W175" i="9" l="1"/>
  <c r="W172" i="9"/>
  <c r="X172" i="9" s="1"/>
  <c r="W174" i="9"/>
  <c r="W173" i="9"/>
  <c r="X173" i="9" s="1"/>
  <c r="W143" i="9"/>
  <c r="W142" i="9"/>
  <c r="X142" i="9" s="1"/>
  <c r="T90" i="11"/>
  <c r="T89" i="11"/>
  <c r="H144" i="9"/>
  <c r="U89" i="11"/>
  <c r="H143" i="9"/>
  <c r="Q143" i="9" s="1"/>
  <c r="V143" i="9" l="1"/>
  <c r="X143" i="9" s="1"/>
  <c r="P145" i="9"/>
  <c r="P144" i="9"/>
  <c r="Q144" i="9" s="1"/>
  <c r="V144" i="9"/>
  <c r="J143" i="9" l="1"/>
  <c r="M143" i="9" s="1"/>
  <c r="N143" i="9" s="1"/>
  <c r="J142" i="9"/>
  <c r="W144" i="9"/>
  <c r="X144" i="9" s="1"/>
  <c r="W145" i="9"/>
  <c r="M142" i="9" l="1"/>
  <c r="N142" i="9" s="1"/>
  <c r="U90" i="11"/>
  <c r="H145" i="9"/>
  <c r="V145" i="9" l="1"/>
  <c r="X145" i="9" s="1"/>
  <c r="Q145" i="9"/>
  <c r="Q90" i="11"/>
  <c r="Q91" i="11"/>
  <c r="H146" i="9"/>
  <c r="P146" i="9" l="1"/>
  <c r="Q146" i="9" s="1"/>
  <c r="P147" i="9"/>
  <c r="V146" i="9"/>
  <c r="J144" i="9"/>
  <c r="M144" i="9" s="1"/>
  <c r="N144" i="9" s="1"/>
  <c r="J145" i="9"/>
  <c r="M145" i="9" s="1"/>
  <c r="N145" i="9" s="1"/>
  <c r="U92" i="11" l="1"/>
  <c r="U91" i="11"/>
  <c r="U93" i="11"/>
  <c r="H152" i="9"/>
  <c r="W147" i="9"/>
  <c r="W146" i="9"/>
  <c r="X146" i="9" s="1"/>
  <c r="T91" i="11"/>
  <c r="H147" i="9"/>
  <c r="V147" i="9" l="1"/>
  <c r="X147" i="9" s="1"/>
  <c r="Q147" i="9"/>
  <c r="V152" i="9"/>
  <c r="J147" i="9" l="1"/>
  <c r="M147" i="9" s="1"/>
  <c r="N147" i="9" s="1"/>
  <c r="J146" i="9"/>
  <c r="M146" i="9" l="1"/>
  <c r="N146" i="9" s="1"/>
  <c r="T94" i="11"/>
  <c r="T95" i="11"/>
  <c r="T92" i="11"/>
  <c r="T93" i="11"/>
  <c r="H162" i="9"/>
  <c r="V162" i="9" l="1"/>
  <c r="Q93" i="11"/>
  <c r="Q92" i="11"/>
  <c r="H153" i="9"/>
  <c r="V153" i="9" l="1"/>
  <c r="P154" i="9"/>
  <c r="Q154" i="9" s="1"/>
  <c r="P155" i="9"/>
  <c r="Q155" i="9" s="1"/>
  <c r="P153" i="9"/>
  <c r="Q153" i="9" s="1"/>
  <c r="P152" i="9"/>
  <c r="Q152" i="9" s="1"/>
  <c r="W153" i="9" l="1"/>
  <c r="X153" i="9" s="1"/>
  <c r="W155" i="9"/>
  <c r="X155" i="9" s="1"/>
  <c r="J155" i="9" s="1"/>
  <c r="M155" i="9" s="1"/>
  <c r="N155" i="9" s="1"/>
  <c r="W154" i="9"/>
  <c r="X154" i="9" s="1"/>
  <c r="W152" i="9"/>
  <c r="X152" i="9" s="1"/>
  <c r="J153" i="9" l="1"/>
  <c r="M153" i="9" s="1"/>
  <c r="N153" i="9" s="1"/>
  <c r="J152" i="9"/>
  <c r="M152" i="9" s="1"/>
  <c r="N152" i="9" s="1"/>
  <c r="J154" i="9"/>
  <c r="M154" i="9" s="1"/>
  <c r="N154" i="9" s="1"/>
  <c r="O97" i="11"/>
  <c r="O94" i="11"/>
  <c r="O96" i="11"/>
  <c r="O95" i="11"/>
  <c r="H168" i="9"/>
  <c r="V168" i="9" l="1"/>
  <c r="P94" i="11"/>
  <c r="P96" i="11"/>
  <c r="P95" i="11"/>
  <c r="P97" i="11"/>
  <c r="H169" i="9"/>
  <c r="U94" i="11"/>
  <c r="H157" i="9"/>
  <c r="Q94" i="11"/>
  <c r="H156" i="9"/>
  <c r="P159" i="9" l="1"/>
  <c r="Q159" i="9" s="1"/>
  <c r="P156" i="9"/>
  <c r="Q156" i="9" s="1"/>
  <c r="P158" i="9"/>
  <c r="Q158" i="9" s="1"/>
  <c r="P157" i="9"/>
  <c r="Q157" i="9" s="1"/>
  <c r="V156" i="9"/>
  <c r="V157" i="9"/>
  <c r="V169" i="9"/>
  <c r="W170" i="9" s="1"/>
  <c r="P169" i="9"/>
  <c r="Q169" i="9" s="1"/>
  <c r="P170" i="9"/>
  <c r="W171" i="9"/>
  <c r="W168" i="9"/>
  <c r="X168" i="9" s="1"/>
  <c r="P168" i="9"/>
  <c r="Q168" i="9" s="1"/>
  <c r="P171" i="9"/>
  <c r="W169" i="9" l="1"/>
  <c r="X169" i="9" s="1"/>
  <c r="W158" i="9"/>
  <c r="X158" i="9" s="1"/>
  <c r="W157" i="9"/>
  <c r="X157" i="9" s="1"/>
  <c r="W159" i="9"/>
  <c r="X159" i="9" s="1"/>
  <c r="J159" i="9" s="1"/>
  <c r="W156" i="9"/>
  <c r="X156" i="9" s="1"/>
  <c r="M159" i="9" l="1"/>
  <c r="N159" i="9" s="1"/>
  <c r="J158" i="9"/>
  <c r="M158" i="9" s="1"/>
  <c r="N158" i="9" s="1"/>
  <c r="J157" i="9"/>
  <c r="M157" i="9" s="1"/>
  <c r="N157" i="9" s="1"/>
  <c r="J156" i="9"/>
  <c r="M156" i="9" s="1"/>
  <c r="N156" i="9" s="1"/>
  <c r="U95" i="11" l="1"/>
  <c r="H161" i="9"/>
  <c r="Q95" i="11"/>
  <c r="H160" i="9"/>
  <c r="N99" i="11"/>
  <c r="N96" i="11"/>
  <c r="N98" i="11"/>
  <c r="N95" i="11"/>
  <c r="N97" i="11"/>
  <c r="H178" i="9"/>
  <c r="V96" i="11"/>
  <c r="V98" i="11"/>
  <c r="V95" i="11"/>
  <c r="V97" i="11"/>
  <c r="V99" i="11"/>
  <c r="H179" i="9"/>
  <c r="V178" i="9" l="1"/>
  <c r="P161" i="9"/>
  <c r="Q161" i="9" s="1"/>
  <c r="P163" i="9"/>
  <c r="Q163" i="9" s="1"/>
  <c r="P160" i="9"/>
  <c r="Q160" i="9" s="1"/>
  <c r="P162" i="9"/>
  <c r="Q162" i="9" s="1"/>
  <c r="V160" i="9"/>
  <c r="V161" i="9"/>
  <c r="V179" i="9"/>
  <c r="W160" i="9" l="1"/>
  <c r="X160" i="9" s="1"/>
  <c r="W162" i="9"/>
  <c r="X162" i="9" s="1"/>
  <c r="W161" i="9"/>
  <c r="X161" i="9" s="1"/>
  <c r="W163" i="9"/>
  <c r="X163" i="9" s="1"/>
  <c r="J163" i="9" s="1"/>
  <c r="M163" i="9" s="1"/>
  <c r="N163" i="9" s="1"/>
  <c r="K97" i="11" l="1"/>
  <c r="K99" i="11"/>
  <c r="K98" i="11"/>
  <c r="K96" i="11"/>
  <c r="K100" i="11"/>
  <c r="H183" i="9"/>
  <c r="J160" i="9"/>
  <c r="M160" i="9" s="1"/>
  <c r="N160" i="9" s="1"/>
  <c r="J162" i="9"/>
  <c r="M162" i="9" s="1"/>
  <c r="N162" i="9" s="1"/>
  <c r="J161" i="9"/>
  <c r="M161" i="9" s="1"/>
  <c r="N161" i="9" s="1"/>
  <c r="U96" i="11" l="1"/>
  <c r="H166" i="9"/>
  <c r="Q96" i="11"/>
  <c r="H167" i="9"/>
  <c r="T96" i="11"/>
  <c r="T98" i="11"/>
  <c r="T100" i="11"/>
  <c r="T99" i="11"/>
  <c r="T97" i="11"/>
  <c r="H182" i="9"/>
  <c r="V183" i="9"/>
  <c r="V182" i="9" l="1"/>
  <c r="V167" i="9"/>
  <c r="X167" i="9" s="1"/>
  <c r="J167" i="9" s="1"/>
  <c r="M167" i="9" s="1"/>
  <c r="N167" i="9" s="1"/>
  <c r="Q167" i="9"/>
  <c r="V166" i="9"/>
  <c r="X166" i="9" s="1"/>
  <c r="Q166" i="9"/>
  <c r="Q99" i="11" l="1"/>
  <c r="Q101" i="11"/>
  <c r="Q98" i="11"/>
  <c r="Q100" i="11"/>
  <c r="Q97" i="11"/>
  <c r="Q102" i="11"/>
  <c r="H189" i="9"/>
  <c r="J165" i="9"/>
  <c r="J164" i="9"/>
  <c r="J166" i="9"/>
  <c r="M166" i="9" s="1"/>
  <c r="N166" i="9" s="1"/>
  <c r="M165" i="9" l="1"/>
  <c r="N165" i="9" s="1"/>
  <c r="U98" i="11"/>
  <c r="U100" i="11"/>
  <c r="U102" i="11"/>
  <c r="U97" i="11"/>
  <c r="U101" i="11"/>
  <c r="U99" i="11"/>
  <c r="H188" i="9"/>
  <c r="M164" i="9"/>
  <c r="N164" i="9" s="1"/>
  <c r="V189" i="9"/>
  <c r="L97" i="11" l="1"/>
  <c r="H171" i="9"/>
  <c r="P191" i="9"/>
  <c r="P188" i="9"/>
  <c r="Q188" i="9" s="1"/>
  <c r="P190" i="9"/>
  <c r="P189" i="9"/>
  <c r="Q189" i="9" s="1"/>
  <c r="V188" i="9"/>
  <c r="W97" i="11"/>
  <c r="H170" i="9"/>
  <c r="V170" i="9" l="1"/>
  <c r="X170" i="9" s="1"/>
  <c r="Q170" i="9"/>
  <c r="W190" i="9"/>
  <c r="W189" i="9"/>
  <c r="X189" i="9" s="1"/>
  <c r="W191" i="9"/>
  <c r="W188" i="9"/>
  <c r="X188" i="9" s="1"/>
  <c r="V171" i="9"/>
  <c r="X171" i="9" s="1"/>
  <c r="J171" i="9" s="1"/>
  <c r="Q171" i="9"/>
  <c r="M171" i="9" l="1"/>
  <c r="N171" i="9" s="1"/>
  <c r="J169" i="9"/>
  <c r="M169" i="9" s="1"/>
  <c r="N169" i="9" s="1"/>
  <c r="J168" i="9"/>
  <c r="M168" i="9" s="1"/>
  <c r="N168" i="9" s="1"/>
  <c r="J170" i="9"/>
  <c r="M170" i="9" l="1"/>
  <c r="N170" i="9" s="1"/>
  <c r="O98" i="11"/>
  <c r="H174" i="9"/>
  <c r="P98" i="11"/>
  <c r="H175" i="9"/>
  <c r="L99" i="11"/>
  <c r="L101" i="11"/>
  <c r="L100" i="11"/>
  <c r="L98" i="11"/>
  <c r="H184" i="9"/>
  <c r="V184" i="9" l="1"/>
  <c r="V174" i="9"/>
  <c r="X174" i="9" s="1"/>
  <c r="Q174" i="9"/>
  <c r="V175" i="9"/>
  <c r="X175" i="9" s="1"/>
  <c r="J175" i="9" s="1"/>
  <c r="M175" i="9" s="1"/>
  <c r="N175" i="9" s="1"/>
  <c r="Q175" i="9"/>
  <c r="W100" i="11"/>
  <c r="W99" i="11"/>
  <c r="W98" i="11"/>
  <c r="W101" i="11"/>
  <c r="H185" i="9"/>
  <c r="P186" i="9" s="1"/>
  <c r="P101" i="11" l="1"/>
  <c r="P103" i="11"/>
  <c r="P100" i="11"/>
  <c r="P102" i="11"/>
  <c r="P99" i="11"/>
  <c r="H193" i="9"/>
  <c r="P184" i="9"/>
  <c r="Q184" i="9" s="1"/>
  <c r="P187" i="9"/>
  <c r="J172" i="9"/>
  <c r="M172" i="9" s="1"/>
  <c r="N172" i="9" s="1"/>
  <c r="J174" i="9"/>
  <c r="M174" i="9" s="1"/>
  <c r="N174" i="9" s="1"/>
  <c r="J173" i="9"/>
  <c r="M173" i="9" s="1"/>
  <c r="N173" i="9" s="1"/>
  <c r="P185" i="9"/>
  <c r="Q185" i="9" s="1"/>
  <c r="V185" i="9"/>
  <c r="W185" i="9" s="1"/>
  <c r="X185" i="9" s="1"/>
  <c r="W186" i="9" l="1"/>
  <c r="W187" i="9"/>
  <c r="W184" i="9"/>
  <c r="X184" i="9" s="1"/>
  <c r="S99" i="11"/>
  <c r="H176" i="9"/>
  <c r="R99" i="11"/>
  <c r="H177" i="9"/>
  <c r="O99" i="11"/>
  <c r="O101" i="11"/>
  <c r="O103" i="11"/>
  <c r="O102" i="11"/>
  <c r="O100" i="11"/>
  <c r="H192" i="9"/>
  <c r="V193" i="9"/>
  <c r="P193" i="9" l="1"/>
  <c r="Q193" i="9" s="1"/>
  <c r="P195" i="9"/>
  <c r="P192" i="9"/>
  <c r="Q192" i="9" s="1"/>
  <c r="P194" i="9"/>
  <c r="V192" i="9"/>
  <c r="V177" i="9"/>
  <c r="P176" i="9"/>
  <c r="Q176" i="9" s="1"/>
  <c r="P178" i="9"/>
  <c r="Q178" i="9" s="1"/>
  <c r="P179" i="9"/>
  <c r="Q179" i="9" s="1"/>
  <c r="P177" i="9"/>
  <c r="Q177" i="9" s="1"/>
  <c r="V176" i="9"/>
  <c r="W177" i="9" l="1"/>
  <c r="X177" i="9" s="1"/>
  <c r="W179" i="9"/>
  <c r="X179" i="9" s="1"/>
  <c r="J179" i="9" s="1"/>
  <c r="W178" i="9"/>
  <c r="X178" i="9" s="1"/>
  <c r="W176" i="9"/>
  <c r="X176" i="9" s="1"/>
  <c r="W195" i="9"/>
  <c r="W192" i="9"/>
  <c r="X192" i="9" s="1"/>
  <c r="W194" i="9"/>
  <c r="W193" i="9"/>
  <c r="X193" i="9" s="1"/>
  <c r="J176" i="9" l="1"/>
  <c r="M176" i="9" s="1"/>
  <c r="N176" i="9" s="1"/>
  <c r="J177" i="9"/>
  <c r="M177" i="9" s="1"/>
  <c r="N177" i="9" s="1"/>
  <c r="J178" i="9"/>
  <c r="M178" i="9" s="1"/>
  <c r="N178" i="9" s="1"/>
  <c r="M179" i="9"/>
  <c r="N179" i="9" s="1"/>
  <c r="V100" i="11" l="1"/>
  <c r="V102" i="11"/>
  <c r="V104" i="11"/>
  <c r="V105" i="11"/>
  <c r="V103" i="11"/>
  <c r="V101" i="11"/>
  <c r="H203" i="9"/>
  <c r="N104" i="11"/>
  <c r="N101" i="11"/>
  <c r="N103" i="11"/>
  <c r="N105" i="11"/>
  <c r="N102" i="11"/>
  <c r="N100" i="11"/>
  <c r="H202" i="9"/>
  <c r="R100" i="11"/>
  <c r="H181" i="9"/>
  <c r="S100" i="11"/>
  <c r="H180" i="9"/>
  <c r="V203" i="9" l="1"/>
  <c r="V181" i="9"/>
  <c r="V202" i="9"/>
  <c r="P181" i="9"/>
  <c r="Q181" i="9" s="1"/>
  <c r="P183" i="9"/>
  <c r="Q183" i="9" s="1"/>
  <c r="P180" i="9"/>
  <c r="Q180" i="9" s="1"/>
  <c r="P182" i="9"/>
  <c r="Q182" i="9" s="1"/>
  <c r="V180" i="9"/>
  <c r="W180" i="9" l="1"/>
  <c r="X180" i="9" s="1"/>
  <c r="W182" i="9"/>
  <c r="X182" i="9" s="1"/>
  <c r="W181" i="9"/>
  <c r="X181" i="9" s="1"/>
  <c r="W183" i="9"/>
  <c r="X183" i="9" s="1"/>
  <c r="J183" i="9" s="1"/>
  <c r="M183" i="9" s="1"/>
  <c r="N183" i="9" s="1"/>
  <c r="K104" i="11" l="1"/>
  <c r="K106" i="11"/>
  <c r="K101" i="11"/>
  <c r="K103" i="11"/>
  <c r="K105" i="11"/>
  <c r="K102" i="11"/>
  <c r="H204" i="9"/>
  <c r="J180" i="9"/>
  <c r="M180" i="9" s="1"/>
  <c r="N180" i="9" s="1"/>
  <c r="J181" i="9"/>
  <c r="M181" i="9" s="1"/>
  <c r="N181" i="9" s="1"/>
  <c r="J182" i="9"/>
  <c r="M182" i="9" s="1"/>
  <c r="N182" i="9" s="1"/>
  <c r="V204" i="9" l="1"/>
  <c r="T110" i="11"/>
  <c r="T112" i="11"/>
  <c r="T105" i="11"/>
  <c r="T114" i="11"/>
  <c r="T107" i="11"/>
  <c r="T116" i="11"/>
  <c r="T109" i="11"/>
  <c r="T102" i="11"/>
  <c r="T111" i="11"/>
  <c r="T104" i="11"/>
  <c r="T115" i="11"/>
  <c r="T108" i="11"/>
  <c r="T101" i="11"/>
  <c r="T106" i="11"/>
  <c r="T103" i="11"/>
  <c r="T113" i="11"/>
  <c r="T117" i="11"/>
  <c r="H236" i="9"/>
  <c r="R101" i="11"/>
  <c r="H187" i="9"/>
  <c r="S101" i="11"/>
  <c r="H186" i="9"/>
  <c r="V186" i="9" l="1"/>
  <c r="X186" i="9" s="1"/>
  <c r="Q186" i="9"/>
  <c r="V187" i="9"/>
  <c r="X187" i="9" s="1"/>
  <c r="J187" i="9" s="1"/>
  <c r="M187" i="9" s="1"/>
  <c r="N187" i="9" s="1"/>
  <c r="Q187" i="9"/>
  <c r="V236" i="9"/>
  <c r="R103" i="11" l="1"/>
  <c r="R102" i="11"/>
  <c r="R104" i="11"/>
  <c r="H197" i="9"/>
  <c r="J185" i="9"/>
  <c r="J186" i="9"/>
  <c r="M186" i="9" s="1"/>
  <c r="N186" i="9" s="1"/>
  <c r="J184" i="9"/>
  <c r="M184" i="9" l="1"/>
  <c r="N184" i="9" s="1"/>
  <c r="S103" i="11"/>
  <c r="S102" i="11"/>
  <c r="S104" i="11"/>
  <c r="H196" i="9"/>
  <c r="M185" i="9"/>
  <c r="N185" i="9" s="1"/>
  <c r="V197" i="9"/>
  <c r="W102" i="11" l="1"/>
  <c r="H191" i="9"/>
  <c r="P196" i="9"/>
  <c r="Q196" i="9" s="1"/>
  <c r="P198" i="9"/>
  <c r="P197" i="9"/>
  <c r="Q197" i="9" s="1"/>
  <c r="P199" i="9"/>
  <c r="V196" i="9"/>
  <c r="L102" i="11"/>
  <c r="H190" i="9"/>
  <c r="V190" i="9" l="1"/>
  <c r="X190" i="9" s="1"/>
  <c r="Q190" i="9"/>
  <c r="W197" i="9"/>
  <c r="X197" i="9" s="1"/>
  <c r="W199" i="9"/>
  <c r="W196" i="9"/>
  <c r="X196" i="9" s="1"/>
  <c r="W198" i="9"/>
  <c r="V191" i="9"/>
  <c r="X191" i="9" s="1"/>
  <c r="J191" i="9" s="1"/>
  <c r="Q191" i="9"/>
  <c r="M191" i="9" l="1"/>
  <c r="N191" i="9" s="1"/>
  <c r="W162" i="11" s="1"/>
  <c r="J190" i="9"/>
  <c r="M190" i="9" s="1"/>
  <c r="N190" i="9" s="1"/>
  <c r="J189" i="9"/>
  <c r="M189" i="9" s="1"/>
  <c r="N189" i="9" s="1"/>
  <c r="J188" i="9"/>
  <c r="M188" i="9" s="1"/>
  <c r="N188" i="9" s="1"/>
  <c r="W160" i="11" l="1"/>
  <c r="W161" i="11"/>
  <c r="W158" i="11"/>
  <c r="W159" i="11"/>
  <c r="W156" i="11"/>
  <c r="W157" i="11"/>
  <c r="W153" i="11"/>
  <c r="W155" i="11"/>
  <c r="W154" i="11"/>
  <c r="W151" i="11"/>
  <c r="W152" i="11"/>
  <c r="Q103" i="11"/>
  <c r="H194" i="9"/>
  <c r="U103" i="11"/>
  <c r="H195" i="9"/>
  <c r="L104" i="11"/>
  <c r="L106" i="11"/>
  <c r="L103" i="11"/>
  <c r="L105" i="11"/>
  <c r="H205" i="9"/>
  <c r="W146" i="11"/>
  <c r="B14" i="12"/>
  <c r="W150" i="11"/>
  <c r="W145" i="11"/>
  <c r="W147" i="11"/>
  <c r="W149" i="11"/>
  <c r="W137" i="11"/>
  <c r="W121" i="11"/>
  <c r="W105" i="11"/>
  <c r="W130" i="11"/>
  <c r="W114" i="11"/>
  <c r="W139" i="11"/>
  <c r="W123" i="11"/>
  <c r="W107" i="11"/>
  <c r="W144" i="11"/>
  <c r="W132" i="11"/>
  <c r="W116" i="11"/>
  <c r="W148" i="11"/>
  <c r="W141" i="11"/>
  <c r="W125" i="11"/>
  <c r="W109" i="11"/>
  <c r="W134" i="11"/>
  <c r="W118" i="11"/>
  <c r="W127" i="11"/>
  <c r="W111" i="11"/>
  <c r="W143" i="11"/>
  <c r="W136" i="11"/>
  <c r="W120" i="11"/>
  <c r="W104" i="11"/>
  <c r="W129" i="11"/>
  <c r="W113" i="11"/>
  <c r="W138" i="11"/>
  <c r="W122" i="11"/>
  <c r="W106" i="11"/>
  <c r="W131" i="11"/>
  <c r="W115" i="11"/>
  <c r="W140" i="11"/>
  <c r="W124" i="11"/>
  <c r="W133" i="11"/>
  <c r="W142" i="11"/>
  <c r="W126" i="11"/>
  <c r="W110" i="11"/>
  <c r="W135" i="11"/>
  <c r="W119" i="11"/>
  <c r="W103" i="11"/>
  <c r="W128" i="11"/>
  <c r="W112" i="11"/>
  <c r="W108" i="11"/>
  <c r="W117" i="11"/>
  <c r="J19" i="11"/>
  <c r="P2" i="12" l="1"/>
  <c r="B19" i="11"/>
  <c r="F83" i="6"/>
  <c r="V205" i="9"/>
  <c r="P207" i="9"/>
  <c r="P205" i="9"/>
  <c r="Q205" i="9" s="1"/>
  <c r="P204" i="9"/>
  <c r="Q204" i="9" s="1"/>
  <c r="P206" i="9"/>
  <c r="V195" i="9"/>
  <c r="X195" i="9" s="1"/>
  <c r="J195" i="9" s="1"/>
  <c r="M195" i="9" s="1"/>
  <c r="N195" i="9" s="1"/>
  <c r="Q195" i="9"/>
  <c r="V194" i="9"/>
  <c r="X194" i="9" s="1"/>
  <c r="Q194" i="9"/>
  <c r="U105" i="11" l="1"/>
  <c r="U107" i="11"/>
  <c r="U104" i="11"/>
  <c r="U106" i="11"/>
  <c r="H211" i="9"/>
  <c r="J192" i="9"/>
  <c r="M192" i="9" s="1"/>
  <c r="N192" i="9" s="1"/>
  <c r="J193" i="9"/>
  <c r="M193" i="9" s="1"/>
  <c r="N193" i="9" s="1"/>
  <c r="J194" i="9"/>
  <c r="M194" i="9" s="1"/>
  <c r="N194" i="9" s="1"/>
  <c r="W207" i="9"/>
  <c r="W206" i="9"/>
  <c r="W205" i="9"/>
  <c r="X205" i="9" s="1"/>
  <c r="W204" i="9"/>
  <c r="X204" i="9" s="1"/>
  <c r="S19" i="11"/>
  <c r="W19" i="11" l="1"/>
  <c r="P104" i="11"/>
  <c r="H199" i="9"/>
  <c r="Q105" i="11"/>
  <c r="Q107" i="11"/>
  <c r="Q104" i="11"/>
  <c r="Q106" i="11"/>
  <c r="H210" i="9"/>
  <c r="O104" i="11"/>
  <c r="H198" i="9"/>
  <c r="V211" i="9"/>
  <c r="V198" i="9" l="1"/>
  <c r="X198" i="9" s="1"/>
  <c r="Q198" i="9"/>
  <c r="V210" i="9"/>
  <c r="V199" i="9"/>
  <c r="X199" i="9" s="1"/>
  <c r="J199" i="9" s="1"/>
  <c r="M199" i="9" s="1"/>
  <c r="N199" i="9" s="1"/>
  <c r="Q199" i="9"/>
  <c r="P106" i="11" l="1"/>
  <c r="P108" i="11"/>
  <c r="P105" i="11"/>
  <c r="P107" i="11"/>
  <c r="P109" i="11"/>
  <c r="H218" i="9"/>
  <c r="J197" i="9"/>
  <c r="M197" i="9" s="1"/>
  <c r="N197" i="9" s="1"/>
  <c r="J198" i="9"/>
  <c r="M198" i="9" s="1"/>
  <c r="N198" i="9" s="1"/>
  <c r="J196" i="9"/>
  <c r="M196" i="9" s="1"/>
  <c r="N196" i="9" s="1"/>
  <c r="S105" i="11" l="1"/>
  <c r="H200" i="9"/>
  <c r="O108" i="11"/>
  <c r="O105" i="11"/>
  <c r="O107" i="11"/>
  <c r="O106" i="11"/>
  <c r="O109" i="11"/>
  <c r="H219" i="9"/>
  <c r="R105" i="11"/>
  <c r="H201" i="9"/>
  <c r="V218" i="9"/>
  <c r="V201" i="9" l="1"/>
  <c r="V219" i="9"/>
  <c r="P201" i="9"/>
  <c r="Q201" i="9" s="1"/>
  <c r="P203" i="9"/>
  <c r="Q203" i="9" s="1"/>
  <c r="P200" i="9"/>
  <c r="Q200" i="9" s="1"/>
  <c r="P202" i="9"/>
  <c r="Q202" i="9" s="1"/>
  <c r="V200" i="9"/>
  <c r="W203" i="9" l="1"/>
  <c r="X203" i="9" s="1"/>
  <c r="J203" i="9" s="1"/>
  <c r="W200" i="9"/>
  <c r="X200" i="9" s="1"/>
  <c r="W202" i="9"/>
  <c r="X202" i="9" s="1"/>
  <c r="W201" i="9"/>
  <c r="X201" i="9" s="1"/>
  <c r="J202" i="9" l="1"/>
  <c r="M202" i="9" s="1"/>
  <c r="N202" i="9" s="1"/>
  <c r="J201" i="9"/>
  <c r="M201" i="9" s="1"/>
  <c r="N201" i="9" s="1"/>
  <c r="J200" i="9"/>
  <c r="M200" i="9" s="1"/>
  <c r="N200" i="9" s="1"/>
  <c r="M203" i="9"/>
  <c r="N203" i="9" s="1"/>
  <c r="V107" i="11" l="1"/>
  <c r="V106" i="11"/>
  <c r="V108" i="11"/>
  <c r="H212" i="9"/>
  <c r="R106" i="11"/>
  <c r="H207" i="9"/>
  <c r="S106" i="11"/>
  <c r="H206" i="9"/>
  <c r="N106" i="11"/>
  <c r="N108" i="11"/>
  <c r="N107" i="11"/>
  <c r="H213" i="9"/>
  <c r="V213" i="9" l="1"/>
  <c r="V206" i="9"/>
  <c r="X206" i="9" s="1"/>
  <c r="Q206" i="9"/>
  <c r="V207" i="9"/>
  <c r="X207" i="9" s="1"/>
  <c r="J207" i="9" s="1"/>
  <c r="M207" i="9" s="1"/>
  <c r="N207" i="9" s="1"/>
  <c r="Q207" i="9"/>
  <c r="P215" i="9"/>
  <c r="P212" i="9"/>
  <c r="Q212" i="9" s="1"/>
  <c r="P214" i="9"/>
  <c r="P213" i="9"/>
  <c r="Q213" i="9" s="1"/>
  <c r="V212" i="9"/>
  <c r="R108" i="11" l="1"/>
  <c r="R110" i="11"/>
  <c r="R112" i="11"/>
  <c r="R107" i="11"/>
  <c r="R109" i="11"/>
  <c r="R111" i="11"/>
  <c r="H224" i="9"/>
  <c r="W215" i="9"/>
  <c r="W214" i="9"/>
  <c r="W213" i="9"/>
  <c r="X213" i="9" s="1"/>
  <c r="W212" i="9"/>
  <c r="X212" i="9" s="1"/>
  <c r="J205" i="9"/>
  <c r="M205" i="9" s="1"/>
  <c r="N205" i="9" s="1"/>
  <c r="J206" i="9"/>
  <c r="M206" i="9" s="1"/>
  <c r="N206" i="9" s="1"/>
  <c r="J204" i="9"/>
  <c r="M204" i="9" s="1"/>
  <c r="N204" i="9" s="1"/>
  <c r="L107" i="11" l="1"/>
  <c r="H209" i="9"/>
  <c r="K107" i="11"/>
  <c r="H208" i="9"/>
  <c r="S107" i="11"/>
  <c r="S109" i="11"/>
  <c r="S110" i="11"/>
  <c r="S108" i="11"/>
  <c r="H221" i="9"/>
  <c r="P224" i="9"/>
  <c r="Q224" i="9" s="1"/>
  <c r="P226" i="9"/>
  <c r="P225" i="9"/>
  <c r="V224" i="9"/>
  <c r="W226" i="9" l="1"/>
  <c r="W225" i="9"/>
  <c r="W224" i="9"/>
  <c r="X224" i="9" s="1"/>
  <c r="V221" i="9"/>
  <c r="P208" i="9"/>
  <c r="Q208" i="9" s="1"/>
  <c r="P211" i="9"/>
  <c r="Q211" i="9" s="1"/>
  <c r="P210" i="9"/>
  <c r="Q210" i="9" s="1"/>
  <c r="P209" i="9"/>
  <c r="Q209" i="9" s="1"/>
  <c r="V208" i="9"/>
  <c r="V209" i="9"/>
  <c r="W210" i="9" l="1"/>
  <c r="X210" i="9" s="1"/>
  <c r="W209" i="9"/>
  <c r="X209" i="9" s="1"/>
  <c r="W208" i="9"/>
  <c r="X208" i="9" s="1"/>
  <c r="W211" i="9"/>
  <c r="X211" i="9" s="1"/>
  <c r="J211" i="9" s="1"/>
  <c r="M211" i="9" s="1"/>
  <c r="N211" i="9" s="1"/>
  <c r="U112" i="11" l="1"/>
  <c r="U109" i="11"/>
  <c r="U111" i="11"/>
  <c r="U108" i="11"/>
  <c r="U110" i="11"/>
  <c r="H225" i="9"/>
  <c r="J209" i="9"/>
  <c r="M209" i="9" s="1"/>
  <c r="N209" i="9" s="1"/>
  <c r="J208" i="9"/>
  <c r="M208" i="9" s="1"/>
  <c r="N208" i="9" s="1"/>
  <c r="J210" i="9"/>
  <c r="M210" i="9" s="1"/>
  <c r="N210" i="9" s="1"/>
  <c r="Q110" i="11" l="1"/>
  <c r="Q109" i="11"/>
  <c r="Q108" i="11"/>
  <c r="H220" i="9"/>
  <c r="K108" i="11"/>
  <c r="H214" i="9"/>
  <c r="L108" i="11"/>
  <c r="H215" i="9"/>
  <c r="V225" i="9"/>
  <c r="X225" i="9" s="1"/>
  <c r="Q225" i="9"/>
  <c r="J225" i="9" l="1"/>
  <c r="M225" i="9" s="1"/>
  <c r="N225" i="9" s="1"/>
  <c r="V215" i="9"/>
  <c r="X215" i="9" s="1"/>
  <c r="J215" i="9" s="1"/>
  <c r="M215" i="9" s="1"/>
  <c r="N215" i="9" s="1"/>
  <c r="Q215" i="9"/>
  <c r="V214" i="9"/>
  <c r="X214" i="9" s="1"/>
  <c r="Q214" i="9"/>
  <c r="P221" i="9"/>
  <c r="Q221" i="9" s="1"/>
  <c r="V220" i="9"/>
  <c r="P220" i="9"/>
  <c r="Q220" i="9" s="1"/>
  <c r="L113" i="11" l="1"/>
  <c r="L115" i="11"/>
  <c r="L110" i="11"/>
  <c r="L112" i="11"/>
  <c r="L116" i="11"/>
  <c r="L114" i="11"/>
  <c r="L111" i="11"/>
  <c r="L109" i="11"/>
  <c r="H233" i="9"/>
  <c r="W220" i="9"/>
  <c r="X220" i="9" s="1"/>
  <c r="W221" i="9"/>
  <c r="X221" i="9" s="1"/>
  <c r="J213" i="9"/>
  <c r="M213" i="9" s="1"/>
  <c r="N213" i="9" s="1"/>
  <c r="J214" i="9"/>
  <c r="M214" i="9" s="1"/>
  <c r="N214" i="9" s="1"/>
  <c r="J212" i="9"/>
  <c r="U113" i="11"/>
  <c r="H227" i="9"/>
  <c r="P227" i="9" l="1"/>
  <c r="Q227" i="9" s="1"/>
  <c r="P228" i="9"/>
  <c r="V227" i="9"/>
  <c r="N109" i="11"/>
  <c r="H217" i="9"/>
  <c r="J220" i="9"/>
  <c r="M220" i="9" s="1"/>
  <c r="N220" i="9" s="1"/>
  <c r="J221" i="9"/>
  <c r="M221" i="9" s="1"/>
  <c r="N221" i="9" s="1"/>
  <c r="M212" i="9"/>
  <c r="N212" i="9" s="1"/>
  <c r="K125" i="11"/>
  <c r="K109" i="11"/>
  <c r="K118" i="11"/>
  <c r="K127" i="11"/>
  <c r="K111" i="11"/>
  <c r="K120" i="11"/>
  <c r="K113" i="11"/>
  <c r="K122" i="11"/>
  <c r="K115" i="11"/>
  <c r="K124" i="11"/>
  <c r="K117" i="11"/>
  <c r="K126" i="11"/>
  <c r="K110" i="11"/>
  <c r="K119" i="11"/>
  <c r="K114" i="11"/>
  <c r="K123" i="11"/>
  <c r="K112" i="11"/>
  <c r="K116" i="11"/>
  <c r="K121" i="11"/>
  <c r="H256" i="9"/>
  <c r="V233" i="9"/>
  <c r="V256" i="9" l="1"/>
  <c r="V109" i="11"/>
  <c r="H216" i="9"/>
  <c r="S111" i="11"/>
  <c r="H223" i="9"/>
  <c r="Q111" i="11"/>
  <c r="H222" i="9"/>
  <c r="V217" i="9"/>
  <c r="W228" i="9"/>
  <c r="W227" i="9"/>
  <c r="X227" i="9" s="1"/>
  <c r="P223" i="9" l="1"/>
  <c r="Q223" i="9" s="1"/>
  <c r="P222" i="9"/>
  <c r="Q222" i="9" s="1"/>
  <c r="V222" i="9"/>
  <c r="V223" i="9"/>
  <c r="P219" i="9"/>
  <c r="Q219" i="9" s="1"/>
  <c r="P216" i="9"/>
  <c r="Q216" i="9" s="1"/>
  <c r="P218" i="9"/>
  <c r="Q218" i="9" s="1"/>
  <c r="P217" i="9"/>
  <c r="Q217" i="9" s="1"/>
  <c r="V216" i="9"/>
  <c r="W218" i="9" l="1"/>
  <c r="X218" i="9" s="1"/>
  <c r="W219" i="9"/>
  <c r="X219" i="9" s="1"/>
  <c r="J219" i="9" s="1"/>
  <c r="M219" i="9" s="1"/>
  <c r="N219" i="9" s="1"/>
  <c r="W217" i="9"/>
  <c r="X217" i="9" s="1"/>
  <c r="W216" i="9"/>
  <c r="X216" i="9" s="1"/>
  <c r="W222" i="9"/>
  <c r="X222" i="9" s="1"/>
  <c r="W223" i="9"/>
  <c r="X223" i="9" s="1"/>
  <c r="J222" i="9" l="1"/>
  <c r="M222" i="9" s="1"/>
  <c r="N222" i="9" s="1"/>
  <c r="J223" i="9"/>
  <c r="M223" i="9" s="1"/>
  <c r="N223" i="9" s="1"/>
  <c r="O113" i="11"/>
  <c r="O122" i="11"/>
  <c r="O115" i="11"/>
  <c r="O117" i="11"/>
  <c r="O110" i="11"/>
  <c r="O119" i="11"/>
  <c r="O112" i="11"/>
  <c r="O121" i="11"/>
  <c r="O114" i="11"/>
  <c r="O118" i="11"/>
  <c r="O111" i="11"/>
  <c r="O116" i="11"/>
  <c r="O120" i="11"/>
  <c r="H247" i="9"/>
  <c r="J216" i="9"/>
  <c r="J217" i="9"/>
  <c r="M217" i="9" s="1"/>
  <c r="N217" i="9" s="1"/>
  <c r="N162" i="11" s="1"/>
  <c r="J218" i="9"/>
  <c r="M218" i="9" s="1"/>
  <c r="N218" i="9" s="1"/>
  <c r="N160" i="11" l="1"/>
  <c r="N161" i="11"/>
  <c r="N158" i="11"/>
  <c r="N159" i="11"/>
  <c r="N156" i="11"/>
  <c r="N157" i="11"/>
  <c r="N153" i="11"/>
  <c r="N155" i="11"/>
  <c r="N154" i="11"/>
  <c r="N151" i="11"/>
  <c r="N152" i="11"/>
  <c r="V247" i="9"/>
  <c r="P110" i="11"/>
  <c r="P112" i="11"/>
  <c r="P111" i="11"/>
  <c r="H226" i="9"/>
  <c r="N145" i="11"/>
  <c r="B5" i="12"/>
  <c r="N149" i="11"/>
  <c r="N146" i="11"/>
  <c r="N148" i="11"/>
  <c r="N136" i="11"/>
  <c r="N120" i="11"/>
  <c r="N129" i="11"/>
  <c r="N113" i="11"/>
  <c r="N150" i="11"/>
  <c r="N138" i="11"/>
  <c r="N122" i="11"/>
  <c r="N131" i="11"/>
  <c r="N115" i="11"/>
  <c r="N147" i="11"/>
  <c r="N140" i="11"/>
  <c r="N124" i="11"/>
  <c r="N133" i="11"/>
  <c r="N117" i="11"/>
  <c r="N142" i="11"/>
  <c r="N126" i="11"/>
  <c r="N110" i="11"/>
  <c r="N135" i="11"/>
  <c r="N119" i="11"/>
  <c r="N128" i="11"/>
  <c r="N112" i="11"/>
  <c r="N137" i="11"/>
  <c r="N121" i="11"/>
  <c r="N144" i="11"/>
  <c r="N130" i="11"/>
  <c r="N114" i="11"/>
  <c r="N139" i="11"/>
  <c r="N123" i="11"/>
  <c r="N132" i="11"/>
  <c r="N141" i="11"/>
  <c r="N125" i="11"/>
  <c r="N134" i="11"/>
  <c r="N118" i="11"/>
  <c r="N143" i="11"/>
  <c r="N116" i="11"/>
  <c r="N127" i="11"/>
  <c r="N111" i="11"/>
  <c r="J10" i="11"/>
  <c r="S117" i="11"/>
  <c r="S119" i="11"/>
  <c r="S112" i="11"/>
  <c r="S114" i="11"/>
  <c r="S116" i="11"/>
  <c r="S118" i="11"/>
  <c r="S115" i="11"/>
  <c r="S113" i="11"/>
  <c r="H240" i="9"/>
  <c r="M216" i="9"/>
  <c r="N216" i="9" s="1"/>
  <c r="V162" i="11" s="1"/>
  <c r="Q112" i="11"/>
  <c r="Q113" i="11"/>
  <c r="H228" i="9"/>
  <c r="V160" i="11" l="1"/>
  <c r="V161" i="11"/>
  <c r="V158" i="11"/>
  <c r="V159" i="11"/>
  <c r="V156" i="11"/>
  <c r="V157" i="11"/>
  <c r="V153" i="11"/>
  <c r="V155" i="11"/>
  <c r="V154" i="11"/>
  <c r="V151" i="11"/>
  <c r="V152" i="11"/>
  <c r="V228" i="9"/>
  <c r="X228" i="9" s="1"/>
  <c r="Q228" i="9"/>
  <c r="V146" i="11"/>
  <c r="B13" i="12"/>
  <c r="V143" i="11"/>
  <c r="V145" i="11"/>
  <c r="V147" i="11"/>
  <c r="V149" i="11"/>
  <c r="V128" i="11"/>
  <c r="V112" i="11"/>
  <c r="V150" i="11"/>
  <c r="V137" i="11"/>
  <c r="V121" i="11"/>
  <c r="V130" i="11"/>
  <c r="V114" i="11"/>
  <c r="V139" i="11"/>
  <c r="V123" i="11"/>
  <c r="V144" i="11"/>
  <c r="V132" i="11"/>
  <c r="V116" i="11"/>
  <c r="V148" i="11"/>
  <c r="V141" i="11"/>
  <c r="V125" i="11"/>
  <c r="V134" i="11"/>
  <c r="V118" i="11"/>
  <c r="V127" i="11"/>
  <c r="V111" i="11"/>
  <c r="V136" i="11"/>
  <c r="V120" i="11"/>
  <c r="V129" i="11"/>
  <c r="V113" i="11"/>
  <c r="V138" i="11"/>
  <c r="V122" i="11"/>
  <c r="V131" i="11"/>
  <c r="V140" i="11"/>
  <c r="V133" i="11"/>
  <c r="V117" i="11"/>
  <c r="V142" i="11"/>
  <c r="V126" i="11"/>
  <c r="V110" i="11"/>
  <c r="V135" i="11"/>
  <c r="V124" i="11"/>
  <c r="V115" i="11"/>
  <c r="V119" i="11"/>
  <c r="J18" i="11"/>
  <c r="P241" i="9"/>
  <c r="P240" i="9"/>
  <c r="Q240" i="9" s="1"/>
  <c r="V240" i="9"/>
  <c r="G2" i="12"/>
  <c r="B10" i="11"/>
  <c r="F86" i="6"/>
  <c r="S86" i="6" s="1"/>
  <c r="V226" i="9"/>
  <c r="X226" i="9" s="1"/>
  <c r="Q226" i="9"/>
  <c r="J226" i="9" l="1"/>
  <c r="M226" i="9" s="1"/>
  <c r="N226" i="9" s="1"/>
  <c r="J224" i="9"/>
  <c r="M224" i="9" s="1"/>
  <c r="N224" i="9" s="1"/>
  <c r="O2" i="12"/>
  <c r="B18" i="11"/>
  <c r="F82" i="6"/>
  <c r="J228" i="9"/>
  <c r="M228" i="9" s="1"/>
  <c r="N228" i="9" s="1"/>
  <c r="J227" i="9"/>
  <c r="M227" i="9" s="1"/>
  <c r="N227" i="9" s="1"/>
  <c r="S10" i="11"/>
  <c r="W240" i="9"/>
  <c r="X240" i="9" s="1"/>
  <c r="W241" i="9"/>
  <c r="W10" i="11" l="1"/>
  <c r="U114" i="11"/>
  <c r="H229" i="9"/>
  <c r="Q114" i="11"/>
  <c r="H230" i="9"/>
  <c r="S18" i="11"/>
  <c r="R117" i="11"/>
  <c r="R114" i="11"/>
  <c r="R116" i="11"/>
  <c r="R113" i="11"/>
  <c r="R115" i="11"/>
  <c r="H235" i="9"/>
  <c r="P115" i="11"/>
  <c r="P117" i="11"/>
  <c r="P114" i="11"/>
  <c r="P116" i="11"/>
  <c r="P118" i="11"/>
  <c r="P113" i="11"/>
  <c r="H238" i="9"/>
  <c r="W18" i="11" l="1"/>
  <c r="V238" i="9"/>
  <c r="V230" i="9"/>
  <c r="P229" i="9"/>
  <c r="Q229" i="9" s="1"/>
  <c r="P230" i="9"/>
  <c r="Q230" i="9" s="1"/>
  <c r="V229" i="9"/>
  <c r="P235" i="9"/>
  <c r="Q235" i="9" s="1"/>
  <c r="P236" i="9"/>
  <c r="Q236" i="9" s="1"/>
  <c r="V235" i="9"/>
  <c r="W236" i="9" l="1"/>
  <c r="X236" i="9" s="1"/>
  <c r="W235" i="9"/>
  <c r="X235" i="9" s="1"/>
  <c r="W230" i="9"/>
  <c r="X230" i="9" s="1"/>
  <c r="W229" i="9"/>
  <c r="X229" i="9" s="1"/>
  <c r="J229" i="9" l="1"/>
  <c r="M229" i="9" s="1"/>
  <c r="N229" i="9" s="1"/>
  <c r="J230" i="9"/>
  <c r="M230" i="9" s="1"/>
  <c r="N230" i="9" s="1"/>
  <c r="J236" i="9"/>
  <c r="M236" i="9" s="1"/>
  <c r="N236" i="9" s="1"/>
  <c r="T162" i="11" s="1"/>
  <c r="J235" i="9"/>
  <c r="M235" i="9" s="1"/>
  <c r="N235" i="9" s="1"/>
  <c r="T160" i="11" l="1"/>
  <c r="T161" i="11"/>
  <c r="T158" i="11"/>
  <c r="T159" i="11"/>
  <c r="T156" i="11"/>
  <c r="T157" i="11"/>
  <c r="T153" i="11"/>
  <c r="T155" i="11"/>
  <c r="T154" i="11"/>
  <c r="T151" i="11"/>
  <c r="T152" i="11"/>
  <c r="R118" i="11"/>
  <c r="H237" i="9"/>
  <c r="T149" i="11"/>
  <c r="B11" i="12"/>
  <c r="T150" i="11"/>
  <c r="T145" i="11"/>
  <c r="T147" i="11"/>
  <c r="T142" i="11"/>
  <c r="T126" i="11"/>
  <c r="T135" i="11"/>
  <c r="T119" i="11"/>
  <c r="T128" i="11"/>
  <c r="T137" i="11"/>
  <c r="T121" i="11"/>
  <c r="T130" i="11"/>
  <c r="T139" i="11"/>
  <c r="T123" i="11"/>
  <c r="T148" i="11"/>
  <c r="T144" i="11"/>
  <c r="T132" i="11"/>
  <c r="T141" i="11"/>
  <c r="T125" i="11"/>
  <c r="T134" i="11"/>
  <c r="T118" i="11"/>
  <c r="T143" i="11"/>
  <c r="T127" i="11"/>
  <c r="T136" i="11"/>
  <c r="T120" i="11"/>
  <c r="T129" i="11"/>
  <c r="T138" i="11"/>
  <c r="T146" i="11"/>
  <c r="T131" i="11"/>
  <c r="T140" i="11"/>
  <c r="T124" i="11"/>
  <c r="T133" i="11"/>
  <c r="T122" i="11"/>
  <c r="J16" i="11"/>
  <c r="Q115" i="11"/>
  <c r="H232" i="9"/>
  <c r="U115" i="11"/>
  <c r="H231" i="9"/>
  <c r="P232" i="9" l="1"/>
  <c r="Q232" i="9" s="1"/>
  <c r="P231" i="9"/>
  <c r="Q231" i="9" s="1"/>
  <c r="V231" i="9"/>
  <c r="V232" i="9"/>
  <c r="M2" i="12"/>
  <c r="B16" i="11"/>
  <c r="F87" i="6"/>
  <c r="S87" i="6" s="1"/>
  <c r="P239" i="9"/>
  <c r="P238" i="9"/>
  <c r="Q238" i="9" s="1"/>
  <c r="P237" i="9"/>
  <c r="Q237" i="9" s="1"/>
  <c r="V237" i="9"/>
  <c r="W238" i="9" l="1"/>
  <c r="X238" i="9" s="1"/>
  <c r="W239" i="9"/>
  <c r="W237" i="9"/>
  <c r="X237" i="9" s="1"/>
  <c r="S16" i="11"/>
  <c r="W231" i="9"/>
  <c r="X231" i="9" s="1"/>
  <c r="W232" i="9"/>
  <c r="X232" i="9" s="1"/>
  <c r="J231" i="9" l="1"/>
  <c r="M231" i="9" s="1"/>
  <c r="N231" i="9" s="1"/>
  <c r="J232" i="9"/>
  <c r="M232" i="9" s="1"/>
  <c r="N232" i="9" s="1"/>
  <c r="Q162" i="11" s="1"/>
  <c r="W16" i="11"/>
  <c r="J238" i="9"/>
  <c r="M238" i="9" s="1"/>
  <c r="N238" i="9" s="1"/>
  <c r="Q160" i="11" l="1"/>
  <c r="Q161" i="11"/>
  <c r="Q158" i="11"/>
  <c r="Q159" i="11"/>
  <c r="Q156" i="11"/>
  <c r="Q157" i="11"/>
  <c r="Q153" i="11"/>
  <c r="Q155" i="11"/>
  <c r="Q154" i="11"/>
  <c r="Q151" i="11"/>
  <c r="Q152" i="11"/>
  <c r="P119" i="11"/>
  <c r="P121" i="11"/>
  <c r="P120" i="11"/>
  <c r="H244" i="9"/>
  <c r="Q149" i="11"/>
  <c r="Q144" i="11"/>
  <c r="Q146" i="11"/>
  <c r="Q148" i="11"/>
  <c r="Q150" i="11"/>
  <c r="B8" i="12"/>
  <c r="Q131" i="11"/>
  <c r="Q140" i="11"/>
  <c r="Q124" i="11"/>
  <c r="Q133" i="11"/>
  <c r="Q117" i="11"/>
  <c r="Q147" i="11"/>
  <c r="Q142" i="11"/>
  <c r="Q126" i="11"/>
  <c r="Q135" i="11"/>
  <c r="Q119" i="11"/>
  <c r="Q128" i="11"/>
  <c r="Q137" i="11"/>
  <c r="Q121" i="11"/>
  <c r="Q145" i="11"/>
  <c r="Q130" i="11"/>
  <c r="Q139" i="11"/>
  <c r="Q123" i="11"/>
  <c r="Q132" i="11"/>
  <c r="Q116" i="11"/>
  <c r="Q141" i="11"/>
  <c r="Q125" i="11"/>
  <c r="Q134" i="11"/>
  <c r="Q143" i="11"/>
  <c r="Q127" i="11"/>
  <c r="Q136" i="11"/>
  <c r="Q120" i="11"/>
  <c r="Q129" i="11"/>
  <c r="Q138" i="11"/>
  <c r="Q118" i="11"/>
  <c r="Q122" i="11"/>
  <c r="J13" i="11"/>
  <c r="U116" i="11"/>
  <c r="H234" i="9"/>
  <c r="J2" i="12" l="1"/>
  <c r="B13" i="11"/>
  <c r="F76" i="6"/>
  <c r="S76" i="6" s="1"/>
  <c r="P233" i="9"/>
  <c r="Q233" i="9" s="1"/>
  <c r="P234" i="9"/>
  <c r="Q234" i="9" s="1"/>
  <c r="V234" i="9"/>
  <c r="P245" i="9"/>
  <c r="P244" i="9"/>
  <c r="Q244" i="9" s="1"/>
  <c r="V244" i="9"/>
  <c r="W234" i="9" l="1"/>
  <c r="X234" i="9" s="1"/>
  <c r="W233" i="9"/>
  <c r="X233" i="9" s="1"/>
  <c r="W245" i="9"/>
  <c r="W244" i="9"/>
  <c r="X244" i="9" s="1"/>
  <c r="S13" i="11"/>
  <c r="W13" i="11" l="1"/>
  <c r="J234" i="9"/>
  <c r="M234" i="9" s="1"/>
  <c r="N234" i="9" s="1"/>
  <c r="J233" i="9"/>
  <c r="M233" i="9" s="1"/>
  <c r="N233" i="9" s="1"/>
  <c r="L162" i="11" s="1"/>
  <c r="L160" i="11" l="1"/>
  <c r="L161" i="11"/>
  <c r="L158" i="11"/>
  <c r="L159" i="11"/>
  <c r="L156" i="11"/>
  <c r="L157" i="11"/>
  <c r="L153" i="11"/>
  <c r="L154" i="11"/>
  <c r="L155" i="11"/>
  <c r="L151" i="11"/>
  <c r="L152" i="11"/>
  <c r="L147" i="11"/>
  <c r="L149" i="11"/>
  <c r="B3" i="12"/>
  <c r="L146" i="11"/>
  <c r="L134" i="11"/>
  <c r="L118" i="11"/>
  <c r="L143" i="11"/>
  <c r="L127" i="11"/>
  <c r="L136" i="11"/>
  <c r="L120" i="11"/>
  <c r="L150" i="11"/>
  <c r="L129" i="11"/>
  <c r="L138" i="11"/>
  <c r="L122" i="11"/>
  <c r="L131" i="11"/>
  <c r="L140" i="11"/>
  <c r="L124" i="11"/>
  <c r="L148" i="11"/>
  <c r="L133" i="11"/>
  <c r="L117" i="11"/>
  <c r="L142" i="11"/>
  <c r="L126" i="11"/>
  <c r="L135" i="11"/>
  <c r="L119" i="11"/>
  <c r="L145" i="11"/>
  <c r="L128" i="11"/>
  <c r="L144" i="11"/>
  <c r="L137" i="11"/>
  <c r="L130" i="11"/>
  <c r="L139" i="11"/>
  <c r="L123" i="11"/>
  <c r="L132" i="11"/>
  <c r="L141" i="11"/>
  <c r="L125" i="11"/>
  <c r="L121" i="11"/>
  <c r="J8" i="11"/>
  <c r="U118" i="11"/>
  <c r="U117" i="11"/>
  <c r="H239" i="9"/>
  <c r="V239" i="9" l="1"/>
  <c r="X239" i="9" s="1"/>
  <c r="Q239" i="9"/>
  <c r="E2" i="12"/>
  <c r="B8" i="11"/>
  <c r="F81" i="6"/>
  <c r="S81" i="6" s="1"/>
  <c r="S8" i="11" l="1"/>
  <c r="J239" i="9"/>
  <c r="M239" i="9" s="1"/>
  <c r="N239" i="9" s="1"/>
  <c r="J237" i="9"/>
  <c r="M237" i="9" s="1"/>
  <c r="N237" i="9" s="1"/>
  <c r="R119" i="11" l="1"/>
  <c r="H241" i="9"/>
  <c r="U135" i="11"/>
  <c r="U119" i="11"/>
  <c r="U128" i="11"/>
  <c r="U137" i="11"/>
  <c r="U121" i="11"/>
  <c r="U130" i="11"/>
  <c r="U123" i="11"/>
  <c r="U132" i="11"/>
  <c r="U125" i="11"/>
  <c r="U134" i="11"/>
  <c r="U127" i="11"/>
  <c r="U136" i="11"/>
  <c r="U120" i="11"/>
  <c r="U129" i="11"/>
  <c r="U138" i="11"/>
  <c r="U131" i="11"/>
  <c r="U124" i="11"/>
  <c r="U133" i="11"/>
  <c r="U122" i="11"/>
  <c r="U126" i="11"/>
  <c r="H279" i="9"/>
  <c r="W8" i="11"/>
  <c r="P278" i="9" l="1"/>
  <c r="P279" i="9"/>
  <c r="Q279" i="9" s="1"/>
  <c r="V279" i="9"/>
  <c r="V241" i="9"/>
  <c r="X241" i="9" s="1"/>
  <c r="Q241" i="9"/>
  <c r="W279" i="9" l="1"/>
  <c r="X279" i="9" s="1"/>
  <c r="W278" i="9"/>
  <c r="J240" i="9"/>
  <c r="M240" i="9" s="1"/>
  <c r="N240" i="9" s="1"/>
  <c r="J241" i="9"/>
  <c r="M241" i="9" s="1"/>
  <c r="N241" i="9" s="1"/>
  <c r="R120" i="11" l="1"/>
  <c r="H243" i="9"/>
  <c r="S120" i="11"/>
  <c r="H242" i="9"/>
  <c r="P242" i="9" l="1"/>
  <c r="Q242" i="9" s="1"/>
  <c r="P243" i="9"/>
  <c r="Q243" i="9" s="1"/>
  <c r="V242" i="9"/>
  <c r="V243" i="9"/>
  <c r="W242" i="9" l="1"/>
  <c r="X242" i="9" s="1"/>
  <c r="W243" i="9"/>
  <c r="X243" i="9" s="1"/>
  <c r="J243" i="9" l="1"/>
  <c r="M243" i="9" s="1"/>
  <c r="N243" i="9" s="1"/>
  <c r="J242" i="9"/>
  <c r="M242" i="9" s="1"/>
  <c r="N242" i="9" s="1"/>
  <c r="S162" i="11" s="1"/>
  <c r="S160" i="11" l="1"/>
  <c r="S161" i="11"/>
  <c r="S158" i="11"/>
  <c r="S159" i="11"/>
  <c r="S156" i="11"/>
  <c r="S157" i="11"/>
  <c r="S153" i="11"/>
  <c r="S155" i="11"/>
  <c r="S154" i="11"/>
  <c r="S151" i="11"/>
  <c r="S152" i="11"/>
  <c r="S146" i="11"/>
  <c r="S148" i="11"/>
  <c r="S150" i="11"/>
  <c r="B10" i="12"/>
  <c r="S145" i="11"/>
  <c r="S133" i="11"/>
  <c r="S147" i="11"/>
  <c r="S142" i="11"/>
  <c r="S126" i="11"/>
  <c r="S135" i="11"/>
  <c r="S128" i="11"/>
  <c r="S137" i="11"/>
  <c r="S121" i="11"/>
  <c r="S130" i="11"/>
  <c r="S139" i="11"/>
  <c r="S123" i="11"/>
  <c r="S144" i="11"/>
  <c r="S132" i="11"/>
  <c r="S141" i="11"/>
  <c r="S125" i="11"/>
  <c r="S134" i="11"/>
  <c r="S143" i="11"/>
  <c r="S127" i="11"/>
  <c r="S136" i="11"/>
  <c r="S149" i="11"/>
  <c r="S129" i="11"/>
  <c r="S138" i="11"/>
  <c r="S122" i="11"/>
  <c r="S131" i="11"/>
  <c r="S140" i="11"/>
  <c r="S124" i="11"/>
  <c r="J15" i="11"/>
  <c r="R121" i="11"/>
  <c r="H245" i="9"/>
  <c r="L2" i="12" l="1"/>
  <c r="B15" i="11"/>
  <c r="F74" i="6"/>
  <c r="S74" i="6" s="1"/>
  <c r="V245" i="9"/>
  <c r="X245" i="9" s="1"/>
  <c r="Q245" i="9"/>
  <c r="J245" i="9" l="1"/>
  <c r="M245" i="9" s="1"/>
  <c r="N245" i="9" s="1"/>
  <c r="J244" i="9"/>
  <c r="M244" i="9" s="1"/>
  <c r="N244" i="9" s="1"/>
  <c r="S15" i="11"/>
  <c r="W15" i="11" l="1"/>
  <c r="P122" i="11"/>
  <c r="P124" i="11"/>
  <c r="P126" i="11"/>
  <c r="P123" i="11"/>
  <c r="P125" i="11"/>
  <c r="P127" i="11"/>
  <c r="H257" i="9"/>
  <c r="R122" i="11"/>
  <c r="H246" i="9"/>
  <c r="P247" i="9" l="1"/>
  <c r="Q247" i="9" s="1"/>
  <c r="P246" i="9"/>
  <c r="Q246" i="9" s="1"/>
  <c r="V246" i="9"/>
  <c r="P257" i="9"/>
  <c r="Q257" i="9" s="1"/>
  <c r="P256" i="9"/>
  <c r="Q256" i="9" s="1"/>
  <c r="V257" i="9"/>
  <c r="W256" i="9" l="1"/>
  <c r="X256" i="9" s="1"/>
  <c r="W257" i="9"/>
  <c r="X257" i="9" s="1"/>
  <c r="W247" i="9"/>
  <c r="X247" i="9" s="1"/>
  <c r="W246" i="9"/>
  <c r="X246" i="9" s="1"/>
  <c r="J247" i="9" l="1"/>
  <c r="M247" i="9" s="1"/>
  <c r="N247" i="9" s="1"/>
  <c r="J246" i="9"/>
  <c r="M246" i="9" s="1"/>
  <c r="N246" i="9" s="1"/>
  <c r="J257" i="9"/>
  <c r="M257" i="9" s="1"/>
  <c r="N257" i="9" s="1"/>
  <c r="J256" i="9"/>
  <c r="M256" i="9" s="1"/>
  <c r="N256" i="9" s="1"/>
  <c r="K128" i="11" l="1"/>
  <c r="H258" i="9"/>
  <c r="R123" i="11"/>
  <c r="H248" i="9"/>
  <c r="P128" i="11"/>
  <c r="H259" i="9"/>
  <c r="O123" i="11"/>
  <c r="H249" i="9"/>
  <c r="V249" i="9" l="1"/>
  <c r="V259" i="9"/>
  <c r="P249" i="9"/>
  <c r="Q249" i="9" s="1"/>
  <c r="P248" i="9"/>
  <c r="Q248" i="9" s="1"/>
  <c r="V248" i="9"/>
  <c r="P259" i="9"/>
  <c r="Q259" i="9" s="1"/>
  <c r="P258" i="9"/>
  <c r="Q258" i="9" s="1"/>
  <c r="V258" i="9"/>
  <c r="W258" i="9" l="1"/>
  <c r="X258" i="9" s="1"/>
  <c r="W259" i="9"/>
  <c r="X259" i="9" s="1"/>
  <c r="W249" i="9"/>
  <c r="X249" i="9" s="1"/>
  <c r="W248" i="9"/>
  <c r="X248" i="9" s="1"/>
  <c r="J249" i="9" l="1"/>
  <c r="M249" i="9" s="1"/>
  <c r="N249" i="9" s="1"/>
  <c r="J248" i="9"/>
  <c r="M248" i="9" s="1"/>
  <c r="N248" i="9" s="1"/>
  <c r="J259" i="9"/>
  <c r="M259" i="9" s="1"/>
  <c r="N259" i="9" s="1"/>
  <c r="J258" i="9"/>
  <c r="M258" i="9" s="1"/>
  <c r="N258" i="9" s="1"/>
  <c r="K129" i="11" l="1"/>
  <c r="H260" i="9"/>
  <c r="P129" i="11"/>
  <c r="H261" i="9"/>
  <c r="R124" i="11"/>
  <c r="H251" i="9"/>
  <c r="O124" i="11"/>
  <c r="H250" i="9"/>
  <c r="P250" i="9" l="1"/>
  <c r="Q250" i="9" s="1"/>
  <c r="P251" i="9"/>
  <c r="Q251" i="9" s="1"/>
  <c r="V250" i="9"/>
  <c r="V251" i="9"/>
  <c r="V261" i="9"/>
  <c r="P261" i="9"/>
  <c r="Q261" i="9" s="1"/>
  <c r="P260" i="9"/>
  <c r="Q260" i="9" s="1"/>
  <c r="V260" i="9"/>
  <c r="W261" i="9" l="1"/>
  <c r="X261" i="9" s="1"/>
  <c r="W260" i="9"/>
  <c r="X260" i="9" s="1"/>
  <c r="W250" i="9"/>
  <c r="X250" i="9" s="1"/>
  <c r="W251" i="9"/>
  <c r="X251" i="9" s="1"/>
  <c r="J250" i="9" l="1"/>
  <c r="M250" i="9" s="1"/>
  <c r="N250" i="9" s="1"/>
  <c r="J251" i="9"/>
  <c r="M251" i="9" s="1"/>
  <c r="N251" i="9" s="1"/>
  <c r="J261" i="9"/>
  <c r="M261" i="9" s="1"/>
  <c r="N261" i="9" s="1"/>
  <c r="J260" i="9"/>
  <c r="M260" i="9" s="1"/>
  <c r="N260" i="9" s="1"/>
  <c r="P130" i="11" l="1"/>
  <c r="H263" i="9"/>
  <c r="K130" i="11"/>
  <c r="H262" i="9"/>
  <c r="R125" i="11"/>
  <c r="H253" i="9"/>
  <c r="O125" i="11"/>
  <c r="H252" i="9"/>
  <c r="P253" i="9" l="1"/>
  <c r="Q253" i="9" s="1"/>
  <c r="P252" i="9"/>
  <c r="Q252" i="9" s="1"/>
  <c r="V252" i="9"/>
  <c r="V253" i="9"/>
  <c r="V262" i="9"/>
  <c r="P263" i="9"/>
  <c r="Q263" i="9" s="1"/>
  <c r="P262" i="9"/>
  <c r="Q262" i="9" s="1"/>
  <c r="V263" i="9"/>
  <c r="W263" i="9" l="1"/>
  <c r="X263" i="9" s="1"/>
  <c r="W262" i="9"/>
  <c r="X262" i="9" s="1"/>
  <c r="W253" i="9"/>
  <c r="X253" i="9" s="1"/>
  <c r="W252" i="9"/>
  <c r="X252" i="9" s="1"/>
  <c r="J252" i="9" l="1"/>
  <c r="M252" i="9" s="1"/>
  <c r="N252" i="9" s="1"/>
  <c r="J253" i="9"/>
  <c r="M253" i="9" s="1"/>
  <c r="N253" i="9" s="1"/>
  <c r="J263" i="9"/>
  <c r="M263" i="9" s="1"/>
  <c r="N263" i="9" s="1"/>
  <c r="J262" i="9"/>
  <c r="M262" i="9" s="1"/>
  <c r="N262" i="9" s="1"/>
  <c r="K131" i="11" l="1"/>
  <c r="H264" i="9"/>
  <c r="P131" i="11"/>
  <c r="H265" i="9"/>
  <c r="R126" i="11"/>
  <c r="H254" i="9"/>
  <c r="O126" i="11"/>
  <c r="H255" i="9"/>
  <c r="V255" i="9" l="1"/>
  <c r="P255" i="9"/>
  <c r="Q255" i="9" s="1"/>
  <c r="P254" i="9"/>
  <c r="Q254" i="9" s="1"/>
  <c r="V254" i="9"/>
  <c r="P264" i="9"/>
  <c r="Q264" i="9" s="1"/>
  <c r="P265" i="9"/>
  <c r="Q265" i="9" s="1"/>
  <c r="V265" i="9"/>
  <c r="V264" i="9"/>
  <c r="W265" i="9" l="1"/>
  <c r="X265" i="9" s="1"/>
  <c r="W264" i="9"/>
  <c r="X264" i="9" s="1"/>
  <c r="W254" i="9"/>
  <c r="X254" i="9" s="1"/>
  <c r="W255" i="9"/>
  <c r="X255" i="9" s="1"/>
  <c r="J254" i="9" l="1"/>
  <c r="M254" i="9" s="1"/>
  <c r="N254" i="9" s="1"/>
  <c r="J255" i="9"/>
  <c r="M255" i="9" s="1"/>
  <c r="N255" i="9" s="1"/>
  <c r="O162" i="11" s="1"/>
  <c r="J265" i="9"/>
  <c r="M265" i="9" s="1"/>
  <c r="N265" i="9" s="1"/>
  <c r="J264" i="9"/>
  <c r="M264" i="9" s="1"/>
  <c r="N264" i="9" s="1"/>
  <c r="O160" i="11" l="1"/>
  <c r="O161" i="11"/>
  <c r="O158" i="11"/>
  <c r="O159" i="11"/>
  <c r="O156" i="11"/>
  <c r="O157" i="11"/>
  <c r="O155" i="11"/>
  <c r="O154" i="11"/>
  <c r="O152" i="11"/>
  <c r="O153" i="11"/>
  <c r="K132" i="11"/>
  <c r="H266" i="9"/>
  <c r="P132" i="11"/>
  <c r="H267" i="9"/>
  <c r="O147" i="11"/>
  <c r="O144" i="11"/>
  <c r="O146" i="11"/>
  <c r="O148" i="11"/>
  <c r="O150" i="11"/>
  <c r="O129" i="11"/>
  <c r="O138" i="11"/>
  <c r="O131" i="11"/>
  <c r="O140" i="11"/>
  <c r="O133" i="11"/>
  <c r="O142" i="11"/>
  <c r="O135" i="11"/>
  <c r="O128" i="11"/>
  <c r="O137" i="11"/>
  <c r="O145" i="11"/>
  <c r="O130" i="11"/>
  <c r="O139" i="11"/>
  <c r="O132" i="11"/>
  <c r="O141" i="11"/>
  <c r="O134" i="11"/>
  <c r="O149" i="11"/>
  <c r="O143" i="11"/>
  <c r="O127" i="11"/>
  <c r="O136" i="11"/>
  <c r="J11" i="11"/>
  <c r="R133" i="11"/>
  <c r="R135" i="11"/>
  <c r="R128" i="11"/>
  <c r="R137" i="11"/>
  <c r="R130" i="11"/>
  <c r="R132" i="11"/>
  <c r="R134" i="11"/>
  <c r="R127" i="11"/>
  <c r="R136" i="11"/>
  <c r="R129" i="11"/>
  <c r="R131" i="11"/>
  <c r="H277" i="9"/>
  <c r="V277" i="9" l="1"/>
  <c r="V267" i="9"/>
  <c r="P266" i="9"/>
  <c r="Q266" i="9" s="1"/>
  <c r="P267" i="9"/>
  <c r="Q267" i="9" s="1"/>
  <c r="V266" i="9"/>
  <c r="W267" i="9" l="1"/>
  <c r="X267" i="9" s="1"/>
  <c r="W266" i="9"/>
  <c r="X266" i="9" s="1"/>
  <c r="J267" i="9" l="1"/>
  <c r="M267" i="9" s="1"/>
  <c r="N267" i="9" s="1"/>
  <c r="J266" i="9"/>
  <c r="M266" i="9" s="1"/>
  <c r="N266" i="9" s="1"/>
  <c r="K133" i="11" l="1"/>
  <c r="H268" i="9"/>
  <c r="P133" i="11"/>
  <c r="H269" i="9"/>
  <c r="P268" i="9" l="1"/>
  <c r="Q268" i="9" s="1"/>
  <c r="P269" i="9"/>
  <c r="Q269" i="9" s="1"/>
  <c r="V268" i="9"/>
  <c r="V269" i="9"/>
  <c r="W269" i="9" l="1"/>
  <c r="X269" i="9" s="1"/>
  <c r="W268" i="9"/>
  <c r="X268" i="9" s="1"/>
  <c r="J268" i="9" l="1"/>
  <c r="M268" i="9" s="1"/>
  <c r="N268" i="9" s="1"/>
  <c r="J269" i="9"/>
  <c r="M269" i="9" s="1"/>
  <c r="N269" i="9" s="1"/>
  <c r="P134" i="11" l="1"/>
  <c r="H271" i="9"/>
  <c r="K134" i="11"/>
  <c r="H270" i="9"/>
  <c r="P271" i="9" l="1"/>
  <c r="Q271" i="9" s="1"/>
  <c r="P270" i="9"/>
  <c r="Q270" i="9" s="1"/>
  <c r="V270" i="9"/>
  <c r="V271" i="9"/>
  <c r="W270" i="9" l="1"/>
  <c r="X270" i="9" s="1"/>
  <c r="W271" i="9"/>
  <c r="X271" i="9" s="1"/>
  <c r="J270" i="9" l="1"/>
  <c r="M270" i="9" s="1"/>
  <c r="N270" i="9" s="1"/>
  <c r="J271" i="9"/>
  <c r="M271" i="9" s="1"/>
  <c r="N271" i="9" s="1"/>
  <c r="P135" i="11" l="1"/>
  <c r="H273" i="9"/>
  <c r="K135" i="11"/>
  <c r="H272" i="9"/>
  <c r="P273" i="9" l="1"/>
  <c r="Q273" i="9" s="1"/>
  <c r="P272" i="9"/>
  <c r="Q272" i="9" s="1"/>
  <c r="V272" i="9"/>
  <c r="V273" i="9"/>
  <c r="W273" i="9" l="1"/>
  <c r="X273" i="9" s="1"/>
  <c r="W272" i="9"/>
  <c r="X272" i="9" s="1"/>
  <c r="J272" i="9" l="1"/>
  <c r="M272" i="9" s="1"/>
  <c r="N272" i="9" s="1"/>
  <c r="J273" i="9"/>
  <c r="M273" i="9" s="1"/>
  <c r="N273" i="9" s="1"/>
  <c r="P136" i="11" l="1"/>
  <c r="H275" i="9"/>
  <c r="K136" i="11"/>
  <c r="H274" i="9"/>
  <c r="P274" i="9" l="1"/>
  <c r="Q274" i="9" s="1"/>
  <c r="P275" i="9"/>
  <c r="Q275" i="9" s="1"/>
  <c r="V274" i="9"/>
  <c r="V275" i="9"/>
  <c r="W275" i="9" l="1"/>
  <c r="X275" i="9" s="1"/>
  <c r="W274" i="9"/>
  <c r="X274" i="9" s="1"/>
  <c r="J275" i="9" l="1"/>
  <c r="M275" i="9" s="1"/>
  <c r="N275" i="9" s="1"/>
  <c r="J274" i="9"/>
  <c r="M274" i="9" s="1"/>
  <c r="N274" i="9" s="1"/>
  <c r="H303" i="9" l="1"/>
  <c r="K150" i="11"/>
  <c r="K149" i="11"/>
  <c r="K146" i="11"/>
  <c r="K141" i="11"/>
  <c r="K143" i="11"/>
  <c r="K138" i="11"/>
  <c r="K147" i="11"/>
  <c r="K140" i="11"/>
  <c r="K148" i="11"/>
  <c r="K142" i="11"/>
  <c r="K145" i="11"/>
  <c r="K144" i="11"/>
  <c r="K137" i="11"/>
  <c r="K139" i="11"/>
  <c r="J7" i="11"/>
  <c r="P137" i="11"/>
  <c r="H276" i="9"/>
  <c r="V303" i="9" l="1"/>
  <c r="P276" i="9"/>
  <c r="Q276" i="9" s="1"/>
  <c r="P277" i="9"/>
  <c r="Q277" i="9" s="1"/>
  <c r="V276" i="9"/>
  <c r="W277" i="9" l="1"/>
  <c r="X277" i="9" s="1"/>
  <c r="W276" i="9"/>
  <c r="X276" i="9" s="1"/>
  <c r="J277" i="9" l="1"/>
  <c r="M277" i="9" s="1"/>
  <c r="N277" i="9" s="1"/>
  <c r="J276" i="9"/>
  <c r="M276" i="9" s="1"/>
  <c r="N276" i="9" s="1"/>
  <c r="P138" i="11" l="1"/>
  <c r="H278" i="9"/>
  <c r="R140" i="11"/>
  <c r="R142" i="11"/>
  <c r="R139" i="11"/>
  <c r="R144" i="11"/>
  <c r="R141" i="11"/>
  <c r="R143" i="11"/>
  <c r="R138" i="11"/>
  <c r="H291" i="9"/>
  <c r="P290" i="9" l="1"/>
  <c r="P291" i="9"/>
  <c r="Q291" i="9" s="1"/>
  <c r="V291" i="9"/>
  <c r="V278" i="9"/>
  <c r="X278" i="9" s="1"/>
  <c r="Q278" i="9"/>
  <c r="W291" i="9" l="1"/>
  <c r="X291" i="9" s="1"/>
  <c r="W290" i="9"/>
  <c r="J279" i="9"/>
  <c r="M279" i="9" s="1"/>
  <c r="N279" i="9" s="1"/>
  <c r="J278" i="9"/>
  <c r="M278" i="9" s="1"/>
  <c r="N278" i="9" s="1"/>
  <c r="P139" i="11" l="1"/>
  <c r="H280" i="9"/>
  <c r="U139" i="11"/>
  <c r="H281" i="9"/>
  <c r="P280" i="9" l="1"/>
  <c r="Q280" i="9" s="1"/>
  <c r="P281" i="9"/>
  <c r="Q281" i="9" s="1"/>
  <c r="V281" i="9"/>
  <c r="V280" i="9"/>
  <c r="W281" i="9" l="1"/>
  <c r="X281" i="9" s="1"/>
  <c r="W280" i="9"/>
  <c r="X280" i="9" s="1"/>
  <c r="J281" i="9" l="1"/>
  <c r="M281" i="9" s="1"/>
  <c r="N281" i="9" s="1"/>
  <c r="J280" i="9"/>
  <c r="M280" i="9" s="1"/>
  <c r="N280" i="9" s="1"/>
  <c r="P140" i="11" l="1"/>
  <c r="H282" i="9"/>
  <c r="U140" i="11"/>
  <c r="H283" i="9"/>
  <c r="P283" i="9" l="1"/>
  <c r="Q283" i="9" s="1"/>
  <c r="P282" i="9"/>
  <c r="Q282" i="9" s="1"/>
  <c r="V283" i="9"/>
  <c r="V282" i="9"/>
  <c r="W282" i="9" l="1"/>
  <c r="X282" i="9" s="1"/>
  <c r="W283" i="9"/>
  <c r="X283" i="9" s="1"/>
  <c r="J282" i="9" l="1"/>
  <c r="M282" i="9" s="1"/>
  <c r="N282" i="9" s="1"/>
  <c r="J283" i="9"/>
  <c r="M283" i="9" s="1"/>
  <c r="N283" i="9" s="1"/>
  <c r="U141" i="11" l="1"/>
  <c r="H285" i="9"/>
  <c r="P141" i="11"/>
  <c r="H284" i="9"/>
  <c r="V284" i="9" l="1"/>
  <c r="P284" i="9"/>
  <c r="Q284" i="9" s="1"/>
  <c r="P285" i="9"/>
  <c r="Q285" i="9" s="1"/>
  <c r="V285" i="9"/>
  <c r="W285" i="9" l="1"/>
  <c r="X285" i="9" s="1"/>
  <c r="W284" i="9"/>
  <c r="X284" i="9" s="1"/>
  <c r="J284" i="9" l="1"/>
  <c r="M284" i="9" s="1"/>
  <c r="N284" i="9" s="1"/>
  <c r="J285" i="9"/>
  <c r="M285" i="9" s="1"/>
  <c r="N285" i="9" s="1"/>
  <c r="U142" i="11" l="1"/>
  <c r="H287" i="9"/>
  <c r="P142" i="11"/>
  <c r="H286" i="9"/>
  <c r="P287" i="9" l="1"/>
  <c r="Q287" i="9" s="1"/>
  <c r="P286" i="9"/>
  <c r="Q286" i="9" s="1"/>
  <c r="V286" i="9"/>
  <c r="V287" i="9"/>
  <c r="W286" i="9" l="1"/>
  <c r="X286" i="9" s="1"/>
  <c r="W287" i="9"/>
  <c r="X287" i="9" s="1"/>
  <c r="J286" i="9" l="1"/>
  <c r="M286" i="9" s="1"/>
  <c r="N286" i="9" s="1"/>
  <c r="J287" i="9"/>
  <c r="M287" i="9" s="1"/>
  <c r="N287" i="9" s="1"/>
  <c r="U143" i="11" l="1"/>
  <c r="H289" i="9"/>
  <c r="P143" i="11"/>
  <c r="H288" i="9"/>
  <c r="P288" i="9" l="1"/>
  <c r="Q288" i="9" s="1"/>
  <c r="P289" i="9"/>
  <c r="Q289" i="9" s="1"/>
  <c r="V288" i="9"/>
  <c r="V289" i="9"/>
  <c r="W289" i="9" l="1"/>
  <c r="X289" i="9" s="1"/>
  <c r="W288" i="9"/>
  <c r="X288" i="9" s="1"/>
  <c r="J288" i="9" l="1"/>
  <c r="M288" i="9" s="1"/>
  <c r="N288" i="9" s="1"/>
  <c r="J289" i="9"/>
  <c r="M289" i="9" s="1"/>
  <c r="N289" i="9" s="1"/>
  <c r="U145" i="11" l="1"/>
  <c r="U147" i="11"/>
  <c r="U144" i="11"/>
  <c r="U146" i="11"/>
  <c r="H297" i="9"/>
  <c r="P144" i="11"/>
  <c r="H290" i="9"/>
  <c r="V290" i="9" l="1"/>
  <c r="X290" i="9" s="1"/>
  <c r="Q290" i="9"/>
  <c r="V297" i="9"/>
  <c r="J291" i="9" l="1"/>
  <c r="M291" i="9" s="1"/>
  <c r="N291" i="9" s="1"/>
  <c r="J290" i="9"/>
  <c r="M290" i="9" s="1"/>
  <c r="N290" i="9" s="1"/>
  <c r="P145" i="11" l="1"/>
  <c r="H292" i="9"/>
  <c r="R145" i="11"/>
  <c r="H293" i="9"/>
  <c r="V293" i="9" l="1"/>
  <c r="P292" i="9"/>
  <c r="Q292" i="9" s="1"/>
  <c r="P293" i="9"/>
  <c r="Q293" i="9" s="1"/>
  <c r="V292" i="9"/>
  <c r="W293" i="9" l="1"/>
  <c r="X293" i="9" s="1"/>
  <c r="W292" i="9"/>
  <c r="X292" i="9" s="1"/>
  <c r="J293" i="9" l="1"/>
  <c r="M293" i="9" s="1"/>
  <c r="N293" i="9" s="1"/>
  <c r="J292" i="9"/>
  <c r="M292" i="9" s="1"/>
  <c r="N292" i="9" s="1"/>
  <c r="P146" i="11" l="1"/>
  <c r="H294" i="9"/>
  <c r="R146" i="11"/>
  <c r="H295" i="9"/>
  <c r="P294" i="9" l="1"/>
  <c r="Q294" i="9" s="1"/>
  <c r="P295" i="9"/>
  <c r="Q295" i="9" s="1"/>
  <c r="V295" i="9"/>
  <c r="V294" i="9"/>
  <c r="W295" i="9" l="1"/>
  <c r="X295" i="9" s="1"/>
  <c r="W294" i="9"/>
  <c r="X294" i="9" s="1"/>
  <c r="J295" i="9" l="1"/>
  <c r="M295" i="9" s="1"/>
  <c r="N295" i="9" s="1"/>
  <c r="R162" i="11" s="1"/>
  <c r="J294" i="9"/>
  <c r="M294" i="9" s="1"/>
  <c r="N294" i="9" s="1"/>
  <c r="R160" i="11" l="1"/>
  <c r="R161" i="11"/>
  <c r="R158" i="11"/>
  <c r="R159" i="11"/>
  <c r="R156" i="11"/>
  <c r="R157" i="11"/>
  <c r="R153" i="11"/>
  <c r="R155" i="11"/>
  <c r="R154" i="11"/>
  <c r="R152" i="11"/>
  <c r="J14" i="11"/>
  <c r="P147" i="11"/>
  <c r="H296" i="9"/>
  <c r="R149" i="11"/>
  <c r="R148" i="11"/>
  <c r="R150" i="11"/>
  <c r="R147" i="11"/>
  <c r="P296" i="9" l="1"/>
  <c r="Q296" i="9" s="1"/>
  <c r="P297" i="9"/>
  <c r="Q297" i="9" s="1"/>
  <c r="V296" i="9"/>
  <c r="W297" i="9" l="1"/>
  <c r="X297" i="9" s="1"/>
  <c r="W296" i="9"/>
  <c r="X296" i="9" s="1"/>
  <c r="J296" i="9" l="1"/>
  <c r="M296" i="9" s="1"/>
  <c r="N296" i="9" s="1"/>
  <c r="J297" i="9"/>
  <c r="M297" i="9" s="1"/>
  <c r="N297" i="9" s="1"/>
  <c r="U148" i="11" l="1"/>
  <c r="H299" i="9"/>
  <c r="P148" i="11"/>
  <c r="H298" i="9"/>
  <c r="V298" i="9" l="1"/>
  <c r="P299" i="9"/>
  <c r="Q299" i="9" s="1"/>
  <c r="P298" i="9"/>
  <c r="Q298" i="9" s="1"/>
  <c r="V299" i="9"/>
  <c r="W298" i="9" l="1"/>
  <c r="X298" i="9" s="1"/>
  <c r="W299" i="9"/>
  <c r="X299" i="9" s="1"/>
  <c r="J298" i="9" l="1"/>
  <c r="M298" i="9" s="1"/>
  <c r="N298" i="9" s="1"/>
  <c r="J299" i="9"/>
  <c r="M299" i="9" s="1"/>
  <c r="N299" i="9" s="1"/>
  <c r="U149" i="11" l="1"/>
  <c r="H301" i="9"/>
  <c r="P149" i="11"/>
  <c r="H300" i="9"/>
  <c r="P301" i="9" l="1"/>
  <c r="Q301" i="9" s="1"/>
  <c r="P300" i="9"/>
  <c r="Q300" i="9" s="1"/>
  <c r="V300" i="9"/>
  <c r="V301" i="9"/>
  <c r="W300" i="9" l="1"/>
  <c r="X300" i="9" s="1"/>
  <c r="W301" i="9"/>
  <c r="X301" i="9" s="1"/>
  <c r="J300" i="9" l="1"/>
  <c r="M300" i="9" s="1"/>
  <c r="N300" i="9" s="1"/>
  <c r="H302" i="9" s="1"/>
  <c r="J301" i="9"/>
  <c r="P303" i="9" l="1"/>
  <c r="Q303" i="9" s="1"/>
  <c r="P302" i="9"/>
  <c r="Q302" i="9" s="1"/>
  <c r="V302" i="9"/>
  <c r="J12" i="11"/>
  <c r="M301" i="9"/>
  <c r="P150" i="11"/>
  <c r="W302" i="9" l="1"/>
  <c r="X302" i="9" s="1"/>
  <c r="W303" i="9"/>
  <c r="X303" i="9" s="1"/>
  <c r="J303" i="9" s="1"/>
  <c r="M303" i="9" s="1"/>
  <c r="N303" i="9" s="1"/>
  <c r="N301" i="9"/>
  <c r="U161" i="11" l="1"/>
  <c r="U162" i="11"/>
  <c r="U159" i="11"/>
  <c r="U160" i="11"/>
  <c r="U156" i="11"/>
  <c r="U157" i="11"/>
  <c r="U155" i="11"/>
  <c r="U154" i="11"/>
  <c r="U152" i="11"/>
  <c r="U153" i="11"/>
  <c r="J302" i="9"/>
  <c r="M302" i="9" s="1"/>
  <c r="N302" i="9" s="1"/>
  <c r="H305" i="9"/>
  <c r="K151" i="11"/>
  <c r="B9" i="12"/>
  <c r="R151" i="11"/>
  <c r="B6" i="12"/>
  <c r="O151" i="11"/>
  <c r="U151" i="11"/>
  <c r="J17" i="11"/>
  <c r="U150" i="11"/>
  <c r="V305" i="9" l="1"/>
  <c r="H304" i="9"/>
  <c r="F75" i="6"/>
  <c r="S75" i="6" s="1"/>
  <c r="H2" i="12"/>
  <c r="B11" i="11"/>
  <c r="S11" i="11" s="1"/>
  <c r="W11" i="11" s="1"/>
  <c r="K2" i="12"/>
  <c r="B14" i="11"/>
  <c r="S14" i="11" s="1"/>
  <c r="W14" i="11" s="1"/>
  <c r="F78" i="6"/>
  <c r="S78" i="6" s="1"/>
  <c r="P151" i="11"/>
  <c r="K17" i="11"/>
  <c r="K10" i="11"/>
  <c r="K8" i="11"/>
  <c r="K16" i="11"/>
  <c r="K12" i="11"/>
  <c r="K19" i="11"/>
  <c r="K18" i="11"/>
  <c r="K13" i="11"/>
  <c r="K9" i="11"/>
  <c r="K7" i="11"/>
  <c r="K11" i="11"/>
  <c r="K20" i="11"/>
  <c r="K15" i="11"/>
  <c r="K14" i="11"/>
  <c r="P304" i="9" l="1"/>
  <c r="Q304" i="9" s="1"/>
  <c r="P305" i="9"/>
  <c r="Q305" i="9" s="1"/>
  <c r="V304" i="9"/>
  <c r="A13" i="3"/>
  <c r="A8" i="3"/>
  <c r="A14" i="3"/>
  <c r="A16" i="3"/>
  <c r="A9" i="3"/>
  <c r="A10" i="3"/>
  <c r="A15" i="3"/>
  <c r="A18" i="3"/>
  <c r="A11" i="3"/>
  <c r="A17" i="3"/>
  <c r="A5" i="3"/>
  <c r="A12" i="3"/>
  <c r="A6" i="3"/>
  <c r="A7" i="3"/>
  <c r="W304" i="9" l="1"/>
  <c r="X304" i="9" s="1"/>
  <c r="J304" i="9" s="1"/>
  <c r="M304" i="9" s="1"/>
  <c r="W305" i="9"/>
  <c r="X305" i="9" s="1"/>
  <c r="J305" i="9" s="1"/>
  <c r="M305" i="9" s="1"/>
  <c r="N305" i="9" s="1"/>
  <c r="H307" i="9" s="1"/>
  <c r="V307" i="9" l="1"/>
  <c r="N304" i="9"/>
  <c r="K152" i="11"/>
  <c r="P152" i="11"/>
  <c r="H306" i="9" l="1"/>
  <c r="H444" i="11" a="1"/>
  <c r="H444" i="11" s="1"/>
  <c r="D444" i="11" a="1"/>
  <c r="D444" i="11" s="1"/>
  <c r="G444" i="11" s="1"/>
  <c r="I444" i="11" s="1"/>
  <c r="Y444" i="11" s="1"/>
  <c r="H443" i="11" a="1"/>
  <c r="H443" i="11" s="1"/>
  <c r="D443" i="11" a="1"/>
  <c r="D443" i="11" s="1"/>
  <c r="G443" i="11" s="1"/>
  <c r="I443" i="11" s="1"/>
  <c r="Y443" i="11" s="1"/>
  <c r="H442" i="11" a="1"/>
  <c r="H442" i="11" s="1"/>
  <c r="D442" i="11" a="1"/>
  <c r="D442" i="11" s="1"/>
  <c r="G442" i="11" s="1"/>
  <c r="I442" i="11" s="1"/>
  <c r="Y442" i="11" s="1"/>
  <c r="H441" i="11" a="1"/>
  <c r="H441" i="11" s="1"/>
  <c r="D441" i="11" a="1"/>
  <c r="D441" i="11" s="1"/>
  <c r="G441" i="11" s="1"/>
  <c r="I441" i="11" s="1"/>
  <c r="Y441" i="11" s="1"/>
  <c r="H440" i="11" a="1"/>
  <c r="H440" i="11" s="1"/>
  <c r="D440" i="11" a="1"/>
  <c r="D440" i="11" s="1"/>
  <c r="G440" i="11" s="1"/>
  <c r="I440" i="11" s="1"/>
  <c r="Y440" i="11" s="1"/>
  <c r="H439" i="11" a="1"/>
  <c r="H439" i="11" s="1"/>
  <c r="D439" i="11" a="1"/>
  <c r="D439" i="11" s="1"/>
  <c r="G439" i="11" s="1"/>
  <c r="I439" i="11" s="1"/>
  <c r="Y439" i="11" s="1"/>
  <c r="H438" i="11" a="1"/>
  <c r="H438" i="11" s="1"/>
  <c r="D438" i="11" a="1"/>
  <c r="D438" i="11" s="1"/>
  <c r="G438" i="11" s="1"/>
  <c r="I438" i="11" s="1"/>
  <c r="Y438" i="11" s="1"/>
  <c r="H437" i="11" a="1"/>
  <c r="H437" i="11" s="1"/>
  <c r="D437" i="11" a="1"/>
  <c r="D437" i="11" s="1"/>
  <c r="G437" i="11" s="1"/>
  <c r="I437" i="11" s="1"/>
  <c r="Y437" i="11" s="1"/>
  <c r="H436" i="11" a="1"/>
  <c r="H436" i="11" s="1"/>
  <c r="D436" i="11" a="1"/>
  <c r="D436" i="11" s="1"/>
  <c r="G436" i="11" s="1"/>
  <c r="I436" i="11" s="1"/>
  <c r="Y436" i="11" s="1"/>
  <c r="H435" i="11" a="1"/>
  <c r="H435" i="11" s="1"/>
  <c r="D435" i="11" a="1"/>
  <c r="D435" i="11" s="1"/>
  <c r="G435" i="11" s="1"/>
  <c r="I435" i="11" s="1"/>
  <c r="Y435" i="11" s="1"/>
  <c r="H434" i="11" a="1"/>
  <c r="H434" i="11" s="1"/>
  <c r="D434" i="11" a="1"/>
  <c r="D434" i="11" s="1"/>
  <c r="G434" i="11" s="1"/>
  <c r="I434" i="11" s="1"/>
  <c r="Y434" i="11" s="1"/>
  <c r="H433" i="11" a="1"/>
  <c r="H433" i="11" s="1"/>
  <c r="D433" i="11" a="1"/>
  <c r="D433" i="11" s="1"/>
  <c r="G433" i="11" s="1"/>
  <c r="I433" i="11" s="1"/>
  <c r="Y433" i="11" s="1"/>
  <c r="H432" i="11" a="1"/>
  <c r="H432" i="11" s="1"/>
  <c r="D432" i="11" a="1"/>
  <c r="D432" i="11" s="1"/>
  <c r="G432" i="11" s="1"/>
  <c r="I432" i="11" s="1"/>
  <c r="Y432" i="11" s="1"/>
  <c r="H431" i="11" a="1"/>
  <c r="H431" i="11" s="1"/>
  <c r="D431" i="11" a="1"/>
  <c r="D431" i="11" s="1"/>
  <c r="G431" i="11" s="1"/>
  <c r="I431" i="11" s="1"/>
  <c r="Y431" i="11" s="1"/>
  <c r="H430" i="11" a="1"/>
  <c r="H430" i="11" s="1"/>
  <c r="D430" i="11" a="1"/>
  <c r="D430" i="11" s="1"/>
  <c r="G430" i="11" s="1"/>
  <c r="I430" i="11" s="1"/>
  <c r="Y430" i="11" s="1"/>
  <c r="H429" i="11" a="1"/>
  <c r="H429" i="11" s="1"/>
  <c r="D429" i="11" a="1"/>
  <c r="D429" i="11" s="1"/>
  <c r="G429" i="11" s="1"/>
  <c r="I429" i="11" s="1"/>
  <c r="Y429" i="11" s="1"/>
  <c r="H428" i="11" a="1"/>
  <c r="H428" i="11" s="1"/>
  <c r="D428" i="11" a="1"/>
  <c r="D428" i="11" s="1"/>
  <c r="G428" i="11" s="1"/>
  <c r="I428" i="11" s="1"/>
  <c r="Y428" i="11" s="1"/>
  <c r="H427" i="11" a="1"/>
  <c r="H427" i="11" s="1"/>
  <c r="D427" i="11" a="1"/>
  <c r="D427" i="11" s="1"/>
  <c r="G427" i="11" s="1"/>
  <c r="I427" i="11" s="1"/>
  <c r="Y427" i="11" s="1"/>
  <c r="H426" i="11" a="1"/>
  <c r="H426" i="11" s="1"/>
  <c r="D426" i="11" a="1"/>
  <c r="D426" i="11" s="1"/>
  <c r="G426" i="11" s="1"/>
  <c r="I426" i="11" s="1"/>
  <c r="Y426" i="11" s="1"/>
  <c r="H425" i="11" a="1"/>
  <c r="H425" i="11" s="1"/>
  <c r="D425" i="11" a="1"/>
  <c r="D425" i="11" s="1"/>
  <c r="G425" i="11" s="1"/>
  <c r="I425" i="11" s="1"/>
  <c r="Y425" i="11" s="1"/>
  <c r="H424" i="11" a="1"/>
  <c r="H424" i="11" s="1"/>
  <c r="D424" i="11" a="1"/>
  <c r="D424" i="11" s="1"/>
  <c r="G424" i="11" s="1"/>
  <c r="I424" i="11" s="1"/>
  <c r="Y424" i="11" s="1"/>
  <c r="H423" i="11" a="1"/>
  <c r="H423" i="11" s="1"/>
  <c r="D423" i="11" a="1"/>
  <c r="D423" i="11" s="1"/>
  <c r="G423" i="11" s="1"/>
  <c r="I423" i="11" s="1"/>
  <c r="Y423" i="11" s="1"/>
  <c r="H422" i="11" a="1"/>
  <c r="H422" i="11" s="1"/>
  <c r="D422" i="11" a="1"/>
  <c r="D422" i="11" s="1"/>
  <c r="G422" i="11" s="1"/>
  <c r="I422" i="11" s="1"/>
  <c r="Y422" i="11" s="1"/>
  <c r="H421" i="11" a="1"/>
  <c r="H421" i="11" s="1"/>
  <c r="D421" i="11" a="1"/>
  <c r="D421" i="11" s="1"/>
  <c r="G421" i="11" s="1"/>
  <c r="I421" i="11" s="1"/>
  <c r="Y421" i="11" s="1"/>
  <c r="H420" i="11" a="1"/>
  <c r="H420" i="11" s="1"/>
  <c r="D420" i="11" a="1"/>
  <c r="D420" i="11" s="1"/>
  <c r="G420" i="11" s="1"/>
  <c r="I420" i="11" s="1"/>
  <c r="Y420" i="11" s="1"/>
  <c r="H419" i="11" a="1"/>
  <c r="H419" i="11" s="1"/>
  <c r="D419" i="11" a="1"/>
  <c r="D419" i="11" s="1"/>
  <c r="G419" i="11" s="1"/>
  <c r="I419" i="11" s="1"/>
  <c r="Y419" i="11" s="1"/>
  <c r="H418" i="11" a="1"/>
  <c r="H418" i="11" s="1"/>
  <c r="D418" i="11" a="1"/>
  <c r="D418" i="11" s="1"/>
  <c r="G418" i="11" s="1"/>
  <c r="I418" i="11" s="1"/>
  <c r="Y418" i="11" s="1"/>
  <c r="H417" i="11" a="1"/>
  <c r="H417" i="11" s="1"/>
  <c r="D417" i="11" a="1"/>
  <c r="D417" i="11" s="1"/>
  <c r="G417" i="11" s="1"/>
  <c r="I417" i="11" s="1"/>
  <c r="Y417" i="11" s="1"/>
  <c r="H416" i="11" a="1"/>
  <c r="H416" i="11" s="1"/>
  <c r="D416" i="11" a="1"/>
  <c r="D416" i="11" s="1"/>
  <c r="G416" i="11" s="1"/>
  <c r="I416" i="11" s="1"/>
  <c r="Y416" i="11" s="1"/>
  <c r="H415" i="11" a="1"/>
  <c r="H415" i="11" s="1"/>
  <c r="D415" i="11" a="1"/>
  <c r="D415" i="11" s="1"/>
  <c r="G415" i="11" s="1"/>
  <c r="I415" i="11" s="1"/>
  <c r="Y415" i="11" s="1"/>
  <c r="H414" i="11" a="1"/>
  <c r="H414" i="11" s="1"/>
  <c r="D414" i="11" a="1"/>
  <c r="D414" i="11" s="1"/>
  <c r="G414" i="11" s="1"/>
  <c r="I414" i="11" s="1"/>
  <c r="Y414" i="11" s="1"/>
  <c r="H413" i="11" a="1"/>
  <c r="H413" i="11" s="1"/>
  <c r="D413" i="11" a="1"/>
  <c r="D413" i="11" s="1"/>
  <c r="G413" i="11" s="1"/>
  <c r="I413" i="11" s="1"/>
  <c r="Y413" i="11" s="1"/>
  <c r="H412" i="11" a="1"/>
  <c r="H412" i="11" s="1"/>
  <c r="D412" i="11" a="1"/>
  <c r="D412" i="11" s="1"/>
  <c r="G412" i="11" s="1"/>
  <c r="I412" i="11" s="1"/>
  <c r="Y412" i="11" s="1"/>
  <c r="H411" i="11" a="1"/>
  <c r="H411" i="11" s="1"/>
  <c r="D411" i="11" a="1"/>
  <c r="D411" i="11" s="1"/>
  <c r="G411" i="11" s="1"/>
  <c r="I411" i="11" s="1"/>
  <c r="Y411" i="11" s="1"/>
  <c r="H410" i="11" a="1"/>
  <c r="H410" i="11" s="1"/>
  <c r="D410" i="11" a="1"/>
  <c r="D410" i="11" s="1"/>
  <c r="G410" i="11" s="1"/>
  <c r="I410" i="11" s="1"/>
  <c r="Y410" i="11" s="1"/>
  <c r="H409" i="11" a="1"/>
  <c r="H409" i="11" s="1"/>
  <c r="D409" i="11" a="1"/>
  <c r="D409" i="11" s="1"/>
  <c r="G409" i="11" s="1"/>
  <c r="I409" i="11" s="1"/>
  <c r="Y409" i="11" s="1"/>
  <c r="H408" i="11" a="1"/>
  <c r="H408" i="11" s="1"/>
  <c r="D408" i="11" a="1"/>
  <c r="D408" i="11" s="1"/>
  <c r="G408" i="11" s="1"/>
  <c r="I408" i="11" s="1"/>
  <c r="Y408" i="11" s="1"/>
  <c r="H407" i="11" a="1"/>
  <c r="H407" i="11" s="1"/>
  <c r="D407" i="11" a="1"/>
  <c r="D407" i="11" s="1"/>
  <c r="G407" i="11" s="1"/>
  <c r="I407" i="11" s="1"/>
  <c r="Y407" i="11" s="1"/>
  <c r="H406" i="11" a="1"/>
  <c r="H406" i="11" s="1"/>
  <c r="D406" i="11" a="1"/>
  <c r="D406" i="11" s="1"/>
  <c r="G406" i="11" s="1"/>
  <c r="I406" i="11" s="1"/>
  <c r="Y406" i="11" s="1"/>
  <c r="H405" i="11" a="1"/>
  <c r="H405" i="11" s="1"/>
  <c r="D405" i="11" a="1"/>
  <c r="D405" i="11" s="1"/>
  <c r="G405" i="11" s="1"/>
  <c r="I405" i="11" s="1"/>
  <c r="Y405" i="11" s="1"/>
  <c r="H404" i="11" a="1"/>
  <c r="H404" i="11" s="1"/>
  <c r="D404" i="11" a="1"/>
  <c r="D404" i="11" s="1"/>
  <c r="G404" i="11" s="1"/>
  <c r="I404" i="11" s="1"/>
  <c r="Y404" i="11" s="1"/>
  <c r="H403" i="11" a="1"/>
  <c r="H403" i="11" s="1"/>
  <c r="D403" i="11" a="1"/>
  <c r="D403" i="11" s="1"/>
  <c r="G403" i="11" s="1"/>
  <c r="I403" i="11" s="1"/>
  <c r="Y403" i="11" s="1"/>
  <c r="H402" i="11" a="1"/>
  <c r="H402" i="11" s="1"/>
  <c r="D402" i="11" a="1"/>
  <c r="D402" i="11" s="1"/>
  <c r="G402" i="11" s="1"/>
  <c r="I402" i="11" s="1"/>
  <c r="Y402" i="11" s="1"/>
  <c r="H401" i="11" a="1"/>
  <c r="H401" i="11" s="1"/>
  <c r="D401" i="11" a="1"/>
  <c r="D401" i="11" s="1"/>
  <c r="G401" i="11" s="1"/>
  <c r="I401" i="11" s="1"/>
  <c r="Y401" i="11" s="1"/>
  <c r="H400" i="11" a="1"/>
  <c r="H400" i="11" s="1"/>
  <c r="D400" i="11" a="1"/>
  <c r="D400" i="11" s="1"/>
  <c r="G400" i="11" s="1"/>
  <c r="I400" i="11" s="1"/>
  <c r="Y400" i="11" s="1"/>
  <c r="H399" i="11" a="1"/>
  <c r="H399" i="11" s="1"/>
  <c r="D399" i="11" a="1"/>
  <c r="D399" i="11" s="1"/>
  <c r="G399" i="11" s="1"/>
  <c r="I399" i="11" s="1"/>
  <c r="Y399" i="11" s="1"/>
  <c r="H398" i="11" a="1"/>
  <c r="H398" i="11" s="1"/>
  <c r="D398" i="11" a="1"/>
  <c r="D398" i="11" s="1"/>
  <c r="G398" i="11" s="1"/>
  <c r="I398" i="11" s="1"/>
  <c r="Y398" i="11" s="1"/>
  <c r="H397" i="11" a="1"/>
  <c r="H397" i="11" s="1"/>
  <c r="D397" i="11" a="1"/>
  <c r="D397" i="11" s="1"/>
  <c r="G397" i="11" s="1"/>
  <c r="I397" i="11" s="1"/>
  <c r="Y397" i="11" s="1"/>
  <c r="H396" i="11" a="1"/>
  <c r="H396" i="11" s="1"/>
  <c r="D396" i="11" a="1"/>
  <c r="D396" i="11" s="1"/>
  <c r="G396" i="11" s="1"/>
  <c r="I396" i="11" s="1"/>
  <c r="Y396" i="11" s="1"/>
  <c r="H395" i="11" a="1"/>
  <c r="H395" i="11" s="1"/>
  <c r="D395" i="11" a="1"/>
  <c r="D395" i="11" s="1"/>
  <c r="G395" i="11" s="1"/>
  <c r="I395" i="11" s="1"/>
  <c r="Y395" i="11" s="1"/>
  <c r="H394" i="11" a="1"/>
  <c r="H394" i="11" s="1"/>
  <c r="D394" i="11" a="1"/>
  <c r="D394" i="11" s="1"/>
  <c r="G394" i="11" s="1"/>
  <c r="I394" i="11" s="1"/>
  <c r="Y394" i="11" s="1"/>
  <c r="H393" i="11" a="1"/>
  <c r="H393" i="11" s="1"/>
  <c r="D393" i="11" a="1"/>
  <c r="D393" i="11" s="1"/>
  <c r="G393" i="11" s="1"/>
  <c r="I393" i="11" s="1"/>
  <c r="Y393" i="11" s="1"/>
  <c r="H392" i="11" a="1"/>
  <c r="H392" i="11" s="1"/>
  <c r="D392" i="11" a="1"/>
  <c r="D392" i="11" s="1"/>
  <c r="G392" i="11" s="1"/>
  <c r="I392" i="11" s="1"/>
  <c r="Y392" i="11" s="1"/>
  <c r="H391" i="11" a="1"/>
  <c r="H391" i="11" s="1"/>
  <c r="D391" i="11" a="1"/>
  <c r="D391" i="11" s="1"/>
  <c r="G391" i="11" s="1"/>
  <c r="I391" i="11" s="1"/>
  <c r="Y391" i="11" s="1"/>
  <c r="H390" i="11" a="1"/>
  <c r="H390" i="11" s="1"/>
  <c r="D390" i="11" a="1"/>
  <c r="D390" i="11" s="1"/>
  <c r="G390" i="11" s="1"/>
  <c r="I390" i="11" s="1"/>
  <c r="Y390" i="11" s="1"/>
  <c r="H389" i="11" a="1"/>
  <c r="H389" i="11" s="1"/>
  <c r="D389" i="11" a="1"/>
  <c r="D389" i="11" s="1"/>
  <c r="G389" i="11" s="1"/>
  <c r="I389" i="11" s="1"/>
  <c r="Y389" i="11" s="1"/>
  <c r="H388" i="11" a="1"/>
  <c r="H388" i="11" s="1"/>
  <c r="D388" i="11" a="1"/>
  <c r="D388" i="11" s="1"/>
  <c r="G388" i="11" s="1"/>
  <c r="I388" i="11" s="1"/>
  <c r="Y388" i="11" s="1"/>
  <c r="H387" i="11" a="1"/>
  <c r="H387" i="11" s="1"/>
  <c r="D387" i="11" a="1"/>
  <c r="D387" i="11" s="1"/>
  <c r="G387" i="11" s="1"/>
  <c r="I387" i="11" s="1"/>
  <c r="Y387" i="11" s="1"/>
  <c r="H386" i="11" a="1"/>
  <c r="H386" i="11" s="1"/>
  <c r="D386" i="11" a="1"/>
  <c r="D386" i="11" s="1"/>
  <c r="G386" i="11" s="1"/>
  <c r="I386" i="11" s="1"/>
  <c r="Y386" i="11" s="1"/>
  <c r="H385" i="11" a="1"/>
  <c r="H385" i="11" s="1"/>
  <c r="D385" i="11" a="1"/>
  <c r="D385" i="11" s="1"/>
  <c r="G385" i="11" s="1"/>
  <c r="I385" i="11" s="1"/>
  <c r="Y385" i="11" s="1"/>
  <c r="H384" i="11" a="1"/>
  <c r="H384" i="11" s="1"/>
  <c r="D384" i="11" a="1"/>
  <c r="D384" i="11" s="1"/>
  <c r="G384" i="11" s="1"/>
  <c r="I384" i="11" s="1"/>
  <c r="Y384" i="11" s="1"/>
  <c r="H383" i="11" a="1"/>
  <c r="H383" i="11" s="1"/>
  <c r="D383" i="11" a="1"/>
  <c r="D383" i="11" s="1"/>
  <c r="G383" i="11" s="1"/>
  <c r="I383" i="11" s="1"/>
  <c r="Y383" i="11" s="1"/>
  <c r="H382" i="11" a="1"/>
  <c r="H382" i="11" s="1"/>
  <c r="D382" i="11" a="1"/>
  <c r="D382" i="11" s="1"/>
  <c r="G382" i="11" s="1"/>
  <c r="I382" i="11" s="1"/>
  <c r="Y382" i="11" s="1"/>
  <c r="H381" i="11" a="1"/>
  <c r="H381" i="11" s="1"/>
  <c r="D381" i="11" a="1"/>
  <c r="D381" i="11" s="1"/>
  <c r="G381" i="11" s="1"/>
  <c r="I381" i="11" s="1"/>
  <c r="Y381" i="11" s="1"/>
  <c r="H380" i="11" a="1"/>
  <c r="H380" i="11" s="1"/>
  <c r="D380" i="11" a="1"/>
  <c r="D380" i="11" s="1"/>
  <c r="G380" i="11" s="1"/>
  <c r="I380" i="11" s="1"/>
  <c r="Y380" i="11" s="1"/>
  <c r="H379" i="11" a="1"/>
  <c r="H379" i="11" s="1"/>
  <c r="D379" i="11" a="1"/>
  <c r="D379" i="11" s="1"/>
  <c r="G379" i="11" s="1"/>
  <c r="I379" i="11" s="1"/>
  <c r="Y379" i="11" s="1"/>
  <c r="H378" i="11" a="1"/>
  <c r="H378" i="11" s="1"/>
  <c r="D378" i="11" a="1"/>
  <c r="D378" i="11" s="1"/>
  <c r="G378" i="11" s="1"/>
  <c r="I378" i="11" s="1"/>
  <c r="Y378" i="11" s="1"/>
  <c r="H377" i="11" a="1"/>
  <c r="H377" i="11" s="1"/>
  <c r="D377" i="11" a="1"/>
  <c r="D377" i="11" s="1"/>
  <c r="G377" i="11" s="1"/>
  <c r="I377" i="11" s="1"/>
  <c r="Y377" i="11" s="1"/>
  <c r="H376" i="11" a="1"/>
  <c r="H376" i="11" s="1"/>
  <c r="D376" i="11" a="1"/>
  <c r="D376" i="11" s="1"/>
  <c r="G376" i="11" s="1"/>
  <c r="I376" i="11" s="1"/>
  <c r="Y376" i="11" s="1"/>
  <c r="H375" i="11" a="1"/>
  <c r="H375" i="11" s="1"/>
  <c r="D375" i="11" a="1"/>
  <c r="D375" i="11" s="1"/>
  <c r="G375" i="11" s="1"/>
  <c r="I375" i="11" s="1"/>
  <c r="Y375" i="11" s="1"/>
  <c r="H374" i="11" a="1"/>
  <c r="H374" i="11" s="1"/>
  <c r="D374" i="11" a="1"/>
  <c r="D374" i="11" s="1"/>
  <c r="G374" i="11" s="1"/>
  <c r="I374" i="11" s="1"/>
  <c r="Y374" i="11" s="1"/>
  <c r="H373" i="11" a="1"/>
  <c r="H373" i="11" s="1"/>
  <c r="D373" i="11" a="1"/>
  <c r="D373" i="11" s="1"/>
  <c r="G373" i="11" s="1"/>
  <c r="I373" i="11" s="1"/>
  <c r="Y373" i="11" s="1"/>
  <c r="H372" i="11" a="1"/>
  <c r="H372" i="11" s="1"/>
  <c r="D372" i="11" a="1"/>
  <c r="D372" i="11" s="1"/>
  <c r="G372" i="11" s="1"/>
  <c r="I372" i="11" s="1"/>
  <c r="Y372" i="11" s="1"/>
  <c r="H371" i="11" a="1"/>
  <c r="H371" i="11" s="1"/>
  <c r="D371" i="11" a="1"/>
  <c r="D371" i="11" s="1"/>
  <c r="G371" i="11" s="1"/>
  <c r="I371" i="11" s="1"/>
  <c r="Y371" i="11" s="1"/>
  <c r="H370" i="11" a="1"/>
  <c r="H370" i="11" s="1"/>
  <c r="D370" i="11" a="1"/>
  <c r="D370" i="11" s="1"/>
  <c r="G370" i="11" s="1"/>
  <c r="I370" i="11" s="1"/>
  <c r="Y370" i="11" s="1"/>
  <c r="H369" i="11" a="1"/>
  <c r="H369" i="11" s="1"/>
  <c r="D369" i="11" a="1"/>
  <c r="D369" i="11" s="1"/>
  <c r="G369" i="11" s="1"/>
  <c r="I369" i="11" s="1"/>
  <c r="Y369" i="11" s="1"/>
  <c r="H368" i="11" a="1"/>
  <c r="H368" i="11" s="1"/>
  <c r="D368" i="11" a="1"/>
  <c r="D368" i="11" s="1"/>
  <c r="G368" i="11" s="1"/>
  <c r="I368" i="11" s="1"/>
  <c r="Y368" i="11" s="1"/>
  <c r="H367" i="11" a="1"/>
  <c r="H367" i="11" s="1"/>
  <c r="D367" i="11" a="1"/>
  <c r="D367" i="11" s="1"/>
  <c r="G367" i="11" s="1"/>
  <c r="I367" i="11" s="1"/>
  <c r="Y367" i="11" s="1"/>
  <c r="H366" i="11" a="1"/>
  <c r="H366" i="11" s="1"/>
  <c r="D366" i="11" a="1"/>
  <c r="D366" i="11" s="1"/>
  <c r="G366" i="11" s="1"/>
  <c r="I366" i="11" s="1"/>
  <c r="Y366" i="11" s="1"/>
  <c r="H365" i="11" a="1"/>
  <c r="H365" i="11" s="1"/>
  <c r="D365" i="11" a="1"/>
  <c r="D365" i="11" s="1"/>
  <c r="G365" i="11" s="1"/>
  <c r="I365" i="11" s="1"/>
  <c r="Y365" i="11" s="1"/>
  <c r="H364" i="11" a="1"/>
  <c r="H364" i="11" s="1"/>
  <c r="D364" i="11" a="1"/>
  <c r="D364" i="11" s="1"/>
  <c r="G364" i="11" s="1"/>
  <c r="I364" i="11" s="1"/>
  <c r="Y364" i="11" s="1"/>
  <c r="H363" i="11" a="1"/>
  <c r="H363" i="11" s="1"/>
  <c r="D363" i="11" a="1"/>
  <c r="D363" i="11" s="1"/>
  <c r="G363" i="11" s="1"/>
  <c r="I363" i="11" s="1"/>
  <c r="Y363" i="11" s="1"/>
  <c r="H362" i="11" a="1"/>
  <c r="H362" i="11" s="1"/>
  <c r="D362" i="11" a="1"/>
  <c r="D362" i="11" s="1"/>
  <c r="G362" i="11" s="1"/>
  <c r="I362" i="11" s="1"/>
  <c r="Y362" i="11" s="1"/>
  <c r="H361" i="11" a="1"/>
  <c r="H361" i="11" s="1"/>
  <c r="D361" i="11" a="1"/>
  <c r="D361" i="11" s="1"/>
  <c r="G361" i="11" s="1"/>
  <c r="I361" i="11" s="1"/>
  <c r="Y361" i="11" s="1"/>
  <c r="H360" i="11" a="1"/>
  <c r="H360" i="11" s="1"/>
  <c r="D360" i="11" a="1"/>
  <c r="D360" i="11" s="1"/>
  <c r="G360" i="11" s="1"/>
  <c r="I360" i="11" s="1"/>
  <c r="Y360" i="11" s="1"/>
  <c r="H359" i="11" a="1"/>
  <c r="H359" i="11" s="1"/>
  <c r="D359" i="11" a="1"/>
  <c r="D359" i="11" s="1"/>
  <c r="G359" i="11" s="1"/>
  <c r="I359" i="11" s="1"/>
  <c r="Y359" i="11" s="1"/>
  <c r="H358" i="11" a="1"/>
  <c r="H358" i="11" s="1"/>
  <c r="D358" i="11" a="1"/>
  <c r="D358" i="11" s="1"/>
  <c r="G358" i="11" s="1"/>
  <c r="I358" i="11" s="1"/>
  <c r="Y358" i="11" s="1"/>
  <c r="H357" i="11" a="1"/>
  <c r="H357" i="11" s="1"/>
  <c r="D357" i="11" a="1"/>
  <c r="D357" i="11" s="1"/>
  <c r="G357" i="11" s="1"/>
  <c r="I357" i="11" s="1"/>
  <c r="Y357" i="11" s="1"/>
  <c r="H356" i="11" a="1"/>
  <c r="H356" i="11" s="1"/>
  <c r="D356" i="11" a="1"/>
  <c r="D356" i="11" s="1"/>
  <c r="G356" i="11" s="1"/>
  <c r="I356" i="11" s="1"/>
  <c r="Y356" i="11" s="1"/>
  <c r="H355" i="11" a="1"/>
  <c r="H355" i="11" s="1"/>
  <c r="D355" i="11" a="1"/>
  <c r="D355" i="11" s="1"/>
  <c r="G355" i="11" s="1"/>
  <c r="I355" i="11" s="1"/>
  <c r="Y355" i="11" s="1"/>
  <c r="H354" i="11" a="1"/>
  <c r="H354" i="11" s="1"/>
  <c r="D354" i="11" a="1"/>
  <c r="D354" i="11" s="1"/>
  <c r="G354" i="11" s="1"/>
  <c r="I354" i="11" s="1"/>
  <c r="Y354" i="11" s="1"/>
  <c r="H353" i="11" a="1"/>
  <c r="H353" i="11" s="1"/>
  <c r="D353" i="11" a="1"/>
  <c r="D353" i="11" s="1"/>
  <c r="G353" i="11" s="1"/>
  <c r="I353" i="11" s="1"/>
  <c r="Y353" i="11" s="1"/>
  <c r="H352" i="11" a="1"/>
  <c r="H352" i="11" s="1"/>
  <c r="D352" i="11" a="1"/>
  <c r="D352" i="11" s="1"/>
  <c r="G352" i="11" s="1"/>
  <c r="I352" i="11" s="1"/>
  <c r="Y352" i="11" s="1"/>
  <c r="H351" i="11" a="1"/>
  <c r="H351" i="11" s="1"/>
  <c r="D351" i="11" a="1"/>
  <c r="D351" i="11" s="1"/>
  <c r="G351" i="11" s="1"/>
  <c r="I351" i="11" s="1"/>
  <c r="Y351" i="11" s="1"/>
  <c r="H350" i="11" a="1"/>
  <c r="H350" i="11" s="1"/>
  <c r="D350" i="11" a="1"/>
  <c r="D350" i="11" s="1"/>
  <c r="G350" i="11" s="1"/>
  <c r="I350" i="11" s="1"/>
  <c r="Y350" i="11" s="1"/>
  <c r="H349" i="11" a="1"/>
  <c r="H349" i="11" s="1"/>
  <c r="D349" i="11" a="1"/>
  <c r="D349" i="11" s="1"/>
  <c r="G349" i="11" s="1"/>
  <c r="I349" i="11" s="1"/>
  <c r="Y349" i="11" s="1"/>
  <c r="H348" i="11" a="1"/>
  <c r="H348" i="11" s="1"/>
  <c r="D348" i="11" a="1"/>
  <c r="D348" i="11" s="1"/>
  <c r="G348" i="11" s="1"/>
  <c r="I348" i="11" s="1"/>
  <c r="Y348" i="11" s="1"/>
  <c r="H347" i="11" a="1"/>
  <c r="H347" i="11" s="1"/>
  <c r="D347" i="11" a="1"/>
  <c r="D347" i="11" s="1"/>
  <c r="G347" i="11" s="1"/>
  <c r="I347" i="11" s="1"/>
  <c r="Y347" i="11" s="1"/>
  <c r="H346" i="11" a="1"/>
  <c r="H346" i="11" s="1"/>
  <c r="D346" i="11" a="1"/>
  <c r="D346" i="11" s="1"/>
  <c r="G346" i="11" s="1"/>
  <c r="I346" i="11" s="1"/>
  <c r="Y346" i="11" s="1"/>
  <c r="H345" i="11" a="1"/>
  <c r="H345" i="11" s="1"/>
  <c r="D345" i="11" a="1"/>
  <c r="D345" i="11" s="1"/>
  <c r="G345" i="11" s="1"/>
  <c r="I345" i="11" s="1"/>
  <c r="Y345" i="11" s="1"/>
  <c r="H344" i="11" a="1"/>
  <c r="H344" i="11" s="1"/>
  <c r="D344" i="11" a="1"/>
  <c r="D344" i="11" s="1"/>
  <c r="G344" i="11" s="1"/>
  <c r="I344" i="11" s="1"/>
  <c r="Y344" i="11" s="1"/>
  <c r="H343" i="11" a="1"/>
  <c r="H343" i="11" s="1"/>
  <c r="D343" i="11" a="1"/>
  <c r="D343" i="11" s="1"/>
  <c r="G343" i="11" s="1"/>
  <c r="I343" i="11" s="1"/>
  <c r="Y343" i="11" s="1"/>
  <c r="H342" i="11" a="1"/>
  <c r="H342" i="11" s="1"/>
  <c r="D342" i="11" a="1"/>
  <c r="D342" i="11" s="1"/>
  <c r="G342" i="11" s="1"/>
  <c r="I342" i="11" s="1"/>
  <c r="Y342" i="11" s="1"/>
  <c r="H341" i="11" a="1"/>
  <c r="H341" i="11" s="1"/>
  <c r="D341" i="11" a="1"/>
  <c r="D341" i="11" s="1"/>
  <c r="G341" i="11" s="1"/>
  <c r="I341" i="11" s="1"/>
  <c r="Y341" i="11" s="1"/>
  <c r="H340" i="11" a="1"/>
  <c r="H340" i="11" s="1"/>
  <c r="D340" i="11" a="1"/>
  <c r="D340" i="11" s="1"/>
  <c r="G340" i="11" s="1"/>
  <c r="I340" i="11" s="1"/>
  <c r="Y340" i="11" s="1"/>
  <c r="H339" i="11" a="1"/>
  <c r="H339" i="11" s="1"/>
  <c r="D339" i="11" a="1"/>
  <c r="D339" i="11" s="1"/>
  <c r="G339" i="11" s="1"/>
  <c r="I339" i="11" s="1"/>
  <c r="Y339" i="11" s="1"/>
  <c r="H338" i="11" a="1"/>
  <c r="H338" i="11" s="1"/>
  <c r="D338" i="11" a="1"/>
  <c r="D338" i="11" s="1"/>
  <c r="G338" i="11" s="1"/>
  <c r="I338" i="11" s="1"/>
  <c r="Y338" i="11" s="1"/>
  <c r="H337" i="11" a="1"/>
  <c r="H337" i="11" s="1"/>
  <c r="D337" i="11" a="1"/>
  <c r="D337" i="11" s="1"/>
  <c r="G337" i="11" s="1"/>
  <c r="I337" i="11" s="1"/>
  <c r="Y337" i="11" s="1"/>
  <c r="H336" i="11" a="1"/>
  <c r="H336" i="11" s="1"/>
  <c r="D336" i="11" a="1"/>
  <c r="D336" i="11" s="1"/>
  <c r="G336" i="11" s="1"/>
  <c r="I336" i="11" s="1"/>
  <c r="Y336" i="11" s="1"/>
  <c r="H335" i="11" a="1"/>
  <c r="H335" i="11" s="1"/>
  <c r="D335" i="11" a="1"/>
  <c r="D335" i="11" s="1"/>
  <c r="G335" i="11" s="1"/>
  <c r="I335" i="11" s="1"/>
  <c r="Y335" i="11" s="1"/>
  <c r="H334" i="11" a="1"/>
  <c r="H334" i="11" s="1"/>
  <c r="D334" i="11" a="1"/>
  <c r="D334" i="11" s="1"/>
  <c r="G334" i="11" s="1"/>
  <c r="I334" i="11" s="1"/>
  <c r="Y334" i="11" s="1"/>
  <c r="H333" i="11" a="1"/>
  <c r="H333" i="11" s="1"/>
  <c r="D333" i="11" a="1"/>
  <c r="D333" i="11" s="1"/>
  <c r="G333" i="11" s="1"/>
  <c r="I333" i="11" s="1"/>
  <c r="Y333" i="11" s="1"/>
  <c r="H332" i="11" a="1"/>
  <c r="H332" i="11" s="1"/>
  <c r="D332" i="11" a="1"/>
  <c r="D332" i="11" s="1"/>
  <c r="G332" i="11" s="1"/>
  <c r="I332" i="11" s="1"/>
  <c r="Y332" i="11" s="1"/>
  <c r="H331" i="11" a="1"/>
  <c r="H331" i="11" s="1"/>
  <c r="D331" i="11" a="1"/>
  <c r="D331" i="11" s="1"/>
  <c r="G331" i="11" s="1"/>
  <c r="I331" i="11" s="1"/>
  <c r="Y331" i="11" s="1"/>
  <c r="H330" i="11" a="1"/>
  <c r="H330" i="11" s="1"/>
  <c r="D330" i="11" a="1"/>
  <c r="D330" i="11" s="1"/>
  <c r="G330" i="11" s="1"/>
  <c r="I330" i="11" s="1"/>
  <c r="Y330" i="11" s="1"/>
  <c r="H329" i="11" a="1"/>
  <c r="H329" i="11" s="1"/>
  <c r="D329" i="11" a="1"/>
  <c r="D329" i="11" s="1"/>
  <c r="G329" i="11" s="1"/>
  <c r="I329" i="11" s="1"/>
  <c r="Y329" i="11" s="1"/>
  <c r="H328" i="11" a="1"/>
  <c r="H328" i="11" s="1"/>
  <c r="D328" i="11" a="1"/>
  <c r="D328" i="11" s="1"/>
  <c r="G328" i="11" s="1"/>
  <c r="I328" i="11" s="1"/>
  <c r="Y328" i="11" s="1"/>
  <c r="H327" i="11" a="1"/>
  <c r="H327" i="11" s="1"/>
  <c r="D327" i="11" a="1"/>
  <c r="D327" i="11" s="1"/>
  <c r="G327" i="11" s="1"/>
  <c r="I327" i="11" s="1"/>
  <c r="Y327" i="11" s="1"/>
  <c r="H326" i="11" a="1"/>
  <c r="H326" i="11" s="1"/>
  <c r="D326" i="11" a="1"/>
  <c r="D326" i="11" s="1"/>
  <c r="G326" i="11" s="1"/>
  <c r="I326" i="11" s="1"/>
  <c r="Y326" i="11" s="1"/>
  <c r="H325" i="11" a="1"/>
  <c r="H325" i="11" s="1"/>
  <c r="D325" i="11" a="1"/>
  <c r="D325" i="11" s="1"/>
  <c r="G325" i="11" s="1"/>
  <c r="I325" i="11" s="1"/>
  <c r="Y325" i="11" s="1"/>
  <c r="H324" i="11" a="1"/>
  <c r="H324" i="11" s="1"/>
  <c r="D324" i="11" a="1"/>
  <c r="D324" i="11" s="1"/>
  <c r="G324" i="11" s="1"/>
  <c r="I324" i="11" s="1"/>
  <c r="Y324" i="11" s="1"/>
  <c r="H323" i="11" a="1"/>
  <c r="H323" i="11" s="1"/>
  <c r="D323" i="11" a="1"/>
  <c r="D323" i="11" s="1"/>
  <c r="G323" i="11" s="1"/>
  <c r="I323" i="11" s="1"/>
  <c r="Y323" i="11" s="1"/>
  <c r="H322" i="11" a="1"/>
  <c r="H322" i="11" s="1"/>
  <c r="D322" i="11" a="1"/>
  <c r="D322" i="11" s="1"/>
  <c r="G322" i="11" s="1"/>
  <c r="I322" i="11" s="1"/>
  <c r="Y322" i="11" s="1"/>
  <c r="H321" i="11" a="1"/>
  <c r="H321" i="11" s="1"/>
  <c r="D321" i="11" a="1"/>
  <c r="D321" i="11" s="1"/>
  <c r="G321" i="11" s="1"/>
  <c r="I321" i="11" s="1"/>
  <c r="Y321" i="11" s="1"/>
  <c r="H320" i="11" a="1"/>
  <c r="H320" i="11" s="1"/>
  <c r="D320" i="11" a="1"/>
  <c r="D320" i="11" s="1"/>
  <c r="G320" i="11" s="1"/>
  <c r="I320" i="11" s="1"/>
  <c r="Y320" i="11" s="1"/>
  <c r="H319" i="11" a="1"/>
  <c r="H319" i="11" s="1"/>
  <c r="D319" i="11" a="1"/>
  <c r="D319" i="11" s="1"/>
  <c r="G319" i="11" s="1"/>
  <c r="I319" i="11" s="1"/>
  <c r="Y319" i="11" s="1"/>
  <c r="H318" i="11" a="1"/>
  <c r="H318" i="11" s="1"/>
  <c r="D318" i="11" a="1"/>
  <c r="D318" i="11" s="1"/>
  <c r="G318" i="11" s="1"/>
  <c r="I318" i="11" s="1"/>
  <c r="Y318" i="11" s="1"/>
  <c r="H317" i="11" a="1"/>
  <c r="H317" i="11" s="1"/>
  <c r="D317" i="11" a="1"/>
  <c r="D317" i="11" s="1"/>
  <c r="G317" i="11" s="1"/>
  <c r="I317" i="11" s="1"/>
  <c r="Y317" i="11" s="1"/>
  <c r="H316" i="11" a="1"/>
  <c r="H316" i="11" s="1"/>
  <c r="D316" i="11" a="1"/>
  <c r="D316" i="11" s="1"/>
  <c r="G316" i="11" s="1"/>
  <c r="I316" i="11" s="1"/>
  <c r="Y316" i="11" s="1"/>
  <c r="H315" i="11" a="1"/>
  <c r="H315" i="11" s="1"/>
  <c r="D315" i="11" a="1"/>
  <c r="D315" i="11" s="1"/>
  <c r="G315" i="11" s="1"/>
  <c r="I315" i="11" s="1"/>
  <c r="Y315" i="11" s="1"/>
  <c r="H314" i="11" a="1"/>
  <c r="H314" i="11" s="1"/>
  <c r="D314" i="11" a="1"/>
  <c r="D314" i="11" s="1"/>
  <c r="G314" i="11" s="1"/>
  <c r="I314" i="11" s="1"/>
  <c r="Y314" i="11" s="1"/>
  <c r="H313" i="11" a="1"/>
  <c r="H313" i="11" s="1"/>
  <c r="D313" i="11" a="1"/>
  <c r="D313" i="11" s="1"/>
  <c r="G313" i="11" s="1"/>
  <c r="I313" i="11" s="1"/>
  <c r="Y313" i="11" s="1"/>
  <c r="H312" i="11" a="1"/>
  <c r="H312" i="11" s="1"/>
  <c r="D312" i="11" a="1"/>
  <c r="D312" i="11" s="1"/>
  <c r="G312" i="11" s="1"/>
  <c r="I312" i="11" s="1"/>
  <c r="Y312" i="11" s="1"/>
  <c r="H311" i="11" a="1"/>
  <c r="H311" i="11" s="1"/>
  <c r="D311" i="11" a="1"/>
  <c r="D311" i="11" s="1"/>
  <c r="G311" i="11" s="1"/>
  <c r="I311" i="11" s="1"/>
  <c r="Y311" i="11" s="1"/>
  <c r="H310" i="11" a="1"/>
  <c r="H310" i="11" s="1"/>
  <c r="D310" i="11" a="1"/>
  <c r="D310" i="11" s="1"/>
  <c r="G310" i="11" s="1"/>
  <c r="I310" i="11" s="1"/>
  <c r="Y310" i="11" s="1"/>
  <c r="H309" i="11" a="1"/>
  <c r="H309" i="11" s="1"/>
  <c r="D309" i="11" a="1"/>
  <c r="D309" i="11" s="1"/>
  <c r="G309" i="11" s="1"/>
  <c r="I309" i="11" s="1"/>
  <c r="Y309" i="11" s="1"/>
  <c r="H308" i="11" a="1"/>
  <c r="H308" i="11" s="1"/>
  <c r="D308" i="11" a="1"/>
  <c r="D308" i="11" s="1"/>
  <c r="G308" i="11" s="1"/>
  <c r="I308" i="11" s="1"/>
  <c r="Y308" i="11" s="1"/>
  <c r="H307" i="11" a="1"/>
  <c r="H307" i="11" s="1"/>
  <c r="D307" i="11" a="1"/>
  <c r="D307" i="11" s="1"/>
  <c r="G307" i="11" s="1"/>
  <c r="I307" i="11" s="1"/>
  <c r="Y307" i="11" s="1"/>
  <c r="H306" i="11" a="1"/>
  <c r="H306" i="11" s="1"/>
  <c r="D306" i="11" a="1"/>
  <c r="D306" i="11" s="1"/>
  <c r="G306" i="11" s="1"/>
  <c r="I306" i="11" s="1"/>
  <c r="Y306" i="11" s="1"/>
  <c r="H305" i="11" a="1"/>
  <c r="H305" i="11" s="1"/>
  <c r="D305" i="11" a="1"/>
  <c r="D305" i="11" s="1"/>
  <c r="G305" i="11" s="1"/>
  <c r="I305" i="11" s="1"/>
  <c r="Y305" i="11" s="1"/>
  <c r="H304" i="11" a="1"/>
  <c r="H304" i="11" s="1"/>
  <c r="D304" i="11" a="1"/>
  <c r="D304" i="11" s="1"/>
  <c r="G304" i="11" s="1"/>
  <c r="I304" i="11" s="1"/>
  <c r="Y304" i="11" s="1"/>
  <c r="H303" i="11" a="1"/>
  <c r="H303" i="11" s="1"/>
  <c r="D303" i="11" a="1"/>
  <c r="D303" i="11" s="1"/>
  <c r="G303" i="11" s="1"/>
  <c r="I303" i="11" s="1"/>
  <c r="Y303" i="11" s="1"/>
  <c r="H302" i="11" a="1"/>
  <c r="H302" i="11" s="1"/>
  <c r="D302" i="11" a="1"/>
  <c r="D302" i="11" s="1"/>
  <c r="G302" i="11" s="1"/>
  <c r="I302" i="11" s="1"/>
  <c r="Y302" i="11" s="1"/>
  <c r="H301" i="11" a="1"/>
  <c r="H301" i="11" s="1"/>
  <c r="D301" i="11" a="1"/>
  <c r="D301" i="11" s="1"/>
  <c r="G301" i="11" s="1"/>
  <c r="I301" i="11" s="1"/>
  <c r="Y301" i="11" s="1"/>
  <c r="H300" i="11" a="1"/>
  <c r="H300" i="11" s="1"/>
  <c r="D300" i="11" a="1"/>
  <c r="D300" i="11" s="1"/>
  <c r="G300" i="11" s="1"/>
  <c r="I300" i="11" s="1"/>
  <c r="Y300" i="11" s="1"/>
  <c r="H299" i="11" a="1"/>
  <c r="H299" i="11" s="1"/>
  <c r="D299" i="11" a="1"/>
  <c r="D299" i="11" s="1"/>
  <c r="G299" i="11" s="1"/>
  <c r="I299" i="11" s="1"/>
  <c r="Y299" i="11" s="1"/>
  <c r="H298" i="11" a="1"/>
  <c r="H298" i="11" s="1"/>
  <c r="D298" i="11" a="1"/>
  <c r="D298" i="11" s="1"/>
  <c r="G298" i="11" s="1"/>
  <c r="I298" i="11" s="1"/>
  <c r="Y298" i="11" s="1"/>
  <c r="H297" i="11" a="1"/>
  <c r="H297" i="11" s="1"/>
  <c r="D297" i="11" a="1"/>
  <c r="D297" i="11" s="1"/>
  <c r="G297" i="11" s="1"/>
  <c r="I297" i="11" s="1"/>
  <c r="Y297" i="11" s="1"/>
  <c r="H296" i="11" a="1"/>
  <c r="H296" i="11" s="1"/>
  <c r="D296" i="11" a="1"/>
  <c r="D296" i="11" s="1"/>
  <c r="G296" i="11" s="1"/>
  <c r="I296" i="11" s="1"/>
  <c r="Y296" i="11" s="1"/>
  <c r="H295" i="11" a="1"/>
  <c r="H295" i="11" s="1"/>
  <c r="D295" i="11" a="1"/>
  <c r="D295" i="11" s="1"/>
  <c r="G295" i="11" s="1"/>
  <c r="I295" i="11" s="1"/>
  <c r="Y295" i="11" s="1"/>
  <c r="H294" i="11" a="1"/>
  <c r="H294" i="11" s="1"/>
  <c r="D294" i="11" a="1"/>
  <c r="D294" i="11" s="1"/>
  <c r="G294" i="11" s="1"/>
  <c r="I294" i="11" s="1"/>
  <c r="Y294" i="11" s="1"/>
  <c r="H293" i="11" a="1"/>
  <c r="H293" i="11" s="1"/>
  <c r="D293" i="11" a="1"/>
  <c r="D293" i="11" s="1"/>
  <c r="G293" i="11" s="1"/>
  <c r="I293" i="11" s="1"/>
  <c r="Y293" i="11" s="1"/>
  <c r="H292" i="11" a="1"/>
  <c r="H292" i="11" s="1"/>
  <c r="D292" i="11" a="1"/>
  <c r="D292" i="11" s="1"/>
  <c r="G292" i="11" s="1"/>
  <c r="I292" i="11" s="1"/>
  <c r="Y292" i="11" s="1"/>
  <c r="H291" i="11" a="1"/>
  <c r="H291" i="11" s="1"/>
  <c r="D291" i="11" a="1"/>
  <c r="D291" i="11" s="1"/>
  <c r="G291" i="11" s="1"/>
  <c r="I291" i="11" s="1"/>
  <c r="Y291" i="11" s="1"/>
  <c r="H290" i="11" a="1"/>
  <c r="H290" i="11" s="1"/>
  <c r="D290" i="11" a="1"/>
  <c r="D290" i="11" s="1"/>
  <c r="G290" i="11" s="1"/>
  <c r="I290" i="11" s="1"/>
  <c r="Y290" i="11" s="1"/>
  <c r="H289" i="11" a="1"/>
  <c r="H289" i="11" s="1"/>
  <c r="D289" i="11" a="1"/>
  <c r="D289" i="11" s="1"/>
  <c r="G289" i="11" s="1"/>
  <c r="I289" i="11" s="1"/>
  <c r="Y289" i="11" s="1"/>
  <c r="H288" i="11" a="1"/>
  <c r="H288" i="11" s="1"/>
  <c r="D288" i="11" a="1"/>
  <c r="D288" i="11" s="1"/>
  <c r="G288" i="11" s="1"/>
  <c r="I288" i="11" s="1"/>
  <c r="Y288" i="11" s="1"/>
  <c r="H287" i="11" a="1"/>
  <c r="H287" i="11" s="1"/>
  <c r="D287" i="11" a="1"/>
  <c r="D287" i="11" s="1"/>
  <c r="G287" i="11" s="1"/>
  <c r="I287" i="11" s="1"/>
  <c r="Y287" i="11" s="1"/>
  <c r="H286" i="11" a="1"/>
  <c r="H286" i="11" s="1"/>
  <c r="D286" i="11" a="1"/>
  <c r="D286" i="11" s="1"/>
  <c r="G286" i="11" s="1"/>
  <c r="I286" i="11" s="1"/>
  <c r="Y286" i="11" s="1"/>
  <c r="H285" i="11" a="1"/>
  <c r="H285" i="11" s="1"/>
  <c r="D285" i="11" a="1"/>
  <c r="D285" i="11" s="1"/>
  <c r="G285" i="11" s="1"/>
  <c r="I285" i="11" s="1"/>
  <c r="Y285" i="11" s="1"/>
  <c r="H284" i="11" a="1"/>
  <c r="H284" i="11" s="1"/>
  <c r="D284" i="11" a="1"/>
  <c r="D284" i="11" s="1"/>
  <c r="G284" i="11" s="1"/>
  <c r="I284" i="11" s="1"/>
  <c r="Y284" i="11" s="1"/>
  <c r="H283" i="11" a="1"/>
  <c r="H283" i="11" s="1"/>
  <c r="D283" i="11" a="1"/>
  <c r="D283" i="11" s="1"/>
  <c r="G283" i="11" s="1"/>
  <c r="I283" i="11" s="1"/>
  <c r="Y283" i="11" s="1"/>
  <c r="H282" i="11" a="1"/>
  <c r="H282" i="11" s="1"/>
  <c r="D282" i="11" a="1"/>
  <c r="D282" i="11" s="1"/>
  <c r="G282" i="11" s="1"/>
  <c r="I282" i="11" s="1"/>
  <c r="Y282" i="11" s="1"/>
  <c r="H281" i="11" a="1"/>
  <c r="H281" i="11" s="1"/>
  <c r="D281" i="11" a="1"/>
  <c r="D281" i="11" s="1"/>
  <c r="G281" i="11" s="1"/>
  <c r="I281" i="11" s="1"/>
  <c r="Y281" i="11" s="1"/>
  <c r="H280" i="11" a="1"/>
  <c r="H280" i="11" s="1"/>
  <c r="D280" i="11" a="1"/>
  <c r="D280" i="11" s="1"/>
  <c r="G280" i="11" s="1"/>
  <c r="I280" i="11" s="1"/>
  <c r="Y280" i="11" s="1"/>
  <c r="H279" i="11" a="1"/>
  <c r="H279" i="11" s="1"/>
  <c r="D279" i="11" a="1"/>
  <c r="D279" i="11" s="1"/>
  <c r="G279" i="11" s="1"/>
  <c r="I279" i="11" s="1"/>
  <c r="Y279" i="11" s="1"/>
  <c r="H278" i="11" a="1"/>
  <c r="H278" i="11" s="1"/>
  <c r="D278" i="11" a="1"/>
  <c r="D278" i="11" s="1"/>
  <c r="G278" i="11" s="1"/>
  <c r="I278" i="11" s="1"/>
  <c r="Y278" i="11" s="1"/>
  <c r="H277" i="11" a="1"/>
  <c r="H277" i="11" s="1"/>
  <c r="D277" i="11" a="1"/>
  <c r="D277" i="11" s="1"/>
  <c r="G277" i="11" s="1"/>
  <c r="I277" i="11" s="1"/>
  <c r="Y277" i="11" s="1"/>
  <c r="H276" i="11" a="1"/>
  <c r="H276" i="11" s="1"/>
  <c r="D276" i="11" a="1"/>
  <c r="D276" i="11" s="1"/>
  <c r="G276" i="11" s="1"/>
  <c r="I276" i="11" s="1"/>
  <c r="Y276" i="11" s="1"/>
  <c r="H275" i="11" a="1"/>
  <c r="H275" i="11" s="1"/>
  <c r="D275" i="11" a="1"/>
  <c r="D275" i="11" s="1"/>
  <c r="G275" i="11" s="1"/>
  <c r="I275" i="11" s="1"/>
  <c r="Y275" i="11" s="1"/>
  <c r="H274" i="11" a="1"/>
  <c r="H274" i="11" s="1"/>
  <c r="D274" i="11" a="1"/>
  <c r="D274" i="11" s="1"/>
  <c r="G274" i="11" s="1"/>
  <c r="I274" i="11" s="1"/>
  <c r="Y274" i="11" s="1"/>
  <c r="H273" i="11" a="1"/>
  <c r="H273" i="11" s="1"/>
  <c r="D273" i="11" a="1"/>
  <c r="D273" i="11" s="1"/>
  <c r="G273" i="11" s="1"/>
  <c r="I273" i="11" s="1"/>
  <c r="Y273" i="11" s="1"/>
  <c r="H272" i="11" a="1"/>
  <c r="H272" i="11" s="1"/>
  <c r="D272" i="11" a="1"/>
  <c r="D272" i="11" s="1"/>
  <c r="G272" i="11" s="1"/>
  <c r="I272" i="11" s="1"/>
  <c r="Y272" i="11" s="1"/>
  <c r="H271" i="11" a="1"/>
  <c r="H271" i="11" s="1"/>
  <c r="D271" i="11" a="1"/>
  <c r="D271" i="11" s="1"/>
  <c r="G271" i="11" s="1"/>
  <c r="I271" i="11" s="1"/>
  <c r="Y271" i="11" s="1"/>
  <c r="H270" i="11" a="1"/>
  <c r="H270" i="11" s="1"/>
  <c r="D270" i="11" a="1"/>
  <c r="D270" i="11" s="1"/>
  <c r="G270" i="11" s="1"/>
  <c r="I270" i="11" s="1"/>
  <c r="Y270" i="11" s="1"/>
  <c r="H269" i="11" a="1"/>
  <c r="H269" i="11" s="1"/>
  <c r="D269" i="11" a="1"/>
  <c r="D269" i="11" s="1"/>
  <c r="G269" i="11" s="1"/>
  <c r="I269" i="11" s="1"/>
  <c r="Y269" i="11" s="1"/>
  <c r="H268" i="11" a="1"/>
  <c r="H268" i="11" s="1"/>
  <c r="D268" i="11" a="1"/>
  <c r="D268" i="11" s="1"/>
  <c r="G268" i="11" s="1"/>
  <c r="I268" i="11" s="1"/>
  <c r="Y268" i="11" s="1"/>
  <c r="H267" i="11" a="1"/>
  <c r="H267" i="11" s="1"/>
  <c r="D267" i="11" a="1"/>
  <c r="D267" i="11" s="1"/>
  <c r="G267" i="11" s="1"/>
  <c r="I267" i="11" s="1"/>
  <c r="Y267" i="11" s="1"/>
  <c r="H266" i="11" a="1"/>
  <c r="H266" i="11" s="1"/>
  <c r="D266" i="11" a="1"/>
  <c r="D266" i="11" s="1"/>
  <c r="G266" i="11" s="1"/>
  <c r="I266" i="11" s="1"/>
  <c r="Y266" i="11" s="1"/>
  <c r="H265" i="11" a="1"/>
  <c r="H265" i="11" s="1"/>
  <c r="D265" i="11" a="1"/>
  <c r="D265" i="11" s="1"/>
  <c r="G265" i="11" s="1"/>
  <c r="I265" i="11" s="1"/>
  <c r="Y265" i="11" s="1"/>
  <c r="H264" i="11" a="1"/>
  <c r="H264" i="11" s="1"/>
  <c r="D264" i="11" a="1"/>
  <c r="D264" i="11" s="1"/>
  <c r="G264" i="11" s="1"/>
  <c r="I264" i="11" s="1"/>
  <c r="Y264" i="11" s="1"/>
  <c r="H263" i="11" a="1"/>
  <c r="H263" i="11" s="1"/>
  <c r="D263" i="11" a="1"/>
  <c r="D263" i="11" s="1"/>
  <c r="G263" i="11" s="1"/>
  <c r="I263" i="11" s="1"/>
  <c r="Y263" i="11" s="1"/>
  <c r="H262" i="11" a="1"/>
  <c r="H262" i="11" s="1"/>
  <c r="D262" i="11" a="1"/>
  <c r="D262" i="11" s="1"/>
  <c r="G262" i="11" s="1"/>
  <c r="I262" i="11" s="1"/>
  <c r="Y262" i="11" s="1"/>
  <c r="H261" i="11" a="1"/>
  <c r="H261" i="11" s="1"/>
  <c r="D261" i="11" a="1"/>
  <c r="D261" i="11" s="1"/>
  <c r="G261" i="11" s="1"/>
  <c r="I261" i="11" s="1"/>
  <c r="Y261" i="11" s="1"/>
  <c r="H260" i="11" a="1"/>
  <c r="H260" i="11" s="1"/>
  <c r="D260" i="11" a="1"/>
  <c r="D260" i="11" s="1"/>
  <c r="G260" i="11" s="1"/>
  <c r="I260" i="11" s="1"/>
  <c r="Y260" i="11" s="1"/>
  <c r="H259" i="11" a="1"/>
  <c r="H259" i="11" s="1"/>
  <c r="D259" i="11" a="1"/>
  <c r="D259" i="11" s="1"/>
  <c r="G259" i="11" s="1"/>
  <c r="I259" i="11" s="1"/>
  <c r="Y259" i="11" s="1"/>
  <c r="H258" i="11" a="1"/>
  <c r="H258" i="11" s="1"/>
  <c r="D258" i="11" a="1"/>
  <c r="D258" i="11" s="1"/>
  <c r="G258" i="11" s="1"/>
  <c r="I258" i="11" s="1"/>
  <c r="Y258" i="11" s="1"/>
  <c r="H257" i="11" a="1"/>
  <c r="H257" i="11" s="1"/>
  <c r="D257" i="11" a="1"/>
  <c r="D257" i="11" s="1"/>
  <c r="G257" i="11" s="1"/>
  <c r="I257" i="11" s="1"/>
  <c r="Y257" i="11" s="1"/>
  <c r="H256" i="11" a="1"/>
  <c r="H256" i="11" s="1"/>
  <c r="D256" i="11" a="1"/>
  <c r="D256" i="11" s="1"/>
  <c r="G256" i="11" s="1"/>
  <c r="I256" i="11" s="1"/>
  <c r="Y256" i="11" s="1"/>
  <c r="H255" i="11" a="1"/>
  <c r="H255" i="11" s="1"/>
  <c r="D255" i="11" a="1"/>
  <c r="D255" i="11" s="1"/>
  <c r="G255" i="11" s="1"/>
  <c r="I255" i="11" s="1"/>
  <c r="Y255" i="11" s="1"/>
  <c r="H254" i="11" a="1"/>
  <c r="H254" i="11" s="1"/>
  <c r="D254" i="11" a="1"/>
  <c r="D254" i="11" s="1"/>
  <c r="G254" i="11" s="1"/>
  <c r="I254" i="11" s="1"/>
  <c r="Y254" i="11" s="1"/>
  <c r="H253" i="11" a="1"/>
  <c r="H253" i="11" s="1"/>
  <c r="D253" i="11" a="1"/>
  <c r="D253" i="11" s="1"/>
  <c r="G253" i="11" s="1"/>
  <c r="I253" i="11" s="1"/>
  <c r="Y253" i="11" s="1"/>
  <c r="H252" i="11" a="1"/>
  <c r="H252" i="11" s="1"/>
  <c r="D252" i="11" a="1"/>
  <c r="D252" i="11" s="1"/>
  <c r="G252" i="11" s="1"/>
  <c r="I252" i="11" s="1"/>
  <c r="Y252" i="11" s="1"/>
  <c r="H251" i="11" a="1"/>
  <c r="H251" i="11" s="1"/>
  <c r="D251" i="11" a="1"/>
  <c r="D251" i="11" s="1"/>
  <c r="G251" i="11" s="1"/>
  <c r="I251" i="11" s="1"/>
  <c r="Y251" i="11" s="1"/>
  <c r="H250" i="11" a="1"/>
  <c r="H250" i="11" s="1"/>
  <c r="D250" i="11" a="1"/>
  <c r="D250" i="11" s="1"/>
  <c r="G250" i="11" s="1"/>
  <c r="I250" i="11" s="1"/>
  <c r="Y250" i="11" s="1"/>
  <c r="H249" i="11" a="1"/>
  <c r="H249" i="11" s="1"/>
  <c r="D249" i="11" a="1"/>
  <c r="D249" i="11" s="1"/>
  <c r="G249" i="11" s="1"/>
  <c r="I249" i="11" s="1"/>
  <c r="Y249" i="11" s="1"/>
  <c r="H248" i="11" a="1"/>
  <c r="H248" i="11" s="1"/>
  <c r="D248" i="11" a="1"/>
  <c r="D248" i="11" s="1"/>
  <c r="G248" i="11" s="1"/>
  <c r="I248" i="11" s="1"/>
  <c r="Y248" i="11" s="1"/>
  <c r="H247" i="11" a="1"/>
  <c r="H247" i="11" s="1"/>
  <c r="D247" i="11" a="1"/>
  <c r="D247" i="11" s="1"/>
  <c r="G247" i="11" s="1"/>
  <c r="I247" i="11" s="1"/>
  <c r="Y247" i="11" s="1"/>
  <c r="H246" i="11" a="1"/>
  <c r="H246" i="11" s="1"/>
  <c r="D246" i="11" a="1"/>
  <c r="D246" i="11" s="1"/>
  <c r="G246" i="11" s="1"/>
  <c r="I246" i="11" s="1"/>
  <c r="Y246" i="11" s="1"/>
  <c r="H245" i="11" a="1"/>
  <c r="H245" i="11" s="1"/>
  <c r="D245" i="11" a="1"/>
  <c r="D245" i="11" s="1"/>
  <c r="G245" i="11" s="1"/>
  <c r="I245" i="11" s="1"/>
  <c r="Y245" i="11" s="1"/>
  <c r="H244" i="11" a="1"/>
  <c r="H244" i="11" s="1"/>
  <c r="D244" i="11" a="1"/>
  <c r="D244" i="11" s="1"/>
  <c r="G244" i="11" s="1"/>
  <c r="I244" i="11" s="1"/>
  <c r="Y244" i="11" s="1"/>
  <c r="H243" i="11" a="1"/>
  <c r="H243" i="11" s="1"/>
  <c r="D243" i="11" a="1"/>
  <c r="D243" i="11" s="1"/>
  <c r="G243" i="11" s="1"/>
  <c r="I243" i="11" s="1"/>
  <c r="Y243" i="11" s="1"/>
  <c r="H242" i="11" a="1"/>
  <c r="H242" i="11" s="1"/>
  <c r="D242" i="11" a="1"/>
  <c r="D242" i="11" s="1"/>
  <c r="G242" i="11" s="1"/>
  <c r="I242" i="11" s="1"/>
  <c r="Y242" i="11" s="1"/>
  <c r="H241" i="11" a="1"/>
  <c r="H241" i="11" s="1"/>
  <c r="D241" i="11" a="1"/>
  <c r="D241" i="11" s="1"/>
  <c r="G241" i="11" s="1"/>
  <c r="I241" i="11" s="1"/>
  <c r="Y241" i="11" s="1"/>
  <c r="H240" i="11" a="1"/>
  <c r="H240" i="11" s="1"/>
  <c r="D240" i="11" a="1"/>
  <c r="D240" i="11" s="1"/>
  <c r="G240" i="11" s="1"/>
  <c r="I240" i="11" s="1"/>
  <c r="Y240" i="11" s="1"/>
  <c r="H239" i="11" a="1"/>
  <c r="H239" i="11" s="1"/>
  <c r="D239" i="11" a="1"/>
  <c r="D239" i="11" s="1"/>
  <c r="G239" i="11" s="1"/>
  <c r="I239" i="11" s="1"/>
  <c r="Y239" i="11" s="1"/>
  <c r="H238" i="11" a="1"/>
  <c r="H238" i="11" s="1"/>
  <c r="D238" i="11" a="1"/>
  <c r="D238" i="11" s="1"/>
  <c r="G238" i="11" s="1"/>
  <c r="I238" i="11" s="1"/>
  <c r="Y238" i="11" s="1"/>
  <c r="H237" i="11" a="1"/>
  <c r="H237" i="11" s="1"/>
  <c r="D237" i="11" a="1"/>
  <c r="D237" i="11" s="1"/>
  <c r="G237" i="11" s="1"/>
  <c r="I237" i="11" s="1"/>
  <c r="Y237" i="11" s="1"/>
  <c r="H236" i="11" a="1"/>
  <c r="H236" i="11" s="1"/>
  <c r="D236" i="11" a="1"/>
  <c r="D236" i="11" s="1"/>
  <c r="G236" i="11" s="1"/>
  <c r="I236" i="11" s="1"/>
  <c r="Y236" i="11" s="1"/>
  <c r="H235" i="11" a="1"/>
  <c r="H235" i="11" s="1"/>
  <c r="D235" i="11" a="1"/>
  <c r="D235" i="11" s="1"/>
  <c r="G235" i="11" s="1"/>
  <c r="I235" i="11" s="1"/>
  <c r="Y235" i="11" s="1"/>
  <c r="H234" i="11" a="1"/>
  <c r="H234" i="11" s="1"/>
  <c r="D234" i="11" a="1"/>
  <c r="D234" i="11" s="1"/>
  <c r="G234" i="11" s="1"/>
  <c r="I234" i="11" s="1"/>
  <c r="Y234" i="11" s="1"/>
  <c r="H233" i="11" a="1"/>
  <c r="H233" i="11" s="1"/>
  <c r="D233" i="11" a="1"/>
  <c r="D233" i="11" s="1"/>
  <c r="G233" i="11" s="1"/>
  <c r="I233" i="11" s="1"/>
  <c r="Y233" i="11" s="1"/>
  <c r="H232" i="11" a="1"/>
  <c r="H232" i="11" s="1"/>
  <c r="D232" i="11" a="1"/>
  <c r="D232" i="11" s="1"/>
  <c r="G232" i="11" s="1"/>
  <c r="I232" i="11" s="1"/>
  <c r="Y232" i="11" s="1"/>
  <c r="H231" i="11" a="1"/>
  <c r="H231" i="11" s="1"/>
  <c r="D231" i="11" a="1"/>
  <c r="D231" i="11" s="1"/>
  <c r="G231" i="11" s="1"/>
  <c r="I231" i="11" s="1"/>
  <c r="Y231" i="11" s="1"/>
  <c r="H230" i="11" a="1"/>
  <c r="H230" i="11" s="1"/>
  <c r="D230" i="11" a="1"/>
  <c r="D230" i="11" s="1"/>
  <c r="G230" i="11" s="1"/>
  <c r="I230" i="11" s="1"/>
  <c r="Y230" i="11" s="1"/>
  <c r="H229" i="11" a="1"/>
  <c r="H229" i="11" s="1"/>
  <c r="D229" i="11" a="1"/>
  <c r="D229" i="11" s="1"/>
  <c r="G229" i="11" s="1"/>
  <c r="I229" i="11" s="1"/>
  <c r="Y229" i="11" s="1"/>
  <c r="H228" i="11" a="1"/>
  <c r="H228" i="11" s="1"/>
  <c r="D228" i="11" a="1"/>
  <c r="D228" i="11" s="1"/>
  <c r="G228" i="11" s="1"/>
  <c r="I228" i="11" s="1"/>
  <c r="Y228" i="11" s="1"/>
  <c r="H227" i="11" a="1"/>
  <c r="H227" i="11" s="1"/>
  <c r="D227" i="11" a="1"/>
  <c r="D227" i="11" s="1"/>
  <c r="G227" i="11" s="1"/>
  <c r="I227" i="11" s="1"/>
  <c r="Y227" i="11" s="1"/>
  <c r="H226" i="11" a="1"/>
  <c r="H226" i="11" s="1"/>
  <c r="D226" i="11" a="1"/>
  <c r="D226" i="11" s="1"/>
  <c r="G226" i="11" s="1"/>
  <c r="I226" i="11" s="1"/>
  <c r="Y226" i="11" s="1"/>
  <c r="H225" i="11" a="1"/>
  <c r="H225" i="11" s="1"/>
  <c r="D225" i="11" a="1"/>
  <c r="D225" i="11" s="1"/>
  <c r="G225" i="11" s="1"/>
  <c r="I225" i="11" s="1"/>
  <c r="Y225" i="11" s="1"/>
  <c r="H224" i="11" a="1"/>
  <c r="H224" i="11" s="1"/>
  <c r="D224" i="11" a="1"/>
  <c r="D224" i="11" s="1"/>
  <c r="G224" i="11" s="1"/>
  <c r="I224" i="11" s="1"/>
  <c r="Y224" i="11" s="1"/>
  <c r="H223" i="11" a="1"/>
  <c r="H223" i="11" s="1"/>
  <c r="D223" i="11" a="1"/>
  <c r="D223" i="11" s="1"/>
  <c r="G223" i="11" s="1"/>
  <c r="I223" i="11" s="1"/>
  <c r="Y223" i="11" s="1"/>
  <c r="H222" i="11" a="1"/>
  <c r="H222" i="11" s="1"/>
  <c r="D222" i="11" a="1"/>
  <c r="D222" i="11" s="1"/>
  <c r="G222" i="11" s="1"/>
  <c r="I222" i="11" s="1"/>
  <c r="Y222" i="11" s="1"/>
  <c r="H221" i="11" a="1"/>
  <c r="H221" i="11" s="1"/>
  <c r="D221" i="11" a="1"/>
  <c r="D221" i="11" s="1"/>
  <c r="G221" i="11" s="1"/>
  <c r="I221" i="11" s="1"/>
  <c r="Y221" i="11" s="1"/>
  <c r="H220" i="11" a="1"/>
  <c r="H220" i="11" s="1"/>
  <c r="D220" i="11" a="1"/>
  <c r="D220" i="11" s="1"/>
  <c r="G220" i="11" s="1"/>
  <c r="I220" i="11" s="1"/>
  <c r="Y220" i="11" s="1"/>
  <c r="H219" i="11" a="1"/>
  <c r="H219" i="11" s="1"/>
  <c r="D219" i="11" a="1"/>
  <c r="D219" i="11" s="1"/>
  <c r="G219" i="11" s="1"/>
  <c r="I219" i="11" s="1"/>
  <c r="Y219" i="11" s="1"/>
  <c r="H218" i="11" a="1"/>
  <c r="H218" i="11" s="1"/>
  <c r="D218" i="11" a="1"/>
  <c r="D218" i="11" s="1"/>
  <c r="G218" i="11" s="1"/>
  <c r="I218" i="11" s="1"/>
  <c r="Y218" i="11" s="1"/>
  <c r="H217" i="11" a="1"/>
  <c r="H217" i="11" s="1"/>
  <c r="D217" i="11" a="1"/>
  <c r="D217" i="11" s="1"/>
  <c r="G217" i="11" s="1"/>
  <c r="I217" i="11" s="1"/>
  <c r="Y217" i="11" s="1"/>
  <c r="H216" i="11" a="1"/>
  <c r="H216" i="11" s="1"/>
  <c r="D216" i="11" a="1"/>
  <c r="D216" i="11" s="1"/>
  <c r="G216" i="11" s="1"/>
  <c r="I216" i="11" s="1"/>
  <c r="Y216" i="11" s="1"/>
  <c r="H215" i="11" a="1"/>
  <c r="H215" i="11" s="1"/>
  <c r="D215" i="11" a="1"/>
  <c r="D215" i="11" s="1"/>
  <c r="G215" i="11" s="1"/>
  <c r="I215" i="11" s="1"/>
  <c r="Y215" i="11" s="1"/>
  <c r="H214" i="11" a="1"/>
  <c r="H214" i="11" s="1"/>
  <c r="D214" i="11" a="1"/>
  <c r="D214" i="11" s="1"/>
  <c r="G214" i="11" s="1"/>
  <c r="I214" i="11" s="1"/>
  <c r="Y214" i="11" s="1"/>
  <c r="H213" i="11" a="1"/>
  <c r="H213" i="11" s="1"/>
  <c r="D213" i="11" a="1"/>
  <c r="D213" i="11" s="1"/>
  <c r="G213" i="11" s="1"/>
  <c r="I213" i="11" s="1"/>
  <c r="Y213" i="11" s="1"/>
  <c r="H212" i="11" a="1"/>
  <c r="H212" i="11" s="1"/>
  <c r="D212" i="11" a="1"/>
  <c r="D212" i="11" s="1"/>
  <c r="G212" i="11" s="1"/>
  <c r="I212" i="11" s="1"/>
  <c r="Y212" i="11" s="1"/>
  <c r="H211" i="11" a="1"/>
  <c r="H211" i="11" s="1"/>
  <c r="D211" i="11" a="1"/>
  <c r="D211" i="11" s="1"/>
  <c r="G211" i="11" s="1"/>
  <c r="I211" i="11" s="1"/>
  <c r="Y211" i="11" s="1"/>
  <c r="H210" i="11" a="1"/>
  <c r="H210" i="11" s="1"/>
  <c r="D210" i="11" a="1"/>
  <c r="D210" i="11" s="1"/>
  <c r="G210" i="11" s="1"/>
  <c r="I210" i="11" s="1"/>
  <c r="Y210" i="11" s="1"/>
  <c r="H209" i="11" a="1"/>
  <c r="H209" i="11" s="1"/>
  <c r="D209" i="11" a="1"/>
  <c r="D209" i="11" s="1"/>
  <c r="G209" i="11" s="1"/>
  <c r="I209" i="11" s="1"/>
  <c r="Y209" i="11" s="1"/>
  <c r="H208" i="11" a="1"/>
  <c r="H208" i="11" s="1"/>
  <c r="D208" i="11" a="1"/>
  <c r="D208" i="11" s="1"/>
  <c r="G208" i="11" s="1"/>
  <c r="I208" i="11" s="1"/>
  <c r="Y208" i="11" s="1"/>
  <c r="H207" i="11" a="1"/>
  <c r="H207" i="11" s="1"/>
  <c r="D207" i="11" a="1"/>
  <c r="D207" i="11" s="1"/>
  <c r="G207" i="11" s="1"/>
  <c r="I207" i="11" s="1"/>
  <c r="Y207" i="11" s="1"/>
  <c r="H206" i="11" a="1"/>
  <c r="H206" i="11" s="1"/>
  <c r="D206" i="11" a="1"/>
  <c r="D206" i="11" s="1"/>
  <c r="G206" i="11" s="1"/>
  <c r="I206" i="11" s="1"/>
  <c r="Y206" i="11" s="1"/>
  <c r="H205" i="11" a="1"/>
  <c r="H205" i="11" s="1"/>
  <c r="D205" i="11" a="1"/>
  <c r="D205" i="11" s="1"/>
  <c r="G205" i="11" s="1"/>
  <c r="I205" i="11" s="1"/>
  <c r="Y205" i="11" s="1"/>
  <c r="H204" i="11" a="1"/>
  <c r="H204" i="11" s="1"/>
  <c r="D204" i="11" a="1"/>
  <c r="D204" i="11" s="1"/>
  <c r="G204" i="11" s="1"/>
  <c r="I204" i="11" s="1"/>
  <c r="Y204" i="11" s="1"/>
  <c r="H203" i="11" a="1"/>
  <c r="H203" i="11" s="1"/>
  <c r="D203" i="11" a="1"/>
  <c r="D203" i="11" s="1"/>
  <c r="G203" i="11" s="1"/>
  <c r="I203" i="11" s="1"/>
  <c r="Y203" i="11" s="1"/>
  <c r="H202" i="11" a="1"/>
  <c r="H202" i="11" s="1"/>
  <c r="D202" i="11" a="1"/>
  <c r="D202" i="11" s="1"/>
  <c r="G202" i="11" s="1"/>
  <c r="I202" i="11" s="1"/>
  <c r="Y202" i="11" s="1"/>
  <c r="H201" i="11" a="1"/>
  <c r="H201" i="11" s="1"/>
  <c r="D201" i="11" a="1"/>
  <c r="D201" i="11" s="1"/>
  <c r="G201" i="11" s="1"/>
  <c r="I201" i="11" s="1"/>
  <c r="Y201" i="11" s="1"/>
  <c r="H200" i="11" a="1"/>
  <c r="H200" i="11" s="1"/>
  <c r="D200" i="11" a="1"/>
  <c r="D200" i="11" s="1"/>
  <c r="G200" i="11" s="1"/>
  <c r="I200" i="11" s="1"/>
  <c r="Y200" i="11" s="1"/>
  <c r="H199" i="11" a="1"/>
  <c r="H199" i="11" s="1"/>
  <c r="D199" i="11" a="1"/>
  <c r="D199" i="11" s="1"/>
  <c r="G199" i="11" s="1"/>
  <c r="I199" i="11" s="1"/>
  <c r="Y199" i="11" s="1"/>
  <c r="H198" i="11" a="1"/>
  <c r="H198" i="11" s="1"/>
  <c r="D198" i="11" a="1"/>
  <c r="D198" i="11" s="1"/>
  <c r="G198" i="11" s="1"/>
  <c r="I198" i="11" s="1"/>
  <c r="Y198" i="11" s="1"/>
  <c r="H197" i="11" a="1"/>
  <c r="H197" i="11" s="1"/>
  <c r="D197" i="11" a="1"/>
  <c r="D197" i="11" s="1"/>
  <c r="G197" i="11" s="1"/>
  <c r="I197" i="11" s="1"/>
  <c r="Y197" i="11" s="1"/>
  <c r="H196" i="11" a="1"/>
  <c r="H196" i="11" s="1"/>
  <c r="D196" i="11" a="1"/>
  <c r="D196" i="11" s="1"/>
  <c r="G196" i="11" s="1"/>
  <c r="I196" i="11" s="1"/>
  <c r="Y196" i="11" s="1"/>
  <c r="H195" i="11" a="1"/>
  <c r="H195" i="11" s="1"/>
  <c r="D195" i="11" a="1"/>
  <c r="D195" i="11" s="1"/>
  <c r="G195" i="11" s="1"/>
  <c r="I195" i="11" s="1"/>
  <c r="Y195" i="11" s="1"/>
  <c r="H194" i="11" a="1"/>
  <c r="H194" i="11" s="1"/>
  <c r="D194" i="11" a="1"/>
  <c r="D194" i="11" s="1"/>
  <c r="G194" i="11" s="1"/>
  <c r="I194" i="11" s="1"/>
  <c r="Y194" i="11" s="1"/>
  <c r="H193" i="11" a="1"/>
  <c r="H193" i="11" s="1"/>
  <c r="D193" i="11" a="1"/>
  <c r="D193" i="11" s="1"/>
  <c r="G193" i="11" s="1"/>
  <c r="I193" i="11" s="1"/>
  <c r="Y193" i="11" s="1"/>
  <c r="H192" i="11" a="1"/>
  <c r="H192" i="11" s="1"/>
  <c r="D192" i="11" a="1"/>
  <c r="D192" i="11" s="1"/>
  <c r="G192" i="11" s="1"/>
  <c r="I192" i="11" s="1"/>
  <c r="Y192" i="11" s="1"/>
  <c r="H191" i="11" a="1"/>
  <c r="H191" i="11" s="1"/>
  <c r="D191" i="11" a="1"/>
  <c r="D191" i="11" s="1"/>
  <c r="G191" i="11" s="1"/>
  <c r="I191" i="11" s="1"/>
  <c r="Y191" i="11" s="1"/>
  <c r="H190" i="11" a="1"/>
  <c r="H190" i="11" s="1"/>
  <c r="D190" i="11" a="1"/>
  <c r="D190" i="11" s="1"/>
  <c r="G190" i="11" s="1"/>
  <c r="I190" i="11" s="1"/>
  <c r="Y190" i="11" s="1"/>
  <c r="H189" i="11" a="1"/>
  <c r="H189" i="11" s="1"/>
  <c r="D189" i="11" a="1"/>
  <c r="D189" i="11" s="1"/>
  <c r="G189" i="11" s="1"/>
  <c r="I189" i="11" s="1"/>
  <c r="Y189" i="11" s="1"/>
  <c r="H188" i="11" a="1"/>
  <c r="H188" i="11" s="1"/>
  <c r="D188" i="11" a="1"/>
  <c r="D188" i="11" s="1"/>
  <c r="G188" i="11" s="1"/>
  <c r="I188" i="11" s="1"/>
  <c r="Y188" i="11" s="1"/>
  <c r="H187" i="11" a="1"/>
  <c r="H187" i="11" s="1"/>
  <c r="D187" i="11" a="1"/>
  <c r="D187" i="11" s="1"/>
  <c r="G187" i="11" s="1"/>
  <c r="I187" i="11" s="1"/>
  <c r="Y187" i="11" s="1"/>
  <c r="H186" i="11" a="1"/>
  <c r="H186" i="11" s="1"/>
  <c r="D186" i="11" a="1"/>
  <c r="D186" i="11" s="1"/>
  <c r="G186" i="11" s="1"/>
  <c r="I186" i="11" s="1"/>
  <c r="Y186" i="11" s="1"/>
  <c r="H185" i="11" a="1"/>
  <c r="H185" i="11" s="1"/>
  <c r="D185" i="11" a="1"/>
  <c r="D185" i="11" s="1"/>
  <c r="G185" i="11" s="1"/>
  <c r="I185" i="11" s="1"/>
  <c r="Y185" i="11" s="1"/>
  <c r="H184" i="11" a="1"/>
  <c r="H184" i="11" s="1"/>
  <c r="D184" i="11" a="1"/>
  <c r="D184" i="11" s="1"/>
  <c r="G184" i="11" s="1"/>
  <c r="I184" i="11" s="1"/>
  <c r="Y184" i="11" s="1"/>
  <c r="H183" i="11" a="1"/>
  <c r="H183" i="11" s="1"/>
  <c r="D183" i="11" a="1"/>
  <c r="D183" i="11" s="1"/>
  <c r="G183" i="11" s="1"/>
  <c r="I183" i="11" s="1"/>
  <c r="Y183" i="11" s="1"/>
  <c r="H182" i="11" a="1"/>
  <c r="H182" i="11" s="1"/>
  <c r="D182" i="11" a="1"/>
  <c r="D182" i="11" s="1"/>
  <c r="G182" i="11" s="1"/>
  <c r="I182" i="11" s="1"/>
  <c r="Y182" i="11" s="1"/>
  <c r="H181" i="11" a="1"/>
  <c r="H181" i="11" s="1"/>
  <c r="D181" i="11" a="1"/>
  <c r="D181" i="11" s="1"/>
  <c r="G181" i="11" s="1"/>
  <c r="I181" i="11" s="1"/>
  <c r="Y181" i="11" s="1"/>
  <c r="H180" i="11" a="1"/>
  <c r="H180" i="11" s="1"/>
  <c r="D180" i="11" a="1"/>
  <c r="D180" i="11" s="1"/>
  <c r="G180" i="11" s="1"/>
  <c r="I180" i="11" s="1"/>
  <c r="Y180" i="11" s="1"/>
  <c r="H179" i="11" a="1"/>
  <c r="H179" i="11" s="1"/>
  <c r="D179" i="11" a="1"/>
  <c r="D179" i="11" s="1"/>
  <c r="G179" i="11" s="1"/>
  <c r="I179" i="11" s="1"/>
  <c r="Y179" i="11" s="1"/>
  <c r="H178" i="11" a="1"/>
  <c r="H178" i="11" s="1"/>
  <c r="D178" i="11" a="1"/>
  <c r="D178" i="11" s="1"/>
  <c r="G178" i="11" s="1"/>
  <c r="I178" i="11" s="1"/>
  <c r="Y178" i="11" s="1"/>
  <c r="H177" i="11" a="1"/>
  <c r="H177" i="11" s="1"/>
  <c r="D177" i="11" a="1"/>
  <c r="D177" i="11" s="1"/>
  <c r="G177" i="11" s="1"/>
  <c r="I177" i="11" s="1"/>
  <c r="Y177" i="11" s="1"/>
  <c r="H176" i="11" a="1"/>
  <c r="H176" i="11" s="1"/>
  <c r="D176" i="11" a="1"/>
  <c r="D176" i="11" s="1"/>
  <c r="G176" i="11" s="1"/>
  <c r="I176" i="11" s="1"/>
  <c r="Y176" i="11" s="1"/>
  <c r="H175" i="11" a="1"/>
  <c r="H175" i="11" s="1"/>
  <c r="D175" i="11" a="1"/>
  <c r="D175" i="11" s="1"/>
  <c r="G175" i="11" s="1"/>
  <c r="I175" i="11" s="1"/>
  <c r="Y175" i="11" s="1"/>
  <c r="H174" i="11" a="1"/>
  <c r="H174" i="11" s="1"/>
  <c r="D174" i="11" a="1"/>
  <c r="D174" i="11" s="1"/>
  <c r="G174" i="11" s="1"/>
  <c r="I174" i="11" s="1"/>
  <c r="Y174" i="11" s="1"/>
  <c r="H173" i="11" a="1"/>
  <c r="H173" i="11" s="1"/>
  <c r="D173" i="11" a="1"/>
  <c r="D173" i="11" s="1"/>
  <c r="G173" i="11" s="1"/>
  <c r="I173" i="11" s="1"/>
  <c r="Y173" i="11" s="1"/>
  <c r="H172" i="11" a="1"/>
  <c r="H172" i="11" s="1"/>
  <c r="D172" i="11" a="1"/>
  <c r="D172" i="11" s="1"/>
  <c r="G172" i="11" s="1"/>
  <c r="I172" i="11" s="1"/>
  <c r="Y172" i="11" s="1"/>
  <c r="H171" i="11" a="1"/>
  <c r="H171" i="11" s="1"/>
  <c r="D171" i="11" a="1"/>
  <c r="D171" i="11" s="1"/>
  <c r="G171" i="11" s="1"/>
  <c r="I171" i="11" s="1"/>
  <c r="Y171" i="11" s="1"/>
  <c r="H170" i="11" a="1"/>
  <c r="H170" i="11" s="1"/>
  <c r="D170" i="11" a="1"/>
  <c r="D170" i="11" s="1"/>
  <c r="G170" i="11" s="1"/>
  <c r="I170" i="11" s="1"/>
  <c r="Y170" i="11" s="1"/>
  <c r="H169" i="11" a="1"/>
  <c r="H169" i="11" s="1"/>
  <c r="D169" i="11" a="1"/>
  <c r="D169" i="11" s="1"/>
  <c r="G169" i="11" s="1"/>
  <c r="I169" i="11" s="1"/>
  <c r="Y169" i="11" s="1"/>
  <c r="H168" i="11" a="1"/>
  <c r="H168" i="11" s="1"/>
  <c r="D168" i="11" a="1"/>
  <c r="D168" i="11" s="1"/>
  <c r="G168" i="11" s="1"/>
  <c r="I168" i="11" s="1"/>
  <c r="Y168" i="11" s="1"/>
  <c r="H167" i="11" a="1"/>
  <c r="H167" i="11" s="1"/>
  <c r="D167" i="11" a="1"/>
  <c r="D167" i="11" s="1"/>
  <c r="G167" i="11" s="1"/>
  <c r="I167" i="11" s="1"/>
  <c r="Y167" i="11" s="1"/>
  <c r="H166" i="11" a="1"/>
  <c r="H166" i="11" s="1"/>
  <c r="D166" i="11" a="1"/>
  <c r="D166" i="11" s="1"/>
  <c r="G166" i="11" s="1"/>
  <c r="I166" i="11" s="1"/>
  <c r="Y166" i="11" s="1"/>
  <c r="H165" i="11" a="1"/>
  <c r="H165" i="11" s="1"/>
  <c r="D165" i="11" a="1"/>
  <c r="D165" i="11" s="1"/>
  <c r="G165" i="11" s="1"/>
  <c r="I165" i="11" s="1"/>
  <c r="Y165" i="11" s="1"/>
  <c r="H164" i="11" a="1"/>
  <c r="H164" i="11" s="1"/>
  <c r="D164" i="11" a="1"/>
  <c r="D164" i="11" s="1"/>
  <c r="G164" i="11" s="1"/>
  <c r="I164" i="11" s="1"/>
  <c r="Y164" i="11" s="1"/>
  <c r="H163" i="11" a="1"/>
  <c r="H163" i="11" s="1"/>
  <c r="D163" i="11" a="1"/>
  <c r="D163" i="11" s="1"/>
  <c r="G163" i="11" s="1"/>
  <c r="I163" i="11" s="1"/>
  <c r="Y163" i="11" s="1"/>
  <c r="H162" i="11" a="1"/>
  <c r="H162" i="11" s="1"/>
  <c r="D162" i="11" a="1"/>
  <c r="D162" i="11" s="1"/>
  <c r="G162" i="11" s="1"/>
  <c r="I162" i="11" s="1"/>
  <c r="Y162" i="11" s="1"/>
  <c r="H161" i="11" a="1"/>
  <c r="H161" i="11" s="1"/>
  <c r="D161" i="11" a="1"/>
  <c r="D161" i="11" s="1"/>
  <c r="G161" i="11" s="1"/>
  <c r="I161" i="11" s="1"/>
  <c r="Y161" i="11" s="1"/>
  <c r="H160" i="11" a="1"/>
  <c r="H160" i="11" s="1"/>
  <c r="D160" i="11" a="1"/>
  <c r="D160" i="11" s="1"/>
  <c r="G160" i="11" s="1"/>
  <c r="I160" i="11" s="1"/>
  <c r="Y160" i="11" s="1"/>
  <c r="H159" i="11" a="1"/>
  <c r="H159" i="11" s="1"/>
  <c r="D159" i="11" a="1"/>
  <c r="D159" i="11" s="1"/>
  <c r="G159" i="11" s="1"/>
  <c r="I159" i="11" s="1"/>
  <c r="Y159" i="11" s="1"/>
  <c r="H158" i="11" a="1"/>
  <c r="H158" i="11" s="1"/>
  <c r="D158" i="11" a="1"/>
  <c r="D158" i="11" s="1"/>
  <c r="G158" i="11" s="1"/>
  <c r="I158" i="11" s="1"/>
  <c r="Y158" i="11" s="1"/>
  <c r="H157" i="11" a="1"/>
  <c r="H157" i="11" s="1"/>
  <c r="D157" i="11" a="1"/>
  <c r="D157" i="11" s="1"/>
  <c r="G157" i="11" s="1"/>
  <c r="I157" i="11" s="1"/>
  <c r="Y157" i="11" s="1"/>
  <c r="H156" i="11" a="1"/>
  <c r="H156" i="11" s="1"/>
  <c r="D156" i="11" a="1"/>
  <c r="D156" i="11" s="1"/>
  <c r="G156" i="11" s="1"/>
  <c r="I156" i="11" s="1"/>
  <c r="Y156" i="11" s="1"/>
  <c r="H155" i="11" a="1"/>
  <c r="H155" i="11" s="1"/>
  <c r="D155" i="11" a="1"/>
  <c r="D155" i="11" s="1"/>
  <c r="G155" i="11" s="1"/>
  <c r="I155" i="11" s="1"/>
  <c r="Y155" i="11" s="1"/>
  <c r="H154" i="11" a="1"/>
  <c r="H154" i="11" s="1"/>
  <c r="D154" i="11" a="1"/>
  <c r="D154" i="11" s="1"/>
  <c r="G154" i="11" s="1"/>
  <c r="I154" i="11" s="1"/>
  <c r="Y154" i="11" s="1"/>
  <c r="H153" i="11" a="1"/>
  <c r="H153" i="11" s="1"/>
  <c r="D153" i="11" a="1"/>
  <c r="D153" i="11" s="1"/>
  <c r="G153" i="11" s="1"/>
  <c r="I153" i="11" s="1"/>
  <c r="Y153" i="11" s="1"/>
  <c r="H152" i="11" a="1"/>
  <c r="H152" i="11" s="1"/>
  <c r="D152" i="11" a="1"/>
  <c r="D152" i="11" s="1"/>
  <c r="G152" i="11" s="1"/>
  <c r="I152" i="11" s="1"/>
  <c r="Y152" i="11" s="1"/>
  <c r="H151" i="11" a="1"/>
  <c r="H151" i="11" s="1"/>
  <c r="D151" i="11" a="1"/>
  <c r="D151" i="11" s="1"/>
  <c r="G151" i="11" s="1"/>
  <c r="I151" i="11" s="1"/>
  <c r="Y151" i="11" s="1"/>
  <c r="H150" i="11" a="1"/>
  <c r="H150" i="11" s="1"/>
  <c r="D150" i="11" a="1"/>
  <c r="D150" i="11" s="1"/>
  <c r="G150" i="11" s="1"/>
  <c r="I150" i="11" s="1"/>
  <c r="Y150" i="11" s="1"/>
  <c r="H149" i="11" a="1"/>
  <c r="H149" i="11" s="1"/>
  <c r="D149" i="11" a="1"/>
  <c r="D149" i="11" s="1"/>
  <c r="G149" i="11" s="1"/>
  <c r="I149" i="11" s="1"/>
  <c r="Y149" i="11" s="1"/>
  <c r="H148" i="11" a="1"/>
  <c r="H148" i="11" s="1"/>
  <c r="D148" i="11" a="1"/>
  <c r="D148" i="11" s="1"/>
  <c r="G148" i="11" s="1"/>
  <c r="I148" i="11" s="1"/>
  <c r="Y148" i="11" s="1"/>
  <c r="H147" i="11" a="1"/>
  <c r="H147" i="11" s="1"/>
  <c r="D147" i="11" a="1"/>
  <c r="D147" i="11" s="1"/>
  <c r="G147" i="11" s="1"/>
  <c r="I147" i="11" s="1"/>
  <c r="Y147" i="11" s="1"/>
  <c r="H146" i="11" a="1"/>
  <c r="H146" i="11" s="1"/>
  <c r="D146" i="11" a="1"/>
  <c r="D146" i="11" s="1"/>
  <c r="G146" i="11" s="1"/>
  <c r="I146" i="11" s="1"/>
  <c r="Y146" i="11" s="1"/>
  <c r="H145" i="11" a="1"/>
  <c r="H145" i="11" s="1"/>
  <c r="D145" i="11" a="1"/>
  <c r="D145" i="11" s="1"/>
  <c r="G145" i="11" s="1"/>
  <c r="I145" i="11" s="1"/>
  <c r="Y145" i="11" s="1"/>
  <c r="H144" i="11" a="1"/>
  <c r="H144" i="11" s="1"/>
  <c r="D144" i="11" a="1"/>
  <c r="D144" i="11" s="1"/>
  <c r="G144" i="11" s="1"/>
  <c r="I144" i="11" s="1"/>
  <c r="Y144" i="11" s="1"/>
  <c r="H143" i="11" a="1"/>
  <c r="H143" i="11" s="1"/>
  <c r="D143" i="11" a="1"/>
  <c r="D143" i="11" s="1"/>
  <c r="G143" i="11" s="1"/>
  <c r="I143" i="11" s="1"/>
  <c r="Y143" i="11" s="1"/>
  <c r="H142" i="11" a="1"/>
  <c r="H142" i="11" s="1"/>
  <c r="D142" i="11" a="1"/>
  <c r="D142" i="11" s="1"/>
  <c r="G142" i="11" s="1"/>
  <c r="I142" i="11" s="1"/>
  <c r="Y142" i="11" s="1"/>
  <c r="H141" i="11" a="1"/>
  <c r="H141" i="11" s="1"/>
  <c r="D141" i="11" a="1"/>
  <c r="D141" i="11" s="1"/>
  <c r="G141" i="11" s="1"/>
  <c r="I141" i="11" s="1"/>
  <c r="Y141" i="11" s="1"/>
  <c r="H140" i="11" a="1"/>
  <c r="H140" i="11" s="1"/>
  <c r="D140" i="11" a="1"/>
  <c r="D140" i="11" s="1"/>
  <c r="G140" i="11" s="1"/>
  <c r="I140" i="11" s="1"/>
  <c r="Y140" i="11" s="1"/>
  <c r="H139" i="11" a="1"/>
  <c r="H139" i="11" s="1"/>
  <c r="D139" i="11" a="1"/>
  <c r="D139" i="11" s="1"/>
  <c r="G139" i="11" s="1"/>
  <c r="I139" i="11" s="1"/>
  <c r="Y139" i="11" s="1"/>
  <c r="H138" i="11" a="1"/>
  <c r="H138" i="11" s="1"/>
  <c r="D138" i="11" a="1"/>
  <c r="D138" i="11" s="1"/>
  <c r="G138" i="11" s="1"/>
  <c r="I138" i="11" s="1"/>
  <c r="Y138" i="11" s="1"/>
  <c r="H137" i="11" a="1"/>
  <c r="H137" i="11" s="1"/>
  <c r="D137" i="11" a="1"/>
  <c r="D137" i="11" s="1"/>
  <c r="G137" i="11" s="1"/>
  <c r="I137" i="11" s="1"/>
  <c r="Y137" i="11" s="1"/>
  <c r="H136" i="11" a="1"/>
  <c r="H136" i="11" s="1"/>
  <c r="D136" i="11" a="1"/>
  <c r="D136" i="11" s="1"/>
  <c r="G136" i="11" s="1"/>
  <c r="I136" i="11" s="1"/>
  <c r="Y136" i="11" s="1"/>
  <c r="H135" i="11" a="1"/>
  <c r="H135" i="11" s="1"/>
  <c r="D135" i="11" a="1"/>
  <c r="D135" i="11" s="1"/>
  <c r="G135" i="11" s="1"/>
  <c r="I135" i="11" s="1"/>
  <c r="Y135" i="11" s="1"/>
  <c r="H134" i="11" a="1"/>
  <c r="H134" i="11" s="1"/>
  <c r="D134" i="11" a="1"/>
  <c r="D134" i="11" s="1"/>
  <c r="G134" i="11" s="1"/>
  <c r="I134" i="11" s="1"/>
  <c r="Y134" i="11" s="1"/>
  <c r="H133" i="11" a="1"/>
  <c r="H133" i="11" s="1"/>
  <c r="D133" i="11" a="1"/>
  <c r="D133" i="11" s="1"/>
  <c r="G133" i="11" s="1"/>
  <c r="I133" i="11" s="1"/>
  <c r="Y133" i="11" s="1"/>
  <c r="H132" i="11" a="1"/>
  <c r="H132" i="11" s="1"/>
  <c r="D132" i="11" a="1"/>
  <c r="D132" i="11" s="1"/>
  <c r="G132" i="11" s="1"/>
  <c r="I132" i="11" s="1"/>
  <c r="Y132" i="11" s="1"/>
  <c r="H131" i="11" a="1"/>
  <c r="H131" i="11" s="1"/>
  <c r="D131" i="11" a="1"/>
  <c r="D131" i="11" s="1"/>
  <c r="G131" i="11" s="1"/>
  <c r="I131" i="11" s="1"/>
  <c r="Y131" i="11" s="1"/>
  <c r="H130" i="11" a="1"/>
  <c r="H130" i="11" s="1"/>
  <c r="D130" i="11" a="1"/>
  <c r="D130" i="11" s="1"/>
  <c r="G130" i="11" s="1"/>
  <c r="I130" i="11" s="1"/>
  <c r="Y130" i="11" s="1"/>
  <c r="H129" i="11" a="1"/>
  <c r="H129" i="11" s="1"/>
  <c r="D129" i="11" a="1"/>
  <c r="D129" i="11" s="1"/>
  <c r="G129" i="11" s="1"/>
  <c r="I129" i="11" s="1"/>
  <c r="Y129" i="11" s="1"/>
  <c r="H128" i="11" a="1"/>
  <c r="H128" i="11" s="1"/>
  <c r="D128" i="11" a="1"/>
  <c r="D128" i="11" s="1"/>
  <c r="G128" i="11" s="1"/>
  <c r="I128" i="11" s="1"/>
  <c r="Y128" i="11" s="1"/>
  <c r="H127" i="11" a="1"/>
  <c r="H127" i="11" s="1"/>
  <c r="D127" i="11" a="1"/>
  <c r="D127" i="11" s="1"/>
  <c r="G127" i="11" s="1"/>
  <c r="I127" i="11" s="1"/>
  <c r="Y127" i="11" s="1"/>
  <c r="H126" i="11" a="1"/>
  <c r="H126" i="11" s="1"/>
  <c r="D126" i="11" a="1"/>
  <c r="D126" i="11" s="1"/>
  <c r="G126" i="11" s="1"/>
  <c r="I126" i="11" s="1"/>
  <c r="Y126" i="11" s="1"/>
  <c r="H125" i="11" a="1"/>
  <c r="H125" i="11" s="1"/>
  <c r="D125" i="11" a="1"/>
  <c r="D125" i="11" s="1"/>
  <c r="G125" i="11" s="1"/>
  <c r="I125" i="11" s="1"/>
  <c r="Y125" i="11" s="1"/>
  <c r="H124" i="11" a="1"/>
  <c r="H124" i="11" s="1"/>
  <c r="D124" i="11" a="1"/>
  <c r="D124" i="11" s="1"/>
  <c r="G124" i="11" s="1"/>
  <c r="I124" i="11" s="1"/>
  <c r="Y124" i="11" s="1"/>
  <c r="H123" i="11" a="1"/>
  <c r="H123" i="11" s="1"/>
  <c r="D123" i="11" a="1"/>
  <c r="D123" i="11" s="1"/>
  <c r="G123" i="11" s="1"/>
  <c r="I123" i="11" s="1"/>
  <c r="Y123" i="11" s="1"/>
  <c r="H122" i="11" a="1"/>
  <c r="H122" i="11" s="1"/>
  <c r="D122" i="11" a="1"/>
  <c r="D122" i="11" s="1"/>
  <c r="G122" i="11" s="1"/>
  <c r="I122" i="11" s="1"/>
  <c r="Y122" i="11" s="1"/>
  <c r="H121" i="11" a="1"/>
  <c r="H121" i="11" s="1"/>
  <c r="D121" i="11" a="1"/>
  <c r="D121" i="11" s="1"/>
  <c r="G121" i="11" s="1"/>
  <c r="I121" i="11" s="1"/>
  <c r="Y121" i="11" s="1"/>
  <c r="H120" i="11" a="1"/>
  <c r="H120" i="11" s="1"/>
  <c r="D120" i="11" a="1"/>
  <c r="D120" i="11" s="1"/>
  <c r="G120" i="11" s="1"/>
  <c r="I120" i="11" s="1"/>
  <c r="Y120" i="11" s="1"/>
  <c r="H119" i="11" a="1"/>
  <c r="H119" i="11" s="1"/>
  <c r="D119" i="11" a="1"/>
  <c r="D119" i="11" s="1"/>
  <c r="G119" i="11" s="1"/>
  <c r="I119" i="11" s="1"/>
  <c r="Y119" i="11" s="1"/>
  <c r="H118" i="11" a="1"/>
  <c r="H118" i="11" s="1"/>
  <c r="D118" i="11" a="1"/>
  <c r="D118" i="11" s="1"/>
  <c r="G118" i="11" s="1"/>
  <c r="I118" i="11" s="1"/>
  <c r="Y118" i="11" s="1"/>
  <c r="H117" i="11" a="1"/>
  <c r="H117" i="11" s="1"/>
  <c r="D117" i="11" a="1"/>
  <c r="D117" i="11" s="1"/>
  <c r="G117" i="11" s="1"/>
  <c r="I117" i="11" s="1"/>
  <c r="Y117" i="11" s="1"/>
  <c r="H116" i="11" a="1"/>
  <c r="H116" i="11" s="1"/>
  <c r="D116" i="11" a="1"/>
  <c r="D116" i="11" s="1"/>
  <c r="G116" i="11" s="1"/>
  <c r="I116" i="11" s="1"/>
  <c r="Y116" i="11" s="1"/>
  <c r="H115" i="11" a="1"/>
  <c r="H115" i="11" s="1"/>
  <c r="D115" i="11" a="1"/>
  <c r="D115" i="11" s="1"/>
  <c r="G115" i="11" s="1"/>
  <c r="I115" i="11" s="1"/>
  <c r="Y115" i="11" s="1"/>
  <c r="H114" i="11" a="1"/>
  <c r="H114" i="11" s="1"/>
  <c r="D114" i="11" a="1"/>
  <c r="D114" i="11" s="1"/>
  <c r="G114" i="11" s="1"/>
  <c r="I114" i="11" s="1"/>
  <c r="Y114" i="11" s="1"/>
  <c r="H113" i="11" a="1"/>
  <c r="H113" i="11" s="1"/>
  <c r="D113" i="11" a="1"/>
  <c r="D113" i="11" s="1"/>
  <c r="G113" i="11" s="1"/>
  <c r="I113" i="11" s="1"/>
  <c r="Y113" i="11" s="1"/>
  <c r="H112" i="11" a="1"/>
  <c r="H112" i="11" s="1"/>
  <c r="D112" i="11" a="1"/>
  <c r="D112" i="11" s="1"/>
  <c r="G112" i="11" s="1"/>
  <c r="I112" i="11" s="1"/>
  <c r="Y112" i="11" s="1"/>
  <c r="H111" i="11" a="1"/>
  <c r="H111" i="11" s="1"/>
  <c r="D111" i="11" a="1"/>
  <c r="D111" i="11" s="1"/>
  <c r="G111" i="11" s="1"/>
  <c r="I111" i="11" s="1"/>
  <c r="Y111" i="11" s="1"/>
  <c r="H110" i="11" a="1"/>
  <c r="H110" i="11" s="1"/>
  <c r="D110" i="11" a="1"/>
  <c r="D110" i="11" s="1"/>
  <c r="G110" i="11" s="1"/>
  <c r="I110" i="11" s="1"/>
  <c r="Y110" i="11" s="1"/>
  <c r="H109" i="11" a="1"/>
  <c r="H109" i="11" s="1"/>
  <c r="D109" i="11" a="1"/>
  <c r="D109" i="11" s="1"/>
  <c r="G109" i="11" s="1"/>
  <c r="I109" i="11" s="1"/>
  <c r="Y109" i="11" s="1"/>
  <c r="H108" i="11" a="1"/>
  <c r="H108" i="11" s="1"/>
  <c r="D108" i="11" a="1"/>
  <c r="D108" i="11" s="1"/>
  <c r="G108" i="11" s="1"/>
  <c r="I108" i="11" s="1"/>
  <c r="Y108" i="11" s="1"/>
  <c r="H107" i="11" a="1"/>
  <c r="H107" i="11" s="1"/>
  <c r="D107" i="11" a="1"/>
  <c r="D107" i="11" s="1"/>
  <c r="G107" i="11" s="1"/>
  <c r="I107" i="11" s="1"/>
  <c r="Y107" i="11" s="1"/>
  <c r="H106" i="11" a="1"/>
  <c r="H106" i="11" s="1"/>
  <c r="D106" i="11" a="1"/>
  <c r="D106" i="11" s="1"/>
  <c r="G106" i="11" s="1"/>
  <c r="I106" i="11" s="1"/>
  <c r="Y106" i="11" s="1"/>
  <c r="H105" i="11" a="1"/>
  <c r="H105" i="11" s="1"/>
  <c r="D105" i="11" a="1"/>
  <c r="D105" i="11" s="1"/>
  <c r="G105" i="11" s="1"/>
  <c r="I105" i="11" s="1"/>
  <c r="Y105" i="11" s="1"/>
  <c r="H104" i="11" a="1"/>
  <c r="H104" i="11" s="1"/>
  <c r="D104" i="11" a="1"/>
  <c r="D104" i="11" s="1"/>
  <c r="G104" i="11" s="1"/>
  <c r="I104" i="11" s="1"/>
  <c r="Y104" i="11" s="1"/>
  <c r="H103" i="11" a="1"/>
  <c r="H103" i="11" s="1"/>
  <c r="D103" i="11" a="1"/>
  <c r="D103" i="11" s="1"/>
  <c r="G103" i="11" s="1"/>
  <c r="I103" i="11" s="1"/>
  <c r="Y103" i="11" s="1"/>
  <c r="H102" i="11" a="1"/>
  <c r="H102" i="11" s="1"/>
  <c r="D102" i="11" a="1"/>
  <c r="D102" i="11" s="1"/>
  <c r="G102" i="11" s="1"/>
  <c r="I102" i="11" s="1"/>
  <c r="Y102" i="11" s="1"/>
  <c r="H101" i="11" a="1"/>
  <c r="H101" i="11" s="1"/>
  <c r="D101" i="11" a="1"/>
  <c r="D101" i="11" s="1"/>
  <c r="G101" i="11" s="1"/>
  <c r="I101" i="11" s="1"/>
  <c r="Y101" i="11" s="1"/>
  <c r="H100" i="11" a="1"/>
  <c r="H100" i="11" s="1"/>
  <c r="D100" i="11" a="1"/>
  <c r="D100" i="11" s="1"/>
  <c r="G100" i="11" s="1"/>
  <c r="I100" i="11" s="1"/>
  <c r="Y100" i="11" s="1"/>
  <c r="H99" i="11" a="1"/>
  <c r="H99" i="11" s="1"/>
  <c r="D99" i="11" a="1"/>
  <c r="D99" i="11" s="1"/>
  <c r="G99" i="11" s="1"/>
  <c r="I99" i="11" s="1"/>
  <c r="Y99" i="11" s="1"/>
  <c r="H98" i="11" a="1"/>
  <c r="H98" i="11" s="1"/>
  <c r="D98" i="11" a="1"/>
  <c r="D98" i="11" s="1"/>
  <c r="G98" i="11" s="1"/>
  <c r="I98" i="11" s="1"/>
  <c r="Y98" i="11" s="1"/>
  <c r="H97" i="11" a="1"/>
  <c r="H97" i="11" s="1"/>
  <c r="D97" i="11" a="1"/>
  <c r="D97" i="11" s="1"/>
  <c r="G97" i="11" s="1"/>
  <c r="I97" i="11" s="1"/>
  <c r="Y97" i="11" s="1"/>
  <c r="H96" i="11" a="1"/>
  <c r="H96" i="11" s="1"/>
  <c r="D96" i="11" a="1"/>
  <c r="D96" i="11" s="1"/>
  <c r="G96" i="11" s="1"/>
  <c r="I96" i="11" s="1"/>
  <c r="Y96" i="11" s="1"/>
  <c r="H95" i="11" a="1"/>
  <c r="H95" i="11" s="1"/>
  <c r="D95" i="11" a="1"/>
  <c r="D95" i="11" s="1"/>
  <c r="G95" i="11" s="1"/>
  <c r="I95" i="11" s="1"/>
  <c r="Y95" i="11" s="1"/>
  <c r="H94" i="11" a="1"/>
  <c r="H94" i="11" s="1"/>
  <c r="D94" i="11" a="1"/>
  <c r="D94" i="11" s="1"/>
  <c r="G94" i="11" s="1"/>
  <c r="I94" i="11" s="1"/>
  <c r="Y94" i="11" s="1"/>
  <c r="H93" i="11" a="1"/>
  <c r="H93" i="11" s="1"/>
  <c r="D93" i="11" a="1"/>
  <c r="D93" i="11" s="1"/>
  <c r="G93" i="11" s="1"/>
  <c r="I93" i="11" s="1"/>
  <c r="Y93" i="11" s="1"/>
  <c r="H92" i="11" a="1"/>
  <c r="H92" i="11" s="1"/>
  <c r="D92" i="11" a="1"/>
  <c r="D92" i="11" s="1"/>
  <c r="G92" i="11" s="1"/>
  <c r="I92" i="11" s="1"/>
  <c r="Y92" i="11" s="1"/>
  <c r="H91" i="11" a="1"/>
  <c r="H91" i="11" s="1"/>
  <c r="D91" i="11" a="1"/>
  <c r="D91" i="11" s="1"/>
  <c r="G91" i="11" s="1"/>
  <c r="I91" i="11" s="1"/>
  <c r="Y91" i="11" s="1"/>
  <c r="H90" i="11" a="1"/>
  <c r="H90" i="11" s="1"/>
  <c r="D90" i="11" a="1"/>
  <c r="D90" i="11" s="1"/>
  <c r="G90" i="11" s="1"/>
  <c r="I90" i="11" s="1"/>
  <c r="Y90" i="11" s="1"/>
  <c r="H89" i="11" a="1"/>
  <c r="H89" i="11" s="1"/>
  <c r="D89" i="11" a="1"/>
  <c r="D89" i="11" s="1"/>
  <c r="G89" i="11" s="1"/>
  <c r="I89" i="11" s="1"/>
  <c r="Y89" i="11" s="1"/>
  <c r="H88" i="11" a="1"/>
  <c r="H88" i="11" s="1"/>
  <c r="D88" i="11" a="1"/>
  <c r="D88" i="11" s="1"/>
  <c r="G88" i="11" s="1"/>
  <c r="I88" i="11" s="1"/>
  <c r="Y88" i="11" s="1"/>
  <c r="H87" i="11" a="1"/>
  <c r="H87" i="11" s="1"/>
  <c r="D87" i="11" a="1"/>
  <c r="D87" i="11" s="1"/>
  <c r="G87" i="11" s="1"/>
  <c r="I87" i="11" s="1"/>
  <c r="Y87" i="11" s="1"/>
  <c r="H86" i="11" a="1"/>
  <c r="H86" i="11" s="1"/>
  <c r="D86" i="11" a="1"/>
  <c r="D86" i="11" s="1"/>
  <c r="G86" i="11" s="1"/>
  <c r="I86" i="11" s="1"/>
  <c r="Y86" i="11" s="1"/>
  <c r="H85" i="11" a="1"/>
  <c r="H85" i="11" s="1"/>
  <c r="D85" i="11" a="1"/>
  <c r="D85" i="11" s="1"/>
  <c r="G85" i="11" s="1"/>
  <c r="I85" i="11" s="1"/>
  <c r="Y85" i="11" s="1"/>
  <c r="H84" i="11" a="1"/>
  <c r="H84" i="11" s="1"/>
  <c r="D84" i="11" a="1"/>
  <c r="D84" i="11" s="1"/>
  <c r="G84" i="11" s="1"/>
  <c r="I84" i="11" s="1"/>
  <c r="Y84" i="11" s="1"/>
  <c r="H83" i="11" a="1"/>
  <c r="H83" i="11" s="1"/>
  <c r="D83" i="11" a="1"/>
  <c r="D83" i="11" s="1"/>
  <c r="G83" i="11" s="1"/>
  <c r="I83" i="11" s="1"/>
  <c r="Y83" i="11" s="1"/>
  <c r="H82" i="11" a="1"/>
  <c r="H82" i="11" s="1"/>
  <c r="D82" i="11" a="1"/>
  <c r="D82" i="11" s="1"/>
  <c r="G82" i="11" s="1"/>
  <c r="I82" i="11" s="1"/>
  <c r="Y82" i="11" s="1"/>
  <c r="H81" i="11" a="1"/>
  <c r="H81" i="11" s="1"/>
  <c r="D81" i="11" a="1"/>
  <c r="D81" i="11" s="1"/>
  <c r="G81" i="11" s="1"/>
  <c r="I81" i="11" s="1"/>
  <c r="Y81" i="11" s="1"/>
  <c r="H80" i="11" a="1"/>
  <c r="H80" i="11" s="1"/>
  <c r="D80" i="11" a="1"/>
  <c r="D80" i="11" s="1"/>
  <c r="G80" i="11" s="1"/>
  <c r="I80" i="11" s="1"/>
  <c r="Y80" i="11" s="1"/>
  <c r="H79" i="11" a="1"/>
  <c r="H79" i="11" s="1"/>
  <c r="D79" i="11" a="1"/>
  <c r="D79" i="11" s="1"/>
  <c r="G79" i="11" s="1"/>
  <c r="I79" i="11" s="1"/>
  <c r="Y79" i="11" s="1"/>
  <c r="H78" i="11" a="1"/>
  <c r="H78" i="11" s="1"/>
  <c r="D78" i="11" a="1"/>
  <c r="D78" i="11" s="1"/>
  <c r="G78" i="11" s="1"/>
  <c r="I78" i="11" s="1"/>
  <c r="Y78" i="11" s="1"/>
  <c r="H77" i="11" a="1"/>
  <c r="H77" i="11" s="1"/>
  <c r="D77" i="11" a="1"/>
  <c r="D77" i="11" s="1"/>
  <c r="G77" i="11" s="1"/>
  <c r="I77" i="11" s="1"/>
  <c r="Y77" i="11" s="1"/>
  <c r="H76" i="11" a="1"/>
  <c r="H76" i="11" s="1"/>
  <c r="D76" i="11" a="1"/>
  <c r="D76" i="11" s="1"/>
  <c r="G76" i="11" s="1"/>
  <c r="I76" i="11" s="1"/>
  <c r="Y76" i="11" s="1"/>
  <c r="H75" i="11" a="1"/>
  <c r="H75" i="11" s="1"/>
  <c r="D75" i="11" a="1"/>
  <c r="D75" i="11" s="1"/>
  <c r="G75" i="11" s="1"/>
  <c r="I75" i="11" s="1"/>
  <c r="Y75" i="11" s="1"/>
  <c r="H74" i="11" a="1"/>
  <c r="H74" i="11" s="1"/>
  <c r="D74" i="11" a="1"/>
  <c r="D74" i="11" s="1"/>
  <c r="G74" i="11" s="1"/>
  <c r="I74" i="11" s="1"/>
  <c r="Y74" i="11" s="1"/>
  <c r="H73" i="11" a="1"/>
  <c r="H73" i="11" s="1"/>
  <c r="D73" i="11" a="1"/>
  <c r="D73" i="11" s="1"/>
  <c r="G73" i="11" s="1"/>
  <c r="I73" i="11" s="1"/>
  <c r="Y73" i="11" s="1"/>
  <c r="H72" i="11" a="1"/>
  <c r="H72" i="11" s="1"/>
  <c r="D72" i="11" a="1"/>
  <c r="D72" i="11" s="1"/>
  <c r="G72" i="11" s="1"/>
  <c r="I72" i="11" s="1"/>
  <c r="Y72" i="11" s="1"/>
  <c r="H71" i="11" a="1"/>
  <c r="H71" i="11" s="1"/>
  <c r="D71" i="11" a="1"/>
  <c r="D71" i="11" s="1"/>
  <c r="G71" i="11" s="1"/>
  <c r="I71" i="11" s="1"/>
  <c r="Y71" i="11" s="1"/>
  <c r="H70" i="11" a="1"/>
  <c r="H70" i="11" s="1"/>
  <c r="D70" i="11" a="1"/>
  <c r="D70" i="11" s="1"/>
  <c r="G70" i="11" s="1"/>
  <c r="I70" i="11" s="1"/>
  <c r="Y70" i="11" s="1"/>
  <c r="H69" i="11" a="1"/>
  <c r="H69" i="11" s="1"/>
  <c r="D69" i="11" a="1"/>
  <c r="D69" i="11" s="1"/>
  <c r="G69" i="11" s="1"/>
  <c r="I69" i="11" s="1"/>
  <c r="Y69" i="11" s="1"/>
  <c r="H68" i="11" a="1"/>
  <c r="H68" i="11" s="1"/>
  <c r="D68" i="11" a="1"/>
  <c r="D68" i="11" s="1"/>
  <c r="G68" i="11" s="1"/>
  <c r="I68" i="11" s="1"/>
  <c r="Y68" i="11" s="1"/>
  <c r="H67" i="11" a="1"/>
  <c r="H67" i="11" s="1"/>
  <c r="D67" i="11" a="1"/>
  <c r="D67" i="11" s="1"/>
  <c r="G67" i="11" s="1"/>
  <c r="I67" i="11" s="1"/>
  <c r="Y67" i="11" s="1"/>
  <c r="H66" i="11" a="1"/>
  <c r="H66" i="11" s="1"/>
  <c r="D66" i="11" a="1"/>
  <c r="D66" i="11" s="1"/>
  <c r="G66" i="11" s="1"/>
  <c r="I66" i="11" s="1"/>
  <c r="Y66" i="11" s="1"/>
  <c r="H65" i="11" a="1"/>
  <c r="H65" i="11" s="1"/>
  <c r="D65" i="11" a="1"/>
  <c r="D65" i="11" s="1"/>
  <c r="G65" i="11" s="1"/>
  <c r="I65" i="11" s="1"/>
  <c r="Y65" i="11" s="1"/>
  <c r="H64" i="11" a="1"/>
  <c r="H64" i="11" s="1"/>
  <c r="D64" i="11" a="1"/>
  <c r="D64" i="11" s="1"/>
  <c r="G64" i="11" s="1"/>
  <c r="I64" i="11" s="1"/>
  <c r="Y64" i="11" s="1"/>
  <c r="H63" i="11" a="1"/>
  <c r="H63" i="11" s="1"/>
  <c r="D63" i="11" a="1"/>
  <c r="D63" i="11" s="1"/>
  <c r="G63" i="11" s="1"/>
  <c r="I63" i="11" s="1"/>
  <c r="Y63" i="11" s="1"/>
  <c r="H62" i="11" a="1"/>
  <c r="H62" i="11" s="1"/>
  <c r="D62" i="11" a="1"/>
  <c r="D62" i="11" s="1"/>
  <c r="G62" i="11" s="1"/>
  <c r="I62" i="11" s="1"/>
  <c r="Y62" i="11" s="1"/>
  <c r="H61" i="11" a="1"/>
  <c r="H61" i="11" s="1"/>
  <c r="D61" i="11" a="1"/>
  <c r="D61" i="11" s="1"/>
  <c r="G61" i="11" s="1"/>
  <c r="I61" i="11" s="1"/>
  <c r="Y61" i="11" s="1"/>
  <c r="H60" i="11" a="1"/>
  <c r="H60" i="11" s="1"/>
  <c r="D60" i="11" a="1"/>
  <c r="D60" i="11" s="1"/>
  <c r="G60" i="11" s="1"/>
  <c r="I60" i="11" s="1"/>
  <c r="Y60" i="11" s="1"/>
  <c r="H59" i="11" a="1"/>
  <c r="H59" i="11" s="1"/>
  <c r="D59" i="11" a="1"/>
  <c r="D59" i="11" s="1"/>
  <c r="G59" i="11" s="1"/>
  <c r="I59" i="11" s="1"/>
  <c r="Y59" i="11" s="1"/>
  <c r="H58" i="11" a="1"/>
  <c r="H58" i="11" s="1"/>
  <c r="D58" i="11" a="1"/>
  <c r="D58" i="11" s="1"/>
  <c r="G58" i="11" s="1"/>
  <c r="I58" i="11" s="1"/>
  <c r="Y58" i="11" s="1"/>
  <c r="H57" i="11" a="1"/>
  <c r="H57" i="11" s="1"/>
  <c r="D57" i="11" a="1"/>
  <c r="D57" i="11" s="1"/>
  <c r="G57" i="11" s="1"/>
  <c r="I57" i="11" s="1"/>
  <c r="Y57" i="11" s="1"/>
  <c r="H56" i="11" a="1"/>
  <c r="H56" i="11" s="1"/>
  <c r="D56" i="11" a="1"/>
  <c r="D56" i="11" s="1"/>
  <c r="G56" i="11" s="1"/>
  <c r="I56" i="11" s="1"/>
  <c r="Y56" i="11" s="1"/>
  <c r="H55" i="11" a="1"/>
  <c r="H55" i="11" s="1"/>
  <c r="D55" i="11" a="1"/>
  <c r="D55" i="11" s="1"/>
  <c r="G55" i="11" s="1"/>
  <c r="I55" i="11" s="1"/>
  <c r="Y55" i="11" s="1"/>
  <c r="H54" i="11" a="1"/>
  <c r="H54" i="11" s="1"/>
  <c r="D54" i="11" a="1"/>
  <c r="D54" i="11" s="1"/>
  <c r="G54" i="11" s="1"/>
  <c r="I54" i="11" s="1"/>
  <c r="Y54" i="11" s="1"/>
  <c r="H53" i="11" a="1"/>
  <c r="H53" i="11" s="1"/>
  <c r="D53" i="11" a="1"/>
  <c r="D53" i="11" s="1"/>
  <c r="G53" i="11" s="1"/>
  <c r="I53" i="11" s="1"/>
  <c r="Y53" i="11" s="1"/>
  <c r="H52" i="11" a="1"/>
  <c r="H52" i="11" s="1"/>
  <c r="D52" i="11" a="1"/>
  <c r="D52" i="11" s="1"/>
  <c r="G52" i="11" s="1"/>
  <c r="I52" i="11" s="1"/>
  <c r="Y52" i="11" s="1"/>
  <c r="H51" i="11" a="1"/>
  <c r="H51" i="11" s="1"/>
  <c r="D51" i="11" a="1"/>
  <c r="D51" i="11" s="1"/>
  <c r="G51" i="11" s="1"/>
  <c r="I51" i="11" s="1"/>
  <c r="Y51" i="11" s="1"/>
  <c r="H50" i="11" a="1"/>
  <c r="H50" i="11" s="1"/>
  <c r="D50" i="11" a="1"/>
  <c r="D50" i="11" s="1"/>
  <c r="G50" i="11" s="1"/>
  <c r="I50" i="11" s="1"/>
  <c r="Y50" i="11" s="1"/>
  <c r="H49" i="11" a="1"/>
  <c r="H49" i="11" s="1"/>
  <c r="D49" i="11" a="1"/>
  <c r="D49" i="11" s="1"/>
  <c r="G49" i="11" s="1"/>
  <c r="I49" i="11" s="1"/>
  <c r="Y49" i="11" s="1"/>
  <c r="H48" i="11" a="1"/>
  <c r="H48" i="11" s="1"/>
  <c r="D48" i="11" a="1"/>
  <c r="D48" i="11" s="1"/>
  <c r="G48" i="11" s="1"/>
  <c r="I48" i="11" s="1"/>
  <c r="Y48" i="11" s="1"/>
  <c r="H47" i="11" a="1"/>
  <c r="H47" i="11" s="1"/>
  <c r="D47" i="11" a="1"/>
  <c r="D47" i="11" s="1"/>
  <c r="G47" i="11" s="1"/>
  <c r="I47" i="11" s="1"/>
  <c r="Y47" i="11" s="1"/>
  <c r="H46" i="11" a="1"/>
  <c r="H46" i="11" s="1"/>
  <c r="D46" i="11" a="1"/>
  <c r="D46" i="11" s="1"/>
  <c r="G46" i="11" s="1"/>
  <c r="I46" i="11" s="1"/>
  <c r="Y46" i="11" s="1"/>
  <c r="H45" i="11" a="1"/>
  <c r="H45" i="11" s="1"/>
  <c r="D45" i="11" a="1"/>
  <c r="D45" i="11" s="1"/>
  <c r="G45" i="11" s="1"/>
  <c r="I45" i="11" s="1"/>
  <c r="Y45" i="11" s="1"/>
  <c r="H44" i="11" a="1"/>
  <c r="H44" i="11" s="1"/>
  <c r="D44" i="11" a="1"/>
  <c r="D44" i="11" s="1"/>
  <c r="G44" i="11" s="1"/>
  <c r="I44" i="11" s="1"/>
  <c r="Y44" i="11" s="1"/>
  <c r="H43" i="11" a="1"/>
  <c r="H43" i="11" s="1"/>
  <c r="D43" i="11" a="1"/>
  <c r="D43" i="11" s="1"/>
  <c r="G43" i="11" s="1"/>
  <c r="I43" i="11" s="1"/>
  <c r="Y43" i="11" s="1"/>
  <c r="H42" i="11" a="1"/>
  <c r="H42" i="11" s="1"/>
  <c r="D42" i="11" a="1"/>
  <c r="D42" i="11" s="1"/>
  <c r="G42" i="11" s="1"/>
  <c r="I42" i="11" s="1"/>
  <c r="Y42" i="11" s="1"/>
  <c r="H41" i="11" a="1"/>
  <c r="H41" i="11" s="1"/>
  <c r="D41" i="11" a="1"/>
  <c r="D41" i="11" s="1"/>
  <c r="G41" i="11" s="1"/>
  <c r="I41" i="11" s="1"/>
  <c r="Y41" i="11" s="1"/>
  <c r="H40" i="11" a="1"/>
  <c r="H40" i="11" s="1"/>
  <c r="D40" i="11" a="1"/>
  <c r="D40" i="11" s="1"/>
  <c r="G40" i="11" s="1"/>
  <c r="I40" i="11" s="1"/>
  <c r="Y40" i="11" s="1"/>
  <c r="H39" i="11" a="1"/>
  <c r="H39" i="11" s="1"/>
  <c r="D39" i="11" a="1"/>
  <c r="D39" i="11" s="1"/>
  <c r="G39" i="11" s="1"/>
  <c r="I39" i="11" s="1"/>
  <c r="Y39" i="11" s="1"/>
  <c r="H38" i="11" a="1"/>
  <c r="H38" i="11" s="1"/>
  <c r="D38" i="11" a="1"/>
  <c r="D38" i="11" s="1"/>
  <c r="G38" i="11" s="1"/>
  <c r="I38" i="11" s="1"/>
  <c r="Y38" i="11" s="1"/>
  <c r="H37" i="11" a="1"/>
  <c r="H37" i="11" s="1"/>
  <c r="D37" i="11" a="1"/>
  <c r="D37" i="11" s="1"/>
  <c r="G37" i="11" s="1"/>
  <c r="I37" i="11" s="1"/>
  <c r="Y37" i="11" s="1"/>
  <c r="H36" i="11" a="1"/>
  <c r="H36" i="11" s="1"/>
  <c r="D36" i="11" a="1"/>
  <c r="D36" i="11" s="1"/>
  <c r="G36" i="11" s="1"/>
  <c r="I36" i="11" s="1"/>
  <c r="Y36" i="11" s="1"/>
  <c r="H35" i="11" a="1"/>
  <c r="H35" i="11" s="1"/>
  <c r="D35" i="11" a="1"/>
  <c r="D35" i="11" s="1"/>
  <c r="G35" i="11" s="1"/>
  <c r="I35" i="11" s="1"/>
  <c r="Y35" i="11" s="1"/>
  <c r="H34" i="11" a="1"/>
  <c r="H34" i="11" s="1"/>
  <c r="D34" i="11" a="1"/>
  <c r="D34" i="11" s="1"/>
  <c r="G34" i="11" s="1"/>
  <c r="I34" i="11" s="1"/>
  <c r="Y34" i="11" s="1"/>
  <c r="H33" i="11" a="1"/>
  <c r="H33" i="11" s="1"/>
  <c r="D33" i="11" a="1"/>
  <c r="D33" i="11" s="1"/>
  <c r="G33" i="11" s="1"/>
  <c r="I33" i="11" s="1"/>
  <c r="Y33" i="11" s="1"/>
  <c r="H32" i="11" a="1"/>
  <c r="H32" i="11" s="1"/>
  <c r="D32" i="11" a="1"/>
  <c r="D32" i="11" s="1"/>
  <c r="G32" i="11" s="1"/>
  <c r="I32" i="11" s="1"/>
  <c r="Y32" i="11" s="1"/>
  <c r="H31" i="11" a="1"/>
  <c r="H31" i="11" s="1"/>
  <c r="D31" i="11" a="1"/>
  <c r="D31" i="11" s="1"/>
  <c r="G31" i="11" s="1"/>
  <c r="I31" i="11" s="1"/>
  <c r="Y31" i="11" s="1"/>
  <c r="H30" i="11" a="1"/>
  <c r="H30" i="11" s="1"/>
  <c r="D30" i="11" a="1"/>
  <c r="D30" i="11" s="1"/>
  <c r="G30" i="11" s="1"/>
  <c r="I30" i="11" s="1"/>
  <c r="Y30" i="11" s="1"/>
  <c r="H29" i="11" a="1"/>
  <c r="H29" i="11" s="1"/>
  <c r="D29" i="11" a="1"/>
  <c r="D29" i="11" s="1"/>
  <c r="G29" i="11" s="1"/>
  <c r="I29" i="11" s="1"/>
  <c r="Y29" i="11" s="1"/>
  <c r="H28" i="11" a="1"/>
  <c r="H28" i="11" s="1"/>
  <c r="D28" i="11" a="1"/>
  <c r="D28" i="11" s="1"/>
  <c r="G28" i="11" s="1"/>
  <c r="I28" i="11" s="1"/>
  <c r="Y28" i="11" s="1"/>
  <c r="H27" i="11" a="1"/>
  <c r="H27" i="11" s="1"/>
  <c r="D27" i="11" a="1"/>
  <c r="D27" i="11" s="1"/>
  <c r="G27" i="11" s="1"/>
  <c r="I27" i="11" s="1"/>
  <c r="Y27" i="11" s="1"/>
  <c r="H26" i="11" a="1"/>
  <c r="H26" i="11" s="1"/>
  <c r="D26" i="11" a="1"/>
  <c r="D26" i="11" s="1"/>
  <c r="G26" i="11" s="1"/>
  <c r="I26" i="11" s="1"/>
  <c r="Y26" i="11" s="1"/>
  <c r="H25" i="11" a="1"/>
  <c r="H25" i="11" s="1"/>
  <c r="D25" i="11" a="1"/>
  <c r="D25" i="11" s="1"/>
  <c r="AI20" i="11"/>
  <c r="AI19" i="11"/>
  <c r="AI18" i="11"/>
  <c r="AI16" i="11"/>
  <c r="AI15" i="11"/>
  <c r="AI14" i="11"/>
  <c r="AI13" i="11"/>
  <c r="AI11" i="11"/>
  <c r="AI10" i="11"/>
  <c r="AI9" i="11"/>
  <c r="AI8" i="11"/>
  <c r="P306" i="9" l="1"/>
  <c r="Q306" i="9" s="1"/>
  <c r="P307" i="9"/>
  <c r="Q307" i="9" s="1"/>
  <c r="V306" i="9"/>
  <c r="G25" i="11"/>
  <c r="M19" i="11" s="1"/>
  <c r="M7" i="11"/>
  <c r="M17" i="11"/>
  <c r="M18" i="11"/>
  <c r="M14" i="11"/>
  <c r="W307" i="9" l="1"/>
  <c r="X307" i="9" s="1"/>
  <c r="J307" i="9" s="1"/>
  <c r="M307" i="9" s="1"/>
  <c r="N307" i="9" s="1"/>
  <c r="W306" i="9"/>
  <c r="X306" i="9" s="1"/>
  <c r="J306" i="9" s="1"/>
  <c r="M306" i="9" s="1"/>
  <c r="N306" i="9" s="1"/>
  <c r="H308" i="9" s="1"/>
  <c r="M10" i="11"/>
  <c r="M9" i="11"/>
  <c r="M16" i="11"/>
  <c r="M13" i="11"/>
  <c r="M12" i="11"/>
  <c r="M15" i="11"/>
  <c r="M8" i="11"/>
  <c r="M11" i="11"/>
  <c r="M20" i="11"/>
  <c r="I25" i="11"/>
  <c r="P309" i="9" l="1"/>
  <c r="P308" i="9"/>
  <c r="Q308" i="9" s="1"/>
  <c r="H309" i="9"/>
  <c r="K153" i="11"/>
  <c r="V308" i="9"/>
  <c r="P153" i="11"/>
  <c r="A9" i="8"/>
  <c r="C12" i="7"/>
  <c r="E10" i="7"/>
  <c r="B7" i="7"/>
  <c r="B9" i="7"/>
  <c r="D7" i="7"/>
  <c r="C13" i="7"/>
  <c r="D8" i="7"/>
  <c r="D10" i="7"/>
  <c r="F6" i="7"/>
  <c r="E20" i="7" s="1"/>
  <c r="D11" i="7"/>
  <c r="C7" i="7"/>
  <c r="B12" i="7"/>
  <c r="E7" i="7"/>
  <c r="C8" i="7"/>
  <c r="B13" i="7"/>
  <c r="F11" i="7"/>
  <c r="B8" i="7"/>
  <c r="E6" i="7"/>
  <c r="B20" i="7" s="1"/>
  <c r="E8" i="7"/>
  <c r="C6" i="7"/>
  <c r="F20" i="7" s="1"/>
  <c r="C11" i="7"/>
  <c r="F9" i="7"/>
  <c r="F8" i="7"/>
  <c r="D12" i="7"/>
  <c r="F12" i="7"/>
  <c r="Y25" i="11"/>
  <c r="C9" i="7"/>
  <c r="D6" i="7"/>
  <c r="D20" i="7" s="1"/>
  <c r="B11" i="7"/>
  <c r="E12" i="7"/>
  <c r="E9" i="7"/>
  <c r="B6" i="7"/>
  <c r="C20" i="7" s="1"/>
  <c r="C10" i="7"/>
  <c r="F7" i="7"/>
  <c r="D9" i="7"/>
  <c r="F10" i="7"/>
  <c r="D13" i="7"/>
  <c r="E11" i="7"/>
  <c r="E13" i="7"/>
  <c r="B10" i="7"/>
  <c r="F13" i="7"/>
  <c r="B29" i="7"/>
  <c r="W308" i="9" l="1"/>
  <c r="X308" i="9" s="1"/>
  <c r="W309" i="9"/>
  <c r="Q309" i="9"/>
  <c r="V309" i="9"/>
  <c r="J308" i="9" l="1"/>
  <c r="M308" i="9" s="1"/>
  <c r="N308" i="9" s="1"/>
  <c r="H310" i="9" s="1"/>
  <c r="X309" i="9"/>
  <c r="J309" i="9" s="1"/>
  <c r="M309" i="9" s="1"/>
  <c r="N309" i="9" s="1"/>
  <c r="H311" i="9"/>
  <c r="K154" i="11"/>
  <c r="P154" i="11"/>
  <c r="P310" i="9" l="1"/>
  <c r="Q310" i="9" s="1"/>
  <c r="P311" i="9"/>
  <c r="Q311" i="9" s="1"/>
  <c r="V310" i="9"/>
  <c r="V311" i="9"/>
  <c r="Q50" i="10"/>
  <c r="P50" i="10"/>
  <c r="W310" i="9" l="1"/>
  <c r="X310" i="9" s="1"/>
  <c r="J310" i="9" s="1"/>
  <c r="M310" i="9" s="1"/>
  <c r="W311" i="9"/>
  <c r="X311" i="9" s="1"/>
  <c r="J311" i="9" s="1"/>
  <c r="M311" i="9" s="1"/>
  <c r="N311" i="9" s="1"/>
  <c r="H313" i="9" s="1"/>
  <c r="R50" i="10"/>
  <c r="P313" i="9" l="1"/>
  <c r="Q313" i="9" s="1"/>
  <c r="P312" i="9"/>
  <c r="V313" i="9"/>
  <c r="K155" i="11"/>
  <c r="N310" i="9"/>
  <c r="H312" i="9" s="1"/>
  <c r="W312" i="9" l="1"/>
  <c r="W313" i="9"/>
  <c r="X313" i="9" s="1"/>
  <c r="Q312" i="9"/>
  <c r="V312" i="9"/>
  <c r="P155" i="11"/>
  <c r="X312" i="9" l="1"/>
  <c r="J312" i="9" s="1"/>
  <c r="M312" i="9" s="1"/>
  <c r="N312" i="9" s="1"/>
  <c r="H314" i="9" s="1"/>
  <c r="J313" i="9"/>
  <c r="M313" i="9" s="1"/>
  <c r="N313" i="9" s="1"/>
  <c r="H315" i="9" s="1"/>
  <c r="K156" i="11"/>
  <c r="P315" i="9" l="1"/>
  <c r="Q315" i="9" s="1"/>
  <c r="P314" i="9"/>
  <c r="Q314" i="9" s="1"/>
  <c r="V315" i="9"/>
  <c r="V314" i="9"/>
  <c r="P156" i="11"/>
  <c r="W314" i="9" l="1"/>
  <c r="X314" i="9" s="1"/>
  <c r="J314" i="9" s="1"/>
  <c r="M314" i="9" s="1"/>
  <c r="W315" i="9"/>
  <c r="X315" i="9" s="1"/>
  <c r="J315" i="9" l="1"/>
  <c r="M315" i="9" s="1"/>
  <c r="N315" i="9" s="1"/>
  <c r="H317" i="9"/>
  <c r="K157" i="11"/>
  <c r="N314" i="9"/>
  <c r="P157" i="11"/>
  <c r="V317" i="9" l="1"/>
  <c r="H316" i="9"/>
  <c r="P317" i="9" s="1"/>
  <c r="Q317" i="9" s="1"/>
  <c r="P316" i="9" l="1"/>
  <c r="Q316" i="9" s="1"/>
  <c r="U158" i="11"/>
  <c r="B12" i="12"/>
  <c r="V316" i="9"/>
  <c r="W316" i="9" s="1"/>
  <c r="W317" i="9" l="1"/>
  <c r="X317" i="9" s="1"/>
  <c r="J317" i="9" s="1"/>
  <c r="M317" i="9" s="1"/>
  <c r="F77" i="6"/>
  <c r="S77" i="6" s="1"/>
  <c r="N2" i="12"/>
  <c r="B17" i="11"/>
  <c r="S17" i="11" s="1"/>
  <c r="X316" i="9"/>
  <c r="J316" i="9" s="1"/>
  <c r="M316" i="9" s="1"/>
  <c r="N316" i="9" l="1"/>
  <c r="N317" i="9"/>
  <c r="H319" i="9" s="1"/>
  <c r="W17" i="11"/>
  <c r="AI17" i="11"/>
  <c r="P158" i="11"/>
  <c r="P319" i="9" l="1"/>
  <c r="Q319" i="9" s="1"/>
  <c r="P318" i="9"/>
  <c r="V319" i="9"/>
  <c r="H318" i="9"/>
  <c r="K158" i="11"/>
  <c r="W319" i="9" l="1"/>
  <c r="X319" i="9" s="1"/>
  <c r="W318" i="9"/>
  <c r="V318" i="9"/>
  <c r="Q318" i="9"/>
  <c r="J319" i="9" l="1"/>
  <c r="M319" i="9" s="1"/>
  <c r="N319" i="9" s="1"/>
  <c r="X318" i="9"/>
  <c r="J318" i="9" s="1"/>
  <c r="M318" i="9" s="1"/>
  <c r="N318" i="9" s="1"/>
  <c r="H321" i="9" l="1"/>
  <c r="H320" i="9"/>
  <c r="K159" i="11"/>
  <c r="P159" i="11"/>
  <c r="P321" i="9" l="1"/>
  <c r="Q321" i="9" s="1"/>
  <c r="P320" i="9"/>
  <c r="Q320" i="9" s="1"/>
  <c r="V321" i="9"/>
  <c r="V320" i="9"/>
  <c r="W321" i="9" l="1"/>
  <c r="X321" i="9" s="1"/>
  <c r="J321" i="9" s="1"/>
  <c r="M321" i="9" s="1"/>
  <c r="N321" i="9" s="1"/>
  <c r="W320" i="9"/>
  <c r="X320" i="9" s="1"/>
  <c r="J320" i="9" s="1"/>
  <c r="M320" i="9" s="1"/>
  <c r="H323" i="9" l="1"/>
  <c r="N320" i="9"/>
  <c r="K160" i="11"/>
  <c r="P160" i="11"/>
  <c r="P323" i="9" l="1"/>
  <c r="Q323" i="9" s="1"/>
  <c r="P322" i="9"/>
  <c r="V323" i="9"/>
  <c r="H322" i="9"/>
  <c r="W323" i="9" l="1"/>
  <c r="X323" i="9" s="1"/>
  <c r="W322" i="9"/>
  <c r="Q322" i="9"/>
  <c r="V322" i="9"/>
  <c r="J323" i="9" l="1"/>
  <c r="M323" i="9" s="1"/>
  <c r="N323" i="9" s="1"/>
  <c r="X322" i="9"/>
  <c r="J322" i="9" s="1"/>
  <c r="M322" i="9" s="1"/>
  <c r="N322" i="9" s="1"/>
  <c r="H325" i="9" l="1"/>
  <c r="H324" i="9"/>
  <c r="K161" i="11"/>
  <c r="P161" i="11"/>
  <c r="P325" i="9" l="1"/>
  <c r="Q325" i="9" s="1"/>
  <c r="P324" i="9"/>
  <c r="Q324" i="9" s="1"/>
  <c r="V325" i="9"/>
  <c r="V324" i="9"/>
  <c r="W325" i="9" l="1"/>
  <c r="X325" i="9" s="1"/>
  <c r="J325" i="9" s="1"/>
  <c r="M325" i="9" s="1"/>
  <c r="N325" i="9" s="1"/>
  <c r="W324" i="9"/>
  <c r="X324" i="9" s="1"/>
  <c r="J324" i="9" s="1"/>
  <c r="M324" i="9" s="1"/>
  <c r="H18" i="7" l="1"/>
  <c r="E18" i="7" s="1"/>
  <c r="B19" i="7"/>
  <c r="H19" i="7"/>
  <c r="F19" i="7" s="1"/>
  <c r="B18" i="7"/>
  <c r="N324" i="9"/>
  <c r="K162" i="11"/>
  <c r="B2" i="12"/>
  <c r="F79" i="6" s="1"/>
  <c r="S79" i="6" s="1"/>
  <c r="P162" i="11"/>
  <c r="B17" i="7"/>
  <c r="B7" i="12"/>
  <c r="H17" i="7"/>
  <c r="E19" i="7" l="1"/>
  <c r="C18" i="7"/>
  <c r="F18" i="7"/>
  <c r="D18" i="7"/>
  <c r="B7" i="11"/>
  <c r="S7" i="11" s="1"/>
  <c r="W7" i="11" s="1"/>
  <c r="D2" i="12"/>
  <c r="D19" i="7"/>
  <c r="C19" i="7"/>
  <c r="E17" i="7"/>
  <c r="C17" i="7"/>
  <c r="F17" i="7" s="1"/>
  <c r="D17" i="7"/>
  <c r="I2" i="12"/>
  <c r="F80" i="6"/>
  <c r="S80" i="6" s="1"/>
  <c r="C4" i="6" s="1"/>
  <c r="B12" i="11"/>
  <c r="AI7" i="11" l="1"/>
  <c r="E14" i="11"/>
  <c r="E15" i="11"/>
  <c r="B19" i="8"/>
  <c r="E9" i="11"/>
  <c r="E13" i="11"/>
  <c r="D11" i="11"/>
  <c r="L11" i="11" s="1"/>
  <c r="D20" i="11"/>
  <c r="L20" i="11" s="1"/>
  <c r="E20" i="11"/>
  <c r="B18" i="8"/>
  <c r="E17" i="11"/>
  <c r="E11" i="11"/>
  <c r="D8" i="11"/>
  <c r="L8" i="11" s="1"/>
  <c r="E10" i="11"/>
  <c r="D10" i="11"/>
  <c r="L10" i="11" s="1"/>
  <c r="D9" i="11"/>
  <c r="L9" i="11" s="1"/>
  <c r="S12" i="11"/>
  <c r="D19" i="8"/>
  <c r="C17" i="8"/>
  <c r="D18" i="8"/>
  <c r="E12" i="11"/>
  <c r="B15" i="4" s="1"/>
  <c r="C19" i="8"/>
  <c r="D14" i="11"/>
  <c r="L14" i="11" s="1"/>
  <c r="B17" i="8"/>
  <c r="E19" i="11"/>
  <c r="D19" i="11"/>
  <c r="L19" i="11" s="1"/>
  <c r="C18" i="8"/>
  <c r="D7" i="11"/>
  <c r="L7" i="11" s="1"/>
  <c r="A5" i="8"/>
  <c r="E7" i="11"/>
  <c r="D13" i="11"/>
  <c r="L13" i="11" s="1"/>
  <c r="D12" i="11"/>
  <c r="L12" i="11" s="1"/>
  <c r="E18" i="11"/>
  <c r="D17" i="11"/>
  <c r="L17" i="11" s="1"/>
  <c r="E8" i="11"/>
  <c r="D16" i="11"/>
  <c r="L16" i="11" s="1"/>
  <c r="D15" i="11"/>
  <c r="L15" i="11" s="1"/>
  <c r="E16" i="11"/>
  <c r="D18" i="11"/>
  <c r="L18" i="11" s="1"/>
  <c r="A5" i="2"/>
  <c r="B28" i="7" s="1"/>
  <c r="A6" i="2"/>
  <c r="C9" i="12"/>
  <c r="C14" i="11" s="1"/>
  <c r="AA14" i="11" s="1"/>
  <c r="C2" i="12"/>
  <c r="C7" i="11" s="1"/>
  <c r="AA7" i="11" s="1"/>
  <c r="C7" i="12"/>
  <c r="C12" i="11" s="1"/>
  <c r="C11" i="12"/>
  <c r="C16" i="11" s="1"/>
  <c r="AA16" i="11" s="1"/>
  <c r="C13" i="12"/>
  <c r="C18" i="11" s="1"/>
  <c r="AA18" i="11" s="1"/>
  <c r="C14" i="12"/>
  <c r="C19" i="11" s="1"/>
  <c r="AA19" i="11" s="1"/>
  <c r="C3" i="12"/>
  <c r="C8" i="11" s="1"/>
  <c r="AA8" i="11" s="1"/>
  <c r="C12" i="12"/>
  <c r="C17" i="11" s="1"/>
  <c r="AA17" i="11" s="1"/>
  <c r="C5" i="12"/>
  <c r="C10" i="11" s="1"/>
  <c r="AA10" i="11" s="1"/>
  <c r="C8" i="12"/>
  <c r="C13" i="11" s="1"/>
  <c r="AA13" i="11" s="1"/>
  <c r="C6" i="12"/>
  <c r="C11" i="11" s="1"/>
  <c r="AA11" i="11" s="1"/>
  <c r="C4" i="12"/>
  <c r="C9" i="11" s="1"/>
  <c r="AA9" i="11" s="1"/>
  <c r="C15" i="12"/>
  <c r="C20" i="11" s="1"/>
  <c r="AA20" i="11" s="1"/>
  <c r="C10" i="12"/>
  <c r="C15" i="11" s="1"/>
  <c r="AA15" i="11" s="1"/>
  <c r="W12" i="11" l="1"/>
  <c r="B24" i="4" s="1"/>
  <c r="AI12" i="11"/>
  <c r="B12" i="4"/>
  <c r="AA12" i="11"/>
  <c r="B28" i="4" s="1"/>
  <c r="A8" i="8"/>
  <c r="B5" i="3" l="1"/>
  <c r="B17" i="3"/>
  <c r="B8" i="3"/>
  <c r="B12" i="3"/>
  <c r="B13" i="3"/>
  <c r="B10" i="3"/>
  <c r="B9" i="3"/>
  <c r="B11" i="3"/>
  <c r="B14" i="3"/>
  <c r="B15" i="3"/>
  <c r="B6" i="3"/>
  <c r="B7" i="3"/>
  <c r="B16" i="3"/>
  <c r="B18" i="3"/>
  <c r="D6" i="3" l="1"/>
  <c r="R6" i="3"/>
  <c r="X6" i="3"/>
  <c r="P6" i="3"/>
  <c r="H6" i="3"/>
  <c r="M6" i="3"/>
  <c r="C6" i="3"/>
  <c r="U6" i="3" s="1"/>
  <c r="S6" i="3"/>
  <c r="O6" i="3"/>
  <c r="E6" i="3"/>
  <c r="Q6" i="3"/>
  <c r="I6" i="3"/>
  <c r="V6" i="3"/>
  <c r="J6" i="3"/>
  <c r="T6" i="3"/>
  <c r="K6" i="3"/>
  <c r="Y7" i="11" s="1"/>
  <c r="Q7" i="3"/>
  <c r="H7" i="3"/>
  <c r="K7" i="3"/>
  <c r="E7" i="3"/>
  <c r="M7" i="3"/>
  <c r="T7" i="3"/>
  <c r="D7" i="3"/>
  <c r="AD7" i="11" s="1"/>
  <c r="J7" i="3"/>
  <c r="O7" i="3"/>
  <c r="I7" i="3"/>
  <c r="S7" i="3"/>
  <c r="C7" i="3"/>
  <c r="U7" i="3" s="1"/>
  <c r="R7" i="3"/>
  <c r="V7" i="3"/>
  <c r="P7" i="3"/>
  <c r="X7" i="3"/>
  <c r="D15" i="3"/>
  <c r="O15" i="3"/>
  <c r="H15" i="3"/>
  <c r="T15" i="3"/>
  <c r="P15" i="3"/>
  <c r="K15" i="3"/>
  <c r="C15" i="3"/>
  <c r="U15" i="3" s="1"/>
  <c r="J15" i="3"/>
  <c r="Q15" i="3"/>
  <c r="X15" i="3"/>
  <c r="S15" i="3"/>
  <c r="M15" i="3"/>
  <c r="V15" i="3"/>
  <c r="I15" i="3"/>
  <c r="E15" i="3"/>
  <c r="R15" i="3"/>
  <c r="C10" i="3"/>
  <c r="U10" i="3" s="1"/>
  <c r="I10" i="3"/>
  <c r="V10" i="3"/>
  <c r="E10" i="3"/>
  <c r="S10" i="3"/>
  <c r="Q10" i="3"/>
  <c r="D10" i="3"/>
  <c r="M10" i="3"/>
  <c r="R10" i="3"/>
  <c r="O10" i="3"/>
  <c r="X10" i="3"/>
  <c r="T10" i="3"/>
  <c r="K10" i="3"/>
  <c r="AE14" i="11" s="1"/>
  <c r="J10" i="3"/>
  <c r="P10" i="3"/>
  <c r="H10" i="3"/>
  <c r="D16" i="3"/>
  <c r="C16" i="3"/>
  <c r="U16" i="3" s="1"/>
  <c r="R16" i="3"/>
  <c r="M16" i="3"/>
  <c r="I16" i="3"/>
  <c r="S16" i="3"/>
  <c r="Q16" i="3"/>
  <c r="T16" i="3"/>
  <c r="P16" i="3"/>
  <c r="O16" i="3"/>
  <c r="J16" i="3"/>
  <c r="V16" i="3"/>
  <c r="X16" i="3"/>
  <c r="K16" i="3"/>
  <c r="E16" i="3"/>
  <c r="H16" i="3"/>
  <c r="X13" i="3"/>
  <c r="S13" i="3"/>
  <c r="T13" i="3"/>
  <c r="O13" i="3"/>
  <c r="R13" i="3"/>
  <c r="E13" i="3"/>
  <c r="J13" i="3"/>
  <c r="M13" i="3"/>
  <c r="P13" i="3"/>
  <c r="C13" i="3"/>
  <c r="U13" i="3" s="1"/>
  <c r="V13" i="3"/>
  <c r="D13" i="3"/>
  <c r="K13" i="3"/>
  <c r="AE8" i="11" s="1"/>
  <c r="I13" i="3"/>
  <c r="Q13" i="3"/>
  <c r="H13" i="3"/>
  <c r="V12" i="3"/>
  <c r="M12" i="3"/>
  <c r="H12" i="3"/>
  <c r="C12" i="3"/>
  <c r="U12" i="3" s="1"/>
  <c r="K12" i="3"/>
  <c r="AE19" i="11" s="1"/>
  <c r="D12" i="3"/>
  <c r="AD19" i="11" s="1"/>
  <c r="E12" i="3"/>
  <c r="J12" i="3"/>
  <c r="Q12" i="3"/>
  <c r="I12" i="3"/>
  <c r="P12" i="3"/>
  <c r="T12" i="3"/>
  <c r="O12" i="3"/>
  <c r="R12" i="3"/>
  <c r="X12" i="3"/>
  <c r="S12" i="3"/>
  <c r="R18" i="3"/>
  <c r="J18" i="3"/>
  <c r="T18" i="3"/>
  <c r="K18" i="3"/>
  <c r="AE16" i="11" s="1"/>
  <c r="P18" i="3"/>
  <c r="D18" i="3"/>
  <c r="V18" i="3"/>
  <c r="E18" i="3"/>
  <c r="X18" i="3"/>
  <c r="M18" i="3"/>
  <c r="I18" i="3"/>
  <c r="C18" i="3"/>
  <c r="U18" i="3" s="1"/>
  <c r="Q18" i="3"/>
  <c r="S18" i="3"/>
  <c r="O18" i="3"/>
  <c r="H18" i="3"/>
  <c r="P9" i="3"/>
  <c r="C9" i="3"/>
  <c r="U9" i="3" s="1"/>
  <c r="V9" i="3"/>
  <c r="X9" i="3"/>
  <c r="E9" i="3"/>
  <c r="K9" i="3"/>
  <c r="Y17" i="11" s="1"/>
  <c r="J9" i="3"/>
  <c r="M9" i="3"/>
  <c r="Q9" i="3"/>
  <c r="I9" i="3"/>
  <c r="H9" i="3"/>
  <c r="R9" i="3"/>
  <c r="T9" i="3"/>
  <c r="S9" i="3"/>
  <c r="O9" i="3"/>
  <c r="D9" i="3"/>
  <c r="Q8" i="3"/>
  <c r="O8" i="3"/>
  <c r="C8" i="3"/>
  <c r="U8" i="3" s="1"/>
  <c r="I8" i="3"/>
  <c r="T8" i="3"/>
  <c r="S8" i="3"/>
  <c r="X8" i="3"/>
  <c r="V8" i="3"/>
  <c r="E8" i="3"/>
  <c r="H8" i="3"/>
  <c r="J8" i="3"/>
  <c r="R8" i="3"/>
  <c r="M8" i="3"/>
  <c r="P8" i="3"/>
  <c r="K8" i="3"/>
  <c r="Y13" i="11" s="1"/>
  <c r="D8" i="3"/>
  <c r="AD13" i="11" s="1"/>
  <c r="J14" i="3"/>
  <c r="P14" i="3"/>
  <c r="E14" i="3"/>
  <c r="C14" i="3"/>
  <c r="U14" i="3" s="1"/>
  <c r="I14" i="3"/>
  <c r="K14" i="3"/>
  <c r="Y9" i="11" s="1"/>
  <c r="T14" i="3"/>
  <c r="R14" i="3"/>
  <c r="Q14" i="3"/>
  <c r="H14" i="3"/>
  <c r="V14" i="3"/>
  <c r="D14" i="3"/>
  <c r="M14" i="3"/>
  <c r="S14" i="3"/>
  <c r="X14" i="3"/>
  <c r="O14" i="3"/>
  <c r="M17" i="3"/>
  <c r="P17" i="3"/>
  <c r="C17" i="3"/>
  <c r="U17" i="3" s="1"/>
  <c r="S17" i="3"/>
  <c r="O17" i="3"/>
  <c r="X17" i="3"/>
  <c r="K17" i="3"/>
  <c r="D17" i="3"/>
  <c r="I17" i="3"/>
  <c r="R17" i="3"/>
  <c r="E17" i="3"/>
  <c r="J17" i="3"/>
  <c r="T17" i="3"/>
  <c r="H17" i="3"/>
  <c r="V17" i="3"/>
  <c r="Q17" i="3"/>
  <c r="Q11" i="3"/>
  <c r="J11" i="3"/>
  <c r="S11" i="3"/>
  <c r="H11" i="3"/>
  <c r="R11" i="3"/>
  <c r="I11" i="3"/>
  <c r="E11" i="3"/>
  <c r="K11" i="3"/>
  <c r="AE18" i="11" s="1"/>
  <c r="P11" i="3"/>
  <c r="O11" i="3"/>
  <c r="C11" i="3"/>
  <c r="U11" i="3" s="1"/>
  <c r="X11" i="3"/>
  <c r="D11" i="3"/>
  <c r="AD18" i="11" s="1"/>
  <c r="M11" i="3"/>
  <c r="T11" i="3"/>
  <c r="V11" i="3"/>
  <c r="B5" i="4"/>
  <c r="X5" i="3"/>
  <c r="I5" i="3"/>
  <c r="E5" i="3"/>
  <c r="P5" i="3"/>
  <c r="S5" i="3"/>
  <c r="J5" i="3"/>
  <c r="T5" i="3"/>
  <c r="R5" i="3"/>
  <c r="C5" i="3"/>
  <c r="V5" i="3"/>
  <c r="O5" i="3"/>
  <c r="H5" i="3"/>
  <c r="Q5" i="3"/>
  <c r="K5" i="3"/>
  <c r="M5" i="3"/>
  <c r="D5" i="3"/>
  <c r="AD15" i="11" s="1"/>
  <c r="AD20" i="11"/>
  <c r="AF20" i="11" s="1"/>
  <c r="AD11" i="11"/>
  <c r="AD10" i="11"/>
  <c r="AD12" i="11"/>
  <c r="AE12" i="11" l="1"/>
  <c r="AE10" i="11"/>
  <c r="AE20" i="11"/>
  <c r="B6" i="4"/>
  <c r="Y11" i="11"/>
  <c r="AF19" i="11"/>
  <c r="W12" i="3" s="1"/>
  <c r="Y12" i="11"/>
  <c r="B26" i="4" s="1"/>
  <c r="Y8" i="11"/>
  <c r="Y18" i="11"/>
  <c r="AE9" i="11"/>
  <c r="N15" i="3"/>
  <c r="N10" i="3"/>
  <c r="N14" i="3"/>
  <c r="N8" i="3"/>
  <c r="N17" i="3"/>
  <c r="N13" i="3"/>
  <c r="N18" i="3"/>
  <c r="N12" i="3"/>
  <c r="B33" i="7"/>
  <c r="N7" i="3"/>
  <c r="N11" i="3"/>
  <c r="U5" i="3"/>
  <c r="N5" i="3"/>
  <c r="N6" i="3"/>
  <c r="N16" i="3"/>
  <c r="N9" i="3"/>
  <c r="L14" i="3"/>
  <c r="F14" i="3"/>
  <c r="G14" i="3"/>
  <c r="X9" i="11" s="1"/>
  <c r="AB9" i="11" s="1"/>
  <c r="Y10" i="11"/>
  <c r="F13" i="3"/>
  <c r="G13" i="3"/>
  <c r="X8" i="11" s="1"/>
  <c r="AB8" i="11" s="1"/>
  <c r="L13" i="3"/>
  <c r="Y16" i="11"/>
  <c r="AF18" i="11"/>
  <c r="W11" i="3" s="1"/>
  <c r="T2" i="3"/>
  <c r="Y20" i="11"/>
  <c r="Y14" i="11"/>
  <c r="B10" i="4"/>
  <c r="F17" i="3"/>
  <c r="G17" i="3"/>
  <c r="L17" i="3"/>
  <c r="B11" i="4"/>
  <c r="AE17" i="11"/>
  <c r="AD14" i="11"/>
  <c r="F10" i="3"/>
  <c r="G10" i="3"/>
  <c r="X14" i="11" s="1"/>
  <c r="L10" i="3"/>
  <c r="G7" i="3"/>
  <c r="L7" i="3"/>
  <c r="F7" i="3"/>
  <c r="AE7" i="11"/>
  <c r="B31" i="7"/>
  <c r="B22" i="7"/>
  <c r="C22" i="7"/>
  <c r="G18" i="3"/>
  <c r="X16" i="11" s="1"/>
  <c r="L18" i="3"/>
  <c r="F18" i="3"/>
  <c r="L12" i="3"/>
  <c r="F12" i="3"/>
  <c r="G12" i="3"/>
  <c r="X19" i="11" s="1"/>
  <c r="AD16" i="11"/>
  <c r="AE13" i="11"/>
  <c r="B21" i="7"/>
  <c r="G5" i="3"/>
  <c r="X15" i="11" s="1"/>
  <c r="A10" i="8"/>
  <c r="F5" i="3"/>
  <c r="L5" i="3"/>
  <c r="B30" i="7"/>
  <c r="C21" i="7"/>
  <c r="F21" i="7" s="1"/>
  <c r="Y15" i="11"/>
  <c r="AE11" i="11"/>
  <c r="AD8" i="11"/>
  <c r="AD9" i="11"/>
  <c r="G8" i="3"/>
  <c r="X13" i="11" s="1"/>
  <c r="AB13" i="11" s="1"/>
  <c r="F8" i="3"/>
  <c r="L8" i="3"/>
  <c r="L16" i="3"/>
  <c r="F16" i="3"/>
  <c r="G16" i="3"/>
  <c r="X10" i="11" s="1"/>
  <c r="AB10" i="11" s="1"/>
  <c r="AF10" i="11" s="1"/>
  <c r="F15" i="3"/>
  <c r="L15" i="3"/>
  <c r="G15" i="3"/>
  <c r="L6" i="3"/>
  <c r="F6" i="3"/>
  <c r="G6" i="3"/>
  <c r="AD17" i="11"/>
  <c r="L9" i="3"/>
  <c r="F9" i="3"/>
  <c r="G9" i="3"/>
  <c r="X17" i="11" s="1"/>
  <c r="AB17" i="11" s="1"/>
  <c r="Y19" i="11"/>
  <c r="AE15" i="11"/>
  <c r="G11" i="3"/>
  <c r="X18" i="11" s="1"/>
  <c r="F11" i="3"/>
  <c r="L11" i="3"/>
  <c r="X7" i="11" l="1"/>
  <c r="AB7" i="11" s="1"/>
  <c r="AB18" i="11"/>
  <c r="AB19" i="11"/>
  <c r="B8" i="4"/>
  <c r="B16" i="4"/>
  <c r="AF13" i="11"/>
  <c r="W8" i="3" s="1"/>
  <c r="X20" i="11"/>
  <c r="AB20" i="11" s="1"/>
  <c r="AB14" i="11"/>
  <c r="AF14" i="11" s="1"/>
  <c r="W10" i="3" s="1"/>
  <c r="AB15" i="11"/>
  <c r="AF15" i="11" s="1"/>
  <c r="W5" i="3" s="1"/>
  <c r="X11" i="11"/>
  <c r="AB11" i="11" s="1"/>
  <c r="AF11" i="11" s="1"/>
  <c r="A3" i="3"/>
  <c r="AB16" i="11"/>
  <c r="AF16" i="11" s="1"/>
  <c r="W18" i="3" s="1"/>
  <c r="X12" i="11"/>
  <c r="B9" i="4"/>
  <c r="AF9" i="11"/>
  <c r="AF8" i="11"/>
  <c r="W13" i="3" s="1"/>
  <c r="AF17" i="11"/>
  <c r="W9" i="3" s="1"/>
  <c r="AF7" i="11"/>
  <c r="W6" i="3" l="1"/>
  <c r="W7" i="3"/>
  <c r="B25" i="4"/>
  <c r="AB12" i="11"/>
  <c r="B23" i="4" l="1"/>
  <c r="AF12" i="11"/>
  <c r="W15" i="3" l="1"/>
  <c r="W14" i="3"/>
  <c r="W16" i="3"/>
  <c r="W17" i="3"/>
  <c r="B7" i="4"/>
</calcChain>
</file>

<file path=xl/sharedStrings.xml><?xml version="1.0" encoding="utf-8"?>
<sst xmlns="http://schemas.openxmlformats.org/spreadsheetml/2006/main" count="1899" uniqueCount="447">
  <si>
    <t>FAMILY WORLD CHAMPIONSHIP — START HERE</t>
  </si>
  <si>
    <t>Everything you need to understand this tracker, in plain English. If you read only this page, you’ll understand every number in the whole document.</t>
  </si>
  <si>
    <t>Tabs read left → right: Guide · Leaders · Dashboard · Player Card · Head-to-Head · Sport Records · Records &amp; Awards · Trends &amp; Stats · Match Log · Sport Voting.</t>
  </si>
  <si>
    <t>WHAT IS THIS?</t>
  </si>
  <si>
    <t>A living scoreboard for our family games. Log who played and who won in the Match Log, and every other tab updates itself — rankings, head-to-heads, records, heat maps and storylines.</t>
  </si>
  <si>
    <t>THE ONE NUMBER THAT MATTERS — “FWC RATING”</t>
  </si>
  <si>
    <t>Everyone starts on 1000. Win and it rises; lose and it falls. Beating a strong player is worth more than beating a weak one (it’s an “Elo” rating, like chess). The title goes to the highest-rated ELIGIBLE and ACTIVE player — not whoever has the most wins.</t>
  </si>
  <si>
    <t>HOW TO ADD A GAME</t>
  </si>
  <si>
    <t>1.  Go to the Match Log tab — the only place you type.</t>
  </si>
  <si>
    <t>2.  Add ONE ROW PER PLAYER. A 1-v-1 is 2 rows; a 4-player game is 4 rows. Everyone in the same game shares the same Game ID.</t>
  </si>
  <si>
    <t>3.  Fill ONLY the yellow columns: Game ID, Date, Sport, Player, Result. One “Win” per game, everyone else “Loss”.</t>
  </si>
  <si>
    <t>4.  The grey columns calculate themselves and are locked. Every other tab updates instantly.</t>
  </si>
  <si>
    <t>WHAT EACH TAB SHOWS</t>
  </si>
  <si>
    <t>Leaders</t>
  </si>
  <si>
    <t>the current champion, the past champions (Roll of Honour) and the top player in every sport.</t>
  </si>
  <si>
    <t>Dashboard</t>
  </si>
  <si>
    <t>the full live standings, ranked by Adjusted Rating, with win %, form, streaks, movement and activity.</t>
  </si>
  <si>
    <t>Player Card</t>
  </si>
  <si>
    <t>pick any player to see their whole story — rating, rank, tier, form, activity and a sport-by-sport breakdown.</t>
  </si>
  <si>
    <t>Head-to-Head</t>
  </si>
  <si>
    <t>how each player fares directly against every other (win % in decided games, and games played together).</t>
  </si>
  <si>
    <t>Sport Records</t>
  </si>
  <si>
    <t>games, wins, win %, champion and sport-rating for every player in every sport.</t>
  </si>
  <si>
    <t>Records &amp; Awards</t>
  </si>
  <si>
    <t>the biggest upsets, all-time records, and the season’s honours (Giant Killer, Iron Man, On Fire…).</t>
  </si>
  <si>
    <t>Trends &amp; Stats</t>
  </si>
  <si>
    <t>the live storylines, the title race, the sport ladder, and colour heat maps for form and sport mastery.</t>
  </si>
  <si>
    <t>Match Log</t>
  </si>
  <si>
    <t>the raw record of every game — the only tab you type into.</t>
  </si>
  <si>
    <t>Sport Voting</t>
  </si>
  <si>
    <t>propose new sports or vote to remove existing ones.</t>
  </si>
  <si>
    <t>HOW A RATING MOVES</t>
  </si>
  <si>
    <t>Each game, your rating change = Skill Pts + Form Pts + Arena Pts:</t>
  </si>
  <si>
    <t>•  Skill Pts — the main Elo swing. Win = gain, lose = drop; more for beating a favourite, less for beating an underdog.</t>
  </si>
  <si>
    <t>•  Form Pts — a bonus or penalty for beating (or falling short of) your expected odds in that game.</t>
  </si>
  <si>
    <t>•  Arena Pts — a small reward for turning up to group games (3+ players). The bigger the field, the more.</t>
  </si>
  <si>
    <t>SPORT-SPECIFIC (“BLENDED”) RATING</t>
  </si>
  <si>
    <t>Your predicted chance in a game is not just your overall rating. The engine also tracks how good you are at THAT sport and blends the two. The more you play a sport (about 5 games), the more your sport-specific skill takes over. So someone great overall but weak at FIFA stops being the favourite once they have a FIFA record.</t>
  </si>
  <si>
    <t>BECOMING CHAMPION — THE ANTI-FLUKE RULE</t>
  </si>
  <si>
    <t>To be crowned (Status = “Eligible”) you must have played at least 8 GAMES across at least 3 different SPORTS. Until then your Status shows “Provisional”. You must also be ACTIVE (see the Inactivity Rule). This stops a short hot streak stealing the title.</t>
  </si>
  <si>
    <t>ADJUSTABLE SETTINGS  ·  change these by family vote</t>
  </si>
  <si>
    <t>Base Rating</t>
  </si>
  <si>
    <t>Everyone starts here.</t>
  </si>
  <si>
    <t>K-Factor (skill)</t>
  </si>
  <si>
    <t>Size of the skill (Elo) swing. Higher = more volatile ratings.</t>
  </si>
  <si>
    <t>Form Weight</t>
  </si>
  <si>
    <t>Multiplier for beating your field-adjusted odds. 0 turns Form off.</t>
  </si>
  <si>
    <t>Arena Weight</t>
  </si>
  <si>
    <t>Multiplier for showing up to 3+ player games. 0 turns Arena off.</t>
  </si>
  <si>
    <t>Min Games to qualify</t>
  </si>
  <si>
    <t>Games you must play before you can be crowned champion.</t>
  </si>
  <si>
    <t>Min Sports to qualify</t>
  </si>
  <si>
    <t>Different sports you must play before you can be crowned champion.</t>
  </si>
  <si>
    <t>Idle warning (weeks)</t>
  </si>
  <si>
    <t>Weeks idle before you’re flagged ⚠ At Risk (a warning only — no penalty yet).</t>
  </si>
  <si>
    <t>Idle penalty (weeks)</t>
  </si>
  <si>
    <t>Weeks idle before the points penalty starts AND you lose the live crown until you play.</t>
  </si>
  <si>
    <t>Idle decay (points/week)</t>
  </si>
  <si>
    <t>Points removed every week once the penalty has started. There is NO cap — it keeps going until you play.</t>
  </si>
  <si>
    <t>TIERS  ·  driven by your ATHLETE INDEX (not just your rank)</t>
  </si>
  <si>
    <t>Your tier comes from an Athlete Index (0–100) — a blend of five things, so “Elite” means strong across the board, not one lucky number:</t>
  </si>
  <si>
    <t>•  Skill 35% (your rating &amp; who you beat)   •  Win rate 20%   •  Versatility 20% (how many sports you play AND are good at)   •  Form 15% (recent results)   •  Strength of schedule 10%</t>
  </si>
  <si>
    <t>🥇 Elite = Index 72+    ·    🥈 Strong = 58–71    ·    🥉 Mid = 44–57    ·    🌱 Developing = under 44</t>
  </si>
  <si>
    <t>Top-tier gate: to be Elite or Strong you must also have played 8+ games across 3+ sports. Under 5 games (or only 1 sport) = “Unranked” until you’ve played more. See your own breakdown on the Player Card.</t>
  </si>
  <si>
    <t>THE INACTIVITY RULE  ·  use it or lose it</t>
  </si>
  <si>
    <t>Idle time only counts when others are playing — it’s measured against the LEAGUE’S most recent game, so off-season breaks never count against you.</t>
  </si>
  <si>
    <t>VOTING ON SPORTS</t>
  </si>
  <si>
    <t>On the Sport Voting tab each of the 14 athletes gets one vote (type 1 for yes). For a change to pass, at least 7 athletes must have voted (the quorum) AND at least 8 must be in favour. The Outcome column shows where each proposal stands.</t>
  </si>
  <si>
    <t>GLOSSARY  ·  every term &amp; column, plain English</t>
  </si>
  <si>
    <t>FWC Rating</t>
  </si>
  <si>
    <t>your overall skill score across all sports. Everyone starts at 1000; win and it rises, lose and it falls.</t>
  </si>
  <si>
    <t>Adjusted (Adj.) Rating</t>
  </si>
  <si>
    <t>your FWC Rating after any inactivity penalties are taken off. The live standings and the Champion are decided on THIS number.</t>
  </si>
  <si>
    <t>Penalty</t>
  </si>
  <si>
    <t>total rating points you have lost through inactivity. Permanent — they do not come back when you return.</t>
  </si>
  <si>
    <t>Elo</t>
  </si>
  <si>
    <t>the rating method (from chess): beating a strong player earns more than beating a weak one.</t>
  </si>
  <si>
    <t>Expected Win %</t>
  </si>
  <si>
    <t>your predicted chance of winning a given game, based mostly on your record in that sport.</t>
  </si>
  <si>
    <t>Skill Pts</t>
  </si>
  <si>
    <t>the main rating swing each game — win = gain, lose = drop; more for beating a favourite.</t>
  </si>
  <si>
    <t>Form Pts</t>
  </si>
  <si>
    <t>a bonus or penalty for beating (or missing) your expected odds in that game.</t>
  </si>
  <si>
    <t>Arena Pts</t>
  </si>
  <si>
    <t>a small reward for turning up to group games (3+ players); the bigger the field, the more.</t>
  </si>
  <si>
    <t>Rating Before / After</t>
  </si>
  <si>
    <t>your rating immediately before and after a game (shown on the Match Log).</t>
  </si>
  <si>
    <t>SoS (Strength of Schedule)</t>
  </si>
  <si>
    <t>the average rating of the opponents you have faced. Higher = a tougher run.</t>
  </si>
  <si>
    <t>Streak</t>
  </si>
  <si>
    <t>your current run — W3 = three wins in a row; L2 = two losses in a row.</t>
  </si>
  <si>
    <t>Form (last 5 / last 10)</t>
  </si>
  <si>
    <t>your most recent results, oldest → newest (e.g. WWLWL). The Form Heat Map on Trends shows the last 10 in green/red.</t>
  </si>
  <si>
    <t>Move (▲ ▼)</t>
  </si>
  <si>
    <t>how your rank has changed versus a week ago. ▲2 = up two places, ▼1 = down one, – = no change.</t>
  </si>
  <si>
    <t>Last Played / Wks Idle</t>
  </si>
  <si>
    <t>the date of your most recent game, and how many weeks since (measured against the league’s last game).</t>
  </si>
  <si>
    <t>Activity</t>
  </si>
  <si>
    <t>Tier</t>
  </si>
  <si>
    <t>your band by rank: Elite = 1st–3rd · Strong = 4th–7th · Mid = 8th–11th · Developing = 12th or lower.</t>
  </si>
  <si>
    <t>Status</t>
  </si>
  <si>
    <t>Eligible = can win the title (8+ games across 3+ sports) · Provisional = playing but not there yet · No games = hasn’t played.</t>
  </si>
  <si>
    <t>Win %</t>
  </si>
  <si>
    <t>wins ÷ games played.</t>
  </si>
  <si>
    <t>Champion / Champ Wins</t>
  </si>
  <si>
    <t>the player with the most wins in a sport, and how many wins that is.</t>
  </si>
  <si>
    <t>Contests / Games</t>
  </si>
  <si>
    <t>how many times a sport has been played.</t>
  </si>
  <si>
    <t>Sport Rating</t>
  </si>
  <si>
    <t>your Elo within one specific sport (Sport Records). The Sport Mastery heat map shows everyone’s win % per sport.</t>
  </si>
  <si>
    <t>Upset / Giant-killer</t>
  </si>
  <si>
    <t>a win by the underdog. The longer the odds beaten, the bigger the upset (normalised for field size).</t>
  </si>
  <si>
    <t>Points behind leader</t>
  </si>
  <si>
    <t>how many rating points you trail the No.1 player by.</t>
  </si>
  <si>
    <t>Rank</t>
  </si>
  <si>
    <t>your position on the Dashboard, by Adjusted Rating (1 = top).</t>
  </si>
  <si>
    <t>Roll of Honour / Wooden Spoon</t>
  </si>
  <si>
    <t>the list of past champions (on the Leaders tab); the Wooden Spoon is the last-placed player each year.</t>
  </si>
  <si>
    <t>Questions or want to change a rule? Anything in the Settings block above can be changed by a family vote.</t>
  </si>
  <si>
    <t>FWC LEADERS</t>
  </si>
  <si>
    <t>The current leader (top eligible player) and the leader of every sport — updates live as games are logged.     ℹ  Every column &amp; rule is explained on the Guide &amp; Settings tab.</t>
  </si>
  <si>
    <t>CURRENT LEADER</t>
  </si>
  <si>
    <t>SPORT LEADERS   ·   top-rated player in each sport (record shown is in that sport)</t>
  </si>
  <si>
    <t>Sport</t>
  </si>
  <si>
    <t>Leader</t>
  </si>
  <si>
    <t>Sport rating</t>
  </si>
  <si>
    <t>Record (W–L)</t>
  </si>
  <si>
    <t>Games</t>
  </si>
  <si>
    <t>ROLL OF HONOUR</t>
  </si>
  <si>
    <t>Family World Champions since 2019</t>
  </si>
  <si>
    <t>Year</t>
  </si>
  <si>
    <t>Champion</t>
  </si>
  <si>
    <t>Wooden Spoon</t>
  </si>
  <si>
    <t>2019</t>
  </si>
  <si>
    <t>Shawn</t>
  </si>
  <si>
    <t>Beau</t>
  </si>
  <si>
    <t>2020</t>
  </si>
  <si>
    <t>Josh</t>
  </si>
  <si>
    <t>Aaron</t>
  </si>
  <si>
    <t>2021</t>
  </si>
  <si>
    <t>David</t>
  </si>
  <si>
    <t>2022</t>
  </si>
  <si>
    <t>Josh  👑</t>
  </si>
  <si>
    <t>2023</t>
  </si>
  <si>
    <t>— not contested —</t>
  </si>
  <si>
    <t>2024</t>
  </si>
  <si>
    <t>2025</t>
  </si>
  <si>
    <t>2026</t>
  </si>
  <si>
    <t>in progress</t>
  </si>
  <si>
    <t>see current leader</t>
  </si>
  <si>
    <t>Reigning champion:</t>
  </si>
  <si>
    <t>Josh (2022)</t>
  </si>
  <si>
    <t>Most titles:</t>
  </si>
  <si>
    <t>Josh — 2 crowns</t>
  </si>
  <si>
    <t>FAMILY WORLD CHAMPIONSHIP</t>
  </si>
  <si>
    <t>Live Standings  —  ranked by FWC Rating (skill + form + arena, all combined).  Filter arrows on row 4 re-sort by any column.     ℹ  Every column &amp; rule is explained on the Guide &amp; Settings tab.</t>
  </si>
  <si>
    <t>Player</t>
  </si>
  <si>
    <t>Won</t>
  </si>
  <si>
    <t>Lost</t>
  </si>
  <si>
    <t>Sports</t>
  </si>
  <si>
    <t>SoS</t>
  </si>
  <si>
    <t>Behind</t>
  </si>
  <si>
    <t>Form (last 5)</t>
  </si>
  <si>
    <t>Move</t>
  </si>
  <si>
    <t>Last Played</t>
  </si>
  <si>
    <t>Wks Idle</t>
  </si>
  <si>
    <t>Adj. Rating</t>
  </si>
  <si>
    <t>Dean B</t>
  </si>
  <si>
    <t>Simon</t>
  </si>
  <si>
    <t>Oscar</t>
  </si>
  <si>
    <t>Daniel (Ferret)</t>
  </si>
  <si>
    <t>Dean M</t>
  </si>
  <si>
    <t>Dylan A</t>
  </si>
  <si>
    <t>Chase</t>
  </si>
  <si>
    <t>Dylan S</t>
  </si>
  <si>
    <t>Cody</t>
  </si>
  <si>
    <t>PLAYER CARD</t>
  </si>
  <si>
    <t>Pick any player to see their full story. Everything updates live.     ℹ  Every column &amp; rule is explained on the Guide &amp; Settings tab.</t>
  </si>
  <si>
    <t>Player:</t>
  </si>
  <si>
    <t>BY SPORT</t>
  </si>
  <si>
    <t>Wins</t>
  </si>
  <si>
    <t>Chess</t>
  </si>
  <si>
    <t>Darts</t>
  </si>
  <si>
    <t>FIFA</t>
  </si>
  <si>
    <t>Golf</t>
  </si>
  <si>
    <t>Pool</t>
  </si>
  <si>
    <t>Kelly Pool</t>
  </si>
  <si>
    <t>Sports played</t>
  </si>
  <si>
    <t>Target</t>
  </si>
  <si>
    <t>Strength of schedule</t>
  </si>
  <si>
    <t>Snooker</t>
  </si>
  <si>
    <t>Current streak</t>
  </si>
  <si>
    <t>Putt Putt</t>
  </si>
  <si>
    <t>Back Yard Putt Putt</t>
  </si>
  <si>
    <t>Sting Pong</t>
  </si>
  <si>
    <t>Table Tennis</t>
  </si>
  <si>
    <t>Last played / status</t>
  </si>
  <si>
    <t>Mario Party</t>
  </si>
  <si>
    <t>HIGHLIGHTS</t>
  </si>
  <si>
    <t>Mario Kart</t>
  </si>
  <si>
    <t>Best sport (rating)</t>
  </si>
  <si>
    <t>Go Karting</t>
  </si>
  <si>
    <t>Most-played sport</t>
  </si>
  <si>
    <t>Call of Duty</t>
  </si>
  <si>
    <t>Poker</t>
  </si>
  <si>
    <t>ATHLETE INDEX  ·  what drives the tier</t>
  </si>
  <si>
    <t>ShuffleBoard</t>
  </si>
  <si>
    <t>Overall Index</t>
  </si>
  <si>
    <t>Mario Golf</t>
  </si>
  <si>
    <t>Skill (35%)</t>
  </si>
  <si>
    <t>Win rate (20%)</t>
  </si>
  <si>
    <t>Versatility (20%)</t>
  </si>
  <si>
    <t>Form (15%)</t>
  </si>
  <si>
    <t>Strength of schedule (10%)</t>
  </si>
  <si>
    <t>HEAD-TO-HEAD</t>
  </si>
  <si>
    <t>Top grid: each cell = ROW player's win % vs the COLUMN player in games DECIDED between them, plus the number of decided games (e.g. '53% of 17' = won 53% of 17 decided games). Blank = no decided games.     ℹ  Every column &amp; rule is explained on the Guide &amp; Settings tab.</t>
  </si>
  <si>
    <t>Bottom grid: total games the two have played in together (any sport, including multiplayer).</t>
  </si>
  <si>
    <t>WIN %</t>
  </si>
  <si>
    <t>GAMES PLAYED TOGETHER</t>
  </si>
  <si>
    <t>GAMES</t>
  </si>
  <si>
    <t>SPORT RECORDS</t>
  </si>
  <si>
    <t>Every athlete, every sport — games played, won and win rate. Losses = played − won; loss % = 100% − win %.     ℹ  Every column &amp; rule is explained on the Guide &amp; Settings tab.</t>
  </si>
  <si>
    <t>Total games contested</t>
  </si>
  <si>
    <t>Reigning champion</t>
  </si>
  <si>
    <t>GAMES PLAYED  ·  how many times each athlete has contested each sport</t>
  </si>
  <si>
    <t>Champ Wins</t>
  </si>
  <si>
    <t>WINS  ·  how many times each athlete has won each sport</t>
  </si>
  <si>
    <t>WIN %  ·  wins ÷ played   (blank = has not played that sport)</t>
  </si>
  <si>
    <t>ATHLETE TOTALS &amp; ELIGIBILITY</t>
  </si>
  <si>
    <t>Athlete</t>
  </si>
  <si>
    <t>Rating</t>
  </si>
  <si>
    <t>SPORT RATING  ·  each athlete’s current Elo within the sport   (blank = not played; starts at 1000)</t>
  </si>
  <si>
    <t>Top rated</t>
  </si>
  <si>
    <t>RECORDS &amp; AWARDS</t>
  </si>
  <si>
    <t>The headlines of the championship — biggest upsets, all-time records, and who holds the season honours. Updates automatically.     ℹ  Every column &amp; rule is explained on the Guide &amp; Settings tab.</t>
  </si>
  <si>
    <t>BIGGEST UPSETS  ·  the most unlikely wins (normalised for field size)</t>
  </si>
  <si>
    <t>#</t>
  </si>
  <si>
    <t>Giant-killer</t>
  </si>
  <si>
    <t>Beat</t>
  </si>
  <si>
    <t>Win chance</t>
  </si>
  <si>
    <t>When</t>
  </si>
  <si>
    <t>HALL OF RECORDS</t>
  </si>
  <si>
    <t>Record</t>
  </si>
  <si>
    <t>Value</t>
  </si>
  <si>
    <t>Holder</t>
  </si>
  <si>
    <t>Date</t>
  </si>
  <si>
    <t>Details</t>
  </si>
  <si>
    <t>Highest FWC rating ever reached</t>
  </si>
  <si>
    <t>Biggest single-game rating gain</t>
  </si>
  <si>
    <t>Biggest single-game rating drop</t>
  </si>
  <si>
    <t>Biggest upset win</t>
  </si>
  <si>
    <t>Most games played</t>
  </si>
  <si>
    <t>—</t>
  </si>
  <si>
    <t>Most sports played</t>
  </si>
  <si>
    <t>Most-contested sport</t>
  </si>
  <si>
    <t>the family favourite</t>
  </si>
  <si>
    <t>Longest active win streak</t>
  </si>
  <si>
    <t>ongoing</t>
  </si>
  <si>
    <t>THE AWARDS  ·  season honours</t>
  </si>
  <si>
    <t>Award</t>
  </si>
  <si>
    <t>For</t>
  </si>
  <si>
    <t>🏆 The Champion</t>
  </si>
  <si>
    <t>highest-rated eligible player</t>
  </si>
  <si>
    <t>🗡️ Giant Killer</t>
  </si>
  <si>
    <t>most underdog wins</t>
  </si>
  <si>
    <t>🐎 Iron Man</t>
  </si>
  <si>
    <t>most games played</t>
  </si>
  <si>
    <t>🌍 The Generalist</t>
  </si>
  <si>
    <t>plays the most sports</t>
  </si>
  <si>
    <t>🔥 On Fire</t>
  </si>
  <si>
    <t>best form over last 5 games</t>
  </si>
  <si>
    <t>📉 Wooden Spoon</t>
  </si>
  <si>
    <t>lowest rating — keep grinding</t>
  </si>
  <si>
    <t>TRENDS &amp; STORYLINES</t>
  </si>
  <si>
    <t>The living story of the season — every line updates automatically as games are logged.     ℹ  Every column &amp; rule is explained on the Guide &amp; Settings tab.</t>
  </si>
  <si>
    <t>📰  THE STORY SO FAR</t>
  </si>
  <si>
    <t>🏁  THE TITLE RACE</t>
  </si>
  <si>
    <t>Pos</t>
  </si>
  <si>
    <t>Gap to lead</t>
  </si>
  <si>
    <t>🏆  SPORT LADDER  ·  pick a sport →</t>
  </si>
  <si>
    <t>🔥  FORM HEAT MAP</t>
  </si>
  <si>
    <t>last 10 games each — oldest ◄ left · newest ► right   (green = win, red = loss)</t>
  </si>
  <si>
    <t>🎯  SPORT MASTERY HEAT MAP</t>
  </si>
  <si>
    <t>win % per player per sport · red = weak, green = strong · blank = not played</t>
  </si>
  <si>
    <t>FAMILY WORLD CHAMPIONSHIP  —  MATCH LOG</t>
  </si>
  <si>
    <t>ONE ROW PER PLAYER PER GAME. Same Game ID = same game. One 'Win' per game, everyone else 'Loss'. TYPE ONLY IN THE YELLOW COLUMNS — the grey columns fill in automatically and are locked so they can't be deleted. (To unlock: Review menu &gt; Unprotect Sheet.)  Enter games oldest at top.</t>
  </si>
  <si>
    <t>Game ID</t>
  </si>
  <si>
    <t>Result</t>
  </si>
  <si>
    <t>Players in Game</t>
  </si>
  <si>
    <t>Game Winner</t>
  </si>
  <si>
    <t>Rating Before</t>
  </si>
  <si>
    <t>Rating Change</t>
  </si>
  <si>
    <t>Rating After</t>
  </si>
  <si>
    <t>Check</t>
  </si>
  <si>
    <t>winRatBefore</t>
  </si>
  <si>
    <t>expVsWin</t>
  </si>
  <si>
    <t>strength</t>
  </si>
  <si>
    <t>fieldStr</t>
  </si>
  <si>
    <t>Sport games</t>
  </si>
  <si>
    <t>Sport Rating Before</t>
  </si>
  <si>
    <t>Blended Before</t>
  </si>
  <si>
    <t>blend winRat</t>
  </si>
  <si>
    <t>blend exp</t>
  </si>
  <si>
    <t>sport winRat</t>
  </si>
  <si>
    <t>sport exp</t>
  </si>
  <si>
    <t>Sport Skill Δ</t>
  </si>
  <si>
    <t>Sport Rating After</t>
  </si>
  <si>
    <t>Idle pts lost (locked)</t>
  </si>
  <si>
    <t>Win</t>
  </si>
  <si>
    <t>Loss</t>
  </si>
  <si>
    <t>SPORT VOTING</t>
  </si>
  <si>
    <t>A running ledger of sport proposals. In each athlete’s cell vote: 1 = in favour, 0 = against, leave blank = not voted yet.     ℹ  Every column &amp; rule is explained on the Guide &amp; Settings tab.</t>
  </si>
  <si>
    <t>Athletes voting:</t>
  </si>
  <si>
    <t>Needed to pass:</t>
  </si>
  <si>
    <t>Quorum (min votes):</t>
  </si>
  <si>
    <t>Pass = at least the "needed" number of athletes vote 1, once the quorum has voted.</t>
  </si>
  <si>
    <t>PROPOSED NEW SPORTS   ·   vote 1 = add it, 0 = no   (type the suggested sport in the first column)</t>
  </si>
  <si>
    <t>Suggested sport</t>
  </si>
  <si>
    <t>In favour</t>
  </si>
  <si>
    <t>Votes cast</t>
  </si>
  <si>
    <t>Outcome</t>
  </si>
  <si>
    <t>Paddle</t>
  </si>
  <si>
    <t>Handball</t>
  </si>
  <si>
    <t>Pickle Ball</t>
  </si>
  <si>
    <t>Beer Pong</t>
  </si>
  <si>
    <t>SPORTS UP FOR REMOVAL   ·   vote 1 = remove it, 0 = keep   (current sports listed automatically)</t>
  </si>
  <si>
    <t>Current sport</t>
  </si>
  <si>
    <t>To remove</t>
  </si>
  <si>
    <t>CALCS (hidden helper — do not edit)</t>
  </si>
  <si>
    <t>Cutoff (7d before latest):</t>
  </si>
  <si>
    <t>League last game:</t>
  </si>
  <si>
    <t>PtsBehind</t>
  </si>
  <si>
    <t>LastResult</t>
  </si>
  <si>
    <t>StreakCount</t>
  </si>
  <si>
    <t>Last5</t>
  </si>
  <si>
    <t>RatingAsOf</t>
  </si>
  <si>
    <t>PrevRank</t>
  </si>
  <si>
    <t>LastPlayed</t>
  </si>
  <si>
    <t>WksIdle</t>
  </si>
  <si>
    <t>Decay</t>
  </si>
  <si>
    <t>AdjRating</t>
  </si>
  <si>
    <t>ClosedPen</t>
  </si>
  <si>
    <t>LossStreak</t>
  </si>
  <si>
    <t>skill</t>
  </si>
  <si>
    <t>winrate</t>
  </si>
  <si>
    <t>versatility</t>
  </si>
  <si>
    <t>form</t>
  </si>
  <si>
    <t>sos</t>
  </si>
  <si>
    <t>Index</t>
  </si>
  <si>
    <t>strongSports</t>
  </si>
  <si>
    <t>gms</t>
  </si>
  <si>
    <t>spts</t>
  </si>
  <si>
    <t>Game</t>
  </si>
  <si>
    <t>Winner</t>
  </si>
  <si>
    <t>Players</t>
  </si>
  <si>
    <t>WinnerExp</t>
  </si>
  <si>
    <t>UpsetScore</t>
  </si>
  <si>
    <t>Opponent</t>
  </si>
  <si>
    <t>GameHx</t>
  </si>
  <si>
    <t>🏆   T H E   F W C   W E E K L Y</t>
  </si>
  <si>
    <t>YOUR HOSTS.   Trent 'Macca' Maclean, thirty years in the box and a former champion himself, the biggest voice in the game and never short of a bold call.   Dr Rob 'Robbo' Sinclair, ex elite competitor turned analyst, builds his own ratings models and lives for the number nobody else spotted.</t>
  </si>
  <si>
    <t>COLD OPEN</t>
  </si>
  <si>
    <t>MACCA</t>
  </si>
  <si>
    <t>ROBBO</t>
  </si>
  <si>
    <t>THE TITLE RACE</t>
  </si>
  <si>
    <t>THE FORM DESK</t>
  </si>
  <si>
    <t>RIVALRY CORNER</t>
  </si>
  <si>
    <t>THE NUMBERS NOBODY IS TALKING ABOUT</t>
  </si>
  <si>
    <t>WHAT WE ARE WATCHING NEXT</t>
  </si>
  <si>
    <t>Book it.</t>
  </si>
  <si>
    <t>THE SIGN OFF</t>
  </si>
  <si>
    <t>Same chairs, fresh numbers. Cheers all.</t>
  </si>
  <si>
    <t>THE MONDAY WRAP      ·      with Macca and Robbo      ·      Week ending Monday 6 July 2026</t>
  </si>
  <si>
    <t>Righto, welcome back to the Wrap. Mate, thirty years I've been doing this and I don't think I've ever read a stat sheet like this one. Nine games for the week. And Shawn played... all nine of them?</t>
  </si>
  <si>
    <t>All nine. Him, Oscar and the Ferret were the only three who turned up, and Shawn didn't sit out a single game. Went three and six.</t>
  </si>
  <si>
    <t>Three and six. Woof.</t>
  </si>
  <si>
    <t>Yeah, but hang on, because I reckon it's quietly the best week he's had all year. I'm serious. Let me get there.</t>
  </si>
  <si>
    <t>Alright, ladder. Dean B still on top, eleven eighty nine. Josh behind him, then Aaron. None of them played. Again.</t>
  </si>
  <si>
    <t>Not a game between them. The whole podium had the weekend off, so the only bloke actually moving is Oscar. Goes four and two, jumps Simon into fourth. Eleven oh eight.</t>
  </si>
  <si>
    <t>And Simon loses his spot sitting on the couch. That'd sting.</t>
  </si>
  <si>
    <t>That's the format, mate. And look, Dean B hasn't played since the sixteenth of June. Nearly three weeks. You can't defend a title from the recliner forever.</t>
  </si>
  <si>
    <t>Who's hot, who's not.</t>
  </si>
  <si>
    <t>Oscar was red hot, right up until about two o'clock Sunday. Belts Shawn four straight on the Saturday, the Kart sweep plus a Party win, then Shawn drags him to the table tennis table and does him twice. Big ones too. Plus twenty five and plus twenty two.</t>
  </si>
  <si>
    <t>So Oscar wins the week and still goes home filthy.</t>
  </si>
  <si>
    <t>Four and two but he finishes on two losses, yeah. And spare a thought for Aaron. Five wins on the trot and nowhere to spend them. Streaks don't keep, Macca. You've got to feed them.</t>
  </si>
  <si>
    <t>Six games in two days, Oscar and Shawn. Talk to me.</t>
  </si>
  <si>
    <t>Saturday it's four nil Oscar and it's getting ugly. The all time ledger's out to eleven wins to three his way at that point. Then Sunday, table tennis, and the whole thing flips. Shawn wins both and suddenly it's a different conversation.</t>
  </si>
  <si>
    <t>One arena. Every rivalry's got one.</t>
  </si>
  <si>
    <t>That's his. And the Ferret stuff, mate, where do I even start. Twenty two games those two have played against each other now. Twenty two! Nobody else is close. Three more at Mario Party on Sunday, Ferret takes two...</t>
  </si>
  <si>
    <t>But.</t>
  </si>
  <si>
    <t>But the one Shawn won. Twenty three per cent chance. Hold that thought, because it's basically the whole show.</t>
  </si>
  <si>
    <t>Go on then. Stat of the week.</t>
  </si>
  <si>
    <t>Game one twenty two. Shawn over the Ferret at Mario Party, twenty three per cent win chance. Second biggest upset we've ever recorded. The only one bigger is the Ferret's own twenty percenter at FIFA back in May. So the giant killer just copped one himself.</t>
  </si>
  <si>
    <t>Ha! There's something beautiful about that.</t>
  </si>
  <si>
    <t>There's more. Shawn's rating tonight, after forty six games, carrying the hardest draw anyone's had... one thousand. Point one. Back to the exact number we all started on.</t>
  </si>
  <si>
    <t>Sea level.</t>
  </si>
  <si>
    <t>Sea level. Two months of getting flogged by the toughest schedule in the comp and he's dead level par. I love it. Oh, and one more. Dean B's athlete index is ninety seven point three. Next best is ten points back. The bloke's a machine. When he plays.</t>
  </si>
  <si>
    <t>When.</t>
  </si>
  <si>
    <t>Next week?</t>
  </si>
  <si>
    <t>The rust line. Simon, Beau, Chase, David, Cody, Dean M, Dylan A. All of them tick past three weeks idle this coming weekend if they don't get a game in. The comp doesn't pay you to sit still.</t>
  </si>
  <si>
    <t>And the champ's nearly in the same boat.</t>
  </si>
  <si>
    <t>One more quiet weekend, yeah. Aaron needs one game, any game, to keep the streak breathing. And I want the Oscar table tennis rematch. He'll be spewing about Sunday.</t>
  </si>
  <si>
    <t>He won't let that sit. No chance.</t>
  </si>
  <si>
    <t>That's the Wrap. Shawn played everything, Oscar's in the four, and the podium watched it all from the couch. The numbers don't take weekends off, gents, even if you lot do.</t>
  </si>
  <si>
    <t>Play more, play smart. See you Monday.</t>
  </si>
  <si>
    <t>Rule change date</t>
  </si>
  <si>
    <t>Idle gaps that ended before this date are not back-charged. Current idle time counts in full.</t>
  </si>
  <si>
    <t>HORSE - Basketball</t>
  </si>
  <si>
    <t>•  Under 2 weeks since your last game  →  Active. All good.</t>
  </si>
  <si>
    <t>•  At 2 weeks idle  →  flagged ⚠ At Risk on the Dashboard. A warning only, no penalty. Go get a game in.</t>
  </si>
  <si>
    <t>•  At 4 weeks idle  →  the slide begins: you lose 10 rating points EVERY week, and you cannot hold the live Champion crown until you play again.</t>
  </si>
  <si>
    <t>•  There is NO maximum. You keep losing 10 points a week, forever, until you play a game.</t>
  </si>
  <si>
    <t>•  Lost points are GONE FOR GOOD. Playing again stops the slide immediately and restarts your 2-week clock, but it does NOT refund the points you already lost.</t>
  </si>
  <si>
    <t>•  Penalties stack across separate idle spells. The settings above (2 / 4 weeks, 10 pts/week) are open to a family vote. Gaps closed before the Rule change date are not back-charged.</t>
  </si>
  <si>
    <t>Active = played within 2 weeks · ⚠ At Risk = 2 to 4 weeks idle · Inactive = 4+ weeks idle (crown lost, 10 pts lost per week until you play).</t>
  </si>
  <si>
    <t>SEASON ROLLOVER  ·  locked in by committee (6 July 2026)</t>
  </si>
  <si>
    <t>•  The season ends 31 December. In the final days of December the season is wrapped up: a full year-in-review is written, final standings and the Roll of Honour are locked, and this document is archived.</t>
  </si>
  <si>
    <t>•  On 1 January 2027 a BRAND NEW tracker document starts the season: overall ratings reset to 1000, every athlete carries over their final Sport Ratings, and the Roll of Honour crowns the outgoing champion.</t>
  </si>
  <si>
    <t>•  Provisional K-Factor from 2027: your first 10 games each season swing at K=48 instead of 32, so you settle to your true level fast. From game 11 you use the standard K.</t>
  </si>
  <si>
    <t>RULE CHANGES — COMMITTEE VOTE, 7 JULY 2026</t>
  </si>
  <si>
    <t>ARENA AMENDMENT (backdated to Game 1): every player in a group game (3+ players) receives the SAME Arena Pts — field size × Arena Weight. The winner no longer receives double. Arena Pts reward turning up, not winning; wins are already rewarded through Skill and Form Pts. All historical ratings have been recalculated under this rule.</t>
  </si>
  <si>
    <t>POKER STAKE LEDGER (monthly poker): the poker night logs in the Match Log as a normal game (winner = Win) AND settles a points stake on the Poker Stake Ledger tab. Flat stake 15 points, one optional rebuy (15 more), minimum 4 players, maximum 10. The pot pays every finishing place on a percentage ladder — see the ledger tab.</t>
  </si>
  <si>
    <t>Poker night needs 4+ players. With 3 or fewer there is NO poker game — not even a Match Log entry.</t>
  </si>
  <si>
    <t>Stake Pts</t>
  </si>
  <si>
    <t>FWC POKER STAKE LEDGER  —  committee approved 7 July 2026</t>
  </si>
  <si>
    <t>Log the poker night in the Match Log as normal (winner = Win). Then enter ONE ROW PER PLAYER below: same Night ID, the date, the player, their finishing place, and Y if they rebought. Everything else calculates itself and flows into Adjusted Rating on the Dashboard. Minimum 4 players or the night does not count.</t>
  </si>
  <si>
    <t>SETTINGS (family vote to change)</t>
  </si>
  <si>
    <t>PAYOUT LADDER — % of pot by finishing place (rows) and field size (columns)</t>
  </si>
  <si>
    <t>Stake per entry (points)</t>
  </si>
  <si>
    <t>PLACE</t>
  </si>
  <si>
    <t>Max rebuys per player</t>
  </si>
  <si>
    <t>Minimum players</t>
  </si>
  <si>
    <t>Maximum players</t>
  </si>
  <si>
    <t>ENTRY TABLE — type only in columns A to E</t>
  </si>
  <si>
    <t>RUNNING TOTALS</t>
  </si>
  <si>
    <t>Night ID</t>
  </si>
  <si>
    <t>Finish</t>
  </si>
  <si>
    <t>Rebuy (Y/N)</t>
  </si>
  <si>
    <t>Field size</t>
  </si>
  <si>
    <t>Staked</t>
  </si>
  <si>
    <t>Pot</t>
  </si>
  <si>
    <t>Ladder %</t>
  </si>
  <si>
    <t>Payout</t>
  </si>
  <si>
    <t>Stake Net</t>
  </si>
  <si>
    <t>Total Stake Pts</t>
  </si>
  <si>
    <t>FWC Rating = 1000 + Skill Pts + Form Pts + Arena Pts + Poker Stake Pts.  Skill &amp; Form are zero-sum; Arena rewards turning up to group games; the poker stake settles on the Poker Stake Ledger tab.  Champion = highest-rated Eligible player.  Weights live on the Guide tab.</t>
  </si>
  <si>
    <t>Stake Pts are zero-sum (the family's total points never change) and are INCLUDED in the FWC Rating shown on the Dashboard - a poker night moves the same headline number as any other game. Adjusted Rating additionally subtracts idle penalties. The Dashboard's Stake Pts column shows each athlete's running poker stake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</si>
</sst>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
    <numFmt numFmtId="165" formatCode="yyyy\-mm\-dd"/>
    <numFmt numFmtId="166" formatCode="0;\-0;;"/>
    <numFmt numFmtId="167" formatCode="0.0%;;;"/>
    <numFmt numFmtId="168" formatCode="\+0.0;\-0.0;;"/>
    <numFmt numFmtId="169" formatCode="\+0.0;;;"/>
    <numFmt numFmtId="170" formatCode="0.0"/>
    <numFmt numFmtId="171" formatCode="mm/dd/yy"/>
  </numFmts>
  <fonts count="74" x14ac:knownFonts="1">
    <font>
      <sz val="11"/>
      <color theme="1"/>
      <name val="Calibri"/>
      <family val="2"/>
      <charset val="1"/>
    </font>
    <font>
      <b/>
      <sz val="16"/>
      <color rgb="FF0D2240"/>
      <name val="Calibri"/>
      <family val="2"/>
    </font>
    <font>
      <sz val="10"/>
      <color rgb="FF23303F"/>
      <name val="Calibri"/>
      <family val="2"/>
    </font>
    <font>
      <b/>
      <sz val="12"/>
      <color rgb="FFB23A48"/>
      <name val="Arial"/>
      <family val="2"/>
      <charset val="1"/>
    </font>
    <font>
      <b/>
      <sz val="12"/>
      <color rgb="FF0D2240"/>
      <name val="Calibri"/>
      <family val="2"/>
    </font>
    <font>
      <sz val="10"/>
      <name val="Arial"/>
      <family val="2"/>
      <charset val="1"/>
    </font>
    <font>
      <b/>
      <sz val="10"/>
      <color rgb="FF23303F"/>
      <name val="Calibri"/>
      <family val="2"/>
    </font>
    <font>
      <b/>
      <sz val="11"/>
      <color rgb="FF0D2240"/>
      <name val="Calibri"/>
      <family val="2"/>
    </font>
    <font>
      <b/>
      <sz val="11"/>
      <color rgb="FF0000FF"/>
      <name val="Arial"/>
      <family val="2"/>
      <charset val="1"/>
    </font>
    <font>
      <sz val="9"/>
      <color rgb="FF6B7280"/>
      <name val="Calibri"/>
      <family val="2"/>
    </font>
    <font>
      <b/>
      <sz val="12"/>
      <name val="Cambria"/>
      <family val="1"/>
    </font>
    <font>
      <i/>
      <sz val="10"/>
      <color rgb="FF6B7280"/>
      <name val="Calibri"/>
      <family val="2"/>
    </font>
    <font>
      <b/>
      <sz val="18"/>
      <color rgb="FF0D2240"/>
      <name val="Calibri"/>
      <family val="2"/>
      <charset val="1"/>
    </font>
    <font>
      <sz val="11"/>
      <name val="Cambria"/>
      <family val="1"/>
    </font>
    <font>
      <i/>
      <sz val="10"/>
      <color rgb="FF5D6F81"/>
      <name val="Calibri"/>
      <family val="2"/>
      <charset val="1"/>
    </font>
    <font>
      <b/>
      <sz val="10"/>
      <color rgb="FFB0892F"/>
      <name val="Calibri"/>
      <family val="2"/>
      <charset val="1"/>
    </font>
    <font>
      <b/>
      <sz val="26"/>
      <color rgb="FF0D2240"/>
      <name val="Calibri"/>
      <family val="2"/>
      <charset val="1"/>
    </font>
    <font>
      <sz val="11"/>
      <color rgb="FF5D6F81"/>
      <name val="Calibri"/>
      <family val="2"/>
      <charset val="1"/>
    </font>
    <font>
      <b/>
      <sz val="11"/>
      <color rgb="FF0D2240"/>
      <name val="Calibri"/>
      <family val="2"/>
      <charset val="1"/>
    </font>
    <font>
      <b/>
      <sz val="10"/>
      <color rgb="FFFFFFFF"/>
      <name val="Calibri"/>
      <family val="2"/>
      <charset val="1"/>
    </font>
    <font>
      <b/>
      <sz val="11"/>
      <color rgb="FF23303F"/>
      <name val="Calibri"/>
      <family val="2"/>
      <charset val="1"/>
    </font>
    <font>
      <sz val="11"/>
      <color rgb="FF23303F"/>
      <name val="Calibri"/>
      <family val="2"/>
      <charset val="1"/>
    </font>
    <font>
      <b/>
      <sz val="14"/>
      <color rgb="FF0D2240"/>
      <name val="Calibri"/>
      <family val="2"/>
    </font>
    <font>
      <sz val="10"/>
      <color rgb="FF6B7280"/>
      <name val="Calibri"/>
      <family val="2"/>
    </font>
    <font>
      <b/>
      <sz val="10"/>
      <color rgb="FFFFFFFF"/>
      <name val="Calibri"/>
      <family val="2"/>
    </font>
    <font>
      <b/>
      <sz val="11"/>
      <color rgb="FFB0892F"/>
      <name val="Calibri"/>
      <family val="2"/>
    </font>
    <font>
      <b/>
      <sz val="10"/>
      <color rgb="FF0D2240"/>
      <name val="Calibri"/>
      <family val="2"/>
    </font>
    <font>
      <b/>
      <sz val="18"/>
      <color rgb="FF1B2A4A"/>
      <name val="Arial"/>
      <family val="2"/>
      <charset val="1"/>
    </font>
    <font>
      <i/>
      <sz val="10"/>
      <color rgb="FF6B7280"/>
      <name val="Arial"/>
      <family val="2"/>
      <charset val="1"/>
    </font>
    <font>
      <b/>
      <sz val="5"/>
      <color rgb="FF0D2240"/>
      <name val="Calibri"/>
      <family val="2"/>
      <charset val="1"/>
    </font>
    <font>
      <b/>
      <sz val="12"/>
      <color rgb="FFC9A227"/>
      <name val="Arial"/>
      <family val="2"/>
      <charset val="1"/>
    </font>
    <font>
      <b/>
      <sz val="10"/>
      <color rgb="FFFFFFFF"/>
      <name val="Arial"/>
      <family val="2"/>
      <charset val="1"/>
    </font>
    <font>
      <b/>
      <sz val="11"/>
      <name val="Arial"/>
      <family val="2"/>
      <charset val="1"/>
    </font>
    <font>
      <b/>
      <sz val="10"/>
      <name val="Arial"/>
      <family val="2"/>
      <charset val="1"/>
    </font>
    <font>
      <b/>
      <sz val="11"/>
      <color rgb="FF1B2A4A"/>
      <name val="Arial"/>
      <family val="2"/>
      <charset val="1"/>
    </font>
    <font>
      <sz val="10"/>
      <color rgb="FF1A1A1A"/>
      <name val="Arial"/>
      <family val="2"/>
      <charset val="1"/>
    </font>
    <font>
      <i/>
      <sz val="9"/>
      <color rgb="FF6B7280"/>
      <name val="Arial"/>
      <family val="2"/>
      <charset val="1"/>
    </font>
    <font>
      <sz val="11"/>
      <color rgb="FF23303F"/>
      <name val="Calibri"/>
      <family val="2"/>
    </font>
    <font>
      <b/>
      <sz val="13"/>
      <color rgb="FFB0892F"/>
      <name val="Calibri"/>
      <family val="2"/>
    </font>
    <font>
      <b/>
      <sz val="16"/>
      <color rgb="FF1B2A4A"/>
      <name val="Arial"/>
      <family val="2"/>
      <charset val="1"/>
    </font>
    <font>
      <b/>
      <sz val="10"/>
      <color rgb="FF1B2A4A"/>
      <name val="Arial"/>
      <family val="2"/>
      <charset val="1"/>
    </font>
    <font>
      <b/>
      <sz val="11"/>
      <color rgb="FFB23A48"/>
      <name val="Arial"/>
      <family val="2"/>
      <charset val="1"/>
    </font>
    <font>
      <b/>
      <sz val="16"/>
      <color rgb="FF0D2240"/>
      <name val="Calibri"/>
      <family val="2"/>
      <charset val="1"/>
    </font>
    <font>
      <b/>
      <sz val="10"/>
      <color rgb="FF0D2240"/>
      <name val="Calibri"/>
      <family val="2"/>
      <charset val="1"/>
    </font>
    <font>
      <b/>
      <sz val="14"/>
      <color rgb="FFB0892F"/>
      <name val="Calibri"/>
      <family val="2"/>
      <charset val="1"/>
    </font>
    <font>
      <b/>
      <sz val="9"/>
      <color rgb="FFFFFFFF"/>
      <name val="Calibri"/>
      <family val="2"/>
      <charset val="1"/>
    </font>
    <font>
      <b/>
      <sz val="9"/>
      <color rgb="FF23303F"/>
      <name val="Calibri"/>
      <family val="2"/>
      <charset val="1"/>
    </font>
    <font>
      <sz val="9"/>
      <color rgb="FF23303F"/>
      <name val="Calibri"/>
      <family val="2"/>
      <charset val="1"/>
    </font>
    <font>
      <b/>
      <sz val="9"/>
      <color rgb="FF0D2240"/>
      <name val="Calibri"/>
      <family val="2"/>
      <charset val="1"/>
    </font>
    <font>
      <b/>
      <sz val="9"/>
      <color rgb="FF7A5A12"/>
      <name val="Calibri"/>
      <family val="2"/>
      <charset val="1"/>
    </font>
    <font>
      <b/>
      <sz val="12"/>
      <color theme="0"/>
      <name val="Calibri"/>
      <family val="2"/>
      <charset val="1"/>
    </font>
    <font>
      <i/>
      <sz val="9"/>
      <color rgb="FF6B7280"/>
      <name val="Calibri"/>
      <family val="2"/>
    </font>
    <font>
      <b/>
      <sz val="9"/>
      <color rgb="FF23303F"/>
      <name val="Calibri"/>
      <family val="2"/>
    </font>
    <font>
      <b/>
      <sz val="9"/>
      <color rgb="FFFFFFFF"/>
      <name val="Calibri"/>
      <family val="2"/>
    </font>
    <font>
      <b/>
      <sz val="8"/>
      <color rgb="FFFFFFFF"/>
      <name val="Calibri"/>
      <family val="2"/>
    </font>
    <font>
      <sz val="8"/>
      <color rgb="FF23303F"/>
      <name val="Calibri"/>
      <family val="2"/>
    </font>
    <font>
      <b/>
      <sz val="13"/>
      <color rgb="FF1B2A4A"/>
      <name val="Arial"/>
      <family val="2"/>
      <charset val="1"/>
    </font>
    <font>
      <i/>
      <sz val="9"/>
      <color rgb="FFB23A48"/>
      <name val="Arial"/>
      <family val="2"/>
      <charset val="1"/>
    </font>
    <font>
      <b/>
      <sz val="11"/>
      <color rgb="FFB0892F"/>
      <name val="Calibri"/>
      <family val="2"/>
      <charset val="1"/>
    </font>
    <font>
      <b/>
      <sz val="10"/>
      <color rgb="FF23303F"/>
      <name val="Calibri"/>
      <family val="2"/>
      <charset val="1"/>
    </font>
    <font>
      <sz val="10"/>
      <color rgb="FF23303F"/>
      <name val="Calibri"/>
      <family val="2"/>
      <charset val="1"/>
    </font>
    <font>
      <sz val="9.5"/>
      <color rgb="FF23303F"/>
      <name val="Calibri"/>
      <family val="2"/>
      <charset val="1"/>
    </font>
    <font>
      <b/>
      <sz val="26"/>
      <color rgb="FF0D2240"/>
      <name val="Calibri"/>
      <family val="2"/>
    </font>
    <font>
      <i/>
      <sz val="11"/>
      <color rgb="FF6B7280"/>
      <name val="Calibri"/>
      <family val="2"/>
    </font>
    <font>
      <b/>
      <sz val="11"/>
      <color rgb="FFFFFFFF"/>
      <name val="Calibri"/>
      <family val="2"/>
    </font>
    <font>
      <sz val="11"/>
      <color rgb="FF23303F"/>
      <name val="Calibri"/>
      <family val="2"/>
    </font>
    <font>
      <b/>
      <sz val="11"/>
      <color rgb="FF0D2240"/>
      <name val="Calibri"/>
      <family val="2"/>
    </font>
    <font>
      <b/>
      <sz val="11"/>
      <color rgb="FFB0892F"/>
      <name val="Calibri"/>
      <family val="2"/>
    </font>
    <font>
      <sz val="10"/>
      <color rgb="FF44505E"/>
      <name val="Calibri"/>
      <family val="2"/>
    </font>
    <font>
      <b/>
      <sz val="15"/>
      <color rgb="FF0D2646"/>
      <name val="Calibri"/>
      <family val="2"/>
    </font>
    <font>
      <b/>
      <sz val="10"/>
      <color rgb="FFEFD080"/>
      <name val="Calibri"/>
      <family val="2"/>
    </font>
    <font>
      <b/>
      <sz val="10"/>
      <color rgb="FF0D2646"/>
      <name val="Calibri"/>
      <family val="2"/>
    </font>
    <font>
      <sz val="8"/>
      <color theme="1"/>
      <name val="Calibri"/>
      <family val="2"/>
      <charset val="1"/>
    </font>
    <font>
      <b/>
      <sz val="10"/>
      <color rgb="FFEFD080"/>
      <name val="Calibri"/>
      <family val="2"/>
    </font>
  </fonts>
  <fills count="15">
    <fill>
      <patternFill patternType="none"/>
    </fill>
    <fill>
      <patternFill patternType="gray125"/>
    </fill>
    <fill>
      <patternFill patternType="solid">
        <fgColor rgb="FFFFF2CC"/>
        <bgColor rgb="FFFBEEC8"/>
      </patternFill>
    </fill>
    <fill>
      <patternFill patternType="solid">
        <fgColor rgb="FFFBF4E1"/>
        <bgColor rgb="FFFFF8E1"/>
      </patternFill>
    </fill>
    <fill>
      <patternFill patternType="solid">
        <fgColor rgb="FF0D2240"/>
        <bgColor rgb="FF1B2A4A"/>
      </patternFill>
    </fill>
    <fill>
      <patternFill patternType="solid">
        <fgColor rgb="FFEEF2F7"/>
        <bgColor rgb="FFEAF0F7"/>
      </patternFill>
    </fill>
    <fill>
      <patternFill patternType="solid">
        <fgColor rgb="FF1B2A4A"/>
        <bgColor rgb="FF23303F"/>
      </patternFill>
    </fill>
    <fill>
      <patternFill patternType="solid">
        <fgColor rgb="FFC9A227"/>
        <bgColor rgb="FFB0892F"/>
      </patternFill>
    </fill>
    <fill>
      <patternFill patternType="solid">
        <fgColor rgb="FFF4F7FB"/>
        <bgColor rgb="FFF5F5F5"/>
      </patternFill>
    </fill>
    <fill>
      <patternFill patternType="solid">
        <fgColor rgb="FFEAF0F7"/>
        <bgColor rgb="FFEEF2F7"/>
      </patternFill>
    </fill>
    <fill>
      <patternFill patternType="solid">
        <fgColor rgb="FFFFF8E1"/>
        <bgColor rgb="FFFBF4E1"/>
      </patternFill>
    </fill>
    <fill>
      <patternFill patternType="solid">
        <fgColor rgb="FFF2F2F2"/>
        <bgColor rgb="FFEEF2F7"/>
      </patternFill>
    </fill>
    <fill>
      <patternFill patternType="solid">
        <fgColor rgb="FFFBF7EC"/>
        <bgColor rgb="FFFBF4E1"/>
      </patternFill>
    </fill>
    <fill>
      <patternFill patternType="solid">
        <fgColor rgb="FF0D2646"/>
        <bgColor indexed="64"/>
      </patternFill>
    </fill>
    <fill>
      <patternFill patternType="solid">
        <fgColor rgb="FFF1E3C3"/>
        <bgColor indexed="64"/>
      </patternFill>
    </fill>
  </fills>
  <borders count="6">
    <border>
      <left/>
      <right/>
      <top/>
      <bottom/>
      <diagonal/>
    </border>
    <border>
      <left style="thin">
        <color rgb="FFC9CFDA"/>
      </left>
      <right style="thin">
        <color rgb="FFC9CFDA"/>
      </right>
      <top style="thin">
        <color rgb="FFC9CFDA"/>
      </top>
      <bottom style="thin">
        <color rgb="FFC9CFDA"/>
      </bottom>
      <diagonal/>
    </border>
    <border>
      <left style="thin">
        <color rgb="FFD8DEE6"/>
      </left>
      <right style="thin">
        <color rgb="FFD8DEE6"/>
      </right>
      <top style="thin">
        <color rgb="FFD8DEE6"/>
      </top>
      <bottom style="thin">
        <color rgb="FFD8DEE6"/>
      </bottom>
      <diagonal/>
    </border>
    <border>
      <left style="thin">
        <color rgb="FFD6DCE4"/>
      </left>
      <right style="thin">
        <color rgb="FFD6DCE4"/>
      </right>
      <top style="thin">
        <color rgb="FFD6DCE4"/>
      </top>
      <bottom style="thin">
        <color rgb="FFD6DCE4"/>
      </bottom>
      <diagonal/>
    </border>
    <border>
      <left/>
      <right/>
      <top/>
      <bottom style="thin">
        <color rgb="FFC9CFDA"/>
      </bottom>
      <diagonal/>
    </border>
    <border>
      <left/>
      <right/>
      <top style="thin">
        <color rgb="FFC9CFDA"/>
      </top>
      <bottom/>
      <diagonal/>
    </border>
  </borders>
  <cellStyleXfs count="1">
    <xf numFmtId="0" fontId="0" fillId="0" borderId="0"/>
  </cellStyleXfs>
  <cellXfs count="168">
    <xf numFmtId="0" fontId="0" fillId="0" borderId="0" xfId="0"/>
    <xf numFmtId="0" fontId="44" fillId="0" borderId="0" xfId="0" applyFont="1" applyAlignment="1">
      <alignment horizontal="left" vertical="center"/>
    </xf>
    <xf numFmtId="0" fontId="1" fillId="0" borderId="0" xfId="0" applyFont="1" applyAlignment="1">
      <alignment horizontal="left" vertical="center"/>
    </xf>
    <xf numFmtId="0" fontId="2" fillId="0" borderId="0" xfId="0" applyFont="1" applyAlignment="1">
      <alignment horizontal="left" vertical="center" wrapText="1"/>
    </xf>
    <xf numFmtId="0" fontId="3" fillId="0" borderId="0" xfId="0" applyFont="1"/>
    <xf numFmtId="0" fontId="0" fillId="0" borderId="0" xfId="0" applyAlignment="1">
      <alignment horizontal="left" vertical="center"/>
    </xf>
    <xf numFmtId="0" fontId="4"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left" vertical="top" wrapText="1"/>
    </xf>
    <xf numFmtId="0" fontId="4" fillId="0" borderId="0" xfId="0" applyFont="1" applyAlignment="1">
      <alignment horizontal="left" vertical="top" wrapText="1"/>
    </xf>
    <xf numFmtId="0" fontId="2" fillId="0" borderId="0" xfId="0" applyFont="1"/>
    <xf numFmtId="0" fontId="2" fillId="0" borderId="0" xfId="0" applyFont="1" applyAlignment="1">
      <alignment horizontal="left" vertical="top" wrapText="1"/>
    </xf>
    <xf numFmtId="0" fontId="4" fillId="0" borderId="0" xfId="0" applyFont="1"/>
    <xf numFmtId="0" fontId="6" fillId="0" borderId="0" xfId="0" applyFont="1" applyAlignment="1">
      <alignment horizontal="left" vertical="center" wrapText="1"/>
    </xf>
    <xf numFmtId="0" fontId="2" fillId="0" borderId="0" xfId="0" applyFont="1" applyAlignment="1">
      <alignment vertical="center" wrapText="1"/>
    </xf>
    <xf numFmtId="0" fontId="6" fillId="0" borderId="0" xfId="0" applyFont="1" applyAlignment="1">
      <alignment vertical="center"/>
    </xf>
    <xf numFmtId="0" fontId="2" fillId="0" borderId="0" xfId="0" applyFont="1" applyAlignment="1">
      <alignment horizontal="left" vertical="center"/>
    </xf>
    <xf numFmtId="0" fontId="5" fillId="0" borderId="0" xfId="0" applyFont="1" applyAlignment="1">
      <alignment horizontal="left" vertical="center"/>
    </xf>
    <xf numFmtId="0" fontId="4" fillId="0" borderId="0" xfId="0" applyFont="1" applyAlignment="1">
      <alignment horizontal="left" vertical="center"/>
    </xf>
    <xf numFmtId="0" fontId="7" fillId="0" borderId="0" xfId="0" applyFont="1"/>
    <xf numFmtId="0" fontId="8" fillId="2" borderId="1" xfId="0" applyFont="1" applyFill="1" applyBorder="1" applyAlignment="1">
      <alignment horizontal="center" vertical="center"/>
    </xf>
    <xf numFmtId="0" fontId="9" fillId="0" borderId="0" xfId="0" applyFont="1" applyAlignment="1">
      <alignment horizontal="left" vertical="center"/>
    </xf>
    <xf numFmtId="0" fontId="9" fillId="0" borderId="0" xfId="0" applyFont="1"/>
    <xf numFmtId="0" fontId="10" fillId="0" borderId="0" xfId="0" applyFont="1"/>
    <xf numFmtId="0" fontId="6" fillId="0" borderId="0" xfId="0" applyFont="1"/>
    <xf numFmtId="0" fontId="11" fillId="0" borderId="0" xfId="0" applyFont="1"/>
    <xf numFmtId="0" fontId="13" fillId="0" borderId="0" xfId="0" applyFont="1"/>
    <xf numFmtId="0" fontId="19" fillId="4" borderId="2" xfId="0" applyFont="1" applyFill="1" applyBorder="1" applyAlignment="1">
      <alignment horizontal="left" vertical="center" indent="1"/>
    </xf>
    <xf numFmtId="0" fontId="20" fillId="0" borderId="2" xfId="0" applyFont="1" applyBorder="1" applyAlignment="1">
      <alignment horizontal="left" vertical="center" indent="1"/>
    </xf>
    <xf numFmtId="0" fontId="18" fillId="0" borderId="2" xfId="0" applyFont="1" applyBorder="1" applyAlignment="1">
      <alignment horizontal="left" vertical="center" indent="1"/>
    </xf>
    <xf numFmtId="0" fontId="21" fillId="0" borderId="2" xfId="0" applyFont="1" applyBorder="1" applyAlignment="1">
      <alignment horizontal="left" vertical="center" indent="1"/>
    </xf>
    <xf numFmtId="0" fontId="22" fillId="0" borderId="0" xfId="0" applyFont="1"/>
    <xf numFmtId="0" fontId="23" fillId="0" borderId="0" xfId="0" applyFont="1"/>
    <xf numFmtId="0" fontId="24" fillId="4" borderId="3" xfId="0" applyFont="1" applyFill="1" applyBorder="1" applyAlignment="1">
      <alignment horizontal="center" vertical="center"/>
    </xf>
    <xf numFmtId="0" fontId="7" fillId="0" borderId="3" xfId="0" applyFont="1" applyBorder="1" applyAlignment="1">
      <alignment horizontal="center" vertical="center"/>
    </xf>
    <xf numFmtId="0" fontId="25" fillId="0" borderId="3" xfId="0" applyFont="1" applyBorder="1" applyAlignment="1">
      <alignment horizontal="center" vertical="center"/>
    </xf>
    <xf numFmtId="0" fontId="2" fillId="0" borderId="3" xfId="0" applyFont="1" applyBorder="1" applyAlignment="1">
      <alignment horizontal="center" vertical="center"/>
    </xf>
    <xf numFmtId="0" fontId="7" fillId="5" borderId="3" xfId="0" applyFont="1" applyFill="1" applyBorder="1" applyAlignment="1">
      <alignment horizontal="center" vertical="center"/>
    </xf>
    <xf numFmtId="0" fontId="25" fillId="5" borderId="3" xfId="0" applyFont="1" applyFill="1" applyBorder="1" applyAlignment="1">
      <alignment horizontal="center" vertical="center"/>
    </xf>
    <xf numFmtId="0" fontId="2" fillId="5" borderId="3" xfId="0" applyFont="1" applyFill="1" applyBorder="1" applyAlignment="1">
      <alignment horizontal="center" vertical="center"/>
    </xf>
    <xf numFmtId="0" fontId="11" fillId="0" borderId="3" xfId="0" applyFont="1" applyBorder="1" applyAlignment="1">
      <alignment horizontal="center" vertical="center"/>
    </xf>
    <xf numFmtId="0" fontId="11" fillId="5" borderId="3" xfId="0" applyFont="1" applyFill="1" applyBorder="1" applyAlignment="1">
      <alignment horizontal="center" vertical="center"/>
    </xf>
    <xf numFmtId="0" fontId="26" fillId="0" borderId="0" xfId="0" applyFont="1"/>
    <xf numFmtId="0" fontId="25" fillId="0" borderId="0" xfId="0" applyFont="1"/>
    <xf numFmtId="0" fontId="29" fillId="0" borderId="0" xfId="0" applyFont="1" applyAlignment="1">
      <alignment horizontal="center" vertical="center" wrapText="1"/>
    </xf>
    <xf numFmtId="0" fontId="31" fillId="6" borderId="1" xfId="0" applyFont="1" applyFill="1" applyBorder="1" applyAlignment="1">
      <alignment horizontal="center" vertical="center"/>
    </xf>
    <xf numFmtId="0" fontId="32" fillId="0" borderId="1" xfId="0" applyFont="1" applyBorder="1" applyAlignment="1">
      <alignment horizontal="center" vertical="center"/>
    </xf>
    <xf numFmtId="0" fontId="33" fillId="0" borderId="1" xfId="0" applyFont="1" applyBorder="1" applyAlignment="1">
      <alignment horizontal="left" vertical="center"/>
    </xf>
    <xf numFmtId="1" fontId="34" fillId="0" borderId="1" xfId="0" applyNumberFormat="1" applyFont="1" applyBorder="1" applyAlignment="1">
      <alignment horizontal="center" vertical="center"/>
    </xf>
    <xf numFmtId="0" fontId="35" fillId="0" borderId="1" xfId="0" applyFont="1" applyBorder="1" applyAlignment="1">
      <alignment horizontal="center" vertical="center"/>
    </xf>
    <xf numFmtId="9" fontId="35" fillId="0" borderId="1" xfId="0" applyNumberFormat="1" applyFont="1" applyBorder="1" applyAlignment="1">
      <alignment horizontal="center" vertical="center"/>
    </xf>
    <xf numFmtId="1" fontId="35" fillId="0" borderId="1" xfId="0" applyNumberFormat="1" applyFont="1" applyBorder="1" applyAlignment="1">
      <alignment horizontal="center" vertical="center"/>
    </xf>
    <xf numFmtId="0" fontId="1" fillId="0" borderId="0" xfId="0" applyFont="1"/>
    <xf numFmtId="0" fontId="4" fillId="3" borderId="3" xfId="0" applyFont="1" applyFill="1" applyBorder="1" applyAlignment="1">
      <alignment horizontal="center" vertical="center"/>
    </xf>
    <xf numFmtId="0" fontId="7" fillId="5" borderId="3" xfId="0" applyFont="1" applyFill="1" applyBorder="1" applyAlignment="1">
      <alignment horizontal="left" vertical="center"/>
    </xf>
    <xf numFmtId="0" fontId="37" fillId="0" borderId="3" xfId="0" applyFont="1" applyBorder="1" applyAlignment="1">
      <alignment horizontal="left" vertical="center"/>
    </xf>
    <xf numFmtId="0" fontId="2" fillId="0" borderId="3" xfId="0" applyFont="1" applyBorder="1" applyAlignment="1">
      <alignment horizontal="left" vertical="center"/>
    </xf>
    <xf numFmtId="9" fontId="2" fillId="0" borderId="3" xfId="0" applyNumberFormat="1" applyFont="1" applyBorder="1" applyAlignment="1">
      <alignment horizontal="center" vertical="center"/>
    </xf>
    <xf numFmtId="1" fontId="2" fillId="0" borderId="3" xfId="0" applyNumberFormat="1" applyFont="1" applyBorder="1" applyAlignment="1">
      <alignment horizontal="center" vertical="center"/>
    </xf>
    <xf numFmtId="1" fontId="37" fillId="0" borderId="3" xfId="0" applyNumberFormat="1" applyFont="1" applyBorder="1" applyAlignment="1">
      <alignment horizontal="left" vertical="center"/>
    </xf>
    <xf numFmtId="0" fontId="2" fillId="5" borderId="3" xfId="0" applyFont="1" applyFill="1" applyBorder="1" applyAlignment="1">
      <alignment horizontal="left" vertical="center"/>
    </xf>
    <xf numFmtId="9" fontId="2" fillId="5" borderId="3" xfId="0" applyNumberFormat="1" applyFont="1" applyFill="1" applyBorder="1" applyAlignment="1">
      <alignment horizontal="center" vertical="center"/>
    </xf>
    <xf numFmtId="1" fontId="2" fillId="5" borderId="3" xfId="0" applyNumberFormat="1" applyFont="1" applyFill="1" applyBorder="1" applyAlignment="1">
      <alignment horizontal="center" vertical="center"/>
    </xf>
    <xf numFmtId="9" fontId="37" fillId="0" borderId="3" xfId="0" applyNumberFormat="1" applyFont="1" applyBorder="1" applyAlignment="1">
      <alignment horizontal="left" vertical="center"/>
    </xf>
    <xf numFmtId="0" fontId="7" fillId="5" borderId="3" xfId="0" applyFont="1" applyFill="1" applyBorder="1"/>
    <xf numFmtId="0" fontId="37" fillId="0" borderId="3" xfId="0" applyFont="1" applyBorder="1"/>
    <xf numFmtId="0" fontId="25" fillId="0" borderId="3" xfId="0" applyFont="1" applyBorder="1"/>
    <xf numFmtId="0" fontId="38" fillId="0" borderId="3" xfId="0" applyFont="1" applyBorder="1"/>
    <xf numFmtId="0" fontId="39" fillId="0" borderId="0" xfId="0" applyFont="1"/>
    <xf numFmtId="0" fontId="40" fillId="7" borderId="1" xfId="0" applyFont="1" applyFill="1" applyBorder="1" applyAlignment="1">
      <alignment horizontal="center" vertical="center"/>
    </xf>
    <xf numFmtId="164" fontId="35" fillId="0" borderId="1" xfId="0" applyNumberFormat="1" applyFont="1" applyBorder="1" applyAlignment="1">
      <alignment horizontal="center" vertical="center"/>
    </xf>
    <xf numFmtId="0" fontId="41" fillId="0" borderId="0" xfId="0" applyFont="1"/>
    <xf numFmtId="0" fontId="42" fillId="0" borderId="0" xfId="0" applyFont="1"/>
    <xf numFmtId="0" fontId="43" fillId="0" borderId="0" xfId="0" applyFont="1"/>
    <xf numFmtId="0" fontId="45" fillId="4" borderId="2" xfId="0" applyFont="1" applyFill="1" applyBorder="1" applyAlignment="1">
      <alignment horizontal="center" vertical="center"/>
    </xf>
    <xf numFmtId="0" fontId="45" fillId="4" borderId="2" xfId="0" applyFont="1" applyFill="1" applyBorder="1" applyAlignment="1">
      <alignment horizontal="center" textRotation="90"/>
    </xf>
    <xf numFmtId="0" fontId="46" fillId="0" borderId="2" xfId="0" applyFont="1" applyBorder="1" applyAlignment="1">
      <alignment horizontal="left" vertical="center"/>
    </xf>
    <xf numFmtId="0" fontId="47" fillId="0" borderId="2" xfId="0" applyFont="1" applyBorder="1" applyAlignment="1">
      <alignment horizontal="center" vertical="center"/>
    </xf>
    <xf numFmtId="0" fontId="48" fillId="0" borderId="2" xfId="0" applyFont="1" applyBorder="1" applyAlignment="1">
      <alignment horizontal="center" vertical="center"/>
    </xf>
    <xf numFmtId="0" fontId="49" fillId="3" borderId="2" xfId="0" applyFont="1" applyFill="1" applyBorder="1" applyAlignment="1">
      <alignment horizontal="center" vertical="center"/>
    </xf>
    <xf numFmtId="9" fontId="47" fillId="0" borderId="2" xfId="0" applyNumberFormat="1" applyFont="1" applyBorder="1" applyAlignment="1">
      <alignment horizontal="center" vertical="center"/>
    </xf>
    <xf numFmtId="0" fontId="45" fillId="4" borderId="2" xfId="0" applyFont="1" applyFill="1" applyBorder="1" applyAlignment="1">
      <alignment horizontal="left" vertical="center"/>
    </xf>
    <xf numFmtId="1" fontId="47" fillId="0" borderId="2" xfId="0" applyNumberFormat="1" applyFont="1" applyBorder="1" applyAlignment="1">
      <alignment horizontal="center" vertical="center"/>
    </xf>
    <xf numFmtId="1" fontId="0" fillId="0" borderId="0" xfId="0" applyNumberFormat="1"/>
    <xf numFmtId="0" fontId="2" fillId="3" borderId="3" xfId="0" applyFont="1" applyFill="1" applyBorder="1" applyAlignment="1">
      <alignment horizontal="left" vertical="center"/>
    </xf>
    <xf numFmtId="0" fontId="2" fillId="3" borderId="3" xfId="0" applyFont="1" applyFill="1" applyBorder="1" applyAlignment="1">
      <alignment horizontal="center" vertical="center"/>
    </xf>
    <xf numFmtId="0" fontId="26" fillId="0" borderId="3" xfId="0" applyFont="1" applyBorder="1" applyAlignment="1">
      <alignment horizontal="left" vertical="center"/>
    </xf>
    <xf numFmtId="0" fontId="26" fillId="5" borderId="3" xfId="0" applyFont="1" applyFill="1" applyBorder="1" applyAlignment="1">
      <alignment horizontal="left" vertical="center"/>
    </xf>
    <xf numFmtId="0" fontId="50" fillId="4" borderId="3" xfId="0" applyFont="1" applyFill="1" applyBorder="1" applyAlignment="1">
      <alignment horizontal="center" vertical="center"/>
    </xf>
    <xf numFmtId="0" fontId="25" fillId="5" borderId="3" xfId="0" applyFont="1" applyFill="1" applyBorder="1" applyAlignment="1">
      <alignment horizontal="left" vertical="center"/>
    </xf>
    <xf numFmtId="0" fontId="37" fillId="8" borderId="3" xfId="0" applyFont="1" applyFill="1" applyBorder="1" applyAlignment="1">
      <alignment horizontal="left" vertical="center"/>
    </xf>
    <xf numFmtId="0" fontId="13" fillId="8" borderId="3" xfId="0" applyFont="1" applyFill="1" applyBorder="1"/>
    <xf numFmtId="0" fontId="37" fillId="9" borderId="3" xfId="0" applyFont="1" applyFill="1" applyBorder="1" applyAlignment="1">
      <alignment horizontal="left" vertical="center"/>
    </xf>
    <xf numFmtId="0" fontId="13" fillId="9" borderId="3" xfId="0" applyFont="1" applyFill="1" applyBorder="1"/>
    <xf numFmtId="9" fontId="13" fillId="9" borderId="3" xfId="0" applyNumberFormat="1" applyFont="1" applyFill="1" applyBorder="1"/>
    <xf numFmtId="1" fontId="13" fillId="9" borderId="3" xfId="0" applyNumberFormat="1" applyFont="1" applyFill="1" applyBorder="1"/>
    <xf numFmtId="9" fontId="13" fillId="8" borderId="3" xfId="0" applyNumberFormat="1" applyFont="1" applyFill="1" applyBorder="1"/>
    <xf numFmtId="1" fontId="13" fillId="8" borderId="3" xfId="0" applyNumberFormat="1" applyFont="1" applyFill="1" applyBorder="1"/>
    <xf numFmtId="9" fontId="13" fillId="0" borderId="0" xfId="0" applyNumberFormat="1" applyFont="1"/>
    <xf numFmtId="1" fontId="13" fillId="0" borderId="0" xfId="0" applyNumberFormat="1" applyFont="1"/>
    <xf numFmtId="9" fontId="24" fillId="4" borderId="3" xfId="0" applyNumberFormat="1" applyFont="1" applyFill="1" applyBorder="1" applyAlignment="1">
      <alignment horizontal="center" vertical="center"/>
    </xf>
    <xf numFmtId="0" fontId="25" fillId="3" borderId="3" xfId="0" applyFont="1" applyFill="1" applyBorder="1" applyAlignment="1">
      <alignment horizontal="center" vertical="center"/>
    </xf>
    <xf numFmtId="0" fontId="25" fillId="3" borderId="3" xfId="0" applyFont="1" applyFill="1" applyBorder="1" applyAlignment="1">
      <alignment horizontal="left" vertical="center"/>
    </xf>
    <xf numFmtId="9" fontId="25" fillId="3" borderId="3" xfId="0" applyNumberFormat="1" applyFont="1" applyFill="1" applyBorder="1" applyAlignment="1">
      <alignment horizontal="center" vertical="center"/>
    </xf>
    <xf numFmtId="0" fontId="37" fillId="0" borderId="3" xfId="0" applyFont="1" applyBorder="1" applyAlignment="1">
      <alignment horizontal="center" vertical="center"/>
    </xf>
    <xf numFmtId="9" fontId="37" fillId="0" borderId="3" xfId="0" applyNumberFormat="1" applyFont="1" applyBorder="1" applyAlignment="1">
      <alignment horizontal="center" vertical="center"/>
    </xf>
    <xf numFmtId="0" fontId="51" fillId="0" borderId="0" xfId="0" applyFont="1"/>
    <xf numFmtId="0" fontId="52" fillId="0" borderId="3" xfId="0" applyFont="1" applyBorder="1" applyAlignment="1">
      <alignment horizontal="center" vertical="center"/>
    </xf>
    <xf numFmtId="0" fontId="53" fillId="4" borderId="3" xfId="0" applyFont="1" applyFill="1" applyBorder="1" applyAlignment="1">
      <alignment horizontal="center" vertical="center"/>
    </xf>
    <xf numFmtId="0" fontId="54" fillId="4" borderId="3" xfId="0" applyFont="1" applyFill="1" applyBorder="1" applyAlignment="1">
      <alignment horizontal="center" textRotation="90"/>
    </xf>
    <xf numFmtId="9" fontId="55" fillId="0" borderId="3" xfId="0" applyNumberFormat="1" applyFont="1" applyBorder="1" applyAlignment="1">
      <alignment horizontal="center" vertical="center"/>
    </xf>
    <xf numFmtId="0" fontId="35" fillId="10" borderId="1" xfId="0" applyFont="1" applyFill="1" applyBorder="1" applyAlignment="1" applyProtection="1">
      <alignment horizontal="center" vertical="center"/>
      <protection locked="0"/>
    </xf>
    <xf numFmtId="165" fontId="35" fillId="10" borderId="1" xfId="0" applyNumberFormat="1" applyFont="1" applyFill="1" applyBorder="1" applyAlignment="1" applyProtection="1">
      <alignment horizontal="center" vertical="center"/>
      <protection locked="0"/>
    </xf>
    <xf numFmtId="0" fontId="35" fillId="10" borderId="1" xfId="0" applyFont="1" applyFill="1" applyBorder="1" applyAlignment="1" applyProtection="1">
      <alignment horizontal="left" vertical="center"/>
      <protection locked="0"/>
    </xf>
    <xf numFmtId="164" fontId="35" fillId="11" borderId="1" xfId="0" applyNumberFormat="1" applyFont="1" applyFill="1" applyBorder="1" applyAlignment="1">
      <alignment horizontal="center" vertical="center"/>
    </xf>
    <xf numFmtId="0" fontId="35" fillId="11" borderId="1" xfId="0" applyFont="1" applyFill="1" applyBorder="1" applyAlignment="1">
      <alignment horizontal="center" vertical="center"/>
    </xf>
    <xf numFmtId="166" fontId="35" fillId="11" borderId="1" xfId="0" applyNumberFormat="1" applyFont="1" applyFill="1" applyBorder="1" applyAlignment="1">
      <alignment horizontal="center" vertical="center"/>
    </xf>
    <xf numFmtId="167" fontId="35" fillId="11" borderId="1" xfId="0" applyNumberFormat="1" applyFont="1" applyFill="1" applyBorder="1" applyAlignment="1">
      <alignment horizontal="center" vertical="center"/>
    </xf>
    <xf numFmtId="168" fontId="35" fillId="11" borderId="1" xfId="0" applyNumberFormat="1" applyFont="1" applyFill="1" applyBorder="1" applyAlignment="1">
      <alignment horizontal="center" vertical="center"/>
    </xf>
    <xf numFmtId="169" fontId="35" fillId="11" borderId="1" xfId="0" applyNumberFormat="1" applyFont="1" applyFill="1" applyBorder="1" applyAlignment="1">
      <alignment horizontal="center" vertical="center"/>
    </xf>
    <xf numFmtId="170" fontId="0" fillId="0" borderId="0" xfId="0" applyNumberFormat="1"/>
    <xf numFmtId="0" fontId="58" fillId="0" borderId="0" xfId="0" applyFont="1" applyAlignment="1">
      <alignment horizontal="center" vertical="center"/>
    </xf>
    <xf numFmtId="0" fontId="59" fillId="0" borderId="2" xfId="0" applyFont="1" applyBorder="1" applyAlignment="1">
      <alignment horizontal="left" vertical="center"/>
    </xf>
    <xf numFmtId="0" fontId="60" fillId="12" borderId="2" xfId="0" applyFont="1" applyFill="1" applyBorder="1" applyAlignment="1">
      <alignment horizontal="center" vertical="center"/>
    </xf>
    <xf numFmtId="0" fontId="43" fillId="0" borderId="2" xfId="0" applyFont="1" applyBorder="1" applyAlignment="1">
      <alignment horizontal="center" vertical="center"/>
    </xf>
    <xf numFmtId="0" fontId="61" fillId="0" borderId="2" xfId="0" applyFont="1" applyBorder="1" applyAlignment="1">
      <alignment horizontal="left" vertical="center"/>
    </xf>
    <xf numFmtId="171" fontId="0" fillId="0" borderId="0" xfId="0" applyNumberFormat="1"/>
    <xf numFmtId="165" fontId="0" fillId="0" borderId="0" xfId="0" applyNumberFormat="1"/>
    <xf numFmtId="164" fontId="0" fillId="0" borderId="0" xfId="0" applyNumberFormat="1"/>
    <xf numFmtId="0" fontId="66" fillId="0" borderId="0" xfId="0" applyFont="1" applyAlignment="1">
      <alignment horizontal="left" vertical="top"/>
    </xf>
    <xf numFmtId="0" fontId="67" fillId="0" borderId="0" xfId="0" applyFont="1" applyAlignment="1">
      <alignment horizontal="left" vertical="top"/>
    </xf>
    <xf numFmtId="14" fontId="0" fillId="0" borderId="0" xfId="0" applyNumberFormat="1"/>
    <xf numFmtId="0" fontId="70" fillId="13" borderId="0" xfId="0" applyFont="1" applyFill="1"/>
    <xf numFmtId="0" fontId="71" fillId="0" borderId="0" xfId="0" applyFont="1"/>
    <xf numFmtId="0" fontId="71" fillId="14" borderId="0" xfId="0" applyFont="1" applyFill="1"/>
    <xf numFmtId="0" fontId="28" fillId="0" borderId="0" xfId="0" applyFont="1" applyAlignment="1">
      <alignment horizontal="left" vertical="center" shrinkToFit="1"/>
    </xf>
    <xf numFmtId="0" fontId="27" fillId="0" borderId="0" xfId="0" applyFont="1" applyAlignment="1">
      <alignment horizontal="left" vertical="center" wrapText="1"/>
    </xf>
    <xf numFmtId="0" fontId="30" fillId="0" borderId="4" xfId="0" applyFont="1" applyBorder="1" applyAlignment="1">
      <alignment horizontal="left"/>
    </xf>
    <xf numFmtId="0" fontId="36" fillId="0" borderId="5" xfId="0" applyFont="1" applyBorder="1" applyAlignment="1">
      <alignment horizontal="left" vertical="center"/>
    </xf>
    <xf numFmtId="0" fontId="72" fillId="0" borderId="0" xfId="0" applyFont="1" applyAlignment="1">
      <alignment horizontal="center" vertical="center" shrinkToFit="1"/>
    </xf>
    <xf numFmtId="0" fontId="0" fillId="0" borderId="0" xfId="0" applyAlignment="1">
      <alignment vertical="center"/>
    </xf>
    <xf numFmtId="0" fontId="73" fillId="13" borderId="0" xfId="0" applyFont="1" applyFill="1"/>
    <xf numFmtId="0" fontId="27" fillId="0" borderId="0" xfId="0" applyFont="1" applyAlignment="1">
      <alignment horizontal="left" vertical="center"/>
    </xf>
    <xf numFmtId="0" fontId="62" fillId="0" borderId="0" xfId="0" applyFont="1" applyAlignment="1">
      <alignment horizontal="center" vertical="center"/>
    </xf>
    <xf numFmtId="0" fontId="0" fillId="0" borderId="0" xfId="0"/>
    <xf numFmtId="0" fontId="63" fillId="0" borderId="0" xfId="0" applyFont="1" applyAlignment="1">
      <alignment horizontal="center" vertical="center"/>
    </xf>
    <xf numFmtId="0" fontId="68" fillId="0" borderId="0" xfId="0" applyFont="1" applyAlignment="1">
      <alignment horizontal="left" vertical="top" wrapText="1"/>
    </xf>
    <xf numFmtId="0" fontId="64" fillId="4" borderId="0" xfId="0" applyFont="1" applyFill="1" applyAlignment="1">
      <alignment horizontal="left" vertical="center" indent="1"/>
    </xf>
    <xf numFmtId="0" fontId="65" fillId="0" borderId="0" xfId="0" applyFont="1" applyAlignment="1">
      <alignment horizontal="left" vertical="top" wrapText="1"/>
    </xf>
    <xf numFmtId="0" fontId="18" fillId="0" borderId="0" xfId="0" applyFont="1" applyAlignment="1">
      <alignment horizontal="left" indent="1"/>
    </xf>
    <xf numFmtId="0" fontId="12" fillId="0" borderId="0" xfId="0" applyFont="1" applyAlignment="1">
      <alignment horizontal="left" vertical="center" indent="1"/>
    </xf>
    <xf numFmtId="0" fontId="14" fillId="0" borderId="0" xfId="0" applyFont="1" applyAlignment="1">
      <alignment horizontal="left" vertical="center" wrapText="1" indent="1"/>
    </xf>
    <xf numFmtId="0" fontId="15" fillId="3" borderId="0" xfId="0" applyFont="1" applyFill="1" applyAlignment="1">
      <alignment horizontal="left" vertical="center" indent="1"/>
    </xf>
    <xf numFmtId="0" fontId="16" fillId="3" borderId="0" xfId="0" applyFont="1" applyFill="1" applyAlignment="1">
      <alignment horizontal="left" vertical="center"/>
    </xf>
    <xf numFmtId="0" fontId="17" fillId="3" borderId="0" xfId="0" applyFont="1" applyFill="1" applyAlignment="1">
      <alignment horizontal="left" vertical="center" indent="1"/>
    </xf>
    <xf numFmtId="0" fontId="28" fillId="0" borderId="0" xfId="0" applyFont="1" applyAlignment="1">
      <alignment horizontal="left" vertical="center" wrapText="1"/>
    </xf>
    <xf numFmtId="0" fontId="28" fillId="0" borderId="4" xfId="0" applyFont="1" applyBorder="1" applyAlignment="1">
      <alignment horizontal="left" vertical="center"/>
    </xf>
    <xf numFmtId="0" fontId="18" fillId="0" borderId="0" xfId="0" applyFont="1"/>
    <xf numFmtId="0" fontId="14" fillId="0" borderId="0" xfId="0" applyFont="1"/>
    <xf numFmtId="0" fontId="44" fillId="0" borderId="0" xfId="0" applyFont="1" applyAlignment="1">
      <alignment horizontal="left" vertical="center"/>
    </xf>
    <xf numFmtId="0" fontId="23" fillId="0" borderId="0" xfId="0" applyFont="1" applyAlignment="1">
      <alignment horizontal="left" vertical="center" wrapText="1"/>
    </xf>
    <xf numFmtId="0" fontId="56" fillId="0" borderId="0" xfId="0" applyFont="1"/>
    <xf numFmtId="0" fontId="57" fillId="0" borderId="0" xfId="0" applyFont="1"/>
    <xf numFmtId="0" fontId="69" fillId="0" borderId="0" xfId="0" applyFont="1"/>
    <xf numFmtId="0" fontId="0" fillId="0" borderId="0" xfId="0" applyAlignment="1">
      <alignment horizontal="left"/>
    </xf>
    <xf numFmtId="0" fontId="71" fillId="0" borderId="0" xfId="0" applyFont="1"/>
    <xf numFmtId="0" fontId="0" fillId="0" borderId="0" xfId="0" applyAlignment="1">
      <alignment horizontal="center"/>
    </xf>
    <xf numFmtId="0" fontId="0" fillId="0" borderId="0" xfId="0" applyAlignment="1">
      <alignment horizontal="left" vertical="center" wrapText="1" shrinkToFit="1"/>
    </xf>
  </cellXfs>
  <cellStyles count="1">
    <cellStyle name="Normal" xfId="0" builtinId="0"/>
  </cellStyles>
  <dxfs count="40">
    <dxf>
      <fill>
        <patternFill>
          <bgColor rgb="FFFBEEC8"/>
        </patternFill>
      </fill>
    </dxf>
    <dxf>
      <fill>
        <patternFill>
          <bgColor rgb="FFF6CFCF"/>
        </patternFill>
      </fill>
    </dxf>
    <dxf>
      <fill>
        <patternFill>
          <bgColor rgb="FFC9E8D2"/>
        </patternFill>
      </fill>
    </dxf>
    <dxf>
      <fill>
        <patternFill>
          <bgColor rgb="FFFBEEC8"/>
        </patternFill>
      </fill>
    </dxf>
    <dxf>
      <fill>
        <patternFill>
          <bgColor rgb="FFF6CFCF"/>
        </patternFill>
      </fill>
    </dxf>
    <dxf>
      <fill>
        <patternFill>
          <bgColor rgb="FFC9E8D2"/>
        </patternFill>
      </fill>
    </dxf>
    <dxf>
      <font>
        <b/>
        <sz val="9"/>
        <color rgb="FF7F1D1D"/>
        <name val="Calibri"/>
        <charset val="1"/>
      </font>
      <fill>
        <patternFill>
          <bgColor rgb="FFF8696B"/>
        </patternFill>
      </fill>
    </dxf>
    <dxf>
      <font>
        <b/>
        <sz val="9"/>
        <color rgb="FF14532D"/>
        <name val="Calibri"/>
        <charset val="1"/>
      </font>
      <fill>
        <patternFill>
          <bgColor rgb="FF63BE7B"/>
        </patternFill>
      </fill>
    </dxf>
    <dxf>
      <fill>
        <patternFill>
          <bgColor rgb="FFFFC7CE"/>
        </patternFill>
      </fill>
    </dxf>
    <dxf>
      <fill>
        <patternFill>
          <bgColor rgb="FFC6EFCE"/>
        </patternFill>
      </fill>
    </dxf>
    <dxf>
      <fill>
        <patternFill>
          <bgColor rgb="FFFFEB9C"/>
        </patternFill>
      </fill>
    </dxf>
    <dxf>
      <fill>
        <patternFill>
          <bgColor rgb="FFC6EFCE"/>
        </patternFill>
      </fill>
    </dxf>
    <dxf>
      <fill>
        <patternFill>
          <bgColor rgb="FFFFEB9C"/>
        </patternFill>
      </fill>
    </dxf>
    <dxf>
      <fill>
        <patternFill>
          <bgColor rgb="FFECECEC"/>
        </patternFill>
      </fill>
    </dxf>
    <dxf>
      <fill>
        <patternFill>
          <bgColor rgb="FFC6EFCE"/>
        </patternFill>
      </fill>
    </dxf>
    <dxf>
      <fill>
        <patternFill>
          <bgColor rgb="FF63BE7B"/>
        </patternFill>
      </fill>
    </dxf>
    <dxf>
      <fill>
        <patternFill>
          <bgColor rgb="FFFFEB9C"/>
        </patternFill>
      </fill>
    </dxf>
    <dxf>
      <fill>
        <patternFill>
          <bgColor rgb="FFFCD5B4"/>
        </patternFill>
      </fill>
    </dxf>
    <dxf>
      <fill>
        <patternFill>
          <bgColor rgb="FFF8696B"/>
        </patternFill>
      </fill>
    </dxf>
    <dxf>
      <fill>
        <patternFill>
          <bgColor rgb="FFFFEB84"/>
        </patternFill>
      </fill>
    </dxf>
    <dxf>
      <fill>
        <patternFill>
          <bgColor rgb="FFFFC7CE"/>
        </patternFill>
      </fill>
    </dxf>
    <dxf>
      <fill>
        <patternFill>
          <bgColor rgb="FFC6EFCE"/>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F5F5F5"/>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D9D9D9"/>
        </patternFill>
      </fill>
    </dxf>
    <dxf>
      <fill>
        <patternFill>
          <bgColor rgb="FFFFC7CE"/>
        </patternFill>
      </fill>
    </dxf>
    <dxf>
      <fill>
        <patternFill>
          <bgColor rgb="FFFFEB9C"/>
        </patternFill>
      </fill>
    </dxf>
    <dxf>
      <fill>
        <patternFill>
          <bgColor rgb="FFC6EFCE"/>
        </patternFill>
      </fill>
    </dxf>
    <dxf>
      <fill>
        <patternFill>
          <bgColor rgb="FFD9D9D9"/>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FBF4E1"/>
      <rgbColor rgb="FF0000FF"/>
      <rgbColor rgb="FFFFEB84"/>
      <rgbColor rgb="FFFF00FF"/>
      <rgbColor rgb="FFECECEC"/>
      <rgbColor rgb="FF800000"/>
      <rgbColor rgb="FF14532D"/>
      <rgbColor rgb="FF000080"/>
      <rgbColor rgb="FF7A5A12"/>
      <rgbColor rgb="FF800080"/>
      <rgbColor rgb="FFF4F7FB"/>
      <rgbColor rgb="FFD9D9D9"/>
      <rgbColor rgb="FF6B7280"/>
      <rgbColor rgb="FFD8DEE6"/>
      <rgbColor rgb="FFB23A48"/>
      <rgbColor rgb="FFFFF8E1"/>
      <rgbColor rgb="FFDDEBF7"/>
      <rgbColor rgb="FF660066"/>
      <rgbColor rgb="FFF8696B"/>
      <rgbColor rgb="FF0066CC"/>
      <rgbColor rgb="FFC9CFDA"/>
      <rgbColor rgb="FF000080"/>
      <rgbColor rgb="FFFF00FF"/>
      <rgbColor rgb="FFFCE9B8"/>
      <rgbColor rgb="FFEEF2F7"/>
      <rgbColor rgb="FF800080"/>
      <rgbColor rgb="FF800000"/>
      <rgbColor rgb="FFFBF7EC"/>
      <rgbColor rgb="FF0000FF"/>
      <rgbColor rgb="FFF2F2F2"/>
      <rgbColor rgb="FFEAF0F7"/>
      <rgbColor rgb="FFC6EFCE"/>
      <rgbColor rgb="FFFFEB9C"/>
      <rgbColor rgb="FFD6DCE4"/>
      <rgbColor rgb="FFFFC7CE"/>
      <rgbColor rgb="FFF6CFCF"/>
      <rgbColor rgb="FFFCD5B4"/>
      <rgbColor rgb="FF4A6FA5"/>
      <rgbColor rgb="FF63BE7B"/>
      <rgbColor rgb="FFC9E8D2"/>
      <rgbColor rgb="FFFBEEC8"/>
      <rgbColor rgb="FFC9A227"/>
      <rgbColor rgb="FFFFF2CC"/>
      <rgbColor rgb="FF5D6F81"/>
      <rgbColor rgb="FFB0892F"/>
      <rgbColor rgb="FF1B2A4A"/>
      <rgbColor rgb="FF2F8F5B"/>
      <rgbColor rgb="FF0D2240"/>
      <rgbColor rgb="FF1A1A1A"/>
      <rgbColor rgb="FF7F1D1D"/>
      <rgbColor rgb="FFF5F5F5"/>
      <rgbColor rgb="FF333399"/>
      <rgbColor rgb="FF2330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SportVoteAdd" displayName="tblSportVoteAdd" ref="A6:R26" totalsRowShown="0">
  <autoFilter ref="A6:R26" xr:uid="{00000000-0009-0000-0100-000001000000}"/>
  <tableColumns count="18">
    <tableColumn id="1" xr3:uid="{00000000-0010-0000-0000-000001000000}" name="Suggested sport"/>
    <tableColumn id="2" xr3:uid="{00000000-0010-0000-0000-000002000000}" name="Aaron"/>
    <tableColumn id="3" xr3:uid="{00000000-0010-0000-0000-000003000000}" name="Beau"/>
    <tableColumn id="4" xr3:uid="{00000000-0010-0000-0000-000004000000}" name="Chase"/>
    <tableColumn id="5" xr3:uid="{00000000-0010-0000-0000-000005000000}" name="David"/>
    <tableColumn id="6" xr3:uid="{00000000-0010-0000-0000-000006000000}" name="Josh"/>
    <tableColumn id="7" xr3:uid="{00000000-0010-0000-0000-000007000000}" name="Shawn"/>
    <tableColumn id="8" xr3:uid="{00000000-0010-0000-0000-000008000000}" name="Simon"/>
    <tableColumn id="9" xr3:uid="{00000000-0010-0000-0000-000009000000}" name="Daniel (Ferret)"/>
    <tableColumn id="10" xr3:uid="{00000000-0010-0000-0000-00000A000000}" name="Dean B"/>
    <tableColumn id="11" xr3:uid="{00000000-0010-0000-0000-00000B000000}" name="Cody"/>
    <tableColumn id="12" xr3:uid="{00000000-0010-0000-0000-00000C000000}" name="Oscar"/>
    <tableColumn id="13" xr3:uid="{00000000-0010-0000-0000-00000D000000}" name="Dean M"/>
    <tableColumn id="14" xr3:uid="{00000000-0010-0000-0000-00000E000000}" name="Dylan A"/>
    <tableColumn id="15" xr3:uid="{00000000-0010-0000-0000-00000F000000}" name="Dylan S"/>
    <tableColumn id="16" xr3:uid="{00000000-0010-0000-0000-000010000000}" name="In favour"/>
    <tableColumn id="17" xr3:uid="{00000000-0010-0000-0000-000011000000}" name="Votes cast"/>
    <tableColumn id="18" xr3:uid="{00000000-0010-0000-0000-000012000000}" name="Outcom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SportVoteRemove" displayName="tblSportVoteRemove" ref="A30:R48" totalsRowShown="0">
  <autoFilter ref="A30:R48" xr:uid="{00000000-0009-0000-0100-000002000000}"/>
  <tableColumns count="18">
    <tableColumn id="1" xr3:uid="{00000000-0010-0000-0100-000001000000}" name="Current sport"/>
    <tableColumn id="2" xr3:uid="{00000000-0010-0000-0100-000002000000}" name="Aaron"/>
    <tableColumn id="3" xr3:uid="{00000000-0010-0000-0100-000003000000}" name="Beau"/>
    <tableColumn id="4" xr3:uid="{00000000-0010-0000-0100-000004000000}" name="Chase"/>
    <tableColumn id="5" xr3:uid="{00000000-0010-0000-0100-000005000000}" name="David"/>
    <tableColumn id="6" xr3:uid="{00000000-0010-0000-0100-000006000000}" name="Josh"/>
    <tableColumn id="7" xr3:uid="{00000000-0010-0000-0100-000007000000}" name="Shawn"/>
    <tableColumn id="8" xr3:uid="{00000000-0010-0000-0100-000008000000}" name="Simon"/>
    <tableColumn id="9" xr3:uid="{00000000-0010-0000-0100-000009000000}" name="Daniel (Ferret)"/>
    <tableColumn id="10" xr3:uid="{00000000-0010-0000-0100-00000A000000}" name="Dean B"/>
    <tableColumn id="11" xr3:uid="{00000000-0010-0000-0100-00000B000000}" name="Cody"/>
    <tableColumn id="12" xr3:uid="{00000000-0010-0000-0100-00000C000000}" name="Oscar"/>
    <tableColumn id="13" xr3:uid="{00000000-0010-0000-0100-00000D000000}" name="Dean M"/>
    <tableColumn id="14" xr3:uid="{00000000-0010-0000-0100-00000E000000}" name="Dylan A"/>
    <tableColumn id="15" xr3:uid="{00000000-0010-0000-0100-00000F000000}" name="Dylan S"/>
    <tableColumn id="16" xr3:uid="{00000000-0010-0000-0100-000010000000}" name="To remove"/>
    <tableColumn id="17" xr3:uid="{00000000-0010-0000-0100-000011000000}" name="Votes cast"/>
    <tableColumn id="18" xr3:uid="{00000000-0010-0000-0100-000012000000}" name="Outcom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9170B0-CCD1-EB47-B869-AFB99E6DC060}">
  <sheetPr>
    <tabColor rgb="FFC9A227"/>
  </sheetPr>
  <dimension ref="B1:D107"/>
  <sheetViews>
    <sheetView topLeftCell="A37" zoomScale="150" zoomScaleNormal="150" workbookViewId="0">
      <selection activeCell="C88" sqref="C88"/>
    </sheetView>
  </sheetViews>
  <sheetFormatPr baseColWidth="10" defaultColWidth="8.6640625" defaultRowHeight="15" x14ac:dyDescent="0.2"/>
  <cols>
    <col min="1" max="1" width="3" customWidth="1"/>
    <col min="2" max="2" width="93.33203125" customWidth="1"/>
    <col min="3" max="3" width="9" customWidth="1"/>
    <col min="4" max="4" width="88" customWidth="1"/>
  </cols>
  <sheetData>
    <row r="1" spans="2:4" ht="22.5" customHeight="1" x14ac:dyDescent="0.2">
      <c r="B1" s="2" t="s">
        <v>0</v>
      </c>
    </row>
    <row r="2" spans="2:4" ht="60" customHeight="1" x14ac:dyDescent="0.2">
      <c r="B2" s="3" t="s">
        <v>1</v>
      </c>
    </row>
    <row r="3" spans="2:4" ht="60" customHeight="1" x14ac:dyDescent="0.2">
      <c r="B3" s="3" t="s">
        <v>2</v>
      </c>
    </row>
    <row r="4" spans="2:4" ht="4.5" customHeight="1" x14ac:dyDescent="0.2">
      <c r="B4" s="4"/>
    </row>
    <row r="5" spans="2:4" s="5" customFormat="1" ht="19.5" customHeight="1" x14ac:dyDescent="0.2">
      <c r="B5" s="6" t="s">
        <v>3</v>
      </c>
      <c r="D5" s="7"/>
    </row>
    <row r="6" spans="2:4" ht="60" customHeight="1" x14ac:dyDescent="0.2">
      <c r="B6" s="3" t="s">
        <v>4</v>
      </c>
    </row>
    <row r="7" spans="2:4" ht="4.5" customHeight="1" x14ac:dyDescent="0.2"/>
    <row r="8" spans="2:4" ht="19.5" customHeight="1" x14ac:dyDescent="0.2">
      <c r="B8" s="6" t="s">
        <v>5</v>
      </c>
      <c r="D8" s="8"/>
    </row>
    <row r="9" spans="2:4" ht="60" customHeight="1" x14ac:dyDescent="0.2">
      <c r="B9" s="3" t="s">
        <v>6</v>
      </c>
    </row>
    <row r="10" spans="2:4" ht="3.75" customHeight="1" x14ac:dyDescent="0.2"/>
    <row r="11" spans="2:4" ht="19.5" customHeight="1" x14ac:dyDescent="0.2">
      <c r="B11" s="9" t="s">
        <v>7</v>
      </c>
      <c r="D11" s="8"/>
    </row>
    <row r="12" spans="2:4" ht="18" customHeight="1" x14ac:dyDescent="0.2">
      <c r="B12" s="10" t="s">
        <v>8</v>
      </c>
    </row>
    <row r="13" spans="2:4" ht="18" customHeight="1" x14ac:dyDescent="0.2">
      <c r="B13" s="10" t="s">
        <v>9</v>
      </c>
    </row>
    <row r="14" spans="2:4" ht="18" customHeight="1" x14ac:dyDescent="0.2">
      <c r="B14" s="10" t="s">
        <v>10</v>
      </c>
    </row>
    <row r="15" spans="2:4" ht="18" customHeight="1" x14ac:dyDescent="0.2">
      <c r="B15" s="11" t="s">
        <v>11</v>
      </c>
      <c r="D15" s="8"/>
    </row>
    <row r="16" spans="2:4" ht="4.5" customHeight="1" x14ac:dyDescent="0.2"/>
    <row r="17" spans="2:4" ht="15" customHeight="1" x14ac:dyDescent="0.2">
      <c r="B17" s="12" t="s">
        <v>12</v>
      </c>
    </row>
    <row r="18" spans="2:4" ht="24.75" customHeight="1" x14ac:dyDescent="0.2">
      <c r="B18" s="13" t="s">
        <v>13</v>
      </c>
      <c r="D18" s="14" t="s">
        <v>14</v>
      </c>
    </row>
    <row r="19" spans="2:4" ht="24.75" customHeight="1" x14ac:dyDescent="0.2">
      <c r="B19" s="15" t="s">
        <v>15</v>
      </c>
      <c r="D19" s="14" t="s">
        <v>16</v>
      </c>
    </row>
    <row r="20" spans="2:4" ht="24.75" customHeight="1" x14ac:dyDescent="0.2">
      <c r="B20" s="15" t="s">
        <v>17</v>
      </c>
      <c r="D20" s="14" t="s">
        <v>18</v>
      </c>
    </row>
    <row r="21" spans="2:4" ht="24.75" customHeight="1" x14ac:dyDescent="0.2">
      <c r="B21" s="15" t="s">
        <v>19</v>
      </c>
      <c r="D21" s="3" t="s">
        <v>20</v>
      </c>
    </row>
    <row r="22" spans="2:4" ht="24.75" customHeight="1" x14ac:dyDescent="0.2">
      <c r="B22" s="13" t="s">
        <v>21</v>
      </c>
      <c r="D22" s="3" t="s">
        <v>22</v>
      </c>
    </row>
    <row r="23" spans="2:4" ht="24.75" customHeight="1" x14ac:dyDescent="0.2">
      <c r="B23" s="15" t="s">
        <v>23</v>
      </c>
      <c r="D23" s="3" t="s">
        <v>24</v>
      </c>
    </row>
    <row r="24" spans="2:4" ht="24.75" customHeight="1" x14ac:dyDescent="0.2">
      <c r="B24" s="15" t="s">
        <v>25</v>
      </c>
      <c r="D24" s="3" t="s">
        <v>26</v>
      </c>
    </row>
    <row r="25" spans="2:4" ht="24.75" customHeight="1" x14ac:dyDescent="0.2">
      <c r="B25" s="15" t="s">
        <v>27</v>
      </c>
      <c r="D25" s="3" t="s">
        <v>28</v>
      </c>
    </row>
    <row r="26" spans="2:4" ht="24.75" customHeight="1" x14ac:dyDescent="0.2">
      <c r="B26" s="13" t="s">
        <v>29</v>
      </c>
      <c r="D26" s="3" t="s">
        <v>30</v>
      </c>
    </row>
    <row r="27" spans="2:4" ht="3.75" customHeight="1" x14ac:dyDescent="0.2"/>
    <row r="28" spans="2:4" ht="15" customHeight="1" x14ac:dyDescent="0.2">
      <c r="B28" s="12" t="s">
        <v>31</v>
      </c>
    </row>
    <row r="29" spans="2:4" ht="18" customHeight="1" x14ac:dyDescent="0.2">
      <c r="B29" s="10" t="s">
        <v>32</v>
      </c>
    </row>
    <row r="30" spans="2:4" ht="18" customHeight="1" x14ac:dyDescent="0.2">
      <c r="B30" s="10" t="s">
        <v>33</v>
      </c>
    </row>
    <row r="31" spans="2:4" ht="18" customHeight="1" x14ac:dyDescent="0.2">
      <c r="B31" s="16" t="s">
        <v>34</v>
      </c>
    </row>
    <row r="32" spans="2:4" ht="18" customHeight="1" x14ac:dyDescent="0.2">
      <c r="B32" s="16" t="s">
        <v>35</v>
      </c>
    </row>
    <row r="33" spans="2:4" ht="4.5" customHeight="1" x14ac:dyDescent="0.2">
      <c r="B33" s="17"/>
    </row>
    <row r="34" spans="2:4" ht="18" customHeight="1" x14ac:dyDescent="0.2">
      <c r="B34" s="18" t="s">
        <v>36</v>
      </c>
    </row>
    <row r="35" spans="2:4" ht="60" customHeight="1" x14ac:dyDescent="0.2">
      <c r="B35" s="3" t="s">
        <v>37</v>
      </c>
    </row>
    <row r="36" spans="2:4" ht="4.5" customHeight="1" x14ac:dyDescent="0.2">
      <c r="B36" s="17"/>
    </row>
    <row r="37" spans="2:4" ht="15" customHeight="1" x14ac:dyDescent="0.2">
      <c r="B37" s="18" t="s">
        <v>38</v>
      </c>
    </row>
    <row r="38" spans="2:4" ht="60" customHeight="1" x14ac:dyDescent="0.2">
      <c r="B38" s="3" t="s">
        <v>39</v>
      </c>
    </row>
    <row r="39" spans="2:4" ht="4.5" customHeight="1" x14ac:dyDescent="0.2"/>
    <row r="40" spans="2:4" ht="18" customHeight="1" x14ac:dyDescent="0.2">
      <c r="B40" s="12" t="s">
        <v>40</v>
      </c>
    </row>
    <row r="41" spans="2:4" ht="18" customHeight="1" x14ac:dyDescent="0.2">
      <c r="B41" s="19" t="s">
        <v>41</v>
      </c>
      <c r="C41" s="20">
        <v>1000</v>
      </c>
      <c r="D41" s="21" t="s">
        <v>42</v>
      </c>
    </row>
    <row r="42" spans="2:4" ht="18" customHeight="1" x14ac:dyDescent="0.2">
      <c r="B42" s="19" t="s">
        <v>43</v>
      </c>
      <c r="C42" s="20">
        <v>32</v>
      </c>
      <c r="D42" s="21" t="s">
        <v>44</v>
      </c>
    </row>
    <row r="43" spans="2:4" ht="18" customHeight="1" x14ac:dyDescent="0.2">
      <c r="B43" s="19" t="s">
        <v>45</v>
      </c>
      <c r="C43" s="20">
        <v>12</v>
      </c>
      <c r="D43" s="21" t="s">
        <v>46</v>
      </c>
    </row>
    <row r="44" spans="2:4" ht="18" customHeight="1" x14ac:dyDescent="0.2">
      <c r="B44" s="19" t="s">
        <v>47</v>
      </c>
      <c r="C44" s="20">
        <v>1</v>
      </c>
      <c r="D44" s="21" t="s">
        <v>48</v>
      </c>
    </row>
    <row r="45" spans="2:4" ht="18" customHeight="1" x14ac:dyDescent="0.2">
      <c r="B45" s="19" t="s">
        <v>49</v>
      </c>
      <c r="C45" s="20">
        <v>8</v>
      </c>
      <c r="D45" s="21" t="s">
        <v>50</v>
      </c>
    </row>
    <row r="46" spans="2:4" ht="18" customHeight="1" x14ac:dyDescent="0.2">
      <c r="B46" s="19" t="s">
        <v>51</v>
      </c>
      <c r="C46" s="20">
        <v>3</v>
      </c>
      <c r="D46" s="21" t="s">
        <v>52</v>
      </c>
    </row>
    <row r="47" spans="2:4" ht="18" customHeight="1" x14ac:dyDescent="0.2">
      <c r="B47" s="19" t="s">
        <v>53</v>
      </c>
      <c r="C47">
        <v>2</v>
      </c>
      <c r="D47" s="22" t="s">
        <v>54</v>
      </c>
    </row>
    <row r="48" spans="2:4" ht="18" customHeight="1" x14ac:dyDescent="0.2">
      <c r="B48" s="19" t="s">
        <v>55</v>
      </c>
      <c r="C48">
        <v>4</v>
      </c>
      <c r="D48" s="22" t="s">
        <v>56</v>
      </c>
    </row>
    <row r="49" spans="2:4" ht="18" customHeight="1" x14ac:dyDescent="0.2">
      <c r="B49" s="19" t="s">
        <v>57</v>
      </c>
      <c r="C49">
        <v>10</v>
      </c>
      <c r="D49" s="22" t="s">
        <v>58</v>
      </c>
    </row>
    <row r="50" spans="2:4" ht="4.5" customHeight="1" x14ac:dyDescent="0.2">
      <c r="B50" s="19" t="s">
        <v>405</v>
      </c>
      <c r="C50">
        <v>46209</v>
      </c>
      <c r="D50" s="22" t="s">
        <v>406</v>
      </c>
    </row>
    <row r="51" spans="2:4" ht="18" customHeight="1" x14ac:dyDescent="0.2">
      <c r="B51" s="18" t="s">
        <v>59</v>
      </c>
    </row>
    <row r="52" spans="2:4" ht="30" customHeight="1" x14ac:dyDescent="0.2">
      <c r="B52" s="3" t="s">
        <v>60</v>
      </c>
    </row>
    <row r="53" spans="2:4" ht="30" customHeight="1" x14ac:dyDescent="0.2">
      <c r="B53" s="3" t="s">
        <v>61</v>
      </c>
    </row>
    <row r="54" spans="2:4" ht="30" customHeight="1" x14ac:dyDescent="0.2">
      <c r="B54" s="3" t="s">
        <v>62</v>
      </c>
    </row>
    <row r="55" spans="2:4" ht="30" customHeight="1" x14ac:dyDescent="0.2">
      <c r="B55" s="3" t="s">
        <v>63</v>
      </c>
    </row>
    <row r="56" spans="2:4" ht="4.5" customHeight="1" x14ac:dyDescent="0.2">
      <c r="B56" s="23"/>
    </row>
    <row r="57" spans="2:4" ht="30" customHeight="1" x14ac:dyDescent="0.2">
      <c r="B57" s="6" t="s">
        <v>64</v>
      </c>
    </row>
    <row r="58" spans="2:4" ht="30" customHeight="1" x14ac:dyDescent="0.2">
      <c r="B58" s="3" t="s">
        <v>65</v>
      </c>
    </row>
    <row r="59" spans="2:4" ht="30" customHeight="1" x14ac:dyDescent="0.2">
      <c r="B59" s="3" t="s">
        <v>408</v>
      </c>
    </row>
    <row r="60" spans="2:4" ht="30" customHeight="1" x14ac:dyDescent="0.2">
      <c r="B60" s="3" t="s">
        <v>409</v>
      </c>
    </row>
    <row r="61" spans="2:4" ht="30" customHeight="1" x14ac:dyDescent="0.2">
      <c r="B61" s="3" t="s">
        <v>410</v>
      </c>
    </row>
    <row r="62" spans="2:4" ht="30" customHeight="1" x14ac:dyDescent="0.2">
      <c r="B62" s="3" t="s">
        <v>411</v>
      </c>
    </row>
    <row r="63" spans="2:4" ht="30" customHeight="1" x14ac:dyDescent="0.2">
      <c r="B63" s="3" t="s">
        <v>412</v>
      </c>
    </row>
    <row r="64" spans="2:4" ht="30" customHeight="1" x14ac:dyDescent="0.2">
      <c r="B64" s="3" t="s">
        <v>413</v>
      </c>
    </row>
    <row r="65" spans="2:4" ht="4.5" customHeight="1" x14ac:dyDescent="0.2">
      <c r="B65" s="23"/>
    </row>
    <row r="66" spans="2:4" ht="18" customHeight="1" x14ac:dyDescent="0.2">
      <c r="B66" s="12" t="s">
        <v>66</v>
      </c>
    </row>
    <row r="67" spans="2:4" ht="30" customHeight="1" x14ac:dyDescent="0.2">
      <c r="B67" s="3" t="s">
        <v>67</v>
      </c>
    </row>
    <row r="68" spans="2:4" ht="3.75" customHeight="1" x14ac:dyDescent="0.2"/>
    <row r="69" spans="2:4" ht="31.5" customHeight="1" x14ac:dyDescent="0.2">
      <c r="B69" s="12" t="s">
        <v>68</v>
      </c>
    </row>
    <row r="70" spans="2:4" ht="31.5" customHeight="1" x14ac:dyDescent="0.2">
      <c r="B70" s="24" t="s">
        <v>69</v>
      </c>
      <c r="D70" s="3" t="s">
        <v>70</v>
      </c>
    </row>
    <row r="71" spans="2:4" ht="31.5" customHeight="1" x14ac:dyDescent="0.2">
      <c r="B71" s="24" t="s">
        <v>71</v>
      </c>
      <c r="D71" s="3" t="s">
        <v>72</v>
      </c>
    </row>
    <row r="72" spans="2:4" ht="31.5" customHeight="1" x14ac:dyDescent="0.2">
      <c r="B72" s="24" t="s">
        <v>73</v>
      </c>
      <c r="D72" s="3" t="s">
        <v>74</v>
      </c>
    </row>
    <row r="73" spans="2:4" ht="31.5" customHeight="1" x14ac:dyDescent="0.2">
      <c r="B73" s="24" t="s">
        <v>75</v>
      </c>
      <c r="D73" s="3" t="s">
        <v>76</v>
      </c>
    </row>
    <row r="74" spans="2:4" ht="31.5" customHeight="1" x14ac:dyDescent="0.2">
      <c r="B74" s="24" t="s">
        <v>77</v>
      </c>
      <c r="D74" s="3" t="s">
        <v>78</v>
      </c>
    </row>
    <row r="75" spans="2:4" ht="31.5" customHeight="1" x14ac:dyDescent="0.2">
      <c r="B75" s="24" t="s">
        <v>79</v>
      </c>
      <c r="D75" s="3" t="s">
        <v>80</v>
      </c>
    </row>
    <row r="76" spans="2:4" ht="31.5" customHeight="1" x14ac:dyDescent="0.2">
      <c r="B76" s="24" t="s">
        <v>81</v>
      </c>
      <c r="D76" s="3" t="s">
        <v>82</v>
      </c>
    </row>
    <row r="77" spans="2:4" ht="31.5" customHeight="1" x14ac:dyDescent="0.2">
      <c r="B77" s="24" t="s">
        <v>83</v>
      </c>
      <c r="D77" s="3" t="s">
        <v>84</v>
      </c>
    </row>
    <row r="78" spans="2:4" ht="31.5" customHeight="1" x14ac:dyDescent="0.2">
      <c r="B78" s="24" t="s">
        <v>85</v>
      </c>
      <c r="D78" s="3" t="s">
        <v>86</v>
      </c>
    </row>
    <row r="79" spans="2:4" ht="31.5" customHeight="1" x14ac:dyDescent="0.2">
      <c r="B79" s="24" t="s">
        <v>87</v>
      </c>
      <c r="D79" s="3" t="s">
        <v>88</v>
      </c>
    </row>
    <row r="80" spans="2:4" ht="31.5" customHeight="1" x14ac:dyDescent="0.2">
      <c r="B80" s="24" t="s">
        <v>89</v>
      </c>
      <c r="D80" s="3" t="s">
        <v>90</v>
      </c>
    </row>
    <row r="81" spans="2:4" ht="31.5" customHeight="1" x14ac:dyDescent="0.2">
      <c r="B81" s="24" t="s">
        <v>91</v>
      </c>
      <c r="D81" s="3" t="s">
        <v>92</v>
      </c>
    </row>
    <row r="82" spans="2:4" ht="31.5" customHeight="1" x14ac:dyDescent="0.2">
      <c r="B82" s="24" t="s">
        <v>93</v>
      </c>
      <c r="D82" s="3" t="s">
        <v>94</v>
      </c>
    </row>
    <row r="83" spans="2:4" ht="31.5" customHeight="1" x14ac:dyDescent="0.2">
      <c r="B83" s="24" t="s">
        <v>95</v>
      </c>
      <c r="D83" s="3" t="s">
        <v>96</v>
      </c>
    </row>
    <row r="84" spans="2:4" ht="31.5" customHeight="1" x14ac:dyDescent="0.2">
      <c r="B84" s="24" t="s">
        <v>97</v>
      </c>
      <c r="D84" s="3" t="s">
        <v>414</v>
      </c>
    </row>
    <row r="85" spans="2:4" ht="31.5" customHeight="1" x14ac:dyDescent="0.2">
      <c r="B85" s="24" t="s">
        <v>98</v>
      </c>
      <c r="D85" s="3" t="s">
        <v>99</v>
      </c>
    </row>
    <row r="86" spans="2:4" ht="31.5" customHeight="1" x14ac:dyDescent="0.2">
      <c r="B86" s="24" t="s">
        <v>100</v>
      </c>
      <c r="D86" s="3" t="s">
        <v>101</v>
      </c>
    </row>
    <row r="87" spans="2:4" ht="31.5" customHeight="1" x14ac:dyDescent="0.2">
      <c r="B87" s="24" t="s">
        <v>102</v>
      </c>
      <c r="D87" s="3" t="s">
        <v>103</v>
      </c>
    </row>
    <row r="88" spans="2:4" ht="31.5" customHeight="1" x14ac:dyDescent="0.2">
      <c r="B88" s="24" t="s">
        <v>104</v>
      </c>
      <c r="D88" s="3" t="s">
        <v>105</v>
      </c>
    </row>
    <row r="89" spans="2:4" ht="31.5" customHeight="1" x14ac:dyDescent="0.2">
      <c r="B89" s="24" t="s">
        <v>106</v>
      </c>
      <c r="D89" s="3" t="s">
        <v>107</v>
      </c>
    </row>
    <row r="90" spans="2:4" ht="31.5" customHeight="1" x14ac:dyDescent="0.2">
      <c r="B90" s="24" t="s">
        <v>108</v>
      </c>
      <c r="D90" s="3" t="s">
        <v>109</v>
      </c>
    </row>
    <row r="91" spans="2:4" ht="31.5" customHeight="1" x14ac:dyDescent="0.2">
      <c r="B91" s="24" t="s">
        <v>110</v>
      </c>
      <c r="D91" s="3" t="s">
        <v>111</v>
      </c>
    </row>
    <row r="92" spans="2:4" ht="31.5" customHeight="1" x14ac:dyDescent="0.2">
      <c r="B92" s="24" t="s">
        <v>112</v>
      </c>
      <c r="D92" s="3" t="s">
        <v>113</v>
      </c>
    </row>
    <row r="93" spans="2:4" ht="31.5" customHeight="1" x14ac:dyDescent="0.2">
      <c r="B93" s="24" t="s">
        <v>114</v>
      </c>
      <c r="D93" s="3" t="s">
        <v>115</v>
      </c>
    </row>
    <row r="94" spans="2:4" ht="31.5" customHeight="1" x14ac:dyDescent="0.2">
      <c r="B94" s="24" t="s">
        <v>116</v>
      </c>
      <c r="D94" s="3" t="s">
        <v>117</v>
      </c>
    </row>
    <row r="96" spans="2:4" x14ac:dyDescent="0.2">
      <c r="B96" s="25" t="s">
        <v>118</v>
      </c>
    </row>
    <row r="98" spans="2:2" ht="17" x14ac:dyDescent="0.2">
      <c r="B98" s="6" t="s">
        <v>415</v>
      </c>
    </row>
    <row r="99" spans="2:2" ht="30" x14ac:dyDescent="0.2">
      <c r="B99" s="3" t="s">
        <v>416</v>
      </c>
    </row>
    <row r="100" spans="2:2" ht="30" x14ac:dyDescent="0.2">
      <c r="B100" s="3" t="s">
        <v>417</v>
      </c>
    </row>
    <row r="101" spans="2:2" ht="30" x14ac:dyDescent="0.2">
      <c r="B101" s="3" t="s">
        <v>418</v>
      </c>
    </row>
    <row r="103" spans="2:2" x14ac:dyDescent="0.2">
      <c r="B103" t="s">
        <v>419</v>
      </c>
    </row>
    <row r="104" spans="2:2" x14ac:dyDescent="0.2">
      <c r="B104" t="s">
        <v>420</v>
      </c>
    </row>
    <row r="105" spans="2:2" x14ac:dyDescent="0.2">
      <c r="B105" t="s">
        <v>421</v>
      </c>
    </row>
    <row r="106" spans="2:2" x14ac:dyDescent="0.2">
      <c r="B106" t="s">
        <v>446</v>
      </c>
    </row>
    <row r="107" spans="2:2" x14ac:dyDescent="0.2">
      <c r="B107" t="s">
        <v>422</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3AA520-C3EA-2C48-9D1D-A5A14883AECF}">
  <dimension ref="A1:H52"/>
  <sheetViews>
    <sheetView showGridLines="0" zoomScale="170" zoomScaleNormal="170" workbookViewId="0">
      <selection activeCell="K55" sqref="K55"/>
    </sheetView>
  </sheetViews>
  <sheetFormatPr baseColWidth="10" defaultColWidth="8.83203125" defaultRowHeight="15" x14ac:dyDescent="0.2"/>
  <cols>
    <col min="1" max="1" width="9" customWidth="1"/>
    <col min="2" max="8" width="13.5" customWidth="1"/>
  </cols>
  <sheetData>
    <row r="1" spans="1:8" ht="38" customHeight="1" x14ac:dyDescent="0.2">
      <c r="A1" s="143" t="s">
        <v>359</v>
      </c>
      <c r="B1" s="144"/>
      <c r="C1" s="144"/>
      <c r="D1" s="144"/>
      <c r="E1" s="144"/>
      <c r="F1" s="144"/>
      <c r="G1" s="144"/>
      <c r="H1" s="144"/>
    </row>
    <row r="2" spans="1:8" ht="18" customHeight="1" x14ac:dyDescent="0.2">
      <c r="A2" s="145" t="s">
        <v>372</v>
      </c>
      <c r="B2" s="144"/>
      <c r="C2" s="144"/>
      <c r="D2" s="144"/>
      <c r="E2" s="144"/>
      <c r="F2" s="144"/>
      <c r="G2" s="144"/>
      <c r="H2" s="144"/>
    </row>
    <row r="3" spans="1:8" ht="48" customHeight="1" x14ac:dyDescent="0.2">
      <c r="A3" s="146" t="s">
        <v>360</v>
      </c>
      <c r="B3" s="144"/>
      <c r="C3" s="144"/>
      <c r="D3" s="144"/>
      <c r="E3" s="144"/>
      <c r="F3" s="144"/>
      <c r="G3" s="144"/>
      <c r="H3" s="144"/>
    </row>
    <row r="6" spans="1:8" ht="22" customHeight="1" x14ac:dyDescent="0.2">
      <c r="A6" s="147" t="s">
        <v>361</v>
      </c>
      <c r="B6" s="144"/>
      <c r="C6" s="144"/>
      <c r="D6" s="144"/>
      <c r="E6" s="144"/>
      <c r="F6" s="144"/>
      <c r="G6" s="144"/>
      <c r="H6" s="144"/>
    </row>
    <row r="7" spans="1:8" ht="51" customHeight="1" x14ac:dyDescent="0.2">
      <c r="A7" s="129" t="s">
        <v>362</v>
      </c>
      <c r="B7" s="148" t="s">
        <v>373</v>
      </c>
      <c r="C7" s="144"/>
      <c r="D7" s="144"/>
      <c r="E7" s="144"/>
      <c r="F7" s="144"/>
      <c r="G7" s="144"/>
      <c r="H7" s="144"/>
    </row>
    <row r="8" spans="1:8" ht="36" customHeight="1" x14ac:dyDescent="0.2">
      <c r="A8" s="130" t="s">
        <v>363</v>
      </c>
      <c r="B8" s="148" t="s">
        <v>374</v>
      </c>
      <c r="C8" s="144"/>
      <c r="D8" s="144"/>
      <c r="E8" s="144"/>
      <c r="F8" s="144"/>
      <c r="G8" s="144"/>
      <c r="H8" s="144"/>
    </row>
    <row r="9" spans="1:8" ht="21" customHeight="1" x14ac:dyDescent="0.2">
      <c r="A9" s="129" t="s">
        <v>362</v>
      </c>
      <c r="B9" s="148" t="s">
        <v>375</v>
      </c>
      <c r="C9" s="144"/>
      <c r="D9" s="144"/>
      <c r="E9" s="144"/>
      <c r="F9" s="144"/>
      <c r="G9" s="144"/>
      <c r="H9" s="144"/>
    </row>
    <row r="10" spans="1:8" ht="36" customHeight="1" x14ac:dyDescent="0.2">
      <c r="A10" s="130" t="s">
        <v>363</v>
      </c>
      <c r="B10" s="148" t="s">
        <v>376</v>
      </c>
      <c r="C10" s="144"/>
      <c r="D10" s="144"/>
      <c r="E10" s="144"/>
      <c r="F10" s="144"/>
      <c r="G10" s="144"/>
      <c r="H10" s="144"/>
    </row>
    <row r="12" spans="1:8" ht="22" customHeight="1" x14ac:dyDescent="0.2">
      <c r="A12" s="147" t="s">
        <v>364</v>
      </c>
      <c r="B12" s="144"/>
      <c r="C12" s="144"/>
      <c r="D12" s="144"/>
      <c r="E12" s="144"/>
      <c r="F12" s="144"/>
      <c r="G12" s="144"/>
      <c r="H12" s="144"/>
    </row>
    <row r="13" spans="1:8" ht="36" customHeight="1" x14ac:dyDescent="0.2">
      <c r="A13" s="129" t="s">
        <v>362</v>
      </c>
      <c r="B13" s="148" t="s">
        <v>377</v>
      </c>
      <c r="C13" s="144"/>
      <c r="D13" s="144"/>
      <c r="E13" s="144"/>
      <c r="F13" s="144"/>
      <c r="G13" s="144"/>
      <c r="H13" s="144"/>
    </row>
    <row r="14" spans="1:8" ht="36" customHeight="1" x14ac:dyDescent="0.2">
      <c r="A14" s="130" t="s">
        <v>363</v>
      </c>
      <c r="B14" s="148" t="s">
        <v>378</v>
      </c>
      <c r="C14" s="144"/>
      <c r="D14" s="144"/>
      <c r="E14" s="144"/>
      <c r="F14" s="144"/>
      <c r="G14" s="144"/>
      <c r="H14" s="144"/>
    </row>
    <row r="15" spans="1:8" ht="21" customHeight="1" x14ac:dyDescent="0.2">
      <c r="A15" s="129" t="s">
        <v>362</v>
      </c>
      <c r="B15" s="148" t="s">
        <v>379</v>
      </c>
      <c r="C15" s="144"/>
      <c r="D15" s="144"/>
      <c r="E15" s="144"/>
      <c r="F15" s="144"/>
      <c r="G15" s="144"/>
      <c r="H15" s="144"/>
    </row>
    <row r="16" spans="1:8" ht="36" customHeight="1" x14ac:dyDescent="0.2">
      <c r="A16" s="130" t="s">
        <v>363</v>
      </c>
      <c r="B16" s="148" t="s">
        <v>380</v>
      </c>
      <c r="C16" s="144"/>
      <c r="D16" s="144"/>
      <c r="E16" s="144"/>
      <c r="F16" s="144"/>
      <c r="G16" s="144"/>
      <c r="H16" s="144"/>
    </row>
    <row r="18" spans="1:8" ht="22" customHeight="1" x14ac:dyDescent="0.2">
      <c r="A18" s="147" t="s">
        <v>365</v>
      </c>
      <c r="B18" s="144"/>
      <c r="C18" s="144"/>
      <c r="D18" s="144"/>
      <c r="E18" s="144"/>
      <c r="F18" s="144"/>
      <c r="G18" s="144"/>
      <c r="H18" s="144"/>
    </row>
    <row r="19" spans="1:8" ht="21" customHeight="1" x14ac:dyDescent="0.2">
      <c r="A19" s="129" t="s">
        <v>362</v>
      </c>
      <c r="B19" s="148" t="s">
        <v>381</v>
      </c>
      <c r="C19" s="144"/>
      <c r="D19" s="144"/>
      <c r="E19" s="144"/>
      <c r="F19" s="144"/>
      <c r="G19" s="144"/>
      <c r="H19" s="144"/>
    </row>
    <row r="20" spans="1:8" ht="51" customHeight="1" x14ac:dyDescent="0.2">
      <c r="A20" s="130" t="s">
        <v>363</v>
      </c>
      <c r="B20" s="148" t="s">
        <v>382</v>
      </c>
      <c r="C20" s="144"/>
      <c r="D20" s="144"/>
      <c r="E20" s="144"/>
      <c r="F20" s="144"/>
      <c r="G20" s="144"/>
      <c r="H20" s="144"/>
    </row>
    <row r="21" spans="1:8" ht="21" customHeight="1" x14ac:dyDescent="0.2">
      <c r="A21" s="129" t="s">
        <v>362</v>
      </c>
      <c r="B21" s="148" t="s">
        <v>383</v>
      </c>
      <c r="C21" s="144"/>
      <c r="D21" s="144"/>
      <c r="E21" s="144"/>
      <c r="F21" s="144"/>
      <c r="G21" s="144"/>
      <c r="H21" s="144"/>
    </row>
    <row r="22" spans="1:8" ht="51" customHeight="1" x14ac:dyDescent="0.2">
      <c r="A22" s="130" t="s">
        <v>363</v>
      </c>
      <c r="B22" s="148" t="s">
        <v>384</v>
      </c>
      <c r="C22" s="144"/>
      <c r="D22" s="144"/>
      <c r="E22" s="144"/>
      <c r="F22" s="144"/>
      <c r="G22" s="144"/>
      <c r="H22" s="144"/>
    </row>
    <row r="24" spans="1:8" ht="22" customHeight="1" x14ac:dyDescent="0.2">
      <c r="A24" s="147" t="s">
        <v>366</v>
      </c>
      <c r="B24" s="144"/>
      <c r="C24" s="144"/>
      <c r="D24" s="144"/>
      <c r="E24" s="144"/>
      <c r="F24" s="144"/>
      <c r="G24" s="144"/>
      <c r="H24" s="144"/>
    </row>
    <row r="25" spans="1:8" ht="21" customHeight="1" x14ac:dyDescent="0.2">
      <c r="A25" s="129" t="s">
        <v>362</v>
      </c>
      <c r="B25" s="148" t="s">
        <v>385</v>
      </c>
      <c r="C25" s="144"/>
      <c r="D25" s="144"/>
      <c r="E25" s="144"/>
      <c r="F25" s="144"/>
      <c r="G25" s="144"/>
      <c r="H25" s="144"/>
    </row>
    <row r="26" spans="1:8" ht="51" customHeight="1" x14ac:dyDescent="0.2">
      <c r="A26" s="130" t="s">
        <v>363</v>
      </c>
      <c r="B26" s="148" t="s">
        <v>386</v>
      </c>
      <c r="C26" s="144"/>
      <c r="D26" s="144"/>
      <c r="E26" s="144"/>
      <c r="F26" s="144"/>
      <c r="G26" s="144"/>
      <c r="H26" s="144"/>
    </row>
    <row r="27" spans="1:8" ht="21" customHeight="1" x14ac:dyDescent="0.2">
      <c r="A27" s="129" t="s">
        <v>362</v>
      </c>
      <c r="B27" s="148" t="s">
        <v>387</v>
      </c>
      <c r="C27" s="144"/>
      <c r="D27" s="144"/>
      <c r="E27" s="144"/>
      <c r="F27" s="144"/>
      <c r="G27" s="144"/>
      <c r="H27" s="144"/>
    </row>
    <row r="28" spans="1:8" ht="51" customHeight="1" x14ac:dyDescent="0.2">
      <c r="A28" s="130" t="s">
        <v>363</v>
      </c>
      <c r="B28" s="148" t="s">
        <v>388</v>
      </c>
      <c r="C28" s="144"/>
      <c r="D28" s="144"/>
      <c r="E28" s="144"/>
      <c r="F28" s="144"/>
      <c r="G28" s="144"/>
      <c r="H28" s="144"/>
    </row>
    <row r="29" spans="1:8" ht="21" customHeight="1" x14ac:dyDescent="0.2">
      <c r="A29" s="129" t="s">
        <v>362</v>
      </c>
      <c r="B29" s="148" t="s">
        <v>389</v>
      </c>
      <c r="C29" s="144"/>
      <c r="D29" s="144"/>
      <c r="E29" s="144"/>
      <c r="F29" s="144"/>
      <c r="G29" s="144"/>
      <c r="H29" s="144"/>
    </row>
    <row r="30" spans="1:8" ht="36" customHeight="1" x14ac:dyDescent="0.2">
      <c r="A30" s="130" t="s">
        <v>363</v>
      </c>
      <c r="B30" s="148" t="s">
        <v>390</v>
      </c>
      <c r="C30" s="144"/>
      <c r="D30" s="144"/>
      <c r="E30" s="144"/>
      <c r="F30" s="144"/>
      <c r="G30" s="144"/>
      <c r="H30" s="144"/>
    </row>
    <row r="32" spans="1:8" ht="22" customHeight="1" x14ac:dyDescent="0.2">
      <c r="A32" s="147" t="s">
        <v>367</v>
      </c>
      <c r="B32" s="144"/>
      <c r="C32" s="144"/>
      <c r="D32" s="144"/>
      <c r="E32" s="144"/>
      <c r="F32" s="144"/>
      <c r="G32" s="144"/>
      <c r="H32" s="144"/>
    </row>
    <row r="33" spans="1:8" ht="21" customHeight="1" x14ac:dyDescent="0.2">
      <c r="A33" s="129" t="s">
        <v>362</v>
      </c>
      <c r="B33" s="148" t="s">
        <v>391</v>
      </c>
      <c r="C33" s="144"/>
      <c r="D33" s="144"/>
      <c r="E33" s="144"/>
      <c r="F33" s="144"/>
      <c r="G33" s="144"/>
      <c r="H33" s="144"/>
    </row>
    <row r="34" spans="1:8" ht="51" customHeight="1" x14ac:dyDescent="0.2">
      <c r="A34" s="130" t="s">
        <v>363</v>
      </c>
      <c r="B34" s="148" t="s">
        <v>392</v>
      </c>
      <c r="C34" s="144"/>
      <c r="D34" s="144"/>
      <c r="E34" s="144"/>
      <c r="F34" s="144"/>
      <c r="G34" s="144"/>
      <c r="H34" s="144"/>
    </row>
    <row r="35" spans="1:8" ht="21" customHeight="1" x14ac:dyDescent="0.2">
      <c r="A35" s="129" t="s">
        <v>362</v>
      </c>
      <c r="B35" s="148" t="s">
        <v>393</v>
      </c>
      <c r="C35" s="144"/>
      <c r="D35" s="144"/>
      <c r="E35" s="144"/>
      <c r="F35" s="144"/>
      <c r="G35" s="144"/>
      <c r="H35" s="144"/>
    </row>
    <row r="36" spans="1:8" ht="36" customHeight="1" x14ac:dyDescent="0.2">
      <c r="A36" s="130" t="s">
        <v>363</v>
      </c>
      <c r="B36" s="148" t="s">
        <v>394</v>
      </c>
      <c r="C36" s="144"/>
      <c r="D36" s="144"/>
      <c r="E36" s="144"/>
      <c r="F36" s="144"/>
      <c r="G36" s="144"/>
      <c r="H36" s="144"/>
    </row>
    <row r="37" spans="1:8" ht="21" customHeight="1" x14ac:dyDescent="0.2">
      <c r="A37" s="129" t="s">
        <v>362</v>
      </c>
      <c r="B37" s="148" t="s">
        <v>395</v>
      </c>
      <c r="C37" s="144"/>
      <c r="D37" s="144"/>
      <c r="E37" s="144"/>
      <c r="F37" s="144"/>
      <c r="G37" s="144"/>
      <c r="H37" s="144"/>
    </row>
    <row r="38" spans="1:8" ht="51" customHeight="1" x14ac:dyDescent="0.2">
      <c r="A38" s="130" t="s">
        <v>363</v>
      </c>
      <c r="B38" s="148" t="s">
        <v>396</v>
      </c>
      <c r="C38" s="144"/>
      <c r="D38" s="144"/>
      <c r="E38" s="144"/>
      <c r="F38" s="144"/>
      <c r="G38" s="144"/>
      <c r="H38" s="144"/>
    </row>
    <row r="39" spans="1:8" ht="21" customHeight="1" x14ac:dyDescent="0.2">
      <c r="A39" s="129" t="s">
        <v>362</v>
      </c>
      <c r="B39" s="148" t="s">
        <v>397</v>
      </c>
      <c r="C39" s="144"/>
      <c r="D39" s="144"/>
      <c r="E39" s="144"/>
      <c r="F39" s="144"/>
      <c r="G39" s="144"/>
      <c r="H39" s="144"/>
    </row>
    <row r="41" spans="1:8" ht="22" customHeight="1" x14ac:dyDescent="0.2">
      <c r="A41" s="147" t="s">
        <v>368</v>
      </c>
      <c r="B41" s="144"/>
      <c r="C41" s="144"/>
      <c r="D41" s="144"/>
      <c r="E41" s="144"/>
      <c r="F41" s="144"/>
      <c r="G41" s="144"/>
      <c r="H41" s="144"/>
    </row>
    <row r="42" spans="1:8" ht="21" customHeight="1" x14ac:dyDescent="0.2">
      <c r="A42" s="129" t="s">
        <v>362</v>
      </c>
      <c r="B42" s="148" t="s">
        <v>398</v>
      </c>
      <c r="C42" s="144"/>
      <c r="D42" s="144"/>
      <c r="E42" s="144"/>
      <c r="F42" s="144"/>
      <c r="G42" s="144"/>
      <c r="H42" s="144"/>
    </row>
    <row r="43" spans="1:8" ht="51" customHeight="1" x14ac:dyDescent="0.2">
      <c r="A43" s="130" t="s">
        <v>363</v>
      </c>
      <c r="B43" s="148" t="s">
        <v>399</v>
      </c>
      <c r="C43" s="144"/>
      <c r="D43" s="144"/>
      <c r="E43" s="144"/>
      <c r="F43" s="144"/>
      <c r="G43" s="144"/>
      <c r="H43" s="144"/>
    </row>
    <row r="44" spans="1:8" ht="21" customHeight="1" x14ac:dyDescent="0.2">
      <c r="A44" s="129" t="s">
        <v>362</v>
      </c>
      <c r="B44" s="148" t="s">
        <v>400</v>
      </c>
      <c r="C44" s="144"/>
      <c r="D44" s="144"/>
      <c r="E44" s="144"/>
      <c r="F44" s="144"/>
      <c r="G44" s="144"/>
      <c r="H44" s="144"/>
    </row>
    <row r="45" spans="1:8" ht="36" customHeight="1" x14ac:dyDescent="0.2">
      <c r="A45" s="130" t="s">
        <v>363</v>
      </c>
      <c r="B45" s="148" t="s">
        <v>401</v>
      </c>
      <c r="C45" s="144"/>
      <c r="D45" s="144"/>
      <c r="E45" s="144"/>
      <c r="F45" s="144"/>
      <c r="G45" s="144"/>
      <c r="H45" s="144"/>
    </row>
    <row r="46" spans="1:8" ht="21" customHeight="1" x14ac:dyDescent="0.2">
      <c r="A46" s="129" t="s">
        <v>362</v>
      </c>
      <c r="B46" s="148" t="s">
        <v>402</v>
      </c>
      <c r="C46" s="144"/>
      <c r="D46" s="144"/>
      <c r="E46" s="144"/>
      <c r="F46" s="144"/>
      <c r="G46" s="144"/>
      <c r="H46" s="144"/>
    </row>
    <row r="47" spans="1:8" ht="21" customHeight="1" x14ac:dyDescent="0.2">
      <c r="A47" s="130" t="s">
        <v>363</v>
      </c>
      <c r="B47" s="148" t="s">
        <v>369</v>
      </c>
      <c r="C47" s="144"/>
      <c r="D47" s="144"/>
      <c r="E47" s="144"/>
      <c r="F47" s="144"/>
      <c r="G47" s="144"/>
      <c r="H47" s="144"/>
    </row>
    <row r="49" spans="1:8" ht="22" customHeight="1" x14ac:dyDescent="0.2">
      <c r="A49" s="147" t="s">
        <v>370</v>
      </c>
      <c r="B49" s="144"/>
      <c r="C49" s="144"/>
      <c r="D49" s="144"/>
      <c r="E49" s="144"/>
      <c r="F49" s="144"/>
      <c r="G49" s="144"/>
      <c r="H49" s="144"/>
    </row>
    <row r="50" spans="1:8" ht="36" customHeight="1" x14ac:dyDescent="0.2">
      <c r="A50" s="129" t="s">
        <v>362</v>
      </c>
      <c r="B50" s="148" t="s">
        <v>403</v>
      </c>
      <c r="C50" s="144"/>
      <c r="D50" s="144"/>
      <c r="E50" s="144"/>
      <c r="F50" s="144"/>
      <c r="G50" s="144"/>
      <c r="H50" s="144"/>
    </row>
    <row r="51" spans="1:8" ht="21" customHeight="1" x14ac:dyDescent="0.2">
      <c r="A51" s="130" t="s">
        <v>363</v>
      </c>
      <c r="B51" s="148" t="s">
        <v>404</v>
      </c>
      <c r="C51" s="144"/>
      <c r="D51" s="144"/>
      <c r="E51" s="144"/>
      <c r="F51" s="144"/>
      <c r="G51" s="144"/>
      <c r="H51" s="144"/>
    </row>
    <row r="52" spans="1:8" ht="21" customHeight="1" x14ac:dyDescent="0.2">
      <c r="A52" s="129" t="s">
        <v>362</v>
      </c>
      <c r="B52" s="148" t="s">
        <v>371</v>
      </c>
      <c r="C52" s="144"/>
      <c r="D52" s="144"/>
      <c r="E52" s="144"/>
      <c r="F52" s="144"/>
      <c r="G52" s="144"/>
      <c r="H52" s="144"/>
    </row>
  </sheetData>
  <mergeCells count="44">
    <mergeCell ref="A49:H49"/>
    <mergeCell ref="B50:H50"/>
    <mergeCell ref="B51:H51"/>
    <mergeCell ref="B52:H52"/>
    <mergeCell ref="B43:H43"/>
    <mergeCell ref="B44:H44"/>
    <mergeCell ref="B45:H45"/>
    <mergeCell ref="B46:H46"/>
    <mergeCell ref="B47:H47"/>
    <mergeCell ref="B37:H37"/>
    <mergeCell ref="B38:H38"/>
    <mergeCell ref="B39:H39"/>
    <mergeCell ref="A41:H41"/>
    <mergeCell ref="B42:H42"/>
    <mergeCell ref="A32:H32"/>
    <mergeCell ref="B33:H33"/>
    <mergeCell ref="B34:H34"/>
    <mergeCell ref="B35:H35"/>
    <mergeCell ref="B36:H36"/>
    <mergeCell ref="B26:H26"/>
    <mergeCell ref="B27:H27"/>
    <mergeCell ref="B28:H28"/>
    <mergeCell ref="B29:H29"/>
    <mergeCell ref="B30:H30"/>
    <mergeCell ref="B20:H20"/>
    <mergeCell ref="B21:H21"/>
    <mergeCell ref="B22:H22"/>
    <mergeCell ref="A24:H24"/>
    <mergeCell ref="B25:H25"/>
    <mergeCell ref="B14:H14"/>
    <mergeCell ref="B15:H15"/>
    <mergeCell ref="B16:H16"/>
    <mergeCell ref="A18:H18"/>
    <mergeCell ref="B19:H19"/>
    <mergeCell ref="B8:H8"/>
    <mergeCell ref="B9:H9"/>
    <mergeCell ref="B10:H10"/>
    <mergeCell ref="A12:H12"/>
    <mergeCell ref="B13:H13"/>
    <mergeCell ref="A1:H1"/>
    <mergeCell ref="A2:H2"/>
    <mergeCell ref="A3:H3"/>
    <mergeCell ref="A6:H6"/>
    <mergeCell ref="B7:H7"/>
  </mergeCells>
  <pageMargins left="0.4" right="0.4" top="0.4" bottom="0.4" header="0.3" footer="0.3"/>
  <pageSetup paperSize="9" orientation="landscape"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B468B-B221-EA43-B4B8-C115ABF95F16}">
  <sheetPr>
    <tabColor rgb="FFB0892F"/>
  </sheetPr>
  <dimension ref="A1:I29"/>
  <sheetViews>
    <sheetView showGridLines="0" zoomScale="160" zoomScaleNormal="160" workbookViewId="0">
      <pane ySplit="9" topLeftCell="A10" activePane="bottomLeft" state="frozen"/>
      <selection pane="bottomLeft" activeCell="J28" sqref="J28"/>
    </sheetView>
  </sheetViews>
  <sheetFormatPr baseColWidth="10" defaultColWidth="8.83203125" defaultRowHeight="15" x14ac:dyDescent="0.2"/>
  <cols>
    <col min="1" max="1" width="17" customWidth="1"/>
    <col min="2" max="2" width="13.33203125" customWidth="1"/>
    <col min="3" max="3" width="12.6640625" customWidth="1"/>
    <col min="4" max="4" width="14" customWidth="1"/>
    <col min="5" max="5" width="9.33203125" customWidth="1"/>
    <col min="6" max="6" width="3" customWidth="1"/>
    <col min="7" max="7" width="27" customWidth="1"/>
    <col min="8" max="8" width="15.1640625" customWidth="1"/>
    <col min="9" max="9" width="13.6640625" customWidth="1"/>
  </cols>
  <sheetData>
    <row r="1" spans="1:9" ht="21.75" customHeight="1" x14ac:dyDescent="0.2">
      <c r="A1" s="150" t="s">
        <v>119</v>
      </c>
      <c r="B1" s="150"/>
      <c r="C1" s="150"/>
      <c r="D1" s="150"/>
      <c r="E1" s="150"/>
      <c r="G1" s="26"/>
      <c r="H1" s="26"/>
      <c r="I1" s="26"/>
    </row>
    <row r="2" spans="1:9" ht="28.5" customHeight="1" x14ac:dyDescent="0.2">
      <c r="A2" s="151" t="s">
        <v>120</v>
      </c>
      <c r="B2" s="151"/>
      <c r="C2" s="151"/>
      <c r="D2" s="151"/>
      <c r="E2" s="151"/>
      <c r="G2" s="26"/>
      <c r="H2" s="26"/>
      <c r="I2" s="26"/>
    </row>
    <row r="3" spans="1:9" ht="3" customHeight="1" x14ac:dyDescent="0.2">
      <c r="G3" s="26"/>
      <c r="H3" s="26"/>
      <c r="I3" s="26"/>
    </row>
    <row r="4" spans="1:9" ht="15" customHeight="1" x14ac:dyDescent="0.2">
      <c r="A4" s="152" t="s">
        <v>121</v>
      </c>
      <c r="B4" s="152"/>
      <c r="C4" s="152"/>
      <c r="D4" s="152"/>
      <c r="E4" s="152"/>
      <c r="G4" s="26"/>
      <c r="H4" s="26"/>
      <c r="I4" s="26"/>
    </row>
    <row r="5" spans="1:9" ht="24.75" customHeight="1" x14ac:dyDescent="0.2">
      <c r="A5" s="153" t="str">
        <f>'Sport Records'!$C$4</f>
        <v>Dean B</v>
      </c>
      <c r="B5" s="153"/>
      <c r="C5" s="153"/>
      <c r="D5" s="153"/>
      <c r="E5" s="153"/>
      <c r="G5" s="26"/>
      <c r="H5" s="26"/>
      <c r="I5" s="26"/>
    </row>
    <row r="6" spans="1:9" ht="15" customHeight="1" x14ac:dyDescent="0.2">
      <c r="A6" s="154" t="str">
        <f>"FWC rating "&amp;TEXT(IFERROR(INDEX(Engine!$B$2:$B$15,MATCH('Sport Records'!$C$4,Engine!$A$2:$A$15,0)),0),"0")&amp;"   |   "&amp;COUNTIFS('Match Log'!$D$4:$D$810,'Sport Records'!$C$4,'Match Log'!$E$4:$E$810,"Win")&amp;" wins, "&amp;(COUNTIF('Match Log'!$D$4:$D$810,'Sport Records'!$C$4)-COUNTIFS('Match Log'!$D$4:$D$810,'Sport Records'!$C$4,'Match Log'!$E$4:$E$810,"Win"))&amp;" losses"&amp;"   |   highest-rated eligible player"</f>
        <v>FWC rating 1168   |   15 wins, 8 losses   |   highest-rated eligible player</v>
      </c>
      <c r="B6" s="154"/>
      <c r="C6" s="154"/>
      <c r="D6" s="154"/>
      <c r="E6" s="154"/>
      <c r="G6" s="26"/>
      <c r="H6" s="26"/>
      <c r="I6" s="26"/>
    </row>
    <row r="7" spans="1:9" ht="15" customHeight="1" x14ac:dyDescent="0.2">
      <c r="G7" s="26"/>
      <c r="H7" s="26"/>
      <c r="I7" s="26"/>
    </row>
    <row r="8" spans="1:9" ht="15" customHeight="1" x14ac:dyDescent="0.2">
      <c r="A8" s="149" t="s">
        <v>122</v>
      </c>
      <c r="B8" s="149"/>
      <c r="C8" s="149"/>
      <c r="D8" s="149"/>
      <c r="E8" s="149"/>
      <c r="G8" s="26"/>
      <c r="H8" s="26"/>
      <c r="I8" s="26"/>
    </row>
    <row r="9" spans="1:9" ht="15" customHeight="1" x14ac:dyDescent="0.2">
      <c r="A9" s="27" t="s">
        <v>123</v>
      </c>
      <c r="B9" s="27" t="s">
        <v>124</v>
      </c>
      <c r="C9" s="27" t="s">
        <v>125</v>
      </c>
      <c r="D9" s="27" t="s">
        <v>126</v>
      </c>
      <c r="E9" s="27" t="s">
        <v>127</v>
      </c>
      <c r="G9" s="26"/>
      <c r="H9" s="26"/>
      <c r="I9" s="26"/>
    </row>
    <row r="10" spans="1:9" ht="15" customHeight="1" x14ac:dyDescent="0.25">
      <c r="A10" s="28" t="str">
        <f>IF(Lists!$C$2="","",Lists!$C$2)</f>
        <v>Chess</v>
      </c>
      <c r="B10" s="29" t="str">
        <f>IFERROR('Sport Records'!$P$91,"—")</f>
        <v>Shawn</v>
      </c>
      <c r="C10" s="30">
        <f>IF(OR($B10="—",$B10=""),"",ROUND(MAX('Sport Records'!$B$91:$O$91),0))</f>
        <v>1031</v>
      </c>
      <c r="D10" s="30" t="str">
        <f>IF(OR($B10="—",$B10=""),"—",COUNTIFS('Match Log'!$D$4:$D$810,$B10,'Match Log'!$C$4:$C$810,$A10,'Match Log'!$E$4:$E$810,"Win")&amp;"–"&amp;(COUNTIFS('Match Log'!$D$4:$D$810,$B10,'Match Log'!$C$4:$C$810,$A10)-COUNTIFS('Match Log'!$D$4:$D$810,$B10,'Match Log'!$C$4:$C$810,$A10,'Match Log'!$E$4:$E$810,"Win")))</f>
        <v>2–0</v>
      </c>
      <c r="E10" s="30">
        <f>IFERROR('Sport Records'!$P$8,0)</f>
        <v>2</v>
      </c>
      <c r="G10" s="31" t="s">
        <v>128</v>
      </c>
      <c r="H10" s="26"/>
      <c r="I10" s="26"/>
    </row>
    <row r="11" spans="1:9" ht="15" customHeight="1" x14ac:dyDescent="0.2">
      <c r="A11" s="28" t="str">
        <f>IF(Lists!$C$3="","",Lists!$C$3)</f>
        <v>Darts</v>
      </c>
      <c r="B11" s="29" t="str">
        <f>IFERROR('Sport Records'!$P$92,"—")</f>
        <v>—</v>
      </c>
      <c r="C11" s="30" t="str">
        <f>IF(OR($B11="—",$B11=""),"",ROUND(MAX('Sport Records'!$B$92:$O$92),0))</f>
        <v/>
      </c>
      <c r="D11" s="30" t="str">
        <f>IF(OR($B11="—",$B11=""),"—",COUNTIFS('Match Log'!$D$4:$D$810,$B11,'Match Log'!$C$4:$C$810,$A11,'Match Log'!$E$4:$E$810,"Win")&amp;"–"&amp;(COUNTIFS('Match Log'!$D$4:$D$810,$B11,'Match Log'!$C$4:$C$810,$A11)-COUNTIFS('Match Log'!$D$4:$D$810,$B11,'Match Log'!$C$4:$C$810,$A11,'Match Log'!$E$4:$E$810,"Win")))</f>
        <v>—</v>
      </c>
      <c r="E11" s="30">
        <f>IFERROR('Sport Records'!$P$9,0)</f>
        <v>0</v>
      </c>
      <c r="G11" s="32" t="s">
        <v>129</v>
      </c>
      <c r="H11" s="26"/>
      <c r="I11" s="26"/>
    </row>
    <row r="12" spans="1:9" ht="15" customHeight="1" x14ac:dyDescent="0.2">
      <c r="A12" s="28" t="str">
        <f>IF(Lists!$C$4="","",Lists!$C$4)</f>
        <v>FIFA</v>
      </c>
      <c r="B12" s="29" t="str">
        <f>IFERROR('Sport Records'!$P$93,"—")</f>
        <v>Aaron</v>
      </c>
      <c r="C12" s="30">
        <f>IF(OR($B12="—",$B12=""),"",ROUND(MAX('Sport Records'!$B$93:$O$93),0))</f>
        <v>1074</v>
      </c>
      <c r="D12" s="30" t="str">
        <f>IF(OR($B12="—",$B12=""),"—",COUNTIFS('Match Log'!$D$4:$D$810,$B12,'Match Log'!$C$4:$C$810,$A12,'Match Log'!$E$4:$E$810,"Win")&amp;"–"&amp;(COUNTIFS('Match Log'!$D$4:$D$810,$B12,'Match Log'!$C$4:$C$810,$A12)-COUNTIFS('Match Log'!$D$4:$D$810,$B12,'Match Log'!$C$4:$C$810,$A12,'Match Log'!$E$4:$E$810,"Win")))</f>
        <v>9–3</v>
      </c>
      <c r="E12" s="30">
        <f>IFERROR('Sport Records'!$P$10,0)</f>
        <v>23</v>
      </c>
      <c r="G12" s="26"/>
      <c r="H12" s="26"/>
      <c r="I12" s="26"/>
    </row>
    <row r="13" spans="1:9" ht="15" customHeight="1" x14ac:dyDescent="0.2">
      <c r="A13" s="28" t="str">
        <f>IF(Lists!$C$5="","",Lists!$C$5)</f>
        <v>Golf</v>
      </c>
      <c r="B13" s="29" t="str">
        <f>IFERROR('Sport Records'!$P$94,"—")</f>
        <v>—</v>
      </c>
      <c r="C13" s="30" t="str">
        <f>IF(OR($B13="—",$B13=""),"",ROUND(MAX('Sport Records'!$B$94:$O$94),0))</f>
        <v/>
      </c>
      <c r="D13" s="30" t="str">
        <f>IF(OR($B13="—",$B13=""),"—",COUNTIFS('Match Log'!$D$4:$D$810,$B13,'Match Log'!$C$4:$C$810,$A13,'Match Log'!$E$4:$E$810,"Win")&amp;"–"&amp;(COUNTIFS('Match Log'!$D$4:$D$810,$B13,'Match Log'!$C$4:$C$810,$A13)-COUNTIFS('Match Log'!$D$4:$D$810,$B13,'Match Log'!$C$4:$C$810,$A13,'Match Log'!$E$4:$E$810,"Win")))</f>
        <v>—</v>
      </c>
      <c r="E13" s="30">
        <f>IFERROR('Sport Records'!$P$11,0)</f>
        <v>0</v>
      </c>
      <c r="G13" s="33" t="s">
        <v>130</v>
      </c>
      <c r="H13" s="33" t="s">
        <v>131</v>
      </c>
      <c r="I13" s="33" t="s">
        <v>132</v>
      </c>
    </row>
    <row r="14" spans="1:9" ht="15" customHeight="1" x14ac:dyDescent="0.2">
      <c r="A14" s="28" t="str">
        <f>IF(Lists!$C$6="","",Lists!$C$6)</f>
        <v>Pool</v>
      </c>
      <c r="B14" s="29" t="str">
        <f>IFERROR('Sport Records'!$P$95,"—")</f>
        <v>Simon</v>
      </c>
      <c r="C14" s="30">
        <f>IF(OR($B14="—",$B14=""),"",ROUND(MAX('Sport Records'!$B$95:$O$95),0))</f>
        <v>1030</v>
      </c>
      <c r="D14" s="30" t="str">
        <f>IF(OR($B14="—",$B14=""),"—",COUNTIFS('Match Log'!$D$4:$D$810,$B14,'Match Log'!$C$4:$C$810,$A14,'Match Log'!$E$4:$E$810,"Win")&amp;"–"&amp;(COUNTIFS('Match Log'!$D$4:$D$810,$B14,'Match Log'!$C$4:$C$810,$A14)-COUNTIFS('Match Log'!$D$4:$D$810,$B14,'Match Log'!$C$4:$C$810,$A14,'Match Log'!$E$4:$E$810,"Win")))</f>
        <v>2–0</v>
      </c>
      <c r="E14" s="30">
        <f>IFERROR('Sport Records'!$P$12,0)</f>
        <v>10</v>
      </c>
      <c r="G14" s="34" t="s">
        <v>133</v>
      </c>
      <c r="H14" s="35" t="s">
        <v>134</v>
      </c>
      <c r="I14" s="36" t="s">
        <v>135</v>
      </c>
    </row>
    <row r="15" spans="1:9" ht="15" customHeight="1" x14ac:dyDescent="0.2">
      <c r="A15" s="28" t="str">
        <f>IF(Lists!$C$7="","",Lists!$C$7)</f>
        <v>Kelly Pool</v>
      </c>
      <c r="B15" s="29" t="str">
        <f>IFERROR('Sport Records'!$P$96,"—")</f>
        <v>Aaron</v>
      </c>
      <c r="C15" s="30">
        <f>IF(OR($B15="—",$B15=""),"",ROUND(MAX('Sport Records'!$B$96:$O$96),0))</f>
        <v>1016</v>
      </c>
      <c r="D15" s="30" t="str">
        <f>IF(OR($B15="—",$B15=""),"—",COUNTIFS('Match Log'!$D$4:$D$810,$B15,'Match Log'!$C$4:$C$810,$A15,'Match Log'!$E$4:$E$810,"Win")&amp;"–"&amp;(COUNTIFS('Match Log'!$D$4:$D$810,$B15,'Match Log'!$C$4:$C$810,$A15)-COUNTIFS('Match Log'!$D$4:$D$810,$B15,'Match Log'!$C$4:$C$810,$A15,'Match Log'!$E$4:$E$810,"Win")))</f>
        <v>1–0</v>
      </c>
      <c r="E15" s="30">
        <f>IFERROR('Sport Records'!$P$13,0)</f>
        <v>1</v>
      </c>
      <c r="G15" s="37" t="s">
        <v>136</v>
      </c>
      <c r="H15" s="38" t="s">
        <v>137</v>
      </c>
      <c r="I15" s="39" t="s">
        <v>138</v>
      </c>
    </row>
    <row r="16" spans="1:9" ht="15" customHeight="1" x14ac:dyDescent="0.2">
      <c r="A16" s="28" t="str">
        <f>IF(Lists!$C$8="","",Lists!$C$8)</f>
        <v>Target</v>
      </c>
      <c r="B16" s="29" t="str">
        <f>IFERROR('Sport Records'!$P$97,"—")</f>
        <v>—</v>
      </c>
      <c r="C16" s="30" t="str">
        <f>IF(OR($B16="—",$B16=""),"",ROUND(MAX('Sport Records'!$B$97:$O$97),0))</f>
        <v/>
      </c>
      <c r="D16" s="30" t="str">
        <f>IF(OR($B16="—",$B16=""),"—",COUNTIFS('Match Log'!$D$4:$D$810,$B16,'Match Log'!$C$4:$C$810,$A16,'Match Log'!$E$4:$E$810,"Win")&amp;"–"&amp;(COUNTIFS('Match Log'!$D$4:$D$810,$B16,'Match Log'!$C$4:$C$810,$A16)-COUNTIFS('Match Log'!$D$4:$D$810,$B16,'Match Log'!$C$4:$C$810,$A16,'Match Log'!$E$4:$E$810,"Win")))</f>
        <v>—</v>
      </c>
      <c r="E16" s="30">
        <f>IFERROR('Sport Records'!$P$14,0)</f>
        <v>0</v>
      </c>
      <c r="G16" s="34" t="s">
        <v>139</v>
      </c>
      <c r="H16" s="35" t="s">
        <v>138</v>
      </c>
      <c r="I16" s="36" t="s">
        <v>140</v>
      </c>
    </row>
    <row r="17" spans="1:9" ht="15" customHeight="1" x14ac:dyDescent="0.2">
      <c r="A17" s="28" t="str">
        <f>IF(Lists!$C$9="","",Lists!$C$9)</f>
        <v>Snooker</v>
      </c>
      <c r="B17" s="29" t="str">
        <f>IFERROR('Sport Records'!$P$98,"—")</f>
        <v>—</v>
      </c>
      <c r="C17" s="30" t="str">
        <f>IF(OR($B17="—",$B17=""),"",ROUND(MAX('Sport Records'!$B$98:$O$98),0))</f>
        <v/>
      </c>
      <c r="D17" s="30" t="str">
        <f>IF(OR($B17="—",$B17=""),"—",COUNTIFS('Match Log'!$D$4:$D$810,$B17,'Match Log'!$C$4:$C$810,$A17,'Match Log'!$E$4:$E$810,"Win")&amp;"–"&amp;(COUNTIFS('Match Log'!$D$4:$D$810,$B17,'Match Log'!$C$4:$C$810,$A17)-COUNTIFS('Match Log'!$D$4:$D$810,$B17,'Match Log'!$C$4:$C$810,$A17,'Match Log'!$E$4:$E$810,"Win")))</f>
        <v>—</v>
      </c>
      <c r="E17" s="30">
        <f>IFERROR('Sport Records'!$P$15,0)</f>
        <v>0</v>
      </c>
      <c r="G17" s="37" t="s">
        <v>141</v>
      </c>
      <c r="H17" s="38" t="s">
        <v>142</v>
      </c>
      <c r="I17" s="39" t="s">
        <v>134</v>
      </c>
    </row>
    <row r="18" spans="1:9" ht="15" customHeight="1" x14ac:dyDescent="0.2">
      <c r="A18" s="28" t="str">
        <f>IF(Lists!$C$10="","",Lists!$C$10)</f>
        <v>Putt Putt</v>
      </c>
      <c r="B18" s="29" t="str">
        <f>IFERROR('Sport Records'!$P$99,"—")</f>
        <v>Josh</v>
      </c>
      <c r="C18" s="30">
        <f>IF(OR($B18="—",$B18=""),"",ROUND(MAX('Sport Records'!$B$99:$O$99),0))</f>
        <v>1016</v>
      </c>
      <c r="D18" s="30" t="str">
        <f>IF(OR($B18="—",$B18=""),"—",COUNTIFS('Match Log'!$D$4:$D$810,$B18,'Match Log'!$C$4:$C$810,$A18,'Match Log'!$E$4:$E$810,"Win")&amp;"–"&amp;(COUNTIFS('Match Log'!$D$4:$D$810,$B18,'Match Log'!$C$4:$C$810,$A18)-COUNTIFS('Match Log'!$D$4:$D$810,$B18,'Match Log'!$C$4:$C$810,$A18,'Match Log'!$E$4:$E$810,"Win")))</f>
        <v>1–0</v>
      </c>
      <c r="E18" s="30">
        <f>IFERROR('Sport Records'!$P$16,0)</f>
        <v>1</v>
      </c>
      <c r="G18" s="34" t="s">
        <v>143</v>
      </c>
      <c r="H18" s="40" t="s">
        <v>144</v>
      </c>
      <c r="I18" s="36"/>
    </row>
    <row r="19" spans="1:9" ht="15" customHeight="1" x14ac:dyDescent="0.2">
      <c r="A19" s="28" t="str">
        <f>IF(Lists!$C$11="","",Lists!$C$11)</f>
        <v>Back Yard Putt Putt</v>
      </c>
      <c r="B19" s="29" t="str">
        <f>IFERROR('Sport Records'!$P$100,"—")</f>
        <v>—</v>
      </c>
      <c r="C19" s="30" t="str">
        <f>IF(OR($B19="—",$B19=""),"",ROUND(MAX('Sport Records'!$B$100:$O$100),0))</f>
        <v/>
      </c>
      <c r="D19" s="30" t="str">
        <f>IF(OR($B19="—",$B19=""),"—",COUNTIFS('Match Log'!$D$4:$D$810,$B19,'Match Log'!$C$4:$C$810,$A19,'Match Log'!$E$4:$E$810,"Win")&amp;"–"&amp;(COUNTIFS('Match Log'!$D$4:$D$810,$B19,'Match Log'!$C$4:$C$810,$A19)-COUNTIFS('Match Log'!$D$4:$D$810,$B19,'Match Log'!$C$4:$C$810,$A19,'Match Log'!$E$4:$E$810,"Win")))</f>
        <v>—</v>
      </c>
      <c r="E19" s="30">
        <f>IFERROR('Sport Records'!$P$17,0)</f>
        <v>0</v>
      </c>
      <c r="G19" s="37" t="s">
        <v>145</v>
      </c>
      <c r="H19" s="41" t="s">
        <v>144</v>
      </c>
      <c r="I19" s="39"/>
    </row>
    <row r="20" spans="1:9" ht="15" customHeight="1" x14ac:dyDescent="0.2">
      <c r="A20" s="28" t="str">
        <f>IF(Lists!$C$12="","",Lists!$C$12)</f>
        <v>Sting Pong</v>
      </c>
      <c r="B20" s="29" t="str">
        <f>IFERROR('Sport Records'!$P$101,"—")</f>
        <v>—</v>
      </c>
      <c r="C20" s="30" t="str">
        <f>IF(OR($B20="—",$B20=""),"",ROUND(MAX('Sport Records'!$B$101:$O$101),0))</f>
        <v/>
      </c>
      <c r="D20" s="30" t="str">
        <f>IF(OR($B20="—",$B20=""),"—",COUNTIFS('Match Log'!$D$4:$D$810,$B20,'Match Log'!$C$4:$C$810,$A20,'Match Log'!$E$4:$E$810,"Win")&amp;"–"&amp;(COUNTIFS('Match Log'!$D$4:$D$810,$B20,'Match Log'!$C$4:$C$810,$A20)-COUNTIFS('Match Log'!$D$4:$D$810,$B20,'Match Log'!$C$4:$C$810,$A20,'Match Log'!$E$4:$E$810,"Win")))</f>
        <v>—</v>
      </c>
      <c r="E20" s="30">
        <f>IFERROR('Sport Records'!$P$18,0)</f>
        <v>0</v>
      </c>
      <c r="G20" s="34" t="s">
        <v>146</v>
      </c>
      <c r="H20" s="40" t="s">
        <v>144</v>
      </c>
      <c r="I20" s="36"/>
    </row>
    <row r="21" spans="1:9" ht="15" customHeight="1" x14ac:dyDescent="0.2">
      <c r="A21" s="28" t="str">
        <f>IF(Lists!$C$13="","",Lists!$C$13)</f>
        <v>Table Tennis</v>
      </c>
      <c r="B21" s="29" t="str">
        <f>IFERROR('Sport Records'!$P$102,"—")</f>
        <v>Josh</v>
      </c>
      <c r="C21" s="30">
        <f>IF(OR($B21="—",$B21=""),"",ROUND(MAX('Sport Records'!$B$102:$O$102),0))</f>
        <v>1109</v>
      </c>
      <c r="D21" s="30" t="str">
        <f>IF(OR($B21="—",$B21=""),"—",COUNTIFS('Match Log'!$D$4:$D$810,$B21,'Match Log'!$C$4:$C$810,$A21,'Match Log'!$E$4:$E$810,"Win")&amp;"–"&amp;(COUNTIFS('Match Log'!$D$4:$D$810,$B21,'Match Log'!$C$4:$C$810,$A21)-COUNTIFS('Match Log'!$D$4:$D$810,$B21,'Match Log'!$C$4:$C$810,$A21,'Match Log'!$E$4:$E$810,"Win")))</f>
        <v>13–2</v>
      </c>
      <c r="E21" s="30">
        <f>IFERROR('Sport Records'!$P$19,0)</f>
        <v>31</v>
      </c>
      <c r="G21" s="37" t="s">
        <v>147</v>
      </c>
      <c r="H21" s="41" t="s">
        <v>148</v>
      </c>
      <c r="I21" s="39" t="s">
        <v>149</v>
      </c>
    </row>
    <row r="22" spans="1:9" ht="15" customHeight="1" x14ac:dyDescent="0.2">
      <c r="A22" s="28" t="str">
        <f>IF(Lists!$C$14="","",Lists!$C$14)</f>
        <v>Mario Party</v>
      </c>
      <c r="B22" s="29" t="str">
        <f>IFERROR('Sport Records'!$P$103,"—")</f>
        <v>Daniel (Ferret)</v>
      </c>
      <c r="C22" s="30">
        <f>IF(OR($B22="—",$B22=""),"",ROUND(MAX('Sport Records'!$B$103:$O$103),0))</f>
        <v>1051</v>
      </c>
      <c r="D22" s="30" t="str">
        <f>IF(OR($B22="—",$B22=""),"—",COUNTIFS('Match Log'!$D$4:$D$810,$B22,'Match Log'!$C$4:$C$810,$A22,'Match Log'!$E$4:$E$810,"Win")&amp;"–"&amp;(COUNTIFS('Match Log'!$D$4:$D$810,$B22,'Match Log'!$C$4:$C$810,$A22)-COUNTIFS('Match Log'!$D$4:$D$810,$B22,'Match Log'!$C$4:$C$810,$A22,'Match Log'!$E$4:$E$810,"Win")))</f>
        <v>5–1</v>
      </c>
      <c r="E22" s="30">
        <f>IFERROR('Sport Records'!$P$20,0)</f>
        <v>10</v>
      </c>
      <c r="G22" s="26"/>
      <c r="H22" s="26"/>
      <c r="I22" s="26"/>
    </row>
    <row r="23" spans="1:9" ht="15" customHeight="1" x14ac:dyDescent="0.2">
      <c r="A23" s="28" t="str">
        <f>IF(Lists!$C$15="","",Lists!$C$15)</f>
        <v>Mario Kart</v>
      </c>
      <c r="B23" s="29" t="str">
        <f>IFERROR('Sport Records'!$P$104,"—")</f>
        <v>Chase</v>
      </c>
      <c r="C23" s="30">
        <f>IF(OR($B23="—",$B23=""),"",ROUND(MAX('Sport Records'!$B$104:$O$104),0))</f>
        <v>1056</v>
      </c>
      <c r="D23" s="30" t="str">
        <f>IF(OR($B23="—",$B23=""),"—",COUNTIFS('Match Log'!$D$4:$D$810,$B23,'Match Log'!$C$4:$C$810,$A23,'Match Log'!$E$4:$E$810,"Win")&amp;"–"&amp;(COUNTIFS('Match Log'!$D$4:$D$810,$B23,'Match Log'!$C$4:$C$810,$A23)-COUNTIFS('Match Log'!$D$4:$D$810,$B23,'Match Log'!$C$4:$C$810,$A23,'Match Log'!$E$4:$E$810,"Win")))</f>
        <v>4–0</v>
      </c>
      <c r="E23" s="30">
        <f>IFERROR('Sport Records'!$P$21,0)</f>
        <v>14</v>
      </c>
      <c r="G23" s="42" t="s">
        <v>150</v>
      </c>
      <c r="H23" s="43" t="s">
        <v>151</v>
      </c>
      <c r="I23" s="26"/>
    </row>
    <row r="24" spans="1:9" ht="15" customHeight="1" x14ac:dyDescent="0.2">
      <c r="A24" s="28" t="str">
        <f>IF(Lists!$C$16="","",Lists!$C$16)</f>
        <v>Go Karting</v>
      </c>
      <c r="B24" s="29" t="str">
        <f>IFERROR('Sport Records'!$P$105,"—")</f>
        <v>—</v>
      </c>
      <c r="C24" s="30" t="str">
        <f>IF(OR($B24="—",$B24=""),"",ROUND(MAX('Sport Records'!$B$105:$O$105),0))</f>
        <v/>
      </c>
      <c r="D24" s="30" t="str">
        <f>IF(OR($B24="—",$B24=""),"—",COUNTIFS('Match Log'!$D$4:$D$810,$B24,'Match Log'!$C$4:$C$810,$A24,'Match Log'!$E$4:$E$810,"Win")&amp;"–"&amp;(COUNTIFS('Match Log'!$D$4:$D$810,$B24,'Match Log'!$C$4:$C$810,$A24)-COUNTIFS('Match Log'!$D$4:$D$810,$B24,'Match Log'!$C$4:$C$810,$A24,'Match Log'!$E$4:$E$810,"Win")))</f>
        <v>—</v>
      </c>
      <c r="E24" s="30">
        <f>IFERROR('Sport Records'!$P$22,0)</f>
        <v>0</v>
      </c>
      <c r="G24" s="42" t="s">
        <v>152</v>
      </c>
      <c r="H24" s="43" t="s">
        <v>153</v>
      </c>
      <c r="I24" s="26"/>
    </row>
    <row r="25" spans="1:9" ht="15" customHeight="1" x14ac:dyDescent="0.2">
      <c r="A25" s="28" t="str">
        <f>IF(Lists!$C$17="","",Lists!$C$17)</f>
        <v>Call of Duty</v>
      </c>
      <c r="B25" s="29" t="str">
        <f>IFERROR('Sport Records'!$P$106,"—")</f>
        <v>Daniel (Ferret)</v>
      </c>
      <c r="C25" s="30">
        <f>IF(OR($B25="—",$B25=""),"",ROUND(MAX('Sport Records'!$B$106:$O$106),0))</f>
        <v>1031</v>
      </c>
      <c r="D25" s="30" t="str">
        <f>IF(OR($B25="—",$B25=""),"—",COUNTIFS('Match Log'!$D$4:$D$810,$B25,'Match Log'!$C$4:$C$810,$A25,'Match Log'!$E$4:$E$810,"Win")&amp;"–"&amp;(COUNTIFS('Match Log'!$D$4:$D$810,$B25,'Match Log'!$C$4:$C$810,$A25)-COUNTIFS('Match Log'!$D$4:$D$810,$B25,'Match Log'!$C$4:$C$810,$A25,'Match Log'!$E$4:$E$810,"Win")))</f>
        <v>2–0</v>
      </c>
      <c r="E25" s="30">
        <f>IFERROR('Sport Records'!$P$23,0)</f>
        <v>3</v>
      </c>
    </row>
    <row r="26" spans="1:9" ht="15" customHeight="1" x14ac:dyDescent="0.2">
      <c r="A26" s="28" t="str">
        <f>IF(Lists!$C$18="","",Lists!$C$18)</f>
        <v>Poker</v>
      </c>
      <c r="B26" s="29" t="str">
        <f>IFERROR('Sport Records'!$P$107,"—")</f>
        <v>Josh</v>
      </c>
      <c r="C26" s="30">
        <f>IF(OR($B26="—",$B26=""),"",ROUND(MAX('Sport Records'!$B$107:$O$107),0))</f>
        <v>1016</v>
      </c>
      <c r="D26" s="30" t="str">
        <f>IF(OR($B26="—",$B26=""),"—",COUNTIFS('Match Log'!$D$4:$D$810,$B26,'Match Log'!$C$4:$C$810,$A26,'Match Log'!$E$4:$E$810,"Win")&amp;"–"&amp;(COUNTIFS('Match Log'!$D$4:$D$810,$B26,'Match Log'!$C$4:$C$810,$A26)-COUNTIFS('Match Log'!$D$4:$D$810,$B26,'Match Log'!$C$4:$C$810,$A26,'Match Log'!$E$4:$E$810,"Win")))</f>
        <v>1–0</v>
      </c>
      <c r="E26" s="30">
        <f>IFERROR('Sport Records'!$P$24,0)</f>
        <v>1</v>
      </c>
    </row>
    <row r="27" spans="1:9" ht="15" customHeight="1" x14ac:dyDescent="0.2">
      <c r="A27" s="28" t="str">
        <f>IF(Lists!$C$19="","",Lists!$C$19)</f>
        <v>ShuffleBoard</v>
      </c>
      <c r="B27" s="29" t="str">
        <f>IFERROR('Sport Records'!$P$108,"—")</f>
        <v>Simon</v>
      </c>
      <c r="C27" s="30">
        <f>IF(OR($B27="—",$B27=""),"",ROUND(MAX('Sport Records'!$B$108:$O$108),0))</f>
        <v>1060</v>
      </c>
      <c r="D27" s="30" t="str">
        <f>IF(OR($B27="—",$B27=""),"—",COUNTIFS('Match Log'!$D$4:$D$810,$B27,'Match Log'!$C$4:$C$810,$A27,'Match Log'!$E$4:$E$810,"Win")&amp;"–"&amp;(COUNTIFS('Match Log'!$D$4:$D$810,$B27,'Match Log'!$C$4:$C$810,$A27)-COUNTIFS('Match Log'!$D$4:$D$810,$B27,'Match Log'!$C$4:$C$810,$A27,'Match Log'!$E$4:$E$810,"Win")))</f>
        <v>8–3</v>
      </c>
      <c r="E27" s="30">
        <f>IFERROR('Sport Records'!$P$25,0)</f>
        <v>31</v>
      </c>
    </row>
    <row r="28" spans="1:9" ht="15" customHeight="1" x14ac:dyDescent="0.2">
      <c r="A28" s="28" t="str">
        <f>IF(Lists!$C$20="","",Lists!$C$20)</f>
        <v>Mario Golf</v>
      </c>
      <c r="B28" s="29" t="str">
        <f>'Sport Records'!$P$109</f>
        <v>Shawn</v>
      </c>
      <c r="C28" s="30">
        <f>IF(OR($B28="—",$B28=""),"",ROUND(MAX('Sport Records'!$B$109:$O$109),0))</f>
        <v>1030</v>
      </c>
      <c r="D28" s="30" t="str">
        <f>IF(OR($B28="—",$B28=""),"—",COUNTIFS('Match Log'!$D$4:$D$810,$B28,'Match Log'!$C$4:$C$810,$A28,'Match Log'!$E$4:$E$810,"Win")&amp;"–"&amp;(COUNTIFS('Match Log'!$D$4:$D$810,$B28,'Match Log'!$C$4:$C$810,$A28)-COUNTIFS('Match Log'!$D$4:$D$810,$B28,'Match Log'!$C$4:$C$810,$A28,'Match Log'!$E$4:$E$810,"Win")))</f>
        <v>5–2</v>
      </c>
      <c r="E28" s="30">
        <f>'Sport Records'!$P$26</f>
        <v>11</v>
      </c>
    </row>
    <row r="29" spans="1:9" x14ac:dyDescent="0.2">
      <c r="A29" s="28" t="s">
        <v>407</v>
      </c>
      <c r="B29" s="29" t="str">
        <f>IFERROR('Sport Records'!$P$110,"—")</f>
        <v>—</v>
      </c>
      <c r="C29" s="30" t="str">
        <f>IF(OR($B29="—",$B29=""),"",ROUND(MAX('Sport Records'!$B$110:$O$110),0))</f>
        <v/>
      </c>
      <c r="D29" s="30" t="str">
        <f>IF(OR($B29="—",$B29=""),"—",COUNTIFS('Match Log'!$D$4:$D$810,$B29,'Match Log'!$C$4:$C$810,$A29,'Match Log'!$E$4:$E$810,"Win")&amp;"–"&amp;(COUNTIFS('Match Log'!$D$4:$D$810,$B29,'Match Log'!$C$4:$C$810,$A29)-COUNTIFS('Match Log'!$D$4:$D$810,$B29,'Match Log'!$C$4:$C$810,$A29,'Match Log'!$E$4:$E$810,"Win")))</f>
        <v>—</v>
      </c>
      <c r="E29" s="30">
        <f>IFERROR('Sport Records'!$P$27,0)</f>
        <v>0</v>
      </c>
    </row>
  </sheetData>
  <autoFilter ref="A9:E27" xr:uid="{00000000-0009-0000-0000-000001000000}"/>
  <mergeCells count="6">
    <mergeCell ref="A8:E8"/>
    <mergeCell ref="A1:E1"/>
    <mergeCell ref="A2:E2"/>
    <mergeCell ref="A4:E4"/>
    <mergeCell ref="A5:E5"/>
    <mergeCell ref="A6:E6"/>
  </mergeCells>
  <conditionalFormatting sqref="C10:C28">
    <cfRule type="colorScale" priority="2">
      <colorScale>
        <cfvo type="num" val="920"/>
        <cfvo type="num" val="1000"/>
        <cfvo type="num" val="112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45558-0C3D-5542-B4D5-7A79784D9AC1}">
  <sheetPr>
    <tabColor rgb="FFB23A48"/>
  </sheetPr>
  <dimension ref="A1:X23"/>
  <sheetViews>
    <sheetView tabSelected="1" zoomScale="180" zoomScaleNormal="100" workbookViewId="0">
      <pane xSplit="3" ySplit="4" topLeftCell="O5" activePane="bottomRight" state="frozen"/>
      <selection pane="topRight" activeCell="D1" sqref="D1"/>
      <selection pane="bottomLeft" activeCell="A5" sqref="A5"/>
      <selection pane="bottomRight" activeCell="B21" sqref="B21"/>
    </sheetView>
  </sheetViews>
  <sheetFormatPr baseColWidth="10" defaultColWidth="8.6640625" defaultRowHeight="15" x14ac:dyDescent="0.2"/>
  <cols>
    <col min="1" max="1" width="8.33203125" customWidth="1"/>
    <col min="2" max="2" width="12.6640625" customWidth="1"/>
    <col min="3" max="3" width="15.5" customWidth="1"/>
    <col min="4" max="4" width="12" customWidth="1"/>
    <col min="5" max="6" width="9.6640625" customWidth="1"/>
    <col min="7" max="7" width="11.1640625" customWidth="1"/>
    <col min="8" max="8" width="13" customWidth="1"/>
    <col min="9" max="9" width="13.5" customWidth="1"/>
    <col min="10" max="10" width="14.1640625" customWidth="1"/>
    <col min="11" max="11" width="11.5" customWidth="1"/>
    <col min="12" max="12" width="11.33203125" customWidth="1"/>
    <col min="13" max="13" width="10.6640625" customWidth="1"/>
    <col min="14" max="14" width="11.83203125" customWidth="1"/>
    <col min="15" max="15" width="11.5" customWidth="1"/>
    <col min="16" max="16" width="16.33203125" customWidth="1"/>
    <col min="17" max="17" width="10.5" customWidth="1"/>
    <col min="18" max="18" width="15.83203125" customWidth="1"/>
    <col min="19" max="19" width="13.1640625" customWidth="1"/>
    <col min="20" max="20" width="11.83203125" customWidth="1"/>
    <col min="21" max="21" width="12.33203125" customWidth="1"/>
    <col min="22" max="22" width="15" customWidth="1"/>
    <col min="23" max="23" width="9.83203125" customWidth="1"/>
  </cols>
  <sheetData>
    <row r="1" spans="1:24" ht="22.5" customHeight="1" x14ac:dyDescent="0.2">
      <c r="A1" s="142" t="s">
        <v>154</v>
      </c>
      <c r="B1" s="136"/>
      <c r="C1" s="136"/>
      <c r="D1" s="136"/>
      <c r="E1" s="136"/>
      <c r="F1" s="136"/>
      <c r="G1" s="136"/>
      <c r="H1" s="136"/>
      <c r="I1" s="136"/>
      <c r="J1" s="136"/>
      <c r="K1" s="136"/>
      <c r="L1" s="136"/>
    </row>
    <row r="2" spans="1:24" ht="15" customHeight="1" x14ac:dyDescent="0.2">
      <c r="A2" s="135" t="s">
        <v>155</v>
      </c>
      <c r="B2" s="135"/>
      <c r="C2" s="135"/>
      <c r="D2" s="135"/>
      <c r="E2" s="135"/>
      <c r="F2" s="135"/>
      <c r="G2" s="135"/>
      <c r="H2" s="135"/>
      <c r="I2" s="135"/>
      <c r="J2" s="135"/>
      <c r="K2" s="135"/>
      <c r="L2" s="135"/>
      <c r="M2" s="139" t="str">
        <f>"Standings as of Game "&amp;MAX('Match Log'!$A$4:$A$810)&amp;"  ·  "&amp;TEXT(MAX('Match Log'!$B$4:$B$810),"d mmm yyyy")</f>
        <v>Standings as of Game 138  ·  11 Jul 2026</v>
      </c>
      <c r="T2" s="44" t="str">
        <f>IF(COUNTIF($T$5:$T$18,"At risk")+COUNTIF($T$5:$T$18,"Inactive")=0,"Inactivity watch:  all players active ✓","⚠ Inactivity watch:  "&amp;(COUNTIF($T$5:$T$18,"At risk")+COUNTIF($T$5:$T$18,"Inactive"))&amp;" player(s) need a game — see Activity column")</f>
        <v>⚠ Inactivity watch:  9 player(s) need a game — see Activity column</v>
      </c>
    </row>
    <row r="3" spans="1:24" ht="15.75" customHeight="1" x14ac:dyDescent="0.2">
      <c r="A3" s="137" t="str">
        <f>"Current Champion:  "&amp;IFERROR(INDEX($B$5:$B$18,MATCH(SUMPRODUCT(MAX(($L$5:$L$18="Eligible")*($T$5:$T$18&lt;&gt;"Inactive")*$V$5:$V$18)),$V$5:$V$18,0)),"— none eligible yet —")</f>
        <v>Current Champion:  Dean B</v>
      </c>
      <c r="B3" s="137"/>
      <c r="C3" s="137"/>
    </row>
    <row r="4" spans="1:24" ht="15" customHeight="1" x14ac:dyDescent="0.2">
      <c r="A4" s="45" t="s">
        <v>114</v>
      </c>
      <c r="B4" s="45" t="s">
        <v>156</v>
      </c>
      <c r="C4" s="45" t="s">
        <v>69</v>
      </c>
      <c r="D4" s="45" t="s">
        <v>127</v>
      </c>
      <c r="E4" s="45" t="s">
        <v>157</v>
      </c>
      <c r="F4" s="45" t="s">
        <v>158</v>
      </c>
      <c r="G4" s="45" t="s">
        <v>102</v>
      </c>
      <c r="H4" s="45" t="s">
        <v>79</v>
      </c>
      <c r="I4" s="45" t="s">
        <v>81</v>
      </c>
      <c r="J4" s="45" t="s">
        <v>83</v>
      </c>
      <c r="K4" s="45" t="s">
        <v>159</v>
      </c>
      <c r="L4" s="45" t="s">
        <v>100</v>
      </c>
      <c r="M4" s="45" t="s">
        <v>160</v>
      </c>
      <c r="N4" s="45" t="s">
        <v>161</v>
      </c>
      <c r="O4" s="45" t="s">
        <v>89</v>
      </c>
      <c r="P4" s="45" t="s">
        <v>162</v>
      </c>
      <c r="Q4" s="45" t="s">
        <v>163</v>
      </c>
      <c r="R4" s="45" t="s">
        <v>164</v>
      </c>
      <c r="S4" s="45" t="s">
        <v>165</v>
      </c>
      <c r="T4" s="45" t="s">
        <v>97</v>
      </c>
      <c r="U4" s="45" t="s">
        <v>73</v>
      </c>
      <c r="V4" s="45" t="s">
        <v>166</v>
      </c>
      <c r="W4" s="45" t="s">
        <v>98</v>
      </c>
      <c r="X4" s="45" t="s">
        <v>423</v>
      </c>
    </row>
    <row r="5" spans="1:24" ht="15" customHeight="1" x14ac:dyDescent="0.2">
      <c r="A5" s="46">
        <f>ROW()-4</f>
        <v>1</v>
      </c>
      <c r="B5" s="47" t="str">
        <f>IFERROR(INDEX(Calcs!$A$7:$A$20,MATCH(LARGE(Calcs!$AI$7:$AI$20,ROW()-4),Calcs!$AI$7:$AI$20,0)),"")</f>
        <v>Dean B</v>
      </c>
      <c r="C5" s="48">
        <f>INDEX(Engine!$B$2:$B$15,MATCH($B5,Engine!$A$2:$A$15,0))+SUMIF('Poker Stake Ledger'!$C$18:$C$137,$B5,'Poker Stake Ledger'!$K$18:$K$137)</f>
        <v>1168.2113436007442</v>
      </c>
      <c r="D5" s="49">
        <f>COUNTIF('Match Log'!$D$4:$D$810,$B5)</f>
        <v>23</v>
      </c>
      <c r="E5" s="49">
        <f>COUNTIFS('Match Log'!$D$4:$D$810,$B5,'Match Log'!$E$4:$E$810,"Win")</f>
        <v>15</v>
      </c>
      <c r="F5" s="49">
        <f>$D5-$E5</f>
        <v>8</v>
      </c>
      <c r="G5" s="50">
        <f>IF($D5=0,"",$E5/$D5)</f>
        <v>0.65217391304347827</v>
      </c>
      <c r="H5" s="51">
        <f>SUMIF('Match Log'!$D$4:$D$810,$B5,'Match Log'!$J$4:$J$810)</f>
        <v>79.570981480915592</v>
      </c>
      <c r="I5" s="51">
        <f>SUMIF('Match Log'!$D$4:$D$810,$B5,'Match Log'!$K$4:$K$810)</f>
        <v>56.640362119828737</v>
      </c>
      <c r="J5" s="51">
        <f>SUMIF('Match Log'!$D$4:$D$810,$B5,'Match Log'!$L$4:$L$810)</f>
        <v>32</v>
      </c>
      <c r="K5" s="49">
        <f>SUMPRODUCT(--(COUNTIFS('Match Log'!$D$4:$D$810,$B5,'Match Log'!$C$4:$C$810,Lists!$C$2:$C$21)&gt;0))</f>
        <v>3</v>
      </c>
      <c r="L5" s="49" t="str">
        <f>IF($D5=0,"No games",IF(AND($D5&gt;='Guide &amp; Settings'!$C$45,$K5&gt;='Guide &amp; Settings'!$C$46),"Eligible","Provisional"))</f>
        <v>Eligible</v>
      </c>
      <c r="M5" s="48">
        <f>IFERROR(INDEX(Calcs!$C$7:$C$20,MATCH($B5,Calcs!$A$7:$A$20,0)),"")</f>
        <v>1052.5331905138544</v>
      </c>
      <c r="N5" s="48">
        <f>MAX($C$5:$C$18)-$C5</f>
        <v>0</v>
      </c>
      <c r="O5" s="49" t="str">
        <f>IFERROR(INDEX(Calcs!$H$7:$H$20,MATCH($B5,Calcs!$A$7:$A$20,0)),"")</f>
        <v>W2</v>
      </c>
      <c r="P5" s="49" t="str">
        <f>IFERROR(INDEX(Calcs!$I$7:$I$20,MATCH($B5,Calcs!$A$7:$A$20,0)),"")</f>
        <v>LLLWW</v>
      </c>
      <c r="Q5" s="49" t="str">
        <f>IFERROR(IF(INDEX(Calcs!$L$7:$L$20,MATCH($B5,Calcs!$A$7:$A$20,0))&gt;0,"▲"&amp;INDEX(Calcs!$L$7:$L$20,MATCH($B5,Calcs!$A$7:$A$20,0)),IF(INDEX(Calcs!$L$7:$L$20,MATCH($B5,Calcs!$A$7:$A$20,0))&lt;0,"▼"&amp;ABS(INDEX(Calcs!$L$7:$L$20,MATCH($B5,Calcs!$A$7:$A$20,0))),"–")),"")</f>
        <v>–</v>
      </c>
      <c r="R5" s="49" t="str">
        <f>IFERROR(IF(INDEX(Calcs!$P$7:$P$20,MATCH($B5,Calcs!$A$7:$A$20,0))=0,"—",TEXT(INDEX(Calcs!$P$7:$P$20,MATCH($B5,Calcs!$A$7:$A$20,0)),"d mmm")),"")</f>
        <v>16 Jun</v>
      </c>
      <c r="S5" s="49">
        <f>IFERROR(ROUND(INDEX(Calcs!$Q$7:$Q$20,MATCH($B5,Calcs!$A$7:$A$20,0)),1),"")</f>
        <v>3.6</v>
      </c>
      <c r="T5" s="49" t="str">
        <f>IFERROR(INDEX(Calcs!$T$7:$T$20,MATCH($B5,Calcs!$A$7:$A$20,0)),"")</f>
        <v>At risk</v>
      </c>
      <c r="U5">
        <f>IFERROR(MAX(0,ROUND($C5-INDEX(Calcs!$S$7:$S$20,MATCH($B5,Calcs!$A$7:$A$20,0)),0)),0)</f>
        <v>0</v>
      </c>
      <c r="V5" s="51">
        <f>IFERROR(ROUND(INDEX(Calcs!$S$7:$S$20,MATCH($B5,Calcs!$A$7:$A$20,0)),0),"")</f>
        <v>1168</v>
      </c>
      <c r="W5" s="49" t="str">
        <f>IFERROR(INDEX(Calcs!$AF$7:$AF$20,MATCH($B5,Calcs!$A$7:$A$20,0)),"")</f>
        <v>Strong</v>
      </c>
      <c r="X5" s="51">
        <f>IFERROR(ROUND(SUMIF('Poker Stake Ledger'!$C$18:$C$137,$B5,'Poker Stake Ledger'!$K$18:$K$137),1),0)</f>
        <v>0</v>
      </c>
    </row>
    <row r="6" spans="1:24" ht="15" customHeight="1" x14ac:dyDescent="0.2">
      <c r="A6" s="46">
        <f>ROW()-4</f>
        <v>2</v>
      </c>
      <c r="B6" s="47" t="str">
        <f>IFERROR(INDEX(Calcs!$A$7:$A$20,MATCH(LARGE(Calcs!$AI$7:$AI$20,ROW()-4),Calcs!$AI$7:$AI$20,0)),"")</f>
        <v>Josh</v>
      </c>
      <c r="C6" s="48">
        <f>INDEX(Engine!$B$2:$B$15,MATCH($B6,Engine!$A$2:$A$15,0))+SUMIF('Poker Stake Ledger'!$C$18:$C$137,$B6,'Poker Stake Ledger'!$K$18:$K$137)</f>
        <v>1129.7012289075892</v>
      </c>
      <c r="D6" s="49">
        <f>COUNTIF('Match Log'!$D$4:$D$810,$B6)</f>
        <v>32</v>
      </c>
      <c r="E6" s="49">
        <f>COUNTIFS('Match Log'!$D$4:$D$810,$B6,'Match Log'!$E$4:$E$810,"Win")</f>
        <v>20</v>
      </c>
      <c r="F6" s="49">
        <f>$D6-$E6</f>
        <v>12</v>
      </c>
      <c r="G6" s="50">
        <f>IF($D6=0,"",$E6/$D6)</f>
        <v>0.625</v>
      </c>
      <c r="H6" s="51">
        <f>SUMIF('Match Log'!$D$4:$D$810,$B6,'Match Log'!$J$4:$J$810)</f>
        <v>36.229836962054236</v>
      </c>
      <c r="I6" s="51">
        <f>SUMIF('Match Log'!$D$4:$D$810,$B6,'Match Log'!$K$4:$K$810)</f>
        <v>51.471391945534876</v>
      </c>
      <c r="J6" s="51">
        <f>SUMIF('Match Log'!$D$4:$D$810,$B6,'Match Log'!$L$4:$L$810)</f>
        <v>42</v>
      </c>
      <c r="K6" s="49">
        <f>SUMPRODUCT(--(COUNTIFS('Match Log'!$D$4:$D$810,$B6,'Match Log'!$C$4:$C$810,Lists!$C$2:$C$21)&gt;0))</f>
        <v>8</v>
      </c>
      <c r="L6" s="49" t="str">
        <f>IF($D6=0,"No games",IF(AND($D6&gt;='Guide &amp; Settings'!$C$45,$K6&gt;='Guide &amp; Settings'!$C$46),"Eligible","Provisional"))</f>
        <v>Eligible</v>
      </c>
      <c r="M6" s="48">
        <f>IFERROR(INDEX(Calcs!$C$7:$C$20,MATCH($B6,Calcs!$A$7:$A$20,0)),"")</f>
        <v>1040.5738512021542</v>
      </c>
      <c r="N6" s="48">
        <f>MAX($C$5:$C$18)-$C6</f>
        <v>38.510114693154947</v>
      </c>
      <c r="O6" s="49" t="str">
        <f>IFERROR(INDEX(Calcs!$H$7:$H$20,MATCH($B6,Calcs!$A$7:$A$20,0)),"")</f>
        <v>L1</v>
      </c>
      <c r="P6" s="49" t="str">
        <f>IFERROR(INDEX(Calcs!$I$7:$I$20,MATCH($B6,Calcs!$A$7:$A$20,0)),"")</f>
        <v>LLWWL</v>
      </c>
      <c r="Q6" s="49" t="str">
        <f>IFERROR(IF(INDEX(Calcs!$L$7:$L$20,MATCH($B6,Calcs!$A$7:$A$20,0))&gt;0,"▲"&amp;INDEX(Calcs!$L$7:$L$20,MATCH($B6,Calcs!$A$7:$A$20,0)),IF(INDEX(Calcs!$L$7:$L$20,MATCH($B6,Calcs!$A$7:$A$20,0))&lt;0,"▼"&amp;ABS(INDEX(Calcs!$L$7:$L$20,MATCH($B6,Calcs!$A$7:$A$20,0))),"–")),"")</f>
        <v>▲1</v>
      </c>
      <c r="R6" s="49" t="str">
        <f>IFERROR(IF(INDEX(Calcs!$P$7:$P$20,MATCH($B6,Calcs!$A$7:$A$20,0))=0,"—",TEXT(INDEX(Calcs!$P$7:$P$20,MATCH($B6,Calcs!$A$7:$A$20,0)),"d mmm")),"")</f>
        <v>26 Jun</v>
      </c>
      <c r="S6" s="49">
        <f>IFERROR(ROUND(INDEX(Calcs!$Q$7:$Q$20,MATCH($B6,Calcs!$A$7:$A$20,0)),1),"")</f>
        <v>2.1</v>
      </c>
      <c r="T6" s="49" t="str">
        <f>IFERROR(INDEX(Calcs!$T$7:$T$20,MATCH($B6,Calcs!$A$7:$A$20,0)),"")</f>
        <v>At risk</v>
      </c>
      <c r="U6">
        <f>IFERROR(MAX(0,ROUND($C6-INDEX(Calcs!$S$7:$S$20,MATCH($B6,Calcs!$A$7:$A$20,0)),0)),0)</f>
        <v>0</v>
      </c>
      <c r="V6" s="51">
        <f>IFERROR(ROUND(INDEX(Calcs!$S$7:$S$20,MATCH($B6,Calcs!$A$7:$A$20,0)),0),"")</f>
        <v>1130</v>
      </c>
      <c r="W6" s="49" t="str">
        <f>IFERROR(INDEX(Calcs!$AF$7:$AF$20,MATCH($B6,Calcs!$A$7:$A$20,0)),"")</f>
        <v>Elite</v>
      </c>
      <c r="X6" s="51">
        <f>IFERROR(ROUND(SUMIF('Poker Stake Ledger'!$C$18:$C$137,$B6,'Poker Stake Ledger'!$K$18:$K$137),1),0)</f>
        <v>0</v>
      </c>
    </row>
    <row r="7" spans="1:24" ht="15" customHeight="1" x14ac:dyDescent="0.2">
      <c r="A7" s="46">
        <f>ROW()-4</f>
        <v>3</v>
      </c>
      <c r="B7" s="47" t="str">
        <f>IFERROR(INDEX(Calcs!$A$7:$A$20,MATCH(LARGE(Calcs!$AI$7:$AI$20,ROW()-4),Calcs!$AI$7:$AI$20,0)),"")</f>
        <v>Aaron</v>
      </c>
      <c r="C7" s="48">
        <f>INDEX(Engine!$B$2:$B$15,MATCH($B7,Engine!$A$2:$A$15,0))+SUMIF('Poker Stake Ledger'!$C$18:$C$137,$B7,'Poker Stake Ledger'!$K$18:$K$137)</f>
        <v>1109.2177733663168</v>
      </c>
      <c r="D7" s="49">
        <f>COUNTIF('Match Log'!$D$4:$D$810,$B7)</f>
        <v>37</v>
      </c>
      <c r="E7" s="49">
        <f>COUNTIFS('Match Log'!$D$4:$D$810,$B7,'Match Log'!$E$4:$E$810,"Win")</f>
        <v>21</v>
      </c>
      <c r="F7" s="49">
        <f>$D7-$E7</f>
        <v>16</v>
      </c>
      <c r="G7" s="50">
        <f>IF($D7=0,"",$E7/$D7)</f>
        <v>0.56756756756756754</v>
      </c>
      <c r="H7" s="51">
        <f>SUMIF('Match Log'!$D$4:$D$810,$B7,'Match Log'!$J$4:$J$810)</f>
        <v>30.178231816513897</v>
      </c>
      <c r="I7" s="51">
        <f>SUMIF('Match Log'!$D$4:$D$810,$B7,'Match Log'!$K$4:$K$810)</f>
        <v>51.039541549803104</v>
      </c>
      <c r="J7" s="51">
        <f>SUMIF('Match Log'!$D$4:$D$810,$B7,'Match Log'!$L$4:$L$810)</f>
        <v>28</v>
      </c>
      <c r="K7" s="49">
        <f>SUMPRODUCT(--(COUNTIFS('Match Log'!$D$4:$D$810,$B7,'Match Log'!$C$4:$C$810,Lists!$C$2:$C$21)&gt;0))</f>
        <v>8</v>
      </c>
      <c r="L7" s="49" t="str">
        <f>IF($D7=0,"No games",IF(AND($D7&gt;='Guide &amp; Settings'!$C$45,$K7&gt;='Guide &amp; Settings'!$C$46),"Eligible","Provisional"))</f>
        <v>Eligible</v>
      </c>
      <c r="M7" s="48">
        <f>IFERROR(INDEX(Calcs!$C$7:$C$20,MATCH($B7,Calcs!$A$7:$A$20,0)),"")</f>
        <v>1033.2935723401292</v>
      </c>
      <c r="N7" s="48">
        <f>MAX($C$5:$C$18)-$C7</f>
        <v>58.993570234427352</v>
      </c>
      <c r="O7" s="49" t="str">
        <f>IFERROR(INDEX(Calcs!$H$7:$H$20,MATCH($B7,Calcs!$A$7:$A$20,0)),"")</f>
        <v>L1</v>
      </c>
      <c r="P7" s="49" t="str">
        <f>IFERROR(INDEX(Calcs!$I$7:$I$20,MATCH($B7,Calcs!$A$7:$A$20,0)),"")</f>
        <v>LWWWL</v>
      </c>
      <c r="Q7" s="49" t="str">
        <f>IFERROR(IF(INDEX(Calcs!$L$7:$L$20,MATCH($B7,Calcs!$A$7:$A$20,0))&gt;0,"▲"&amp;INDEX(Calcs!$L$7:$L$20,MATCH($B7,Calcs!$A$7:$A$20,0)),IF(INDEX(Calcs!$L$7:$L$20,MATCH($B7,Calcs!$A$7:$A$20,0))&lt;0,"▼"&amp;ABS(INDEX(Calcs!$L$7:$L$20,MATCH($B7,Calcs!$A$7:$A$20,0))),"–")),"")</f>
        <v>▲1</v>
      </c>
      <c r="R7" s="49" t="str">
        <f>IFERROR(IF(INDEX(Calcs!$P$7:$P$20,MATCH($B7,Calcs!$A$7:$A$20,0))=0,"—",TEXT(INDEX(Calcs!$P$7:$P$20,MATCH($B7,Calcs!$A$7:$A$20,0)),"d mmm")),"")</f>
        <v>11 Jul</v>
      </c>
      <c r="S7" s="49">
        <f>IFERROR(ROUND(INDEX(Calcs!$Q$7:$Q$20,MATCH($B7,Calcs!$A$7:$A$20,0)),1),"")</f>
        <v>0</v>
      </c>
      <c r="T7" s="49" t="str">
        <f>IFERROR(INDEX(Calcs!$T$7:$T$20,MATCH($B7,Calcs!$A$7:$A$20,0)),"")</f>
        <v>Active</v>
      </c>
      <c r="U7">
        <f>IFERROR(MAX(0,ROUND($C7-INDEX(Calcs!$S$7:$S$20,MATCH($B7,Calcs!$A$7:$A$20,0)),0)),0)</f>
        <v>0</v>
      </c>
      <c r="V7" s="51">
        <f>IFERROR(ROUND(INDEX(Calcs!$S$7:$S$20,MATCH($B7,Calcs!$A$7:$A$20,0)),0),"")</f>
        <v>1109</v>
      </c>
      <c r="W7" s="49" t="str">
        <f>IFERROR(INDEX(Calcs!$AF$7:$AF$20,MATCH($B7,Calcs!$A$7:$A$20,0)),"")</f>
        <v>Elite</v>
      </c>
      <c r="X7" s="51">
        <f>IFERROR(ROUND(SUMIF('Poker Stake Ledger'!$C$18:$C$137,$B7,'Poker Stake Ledger'!$K$18:$K$137),1),0)</f>
        <v>0</v>
      </c>
    </row>
    <row r="8" spans="1:24" ht="15" customHeight="1" x14ac:dyDescent="0.2">
      <c r="A8" s="46">
        <f>ROW()-4</f>
        <v>4</v>
      </c>
      <c r="B8" s="47" t="str">
        <f>IFERROR(INDEX(Calcs!$A$7:$A$20,MATCH(LARGE(Calcs!$AI$7:$AI$20,ROW()-4),Calcs!$AI$7:$AI$20,0)),"")</f>
        <v>Simon</v>
      </c>
      <c r="C8" s="48">
        <f>INDEX(Engine!$B$2:$B$15,MATCH($B8,Engine!$A$2:$A$15,0))+SUMIF('Poker Stake Ledger'!$C$18:$C$137,$B8,'Poker Stake Ledger'!$K$18:$K$137)</f>
        <v>1084.8903813508514</v>
      </c>
      <c r="D8" s="49">
        <f>COUNTIF('Match Log'!$D$4:$D$810,$B8)</f>
        <v>17</v>
      </c>
      <c r="E8" s="49">
        <f>COUNTIFS('Match Log'!$D$4:$D$810,$B8,'Match Log'!$E$4:$E$810,"Win")</f>
        <v>10</v>
      </c>
      <c r="F8" s="49">
        <f>$D8-$E8</f>
        <v>7</v>
      </c>
      <c r="G8" s="50">
        <f>IF($D8=0,"",$E8/$D8)</f>
        <v>0.58823529411764708</v>
      </c>
      <c r="H8" s="51">
        <f>SUMIF('Match Log'!$D$4:$D$810,$B8,'Match Log'!$J$4:$J$810)</f>
        <v>19.980017009183754</v>
      </c>
      <c r="I8" s="51">
        <f>SUMIF('Match Log'!$D$4:$D$810,$B8,'Match Log'!$K$4:$K$810)</f>
        <v>28.910364341667837</v>
      </c>
      <c r="J8" s="51">
        <f>SUMIF('Match Log'!$D$4:$D$810,$B8,'Match Log'!$L$4:$L$810)</f>
        <v>36</v>
      </c>
      <c r="K8" s="49">
        <f>SUMPRODUCT(--(COUNTIFS('Match Log'!$D$4:$D$810,$B8,'Match Log'!$C$4:$C$810,Lists!$C$2:$C$21)&gt;0))</f>
        <v>4</v>
      </c>
      <c r="L8" s="49" t="str">
        <f>IF($D8=0,"No games",IF(AND($D8&gt;='Guide &amp; Settings'!$C$45,$K8&gt;='Guide &amp; Settings'!$C$46),"Eligible","Provisional"))</f>
        <v>Eligible</v>
      </c>
      <c r="M8" s="48">
        <f>IFERROR(INDEX(Calcs!$C$7:$C$20,MATCH($B8,Calcs!$A$7:$A$20,0)),"")</f>
        <v>1053.5649621300804</v>
      </c>
      <c r="N8" s="48">
        <f>MAX($C$5:$C$18)-$C8</f>
        <v>83.320962249892773</v>
      </c>
      <c r="O8" s="49" t="str">
        <f>IFERROR(INDEX(Calcs!$H$7:$H$20,MATCH($B8,Calcs!$A$7:$A$20,0)),"")</f>
        <v>L3</v>
      </c>
      <c r="P8" s="49" t="str">
        <f>IFERROR(INDEX(Calcs!$I$7:$I$20,MATCH($B8,Calcs!$A$7:$A$20,0)),"")</f>
        <v>WWLLL</v>
      </c>
      <c r="Q8" s="49" t="str">
        <f>IFERROR(IF(INDEX(Calcs!$L$7:$L$20,MATCH($B8,Calcs!$A$7:$A$20,0))&gt;0,"▲"&amp;INDEX(Calcs!$L$7:$L$20,MATCH($B8,Calcs!$A$7:$A$20,0)),IF(INDEX(Calcs!$L$7:$L$20,MATCH($B8,Calcs!$A$7:$A$20,0))&lt;0,"▼"&amp;ABS(INDEX(Calcs!$L$7:$L$20,MATCH($B8,Calcs!$A$7:$A$20,0))),"–")),"")</f>
        <v>▲1</v>
      </c>
      <c r="R8" s="49" t="str">
        <f>IFERROR(IF(INDEX(Calcs!$P$7:$P$20,MATCH($B8,Calcs!$A$7:$A$20,0))=0,"—",TEXT(INDEX(Calcs!$P$7:$P$20,MATCH($B8,Calcs!$A$7:$A$20,0)),"d mmm")),"")</f>
        <v>15 Jun</v>
      </c>
      <c r="S8" s="49">
        <f>IFERROR(ROUND(INDEX(Calcs!$Q$7:$Q$20,MATCH($B8,Calcs!$A$7:$A$20,0)),1),"")</f>
        <v>3.7</v>
      </c>
      <c r="T8" s="49" t="str">
        <f>IFERROR(INDEX(Calcs!$T$7:$T$20,MATCH($B8,Calcs!$A$7:$A$20,0)),"")</f>
        <v>At risk</v>
      </c>
      <c r="U8">
        <f>IFERROR(MAX(0,ROUND($C8-INDEX(Calcs!$S$7:$S$20,MATCH($B8,Calcs!$A$7:$A$20,0)),0)),0)</f>
        <v>0</v>
      </c>
      <c r="V8" s="51">
        <f>IFERROR(ROUND(INDEX(Calcs!$S$7:$S$20,MATCH($B8,Calcs!$A$7:$A$20,0)),0),"")</f>
        <v>1085</v>
      </c>
      <c r="W8" s="49" t="str">
        <f>IFERROR(INDEX(Calcs!$AF$7:$AF$20,MATCH($B8,Calcs!$A$7:$A$20,0)),"")</f>
        <v>Strong</v>
      </c>
      <c r="X8" s="51">
        <f>IFERROR(ROUND(SUMIF('Poker Stake Ledger'!$C$18:$C$137,$B8,'Poker Stake Ledger'!$K$18:$K$137),1),0)</f>
        <v>0</v>
      </c>
    </row>
    <row r="9" spans="1:24" ht="15" customHeight="1" x14ac:dyDescent="0.2">
      <c r="A9" s="46">
        <f>ROW()-4</f>
        <v>5</v>
      </c>
      <c r="B9" s="47" t="str">
        <f>IFERROR(INDEX(Calcs!$A$7:$A$20,MATCH(LARGE(Calcs!$AI$7:$AI$20,ROW()-4),Calcs!$AI$7:$AI$20,0)),"")</f>
        <v>Oscar</v>
      </c>
      <c r="C9" s="48">
        <f>INDEX(Engine!$B$2:$B$15,MATCH($B9,Engine!$A$2:$A$15,0))+SUMIF('Poker Stake Ledger'!$C$18:$C$137,$B9,'Poker Stake Ledger'!$K$18:$K$137)</f>
        <v>1058.6657209484931</v>
      </c>
      <c r="D9" s="49">
        <f>COUNTIF('Match Log'!$D$4:$D$810,$B9)</f>
        <v>44</v>
      </c>
      <c r="E9" s="49">
        <f>COUNTIFS('Match Log'!$D$4:$D$810,$B9,'Match Log'!$E$4:$E$810,"Win")</f>
        <v>20</v>
      </c>
      <c r="F9" s="49">
        <f>$D9-$E9</f>
        <v>24</v>
      </c>
      <c r="G9" s="50">
        <f>IF($D9=0,"",$E9/$D9)</f>
        <v>0.45454545454545453</v>
      </c>
      <c r="H9" s="51">
        <f>SUMIF('Match Log'!$D$4:$D$810,$B9,'Match Log'!$J$4:$J$810)</f>
        <v>-4.5119528516974903</v>
      </c>
      <c r="I9" s="51">
        <f>SUMIF('Match Log'!$D$4:$D$810,$B9,'Match Log'!$K$4:$K$810)</f>
        <v>18.177673800191201</v>
      </c>
      <c r="J9" s="51">
        <f>SUMIF('Match Log'!$D$4:$D$810,$B9,'Match Log'!$L$4:$L$810)</f>
        <v>45</v>
      </c>
      <c r="K9" s="49">
        <f>SUMPRODUCT(--(COUNTIFS('Match Log'!$D$4:$D$810,$B9,'Match Log'!$C$4:$C$810,Lists!$C$2:$C$21)&gt;0))</f>
        <v>8</v>
      </c>
      <c r="L9" s="49" t="str">
        <f>IF($D9=0,"No games",IF(AND($D9&gt;='Guide &amp; Settings'!$C$45,$K9&gt;='Guide &amp; Settings'!$C$46),"Eligible","Provisional"))</f>
        <v>Eligible</v>
      </c>
      <c r="M9" s="48">
        <f>IFERROR(INDEX(Calcs!$C$7:$C$20,MATCH($B9,Calcs!$A$7:$A$20,0)),"")</f>
        <v>1059.6799201033348</v>
      </c>
      <c r="N9" s="48">
        <f>MAX($C$5:$C$18)-$C9</f>
        <v>109.54562265225104</v>
      </c>
      <c r="O9" s="49" t="str">
        <f>IFERROR(INDEX(Calcs!$H$7:$H$20,MATCH($B9,Calcs!$A$7:$A$20,0)),"")</f>
        <v>L1</v>
      </c>
      <c r="P9" s="49" t="str">
        <f>IFERROR(INDEX(Calcs!$I$7:$I$20,MATCH($B9,Calcs!$A$7:$A$20,0)),"")</f>
        <v>LLLWL</v>
      </c>
      <c r="Q9" s="49" t="str">
        <f>IFERROR(IF(INDEX(Calcs!$L$7:$L$20,MATCH($B9,Calcs!$A$7:$A$20,0))&gt;0,"▲"&amp;INDEX(Calcs!$L$7:$L$20,MATCH($B9,Calcs!$A$7:$A$20,0)),IF(INDEX(Calcs!$L$7:$L$20,MATCH($B9,Calcs!$A$7:$A$20,0))&lt;0,"▼"&amp;ABS(INDEX(Calcs!$L$7:$L$20,MATCH($B9,Calcs!$A$7:$A$20,0))),"–")),"")</f>
        <v>▼3</v>
      </c>
      <c r="R9" s="49" t="str">
        <f>IFERROR(IF(INDEX(Calcs!$P$7:$P$20,MATCH($B9,Calcs!$A$7:$A$20,0))=0,"—",TEXT(INDEX(Calcs!$P$7:$P$20,MATCH($B9,Calcs!$A$7:$A$20,0)),"d mmm")),"")</f>
        <v>6 Jul</v>
      </c>
      <c r="S9" s="49">
        <f>IFERROR(ROUND(INDEX(Calcs!$Q$7:$Q$20,MATCH($B9,Calcs!$A$7:$A$20,0)),1),"")</f>
        <v>0.7</v>
      </c>
      <c r="T9" s="49" t="str">
        <f>IFERROR(INDEX(Calcs!$T$7:$T$20,MATCH($B9,Calcs!$A$7:$A$20,0)),"")</f>
        <v>Active</v>
      </c>
      <c r="U9">
        <f>IFERROR(MAX(0,ROUND($C9-INDEX(Calcs!$S$7:$S$20,MATCH($B9,Calcs!$A$7:$A$20,0)),0)),0)</f>
        <v>0</v>
      </c>
      <c r="V9" s="51">
        <f>IFERROR(ROUND(INDEX(Calcs!$S$7:$S$20,MATCH($B9,Calcs!$A$7:$A$20,0)),0),"")</f>
        <v>1059</v>
      </c>
      <c r="W9" s="49" t="str">
        <f>IFERROR(INDEX(Calcs!$AF$7:$AF$20,MATCH($B9,Calcs!$A$7:$A$20,0)),"")</f>
        <v>Strong</v>
      </c>
      <c r="X9" s="51">
        <f>IFERROR(ROUND(SUMIF('Poker Stake Ledger'!$C$18:$C$137,$B9,'Poker Stake Ledger'!$K$18:$K$137),1),0)</f>
        <v>0</v>
      </c>
    </row>
    <row r="10" spans="1:24" ht="15" customHeight="1" x14ac:dyDescent="0.2">
      <c r="A10" s="46">
        <f>ROW()-4</f>
        <v>6</v>
      </c>
      <c r="B10" s="47" t="str">
        <f>IFERROR(INDEX(Calcs!$A$7:$A$20,MATCH(LARGE(Calcs!$AI$7:$AI$20,ROW()-4),Calcs!$AI$7:$AI$20,0)),"")</f>
        <v>Daniel (Ferret)</v>
      </c>
      <c r="C10" s="48">
        <f>INDEX(Engine!$B$2:$B$15,MATCH($B10,Engine!$A$2:$A$15,0))+SUMIF('Poker Stake Ledger'!$C$18:$C$137,$B10,'Poker Stake Ledger'!$K$18:$K$137)</f>
        <v>1050.8634549674414</v>
      </c>
      <c r="D10" s="49">
        <f>COUNTIF('Match Log'!$D$4:$D$810,$B10)</f>
        <v>52</v>
      </c>
      <c r="E10" s="49">
        <f>COUNTIFS('Match Log'!$D$4:$D$810,$B10,'Match Log'!$E$4:$E$810,"Win")</f>
        <v>23</v>
      </c>
      <c r="F10" s="49">
        <f>$D10-$E10</f>
        <v>29</v>
      </c>
      <c r="G10" s="50">
        <f>IF($D10=0,"",$E10/$D10)</f>
        <v>0.44230769230769229</v>
      </c>
      <c r="H10" s="51">
        <f>SUMIF('Match Log'!$D$4:$D$810,$B10,'Match Log'!$J$4:$J$810)</f>
        <v>-23.673795462339218</v>
      </c>
      <c r="I10" s="51">
        <f>SUMIF('Match Log'!$D$4:$D$810,$B10,'Match Log'!$K$4:$K$810)</f>
        <v>25.537250429780578</v>
      </c>
      <c r="J10" s="51">
        <f>SUMIF('Match Log'!$D$4:$D$810,$B10,'Match Log'!$L$4:$L$810)</f>
        <v>49</v>
      </c>
      <c r="K10" s="49">
        <f>SUMPRODUCT(--(COUNTIFS('Match Log'!$D$4:$D$810,$B10,'Match Log'!$C$4:$C$810,Lists!$C$2:$C$21)&gt;0))</f>
        <v>11</v>
      </c>
      <c r="L10" s="49" t="str">
        <f>IF($D10=0,"No games",IF(AND($D10&gt;='Guide &amp; Settings'!$C$45,$K10&gt;='Guide &amp; Settings'!$C$46),"Eligible","Provisional"))</f>
        <v>Eligible</v>
      </c>
      <c r="M10" s="48">
        <f>IFERROR(INDEX(Calcs!$C$7:$C$20,MATCH($B10,Calcs!$A$7:$A$20,0)),"")</f>
        <v>1066.3306886481778</v>
      </c>
      <c r="N10" s="48">
        <f>MAX($C$5:$C$18)-$C10</f>
        <v>117.34788863330277</v>
      </c>
      <c r="O10" s="49" t="str">
        <f>IFERROR(INDEX(Calcs!$H$7:$H$20,MATCH($B10,Calcs!$A$7:$A$20,0)),"")</f>
        <v>W1</v>
      </c>
      <c r="P10" s="49" t="str">
        <f>IFERROR(INDEX(Calcs!$I$7:$I$20,MATCH($B10,Calcs!$A$7:$A$20,0)),"")</f>
        <v>WLWLW</v>
      </c>
      <c r="Q10" s="49" t="str">
        <f>IFERROR(IF(INDEX(Calcs!$L$7:$L$20,MATCH($B10,Calcs!$A$7:$A$20,0))&gt;0,"▲"&amp;INDEX(Calcs!$L$7:$L$20,MATCH($B10,Calcs!$A$7:$A$20,0)),IF(INDEX(Calcs!$L$7:$L$20,MATCH($B10,Calcs!$A$7:$A$20,0))&lt;0,"▼"&amp;ABS(INDEX(Calcs!$L$7:$L$20,MATCH($B10,Calcs!$A$7:$A$20,0))),"–")),"")</f>
        <v>–</v>
      </c>
      <c r="R10" s="49" t="str">
        <f>IFERROR(IF(INDEX(Calcs!$P$7:$P$20,MATCH($B10,Calcs!$A$7:$A$20,0))=0,"—",TEXT(INDEX(Calcs!$P$7:$P$20,MATCH($B10,Calcs!$A$7:$A$20,0)),"d mmm")),"")</f>
        <v>5 Jul</v>
      </c>
      <c r="S10" s="49">
        <f>IFERROR(ROUND(INDEX(Calcs!$Q$7:$Q$20,MATCH($B10,Calcs!$A$7:$A$20,0)),1),"")</f>
        <v>0.9</v>
      </c>
      <c r="T10" s="49" t="str">
        <f>IFERROR(INDEX(Calcs!$T$7:$T$20,MATCH($B10,Calcs!$A$7:$A$20,0)),"")</f>
        <v>Active</v>
      </c>
      <c r="U10">
        <f>IFERROR(MAX(0,ROUND($C10-INDEX(Calcs!$S$7:$S$20,MATCH($B10,Calcs!$A$7:$A$20,0)),0)),0)</f>
        <v>0</v>
      </c>
      <c r="V10" s="51">
        <f>IFERROR(ROUND(INDEX(Calcs!$S$7:$S$20,MATCH($B10,Calcs!$A$7:$A$20,0)),0),"")</f>
        <v>1051</v>
      </c>
      <c r="W10" s="49" t="str">
        <f>IFERROR(INDEX(Calcs!$AF$7:$AF$20,MATCH($B10,Calcs!$A$7:$A$20,0)),"")</f>
        <v>Strong</v>
      </c>
      <c r="X10" s="51">
        <f>IFERROR(ROUND(SUMIF('Poker Stake Ledger'!$C$18:$C$137,$B10,'Poker Stake Ledger'!$K$18:$K$137),1),0)</f>
        <v>0</v>
      </c>
    </row>
    <row r="11" spans="1:24" ht="15" customHeight="1" x14ac:dyDescent="0.2">
      <c r="A11" s="46">
        <f>ROW()-4</f>
        <v>7</v>
      </c>
      <c r="B11" s="47" t="str">
        <f>IFERROR(INDEX(Calcs!$A$7:$A$20,MATCH(LARGE(Calcs!$AI$7:$AI$20,ROW()-4),Calcs!$AI$7:$AI$20,0)),"")</f>
        <v>Dean M</v>
      </c>
      <c r="C11" s="48">
        <f>INDEX(Engine!$B$2:$B$15,MATCH($B11,Engine!$A$2:$A$15,0))+SUMIF('Poker Stake Ledger'!$C$18:$C$137,$B11,'Poker Stake Ledger'!$K$18:$K$137)</f>
        <v>1031.225848367051</v>
      </c>
      <c r="D11" s="49">
        <f>COUNTIF('Match Log'!$D$4:$D$810,$B11)</f>
        <v>5</v>
      </c>
      <c r="E11" s="49">
        <f>COUNTIFS('Match Log'!$D$4:$D$810,$B11,'Match Log'!$E$4:$E$810,"Win")</f>
        <v>2</v>
      </c>
      <c r="F11" s="49">
        <f>$D11-$E11</f>
        <v>3</v>
      </c>
      <c r="G11" s="50">
        <f>IF($D11=0,"",$E11/$D11)</f>
        <v>0.4</v>
      </c>
      <c r="H11" s="51">
        <f>SUMIF('Match Log'!$D$4:$D$810,$B11,'Match Log'!$J$4:$J$810)</f>
        <v>-2.241024178669619</v>
      </c>
      <c r="I11" s="51">
        <f>SUMIF('Match Log'!$D$4:$D$810,$B11,'Match Log'!$K$4:$K$810)</f>
        <v>13.466872545720536</v>
      </c>
      <c r="J11" s="51">
        <f>SUMIF('Match Log'!$D$4:$D$810,$B11,'Match Log'!$L$4:$L$810)</f>
        <v>20</v>
      </c>
      <c r="K11" s="49">
        <f>SUMPRODUCT(--(COUNTIFS('Match Log'!$D$4:$D$810,$B11,'Match Log'!$C$4:$C$810,Lists!$C$2:$C$21)&gt;0))</f>
        <v>1</v>
      </c>
      <c r="L11" s="49" t="str">
        <f>IF($D11=0,"No games",IF(AND($D11&gt;='Guide &amp; Settings'!$C$45,$K11&gt;='Guide &amp; Settings'!$C$46),"Eligible","Provisional"))</f>
        <v>Provisional</v>
      </c>
      <c r="M11" s="48">
        <f>IFERROR(INDEX(Calcs!$C$7:$C$20,MATCH($B11,Calcs!$A$7:$A$20,0)),"")</f>
        <v>1051.9562851744297</v>
      </c>
      <c r="N11" s="48">
        <f>MAX($C$5:$C$18)-$C11</f>
        <v>136.9854952336932</v>
      </c>
      <c r="O11" s="49" t="str">
        <f>IFERROR(INDEX(Calcs!$H$7:$H$20,MATCH($B11,Calcs!$A$7:$A$20,0)),"")</f>
        <v>W2</v>
      </c>
      <c r="P11" s="49" t="str">
        <f>IFERROR(INDEX(Calcs!$I$7:$I$20,MATCH($B11,Calcs!$A$7:$A$20,0)),"")</f>
        <v>LLLWW</v>
      </c>
      <c r="Q11" s="49" t="str">
        <f>IFERROR(IF(INDEX(Calcs!$L$7:$L$20,MATCH($B11,Calcs!$A$7:$A$20,0))&gt;0,"▲"&amp;INDEX(Calcs!$L$7:$L$20,MATCH($B11,Calcs!$A$7:$A$20,0)),IF(INDEX(Calcs!$L$7:$L$20,MATCH($B11,Calcs!$A$7:$A$20,0))&lt;0,"▼"&amp;ABS(INDEX(Calcs!$L$7:$L$20,MATCH($B11,Calcs!$A$7:$A$20,0))),"–")),"")</f>
        <v>–</v>
      </c>
      <c r="R11" s="49" t="str">
        <f>IFERROR(IF(INDEX(Calcs!$P$7:$P$20,MATCH($B11,Calcs!$A$7:$A$20,0))=0,"—",TEXT(INDEX(Calcs!$P$7:$P$20,MATCH($B11,Calcs!$A$7:$A$20,0)),"d mmm")),"")</f>
        <v>15 Jun</v>
      </c>
      <c r="S11" s="49">
        <f>IFERROR(ROUND(INDEX(Calcs!$Q$7:$Q$20,MATCH($B11,Calcs!$A$7:$A$20,0)),1),"")</f>
        <v>3.7</v>
      </c>
      <c r="T11" s="49" t="str">
        <f>IFERROR(INDEX(Calcs!$T$7:$T$20,MATCH($B11,Calcs!$A$7:$A$20,0)),"")</f>
        <v>At risk</v>
      </c>
      <c r="U11">
        <f>IFERROR(MAX(0,ROUND($C11-INDEX(Calcs!$S$7:$S$20,MATCH($B11,Calcs!$A$7:$A$20,0)),0)),0)</f>
        <v>0</v>
      </c>
      <c r="V11" s="51">
        <f>IFERROR(ROUND(INDEX(Calcs!$S$7:$S$20,MATCH($B11,Calcs!$A$7:$A$20,0)),0),"")</f>
        <v>1031</v>
      </c>
      <c r="W11" s="49" t="str">
        <f>IFERROR(INDEX(Calcs!$AF$7:$AF$20,MATCH($B11,Calcs!$A$7:$A$20,0)),"")</f>
        <v>Unranked</v>
      </c>
      <c r="X11" s="51">
        <f>IFERROR(ROUND(SUMIF('Poker Stake Ledger'!$C$18:$C$137,$B11,'Poker Stake Ledger'!$K$18:$K$137),1),0)</f>
        <v>0</v>
      </c>
    </row>
    <row r="12" spans="1:24" ht="15" customHeight="1" x14ac:dyDescent="0.2">
      <c r="A12" s="46">
        <f>ROW()-4</f>
        <v>8</v>
      </c>
      <c r="B12" s="47" t="str">
        <f>IFERROR(INDEX(Calcs!$A$7:$A$20,MATCH(LARGE(Calcs!$AI$7:$AI$20,ROW()-4),Calcs!$AI$7:$AI$20,0)),"")</f>
        <v>Dylan A</v>
      </c>
      <c r="C12" s="48">
        <f>INDEX(Engine!$B$2:$B$15,MATCH($B12,Engine!$A$2:$A$15,0))+SUMIF('Poker Stake Ledger'!$C$18:$C$137,$B12,'Poker Stake Ledger'!$K$18:$K$137)</f>
        <v>1030.3815983388336</v>
      </c>
      <c r="D12" s="49">
        <f>COUNTIF('Match Log'!$D$4:$D$810,$B12)</f>
        <v>4</v>
      </c>
      <c r="E12" s="49">
        <f>COUNTIFS('Match Log'!$D$4:$D$810,$B12,'Match Log'!$E$4:$E$810,"Win")</f>
        <v>2</v>
      </c>
      <c r="F12" s="49">
        <f>$D12-$E12</f>
        <v>2</v>
      </c>
      <c r="G12" s="50">
        <f>IF($D12=0,"",$E12/$D12)</f>
        <v>0.5</v>
      </c>
      <c r="H12" s="51">
        <f>SUMIF('Match Log'!$D$4:$D$810,$B12,'Match Log'!$J$4:$J$810)</f>
        <v>1.5163071728259316</v>
      </c>
      <c r="I12" s="51">
        <f>SUMIF('Match Log'!$D$4:$D$810,$B12,'Match Log'!$K$4:$K$810)</f>
        <v>12.865291166007616</v>
      </c>
      <c r="J12" s="51">
        <f>SUMIF('Match Log'!$D$4:$D$810,$B12,'Match Log'!$L$4:$L$810)</f>
        <v>16</v>
      </c>
      <c r="K12" s="49">
        <f>SUMPRODUCT(--(COUNTIFS('Match Log'!$D$4:$D$810,$B12,'Match Log'!$C$4:$C$810,Lists!$C$2:$C$21)&gt;0))</f>
        <v>1</v>
      </c>
      <c r="L12" s="49" t="str">
        <f>IF($D12=0,"No games",IF(AND($D12&gt;='Guide &amp; Settings'!$C$45,$K12&gt;='Guide &amp; Settings'!$C$46),"Eligible","Provisional"))</f>
        <v>Provisional</v>
      </c>
      <c r="M12" s="48">
        <f>IFERROR(INDEX(Calcs!$C$7:$C$20,MATCH($B12,Calcs!$A$7:$A$20,0)),"")</f>
        <v>1064.3872125179519</v>
      </c>
      <c r="N12" s="48">
        <f>MAX($C$5:$C$18)-$C12</f>
        <v>137.8297452619106</v>
      </c>
      <c r="O12" s="49" t="str">
        <f>IFERROR(INDEX(Calcs!$H$7:$H$20,MATCH($B12,Calcs!$A$7:$A$20,0)),"")</f>
        <v>L1</v>
      </c>
      <c r="P12" s="49" t="str">
        <f>IFERROR(INDEX(Calcs!$I$7:$I$20,MATCH($B12,Calcs!$A$7:$A$20,0)),"")</f>
        <v>WLWL</v>
      </c>
      <c r="Q12" s="49" t="str">
        <f>IFERROR(IF(INDEX(Calcs!$L$7:$L$20,MATCH($B12,Calcs!$A$7:$A$20,0))&gt;0,"▲"&amp;INDEX(Calcs!$L$7:$L$20,MATCH($B12,Calcs!$A$7:$A$20,0)),IF(INDEX(Calcs!$L$7:$L$20,MATCH($B12,Calcs!$A$7:$A$20,0))&lt;0,"▼"&amp;ABS(INDEX(Calcs!$L$7:$L$20,MATCH($B12,Calcs!$A$7:$A$20,0))),"–")),"")</f>
        <v>–</v>
      </c>
      <c r="R12" s="49" t="str">
        <f>IFERROR(IF(INDEX(Calcs!$P$7:$P$20,MATCH($B12,Calcs!$A$7:$A$20,0))=0,"—",TEXT(INDEX(Calcs!$P$7:$P$20,MATCH($B12,Calcs!$A$7:$A$20,0)),"d mmm")),"")</f>
        <v>15 Jun</v>
      </c>
      <c r="S12" s="49">
        <f>IFERROR(ROUND(INDEX(Calcs!$Q$7:$Q$20,MATCH($B12,Calcs!$A$7:$A$20,0)),1),"")</f>
        <v>3.7</v>
      </c>
      <c r="T12" s="49" t="str">
        <f>IFERROR(INDEX(Calcs!$T$7:$T$20,MATCH($B12,Calcs!$A$7:$A$20,0)),"")</f>
        <v>At risk</v>
      </c>
      <c r="U12">
        <f>IFERROR(MAX(0,ROUND($C12-INDEX(Calcs!$S$7:$S$20,MATCH($B12,Calcs!$A$7:$A$20,0)),0)),0)</f>
        <v>0</v>
      </c>
      <c r="V12" s="51">
        <f>IFERROR(ROUND(INDEX(Calcs!$S$7:$S$20,MATCH($B12,Calcs!$A$7:$A$20,0)),0),"")</f>
        <v>1030</v>
      </c>
      <c r="W12" s="49" t="str">
        <f>IFERROR(INDEX(Calcs!$AF$7:$AF$20,MATCH($B12,Calcs!$A$7:$A$20,0)),"")</f>
        <v>Unranked</v>
      </c>
      <c r="X12" s="51">
        <f>IFERROR(ROUND(SUMIF('Poker Stake Ledger'!$C$18:$C$137,$B12,'Poker Stake Ledger'!$K$18:$K$137),1),0)</f>
        <v>0</v>
      </c>
    </row>
    <row r="13" spans="1:24" ht="15" customHeight="1" x14ac:dyDescent="0.2">
      <c r="A13" s="46">
        <f>ROW()-4</f>
        <v>9</v>
      </c>
      <c r="B13" s="47" t="str">
        <f>IFERROR(INDEX(Calcs!$A$7:$A$20,MATCH(LARGE(Calcs!$AI$7:$AI$20,ROW()-4),Calcs!$AI$7:$AI$20,0)),"")</f>
        <v>Beau</v>
      </c>
      <c r="C13" s="48">
        <f>INDEX(Engine!$B$2:$B$15,MATCH($B13,Engine!$A$2:$A$15,0))+SUMIF('Poker Stake Ledger'!$C$18:$C$137,$B13,'Poker Stake Ledger'!$K$18:$K$137)</f>
        <v>1029.2201908859522</v>
      </c>
      <c r="D13" s="49">
        <f>COUNTIF('Match Log'!$D$4:$D$810,$B13)</f>
        <v>10</v>
      </c>
      <c r="E13" s="49">
        <f>COUNTIFS('Match Log'!$D$4:$D$810,$B13,'Match Log'!$E$4:$E$810,"Win")</f>
        <v>5</v>
      </c>
      <c r="F13" s="49">
        <f>$D13-$E13</f>
        <v>5</v>
      </c>
      <c r="G13" s="50">
        <f>IF($D13=0,"",$E13/$D13)</f>
        <v>0.5</v>
      </c>
      <c r="H13" s="51">
        <f>SUMIF('Match Log'!$D$4:$D$810,$B13,'Match Log'!$J$4:$J$810)</f>
        <v>-14.85952397332303</v>
      </c>
      <c r="I13" s="51">
        <f>SUMIF('Match Log'!$D$4:$D$810,$B13,'Match Log'!$K$4:$K$810)</f>
        <v>16.079714859275072</v>
      </c>
      <c r="J13" s="51">
        <f>SUMIF('Match Log'!$D$4:$D$810,$B13,'Match Log'!$L$4:$L$810)</f>
        <v>28</v>
      </c>
      <c r="K13" s="49">
        <f>SUMPRODUCT(--(COUNTIFS('Match Log'!$D$4:$D$810,$B13,'Match Log'!$C$4:$C$810,Lists!$C$2:$C$21)&gt;0))</f>
        <v>3</v>
      </c>
      <c r="L13" s="49" t="str">
        <f>IF($D13=0,"No games",IF(AND($D13&gt;='Guide &amp; Settings'!$C$45,$K13&gt;='Guide &amp; Settings'!$C$46),"Eligible","Provisional"))</f>
        <v>Eligible</v>
      </c>
      <c r="M13" s="48">
        <f>IFERROR(INDEX(Calcs!$C$7:$C$20,MATCH($B13,Calcs!$A$7:$A$20,0)),"")</f>
        <v>1062.1289503841442</v>
      </c>
      <c r="N13" s="48">
        <f>MAX($C$5:$C$18)-$C13</f>
        <v>138.99115271479195</v>
      </c>
      <c r="O13" s="49" t="str">
        <f>IFERROR(INDEX(Calcs!$H$7:$H$20,MATCH($B13,Calcs!$A$7:$A$20,0)),"")</f>
        <v>L2</v>
      </c>
      <c r="P13" s="49" t="str">
        <f>IFERROR(INDEX(Calcs!$I$7:$I$20,MATCH($B13,Calcs!$A$7:$A$20,0)),"")</f>
        <v>LWWLL</v>
      </c>
      <c r="Q13" s="49" t="str">
        <f>IFERROR(IF(INDEX(Calcs!$L$7:$L$20,MATCH($B13,Calcs!$A$7:$A$20,0))&gt;0,"▲"&amp;INDEX(Calcs!$L$7:$L$20,MATCH($B13,Calcs!$A$7:$A$20,0)),IF(INDEX(Calcs!$L$7:$L$20,MATCH($B13,Calcs!$A$7:$A$20,0))&lt;0,"▼"&amp;ABS(INDEX(Calcs!$L$7:$L$20,MATCH($B13,Calcs!$A$7:$A$20,0))),"–")),"")</f>
        <v>–</v>
      </c>
      <c r="R13" s="49" t="str">
        <f>IFERROR(IF(INDEX(Calcs!$P$7:$P$20,MATCH($B13,Calcs!$A$7:$A$20,0))=0,"—",TEXT(INDEX(Calcs!$P$7:$P$20,MATCH($B13,Calcs!$A$7:$A$20,0)),"d mmm")),"")</f>
        <v>15 Jun</v>
      </c>
      <c r="S13" s="49">
        <f>IFERROR(ROUND(INDEX(Calcs!$Q$7:$Q$20,MATCH($B13,Calcs!$A$7:$A$20,0)),1),"")</f>
        <v>3.7</v>
      </c>
      <c r="T13" s="49" t="str">
        <f>IFERROR(INDEX(Calcs!$T$7:$T$20,MATCH($B13,Calcs!$A$7:$A$20,0)),"")</f>
        <v>At risk</v>
      </c>
      <c r="U13">
        <f>IFERROR(MAX(0,ROUND($C13-INDEX(Calcs!$S$7:$S$20,MATCH($B13,Calcs!$A$7:$A$20,0)),0)),0)</f>
        <v>0</v>
      </c>
      <c r="V13" s="51">
        <f>IFERROR(ROUND(INDEX(Calcs!$S$7:$S$20,MATCH($B13,Calcs!$A$7:$A$20,0)),0),"")</f>
        <v>1029</v>
      </c>
      <c r="W13" s="49" t="str">
        <f>IFERROR(INDEX(Calcs!$AF$7:$AF$20,MATCH($B13,Calcs!$A$7:$A$20,0)),"")</f>
        <v>Mid</v>
      </c>
      <c r="X13" s="51">
        <f>IFERROR(ROUND(SUMIF('Poker Stake Ledger'!$C$18:$C$137,$B13,'Poker Stake Ledger'!$K$18:$K$137),1),0)</f>
        <v>0</v>
      </c>
    </row>
    <row r="14" spans="1:24" ht="15" customHeight="1" x14ac:dyDescent="0.2">
      <c r="A14" s="46">
        <f>ROW()-4</f>
        <v>10</v>
      </c>
      <c r="B14" s="47" t="str">
        <f>IFERROR(INDEX(Calcs!$A$7:$A$20,MATCH(LARGE(Calcs!$AI$7:$AI$20,ROW()-4),Calcs!$AI$7:$AI$20,0)),"")</f>
        <v>Shawn</v>
      </c>
      <c r="C14" s="48">
        <f>INDEX(Engine!$B$2:$B$15,MATCH($B14,Engine!$A$2:$A$15,0))+SUMIF('Poker Stake Ledger'!$C$18:$C$137,$B14,'Poker Stake Ledger'!$K$18:$K$137)</f>
        <v>1019.8775545971507</v>
      </c>
      <c r="D14" s="49">
        <f>COUNTIF('Match Log'!$D$4:$D$810,$B14)</f>
        <v>61</v>
      </c>
      <c r="E14" s="49">
        <f>COUNTIFS('Match Log'!$D$4:$D$810,$B14,'Match Log'!$E$4:$E$810,"Win")</f>
        <v>27</v>
      </c>
      <c r="F14" s="49">
        <f>$D14-$E14</f>
        <v>34</v>
      </c>
      <c r="G14" s="50">
        <f>IF($D14=0,"",$E14/$D14)</f>
        <v>0.44262295081967212</v>
      </c>
      <c r="H14" s="51">
        <f>SUMIF('Match Log'!$D$4:$D$810,$B14,'Match Log'!$J$4:$J$810)</f>
        <v>-8.170252226658878</v>
      </c>
      <c r="I14" s="51">
        <f>SUMIF('Match Log'!$D$4:$D$810,$B14,'Match Log'!$K$4:$K$810)</f>
        <v>-16.95219317619037</v>
      </c>
      <c r="J14" s="51">
        <f>SUMIF('Match Log'!$D$4:$D$810,$B14,'Match Log'!$L$4:$L$810)</f>
        <v>45</v>
      </c>
      <c r="K14" s="49">
        <f>SUMPRODUCT(--(COUNTIFS('Match Log'!$D$4:$D$810,$B14,'Match Log'!$C$4:$C$810,Lists!$C$2:$C$21)&gt;0))</f>
        <v>9</v>
      </c>
      <c r="L14" s="49" t="str">
        <f>IF($D14=0,"No games",IF(AND($D14&gt;='Guide &amp; Settings'!$C$45,$K14&gt;='Guide &amp; Settings'!$C$46),"Eligible","Provisional"))</f>
        <v>Eligible</v>
      </c>
      <c r="M14" s="48">
        <f>IFERROR(INDEX(Calcs!$C$7:$C$20,MATCH($B14,Calcs!$A$7:$A$20,0)),"")</f>
        <v>1080.4297580146781</v>
      </c>
      <c r="N14" s="48">
        <f>MAX($C$5:$C$18)-$C14</f>
        <v>148.33378900359344</v>
      </c>
      <c r="O14" s="49" t="str">
        <f>IFERROR(INDEX(Calcs!$H$7:$H$20,MATCH($B14,Calcs!$A$7:$A$20,0)),"")</f>
        <v>W1</v>
      </c>
      <c r="P14" s="49" t="str">
        <f>IFERROR(INDEX(Calcs!$I$7:$I$20,MATCH($B14,Calcs!$A$7:$A$20,0)),"")</f>
        <v>WLLLW</v>
      </c>
      <c r="Q14" s="49" t="str">
        <f>IFERROR(IF(INDEX(Calcs!$L$7:$L$20,MATCH($B14,Calcs!$A$7:$A$20,0))&gt;0,"▲"&amp;INDEX(Calcs!$L$7:$L$20,MATCH($B14,Calcs!$A$7:$A$20,0)),IF(INDEX(Calcs!$L$7:$L$20,MATCH($B14,Calcs!$A$7:$A$20,0))&lt;0,"▼"&amp;ABS(INDEX(Calcs!$L$7:$L$20,MATCH($B14,Calcs!$A$7:$A$20,0))),"–")),"")</f>
        <v>▲3</v>
      </c>
      <c r="R14" s="49" t="str">
        <f>IFERROR(IF(INDEX(Calcs!$P$7:$P$20,MATCH($B14,Calcs!$A$7:$A$20,0))=0,"—",TEXT(INDEX(Calcs!$P$7:$P$20,MATCH($B14,Calcs!$A$7:$A$20,0)),"d mmm")),"")</f>
        <v>11 Jul</v>
      </c>
      <c r="S14" s="49">
        <f>IFERROR(ROUND(INDEX(Calcs!$Q$7:$Q$20,MATCH($B14,Calcs!$A$7:$A$20,0)),1),"")</f>
        <v>0</v>
      </c>
      <c r="T14" s="49" t="str">
        <f>IFERROR(INDEX(Calcs!$T$7:$T$20,MATCH($B14,Calcs!$A$7:$A$20,0)),"")</f>
        <v>Active</v>
      </c>
      <c r="U14">
        <f>IFERROR(MAX(0,ROUND($C14-INDEX(Calcs!$S$7:$S$20,MATCH($B14,Calcs!$A$7:$A$20,0)),0)),0)</f>
        <v>0</v>
      </c>
      <c r="V14" s="51">
        <f>IFERROR(ROUND(INDEX(Calcs!$S$7:$S$20,MATCH($B14,Calcs!$A$7:$A$20,0)),0),"")</f>
        <v>1020</v>
      </c>
      <c r="W14" s="49" t="str">
        <f>IFERROR(INDEX(Calcs!$AF$7:$AF$20,MATCH($B14,Calcs!$A$7:$A$20,0)),"")</f>
        <v>Strong</v>
      </c>
      <c r="X14" s="51">
        <f>IFERROR(ROUND(SUMIF('Poker Stake Ledger'!$C$18:$C$137,$B14,'Poker Stake Ledger'!$K$18:$K$137),1),0)</f>
        <v>0</v>
      </c>
    </row>
    <row r="15" spans="1:24" ht="15" customHeight="1" x14ac:dyDescent="0.2">
      <c r="A15" s="46">
        <f>ROW()-4</f>
        <v>11</v>
      </c>
      <c r="B15" s="47" t="str">
        <f>IFERROR(INDEX(Calcs!$A$7:$A$20,MATCH(LARGE(Calcs!$AI$7:$AI$20,ROW()-4),Calcs!$AI$7:$AI$20,0)),"")</f>
        <v>Chase</v>
      </c>
      <c r="C15" s="48">
        <f>INDEX(Engine!$B$2:$B$15,MATCH($B15,Engine!$A$2:$A$15,0))+SUMIF('Poker Stake Ledger'!$C$18:$C$137,$B15,'Poker Stake Ledger'!$K$18:$K$137)</f>
        <v>1016.7837867075796</v>
      </c>
      <c r="D15" s="49">
        <f>COUNTIF('Match Log'!$D$4:$D$810,$B15)</f>
        <v>10</v>
      </c>
      <c r="E15" s="49">
        <f>COUNTIFS('Match Log'!$D$4:$D$810,$B15,'Match Log'!$E$4:$E$810,"Win")</f>
        <v>5</v>
      </c>
      <c r="F15" s="49">
        <f>$D15-$E15</f>
        <v>5</v>
      </c>
      <c r="G15" s="50">
        <f>IF($D15=0,"",$E15/$D15)</f>
        <v>0.5</v>
      </c>
      <c r="H15" s="51">
        <f>SUMIF('Match Log'!$D$4:$D$810,$B15,'Match Log'!$J$4:$J$810)</f>
        <v>7.3695009932937108</v>
      </c>
      <c r="I15" s="51">
        <f>SUMIF('Match Log'!$D$4:$D$810,$B15,'Match Log'!$K$4:$K$810)</f>
        <v>-1.5857142857142881</v>
      </c>
      <c r="J15" s="51">
        <f>SUMIF('Match Log'!$D$4:$D$810,$B15,'Match Log'!$L$4:$L$810)</f>
        <v>11</v>
      </c>
      <c r="K15" s="49">
        <f>SUMPRODUCT(--(COUNTIFS('Match Log'!$D$4:$D$810,$B15,'Match Log'!$C$4:$C$810,Lists!$C$2:$C$21)&gt;0))</f>
        <v>6</v>
      </c>
      <c r="L15" s="49" t="str">
        <f>IF($D15=0,"No games",IF(AND($D15&gt;='Guide &amp; Settings'!$C$45,$K15&gt;='Guide &amp; Settings'!$C$46),"Eligible","Provisional"))</f>
        <v>Eligible</v>
      </c>
      <c r="M15" s="48">
        <f>IFERROR(INDEX(Calcs!$C$7:$C$20,MATCH($B15,Calcs!$A$7:$A$20,0)),"")</f>
        <v>1057.7349845614535</v>
      </c>
      <c r="N15" s="48">
        <f>MAX($C$5:$C$18)-$C15</f>
        <v>151.42755689316459</v>
      </c>
      <c r="O15" s="49" t="str">
        <f>IFERROR(INDEX(Calcs!$H$7:$H$20,MATCH($B15,Calcs!$A$7:$A$20,0)),"")</f>
        <v>W1</v>
      </c>
      <c r="P15" s="49" t="str">
        <f>IFERROR(INDEX(Calcs!$I$7:$I$20,MATCH($B15,Calcs!$A$7:$A$20,0)),"")</f>
        <v>WLLLW</v>
      </c>
      <c r="Q15" s="49" t="str">
        <f>IFERROR(IF(INDEX(Calcs!$L$7:$L$20,MATCH($B15,Calcs!$A$7:$A$20,0))&gt;0,"▲"&amp;INDEX(Calcs!$L$7:$L$20,MATCH($B15,Calcs!$A$7:$A$20,0)),IF(INDEX(Calcs!$L$7:$L$20,MATCH($B15,Calcs!$A$7:$A$20,0))&lt;0,"▼"&amp;ABS(INDEX(Calcs!$L$7:$L$20,MATCH($B15,Calcs!$A$7:$A$20,0))),"–")),"")</f>
        <v>▼1</v>
      </c>
      <c r="R15" s="49" t="str">
        <f>IFERROR(IF(INDEX(Calcs!$P$7:$P$20,MATCH($B15,Calcs!$A$7:$A$20,0))=0,"—",TEXT(INDEX(Calcs!$P$7:$P$20,MATCH($B15,Calcs!$A$7:$A$20,0)),"d mmm")),"")</f>
        <v>15 Jun</v>
      </c>
      <c r="S15" s="49">
        <f>IFERROR(ROUND(INDEX(Calcs!$Q$7:$Q$20,MATCH($B15,Calcs!$A$7:$A$20,0)),1),"")</f>
        <v>3.7</v>
      </c>
      <c r="T15" s="49" t="str">
        <f>IFERROR(INDEX(Calcs!$T$7:$T$20,MATCH($B15,Calcs!$A$7:$A$20,0)),"")</f>
        <v>At risk</v>
      </c>
      <c r="U15">
        <f>IFERROR(MAX(0,ROUND($C15-INDEX(Calcs!$S$7:$S$20,MATCH($B15,Calcs!$A$7:$A$20,0)),0)),0)</f>
        <v>0</v>
      </c>
      <c r="V15" s="51">
        <f>IFERROR(ROUND(INDEX(Calcs!$S$7:$S$20,MATCH($B15,Calcs!$A$7:$A$20,0)),0),"")</f>
        <v>1017</v>
      </c>
      <c r="W15" s="49" t="str">
        <f>IFERROR(INDEX(Calcs!$AF$7:$AF$20,MATCH($B15,Calcs!$A$7:$A$20,0)),"")</f>
        <v>Mid</v>
      </c>
      <c r="X15" s="51">
        <f>IFERROR(ROUND(SUMIF('Poker Stake Ledger'!$C$18:$C$137,$B15,'Poker Stake Ledger'!$K$18:$K$137),1),0)</f>
        <v>0</v>
      </c>
    </row>
    <row r="16" spans="1:24" ht="15" customHeight="1" x14ac:dyDescent="0.2">
      <c r="A16" s="46">
        <f>ROW()-4</f>
        <v>12</v>
      </c>
      <c r="B16" s="47" t="str">
        <f>IFERROR(INDEX(Calcs!$A$7:$A$20,MATCH(LARGE(Calcs!$AI$7:$AI$20,ROW()-4),Calcs!$AI$7:$AI$20,0)),"")</f>
        <v>Dylan S</v>
      </c>
      <c r="C16" s="48">
        <f>INDEX(Engine!$B$2:$B$15,MATCH($B16,Engine!$A$2:$A$15,0))+SUMIF('Poker Stake Ledger'!$C$18:$C$137,$B16,'Poker Stake Ledger'!$K$18:$K$137)</f>
        <v>1000</v>
      </c>
      <c r="D16" s="49">
        <f>COUNTIF('Match Log'!$D$4:$D$810,$B16)</f>
        <v>0</v>
      </c>
      <c r="E16" s="49">
        <f>COUNTIFS('Match Log'!$D$4:$D$810,$B16,'Match Log'!$E$4:$E$810,"Win")</f>
        <v>0</v>
      </c>
      <c r="F16" s="49">
        <f>$D16-$E16</f>
        <v>0</v>
      </c>
      <c r="G16" s="50" t="str">
        <f>IF($D16=0,"",$E16/$D16)</f>
        <v/>
      </c>
      <c r="H16" s="51">
        <f>SUMIF('Match Log'!$D$4:$D$810,$B16,'Match Log'!$J$4:$J$810)</f>
        <v>0</v>
      </c>
      <c r="I16" s="51">
        <f>SUMIF('Match Log'!$D$4:$D$810,$B16,'Match Log'!$K$4:$K$810)</f>
        <v>0</v>
      </c>
      <c r="J16" s="51">
        <f>SUMIF('Match Log'!$D$4:$D$810,$B16,'Match Log'!$L$4:$L$810)</f>
        <v>0</v>
      </c>
      <c r="K16" s="49">
        <f>SUMPRODUCT(--(COUNTIFS('Match Log'!$D$4:$D$810,$B16,'Match Log'!$C$4:$C$810,Lists!$C$2:$C$21)&gt;0))</f>
        <v>0</v>
      </c>
      <c r="L16" s="49" t="str">
        <f>IF($D16=0,"No games",IF(AND($D16&gt;='Guide &amp; Settings'!$C$45,$K16&gt;='Guide &amp; Settings'!$C$46),"Eligible","Provisional"))</f>
        <v>No games</v>
      </c>
      <c r="M16" s="48" t="str">
        <f>IFERROR(INDEX(Calcs!$C$7:$C$20,MATCH($B16,Calcs!$A$7:$A$20,0)),"")</f>
        <v/>
      </c>
      <c r="N16" s="48">
        <f>MAX($C$5:$C$18)-$C16</f>
        <v>168.21134360074416</v>
      </c>
      <c r="O16" s="49" t="str">
        <f>IFERROR(INDEX(Calcs!$H$7:$H$20,MATCH($B16,Calcs!$A$7:$A$20,0)),"")</f>
        <v/>
      </c>
      <c r="P16" s="49" t="str">
        <f>IFERROR(INDEX(Calcs!$I$7:$I$20,MATCH($B16,Calcs!$A$7:$A$20,0)),"")</f>
        <v/>
      </c>
      <c r="Q16" s="49" t="str">
        <f>IFERROR(IF(INDEX(Calcs!$L$7:$L$20,MATCH($B16,Calcs!$A$7:$A$20,0))&gt;0,"▲"&amp;INDEX(Calcs!$L$7:$L$20,MATCH($B16,Calcs!$A$7:$A$20,0)),IF(INDEX(Calcs!$L$7:$L$20,MATCH($B16,Calcs!$A$7:$A$20,0))&lt;0,"▼"&amp;ABS(INDEX(Calcs!$L$7:$L$20,MATCH($B16,Calcs!$A$7:$A$20,0))),"–")),"")</f>
        <v>▼1</v>
      </c>
      <c r="R16" s="49" t="str">
        <f>IFERROR(IF(INDEX(Calcs!$P$7:$P$20,MATCH($B16,Calcs!$A$7:$A$20,0))=0,"—",TEXT(INDEX(Calcs!$P$7:$P$20,MATCH($B16,Calcs!$A$7:$A$20,0)),"d mmm")),"")</f>
        <v>—</v>
      </c>
      <c r="S16" s="49" t="str">
        <f>IFERROR(ROUND(INDEX(Calcs!$Q$7:$Q$20,MATCH($B16,Calcs!$A$7:$A$20,0)),1),"")</f>
        <v/>
      </c>
      <c r="T16" s="49" t="str">
        <f>IFERROR(INDEX(Calcs!$T$7:$T$20,MATCH($B16,Calcs!$A$7:$A$20,0)),"")</f>
        <v>No games</v>
      </c>
      <c r="U16">
        <f>IFERROR(MAX(0,ROUND($C16-INDEX(Calcs!$S$7:$S$20,MATCH($B16,Calcs!$A$7:$A$20,0)),0)),0)</f>
        <v>0</v>
      </c>
      <c r="V16" s="51">
        <f>IFERROR(ROUND(INDEX(Calcs!$S$7:$S$20,MATCH($B16,Calcs!$A$7:$A$20,0)),0),"")</f>
        <v>1000</v>
      </c>
      <c r="W16" s="49" t="str">
        <f>IFERROR(INDEX(Calcs!$AF$7:$AF$20,MATCH($B16,Calcs!$A$7:$A$20,0)),"")</f>
        <v>No games</v>
      </c>
      <c r="X16" s="51">
        <f>IFERROR(ROUND(SUMIF('Poker Stake Ledger'!$C$18:$C$137,$B16,'Poker Stake Ledger'!$K$18:$K$137),1),0)</f>
        <v>0</v>
      </c>
    </row>
    <row r="17" spans="1:24" ht="15" customHeight="1" x14ac:dyDescent="0.2">
      <c r="A17" s="46">
        <f>ROW()-4</f>
        <v>13</v>
      </c>
      <c r="B17" s="47" t="str">
        <f>IFERROR(INDEX(Calcs!$A$7:$A$20,MATCH(LARGE(Calcs!$AI$7:$AI$20,ROW()-4),Calcs!$AI$7:$AI$20,0)),"")</f>
        <v>David</v>
      </c>
      <c r="C17" s="48">
        <f>INDEX(Engine!$B$2:$B$15,MATCH($B17,Engine!$A$2:$A$15,0))+SUMIF('Poker Stake Ledger'!$C$18:$C$137,$B17,'Poker Stake Ledger'!$K$18:$K$137)</f>
        <v>981.92436608474441</v>
      </c>
      <c r="D17" s="49">
        <f>COUNTIF('Match Log'!$D$4:$D$810,$B17)</f>
        <v>14</v>
      </c>
      <c r="E17" s="49">
        <f>COUNTIFS('Match Log'!$D$4:$D$810,$B17,'Match Log'!$E$4:$E$810,"Win")</f>
        <v>4</v>
      </c>
      <c r="F17" s="49">
        <f>$D17-$E17</f>
        <v>10</v>
      </c>
      <c r="G17" s="50">
        <f>IF($D17=0,"",$E17/$D17)</f>
        <v>0.2857142857142857</v>
      </c>
      <c r="H17" s="51">
        <f>SUMIF('Match Log'!$D$4:$D$810,$B17,'Match Log'!$J$4:$J$810)</f>
        <v>-40.038181653505887</v>
      </c>
      <c r="I17" s="51">
        <f>SUMIF('Match Log'!$D$4:$D$810,$B17,'Match Log'!$K$4:$K$810)</f>
        <v>-6.0374522617496993</v>
      </c>
      <c r="J17" s="51">
        <f>SUMIF('Match Log'!$D$4:$D$810,$B17,'Match Log'!$L$4:$L$810)</f>
        <v>28</v>
      </c>
      <c r="K17" s="49">
        <f>SUMPRODUCT(--(COUNTIFS('Match Log'!$D$4:$D$810,$B17,'Match Log'!$C$4:$C$810,Lists!$C$2:$C$21)&gt;0))</f>
        <v>3</v>
      </c>
      <c r="L17" s="49" t="str">
        <f>IF($D17=0,"No games",IF(AND($D17&gt;='Guide &amp; Settings'!$C$45,$K17&gt;='Guide &amp; Settings'!$C$46),"Eligible","Provisional"))</f>
        <v>Eligible</v>
      </c>
      <c r="M17" s="48">
        <f>IFERROR(INDEX(Calcs!$C$7:$C$20,MATCH($B17,Calcs!$A$7:$A$20,0)),"")</f>
        <v>1073.8500791258082</v>
      </c>
      <c r="N17" s="48">
        <f>MAX($C$5:$C$18)-$C17</f>
        <v>186.28697751599975</v>
      </c>
      <c r="O17" s="49" t="str">
        <f>IFERROR(INDEX(Calcs!$H$7:$H$20,MATCH($B17,Calcs!$A$7:$A$20,0)),"")</f>
        <v>W2</v>
      </c>
      <c r="P17" s="49" t="str">
        <f>IFERROR(INDEX(Calcs!$I$7:$I$20,MATCH($B17,Calcs!$A$7:$A$20,0)),"")</f>
        <v>LLLWW</v>
      </c>
      <c r="Q17" s="49" t="str">
        <f>IFERROR(IF(INDEX(Calcs!$L$7:$L$20,MATCH($B17,Calcs!$A$7:$A$20,0))&gt;0,"▲"&amp;INDEX(Calcs!$L$7:$L$20,MATCH($B17,Calcs!$A$7:$A$20,0)),IF(INDEX(Calcs!$L$7:$L$20,MATCH($B17,Calcs!$A$7:$A$20,0))&lt;0,"▼"&amp;ABS(INDEX(Calcs!$L$7:$L$20,MATCH($B17,Calcs!$A$7:$A$20,0))),"–")),"")</f>
        <v>▼1</v>
      </c>
      <c r="R17" s="49" t="str">
        <f>IFERROR(IF(INDEX(Calcs!$P$7:$P$20,MATCH($B17,Calcs!$A$7:$A$20,0))=0,"—",TEXT(INDEX(Calcs!$P$7:$P$20,MATCH($B17,Calcs!$A$7:$A$20,0)),"d mmm")),"")</f>
        <v>15 Jun</v>
      </c>
      <c r="S17" s="49">
        <f>IFERROR(ROUND(INDEX(Calcs!$Q$7:$Q$20,MATCH($B17,Calcs!$A$7:$A$20,0)),1),"")</f>
        <v>3.7</v>
      </c>
      <c r="T17" s="49" t="str">
        <f>IFERROR(INDEX(Calcs!$T$7:$T$20,MATCH($B17,Calcs!$A$7:$A$20,0)),"")</f>
        <v>At risk</v>
      </c>
      <c r="U17">
        <f>IFERROR(MAX(0,ROUND($C17-INDEX(Calcs!$S$7:$S$20,MATCH($B17,Calcs!$A$7:$A$20,0)),0)),0)</f>
        <v>0</v>
      </c>
      <c r="V17" s="51">
        <f>IFERROR(ROUND(INDEX(Calcs!$S$7:$S$20,MATCH($B17,Calcs!$A$7:$A$20,0)),0),"")</f>
        <v>982</v>
      </c>
      <c r="W17" s="49" t="str">
        <f>IFERROR(INDEX(Calcs!$AF$7:$AF$20,MATCH($B17,Calcs!$A$7:$A$20,0)),"")</f>
        <v>Developing</v>
      </c>
      <c r="X17" s="51">
        <f>IFERROR(ROUND(SUMIF('Poker Stake Ledger'!$C$18:$C$137,$B17,'Poker Stake Ledger'!$K$18:$K$137),1),0)</f>
        <v>0</v>
      </c>
    </row>
    <row r="18" spans="1:24" ht="15" customHeight="1" x14ac:dyDescent="0.2">
      <c r="A18" s="46">
        <f>ROW()-4</f>
        <v>14</v>
      </c>
      <c r="B18" s="47" t="str">
        <f>IFERROR(INDEX(Calcs!$A$7:$A$20,MATCH(LARGE(Calcs!$AI$7:$AI$20,ROW()-4),Calcs!$AI$7:$AI$20,0)),"")</f>
        <v>Cody</v>
      </c>
      <c r="C18" s="48">
        <f>INDEX(Engine!$B$2:$B$15,MATCH($B18,Engine!$A$2:$A$15,0))+SUMIF('Poker Stake Ledger'!$C$18:$C$137,$B18,'Poker Stake Ledger'!$K$18:$K$137)</f>
        <v>893.03675187725173</v>
      </c>
      <c r="D18" s="49">
        <f>COUNTIF('Match Log'!$D$4:$D$810,$B18)</f>
        <v>13</v>
      </c>
      <c r="E18" s="49">
        <f>COUNTIFS('Match Log'!$D$4:$D$810,$B18,'Match Log'!$E$4:$E$810,"Win")</f>
        <v>2</v>
      </c>
      <c r="F18" s="49">
        <f>$D18-$E18</f>
        <v>11</v>
      </c>
      <c r="G18" s="50">
        <f>IF($D18=0,"",$E18/$D18)</f>
        <v>0.15384615384615385</v>
      </c>
      <c r="H18" s="51">
        <f>SUMIF('Match Log'!$D$4:$D$810,$B18,'Match Log'!$J$4:$J$810)</f>
        <v>-81.350145088592967</v>
      </c>
      <c r="I18" s="51">
        <f>SUMIF('Match Log'!$D$4:$D$810,$B18,'Match Log'!$K$4:$K$810)</f>
        <v>-33.613103034155223</v>
      </c>
      <c r="J18" s="51">
        <f>SUMIF('Match Log'!$D$4:$D$810,$B18,'Match Log'!$L$4:$L$810)</f>
        <v>8</v>
      </c>
      <c r="K18" s="49">
        <f>SUMPRODUCT(--(COUNTIFS('Match Log'!$D$4:$D$810,$B18,'Match Log'!$C$4:$C$810,Lists!$C$2:$C$21)&gt;0))</f>
        <v>3</v>
      </c>
      <c r="L18" s="49" t="str">
        <f>IF($D18=0,"No games",IF(AND($D18&gt;='Guide &amp; Settings'!$C$45,$K18&gt;='Guide &amp; Settings'!$C$46),"Eligible","Provisional"))</f>
        <v>Eligible</v>
      </c>
      <c r="M18" s="48">
        <f>IFERROR(INDEX(Calcs!$C$7:$C$20,MATCH($B18,Calcs!$A$7:$A$20,0)),"")</f>
        <v>1081.2285285367104</v>
      </c>
      <c r="N18" s="48">
        <f>MAX($C$5:$C$18)-$C18</f>
        <v>275.17459172349243</v>
      </c>
      <c r="O18" s="49" t="str">
        <f>IFERROR(INDEX(Calcs!$H$7:$H$20,MATCH($B18,Calcs!$A$7:$A$20,0)),"")</f>
        <v>L4</v>
      </c>
      <c r="P18" s="49" t="str">
        <f>IFERROR(INDEX(Calcs!$I$7:$I$20,MATCH($B18,Calcs!$A$7:$A$20,0)),"")</f>
        <v>WLLLL</v>
      </c>
      <c r="Q18" s="49" t="str">
        <f>IFERROR(IF(INDEX(Calcs!$L$7:$L$20,MATCH($B18,Calcs!$A$7:$A$20,0))&gt;0,"▲"&amp;INDEX(Calcs!$L$7:$L$20,MATCH($B18,Calcs!$A$7:$A$20,0)),IF(INDEX(Calcs!$L$7:$L$20,MATCH($B18,Calcs!$A$7:$A$20,0))&lt;0,"▼"&amp;ABS(INDEX(Calcs!$L$7:$L$20,MATCH($B18,Calcs!$A$7:$A$20,0))),"–")),"")</f>
        <v>–</v>
      </c>
      <c r="R18" s="49" t="str">
        <f>IFERROR(IF(INDEX(Calcs!$P$7:$P$20,MATCH($B18,Calcs!$A$7:$A$20,0))=0,"—",TEXT(INDEX(Calcs!$P$7:$P$20,MATCH($B18,Calcs!$A$7:$A$20,0)),"d mmm")),"")</f>
        <v>15 Jun</v>
      </c>
      <c r="S18" s="49">
        <f>IFERROR(ROUND(INDEX(Calcs!$Q$7:$Q$20,MATCH($B18,Calcs!$A$7:$A$20,0)),1),"")</f>
        <v>3.7</v>
      </c>
      <c r="T18" s="49" t="str">
        <f>IFERROR(INDEX(Calcs!$T$7:$T$20,MATCH($B18,Calcs!$A$7:$A$20,0)),"")</f>
        <v>At risk</v>
      </c>
      <c r="U18">
        <f>IFERROR(MAX(0,ROUND($C18-INDEX(Calcs!$S$7:$S$20,MATCH($B18,Calcs!$A$7:$A$20,0)),0)),0)</f>
        <v>0</v>
      </c>
      <c r="V18" s="51">
        <f>IFERROR(ROUND(INDEX(Calcs!$S$7:$S$20,MATCH($B18,Calcs!$A$7:$A$20,0)),0),"")</f>
        <v>893</v>
      </c>
      <c r="W18" s="49" t="str">
        <f>IFERROR(INDEX(Calcs!$AF$7:$AF$20,MATCH($B18,Calcs!$A$7:$A$20,0)),"")</f>
        <v>Developing</v>
      </c>
      <c r="X18" s="51">
        <f>IFERROR(ROUND(SUMIF('Poker Stake Ledger'!$C$18:$C$137,$B18,'Poker Stake Ledger'!$K$18:$K$137),1),0)</f>
        <v>0</v>
      </c>
    </row>
    <row r="19" spans="1:24" ht="15" customHeight="1" x14ac:dyDescent="0.2">
      <c r="A19" s="138" t="s">
        <v>445</v>
      </c>
      <c r="B19" s="138"/>
      <c r="C19" s="138"/>
      <c r="D19" s="138"/>
      <c r="E19" s="138"/>
      <c r="F19" s="138"/>
      <c r="G19" s="138"/>
      <c r="H19" s="138"/>
      <c r="I19" s="138"/>
      <c r="J19" s="138"/>
      <c r="K19" s="138"/>
      <c r="L19" s="138"/>
      <c r="M19" s="138"/>
    </row>
    <row r="23" spans="1:24" ht="12.75" customHeight="1" x14ac:dyDescent="0.2"/>
  </sheetData>
  <autoFilter ref="A4:X18" xr:uid="{00000000-0009-0000-0000-000002000000}">
    <sortState xmlns:xlrd2="http://schemas.microsoft.com/office/spreadsheetml/2017/richdata2" ref="A5:X19">
      <sortCondition descending="1" ref="C4:C19"/>
    </sortState>
  </autoFilter>
  <conditionalFormatting sqref="C5:C18">
    <cfRule type="colorScale" priority="6">
      <colorScale>
        <cfvo type="min"/>
        <cfvo type="percentile" val="50"/>
        <cfvo type="max"/>
        <color rgb="FFF8696B"/>
        <color rgb="FFFFEB84"/>
        <color rgb="FF63BE7B"/>
      </colorScale>
    </cfRule>
  </conditionalFormatting>
  <conditionalFormatting sqref="G5:G18">
    <cfRule type="colorScale" priority="2">
      <colorScale>
        <cfvo type="num" val="0"/>
        <cfvo type="num" val="0.5"/>
        <cfvo type="num" val="1"/>
        <color rgb="FFF8696B"/>
        <color rgb="FFFFEB84"/>
        <color rgb="FF63BE7B"/>
      </colorScale>
    </cfRule>
  </conditionalFormatting>
  <conditionalFormatting sqref="L5:L18">
    <cfRule type="cellIs" dxfId="39" priority="3" operator="equal">
      <formula>"Eligible"</formula>
    </cfRule>
    <cfRule type="cellIs" dxfId="38" priority="4" operator="equal">
      <formula>"Provisional"</formula>
    </cfRule>
    <cfRule type="cellIs" dxfId="37" priority="5" operator="equal">
      <formula>"No games"</formula>
    </cfRule>
  </conditionalFormatting>
  <conditionalFormatting sqref="T5:T18">
    <cfRule type="cellIs" dxfId="36" priority="7" operator="equal">
      <formula>"Active"</formula>
    </cfRule>
    <cfRule type="cellIs" dxfId="35" priority="8" operator="equal">
      <formula>"At risk"</formula>
    </cfRule>
    <cfRule type="cellIs" dxfId="34" priority="9" operator="equal">
      <formula>"Inactive"</formula>
    </cfRule>
    <cfRule type="cellIs" dxfId="33" priority="10" operator="equal">
      <formula>"No games"</formula>
    </cfRule>
  </conditionalFormatting>
  <conditionalFormatting sqref="W5:W18">
    <cfRule type="cellIs" dxfId="32" priority="11" operator="equal">
      <formula>"Elite"</formula>
    </cfRule>
    <cfRule type="cellIs" dxfId="31" priority="12" operator="equal">
      <formula>"Strong"</formula>
    </cfRule>
    <cfRule type="cellIs" dxfId="30" priority="13" operator="equal">
      <formula>"Mid"</formula>
    </cfRule>
    <cfRule type="cellIs" dxfId="29" priority="14" operator="equal">
      <formula>"Developing"</formula>
    </cfRule>
    <cfRule type="cellIs" dxfId="28" priority="15" operator="equal">
      <formula>"Unranked"</formula>
    </cfRule>
    <cfRule type="cellIs" dxfId="27" priority="16" operator="equal">
      <formula>"No games"</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96D2C-12F2-3148-8801-B920C579EE08}">
  <dimension ref="A1:H28"/>
  <sheetViews>
    <sheetView zoomScale="175" zoomScaleNormal="175" workbookViewId="0">
      <selection activeCell="B3" sqref="B3"/>
    </sheetView>
  </sheetViews>
  <sheetFormatPr baseColWidth="10" defaultColWidth="8.6640625" defaultRowHeight="15" x14ac:dyDescent="0.2"/>
  <cols>
    <col min="1" max="1" width="34.6640625" customWidth="1"/>
    <col min="2" max="2" width="14.6640625" customWidth="1"/>
    <col min="3" max="3" width="3" customWidth="1"/>
    <col min="4" max="4" width="14.1640625" customWidth="1"/>
    <col min="5" max="5" width="5.83203125" customWidth="1"/>
    <col min="6" max="6" width="4.5" customWidth="1"/>
    <col min="7" max="7" width="5.33203125" customWidth="1"/>
    <col min="8" max="8" width="9.1640625" customWidth="1"/>
  </cols>
  <sheetData>
    <row r="1" spans="1:8" ht="21" customHeight="1" x14ac:dyDescent="0.25">
      <c r="A1" s="52" t="s">
        <v>176</v>
      </c>
    </row>
    <row r="2" spans="1:8" ht="15" customHeight="1" x14ac:dyDescent="0.2">
      <c r="A2" s="32" t="s">
        <v>177</v>
      </c>
    </row>
    <row r="3" spans="1:8" ht="15" customHeight="1" x14ac:dyDescent="0.2">
      <c r="A3" s="19" t="s">
        <v>178</v>
      </c>
      <c r="B3" s="53" t="s">
        <v>134</v>
      </c>
      <c r="D3" s="12" t="s">
        <v>179</v>
      </c>
    </row>
    <row r="4" spans="1:8" ht="15" customHeight="1" x14ac:dyDescent="0.2">
      <c r="D4" s="33" t="s">
        <v>123</v>
      </c>
      <c r="E4" s="33" t="s">
        <v>127</v>
      </c>
      <c r="F4" s="33" t="s">
        <v>180</v>
      </c>
      <c r="G4" s="33" t="s">
        <v>102</v>
      </c>
      <c r="H4" s="33" t="s">
        <v>125</v>
      </c>
    </row>
    <row r="5" spans="1:8" ht="15" customHeight="1" x14ac:dyDescent="0.2">
      <c r="A5" s="54" t="s">
        <v>114</v>
      </c>
      <c r="B5" s="55">
        <f>IFERROR(INDEX(Dashboard!$A$5:$A$18,MATCH($B$3,Dashboard!$B$5:$B$18,0)),"")</f>
        <v>10</v>
      </c>
      <c r="D5" s="56" t="s">
        <v>181</v>
      </c>
      <c r="E5" s="36">
        <f>COUNTIFS('Match Log'!$D$4:$D$810,$B$3,'Match Log'!$C$4:$C$810,$D5)</f>
        <v>2</v>
      </c>
      <c r="F5" s="36">
        <f>COUNTIFS('Match Log'!$D$4:$D$810,$B$3,'Match Log'!$C$4:$C$810,$D5,'Match Log'!$E$4:$E$810,"Win")</f>
        <v>2</v>
      </c>
      <c r="G5" s="57">
        <f t="shared" ref="G5:G23" si="0">IF($E5=0,"",$F5/$E5)</f>
        <v>1</v>
      </c>
      <c r="H5" s="58">
        <f>IFERROR(IF($E5=0,"",INDEX('Sport Records'!$B$91:$O$110,MATCH($D5,'Sport Records'!$A$91:$A$110,0),MATCH($B$3,'Sport Records'!$B$90:$O$90,0))),"")</f>
        <v>1030.5304984710244</v>
      </c>
    </row>
    <row r="6" spans="1:8" ht="15" customHeight="1" x14ac:dyDescent="0.2">
      <c r="A6" s="54" t="s">
        <v>69</v>
      </c>
      <c r="B6" s="59">
        <f>IFERROR(INDEX(Dashboard!$C$5:$C$18,MATCH($B$3,Dashboard!$B$5:$B$18,0)),"")</f>
        <v>1019.8775545971507</v>
      </c>
      <c r="D6" s="60" t="s">
        <v>182</v>
      </c>
      <c r="E6" s="39">
        <f>COUNTIFS('Match Log'!$D$4:$D$810,$B$3,'Match Log'!$C$4:$C$810,$D6)</f>
        <v>0</v>
      </c>
      <c r="F6" s="39">
        <f>COUNTIFS('Match Log'!$D$4:$D$810,$B$3,'Match Log'!$C$4:$C$810,$D6,'Match Log'!$E$4:$E$810,"Win")</f>
        <v>0</v>
      </c>
      <c r="G6" s="61" t="str">
        <f t="shared" si="0"/>
        <v/>
      </c>
      <c r="H6" s="62" t="str">
        <f>IFERROR(IF($E6=0,"",INDEX('Sport Records'!$B$91:$O$110,MATCH($D6,'Sport Records'!$A$91:$A$110,0),MATCH($B$3,'Sport Records'!$B$90:$O$90,0))),"")</f>
        <v/>
      </c>
    </row>
    <row r="7" spans="1:8" ht="15" customHeight="1" x14ac:dyDescent="0.2">
      <c r="A7" s="54" t="s">
        <v>98</v>
      </c>
      <c r="B7" s="55" t="str">
        <f>IFERROR(INDEX(Calcs!$AF$7:$AF$20,MATCH($B$3,Calcs!$A$7:$A$20,0)),"")</f>
        <v>Strong</v>
      </c>
      <c r="D7" s="56" t="s">
        <v>183</v>
      </c>
      <c r="E7" s="36">
        <f>COUNTIFS('Match Log'!$D$4:$D$810,$B$3,'Match Log'!$C$4:$C$810,$D7)</f>
        <v>20</v>
      </c>
      <c r="F7" s="36">
        <f>COUNTIFS('Match Log'!$D$4:$D$810,$B$3,'Match Log'!$C$4:$C$810,$D7,'Match Log'!$E$4:$E$810,"Win")</f>
        <v>9</v>
      </c>
      <c r="G7" s="57">
        <f t="shared" si="0"/>
        <v>0.45</v>
      </c>
      <c r="H7" s="58">
        <f>IFERROR(IF($E7=0,"",INDEX('Sport Records'!$B$91:$O$110,MATCH($D7,'Sport Records'!$A$91:$A$110,0),MATCH($B$3,'Sport Records'!$B$90:$O$90,0))),"")</f>
        <v>974.00768231912002</v>
      </c>
    </row>
    <row r="8" spans="1:8" ht="15" customHeight="1" x14ac:dyDescent="0.2">
      <c r="A8" s="54" t="s">
        <v>126</v>
      </c>
      <c r="B8" s="55" t="str">
        <f>IFERROR(INDEX(Dashboard!$E$5:$E$18,MATCH($B$3,Dashboard!$B$5:$B$18,0))&amp;"–"&amp;INDEX(Dashboard!$F$5:$F$18,MATCH($B$3,Dashboard!$B$5:$B$18,0)),"")</f>
        <v>27–34</v>
      </c>
      <c r="D8" s="60" t="s">
        <v>184</v>
      </c>
      <c r="E8" s="39">
        <f>COUNTIFS('Match Log'!$D$4:$D$810,$B$3,'Match Log'!$C$4:$C$810,$D8)</f>
        <v>0</v>
      </c>
      <c r="F8" s="39">
        <f>COUNTIFS('Match Log'!$D$4:$D$810,$B$3,'Match Log'!$C$4:$C$810,$D8,'Match Log'!$E$4:$E$810,"Win")</f>
        <v>0</v>
      </c>
      <c r="G8" s="61" t="str">
        <f t="shared" si="0"/>
        <v/>
      </c>
      <c r="H8" s="62" t="str">
        <f>IFERROR(IF($E8=0,"",INDEX('Sport Records'!$B$91:$O$110,MATCH($D8,'Sport Records'!$A$91:$A$110,0),MATCH($B$3,'Sport Records'!$B$90:$O$90,0))),"")</f>
        <v/>
      </c>
    </row>
    <row r="9" spans="1:8" ht="15" customHeight="1" x14ac:dyDescent="0.2">
      <c r="A9" s="54" t="s">
        <v>102</v>
      </c>
      <c r="B9" s="63">
        <f>IFERROR(INDEX(Dashboard!$G$5:$G$18,MATCH($B$3,Dashboard!$B$5:$B$18,0)),"")</f>
        <v>0.44262295081967212</v>
      </c>
      <c r="D9" s="56" t="s">
        <v>185</v>
      </c>
      <c r="E9" s="36">
        <f>COUNTIFS('Match Log'!$D$4:$D$810,$B$3,'Match Log'!$C$4:$C$810,$D9)</f>
        <v>0</v>
      </c>
      <c r="F9" s="36">
        <f>COUNTIFS('Match Log'!$D$4:$D$810,$B$3,'Match Log'!$C$4:$C$810,$D9,'Match Log'!$E$4:$E$810,"Win")</f>
        <v>0</v>
      </c>
      <c r="G9" s="57" t="str">
        <f t="shared" si="0"/>
        <v/>
      </c>
      <c r="H9" s="58" t="str">
        <f>IFERROR(IF($E9=0,"",INDEX('Sport Records'!$B$91:$O$110,MATCH($D9,'Sport Records'!$A$91:$A$110,0),MATCH($B$3,'Sport Records'!$B$90:$O$90,0))),"")</f>
        <v/>
      </c>
    </row>
    <row r="10" spans="1:8" ht="15" customHeight="1" x14ac:dyDescent="0.2">
      <c r="A10" s="54" t="s">
        <v>127</v>
      </c>
      <c r="B10" s="55">
        <f>IFERROR(INDEX(Dashboard!$D$5:$D$18,MATCH($B$3,Dashboard!$B$5:$B$18,0)),"")</f>
        <v>61</v>
      </c>
      <c r="D10" s="60" t="s">
        <v>186</v>
      </c>
      <c r="E10" s="39">
        <f>COUNTIFS('Match Log'!$D$4:$D$810,$B$3,'Match Log'!$C$4:$C$810,$D10)</f>
        <v>1</v>
      </c>
      <c r="F10" s="39">
        <f>COUNTIFS('Match Log'!$D$4:$D$810,$B$3,'Match Log'!$C$4:$C$810,$D10,'Match Log'!$E$4:$E$810,"Win")</f>
        <v>0</v>
      </c>
      <c r="G10" s="61">
        <f t="shared" si="0"/>
        <v>0</v>
      </c>
      <c r="H10" s="62">
        <f>IFERROR(IF($E10=0,"",INDEX('Sport Records'!$B$91:$O$110,MATCH($D10,'Sport Records'!$A$91:$A$110,0),MATCH($B$3,'Sport Records'!$B$90:$O$90,0))),"")</f>
        <v>997.71428571428567</v>
      </c>
    </row>
    <row r="11" spans="1:8" ht="15" customHeight="1" x14ac:dyDescent="0.2">
      <c r="A11" s="54" t="s">
        <v>187</v>
      </c>
      <c r="B11" s="55">
        <f>IFERROR(INDEX(Dashboard!$K$5:$K$18,MATCH($B$3,Dashboard!$B$5:$B$18,0)),"")</f>
        <v>9</v>
      </c>
      <c r="D11" s="56" t="s">
        <v>188</v>
      </c>
      <c r="E11" s="36">
        <f>COUNTIFS('Match Log'!$D$4:$D$810,$B$3,'Match Log'!$C$4:$C$810,$D11)</f>
        <v>0</v>
      </c>
      <c r="F11" s="36">
        <f>COUNTIFS('Match Log'!$D$4:$D$810,$B$3,'Match Log'!$C$4:$C$810,$D11,'Match Log'!$E$4:$E$810,"Win")</f>
        <v>0</v>
      </c>
      <c r="G11" s="57" t="str">
        <f t="shared" si="0"/>
        <v/>
      </c>
      <c r="H11" s="58" t="str">
        <f>IFERROR(IF($E11=0,"",INDEX('Sport Records'!$B$91:$O$110,MATCH($D11,'Sport Records'!$A$91:$A$110,0),MATCH($B$3,'Sport Records'!$B$90:$O$90,0))),"")</f>
        <v/>
      </c>
    </row>
    <row r="12" spans="1:8" ht="15" customHeight="1" x14ac:dyDescent="0.2">
      <c r="A12" s="54" t="s">
        <v>189</v>
      </c>
      <c r="B12" s="59">
        <f>IFERROR(INDEX(Calcs!$C$7:$C$20,MATCH($B$3,Calcs!$A$7:$A$20,0)),"")</f>
        <v>1080.4297580146781</v>
      </c>
      <c r="D12" s="60" t="s">
        <v>190</v>
      </c>
      <c r="E12" s="39">
        <f>COUNTIFS('Match Log'!$D$4:$D$810,$B$3,'Match Log'!$C$4:$C$810,$D12)</f>
        <v>0</v>
      </c>
      <c r="F12" s="39">
        <f>COUNTIFS('Match Log'!$D$4:$D$810,$B$3,'Match Log'!$C$4:$C$810,$D12,'Match Log'!$E$4:$E$810,"Win")</f>
        <v>0</v>
      </c>
      <c r="G12" s="61" t="str">
        <f t="shared" si="0"/>
        <v/>
      </c>
      <c r="H12" s="62" t="str">
        <f>IFERROR(IF($E12=0,"",INDEX('Sport Records'!$B$91:$O$110,MATCH($D12,'Sport Records'!$A$91:$A$110,0),MATCH($B$3,'Sport Records'!$B$90:$O$90,0))),"")</f>
        <v/>
      </c>
    </row>
    <row r="13" spans="1:8" ht="15" customHeight="1" x14ac:dyDescent="0.2">
      <c r="A13" s="54" t="s">
        <v>191</v>
      </c>
      <c r="B13" s="55" t="str">
        <f>IFERROR(INDEX(Calcs!$H$7:$H$20,MATCH($B$3,Calcs!$A$7:$A$20,0)),"")</f>
        <v>W1</v>
      </c>
      <c r="D13" s="56" t="s">
        <v>192</v>
      </c>
      <c r="E13" s="36">
        <f>COUNTIFS('Match Log'!$D$4:$D$810,$B$3,'Match Log'!$C$4:$C$810,$D13)</f>
        <v>1</v>
      </c>
      <c r="F13" s="36">
        <f>COUNTIFS('Match Log'!$D$4:$D$810,$B$3,'Match Log'!$C$4:$C$810,$D13,'Match Log'!$E$4:$E$810,"Win")</f>
        <v>0</v>
      </c>
      <c r="G13" s="57">
        <f t="shared" si="0"/>
        <v>0</v>
      </c>
      <c r="H13" s="58">
        <f>IFERROR(IF($E13=0,"",INDEX('Sport Records'!$B$91:$O$110,MATCH($D13,'Sport Records'!$A$91:$A$110,0),MATCH($B$3,'Sport Records'!$B$90:$O$90,0))),"")</f>
        <v>992</v>
      </c>
    </row>
    <row r="14" spans="1:8" ht="15" customHeight="1" x14ac:dyDescent="0.2">
      <c r="A14" s="54" t="s">
        <v>162</v>
      </c>
      <c r="B14" s="55" t="str">
        <f>IFERROR(INDEX(Calcs!$I$7:$I$20,MATCH($B$3,Calcs!$A$7:$A$20,0)),"")</f>
        <v>WLLLW</v>
      </c>
      <c r="D14" s="60" t="s">
        <v>193</v>
      </c>
      <c r="E14" s="39">
        <f>COUNTIFS('Match Log'!$D$4:$D$810,$B$3,'Match Log'!$C$4:$C$810,$D14)</f>
        <v>0</v>
      </c>
      <c r="F14" s="39">
        <f>COUNTIFS('Match Log'!$D$4:$D$810,$B$3,'Match Log'!$C$4:$C$810,$D14,'Match Log'!$E$4:$E$810,"Win")</f>
        <v>0</v>
      </c>
      <c r="G14" s="61" t="str">
        <f t="shared" si="0"/>
        <v/>
      </c>
      <c r="H14" s="62" t="str">
        <f>IFERROR(IF($E14=0,"",INDEX('Sport Records'!$B$91:$O$110,MATCH($D14,'Sport Records'!$A$91:$A$110,0),MATCH($B$3,'Sport Records'!$B$90:$O$90,0))),"")</f>
        <v/>
      </c>
    </row>
    <row r="15" spans="1:8" ht="15" customHeight="1" x14ac:dyDescent="0.2">
      <c r="A15" s="54" t="s">
        <v>112</v>
      </c>
      <c r="B15" s="59">
        <f>IFERROR(INDEX(Calcs!$E$7:$E$20,MATCH($B$3,Calcs!$A$7:$A$20,0)),"")</f>
        <v>148.33378900359344</v>
      </c>
      <c r="D15" s="56" t="s">
        <v>194</v>
      </c>
      <c r="E15" s="36">
        <f>COUNTIFS('Match Log'!$D$4:$D$810,$B$3,'Match Log'!$C$4:$C$810,$D15)</f>
        <v>0</v>
      </c>
      <c r="F15" s="36">
        <f>COUNTIFS('Match Log'!$D$4:$D$810,$B$3,'Match Log'!$C$4:$C$810,$D15,'Match Log'!$E$4:$E$810,"Win")</f>
        <v>0</v>
      </c>
      <c r="G15" s="57" t="str">
        <f t="shared" si="0"/>
        <v/>
      </c>
      <c r="H15" s="58" t="str">
        <f>IFERROR(IF($E15=0,"",INDEX('Sport Records'!$B$91:$O$110,MATCH($D15,'Sport Records'!$A$91:$A$110,0),MATCH($B$3,'Sport Records'!$B$90:$O$90,0))),"")</f>
        <v/>
      </c>
    </row>
    <row r="16" spans="1:8" ht="15" customHeight="1" x14ac:dyDescent="0.2">
      <c r="A16" s="54" t="s">
        <v>100</v>
      </c>
      <c r="B16" s="55" t="str">
        <f>IFERROR(INDEX(Dashboard!$L$5:$L$18,MATCH($B$3,Dashboard!$B$5:$B$18,0)),"")</f>
        <v>Eligible</v>
      </c>
      <c r="D16" s="60" t="s">
        <v>195</v>
      </c>
      <c r="E16" s="39">
        <f>COUNTIFS('Match Log'!$D$4:$D$810,$B$3,'Match Log'!$C$4:$C$810,$D16)</f>
        <v>5</v>
      </c>
      <c r="F16" s="39">
        <f>COUNTIFS('Match Log'!$D$4:$D$810,$B$3,'Match Log'!$C$4:$C$810,$D16,'Match Log'!$E$4:$E$810,"Win")</f>
        <v>5</v>
      </c>
      <c r="G16" s="61">
        <f t="shared" si="0"/>
        <v>1</v>
      </c>
      <c r="H16" s="62">
        <f>IFERROR(IF($E16=0,"",INDEX('Sport Records'!$B$91:$O$110,MATCH($D16,'Sport Records'!$A$91:$A$110,0),MATCH($B$3,'Sport Records'!$B$90:$O$90,0))),"")</f>
        <v>1073.39235221687</v>
      </c>
    </row>
    <row r="17" spans="1:8" ht="15" customHeight="1" x14ac:dyDescent="0.2">
      <c r="A17" s="64" t="s">
        <v>196</v>
      </c>
      <c r="B17" s="65" t="str">
        <f>IFERROR(TEXT(INDEX(Calcs!$P$7:$P$20,MATCH($B$3,Calcs!$A$7:$A$20,0)),"d mmm")&amp;"  ·  "&amp;INDEX(Calcs!$T$7:$T$20,MATCH($B$3,Calcs!$A$7:$A$20,0)),"")</f>
        <v>11 Jul  ·  Active</v>
      </c>
      <c r="D17" s="56" t="s">
        <v>197</v>
      </c>
      <c r="E17" s="36">
        <f>COUNTIFS('Match Log'!$D$4:$D$810,$B$3,'Match Log'!$C$4:$C$810,$D17)</f>
        <v>9</v>
      </c>
      <c r="F17" s="36">
        <f>COUNTIFS('Match Log'!$D$4:$D$810,$B$3,'Match Log'!$C$4:$C$810,$D17,'Match Log'!$E$4:$E$810,"Win")</f>
        <v>2</v>
      </c>
      <c r="G17" s="57">
        <f t="shared" si="0"/>
        <v>0.22222222222222221</v>
      </c>
      <c r="H17" s="58">
        <f>IFERROR(IF($E17=0,"",INDEX('Sport Records'!$B$91:$O$110,MATCH($D17,'Sport Records'!$A$91:$A$110,0),MATCH($B$3,'Sport Records'!$B$90:$O$90,0))),"")</f>
        <v>948.96790333240949</v>
      </c>
    </row>
    <row r="18" spans="1:8" ht="15" customHeight="1" x14ac:dyDescent="0.2">
      <c r="A18" s="12" t="s">
        <v>198</v>
      </c>
      <c r="D18" s="60" t="s">
        <v>199</v>
      </c>
      <c r="E18" s="39">
        <f>COUNTIFS('Match Log'!$D$4:$D$810,$B$3,'Match Log'!$C$4:$C$810,$D18)</f>
        <v>7</v>
      </c>
      <c r="F18" s="39">
        <f>COUNTIFS('Match Log'!$D$4:$D$810,$B$3,'Match Log'!$C$4:$C$810,$D18,'Match Log'!$E$4:$E$810,"Win")</f>
        <v>0</v>
      </c>
      <c r="G18" s="61">
        <f t="shared" si="0"/>
        <v>0</v>
      </c>
      <c r="H18" s="62">
        <f>IFERROR(IF($E18=0,"",INDEX('Sport Records'!$B$91:$O$110,MATCH($D18,'Sport Records'!$A$91:$A$110,0),MATCH($B$3,'Sport Records'!$B$90:$O$90,0))),"")</f>
        <v>904.65647514018167</v>
      </c>
    </row>
    <row r="19" spans="1:8" ht="15" customHeight="1" x14ac:dyDescent="0.2">
      <c r="A19" s="64" t="s">
        <v>200</v>
      </c>
      <c r="B19" s="66" t="str">
        <f>IFERROR(INDEX($D$5:$D$24,MATCH(MAX($H$5:$H$24),$H$5:$H$24,0)),"")</f>
        <v>Table Tennis</v>
      </c>
      <c r="D19" s="56" t="s">
        <v>201</v>
      </c>
      <c r="E19" s="36">
        <f>COUNTIFS('Match Log'!$D$4:$D$810,$B$3,'Match Log'!$C$4:$C$810,$D19)</f>
        <v>0</v>
      </c>
      <c r="F19" s="36">
        <f>COUNTIFS('Match Log'!$D$4:$D$810,$B$3,'Match Log'!$C$4:$C$810,$D19,'Match Log'!$E$4:$E$810,"Win")</f>
        <v>0</v>
      </c>
      <c r="G19" s="57" t="str">
        <f t="shared" si="0"/>
        <v/>
      </c>
      <c r="H19" s="58" t="str">
        <f>IFERROR(IF($E19=0,"",INDEX('Sport Records'!$B$91:$O$110,MATCH($D19,'Sport Records'!$A$91:$A$110,0),MATCH($B$3,'Sport Records'!$B$90:$O$90,0))),"")</f>
        <v/>
      </c>
    </row>
    <row r="20" spans="1:8" ht="15" customHeight="1" x14ac:dyDescent="0.2">
      <c r="A20" s="64" t="s">
        <v>202</v>
      </c>
      <c r="B20" s="66" t="str">
        <f>IFERROR(INDEX($D$5:$D$24,MATCH(MAX($E$5:$E$24),$E$5:$E$24,0)),"")</f>
        <v>FIFA</v>
      </c>
      <c r="D20" s="60" t="s">
        <v>203</v>
      </c>
      <c r="E20" s="39">
        <f>COUNTIFS('Match Log'!$D$4:$D$810,$B$3,'Match Log'!$C$4:$C$810,$D20)</f>
        <v>0</v>
      </c>
      <c r="F20" s="39">
        <f>COUNTIFS('Match Log'!$D$4:$D$810,$B$3,'Match Log'!$C$4:$C$810,$D20,'Match Log'!$E$4:$E$810,"Win")</f>
        <v>0</v>
      </c>
      <c r="G20" s="61" t="str">
        <f t="shared" si="0"/>
        <v/>
      </c>
      <c r="H20" s="62" t="str">
        <f>IFERROR(IF($E20=0,"",INDEX('Sport Records'!$B$91:$O$110,MATCH($D20,'Sport Records'!$A$91:$A$110,0),MATCH($B$3,'Sport Records'!$B$90:$O$90,0))),"")</f>
        <v/>
      </c>
    </row>
    <row r="21" spans="1:8" ht="15" customHeight="1" x14ac:dyDescent="0.2">
      <c r="D21" s="56" t="s">
        <v>204</v>
      </c>
      <c r="E21" s="36">
        <f>COUNTIFS('Match Log'!$D$4:$D$810,$B$3,'Match Log'!$C$4:$C$810,$D21)</f>
        <v>0</v>
      </c>
      <c r="F21" s="36">
        <f>COUNTIFS('Match Log'!$D$4:$D$810,$B$3,'Match Log'!$C$4:$C$810,$D21,'Match Log'!$E$4:$E$810,"Win")</f>
        <v>0</v>
      </c>
      <c r="G21" s="57" t="str">
        <f t="shared" si="0"/>
        <v/>
      </c>
      <c r="H21" s="58" t="str">
        <f>IFERROR(IF($E21=0,"",INDEX('Sport Records'!$B$91:$O$110,MATCH($D21,'Sport Records'!$A$91:$A$110,0),MATCH($B$3,'Sport Records'!$B$90:$O$90,0))),"")</f>
        <v/>
      </c>
    </row>
    <row r="22" spans="1:8" ht="15" customHeight="1" x14ac:dyDescent="0.2">
      <c r="A22" s="12" t="s">
        <v>205</v>
      </c>
      <c r="D22" s="60" t="s">
        <v>206</v>
      </c>
      <c r="E22" s="39">
        <f>COUNTIFS('Match Log'!$D$4:$D$810,$B$3,'Match Log'!$C$4:$C$810,$D22)</f>
        <v>9</v>
      </c>
      <c r="F22" s="39">
        <f>COUNTIFS('Match Log'!$D$4:$D$810,$B$3,'Match Log'!$C$4:$C$810,$D22,'Match Log'!$E$4:$E$810,"Win")</f>
        <v>4</v>
      </c>
      <c r="G22" s="61">
        <f t="shared" si="0"/>
        <v>0.44444444444444442</v>
      </c>
      <c r="H22" s="62">
        <f>IFERROR(IF($E22=0,"",INDEX('Sport Records'!$B$91:$O$110,MATCH($D22,'Sport Records'!$A$91:$A$110,0),MATCH($B$3,'Sport Records'!$B$90:$O$90,0))),"")</f>
        <v>994.87575697010811</v>
      </c>
    </row>
    <row r="23" spans="1:8" ht="15" customHeight="1" x14ac:dyDescent="0.2">
      <c r="A23" s="64" t="s">
        <v>207</v>
      </c>
      <c r="B23" s="67">
        <f>IFERROR(ROUND(INDEX(Calcs!$AB$7:$AB$20,MATCH($B$3,Calcs!$A$7:$A$20,0)),0),"")</f>
        <v>61</v>
      </c>
      <c r="D23" s="56" t="s">
        <v>208</v>
      </c>
      <c r="E23" s="36">
        <f>COUNTIFS('Match Log'!$D$4:$D$810,$B$3,'Match Log'!$C$4:$C$810,$D23)</f>
        <v>7</v>
      </c>
      <c r="F23" s="36">
        <f>COUNTIFS('Match Log'!$D$4:$D$810,$B$3,'Match Log'!$C$4:$C$810,$D23,'Match Log'!$E$4:$E$810,"Win")</f>
        <v>5</v>
      </c>
      <c r="G23" s="57">
        <f t="shared" si="0"/>
        <v>0.7142857142857143</v>
      </c>
      <c r="H23" s="58">
        <f>IFERROR(IF($E23=0,"",INDEX('Sport Records'!$B$91:$O$110,MATCH($D23,'Sport Records'!$A$91:$A$110,0),MATCH($B$3,'Sport Records'!$B$90:$O$90,0))),"")</f>
        <v>1030.2265340285246</v>
      </c>
    </row>
    <row r="24" spans="1:8" x14ac:dyDescent="0.2">
      <c r="A24" s="64" t="s">
        <v>209</v>
      </c>
      <c r="B24" s="65">
        <f>IFERROR(ROUND(INDEX(Calcs!$W$7:$W$20,MATCH($B$3,Calcs!$A$7:$A$20,0)),0),"")</f>
        <v>55</v>
      </c>
      <c r="D24" s="56" t="s">
        <v>407</v>
      </c>
      <c r="E24" s="36">
        <f>COUNTIFS('Match Log'!$D$4:$D$810,$B$3,'Match Log'!$C$4:$C$810,$D24)</f>
        <v>0</v>
      </c>
      <c r="F24" s="36">
        <f>COUNTIFS('Match Log'!$D$4:$D$810,$B$3,'Match Log'!$C$4:$C$810,$D24,'Match Log'!$E$4:$E$810,"Win")</f>
        <v>0</v>
      </c>
      <c r="G24" s="57" t="str">
        <f>IF($E24=0,"",$F24/$E24)</f>
        <v/>
      </c>
      <c r="H24" s="58" t="str">
        <f>IFERROR(IF($E24=0,"",INDEX('Sport Records'!$B$91:$O$110,MATCH($D24,'Sport Records'!$A$91:$A$110,0),MATCH($B$3,'Sport Records'!$B$90:$O$90,0))),"")</f>
        <v/>
      </c>
    </row>
    <row r="25" spans="1:8" x14ac:dyDescent="0.2">
      <c r="A25" s="64" t="s">
        <v>210</v>
      </c>
      <c r="B25" s="65">
        <f>IFERROR(ROUND(INDEX(Calcs!$X$7:$X$20,MATCH($B$3,Calcs!$A$7:$A$20,0)),0),"")</f>
        <v>44</v>
      </c>
    </row>
    <row r="26" spans="1:8" x14ac:dyDescent="0.2">
      <c r="A26" s="64" t="s">
        <v>211</v>
      </c>
      <c r="B26" s="65">
        <f>IFERROR(ROUND(INDEX(Calcs!$Y$7:$Y$20,MATCH($B$3,Calcs!$A$7:$A$20,0)),0),"")</f>
        <v>100</v>
      </c>
    </row>
    <row r="27" spans="1:8" x14ac:dyDescent="0.2">
      <c r="A27" s="64" t="s">
        <v>212</v>
      </c>
      <c r="B27" s="65">
        <f>IFERROR(ROUND(INDEX(Calcs!$Z$7:$Z$20,MATCH($B$3,Calcs!$A$7:$A$20,0)),0),"")</f>
        <v>40</v>
      </c>
    </row>
    <row r="28" spans="1:8" x14ac:dyDescent="0.2">
      <c r="A28" s="64" t="s">
        <v>213</v>
      </c>
      <c r="B28" s="65">
        <f>IFERROR(ROUND(INDEX(Calcs!$AA$7:$AA$20,MATCH($B$3,Calcs!$A$7:$A$20,0)),0),"")</f>
        <v>70</v>
      </c>
    </row>
  </sheetData>
  <conditionalFormatting sqref="B5">
    <cfRule type="colorScale" priority="3">
      <colorScale>
        <cfvo type="num" val="1"/>
        <cfvo type="num" val="7"/>
        <cfvo type="num" val="14"/>
        <color rgb="FF63BE7B"/>
        <color rgb="FFFFEB84"/>
        <color rgb="FFF8696B"/>
      </colorScale>
    </cfRule>
  </conditionalFormatting>
  <conditionalFormatting sqref="B6">
    <cfRule type="colorScale" priority="4">
      <colorScale>
        <cfvo type="num" val="950"/>
        <cfvo type="num" val="1050"/>
        <cfvo type="num" val="1180"/>
        <color rgb="FFF8696B"/>
        <color rgb="FFFFEB84"/>
        <color rgb="FF63BE7B"/>
      </colorScale>
    </cfRule>
  </conditionalFormatting>
  <conditionalFormatting sqref="B7">
    <cfRule type="cellIs" dxfId="26" priority="16" operator="equal">
      <formula>"Elite"</formula>
    </cfRule>
    <cfRule type="cellIs" dxfId="25" priority="17" operator="equal">
      <formula>"Strong"</formula>
    </cfRule>
    <cfRule type="cellIs" dxfId="24" priority="18" operator="equal">
      <formula>"Mid"</formula>
    </cfRule>
    <cfRule type="cellIs" dxfId="23" priority="19" operator="equal">
      <formula>"Developing"</formula>
    </cfRule>
    <cfRule type="cellIs" dxfId="22" priority="20" operator="equal">
      <formula>"Unranked"</formula>
    </cfRule>
  </conditionalFormatting>
  <conditionalFormatting sqref="B9">
    <cfRule type="colorScale" priority="5">
      <colorScale>
        <cfvo type="num" val="0"/>
        <cfvo type="num" val="0.5"/>
        <cfvo type="num" val="1"/>
        <color rgb="FFF8696B"/>
        <color rgb="FFFFEB84"/>
        <color rgb="FF63BE7B"/>
      </colorScale>
    </cfRule>
  </conditionalFormatting>
  <conditionalFormatting sqref="B10">
    <cfRule type="colorScale" priority="6">
      <colorScale>
        <cfvo type="num" val="0"/>
        <cfvo type="num" val="50"/>
        <color rgb="FFFFFFFF"/>
        <color rgb="FFC6EFCE"/>
      </colorScale>
    </cfRule>
  </conditionalFormatting>
  <conditionalFormatting sqref="B11">
    <cfRule type="colorScale" priority="7">
      <colorScale>
        <cfvo type="num" val="0"/>
        <cfvo type="num" val="5"/>
        <cfvo type="num" val="11"/>
        <color rgb="FFF8696B"/>
        <color rgb="FFFFEB84"/>
        <color rgb="FF63BE7B"/>
      </colorScale>
    </cfRule>
  </conditionalFormatting>
  <conditionalFormatting sqref="B12">
    <cfRule type="colorScale" priority="8">
      <colorScale>
        <cfvo type="num" val="1050"/>
        <cfvo type="num" val="1075"/>
        <cfvo type="num" val="1100"/>
        <color rgb="FFF8696B"/>
        <color rgb="FFFFEB84"/>
        <color rgb="FF63BE7B"/>
      </colorScale>
    </cfRule>
  </conditionalFormatting>
  <conditionalFormatting sqref="B13">
    <cfRule type="expression" dxfId="21" priority="21">
      <formula>LEFT($B$13,1)="W"</formula>
    </cfRule>
    <cfRule type="expression" dxfId="20" priority="22">
      <formula>LEFT($B$13,1)="L"</formula>
    </cfRule>
  </conditionalFormatting>
  <conditionalFormatting sqref="B14">
    <cfRule type="expression" dxfId="19" priority="25">
      <formula>LEN($B$14)-LEN(SUBSTITUTE($B$14,"W",""))=3</formula>
    </cfRule>
    <cfRule type="expression" dxfId="18" priority="28">
      <formula>LEN($B$14)-LEN(SUBSTITUTE($B$14,"W",""))=0</formula>
    </cfRule>
    <cfRule type="expression" dxfId="17" priority="27">
      <formula>LEN($B$14)-LEN(SUBSTITUTE($B$14,"W",""))=1</formula>
    </cfRule>
    <cfRule type="expression" dxfId="16" priority="26">
      <formula>LEN($B$14)-LEN(SUBSTITUTE($B$14,"W",""))=2</formula>
    </cfRule>
    <cfRule type="expression" dxfId="15" priority="23">
      <formula>LEN($B$14)-LEN(SUBSTITUTE($B$14,"W",""))=5</formula>
    </cfRule>
    <cfRule type="expression" dxfId="14" priority="24">
      <formula>LEN($B$14)-LEN(SUBSTITUTE($B$14,"W",""))=4</formula>
    </cfRule>
  </conditionalFormatting>
  <conditionalFormatting sqref="B15">
    <cfRule type="colorScale" priority="9">
      <colorScale>
        <cfvo type="num" val="0"/>
        <cfvo type="num" val="150"/>
        <cfvo type="num" val="300"/>
        <color rgb="FF63BE7B"/>
        <color rgb="FFFFEB84"/>
        <color rgb="FFF8696B"/>
      </colorScale>
    </cfRule>
  </conditionalFormatting>
  <conditionalFormatting sqref="B16">
    <cfRule type="cellIs" dxfId="13" priority="31" operator="equal">
      <formula>"No games"</formula>
    </cfRule>
    <cfRule type="cellIs" dxfId="12" priority="30" operator="equal">
      <formula>"Provisional"</formula>
    </cfRule>
    <cfRule type="cellIs" dxfId="11" priority="29" operator="equal">
      <formula>"Eligible"</formula>
    </cfRule>
  </conditionalFormatting>
  <conditionalFormatting sqref="B23">
    <cfRule type="colorScale" priority="10">
      <colorScale>
        <cfvo type="num" val="0"/>
        <cfvo type="num" val="50"/>
        <cfvo type="num" val="100"/>
        <color rgb="FFF8696B"/>
        <color rgb="FFFFEB84"/>
        <color rgb="FF63BE7B"/>
      </colorScale>
    </cfRule>
  </conditionalFormatting>
  <conditionalFormatting sqref="B24">
    <cfRule type="colorScale" priority="11">
      <colorScale>
        <cfvo type="num" val="0"/>
        <cfvo type="num" val="50"/>
        <cfvo type="num" val="100"/>
        <color rgb="FFF8696B"/>
        <color rgb="FFFFEB84"/>
        <color rgb="FF63BE7B"/>
      </colorScale>
    </cfRule>
  </conditionalFormatting>
  <conditionalFormatting sqref="B25">
    <cfRule type="colorScale" priority="12">
      <colorScale>
        <cfvo type="num" val="0"/>
        <cfvo type="num" val="50"/>
        <cfvo type="num" val="100"/>
        <color rgb="FFF8696B"/>
        <color rgb="FFFFEB84"/>
        <color rgb="FF63BE7B"/>
      </colorScale>
    </cfRule>
  </conditionalFormatting>
  <conditionalFormatting sqref="B26">
    <cfRule type="colorScale" priority="13">
      <colorScale>
        <cfvo type="num" val="0"/>
        <cfvo type="num" val="50"/>
        <cfvo type="num" val="100"/>
        <color rgb="FFF8696B"/>
        <color rgb="FFFFEB84"/>
        <color rgb="FF63BE7B"/>
      </colorScale>
    </cfRule>
  </conditionalFormatting>
  <conditionalFormatting sqref="B27">
    <cfRule type="colorScale" priority="14">
      <colorScale>
        <cfvo type="num" val="0"/>
        <cfvo type="num" val="50"/>
        <cfvo type="num" val="100"/>
        <color rgb="FFF8696B"/>
        <color rgb="FFFFEB84"/>
        <color rgb="FF63BE7B"/>
      </colorScale>
    </cfRule>
  </conditionalFormatting>
  <conditionalFormatting sqref="B28">
    <cfRule type="colorScale" priority="15">
      <colorScale>
        <cfvo type="num" val="0"/>
        <cfvo type="num" val="50"/>
        <cfvo type="num" val="100"/>
        <color rgb="FFF8696B"/>
        <color rgb="FFFFEB84"/>
        <color rgb="FF63BE7B"/>
      </colorScale>
    </cfRule>
  </conditionalFormatting>
  <conditionalFormatting sqref="G5:G23">
    <cfRule type="colorScale" priority="2">
      <colorScale>
        <cfvo type="num" val="0"/>
        <cfvo type="percentile" val="50"/>
        <cfvo type="num" val="1"/>
        <color rgb="FFF8696B"/>
        <color rgb="FFFFEB84"/>
        <color rgb="FF63BE7B"/>
      </colorScale>
    </cfRule>
  </conditionalFormatting>
  <conditionalFormatting sqref="H5:H23">
    <cfRule type="colorScale" priority="35">
      <colorScale>
        <cfvo type="num" val="940"/>
        <cfvo type="num" val="1000"/>
        <cfvo type="num" val="1050"/>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33" id="{00000000-000E-0000-0300-000021000000}">
            <xm:f>AND(IFERROR(INDEX(Calcs!$Q$7:$Q$20,MATCH($B$3,Calcs!$A$7:$A$20,0)),0)&gt;=6,IFERROR(INDEX(Calcs!$Q$7:$Q$20,MATCH($B$3,Calcs!$A$7:$A$20,0)),0)&lt;8)</xm:f>
            <x14:dxf>
              <fill>
                <patternFill>
                  <bgColor rgb="FFFFEB9C"/>
                </patternFill>
              </fill>
            </x14:dxf>
          </x14:cfRule>
          <x14:cfRule type="expression" priority="34" id="{00000000-000E-0000-0300-000022000000}">
            <xm:f>IFERROR(INDEX(Calcs!$Q$7:$Q$20,MATCH($B$3,Calcs!$A$7:$A$20,0)),0)&lt;6</xm:f>
            <x14:dxf>
              <fill>
                <patternFill>
                  <bgColor rgb="FFC6EFCE"/>
                </patternFill>
              </fill>
            </x14:dxf>
          </x14:cfRule>
          <x14:cfRule type="expression" priority="32" id="{00000000-000E-0000-0300-000020000000}">
            <xm:f>IFERROR(INDEX(Calcs!$Q$7:$Q$20,MATCH($B$3,Calcs!$A$7:$A$20,0)),0)&gt;=8</xm:f>
            <x14:dxf>
              <fill>
                <patternFill>
                  <bgColor rgb="FFFFC7CE"/>
                </patternFill>
              </fill>
            </x14:dxf>
          </x14:cfRule>
          <xm:sqref>B17</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300-000000000000}">
          <x14:formula1>
            <xm:f>Lists!$A$2:$A$15</xm:f>
          </x14:formula1>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1BEF06-5C05-DF49-8403-DF82CB97B60A}">
  <sheetPr>
    <tabColor rgb="FF4A6FA5"/>
  </sheetPr>
  <dimension ref="A1:O35"/>
  <sheetViews>
    <sheetView zoomScale="130" zoomScaleNormal="130" workbookViewId="0">
      <selection activeCell="R14" sqref="R14"/>
    </sheetView>
  </sheetViews>
  <sheetFormatPr baseColWidth="10" defaultColWidth="8.6640625" defaultRowHeight="15" x14ac:dyDescent="0.2"/>
  <cols>
    <col min="1" max="1" width="17" customWidth="1"/>
    <col min="2" max="15" width="11" customWidth="1"/>
  </cols>
  <sheetData>
    <row r="1" spans="1:15" ht="19.5" customHeight="1" x14ac:dyDescent="0.2">
      <c r="A1" s="68" t="s">
        <v>214</v>
      </c>
    </row>
    <row r="2" spans="1:15" ht="39" customHeight="1" x14ac:dyDescent="0.2">
      <c r="A2" s="155" t="s">
        <v>215</v>
      </c>
      <c r="B2" s="155"/>
      <c r="C2" s="155"/>
      <c r="D2" s="155"/>
      <c r="E2" s="155"/>
      <c r="F2" s="155"/>
      <c r="G2" s="155"/>
      <c r="H2" s="155"/>
      <c r="I2" s="155"/>
      <c r="J2" s="155"/>
      <c r="K2" s="155"/>
      <c r="L2" s="155"/>
      <c r="M2" s="155"/>
      <c r="N2" s="155"/>
      <c r="O2" s="155"/>
    </row>
    <row r="3" spans="1:15" ht="38" customHeight="1" x14ac:dyDescent="0.2">
      <c r="A3" s="156" t="s">
        <v>216</v>
      </c>
      <c r="B3" s="156"/>
      <c r="C3" s="156"/>
      <c r="D3" s="156"/>
      <c r="E3" s="156"/>
      <c r="F3" s="156"/>
      <c r="G3" s="156"/>
      <c r="H3" s="156"/>
      <c r="I3" s="156"/>
      <c r="J3" s="156"/>
      <c r="K3" s="156"/>
      <c r="L3" s="156"/>
      <c r="M3" s="156"/>
      <c r="N3" s="156"/>
      <c r="O3" s="156"/>
    </row>
    <row r="4" spans="1:15" ht="15" customHeight="1" x14ac:dyDescent="0.2">
      <c r="A4" s="69" t="s">
        <v>217</v>
      </c>
      <c r="B4" s="45" t="s">
        <v>138</v>
      </c>
      <c r="C4" s="45" t="s">
        <v>135</v>
      </c>
      <c r="D4" s="45" t="s">
        <v>173</v>
      </c>
      <c r="E4" s="45" t="s">
        <v>140</v>
      </c>
      <c r="F4" s="45" t="s">
        <v>137</v>
      </c>
      <c r="G4" s="45" t="s">
        <v>134</v>
      </c>
      <c r="H4" s="45" t="s">
        <v>168</v>
      </c>
      <c r="I4" s="45" t="s">
        <v>170</v>
      </c>
      <c r="J4" s="45" t="s">
        <v>167</v>
      </c>
      <c r="K4" s="45" t="s">
        <v>175</v>
      </c>
      <c r="L4" s="45" t="s">
        <v>169</v>
      </c>
      <c r="M4" s="45" t="s">
        <v>171</v>
      </c>
      <c r="N4" s="45" t="s">
        <v>172</v>
      </c>
      <c r="O4" s="45" t="s">
        <v>174</v>
      </c>
    </row>
    <row r="5" spans="1:15" ht="15" customHeight="1" x14ac:dyDescent="0.2">
      <c r="A5" s="45" t="s">
        <v>138</v>
      </c>
      <c r="B5" s="50" t="str">
        <f>IF($A5=B$4,"—",IF((SUMPRODUCT(('Match Log'!$D$4:$D$810=$A5)*('Match Log'!$E$4:$E$810="Win")*COUNTIFS('Match Log'!$A$4:$A$810,'Match Log'!$A$4:$A$810,'Match Log'!$D$4:$D$810,B$4,'Match Log'!$E$4:$E$810,"Loss"))+SUMPRODUCT(('Match Log'!$D$4:$D$810=B$4)*('Match Log'!$E$4:$E$810="Win")*COUNTIFS('Match Log'!$A$4:$A$810,'Match Log'!$A$4:$A$810,'Match Log'!$D$4:$D$810,$A5,'Match Log'!$E$4:$E$810,"Loss")))=0,"",TEXT(SUMPRODUCT(('Match Log'!$D$4:$D$810=$A5)*('Match Log'!$E$4:$E$810="Win")*COUNTIFS('Match Log'!$A$4:$A$810,'Match Log'!$A$4:$A$810,'Match Log'!$D$4:$D$810,B$4,'Match Log'!$E$4:$E$810,"Loss"))/(SUMPRODUCT(('Match Log'!$D$4:$D$810=$A5)*('Match Log'!$E$4:$E$810="Win")*COUNTIFS('Match Log'!$A$4:$A$810,'Match Log'!$A$4:$A$810,'Match Log'!$D$4:$D$810,B$4,'Match Log'!$E$4:$E$810,"Loss"))+SUMPRODUCT(('Match Log'!$D$4:$D$810=B$4)*('Match Log'!$E$4:$E$810="Win")*COUNTIFS('Match Log'!$A$4:$A$810,'Match Log'!$A$4:$A$810,'Match Log'!$D$4:$D$810,$A5,'Match Log'!$E$4:$E$810,"Loss"))),"0%")&amp;" of "&amp;(SUMPRODUCT(('Match Log'!$D$4:$D$810=$A5)*('Match Log'!$E$4:$E$810="Win")*COUNTIFS('Match Log'!$A$4:$A$810,'Match Log'!$A$4:$A$810,'Match Log'!$D$4:$D$810,B$4,'Match Log'!$E$4:$E$810,"Loss"))+SUMPRODUCT(('Match Log'!$D$4:$D$810=B$4)*('Match Log'!$E$4:$E$810="Win")*COUNTIFS('Match Log'!$A$4:$A$810,'Match Log'!$A$4:$A$810,'Match Log'!$D$4:$D$810,$A5,'Match Log'!$E$4:$E$810,"Loss")))))</f>
        <v>—</v>
      </c>
      <c r="C5" s="50" t="str">
        <f>IF($A5=C$4,"—",IF((SUMPRODUCT(('Match Log'!$D$4:$D$810=$A5)*('Match Log'!$E$4:$E$810="Win")*COUNTIFS('Match Log'!$A$4:$A$810,'Match Log'!$A$4:$A$810,'Match Log'!$D$4:$D$810,C$4,'Match Log'!$E$4:$E$810,"Loss"))+SUMPRODUCT(('Match Log'!$D$4:$D$810=C$4)*('Match Log'!$E$4:$E$810="Win")*COUNTIFS('Match Log'!$A$4:$A$810,'Match Log'!$A$4:$A$810,'Match Log'!$D$4:$D$810,$A5,'Match Log'!$E$4:$E$810,"Loss")))=0,"",TEXT(SUMPRODUCT(('Match Log'!$D$4:$D$810=$A5)*('Match Log'!$E$4:$E$810="Win")*COUNTIFS('Match Log'!$A$4:$A$810,'Match Log'!$A$4:$A$810,'Match Log'!$D$4:$D$810,C$4,'Match Log'!$E$4:$E$810,"Loss"))/(SUMPRODUCT(('Match Log'!$D$4:$D$810=$A5)*('Match Log'!$E$4:$E$810="Win")*COUNTIFS('Match Log'!$A$4:$A$810,'Match Log'!$A$4:$A$810,'Match Log'!$D$4:$D$810,C$4,'Match Log'!$E$4:$E$810,"Loss"))+SUMPRODUCT(('Match Log'!$D$4:$D$810=C$4)*('Match Log'!$E$4:$E$810="Win")*COUNTIFS('Match Log'!$A$4:$A$810,'Match Log'!$A$4:$A$810,'Match Log'!$D$4:$D$810,$A5,'Match Log'!$E$4:$E$810,"Loss"))),"0%")&amp;" of "&amp;(SUMPRODUCT(('Match Log'!$D$4:$D$810=$A5)*('Match Log'!$E$4:$E$810="Win")*COUNTIFS('Match Log'!$A$4:$A$810,'Match Log'!$A$4:$A$810,'Match Log'!$D$4:$D$810,C$4,'Match Log'!$E$4:$E$810,"Loss"))+SUMPRODUCT(('Match Log'!$D$4:$D$810=C$4)*('Match Log'!$E$4:$E$810="Win")*COUNTIFS('Match Log'!$A$4:$A$810,'Match Log'!$A$4:$A$810,'Match Log'!$D$4:$D$810,$A5,'Match Log'!$E$4:$E$810,"Loss")))))</f>
        <v/>
      </c>
      <c r="D5" s="50" t="str">
        <f>IF($A5=D$4,"—",IF((SUMPRODUCT(('Match Log'!$D$4:$D$810=$A5)*('Match Log'!$E$4:$E$810="Win")*COUNTIFS('Match Log'!$A$4:$A$810,'Match Log'!$A$4:$A$810,'Match Log'!$D$4:$D$810,D$4,'Match Log'!$E$4:$E$810,"Loss"))+SUMPRODUCT(('Match Log'!$D$4:$D$810=D$4)*('Match Log'!$E$4:$E$810="Win")*COUNTIFS('Match Log'!$A$4:$A$810,'Match Log'!$A$4:$A$810,'Match Log'!$D$4:$D$810,$A5,'Match Log'!$E$4:$E$810,"Loss")))=0,"",TEXT(SUMPRODUCT(('Match Log'!$D$4:$D$810=$A5)*('Match Log'!$E$4:$E$810="Win")*COUNTIFS('Match Log'!$A$4:$A$810,'Match Log'!$A$4:$A$810,'Match Log'!$D$4:$D$810,D$4,'Match Log'!$E$4:$E$810,"Loss"))/(SUMPRODUCT(('Match Log'!$D$4:$D$810=$A5)*('Match Log'!$E$4:$E$810="Win")*COUNTIFS('Match Log'!$A$4:$A$810,'Match Log'!$A$4:$A$810,'Match Log'!$D$4:$D$810,D$4,'Match Log'!$E$4:$E$810,"Loss"))+SUMPRODUCT(('Match Log'!$D$4:$D$810=D$4)*('Match Log'!$E$4:$E$810="Win")*COUNTIFS('Match Log'!$A$4:$A$810,'Match Log'!$A$4:$A$810,'Match Log'!$D$4:$D$810,$A5,'Match Log'!$E$4:$E$810,"Loss"))),"0%")&amp;" of "&amp;(SUMPRODUCT(('Match Log'!$D$4:$D$810=$A5)*('Match Log'!$E$4:$E$810="Win")*COUNTIFS('Match Log'!$A$4:$A$810,'Match Log'!$A$4:$A$810,'Match Log'!$D$4:$D$810,D$4,'Match Log'!$E$4:$E$810,"Loss"))+SUMPRODUCT(('Match Log'!$D$4:$D$810=D$4)*('Match Log'!$E$4:$E$810="Win")*COUNTIFS('Match Log'!$A$4:$A$810,'Match Log'!$A$4:$A$810,'Match Log'!$D$4:$D$810,$A5,'Match Log'!$E$4:$E$810,"Loss")))))</f>
        <v>100% of 3</v>
      </c>
      <c r="E5" s="50" t="str">
        <f>IF($A5=E$4,"—",IF((SUMPRODUCT(('Match Log'!$D$4:$D$810=$A5)*('Match Log'!$E$4:$E$810="Win")*COUNTIFS('Match Log'!$A$4:$A$810,'Match Log'!$A$4:$A$810,'Match Log'!$D$4:$D$810,E$4,'Match Log'!$E$4:$E$810,"Loss"))+SUMPRODUCT(('Match Log'!$D$4:$D$810=E$4)*('Match Log'!$E$4:$E$810="Win")*COUNTIFS('Match Log'!$A$4:$A$810,'Match Log'!$A$4:$A$810,'Match Log'!$D$4:$D$810,$A5,'Match Log'!$E$4:$E$810,"Loss")))=0,"",TEXT(SUMPRODUCT(('Match Log'!$D$4:$D$810=$A5)*('Match Log'!$E$4:$E$810="Win")*COUNTIFS('Match Log'!$A$4:$A$810,'Match Log'!$A$4:$A$810,'Match Log'!$D$4:$D$810,E$4,'Match Log'!$E$4:$E$810,"Loss"))/(SUMPRODUCT(('Match Log'!$D$4:$D$810=$A5)*('Match Log'!$E$4:$E$810="Win")*COUNTIFS('Match Log'!$A$4:$A$810,'Match Log'!$A$4:$A$810,'Match Log'!$D$4:$D$810,E$4,'Match Log'!$E$4:$E$810,"Loss"))+SUMPRODUCT(('Match Log'!$D$4:$D$810=E$4)*('Match Log'!$E$4:$E$810="Win")*COUNTIFS('Match Log'!$A$4:$A$810,'Match Log'!$A$4:$A$810,'Match Log'!$D$4:$D$810,$A5,'Match Log'!$E$4:$E$810,"Loss"))),"0%")&amp;" of "&amp;(SUMPRODUCT(('Match Log'!$D$4:$D$810=$A5)*('Match Log'!$E$4:$E$810="Win")*COUNTIFS('Match Log'!$A$4:$A$810,'Match Log'!$A$4:$A$810,'Match Log'!$D$4:$D$810,E$4,'Match Log'!$E$4:$E$810,"Loss"))+SUMPRODUCT(('Match Log'!$D$4:$D$810=E$4)*('Match Log'!$E$4:$E$810="Win")*COUNTIFS('Match Log'!$A$4:$A$810,'Match Log'!$A$4:$A$810,'Match Log'!$D$4:$D$810,$A5,'Match Log'!$E$4:$E$810,"Loss")))))</f>
        <v>50% of 4</v>
      </c>
      <c r="F5" s="50" t="str">
        <f>IF($A5=F$4,"—",IF((SUMPRODUCT(('Match Log'!$D$4:$D$810=$A5)*('Match Log'!$E$4:$E$810="Win")*COUNTIFS('Match Log'!$A$4:$A$810,'Match Log'!$A$4:$A$810,'Match Log'!$D$4:$D$810,F$4,'Match Log'!$E$4:$E$810,"Loss"))+SUMPRODUCT(('Match Log'!$D$4:$D$810=F$4)*('Match Log'!$E$4:$E$810="Win")*COUNTIFS('Match Log'!$A$4:$A$810,'Match Log'!$A$4:$A$810,'Match Log'!$D$4:$D$810,$A5,'Match Log'!$E$4:$E$810,"Loss")))=0,"",TEXT(SUMPRODUCT(('Match Log'!$D$4:$D$810=$A5)*('Match Log'!$E$4:$E$810="Win")*COUNTIFS('Match Log'!$A$4:$A$810,'Match Log'!$A$4:$A$810,'Match Log'!$D$4:$D$810,F$4,'Match Log'!$E$4:$E$810,"Loss"))/(SUMPRODUCT(('Match Log'!$D$4:$D$810=$A5)*('Match Log'!$E$4:$E$810="Win")*COUNTIFS('Match Log'!$A$4:$A$810,'Match Log'!$A$4:$A$810,'Match Log'!$D$4:$D$810,F$4,'Match Log'!$E$4:$E$810,"Loss"))+SUMPRODUCT(('Match Log'!$D$4:$D$810=F$4)*('Match Log'!$E$4:$E$810="Win")*COUNTIFS('Match Log'!$A$4:$A$810,'Match Log'!$A$4:$A$810,'Match Log'!$D$4:$D$810,$A5,'Match Log'!$E$4:$E$810,"Loss"))),"0%")&amp;" of "&amp;(SUMPRODUCT(('Match Log'!$D$4:$D$810=$A5)*('Match Log'!$E$4:$E$810="Win")*COUNTIFS('Match Log'!$A$4:$A$810,'Match Log'!$A$4:$A$810,'Match Log'!$D$4:$D$810,F$4,'Match Log'!$E$4:$E$810,"Loss"))+SUMPRODUCT(('Match Log'!$D$4:$D$810=F$4)*('Match Log'!$E$4:$E$810="Win")*COUNTIFS('Match Log'!$A$4:$A$810,'Match Log'!$A$4:$A$810,'Match Log'!$D$4:$D$810,$A5,'Match Log'!$E$4:$E$810,"Loss")))))</f>
        <v>100% of 2</v>
      </c>
      <c r="G5" s="50" t="str">
        <f>IF($A5=G$4,"—",IF((SUMPRODUCT(('Match Log'!$D$4:$D$810=$A5)*('Match Log'!$E$4:$E$810="Win")*COUNTIFS('Match Log'!$A$4:$A$810,'Match Log'!$A$4:$A$810,'Match Log'!$D$4:$D$810,G$4,'Match Log'!$E$4:$E$810,"Loss"))+SUMPRODUCT(('Match Log'!$D$4:$D$810=G$4)*('Match Log'!$E$4:$E$810="Win")*COUNTIFS('Match Log'!$A$4:$A$810,'Match Log'!$A$4:$A$810,'Match Log'!$D$4:$D$810,$A5,'Match Log'!$E$4:$E$810,"Loss")))=0,"",TEXT(SUMPRODUCT(('Match Log'!$D$4:$D$810=$A5)*('Match Log'!$E$4:$E$810="Win")*COUNTIFS('Match Log'!$A$4:$A$810,'Match Log'!$A$4:$A$810,'Match Log'!$D$4:$D$810,G$4,'Match Log'!$E$4:$E$810,"Loss"))/(SUMPRODUCT(('Match Log'!$D$4:$D$810=$A5)*('Match Log'!$E$4:$E$810="Win")*COUNTIFS('Match Log'!$A$4:$A$810,'Match Log'!$A$4:$A$810,'Match Log'!$D$4:$D$810,G$4,'Match Log'!$E$4:$E$810,"Loss"))+SUMPRODUCT(('Match Log'!$D$4:$D$810=G$4)*('Match Log'!$E$4:$E$810="Win")*COUNTIFS('Match Log'!$A$4:$A$810,'Match Log'!$A$4:$A$810,'Match Log'!$D$4:$D$810,$A5,'Match Log'!$E$4:$E$810,"Loss"))),"0%")&amp;" of "&amp;(SUMPRODUCT(('Match Log'!$D$4:$D$810=$A5)*('Match Log'!$E$4:$E$810="Win")*COUNTIFS('Match Log'!$A$4:$A$810,'Match Log'!$A$4:$A$810,'Match Log'!$D$4:$D$810,G$4,'Match Log'!$E$4:$E$810,"Loss"))+SUMPRODUCT(('Match Log'!$D$4:$D$810=G$4)*('Match Log'!$E$4:$E$810="Win")*COUNTIFS('Match Log'!$A$4:$A$810,'Match Log'!$A$4:$A$810,'Match Log'!$D$4:$D$810,$A5,'Match Log'!$E$4:$E$810,"Loss")))))</f>
        <v>61% of 23</v>
      </c>
      <c r="H5" s="50" t="str">
        <f>IF($A5=H$4,"—",IF((SUMPRODUCT(('Match Log'!$D$4:$D$810=$A5)*('Match Log'!$E$4:$E$810="Win")*COUNTIFS('Match Log'!$A$4:$A$810,'Match Log'!$A$4:$A$810,'Match Log'!$D$4:$D$810,H$4,'Match Log'!$E$4:$E$810,"Loss"))+SUMPRODUCT(('Match Log'!$D$4:$D$810=H$4)*('Match Log'!$E$4:$E$810="Win")*COUNTIFS('Match Log'!$A$4:$A$810,'Match Log'!$A$4:$A$810,'Match Log'!$D$4:$D$810,$A5,'Match Log'!$E$4:$E$810,"Loss")))=0,"",TEXT(SUMPRODUCT(('Match Log'!$D$4:$D$810=$A5)*('Match Log'!$E$4:$E$810="Win")*COUNTIFS('Match Log'!$A$4:$A$810,'Match Log'!$A$4:$A$810,'Match Log'!$D$4:$D$810,H$4,'Match Log'!$E$4:$E$810,"Loss"))/(SUMPRODUCT(('Match Log'!$D$4:$D$810=$A5)*('Match Log'!$E$4:$E$810="Win")*COUNTIFS('Match Log'!$A$4:$A$810,'Match Log'!$A$4:$A$810,'Match Log'!$D$4:$D$810,H$4,'Match Log'!$E$4:$E$810,"Loss"))+SUMPRODUCT(('Match Log'!$D$4:$D$810=H$4)*('Match Log'!$E$4:$E$810="Win")*COUNTIFS('Match Log'!$A$4:$A$810,'Match Log'!$A$4:$A$810,'Match Log'!$D$4:$D$810,$A5,'Match Log'!$E$4:$E$810,"Loss"))),"0%")&amp;" of "&amp;(SUMPRODUCT(('Match Log'!$D$4:$D$810=$A5)*('Match Log'!$E$4:$E$810="Win")*COUNTIFS('Match Log'!$A$4:$A$810,'Match Log'!$A$4:$A$810,'Match Log'!$D$4:$D$810,H$4,'Match Log'!$E$4:$E$810,"Loss"))+SUMPRODUCT(('Match Log'!$D$4:$D$810=H$4)*('Match Log'!$E$4:$E$810="Win")*COUNTIFS('Match Log'!$A$4:$A$810,'Match Log'!$A$4:$A$810,'Match Log'!$D$4:$D$810,$A5,'Match Log'!$E$4:$E$810,"Loss")))))</f>
        <v>50% of 4</v>
      </c>
      <c r="I5" s="50" t="str">
        <f>IF($A5=I$4,"—",IF((SUMPRODUCT(('Match Log'!$D$4:$D$810=$A5)*('Match Log'!$E$4:$E$810="Win")*COUNTIFS('Match Log'!$A$4:$A$810,'Match Log'!$A$4:$A$810,'Match Log'!$D$4:$D$810,I$4,'Match Log'!$E$4:$E$810,"Loss"))+SUMPRODUCT(('Match Log'!$D$4:$D$810=I$4)*('Match Log'!$E$4:$E$810="Win")*COUNTIFS('Match Log'!$A$4:$A$810,'Match Log'!$A$4:$A$810,'Match Log'!$D$4:$D$810,$A5,'Match Log'!$E$4:$E$810,"Loss")))=0,"",TEXT(SUMPRODUCT(('Match Log'!$D$4:$D$810=$A5)*('Match Log'!$E$4:$E$810="Win")*COUNTIFS('Match Log'!$A$4:$A$810,'Match Log'!$A$4:$A$810,'Match Log'!$D$4:$D$810,I$4,'Match Log'!$E$4:$E$810,"Loss"))/(SUMPRODUCT(('Match Log'!$D$4:$D$810=$A5)*('Match Log'!$E$4:$E$810="Win")*COUNTIFS('Match Log'!$A$4:$A$810,'Match Log'!$A$4:$A$810,'Match Log'!$D$4:$D$810,I$4,'Match Log'!$E$4:$E$810,"Loss"))+SUMPRODUCT(('Match Log'!$D$4:$D$810=I$4)*('Match Log'!$E$4:$E$810="Win")*COUNTIFS('Match Log'!$A$4:$A$810,'Match Log'!$A$4:$A$810,'Match Log'!$D$4:$D$810,$A5,'Match Log'!$E$4:$E$810,"Loss"))),"0%")&amp;" of "&amp;(SUMPRODUCT(('Match Log'!$D$4:$D$810=$A5)*('Match Log'!$E$4:$E$810="Win")*COUNTIFS('Match Log'!$A$4:$A$810,'Match Log'!$A$4:$A$810,'Match Log'!$D$4:$D$810,I$4,'Match Log'!$E$4:$E$810,"Loss"))+SUMPRODUCT(('Match Log'!$D$4:$D$810=I$4)*('Match Log'!$E$4:$E$810="Win")*COUNTIFS('Match Log'!$A$4:$A$810,'Match Log'!$A$4:$A$810,'Match Log'!$D$4:$D$810,$A5,'Match Log'!$E$4:$E$810,"Loss")))))</f>
        <v>60% of 5</v>
      </c>
      <c r="J5" s="50" t="str">
        <f>IF($A5=J$4,"—",IF((SUMPRODUCT(('Match Log'!$D$4:$D$810=$A5)*('Match Log'!$E$4:$E$810="Win")*COUNTIFS('Match Log'!$A$4:$A$810,'Match Log'!$A$4:$A$810,'Match Log'!$D$4:$D$810,J$4,'Match Log'!$E$4:$E$810,"Loss"))+SUMPRODUCT(('Match Log'!$D$4:$D$810=J$4)*('Match Log'!$E$4:$E$810="Win")*COUNTIFS('Match Log'!$A$4:$A$810,'Match Log'!$A$4:$A$810,'Match Log'!$D$4:$D$810,$A5,'Match Log'!$E$4:$E$810,"Loss")))=0,"",TEXT(SUMPRODUCT(('Match Log'!$D$4:$D$810=$A5)*('Match Log'!$E$4:$E$810="Win")*COUNTIFS('Match Log'!$A$4:$A$810,'Match Log'!$A$4:$A$810,'Match Log'!$D$4:$D$810,J$4,'Match Log'!$E$4:$E$810,"Loss"))/(SUMPRODUCT(('Match Log'!$D$4:$D$810=$A5)*('Match Log'!$E$4:$E$810="Win")*COUNTIFS('Match Log'!$A$4:$A$810,'Match Log'!$A$4:$A$810,'Match Log'!$D$4:$D$810,J$4,'Match Log'!$E$4:$E$810,"Loss"))+SUMPRODUCT(('Match Log'!$D$4:$D$810=J$4)*('Match Log'!$E$4:$E$810="Win")*COUNTIFS('Match Log'!$A$4:$A$810,'Match Log'!$A$4:$A$810,'Match Log'!$D$4:$D$810,$A5,'Match Log'!$E$4:$E$810,"Loss"))),"0%")&amp;" of "&amp;(SUMPRODUCT(('Match Log'!$D$4:$D$810=$A5)*('Match Log'!$E$4:$E$810="Win")*COUNTIFS('Match Log'!$A$4:$A$810,'Match Log'!$A$4:$A$810,'Match Log'!$D$4:$D$810,J$4,'Match Log'!$E$4:$E$810,"Loss"))+SUMPRODUCT(('Match Log'!$D$4:$D$810=J$4)*('Match Log'!$E$4:$E$810="Win")*COUNTIFS('Match Log'!$A$4:$A$810,'Match Log'!$A$4:$A$810,'Match Log'!$D$4:$D$810,$A5,'Match Log'!$E$4:$E$810,"Loss")))))</f>
        <v>50% of 2</v>
      </c>
      <c r="K5" s="50" t="str">
        <f>IF($A5=K$4,"—",IF((SUMPRODUCT(('Match Log'!$D$4:$D$810=$A5)*('Match Log'!$E$4:$E$810="Win")*COUNTIFS('Match Log'!$A$4:$A$810,'Match Log'!$A$4:$A$810,'Match Log'!$D$4:$D$810,K$4,'Match Log'!$E$4:$E$810,"Loss"))+SUMPRODUCT(('Match Log'!$D$4:$D$810=K$4)*('Match Log'!$E$4:$E$810="Win")*COUNTIFS('Match Log'!$A$4:$A$810,'Match Log'!$A$4:$A$810,'Match Log'!$D$4:$D$810,$A5,'Match Log'!$E$4:$E$810,"Loss")))=0,"",TEXT(SUMPRODUCT(('Match Log'!$D$4:$D$810=$A5)*('Match Log'!$E$4:$E$810="Win")*COUNTIFS('Match Log'!$A$4:$A$810,'Match Log'!$A$4:$A$810,'Match Log'!$D$4:$D$810,K$4,'Match Log'!$E$4:$E$810,"Loss"))/(SUMPRODUCT(('Match Log'!$D$4:$D$810=$A5)*('Match Log'!$E$4:$E$810="Win")*COUNTIFS('Match Log'!$A$4:$A$810,'Match Log'!$A$4:$A$810,'Match Log'!$D$4:$D$810,K$4,'Match Log'!$E$4:$E$810,"Loss"))+SUMPRODUCT(('Match Log'!$D$4:$D$810=K$4)*('Match Log'!$E$4:$E$810="Win")*COUNTIFS('Match Log'!$A$4:$A$810,'Match Log'!$A$4:$A$810,'Match Log'!$D$4:$D$810,$A5,'Match Log'!$E$4:$E$810,"Loss"))),"0%")&amp;" of "&amp;(SUMPRODUCT(('Match Log'!$D$4:$D$810=$A5)*('Match Log'!$E$4:$E$810="Win")*COUNTIFS('Match Log'!$A$4:$A$810,'Match Log'!$A$4:$A$810,'Match Log'!$D$4:$D$810,K$4,'Match Log'!$E$4:$E$810,"Loss"))+SUMPRODUCT(('Match Log'!$D$4:$D$810=K$4)*('Match Log'!$E$4:$E$810="Win")*COUNTIFS('Match Log'!$A$4:$A$810,'Match Log'!$A$4:$A$810,'Match Log'!$D$4:$D$810,$A5,'Match Log'!$E$4:$E$810,"Loss")))))</f>
        <v/>
      </c>
      <c r="L5" s="50" t="str">
        <f>IF($A5=L$4,"—",IF((SUMPRODUCT(('Match Log'!$D$4:$D$810=$A5)*('Match Log'!$E$4:$E$810="Win")*COUNTIFS('Match Log'!$A$4:$A$810,'Match Log'!$A$4:$A$810,'Match Log'!$D$4:$D$810,L$4,'Match Log'!$E$4:$E$810,"Loss"))+SUMPRODUCT(('Match Log'!$D$4:$D$810=L$4)*('Match Log'!$E$4:$E$810="Win")*COUNTIFS('Match Log'!$A$4:$A$810,'Match Log'!$A$4:$A$810,'Match Log'!$D$4:$D$810,$A5,'Match Log'!$E$4:$E$810,"Loss")))=0,"",TEXT(SUMPRODUCT(('Match Log'!$D$4:$D$810=$A5)*('Match Log'!$E$4:$E$810="Win")*COUNTIFS('Match Log'!$A$4:$A$810,'Match Log'!$A$4:$A$810,'Match Log'!$D$4:$D$810,L$4,'Match Log'!$E$4:$E$810,"Loss"))/(SUMPRODUCT(('Match Log'!$D$4:$D$810=$A5)*('Match Log'!$E$4:$E$810="Win")*COUNTIFS('Match Log'!$A$4:$A$810,'Match Log'!$A$4:$A$810,'Match Log'!$D$4:$D$810,L$4,'Match Log'!$E$4:$E$810,"Loss"))+SUMPRODUCT(('Match Log'!$D$4:$D$810=L$4)*('Match Log'!$E$4:$E$810="Win")*COUNTIFS('Match Log'!$A$4:$A$810,'Match Log'!$A$4:$A$810,'Match Log'!$D$4:$D$810,$A5,'Match Log'!$E$4:$E$810,"Loss"))),"0%")&amp;" of "&amp;(SUMPRODUCT(('Match Log'!$D$4:$D$810=$A5)*('Match Log'!$E$4:$E$810="Win")*COUNTIFS('Match Log'!$A$4:$A$810,'Match Log'!$A$4:$A$810,'Match Log'!$D$4:$D$810,L$4,'Match Log'!$E$4:$E$810,"Loss"))+SUMPRODUCT(('Match Log'!$D$4:$D$810=L$4)*('Match Log'!$E$4:$E$810="Win")*COUNTIFS('Match Log'!$A$4:$A$810,'Match Log'!$A$4:$A$810,'Match Log'!$D$4:$D$810,$A5,'Match Log'!$E$4:$E$810,"Loss")))))</f>
        <v>50% of 4</v>
      </c>
      <c r="M5" s="50" t="str">
        <f>IF($A5=M$4,"—",IF((SUMPRODUCT(('Match Log'!$D$4:$D$810=$A5)*('Match Log'!$E$4:$E$810="Win")*COUNTIFS('Match Log'!$A$4:$A$810,'Match Log'!$A$4:$A$810,'Match Log'!$D$4:$D$810,M$4,'Match Log'!$E$4:$E$810,"Loss"))+SUMPRODUCT(('Match Log'!$D$4:$D$810=M$4)*('Match Log'!$E$4:$E$810="Win")*COUNTIFS('Match Log'!$A$4:$A$810,'Match Log'!$A$4:$A$810,'Match Log'!$D$4:$D$810,$A5,'Match Log'!$E$4:$E$810,"Loss")))=0,"",TEXT(SUMPRODUCT(('Match Log'!$D$4:$D$810=$A5)*('Match Log'!$E$4:$E$810="Win")*COUNTIFS('Match Log'!$A$4:$A$810,'Match Log'!$A$4:$A$810,'Match Log'!$D$4:$D$810,M$4,'Match Log'!$E$4:$E$810,"Loss"))/(SUMPRODUCT(('Match Log'!$D$4:$D$810=$A5)*('Match Log'!$E$4:$E$810="Win")*COUNTIFS('Match Log'!$A$4:$A$810,'Match Log'!$A$4:$A$810,'Match Log'!$D$4:$D$810,M$4,'Match Log'!$E$4:$E$810,"Loss"))+SUMPRODUCT(('Match Log'!$D$4:$D$810=M$4)*('Match Log'!$E$4:$E$810="Win")*COUNTIFS('Match Log'!$A$4:$A$810,'Match Log'!$A$4:$A$810,'Match Log'!$D$4:$D$810,$A5,'Match Log'!$E$4:$E$810,"Loss"))),"0%")&amp;" of "&amp;(SUMPRODUCT(('Match Log'!$D$4:$D$810=$A5)*('Match Log'!$E$4:$E$810="Win")*COUNTIFS('Match Log'!$A$4:$A$810,'Match Log'!$A$4:$A$810,'Match Log'!$D$4:$D$810,M$4,'Match Log'!$E$4:$E$810,"Loss"))+SUMPRODUCT(('Match Log'!$D$4:$D$810=M$4)*('Match Log'!$E$4:$E$810="Win")*COUNTIFS('Match Log'!$A$4:$A$810,'Match Log'!$A$4:$A$810,'Match Log'!$D$4:$D$810,$A5,'Match Log'!$E$4:$E$810,"Loss")))))</f>
        <v>0% of 1</v>
      </c>
      <c r="N5" s="50" t="str">
        <f>IF($A5=N$4,"—",IF((SUMPRODUCT(('Match Log'!$D$4:$D$810=$A5)*('Match Log'!$E$4:$E$810="Win")*COUNTIFS('Match Log'!$A$4:$A$810,'Match Log'!$A$4:$A$810,'Match Log'!$D$4:$D$810,N$4,'Match Log'!$E$4:$E$810,"Loss"))+SUMPRODUCT(('Match Log'!$D$4:$D$810=N$4)*('Match Log'!$E$4:$E$810="Win")*COUNTIFS('Match Log'!$A$4:$A$810,'Match Log'!$A$4:$A$810,'Match Log'!$D$4:$D$810,$A5,'Match Log'!$E$4:$E$810,"Loss")))=0,"",TEXT(SUMPRODUCT(('Match Log'!$D$4:$D$810=$A5)*('Match Log'!$E$4:$E$810="Win")*COUNTIFS('Match Log'!$A$4:$A$810,'Match Log'!$A$4:$A$810,'Match Log'!$D$4:$D$810,N$4,'Match Log'!$E$4:$E$810,"Loss"))/(SUMPRODUCT(('Match Log'!$D$4:$D$810=$A5)*('Match Log'!$E$4:$E$810="Win")*COUNTIFS('Match Log'!$A$4:$A$810,'Match Log'!$A$4:$A$810,'Match Log'!$D$4:$D$810,N$4,'Match Log'!$E$4:$E$810,"Loss"))+SUMPRODUCT(('Match Log'!$D$4:$D$810=N$4)*('Match Log'!$E$4:$E$810="Win")*COUNTIFS('Match Log'!$A$4:$A$810,'Match Log'!$A$4:$A$810,'Match Log'!$D$4:$D$810,$A5,'Match Log'!$E$4:$E$810,"Loss"))),"0%")&amp;" of "&amp;(SUMPRODUCT(('Match Log'!$D$4:$D$810=$A5)*('Match Log'!$E$4:$E$810="Win")*COUNTIFS('Match Log'!$A$4:$A$810,'Match Log'!$A$4:$A$810,'Match Log'!$D$4:$D$810,N$4,'Match Log'!$E$4:$E$810,"Loss"))+SUMPRODUCT(('Match Log'!$D$4:$D$810=N$4)*('Match Log'!$E$4:$E$810="Win")*COUNTIFS('Match Log'!$A$4:$A$810,'Match Log'!$A$4:$A$810,'Match Log'!$D$4:$D$810,$A5,'Match Log'!$E$4:$E$810,"Loss")))))</f>
        <v/>
      </c>
      <c r="O5" s="50" t="str">
        <f>IF($A5=O$4,"—",IF((SUMPRODUCT(('Match Log'!$D$4:$D$810=$A5)*('Match Log'!$E$4:$E$810="Win")*COUNTIFS('Match Log'!$A$4:$A$810,'Match Log'!$A$4:$A$810,'Match Log'!$D$4:$D$810,O$4,'Match Log'!$E$4:$E$810,"Loss"))+SUMPRODUCT(('Match Log'!$D$4:$D$810=O$4)*('Match Log'!$E$4:$E$810="Win")*COUNTIFS('Match Log'!$A$4:$A$810,'Match Log'!$A$4:$A$810,'Match Log'!$D$4:$D$810,$A5,'Match Log'!$E$4:$E$810,"Loss")))=0,"",TEXT(SUMPRODUCT(('Match Log'!$D$4:$D$810=$A5)*('Match Log'!$E$4:$E$810="Win")*COUNTIFS('Match Log'!$A$4:$A$810,'Match Log'!$A$4:$A$810,'Match Log'!$D$4:$D$810,O$4,'Match Log'!$E$4:$E$810,"Loss"))/(SUMPRODUCT(('Match Log'!$D$4:$D$810=$A5)*('Match Log'!$E$4:$E$810="Win")*COUNTIFS('Match Log'!$A$4:$A$810,'Match Log'!$A$4:$A$810,'Match Log'!$D$4:$D$810,O$4,'Match Log'!$E$4:$E$810,"Loss"))+SUMPRODUCT(('Match Log'!$D$4:$D$810=O$4)*('Match Log'!$E$4:$E$810="Win")*COUNTIFS('Match Log'!$A$4:$A$810,'Match Log'!$A$4:$A$810,'Match Log'!$D$4:$D$810,$A5,'Match Log'!$E$4:$E$810,"Loss"))),"0%")&amp;" of "&amp;(SUMPRODUCT(('Match Log'!$D$4:$D$810=$A5)*('Match Log'!$E$4:$E$810="Win")*COUNTIFS('Match Log'!$A$4:$A$810,'Match Log'!$A$4:$A$810,'Match Log'!$D$4:$D$810,O$4,'Match Log'!$E$4:$E$810,"Loss"))+SUMPRODUCT(('Match Log'!$D$4:$D$810=O$4)*('Match Log'!$E$4:$E$810="Win")*COUNTIFS('Match Log'!$A$4:$A$810,'Match Log'!$A$4:$A$810,'Match Log'!$D$4:$D$810,$A5,'Match Log'!$E$4:$E$810,"Loss")))))</f>
        <v/>
      </c>
    </row>
    <row r="6" spans="1:15" ht="15" customHeight="1" x14ac:dyDescent="0.2">
      <c r="A6" s="45" t="s">
        <v>135</v>
      </c>
      <c r="B6" s="50" t="str">
        <f>IF($A6=B$4,"—",IF((SUMPRODUCT(('Match Log'!$D$4:$D$810=$A6)*('Match Log'!$E$4:$E$810="Win")*COUNTIFS('Match Log'!$A$4:$A$810,'Match Log'!$A$4:$A$810,'Match Log'!$D$4:$D$810,B$4,'Match Log'!$E$4:$E$810,"Loss"))+SUMPRODUCT(('Match Log'!$D$4:$D$810=B$4)*('Match Log'!$E$4:$E$810="Win")*COUNTIFS('Match Log'!$A$4:$A$810,'Match Log'!$A$4:$A$810,'Match Log'!$D$4:$D$810,$A6,'Match Log'!$E$4:$E$810,"Loss")))=0,"",TEXT(SUMPRODUCT(('Match Log'!$D$4:$D$810=$A6)*('Match Log'!$E$4:$E$810="Win")*COUNTIFS('Match Log'!$A$4:$A$810,'Match Log'!$A$4:$A$810,'Match Log'!$D$4:$D$810,B$4,'Match Log'!$E$4:$E$810,"Loss"))/(SUMPRODUCT(('Match Log'!$D$4:$D$810=$A6)*('Match Log'!$E$4:$E$810="Win")*COUNTIFS('Match Log'!$A$4:$A$810,'Match Log'!$A$4:$A$810,'Match Log'!$D$4:$D$810,B$4,'Match Log'!$E$4:$E$810,"Loss"))+SUMPRODUCT(('Match Log'!$D$4:$D$810=B$4)*('Match Log'!$E$4:$E$810="Win")*COUNTIFS('Match Log'!$A$4:$A$810,'Match Log'!$A$4:$A$810,'Match Log'!$D$4:$D$810,$A6,'Match Log'!$E$4:$E$810,"Loss"))),"0%")&amp;" of "&amp;(SUMPRODUCT(('Match Log'!$D$4:$D$810=$A6)*('Match Log'!$E$4:$E$810="Win")*COUNTIFS('Match Log'!$A$4:$A$810,'Match Log'!$A$4:$A$810,'Match Log'!$D$4:$D$810,B$4,'Match Log'!$E$4:$E$810,"Loss"))+SUMPRODUCT(('Match Log'!$D$4:$D$810=B$4)*('Match Log'!$E$4:$E$810="Win")*COUNTIFS('Match Log'!$A$4:$A$810,'Match Log'!$A$4:$A$810,'Match Log'!$D$4:$D$810,$A6,'Match Log'!$E$4:$E$810,"Loss")))))</f>
        <v/>
      </c>
      <c r="C6" s="50" t="str">
        <f>IF($A6=C$4,"—",IF((SUMPRODUCT(('Match Log'!$D$4:$D$810=$A6)*('Match Log'!$E$4:$E$810="Win")*COUNTIFS('Match Log'!$A$4:$A$810,'Match Log'!$A$4:$A$810,'Match Log'!$D$4:$D$810,C$4,'Match Log'!$E$4:$E$810,"Loss"))+SUMPRODUCT(('Match Log'!$D$4:$D$810=C$4)*('Match Log'!$E$4:$E$810="Win")*COUNTIFS('Match Log'!$A$4:$A$810,'Match Log'!$A$4:$A$810,'Match Log'!$D$4:$D$810,$A6,'Match Log'!$E$4:$E$810,"Loss")))=0,"",TEXT(SUMPRODUCT(('Match Log'!$D$4:$D$810=$A6)*('Match Log'!$E$4:$E$810="Win")*COUNTIFS('Match Log'!$A$4:$A$810,'Match Log'!$A$4:$A$810,'Match Log'!$D$4:$D$810,C$4,'Match Log'!$E$4:$E$810,"Loss"))/(SUMPRODUCT(('Match Log'!$D$4:$D$810=$A6)*('Match Log'!$E$4:$E$810="Win")*COUNTIFS('Match Log'!$A$4:$A$810,'Match Log'!$A$4:$A$810,'Match Log'!$D$4:$D$810,C$4,'Match Log'!$E$4:$E$810,"Loss"))+SUMPRODUCT(('Match Log'!$D$4:$D$810=C$4)*('Match Log'!$E$4:$E$810="Win")*COUNTIFS('Match Log'!$A$4:$A$810,'Match Log'!$A$4:$A$810,'Match Log'!$D$4:$D$810,$A6,'Match Log'!$E$4:$E$810,"Loss"))),"0%")&amp;" of "&amp;(SUMPRODUCT(('Match Log'!$D$4:$D$810=$A6)*('Match Log'!$E$4:$E$810="Win")*COUNTIFS('Match Log'!$A$4:$A$810,'Match Log'!$A$4:$A$810,'Match Log'!$D$4:$D$810,C$4,'Match Log'!$E$4:$E$810,"Loss"))+SUMPRODUCT(('Match Log'!$D$4:$D$810=C$4)*('Match Log'!$E$4:$E$810="Win")*COUNTIFS('Match Log'!$A$4:$A$810,'Match Log'!$A$4:$A$810,'Match Log'!$D$4:$D$810,$A6,'Match Log'!$E$4:$E$810,"Loss")))))</f>
        <v>—</v>
      </c>
      <c r="D6" s="50" t="str">
        <f>IF($A6=D$4,"—",IF((SUMPRODUCT(('Match Log'!$D$4:$D$810=$A6)*('Match Log'!$E$4:$E$810="Win")*COUNTIFS('Match Log'!$A$4:$A$810,'Match Log'!$A$4:$A$810,'Match Log'!$D$4:$D$810,D$4,'Match Log'!$E$4:$E$810,"Loss"))+SUMPRODUCT(('Match Log'!$D$4:$D$810=D$4)*('Match Log'!$E$4:$E$810="Win")*COUNTIFS('Match Log'!$A$4:$A$810,'Match Log'!$A$4:$A$810,'Match Log'!$D$4:$D$810,$A6,'Match Log'!$E$4:$E$810,"Loss")))=0,"",TEXT(SUMPRODUCT(('Match Log'!$D$4:$D$810=$A6)*('Match Log'!$E$4:$E$810="Win")*COUNTIFS('Match Log'!$A$4:$A$810,'Match Log'!$A$4:$A$810,'Match Log'!$D$4:$D$810,D$4,'Match Log'!$E$4:$E$810,"Loss"))/(SUMPRODUCT(('Match Log'!$D$4:$D$810=$A6)*('Match Log'!$E$4:$E$810="Win")*COUNTIFS('Match Log'!$A$4:$A$810,'Match Log'!$A$4:$A$810,'Match Log'!$D$4:$D$810,D$4,'Match Log'!$E$4:$E$810,"Loss"))+SUMPRODUCT(('Match Log'!$D$4:$D$810=D$4)*('Match Log'!$E$4:$E$810="Win")*COUNTIFS('Match Log'!$A$4:$A$810,'Match Log'!$A$4:$A$810,'Match Log'!$D$4:$D$810,$A6,'Match Log'!$E$4:$E$810,"Loss"))),"0%")&amp;" of "&amp;(SUMPRODUCT(('Match Log'!$D$4:$D$810=$A6)*('Match Log'!$E$4:$E$810="Win")*COUNTIFS('Match Log'!$A$4:$A$810,'Match Log'!$A$4:$A$810,'Match Log'!$D$4:$D$810,D$4,'Match Log'!$E$4:$E$810,"Loss"))+SUMPRODUCT(('Match Log'!$D$4:$D$810=D$4)*('Match Log'!$E$4:$E$810="Win")*COUNTIFS('Match Log'!$A$4:$A$810,'Match Log'!$A$4:$A$810,'Match Log'!$D$4:$D$810,$A6,'Match Log'!$E$4:$E$810,"Loss")))))</f>
        <v/>
      </c>
      <c r="E6" s="50" t="str">
        <f>IF($A6=E$4,"—",IF((SUMPRODUCT(('Match Log'!$D$4:$D$810=$A6)*('Match Log'!$E$4:$E$810="Win")*COUNTIFS('Match Log'!$A$4:$A$810,'Match Log'!$A$4:$A$810,'Match Log'!$D$4:$D$810,E$4,'Match Log'!$E$4:$E$810,"Loss"))+SUMPRODUCT(('Match Log'!$D$4:$D$810=E$4)*('Match Log'!$E$4:$E$810="Win")*COUNTIFS('Match Log'!$A$4:$A$810,'Match Log'!$A$4:$A$810,'Match Log'!$D$4:$D$810,$A6,'Match Log'!$E$4:$E$810,"Loss")))=0,"",TEXT(SUMPRODUCT(('Match Log'!$D$4:$D$810=$A6)*('Match Log'!$E$4:$E$810="Win")*COUNTIFS('Match Log'!$A$4:$A$810,'Match Log'!$A$4:$A$810,'Match Log'!$D$4:$D$810,E$4,'Match Log'!$E$4:$E$810,"Loss"))/(SUMPRODUCT(('Match Log'!$D$4:$D$810=$A6)*('Match Log'!$E$4:$E$810="Win")*COUNTIFS('Match Log'!$A$4:$A$810,'Match Log'!$A$4:$A$810,'Match Log'!$D$4:$D$810,E$4,'Match Log'!$E$4:$E$810,"Loss"))+SUMPRODUCT(('Match Log'!$D$4:$D$810=E$4)*('Match Log'!$E$4:$E$810="Win")*COUNTIFS('Match Log'!$A$4:$A$810,'Match Log'!$A$4:$A$810,'Match Log'!$D$4:$D$810,$A6,'Match Log'!$E$4:$E$810,"Loss"))),"0%")&amp;" of "&amp;(SUMPRODUCT(('Match Log'!$D$4:$D$810=$A6)*('Match Log'!$E$4:$E$810="Win")*COUNTIFS('Match Log'!$A$4:$A$810,'Match Log'!$A$4:$A$810,'Match Log'!$D$4:$D$810,E$4,'Match Log'!$E$4:$E$810,"Loss"))+SUMPRODUCT(('Match Log'!$D$4:$D$810=E$4)*('Match Log'!$E$4:$E$810="Win")*COUNTIFS('Match Log'!$A$4:$A$810,'Match Log'!$A$4:$A$810,'Match Log'!$D$4:$D$810,$A6,'Match Log'!$E$4:$E$810,"Loss")))))</f>
        <v>0% of 1</v>
      </c>
      <c r="F6" s="50" t="str">
        <f>IF($A6=F$4,"—",IF((SUMPRODUCT(('Match Log'!$D$4:$D$810=$A6)*('Match Log'!$E$4:$E$810="Win")*COUNTIFS('Match Log'!$A$4:$A$810,'Match Log'!$A$4:$A$810,'Match Log'!$D$4:$D$810,F$4,'Match Log'!$E$4:$E$810,"Loss"))+SUMPRODUCT(('Match Log'!$D$4:$D$810=F$4)*('Match Log'!$E$4:$E$810="Win")*COUNTIFS('Match Log'!$A$4:$A$810,'Match Log'!$A$4:$A$810,'Match Log'!$D$4:$D$810,$A6,'Match Log'!$E$4:$E$810,"Loss")))=0,"",TEXT(SUMPRODUCT(('Match Log'!$D$4:$D$810=$A6)*('Match Log'!$E$4:$E$810="Win")*COUNTIFS('Match Log'!$A$4:$A$810,'Match Log'!$A$4:$A$810,'Match Log'!$D$4:$D$810,F$4,'Match Log'!$E$4:$E$810,"Loss"))/(SUMPRODUCT(('Match Log'!$D$4:$D$810=$A6)*('Match Log'!$E$4:$E$810="Win")*COUNTIFS('Match Log'!$A$4:$A$810,'Match Log'!$A$4:$A$810,'Match Log'!$D$4:$D$810,F$4,'Match Log'!$E$4:$E$810,"Loss"))+SUMPRODUCT(('Match Log'!$D$4:$D$810=F$4)*('Match Log'!$E$4:$E$810="Win")*COUNTIFS('Match Log'!$A$4:$A$810,'Match Log'!$A$4:$A$810,'Match Log'!$D$4:$D$810,$A6,'Match Log'!$E$4:$E$810,"Loss"))),"0%")&amp;" of "&amp;(SUMPRODUCT(('Match Log'!$D$4:$D$810=$A6)*('Match Log'!$E$4:$E$810="Win")*COUNTIFS('Match Log'!$A$4:$A$810,'Match Log'!$A$4:$A$810,'Match Log'!$D$4:$D$810,F$4,'Match Log'!$E$4:$E$810,"Loss"))+SUMPRODUCT(('Match Log'!$D$4:$D$810=F$4)*('Match Log'!$E$4:$E$810="Win")*COUNTIFS('Match Log'!$A$4:$A$810,'Match Log'!$A$4:$A$810,'Match Log'!$D$4:$D$810,$A6,'Match Log'!$E$4:$E$810,"Loss")))))</f>
        <v>0% of 1</v>
      </c>
      <c r="G6" s="50" t="str">
        <f>IF($A6=G$4,"—",IF((SUMPRODUCT(('Match Log'!$D$4:$D$810=$A6)*('Match Log'!$E$4:$E$810="Win")*COUNTIFS('Match Log'!$A$4:$A$810,'Match Log'!$A$4:$A$810,'Match Log'!$D$4:$D$810,G$4,'Match Log'!$E$4:$E$810,"Loss"))+SUMPRODUCT(('Match Log'!$D$4:$D$810=G$4)*('Match Log'!$E$4:$E$810="Win")*COUNTIFS('Match Log'!$A$4:$A$810,'Match Log'!$A$4:$A$810,'Match Log'!$D$4:$D$810,$A6,'Match Log'!$E$4:$E$810,"Loss")))=0,"",TEXT(SUMPRODUCT(('Match Log'!$D$4:$D$810=$A6)*('Match Log'!$E$4:$E$810="Win")*COUNTIFS('Match Log'!$A$4:$A$810,'Match Log'!$A$4:$A$810,'Match Log'!$D$4:$D$810,G$4,'Match Log'!$E$4:$E$810,"Loss"))/(SUMPRODUCT(('Match Log'!$D$4:$D$810=$A6)*('Match Log'!$E$4:$E$810="Win")*COUNTIFS('Match Log'!$A$4:$A$810,'Match Log'!$A$4:$A$810,'Match Log'!$D$4:$D$810,G$4,'Match Log'!$E$4:$E$810,"Loss"))+SUMPRODUCT(('Match Log'!$D$4:$D$810=G$4)*('Match Log'!$E$4:$E$810="Win")*COUNTIFS('Match Log'!$A$4:$A$810,'Match Log'!$A$4:$A$810,'Match Log'!$D$4:$D$810,$A6,'Match Log'!$E$4:$E$810,"Loss"))),"0%")&amp;" of "&amp;(SUMPRODUCT(('Match Log'!$D$4:$D$810=$A6)*('Match Log'!$E$4:$E$810="Win")*COUNTIFS('Match Log'!$A$4:$A$810,'Match Log'!$A$4:$A$810,'Match Log'!$D$4:$D$810,G$4,'Match Log'!$E$4:$E$810,"Loss"))+SUMPRODUCT(('Match Log'!$D$4:$D$810=G$4)*('Match Log'!$E$4:$E$810="Win")*COUNTIFS('Match Log'!$A$4:$A$810,'Match Log'!$A$4:$A$810,'Match Log'!$D$4:$D$810,$A6,'Match Log'!$E$4:$E$810,"Loss")))))</f>
        <v>0% of 1</v>
      </c>
      <c r="H6" s="50" t="str">
        <f>IF($A6=H$4,"—",IF((SUMPRODUCT(('Match Log'!$D$4:$D$810=$A6)*('Match Log'!$E$4:$E$810="Win")*COUNTIFS('Match Log'!$A$4:$A$810,'Match Log'!$A$4:$A$810,'Match Log'!$D$4:$D$810,H$4,'Match Log'!$E$4:$E$810,"Loss"))+SUMPRODUCT(('Match Log'!$D$4:$D$810=H$4)*('Match Log'!$E$4:$E$810="Win")*COUNTIFS('Match Log'!$A$4:$A$810,'Match Log'!$A$4:$A$810,'Match Log'!$D$4:$D$810,$A6,'Match Log'!$E$4:$E$810,"Loss")))=0,"",TEXT(SUMPRODUCT(('Match Log'!$D$4:$D$810=$A6)*('Match Log'!$E$4:$E$810="Win")*COUNTIFS('Match Log'!$A$4:$A$810,'Match Log'!$A$4:$A$810,'Match Log'!$D$4:$D$810,H$4,'Match Log'!$E$4:$E$810,"Loss"))/(SUMPRODUCT(('Match Log'!$D$4:$D$810=$A6)*('Match Log'!$E$4:$E$810="Win")*COUNTIFS('Match Log'!$A$4:$A$810,'Match Log'!$A$4:$A$810,'Match Log'!$D$4:$D$810,H$4,'Match Log'!$E$4:$E$810,"Loss"))+SUMPRODUCT(('Match Log'!$D$4:$D$810=H$4)*('Match Log'!$E$4:$E$810="Win")*COUNTIFS('Match Log'!$A$4:$A$810,'Match Log'!$A$4:$A$810,'Match Log'!$D$4:$D$810,$A6,'Match Log'!$E$4:$E$810,"Loss"))),"0%")&amp;" of "&amp;(SUMPRODUCT(('Match Log'!$D$4:$D$810=$A6)*('Match Log'!$E$4:$E$810="Win")*COUNTIFS('Match Log'!$A$4:$A$810,'Match Log'!$A$4:$A$810,'Match Log'!$D$4:$D$810,H$4,'Match Log'!$E$4:$E$810,"Loss"))+SUMPRODUCT(('Match Log'!$D$4:$D$810=H$4)*('Match Log'!$E$4:$E$810="Win")*COUNTIFS('Match Log'!$A$4:$A$810,'Match Log'!$A$4:$A$810,'Match Log'!$D$4:$D$810,$A6,'Match Log'!$E$4:$E$810,"Loss")))))</f>
        <v>67% of 3</v>
      </c>
      <c r="I6" s="50" t="str">
        <f>IF($A6=I$4,"—",IF((SUMPRODUCT(('Match Log'!$D$4:$D$810=$A6)*('Match Log'!$E$4:$E$810="Win")*COUNTIFS('Match Log'!$A$4:$A$810,'Match Log'!$A$4:$A$810,'Match Log'!$D$4:$D$810,I$4,'Match Log'!$E$4:$E$810,"Loss"))+SUMPRODUCT(('Match Log'!$D$4:$D$810=I$4)*('Match Log'!$E$4:$E$810="Win")*COUNTIFS('Match Log'!$A$4:$A$810,'Match Log'!$A$4:$A$810,'Match Log'!$D$4:$D$810,$A6,'Match Log'!$E$4:$E$810,"Loss")))=0,"",TEXT(SUMPRODUCT(('Match Log'!$D$4:$D$810=$A6)*('Match Log'!$E$4:$E$810="Win")*COUNTIFS('Match Log'!$A$4:$A$810,'Match Log'!$A$4:$A$810,'Match Log'!$D$4:$D$810,I$4,'Match Log'!$E$4:$E$810,"Loss"))/(SUMPRODUCT(('Match Log'!$D$4:$D$810=$A6)*('Match Log'!$E$4:$E$810="Win")*COUNTIFS('Match Log'!$A$4:$A$810,'Match Log'!$A$4:$A$810,'Match Log'!$D$4:$D$810,I$4,'Match Log'!$E$4:$E$810,"Loss"))+SUMPRODUCT(('Match Log'!$D$4:$D$810=I$4)*('Match Log'!$E$4:$E$810="Win")*COUNTIFS('Match Log'!$A$4:$A$810,'Match Log'!$A$4:$A$810,'Match Log'!$D$4:$D$810,$A6,'Match Log'!$E$4:$E$810,"Loss"))),"0%")&amp;" of "&amp;(SUMPRODUCT(('Match Log'!$D$4:$D$810=$A6)*('Match Log'!$E$4:$E$810="Win")*COUNTIFS('Match Log'!$A$4:$A$810,'Match Log'!$A$4:$A$810,'Match Log'!$D$4:$D$810,I$4,'Match Log'!$E$4:$E$810,"Loss"))+SUMPRODUCT(('Match Log'!$D$4:$D$810=I$4)*('Match Log'!$E$4:$E$810="Win")*COUNTIFS('Match Log'!$A$4:$A$810,'Match Log'!$A$4:$A$810,'Match Log'!$D$4:$D$810,$A6,'Match Log'!$E$4:$E$810,"Loss")))))</f>
        <v>100% of 2</v>
      </c>
      <c r="J6" s="50" t="str">
        <f>IF($A6=J$4,"—",IF((SUMPRODUCT(('Match Log'!$D$4:$D$810=$A6)*('Match Log'!$E$4:$E$810="Win")*COUNTIFS('Match Log'!$A$4:$A$810,'Match Log'!$A$4:$A$810,'Match Log'!$D$4:$D$810,J$4,'Match Log'!$E$4:$E$810,"Loss"))+SUMPRODUCT(('Match Log'!$D$4:$D$810=J$4)*('Match Log'!$E$4:$E$810="Win")*COUNTIFS('Match Log'!$A$4:$A$810,'Match Log'!$A$4:$A$810,'Match Log'!$D$4:$D$810,$A6,'Match Log'!$E$4:$E$810,"Loss")))=0,"",TEXT(SUMPRODUCT(('Match Log'!$D$4:$D$810=$A6)*('Match Log'!$E$4:$E$810="Win")*COUNTIFS('Match Log'!$A$4:$A$810,'Match Log'!$A$4:$A$810,'Match Log'!$D$4:$D$810,J$4,'Match Log'!$E$4:$E$810,"Loss"))/(SUMPRODUCT(('Match Log'!$D$4:$D$810=$A6)*('Match Log'!$E$4:$E$810="Win")*COUNTIFS('Match Log'!$A$4:$A$810,'Match Log'!$A$4:$A$810,'Match Log'!$D$4:$D$810,J$4,'Match Log'!$E$4:$E$810,"Loss"))+SUMPRODUCT(('Match Log'!$D$4:$D$810=J$4)*('Match Log'!$E$4:$E$810="Win")*COUNTIFS('Match Log'!$A$4:$A$810,'Match Log'!$A$4:$A$810,'Match Log'!$D$4:$D$810,$A6,'Match Log'!$E$4:$E$810,"Loss"))),"0%")&amp;" of "&amp;(SUMPRODUCT(('Match Log'!$D$4:$D$810=$A6)*('Match Log'!$E$4:$E$810="Win")*COUNTIFS('Match Log'!$A$4:$A$810,'Match Log'!$A$4:$A$810,'Match Log'!$D$4:$D$810,J$4,'Match Log'!$E$4:$E$810,"Loss"))+SUMPRODUCT(('Match Log'!$D$4:$D$810=J$4)*('Match Log'!$E$4:$E$810="Win")*COUNTIFS('Match Log'!$A$4:$A$810,'Match Log'!$A$4:$A$810,'Match Log'!$D$4:$D$810,$A6,'Match Log'!$E$4:$E$810,"Loss")))))</f>
        <v>100% of 2</v>
      </c>
      <c r="K6" s="50" t="str">
        <f>IF($A6=K$4,"—",IF((SUMPRODUCT(('Match Log'!$D$4:$D$810=$A6)*('Match Log'!$E$4:$E$810="Win")*COUNTIFS('Match Log'!$A$4:$A$810,'Match Log'!$A$4:$A$810,'Match Log'!$D$4:$D$810,K$4,'Match Log'!$E$4:$E$810,"Loss"))+SUMPRODUCT(('Match Log'!$D$4:$D$810=K$4)*('Match Log'!$E$4:$E$810="Win")*COUNTIFS('Match Log'!$A$4:$A$810,'Match Log'!$A$4:$A$810,'Match Log'!$D$4:$D$810,$A6,'Match Log'!$E$4:$E$810,"Loss")))=0,"",TEXT(SUMPRODUCT(('Match Log'!$D$4:$D$810=$A6)*('Match Log'!$E$4:$E$810="Win")*COUNTIFS('Match Log'!$A$4:$A$810,'Match Log'!$A$4:$A$810,'Match Log'!$D$4:$D$810,K$4,'Match Log'!$E$4:$E$810,"Loss"))/(SUMPRODUCT(('Match Log'!$D$4:$D$810=$A6)*('Match Log'!$E$4:$E$810="Win")*COUNTIFS('Match Log'!$A$4:$A$810,'Match Log'!$A$4:$A$810,'Match Log'!$D$4:$D$810,K$4,'Match Log'!$E$4:$E$810,"Loss"))+SUMPRODUCT(('Match Log'!$D$4:$D$810=K$4)*('Match Log'!$E$4:$E$810="Win")*COUNTIFS('Match Log'!$A$4:$A$810,'Match Log'!$A$4:$A$810,'Match Log'!$D$4:$D$810,$A6,'Match Log'!$E$4:$E$810,"Loss"))),"0%")&amp;" of "&amp;(SUMPRODUCT(('Match Log'!$D$4:$D$810=$A6)*('Match Log'!$E$4:$E$810="Win")*COUNTIFS('Match Log'!$A$4:$A$810,'Match Log'!$A$4:$A$810,'Match Log'!$D$4:$D$810,K$4,'Match Log'!$E$4:$E$810,"Loss"))+SUMPRODUCT(('Match Log'!$D$4:$D$810=K$4)*('Match Log'!$E$4:$E$810="Win")*COUNTIFS('Match Log'!$A$4:$A$810,'Match Log'!$A$4:$A$810,'Match Log'!$D$4:$D$810,$A6,'Match Log'!$E$4:$E$810,"Loss")))))</f>
        <v>100% of 1</v>
      </c>
      <c r="L6" s="50" t="str">
        <f>IF($A6=L$4,"—",IF((SUMPRODUCT(('Match Log'!$D$4:$D$810=$A6)*('Match Log'!$E$4:$E$810="Win")*COUNTIFS('Match Log'!$A$4:$A$810,'Match Log'!$A$4:$A$810,'Match Log'!$D$4:$D$810,L$4,'Match Log'!$E$4:$E$810,"Loss"))+SUMPRODUCT(('Match Log'!$D$4:$D$810=L$4)*('Match Log'!$E$4:$E$810="Win")*COUNTIFS('Match Log'!$A$4:$A$810,'Match Log'!$A$4:$A$810,'Match Log'!$D$4:$D$810,$A6,'Match Log'!$E$4:$E$810,"Loss")))=0,"",TEXT(SUMPRODUCT(('Match Log'!$D$4:$D$810=$A6)*('Match Log'!$E$4:$E$810="Win")*COUNTIFS('Match Log'!$A$4:$A$810,'Match Log'!$A$4:$A$810,'Match Log'!$D$4:$D$810,L$4,'Match Log'!$E$4:$E$810,"Loss"))/(SUMPRODUCT(('Match Log'!$D$4:$D$810=$A6)*('Match Log'!$E$4:$E$810="Win")*COUNTIFS('Match Log'!$A$4:$A$810,'Match Log'!$A$4:$A$810,'Match Log'!$D$4:$D$810,L$4,'Match Log'!$E$4:$E$810,"Loss"))+SUMPRODUCT(('Match Log'!$D$4:$D$810=L$4)*('Match Log'!$E$4:$E$810="Win")*COUNTIFS('Match Log'!$A$4:$A$810,'Match Log'!$A$4:$A$810,'Match Log'!$D$4:$D$810,$A6,'Match Log'!$E$4:$E$810,"Loss"))),"0%")&amp;" of "&amp;(SUMPRODUCT(('Match Log'!$D$4:$D$810=$A6)*('Match Log'!$E$4:$E$810="Win")*COUNTIFS('Match Log'!$A$4:$A$810,'Match Log'!$A$4:$A$810,'Match Log'!$D$4:$D$810,L$4,'Match Log'!$E$4:$E$810,"Loss"))+SUMPRODUCT(('Match Log'!$D$4:$D$810=L$4)*('Match Log'!$E$4:$E$810="Win")*COUNTIFS('Match Log'!$A$4:$A$810,'Match Log'!$A$4:$A$810,'Match Log'!$D$4:$D$810,$A6,'Match Log'!$E$4:$E$810,"Loss")))))</f>
        <v>40% of 5</v>
      </c>
      <c r="M6" s="50" t="str">
        <f>IF($A6=M$4,"—",IF((SUMPRODUCT(('Match Log'!$D$4:$D$810=$A6)*('Match Log'!$E$4:$E$810="Win")*COUNTIFS('Match Log'!$A$4:$A$810,'Match Log'!$A$4:$A$810,'Match Log'!$D$4:$D$810,M$4,'Match Log'!$E$4:$E$810,"Loss"))+SUMPRODUCT(('Match Log'!$D$4:$D$810=M$4)*('Match Log'!$E$4:$E$810="Win")*COUNTIFS('Match Log'!$A$4:$A$810,'Match Log'!$A$4:$A$810,'Match Log'!$D$4:$D$810,$A6,'Match Log'!$E$4:$E$810,"Loss")))=0,"",TEXT(SUMPRODUCT(('Match Log'!$D$4:$D$810=$A6)*('Match Log'!$E$4:$E$810="Win")*COUNTIFS('Match Log'!$A$4:$A$810,'Match Log'!$A$4:$A$810,'Match Log'!$D$4:$D$810,M$4,'Match Log'!$E$4:$E$810,"Loss"))/(SUMPRODUCT(('Match Log'!$D$4:$D$810=$A6)*('Match Log'!$E$4:$E$810="Win")*COUNTIFS('Match Log'!$A$4:$A$810,'Match Log'!$A$4:$A$810,'Match Log'!$D$4:$D$810,M$4,'Match Log'!$E$4:$E$810,"Loss"))+SUMPRODUCT(('Match Log'!$D$4:$D$810=M$4)*('Match Log'!$E$4:$E$810="Win")*COUNTIFS('Match Log'!$A$4:$A$810,'Match Log'!$A$4:$A$810,'Match Log'!$D$4:$D$810,$A6,'Match Log'!$E$4:$E$810,"Loss"))),"0%")&amp;" of "&amp;(SUMPRODUCT(('Match Log'!$D$4:$D$810=$A6)*('Match Log'!$E$4:$E$810="Win")*COUNTIFS('Match Log'!$A$4:$A$810,'Match Log'!$A$4:$A$810,'Match Log'!$D$4:$D$810,M$4,'Match Log'!$E$4:$E$810,"Loss"))+SUMPRODUCT(('Match Log'!$D$4:$D$810=M$4)*('Match Log'!$E$4:$E$810="Win")*COUNTIFS('Match Log'!$A$4:$A$810,'Match Log'!$A$4:$A$810,'Match Log'!$D$4:$D$810,$A6,'Match Log'!$E$4:$E$810,"Loss")))))</f>
        <v>0% of 1</v>
      </c>
      <c r="N6" s="50" t="str">
        <f>IF($A6=N$4,"—",IF((SUMPRODUCT(('Match Log'!$D$4:$D$810=$A6)*('Match Log'!$E$4:$E$810="Win")*COUNTIFS('Match Log'!$A$4:$A$810,'Match Log'!$A$4:$A$810,'Match Log'!$D$4:$D$810,N$4,'Match Log'!$E$4:$E$810,"Loss"))+SUMPRODUCT(('Match Log'!$D$4:$D$810=N$4)*('Match Log'!$E$4:$E$810="Win")*COUNTIFS('Match Log'!$A$4:$A$810,'Match Log'!$A$4:$A$810,'Match Log'!$D$4:$D$810,$A6,'Match Log'!$E$4:$E$810,"Loss")))=0,"",TEXT(SUMPRODUCT(('Match Log'!$D$4:$D$810=$A6)*('Match Log'!$E$4:$E$810="Win")*COUNTIFS('Match Log'!$A$4:$A$810,'Match Log'!$A$4:$A$810,'Match Log'!$D$4:$D$810,N$4,'Match Log'!$E$4:$E$810,"Loss"))/(SUMPRODUCT(('Match Log'!$D$4:$D$810=$A6)*('Match Log'!$E$4:$E$810="Win")*COUNTIFS('Match Log'!$A$4:$A$810,'Match Log'!$A$4:$A$810,'Match Log'!$D$4:$D$810,N$4,'Match Log'!$E$4:$E$810,"Loss"))+SUMPRODUCT(('Match Log'!$D$4:$D$810=N$4)*('Match Log'!$E$4:$E$810="Win")*COUNTIFS('Match Log'!$A$4:$A$810,'Match Log'!$A$4:$A$810,'Match Log'!$D$4:$D$810,$A6,'Match Log'!$E$4:$E$810,"Loss"))),"0%")&amp;" of "&amp;(SUMPRODUCT(('Match Log'!$D$4:$D$810=$A6)*('Match Log'!$E$4:$E$810="Win")*COUNTIFS('Match Log'!$A$4:$A$810,'Match Log'!$A$4:$A$810,'Match Log'!$D$4:$D$810,N$4,'Match Log'!$E$4:$E$810,"Loss"))+SUMPRODUCT(('Match Log'!$D$4:$D$810=N$4)*('Match Log'!$E$4:$E$810="Win")*COUNTIFS('Match Log'!$A$4:$A$810,'Match Log'!$A$4:$A$810,'Match Log'!$D$4:$D$810,$A6,'Match Log'!$E$4:$E$810,"Loss")))))</f>
        <v/>
      </c>
      <c r="O6" s="50" t="str">
        <f>IF($A6=O$4,"—",IF((SUMPRODUCT(('Match Log'!$D$4:$D$810=$A6)*('Match Log'!$E$4:$E$810="Win")*COUNTIFS('Match Log'!$A$4:$A$810,'Match Log'!$A$4:$A$810,'Match Log'!$D$4:$D$810,O$4,'Match Log'!$E$4:$E$810,"Loss"))+SUMPRODUCT(('Match Log'!$D$4:$D$810=O$4)*('Match Log'!$E$4:$E$810="Win")*COUNTIFS('Match Log'!$A$4:$A$810,'Match Log'!$A$4:$A$810,'Match Log'!$D$4:$D$810,$A6,'Match Log'!$E$4:$E$810,"Loss")))=0,"",TEXT(SUMPRODUCT(('Match Log'!$D$4:$D$810=$A6)*('Match Log'!$E$4:$E$810="Win")*COUNTIFS('Match Log'!$A$4:$A$810,'Match Log'!$A$4:$A$810,'Match Log'!$D$4:$D$810,O$4,'Match Log'!$E$4:$E$810,"Loss"))/(SUMPRODUCT(('Match Log'!$D$4:$D$810=$A6)*('Match Log'!$E$4:$E$810="Win")*COUNTIFS('Match Log'!$A$4:$A$810,'Match Log'!$A$4:$A$810,'Match Log'!$D$4:$D$810,O$4,'Match Log'!$E$4:$E$810,"Loss"))+SUMPRODUCT(('Match Log'!$D$4:$D$810=O$4)*('Match Log'!$E$4:$E$810="Win")*COUNTIFS('Match Log'!$A$4:$A$810,'Match Log'!$A$4:$A$810,'Match Log'!$D$4:$D$810,$A6,'Match Log'!$E$4:$E$810,"Loss"))),"0%")&amp;" of "&amp;(SUMPRODUCT(('Match Log'!$D$4:$D$810=$A6)*('Match Log'!$E$4:$E$810="Win")*COUNTIFS('Match Log'!$A$4:$A$810,'Match Log'!$A$4:$A$810,'Match Log'!$D$4:$D$810,O$4,'Match Log'!$E$4:$E$810,"Loss"))+SUMPRODUCT(('Match Log'!$D$4:$D$810=O$4)*('Match Log'!$E$4:$E$810="Win")*COUNTIFS('Match Log'!$A$4:$A$810,'Match Log'!$A$4:$A$810,'Match Log'!$D$4:$D$810,$A6,'Match Log'!$E$4:$E$810,"Loss")))))</f>
        <v/>
      </c>
    </row>
    <row r="7" spans="1:15" ht="15" customHeight="1" x14ac:dyDescent="0.2">
      <c r="A7" s="45" t="s">
        <v>173</v>
      </c>
      <c r="B7" s="50" t="str">
        <f>IF($A7=B$4,"—",IF((SUMPRODUCT(('Match Log'!$D$4:$D$810=$A7)*('Match Log'!$E$4:$E$810="Win")*COUNTIFS('Match Log'!$A$4:$A$810,'Match Log'!$A$4:$A$810,'Match Log'!$D$4:$D$810,B$4,'Match Log'!$E$4:$E$810,"Loss"))+SUMPRODUCT(('Match Log'!$D$4:$D$810=B$4)*('Match Log'!$E$4:$E$810="Win")*COUNTIFS('Match Log'!$A$4:$A$810,'Match Log'!$A$4:$A$810,'Match Log'!$D$4:$D$810,$A7,'Match Log'!$E$4:$E$810,"Loss")))=0,"",TEXT(SUMPRODUCT(('Match Log'!$D$4:$D$810=$A7)*('Match Log'!$E$4:$E$810="Win")*COUNTIFS('Match Log'!$A$4:$A$810,'Match Log'!$A$4:$A$810,'Match Log'!$D$4:$D$810,B$4,'Match Log'!$E$4:$E$810,"Loss"))/(SUMPRODUCT(('Match Log'!$D$4:$D$810=$A7)*('Match Log'!$E$4:$E$810="Win")*COUNTIFS('Match Log'!$A$4:$A$810,'Match Log'!$A$4:$A$810,'Match Log'!$D$4:$D$810,B$4,'Match Log'!$E$4:$E$810,"Loss"))+SUMPRODUCT(('Match Log'!$D$4:$D$810=B$4)*('Match Log'!$E$4:$E$810="Win")*COUNTIFS('Match Log'!$A$4:$A$810,'Match Log'!$A$4:$A$810,'Match Log'!$D$4:$D$810,$A7,'Match Log'!$E$4:$E$810,"Loss"))),"0%")&amp;" of "&amp;(SUMPRODUCT(('Match Log'!$D$4:$D$810=$A7)*('Match Log'!$E$4:$E$810="Win")*COUNTIFS('Match Log'!$A$4:$A$810,'Match Log'!$A$4:$A$810,'Match Log'!$D$4:$D$810,B$4,'Match Log'!$E$4:$E$810,"Loss"))+SUMPRODUCT(('Match Log'!$D$4:$D$810=B$4)*('Match Log'!$E$4:$E$810="Win")*COUNTIFS('Match Log'!$A$4:$A$810,'Match Log'!$A$4:$A$810,'Match Log'!$D$4:$D$810,$A7,'Match Log'!$E$4:$E$810,"Loss")))))</f>
        <v>0% of 3</v>
      </c>
      <c r="C7" s="50" t="str">
        <f>IF($A7=C$4,"—",IF((SUMPRODUCT(('Match Log'!$D$4:$D$810=$A7)*('Match Log'!$E$4:$E$810="Win")*COUNTIFS('Match Log'!$A$4:$A$810,'Match Log'!$A$4:$A$810,'Match Log'!$D$4:$D$810,C$4,'Match Log'!$E$4:$E$810,"Loss"))+SUMPRODUCT(('Match Log'!$D$4:$D$810=C$4)*('Match Log'!$E$4:$E$810="Win")*COUNTIFS('Match Log'!$A$4:$A$810,'Match Log'!$A$4:$A$810,'Match Log'!$D$4:$D$810,$A7,'Match Log'!$E$4:$E$810,"Loss")))=0,"",TEXT(SUMPRODUCT(('Match Log'!$D$4:$D$810=$A7)*('Match Log'!$E$4:$E$810="Win")*COUNTIFS('Match Log'!$A$4:$A$810,'Match Log'!$A$4:$A$810,'Match Log'!$D$4:$D$810,C$4,'Match Log'!$E$4:$E$810,"Loss"))/(SUMPRODUCT(('Match Log'!$D$4:$D$810=$A7)*('Match Log'!$E$4:$E$810="Win")*COUNTIFS('Match Log'!$A$4:$A$810,'Match Log'!$A$4:$A$810,'Match Log'!$D$4:$D$810,C$4,'Match Log'!$E$4:$E$810,"Loss"))+SUMPRODUCT(('Match Log'!$D$4:$D$810=C$4)*('Match Log'!$E$4:$E$810="Win")*COUNTIFS('Match Log'!$A$4:$A$810,'Match Log'!$A$4:$A$810,'Match Log'!$D$4:$D$810,$A7,'Match Log'!$E$4:$E$810,"Loss"))),"0%")&amp;" of "&amp;(SUMPRODUCT(('Match Log'!$D$4:$D$810=$A7)*('Match Log'!$E$4:$E$810="Win")*COUNTIFS('Match Log'!$A$4:$A$810,'Match Log'!$A$4:$A$810,'Match Log'!$D$4:$D$810,C$4,'Match Log'!$E$4:$E$810,"Loss"))+SUMPRODUCT(('Match Log'!$D$4:$D$810=C$4)*('Match Log'!$E$4:$E$810="Win")*COUNTIFS('Match Log'!$A$4:$A$810,'Match Log'!$A$4:$A$810,'Match Log'!$D$4:$D$810,$A7,'Match Log'!$E$4:$E$810,"Loss")))))</f>
        <v/>
      </c>
      <c r="D7" s="50" t="str">
        <f>IF($A7=D$4,"—",IF((SUMPRODUCT(('Match Log'!$D$4:$D$810=$A7)*('Match Log'!$E$4:$E$810="Win")*COUNTIFS('Match Log'!$A$4:$A$810,'Match Log'!$A$4:$A$810,'Match Log'!$D$4:$D$810,D$4,'Match Log'!$E$4:$E$810,"Loss"))+SUMPRODUCT(('Match Log'!$D$4:$D$810=D$4)*('Match Log'!$E$4:$E$810="Win")*COUNTIFS('Match Log'!$A$4:$A$810,'Match Log'!$A$4:$A$810,'Match Log'!$D$4:$D$810,$A7,'Match Log'!$E$4:$E$810,"Loss")))=0,"",TEXT(SUMPRODUCT(('Match Log'!$D$4:$D$810=$A7)*('Match Log'!$E$4:$E$810="Win")*COUNTIFS('Match Log'!$A$4:$A$810,'Match Log'!$A$4:$A$810,'Match Log'!$D$4:$D$810,D$4,'Match Log'!$E$4:$E$810,"Loss"))/(SUMPRODUCT(('Match Log'!$D$4:$D$810=$A7)*('Match Log'!$E$4:$E$810="Win")*COUNTIFS('Match Log'!$A$4:$A$810,'Match Log'!$A$4:$A$810,'Match Log'!$D$4:$D$810,D$4,'Match Log'!$E$4:$E$810,"Loss"))+SUMPRODUCT(('Match Log'!$D$4:$D$810=D$4)*('Match Log'!$E$4:$E$810="Win")*COUNTIFS('Match Log'!$A$4:$A$810,'Match Log'!$A$4:$A$810,'Match Log'!$D$4:$D$810,$A7,'Match Log'!$E$4:$E$810,"Loss"))),"0%")&amp;" of "&amp;(SUMPRODUCT(('Match Log'!$D$4:$D$810=$A7)*('Match Log'!$E$4:$E$810="Win")*COUNTIFS('Match Log'!$A$4:$A$810,'Match Log'!$A$4:$A$810,'Match Log'!$D$4:$D$810,D$4,'Match Log'!$E$4:$E$810,"Loss"))+SUMPRODUCT(('Match Log'!$D$4:$D$810=D$4)*('Match Log'!$E$4:$E$810="Win")*COUNTIFS('Match Log'!$A$4:$A$810,'Match Log'!$A$4:$A$810,'Match Log'!$D$4:$D$810,$A7,'Match Log'!$E$4:$E$810,"Loss")))))</f>
        <v>—</v>
      </c>
      <c r="E7" s="50" t="str">
        <f>IF($A7=E$4,"—",IF((SUMPRODUCT(('Match Log'!$D$4:$D$810=$A7)*('Match Log'!$E$4:$E$810="Win")*COUNTIFS('Match Log'!$A$4:$A$810,'Match Log'!$A$4:$A$810,'Match Log'!$D$4:$D$810,E$4,'Match Log'!$E$4:$E$810,"Loss"))+SUMPRODUCT(('Match Log'!$D$4:$D$810=E$4)*('Match Log'!$E$4:$E$810="Win")*COUNTIFS('Match Log'!$A$4:$A$810,'Match Log'!$A$4:$A$810,'Match Log'!$D$4:$D$810,$A7,'Match Log'!$E$4:$E$810,"Loss")))=0,"",TEXT(SUMPRODUCT(('Match Log'!$D$4:$D$810=$A7)*('Match Log'!$E$4:$E$810="Win")*COUNTIFS('Match Log'!$A$4:$A$810,'Match Log'!$A$4:$A$810,'Match Log'!$D$4:$D$810,E$4,'Match Log'!$E$4:$E$810,"Loss"))/(SUMPRODUCT(('Match Log'!$D$4:$D$810=$A7)*('Match Log'!$E$4:$E$810="Win")*COUNTIFS('Match Log'!$A$4:$A$810,'Match Log'!$A$4:$A$810,'Match Log'!$D$4:$D$810,E$4,'Match Log'!$E$4:$E$810,"Loss"))+SUMPRODUCT(('Match Log'!$D$4:$D$810=E$4)*('Match Log'!$E$4:$E$810="Win")*COUNTIFS('Match Log'!$A$4:$A$810,'Match Log'!$A$4:$A$810,'Match Log'!$D$4:$D$810,$A7,'Match Log'!$E$4:$E$810,"Loss"))),"0%")&amp;" of "&amp;(SUMPRODUCT(('Match Log'!$D$4:$D$810=$A7)*('Match Log'!$E$4:$E$810="Win")*COUNTIFS('Match Log'!$A$4:$A$810,'Match Log'!$A$4:$A$810,'Match Log'!$D$4:$D$810,E$4,'Match Log'!$E$4:$E$810,"Loss"))+SUMPRODUCT(('Match Log'!$D$4:$D$810=E$4)*('Match Log'!$E$4:$E$810="Win")*COUNTIFS('Match Log'!$A$4:$A$810,'Match Log'!$A$4:$A$810,'Match Log'!$D$4:$D$810,$A7,'Match Log'!$E$4:$E$810,"Loss")))))</f>
        <v/>
      </c>
      <c r="F7" s="50" t="str">
        <f>IF($A7=F$4,"—",IF((SUMPRODUCT(('Match Log'!$D$4:$D$810=$A7)*('Match Log'!$E$4:$E$810="Win")*COUNTIFS('Match Log'!$A$4:$A$810,'Match Log'!$A$4:$A$810,'Match Log'!$D$4:$D$810,F$4,'Match Log'!$E$4:$E$810,"Loss"))+SUMPRODUCT(('Match Log'!$D$4:$D$810=F$4)*('Match Log'!$E$4:$E$810="Win")*COUNTIFS('Match Log'!$A$4:$A$810,'Match Log'!$A$4:$A$810,'Match Log'!$D$4:$D$810,$A7,'Match Log'!$E$4:$E$810,"Loss")))=0,"",TEXT(SUMPRODUCT(('Match Log'!$D$4:$D$810=$A7)*('Match Log'!$E$4:$E$810="Win")*COUNTIFS('Match Log'!$A$4:$A$810,'Match Log'!$A$4:$A$810,'Match Log'!$D$4:$D$810,F$4,'Match Log'!$E$4:$E$810,"Loss"))/(SUMPRODUCT(('Match Log'!$D$4:$D$810=$A7)*('Match Log'!$E$4:$E$810="Win")*COUNTIFS('Match Log'!$A$4:$A$810,'Match Log'!$A$4:$A$810,'Match Log'!$D$4:$D$810,F$4,'Match Log'!$E$4:$E$810,"Loss"))+SUMPRODUCT(('Match Log'!$D$4:$D$810=F$4)*('Match Log'!$E$4:$E$810="Win")*COUNTIFS('Match Log'!$A$4:$A$810,'Match Log'!$A$4:$A$810,'Match Log'!$D$4:$D$810,$A7,'Match Log'!$E$4:$E$810,"Loss"))),"0%")&amp;" of "&amp;(SUMPRODUCT(('Match Log'!$D$4:$D$810=$A7)*('Match Log'!$E$4:$E$810="Win")*COUNTIFS('Match Log'!$A$4:$A$810,'Match Log'!$A$4:$A$810,'Match Log'!$D$4:$D$810,F$4,'Match Log'!$E$4:$E$810,"Loss"))+SUMPRODUCT(('Match Log'!$D$4:$D$810=F$4)*('Match Log'!$E$4:$E$810="Win")*COUNTIFS('Match Log'!$A$4:$A$810,'Match Log'!$A$4:$A$810,'Match Log'!$D$4:$D$810,$A7,'Match Log'!$E$4:$E$810,"Loss")))))</f>
        <v>0% of 1</v>
      </c>
      <c r="G7" s="50" t="str">
        <f>IF($A7=G$4,"—",IF((SUMPRODUCT(('Match Log'!$D$4:$D$810=$A7)*('Match Log'!$E$4:$E$810="Win")*COUNTIFS('Match Log'!$A$4:$A$810,'Match Log'!$A$4:$A$810,'Match Log'!$D$4:$D$810,G$4,'Match Log'!$E$4:$E$810,"Loss"))+SUMPRODUCT(('Match Log'!$D$4:$D$810=G$4)*('Match Log'!$E$4:$E$810="Win")*COUNTIFS('Match Log'!$A$4:$A$810,'Match Log'!$A$4:$A$810,'Match Log'!$D$4:$D$810,$A7,'Match Log'!$E$4:$E$810,"Loss")))=0,"",TEXT(SUMPRODUCT(('Match Log'!$D$4:$D$810=$A7)*('Match Log'!$E$4:$E$810="Win")*COUNTIFS('Match Log'!$A$4:$A$810,'Match Log'!$A$4:$A$810,'Match Log'!$D$4:$D$810,G$4,'Match Log'!$E$4:$E$810,"Loss"))/(SUMPRODUCT(('Match Log'!$D$4:$D$810=$A7)*('Match Log'!$E$4:$E$810="Win")*COUNTIFS('Match Log'!$A$4:$A$810,'Match Log'!$A$4:$A$810,'Match Log'!$D$4:$D$810,G$4,'Match Log'!$E$4:$E$810,"Loss"))+SUMPRODUCT(('Match Log'!$D$4:$D$810=G$4)*('Match Log'!$E$4:$E$810="Win")*COUNTIFS('Match Log'!$A$4:$A$810,'Match Log'!$A$4:$A$810,'Match Log'!$D$4:$D$810,$A7,'Match Log'!$E$4:$E$810,"Loss"))),"0%")&amp;" of "&amp;(SUMPRODUCT(('Match Log'!$D$4:$D$810=$A7)*('Match Log'!$E$4:$E$810="Win")*COUNTIFS('Match Log'!$A$4:$A$810,'Match Log'!$A$4:$A$810,'Match Log'!$D$4:$D$810,G$4,'Match Log'!$E$4:$E$810,"Loss"))+SUMPRODUCT(('Match Log'!$D$4:$D$810=G$4)*('Match Log'!$E$4:$E$810="Win")*COUNTIFS('Match Log'!$A$4:$A$810,'Match Log'!$A$4:$A$810,'Match Log'!$D$4:$D$810,$A7,'Match Log'!$E$4:$E$810,"Loss")))))</f>
        <v/>
      </c>
      <c r="H7" s="50" t="str">
        <f>IF($A7=H$4,"—",IF((SUMPRODUCT(('Match Log'!$D$4:$D$810=$A7)*('Match Log'!$E$4:$E$810="Win")*COUNTIFS('Match Log'!$A$4:$A$810,'Match Log'!$A$4:$A$810,'Match Log'!$D$4:$D$810,H$4,'Match Log'!$E$4:$E$810,"Loss"))+SUMPRODUCT(('Match Log'!$D$4:$D$810=H$4)*('Match Log'!$E$4:$E$810="Win")*COUNTIFS('Match Log'!$A$4:$A$810,'Match Log'!$A$4:$A$810,'Match Log'!$D$4:$D$810,$A7,'Match Log'!$E$4:$E$810,"Loss")))=0,"",TEXT(SUMPRODUCT(('Match Log'!$D$4:$D$810=$A7)*('Match Log'!$E$4:$E$810="Win")*COUNTIFS('Match Log'!$A$4:$A$810,'Match Log'!$A$4:$A$810,'Match Log'!$D$4:$D$810,H$4,'Match Log'!$E$4:$E$810,"Loss"))/(SUMPRODUCT(('Match Log'!$D$4:$D$810=$A7)*('Match Log'!$E$4:$E$810="Win")*COUNTIFS('Match Log'!$A$4:$A$810,'Match Log'!$A$4:$A$810,'Match Log'!$D$4:$D$810,H$4,'Match Log'!$E$4:$E$810,"Loss"))+SUMPRODUCT(('Match Log'!$D$4:$D$810=H$4)*('Match Log'!$E$4:$E$810="Win")*COUNTIFS('Match Log'!$A$4:$A$810,'Match Log'!$A$4:$A$810,'Match Log'!$D$4:$D$810,$A7,'Match Log'!$E$4:$E$810,"Loss"))),"0%")&amp;" of "&amp;(SUMPRODUCT(('Match Log'!$D$4:$D$810=$A7)*('Match Log'!$E$4:$E$810="Win")*COUNTIFS('Match Log'!$A$4:$A$810,'Match Log'!$A$4:$A$810,'Match Log'!$D$4:$D$810,H$4,'Match Log'!$E$4:$E$810,"Loss"))+SUMPRODUCT(('Match Log'!$D$4:$D$810=H$4)*('Match Log'!$E$4:$E$810="Win")*COUNTIFS('Match Log'!$A$4:$A$810,'Match Log'!$A$4:$A$810,'Match Log'!$D$4:$D$810,$A7,'Match Log'!$E$4:$E$810,"Loss")))))</f>
        <v/>
      </c>
      <c r="I7" s="50" t="str">
        <f>IF($A7=I$4,"—",IF((SUMPRODUCT(('Match Log'!$D$4:$D$810=$A7)*('Match Log'!$E$4:$E$810="Win")*COUNTIFS('Match Log'!$A$4:$A$810,'Match Log'!$A$4:$A$810,'Match Log'!$D$4:$D$810,I$4,'Match Log'!$E$4:$E$810,"Loss"))+SUMPRODUCT(('Match Log'!$D$4:$D$810=I$4)*('Match Log'!$E$4:$E$810="Win")*COUNTIFS('Match Log'!$A$4:$A$810,'Match Log'!$A$4:$A$810,'Match Log'!$D$4:$D$810,$A7,'Match Log'!$E$4:$E$810,"Loss")))=0,"",TEXT(SUMPRODUCT(('Match Log'!$D$4:$D$810=$A7)*('Match Log'!$E$4:$E$810="Win")*COUNTIFS('Match Log'!$A$4:$A$810,'Match Log'!$A$4:$A$810,'Match Log'!$D$4:$D$810,I$4,'Match Log'!$E$4:$E$810,"Loss"))/(SUMPRODUCT(('Match Log'!$D$4:$D$810=$A7)*('Match Log'!$E$4:$E$810="Win")*COUNTIFS('Match Log'!$A$4:$A$810,'Match Log'!$A$4:$A$810,'Match Log'!$D$4:$D$810,I$4,'Match Log'!$E$4:$E$810,"Loss"))+SUMPRODUCT(('Match Log'!$D$4:$D$810=I$4)*('Match Log'!$E$4:$E$810="Win")*COUNTIFS('Match Log'!$A$4:$A$810,'Match Log'!$A$4:$A$810,'Match Log'!$D$4:$D$810,$A7,'Match Log'!$E$4:$E$810,"Loss"))),"0%")&amp;" of "&amp;(SUMPRODUCT(('Match Log'!$D$4:$D$810=$A7)*('Match Log'!$E$4:$E$810="Win")*COUNTIFS('Match Log'!$A$4:$A$810,'Match Log'!$A$4:$A$810,'Match Log'!$D$4:$D$810,I$4,'Match Log'!$E$4:$E$810,"Loss"))+SUMPRODUCT(('Match Log'!$D$4:$D$810=I$4)*('Match Log'!$E$4:$E$810="Win")*COUNTIFS('Match Log'!$A$4:$A$810,'Match Log'!$A$4:$A$810,'Match Log'!$D$4:$D$810,$A7,'Match Log'!$E$4:$E$810,"Loss")))))</f>
        <v>80% of 5</v>
      </c>
      <c r="J7" s="50" t="str">
        <f>IF($A7=J$4,"—",IF((SUMPRODUCT(('Match Log'!$D$4:$D$810=$A7)*('Match Log'!$E$4:$E$810="Win")*COUNTIFS('Match Log'!$A$4:$A$810,'Match Log'!$A$4:$A$810,'Match Log'!$D$4:$D$810,J$4,'Match Log'!$E$4:$E$810,"Loss"))+SUMPRODUCT(('Match Log'!$D$4:$D$810=J$4)*('Match Log'!$E$4:$E$810="Win")*COUNTIFS('Match Log'!$A$4:$A$810,'Match Log'!$A$4:$A$810,'Match Log'!$D$4:$D$810,$A7,'Match Log'!$E$4:$E$810,"Loss")))=0,"",TEXT(SUMPRODUCT(('Match Log'!$D$4:$D$810=$A7)*('Match Log'!$E$4:$E$810="Win")*COUNTIFS('Match Log'!$A$4:$A$810,'Match Log'!$A$4:$A$810,'Match Log'!$D$4:$D$810,J$4,'Match Log'!$E$4:$E$810,"Loss"))/(SUMPRODUCT(('Match Log'!$D$4:$D$810=$A7)*('Match Log'!$E$4:$E$810="Win")*COUNTIFS('Match Log'!$A$4:$A$810,'Match Log'!$A$4:$A$810,'Match Log'!$D$4:$D$810,J$4,'Match Log'!$E$4:$E$810,"Loss"))+SUMPRODUCT(('Match Log'!$D$4:$D$810=J$4)*('Match Log'!$E$4:$E$810="Win")*COUNTIFS('Match Log'!$A$4:$A$810,'Match Log'!$A$4:$A$810,'Match Log'!$D$4:$D$810,$A7,'Match Log'!$E$4:$E$810,"Loss"))),"0%")&amp;" of "&amp;(SUMPRODUCT(('Match Log'!$D$4:$D$810=$A7)*('Match Log'!$E$4:$E$810="Win")*COUNTIFS('Match Log'!$A$4:$A$810,'Match Log'!$A$4:$A$810,'Match Log'!$D$4:$D$810,J$4,'Match Log'!$E$4:$E$810,"Loss"))+SUMPRODUCT(('Match Log'!$D$4:$D$810=J$4)*('Match Log'!$E$4:$E$810="Win")*COUNTIFS('Match Log'!$A$4:$A$810,'Match Log'!$A$4:$A$810,'Match Log'!$D$4:$D$810,$A7,'Match Log'!$E$4:$E$810,"Loss")))))</f>
        <v/>
      </c>
      <c r="K7" s="50" t="str">
        <f>IF($A7=K$4,"—",IF((SUMPRODUCT(('Match Log'!$D$4:$D$810=$A7)*('Match Log'!$E$4:$E$810="Win")*COUNTIFS('Match Log'!$A$4:$A$810,'Match Log'!$A$4:$A$810,'Match Log'!$D$4:$D$810,K$4,'Match Log'!$E$4:$E$810,"Loss"))+SUMPRODUCT(('Match Log'!$D$4:$D$810=K$4)*('Match Log'!$E$4:$E$810="Win")*COUNTIFS('Match Log'!$A$4:$A$810,'Match Log'!$A$4:$A$810,'Match Log'!$D$4:$D$810,$A7,'Match Log'!$E$4:$E$810,"Loss")))=0,"",TEXT(SUMPRODUCT(('Match Log'!$D$4:$D$810=$A7)*('Match Log'!$E$4:$E$810="Win")*COUNTIFS('Match Log'!$A$4:$A$810,'Match Log'!$A$4:$A$810,'Match Log'!$D$4:$D$810,K$4,'Match Log'!$E$4:$E$810,"Loss"))/(SUMPRODUCT(('Match Log'!$D$4:$D$810=$A7)*('Match Log'!$E$4:$E$810="Win")*COUNTIFS('Match Log'!$A$4:$A$810,'Match Log'!$A$4:$A$810,'Match Log'!$D$4:$D$810,K$4,'Match Log'!$E$4:$E$810,"Loss"))+SUMPRODUCT(('Match Log'!$D$4:$D$810=K$4)*('Match Log'!$E$4:$E$810="Win")*COUNTIFS('Match Log'!$A$4:$A$810,'Match Log'!$A$4:$A$810,'Match Log'!$D$4:$D$810,$A7,'Match Log'!$E$4:$E$810,"Loss"))),"0%")&amp;" of "&amp;(SUMPRODUCT(('Match Log'!$D$4:$D$810=$A7)*('Match Log'!$E$4:$E$810="Win")*COUNTIFS('Match Log'!$A$4:$A$810,'Match Log'!$A$4:$A$810,'Match Log'!$D$4:$D$810,K$4,'Match Log'!$E$4:$E$810,"Loss"))+SUMPRODUCT(('Match Log'!$D$4:$D$810=K$4)*('Match Log'!$E$4:$E$810="Win")*COUNTIFS('Match Log'!$A$4:$A$810,'Match Log'!$A$4:$A$810,'Match Log'!$D$4:$D$810,$A7,'Match Log'!$E$4:$E$810,"Loss")))))</f>
        <v>100% of 1</v>
      </c>
      <c r="L7" s="50" t="str">
        <f>IF($A7=L$4,"—",IF((SUMPRODUCT(('Match Log'!$D$4:$D$810=$A7)*('Match Log'!$E$4:$E$810="Win")*COUNTIFS('Match Log'!$A$4:$A$810,'Match Log'!$A$4:$A$810,'Match Log'!$D$4:$D$810,L$4,'Match Log'!$E$4:$E$810,"Loss"))+SUMPRODUCT(('Match Log'!$D$4:$D$810=L$4)*('Match Log'!$E$4:$E$810="Win")*COUNTIFS('Match Log'!$A$4:$A$810,'Match Log'!$A$4:$A$810,'Match Log'!$D$4:$D$810,$A7,'Match Log'!$E$4:$E$810,"Loss")))=0,"",TEXT(SUMPRODUCT(('Match Log'!$D$4:$D$810=$A7)*('Match Log'!$E$4:$E$810="Win")*COUNTIFS('Match Log'!$A$4:$A$810,'Match Log'!$A$4:$A$810,'Match Log'!$D$4:$D$810,L$4,'Match Log'!$E$4:$E$810,"Loss"))/(SUMPRODUCT(('Match Log'!$D$4:$D$810=$A7)*('Match Log'!$E$4:$E$810="Win")*COUNTIFS('Match Log'!$A$4:$A$810,'Match Log'!$A$4:$A$810,'Match Log'!$D$4:$D$810,L$4,'Match Log'!$E$4:$E$810,"Loss"))+SUMPRODUCT(('Match Log'!$D$4:$D$810=L$4)*('Match Log'!$E$4:$E$810="Win")*COUNTIFS('Match Log'!$A$4:$A$810,'Match Log'!$A$4:$A$810,'Match Log'!$D$4:$D$810,$A7,'Match Log'!$E$4:$E$810,"Loss"))),"0%")&amp;" of "&amp;(SUMPRODUCT(('Match Log'!$D$4:$D$810=$A7)*('Match Log'!$E$4:$E$810="Win")*COUNTIFS('Match Log'!$A$4:$A$810,'Match Log'!$A$4:$A$810,'Match Log'!$D$4:$D$810,L$4,'Match Log'!$E$4:$E$810,"Loss"))+SUMPRODUCT(('Match Log'!$D$4:$D$810=L$4)*('Match Log'!$E$4:$E$810="Win")*COUNTIFS('Match Log'!$A$4:$A$810,'Match Log'!$A$4:$A$810,'Match Log'!$D$4:$D$810,$A7,'Match Log'!$E$4:$E$810,"Loss")))))</f>
        <v/>
      </c>
      <c r="M7" s="50" t="str">
        <f>IF($A7=M$4,"—",IF((SUMPRODUCT(('Match Log'!$D$4:$D$810=$A7)*('Match Log'!$E$4:$E$810="Win")*COUNTIFS('Match Log'!$A$4:$A$810,'Match Log'!$A$4:$A$810,'Match Log'!$D$4:$D$810,M$4,'Match Log'!$E$4:$E$810,"Loss"))+SUMPRODUCT(('Match Log'!$D$4:$D$810=M$4)*('Match Log'!$E$4:$E$810="Win")*COUNTIFS('Match Log'!$A$4:$A$810,'Match Log'!$A$4:$A$810,'Match Log'!$D$4:$D$810,$A7,'Match Log'!$E$4:$E$810,"Loss")))=0,"",TEXT(SUMPRODUCT(('Match Log'!$D$4:$D$810=$A7)*('Match Log'!$E$4:$E$810="Win")*COUNTIFS('Match Log'!$A$4:$A$810,'Match Log'!$A$4:$A$810,'Match Log'!$D$4:$D$810,M$4,'Match Log'!$E$4:$E$810,"Loss"))/(SUMPRODUCT(('Match Log'!$D$4:$D$810=$A7)*('Match Log'!$E$4:$E$810="Win")*COUNTIFS('Match Log'!$A$4:$A$810,'Match Log'!$A$4:$A$810,'Match Log'!$D$4:$D$810,M$4,'Match Log'!$E$4:$E$810,"Loss"))+SUMPRODUCT(('Match Log'!$D$4:$D$810=M$4)*('Match Log'!$E$4:$E$810="Win")*COUNTIFS('Match Log'!$A$4:$A$810,'Match Log'!$A$4:$A$810,'Match Log'!$D$4:$D$810,$A7,'Match Log'!$E$4:$E$810,"Loss"))),"0%")&amp;" of "&amp;(SUMPRODUCT(('Match Log'!$D$4:$D$810=$A7)*('Match Log'!$E$4:$E$810="Win")*COUNTIFS('Match Log'!$A$4:$A$810,'Match Log'!$A$4:$A$810,'Match Log'!$D$4:$D$810,M$4,'Match Log'!$E$4:$E$810,"Loss"))+SUMPRODUCT(('Match Log'!$D$4:$D$810=M$4)*('Match Log'!$E$4:$E$810="Win")*COUNTIFS('Match Log'!$A$4:$A$810,'Match Log'!$A$4:$A$810,'Match Log'!$D$4:$D$810,$A7,'Match Log'!$E$4:$E$810,"Loss")))))</f>
        <v/>
      </c>
      <c r="N7" s="50" t="str">
        <f>IF($A7=N$4,"—",IF((SUMPRODUCT(('Match Log'!$D$4:$D$810=$A7)*('Match Log'!$E$4:$E$810="Win")*COUNTIFS('Match Log'!$A$4:$A$810,'Match Log'!$A$4:$A$810,'Match Log'!$D$4:$D$810,N$4,'Match Log'!$E$4:$E$810,"Loss"))+SUMPRODUCT(('Match Log'!$D$4:$D$810=N$4)*('Match Log'!$E$4:$E$810="Win")*COUNTIFS('Match Log'!$A$4:$A$810,'Match Log'!$A$4:$A$810,'Match Log'!$D$4:$D$810,$A7,'Match Log'!$E$4:$E$810,"Loss")))=0,"",TEXT(SUMPRODUCT(('Match Log'!$D$4:$D$810=$A7)*('Match Log'!$E$4:$E$810="Win")*COUNTIFS('Match Log'!$A$4:$A$810,'Match Log'!$A$4:$A$810,'Match Log'!$D$4:$D$810,N$4,'Match Log'!$E$4:$E$810,"Loss"))/(SUMPRODUCT(('Match Log'!$D$4:$D$810=$A7)*('Match Log'!$E$4:$E$810="Win")*COUNTIFS('Match Log'!$A$4:$A$810,'Match Log'!$A$4:$A$810,'Match Log'!$D$4:$D$810,N$4,'Match Log'!$E$4:$E$810,"Loss"))+SUMPRODUCT(('Match Log'!$D$4:$D$810=N$4)*('Match Log'!$E$4:$E$810="Win")*COUNTIFS('Match Log'!$A$4:$A$810,'Match Log'!$A$4:$A$810,'Match Log'!$D$4:$D$810,$A7,'Match Log'!$E$4:$E$810,"Loss"))),"0%")&amp;" of "&amp;(SUMPRODUCT(('Match Log'!$D$4:$D$810=$A7)*('Match Log'!$E$4:$E$810="Win")*COUNTIFS('Match Log'!$A$4:$A$810,'Match Log'!$A$4:$A$810,'Match Log'!$D$4:$D$810,N$4,'Match Log'!$E$4:$E$810,"Loss"))+SUMPRODUCT(('Match Log'!$D$4:$D$810=N$4)*('Match Log'!$E$4:$E$810="Win")*COUNTIFS('Match Log'!$A$4:$A$810,'Match Log'!$A$4:$A$810,'Match Log'!$D$4:$D$810,$A7,'Match Log'!$E$4:$E$810,"Loss")))))</f>
        <v/>
      </c>
      <c r="O7" s="50" t="str">
        <f>IF($A7=O$4,"—",IF((SUMPRODUCT(('Match Log'!$D$4:$D$810=$A7)*('Match Log'!$E$4:$E$810="Win")*COUNTIFS('Match Log'!$A$4:$A$810,'Match Log'!$A$4:$A$810,'Match Log'!$D$4:$D$810,O$4,'Match Log'!$E$4:$E$810,"Loss"))+SUMPRODUCT(('Match Log'!$D$4:$D$810=O$4)*('Match Log'!$E$4:$E$810="Win")*COUNTIFS('Match Log'!$A$4:$A$810,'Match Log'!$A$4:$A$810,'Match Log'!$D$4:$D$810,$A7,'Match Log'!$E$4:$E$810,"Loss")))=0,"",TEXT(SUMPRODUCT(('Match Log'!$D$4:$D$810=$A7)*('Match Log'!$E$4:$E$810="Win")*COUNTIFS('Match Log'!$A$4:$A$810,'Match Log'!$A$4:$A$810,'Match Log'!$D$4:$D$810,O$4,'Match Log'!$E$4:$E$810,"Loss"))/(SUMPRODUCT(('Match Log'!$D$4:$D$810=$A7)*('Match Log'!$E$4:$E$810="Win")*COUNTIFS('Match Log'!$A$4:$A$810,'Match Log'!$A$4:$A$810,'Match Log'!$D$4:$D$810,O$4,'Match Log'!$E$4:$E$810,"Loss"))+SUMPRODUCT(('Match Log'!$D$4:$D$810=O$4)*('Match Log'!$E$4:$E$810="Win")*COUNTIFS('Match Log'!$A$4:$A$810,'Match Log'!$A$4:$A$810,'Match Log'!$D$4:$D$810,$A7,'Match Log'!$E$4:$E$810,"Loss"))),"0%")&amp;" of "&amp;(SUMPRODUCT(('Match Log'!$D$4:$D$810=$A7)*('Match Log'!$E$4:$E$810="Win")*COUNTIFS('Match Log'!$A$4:$A$810,'Match Log'!$A$4:$A$810,'Match Log'!$D$4:$D$810,O$4,'Match Log'!$E$4:$E$810,"Loss"))+SUMPRODUCT(('Match Log'!$D$4:$D$810=O$4)*('Match Log'!$E$4:$E$810="Win")*COUNTIFS('Match Log'!$A$4:$A$810,'Match Log'!$A$4:$A$810,'Match Log'!$D$4:$D$810,$A7,'Match Log'!$E$4:$E$810,"Loss")))))</f>
        <v/>
      </c>
    </row>
    <row r="8" spans="1:15" ht="15" customHeight="1" x14ac:dyDescent="0.2">
      <c r="A8" s="45" t="s">
        <v>140</v>
      </c>
      <c r="B8" s="50" t="str">
        <f>IF($A8=B$4,"—",IF((SUMPRODUCT(('Match Log'!$D$4:$D$810=$A8)*('Match Log'!$E$4:$E$810="Win")*COUNTIFS('Match Log'!$A$4:$A$810,'Match Log'!$A$4:$A$810,'Match Log'!$D$4:$D$810,B$4,'Match Log'!$E$4:$E$810,"Loss"))+SUMPRODUCT(('Match Log'!$D$4:$D$810=B$4)*('Match Log'!$E$4:$E$810="Win")*COUNTIFS('Match Log'!$A$4:$A$810,'Match Log'!$A$4:$A$810,'Match Log'!$D$4:$D$810,$A8,'Match Log'!$E$4:$E$810,"Loss")))=0,"",TEXT(SUMPRODUCT(('Match Log'!$D$4:$D$810=$A8)*('Match Log'!$E$4:$E$810="Win")*COUNTIFS('Match Log'!$A$4:$A$810,'Match Log'!$A$4:$A$810,'Match Log'!$D$4:$D$810,B$4,'Match Log'!$E$4:$E$810,"Loss"))/(SUMPRODUCT(('Match Log'!$D$4:$D$810=$A8)*('Match Log'!$E$4:$E$810="Win")*COUNTIFS('Match Log'!$A$4:$A$810,'Match Log'!$A$4:$A$810,'Match Log'!$D$4:$D$810,B$4,'Match Log'!$E$4:$E$810,"Loss"))+SUMPRODUCT(('Match Log'!$D$4:$D$810=B$4)*('Match Log'!$E$4:$E$810="Win")*COUNTIFS('Match Log'!$A$4:$A$810,'Match Log'!$A$4:$A$810,'Match Log'!$D$4:$D$810,$A8,'Match Log'!$E$4:$E$810,"Loss"))),"0%")&amp;" of "&amp;(SUMPRODUCT(('Match Log'!$D$4:$D$810=$A8)*('Match Log'!$E$4:$E$810="Win")*COUNTIFS('Match Log'!$A$4:$A$810,'Match Log'!$A$4:$A$810,'Match Log'!$D$4:$D$810,B$4,'Match Log'!$E$4:$E$810,"Loss"))+SUMPRODUCT(('Match Log'!$D$4:$D$810=B$4)*('Match Log'!$E$4:$E$810="Win")*COUNTIFS('Match Log'!$A$4:$A$810,'Match Log'!$A$4:$A$810,'Match Log'!$D$4:$D$810,$A8,'Match Log'!$E$4:$E$810,"Loss")))))</f>
        <v>50% of 4</v>
      </c>
      <c r="C8" s="50" t="str">
        <f>IF($A8=C$4,"—",IF((SUMPRODUCT(('Match Log'!$D$4:$D$810=$A8)*('Match Log'!$E$4:$E$810="Win")*COUNTIFS('Match Log'!$A$4:$A$810,'Match Log'!$A$4:$A$810,'Match Log'!$D$4:$D$810,C$4,'Match Log'!$E$4:$E$810,"Loss"))+SUMPRODUCT(('Match Log'!$D$4:$D$810=C$4)*('Match Log'!$E$4:$E$810="Win")*COUNTIFS('Match Log'!$A$4:$A$810,'Match Log'!$A$4:$A$810,'Match Log'!$D$4:$D$810,$A8,'Match Log'!$E$4:$E$810,"Loss")))=0,"",TEXT(SUMPRODUCT(('Match Log'!$D$4:$D$810=$A8)*('Match Log'!$E$4:$E$810="Win")*COUNTIFS('Match Log'!$A$4:$A$810,'Match Log'!$A$4:$A$810,'Match Log'!$D$4:$D$810,C$4,'Match Log'!$E$4:$E$810,"Loss"))/(SUMPRODUCT(('Match Log'!$D$4:$D$810=$A8)*('Match Log'!$E$4:$E$810="Win")*COUNTIFS('Match Log'!$A$4:$A$810,'Match Log'!$A$4:$A$810,'Match Log'!$D$4:$D$810,C$4,'Match Log'!$E$4:$E$810,"Loss"))+SUMPRODUCT(('Match Log'!$D$4:$D$810=C$4)*('Match Log'!$E$4:$E$810="Win")*COUNTIFS('Match Log'!$A$4:$A$810,'Match Log'!$A$4:$A$810,'Match Log'!$D$4:$D$810,$A8,'Match Log'!$E$4:$E$810,"Loss"))),"0%")&amp;" of "&amp;(SUMPRODUCT(('Match Log'!$D$4:$D$810=$A8)*('Match Log'!$E$4:$E$810="Win")*COUNTIFS('Match Log'!$A$4:$A$810,'Match Log'!$A$4:$A$810,'Match Log'!$D$4:$D$810,C$4,'Match Log'!$E$4:$E$810,"Loss"))+SUMPRODUCT(('Match Log'!$D$4:$D$810=C$4)*('Match Log'!$E$4:$E$810="Win")*COUNTIFS('Match Log'!$A$4:$A$810,'Match Log'!$A$4:$A$810,'Match Log'!$D$4:$D$810,$A8,'Match Log'!$E$4:$E$810,"Loss")))))</f>
        <v>100% of 1</v>
      </c>
      <c r="D8" s="50" t="str">
        <f>IF($A8=D$4,"—",IF((SUMPRODUCT(('Match Log'!$D$4:$D$810=$A8)*('Match Log'!$E$4:$E$810="Win")*COUNTIFS('Match Log'!$A$4:$A$810,'Match Log'!$A$4:$A$810,'Match Log'!$D$4:$D$810,D$4,'Match Log'!$E$4:$E$810,"Loss"))+SUMPRODUCT(('Match Log'!$D$4:$D$810=D$4)*('Match Log'!$E$4:$E$810="Win")*COUNTIFS('Match Log'!$A$4:$A$810,'Match Log'!$A$4:$A$810,'Match Log'!$D$4:$D$810,$A8,'Match Log'!$E$4:$E$810,"Loss")))=0,"",TEXT(SUMPRODUCT(('Match Log'!$D$4:$D$810=$A8)*('Match Log'!$E$4:$E$810="Win")*COUNTIFS('Match Log'!$A$4:$A$810,'Match Log'!$A$4:$A$810,'Match Log'!$D$4:$D$810,D$4,'Match Log'!$E$4:$E$810,"Loss"))/(SUMPRODUCT(('Match Log'!$D$4:$D$810=$A8)*('Match Log'!$E$4:$E$810="Win")*COUNTIFS('Match Log'!$A$4:$A$810,'Match Log'!$A$4:$A$810,'Match Log'!$D$4:$D$810,D$4,'Match Log'!$E$4:$E$810,"Loss"))+SUMPRODUCT(('Match Log'!$D$4:$D$810=D$4)*('Match Log'!$E$4:$E$810="Win")*COUNTIFS('Match Log'!$A$4:$A$810,'Match Log'!$A$4:$A$810,'Match Log'!$D$4:$D$810,$A8,'Match Log'!$E$4:$E$810,"Loss"))),"0%")&amp;" of "&amp;(SUMPRODUCT(('Match Log'!$D$4:$D$810=$A8)*('Match Log'!$E$4:$E$810="Win")*COUNTIFS('Match Log'!$A$4:$A$810,'Match Log'!$A$4:$A$810,'Match Log'!$D$4:$D$810,D$4,'Match Log'!$E$4:$E$810,"Loss"))+SUMPRODUCT(('Match Log'!$D$4:$D$810=D$4)*('Match Log'!$E$4:$E$810="Win")*COUNTIFS('Match Log'!$A$4:$A$810,'Match Log'!$A$4:$A$810,'Match Log'!$D$4:$D$810,$A8,'Match Log'!$E$4:$E$810,"Loss")))))</f>
        <v/>
      </c>
      <c r="E8" s="50" t="str">
        <f>IF($A8=E$4,"—",IF((SUMPRODUCT(('Match Log'!$D$4:$D$810=$A8)*('Match Log'!$E$4:$E$810="Win")*COUNTIFS('Match Log'!$A$4:$A$810,'Match Log'!$A$4:$A$810,'Match Log'!$D$4:$D$810,E$4,'Match Log'!$E$4:$E$810,"Loss"))+SUMPRODUCT(('Match Log'!$D$4:$D$810=E$4)*('Match Log'!$E$4:$E$810="Win")*COUNTIFS('Match Log'!$A$4:$A$810,'Match Log'!$A$4:$A$810,'Match Log'!$D$4:$D$810,$A8,'Match Log'!$E$4:$E$810,"Loss")))=0,"",TEXT(SUMPRODUCT(('Match Log'!$D$4:$D$810=$A8)*('Match Log'!$E$4:$E$810="Win")*COUNTIFS('Match Log'!$A$4:$A$810,'Match Log'!$A$4:$A$810,'Match Log'!$D$4:$D$810,E$4,'Match Log'!$E$4:$E$810,"Loss"))/(SUMPRODUCT(('Match Log'!$D$4:$D$810=$A8)*('Match Log'!$E$4:$E$810="Win")*COUNTIFS('Match Log'!$A$4:$A$810,'Match Log'!$A$4:$A$810,'Match Log'!$D$4:$D$810,E$4,'Match Log'!$E$4:$E$810,"Loss"))+SUMPRODUCT(('Match Log'!$D$4:$D$810=E$4)*('Match Log'!$E$4:$E$810="Win")*COUNTIFS('Match Log'!$A$4:$A$810,'Match Log'!$A$4:$A$810,'Match Log'!$D$4:$D$810,$A8,'Match Log'!$E$4:$E$810,"Loss"))),"0%")&amp;" of "&amp;(SUMPRODUCT(('Match Log'!$D$4:$D$810=$A8)*('Match Log'!$E$4:$E$810="Win")*COUNTIFS('Match Log'!$A$4:$A$810,'Match Log'!$A$4:$A$810,'Match Log'!$D$4:$D$810,E$4,'Match Log'!$E$4:$E$810,"Loss"))+SUMPRODUCT(('Match Log'!$D$4:$D$810=E$4)*('Match Log'!$E$4:$E$810="Win")*COUNTIFS('Match Log'!$A$4:$A$810,'Match Log'!$A$4:$A$810,'Match Log'!$D$4:$D$810,$A8,'Match Log'!$E$4:$E$810,"Loss")))))</f>
        <v>—</v>
      </c>
      <c r="F8" s="50" t="str">
        <f>IF($A8=F$4,"—",IF((SUMPRODUCT(('Match Log'!$D$4:$D$810=$A8)*('Match Log'!$E$4:$E$810="Win")*COUNTIFS('Match Log'!$A$4:$A$810,'Match Log'!$A$4:$A$810,'Match Log'!$D$4:$D$810,F$4,'Match Log'!$E$4:$E$810,"Loss"))+SUMPRODUCT(('Match Log'!$D$4:$D$810=F$4)*('Match Log'!$E$4:$E$810="Win")*COUNTIFS('Match Log'!$A$4:$A$810,'Match Log'!$A$4:$A$810,'Match Log'!$D$4:$D$810,$A8,'Match Log'!$E$4:$E$810,"Loss")))=0,"",TEXT(SUMPRODUCT(('Match Log'!$D$4:$D$810=$A8)*('Match Log'!$E$4:$E$810="Win")*COUNTIFS('Match Log'!$A$4:$A$810,'Match Log'!$A$4:$A$810,'Match Log'!$D$4:$D$810,F$4,'Match Log'!$E$4:$E$810,"Loss"))/(SUMPRODUCT(('Match Log'!$D$4:$D$810=$A8)*('Match Log'!$E$4:$E$810="Win")*COUNTIFS('Match Log'!$A$4:$A$810,'Match Log'!$A$4:$A$810,'Match Log'!$D$4:$D$810,F$4,'Match Log'!$E$4:$E$810,"Loss"))+SUMPRODUCT(('Match Log'!$D$4:$D$810=F$4)*('Match Log'!$E$4:$E$810="Win")*COUNTIFS('Match Log'!$A$4:$A$810,'Match Log'!$A$4:$A$810,'Match Log'!$D$4:$D$810,$A8,'Match Log'!$E$4:$E$810,"Loss"))),"0%")&amp;" of "&amp;(SUMPRODUCT(('Match Log'!$D$4:$D$810=$A8)*('Match Log'!$E$4:$E$810="Win")*COUNTIFS('Match Log'!$A$4:$A$810,'Match Log'!$A$4:$A$810,'Match Log'!$D$4:$D$810,F$4,'Match Log'!$E$4:$E$810,"Loss"))+SUMPRODUCT(('Match Log'!$D$4:$D$810=F$4)*('Match Log'!$E$4:$E$810="Win")*COUNTIFS('Match Log'!$A$4:$A$810,'Match Log'!$A$4:$A$810,'Match Log'!$D$4:$D$810,$A8,'Match Log'!$E$4:$E$810,"Loss")))))</f>
        <v>25% of 4</v>
      </c>
      <c r="G8" s="50" t="str">
        <f>IF($A8=G$4,"—",IF((SUMPRODUCT(('Match Log'!$D$4:$D$810=$A8)*('Match Log'!$E$4:$E$810="Win")*COUNTIFS('Match Log'!$A$4:$A$810,'Match Log'!$A$4:$A$810,'Match Log'!$D$4:$D$810,G$4,'Match Log'!$E$4:$E$810,"Loss"))+SUMPRODUCT(('Match Log'!$D$4:$D$810=G$4)*('Match Log'!$E$4:$E$810="Win")*COUNTIFS('Match Log'!$A$4:$A$810,'Match Log'!$A$4:$A$810,'Match Log'!$D$4:$D$810,$A8,'Match Log'!$E$4:$E$810,"Loss")))=0,"",TEXT(SUMPRODUCT(('Match Log'!$D$4:$D$810=$A8)*('Match Log'!$E$4:$E$810="Win")*COUNTIFS('Match Log'!$A$4:$A$810,'Match Log'!$A$4:$A$810,'Match Log'!$D$4:$D$810,G$4,'Match Log'!$E$4:$E$810,"Loss"))/(SUMPRODUCT(('Match Log'!$D$4:$D$810=$A8)*('Match Log'!$E$4:$E$810="Win")*COUNTIFS('Match Log'!$A$4:$A$810,'Match Log'!$A$4:$A$810,'Match Log'!$D$4:$D$810,G$4,'Match Log'!$E$4:$E$810,"Loss"))+SUMPRODUCT(('Match Log'!$D$4:$D$810=G$4)*('Match Log'!$E$4:$E$810="Win")*COUNTIFS('Match Log'!$A$4:$A$810,'Match Log'!$A$4:$A$810,'Match Log'!$D$4:$D$810,$A8,'Match Log'!$E$4:$E$810,"Loss"))),"0%")&amp;" of "&amp;(SUMPRODUCT(('Match Log'!$D$4:$D$810=$A8)*('Match Log'!$E$4:$E$810="Win")*COUNTIFS('Match Log'!$A$4:$A$810,'Match Log'!$A$4:$A$810,'Match Log'!$D$4:$D$810,G$4,'Match Log'!$E$4:$E$810,"Loss"))+SUMPRODUCT(('Match Log'!$D$4:$D$810=G$4)*('Match Log'!$E$4:$E$810="Win")*COUNTIFS('Match Log'!$A$4:$A$810,'Match Log'!$A$4:$A$810,'Match Log'!$D$4:$D$810,$A8,'Match Log'!$E$4:$E$810,"Loss")))))</f>
        <v>100% of 1</v>
      </c>
      <c r="H8" s="50" t="str">
        <f>IF($A8=H$4,"—",IF((SUMPRODUCT(('Match Log'!$D$4:$D$810=$A8)*('Match Log'!$E$4:$E$810="Win")*COUNTIFS('Match Log'!$A$4:$A$810,'Match Log'!$A$4:$A$810,'Match Log'!$D$4:$D$810,H$4,'Match Log'!$E$4:$E$810,"Loss"))+SUMPRODUCT(('Match Log'!$D$4:$D$810=H$4)*('Match Log'!$E$4:$E$810="Win")*COUNTIFS('Match Log'!$A$4:$A$810,'Match Log'!$A$4:$A$810,'Match Log'!$D$4:$D$810,$A8,'Match Log'!$E$4:$E$810,"Loss")))=0,"",TEXT(SUMPRODUCT(('Match Log'!$D$4:$D$810=$A8)*('Match Log'!$E$4:$E$810="Win")*COUNTIFS('Match Log'!$A$4:$A$810,'Match Log'!$A$4:$A$810,'Match Log'!$D$4:$D$810,H$4,'Match Log'!$E$4:$E$810,"Loss"))/(SUMPRODUCT(('Match Log'!$D$4:$D$810=$A8)*('Match Log'!$E$4:$E$810="Win")*COUNTIFS('Match Log'!$A$4:$A$810,'Match Log'!$A$4:$A$810,'Match Log'!$D$4:$D$810,H$4,'Match Log'!$E$4:$E$810,"Loss"))+SUMPRODUCT(('Match Log'!$D$4:$D$810=H$4)*('Match Log'!$E$4:$E$810="Win")*COUNTIFS('Match Log'!$A$4:$A$810,'Match Log'!$A$4:$A$810,'Match Log'!$D$4:$D$810,$A8,'Match Log'!$E$4:$E$810,"Loss"))),"0%")&amp;" of "&amp;(SUMPRODUCT(('Match Log'!$D$4:$D$810=$A8)*('Match Log'!$E$4:$E$810="Win")*COUNTIFS('Match Log'!$A$4:$A$810,'Match Log'!$A$4:$A$810,'Match Log'!$D$4:$D$810,H$4,'Match Log'!$E$4:$E$810,"Loss"))+SUMPRODUCT(('Match Log'!$D$4:$D$810=H$4)*('Match Log'!$E$4:$E$810="Win")*COUNTIFS('Match Log'!$A$4:$A$810,'Match Log'!$A$4:$A$810,'Match Log'!$D$4:$D$810,$A8,'Match Log'!$E$4:$E$810,"Loss")))))</f>
        <v>0% of 1</v>
      </c>
      <c r="I8" s="50" t="str">
        <f>IF($A8=I$4,"—",IF((SUMPRODUCT(('Match Log'!$D$4:$D$810=$A8)*('Match Log'!$E$4:$E$810="Win")*COUNTIFS('Match Log'!$A$4:$A$810,'Match Log'!$A$4:$A$810,'Match Log'!$D$4:$D$810,I$4,'Match Log'!$E$4:$E$810,"Loss"))+SUMPRODUCT(('Match Log'!$D$4:$D$810=I$4)*('Match Log'!$E$4:$E$810="Win")*COUNTIFS('Match Log'!$A$4:$A$810,'Match Log'!$A$4:$A$810,'Match Log'!$D$4:$D$810,$A8,'Match Log'!$E$4:$E$810,"Loss")))=0,"",TEXT(SUMPRODUCT(('Match Log'!$D$4:$D$810=$A8)*('Match Log'!$E$4:$E$810="Win")*COUNTIFS('Match Log'!$A$4:$A$810,'Match Log'!$A$4:$A$810,'Match Log'!$D$4:$D$810,I$4,'Match Log'!$E$4:$E$810,"Loss"))/(SUMPRODUCT(('Match Log'!$D$4:$D$810=$A8)*('Match Log'!$E$4:$E$810="Win")*COUNTIFS('Match Log'!$A$4:$A$810,'Match Log'!$A$4:$A$810,'Match Log'!$D$4:$D$810,I$4,'Match Log'!$E$4:$E$810,"Loss"))+SUMPRODUCT(('Match Log'!$D$4:$D$810=I$4)*('Match Log'!$E$4:$E$810="Win")*COUNTIFS('Match Log'!$A$4:$A$810,'Match Log'!$A$4:$A$810,'Match Log'!$D$4:$D$810,$A8,'Match Log'!$E$4:$E$810,"Loss"))),"0%")&amp;" of "&amp;(SUMPRODUCT(('Match Log'!$D$4:$D$810=$A8)*('Match Log'!$E$4:$E$810="Win")*COUNTIFS('Match Log'!$A$4:$A$810,'Match Log'!$A$4:$A$810,'Match Log'!$D$4:$D$810,I$4,'Match Log'!$E$4:$E$810,"Loss"))+SUMPRODUCT(('Match Log'!$D$4:$D$810=I$4)*('Match Log'!$E$4:$E$810="Win")*COUNTIFS('Match Log'!$A$4:$A$810,'Match Log'!$A$4:$A$810,'Match Log'!$D$4:$D$810,$A8,'Match Log'!$E$4:$E$810,"Loss")))))</f>
        <v>0% of 3</v>
      </c>
      <c r="J8" s="50" t="str">
        <f>IF($A8=J$4,"—",IF((SUMPRODUCT(('Match Log'!$D$4:$D$810=$A8)*('Match Log'!$E$4:$E$810="Win")*COUNTIFS('Match Log'!$A$4:$A$810,'Match Log'!$A$4:$A$810,'Match Log'!$D$4:$D$810,J$4,'Match Log'!$E$4:$E$810,"Loss"))+SUMPRODUCT(('Match Log'!$D$4:$D$810=J$4)*('Match Log'!$E$4:$E$810="Win")*COUNTIFS('Match Log'!$A$4:$A$810,'Match Log'!$A$4:$A$810,'Match Log'!$D$4:$D$810,$A8,'Match Log'!$E$4:$E$810,"Loss")))=0,"",TEXT(SUMPRODUCT(('Match Log'!$D$4:$D$810=$A8)*('Match Log'!$E$4:$E$810="Win")*COUNTIFS('Match Log'!$A$4:$A$810,'Match Log'!$A$4:$A$810,'Match Log'!$D$4:$D$810,J$4,'Match Log'!$E$4:$E$810,"Loss"))/(SUMPRODUCT(('Match Log'!$D$4:$D$810=$A8)*('Match Log'!$E$4:$E$810="Win")*COUNTIFS('Match Log'!$A$4:$A$810,'Match Log'!$A$4:$A$810,'Match Log'!$D$4:$D$810,J$4,'Match Log'!$E$4:$E$810,"Loss"))+SUMPRODUCT(('Match Log'!$D$4:$D$810=J$4)*('Match Log'!$E$4:$E$810="Win")*COUNTIFS('Match Log'!$A$4:$A$810,'Match Log'!$A$4:$A$810,'Match Log'!$D$4:$D$810,$A8,'Match Log'!$E$4:$E$810,"Loss"))),"0%")&amp;" of "&amp;(SUMPRODUCT(('Match Log'!$D$4:$D$810=$A8)*('Match Log'!$E$4:$E$810="Win")*COUNTIFS('Match Log'!$A$4:$A$810,'Match Log'!$A$4:$A$810,'Match Log'!$D$4:$D$810,J$4,'Match Log'!$E$4:$E$810,"Loss"))+SUMPRODUCT(('Match Log'!$D$4:$D$810=J$4)*('Match Log'!$E$4:$E$810="Win")*COUNTIFS('Match Log'!$A$4:$A$810,'Match Log'!$A$4:$A$810,'Match Log'!$D$4:$D$810,$A8,'Match Log'!$E$4:$E$810,"Loss")))))</f>
        <v>0% of 3</v>
      </c>
      <c r="K8" s="50" t="str">
        <f>IF($A8=K$4,"—",IF((SUMPRODUCT(('Match Log'!$D$4:$D$810=$A8)*('Match Log'!$E$4:$E$810="Win")*COUNTIFS('Match Log'!$A$4:$A$810,'Match Log'!$A$4:$A$810,'Match Log'!$D$4:$D$810,K$4,'Match Log'!$E$4:$E$810,"Loss"))+SUMPRODUCT(('Match Log'!$D$4:$D$810=K$4)*('Match Log'!$E$4:$E$810="Win")*COUNTIFS('Match Log'!$A$4:$A$810,'Match Log'!$A$4:$A$810,'Match Log'!$D$4:$D$810,$A8,'Match Log'!$E$4:$E$810,"Loss")))=0,"",TEXT(SUMPRODUCT(('Match Log'!$D$4:$D$810=$A8)*('Match Log'!$E$4:$E$810="Win")*COUNTIFS('Match Log'!$A$4:$A$810,'Match Log'!$A$4:$A$810,'Match Log'!$D$4:$D$810,K$4,'Match Log'!$E$4:$E$810,"Loss"))/(SUMPRODUCT(('Match Log'!$D$4:$D$810=$A8)*('Match Log'!$E$4:$E$810="Win")*COUNTIFS('Match Log'!$A$4:$A$810,'Match Log'!$A$4:$A$810,'Match Log'!$D$4:$D$810,K$4,'Match Log'!$E$4:$E$810,"Loss"))+SUMPRODUCT(('Match Log'!$D$4:$D$810=K$4)*('Match Log'!$E$4:$E$810="Win")*COUNTIFS('Match Log'!$A$4:$A$810,'Match Log'!$A$4:$A$810,'Match Log'!$D$4:$D$810,$A8,'Match Log'!$E$4:$E$810,"Loss"))),"0%")&amp;" of "&amp;(SUMPRODUCT(('Match Log'!$D$4:$D$810=$A8)*('Match Log'!$E$4:$E$810="Win")*COUNTIFS('Match Log'!$A$4:$A$810,'Match Log'!$A$4:$A$810,'Match Log'!$D$4:$D$810,K$4,'Match Log'!$E$4:$E$810,"Loss"))+SUMPRODUCT(('Match Log'!$D$4:$D$810=K$4)*('Match Log'!$E$4:$E$810="Win")*COUNTIFS('Match Log'!$A$4:$A$810,'Match Log'!$A$4:$A$810,'Match Log'!$D$4:$D$810,$A8,'Match Log'!$E$4:$E$810,"Loss")))))</f>
        <v>100% of 1</v>
      </c>
      <c r="L8" s="50" t="str">
        <f>IF($A8=L$4,"—",IF((SUMPRODUCT(('Match Log'!$D$4:$D$810=$A8)*('Match Log'!$E$4:$E$810="Win")*COUNTIFS('Match Log'!$A$4:$A$810,'Match Log'!$A$4:$A$810,'Match Log'!$D$4:$D$810,L$4,'Match Log'!$E$4:$E$810,"Loss"))+SUMPRODUCT(('Match Log'!$D$4:$D$810=L$4)*('Match Log'!$E$4:$E$810="Win")*COUNTIFS('Match Log'!$A$4:$A$810,'Match Log'!$A$4:$A$810,'Match Log'!$D$4:$D$810,$A8,'Match Log'!$E$4:$E$810,"Loss")))=0,"",TEXT(SUMPRODUCT(('Match Log'!$D$4:$D$810=$A8)*('Match Log'!$E$4:$E$810="Win")*COUNTIFS('Match Log'!$A$4:$A$810,'Match Log'!$A$4:$A$810,'Match Log'!$D$4:$D$810,L$4,'Match Log'!$E$4:$E$810,"Loss"))/(SUMPRODUCT(('Match Log'!$D$4:$D$810=$A8)*('Match Log'!$E$4:$E$810="Win")*COUNTIFS('Match Log'!$A$4:$A$810,'Match Log'!$A$4:$A$810,'Match Log'!$D$4:$D$810,L$4,'Match Log'!$E$4:$E$810,"Loss"))+SUMPRODUCT(('Match Log'!$D$4:$D$810=L$4)*('Match Log'!$E$4:$E$810="Win")*COUNTIFS('Match Log'!$A$4:$A$810,'Match Log'!$A$4:$A$810,'Match Log'!$D$4:$D$810,$A8,'Match Log'!$E$4:$E$810,"Loss"))),"0%")&amp;" of "&amp;(SUMPRODUCT(('Match Log'!$D$4:$D$810=$A8)*('Match Log'!$E$4:$E$810="Win")*COUNTIFS('Match Log'!$A$4:$A$810,'Match Log'!$A$4:$A$810,'Match Log'!$D$4:$D$810,L$4,'Match Log'!$E$4:$E$810,"Loss"))+SUMPRODUCT(('Match Log'!$D$4:$D$810=L$4)*('Match Log'!$E$4:$E$810="Win")*COUNTIFS('Match Log'!$A$4:$A$810,'Match Log'!$A$4:$A$810,'Match Log'!$D$4:$D$810,$A8,'Match Log'!$E$4:$E$810,"Loss")))))</f>
        <v>0% of 1</v>
      </c>
      <c r="M8" s="50" t="str">
        <f>IF($A8=M$4,"—",IF((SUMPRODUCT(('Match Log'!$D$4:$D$810=$A8)*('Match Log'!$E$4:$E$810="Win")*COUNTIFS('Match Log'!$A$4:$A$810,'Match Log'!$A$4:$A$810,'Match Log'!$D$4:$D$810,M$4,'Match Log'!$E$4:$E$810,"Loss"))+SUMPRODUCT(('Match Log'!$D$4:$D$810=M$4)*('Match Log'!$E$4:$E$810="Win")*COUNTIFS('Match Log'!$A$4:$A$810,'Match Log'!$A$4:$A$810,'Match Log'!$D$4:$D$810,$A8,'Match Log'!$E$4:$E$810,"Loss")))=0,"",TEXT(SUMPRODUCT(('Match Log'!$D$4:$D$810=$A8)*('Match Log'!$E$4:$E$810="Win")*COUNTIFS('Match Log'!$A$4:$A$810,'Match Log'!$A$4:$A$810,'Match Log'!$D$4:$D$810,M$4,'Match Log'!$E$4:$E$810,"Loss"))/(SUMPRODUCT(('Match Log'!$D$4:$D$810=$A8)*('Match Log'!$E$4:$E$810="Win")*COUNTIFS('Match Log'!$A$4:$A$810,'Match Log'!$A$4:$A$810,'Match Log'!$D$4:$D$810,M$4,'Match Log'!$E$4:$E$810,"Loss"))+SUMPRODUCT(('Match Log'!$D$4:$D$810=M$4)*('Match Log'!$E$4:$E$810="Win")*COUNTIFS('Match Log'!$A$4:$A$810,'Match Log'!$A$4:$A$810,'Match Log'!$D$4:$D$810,$A8,'Match Log'!$E$4:$E$810,"Loss"))),"0%")&amp;" of "&amp;(SUMPRODUCT(('Match Log'!$D$4:$D$810=$A8)*('Match Log'!$E$4:$E$810="Win")*COUNTIFS('Match Log'!$A$4:$A$810,'Match Log'!$A$4:$A$810,'Match Log'!$D$4:$D$810,M$4,'Match Log'!$E$4:$E$810,"Loss"))+SUMPRODUCT(('Match Log'!$D$4:$D$810=M$4)*('Match Log'!$E$4:$E$810="Win")*COUNTIFS('Match Log'!$A$4:$A$810,'Match Log'!$A$4:$A$810,'Match Log'!$D$4:$D$810,$A8,'Match Log'!$E$4:$E$810,"Loss")))))</f>
        <v/>
      </c>
      <c r="N8" s="50" t="str">
        <f>IF($A8=N$4,"—",IF((SUMPRODUCT(('Match Log'!$D$4:$D$810=$A8)*('Match Log'!$E$4:$E$810="Win")*COUNTIFS('Match Log'!$A$4:$A$810,'Match Log'!$A$4:$A$810,'Match Log'!$D$4:$D$810,N$4,'Match Log'!$E$4:$E$810,"Loss"))+SUMPRODUCT(('Match Log'!$D$4:$D$810=N$4)*('Match Log'!$E$4:$E$810="Win")*COUNTIFS('Match Log'!$A$4:$A$810,'Match Log'!$A$4:$A$810,'Match Log'!$D$4:$D$810,$A8,'Match Log'!$E$4:$E$810,"Loss")))=0,"",TEXT(SUMPRODUCT(('Match Log'!$D$4:$D$810=$A8)*('Match Log'!$E$4:$E$810="Win")*COUNTIFS('Match Log'!$A$4:$A$810,'Match Log'!$A$4:$A$810,'Match Log'!$D$4:$D$810,N$4,'Match Log'!$E$4:$E$810,"Loss"))/(SUMPRODUCT(('Match Log'!$D$4:$D$810=$A8)*('Match Log'!$E$4:$E$810="Win")*COUNTIFS('Match Log'!$A$4:$A$810,'Match Log'!$A$4:$A$810,'Match Log'!$D$4:$D$810,N$4,'Match Log'!$E$4:$E$810,"Loss"))+SUMPRODUCT(('Match Log'!$D$4:$D$810=N$4)*('Match Log'!$E$4:$E$810="Win")*COUNTIFS('Match Log'!$A$4:$A$810,'Match Log'!$A$4:$A$810,'Match Log'!$D$4:$D$810,$A8,'Match Log'!$E$4:$E$810,"Loss"))),"0%")&amp;" of "&amp;(SUMPRODUCT(('Match Log'!$D$4:$D$810=$A8)*('Match Log'!$E$4:$E$810="Win")*COUNTIFS('Match Log'!$A$4:$A$810,'Match Log'!$A$4:$A$810,'Match Log'!$D$4:$D$810,N$4,'Match Log'!$E$4:$E$810,"Loss"))+SUMPRODUCT(('Match Log'!$D$4:$D$810=N$4)*('Match Log'!$E$4:$E$810="Win")*COUNTIFS('Match Log'!$A$4:$A$810,'Match Log'!$A$4:$A$810,'Match Log'!$D$4:$D$810,$A8,'Match Log'!$E$4:$E$810,"Loss")))))</f>
        <v/>
      </c>
      <c r="O8" s="50" t="str">
        <f>IF($A8=O$4,"—",IF((SUMPRODUCT(('Match Log'!$D$4:$D$810=$A8)*('Match Log'!$E$4:$E$810="Win")*COUNTIFS('Match Log'!$A$4:$A$810,'Match Log'!$A$4:$A$810,'Match Log'!$D$4:$D$810,O$4,'Match Log'!$E$4:$E$810,"Loss"))+SUMPRODUCT(('Match Log'!$D$4:$D$810=O$4)*('Match Log'!$E$4:$E$810="Win")*COUNTIFS('Match Log'!$A$4:$A$810,'Match Log'!$A$4:$A$810,'Match Log'!$D$4:$D$810,$A8,'Match Log'!$E$4:$E$810,"Loss")))=0,"",TEXT(SUMPRODUCT(('Match Log'!$D$4:$D$810=$A8)*('Match Log'!$E$4:$E$810="Win")*COUNTIFS('Match Log'!$A$4:$A$810,'Match Log'!$A$4:$A$810,'Match Log'!$D$4:$D$810,O$4,'Match Log'!$E$4:$E$810,"Loss"))/(SUMPRODUCT(('Match Log'!$D$4:$D$810=$A8)*('Match Log'!$E$4:$E$810="Win")*COUNTIFS('Match Log'!$A$4:$A$810,'Match Log'!$A$4:$A$810,'Match Log'!$D$4:$D$810,O$4,'Match Log'!$E$4:$E$810,"Loss"))+SUMPRODUCT(('Match Log'!$D$4:$D$810=O$4)*('Match Log'!$E$4:$E$810="Win")*COUNTIFS('Match Log'!$A$4:$A$810,'Match Log'!$A$4:$A$810,'Match Log'!$D$4:$D$810,$A8,'Match Log'!$E$4:$E$810,"Loss"))),"0%")&amp;" of "&amp;(SUMPRODUCT(('Match Log'!$D$4:$D$810=$A8)*('Match Log'!$E$4:$E$810="Win")*COUNTIFS('Match Log'!$A$4:$A$810,'Match Log'!$A$4:$A$810,'Match Log'!$D$4:$D$810,O$4,'Match Log'!$E$4:$E$810,"Loss"))+SUMPRODUCT(('Match Log'!$D$4:$D$810=O$4)*('Match Log'!$E$4:$E$810="Win")*COUNTIFS('Match Log'!$A$4:$A$810,'Match Log'!$A$4:$A$810,'Match Log'!$D$4:$D$810,$A8,'Match Log'!$E$4:$E$810,"Loss")))))</f>
        <v/>
      </c>
    </row>
    <row r="9" spans="1:15" ht="15" customHeight="1" x14ac:dyDescent="0.2">
      <c r="A9" s="45" t="s">
        <v>137</v>
      </c>
      <c r="B9" s="50" t="str">
        <f>IF($A9=B$4,"—",IF((SUMPRODUCT(('Match Log'!$D$4:$D$810=$A9)*('Match Log'!$E$4:$E$810="Win")*COUNTIFS('Match Log'!$A$4:$A$810,'Match Log'!$A$4:$A$810,'Match Log'!$D$4:$D$810,B$4,'Match Log'!$E$4:$E$810,"Loss"))+SUMPRODUCT(('Match Log'!$D$4:$D$810=B$4)*('Match Log'!$E$4:$E$810="Win")*COUNTIFS('Match Log'!$A$4:$A$810,'Match Log'!$A$4:$A$810,'Match Log'!$D$4:$D$810,$A9,'Match Log'!$E$4:$E$810,"Loss")))=0,"",TEXT(SUMPRODUCT(('Match Log'!$D$4:$D$810=$A9)*('Match Log'!$E$4:$E$810="Win")*COUNTIFS('Match Log'!$A$4:$A$810,'Match Log'!$A$4:$A$810,'Match Log'!$D$4:$D$810,B$4,'Match Log'!$E$4:$E$810,"Loss"))/(SUMPRODUCT(('Match Log'!$D$4:$D$810=$A9)*('Match Log'!$E$4:$E$810="Win")*COUNTIFS('Match Log'!$A$4:$A$810,'Match Log'!$A$4:$A$810,'Match Log'!$D$4:$D$810,B$4,'Match Log'!$E$4:$E$810,"Loss"))+SUMPRODUCT(('Match Log'!$D$4:$D$810=B$4)*('Match Log'!$E$4:$E$810="Win")*COUNTIFS('Match Log'!$A$4:$A$810,'Match Log'!$A$4:$A$810,'Match Log'!$D$4:$D$810,$A9,'Match Log'!$E$4:$E$810,"Loss"))),"0%")&amp;" of "&amp;(SUMPRODUCT(('Match Log'!$D$4:$D$810=$A9)*('Match Log'!$E$4:$E$810="Win")*COUNTIFS('Match Log'!$A$4:$A$810,'Match Log'!$A$4:$A$810,'Match Log'!$D$4:$D$810,B$4,'Match Log'!$E$4:$E$810,"Loss"))+SUMPRODUCT(('Match Log'!$D$4:$D$810=B$4)*('Match Log'!$E$4:$E$810="Win")*COUNTIFS('Match Log'!$A$4:$A$810,'Match Log'!$A$4:$A$810,'Match Log'!$D$4:$D$810,$A9,'Match Log'!$E$4:$E$810,"Loss")))))</f>
        <v>0% of 2</v>
      </c>
      <c r="C9" s="50" t="str">
        <f>IF($A9=C$4,"—",IF((SUMPRODUCT(('Match Log'!$D$4:$D$810=$A9)*('Match Log'!$E$4:$E$810="Win")*COUNTIFS('Match Log'!$A$4:$A$810,'Match Log'!$A$4:$A$810,'Match Log'!$D$4:$D$810,C$4,'Match Log'!$E$4:$E$810,"Loss"))+SUMPRODUCT(('Match Log'!$D$4:$D$810=C$4)*('Match Log'!$E$4:$E$810="Win")*COUNTIFS('Match Log'!$A$4:$A$810,'Match Log'!$A$4:$A$810,'Match Log'!$D$4:$D$810,$A9,'Match Log'!$E$4:$E$810,"Loss")))=0,"",TEXT(SUMPRODUCT(('Match Log'!$D$4:$D$810=$A9)*('Match Log'!$E$4:$E$810="Win")*COUNTIFS('Match Log'!$A$4:$A$810,'Match Log'!$A$4:$A$810,'Match Log'!$D$4:$D$810,C$4,'Match Log'!$E$4:$E$810,"Loss"))/(SUMPRODUCT(('Match Log'!$D$4:$D$810=$A9)*('Match Log'!$E$4:$E$810="Win")*COUNTIFS('Match Log'!$A$4:$A$810,'Match Log'!$A$4:$A$810,'Match Log'!$D$4:$D$810,C$4,'Match Log'!$E$4:$E$810,"Loss"))+SUMPRODUCT(('Match Log'!$D$4:$D$810=C$4)*('Match Log'!$E$4:$E$810="Win")*COUNTIFS('Match Log'!$A$4:$A$810,'Match Log'!$A$4:$A$810,'Match Log'!$D$4:$D$810,$A9,'Match Log'!$E$4:$E$810,"Loss"))),"0%")&amp;" of "&amp;(SUMPRODUCT(('Match Log'!$D$4:$D$810=$A9)*('Match Log'!$E$4:$E$810="Win")*COUNTIFS('Match Log'!$A$4:$A$810,'Match Log'!$A$4:$A$810,'Match Log'!$D$4:$D$810,C$4,'Match Log'!$E$4:$E$810,"Loss"))+SUMPRODUCT(('Match Log'!$D$4:$D$810=C$4)*('Match Log'!$E$4:$E$810="Win")*COUNTIFS('Match Log'!$A$4:$A$810,'Match Log'!$A$4:$A$810,'Match Log'!$D$4:$D$810,$A9,'Match Log'!$E$4:$E$810,"Loss")))))</f>
        <v>100% of 1</v>
      </c>
      <c r="D9" s="50" t="str">
        <f>IF($A9=D$4,"—",IF((SUMPRODUCT(('Match Log'!$D$4:$D$810=$A9)*('Match Log'!$E$4:$E$810="Win")*COUNTIFS('Match Log'!$A$4:$A$810,'Match Log'!$A$4:$A$810,'Match Log'!$D$4:$D$810,D$4,'Match Log'!$E$4:$E$810,"Loss"))+SUMPRODUCT(('Match Log'!$D$4:$D$810=D$4)*('Match Log'!$E$4:$E$810="Win")*COUNTIFS('Match Log'!$A$4:$A$810,'Match Log'!$A$4:$A$810,'Match Log'!$D$4:$D$810,$A9,'Match Log'!$E$4:$E$810,"Loss")))=0,"",TEXT(SUMPRODUCT(('Match Log'!$D$4:$D$810=$A9)*('Match Log'!$E$4:$E$810="Win")*COUNTIFS('Match Log'!$A$4:$A$810,'Match Log'!$A$4:$A$810,'Match Log'!$D$4:$D$810,D$4,'Match Log'!$E$4:$E$810,"Loss"))/(SUMPRODUCT(('Match Log'!$D$4:$D$810=$A9)*('Match Log'!$E$4:$E$810="Win")*COUNTIFS('Match Log'!$A$4:$A$810,'Match Log'!$A$4:$A$810,'Match Log'!$D$4:$D$810,D$4,'Match Log'!$E$4:$E$810,"Loss"))+SUMPRODUCT(('Match Log'!$D$4:$D$810=D$4)*('Match Log'!$E$4:$E$810="Win")*COUNTIFS('Match Log'!$A$4:$A$810,'Match Log'!$A$4:$A$810,'Match Log'!$D$4:$D$810,$A9,'Match Log'!$E$4:$E$810,"Loss"))),"0%")&amp;" of "&amp;(SUMPRODUCT(('Match Log'!$D$4:$D$810=$A9)*('Match Log'!$E$4:$E$810="Win")*COUNTIFS('Match Log'!$A$4:$A$810,'Match Log'!$A$4:$A$810,'Match Log'!$D$4:$D$810,D$4,'Match Log'!$E$4:$E$810,"Loss"))+SUMPRODUCT(('Match Log'!$D$4:$D$810=D$4)*('Match Log'!$E$4:$E$810="Win")*COUNTIFS('Match Log'!$A$4:$A$810,'Match Log'!$A$4:$A$810,'Match Log'!$D$4:$D$810,$A9,'Match Log'!$E$4:$E$810,"Loss")))))</f>
        <v>100% of 1</v>
      </c>
      <c r="E9" s="50" t="str">
        <f>IF($A9=E$4,"—",IF((SUMPRODUCT(('Match Log'!$D$4:$D$810=$A9)*('Match Log'!$E$4:$E$810="Win")*COUNTIFS('Match Log'!$A$4:$A$810,'Match Log'!$A$4:$A$810,'Match Log'!$D$4:$D$810,E$4,'Match Log'!$E$4:$E$810,"Loss"))+SUMPRODUCT(('Match Log'!$D$4:$D$810=E$4)*('Match Log'!$E$4:$E$810="Win")*COUNTIFS('Match Log'!$A$4:$A$810,'Match Log'!$A$4:$A$810,'Match Log'!$D$4:$D$810,$A9,'Match Log'!$E$4:$E$810,"Loss")))=0,"",TEXT(SUMPRODUCT(('Match Log'!$D$4:$D$810=$A9)*('Match Log'!$E$4:$E$810="Win")*COUNTIFS('Match Log'!$A$4:$A$810,'Match Log'!$A$4:$A$810,'Match Log'!$D$4:$D$810,E$4,'Match Log'!$E$4:$E$810,"Loss"))/(SUMPRODUCT(('Match Log'!$D$4:$D$810=$A9)*('Match Log'!$E$4:$E$810="Win")*COUNTIFS('Match Log'!$A$4:$A$810,'Match Log'!$A$4:$A$810,'Match Log'!$D$4:$D$810,E$4,'Match Log'!$E$4:$E$810,"Loss"))+SUMPRODUCT(('Match Log'!$D$4:$D$810=E$4)*('Match Log'!$E$4:$E$810="Win")*COUNTIFS('Match Log'!$A$4:$A$810,'Match Log'!$A$4:$A$810,'Match Log'!$D$4:$D$810,$A9,'Match Log'!$E$4:$E$810,"Loss"))),"0%")&amp;" of "&amp;(SUMPRODUCT(('Match Log'!$D$4:$D$810=$A9)*('Match Log'!$E$4:$E$810="Win")*COUNTIFS('Match Log'!$A$4:$A$810,'Match Log'!$A$4:$A$810,'Match Log'!$D$4:$D$810,E$4,'Match Log'!$E$4:$E$810,"Loss"))+SUMPRODUCT(('Match Log'!$D$4:$D$810=E$4)*('Match Log'!$E$4:$E$810="Win")*COUNTIFS('Match Log'!$A$4:$A$810,'Match Log'!$A$4:$A$810,'Match Log'!$D$4:$D$810,$A9,'Match Log'!$E$4:$E$810,"Loss")))))</f>
        <v>75% of 4</v>
      </c>
      <c r="F9" s="50" t="str">
        <f>IF($A9=F$4,"—",IF((SUMPRODUCT(('Match Log'!$D$4:$D$810=$A9)*('Match Log'!$E$4:$E$810="Win")*COUNTIFS('Match Log'!$A$4:$A$810,'Match Log'!$A$4:$A$810,'Match Log'!$D$4:$D$810,F$4,'Match Log'!$E$4:$E$810,"Loss"))+SUMPRODUCT(('Match Log'!$D$4:$D$810=F$4)*('Match Log'!$E$4:$E$810="Win")*COUNTIFS('Match Log'!$A$4:$A$810,'Match Log'!$A$4:$A$810,'Match Log'!$D$4:$D$810,$A9,'Match Log'!$E$4:$E$810,"Loss")))=0,"",TEXT(SUMPRODUCT(('Match Log'!$D$4:$D$810=$A9)*('Match Log'!$E$4:$E$810="Win")*COUNTIFS('Match Log'!$A$4:$A$810,'Match Log'!$A$4:$A$810,'Match Log'!$D$4:$D$810,F$4,'Match Log'!$E$4:$E$810,"Loss"))/(SUMPRODUCT(('Match Log'!$D$4:$D$810=$A9)*('Match Log'!$E$4:$E$810="Win")*COUNTIFS('Match Log'!$A$4:$A$810,'Match Log'!$A$4:$A$810,'Match Log'!$D$4:$D$810,F$4,'Match Log'!$E$4:$E$810,"Loss"))+SUMPRODUCT(('Match Log'!$D$4:$D$810=F$4)*('Match Log'!$E$4:$E$810="Win")*COUNTIFS('Match Log'!$A$4:$A$810,'Match Log'!$A$4:$A$810,'Match Log'!$D$4:$D$810,$A9,'Match Log'!$E$4:$E$810,"Loss"))),"0%")&amp;" of "&amp;(SUMPRODUCT(('Match Log'!$D$4:$D$810=$A9)*('Match Log'!$E$4:$E$810="Win")*COUNTIFS('Match Log'!$A$4:$A$810,'Match Log'!$A$4:$A$810,'Match Log'!$D$4:$D$810,F$4,'Match Log'!$E$4:$E$810,"Loss"))+SUMPRODUCT(('Match Log'!$D$4:$D$810=F$4)*('Match Log'!$E$4:$E$810="Win")*COUNTIFS('Match Log'!$A$4:$A$810,'Match Log'!$A$4:$A$810,'Match Log'!$D$4:$D$810,$A9,'Match Log'!$E$4:$E$810,"Loss")))))</f>
        <v>—</v>
      </c>
      <c r="G9" s="50" t="str">
        <f>IF($A9=G$4,"—",IF((SUMPRODUCT(('Match Log'!$D$4:$D$810=$A9)*('Match Log'!$E$4:$E$810="Win")*COUNTIFS('Match Log'!$A$4:$A$810,'Match Log'!$A$4:$A$810,'Match Log'!$D$4:$D$810,G$4,'Match Log'!$E$4:$E$810,"Loss"))+SUMPRODUCT(('Match Log'!$D$4:$D$810=G$4)*('Match Log'!$E$4:$E$810="Win")*COUNTIFS('Match Log'!$A$4:$A$810,'Match Log'!$A$4:$A$810,'Match Log'!$D$4:$D$810,$A9,'Match Log'!$E$4:$E$810,"Loss")))=0,"",TEXT(SUMPRODUCT(('Match Log'!$D$4:$D$810=$A9)*('Match Log'!$E$4:$E$810="Win")*COUNTIFS('Match Log'!$A$4:$A$810,'Match Log'!$A$4:$A$810,'Match Log'!$D$4:$D$810,G$4,'Match Log'!$E$4:$E$810,"Loss"))/(SUMPRODUCT(('Match Log'!$D$4:$D$810=$A9)*('Match Log'!$E$4:$E$810="Win")*COUNTIFS('Match Log'!$A$4:$A$810,'Match Log'!$A$4:$A$810,'Match Log'!$D$4:$D$810,G$4,'Match Log'!$E$4:$E$810,"Loss"))+SUMPRODUCT(('Match Log'!$D$4:$D$810=G$4)*('Match Log'!$E$4:$E$810="Win")*COUNTIFS('Match Log'!$A$4:$A$810,'Match Log'!$A$4:$A$810,'Match Log'!$D$4:$D$810,$A9,'Match Log'!$E$4:$E$810,"Loss"))),"0%")&amp;" of "&amp;(SUMPRODUCT(('Match Log'!$D$4:$D$810=$A9)*('Match Log'!$E$4:$E$810="Win")*COUNTIFS('Match Log'!$A$4:$A$810,'Match Log'!$A$4:$A$810,'Match Log'!$D$4:$D$810,G$4,'Match Log'!$E$4:$E$810,"Loss"))+SUMPRODUCT(('Match Log'!$D$4:$D$810=G$4)*('Match Log'!$E$4:$E$810="Win")*COUNTIFS('Match Log'!$A$4:$A$810,'Match Log'!$A$4:$A$810,'Match Log'!$D$4:$D$810,$A9,'Match Log'!$E$4:$E$810,"Loss")))))</f>
        <v>50% of 2</v>
      </c>
      <c r="H9" s="50" t="str">
        <f>IF($A9=H$4,"—",IF((SUMPRODUCT(('Match Log'!$D$4:$D$810=$A9)*('Match Log'!$E$4:$E$810="Win")*COUNTIFS('Match Log'!$A$4:$A$810,'Match Log'!$A$4:$A$810,'Match Log'!$D$4:$D$810,H$4,'Match Log'!$E$4:$E$810,"Loss"))+SUMPRODUCT(('Match Log'!$D$4:$D$810=H$4)*('Match Log'!$E$4:$E$810="Win")*COUNTIFS('Match Log'!$A$4:$A$810,'Match Log'!$A$4:$A$810,'Match Log'!$D$4:$D$810,$A9,'Match Log'!$E$4:$E$810,"Loss")))=0,"",TEXT(SUMPRODUCT(('Match Log'!$D$4:$D$810=$A9)*('Match Log'!$E$4:$E$810="Win")*COUNTIFS('Match Log'!$A$4:$A$810,'Match Log'!$A$4:$A$810,'Match Log'!$D$4:$D$810,H$4,'Match Log'!$E$4:$E$810,"Loss"))/(SUMPRODUCT(('Match Log'!$D$4:$D$810=$A9)*('Match Log'!$E$4:$E$810="Win")*COUNTIFS('Match Log'!$A$4:$A$810,'Match Log'!$A$4:$A$810,'Match Log'!$D$4:$D$810,H$4,'Match Log'!$E$4:$E$810,"Loss"))+SUMPRODUCT(('Match Log'!$D$4:$D$810=H$4)*('Match Log'!$E$4:$E$810="Win")*COUNTIFS('Match Log'!$A$4:$A$810,'Match Log'!$A$4:$A$810,'Match Log'!$D$4:$D$810,$A9,'Match Log'!$E$4:$E$810,"Loss"))),"0%")&amp;" of "&amp;(SUMPRODUCT(('Match Log'!$D$4:$D$810=$A9)*('Match Log'!$E$4:$E$810="Win")*COUNTIFS('Match Log'!$A$4:$A$810,'Match Log'!$A$4:$A$810,'Match Log'!$D$4:$D$810,H$4,'Match Log'!$E$4:$E$810,"Loss"))+SUMPRODUCT(('Match Log'!$D$4:$D$810=H$4)*('Match Log'!$E$4:$E$810="Win")*COUNTIFS('Match Log'!$A$4:$A$810,'Match Log'!$A$4:$A$810,'Match Log'!$D$4:$D$810,$A9,'Match Log'!$E$4:$E$810,"Loss")))))</f>
        <v>50% of 2</v>
      </c>
      <c r="I9" s="50" t="str">
        <f>IF($A9=I$4,"—",IF((SUMPRODUCT(('Match Log'!$D$4:$D$810=$A9)*('Match Log'!$E$4:$E$810="Win")*COUNTIFS('Match Log'!$A$4:$A$810,'Match Log'!$A$4:$A$810,'Match Log'!$D$4:$D$810,I$4,'Match Log'!$E$4:$E$810,"Loss"))+SUMPRODUCT(('Match Log'!$D$4:$D$810=I$4)*('Match Log'!$E$4:$E$810="Win")*COUNTIFS('Match Log'!$A$4:$A$810,'Match Log'!$A$4:$A$810,'Match Log'!$D$4:$D$810,$A9,'Match Log'!$E$4:$E$810,"Loss")))=0,"",TEXT(SUMPRODUCT(('Match Log'!$D$4:$D$810=$A9)*('Match Log'!$E$4:$E$810="Win")*COUNTIFS('Match Log'!$A$4:$A$810,'Match Log'!$A$4:$A$810,'Match Log'!$D$4:$D$810,I$4,'Match Log'!$E$4:$E$810,"Loss"))/(SUMPRODUCT(('Match Log'!$D$4:$D$810=$A9)*('Match Log'!$E$4:$E$810="Win")*COUNTIFS('Match Log'!$A$4:$A$810,'Match Log'!$A$4:$A$810,'Match Log'!$D$4:$D$810,I$4,'Match Log'!$E$4:$E$810,"Loss"))+SUMPRODUCT(('Match Log'!$D$4:$D$810=I$4)*('Match Log'!$E$4:$E$810="Win")*COUNTIFS('Match Log'!$A$4:$A$810,'Match Log'!$A$4:$A$810,'Match Log'!$D$4:$D$810,$A9,'Match Log'!$E$4:$E$810,"Loss"))),"0%")&amp;" of "&amp;(SUMPRODUCT(('Match Log'!$D$4:$D$810=$A9)*('Match Log'!$E$4:$E$810="Win")*COUNTIFS('Match Log'!$A$4:$A$810,'Match Log'!$A$4:$A$810,'Match Log'!$D$4:$D$810,I$4,'Match Log'!$E$4:$E$810,"Loss"))+SUMPRODUCT(('Match Log'!$D$4:$D$810=I$4)*('Match Log'!$E$4:$E$810="Win")*COUNTIFS('Match Log'!$A$4:$A$810,'Match Log'!$A$4:$A$810,'Match Log'!$D$4:$D$810,$A9,'Match Log'!$E$4:$E$810,"Loss")))))</f>
        <v>58% of 12</v>
      </c>
      <c r="J9" s="50" t="str">
        <f>IF($A9=J$4,"—",IF((SUMPRODUCT(('Match Log'!$D$4:$D$810=$A9)*('Match Log'!$E$4:$E$810="Win")*COUNTIFS('Match Log'!$A$4:$A$810,'Match Log'!$A$4:$A$810,'Match Log'!$D$4:$D$810,J$4,'Match Log'!$E$4:$E$810,"Loss"))+SUMPRODUCT(('Match Log'!$D$4:$D$810=J$4)*('Match Log'!$E$4:$E$810="Win")*COUNTIFS('Match Log'!$A$4:$A$810,'Match Log'!$A$4:$A$810,'Match Log'!$D$4:$D$810,$A9,'Match Log'!$E$4:$E$810,"Loss")))=0,"",TEXT(SUMPRODUCT(('Match Log'!$D$4:$D$810=$A9)*('Match Log'!$E$4:$E$810="Win")*COUNTIFS('Match Log'!$A$4:$A$810,'Match Log'!$A$4:$A$810,'Match Log'!$D$4:$D$810,J$4,'Match Log'!$E$4:$E$810,"Loss"))/(SUMPRODUCT(('Match Log'!$D$4:$D$810=$A9)*('Match Log'!$E$4:$E$810="Win")*COUNTIFS('Match Log'!$A$4:$A$810,'Match Log'!$A$4:$A$810,'Match Log'!$D$4:$D$810,J$4,'Match Log'!$E$4:$E$810,"Loss"))+SUMPRODUCT(('Match Log'!$D$4:$D$810=J$4)*('Match Log'!$E$4:$E$810="Win")*COUNTIFS('Match Log'!$A$4:$A$810,'Match Log'!$A$4:$A$810,'Match Log'!$D$4:$D$810,$A9,'Match Log'!$E$4:$E$810,"Loss"))),"0%")&amp;" of "&amp;(SUMPRODUCT(('Match Log'!$D$4:$D$810=$A9)*('Match Log'!$E$4:$E$810="Win")*COUNTIFS('Match Log'!$A$4:$A$810,'Match Log'!$A$4:$A$810,'Match Log'!$D$4:$D$810,J$4,'Match Log'!$E$4:$E$810,"Loss"))+SUMPRODUCT(('Match Log'!$D$4:$D$810=J$4)*('Match Log'!$E$4:$E$810="Win")*COUNTIFS('Match Log'!$A$4:$A$810,'Match Log'!$A$4:$A$810,'Match Log'!$D$4:$D$810,$A9,'Match Log'!$E$4:$E$810,"Loss")))))</f>
        <v>40% of 5</v>
      </c>
      <c r="K9" s="50" t="str">
        <f>IF($A9=K$4,"—",IF((SUMPRODUCT(('Match Log'!$D$4:$D$810=$A9)*('Match Log'!$E$4:$E$810="Win")*COUNTIFS('Match Log'!$A$4:$A$810,'Match Log'!$A$4:$A$810,'Match Log'!$D$4:$D$810,K$4,'Match Log'!$E$4:$E$810,"Loss"))+SUMPRODUCT(('Match Log'!$D$4:$D$810=K$4)*('Match Log'!$E$4:$E$810="Win")*COUNTIFS('Match Log'!$A$4:$A$810,'Match Log'!$A$4:$A$810,'Match Log'!$D$4:$D$810,$A9,'Match Log'!$E$4:$E$810,"Loss")))=0,"",TEXT(SUMPRODUCT(('Match Log'!$D$4:$D$810=$A9)*('Match Log'!$E$4:$E$810="Win")*COUNTIFS('Match Log'!$A$4:$A$810,'Match Log'!$A$4:$A$810,'Match Log'!$D$4:$D$810,K$4,'Match Log'!$E$4:$E$810,"Loss"))/(SUMPRODUCT(('Match Log'!$D$4:$D$810=$A9)*('Match Log'!$E$4:$E$810="Win")*COUNTIFS('Match Log'!$A$4:$A$810,'Match Log'!$A$4:$A$810,'Match Log'!$D$4:$D$810,K$4,'Match Log'!$E$4:$E$810,"Loss"))+SUMPRODUCT(('Match Log'!$D$4:$D$810=K$4)*('Match Log'!$E$4:$E$810="Win")*COUNTIFS('Match Log'!$A$4:$A$810,'Match Log'!$A$4:$A$810,'Match Log'!$D$4:$D$810,$A9,'Match Log'!$E$4:$E$810,"Loss"))),"0%")&amp;" of "&amp;(SUMPRODUCT(('Match Log'!$D$4:$D$810=$A9)*('Match Log'!$E$4:$E$810="Win")*COUNTIFS('Match Log'!$A$4:$A$810,'Match Log'!$A$4:$A$810,'Match Log'!$D$4:$D$810,K$4,'Match Log'!$E$4:$E$810,"Loss"))+SUMPRODUCT(('Match Log'!$D$4:$D$810=K$4)*('Match Log'!$E$4:$E$810="Win")*COUNTIFS('Match Log'!$A$4:$A$810,'Match Log'!$A$4:$A$810,'Match Log'!$D$4:$D$810,$A9,'Match Log'!$E$4:$E$810,"Loss")))))</f>
        <v>100% of 4</v>
      </c>
      <c r="L9" s="50" t="str">
        <f>IF($A9=L$4,"—",IF((SUMPRODUCT(('Match Log'!$D$4:$D$810=$A9)*('Match Log'!$E$4:$E$810="Win")*COUNTIFS('Match Log'!$A$4:$A$810,'Match Log'!$A$4:$A$810,'Match Log'!$D$4:$D$810,L$4,'Match Log'!$E$4:$E$810,"Loss"))+SUMPRODUCT(('Match Log'!$D$4:$D$810=L$4)*('Match Log'!$E$4:$E$810="Win")*COUNTIFS('Match Log'!$A$4:$A$810,'Match Log'!$A$4:$A$810,'Match Log'!$D$4:$D$810,$A9,'Match Log'!$E$4:$E$810,"Loss")))=0,"",TEXT(SUMPRODUCT(('Match Log'!$D$4:$D$810=$A9)*('Match Log'!$E$4:$E$810="Win")*COUNTIFS('Match Log'!$A$4:$A$810,'Match Log'!$A$4:$A$810,'Match Log'!$D$4:$D$810,L$4,'Match Log'!$E$4:$E$810,"Loss"))/(SUMPRODUCT(('Match Log'!$D$4:$D$810=$A9)*('Match Log'!$E$4:$E$810="Win")*COUNTIFS('Match Log'!$A$4:$A$810,'Match Log'!$A$4:$A$810,'Match Log'!$D$4:$D$810,L$4,'Match Log'!$E$4:$E$810,"Loss"))+SUMPRODUCT(('Match Log'!$D$4:$D$810=L$4)*('Match Log'!$E$4:$E$810="Win")*COUNTIFS('Match Log'!$A$4:$A$810,'Match Log'!$A$4:$A$810,'Match Log'!$D$4:$D$810,$A9,'Match Log'!$E$4:$E$810,"Loss"))),"0%")&amp;" of "&amp;(SUMPRODUCT(('Match Log'!$D$4:$D$810=$A9)*('Match Log'!$E$4:$E$810="Win")*COUNTIFS('Match Log'!$A$4:$A$810,'Match Log'!$A$4:$A$810,'Match Log'!$D$4:$D$810,L$4,'Match Log'!$E$4:$E$810,"Loss"))+SUMPRODUCT(('Match Log'!$D$4:$D$810=L$4)*('Match Log'!$E$4:$E$810="Win")*COUNTIFS('Match Log'!$A$4:$A$810,'Match Log'!$A$4:$A$810,'Match Log'!$D$4:$D$810,$A9,'Match Log'!$E$4:$E$810,"Loss")))))</f>
        <v>67% of 6</v>
      </c>
      <c r="M9" s="50" t="str">
        <f>IF($A9=M$4,"—",IF((SUMPRODUCT(('Match Log'!$D$4:$D$810=$A9)*('Match Log'!$E$4:$E$810="Win")*COUNTIFS('Match Log'!$A$4:$A$810,'Match Log'!$A$4:$A$810,'Match Log'!$D$4:$D$810,M$4,'Match Log'!$E$4:$E$810,"Loss"))+SUMPRODUCT(('Match Log'!$D$4:$D$810=M$4)*('Match Log'!$E$4:$E$810="Win")*COUNTIFS('Match Log'!$A$4:$A$810,'Match Log'!$A$4:$A$810,'Match Log'!$D$4:$D$810,$A9,'Match Log'!$E$4:$E$810,"Loss")))=0,"",TEXT(SUMPRODUCT(('Match Log'!$D$4:$D$810=$A9)*('Match Log'!$E$4:$E$810="Win")*COUNTIFS('Match Log'!$A$4:$A$810,'Match Log'!$A$4:$A$810,'Match Log'!$D$4:$D$810,M$4,'Match Log'!$E$4:$E$810,"Loss"))/(SUMPRODUCT(('Match Log'!$D$4:$D$810=$A9)*('Match Log'!$E$4:$E$810="Win")*COUNTIFS('Match Log'!$A$4:$A$810,'Match Log'!$A$4:$A$810,'Match Log'!$D$4:$D$810,M$4,'Match Log'!$E$4:$E$810,"Loss"))+SUMPRODUCT(('Match Log'!$D$4:$D$810=M$4)*('Match Log'!$E$4:$E$810="Win")*COUNTIFS('Match Log'!$A$4:$A$810,'Match Log'!$A$4:$A$810,'Match Log'!$D$4:$D$810,$A9,'Match Log'!$E$4:$E$810,"Loss"))),"0%")&amp;" of "&amp;(SUMPRODUCT(('Match Log'!$D$4:$D$810=$A9)*('Match Log'!$E$4:$E$810="Win")*COUNTIFS('Match Log'!$A$4:$A$810,'Match Log'!$A$4:$A$810,'Match Log'!$D$4:$D$810,M$4,'Match Log'!$E$4:$E$810,"Loss"))+SUMPRODUCT(('Match Log'!$D$4:$D$810=M$4)*('Match Log'!$E$4:$E$810="Win")*COUNTIFS('Match Log'!$A$4:$A$810,'Match Log'!$A$4:$A$810,'Match Log'!$D$4:$D$810,$A9,'Match Log'!$E$4:$E$810,"Loss")))))</f>
        <v>0% of 1</v>
      </c>
      <c r="N9" s="50" t="str">
        <f>IF($A9=N$4,"—",IF((SUMPRODUCT(('Match Log'!$D$4:$D$810=$A9)*('Match Log'!$E$4:$E$810="Win")*COUNTIFS('Match Log'!$A$4:$A$810,'Match Log'!$A$4:$A$810,'Match Log'!$D$4:$D$810,N$4,'Match Log'!$E$4:$E$810,"Loss"))+SUMPRODUCT(('Match Log'!$D$4:$D$810=N$4)*('Match Log'!$E$4:$E$810="Win")*COUNTIFS('Match Log'!$A$4:$A$810,'Match Log'!$A$4:$A$810,'Match Log'!$D$4:$D$810,$A9,'Match Log'!$E$4:$E$810,"Loss")))=0,"",TEXT(SUMPRODUCT(('Match Log'!$D$4:$D$810=$A9)*('Match Log'!$E$4:$E$810="Win")*COUNTIFS('Match Log'!$A$4:$A$810,'Match Log'!$A$4:$A$810,'Match Log'!$D$4:$D$810,N$4,'Match Log'!$E$4:$E$810,"Loss"))/(SUMPRODUCT(('Match Log'!$D$4:$D$810=$A9)*('Match Log'!$E$4:$E$810="Win")*COUNTIFS('Match Log'!$A$4:$A$810,'Match Log'!$A$4:$A$810,'Match Log'!$D$4:$D$810,N$4,'Match Log'!$E$4:$E$810,"Loss"))+SUMPRODUCT(('Match Log'!$D$4:$D$810=N$4)*('Match Log'!$E$4:$E$810="Win")*COUNTIFS('Match Log'!$A$4:$A$810,'Match Log'!$A$4:$A$810,'Match Log'!$D$4:$D$810,$A9,'Match Log'!$E$4:$E$810,"Loss"))),"0%")&amp;" of "&amp;(SUMPRODUCT(('Match Log'!$D$4:$D$810=$A9)*('Match Log'!$E$4:$E$810="Win")*COUNTIFS('Match Log'!$A$4:$A$810,'Match Log'!$A$4:$A$810,'Match Log'!$D$4:$D$810,N$4,'Match Log'!$E$4:$E$810,"Loss"))+SUMPRODUCT(('Match Log'!$D$4:$D$810=N$4)*('Match Log'!$E$4:$E$810="Win")*COUNTIFS('Match Log'!$A$4:$A$810,'Match Log'!$A$4:$A$810,'Match Log'!$D$4:$D$810,$A9,'Match Log'!$E$4:$E$810,"Loss")))))</f>
        <v>100% of 1</v>
      </c>
      <c r="O9" s="50" t="str">
        <f>IF($A9=O$4,"—",IF((SUMPRODUCT(('Match Log'!$D$4:$D$810=$A9)*('Match Log'!$E$4:$E$810="Win")*COUNTIFS('Match Log'!$A$4:$A$810,'Match Log'!$A$4:$A$810,'Match Log'!$D$4:$D$810,O$4,'Match Log'!$E$4:$E$810,"Loss"))+SUMPRODUCT(('Match Log'!$D$4:$D$810=O$4)*('Match Log'!$E$4:$E$810="Win")*COUNTIFS('Match Log'!$A$4:$A$810,'Match Log'!$A$4:$A$810,'Match Log'!$D$4:$D$810,$A9,'Match Log'!$E$4:$E$810,"Loss")))=0,"",TEXT(SUMPRODUCT(('Match Log'!$D$4:$D$810=$A9)*('Match Log'!$E$4:$E$810="Win")*COUNTIFS('Match Log'!$A$4:$A$810,'Match Log'!$A$4:$A$810,'Match Log'!$D$4:$D$810,O$4,'Match Log'!$E$4:$E$810,"Loss"))/(SUMPRODUCT(('Match Log'!$D$4:$D$810=$A9)*('Match Log'!$E$4:$E$810="Win")*COUNTIFS('Match Log'!$A$4:$A$810,'Match Log'!$A$4:$A$810,'Match Log'!$D$4:$D$810,O$4,'Match Log'!$E$4:$E$810,"Loss"))+SUMPRODUCT(('Match Log'!$D$4:$D$810=O$4)*('Match Log'!$E$4:$E$810="Win")*COUNTIFS('Match Log'!$A$4:$A$810,'Match Log'!$A$4:$A$810,'Match Log'!$D$4:$D$810,$A9,'Match Log'!$E$4:$E$810,"Loss"))),"0%")&amp;" of "&amp;(SUMPRODUCT(('Match Log'!$D$4:$D$810=$A9)*('Match Log'!$E$4:$E$810="Win")*COUNTIFS('Match Log'!$A$4:$A$810,'Match Log'!$A$4:$A$810,'Match Log'!$D$4:$D$810,O$4,'Match Log'!$E$4:$E$810,"Loss"))+SUMPRODUCT(('Match Log'!$D$4:$D$810=O$4)*('Match Log'!$E$4:$E$810="Win")*COUNTIFS('Match Log'!$A$4:$A$810,'Match Log'!$A$4:$A$810,'Match Log'!$D$4:$D$810,$A9,'Match Log'!$E$4:$E$810,"Loss")))))</f>
        <v/>
      </c>
    </row>
    <row r="10" spans="1:15" ht="15" customHeight="1" x14ac:dyDescent="0.2">
      <c r="A10" s="45" t="s">
        <v>134</v>
      </c>
      <c r="B10" s="50" t="str">
        <f>IF($A10=B$4,"—",IF((SUMPRODUCT(('Match Log'!$D$4:$D$810=$A10)*('Match Log'!$E$4:$E$810="Win")*COUNTIFS('Match Log'!$A$4:$A$810,'Match Log'!$A$4:$A$810,'Match Log'!$D$4:$D$810,B$4,'Match Log'!$E$4:$E$810,"Loss"))+SUMPRODUCT(('Match Log'!$D$4:$D$810=B$4)*('Match Log'!$E$4:$E$810="Win")*COUNTIFS('Match Log'!$A$4:$A$810,'Match Log'!$A$4:$A$810,'Match Log'!$D$4:$D$810,$A10,'Match Log'!$E$4:$E$810,"Loss")))=0,"",TEXT(SUMPRODUCT(('Match Log'!$D$4:$D$810=$A10)*('Match Log'!$E$4:$E$810="Win")*COUNTIFS('Match Log'!$A$4:$A$810,'Match Log'!$A$4:$A$810,'Match Log'!$D$4:$D$810,B$4,'Match Log'!$E$4:$E$810,"Loss"))/(SUMPRODUCT(('Match Log'!$D$4:$D$810=$A10)*('Match Log'!$E$4:$E$810="Win")*COUNTIFS('Match Log'!$A$4:$A$810,'Match Log'!$A$4:$A$810,'Match Log'!$D$4:$D$810,B$4,'Match Log'!$E$4:$E$810,"Loss"))+SUMPRODUCT(('Match Log'!$D$4:$D$810=B$4)*('Match Log'!$E$4:$E$810="Win")*COUNTIFS('Match Log'!$A$4:$A$810,'Match Log'!$A$4:$A$810,'Match Log'!$D$4:$D$810,$A10,'Match Log'!$E$4:$E$810,"Loss"))),"0%")&amp;" of "&amp;(SUMPRODUCT(('Match Log'!$D$4:$D$810=$A10)*('Match Log'!$E$4:$E$810="Win")*COUNTIFS('Match Log'!$A$4:$A$810,'Match Log'!$A$4:$A$810,'Match Log'!$D$4:$D$810,B$4,'Match Log'!$E$4:$E$810,"Loss"))+SUMPRODUCT(('Match Log'!$D$4:$D$810=B$4)*('Match Log'!$E$4:$E$810="Win")*COUNTIFS('Match Log'!$A$4:$A$810,'Match Log'!$A$4:$A$810,'Match Log'!$D$4:$D$810,$A10,'Match Log'!$E$4:$E$810,"Loss")))))</f>
        <v>39% of 23</v>
      </c>
      <c r="C10" s="50" t="str">
        <f>IF($A10=C$4,"—",IF((SUMPRODUCT(('Match Log'!$D$4:$D$810=$A10)*('Match Log'!$E$4:$E$810="Win")*COUNTIFS('Match Log'!$A$4:$A$810,'Match Log'!$A$4:$A$810,'Match Log'!$D$4:$D$810,C$4,'Match Log'!$E$4:$E$810,"Loss"))+SUMPRODUCT(('Match Log'!$D$4:$D$810=C$4)*('Match Log'!$E$4:$E$810="Win")*COUNTIFS('Match Log'!$A$4:$A$810,'Match Log'!$A$4:$A$810,'Match Log'!$D$4:$D$810,$A10,'Match Log'!$E$4:$E$810,"Loss")))=0,"",TEXT(SUMPRODUCT(('Match Log'!$D$4:$D$810=$A10)*('Match Log'!$E$4:$E$810="Win")*COUNTIFS('Match Log'!$A$4:$A$810,'Match Log'!$A$4:$A$810,'Match Log'!$D$4:$D$810,C$4,'Match Log'!$E$4:$E$810,"Loss"))/(SUMPRODUCT(('Match Log'!$D$4:$D$810=$A10)*('Match Log'!$E$4:$E$810="Win")*COUNTIFS('Match Log'!$A$4:$A$810,'Match Log'!$A$4:$A$810,'Match Log'!$D$4:$D$810,C$4,'Match Log'!$E$4:$E$810,"Loss"))+SUMPRODUCT(('Match Log'!$D$4:$D$810=C$4)*('Match Log'!$E$4:$E$810="Win")*COUNTIFS('Match Log'!$A$4:$A$810,'Match Log'!$A$4:$A$810,'Match Log'!$D$4:$D$810,$A10,'Match Log'!$E$4:$E$810,"Loss"))),"0%")&amp;" of "&amp;(SUMPRODUCT(('Match Log'!$D$4:$D$810=$A10)*('Match Log'!$E$4:$E$810="Win")*COUNTIFS('Match Log'!$A$4:$A$810,'Match Log'!$A$4:$A$810,'Match Log'!$D$4:$D$810,C$4,'Match Log'!$E$4:$E$810,"Loss"))+SUMPRODUCT(('Match Log'!$D$4:$D$810=C$4)*('Match Log'!$E$4:$E$810="Win")*COUNTIFS('Match Log'!$A$4:$A$810,'Match Log'!$A$4:$A$810,'Match Log'!$D$4:$D$810,$A10,'Match Log'!$E$4:$E$810,"Loss")))))</f>
        <v>100% of 1</v>
      </c>
      <c r="D10" s="50" t="str">
        <f>IF($A10=D$4,"—",IF((SUMPRODUCT(('Match Log'!$D$4:$D$810=$A10)*('Match Log'!$E$4:$E$810="Win")*COUNTIFS('Match Log'!$A$4:$A$810,'Match Log'!$A$4:$A$810,'Match Log'!$D$4:$D$810,D$4,'Match Log'!$E$4:$E$810,"Loss"))+SUMPRODUCT(('Match Log'!$D$4:$D$810=D$4)*('Match Log'!$E$4:$E$810="Win")*COUNTIFS('Match Log'!$A$4:$A$810,'Match Log'!$A$4:$A$810,'Match Log'!$D$4:$D$810,$A10,'Match Log'!$E$4:$E$810,"Loss")))=0,"",TEXT(SUMPRODUCT(('Match Log'!$D$4:$D$810=$A10)*('Match Log'!$E$4:$E$810="Win")*COUNTIFS('Match Log'!$A$4:$A$810,'Match Log'!$A$4:$A$810,'Match Log'!$D$4:$D$810,D$4,'Match Log'!$E$4:$E$810,"Loss"))/(SUMPRODUCT(('Match Log'!$D$4:$D$810=$A10)*('Match Log'!$E$4:$E$810="Win")*COUNTIFS('Match Log'!$A$4:$A$810,'Match Log'!$A$4:$A$810,'Match Log'!$D$4:$D$810,D$4,'Match Log'!$E$4:$E$810,"Loss"))+SUMPRODUCT(('Match Log'!$D$4:$D$810=D$4)*('Match Log'!$E$4:$E$810="Win")*COUNTIFS('Match Log'!$A$4:$A$810,'Match Log'!$A$4:$A$810,'Match Log'!$D$4:$D$810,$A10,'Match Log'!$E$4:$E$810,"Loss"))),"0%")&amp;" of "&amp;(SUMPRODUCT(('Match Log'!$D$4:$D$810=$A10)*('Match Log'!$E$4:$E$810="Win")*COUNTIFS('Match Log'!$A$4:$A$810,'Match Log'!$A$4:$A$810,'Match Log'!$D$4:$D$810,D$4,'Match Log'!$E$4:$E$810,"Loss"))+SUMPRODUCT(('Match Log'!$D$4:$D$810=D$4)*('Match Log'!$E$4:$E$810="Win")*COUNTIFS('Match Log'!$A$4:$A$810,'Match Log'!$A$4:$A$810,'Match Log'!$D$4:$D$810,$A10,'Match Log'!$E$4:$E$810,"Loss")))))</f>
        <v/>
      </c>
      <c r="E10" s="50" t="str">
        <f>IF($A10=E$4,"—",IF((SUMPRODUCT(('Match Log'!$D$4:$D$810=$A10)*('Match Log'!$E$4:$E$810="Win")*COUNTIFS('Match Log'!$A$4:$A$810,'Match Log'!$A$4:$A$810,'Match Log'!$D$4:$D$810,E$4,'Match Log'!$E$4:$E$810,"Loss"))+SUMPRODUCT(('Match Log'!$D$4:$D$810=E$4)*('Match Log'!$E$4:$E$810="Win")*COUNTIFS('Match Log'!$A$4:$A$810,'Match Log'!$A$4:$A$810,'Match Log'!$D$4:$D$810,$A10,'Match Log'!$E$4:$E$810,"Loss")))=0,"",TEXT(SUMPRODUCT(('Match Log'!$D$4:$D$810=$A10)*('Match Log'!$E$4:$E$810="Win")*COUNTIFS('Match Log'!$A$4:$A$810,'Match Log'!$A$4:$A$810,'Match Log'!$D$4:$D$810,E$4,'Match Log'!$E$4:$E$810,"Loss"))/(SUMPRODUCT(('Match Log'!$D$4:$D$810=$A10)*('Match Log'!$E$4:$E$810="Win")*COUNTIFS('Match Log'!$A$4:$A$810,'Match Log'!$A$4:$A$810,'Match Log'!$D$4:$D$810,E$4,'Match Log'!$E$4:$E$810,"Loss"))+SUMPRODUCT(('Match Log'!$D$4:$D$810=E$4)*('Match Log'!$E$4:$E$810="Win")*COUNTIFS('Match Log'!$A$4:$A$810,'Match Log'!$A$4:$A$810,'Match Log'!$D$4:$D$810,$A10,'Match Log'!$E$4:$E$810,"Loss"))),"0%")&amp;" of "&amp;(SUMPRODUCT(('Match Log'!$D$4:$D$810=$A10)*('Match Log'!$E$4:$E$810="Win")*COUNTIFS('Match Log'!$A$4:$A$810,'Match Log'!$A$4:$A$810,'Match Log'!$D$4:$D$810,E$4,'Match Log'!$E$4:$E$810,"Loss"))+SUMPRODUCT(('Match Log'!$D$4:$D$810=E$4)*('Match Log'!$E$4:$E$810="Win")*COUNTIFS('Match Log'!$A$4:$A$810,'Match Log'!$A$4:$A$810,'Match Log'!$D$4:$D$810,$A10,'Match Log'!$E$4:$E$810,"Loss")))))</f>
        <v>0% of 1</v>
      </c>
      <c r="F10" s="50" t="str">
        <f>IF($A10=F$4,"—",IF((SUMPRODUCT(('Match Log'!$D$4:$D$810=$A10)*('Match Log'!$E$4:$E$810="Win")*COUNTIFS('Match Log'!$A$4:$A$810,'Match Log'!$A$4:$A$810,'Match Log'!$D$4:$D$810,F$4,'Match Log'!$E$4:$E$810,"Loss"))+SUMPRODUCT(('Match Log'!$D$4:$D$810=F$4)*('Match Log'!$E$4:$E$810="Win")*COUNTIFS('Match Log'!$A$4:$A$810,'Match Log'!$A$4:$A$810,'Match Log'!$D$4:$D$810,$A10,'Match Log'!$E$4:$E$810,"Loss")))=0,"",TEXT(SUMPRODUCT(('Match Log'!$D$4:$D$810=$A10)*('Match Log'!$E$4:$E$810="Win")*COUNTIFS('Match Log'!$A$4:$A$810,'Match Log'!$A$4:$A$810,'Match Log'!$D$4:$D$810,F$4,'Match Log'!$E$4:$E$810,"Loss"))/(SUMPRODUCT(('Match Log'!$D$4:$D$810=$A10)*('Match Log'!$E$4:$E$810="Win")*COUNTIFS('Match Log'!$A$4:$A$810,'Match Log'!$A$4:$A$810,'Match Log'!$D$4:$D$810,F$4,'Match Log'!$E$4:$E$810,"Loss"))+SUMPRODUCT(('Match Log'!$D$4:$D$810=F$4)*('Match Log'!$E$4:$E$810="Win")*COUNTIFS('Match Log'!$A$4:$A$810,'Match Log'!$A$4:$A$810,'Match Log'!$D$4:$D$810,$A10,'Match Log'!$E$4:$E$810,"Loss"))),"0%")&amp;" of "&amp;(SUMPRODUCT(('Match Log'!$D$4:$D$810=$A10)*('Match Log'!$E$4:$E$810="Win")*COUNTIFS('Match Log'!$A$4:$A$810,'Match Log'!$A$4:$A$810,'Match Log'!$D$4:$D$810,F$4,'Match Log'!$E$4:$E$810,"Loss"))+SUMPRODUCT(('Match Log'!$D$4:$D$810=F$4)*('Match Log'!$E$4:$E$810="Win")*COUNTIFS('Match Log'!$A$4:$A$810,'Match Log'!$A$4:$A$810,'Match Log'!$D$4:$D$810,$A10,'Match Log'!$E$4:$E$810,"Loss")))))</f>
        <v>50% of 2</v>
      </c>
      <c r="G10" s="50" t="str">
        <f>IF($A10=G$4,"—",IF((SUMPRODUCT(('Match Log'!$D$4:$D$810=$A10)*('Match Log'!$E$4:$E$810="Win")*COUNTIFS('Match Log'!$A$4:$A$810,'Match Log'!$A$4:$A$810,'Match Log'!$D$4:$D$810,G$4,'Match Log'!$E$4:$E$810,"Loss"))+SUMPRODUCT(('Match Log'!$D$4:$D$810=G$4)*('Match Log'!$E$4:$E$810="Win")*COUNTIFS('Match Log'!$A$4:$A$810,'Match Log'!$A$4:$A$810,'Match Log'!$D$4:$D$810,$A10,'Match Log'!$E$4:$E$810,"Loss")))=0,"",TEXT(SUMPRODUCT(('Match Log'!$D$4:$D$810=$A10)*('Match Log'!$E$4:$E$810="Win")*COUNTIFS('Match Log'!$A$4:$A$810,'Match Log'!$A$4:$A$810,'Match Log'!$D$4:$D$810,G$4,'Match Log'!$E$4:$E$810,"Loss"))/(SUMPRODUCT(('Match Log'!$D$4:$D$810=$A10)*('Match Log'!$E$4:$E$810="Win")*COUNTIFS('Match Log'!$A$4:$A$810,'Match Log'!$A$4:$A$810,'Match Log'!$D$4:$D$810,G$4,'Match Log'!$E$4:$E$810,"Loss"))+SUMPRODUCT(('Match Log'!$D$4:$D$810=G$4)*('Match Log'!$E$4:$E$810="Win")*COUNTIFS('Match Log'!$A$4:$A$810,'Match Log'!$A$4:$A$810,'Match Log'!$D$4:$D$810,$A10,'Match Log'!$E$4:$E$810,"Loss"))),"0%")&amp;" of "&amp;(SUMPRODUCT(('Match Log'!$D$4:$D$810=$A10)*('Match Log'!$E$4:$E$810="Win")*COUNTIFS('Match Log'!$A$4:$A$810,'Match Log'!$A$4:$A$810,'Match Log'!$D$4:$D$810,G$4,'Match Log'!$E$4:$E$810,"Loss"))+SUMPRODUCT(('Match Log'!$D$4:$D$810=G$4)*('Match Log'!$E$4:$E$810="Win")*COUNTIFS('Match Log'!$A$4:$A$810,'Match Log'!$A$4:$A$810,'Match Log'!$D$4:$D$810,$A10,'Match Log'!$E$4:$E$810,"Loss")))))</f>
        <v>—</v>
      </c>
      <c r="H10" s="50" t="str">
        <f>IF($A10=H$4,"—",IF((SUMPRODUCT(('Match Log'!$D$4:$D$810=$A10)*('Match Log'!$E$4:$E$810="Win")*COUNTIFS('Match Log'!$A$4:$A$810,'Match Log'!$A$4:$A$810,'Match Log'!$D$4:$D$810,H$4,'Match Log'!$E$4:$E$810,"Loss"))+SUMPRODUCT(('Match Log'!$D$4:$D$810=H$4)*('Match Log'!$E$4:$E$810="Win")*COUNTIFS('Match Log'!$A$4:$A$810,'Match Log'!$A$4:$A$810,'Match Log'!$D$4:$D$810,$A10,'Match Log'!$E$4:$E$810,"Loss")))=0,"",TEXT(SUMPRODUCT(('Match Log'!$D$4:$D$810=$A10)*('Match Log'!$E$4:$E$810="Win")*COUNTIFS('Match Log'!$A$4:$A$810,'Match Log'!$A$4:$A$810,'Match Log'!$D$4:$D$810,H$4,'Match Log'!$E$4:$E$810,"Loss"))/(SUMPRODUCT(('Match Log'!$D$4:$D$810=$A10)*('Match Log'!$E$4:$E$810="Win")*COUNTIFS('Match Log'!$A$4:$A$810,'Match Log'!$A$4:$A$810,'Match Log'!$D$4:$D$810,H$4,'Match Log'!$E$4:$E$810,"Loss"))+SUMPRODUCT(('Match Log'!$D$4:$D$810=H$4)*('Match Log'!$E$4:$E$810="Win")*COUNTIFS('Match Log'!$A$4:$A$810,'Match Log'!$A$4:$A$810,'Match Log'!$D$4:$D$810,$A10,'Match Log'!$E$4:$E$810,"Loss"))),"0%")&amp;" of "&amp;(SUMPRODUCT(('Match Log'!$D$4:$D$810=$A10)*('Match Log'!$E$4:$E$810="Win")*COUNTIFS('Match Log'!$A$4:$A$810,'Match Log'!$A$4:$A$810,'Match Log'!$D$4:$D$810,H$4,'Match Log'!$E$4:$E$810,"Loss"))+SUMPRODUCT(('Match Log'!$D$4:$D$810=H$4)*('Match Log'!$E$4:$E$810="Win")*COUNTIFS('Match Log'!$A$4:$A$810,'Match Log'!$A$4:$A$810,'Match Log'!$D$4:$D$810,$A10,'Match Log'!$E$4:$E$810,"Loss")))))</f>
        <v>50% of 2</v>
      </c>
      <c r="I10" s="50" t="str">
        <f>IF($A10=I$4,"—",IF((SUMPRODUCT(('Match Log'!$D$4:$D$810=$A10)*('Match Log'!$E$4:$E$810="Win")*COUNTIFS('Match Log'!$A$4:$A$810,'Match Log'!$A$4:$A$810,'Match Log'!$D$4:$D$810,I$4,'Match Log'!$E$4:$E$810,"Loss"))+SUMPRODUCT(('Match Log'!$D$4:$D$810=I$4)*('Match Log'!$E$4:$E$810="Win")*COUNTIFS('Match Log'!$A$4:$A$810,'Match Log'!$A$4:$A$810,'Match Log'!$D$4:$D$810,$A10,'Match Log'!$E$4:$E$810,"Loss")))=0,"",TEXT(SUMPRODUCT(('Match Log'!$D$4:$D$810=$A10)*('Match Log'!$E$4:$E$810="Win")*COUNTIFS('Match Log'!$A$4:$A$810,'Match Log'!$A$4:$A$810,'Match Log'!$D$4:$D$810,I$4,'Match Log'!$E$4:$E$810,"Loss"))/(SUMPRODUCT(('Match Log'!$D$4:$D$810=$A10)*('Match Log'!$E$4:$E$810="Win")*COUNTIFS('Match Log'!$A$4:$A$810,'Match Log'!$A$4:$A$810,'Match Log'!$D$4:$D$810,I$4,'Match Log'!$E$4:$E$810,"Loss"))+SUMPRODUCT(('Match Log'!$D$4:$D$810=I$4)*('Match Log'!$E$4:$E$810="Win")*COUNTIFS('Match Log'!$A$4:$A$810,'Match Log'!$A$4:$A$810,'Match Log'!$D$4:$D$810,$A10,'Match Log'!$E$4:$E$810,"Loss"))),"0%")&amp;" of "&amp;(SUMPRODUCT(('Match Log'!$D$4:$D$810=$A10)*('Match Log'!$E$4:$E$810="Win")*COUNTIFS('Match Log'!$A$4:$A$810,'Match Log'!$A$4:$A$810,'Match Log'!$D$4:$D$810,I$4,'Match Log'!$E$4:$E$810,"Loss"))+SUMPRODUCT(('Match Log'!$D$4:$D$810=I$4)*('Match Log'!$E$4:$E$810="Win")*COUNTIFS('Match Log'!$A$4:$A$810,'Match Log'!$A$4:$A$810,'Match Log'!$D$4:$D$810,$A10,'Match Log'!$E$4:$E$810,"Loss")))))</f>
        <v>52% of 21</v>
      </c>
      <c r="J10" s="50" t="str">
        <f>IF($A10=J$4,"—",IF((SUMPRODUCT(('Match Log'!$D$4:$D$810=$A10)*('Match Log'!$E$4:$E$810="Win")*COUNTIFS('Match Log'!$A$4:$A$810,'Match Log'!$A$4:$A$810,'Match Log'!$D$4:$D$810,J$4,'Match Log'!$E$4:$E$810,"Loss"))+SUMPRODUCT(('Match Log'!$D$4:$D$810=J$4)*('Match Log'!$E$4:$E$810="Win")*COUNTIFS('Match Log'!$A$4:$A$810,'Match Log'!$A$4:$A$810,'Match Log'!$D$4:$D$810,$A10,'Match Log'!$E$4:$E$810,"Loss")))=0,"",TEXT(SUMPRODUCT(('Match Log'!$D$4:$D$810=$A10)*('Match Log'!$E$4:$E$810="Win")*COUNTIFS('Match Log'!$A$4:$A$810,'Match Log'!$A$4:$A$810,'Match Log'!$D$4:$D$810,J$4,'Match Log'!$E$4:$E$810,"Loss"))/(SUMPRODUCT(('Match Log'!$D$4:$D$810=$A10)*('Match Log'!$E$4:$E$810="Win")*COUNTIFS('Match Log'!$A$4:$A$810,'Match Log'!$A$4:$A$810,'Match Log'!$D$4:$D$810,J$4,'Match Log'!$E$4:$E$810,"Loss"))+SUMPRODUCT(('Match Log'!$D$4:$D$810=J$4)*('Match Log'!$E$4:$E$810="Win")*COUNTIFS('Match Log'!$A$4:$A$810,'Match Log'!$A$4:$A$810,'Match Log'!$D$4:$D$810,$A10,'Match Log'!$E$4:$E$810,"Loss"))),"0%")&amp;" of "&amp;(SUMPRODUCT(('Match Log'!$D$4:$D$810=$A10)*('Match Log'!$E$4:$E$810="Win")*COUNTIFS('Match Log'!$A$4:$A$810,'Match Log'!$A$4:$A$810,'Match Log'!$D$4:$D$810,J$4,'Match Log'!$E$4:$E$810,"Loss"))+SUMPRODUCT(('Match Log'!$D$4:$D$810=J$4)*('Match Log'!$E$4:$E$810="Win")*COUNTIFS('Match Log'!$A$4:$A$810,'Match Log'!$A$4:$A$810,'Match Log'!$D$4:$D$810,$A10,'Match Log'!$E$4:$E$810,"Loss")))))</f>
        <v>33% of 3</v>
      </c>
      <c r="K10" s="50" t="str">
        <f>IF($A10=K$4,"—",IF((SUMPRODUCT(('Match Log'!$D$4:$D$810=$A10)*('Match Log'!$E$4:$E$810="Win")*COUNTIFS('Match Log'!$A$4:$A$810,'Match Log'!$A$4:$A$810,'Match Log'!$D$4:$D$810,K$4,'Match Log'!$E$4:$E$810,"Loss"))+SUMPRODUCT(('Match Log'!$D$4:$D$810=K$4)*('Match Log'!$E$4:$E$810="Win")*COUNTIFS('Match Log'!$A$4:$A$810,'Match Log'!$A$4:$A$810,'Match Log'!$D$4:$D$810,$A10,'Match Log'!$E$4:$E$810,"Loss")))=0,"",TEXT(SUMPRODUCT(('Match Log'!$D$4:$D$810=$A10)*('Match Log'!$E$4:$E$810="Win")*COUNTIFS('Match Log'!$A$4:$A$810,'Match Log'!$A$4:$A$810,'Match Log'!$D$4:$D$810,K$4,'Match Log'!$E$4:$E$810,"Loss"))/(SUMPRODUCT(('Match Log'!$D$4:$D$810=$A10)*('Match Log'!$E$4:$E$810="Win")*COUNTIFS('Match Log'!$A$4:$A$810,'Match Log'!$A$4:$A$810,'Match Log'!$D$4:$D$810,K$4,'Match Log'!$E$4:$E$810,"Loss"))+SUMPRODUCT(('Match Log'!$D$4:$D$810=K$4)*('Match Log'!$E$4:$E$810="Win")*COUNTIFS('Match Log'!$A$4:$A$810,'Match Log'!$A$4:$A$810,'Match Log'!$D$4:$D$810,$A10,'Match Log'!$E$4:$E$810,"Loss"))),"0%")&amp;" of "&amp;(SUMPRODUCT(('Match Log'!$D$4:$D$810=$A10)*('Match Log'!$E$4:$E$810="Win")*COUNTIFS('Match Log'!$A$4:$A$810,'Match Log'!$A$4:$A$810,'Match Log'!$D$4:$D$810,K$4,'Match Log'!$E$4:$E$810,"Loss"))+SUMPRODUCT(('Match Log'!$D$4:$D$810=K$4)*('Match Log'!$E$4:$E$810="Win")*COUNTIFS('Match Log'!$A$4:$A$810,'Match Log'!$A$4:$A$810,'Match Log'!$D$4:$D$810,$A10,'Match Log'!$E$4:$E$810,"Loss")))))</f>
        <v/>
      </c>
      <c r="L10" s="50" t="str">
        <f>IF($A10=L$4,"—",IF((SUMPRODUCT(('Match Log'!$D$4:$D$810=$A10)*('Match Log'!$E$4:$E$810="Win")*COUNTIFS('Match Log'!$A$4:$A$810,'Match Log'!$A$4:$A$810,'Match Log'!$D$4:$D$810,L$4,'Match Log'!$E$4:$E$810,"Loss"))+SUMPRODUCT(('Match Log'!$D$4:$D$810=L$4)*('Match Log'!$E$4:$E$810="Win")*COUNTIFS('Match Log'!$A$4:$A$810,'Match Log'!$A$4:$A$810,'Match Log'!$D$4:$D$810,$A10,'Match Log'!$E$4:$E$810,"Loss")))=0,"",TEXT(SUMPRODUCT(('Match Log'!$D$4:$D$810=$A10)*('Match Log'!$E$4:$E$810="Win")*COUNTIFS('Match Log'!$A$4:$A$810,'Match Log'!$A$4:$A$810,'Match Log'!$D$4:$D$810,L$4,'Match Log'!$E$4:$E$810,"Loss"))/(SUMPRODUCT(('Match Log'!$D$4:$D$810=$A10)*('Match Log'!$E$4:$E$810="Win")*COUNTIFS('Match Log'!$A$4:$A$810,'Match Log'!$A$4:$A$810,'Match Log'!$D$4:$D$810,L$4,'Match Log'!$E$4:$E$810,"Loss"))+SUMPRODUCT(('Match Log'!$D$4:$D$810=L$4)*('Match Log'!$E$4:$E$810="Win")*COUNTIFS('Match Log'!$A$4:$A$810,'Match Log'!$A$4:$A$810,'Match Log'!$D$4:$D$810,$A10,'Match Log'!$E$4:$E$810,"Loss"))),"0%")&amp;" of "&amp;(SUMPRODUCT(('Match Log'!$D$4:$D$810=$A10)*('Match Log'!$E$4:$E$810="Win")*COUNTIFS('Match Log'!$A$4:$A$810,'Match Log'!$A$4:$A$810,'Match Log'!$D$4:$D$810,L$4,'Match Log'!$E$4:$E$810,"Loss"))+SUMPRODUCT(('Match Log'!$D$4:$D$810=L$4)*('Match Log'!$E$4:$E$810="Win")*COUNTIFS('Match Log'!$A$4:$A$810,'Match Log'!$A$4:$A$810,'Match Log'!$D$4:$D$810,$A10,'Match Log'!$E$4:$E$810,"Loss")))))</f>
        <v>38% of 13</v>
      </c>
      <c r="M10" s="50" t="str">
        <f>IF($A10=M$4,"—",IF((SUMPRODUCT(('Match Log'!$D$4:$D$810=$A10)*('Match Log'!$E$4:$E$810="Win")*COUNTIFS('Match Log'!$A$4:$A$810,'Match Log'!$A$4:$A$810,'Match Log'!$D$4:$D$810,M$4,'Match Log'!$E$4:$E$810,"Loss"))+SUMPRODUCT(('Match Log'!$D$4:$D$810=M$4)*('Match Log'!$E$4:$E$810="Win")*COUNTIFS('Match Log'!$A$4:$A$810,'Match Log'!$A$4:$A$810,'Match Log'!$D$4:$D$810,$A10,'Match Log'!$E$4:$E$810,"Loss")))=0,"",TEXT(SUMPRODUCT(('Match Log'!$D$4:$D$810=$A10)*('Match Log'!$E$4:$E$810="Win")*COUNTIFS('Match Log'!$A$4:$A$810,'Match Log'!$A$4:$A$810,'Match Log'!$D$4:$D$810,M$4,'Match Log'!$E$4:$E$810,"Loss"))/(SUMPRODUCT(('Match Log'!$D$4:$D$810=$A10)*('Match Log'!$E$4:$E$810="Win")*COUNTIFS('Match Log'!$A$4:$A$810,'Match Log'!$A$4:$A$810,'Match Log'!$D$4:$D$810,M$4,'Match Log'!$E$4:$E$810,"Loss"))+SUMPRODUCT(('Match Log'!$D$4:$D$810=M$4)*('Match Log'!$E$4:$E$810="Win")*COUNTIFS('Match Log'!$A$4:$A$810,'Match Log'!$A$4:$A$810,'Match Log'!$D$4:$D$810,$A10,'Match Log'!$E$4:$E$810,"Loss"))),"0%")&amp;" of "&amp;(SUMPRODUCT(('Match Log'!$D$4:$D$810=$A10)*('Match Log'!$E$4:$E$810="Win")*COUNTIFS('Match Log'!$A$4:$A$810,'Match Log'!$A$4:$A$810,'Match Log'!$D$4:$D$810,M$4,'Match Log'!$E$4:$E$810,"Loss"))+SUMPRODUCT(('Match Log'!$D$4:$D$810=M$4)*('Match Log'!$E$4:$E$810="Win")*COUNTIFS('Match Log'!$A$4:$A$810,'Match Log'!$A$4:$A$810,'Match Log'!$D$4:$D$810,$A10,'Match Log'!$E$4:$E$810,"Loss")))))</f>
        <v>0% of 1</v>
      </c>
      <c r="N10" s="50" t="str">
        <f>IF($A10=N$4,"—",IF((SUMPRODUCT(('Match Log'!$D$4:$D$810=$A10)*('Match Log'!$E$4:$E$810="Win")*COUNTIFS('Match Log'!$A$4:$A$810,'Match Log'!$A$4:$A$810,'Match Log'!$D$4:$D$810,N$4,'Match Log'!$E$4:$E$810,"Loss"))+SUMPRODUCT(('Match Log'!$D$4:$D$810=N$4)*('Match Log'!$E$4:$E$810="Win")*COUNTIFS('Match Log'!$A$4:$A$810,'Match Log'!$A$4:$A$810,'Match Log'!$D$4:$D$810,$A10,'Match Log'!$E$4:$E$810,"Loss")))=0,"",TEXT(SUMPRODUCT(('Match Log'!$D$4:$D$810=$A10)*('Match Log'!$E$4:$E$810="Win")*COUNTIFS('Match Log'!$A$4:$A$810,'Match Log'!$A$4:$A$810,'Match Log'!$D$4:$D$810,N$4,'Match Log'!$E$4:$E$810,"Loss"))/(SUMPRODUCT(('Match Log'!$D$4:$D$810=$A10)*('Match Log'!$E$4:$E$810="Win")*COUNTIFS('Match Log'!$A$4:$A$810,'Match Log'!$A$4:$A$810,'Match Log'!$D$4:$D$810,N$4,'Match Log'!$E$4:$E$810,"Loss"))+SUMPRODUCT(('Match Log'!$D$4:$D$810=N$4)*('Match Log'!$E$4:$E$810="Win")*COUNTIFS('Match Log'!$A$4:$A$810,'Match Log'!$A$4:$A$810,'Match Log'!$D$4:$D$810,$A10,'Match Log'!$E$4:$E$810,"Loss"))),"0%")&amp;" of "&amp;(SUMPRODUCT(('Match Log'!$D$4:$D$810=$A10)*('Match Log'!$E$4:$E$810="Win")*COUNTIFS('Match Log'!$A$4:$A$810,'Match Log'!$A$4:$A$810,'Match Log'!$D$4:$D$810,N$4,'Match Log'!$E$4:$E$810,"Loss"))+SUMPRODUCT(('Match Log'!$D$4:$D$810=N$4)*('Match Log'!$E$4:$E$810="Win")*COUNTIFS('Match Log'!$A$4:$A$810,'Match Log'!$A$4:$A$810,'Match Log'!$D$4:$D$810,$A10,'Match Log'!$E$4:$E$810,"Loss")))))</f>
        <v>100% of 1</v>
      </c>
      <c r="O10" s="50" t="str">
        <f>IF($A10=O$4,"—",IF((SUMPRODUCT(('Match Log'!$D$4:$D$810=$A10)*('Match Log'!$E$4:$E$810="Win")*COUNTIFS('Match Log'!$A$4:$A$810,'Match Log'!$A$4:$A$810,'Match Log'!$D$4:$D$810,O$4,'Match Log'!$E$4:$E$810,"Loss"))+SUMPRODUCT(('Match Log'!$D$4:$D$810=O$4)*('Match Log'!$E$4:$E$810="Win")*COUNTIFS('Match Log'!$A$4:$A$810,'Match Log'!$A$4:$A$810,'Match Log'!$D$4:$D$810,$A10,'Match Log'!$E$4:$E$810,"Loss")))=0,"",TEXT(SUMPRODUCT(('Match Log'!$D$4:$D$810=$A10)*('Match Log'!$E$4:$E$810="Win")*COUNTIFS('Match Log'!$A$4:$A$810,'Match Log'!$A$4:$A$810,'Match Log'!$D$4:$D$810,O$4,'Match Log'!$E$4:$E$810,"Loss"))/(SUMPRODUCT(('Match Log'!$D$4:$D$810=$A10)*('Match Log'!$E$4:$E$810="Win")*COUNTIFS('Match Log'!$A$4:$A$810,'Match Log'!$A$4:$A$810,'Match Log'!$D$4:$D$810,O$4,'Match Log'!$E$4:$E$810,"Loss"))+SUMPRODUCT(('Match Log'!$D$4:$D$810=O$4)*('Match Log'!$E$4:$E$810="Win")*COUNTIFS('Match Log'!$A$4:$A$810,'Match Log'!$A$4:$A$810,'Match Log'!$D$4:$D$810,$A10,'Match Log'!$E$4:$E$810,"Loss"))),"0%")&amp;" of "&amp;(SUMPRODUCT(('Match Log'!$D$4:$D$810=$A10)*('Match Log'!$E$4:$E$810="Win")*COUNTIFS('Match Log'!$A$4:$A$810,'Match Log'!$A$4:$A$810,'Match Log'!$D$4:$D$810,O$4,'Match Log'!$E$4:$E$810,"Loss"))+SUMPRODUCT(('Match Log'!$D$4:$D$810=O$4)*('Match Log'!$E$4:$E$810="Win")*COUNTIFS('Match Log'!$A$4:$A$810,'Match Log'!$A$4:$A$810,'Match Log'!$D$4:$D$810,$A10,'Match Log'!$E$4:$E$810,"Loss")))))</f>
        <v/>
      </c>
    </row>
    <row r="11" spans="1:15" ht="15" customHeight="1" x14ac:dyDescent="0.2">
      <c r="A11" s="45" t="s">
        <v>168</v>
      </c>
      <c r="B11" s="50" t="str">
        <f>IF($A11=B$4,"—",IF((SUMPRODUCT(('Match Log'!$D$4:$D$810=$A11)*('Match Log'!$E$4:$E$810="Win")*COUNTIFS('Match Log'!$A$4:$A$810,'Match Log'!$A$4:$A$810,'Match Log'!$D$4:$D$810,B$4,'Match Log'!$E$4:$E$810,"Loss"))+SUMPRODUCT(('Match Log'!$D$4:$D$810=B$4)*('Match Log'!$E$4:$E$810="Win")*COUNTIFS('Match Log'!$A$4:$A$810,'Match Log'!$A$4:$A$810,'Match Log'!$D$4:$D$810,$A11,'Match Log'!$E$4:$E$810,"Loss")))=0,"",TEXT(SUMPRODUCT(('Match Log'!$D$4:$D$810=$A11)*('Match Log'!$E$4:$E$810="Win")*COUNTIFS('Match Log'!$A$4:$A$810,'Match Log'!$A$4:$A$810,'Match Log'!$D$4:$D$810,B$4,'Match Log'!$E$4:$E$810,"Loss"))/(SUMPRODUCT(('Match Log'!$D$4:$D$810=$A11)*('Match Log'!$E$4:$E$810="Win")*COUNTIFS('Match Log'!$A$4:$A$810,'Match Log'!$A$4:$A$810,'Match Log'!$D$4:$D$810,B$4,'Match Log'!$E$4:$E$810,"Loss"))+SUMPRODUCT(('Match Log'!$D$4:$D$810=B$4)*('Match Log'!$E$4:$E$810="Win")*COUNTIFS('Match Log'!$A$4:$A$810,'Match Log'!$A$4:$A$810,'Match Log'!$D$4:$D$810,$A11,'Match Log'!$E$4:$E$810,"Loss"))),"0%")&amp;" of "&amp;(SUMPRODUCT(('Match Log'!$D$4:$D$810=$A11)*('Match Log'!$E$4:$E$810="Win")*COUNTIFS('Match Log'!$A$4:$A$810,'Match Log'!$A$4:$A$810,'Match Log'!$D$4:$D$810,B$4,'Match Log'!$E$4:$E$810,"Loss"))+SUMPRODUCT(('Match Log'!$D$4:$D$810=B$4)*('Match Log'!$E$4:$E$810="Win")*COUNTIFS('Match Log'!$A$4:$A$810,'Match Log'!$A$4:$A$810,'Match Log'!$D$4:$D$810,$A11,'Match Log'!$E$4:$E$810,"Loss")))))</f>
        <v>50% of 4</v>
      </c>
      <c r="C11" s="50" t="str">
        <f>IF($A11=C$4,"—",IF((SUMPRODUCT(('Match Log'!$D$4:$D$810=$A11)*('Match Log'!$E$4:$E$810="Win")*COUNTIFS('Match Log'!$A$4:$A$810,'Match Log'!$A$4:$A$810,'Match Log'!$D$4:$D$810,C$4,'Match Log'!$E$4:$E$810,"Loss"))+SUMPRODUCT(('Match Log'!$D$4:$D$810=C$4)*('Match Log'!$E$4:$E$810="Win")*COUNTIFS('Match Log'!$A$4:$A$810,'Match Log'!$A$4:$A$810,'Match Log'!$D$4:$D$810,$A11,'Match Log'!$E$4:$E$810,"Loss")))=0,"",TEXT(SUMPRODUCT(('Match Log'!$D$4:$D$810=$A11)*('Match Log'!$E$4:$E$810="Win")*COUNTIFS('Match Log'!$A$4:$A$810,'Match Log'!$A$4:$A$810,'Match Log'!$D$4:$D$810,C$4,'Match Log'!$E$4:$E$810,"Loss"))/(SUMPRODUCT(('Match Log'!$D$4:$D$810=$A11)*('Match Log'!$E$4:$E$810="Win")*COUNTIFS('Match Log'!$A$4:$A$810,'Match Log'!$A$4:$A$810,'Match Log'!$D$4:$D$810,C$4,'Match Log'!$E$4:$E$810,"Loss"))+SUMPRODUCT(('Match Log'!$D$4:$D$810=C$4)*('Match Log'!$E$4:$E$810="Win")*COUNTIFS('Match Log'!$A$4:$A$810,'Match Log'!$A$4:$A$810,'Match Log'!$D$4:$D$810,$A11,'Match Log'!$E$4:$E$810,"Loss"))),"0%")&amp;" of "&amp;(SUMPRODUCT(('Match Log'!$D$4:$D$810=$A11)*('Match Log'!$E$4:$E$810="Win")*COUNTIFS('Match Log'!$A$4:$A$810,'Match Log'!$A$4:$A$810,'Match Log'!$D$4:$D$810,C$4,'Match Log'!$E$4:$E$810,"Loss"))+SUMPRODUCT(('Match Log'!$D$4:$D$810=C$4)*('Match Log'!$E$4:$E$810="Win")*COUNTIFS('Match Log'!$A$4:$A$810,'Match Log'!$A$4:$A$810,'Match Log'!$D$4:$D$810,$A11,'Match Log'!$E$4:$E$810,"Loss")))))</f>
        <v>33% of 3</v>
      </c>
      <c r="D11" s="50" t="str">
        <f>IF($A11=D$4,"—",IF((SUMPRODUCT(('Match Log'!$D$4:$D$810=$A11)*('Match Log'!$E$4:$E$810="Win")*COUNTIFS('Match Log'!$A$4:$A$810,'Match Log'!$A$4:$A$810,'Match Log'!$D$4:$D$810,D$4,'Match Log'!$E$4:$E$810,"Loss"))+SUMPRODUCT(('Match Log'!$D$4:$D$810=D$4)*('Match Log'!$E$4:$E$810="Win")*COUNTIFS('Match Log'!$A$4:$A$810,'Match Log'!$A$4:$A$810,'Match Log'!$D$4:$D$810,$A11,'Match Log'!$E$4:$E$810,"Loss")))=0,"",TEXT(SUMPRODUCT(('Match Log'!$D$4:$D$810=$A11)*('Match Log'!$E$4:$E$810="Win")*COUNTIFS('Match Log'!$A$4:$A$810,'Match Log'!$A$4:$A$810,'Match Log'!$D$4:$D$810,D$4,'Match Log'!$E$4:$E$810,"Loss"))/(SUMPRODUCT(('Match Log'!$D$4:$D$810=$A11)*('Match Log'!$E$4:$E$810="Win")*COUNTIFS('Match Log'!$A$4:$A$810,'Match Log'!$A$4:$A$810,'Match Log'!$D$4:$D$810,D$4,'Match Log'!$E$4:$E$810,"Loss"))+SUMPRODUCT(('Match Log'!$D$4:$D$810=D$4)*('Match Log'!$E$4:$E$810="Win")*COUNTIFS('Match Log'!$A$4:$A$810,'Match Log'!$A$4:$A$810,'Match Log'!$D$4:$D$810,$A11,'Match Log'!$E$4:$E$810,"Loss"))),"0%")&amp;" of "&amp;(SUMPRODUCT(('Match Log'!$D$4:$D$810=$A11)*('Match Log'!$E$4:$E$810="Win")*COUNTIFS('Match Log'!$A$4:$A$810,'Match Log'!$A$4:$A$810,'Match Log'!$D$4:$D$810,D$4,'Match Log'!$E$4:$E$810,"Loss"))+SUMPRODUCT(('Match Log'!$D$4:$D$810=D$4)*('Match Log'!$E$4:$E$810="Win")*COUNTIFS('Match Log'!$A$4:$A$810,'Match Log'!$A$4:$A$810,'Match Log'!$D$4:$D$810,$A11,'Match Log'!$E$4:$E$810,"Loss")))))</f>
        <v/>
      </c>
      <c r="E11" s="50" t="str">
        <f>IF($A11=E$4,"—",IF((SUMPRODUCT(('Match Log'!$D$4:$D$810=$A11)*('Match Log'!$E$4:$E$810="Win")*COUNTIFS('Match Log'!$A$4:$A$810,'Match Log'!$A$4:$A$810,'Match Log'!$D$4:$D$810,E$4,'Match Log'!$E$4:$E$810,"Loss"))+SUMPRODUCT(('Match Log'!$D$4:$D$810=E$4)*('Match Log'!$E$4:$E$810="Win")*COUNTIFS('Match Log'!$A$4:$A$810,'Match Log'!$A$4:$A$810,'Match Log'!$D$4:$D$810,$A11,'Match Log'!$E$4:$E$810,"Loss")))=0,"",TEXT(SUMPRODUCT(('Match Log'!$D$4:$D$810=$A11)*('Match Log'!$E$4:$E$810="Win")*COUNTIFS('Match Log'!$A$4:$A$810,'Match Log'!$A$4:$A$810,'Match Log'!$D$4:$D$810,E$4,'Match Log'!$E$4:$E$810,"Loss"))/(SUMPRODUCT(('Match Log'!$D$4:$D$810=$A11)*('Match Log'!$E$4:$E$810="Win")*COUNTIFS('Match Log'!$A$4:$A$810,'Match Log'!$A$4:$A$810,'Match Log'!$D$4:$D$810,E$4,'Match Log'!$E$4:$E$810,"Loss"))+SUMPRODUCT(('Match Log'!$D$4:$D$810=E$4)*('Match Log'!$E$4:$E$810="Win")*COUNTIFS('Match Log'!$A$4:$A$810,'Match Log'!$A$4:$A$810,'Match Log'!$D$4:$D$810,$A11,'Match Log'!$E$4:$E$810,"Loss"))),"0%")&amp;" of "&amp;(SUMPRODUCT(('Match Log'!$D$4:$D$810=$A11)*('Match Log'!$E$4:$E$810="Win")*COUNTIFS('Match Log'!$A$4:$A$810,'Match Log'!$A$4:$A$810,'Match Log'!$D$4:$D$810,E$4,'Match Log'!$E$4:$E$810,"Loss"))+SUMPRODUCT(('Match Log'!$D$4:$D$810=E$4)*('Match Log'!$E$4:$E$810="Win")*COUNTIFS('Match Log'!$A$4:$A$810,'Match Log'!$A$4:$A$810,'Match Log'!$D$4:$D$810,$A11,'Match Log'!$E$4:$E$810,"Loss")))))</f>
        <v>100% of 1</v>
      </c>
      <c r="F11" s="50" t="str">
        <f>IF($A11=F$4,"—",IF((SUMPRODUCT(('Match Log'!$D$4:$D$810=$A11)*('Match Log'!$E$4:$E$810="Win")*COUNTIFS('Match Log'!$A$4:$A$810,'Match Log'!$A$4:$A$810,'Match Log'!$D$4:$D$810,F$4,'Match Log'!$E$4:$E$810,"Loss"))+SUMPRODUCT(('Match Log'!$D$4:$D$810=F$4)*('Match Log'!$E$4:$E$810="Win")*COUNTIFS('Match Log'!$A$4:$A$810,'Match Log'!$A$4:$A$810,'Match Log'!$D$4:$D$810,$A11,'Match Log'!$E$4:$E$810,"Loss")))=0,"",TEXT(SUMPRODUCT(('Match Log'!$D$4:$D$810=$A11)*('Match Log'!$E$4:$E$810="Win")*COUNTIFS('Match Log'!$A$4:$A$810,'Match Log'!$A$4:$A$810,'Match Log'!$D$4:$D$810,F$4,'Match Log'!$E$4:$E$810,"Loss"))/(SUMPRODUCT(('Match Log'!$D$4:$D$810=$A11)*('Match Log'!$E$4:$E$810="Win")*COUNTIFS('Match Log'!$A$4:$A$810,'Match Log'!$A$4:$A$810,'Match Log'!$D$4:$D$810,F$4,'Match Log'!$E$4:$E$810,"Loss"))+SUMPRODUCT(('Match Log'!$D$4:$D$810=F$4)*('Match Log'!$E$4:$E$810="Win")*COUNTIFS('Match Log'!$A$4:$A$810,'Match Log'!$A$4:$A$810,'Match Log'!$D$4:$D$810,$A11,'Match Log'!$E$4:$E$810,"Loss"))),"0%")&amp;" of "&amp;(SUMPRODUCT(('Match Log'!$D$4:$D$810=$A11)*('Match Log'!$E$4:$E$810="Win")*COUNTIFS('Match Log'!$A$4:$A$810,'Match Log'!$A$4:$A$810,'Match Log'!$D$4:$D$810,F$4,'Match Log'!$E$4:$E$810,"Loss"))+SUMPRODUCT(('Match Log'!$D$4:$D$810=F$4)*('Match Log'!$E$4:$E$810="Win")*COUNTIFS('Match Log'!$A$4:$A$810,'Match Log'!$A$4:$A$810,'Match Log'!$D$4:$D$810,$A11,'Match Log'!$E$4:$E$810,"Loss")))))</f>
        <v>50% of 2</v>
      </c>
      <c r="G11" s="50" t="str">
        <f>IF($A11=G$4,"—",IF((SUMPRODUCT(('Match Log'!$D$4:$D$810=$A11)*('Match Log'!$E$4:$E$810="Win")*COUNTIFS('Match Log'!$A$4:$A$810,'Match Log'!$A$4:$A$810,'Match Log'!$D$4:$D$810,G$4,'Match Log'!$E$4:$E$810,"Loss"))+SUMPRODUCT(('Match Log'!$D$4:$D$810=G$4)*('Match Log'!$E$4:$E$810="Win")*COUNTIFS('Match Log'!$A$4:$A$810,'Match Log'!$A$4:$A$810,'Match Log'!$D$4:$D$810,$A11,'Match Log'!$E$4:$E$810,"Loss")))=0,"",TEXT(SUMPRODUCT(('Match Log'!$D$4:$D$810=$A11)*('Match Log'!$E$4:$E$810="Win")*COUNTIFS('Match Log'!$A$4:$A$810,'Match Log'!$A$4:$A$810,'Match Log'!$D$4:$D$810,G$4,'Match Log'!$E$4:$E$810,"Loss"))/(SUMPRODUCT(('Match Log'!$D$4:$D$810=$A11)*('Match Log'!$E$4:$E$810="Win")*COUNTIFS('Match Log'!$A$4:$A$810,'Match Log'!$A$4:$A$810,'Match Log'!$D$4:$D$810,G$4,'Match Log'!$E$4:$E$810,"Loss"))+SUMPRODUCT(('Match Log'!$D$4:$D$810=G$4)*('Match Log'!$E$4:$E$810="Win")*COUNTIFS('Match Log'!$A$4:$A$810,'Match Log'!$A$4:$A$810,'Match Log'!$D$4:$D$810,$A11,'Match Log'!$E$4:$E$810,"Loss"))),"0%")&amp;" of "&amp;(SUMPRODUCT(('Match Log'!$D$4:$D$810=$A11)*('Match Log'!$E$4:$E$810="Win")*COUNTIFS('Match Log'!$A$4:$A$810,'Match Log'!$A$4:$A$810,'Match Log'!$D$4:$D$810,G$4,'Match Log'!$E$4:$E$810,"Loss"))+SUMPRODUCT(('Match Log'!$D$4:$D$810=G$4)*('Match Log'!$E$4:$E$810="Win")*COUNTIFS('Match Log'!$A$4:$A$810,'Match Log'!$A$4:$A$810,'Match Log'!$D$4:$D$810,$A11,'Match Log'!$E$4:$E$810,"Loss")))))</f>
        <v>50% of 2</v>
      </c>
      <c r="H11" s="50" t="str">
        <f>IF($A11=H$4,"—",IF((SUMPRODUCT(('Match Log'!$D$4:$D$810=$A11)*('Match Log'!$E$4:$E$810="Win")*COUNTIFS('Match Log'!$A$4:$A$810,'Match Log'!$A$4:$A$810,'Match Log'!$D$4:$D$810,H$4,'Match Log'!$E$4:$E$810,"Loss"))+SUMPRODUCT(('Match Log'!$D$4:$D$810=H$4)*('Match Log'!$E$4:$E$810="Win")*COUNTIFS('Match Log'!$A$4:$A$810,'Match Log'!$A$4:$A$810,'Match Log'!$D$4:$D$810,$A11,'Match Log'!$E$4:$E$810,"Loss")))=0,"",TEXT(SUMPRODUCT(('Match Log'!$D$4:$D$810=$A11)*('Match Log'!$E$4:$E$810="Win")*COUNTIFS('Match Log'!$A$4:$A$810,'Match Log'!$A$4:$A$810,'Match Log'!$D$4:$D$810,H$4,'Match Log'!$E$4:$E$810,"Loss"))/(SUMPRODUCT(('Match Log'!$D$4:$D$810=$A11)*('Match Log'!$E$4:$E$810="Win")*COUNTIFS('Match Log'!$A$4:$A$810,'Match Log'!$A$4:$A$810,'Match Log'!$D$4:$D$810,H$4,'Match Log'!$E$4:$E$810,"Loss"))+SUMPRODUCT(('Match Log'!$D$4:$D$810=H$4)*('Match Log'!$E$4:$E$810="Win")*COUNTIFS('Match Log'!$A$4:$A$810,'Match Log'!$A$4:$A$810,'Match Log'!$D$4:$D$810,$A11,'Match Log'!$E$4:$E$810,"Loss"))),"0%")&amp;" of "&amp;(SUMPRODUCT(('Match Log'!$D$4:$D$810=$A11)*('Match Log'!$E$4:$E$810="Win")*COUNTIFS('Match Log'!$A$4:$A$810,'Match Log'!$A$4:$A$810,'Match Log'!$D$4:$D$810,H$4,'Match Log'!$E$4:$E$810,"Loss"))+SUMPRODUCT(('Match Log'!$D$4:$D$810=H$4)*('Match Log'!$E$4:$E$810="Win")*COUNTIFS('Match Log'!$A$4:$A$810,'Match Log'!$A$4:$A$810,'Match Log'!$D$4:$D$810,$A11,'Match Log'!$E$4:$E$810,"Loss")))))</f>
        <v>—</v>
      </c>
      <c r="I11" s="50" t="str">
        <f>IF($A11=I$4,"—",IF((SUMPRODUCT(('Match Log'!$D$4:$D$810=$A11)*('Match Log'!$E$4:$E$810="Win")*COUNTIFS('Match Log'!$A$4:$A$810,'Match Log'!$A$4:$A$810,'Match Log'!$D$4:$D$810,I$4,'Match Log'!$E$4:$E$810,"Loss"))+SUMPRODUCT(('Match Log'!$D$4:$D$810=I$4)*('Match Log'!$E$4:$E$810="Win")*COUNTIFS('Match Log'!$A$4:$A$810,'Match Log'!$A$4:$A$810,'Match Log'!$D$4:$D$810,$A11,'Match Log'!$E$4:$E$810,"Loss")))=0,"",TEXT(SUMPRODUCT(('Match Log'!$D$4:$D$810=$A11)*('Match Log'!$E$4:$E$810="Win")*COUNTIFS('Match Log'!$A$4:$A$810,'Match Log'!$A$4:$A$810,'Match Log'!$D$4:$D$810,I$4,'Match Log'!$E$4:$E$810,"Loss"))/(SUMPRODUCT(('Match Log'!$D$4:$D$810=$A11)*('Match Log'!$E$4:$E$810="Win")*COUNTIFS('Match Log'!$A$4:$A$810,'Match Log'!$A$4:$A$810,'Match Log'!$D$4:$D$810,I$4,'Match Log'!$E$4:$E$810,"Loss"))+SUMPRODUCT(('Match Log'!$D$4:$D$810=I$4)*('Match Log'!$E$4:$E$810="Win")*COUNTIFS('Match Log'!$A$4:$A$810,'Match Log'!$A$4:$A$810,'Match Log'!$D$4:$D$810,$A11,'Match Log'!$E$4:$E$810,"Loss"))),"0%")&amp;" of "&amp;(SUMPRODUCT(('Match Log'!$D$4:$D$810=$A11)*('Match Log'!$E$4:$E$810="Win")*COUNTIFS('Match Log'!$A$4:$A$810,'Match Log'!$A$4:$A$810,'Match Log'!$D$4:$D$810,I$4,'Match Log'!$E$4:$E$810,"Loss"))+SUMPRODUCT(('Match Log'!$D$4:$D$810=I$4)*('Match Log'!$E$4:$E$810="Win")*COUNTIFS('Match Log'!$A$4:$A$810,'Match Log'!$A$4:$A$810,'Match Log'!$D$4:$D$810,$A11,'Match Log'!$E$4:$E$810,"Loss")))))</f>
        <v/>
      </c>
      <c r="J11" s="50" t="str">
        <f>IF($A11=J$4,"—",IF((SUMPRODUCT(('Match Log'!$D$4:$D$810=$A11)*('Match Log'!$E$4:$E$810="Win")*COUNTIFS('Match Log'!$A$4:$A$810,'Match Log'!$A$4:$A$810,'Match Log'!$D$4:$D$810,J$4,'Match Log'!$E$4:$E$810,"Loss"))+SUMPRODUCT(('Match Log'!$D$4:$D$810=J$4)*('Match Log'!$E$4:$E$810="Win")*COUNTIFS('Match Log'!$A$4:$A$810,'Match Log'!$A$4:$A$810,'Match Log'!$D$4:$D$810,$A11,'Match Log'!$E$4:$E$810,"Loss")))=0,"",TEXT(SUMPRODUCT(('Match Log'!$D$4:$D$810=$A11)*('Match Log'!$E$4:$E$810="Win")*COUNTIFS('Match Log'!$A$4:$A$810,'Match Log'!$A$4:$A$810,'Match Log'!$D$4:$D$810,J$4,'Match Log'!$E$4:$E$810,"Loss"))/(SUMPRODUCT(('Match Log'!$D$4:$D$810=$A11)*('Match Log'!$E$4:$E$810="Win")*COUNTIFS('Match Log'!$A$4:$A$810,'Match Log'!$A$4:$A$810,'Match Log'!$D$4:$D$810,J$4,'Match Log'!$E$4:$E$810,"Loss"))+SUMPRODUCT(('Match Log'!$D$4:$D$810=J$4)*('Match Log'!$E$4:$E$810="Win")*COUNTIFS('Match Log'!$A$4:$A$810,'Match Log'!$A$4:$A$810,'Match Log'!$D$4:$D$810,$A11,'Match Log'!$E$4:$E$810,"Loss"))),"0%")&amp;" of "&amp;(SUMPRODUCT(('Match Log'!$D$4:$D$810=$A11)*('Match Log'!$E$4:$E$810="Win")*COUNTIFS('Match Log'!$A$4:$A$810,'Match Log'!$A$4:$A$810,'Match Log'!$D$4:$D$810,J$4,'Match Log'!$E$4:$E$810,"Loss"))+SUMPRODUCT(('Match Log'!$D$4:$D$810=J$4)*('Match Log'!$E$4:$E$810="Win")*COUNTIFS('Match Log'!$A$4:$A$810,'Match Log'!$A$4:$A$810,'Match Log'!$D$4:$D$810,$A11,'Match Log'!$E$4:$E$810,"Loss")))))</f>
        <v>100% of 2</v>
      </c>
      <c r="K11" s="50" t="str">
        <f>IF($A11=K$4,"—",IF((SUMPRODUCT(('Match Log'!$D$4:$D$810=$A11)*('Match Log'!$E$4:$E$810="Win")*COUNTIFS('Match Log'!$A$4:$A$810,'Match Log'!$A$4:$A$810,'Match Log'!$D$4:$D$810,K$4,'Match Log'!$E$4:$E$810,"Loss"))+SUMPRODUCT(('Match Log'!$D$4:$D$810=K$4)*('Match Log'!$E$4:$E$810="Win")*COUNTIFS('Match Log'!$A$4:$A$810,'Match Log'!$A$4:$A$810,'Match Log'!$D$4:$D$810,$A11,'Match Log'!$E$4:$E$810,"Loss")))=0,"",TEXT(SUMPRODUCT(('Match Log'!$D$4:$D$810=$A11)*('Match Log'!$E$4:$E$810="Win")*COUNTIFS('Match Log'!$A$4:$A$810,'Match Log'!$A$4:$A$810,'Match Log'!$D$4:$D$810,K$4,'Match Log'!$E$4:$E$810,"Loss"))/(SUMPRODUCT(('Match Log'!$D$4:$D$810=$A11)*('Match Log'!$E$4:$E$810="Win")*COUNTIFS('Match Log'!$A$4:$A$810,'Match Log'!$A$4:$A$810,'Match Log'!$D$4:$D$810,K$4,'Match Log'!$E$4:$E$810,"Loss"))+SUMPRODUCT(('Match Log'!$D$4:$D$810=K$4)*('Match Log'!$E$4:$E$810="Win")*COUNTIFS('Match Log'!$A$4:$A$810,'Match Log'!$A$4:$A$810,'Match Log'!$D$4:$D$810,$A11,'Match Log'!$E$4:$E$810,"Loss"))),"0%")&amp;" of "&amp;(SUMPRODUCT(('Match Log'!$D$4:$D$810=$A11)*('Match Log'!$E$4:$E$810="Win")*COUNTIFS('Match Log'!$A$4:$A$810,'Match Log'!$A$4:$A$810,'Match Log'!$D$4:$D$810,K$4,'Match Log'!$E$4:$E$810,"Loss"))+SUMPRODUCT(('Match Log'!$D$4:$D$810=K$4)*('Match Log'!$E$4:$E$810="Win")*COUNTIFS('Match Log'!$A$4:$A$810,'Match Log'!$A$4:$A$810,'Match Log'!$D$4:$D$810,$A11,'Match Log'!$E$4:$E$810,"Loss")))))</f>
        <v>100% of 2</v>
      </c>
      <c r="L11" s="50" t="str">
        <f>IF($A11=L$4,"—",IF((SUMPRODUCT(('Match Log'!$D$4:$D$810=$A11)*('Match Log'!$E$4:$E$810="Win")*COUNTIFS('Match Log'!$A$4:$A$810,'Match Log'!$A$4:$A$810,'Match Log'!$D$4:$D$810,L$4,'Match Log'!$E$4:$E$810,"Loss"))+SUMPRODUCT(('Match Log'!$D$4:$D$810=L$4)*('Match Log'!$E$4:$E$810="Win")*COUNTIFS('Match Log'!$A$4:$A$810,'Match Log'!$A$4:$A$810,'Match Log'!$D$4:$D$810,$A11,'Match Log'!$E$4:$E$810,"Loss")))=0,"",TEXT(SUMPRODUCT(('Match Log'!$D$4:$D$810=$A11)*('Match Log'!$E$4:$E$810="Win")*COUNTIFS('Match Log'!$A$4:$A$810,'Match Log'!$A$4:$A$810,'Match Log'!$D$4:$D$810,L$4,'Match Log'!$E$4:$E$810,"Loss"))/(SUMPRODUCT(('Match Log'!$D$4:$D$810=$A11)*('Match Log'!$E$4:$E$810="Win")*COUNTIFS('Match Log'!$A$4:$A$810,'Match Log'!$A$4:$A$810,'Match Log'!$D$4:$D$810,L$4,'Match Log'!$E$4:$E$810,"Loss"))+SUMPRODUCT(('Match Log'!$D$4:$D$810=L$4)*('Match Log'!$E$4:$E$810="Win")*COUNTIFS('Match Log'!$A$4:$A$810,'Match Log'!$A$4:$A$810,'Match Log'!$D$4:$D$810,$A11,'Match Log'!$E$4:$E$810,"Loss"))),"0%")&amp;" of "&amp;(SUMPRODUCT(('Match Log'!$D$4:$D$810=$A11)*('Match Log'!$E$4:$E$810="Win")*COUNTIFS('Match Log'!$A$4:$A$810,'Match Log'!$A$4:$A$810,'Match Log'!$D$4:$D$810,L$4,'Match Log'!$E$4:$E$810,"Loss"))+SUMPRODUCT(('Match Log'!$D$4:$D$810=L$4)*('Match Log'!$E$4:$E$810="Win")*COUNTIFS('Match Log'!$A$4:$A$810,'Match Log'!$A$4:$A$810,'Match Log'!$D$4:$D$810,$A11,'Match Log'!$E$4:$E$810,"Loss")))))</f>
        <v>40% of 5</v>
      </c>
      <c r="M11" s="50" t="str">
        <f>IF($A11=M$4,"—",IF((SUMPRODUCT(('Match Log'!$D$4:$D$810=$A11)*('Match Log'!$E$4:$E$810="Win")*COUNTIFS('Match Log'!$A$4:$A$810,'Match Log'!$A$4:$A$810,'Match Log'!$D$4:$D$810,M$4,'Match Log'!$E$4:$E$810,"Loss"))+SUMPRODUCT(('Match Log'!$D$4:$D$810=M$4)*('Match Log'!$E$4:$E$810="Win")*COUNTIFS('Match Log'!$A$4:$A$810,'Match Log'!$A$4:$A$810,'Match Log'!$D$4:$D$810,$A11,'Match Log'!$E$4:$E$810,"Loss")))=0,"",TEXT(SUMPRODUCT(('Match Log'!$D$4:$D$810=$A11)*('Match Log'!$E$4:$E$810="Win")*COUNTIFS('Match Log'!$A$4:$A$810,'Match Log'!$A$4:$A$810,'Match Log'!$D$4:$D$810,M$4,'Match Log'!$E$4:$E$810,"Loss"))/(SUMPRODUCT(('Match Log'!$D$4:$D$810=$A11)*('Match Log'!$E$4:$E$810="Win")*COUNTIFS('Match Log'!$A$4:$A$810,'Match Log'!$A$4:$A$810,'Match Log'!$D$4:$D$810,M$4,'Match Log'!$E$4:$E$810,"Loss"))+SUMPRODUCT(('Match Log'!$D$4:$D$810=M$4)*('Match Log'!$E$4:$E$810="Win")*COUNTIFS('Match Log'!$A$4:$A$810,'Match Log'!$A$4:$A$810,'Match Log'!$D$4:$D$810,$A11,'Match Log'!$E$4:$E$810,"Loss"))),"0%")&amp;" of "&amp;(SUMPRODUCT(('Match Log'!$D$4:$D$810=$A11)*('Match Log'!$E$4:$E$810="Win")*COUNTIFS('Match Log'!$A$4:$A$810,'Match Log'!$A$4:$A$810,'Match Log'!$D$4:$D$810,M$4,'Match Log'!$E$4:$E$810,"Loss"))+SUMPRODUCT(('Match Log'!$D$4:$D$810=M$4)*('Match Log'!$E$4:$E$810="Win")*COUNTIFS('Match Log'!$A$4:$A$810,'Match Log'!$A$4:$A$810,'Match Log'!$D$4:$D$810,$A11,'Match Log'!$E$4:$E$810,"Loss")))))</f>
        <v>100% of 1</v>
      </c>
      <c r="N11" s="50" t="str">
        <f>IF($A11=N$4,"—",IF((SUMPRODUCT(('Match Log'!$D$4:$D$810=$A11)*('Match Log'!$E$4:$E$810="Win")*COUNTIFS('Match Log'!$A$4:$A$810,'Match Log'!$A$4:$A$810,'Match Log'!$D$4:$D$810,N$4,'Match Log'!$E$4:$E$810,"Loss"))+SUMPRODUCT(('Match Log'!$D$4:$D$810=N$4)*('Match Log'!$E$4:$E$810="Win")*COUNTIFS('Match Log'!$A$4:$A$810,'Match Log'!$A$4:$A$810,'Match Log'!$D$4:$D$810,$A11,'Match Log'!$E$4:$E$810,"Loss")))=0,"",TEXT(SUMPRODUCT(('Match Log'!$D$4:$D$810=$A11)*('Match Log'!$E$4:$E$810="Win")*COUNTIFS('Match Log'!$A$4:$A$810,'Match Log'!$A$4:$A$810,'Match Log'!$D$4:$D$810,N$4,'Match Log'!$E$4:$E$810,"Loss"))/(SUMPRODUCT(('Match Log'!$D$4:$D$810=$A11)*('Match Log'!$E$4:$E$810="Win")*COUNTIFS('Match Log'!$A$4:$A$810,'Match Log'!$A$4:$A$810,'Match Log'!$D$4:$D$810,N$4,'Match Log'!$E$4:$E$810,"Loss"))+SUMPRODUCT(('Match Log'!$D$4:$D$810=N$4)*('Match Log'!$E$4:$E$810="Win")*COUNTIFS('Match Log'!$A$4:$A$810,'Match Log'!$A$4:$A$810,'Match Log'!$D$4:$D$810,$A11,'Match Log'!$E$4:$E$810,"Loss"))),"0%")&amp;" of "&amp;(SUMPRODUCT(('Match Log'!$D$4:$D$810=$A11)*('Match Log'!$E$4:$E$810="Win")*COUNTIFS('Match Log'!$A$4:$A$810,'Match Log'!$A$4:$A$810,'Match Log'!$D$4:$D$810,N$4,'Match Log'!$E$4:$E$810,"Loss"))+SUMPRODUCT(('Match Log'!$D$4:$D$810=N$4)*('Match Log'!$E$4:$E$810="Win")*COUNTIFS('Match Log'!$A$4:$A$810,'Match Log'!$A$4:$A$810,'Match Log'!$D$4:$D$810,$A11,'Match Log'!$E$4:$E$810,"Loss")))))</f>
        <v>50% of 2</v>
      </c>
      <c r="O11" s="50" t="str">
        <f>IF($A11=O$4,"—",IF((SUMPRODUCT(('Match Log'!$D$4:$D$810=$A11)*('Match Log'!$E$4:$E$810="Win")*COUNTIFS('Match Log'!$A$4:$A$810,'Match Log'!$A$4:$A$810,'Match Log'!$D$4:$D$810,O$4,'Match Log'!$E$4:$E$810,"Loss"))+SUMPRODUCT(('Match Log'!$D$4:$D$810=O$4)*('Match Log'!$E$4:$E$810="Win")*COUNTIFS('Match Log'!$A$4:$A$810,'Match Log'!$A$4:$A$810,'Match Log'!$D$4:$D$810,$A11,'Match Log'!$E$4:$E$810,"Loss")))=0,"",TEXT(SUMPRODUCT(('Match Log'!$D$4:$D$810=$A11)*('Match Log'!$E$4:$E$810="Win")*COUNTIFS('Match Log'!$A$4:$A$810,'Match Log'!$A$4:$A$810,'Match Log'!$D$4:$D$810,O$4,'Match Log'!$E$4:$E$810,"Loss"))/(SUMPRODUCT(('Match Log'!$D$4:$D$810=$A11)*('Match Log'!$E$4:$E$810="Win")*COUNTIFS('Match Log'!$A$4:$A$810,'Match Log'!$A$4:$A$810,'Match Log'!$D$4:$D$810,O$4,'Match Log'!$E$4:$E$810,"Loss"))+SUMPRODUCT(('Match Log'!$D$4:$D$810=O$4)*('Match Log'!$E$4:$E$810="Win")*COUNTIFS('Match Log'!$A$4:$A$810,'Match Log'!$A$4:$A$810,'Match Log'!$D$4:$D$810,$A11,'Match Log'!$E$4:$E$810,"Loss"))),"0%")&amp;" of "&amp;(SUMPRODUCT(('Match Log'!$D$4:$D$810=$A11)*('Match Log'!$E$4:$E$810="Win")*COUNTIFS('Match Log'!$A$4:$A$810,'Match Log'!$A$4:$A$810,'Match Log'!$D$4:$D$810,O$4,'Match Log'!$E$4:$E$810,"Loss"))+SUMPRODUCT(('Match Log'!$D$4:$D$810=O$4)*('Match Log'!$E$4:$E$810="Win")*COUNTIFS('Match Log'!$A$4:$A$810,'Match Log'!$A$4:$A$810,'Match Log'!$D$4:$D$810,$A11,'Match Log'!$E$4:$E$810,"Loss")))))</f>
        <v/>
      </c>
    </row>
    <row r="12" spans="1:15" ht="15" customHeight="1" x14ac:dyDescent="0.2">
      <c r="A12" s="45" t="s">
        <v>170</v>
      </c>
      <c r="B12" s="50" t="str">
        <f>IF($A12=B$4,"—",IF((SUMPRODUCT(('Match Log'!$D$4:$D$810=$A12)*('Match Log'!$E$4:$E$810="Win")*COUNTIFS('Match Log'!$A$4:$A$810,'Match Log'!$A$4:$A$810,'Match Log'!$D$4:$D$810,B$4,'Match Log'!$E$4:$E$810,"Loss"))+SUMPRODUCT(('Match Log'!$D$4:$D$810=B$4)*('Match Log'!$E$4:$E$810="Win")*COUNTIFS('Match Log'!$A$4:$A$810,'Match Log'!$A$4:$A$810,'Match Log'!$D$4:$D$810,$A12,'Match Log'!$E$4:$E$810,"Loss")))=0,"",TEXT(SUMPRODUCT(('Match Log'!$D$4:$D$810=$A12)*('Match Log'!$E$4:$E$810="Win")*COUNTIFS('Match Log'!$A$4:$A$810,'Match Log'!$A$4:$A$810,'Match Log'!$D$4:$D$810,B$4,'Match Log'!$E$4:$E$810,"Loss"))/(SUMPRODUCT(('Match Log'!$D$4:$D$810=$A12)*('Match Log'!$E$4:$E$810="Win")*COUNTIFS('Match Log'!$A$4:$A$810,'Match Log'!$A$4:$A$810,'Match Log'!$D$4:$D$810,B$4,'Match Log'!$E$4:$E$810,"Loss"))+SUMPRODUCT(('Match Log'!$D$4:$D$810=B$4)*('Match Log'!$E$4:$E$810="Win")*COUNTIFS('Match Log'!$A$4:$A$810,'Match Log'!$A$4:$A$810,'Match Log'!$D$4:$D$810,$A12,'Match Log'!$E$4:$E$810,"Loss"))),"0%")&amp;" of "&amp;(SUMPRODUCT(('Match Log'!$D$4:$D$810=$A12)*('Match Log'!$E$4:$E$810="Win")*COUNTIFS('Match Log'!$A$4:$A$810,'Match Log'!$A$4:$A$810,'Match Log'!$D$4:$D$810,B$4,'Match Log'!$E$4:$E$810,"Loss"))+SUMPRODUCT(('Match Log'!$D$4:$D$810=B$4)*('Match Log'!$E$4:$E$810="Win")*COUNTIFS('Match Log'!$A$4:$A$810,'Match Log'!$A$4:$A$810,'Match Log'!$D$4:$D$810,$A12,'Match Log'!$E$4:$E$810,"Loss")))))</f>
        <v>40% of 5</v>
      </c>
      <c r="C12" s="50" t="str">
        <f>IF($A12=C$4,"—",IF((SUMPRODUCT(('Match Log'!$D$4:$D$810=$A12)*('Match Log'!$E$4:$E$810="Win")*COUNTIFS('Match Log'!$A$4:$A$810,'Match Log'!$A$4:$A$810,'Match Log'!$D$4:$D$810,C$4,'Match Log'!$E$4:$E$810,"Loss"))+SUMPRODUCT(('Match Log'!$D$4:$D$810=C$4)*('Match Log'!$E$4:$E$810="Win")*COUNTIFS('Match Log'!$A$4:$A$810,'Match Log'!$A$4:$A$810,'Match Log'!$D$4:$D$810,$A12,'Match Log'!$E$4:$E$810,"Loss")))=0,"",TEXT(SUMPRODUCT(('Match Log'!$D$4:$D$810=$A12)*('Match Log'!$E$4:$E$810="Win")*COUNTIFS('Match Log'!$A$4:$A$810,'Match Log'!$A$4:$A$810,'Match Log'!$D$4:$D$810,C$4,'Match Log'!$E$4:$E$810,"Loss"))/(SUMPRODUCT(('Match Log'!$D$4:$D$810=$A12)*('Match Log'!$E$4:$E$810="Win")*COUNTIFS('Match Log'!$A$4:$A$810,'Match Log'!$A$4:$A$810,'Match Log'!$D$4:$D$810,C$4,'Match Log'!$E$4:$E$810,"Loss"))+SUMPRODUCT(('Match Log'!$D$4:$D$810=C$4)*('Match Log'!$E$4:$E$810="Win")*COUNTIFS('Match Log'!$A$4:$A$810,'Match Log'!$A$4:$A$810,'Match Log'!$D$4:$D$810,$A12,'Match Log'!$E$4:$E$810,"Loss"))),"0%")&amp;" of "&amp;(SUMPRODUCT(('Match Log'!$D$4:$D$810=$A12)*('Match Log'!$E$4:$E$810="Win")*COUNTIFS('Match Log'!$A$4:$A$810,'Match Log'!$A$4:$A$810,'Match Log'!$D$4:$D$810,C$4,'Match Log'!$E$4:$E$810,"Loss"))+SUMPRODUCT(('Match Log'!$D$4:$D$810=C$4)*('Match Log'!$E$4:$E$810="Win")*COUNTIFS('Match Log'!$A$4:$A$810,'Match Log'!$A$4:$A$810,'Match Log'!$D$4:$D$810,$A12,'Match Log'!$E$4:$E$810,"Loss")))))</f>
        <v>0% of 2</v>
      </c>
      <c r="D12" s="50" t="str">
        <f>IF($A12=D$4,"—",IF((SUMPRODUCT(('Match Log'!$D$4:$D$810=$A12)*('Match Log'!$E$4:$E$810="Win")*COUNTIFS('Match Log'!$A$4:$A$810,'Match Log'!$A$4:$A$810,'Match Log'!$D$4:$D$810,D$4,'Match Log'!$E$4:$E$810,"Loss"))+SUMPRODUCT(('Match Log'!$D$4:$D$810=D$4)*('Match Log'!$E$4:$E$810="Win")*COUNTIFS('Match Log'!$A$4:$A$810,'Match Log'!$A$4:$A$810,'Match Log'!$D$4:$D$810,$A12,'Match Log'!$E$4:$E$810,"Loss")))=0,"",TEXT(SUMPRODUCT(('Match Log'!$D$4:$D$810=$A12)*('Match Log'!$E$4:$E$810="Win")*COUNTIFS('Match Log'!$A$4:$A$810,'Match Log'!$A$4:$A$810,'Match Log'!$D$4:$D$810,D$4,'Match Log'!$E$4:$E$810,"Loss"))/(SUMPRODUCT(('Match Log'!$D$4:$D$810=$A12)*('Match Log'!$E$4:$E$810="Win")*COUNTIFS('Match Log'!$A$4:$A$810,'Match Log'!$A$4:$A$810,'Match Log'!$D$4:$D$810,D$4,'Match Log'!$E$4:$E$810,"Loss"))+SUMPRODUCT(('Match Log'!$D$4:$D$810=D$4)*('Match Log'!$E$4:$E$810="Win")*COUNTIFS('Match Log'!$A$4:$A$810,'Match Log'!$A$4:$A$810,'Match Log'!$D$4:$D$810,$A12,'Match Log'!$E$4:$E$810,"Loss"))),"0%")&amp;" of "&amp;(SUMPRODUCT(('Match Log'!$D$4:$D$810=$A12)*('Match Log'!$E$4:$E$810="Win")*COUNTIFS('Match Log'!$A$4:$A$810,'Match Log'!$A$4:$A$810,'Match Log'!$D$4:$D$810,D$4,'Match Log'!$E$4:$E$810,"Loss"))+SUMPRODUCT(('Match Log'!$D$4:$D$810=D$4)*('Match Log'!$E$4:$E$810="Win")*COUNTIFS('Match Log'!$A$4:$A$810,'Match Log'!$A$4:$A$810,'Match Log'!$D$4:$D$810,$A12,'Match Log'!$E$4:$E$810,"Loss")))))</f>
        <v>20% of 5</v>
      </c>
      <c r="E12" s="50" t="str">
        <f>IF($A12=E$4,"—",IF((SUMPRODUCT(('Match Log'!$D$4:$D$810=$A12)*('Match Log'!$E$4:$E$810="Win")*COUNTIFS('Match Log'!$A$4:$A$810,'Match Log'!$A$4:$A$810,'Match Log'!$D$4:$D$810,E$4,'Match Log'!$E$4:$E$810,"Loss"))+SUMPRODUCT(('Match Log'!$D$4:$D$810=E$4)*('Match Log'!$E$4:$E$810="Win")*COUNTIFS('Match Log'!$A$4:$A$810,'Match Log'!$A$4:$A$810,'Match Log'!$D$4:$D$810,$A12,'Match Log'!$E$4:$E$810,"Loss")))=0,"",TEXT(SUMPRODUCT(('Match Log'!$D$4:$D$810=$A12)*('Match Log'!$E$4:$E$810="Win")*COUNTIFS('Match Log'!$A$4:$A$810,'Match Log'!$A$4:$A$810,'Match Log'!$D$4:$D$810,E$4,'Match Log'!$E$4:$E$810,"Loss"))/(SUMPRODUCT(('Match Log'!$D$4:$D$810=$A12)*('Match Log'!$E$4:$E$810="Win")*COUNTIFS('Match Log'!$A$4:$A$810,'Match Log'!$A$4:$A$810,'Match Log'!$D$4:$D$810,E$4,'Match Log'!$E$4:$E$810,"Loss"))+SUMPRODUCT(('Match Log'!$D$4:$D$810=E$4)*('Match Log'!$E$4:$E$810="Win")*COUNTIFS('Match Log'!$A$4:$A$810,'Match Log'!$A$4:$A$810,'Match Log'!$D$4:$D$810,$A12,'Match Log'!$E$4:$E$810,"Loss"))),"0%")&amp;" of "&amp;(SUMPRODUCT(('Match Log'!$D$4:$D$810=$A12)*('Match Log'!$E$4:$E$810="Win")*COUNTIFS('Match Log'!$A$4:$A$810,'Match Log'!$A$4:$A$810,'Match Log'!$D$4:$D$810,E$4,'Match Log'!$E$4:$E$810,"Loss"))+SUMPRODUCT(('Match Log'!$D$4:$D$810=E$4)*('Match Log'!$E$4:$E$810="Win")*COUNTIFS('Match Log'!$A$4:$A$810,'Match Log'!$A$4:$A$810,'Match Log'!$D$4:$D$810,$A12,'Match Log'!$E$4:$E$810,"Loss")))))</f>
        <v>100% of 3</v>
      </c>
      <c r="F12" s="50" t="str">
        <f>IF($A12=F$4,"—",IF((SUMPRODUCT(('Match Log'!$D$4:$D$810=$A12)*('Match Log'!$E$4:$E$810="Win")*COUNTIFS('Match Log'!$A$4:$A$810,'Match Log'!$A$4:$A$810,'Match Log'!$D$4:$D$810,F$4,'Match Log'!$E$4:$E$810,"Loss"))+SUMPRODUCT(('Match Log'!$D$4:$D$810=F$4)*('Match Log'!$E$4:$E$810="Win")*COUNTIFS('Match Log'!$A$4:$A$810,'Match Log'!$A$4:$A$810,'Match Log'!$D$4:$D$810,$A12,'Match Log'!$E$4:$E$810,"Loss")))=0,"",TEXT(SUMPRODUCT(('Match Log'!$D$4:$D$810=$A12)*('Match Log'!$E$4:$E$810="Win")*COUNTIFS('Match Log'!$A$4:$A$810,'Match Log'!$A$4:$A$810,'Match Log'!$D$4:$D$810,F$4,'Match Log'!$E$4:$E$810,"Loss"))/(SUMPRODUCT(('Match Log'!$D$4:$D$810=$A12)*('Match Log'!$E$4:$E$810="Win")*COUNTIFS('Match Log'!$A$4:$A$810,'Match Log'!$A$4:$A$810,'Match Log'!$D$4:$D$810,F$4,'Match Log'!$E$4:$E$810,"Loss"))+SUMPRODUCT(('Match Log'!$D$4:$D$810=F$4)*('Match Log'!$E$4:$E$810="Win")*COUNTIFS('Match Log'!$A$4:$A$810,'Match Log'!$A$4:$A$810,'Match Log'!$D$4:$D$810,$A12,'Match Log'!$E$4:$E$810,"Loss"))),"0%")&amp;" of "&amp;(SUMPRODUCT(('Match Log'!$D$4:$D$810=$A12)*('Match Log'!$E$4:$E$810="Win")*COUNTIFS('Match Log'!$A$4:$A$810,'Match Log'!$A$4:$A$810,'Match Log'!$D$4:$D$810,F$4,'Match Log'!$E$4:$E$810,"Loss"))+SUMPRODUCT(('Match Log'!$D$4:$D$810=F$4)*('Match Log'!$E$4:$E$810="Win")*COUNTIFS('Match Log'!$A$4:$A$810,'Match Log'!$A$4:$A$810,'Match Log'!$D$4:$D$810,$A12,'Match Log'!$E$4:$E$810,"Loss")))))</f>
        <v>42% of 12</v>
      </c>
      <c r="G12" s="50" t="str">
        <f>IF($A12=G$4,"—",IF((SUMPRODUCT(('Match Log'!$D$4:$D$810=$A12)*('Match Log'!$E$4:$E$810="Win")*COUNTIFS('Match Log'!$A$4:$A$810,'Match Log'!$A$4:$A$810,'Match Log'!$D$4:$D$810,G$4,'Match Log'!$E$4:$E$810,"Loss"))+SUMPRODUCT(('Match Log'!$D$4:$D$810=G$4)*('Match Log'!$E$4:$E$810="Win")*COUNTIFS('Match Log'!$A$4:$A$810,'Match Log'!$A$4:$A$810,'Match Log'!$D$4:$D$810,$A12,'Match Log'!$E$4:$E$810,"Loss")))=0,"",TEXT(SUMPRODUCT(('Match Log'!$D$4:$D$810=$A12)*('Match Log'!$E$4:$E$810="Win")*COUNTIFS('Match Log'!$A$4:$A$810,'Match Log'!$A$4:$A$810,'Match Log'!$D$4:$D$810,G$4,'Match Log'!$E$4:$E$810,"Loss"))/(SUMPRODUCT(('Match Log'!$D$4:$D$810=$A12)*('Match Log'!$E$4:$E$810="Win")*COUNTIFS('Match Log'!$A$4:$A$810,'Match Log'!$A$4:$A$810,'Match Log'!$D$4:$D$810,G$4,'Match Log'!$E$4:$E$810,"Loss"))+SUMPRODUCT(('Match Log'!$D$4:$D$810=G$4)*('Match Log'!$E$4:$E$810="Win")*COUNTIFS('Match Log'!$A$4:$A$810,'Match Log'!$A$4:$A$810,'Match Log'!$D$4:$D$810,$A12,'Match Log'!$E$4:$E$810,"Loss"))),"0%")&amp;" of "&amp;(SUMPRODUCT(('Match Log'!$D$4:$D$810=$A12)*('Match Log'!$E$4:$E$810="Win")*COUNTIFS('Match Log'!$A$4:$A$810,'Match Log'!$A$4:$A$810,'Match Log'!$D$4:$D$810,G$4,'Match Log'!$E$4:$E$810,"Loss"))+SUMPRODUCT(('Match Log'!$D$4:$D$810=G$4)*('Match Log'!$E$4:$E$810="Win")*COUNTIFS('Match Log'!$A$4:$A$810,'Match Log'!$A$4:$A$810,'Match Log'!$D$4:$D$810,$A12,'Match Log'!$E$4:$E$810,"Loss")))))</f>
        <v>48% of 21</v>
      </c>
      <c r="H12" s="50" t="str">
        <f>IF($A12=H$4,"—",IF((SUMPRODUCT(('Match Log'!$D$4:$D$810=$A12)*('Match Log'!$E$4:$E$810="Win")*COUNTIFS('Match Log'!$A$4:$A$810,'Match Log'!$A$4:$A$810,'Match Log'!$D$4:$D$810,H$4,'Match Log'!$E$4:$E$810,"Loss"))+SUMPRODUCT(('Match Log'!$D$4:$D$810=H$4)*('Match Log'!$E$4:$E$810="Win")*COUNTIFS('Match Log'!$A$4:$A$810,'Match Log'!$A$4:$A$810,'Match Log'!$D$4:$D$810,$A12,'Match Log'!$E$4:$E$810,"Loss")))=0,"",TEXT(SUMPRODUCT(('Match Log'!$D$4:$D$810=$A12)*('Match Log'!$E$4:$E$810="Win")*COUNTIFS('Match Log'!$A$4:$A$810,'Match Log'!$A$4:$A$810,'Match Log'!$D$4:$D$810,H$4,'Match Log'!$E$4:$E$810,"Loss"))/(SUMPRODUCT(('Match Log'!$D$4:$D$810=$A12)*('Match Log'!$E$4:$E$810="Win")*COUNTIFS('Match Log'!$A$4:$A$810,'Match Log'!$A$4:$A$810,'Match Log'!$D$4:$D$810,H$4,'Match Log'!$E$4:$E$810,"Loss"))+SUMPRODUCT(('Match Log'!$D$4:$D$810=H$4)*('Match Log'!$E$4:$E$810="Win")*COUNTIFS('Match Log'!$A$4:$A$810,'Match Log'!$A$4:$A$810,'Match Log'!$D$4:$D$810,$A12,'Match Log'!$E$4:$E$810,"Loss"))),"0%")&amp;" of "&amp;(SUMPRODUCT(('Match Log'!$D$4:$D$810=$A12)*('Match Log'!$E$4:$E$810="Win")*COUNTIFS('Match Log'!$A$4:$A$810,'Match Log'!$A$4:$A$810,'Match Log'!$D$4:$D$810,H$4,'Match Log'!$E$4:$E$810,"Loss"))+SUMPRODUCT(('Match Log'!$D$4:$D$810=H$4)*('Match Log'!$E$4:$E$810="Win")*COUNTIFS('Match Log'!$A$4:$A$810,'Match Log'!$A$4:$A$810,'Match Log'!$D$4:$D$810,$A12,'Match Log'!$E$4:$E$810,"Loss")))))</f>
        <v/>
      </c>
      <c r="I12" s="50" t="str">
        <f>IF($A12=I$4,"—",IF((SUMPRODUCT(('Match Log'!$D$4:$D$810=$A12)*('Match Log'!$E$4:$E$810="Win")*COUNTIFS('Match Log'!$A$4:$A$810,'Match Log'!$A$4:$A$810,'Match Log'!$D$4:$D$810,I$4,'Match Log'!$E$4:$E$810,"Loss"))+SUMPRODUCT(('Match Log'!$D$4:$D$810=I$4)*('Match Log'!$E$4:$E$810="Win")*COUNTIFS('Match Log'!$A$4:$A$810,'Match Log'!$A$4:$A$810,'Match Log'!$D$4:$D$810,$A12,'Match Log'!$E$4:$E$810,"Loss")))=0,"",TEXT(SUMPRODUCT(('Match Log'!$D$4:$D$810=$A12)*('Match Log'!$E$4:$E$810="Win")*COUNTIFS('Match Log'!$A$4:$A$810,'Match Log'!$A$4:$A$810,'Match Log'!$D$4:$D$810,I$4,'Match Log'!$E$4:$E$810,"Loss"))/(SUMPRODUCT(('Match Log'!$D$4:$D$810=$A12)*('Match Log'!$E$4:$E$810="Win")*COUNTIFS('Match Log'!$A$4:$A$810,'Match Log'!$A$4:$A$810,'Match Log'!$D$4:$D$810,I$4,'Match Log'!$E$4:$E$810,"Loss"))+SUMPRODUCT(('Match Log'!$D$4:$D$810=I$4)*('Match Log'!$E$4:$E$810="Win")*COUNTIFS('Match Log'!$A$4:$A$810,'Match Log'!$A$4:$A$810,'Match Log'!$D$4:$D$810,$A12,'Match Log'!$E$4:$E$810,"Loss"))),"0%")&amp;" of "&amp;(SUMPRODUCT(('Match Log'!$D$4:$D$810=$A12)*('Match Log'!$E$4:$E$810="Win")*COUNTIFS('Match Log'!$A$4:$A$810,'Match Log'!$A$4:$A$810,'Match Log'!$D$4:$D$810,I$4,'Match Log'!$E$4:$E$810,"Loss"))+SUMPRODUCT(('Match Log'!$D$4:$D$810=I$4)*('Match Log'!$E$4:$E$810="Win")*COUNTIFS('Match Log'!$A$4:$A$810,'Match Log'!$A$4:$A$810,'Match Log'!$D$4:$D$810,$A12,'Match Log'!$E$4:$E$810,"Loss")))))</f>
        <v>—</v>
      </c>
      <c r="J12" s="50" t="str">
        <f>IF($A12=J$4,"—",IF((SUMPRODUCT(('Match Log'!$D$4:$D$810=$A12)*('Match Log'!$E$4:$E$810="Win")*COUNTIFS('Match Log'!$A$4:$A$810,'Match Log'!$A$4:$A$810,'Match Log'!$D$4:$D$810,J$4,'Match Log'!$E$4:$E$810,"Loss"))+SUMPRODUCT(('Match Log'!$D$4:$D$810=J$4)*('Match Log'!$E$4:$E$810="Win")*COUNTIFS('Match Log'!$A$4:$A$810,'Match Log'!$A$4:$A$810,'Match Log'!$D$4:$D$810,$A12,'Match Log'!$E$4:$E$810,"Loss")))=0,"",TEXT(SUMPRODUCT(('Match Log'!$D$4:$D$810=$A12)*('Match Log'!$E$4:$E$810="Win")*COUNTIFS('Match Log'!$A$4:$A$810,'Match Log'!$A$4:$A$810,'Match Log'!$D$4:$D$810,J$4,'Match Log'!$E$4:$E$810,"Loss"))/(SUMPRODUCT(('Match Log'!$D$4:$D$810=$A12)*('Match Log'!$E$4:$E$810="Win")*COUNTIFS('Match Log'!$A$4:$A$810,'Match Log'!$A$4:$A$810,'Match Log'!$D$4:$D$810,J$4,'Match Log'!$E$4:$E$810,"Loss"))+SUMPRODUCT(('Match Log'!$D$4:$D$810=J$4)*('Match Log'!$E$4:$E$810="Win")*COUNTIFS('Match Log'!$A$4:$A$810,'Match Log'!$A$4:$A$810,'Match Log'!$D$4:$D$810,$A12,'Match Log'!$E$4:$E$810,"Loss"))),"0%")&amp;" of "&amp;(SUMPRODUCT(('Match Log'!$D$4:$D$810=$A12)*('Match Log'!$E$4:$E$810="Win")*COUNTIFS('Match Log'!$A$4:$A$810,'Match Log'!$A$4:$A$810,'Match Log'!$D$4:$D$810,J$4,'Match Log'!$E$4:$E$810,"Loss"))+SUMPRODUCT(('Match Log'!$D$4:$D$810=J$4)*('Match Log'!$E$4:$E$810="Win")*COUNTIFS('Match Log'!$A$4:$A$810,'Match Log'!$A$4:$A$810,'Match Log'!$D$4:$D$810,$A12,'Match Log'!$E$4:$E$810,"Loss")))))</f>
        <v>25% of 4</v>
      </c>
      <c r="K12" s="50" t="str">
        <f>IF($A12=K$4,"—",IF((SUMPRODUCT(('Match Log'!$D$4:$D$810=$A12)*('Match Log'!$E$4:$E$810="Win")*COUNTIFS('Match Log'!$A$4:$A$810,'Match Log'!$A$4:$A$810,'Match Log'!$D$4:$D$810,K$4,'Match Log'!$E$4:$E$810,"Loss"))+SUMPRODUCT(('Match Log'!$D$4:$D$810=K$4)*('Match Log'!$E$4:$E$810="Win")*COUNTIFS('Match Log'!$A$4:$A$810,'Match Log'!$A$4:$A$810,'Match Log'!$D$4:$D$810,$A12,'Match Log'!$E$4:$E$810,"Loss")))=0,"",TEXT(SUMPRODUCT(('Match Log'!$D$4:$D$810=$A12)*('Match Log'!$E$4:$E$810="Win")*COUNTIFS('Match Log'!$A$4:$A$810,'Match Log'!$A$4:$A$810,'Match Log'!$D$4:$D$810,K$4,'Match Log'!$E$4:$E$810,"Loss"))/(SUMPRODUCT(('Match Log'!$D$4:$D$810=$A12)*('Match Log'!$E$4:$E$810="Win")*COUNTIFS('Match Log'!$A$4:$A$810,'Match Log'!$A$4:$A$810,'Match Log'!$D$4:$D$810,K$4,'Match Log'!$E$4:$E$810,"Loss"))+SUMPRODUCT(('Match Log'!$D$4:$D$810=K$4)*('Match Log'!$E$4:$E$810="Win")*COUNTIFS('Match Log'!$A$4:$A$810,'Match Log'!$A$4:$A$810,'Match Log'!$D$4:$D$810,$A12,'Match Log'!$E$4:$E$810,"Loss"))),"0%")&amp;" of "&amp;(SUMPRODUCT(('Match Log'!$D$4:$D$810=$A12)*('Match Log'!$E$4:$E$810="Win")*COUNTIFS('Match Log'!$A$4:$A$810,'Match Log'!$A$4:$A$810,'Match Log'!$D$4:$D$810,K$4,'Match Log'!$E$4:$E$810,"Loss"))+SUMPRODUCT(('Match Log'!$D$4:$D$810=K$4)*('Match Log'!$E$4:$E$810="Win")*COUNTIFS('Match Log'!$A$4:$A$810,'Match Log'!$A$4:$A$810,'Match Log'!$D$4:$D$810,$A12,'Match Log'!$E$4:$E$810,"Loss")))))</f>
        <v>100% of 2</v>
      </c>
      <c r="L12" s="50" t="str">
        <f>IF($A12=L$4,"—",IF((SUMPRODUCT(('Match Log'!$D$4:$D$810=$A12)*('Match Log'!$E$4:$E$810="Win")*COUNTIFS('Match Log'!$A$4:$A$810,'Match Log'!$A$4:$A$810,'Match Log'!$D$4:$D$810,L$4,'Match Log'!$E$4:$E$810,"Loss"))+SUMPRODUCT(('Match Log'!$D$4:$D$810=L$4)*('Match Log'!$E$4:$E$810="Win")*COUNTIFS('Match Log'!$A$4:$A$810,'Match Log'!$A$4:$A$810,'Match Log'!$D$4:$D$810,$A12,'Match Log'!$E$4:$E$810,"Loss")))=0,"",TEXT(SUMPRODUCT(('Match Log'!$D$4:$D$810=$A12)*('Match Log'!$E$4:$E$810="Win")*COUNTIFS('Match Log'!$A$4:$A$810,'Match Log'!$A$4:$A$810,'Match Log'!$D$4:$D$810,L$4,'Match Log'!$E$4:$E$810,"Loss"))/(SUMPRODUCT(('Match Log'!$D$4:$D$810=$A12)*('Match Log'!$E$4:$E$810="Win")*COUNTIFS('Match Log'!$A$4:$A$810,'Match Log'!$A$4:$A$810,'Match Log'!$D$4:$D$810,L$4,'Match Log'!$E$4:$E$810,"Loss"))+SUMPRODUCT(('Match Log'!$D$4:$D$810=L$4)*('Match Log'!$E$4:$E$810="Win")*COUNTIFS('Match Log'!$A$4:$A$810,'Match Log'!$A$4:$A$810,'Match Log'!$D$4:$D$810,$A12,'Match Log'!$E$4:$E$810,"Loss"))),"0%")&amp;" of "&amp;(SUMPRODUCT(('Match Log'!$D$4:$D$810=$A12)*('Match Log'!$E$4:$E$810="Win")*COUNTIFS('Match Log'!$A$4:$A$810,'Match Log'!$A$4:$A$810,'Match Log'!$D$4:$D$810,L$4,'Match Log'!$E$4:$E$810,"Loss"))+SUMPRODUCT(('Match Log'!$D$4:$D$810=L$4)*('Match Log'!$E$4:$E$810="Win")*COUNTIFS('Match Log'!$A$4:$A$810,'Match Log'!$A$4:$A$810,'Match Log'!$D$4:$D$810,$A12,'Match Log'!$E$4:$E$810,"Loss")))))</f>
        <v>80% of 5</v>
      </c>
      <c r="M12" s="50" t="str">
        <f>IF($A12=M$4,"—",IF((SUMPRODUCT(('Match Log'!$D$4:$D$810=$A12)*('Match Log'!$E$4:$E$810="Win")*COUNTIFS('Match Log'!$A$4:$A$810,'Match Log'!$A$4:$A$810,'Match Log'!$D$4:$D$810,M$4,'Match Log'!$E$4:$E$810,"Loss"))+SUMPRODUCT(('Match Log'!$D$4:$D$810=M$4)*('Match Log'!$E$4:$E$810="Win")*COUNTIFS('Match Log'!$A$4:$A$810,'Match Log'!$A$4:$A$810,'Match Log'!$D$4:$D$810,$A12,'Match Log'!$E$4:$E$810,"Loss")))=0,"",TEXT(SUMPRODUCT(('Match Log'!$D$4:$D$810=$A12)*('Match Log'!$E$4:$E$810="Win")*COUNTIFS('Match Log'!$A$4:$A$810,'Match Log'!$A$4:$A$810,'Match Log'!$D$4:$D$810,M$4,'Match Log'!$E$4:$E$810,"Loss"))/(SUMPRODUCT(('Match Log'!$D$4:$D$810=$A12)*('Match Log'!$E$4:$E$810="Win")*COUNTIFS('Match Log'!$A$4:$A$810,'Match Log'!$A$4:$A$810,'Match Log'!$D$4:$D$810,M$4,'Match Log'!$E$4:$E$810,"Loss"))+SUMPRODUCT(('Match Log'!$D$4:$D$810=M$4)*('Match Log'!$E$4:$E$810="Win")*COUNTIFS('Match Log'!$A$4:$A$810,'Match Log'!$A$4:$A$810,'Match Log'!$D$4:$D$810,$A12,'Match Log'!$E$4:$E$810,"Loss"))),"0%")&amp;" of "&amp;(SUMPRODUCT(('Match Log'!$D$4:$D$810=$A12)*('Match Log'!$E$4:$E$810="Win")*COUNTIFS('Match Log'!$A$4:$A$810,'Match Log'!$A$4:$A$810,'Match Log'!$D$4:$D$810,M$4,'Match Log'!$E$4:$E$810,"Loss"))+SUMPRODUCT(('Match Log'!$D$4:$D$810=M$4)*('Match Log'!$E$4:$E$810="Win")*COUNTIFS('Match Log'!$A$4:$A$810,'Match Log'!$A$4:$A$810,'Match Log'!$D$4:$D$810,$A12,'Match Log'!$E$4:$E$810,"Loss")))))</f>
        <v>100% of 2</v>
      </c>
      <c r="N12" s="50" t="str">
        <f>IF($A12=N$4,"—",IF((SUMPRODUCT(('Match Log'!$D$4:$D$810=$A12)*('Match Log'!$E$4:$E$810="Win")*COUNTIFS('Match Log'!$A$4:$A$810,'Match Log'!$A$4:$A$810,'Match Log'!$D$4:$D$810,N$4,'Match Log'!$E$4:$E$810,"Loss"))+SUMPRODUCT(('Match Log'!$D$4:$D$810=N$4)*('Match Log'!$E$4:$E$810="Win")*COUNTIFS('Match Log'!$A$4:$A$810,'Match Log'!$A$4:$A$810,'Match Log'!$D$4:$D$810,$A12,'Match Log'!$E$4:$E$810,"Loss")))=0,"",TEXT(SUMPRODUCT(('Match Log'!$D$4:$D$810=$A12)*('Match Log'!$E$4:$E$810="Win")*COUNTIFS('Match Log'!$A$4:$A$810,'Match Log'!$A$4:$A$810,'Match Log'!$D$4:$D$810,N$4,'Match Log'!$E$4:$E$810,"Loss"))/(SUMPRODUCT(('Match Log'!$D$4:$D$810=$A12)*('Match Log'!$E$4:$E$810="Win")*COUNTIFS('Match Log'!$A$4:$A$810,'Match Log'!$A$4:$A$810,'Match Log'!$D$4:$D$810,N$4,'Match Log'!$E$4:$E$810,"Loss"))+SUMPRODUCT(('Match Log'!$D$4:$D$810=N$4)*('Match Log'!$E$4:$E$810="Win")*COUNTIFS('Match Log'!$A$4:$A$810,'Match Log'!$A$4:$A$810,'Match Log'!$D$4:$D$810,$A12,'Match Log'!$E$4:$E$810,"Loss"))),"0%")&amp;" of "&amp;(SUMPRODUCT(('Match Log'!$D$4:$D$810=$A12)*('Match Log'!$E$4:$E$810="Win")*COUNTIFS('Match Log'!$A$4:$A$810,'Match Log'!$A$4:$A$810,'Match Log'!$D$4:$D$810,N$4,'Match Log'!$E$4:$E$810,"Loss"))+SUMPRODUCT(('Match Log'!$D$4:$D$810=N$4)*('Match Log'!$E$4:$E$810="Win")*COUNTIFS('Match Log'!$A$4:$A$810,'Match Log'!$A$4:$A$810,'Match Log'!$D$4:$D$810,$A12,'Match Log'!$E$4:$E$810,"Loss")))))</f>
        <v>0% of 1</v>
      </c>
      <c r="O12" s="50" t="str">
        <f>IF($A12=O$4,"—",IF((SUMPRODUCT(('Match Log'!$D$4:$D$810=$A12)*('Match Log'!$E$4:$E$810="Win")*COUNTIFS('Match Log'!$A$4:$A$810,'Match Log'!$A$4:$A$810,'Match Log'!$D$4:$D$810,O$4,'Match Log'!$E$4:$E$810,"Loss"))+SUMPRODUCT(('Match Log'!$D$4:$D$810=O$4)*('Match Log'!$E$4:$E$810="Win")*COUNTIFS('Match Log'!$A$4:$A$810,'Match Log'!$A$4:$A$810,'Match Log'!$D$4:$D$810,$A12,'Match Log'!$E$4:$E$810,"Loss")))=0,"",TEXT(SUMPRODUCT(('Match Log'!$D$4:$D$810=$A12)*('Match Log'!$E$4:$E$810="Win")*COUNTIFS('Match Log'!$A$4:$A$810,'Match Log'!$A$4:$A$810,'Match Log'!$D$4:$D$810,O$4,'Match Log'!$E$4:$E$810,"Loss"))/(SUMPRODUCT(('Match Log'!$D$4:$D$810=$A12)*('Match Log'!$E$4:$E$810="Win")*COUNTIFS('Match Log'!$A$4:$A$810,'Match Log'!$A$4:$A$810,'Match Log'!$D$4:$D$810,O$4,'Match Log'!$E$4:$E$810,"Loss"))+SUMPRODUCT(('Match Log'!$D$4:$D$810=O$4)*('Match Log'!$E$4:$E$810="Win")*COUNTIFS('Match Log'!$A$4:$A$810,'Match Log'!$A$4:$A$810,'Match Log'!$D$4:$D$810,$A12,'Match Log'!$E$4:$E$810,"Loss"))),"0%")&amp;" of "&amp;(SUMPRODUCT(('Match Log'!$D$4:$D$810=$A12)*('Match Log'!$E$4:$E$810="Win")*COUNTIFS('Match Log'!$A$4:$A$810,'Match Log'!$A$4:$A$810,'Match Log'!$D$4:$D$810,O$4,'Match Log'!$E$4:$E$810,"Loss"))+SUMPRODUCT(('Match Log'!$D$4:$D$810=O$4)*('Match Log'!$E$4:$E$810="Win")*COUNTIFS('Match Log'!$A$4:$A$810,'Match Log'!$A$4:$A$810,'Match Log'!$D$4:$D$810,$A12,'Match Log'!$E$4:$E$810,"Loss")))))</f>
        <v/>
      </c>
    </row>
    <row r="13" spans="1:15" ht="15" customHeight="1" x14ac:dyDescent="0.2">
      <c r="A13" s="45" t="s">
        <v>167</v>
      </c>
      <c r="B13" s="50" t="str">
        <f>IF($A13=B$4,"—",IF((SUMPRODUCT(('Match Log'!$D$4:$D$810=$A13)*('Match Log'!$E$4:$E$810="Win")*COUNTIFS('Match Log'!$A$4:$A$810,'Match Log'!$A$4:$A$810,'Match Log'!$D$4:$D$810,B$4,'Match Log'!$E$4:$E$810,"Loss"))+SUMPRODUCT(('Match Log'!$D$4:$D$810=B$4)*('Match Log'!$E$4:$E$810="Win")*COUNTIFS('Match Log'!$A$4:$A$810,'Match Log'!$A$4:$A$810,'Match Log'!$D$4:$D$810,$A13,'Match Log'!$E$4:$E$810,"Loss")))=0,"",TEXT(SUMPRODUCT(('Match Log'!$D$4:$D$810=$A13)*('Match Log'!$E$4:$E$810="Win")*COUNTIFS('Match Log'!$A$4:$A$810,'Match Log'!$A$4:$A$810,'Match Log'!$D$4:$D$810,B$4,'Match Log'!$E$4:$E$810,"Loss"))/(SUMPRODUCT(('Match Log'!$D$4:$D$810=$A13)*('Match Log'!$E$4:$E$810="Win")*COUNTIFS('Match Log'!$A$4:$A$810,'Match Log'!$A$4:$A$810,'Match Log'!$D$4:$D$810,B$4,'Match Log'!$E$4:$E$810,"Loss"))+SUMPRODUCT(('Match Log'!$D$4:$D$810=B$4)*('Match Log'!$E$4:$E$810="Win")*COUNTIFS('Match Log'!$A$4:$A$810,'Match Log'!$A$4:$A$810,'Match Log'!$D$4:$D$810,$A13,'Match Log'!$E$4:$E$810,"Loss"))),"0%")&amp;" of "&amp;(SUMPRODUCT(('Match Log'!$D$4:$D$810=$A13)*('Match Log'!$E$4:$E$810="Win")*COUNTIFS('Match Log'!$A$4:$A$810,'Match Log'!$A$4:$A$810,'Match Log'!$D$4:$D$810,B$4,'Match Log'!$E$4:$E$810,"Loss"))+SUMPRODUCT(('Match Log'!$D$4:$D$810=B$4)*('Match Log'!$E$4:$E$810="Win")*COUNTIFS('Match Log'!$A$4:$A$810,'Match Log'!$A$4:$A$810,'Match Log'!$D$4:$D$810,$A13,'Match Log'!$E$4:$E$810,"Loss")))))</f>
        <v>50% of 2</v>
      </c>
      <c r="C13" s="50" t="str">
        <f>IF($A13=C$4,"—",IF((SUMPRODUCT(('Match Log'!$D$4:$D$810=$A13)*('Match Log'!$E$4:$E$810="Win")*COUNTIFS('Match Log'!$A$4:$A$810,'Match Log'!$A$4:$A$810,'Match Log'!$D$4:$D$810,C$4,'Match Log'!$E$4:$E$810,"Loss"))+SUMPRODUCT(('Match Log'!$D$4:$D$810=C$4)*('Match Log'!$E$4:$E$810="Win")*COUNTIFS('Match Log'!$A$4:$A$810,'Match Log'!$A$4:$A$810,'Match Log'!$D$4:$D$810,$A13,'Match Log'!$E$4:$E$810,"Loss")))=0,"",TEXT(SUMPRODUCT(('Match Log'!$D$4:$D$810=$A13)*('Match Log'!$E$4:$E$810="Win")*COUNTIFS('Match Log'!$A$4:$A$810,'Match Log'!$A$4:$A$810,'Match Log'!$D$4:$D$810,C$4,'Match Log'!$E$4:$E$810,"Loss"))/(SUMPRODUCT(('Match Log'!$D$4:$D$810=$A13)*('Match Log'!$E$4:$E$810="Win")*COUNTIFS('Match Log'!$A$4:$A$810,'Match Log'!$A$4:$A$810,'Match Log'!$D$4:$D$810,C$4,'Match Log'!$E$4:$E$810,"Loss"))+SUMPRODUCT(('Match Log'!$D$4:$D$810=C$4)*('Match Log'!$E$4:$E$810="Win")*COUNTIFS('Match Log'!$A$4:$A$810,'Match Log'!$A$4:$A$810,'Match Log'!$D$4:$D$810,$A13,'Match Log'!$E$4:$E$810,"Loss"))),"0%")&amp;" of "&amp;(SUMPRODUCT(('Match Log'!$D$4:$D$810=$A13)*('Match Log'!$E$4:$E$810="Win")*COUNTIFS('Match Log'!$A$4:$A$810,'Match Log'!$A$4:$A$810,'Match Log'!$D$4:$D$810,C$4,'Match Log'!$E$4:$E$810,"Loss"))+SUMPRODUCT(('Match Log'!$D$4:$D$810=C$4)*('Match Log'!$E$4:$E$810="Win")*COUNTIFS('Match Log'!$A$4:$A$810,'Match Log'!$A$4:$A$810,'Match Log'!$D$4:$D$810,$A13,'Match Log'!$E$4:$E$810,"Loss")))))</f>
        <v>0% of 2</v>
      </c>
      <c r="D13" s="50" t="str">
        <f>IF($A13=D$4,"—",IF((SUMPRODUCT(('Match Log'!$D$4:$D$810=$A13)*('Match Log'!$E$4:$E$810="Win")*COUNTIFS('Match Log'!$A$4:$A$810,'Match Log'!$A$4:$A$810,'Match Log'!$D$4:$D$810,D$4,'Match Log'!$E$4:$E$810,"Loss"))+SUMPRODUCT(('Match Log'!$D$4:$D$810=D$4)*('Match Log'!$E$4:$E$810="Win")*COUNTIFS('Match Log'!$A$4:$A$810,'Match Log'!$A$4:$A$810,'Match Log'!$D$4:$D$810,$A13,'Match Log'!$E$4:$E$810,"Loss")))=0,"",TEXT(SUMPRODUCT(('Match Log'!$D$4:$D$810=$A13)*('Match Log'!$E$4:$E$810="Win")*COUNTIFS('Match Log'!$A$4:$A$810,'Match Log'!$A$4:$A$810,'Match Log'!$D$4:$D$810,D$4,'Match Log'!$E$4:$E$810,"Loss"))/(SUMPRODUCT(('Match Log'!$D$4:$D$810=$A13)*('Match Log'!$E$4:$E$810="Win")*COUNTIFS('Match Log'!$A$4:$A$810,'Match Log'!$A$4:$A$810,'Match Log'!$D$4:$D$810,D$4,'Match Log'!$E$4:$E$810,"Loss"))+SUMPRODUCT(('Match Log'!$D$4:$D$810=D$4)*('Match Log'!$E$4:$E$810="Win")*COUNTIFS('Match Log'!$A$4:$A$810,'Match Log'!$A$4:$A$810,'Match Log'!$D$4:$D$810,$A13,'Match Log'!$E$4:$E$810,"Loss"))),"0%")&amp;" of "&amp;(SUMPRODUCT(('Match Log'!$D$4:$D$810=$A13)*('Match Log'!$E$4:$E$810="Win")*COUNTIFS('Match Log'!$A$4:$A$810,'Match Log'!$A$4:$A$810,'Match Log'!$D$4:$D$810,D$4,'Match Log'!$E$4:$E$810,"Loss"))+SUMPRODUCT(('Match Log'!$D$4:$D$810=D$4)*('Match Log'!$E$4:$E$810="Win")*COUNTIFS('Match Log'!$A$4:$A$810,'Match Log'!$A$4:$A$810,'Match Log'!$D$4:$D$810,$A13,'Match Log'!$E$4:$E$810,"Loss")))))</f>
        <v/>
      </c>
      <c r="E13" s="50" t="str">
        <f>IF($A13=E$4,"—",IF((SUMPRODUCT(('Match Log'!$D$4:$D$810=$A13)*('Match Log'!$E$4:$E$810="Win")*COUNTIFS('Match Log'!$A$4:$A$810,'Match Log'!$A$4:$A$810,'Match Log'!$D$4:$D$810,E$4,'Match Log'!$E$4:$E$810,"Loss"))+SUMPRODUCT(('Match Log'!$D$4:$D$810=E$4)*('Match Log'!$E$4:$E$810="Win")*COUNTIFS('Match Log'!$A$4:$A$810,'Match Log'!$A$4:$A$810,'Match Log'!$D$4:$D$810,$A13,'Match Log'!$E$4:$E$810,"Loss")))=0,"",TEXT(SUMPRODUCT(('Match Log'!$D$4:$D$810=$A13)*('Match Log'!$E$4:$E$810="Win")*COUNTIFS('Match Log'!$A$4:$A$810,'Match Log'!$A$4:$A$810,'Match Log'!$D$4:$D$810,E$4,'Match Log'!$E$4:$E$810,"Loss"))/(SUMPRODUCT(('Match Log'!$D$4:$D$810=$A13)*('Match Log'!$E$4:$E$810="Win")*COUNTIFS('Match Log'!$A$4:$A$810,'Match Log'!$A$4:$A$810,'Match Log'!$D$4:$D$810,E$4,'Match Log'!$E$4:$E$810,"Loss"))+SUMPRODUCT(('Match Log'!$D$4:$D$810=E$4)*('Match Log'!$E$4:$E$810="Win")*COUNTIFS('Match Log'!$A$4:$A$810,'Match Log'!$A$4:$A$810,'Match Log'!$D$4:$D$810,$A13,'Match Log'!$E$4:$E$810,"Loss"))),"0%")&amp;" of "&amp;(SUMPRODUCT(('Match Log'!$D$4:$D$810=$A13)*('Match Log'!$E$4:$E$810="Win")*COUNTIFS('Match Log'!$A$4:$A$810,'Match Log'!$A$4:$A$810,'Match Log'!$D$4:$D$810,E$4,'Match Log'!$E$4:$E$810,"Loss"))+SUMPRODUCT(('Match Log'!$D$4:$D$810=E$4)*('Match Log'!$E$4:$E$810="Win")*COUNTIFS('Match Log'!$A$4:$A$810,'Match Log'!$A$4:$A$810,'Match Log'!$D$4:$D$810,$A13,'Match Log'!$E$4:$E$810,"Loss")))))</f>
        <v>100% of 3</v>
      </c>
      <c r="F13" s="50" t="str">
        <f>IF($A13=F$4,"—",IF((SUMPRODUCT(('Match Log'!$D$4:$D$810=$A13)*('Match Log'!$E$4:$E$810="Win")*COUNTIFS('Match Log'!$A$4:$A$810,'Match Log'!$A$4:$A$810,'Match Log'!$D$4:$D$810,F$4,'Match Log'!$E$4:$E$810,"Loss"))+SUMPRODUCT(('Match Log'!$D$4:$D$810=F$4)*('Match Log'!$E$4:$E$810="Win")*COUNTIFS('Match Log'!$A$4:$A$810,'Match Log'!$A$4:$A$810,'Match Log'!$D$4:$D$810,$A13,'Match Log'!$E$4:$E$810,"Loss")))=0,"",TEXT(SUMPRODUCT(('Match Log'!$D$4:$D$810=$A13)*('Match Log'!$E$4:$E$810="Win")*COUNTIFS('Match Log'!$A$4:$A$810,'Match Log'!$A$4:$A$810,'Match Log'!$D$4:$D$810,F$4,'Match Log'!$E$4:$E$810,"Loss"))/(SUMPRODUCT(('Match Log'!$D$4:$D$810=$A13)*('Match Log'!$E$4:$E$810="Win")*COUNTIFS('Match Log'!$A$4:$A$810,'Match Log'!$A$4:$A$810,'Match Log'!$D$4:$D$810,F$4,'Match Log'!$E$4:$E$810,"Loss"))+SUMPRODUCT(('Match Log'!$D$4:$D$810=F$4)*('Match Log'!$E$4:$E$810="Win")*COUNTIFS('Match Log'!$A$4:$A$810,'Match Log'!$A$4:$A$810,'Match Log'!$D$4:$D$810,$A13,'Match Log'!$E$4:$E$810,"Loss"))),"0%")&amp;" of "&amp;(SUMPRODUCT(('Match Log'!$D$4:$D$810=$A13)*('Match Log'!$E$4:$E$810="Win")*COUNTIFS('Match Log'!$A$4:$A$810,'Match Log'!$A$4:$A$810,'Match Log'!$D$4:$D$810,F$4,'Match Log'!$E$4:$E$810,"Loss"))+SUMPRODUCT(('Match Log'!$D$4:$D$810=F$4)*('Match Log'!$E$4:$E$810="Win")*COUNTIFS('Match Log'!$A$4:$A$810,'Match Log'!$A$4:$A$810,'Match Log'!$D$4:$D$810,$A13,'Match Log'!$E$4:$E$810,"Loss")))))</f>
        <v>60% of 5</v>
      </c>
      <c r="G13" s="50" t="str">
        <f>IF($A13=G$4,"—",IF((SUMPRODUCT(('Match Log'!$D$4:$D$810=$A13)*('Match Log'!$E$4:$E$810="Win")*COUNTIFS('Match Log'!$A$4:$A$810,'Match Log'!$A$4:$A$810,'Match Log'!$D$4:$D$810,G$4,'Match Log'!$E$4:$E$810,"Loss"))+SUMPRODUCT(('Match Log'!$D$4:$D$810=G$4)*('Match Log'!$E$4:$E$810="Win")*COUNTIFS('Match Log'!$A$4:$A$810,'Match Log'!$A$4:$A$810,'Match Log'!$D$4:$D$810,$A13,'Match Log'!$E$4:$E$810,"Loss")))=0,"",TEXT(SUMPRODUCT(('Match Log'!$D$4:$D$810=$A13)*('Match Log'!$E$4:$E$810="Win")*COUNTIFS('Match Log'!$A$4:$A$810,'Match Log'!$A$4:$A$810,'Match Log'!$D$4:$D$810,G$4,'Match Log'!$E$4:$E$810,"Loss"))/(SUMPRODUCT(('Match Log'!$D$4:$D$810=$A13)*('Match Log'!$E$4:$E$810="Win")*COUNTIFS('Match Log'!$A$4:$A$810,'Match Log'!$A$4:$A$810,'Match Log'!$D$4:$D$810,G$4,'Match Log'!$E$4:$E$810,"Loss"))+SUMPRODUCT(('Match Log'!$D$4:$D$810=G$4)*('Match Log'!$E$4:$E$810="Win")*COUNTIFS('Match Log'!$A$4:$A$810,'Match Log'!$A$4:$A$810,'Match Log'!$D$4:$D$810,$A13,'Match Log'!$E$4:$E$810,"Loss"))),"0%")&amp;" of "&amp;(SUMPRODUCT(('Match Log'!$D$4:$D$810=$A13)*('Match Log'!$E$4:$E$810="Win")*COUNTIFS('Match Log'!$A$4:$A$810,'Match Log'!$A$4:$A$810,'Match Log'!$D$4:$D$810,G$4,'Match Log'!$E$4:$E$810,"Loss"))+SUMPRODUCT(('Match Log'!$D$4:$D$810=G$4)*('Match Log'!$E$4:$E$810="Win")*COUNTIFS('Match Log'!$A$4:$A$810,'Match Log'!$A$4:$A$810,'Match Log'!$D$4:$D$810,$A13,'Match Log'!$E$4:$E$810,"Loss")))))</f>
        <v>67% of 3</v>
      </c>
      <c r="H13" s="50" t="str">
        <f>IF($A13=H$4,"—",IF((SUMPRODUCT(('Match Log'!$D$4:$D$810=$A13)*('Match Log'!$E$4:$E$810="Win")*COUNTIFS('Match Log'!$A$4:$A$810,'Match Log'!$A$4:$A$810,'Match Log'!$D$4:$D$810,H$4,'Match Log'!$E$4:$E$810,"Loss"))+SUMPRODUCT(('Match Log'!$D$4:$D$810=H$4)*('Match Log'!$E$4:$E$810="Win")*COUNTIFS('Match Log'!$A$4:$A$810,'Match Log'!$A$4:$A$810,'Match Log'!$D$4:$D$810,$A13,'Match Log'!$E$4:$E$810,"Loss")))=0,"",TEXT(SUMPRODUCT(('Match Log'!$D$4:$D$810=$A13)*('Match Log'!$E$4:$E$810="Win")*COUNTIFS('Match Log'!$A$4:$A$810,'Match Log'!$A$4:$A$810,'Match Log'!$D$4:$D$810,H$4,'Match Log'!$E$4:$E$810,"Loss"))/(SUMPRODUCT(('Match Log'!$D$4:$D$810=$A13)*('Match Log'!$E$4:$E$810="Win")*COUNTIFS('Match Log'!$A$4:$A$810,'Match Log'!$A$4:$A$810,'Match Log'!$D$4:$D$810,H$4,'Match Log'!$E$4:$E$810,"Loss"))+SUMPRODUCT(('Match Log'!$D$4:$D$810=H$4)*('Match Log'!$E$4:$E$810="Win")*COUNTIFS('Match Log'!$A$4:$A$810,'Match Log'!$A$4:$A$810,'Match Log'!$D$4:$D$810,$A13,'Match Log'!$E$4:$E$810,"Loss"))),"0%")&amp;" of "&amp;(SUMPRODUCT(('Match Log'!$D$4:$D$810=$A13)*('Match Log'!$E$4:$E$810="Win")*COUNTIFS('Match Log'!$A$4:$A$810,'Match Log'!$A$4:$A$810,'Match Log'!$D$4:$D$810,H$4,'Match Log'!$E$4:$E$810,"Loss"))+SUMPRODUCT(('Match Log'!$D$4:$D$810=H$4)*('Match Log'!$E$4:$E$810="Win")*COUNTIFS('Match Log'!$A$4:$A$810,'Match Log'!$A$4:$A$810,'Match Log'!$D$4:$D$810,$A13,'Match Log'!$E$4:$E$810,"Loss")))))</f>
        <v>0% of 2</v>
      </c>
      <c r="I13" s="50" t="str">
        <f>IF($A13=I$4,"—",IF((SUMPRODUCT(('Match Log'!$D$4:$D$810=$A13)*('Match Log'!$E$4:$E$810="Win")*COUNTIFS('Match Log'!$A$4:$A$810,'Match Log'!$A$4:$A$810,'Match Log'!$D$4:$D$810,I$4,'Match Log'!$E$4:$E$810,"Loss"))+SUMPRODUCT(('Match Log'!$D$4:$D$810=I$4)*('Match Log'!$E$4:$E$810="Win")*COUNTIFS('Match Log'!$A$4:$A$810,'Match Log'!$A$4:$A$810,'Match Log'!$D$4:$D$810,$A13,'Match Log'!$E$4:$E$810,"Loss")))=0,"",TEXT(SUMPRODUCT(('Match Log'!$D$4:$D$810=$A13)*('Match Log'!$E$4:$E$810="Win")*COUNTIFS('Match Log'!$A$4:$A$810,'Match Log'!$A$4:$A$810,'Match Log'!$D$4:$D$810,I$4,'Match Log'!$E$4:$E$810,"Loss"))/(SUMPRODUCT(('Match Log'!$D$4:$D$810=$A13)*('Match Log'!$E$4:$E$810="Win")*COUNTIFS('Match Log'!$A$4:$A$810,'Match Log'!$A$4:$A$810,'Match Log'!$D$4:$D$810,I$4,'Match Log'!$E$4:$E$810,"Loss"))+SUMPRODUCT(('Match Log'!$D$4:$D$810=I$4)*('Match Log'!$E$4:$E$810="Win")*COUNTIFS('Match Log'!$A$4:$A$810,'Match Log'!$A$4:$A$810,'Match Log'!$D$4:$D$810,$A13,'Match Log'!$E$4:$E$810,"Loss"))),"0%")&amp;" of "&amp;(SUMPRODUCT(('Match Log'!$D$4:$D$810=$A13)*('Match Log'!$E$4:$E$810="Win")*COUNTIFS('Match Log'!$A$4:$A$810,'Match Log'!$A$4:$A$810,'Match Log'!$D$4:$D$810,I$4,'Match Log'!$E$4:$E$810,"Loss"))+SUMPRODUCT(('Match Log'!$D$4:$D$810=I$4)*('Match Log'!$E$4:$E$810="Win")*COUNTIFS('Match Log'!$A$4:$A$810,'Match Log'!$A$4:$A$810,'Match Log'!$D$4:$D$810,$A13,'Match Log'!$E$4:$E$810,"Loss")))))</f>
        <v>75% of 4</v>
      </c>
      <c r="J13" s="50" t="str">
        <f>IF($A13=J$4,"—",IF((SUMPRODUCT(('Match Log'!$D$4:$D$810=$A13)*('Match Log'!$E$4:$E$810="Win")*COUNTIFS('Match Log'!$A$4:$A$810,'Match Log'!$A$4:$A$810,'Match Log'!$D$4:$D$810,J$4,'Match Log'!$E$4:$E$810,"Loss"))+SUMPRODUCT(('Match Log'!$D$4:$D$810=J$4)*('Match Log'!$E$4:$E$810="Win")*COUNTIFS('Match Log'!$A$4:$A$810,'Match Log'!$A$4:$A$810,'Match Log'!$D$4:$D$810,$A13,'Match Log'!$E$4:$E$810,"Loss")))=0,"",TEXT(SUMPRODUCT(('Match Log'!$D$4:$D$810=$A13)*('Match Log'!$E$4:$E$810="Win")*COUNTIFS('Match Log'!$A$4:$A$810,'Match Log'!$A$4:$A$810,'Match Log'!$D$4:$D$810,J$4,'Match Log'!$E$4:$E$810,"Loss"))/(SUMPRODUCT(('Match Log'!$D$4:$D$810=$A13)*('Match Log'!$E$4:$E$810="Win")*COUNTIFS('Match Log'!$A$4:$A$810,'Match Log'!$A$4:$A$810,'Match Log'!$D$4:$D$810,J$4,'Match Log'!$E$4:$E$810,"Loss"))+SUMPRODUCT(('Match Log'!$D$4:$D$810=J$4)*('Match Log'!$E$4:$E$810="Win")*COUNTIFS('Match Log'!$A$4:$A$810,'Match Log'!$A$4:$A$810,'Match Log'!$D$4:$D$810,$A13,'Match Log'!$E$4:$E$810,"Loss"))),"0%")&amp;" of "&amp;(SUMPRODUCT(('Match Log'!$D$4:$D$810=$A13)*('Match Log'!$E$4:$E$810="Win")*COUNTIFS('Match Log'!$A$4:$A$810,'Match Log'!$A$4:$A$810,'Match Log'!$D$4:$D$810,J$4,'Match Log'!$E$4:$E$810,"Loss"))+SUMPRODUCT(('Match Log'!$D$4:$D$810=J$4)*('Match Log'!$E$4:$E$810="Win")*COUNTIFS('Match Log'!$A$4:$A$810,'Match Log'!$A$4:$A$810,'Match Log'!$D$4:$D$810,$A13,'Match Log'!$E$4:$E$810,"Loss")))))</f>
        <v>—</v>
      </c>
      <c r="K13" s="50" t="str">
        <f>IF($A13=K$4,"—",IF((SUMPRODUCT(('Match Log'!$D$4:$D$810=$A13)*('Match Log'!$E$4:$E$810="Win")*COUNTIFS('Match Log'!$A$4:$A$810,'Match Log'!$A$4:$A$810,'Match Log'!$D$4:$D$810,K$4,'Match Log'!$E$4:$E$810,"Loss"))+SUMPRODUCT(('Match Log'!$D$4:$D$810=K$4)*('Match Log'!$E$4:$E$810="Win")*COUNTIFS('Match Log'!$A$4:$A$810,'Match Log'!$A$4:$A$810,'Match Log'!$D$4:$D$810,$A13,'Match Log'!$E$4:$E$810,"Loss")))=0,"",TEXT(SUMPRODUCT(('Match Log'!$D$4:$D$810=$A13)*('Match Log'!$E$4:$E$810="Win")*COUNTIFS('Match Log'!$A$4:$A$810,'Match Log'!$A$4:$A$810,'Match Log'!$D$4:$D$810,K$4,'Match Log'!$E$4:$E$810,"Loss"))/(SUMPRODUCT(('Match Log'!$D$4:$D$810=$A13)*('Match Log'!$E$4:$E$810="Win")*COUNTIFS('Match Log'!$A$4:$A$810,'Match Log'!$A$4:$A$810,'Match Log'!$D$4:$D$810,K$4,'Match Log'!$E$4:$E$810,"Loss"))+SUMPRODUCT(('Match Log'!$D$4:$D$810=K$4)*('Match Log'!$E$4:$E$810="Win")*COUNTIFS('Match Log'!$A$4:$A$810,'Match Log'!$A$4:$A$810,'Match Log'!$D$4:$D$810,$A13,'Match Log'!$E$4:$E$810,"Loss"))),"0%")&amp;" of "&amp;(SUMPRODUCT(('Match Log'!$D$4:$D$810=$A13)*('Match Log'!$E$4:$E$810="Win")*COUNTIFS('Match Log'!$A$4:$A$810,'Match Log'!$A$4:$A$810,'Match Log'!$D$4:$D$810,K$4,'Match Log'!$E$4:$E$810,"Loss"))+SUMPRODUCT(('Match Log'!$D$4:$D$810=K$4)*('Match Log'!$E$4:$E$810="Win")*COUNTIFS('Match Log'!$A$4:$A$810,'Match Log'!$A$4:$A$810,'Match Log'!$D$4:$D$810,$A13,'Match Log'!$E$4:$E$810,"Loss")))))</f>
        <v>100% of 1</v>
      </c>
      <c r="L13" s="50" t="str">
        <f>IF($A13=L$4,"—",IF((SUMPRODUCT(('Match Log'!$D$4:$D$810=$A13)*('Match Log'!$E$4:$E$810="Win")*COUNTIFS('Match Log'!$A$4:$A$810,'Match Log'!$A$4:$A$810,'Match Log'!$D$4:$D$810,L$4,'Match Log'!$E$4:$E$810,"Loss"))+SUMPRODUCT(('Match Log'!$D$4:$D$810=L$4)*('Match Log'!$E$4:$E$810="Win")*COUNTIFS('Match Log'!$A$4:$A$810,'Match Log'!$A$4:$A$810,'Match Log'!$D$4:$D$810,$A13,'Match Log'!$E$4:$E$810,"Loss")))=0,"",TEXT(SUMPRODUCT(('Match Log'!$D$4:$D$810=$A13)*('Match Log'!$E$4:$E$810="Win")*COUNTIFS('Match Log'!$A$4:$A$810,'Match Log'!$A$4:$A$810,'Match Log'!$D$4:$D$810,L$4,'Match Log'!$E$4:$E$810,"Loss"))/(SUMPRODUCT(('Match Log'!$D$4:$D$810=$A13)*('Match Log'!$E$4:$E$810="Win")*COUNTIFS('Match Log'!$A$4:$A$810,'Match Log'!$A$4:$A$810,'Match Log'!$D$4:$D$810,L$4,'Match Log'!$E$4:$E$810,"Loss"))+SUMPRODUCT(('Match Log'!$D$4:$D$810=L$4)*('Match Log'!$E$4:$E$810="Win")*COUNTIFS('Match Log'!$A$4:$A$810,'Match Log'!$A$4:$A$810,'Match Log'!$D$4:$D$810,$A13,'Match Log'!$E$4:$E$810,"Loss"))),"0%")&amp;" of "&amp;(SUMPRODUCT(('Match Log'!$D$4:$D$810=$A13)*('Match Log'!$E$4:$E$810="Win")*COUNTIFS('Match Log'!$A$4:$A$810,'Match Log'!$A$4:$A$810,'Match Log'!$D$4:$D$810,L$4,'Match Log'!$E$4:$E$810,"Loss"))+SUMPRODUCT(('Match Log'!$D$4:$D$810=L$4)*('Match Log'!$E$4:$E$810="Win")*COUNTIFS('Match Log'!$A$4:$A$810,'Match Log'!$A$4:$A$810,'Match Log'!$D$4:$D$810,$A13,'Match Log'!$E$4:$E$810,"Loss")))))</f>
        <v>83% of 6</v>
      </c>
      <c r="M13" s="50" t="str">
        <f>IF($A13=M$4,"—",IF((SUMPRODUCT(('Match Log'!$D$4:$D$810=$A13)*('Match Log'!$E$4:$E$810="Win")*COUNTIFS('Match Log'!$A$4:$A$810,'Match Log'!$A$4:$A$810,'Match Log'!$D$4:$D$810,M$4,'Match Log'!$E$4:$E$810,"Loss"))+SUMPRODUCT(('Match Log'!$D$4:$D$810=M$4)*('Match Log'!$E$4:$E$810="Win")*COUNTIFS('Match Log'!$A$4:$A$810,'Match Log'!$A$4:$A$810,'Match Log'!$D$4:$D$810,$A13,'Match Log'!$E$4:$E$810,"Loss")))=0,"",TEXT(SUMPRODUCT(('Match Log'!$D$4:$D$810=$A13)*('Match Log'!$E$4:$E$810="Win")*COUNTIFS('Match Log'!$A$4:$A$810,'Match Log'!$A$4:$A$810,'Match Log'!$D$4:$D$810,M$4,'Match Log'!$E$4:$E$810,"Loss"))/(SUMPRODUCT(('Match Log'!$D$4:$D$810=$A13)*('Match Log'!$E$4:$E$810="Win")*COUNTIFS('Match Log'!$A$4:$A$810,'Match Log'!$A$4:$A$810,'Match Log'!$D$4:$D$810,M$4,'Match Log'!$E$4:$E$810,"Loss"))+SUMPRODUCT(('Match Log'!$D$4:$D$810=M$4)*('Match Log'!$E$4:$E$810="Win")*COUNTIFS('Match Log'!$A$4:$A$810,'Match Log'!$A$4:$A$810,'Match Log'!$D$4:$D$810,$A13,'Match Log'!$E$4:$E$810,"Loss"))),"0%")&amp;" of "&amp;(SUMPRODUCT(('Match Log'!$D$4:$D$810=$A13)*('Match Log'!$E$4:$E$810="Win")*COUNTIFS('Match Log'!$A$4:$A$810,'Match Log'!$A$4:$A$810,'Match Log'!$D$4:$D$810,M$4,'Match Log'!$E$4:$E$810,"Loss"))+SUMPRODUCT(('Match Log'!$D$4:$D$810=M$4)*('Match Log'!$E$4:$E$810="Win")*COUNTIFS('Match Log'!$A$4:$A$810,'Match Log'!$A$4:$A$810,'Match Log'!$D$4:$D$810,$A13,'Match Log'!$E$4:$E$810,"Loss")))))</f>
        <v>100% of 2</v>
      </c>
      <c r="N13" s="50" t="str">
        <f>IF($A13=N$4,"—",IF((SUMPRODUCT(('Match Log'!$D$4:$D$810=$A13)*('Match Log'!$E$4:$E$810="Win")*COUNTIFS('Match Log'!$A$4:$A$810,'Match Log'!$A$4:$A$810,'Match Log'!$D$4:$D$810,N$4,'Match Log'!$E$4:$E$810,"Loss"))+SUMPRODUCT(('Match Log'!$D$4:$D$810=N$4)*('Match Log'!$E$4:$E$810="Win")*COUNTIFS('Match Log'!$A$4:$A$810,'Match Log'!$A$4:$A$810,'Match Log'!$D$4:$D$810,$A13,'Match Log'!$E$4:$E$810,"Loss")))=0,"",TEXT(SUMPRODUCT(('Match Log'!$D$4:$D$810=$A13)*('Match Log'!$E$4:$E$810="Win")*COUNTIFS('Match Log'!$A$4:$A$810,'Match Log'!$A$4:$A$810,'Match Log'!$D$4:$D$810,N$4,'Match Log'!$E$4:$E$810,"Loss"))/(SUMPRODUCT(('Match Log'!$D$4:$D$810=$A13)*('Match Log'!$E$4:$E$810="Win")*COUNTIFS('Match Log'!$A$4:$A$810,'Match Log'!$A$4:$A$810,'Match Log'!$D$4:$D$810,N$4,'Match Log'!$E$4:$E$810,"Loss"))+SUMPRODUCT(('Match Log'!$D$4:$D$810=N$4)*('Match Log'!$E$4:$E$810="Win")*COUNTIFS('Match Log'!$A$4:$A$810,'Match Log'!$A$4:$A$810,'Match Log'!$D$4:$D$810,$A13,'Match Log'!$E$4:$E$810,"Loss"))),"0%")&amp;" of "&amp;(SUMPRODUCT(('Match Log'!$D$4:$D$810=$A13)*('Match Log'!$E$4:$E$810="Win")*COUNTIFS('Match Log'!$A$4:$A$810,'Match Log'!$A$4:$A$810,'Match Log'!$D$4:$D$810,N$4,'Match Log'!$E$4:$E$810,"Loss"))+SUMPRODUCT(('Match Log'!$D$4:$D$810=N$4)*('Match Log'!$E$4:$E$810="Win")*COUNTIFS('Match Log'!$A$4:$A$810,'Match Log'!$A$4:$A$810,'Match Log'!$D$4:$D$810,$A13,'Match Log'!$E$4:$E$810,"Loss")))))</f>
        <v>0% of 1</v>
      </c>
      <c r="O13" s="50" t="str">
        <f>IF($A13=O$4,"—",IF((SUMPRODUCT(('Match Log'!$D$4:$D$810=$A13)*('Match Log'!$E$4:$E$810="Win")*COUNTIFS('Match Log'!$A$4:$A$810,'Match Log'!$A$4:$A$810,'Match Log'!$D$4:$D$810,O$4,'Match Log'!$E$4:$E$810,"Loss"))+SUMPRODUCT(('Match Log'!$D$4:$D$810=O$4)*('Match Log'!$E$4:$E$810="Win")*COUNTIFS('Match Log'!$A$4:$A$810,'Match Log'!$A$4:$A$810,'Match Log'!$D$4:$D$810,$A13,'Match Log'!$E$4:$E$810,"Loss")))=0,"",TEXT(SUMPRODUCT(('Match Log'!$D$4:$D$810=$A13)*('Match Log'!$E$4:$E$810="Win")*COUNTIFS('Match Log'!$A$4:$A$810,'Match Log'!$A$4:$A$810,'Match Log'!$D$4:$D$810,O$4,'Match Log'!$E$4:$E$810,"Loss"))/(SUMPRODUCT(('Match Log'!$D$4:$D$810=$A13)*('Match Log'!$E$4:$E$810="Win")*COUNTIFS('Match Log'!$A$4:$A$810,'Match Log'!$A$4:$A$810,'Match Log'!$D$4:$D$810,O$4,'Match Log'!$E$4:$E$810,"Loss"))+SUMPRODUCT(('Match Log'!$D$4:$D$810=O$4)*('Match Log'!$E$4:$E$810="Win")*COUNTIFS('Match Log'!$A$4:$A$810,'Match Log'!$A$4:$A$810,'Match Log'!$D$4:$D$810,$A13,'Match Log'!$E$4:$E$810,"Loss"))),"0%")&amp;" of "&amp;(SUMPRODUCT(('Match Log'!$D$4:$D$810=$A13)*('Match Log'!$E$4:$E$810="Win")*COUNTIFS('Match Log'!$A$4:$A$810,'Match Log'!$A$4:$A$810,'Match Log'!$D$4:$D$810,O$4,'Match Log'!$E$4:$E$810,"Loss"))+SUMPRODUCT(('Match Log'!$D$4:$D$810=O$4)*('Match Log'!$E$4:$E$810="Win")*COUNTIFS('Match Log'!$A$4:$A$810,'Match Log'!$A$4:$A$810,'Match Log'!$D$4:$D$810,$A13,'Match Log'!$E$4:$E$810,"Loss")))))</f>
        <v/>
      </c>
    </row>
    <row r="14" spans="1:15" ht="15" customHeight="1" x14ac:dyDescent="0.2">
      <c r="A14" s="45" t="s">
        <v>175</v>
      </c>
      <c r="B14" s="50" t="str">
        <f>IF($A14=B$4,"—",IF((SUMPRODUCT(('Match Log'!$D$4:$D$810=$A14)*('Match Log'!$E$4:$E$810="Win")*COUNTIFS('Match Log'!$A$4:$A$810,'Match Log'!$A$4:$A$810,'Match Log'!$D$4:$D$810,B$4,'Match Log'!$E$4:$E$810,"Loss"))+SUMPRODUCT(('Match Log'!$D$4:$D$810=B$4)*('Match Log'!$E$4:$E$810="Win")*COUNTIFS('Match Log'!$A$4:$A$810,'Match Log'!$A$4:$A$810,'Match Log'!$D$4:$D$810,$A14,'Match Log'!$E$4:$E$810,"Loss")))=0,"",TEXT(SUMPRODUCT(('Match Log'!$D$4:$D$810=$A14)*('Match Log'!$E$4:$E$810="Win")*COUNTIFS('Match Log'!$A$4:$A$810,'Match Log'!$A$4:$A$810,'Match Log'!$D$4:$D$810,B$4,'Match Log'!$E$4:$E$810,"Loss"))/(SUMPRODUCT(('Match Log'!$D$4:$D$810=$A14)*('Match Log'!$E$4:$E$810="Win")*COUNTIFS('Match Log'!$A$4:$A$810,'Match Log'!$A$4:$A$810,'Match Log'!$D$4:$D$810,B$4,'Match Log'!$E$4:$E$810,"Loss"))+SUMPRODUCT(('Match Log'!$D$4:$D$810=B$4)*('Match Log'!$E$4:$E$810="Win")*COUNTIFS('Match Log'!$A$4:$A$810,'Match Log'!$A$4:$A$810,'Match Log'!$D$4:$D$810,$A14,'Match Log'!$E$4:$E$810,"Loss"))),"0%")&amp;" of "&amp;(SUMPRODUCT(('Match Log'!$D$4:$D$810=$A14)*('Match Log'!$E$4:$E$810="Win")*COUNTIFS('Match Log'!$A$4:$A$810,'Match Log'!$A$4:$A$810,'Match Log'!$D$4:$D$810,B$4,'Match Log'!$E$4:$E$810,"Loss"))+SUMPRODUCT(('Match Log'!$D$4:$D$810=B$4)*('Match Log'!$E$4:$E$810="Win")*COUNTIFS('Match Log'!$A$4:$A$810,'Match Log'!$A$4:$A$810,'Match Log'!$D$4:$D$810,$A14,'Match Log'!$E$4:$E$810,"Loss")))))</f>
        <v/>
      </c>
      <c r="C14" s="50" t="str">
        <f>IF($A14=C$4,"—",IF((SUMPRODUCT(('Match Log'!$D$4:$D$810=$A14)*('Match Log'!$E$4:$E$810="Win")*COUNTIFS('Match Log'!$A$4:$A$810,'Match Log'!$A$4:$A$810,'Match Log'!$D$4:$D$810,C$4,'Match Log'!$E$4:$E$810,"Loss"))+SUMPRODUCT(('Match Log'!$D$4:$D$810=C$4)*('Match Log'!$E$4:$E$810="Win")*COUNTIFS('Match Log'!$A$4:$A$810,'Match Log'!$A$4:$A$810,'Match Log'!$D$4:$D$810,$A14,'Match Log'!$E$4:$E$810,"Loss")))=0,"",TEXT(SUMPRODUCT(('Match Log'!$D$4:$D$810=$A14)*('Match Log'!$E$4:$E$810="Win")*COUNTIFS('Match Log'!$A$4:$A$810,'Match Log'!$A$4:$A$810,'Match Log'!$D$4:$D$810,C$4,'Match Log'!$E$4:$E$810,"Loss"))/(SUMPRODUCT(('Match Log'!$D$4:$D$810=$A14)*('Match Log'!$E$4:$E$810="Win")*COUNTIFS('Match Log'!$A$4:$A$810,'Match Log'!$A$4:$A$810,'Match Log'!$D$4:$D$810,C$4,'Match Log'!$E$4:$E$810,"Loss"))+SUMPRODUCT(('Match Log'!$D$4:$D$810=C$4)*('Match Log'!$E$4:$E$810="Win")*COUNTIFS('Match Log'!$A$4:$A$810,'Match Log'!$A$4:$A$810,'Match Log'!$D$4:$D$810,$A14,'Match Log'!$E$4:$E$810,"Loss"))),"0%")&amp;" of "&amp;(SUMPRODUCT(('Match Log'!$D$4:$D$810=$A14)*('Match Log'!$E$4:$E$810="Win")*COUNTIFS('Match Log'!$A$4:$A$810,'Match Log'!$A$4:$A$810,'Match Log'!$D$4:$D$810,C$4,'Match Log'!$E$4:$E$810,"Loss"))+SUMPRODUCT(('Match Log'!$D$4:$D$810=C$4)*('Match Log'!$E$4:$E$810="Win")*COUNTIFS('Match Log'!$A$4:$A$810,'Match Log'!$A$4:$A$810,'Match Log'!$D$4:$D$810,$A14,'Match Log'!$E$4:$E$810,"Loss")))))</f>
        <v>0% of 1</v>
      </c>
      <c r="D14" s="50" t="str">
        <f>IF($A14=D$4,"—",IF((SUMPRODUCT(('Match Log'!$D$4:$D$810=$A14)*('Match Log'!$E$4:$E$810="Win")*COUNTIFS('Match Log'!$A$4:$A$810,'Match Log'!$A$4:$A$810,'Match Log'!$D$4:$D$810,D$4,'Match Log'!$E$4:$E$810,"Loss"))+SUMPRODUCT(('Match Log'!$D$4:$D$810=D$4)*('Match Log'!$E$4:$E$810="Win")*COUNTIFS('Match Log'!$A$4:$A$810,'Match Log'!$A$4:$A$810,'Match Log'!$D$4:$D$810,$A14,'Match Log'!$E$4:$E$810,"Loss")))=0,"",TEXT(SUMPRODUCT(('Match Log'!$D$4:$D$810=$A14)*('Match Log'!$E$4:$E$810="Win")*COUNTIFS('Match Log'!$A$4:$A$810,'Match Log'!$A$4:$A$810,'Match Log'!$D$4:$D$810,D$4,'Match Log'!$E$4:$E$810,"Loss"))/(SUMPRODUCT(('Match Log'!$D$4:$D$810=$A14)*('Match Log'!$E$4:$E$810="Win")*COUNTIFS('Match Log'!$A$4:$A$810,'Match Log'!$A$4:$A$810,'Match Log'!$D$4:$D$810,D$4,'Match Log'!$E$4:$E$810,"Loss"))+SUMPRODUCT(('Match Log'!$D$4:$D$810=D$4)*('Match Log'!$E$4:$E$810="Win")*COUNTIFS('Match Log'!$A$4:$A$810,'Match Log'!$A$4:$A$810,'Match Log'!$D$4:$D$810,$A14,'Match Log'!$E$4:$E$810,"Loss"))),"0%")&amp;" of "&amp;(SUMPRODUCT(('Match Log'!$D$4:$D$810=$A14)*('Match Log'!$E$4:$E$810="Win")*COUNTIFS('Match Log'!$A$4:$A$810,'Match Log'!$A$4:$A$810,'Match Log'!$D$4:$D$810,D$4,'Match Log'!$E$4:$E$810,"Loss"))+SUMPRODUCT(('Match Log'!$D$4:$D$810=D$4)*('Match Log'!$E$4:$E$810="Win")*COUNTIFS('Match Log'!$A$4:$A$810,'Match Log'!$A$4:$A$810,'Match Log'!$D$4:$D$810,$A14,'Match Log'!$E$4:$E$810,"Loss")))))</f>
        <v>0% of 1</v>
      </c>
      <c r="E14" s="50" t="str">
        <f>IF($A14=E$4,"—",IF((SUMPRODUCT(('Match Log'!$D$4:$D$810=$A14)*('Match Log'!$E$4:$E$810="Win")*COUNTIFS('Match Log'!$A$4:$A$810,'Match Log'!$A$4:$A$810,'Match Log'!$D$4:$D$810,E$4,'Match Log'!$E$4:$E$810,"Loss"))+SUMPRODUCT(('Match Log'!$D$4:$D$810=E$4)*('Match Log'!$E$4:$E$810="Win")*COUNTIFS('Match Log'!$A$4:$A$810,'Match Log'!$A$4:$A$810,'Match Log'!$D$4:$D$810,$A14,'Match Log'!$E$4:$E$810,"Loss")))=0,"",TEXT(SUMPRODUCT(('Match Log'!$D$4:$D$810=$A14)*('Match Log'!$E$4:$E$810="Win")*COUNTIFS('Match Log'!$A$4:$A$810,'Match Log'!$A$4:$A$810,'Match Log'!$D$4:$D$810,E$4,'Match Log'!$E$4:$E$810,"Loss"))/(SUMPRODUCT(('Match Log'!$D$4:$D$810=$A14)*('Match Log'!$E$4:$E$810="Win")*COUNTIFS('Match Log'!$A$4:$A$810,'Match Log'!$A$4:$A$810,'Match Log'!$D$4:$D$810,E$4,'Match Log'!$E$4:$E$810,"Loss"))+SUMPRODUCT(('Match Log'!$D$4:$D$810=E$4)*('Match Log'!$E$4:$E$810="Win")*COUNTIFS('Match Log'!$A$4:$A$810,'Match Log'!$A$4:$A$810,'Match Log'!$D$4:$D$810,$A14,'Match Log'!$E$4:$E$810,"Loss"))),"0%")&amp;" of "&amp;(SUMPRODUCT(('Match Log'!$D$4:$D$810=$A14)*('Match Log'!$E$4:$E$810="Win")*COUNTIFS('Match Log'!$A$4:$A$810,'Match Log'!$A$4:$A$810,'Match Log'!$D$4:$D$810,E$4,'Match Log'!$E$4:$E$810,"Loss"))+SUMPRODUCT(('Match Log'!$D$4:$D$810=E$4)*('Match Log'!$E$4:$E$810="Win")*COUNTIFS('Match Log'!$A$4:$A$810,'Match Log'!$A$4:$A$810,'Match Log'!$D$4:$D$810,$A14,'Match Log'!$E$4:$E$810,"Loss")))))</f>
        <v>0% of 1</v>
      </c>
      <c r="F14" s="50" t="str">
        <f>IF($A14=F$4,"—",IF((SUMPRODUCT(('Match Log'!$D$4:$D$810=$A14)*('Match Log'!$E$4:$E$810="Win")*COUNTIFS('Match Log'!$A$4:$A$810,'Match Log'!$A$4:$A$810,'Match Log'!$D$4:$D$810,F$4,'Match Log'!$E$4:$E$810,"Loss"))+SUMPRODUCT(('Match Log'!$D$4:$D$810=F$4)*('Match Log'!$E$4:$E$810="Win")*COUNTIFS('Match Log'!$A$4:$A$810,'Match Log'!$A$4:$A$810,'Match Log'!$D$4:$D$810,$A14,'Match Log'!$E$4:$E$810,"Loss")))=0,"",TEXT(SUMPRODUCT(('Match Log'!$D$4:$D$810=$A14)*('Match Log'!$E$4:$E$810="Win")*COUNTIFS('Match Log'!$A$4:$A$810,'Match Log'!$A$4:$A$810,'Match Log'!$D$4:$D$810,F$4,'Match Log'!$E$4:$E$810,"Loss"))/(SUMPRODUCT(('Match Log'!$D$4:$D$810=$A14)*('Match Log'!$E$4:$E$810="Win")*COUNTIFS('Match Log'!$A$4:$A$810,'Match Log'!$A$4:$A$810,'Match Log'!$D$4:$D$810,F$4,'Match Log'!$E$4:$E$810,"Loss"))+SUMPRODUCT(('Match Log'!$D$4:$D$810=F$4)*('Match Log'!$E$4:$E$810="Win")*COUNTIFS('Match Log'!$A$4:$A$810,'Match Log'!$A$4:$A$810,'Match Log'!$D$4:$D$810,$A14,'Match Log'!$E$4:$E$810,"Loss"))),"0%")&amp;" of "&amp;(SUMPRODUCT(('Match Log'!$D$4:$D$810=$A14)*('Match Log'!$E$4:$E$810="Win")*COUNTIFS('Match Log'!$A$4:$A$810,'Match Log'!$A$4:$A$810,'Match Log'!$D$4:$D$810,F$4,'Match Log'!$E$4:$E$810,"Loss"))+SUMPRODUCT(('Match Log'!$D$4:$D$810=F$4)*('Match Log'!$E$4:$E$810="Win")*COUNTIFS('Match Log'!$A$4:$A$810,'Match Log'!$A$4:$A$810,'Match Log'!$D$4:$D$810,$A14,'Match Log'!$E$4:$E$810,"Loss")))))</f>
        <v>0% of 4</v>
      </c>
      <c r="G14" s="50" t="str">
        <f>IF($A14=G$4,"—",IF((SUMPRODUCT(('Match Log'!$D$4:$D$810=$A14)*('Match Log'!$E$4:$E$810="Win")*COUNTIFS('Match Log'!$A$4:$A$810,'Match Log'!$A$4:$A$810,'Match Log'!$D$4:$D$810,G$4,'Match Log'!$E$4:$E$810,"Loss"))+SUMPRODUCT(('Match Log'!$D$4:$D$810=G$4)*('Match Log'!$E$4:$E$810="Win")*COUNTIFS('Match Log'!$A$4:$A$810,'Match Log'!$A$4:$A$810,'Match Log'!$D$4:$D$810,$A14,'Match Log'!$E$4:$E$810,"Loss")))=0,"",TEXT(SUMPRODUCT(('Match Log'!$D$4:$D$810=$A14)*('Match Log'!$E$4:$E$810="Win")*COUNTIFS('Match Log'!$A$4:$A$810,'Match Log'!$A$4:$A$810,'Match Log'!$D$4:$D$810,G$4,'Match Log'!$E$4:$E$810,"Loss"))/(SUMPRODUCT(('Match Log'!$D$4:$D$810=$A14)*('Match Log'!$E$4:$E$810="Win")*COUNTIFS('Match Log'!$A$4:$A$810,'Match Log'!$A$4:$A$810,'Match Log'!$D$4:$D$810,G$4,'Match Log'!$E$4:$E$810,"Loss"))+SUMPRODUCT(('Match Log'!$D$4:$D$810=G$4)*('Match Log'!$E$4:$E$810="Win")*COUNTIFS('Match Log'!$A$4:$A$810,'Match Log'!$A$4:$A$810,'Match Log'!$D$4:$D$810,$A14,'Match Log'!$E$4:$E$810,"Loss"))),"0%")&amp;" of "&amp;(SUMPRODUCT(('Match Log'!$D$4:$D$810=$A14)*('Match Log'!$E$4:$E$810="Win")*COUNTIFS('Match Log'!$A$4:$A$810,'Match Log'!$A$4:$A$810,'Match Log'!$D$4:$D$810,G$4,'Match Log'!$E$4:$E$810,"Loss"))+SUMPRODUCT(('Match Log'!$D$4:$D$810=G$4)*('Match Log'!$E$4:$E$810="Win")*COUNTIFS('Match Log'!$A$4:$A$810,'Match Log'!$A$4:$A$810,'Match Log'!$D$4:$D$810,$A14,'Match Log'!$E$4:$E$810,"Loss")))))</f>
        <v/>
      </c>
      <c r="H14" s="50" t="str">
        <f>IF($A14=H$4,"—",IF((SUMPRODUCT(('Match Log'!$D$4:$D$810=$A14)*('Match Log'!$E$4:$E$810="Win")*COUNTIFS('Match Log'!$A$4:$A$810,'Match Log'!$A$4:$A$810,'Match Log'!$D$4:$D$810,H$4,'Match Log'!$E$4:$E$810,"Loss"))+SUMPRODUCT(('Match Log'!$D$4:$D$810=H$4)*('Match Log'!$E$4:$E$810="Win")*COUNTIFS('Match Log'!$A$4:$A$810,'Match Log'!$A$4:$A$810,'Match Log'!$D$4:$D$810,$A14,'Match Log'!$E$4:$E$810,"Loss")))=0,"",TEXT(SUMPRODUCT(('Match Log'!$D$4:$D$810=$A14)*('Match Log'!$E$4:$E$810="Win")*COUNTIFS('Match Log'!$A$4:$A$810,'Match Log'!$A$4:$A$810,'Match Log'!$D$4:$D$810,H$4,'Match Log'!$E$4:$E$810,"Loss"))/(SUMPRODUCT(('Match Log'!$D$4:$D$810=$A14)*('Match Log'!$E$4:$E$810="Win")*COUNTIFS('Match Log'!$A$4:$A$810,'Match Log'!$A$4:$A$810,'Match Log'!$D$4:$D$810,H$4,'Match Log'!$E$4:$E$810,"Loss"))+SUMPRODUCT(('Match Log'!$D$4:$D$810=H$4)*('Match Log'!$E$4:$E$810="Win")*COUNTIFS('Match Log'!$A$4:$A$810,'Match Log'!$A$4:$A$810,'Match Log'!$D$4:$D$810,$A14,'Match Log'!$E$4:$E$810,"Loss"))),"0%")&amp;" of "&amp;(SUMPRODUCT(('Match Log'!$D$4:$D$810=$A14)*('Match Log'!$E$4:$E$810="Win")*COUNTIFS('Match Log'!$A$4:$A$810,'Match Log'!$A$4:$A$810,'Match Log'!$D$4:$D$810,H$4,'Match Log'!$E$4:$E$810,"Loss"))+SUMPRODUCT(('Match Log'!$D$4:$D$810=H$4)*('Match Log'!$E$4:$E$810="Win")*COUNTIFS('Match Log'!$A$4:$A$810,'Match Log'!$A$4:$A$810,'Match Log'!$D$4:$D$810,$A14,'Match Log'!$E$4:$E$810,"Loss")))))</f>
        <v>0% of 2</v>
      </c>
      <c r="I14" s="50" t="str">
        <f>IF($A14=I$4,"—",IF((SUMPRODUCT(('Match Log'!$D$4:$D$810=$A14)*('Match Log'!$E$4:$E$810="Win")*COUNTIFS('Match Log'!$A$4:$A$810,'Match Log'!$A$4:$A$810,'Match Log'!$D$4:$D$810,I$4,'Match Log'!$E$4:$E$810,"Loss"))+SUMPRODUCT(('Match Log'!$D$4:$D$810=I$4)*('Match Log'!$E$4:$E$810="Win")*COUNTIFS('Match Log'!$A$4:$A$810,'Match Log'!$A$4:$A$810,'Match Log'!$D$4:$D$810,$A14,'Match Log'!$E$4:$E$810,"Loss")))=0,"",TEXT(SUMPRODUCT(('Match Log'!$D$4:$D$810=$A14)*('Match Log'!$E$4:$E$810="Win")*COUNTIFS('Match Log'!$A$4:$A$810,'Match Log'!$A$4:$A$810,'Match Log'!$D$4:$D$810,I$4,'Match Log'!$E$4:$E$810,"Loss"))/(SUMPRODUCT(('Match Log'!$D$4:$D$810=$A14)*('Match Log'!$E$4:$E$810="Win")*COUNTIFS('Match Log'!$A$4:$A$810,'Match Log'!$A$4:$A$810,'Match Log'!$D$4:$D$810,I$4,'Match Log'!$E$4:$E$810,"Loss"))+SUMPRODUCT(('Match Log'!$D$4:$D$810=I$4)*('Match Log'!$E$4:$E$810="Win")*COUNTIFS('Match Log'!$A$4:$A$810,'Match Log'!$A$4:$A$810,'Match Log'!$D$4:$D$810,$A14,'Match Log'!$E$4:$E$810,"Loss"))),"0%")&amp;" of "&amp;(SUMPRODUCT(('Match Log'!$D$4:$D$810=$A14)*('Match Log'!$E$4:$E$810="Win")*COUNTIFS('Match Log'!$A$4:$A$810,'Match Log'!$A$4:$A$810,'Match Log'!$D$4:$D$810,I$4,'Match Log'!$E$4:$E$810,"Loss"))+SUMPRODUCT(('Match Log'!$D$4:$D$810=I$4)*('Match Log'!$E$4:$E$810="Win")*COUNTIFS('Match Log'!$A$4:$A$810,'Match Log'!$A$4:$A$810,'Match Log'!$D$4:$D$810,$A14,'Match Log'!$E$4:$E$810,"Loss")))))</f>
        <v>0% of 2</v>
      </c>
      <c r="J14" s="50" t="str">
        <f>IF($A14=J$4,"—",IF((SUMPRODUCT(('Match Log'!$D$4:$D$810=$A14)*('Match Log'!$E$4:$E$810="Win")*COUNTIFS('Match Log'!$A$4:$A$810,'Match Log'!$A$4:$A$810,'Match Log'!$D$4:$D$810,J$4,'Match Log'!$E$4:$E$810,"Loss"))+SUMPRODUCT(('Match Log'!$D$4:$D$810=J$4)*('Match Log'!$E$4:$E$810="Win")*COUNTIFS('Match Log'!$A$4:$A$810,'Match Log'!$A$4:$A$810,'Match Log'!$D$4:$D$810,$A14,'Match Log'!$E$4:$E$810,"Loss")))=0,"",TEXT(SUMPRODUCT(('Match Log'!$D$4:$D$810=$A14)*('Match Log'!$E$4:$E$810="Win")*COUNTIFS('Match Log'!$A$4:$A$810,'Match Log'!$A$4:$A$810,'Match Log'!$D$4:$D$810,J$4,'Match Log'!$E$4:$E$810,"Loss"))/(SUMPRODUCT(('Match Log'!$D$4:$D$810=$A14)*('Match Log'!$E$4:$E$810="Win")*COUNTIFS('Match Log'!$A$4:$A$810,'Match Log'!$A$4:$A$810,'Match Log'!$D$4:$D$810,J$4,'Match Log'!$E$4:$E$810,"Loss"))+SUMPRODUCT(('Match Log'!$D$4:$D$810=J$4)*('Match Log'!$E$4:$E$810="Win")*COUNTIFS('Match Log'!$A$4:$A$810,'Match Log'!$A$4:$A$810,'Match Log'!$D$4:$D$810,$A14,'Match Log'!$E$4:$E$810,"Loss"))),"0%")&amp;" of "&amp;(SUMPRODUCT(('Match Log'!$D$4:$D$810=$A14)*('Match Log'!$E$4:$E$810="Win")*COUNTIFS('Match Log'!$A$4:$A$810,'Match Log'!$A$4:$A$810,'Match Log'!$D$4:$D$810,J$4,'Match Log'!$E$4:$E$810,"Loss"))+SUMPRODUCT(('Match Log'!$D$4:$D$810=J$4)*('Match Log'!$E$4:$E$810="Win")*COUNTIFS('Match Log'!$A$4:$A$810,'Match Log'!$A$4:$A$810,'Match Log'!$D$4:$D$810,$A14,'Match Log'!$E$4:$E$810,"Loss")))))</f>
        <v>0% of 1</v>
      </c>
      <c r="K14" s="50" t="str">
        <f>IF($A14=K$4,"—",IF((SUMPRODUCT(('Match Log'!$D$4:$D$810=$A14)*('Match Log'!$E$4:$E$810="Win")*COUNTIFS('Match Log'!$A$4:$A$810,'Match Log'!$A$4:$A$810,'Match Log'!$D$4:$D$810,K$4,'Match Log'!$E$4:$E$810,"Loss"))+SUMPRODUCT(('Match Log'!$D$4:$D$810=K$4)*('Match Log'!$E$4:$E$810="Win")*COUNTIFS('Match Log'!$A$4:$A$810,'Match Log'!$A$4:$A$810,'Match Log'!$D$4:$D$810,$A14,'Match Log'!$E$4:$E$810,"Loss")))=0,"",TEXT(SUMPRODUCT(('Match Log'!$D$4:$D$810=$A14)*('Match Log'!$E$4:$E$810="Win")*COUNTIFS('Match Log'!$A$4:$A$810,'Match Log'!$A$4:$A$810,'Match Log'!$D$4:$D$810,K$4,'Match Log'!$E$4:$E$810,"Loss"))/(SUMPRODUCT(('Match Log'!$D$4:$D$810=$A14)*('Match Log'!$E$4:$E$810="Win")*COUNTIFS('Match Log'!$A$4:$A$810,'Match Log'!$A$4:$A$810,'Match Log'!$D$4:$D$810,K$4,'Match Log'!$E$4:$E$810,"Loss"))+SUMPRODUCT(('Match Log'!$D$4:$D$810=K$4)*('Match Log'!$E$4:$E$810="Win")*COUNTIFS('Match Log'!$A$4:$A$810,'Match Log'!$A$4:$A$810,'Match Log'!$D$4:$D$810,$A14,'Match Log'!$E$4:$E$810,"Loss"))),"0%")&amp;" of "&amp;(SUMPRODUCT(('Match Log'!$D$4:$D$810=$A14)*('Match Log'!$E$4:$E$810="Win")*COUNTIFS('Match Log'!$A$4:$A$810,'Match Log'!$A$4:$A$810,'Match Log'!$D$4:$D$810,K$4,'Match Log'!$E$4:$E$810,"Loss"))+SUMPRODUCT(('Match Log'!$D$4:$D$810=K$4)*('Match Log'!$E$4:$E$810="Win")*COUNTIFS('Match Log'!$A$4:$A$810,'Match Log'!$A$4:$A$810,'Match Log'!$D$4:$D$810,$A14,'Match Log'!$E$4:$E$810,"Loss")))))</f>
        <v>—</v>
      </c>
      <c r="L14" s="50" t="str">
        <f>IF($A14=L$4,"—",IF((SUMPRODUCT(('Match Log'!$D$4:$D$810=$A14)*('Match Log'!$E$4:$E$810="Win")*COUNTIFS('Match Log'!$A$4:$A$810,'Match Log'!$A$4:$A$810,'Match Log'!$D$4:$D$810,L$4,'Match Log'!$E$4:$E$810,"Loss"))+SUMPRODUCT(('Match Log'!$D$4:$D$810=L$4)*('Match Log'!$E$4:$E$810="Win")*COUNTIFS('Match Log'!$A$4:$A$810,'Match Log'!$A$4:$A$810,'Match Log'!$D$4:$D$810,$A14,'Match Log'!$E$4:$E$810,"Loss")))=0,"",TEXT(SUMPRODUCT(('Match Log'!$D$4:$D$810=$A14)*('Match Log'!$E$4:$E$810="Win")*COUNTIFS('Match Log'!$A$4:$A$810,'Match Log'!$A$4:$A$810,'Match Log'!$D$4:$D$810,L$4,'Match Log'!$E$4:$E$810,"Loss"))/(SUMPRODUCT(('Match Log'!$D$4:$D$810=$A14)*('Match Log'!$E$4:$E$810="Win")*COUNTIFS('Match Log'!$A$4:$A$810,'Match Log'!$A$4:$A$810,'Match Log'!$D$4:$D$810,L$4,'Match Log'!$E$4:$E$810,"Loss"))+SUMPRODUCT(('Match Log'!$D$4:$D$810=L$4)*('Match Log'!$E$4:$E$810="Win")*COUNTIFS('Match Log'!$A$4:$A$810,'Match Log'!$A$4:$A$810,'Match Log'!$D$4:$D$810,$A14,'Match Log'!$E$4:$E$810,"Loss"))),"0%")&amp;" of "&amp;(SUMPRODUCT(('Match Log'!$D$4:$D$810=$A14)*('Match Log'!$E$4:$E$810="Win")*COUNTIFS('Match Log'!$A$4:$A$810,'Match Log'!$A$4:$A$810,'Match Log'!$D$4:$D$810,L$4,'Match Log'!$E$4:$E$810,"Loss"))+SUMPRODUCT(('Match Log'!$D$4:$D$810=L$4)*('Match Log'!$E$4:$E$810="Win")*COUNTIFS('Match Log'!$A$4:$A$810,'Match Log'!$A$4:$A$810,'Match Log'!$D$4:$D$810,$A14,'Match Log'!$E$4:$E$810,"Loss")))))</f>
        <v>67% of 3</v>
      </c>
      <c r="M14" s="50" t="str">
        <f>IF($A14=M$4,"—",IF((SUMPRODUCT(('Match Log'!$D$4:$D$810=$A14)*('Match Log'!$E$4:$E$810="Win")*COUNTIFS('Match Log'!$A$4:$A$810,'Match Log'!$A$4:$A$810,'Match Log'!$D$4:$D$810,M$4,'Match Log'!$E$4:$E$810,"Loss"))+SUMPRODUCT(('Match Log'!$D$4:$D$810=M$4)*('Match Log'!$E$4:$E$810="Win")*COUNTIFS('Match Log'!$A$4:$A$810,'Match Log'!$A$4:$A$810,'Match Log'!$D$4:$D$810,$A14,'Match Log'!$E$4:$E$810,"Loss")))=0,"",TEXT(SUMPRODUCT(('Match Log'!$D$4:$D$810=$A14)*('Match Log'!$E$4:$E$810="Win")*COUNTIFS('Match Log'!$A$4:$A$810,'Match Log'!$A$4:$A$810,'Match Log'!$D$4:$D$810,M$4,'Match Log'!$E$4:$E$810,"Loss"))/(SUMPRODUCT(('Match Log'!$D$4:$D$810=$A14)*('Match Log'!$E$4:$E$810="Win")*COUNTIFS('Match Log'!$A$4:$A$810,'Match Log'!$A$4:$A$810,'Match Log'!$D$4:$D$810,M$4,'Match Log'!$E$4:$E$810,"Loss"))+SUMPRODUCT(('Match Log'!$D$4:$D$810=M$4)*('Match Log'!$E$4:$E$810="Win")*COUNTIFS('Match Log'!$A$4:$A$810,'Match Log'!$A$4:$A$810,'Match Log'!$D$4:$D$810,$A14,'Match Log'!$E$4:$E$810,"Loss"))),"0%")&amp;" of "&amp;(SUMPRODUCT(('Match Log'!$D$4:$D$810=$A14)*('Match Log'!$E$4:$E$810="Win")*COUNTIFS('Match Log'!$A$4:$A$810,'Match Log'!$A$4:$A$810,'Match Log'!$D$4:$D$810,M$4,'Match Log'!$E$4:$E$810,"Loss"))+SUMPRODUCT(('Match Log'!$D$4:$D$810=M$4)*('Match Log'!$E$4:$E$810="Win")*COUNTIFS('Match Log'!$A$4:$A$810,'Match Log'!$A$4:$A$810,'Match Log'!$D$4:$D$810,$A14,'Match Log'!$E$4:$E$810,"Loss")))))</f>
        <v/>
      </c>
      <c r="N14" s="50" t="str">
        <f>IF($A14=N$4,"—",IF((SUMPRODUCT(('Match Log'!$D$4:$D$810=$A14)*('Match Log'!$E$4:$E$810="Win")*COUNTIFS('Match Log'!$A$4:$A$810,'Match Log'!$A$4:$A$810,'Match Log'!$D$4:$D$810,N$4,'Match Log'!$E$4:$E$810,"Loss"))+SUMPRODUCT(('Match Log'!$D$4:$D$810=N$4)*('Match Log'!$E$4:$E$810="Win")*COUNTIFS('Match Log'!$A$4:$A$810,'Match Log'!$A$4:$A$810,'Match Log'!$D$4:$D$810,$A14,'Match Log'!$E$4:$E$810,"Loss")))=0,"",TEXT(SUMPRODUCT(('Match Log'!$D$4:$D$810=$A14)*('Match Log'!$E$4:$E$810="Win")*COUNTIFS('Match Log'!$A$4:$A$810,'Match Log'!$A$4:$A$810,'Match Log'!$D$4:$D$810,N$4,'Match Log'!$E$4:$E$810,"Loss"))/(SUMPRODUCT(('Match Log'!$D$4:$D$810=$A14)*('Match Log'!$E$4:$E$810="Win")*COUNTIFS('Match Log'!$A$4:$A$810,'Match Log'!$A$4:$A$810,'Match Log'!$D$4:$D$810,N$4,'Match Log'!$E$4:$E$810,"Loss"))+SUMPRODUCT(('Match Log'!$D$4:$D$810=N$4)*('Match Log'!$E$4:$E$810="Win")*COUNTIFS('Match Log'!$A$4:$A$810,'Match Log'!$A$4:$A$810,'Match Log'!$D$4:$D$810,$A14,'Match Log'!$E$4:$E$810,"Loss"))),"0%")&amp;" of "&amp;(SUMPRODUCT(('Match Log'!$D$4:$D$810=$A14)*('Match Log'!$E$4:$E$810="Win")*COUNTIFS('Match Log'!$A$4:$A$810,'Match Log'!$A$4:$A$810,'Match Log'!$D$4:$D$810,N$4,'Match Log'!$E$4:$E$810,"Loss"))+SUMPRODUCT(('Match Log'!$D$4:$D$810=N$4)*('Match Log'!$E$4:$E$810="Win")*COUNTIFS('Match Log'!$A$4:$A$810,'Match Log'!$A$4:$A$810,'Match Log'!$D$4:$D$810,$A14,'Match Log'!$E$4:$E$810,"Loss")))))</f>
        <v/>
      </c>
      <c r="O14" s="50" t="str">
        <f>IF($A14=O$4,"—",IF((SUMPRODUCT(('Match Log'!$D$4:$D$810=$A14)*('Match Log'!$E$4:$E$810="Win")*COUNTIFS('Match Log'!$A$4:$A$810,'Match Log'!$A$4:$A$810,'Match Log'!$D$4:$D$810,O$4,'Match Log'!$E$4:$E$810,"Loss"))+SUMPRODUCT(('Match Log'!$D$4:$D$810=O$4)*('Match Log'!$E$4:$E$810="Win")*COUNTIFS('Match Log'!$A$4:$A$810,'Match Log'!$A$4:$A$810,'Match Log'!$D$4:$D$810,$A14,'Match Log'!$E$4:$E$810,"Loss")))=0,"",TEXT(SUMPRODUCT(('Match Log'!$D$4:$D$810=$A14)*('Match Log'!$E$4:$E$810="Win")*COUNTIFS('Match Log'!$A$4:$A$810,'Match Log'!$A$4:$A$810,'Match Log'!$D$4:$D$810,O$4,'Match Log'!$E$4:$E$810,"Loss"))/(SUMPRODUCT(('Match Log'!$D$4:$D$810=$A14)*('Match Log'!$E$4:$E$810="Win")*COUNTIFS('Match Log'!$A$4:$A$810,'Match Log'!$A$4:$A$810,'Match Log'!$D$4:$D$810,O$4,'Match Log'!$E$4:$E$810,"Loss"))+SUMPRODUCT(('Match Log'!$D$4:$D$810=O$4)*('Match Log'!$E$4:$E$810="Win")*COUNTIFS('Match Log'!$A$4:$A$810,'Match Log'!$A$4:$A$810,'Match Log'!$D$4:$D$810,$A14,'Match Log'!$E$4:$E$810,"Loss"))),"0%")&amp;" of "&amp;(SUMPRODUCT(('Match Log'!$D$4:$D$810=$A14)*('Match Log'!$E$4:$E$810="Win")*COUNTIFS('Match Log'!$A$4:$A$810,'Match Log'!$A$4:$A$810,'Match Log'!$D$4:$D$810,O$4,'Match Log'!$E$4:$E$810,"Loss"))+SUMPRODUCT(('Match Log'!$D$4:$D$810=O$4)*('Match Log'!$E$4:$E$810="Win")*COUNTIFS('Match Log'!$A$4:$A$810,'Match Log'!$A$4:$A$810,'Match Log'!$D$4:$D$810,$A14,'Match Log'!$E$4:$E$810,"Loss")))))</f>
        <v/>
      </c>
    </row>
    <row r="15" spans="1:15" ht="15" customHeight="1" x14ac:dyDescent="0.2">
      <c r="A15" s="45" t="s">
        <v>169</v>
      </c>
      <c r="B15" s="50" t="str">
        <f>IF($A15=B$4,"—",IF((SUMPRODUCT(('Match Log'!$D$4:$D$810=$A15)*('Match Log'!$E$4:$E$810="Win")*COUNTIFS('Match Log'!$A$4:$A$810,'Match Log'!$A$4:$A$810,'Match Log'!$D$4:$D$810,B$4,'Match Log'!$E$4:$E$810,"Loss"))+SUMPRODUCT(('Match Log'!$D$4:$D$810=B$4)*('Match Log'!$E$4:$E$810="Win")*COUNTIFS('Match Log'!$A$4:$A$810,'Match Log'!$A$4:$A$810,'Match Log'!$D$4:$D$810,$A15,'Match Log'!$E$4:$E$810,"Loss")))=0,"",TEXT(SUMPRODUCT(('Match Log'!$D$4:$D$810=$A15)*('Match Log'!$E$4:$E$810="Win")*COUNTIFS('Match Log'!$A$4:$A$810,'Match Log'!$A$4:$A$810,'Match Log'!$D$4:$D$810,B$4,'Match Log'!$E$4:$E$810,"Loss"))/(SUMPRODUCT(('Match Log'!$D$4:$D$810=$A15)*('Match Log'!$E$4:$E$810="Win")*COUNTIFS('Match Log'!$A$4:$A$810,'Match Log'!$A$4:$A$810,'Match Log'!$D$4:$D$810,B$4,'Match Log'!$E$4:$E$810,"Loss"))+SUMPRODUCT(('Match Log'!$D$4:$D$810=B$4)*('Match Log'!$E$4:$E$810="Win")*COUNTIFS('Match Log'!$A$4:$A$810,'Match Log'!$A$4:$A$810,'Match Log'!$D$4:$D$810,$A15,'Match Log'!$E$4:$E$810,"Loss"))),"0%")&amp;" of "&amp;(SUMPRODUCT(('Match Log'!$D$4:$D$810=$A15)*('Match Log'!$E$4:$E$810="Win")*COUNTIFS('Match Log'!$A$4:$A$810,'Match Log'!$A$4:$A$810,'Match Log'!$D$4:$D$810,B$4,'Match Log'!$E$4:$E$810,"Loss"))+SUMPRODUCT(('Match Log'!$D$4:$D$810=B$4)*('Match Log'!$E$4:$E$810="Win")*COUNTIFS('Match Log'!$A$4:$A$810,'Match Log'!$A$4:$A$810,'Match Log'!$D$4:$D$810,$A15,'Match Log'!$E$4:$E$810,"Loss")))))</f>
        <v>50% of 4</v>
      </c>
      <c r="C15" s="50" t="str">
        <f>IF($A15=C$4,"—",IF((SUMPRODUCT(('Match Log'!$D$4:$D$810=$A15)*('Match Log'!$E$4:$E$810="Win")*COUNTIFS('Match Log'!$A$4:$A$810,'Match Log'!$A$4:$A$810,'Match Log'!$D$4:$D$810,C$4,'Match Log'!$E$4:$E$810,"Loss"))+SUMPRODUCT(('Match Log'!$D$4:$D$810=C$4)*('Match Log'!$E$4:$E$810="Win")*COUNTIFS('Match Log'!$A$4:$A$810,'Match Log'!$A$4:$A$810,'Match Log'!$D$4:$D$810,$A15,'Match Log'!$E$4:$E$810,"Loss")))=0,"",TEXT(SUMPRODUCT(('Match Log'!$D$4:$D$810=$A15)*('Match Log'!$E$4:$E$810="Win")*COUNTIFS('Match Log'!$A$4:$A$810,'Match Log'!$A$4:$A$810,'Match Log'!$D$4:$D$810,C$4,'Match Log'!$E$4:$E$810,"Loss"))/(SUMPRODUCT(('Match Log'!$D$4:$D$810=$A15)*('Match Log'!$E$4:$E$810="Win")*COUNTIFS('Match Log'!$A$4:$A$810,'Match Log'!$A$4:$A$810,'Match Log'!$D$4:$D$810,C$4,'Match Log'!$E$4:$E$810,"Loss"))+SUMPRODUCT(('Match Log'!$D$4:$D$810=C$4)*('Match Log'!$E$4:$E$810="Win")*COUNTIFS('Match Log'!$A$4:$A$810,'Match Log'!$A$4:$A$810,'Match Log'!$D$4:$D$810,$A15,'Match Log'!$E$4:$E$810,"Loss"))),"0%")&amp;" of "&amp;(SUMPRODUCT(('Match Log'!$D$4:$D$810=$A15)*('Match Log'!$E$4:$E$810="Win")*COUNTIFS('Match Log'!$A$4:$A$810,'Match Log'!$A$4:$A$810,'Match Log'!$D$4:$D$810,C$4,'Match Log'!$E$4:$E$810,"Loss"))+SUMPRODUCT(('Match Log'!$D$4:$D$810=C$4)*('Match Log'!$E$4:$E$810="Win")*COUNTIFS('Match Log'!$A$4:$A$810,'Match Log'!$A$4:$A$810,'Match Log'!$D$4:$D$810,$A15,'Match Log'!$E$4:$E$810,"Loss")))))</f>
        <v>60% of 5</v>
      </c>
      <c r="D15" s="50" t="str">
        <f>IF($A15=D$4,"—",IF((SUMPRODUCT(('Match Log'!$D$4:$D$810=$A15)*('Match Log'!$E$4:$E$810="Win")*COUNTIFS('Match Log'!$A$4:$A$810,'Match Log'!$A$4:$A$810,'Match Log'!$D$4:$D$810,D$4,'Match Log'!$E$4:$E$810,"Loss"))+SUMPRODUCT(('Match Log'!$D$4:$D$810=D$4)*('Match Log'!$E$4:$E$810="Win")*COUNTIFS('Match Log'!$A$4:$A$810,'Match Log'!$A$4:$A$810,'Match Log'!$D$4:$D$810,$A15,'Match Log'!$E$4:$E$810,"Loss")))=0,"",TEXT(SUMPRODUCT(('Match Log'!$D$4:$D$810=$A15)*('Match Log'!$E$4:$E$810="Win")*COUNTIFS('Match Log'!$A$4:$A$810,'Match Log'!$A$4:$A$810,'Match Log'!$D$4:$D$810,D$4,'Match Log'!$E$4:$E$810,"Loss"))/(SUMPRODUCT(('Match Log'!$D$4:$D$810=$A15)*('Match Log'!$E$4:$E$810="Win")*COUNTIFS('Match Log'!$A$4:$A$810,'Match Log'!$A$4:$A$810,'Match Log'!$D$4:$D$810,D$4,'Match Log'!$E$4:$E$810,"Loss"))+SUMPRODUCT(('Match Log'!$D$4:$D$810=D$4)*('Match Log'!$E$4:$E$810="Win")*COUNTIFS('Match Log'!$A$4:$A$810,'Match Log'!$A$4:$A$810,'Match Log'!$D$4:$D$810,$A15,'Match Log'!$E$4:$E$810,"Loss"))),"0%")&amp;" of "&amp;(SUMPRODUCT(('Match Log'!$D$4:$D$810=$A15)*('Match Log'!$E$4:$E$810="Win")*COUNTIFS('Match Log'!$A$4:$A$810,'Match Log'!$A$4:$A$810,'Match Log'!$D$4:$D$810,D$4,'Match Log'!$E$4:$E$810,"Loss"))+SUMPRODUCT(('Match Log'!$D$4:$D$810=D$4)*('Match Log'!$E$4:$E$810="Win")*COUNTIFS('Match Log'!$A$4:$A$810,'Match Log'!$A$4:$A$810,'Match Log'!$D$4:$D$810,$A15,'Match Log'!$E$4:$E$810,"Loss")))))</f>
        <v/>
      </c>
      <c r="E15" s="50" t="str">
        <f>IF($A15=E$4,"—",IF((SUMPRODUCT(('Match Log'!$D$4:$D$810=$A15)*('Match Log'!$E$4:$E$810="Win")*COUNTIFS('Match Log'!$A$4:$A$810,'Match Log'!$A$4:$A$810,'Match Log'!$D$4:$D$810,E$4,'Match Log'!$E$4:$E$810,"Loss"))+SUMPRODUCT(('Match Log'!$D$4:$D$810=E$4)*('Match Log'!$E$4:$E$810="Win")*COUNTIFS('Match Log'!$A$4:$A$810,'Match Log'!$A$4:$A$810,'Match Log'!$D$4:$D$810,$A15,'Match Log'!$E$4:$E$810,"Loss")))=0,"",TEXT(SUMPRODUCT(('Match Log'!$D$4:$D$810=$A15)*('Match Log'!$E$4:$E$810="Win")*COUNTIFS('Match Log'!$A$4:$A$810,'Match Log'!$A$4:$A$810,'Match Log'!$D$4:$D$810,E$4,'Match Log'!$E$4:$E$810,"Loss"))/(SUMPRODUCT(('Match Log'!$D$4:$D$810=$A15)*('Match Log'!$E$4:$E$810="Win")*COUNTIFS('Match Log'!$A$4:$A$810,'Match Log'!$A$4:$A$810,'Match Log'!$D$4:$D$810,E$4,'Match Log'!$E$4:$E$810,"Loss"))+SUMPRODUCT(('Match Log'!$D$4:$D$810=E$4)*('Match Log'!$E$4:$E$810="Win")*COUNTIFS('Match Log'!$A$4:$A$810,'Match Log'!$A$4:$A$810,'Match Log'!$D$4:$D$810,$A15,'Match Log'!$E$4:$E$810,"Loss"))),"0%")&amp;" of "&amp;(SUMPRODUCT(('Match Log'!$D$4:$D$810=$A15)*('Match Log'!$E$4:$E$810="Win")*COUNTIFS('Match Log'!$A$4:$A$810,'Match Log'!$A$4:$A$810,'Match Log'!$D$4:$D$810,E$4,'Match Log'!$E$4:$E$810,"Loss"))+SUMPRODUCT(('Match Log'!$D$4:$D$810=E$4)*('Match Log'!$E$4:$E$810="Win")*COUNTIFS('Match Log'!$A$4:$A$810,'Match Log'!$A$4:$A$810,'Match Log'!$D$4:$D$810,$A15,'Match Log'!$E$4:$E$810,"Loss")))))</f>
        <v>100% of 1</v>
      </c>
      <c r="F15" s="50" t="str">
        <f>IF($A15=F$4,"—",IF((SUMPRODUCT(('Match Log'!$D$4:$D$810=$A15)*('Match Log'!$E$4:$E$810="Win")*COUNTIFS('Match Log'!$A$4:$A$810,'Match Log'!$A$4:$A$810,'Match Log'!$D$4:$D$810,F$4,'Match Log'!$E$4:$E$810,"Loss"))+SUMPRODUCT(('Match Log'!$D$4:$D$810=F$4)*('Match Log'!$E$4:$E$810="Win")*COUNTIFS('Match Log'!$A$4:$A$810,'Match Log'!$A$4:$A$810,'Match Log'!$D$4:$D$810,$A15,'Match Log'!$E$4:$E$810,"Loss")))=0,"",TEXT(SUMPRODUCT(('Match Log'!$D$4:$D$810=$A15)*('Match Log'!$E$4:$E$810="Win")*COUNTIFS('Match Log'!$A$4:$A$810,'Match Log'!$A$4:$A$810,'Match Log'!$D$4:$D$810,F$4,'Match Log'!$E$4:$E$810,"Loss"))/(SUMPRODUCT(('Match Log'!$D$4:$D$810=$A15)*('Match Log'!$E$4:$E$810="Win")*COUNTIFS('Match Log'!$A$4:$A$810,'Match Log'!$A$4:$A$810,'Match Log'!$D$4:$D$810,F$4,'Match Log'!$E$4:$E$810,"Loss"))+SUMPRODUCT(('Match Log'!$D$4:$D$810=F$4)*('Match Log'!$E$4:$E$810="Win")*COUNTIFS('Match Log'!$A$4:$A$810,'Match Log'!$A$4:$A$810,'Match Log'!$D$4:$D$810,$A15,'Match Log'!$E$4:$E$810,"Loss"))),"0%")&amp;" of "&amp;(SUMPRODUCT(('Match Log'!$D$4:$D$810=$A15)*('Match Log'!$E$4:$E$810="Win")*COUNTIFS('Match Log'!$A$4:$A$810,'Match Log'!$A$4:$A$810,'Match Log'!$D$4:$D$810,F$4,'Match Log'!$E$4:$E$810,"Loss"))+SUMPRODUCT(('Match Log'!$D$4:$D$810=F$4)*('Match Log'!$E$4:$E$810="Win")*COUNTIFS('Match Log'!$A$4:$A$810,'Match Log'!$A$4:$A$810,'Match Log'!$D$4:$D$810,$A15,'Match Log'!$E$4:$E$810,"Loss")))))</f>
        <v>33% of 6</v>
      </c>
      <c r="G15" s="50" t="str">
        <f>IF($A15=G$4,"—",IF((SUMPRODUCT(('Match Log'!$D$4:$D$810=$A15)*('Match Log'!$E$4:$E$810="Win")*COUNTIFS('Match Log'!$A$4:$A$810,'Match Log'!$A$4:$A$810,'Match Log'!$D$4:$D$810,G$4,'Match Log'!$E$4:$E$810,"Loss"))+SUMPRODUCT(('Match Log'!$D$4:$D$810=G$4)*('Match Log'!$E$4:$E$810="Win")*COUNTIFS('Match Log'!$A$4:$A$810,'Match Log'!$A$4:$A$810,'Match Log'!$D$4:$D$810,$A15,'Match Log'!$E$4:$E$810,"Loss")))=0,"",TEXT(SUMPRODUCT(('Match Log'!$D$4:$D$810=$A15)*('Match Log'!$E$4:$E$810="Win")*COUNTIFS('Match Log'!$A$4:$A$810,'Match Log'!$A$4:$A$810,'Match Log'!$D$4:$D$810,G$4,'Match Log'!$E$4:$E$810,"Loss"))/(SUMPRODUCT(('Match Log'!$D$4:$D$810=$A15)*('Match Log'!$E$4:$E$810="Win")*COUNTIFS('Match Log'!$A$4:$A$810,'Match Log'!$A$4:$A$810,'Match Log'!$D$4:$D$810,G$4,'Match Log'!$E$4:$E$810,"Loss"))+SUMPRODUCT(('Match Log'!$D$4:$D$810=G$4)*('Match Log'!$E$4:$E$810="Win")*COUNTIFS('Match Log'!$A$4:$A$810,'Match Log'!$A$4:$A$810,'Match Log'!$D$4:$D$810,$A15,'Match Log'!$E$4:$E$810,"Loss"))),"0%")&amp;" of "&amp;(SUMPRODUCT(('Match Log'!$D$4:$D$810=$A15)*('Match Log'!$E$4:$E$810="Win")*COUNTIFS('Match Log'!$A$4:$A$810,'Match Log'!$A$4:$A$810,'Match Log'!$D$4:$D$810,G$4,'Match Log'!$E$4:$E$810,"Loss"))+SUMPRODUCT(('Match Log'!$D$4:$D$810=G$4)*('Match Log'!$E$4:$E$810="Win")*COUNTIFS('Match Log'!$A$4:$A$810,'Match Log'!$A$4:$A$810,'Match Log'!$D$4:$D$810,$A15,'Match Log'!$E$4:$E$810,"Loss")))))</f>
        <v>62% of 13</v>
      </c>
      <c r="H15" s="50" t="str">
        <f>IF($A15=H$4,"—",IF((SUMPRODUCT(('Match Log'!$D$4:$D$810=$A15)*('Match Log'!$E$4:$E$810="Win")*COUNTIFS('Match Log'!$A$4:$A$810,'Match Log'!$A$4:$A$810,'Match Log'!$D$4:$D$810,H$4,'Match Log'!$E$4:$E$810,"Loss"))+SUMPRODUCT(('Match Log'!$D$4:$D$810=H$4)*('Match Log'!$E$4:$E$810="Win")*COUNTIFS('Match Log'!$A$4:$A$810,'Match Log'!$A$4:$A$810,'Match Log'!$D$4:$D$810,$A15,'Match Log'!$E$4:$E$810,"Loss")))=0,"",TEXT(SUMPRODUCT(('Match Log'!$D$4:$D$810=$A15)*('Match Log'!$E$4:$E$810="Win")*COUNTIFS('Match Log'!$A$4:$A$810,'Match Log'!$A$4:$A$810,'Match Log'!$D$4:$D$810,H$4,'Match Log'!$E$4:$E$810,"Loss"))/(SUMPRODUCT(('Match Log'!$D$4:$D$810=$A15)*('Match Log'!$E$4:$E$810="Win")*COUNTIFS('Match Log'!$A$4:$A$810,'Match Log'!$A$4:$A$810,'Match Log'!$D$4:$D$810,H$4,'Match Log'!$E$4:$E$810,"Loss"))+SUMPRODUCT(('Match Log'!$D$4:$D$810=H$4)*('Match Log'!$E$4:$E$810="Win")*COUNTIFS('Match Log'!$A$4:$A$810,'Match Log'!$A$4:$A$810,'Match Log'!$D$4:$D$810,$A15,'Match Log'!$E$4:$E$810,"Loss"))),"0%")&amp;" of "&amp;(SUMPRODUCT(('Match Log'!$D$4:$D$810=$A15)*('Match Log'!$E$4:$E$810="Win")*COUNTIFS('Match Log'!$A$4:$A$810,'Match Log'!$A$4:$A$810,'Match Log'!$D$4:$D$810,H$4,'Match Log'!$E$4:$E$810,"Loss"))+SUMPRODUCT(('Match Log'!$D$4:$D$810=H$4)*('Match Log'!$E$4:$E$810="Win")*COUNTIFS('Match Log'!$A$4:$A$810,'Match Log'!$A$4:$A$810,'Match Log'!$D$4:$D$810,$A15,'Match Log'!$E$4:$E$810,"Loss")))))</f>
        <v>60% of 5</v>
      </c>
      <c r="I15" s="50" t="str">
        <f>IF($A15=I$4,"—",IF((SUMPRODUCT(('Match Log'!$D$4:$D$810=$A15)*('Match Log'!$E$4:$E$810="Win")*COUNTIFS('Match Log'!$A$4:$A$810,'Match Log'!$A$4:$A$810,'Match Log'!$D$4:$D$810,I$4,'Match Log'!$E$4:$E$810,"Loss"))+SUMPRODUCT(('Match Log'!$D$4:$D$810=I$4)*('Match Log'!$E$4:$E$810="Win")*COUNTIFS('Match Log'!$A$4:$A$810,'Match Log'!$A$4:$A$810,'Match Log'!$D$4:$D$810,$A15,'Match Log'!$E$4:$E$810,"Loss")))=0,"",TEXT(SUMPRODUCT(('Match Log'!$D$4:$D$810=$A15)*('Match Log'!$E$4:$E$810="Win")*COUNTIFS('Match Log'!$A$4:$A$810,'Match Log'!$A$4:$A$810,'Match Log'!$D$4:$D$810,I$4,'Match Log'!$E$4:$E$810,"Loss"))/(SUMPRODUCT(('Match Log'!$D$4:$D$810=$A15)*('Match Log'!$E$4:$E$810="Win")*COUNTIFS('Match Log'!$A$4:$A$810,'Match Log'!$A$4:$A$810,'Match Log'!$D$4:$D$810,I$4,'Match Log'!$E$4:$E$810,"Loss"))+SUMPRODUCT(('Match Log'!$D$4:$D$810=I$4)*('Match Log'!$E$4:$E$810="Win")*COUNTIFS('Match Log'!$A$4:$A$810,'Match Log'!$A$4:$A$810,'Match Log'!$D$4:$D$810,$A15,'Match Log'!$E$4:$E$810,"Loss"))),"0%")&amp;" of "&amp;(SUMPRODUCT(('Match Log'!$D$4:$D$810=$A15)*('Match Log'!$E$4:$E$810="Win")*COUNTIFS('Match Log'!$A$4:$A$810,'Match Log'!$A$4:$A$810,'Match Log'!$D$4:$D$810,I$4,'Match Log'!$E$4:$E$810,"Loss"))+SUMPRODUCT(('Match Log'!$D$4:$D$810=I$4)*('Match Log'!$E$4:$E$810="Win")*COUNTIFS('Match Log'!$A$4:$A$810,'Match Log'!$A$4:$A$810,'Match Log'!$D$4:$D$810,$A15,'Match Log'!$E$4:$E$810,"Loss")))))</f>
        <v>20% of 5</v>
      </c>
      <c r="J15" s="50" t="str">
        <f>IF($A15=J$4,"—",IF((SUMPRODUCT(('Match Log'!$D$4:$D$810=$A15)*('Match Log'!$E$4:$E$810="Win")*COUNTIFS('Match Log'!$A$4:$A$810,'Match Log'!$A$4:$A$810,'Match Log'!$D$4:$D$810,J$4,'Match Log'!$E$4:$E$810,"Loss"))+SUMPRODUCT(('Match Log'!$D$4:$D$810=J$4)*('Match Log'!$E$4:$E$810="Win")*COUNTIFS('Match Log'!$A$4:$A$810,'Match Log'!$A$4:$A$810,'Match Log'!$D$4:$D$810,$A15,'Match Log'!$E$4:$E$810,"Loss")))=0,"",TEXT(SUMPRODUCT(('Match Log'!$D$4:$D$810=$A15)*('Match Log'!$E$4:$E$810="Win")*COUNTIFS('Match Log'!$A$4:$A$810,'Match Log'!$A$4:$A$810,'Match Log'!$D$4:$D$810,J$4,'Match Log'!$E$4:$E$810,"Loss"))/(SUMPRODUCT(('Match Log'!$D$4:$D$810=$A15)*('Match Log'!$E$4:$E$810="Win")*COUNTIFS('Match Log'!$A$4:$A$810,'Match Log'!$A$4:$A$810,'Match Log'!$D$4:$D$810,J$4,'Match Log'!$E$4:$E$810,"Loss"))+SUMPRODUCT(('Match Log'!$D$4:$D$810=J$4)*('Match Log'!$E$4:$E$810="Win")*COUNTIFS('Match Log'!$A$4:$A$810,'Match Log'!$A$4:$A$810,'Match Log'!$D$4:$D$810,$A15,'Match Log'!$E$4:$E$810,"Loss"))),"0%")&amp;" of "&amp;(SUMPRODUCT(('Match Log'!$D$4:$D$810=$A15)*('Match Log'!$E$4:$E$810="Win")*COUNTIFS('Match Log'!$A$4:$A$810,'Match Log'!$A$4:$A$810,'Match Log'!$D$4:$D$810,J$4,'Match Log'!$E$4:$E$810,"Loss"))+SUMPRODUCT(('Match Log'!$D$4:$D$810=J$4)*('Match Log'!$E$4:$E$810="Win")*COUNTIFS('Match Log'!$A$4:$A$810,'Match Log'!$A$4:$A$810,'Match Log'!$D$4:$D$810,$A15,'Match Log'!$E$4:$E$810,"Loss")))))</f>
        <v>17% of 6</v>
      </c>
      <c r="K15" s="50" t="str">
        <f>IF($A15=K$4,"—",IF((SUMPRODUCT(('Match Log'!$D$4:$D$810=$A15)*('Match Log'!$E$4:$E$810="Win")*COUNTIFS('Match Log'!$A$4:$A$810,'Match Log'!$A$4:$A$810,'Match Log'!$D$4:$D$810,K$4,'Match Log'!$E$4:$E$810,"Loss"))+SUMPRODUCT(('Match Log'!$D$4:$D$810=K$4)*('Match Log'!$E$4:$E$810="Win")*COUNTIFS('Match Log'!$A$4:$A$810,'Match Log'!$A$4:$A$810,'Match Log'!$D$4:$D$810,$A15,'Match Log'!$E$4:$E$810,"Loss")))=0,"",TEXT(SUMPRODUCT(('Match Log'!$D$4:$D$810=$A15)*('Match Log'!$E$4:$E$810="Win")*COUNTIFS('Match Log'!$A$4:$A$810,'Match Log'!$A$4:$A$810,'Match Log'!$D$4:$D$810,K$4,'Match Log'!$E$4:$E$810,"Loss"))/(SUMPRODUCT(('Match Log'!$D$4:$D$810=$A15)*('Match Log'!$E$4:$E$810="Win")*COUNTIFS('Match Log'!$A$4:$A$810,'Match Log'!$A$4:$A$810,'Match Log'!$D$4:$D$810,K$4,'Match Log'!$E$4:$E$810,"Loss"))+SUMPRODUCT(('Match Log'!$D$4:$D$810=K$4)*('Match Log'!$E$4:$E$810="Win")*COUNTIFS('Match Log'!$A$4:$A$810,'Match Log'!$A$4:$A$810,'Match Log'!$D$4:$D$810,$A15,'Match Log'!$E$4:$E$810,"Loss"))),"0%")&amp;" of "&amp;(SUMPRODUCT(('Match Log'!$D$4:$D$810=$A15)*('Match Log'!$E$4:$E$810="Win")*COUNTIFS('Match Log'!$A$4:$A$810,'Match Log'!$A$4:$A$810,'Match Log'!$D$4:$D$810,K$4,'Match Log'!$E$4:$E$810,"Loss"))+SUMPRODUCT(('Match Log'!$D$4:$D$810=K$4)*('Match Log'!$E$4:$E$810="Win")*COUNTIFS('Match Log'!$A$4:$A$810,'Match Log'!$A$4:$A$810,'Match Log'!$D$4:$D$810,$A15,'Match Log'!$E$4:$E$810,"Loss")))))</f>
        <v>33% of 3</v>
      </c>
      <c r="L15" s="50" t="str">
        <f>IF($A15=L$4,"—",IF((SUMPRODUCT(('Match Log'!$D$4:$D$810=$A15)*('Match Log'!$E$4:$E$810="Win")*COUNTIFS('Match Log'!$A$4:$A$810,'Match Log'!$A$4:$A$810,'Match Log'!$D$4:$D$810,L$4,'Match Log'!$E$4:$E$810,"Loss"))+SUMPRODUCT(('Match Log'!$D$4:$D$810=L$4)*('Match Log'!$E$4:$E$810="Win")*COUNTIFS('Match Log'!$A$4:$A$810,'Match Log'!$A$4:$A$810,'Match Log'!$D$4:$D$810,$A15,'Match Log'!$E$4:$E$810,"Loss")))=0,"",TEXT(SUMPRODUCT(('Match Log'!$D$4:$D$810=$A15)*('Match Log'!$E$4:$E$810="Win")*COUNTIFS('Match Log'!$A$4:$A$810,'Match Log'!$A$4:$A$810,'Match Log'!$D$4:$D$810,L$4,'Match Log'!$E$4:$E$810,"Loss"))/(SUMPRODUCT(('Match Log'!$D$4:$D$810=$A15)*('Match Log'!$E$4:$E$810="Win")*COUNTIFS('Match Log'!$A$4:$A$810,'Match Log'!$A$4:$A$810,'Match Log'!$D$4:$D$810,L$4,'Match Log'!$E$4:$E$810,"Loss"))+SUMPRODUCT(('Match Log'!$D$4:$D$810=L$4)*('Match Log'!$E$4:$E$810="Win")*COUNTIFS('Match Log'!$A$4:$A$810,'Match Log'!$A$4:$A$810,'Match Log'!$D$4:$D$810,$A15,'Match Log'!$E$4:$E$810,"Loss"))),"0%")&amp;" of "&amp;(SUMPRODUCT(('Match Log'!$D$4:$D$810=$A15)*('Match Log'!$E$4:$E$810="Win")*COUNTIFS('Match Log'!$A$4:$A$810,'Match Log'!$A$4:$A$810,'Match Log'!$D$4:$D$810,L$4,'Match Log'!$E$4:$E$810,"Loss"))+SUMPRODUCT(('Match Log'!$D$4:$D$810=L$4)*('Match Log'!$E$4:$E$810="Win")*COUNTIFS('Match Log'!$A$4:$A$810,'Match Log'!$A$4:$A$810,'Match Log'!$D$4:$D$810,$A15,'Match Log'!$E$4:$E$810,"Loss")))))</f>
        <v>—</v>
      </c>
      <c r="M15" s="50" t="str">
        <f>IF($A15=M$4,"—",IF((SUMPRODUCT(('Match Log'!$D$4:$D$810=$A15)*('Match Log'!$E$4:$E$810="Win")*COUNTIFS('Match Log'!$A$4:$A$810,'Match Log'!$A$4:$A$810,'Match Log'!$D$4:$D$810,M$4,'Match Log'!$E$4:$E$810,"Loss"))+SUMPRODUCT(('Match Log'!$D$4:$D$810=M$4)*('Match Log'!$E$4:$E$810="Win")*COUNTIFS('Match Log'!$A$4:$A$810,'Match Log'!$A$4:$A$810,'Match Log'!$D$4:$D$810,$A15,'Match Log'!$E$4:$E$810,"Loss")))=0,"",TEXT(SUMPRODUCT(('Match Log'!$D$4:$D$810=$A15)*('Match Log'!$E$4:$E$810="Win")*COUNTIFS('Match Log'!$A$4:$A$810,'Match Log'!$A$4:$A$810,'Match Log'!$D$4:$D$810,M$4,'Match Log'!$E$4:$E$810,"Loss"))/(SUMPRODUCT(('Match Log'!$D$4:$D$810=$A15)*('Match Log'!$E$4:$E$810="Win")*COUNTIFS('Match Log'!$A$4:$A$810,'Match Log'!$A$4:$A$810,'Match Log'!$D$4:$D$810,M$4,'Match Log'!$E$4:$E$810,"Loss"))+SUMPRODUCT(('Match Log'!$D$4:$D$810=M$4)*('Match Log'!$E$4:$E$810="Win")*COUNTIFS('Match Log'!$A$4:$A$810,'Match Log'!$A$4:$A$810,'Match Log'!$D$4:$D$810,$A15,'Match Log'!$E$4:$E$810,"Loss"))),"0%")&amp;" of "&amp;(SUMPRODUCT(('Match Log'!$D$4:$D$810=$A15)*('Match Log'!$E$4:$E$810="Win")*COUNTIFS('Match Log'!$A$4:$A$810,'Match Log'!$A$4:$A$810,'Match Log'!$D$4:$D$810,M$4,'Match Log'!$E$4:$E$810,"Loss"))+SUMPRODUCT(('Match Log'!$D$4:$D$810=M$4)*('Match Log'!$E$4:$E$810="Win")*COUNTIFS('Match Log'!$A$4:$A$810,'Match Log'!$A$4:$A$810,'Match Log'!$D$4:$D$810,$A15,'Match Log'!$E$4:$E$810,"Loss")))))</f>
        <v>100% of 1</v>
      </c>
      <c r="N15" s="50" t="str">
        <f>IF($A15=N$4,"—",IF((SUMPRODUCT(('Match Log'!$D$4:$D$810=$A15)*('Match Log'!$E$4:$E$810="Win")*COUNTIFS('Match Log'!$A$4:$A$810,'Match Log'!$A$4:$A$810,'Match Log'!$D$4:$D$810,N$4,'Match Log'!$E$4:$E$810,"Loss"))+SUMPRODUCT(('Match Log'!$D$4:$D$810=N$4)*('Match Log'!$E$4:$E$810="Win")*COUNTIFS('Match Log'!$A$4:$A$810,'Match Log'!$A$4:$A$810,'Match Log'!$D$4:$D$810,$A15,'Match Log'!$E$4:$E$810,"Loss")))=0,"",TEXT(SUMPRODUCT(('Match Log'!$D$4:$D$810=$A15)*('Match Log'!$E$4:$E$810="Win")*COUNTIFS('Match Log'!$A$4:$A$810,'Match Log'!$A$4:$A$810,'Match Log'!$D$4:$D$810,N$4,'Match Log'!$E$4:$E$810,"Loss"))/(SUMPRODUCT(('Match Log'!$D$4:$D$810=$A15)*('Match Log'!$E$4:$E$810="Win")*COUNTIFS('Match Log'!$A$4:$A$810,'Match Log'!$A$4:$A$810,'Match Log'!$D$4:$D$810,N$4,'Match Log'!$E$4:$E$810,"Loss"))+SUMPRODUCT(('Match Log'!$D$4:$D$810=N$4)*('Match Log'!$E$4:$E$810="Win")*COUNTIFS('Match Log'!$A$4:$A$810,'Match Log'!$A$4:$A$810,'Match Log'!$D$4:$D$810,$A15,'Match Log'!$E$4:$E$810,"Loss"))),"0%")&amp;" of "&amp;(SUMPRODUCT(('Match Log'!$D$4:$D$810=$A15)*('Match Log'!$E$4:$E$810="Win")*COUNTIFS('Match Log'!$A$4:$A$810,'Match Log'!$A$4:$A$810,'Match Log'!$D$4:$D$810,N$4,'Match Log'!$E$4:$E$810,"Loss"))+SUMPRODUCT(('Match Log'!$D$4:$D$810=N$4)*('Match Log'!$E$4:$E$810="Win")*COUNTIFS('Match Log'!$A$4:$A$810,'Match Log'!$A$4:$A$810,'Match Log'!$D$4:$D$810,$A15,'Match Log'!$E$4:$E$810,"Loss")))))</f>
        <v>50% of 2</v>
      </c>
      <c r="O15" s="50" t="str">
        <f>IF($A15=O$4,"—",IF((SUMPRODUCT(('Match Log'!$D$4:$D$810=$A15)*('Match Log'!$E$4:$E$810="Win")*COUNTIFS('Match Log'!$A$4:$A$810,'Match Log'!$A$4:$A$810,'Match Log'!$D$4:$D$810,O$4,'Match Log'!$E$4:$E$810,"Loss"))+SUMPRODUCT(('Match Log'!$D$4:$D$810=O$4)*('Match Log'!$E$4:$E$810="Win")*COUNTIFS('Match Log'!$A$4:$A$810,'Match Log'!$A$4:$A$810,'Match Log'!$D$4:$D$810,$A15,'Match Log'!$E$4:$E$810,"Loss")))=0,"",TEXT(SUMPRODUCT(('Match Log'!$D$4:$D$810=$A15)*('Match Log'!$E$4:$E$810="Win")*COUNTIFS('Match Log'!$A$4:$A$810,'Match Log'!$A$4:$A$810,'Match Log'!$D$4:$D$810,O$4,'Match Log'!$E$4:$E$810,"Loss"))/(SUMPRODUCT(('Match Log'!$D$4:$D$810=$A15)*('Match Log'!$E$4:$E$810="Win")*COUNTIFS('Match Log'!$A$4:$A$810,'Match Log'!$A$4:$A$810,'Match Log'!$D$4:$D$810,O$4,'Match Log'!$E$4:$E$810,"Loss"))+SUMPRODUCT(('Match Log'!$D$4:$D$810=O$4)*('Match Log'!$E$4:$E$810="Win")*COUNTIFS('Match Log'!$A$4:$A$810,'Match Log'!$A$4:$A$810,'Match Log'!$D$4:$D$810,$A15,'Match Log'!$E$4:$E$810,"Loss"))),"0%")&amp;" of "&amp;(SUMPRODUCT(('Match Log'!$D$4:$D$810=$A15)*('Match Log'!$E$4:$E$810="Win")*COUNTIFS('Match Log'!$A$4:$A$810,'Match Log'!$A$4:$A$810,'Match Log'!$D$4:$D$810,O$4,'Match Log'!$E$4:$E$810,"Loss"))+SUMPRODUCT(('Match Log'!$D$4:$D$810=O$4)*('Match Log'!$E$4:$E$810="Win")*COUNTIFS('Match Log'!$A$4:$A$810,'Match Log'!$A$4:$A$810,'Match Log'!$D$4:$D$810,$A15,'Match Log'!$E$4:$E$810,"Loss")))))</f>
        <v/>
      </c>
    </row>
    <row r="16" spans="1:15" ht="15" customHeight="1" x14ac:dyDescent="0.2">
      <c r="A16" s="45" t="s">
        <v>171</v>
      </c>
      <c r="B16" s="50" t="str">
        <f>IF($A16=B$4,"—",IF((SUMPRODUCT(('Match Log'!$D$4:$D$810=$A16)*('Match Log'!$E$4:$E$810="Win")*COUNTIFS('Match Log'!$A$4:$A$810,'Match Log'!$A$4:$A$810,'Match Log'!$D$4:$D$810,B$4,'Match Log'!$E$4:$E$810,"Loss"))+SUMPRODUCT(('Match Log'!$D$4:$D$810=B$4)*('Match Log'!$E$4:$E$810="Win")*COUNTIFS('Match Log'!$A$4:$A$810,'Match Log'!$A$4:$A$810,'Match Log'!$D$4:$D$810,$A16,'Match Log'!$E$4:$E$810,"Loss")))=0,"",TEXT(SUMPRODUCT(('Match Log'!$D$4:$D$810=$A16)*('Match Log'!$E$4:$E$810="Win")*COUNTIFS('Match Log'!$A$4:$A$810,'Match Log'!$A$4:$A$810,'Match Log'!$D$4:$D$810,B$4,'Match Log'!$E$4:$E$810,"Loss"))/(SUMPRODUCT(('Match Log'!$D$4:$D$810=$A16)*('Match Log'!$E$4:$E$810="Win")*COUNTIFS('Match Log'!$A$4:$A$810,'Match Log'!$A$4:$A$810,'Match Log'!$D$4:$D$810,B$4,'Match Log'!$E$4:$E$810,"Loss"))+SUMPRODUCT(('Match Log'!$D$4:$D$810=B$4)*('Match Log'!$E$4:$E$810="Win")*COUNTIFS('Match Log'!$A$4:$A$810,'Match Log'!$A$4:$A$810,'Match Log'!$D$4:$D$810,$A16,'Match Log'!$E$4:$E$810,"Loss"))),"0%")&amp;" of "&amp;(SUMPRODUCT(('Match Log'!$D$4:$D$810=$A16)*('Match Log'!$E$4:$E$810="Win")*COUNTIFS('Match Log'!$A$4:$A$810,'Match Log'!$A$4:$A$810,'Match Log'!$D$4:$D$810,B$4,'Match Log'!$E$4:$E$810,"Loss"))+SUMPRODUCT(('Match Log'!$D$4:$D$810=B$4)*('Match Log'!$E$4:$E$810="Win")*COUNTIFS('Match Log'!$A$4:$A$810,'Match Log'!$A$4:$A$810,'Match Log'!$D$4:$D$810,$A16,'Match Log'!$E$4:$E$810,"Loss")))))</f>
        <v>100% of 1</v>
      </c>
      <c r="C16" s="50" t="str">
        <f>IF($A16=C$4,"—",IF((SUMPRODUCT(('Match Log'!$D$4:$D$810=$A16)*('Match Log'!$E$4:$E$810="Win")*COUNTIFS('Match Log'!$A$4:$A$810,'Match Log'!$A$4:$A$810,'Match Log'!$D$4:$D$810,C$4,'Match Log'!$E$4:$E$810,"Loss"))+SUMPRODUCT(('Match Log'!$D$4:$D$810=C$4)*('Match Log'!$E$4:$E$810="Win")*COUNTIFS('Match Log'!$A$4:$A$810,'Match Log'!$A$4:$A$810,'Match Log'!$D$4:$D$810,$A16,'Match Log'!$E$4:$E$810,"Loss")))=0,"",TEXT(SUMPRODUCT(('Match Log'!$D$4:$D$810=$A16)*('Match Log'!$E$4:$E$810="Win")*COUNTIFS('Match Log'!$A$4:$A$810,'Match Log'!$A$4:$A$810,'Match Log'!$D$4:$D$810,C$4,'Match Log'!$E$4:$E$810,"Loss"))/(SUMPRODUCT(('Match Log'!$D$4:$D$810=$A16)*('Match Log'!$E$4:$E$810="Win")*COUNTIFS('Match Log'!$A$4:$A$810,'Match Log'!$A$4:$A$810,'Match Log'!$D$4:$D$810,C$4,'Match Log'!$E$4:$E$810,"Loss"))+SUMPRODUCT(('Match Log'!$D$4:$D$810=C$4)*('Match Log'!$E$4:$E$810="Win")*COUNTIFS('Match Log'!$A$4:$A$810,'Match Log'!$A$4:$A$810,'Match Log'!$D$4:$D$810,$A16,'Match Log'!$E$4:$E$810,"Loss"))),"0%")&amp;" of "&amp;(SUMPRODUCT(('Match Log'!$D$4:$D$810=$A16)*('Match Log'!$E$4:$E$810="Win")*COUNTIFS('Match Log'!$A$4:$A$810,'Match Log'!$A$4:$A$810,'Match Log'!$D$4:$D$810,C$4,'Match Log'!$E$4:$E$810,"Loss"))+SUMPRODUCT(('Match Log'!$D$4:$D$810=C$4)*('Match Log'!$E$4:$E$810="Win")*COUNTIFS('Match Log'!$A$4:$A$810,'Match Log'!$A$4:$A$810,'Match Log'!$D$4:$D$810,$A16,'Match Log'!$E$4:$E$810,"Loss")))))</f>
        <v>100% of 1</v>
      </c>
      <c r="D16" s="50" t="str">
        <f>IF($A16=D$4,"—",IF((SUMPRODUCT(('Match Log'!$D$4:$D$810=$A16)*('Match Log'!$E$4:$E$810="Win")*COUNTIFS('Match Log'!$A$4:$A$810,'Match Log'!$A$4:$A$810,'Match Log'!$D$4:$D$810,D$4,'Match Log'!$E$4:$E$810,"Loss"))+SUMPRODUCT(('Match Log'!$D$4:$D$810=D$4)*('Match Log'!$E$4:$E$810="Win")*COUNTIFS('Match Log'!$A$4:$A$810,'Match Log'!$A$4:$A$810,'Match Log'!$D$4:$D$810,$A16,'Match Log'!$E$4:$E$810,"Loss")))=0,"",TEXT(SUMPRODUCT(('Match Log'!$D$4:$D$810=$A16)*('Match Log'!$E$4:$E$810="Win")*COUNTIFS('Match Log'!$A$4:$A$810,'Match Log'!$A$4:$A$810,'Match Log'!$D$4:$D$810,D$4,'Match Log'!$E$4:$E$810,"Loss"))/(SUMPRODUCT(('Match Log'!$D$4:$D$810=$A16)*('Match Log'!$E$4:$E$810="Win")*COUNTIFS('Match Log'!$A$4:$A$810,'Match Log'!$A$4:$A$810,'Match Log'!$D$4:$D$810,D$4,'Match Log'!$E$4:$E$810,"Loss"))+SUMPRODUCT(('Match Log'!$D$4:$D$810=D$4)*('Match Log'!$E$4:$E$810="Win")*COUNTIFS('Match Log'!$A$4:$A$810,'Match Log'!$A$4:$A$810,'Match Log'!$D$4:$D$810,$A16,'Match Log'!$E$4:$E$810,"Loss"))),"0%")&amp;" of "&amp;(SUMPRODUCT(('Match Log'!$D$4:$D$810=$A16)*('Match Log'!$E$4:$E$810="Win")*COUNTIFS('Match Log'!$A$4:$A$810,'Match Log'!$A$4:$A$810,'Match Log'!$D$4:$D$810,D$4,'Match Log'!$E$4:$E$810,"Loss"))+SUMPRODUCT(('Match Log'!$D$4:$D$810=D$4)*('Match Log'!$E$4:$E$810="Win")*COUNTIFS('Match Log'!$A$4:$A$810,'Match Log'!$A$4:$A$810,'Match Log'!$D$4:$D$810,$A16,'Match Log'!$E$4:$E$810,"Loss")))))</f>
        <v/>
      </c>
      <c r="E16" s="50" t="str">
        <f>IF($A16=E$4,"—",IF((SUMPRODUCT(('Match Log'!$D$4:$D$810=$A16)*('Match Log'!$E$4:$E$810="Win")*COUNTIFS('Match Log'!$A$4:$A$810,'Match Log'!$A$4:$A$810,'Match Log'!$D$4:$D$810,E$4,'Match Log'!$E$4:$E$810,"Loss"))+SUMPRODUCT(('Match Log'!$D$4:$D$810=E$4)*('Match Log'!$E$4:$E$810="Win")*COUNTIFS('Match Log'!$A$4:$A$810,'Match Log'!$A$4:$A$810,'Match Log'!$D$4:$D$810,$A16,'Match Log'!$E$4:$E$810,"Loss")))=0,"",TEXT(SUMPRODUCT(('Match Log'!$D$4:$D$810=$A16)*('Match Log'!$E$4:$E$810="Win")*COUNTIFS('Match Log'!$A$4:$A$810,'Match Log'!$A$4:$A$810,'Match Log'!$D$4:$D$810,E$4,'Match Log'!$E$4:$E$810,"Loss"))/(SUMPRODUCT(('Match Log'!$D$4:$D$810=$A16)*('Match Log'!$E$4:$E$810="Win")*COUNTIFS('Match Log'!$A$4:$A$810,'Match Log'!$A$4:$A$810,'Match Log'!$D$4:$D$810,E$4,'Match Log'!$E$4:$E$810,"Loss"))+SUMPRODUCT(('Match Log'!$D$4:$D$810=E$4)*('Match Log'!$E$4:$E$810="Win")*COUNTIFS('Match Log'!$A$4:$A$810,'Match Log'!$A$4:$A$810,'Match Log'!$D$4:$D$810,$A16,'Match Log'!$E$4:$E$810,"Loss"))),"0%")&amp;" of "&amp;(SUMPRODUCT(('Match Log'!$D$4:$D$810=$A16)*('Match Log'!$E$4:$E$810="Win")*COUNTIFS('Match Log'!$A$4:$A$810,'Match Log'!$A$4:$A$810,'Match Log'!$D$4:$D$810,E$4,'Match Log'!$E$4:$E$810,"Loss"))+SUMPRODUCT(('Match Log'!$D$4:$D$810=E$4)*('Match Log'!$E$4:$E$810="Win")*COUNTIFS('Match Log'!$A$4:$A$810,'Match Log'!$A$4:$A$810,'Match Log'!$D$4:$D$810,$A16,'Match Log'!$E$4:$E$810,"Loss")))))</f>
        <v/>
      </c>
      <c r="F16" s="50" t="str">
        <f>IF($A16=F$4,"—",IF((SUMPRODUCT(('Match Log'!$D$4:$D$810=$A16)*('Match Log'!$E$4:$E$810="Win")*COUNTIFS('Match Log'!$A$4:$A$810,'Match Log'!$A$4:$A$810,'Match Log'!$D$4:$D$810,F$4,'Match Log'!$E$4:$E$810,"Loss"))+SUMPRODUCT(('Match Log'!$D$4:$D$810=F$4)*('Match Log'!$E$4:$E$810="Win")*COUNTIFS('Match Log'!$A$4:$A$810,'Match Log'!$A$4:$A$810,'Match Log'!$D$4:$D$810,$A16,'Match Log'!$E$4:$E$810,"Loss")))=0,"",TEXT(SUMPRODUCT(('Match Log'!$D$4:$D$810=$A16)*('Match Log'!$E$4:$E$810="Win")*COUNTIFS('Match Log'!$A$4:$A$810,'Match Log'!$A$4:$A$810,'Match Log'!$D$4:$D$810,F$4,'Match Log'!$E$4:$E$810,"Loss"))/(SUMPRODUCT(('Match Log'!$D$4:$D$810=$A16)*('Match Log'!$E$4:$E$810="Win")*COUNTIFS('Match Log'!$A$4:$A$810,'Match Log'!$A$4:$A$810,'Match Log'!$D$4:$D$810,F$4,'Match Log'!$E$4:$E$810,"Loss"))+SUMPRODUCT(('Match Log'!$D$4:$D$810=F$4)*('Match Log'!$E$4:$E$810="Win")*COUNTIFS('Match Log'!$A$4:$A$810,'Match Log'!$A$4:$A$810,'Match Log'!$D$4:$D$810,$A16,'Match Log'!$E$4:$E$810,"Loss"))),"0%")&amp;" of "&amp;(SUMPRODUCT(('Match Log'!$D$4:$D$810=$A16)*('Match Log'!$E$4:$E$810="Win")*COUNTIFS('Match Log'!$A$4:$A$810,'Match Log'!$A$4:$A$810,'Match Log'!$D$4:$D$810,F$4,'Match Log'!$E$4:$E$810,"Loss"))+SUMPRODUCT(('Match Log'!$D$4:$D$810=F$4)*('Match Log'!$E$4:$E$810="Win")*COUNTIFS('Match Log'!$A$4:$A$810,'Match Log'!$A$4:$A$810,'Match Log'!$D$4:$D$810,$A16,'Match Log'!$E$4:$E$810,"Loss")))))</f>
        <v>100% of 1</v>
      </c>
      <c r="G16" s="50" t="str">
        <f>IF($A16=G$4,"—",IF((SUMPRODUCT(('Match Log'!$D$4:$D$810=$A16)*('Match Log'!$E$4:$E$810="Win")*COUNTIFS('Match Log'!$A$4:$A$810,'Match Log'!$A$4:$A$810,'Match Log'!$D$4:$D$810,G$4,'Match Log'!$E$4:$E$810,"Loss"))+SUMPRODUCT(('Match Log'!$D$4:$D$810=G$4)*('Match Log'!$E$4:$E$810="Win")*COUNTIFS('Match Log'!$A$4:$A$810,'Match Log'!$A$4:$A$810,'Match Log'!$D$4:$D$810,$A16,'Match Log'!$E$4:$E$810,"Loss")))=0,"",TEXT(SUMPRODUCT(('Match Log'!$D$4:$D$810=$A16)*('Match Log'!$E$4:$E$810="Win")*COUNTIFS('Match Log'!$A$4:$A$810,'Match Log'!$A$4:$A$810,'Match Log'!$D$4:$D$810,G$4,'Match Log'!$E$4:$E$810,"Loss"))/(SUMPRODUCT(('Match Log'!$D$4:$D$810=$A16)*('Match Log'!$E$4:$E$810="Win")*COUNTIFS('Match Log'!$A$4:$A$810,'Match Log'!$A$4:$A$810,'Match Log'!$D$4:$D$810,G$4,'Match Log'!$E$4:$E$810,"Loss"))+SUMPRODUCT(('Match Log'!$D$4:$D$810=G$4)*('Match Log'!$E$4:$E$810="Win")*COUNTIFS('Match Log'!$A$4:$A$810,'Match Log'!$A$4:$A$810,'Match Log'!$D$4:$D$810,$A16,'Match Log'!$E$4:$E$810,"Loss"))),"0%")&amp;" of "&amp;(SUMPRODUCT(('Match Log'!$D$4:$D$810=$A16)*('Match Log'!$E$4:$E$810="Win")*COUNTIFS('Match Log'!$A$4:$A$810,'Match Log'!$A$4:$A$810,'Match Log'!$D$4:$D$810,G$4,'Match Log'!$E$4:$E$810,"Loss"))+SUMPRODUCT(('Match Log'!$D$4:$D$810=G$4)*('Match Log'!$E$4:$E$810="Win")*COUNTIFS('Match Log'!$A$4:$A$810,'Match Log'!$A$4:$A$810,'Match Log'!$D$4:$D$810,$A16,'Match Log'!$E$4:$E$810,"Loss")))))</f>
        <v>100% of 1</v>
      </c>
      <c r="H16" s="50" t="str">
        <f>IF($A16=H$4,"—",IF((SUMPRODUCT(('Match Log'!$D$4:$D$810=$A16)*('Match Log'!$E$4:$E$810="Win")*COUNTIFS('Match Log'!$A$4:$A$810,'Match Log'!$A$4:$A$810,'Match Log'!$D$4:$D$810,H$4,'Match Log'!$E$4:$E$810,"Loss"))+SUMPRODUCT(('Match Log'!$D$4:$D$810=H$4)*('Match Log'!$E$4:$E$810="Win")*COUNTIFS('Match Log'!$A$4:$A$810,'Match Log'!$A$4:$A$810,'Match Log'!$D$4:$D$810,$A16,'Match Log'!$E$4:$E$810,"Loss")))=0,"",TEXT(SUMPRODUCT(('Match Log'!$D$4:$D$810=$A16)*('Match Log'!$E$4:$E$810="Win")*COUNTIFS('Match Log'!$A$4:$A$810,'Match Log'!$A$4:$A$810,'Match Log'!$D$4:$D$810,H$4,'Match Log'!$E$4:$E$810,"Loss"))/(SUMPRODUCT(('Match Log'!$D$4:$D$810=$A16)*('Match Log'!$E$4:$E$810="Win")*COUNTIFS('Match Log'!$A$4:$A$810,'Match Log'!$A$4:$A$810,'Match Log'!$D$4:$D$810,H$4,'Match Log'!$E$4:$E$810,"Loss"))+SUMPRODUCT(('Match Log'!$D$4:$D$810=H$4)*('Match Log'!$E$4:$E$810="Win")*COUNTIFS('Match Log'!$A$4:$A$810,'Match Log'!$A$4:$A$810,'Match Log'!$D$4:$D$810,$A16,'Match Log'!$E$4:$E$810,"Loss"))),"0%")&amp;" of "&amp;(SUMPRODUCT(('Match Log'!$D$4:$D$810=$A16)*('Match Log'!$E$4:$E$810="Win")*COUNTIFS('Match Log'!$A$4:$A$810,'Match Log'!$A$4:$A$810,'Match Log'!$D$4:$D$810,H$4,'Match Log'!$E$4:$E$810,"Loss"))+SUMPRODUCT(('Match Log'!$D$4:$D$810=H$4)*('Match Log'!$E$4:$E$810="Win")*COUNTIFS('Match Log'!$A$4:$A$810,'Match Log'!$A$4:$A$810,'Match Log'!$D$4:$D$810,$A16,'Match Log'!$E$4:$E$810,"Loss")))))</f>
        <v>0% of 1</v>
      </c>
      <c r="I16" s="50" t="str">
        <f>IF($A16=I$4,"—",IF((SUMPRODUCT(('Match Log'!$D$4:$D$810=$A16)*('Match Log'!$E$4:$E$810="Win")*COUNTIFS('Match Log'!$A$4:$A$810,'Match Log'!$A$4:$A$810,'Match Log'!$D$4:$D$810,I$4,'Match Log'!$E$4:$E$810,"Loss"))+SUMPRODUCT(('Match Log'!$D$4:$D$810=I$4)*('Match Log'!$E$4:$E$810="Win")*COUNTIFS('Match Log'!$A$4:$A$810,'Match Log'!$A$4:$A$810,'Match Log'!$D$4:$D$810,$A16,'Match Log'!$E$4:$E$810,"Loss")))=0,"",TEXT(SUMPRODUCT(('Match Log'!$D$4:$D$810=$A16)*('Match Log'!$E$4:$E$810="Win")*COUNTIFS('Match Log'!$A$4:$A$810,'Match Log'!$A$4:$A$810,'Match Log'!$D$4:$D$810,I$4,'Match Log'!$E$4:$E$810,"Loss"))/(SUMPRODUCT(('Match Log'!$D$4:$D$810=$A16)*('Match Log'!$E$4:$E$810="Win")*COUNTIFS('Match Log'!$A$4:$A$810,'Match Log'!$A$4:$A$810,'Match Log'!$D$4:$D$810,I$4,'Match Log'!$E$4:$E$810,"Loss"))+SUMPRODUCT(('Match Log'!$D$4:$D$810=I$4)*('Match Log'!$E$4:$E$810="Win")*COUNTIFS('Match Log'!$A$4:$A$810,'Match Log'!$A$4:$A$810,'Match Log'!$D$4:$D$810,$A16,'Match Log'!$E$4:$E$810,"Loss"))),"0%")&amp;" of "&amp;(SUMPRODUCT(('Match Log'!$D$4:$D$810=$A16)*('Match Log'!$E$4:$E$810="Win")*COUNTIFS('Match Log'!$A$4:$A$810,'Match Log'!$A$4:$A$810,'Match Log'!$D$4:$D$810,I$4,'Match Log'!$E$4:$E$810,"Loss"))+SUMPRODUCT(('Match Log'!$D$4:$D$810=I$4)*('Match Log'!$E$4:$E$810="Win")*COUNTIFS('Match Log'!$A$4:$A$810,'Match Log'!$A$4:$A$810,'Match Log'!$D$4:$D$810,$A16,'Match Log'!$E$4:$E$810,"Loss")))))</f>
        <v>0% of 2</v>
      </c>
      <c r="J16" s="50" t="str">
        <f>IF($A16=J$4,"—",IF((SUMPRODUCT(('Match Log'!$D$4:$D$810=$A16)*('Match Log'!$E$4:$E$810="Win")*COUNTIFS('Match Log'!$A$4:$A$810,'Match Log'!$A$4:$A$810,'Match Log'!$D$4:$D$810,J$4,'Match Log'!$E$4:$E$810,"Loss"))+SUMPRODUCT(('Match Log'!$D$4:$D$810=J$4)*('Match Log'!$E$4:$E$810="Win")*COUNTIFS('Match Log'!$A$4:$A$810,'Match Log'!$A$4:$A$810,'Match Log'!$D$4:$D$810,$A16,'Match Log'!$E$4:$E$810,"Loss")))=0,"",TEXT(SUMPRODUCT(('Match Log'!$D$4:$D$810=$A16)*('Match Log'!$E$4:$E$810="Win")*COUNTIFS('Match Log'!$A$4:$A$810,'Match Log'!$A$4:$A$810,'Match Log'!$D$4:$D$810,J$4,'Match Log'!$E$4:$E$810,"Loss"))/(SUMPRODUCT(('Match Log'!$D$4:$D$810=$A16)*('Match Log'!$E$4:$E$810="Win")*COUNTIFS('Match Log'!$A$4:$A$810,'Match Log'!$A$4:$A$810,'Match Log'!$D$4:$D$810,J$4,'Match Log'!$E$4:$E$810,"Loss"))+SUMPRODUCT(('Match Log'!$D$4:$D$810=J$4)*('Match Log'!$E$4:$E$810="Win")*COUNTIFS('Match Log'!$A$4:$A$810,'Match Log'!$A$4:$A$810,'Match Log'!$D$4:$D$810,$A16,'Match Log'!$E$4:$E$810,"Loss"))),"0%")&amp;" of "&amp;(SUMPRODUCT(('Match Log'!$D$4:$D$810=$A16)*('Match Log'!$E$4:$E$810="Win")*COUNTIFS('Match Log'!$A$4:$A$810,'Match Log'!$A$4:$A$810,'Match Log'!$D$4:$D$810,J$4,'Match Log'!$E$4:$E$810,"Loss"))+SUMPRODUCT(('Match Log'!$D$4:$D$810=J$4)*('Match Log'!$E$4:$E$810="Win")*COUNTIFS('Match Log'!$A$4:$A$810,'Match Log'!$A$4:$A$810,'Match Log'!$D$4:$D$810,$A16,'Match Log'!$E$4:$E$810,"Loss")))))</f>
        <v>0% of 2</v>
      </c>
      <c r="K16" s="50" t="str">
        <f>IF($A16=K$4,"—",IF((SUMPRODUCT(('Match Log'!$D$4:$D$810=$A16)*('Match Log'!$E$4:$E$810="Win")*COUNTIFS('Match Log'!$A$4:$A$810,'Match Log'!$A$4:$A$810,'Match Log'!$D$4:$D$810,K$4,'Match Log'!$E$4:$E$810,"Loss"))+SUMPRODUCT(('Match Log'!$D$4:$D$810=K$4)*('Match Log'!$E$4:$E$810="Win")*COUNTIFS('Match Log'!$A$4:$A$810,'Match Log'!$A$4:$A$810,'Match Log'!$D$4:$D$810,$A16,'Match Log'!$E$4:$E$810,"Loss")))=0,"",TEXT(SUMPRODUCT(('Match Log'!$D$4:$D$810=$A16)*('Match Log'!$E$4:$E$810="Win")*COUNTIFS('Match Log'!$A$4:$A$810,'Match Log'!$A$4:$A$810,'Match Log'!$D$4:$D$810,K$4,'Match Log'!$E$4:$E$810,"Loss"))/(SUMPRODUCT(('Match Log'!$D$4:$D$810=$A16)*('Match Log'!$E$4:$E$810="Win")*COUNTIFS('Match Log'!$A$4:$A$810,'Match Log'!$A$4:$A$810,'Match Log'!$D$4:$D$810,K$4,'Match Log'!$E$4:$E$810,"Loss"))+SUMPRODUCT(('Match Log'!$D$4:$D$810=K$4)*('Match Log'!$E$4:$E$810="Win")*COUNTIFS('Match Log'!$A$4:$A$810,'Match Log'!$A$4:$A$810,'Match Log'!$D$4:$D$810,$A16,'Match Log'!$E$4:$E$810,"Loss"))),"0%")&amp;" of "&amp;(SUMPRODUCT(('Match Log'!$D$4:$D$810=$A16)*('Match Log'!$E$4:$E$810="Win")*COUNTIFS('Match Log'!$A$4:$A$810,'Match Log'!$A$4:$A$810,'Match Log'!$D$4:$D$810,K$4,'Match Log'!$E$4:$E$810,"Loss"))+SUMPRODUCT(('Match Log'!$D$4:$D$810=K$4)*('Match Log'!$E$4:$E$810="Win")*COUNTIFS('Match Log'!$A$4:$A$810,'Match Log'!$A$4:$A$810,'Match Log'!$D$4:$D$810,$A16,'Match Log'!$E$4:$E$810,"Loss")))))</f>
        <v/>
      </c>
      <c r="L16" s="50" t="str">
        <f>IF($A16=L$4,"—",IF((SUMPRODUCT(('Match Log'!$D$4:$D$810=$A16)*('Match Log'!$E$4:$E$810="Win")*COUNTIFS('Match Log'!$A$4:$A$810,'Match Log'!$A$4:$A$810,'Match Log'!$D$4:$D$810,L$4,'Match Log'!$E$4:$E$810,"Loss"))+SUMPRODUCT(('Match Log'!$D$4:$D$810=L$4)*('Match Log'!$E$4:$E$810="Win")*COUNTIFS('Match Log'!$A$4:$A$810,'Match Log'!$A$4:$A$810,'Match Log'!$D$4:$D$810,$A16,'Match Log'!$E$4:$E$810,"Loss")))=0,"",TEXT(SUMPRODUCT(('Match Log'!$D$4:$D$810=$A16)*('Match Log'!$E$4:$E$810="Win")*COUNTIFS('Match Log'!$A$4:$A$810,'Match Log'!$A$4:$A$810,'Match Log'!$D$4:$D$810,L$4,'Match Log'!$E$4:$E$810,"Loss"))/(SUMPRODUCT(('Match Log'!$D$4:$D$810=$A16)*('Match Log'!$E$4:$E$810="Win")*COUNTIFS('Match Log'!$A$4:$A$810,'Match Log'!$A$4:$A$810,'Match Log'!$D$4:$D$810,L$4,'Match Log'!$E$4:$E$810,"Loss"))+SUMPRODUCT(('Match Log'!$D$4:$D$810=L$4)*('Match Log'!$E$4:$E$810="Win")*COUNTIFS('Match Log'!$A$4:$A$810,'Match Log'!$A$4:$A$810,'Match Log'!$D$4:$D$810,$A16,'Match Log'!$E$4:$E$810,"Loss"))),"0%")&amp;" of "&amp;(SUMPRODUCT(('Match Log'!$D$4:$D$810=$A16)*('Match Log'!$E$4:$E$810="Win")*COUNTIFS('Match Log'!$A$4:$A$810,'Match Log'!$A$4:$A$810,'Match Log'!$D$4:$D$810,L$4,'Match Log'!$E$4:$E$810,"Loss"))+SUMPRODUCT(('Match Log'!$D$4:$D$810=L$4)*('Match Log'!$E$4:$E$810="Win")*COUNTIFS('Match Log'!$A$4:$A$810,'Match Log'!$A$4:$A$810,'Match Log'!$D$4:$D$810,$A16,'Match Log'!$E$4:$E$810,"Loss")))))</f>
        <v>0% of 1</v>
      </c>
      <c r="M16" s="50" t="str">
        <f>IF($A16=M$4,"—",IF((SUMPRODUCT(('Match Log'!$D$4:$D$810=$A16)*('Match Log'!$E$4:$E$810="Win")*COUNTIFS('Match Log'!$A$4:$A$810,'Match Log'!$A$4:$A$810,'Match Log'!$D$4:$D$810,M$4,'Match Log'!$E$4:$E$810,"Loss"))+SUMPRODUCT(('Match Log'!$D$4:$D$810=M$4)*('Match Log'!$E$4:$E$810="Win")*COUNTIFS('Match Log'!$A$4:$A$810,'Match Log'!$A$4:$A$810,'Match Log'!$D$4:$D$810,$A16,'Match Log'!$E$4:$E$810,"Loss")))=0,"",TEXT(SUMPRODUCT(('Match Log'!$D$4:$D$810=$A16)*('Match Log'!$E$4:$E$810="Win")*COUNTIFS('Match Log'!$A$4:$A$810,'Match Log'!$A$4:$A$810,'Match Log'!$D$4:$D$810,M$4,'Match Log'!$E$4:$E$810,"Loss"))/(SUMPRODUCT(('Match Log'!$D$4:$D$810=$A16)*('Match Log'!$E$4:$E$810="Win")*COUNTIFS('Match Log'!$A$4:$A$810,'Match Log'!$A$4:$A$810,'Match Log'!$D$4:$D$810,M$4,'Match Log'!$E$4:$E$810,"Loss"))+SUMPRODUCT(('Match Log'!$D$4:$D$810=M$4)*('Match Log'!$E$4:$E$810="Win")*COUNTIFS('Match Log'!$A$4:$A$810,'Match Log'!$A$4:$A$810,'Match Log'!$D$4:$D$810,$A16,'Match Log'!$E$4:$E$810,"Loss"))),"0%")&amp;" of "&amp;(SUMPRODUCT(('Match Log'!$D$4:$D$810=$A16)*('Match Log'!$E$4:$E$810="Win")*COUNTIFS('Match Log'!$A$4:$A$810,'Match Log'!$A$4:$A$810,'Match Log'!$D$4:$D$810,M$4,'Match Log'!$E$4:$E$810,"Loss"))+SUMPRODUCT(('Match Log'!$D$4:$D$810=M$4)*('Match Log'!$E$4:$E$810="Win")*COUNTIFS('Match Log'!$A$4:$A$810,'Match Log'!$A$4:$A$810,'Match Log'!$D$4:$D$810,$A16,'Match Log'!$E$4:$E$810,"Loss")))))</f>
        <v>—</v>
      </c>
      <c r="N16" s="50" t="str">
        <f>IF($A16=N$4,"—",IF((SUMPRODUCT(('Match Log'!$D$4:$D$810=$A16)*('Match Log'!$E$4:$E$810="Win")*COUNTIFS('Match Log'!$A$4:$A$810,'Match Log'!$A$4:$A$810,'Match Log'!$D$4:$D$810,N$4,'Match Log'!$E$4:$E$810,"Loss"))+SUMPRODUCT(('Match Log'!$D$4:$D$810=N$4)*('Match Log'!$E$4:$E$810="Win")*COUNTIFS('Match Log'!$A$4:$A$810,'Match Log'!$A$4:$A$810,'Match Log'!$D$4:$D$810,$A16,'Match Log'!$E$4:$E$810,"Loss")))=0,"",TEXT(SUMPRODUCT(('Match Log'!$D$4:$D$810=$A16)*('Match Log'!$E$4:$E$810="Win")*COUNTIFS('Match Log'!$A$4:$A$810,'Match Log'!$A$4:$A$810,'Match Log'!$D$4:$D$810,N$4,'Match Log'!$E$4:$E$810,"Loss"))/(SUMPRODUCT(('Match Log'!$D$4:$D$810=$A16)*('Match Log'!$E$4:$E$810="Win")*COUNTIFS('Match Log'!$A$4:$A$810,'Match Log'!$A$4:$A$810,'Match Log'!$D$4:$D$810,N$4,'Match Log'!$E$4:$E$810,"Loss"))+SUMPRODUCT(('Match Log'!$D$4:$D$810=N$4)*('Match Log'!$E$4:$E$810="Win")*COUNTIFS('Match Log'!$A$4:$A$810,'Match Log'!$A$4:$A$810,'Match Log'!$D$4:$D$810,$A16,'Match Log'!$E$4:$E$810,"Loss"))),"0%")&amp;" of "&amp;(SUMPRODUCT(('Match Log'!$D$4:$D$810=$A16)*('Match Log'!$E$4:$E$810="Win")*COUNTIFS('Match Log'!$A$4:$A$810,'Match Log'!$A$4:$A$810,'Match Log'!$D$4:$D$810,N$4,'Match Log'!$E$4:$E$810,"Loss"))+SUMPRODUCT(('Match Log'!$D$4:$D$810=N$4)*('Match Log'!$E$4:$E$810="Win")*COUNTIFS('Match Log'!$A$4:$A$810,'Match Log'!$A$4:$A$810,'Match Log'!$D$4:$D$810,$A16,'Match Log'!$E$4:$E$810,"Loss")))))</f>
        <v/>
      </c>
      <c r="O16" s="50" t="str">
        <f>IF($A16=O$4,"—",IF((SUMPRODUCT(('Match Log'!$D$4:$D$810=$A16)*('Match Log'!$E$4:$E$810="Win")*COUNTIFS('Match Log'!$A$4:$A$810,'Match Log'!$A$4:$A$810,'Match Log'!$D$4:$D$810,O$4,'Match Log'!$E$4:$E$810,"Loss"))+SUMPRODUCT(('Match Log'!$D$4:$D$810=O$4)*('Match Log'!$E$4:$E$810="Win")*COUNTIFS('Match Log'!$A$4:$A$810,'Match Log'!$A$4:$A$810,'Match Log'!$D$4:$D$810,$A16,'Match Log'!$E$4:$E$810,"Loss")))=0,"",TEXT(SUMPRODUCT(('Match Log'!$D$4:$D$810=$A16)*('Match Log'!$E$4:$E$810="Win")*COUNTIFS('Match Log'!$A$4:$A$810,'Match Log'!$A$4:$A$810,'Match Log'!$D$4:$D$810,O$4,'Match Log'!$E$4:$E$810,"Loss"))/(SUMPRODUCT(('Match Log'!$D$4:$D$810=$A16)*('Match Log'!$E$4:$E$810="Win")*COUNTIFS('Match Log'!$A$4:$A$810,'Match Log'!$A$4:$A$810,'Match Log'!$D$4:$D$810,O$4,'Match Log'!$E$4:$E$810,"Loss"))+SUMPRODUCT(('Match Log'!$D$4:$D$810=O$4)*('Match Log'!$E$4:$E$810="Win")*COUNTIFS('Match Log'!$A$4:$A$810,'Match Log'!$A$4:$A$810,'Match Log'!$D$4:$D$810,$A16,'Match Log'!$E$4:$E$810,"Loss"))),"0%")&amp;" of "&amp;(SUMPRODUCT(('Match Log'!$D$4:$D$810=$A16)*('Match Log'!$E$4:$E$810="Win")*COUNTIFS('Match Log'!$A$4:$A$810,'Match Log'!$A$4:$A$810,'Match Log'!$D$4:$D$810,O$4,'Match Log'!$E$4:$E$810,"Loss"))+SUMPRODUCT(('Match Log'!$D$4:$D$810=O$4)*('Match Log'!$E$4:$E$810="Win")*COUNTIFS('Match Log'!$A$4:$A$810,'Match Log'!$A$4:$A$810,'Match Log'!$D$4:$D$810,$A16,'Match Log'!$E$4:$E$810,"Loss")))))</f>
        <v/>
      </c>
    </row>
    <row r="17" spans="1:15" ht="15" customHeight="1" x14ac:dyDescent="0.2">
      <c r="A17" s="45" t="s">
        <v>172</v>
      </c>
      <c r="B17" s="50" t="str">
        <f>IF($A17=B$4,"—",IF((SUMPRODUCT(('Match Log'!$D$4:$D$810=$A17)*('Match Log'!$E$4:$E$810="Win")*COUNTIFS('Match Log'!$A$4:$A$810,'Match Log'!$A$4:$A$810,'Match Log'!$D$4:$D$810,B$4,'Match Log'!$E$4:$E$810,"Loss"))+SUMPRODUCT(('Match Log'!$D$4:$D$810=B$4)*('Match Log'!$E$4:$E$810="Win")*COUNTIFS('Match Log'!$A$4:$A$810,'Match Log'!$A$4:$A$810,'Match Log'!$D$4:$D$810,$A17,'Match Log'!$E$4:$E$810,"Loss")))=0,"",TEXT(SUMPRODUCT(('Match Log'!$D$4:$D$810=$A17)*('Match Log'!$E$4:$E$810="Win")*COUNTIFS('Match Log'!$A$4:$A$810,'Match Log'!$A$4:$A$810,'Match Log'!$D$4:$D$810,B$4,'Match Log'!$E$4:$E$810,"Loss"))/(SUMPRODUCT(('Match Log'!$D$4:$D$810=$A17)*('Match Log'!$E$4:$E$810="Win")*COUNTIFS('Match Log'!$A$4:$A$810,'Match Log'!$A$4:$A$810,'Match Log'!$D$4:$D$810,B$4,'Match Log'!$E$4:$E$810,"Loss"))+SUMPRODUCT(('Match Log'!$D$4:$D$810=B$4)*('Match Log'!$E$4:$E$810="Win")*COUNTIFS('Match Log'!$A$4:$A$810,'Match Log'!$A$4:$A$810,'Match Log'!$D$4:$D$810,$A17,'Match Log'!$E$4:$E$810,"Loss"))),"0%")&amp;" of "&amp;(SUMPRODUCT(('Match Log'!$D$4:$D$810=$A17)*('Match Log'!$E$4:$E$810="Win")*COUNTIFS('Match Log'!$A$4:$A$810,'Match Log'!$A$4:$A$810,'Match Log'!$D$4:$D$810,B$4,'Match Log'!$E$4:$E$810,"Loss"))+SUMPRODUCT(('Match Log'!$D$4:$D$810=B$4)*('Match Log'!$E$4:$E$810="Win")*COUNTIFS('Match Log'!$A$4:$A$810,'Match Log'!$A$4:$A$810,'Match Log'!$D$4:$D$810,$A17,'Match Log'!$E$4:$E$810,"Loss")))))</f>
        <v/>
      </c>
      <c r="C17" s="50" t="str">
        <f>IF($A17=C$4,"—",IF((SUMPRODUCT(('Match Log'!$D$4:$D$810=$A17)*('Match Log'!$E$4:$E$810="Win")*COUNTIFS('Match Log'!$A$4:$A$810,'Match Log'!$A$4:$A$810,'Match Log'!$D$4:$D$810,C$4,'Match Log'!$E$4:$E$810,"Loss"))+SUMPRODUCT(('Match Log'!$D$4:$D$810=C$4)*('Match Log'!$E$4:$E$810="Win")*COUNTIFS('Match Log'!$A$4:$A$810,'Match Log'!$A$4:$A$810,'Match Log'!$D$4:$D$810,$A17,'Match Log'!$E$4:$E$810,"Loss")))=0,"",TEXT(SUMPRODUCT(('Match Log'!$D$4:$D$810=$A17)*('Match Log'!$E$4:$E$810="Win")*COUNTIFS('Match Log'!$A$4:$A$810,'Match Log'!$A$4:$A$810,'Match Log'!$D$4:$D$810,C$4,'Match Log'!$E$4:$E$810,"Loss"))/(SUMPRODUCT(('Match Log'!$D$4:$D$810=$A17)*('Match Log'!$E$4:$E$810="Win")*COUNTIFS('Match Log'!$A$4:$A$810,'Match Log'!$A$4:$A$810,'Match Log'!$D$4:$D$810,C$4,'Match Log'!$E$4:$E$810,"Loss"))+SUMPRODUCT(('Match Log'!$D$4:$D$810=C$4)*('Match Log'!$E$4:$E$810="Win")*COUNTIFS('Match Log'!$A$4:$A$810,'Match Log'!$A$4:$A$810,'Match Log'!$D$4:$D$810,$A17,'Match Log'!$E$4:$E$810,"Loss"))),"0%")&amp;" of "&amp;(SUMPRODUCT(('Match Log'!$D$4:$D$810=$A17)*('Match Log'!$E$4:$E$810="Win")*COUNTIFS('Match Log'!$A$4:$A$810,'Match Log'!$A$4:$A$810,'Match Log'!$D$4:$D$810,C$4,'Match Log'!$E$4:$E$810,"Loss"))+SUMPRODUCT(('Match Log'!$D$4:$D$810=C$4)*('Match Log'!$E$4:$E$810="Win")*COUNTIFS('Match Log'!$A$4:$A$810,'Match Log'!$A$4:$A$810,'Match Log'!$D$4:$D$810,$A17,'Match Log'!$E$4:$E$810,"Loss")))))</f>
        <v/>
      </c>
      <c r="D17" s="50" t="str">
        <f>IF($A17=D$4,"—",IF((SUMPRODUCT(('Match Log'!$D$4:$D$810=$A17)*('Match Log'!$E$4:$E$810="Win")*COUNTIFS('Match Log'!$A$4:$A$810,'Match Log'!$A$4:$A$810,'Match Log'!$D$4:$D$810,D$4,'Match Log'!$E$4:$E$810,"Loss"))+SUMPRODUCT(('Match Log'!$D$4:$D$810=D$4)*('Match Log'!$E$4:$E$810="Win")*COUNTIFS('Match Log'!$A$4:$A$810,'Match Log'!$A$4:$A$810,'Match Log'!$D$4:$D$810,$A17,'Match Log'!$E$4:$E$810,"Loss")))=0,"",TEXT(SUMPRODUCT(('Match Log'!$D$4:$D$810=$A17)*('Match Log'!$E$4:$E$810="Win")*COUNTIFS('Match Log'!$A$4:$A$810,'Match Log'!$A$4:$A$810,'Match Log'!$D$4:$D$810,D$4,'Match Log'!$E$4:$E$810,"Loss"))/(SUMPRODUCT(('Match Log'!$D$4:$D$810=$A17)*('Match Log'!$E$4:$E$810="Win")*COUNTIFS('Match Log'!$A$4:$A$810,'Match Log'!$A$4:$A$810,'Match Log'!$D$4:$D$810,D$4,'Match Log'!$E$4:$E$810,"Loss"))+SUMPRODUCT(('Match Log'!$D$4:$D$810=D$4)*('Match Log'!$E$4:$E$810="Win")*COUNTIFS('Match Log'!$A$4:$A$810,'Match Log'!$A$4:$A$810,'Match Log'!$D$4:$D$810,$A17,'Match Log'!$E$4:$E$810,"Loss"))),"0%")&amp;" of "&amp;(SUMPRODUCT(('Match Log'!$D$4:$D$810=$A17)*('Match Log'!$E$4:$E$810="Win")*COUNTIFS('Match Log'!$A$4:$A$810,'Match Log'!$A$4:$A$810,'Match Log'!$D$4:$D$810,D$4,'Match Log'!$E$4:$E$810,"Loss"))+SUMPRODUCT(('Match Log'!$D$4:$D$810=D$4)*('Match Log'!$E$4:$E$810="Win")*COUNTIFS('Match Log'!$A$4:$A$810,'Match Log'!$A$4:$A$810,'Match Log'!$D$4:$D$810,$A17,'Match Log'!$E$4:$E$810,"Loss")))))</f>
        <v/>
      </c>
      <c r="E17" s="50" t="str">
        <f>IF($A17=E$4,"—",IF((SUMPRODUCT(('Match Log'!$D$4:$D$810=$A17)*('Match Log'!$E$4:$E$810="Win")*COUNTIFS('Match Log'!$A$4:$A$810,'Match Log'!$A$4:$A$810,'Match Log'!$D$4:$D$810,E$4,'Match Log'!$E$4:$E$810,"Loss"))+SUMPRODUCT(('Match Log'!$D$4:$D$810=E$4)*('Match Log'!$E$4:$E$810="Win")*COUNTIFS('Match Log'!$A$4:$A$810,'Match Log'!$A$4:$A$810,'Match Log'!$D$4:$D$810,$A17,'Match Log'!$E$4:$E$810,"Loss")))=0,"",TEXT(SUMPRODUCT(('Match Log'!$D$4:$D$810=$A17)*('Match Log'!$E$4:$E$810="Win")*COUNTIFS('Match Log'!$A$4:$A$810,'Match Log'!$A$4:$A$810,'Match Log'!$D$4:$D$810,E$4,'Match Log'!$E$4:$E$810,"Loss"))/(SUMPRODUCT(('Match Log'!$D$4:$D$810=$A17)*('Match Log'!$E$4:$E$810="Win")*COUNTIFS('Match Log'!$A$4:$A$810,'Match Log'!$A$4:$A$810,'Match Log'!$D$4:$D$810,E$4,'Match Log'!$E$4:$E$810,"Loss"))+SUMPRODUCT(('Match Log'!$D$4:$D$810=E$4)*('Match Log'!$E$4:$E$810="Win")*COUNTIFS('Match Log'!$A$4:$A$810,'Match Log'!$A$4:$A$810,'Match Log'!$D$4:$D$810,$A17,'Match Log'!$E$4:$E$810,"Loss"))),"0%")&amp;" of "&amp;(SUMPRODUCT(('Match Log'!$D$4:$D$810=$A17)*('Match Log'!$E$4:$E$810="Win")*COUNTIFS('Match Log'!$A$4:$A$810,'Match Log'!$A$4:$A$810,'Match Log'!$D$4:$D$810,E$4,'Match Log'!$E$4:$E$810,"Loss"))+SUMPRODUCT(('Match Log'!$D$4:$D$810=E$4)*('Match Log'!$E$4:$E$810="Win")*COUNTIFS('Match Log'!$A$4:$A$810,'Match Log'!$A$4:$A$810,'Match Log'!$D$4:$D$810,$A17,'Match Log'!$E$4:$E$810,"Loss")))))</f>
        <v/>
      </c>
      <c r="F17" s="50" t="str">
        <f>IF($A17=F$4,"—",IF((SUMPRODUCT(('Match Log'!$D$4:$D$810=$A17)*('Match Log'!$E$4:$E$810="Win")*COUNTIFS('Match Log'!$A$4:$A$810,'Match Log'!$A$4:$A$810,'Match Log'!$D$4:$D$810,F$4,'Match Log'!$E$4:$E$810,"Loss"))+SUMPRODUCT(('Match Log'!$D$4:$D$810=F$4)*('Match Log'!$E$4:$E$810="Win")*COUNTIFS('Match Log'!$A$4:$A$810,'Match Log'!$A$4:$A$810,'Match Log'!$D$4:$D$810,$A17,'Match Log'!$E$4:$E$810,"Loss")))=0,"",TEXT(SUMPRODUCT(('Match Log'!$D$4:$D$810=$A17)*('Match Log'!$E$4:$E$810="Win")*COUNTIFS('Match Log'!$A$4:$A$810,'Match Log'!$A$4:$A$810,'Match Log'!$D$4:$D$810,F$4,'Match Log'!$E$4:$E$810,"Loss"))/(SUMPRODUCT(('Match Log'!$D$4:$D$810=$A17)*('Match Log'!$E$4:$E$810="Win")*COUNTIFS('Match Log'!$A$4:$A$810,'Match Log'!$A$4:$A$810,'Match Log'!$D$4:$D$810,F$4,'Match Log'!$E$4:$E$810,"Loss"))+SUMPRODUCT(('Match Log'!$D$4:$D$810=F$4)*('Match Log'!$E$4:$E$810="Win")*COUNTIFS('Match Log'!$A$4:$A$810,'Match Log'!$A$4:$A$810,'Match Log'!$D$4:$D$810,$A17,'Match Log'!$E$4:$E$810,"Loss"))),"0%")&amp;" of "&amp;(SUMPRODUCT(('Match Log'!$D$4:$D$810=$A17)*('Match Log'!$E$4:$E$810="Win")*COUNTIFS('Match Log'!$A$4:$A$810,'Match Log'!$A$4:$A$810,'Match Log'!$D$4:$D$810,F$4,'Match Log'!$E$4:$E$810,"Loss"))+SUMPRODUCT(('Match Log'!$D$4:$D$810=F$4)*('Match Log'!$E$4:$E$810="Win")*COUNTIFS('Match Log'!$A$4:$A$810,'Match Log'!$A$4:$A$810,'Match Log'!$D$4:$D$810,$A17,'Match Log'!$E$4:$E$810,"Loss")))))</f>
        <v>0% of 1</v>
      </c>
      <c r="G17" s="50" t="str">
        <f>IF($A17=G$4,"—",IF((SUMPRODUCT(('Match Log'!$D$4:$D$810=$A17)*('Match Log'!$E$4:$E$810="Win")*COUNTIFS('Match Log'!$A$4:$A$810,'Match Log'!$A$4:$A$810,'Match Log'!$D$4:$D$810,G$4,'Match Log'!$E$4:$E$810,"Loss"))+SUMPRODUCT(('Match Log'!$D$4:$D$810=G$4)*('Match Log'!$E$4:$E$810="Win")*COUNTIFS('Match Log'!$A$4:$A$810,'Match Log'!$A$4:$A$810,'Match Log'!$D$4:$D$810,$A17,'Match Log'!$E$4:$E$810,"Loss")))=0,"",TEXT(SUMPRODUCT(('Match Log'!$D$4:$D$810=$A17)*('Match Log'!$E$4:$E$810="Win")*COUNTIFS('Match Log'!$A$4:$A$810,'Match Log'!$A$4:$A$810,'Match Log'!$D$4:$D$810,G$4,'Match Log'!$E$4:$E$810,"Loss"))/(SUMPRODUCT(('Match Log'!$D$4:$D$810=$A17)*('Match Log'!$E$4:$E$810="Win")*COUNTIFS('Match Log'!$A$4:$A$810,'Match Log'!$A$4:$A$810,'Match Log'!$D$4:$D$810,G$4,'Match Log'!$E$4:$E$810,"Loss"))+SUMPRODUCT(('Match Log'!$D$4:$D$810=G$4)*('Match Log'!$E$4:$E$810="Win")*COUNTIFS('Match Log'!$A$4:$A$810,'Match Log'!$A$4:$A$810,'Match Log'!$D$4:$D$810,$A17,'Match Log'!$E$4:$E$810,"Loss"))),"0%")&amp;" of "&amp;(SUMPRODUCT(('Match Log'!$D$4:$D$810=$A17)*('Match Log'!$E$4:$E$810="Win")*COUNTIFS('Match Log'!$A$4:$A$810,'Match Log'!$A$4:$A$810,'Match Log'!$D$4:$D$810,G$4,'Match Log'!$E$4:$E$810,"Loss"))+SUMPRODUCT(('Match Log'!$D$4:$D$810=G$4)*('Match Log'!$E$4:$E$810="Win")*COUNTIFS('Match Log'!$A$4:$A$810,'Match Log'!$A$4:$A$810,'Match Log'!$D$4:$D$810,$A17,'Match Log'!$E$4:$E$810,"Loss")))))</f>
        <v>0% of 1</v>
      </c>
      <c r="H17" s="50" t="str">
        <f>IF($A17=H$4,"—",IF((SUMPRODUCT(('Match Log'!$D$4:$D$810=$A17)*('Match Log'!$E$4:$E$810="Win")*COUNTIFS('Match Log'!$A$4:$A$810,'Match Log'!$A$4:$A$810,'Match Log'!$D$4:$D$810,H$4,'Match Log'!$E$4:$E$810,"Loss"))+SUMPRODUCT(('Match Log'!$D$4:$D$810=H$4)*('Match Log'!$E$4:$E$810="Win")*COUNTIFS('Match Log'!$A$4:$A$810,'Match Log'!$A$4:$A$810,'Match Log'!$D$4:$D$810,$A17,'Match Log'!$E$4:$E$810,"Loss")))=0,"",TEXT(SUMPRODUCT(('Match Log'!$D$4:$D$810=$A17)*('Match Log'!$E$4:$E$810="Win")*COUNTIFS('Match Log'!$A$4:$A$810,'Match Log'!$A$4:$A$810,'Match Log'!$D$4:$D$810,H$4,'Match Log'!$E$4:$E$810,"Loss"))/(SUMPRODUCT(('Match Log'!$D$4:$D$810=$A17)*('Match Log'!$E$4:$E$810="Win")*COUNTIFS('Match Log'!$A$4:$A$810,'Match Log'!$A$4:$A$810,'Match Log'!$D$4:$D$810,H$4,'Match Log'!$E$4:$E$810,"Loss"))+SUMPRODUCT(('Match Log'!$D$4:$D$810=H$4)*('Match Log'!$E$4:$E$810="Win")*COUNTIFS('Match Log'!$A$4:$A$810,'Match Log'!$A$4:$A$810,'Match Log'!$D$4:$D$810,$A17,'Match Log'!$E$4:$E$810,"Loss"))),"0%")&amp;" of "&amp;(SUMPRODUCT(('Match Log'!$D$4:$D$810=$A17)*('Match Log'!$E$4:$E$810="Win")*COUNTIFS('Match Log'!$A$4:$A$810,'Match Log'!$A$4:$A$810,'Match Log'!$D$4:$D$810,H$4,'Match Log'!$E$4:$E$810,"Loss"))+SUMPRODUCT(('Match Log'!$D$4:$D$810=H$4)*('Match Log'!$E$4:$E$810="Win")*COUNTIFS('Match Log'!$A$4:$A$810,'Match Log'!$A$4:$A$810,'Match Log'!$D$4:$D$810,$A17,'Match Log'!$E$4:$E$810,"Loss")))))</f>
        <v>50% of 2</v>
      </c>
      <c r="I17" s="50" t="str">
        <f>IF($A17=I$4,"—",IF((SUMPRODUCT(('Match Log'!$D$4:$D$810=$A17)*('Match Log'!$E$4:$E$810="Win")*COUNTIFS('Match Log'!$A$4:$A$810,'Match Log'!$A$4:$A$810,'Match Log'!$D$4:$D$810,I$4,'Match Log'!$E$4:$E$810,"Loss"))+SUMPRODUCT(('Match Log'!$D$4:$D$810=I$4)*('Match Log'!$E$4:$E$810="Win")*COUNTIFS('Match Log'!$A$4:$A$810,'Match Log'!$A$4:$A$810,'Match Log'!$D$4:$D$810,$A17,'Match Log'!$E$4:$E$810,"Loss")))=0,"",TEXT(SUMPRODUCT(('Match Log'!$D$4:$D$810=$A17)*('Match Log'!$E$4:$E$810="Win")*COUNTIFS('Match Log'!$A$4:$A$810,'Match Log'!$A$4:$A$810,'Match Log'!$D$4:$D$810,I$4,'Match Log'!$E$4:$E$810,"Loss"))/(SUMPRODUCT(('Match Log'!$D$4:$D$810=$A17)*('Match Log'!$E$4:$E$810="Win")*COUNTIFS('Match Log'!$A$4:$A$810,'Match Log'!$A$4:$A$810,'Match Log'!$D$4:$D$810,I$4,'Match Log'!$E$4:$E$810,"Loss"))+SUMPRODUCT(('Match Log'!$D$4:$D$810=I$4)*('Match Log'!$E$4:$E$810="Win")*COUNTIFS('Match Log'!$A$4:$A$810,'Match Log'!$A$4:$A$810,'Match Log'!$D$4:$D$810,$A17,'Match Log'!$E$4:$E$810,"Loss"))),"0%")&amp;" of "&amp;(SUMPRODUCT(('Match Log'!$D$4:$D$810=$A17)*('Match Log'!$E$4:$E$810="Win")*COUNTIFS('Match Log'!$A$4:$A$810,'Match Log'!$A$4:$A$810,'Match Log'!$D$4:$D$810,I$4,'Match Log'!$E$4:$E$810,"Loss"))+SUMPRODUCT(('Match Log'!$D$4:$D$810=I$4)*('Match Log'!$E$4:$E$810="Win")*COUNTIFS('Match Log'!$A$4:$A$810,'Match Log'!$A$4:$A$810,'Match Log'!$D$4:$D$810,$A17,'Match Log'!$E$4:$E$810,"Loss")))))</f>
        <v>100% of 1</v>
      </c>
      <c r="J17" s="50" t="str">
        <f>IF($A17=J$4,"—",IF((SUMPRODUCT(('Match Log'!$D$4:$D$810=$A17)*('Match Log'!$E$4:$E$810="Win")*COUNTIFS('Match Log'!$A$4:$A$810,'Match Log'!$A$4:$A$810,'Match Log'!$D$4:$D$810,J$4,'Match Log'!$E$4:$E$810,"Loss"))+SUMPRODUCT(('Match Log'!$D$4:$D$810=J$4)*('Match Log'!$E$4:$E$810="Win")*COUNTIFS('Match Log'!$A$4:$A$810,'Match Log'!$A$4:$A$810,'Match Log'!$D$4:$D$810,$A17,'Match Log'!$E$4:$E$810,"Loss")))=0,"",TEXT(SUMPRODUCT(('Match Log'!$D$4:$D$810=$A17)*('Match Log'!$E$4:$E$810="Win")*COUNTIFS('Match Log'!$A$4:$A$810,'Match Log'!$A$4:$A$810,'Match Log'!$D$4:$D$810,J$4,'Match Log'!$E$4:$E$810,"Loss"))/(SUMPRODUCT(('Match Log'!$D$4:$D$810=$A17)*('Match Log'!$E$4:$E$810="Win")*COUNTIFS('Match Log'!$A$4:$A$810,'Match Log'!$A$4:$A$810,'Match Log'!$D$4:$D$810,J$4,'Match Log'!$E$4:$E$810,"Loss"))+SUMPRODUCT(('Match Log'!$D$4:$D$810=J$4)*('Match Log'!$E$4:$E$810="Win")*COUNTIFS('Match Log'!$A$4:$A$810,'Match Log'!$A$4:$A$810,'Match Log'!$D$4:$D$810,$A17,'Match Log'!$E$4:$E$810,"Loss"))),"0%")&amp;" of "&amp;(SUMPRODUCT(('Match Log'!$D$4:$D$810=$A17)*('Match Log'!$E$4:$E$810="Win")*COUNTIFS('Match Log'!$A$4:$A$810,'Match Log'!$A$4:$A$810,'Match Log'!$D$4:$D$810,J$4,'Match Log'!$E$4:$E$810,"Loss"))+SUMPRODUCT(('Match Log'!$D$4:$D$810=J$4)*('Match Log'!$E$4:$E$810="Win")*COUNTIFS('Match Log'!$A$4:$A$810,'Match Log'!$A$4:$A$810,'Match Log'!$D$4:$D$810,$A17,'Match Log'!$E$4:$E$810,"Loss")))))</f>
        <v>100% of 1</v>
      </c>
      <c r="K17" s="50" t="str">
        <f>IF($A17=K$4,"—",IF((SUMPRODUCT(('Match Log'!$D$4:$D$810=$A17)*('Match Log'!$E$4:$E$810="Win")*COUNTIFS('Match Log'!$A$4:$A$810,'Match Log'!$A$4:$A$810,'Match Log'!$D$4:$D$810,K$4,'Match Log'!$E$4:$E$810,"Loss"))+SUMPRODUCT(('Match Log'!$D$4:$D$810=K$4)*('Match Log'!$E$4:$E$810="Win")*COUNTIFS('Match Log'!$A$4:$A$810,'Match Log'!$A$4:$A$810,'Match Log'!$D$4:$D$810,$A17,'Match Log'!$E$4:$E$810,"Loss")))=0,"",TEXT(SUMPRODUCT(('Match Log'!$D$4:$D$810=$A17)*('Match Log'!$E$4:$E$810="Win")*COUNTIFS('Match Log'!$A$4:$A$810,'Match Log'!$A$4:$A$810,'Match Log'!$D$4:$D$810,K$4,'Match Log'!$E$4:$E$810,"Loss"))/(SUMPRODUCT(('Match Log'!$D$4:$D$810=$A17)*('Match Log'!$E$4:$E$810="Win")*COUNTIFS('Match Log'!$A$4:$A$810,'Match Log'!$A$4:$A$810,'Match Log'!$D$4:$D$810,K$4,'Match Log'!$E$4:$E$810,"Loss"))+SUMPRODUCT(('Match Log'!$D$4:$D$810=K$4)*('Match Log'!$E$4:$E$810="Win")*COUNTIFS('Match Log'!$A$4:$A$810,'Match Log'!$A$4:$A$810,'Match Log'!$D$4:$D$810,$A17,'Match Log'!$E$4:$E$810,"Loss"))),"0%")&amp;" of "&amp;(SUMPRODUCT(('Match Log'!$D$4:$D$810=$A17)*('Match Log'!$E$4:$E$810="Win")*COUNTIFS('Match Log'!$A$4:$A$810,'Match Log'!$A$4:$A$810,'Match Log'!$D$4:$D$810,K$4,'Match Log'!$E$4:$E$810,"Loss"))+SUMPRODUCT(('Match Log'!$D$4:$D$810=K$4)*('Match Log'!$E$4:$E$810="Win")*COUNTIFS('Match Log'!$A$4:$A$810,'Match Log'!$A$4:$A$810,'Match Log'!$D$4:$D$810,$A17,'Match Log'!$E$4:$E$810,"Loss")))))</f>
        <v/>
      </c>
      <c r="L17" s="50" t="str">
        <f>IF($A17=L$4,"—",IF((SUMPRODUCT(('Match Log'!$D$4:$D$810=$A17)*('Match Log'!$E$4:$E$810="Win")*COUNTIFS('Match Log'!$A$4:$A$810,'Match Log'!$A$4:$A$810,'Match Log'!$D$4:$D$810,L$4,'Match Log'!$E$4:$E$810,"Loss"))+SUMPRODUCT(('Match Log'!$D$4:$D$810=L$4)*('Match Log'!$E$4:$E$810="Win")*COUNTIFS('Match Log'!$A$4:$A$810,'Match Log'!$A$4:$A$810,'Match Log'!$D$4:$D$810,$A17,'Match Log'!$E$4:$E$810,"Loss")))=0,"",TEXT(SUMPRODUCT(('Match Log'!$D$4:$D$810=$A17)*('Match Log'!$E$4:$E$810="Win")*COUNTIFS('Match Log'!$A$4:$A$810,'Match Log'!$A$4:$A$810,'Match Log'!$D$4:$D$810,L$4,'Match Log'!$E$4:$E$810,"Loss"))/(SUMPRODUCT(('Match Log'!$D$4:$D$810=$A17)*('Match Log'!$E$4:$E$810="Win")*COUNTIFS('Match Log'!$A$4:$A$810,'Match Log'!$A$4:$A$810,'Match Log'!$D$4:$D$810,L$4,'Match Log'!$E$4:$E$810,"Loss"))+SUMPRODUCT(('Match Log'!$D$4:$D$810=L$4)*('Match Log'!$E$4:$E$810="Win")*COUNTIFS('Match Log'!$A$4:$A$810,'Match Log'!$A$4:$A$810,'Match Log'!$D$4:$D$810,$A17,'Match Log'!$E$4:$E$810,"Loss"))),"0%")&amp;" of "&amp;(SUMPRODUCT(('Match Log'!$D$4:$D$810=$A17)*('Match Log'!$E$4:$E$810="Win")*COUNTIFS('Match Log'!$A$4:$A$810,'Match Log'!$A$4:$A$810,'Match Log'!$D$4:$D$810,L$4,'Match Log'!$E$4:$E$810,"Loss"))+SUMPRODUCT(('Match Log'!$D$4:$D$810=L$4)*('Match Log'!$E$4:$E$810="Win")*COUNTIFS('Match Log'!$A$4:$A$810,'Match Log'!$A$4:$A$810,'Match Log'!$D$4:$D$810,$A17,'Match Log'!$E$4:$E$810,"Loss")))))</f>
        <v>50% of 2</v>
      </c>
      <c r="M17" s="50" t="str">
        <f>IF($A17=M$4,"—",IF((SUMPRODUCT(('Match Log'!$D$4:$D$810=$A17)*('Match Log'!$E$4:$E$810="Win")*COUNTIFS('Match Log'!$A$4:$A$810,'Match Log'!$A$4:$A$810,'Match Log'!$D$4:$D$810,M$4,'Match Log'!$E$4:$E$810,"Loss"))+SUMPRODUCT(('Match Log'!$D$4:$D$810=M$4)*('Match Log'!$E$4:$E$810="Win")*COUNTIFS('Match Log'!$A$4:$A$810,'Match Log'!$A$4:$A$810,'Match Log'!$D$4:$D$810,$A17,'Match Log'!$E$4:$E$810,"Loss")))=0,"",TEXT(SUMPRODUCT(('Match Log'!$D$4:$D$810=$A17)*('Match Log'!$E$4:$E$810="Win")*COUNTIFS('Match Log'!$A$4:$A$810,'Match Log'!$A$4:$A$810,'Match Log'!$D$4:$D$810,M$4,'Match Log'!$E$4:$E$810,"Loss"))/(SUMPRODUCT(('Match Log'!$D$4:$D$810=$A17)*('Match Log'!$E$4:$E$810="Win")*COUNTIFS('Match Log'!$A$4:$A$810,'Match Log'!$A$4:$A$810,'Match Log'!$D$4:$D$810,M$4,'Match Log'!$E$4:$E$810,"Loss"))+SUMPRODUCT(('Match Log'!$D$4:$D$810=M$4)*('Match Log'!$E$4:$E$810="Win")*COUNTIFS('Match Log'!$A$4:$A$810,'Match Log'!$A$4:$A$810,'Match Log'!$D$4:$D$810,$A17,'Match Log'!$E$4:$E$810,"Loss"))),"0%")&amp;" of "&amp;(SUMPRODUCT(('Match Log'!$D$4:$D$810=$A17)*('Match Log'!$E$4:$E$810="Win")*COUNTIFS('Match Log'!$A$4:$A$810,'Match Log'!$A$4:$A$810,'Match Log'!$D$4:$D$810,M$4,'Match Log'!$E$4:$E$810,"Loss"))+SUMPRODUCT(('Match Log'!$D$4:$D$810=M$4)*('Match Log'!$E$4:$E$810="Win")*COUNTIFS('Match Log'!$A$4:$A$810,'Match Log'!$A$4:$A$810,'Match Log'!$D$4:$D$810,$A17,'Match Log'!$E$4:$E$810,"Loss")))))</f>
        <v/>
      </c>
      <c r="N17" s="50" t="str">
        <f>IF($A17=N$4,"—",IF((SUMPRODUCT(('Match Log'!$D$4:$D$810=$A17)*('Match Log'!$E$4:$E$810="Win")*COUNTIFS('Match Log'!$A$4:$A$810,'Match Log'!$A$4:$A$810,'Match Log'!$D$4:$D$810,N$4,'Match Log'!$E$4:$E$810,"Loss"))+SUMPRODUCT(('Match Log'!$D$4:$D$810=N$4)*('Match Log'!$E$4:$E$810="Win")*COUNTIFS('Match Log'!$A$4:$A$810,'Match Log'!$A$4:$A$810,'Match Log'!$D$4:$D$810,$A17,'Match Log'!$E$4:$E$810,"Loss")))=0,"",TEXT(SUMPRODUCT(('Match Log'!$D$4:$D$810=$A17)*('Match Log'!$E$4:$E$810="Win")*COUNTIFS('Match Log'!$A$4:$A$810,'Match Log'!$A$4:$A$810,'Match Log'!$D$4:$D$810,N$4,'Match Log'!$E$4:$E$810,"Loss"))/(SUMPRODUCT(('Match Log'!$D$4:$D$810=$A17)*('Match Log'!$E$4:$E$810="Win")*COUNTIFS('Match Log'!$A$4:$A$810,'Match Log'!$A$4:$A$810,'Match Log'!$D$4:$D$810,N$4,'Match Log'!$E$4:$E$810,"Loss"))+SUMPRODUCT(('Match Log'!$D$4:$D$810=N$4)*('Match Log'!$E$4:$E$810="Win")*COUNTIFS('Match Log'!$A$4:$A$810,'Match Log'!$A$4:$A$810,'Match Log'!$D$4:$D$810,$A17,'Match Log'!$E$4:$E$810,"Loss"))),"0%")&amp;" of "&amp;(SUMPRODUCT(('Match Log'!$D$4:$D$810=$A17)*('Match Log'!$E$4:$E$810="Win")*COUNTIFS('Match Log'!$A$4:$A$810,'Match Log'!$A$4:$A$810,'Match Log'!$D$4:$D$810,N$4,'Match Log'!$E$4:$E$810,"Loss"))+SUMPRODUCT(('Match Log'!$D$4:$D$810=N$4)*('Match Log'!$E$4:$E$810="Win")*COUNTIFS('Match Log'!$A$4:$A$810,'Match Log'!$A$4:$A$810,'Match Log'!$D$4:$D$810,$A17,'Match Log'!$E$4:$E$810,"Loss")))))</f>
        <v>—</v>
      </c>
      <c r="O17" s="50" t="str">
        <f>IF($A17=O$4,"—",IF((SUMPRODUCT(('Match Log'!$D$4:$D$810=$A17)*('Match Log'!$E$4:$E$810="Win")*COUNTIFS('Match Log'!$A$4:$A$810,'Match Log'!$A$4:$A$810,'Match Log'!$D$4:$D$810,O$4,'Match Log'!$E$4:$E$810,"Loss"))+SUMPRODUCT(('Match Log'!$D$4:$D$810=O$4)*('Match Log'!$E$4:$E$810="Win")*COUNTIFS('Match Log'!$A$4:$A$810,'Match Log'!$A$4:$A$810,'Match Log'!$D$4:$D$810,$A17,'Match Log'!$E$4:$E$810,"Loss")))=0,"",TEXT(SUMPRODUCT(('Match Log'!$D$4:$D$810=$A17)*('Match Log'!$E$4:$E$810="Win")*COUNTIFS('Match Log'!$A$4:$A$810,'Match Log'!$A$4:$A$810,'Match Log'!$D$4:$D$810,O$4,'Match Log'!$E$4:$E$810,"Loss"))/(SUMPRODUCT(('Match Log'!$D$4:$D$810=$A17)*('Match Log'!$E$4:$E$810="Win")*COUNTIFS('Match Log'!$A$4:$A$810,'Match Log'!$A$4:$A$810,'Match Log'!$D$4:$D$810,O$4,'Match Log'!$E$4:$E$810,"Loss"))+SUMPRODUCT(('Match Log'!$D$4:$D$810=O$4)*('Match Log'!$E$4:$E$810="Win")*COUNTIFS('Match Log'!$A$4:$A$810,'Match Log'!$A$4:$A$810,'Match Log'!$D$4:$D$810,$A17,'Match Log'!$E$4:$E$810,"Loss"))),"0%")&amp;" of "&amp;(SUMPRODUCT(('Match Log'!$D$4:$D$810=$A17)*('Match Log'!$E$4:$E$810="Win")*COUNTIFS('Match Log'!$A$4:$A$810,'Match Log'!$A$4:$A$810,'Match Log'!$D$4:$D$810,O$4,'Match Log'!$E$4:$E$810,"Loss"))+SUMPRODUCT(('Match Log'!$D$4:$D$810=O$4)*('Match Log'!$E$4:$E$810="Win")*COUNTIFS('Match Log'!$A$4:$A$810,'Match Log'!$A$4:$A$810,'Match Log'!$D$4:$D$810,$A17,'Match Log'!$E$4:$E$810,"Loss")))))</f>
        <v/>
      </c>
    </row>
    <row r="18" spans="1:15" ht="15" customHeight="1" x14ac:dyDescent="0.2">
      <c r="A18" s="45" t="s">
        <v>174</v>
      </c>
      <c r="B18" s="50" t="str">
        <f>IF($A18=B$4,"—",IF((SUMPRODUCT(('Match Log'!$D$4:$D$810=$A18)*('Match Log'!$E$4:$E$810="Win")*COUNTIFS('Match Log'!$A$4:$A$810,'Match Log'!$A$4:$A$810,'Match Log'!$D$4:$D$810,B$4,'Match Log'!$E$4:$E$810,"Loss"))+SUMPRODUCT(('Match Log'!$D$4:$D$810=B$4)*('Match Log'!$E$4:$E$810="Win")*COUNTIFS('Match Log'!$A$4:$A$810,'Match Log'!$A$4:$A$810,'Match Log'!$D$4:$D$810,$A18,'Match Log'!$E$4:$E$810,"Loss")))=0,"",TEXT(SUMPRODUCT(('Match Log'!$D$4:$D$810=$A18)*('Match Log'!$E$4:$E$810="Win")*COUNTIFS('Match Log'!$A$4:$A$810,'Match Log'!$A$4:$A$810,'Match Log'!$D$4:$D$810,B$4,'Match Log'!$E$4:$E$810,"Loss"))/(SUMPRODUCT(('Match Log'!$D$4:$D$810=$A18)*('Match Log'!$E$4:$E$810="Win")*COUNTIFS('Match Log'!$A$4:$A$810,'Match Log'!$A$4:$A$810,'Match Log'!$D$4:$D$810,B$4,'Match Log'!$E$4:$E$810,"Loss"))+SUMPRODUCT(('Match Log'!$D$4:$D$810=B$4)*('Match Log'!$E$4:$E$810="Win")*COUNTIFS('Match Log'!$A$4:$A$810,'Match Log'!$A$4:$A$810,'Match Log'!$D$4:$D$810,$A18,'Match Log'!$E$4:$E$810,"Loss"))),"0%")&amp;" of "&amp;(SUMPRODUCT(('Match Log'!$D$4:$D$810=$A18)*('Match Log'!$E$4:$E$810="Win")*COUNTIFS('Match Log'!$A$4:$A$810,'Match Log'!$A$4:$A$810,'Match Log'!$D$4:$D$810,B$4,'Match Log'!$E$4:$E$810,"Loss"))+SUMPRODUCT(('Match Log'!$D$4:$D$810=B$4)*('Match Log'!$E$4:$E$810="Win")*COUNTIFS('Match Log'!$A$4:$A$810,'Match Log'!$A$4:$A$810,'Match Log'!$D$4:$D$810,$A18,'Match Log'!$E$4:$E$810,"Loss")))))</f>
        <v/>
      </c>
      <c r="C18" s="50" t="str">
        <f>IF($A18=C$4,"—",IF((SUMPRODUCT(('Match Log'!$D$4:$D$810=$A18)*('Match Log'!$E$4:$E$810="Win")*COUNTIFS('Match Log'!$A$4:$A$810,'Match Log'!$A$4:$A$810,'Match Log'!$D$4:$D$810,C$4,'Match Log'!$E$4:$E$810,"Loss"))+SUMPRODUCT(('Match Log'!$D$4:$D$810=C$4)*('Match Log'!$E$4:$E$810="Win")*COUNTIFS('Match Log'!$A$4:$A$810,'Match Log'!$A$4:$A$810,'Match Log'!$D$4:$D$810,$A18,'Match Log'!$E$4:$E$810,"Loss")))=0,"",TEXT(SUMPRODUCT(('Match Log'!$D$4:$D$810=$A18)*('Match Log'!$E$4:$E$810="Win")*COUNTIFS('Match Log'!$A$4:$A$810,'Match Log'!$A$4:$A$810,'Match Log'!$D$4:$D$810,C$4,'Match Log'!$E$4:$E$810,"Loss"))/(SUMPRODUCT(('Match Log'!$D$4:$D$810=$A18)*('Match Log'!$E$4:$E$810="Win")*COUNTIFS('Match Log'!$A$4:$A$810,'Match Log'!$A$4:$A$810,'Match Log'!$D$4:$D$810,C$4,'Match Log'!$E$4:$E$810,"Loss"))+SUMPRODUCT(('Match Log'!$D$4:$D$810=C$4)*('Match Log'!$E$4:$E$810="Win")*COUNTIFS('Match Log'!$A$4:$A$810,'Match Log'!$A$4:$A$810,'Match Log'!$D$4:$D$810,$A18,'Match Log'!$E$4:$E$810,"Loss"))),"0%")&amp;" of "&amp;(SUMPRODUCT(('Match Log'!$D$4:$D$810=$A18)*('Match Log'!$E$4:$E$810="Win")*COUNTIFS('Match Log'!$A$4:$A$810,'Match Log'!$A$4:$A$810,'Match Log'!$D$4:$D$810,C$4,'Match Log'!$E$4:$E$810,"Loss"))+SUMPRODUCT(('Match Log'!$D$4:$D$810=C$4)*('Match Log'!$E$4:$E$810="Win")*COUNTIFS('Match Log'!$A$4:$A$810,'Match Log'!$A$4:$A$810,'Match Log'!$D$4:$D$810,$A18,'Match Log'!$E$4:$E$810,"Loss")))))</f>
        <v/>
      </c>
      <c r="D18" s="50" t="str">
        <f>IF($A18=D$4,"—",IF((SUMPRODUCT(('Match Log'!$D$4:$D$810=$A18)*('Match Log'!$E$4:$E$810="Win")*COUNTIFS('Match Log'!$A$4:$A$810,'Match Log'!$A$4:$A$810,'Match Log'!$D$4:$D$810,D$4,'Match Log'!$E$4:$E$810,"Loss"))+SUMPRODUCT(('Match Log'!$D$4:$D$810=D$4)*('Match Log'!$E$4:$E$810="Win")*COUNTIFS('Match Log'!$A$4:$A$810,'Match Log'!$A$4:$A$810,'Match Log'!$D$4:$D$810,$A18,'Match Log'!$E$4:$E$810,"Loss")))=0,"",TEXT(SUMPRODUCT(('Match Log'!$D$4:$D$810=$A18)*('Match Log'!$E$4:$E$810="Win")*COUNTIFS('Match Log'!$A$4:$A$810,'Match Log'!$A$4:$A$810,'Match Log'!$D$4:$D$810,D$4,'Match Log'!$E$4:$E$810,"Loss"))/(SUMPRODUCT(('Match Log'!$D$4:$D$810=$A18)*('Match Log'!$E$4:$E$810="Win")*COUNTIFS('Match Log'!$A$4:$A$810,'Match Log'!$A$4:$A$810,'Match Log'!$D$4:$D$810,D$4,'Match Log'!$E$4:$E$810,"Loss"))+SUMPRODUCT(('Match Log'!$D$4:$D$810=D$4)*('Match Log'!$E$4:$E$810="Win")*COUNTIFS('Match Log'!$A$4:$A$810,'Match Log'!$A$4:$A$810,'Match Log'!$D$4:$D$810,$A18,'Match Log'!$E$4:$E$810,"Loss"))),"0%")&amp;" of "&amp;(SUMPRODUCT(('Match Log'!$D$4:$D$810=$A18)*('Match Log'!$E$4:$E$810="Win")*COUNTIFS('Match Log'!$A$4:$A$810,'Match Log'!$A$4:$A$810,'Match Log'!$D$4:$D$810,D$4,'Match Log'!$E$4:$E$810,"Loss"))+SUMPRODUCT(('Match Log'!$D$4:$D$810=D$4)*('Match Log'!$E$4:$E$810="Win")*COUNTIFS('Match Log'!$A$4:$A$810,'Match Log'!$A$4:$A$810,'Match Log'!$D$4:$D$810,$A18,'Match Log'!$E$4:$E$810,"Loss")))))</f>
        <v/>
      </c>
      <c r="E18" s="50" t="str">
        <f>IF($A18=E$4,"—",IF((SUMPRODUCT(('Match Log'!$D$4:$D$810=$A18)*('Match Log'!$E$4:$E$810="Win")*COUNTIFS('Match Log'!$A$4:$A$810,'Match Log'!$A$4:$A$810,'Match Log'!$D$4:$D$810,E$4,'Match Log'!$E$4:$E$810,"Loss"))+SUMPRODUCT(('Match Log'!$D$4:$D$810=E$4)*('Match Log'!$E$4:$E$810="Win")*COUNTIFS('Match Log'!$A$4:$A$810,'Match Log'!$A$4:$A$810,'Match Log'!$D$4:$D$810,$A18,'Match Log'!$E$4:$E$810,"Loss")))=0,"",TEXT(SUMPRODUCT(('Match Log'!$D$4:$D$810=$A18)*('Match Log'!$E$4:$E$810="Win")*COUNTIFS('Match Log'!$A$4:$A$810,'Match Log'!$A$4:$A$810,'Match Log'!$D$4:$D$810,E$4,'Match Log'!$E$4:$E$810,"Loss"))/(SUMPRODUCT(('Match Log'!$D$4:$D$810=$A18)*('Match Log'!$E$4:$E$810="Win")*COUNTIFS('Match Log'!$A$4:$A$810,'Match Log'!$A$4:$A$810,'Match Log'!$D$4:$D$810,E$4,'Match Log'!$E$4:$E$810,"Loss"))+SUMPRODUCT(('Match Log'!$D$4:$D$810=E$4)*('Match Log'!$E$4:$E$810="Win")*COUNTIFS('Match Log'!$A$4:$A$810,'Match Log'!$A$4:$A$810,'Match Log'!$D$4:$D$810,$A18,'Match Log'!$E$4:$E$810,"Loss"))),"0%")&amp;" of "&amp;(SUMPRODUCT(('Match Log'!$D$4:$D$810=$A18)*('Match Log'!$E$4:$E$810="Win")*COUNTIFS('Match Log'!$A$4:$A$810,'Match Log'!$A$4:$A$810,'Match Log'!$D$4:$D$810,E$4,'Match Log'!$E$4:$E$810,"Loss"))+SUMPRODUCT(('Match Log'!$D$4:$D$810=E$4)*('Match Log'!$E$4:$E$810="Win")*COUNTIFS('Match Log'!$A$4:$A$810,'Match Log'!$A$4:$A$810,'Match Log'!$D$4:$D$810,$A18,'Match Log'!$E$4:$E$810,"Loss")))))</f>
        <v/>
      </c>
      <c r="F18" s="50" t="str">
        <f>IF($A18=F$4,"—",IF((SUMPRODUCT(('Match Log'!$D$4:$D$810=$A18)*('Match Log'!$E$4:$E$810="Win")*COUNTIFS('Match Log'!$A$4:$A$810,'Match Log'!$A$4:$A$810,'Match Log'!$D$4:$D$810,F$4,'Match Log'!$E$4:$E$810,"Loss"))+SUMPRODUCT(('Match Log'!$D$4:$D$810=F$4)*('Match Log'!$E$4:$E$810="Win")*COUNTIFS('Match Log'!$A$4:$A$810,'Match Log'!$A$4:$A$810,'Match Log'!$D$4:$D$810,$A18,'Match Log'!$E$4:$E$810,"Loss")))=0,"",TEXT(SUMPRODUCT(('Match Log'!$D$4:$D$810=$A18)*('Match Log'!$E$4:$E$810="Win")*COUNTIFS('Match Log'!$A$4:$A$810,'Match Log'!$A$4:$A$810,'Match Log'!$D$4:$D$810,F$4,'Match Log'!$E$4:$E$810,"Loss"))/(SUMPRODUCT(('Match Log'!$D$4:$D$810=$A18)*('Match Log'!$E$4:$E$810="Win")*COUNTIFS('Match Log'!$A$4:$A$810,'Match Log'!$A$4:$A$810,'Match Log'!$D$4:$D$810,F$4,'Match Log'!$E$4:$E$810,"Loss"))+SUMPRODUCT(('Match Log'!$D$4:$D$810=F$4)*('Match Log'!$E$4:$E$810="Win")*COUNTIFS('Match Log'!$A$4:$A$810,'Match Log'!$A$4:$A$810,'Match Log'!$D$4:$D$810,$A18,'Match Log'!$E$4:$E$810,"Loss"))),"0%")&amp;" of "&amp;(SUMPRODUCT(('Match Log'!$D$4:$D$810=$A18)*('Match Log'!$E$4:$E$810="Win")*COUNTIFS('Match Log'!$A$4:$A$810,'Match Log'!$A$4:$A$810,'Match Log'!$D$4:$D$810,F$4,'Match Log'!$E$4:$E$810,"Loss"))+SUMPRODUCT(('Match Log'!$D$4:$D$810=F$4)*('Match Log'!$E$4:$E$810="Win")*COUNTIFS('Match Log'!$A$4:$A$810,'Match Log'!$A$4:$A$810,'Match Log'!$D$4:$D$810,$A18,'Match Log'!$E$4:$E$810,"Loss")))))</f>
        <v/>
      </c>
      <c r="G18" s="50" t="str">
        <f>IF($A18=G$4,"—",IF((SUMPRODUCT(('Match Log'!$D$4:$D$810=$A18)*('Match Log'!$E$4:$E$810="Win")*COUNTIFS('Match Log'!$A$4:$A$810,'Match Log'!$A$4:$A$810,'Match Log'!$D$4:$D$810,G$4,'Match Log'!$E$4:$E$810,"Loss"))+SUMPRODUCT(('Match Log'!$D$4:$D$810=G$4)*('Match Log'!$E$4:$E$810="Win")*COUNTIFS('Match Log'!$A$4:$A$810,'Match Log'!$A$4:$A$810,'Match Log'!$D$4:$D$810,$A18,'Match Log'!$E$4:$E$810,"Loss")))=0,"",TEXT(SUMPRODUCT(('Match Log'!$D$4:$D$810=$A18)*('Match Log'!$E$4:$E$810="Win")*COUNTIFS('Match Log'!$A$4:$A$810,'Match Log'!$A$4:$A$810,'Match Log'!$D$4:$D$810,G$4,'Match Log'!$E$4:$E$810,"Loss"))/(SUMPRODUCT(('Match Log'!$D$4:$D$810=$A18)*('Match Log'!$E$4:$E$810="Win")*COUNTIFS('Match Log'!$A$4:$A$810,'Match Log'!$A$4:$A$810,'Match Log'!$D$4:$D$810,G$4,'Match Log'!$E$4:$E$810,"Loss"))+SUMPRODUCT(('Match Log'!$D$4:$D$810=G$4)*('Match Log'!$E$4:$E$810="Win")*COUNTIFS('Match Log'!$A$4:$A$810,'Match Log'!$A$4:$A$810,'Match Log'!$D$4:$D$810,$A18,'Match Log'!$E$4:$E$810,"Loss"))),"0%")&amp;" of "&amp;(SUMPRODUCT(('Match Log'!$D$4:$D$810=$A18)*('Match Log'!$E$4:$E$810="Win")*COUNTIFS('Match Log'!$A$4:$A$810,'Match Log'!$A$4:$A$810,'Match Log'!$D$4:$D$810,G$4,'Match Log'!$E$4:$E$810,"Loss"))+SUMPRODUCT(('Match Log'!$D$4:$D$810=G$4)*('Match Log'!$E$4:$E$810="Win")*COUNTIFS('Match Log'!$A$4:$A$810,'Match Log'!$A$4:$A$810,'Match Log'!$D$4:$D$810,$A18,'Match Log'!$E$4:$E$810,"Loss")))))</f>
        <v/>
      </c>
      <c r="H18" s="50" t="str">
        <f>IF($A18=H$4,"—",IF((SUMPRODUCT(('Match Log'!$D$4:$D$810=$A18)*('Match Log'!$E$4:$E$810="Win")*COUNTIFS('Match Log'!$A$4:$A$810,'Match Log'!$A$4:$A$810,'Match Log'!$D$4:$D$810,H$4,'Match Log'!$E$4:$E$810,"Loss"))+SUMPRODUCT(('Match Log'!$D$4:$D$810=H$4)*('Match Log'!$E$4:$E$810="Win")*COUNTIFS('Match Log'!$A$4:$A$810,'Match Log'!$A$4:$A$810,'Match Log'!$D$4:$D$810,$A18,'Match Log'!$E$4:$E$810,"Loss")))=0,"",TEXT(SUMPRODUCT(('Match Log'!$D$4:$D$810=$A18)*('Match Log'!$E$4:$E$810="Win")*COUNTIFS('Match Log'!$A$4:$A$810,'Match Log'!$A$4:$A$810,'Match Log'!$D$4:$D$810,H$4,'Match Log'!$E$4:$E$810,"Loss"))/(SUMPRODUCT(('Match Log'!$D$4:$D$810=$A18)*('Match Log'!$E$4:$E$810="Win")*COUNTIFS('Match Log'!$A$4:$A$810,'Match Log'!$A$4:$A$810,'Match Log'!$D$4:$D$810,H$4,'Match Log'!$E$4:$E$810,"Loss"))+SUMPRODUCT(('Match Log'!$D$4:$D$810=H$4)*('Match Log'!$E$4:$E$810="Win")*COUNTIFS('Match Log'!$A$4:$A$810,'Match Log'!$A$4:$A$810,'Match Log'!$D$4:$D$810,$A18,'Match Log'!$E$4:$E$810,"Loss"))),"0%")&amp;" of "&amp;(SUMPRODUCT(('Match Log'!$D$4:$D$810=$A18)*('Match Log'!$E$4:$E$810="Win")*COUNTIFS('Match Log'!$A$4:$A$810,'Match Log'!$A$4:$A$810,'Match Log'!$D$4:$D$810,H$4,'Match Log'!$E$4:$E$810,"Loss"))+SUMPRODUCT(('Match Log'!$D$4:$D$810=H$4)*('Match Log'!$E$4:$E$810="Win")*COUNTIFS('Match Log'!$A$4:$A$810,'Match Log'!$A$4:$A$810,'Match Log'!$D$4:$D$810,$A18,'Match Log'!$E$4:$E$810,"Loss")))))</f>
        <v/>
      </c>
      <c r="I18" s="50" t="str">
        <f>IF($A18=I$4,"—",IF((SUMPRODUCT(('Match Log'!$D$4:$D$810=$A18)*('Match Log'!$E$4:$E$810="Win")*COUNTIFS('Match Log'!$A$4:$A$810,'Match Log'!$A$4:$A$810,'Match Log'!$D$4:$D$810,I$4,'Match Log'!$E$4:$E$810,"Loss"))+SUMPRODUCT(('Match Log'!$D$4:$D$810=I$4)*('Match Log'!$E$4:$E$810="Win")*COUNTIFS('Match Log'!$A$4:$A$810,'Match Log'!$A$4:$A$810,'Match Log'!$D$4:$D$810,$A18,'Match Log'!$E$4:$E$810,"Loss")))=0,"",TEXT(SUMPRODUCT(('Match Log'!$D$4:$D$810=$A18)*('Match Log'!$E$4:$E$810="Win")*COUNTIFS('Match Log'!$A$4:$A$810,'Match Log'!$A$4:$A$810,'Match Log'!$D$4:$D$810,I$4,'Match Log'!$E$4:$E$810,"Loss"))/(SUMPRODUCT(('Match Log'!$D$4:$D$810=$A18)*('Match Log'!$E$4:$E$810="Win")*COUNTIFS('Match Log'!$A$4:$A$810,'Match Log'!$A$4:$A$810,'Match Log'!$D$4:$D$810,I$4,'Match Log'!$E$4:$E$810,"Loss"))+SUMPRODUCT(('Match Log'!$D$4:$D$810=I$4)*('Match Log'!$E$4:$E$810="Win")*COUNTIFS('Match Log'!$A$4:$A$810,'Match Log'!$A$4:$A$810,'Match Log'!$D$4:$D$810,$A18,'Match Log'!$E$4:$E$810,"Loss"))),"0%")&amp;" of "&amp;(SUMPRODUCT(('Match Log'!$D$4:$D$810=$A18)*('Match Log'!$E$4:$E$810="Win")*COUNTIFS('Match Log'!$A$4:$A$810,'Match Log'!$A$4:$A$810,'Match Log'!$D$4:$D$810,I$4,'Match Log'!$E$4:$E$810,"Loss"))+SUMPRODUCT(('Match Log'!$D$4:$D$810=I$4)*('Match Log'!$E$4:$E$810="Win")*COUNTIFS('Match Log'!$A$4:$A$810,'Match Log'!$A$4:$A$810,'Match Log'!$D$4:$D$810,$A18,'Match Log'!$E$4:$E$810,"Loss")))))</f>
        <v/>
      </c>
      <c r="J18" s="50" t="str">
        <f>IF($A18=J$4,"—",IF((SUMPRODUCT(('Match Log'!$D$4:$D$810=$A18)*('Match Log'!$E$4:$E$810="Win")*COUNTIFS('Match Log'!$A$4:$A$810,'Match Log'!$A$4:$A$810,'Match Log'!$D$4:$D$810,J$4,'Match Log'!$E$4:$E$810,"Loss"))+SUMPRODUCT(('Match Log'!$D$4:$D$810=J$4)*('Match Log'!$E$4:$E$810="Win")*COUNTIFS('Match Log'!$A$4:$A$810,'Match Log'!$A$4:$A$810,'Match Log'!$D$4:$D$810,$A18,'Match Log'!$E$4:$E$810,"Loss")))=0,"",TEXT(SUMPRODUCT(('Match Log'!$D$4:$D$810=$A18)*('Match Log'!$E$4:$E$810="Win")*COUNTIFS('Match Log'!$A$4:$A$810,'Match Log'!$A$4:$A$810,'Match Log'!$D$4:$D$810,J$4,'Match Log'!$E$4:$E$810,"Loss"))/(SUMPRODUCT(('Match Log'!$D$4:$D$810=$A18)*('Match Log'!$E$4:$E$810="Win")*COUNTIFS('Match Log'!$A$4:$A$810,'Match Log'!$A$4:$A$810,'Match Log'!$D$4:$D$810,J$4,'Match Log'!$E$4:$E$810,"Loss"))+SUMPRODUCT(('Match Log'!$D$4:$D$810=J$4)*('Match Log'!$E$4:$E$810="Win")*COUNTIFS('Match Log'!$A$4:$A$810,'Match Log'!$A$4:$A$810,'Match Log'!$D$4:$D$810,$A18,'Match Log'!$E$4:$E$810,"Loss"))),"0%")&amp;" of "&amp;(SUMPRODUCT(('Match Log'!$D$4:$D$810=$A18)*('Match Log'!$E$4:$E$810="Win")*COUNTIFS('Match Log'!$A$4:$A$810,'Match Log'!$A$4:$A$810,'Match Log'!$D$4:$D$810,J$4,'Match Log'!$E$4:$E$810,"Loss"))+SUMPRODUCT(('Match Log'!$D$4:$D$810=J$4)*('Match Log'!$E$4:$E$810="Win")*COUNTIFS('Match Log'!$A$4:$A$810,'Match Log'!$A$4:$A$810,'Match Log'!$D$4:$D$810,$A18,'Match Log'!$E$4:$E$810,"Loss")))))</f>
        <v/>
      </c>
      <c r="K18" s="50" t="str">
        <f>IF($A18=K$4,"—",IF((SUMPRODUCT(('Match Log'!$D$4:$D$810=$A18)*('Match Log'!$E$4:$E$810="Win")*COUNTIFS('Match Log'!$A$4:$A$810,'Match Log'!$A$4:$A$810,'Match Log'!$D$4:$D$810,K$4,'Match Log'!$E$4:$E$810,"Loss"))+SUMPRODUCT(('Match Log'!$D$4:$D$810=K$4)*('Match Log'!$E$4:$E$810="Win")*COUNTIFS('Match Log'!$A$4:$A$810,'Match Log'!$A$4:$A$810,'Match Log'!$D$4:$D$810,$A18,'Match Log'!$E$4:$E$810,"Loss")))=0,"",TEXT(SUMPRODUCT(('Match Log'!$D$4:$D$810=$A18)*('Match Log'!$E$4:$E$810="Win")*COUNTIFS('Match Log'!$A$4:$A$810,'Match Log'!$A$4:$A$810,'Match Log'!$D$4:$D$810,K$4,'Match Log'!$E$4:$E$810,"Loss"))/(SUMPRODUCT(('Match Log'!$D$4:$D$810=$A18)*('Match Log'!$E$4:$E$810="Win")*COUNTIFS('Match Log'!$A$4:$A$810,'Match Log'!$A$4:$A$810,'Match Log'!$D$4:$D$810,K$4,'Match Log'!$E$4:$E$810,"Loss"))+SUMPRODUCT(('Match Log'!$D$4:$D$810=K$4)*('Match Log'!$E$4:$E$810="Win")*COUNTIFS('Match Log'!$A$4:$A$810,'Match Log'!$A$4:$A$810,'Match Log'!$D$4:$D$810,$A18,'Match Log'!$E$4:$E$810,"Loss"))),"0%")&amp;" of "&amp;(SUMPRODUCT(('Match Log'!$D$4:$D$810=$A18)*('Match Log'!$E$4:$E$810="Win")*COUNTIFS('Match Log'!$A$4:$A$810,'Match Log'!$A$4:$A$810,'Match Log'!$D$4:$D$810,K$4,'Match Log'!$E$4:$E$810,"Loss"))+SUMPRODUCT(('Match Log'!$D$4:$D$810=K$4)*('Match Log'!$E$4:$E$810="Win")*COUNTIFS('Match Log'!$A$4:$A$810,'Match Log'!$A$4:$A$810,'Match Log'!$D$4:$D$810,$A18,'Match Log'!$E$4:$E$810,"Loss")))))</f>
        <v/>
      </c>
      <c r="L18" s="50" t="str">
        <f>IF($A18=L$4,"—",IF((SUMPRODUCT(('Match Log'!$D$4:$D$810=$A18)*('Match Log'!$E$4:$E$810="Win")*COUNTIFS('Match Log'!$A$4:$A$810,'Match Log'!$A$4:$A$810,'Match Log'!$D$4:$D$810,L$4,'Match Log'!$E$4:$E$810,"Loss"))+SUMPRODUCT(('Match Log'!$D$4:$D$810=L$4)*('Match Log'!$E$4:$E$810="Win")*COUNTIFS('Match Log'!$A$4:$A$810,'Match Log'!$A$4:$A$810,'Match Log'!$D$4:$D$810,$A18,'Match Log'!$E$4:$E$810,"Loss")))=0,"",TEXT(SUMPRODUCT(('Match Log'!$D$4:$D$810=$A18)*('Match Log'!$E$4:$E$810="Win")*COUNTIFS('Match Log'!$A$4:$A$810,'Match Log'!$A$4:$A$810,'Match Log'!$D$4:$D$810,L$4,'Match Log'!$E$4:$E$810,"Loss"))/(SUMPRODUCT(('Match Log'!$D$4:$D$810=$A18)*('Match Log'!$E$4:$E$810="Win")*COUNTIFS('Match Log'!$A$4:$A$810,'Match Log'!$A$4:$A$810,'Match Log'!$D$4:$D$810,L$4,'Match Log'!$E$4:$E$810,"Loss"))+SUMPRODUCT(('Match Log'!$D$4:$D$810=L$4)*('Match Log'!$E$4:$E$810="Win")*COUNTIFS('Match Log'!$A$4:$A$810,'Match Log'!$A$4:$A$810,'Match Log'!$D$4:$D$810,$A18,'Match Log'!$E$4:$E$810,"Loss"))),"0%")&amp;" of "&amp;(SUMPRODUCT(('Match Log'!$D$4:$D$810=$A18)*('Match Log'!$E$4:$E$810="Win")*COUNTIFS('Match Log'!$A$4:$A$810,'Match Log'!$A$4:$A$810,'Match Log'!$D$4:$D$810,L$4,'Match Log'!$E$4:$E$810,"Loss"))+SUMPRODUCT(('Match Log'!$D$4:$D$810=L$4)*('Match Log'!$E$4:$E$810="Win")*COUNTIFS('Match Log'!$A$4:$A$810,'Match Log'!$A$4:$A$810,'Match Log'!$D$4:$D$810,$A18,'Match Log'!$E$4:$E$810,"Loss")))))</f>
        <v/>
      </c>
      <c r="M18" s="50" t="str">
        <f>IF($A18=M$4,"—",IF((SUMPRODUCT(('Match Log'!$D$4:$D$810=$A18)*('Match Log'!$E$4:$E$810="Win")*COUNTIFS('Match Log'!$A$4:$A$810,'Match Log'!$A$4:$A$810,'Match Log'!$D$4:$D$810,M$4,'Match Log'!$E$4:$E$810,"Loss"))+SUMPRODUCT(('Match Log'!$D$4:$D$810=M$4)*('Match Log'!$E$4:$E$810="Win")*COUNTIFS('Match Log'!$A$4:$A$810,'Match Log'!$A$4:$A$810,'Match Log'!$D$4:$D$810,$A18,'Match Log'!$E$4:$E$810,"Loss")))=0,"",TEXT(SUMPRODUCT(('Match Log'!$D$4:$D$810=$A18)*('Match Log'!$E$4:$E$810="Win")*COUNTIFS('Match Log'!$A$4:$A$810,'Match Log'!$A$4:$A$810,'Match Log'!$D$4:$D$810,M$4,'Match Log'!$E$4:$E$810,"Loss"))/(SUMPRODUCT(('Match Log'!$D$4:$D$810=$A18)*('Match Log'!$E$4:$E$810="Win")*COUNTIFS('Match Log'!$A$4:$A$810,'Match Log'!$A$4:$A$810,'Match Log'!$D$4:$D$810,M$4,'Match Log'!$E$4:$E$810,"Loss"))+SUMPRODUCT(('Match Log'!$D$4:$D$810=M$4)*('Match Log'!$E$4:$E$810="Win")*COUNTIFS('Match Log'!$A$4:$A$810,'Match Log'!$A$4:$A$810,'Match Log'!$D$4:$D$810,$A18,'Match Log'!$E$4:$E$810,"Loss"))),"0%")&amp;" of "&amp;(SUMPRODUCT(('Match Log'!$D$4:$D$810=$A18)*('Match Log'!$E$4:$E$810="Win")*COUNTIFS('Match Log'!$A$4:$A$810,'Match Log'!$A$4:$A$810,'Match Log'!$D$4:$D$810,M$4,'Match Log'!$E$4:$E$810,"Loss"))+SUMPRODUCT(('Match Log'!$D$4:$D$810=M$4)*('Match Log'!$E$4:$E$810="Win")*COUNTIFS('Match Log'!$A$4:$A$810,'Match Log'!$A$4:$A$810,'Match Log'!$D$4:$D$810,$A18,'Match Log'!$E$4:$E$810,"Loss")))))</f>
        <v/>
      </c>
      <c r="N18" s="50" t="str">
        <f>IF($A18=N$4,"—",IF((SUMPRODUCT(('Match Log'!$D$4:$D$810=$A18)*('Match Log'!$E$4:$E$810="Win")*COUNTIFS('Match Log'!$A$4:$A$810,'Match Log'!$A$4:$A$810,'Match Log'!$D$4:$D$810,N$4,'Match Log'!$E$4:$E$810,"Loss"))+SUMPRODUCT(('Match Log'!$D$4:$D$810=N$4)*('Match Log'!$E$4:$E$810="Win")*COUNTIFS('Match Log'!$A$4:$A$810,'Match Log'!$A$4:$A$810,'Match Log'!$D$4:$D$810,$A18,'Match Log'!$E$4:$E$810,"Loss")))=0,"",TEXT(SUMPRODUCT(('Match Log'!$D$4:$D$810=$A18)*('Match Log'!$E$4:$E$810="Win")*COUNTIFS('Match Log'!$A$4:$A$810,'Match Log'!$A$4:$A$810,'Match Log'!$D$4:$D$810,N$4,'Match Log'!$E$4:$E$810,"Loss"))/(SUMPRODUCT(('Match Log'!$D$4:$D$810=$A18)*('Match Log'!$E$4:$E$810="Win")*COUNTIFS('Match Log'!$A$4:$A$810,'Match Log'!$A$4:$A$810,'Match Log'!$D$4:$D$810,N$4,'Match Log'!$E$4:$E$810,"Loss"))+SUMPRODUCT(('Match Log'!$D$4:$D$810=N$4)*('Match Log'!$E$4:$E$810="Win")*COUNTIFS('Match Log'!$A$4:$A$810,'Match Log'!$A$4:$A$810,'Match Log'!$D$4:$D$810,$A18,'Match Log'!$E$4:$E$810,"Loss"))),"0%")&amp;" of "&amp;(SUMPRODUCT(('Match Log'!$D$4:$D$810=$A18)*('Match Log'!$E$4:$E$810="Win")*COUNTIFS('Match Log'!$A$4:$A$810,'Match Log'!$A$4:$A$810,'Match Log'!$D$4:$D$810,N$4,'Match Log'!$E$4:$E$810,"Loss"))+SUMPRODUCT(('Match Log'!$D$4:$D$810=N$4)*('Match Log'!$E$4:$E$810="Win")*COUNTIFS('Match Log'!$A$4:$A$810,'Match Log'!$A$4:$A$810,'Match Log'!$D$4:$D$810,$A18,'Match Log'!$E$4:$E$810,"Loss")))))</f>
        <v/>
      </c>
      <c r="O18" s="50" t="str">
        <f>IF($A18=O$4,"—",IF((SUMPRODUCT(('Match Log'!$D$4:$D$810=$A18)*('Match Log'!$E$4:$E$810="Win")*COUNTIFS('Match Log'!$A$4:$A$810,'Match Log'!$A$4:$A$810,'Match Log'!$D$4:$D$810,O$4,'Match Log'!$E$4:$E$810,"Loss"))+SUMPRODUCT(('Match Log'!$D$4:$D$810=O$4)*('Match Log'!$E$4:$E$810="Win")*COUNTIFS('Match Log'!$A$4:$A$810,'Match Log'!$A$4:$A$810,'Match Log'!$D$4:$D$810,$A18,'Match Log'!$E$4:$E$810,"Loss")))=0,"",TEXT(SUMPRODUCT(('Match Log'!$D$4:$D$810=$A18)*('Match Log'!$E$4:$E$810="Win")*COUNTIFS('Match Log'!$A$4:$A$810,'Match Log'!$A$4:$A$810,'Match Log'!$D$4:$D$810,O$4,'Match Log'!$E$4:$E$810,"Loss"))/(SUMPRODUCT(('Match Log'!$D$4:$D$810=$A18)*('Match Log'!$E$4:$E$810="Win")*COUNTIFS('Match Log'!$A$4:$A$810,'Match Log'!$A$4:$A$810,'Match Log'!$D$4:$D$810,O$4,'Match Log'!$E$4:$E$810,"Loss"))+SUMPRODUCT(('Match Log'!$D$4:$D$810=O$4)*('Match Log'!$E$4:$E$810="Win")*COUNTIFS('Match Log'!$A$4:$A$810,'Match Log'!$A$4:$A$810,'Match Log'!$D$4:$D$810,$A18,'Match Log'!$E$4:$E$810,"Loss"))),"0%")&amp;" of "&amp;(SUMPRODUCT(('Match Log'!$D$4:$D$810=$A18)*('Match Log'!$E$4:$E$810="Win")*COUNTIFS('Match Log'!$A$4:$A$810,'Match Log'!$A$4:$A$810,'Match Log'!$D$4:$D$810,O$4,'Match Log'!$E$4:$E$810,"Loss"))+SUMPRODUCT(('Match Log'!$D$4:$D$810=O$4)*('Match Log'!$E$4:$E$810="Win")*COUNTIFS('Match Log'!$A$4:$A$810,'Match Log'!$A$4:$A$810,'Match Log'!$D$4:$D$810,$A18,'Match Log'!$E$4:$E$810,"Loss")))))</f>
        <v>—</v>
      </c>
    </row>
    <row r="19" spans="1:15" ht="15" customHeight="1" x14ac:dyDescent="0.2">
      <c r="A19" s="45"/>
      <c r="B19" s="70"/>
      <c r="C19" s="70"/>
      <c r="D19" s="70"/>
      <c r="E19" s="70"/>
      <c r="F19" s="70"/>
      <c r="G19" s="70"/>
      <c r="H19" s="70"/>
      <c r="I19" s="70"/>
      <c r="J19" s="70"/>
      <c r="K19" s="70"/>
      <c r="L19" s="70"/>
    </row>
    <row r="20" spans="1:15" ht="15" customHeight="1" x14ac:dyDescent="0.2">
      <c r="A20" s="71" t="s">
        <v>218</v>
      </c>
      <c r="B20" s="70"/>
      <c r="C20" s="70"/>
      <c r="D20" s="70"/>
      <c r="E20" s="70"/>
      <c r="F20" s="70"/>
      <c r="G20" s="70"/>
      <c r="H20" s="70"/>
      <c r="I20" s="70"/>
      <c r="J20" s="70"/>
      <c r="K20" s="70"/>
      <c r="L20" s="70"/>
    </row>
    <row r="21" spans="1:15" ht="15" customHeight="1" x14ac:dyDescent="0.2">
      <c r="A21" s="69" t="s">
        <v>219</v>
      </c>
      <c r="B21" s="45" t="s">
        <v>138</v>
      </c>
      <c r="C21" s="45" t="s">
        <v>135</v>
      </c>
      <c r="D21" s="45" t="s">
        <v>173</v>
      </c>
      <c r="E21" s="45" t="s">
        <v>140</v>
      </c>
      <c r="F21" s="45" t="s">
        <v>137</v>
      </c>
      <c r="G21" s="45" t="s">
        <v>134</v>
      </c>
      <c r="H21" s="45" t="s">
        <v>168</v>
      </c>
      <c r="I21" s="45" t="s">
        <v>170</v>
      </c>
      <c r="J21" s="45" t="s">
        <v>167</v>
      </c>
      <c r="K21" s="45" t="s">
        <v>175</v>
      </c>
      <c r="L21" s="45" t="s">
        <v>169</v>
      </c>
      <c r="M21" s="45" t="s">
        <v>171</v>
      </c>
      <c r="N21" s="45" t="s">
        <v>172</v>
      </c>
      <c r="O21" s="45" t="s">
        <v>174</v>
      </c>
    </row>
    <row r="22" spans="1:15" ht="15" customHeight="1" x14ac:dyDescent="0.2">
      <c r="A22" s="45" t="s">
        <v>138</v>
      </c>
      <c r="B22" s="70">
        <f>IF($A22=B$21,0,SUMPRODUCT(('Match Log'!$D$4:$D$810=$A22)*(COUNTIFS('Match Log'!$A$4:$A$810,'Match Log'!$A$4:$A$810,'Match Log'!$D$4:$D$810,B$21)&gt;0)))</f>
        <v>0</v>
      </c>
      <c r="C22" s="70">
        <f>IF($A22=C$21,0,SUMPRODUCT(('Match Log'!$D$4:$D$810=$A22)*(COUNTIFS('Match Log'!$A$4:$A$810,'Match Log'!$A$4:$A$810,'Match Log'!$D$4:$D$810,C$21)&gt;0)))</f>
        <v>3</v>
      </c>
      <c r="D22" s="70">
        <f>IF($A22=D$21,0,SUMPRODUCT(('Match Log'!$D$4:$D$810=$A22)*(COUNTIFS('Match Log'!$A$4:$A$810,'Match Log'!$A$4:$A$810,'Match Log'!$D$4:$D$810,D$21)&gt;0)))</f>
        <v>3</v>
      </c>
      <c r="E22" s="70">
        <f>IF($A22=E$21,0,SUMPRODUCT(('Match Log'!$D$4:$D$810=$A22)*(COUNTIFS('Match Log'!$A$4:$A$810,'Match Log'!$A$4:$A$810,'Match Log'!$D$4:$D$810,E$21)&gt;0)))</f>
        <v>4</v>
      </c>
      <c r="F22" s="70">
        <f>IF($A22=F$21,0,SUMPRODUCT(('Match Log'!$D$4:$D$810=$A22)*(COUNTIFS('Match Log'!$A$4:$A$810,'Match Log'!$A$4:$A$810,'Match Log'!$D$4:$D$810,F$21)&gt;0)))</f>
        <v>2</v>
      </c>
      <c r="G22" s="70">
        <f>IF($A22=G$21,0,SUMPRODUCT(('Match Log'!$D$4:$D$810=$A22)*(COUNTIFS('Match Log'!$A$4:$A$810,'Match Log'!$A$4:$A$810,'Match Log'!$D$4:$D$810,G$21)&gt;0)))</f>
        <v>23</v>
      </c>
      <c r="H22" s="70">
        <f>IF($A22=H$21,0,SUMPRODUCT(('Match Log'!$D$4:$D$810=$A22)*(COUNTIFS('Match Log'!$A$4:$A$810,'Match Log'!$A$4:$A$810,'Match Log'!$D$4:$D$810,H$21)&gt;0)))</f>
        <v>4</v>
      </c>
      <c r="I22" s="70">
        <f>IF($A22=I$21,0,SUMPRODUCT(('Match Log'!$D$4:$D$810=$A22)*(COUNTIFS('Match Log'!$A$4:$A$810,'Match Log'!$A$4:$A$810,'Match Log'!$D$4:$D$810,I$21)&gt;0)))</f>
        <v>5</v>
      </c>
      <c r="J22" s="70">
        <f>IF($A22=J$21,0,SUMPRODUCT(('Match Log'!$D$4:$D$810=$A22)*(COUNTIFS('Match Log'!$A$4:$A$810,'Match Log'!$A$4:$A$810,'Match Log'!$D$4:$D$810,J$21)&gt;0)))</f>
        <v>2</v>
      </c>
      <c r="K22" s="70">
        <f>IF($A22=K$21,0,SUMPRODUCT(('Match Log'!$D$4:$D$810=$A22)*(COUNTIFS('Match Log'!$A$4:$A$810,'Match Log'!$A$4:$A$810,'Match Log'!$D$4:$D$810,K$21)&gt;0)))</f>
        <v>2</v>
      </c>
      <c r="L22" s="70">
        <f>IF($A22=L$21,0,SUMPRODUCT(('Match Log'!$D$4:$D$810=$A22)*(COUNTIFS('Match Log'!$A$4:$A$810,'Match Log'!$A$4:$A$810,'Match Log'!$D$4:$D$810,L$21)&gt;0)))</f>
        <v>4</v>
      </c>
      <c r="M22" s="70">
        <f>IF($A22=M$21,0,SUMPRODUCT(('Match Log'!$D$4:$D$810=$A22)*(COUNTIFS('Match Log'!$A$4:$A$810,'Match Log'!$A$4:$A$810,'Match Log'!$D$4:$D$810,M$21)&gt;0)))</f>
        <v>1</v>
      </c>
      <c r="N22" s="70">
        <f>IF($A22=N$21,0,SUMPRODUCT(('Match Log'!$D$4:$D$810=$A22)*(COUNTIFS('Match Log'!$A$4:$A$810,'Match Log'!$A$4:$A$810,'Match Log'!$D$4:$D$810,N$21)&gt;0)))</f>
        <v>0</v>
      </c>
      <c r="O22" s="70">
        <f>IF($A22=O$21,0,SUMPRODUCT(('Match Log'!$D$4:$D$810=$A22)*(COUNTIFS('Match Log'!$A$4:$A$810,'Match Log'!$A$4:$A$810,'Match Log'!$D$4:$D$810,O$21)&gt;0)))</f>
        <v>0</v>
      </c>
    </row>
    <row r="23" spans="1:15" ht="15" customHeight="1" x14ac:dyDescent="0.2">
      <c r="A23" s="45" t="s">
        <v>135</v>
      </c>
      <c r="B23" s="70">
        <f>IF($A23=B$21,0,SUMPRODUCT(('Match Log'!$D$4:$D$810=$A23)*(COUNTIFS('Match Log'!$A$4:$A$810,'Match Log'!$A$4:$A$810,'Match Log'!$D$4:$D$810,B$21)&gt;0)))</f>
        <v>3</v>
      </c>
      <c r="C23" s="70">
        <f>IF($A23=C$21,0,SUMPRODUCT(('Match Log'!$D$4:$D$810=$A23)*(COUNTIFS('Match Log'!$A$4:$A$810,'Match Log'!$A$4:$A$810,'Match Log'!$D$4:$D$810,C$21)&gt;0)))</f>
        <v>0</v>
      </c>
      <c r="D23" s="70">
        <f>IF($A23=D$21,0,SUMPRODUCT(('Match Log'!$D$4:$D$810=$A23)*(COUNTIFS('Match Log'!$A$4:$A$810,'Match Log'!$A$4:$A$810,'Match Log'!$D$4:$D$810,D$21)&gt;0)))</f>
        <v>0</v>
      </c>
      <c r="E23" s="70">
        <f>IF($A23=E$21,0,SUMPRODUCT(('Match Log'!$D$4:$D$810=$A23)*(COUNTIFS('Match Log'!$A$4:$A$810,'Match Log'!$A$4:$A$810,'Match Log'!$D$4:$D$810,E$21)&gt;0)))</f>
        <v>1</v>
      </c>
      <c r="F23" s="70">
        <f>IF($A23=F$21,0,SUMPRODUCT(('Match Log'!$D$4:$D$810=$A23)*(COUNTIFS('Match Log'!$A$4:$A$810,'Match Log'!$A$4:$A$810,'Match Log'!$D$4:$D$810,F$21)&gt;0)))</f>
        <v>1</v>
      </c>
      <c r="G23" s="70">
        <f>IF($A23=G$21,0,SUMPRODUCT(('Match Log'!$D$4:$D$810=$A23)*(COUNTIFS('Match Log'!$A$4:$A$810,'Match Log'!$A$4:$A$810,'Match Log'!$D$4:$D$810,G$21)&gt;0)))</f>
        <v>1</v>
      </c>
      <c r="H23" s="70">
        <f>IF($A23=H$21,0,SUMPRODUCT(('Match Log'!$D$4:$D$810=$A23)*(COUNTIFS('Match Log'!$A$4:$A$810,'Match Log'!$A$4:$A$810,'Match Log'!$D$4:$D$810,H$21)&gt;0)))</f>
        <v>3</v>
      </c>
      <c r="I23" s="70">
        <f>IF($A23=I$21,0,SUMPRODUCT(('Match Log'!$D$4:$D$810=$A23)*(COUNTIFS('Match Log'!$A$4:$A$810,'Match Log'!$A$4:$A$810,'Match Log'!$D$4:$D$810,I$21)&gt;0)))</f>
        <v>2</v>
      </c>
      <c r="J23" s="70">
        <f>IF($A23=J$21,0,SUMPRODUCT(('Match Log'!$D$4:$D$810=$A23)*(COUNTIFS('Match Log'!$A$4:$A$810,'Match Log'!$A$4:$A$810,'Match Log'!$D$4:$D$810,J$21)&gt;0)))</f>
        <v>2</v>
      </c>
      <c r="K23" s="70">
        <f>IF($A23=K$21,0,SUMPRODUCT(('Match Log'!$D$4:$D$810=$A23)*(COUNTIFS('Match Log'!$A$4:$A$810,'Match Log'!$A$4:$A$810,'Match Log'!$D$4:$D$810,K$21)&gt;0)))</f>
        <v>1</v>
      </c>
      <c r="L23" s="70">
        <f>IF($A23=L$21,0,SUMPRODUCT(('Match Log'!$D$4:$D$810=$A23)*(COUNTIFS('Match Log'!$A$4:$A$810,'Match Log'!$A$4:$A$810,'Match Log'!$D$4:$D$810,L$21)&gt;0)))</f>
        <v>5</v>
      </c>
      <c r="M23" s="70">
        <f>IF($A23=M$21,0,SUMPRODUCT(('Match Log'!$D$4:$D$810=$A23)*(COUNTIFS('Match Log'!$A$4:$A$810,'Match Log'!$A$4:$A$810,'Match Log'!$D$4:$D$810,M$21)&gt;0)))</f>
        <v>1</v>
      </c>
      <c r="N23" s="70">
        <f>IF($A23=N$21,0,SUMPRODUCT(('Match Log'!$D$4:$D$810=$A23)*(COUNTIFS('Match Log'!$A$4:$A$810,'Match Log'!$A$4:$A$810,'Match Log'!$D$4:$D$810,N$21)&gt;0)))</f>
        <v>4</v>
      </c>
      <c r="O23" s="70">
        <f>IF($A23=O$21,0,SUMPRODUCT(('Match Log'!$D$4:$D$810=$A23)*(COUNTIFS('Match Log'!$A$4:$A$810,'Match Log'!$A$4:$A$810,'Match Log'!$D$4:$D$810,O$21)&gt;0)))</f>
        <v>0</v>
      </c>
    </row>
    <row r="24" spans="1:15" ht="15" customHeight="1" x14ac:dyDescent="0.2">
      <c r="A24" s="45" t="s">
        <v>173</v>
      </c>
      <c r="B24" s="70">
        <f>IF($A24=B$21,0,SUMPRODUCT(('Match Log'!$D$4:$D$810=$A24)*(COUNTIFS('Match Log'!$A$4:$A$810,'Match Log'!$A$4:$A$810,'Match Log'!$D$4:$D$810,B$21)&gt;0)))</f>
        <v>3</v>
      </c>
      <c r="C24" s="70">
        <f>IF($A24=C$21,0,SUMPRODUCT(('Match Log'!$D$4:$D$810=$A24)*(COUNTIFS('Match Log'!$A$4:$A$810,'Match Log'!$A$4:$A$810,'Match Log'!$D$4:$D$810,C$21)&gt;0)))</f>
        <v>0</v>
      </c>
      <c r="D24" s="70">
        <f>IF($A24=D$21,0,SUMPRODUCT(('Match Log'!$D$4:$D$810=$A24)*(COUNTIFS('Match Log'!$A$4:$A$810,'Match Log'!$A$4:$A$810,'Match Log'!$D$4:$D$810,D$21)&gt;0)))</f>
        <v>0</v>
      </c>
      <c r="E24" s="70">
        <f>IF($A24=E$21,0,SUMPRODUCT(('Match Log'!$D$4:$D$810=$A24)*(COUNTIFS('Match Log'!$A$4:$A$810,'Match Log'!$A$4:$A$810,'Match Log'!$D$4:$D$810,E$21)&gt;0)))</f>
        <v>1</v>
      </c>
      <c r="F24" s="70">
        <f>IF($A24=F$21,0,SUMPRODUCT(('Match Log'!$D$4:$D$810=$A24)*(COUNTIFS('Match Log'!$A$4:$A$810,'Match Log'!$A$4:$A$810,'Match Log'!$D$4:$D$810,F$21)&gt;0)))</f>
        <v>2</v>
      </c>
      <c r="G24" s="70">
        <f>IF($A24=G$21,0,SUMPRODUCT(('Match Log'!$D$4:$D$810=$A24)*(COUNTIFS('Match Log'!$A$4:$A$810,'Match Log'!$A$4:$A$810,'Match Log'!$D$4:$D$810,G$21)&gt;0)))</f>
        <v>1</v>
      </c>
      <c r="H24" s="70">
        <f>IF($A24=H$21,0,SUMPRODUCT(('Match Log'!$D$4:$D$810=$A24)*(COUNTIFS('Match Log'!$A$4:$A$810,'Match Log'!$A$4:$A$810,'Match Log'!$D$4:$D$810,H$21)&gt;0)))</f>
        <v>1</v>
      </c>
      <c r="I24" s="70">
        <f>IF($A24=I$21,0,SUMPRODUCT(('Match Log'!$D$4:$D$810=$A24)*(COUNTIFS('Match Log'!$A$4:$A$810,'Match Log'!$A$4:$A$810,'Match Log'!$D$4:$D$810,I$21)&gt;0)))</f>
        <v>7</v>
      </c>
      <c r="J24" s="70">
        <f>IF($A24=J$21,0,SUMPRODUCT(('Match Log'!$D$4:$D$810=$A24)*(COUNTIFS('Match Log'!$A$4:$A$810,'Match Log'!$A$4:$A$810,'Match Log'!$D$4:$D$810,J$21)&gt;0)))</f>
        <v>0</v>
      </c>
      <c r="K24" s="70">
        <f>IF($A24=K$21,0,SUMPRODUCT(('Match Log'!$D$4:$D$810=$A24)*(COUNTIFS('Match Log'!$A$4:$A$810,'Match Log'!$A$4:$A$810,'Match Log'!$D$4:$D$810,K$21)&gt;0)))</f>
        <v>1</v>
      </c>
      <c r="L24" s="70">
        <f>IF($A24=L$21,0,SUMPRODUCT(('Match Log'!$D$4:$D$810=$A24)*(COUNTIFS('Match Log'!$A$4:$A$810,'Match Log'!$A$4:$A$810,'Match Log'!$D$4:$D$810,L$21)&gt;0)))</f>
        <v>1</v>
      </c>
      <c r="M24" s="70">
        <f>IF($A24=M$21,0,SUMPRODUCT(('Match Log'!$D$4:$D$810=$A24)*(COUNTIFS('Match Log'!$A$4:$A$810,'Match Log'!$A$4:$A$810,'Match Log'!$D$4:$D$810,M$21)&gt;0)))</f>
        <v>0</v>
      </c>
      <c r="N24" s="70">
        <f>IF($A24=N$21,0,SUMPRODUCT(('Match Log'!$D$4:$D$810=$A24)*(COUNTIFS('Match Log'!$A$4:$A$810,'Match Log'!$A$4:$A$810,'Match Log'!$D$4:$D$810,N$21)&gt;0)))</f>
        <v>0</v>
      </c>
      <c r="O24" s="70">
        <f>IF($A24=O$21,0,SUMPRODUCT(('Match Log'!$D$4:$D$810=$A24)*(COUNTIFS('Match Log'!$A$4:$A$810,'Match Log'!$A$4:$A$810,'Match Log'!$D$4:$D$810,O$21)&gt;0)))</f>
        <v>0</v>
      </c>
    </row>
    <row r="25" spans="1:15" ht="15" customHeight="1" x14ac:dyDescent="0.2">
      <c r="A25" s="45" t="s">
        <v>140</v>
      </c>
      <c r="B25" s="70">
        <f>IF($A25=B$21,0,SUMPRODUCT(('Match Log'!$D$4:$D$810=$A25)*(COUNTIFS('Match Log'!$A$4:$A$810,'Match Log'!$A$4:$A$810,'Match Log'!$D$4:$D$810,B$21)&gt;0)))</f>
        <v>4</v>
      </c>
      <c r="C25" s="70">
        <f>IF($A25=C$21,0,SUMPRODUCT(('Match Log'!$D$4:$D$810=$A25)*(COUNTIFS('Match Log'!$A$4:$A$810,'Match Log'!$A$4:$A$810,'Match Log'!$D$4:$D$810,C$21)&gt;0)))</f>
        <v>1</v>
      </c>
      <c r="D25" s="70">
        <f>IF($A25=D$21,0,SUMPRODUCT(('Match Log'!$D$4:$D$810=$A25)*(COUNTIFS('Match Log'!$A$4:$A$810,'Match Log'!$A$4:$A$810,'Match Log'!$D$4:$D$810,D$21)&gt;0)))</f>
        <v>1</v>
      </c>
      <c r="E25" s="70">
        <f>IF($A25=E$21,0,SUMPRODUCT(('Match Log'!$D$4:$D$810=$A25)*(COUNTIFS('Match Log'!$A$4:$A$810,'Match Log'!$A$4:$A$810,'Match Log'!$D$4:$D$810,E$21)&gt;0)))</f>
        <v>0</v>
      </c>
      <c r="F25" s="70">
        <f>IF($A25=F$21,0,SUMPRODUCT(('Match Log'!$D$4:$D$810=$A25)*(COUNTIFS('Match Log'!$A$4:$A$810,'Match Log'!$A$4:$A$810,'Match Log'!$D$4:$D$810,F$21)&gt;0)))</f>
        <v>5</v>
      </c>
      <c r="G25" s="70">
        <f>IF($A25=G$21,0,SUMPRODUCT(('Match Log'!$D$4:$D$810=$A25)*(COUNTIFS('Match Log'!$A$4:$A$810,'Match Log'!$A$4:$A$810,'Match Log'!$D$4:$D$810,G$21)&gt;0)))</f>
        <v>2</v>
      </c>
      <c r="H25" s="70">
        <f>IF($A25=H$21,0,SUMPRODUCT(('Match Log'!$D$4:$D$810=$A25)*(COUNTIFS('Match Log'!$A$4:$A$810,'Match Log'!$A$4:$A$810,'Match Log'!$D$4:$D$810,H$21)&gt;0)))</f>
        <v>2</v>
      </c>
      <c r="I25" s="70">
        <f>IF($A25=I$21,0,SUMPRODUCT(('Match Log'!$D$4:$D$810=$A25)*(COUNTIFS('Match Log'!$A$4:$A$810,'Match Log'!$A$4:$A$810,'Match Log'!$D$4:$D$810,I$21)&gt;0)))</f>
        <v>4</v>
      </c>
      <c r="J25" s="70">
        <f>IF($A25=J$21,0,SUMPRODUCT(('Match Log'!$D$4:$D$810=$A25)*(COUNTIFS('Match Log'!$A$4:$A$810,'Match Log'!$A$4:$A$810,'Match Log'!$D$4:$D$810,J$21)&gt;0)))</f>
        <v>3</v>
      </c>
      <c r="K25" s="70">
        <f>IF($A25=K$21,0,SUMPRODUCT(('Match Log'!$D$4:$D$810=$A25)*(COUNTIFS('Match Log'!$A$4:$A$810,'Match Log'!$A$4:$A$810,'Match Log'!$D$4:$D$810,K$21)&gt;0)))</f>
        <v>1</v>
      </c>
      <c r="L25" s="70">
        <f>IF($A25=L$21,0,SUMPRODUCT(('Match Log'!$D$4:$D$810=$A25)*(COUNTIFS('Match Log'!$A$4:$A$810,'Match Log'!$A$4:$A$810,'Match Log'!$D$4:$D$810,L$21)&gt;0)))</f>
        <v>2</v>
      </c>
      <c r="M25" s="70">
        <f>IF($A25=M$21,0,SUMPRODUCT(('Match Log'!$D$4:$D$810=$A25)*(COUNTIFS('Match Log'!$A$4:$A$810,'Match Log'!$A$4:$A$810,'Match Log'!$D$4:$D$810,M$21)&gt;0)))</f>
        <v>5</v>
      </c>
      <c r="N25" s="70">
        <f>IF($A25=N$21,0,SUMPRODUCT(('Match Log'!$D$4:$D$810=$A25)*(COUNTIFS('Match Log'!$A$4:$A$810,'Match Log'!$A$4:$A$810,'Match Log'!$D$4:$D$810,N$21)&gt;0)))</f>
        <v>0</v>
      </c>
      <c r="O25" s="70">
        <f>IF($A25=O$21,0,SUMPRODUCT(('Match Log'!$D$4:$D$810=$A25)*(COUNTIFS('Match Log'!$A$4:$A$810,'Match Log'!$A$4:$A$810,'Match Log'!$D$4:$D$810,O$21)&gt;0)))</f>
        <v>0</v>
      </c>
    </row>
    <row r="26" spans="1:15" ht="15" customHeight="1" x14ac:dyDescent="0.2">
      <c r="A26" s="45" t="s">
        <v>137</v>
      </c>
      <c r="B26" s="70">
        <f>IF($A26=B$21,0,SUMPRODUCT(('Match Log'!$D$4:$D$810=$A26)*(COUNTIFS('Match Log'!$A$4:$A$810,'Match Log'!$A$4:$A$810,'Match Log'!$D$4:$D$810,B$21)&gt;0)))</f>
        <v>2</v>
      </c>
      <c r="C26" s="70">
        <f>IF($A26=C$21,0,SUMPRODUCT(('Match Log'!$D$4:$D$810=$A26)*(COUNTIFS('Match Log'!$A$4:$A$810,'Match Log'!$A$4:$A$810,'Match Log'!$D$4:$D$810,C$21)&gt;0)))</f>
        <v>1</v>
      </c>
      <c r="D26" s="70">
        <f>IF($A26=D$21,0,SUMPRODUCT(('Match Log'!$D$4:$D$810=$A26)*(COUNTIFS('Match Log'!$A$4:$A$810,'Match Log'!$A$4:$A$810,'Match Log'!$D$4:$D$810,D$21)&gt;0)))</f>
        <v>2</v>
      </c>
      <c r="E26" s="70">
        <f>IF($A26=E$21,0,SUMPRODUCT(('Match Log'!$D$4:$D$810=$A26)*(COUNTIFS('Match Log'!$A$4:$A$810,'Match Log'!$A$4:$A$810,'Match Log'!$D$4:$D$810,E$21)&gt;0)))</f>
        <v>5</v>
      </c>
      <c r="F26" s="70">
        <f>IF($A26=F$21,0,SUMPRODUCT(('Match Log'!$D$4:$D$810=$A26)*(COUNTIFS('Match Log'!$A$4:$A$810,'Match Log'!$A$4:$A$810,'Match Log'!$D$4:$D$810,F$21)&gt;0)))</f>
        <v>0</v>
      </c>
      <c r="G26" s="70">
        <f>IF($A26=G$21,0,SUMPRODUCT(('Match Log'!$D$4:$D$810=$A26)*(COUNTIFS('Match Log'!$A$4:$A$810,'Match Log'!$A$4:$A$810,'Match Log'!$D$4:$D$810,G$21)&gt;0)))</f>
        <v>10</v>
      </c>
      <c r="H26" s="70">
        <f>IF($A26=H$21,0,SUMPRODUCT(('Match Log'!$D$4:$D$810=$A26)*(COUNTIFS('Match Log'!$A$4:$A$810,'Match Log'!$A$4:$A$810,'Match Log'!$D$4:$D$810,H$21)&gt;0)))</f>
        <v>3</v>
      </c>
      <c r="I26" s="70">
        <f>IF($A26=I$21,0,SUMPRODUCT(('Match Log'!$D$4:$D$810=$A26)*(COUNTIFS('Match Log'!$A$4:$A$810,'Match Log'!$A$4:$A$810,'Match Log'!$D$4:$D$810,I$21)&gt;0)))</f>
        <v>13</v>
      </c>
      <c r="J26" s="70">
        <f>IF($A26=J$21,0,SUMPRODUCT(('Match Log'!$D$4:$D$810=$A26)*(COUNTIFS('Match Log'!$A$4:$A$810,'Match Log'!$A$4:$A$810,'Match Log'!$D$4:$D$810,J$21)&gt;0)))</f>
        <v>5</v>
      </c>
      <c r="K26" s="70">
        <f>IF($A26=K$21,0,SUMPRODUCT(('Match Log'!$D$4:$D$810=$A26)*(COUNTIFS('Match Log'!$A$4:$A$810,'Match Log'!$A$4:$A$810,'Match Log'!$D$4:$D$810,K$21)&gt;0)))</f>
        <v>4</v>
      </c>
      <c r="L26" s="70">
        <f>IF($A26=L$21,0,SUMPRODUCT(('Match Log'!$D$4:$D$810=$A26)*(COUNTIFS('Match Log'!$A$4:$A$810,'Match Log'!$A$4:$A$810,'Match Log'!$D$4:$D$810,L$21)&gt;0)))</f>
        <v>7</v>
      </c>
      <c r="M26" s="70">
        <f>IF($A26=M$21,0,SUMPRODUCT(('Match Log'!$D$4:$D$810=$A26)*(COUNTIFS('Match Log'!$A$4:$A$810,'Match Log'!$A$4:$A$810,'Match Log'!$D$4:$D$810,M$21)&gt;0)))</f>
        <v>1</v>
      </c>
      <c r="N26" s="70">
        <f>IF($A26=N$21,0,SUMPRODUCT(('Match Log'!$D$4:$D$810=$A26)*(COUNTIFS('Match Log'!$A$4:$A$810,'Match Log'!$A$4:$A$810,'Match Log'!$D$4:$D$810,N$21)&gt;0)))</f>
        <v>1</v>
      </c>
      <c r="O26" s="70">
        <f>IF($A26=O$21,0,SUMPRODUCT(('Match Log'!$D$4:$D$810=$A26)*(COUNTIFS('Match Log'!$A$4:$A$810,'Match Log'!$A$4:$A$810,'Match Log'!$D$4:$D$810,O$21)&gt;0)))</f>
        <v>0</v>
      </c>
    </row>
    <row r="27" spans="1:15" ht="15" customHeight="1" x14ac:dyDescent="0.2">
      <c r="A27" s="45" t="s">
        <v>134</v>
      </c>
      <c r="B27" s="70">
        <f>IF($A27=B$21,0,SUMPRODUCT(('Match Log'!$D$4:$D$810=$A27)*(COUNTIFS('Match Log'!$A$4:$A$810,'Match Log'!$A$4:$A$810,'Match Log'!$D$4:$D$810,B$21)&gt;0)))</f>
        <v>23</v>
      </c>
      <c r="C27" s="70">
        <f>IF($A27=C$21,0,SUMPRODUCT(('Match Log'!$D$4:$D$810=$A27)*(COUNTIFS('Match Log'!$A$4:$A$810,'Match Log'!$A$4:$A$810,'Match Log'!$D$4:$D$810,C$21)&gt;0)))</f>
        <v>1</v>
      </c>
      <c r="D27" s="70">
        <f>IF($A27=D$21,0,SUMPRODUCT(('Match Log'!$D$4:$D$810=$A27)*(COUNTIFS('Match Log'!$A$4:$A$810,'Match Log'!$A$4:$A$810,'Match Log'!$D$4:$D$810,D$21)&gt;0)))</f>
        <v>1</v>
      </c>
      <c r="E27" s="70">
        <f>IF($A27=E$21,0,SUMPRODUCT(('Match Log'!$D$4:$D$810=$A27)*(COUNTIFS('Match Log'!$A$4:$A$810,'Match Log'!$A$4:$A$810,'Match Log'!$D$4:$D$810,E$21)&gt;0)))</f>
        <v>2</v>
      </c>
      <c r="F27" s="70">
        <f>IF($A27=F$21,0,SUMPRODUCT(('Match Log'!$D$4:$D$810=$A27)*(COUNTIFS('Match Log'!$A$4:$A$810,'Match Log'!$A$4:$A$810,'Match Log'!$D$4:$D$810,F$21)&gt;0)))</f>
        <v>10</v>
      </c>
      <c r="G27" s="70">
        <f>IF($A27=G$21,0,SUMPRODUCT(('Match Log'!$D$4:$D$810=$A27)*(COUNTIFS('Match Log'!$A$4:$A$810,'Match Log'!$A$4:$A$810,'Match Log'!$D$4:$D$810,G$21)&gt;0)))</f>
        <v>0</v>
      </c>
      <c r="H27" s="70">
        <f>IF($A27=H$21,0,SUMPRODUCT(('Match Log'!$D$4:$D$810=$A27)*(COUNTIFS('Match Log'!$A$4:$A$810,'Match Log'!$A$4:$A$810,'Match Log'!$D$4:$D$810,H$21)&gt;0)))</f>
        <v>3</v>
      </c>
      <c r="I27" s="70">
        <f>IF($A27=I$21,0,SUMPRODUCT(('Match Log'!$D$4:$D$810=$A27)*(COUNTIFS('Match Log'!$A$4:$A$810,'Match Log'!$A$4:$A$810,'Match Log'!$D$4:$D$810,I$21)&gt;0)))</f>
        <v>22</v>
      </c>
      <c r="J27" s="70">
        <f>IF($A27=J$21,0,SUMPRODUCT(('Match Log'!$D$4:$D$810=$A27)*(COUNTIFS('Match Log'!$A$4:$A$810,'Match Log'!$A$4:$A$810,'Match Log'!$D$4:$D$810,J$21)&gt;0)))</f>
        <v>3</v>
      </c>
      <c r="K27" s="70">
        <f>IF($A27=K$21,0,SUMPRODUCT(('Match Log'!$D$4:$D$810=$A27)*(COUNTIFS('Match Log'!$A$4:$A$810,'Match Log'!$A$4:$A$810,'Match Log'!$D$4:$D$810,K$21)&gt;0)))</f>
        <v>0</v>
      </c>
      <c r="L27" s="70">
        <f>IF($A27=L$21,0,SUMPRODUCT(('Match Log'!$D$4:$D$810=$A27)*(COUNTIFS('Match Log'!$A$4:$A$810,'Match Log'!$A$4:$A$810,'Match Log'!$D$4:$D$810,L$21)&gt;0)))</f>
        <v>17</v>
      </c>
      <c r="M27" s="70">
        <f>IF($A27=M$21,0,SUMPRODUCT(('Match Log'!$D$4:$D$810=$A27)*(COUNTIFS('Match Log'!$A$4:$A$810,'Match Log'!$A$4:$A$810,'Match Log'!$D$4:$D$810,M$21)&gt;0)))</f>
        <v>1</v>
      </c>
      <c r="N27" s="70">
        <f>IF($A27=N$21,0,SUMPRODUCT(('Match Log'!$D$4:$D$810=$A27)*(COUNTIFS('Match Log'!$A$4:$A$810,'Match Log'!$A$4:$A$810,'Match Log'!$D$4:$D$810,N$21)&gt;0)))</f>
        <v>1</v>
      </c>
      <c r="O27" s="70">
        <f>IF($A27=O$21,0,SUMPRODUCT(('Match Log'!$D$4:$D$810=$A27)*(COUNTIFS('Match Log'!$A$4:$A$810,'Match Log'!$A$4:$A$810,'Match Log'!$D$4:$D$810,O$21)&gt;0)))</f>
        <v>0</v>
      </c>
    </row>
    <row r="28" spans="1:15" ht="15" customHeight="1" x14ac:dyDescent="0.2">
      <c r="A28" s="45" t="s">
        <v>168</v>
      </c>
      <c r="B28" s="70">
        <f>IF($A28=B$21,0,SUMPRODUCT(('Match Log'!$D$4:$D$810=$A28)*(COUNTIFS('Match Log'!$A$4:$A$810,'Match Log'!$A$4:$A$810,'Match Log'!$D$4:$D$810,B$21)&gt;0)))</f>
        <v>4</v>
      </c>
      <c r="C28" s="70">
        <f>IF($A28=C$21,0,SUMPRODUCT(('Match Log'!$D$4:$D$810=$A28)*(COUNTIFS('Match Log'!$A$4:$A$810,'Match Log'!$A$4:$A$810,'Match Log'!$D$4:$D$810,C$21)&gt;0)))</f>
        <v>3</v>
      </c>
      <c r="D28" s="70">
        <f>IF($A28=D$21,0,SUMPRODUCT(('Match Log'!$D$4:$D$810=$A28)*(COUNTIFS('Match Log'!$A$4:$A$810,'Match Log'!$A$4:$A$810,'Match Log'!$D$4:$D$810,D$21)&gt;0)))</f>
        <v>1</v>
      </c>
      <c r="E28" s="70">
        <f>IF($A28=E$21,0,SUMPRODUCT(('Match Log'!$D$4:$D$810=$A28)*(COUNTIFS('Match Log'!$A$4:$A$810,'Match Log'!$A$4:$A$810,'Match Log'!$D$4:$D$810,E$21)&gt;0)))</f>
        <v>2</v>
      </c>
      <c r="F28" s="70">
        <f>IF($A28=F$21,0,SUMPRODUCT(('Match Log'!$D$4:$D$810=$A28)*(COUNTIFS('Match Log'!$A$4:$A$810,'Match Log'!$A$4:$A$810,'Match Log'!$D$4:$D$810,F$21)&gt;0)))</f>
        <v>3</v>
      </c>
      <c r="G28" s="70">
        <f>IF($A28=G$21,0,SUMPRODUCT(('Match Log'!$D$4:$D$810=$A28)*(COUNTIFS('Match Log'!$A$4:$A$810,'Match Log'!$A$4:$A$810,'Match Log'!$D$4:$D$810,G$21)&gt;0)))</f>
        <v>3</v>
      </c>
      <c r="H28" s="70">
        <f>IF($A28=H$21,0,SUMPRODUCT(('Match Log'!$D$4:$D$810=$A28)*(COUNTIFS('Match Log'!$A$4:$A$810,'Match Log'!$A$4:$A$810,'Match Log'!$D$4:$D$810,H$21)&gt;0)))</f>
        <v>0</v>
      </c>
      <c r="I28" s="70">
        <f>IF($A28=I$21,0,SUMPRODUCT(('Match Log'!$D$4:$D$810=$A28)*(COUNTIFS('Match Log'!$A$4:$A$810,'Match Log'!$A$4:$A$810,'Match Log'!$D$4:$D$810,I$21)&gt;0)))</f>
        <v>1</v>
      </c>
      <c r="J28" s="70">
        <f>IF($A28=J$21,0,SUMPRODUCT(('Match Log'!$D$4:$D$810=$A28)*(COUNTIFS('Match Log'!$A$4:$A$810,'Match Log'!$A$4:$A$810,'Match Log'!$D$4:$D$810,J$21)&gt;0)))</f>
        <v>2</v>
      </c>
      <c r="K28" s="70">
        <f>IF($A28=K$21,0,SUMPRODUCT(('Match Log'!$D$4:$D$810=$A28)*(COUNTIFS('Match Log'!$A$4:$A$810,'Match Log'!$A$4:$A$810,'Match Log'!$D$4:$D$810,K$21)&gt;0)))</f>
        <v>2</v>
      </c>
      <c r="L28" s="70">
        <f>IF($A28=L$21,0,SUMPRODUCT(('Match Log'!$D$4:$D$810=$A28)*(COUNTIFS('Match Log'!$A$4:$A$810,'Match Log'!$A$4:$A$810,'Match Log'!$D$4:$D$810,L$21)&gt;0)))</f>
        <v>13</v>
      </c>
      <c r="M28" s="70">
        <f>IF($A28=M$21,0,SUMPRODUCT(('Match Log'!$D$4:$D$810=$A28)*(COUNTIFS('Match Log'!$A$4:$A$810,'Match Log'!$A$4:$A$810,'Match Log'!$D$4:$D$810,M$21)&gt;0)))</f>
        <v>1</v>
      </c>
      <c r="N28" s="70">
        <f>IF($A28=N$21,0,SUMPRODUCT(('Match Log'!$D$4:$D$810=$A28)*(COUNTIFS('Match Log'!$A$4:$A$810,'Match Log'!$A$4:$A$810,'Match Log'!$D$4:$D$810,N$21)&gt;0)))</f>
        <v>2</v>
      </c>
      <c r="O28" s="70">
        <f>IF($A28=O$21,0,SUMPRODUCT(('Match Log'!$D$4:$D$810=$A28)*(COUNTIFS('Match Log'!$A$4:$A$810,'Match Log'!$A$4:$A$810,'Match Log'!$D$4:$D$810,O$21)&gt;0)))</f>
        <v>0</v>
      </c>
    </row>
    <row r="29" spans="1:15" ht="15" customHeight="1" x14ac:dyDescent="0.2">
      <c r="A29" s="45" t="s">
        <v>170</v>
      </c>
      <c r="B29" s="70">
        <f>IF($A29=B$21,0,SUMPRODUCT(('Match Log'!$D$4:$D$810=$A29)*(COUNTIFS('Match Log'!$A$4:$A$810,'Match Log'!$A$4:$A$810,'Match Log'!$D$4:$D$810,B$21)&gt;0)))</f>
        <v>5</v>
      </c>
      <c r="C29" s="70">
        <f>IF($A29=C$21,0,SUMPRODUCT(('Match Log'!$D$4:$D$810=$A29)*(COUNTIFS('Match Log'!$A$4:$A$810,'Match Log'!$A$4:$A$810,'Match Log'!$D$4:$D$810,C$21)&gt;0)))</f>
        <v>2</v>
      </c>
      <c r="D29" s="70">
        <f>IF($A29=D$21,0,SUMPRODUCT(('Match Log'!$D$4:$D$810=$A29)*(COUNTIFS('Match Log'!$A$4:$A$810,'Match Log'!$A$4:$A$810,'Match Log'!$D$4:$D$810,D$21)&gt;0)))</f>
        <v>7</v>
      </c>
      <c r="E29" s="70">
        <f>IF($A29=E$21,0,SUMPRODUCT(('Match Log'!$D$4:$D$810=$A29)*(COUNTIFS('Match Log'!$A$4:$A$810,'Match Log'!$A$4:$A$810,'Match Log'!$D$4:$D$810,E$21)&gt;0)))</f>
        <v>4</v>
      </c>
      <c r="F29" s="70">
        <f>IF($A29=F$21,0,SUMPRODUCT(('Match Log'!$D$4:$D$810=$A29)*(COUNTIFS('Match Log'!$A$4:$A$810,'Match Log'!$A$4:$A$810,'Match Log'!$D$4:$D$810,F$21)&gt;0)))</f>
        <v>13</v>
      </c>
      <c r="G29" s="70">
        <f>IF($A29=G$21,0,SUMPRODUCT(('Match Log'!$D$4:$D$810=$A29)*(COUNTIFS('Match Log'!$A$4:$A$810,'Match Log'!$A$4:$A$810,'Match Log'!$D$4:$D$810,G$21)&gt;0)))</f>
        <v>22</v>
      </c>
      <c r="H29" s="70">
        <f>IF($A29=H$21,0,SUMPRODUCT(('Match Log'!$D$4:$D$810=$A29)*(COUNTIFS('Match Log'!$A$4:$A$810,'Match Log'!$A$4:$A$810,'Match Log'!$D$4:$D$810,H$21)&gt;0)))</f>
        <v>1</v>
      </c>
      <c r="I29" s="70">
        <f>IF($A29=I$21,0,SUMPRODUCT(('Match Log'!$D$4:$D$810=$A29)*(COUNTIFS('Match Log'!$A$4:$A$810,'Match Log'!$A$4:$A$810,'Match Log'!$D$4:$D$810,I$21)&gt;0)))</f>
        <v>0</v>
      </c>
      <c r="J29" s="70">
        <f>IF($A29=J$21,0,SUMPRODUCT(('Match Log'!$D$4:$D$810=$A29)*(COUNTIFS('Match Log'!$A$4:$A$810,'Match Log'!$A$4:$A$810,'Match Log'!$D$4:$D$810,J$21)&gt;0)))</f>
        <v>12</v>
      </c>
      <c r="K29" s="70">
        <f>IF($A29=K$21,0,SUMPRODUCT(('Match Log'!$D$4:$D$810=$A29)*(COUNTIFS('Match Log'!$A$4:$A$810,'Match Log'!$A$4:$A$810,'Match Log'!$D$4:$D$810,K$21)&gt;0)))</f>
        <v>2</v>
      </c>
      <c r="L29" s="70">
        <f>IF($A29=L$21,0,SUMPRODUCT(('Match Log'!$D$4:$D$810=$A29)*(COUNTIFS('Match Log'!$A$4:$A$810,'Match Log'!$A$4:$A$810,'Match Log'!$D$4:$D$810,L$21)&gt;0)))</f>
        <v>6</v>
      </c>
      <c r="M29" s="70">
        <f>IF($A29=M$21,0,SUMPRODUCT(('Match Log'!$D$4:$D$810=$A29)*(COUNTIFS('Match Log'!$A$4:$A$810,'Match Log'!$A$4:$A$810,'Match Log'!$D$4:$D$810,M$21)&gt;0)))</f>
        <v>2</v>
      </c>
      <c r="N29" s="70">
        <f>IF($A29=N$21,0,SUMPRODUCT(('Match Log'!$D$4:$D$810=$A29)*(COUNTIFS('Match Log'!$A$4:$A$810,'Match Log'!$A$4:$A$810,'Match Log'!$D$4:$D$810,N$21)&gt;0)))</f>
        <v>1</v>
      </c>
      <c r="O29" s="70">
        <f>IF($A29=O$21,0,SUMPRODUCT(('Match Log'!$D$4:$D$810=$A29)*(COUNTIFS('Match Log'!$A$4:$A$810,'Match Log'!$A$4:$A$810,'Match Log'!$D$4:$D$810,O$21)&gt;0)))</f>
        <v>0</v>
      </c>
    </row>
    <row r="30" spans="1:15" ht="15" customHeight="1" x14ac:dyDescent="0.2">
      <c r="A30" s="45" t="s">
        <v>167</v>
      </c>
      <c r="B30" s="70">
        <f>IF($A30=B$21,0,SUMPRODUCT(('Match Log'!$D$4:$D$810=$A30)*(COUNTIFS('Match Log'!$A$4:$A$810,'Match Log'!$A$4:$A$810,'Match Log'!$D$4:$D$810,B$21)&gt;0)))</f>
        <v>2</v>
      </c>
      <c r="C30" s="70">
        <f>IF($A30=C$21,0,SUMPRODUCT(('Match Log'!$D$4:$D$810=$A30)*(COUNTIFS('Match Log'!$A$4:$A$810,'Match Log'!$A$4:$A$810,'Match Log'!$D$4:$D$810,C$21)&gt;0)))</f>
        <v>2</v>
      </c>
      <c r="D30" s="70">
        <f>IF($A30=D$21,0,SUMPRODUCT(('Match Log'!$D$4:$D$810=$A30)*(COUNTIFS('Match Log'!$A$4:$A$810,'Match Log'!$A$4:$A$810,'Match Log'!$D$4:$D$810,D$21)&gt;0)))</f>
        <v>0</v>
      </c>
      <c r="E30" s="70">
        <f>IF($A30=E$21,0,SUMPRODUCT(('Match Log'!$D$4:$D$810=$A30)*(COUNTIFS('Match Log'!$A$4:$A$810,'Match Log'!$A$4:$A$810,'Match Log'!$D$4:$D$810,E$21)&gt;0)))</f>
        <v>3</v>
      </c>
      <c r="F30" s="70">
        <f>IF($A30=F$21,0,SUMPRODUCT(('Match Log'!$D$4:$D$810=$A30)*(COUNTIFS('Match Log'!$A$4:$A$810,'Match Log'!$A$4:$A$810,'Match Log'!$D$4:$D$810,F$21)&gt;0)))</f>
        <v>5</v>
      </c>
      <c r="G30" s="70">
        <f>IF($A30=G$21,0,SUMPRODUCT(('Match Log'!$D$4:$D$810=$A30)*(COUNTIFS('Match Log'!$A$4:$A$810,'Match Log'!$A$4:$A$810,'Match Log'!$D$4:$D$810,G$21)&gt;0)))</f>
        <v>3</v>
      </c>
      <c r="H30" s="70">
        <f>IF($A30=H$21,0,SUMPRODUCT(('Match Log'!$D$4:$D$810=$A30)*(COUNTIFS('Match Log'!$A$4:$A$810,'Match Log'!$A$4:$A$810,'Match Log'!$D$4:$D$810,H$21)&gt;0)))</f>
        <v>2</v>
      </c>
      <c r="I30" s="70">
        <f>IF($A30=I$21,0,SUMPRODUCT(('Match Log'!$D$4:$D$810=$A30)*(COUNTIFS('Match Log'!$A$4:$A$810,'Match Log'!$A$4:$A$810,'Match Log'!$D$4:$D$810,I$21)&gt;0)))</f>
        <v>12</v>
      </c>
      <c r="J30" s="70">
        <f>IF($A30=J$21,0,SUMPRODUCT(('Match Log'!$D$4:$D$810=$A30)*(COUNTIFS('Match Log'!$A$4:$A$810,'Match Log'!$A$4:$A$810,'Match Log'!$D$4:$D$810,J$21)&gt;0)))</f>
        <v>0</v>
      </c>
      <c r="K30" s="70">
        <f>IF($A30=K$21,0,SUMPRODUCT(('Match Log'!$D$4:$D$810=$A30)*(COUNTIFS('Match Log'!$A$4:$A$810,'Match Log'!$A$4:$A$810,'Match Log'!$D$4:$D$810,K$21)&gt;0)))</f>
        <v>1</v>
      </c>
      <c r="L30" s="70">
        <f>IF($A30=L$21,0,SUMPRODUCT(('Match Log'!$D$4:$D$810=$A30)*(COUNTIFS('Match Log'!$A$4:$A$810,'Match Log'!$A$4:$A$810,'Match Log'!$D$4:$D$810,L$21)&gt;0)))</f>
        <v>6</v>
      </c>
      <c r="M30" s="70">
        <f>IF($A30=M$21,0,SUMPRODUCT(('Match Log'!$D$4:$D$810=$A30)*(COUNTIFS('Match Log'!$A$4:$A$810,'Match Log'!$A$4:$A$810,'Match Log'!$D$4:$D$810,M$21)&gt;0)))</f>
        <v>2</v>
      </c>
      <c r="N30" s="70">
        <f>IF($A30=N$21,0,SUMPRODUCT(('Match Log'!$D$4:$D$810=$A30)*(COUNTIFS('Match Log'!$A$4:$A$810,'Match Log'!$A$4:$A$810,'Match Log'!$D$4:$D$810,N$21)&gt;0)))</f>
        <v>1</v>
      </c>
      <c r="O30" s="70">
        <f>IF($A30=O$21,0,SUMPRODUCT(('Match Log'!$D$4:$D$810=$A30)*(COUNTIFS('Match Log'!$A$4:$A$810,'Match Log'!$A$4:$A$810,'Match Log'!$D$4:$D$810,O$21)&gt;0)))</f>
        <v>0</v>
      </c>
    </row>
    <row r="31" spans="1:15" ht="15" customHeight="1" x14ac:dyDescent="0.2">
      <c r="A31" s="45" t="s">
        <v>175</v>
      </c>
      <c r="B31" s="70">
        <f>IF($A31=B$21,0,SUMPRODUCT(('Match Log'!$D$4:$D$810=$A31)*(COUNTIFS('Match Log'!$A$4:$A$810,'Match Log'!$A$4:$A$810,'Match Log'!$D$4:$D$810,B$21)&gt;0)))</f>
        <v>2</v>
      </c>
      <c r="C31" s="70">
        <f>IF($A31=C$21,0,SUMPRODUCT(('Match Log'!$D$4:$D$810=$A31)*(COUNTIFS('Match Log'!$A$4:$A$810,'Match Log'!$A$4:$A$810,'Match Log'!$D$4:$D$810,C$21)&gt;0)))</f>
        <v>1</v>
      </c>
      <c r="D31" s="70">
        <f>IF($A31=D$21,0,SUMPRODUCT(('Match Log'!$D$4:$D$810=$A31)*(COUNTIFS('Match Log'!$A$4:$A$810,'Match Log'!$A$4:$A$810,'Match Log'!$D$4:$D$810,D$21)&gt;0)))</f>
        <v>1</v>
      </c>
      <c r="E31" s="70">
        <f>IF($A31=E$21,0,SUMPRODUCT(('Match Log'!$D$4:$D$810=$A31)*(COUNTIFS('Match Log'!$A$4:$A$810,'Match Log'!$A$4:$A$810,'Match Log'!$D$4:$D$810,E$21)&gt;0)))</f>
        <v>1</v>
      </c>
      <c r="F31" s="70">
        <f>IF($A31=F$21,0,SUMPRODUCT(('Match Log'!$D$4:$D$810=$A31)*(COUNTIFS('Match Log'!$A$4:$A$810,'Match Log'!$A$4:$A$810,'Match Log'!$D$4:$D$810,F$21)&gt;0)))</f>
        <v>4</v>
      </c>
      <c r="G31" s="70">
        <f>IF($A31=G$21,0,SUMPRODUCT(('Match Log'!$D$4:$D$810=$A31)*(COUNTIFS('Match Log'!$A$4:$A$810,'Match Log'!$A$4:$A$810,'Match Log'!$D$4:$D$810,G$21)&gt;0)))</f>
        <v>0</v>
      </c>
      <c r="H31" s="70">
        <f>IF($A31=H$21,0,SUMPRODUCT(('Match Log'!$D$4:$D$810=$A31)*(COUNTIFS('Match Log'!$A$4:$A$810,'Match Log'!$A$4:$A$810,'Match Log'!$D$4:$D$810,H$21)&gt;0)))</f>
        <v>2</v>
      </c>
      <c r="I31" s="70">
        <f>IF($A31=I$21,0,SUMPRODUCT(('Match Log'!$D$4:$D$810=$A31)*(COUNTIFS('Match Log'!$A$4:$A$810,'Match Log'!$A$4:$A$810,'Match Log'!$D$4:$D$810,I$21)&gt;0)))</f>
        <v>2</v>
      </c>
      <c r="J31" s="70">
        <f>IF($A31=J$21,0,SUMPRODUCT(('Match Log'!$D$4:$D$810=$A31)*(COUNTIFS('Match Log'!$A$4:$A$810,'Match Log'!$A$4:$A$810,'Match Log'!$D$4:$D$810,J$21)&gt;0)))</f>
        <v>1</v>
      </c>
      <c r="K31" s="70">
        <f>IF($A31=K$21,0,SUMPRODUCT(('Match Log'!$D$4:$D$810=$A31)*(COUNTIFS('Match Log'!$A$4:$A$810,'Match Log'!$A$4:$A$810,'Match Log'!$D$4:$D$810,K$21)&gt;0)))</f>
        <v>0</v>
      </c>
      <c r="L31" s="70">
        <f>IF($A31=L$21,0,SUMPRODUCT(('Match Log'!$D$4:$D$810=$A31)*(COUNTIFS('Match Log'!$A$4:$A$810,'Match Log'!$A$4:$A$810,'Match Log'!$D$4:$D$810,L$21)&gt;0)))</f>
        <v>3</v>
      </c>
      <c r="M31" s="70">
        <f>IF($A31=M$21,0,SUMPRODUCT(('Match Log'!$D$4:$D$810=$A31)*(COUNTIFS('Match Log'!$A$4:$A$810,'Match Log'!$A$4:$A$810,'Match Log'!$D$4:$D$810,M$21)&gt;0)))</f>
        <v>0</v>
      </c>
      <c r="N31" s="70">
        <f>IF($A31=N$21,0,SUMPRODUCT(('Match Log'!$D$4:$D$810=$A31)*(COUNTIFS('Match Log'!$A$4:$A$810,'Match Log'!$A$4:$A$810,'Match Log'!$D$4:$D$810,N$21)&gt;0)))</f>
        <v>0</v>
      </c>
      <c r="O31" s="70">
        <f>IF($A31=O$21,0,SUMPRODUCT(('Match Log'!$D$4:$D$810=$A31)*(COUNTIFS('Match Log'!$A$4:$A$810,'Match Log'!$A$4:$A$810,'Match Log'!$D$4:$D$810,O$21)&gt;0)))</f>
        <v>0</v>
      </c>
    </row>
    <row r="32" spans="1:15" ht="15" customHeight="1" x14ac:dyDescent="0.2">
      <c r="A32" s="45" t="s">
        <v>169</v>
      </c>
      <c r="B32" s="70">
        <f>IF($A32=B$21,0,SUMPRODUCT(('Match Log'!$D$4:$D$810=$A32)*(COUNTIFS('Match Log'!$A$4:$A$810,'Match Log'!$A$4:$A$810,'Match Log'!$D$4:$D$810,B$21)&gt;0)))</f>
        <v>4</v>
      </c>
      <c r="C32" s="70">
        <f>IF($A32=C$21,0,SUMPRODUCT(('Match Log'!$D$4:$D$810=$A32)*(COUNTIFS('Match Log'!$A$4:$A$810,'Match Log'!$A$4:$A$810,'Match Log'!$D$4:$D$810,C$21)&gt;0)))</f>
        <v>5</v>
      </c>
      <c r="D32" s="70">
        <f>IF($A32=D$21,0,SUMPRODUCT(('Match Log'!$D$4:$D$810=$A32)*(COUNTIFS('Match Log'!$A$4:$A$810,'Match Log'!$A$4:$A$810,'Match Log'!$D$4:$D$810,D$21)&gt;0)))</f>
        <v>1</v>
      </c>
      <c r="E32" s="70">
        <f>IF($A32=E$21,0,SUMPRODUCT(('Match Log'!$D$4:$D$810=$A32)*(COUNTIFS('Match Log'!$A$4:$A$810,'Match Log'!$A$4:$A$810,'Match Log'!$D$4:$D$810,E$21)&gt;0)))</f>
        <v>2</v>
      </c>
      <c r="F32" s="70">
        <f>IF($A32=F$21,0,SUMPRODUCT(('Match Log'!$D$4:$D$810=$A32)*(COUNTIFS('Match Log'!$A$4:$A$810,'Match Log'!$A$4:$A$810,'Match Log'!$D$4:$D$810,F$21)&gt;0)))</f>
        <v>7</v>
      </c>
      <c r="G32" s="70">
        <f>IF($A32=G$21,0,SUMPRODUCT(('Match Log'!$D$4:$D$810=$A32)*(COUNTIFS('Match Log'!$A$4:$A$810,'Match Log'!$A$4:$A$810,'Match Log'!$D$4:$D$810,G$21)&gt;0)))</f>
        <v>17</v>
      </c>
      <c r="H32" s="70">
        <f>IF($A32=H$21,0,SUMPRODUCT(('Match Log'!$D$4:$D$810=$A32)*(COUNTIFS('Match Log'!$A$4:$A$810,'Match Log'!$A$4:$A$810,'Match Log'!$D$4:$D$810,H$21)&gt;0)))</f>
        <v>13</v>
      </c>
      <c r="I32" s="70">
        <f>IF($A32=I$21,0,SUMPRODUCT(('Match Log'!$D$4:$D$810=$A32)*(COUNTIFS('Match Log'!$A$4:$A$810,'Match Log'!$A$4:$A$810,'Match Log'!$D$4:$D$810,I$21)&gt;0)))</f>
        <v>6</v>
      </c>
      <c r="J32" s="70">
        <f>IF($A32=J$21,0,SUMPRODUCT(('Match Log'!$D$4:$D$810=$A32)*(COUNTIFS('Match Log'!$A$4:$A$810,'Match Log'!$A$4:$A$810,'Match Log'!$D$4:$D$810,J$21)&gt;0)))</f>
        <v>6</v>
      </c>
      <c r="K32" s="70">
        <f>IF($A32=K$21,0,SUMPRODUCT(('Match Log'!$D$4:$D$810=$A32)*(COUNTIFS('Match Log'!$A$4:$A$810,'Match Log'!$A$4:$A$810,'Match Log'!$D$4:$D$810,K$21)&gt;0)))</f>
        <v>3</v>
      </c>
      <c r="L32" s="70">
        <f>IF($A32=L$21,0,SUMPRODUCT(('Match Log'!$D$4:$D$810=$A32)*(COUNTIFS('Match Log'!$A$4:$A$810,'Match Log'!$A$4:$A$810,'Match Log'!$D$4:$D$810,L$21)&gt;0)))</f>
        <v>0</v>
      </c>
      <c r="M32" s="70">
        <f>IF($A32=M$21,0,SUMPRODUCT(('Match Log'!$D$4:$D$810=$A32)*(COUNTIFS('Match Log'!$A$4:$A$810,'Match Log'!$A$4:$A$810,'Match Log'!$D$4:$D$810,M$21)&gt;0)))</f>
        <v>1</v>
      </c>
      <c r="N32" s="70">
        <f>IF($A32=N$21,0,SUMPRODUCT(('Match Log'!$D$4:$D$810=$A32)*(COUNTIFS('Match Log'!$A$4:$A$810,'Match Log'!$A$4:$A$810,'Match Log'!$D$4:$D$810,N$21)&gt;0)))</f>
        <v>2</v>
      </c>
      <c r="O32" s="70">
        <f>IF($A32=O$21,0,SUMPRODUCT(('Match Log'!$D$4:$D$810=$A32)*(COUNTIFS('Match Log'!$A$4:$A$810,'Match Log'!$A$4:$A$810,'Match Log'!$D$4:$D$810,O$21)&gt;0)))</f>
        <v>0</v>
      </c>
    </row>
    <row r="33" spans="1:15" ht="15" customHeight="1" x14ac:dyDescent="0.2">
      <c r="A33" s="45" t="s">
        <v>171</v>
      </c>
      <c r="B33" s="70">
        <f>IF($A33=B$21,0,SUMPRODUCT(('Match Log'!$D$4:$D$810=$A33)*(COUNTIFS('Match Log'!$A$4:$A$810,'Match Log'!$A$4:$A$810,'Match Log'!$D$4:$D$810,B$21)&gt;0)))</f>
        <v>1</v>
      </c>
      <c r="C33" s="70">
        <f>IF($A33=C$21,0,SUMPRODUCT(('Match Log'!$D$4:$D$810=$A33)*(COUNTIFS('Match Log'!$A$4:$A$810,'Match Log'!$A$4:$A$810,'Match Log'!$D$4:$D$810,C$21)&gt;0)))</f>
        <v>1</v>
      </c>
      <c r="D33" s="70">
        <f>IF($A33=D$21,0,SUMPRODUCT(('Match Log'!$D$4:$D$810=$A33)*(COUNTIFS('Match Log'!$A$4:$A$810,'Match Log'!$A$4:$A$810,'Match Log'!$D$4:$D$810,D$21)&gt;0)))</f>
        <v>0</v>
      </c>
      <c r="E33" s="70">
        <f>IF($A33=E$21,0,SUMPRODUCT(('Match Log'!$D$4:$D$810=$A33)*(COUNTIFS('Match Log'!$A$4:$A$810,'Match Log'!$A$4:$A$810,'Match Log'!$D$4:$D$810,E$21)&gt;0)))</f>
        <v>5</v>
      </c>
      <c r="F33" s="70">
        <f>IF($A33=F$21,0,SUMPRODUCT(('Match Log'!$D$4:$D$810=$A33)*(COUNTIFS('Match Log'!$A$4:$A$810,'Match Log'!$A$4:$A$810,'Match Log'!$D$4:$D$810,F$21)&gt;0)))</f>
        <v>1</v>
      </c>
      <c r="G33" s="70">
        <f>IF($A33=G$21,0,SUMPRODUCT(('Match Log'!$D$4:$D$810=$A33)*(COUNTIFS('Match Log'!$A$4:$A$810,'Match Log'!$A$4:$A$810,'Match Log'!$D$4:$D$810,G$21)&gt;0)))</f>
        <v>1</v>
      </c>
      <c r="H33" s="70">
        <f>IF($A33=H$21,0,SUMPRODUCT(('Match Log'!$D$4:$D$810=$A33)*(COUNTIFS('Match Log'!$A$4:$A$810,'Match Log'!$A$4:$A$810,'Match Log'!$D$4:$D$810,H$21)&gt;0)))</f>
        <v>1</v>
      </c>
      <c r="I33" s="70">
        <f>IF($A33=I$21,0,SUMPRODUCT(('Match Log'!$D$4:$D$810=$A33)*(COUNTIFS('Match Log'!$A$4:$A$810,'Match Log'!$A$4:$A$810,'Match Log'!$D$4:$D$810,I$21)&gt;0)))</f>
        <v>2</v>
      </c>
      <c r="J33" s="70">
        <f>IF($A33=J$21,0,SUMPRODUCT(('Match Log'!$D$4:$D$810=$A33)*(COUNTIFS('Match Log'!$A$4:$A$810,'Match Log'!$A$4:$A$810,'Match Log'!$D$4:$D$810,J$21)&gt;0)))</f>
        <v>2</v>
      </c>
      <c r="K33" s="70">
        <f>IF($A33=K$21,0,SUMPRODUCT(('Match Log'!$D$4:$D$810=$A33)*(COUNTIFS('Match Log'!$A$4:$A$810,'Match Log'!$A$4:$A$810,'Match Log'!$D$4:$D$810,K$21)&gt;0)))</f>
        <v>0</v>
      </c>
      <c r="L33" s="70">
        <f>IF($A33=L$21,0,SUMPRODUCT(('Match Log'!$D$4:$D$810=$A33)*(COUNTIFS('Match Log'!$A$4:$A$810,'Match Log'!$A$4:$A$810,'Match Log'!$D$4:$D$810,L$21)&gt;0)))</f>
        <v>1</v>
      </c>
      <c r="M33" s="70">
        <f>IF($A33=M$21,0,SUMPRODUCT(('Match Log'!$D$4:$D$810=$A33)*(COUNTIFS('Match Log'!$A$4:$A$810,'Match Log'!$A$4:$A$810,'Match Log'!$D$4:$D$810,M$21)&gt;0)))</f>
        <v>0</v>
      </c>
      <c r="N33" s="70">
        <f>IF($A33=N$21,0,SUMPRODUCT(('Match Log'!$D$4:$D$810=$A33)*(COUNTIFS('Match Log'!$A$4:$A$810,'Match Log'!$A$4:$A$810,'Match Log'!$D$4:$D$810,N$21)&gt;0)))</f>
        <v>0</v>
      </c>
      <c r="O33" s="70">
        <f>IF($A33=O$21,0,SUMPRODUCT(('Match Log'!$D$4:$D$810=$A33)*(COUNTIFS('Match Log'!$A$4:$A$810,'Match Log'!$A$4:$A$810,'Match Log'!$D$4:$D$810,O$21)&gt;0)))</f>
        <v>0</v>
      </c>
    </row>
    <row r="34" spans="1:15" ht="15" customHeight="1" x14ac:dyDescent="0.2">
      <c r="A34" s="45" t="s">
        <v>172</v>
      </c>
      <c r="B34" s="70">
        <f>IF($A34=B$21,0,SUMPRODUCT(('Match Log'!$D$4:$D$810=$A34)*(COUNTIFS('Match Log'!$A$4:$A$810,'Match Log'!$A$4:$A$810,'Match Log'!$D$4:$D$810,B$21)&gt;0)))</f>
        <v>0</v>
      </c>
      <c r="C34" s="70">
        <f>IF($A34=C$21,0,SUMPRODUCT(('Match Log'!$D$4:$D$810=$A34)*(COUNTIFS('Match Log'!$A$4:$A$810,'Match Log'!$A$4:$A$810,'Match Log'!$D$4:$D$810,C$21)&gt;0)))</f>
        <v>4</v>
      </c>
      <c r="D34" s="70">
        <f>IF($A34=D$21,0,SUMPRODUCT(('Match Log'!$D$4:$D$810=$A34)*(COUNTIFS('Match Log'!$A$4:$A$810,'Match Log'!$A$4:$A$810,'Match Log'!$D$4:$D$810,D$21)&gt;0)))</f>
        <v>0</v>
      </c>
      <c r="E34" s="70">
        <f>IF($A34=E$21,0,SUMPRODUCT(('Match Log'!$D$4:$D$810=$A34)*(COUNTIFS('Match Log'!$A$4:$A$810,'Match Log'!$A$4:$A$810,'Match Log'!$D$4:$D$810,E$21)&gt;0)))</f>
        <v>0</v>
      </c>
      <c r="F34" s="70">
        <f>IF($A34=F$21,0,SUMPRODUCT(('Match Log'!$D$4:$D$810=$A34)*(COUNTIFS('Match Log'!$A$4:$A$810,'Match Log'!$A$4:$A$810,'Match Log'!$D$4:$D$810,F$21)&gt;0)))</f>
        <v>1</v>
      </c>
      <c r="G34" s="70">
        <f>IF($A34=G$21,0,SUMPRODUCT(('Match Log'!$D$4:$D$810=$A34)*(COUNTIFS('Match Log'!$A$4:$A$810,'Match Log'!$A$4:$A$810,'Match Log'!$D$4:$D$810,G$21)&gt;0)))</f>
        <v>1</v>
      </c>
      <c r="H34" s="70">
        <f>IF($A34=H$21,0,SUMPRODUCT(('Match Log'!$D$4:$D$810=$A34)*(COUNTIFS('Match Log'!$A$4:$A$810,'Match Log'!$A$4:$A$810,'Match Log'!$D$4:$D$810,H$21)&gt;0)))</f>
        <v>2</v>
      </c>
      <c r="I34" s="70">
        <f>IF($A34=I$21,0,SUMPRODUCT(('Match Log'!$D$4:$D$810=$A34)*(COUNTIFS('Match Log'!$A$4:$A$810,'Match Log'!$A$4:$A$810,'Match Log'!$D$4:$D$810,I$21)&gt;0)))</f>
        <v>1</v>
      </c>
      <c r="J34" s="70">
        <f>IF($A34=J$21,0,SUMPRODUCT(('Match Log'!$D$4:$D$810=$A34)*(COUNTIFS('Match Log'!$A$4:$A$810,'Match Log'!$A$4:$A$810,'Match Log'!$D$4:$D$810,J$21)&gt;0)))</f>
        <v>1</v>
      </c>
      <c r="K34" s="70">
        <f>IF($A34=K$21,0,SUMPRODUCT(('Match Log'!$D$4:$D$810=$A34)*(COUNTIFS('Match Log'!$A$4:$A$810,'Match Log'!$A$4:$A$810,'Match Log'!$D$4:$D$810,K$21)&gt;0)))</f>
        <v>0</v>
      </c>
      <c r="L34" s="70">
        <f>IF($A34=L$21,0,SUMPRODUCT(('Match Log'!$D$4:$D$810=$A34)*(COUNTIFS('Match Log'!$A$4:$A$810,'Match Log'!$A$4:$A$810,'Match Log'!$D$4:$D$810,L$21)&gt;0)))</f>
        <v>2</v>
      </c>
      <c r="M34" s="70">
        <f>IF($A34=M$21,0,SUMPRODUCT(('Match Log'!$D$4:$D$810=$A34)*(COUNTIFS('Match Log'!$A$4:$A$810,'Match Log'!$A$4:$A$810,'Match Log'!$D$4:$D$810,M$21)&gt;0)))</f>
        <v>0</v>
      </c>
      <c r="N34" s="70">
        <f>IF($A34=N$21,0,SUMPRODUCT(('Match Log'!$D$4:$D$810=$A34)*(COUNTIFS('Match Log'!$A$4:$A$810,'Match Log'!$A$4:$A$810,'Match Log'!$D$4:$D$810,N$21)&gt;0)))</f>
        <v>0</v>
      </c>
      <c r="O34" s="70">
        <f>IF($A34=O$21,0,SUMPRODUCT(('Match Log'!$D$4:$D$810=$A34)*(COUNTIFS('Match Log'!$A$4:$A$810,'Match Log'!$A$4:$A$810,'Match Log'!$D$4:$D$810,O$21)&gt;0)))</f>
        <v>0</v>
      </c>
    </row>
    <row r="35" spans="1:15" ht="15" customHeight="1" x14ac:dyDescent="0.2">
      <c r="A35" s="45" t="s">
        <v>174</v>
      </c>
      <c r="B35" s="70">
        <f>IF($A35=B$21,0,SUMPRODUCT(('Match Log'!$D$4:$D$810=$A35)*(COUNTIFS('Match Log'!$A$4:$A$810,'Match Log'!$A$4:$A$810,'Match Log'!$D$4:$D$810,B$21)&gt;0)))</f>
        <v>0</v>
      </c>
      <c r="C35" s="70">
        <f>IF($A35=C$21,0,SUMPRODUCT(('Match Log'!$D$4:$D$810=$A35)*(COUNTIFS('Match Log'!$A$4:$A$810,'Match Log'!$A$4:$A$810,'Match Log'!$D$4:$D$810,C$21)&gt;0)))</f>
        <v>0</v>
      </c>
      <c r="D35" s="70">
        <f>IF($A35=D$21,0,SUMPRODUCT(('Match Log'!$D$4:$D$810=$A35)*(COUNTIFS('Match Log'!$A$4:$A$810,'Match Log'!$A$4:$A$810,'Match Log'!$D$4:$D$810,D$21)&gt;0)))</f>
        <v>0</v>
      </c>
      <c r="E35" s="70">
        <f>IF($A35=E$21,0,SUMPRODUCT(('Match Log'!$D$4:$D$810=$A35)*(COUNTIFS('Match Log'!$A$4:$A$810,'Match Log'!$A$4:$A$810,'Match Log'!$D$4:$D$810,E$21)&gt;0)))</f>
        <v>0</v>
      </c>
      <c r="F35" s="70">
        <f>IF($A35=F$21,0,SUMPRODUCT(('Match Log'!$D$4:$D$810=$A35)*(COUNTIFS('Match Log'!$A$4:$A$810,'Match Log'!$A$4:$A$810,'Match Log'!$D$4:$D$810,F$21)&gt;0)))</f>
        <v>0</v>
      </c>
      <c r="G35" s="70">
        <f>IF($A35=G$21,0,SUMPRODUCT(('Match Log'!$D$4:$D$810=$A35)*(COUNTIFS('Match Log'!$A$4:$A$810,'Match Log'!$A$4:$A$810,'Match Log'!$D$4:$D$810,G$21)&gt;0)))</f>
        <v>0</v>
      </c>
      <c r="H35" s="70">
        <f>IF($A35=H$21,0,SUMPRODUCT(('Match Log'!$D$4:$D$810=$A35)*(COUNTIFS('Match Log'!$A$4:$A$810,'Match Log'!$A$4:$A$810,'Match Log'!$D$4:$D$810,H$21)&gt;0)))</f>
        <v>0</v>
      </c>
      <c r="I35" s="70">
        <f>IF($A35=I$21,0,SUMPRODUCT(('Match Log'!$D$4:$D$810=$A35)*(COUNTIFS('Match Log'!$A$4:$A$810,'Match Log'!$A$4:$A$810,'Match Log'!$D$4:$D$810,I$21)&gt;0)))</f>
        <v>0</v>
      </c>
      <c r="J35" s="70">
        <f>IF($A35=J$21,0,SUMPRODUCT(('Match Log'!$D$4:$D$810=$A35)*(COUNTIFS('Match Log'!$A$4:$A$810,'Match Log'!$A$4:$A$810,'Match Log'!$D$4:$D$810,J$21)&gt;0)))</f>
        <v>0</v>
      </c>
      <c r="K35" s="70">
        <f>IF($A35=K$21,0,SUMPRODUCT(('Match Log'!$D$4:$D$810=$A35)*(COUNTIFS('Match Log'!$A$4:$A$810,'Match Log'!$A$4:$A$810,'Match Log'!$D$4:$D$810,K$21)&gt;0)))</f>
        <v>0</v>
      </c>
      <c r="L35" s="70">
        <f>IF($A35=L$21,0,SUMPRODUCT(('Match Log'!$D$4:$D$810=$A35)*(COUNTIFS('Match Log'!$A$4:$A$810,'Match Log'!$A$4:$A$810,'Match Log'!$D$4:$D$810,L$21)&gt;0)))</f>
        <v>0</v>
      </c>
      <c r="M35" s="70">
        <f>IF($A35=M$21,0,SUMPRODUCT(('Match Log'!$D$4:$D$810=$A35)*(COUNTIFS('Match Log'!$A$4:$A$810,'Match Log'!$A$4:$A$810,'Match Log'!$D$4:$D$810,M$21)&gt;0)))</f>
        <v>0</v>
      </c>
      <c r="N35" s="70">
        <f>IF($A35=N$21,0,SUMPRODUCT(('Match Log'!$D$4:$D$810=$A35)*(COUNTIFS('Match Log'!$A$4:$A$810,'Match Log'!$A$4:$A$810,'Match Log'!$D$4:$D$810,N$21)&gt;0)))</f>
        <v>0</v>
      </c>
      <c r="O35" s="70">
        <f>IF($A35=O$21,0,SUMPRODUCT(('Match Log'!$D$4:$D$810=$A35)*(COUNTIFS('Match Log'!$A$4:$A$810,'Match Log'!$A$4:$A$810,'Match Log'!$D$4:$D$810,O$21)&gt;0)))</f>
        <v>0</v>
      </c>
    </row>
  </sheetData>
  <mergeCells count="2">
    <mergeCell ref="A2:O2"/>
    <mergeCell ref="A3:O3"/>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8FCACB-364D-D341-AC0B-7DE76F8AC506}">
  <sheetPr>
    <tabColor rgb="FFB0892F"/>
  </sheetPr>
  <dimension ref="A1:S110"/>
  <sheetViews>
    <sheetView showGridLines="0" zoomScale="126" zoomScaleNormal="126" workbookViewId="0">
      <pane ySplit="7" topLeftCell="A90" activePane="bottomLeft" state="frozen"/>
      <selection pane="bottomLeft" activeCell="V20" sqref="V20"/>
    </sheetView>
  </sheetViews>
  <sheetFormatPr baseColWidth="10" defaultColWidth="8.83203125" defaultRowHeight="15" x14ac:dyDescent="0.2"/>
  <cols>
    <col min="1" max="1" width="21" customWidth="1"/>
    <col min="19" max="19" width="5.1640625" customWidth="1"/>
  </cols>
  <sheetData>
    <row r="1" spans="1:18" ht="21" customHeight="1" x14ac:dyDescent="0.25">
      <c r="A1" s="72" t="s">
        <v>220</v>
      </c>
    </row>
    <row r="2" spans="1:18" ht="15" customHeight="1" x14ac:dyDescent="0.2">
      <c r="A2" s="158" t="s">
        <v>221</v>
      </c>
      <c r="B2" s="158"/>
      <c r="C2" s="158"/>
      <c r="D2" s="158"/>
      <c r="E2" s="158"/>
      <c r="F2" s="158"/>
      <c r="G2" s="158"/>
      <c r="H2" s="158"/>
      <c r="I2" s="158"/>
      <c r="J2" s="158"/>
      <c r="K2" s="158"/>
      <c r="L2" s="158"/>
      <c r="M2" s="158"/>
      <c r="N2" s="158"/>
      <c r="O2" s="158"/>
      <c r="P2" s="158"/>
      <c r="Q2" s="158"/>
    </row>
    <row r="3" spans="1:18" ht="18.75" customHeight="1" x14ac:dyDescent="0.2">
      <c r="A3" s="73" t="s">
        <v>222</v>
      </c>
      <c r="C3" s="1">
        <f>SUM($P$8:$P$27)</f>
        <v>138</v>
      </c>
    </row>
    <row r="4" spans="1:18" ht="18.75" customHeight="1" x14ac:dyDescent="0.2">
      <c r="A4" s="73" t="s">
        <v>223</v>
      </c>
      <c r="C4" s="159" t="str">
        <f>INDEX($A$74:$A$87,MATCH(MAX($S$74:$S$87),$S$74:$S$87,0))</f>
        <v>Dean B</v>
      </c>
      <c r="D4" s="159"/>
      <c r="E4" s="159"/>
      <c r="F4" s="159"/>
      <c r="G4" s="159"/>
    </row>
    <row r="6" spans="1:18" ht="15" customHeight="1" x14ac:dyDescent="0.2">
      <c r="A6" s="157" t="s">
        <v>224</v>
      </c>
      <c r="B6" s="157"/>
      <c r="C6" s="157"/>
      <c r="D6" s="157"/>
      <c r="E6" s="157"/>
      <c r="F6" s="157"/>
      <c r="G6" s="157"/>
      <c r="H6" s="157"/>
      <c r="I6" s="157"/>
      <c r="J6" s="157"/>
      <c r="K6" s="157"/>
      <c r="L6" s="157"/>
      <c r="M6" s="157"/>
      <c r="N6" s="157"/>
      <c r="O6" s="157"/>
      <c r="P6" s="157"/>
      <c r="Q6" s="157"/>
    </row>
    <row r="7" spans="1:18" ht="91.5" customHeight="1" x14ac:dyDescent="0.2">
      <c r="A7" s="74" t="s">
        <v>123</v>
      </c>
      <c r="B7" s="75" t="s">
        <v>138</v>
      </c>
      <c r="C7" s="75" t="s">
        <v>135</v>
      </c>
      <c r="D7" s="75" t="s">
        <v>173</v>
      </c>
      <c r="E7" s="75" t="s">
        <v>140</v>
      </c>
      <c r="F7" s="75" t="s">
        <v>137</v>
      </c>
      <c r="G7" s="75" t="s">
        <v>134</v>
      </c>
      <c r="H7" s="75" t="s">
        <v>168</v>
      </c>
      <c r="I7" s="75" t="s">
        <v>170</v>
      </c>
      <c r="J7" s="75" t="s">
        <v>167</v>
      </c>
      <c r="K7" s="75" t="s">
        <v>175</v>
      </c>
      <c r="L7" s="75" t="s">
        <v>169</v>
      </c>
      <c r="M7" s="75" t="s">
        <v>171</v>
      </c>
      <c r="N7" s="75" t="s">
        <v>172</v>
      </c>
      <c r="O7" s="75" t="s">
        <v>174</v>
      </c>
      <c r="P7" s="74" t="s">
        <v>127</v>
      </c>
      <c r="Q7" s="74" t="s">
        <v>131</v>
      </c>
      <c r="R7" s="74" t="s">
        <v>225</v>
      </c>
    </row>
    <row r="8" spans="1:18" ht="15" customHeight="1" x14ac:dyDescent="0.2">
      <c r="A8" s="76" t="s">
        <v>181</v>
      </c>
      <c r="B8" s="77">
        <f>COUNTIFS('Match Log'!$D$4:$D$810,B$7,'Match Log'!$C$4:$C$810,$A8)</f>
        <v>0</v>
      </c>
      <c r="C8" s="77">
        <f>COUNTIFS('Match Log'!$D$4:$D$810,C$7,'Match Log'!$C$4:$C$810,$A8)</f>
        <v>0</v>
      </c>
      <c r="D8" s="77">
        <f>COUNTIFS('Match Log'!$D$4:$D$810,D$7,'Match Log'!$C$4:$C$810,$A8)</f>
        <v>0</v>
      </c>
      <c r="E8" s="77">
        <f>COUNTIFS('Match Log'!$D$4:$D$810,E$7,'Match Log'!$C$4:$C$810,$A8)</f>
        <v>0</v>
      </c>
      <c r="F8" s="77">
        <f>COUNTIFS('Match Log'!$D$4:$D$810,F$7,'Match Log'!$C$4:$C$810,$A8)</f>
        <v>0</v>
      </c>
      <c r="G8" s="77">
        <f>COUNTIFS('Match Log'!$D$4:$D$810,G$7,'Match Log'!$C$4:$C$810,$A8)</f>
        <v>2</v>
      </c>
      <c r="H8" s="77">
        <f>COUNTIFS('Match Log'!$D$4:$D$810,H$7,'Match Log'!$C$4:$C$810,$A8)</f>
        <v>0</v>
      </c>
      <c r="I8" s="77">
        <f>COUNTIFS('Match Log'!$D$4:$D$810,I$7,'Match Log'!$C$4:$C$810,$A8)</f>
        <v>2</v>
      </c>
      <c r="J8" s="77">
        <f>COUNTIFS('Match Log'!$D$4:$D$810,J$7,'Match Log'!$C$4:$C$810,$A8)</f>
        <v>0</v>
      </c>
      <c r="K8" s="77">
        <f>COUNTIFS('Match Log'!$D$4:$D$810,K$7,'Match Log'!$C$4:$C$810,$A8)</f>
        <v>0</v>
      </c>
      <c r="L8" s="77">
        <f>COUNTIFS('Match Log'!$D$4:$D$810,L$7,'Match Log'!$C$4:$C$810,$A8)</f>
        <v>0</v>
      </c>
      <c r="M8" s="77">
        <f>COUNTIFS('Match Log'!$D$4:$D$810,M$7,'Match Log'!$C$4:$C$810,$A8)</f>
        <v>0</v>
      </c>
      <c r="N8" s="77">
        <f>COUNTIFS('Match Log'!$D$4:$D$810,N$7,'Match Log'!$C$4:$C$810,$A8)</f>
        <v>0</v>
      </c>
      <c r="O8" s="77">
        <f>COUNTIFS('Match Log'!$D$4:$D$810,O$7,'Match Log'!$C$4:$C$810,$A8)</f>
        <v>0</v>
      </c>
      <c r="P8" s="78">
        <f>SUMPRODUCT(('Match Log'!$C$4:$C$810=$A8)*('Match Log'!$D$4:$D$810='Match Log'!$G$4:$G$810)*('Match Log'!$D$4:$D$810&lt;&gt;""))</f>
        <v>2</v>
      </c>
      <c r="Q8" s="79" t="str">
        <f t="shared" ref="Q8:Q26" si="0">IF($P8=0,"—",INDEX($B$29:$O$29,MATCH(MAX($B30:$O30),$B30:$O30,0)))</f>
        <v>Shawn</v>
      </c>
      <c r="R8" s="78">
        <f t="shared" ref="R8:R26" si="1">IF($P8=0,"—",MAX($B30:$O30))</f>
        <v>2</v>
      </c>
    </row>
    <row r="9" spans="1:18" ht="15" customHeight="1" x14ac:dyDescent="0.2">
      <c r="A9" s="76" t="s">
        <v>182</v>
      </c>
      <c r="B9" s="77">
        <f>COUNTIFS('Match Log'!$D$4:$D$810,B$7,'Match Log'!$C$4:$C$810,$A9)</f>
        <v>0</v>
      </c>
      <c r="C9" s="77">
        <f>COUNTIFS('Match Log'!$D$4:$D$810,C$7,'Match Log'!$C$4:$C$810,$A9)</f>
        <v>0</v>
      </c>
      <c r="D9" s="77">
        <f>COUNTIFS('Match Log'!$D$4:$D$810,D$7,'Match Log'!$C$4:$C$810,$A9)</f>
        <v>0</v>
      </c>
      <c r="E9" s="77">
        <f>COUNTIFS('Match Log'!$D$4:$D$810,E$7,'Match Log'!$C$4:$C$810,$A9)</f>
        <v>0</v>
      </c>
      <c r="F9" s="77">
        <f>COUNTIFS('Match Log'!$D$4:$D$810,F$7,'Match Log'!$C$4:$C$810,$A9)</f>
        <v>0</v>
      </c>
      <c r="G9" s="77">
        <f>COUNTIFS('Match Log'!$D$4:$D$810,G$7,'Match Log'!$C$4:$C$810,$A9)</f>
        <v>0</v>
      </c>
      <c r="H9" s="77">
        <f>COUNTIFS('Match Log'!$D$4:$D$810,H$7,'Match Log'!$C$4:$C$810,$A9)</f>
        <v>0</v>
      </c>
      <c r="I9" s="77">
        <f>COUNTIFS('Match Log'!$D$4:$D$810,I$7,'Match Log'!$C$4:$C$810,$A9)</f>
        <v>0</v>
      </c>
      <c r="J9" s="77">
        <f>COUNTIFS('Match Log'!$D$4:$D$810,J$7,'Match Log'!$C$4:$C$810,$A9)</f>
        <v>0</v>
      </c>
      <c r="K9" s="77">
        <f>COUNTIFS('Match Log'!$D$4:$D$810,K$7,'Match Log'!$C$4:$C$810,$A9)</f>
        <v>0</v>
      </c>
      <c r="L9" s="77">
        <f>COUNTIFS('Match Log'!$D$4:$D$810,L$7,'Match Log'!$C$4:$C$810,$A9)</f>
        <v>0</v>
      </c>
      <c r="M9" s="77">
        <f>COUNTIFS('Match Log'!$D$4:$D$810,M$7,'Match Log'!$C$4:$C$810,$A9)</f>
        <v>0</v>
      </c>
      <c r="N9" s="77">
        <f>COUNTIFS('Match Log'!$D$4:$D$810,N$7,'Match Log'!$C$4:$C$810,$A9)</f>
        <v>0</v>
      </c>
      <c r="O9" s="77">
        <f>COUNTIFS('Match Log'!$D$4:$D$810,O$7,'Match Log'!$C$4:$C$810,$A9)</f>
        <v>0</v>
      </c>
      <c r="P9" s="78">
        <f>SUMPRODUCT(('Match Log'!$C$4:$C$810=$A9)*('Match Log'!$D$4:$D$810='Match Log'!$G$4:$G$810)*('Match Log'!$D$4:$D$810&lt;&gt;""))</f>
        <v>0</v>
      </c>
      <c r="Q9" s="79" t="str">
        <f t="shared" si="0"/>
        <v>—</v>
      </c>
      <c r="R9" s="78" t="str">
        <f t="shared" si="1"/>
        <v>—</v>
      </c>
    </row>
    <row r="10" spans="1:18" ht="15" customHeight="1" x14ac:dyDescent="0.2">
      <c r="A10" s="76" t="s">
        <v>183</v>
      </c>
      <c r="B10" s="77">
        <f>COUNTIFS('Match Log'!$D$4:$D$810,B$7,'Match Log'!$C$4:$C$810,$A10)</f>
        <v>12</v>
      </c>
      <c r="C10" s="77">
        <f>COUNTIFS('Match Log'!$D$4:$D$810,C$7,'Match Log'!$C$4:$C$810,$A10)</f>
        <v>0</v>
      </c>
      <c r="D10" s="77">
        <f>COUNTIFS('Match Log'!$D$4:$D$810,D$7,'Match Log'!$C$4:$C$810,$A10)</f>
        <v>1</v>
      </c>
      <c r="E10" s="77">
        <f>COUNTIFS('Match Log'!$D$4:$D$810,E$7,'Match Log'!$C$4:$C$810,$A10)</f>
        <v>0</v>
      </c>
      <c r="F10" s="77">
        <f>COUNTIFS('Match Log'!$D$4:$D$810,F$7,'Match Log'!$C$4:$C$810,$A10)</f>
        <v>1</v>
      </c>
      <c r="G10" s="77">
        <f>COUNTIFS('Match Log'!$D$4:$D$810,G$7,'Match Log'!$C$4:$C$810,$A10)</f>
        <v>20</v>
      </c>
      <c r="H10" s="77">
        <f>COUNTIFS('Match Log'!$D$4:$D$810,H$7,'Match Log'!$C$4:$C$810,$A10)</f>
        <v>0</v>
      </c>
      <c r="I10" s="77">
        <f>COUNTIFS('Match Log'!$D$4:$D$810,I$7,'Match Log'!$C$4:$C$810,$A10)</f>
        <v>9</v>
      </c>
      <c r="J10" s="77">
        <f>COUNTIFS('Match Log'!$D$4:$D$810,J$7,'Match Log'!$C$4:$C$810,$A10)</f>
        <v>0</v>
      </c>
      <c r="K10" s="77">
        <f>COUNTIFS('Match Log'!$D$4:$D$810,K$7,'Match Log'!$C$4:$C$810,$A10)</f>
        <v>0</v>
      </c>
      <c r="L10" s="77">
        <f>COUNTIFS('Match Log'!$D$4:$D$810,L$7,'Match Log'!$C$4:$C$810,$A10)</f>
        <v>3</v>
      </c>
      <c r="M10" s="77">
        <f>COUNTIFS('Match Log'!$D$4:$D$810,M$7,'Match Log'!$C$4:$C$810,$A10)</f>
        <v>0</v>
      </c>
      <c r="N10" s="77">
        <f>COUNTIFS('Match Log'!$D$4:$D$810,N$7,'Match Log'!$C$4:$C$810,$A10)</f>
        <v>0</v>
      </c>
      <c r="O10" s="77">
        <f>COUNTIFS('Match Log'!$D$4:$D$810,O$7,'Match Log'!$C$4:$C$810,$A10)</f>
        <v>0</v>
      </c>
      <c r="P10" s="78">
        <f>SUMPRODUCT(('Match Log'!$C$4:$C$810=$A10)*('Match Log'!$D$4:$D$810='Match Log'!$G$4:$G$810)*('Match Log'!$D$4:$D$810&lt;&gt;""))</f>
        <v>23</v>
      </c>
      <c r="Q10" s="79" t="str">
        <f t="shared" si="0"/>
        <v>Aaron</v>
      </c>
      <c r="R10" s="78">
        <f t="shared" si="1"/>
        <v>9</v>
      </c>
    </row>
    <row r="11" spans="1:18" ht="15" customHeight="1" x14ac:dyDescent="0.2">
      <c r="A11" s="76" t="s">
        <v>184</v>
      </c>
      <c r="B11" s="77">
        <f>COUNTIFS('Match Log'!$D$4:$D$810,B$7,'Match Log'!$C$4:$C$810,$A11)</f>
        <v>0</v>
      </c>
      <c r="C11" s="77">
        <f>COUNTIFS('Match Log'!$D$4:$D$810,C$7,'Match Log'!$C$4:$C$810,$A11)</f>
        <v>0</v>
      </c>
      <c r="D11" s="77">
        <f>COUNTIFS('Match Log'!$D$4:$D$810,D$7,'Match Log'!$C$4:$C$810,$A11)</f>
        <v>0</v>
      </c>
      <c r="E11" s="77">
        <f>COUNTIFS('Match Log'!$D$4:$D$810,E$7,'Match Log'!$C$4:$C$810,$A11)</f>
        <v>0</v>
      </c>
      <c r="F11" s="77">
        <f>COUNTIFS('Match Log'!$D$4:$D$810,F$7,'Match Log'!$C$4:$C$810,$A11)</f>
        <v>0</v>
      </c>
      <c r="G11" s="77">
        <f>COUNTIFS('Match Log'!$D$4:$D$810,G$7,'Match Log'!$C$4:$C$810,$A11)</f>
        <v>0</v>
      </c>
      <c r="H11" s="77">
        <f>COUNTIFS('Match Log'!$D$4:$D$810,H$7,'Match Log'!$C$4:$C$810,$A11)</f>
        <v>0</v>
      </c>
      <c r="I11" s="77">
        <f>COUNTIFS('Match Log'!$D$4:$D$810,I$7,'Match Log'!$C$4:$C$810,$A11)</f>
        <v>0</v>
      </c>
      <c r="J11" s="77">
        <f>COUNTIFS('Match Log'!$D$4:$D$810,J$7,'Match Log'!$C$4:$C$810,$A11)</f>
        <v>0</v>
      </c>
      <c r="K11" s="77">
        <f>COUNTIFS('Match Log'!$D$4:$D$810,K$7,'Match Log'!$C$4:$C$810,$A11)</f>
        <v>0</v>
      </c>
      <c r="L11" s="77">
        <f>COUNTIFS('Match Log'!$D$4:$D$810,L$7,'Match Log'!$C$4:$C$810,$A11)</f>
        <v>0</v>
      </c>
      <c r="M11" s="77">
        <f>COUNTIFS('Match Log'!$D$4:$D$810,M$7,'Match Log'!$C$4:$C$810,$A11)</f>
        <v>0</v>
      </c>
      <c r="N11" s="77">
        <f>COUNTIFS('Match Log'!$D$4:$D$810,N$7,'Match Log'!$C$4:$C$810,$A11)</f>
        <v>0</v>
      </c>
      <c r="O11" s="77">
        <f>COUNTIFS('Match Log'!$D$4:$D$810,O$7,'Match Log'!$C$4:$C$810,$A11)</f>
        <v>0</v>
      </c>
      <c r="P11" s="78">
        <f>SUMPRODUCT(('Match Log'!$C$4:$C$810=$A11)*('Match Log'!$D$4:$D$810='Match Log'!$G$4:$G$810)*('Match Log'!$D$4:$D$810&lt;&gt;""))</f>
        <v>0</v>
      </c>
      <c r="Q11" s="79" t="str">
        <f t="shared" si="0"/>
        <v>—</v>
      </c>
      <c r="R11" s="78" t="str">
        <f t="shared" si="1"/>
        <v>—</v>
      </c>
    </row>
    <row r="12" spans="1:18" ht="15" customHeight="1" x14ac:dyDescent="0.2">
      <c r="A12" s="76" t="s">
        <v>185</v>
      </c>
      <c r="B12" s="77">
        <f>COUNTIFS('Match Log'!$D$4:$D$810,B$7,'Match Log'!$C$4:$C$810,$A12)</f>
        <v>0</v>
      </c>
      <c r="C12" s="77">
        <f>COUNTIFS('Match Log'!$D$4:$D$810,C$7,'Match Log'!$C$4:$C$810,$A12)</f>
        <v>1</v>
      </c>
      <c r="D12" s="77">
        <f>COUNTIFS('Match Log'!$D$4:$D$810,D$7,'Match Log'!$C$4:$C$810,$A12)</f>
        <v>0</v>
      </c>
      <c r="E12" s="77">
        <f>COUNTIFS('Match Log'!$D$4:$D$810,E$7,'Match Log'!$C$4:$C$810,$A12)</f>
        <v>0</v>
      </c>
      <c r="F12" s="77">
        <f>COUNTIFS('Match Log'!$D$4:$D$810,F$7,'Match Log'!$C$4:$C$810,$A12)</f>
        <v>0</v>
      </c>
      <c r="G12" s="77">
        <f>COUNTIFS('Match Log'!$D$4:$D$810,G$7,'Match Log'!$C$4:$C$810,$A12)</f>
        <v>0</v>
      </c>
      <c r="H12" s="77">
        <f>COUNTIFS('Match Log'!$D$4:$D$810,H$7,'Match Log'!$C$4:$C$810,$A12)</f>
        <v>2</v>
      </c>
      <c r="I12" s="77">
        <f>COUNTIFS('Match Log'!$D$4:$D$810,I$7,'Match Log'!$C$4:$C$810,$A12)</f>
        <v>4</v>
      </c>
      <c r="J12" s="77">
        <f>COUNTIFS('Match Log'!$D$4:$D$810,J$7,'Match Log'!$C$4:$C$810,$A12)</f>
        <v>8</v>
      </c>
      <c r="K12" s="77">
        <f>COUNTIFS('Match Log'!$D$4:$D$810,K$7,'Match Log'!$C$4:$C$810,$A12)</f>
        <v>1</v>
      </c>
      <c r="L12" s="77">
        <f>COUNTIFS('Match Log'!$D$4:$D$810,L$7,'Match Log'!$C$4:$C$810,$A12)</f>
        <v>4</v>
      </c>
      <c r="M12" s="77">
        <f>COUNTIFS('Match Log'!$D$4:$D$810,M$7,'Match Log'!$C$4:$C$810,$A12)</f>
        <v>0</v>
      </c>
      <c r="N12" s="77">
        <f>COUNTIFS('Match Log'!$D$4:$D$810,N$7,'Match Log'!$C$4:$C$810,$A12)</f>
        <v>0</v>
      </c>
      <c r="O12" s="77">
        <f>COUNTIFS('Match Log'!$D$4:$D$810,O$7,'Match Log'!$C$4:$C$810,$A12)</f>
        <v>0</v>
      </c>
      <c r="P12" s="78">
        <f>SUMPRODUCT(('Match Log'!$C$4:$C$810=$A12)*('Match Log'!$D$4:$D$810='Match Log'!$G$4:$G$810)*('Match Log'!$D$4:$D$810&lt;&gt;""))</f>
        <v>10</v>
      </c>
      <c r="Q12" s="79" t="str">
        <f t="shared" si="0"/>
        <v>Dean B</v>
      </c>
      <c r="R12" s="78">
        <f t="shared" si="1"/>
        <v>4</v>
      </c>
    </row>
    <row r="13" spans="1:18" ht="15" customHeight="1" x14ac:dyDescent="0.2">
      <c r="A13" s="76" t="s">
        <v>186</v>
      </c>
      <c r="B13" s="77">
        <f>COUNTIFS('Match Log'!$D$4:$D$810,B$7,'Match Log'!$C$4:$C$810,$A13)</f>
        <v>1</v>
      </c>
      <c r="C13" s="77">
        <f>COUNTIFS('Match Log'!$D$4:$D$810,C$7,'Match Log'!$C$4:$C$810,$A13)</f>
        <v>0</v>
      </c>
      <c r="D13" s="77">
        <f>COUNTIFS('Match Log'!$D$4:$D$810,D$7,'Match Log'!$C$4:$C$810,$A13)</f>
        <v>1</v>
      </c>
      <c r="E13" s="77">
        <f>COUNTIFS('Match Log'!$D$4:$D$810,E$7,'Match Log'!$C$4:$C$810,$A13)</f>
        <v>1</v>
      </c>
      <c r="F13" s="77">
        <f>COUNTIFS('Match Log'!$D$4:$D$810,F$7,'Match Log'!$C$4:$C$810,$A13)</f>
        <v>1</v>
      </c>
      <c r="G13" s="77">
        <f>COUNTIFS('Match Log'!$D$4:$D$810,G$7,'Match Log'!$C$4:$C$810,$A13)</f>
        <v>1</v>
      </c>
      <c r="H13" s="77">
        <f>COUNTIFS('Match Log'!$D$4:$D$810,H$7,'Match Log'!$C$4:$C$810,$A13)</f>
        <v>1</v>
      </c>
      <c r="I13" s="77">
        <f>COUNTIFS('Match Log'!$D$4:$D$810,I$7,'Match Log'!$C$4:$C$810,$A13)</f>
        <v>1</v>
      </c>
      <c r="J13" s="77">
        <f>COUNTIFS('Match Log'!$D$4:$D$810,J$7,'Match Log'!$C$4:$C$810,$A13)</f>
        <v>0</v>
      </c>
      <c r="K13" s="77">
        <f>COUNTIFS('Match Log'!$D$4:$D$810,K$7,'Match Log'!$C$4:$C$810,$A13)</f>
        <v>0</v>
      </c>
      <c r="L13" s="77">
        <f>COUNTIFS('Match Log'!$D$4:$D$810,L$7,'Match Log'!$C$4:$C$810,$A13)</f>
        <v>1</v>
      </c>
      <c r="M13" s="77">
        <f>COUNTIFS('Match Log'!$D$4:$D$810,M$7,'Match Log'!$C$4:$C$810,$A13)</f>
        <v>0</v>
      </c>
      <c r="N13" s="77">
        <f>COUNTIFS('Match Log'!$D$4:$D$810,N$7,'Match Log'!$C$4:$C$810,$A13)</f>
        <v>0</v>
      </c>
      <c r="O13" s="77">
        <f>COUNTIFS('Match Log'!$D$4:$D$810,O$7,'Match Log'!$C$4:$C$810,$A13)</f>
        <v>0</v>
      </c>
      <c r="P13" s="78">
        <f>SUMPRODUCT(('Match Log'!$C$4:$C$810=$A13)*('Match Log'!$D$4:$D$810='Match Log'!$G$4:$G$810)*('Match Log'!$D$4:$D$810&lt;&gt;""))</f>
        <v>1</v>
      </c>
      <c r="Q13" s="79" t="str">
        <f t="shared" si="0"/>
        <v>Aaron</v>
      </c>
      <c r="R13" s="78">
        <f t="shared" si="1"/>
        <v>1</v>
      </c>
    </row>
    <row r="14" spans="1:18" ht="15" customHeight="1" x14ac:dyDescent="0.2">
      <c r="A14" s="76" t="s">
        <v>188</v>
      </c>
      <c r="B14" s="77">
        <f>COUNTIFS('Match Log'!$D$4:$D$810,B$7,'Match Log'!$C$4:$C$810,$A14)</f>
        <v>0</v>
      </c>
      <c r="C14" s="77">
        <f>COUNTIFS('Match Log'!$D$4:$D$810,C$7,'Match Log'!$C$4:$C$810,$A14)</f>
        <v>0</v>
      </c>
      <c r="D14" s="77">
        <f>COUNTIFS('Match Log'!$D$4:$D$810,D$7,'Match Log'!$C$4:$C$810,$A14)</f>
        <v>0</v>
      </c>
      <c r="E14" s="77">
        <f>COUNTIFS('Match Log'!$D$4:$D$810,E$7,'Match Log'!$C$4:$C$810,$A14)</f>
        <v>0</v>
      </c>
      <c r="F14" s="77">
        <f>COUNTIFS('Match Log'!$D$4:$D$810,F$7,'Match Log'!$C$4:$C$810,$A14)</f>
        <v>0</v>
      </c>
      <c r="G14" s="77">
        <f>COUNTIFS('Match Log'!$D$4:$D$810,G$7,'Match Log'!$C$4:$C$810,$A14)</f>
        <v>0</v>
      </c>
      <c r="H14" s="77">
        <f>COUNTIFS('Match Log'!$D$4:$D$810,H$7,'Match Log'!$C$4:$C$810,$A14)</f>
        <v>0</v>
      </c>
      <c r="I14" s="77">
        <f>COUNTIFS('Match Log'!$D$4:$D$810,I$7,'Match Log'!$C$4:$C$810,$A14)</f>
        <v>0</v>
      </c>
      <c r="J14" s="77">
        <f>COUNTIFS('Match Log'!$D$4:$D$810,J$7,'Match Log'!$C$4:$C$810,$A14)</f>
        <v>0</v>
      </c>
      <c r="K14" s="77">
        <f>COUNTIFS('Match Log'!$D$4:$D$810,K$7,'Match Log'!$C$4:$C$810,$A14)</f>
        <v>0</v>
      </c>
      <c r="L14" s="77">
        <f>COUNTIFS('Match Log'!$D$4:$D$810,L$7,'Match Log'!$C$4:$C$810,$A14)</f>
        <v>0</v>
      </c>
      <c r="M14" s="77">
        <f>COUNTIFS('Match Log'!$D$4:$D$810,M$7,'Match Log'!$C$4:$C$810,$A14)</f>
        <v>0</v>
      </c>
      <c r="N14" s="77">
        <f>COUNTIFS('Match Log'!$D$4:$D$810,N$7,'Match Log'!$C$4:$C$810,$A14)</f>
        <v>0</v>
      </c>
      <c r="O14" s="77">
        <f>COUNTIFS('Match Log'!$D$4:$D$810,O$7,'Match Log'!$C$4:$C$810,$A14)</f>
        <v>0</v>
      </c>
      <c r="P14" s="78">
        <f>SUMPRODUCT(('Match Log'!$C$4:$C$810=$A14)*('Match Log'!$D$4:$D$810='Match Log'!$G$4:$G$810)*('Match Log'!$D$4:$D$810&lt;&gt;""))</f>
        <v>0</v>
      </c>
      <c r="Q14" s="79" t="str">
        <f t="shared" si="0"/>
        <v>—</v>
      </c>
      <c r="R14" s="78" t="str">
        <f t="shared" si="1"/>
        <v>—</v>
      </c>
    </row>
    <row r="15" spans="1:18" ht="15" customHeight="1" x14ac:dyDescent="0.2">
      <c r="A15" s="76" t="s">
        <v>190</v>
      </c>
      <c r="B15" s="77">
        <f>COUNTIFS('Match Log'!$D$4:$D$810,B$7,'Match Log'!$C$4:$C$810,$A15)</f>
        <v>0</v>
      </c>
      <c r="C15" s="77">
        <f>COUNTIFS('Match Log'!$D$4:$D$810,C$7,'Match Log'!$C$4:$C$810,$A15)</f>
        <v>0</v>
      </c>
      <c r="D15" s="77">
        <f>COUNTIFS('Match Log'!$D$4:$D$810,D$7,'Match Log'!$C$4:$C$810,$A15)</f>
        <v>0</v>
      </c>
      <c r="E15" s="77">
        <f>COUNTIFS('Match Log'!$D$4:$D$810,E$7,'Match Log'!$C$4:$C$810,$A15)</f>
        <v>0</v>
      </c>
      <c r="F15" s="77">
        <f>COUNTIFS('Match Log'!$D$4:$D$810,F$7,'Match Log'!$C$4:$C$810,$A15)</f>
        <v>0</v>
      </c>
      <c r="G15" s="77">
        <f>COUNTIFS('Match Log'!$D$4:$D$810,G$7,'Match Log'!$C$4:$C$810,$A15)</f>
        <v>0</v>
      </c>
      <c r="H15" s="77">
        <f>COUNTIFS('Match Log'!$D$4:$D$810,H$7,'Match Log'!$C$4:$C$810,$A15)</f>
        <v>0</v>
      </c>
      <c r="I15" s="77">
        <f>COUNTIFS('Match Log'!$D$4:$D$810,I$7,'Match Log'!$C$4:$C$810,$A15)</f>
        <v>0</v>
      </c>
      <c r="J15" s="77">
        <f>COUNTIFS('Match Log'!$D$4:$D$810,J$7,'Match Log'!$C$4:$C$810,$A15)</f>
        <v>0</v>
      </c>
      <c r="K15" s="77">
        <f>COUNTIFS('Match Log'!$D$4:$D$810,K$7,'Match Log'!$C$4:$C$810,$A15)</f>
        <v>0</v>
      </c>
      <c r="L15" s="77">
        <f>COUNTIFS('Match Log'!$D$4:$D$810,L$7,'Match Log'!$C$4:$C$810,$A15)</f>
        <v>0</v>
      </c>
      <c r="M15" s="77">
        <f>COUNTIFS('Match Log'!$D$4:$D$810,M$7,'Match Log'!$C$4:$C$810,$A15)</f>
        <v>0</v>
      </c>
      <c r="N15" s="77">
        <f>COUNTIFS('Match Log'!$D$4:$D$810,N$7,'Match Log'!$C$4:$C$810,$A15)</f>
        <v>0</v>
      </c>
      <c r="O15" s="77">
        <f>COUNTIFS('Match Log'!$D$4:$D$810,O$7,'Match Log'!$C$4:$C$810,$A15)</f>
        <v>0</v>
      </c>
      <c r="P15" s="78">
        <f>SUMPRODUCT(('Match Log'!$C$4:$C$810=$A15)*('Match Log'!$D$4:$D$810='Match Log'!$G$4:$G$810)*('Match Log'!$D$4:$D$810&lt;&gt;""))</f>
        <v>0</v>
      </c>
      <c r="Q15" s="79" t="str">
        <f t="shared" si="0"/>
        <v>—</v>
      </c>
      <c r="R15" s="78" t="str">
        <f t="shared" si="1"/>
        <v>—</v>
      </c>
    </row>
    <row r="16" spans="1:18" ht="15" customHeight="1" x14ac:dyDescent="0.2">
      <c r="A16" s="76" t="s">
        <v>192</v>
      </c>
      <c r="B16" s="77">
        <f>COUNTIFS('Match Log'!$D$4:$D$810,B$7,'Match Log'!$C$4:$C$810,$A16)</f>
        <v>0</v>
      </c>
      <c r="C16" s="77">
        <f>COUNTIFS('Match Log'!$D$4:$D$810,C$7,'Match Log'!$C$4:$C$810,$A16)</f>
        <v>0</v>
      </c>
      <c r="D16" s="77">
        <f>COUNTIFS('Match Log'!$D$4:$D$810,D$7,'Match Log'!$C$4:$C$810,$A16)</f>
        <v>0</v>
      </c>
      <c r="E16" s="77">
        <f>COUNTIFS('Match Log'!$D$4:$D$810,E$7,'Match Log'!$C$4:$C$810,$A16)</f>
        <v>0</v>
      </c>
      <c r="F16" s="77">
        <f>COUNTIFS('Match Log'!$D$4:$D$810,F$7,'Match Log'!$C$4:$C$810,$A16)</f>
        <v>1</v>
      </c>
      <c r="G16" s="77">
        <f>COUNTIFS('Match Log'!$D$4:$D$810,G$7,'Match Log'!$C$4:$C$810,$A16)</f>
        <v>1</v>
      </c>
      <c r="H16" s="77">
        <f>COUNTIFS('Match Log'!$D$4:$D$810,H$7,'Match Log'!$C$4:$C$810,$A16)</f>
        <v>0</v>
      </c>
      <c r="I16" s="77">
        <f>COUNTIFS('Match Log'!$D$4:$D$810,I$7,'Match Log'!$C$4:$C$810,$A16)</f>
        <v>0</v>
      </c>
      <c r="J16" s="77">
        <f>COUNTIFS('Match Log'!$D$4:$D$810,J$7,'Match Log'!$C$4:$C$810,$A16)</f>
        <v>0</v>
      </c>
      <c r="K16" s="77">
        <f>COUNTIFS('Match Log'!$D$4:$D$810,K$7,'Match Log'!$C$4:$C$810,$A16)</f>
        <v>0</v>
      </c>
      <c r="L16" s="77">
        <f>COUNTIFS('Match Log'!$D$4:$D$810,L$7,'Match Log'!$C$4:$C$810,$A16)</f>
        <v>1</v>
      </c>
      <c r="M16" s="77">
        <f>COUNTIFS('Match Log'!$D$4:$D$810,M$7,'Match Log'!$C$4:$C$810,$A16)</f>
        <v>0</v>
      </c>
      <c r="N16" s="77">
        <f>COUNTIFS('Match Log'!$D$4:$D$810,N$7,'Match Log'!$C$4:$C$810,$A16)</f>
        <v>0</v>
      </c>
      <c r="O16" s="77">
        <f>COUNTIFS('Match Log'!$D$4:$D$810,O$7,'Match Log'!$C$4:$C$810,$A16)</f>
        <v>0</v>
      </c>
      <c r="P16" s="78">
        <f>SUMPRODUCT(('Match Log'!$C$4:$C$810=$A16)*('Match Log'!$D$4:$D$810='Match Log'!$G$4:$G$810)*('Match Log'!$D$4:$D$810&lt;&gt;""))</f>
        <v>1</v>
      </c>
      <c r="Q16" s="79" t="str">
        <f t="shared" si="0"/>
        <v>Josh</v>
      </c>
      <c r="R16" s="78">
        <f t="shared" si="1"/>
        <v>1</v>
      </c>
    </row>
    <row r="17" spans="1:18" ht="15" customHeight="1" x14ac:dyDescent="0.2">
      <c r="A17" s="76" t="s">
        <v>193</v>
      </c>
      <c r="B17" s="77">
        <f>COUNTIFS('Match Log'!$D$4:$D$810,B$7,'Match Log'!$C$4:$C$810,$A17)</f>
        <v>0</v>
      </c>
      <c r="C17" s="77">
        <f>COUNTIFS('Match Log'!$D$4:$D$810,C$7,'Match Log'!$C$4:$C$810,$A17)</f>
        <v>0</v>
      </c>
      <c r="D17" s="77">
        <f>COUNTIFS('Match Log'!$D$4:$D$810,D$7,'Match Log'!$C$4:$C$810,$A17)</f>
        <v>0</v>
      </c>
      <c r="E17" s="77">
        <f>COUNTIFS('Match Log'!$D$4:$D$810,E$7,'Match Log'!$C$4:$C$810,$A17)</f>
        <v>0</v>
      </c>
      <c r="F17" s="77">
        <f>COUNTIFS('Match Log'!$D$4:$D$810,F$7,'Match Log'!$C$4:$C$810,$A17)</f>
        <v>0</v>
      </c>
      <c r="G17" s="77">
        <f>COUNTIFS('Match Log'!$D$4:$D$810,G$7,'Match Log'!$C$4:$C$810,$A17)</f>
        <v>0</v>
      </c>
      <c r="H17" s="77">
        <f>COUNTIFS('Match Log'!$D$4:$D$810,H$7,'Match Log'!$C$4:$C$810,$A17)</f>
        <v>0</v>
      </c>
      <c r="I17" s="77">
        <f>COUNTIFS('Match Log'!$D$4:$D$810,I$7,'Match Log'!$C$4:$C$810,$A17)</f>
        <v>0</v>
      </c>
      <c r="J17" s="77">
        <f>COUNTIFS('Match Log'!$D$4:$D$810,J$7,'Match Log'!$C$4:$C$810,$A17)</f>
        <v>0</v>
      </c>
      <c r="K17" s="77">
        <f>COUNTIFS('Match Log'!$D$4:$D$810,K$7,'Match Log'!$C$4:$C$810,$A17)</f>
        <v>0</v>
      </c>
      <c r="L17" s="77">
        <f>COUNTIFS('Match Log'!$D$4:$D$810,L$7,'Match Log'!$C$4:$C$810,$A17)</f>
        <v>0</v>
      </c>
      <c r="M17" s="77">
        <f>COUNTIFS('Match Log'!$D$4:$D$810,M$7,'Match Log'!$C$4:$C$810,$A17)</f>
        <v>0</v>
      </c>
      <c r="N17" s="77">
        <f>COUNTIFS('Match Log'!$D$4:$D$810,N$7,'Match Log'!$C$4:$C$810,$A17)</f>
        <v>0</v>
      </c>
      <c r="O17" s="77">
        <f>COUNTIFS('Match Log'!$D$4:$D$810,O$7,'Match Log'!$C$4:$C$810,$A17)</f>
        <v>0</v>
      </c>
      <c r="P17" s="78">
        <f>SUMPRODUCT(('Match Log'!$C$4:$C$810=$A17)*('Match Log'!$D$4:$D$810='Match Log'!$G$4:$G$810)*('Match Log'!$D$4:$D$810&lt;&gt;""))</f>
        <v>0</v>
      </c>
      <c r="Q17" s="79" t="str">
        <f t="shared" si="0"/>
        <v>—</v>
      </c>
      <c r="R17" s="78" t="str">
        <f t="shared" si="1"/>
        <v>—</v>
      </c>
    </row>
    <row r="18" spans="1:18" ht="15" customHeight="1" x14ac:dyDescent="0.2">
      <c r="A18" s="76" t="s">
        <v>194</v>
      </c>
      <c r="B18" s="77">
        <f>COUNTIFS('Match Log'!$D$4:$D$810,B$7,'Match Log'!$C$4:$C$810,$A18)</f>
        <v>0</v>
      </c>
      <c r="C18" s="77">
        <f>COUNTIFS('Match Log'!$D$4:$D$810,C$7,'Match Log'!$C$4:$C$810,$A18)</f>
        <v>0</v>
      </c>
      <c r="D18" s="77">
        <f>COUNTIFS('Match Log'!$D$4:$D$810,D$7,'Match Log'!$C$4:$C$810,$A18)</f>
        <v>0</v>
      </c>
      <c r="E18" s="77">
        <f>COUNTIFS('Match Log'!$D$4:$D$810,E$7,'Match Log'!$C$4:$C$810,$A18)</f>
        <v>0</v>
      </c>
      <c r="F18" s="77">
        <f>COUNTIFS('Match Log'!$D$4:$D$810,F$7,'Match Log'!$C$4:$C$810,$A18)</f>
        <v>0</v>
      </c>
      <c r="G18" s="77">
        <f>COUNTIFS('Match Log'!$D$4:$D$810,G$7,'Match Log'!$C$4:$C$810,$A18)</f>
        <v>0</v>
      </c>
      <c r="H18" s="77">
        <f>COUNTIFS('Match Log'!$D$4:$D$810,H$7,'Match Log'!$C$4:$C$810,$A18)</f>
        <v>0</v>
      </c>
      <c r="I18" s="77">
        <f>COUNTIFS('Match Log'!$D$4:$D$810,I$7,'Match Log'!$C$4:$C$810,$A18)</f>
        <v>0</v>
      </c>
      <c r="J18" s="77">
        <f>COUNTIFS('Match Log'!$D$4:$D$810,J$7,'Match Log'!$C$4:$C$810,$A18)</f>
        <v>0</v>
      </c>
      <c r="K18" s="77">
        <f>COUNTIFS('Match Log'!$D$4:$D$810,K$7,'Match Log'!$C$4:$C$810,$A18)</f>
        <v>0</v>
      </c>
      <c r="L18" s="77">
        <f>COUNTIFS('Match Log'!$D$4:$D$810,L$7,'Match Log'!$C$4:$C$810,$A18)</f>
        <v>0</v>
      </c>
      <c r="M18" s="77">
        <f>COUNTIFS('Match Log'!$D$4:$D$810,M$7,'Match Log'!$C$4:$C$810,$A18)</f>
        <v>0</v>
      </c>
      <c r="N18" s="77">
        <f>COUNTIFS('Match Log'!$D$4:$D$810,N$7,'Match Log'!$C$4:$C$810,$A18)</f>
        <v>0</v>
      </c>
      <c r="O18" s="77">
        <f>COUNTIFS('Match Log'!$D$4:$D$810,O$7,'Match Log'!$C$4:$C$810,$A18)</f>
        <v>0</v>
      </c>
      <c r="P18" s="78">
        <f>SUMPRODUCT(('Match Log'!$C$4:$C$810=$A18)*('Match Log'!$D$4:$D$810='Match Log'!$G$4:$G$810)*('Match Log'!$D$4:$D$810&lt;&gt;""))</f>
        <v>0</v>
      </c>
      <c r="Q18" s="79" t="str">
        <f t="shared" si="0"/>
        <v>—</v>
      </c>
      <c r="R18" s="78" t="str">
        <f t="shared" si="1"/>
        <v>—</v>
      </c>
    </row>
    <row r="19" spans="1:18" ht="15" customHeight="1" x14ac:dyDescent="0.2">
      <c r="A19" s="76" t="s">
        <v>195</v>
      </c>
      <c r="B19" s="77">
        <f>COUNTIFS('Match Log'!$D$4:$D$810,B$7,'Match Log'!$C$4:$C$810,$A19)</f>
        <v>2</v>
      </c>
      <c r="C19" s="77">
        <f>COUNTIFS('Match Log'!$D$4:$D$810,C$7,'Match Log'!$C$4:$C$810,$A19)</f>
        <v>1</v>
      </c>
      <c r="D19" s="77">
        <f>COUNTIFS('Match Log'!$D$4:$D$810,D$7,'Match Log'!$C$4:$C$810,$A19)</f>
        <v>0</v>
      </c>
      <c r="E19" s="77">
        <f>COUNTIFS('Match Log'!$D$4:$D$810,E$7,'Match Log'!$C$4:$C$810,$A19)</f>
        <v>6</v>
      </c>
      <c r="F19" s="77">
        <f>COUNTIFS('Match Log'!$D$4:$D$810,F$7,'Match Log'!$C$4:$C$810,$A19)</f>
        <v>15</v>
      </c>
      <c r="G19" s="77">
        <f>COUNTIFS('Match Log'!$D$4:$D$810,G$7,'Match Log'!$C$4:$C$810,$A19)</f>
        <v>5</v>
      </c>
      <c r="H19" s="77">
        <f>COUNTIFS('Match Log'!$D$4:$D$810,H$7,'Match Log'!$C$4:$C$810,$A19)</f>
        <v>3</v>
      </c>
      <c r="I19" s="77">
        <f>COUNTIFS('Match Log'!$D$4:$D$810,I$7,'Match Log'!$C$4:$C$810,$A19)</f>
        <v>7</v>
      </c>
      <c r="J19" s="77">
        <f>COUNTIFS('Match Log'!$D$4:$D$810,J$7,'Match Log'!$C$4:$C$810,$A19)</f>
        <v>5</v>
      </c>
      <c r="K19" s="77">
        <f>COUNTIFS('Match Log'!$D$4:$D$810,K$7,'Match Log'!$C$4:$C$810,$A19)</f>
        <v>5</v>
      </c>
      <c r="L19" s="77">
        <f>COUNTIFS('Match Log'!$D$4:$D$810,L$7,'Match Log'!$C$4:$C$810,$A19)</f>
        <v>13</v>
      </c>
      <c r="M19" s="77">
        <f>COUNTIFS('Match Log'!$D$4:$D$810,M$7,'Match Log'!$C$4:$C$810,$A19)</f>
        <v>0</v>
      </c>
      <c r="N19" s="77">
        <f>COUNTIFS('Match Log'!$D$4:$D$810,N$7,'Match Log'!$C$4:$C$810,$A19)</f>
        <v>0</v>
      </c>
      <c r="O19" s="77">
        <f>COUNTIFS('Match Log'!$D$4:$D$810,O$7,'Match Log'!$C$4:$C$810,$A19)</f>
        <v>0</v>
      </c>
      <c r="P19" s="78">
        <f>SUMPRODUCT(('Match Log'!$C$4:$C$810=$A19)*('Match Log'!$D$4:$D$810='Match Log'!$G$4:$G$810)*('Match Log'!$D$4:$D$810&lt;&gt;""))</f>
        <v>31</v>
      </c>
      <c r="Q19" s="79" t="str">
        <f t="shared" si="0"/>
        <v>Josh</v>
      </c>
      <c r="R19" s="78">
        <f t="shared" si="1"/>
        <v>13</v>
      </c>
    </row>
    <row r="20" spans="1:18" ht="15" customHeight="1" x14ac:dyDescent="0.2">
      <c r="A20" s="76" t="s">
        <v>197</v>
      </c>
      <c r="B20" s="77">
        <f>COUNTIFS('Match Log'!$D$4:$D$810,B$7,'Match Log'!$C$4:$C$810,$A20)</f>
        <v>3</v>
      </c>
      <c r="C20" s="77">
        <f>COUNTIFS('Match Log'!$D$4:$D$810,C$7,'Match Log'!$C$4:$C$810,$A20)</f>
        <v>0</v>
      </c>
      <c r="D20" s="77">
        <f>COUNTIFS('Match Log'!$D$4:$D$810,D$7,'Match Log'!$C$4:$C$810,$A20)</f>
        <v>0</v>
      </c>
      <c r="E20" s="77">
        <f>COUNTIFS('Match Log'!$D$4:$D$810,E$7,'Match Log'!$C$4:$C$810,$A20)</f>
        <v>0</v>
      </c>
      <c r="F20" s="77">
        <f>COUNTIFS('Match Log'!$D$4:$D$810,F$7,'Match Log'!$C$4:$C$810,$A20)</f>
        <v>1</v>
      </c>
      <c r="G20" s="77">
        <f>COUNTIFS('Match Log'!$D$4:$D$810,G$7,'Match Log'!$C$4:$C$810,$A20)</f>
        <v>9</v>
      </c>
      <c r="H20" s="77">
        <f>COUNTIFS('Match Log'!$D$4:$D$810,H$7,'Match Log'!$C$4:$C$810,$A20)</f>
        <v>0</v>
      </c>
      <c r="I20" s="77">
        <f>COUNTIFS('Match Log'!$D$4:$D$810,I$7,'Match Log'!$C$4:$C$810,$A20)</f>
        <v>6</v>
      </c>
      <c r="J20" s="77">
        <f>COUNTIFS('Match Log'!$D$4:$D$810,J$7,'Match Log'!$C$4:$C$810,$A20)</f>
        <v>0</v>
      </c>
      <c r="K20" s="77">
        <f>COUNTIFS('Match Log'!$D$4:$D$810,K$7,'Match Log'!$C$4:$C$810,$A20)</f>
        <v>0</v>
      </c>
      <c r="L20" s="77">
        <f>COUNTIFS('Match Log'!$D$4:$D$810,L$7,'Match Log'!$C$4:$C$810,$A20)</f>
        <v>3</v>
      </c>
      <c r="M20" s="77">
        <f>COUNTIFS('Match Log'!$D$4:$D$810,M$7,'Match Log'!$C$4:$C$810,$A20)</f>
        <v>0</v>
      </c>
      <c r="N20" s="77">
        <f>COUNTIFS('Match Log'!$D$4:$D$810,N$7,'Match Log'!$C$4:$C$810,$A20)</f>
        <v>0</v>
      </c>
      <c r="O20" s="77">
        <f>COUNTIFS('Match Log'!$D$4:$D$810,O$7,'Match Log'!$C$4:$C$810,$A20)</f>
        <v>0</v>
      </c>
      <c r="P20" s="78">
        <f>SUMPRODUCT(('Match Log'!$C$4:$C$810=$A20)*('Match Log'!$D$4:$D$810='Match Log'!$G$4:$G$810)*('Match Log'!$D$4:$D$810&lt;&gt;""))</f>
        <v>10</v>
      </c>
      <c r="Q20" s="79" t="str">
        <f t="shared" si="0"/>
        <v>Daniel (Ferret)</v>
      </c>
      <c r="R20" s="78">
        <f t="shared" si="1"/>
        <v>5</v>
      </c>
    </row>
    <row r="21" spans="1:18" ht="15" customHeight="1" x14ac:dyDescent="0.2">
      <c r="A21" s="76" t="s">
        <v>199</v>
      </c>
      <c r="B21" s="77">
        <f>COUNTIFS('Match Log'!$D$4:$D$810,B$7,'Match Log'!$C$4:$C$810,$A21)</f>
        <v>3</v>
      </c>
      <c r="C21" s="77">
        <f>COUNTIFS('Match Log'!$D$4:$D$810,C$7,'Match Log'!$C$4:$C$810,$A21)</f>
        <v>0</v>
      </c>
      <c r="D21" s="77">
        <f>COUNTIFS('Match Log'!$D$4:$D$810,D$7,'Match Log'!$C$4:$C$810,$A21)</f>
        <v>4</v>
      </c>
      <c r="E21" s="77">
        <f>COUNTIFS('Match Log'!$D$4:$D$810,E$7,'Match Log'!$C$4:$C$810,$A21)</f>
        <v>0</v>
      </c>
      <c r="F21" s="77">
        <f>COUNTIFS('Match Log'!$D$4:$D$810,F$7,'Match Log'!$C$4:$C$810,$A21)</f>
        <v>0</v>
      </c>
      <c r="G21" s="77">
        <f>COUNTIFS('Match Log'!$D$4:$D$810,G$7,'Match Log'!$C$4:$C$810,$A21)</f>
        <v>7</v>
      </c>
      <c r="H21" s="77">
        <f>COUNTIFS('Match Log'!$D$4:$D$810,H$7,'Match Log'!$C$4:$C$810,$A21)</f>
        <v>0</v>
      </c>
      <c r="I21" s="77">
        <f>COUNTIFS('Match Log'!$D$4:$D$810,I$7,'Match Log'!$C$4:$C$810,$A21)</f>
        <v>7</v>
      </c>
      <c r="J21" s="77">
        <f>COUNTIFS('Match Log'!$D$4:$D$810,J$7,'Match Log'!$C$4:$C$810,$A21)</f>
        <v>0</v>
      </c>
      <c r="K21" s="77">
        <f>COUNTIFS('Match Log'!$D$4:$D$810,K$7,'Match Log'!$C$4:$C$810,$A21)</f>
        <v>0</v>
      </c>
      <c r="L21" s="77">
        <f>COUNTIFS('Match Log'!$D$4:$D$810,L$7,'Match Log'!$C$4:$C$810,$A21)</f>
        <v>7</v>
      </c>
      <c r="M21" s="77">
        <f>COUNTIFS('Match Log'!$D$4:$D$810,M$7,'Match Log'!$C$4:$C$810,$A21)</f>
        <v>0</v>
      </c>
      <c r="N21" s="77">
        <f>COUNTIFS('Match Log'!$D$4:$D$810,N$7,'Match Log'!$C$4:$C$810,$A21)</f>
        <v>0</v>
      </c>
      <c r="O21" s="77">
        <f>COUNTIFS('Match Log'!$D$4:$D$810,O$7,'Match Log'!$C$4:$C$810,$A21)</f>
        <v>0</v>
      </c>
      <c r="P21" s="78">
        <f>SUMPRODUCT(('Match Log'!$C$4:$C$810=$A21)*('Match Log'!$D$4:$D$810='Match Log'!$G$4:$G$810)*('Match Log'!$D$4:$D$810&lt;&gt;""))</f>
        <v>14</v>
      </c>
      <c r="Q21" s="79" t="str">
        <f t="shared" si="0"/>
        <v>Oscar</v>
      </c>
      <c r="R21" s="78">
        <f t="shared" si="1"/>
        <v>5</v>
      </c>
    </row>
    <row r="22" spans="1:18" ht="15" customHeight="1" x14ac:dyDescent="0.2">
      <c r="A22" s="76" t="s">
        <v>201</v>
      </c>
      <c r="B22" s="77">
        <f>COUNTIFS('Match Log'!$D$4:$D$810,B$7,'Match Log'!$C$4:$C$810,$A22)</f>
        <v>0</v>
      </c>
      <c r="C22" s="77">
        <f>COUNTIFS('Match Log'!$D$4:$D$810,C$7,'Match Log'!$C$4:$C$810,$A22)</f>
        <v>0</v>
      </c>
      <c r="D22" s="77">
        <f>COUNTIFS('Match Log'!$D$4:$D$810,D$7,'Match Log'!$C$4:$C$810,$A22)</f>
        <v>0</v>
      </c>
      <c r="E22" s="77">
        <f>COUNTIFS('Match Log'!$D$4:$D$810,E$7,'Match Log'!$C$4:$C$810,$A22)</f>
        <v>0</v>
      </c>
      <c r="F22" s="77">
        <f>COUNTIFS('Match Log'!$D$4:$D$810,F$7,'Match Log'!$C$4:$C$810,$A22)</f>
        <v>0</v>
      </c>
      <c r="G22" s="77">
        <f>COUNTIFS('Match Log'!$D$4:$D$810,G$7,'Match Log'!$C$4:$C$810,$A22)</f>
        <v>0</v>
      </c>
      <c r="H22" s="77">
        <f>COUNTIFS('Match Log'!$D$4:$D$810,H$7,'Match Log'!$C$4:$C$810,$A22)</f>
        <v>0</v>
      </c>
      <c r="I22" s="77">
        <f>COUNTIFS('Match Log'!$D$4:$D$810,I$7,'Match Log'!$C$4:$C$810,$A22)</f>
        <v>0</v>
      </c>
      <c r="J22" s="77">
        <f>COUNTIFS('Match Log'!$D$4:$D$810,J$7,'Match Log'!$C$4:$C$810,$A22)</f>
        <v>0</v>
      </c>
      <c r="K22" s="77">
        <f>COUNTIFS('Match Log'!$D$4:$D$810,K$7,'Match Log'!$C$4:$C$810,$A22)</f>
        <v>0</v>
      </c>
      <c r="L22" s="77">
        <f>COUNTIFS('Match Log'!$D$4:$D$810,L$7,'Match Log'!$C$4:$C$810,$A22)</f>
        <v>0</v>
      </c>
      <c r="M22" s="77">
        <f>COUNTIFS('Match Log'!$D$4:$D$810,M$7,'Match Log'!$C$4:$C$810,$A22)</f>
        <v>0</v>
      </c>
      <c r="N22" s="77">
        <f>COUNTIFS('Match Log'!$D$4:$D$810,N$7,'Match Log'!$C$4:$C$810,$A22)</f>
        <v>0</v>
      </c>
      <c r="O22" s="77">
        <f>COUNTIFS('Match Log'!$D$4:$D$810,O$7,'Match Log'!$C$4:$C$810,$A22)</f>
        <v>0</v>
      </c>
      <c r="P22" s="78">
        <f>SUMPRODUCT(('Match Log'!$C$4:$C$810=$A22)*('Match Log'!$D$4:$D$810='Match Log'!$G$4:$G$810)*('Match Log'!$D$4:$D$810&lt;&gt;""))</f>
        <v>0</v>
      </c>
      <c r="Q22" s="79" t="str">
        <f t="shared" si="0"/>
        <v>—</v>
      </c>
      <c r="R22" s="78" t="str">
        <f t="shared" si="1"/>
        <v>—</v>
      </c>
    </row>
    <row r="23" spans="1:18" ht="15" customHeight="1" x14ac:dyDescent="0.2">
      <c r="A23" s="76" t="s">
        <v>203</v>
      </c>
      <c r="B23" s="77">
        <f>COUNTIFS('Match Log'!$D$4:$D$810,B$7,'Match Log'!$C$4:$C$810,$A23)</f>
        <v>2</v>
      </c>
      <c r="C23" s="77">
        <f>COUNTIFS('Match Log'!$D$4:$D$810,C$7,'Match Log'!$C$4:$C$810,$A23)</f>
        <v>0</v>
      </c>
      <c r="D23" s="77">
        <f>COUNTIFS('Match Log'!$D$4:$D$810,D$7,'Match Log'!$C$4:$C$810,$A23)</f>
        <v>2</v>
      </c>
      <c r="E23" s="77">
        <f>COUNTIFS('Match Log'!$D$4:$D$810,E$7,'Match Log'!$C$4:$C$810,$A23)</f>
        <v>0</v>
      </c>
      <c r="F23" s="77">
        <f>COUNTIFS('Match Log'!$D$4:$D$810,F$7,'Match Log'!$C$4:$C$810,$A23)</f>
        <v>0</v>
      </c>
      <c r="G23" s="77">
        <f>COUNTIFS('Match Log'!$D$4:$D$810,G$7,'Match Log'!$C$4:$C$810,$A23)</f>
        <v>0</v>
      </c>
      <c r="H23" s="77">
        <f>COUNTIFS('Match Log'!$D$4:$D$810,H$7,'Match Log'!$C$4:$C$810,$A23)</f>
        <v>0</v>
      </c>
      <c r="I23" s="77">
        <f>COUNTIFS('Match Log'!$D$4:$D$810,I$7,'Match Log'!$C$4:$C$810,$A23)</f>
        <v>2</v>
      </c>
      <c r="J23" s="77">
        <f>COUNTIFS('Match Log'!$D$4:$D$810,J$7,'Match Log'!$C$4:$C$810,$A23)</f>
        <v>0</v>
      </c>
      <c r="K23" s="77">
        <f>COUNTIFS('Match Log'!$D$4:$D$810,K$7,'Match Log'!$C$4:$C$810,$A23)</f>
        <v>0</v>
      </c>
      <c r="L23" s="77">
        <f>COUNTIFS('Match Log'!$D$4:$D$810,L$7,'Match Log'!$C$4:$C$810,$A23)</f>
        <v>0</v>
      </c>
      <c r="M23" s="77">
        <f>COUNTIFS('Match Log'!$D$4:$D$810,M$7,'Match Log'!$C$4:$C$810,$A23)</f>
        <v>0</v>
      </c>
      <c r="N23" s="77">
        <f>COUNTIFS('Match Log'!$D$4:$D$810,N$7,'Match Log'!$C$4:$C$810,$A23)</f>
        <v>0</v>
      </c>
      <c r="O23" s="77">
        <f>COUNTIFS('Match Log'!$D$4:$D$810,O$7,'Match Log'!$C$4:$C$810,$A23)</f>
        <v>0</v>
      </c>
      <c r="P23" s="78">
        <f>SUMPRODUCT(('Match Log'!$C$4:$C$810=$A23)*('Match Log'!$D$4:$D$810='Match Log'!$G$4:$G$810)*('Match Log'!$D$4:$D$810&lt;&gt;""))</f>
        <v>3</v>
      </c>
      <c r="Q23" s="79" t="str">
        <f t="shared" si="0"/>
        <v>Daniel (Ferret)</v>
      </c>
      <c r="R23" s="78">
        <f t="shared" si="1"/>
        <v>2</v>
      </c>
    </row>
    <row r="24" spans="1:18" ht="15" customHeight="1" x14ac:dyDescent="0.2">
      <c r="A24" s="76" t="s">
        <v>204</v>
      </c>
      <c r="B24" s="77">
        <f>COUNTIFS('Match Log'!$D$4:$D$810,B$7,'Match Log'!$C$4:$C$810,$A24)</f>
        <v>0</v>
      </c>
      <c r="C24" s="77">
        <f>COUNTIFS('Match Log'!$D$4:$D$810,C$7,'Match Log'!$C$4:$C$810,$A24)</f>
        <v>0</v>
      </c>
      <c r="D24" s="77">
        <f>COUNTIFS('Match Log'!$D$4:$D$810,D$7,'Match Log'!$C$4:$C$810,$A24)</f>
        <v>1</v>
      </c>
      <c r="E24" s="77">
        <f>COUNTIFS('Match Log'!$D$4:$D$810,E$7,'Match Log'!$C$4:$C$810,$A24)</f>
        <v>0</v>
      </c>
      <c r="F24" s="77">
        <f>COUNTIFS('Match Log'!$D$4:$D$810,F$7,'Match Log'!$C$4:$C$810,$A24)</f>
        <v>1</v>
      </c>
      <c r="G24" s="77">
        <f>COUNTIFS('Match Log'!$D$4:$D$810,G$7,'Match Log'!$C$4:$C$810,$A24)</f>
        <v>0</v>
      </c>
      <c r="H24" s="77">
        <f>COUNTIFS('Match Log'!$D$4:$D$810,H$7,'Match Log'!$C$4:$C$810,$A24)</f>
        <v>0</v>
      </c>
      <c r="I24" s="77">
        <f>COUNTIFS('Match Log'!$D$4:$D$810,I$7,'Match Log'!$C$4:$C$810,$A24)</f>
        <v>1</v>
      </c>
      <c r="J24" s="77">
        <f>COUNTIFS('Match Log'!$D$4:$D$810,J$7,'Match Log'!$C$4:$C$810,$A24)</f>
        <v>0</v>
      </c>
      <c r="K24" s="77">
        <f>COUNTIFS('Match Log'!$D$4:$D$810,K$7,'Match Log'!$C$4:$C$810,$A24)</f>
        <v>0</v>
      </c>
      <c r="L24" s="77">
        <f>COUNTIFS('Match Log'!$D$4:$D$810,L$7,'Match Log'!$C$4:$C$810,$A24)</f>
        <v>0</v>
      </c>
      <c r="M24" s="77">
        <f>COUNTIFS('Match Log'!$D$4:$D$810,M$7,'Match Log'!$C$4:$C$810,$A24)</f>
        <v>0</v>
      </c>
      <c r="N24" s="77">
        <f>COUNTIFS('Match Log'!$D$4:$D$810,N$7,'Match Log'!$C$4:$C$810,$A24)</f>
        <v>0</v>
      </c>
      <c r="O24" s="77">
        <f>COUNTIFS('Match Log'!$D$4:$D$810,O$7,'Match Log'!$C$4:$C$810,$A24)</f>
        <v>0</v>
      </c>
      <c r="P24" s="78">
        <f>SUMPRODUCT(('Match Log'!$C$4:$C$810=$A24)*('Match Log'!$D$4:$D$810='Match Log'!$G$4:$G$810)*('Match Log'!$D$4:$D$810&lt;&gt;""))</f>
        <v>1</v>
      </c>
      <c r="Q24" s="79" t="str">
        <f t="shared" si="0"/>
        <v>Josh</v>
      </c>
      <c r="R24" s="78">
        <f t="shared" si="1"/>
        <v>1</v>
      </c>
    </row>
    <row r="25" spans="1:18" ht="15" customHeight="1" x14ac:dyDescent="0.2">
      <c r="A25" s="76" t="s">
        <v>206</v>
      </c>
      <c r="B25" s="77">
        <f>COUNTIFS('Match Log'!$D$4:$D$810,B$7,'Match Log'!$C$4:$C$810,$A25)</f>
        <v>7</v>
      </c>
      <c r="C25" s="77">
        <f>COUNTIFS('Match Log'!$D$4:$D$810,C$7,'Match Log'!$C$4:$C$810,$A25)</f>
        <v>8</v>
      </c>
      <c r="D25" s="77">
        <f>COUNTIFS('Match Log'!$D$4:$D$810,D$7,'Match Log'!$C$4:$C$810,$A25)</f>
        <v>1</v>
      </c>
      <c r="E25" s="77">
        <f>COUNTIFS('Match Log'!$D$4:$D$810,E$7,'Match Log'!$C$4:$C$810,$A25)</f>
        <v>7</v>
      </c>
      <c r="F25" s="77">
        <f>COUNTIFS('Match Log'!$D$4:$D$810,F$7,'Match Log'!$C$4:$C$810,$A25)</f>
        <v>8</v>
      </c>
      <c r="G25" s="77">
        <f>COUNTIFS('Match Log'!$D$4:$D$810,G$7,'Match Log'!$C$4:$C$810,$A25)</f>
        <v>9</v>
      </c>
      <c r="H25" s="77">
        <f>COUNTIFS('Match Log'!$D$4:$D$810,H$7,'Match Log'!$C$4:$C$810,$A25)</f>
        <v>11</v>
      </c>
      <c r="I25" s="77">
        <f>COUNTIFS('Match Log'!$D$4:$D$810,I$7,'Match Log'!$C$4:$C$810,$A25)</f>
        <v>9</v>
      </c>
      <c r="J25" s="77">
        <f>COUNTIFS('Match Log'!$D$4:$D$810,J$7,'Match Log'!$C$4:$C$810,$A25)</f>
        <v>10</v>
      </c>
      <c r="K25" s="77">
        <f>COUNTIFS('Match Log'!$D$4:$D$810,K$7,'Match Log'!$C$4:$C$810,$A25)</f>
        <v>7</v>
      </c>
      <c r="L25" s="77">
        <f>COUNTIFS('Match Log'!$D$4:$D$810,L$7,'Match Log'!$C$4:$C$810,$A25)</f>
        <v>12</v>
      </c>
      <c r="M25" s="77">
        <f>COUNTIFS('Match Log'!$D$4:$D$810,M$7,'Match Log'!$C$4:$C$810,$A25)</f>
        <v>5</v>
      </c>
      <c r="N25" s="77">
        <f>COUNTIFS('Match Log'!$D$4:$D$810,N$7,'Match Log'!$C$4:$C$810,$A25)</f>
        <v>4</v>
      </c>
      <c r="O25" s="77">
        <f>COUNTIFS('Match Log'!$D$4:$D$810,O$7,'Match Log'!$C$4:$C$810,$A25)</f>
        <v>0</v>
      </c>
      <c r="P25" s="78">
        <f>SUMPRODUCT(('Match Log'!$C$4:$C$810=$A25)*('Match Log'!$D$4:$D$810='Match Log'!$G$4:$G$810)*('Match Log'!$D$4:$D$810&lt;&gt;""))</f>
        <v>31</v>
      </c>
      <c r="Q25" s="79" t="str">
        <f t="shared" si="0"/>
        <v>Simon</v>
      </c>
      <c r="R25" s="78">
        <f t="shared" si="1"/>
        <v>8</v>
      </c>
    </row>
    <row r="26" spans="1:18" ht="15" customHeight="1" x14ac:dyDescent="0.2">
      <c r="A26" s="76" t="s">
        <v>208</v>
      </c>
      <c r="B26" s="77">
        <f>COUNTIFS('Match Log'!$D$4:$D$810,B$7,'Match Log'!$C$4:$C$810,$A26)</f>
        <v>7</v>
      </c>
      <c r="C26" s="77">
        <f>COUNTIFS('Match Log'!$D$4:$D$810,C$7,'Match Log'!$C$4:$C$810,$A26)</f>
        <v>0</v>
      </c>
      <c r="D26" s="77">
        <f>COUNTIFS('Match Log'!$D$4:$D$810,D$7,'Match Log'!$C$4:$C$810,$A26)</f>
        <v>0</v>
      </c>
      <c r="E26" s="77">
        <f>COUNTIFS('Match Log'!$D$4:$D$810,E$7,'Match Log'!$C$4:$C$810,$A26)</f>
        <v>0</v>
      </c>
      <c r="F26" s="77">
        <f>COUNTIFS('Match Log'!$D$4:$D$810,F$7,'Match Log'!$C$4:$C$810,$A26)</f>
        <v>4</v>
      </c>
      <c r="G26" s="77">
        <f>COUNTIFS('Match Log'!$D$4:$D$810,G$7,'Match Log'!$C$4:$C$810,$A26)</f>
        <v>7</v>
      </c>
      <c r="H26" s="77">
        <f>COUNTIFS('Match Log'!$D$4:$D$810,H$7,'Match Log'!$C$4:$C$810,$A26)</f>
        <v>0</v>
      </c>
      <c r="I26" s="77">
        <f>COUNTIFS('Match Log'!$D$4:$D$810,I$7,'Match Log'!$C$4:$C$810,$A26)</f>
        <v>4</v>
      </c>
      <c r="J26" s="77">
        <f>COUNTIFS('Match Log'!$D$4:$D$810,J$7,'Match Log'!$C$4:$C$810,$A26)</f>
        <v>0</v>
      </c>
      <c r="K26" s="77">
        <f>COUNTIFS('Match Log'!$D$4:$D$810,K$7,'Match Log'!$C$4:$C$810,$A26)</f>
        <v>0</v>
      </c>
      <c r="L26" s="77">
        <f>COUNTIFS('Match Log'!$D$4:$D$810,L$7,'Match Log'!$C$4:$C$810,$A26)</f>
        <v>0</v>
      </c>
      <c r="M26" s="77">
        <f>COUNTIFS('Match Log'!$D$4:$D$810,M$7,'Match Log'!$C$4:$C$810,$A26)</f>
        <v>0</v>
      </c>
      <c r="N26" s="77">
        <f>COUNTIFS('Match Log'!$D$4:$D$810,N$7,'Match Log'!$C$4:$C$810,$A26)</f>
        <v>0</v>
      </c>
      <c r="O26" s="77">
        <f>COUNTIFS('Match Log'!$D$4:$D$810,O$7,'Match Log'!$C$4:$C$810,$A26)</f>
        <v>0</v>
      </c>
      <c r="P26" s="78">
        <f>SUMPRODUCT(('Match Log'!$C$4:$C$810=$A26)*('Match Log'!$D$4:$D$810='Match Log'!$G$4:$G$810)*('Match Log'!$D$4:$D$810&lt;&gt;""))</f>
        <v>11</v>
      </c>
      <c r="Q26" s="79" t="str">
        <f t="shared" si="0"/>
        <v>Shawn</v>
      </c>
      <c r="R26" s="78">
        <f t="shared" si="1"/>
        <v>5</v>
      </c>
    </row>
    <row r="27" spans="1:18" x14ac:dyDescent="0.2">
      <c r="A27" s="76" t="s">
        <v>407</v>
      </c>
      <c r="B27" s="77">
        <f>COUNTIFS('Match Log'!$D$4:$D$810,B$7,'Match Log'!$C$4:$C$810,$A27)</f>
        <v>0</v>
      </c>
      <c r="C27" s="77">
        <f>COUNTIFS('Match Log'!$D$4:$D$810,C$7,'Match Log'!$C$4:$C$810,$A27)</f>
        <v>0</v>
      </c>
      <c r="D27" s="77">
        <f>COUNTIFS('Match Log'!$D$4:$D$810,D$7,'Match Log'!$C$4:$C$810,$A27)</f>
        <v>0</v>
      </c>
      <c r="E27" s="77">
        <f>COUNTIFS('Match Log'!$D$4:$D$810,E$7,'Match Log'!$C$4:$C$810,$A27)</f>
        <v>0</v>
      </c>
      <c r="F27" s="77">
        <f>COUNTIFS('Match Log'!$D$4:$D$810,F$7,'Match Log'!$C$4:$C$810,$A27)</f>
        <v>0</v>
      </c>
      <c r="G27" s="77">
        <f>COUNTIFS('Match Log'!$D$4:$D$810,G$7,'Match Log'!$C$4:$C$810,$A27)</f>
        <v>0</v>
      </c>
      <c r="H27" s="77">
        <f>COUNTIFS('Match Log'!$D$4:$D$810,H$7,'Match Log'!$C$4:$C$810,$A27)</f>
        <v>0</v>
      </c>
      <c r="I27" s="77">
        <f>COUNTIFS('Match Log'!$D$4:$D$810,I$7,'Match Log'!$C$4:$C$810,$A27)</f>
        <v>0</v>
      </c>
      <c r="J27" s="77">
        <f>COUNTIFS('Match Log'!$D$4:$D$810,J$7,'Match Log'!$C$4:$C$810,$A27)</f>
        <v>0</v>
      </c>
      <c r="K27" s="77">
        <f>COUNTIFS('Match Log'!$D$4:$D$810,K$7,'Match Log'!$C$4:$C$810,$A27)</f>
        <v>0</v>
      </c>
      <c r="L27" s="77">
        <f>COUNTIFS('Match Log'!$D$4:$D$810,L$7,'Match Log'!$C$4:$C$810,$A27)</f>
        <v>0</v>
      </c>
      <c r="M27" s="77">
        <f>COUNTIFS('Match Log'!$D$4:$D$810,M$7,'Match Log'!$C$4:$C$810,$A27)</f>
        <v>0</v>
      </c>
      <c r="N27" s="77">
        <f>COUNTIFS('Match Log'!$D$4:$D$810,N$7,'Match Log'!$C$4:$C$810,$A27)</f>
        <v>0</v>
      </c>
      <c r="O27" s="77">
        <f>COUNTIFS('Match Log'!$D$4:$D$810,O$7,'Match Log'!$C$4:$C$810,$A27)</f>
        <v>0</v>
      </c>
      <c r="P27" s="78">
        <f>SUMPRODUCT(('Match Log'!$C$4:$C$810=$A27)*('Match Log'!$D$4:$D$810='Match Log'!$G$4:$G$810)*('Match Log'!$D$4:$D$810&lt;&gt;""))</f>
        <v>0</v>
      </c>
      <c r="Q27" s="79" t="str">
        <f>IF($P27=0,"—",INDEX($B$29:$O$29,MATCH(MAX($B49:$O49),$B49:$O49,0)))</f>
        <v>—</v>
      </c>
      <c r="R27" s="78" t="str">
        <f>IF($P27=0,"—",MAX($B49:$O49))</f>
        <v>—</v>
      </c>
    </row>
    <row r="28" spans="1:18" ht="15" customHeight="1" x14ac:dyDescent="0.2">
      <c r="A28" s="157" t="s">
        <v>226</v>
      </c>
      <c r="B28" s="157"/>
      <c r="C28" s="157"/>
      <c r="D28" s="157"/>
      <c r="E28" s="157"/>
      <c r="F28" s="157"/>
      <c r="G28" s="157"/>
      <c r="H28" s="157"/>
      <c r="I28" s="157"/>
      <c r="J28" s="157"/>
      <c r="K28" s="157"/>
      <c r="L28" s="157"/>
      <c r="M28" s="157"/>
      <c r="N28" s="157"/>
      <c r="O28" s="157"/>
      <c r="P28" s="157"/>
      <c r="Q28" s="157"/>
    </row>
    <row r="29" spans="1:18" ht="91.5" customHeight="1" x14ac:dyDescent="0.2">
      <c r="A29" s="74" t="s">
        <v>123</v>
      </c>
      <c r="B29" s="75" t="s">
        <v>138</v>
      </c>
      <c r="C29" s="75" t="s">
        <v>135</v>
      </c>
      <c r="D29" s="75" t="s">
        <v>173</v>
      </c>
      <c r="E29" s="75" t="s">
        <v>140</v>
      </c>
      <c r="F29" s="75" t="s">
        <v>137</v>
      </c>
      <c r="G29" s="75" t="s">
        <v>134</v>
      </c>
      <c r="H29" s="75" t="s">
        <v>168</v>
      </c>
      <c r="I29" s="75" t="s">
        <v>170</v>
      </c>
      <c r="J29" s="75" t="s">
        <v>167</v>
      </c>
      <c r="K29" s="75" t="s">
        <v>175</v>
      </c>
      <c r="L29" s="75" t="s">
        <v>169</v>
      </c>
      <c r="M29" s="75" t="s">
        <v>171</v>
      </c>
      <c r="N29" s="75" t="s">
        <v>172</v>
      </c>
      <c r="O29" s="75" t="s">
        <v>174</v>
      </c>
    </row>
    <row r="30" spans="1:18" ht="15" customHeight="1" x14ac:dyDescent="0.2">
      <c r="A30" s="76" t="s">
        <v>181</v>
      </c>
      <c r="B30" s="77">
        <f>COUNTIFS('Match Log'!$D$4:$D$810,B$29,'Match Log'!$C$4:$C$810,$A30,'Match Log'!$E$4:$E$810,"Win")</f>
        <v>0</v>
      </c>
      <c r="C30" s="77">
        <f>COUNTIFS('Match Log'!$D$4:$D$810,C$29,'Match Log'!$C$4:$C$810,$A30,'Match Log'!$E$4:$E$810,"Win")</f>
        <v>0</v>
      </c>
      <c r="D30" s="77">
        <f>COUNTIFS('Match Log'!$D$4:$D$810,D$29,'Match Log'!$C$4:$C$810,$A30,'Match Log'!$E$4:$E$810,"Win")</f>
        <v>0</v>
      </c>
      <c r="E30" s="77">
        <f>COUNTIFS('Match Log'!$D$4:$D$810,E$29,'Match Log'!$C$4:$C$810,$A30,'Match Log'!$E$4:$E$810,"Win")</f>
        <v>0</v>
      </c>
      <c r="F30" s="77">
        <f>COUNTIFS('Match Log'!$D$4:$D$810,F$29,'Match Log'!$C$4:$C$810,$A30,'Match Log'!$E$4:$E$810,"Win")</f>
        <v>0</v>
      </c>
      <c r="G30" s="77">
        <f>COUNTIFS('Match Log'!$D$4:$D$810,G$29,'Match Log'!$C$4:$C$810,$A30,'Match Log'!$E$4:$E$810,"Win")</f>
        <v>2</v>
      </c>
      <c r="H30" s="77">
        <f>COUNTIFS('Match Log'!$D$4:$D$810,H$29,'Match Log'!$C$4:$C$810,$A30,'Match Log'!$E$4:$E$810,"Win")</f>
        <v>0</v>
      </c>
      <c r="I30" s="77">
        <f>COUNTIFS('Match Log'!$D$4:$D$810,I$29,'Match Log'!$C$4:$C$810,$A30,'Match Log'!$E$4:$E$810,"Win")</f>
        <v>0</v>
      </c>
      <c r="J30" s="77">
        <f>COUNTIFS('Match Log'!$D$4:$D$810,J$29,'Match Log'!$C$4:$C$810,$A30,'Match Log'!$E$4:$E$810,"Win")</f>
        <v>0</v>
      </c>
      <c r="K30" s="77">
        <f>COUNTIFS('Match Log'!$D$4:$D$810,K$29,'Match Log'!$C$4:$C$810,$A30,'Match Log'!$E$4:$E$810,"Win")</f>
        <v>0</v>
      </c>
      <c r="L30" s="77">
        <f>COUNTIFS('Match Log'!$D$4:$D$810,L$29,'Match Log'!$C$4:$C$810,$A30,'Match Log'!$E$4:$E$810,"Win")</f>
        <v>0</v>
      </c>
      <c r="M30" s="77">
        <f>COUNTIFS('Match Log'!$D$4:$D$810,M$29,'Match Log'!$C$4:$C$810,$A30,'Match Log'!$E$4:$E$810,"Win")</f>
        <v>0</v>
      </c>
      <c r="N30" s="77">
        <f>COUNTIFS('Match Log'!$D$4:$D$810,N$29,'Match Log'!$C$4:$C$810,$A30,'Match Log'!$E$4:$E$810,"Win")</f>
        <v>0</v>
      </c>
      <c r="O30" s="77">
        <f>COUNTIFS('Match Log'!$D$4:$D$810,O$29,'Match Log'!$C$4:$C$810,$A30,'Match Log'!$E$4:$E$810,"Win")</f>
        <v>0</v>
      </c>
    </row>
    <row r="31" spans="1:18" ht="15" customHeight="1" x14ac:dyDescent="0.2">
      <c r="A31" s="76" t="s">
        <v>182</v>
      </c>
      <c r="B31" s="77">
        <f>COUNTIFS('Match Log'!$D$4:$D$810,B$29,'Match Log'!$C$4:$C$810,$A31,'Match Log'!$E$4:$E$810,"Win")</f>
        <v>0</v>
      </c>
      <c r="C31" s="77">
        <f>COUNTIFS('Match Log'!$D$4:$D$810,C$29,'Match Log'!$C$4:$C$810,$A31,'Match Log'!$E$4:$E$810,"Win")</f>
        <v>0</v>
      </c>
      <c r="D31" s="77">
        <f>COUNTIFS('Match Log'!$D$4:$D$810,D$29,'Match Log'!$C$4:$C$810,$A31,'Match Log'!$E$4:$E$810,"Win")</f>
        <v>0</v>
      </c>
      <c r="E31" s="77">
        <f>COUNTIFS('Match Log'!$D$4:$D$810,E$29,'Match Log'!$C$4:$C$810,$A31,'Match Log'!$E$4:$E$810,"Win")</f>
        <v>0</v>
      </c>
      <c r="F31" s="77">
        <f>COUNTIFS('Match Log'!$D$4:$D$810,F$29,'Match Log'!$C$4:$C$810,$A31,'Match Log'!$E$4:$E$810,"Win")</f>
        <v>0</v>
      </c>
      <c r="G31" s="77">
        <f>COUNTIFS('Match Log'!$D$4:$D$810,G$29,'Match Log'!$C$4:$C$810,$A31,'Match Log'!$E$4:$E$810,"Win")</f>
        <v>0</v>
      </c>
      <c r="H31" s="77">
        <f>COUNTIFS('Match Log'!$D$4:$D$810,H$29,'Match Log'!$C$4:$C$810,$A31,'Match Log'!$E$4:$E$810,"Win")</f>
        <v>0</v>
      </c>
      <c r="I31" s="77">
        <f>COUNTIFS('Match Log'!$D$4:$D$810,I$29,'Match Log'!$C$4:$C$810,$A31,'Match Log'!$E$4:$E$810,"Win")</f>
        <v>0</v>
      </c>
      <c r="J31" s="77">
        <f>COUNTIFS('Match Log'!$D$4:$D$810,J$29,'Match Log'!$C$4:$C$810,$A31,'Match Log'!$E$4:$E$810,"Win")</f>
        <v>0</v>
      </c>
      <c r="K31" s="77">
        <f>COUNTIFS('Match Log'!$D$4:$D$810,K$29,'Match Log'!$C$4:$C$810,$A31,'Match Log'!$E$4:$E$810,"Win")</f>
        <v>0</v>
      </c>
      <c r="L31" s="77">
        <f>COUNTIFS('Match Log'!$D$4:$D$810,L$29,'Match Log'!$C$4:$C$810,$A31,'Match Log'!$E$4:$E$810,"Win")</f>
        <v>0</v>
      </c>
      <c r="M31" s="77">
        <f>COUNTIFS('Match Log'!$D$4:$D$810,M$29,'Match Log'!$C$4:$C$810,$A31,'Match Log'!$E$4:$E$810,"Win")</f>
        <v>0</v>
      </c>
      <c r="N31" s="77">
        <f>COUNTIFS('Match Log'!$D$4:$D$810,N$29,'Match Log'!$C$4:$C$810,$A31,'Match Log'!$E$4:$E$810,"Win")</f>
        <v>0</v>
      </c>
      <c r="O31" s="77">
        <f>COUNTIFS('Match Log'!$D$4:$D$810,O$29,'Match Log'!$C$4:$C$810,$A31,'Match Log'!$E$4:$E$810,"Win")</f>
        <v>0</v>
      </c>
    </row>
    <row r="32" spans="1:18" ht="15" customHeight="1" x14ac:dyDescent="0.2">
      <c r="A32" s="76" t="s">
        <v>183</v>
      </c>
      <c r="B32" s="77">
        <f>COUNTIFS('Match Log'!$D$4:$D$810,B$29,'Match Log'!$C$4:$C$810,$A32,'Match Log'!$E$4:$E$810,"Win")</f>
        <v>9</v>
      </c>
      <c r="C32" s="77">
        <f>COUNTIFS('Match Log'!$D$4:$D$810,C$29,'Match Log'!$C$4:$C$810,$A32,'Match Log'!$E$4:$E$810,"Win")</f>
        <v>0</v>
      </c>
      <c r="D32" s="77">
        <f>COUNTIFS('Match Log'!$D$4:$D$810,D$29,'Match Log'!$C$4:$C$810,$A32,'Match Log'!$E$4:$E$810,"Win")</f>
        <v>0</v>
      </c>
      <c r="E32" s="77">
        <f>COUNTIFS('Match Log'!$D$4:$D$810,E$29,'Match Log'!$C$4:$C$810,$A32,'Match Log'!$E$4:$E$810,"Win")</f>
        <v>0</v>
      </c>
      <c r="F32" s="77">
        <f>COUNTIFS('Match Log'!$D$4:$D$810,F$29,'Match Log'!$C$4:$C$810,$A32,'Match Log'!$E$4:$E$810,"Win")</f>
        <v>0</v>
      </c>
      <c r="G32" s="77">
        <f>COUNTIFS('Match Log'!$D$4:$D$810,G$29,'Match Log'!$C$4:$C$810,$A32,'Match Log'!$E$4:$E$810,"Win")</f>
        <v>9</v>
      </c>
      <c r="H32" s="77">
        <f>COUNTIFS('Match Log'!$D$4:$D$810,H$29,'Match Log'!$C$4:$C$810,$A32,'Match Log'!$E$4:$E$810,"Win")</f>
        <v>0</v>
      </c>
      <c r="I32" s="77">
        <f>COUNTIFS('Match Log'!$D$4:$D$810,I$29,'Match Log'!$C$4:$C$810,$A32,'Match Log'!$E$4:$E$810,"Win")</f>
        <v>4</v>
      </c>
      <c r="J32" s="77">
        <f>COUNTIFS('Match Log'!$D$4:$D$810,J$29,'Match Log'!$C$4:$C$810,$A32,'Match Log'!$E$4:$E$810,"Win")</f>
        <v>0</v>
      </c>
      <c r="K32" s="77">
        <f>COUNTIFS('Match Log'!$D$4:$D$810,K$29,'Match Log'!$C$4:$C$810,$A32,'Match Log'!$E$4:$E$810,"Win")</f>
        <v>0</v>
      </c>
      <c r="L32" s="77">
        <f>COUNTIFS('Match Log'!$D$4:$D$810,L$29,'Match Log'!$C$4:$C$810,$A32,'Match Log'!$E$4:$E$810,"Win")</f>
        <v>1</v>
      </c>
      <c r="M32" s="77">
        <f>COUNTIFS('Match Log'!$D$4:$D$810,M$29,'Match Log'!$C$4:$C$810,$A32,'Match Log'!$E$4:$E$810,"Win")</f>
        <v>0</v>
      </c>
      <c r="N32" s="77">
        <f>COUNTIFS('Match Log'!$D$4:$D$810,N$29,'Match Log'!$C$4:$C$810,$A32,'Match Log'!$E$4:$E$810,"Win")</f>
        <v>0</v>
      </c>
      <c r="O32" s="77">
        <f>COUNTIFS('Match Log'!$D$4:$D$810,O$29,'Match Log'!$C$4:$C$810,$A32,'Match Log'!$E$4:$E$810,"Win")</f>
        <v>0</v>
      </c>
    </row>
    <row r="33" spans="1:15" ht="15" customHeight="1" x14ac:dyDescent="0.2">
      <c r="A33" s="76" t="s">
        <v>184</v>
      </c>
      <c r="B33" s="77">
        <f>COUNTIFS('Match Log'!$D$4:$D$810,B$29,'Match Log'!$C$4:$C$810,$A33,'Match Log'!$E$4:$E$810,"Win")</f>
        <v>0</v>
      </c>
      <c r="C33" s="77">
        <f>COUNTIFS('Match Log'!$D$4:$D$810,C$29,'Match Log'!$C$4:$C$810,$A33,'Match Log'!$E$4:$E$810,"Win")</f>
        <v>0</v>
      </c>
      <c r="D33" s="77">
        <f>COUNTIFS('Match Log'!$D$4:$D$810,D$29,'Match Log'!$C$4:$C$810,$A33,'Match Log'!$E$4:$E$810,"Win")</f>
        <v>0</v>
      </c>
      <c r="E33" s="77">
        <f>COUNTIFS('Match Log'!$D$4:$D$810,E$29,'Match Log'!$C$4:$C$810,$A33,'Match Log'!$E$4:$E$810,"Win")</f>
        <v>0</v>
      </c>
      <c r="F33" s="77">
        <f>COUNTIFS('Match Log'!$D$4:$D$810,F$29,'Match Log'!$C$4:$C$810,$A33,'Match Log'!$E$4:$E$810,"Win")</f>
        <v>0</v>
      </c>
      <c r="G33" s="77">
        <f>COUNTIFS('Match Log'!$D$4:$D$810,G$29,'Match Log'!$C$4:$C$810,$A33,'Match Log'!$E$4:$E$810,"Win")</f>
        <v>0</v>
      </c>
      <c r="H33" s="77">
        <f>COUNTIFS('Match Log'!$D$4:$D$810,H$29,'Match Log'!$C$4:$C$810,$A33,'Match Log'!$E$4:$E$810,"Win")</f>
        <v>0</v>
      </c>
      <c r="I33" s="77">
        <f>COUNTIFS('Match Log'!$D$4:$D$810,I$29,'Match Log'!$C$4:$C$810,$A33,'Match Log'!$E$4:$E$810,"Win")</f>
        <v>0</v>
      </c>
      <c r="J33" s="77">
        <f>COUNTIFS('Match Log'!$D$4:$D$810,J$29,'Match Log'!$C$4:$C$810,$A33,'Match Log'!$E$4:$E$810,"Win")</f>
        <v>0</v>
      </c>
      <c r="K33" s="77">
        <f>COUNTIFS('Match Log'!$D$4:$D$810,K$29,'Match Log'!$C$4:$C$810,$A33,'Match Log'!$E$4:$E$810,"Win")</f>
        <v>0</v>
      </c>
      <c r="L33" s="77">
        <f>COUNTIFS('Match Log'!$D$4:$D$810,L$29,'Match Log'!$C$4:$C$810,$A33,'Match Log'!$E$4:$E$810,"Win")</f>
        <v>0</v>
      </c>
      <c r="M33" s="77">
        <f>COUNTIFS('Match Log'!$D$4:$D$810,M$29,'Match Log'!$C$4:$C$810,$A33,'Match Log'!$E$4:$E$810,"Win")</f>
        <v>0</v>
      </c>
      <c r="N33" s="77">
        <f>COUNTIFS('Match Log'!$D$4:$D$810,N$29,'Match Log'!$C$4:$C$810,$A33,'Match Log'!$E$4:$E$810,"Win")</f>
        <v>0</v>
      </c>
      <c r="O33" s="77">
        <f>COUNTIFS('Match Log'!$D$4:$D$810,O$29,'Match Log'!$C$4:$C$810,$A33,'Match Log'!$E$4:$E$810,"Win")</f>
        <v>0</v>
      </c>
    </row>
    <row r="34" spans="1:15" ht="15" customHeight="1" x14ac:dyDescent="0.2">
      <c r="A34" s="76" t="s">
        <v>185</v>
      </c>
      <c r="B34" s="77">
        <f>COUNTIFS('Match Log'!$D$4:$D$810,B$29,'Match Log'!$C$4:$C$810,$A34,'Match Log'!$E$4:$E$810,"Win")</f>
        <v>0</v>
      </c>
      <c r="C34" s="77">
        <f>COUNTIFS('Match Log'!$D$4:$D$810,C$29,'Match Log'!$C$4:$C$810,$A34,'Match Log'!$E$4:$E$810,"Win")</f>
        <v>0</v>
      </c>
      <c r="D34" s="77">
        <f>COUNTIFS('Match Log'!$D$4:$D$810,D$29,'Match Log'!$C$4:$C$810,$A34,'Match Log'!$E$4:$E$810,"Win")</f>
        <v>0</v>
      </c>
      <c r="E34" s="77">
        <f>COUNTIFS('Match Log'!$D$4:$D$810,E$29,'Match Log'!$C$4:$C$810,$A34,'Match Log'!$E$4:$E$810,"Win")</f>
        <v>0</v>
      </c>
      <c r="F34" s="77">
        <f>COUNTIFS('Match Log'!$D$4:$D$810,F$29,'Match Log'!$C$4:$C$810,$A34,'Match Log'!$E$4:$E$810,"Win")</f>
        <v>0</v>
      </c>
      <c r="G34" s="77">
        <f>COUNTIFS('Match Log'!$D$4:$D$810,G$29,'Match Log'!$C$4:$C$810,$A34,'Match Log'!$E$4:$E$810,"Win")</f>
        <v>0</v>
      </c>
      <c r="H34" s="77">
        <f>COUNTIFS('Match Log'!$D$4:$D$810,H$29,'Match Log'!$C$4:$C$810,$A34,'Match Log'!$E$4:$E$810,"Win")</f>
        <v>2</v>
      </c>
      <c r="I34" s="77">
        <f>COUNTIFS('Match Log'!$D$4:$D$810,I$29,'Match Log'!$C$4:$C$810,$A34,'Match Log'!$E$4:$E$810,"Win")</f>
        <v>2</v>
      </c>
      <c r="J34" s="77">
        <f>COUNTIFS('Match Log'!$D$4:$D$810,J$29,'Match Log'!$C$4:$C$810,$A34,'Match Log'!$E$4:$E$810,"Win")</f>
        <v>4</v>
      </c>
      <c r="K34" s="77">
        <f>COUNTIFS('Match Log'!$D$4:$D$810,K$29,'Match Log'!$C$4:$C$810,$A34,'Match Log'!$E$4:$E$810,"Win")</f>
        <v>0</v>
      </c>
      <c r="L34" s="77">
        <f>COUNTIFS('Match Log'!$D$4:$D$810,L$29,'Match Log'!$C$4:$C$810,$A34,'Match Log'!$E$4:$E$810,"Win")</f>
        <v>2</v>
      </c>
      <c r="M34" s="77">
        <f>COUNTIFS('Match Log'!$D$4:$D$810,M$29,'Match Log'!$C$4:$C$810,$A34,'Match Log'!$E$4:$E$810,"Win")</f>
        <v>0</v>
      </c>
      <c r="N34" s="77">
        <f>COUNTIFS('Match Log'!$D$4:$D$810,N$29,'Match Log'!$C$4:$C$810,$A34,'Match Log'!$E$4:$E$810,"Win")</f>
        <v>0</v>
      </c>
      <c r="O34" s="77">
        <f>COUNTIFS('Match Log'!$D$4:$D$810,O$29,'Match Log'!$C$4:$C$810,$A34,'Match Log'!$E$4:$E$810,"Win")</f>
        <v>0</v>
      </c>
    </row>
    <row r="35" spans="1:15" ht="15" customHeight="1" x14ac:dyDescent="0.2">
      <c r="A35" s="76" t="s">
        <v>186</v>
      </c>
      <c r="B35" s="77">
        <f>COUNTIFS('Match Log'!$D$4:$D$810,B$29,'Match Log'!$C$4:$C$810,$A35,'Match Log'!$E$4:$E$810,"Win")</f>
        <v>1</v>
      </c>
      <c r="C35" s="77">
        <f>COUNTIFS('Match Log'!$D$4:$D$810,C$29,'Match Log'!$C$4:$C$810,$A35,'Match Log'!$E$4:$E$810,"Win")</f>
        <v>0</v>
      </c>
      <c r="D35" s="77">
        <f>COUNTIFS('Match Log'!$D$4:$D$810,D$29,'Match Log'!$C$4:$C$810,$A35,'Match Log'!$E$4:$E$810,"Win")</f>
        <v>0</v>
      </c>
      <c r="E35" s="77">
        <f>COUNTIFS('Match Log'!$D$4:$D$810,E$29,'Match Log'!$C$4:$C$810,$A35,'Match Log'!$E$4:$E$810,"Win")</f>
        <v>0</v>
      </c>
      <c r="F35" s="77">
        <f>COUNTIFS('Match Log'!$D$4:$D$810,F$29,'Match Log'!$C$4:$C$810,$A35,'Match Log'!$E$4:$E$810,"Win")</f>
        <v>0</v>
      </c>
      <c r="G35" s="77">
        <f>COUNTIFS('Match Log'!$D$4:$D$810,G$29,'Match Log'!$C$4:$C$810,$A35,'Match Log'!$E$4:$E$810,"Win")</f>
        <v>0</v>
      </c>
      <c r="H35" s="77">
        <f>COUNTIFS('Match Log'!$D$4:$D$810,H$29,'Match Log'!$C$4:$C$810,$A35,'Match Log'!$E$4:$E$810,"Win")</f>
        <v>0</v>
      </c>
      <c r="I35" s="77">
        <f>COUNTIFS('Match Log'!$D$4:$D$810,I$29,'Match Log'!$C$4:$C$810,$A35,'Match Log'!$E$4:$E$810,"Win")</f>
        <v>0</v>
      </c>
      <c r="J35" s="77">
        <f>COUNTIFS('Match Log'!$D$4:$D$810,J$29,'Match Log'!$C$4:$C$810,$A35,'Match Log'!$E$4:$E$810,"Win")</f>
        <v>0</v>
      </c>
      <c r="K35" s="77">
        <f>COUNTIFS('Match Log'!$D$4:$D$810,K$29,'Match Log'!$C$4:$C$810,$A35,'Match Log'!$E$4:$E$810,"Win")</f>
        <v>0</v>
      </c>
      <c r="L35" s="77">
        <f>COUNTIFS('Match Log'!$D$4:$D$810,L$29,'Match Log'!$C$4:$C$810,$A35,'Match Log'!$E$4:$E$810,"Win")</f>
        <v>0</v>
      </c>
      <c r="M35" s="77">
        <f>COUNTIFS('Match Log'!$D$4:$D$810,M$29,'Match Log'!$C$4:$C$810,$A35,'Match Log'!$E$4:$E$810,"Win")</f>
        <v>0</v>
      </c>
      <c r="N35" s="77">
        <f>COUNTIFS('Match Log'!$D$4:$D$810,N$29,'Match Log'!$C$4:$C$810,$A35,'Match Log'!$E$4:$E$810,"Win")</f>
        <v>0</v>
      </c>
      <c r="O35" s="77">
        <f>COUNTIFS('Match Log'!$D$4:$D$810,O$29,'Match Log'!$C$4:$C$810,$A35,'Match Log'!$E$4:$E$810,"Win")</f>
        <v>0</v>
      </c>
    </row>
    <row r="36" spans="1:15" ht="15" customHeight="1" x14ac:dyDescent="0.2">
      <c r="A36" s="76" t="s">
        <v>188</v>
      </c>
      <c r="B36" s="77">
        <f>COUNTIFS('Match Log'!$D$4:$D$810,B$29,'Match Log'!$C$4:$C$810,$A36,'Match Log'!$E$4:$E$810,"Win")</f>
        <v>0</v>
      </c>
      <c r="C36" s="77">
        <f>COUNTIFS('Match Log'!$D$4:$D$810,C$29,'Match Log'!$C$4:$C$810,$A36,'Match Log'!$E$4:$E$810,"Win")</f>
        <v>0</v>
      </c>
      <c r="D36" s="77">
        <f>COUNTIFS('Match Log'!$D$4:$D$810,D$29,'Match Log'!$C$4:$C$810,$A36,'Match Log'!$E$4:$E$810,"Win")</f>
        <v>0</v>
      </c>
      <c r="E36" s="77">
        <f>COUNTIFS('Match Log'!$D$4:$D$810,E$29,'Match Log'!$C$4:$C$810,$A36,'Match Log'!$E$4:$E$810,"Win")</f>
        <v>0</v>
      </c>
      <c r="F36" s="77">
        <f>COUNTIFS('Match Log'!$D$4:$D$810,F$29,'Match Log'!$C$4:$C$810,$A36,'Match Log'!$E$4:$E$810,"Win")</f>
        <v>0</v>
      </c>
      <c r="G36" s="77">
        <f>COUNTIFS('Match Log'!$D$4:$D$810,G$29,'Match Log'!$C$4:$C$810,$A36,'Match Log'!$E$4:$E$810,"Win")</f>
        <v>0</v>
      </c>
      <c r="H36" s="77">
        <f>COUNTIFS('Match Log'!$D$4:$D$810,H$29,'Match Log'!$C$4:$C$810,$A36,'Match Log'!$E$4:$E$810,"Win")</f>
        <v>0</v>
      </c>
      <c r="I36" s="77">
        <f>COUNTIFS('Match Log'!$D$4:$D$810,I$29,'Match Log'!$C$4:$C$810,$A36,'Match Log'!$E$4:$E$810,"Win")</f>
        <v>0</v>
      </c>
      <c r="J36" s="77">
        <f>COUNTIFS('Match Log'!$D$4:$D$810,J$29,'Match Log'!$C$4:$C$810,$A36,'Match Log'!$E$4:$E$810,"Win")</f>
        <v>0</v>
      </c>
      <c r="K36" s="77">
        <f>COUNTIFS('Match Log'!$D$4:$D$810,K$29,'Match Log'!$C$4:$C$810,$A36,'Match Log'!$E$4:$E$810,"Win")</f>
        <v>0</v>
      </c>
      <c r="L36" s="77">
        <f>COUNTIFS('Match Log'!$D$4:$D$810,L$29,'Match Log'!$C$4:$C$810,$A36,'Match Log'!$E$4:$E$810,"Win")</f>
        <v>0</v>
      </c>
      <c r="M36" s="77">
        <f>COUNTIFS('Match Log'!$D$4:$D$810,M$29,'Match Log'!$C$4:$C$810,$A36,'Match Log'!$E$4:$E$810,"Win")</f>
        <v>0</v>
      </c>
      <c r="N36" s="77">
        <f>COUNTIFS('Match Log'!$D$4:$D$810,N$29,'Match Log'!$C$4:$C$810,$A36,'Match Log'!$E$4:$E$810,"Win")</f>
        <v>0</v>
      </c>
      <c r="O36" s="77">
        <f>COUNTIFS('Match Log'!$D$4:$D$810,O$29,'Match Log'!$C$4:$C$810,$A36,'Match Log'!$E$4:$E$810,"Win")</f>
        <v>0</v>
      </c>
    </row>
    <row r="37" spans="1:15" ht="15" customHeight="1" x14ac:dyDescent="0.2">
      <c r="A37" s="76" t="s">
        <v>190</v>
      </c>
      <c r="B37" s="77">
        <f>COUNTIFS('Match Log'!$D$4:$D$810,B$29,'Match Log'!$C$4:$C$810,$A37,'Match Log'!$E$4:$E$810,"Win")</f>
        <v>0</v>
      </c>
      <c r="C37" s="77">
        <f>COUNTIFS('Match Log'!$D$4:$D$810,C$29,'Match Log'!$C$4:$C$810,$A37,'Match Log'!$E$4:$E$810,"Win")</f>
        <v>0</v>
      </c>
      <c r="D37" s="77">
        <f>COUNTIFS('Match Log'!$D$4:$D$810,D$29,'Match Log'!$C$4:$C$810,$A37,'Match Log'!$E$4:$E$810,"Win")</f>
        <v>0</v>
      </c>
      <c r="E37" s="77">
        <f>COUNTIFS('Match Log'!$D$4:$D$810,E$29,'Match Log'!$C$4:$C$810,$A37,'Match Log'!$E$4:$E$810,"Win")</f>
        <v>0</v>
      </c>
      <c r="F37" s="77">
        <f>COUNTIFS('Match Log'!$D$4:$D$810,F$29,'Match Log'!$C$4:$C$810,$A37,'Match Log'!$E$4:$E$810,"Win")</f>
        <v>0</v>
      </c>
      <c r="G37" s="77">
        <f>COUNTIFS('Match Log'!$D$4:$D$810,G$29,'Match Log'!$C$4:$C$810,$A37,'Match Log'!$E$4:$E$810,"Win")</f>
        <v>0</v>
      </c>
      <c r="H37" s="77">
        <f>COUNTIFS('Match Log'!$D$4:$D$810,H$29,'Match Log'!$C$4:$C$810,$A37,'Match Log'!$E$4:$E$810,"Win")</f>
        <v>0</v>
      </c>
      <c r="I37" s="77">
        <f>COUNTIFS('Match Log'!$D$4:$D$810,I$29,'Match Log'!$C$4:$C$810,$A37,'Match Log'!$E$4:$E$810,"Win")</f>
        <v>0</v>
      </c>
      <c r="J37" s="77">
        <f>COUNTIFS('Match Log'!$D$4:$D$810,J$29,'Match Log'!$C$4:$C$810,$A37,'Match Log'!$E$4:$E$810,"Win")</f>
        <v>0</v>
      </c>
      <c r="K37" s="77">
        <f>COUNTIFS('Match Log'!$D$4:$D$810,K$29,'Match Log'!$C$4:$C$810,$A37,'Match Log'!$E$4:$E$810,"Win")</f>
        <v>0</v>
      </c>
      <c r="L37" s="77">
        <f>COUNTIFS('Match Log'!$D$4:$D$810,L$29,'Match Log'!$C$4:$C$810,$A37,'Match Log'!$E$4:$E$810,"Win")</f>
        <v>0</v>
      </c>
      <c r="M37" s="77">
        <f>COUNTIFS('Match Log'!$D$4:$D$810,M$29,'Match Log'!$C$4:$C$810,$A37,'Match Log'!$E$4:$E$810,"Win")</f>
        <v>0</v>
      </c>
      <c r="N37" s="77">
        <f>COUNTIFS('Match Log'!$D$4:$D$810,N$29,'Match Log'!$C$4:$C$810,$A37,'Match Log'!$E$4:$E$810,"Win")</f>
        <v>0</v>
      </c>
      <c r="O37" s="77">
        <f>COUNTIFS('Match Log'!$D$4:$D$810,O$29,'Match Log'!$C$4:$C$810,$A37,'Match Log'!$E$4:$E$810,"Win")</f>
        <v>0</v>
      </c>
    </row>
    <row r="38" spans="1:15" ht="15" customHeight="1" x14ac:dyDescent="0.2">
      <c r="A38" s="76" t="s">
        <v>192</v>
      </c>
      <c r="B38" s="77">
        <f>COUNTIFS('Match Log'!$D$4:$D$810,B$29,'Match Log'!$C$4:$C$810,$A38,'Match Log'!$E$4:$E$810,"Win")</f>
        <v>0</v>
      </c>
      <c r="C38" s="77">
        <f>COUNTIFS('Match Log'!$D$4:$D$810,C$29,'Match Log'!$C$4:$C$810,$A38,'Match Log'!$E$4:$E$810,"Win")</f>
        <v>0</v>
      </c>
      <c r="D38" s="77">
        <f>COUNTIFS('Match Log'!$D$4:$D$810,D$29,'Match Log'!$C$4:$C$810,$A38,'Match Log'!$E$4:$E$810,"Win")</f>
        <v>0</v>
      </c>
      <c r="E38" s="77">
        <f>COUNTIFS('Match Log'!$D$4:$D$810,E$29,'Match Log'!$C$4:$C$810,$A38,'Match Log'!$E$4:$E$810,"Win")</f>
        <v>0</v>
      </c>
      <c r="F38" s="77">
        <f>COUNTIFS('Match Log'!$D$4:$D$810,F$29,'Match Log'!$C$4:$C$810,$A38,'Match Log'!$E$4:$E$810,"Win")</f>
        <v>1</v>
      </c>
      <c r="G38" s="77">
        <f>COUNTIFS('Match Log'!$D$4:$D$810,G$29,'Match Log'!$C$4:$C$810,$A38,'Match Log'!$E$4:$E$810,"Win")</f>
        <v>0</v>
      </c>
      <c r="H38" s="77">
        <f>COUNTIFS('Match Log'!$D$4:$D$810,H$29,'Match Log'!$C$4:$C$810,$A38,'Match Log'!$E$4:$E$810,"Win")</f>
        <v>0</v>
      </c>
      <c r="I38" s="77">
        <f>COUNTIFS('Match Log'!$D$4:$D$810,I$29,'Match Log'!$C$4:$C$810,$A38,'Match Log'!$E$4:$E$810,"Win")</f>
        <v>0</v>
      </c>
      <c r="J38" s="77">
        <f>COUNTIFS('Match Log'!$D$4:$D$810,J$29,'Match Log'!$C$4:$C$810,$A38,'Match Log'!$E$4:$E$810,"Win")</f>
        <v>0</v>
      </c>
      <c r="K38" s="77">
        <f>COUNTIFS('Match Log'!$D$4:$D$810,K$29,'Match Log'!$C$4:$C$810,$A38,'Match Log'!$E$4:$E$810,"Win")</f>
        <v>0</v>
      </c>
      <c r="L38" s="77">
        <f>COUNTIFS('Match Log'!$D$4:$D$810,L$29,'Match Log'!$C$4:$C$810,$A38,'Match Log'!$E$4:$E$810,"Win")</f>
        <v>0</v>
      </c>
      <c r="M38" s="77">
        <f>COUNTIFS('Match Log'!$D$4:$D$810,M$29,'Match Log'!$C$4:$C$810,$A38,'Match Log'!$E$4:$E$810,"Win")</f>
        <v>0</v>
      </c>
      <c r="N38" s="77">
        <f>COUNTIFS('Match Log'!$D$4:$D$810,N$29,'Match Log'!$C$4:$C$810,$A38,'Match Log'!$E$4:$E$810,"Win")</f>
        <v>0</v>
      </c>
      <c r="O38" s="77">
        <f>COUNTIFS('Match Log'!$D$4:$D$810,O$29,'Match Log'!$C$4:$C$810,$A38,'Match Log'!$E$4:$E$810,"Win")</f>
        <v>0</v>
      </c>
    </row>
    <row r="39" spans="1:15" ht="15" customHeight="1" x14ac:dyDescent="0.2">
      <c r="A39" s="76" t="s">
        <v>193</v>
      </c>
      <c r="B39" s="77">
        <f>COUNTIFS('Match Log'!$D$4:$D$810,B$29,'Match Log'!$C$4:$C$810,$A39,'Match Log'!$E$4:$E$810,"Win")</f>
        <v>0</v>
      </c>
      <c r="C39" s="77">
        <f>COUNTIFS('Match Log'!$D$4:$D$810,C$29,'Match Log'!$C$4:$C$810,$A39,'Match Log'!$E$4:$E$810,"Win")</f>
        <v>0</v>
      </c>
      <c r="D39" s="77">
        <f>COUNTIFS('Match Log'!$D$4:$D$810,D$29,'Match Log'!$C$4:$C$810,$A39,'Match Log'!$E$4:$E$810,"Win")</f>
        <v>0</v>
      </c>
      <c r="E39" s="77">
        <f>COUNTIFS('Match Log'!$D$4:$D$810,E$29,'Match Log'!$C$4:$C$810,$A39,'Match Log'!$E$4:$E$810,"Win")</f>
        <v>0</v>
      </c>
      <c r="F39" s="77">
        <f>COUNTIFS('Match Log'!$D$4:$D$810,F$29,'Match Log'!$C$4:$C$810,$A39,'Match Log'!$E$4:$E$810,"Win")</f>
        <v>0</v>
      </c>
      <c r="G39" s="77">
        <f>COUNTIFS('Match Log'!$D$4:$D$810,G$29,'Match Log'!$C$4:$C$810,$A39,'Match Log'!$E$4:$E$810,"Win")</f>
        <v>0</v>
      </c>
      <c r="H39" s="77">
        <f>COUNTIFS('Match Log'!$D$4:$D$810,H$29,'Match Log'!$C$4:$C$810,$A39,'Match Log'!$E$4:$E$810,"Win")</f>
        <v>0</v>
      </c>
      <c r="I39" s="77">
        <f>COUNTIFS('Match Log'!$D$4:$D$810,I$29,'Match Log'!$C$4:$C$810,$A39,'Match Log'!$E$4:$E$810,"Win")</f>
        <v>0</v>
      </c>
      <c r="J39" s="77">
        <f>COUNTIFS('Match Log'!$D$4:$D$810,J$29,'Match Log'!$C$4:$C$810,$A39,'Match Log'!$E$4:$E$810,"Win")</f>
        <v>0</v>
      </c>
      <c r="K39" s="77">
        <f>COUNTIFS('Match Log'!$D$4:$D$810,K$29,'Match Log'!$C$4:$C$810,$A39,'Match Log'!$E$4:$E$810,"Win")</f>
        <v>0</v>
      </c>
      <c r="L39" s="77">
        <f>COUNTIFS('Match Log'!$D$4:$D$810,L$29,'Match Log'!$C$4:$C$810,$A39,'Match Log'!$E$4:$E$810,"Win")</f>
        <v>0</v>
      </c>
      <c r="M39" s="77">
        <f>COUNTIFS('Match Log'!$D$4:$D$810,M$29,'Match Log'!$C$4:$C$810,$A39,'Match Log'!$E$4:$E$810,"Win")</f>
        <v>0</v>
      </c>
      <c r="N39" s="77">
        <f>COUNTIFS('Match Log'!$D$4:$D$810,N$29,'Match Log'!$C$4:$C$810,$A39,'Match Log'!$E$4:$E$810,"Win")</f>
        <v>0</v>
      </c>
      <c r="O39" s="77">
        <f>COUNTIFS('Match Log'!$D$4:$D$810,O$29,'Match Log'!$C$4:$C$810,$A39,'Match Log'!$E$4:$E$810,"Win")</f>
        <v>0</v>
      </c>
    </row>
    <row r="40" spans="1:15" ht="15" customHeight="1" x14ac:dyDescent="0.2">
      <c r="A40" s="76" t="s">
        <v>194</v>
      </c>
      <c r="B40" s="77">
        <f>COUNTIFS('Match Log'!$D$4:$D$810,B$29,'Match Log'!$C$4:$C$810,$A40,'Match Log'!$E$4:$E$810,"Win")</f>
        <v>0</v>
      </c>
      <c r="C40" s="77">
        <f>COUNTIFS('Match Log'!$D$4:$D$810,C$29,'Match Log'!$C$4:$C$810,$A40,'Match Log'!$E$4:$E$810,"Win")</f>
        <v>0</v>
      </c>
      <c r="D40" s="77">
        <f>COUNTIFS('Match Log'!$D$4:$D$810,D$29,'Match Log'!$C$4:$C$810,$A40,'Match Log'!$E$4:$E$810,"Win")</f>
        <v>0</v>
      </c>
      <c r="E40" s="77">
        <f>COUNTIFS('Match Log'!$D$4:$D$810,E$29,'Match Log'!$C$4:$C$810,$A40,'Match Log'!$E$4:$E$810,"Win")</f>
        <v>0</v>
      </c>
      <c r="F40" s="77">
        <f>COUNTIFS('Match Log'!$D$4:$D$810,F$29,'Match Log'!$C$4:$C$810,$A40,'Match Log'!$E$4:$E$810,"Win")</f>
        <v>0</v>
      </c>
      <c r="G40" s="77">
        <f>COUNTIFS('Match Log'!$D$4:$D$810,G$29,'Match Log'!$C$4:$C$810,$A40,'Match Log'!$E$4:$E$810,"Win")</f>
        <v>0</v>
      </c>
      <c r="H40" s="77">
        <f>COUNTIFS('Match Log'!$D$4:$D$810,H$29,'Match Log'!$C$4:$C$810,$A40,'Match Log'!$E$4:$E$810,"Win")</f>
        <v>0</v>
      </c>
      <c r="I40" s="77">
        <f>COUNTIFS('Match Log'!$D$4:$D$810,I$29,'Match Log'!$C$4:$C$810,$A40,'Match Log'!$E$4:$E$810,"Win")</f>
        <v>0</v>
      </c>
      <c r="J40" s="77">
        <f>COUNTIFS('Match Log'!$D$4:$D$810,J$29,'Match Log'!$C$4:$C$810,$A40,'Match Log'!$E$4:$E$810,"Win")</f>
        <v>0</v>
      </c>
      <c r="K40" s="77">
        <f>COUNTIFS('Match Log'!$D$4:$D$810,K$29,'Match Log'!$C$4:$C$810,$A40,'Match Log'!$E$4:$E$810,"Win")</f>
        <v>0</v>
      </c>
      <c r="L40" s="77">
        <f>COUNTIFS('Match Log'!$D$4:$D$810,L$29,'Match Log'!$C$4:$C$810,$A40,'Match Log'!$E$4:$E$810,"Win")</f>
        <v>0</v>
      </c>
      <c r="M40" s="77">
        <f>COUNTIFS('Match Log'!$D$4:$D$810,M$29,'Match Log'!$C$4:$C$810,$A40,'Match Log'!$E$4:$E$810,"Win")</f>
        <v>0</v>
      </c>
      <c r="N40" s="77">
        <f>COUNTIFS('Match Log'!$D$4:$D$810,N$29,'Match Log'!$C$4:$C$810,$A40,'Match Log'!$E$4:$E$810,"Win")</f>
        <v>0</v>
      </c>
      <c r="O40" s="77">
        <f>COUNTIFS('Match Log'!$D$4:$D$810,O$29,'Match Log'!$C$4:$C$810,$A40,'Match Log'!$E$4:$E$810,"Win")</f>
        <v>0</v>
      </c>
    </row>
    <row r="41" spans="1:15" ht="15" customHeight="1" x14ac:dyDescent="0.2">
      <c r="A41" s="76" t="s">
        <v>195</v>
      </c>
      <c r="B41" s="77">
        <f>COUNTIFS('Match Log'!$D$4:$D$810,B$29,'Match Log'!$C$4:$C$810,$A41,'Match Log'!$E$4:$E$810,"Win")</f>
        <v>1</v>
      </c>
      <c r="C41" s="77">
        <f>COUNTIFS('Match Log'!$D$4:$D$810,C$29,'Match Log'!$C$4:$C$810,$A41,'Match Log'!$E$4:$E$810,"Win")</f>
        <v>0</v>
      </c>
      <c r="D41" s="77">
        <f>COUNTIFS('Match Log'!$D$4:$D$810,D$29,'Match Log'!$C$4:$C$810,$A41,'Match Log'!$E$4:$E$810,"Win")</f>
        <v>0</v>
      </c>
      <c r="E41" s="77">
        <f>COUNTIFS('Match Log'!$D$4:$D$810,E$29,'Match Log'!$C$4:$C$810,$A41,'Match Log'!$E$4:$E$810,"Win")</f>
        <v>1</v>
      </c>
      <c r="F41" s="77">
        <f>COUNTIFS('Match Log'!$D$4:$D$810,F$29,'Match Log'!$C$4:$C$810,$A41,'Match Log'!$E$4:$E$810,"Win")</f>
        <v>13</v>
      </c>
      <c r="G41" s="77">
        <f>COUNTIFS('Match Log'!$D$4:$D$810,G$29,'Match Log'!$C$4:$C$810,$A41,'Match Log'!$E$4:$E$810,"Win")</f>
        <v>5</v>
      </c>
      <c r="H41" s="77">
        <f>COUNTIFS('Match Log'!$D$4:$D$810,H$29,'Match Log'!$C$4:$C$810,$A41,'Match Log'!$E$4:$E$810,"Win")</f>
        <v>0</v>
      </c>
      <c r="I41" s="77">
        <f>COUNTIFS('Match Log'!$D$4:$D$810,I$29,'Match Log'!$C$4:$C$810,$A41,'Match Log'!$E$4:$E$810,"Win")</f>
        <v>1</v>
      </c>
      <c r="J41" s="77">
        <f>COUNTIFS('Match Log'!$D$4:$D$810,J$29,'Match Log'!$C$4:$C$810,$A41,'Match Log'!$E$4:$E$810,"Win")</f>
        <v>4</v>
      </c>
      <c r="K41" s="77">
        <f>COUNTIFS('Match Log'!$D$4:$D$810,K$29,'Match Log'!$C$4:$C$810,$A41,'Match Log'!$E$4:$E$810,"Win")</f>
        <v>0</v>
      </c>
      <c r="L41" s="77">
        <f>COUNTIFS('Match Log'!$D$4:$D$810,L$29,'Match Log'!$C$4:$C$810,$A41,'Match Log'!$E$4:$E$810,"Win")</f>
        <v>6</v>
      </c>
      <c r="M41" s="77">
        <f>COUNTIFS('Match Log'!$D$4:$D$810,M$29,'Match Log'!$C$4:$C$810,$A41,'Match Log'!$E$4:$E$810,"Win")</f>
        <v>0</v>
      </c>
      <c r="N41" s="77">
        <f>COUNTIFS('Match Log'!$D$4:$D$810,N$29,'Match Log'!$C$4:$C$810,$A41,'Match Log'!$E$4:$E$810,"Win")</f>
        <v>0</v>
      </c>
      <c r="O41" s="77">
        <f>COUNTIFS('Match Log'!$D$4:$D$810,O$29,'Match Log'!$C$4:$C$810,$A41,'Match Log'!$E$4:$E$810,"Win")</f>
        <v>0</v>
      </c>
    </row>
    <row r="42" spans="1:15" ht="15" customHeight="1" x14ac:dyDescent="0.2">
      <c r="A42" s="76" t="s">
        <v>197</v>
      </c>
      <c r="B42" s="77">
        <f>COUNTIFS('Match Log'!$D$4:$D$810,B$29,'Match Log'!$C$4:$C$810,$A42,'Match Log'!$E$4:$E$810,"Win")</f>
        <v>2</v>
      </c>
      <c r="C42" s="77">
        <f>COUNTIFS('Match Log'!$D$4:$D$810,C$29,'Match Log'!$C$4:$C$810,$A42,'Match Log'!$E$4:$E$810,"Win")</f>
        <v>0</v>
      </c>
      <c r="D42" s="77">
        <f>COUNTIFS('Match Log'!$D$4:$D$810,D$29,'Match Log'!$C$4:$C$810,$A42,'Match Log'!$E$4:$E$810,"Win")</f>
        <v>0</v>
      </c>
      <c r="E42" s="77">
        <f>COUNTIFS('Match Log'!$D$4:$D$810,E$29,'Match Log'!$C$4:$C$810,$A42,'Match Log'!$E$4:$E$810,"Win")</f>
        <v>0</v>
      </c>
      <c r="F42" s="77">
        <f>COUNTIFS('Match Log'!$D$4:$D$810,F$29,'Match Log'!$C$4:$C$810,$A42,'Match Log'!$E$4:$E$810,"Win")</f>
        <v>0</v>
      </c>
      <c r="G42" s="77">
        <f>COUNTIFS('Match Log'!$D$4:$D$810,G$29,'Match Log'!$C$4:$C$810,$A42,'Match Log'!$E$4:$E$810,"Win")</f>
        <v>2</v>
      </c>
      <c r="H42" s="77">
        <f>COUNTIFS('Match Log'!$D$4:$D$810,H$29,'Match Log'!$C$4:$C$810,$A42,'Match Log'!$E$4:$E$810,"Win")</f>
        <v>0</v>
      </c>
      <c r="I42" s="77">
        <f>COUNTIFS('Match Log'!$D$4:$D$810,I$29,'Match Log'!$C$4:$C$810,$A42,'Match Log'!$E$4:$E$810,"Win")</f>
        <v>5</v>
      </c>
      <c r="J42" s="77">
        <f>COUNTIFS('Match Log'!$D$4:$D$810,J$29,'Match Log'!$C$4:$C$810,$A42,'Match Log'!$E$4:$E$810,"Win")</f>
        <v>0</v>
      </c>
      <c r="K42" s="77">
        <f>COUNTIFS('Match Log'!$D$4:$D$810,K$29,'Match Log'!$C$4:$C$810,$A42,'Match Log'!$E$4:$E$810,"Win")</f>
        <v>0</v>
      </c>
      <c r="L42" s="77">
        <f>COUNTIFS('Match Log'!$D$4:$D$810,L$29,'Match Log'!$C$4:$C$810,$A42,'Match Log'!$E$4:$E$810,"Win")</f>
        <v>1</v>
      </c>
      <c r="M42" s="77">
        <f>COUNTIFS('Match Log'!$D$4:$D$810,M$29,'Match Log'!$C$4:$C$810,$A42,'Match Log'!$E$4:$E$810,"Win")</f>
        <v>0</v>
      </c>
      <c r="N42" s="77">
        <f>COUNTIFS('Match Log'!$D$4:$D$810,N$29,'Match Log'!$C$4:$C$810,$A42,'Match Log'!$E$4:$E$810,"Win")</f>
        <v>0</v>
      </c>
      <c r="O42" s="77">
        <f>COUNTIFS('Match Log'!$D$4:$D$810,O$29,'Match Log'!$C$4:$C$810,$A42,'Match Log'!$E$4:$E$810,"Win")</f>
        <v>0</v>
      </c>
    </row>
    <row r="43" spans="1:15" ht="15" customHeight="1" x14ac:dyDescent="0.2">
      <c r="A43" s="76" t="s">
        <v>199</v>
      </c>
      <c r="B43" s="77">
        <f>COUNTIFS('Match Log'!$D$4:$D$810,B$29,'Match Log'!$C$4:$C$810,$A43,'Match Log'!$E$4:$E$810,"Win")</f>
        <v>3</v>
      </c>
      <c r="C43" s="77">
        <f>COUNTIFS('Match Log'!$D$4:$D$810,C$29,'Match Log'!$C$4:$C$810,$A43,'Match Log'!$E$4:$E$810,"Win")</f>
        <v>0</v>
      </c>
      <c r="D43" s="77">
        <f>COUNTIFS('Match Log'!$D$4:$D$810,D$29,'Match Log'!$C$4:$C$810,$A43,'Match Log'!$E$4:$E$810,"Win")</f>
        <v>4</v>
      </c>
      <c r="E43" s="77">
        <f>COUNTIFS('Match Log'!$D$4:$D$810,E$29,'Match Log'!$C$4:$C$810,$A43,'Match Log'!$E$4:$E$810,"Win")</f>
        <v>0</v>
      </c>
      <c r="F43" s="77">
        <f>COUNTIFS('Match Log'!$D$4:$D$810,F$29,'Match Log'!$C$4:$C$810,$A43,'Match Log'!$E$4:$E$810,"Win")</f>
        <v>0</v>
      </c>
      <c r="G43" s="77">
        <f>COUNTIFS('Match Log'!$D$4:$D$810,G$29,'Match Log'!$C$4:$C$810,$A43,'Match Log'!$E$4:$E$810,"Win")</f>
        <v>0</v>
      </c>
      <c r="H43" s="77">
        <f>COUNTIFS('Match Log'!$D$4:$D$810,H$29,'Match Log'!$C$4:$C$810,$A43,'Match Log'!$E$4:$E$810,"Win")</f>
        <v>0</v>
      </c>
      <c r="I43" s="77">
        <f>COUNTIFS('Match Log'!$D$4:$D$810,I$29,'Match Log'!$C$4:$C$810,$A43,'Match Log'!$E$4:$E$810,"Win")</f>
        <v>2</v>
      </c>
      <c r="J43" s="77">
        <f>COUNTIFS('Match Log'!$D$4:$D$810,J$29,'Match Log'!$C$4:$C$810,$A43,'Match Log'!$E$4:$E$810,"Win")</f>
        <v>0</v>
      </c>
      <c r="K43" s="77">
        <f>COUNTIFS('Match Log'!$D$4:$D$810,K$29,'Match Log'!$C$4:$C$810,$A43,'Match Log'!$E$4:$E$810,"Win")</f>
        <v>0</v>
      </c>
      <c r="L43" s="77">
        <f>COUNTIFS('Match Log'!$D$4:$D$810,L$29,'Match Log'!$C$4:$C$810,$A43,'Match Log'!$E$4:$E$810,"Win")</f>
        <v>5</v>
      </c>
      <c r="M43" s="77">
        <f>COUNTIFS('Match Log'!$D$4:$D$810,M$29,'Match Log'!$C$4:$C$810,$A43,'Match Log'!$E$4:$E$810,"Win")</f>
        <v>0</v>
      </c>
      <c r="N43" s="77">
        <f>COUNTIFS('Match Log'!$D$4:$D$810,N$29,'Match Log'!$C$4:$C$810,$A43,'Match Log'!$E$4:$E$810,"Win")</f>
        <v>0</v>
      </c>
      <c r="O43" s="77">
        <f>COUNTIFS('Match Log'!$D$4:$D$810,O$29,'Match Log'!$C$4:$C$810,$A43,'Match Log'!$E$4:$E$810,"Win")</f>
        <v>0</v>
      </c>
    </row>
    <row r="44" spans="1:15" ht="15" customHeight="1" x14ac:dyDescent="0.2">
      <c r="A44" s="76" t="s">
        <v>201</v>
      </c>
      <c r="B44" s="77">
        <f>COUNTIFS('Match Log'!$D$4:$D$810,B$29,'Match Log'!$C$4:$C$810,$A44,'Match Log'!$E$4:$E$810,"Win")</f>
        <v>0</v>
      </c>
      <c r="C44" s="77">
        <f>COUNTIFS('Match Log'!$D$4:$D$810,C$29,'Match Log'!$C$4:$C$810,$A44,'Match Log'!$E$4:$E$810,"Win")</f>
        <v>0</v>
      </c>
      <c r="D44" s="77">
        <f>COUNTIFS('Match Log'!$D$4:$D$810,D$29,'Match Log'!$C$4:$C$810,$A44,'Match Log'!$E$4:$E$810,"Win")</f>
        <v>0</v>
      </c>
      <c r="E44" s="77">
        <f>COUNTIFS('Match Log'!$D$4:$D$810,E$29,'Match Log'!$C$4:$C$810,$A44,'Match Log'!$E$4:$E$810,"Win")</f>
        <v>0</v>
      </c>
      <c r="F44" s="77">
        <f>COUNTIFS('Match Log'!$D$4:$D$810,F$29,'Match Log'!$C$4:$C$810,$A44,'Match Log'!$E$4:$E$810,"Win")</f>
        <v>0</v>
      </c>
      <c r="G44" s="77">
        <f>COUNTIFS('Match Log'!$D$4:$D$810,G$29,'Match Log'!$C$4:$C$810,$A44,'Match Log'!$E$4:$E$810,"Win")</f>
        <v>0</v>
      </c>
      <c r="H44" s="77">
        <f>COUNTIFS('Match Log'!$D$4:$D$810,H$29,'Match Log'!$C$4:$C$810,$A44,'Match Log'!$E$4:$E$810,"Win")</f>
        <v>0</v>
      </c>
      <c r="I44" s="77">
        <f>COUNTIFS('Match Log'!$D$4:$D$810,I$29,'Match Log'!$C$4:$C$810,$A44,'Match Log'!$E$4:$E$810,"Win")</f>
        <v>0</v>
      </c>
      <c r="J44" s="77">
        <f>COUNTIFS('Match Log'!$D$4:$D$810,J$29,'Match Log'!$C$4:$C$810,$A44,'Match Log'!$E$4:$E$810,"Win")</f>
        <v>0</v>
      </c>
      <c r="K44" s="77">
        <f>COUNTIFS('Match Log'!$D$4:$D$810,K$29,'Match Log'!$C$4:$C$810,$A44,'Match Log'!$E$4:$E$810,"Win")</f>
        <v>0</v>
      </c>
      <c r="L44" s="77">
        <f>COUNTIFS('Match Log'!$D$4:$D$810,L$29,'Match Log'!$C$4:$C$810,$A44,'Match Log'!$E$4:$E$810,"Win")</f>
        <v>0</v>
      </c>
      <c r="M44" s="77">
        <f>COUNTIFS('Match Log'!$D$4:$D$810,M$29,'Match Log'!$C$4:$C$810,$A44,'Match Log'!$E$4:$E$810,"Win")</f>
        <v>0</v>
      </c>
      <c r="N44" s="77">
        <f>COUNTIFS('Match Log'!$D$4:$D$810,N$29,'Match Log'!$C$4:$C$810,$A44,'Match Log'!$E$4:$E$810,"Win")</f>
        <v>0</v>
      </c>
      <c r="O44" s="77">
        <f>COUNTIFS('Match Log'!$D$4:$D$810,O$29,'Match Log'!$C$4:$C$810,$A44,'Match Log'!$E$4:$E$810,"Win")</f>
        <v>0</v>
      </c>
    </row>
    <row r="45" spans="1:15" ht="15" customHeight="1" x14ac:dyDescent="0.2">
      <c r="A45" s="76" t="s">
        <v>203</v>
      </c>
      <c r="B45" s="77">
        <f>COUNTIFS('Match Log'!$D$4:$D$810,B$29,'Match Log'!$C$4:$C$810,$A45,'Match Log'!$E$4:$E$810,"Win")</f>
        <v>1</v>
      </c>
      <c r="C45" s="77">
        <f>COUNTIFS('Match Log'!$D$4:$D$810,C$29,'Match Log'!$C$4:$C$810,$A45,'Match Log'!$E$4:$E$810,"Win")</f>
        <v>0</v>
      </c>
      <c r="D45" s="77">
        <f>COUNTIFS('Match Log'!$D$4:$D$810,D$29,'Match Log'!$C$4:$C$810,$A45,'Match Log'!$E$4:$E$810,"Win")</f>
        <v>0</v>
      </c>
      <c r="E45" s="77">
        <f>COUNTIFS('Match Log'!$D$4:$D$810,E$29,'Match Log'!$C$4:$C$810,$A45,'Match Log'!$E$4:$E$810,"Win")</f>
        <v>0</v>
      </c>
      <c r="F45" s="77">
        <f>COUNTIFS('Match Log'!$D$4:$D$810,F$29,'Match Log'!$C$4:$C$810,$A45,'Match Log'!$E$4:$E$810,"Win")</f>
        <v>0</v>
      </c>
      <c r="G45" s="77">
        <f>COUNTIFS('Match Log'!$D$4:$D$810,G$29,'Match Log'!$C$4:$C$810,$A45,'Match Log'!$E$4:$E$810,"Win")</f>
        <v>0</v>
      </c>
      <c r="H45" s="77">
        <f>COUNTIFS('Match Log'!$D$4:$D$810,H$29,'Match Log'!$C$4:$C$810,$A45,'Match Log'!$E$4:$E$810,"Win")</f>
        <v>0</v>
      </c>
      <c r="I45" s="77">
        <f>COUNTIFS('Match Log'!$D$4:$D$810,I$29,'Match Log'!$C$4:$C$810,$A45,'Match Log'!$E$4:$E$810,"Win")</f>
        <v>2</v>
      </c>
      <c r="J45" s="77">
        <f>COUNTIFS('Match Log'!$D$4:$D$810,J$29,'Match Log'!$C$4:$C$810,$A45,'Match Log'!$E$4:$E$810,"Win")</f>
        <v>0</v>
      </c>
      <c r="K45" s="77">
        <f>COUNTIFS('Match Log'!$D$4:$D$810,K$29,'Match Log'!$C$4:$C$810,$A45,'Match Log'!$E$4:$E$810,"Win")</f>
        <v>0</v>
      </c>
      <c r="L45" s="77">
        <f>COUNTIFS('Match Log'!$D$4:$D$810,L$29,'Match Log'!$C$4:$C$810,$A45,'Match Log'!$E$4:$E$810,"Win")</f>
        <v>0</v>
      </c>
      <c r="M45" s="77">
        <f>COUNTIFS('Match Log'!$D$4:$D$810,M$29,'Match Log'!$C$4:$C$810,$A45,'Match Log'!$E$4:$E$810,"Win")</f>
        <v>0</v>
      </c>
      <c r="N45" s="77">
        <f>COUNTIFS('Match Log'!$D$4:$D$810,N$29,'Match Log'!$C$4:$C$810,$A45,'Match Log'!$E$4:$E$810,"Win")</f>
        <v>0</v>
      </c>
      <c r="O45" s="77">
        <f>COUNTIFS('Match Log'!$D$4:$D$810,O$29,'Match Log'!$C$4:$C$810,$A45,'Match Log'!$E$4:$E$810,"Win")</f>
        <v>0</v>
      </c>
    </row>
    <row r="46" spans="1:15" ht="15" customHeight="1" x14ac:dyDescent="0.2">
      <c r="A46" s="76" t="s">
        <v>204</v>
      </c>
      <c r="B46" s="77">
        <f>COUNTIFS('Match Log'!$D$4:$D$810,B$29,'Match Log'!$C$4:$C$810,$A46,'Match Log'!$E$4:$E$810,"Win")</f>
        <v>0</v>
      </c>
      <c r="C46" s="77">
        <f>COUNTIFS('Match Log'!$D$4:$D$810,C$29,'Match Log'!$C$4:$C$810,$A46,'Match Log'!$E$4:$E$810,"Win")</f>
        <v>0</v>
      </c>
      <c r="D46" s="77">
        <f>COUNTIFS('Match Log'!$D$4:$D$810,D$29,'Match Log'!$C$4:$C$810,$A46,'Match Log'!$E$4:$E$810,"Win")</f>
        <v>0</v>
      </c>
      <c r="E46" s="77">
        <f>COUNTIFS('Match Log'!$D$4:$D$810,E$29,'Match Log'!$C$4:$C$810,$A46,'Match Log'!$E$4:$E$810,"Win")</f>
        <v>0</v>
      </c>
      <c r="F46" s="77">
        <f>COUNTIFS('Match Log'!$D$4:$D$810,F$29,'Match Log'!$C$4:$C$810,$A46,'Match Log'!$E$4:$E$810,"Win")</f>
        <v>1</v>
      </c>
      <c r="G46" s="77">
        <f>COUNTIFS('Match Log'!$D$4:$D$810,G$29,'Match Log'!$C$4:$C$810,$A46,'Match Log'!$E$4:$E$810,"Win")</f>
        <v>0</v>
      </c>
      <c r="H46" s="77">
        <f>COUNTIFS('Match Log'!$D$4:$D$810,H$29,'Match Log'!$C$4:$C$810,$A46,'Match Log'!$E$4:$E$810,"Win")</f>
        <v>0</v>
      </c>
      <c r="I46" s="77">
        <f>COUNTIFS('Match Log'!$D$4:$D$810,I$29,'Match Log'!$C$4:$C$810,$A46,'Match Log'!$E$4:$E$810,"Win")</f>
        <v>0</v>
      </c>
      <c r="J46" s="77">
        <f>COUNTIFS('Match Log'!$D$4:$D$810,J$29,'Match Log'!$C$4:$C$810,$A46,'Match Log'!$E$4:$E$810,"Win")</f>
        <v>0</v>
      </c>
      <c r="K46" s="77">
        <f>COUNTIFS('Match Log'!$D$4:$D$810,K$29,'Match Log'!$C$4:$C$810,$A46,'Match Log'!$E$4:$E$810,"Win")</f>
        <v>0</v>
      </c>
      <c r="L46" s="77">
        <f>COUNTIFS('Match Log'!$D$4:$D$810,L$29,'Match Log'!$C$4:$C$810,$A46,'Match Log'!$E$4:$E$810,"Win")</f>
        <v>0</v>
      </c>
      <c r="M46" s="77">
        <f>COUNTIFS('Match Log'!$D$4:$D$810,M$29,'Match Log'!$C$4:$C$810,$A46,'Match Log'!$E$4:$E$810,"Win")</f>
        <v>0</v>
      </c>
      <c r="N46" s="77">
        <f>COUNTIFS('Match Log'!$D$4:$D$810,N$29,'Match Log'!$C$4:$C$810,$A46,'Match Log'!$E$4:$E$810,"Win")</f>
        <v>0</v>
      </c>
      <c r="O46" s="77">
        <f>COUNTIFS('Match Log'!$D$4:$D$810,O$29,'Match Log'!$C$4:$C$810,$A46,'Match Log'!$E$4:$E$810,"Win")</f>
        <v>0</v>
      </c>
    </row>
    <row r="47" spans="1:15" ht="15" customHeight="1" x14ac:dyDescent="0.2">
      <c r="A47" s="76" t="s">
        <v>206</v>
      </c>
      <c r="B47" s="77">
        <f>COUNTIFS('Match Log'!$D$4:$D$810,B$29,'Match Log'!$C$4:$C$810,$A47,'Match Log'!$E$4:$E$810,"Win")</f>
        <v>2</v>
      </c>
      <c r="C47" s="77">
        <f>COUNTIFS('Match Log'!$D$4:$D$810,C$29,'Match Log'!$C$4:$C$810,$A47,'Match Log'!$E$4:$E$810,"Win")</f>
        <v>5</v>
      </c>
      <c r="D47" s="77">
        <f>COUNTIFS('Match Log'!$D$4:$D$810,D$29,'Match Log'!$C$4:$C$810,$A47,'Match Log'!$E$4:$E$810,"Win")</f>
        <v>1</v>
      </c>
      <c r="E47" s="77">
        <f>COUNTIFS('Match Log'!$D$4:$D$810,E$29,'Match Log'!$C$4:$C$810,$A47,'Match Log'!$E$4:$E$810,"Win")</f>
        <v>3</v>
      </c>
      <c r="F47" s="77">
        <f>COUNTIFS('Match Log'!$D$4:$D$810,F$29,'Match Log'!$C$4:$C$810,$A47,'Match Log'!$E$4:$E$810,"Win")</f>
        <v>3</v>
      </c>
      <c r="G47" s="77">
        <f>COUNTIFS('Match Log'!$D$4:$D$810,G$29,'Match Log'!$C$4:$C$810,$A47,'Match Log'!$E$4:$E$810,"Win")</f>
        <v>4</v>
      </c>
      <c r="H47" s="77">
        <f>COUNTIFS('Match Log'!$D$4:$D$810,H$29,'Match Log'!$C$4:$C$810,$A47,'Match Log'!$E$4:$E$810,"Win")</f>
        <v>8</v>
      </c>
      <c r="I47" s="77">
        <f>COUNTIFS('Match Log'!$D$4:$D$810,I$29,'Match Log'!$C$4:$C$810,$A47,'Match Log'!$E$4:$E$810,"Win")</f>
        <v>5</v>
      </c>
      <c r="J47" s="77">
        <f>COUNTIFS('Match Log'!$D$4:$D$810,J$29,'Match Log'!$C$4:$C$810,$A47,'Match Log'!$E$4:$E$810,"Win")</f>
        <v>7</v>
      </c>
      <c r="K47" s="77">
        <f>COUNTIFS('Match Log'!$D$4:$D$810,K$29,'Match Log'!$C$4:$C$810,$A47,'Match Log'!$E$4:$E$810,"Win")</f>
        <v>2</v>
      </c>
      <c r="L47" s="77">
        <f>COUNTIFS('Match Log'!$D$4:$D$810,L$29,'Match Log'!$C$4:$C$810,$A47,'Match Log'!$E$4:$E$810,"Win")</f>
        <v>5</v>
      </c>
      <c r="M47" s="77">
        <f>COUNTIFS('Match Log'!$D$4:$D$810,M$29,'Match Log'!$C$4:$C$810,$A47,'Match Log'!$E$4:$E$810,"Win")</f>
        <v>2</v>
      </c>
      <c r="N47" s="77">
        <f>COUNTIFS('Match Log'!$D$4:$D$810,N$29,'Match Log'!$C$4:$C$810,$A47,'Match Log'!$E$4:$E$810,"Win")</f>
        <v>2</v>
      </c>
      <c r="O47" s="77">
        <f>COUNTIFS('Match Log'!$D$4:$D$810,O$29,'Match Log'!$C$4:$C$810,$A47,'Match Log'!$E$4:$E$810,"Win")</f>
        <v>0</v>
      </c>
    </row>
    <row r="48" spans="1:15" ht="15" customHeight="1" x14ac:dyDescent="0.2">
      <c r="A48" s="76" t="s">
        <v>208</v>
      </c>
      <c r="B48" s="77">
        <f>COUNTIFS('Match Log'!$D$4:$D$810,B$29,'Match Log'!$C$4:$C$810,$A48,'Match Log'!$E$4:$E$810,"Win")</f>
        <v>2</v>
      </c>
      <c r="C48" s="77">
        <f>COUNTIFS('Match Log'!$D$4:$D$810,C$29,'Match Log'!$C$4:$C$810,$A48,'Match Log'!$E$4:$E$810,"Win")</f>
        <v>0</v>
      </c>
      <c r="D48" s="77">
        <f>COUNTIFS('Match Log'!$D$4:$D$810,D$29,'Match Log'!$C$4:$C$810,$A48,'Match Log'!$E$4:$E$810,"Win")</f>
        <v>0</v>
      </c>
      <c r="E48" s="77">
        <f>COUNTIFS('Match Log'!$D$4:$D$810,E$29,'Match Log'!$C$4:$C$810,$A48,'Match Log'!$E$4:$E$810,"Win")</f>
        <v>0</v>
      </c>
      <c r="F48" s="77">
        <f>COUNTIFS('Match Log'!$D$4:$D$810,F$29,'Match Log'!$C$4:$C$810,$A48,'Match Log'!$E$4:$E$810,"Win")</f>
        <v>2</v>
      </c>
      <c r="G48" s="77">
        <f>COUNTIFS('Match Log'!$D$4:$D$810,G$29,'Match Log'!$C$4:$C$810,$A48,'Match Log'!$E$4:$E$810,"Win")</f>
        <v>5</v>
      </c>
      <c r="H48" s="77">
        <f>COUNTIFS('Match Log'!$D$4:$D$810,H$29,'Match Log'!$C$4:$C$810,$A48,'Match Log'!$E$4:$E$810,"Win")</f>
        <v>0</v>
      </c>
      <c r="I48" s="77">
        <f>COUNTIFS('Match Log'!$D$4:$D$810,I$29,'Match Log'!$C$4:$C$810,$A48,'Match Log'!$E$4:$E$810,"Win")</f>
        <v>2</v>
      </c>
      <c r="J48" s="77">
        <f>COUNTIFS('Match Log'!$D$4:$D$810,J$29,'Match Log'!$C$4:$C$810,$A48,'Match Log'!$E$4:$E$810,"Win")</f>
        <v>0</v>
      </c>
      <c r="K48" s="77">
        <f>COUNTIFS('Match Log'!$D$4:$D$810,K$29,'Match Log'!$C$4:$C$810,$A48,'Match Log'!$E$4:$E$810,"Win")</f>
        <v>0</v>
      </c>
      <c r="L48" s="77">
        <f>COUNTIFS('Match Log'!$D$4:$D$810,L$29,'Match Log'!$C$4:$C$810,$A48,'Match Log'!$E$4:$E$810,"Win")</f>
        <v>0</v>
      </c>
      <c r="M48" s="77">
        <f>COUNTIFS('Match Log'!$D$4:$D$810,M$29,'Match Log'!$C$4:$C$810,$A48,'Match Log'!$E$4:$E$810,"Win")</f>
        <v>0</v>
      </c>
      <c r="N48" s="77">
        <f>COUNTIFS('Match Log'!$D$4:$D$810,N$29,'Match Log'!$C$4:$C$810,$A48,'Match Log'!$E$4:$E$810,"Win")</f>
        <v>0</v>
      </c>
      <c r="O48" s="77">
        <f>COUNTIFS('Match Log'!$D$4:$D$810,O$29,'Match Log'!$C$4:$C$810,$A48,'Match Log'!$E$4:$E$810,"Win")</f>
        <v>0</v>
      </c>
    </row>
    <row r="49" spans="1:17" x14ac:dyDescent="0.2">
      <c r="A49" s="76" t="s">
        <v>407</v>
      </c>
      <c r="B49" s="77">
        <f>COUNTIFS('Match Log'!$D$4:$D$810,B$29,'Match Log'!$C$4:$C$810,$A49,'Match Log'!$E$4:$E$810,"Win")</f>
        <v>0</v>
      </c>
      <c r="C49" s="77">
        <f>COUNTIFS('Match Log'!$D$4:$D$810,C$29,'Match Log'!$C$4:$C$810,$A49,'Match Log'!$E$4:$E$810,"Win")</f>
        <v>0</v>
      </c>
      <c r="D49" s="77">
        <f>COUNTIFS('Match Log'!$D$4:$D$810,D$29,'Match Log'!$C$4:$C$810,$A49,'Match Log'!$E$4:$E$810,"Win")</f>
        <v>0</v>
      </c>
      <c r="E49" s="77">
        <f>COUNTIFS('Match Log'!$D$4:$D$810,E$29,'Match Log'!$C$4:$C$810,$A49,'Match Log'!$E$4:$E$810,"Win")</f>
        <v>0</v>
      </c>
      <c r="F49" s="77">
        <f>COUNTIFS('Match Log'!$D$4:$D$810,F$29,'Match Log'!$C$4:$C$810,$A49,'Match Log'!$E$4:$E$810,"Win")</f>
        <v>0</v>
      </c>
      <c r="G49" s="77">
        <f>COUNTIFS('Match Log'!$D$4:$D$810,G$29,'Match Log'!$C$4:$C$810,$A49,'Match Log'!$E$4:$E$810,"Win")</f>
        <v>0</v>
      </c>
      <c r="H49" s="77">
        <f>COUNTIFS('Match Log'!$D$4:$D$810,H$29,'Match Log'!$C$4:$C$810,$A49,'Match Log'!$E$4:$E$810,"Win")</f>
        <v>0</v>
      </c>
      <c r="I49" s="77">
        <f>COUNTIFS('Match Log'!$D$4:$D$810,I$29,'Match Log'!$C$4:$C$810,$A49,'Match Log'!$E$4:$E$810,"Win")</f>
        <v>0</v>
      </c>
      <c r="J49" s="77">
        <f>COUNTIFS('Match Log'!$D$4:$D$810,J$29,'Match Log'!$C$4:$C$810,$A49,'Match Log'!$E$4:$E$810,"Win")</f>
        <v>0</v>
      </c>
      <c r="K49" s="77">
        <f>COUNTIFS('Match Log'!$D$4:$D$810,K$29,'Match Log'!$C$4:$C$810,$A49,'Match Log'!$E$4:$E$810,"Win")</f>
        <v>0</v>
      </c>
      <c r="L49" s="77">
        <f>COUNTIFS('Match Log'!$D$4:$D$810,L$29,'Match Log'!$C$4:$C$810,$A49,'Match Log'!$E$4:$E$810,"Win")</f>
        <v>0</v>
      </c>
      <c r="M49" s="77">
        <f>COUNTIFS('Match Log'!$D$4:$D$810,M$29,'Match Log'!$C$4:$C$810,$A49,'Match Log'!$E$4:$E$810,"Win")</f>
        <v>0</v>
      </c>
      <c r="N49" s="77">
        <f>COUNTIFS('Match Log'!$D$4:$D$810,N$29,'Match Log'!$C$4:$C$810,$A49,'Match Log'!$E$4:$E$810,"Win")</f>
        <v>0</v>
      </c>
      <c r="O49" s="77">
        <f>COUNTIFS('Match Log'!$D$4:$D$810,O$29,'Match Log'!$C$4:$C$810,$A49,'Match Log'!$E$4:$E$810,"Win")</f>
        <v>0</v>
      </c>
    </row>
    <row r="50" spans="1:17" ht="15" customHeight="1" x14ac:dyDescent="0.2">
      <c r="A50" s="157" t="s">
        <v>227</v>
      </c>
      <c r="B50" s="157"/>
      <c r="C50" s="157"/>
      <c r="D50" s="157"/>
      <c r="E50" s="157"/>
      <c r="F50" s="157"/>
      <c r="G50" s="157"/>
      <c r="H50" s="157"/>
      <c r="I50" s="157"/>
      <c r="J50" s="157"/>
      <c r="K50" s="157"/>
      <c r="L50" s="157"/>
      <c r="M50" s="157"/>
      <c r="N50" s="157"/>
      <c r="O50" s="157"/>
      <c r="P50" s="157"/>
      <c r="Q50" s="157"/>
    </row>
    <row r="51" spans="1:17" ht="91.5" customHeight="1" x14ac:dyDescent="0.2">
      <c r="A51" s="74" t="s">
        <v>123</v>
      </c>
      <c r="B51" s="75" t="s">
        <v>138</v>
      </c>
      <c r="C51" s="75" t="s">
        <v>135</v>
      </c>
      <c r="D51" s="75" t="s">
        <v>173</v>
      </c>
      <c r="E51" s="75" t="s">
        <v>140</v>
      </c>
      <c r="F51" s="75" t="s">
        <v>137</v>
      </c>
      <c r="G51" s="75" t="s">
        <v>134</v>
      </c>
      <c r="H51" s="75" t="s">
        <v>168</v>
      </c>
      <c r="I51" s="75" t="s">
        <v>170</v>
      </c>
      <c r="J51" s="75" t="s">
        <v>167</v>
      </c>
      <c r="K51" s="75" t="s">
        <v>175</v>
      </c>
      <c r="L51" s="75" t="s">
        <v>169</v>
      </c>
      <c r="M51" s="75" t="s">
        <v>171</v>
      </c>
      <c r="N51" s="75" t="s">
        <v>172</v>
      </c>
      <c r="O51" s="75" t="s">
        <v>174</v>
      </c>
    </row>
    <row r="52" spans="1:17" ht="15" customHeight="1" x14ac:dyDescent="0.2">
      <c r="A52" s="76" t="s">
        <v>181</v>
      </c>
      <c r="B52" s="80" t="str">
        <f t="shared" ref="B52:O52" si="2">IF(B8=0,"",B30/B8)</f>
        <v/>
      </c>
      <c r="C52" s="80" t="str">
        <f t="shared" si="2"/>
        <v/>
      </c>
      <c r="D52" s="80" t="str">
        <f t="shared" si="2"/>
        <v/>
      </c>
      <c r="E52" s="80" t="str">
        <f t="shared" si="2"/>
        <v/>
      </c>
      <c r="F52" s="80" t="str">
        <f t="shared" si="2"/>
        <v/>
      </c>
      <c r="G52" s="80">
        <f t="shared" si="2"/>
        <v>1</v>
      </c>
      <c r="H52" s="80" t="str">
        <f t="shared" si="2"/>
        <v/>
      </c>
      <c r="I52" s="80">
        <f t="shared" si="2"/>
        <v>0</v>
      </c>
      <c r="J52" s="80" t="str">
        <f t="shared" si="2"/>
        <v/>
      </c>
      <c r="K52" s="80" t="str">
        <f t="shared" si="2"/>
        <v/>
      </c>
      <c r="L52" s="80" t="str">
        <f t="shared" si="2"/>
        <v/>
      </c>
      <c r="M52" s="80" t="str">
        <f t="shared" si="2"/>
        <v/>
      </c>
      <c r="N52" s="80" t="str">
        <f t="shared" si="2"/>
        <v/>
      </c>
      <c r="O52" s="80" t="str">
        <f t="shared" si="2"/>
        <v/>
      </c>
    </row>
    <row r="53" spans="1:17" ht="15" customHeight="1" x14ac:dyDescent="0.2">
      <c r="A53" s="76" t="s">
        <v>182</v>
      </c>
      <c r="B53" s="80" t="str">
        <f t="shared" ref="B53:O53" si="3">IF(B9=0,"",B31/B9)</f>
        <v/>
      </c>
      <c r="C53" s="80" t="str">
        <f t="shared" si="3"/>
        <v/>
      </c>
      <c r="D53" s="80" t="str">
        <f t="shared" si="3"/>
        <v/>
      </c>
      <c r="E53" s="80" t="str">
        <f t="shared" si="3"/>
        <v/>
      </c>
      <c r="F53" s="80" t="str">
        <f t="shared" si="3"/>
        <v/>
      </c>
      <c r="G53" s="80" t="str">
        <f t="shared" si="3"/>
        <v/>
      </c>
      <c r="H53" s="80" t="str">
        <f t="shared" si="3"/>
        <v/>
      </c>
      <c r="I53" s="80" t="str">
        <f t="shared" si="3"/>
        <v/>
      </c>
      <c r="J53" s="80" t="str">
        <f t="shared" si="3"/>
        <v/>
      </c>
      <c r="K53" s="80" t="str">
        <f t="shared" si="3"/>
        <v/>
      </c>
      <c r="L53" s="80" t="str">
        <f t="shared" si="3"/>
        <v/>
      </c>
      <c r="M53" s="80" t="str">
        <f t="shared" si="3"/>
        <v/>
      </c>
      <c r="N53" s="80" t="str">
        <f t="shared" si="3"/>
        <v/>
      </c>
      <c r="O53" s="80" t="str">
        <f t="shared" si="3"/>
        <v/>
      </c>
    </row>
    <row r="54" spans="1:17" ht="15" customHeight="1" x14ac:dyDescent="0.2">
      <c r="A54" s="76" t="s">
        <v>183</v>
      </c>
      <c r="B54" s="80">
        <f t="shared" ref="B54:O54" si="4">IF(B10=0,"",B32/B10)</f>
        <v>0.75</v>
      </c>
      <c r="C54" s="80" t="str">
        <f t="shared" si="4"/>
        <v/>
      </c>
      <c r="D54" s="80">
        <f t="shared" si="4"/>
        <v>0</v>
      </c>
      <c r="E54" s="80" t="str">
        <f t="shared" si="4"/>
        <v/>
      </c>
      <c r="F54" s="80">
        <f t="shared" si="4"/>
        <v>0</v>
      </c>
      <c r="G54" s="80">
        <f t="shared" si="4"/>
        <v>0.45</v>
      </c>
      <c r="H54" s="80" t="str">
        <f t="shared" si="4"/>
        <v/>
      </c>
      <c r="I54" s="80">
        <f t="shared" si="4"/>
        <v>0.44444444444444442</v>
      </c>
      <c r="J54" s="80" t="str">
        <f t="shared" si="4"/>
        <v/>
      </c>
      <c r="K54" s="80" t="str">
        <f t="shared" si="4"/>
        <v/>
      </c>
      <c r="L54" s="80">
        <f t="shared" si="4"/>
        <v>0.33333333333333331</v>
      </c>
      <c r="M54" s="80" t="str">
        <f t="shared" si="4"/>
        <v/>
      </c>
      <c r="N54" s="80" t="str">
        <f t="shared" si="4"/>
        <v/>
      </c>
      <c r="O54" s="80" t="str">
        <f t="shared" si="4"/>
        <v/>
      </c>
    </row>
    <row r="55" spans="1:17" ht="15" customHeight="1" x14ac:dyDescent="0.2">
      <c r="A55" s="76" t="s">
        <v>184</v>
      </c>
      <c r="B55" s="80" t="str">
        <f t="shared" ref="B55:O55" si="5">IF(B11=0,"",B33/B11)</f>
        <v/>
      </c>
      <c r="C55" s="80" t="str">
        <f t="shared" si="5"/>
        <v/>
      </c>
      <c r="D55" s="80" t="str">
        <f t="shared" si="5"/>
        <v/>
      </c>
      <c r="E55" s="80" t="str">
        <f t="shared" si="5"/>
        <v/>
      </c>
      <c r="F55" s="80" t="str">
        <f t="shared" si="5"/>
        <v/>
      </c>
      <c r="G55" s="80" t="str">
        <f t="shared" si="5"/>
        <v/>
      </c>
      <c r="H55" s="80" t="str">
        <f t="shared" si="5"/>
        <v/>
      </c>
      <c r="I55" s="80" t="str">
        <f t="shared" si="5"/>
        <v/>
      </c>
      <c r="J55" s="80" t="str">
        <f t="shared" si="5"/>
        <v/>
      </c>
      <c r="K55" s="80" t="str">
        <f t="shared" si="5"/>
        <v/>
      </c>
      <c r="L55" s="80" t="str">
        <f t="shared" si="5"/>
        <v/>
      </c>
      <c r="M55" s="80" t="str">
        <f t="shared" si="5"/>
        <v/>
      </c>
      <c r="N55" s="80" t="str">
        <f t="shared" si="5"/>
        <v/>
      </c>
      <c r="O55" s="80" t="str">
        <f t="shared" si="5"/>
        <v/>
      </c>
    </row>
    <row r="56" spans="1:17" ht="15" customHeight="1" x14ac:dyDescent="0.2">
      <c r="A56" s="76" t="s">
        <v>185</v>
      </c>
      <c r="B56" s="80" t="str">
        <f t="shared" ref="B56:O56" si="6">IF(B12=0,"",B34/B12)</f>
        <v/>
      </c>
      <c r="C56" s="80">
        <f t="shared" si="6"/>
        <v>0</v>
      </c>
      <c r="D56" s="80" t="str">
        <f t="shared" si="6"/>
        <v/>
      </c>
      <c r="E56" s="80" t="str">
        <f t="shared" si="6"/>
        <v/>
      </c>
      <c r="F56" s="80" t="str">
        <f t="shared" si="6"/>
        <v/>
      </c>
      <c r="G56" s="80" t="str">
        <f t="shared" si="6"/>
        <v/>
      </c>
      <c r="H56" s="80">
        <f t="shared" si="6"/>
        <v>1</v>
      </c>
      <c r="I56" s="80">
        <f t="shared" si="6"/>
        <v>0.5</v>
      </c>
      <c r="J56" s="80">
        <f t="shared" si="6"/>
        <v>0.5</v>
      </c>
      <c r="K56" s="80">
        <f t="shared" si="6"/>
        <v>0</v>
      </c>
      <c r="L56" s="80">
        <f t="shared" si="6"/>
        <v>0.5</v>
      </c>
      <c r="M56" s="80" t="str">
        <f t="shared" si="6"/>
        <v/>
      </c>
      <c r="N56" s="80" t="str">
        <f t="shared" si="6"/>
        <v/>
      </c>
      <c r="O56" s="80" t="str">
        <f t="shared" si="6"/>
        <v/>
      </c>
    </row>
    <row r="57" spans="1:17" ht="15" customHeight="1" x14ac:dyDescent="0.2">
      <c r="A57" s="76" t="s">
        <v>186</v>
      </c>
      <c r="B57" s="80">
        <f t="shared" ref="B57:O57" si="7">IF(B13=0,"",B35/B13)</f>
        <v>1</v>
      </c>
      <c r="C57" s="80" t="str">
        <f t="shared" si="7"/>
        <v/>
      </c>
      <c r="D57" s="80">
        <f t="shared" si="7"/>
        <v>0</v>
      </c>
      <c r="E57" s="80">
        <f t="shared" si="7"/>
        <v>0</v>
      </c>
      <c r="F57" s="80">
        <f t="shared" si="7"/>
        <v>0</v>
      </c>
      <c r="G57" s="80">
        <f t="shared" si="7"/>
        <v>0</v>
      </c>
      <c r="H57" s="80">
        <f t="shared" si="7"/>
        <v>0</v>
      </c>
      <c r="I57" s="80">
        <f t="shared" si="7"/>
        <v>0</v>
      </c>
      <c r="J57" s="80" t="str">
        <f t="shared" si="7"/>
        <v/>
      </c>
      <c r="K57" s="80" t="str">
        <f t="shared" si="7"/>
        <v/>
      </c>
      <c r="L57" s="80">
        <f t="shared" si="7"/>
        <v>0</v>
      </c>
      <c r="M57" s="80" t="str">
        <f t="shared" si="7"/>
        <v/>
      </c>
      <c r="N57" s="80" t="str">
        <f t="shared" si="7"/>
        <v/>
      </c>
      <c r="O57" s="80" t="str">
        <f t="shared" si="7"/>
        <v/>
      </c>
    </row>
    <row r="58" spans="1:17" ht="15" customHeight="1" x14ac:dyDescent="0.2">
      <c r="A58" s="76" t="s">
        <v>188</v>
      </c>
      <c r="B58" s="80" t="str">
        <f t="shared" ref="B58:O58" si="8">IF(B14=0,"",B36/B14)</f>
        <v/>
      </c>
      <c r="C58" s="80" t="str">
        <f t="shared" si="8"/>
        <v/>
      </c>
      <c r="D58" s="80" t="str">
        <f t="shared" si="8"/>
        <v/>
      </c>
      <c r="E58" s="80" t="str">
        <f t="shared" si="8"/>
        <v/>
      </c>
      <c r="F58" s="80" t="str">
        <f t="shared" si="8"/>
        <v/>
      </c>
      <c r="G58" s="80" t="str">
        <f t="shared" si="8"/>
        <v/>
      </c>
      <c r="H58" s="80" t="str">
        <f t="shared" si="8"/>
        <v/>
      </c>
      <c r="I58" s="80" t="str">
        <f t="shared" si="8"/>
        <v/>
      </c>
      <c r="J58" s="80" t="str">
        <f t="shared" si="8"/>
        <v/>
      </c>
      <c r="K58" s="80" t="str">
        <f t="shared" si="8"/>
        <v/>
      </c>
      <c r="L58" s="80" t="str">
        <f t="shared" si="8"/>
        <v/>
      </c>
      <c r="M58" s="80" t="str">
        <f t="shared" si="8"/>
        <v/>
      </c>
      <c r="N58" s="80" t="str">
        <f t="shared" si="8"/>
        <v/>
      </c>
      <c r="O58" s="80" t="str">
        <f t="shared" si="8"/>
        <v/>
      </c>
    </row>
    <row r="59" spans="1:17" ht="15" customHeight="1" x14ac:dyDescent="0.2">
      <c r="A59" s="76" t="s">
        <v>190</v>
      </c>
      <c r="B59" s="80" t="str">
        <f t="shared" ref="B59:O59" si="9">IF(B15=0,"",B37/B15)</f>
        <v/>
      </c>
      <c r="C59" s="80" t="str">
        <f t="shared" si="9"/>
        <v/>
      </c>
      <c r="D59" s="80" t="str">
        <f t="shared" si="9"/>
        <v/>
      </c>
      <c r="E59" s="80" t="str">
        <f t="shared" si="9"/>
        <v/>
      </c>
      <c r="F59" s="80" t="str">
        <f t="shared" si="9"/>
        <v/>
      </c>
      <c r="G59" s="80" t="str">
        <f t="shared" si="9"/>
        <v/>
      </c>
      <c r="H59" s="80" t="str">
        <f t="shared" si="9"/>
        <v/>
      </c>
      <c r="I59" s="80" t="str">
        <f t="shared" si="9"/>
        <v/>
      </c>
      <c r="J59" s="80" t="str">
        <f t="shared" si="9"/>
        <v/>
      </c>
      <c r="K59" s="80" t="str">
        <f t="shared" si="9"/>
        <v/>
      </c>
      <c r="L59" s="80" t="str">
        <f t="shared" si="9"/>
        <v/>
      </c>
      <c r="M59" s="80" t="str">
        <f t="shared" si="9"/>
        <v/>
      </c>
      <c r="N59" s="80" t="str">
        <f t="shared" si="9"/>
        <v/>
      </c>
      <c r="O59" s="80" t="str">
        <f t="shared" si="9"/>
        <v/>
      </c>
    </row>
    <row r="60" spans="1:17" ht="15" customHeight="1" x14ac:dyDescent="0.2">
      <c r="A60" s="76" t="s">
        <v>192</v>
      </c>
      <c r="B60" s="80" t="str">
        <f t="shared" ref="B60:O60" si="10">IF(B16=0,"",B38/B16)</f>
        <v/>
      </c>
      <c r="C60" s="80" t="str">
        <f t="shared" si="10"/>
        <v/>
      </c>
      <c r="D60" s="80" t="str">
        <f t="shared" si="10"/>
        <v/>
      </c>
      <c r="E60" s="80" t="str">
        <f t="shared" si="10"/>
        <v/>
      </c>
      <c r="F60" s="80">
        <f t="shared" si="10"/>
        <v>1</v>
      </c>
      <c r="G60" s="80">
        <f t="shared" si="10"/>
        <v>0</v>
      </c>
      <c r="H60" s="80" t="str">
        <f t="shared" si="10"/>
        <v/>
      </c>
      <c r="I60" s="80" t="str">
        <f t="shared" si="10"/>
        <v/>
      </c>
      <c r="J60" s="80" t="str">
        <f t="shared" si="10"/>
        <v/>
      </c>
      <c r="K60" s="80" t="str">
        <f t="shared" si="10"/>
        <v/>
      </c>
      <c r="L60" s="80">
        <f t="shared" si="10"/>
        <v>0</v>
      </c>
      <c r="M60" s="80" t="str">
        <f t="shared" si="10"/>
        <v/>
      </c>
      <c r="N60" s="80" t="str">
        <f t="shared" si="10"/>
        <v/>
      </c>
      <c r="O60" s="80" t="str">
        <f t="shared" si="10"/>
        <v/>
      </c>
    </row>
    <row r="61" spans="1:17" ht="15" customHeight="1" x14ac:dyDescent="0.2">
      <c r="A61" s="76" t="s">
        <v>193</v>
      </c>
      <c r="B61" s="80" t="str">
        <f t="shared" ref="B61:O61" si="11">IF(B17=0,"",B39/B17)</f>
        <v/>
      </c>
      <c r="C61" s="80" t="str">
        <f t="shared" si="11"/>
        <v/>
      </c>
      <c r="D61" s="80" t="str">
        <f t="shared" si="11"/>
        <v/>
      </c>
      <c r="E61" s="80" t="str">
        <f t="shared" si="11"/>
        <v/>
      </c>
      <c r="F61" s="80" t="str">
        <f t="shared" si="11"/>
        <v/>
      </c>
      <c r="G61" s="80" t="str">
        <f t="shared" si="11"/>
        <v/>
      </c>
      <c r="H61" s="80" t="str">
        <f t="shared" si="11"/>
        <v/>
      </c>
      <c r="I61" s="80" t="str">
        <f t="shared" si="11"/>
        <v/>
      </c>
      <c r="J61" s="80" t="str">
        <f t="shared" si="11"/>
        <v/>
      </c>
      <c r="K61" s="80" t="str">
        <f t="shared" si="11"/>
        <v/>
      </c>
      <c r="L61" s="80" t="str">
        <f t="shared" si="11"/>
        <v/>
      </c>
      <c r="M61" s="80" t="str">
        <f t="shared" si="11"/>
        <v/>
      </c>
      <c r="N61" s="80" t="str">
        <f t="shared" si="11"/>
        <v/>
      </c>
      <c r="O61" s="80" t="str">
        <f t="shared" si="11"/>
        <v/>
      </c>
    </row>
    <row r="62" spans="1:17" ht="15" customHeight="1" x14ac:dyDescent="0.2">
      <c r="A62" s="76" t="s">
        <v>194</v>
      </c>
      <c r="B62" s="80" t="str">
        <f t="shared" ref="B62:O62" si="12">IF(B18=0,"",B40/B18)</f>
        <v/>
      </c>
      <c r="C62" s="80" t="str">
        <f t="shared" si="12"/>
        <v/>
      </c>
      <c r="D62" s="80" t="str">
        <f t="shared" si="12"/>
        <v/>
      </c>
      <c r="E62" s="80" t="str">
        <f t="shared" si="12"/>
        <v/>
      </c>
      <c r="F62" s="80" t="str">
        <f t="shared" si="12"/>
        <v/>
      </c>
      <c r="G62" s="80" t="str">
        <f t="shared" si="12"/>
        <v/>
      </c>
      <c r="H62" s="80" t="str">
        <f t="shared" si="12"/>
        <v/>
      </c>
      <c r="I62" s="80" t="str">
        <f t="shared" si="12"/>
        <v/>
      </c>
      <c r="J62" s="80" t="str">
        <f t="shared" si="12"/>
        <v/>
      </c>
      <c r="K62" s="80" t="str">
        <f t="shared" si="12"/>
        <v/>
      </c>
      <c r="L62" s="80" t="str">
        <f t="shared" si="12"/>
        <v/>
      </c>
      <c r="M62" s="80" t="str">
        <f t="shared" si="12"/>
        <v/>
      </c>
      <c r="N62" s="80" t="str">
        <f t="shared" si="12"/>
        <v/>
      </c>
      <c r="O62" s="80" t="str">
        <f t="shared" si="12"/>
        <v/>
      </c>
    </row>
    <row r="63" spans="1:17" ht="15" customHeight="1" x14ac:dyDescent="0.2">
      <c r="A63" s="76" t="s">
        <v>195</v>
      </c>
      <c r="B63" s="80">
        <f t="shared" ref="B63:O63" si="13">IF(B19=0,"",B41/B19)</f>
        <v>0.5</v>
      </c>
      <c r="C63" s="80">
        <f t="shared" si="13"/>
        <v>0</v>
      </c>
      <c r="D63" s="80" t="str">
        <f t="shared" si="13"/>
        <v/>
      </c>
      <c r="E63" s="80">
        <f t="shared" si="13"/>
        <v>0.16666666666666666</v>
      </c>
      <c r="F63" s="80">
        <f t="shared" si="13"/>
        <v>0.8666666666666667</v>
      </c>
      <c r="G63" s="80">
        <f t="shared" si="13"/>
        <v>1</v>
      </c>
      <c r="H63" s="80">
        <f t="shared" si="13"/>
        <v>0</v>
      </c>
      <c r="I63" s="80">
        <f t="shared" si="13"/>
        <v>0.14285714285714285</v>
      </c>
      <c r="J63" s="80">
        <f t="shared" si="13"/>
        <v>0.8</v>
      </c>
      <c r="K63" s="80">
        <f t="shared" si="13"/>
        <v>0</v>
      </c>
      <c r="L63" s="80">
        <f t="shared" si="13"/>
        <v>0.46153846153846156</v>
      </c>
      <c r="M63" s="80" t="str">
        <f t="shared" si="13"/>
        <v/>
      </c>
      <c r="N63" s="80" t="str">
        <f t="shared" si="13"/>
        <v/>
      </c>
      <c r="O63" s="80" t="str">
        <f t="shared" si="13"/>
        <v/>
      </c>
    </row>
    <row r="64" spans="1:17" ht="15" customHeight="1" x14ac:dyDescent="0.2">
      <c r="A64" s="76" t="s">
        <v>197</v>
      </c>
      <c r="B64" s="80">
        <f t="shared" ref="B64:O64" si="14">IF(B20=0,"",B42/B20)</f>
        <v>0.66666666666666663</v>
      </c>
      <c r="C64" s="80" t="str">
        <f t="shared" si="14"/>
        <v/>
      </c>
      <c r="D64" s="80" t="str">
        <f t="shared" si="14"/>
        <v/>
      </c>
      <c r="E64" s="80" t="str">
        <f t="shared" si="14"/>
        <v/>
      </c>
      <c r="F64" s="80">
        <f t="shared" si="14"/>
        <v>0</v>
      </c>
      <c r="G64" s="80">
        <f t="shared" si="14"/>
        <v>0.22222222222222221</v>
      </c>
      <c r="H64" s="80" t="str">
        <f t="shared" si="14"/>
        <v/>
      </c>
      <c r="I64" s="80">
        <f t="shared" si="14"/>
        <v>0.83333333333333337</v>
      </c>
      <c r="J64" s="80" t="str">
        <f t="shared" si="14"/>
        <v/>
      </c>
      <c r="K64" s="80" t="str">
        <f t="shared" si="14"/>
        <v/>
      </c>
      <c r="L64" s="80">
        <f t="shared" si="14"/>
        <v>0.33333333333333331</v>
      </c>
      <c r="M64" s="80" t="str">
        <f t="shared" si="14"/>
        <v/>
      </c>
      <c r="N64" s="80" t="str">
        <f t="shared" si="14"/>
        <v/>
      </c>
      <c r="O64" s="80" t="str">
        <f t="shared" si="14"/>
        <v/>
      </c>
    </row>
    <row r="65" spans="1:19" ht="15" customHeight="1" x14ac:dyDescent="0.2">
      <c r="A65" s="76" t="s">
        <v>199</v>
      </c>
      <c r="B65" s="80">
        <f t="shared" ref="B65:O65" si="15">IF(B21=0,"",B43/B21)</f>
        <v>1</v>
      </c>
      <c r="C65" s="80" t="str">
        <f t="shared" si="15"/>
        <v/>
      </c>
      <c r="D65" s="80">
        <f t="shared" si="15"/>
        <v>1</v>
      </c>
      <c r="E65" s="80" t="str">
        <f t="shared" si="15"/>
        <v/>
      </c>
      <c r="F65" s="80" t="str">
        <f t="shared" si="15"/>
        <v/>
      </c>
      <c r="G65" s="80">
        <f t="shared" si="15"/>
        <v>0</v>
      </c>
      <c r="H65" s="80" t="str">
        <f t="shared" si="15"/>
        <v/>
      </c>
      <c r="I65" s="80">
        <f t="shared" si="15"/>
        <v>0.2857142857142857</v>
      </c>
      <c r="J65" s="80" t="str">
        <f t="shared" si="15"/>
        <v/>
      </c>
      <c r="K65" s="80" t="str">
        <f t="shared" si="15"/>
        <v/>
      </c>
      <c r="L65" s="80">
        <f t="shared" si="15"/>
        <v>0.7142857142857143</v>
      </c>
      <c r="M65" s="80" t="str">
        <f t="shared" si="15"/>
        <v/>
      </c>
      <c r="N65" s="80" t="str">
        <f t="shared" si="15"/>
        <v/>
      </c>
      <c r="O65" s="80" t="str">
        <f t="shared" si="15"/>
        <v/>
      </c>
    </row>
    <row r="66" spans="1:19" ht="15" customHeight="1" x14ac:dyDescent="0.2">
      <c r="A66" s="76" t="s">
        <v>201</v>
      </c>
      <c r="B66" s="80" t="str">
        <f t="shared" ref="B66:O66" si="16">IF(B22=0,"",B44/B22)</f>
        <v/>
      </c>
      <c r="C66" s="80" t="str">
        <f t="shared" si="16"/>
        <v/>
      </c>
      <c r="D66" s="80" t="str">
        <f t="shared" si="16"/>
        <v/>
      </c>
      <c r="E66" s="80" t="str">
        <f t="shared" si="16"/>
        <v/>
      </c>
      <c r="F66" s="80" t="str">
        <f t="shared" si="16"/>
        <v/>
      </c>
      <c r="G66" s="80" t="str">
        <f t="shared" si="16"/>
        <v/>
      </c>
      <c r="H66" s="80" t="str">
        <f t="shared" si="16"/>
        <v/>
      </c>
      <c r="I66" s="80" t="str">
        <f t="shared" si="16"/>
        <v/>
      </c>
      <c r="J66" s="80" t="str">
        <f t="shared" si="16"/>
        <v/>
      </c>
      <c r="K66" s="80" t="str">
        <f t="shared" si="16"/>
        <v/>
      </c>
      <c r="L66" s="80" t="str">
        <f t="shared" si="16"/>
        <v/>
      </c>
      <c r="M66" s="80" t="str">
        <f t="shared" si="16"/>
        <v/>
      </c>
      <c r="N66" s="80" t="str">
        <f t="shared" si="16"/>
        <v/>
      </c>
      <c r="O66" s="80" t="str">
        <f t="shared" si="16"/>
        <v/>
      </c>
    </row>
    <row r="67" spans="1:19" ht="15" customHeight="1" x14ac:dyDescent="0.2">
      <c r="A67" s="76" t="s">
        <v>203</v>
      </c>
      <c r="B67" s="80">
        <f t="shared" ref="B67:O67" si="17">IF(B23=0,"",B45/B23)</f>
        <v>0.5</v>
      </c>
      <c r="C67" s="80" t="str">
        <f t="shared" si="17"/>
        <v/>
      </c>
      <c r="D67" s="80">
        <f t="shared" si="17"/>
        <v>0</v>
      </c>
      <c r="E67" s="80" t="str">
        <f t="shared" si="17"/>
        <v/>
      </c>
      <c r="F67" s="80" t="str">
        <f t="shared" si="17"/>
        <v/>
      </c>
      <c r="G67" s="80" t="str">
        <f t="shared" si="17"/>
        <v/>
      </c>
      <c r="H67" s="80" t="str">
        <f t="shared" si="17"/>
        <v/>
      </c>
      <c r="I67" s="80">
        <f t="shared" si="17"/>
        <v>1</v>
      </c>
      <c r="J67" s="80" t="str">
        <f t="shared" si="17"/>
        <v/>
      </c>
      <c r="K67" s="80" t="str">
        <f t="shared" si="17"/>
        <v/>
      </c>
      <c r="L67" s="80" t="str">
        <f t="shared" si="17"/>
        <v/>
      </c>
      <c r="M67" s="80" t="str">
        <f t="shared" si="17"/>
        <v/>
      </c>
      <c r="N67" s="80" t="str">
        <f t="shared" si="17"/>
        <v/>
      </c>
      <c r="O67" s="80" t="str">
        <f t="shared" si="17"/>
        <v/>
      </c>
    </row>
    <row r="68" spans="1:19" ht="15" customHeight="1" x14ac:dyDescent="0.2">
      <c r="A68" s="76" t="s">
        <v>204</v>
      </c>
      <c r="B68" s="80" t="str">
        <f t="shared" ref="B68:O68" si="18">IF(B24=0,"",B46/B24)</f>
        <v/>
      </c>
      <c r="C68" s="80" t="str">
        <f t="shared" si="18"/>
        <v/>
      </c>
      <c r="D68" s="80">
        <f t="shared" si="18"/>
        <v>0</v>
      </c>
      <c r="E68" s="80" t="str">
        <f t="shared" si="18"/>
        <v/>
      </c>
      <c r="F68" s="80">
        <f t="shared" si="18"/>
        <v>1</v>
      </c>
      <c r="G68" s="80" t="str">
        <f t="shared" si="18"/>
        <v/>
      </c>
      <c r="H68" s="80" t="str">
        <f t="shared" si="18"/>
        <v/>
      </c>
      <c r="I68" s="80">
        <f t="shared" si="18"/>
        <v>0</v>
      </c>
      <c r="J68" s="80" t="str">
        <f t="shared" si="18"/>
        <v/>
      </c>
      <c r="K68" s="80" t="str">
        <f t="shared" si="18"/>
        <v/>
      </c>
      <c r="L68" s="80" t="str">
        <f t="shared" si="18"/>
        <v/>
      </c>
      <c r="M68" s="80" t="str">
        <f t="shared" si="18"/>
        <v/>
      </c>
      <c r="N68" s="80" t="str">
        <f t="shared" si="18"/>
        <v/>
      </c>
      <c r="O68" s="80" t="str">
        <f t="shared" si="18"/>
        <v/>
      </c>
    </row>
    <row r="69" spans="1:19" ht="15" customHeight="1" x14ac:dyDescent="0.2">
      <c r="A69" s="76" t="s">
        <v>206</v>
      </c>
      <c r="B69" s="80">
        <f t="shared" ref="B69:O69" si="19">IF(B25=0,"",B47/B25)</f>
        <v>0.2857142857142857</v>
      </c>
      <c r="C69" s="80">
        <f t="shared" si="19"/>
        <v>0.625</v>
      </c>
      <c r="D69" s="80">
        <f t="shared" si="19"/>
        <v>1</v>
      </c>
      <c r="E69" s="80">
        <f t="shared" si="19"/>
        <v>0.42857142857142855</v>
      </c>
      <c r="F69" s="80">
        <f t="shared" si="19"/>
        <v>0.375</v>
      </c>
      <c r="G69" s="80">
        <f t="shared" si="19"/>
        <v>0.44444444444444442</v>
      </c>
      <c r="H69" s="80">
        <f t="shared" si="19"/>
        <v>0.72727272727272729</v>
      </c>
      <c r="I69" s="80">
        <f t="shared" si="19"/>
        <v>0.55555555555555558</v>
      </c>
      <c r="J69" s="80">
        <f t="shared" si="19"/>
        <v>0.7</v>
      </c>
      <c r="K69" s="80">
        <f t="shared" si="19"/>
        <v>0.2857142857142857</v>
      </c>
      <c r="L69" s="80">
        <f t="shared" si="19"/>
        <v>0.41666666666666669</v>
      </c>
      <c r="M69" s="80">
        <f t="shared" si="19"/>
        <v>0.4</v>
      </c>
      <c r="N69" s="80">
        <f t="shared" si="19"/>
        <v>0.5</v>
      </c>
      <c r="O69" s="80" t="str">
        <f t="shared" si="19"/>
        <v/>
      </c>
    </row>
    <row r="70" spans="1:19" ht="15" customHeight="1" x14ac:dyDescent="0.2">
      <c r="A70" s="76" t="s">
        <v>208</v>
      </c>
      <c r="B70" s="80">
        <f t="shared" ref="B70:O70" si="20">IF(B26=0,"",B48/B26)</f>
        <v>0.2857142857142857</v>
      </c>
      <c r="C70" s="80" t="str">
        <f t="shared" si="20"/>
        <v/>
      </c>
      <c r="D70" s="80" t="str">
        <f t="shared" si="20"/>
        <v/>
      </c>
      <c r="E70" s="80" t="str">
        <f t="shared" si="20"/>
        <v/>
      </c>
      <c r="F70" s="80">
        <f t="shared" si="20"/>
        <v>0.5</v>
      </c>
      <c r="G70" s="80">
        <f t="shared" si="20"/>
        <v>0.7142857142857143</v>
      </c>
      <c r="H70" s="80" t="str">
        <f t="shared" si="20"/>
        <v/>
      </c>
      <c r="I70" s="80">
        <f t="shared" si="20"/>
        <v>0.5</v>
      </c>
      <c r="J70" s="80" t="str">
        <f t="shared" si="20"/>
        <v/>
      </c>
      <c r="K70" s="80" t="str">
        <f t="shared" si="20"/>
        <v/>
      </c>
      <c r="L70" s="80" t="str">
        <f t="shared" si="20"/>
        <v/>
      </c>
      <c r="M70" s="80" t="str">
        <f t="shared" si="20"/>
        <v/>
      </c>
      <c r="N70" s="80" t="str">
        <f t="shared" si="20"/>
        <v/>
      </c>
      <c r="O70" s="80" t="str">
        <f t="shared" si="20"/>
        <v/>
      </c>
    </row>
    <row r="71" spans="1:19" x14ac:dyDescent="0.2">
      <c r="A71" s="76" t="s">
        <v>407</v>
      </c>
      <c r="B71" s="80" t="str">
        <f t="shared" ref="B71:O71" si="21">IF(B27=0,"",B49/B27)</f>
        <v/>
      </c>
      <c r="C71" s="80" t="str">
        <f t="shared" si="21"/>
        <v/>
      </c>
      <c r="D71" s="80" t="str">
        <f t="shared" si="21"/>
        <v/>
      </c>
      <c r="E71" s="80" t="str">
        <f t="shared" si="21"/>
        <v/>
      </c>
      <c r="F71" s="80" t="str">
        <f t="shared" si="21"/>
        <v/>
      </c>
      <c r="G71" s="80" t="str">
        <f t="shared" si="21"/>
        <v/>
      </c>
      <c r="H71" s="80" t="str">
        <f t="shared" si="21"/>
        <v/>
      </c>
      <c r="I71" s="80" t="str">
        <f t="shared" si="21"/>
        <v/>
      </c>
      <c r="J71" s="80" t="str">
        <f t="shared" si="21"/>
        <v/>
      </c>
      <c r="K71" s="80" t="str">
        <f t="shared" si="21"/>
        <v/>
      </c>
      <c r="L71" s="80" t="str">
        <f t="shared" si="21"/>
        <v/>
      </c>
      <c r="M71" s="80" t="str">
        <f t="shared" si="21"/>
        <v/>
      </c>
      <c r="N71" s="80" t="str">
        <f t="shared" si="21"/>
        <v/>
      </c>
      <c r="O71" s="80" t="str">
        <f t="shared" si="21"/>
        <v/>
      </c>
    </row>
    <row r="72" spans="1:19" ht="15" customHeight="1" x14ac:dyDescent="0.2">
      <c r="A72" s="157" t="s">
        <v>228</v>
      </c>
      <c r="B72" s="157"/>
      <c r="C72" s="157"/>
      <c r="D72" s="157"/>
      <c r="E72" s="157"/>
      <c r="F72" s="157"/>
      <c r="G72" s="157"/>
      <c r="H72" s="157"/>
      <c r="I72" s="157"/>
      <c r="J72" s="157"/>
      <c r="K72" s="157"/>
      <c r="L72" s="157"/>
      <c r="M72" s="157"/>
      <c r="N72" s="157"/>
      <c r="O72" s="157"/>
      <c r="P72" s="157"/>
      <c r="Q72" s="157"/>
    </row>
    <row r="73" spans="1:19" ht="15" customHeight="1" x14ac:dyDescent="0.2">
      <c r="A73" s="81" t="s">
        <v>229</v>
      </c>
      <c r="B73" s="74" t="s">
        <v>127</v>
      </c>
      <c r="C73" s="74" t="s">
        <v>187</v>
      </c>
      <c r="D73" s="74" t="s">
        <v>180</v>
      </c>
      <c r="E73" s="74" t="s">
        <v>102</v>
      </c>
      <c r="F73" s="74" t="s">
        <v>230</v>
      </c>
      <c r="G73" s="74" t="s">
        <v>100</v>
      </c>
    </row>
    <row r="74" spans="1:19" ht="15" customHeight="1" x14ac:dyDescent="0.2">
      <c r="A74" s="76" t="s">
        <v>167</v>
      </c>
      <c r="B74" s="77">
        <f>COUNTIF('Match Log'!$D$4:$D$810,$A74)</f>
        <v>23</v>
      </c>
      <c r="C74" s="77">
        <f>SUMPRODUCT(--(COUNTIFS('Match Log'!$D$4:$D$810,$A74,'Match Log'!$C$4:$C$810,Lists!$C$2:$C$21)&gt;0))</f>
        <v>3</v>
      </c>
      <c r="D74" s="77">
        <f>COUNTIFS('Match Log'!$D$4:$D$810,$A74,'Match Log'!$E$4:$E$810,"Win")</f>
        <v>15</v>
      </c>
      <c r="E74" s="80">
        <f t="shared" ref="E74:E87" si="22">IF($B74=0,"",$D74/$B74)</f>
        <v>0.65217391304347827</v>
      </c>
      <c r="F74" s="82">
        <f>IFERROR(INDEX(Engine!$B$2:$B$15,MATCH($A74,Engine!$A$2:$A$15,0)),"")</f>
        <v>1168.2113436007442</v>
      </c>
      <c r="G74" s="77" t="str">
        <f>IF($B74=0,"No games",IF(AND($B74&gt;='Guide &amp; Settings'!$C$45,$C74&gt;='Guide &amp; Settings'!$C$46),"Eligible","Provisional"))</f>
        <v>Eligible</v>
      </c>
      <c r="S74" s="83">
        <f t="shared" ref="S74:S87" si="23">IF($G74="Eligible",$F74,-1)</f>
        <v>1168.2113436007442</v>
      </c>
    </row>
    <row r="75" spans="1:19" ht="15" customHeight="1" x14ac:dyDescent="0.2">
      <c r="A75" s="76" t="s">
        <v>137</v>
      </c>
      <c r="B75" s="77">
        <f>COUNTIF('Match Log'!$D$4:$D$810,$A75)</f>
        <v>32</v>
      </c>
      <c r="C75" s="77">
        <f>SUMPRODUCT(--(COUNTIFS('Match Log'!$D$4:$D$810,$A75,'Match Log'!$C$4:$C$810,Lists!$C$2:$C$21)&gt;0))</f>
        <v>8</v>
      </c>
      <c r="D75" s="77">
        <f>COUNTIFS('Match Log'!$D$4:$D$810,$A75,'Match Log'!$E$4:$E$810,"Win")</f>
        <v>20</v>
      </c>
      <c r="E75" s="80">
        <f t="shared" si="22"/>
        <v>0.625</v>
      </c>
      <c r="F75" s="82">
        <f>IFERROR(INDEX(Engine!$B$2:$B$15,MATCH($A75,Engine!$A$2:$A$15,0)),"")</f>
        <v>1129.7012289075892</v>
      </c>
      <c r="G75" s="77" t="str">
        <f>IF($B75=0,"No games",IF(AND($B75&gt;='Guide &amp; Settings'!$C$45,$C75&gt;='Guide &amp; Settings'!$C$46),"Eligible","Provisional"))</f>
        <v>Eligible</v>
      </c>
      <c r="S75" s="83">
        <f t="shared" si="23"/>
        <v>1129.7012289075892</v>
      </c>
    </row>
    <row r="76" spans="1:19" ht="15" customHeight="1" x14ac:dyDescent="0.2">
      <c r="A76" s="76" t="s">
        <v>168</v>
      </c>
      <c r="B76" s="77">
        <f>COUNTIF('Match Log'!$D$4:$D$810,$A76)</f>
        <v>17</v>
      </c>
      <c r="C76" s="77">
        <f>SUMPRODUCT(--(COUNTIFS('Match Log'!$D$4:$D$810,$A76,'Match Log'!$C$4:$C$810,Lists!$C$2:$C$21)&gt;0))</f>
        <v>4</v>
      </c>
      <c r="D76" s="77">
        <f>COUNTIFS('Match Log'!$D$4:$D$810,$A76,'Match Log'!$E$4:$E$810,"Win")</f>
        <v>10</v>
      </c>
      <c r="E76" s="80">
        <f t="shared" si="22"/>
        <v>0.58823529411764708</v>
      </c>
      <c r="F76" s="82">
        <f>IFERROR(INDEX(Engine!$B$2:$B$15,MATCH($A76,Engine!$A$2:$A$15,0)),"")</f>
        <v>1084.8903813508514</v>
      </c>
      <c r="G76" s="77" t="str">
        <f>IF($B76=0,"No games",IF(AND($B76&gt;='Guide &amp; Settings'!$C$45,$C76&gt;='Guide &amp; Settings'!$C$46),"Eligible","Provisional"))</f>
        <v>Eligible</v>
      </c>
      <c r="S76" s="83">
        <f t="shared" si="23"/>
        <v>1084.8903813508514</v>
      </c>
    </row>
    <row r="77" spans="1:19" ht="15" customHeight="1" x14ac:dyDescent="0.2">
      <c r="A77" s="76" t="s">
        <v>169</v>
      </c>
      <c r="B77" s="77">
        <f>COUNTIF('Match Log'!$D$4:$D$810,$A77)</f>
        <v>44</v>
      </c>
      <c r="C77" s="77">
        <f>SUMPRODUCT(--(COUNTIFS('Match Log'!$D$4:$D$810,$A77,'Match Log'!$C$4:$C$810,Lists!$C$2:$C$21)&gt;0))</f>
        <v>8</v>
      </c>
      <c r="D77" s="77">
        <f>COUNTIFS('Match Log'!$D$4:$D$810,$A77,'Match Log'!$E$4:$E$810,"Win")</f>
        <v>20</v>
      </c>
      <c r="E77" s="80">
        <f t="shared" si="22"/>
        <v>0.45454545454545453</v>
      </c>
      <c r="F77" s="82">
        <f>IFERROR(INDEX(Engine!$B$2:$B$15,MATCH($A77,Engine!$A$2:$A$15,0)),"")</f>
        <v>1058.6657209484931</v>
      </c>
      <c r="G77" s="77" t="str">
        <f>IF($B77=0,"No games",IF(AND($B77&gt;='Guide &amp; Settings'!$C$45,$C77&gt;='Guide &amp; Settings'!$C$46),"Eligible","Provisional"))</f>
        <v>Eligible</v>
      </c>
      <c r="S77" s="83">
        <f t="shared" si="23"/>
        <v>1058.6657209484931</v>
      </c>
    </row>
    <row r="78" spans="1:19" ht="15" customHeight="1" x14ac:dyDescent="0.2">
      <c r="A78" s="76" t="s">
        <v>170</v>
      </c>
      <c r="B78" s="77">
        <f>COUNTIF('Match Log'!$D$4:$D$810,$A78)</f>
        <v>52</v>
      </c>
      <c r="C78" s="77">
        <f>SUMPRODUCT(--(COUNTIFS('Match Log'!$D$4:$D$810,$A78,'Match Log'!$C$4:$C$810,Lists!$C$2:$C$21)&gt;0))</f>
        <v>11</v>
      </c>
      <c r="D78" s="77">
        <f>COUNTIFS('Match Log'!$D$4:$D$810,$A78,'Match Log'!$E$4:$E$810,"Win")</f>
        <v>23</v>
      </c>
      <c r="E78" s="80">
        <f t="shared" si="22"/>
        <v>0.44230769230769229</v>
      </c>
      <c r="F78" s="82">
        <f>IFERROR(INDEX(Engine!$B$2:$B$15,MATCH($A78,Engine!$A$2:$A$15,0)),"")</f>
        <v>1050.8634549674414</v>
      </c>
      <c r="G78" s="77" t="str">
        <f>IF($B78=0,"No games",IF(AND($B78&gt;='Guide &amp; Settings'!$C$45,$C78&gt;='Guide &amp; Settings'!$C$46),"Eligible","Provisional"))</f>
        <v>Eligible</v>
      </c>
      <c r="S78" s="83">
        <f t="shared" si="23"/>
        <v>1050.8634549674414</v>
      </c>
    </row>
    <row r="79" spans="1:19" ht="15" customHeight="1" x14ac:dyDescent="0.2">
      <c r="A79" s="76" t="s">
        <v>138</v>
      </c>
      <c r="B79" s="77">
        <f>COUNTIF('Match Log'!$D$4:$D$810,$A79)</f>
        <v>37</v>
      </c>
      <c r="C79" s="77">
        <f>SUMPRODUCT(--(COUNTIFS('Match Log'!$D$4:$D$810,$A79,'Match Log'!$C$4:$C$810,Lists!$C$2:$C$21)&gt;0))</f>
        <v>8</v>
      </c>
      <c r="D79" s="77">
        <f>COUNTIFS('Match Log'!$D$4:$D$810,$A79,'Match Log'!$E$4:$E$810,"Win")</f>
        <v>21</v>
      </c>
      <c r="E79" s="80">
        <f t="shared" si="22"/>
        <v>0.56756756756756754</v>
      </c>
      <c r="F79" s="82">
        <f>IFERROR(INDEX(Engine!$B$2:$B$15,MATCH($A79,Engine!$A$2:$A$15,0)),"")</f>
        <v>1109.2177733663168</v>
      </c>
      <c r="G79" s="77" t="str">
        <f>IF($B79=0,"No games",IF(AND($B79&gt;='Guide &amp; Settings'!$C$45,$C79&gt;='Guide &amp; Settings'!$C$46),"Eligible","Provisional"))</f>
        <v>Eligible</v>
      </c>
      <c r="S79" s="83">
        <f t="shared" si="23"/>
        <v>1109.2177733663168</v>
      </c>
    </row>
    <row r="80" spans="1:19" ht="15" customHeight="1" x14ac:dyDescent="0.2">
      <c r="A80" s="76" t="s">
        <v>134</v>
      </c>
      <c r="B80" s="77">
        <f>COUNTIF('Match Log'!$D$4:$D$810,$A80)</f>
        <v>61</v>
      </c>
      <c r="C80" s="77">
        <f>SUMPRODUCT(--(COUNTIFS('Match Log'!$D$4:$D$810,$A80,'Match Log'!$C$4:$C$810,Lists!$C$2:$C$21)&gt;0))</f>
        <v>9</v>
      </c>
      <c r="D80" s="77">
        <f>COUNTIFS('Match Log'!$D$4:$D$810,$A80,'Match Log'!$E$4:$E$810,"Win")</f>
        <v>27</v>
      </c>
      <c r="E80" s="80">
        <f t="shared" si="22"/>
        <v>0.44262295081967212</v>
      </c>
      <c r="F80" s="82">
        <f>IFERROR(INDEX(Engine!$B$2:$B$15,MATCH($A80,Engine!$A$2:$A$15,0)),"")</f>
        <v>1019.8775545971507</v>
      </c>
      <c r="G80" s="77" t="str">
        <f>IF($B80=0,"No games",IF(AND($B80&gt;='Guide &amp; Settings'!$C$45,$C80&gt;='Guide &amp; Settings'!$C$46),"Eligible","Provisional"))</f>
        <v>Eligible</v>
      </c>
      <c r="S80" s="83">
        <f t="shared" si="23"/>
        <v>1019.8775545971507</v>
      </c>
    </row>
    <row r="81" spans="1:19" ht="15" customHeight="1" x14ac:dyDescent="0.2">
      <c r="A81" s="76" t="s">
        <v>135</v>
      </c>
      <c r="B81" s="77">
        <f>COUNTIF('Match Log'!$D$4:$D$810,$A81)</f>
        <v>10</v>
      </c>
      <c r="C81" s="77">
        <f>SUMPRODUCT(--(COUNTIFS('Match Log'!$D$4:$D$810,$A81,'Match Log'!$C$4:$C$810,Lists!$C$2:$C$21)&gt;0))</f>
        <v>3</v>
      </c>
      <c r="D81" s="77">
        <f>COUNTIFS('Match Log'!$D$4:$D$810,$A81,'Match Log'!$E$4:$E$810,"Win")</f>
        <v>5</v>
      </c>
      <c r="E81" s="80">
        <f t="shared" si="22"/>
        <v>0.5</v>
      </c>
      <c r="F81" s="82">
        <f>IFERROR(INDEX(Engine!$B$2:$B$15,MATCH($A81,Engine!$A$2:$A$15,0)),"")</f>
        <v>1029.2201908859522</v>
      </c>
      <c r="G81" s="77" t="str">
        <f>IF($B81=0,"No games",IF(AND($B81&gt;='Guide &amp; Settings'!$C$45,$C81&gt;='Guide &amp; Settings'!$C$46),"Eligible","Provisional"))</f>
        <v>Eligible</v>
      </c>
      <c r="S81" s="83">
        <f t="shared" si="23"/>
        <v>1029.2201908859522</v>
      </c>
    </row>
    <row r="82" spans="1:19" ht="15" customHeight="1" x14ac:dyDescent="0.2">
      <c r="A82" s="76" t="s">
        <v>171</v>
      </c>
      <c r="B82" s="77">
        <f>COUNTIF('Match Log'!$D$4:$D$810,$A82)</f>
        <v>5</v>
      </c>
      <c r="C82" s="77">
        <f>SUMPRODUCT(--(COUNTIFS('Match Log'!$D$4:$D$810,$A82,'Match Log'!$C$4:$C$810,Lists!$C$2:$C$21)&gt;0))</f>
        <v>1</v>
      </c>
      <c r="D82" s="77">
        <f>COUNTIFS('Match Log'!$D$4:$D$810,$A82,'Match Log'!$E$4:$E$810,"Win")</f>
        <v>2</v>
      </c>
      <c r="E82" s="80">
        <f t="shared" si="22"/>
        <v>0.4</v>
      </c>
      <c r="F82" s="82">
        <f>IFERROR(INDEX(Engine!$B$2:$B$15,MATCH($A82,Engine!$A$2:$A$15,0)),"")</f>
        <v>1031.225848367051</v>
      </c>
      <c r="G82" s="77" t="str">
        <f>IF($B82=0,"No games",IF(AND($B82&gt;='Guide &amp; Settings'!$C$45,$C82&gt;='Guide &amp; Settings'!$C$46),"Eligible","Provisional"))</f>
        <v>Provisional</v>
      </c>
      <c r="S82" s="83">
        <f t="shared" si="23"/>
        <v>-1</v>
      </c>
    </row>
    <row r="83" spans="1:19" ht="15" customHeight="1" x14ac:dyDescent="0.2">
      <c r="A83" s="76" t="s">
        <v>172</v>
      </c>
      <c r="B83" s="77">
        <f>COUNTIF('Match Log'!$D$4:$D$810,$A83)</f>
        <v>4</v>
      </c>
      <c r="C83" s="77">
        <f>SUMPRODUCT(--(COUNTIFS('Match Log'!$D$4:$D$810,$A83,'Match Log'!$C$4:$C$810,Lists!$C$2:$C$21)&gt;0))</f>
        <v>1</v>
      </c>
      <c r="D83" s="77">
        <f>COUNTIFS('Match Log'!$D$4:$D$810,$A83,'Match Log'!$E$4:$E$810,"Win")</f>
        <v>2</v>
      </c>
      <c r="E83" s="80">
        <f t="shared" si="22"/>
        <v>0.5</v>
      </c>
      <c r="F83" s="82">
        <f>IFERROR(INDEX(Engine!$B$2:$B$15,MATCH($A83,Engine!$A$2:$A$15,0)),"")</f>
        <v>1030.3815983388336</v>
      </c>
      <c r="G83" s="77" t="str">
        <f>IF($B83=0,"No games",IF(AND($B83&gt;='Guide &amp; Settings'!$C$45,$C83&gt;='Guide &amp; Settings'!$C$46),"Eligible","Provisional"))</f>
        <v>Provisional</v>
      </c>
      <c r="S83" s="83">
        <f t="shared" si="23"/>
        <v>-1</v>
      </c>
    </row>
    <row r="84" spans="1:19" ht="15" customHeight="1" x14ac:dyDescent="0.2">
      <c r="A84" s="76" t="s">
        <v>173</v>
      </c>
      <c r="B84" s="77">
        <f>COUNTIF('Match Log'!$D$4:$D$810,$A84)</f>
        <v>10</v>
      </c>
      <c r="C84" s="77">
        <f>SUMPRODUCT(--(COUNTIFS('Match Log'!$D$4:$D$810,$A84,'Match Log'!$C$4:$C$810,Lists!$C$2:$C$21)&gt;0))</f>
        <v>6</v>
      </c>
      <c r="D84" s="77">
        <f>COUNTIFS('Match Log'!$D$4:$D$810,$A84,'Match Log'!$E$4:$E$810,"Win")</f>
        <v>5</v>
      </c>
      <c r="E84" s="80">
        <f t="shared" si="22"/>
        <v>0.5</v>
      </c>
      <c r="F84" s="82">
        <f>IFERROR(INDEX(Engine!$B$2:$B$15,MATCH($A84,Engine!$A$2:$A$15,0)),"")</f>
        <v>1016.7837867075796</v>
      </c>
      <c r="G84" s="77" t="str">
        <f>IF($B84=0,"No games",IF(AND($B84&gt;='Guide &amp; Settings'!$C$45,$C84&gt;='Guide &amp; Settings'!$C$46),"Eligible","Provisional"))</f>
        <v>Eligible</v>
      </c>
      <c r="S84" s="83">
        <f t="shared" si="23"/>
        <v>1016.7837867075796</v>
      </c>
    </row>
    <row r="85" spans="1:19" ht="15" customHeight="1" x14ac:dyDescent="0.2">
      <c r="A85" s="76" t="s">
        <v>174</v>
      </c>
      <c r="B85" s="77">
        <f>COUNTIF('Match Log'!$D$4:$D$810,$A85)</f>
        <v>0</v>
      </c>
      <c r="C85" s="77">
        <f>SUMPRODUCT(--(COUNTIFS('Match Log'!$D$4:$D$810,$A85,'Match Log'!$C$4:$C$810,Lists!$C$2:$C$21)&gt;0))</f>
        <v>0</v>
      </c>
      <c r="D85" s="77">
        <f>COUNTIFS('Match Log'!$D$4:$D$810,$A85,'Match Log'!$E$4:$E$810,"Win")</f>
        <v>0</v>
      </c>
      <c r="E85" s="80" t="str">
        <f t="shared" si="22"/>
        <v/>
      </c>
      <c r="F85" s="82">
        <f>IFERROR(INDEX(Engine!$B$2:$B$15,MATCH($A85,Engine!$A$2:$A$15,0)),"")</f>
        <v>1000</v>
      </c>
      <c r="G85" s="77" t="str">
        <f>IF($B85=0,"No games",IF(AND($B85&gt;='Guide &amp; Settings'!$C$45,$C85&gt;='Guide &amp; Settings'!$C$46),"Eligible","Provisional"))</f>
        <v>No games</v>
      </c>
      <c r="S85">
        <f t="shared" si="23"/>
        <v>-1</v>
      </c>
    </row>
    <row r="86" spans="1:19" ht="15" customHeight="1" x14ac:dyDescent="0.2">
      <c r="A86" s="76" t="s">
        <v>140</v>
      </c>
      <c r="B86" s="77">
        <f>COUNTIF('Match Log'!$D$4:$D$810,$A86)</f>
        <v>14</v>
      </c>
      <c r="C86" s="77">
        <f>SUMPRODUCT(--(COUNTIFS('Match Log'!$D$4:$D$810,$A86,'Match Log'!$C$4:$C$810,Lists!$C$2:$C$21)&gt;0))</f>
        <v>3</v>
      </c>
      <c r="D86" s="77">
        <f>COUNTIFS('Match Log'!$D$4:$D$810,$A86,'Match Log'!$E$4:$E$810,"Win")</f>
        <v>4</v>
      </c>
      <c r="E86" s="80">
        <f t="shared" si="22"/>
        <v>0.2857142857142857</v>
      </c>
      <c r="F86" s="82">
        <f>IFERROR(INDEX(Engine!$B$2:$B$15,MATCH($A86,Engine!$A$2:$A$15,0)),"")</f>
        <v>981.92436608474441</v>
      </c>
      <c r="G86" s="77" t="str">
        <f>IF($B86=0,"No games",IF(AND($B86&gt;='Guide &amp; Settings'!$C$45,$C86&gt;='Guide &amp; Settings'!$C$46),"Eligible","Provisional"))</f>
        <v>Eligible</v>
      </c>
      <c r="S86" s="83">
        <f t="shared" si="23"/>
        <v>981.92436608474441</v>
      </c>
    </row>
    <row r="87" spans="1:19" ht="15" customHeight="1" x14ac:dyDescent="0.2">
      <c r="A87" s="76" t="s">
        <v>175</v>
      </c>
      <c r="B87" s="77">
        <f>COUNTIF('Match Log'!$D$4:$D$810,$A87)</f>
        <v>13</v>
      </c>
      <c r="C87" s="77">
        <f>SUMPRODUCT(--(COUNTIFS('Match Log'!$D$4:$D$810,$A87,'Match Log'!$C$4:$C$810,Lists!$C$2:$C$21)&gt;0))</f>
        <v>3</v>
      </c>
      <c r="D87" s="77">
        <f>COUNTIFS('Match Log'!$D$4:$D$810,$A87,'Match Log'!$E$4:$E$810,"Win")</f>
        <v>2</v>
      </c>
      <c r="E87" s="80">
        <f t="shared" si="22"/>
        <v>0.15384615384615385</v>
      </c>
      <c r="F87" s="82">
        <f>IFERROR(INDEX(Engine!$B$2:$B$15,MATCH($A87,Engine!$A$2:$A$15,0)),"")</f>
        <v>893.03675187725173</v>
      </c>
      <c r="G87" s="77" t="str">
        <f>IF($B87=0,"No games",IF(AND($B87&gt;='Guide &amp; Settings'!$C$45,$C87&gt;='Guide &amp; Settings'!$C$46),"Eligible","Provisional"))</f>
        <v>Eligible</v>
      </c>
      <c r="S87" s="83">
        <f t="shared" si="23"/>
        <v>893.03675187725173</v>
      </c>
    </row>
    <row r="89" spans="1:19" ht="15" customHeight="1" x14ac:dyDescent="0.2">
      <c r="A89" s="157" t="s">
        <v>231</v>
      </c>
      <c r="B89" s="157"/>
      <c r="C89" s="157"/>
      <c r="D89" s="157"/>
      <c r="E89" s="157"/>
      <c r="F89" s="157"/>
      <c r="G89" s="157"/>
      <c r="H89" s="157"/>
      <c r="I89" s="157"/>
      <c r="J89" s="157"/>
      <c r="K89" s="157"/>
      <c r="L89" s="157"/>
      <c r="M89" s="157"/>
      <c r="N89" s="157"/>
      <c r="O89" s="157"/>
      <c r="P89" s="157"/>
      <c r="Q89" s="157"/>
    </row>
    <row r="90" spans="1:19" ht="91.5" customHeight="1" x14ac:dyDescent="0.2">
      <c r="A90" s="74" t="s">
        <v>123</v>
      </c>
      <c r="B90" s="75" t="s">
        <v>138</v>
      </c>
      <c r="C90" s="75" t="s">
        <v>135</v>
      </c>
      <c r="D90" s="75" t="s">
        <v>173</v>
      </c>
      <c r="E90" s="75" t="s">
        <v>140</v>
      </c>
      <c r="F90" s="75" t="s">
        <v>137</v>
      </c>
      <c r="G90" s="75" t="s">
        <v>134</v>
      </c>
      <c r="H90" s="75" t="s">
        <v>168</v>
      </c>
      <c r="I90" s="75" t="s">
        <v>170</v>
      </c>
      <c r="J90" s="75" t="s">
        <v>167</v>
      </c>
      <c r="K90" s="75" t="s">
        <v>175</v>
      </c>
      <c r="L90" s="75" t="s">
        <v>169</v>
      </c>
      <c r="M90" s="75" t="s">
        <v>171</v>
      </c>
      <c r="N90" s="75" t="s">
        <v>172</v>
      </c>
      <c r="O90" s="75" t="s">
        <v>174</v>
      </c>
      <c r="P90" s="74" t="s">
        <v>232</v>
      </c>
    </row>
    <row r="91" spans="1:19" ht="15" customHeight="1" x14ac:dyDescent="0.2">
      <c r="A91" s="76" t="s">
        <v>181</v>
      </c>
      <c r="B91" s="82" t="str">
        <f>IFERROR(LOOKUP(2,1/(('Match Log'!$D$4:$D$810=B$90)*('Match Log'!$C$4:$C$810=$A91)),'Match Log'!$AB$4:$AB$810),"")</f>
        <v/>
      </c>
      <c r="C91" s="82" t="str">
        <f>IFERROR(LOOKUP(2,1/(('Match Log'!$D$4:$D$810=C$90)*('Match Log'!$C$4:$C$810=$A91)),'Match Log'!$AB$4:$AB$810),"")</f>
        <v/>
      </c>
      <c r="D91" s="82" t="str">
        <f>IFERROR(LOOKUP(2,1/(('Match Log'!$D$4:$D$810=D$90)*('Match Log'!$C$4:$C$810=$A91)),'Match Log'!$AB$4:$AB$810),"")</f>
        <v/>
      </c>
      <c r="E91" s="82" t="str">
        <f>IFERROR(LOOKUP(2,1/(('Match Log'!$D$4:$D$810=E$90)*('Match Log'!$C$4:$C$810=$A91)),'Match Log'!$AB$4:$AB$810),"")</f>
        <v/>
      </c>
      <c r="F91" s="82" t="str">
        <f>IFERROR(LOOKUP(2,1/(('Match Log'!$D$4:$D$810=F$90)*('Match Log'!$C$4:$C$810=$A91)),'Match Log'!$AB$4:$AB$810),"")</f>
        <v/>
      </c>
      <c r="G91" s="82">
        <f>IFERROR(LOOKUP(2,1/(('Match Log'!$D$4:$D$810=G$90)*('Match Log'!$C$4:$C$810=$A91)),'Match Log'!$AB$4:$AB$810),"")</f>
        <v>1030.5304984710244</v>
      </c>
      <c r="H91" s="82" t="str">
        <f>IFERROR(LOOKUP(2,1/(('Match Log'!$D$4:$D$810=H$90)*('Match Log'!$C$4:$C$810=$A91)),'Match Log'!$AB$4:$AB$810),"")</f>
        <v/>
      </c>
      <c r="I91" s="82">
        <f>IFERROR(LOOKUP(2,1/(('Match Log'!$D$4:$D$810=I$90)*('Match Log'!$C$4:$C$810=$A91)),'Match Log'!$AB$4:$AB$810),"")</f>
        <v>969.46950152897546</v>
      </c>
      <c r="J91" s="82" t="str">
        <f>IFERROR(LOOKUP(2,1/(('Match Log'!$D$4:$D$810=J$90)*('Match Log'!$C$4:$C$810=$A91)),'Match Log'!$AB$4:$AB$810),"")</f>
        <v/>
      </c>
      <c r="K91" s="82" t="str">
        <f>IFERROR(LOOKUP(2,1/(('Match Log'!$D$4:$D$810=K$90)*('Match Log'!$C$4:$C$810=$A91)),'Match Log'!$AB$4:$AB$810),"")</f>
        <v/>
      </c>
      <c r="L91" s="82" t="str">
        <f>IFERROR(LOOKUP(2,1/(('Match Log'!$D$4:$D$810=L$90)*('Match Log'!$C$4:$C$810=$A91)),'Match Log'!$AB$4:$AB$810),"")</f>
        <v/>
      </c>
      <c r="M91" s="82" t="str">
        <f>IFERROR(LOOKUP(2,1/(('Match Log'!$D$4:$D$810=M$90)*('Match Log'!$C$4:$C$810=$A91)),'Match Log'!$AB$4:$AB$810),"")</f>
        <v/>
      </c>
      <c r="N91" s="82" t="str">
        <f>IFERROR(LOOKUP(2,1/(('Match Log'!$D$4:$D$810=N$90)*('Match Log'!$C$4:$C$810=$A91)),'Match Log'!$AB$4:$AB$810),"")</f>
        <v/>
      </c>
      <c r="O91" s="82" t="str">
        <f>IFERROR(LOOKUP(2,1/(('Match Log'!$D$4:$D$810=O$90)*('Match Log'!$C$4:$C$810=$A91)),'Match Log'!$AB$4:$AB$810),"")</f>
        <v/>
      </c>
      <c r="P91" s="79" t="str">
        <f t="shared" ref="P91:P109" si="24">IFERROR(INDEX($B$90:$O$90,MATCH(MAX($B91:$O91),$B91:$O91,0)),"—")</f>
        <v>Shawn</v>
      </c>
    </row>
    <row r="92" spans="1:19" ht="15" customHeight="1" x14ac:dyDescent="0.2">
      <c r="A92" s="76" t="s">
        <v>182</v>
      </c>
      <c r="B92" s="82" t="str">
        <f>IFERROR(LOOKUP(2,1/(('Match Log'!$D$4:$D$810=B$90)*('Match Log'!$C$4:$C$810=$A92)),'Match Log'!$AB$4:$AB$810),"")</f>
        <v/>
      </c>
      <c r="C92" s="82" t="str">
        <f>IFERROR(LOOKUP(2,1/(('Match Log'!$D$4:$D$810=C$90)*('Match Log'!$C$4:$C$810=$A92)),'Match Log'!$AB$4:$AB$810),"")</f>
        <v/>
      </c>
      <c r="D92" s="82" t="str">
        <f>IFERROR(LOOKUP(2,1/(('Match Log'!$D$4:$D$810=D$90)*('Match Log'!$C$4:$C$810=$A92)),'Match Log'!$AB$4:$AB$810),"")</f>
        <v/>
      </c>
      <c r="E92" s="82" t="str">
        <f>IFERROR(LOOKUP(2,1/(('Match Log'!$D$4:$D$810=E$90)*('Match Log'!$C$4:$C$810=$A92)),'Match Log'!$AB$4:$AB$810),"")</f>
        <v/>
      </c>
      <c r="F92" s="82" t="str">
        <f>IFERROR(LOOKUP(2,1/(('Match Log'!$D$4:$D$810=F$90)*('Match Log'!$C$4:$C$810=$A92)),'Match Log'!$AB$4:$AB$810),"")</f>
        <v/>
      </c>
      <c r="G92" s="82" t="str">
        <f>IFERROR(LOOKUP(2,1/(('Match Log'!$D$4:$D$810=G$90)*('Match Log'!$C$4:$C$810=$A92)),'Match Log'!$AB$4:$AB$810),"")</f>
        <v/>
      </c>
      <c r="H92" s="82" t="str">
        <f>IFERROR(LOOKUP(2,1/(('Match Log'!$D$4:$D$810=H$90)*('Match Log'!$C$4:$C$810=$A92)),'Match Log'!$AB$4:$AB$810),"")</f>
        <v/>
      </c>
      <c r="I92" s="82" t="str">
        <f>IFERROR(LOOKUP(2,1/(('Match Log'!$D$4:$D$810=I$90)*('Match Log'!$C$4:$C$810=$A92)),'Match Log'!$AB$4:$AB$810),"")</f>
        <v/>
      </c>
      <c r="J92" s="82" t="str">
        <f>IFERROR(LOOKUP(2,1/(('Match Log'!$D$4:$D$810=J$90)*('Match Log'!$C$4:$C$810=$A92)),'Match Log'!$AB$4:$AB$810),"")</f>
        <v/>
      </c>
      <c r="K92" s="82" t="str">
        <f>IFERROR(LOOKUP(2,1/(('Match Log'!$D$4:$D$810=K$90)*('Match Log'!$C$4:$C$810=$A92)),'Match Log'!$AB$4:$AB$810),"")</f>
        <v/>
      </c>
      <c r="L92" s="82" t="str">
        <f>IFERROR(LOOKUP(2,1/(('Match Log'!$D$4:$D$810=L$90)*('Match Log'!$C$4:$C$810=$A92)),'Match Log'!$AB$4:$AB$810),"")</f>
        <v/>
      </c>
      <c r="M92" s="82" t="str">
        <f>IFERROR(LOOKUP(2,1/(('Match Log'!$D$4:$D$810=M$90)*('Match Log'!$C$4:$C$810=$A92)),'Match Log'!$AB$4:$AB$810),"")</f>
        <v/>
      </c>
      <c r="N92" s="82" t="str">
        <f>IFERROR(LOOKUP(2,1/(('Match Log'!$D$4:$D$810=N$90)*('Match Log'!$C$4:$C$810=$A92)),'Match Log'!$AB$4:$AB$810),"")</f>
        <v/>
      </c>
      <c r="O92" s="82" t="str">
        <f>IFERROR(LOOKUP(2,1/(('Match Log'!$D$4:$D$810=O$90)*('Match Log'!$C$4:$C$810=$A92)),'Match Log'!$AB$4:$AB$810),"")</f>
        <v/>
      </c>
      <c r="P92" s="79" t="str">
        <f t="shared" si="24"/>
        <v>—</v>
      </c>
    </row>
    <row r="93" spans="1:19" ht="15" customHeight="1" x14ac:dyDescent="0.2">
      <c r="A93" s="76" t="s">
        <v>183</v>
      </c>
      <c r="B93" s="82">
        <f>IFERROR(LOOKUP(2,1/(('Match Log'!$D$4:$D$810=B$90)*('Match Log'!$C$4:$C$810=$A93)),'Match Log'!$AB$4:$AB$810),"")</f>
        <v>1074.1933125090914</v>
      </c>
      <c r="C93" s="82" t="str">
        <f>IFERROR(LOOKUP(2,1/(('Match Log'!$D$4:$D$810=C$90)*('Match Log'!$C$4:$C$810=$A93)),'Match Log'!$AB$4:$AB$810),"")</f>
        <v/>
      </c>
      <c r="D93" s="82">
        <f>IFERROR(LOOKUP(2,1/(('Match Log'!$D$4:$D$810=D$90)*('Match Log'!$C$4:$C$810=$A93)),'Match Log'!$AB$4:$AB$810),"")</f>
        <v>984.73630679352198</v>
      </c>
      <c r="E93" s="82" t="str">
        <f>IFERROR(LOOKUP(2,1/(('Match Log'!$D$4:$D$810=E$90)*('Match Log'!$C$4:$C$810=$A93)),'Match Log'!$AB$4:$AB$810),"")</f>
        <v/>
      </c>
      <c r="F93" s="82">
        <f>IFERROR(LOOKUP(2,1/(('Match Log'!$D$4:$D$810=F$90)*('Match Log'!$C$4:$C$810=$A93)),'Match Log'!$AB$4:$AB$810),"")</f>
        <v>984</v>
      </c>
      <c r="G93" s="82">
        <f>IFERROR(LOOKUP(2,1/(('Match Log'!$D$4:$D$810=G$90)*('Match Log'!$C$4:$C$810=$A93)),'Match Log'!$AB$4:$AB$810),"")</f>
        <v>974.00768231912002</v>
      </c>
      <c r="H93" s="82" t="str">
        <f>IFERROR(LOOKUP(2,1/(('Match Log'!$D$4:$D$810=H$90)*('Match Log'!$C$4:$C$810=$A93)),'Match Log'!$AB$4:$AB$810),"")</f>
        <v/>
      </c>
      <c r="I93" s="82">
        <f>IFERROR(LOOKUP(2,1/(('Match Log'!$D$4:$D$810=I$90)*('Match Log'!$C$4:$C$810=$A93)),'Match Log'!$AB$4:$AB$810),"")</f>
        <v>1000.2353336759772</v>
      </c>
      <c r="J93" s="82" t="str">
        <f>IFERROR(LOOKUP(2,1/(('Match Log'!$D$4:$D$810=J$90)*('Match Log'!$C$4:$C$810=$A93)),'Match Log'!$AB$4:$AB$810),"")</f>
        <v/>
      </c>
      <c r="K93" s="82" t="str">
        <f>IFERROR(LOOKUP(2,1/(('Match Log'!$D$4:$D$810=K$90)*('Match Log'!$C$4:$C$810=$A93)),'Match Log'!$AB$4:$AB$810),"")</f>
        <v/>
      </c>
      <c r="L93" s="82">
        <f>IFERROR(LOOKUP(2,1/(('Match Log'!$D$4:$D$810=L$90)*('Match Log'!$C$4:$C$810=$A93)),'Match Log'!$AB$4:$AB$810),"")</f>
        <v>982.82736470228917</v>
      </c>
      <c r="M93" s="82" t="str">
        <f>IFERROR(LOOKUP(2,1/(('Match Log'!$D$4:$D$810=M$90)*('Match Log'!$C$4:$C$810=$A93)),'Match Log'!$AB$4:$AB$810),"")</f>
        <v/>
      </c>
      <c r="N93" s="82" t="str">
        <f>IFERROR(LOOKUP(2,1/(('Match Log'!$D$4:$D$810=N$90)*('Match Log'!$C$4:$C$810=$A93)),'Match Log'!$AB$4:$AB$810),"")</f>
        <v/>
      </c>
      <c r="O93" s="82" t="str">
        <f>IFERROR(LOOKUP(2,1/(('Match Log'!$D$4:$D$810=O$90)*('Match Log'!$C$4:$C$810=$A93)),'Match Log'!$AB$4:$AB$810),"")</f>
        <v/>
      </c>
      <c r="P93" s="79" t="str">
        <f t="shared" si="24"/>
        <v>Aaron</v>
      </c>
    </row>
    <row r="94" spans="1:19" ht="15" customHeight="1" x14ac:dyDescent="0.2">
      <c r="A94" s="76" t="s">
        <v>184</v>
      </c>
      <c r="B94" s="82" t="str">
        <f>IFERROR(LOOKUP(2,1/(('Match Log'!$D$4:$D$810=B$90)*('Match Log'!$C$4:$C$810=$A94)),'Match Log'!$AB$4:$AB$810),"")</f>
        <v/>
      </c>
      <c r="C94" s="82" t="str">
        <f>IFERROR(LOOKUP(2,1/(('Match Log'!$D$4:$D$810=C$90)*('Match Log'!$C$4:$C$810=$A94)),'Match Log'!$AB$4:$AB$810),"")</f>
        <v/>
      </c>
      <c r="D94" s="82" t="str">
        <f>IFERROR(LOOKUP(2,1/(('Match Log'!$D$4:$D$810=D$90)*('Match Log'!$C$4:$C$810=$A94)),'Match Log'!$AB$4:$AB$810),"")</f>
        <v/>
      </c>
      <c r="E94" s="82" t="str">
        <f>IFERROR(LOOKUP(2,1/(('Match Log'!$D$4:$D$810=E$90)*('Match Log'!$C$4:$C$810=$A94)),'Match Log'!$AB$4:$AB$810),"")</f>
        <v/>
      </c>
      <c r="F94" s="82" t="str">
        <f>IFERROR(LOOKUP(2,1/(('Match Log'!$D$4:$D$810=F$90)*('Match Log'!$C$4:$C$810=$A94)),'Match Log'!$AB$4:$AB$810),"")</f>
        <v/>
      </c>
      <c r="G94" s="82" t="str">
        <f>IFERROR(LOOKUP(2,1/(('Match Log'!$D$4:$D$810=G$90)*('Match Log'!$C$4:$C$810=$A94)),'Match Log'!$AB$4:$AB$810),"")</f>
        <v/>
      </c>
      <c r="H94" s="82" t="str">
        <f>IFERROR(LOOKUP(2,1/(('Match Log'!$D$4:$D$810=H$90)*('Match Log'!$C$4:$C$810=$A94)),'Match Log'!$AB$4:$AB$810),"")</f>
        <v/>
      </c>
      <c r="I94" s="82" t="str">
        <f>IFERROR(LOOKUP(2,1/(('Match Log'!$D$4:$D$810=I$90)*('Match Log'!$C$4:$C$810=$A94)),'Match Log'!$AB$4:$AB$810),"")</f>
        <v/>
      </c>
      <c r="J94" s="82" t="str">
        <f>IFERROR(LOOKUP(2,1/(('Match Log'!$D$4:$D$810=J$90)*('Match Log'!$C$4:$C$810=$A94)),'Match Log'!$AB$4:$AB$810),"")</f>
        <v/>
      </c>
      <c r="K94" s="82" t="str">
        <f>IFERROR(LOOKUP(2,1/(('Match Log'!$D$4:$D$810=K$90)*('Match Log'!$C$4:$C$810=$A94)),'Match Log'!$AB$4:$AB$810),"")</f>
        <v/>
      </c>
      <c r="L94" s="82" t="str">
        <f>IFERROR(LOOKUP(2,1/(('Match Log'!$D$4:$D$810=L$90)*('Match Log'!$C$4:$C$810=$A94)),'Match Log'!$AB$4:$AB$810),"")</f>
        <v/>
      </c>
      <c r="M94" s="82" t="str">
        <f>IFERROR(LOOKUP(2,1/(('Match Log'!$D$4:$D$810=M$90)*('Match Log'!$C$4:$C$810=$A94)),'Match Log'!$AB$4:$AB$810),"")</f>
        <v/>
      </c>
      <c r="N94" s="82" t="str">
        <f>IFERROR(LOOKUP(2,1/(('Match Log'!$D$4:$D$810=N$90)*('Match Log'!$C$4:$C$810=$A94)),'Match Log'!$AB$4:$AB$810),"")</f>
        <v/>
      </c>
      <c r="O94" s="82" t="str">
        <f>IFERROR(LOOKUP(2,1/(('Match Log'!$D$4:$D$810=O$90)*('Match Log'!$C$4:$C$810=$A94)),'Match Log'!$AB$4:$AB$810),"")</f>
        <v/>
      </c>
      <c r="P94" s="79" t="str">
        <f t="shared" si="24"/>
        <v>—</v>
      </c>
    </row>
    <row r="95" spans="1:19" ht="15" customHeight="1" x14ac:dyDescent="0.2">
      <c r="A95" s="76" t="s">
        <v>185</v>
      </c>
      <c r="B95" s="82" t="str">
        <f>IFERROR(LOOKUP(2,1/(('Match Log'!$D$4:$D$810=B$90)*('Match Log'!$C$4:$C$810=$A95)),'Match Log'!$AB$4:$AB$810),"")</f>
        <v/>
      </c>
      <c r="C95" s="82">
        <f>IFERROR(LOOKUP(2,1/(('Match Log'!$D$4:$D$810=C$90)*('Match Log'!$C$4:$C$810=$A95)),'Match Log'!$AB$4:$AB$810),"")</f>
        <v>983.42320102843655</v>
      </c>
      <c r="D95" s="82" t="str">
        <f>IFERROR(LOOKUP(2,1/(('Match Log'!$D$4:$D$810=D$90)*('Match Log'!$C$4:$C$810=$A95)),'Match Log'!$AB$4:$AB$810),"")</f>
        <v/>
      </c>
      <c r="E95" s="82" t="str">
        <f>IFERROR(LOOKUP(2,1/(('Match Log'!$D$4:$D$810=E$90)*('Match Log'!$C$4:$C$810=$A95)),'Match Log'!$AB$4:$AB$810),"")</f>
        <v/>
      </c>
      <c r="F95" s="82" t="str">
        <f>IFERROR(LOOKUP(2,1/(('Match Log'!$D$4:$D$810=F$90)*('Match Log'!$C$4:$C$810=$A95)),'Match Log'!$AB$4:$AB$810),"")</f>
        <v/>
      </c>
      <c r="G95" s="82" t="str">
        <f>IFERROR(LOOKUP(2,1/(('Match Log'!$D$4:$D$810=G$90)*('Match Log'!$C$4:$C$810=$A95)),'Match Log'!$AB$4:$AB$810),"")</f>
        <v/>
      </c>
      <c r="H95" s="82">
        <f>IFERROR(LOOKUP(2,1/(('Match Log'!$D$4:$D$810=H$90)*('Match Log'!$C$4:$C$810=$A95)),'Match Log'!$AB$4:$AB$810),"")</f>
        <v>1030.1044213761372</v>
      </c>
      <c r="I95" s="82">
        <f>IFERROR(LOOKUP(2,1/(('Match Log'!$D$4:$D$810=I$90)*('Match Log'!$C$4:$C$810=$A95)),'Match Log'!$AB$4:$AB$810),"")</f>
        <v>996.17609348029987</v>
      </c>
      <c r="J95" s="82">
        <f>IFERROR(LOOKUP(2,1/(('Match Log'!$D$4:$D$810=J$90)*('Match Log'!$C$4:$C$810=$A95)),'Match Log'!$AB$4:$AB$810),"")</f>
        <v>1001.4492063389166</v>
      </c>
      <c r="K95" s="82">
        <f>IFERROR(LOOKUP(2,1/(('Match Log'!$D$4:$D$810=K$90)*('Match Log'!$C$4:$C$810=$A95)),'Match Log'!$AB$4:$AB$810),"")</f>
        <v>984.80073939960539</v>
      </c>
      <c r="L95" s="82">
        <f>IFERROR(LOOKUP(2,1/(('Match Log'!$D$4:$D$810=L$90)*('Match Log'!$C$4:$C$810=$A95)),'Match Log'!$AB$4:$AB$810),"")</f>
        <v>1004.0463383766044</v>
      </c>
      <c r="M95" s="82" t="str">
        <f>IFERROR(LOOKUP(2,1/(('Match Log'!$D$4:$D$810=M$90)*('Match Log'!$C$4:$C$810=$A95)),'Match Log'!$AB$4:$AB$810),"")</f>
        <v/>
      </c>
      <c r="N95" s="82" t="str">
        <f>IFERROR(LOOKUP(2,1/(('Match Log'!$D$4:$D$810=N$90)*('Match Log'!$C$4:$C$810=$A95)),'Match Log'!$AB$4:$AB$810),"")</f>
        <v/>
      </c>
      <c r="O95" s="82" t="str">
        <f>IFERROR(LOOKUP(2,1/(('Match Log'!$D$4:$D$810=O$90)*('Match Log'!$C$4:$C$810=$A95)),'Match Log'!$AB$4:$AB$810),"")</f>
        <v/>
      </c>
      <c r="P95" s="79" t="str">
        <f t="shared" si="24"/>
        <v>Simon</v>
      </c>
    </row>
    <row r="96" spans="1:19" ht="15" customHeight="1" x14ac:dyDescent="0.2">
      <c r="A96" s="76" t="s">
        <v>186</v>
      </c>
      <c r="B96" s="82">
        <f>IFERROR(LOOKUP(2,1/(('Match Log'!$D$4:$D$810=B$90)*('Match Log'!$C$4:$C$810=$A96)),'Match Log'!$AB$4:$AB$810),"")</f>
        <v>1016</v>
      </c>
      <c r="C96" s="82" t="str">
        <f>IFERROR(LOOKUP(2,1/(('Match Log'!$D$4:$D$810=C$90)*('Match Log'!$C$4:$C$810=$A96)),'Match Log'!$AB$4:$AB$810),"")</f>
        <v/>
      </c>
      <c r="D96" s="82">
        <f>IFERROR(LOOKUP(2,1/(('Match Log'!$D$4:$D$810=D$90)*('Match Log'!$C$4:$C$810=$A96)),'Match Log'!$AB$4:$AB$810),"")</f>
        <v>997.71428571428567</v>
      </c>
      <c r="E96" s="82">
        <f>IFERROR(LOOKUP(2,1/(('Match Log'!$D$4:$D$810=E$90)*('Match Log'!$C$4:$C$810=$A96)),'Match Log'!$AB$4:$AB$810),"")</f>
        <v>997.71428571428567</v>
      </c>
      <c r="F96" s="82">
        <f>IFERROR(LOOKUP(2,1/(('Match Log'!$D$4:$D$810=F$90)*('Match Log'!$C$4:$C$810=$A96)),'Match Log'!$AB$4:$AB$810),"")</f>
        <v>997.71428571428567</v>
      </c>
      <c r="G96" s="82">
        <f>IFERROR(LOOKUP(2,1/(('Match Log'!$D$4:$D$810=G$90)*('Match Log'!$C$4:$C$810=$A96)),'Match Log'!$AB$4:$AB$810),"")</f>
        <v>997.71428571428567</v>
      </c>
      <c r="H96" s="82">
        <f>IFERROR(LOOKUP(2,1/(('Match Log'!$D$4:$D$810=H$90)*('Match Log'!$C$4:$C$810=$A96)),'Match Log'!$AB$4:$AB$810),"")</f>
        <v>997.71428571428567</v>
      </c>
      <c r="I96" s="82">
        <f>IFERROR(LOOKUP(2,1/(('Match Log'!$D$4:$D$810=I$90)*('Match Log'!$C$4:$C$810=$A96)),'Match Log'!$AB$4:$AB$810),"")</f>
        <v>997.71428571428567</v>
      </c>
      <c r="J96" s="82" t="str">
        <f>IFERROR(LOOKUP(2,1/(('Match Log'!$D$4:$D$810=J$90)*('Match Log'!$C$4:$C$810=$A96)),'Match Log'!$AB$4:$AB$810),"")</f>
        <v/>
      </c>
      <c r="K96" s="82" t="str">
        <f>IFERROR(LOOKUP(2,1/(('Match Log'!$D$4:$D$810=K$90)*('Match Log'!$C$4:$C$810=$A96)),'Match Log'!$AB$4:$AB$810),"")</f>
        <v/>
      </c>
      <c r="L96" s="82">
        <f>IFERROR(LOOKUP(2,1/(('Match Log'!$D$4:$D$810=L$90)*('Match Log'!$C$4:$C$810=$A96)),'Match Log'!$AB$4:$AB$810),"")</f>
        <v>997.71428571428567</v>
      </c>
      <c r="M96" s="82" t="str">
        <f>IFERROR(LOOKUP(2,1/(('Match Log'!$D$4:$D$810=M$90)*('Match Log'!$C$4:$C$810=$A96)),'Match Log'!$AB$4:$AB$810),"")</f>
        <v/>
      </c>
      <c r="N96" s="82" t="str">
        <f>IFERROR(LOOKUP(2,1/(('Match Log'!$D$4:$D$810=N$90)*('Match Log'!$C$4:$C$810=$A96)),'Match Log'!$AB$4:$AB$810),"")</f>
        <v/>
      </c>
      <c r="O96" s="82" t="str">
        <f>IFERROR(LOOKUP(2,1/(('Match Log'!$D$4:$D$810=O$90)*('Match Log'!$C$4:$C$810=$A96)),'Match Log'!$AB$4:$AB$810),"")</f>
        <v/>
      </c>
      <c r="P96" s="79" t="str">
        <f t="shared" si="24"/>
        <v>Aaron</v>
      </c>
    </row>
    <row r="97" spans="1:16" ht="15" customHeight="1" x14ac:dyDescent="0.2">
      <c r="A97" s="76" t="s">
        <v>188</v>
      </c>
      <c r="B97" s="82" t="str">
        <f>IFERROR(LOOKUP(2,1/(('Match Log'!$D$4:$D$810=B$90)*('Match Log'!$C$4:$C$810=$A97)),'Match Log'!$AB$4:$AB$810),"")</f>
        <v/>
      </c>
      <c r="C97" s="82" t="str">
        <f>IFERROR(LOOKUP(2,1/(('Match Log'!$D$4:$D$810=C$90)*('Match Log'!$C$4:$C$810=$A97)),'Match Log'!$AB$4:$AB$810),"")</f>
        <v/>
      </c>
      <c r="D97" s="82" t="str">
        <f>IFERROR(LOOKUP(2,1/(('Match Log'!$D$4:$D$810=D$90)*('Match Log'!$C$4:$C$810=$A97)),'Match Log'!$AB$4:$AB$810),"")</f>
        <v/>
      </c>
      <c r="E97" s="82" t="str">
        <f>IFERROR(LOOKUP(2,1/(('Match Log'!$D$4:$D$810=E$90)*('Match Log'!$C$4:$C$810=$A97)),'Match Log'!$AB$4:$AB$810),"")</f>
        <v/>
      </c>
      <c r="F97" s="82" t="str">
        <f>IFERROR(LOOKUP(2,1/(('Match Log'!$D$4:$D$810=F$90)*('Match Log'!$C$4:$C$810=$A97)),'Match Log'!$AB$4:$AB$810),"")</f>
        <v/>
      </c>
      <c r="G97" s="82" t="str">
        <f>IFERROR(LOOKUP(2,1/(('Match Log'!$D$4:$D$810=G$90)*('Match Log'!$C$4:$C$810=$A97)),'Match Log'!$AB$4:$AB$810),"")</f>
        <v/>
      </c>
      <c r="H97" s="82" t="str">
        <f>IFERROR(LOOKUP(2,1/(('Match Log'!$D$4:$D$810=H$90)*('Match Log'!$C$4:$C$810=$A97)),'Match Log'!$AB$4:$AB$810),"")</f>
        <v/>
      </c>
      <c r="I97" s="82" t="str">
        <f>IFERROR(LOOKUP(2,1/(('Match Log'!$D$4:$D$810=I$90)*('Match Log'!$C$4:$C$810=$A97)),'Match Log'!$AB$4:$AB$810),"")</f>
        <v/>
      </c>
      <c r="J97" s="82" t="str">
        <f>IFERROR(LOOKUP(2,1/(('Match Log'!$D$4:$D$810=J$90)*('Match Log'!$C$4:$C$810=$A97)),'Match Log'!$AB$4:$AB$810),"")</f>
        <v/>
      </c>
      <c r="K97" s="82" t="str">
        <f>IFERROR(LOOKUP(2,1/(('Match Log'!$D$4:$D$810=K$90)*('Match Log'!$C$4:$C$810=$A97)),'Match Log'!$AB$4:$AB$810),"")</f>
        <v/>
      </c>
      <c r="L97" s="82" t="str">
        <f>IFERROR(LOOKUP(2,1/(('Match Log'!$D$4:$D$810=L$90)*('Match Log'!$C$4:$C$810=$A97)),'Match Log'!$AB$4:$AB$810),"")</f>
        <v/>
      </c>
      <c r="M97" s="82" t="str">
        <f>IFERROR(LOOKUP(2,1/(('Match Log'!$D$4:$D$810=M$90)*('Match Log'!$C$4:$C$810=$A97)),'Match Log'!$AB$4:$AB$810),"")</f>
        <v/>
      </c>
      <c r="N97" s="82" t="str">
        <f>IFERROR(LOOKUP(2,1/(('Match Log'!$D$4:$D$810=N$90)*('Match Log'!$C$4:$C$810=$A97)),'Match Log'!$AB$4:$AB$810),"")</f>
        <v/>
      </c>
      <c r="O97" s="82" t="str">
        <f>IFERROR(LOOKUP(2,1/(('Match Log'!$D$4:$D$810=O$90)*('Match Log'!$C$4:$C$810=$A97)),'Match Log'!$AB$4:$AB$810),"")</f>
        <v/>
      </c>
      <c r="P97" s="79" t="str">
        <f t="shared" si="24"/>
        <v>—</v>
      </c>
    </row>
    <row r="98" spans="1:16" ht="15" customHeight="1" x14ac:dyDescent="0.2">
      <c r="A98" s="76" t="s">
        <v>190</v>
      </c>
      <c r="B98" s="82" t="str">
        <f>IFERROR(LOOKUP(2,1/(('Match Log'!$D$4:$D$810=B$90)*('Match Log'!$C$4:$C$810=$A98)),'Match Log'!$AB$4:$AB$810),"")</f>
        <v/>
      </c>
      <c r="C98" s="82" t="str">
        <f>IFERROR(LOOKUP(2,1/(('Match Log'!$D$4:$D$810=C$90)*('Match Log'!$C$4:$C$810=$A98)),'Match Log'!$AB$4:$AB$810),"")</f>
        <v/>
      </c>
      <c r="D98" s="82" t="str">
        <f>IFERROR(LOOKUP(2,1/(('Match Log'!$D$4:$D$810=D$90)*('Match Log'!$C$4:$C$810=$A98)),'Match Log'!$AB$4:$AB$810),"")</f>
        <v/>
      </c>
      <c r="E98" s="82" t="str">
        <f>IFERROR(LOOKUP(2,1/(('Match Log'!$D$4:$D$810=E$90)*('Match Log'!$C$4:$C$810=$A98)),'Match Log'!$AB$4:$AB$810),"")</f>
        <v/>
      </c>
      <c r="F98" s="82" t="str">
        <f>IFERROR(LOOKUP(2,1/(('Match Log'!$D$4:$D$810=F$90)*('Match Log'!$C$4:$C$810=$A98)),'Match Log'!$AB$4:$AB$810),"")</f>
        <v/>
      </c>
      <c r="G98" s="82" t="str">
        <f>IFERROR(LOOKUP(2,1/(('Match Log'!$D$4:$D$810=G$90)*('Match Log'!$C$4:$C$810=$A98)),'Match Log'!$AB$4:$AB$810),"")</f>
        <v/>
      </c>
      <c r="H98" s="82" t="str">
        <f>IFERROR(LOOKUP(2,1/(('Match Log'!$D$4:$D$810=H$90)*('Match Log'!$C$4:$C$810=$A98)),'Match Log'!$AB$4:$AB$810),"")</f>
        <v/>
      </c>
      <c r="I98" s="82" t="str">
        <f>IFERROR(LOOKUP(2,1/(('Match Log'!$D$4:$D$810=I$90)*('Match Log'!$C$4:$C$810=$A98)),'Match Log'!$AB$4:$AB$810),"")</f>
        <v/>
      </c>
      <c r="J98" s="82" t="str">
        <f>IFERROR(LOOKUP(2,1/(('Match Log'!$D$4:$D$810=J$90)*('Match Log'!$C$4:$C$810=$A98)),'Match Log'!$AB$4:$AB$810),"")</f>
        <v/>
      </c>
      <c r="K98" s="82" t="str">
        <f>IFERROR(LOOKUP(2,1/(('Match Log'!$D$4:$D$810=K$90)*('Match Log'!$C$4:$C$810=$A98)),'Match Log'!$AB$4:$AB$810),"")</f>
        <v/>
      </c>
      <c r="L98" s="82" t="str">
        <f>IFERROR(LOOKUP(2,1/(('Match Log'!$D$4:$D$810=L$90)*('Match Log'!$C$4:$C$810=$A98)),'Match Log'!$AB$4:$AB$810),"")</f>
        <v/>
      </c>
      <c r="M98" s="82" t="str">
        <f>IFERROR(LOOKUP(2,1/(('Match Log'!$D$4:$D$810=M$90)*('Match Log'!$C$4:$C$810=$A98)),'Match Log'!$AB$4:$AB$810),"")</f>
        <v/>
      </c>
      <c r="N98" s="82" t="str">
        <f>IFERROR(LOOKUP(2,1/(('Match Log'!$D$4:$D$810=N$90)*('Match Log'!$C$4:$C$810=$A98)),'Match Log'!$AB$4:$AB$810),"")</f>
        <v/>
      </c>
      <c r="O98" s="82" t="str">
        <f>IFERROR(LOOKUP(2,1/(('Match Log'!$D$4:$D$810=O$90)*('Match Log'!$C$4:$C$810=$A98)),'Match Log'!$AB$4:$AB$810),"")</f>
        <v/>
      </c>
      <c r="P98" s="79" t="str">
        <f t="shared" si="24"/>
        <v>—</v>
      </c>
    </row>
    <row r="99" spans="1:16" ht="15" customHeight="1" x14ac:dyDescent="0.2">
      <c r="A99" s="76" t="s">
        <v>192</v>
      </c>
      <c r="B99" s="82" t="str">
        <f>IFERROR(LOOKUP(2,1/(('Match Log'!$D$4:$D$810=B$90)*('Match Log'!$C$4:$C$810=$A99)),'Match Log'!$AB$4:$AB$810),"")</f>
        <v/>
      </c>
      <c r="C99" s="82" t="str">
        <f>IFERROR(LOOKUP(2,1/(('Match Log'!$D$4:$D$810=C$90)*('Match Log'!$C$4:$C$810=$A99)),'Match Log'!$AB$4:$AB$810),"")</f>
        <v/>
      </c>
      <c r="D99" s="82" t="str">
        <f>IFERROR(LOOKUP(2,1/(('Match Log'!$D$4:$D$810=D$90)*('Match Log'!$C$4:$C$810=$A99)),'Match Log'!$AB$4:$AB$810),"")</f>
        <v/>
      </c>
      <c r="E99" s="82" t="str">
        <f>IFERROR(LOOKUP(2,1/(('Match Log'!$D$4:$D$810=E$90)*('Match Log'!$C$4:$C$810=$A99)),'Match Log'!$AB$4:$AB$810),"")</f>
        <v/>
      </c>
      <c r="F99" s="82">
        <f>IFERROR(LOOKUP(2,1/(('Match Log'!$D$4:$D$810=F$90)*('Match Log'!$C$4:$C$810=$A99)),'Match Log'!$AB$4:$AB$810),"")</f>
        <v>1016</v>
      </c>
      <c r="G99" s="82">
        <f>IFERROR(LOOKUP(2,1/(('Match Log'!$D$4:$D$810=G$90)*('Match Log'!$C$4:$C$810=$A99)),'Match Log'!$AB$4:$AB$810),"")</f>
        <v>992</v>
      </c>
      <c r="H99" s="82" t="str">
        <f>IFERROR(LOOKUP(2,1/(('Match Log'!$D$4:$D$810=H$90)*('Match Log'!$C$4:$C$810=$A99)),'Match Log'!$AB$4:$AB$810),"")</f>
        <v/>
      </c>
      <c r="I99" s="82" t="str">
        <f>IFERROR(LOOKUP(2,1/(('Match Log'!$D$4:$D$810=I$90)*('Match Log'!$C$4:$C$810=$A99)),'Match Log'!$AB$4:$AB$810),"")</f>
        <v/>
      </c>
      <c r="J99" s="82" t="str">
        <f>IFERROR(LOOKUP(2,1/(('Match Log'!$D$4:$D$810=J$90)*('Match Log'!$C$4:$C$810=$A99)),'Match Log'!$AB$4:$AB$810),"")</f>
        <v/>
      </c>
      <c r="K99" s="82" t="str">
        <f>IFERROR(LOOKUP(2,1/(('Match Log'!$D$4:$D$810=K$90)*('Match Log'!$C$4:$C$810=$A99)),'Match Log'!$AB$4:$AB$810),"")</f>
        <v/>
      </c>
      <c r="L99" s="82">
        <f>IFERROR(LOOKUP(2,1/(('Match Log'!$D$4:$D$810=L$90)*('Match Log'!$C$4:$C$810=$A99)),'Match Log'!$AB$4:$AB$810),"")</f>
        <v>992</v>
      </c>
      <c r="M99" s="82" t="str">
        <f>IFERROR(LOOKUP(2,1/(('Match Log'!$D$4:$D$810=M$90)*('Match Log'!$C$4:$C$810=$A99)),'Match Log'!$AB$4:$AB$810),"")</f>
        <v/>
      </c>
      <c r="N99" s="82" t="str">
        <f>IFERROR(LOOKUP(2,1/(('Match Log'!$D$4:$D$810=N$90)*('Match Log'!$C$4:$C$810=$A99)),'Match Log'!$AB$4:$AB$810),"")</f>
        <v/>
      </c>
      <c r="O99" s="82" t="str">
        <f>IFERROR(LOOKUP(2,1/(('Match Log'!$D$4:$D$810=O$90)*('Match Log'!$C$4:$C$810=$A99)),'Match Log'!$AB$4:$AB$810),"")</f>
        <v/>
      </c>
      <c r="P99" s="79" t="str">
        <f t="shared" si="24"/>
        <v>Josh</v>
      </c>
    </row>
    <row r="100" spans="1:16" ht="15" customHeight="1" x14ac:dyDescent="0.2">
      <c r="A100" s="76" t="s">
        <v>193</v>
      </c>
      <c r="B100" s="82" t="str">
        <f>IFERROR(LOOKUP(2,1/(('Match Log'!$D$4:$D$810=B$90)*('Match Log'!$C$4:$C$810=$A100)),'Match Log'!$AB$4:$AB$810),"")</f>
        <v/>
      </c>
      <c r="C100" s="82" t="str">
        <f>IFERROR(LOOKUP(2,1/(('Match Log'!$D$4:$D$810=C$90)*('Match Log'!$C$4:$C$810=$A100)),'Match Log'!$AB$4:$AB$810),"")</f>
        <v/>
      </c>
      <c r="D100" s="82" t="str">
        <f>IFERROR(LOOKUP(2,1/(('Match Log'!$D$4:$D$810=D$90)*('Match Log'!$C$4:$C$810=$A100)),'Match Log'!$AB$4:$AB$810),"")</f>
        <v/>
      </c>
      <c r="E100" s="82" t="str">
        <f>IFERROR(LOOKUP(2,1/(('Match Log'!$D$4:$D$810=E$90)*('Match Log'!$C$4:$C$810=$A100)),'Match Log'!$AB$4:$AB$810),"")</f>
        <v/>
      </c>
      <c r="F100" s="82" t="str">
        <f>IFERROR(LOOKUP(2,1/(('Match Log'!$D$4:$D$810=F$90)*('Match Log'!$C$4:$C$810=$A100)),'Match Log'!$AB$4:$AB$810),"")</f>
        <v/>
      </c>
      <c r="G100" s="82" t="str">
        <f>IFERROR(LOOKUP(2,1/(('Match Log'!$D$4:$D$810=G$90)*('Match Log'!$C$4:$C$810=$A100)),'Match Log'!$AB$4:$AB$810),"")</f>
        <v/>
      </c>
      <c r="H100" s="82" t="str">
        <f>IFERROR(LOOKUP(2,1/(('Match Log'!$D$4:$D$810=H$90)*('Match Log'!$C$4:$C$810=$A100)),'Match Log'!$AB$4:$AB$810),"")</f>
        <v/>
      </c>
      <c r="I100" s="82" t="str">
        <f>IFERROR(LOOKUP(2,1/(('Match Log'!$D$4:$D$810=I$90)*('Match Log'!$C$4:$C$810=$A100)),'Match Log'!$AB$4:$AB$810),"")</f>
        <v/>
      </c>
      <c r="J100" s="82" t="str">
        <f>IFERROR(LOOKUP(2,1/(('Match Log'!$D$4:$D$810=J$90)*('Match Log'!$C$4:$C$810=$A100)),'Match Log'!$AB$4:$AB$810),"")</f>
        <v/>
      </c>
      <c r="K100" s="82" t="str">
        <f>IFERROR(LOOKUP(2,1/(('Match Log'!$D$4:$D$810=K$90)*('Match Log'!$C$4:$C$810=$A100)),'Match Log'!$AB$4:$AB$810),"")</f>
        <v/>
      </c>
      <c r="L100" s="82" t="str">
        <f>IFERROR(LOOKUP(2,1/(('Match Log'!$D$4:$D$810=L$90)*('Match Log'!$C$4:$C$810=$A100)),'Match Log'!$AB$4:$AB$810),"")</f>
        <v/>
      </c>
      <c r="M100" s="82" t="str">
        <f>IFERROR(LOOKUP(2,1/(('Match Log'!$D$4:$D$810=M$90)*('Match Log'!$C$4:$C$810=$A100)),'Match Log'!$AB$4:$AB$810),"")</f>
        <v/>
      </c>
      <c r="N100" s="82" t="str">
        <f>IFERROR(LOOKUP(2,1/(('Match Log'!$D$4:$D$810=N$90)*('Match Log'!$C$4:$C$810=$A100)),'Match Log'!$AB$4:$AB$810),"")</f>
        <v/>
      </c>
      <c r="O100" s="82" t="str">
        <f>IFERROR(LOOKUP(2,1/(('Match Log'!$D$4:$D$810=O$90)*('Match Log'!$C$4:$C$810=$A100)),'Match Log'!$AB$4:$AB$810),"")</f>
        <v/>
      </c>
      <c r="P100" s="79" t="str">
        <f t="shared" si="24"/>
        <v>—</v>
      </c>
    </row>
    <row r="101" spans="1:16" ht="15" customHeight="1" x14ac:dyDescent="0.2">
      <c r="A101" s="76" t="s">
        <v>194</v>
      </c>
      <c r="B101" s="82" t="str">
        <f>IFERROR(LOOKUP(2,1/(('Match Log'!$D$4:$D$810=B$90)*('Match Log'!$C$4:$C$810=$A101)),'Match Log'!$AB$4:$AB$810),"")</f>
        <v/>
      </c>
      <c r="C101" s="82" t="str">
        <f>IFERROR(LOOKUP(2,1/(('Match Log'!$D$4:$D$810=C$90)*('Match Log'!$C$4:$C$810=$A101)),'Match Log'!$AB$4:$AB$810),"")</f>
        <v/>
      </c>
      <c r="D101" s="82" t="str">
        <f>IFERROR(LOOKUP(2,1/(('Match Log'!$D$4:$D$810=D$90)*('Match Log'!$C$4:$C$810=$A101)),'Match Log'!$AB$4:$AB$810),"")</f>
        <v/>
      </c>
      <c r="E101" s="82" t="str">
        <f>IFERROR(LOOKUP(2,1/(('Match Log'!$D$4:$D$810=E$90)*('Match Log'!$C$4:$C$810=$A101)),'Match Log'!$AB$4:$AB$810),"")</f>
        <v/>
      </c>
      <c r="F101" s="82" t="str">
        <f>IFERROR(LOOKUP(2,1/(('Match Log'!$D$4:$D$810=F$90)*('Match Log'!$C$4:$C$810=$A101)),'Match Log'!$AB$4:$AB$810),"")</f>
        <v/>
      </c>
      <c r="G101" s="82" t="str">
        <f>IFERROR(LOOKUP(2,1/(('Match Log'!$D$4:$D$810=G$90)*('Match Log'!$C$4:$C$810=$A101)),'Match Log'!$AB$4:$AB$810),"")</f>
        <v/>
      </c>
      <c r="H101" s="82" t="str">
        <f>IFERROR(LOOKUP(2,1/(('Match Log'!$D$4:$D$810=H$90)*('Match Log'!$C$4:$C$810=$A101)),'Match Log'!$AB$4:$AB$810),"")</f>
        <v/>
      </c>
      <c r="I101" s="82" t="str">
        <f>IFERROR(LOOKUP(2,1/(('Match Log'!$D$4:$D$810=I$90)*('Match Log'!$C$4:$C$810=$A101)),'Match Log'!$AB$4:$AB$810),"")</f>
        <v/>
      </c>
      <c r="J101" s="82" t="str">
        <f>IFERROR(LOOKUP(2,1/(('Match Log'!$D$4:$D$810=J$90)*('Match Log'!$C$4:$C$810=$A101)),'Match Log'!$AB$4:$AB$810),"")</f>
        <v/>
      </c>
      <c r="K101" s="82" t="str">
        <f>IFERROR(LOOKUP(2,1/(('Match Log'!$D$4:$D$810=K$90)*('Match Log'!$C$4:$C$810=$A101)),'Match Log'!$AB$4:$AB$810),"")</f>
        <v/>
      </c>
      <c r="L101" s="82" t="str">
        <f>IFERROR(LOOKUP(2,1/(('Match Log'!$D$4:$D$810=L$90)*('Match Log'!$C$4:$C$810=$A101)),'Match Log'!$AB$4:$AB$810),"")</f>
        <v/>
      </c>
      <c r="M101" s="82" t="str">
        <f>IFERROR(LOOKUP(2,1/(('Match Log'!$D$4:$D$810=M$90)*('Match Log'!$C$4:$C$810=$A101)),'Match Log'!$AB$4:$AB$810),"")</f>
        <v/>
      </c>
      <c r="N101" s="82" t="str">
        <f>IFERROR(LOOKUP(2,1/(('Match Log'!$D$4:$D$810=N$90)*('Match Log'!$C$4:$C$810=$A101)),'Match Log'!$AB$4:$AB$810),"")</f>
        <v/>
      </c>
      <c r="O101" s="82" t="str">
        <f>IFERROR(LOOKUP(2,1/(('Match Log'!$D$4:$D$810=O$90)*('Match Log'!$C$4:$C$810=$A101)),'Match Log'!$AB$4:$AB$810),"")</f>
        <v/>
      </c>
      <c r="P101" s="79" t="str">
        <f t="shared" si="24"/>
        <v>—</v>
      </c>
    </row>
    <row r="102" spans="1:16" ht="15" customHeight="1" x14ac:dyDescent="0.2">
      <c r="A102" s="76" t="s">
        <v>195</v>
      </c>
      <c r="B102" s="82">
        <f>IFERROR(LOOKUP(2,1/(('Match Log'!$D$4:$D$810=B$90)*('Match Log'!$C$4:$C$810=$A102)),'Match Log'!$AB$4:$AB$810),"")</f>
        <v>998.78601149183976</v>
      </c>
      <c r="C102" s="82">
        <f>IFERROR(LOOKUP(2,1/(('Match Log'!$D$4:$D$810=C$90)*('Match Log'!$C$4:$C$810=$A102)),'Match Log'!$AB$4:$AB$810),"")</f>
        <v>984.84959931593869</v>
      </c>
      <c r="D102" s="82" t="str">
        <f>IFERROR(LOOKUP(2,1/(('Match Log'!$D$4:$D$810=D$90)*('Match Log'!$C$4:$C$810=$A102)),'Match Log'!$AB$4:$AB$810),"")</f>
        <v/>
      </c>
      <c r="E102" s="82">
        <f>IFERROR(LOOKUP(2,1/(('Match Log'!$D$4:$D$810=E$90)*('Match Log'!$C$4:$C$810=$A102)),'Match Log'!$AB$4:$AB$810),"")</f>
        <v>949.22600883289385</v>
      </c>
      <c r="F102" s="82">
        <f>IFERROR(LOOKUP(2,1/(('Match Log'!$D$4:$D$810=F$90)*('Match Log'!$C$4:$C$810=$A102)),'Match Log'!$AB$4:$AB$810),"")</f>
        <v>1109.0218511200758</v>
      </c>
      <c r="G102" s="82">
        <f>IFERROR(LOOKUP(2,1/(('Match Log'!$D$4:$D$810=G$90)*('Match Log'!$C$4:$C$810=$A102)),'Match Log'!$AB$4:$AB$810),"")</f>
        <v>1073.39235221687</v>
      </c>
      <c r="H102" s="82">
        <f>IFERROR(LOOKUP(2,1/(('Match Log'!$D$4:$D$810=H$90)*('Match Log'!$C$4:$C$810=$A102)),'Match Log'!$AB$4:$AB$810),"")</f>
        <v>952.64656852410087</v>
      </c>
      <c r="I102" s="82">
        <f>IFERROR(LOOKUP(2,1/(('Match Log'!$D$4:$D$810=I$90)*('Match Log'!$C$4:$C$810=$A102)),'Match Log'!$AB$4:$AB$810),"")</f>
        <v>941.80241083787075</v>
      </c>
      <c r="J102" s="82">
        <f>IFERROR(LOOKUP(2,1/(('Match Log'!$D$4:$D$810=J$90)*('Match Log'!$C$4:$C$810=$A102)),'Match Log'!$AB$4:$AB$810),"")</f>
        <v>1055.7052432790952</v>
      </c>
      <c r="K102" s="82">
        <f>IFERROR(LOOKUP(2,1/(('Match Log'!$D$4:$D$810=K$90)*('Match Log'!$C$4:$C$810=$A102)),'Match Log'!$AB$4:$AB$810),"")</f>
        <v>930.59858869041068</v>
      </c>
      <c r="L102" s="82">
        <f>IFERROR(LOOKUP(2,1/(('Match Log'!$D$4:$D$810=L$90)*('Match Log'!$C$4:$C$810=$A102)),'Match Log'!$AB$4:$AB$810),"")</f>
        <v>1003.9713656909046</v>
      </c>
      <c r="M102" s="82" t="str">
        <f>IFERROR(LOOKUP(2,1/(('Match Log'!$D$4:$D$810=M$90)*('Match Log'!$C$4:$C$810=$A102)),'Match Log'!$AB$4:$AB$810),"")</f>
        <v/>
      </c>
      <c r="N102" s="82" t="str">
        <f>IFERROR(LOOKUP(2,1/(('Match Log'!$D$4:$D$810=N$90)*('Match Log'!$C$4:$C$810=$A102)),'Match Log'!$AB$4:$AB$810),"")</f>
        <v/>
      </c>
      <c r="O102" s="82" t="str">
        <f>IFERROR(LOOKUP(2,1/(('Match Log'!$D$4:$D$810=O$90)*('Match Log'!$C$4:$C$810=$A102)),'Match Log'!$AB$4:$AB$810),"")</f>
        <v/>
      </c>
      <c r="P102" s="79" t="str">
        <f t="shared" si="24"/>
        <v>Josh</v>
      </c>
    </row>
    <row r="103" spans="1:16" ht="15" customHeight="1" x14ac:dyDescent="0.2">
      <c r="A103" s="76" t="s">
        <v>197</v>
      </c>
      <c r="B103" s="82">
        <f>IFERROR(LOOKUP(2,1/(('Match Log'!$D$4:$D$810=B$90)*('Match Log'!$C$4:$C$810=$A103)),'Match Log'!$AB$4:$AB$810),"")</f>
        <v>1014.4258934061545</v>
      </c>
      <c r="C103" s="82" t="str">
        <f>IFERROR(LOOKUP(2,1/(('Match Log'!$D$4:$D$810=C$90)*('Match Log'!$C$4:$C$810=$A103)),'Match Log'!$AB$4:$AB$810),"")</f>
        <v/>
      </c>
      <c r="D103" s="82" t="str">
        <f>IFERROR(LOOKUP(2,1/(('Match Log'!$D$4:$D$810=D$90)*('Match Log'!$C$4:$C$810=$A103)),'Match Log'!$AB$4:$AB$810),"")</f>
        <v/>
      </c>
      <c r="E103" s="82" t="str">
        <f>IFERROR(LOOKUP(2,1/(('Match Log'!$D$4:$D$810=E$90)*('Match Log'!$C$4:$C$810=$A103)),'Match Log'!$AB$4:$AB$810),"")</f>
        <v/>
      </c>
      <c r="F103" s="82">
        <f>IFERROR(LOOKUP(2,1/(('Match Log'!$D$4:$D$810=F$90)*('Match Log'!$C$4:$C$810=$A103)),'Match Log'!$AB$4:$AB$810),"")</f>
        <v>985.41909823644232</v>
      </c>
      <c r="G103" s="82">
        <f>IFERROR(LOOKUP(2,1/(('Match Log'!$D$4:$D$810=G$90)*('Match Log'!$C$4:$C$810=$A103)),'Match Log'!$AB$4:$AB$810),"")</f>
        <v>948.96790333240949</v>
      </c>
      <c r="H103" s="82" t="str">
        <f>IFERROR(LOOKUP(2,1/(('Match Log'!$D$4:$D$810=H$90)*('Match Log'!$C$4:$C$810=$A103)),'Match Log'!$AB$4:$AB$810),"")</f>
        <v/>
      </c>
      <c r="I103" s="82">
        <f>IFERROR(LOOKUP(2,1/(('Match Log'!$D$4:$D$810=I$90)*('Match Log'!$C$4:$C$810=$A103)),'Match Log'!$AB$4:$AB$810),"")</f>
        <v>1050.6407052513002</v>
      </c>
      <c r="J103" s="82" t="str">
        <f>IFERROR(LOOKUP(2,1/(('Match Log'!$D$4:$D$810=J$90)*('Match Log'!$C$4:$C$810=$A103)),'Match Log'!$AB$4:$AB$810),"")</f>
        <v/>
      </c>
      <c r="K103" s="82" t="str">
        <f>IFERROR(LOOKUP(2,1/(('Match Log'!$D$4:$D$810=K$90)*('Match Log'!$C$4:$C$810=$A103)),'Match Log'!$AB$4:$AB$810),"")</f>
        <v/>
      </c>
      <c r="L103" s="82">
        <f>IFERROR(LOOKUP(2,1/(('Match Log'!$D$4:$D$810=L$90)*('Match Log'!$C$4:$C$810=$A103)),'Match Log'!$AB$4:$AB$810),"")</f>
        <v>1000.5463997736937</v>
      </c>
      <c r="M103" s="82" t="str">
        <f>IFERROR(LOOKUP(2,1/(('Match Log'!$D$4:$D$810=M$90)*('Match Log'!$C$4:$C$810=$A103)),'Match Log'!$AB$4:$AB$810),"")</f>
        <v/>
      </c>
      <c r="N103" s="82" t="str">
        <f>IFERROR(LOOKUP(2,1/(('Match Log'!$D$4:$D$810=N$90)*('Match Log'!$C$4:$C$810=$A103)),'Match Log'!$AB$4:$AB$810),"")</f>
        <v/>
      </c>
      <c r="O103" s="82" t="str">
        <f>IFERROR(LOOKUP(2,1/(('Match Log'!$D$4:$D$810=O$90)*('Match Log'!$C$4:$C$810=$A103)),'Match Log'!$AB$4:$AB$810),"")</f>
        <v/>
      </c>
      <c r="P103" s="79" t="str">
        <f t="shared" si="24"/>
        <v>Daniel (Ferret)</v>
      </c>
    </row>
    <row r="104" spans="1:16" ht="15" customHeight="1" x14ac:dyDescent="0.2">
      <c r="A104" s="76" t="s">
        <v>199</v>
      </c>
      <c r="B104" s="82">
        <f>IFERROR(LOOKUP(2,1/(('Match Log'!$D$4:$D$810=B$90)*('Match Log'!$C$4:$C$810=$A104)),'Match Log'!$AB$4:$AB$810),"")</f>
        <v>1041.6585373017128</v>
      </c>
      <c r="C104" s="82" t="str">
        <f>IFERROR(LOOKUP(2,1/(('Match Log'!$D$4:$D$810=C$90)*('Match Log'!$C$4:$C$810=$A104)),'Match Log'!$AB$4:$AB$810),"")</f>
        <v/>
      </c>
      <c r="D104" s="82">
        <f>IFERROR(LOOKUP(2,1/(('Match Log'!$D$4:$D$810=D$90)*('Match Log'!$C$4:$C$810=$A104)),'Match Log'!$AB$4:$AB$810),"")</f>
        <v>1055.8009426289977</v>
      </c>
      <c r="E104" s="82" t="str">
        <f>IFERROR(LOOKUP(2,1/(('Match Log'!$D$4:$D$810=E$90)*('Match Log'!$C$4:$C$810=$A104)),'Match Log'!$AB$4:$AB$810),"")</f>
        <v/>
      </c>
      <c r="F104" s="82" t="str">
        <f>IFERROR(LOOKUP(2,1/(('Match Log'!$D$4:$D$810=F$90)*('Match Log'!$C$4:$C$810=$A104)),'Match Log'!$AB$4:$AB$810),"")</f>
        <v/>
      </c>
      <c r="G104" s="82">
        <f>IFERROR(LOOKUP(2,1/(('Match Log'!$D$4:$D$810=G$90)*('Match Log'!$C$4:$C$810=$A104)),'Match Log'!$AB$4:$AB$810),"")</f>
        <v>904.65647514018167</v>
      </c>
      <c r="H104" s="82" t="str">
        <f>IFERROR(LOOKUP(2,1/(('Match Log'!$D$4:$D$810=H$90)*('Match Log'!$C$4:$C$810=$A104)),'Match Log'!$AB$4:$AB$810),"")</f>
        <v/>
      </c>
      <c r="I104" s="82">
        <f>IFERROR(LOOKUP(2,1/(('Match Log'!$D$4:$D$810=I$90)*('Match Log'!$C$4:$C$810=$A104)),'Match Log'!$AB$4:$AB$810),"")</f>
        <v>962.91641343501885</v>
      </c>
      <c r="J104" s="82" t="str">
        <f>IFERROR(LOOKUP(2,1/(('Match Log'!$D$4:$D$810=J$90)*('Match Log'!$C$4:$C$810=$A104)),'Match Log'!$AB$4:$AB$810),"")</f>
        <v/>
      </c>
      <c r="K104" s="82" t="str">
        <f>IFERROR(LOOKUP(2,1/(('Match Log'!$D$4:$D$810=K$90)*('Match Log'!$C$4:$C$810=$A104)),'Match Log'!$AB$4:$AB$810),"")</f>
        <v/>
      </c>
      <c r="L104" s="82">
        <f>IFERROR(LOOKUP(2,1/(('Match Log'!$D$4:$D$810=L$90)*('Match Log'!$C$4:$C$810=$A104)),'Match Log'!$AB$4:$AB$810),"")</f>
        <v>1034.9676314940889</v>
      </c>
      <c r="M104" s="82" t="str">
        <f>IFERROR(LOOKUP(2,1/(('Match Log'!$D$4:$D$810=M$90)*('Match Log'!$C$4:$C$810=$A104)),'Match Log'!$AB$4:$AB$810),"")</f>
        <v/>
      </c>
      <c r="N104" s="82" t="str">
        <f>IFERROR(LOOKUP(2,1/(('Match Log'!$D$4:$D$810=N$90)*('Match Log'!$C$4:$C$810=$A104)),'Match Log'!$AB$4:$AB$810),"")</f>
        <v/>
      </c>
      <c r="O104" s="82" t="str">
        <f>IFERROR(LOOKUP(2,1/(('Match Log'!$D$4:$D$810=O$90)*('Match Log'!$C$4:$C$810=$A104)),'Match Log'!$AB$4:$AB$810),"")</f>
        <v/>
      </c>
      <c r="P104" s="79" t="str">
        <f t="shared" si="24"/>
        <v>Chase</v>
      </c>
    </row>
    <row r="105" spans="1:16" ht="15" customHeight="1" x14ac:dyDescent="0.2">
      <c r="A105" s="76" t="s">
        <v>201</v>
      </c>
      <c r="B105" s="82" t="str">
        <f>IFERROR(LOOKUP(2,1/(('Match Log'!$D$4:$D$810=B$90)*('Match Log'!$C$4:$C$810=$A105)),'Match Log'!$AB$4:$AB$810),"")</f>
        <v/>
      </c>
      <c r="C105" s="82" t="str">
        <f>IFERROR(LOOKUP(2,1/(('Match Log'!$D$4:$D$810=C$90)*('Match Log'!$C$4:$C$810=$A105)),'Match Log'!$AB$4:$AB$810),"")</f>
        <v/>
      </c>
      <c r="D105" s="82" t="str">
        <f>IFERROR(LOOKUP(2,1/(('Match Log'!$D$4:$D$810=D$90)*('Match Log'!$C$4:$C$810=$A105)),'Match Log'!$AB$4:$AB$810),"")</f>
        <v/>
      </c>
      <c r="E105" s="82" t="str">
        <f>IFERROR(LOOKUP(2,1/(('Match Log'!$D$4:$D$810=E$90)*('Match Log'!$C$4:$C$810=$A105)),'Match Log'!$AB$4:$AB$810),"")</f>
        <v/>
      </c>
      <c r="F105" s="82" t="str">
        <f>IFERROR(LOOKUP(2,1/(('Match Log'!$D$4:$D$810=F$90)*('Match Log'!$C$4:$C$810=$A105)),'Match Log'!$AB$4:$AB$810),"")</f>
        <v/>
      </c>
      <c r="G105" s="82" t="str">
        <f>IFERROR(LOOKUP(2,1/(('Match Log'!$D$4:$D$810=G$90)*('Match Log'!$C$4:$C$810=$A105)),'Match Log'!$AB$4:$AB$810),"")</f>
        <v/>
      </c>
      <c r="H105" s="82" t="str">
        <f>IFERROR(LOOKUP(2,1/(('Match Log'!$D$4:$D$810=H$90)*('Match Log'!$C$4:$C$810=$A105)),'Match Log'!$AB$4:$AB$810),"")</f>
        <v/>
      </c>
      <c r="I105" s="82" t="str">
        <f>IFERROR(LOOKUP(2,1/(('Match Log'!$D$4:$D$810=I$90)*('Match Log'!$C$4:$C$810=$A105)),'Match Log'!$AB$4:$AB$810),"")</f>
        <v/>
      </c>
      <c r="J105" s="82" t="str">
        <f>IFERROR(LOOKUP(2,1/(('Match Log'!$D$4:$D$810=J$90)*('Match Log'!$C$4:$C$810=$A105)),'Match Log'!$AB$4:$AB$810),"")</f>
        <v/>
      </c>
      <c r="K105" s="82" t="str">
        <f>IFERROR(LOOKUP(2,1/(('Match Log'!$D$4:$D$810=K$90)*('Match Log'!$C$4:$C$810=$A105)),'Match Log'!$AB$4:$AB$810),"")</f>
        <v/>
      </c>
      <c r="L105" s="82" t="str">
        <f>IFERROR(LOOKUP(2,1/(('Match Log'!$D$4:$D$810=L$90)*('Match Log'!$C$4:$C$810=$A105)),'Match Log'!$AB$4:$AB$810),"")</f>
        <v/>
      </c>
      <c r="M105" s="82" t="str">
        <f>IFERROR(LOOKUP(2,1/(('Match Log'!$D$4:$D$810=M$90)*('Match Log'!$C$4:$C$810=$A105)),'Match Log'!$AB$4:$AB$810),"")</f>
        <v/>
      </c>
      <c r="N105" s="82" t="str">
        <f>IFERROR(LOOKUP(2,1/(('Match Log'!$D$4:$D$810=N$90)*('Match Log'!$C$4:$C$810=$A105)),'Match Log'!$AB$4:$AB$810),"")</f>
        <v/>
      </c>
      <c r="O105" s="82" t="str">
        <f>IFERROR(LOOKUP(2,1/(('Match Log'!$D$4:$D$810=O$90)*('Match Log'!$C$4:$C$810=$A105)),'Match Log'!$AB$4:$AB$810),"")</f>
        <v/>
      </c>
      <c r="P105" s="79" t="str">
        <f t="shared" si="24"/>
        <v>—</v>
      </c>
    </row>
    <row r="106" spans="1:16" ht="15" customHeight="1" x14ac:dyDescent="0.2">
      <c r="A106" s="76" t="s">
        <v>203</v>
      </c>
      <c r="B106" s="82">
        <f>IFERROR(LOOKUP(2,1/(('Match Log'!$D$4:$D$810=B$90)*('Match Log'!$C$4:$C$810=$A106)),'Match Log'!$AB$4:$AB$810),"")</f>
        <v>1000.0339081301692</v>
      </c>
      <c r="C106" s="82" t="str">
        <f>IFERROR(LOOKUP(2,1/(('Match Log'!$D$4:$D$810=C$90)*('Match Log'!$C$4:$C$810=$A106)),'Match Log'!$AB$4:$AB$810),"")</f>
        <v/>
      </c>
      <c r="D106" s="82">
        <f>IFERROR(LOOKUP(2,1/(('Match Log'!$D$4:$D$810=D$90)*('Match Log'!$C$4:$C$810=$A106)),'Match Log'!$AB$4:$AB$810),"")</f>
        <v>968.70239866335282</v>
      </c>
      <c r="E106" s="82" t="str">
        <f>IFERROR(LOOKUP(2,1/(('Match Log'!$D$4:$D$810=E$90)*('Match Log'!$C$4:$C$810=$A106)),'Match Log'!$AB$4:$AB$810),"")</f>
        <v/>
      </c>
      <c r="F106" s="82" t="str">
        <f>IFERROR(LOOKUP(2,1/(('Match Log'!$D$4:$D$810=F$90)*('Match Log'!$C$4:$C$810=$A106)),'Match Log'!$AB$4:$AB$810),"")</f>
        <v/>
      </c>
      <c r="G106" s="82" t="str">
        <f>IFERROR(LOOKUP(2,1/(('Match Log'!$D$4:$D$810=G$90)*('Match Log'!$C$4:$C$810=$A106)),'Match Log'!$AB$4:$AB$810),"")</f>
        <v/>
      </c>
      <c r="H106" s="82" t="str">
        <f>IFERROR(LOOKUP(2,1/(('Match Log'!$D$4:$D$810=H$90)*('Match Log'!$C$4:$C$810=$A106)),'Match Log'!$AB$4:$AB$810),"")</f>
        <v/>
      </c>
      <c r="I106" s="82">
        <f>IFERROR(LOOKUP(2,1/(('Match Log'!$D$4:$D$810=I$90)*('Match Log'!$C$4:$C$810=$A106)),'Match Log'!$AB$4:$AB$810),"")</f>
        <v>1031.2636932064779</v>
      </c>
      <c r="J106" s="82" t="str">
        <f>IFERROR(LOOKUP(2,1/(('Match Log'!$D$4:$D$810=J$90)*('Match Log'!$C$4:$C$810=$A106)),'Match Log'!$AB$4:$AB$810),"")</f>
        <v/>
      </c>
      <c r="K106" s="82" t="str">
        <f>IFERROR(LOOKUP(2,1/(('Match Log'!$D$4:$D$810=K$90)*('Match Log'!$C$4:$C$810=$A106)),'Match Log'!$AB$4:$AB$810),"")</f>
        <v/>
      </c>
      <c r="L106" s="82" t="str">
        <f>IFERROR(LOOKUP(2,1/(('Match Log'!$D$4:$D$810=L$90)*('Match Log'!$C$4:$C$810=$A106)),'Match Log'!$AB$4:$AB$810),"")</f>
        <v/>
      </c>
      <c r="M106" s="82" t="str">
        <f>IFERROR(LOOKUP(2,1/(('Match Log'!$D$4:$D$810=M$90)*('Match Log'!$C$4:$C$810=$A106)),'Match Log'!$AB$4:$AB$810),"")</f>
        <v/>
      </c>
      <c r="N106" s="82" t="str">
        <f>IFERROR(LOOKUP(2,1/(('Match Log'!$D$4:$D$810=N$90)*('Match Log'!$C$4:$C$810=$A106)),'Match Log'!$AB$4:$AB$810),"")</f>
        <v/>
      </c>
      <c r="O106" s="82" t="str">
        <f>IFERROR(LOOKUP(2,1/(('Match Log'!$D$4:$D$810=O$90)*('Match Log'!$C$4:$C$810=$A106)),'Match Log'!$AB$4:$AB$810),"")</f>
        <v/>
      </c>
      <c r="P106" s="79" t="str">
        <f t="shared" si="24"/>
        <v>Daniel (Ferret)</v>
      </c>
    </row>
    <row r="107" spans="1:16" ht="15" customHeight="1" x14ac:dyDescent="0.2">
      <c r="A107" s="76" t="s">
        <v>204</v>
      </c>
      <c r="B107" s="82" t="str">
        <f>IFERROR(LOOKUP(2,1/(('Match Log'!$D$4:$D$810=B$90)*('Match Log'!$C$4:$C$810=$A107)),'Match Log'!$AB$4:$AB$810),"")</f>
        <v/>
      </c>
      <c r="C107" s="82" t="str">
        <f>IFERROR(LOOKUP(2,1/(('Match Log'!$D$4:$D$810=C$90)*('Match Log'!$C$4:$C$810=$A107)),'Match Log'!$AB$4:$AB$810),"")</f>
        <v/>
      </c>
      <c r="D107" s="82">
        <f>IFERROR(LOOKUP(2,1/(('Match Log'!$D$4:$D$810=D$90)*('Match Log'!$C$4:$C$810=$A107)),'Match Log'!$AB$4:$AB$810),"")</f>
        <v>992</v>
      </c>
      <c r="E107" s="82" t="str">
        <f>IFERROR(LOOKUP(2,1/(('Match Log'!$D$4:$D$810=E$90)*('Match Log'!$C$4:$C$810=$A107)),'Match Log'!$AB$4:$AB$810),"")</f>
        <v/>
      </c>
      <c r="F107" s="82">
        <f>IFERROR(LOOKUP(2,1/(('Match Log'!$D$4:$D$810=F$90)*('Match Log'!$C$4:$C$810=$A107)),'Match Log'!$AB$4:$AB$810),"")</f>
        <v>1016</v>
      </c>
      <c r="G107" s="82" t="str">
        <f>IFERROR(LOOKUP(2,1/(('Match Log'!$D$4:$D$810=G$90)*('Match Log'!$C$4:$C$810=$A107)),'Match Log'!$AB$4:$AB$810),"")</f>
        <v/>
      </c>
      <c r="H107" s="82" t="str">
        <f>IFERROR(LOOKUP(2,1/(('Match Log'!$D$4:$D$810=H$90)*('Match Log'!$C$4:$C$810=$A107)),'Match Log'!$AB$4:$AB$810),"")</f>
        <v/>
      </c>
      <c r="I107" s="82">
        <f>IFERROR(LOOKUP(2,1/(('Match Log'!$D$4:$D$810=I$90)*('Match Log'!$C$4:$C$810=$A107)),'Match Log'!$AB$4:$AB$810),"")</f>
        <v>992</v>
      </c>
      <c r="J107" s="82" t="str">
        <f>IFERROR(LOOKUP(2,1/(('Match Log'!$D$4:$D$810=J$90)*('Match Log'!$C$4:$C$810=$A107)),'Match Log'!$AB$4:$AB$810),"")</f>
        <v/>
      </c>
      <c r="K107" s="82" t="str">
        <f>IFERROR(LOOKUP(2,1/(('Match Log'!$D$4:$D$810=K$90)*('Match Log'!$C$4:$C$810=$A107)),'Match Log'!$AB$4:$AB$810),"")</f>
        <v/>
      </c>
      <c r="L107" s="82" t="str">
        <f>IFERROR(LOOKUP(2,1/(('Match Log'!$D$4:$D$810=L$90)*('Match Log'!$C$4:$C$810=$A107)),'Match Log'!$AB$4:$AB$810),"")</f>
        <v/>
      </c>
      <c r="M107" s="82" t="str">
        <f>IFERROR(LOOKUP(2,1/(('Match Log'!$D$4:$D$810=M$90)*('Match Log'!$C$4:$C$810=$A107)),'Match Log'!$AB$4:$AB$810),"")</f>
        <v/>
      </c>
      <c r="N107" s="82" t="str">
        <f>IFERROR(LOOKUP(2,1/(('Match Log'!$D$4:$D$810=N$90)*('Match Log'!$C$4:$C$810=$A107)),'Match Log'!$AB$4:$AB$810),"")</f>
        <v/>
      </c>
      <c r="O107" s="82" t="str">
        <f>IFERROR(LOOKUP(2,1/(('Match Log'!$D$4:$D$810=O$90)*('Match Log'!$C$4:$C$810=$A107)),'Match Log'!$AB$4:$AB$810),"")</f>
        <v/>
      </c>
      <c r="P107" s="79" t="str">
        <f t="shared" si="24"/>
        <v>Josh</v>
      </c>
    </row>
    <row r="108" spans="1:16" ht="15" customHeight="1" x14ac:dyDescent="0.2">
      <c r="A108" s="76" t="s">
        <v>206</v>
      </c>
      <c r="B108" s="82">
        <f>IFERROR(LOOKUP(2,1/(('Match Log'!$D$4:$D$810=B$90)*('Match Log'!$C$4:$C$810=$A108)),'Match Log'!$AB$4:$AB$810),"")</f>
        <v>965.94883287862285</v>
      </c>
      <c r="C108" s="82">
        <f>IFERROR(LOOKUP(2,1/(('Match Log'!$D$4:$D$810=C$90)*('Match Log'!$C$4:$C$810=$A108)),'Match Log'!$AB$4:$AB$810),"")</f>
        <v>1021.3645876209866</v>
      </c>
      <c r="D108" s="82">
        <f>IFERROR(LOOKUP(2,1/(('Match Log'!$D$4:$D$810=D$90)*('Match Log'!$C$4:$C$810=$A108)),'Match Log'!$AB$4:$AB$810),"")</f>
        <v>1015.263693206478</v>
      </c>
      <c r="E108" s="82">
        <f>IFERROR(LOOKUP(2,1/(('Match Log'!$D$4:$D$810=E$90)*('Match Log'!$C$4:$C$810=$A108)),'Match Log'!$AB$4:$AB$810),"")</f>
        <v>995.72748489903177</v>
      </c>
      <c r="F108" s="82">
        <f>IFERROR(LOOKUP(2,1/(('Match Log'!$D$4:$D$810=F$90)*('Match Log'!$C$4:$C$810=$A108)),'Match Log'!$AB$4:$AB$810),"")</f>
        <v>980.52721563547436</v>
      </c>
      <c r="G108" s="82">
        <f>IFERROR(LOOKUP(2,1/(('Match Log'!$D$4:$D$810=G$90)*('Match Log'!$C$4:$C$810=$A108)),'Match Log'!$AB$4:$AB$810),"")</f>
        <v>994.87575697010811</v>
      </c>
      <c r="H108" s="82">
        <f>IFERROR(LOOKUP(2,1/(('Match Log'!$D$4:$D$810=H$90)*('Match Log'!$C$4:$C$810=$A108)),'Match Log'!$AB$4:$AB$810),"")</f>
        <v>1060.1693378874229</v>
      </c>
      <c r="I108" s="82">
        <f>IFERROR(LOOKUP(2,1/(('Match Log'!$D$4:$D$810=I$90)*('Match Log'!$C$4:$C$810=$A108)),'Match Log'!$AB$4:$AB$810),"")</f>
        <v>993.32139176969508</v>
      </c>
      <c r="J108" s="82">
        <f>IFERROR(LOOKUP(2,1/(('Match Log'!$D$4:$D$810=J$90)*('Match Log'!$C$4:$C$810=$A108)),'Match Log'!$AB$4:$AB$810),"")</f>
        <v>1039.1570131462133</v>
      </c>
      <c r="K108" s="82">
        <f>IFERROR(LOOKUP(2,1/(('Match Log'!$D$4:$D$810=K$90)*('Match Log'!$C$4:$C$810=$A108)),'Match Log'!$AB$4:$AB$810),"")</f>
        <v>977.68101586373621</v>
      </c>
      <c r="L108" s="82">
        <f>IFERROR(LOOKUP(2,1/(('Match Log'!$D$4:$D$810=L$90)*('Match Log'!$C$4:$C$810=$A108)),'Match Log'!$AB$4:$AB$810),"")</f>
        <v>959.92547606336859</v>
      </c>
      <c r="M108" s="82">
        <f>IFERROR(LOOKUP(2,1/(('Match Log'!$D$4:$D$810=M$90)*('Match Log'!$C$4:$C$810=$A108)),'Match Log'!$AB$4:$AB$810),"")</f>
        <v>995.72748489903177</v>
      </c>
      <c r="N108" s="82">
        <f>IFERROR(LOOKUP(2,1/(('Match Log'!$D$4:$D$810=N$90)*('Match Log'!$C$4:$C$810=$A108)),'Match Log'!$AB$4:$AB$810),"")</f>
        <v>1000.3107091598305</v>
      </c>
      <c r="O108" s="82" t="str">
        <f>IFERROR(LOOKUP(2,1/(('Match Log'!$D$4:$D$810=O$90)*('Match Log'!$C$4:$C$810=$A108)),'Match Log'!$AB$4:$AB$810),"")</f>
        <v/>
      </c>
      <c r="P108" s="79" t="str">
        <f t="shared" si="24"/>
        <v>Simon</v>
      </c>
    </row>
    <row r="109" spans="1:16" ht="15" customHeight="1" x14ac:dyDescent="0.2">
      <c r="A109" s="76" t="s">
        <v>208</v>
      </c>
      <c r="B109" s="82">
        <f>IFERROR(LOOKUP(2,1/(('Match Log'!$D$4:$D$810=B$90)*('Match Log'!$C$4:$C$810=$A109)),'Match Log'!$AB$4:$AB$810),"")</f>
        <v>969.77346597147539</v>
      </c>
      <c r="C109" s="82" t="str">
        <f>IFERROR(LOOKUP(2,1/(('Match Log'!$D$4:$D$810=C$90)*('Match Log'!$C$4:$C$810=$A109)),'Match Log'!$AB$4:$AB$810),"")</f>
        <v/>
      </c>
      <c r="D109" s="82" t="str">
        <f>IFERROR(LOOKUP(2,1/(('Match Log'!$D$4:$D$810=D$90)*('Match Log'!$C$4:$C$810=$A109)),'Match Log'!$AB$4:$AB$810),"")</f>
        <v/>
      </c>
      <c r="E109" s="82" t="str">
        <f>IFERROR(LOOKUP(2,1/(('Match Log'!$D$4:$D$810=E$90)*('Match Log'!$C$4:$C$810=$A109)),'Match Log'!$AB$4:$AB$810),"")</f>
        <v/>
      </c>
      <c r="F109" s="82">
        <f>IFERROR(LOOKUP(2,1/(('Match Log'!$D$4:$D$810=F$90)*('Match Log'!$C$4:$C$810=$A109)),'Match Log'!$AB$4:$AB$810),"")</f>
        <v>1005.3331712136038</v>
      </c>
      <c r="G109" s="82">
        <f>IFERROR(LOOKUP(2,1/(('Match Log'!$D$4:$D$810=G$90)*('Match Log'!$C$4:$C$810=$A109)),'Match Log'!$AB$4:$AB$810),"")</f>
        <v>1030.2265340285246</v>
      </c>
      <c r="H109" s="82" t="str">
        <f>IFERROR(LOOKUP(2,1/(('Match Log'!$D$4:$D$810=H$90)*('Match Log'!$C$4:$C$810=$A109)),'Match Log'!$AB$4:$AB$810),"")</f>
        <v/>
      </c>
      <c r="I109" s="82">
        <f>IFERROR(LOOKUP(2,1/(('Match Log'!$D$4:$D$810=I$90)*('Match Log'!$C$4:$C$810=$A109)),'Match Log'!$AB$4:$AB$810),"")</f>
        <v>994.66682878639608</v>
      </c>
      <c r="J109" s="82" t="str">
        <f>IFERROR(LOOKUP(2,1/(('Match Log'!$D$4:$D$810=J$90)*('Match Log'!$C$4:$C$810=$A109)),'Match Log'!$AB$4:$AB$810),"")</f>
        <v/>
      </c>
      <c r="K109" s="82" t="str">
        <f>IFERROR(LOOKUP(2,1/(('Match Log'!$D$4:$D$810=K$90)*('Match Log'!$C$4:$C$810=$A109)),'Match Log'!$AB$4:$AB$810),"")</f>
        <v/>
      </c>
      <c r="L109" s="82" t="str">
        <f>IFERROR(LOOKUP(2,1/(('Match Log'!$D$4:$D$810=L$90)*('Match Log'!$C$4:$C$810=$A109)),'Match Log'!$AB$4:$AB$810),"")</f>
        <v/>
      </c>
      <c r="M109" s="82" t="str">
        <f>IFERROR(LOOKUP(2,1/(('Match Log'!$D$4:$D$810=M$90)*('Match Log'!$C$4:$C$810=$A109)),'Match Log'!$AB$4:$AB$810),"")</f>
        <v/>
      </c>
      <c r="N109" s="82" t="str">
        <f>IFERROR(LOOKUP(2,1/(('Match Log'!$D$4:$D$810=N$90)*('Match Log'!$C$4:$C$810=$A109)),'Match Log'!$AB$4:$AB$810),"")</f>
        <v/>
      </c>
      <c r="O109" s="82" t="str">
        <f>IFERROR(LOOKUP(2,1/(('Match Log'!$D$4:$D$810=O$90)*('Match Log'!$C$4:$C$810=$A109)),'Match Log'!$AB$4:$AB$810),"")</f>
        <v/>
      </c>
      <c r="P109" s="79" t="str">
        <f t="shared" si="24"/>
        <v>Shawn</v>
      </c>
    </row>
    <row r="110" spans="1:16" x14ac:dyDescent="0.2">
      <c r="A110" s="76" t="s">
        <v>407</v>
      </c>
      <c r="B110" s="82" t="str">
        <f>IFERROR(LOOKUP(2,1/(('Match Log'!$D$4:$D$810=B$90)*('Match Log'!$C$4:$C$810=$A110)),'Match Log'!$AB$4:$AB$810),"")</f>
        <v/>
      </c>
      <c r="C110" s="82" t="str">
        <f>IFERROR(LOOKUP(2,1/(('Match Log'!$D$4:$D$810=C$90)*('Match Log'!$C$4:$C$810=$A110)),'Match Log'!$AB$4:$AB$810),"")</f>
        <v/>
      </c>
      <c r="D110" s="82" t="str">
        <f>IFERROR(LOOKUP(2,1/(('Match Log'!$D$4:$D$810=D$90)*('Match Log'!$C$4:$C$810=$A110)),'Match Log'!$AB$4:$AB$810),"")</f>
        <v/>
      </c>
      <c r="E110" s="82" t="str">
        <f>IFERROR(LOOKUP(2,1/(('Match Log'!$D$4:$D$810=E$90)*('Match Log'!$C$4:$C$810=$A110)),'Match Log'!$AB$4:$AB$810),"")</f>
        <v/>
      </c>
      <c r="F110" s="82" t="str">
        <f>IFERROR(LOOKUP(2,1/(('Match Log'!$D$4:$D$810=F$90)*('Match Log'!$C$4:$C$810=$A110)),'Match Log'!$AB$4:$AB$810),"")</f>
        <v/>
      </c>
      <c r="G110" s="82" t="str">
        <f>IFERROR(LOOKUP(2,1/(('Match Log'!$D$4:$D$810=G$90)*('Match Log'!$C$4:$C$810=$A110)),'Match Log'!$AB$4:$AB$810),"")</f>
        <v/>
      </c>
      <c r="H110" s="82" t="str">
        <f>IFERROR(LOOKUP(2,1/(('Match Log'!$D$4:$D$810=H$90)*('Match Log'!$C$4:$C$810=$A110)),'Match Log'!$AB$4:$AB$810),"")</f>
        <v/>
      </c>
      <c r="I110" s="82" t="str">
        <f>IFERROR(LOOKUP(2,1/(('Match Log'!$D$4:$D$810=I$90)*('Match Log'!$C$4:$C$810=$A110)),'Match Log'!$AB$4:$AB$810),"")</f>
        <v/>
      </c>
      <c r="J110" s="82" t="str">
        <f>IFERROR(LOOKUP(2,1/(('Match Log'!$D$4:$D$810=J$90)*('Match Log'!$C$4:$C$810=$A110)),'Match Log'!$AB$4:$AB$810),"")</f>
        <v/>
      </c>
      <c r="K110" s="82" t="str">
        <f>IFERROR(LOOKUP(2,1/(('Match Log'!$D$4:$D$810=K$90)*('Match Log'!$C$4:$C$810=$A110)),'Match Log'!$AB$4:$AB$810),"")</f>
        <v/>
      </c>
      <c r="L110" s="82" t="str">
        <f>IFERROR(LOOKUP(2,1/(('Match Log'!$D$4:$D$810=L$90)*('Match Log'!$C$4:$C$810=$A110)),'Match Log'!$AB$4:$AB$810),"")</f>
        <v/>
      </c>
      <c r="M110" s="82" t="str">
        <f>IFERROR(LOOKUP(2,1/(('Match Log'!$D$4:$D$810=M$90)*('Match Log'!$C$4:$C$810=$A110)),'Match Log'!$AB$4:$AB$810),"")</f>
        <v/>
      </c>
      <c r="N110" s="82" t="str">
        <f>IFERROR(LOOKUP(2,1/(('Match Log'!$D$4:$D$810=N$90)*('Match Log'!$C$4:$C$810=$A110)),'Match Log'!$AB$4:$AB$810),"")</f>
        <v/>
      </c>
      <c r="O110" s="82" t="str">
        <f>IFERROR(LOOKUP(2,1/(('Match Log'!$D$4:$D$810=O$90)*('Match Log'!$C$4:$C$810=$A110)),'Match Log'!$AB$4:$AB$810),"")</f>
        <v/>
      </c>
      <c r="P110" s="79" t="str">
        <f>IFERROR(INDEX($B$90:$O$90,MATCH(MAX($B110:$O110),$B110:$O110,0)),"—")</f>
        <v>—</v>
      </c>
    </row>
  </sheetData>
  <autoFilter ref="A73:G87" xr:uid="{00000000-0009-0000-0000-000005000000}">
    <sortState xmlns:xlrd2="http://schemas.microsoft.com/office/spreadsheetml/2017/richdata2" ref="A74:G87">
      <sortCondition descending="1" ref="A74:A87"/>
    </sortState>
  </autoFilter>
  <mergeCells count="7">
    <mergeCell ref="A72:Q72"/>
    <mergeCell ref="A89:Q89"/>
    <mergeCell ref="A2:Q2"/>
    <mergeCell ref="C4:G4"/>
    <mergeCell ref="A6:Q6"/>
    <mergeCell ref="A28:Q28"/>
    <mergeCell ref="A50:Q50"/>
  </mergeCells>
  <conditionalFormatting sqref="B50:O70">
    <cfRule type="colorScale" priority="6">
      <colorScale>
        <cfvo type="num" val="0"/>
        <cfvo type="num" val="0.5"/>
        <cfvo type="num" val="1"/>
        <color rgb="FFF8696B"/>
        <color rgb="FFFFEB84"/>
        <color rgb="FF63BE7B"/>
      </colorScale>
    </cfRule>
  </conditionalFormatting>
  <conditionalFormatting sqref="B52:O69">
    <cfRule type="colorScale" priority="2">
      <colorScale>
        <cfvo type="num" val="0"/>
        <cfvo type="num" val="0.5"/>
        <cfvo type="num" val="1"/>
        <color rgb="FFF2A29B"/>
        <color rgb="FFFCE7A1"/>
        <color rgb="FF8FCFA3"/>
      </colorScale>
    </cfRule>
  </conditionalFormatting>
  <conditionalFormatting sqref="B70:O70">
    <cfRule type="colorScale" priority="5">
      <colorScale>
        <cfvo type="num" val="0"/>
        <cfvo type="num" val="0.5"/>
        <cfvo type="num" val="1"/>
        <color rgb="FFF2A29B"/>
        <color rgb="FFFCE7A1"/>
        <color rgb="FF8FCFA3"/>
      </colorScale>
    </cfRule>
  </conditionalFormatting>
  <conditionalFormatting sqref="B91:O108">
    <cfRule type="colorScale" priority="3">
      <colorScale>
        <cfvo type="num" val="880"/>
        <cfvo type="num" val="1000"/>
        <cfvo type="num" val="1140"/>
        <color rgb="FFF2A29B"/>
        <color rgb="FFFCF3DD"/>
        <color rgb="FF8FCFA3"/>
      </colorScale>
    </cfRule>
  </conditionalFormatting>
  <conditionalFormatting sqref="B109:O109">
    <cfRule type="colorScale" priority="4">
      <colorScale>
        <cfvo type="num" val="880"/>
        <cfvo type="num" val="1000"/>
        <cfvo type="num" val="114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7B07F-9B15-0D42-AC58-D3D72CF7E105}">
  <dimension ref="A1:H33"/>
  <sheetViews>
    <sheetView topLeftCell="A2" zoomScale="150" zoomScaleNormal="150" workbookViewId="0">
      <selection activeCell="K22" sqref="K22"/>
    </sheetView>
  </sheetViews>
  <sheetFormatPr baseColWidth="10" defaultColWidth="8.6640625" defaultRowHeight="15" x14ac:dyDescent="0.2"/>
  <cols>
    <col min="1" max="1" width="25.33203125" customWidth="1"/>
    <col min="2" max="2" width="12.5" customWidth="1"/>
    <col min="3" max="3" width="21.83203125" customWidth="1"/>
    <col min="4" max="4" width="9.5" customWidth="1"/>
    <col min="5" max="5" width="8.83203125" customWidth="1"/>
    <col min="6" max="6" width="15.5" customWidth="1"/>
    <col min="8" max="8" width="13" hidden="1" customWidth="1"/>
  </cols>
  <sheetData>
    <row r="1" spans="1:6" ht="21" customHeight="1" x14ac:dyDescent="0.25">
      <c r="A1" s="52" t="s">
        <v>233</v>
      </c>
    </row>
    <row r="2" spans="1:6" ht="30" customHeight="1" x14ac:dyDescent="0.2">
      <c r="A2" s="160" t="s">
        <v>234</v>
      </c>
      <c r="B2" s="160"/>
      <c r="C2" s="160"/>
      <c r="D2" s="160"/>
      <c r="E2" s="160"/>
      <c r="F2" s="160"/>
    </row>
    <row r="3" spans="1:6" ht="5" customHeight="1" x14ac:dyDescent="0.2"/>
    <row r="4" spans="1:6" ht="15" customHeight="1" x14ac:dyDescent="0.2">
      <c r="A4" s="12" t="s">
        <v>235</v>
      </c>
    </row>
    <row r="5" spans="1:6" ht="15" customHeight="1" x14ac:dyDescent="0.2">
      <c r="A5" s="33" t="s">
        <v>236</v>
      </c>
      <c r="B5" s="33" t="s">
        <v>237</v>
      </c>
      <c r="C5" s="33" t="s">
        <v>238</v>
      </c>
      <c r="D5" s="33" t="s">
        <v>123</v>
      </c>
      <c r="E5" s="33" t="s">
        <v>239</v>
      </c>
      <c r="F5" s="33" t="s">
        <v>240</v>
      </c>
    </row>
    <row r="6" spans="1:6" ht="15" customHeight="1" x14ac:dyDescent="0.2">
      <c r="A6" s="84">
        <v>1</v>
      </c>
      <c r="B6" s="85" t="str">
        <f>IFERROR(INDEX(Calcs!$D$25:$D$444,MATCH(LARGE(Calcs!$I$25:$I$444,1),Calcs!$I$25:$I$444,0)),"")</f>
        <v>Aaron</v>
      </c>
      <c r="C6" s="85" t="str">
        <f>IFERROR(INDEX(Calcs!$H$25:$H$444,MATCH(LARGE(Calcs!$I$25:$I$444,1),Calcs!$I$25:$I$444,0)),"")</f>
        <v>Shawn</v>
      </c>
      <c r="D6" s="85" t="str">
        <f>IFERROR(INDEX(Calcs!$C$25:$C$444,MATCH(LARGE(Calcs!$I$25:$I$444,1),Calcs!$I$25:$I$444,0)),"")</f>
        <v>Mario Golf</v>
      </c>
      <c r="E6" s="85" t="str">
        <f>IFERROR(TEXT(INDEX(Calcs!$F$25:$F$444,MATCH(LARGE(Calcs!$I$25:$I$444,1),Calcs!$I$25:$I$444,0)),"0%"),"")</f>
        <v>17%</v>
      </c>
      <c r="F6" s="85" t="str">
        <f>IFERROR(TEXT(INDEX(Calcs!$B$25:$B$444,MATCH(LARGE(Calcs!$I$25:$I$444,1),Calcs!$I$25:$I$444,0)),"d mmm"),"")</f>
        <v>10 Jul</v>
      </c>
    </row>
    <row r="7" spans="1:6" ht="15" customHeight="1" x14ac:dyDescent="0.2">
      <c r="A7" s="60">
        <v>2</v>
      </c>
      <c r="B7" s="39" t="str">
        <f>IFERROR(INDEX(Calcs!$D$25:$D$444,MATCH(LARGE(Calcs!$I$25:$I$444,2),Calcs!$I$25:$I$444,0)),"")</f>
        <v>Daniel (Ferret)</v>
      </c>
      <c r="C7" s="39" t="str">
        <f>IFERROR(INDEX(Calcs!$H$25:$H$444,MATCH(LARGE(Calcs!$I$25:$I$444,2),Calcs!$I$25:$I$444,0)),"")</f>
        <v>Shawn</v>
      </c>
      <c r="D7" s="39" t="str">
        <f>IFERROR(INDEX(Calcs!$C$25:$C$444,MATCH(LARGE(Calcs!$I$25:$I$444,2),Calcs!$I$25:$I$444,0)),"")</f>
        <v>FIFA</v>
      </c>
      <c r="E7" s="39" t="str">
        <f>IFERROR(TEXT(INDEX(Calcs!$F$25:$F$444,MATCH(LARGE(Calcs!$I$25:$I$444,2),Calcs!$I$25:$I$444,0)),"0%"),"")</f>
        <v>20%</v>
      </c>
      <c r="F7" s="39" t="str">
        <f>IFERROR(TEXT(INDEX(Calcs!$B$25:$B$444,MATCH(LARGE(Calcs!$I$25:$I$444,2),Calcs!$I$25:$I$444,0)),"d mmm"),"")</f>
        <v>30 May</v>
      </c>
    </row>
    <row r="8" spans="1:6" ht="15" customHeight="1" x14ac:dyDescent="0.2">
      <c r="A8" s="56">
        <v>3</v>
      </c>
      <c r="B8" s="36" t="str">
        <f>IFERROR(INDEX(Calcs!$D$25:$D$444,MATCH(LARGE(Calcs!$I$25:$I$444,3),Calcs!$I$25:$I$444,0)),"")</f>
        <v>Shawn</v>
      </c>
      <c r="C8" s="36" t="str">
        <f>IFERROR(INDEX(Calcs!$H$25:$H$444,MATCH(LARGE(Calcs!$I$25:$I$444,3),Calcs!$I$25:$I$444,0)),"")</f>
        <v>Daniel (Ferret)</v>
      </c>
      <c r="D8" s="36" t="str">
        <f>IFERROR(INDEX(Calcs!$C$25:$C$444,MATCH(LARGE(Calcs!$I$25:$I$444,3),Calcs!$I$25:$I$444,0)),"")</f>
        <v>Mario Party</v>
      </c>
      <c r="E8" s="36" t="str">
        <f>IFERROR(TEXT(INDEX(Calcs!$F$25:$F$444,MATCH(LARGE(Calcs!$I$25:$I$444,3),Calcs!$I$25:$I$444,0)),"0%"),"")</f>
        <v>23%</v>
      </c>
      <c r="F8" s="36" t="str">
        <f>IFERROR(TEXT(INDEX(Calcs!$B$25:$B$444,MATCH(LARGE(Calcs!$I$25:$I$444,3),Calcs!$I$25:$I$444,0)),"d mmm"),"")</f>
        <v>5 Jul</v>
      </c>
    </row>
    <row r="9" spans="1:6" ht="15" customHeight="1" x14ac:dyDescent="0.2">
      <c r="A9" s="60">
        <v>4</v>
      </c>
      <c r="B9" s="39" t="str">
        <f>IFERROR(INDEX(Calcs!$D$25:$D$444,MATCH(LARGE(Calcs!$I$25:$I$444,4),Calcs!$I$25:$I$444,0)),"")</f>
        <v>Daniel (Ferret)</v>
      </c>
      <c r="C9" s="39" t="str">
        <f>IFERROR(INDEX(Calcs!$H$25:$H$444,MATCH(LARGE(Calcs!$I$25:$I$444,4),Calcs!$I$25:$I$444,0)),"")</f>
        <v>Oscar</v>
      </c>
      <c r="D9" s="39" t="str">
        <f>IFERROR(INDEX(Calcs!$C$25:$C$444,MATCH(LARGE(Calcs!$I$25:$I$444,4),Calcs!$I$25:$I$444,0)),"")</f>
        <v>Mario Kart</v>
      </c>
      <c r="E9" s="39" t="str">
        <f>IFERROR(TEXT(INDEX(Calcs!$F$25:$F$444,MATCH(LARGE(Calcs!$I$25:$I$444,4),Calcs!$I$25:$I$444,0)),"0%"),"")</f>
        <v>25%</v>
      </c>
      <c r="F9" s="39" t="str">
        <f>IFERROR(TEXT(INDEX(Calcs!$B$25:$B$444,MATCH(LARGE(Calcs!$I$25:$I$444,4),Calcs!$I$25:$I$444,0)),"d mmm"),"")</f>
        <v>3 Jun</v>
      </c>
    </row>
    <row r="10" spans="1:6" ht="15" customHeight="1" x14ac:dyDescent="0.2">
      <c r="A10" s="56">
        <v>5</v>
      </c>
      <c r="B10" s="36" t="str">
        <f>IFERROR(INDEX(Calcs!$D$25:$D$444,MATCH(LARGE(Calcs!$I$25:$I$444,5),Calcs!$I$25:$I$444,0)),"")</f>
        <v>Josh</v>
      </c>
      <c r="C10" s="36" t="str">
        <f>IFERROR(INDEX(Calcs!$H$25:$H$444,MATCH(LARGE(Calcs!$I$25:$I$444,5),Calcs!$I$25:$I$444,0)),"")</f>
        <v>Daniel (Ferret)</v>
      </c>
      <c r="D10" s="36" t="str">
        <f>IFERROR(INDEX(Calcs!$C$25:$C$444,MATCH(LARGE(Calcs!$I$25:$I$444,5),Calcs!$I$25:$I$444,0)),"")</f>
        <v>Mario Golf</v>
      </c>
      <c r="E10" s="36" t="str">
        <f>IFERROR(TEXT(INDEX(Calcs!$F$25:$F$444,MATCH(LARGE(Calcs!$I$25:$I$444,5),Calcs!$I$25:$I$444,0)),"0%"),"")</f>
        <v>25%</v>
      </c>
      <c r="F10" s="36" t="str">
        <f>IFERROR(TEXT(INDEX(Calcs!$B$25:$B$444,MATCH(LARGE(Calcs!$I$25:$I$444,5),Calcs!$I$25:$I$444,0)),"d mmm"),"")</f>
        <v>26 Jun</v>
      </c>
    </row>
    <row r="11" spans="1:6" ht="15" customHeight="1" x14ac:dyDescent="0.2">
      <c r="A11" s="60">
        <v>6</v>
      </c>
      <c r="B11" s="39" t="str">
        <f>IFERROR(INDEX(Calcs!$D$25:$D$444,MATCH(LARGE(Calcs!$I$25:$I$444,6),Calcs!$I$25:$I$444,0)),"")</f>
        <v>Dean B</v>
      </c>
      <c r="C11" s="39" t="str">
        <f>IFERROR(INDEX(Calcs!$H$25:$H$444,MATCH(LARGE(Calcs!$I$25:$I$444,6),Calcs!$I$25:$I$444,0)),"")</f>
        <v>Josh</v>
      </c>
      <c r="D11" s="39" t="str">
        <f>IFERROR(INDEX(Calcs!$C$25:$C$444,MATCH(LARGE(Calcs!$I$25:$I$444,6),Calcs!$I$25:$I$444,0)),"")</f>
        <v>Table Tennis</v>
      </c>
      <c r="E11" s="39" t="str">
        <f>IFERROR(TEXT(INDEX(Calcs!$F$25:$F$444,MATCH(LARGE(Calcs!$I$25:$I$444,6),Calcs!$I$25:$I$444,0)),"0%"),"")</f>
        <v>27%</v>
      </c>
      <c r="F11" s="39" t="str">
        <f>IFERROR(TEXT(INDEX(Calcs!$B$25:$B$444,MATCH(LARGE(Calcs!$I$25:$I$444,6),Calcs!$I$25:$I$444,0)),"d mmm"),"")</f>
        <v>3 Jun</v>
      </c>
    </row>
    <row r="12" spans="1:6" ht="15" customHeight="1" x14ac:dyDescent="0.2">
      <c r="A12" s="56">
        <v>7</v>
      </c>
      <c r="B12" s="36" t="str">
        <f>IFERROR(INDEX(Calcs!$D$25:$D$444,MATCH(LARGE(Calcs!$I$25:$I$444,7),Calcs!$I$25:$I$444,0)),"")</f>
        <v>Daniel (Ferret)</v>
      </c>
      <c r="C12" s="36" t="str">
        <f>IFERROR(INDEX(Calcs!$H$25:$H$444,MATCH(LARGE(Calcs!$I$25:$I$444,7),Calcs!$I$25:$I$444,0)),"")</f>
        <v>Shawn</v>
      </c>
      <c r="D12" s="36" t="str">
        <f>IFERROR(INDEX(Calcs!$C$25:$C$444,MATCH(LARGE(Calcs!$I$25:$I$444,7),Calcs!$I$25:$I$444,0)),"")</f>
        <v>FIFA</v>
      </c>
      <c r="E12" s="36" t="str">
        <f>IFERROR(TEXT(INDEX(Calcs!$F$25:$F$444,MATCH(LARGE(Calcs!$I$25:$I$444,7),Calcs!$I$25:$I$444,0)),"0%"),"")</f>
        <v>29%</v>
      </c>
      <c r="F12" s="36" t="str">
        <f>IFERROR(TEXT(INDEX(Calcs!$B$25:$B$444,MATCH(LARGE(Calcs!$I$25:$I$444,7),Calcs!$I$25:$I$444,0)),"d mmm"),"")</f>
        <v>31 May</v>
      </c>
    </row>
    <row r="13" spans="1:6" ht="15" customHeight="1" x14ac:dyDescent="0.2">
      <c r="A13" s="60">
        <v>8</v>
      </c>
      <c r="B13" s="39" t="str">
        <f>IFERROR(INDEX(Calcs!$D$25:$D$444,MATCH(LARGE(Calcs!$I$25:$I$444,8),Calcs!$I$25:$I$444,0)),"")</f>
        <v>Aaron</v>
      </c>
      <c r="C13" s="39" t="str">
        <f>IFERROR(INDEX(Calcs!$H$25:$H$444,MATCH(LARGE(Calcs!$I$25:$I$444,8),Calcs!$I$25:$I$444,0)),"")</f>
        <v>Shawn</v>
      </c>
      <c r="D13" s="39" t="str">
        <f>IFERROR(INDEX(Calcs!$C$25:$C$444,MATCH(LARGE(Calcs!$I$25:$I$444,8),Calcs!$I$25:$I$444,0)),"")</f>
        <v>Mario Golf</v>
      </c>
      <c r="E13" s="39" t="str">
        <f>IFERROR(TEXT(INDEX(Calcs!$F$25:$F$444,MATCH(LARGE(Calcs!$I$25:$I$444,8),Calcs!$I$25:$I$444,0)),"0%"),"")</f>
        <v>29%</v>
      </c>
      <c r="F13" s="39" t="str">
        <f>IFERROR(TEXT(INDEX(Calcs!$B$25:$B$444,MATCH(LARGE(Calcs!$I$25:$I$444,8),Calcs!$I$25:$I$444,0)),"d mmm"),"")</f>
        <v>11 Jul</v>
      </c>
    </row>
    <row r="15" spans="1:6" ht="15" customHeight="1" x14ac:dyDescent="0.2">
      <c r="A15" s="12" t="s">
        <v>241</v>
      </c>
    </row>
    <row r="16" spans="1:6" ht="15" customHeight="1" x14ac:dyDescent="0.2">
      <c r="A16" s="33" t="s">
        <v>242</v>
      </c>
      <c r="B16" s="33" t="s">
        <v>243</v>
      </c>
      <c r="C16" s="33" t="s">
        <v>244</v>
      </c>
      <c r="D16" s="33" t="s">
        <v>123</v>
      </c>
      <c r="E16" s="33" t="s">
        <v>245</v>
      </c>
      <c r="F16" s="33" t="s">
        <v>246</v>
      </c>
    </row>
    <row r="17" spans="1:8" ht="15" customHeight="1" x14ac:dyDescent="0.2">
      <c r="A17" s="86" t="s">
        <v>247</v>
      </c>
      <c r="B17" s="36" t="str">
        <f>TEXT(MAX('Match Log'!$N$4:$N$810),"0")</f>
        <v>1186</v>
      </c>
      <c r="C17" s="36" t="str">
        <f>INDEX('Match Log'!$D$4:$D$810,$H17)</f>
        <v>Josh</v>
      </c>
      <c r="D17" s="36" t="str">
        <f>INDEX('Match Log'!$C$4:$C$810,$H17)</f>
        <v>Table Tennis</v>
      </c>
      <c r="E17" s="36" t="str">
        <f>TEXT(INDEX('Match Log'!$B$4:$B$810,$H17),"d mmm yyyy")</f>
        <v>3 Jun 2026</v>
      </c>
      <c r="F17" s="36" t="str">
        <f>IFERROR(IF(INDEX('Match Log'!$F$4:$F$810,$H17)=2,"vs "&amp;LOOKUP(2,1/(('Match Log'!$A$4:$A$810=INDEX('Match Log'!$A$4:$A$810,$H17))*('Match Log'!$D$4:$D$810&lt;&gt;$C17)),'Match Log'!$D$4:$D$810),INDEX('Match Log'!$F$4:$F$810,$H17)&amp;"-player game"),"")</f>
        <v>vs Dean B</v>
      </c>
      <c r="H17">
        <f>MATCH(MAX('Match Log'!$N$4:$N$810),'Match Log'!$N$4:$N$810,0)</f>
        <v>91</v>
      </c>
    </row>
    <row r="18" spans="1:8" ht="15" customHeight="1" x14ac:dyDescent="0.2">
      <c r="A18" s="87" t="s">
        <v>248</v>
      </c>
      <c r="B18" s="39" t="str">
        <f>TEXT(MAX('Match Log'!$M$4:$M$810),"+0")</f>
        <v>+35</v>
      </c>
      <c r="C18" s="39" t="str">
        <f>INDEX('Match Log'!$D$4:$D$810,$H18)</f>
        <v>Aaron</v>
      </c>
      <c r="D18" s="39" t="str">
        <f>INDEX('Match Log'!$C$4:$C$810,$H18)</f>
        <v>Kelly Pool</v>
      </c>
      <c r="E18" s="39" t="str">
        <f>TEXT(INDEX('Match Log'!$B$4:$B$810,$H18),"d mmm yyyy")</f>
        <v>2 Jun 2026</v>
      </c>
      <c r="F18" s="39" t="str">
        <f>IFERROR(IF(INDEX('Match Log'!$F$4:$F$810,$H18)=2,"beat "&amp;LOOKUP(2,1/(('Match Log'!$A$4:$A$810=INDEX('Match Log'!$A$4:$A$810,$H18))*('Match Log'!$D$4:$D$810&lt;&gt;$C18)),'Match Log'!$D$4:$D$810),"won "&amp;INDEX('Match Log'!$F$4:$F$810,$H18)&amp;"-player game"),"")</f>
        <v>won 8-player game</v>
      </c>
      <c r="H18">
        <f>MATCH(MAX('Match Log'!$M$4:$M$810),'Match Log'!$M$4:$M$810,0)</f>
        <v>4</v>
      </c>
    </row>
    <row r="19" spans="1:8" ht="15" customHeight="1" x14ac:dyDescent="0.2">
      <c r="A19" s="86" t="s">
        <v>249</v>
      </c>
      <c r="B19" s="36" t="str">
        <f>TEXT(MIN('Match Log'!$M$4:$M$810),"0")</f>
        <v>-32</v>
      </c>
      <c r="C19" s="36" t="str">
        <f>INDEX('Match Log'!$D$4:$D$810,$H19)</f>
        <v>Josh</v>
      </c>
      <c r="D19" s="36" t="str">
        <f>INDEX('Match Log'!$C$4:$C$810,$H19)</f>
        <v>Table Tennis</v>
      </c>
      <c r="E19" s="36" t="str">
        <f>TEXT(INDEX('Match Log'!$B$4:$B$810,$H19),"d mmm yyyy")</f>
        <v>3 Jun 2026</v>
      </c>
      <c r="F19" s="36" t="str">
        <f>IFERROR("lost to "&amp;INDEX('Match Log'!$G$4:$G$810,$H19),"")</f>
        <v>lost to Oscar</v>
      </c>
      <c r="H19">
        <f>MATCH(MIN('Match Log'!$M$4:$M$810),'Match Log'!$M$4:$M$810,0)</f>
        <v>99</v>
      </c>
    </row>
    <row r="20" spans="1:8" ht="15" customHeight="1" x14ac:dyDescent="0.2">
      <c r="A20" s="87" t="s">
        <v>250</v>
      </c>
      <c r="B20" s="39" t="str">
        <f>$E$6</f>
        <v>17%</v>
      </c>
      <c r="C20" s="39" t="str">
        <f>$B$6</f>
        <v>Aaron</v>
      </c>
      <c r="D20" s="39" t="str">
        <f>$D$6</f>
        <v>Mario Golf</v>
      </c>
      <c r="E20" s="39" t="str">
        <f>$F$6</f>
        <v>10 Jul</v>
      </c>
      <c r="F20" s="39" t="str">
        <f>"beat "&amp;$C$6</f>
        <v>beat Shawn</v>
      </c>
    </row>
    <row r="21" spans="1:8" ht="15" customHeight="1" x14ac:dyDescent="0.2">
      <c r="A21" s="86" t="s">
        <v>251</v>
      </c>
      <c r="B21" s="36" t="str">
        <f>TEXT(MAX(Dashboard!$D$5:$D$18),"0")</f>
        <v>61</v>
      </c>
      <c r="C21" s="36" t="str">
        <f>INDEX(Dashboard!$B$5:$B$18,MATCH(MAX(Dashboard!$D$5:$D$18),Dashboard!$D$5:$D$18,0))</f>
        <v>Shawn</v>
      </c>
      <c r="D21" s="36" t="s">
        <v>252</v>
      </c>
      <c r="E21" s="36" t="s">
        <v>252</v>
      </c>
      <c r="F21" s="36" t="str">
        <f>"across "&amp;INDEX(Dashboard!$K$5:$K$18,MATCH($C21,Dashboard!$B$5:$B$18,0))&amp;" sports"</f>
        <v>across 9 sports</v>
      </c>
    </row>
    <row r="22" spans="1:8" ht="15" customHeight="1" x14ac:dyDescent="0.2">
      <c r="A22" s="87" t="s">
        <v>253</v>
      </c>
      <c r="B22" s="39" t="str">
        <f>TEXT(MAX(Dashboard!$K$5:$K$18),"0")</f>
        <v>11</v>
      </c>
      <c r="C22" s="39" t="str">
        <f>INDEX(Dashboard!$B$5:$B$18,MATCH(MAX(Dashboard!$K$5:$K$18),Dashboard!$K$5:$K$18,0))</f>
        <v>Daniel (Ferret)</v>
      </c>
      <c r="D22" s="39" t="s">
        <v>252</v>
      </c>
      <c r="E22" s="39" t="s">
        <v>252</v>
      </c>
      <c r="F22" s="39" t="str">
        <f>"of "&amp;COUNTA(Lists!$C$2:$C$21)&amp;" sports available"</f>
        <v>of 20 sports available</v>
      </c>
    </row>
    <row r="23" spans="1:8" ht="15" customHeight="1" x14ac:dyDescent="0.2">
      <c r="A23" s="86" t="s">
        <v>254</v>
      </c>
      <c r="B23" s="36" t="str">
        <f>TEXT(MAX('Sport Records'!$P$8:$P$27),"0")&amp;" games"</f>
        <v>31 games</v>
      </c>
      <c r="C23" s="36" t="str">
        <f>INDEX('Sport Records'!$A$8:$A$27,MATCH(MAX('Sport Records'!$P$8:$P$27),'Sport Records'!$P$8:$P$27,0))</f>
        <v>Table Tennis</v>
      </c>
      <c r="D23" s="36" t="s">
        <v>252</v>
      </c>
      <c r="E23" s="36" t="s">
        <v>252</v>
      </c>
      <c r="F23" s="36" t="s">
        <v>255</v>
      </c>
    </row>
    <row r="24" spans="1:8" ht="15" customHeight="1" x14ac:dyDescent="0.2">
      <c r="A24" s="87" t="s">
        <v>256</v>
      </c>
      <c r="B24" s="39" t="str">
        <f>MAX(Calcs!$O$7:$O$20)&amp;" wins"</f>
        <v>2 wins</v>
      </c>
      <c r="C24" s="39" t="str">
        <f>INDEX(Calcs!$A$7:$A$20,MATCH(MAX(Calcs!$O$7:$O$20),Calcs!$O$7:$O$20,0))</f>
        <v>David</v>
      </c>
      <c r="D24" s="39" t="s">
        <v>252</v>
      </c>
      <c r="E24" s="39" t="s">
        <v>252</v>
      </c>
      <c r="F24" s="39" t="s">
        <v>257</v>
      </c>
    </row>
    <row r="25" spans="1:8" ht="15" customHeight="1" x14ac:dyDescent="0.2">
      <c r="A25" s="12"/>
    </row>
    <row r="26" spans="1:8" ht="15" customHeight="1" x14ac:dyDescent="0.2">
      <c r="A26" s="88" t="s">
        <v>258</v>
      </c>
      <c r="B26" s="33"/>
      <c r="C26" s="33"/>
    </row>
    <row r="27" spans="1:8" ht="15" customHeight="1" x14ac:dyDescent="0.2">
      <c r="A27" s="33" t="s">
        <v>259</v>
      </c>
      <c r="B27" s="33" t="s">
        <v>244</v>
      </c>
      <c r="C27" s="33" t="s">
        <v>260</v>
      </c>
    </row>
    <row r="28" spans="1:8" ht="15" customHeight="1" x14ac:dyDescent="0.2">
      <c r="A28" s="89" t="s">
        <v>261</v>
      </c>
      <c r="B28" s="37" t="str">
        <f>Leaders!$A$5</f>
        <v>Dean B</v>
      </c>
      <c r="C28" s="39" t="s">
        <v>262</v>
      </c>
    </row>
    <row r="29" spans="1:8" ht="15" customHeight="1" x14ac:dyDescent="0.2">
      <c r="A29" s="89" t="s">
        <v>263</v>
      </c>
      <c r="B29" s="37" t="str">
        <f>INDEX(Calcs!$A$7:$A$20,MATCH(MAX(Calcs!$M$7:$M$20),Calcs!$M$7:$M$20,0))</f>
        <v>Daniel (Ferret)</v>
      </c>
      <c r="C29" s="39" t="s">
        <v>264</v>
      </c>
    </row>
    <row r="30" spans="1:8" ht="15" customHeight="1" x14ac:dyDescent="0.2">
      <c r="A30" s="89" t="s">
        <v>265</v>
      </c>
      <c r="B30" s="37" t="str">
        <f>INDEX(Dashboard!$B$5:$B$18,MATCH(MAX(Dashboard!$D$5:$D$18),Dashboard!$D$5:$D$18,0))</f>
        <v>Shawn</v>
      </c>
      <c r="C30" s="39" t="s">
        <v>266</v>
      </c>
    </row>
    <row r="31" spans="1:8" ht="15" customHeight="1" x14ac:dyDescent="0.2">
      <c r="A31" s="89" t="s">
        <v>267</v>
      </c>
      <c r="B31" s="37" t="str">
        <f>INDEX(Dashboard!$B$5:$B$18,MATCH(MAX(Dashboard!$K$5:$K$18),Dashboard!$K$5:$K$18,0))</f>
        <v>Daniel (Ferret)</v>
      </c>
      <c r="C31" s="39" t="s">
        <v>268</v>
      </c>
    </row>
    <row r="32" spans="1:8" ht="15" customHeight="1" x14ac:dyDescent="0.2">
      <c r="A32" s="89" t="s">
        <v>269</v>
      </c>
      <c r="B32" s="37" t="str">
        <f>INDEX(Calcs!$A$7:$A$20,MATCH(MAX(Calcs!$N$7:$N$20),Calcs!$N$7:$N$20,0))</f>
        <v>Aaron</v>
      </c>
      <c r="C32" s="39" t="s">
        <v>270</v>
      </c>
    </row>
    <row r="33" spans="1:3" ht="15" customHeight="1" x14ac:dyDescent="0.2">
      <c r="A33" s="89" t="s">
        <v>271</v>
      </c>
      <c r="B33" s="37" t="str">
        <f>INDEX(Dashboard!$B$5:$B$18,MATCH(MIN(Dashboard!$C$5:$C$18),Dashboard!$C$5:$C$18,0))</f>
        <v>Cody</v>
      </c>
      <c r="C33" s="39" t="s">
        <v>272</v>
      </c>
    </row>
  </sheetData>
  <mergeCells count="1">
    <mergeCell ref="A2:F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353018-FC02-614C-B748-3FB9901CBC24}">
  <dimension ref="A1:U83"/>
  <sheetViews>
    <sheetView topLeftCell="A18" zoomScale="140" zoomScaleNormal="140" workbookViewId="0">
      <selection activeCell="D21" sqref="D21"/>
    </sheetView>
  </sheetViews>
  <sheetFormatPr baseColWidth="10" defaultColWidth="8.6640625" defaultRowHeight="15" x14ac:dyDescent="0.2"/>
  <cols>
    <col min="1" max="1" width="24" customWidth="1"/>
    <col min="2" max="23" width="10.83203125" customWidth="1"/>
  </cols>
  <sheetData>
    <row r="1" spans="1:6" ht="21" customHeight="1" x14ac:dyDescent="0.25">
      <c r="A1" s="52" t="s">
        <v>273</v>
      </c>
    </row>
    <row r="2" spans="1:6" ht="15" customHeight="1" x14ac:dyDescent="0.2">
      <c r="A2" s="32" t="s">
        <v>274</v>
      </c>
    </row>
    <row r="3" spans="1:6" x14ac:dyDescent="0.2">
      <c r="A3" s="26"/>
      <c r="B3" s="26"/>
      <c r="C3" s="26"/>
      <c r="D3" s="26"/>
      <c r="E3" s="26"/>
      <c r="F3" s="26"/>
    </row>
    <row r="4" spans="1:6" ht="15" customHeight="1" x14ac:dyDescent="0.2">
      <c r="A4" s="12" t="s">
        <v>275</v>
      </c>
      <c r="B4" s="26"/>
      <c r="C4" s="26"/>
      <c r="D4" s="26"/>
      <c r="E4" s="26"/>
      <c r="F4" s="26"/>
    </row>
    <row r="5" spans="1:6" ht="15" customHeight="1" x14ac:dyDescent="0.2">
      <c r="A5" s="90" t="str">
        <f>"👑  "&amp;INDEX(Calcs!$A$7:$A$20,MATCH(MAX(Calcs!$B$7:$B$20),Calcs!$B$7:$B$20,0))&amp;" leads the title race — "&amp;ROUND(MAX(Calcs!$B$7:$B$20)-LARGE(Calcs!$B$7:$B$20,2),0)&amp;" points clear of "&amp;INDEX(Calcs!$A$7:$A$20,MATCH(LARGE(Calcs!$B$7:$B$20,2),Calcs!$B$7:$B$20,0))&amp;"."</f>
        <v>👑  Dean B leads the title race — 39 points clear of Josh.</v>
      </c>
      <c r="B5" s="91"/>
      <c r="C5" s="91"/>
      <c r="D5" s="91"/>
      <c r="E5" s="91"/>
      <c r="F5" s="91"/>
    </row>
    <row r="6" spans="1:6" ht="15" customHeight="1" x14ac:dyDescent="0.2">
      <c r="A6" s="92" t="str">
        <f>IF(MAX(Calcs!$O$7:$O$20)&gt;=2,"🔥  "&amp;INDEX(Calcs!$A$7:$A$20,MATCH(MAX(Calcs!$O$7:$O$20),Calcs!$O$7:$O$20,0))&amp;" is on a heater — "&amp;MAX(Calcs!$O$7:$O$20)&amp;" wins in a row!","🔥  Wide open up top — nobody on a win streak right now.")</f>
        <v>🔥  David is on a heater — 2 wins in a row!</v>
      </c>
      <c r="B6" s="93"/>
      <c r="C6" s="93"/>
      <c r="D6" s="94"/>
      <c r="E6" s="95"/>
      <c r="F6" s="93"/>
    </row>
    <row r="7" spans="1:6" ht="15" customHeight="1" x14ac:dyDescent="0.2">
      <c r="A7" s="90" t="str">
        <f>IF(MAX(Calcs!$V$7:$V$20)&gt;=2,"🥶  "&amp;INDEX(Calcs!$A$7:$A$20,MATCH(MAX(Calcs!$V$7:$V$20),Calcs!$V$7:$V$20,0))&amp;" can't take a trick — "&amp;MAX(Calcs!$V$7:$V$20)&amp;" losses on the spin, well overdue a win.","😅  Good news: nobody's on a losing skid.")</f>
        <v>🥶  Cody can't take a trick — 4 losses on the spin, well overdue a win.</v>
      </c>
      <c r="B7" s="91"/>
      <c r="C7" s="91"/>
      <c r="D7" s="96"/>
      <c r="E7" s="97"/>
      <c r="F7" s="91"/>
    </row>
    <row r="8" spans="1:6" ht="15" customHeight="1" x14ac:dyDescent="0.2">
      <c r="A8" s="92" t="str">
        <f>IF(MAX(Calcs!$L$7:$L$20)&gt;0,"📈  "&amp;INDEX(Calcs!$A$7:$A$20,MATCH(MAX(Calcs!$L$7:$L$20),Calcs!$L$7:$L$20,0))&amp;" is surging — up "&amp;MAX(Calcs!$L$7:$L$20)&amp;" place(s) since last week.","📊  Standings holding steady — no big movers this week.")</f>
        <v>📈  Shawn is surging — up 3 place(s) since last week.</v>
      </c>
      <c r="B8" s="93"/>
      <c r="C8" s="93"/>
      <c r="D8" s="94"/>
      <c r="E8" s="95"/>
      <c r="F8" s="93"/>
    </row>
    <row r="9" spans="1:6" ht="15" customHeight="1" x14ac:dyDescent="0.2">
      <c r="A9" s="90" t="str">
        <f>IF(MAX(Calcs!$M$7:$M$20)&gt;0,"🗡️  "&amp;INDEX(Calcs!$A$7:$A$20,MATCH(MAX(Calcs!$M$7:$M$20),Calcs!$M$7:$M$20,0))&amp;" is the giant-killer — "&amp;MAX(Calcs!$M$7:$M$20)&amp;" win(s) against the odds.","🎯  Favourites holding firm — no major upsets lately.")</f>
        <v>🗡️  Daniel (Ferret) is the giant-killer — 4 win(s) against the odds.</v>
      </c>
      <c r="B9" s="91"/>
      <c r="C9" s="91"/>
      <c r="D9" s="96"/>
      <c r="E9" s="97"/>
      <c r="F9" s="91"/>
    </row>
    <row r="10" spans="1:6" ht="15" customHeight="1" x14ac:dyDescent="0.2">
      <c r="A10" s="92" t="str">
        <f>"🐎  "&amp;INDEX(Dashboard!$B$5:$B$18,MATCH(MAX(Dashboard!$D$5:$D$18),Dashboard!$D$5:$D$18,0))&amp;" never misses a session — "&amp;MAX(Dashboard!$D$5:$D$18)&amp;" games, more than anyone."</f>
        <v>🐎  Shawn never misses a session — 61 games, more than anyone.</v>
      </c>
      <c r="B10" s="93"/>
      <c r="C10" s="93"/>
      <c r="D10" s="94"/>
      <c r="E10" s="95"/>
      <c r="F10" s="93"/>
    </row>
    <row r="11" spans="1:6" ht="15" customHeight="1" x14ac:dyDescent="0.2">
      <c r="A11" s="90" t="str">
        <f>"🎯  "&amp;INDEX('Sport Records'!$Q$8:$Q$27,MATCH(MAX('Sport Records'!$P$8:$P$27),'Sport Records'!$P$8:$P$27,0))&amp;" rules "&amp;INDEX('Sport Records'!$A$8:$A$27,MATCH(MAX('Sport Records'!$P$8:$P$27),'Sport Records'!$P$8:$P$27,0))&amp;" — the family's most-played game with "&amp;MAX('Sport Records'!$P$8:$P$27)&amp;" contests."</f>
        <v>🎯  Josh rules Table Tennis — the family's most-played game with 31 contests.</v>
      </c>
      <c r="B11" s="91"/>
      <c r="C11" s="91"/>
      <c r="D11" s="96"/>
      <c r="E11" s="97"/>
      <c r="F11" s="91"/>
    </row>
    <row r="12" spans="1:6" ht="15" customHeight="1" x14ac:dyDescent="0.2">
      <c r="A12" s="92" t="str">
        <f>"🎲  "&amp;MAX('Match Log'!$A$4:$A$810)&amp;" games played across "&amp;COUNTIF('Sport Records'!$P$8:$P$27,"&gt;0")&amp;" different sports — and counting."</f>
        <v>🎲  138 games played across 12 different sports — and counting.</v>
      </c>
      <c r="B12" s="93"/>
      <c r="C12" s="93"/>
      <c r="D12" s="94"/>
      <c r="E12" s="95"/>
      <c r="F12" s="93"/>
    </row>
    <row r="13" spans="1:6" ht="15" customHeight="1" x14ac:dyDescent="0.2">
      <c r="A13" s="26"/>
      <c r="B13" s="26"/>
      <c r="C13" s="26"/>
      <c r="D13" s="98"/>
      <c r="E13" s="99"/>
      <c r="F13" s="26"/>
    </row>
    <row r="14" spans="1:6" ht="15" customHeight="1" x14ac:dyDescent="0.2">
      <c r="A14" s="26"/>
      <c r="B14" s="26"/>
      <c r="C14" s="26"/>
      <c r="D14" s="98"/>
      <c r="E14" s="99"/>
      <c r="F14" s="26"/>
    </row>
    <row r="15" spans="1:6" ht="15" customHeight="1" x14ac:dyDescent="0.2">
      <c r="A15" s="12" t="s">
        <v>276</v>
      </c>
      <c r="B15" s="26"/>
      <c r="C15" s="26"/>
      <c r="D15" s="98"/>
      <c r="E15" s="99"/>
      <c r="F15" s="26"/>
    </row>
    <row r="16" spans="1:6" ht="15" customHeight="1" x14ac:dyDescent="0.2">
      <c r="A16" s="33" t="s">
        <v>277</v>
      </c>
      <c r="B16" s="33" t="s">
        <v>156</v>
      </c>
      <c r="C16" s="33" t="s">
        <v>230</v>
      </c>
      <c r="D16" s="100" t="s">
        <v>278</v>
      </c>
      <c r="E16" s="99"/>
      <c r="F16" s="26"/>
    </row>
    <row r="17" spans="1:6" ht="15" customHeight="1" x14ac:dyDescent="0.2">
      <c r="A17" s="101">
        <v>1</v>
      </c>
      <c r="B17" s="102" t="str">
        <f>INDEX(Calcs!$A$7:$A$20,MATCH(LARGE(Calcs!$B$7:$B$20,1),Calcs!$B$7:$B$20,0))</f>
        <v>Dean B</v>
      </c>
      <c r="C17" s="101">
        <f>ROUND(LARGE(Calcs!$B$7:$B$20,1),0)</f>
        <v>1168</v>
      </c>
      <c r="D17" s="103" t="str">
        <f>IF(1=1,"— leader —",ROUND(MAX(Calcs!$B$7:$B$20)-LARGE(Calcs!$B$7:$B$20,1),0)&amp;" behind")</f>
        <v>— leader —</v>
      </c>
      <c r="E17" s="99"/>
      <c r="F17" s="26"/>
    </row>
    <row r="18" spans="1:6" ht="15" customHeight="1" x14ac:dyDescent="0.2">
      <c r="A18" s="104">
        <v>2</v>
      </c>
      <c r="B18" s="55" t="str">
        <f>INDEX(Calcs!$A$7:$A$20,MATCH(LARGE(Calcs!$B$7:$B$20,2),Calcs!$B$7:$B$20,0))</f>
        <v>Josh</v>
      </c>
      <c r="C18" s="104">
        <f>ROUND(LARGE(Calcs!$B$7:$B$20,2),0)</f>
        <v>1130</v>
      </c>
      <c r="D18" s="105" t="str">
        <f>IF(2=1,"— leader —",ROUND(MAX(Calcs!$B$7:$B$20)-LARGE(Calcs!$B$7:$B$20,2),0)&amp;" behind")</f>
        <v>39 behind</v>
      </c>
      <c r="E18" s="99"/>
      <c r="F18" s="26"/>
    </row>
    <row r="19" spans="1:6" ht="15" customHeight="1" x14ac:dyDescent="0.2">
      <c r="A19" s="104">
        <v>3</v>
      </c>
      <c r="B19" s="55" t="str">
        <f>INDEX(Calcs!$A$7:$A$20,MATCH(LARGE(Calcs!$B$7:$B$20,3),Calcs!$B$7:$B$20,0))</f>
        <v>Aaron</v>
      </c>
      <c r="C19" s="104">
        <f>ROUND(LARGE(Calcs!$B$7:$B$20,3),0)</f>
        <v>1109</v>
      </c>
      <c r="D19" s="105" t="str">
        <f>IF(3=1,"— leader —",ROUND(MAX(Calcs!$B$7:$B$20)-LARGE(Calcs!$B$7:$B$20,3),0)&amp;" behind")</f>
        <v>59 behind</v>
      </c>
      <c r="E19" s="99"/>
      <c r="F19" s="26"/>
    </row>
    <row r="20" spans="1:6" x14ac:dyDescent="0.2">
      <c r="A20" s="26"/>
      <c r="B20" s="26"/>
      <c r="C20" s="26"/>
      <c r="D20" s="26"/>
      <c r="E20" s="26"/>
      <c r="F20" s="26"/>
    </row>
    <row r="21" spans="1:6" ht="15.75" customHeight="1" x14ac:dyDescent="0.2">
      <c r="A21" s="12" t="s">
        <v>279</v>
      </c>
      <c r="B21" s="26"/>
      <c r="C21" s="26"/>
      <c r="D21" s="53" t="s">
        <v>197</v>
      </c>
      <c r="E21" s="26"/>
      <c r="F21" s="26"/>
    </row>
    <row r="22" spans="1:6" x14ac:dyDescent="0.2">
      <c r="A22" s="33" t="s">
        <v>156</v>
      </c>
      <c r="B22" s="33" t="s">
        <v>127</v>
      </c>
      <c r="C22" s="33" t="s">
        <v>180</v>
      </c>
      <c r="D22" s="33" t="s">
        <v>102</v>
      </c>
      <c r="E22" s="33" t="s">
        <v>125</v>
      </c>
      <c r="F22" s="33" t="s">
        <v>114</v>
      </c>
    </row>
    <row r="23" spans="1:6" x14ac:dyDescent="0.2">
      <c r="A23" s="56" t="s">
        <v>138</v>
      </c>
      <c r="B23" s="36">
        <f>COUNTIFS('Match Log'!$D$4:$D$810,$A23,'Match Log'!$C$4:$C$810,$D$21)</f>
        <v>3</v>
      </c>
      <c r="C23" s="36">
        <f>COUNTIFS('Match Log'!$D$4:$D$810,$A23,'Match Log'!$C$4:$C$810,$D$21,'Match Log'!$E$4:$E$810,"Win")</f>
        <v>2</v>
      </c>
      <c r="D23" s="57">
        <f t="shared" ref="D23:D36" si="0">IF($B23=0,"",$C23/$B23)</f>
        <v>0.66666666666666663</v>
      </c>
      <c r="E23" s="58">
        <f>IFERROR(IF($B23=0,"",INDEX('Sport Records'!$B$91:$O$110,MATCH($D$21,'Sport Records'!$A$91:$A$110,0),MATCH($A23,'Sport Records'!$B$90:$O$90,0))),"")</f>
        <v>1014.4258934061545</v>
      </c>
      <c r="F23" s="36">
        <f t="shared" ref="F23:F36" si="1">IF($E23="","",RANK($E23,$E$23:$E$36))</f>
        <v>2</v>
      </c>
    </row>
    <row r="24" spans="1:6" x14ac:dyDescent="0.2">
      <c r="A24" s="60" t="s">
        <v>135</v>
      </c>
      <c r="B24" s="39">
        <f>COUNTIFS('Match Log'!$D$4:$D$810,$A24,'Match Log'!$C$4:$C$810,$D$21)</f>
        <v>0</v>
      </c>
      <c r="C24" s="39">
        <f>COUNTIFS('Match Log'!$D$4:$D$810,$A24,'Match Log'!$C$4:$C$810,$D$21,'Match Log'!$E$4:$E$810,"Win")</f>
        <v>0</v>
      </c>
      <c r="D24" s="61" t="str">
        <f t="shared" si="0"/>
        <v/>
      </c>
      <c r="E24" s="62" t="str">
        <f>IFERROR(IF($B24=0,"",INDEX('Sport Records'!$B$91:$O$110,MATCH($D$21,'Sport Records'!$A$91:$A$110,0),MATCH($A24,'Sport Records'!$B$90:$O$90,0))),"")</f>
        <v/>
      </c>
      <c r="F24" s="39" t="str">
        <f t="shared" si="1"/>
        <v/>
      </c>
    </row>
    <row r="25" spans="1:6" x14ac:dyDescent="0.2">
      <c r="A25" s="56" t="s">
        <v>173</v>
      </c>
      <c r="B25" s="36">
        <f>COUNTIFS('Match Log'!$D$4:$D$810,$A25,'Match Log'!$C$4:$C$810,$D$21)</f>
        <v>0</v>
      </c>
      <c r="C25" s="36">
        <f>COUNTIFS('Match Log'!$D$4:$D$810,$A25,'Match Log'!$C$4:$C$810,$D$21,'Match Log'!$E$4:$E$810,"Win")</f>
        <v>0</v>
      </c>
      <c r="D25" s="57" t="str">
        <f t="shared" si="0"/>
        <v/>
      </c>
      <c r="E25" s="58" t="str">
        <f>IFERROR(IF($B25=0,"",INDEX('Sport Records'!$B$91:$O$110,MATCH($D$21,'Sport Records'!$A$91:$A$110,0),MATCH($A25,'Sport Records'!$B$90:$O$90,0))),"")</f>
        <v/>
      </c>
      <c r="F25" s="36" t="str">
        <f t="shared" si="1"/>
        <v/>
      </c>
    </row>
    <row r="26" spans="1:6" x14ac:dyDescent="0.2">
      <c r="A26" s="60" t="s">
        <v>140</v>
      </c>
      <c r="B26" s="39">
        <f>COUNTIFS('Match Log'!$D$4:$D$810,$A26,'Match Log'!$C$4:$C$810,$D$21)</f>
        <v>0</v>
      </c>
      <c r="C26" s="39">
        <f>COUNTIFS('Match Log'!$D$4:$D$810,$A26,'Match Log'!$C$4:$C$810,$D$21,'Match Log'!$E$4:$E$810,"Win")</f>
        <v>0</v>
      </c>
      <c r="D26" s="61" t="str">
        <f t="shared" si="0"/>
        <v/>
      </c>
      <c r="E26" s="62" t="str">
        <f>IFERROR(IF($B26=0,"",INDEX('Sport Records'!$B$91:$O$110,MATCH($D$21,'Sport Records'!$A$91:$A$110,0),MATCH($A26,'Sport Records'!$B$90:$O$90,0))),"")</f>
        <v/>
      </c>
      <c r="F26" s="39" t="str">
        <f t="shared" si="1"/>
        <v/>
      </c>
    </row>
    <row r="27" spans="1:6" x14ac:dyDescent="0.2">
      <c r="A27" s="56" t="s">
        <v>137</v>
      </c>
      <c r="B27" s="36">
        <f>COUNTIFS('Match Log'!$D$4:$D$810,$A27,'Match Log'!$C$4:$C$810,$D$21)</f>
        <v>1</v>
      </c>
      <c r="C27" s="36">
        <f>COUNTIFS('Match Log'!$D$4:$D$810,$A27,'Match Log'!$C$4:$C$810,$D$21,'Match Log'!$E$4:$E$810,"Win")</f>
        <v>0</v>
      </c>
      <c r="D27" s="57">
        <f t="shared" si="0"/>
        <v>0</v>
      </c>
      <c r="E27" s="58">
        <f>IFERROR(IF($B27=0,"",INDEX('Sport Records'!$B$91:$O$110,MATCH($D$21,'Sport Records'!$A$91:$A$110,0),MATCH($A27,'Sport Records'!$B$90:$O$90,0))),"")</f>
        <v>985.41909823644232</v>
      </c>
      <c r="F27" s="36">
        <f t="shared" si="1"/>
        <v>4</v>
      </c>
    </row>
    <row r="28" spans="1:6" x14ac:dyDescent="0.2">
      <c r="A28" s="60" t="s">
        <v>134</v>
      </c>
      <c r="B28" s="39">
        <f>COUNTIFS('Match Log'!$D$4:$D$810,$A28,'Match Log'!$C$4:$C$810,$D$21)</f>
        <v>9</v>
      </c>
      <c r="C28" s="39">
        <f>COUNTIFS('Match Log'!$D$4:$D$810,$A28,'Match Log'!$C$4:$C$810,$D$21,'Match Log'!$E$4:$E$810,"Win")</f>
        <v>2</v>
      </c>
      <c r="D28" s="61">
        <f t="shared" si="0"/>
        <v>0.22222222222222221</v>
      </c>
      <c r="E28" s="62">
        <f>IFERROR(IF($B28=0,"",INDEX('Sport Records'!$B$91:$O$110,MATCH($D$21,'Sport Records'!$A$91:$A$110,0),MATCH($A28,'Sport Records'!$B$90:$O$90,0))),"")</f>
        <v>948.96790333240949</v>
      </c>
      <c r="F28" s="39">
        <f t="shared" si="1"/>
        <v>5</v>
      </c>
    </row>
    <row r="29" spans="1:6" x14ac:dyDescent="0.2">
      <c r="A29" s="56" t="s">
        <v>168</v>
      </c>
      <c r="B29" s="36">
        <f>COUNTIFS('Match Log'!$D$4:$D$810,$A29,'Match Log'!$C$4:$C$810,$D$21)</f>
        <v>0</v>
      </c>
      <c r="C29" s="36">
        <f>COUNTIFS('Match Log'!$D$4:$D$810,$A29,'Match Log'!$C$4:$C$810,$D$21,'Match Log'!$E$4:$E$810,"Win")</f>
        <v>0</v>
      </c>
      <c r="D29" s="57" t="str">
        <f t="shared" si="0"/>
        <v/>
      </c>
      <c r="E29" s="58" t="str">
        <f>IFERROR(IF($B29=0,"",INDEX('Sport Records'!$B$91:$O$110,MATCH($D$21,'Sport Records'!$A$91:$A$110,0),MATCH($A29,'Sport Records'!$B$90:$O$90,0))),"")</f>
        <v/>
      </c>
      <c r="F29" s="36" t="str">
        <f t="shared" si="1"/>
        <v/>
      </c>
    </row>
    <row r="30" spans="1:6" x14ac:dyDescent="0.2">
      <c r="A30" s="60" t="s">
        <v>170</v>
      </c>
      <c r="B30" s="39">
        <f>COUNTIFS('Match Log'!$D$4:$D$810,$A30,'Match Log'!$C$4:$C$810,$D$21)</f>
        <v>6</v>
      </c>
      <c r="C30" s="39">
        <f>COUNTIFS('Match Log'!$D$4:$D$810,$A30,'Match Log'!$C$4:$C$810,$D$21,'Match Log'!$E$4:$E$810,"Win")</f>
        <v>5</v>
      </c>
      <c r="D30" s="61">
        <f t="shared" si="0"/>
        <v>0.83333333333333337</v>
      </c>
      <c r="E30" s="62">
        <f>IFERROR(IF($B30=0,"",INDEX('Sport Records'!$B$91:$O$110,MATCH($D$21,'Sport Records'!$A$91:$A$110,0),MATCH($A30,'Sport Records'!$B$90:$O$90,0))),"")</f>
        <v>1050.6407052513002</v>
      </c>
      <c r="F30" s="39">
        <f t="shared" si="1"/>
        <v>1</v>
      </c>
    </row>
    <row r="31" spans="1:6" x14ac:dyDescent="0.2">
      <c r="A31" s="56" t="s">
        <v>167</v>
      </c>
      <c r="B31" s="36">
        <f>COUNTIFS('Match Log'!$D$4:$D$810,$A31,'Match Log'!$C$4:$C$810,$D$21)</f>
        <v>0</v>
      </c>
      <c r="C31" s="36">
        <f>COUNTIFS('Match Log'!$D$4:$D$810,$A31,'Match Log'!$C$4:$C$810,$D$21,'Match Log'!$E$4:$E$810,"Win")</f>
        <v>0</v>
      </c>
      <c r="D31" s="57" t="str">
        <f t="shared" si="0"/>
        <v/>
      </c>
      <c r="E31" s="58" t="str">
        <f>IFERROR(IF($B31=0,"",INDEX('Sport Records'!$B$91:$O$110,MATCH($D$21,'Sport Records'!$A$91:$A$110,0),MATCH($A31,'Sport Records'!$B$90:$O$90,0))),"")</f>
        <v/>
      </c>
      <c r="F31" s="36" t="str">
        <f t="shared" si="1"/>
        <v/>
      </c>
    </row>
    <row r="32" spans="1:6" x14ac:dyDescent="0.2">
      <c r="A32" s="60" t="s">
        <v>175</v>
      </c>
      <c r="B32" s="39">
        <f>COUNTIFS('Match Log'!$D$4:$D$810,$A32,'Match Log'!$C$4:$C$810,$D$21)</f>
        <v>0</v>
      </c>
      <c r="C32" s="39">
        <f>COUNTIFS('Match Log'!$D$4:$D$810,$A32,'Match Log'!$C$4:$C$810,$D$21,'Match Log'!$E$4:$E$810,"Win")</f>
        <v>0</v>
      </c>
      <c r="D32" s="61" t="str">
        <f t="shared" si="0"/>
        <v/>
      </c>
      <c r="E32" s="62" t="str">
        <f>IFERROR(IF($B32=0,"",INDEX('Sport Records'!$B$91:$O$110,MATCH($D$21,'Sport Records'!$A$91:$A$110,0),MATCH($A32,'Sport Records'!$B$90:$O$90,0))),"")</f>
        <v/>
      </c>
      <c r="F32" s="39" t="str">
        <f t="shared" si="1"/>
        <v/>
      </c>
    </row>
    <row r="33" spans="1:21" x14ac:dyDescent="0.2">
      <c r="A33" s="56" t="s">
        <v>169</v>
      </c>
      <c r="B33" s="36">
        <f>COUNTIFS('Match Log'!$D$4:$D$810,$A33,'Match Log'!$C$4:$C$810,$D$21)</f>
        <v>3</v>
      </c>
      <c r="C33" s="36">
        <f>COUNTIFS('Match Log'!$D$4:$D$810,$A33,'Match Log'!$C$4:$C$810,$D$21,'Match Log'!$E$4:$E$810,"Win")</f>
        <v>1</v>
      </c>
      <c r="D33" s="57">
        <f t="shared" si="0"/>
        <v>0.33333333333333331</v>
      </c>
      <c r="E33" s="58">
        <f>IFERROR(IF($B33=0,"",INDEX('Sport Records'!$B$91:$O$110,MATCH($D$21,'Sport Records'!$A$91:$A$110,0),MATCH($A33,'Sport Records'!$B$90:$O$90,0))),"")</f>
        <v>1000.5463997736937</v>
      </c>
      <c r="F33" s="36">
        <f t="shared" si="1"/>
        <v>3</v>
      </c>
    </row>
    <row r="34" spans="1:21" x14ac:dyDescent="0.2">
      <c r="A34" s="60" t="s">
        <v>171</v>
      </c>
      <c r="B34" s="39">
        <f>COUNTIFS('Match Log'!$D$4:$D$810,$A34,'Match Log'!$C$4:$C$810,$D$21)</f>
        <v>0</v>
      </c>
      <c r="C34" s="39">
        <f>COUNTIFS('Match Log'!$D$4:$D$810,$A34,'Match Log'!$C$4:$C$810,$D$21,'Match Log'!$E$4:$E$810,"Win")</f>
        <v>0</v>
      </c>
      <c r="D34" s="61" t="str">
        <f t="shared" si="0"/>
        <v/>
      </c>
      <c r="E34" s="62" t="str">
        <f>IFERROR(IF($B34=0,"",INDEX('Sport Records'!$B$91:$O$110,MATCH($D$21,'Sport Records'!$A$91:$A$110,0),MATCH($A34,'Sport Records'!$B$90:$O$90,0))),"")</f>
        <v/>
      </c>
      <c r="F34" s="39" t="str">
        <f t="shared" si="1"/>
        <v/>
      </c>
    </row>
    <row r="35" spans="1:21" x14ac:dyDescent="0.2">
      <c r="A35" s="56" t="s">
        <v>172</v>
      </c>
      <c r="B35" s="36">
        <f>COUNTIFS('Match Log'!$D$4:$D$810,$A35,'Match Log'!$C$4:$C$810,$D$21)</f>
        <v>0</v>
      </c>
      <c r="C35" s="36">
        <f>COUNTIFS('Match Log'!$D$4:$D$810,$A35,'Match Log'!$C$4:$C$810,$D$21,'Match Log'!$E$4:$E$810,"Win")</f>
        <v>0</v>
      </c>
      <c r="D35" s="57" t="str">
        <f t="shared" si="0"/>
        <v/>
      </c>
      <c r="E35" s="58" t="str">
        <f>IFERROR(IF($B35=0,"",INDEX('Sport Records'!$B$91:$O$110,MATCH($D$21,'Sport Records'!$A$91:$A$110,0),MATCH($A35,'Sport Records'!$B$90:$O$90,0))),"")</f>
        <v/>
      </c>
      <c r="F35" s="36" t="str">
        <f t="shared" si="1"/>
        <v/>
      </c>
    </row>
    <row r="36" spans="1:21" x14ac:dyDescent="0.2">
      <c r="A36" s="60" t="s">
        <v>174</v>
      </c>
      <c r="B36" s="39">
        <f>COUNTIFS('Match Log'!$D$4:$D$810,$A36,'Match Log'!$C$4:$C$810,$D$21)</f>
        <v>0</v>
      </c>
      <c r="C36" s="39">
        <f>COUNTIFS('Match Log'!$D$4:$D$810,$A36,'Match Log'!$C$4:$C$810,$D$21,'Match Log'!$E$4:$E$810,"Win")</f>
        <v>0</v>
      </c>
      <c r="D36" s="61" t="str">
        <f t="shared" si="0"/>
        <v/>
      </c>
      <c r="E36" s="62" t="str">
        <f>IFERROR(IF($B36=0,"",INDEX('Sport Records'!$B$91:$O$110,MATCH($D$21,'Sport Records'!$A$91:$A$110,0),MATCH($A36,'Sport Records'!$B$90:$O$90,0))),"")</f>
        <v/>
      </c>
      <c r="F36" s="39" t="str">
        <f t="shared" si="1"/>
        <v/>
      </c>
    </row>
    <row r="37" spans="1:21" x14ac:dyDescent="0.2">
      <c r="A37" s="26"/>
      <c r="B37" s="26"/>
      <c r="C37" s="26"/>
      <c r="D37" s="26"/>
      <c r="E37" s="26"/>
      <c r="F37" s="26"/>
    </row>
    <row r="38" spans="1:21" ht="15.75" customHeight="1" x14ac:dyDescent="0.2">
      <c r="A38" s="12" t="s">
        <v>280</v>
      </c>
      <c r="B38" s="26"/>
      <c r="C38" s="26"/>
      <c r="D38" s="26"/>
      <c r="E38" s="26"/>
      <c r="F38" s="26"/>
    </row>
    <row r="39" spans="1:21" x14ac:dyDescent="0.2">
      <c r="A39" s="106" t="s">
        <v>281</v>
      </c>
      <c r="B39" s="26"/>
      <c r="C39" s="26"/>
      <c r="D39" s="26"/>
      <c r="E39" s="26"/>
      <c r="F39" s="26"/>
    </row>
    <row r="40" spans="1:21" x14ac:dyDescent="0.2">
      <c r="A40" s="86" t="s">
        <v>138</v>
      </c>
      <c r="B40" s="107" t="str">
        <f>IFERROR(IF(INDEX('Match Log'!$E$1:$E$810,_xlfn.AGGREGATE(14,6,ROW('Match Log'!$A$4:$A$810)/('Match Log'!$D$4:$D$810=$A40),10))="Win","W","L"),"")</f>
        <v>L</v>
      </c>
      <c r="C40" s="107" t="str">
        <f>IFERROR(IF(INDEX('Match Log'!$E$1:$E$810,_xlfn.AGGREGATE(14,6,ROW('Match Log'!$A$4:$A$810)/('Match Log'!$D$4:$D$810=$A40),9))="Win","W","L"),"")</f>
        <v>L</v>
      </c>
      <c r="D40" s="107" t="str">
        <f>IFERROR(IF(INDEX('Match Log'!$E$1:$E$810,_xlfn.AGGREGATE(14,6,ROW('Match Log'!$A$4:$A$810)/('Match Log'!$D$4:$D$810=$A40),8))="Win","W","L"),"")</f>
        <v>L</v>
      </c>
      <c r="E40" s="107" t="str">
        <f>IFERROR(IF(INDEX('Match Log'!$E$1:$E$810,_xlfn.AGGREGATE(14,6,ROW('Match Log'!$A$4:$A$810)/('Match Log'!$D$4:$D$810=$A40),7))="Win","W","L"),"")</f>
        <v>W</v>
      </c>
      <c r="F40" s="107" t="str">
        <f>IFERROR(IF(INDEX('Match Log'!$E$1:$E$810,_xlfn.AGGREGATE(14,6,ROW('Match Log'!$A$4:$A$810)/('Match Log'!$D$4:$D$810=$A40),6))="Win","W","L"),"")</f>
        <v>W</v>
      </c>
      <c r="G40" s="107" t="str">
        <f>IFERROR(IF(INDEX('Match Log'!$E$1:$E$810,_xlfn.AGGREGATE(14,6,ROW('Match Log'!$A$4:$A$810)/('Match Log'!$D$4:$D$810=$A40),5))="Win","W","L"),"")</f>
        <v>L</v>
      </c>
      <c r="H40" s="107" t="str">
        <f>IFERROR(IF(INDEX('Match Log'!$E$1:$E$810,_xlfn.AGGREGATE(14,6,ROW('Match Log'!$A$4:$A$810)/('Match Log'!$D$4:$D$810=$A40),4))="Win","W","L"),"")</f>
        <v>W</v>
      </c>
      <c r="I40" s="107" t="str">
        <f>IFERROR(IF(INDEX('Match Log'!$E$1:$E$810,_xlfn.AGGREGATE(14,6,ROW('Match Log'!$A$4:$A$810)/('Match Log'!$D$4:$D$810=$A40),3))="Win","W","L"),"")</f>
        <v>W</v>
      </c>
      <c r="J40" s="107" t="str">
        <f>IFERROR(IF(INDEX('Match Log'!$E$1:$E$810,_xlfn.AGGREGATE(14,6,ROW('Match Log'!$A$4:$A$810)/('Match Log'!$D$4:$D$810=$A40),2))="Win","W","L"),"")</f>
        <v>W</v>
      </c>
      <c r="K40" s="107" t="str">
        <f>IFERROR(IF(INDEX('Match Log'!$E$1:$E$810,_xlfn.AGGREGATE(14,6,ROW('Match Log'!$A$4:$A$810)/('Match Log'!$D$4:$D$810=$A40),1))="Win","W","L"),"")</f>
        <v>L</v>
      </c>
    </row>
    <row r="41" spans="1:21" x14ac:dyDescent="0.2">
      <c r="A41" s="86" t="s">
        <v>135</v>
      </c>
      <c r="B41" s="107" t="str">
        <f>IFERROR(IF(INDEX('Match Log'!$E$1:$E$810,_xlfn.AGGREGATE(14,6,ROW('Match Log'!$A$4:$A$810)/('Match Log'!$D$4:$D$810=$A41),10))="Win","W","L"),"")</f>
        <v>L</v>
      </c>
      <c r="C41" s="107" t="str">
        <f>IFERROR(IF(INDEX('Match Log'!$E$1:$E$810,_xlfn.AGGREGATE(14,6,ROW('Match Log'!$A$4:$A$810)/('Match Log'!$D$4:$D$810=$A41),9))="Win","W","L"),"")</f>
        <v>W</v>
      </c>
      <c r="D41" s="107" t="str">
        <f>IFERROR(IF(INDEX('Match Log'!$E$1:$E$810,_xlfn.AGGREGATE(14,6,ROW('Match Log'!$A$4:$A$810)/('Match Log'!$D$4:$D$810=$A41),8))="Win","W","L"),"")</f>
        <v>W</v>
      </c>
      <c r="E41" s="107" t="str">
        <f>IFERROR(IF(INDEX('Match Log'!$E$1:$E$810,_xlfn.AGGREGATE(14,6,ROW('Match Log'!$A$4:$A$810)/('Match Log'!$D$4:$D$810=$A41),7))="Win","W","L"),"")</f>
        <v>L</v>
      </c>
      <c r="F41" s="107" t="str">
        <f>IFERROR(IF(INDEX('Match Log'!$E$1:$E$810,_xlfn.AGGREGATE(14,6,ROW('Match Log'!$A$4:$A$810)/('Match Log'!$D$4:$D$810=$A41),6))="Win","W","L"),"")</f>
        <v>W</v>
      </c>
      <c r="G41" s="107" t="str">
        <f>IFERROR(IF(INDEX('Match Log'!$E$1:$E$810,_xlfn.AGGREGATE(14,6,ROW('Match Log'!$A$4:$A$810)/('Match Log'!$D$4:$D$810=$A41),5))="Win","W","L"),"")</f>
        <v>L</v>
      </c>
      <c r="H41" s="107" t="str">
        <f>IFERROR(IF(INDEX('Match Log'!$E$1:$E$810,_xlfn.AGGREGATE(14,6,ROW('Match Log'!$A$4:$A$810)/('Match Log'!$D$4:$D$810=$A41),4))="Win","W","L"),"")</f>
        <v>W</v>
      </c>
      <c r="I41" s="107" t="str">
        <f>IFERROR(IF(INDEX('Match Log'!$E$1:$E$810,_xlfn.AGGREGATE(14,6,ROW('Match Log'!$A$4:$A$810)/('Match Log'!$D$4:$D$810=$A41),3))="Win","W","L"),"")</f>
        <v>W</v>
      </c>
      <c r="J41" s="107" t="str">
        <f>IFERROR(IF(INDEX('Match Log'!$E$1:$E$810,_xlfn.AGGREGATE(14,6,ROW('Match Log'!$A$4:$A$810)/('Match Log'!$D$4:$D$810=$A41),2))="Win","W","L"),"")</f>
        <v>L</v>
      </c>
      <c r="K41" s="107" t="str">
        <f>IFERROR(IF(INDEX('Match Log'!$E$1:$E$810,_xlfn.AGGREGATE(14,6,ROW('Match Log'!$A$4:$A$810)/('Match Log'!$D$4:$D$810=$A41),1))="Win","W","L"),"")</f>
        <v>L</v>
      </c>
    </row>
    <row r="42" spans="1:21" x14ac:dyDescent="0.2">
      <c r="A42" s="86" t="s">
        <v>173</v>
      </c>
      <c r="B42" s="107" t="str">
        <f>IFERROR(IF(INDEX('Match Log'!$E$1:$E$810,_xlfn.AGGREGATE(14,6,ROW('Match Log'!$A$4:$A$810)/('Match Log'!$D$4:$D$810=$A42),10))="Win","W","L"),"")</f>
        <v>L</v>
      </c>
      <c r="C42" s="107" t="str">
        <f>IFERROR(IF(INDEX('Match Log'!$E$1:$E$810,_xlfn.AGGREGATE(14,6,ROW('Match Log'!$A$4:$A$810)/('Match Log'!$D$4:$D$810=$A42),9))="Win","W","L"),"")</f>
        <v>L</v>
      </c>
      <c r="D42" s="107" t="str">
        <f>IFERROR(IF(INDEX('Match Log'!$E$1:$E$810,_xlfn.AGGREGATE(14,6,ROW('Match Log'!$A$4:$A$810)/('Match Log'!$D$4:$D$810=$A42),8))="Win","W","L"),"")</f>
        <v>W</v>
      </c>
      <c r="E42" s="107" t="str">
        <f>IFERROR(IF(INDEX('Match Log'!$E$1:$E$810,_xlfn.AGGREGATE(14,6,ROW('Match Log'!$A$4:$A$810)/('Match Log'!$D$4:$D$810=$A42),7))="Win","W","L"),"")</f>
        <v>W</v>
      </c>
      <c r="F42" s="107" t="str">
        <f>IFERROR(IF(INDEX('Match Log'!$E$1:$E$810,_xlfn.AGGREGATE(14,6,ROW('Match Log'!$A$4:$A$810)/('Match Log'!$D$4:$D$810=$A42),6))="Win","W","L"),"")</f>
        <v>W</v>
      </c>
      <c r="G42" s="107" t="str">
        <f>IFERROR(IF(INDEX('Match Log'!$E$1:$E$810,_xlfn.AGGREGATE(14,6,ROW('Match Log'!$A$4:$A$810)/('Match Log'!$D$4:$D$810=$A42),5))="Win","W","L"),"")</f>
        <v>W</v>
      </c>
      <c r="H42" s="107" t="str">
        <f>IFERROR(IF(INDEX('Match Log'!$E$1:$E$810,_xlfn.AGGREGATE(14,6,ROW('Match Log'!$A$4:$A$810)/('Match Log'!$D$4:$D$810=$A42),4))="Win","W","L"),"")</f>
        <v>L</v>
      </c>
      <c r="I42" s="107" t="str">
        <f>IFERROR(IF(INDEX('Match Log'!$E$1:$E$810,_xlfn.AGGREGATE(14,6,ROW('Match Log'!$A$4:$A$810)/('Match Log'!$D$4:$D$810=$A42),3))="Win","W","L"),"")</f>
        <v>L</v>
      </c>
      <c r="J42" s="107" t="str">
        <f>IFERROR(IF(INDEX('Match Log'!$E$1:$E$810,_xlfn.AGGREGATE(14,6,ROW('Match Log'!$A$4:$A$810)/('Match Log'!$D$4:$D$810=$A42),2))="Win","W","L"),"")</f>
        <v>L</v>
      </c>
      <c r="K42" s="107" t="str">
        <f>IFERROR(IF(INDEX('Match Log'!$E$1:$E$810,_xlfn.AGGREGATE(14,6,ROW('Match Log'!$A$4:$A$810)/('Match Log'!$D$4:$D$810=$A42),1))="Win","W","L"),"")</f>
        <v>W</v>
      </c>
    </row>
    <row r="43" spans="1:21" x14ac:dyDescent="0.2">
      <c r="A43" s="86" t="s">
        <v>140</v>
      </c>
      <c r="B43" s="107" t="str">
        <f>IFERROR(IF(INDEX('Match Log'!$E$1:$E$810,_xlfn.AGGREGATE(14,6,ROW('Match Log'!$A$4:$A$810)/('Match Log'!$D$4:$D$810=$A43),10))="Win","W","L"),"")</f>
        <v>L</v>
      </c>
      <c r="C43" s="107" t="str">
        <f>IFERROR(IF(INDEX('Match Log'!$E$1:$E$810,_xlfn.AGGREGATE(14,6,ROW('Match Log'!$A$4:$A$810)/('Match Log'!$D$4:$D$810=$A43),9))="Win","W","L"),"")</f>
        <v>W</v>
      </c>
      <c r="D43" s="107" t="str">
        <f>IFERROR(IF(INDEX('Match Log'!$E$1:$E$810,_xlfn.AGGREGATE(14,6,ROW('Match Log'!$A$4:$A$810)/('Match Log'!$D$4:$D$810=$A43),8))="Win","W","L"),"")</f>
        <v>L</v>
      </c>
      <c r="E43" s="107" t="str">
        <f>IFERROR(IF(INDEX('Match Log'!$E$1:$E$810,_xlfn.AGGREGATE(14,6,ROW('Match Log'!$A$4:$A$810)/('Match Log'!$D$4:$D$810=$A43),7))="Win","W","L"),"")</f>
        <v>W</v>
      </c>
      <c r="F43" s="107" t="str">
        <f>IFERROR(IF(INDEX('Match Log'!$E$1:$E$810,_xlfn.AGGREGATE(14,6,ROW('Match Log'!$A$4:$A$810)/('Match Log'!$D$4:$D$810=$A43),6))="Win","W","L"),"")</f>
        <v>L</v>
      </c>
      <c r="G43" s="107" t="str">
        <f>IFERROR(IF(INDEX('Match Log'!$E$1:$E$810,_xlfn.AGGREGATE(14,6,ROW('Match Log'!$A$4:$A$810)/('Match Log'!$D$4:$D$810=$A43),5))="Win","W","L"),"")</f>
        <v>L</v>
      </c>
      <c r="H43" s="107" t="str">
        <f>IFERROR(IF(INDEX('Match Log'!$E$1:$E$810,_xlfn.AGGREGATE(14,6,ROW('Match Log'!$A$4:$A$810)/('Match Log'!$D$4:$D$810=$A43),4))="Win","W","L"),"")</f>
        <v>L</v>
      </c>
      <c r="I43" s="107" t="str">
        <f>IFERROR(IF(INDEX('Match Log'!$E$1:$E$810,_xlfn.AGGREGATE(14,6,ROW('Match Log'!$A$4:$A$810)/('Match Log'!$D$4:$D$810=$A43),3))="Win","W","L"),"")</f>
        <v>L</v>
      </c>
      <c r="J43" s="107" t="str">
        <f>IFERROR(IF(INDEX('Match Log'!$E$1:$E$810,_xlfn.AGGREGATE(14,6,ROW('Match Log'!$A$4:$A$810)/('Match Log'!$D$4:$D$810=$A43),2))="Win","W","L"),"")</f>
        <v>W</v>
      </c>
      <c r="K43" s="107" t="str">
        <f>IFERROR(IF(INDEX('Match Log'!$E$1:$E$810,_xlfn.AGGREGATE(14,6,ROW('Match Log'!$A$4:$A$810)/('Match Log'!$D$4:$D$810=$A43),1))="Win","W","L"),"")</f>
        <v>W</v>
      </c>
    </row>
    <row r="44" spans="1:21" x14ac:dyDescent="0.2">
      <c r="A44" s="86" t="s">
        <v>137</v>
      </c>
      <c r="B44" s="107" t="str">
        <f>IFERROR(IF(INDEX('Match Log'!$E$1:$E$810,_xlfn.AGGREGATE(14,6,ROW('Match Log'!$A$4:$A$810)/('Match Log'!$D$4:$D$810=$A44),10))="Win","W","L"),"")</f>
        <v>W</v>
      </c>
      <c r="C44" s="107" t="str">
        <f>IFERROR(IF(INDEX('Match Log'!$E$1:$E$810,_xlfn.AGGREGATE(14,6,ROW('Match Log'!$A$4:$A$810)/('Match Log'!$D$4:$D$810=$A44),9))="Win","W","L"),"")</f>
        <v>L</v>
      </c>
      <c r="D44" s="107" t="str">
        <f>IFERROR(IF(INDEX('Match Log'!$E$1:$E$810,_xlfn.AGGREGATE(14,6,ROW('Match Log'!$A$4:$A$810)/('Match Log'!$D$4:$D$810=$A44),8))="Win","W","L"),"")</f>
        <v>W</v>
      </c>
      <c r="E44" s="107" t="str">
        <f>IFERROR(IF(INDEX('Match Log'!$E$1:$E$810,_xlfn.AGGREGATE(14,6,ROW('Match Log'!$A$4:$A$810)/('Match Log'!$D$4:$D$810=$A44),7))="Win","W","L"),"")</f>
        <v>L</v>
      </c>
      <c r="F44" s="107" t="str">
        <f>IFERROR(IF(INDEX('Match Log'!$E$1:$E$810,_xlfn.AGGREGATE(14,6,ROW('Match Log'!$A$4:$A$810)/('Match Log'!$D$4:$D$810=$A44),6))="Win","W","L"),"")</f>
        <v>L</v>
      </c>
      <c r="G44" s="107" t="str">
        <f>IFERROR(IF(INDEX('Match Log'!$E$1:$E$810,_xlfn.AGGREGATE(14,6,ROW('Match Log'!$A$4:$A$810)/('Match Log'!$D$4:$D$810=$A44),5))="Win","W","L"),"")</f>
        <v>L</v>
      </c>
      <c r="H44" s="107" t="str">
        <f>IFERROR(IF(INDEX('Match Log'!$E$1:$E$810,_xlfn.AGGREGATE(14,6,ROW('Match Log'!$A$4:$A$810)/('Match Log'!$D$4:$D$810=$A44),4))="Win","W","L"),"")</f>
        <v>L</v>
      </c>
      <c r="I44" s="107" t="str">
        <f>IFERROR(IF(INDEX('Match Log'!$E$1:$E$810,_xlfn.AGGREGATE(14,6,ROW('Match Log'!$A$4:$A$810)/('Match Log'!$D$4:$D$810=$A44),3))="Win","W","L"),"")</f>
        <v>W</v>
      </c>
      <c r="J44" s="107" t="str">
        <f>IFERROR(IF(INDEX('Match Log'!$E$1:$E$810,_xlfn.AGGREGATE(14,6,ROW('Match Log'!$A$4:$A$810)/('Match Log'!$D$4:$D$810=$A44),2))="Win","W","L"),"")</f>
        <v>W</v>
      </c>
      <c r="K44" s="107" t="str">
        <f>IFERROR(IF(INDEX('Match Log'!$E$1:$E$810,_xlfn.AGGREGATE(14,6,ROW('Match Log'!$A$4:$A$810)/('Match Log'!$D$4:$D$810=$A44),1))="Win","W","L"),"")</f>
        <v>L</v>
      </c>
    </row>
    <row r="45" spans="1:21" x14ac:dyDescent="0.2">
      <c r="A45" s="86" t="s">
        <v>134</v>
      </c>
      <c r="B45" s="107" t="str">
        <f>IFERROR(IF(INDEX('Match Log'!$E$1:$E$810,_xlfn.AGGREGATE(14,6,ROW('Match Log'!$A$4:$A$810)/('Match Log'!$D$4:$D$810=$A45),10))="Win","W","L"),"")</f>
        <v>W</v>
      </c>
      <c r="C45" s="107" t="str">
        <f>IFERROR(IF(INDEX('Match Log'!$E$1:$E$810,_xlfn.AGGREGATE(14,6,ROW('Match Log'!$A$4:$A$810)/('Match Log'!$D$4:$D$810=$A45),9))="Win","W","L"),"")</f>
        <v>W</v>
      </c>
      <c r="D45" s="107" t="str">
        <f>IFERROR(IF(INDEX('Match Log'!$E$1:$E$810,_xlfn.AGGREGATE(14,6,ROW('Match Log'!$A$4:$A$810)/('Match Log'!$D$4:$D$810=$A45),8))="Win","W","L"),"")</f>
        <v>W</v>
      </c>
      <c r="E45" s="107" t="str">
        <f>IFERROR(IF(INDEX('Match Log'!$E$1:$E$810,_xlfn.AGGREGATE(14,6,ROW('Match Log'!$A$4:$A$810)/('Match Log'!$D$4:$D$810=$A45),7))="Win","W","L"),"")</f>
        <v>L</v>
      </c>
      <c r="F45" s="107" t="str">
        <f>IFERROR(IF(INDEX('Match Log'!$E$1:$E$810,_xlfn.AGGREGATE(14,6,ROW('Match Log'!$A$4:$A$810)/('Match Log'!$D$4:$D$810=$A45),6))="Win","W","L"),"")</f>
        <v>L</v>
      </c>
      <c r="G45" s="107" t="str">
        <f>IFERROR(IF(INDEX('Match Log'!$E$1:$E$810,_xlfn.AGGREGATE(14,6,ROW('Match Log'!$A$4:$A$810)/('Match Log'!$D$4:$D$810=$A45),5))="Win","W","L"),"")</f>
        <v>W</v>
      </c>
      <c r="H45" s="107" t="str">
        <f>IFERROR(IF(INDEX('Match Log'!$E$1:$E$810,_xlfn.AGGREGATE(14,6,ROW('Match Log'!$A$4:$A$810)/('Match Log'!$D$4:$D$810=$A45),4))="Win","W","L"),"")</f>
        <v>L</v>
      </c>
      <c r="I45" s="107" t="str">
        <f>IFERROR(IF(INDEX('Match Log'!$E$1:$E$810,_xlfn.AGGREGATE(14,6,ROW('Match Log'!$A$4:$A$810)/('Match Log'!$D$4:$D$810=$A45),3))="Win","W","L"),"")</f>
        <v>L</v>
      </c>
      <c r="J45" s="107" t="str">
        <f>IFERROR(IF(INDEX('Match Log'!$E$1:$E$810,_xlfn.AGGREGATE(14,6,ROW('Match Log'!$A$4:$A$810)/('Match Log'!$D$4:$D$810=$A45),2))="Win","W","L"),"")</f>
        <v>L</v>
      </c>
      <c r="K45" s="107" t="str">
        <f>IFERROR(IF(INDEX('Match Log'!$E$1:$E$810,_xlfn.AGGREGATE(14,6,ROW('Match Log'!$A$4:$A$810)/('Match Log'!$D$4:$D$810=$A45),1))="Win","W","L"),"")</f>
        <v>W</v>
      </c>
    </row>
    <row r="46" spans="1:21" x14ac:dyDescent="0.2">
      <c r="A46" s="86" t="s">
        <v>168</v>
      </c>
      <c r="B46" s="107" t="str">
        <f>IFERROR(IF(INDEX('Match Log'!$E$1:$E$810,_xlfn.AGGREGATE(14,6,ROW('Match Log'!$A$4:$A$810)/('Match Log'!$D$4:$D$810=$A46),10))="Win","W","L"),"")</f>
        <v>W</v>
      </c>
      <c r="C46" s="107" t="str">
        <f>IFERROR(IF(INDEX('Match Log'!$E$1:$E$810,_xlfn.AGGREGATE(14,6,ROW('Match Log'!$A$4:$A$810)/('Match Log'!$D$4:$D$810=$A46),9))="Win","W","L"),"")</f>
        <v>L</v>
      </c>
      <c r="D46" s="107" t="str">
        <f>IFERROR(IF(INDEX('Match Log'!$E$1:$E$810,_xlfn.AGGREGATE(14,6,ROW('Match Log'!$A$4:$A$810)/('Match Log'!$D$4:$D$810=$A46),8))="Win","W","L"),"")</f>
        <v>W</v>
      </c>
      <c r="E46" s="107" t="str">
        <f>IFERROR(IF(INDEX('Match Log'!$E$1:$E$810,_xlfn.AGGREGATE(14,6,ROW('Match Log'!$A$4:$A$810)/('Match Log'!$D$4:$D$810=$A46),7))="Win","W","L"),"")</f>
        <v>L</v>
      </c>
      <c r="F46" s="107" t="str">
        <f>IFERROR(IF(INDEX('Match Log'!$E$1:$E$810,_xlfn.AGGREGATE(14,6,ROW('Match Log'!$A$4:$A$810)/('Match Log'!$D$4:$D$810=$A46),6))="Win","W","L"),"")</f>
        <v>L</v>
      </c>
      <c r="G46" s="107" t="str">
        <f>IFERROR(IF(INDEX('Match Log'!$E$1:$E$810,_xlfn.AGGREGATE(14,6,ROW('Match Log'!$A$4:$A$810)/('Match Log'!$D$4:$D$810=$A46),5))="Win","W","L"),"")</f>
        <v>W</v>
      </c>
      <c r="H46" s="107" t="str">
        <f>IFERROR(IF(INDEX('Match Log'!$E$1:$E$810,_xlfn.AGGREGATE(14,6,ROW('Match Log'!$A$4:$A$810)/('Match Log'!$D$4:$D$810=$A46),4))="Win","W","L"),"")</f>
        <v>W</v>
      </c>
      <c r="I46" s="107" t="str">
        <f>IFERROR(IF(INDEX('Match Log'!$E$1:$E$810,_xlfn.AGGREGATE(14,6,ROW('Match Log'!$A$4:$A$810)/('Match Log'!$D$4:$D$810=$A46),3))="Win","W","L"),"")</f>
        <v>L</v>
      </c>
      <c r="J46" s="107" t="str">
        <f>IFERROR(IF(INDEX('Match Log'!$E$1:$E$810,_xlfn.AGGREGATE(14,6,ROW('Match Log'!$A$4:$A$810)/('Match Log'!$D$4:$D$810=$A46),2))="Win","W","L"),"")</f>
        <v>L</v>
      </c>
      <c r="K46" s="107" t="str">
        <f>IFERROR(IF(INDEX('Match Log'!$E$1:$E$810,_xlfn.AGGREGATE(14,6,ROW('Match Log'!$A$4:$A$810)/('Match Log'!$D$4:$D$810=$A46),1))="Win","W","L"),"")</f>
        <v>L</v>
      </c>
      <c r="L46" s="26"/>
      <c r="M46" s="26"/>
      <c r="N46" s="26"/>
      <c r="O46" s="26"/>
      <c r="P46" s="26"/>
      <c r="Q46" s="26"/>
      <c r="R46" s="26"/>
      <c r="S46" s="26"/>
      <c r="T46" s="26"/>
      <c r="U46" s="26"/>
    </row>
    <row r="47" spans="1:21" x14ac:dyDescent="0.2">
      <c r="A47" s="86" t="s">
        <v>170</v>
      </c>
      <c r="B47" s="107" t="str">
        <f>IFERROR(IF(INDEX('Match Log'!$E$1:$E$810,_xlfn.AGGREGATE(14,6,ROW('Match Log'!$A$4:$A$810)/('Match Log'!$D$4:$D$810=$A47),10))="Win","W","L"),"")</f>
        <v>L</v>
      </c>
      <c r="C47" s="107" t="str">
        <f>IFERROR(IF(INDEX('Match Log'!$E$1:$E$810,_xlfn.AGGREGATE(14,6,ROW('Match Log'!$A$4:$A$810)/('Match Log'!$D$4:$D$810=$A47),9))="Win","W","L"),"")</f>
        <v>W</v>
      </c>
      <c r="D47" s="107" t="str">
        <f>IFERROR(IF(INDEX('Match Log'!$E$1:$E$810,_xlfn.AGGREGATE(14,6,ROW('Match Log'!$A$4:$A$810)/('Match Log'!$D$4:$D$810=$A47),8))="Win","W","L"),"")</f>
        <v>W</v>
      </c>
      <c r="E47" s="107" t="str">
        <f>IFERROR(IF(INDEX('Match Log'!$E$1:$E$810,_xlfn.AGGREGATE(14,6,ROW('Match Log'!$A$4:$A$810)/('Match Log'!$D$4:$D$810=$A47),7))="Win","W","L"),"")</f>
        <v>L</v>
      </c>
      <c r="F47" s="107" t="str">
        <f>IFERROR(IF(INDEX('Match Log'!$E$1:$E$810,_xlfn.AGGREGATE(14,6,ROW('Match Log'!$A$4:$A$810)/('Match Log'!$D$4:$D$810=$A47),6))="Win","W","L"),"")</f>
        <v>L</v>
      </c>
      <c r="G47" s="107" t="str">
        <f>IFERROR(IF(INDEX('Match Log'!$E$1:$E$810,_xlfn.AGGREGATE(14,6,ROW('Match Log'!$A$4:$A$810)/('Match Log'!$D$4:$D$810=$A47),5))="Win","W","L"),"")</f>
        <v>W</v>
      </c>
      <c r="H47" s="107" t="str">
        <f>IFERROR(IF(INDEX('Match Log'!$E$1:$E$810,_xlfn.AGGREGATE(14,6,ROW('Match Log'!$A$4:$A$810)/('Match Log'!$D$4:$D$810=$A47),4))="Win","W","L"),"")</f>
        <v>L</v>
      </c>
      <c r="I47" s="107" t="str">
        <f>IFERROR(IF(INDEX('Match Log'!$E$1:$E$810,_xlfn.AGGREGATE(14,6,ROW('Match Log'!$A$4:$A$810)/('Match Log'!$D$4:$D$810=$A47),3))="Win","W","L"),"")</f>
        <v>W</v>
      </c>
      <c r="J47" s="107" t="str">
        <f>IFERROR(IF(INDEX('Match Log'!$E$1:$E$810,_xlfn.AGGREGATE(14,6,ROW('Match Log'!$A$4:$A$810)/('Match Log'!$D$4:$D$810=$A47),2))="Win","W","L"),"")</f>
        <v>L</v>
      </c>
      <c r="K47" s="107" t="str">
        <f>IFERROR(IF(INDEX('Match Log'!$E$1:$E$810,_xlfn.AGGREGATE(14,6,ROW('Match Log'!$A$4:$A$810)/('Match Log'!$D$4:$D$810=$A47),1))="Win","W","L"),"")</f>
        <v>W</v>
      </c>
      <c r="L47" s="26"/>
      <c r="M47" s="26"/>
      <c r="N47" s="26"/>
      <c r="O47" s="26"/>
      <c r="P47" s="26"/>
      <c r="Q47" s="26"/>
      <c r="R47" s="26"/>
      <c r="S47" s="26"/>
      <c r="T47" s="26"/>
      <c r="U47" s="26"/>
    </row>
    <row r="48" spans="1:21" ht="15.75" customHeight="1" x14ac:dyDescent="0.2">
      <c r="A48" s="86" t="s">
        <v>167</v>
      </c>
      <c r="B48" s="107" t="str">
        <f>IFERROR(IF(INDEX('Match Log'!$E$1:$E$810,_xlfn.AGGREGATE(14,6,ROW('Match Log'!$A$4:$A$810)/('Match Log'!$D$4:$D$810=$A48),10))="Win","W","L"),"")</f>
        <v>W</v>
      </c>
      <c r="C48" s="107" t="str">
        <f>IFERROR(IF(INDEX('Match Log'!$E$1:$E$810,_xlfn.AGGREGATE(14,6,ROW('Match Log'!$A$4:$A$810)/('Match Log'!$D$4:$D$810=$A48),9))="Win","W","L"),"")</f>
        <v>W</v>
      </c>
      <c r="D48" s="107" t="str">
        <f>IFERROR(IF(INDEX('Match Log'!$E$1:$E$810,_xlfn.AGGREGATE(14,6,ROW('Match Log'!$A$4:$A$810)/('Match Log'!$D$4:$D$810=$A48),8))="Win","W","L"),"")</f>
        <v>L</v>
      </c>
      <c r="E48" s="107" t="str">
        <f>IFERROR(IF(INDEX('Match Log'!$E$1:$E$810,_xlfn.AGGREGATE(14,6,ROW('Match Log'!$A$4:$A$810)/('Match Log'!$D$4:$D$810=$A48),7))="Win","W","L"),"")</f>
        <v>W</v>
      </c>
      <c r="F48" s="107" t="str">
        <f>IFERROR(IF(INDEX('Match Log'!$E$1:$E$810,_xlfn.AGGREGATE(14,6,ROW('Match Log'!$A$4:$A$810)/('Match Log'!$D$4:$D$810=$A48),6))="Win","W","L"),"")</f>
        <v>W</v>
      </c>
      <c r="G48" s="107" t="str">
        <f>IFERROR(IF(INDEX('Match Log'!$E$1:$E$810,_xlfn.AGGREGATE(14,6,ROW('Match Log'!$A$4:$A$810)/('Match Log'!$D$4:$D$810=$A48),5))="Win","W","L"),"")</f>
        <v>L</v>
      </c>
      <c r="H48" s="107" t="str">
        <f>IFERROR(IF(INDEX('Match Log'!$E$1:$E$810,_xlfn.AGGREGATE(14,6,ROW('Match Log'!$A$4:$A$810)/('Match Log'!$D$4:$D$810=$A48),4))="Win","W","L"),"")</f>
        <v>L</v>
      </c>
      <c r="I48" s="107" t="str">
        <f>IFERROR(IF(INDEX('Match Log'!$E$1:$E$810,_xlfn.AGGREGATE(14,6,ROW('Match Log'!$A$4:$A$810)/('Match Log'!$D$4:$D$810=$A48),3))="Win","W","L"),"")</f>
        <v>L</v>
      </c>
      <c r="J48" s="107" t="str">
        <f>IFERROR(IF(INDEX('Match Log'!$E$1:$E$810,_xlfn.AGGREGATE(14,6,ROW('Match Log'!$A$4:$A$810)/('Match Log'!$D$4:$D$810=$A48),2))="Win","W","L"),"")</f>
        <v>W</v>
      </c>
      <c r="K48" s="107" t="str">
        <f>IFERROR(IF(INDEX('Match Log'!$E$1:$E$810,_xlfn.AGGREGATE(14,6,ROW('Match Log'!$A$4:$A$810)/('Match Log'!$D$4:$D$810=$A48),1))="Win","W","L"),"")</f>
        <v>W</v>
      </c>
      <c r="L48" s="26"/>
      <c r="M48" s="26"/>
      <c r="N48" s="26"/>
      <c r="O48" s="26"/>
      <c r="P48" s="26"/>
      <c r="Q48" s="26"/>
      <c r="R48" s="26"/>
      <c r="S48" s="26"/>
      <c r="T48" s="26"/>
      <c r="U48" s="26"/>
    </row>
    <row r="49" spans="1:21" x14ac:dyDescent="0.2">
      <c r="A49" s="86" t="s">
        <v>175</v>
      </c>
      <c r="B49" s="107" t="str">
        <f>IFERROR(IF(INDEX('Match Log'!$E$1:$E$810,_xlfn.AGGREGATE(14,6,ROW('Match Log'!$A$4:$A$810)/('Match Log'!$D$4:$D$810=$A49),10))="Win","W","L"),"")</f>
        <v>L</v>
      </c>
      <c r="C49" s="107" t="str">
        <f>IFERROR(IF(INDEX('Match Log'!$E$1:$E$810,_xlfn.AGGREGATE(14,6,ROW('Match Log'!$A$4:$A$810)/('Match Log'!$D$4:$D$810=$A49),9))="Win","W","L"),"")</f>
        <v>L</v>
      </c>
      <c r="D49" s="107" t="str">
        <f>IFERROR(IF(INDEX('Match Log'!$E$1:$E$810,_xlfn.AGGREGATE(14,6,ROW('Match Log'!$A$4:$A$810)/('Match Log'!$D$4:$D$810=$A49),8))="Win","W","L"),"")</f>
        <v>L</v>
      </c>
      <c r="E49" s="107" t="str">
        <f>IFERROR(IF(INDEX('Match Log'!$E$1:$E$810,_xlfn.AGGREGATE(14,6,ROW('Match Log'!$A$4:$A$810)/('Match Log'!$D$4:$D$810=$A49),7))="Win","W","L"),"")</f>
        <v>L</v>
      </c>
      <c r="F49" s="107" t="str">
        <f>IFERROR(IF(INDEX('Match Log'!$E$1:$E$810,_xlfn.AGGREGATE(14,6,ROW('Match Log'!$A$4:$A$810)/('Match Log'!$D$4:$D$810=$A49),6))="Win","W","L"),"")</f>
        <v>W</v>
      </c>
      <c r="G49" s="107" t="str">
        <f>IFERROR(IF(INDEX('Match Log'!$E$1:$E$810,_xlfn.AGGREGATE(14,6,ROW('Match Log'!$A$4:$A$810)/('Match Log'!$D$4:$D$810=$A49),5))="Win","W","L"),"")</f>
        <v>W</v>
      </c>
      <c r="H49" s="107" t="str">
        <f>IFERROR(IF(INDEX('Match Log'!$E$1:$E$810,_xlfn.AGGREGATE(14,6,ROW('Match Log'!$A$4:$A$810)/('Match Log'!$D$4:$D$810=$A49),4))="Win","W","L"),"")</f>
        <v>L</v>
      </c>
      <c r="I49" s="107" t="str">
        <f>IFERROR(IF(INDEX('Match Log'!$E$1:$E$810,_xlfn.AGGREGATE(14,6,ROW('Match Log'!$A$4:$A$810)/('Match Log'!$D$4:$D$810=$A49),3))="Win","W","L"),"")</f>
        <v>L</v>
      </c>
      <c r="J49" s="107" t="str">
        <f>IFERROR(IF(INDEX('Match Log'!$E$1:$E$810,_xlfn.AGGREGATE(14,6,ROW('Match Log'!$A$4:$A$810)/('Match Log'!$D$4:$D$810=$A49),2))="Win","W","L"),"")</f>
        <v>L</v>
      </c>
      <c r="K49" s="107" t="str">
        <f>IFERROR(IF(INDEX('Match Log'!$E$1:$E$810,_xlfn.AGGREGATE(14,6,ROW('Match Log'!$A$4:$A$810)/('Match Log'!$D$4:$D$810=$A49),1))="Win","W","L"),"")</f>
        <v>L</v>
      </c>
      <c r="L49" s="26"/>
      <c r="M49" s="26"/>
      <c r="N49" s="26"/>
      <c r="O49" s="26"/>
      <c r="P49" s="26"/>
      <c r="Q49" s="26"/>
      <c r="R49" s="26"/>
      <c r="S49" s="26"/>
      <c r="T49" s="26"/>
      <c r="U49" s="26"/>
    </row>
    <row r="50" spans="1:21" x14ac:dyDescent="0.2">
      <c r="A50" s="86" t="s">
        <v>169</v>
      </c>
      <c r="B50" s="107" t="str">
        <f>IFERROR(IF(INDEX('Match Log'!$E$1:$E$810,_xlfn.AGGREGATE(14,6,ROW('Match Log'!$A$4:$A$810)/('Match Log'!$D$4:$D$810=$A50),10))="Win","W","L"),"")</f>
        <v>L</v>
      </c>
      <c r="C50" s="107" t="str">
        <f>IFERROR(IF(INDEX('Match Log'!$E$1:$E$810,_xlfn.AGGREGATE(14,6,ROW('Match Log'!$A$4:$A$810)/('Match Log'!$D$4:$D$810=$A50),9))="Win","W","L"),"")</f>
        <v>W</v>
      </c>
      <c r="D50" s="107" t="str">
        <f>IFERROR(IF(INDEX('Match Log'!$E$1:$E$810,_xlfn.AGGREGATE(14,6,ROW('Match Log'!$A$4:$A$810)/('Match Log'!$D$4:$D$810=$A50),8))="Win","W","L"),"")</f>
        <v>W</v>
      </c>
      <c r="E50" s="107" t="str">
        <f>IFERROR(IF(INDEX('Match Log'!$E$1:$E$810,_xlfn.AGGREGATE(14,6,ROW('Match Log'!$A$4:$A$810)/('Match Log'!$D$4:$D$810=$A50),7))="Win","W","L"),"")</f>
        <v>W</v>
      </c>
      <c r="F50" s="107" t="str">
        <f>IFERROR(IF(INDEX('Match Log'!$E$1:$E$810,_xlfn.AGGREGATE(14,6,ROW('Match Log'!$A$4:$A$810)/('Match Log'!$D$4:$D$810=$A50),6))="Win","W","L"),"")</f>
        <v>W</v>
      </c>
      <c r="G50" s="107" t="str">
        <f>IFERROR(IF(INDEX('Match Log'!$E$1:$E$810,_xlfn.AGGREGATE(14,6,ROW('Match Log'!$A$4:$A$810)/('Match Log'!$D$4:$D$810=$A50),5))="Win","W","L"),"")</f>
        <v>L</v>
      </c>
      <c r="H50" s="107" t="str">
        <f>IFERROR(IF(INDEX('Match Log'!$E$1:$E$810,_xlfn.AGGREGATE(14,6,ROW('Match Log'!$A$4:$A$810)/('Match Log'!$D$4:$D$810=$A50),4))="Win","W","L"),"")</f>
        <v>L</v>
      </c>
      <c r="I50" s="107" t="str">
        <f>IFERROR(IF(INDEX('Match Log'!$E$1:$E$810,_xlfn.AGGREGATE(14,6,ROW('Match Log'!$A$4:$A$810)/('Match Log'!$D$4:$D$810=$A50),3))="Win","W","L"),"")</f>
        <v>L</v>
      </c>
      <c r="J50" s="107" t="str">
        <f>IFERROR(IF(INDEX('Match Log'!$E$1:$E$810,_xlfn.AGGREGATE(14,6,ROW('Match Log'!$A$4:$A$810)/('Match Log'!$D$4:$D$810=$A50),2))="Win","W","L"),"")</f>
        <v>W</v>
      </c>
      <c r="K50" s="107" t="str">
        <f>IFERROR(IF(INDEX('Match Log'!$E$1:$E$810,_xlfn.AGGREGATE(14,6,ROW('Match Log'!$A$4:$A$810)/('Match Log'!$D$4:$D$810=$A50),1))="Win","W","L"),"")</f>
        <v>L</v>
      </c>
      <c r="L50" s="26"/>
      <c r="M50" s="26"/>
      <c r="N50" s="26"/>
      <c r="O50" s="26"/>
      <c r="P50" s="26"/>
      <c r="Q50" s="26"/>
      <c r="R50" s="26"/>
      <c r="S50" s="26"/>
      <c r="T50" s="26"/>
      <c r="U50" s="26"/>
    </row>
    <row r="51" spans="1:21" x14ac:dyDescent="0.2">
      <c r="A51" s="86" t="s">
        <v>171</v>
      </c>
      <c r="B51" s="107" t="str">
        <f>IFERROR(IF(INDEX('Match Log'!$E$1:$E$810,_xlfn.AGGREGATE(14,6,ROW('Match Log'!$A$4:$A$810)/('Match Log'!$D$4:$D$810=$A51),10))="Win","W","L"),"")</f>
        <v/>
      </c>
      <c r="C51" s="107" t="str">
        <f>IFERROR(IF(INDEX('Match Log'!$E$1:$E$810,_xlfn.AGGREGATE(14,6,ROW('Match Log'!$A$4:$A$810)/('Match Log'!$D$4:$D$810=$A51),9))="Win","W","L"),"")</f>
        <v/>
      </c>
      <c r="D51" s="107" t="str">
        <f>IFERROR(IF(INDEX('Match Log'!$E$1:$E$810,_xlfn.AGGREGATE(14,6,ROW('Match Log'!$A$4:$A$810)/('Match Log'!$D$4:$D$810=$A51),8))="Win","W","L"),"")</f>
        <v/>
      </c>
      <c r="E51" s="107" t="str">
        <f>IFERROR(IF(INDEX('Match Log'!$E$1:$E$810,_xlfn.AGGREGATE(14,6,ROW('Match Log'!$A$4:$A$810)/('Match Log'!$D$4:$D$810=$A51),7))="Win","W","L"),"")</f>
        <v/>
      </c>
      <c r="F51" s="107" t="str">
        <f>IFERROR(IF(INDEX('Match Log'!$E$1:$E$810,_xlfn.AGGREGATE(14,6,ROW('Match Log'!$A$4:$A$810)/('Match Log'!$D$4:$D$810=$A51),6))="Win","W","L"),"")</f>
        <v/>
      </c>
      <c r="G51" s="107" t="str">
        <f>IFERROR(IF(INDEX('Match Log'!$E$1:$E$810,_xlfn.AGGREGATE(14,6,ROW('Match Log'!$A$4:$A$810)/('Match Log'!$D$4:$D$810=$A51),5))="Win","W","L"),"")</f>
        <v>L</v>
      </c>
      <c r="H51" s="107" t="str">
        <f>IFERROR(IF(INDEX('Match Log'!$E$1:$E$810,_xlfn.AGGREGATE(14,6,ROW('Match Log'!$A$4:$A$810)/('Match Log'!$D$4:$D$810=$A51),4))="Win","W","L"),"")</f>
        <v>L</v>
      </c>
      <c r="I51" s="107" t="str">
        <f>IFERROR(IF(INDEX('Match Log'!$E$1:$E$810,_xlfn.AGGREGATE(14,6,ROW('Match Log'!$A$4:$A$810)/('Match Log'!$D$4:$D$810=$A51),3))="Win","W","L"),"")</f>
        <v>L</v>
      </c>
      <c r="J51" s="107" t="str">
        <f>IFERROR(IF(INDEX('Match Log'!$E$1:$E$810,_xlfn.AGGREGATE(14,6,ROW('Match Log'!$A$4:$A$810)/('Match Log'!$D$4:$D$810=$A51),2))="Win","W","L"),"")</f>
        <v>W</v>
      </c>
      <c r="K51" s="107" t="str">
        <f>IFERROR(IF(INDEX('Match Log'!$E$1:$E$810,_xlfn.AGGREGATE(14,6,ROW('Match Log'!$A$4:$A$810)/('Match Log'!$D$4:$D$810=$A51),1))="Win","W","L"),"")</f>
        <v>W</v>
      </c>
      <c r="L51" s="26"/>
      <c r="M51" s="26"/>
      <c r="N51" s="26"/>
      <c r="O51" s="26"/>
      <c r="P51" s="26"/>
      <c r="Q51" s="26"/>
      <c r="R51" s="26"/>
      <c r="S51" s="26"/>
      <c r="T51" s="26"/>
      <c r="U51" s="26"/>
    </row>
    <row r="52" spans="1:21" x14ac:dyDescent="0.2">
      <c r="A52" s="86" t="s">
        <v>172</v>
      </c>
      <c r="B52" s="107" t="str">
        <f>IFERROR(IF(INDEX('Match Log'!$E$1:$E$810,_xlfn.AGGREGATE(14,6,ROW('Match Log'!$A$4:$A$810)/('Match Log'!$D$4:$D$810=$A52),10))="Win","W","L"),"")</f>
        <v/>
      </c>
      <c r="C52" s="107" t="str">
        <f>IFERROR(IF(INDEX('Match Log'!$E$1:$E$810,_xlfn.AGGREGATE(14,6,ROW('Match Log'!$A$4:$A$810)/('Match Log'!$D$4:$D$810=$A52),9))="Win","W","L"),"")</f>
        <v/>
      </c>
      <c r="D52" s="107" t="str">
        <f>IFERROR(IF(INDEX('Match Log'!$E$1:$E$810,_xlfn.AGGREGATE(14,6,ROW('Match Log'!$A$4:$A$810)/('Match Log'!$D$4:$D$810=$A52),8))="Win","W","L"),"")</f>
        <v/>
      </c>
      <c r="E52" s="107" t="str">
        <f>IFERROR(IF(INDEX('Match Log'!$E$1:$E$810,_xlfn.AGGREGATE(14,6,ROW('Match Log'!$A$4:$A$810)/('Match Log'!$D$4:$D$810=$A52),7))="Win","W","L"),"")</f>
        <v/>
      </c>
      <c r="F52" s="107" t="str">
        <f>IFERROR(IF(INDEX('Match Log'!$E$1:$E$810,_xlfn.AGGREGATE(14,6,ROW('Match Log'!$A$4:$A$810)/('Match Log'!$D$4:$D$810=$A52),6))="Win","W","L"),"")</f>
        <v/>
      </c>
      <c r="G52" s="107" t="str">
        <f>IFERROR(IF(INDEX('Match Log'!$E$1:$E$810,_xlfn.AGGREGATE(14,6,ROW('Match Log'!$A$4:$A$810)/('Match Log'!$D$4:$D$810=$A52),5))="Win","W","L"),"")</f>
        <v/>
      </c>
      <c r="H52" s="107" t="str">
        <f>IFERROR(IF(INDEX('Match Log'!$E$1:$E$810,_xlfn.AGGREGATE(14,6,ROW('Match Log'!$A$4:$A$810)/('Match Log'!$D$4:$D$810=$A52),4))="Win","W","L"),"")</f>
        <v>W</v>
      </c>
      <c r="I52" s="107" t="str">
        <f>IFERROR(IF(INDEX('Match Log'!$E$1:$E$810,_xlfn.AGGREGATE(14,6,ROW('Match Log'!$A$4:$A$810)/('Match Log'!$D$4:$D$810=$A52),3))="Win","W","L"),"")</f>
        <v>L</v>
      </c>
      <c r="J52" s="107" t="str">
        <f>IFERROR(IF(INDEX('Match Log'!$E$1:$E$810,_xlfn.AGGREGATE(14,6,ROW('Match Log'!$A$4:$A$810)/('Match Log'!$D$4:$D$810=$A52),2))="Win","W","L"),"")</f>
        <v>W</v>
      </c>
      <c r="K52" s="107" t="str">
        <f>IFERROR(IF(INDEX('Match Log'!$E$1:$E$810,_xlfn.AGGREGATE(14,6,ROW('Match Log'!$A$4:$A$810)/('Match Log'!$D$4:$D$810=$A52),1))="Win","W","L"),"")</f>
        <v>L</v>
      </c>
      <c r="L52" s="26"/>
      <c r="M52" s="26"/>
      <c r="N52" s="26"/>
      <c r="O52" s="26"/>
      <c r="P52" s="26"/>
      <c r="Q52" s="26"/>
      <c r="R52" s="26"/>
      <c r="S52" s="26"/>
      <c r="T52" s="26"/>
      <c r="U52" s="26"/>
    </row>
    <row r="53" spans="1:21" x14ac:dyDescent="0.2">
      <c r="A53" s="86" t="s">
        <v>174</v>
      </c>
      <c r="B53" s="107" t="str">
        <f>IFERROR(IF(INDEX('Match Log'!$E$1:$E$810,_xlfn.AGGREGATE(14,6,ROW('Match Log'!$A$4:$A$810)/('Match Log'!$D$4:$D$810=$A53),10))="Win","W","L"),"")</f>
        <v/>
      </c>
      <c r="C53" s="107" t="str">
        <f>IFERROR(IF(INDEX('Match Log'!$E$1:$E$810,_xlfn.AGGREGATE(14,6,ROW('Match Log'!$A$4:$A$810)/('Match Log'!$D$4:$D$810=$A53),9))="Win","W","L"),"")</f>
        <v/>
      </c>
      <c r="D53" s="107" t="str">
        <f>IFERROR(IF(INDEX('Match Log'!$E$1:$E$810,_xlfn.AGGREGATE(14,6,ROW('Match Log'!$A$4:$A$810)/('Match Log'!$D$4:$D$810=$A53),8))="Win","W","L"),"")</f>
        <v/>
      </c>
      <c r="E53" s="107" t="str">
        <f>IFERROR(IF(INDEX('Match Log'!$E$1:$E$810,_xlfn.AGGREGATE(14,6,ROW('Match Log'!$A$4:$A$810)/('Match Log'!$D$4:$D$810=$A53),7))="Win","W","L"),"")</f>
        <v/>
      </c>
      <c r="F53" s="107" t="str">
        <f>IFERROR(IF(INDEX('Match Log'!$E$1:$E$810,_xlfn.AGGREGATE(14,6,ROW('Match Log'!$A$4:$A$810)/('Match Log'!$D$4:$D$810=$A53),6))="Win","W","L"),"")</f>
        <v/>
      </c>
      <c r="G53" s="107" t="str">
        <f>IFERROR(IF(INDEX('Match Log'!$E$1:$E$810,_xlfn.AGGREGATE(14,6,ROW('Match Log'!$A$4:$A$810)/('Match Log'!$D$4:$D$810=$A53),5))="Win","W","L"),"")</f>
        <v/>
      </c>
      <c r="H53" s="107" t="str">
        <f>IFERROR(IF(INDEX('Match Log'!$E$1:$E$810,_xlfn.AGGREGATE(14,6,ROW('Match Log'!$A$4:$A$810)/('Match Log'!$D$4:$D$810=$A53),4))="Win","W","L"),"")</f>
        <v/>
      </c>
      <c r="I53" s="107" t="str">
        <f>IFERROR(IF(INDEX('Match Log'!$E$1:$E$810,_xlfn.AGGREGATE(14,6,ROW('Match Log'!$A$4:$A$810)/('Match Log'!$D$4:$D$810=$A53),3))="Win","W","L"),"")</f>
        <v/>
      </c>
      <c r="J53" s="107" t="str">
        <f>IFERROR(IF(INDEX('Match Log'!$E$1:$E$810,_xlfn.AGGREGATE(14,6,ROW('Match Log'!$A$4:$A$810)/('Match Log'!$D$4:$D$810=$A53),2))="Win","W","L"),"")</f>
        <v/>
      </c>
      <c r="K53" s="107" t="str">
        <f>IFERROR(IF(INDEX('Match Log'!$E$1:$E$810,_xlfn.AGGREGATE(14,6,ROW('Match Log'!$A$4:$A$810)/('Match Log'!$D$4:$D$810=$A53),1))="Win","W","L"),"")</f>
        <v/>
      </c>
      <c r="L53" s="26"/>
      <c r="M53" s="26"/>
      <c r="N53" s="26"/>
      <c r="O53" s="26"/>
      <c r="P53" s="26"/>
      <c r="Q53" s="26"/>
      <c r="R53" s="26"/>
      <c r="S53" s="26"/>
      <c r="T53" s="26"/>
      <c r="U53" s="26"/>
    </row>
    <row r="54" spans="1:21" x14ac:dyDescent="0.2">
      <c r="A54" s="26"/>
      <c r="B54" s="26"/>
      <c r="C54" s="26"/>
      <c r="D54" s="26"/>
      <c r="E54" s="26"/>
      <c r="F54" s="26"/>
      <c r="G54" s="26"/>
      <c r="H54" s="26"/>
      <c r="I54" s="26"/>
      <c r="J54" s="26"/>
      <c r="K54" s="26"/>
      <c r="L54" s="26"/>
      <c r="M54" s="26"/>
      <c r="N54" s="26"/>
      <c r="O54" s="26"/>
      <c r="P54" s="26"/>
      <c r="Q54" s="26"/>
      <c r="R54" s="26"/>
      <c r="S54" s="26"/>
      <c r="T54" s="26"/>
      <c r="U54" s="26"/>
    </row>
    <row r="55" spans="1:21" ht="15.75" customHeight="1" x14ac:dyDescent="0.2">
      <c r="A55" s="12" t="s">
        <v>282</v>
      </c>
      <c r="B55" s="26"/>
      <c r="C55" s="26"/>
      <c r="D55" s="26"/>
      <c r="E55" s="26"/>
      <c r="F55" s="26"/>
      <c r="G55" s="26"/>
      <c r="H55" s="26"/>
      <c r="I55" s="26"/>
      <c r="J55" s="26"/>
      <c r="K55" s="26"/>
      <c r="L55" s="26"/>
      <c r="M55" s="26"/>
      <c r="N55" s="26"/>
      <c r="O55" s="26"/>
      <c r="P55" s="26"/>
      <c r="Q55" s="26"/>
      <c r="R55" s="26"/>
      <c r="S55" s="26"/>
      <c r="T55" s="26"/>
      <c r="U55" s="26"/>
    </row>
    <row r="56" spans="1:21" x14ac:dyDescent="0.2">
      <c r="A56" s="106" t="s">
        <v>283</v>
      </c>
      <c r="B56" s="26"/>
      <c r="C56" s="26"/>
      <c r="D56" s="26"/>
      <c r="E56" s="26"/>
      <c r="F56" s="26"/>
      <c r="G56" s="26"/>
      <c r="H56" s="26"/>
      <c r="I56" s="26"/>
      <c r="J56" s="26"/>
      <c r="K56" s="26"/>
      <c r="L56" s="26"/>
      <c r="M56" s="26"/>
      <c r="N56" s="26"/>
      <c r="O56" s="26"/>
      <c r="P56" s="26"/>
      <c r="Q56" s="26"/>
      <c r="R56" s="26"/>
      <c r="S56" s="26"/>
      <c r="T56" s="26"/>
      <c r="U56" s="26"/>
    </row>
    <row r="57" spans="1:21" ht="69" customHeight="1" x14ac:dyDescent="0.2">
      <c r="A57" s="108" t="s">
        <v>156</v>
      </c>
      <c r="B57" s="109" t="s">
        <v>181</v>
      </c>
      <c r="C57" s="109" t="s">
        <v>182</v>
      </c>
      <c r="D57" s="109" t="s">
        <v>183</v>
      </c>
      <c r="E57" s="109" t="s">
        <v>184</v>
      </c>
      <c r="F57" s="109" t="s">
        <v>185</v>
      </c>
      <c r="G57" s="109" t="s">
        <v>186</v>
      </c>
      <c r="H57" s="109" t="s">
        <v>188</v>
      </c>
      <c r="I57" s="109" t="s">
        <v>190</v>
      </c>
      <c r="J57" s="109" t="s">
        <v>192</v>
      </c>
      <c r="K57" s="109" t="s">
        <v>193</v>
      </c>
      <c r="L57" s="109" t="s">
        <v>194</v>
      </c>
      <c r="M57" s="109" t="s">
        <v>195</v>
      </c>
      <c r="N57" s="109" t="s">
        <v>197</v>
      </c>
      <c r="O57" s="109" t="s">
        <v>199</v>
      </c>
      <c r="P57" s="109" t="s">
        <v>201</v>
      </c>
      <c r="Q57" s="109" t="s">
        <v>203</v>
      </c>
      <c r="R57" s="109" t="s">
        <v>204</v>
      </c>
      <c r="S57" s="109" t="s">
        <v>206</v>
      </c>
      <c r="T57" s="109" t="s">
        <v>208</v>
      </c>
      <c r="U57" s="26" t="s">
        <v>407</v>
      </c>
    </row>
    <row r="58" spans="1:21" x14ac:dyDescent="0.2">
      <c r="A58" s="86" t="s">
        <v>138</v>
      </c>
      <c r="B58" s="110" t="str">
        <f>IFERROR(INDEX('Sport Records'!$B$52:$O$71,MATCH($B$57,'Sport Records'!$A$52:$A$71,0),MATCH($A58,'Sport Records'!$B$51:$O$51,0)),"")</f>
        <v/>
      </c>
      <c r="C58" s="110" t="str">
        <f>IFERROR(INDEX('Sport Records'!$B$52:$O$71,MATCH($C$57,'Sport Records'!$A$52:$A$71,0),MATCH($A58,'Sport Records'!$B$51:$O$51,0)),"")</f>
        <v/>
      </c>
      <c r="D58" s="110">
        <f>IFERROR(INDEX('Sport Records'!$B$52:$O$71,MATCH($D$57,'Sport Records'!$A$52:$A$71,0),MATCH($A58,'Sport Records'!$B$51:$O$51,0)),"")</f>
        <v>0.75</v>
      </c>
      <c r="E58" s="110" t="str">
        <f>IFERROR(INDEX('Sport Records'!$B$52:$O$71,MATCH($E$57,'Sport Records'!$A$52:$A$71,0),MATCH($A58,'Sport Records'!$B$51:$O$51,0)),"")</f>
        <v/>
      </c>
      <c r="F58" s="110" t="str">
        <f>IFERROR(INDEX('Sport Records'!$B$52:$O$71,MATCH($F$57,'Sport Records'!$A$52:$A$71,0),MATCH($A58,'Sport Records'!$B$51:$O$51,0)),"")</f>
        <v/>
      </c>
      <c r="G58" s="110">
        <f>IFERROR(INDEX('Sport Records'!$B$52:$O$71,MATCH($G$57,'Sport Records'!$A$52:$A$71,0),MATCH($A58,'Sport Records'!$B$51:$O$51,0)),"")</f>
        <v>1</v>
      </c>
      <c r="H58" s="110" t="str">
        <f>IFERROR(INDEX('Sport Records'!$B$52:$O$71,MATCH($H$57,'Sport Records'!$A$52:$A$71,0),MATCH($A58,'Sport Records'!$B$51:$O$51,0)),"")</f>
        <v/>
      </c>
      <c r="I58" s="110" t="str">
        <f>IFERROR(INDEX('Sport Records'!$B$52:$O$71,MATCH($I$57,'Sport Records'!$A$52:$A$71,0),MATCH($A58,'Sport Records'!$B$51:$O$51,0)),"")</f>
        <v/>
      </c>
      <c r="J58" s="110" t="str">
        <f>IFERROR(INDEX('Sport Records'!$B$52:$O$71,MATCH($J$57,'Sport Records'!$A$52:$A$71,0),MATCH($A58,'Sport Records'!$B$51:$O$51,0)),"")</f>
        <v/>
      </c>
      <c r="K58" s="110" t="str">
        <f>IFERROR(INDEX('Sport Records'!$B$52:$O$71,MATCH($K$57,'Sport Records'!$A$52:$A$71,0),MATCH($A58,'Sport Records'!$B$51:$O$51,0)),"")</f>
        <v/>
      </c>
      <c r="L58" s="110" t="str">
        <f>IFERROR(INDEX('Sport Records'!$B$52:$O$71,MATCH($L$57,'Sport Records'!$A$52:$A$71,0),MATCH($A58,'Sport Records'!$B$51:$O$51,0)),"")</f>
        <v/>
      </c>
      <c r="M58" s="110">
        <f>IFERROR(INDEX('Sport Records'!$B$52:$O$71,MATCH($M$57,'Sport Records'!$A$52:$A$71,0),MATCH($A58,'Sport Records'!$B$51:$O$51,0)),"")</f>
        <v>0.5</v>
      </c>
      <c r="N58" s="110">
        <f>IFERROR(INDEX('Sport Records'!$B$52:$O$71,MATCH($N$57,'Sport Records'!$A$52:$A$71,0),MATCH($A58,'Sport Records'!$B$51:$O$51,0)),"")</f>
        <v>0.66666666666666663</v>
      </c>
      <c r="O58" s="110">
        <f>IFERROR(INDEX('Sport Records'!$B$52:$O$71,MATCH($O$57,'Sport Records'!$A$52:$A$71,0),MATCH($A58,'Sport Records'!$B$51:$O$51,0)),"")</f>
        <v>1</v>
      </c>
      <c r="P58" s="110" t="str">
        <f>IFERROR(INDEX('Sport Records'!$B$52:$O$71,MATCH($P$57,'Sport Records'!$A$52:$A$71,0),MATCH($A58,'Sport Records'!$B$51:$O$51,0)),"")</f>
        <v/>
      </c>
      <c r="Q58" s="110">
        <f>IFERROR(INDEX('Sport Records'!$B$52:$O$71,MATCH($Q$57,'Sport Records'!$A$52:$A$71,0),MATCH($A58,'Sport Records'!$B$51:$O$51,0)),"")</f>
        <v>0.5</v>
      </c>
      <c r="R58" s="110" t="str">
        <f>IFERROR(INDEX('Sport Records'!$B$52:$O$71,MATCH($R$57,'Sport Records'!$A$52:$A$71,0),MATCH($A58,'Sport Records'!$B$51:$O$51,0)),"")</f>
        <v/>
      </c>
      <c r="S58" s="110">
        <f>IFERROR(INDEX('Sport Records'!$B$52:$O$71,MATCH($S$57,'Sport Records'!$A$52:$A$71,0),MATCH($A58,'Sport Records'!$B$51:$O$51,0)),"")</f>
        <v>0.2857142857142857</v>
      </c>
      <c r="T58" s="110">
        <f>IFERROR(INDEX('Sport Records'!$B$52:$O$71,MATCH($T$57,'Sport Records'!$A$52:$A$71,0),MATCH($A58,'Sport Records'!$B$51:$O$51,0)),"")</f>
        <v>0.2857142857142857</v>
      </c>
      <c r="U58" s="26" t="str">
        <f>IFERROR(INDEX('Sport Records'!$B$52:$O$71,MATCH($U$57,'Sport Records'!$A$52:$A$71,0),MATCH($A58,'Sport Records'!$B$51:$O$51,0)),"")</f>
        <v/>
      </c>
    </row>
    <row r="59" spans="1:21" x14ac:dyDescent="0.2">
      <c r="A59" s="86" t="s">
        <v>135</v>
      </c>
      <c r="B59" s="110" t="str">
        <f>IFERROR(INDEX('Sport Records'!$B$52:$O$71,MATCH($B$57,'Sport Records'!$A$52:$A$71,0),MATCH($A59,'Sport Records'!$B$51:$O$51,0)),"")</f>
        <v/>
      </c>
      <c r="C59" s="110" t="str">
        <f>IFERROR(INDEX('Sport Records'!$B$52:$O$71,MATCH($C$57,'Sport Records'!$A$52:$A$71,0),MATCH($A59,'Sport Records'!$B$51:$O$51,0)),"")</f>
        <v/>
      </c>
      <c r="D59" s="110" t="str">
        <f>IFERROR(INDEX('Sport Records'!$B$52:$O$71,MATCH($D$57,'Sport Records'!$A$52:$A$71,0),MATCH($A59,'Sport Records'!$B$51:$O$51,0)),"")</f>
        <v/>
      </c>
      <c r="E59" s="110" t="str">
        <f>IFERROR(INDEX('Sport Records'!$B$52:$O$71,MATCH($E$57,'Sport Records'!$A$52:$A$71,0),MATCH($A59,'Sport Records'!$B$51:$O$51,0)),"")</f>
        <v/>
      </c>
      <c r="F59" s="110">
        <f>IFERROR(INDEX('Sport Records'!$B$52:$O$71,MATCH($F$57,'Sport Records'!$A$52:$A$71,0),MATCH($A59,'Sport Records'!$B$51:$O$51,0)),"")</f>
        <v>0</v>
      </c>
      <c r="G59" s="110" t="str">
        <f>IFERROR(INDEX('Sport Records'!$B$52:$O$71,MATCH($G$57,'Sport Records'!$A$52:$A$71,0),MATCH($A59,'Sport Records'!$B$51:$O$51,0)),"")</f>
        <v/>
      </c>
      <c r="H59" s="110" t="str">
        <f>IFERROR(INDEX('Sport Records'!$B$52:$O$71,MATCH($H$57,'Sport Records'!$A$52:$A$71,0),MATCH($A59,'Sport Records'!$B$51:$O$51,0)),"")</f>
        <v/>
      </c>
      <c r="I59" s="110" t="str">
        <f>IFERROR(INDEX('Sport Records'!$B$52:$O$71,MATCH($I$57,'Sport Records'!$A$52:$A$71,0),MATCH($A59,'Sport Records'!$B$51:$O$51,0)),"")</f>
        <v/>
      </c>
      <c r="J59" s="110" t="str">
        <f>IFERROR(INDEX('Sport Records'!$B$52:$O$71,MATCH($J$57,'Sport Records'!$A$52:$A$71,0),MATCH($A59,'Sport Records'!$B$51:$O$51,0)),"")</f>
        <v/>
      </c>
      <c r="K59" s="110" t="str">
        <f>IFERROR(INDEX('Sport Records'!$B$52:$O$71,MATCH($K$57,'Sport Records'!$A$52:$A$71,0),MATCH($A59,'Sport Records'!$B$51:$O$51,0)),"")</f>
        <v/>
      </c>
      <c r="L59" s="110" t="str">
        <f>IFERROR(INDEX('Sport Records'!$B$52:$O$71,MATCH($L$57,'Sport Records'!$A$52:$A$71,0),MATCH($A59,'Sport Records'!$B$51:$O$51,0)),"")</f>
        <v/>
      </c>
      <c r="M59" s="110">
        <f>IFERROR(INDEX('Sport Records'!$B$52:$O$71,MATCH($M$57,'Sport Records'!$A$52:$A$71,0),MATCH($A59,'Sport Records'!$B$51:$O$51,0)),"")</f>
        <v>0</v>
      </c>
      <c r="N59" s="110" t="str">
        <f>IFERROR(INDEX('Sport Records'!$B$52:$O$71,MATCH($N$57,'Sport Records'!$A$52:$A$71,0),MATCH($A59,'Sport Records'!$B$51:$O$51,0)),"")</f>
        <v/>
      </c>
      <c r="O59" s="110" t="str">
        <f>IFERROR(INDEX('Sport Records'!$B$52:$O$71,MATCH($O$57,'Sport Records'!$A$52:$A$71,0),MATCH($A59,'Sport Records'!$B$51:$O$51,0)),"")</f>
        <v/>
      </c>
      <c r="P59" s="110" t="str">
        <f>IFERROR(INDEX('Sport Records'!$B$52:$O$71,MATCH($P$57,'Sport Records'!$A$52:$A$71,0),MATCH($A59,'Sport Records'!$B$51:$O$51,0)),"")</f>
        <v/>
      </c>
      <c r="Q59" s="110" t="str">
        <f>IFERROR(INDEX('Sport Records'!$B$52:$O$71,MATCH($Q$57,'Sport Records'!$A$52:$A$71,0),MATCH($A59,'Sport Records'!$B$51:$O$51,0)),"")</f>
        <v/>
      </c>
      <c r="R59" s="110" t="str">
        <f>IFERROR(INDEX('Sport Records'!$B$52:$O$71,MATCH($R$57,'Sport Records'!$A$52:$A$71,0),MATCH($A59,'Sport Records'!$B$51:$O$51,0)),"")</f>
        <v/>
      </c>
      <c r="S59" s="110">
        <f>IFERROR(INDEX('Sport Records'!$B$52:$O$71,MATCH($S$57,'Sport Records'!$A$52:$A$71,0),MATCH($A59,'Sport Records'!$B$51:$O$51,0)),"")</f>
        <v>0.625</v>
      </c>
      <c r="T59" s="110" t="str">
        <f>IFERROR(INDEX('Sport Records'!$B$52:$O$71,MATCH($T$57,'Sport Records'!$A$52:$A$71,0),MATCH($A59,'Sport Records'!$B$51:$O$51,0)),"")</f>
        <v/>
      </c>
      <c r="U59" s="26" t="str">
        <f>IFERROR(INDEX('Sport Records'!$B$52:$O$71,MATCH($U$57,'Sport Records'!$A$52:$A$71,0),MATCH($A59,'Sport Records'!$B$51:$O$51,0)),"")</f>
        <v/>
      </c>
    </row>
    <row r="60" spans="1:21" x14ac:dyDescent="0.2">
      <c r="A60" s="86" t="s">
        <v>173</v>
      </c>
      <c r="B60" s="110" t="str">
        <f>IFERROR(INDEX('Sport Records'!$B$52:$O$71,MATCH($B$57,'Sport Records'!$A$52:$A$71,0),MATCH($A60,'Sport Records'!$B$51:$O$51,0)),"")</f>
        <v/>
      </c>
      <c r="C60" s="110" t="str">
        <f>IFERROR(INDEX('Sport Records'!$B$52:$O$71,MATCH($C$57,'Sport Records'!$A$52:$A$71,0),MATCH($A60,'Sport Records'!$B$51:$O$51,0)),"")</f>
        <v/>
      </c>
      <c r="D60" s="110">
        <f>IFERROR(INDEX('Sport Records'!$B$52:$O$71,MATCH($D$57,'Sport Records'!$A$52:$A$71,0),MATCH($A60,'Sport Records'!$B$51:$O$51,0)),"")</f>
        <v>0</v>
      </c>
      <c r="E60" s="110" t="str">
        <f>IFERROR(INDEX('Sport Records'!$B$52:$O$71,MATCH($E$57,'Sport Records'!$A$52:$A$71,0),MATCH($A60,'Sport Records'!$B$51:$O$51,0)),"")</f>
        <v/>
      </c>
      <c r="F60" s="110" t="str">
        <f>IFERROR(INDEX('Sport Records'!$B$52:$O$71,MATCH($F$57,'Sport Records'!$A$52:$A$71,0),MATCH($A60,'Sport Records'!$B$51:$O$51,0)),"")</f>
        <v/>
      </c>
      <c r="G60" s="110">
        <f>IFERROR(INDEX('Sport Records'!$B$52:$O$71,MATCH($G$57,'Sport Records'!$A$52:$A$71,0),MATCH($A60,'Sport Records'!$B$51:$O$51,0)),"")</f>
        <v>0</v>
      </c>
      <c r="H60" s="110" t="str">
        <f>IFERROR(INDEX('Sport Records'!$B$52:$O$71,MATCH($H$57,'Sport Records'!$A$52:$A$71,0),MATCH($A60,'Sport Records'!$B$51:$O$51,0)),"")</f>
        <v/>
      </c>
      <c r="I60" s="110" t="str">
        <f>IFERROR(INDEX('Sport Records'!$B$52:$O$71,MATCH($I$57,'Sport Records'!$A$52:$A$71,0),MATCH($A60,'Sport Records'!$B$51:$O$51,0)),"")</f>
        <v/>
      </c>
      <c r="J60" s="110" t="str">
        <f>IFERROR(INDEX('Sport Records'!$B$52:$O$71,MATCH($J$57,'Sport Records'!$A$52:$A$71,0),MATCH($A60,'Sport Records'!$B$51:$O$51,0)),"")</f>
        <v/>
      </c>
      <c r="K60" s="110" t="str">
        <f>IFERROR(INDEX('Sport Records'!$B$52:$O$71,MATCH($K$57,'Sport Records'!$A$52:$A$71,0),MATCH($A60,'Sport Records'!$B$51:$O$51,0)),"")</f>
        <v/>
      </c>
      <c r="L60" s="110" t="str">
        <f>IFERROR(INDEX('Sport Records'!$B$52:$O$71,MATCH($L$57,'Sport Records'!$A$52:$A$71,0),MATCH($A60,'Sport Records'!$B$51:$O$51,0)),"")</f>
        <v/>
      </c>
      <c r="M60" s="110" t="str">
        <f>IFERROR(INDEX('Sport Records'!$B$52:$O$71,MATCH($M$57,'Sport Records'!$A$52:$A$71,0),MATCH($A60,'Sport Records'!$B$51:$O$51,0)),"")</f>
        <v/>
      </c>
      <c r="N60" s="110" t="str">
        <f>IFERROR(INDEX('Sport Records'!$B$52:$O$71,MATCH($N$57,'Sport Records'!$A$52:$A$71,0),MATCH($A60,'Sport Records'!$B$51:$O$51,0)),"")</f>
        <v/>
      </c>
      <c r="O60" s="110">
        <f>IFERROR(INDEX('Sport Records'!$B$52:$O$71,MATCH($O$57,'Sport Records'!$A$52:$A$71,0),MATCH($A60,'Sport Records'!$B$51:$O$51,0)),"")</f>
        <v>1</v>
      </c>
      <c r="P60" s="110" t="str">
        <f>IFERROR(INDEX('Sport Records'!$B$52:$O$71,MATCH($P$57,'Sport Records'!$A$52:$A$71,0),MATCH($A60,'Sport Records'!$B$51:$O$51,0)),"")</f>
        <v/>
      </c>
      <c r="Q60" s="110">
        <f>IFERROR(INDEX('Sport Records'!$B$52:$O$71,MATCH($Q$57,'Sport Records'!$A$52:$A$71,0),MATCH($A60,'Sport Records'!$B$51:$O$51,0)),"")</f>
        <v>0</v>
      </c>
      <c r="R60" s="110">
        <f>IFERROR(INDEX('Sport Records'!$B$52:$O$71,MATCH($R$57,'Sport Records'!$A$52:$A$71,0),MATCH($A60,'Sport Records'!$B$51:$O$51,0)),"")</f>
        <v>0</v>
      </c>
      <c r="S60" s="110">
        <f>IFERROR(INDEX('Sport Records'!$B$52:$O$71,MATCH($S$57,'Sport Records'!$A$52:$A$71,0),MATCH($A60,'Sport Records'!$B$51:$O$51,0)),"")</f>
        <v>1</v>
      </c>
      <c r="T60" s="110" t="str">
        <f>IFERROR(INDEX('Sport Records'!$B$52:$O$71,MATCH($T$57,'Sport Records'!$A$52:$A$71,0),MATCH($A60,'Sport Records'!$B$51:$O$51,0)),"")</f>
        <v/>
      </c>
      <c r="U60" s="26" t="str">
        <f>IFERROR(INDEX('Sport Records'!$B$52:$O$71,MATCH($U$57,'Sport Records'!$A$52:$A$71,0),MATCH($A60,'Sport Records'!$B$51:$O$51,0)),"")</f>
        <v/>
      </c>
    </row>
    <row r="61" spans="1:21" x14ac:dyDescent="0.2">
      <c r="A61" s="86" t="s">
        <v>140</v>
      </c>
      <c r="B61" s="110" t="str">
        <f>IFERROR(INDEX('Sport Records'!$B$52:$O$71,MATCH($B$57,'Sport Records'!$A$52:$A$71,0),MATCH($A61,'Sport Records'!$B$51:$O$51,0)),"")</f>
        <v/>
      </c>
      <c r="C61" s="110" t="str">
        <f>IFERROR(INDEX('Sport Records'!$B$52:$O$71,MATCH($C$57,'Sport Records'!$A$52:$A$71,0),MATCH($A61,'Sport Records'!$B$51:$O$51,0)),"")</f>
        <v/>
      </c>
      <c r="D61" s="110" t="str">
        <f>IFERROR(INDEX('Sport Records'!$B$52:$O$71,MATCH($D$57,'Sport Records'!$A$52:$A$71,0),MATCH($A61,'Sport Records'!$B$51:$O$51,0)),"")</f>
        <v/>
      </c>
      <c r="E61" s="110" t="str">
        <f>IFERROR(INDEX('Sport Records'!$B$52:$O$71,MATCH($E$57,'Sport Records'!$A$52:$A$71,0),MATCH($A61,'Sport Records'!$B$51:$O$51,0)),"")</f>
        <v/>
      </c>
      <c r="F61" s="110" t="str">
        <f>IFERROR(INDEX('Sport Records'!$B$52:$O$71,MATCH($F$57,'Sport Records'!$A$52:$A$71,0),MATCH($A61,'Sport Records'!$B$51:$O$51,0)),"")</f>
        <v/>
      </c>
      <c r="G61" s="110">
        <f>IFERROR(INDEX('Sport Records'!$B$52:$O$71,MATCH($G$57,'Sport Records'!$A$52:$A$71,0),MATCH($A61,'Sport Records'!$B$51:$O$51,0)),"")</f>
        <v>0</v>
      </c>
      <c r="H61" s="110" t="str">
        <f>IFERROR(INDEX('Sport Records'!$B$52:$O$71,MATCH($H$57,'Sport Records'!$A$52:$A$71,0),MATCH($A61,'Sport Records'!$B$51:$O$51,0)),"")</f>
        <v/>
      </c>
      <c r="I61" s="110" t="str">
        <f>IFERROR(INDEX('Sport Records'!$B$52:$O$71,MATCH($I$57,'Sport Records'!$A$52:$A$71,0),MATCH($A61,'Sport Records'!$B$51:$O$51,0)),"")</f>
        <v/>
      </c>
      <c r="J61" s="110" t="str">
        <f>IFERROR(INDEX('Sport Records'!$B$52:$O$71,MATCH($J$57,'Sport Records'!$A$52:$A$71,0),MATCH($A61,'Sport Records'!$B$51:$O$51,0)),"")</f>
        <v/>
      </c>
      <c r="K61" s="110" t="str">
        <f>IFERROR(INDEX('Sport Records'!$B$52:$O$71,MATCH($K$57,'Sport Records'!$A$52:$A$71,0),MATCH($A61,'Sport Records'!$B$51:$O$51,0)),"")</f>
        <v/>
      </c>
      <c r="L61" s="110" t="str">
        <f>IFERROR(INDEX('Sport Records'!$B$52:$O$71,MATCH($L$57,'Sport Records'!$A$52:$A$71,0),MATCH($A61,'Sport Records'!$B$51:$O$51,0)),"")</f>
        <v/>
      </c>
      <c r="M61" s="110">
        <f>IFERROR(INDEX('Sport Records'!$B$52:$O$71,MATCH($M$57,'Sport Records'!$A$52:$A$71,0),MATCH($A61,'Sport Records'!$B$51:$O$51,0)),"")</f>
        <v>0.16666666666666666</v>
      </c>
      <c r="N61" s="110" t="str">
        <f>IFERROR(INDEX('Sport Records'!$B$52:$O$71,MATCH($N$57,'Sport Records'!$A$52:$A$71,0),MATCH($A61,'Sport Records'!$B$51:$O$51,0)),"")</f>
        <v/>
      </c>
      <c r="O61" s="110" t="str">
        <f>IFERROR(INDEX('Sport Records'!$B$52:$O$71,MATCH($O$57,'Sport Records'!$A$52:$A$71,0),MATCH($A61,'Sport Records'!$B$51:$O$51,0)),"")</f>
        <v/>
      </c>
      <c r="P61" s="110" t="str">
        <f>IFERROR(INDEX('Sport Records'!$B$52:$O$71,MATCH($P$57,'Sport Records'!$A$52:$A$71,0),MATCH($A61,'Sport Records'!$B$51:$O$51,0)),"")</f>
        <v/>
      </c>
      <c r="Q61" s="110" t="str">
        <f>IFERROR(INDEX('Sport Records'!$B$52:$O$71,MATCH($Q$57,'Sport Records'!$A$52:$A$71,0),MATCH($A61,'Sport Records'!$B$51:$O$51,0)),"")</f>
        <v/>
      </c>
      <c r="R61" s="110" t="str">
        <f>IFERROR(INDEX('Sport Records'!$B$52:$O$71,MATCH($R$57,'Sport Records'!$A$52:$A$71,0),MATCH($A61,'Sport Records'!$B$51:$O$51,0)),"")</f>
        <v/>
      </c>
      <c r="S61" s="110">
        <f>IFERROR(INDEX('Sport Records'!$B$52:$O$71,MATCH($S$57,'Sport Records'!$A$52:$A$71,0),MATCH($A61,'Sport Records'!$B$51:$O$51,0)),"")</f>
        <v>0.42857142857142855</v>
      </c>
      <c r="T61" s="110" t="str">
        <f>IFERROR(INDEX('Sport Records'!$B$52:$O$71,MATCH($T$57,'Sport Records'!$A$52:$A$71,0),MATCH($A61,'Sport Records'!$B$51:$O$51,0)),"")</f>
        <v/>
      </c>
      <c r="U61" s="26" t="str">
        <f>IFERROR(INDEX('Sport Records'!$B$52:$O$71,MATCH($U$57,'Sport Records'!$A$52:$A$71,0),MATCH($A61,'Sport Records'!$B$51:$O$51,0)),"")</f>
        <v/>
      </c>
    </row>
    <row r="62" spans="1:21" x14ac:dyDescent="0.2">
      <c r="A62" s="86" t="s">
        <v>137</v>
      </c>
      <c r="B62" s="110" t="str">
        <f>IFERROR(INDEX('Sport Records'!$B$52:$O$71,MATCH($B$57,'Sport Records'!$A$52:$A$71,0),MATCH($A62,'Sport Records'!$B$51:$O$51,0)),"")</f>
        <v/>
      </c>
      <c r="C62" s="110" t="str">
        <f>IFERROR(INDEX('Sport Records'!$B$52:$O$71,MATCH($C$57,'Sport Records'!$A$52:$A$71,0),MATCH($A62,'Sport Records'!$B$51:$O$51,0)),"")</f>
        <v/>
      </c>
      <c r="D62" s="110">
        <f>IFERROR(INDEX('Sport Records'!$B$52:$O$71,MATCH($D$57,'Sport Records'!$A$52:$A$71,0),MATCH($A62,'Sport Records'!$B$51:$O$51,0)),"")</f>
        <v>0</v>
      </c>
      <c r="E62" s="110" t="str">
        <f>IFERROR(INDEX('Sport Records'!$B$52:$O$71,MATCH($E$57,'Sport Records'!$A$52:$A$71,0),MATCH($A62,'Sport Records'!$B$51:$O$51,0)),"")</f>
        <v/>
      </c>
      <c r="F62" s="110" t="str">
        <f>IFERROR(INDEX('Sport Records'!$B$52:$O$71,MATCH($F$57,'Sport Records'!$A$52:$A$71,0),MATCH($A62,'Sport Records'!$B$51:$O$51,0)),"")</f>
        <v/>
      </c>
      <c r="G62" s="110">
        <f>IFERROR(INDEX('Sport Records'!$B$52:$O$71,MATCH($G$57,'Sport Records'!$A$52:$A$71,0),MATCH($A62,'Sport Records'!$B$51:$O$51,0)),"")</f>
        <v>0</v>
      </c>
      <c r="H62" s="110" t="str">
        <f>IFERROR(INDEX('Sport Records'!$B$52:$O$71,MATCH($H$57,'Sport Records'!$A$52:$A$71,0),MATCH($A62,'Sport Records'!$B$51:$O$51,0)),"")</f>
        <v/>
      </c>
      <c r="I62" s="110" t="str">
        <f>IFERROR(INDEX('Sport Records'!$B$52:$O$71,MATCH($I$57,'Sport Records'!$A$52:$A$71,0),MATCH($A62,'Sport Records'!$B$51:$O$51,0)),"")</f>
        <v/>
      </c>
      <c r="J62" s="110">
        <f>IFERROR(INDEX('Sport Records'!$B$52:$O$71,MATCH($J$57,'Sport Records'!$A$52:$A$71,0),MATCH($A62,'Sport Records'!$B$51:$O$51,0)),"")</f>
        <v>1</v>
      </c>
      <c r="K62" s="110" t="str">
        <f>IFERROR(INDEX('Sport Records'!$B$52:$O$71,MATCH($K$57,'Sport Records'!$A$52:$A$71,0),MATCH($A62,'Sport Records'!$B$51:$O$51,0)),"")</f>
        <v/>
      </c>
      <c r="L62" s="110" t="str">
        <f>IFERROR(INDEX('Sport Records'!$B$52:$O$71,MATCH($L$57,'Sport Records'!$A$52:$A$71,0),MATCH($A62,'Sport Records'!$B$51:$O$51,0)),"")</f>
        <v/>
      </c>
      <c r="M62" s="110">
        <f>IFERROR(INDEX('Sport Records'!$B$52:$O$71,MATCH($M$57,'Sport Records'!$A$52:$A$71,0),MATCH($A62,'Sport Records'!$B$51:$O$51,0)),"")</f>
        <v>0.8666666666666667</v>
      </c>
      <c r="N62" s="110">
        <f>IFERROR(INDEX('Sport Records'!$B$52:$O$71,MATCH($N$57,'Sport Records'!$A$52:$A$71,0),MATCH($A62,'Sport Records'!$B$51:$O$51,0)),"")</f>
        <v>0</v>
      </c>
      <c r="O62" s="110" t="str">
        <f>IFERROR(INDEX('Sport Records'!$B$52:$O$71,MATCH($O$57,'Sport Records'!$A$52:$A$71,0),MATCH($A62,'Sport Records'!$B$51:$O$51,0)),"")</f>
        <v/>
      </c>
      <c r="P62" s="110" t="str">
        <f>IFERROR(INDEX('Sport Records'!$B$52:$O$71,MATCH($P$57,'Sport Records'!$A$52:$A$71,0),MATCH($A62,'Sport Records'!$B$51:$O$51,0)),"")</f>
        <v/>
      </c>
      <c r="Q62" s="110" t="str">
        <f>IFERROR(INDEX('Sport Records'!$B$52:$O$71,MATCH($Q$57,'Sport Records'!$A$52:$A$71,0),MATCH($A62,'Sport Records'!$B$51:$O$51,0)),"")</f>
        <v/>
      </c>
      <c r="R62" s="110">
        <f>IFERROR(INDEX('Sport Records'!$B$52:$O$71,MATCH($R$57,'Sport Records'!$A$52:$A$71,0),MATCH($A62,'Sport Records'!$B$51:$O$51,0)),"")</f>
        <v>1</v>
      </c>
      <c r="S62" s="110">
        <f>IFERROR(INDEX('Sport Records'!$B$52:$O$71,MATCH($S$57,'Sport Records'!$A$52:$A$71,0),MATCH($A62,'Sport Records'!$B$51:$O$51,0)),"")</f>
        <v>0.375</v>
      </c>
      <c r="T62" s="110">
        <f>IFERROR(INDEX('Sport Records'!$B$52:$O$71,MATCH($T$57,'Sport Records'!$A$52:$A$71,0),MATCH($A62,'Sport Records'!$B$51:$O$51,0)),"")</f>
        <v>0.5</v>
      </c>
      <c r="U62" s="26" t="str">
        <f>IFERROR(INDEX('Sport Records'!$B$52:$O$71,MATCH($U$57,'Sport Records'!$A$52:$A$71,0),MATCH($A62,'Sport Records'!$B$51:$O$51,0)),"")</f>
        <v/>
      </c>
    </row>
    <row r="63" spans="1:21" x14ac:dyDescent="0.2">
      <c r="A63" s="86" t="s">
        <v>134</v>
      </c>
      <c r="B63" s="110">
        <f>IFERROR(INDEX('Sport Records'!$B$52:$O$71,MATCH($B$57,'Sport Records'!$A$52:$A$71,0),MATCH($A63,'Sport Records'!$B$51:$O$51,0)),"")</f>
        <v>1</v>
      </c>
      <c r="C63" s="110" t="str">
        <f>IFERROR(INDEX('Sport Records'!$B$52:$O$71,MATCH($C$57,'Sport Records'!$A$52:$A$71,0),MATCH($A63,'Sport Records'!$B$51:$O$51,0)),"")</f>
        <v/>
      </c>
      <c r="D63" s="110">
        <f>IFERROR(INDEX('Sport Records'!$B$52:$O$71,MATCH($D$57,'Sport Records'!$A$52:$A$71,0),MATCH($A63,'Sport Records'!$B$51:$O$51,0)),"")</f>
        <v>0.45</v>
      </c>
      <c r="E63" s="110" t="str">
        <f>IFERROR(INDEX('Sport Records'!$B$52:$O$71,MATCH($E$57,'Sport Records'!$A$52:$A$71,0),MATCH($A63,'Sport Records'!$B$51:$O$51,0)),"")</f>
        <v/>
      </c>
      <c r="F63" s="110" t="str">
        <f>IFERROR(INDEX('Sport Records'!$B$52:$O$71,MATCH($F$57,'Sport Records'!$A$52:$A$71,0),MATCH($A63,'Sport Records'!$B$51:$O$51,0)),"")</f>
        <v/>
      </c>
      <c r="G63" s="110">
        <f>IFERROR(INDEX('Sport Records'!$B$52:$O$71,MATCH($G$57,'Sport Records'!$A$52:$A$71,0),MATCH($A63,'Sport Records'!$B$51:$O$51,0)),"")</f>
        <v>0</v>
      </c>
      <c r="H63" s="110" t="str">
        <f>IFERROR(INDEX('Sport Records'!$B$52:$O$71,MATCH($H$57,'Sport Records'!$A$52:$A$71,0),MATCH($A63,'Sport Records'!$B$51:$O$51,0)),"")</f>
        <v/>
      </c>
      <c r="I63" s="110" t="str">
        <f>IFERROR(INDEX('Sport Records'!$B$52:$O$71,MATCH($I$57,'Sport Records'!$A$52:$A$71,0),MATCH($A63,'Sport Records'!$B$51:$O$51,0)),"")</f>
        <v/>
      </c>
      <c r="J63" s="110">
        <f>IFERROR(INDEX('Sport Records'!$B$52:$O$71,MATCH($J$57,'Sport Records'!$A$52:$A$71,0),MATCH($A63,'Sport Records'!$B$51:$O$51,0)),"")</f>
        <v>0</v>
      </c>
      <c r="K63" s="110" t="str">
        <f>IFERROR(INDEX('Sport Records'!$B$52:$O$71,MATCH($K$57,'Sport Records'!$A$52:$A$71,0),MATCH($A63,'Sport Records'!$B$51:$O$51,0)),"")</f>
        <v/>
      </c>
      <c r="L63" s="110" t="str">
        <f>IFERROR(INDEX('Sport Records'!$B$52:$O$71,MATCH($L$57,'Sport Records'!$A$52:$A$71,0),MATCH($A63,'Sport Records'!$B$51:$O$51,0)),"")</f>
        <v/>
      </c>
      <c r="M63" s="110">
        <f>IFERROR(INDEX('Sport Records'!$B$52:$O$71,MATCH($M$57,'Sport Records'!$A$52:$A$71,0),MATCH($A63,'Sport Records'!$B$51:$O$51,0)),"")</f>
        <v>1</v>
      </c>
      <c r="N63" s="110">
        <f>IFERROR(INDEX('Sport Records'!$B$52:$O$71,MATCH($N$57,'Sport Records'!$A$52:$A$71,0),MATCH($A63,'Sport Records'!$B$51:$O$51,0)),"")</f>
        <v>0.22222222222222221</v>
      </c>
      <c r="O63" s="110">
        <f>IFERROR(INDEX('Sport Records'!$B$52:$O$71,MATCH($O$57,'Sport Records'!$A$52:$A$71,0),MATCH($A63,'Sport Records'!$B$51:$O$51,0)),"")</f>
        <v>0</v>
      </c>
      <c r="P63" s="110" t="str">
        <f>IFERROR(INDEX('Sport Records'!$B$52:$O$71,MATCH($P$57,'Sport Records'!$A$52:$A$71,0),MATCH($A63,'Sport Records'!$B$51:$O$51,0)),"")</f>
        <v/>
      </c>
      <c r="Q63" s="110" t="str">
        <f>IFERROR(INDEX('Sport Records'!$B$52:$O$71,MATCH($Q$57,'Sport Records'!$A$52:$A$71,0),MATCH($A63,'Sport Records'!$B$51:$O$51,0)),"")</f>
        <v/>
      </c>
      <c r="R63" s="110" t="str">
        <f>IFERROR(INDEX('Sport Records'!$B$52:$O$71,MATCH($R$57,'Sport Records'!$A$52:$A$71,0),MATCH($A63,'Sport Records'!$B$51:$O$51,0)),"")</f>
        <v/>
      </c>
      <c r="S63" s="110">
        <f>IFERROR(INDEX('Sport Records'!$B$52:$O$71,MATCH($S$57,'Sport Records'!$A$52:$A$71,0),MATCH($A63,'Sport Records'!$B$51:$O$51,0)),"")</f>
        <v>0.44444444444444442</v>
      </c>
      <c r="T63" s="110">
        <f>IFERROR(INDEX('Sport Records'!$B$52:$O$71,MATCH($T$57,'Sport Records'!$A$52:$A$71,0),MATCH($A63,'Sport Records'!$B$51:$O$51,0)),"")</f>
        <v>0.7142857142857143</v>
      </c>
      <c r="U63" s="26" t="str">
        <f>IFERROR(INDEX('Sport Records'!$B$52:$O$71,MATCH($U$57,'Sport Records'!$A$52:$A$71,0),MATCH($A63,'Sport Records'!$B$51:$O$51,0)),"")</f>
        <v/>
      </c>
    </row>
    <row r="64" spans="1:21" x14ac:dyDescent="0.2">
      <c r="A64" s="86" t="s">
        <v>168</v>
      </c>
      <c r="B64" s="110" t="str">
        <f>IFERROR(INDEX('Sport Records'!$B$52:$O$71,MATCH($B$57,'Sport Records'!$A$52:$A$71,0),MATCH($A64,'Sport Records'!$B$51:$O$51,0)),"")</f>
        <v/>
      </c>
      <c r="C64" s="110" t="str">
        <f>IFERROR(INDEX('Sport Records'!$B$52:$O$71,MATCH($C$57,'Sport Records'!$A$52:$A$71,0),MATCH($A64,'Sport Records'!$B$51:$O$51,0)),"")</f>
        <v/>
      </c>
      <c r="D64" s="110" t="str">
        <f>IFERROR(INDEX('Sport Records'!$B$52:$O$71,MATCH($D$57,'Sport Records'!$A$52:$A$71,0),MATCH($A64,'Sport Records'!$B$51:$O$51,0)),"")</f>
        <v/>
      </c>
      <c r="E64" s="110" t="str">
        <f>IFERROR(INDEX('Sport Records'!$B$52:$O$71,MATCH($E$57,'Sport Records'!$A$52:$A$71,0),MATCH($A64,'Sport Records'!$B$51:$O$51,0)),"")</f>
        <v/>
      </c>
      <c r="F64" s="110">
        <f>IFERROR(INDEX('Sport Records'!$B$52:$O$71,MATCH($F$57,'Sport Records'!$A$52:$A$71,0),MATCH($A64,'Sport Records'!$B$51:$O$51,0)),"")</f>
        <v>1</v>
      </c>
      <c r="G64" s="110">
        <f>IFERROR(INDEX('Sport Records'!$B$52:$O$71,MATCH($G$57,'Sport Records'!$A$52:$A$71,0),MATCH($A64,'Sport Records'!$B$51:$O$51,0)),"")</f>
        <v>0</v>
      </c>
      <c r="H64" s="110" t="str">
        <f>IFERROR(INDEX('Sport Records'!$B$52:$O$71,MATCH($H$57,'Sport Records'!$A$52:$A$71,0),MATCH($A64,'Sport Records'!$B$51:$O$51,0)),"")</f>
        <v/>
      </c>
      <c r="I64" s="110" t="str">
        <f>IFERROR(INDEX('Sport Records'!$B$52:$O$71,MATCH($I$57,'Sport Records'!$A$52:$A$71,0),MATCH($A64,'Sport Records'!$B$51:$O$51,0)),"")</f>
        <v/>
      </c>
      <c r="J64" s="110" t="str">
        <f>IFERROR(INDEX('Sport Records'!$B$52:$O$71,MATCH($J$57,'Sport Records'!$A$52:$A$71,0),MATCH($A64,'Sport Records'!$B$51:$O$51,0)),"")</f>
        <v/>
      </c>
      <c r="K64" s="110" t="str">
        <f>IFERROR(INDEX('Sport Records'!$B$52:$O$71,MATCH($K$57,'Sport Records'!$A$52:$A$71,0),MATCH($A64,'Sport Records'!$B$51:$O$51,0)),"")</f>
        <v/>
      </c>
      <c r="L64" s="110" t="str">
        <f>IFERROR(INDEX('Sport Records'!$B$52:$O$71,MATCH($L$57,'Sport Records'!$A$52:$A$71,0),MATCH($A64,'Sport Records'!$B$51:$O$51,0)),"")</f>
        <v/>
      </c>
      <c r="M64" s="110">
        <f>IFERROR(INDEX('Sport Records'!$B$52:$O$71,MATCH($M$57,'Sport Records'!$A$52:$A$71,0),MATCH($A64,'Sport Records'!$B$51:$O$51,0)),"")</f>
        <v>0</v>
      </c>
      <c r="N64" s="110" t="str">
        <f>IFERROR(INDEX('Sport Records'!$B$52:$O$71,MATCH($N$57,'Sport Records'!$A$52:$A$71,0),MATCH($A64,'Sport Records'!$B$51:$O$51,0)),"")</f>
        <v/>
      </c>
      <c r="O64" s="110" t="str">
        <f>IFERROR(INDEX('Sport Records'!$B$52:$O$71,MATCH($O$57,'Sport Records'!$A$52:$A$71,0),MATCH($A64,'Sport Records'!$B$51:$O$51,0)),"")</f>
        <v/>
      </c>
      <c r="P64" s="110" t="str">
        <f>IFERROR(INDEX('Sport Records'!$B$52:$O$71,MATCH($P$57,'Sport Records'!$A$52:$A$71,0),MATCH($A64,'Sport Records'!$B$51:$O$51,0)),"")</f>
        <v/>
      </c>
      <c r="Q64" s="110" t="str">
        <f>IFERROR(INDEX('Sport Records'!$B$52:$O$71,MATCH($Q$57,'Sport Records'!$A$52:$A$71,0),MATCH($A64,'Sport Records'!$B$51:$O$51,0)),"")</f>
        <v/>
      </c>
      <c r="R64" s="110" t="str">
        <f>IFERROR(INDEX('Sport Records'!$B$52:$O$71,MATCH($R$57,'Sport Records'!$A$52:$A$71,0),MATCH($A64,'Sport Records'!$B$51:$O$51,0)),"")</f>
        <v/>
      </c>
      <c r="S64" s="110">
        <f>IFERROR(INDEX('Sport Records'!$B$52:$O$71,MATCH($S$57,'Sport Records'!$A$52:$A$71,0),MATCH($A64,'Sport Records'!$B$51:$O$51,0)),"")</f>
        <v>0.72727272727272729</v>
      </c>
      <c r="T64" s="110" t="str">
        <f>IFERROR(INDEX('Sport Records'!$B$52:$O$71,MATCH($T$57,'Sport Records'!$A$52:$A$71,0),MATCH($A64,'Sport Records'!$B$51:$O$51,0)),"")</f>
        <v/>
      </c>
      <c r="U64" s="26" t="str">
        <f>IFERROR(INDEX('Sport Records'!$B$52:$O$71,MATCH($U$57,'Sport Records'!$A$52:$A$71,0),MATCH($A64,'Sport Records'!$B$51:$O$51,0)),"")</f>
        <v/>
      </c>
    </row>
    <row r="65" spans="1:21" ht="15.75" customHeight="1" x14ac:dyDescent="0.2">
      <c r="A65" s="86" t="s">
        <v>170</v>
      </c>
      <c r="B65" s="110">
        <f>IFERROR(INDEX('Sport Records'!$B$52:$O$71,MATCH($B$57,'Sport Records'!$A$52:$A$71,0),MATCH($A65,'Sport Records'!$B$51:$O$51,0)),"")</f>
        <v>0</v>
      </c>
      <c r="C65" s="110" t="str">
        <f>IFERROR(INDEX('Sport Records'!$B$52:$O$71,MATCH($C$57,'Sport Records'!$A$52:$A$71,0),MATCH($A65,'Sport Records'!$B$51:$O$51,0)),"")</f>
        <v/>
      </c>
      <c r="D65" s="110">
        <f>IFERROR(INDEX('Sport Records'!$B$52:$O$71,MATCH($D$57,'Sport Records'!$A$52:$A$71,0),MATCH($A65,'Sport Records'!$B$51:$O$51,0)),"")</f>
        <v>0.44444444444444442</v>
      </c>
      <c r="E65" s="110" t="str">
        <f>IFERROR(INDEX('Sport Records'!$B$52:$O$71,MATCH($E$57,'Sport Records'!$A$52:$A$71,0),MATCH($A65,'Sport Records'!$B$51:$O$51,0)),"")</f>
        <v/>
      </c>
      <c r="F65" s="110">
        <f>IFERROR(INDEX('Sport Records'!$B$52:$O$71,MATCH($F$57,'Sport Records'!$A$52:$A$71,0),MATCH($A65,'Sport Records'!$B$51:$O$51,0)),"")</f>
        <v>0.5</v>
      </c>
      <c r="G65" s="110">
        <f>IFERROR(INDEX('Sport Records'!$B$52:$O$71,MATCH($G$57,'Sport Records'!$A$52:$A$71,0),MATCH($A65,'Sport Records'!$B$51:$O$51,0)),"")</f>
        <v>0</v>
      </c>
      <c r="H65" s="110" t="str">
        <f>IFERROR(INDEX('Sport Records'!$B$52:$O$71,MATCH($H$57,'Sport Records'!$A$52:$A$71,0),MATCH($A65,'Sport Records'!$B$51:$O$51,0)),"")</f>
        <v/>
      </c>
      <c r="I65" s="110" t="str">
        <f>IFERROR(INDEX('Sport Records'!$B$52:$O$71,MATCH($I$57,'Sport Records'!$A$52:$A$71,0),MATCH($A65,'Sport Records'!$B$51:$O$51,0)),"")</f>
        <v/>
      </c>
      <c r="J65" s="110" t="str">
        <f>IFERROR(INDEX('Sport Records'!$B$52:$O$71,MATCH($J$57,'Sport Records'!$A$52:$A$71,0),MATCH($A65,'Sport Records'!$B$51:$O$51,0)),"")</f>
        <v/>
      </c>
      <c r="K65" s="110" t="str">
        <f>IFERROR(INDEX('Sport Records'!$B$52:$O$71,MATCH($K$57,'Sport Records'!$A$52:$A$71,0),MATCH($A65,'Sport Records'!$B$51:$O$51,0)),"")</f>
        <v/>
      </c>
      <c r="L65" s="110" t="str">
        <f>IFERROR(INDEX('Sport Records'!$B$52:$O$71,MATCH($L$57,'Sport Records'!$A$52:$A$71,0),MATCH($A65,'Sport Records'!$B$51:$O$51,0)),"")</f>
        <v/>
      </c>
      <c r="M65" s="110">
        <f>IFERROR(INDEX('Sport Records'!$B$52:$O$71,MATCH($M$57,'Sport Records'!$A$52:$A$71,0),MATCH($A65,'Sport Records'!$B$51:$O$51,0)),"")</f>
        <v>0.14285714285714285</v>
      </c>
      <c r="N65" s="110">
        <f>IFERROR(INDEX('Sport Records'!$B$52:$O$71,MATCH($N$57,'Sport Records'!$A$52:$A$71,0),MATCH($A65,'Sport Records'!$B$51:$O$51,0)),"")</f>
        <v>0.83333333333333337</v>
      </c>
      <c r="O65" s="110">
        <f>IFERROR(INDEX('Sport Records'!$B$52:$O$71,MATCH($O$57,'Sport Records'!$A$52:$A$71,0),MATCH($A65,'Sport Records'!$B$51:$O$51,0)),"")</f>
        <v>0.2857142857142857</v>
      </c>
      <c r="P65" s="110" t="str">
        <f>IFERROR(INDEX('Sport Records'!$B$52:$O$71,MATCH($P$57,'Sport Records'!$A$52:$A$71,0),MATCH($A65,'Sport Records'!$B$51:$O$51,0)),"")</f>
        <v/>
      </c>
      <c r="Q65" s="110">
        <f>IFERROR(INDEX('Sport Records'!$B$52:$O$71,MATCH($Q$57,'Sport Records'!$A$52:$A$71,0),MATCH($A65,'Sport Records'!$B$51:$O$51,0)),"")</f>
        <v>1</v>
      </c>
      <c r="R65" s="110">
        <f>IFERROR(INDEX('Sport Records'!$B$52:$O$71,MATCH($R$57,'Sport Records'!$A$52:$A$71,0),MATCH($A65,'Sport Records'!$B$51:$O$51,0)),"")</f>
        <v>0</v>
      </c>
      <c r="S65" s="110">
        <f>IFERROR(INDEX('Sport Records'!$B$52:$O$71,MATCH($S$57,'Sport Records'!$A$52:$A$71,0),MATCH($A65,'Sport Records'!$B$51:$O$51,0)),"")</f>
        <v>0.55555555555555558</v>
      </c>
      <c r="T65" s="110">
        <f>IFERROR(INDEX('Sport Records'!$B$52:$O$71,MATCH($T$57,'Sport Records'!$A$52:$A$71,0),MATCH($A65,'Sport Records'!$B$51:$O$51,0)),"")</f>
        <v>0.5</v>
      </c>
      <c r="U65" s="26" t="str">
        <f>IFERROR(INDEX('Sport Records'!$B$52:$O$71,MATCH($U$57,'Sport Records'!$A$52:$A$71,0),MATCH($A65,'Sport Records'!$B$51:$O$51,0)),"")</f>
        <v/>
      </c>
    </row>
    <row r="66" spans="1:21" x14ac:dyDescent="0.2">
      <c r="A66" s="86" t="s">
        <v>167</v>
      </c>
      <c r="B66" s="110" t="str">
        <f>IFERROR(INDEX('Sport Records'!$B$52:$O$71,MATCH($B$57,'Sport Records'!$A$52:$A$71,0),MATCH($A66,'Sport Records'!$B$51:$O$51,0)),"")</f>
        <v/>
      </c>
      <c r="C66" s="110" t="str">
        <f>IFERROR(INDEX('Sport Records'!$B$52:$O$71,MATCH($C$57,'Sport Records'!$A$52:$A$71,0),MATCH($A66,'Sport Records'!$B$51:$O$51,0)),"")</f>
        <v/>
      </c>
      <c r="D66" s="110" t="str">
        <f>IFERROR(INDEX('Sport Records'!$B$52:$O$71,MATCH($D$57,'Sport Records'!$A$52:$A$71,0),MATCH($A66,'Sport Records'!$B$51:$O$51,0)),"")</f>
        <v/>
      </c>
      <c r="E66" s="110" t="str">
        <f>IFERROR(INDEX('Sport Records'!$B$52:$O$71,MATCH($E$57,'Sport Records'!$A$52:$A$71,0),MATCH($A66,'Sport Records'!$B$51:$O$51,0)),"")</f>
        <v/>
      </c>
      <c r="F66" s="110">
        <f>IFERROR(INDEX('Sport Records'!$B$52:$O$71,MATCH($F$57,'Sport Records'!$A$52:$A$71,0),MATCH($A66,'Sport Records'!$B$51:$O$51,0)),"")</f>
        <v>0.5</v>
      </c>
      <c r="G66" s="110" t="str">
        <f>IFERROR(INDEX('Sport Records'!$B$52:$O$71,MATCH($G$57,'Sport Records'!$A$52:$A$71,0),MATCH($A66,'Sport Records'!$B$51:$O$51,0)),"")</f>
        <v/>
      </c>
      <c r="H66" s="110" t="str">
        <f>IFERROR(INDEX('Sport Records'!$B$52:$O$71,MATCH($H$57,'Sport Records'!$A$52:$A$71,0),MATCH($A66,'Sport Records'!$B$51:$O$51,0)),"")</f>
        <v/>
      </c>
      <c r="I66" s="110" t="str">
        <f>IFERROR(INDEX('Sport Records'!$B$52:$O$71,MATCH($I$57,'Sport Records'!$A$52:$A$71,0),MATCH($A66,'Sport Records'!$B$51:$O$51,0)),"")</f>
        <v/>
      </c>
      <c r="J66" s="110" t="str">
        <f>IFERROR(INDEX('Sport Records'!$B$52:$O$71,MATCH($J$57,'Sport Records'!$A$52:$A$71,0),MATCH($A66,'Sport Records'!$B$51:$O$51,0)),"")</f>
        <v/>
      </c>
      <c r="K66" s="110" t="str">
        <f>IFERROR(INDEX('Sport Records'!$B$52:$O$71,MATCH($K$57,'Sport Records'!$A$52:$A$71,0),MATCH($A66,'Sport Records'!$B$51:$O$51,0)),"")</f>
        <v/>
      </c>
      <c r="L66" s="110" t="str">
        <f>IFERROR(INDEX('Sport Records'!$B$52:$O$71,MATCH($L$57,'Sport Records'!$A$52:$A$71,0),MATCH($A66,'Sport Records'!$B$51:$O$51,0)),"")</f>
        <v/>
      </c>
      <c r="M66" s="110">
        <f>IFERROR(INDEX('Sport Records'!$B$52:$O$71,MATCH($M$57,'Sport Records'!$A$52:$A$71,0),MATCH($A66,'Sport Records'!$B$51:$O$51,0)),"")</f>
        <v>0.8</v>
      </c>
      <c r="N66" s="110" t="str">
        <f>IFERROR(INDEX('Sport Records'!$B$52:$O$71,MATCH($N$57,'Sport Records'!$A$52:$A$71,0),MATCH($A66,'Sport Records'!$B$51:$O$51,0)),"")</f>
        <v/>
      </c>
      <c r="O66" s="110" t="str">
        <f>IFERROR(INDEX('Sport Records'!$B$52:$O$71,MATCH($O$57,'Sport Records'!$A$52:$A$71,0),MATCH($A66,'Sport Records'!$B$51:$O$51,0)),"")</f>
        <v/>
      </c>
      <c r="P66" s="110" t="str">
        <f>IFERROR(INDEX('Sport Records'!$B$52:$O$71,MATCH($P$57,'Sport Records'!$A$52:$A$71,0),MATCH($A66,'Sport Records'!$B$51:$O$51,0)),"")</f>
        <v/>
      </c>
      <c r="Q66" s="110" t="str">
        <f>IFERROR(INDEX('Sport Records'!$B$52:$O$71,MATCH($Q$57,'Sport Records'!$A$52:$A$71,0),MATCH($A66,'Sport Records'!$B$51:$O$51,0)),"")</f>
        <v/>
      </c>
      <c r="R66" s="110" t="str">
        <f>IFERROR(INDEX('Sport Records'!$B$52:$O$71,MATCH($R$57,'Sport Records'!$A$52:$A$71,0),MATCH($A66,'Sport Records'!$B$51:$O$51,0)),"")</f>
        <v/>
      </c>
      <c r="S66" s="110">
        <f>IFERROR(INDEX('Sport Records'!$B$52:$O$71,MATCH($S$57,'Sport Records'!$A$52:$A$71,0),MATCH($A66,'Sport Records'!$B$51:$O$51,0)),"")</f>
        <v>0.7</v>
      </c>
      <c r="T66" s="110" t="str">
        <f>IFERROR(INDEX('Sport Records'!$B$52:$O$71,MATCH($T$57,'Sport Records'!$A$52:$A$71,0),MATCH($A66,'Sport Records'!$B$51:$O$51,0)),"")</f>
        <v/>
      </c>
      <c r="U66" s="26" t="str">
        <f>IFERROR(INDEX('Sport Records'!$B$52:$O$71,MATCH($U$57,'Sport Records'!$A$52:$A$71,0),MATCH($A66,'Sport Records'!$B$51:$O$51,0)),"")</f>
        <v/>
      </c>
    </row>
    <row r="67" spans="1:21" x14ac:dyDescent="0.2">
      <c r="A67" s="86" t="s">
        <v>175</v>
      </c>
      <c r="B67" s="110" t="str">
        <f>IFERROR(INDEX('Sport Records'!$B$52:$O$71,MATCH($B$57,'Sport Records'!$A$52:$A$71,0),MATCH($A67,'Sport Records'!$B$51:$O$51,0)),"")</f>
        <v/>
      </c>
      <c r="C67" s="110" t="str">
        <f>IFERROR(INDEX('Sport Records'!$B$52:$O$71,MATCH($C$57,'Sport Records'!$A$52:$A$71,0),MATCH($A67,'Sport Records'!$B$51:$O$51,0)),"")</f>
        <v/>
      </c>
      <c r="D67" s="110" t="str">
        <f>IFERROR(INDEX('Sport Records'!$B$52:$O$71,MATCH($D$57,'Sport Records'!$A$52:$A$71,0),MATCH($A67,'Sport Records'!$B$51:$O$51,0)),"")</f>
        <v/>
      </c>
      <c r="E67" s="110" t="str">
        <f>IFERROR(INDEX('Sport Records'!$B$52:$O$71,MATCH($E$57,'Sport Records'!$A$52:$A$71,0),MATCH($A67,'Sport Records'!$B$51:$O$51,0)),"")</f>
        <v/>
      </c>
      <c r="F67" s="110">
        <f>IFERROR(INDEX('Sport Records'!$B$52:$O$71,MATCH($F$57,'Sport Records'!$A$52:$A$71,0),MATCH($A67,'Sport Records'!$B$51:$O$51,0)),"")</f>
        <v>0</v>
      </c>
      <c r="G67" s="110" t="str">
        <f>IFERROR(INDEX('Sport Records'!$B$52:$O$71,MATCH($G$57,'Sport Records'!$A$52:$A$71,0),MATCH($A67,'Sport Records'!$B$51:$O$51,0)),"")</f>
        <v/>
      </c>
      <c r="H67" s="110" t="str">
        <f>IFERROR(INDEX('Sport Records'!$B$52:$O$71,MATCH($H$57,'Sport Records'!$A$52:$A$71,0),MATCH($A67,'Sport Records'!$B$51:$O$51,0)),"")</f>
        <v/>
      </c>
      <c r="I67" s="110" t="str">
        <f>IFERROR(INDEX('Sport Records'!$B$52:$O$71,MATCH($I$57,'Sport Records'!$A$52:$A$71,0),MATCH($A67,'Sport Records'!$B$51:$O$51,0)),"")</f>
        <v/>
      </c>
      <c r="J67" s="110" t="str">
        <f>IFERROR(INDEX('Sport Records'!$B$52:$O$71,MATCH($J$57,'Sport Records'!$A$52:$A$71,0),MATCH($A67,'Sport Records'!$B$51:$O$51,0)),"")</f>
        <v/>
      </c>
      <c r="K67" s="110" t="str">
        <f>IFERROR(INDEX('Sport Records'!$B$52:$O$71,MATCH($K$57,'Sport Records'!$A$52:$A$71,0),MATCH($A67,'Sport Records'!$B$51:$O$51,0)),"")</f>
        <v/>
      </c>
      <c r="L67" s="110" t="str">
        <f>IFERROR(INDEX('Sport Records'!$B$52:$O$71,MATCH($L$57,'Sport Records'!$A$52:$A$71,0),MATCH($A67,'Sport Records'!$B$51:$O$51,0)),"")</f>
        <v/>
      </c>
      <c r="M67" s="110">
        <f>IFERROR(INDEX('Sport Records'!$B$52:$O$71,MATCH($M$57,'Sport Records'!$A$52:$A$71,0),MATCH($A67,'Sport Records'!$B$51:$O$51,0)),"")</f>
        <v>0</v>
      </c>
      <c r="N67" s="110" t="str">
        <f>IFERROR(INDEX('Sport Records'!$B$52:$O$71,MATCH($N$57,'Sport Records'!$A$52:$A$71,0),MATCH($A67,'Sport Records'!$B$51:$O$51,0)),"")</f>
        <v/>
      </c>
      <c r="O67" s="110" t="str">
        <f>IFERROR(INDEX('Sport Records'!$B$52:$O$71,MATCH($O$57,'Sport Records'!$A$52:$A$71,0),MATCH($A67,'Sport Records'!$B$51:$O$51,0)),"")</f>
        <v/>
      </c>
      <c r="P67" s="110" t="str">
        <f>IFERROR(INDEX('Sport Records'!$B$52:$O$71,MATCH($P$57,'Sport Records'!$A$52:$A$71,0),MATCH($A67,'Sport Records'!$B$51:$O$51,0)),"")</f>
        <v/>
      </c>
      <c r="Q67" s="110" t="str">
        <f>IFERROR(INDEX('Sport Records'!$B$52:$O$71,MATCH($Q$57,'Sport Records'!$A$52:$A$71,0),MATCH($A67,'Sport Records'!$B$51:$O$51,0)),"")</f>
        <v/>
      </c>
      <c r="R67" s="110" t="str">
        <f>IFERROR(INDEX('Sport Records'!$B$52:$O$71,MATCH($R$57,'Sport Records'!$A$52:$A$71,0),MATCH($A67,'Sport Records'!$B$51:$O$51,0)),"")</f>
        <v/>
      </c>
      <c r="S67" s="110">
        <f>IFERROR(INDEX('Sport Records'!$B$52:$O$71,MATCH($S$57,'Sport Records'!$A$52:$A$71,0),MATCH($A67,'Sport Records'!$B$51:$O$51,0)),"")</f>
        <v>0.2857142857142857</v>
      </c>
      <c r="T67" s="110" t="str">
        <f>IFERROR(INDEX('Sport Records'!$B$52:$O$71,MATCH($T$57,'Sport Records'!$A$52:$A$71,0),MATCH($A67,'Sport Records'!$B$51:$O$51,0)),"")</f>
        <v/>
      </c>
      <c r="U67" s="26" t="str">
        <f>IFERROR(INDEX('Sport Records'!$B$52:$O$71,MATCH($U$57,'Sport Records'!$A$52:$A$71,0),MATCH($A67,'Sport Records'!$B$51:$O$51,0)),"")</f>
        <v/>
      </c>
    </row>
    <row r="68" spans="1:21" x14ac:dyDescent="0.2">
      <c r="A68" s="86" t="s">
        <v>169</v>
      </c>
      <c r="B68" s="110" t="str">
        <f>IFERROR(INDEX('Sport Records'!$B$52:$O$71,MATCH($B$57,'Sport Records'!$A$52:$A$71,0),MATCH($A68,'Sport Records'!$B$51:$O$51,0)),"")</f>
        <v/>
      </c>
      <c r="C68" s="110" t="str">
        <f>IFERROR(INDEX('Sport Records'!$B$52:$O$71,MATCH($C$57,'Sport Records'!$A$52:$A$71,0),MATCH($A68,'Sport Records'!$B$51:$O$51,0)),"")</f>
        <v/>
      </c>
      <c r="D68" s="110">
        <f>IFERROR(INDEX('Sport Records'!$B$52:$O$71,MATCH($D$57,'Sport Records'!$A$52:$A$71,0),MATCH($A68,'Sport Records'!$B$51:$O$51,0)),"")</f>
        <v>0.33333333333333331</v>
      </c>
      <c r="E68" s="110" t="str">
        <f>IFERROR(INDEX('Sport Records'!$B$52:$O$71,MATCH($E$57,'Sport Records'!$A$52:$A$71,0),MATCH($A68,'Sport Records'!$B$51:$O$51,0)),"")</f>
        <v/>
      </c>
      <c r="F68" s="110">
        <f>IFERROR(INDEX('Sport Records'!$B$52:$O$71,MATCH($F$57,'Sport Records'!$A$52:$A$71,0),MATCH($A68,'Sport Records'!$B$51:$O$51,0)),"")</f>
        <v>0.5</v>
      </c>
      <c r="G68" s="110">
        <f>IFERROR(INDEX('Sport Records'!$B$52:$O$71,MATCH($G$57,'Sport Records'!$A$52:$A$71,0),MATCH($A68,'Sport Records'!$B$51:$O$51,0)),"")</f>
        <v>0</v>
      </c>
      <c r="H68" s="110" t="str">
        <f>IFERROR(INDEX('Sport Records'!$B$52:$O$71,MATCH($H$57,'Sport Records'!$A$52:$A$71,0),MATCH($A68,'Sport Records'!$B$51:$O$51,0)),"")</f>
        <v/>
      </c>
      <c r="I68" s="110" t="str">
        <f>IFERROR(INDEX('Sport Records'!$B$52:$O$71,MATCH($I$57,'Sport Records'!$A$52:$A$71,0),MATCH($A68,'Sport Records'!$B$51:$O$51,0)),"")</f>
        <v/>
      </c>
      <c r="J68" s="110">
        <f>IFERROR(INDEX('Sport Records'!$B$52:$O$71,MATCH($J$57,'Sport Records'!$A$52:$A$71,0),MATCH($A68,'Sport Records'!$B$51:$O$51,0)),"")</f>
        <v>0</v>
      </c>
      <c r="K68" s="110" t="str">
        <f>IFERROR(INDEX('Sport Records'!$B$52:$O$71,MATCH($K$57,'Sport Records'!$A$52:$A$71,0),MATCH($A68,'Sport Records'!$B$51:$O$51,0)),"")</f>
        <v/>
      </c>
      <c r="L68" s="110" t="str">
        <f>IFERROR(INDEX('Sport Records'!$B$52:$O$71,MATCH($L$57,'Sport Records'!$A$52:$A$71,0),MATCH($A68,'Sport Records'!$B$51:$O$51,0)),"")</f>
        <v/>
      </c>
      <c r="M68" s="110">
        <f>IFERROR(INDEX('Sport Records'!$B$52:$O$71,MATCH($M$57,'Sport Records'!$A$52:$A$71,0),MATCH($A68,'Sport Records'!$B$51:$O$51,0)),"")</f>
        <v>0.46153846153846156</v>
      </c>
      <c r="N68" s="110">
        <f>IFERROR(INDEX('Sport Records'!$B$52:$O$71,MATCH($N$57,'Sport Records'!$A$52:$A$71,0),MATCH($A68,'Sport Records'!$B$51:$O$51,0)),"")</f>
        <v>0.33333333333333331</v>
      </c>
      <c r="O68" s="110">
        <f>IFERROR(INDEX('Sport Records'!$B$52:$O$71,MATCH($O$57,'Sport Records'!$A$52:$A$71,0),MATCH($A68,'Sport Records'!$B$51:$O$51,0)),"")</f>
        <v>0.7142857142857143</v>
      </c>
      <c r="P68" s="110" t="str">
        <f>IFERROR(INDEX('Sport Records'!$B$52:$O$71,MATCH($P$57,'Sport Records'!$A$52:$A$71,0),MATCH($A68,'Sport Records'!$B$51:$O$51,0)),"")</f>
        <v/>
      </c>
      <c r="Q68" s="110" t="str">
        <f>IFERROR(INDEX('Sport Records'!$B$52:$O$71,MATCH($Q$57,'Sport Records'!$A$52:$A$71,0),MATCH($A68,'Sport Records'!$B$51:$O$51,0)),"")</f>
        <v/>
      </c>
      <c r="R68" s="110" t="str">
        <f>IFERROR(INDEX('Sport Records'!$B$52:$O$71,MATCH($R$57,'Sport Records'!$A$52:$A$71,0),MATCH($A68,'Sport Records'!$B$51:$O$51,0)),"")</f>
        <v/>
      </c>
      <c r="S68" s="110">
        <f>IFERROR(INDEX('Sport Records'!$B$52:$O$71,MATCH($S$57,'Sport Records'!$A$52:$A$71,0),MATCH($A68,'Sport Records'!$B$51:$O$51,0)),"")</f>
        <v>0.41666666666666669</v>
      </c>
      <c r="T68" s="110" t="str">
        <f>IFERROR(INDEX('Sport Records'!$B$52:$O$71,MATCH($T$57,'Sport Records'!$A$52:$A$71,0),MATCH($A68,'Sport Records'!$B$51:$O$51,0)),"")</f>
        <v/>
      </c>
      <c r="U68" s="26" t="str">
        <f>IFERROR(INDEX('Sport Records'!$B$52:$O$71,MATCH($U$57,'Sport Records'!$A$52:$A$71,0),MATCH($A68,'Sport Records'!$B$51:$O$51,0)),"")</f>
        <v/>
      </c>
    </row>
    <row r="69" spans="1:21" x14ac:dyDescent="0.2">
      <c r="A69" s="86" t="s">
        <v>171</v>
      </c>
      <c r="B69" s="110" t="str">
        <f>IFERROR(INDEX('Sport Records'!$B$52:$O$71,MATCH($B$57,'Sport Records'!$A$52:$A$71,0),MATCH($A69,'Sport Records'!$B$51:$O$51,0)),"")</f>
        <v/>
      </c>
      <c r="C69" s="110" t="str">
        <f>IFERROR(INDEX('Sport Records'!$B$52:$O$71,MATCH($C$57,'Sport Records'!$A$52:$A$71,0),MATCH($A69,'Sport Records'!$B$51:$O$51,0)),"")</f>
        <v/>
      </c>
      <c r="D69" s="110" t="str">
        <f>IFERROR(INDEX('Sport Records'!$B$52:$O$71,MATCH($D$57,'Sport Records'!$A$52:$A$71,0),MATCH($A69,'Sport Records'!$B$51:$O$51,0)),"")</f>
        <v/>
      </c>
      <c r="E69" s="110" t="str">
        <f>IFERROR(INDEX('Sport Records'!$B$52:$O$71,MATCH($E$57,'Sport Records'!$A$52:$A$71,0),MATCH($A69,'Sport Records'!$B$51:$O$51,0)),"")</f>
        <v/>
      </c>
      <c r="F69" s="110" t="str">
        <f>IFERROR(INDEX('Sport Records'!$B$52:$O$71,MATCH($F$57,'Sport Records'!$A$52:$A$71,0),MATCH($A69,'Sport Records'!$B$51:$O$51,0)),"")</f>
        <v/>
      </c>
      <c r="G69" s="110" t="str">
        <f>IFERROR(INDEX('Sport Records'!$B$52:$O$71,MATCH($G$57,'Sport Records'!$A$52:$A$71,0),MATCH($A69,'Sport Records'!$B$51:$O$51,0)),"")</f>
        <v/>
      </c>
      <c r="H69" s="110" t="str">
        <f>IFERROR(INDEX('Sport Records'!$B$52:$O$71,MATCH($H$57,'Sport Records'!$A$52:$A$71,0),MATCH($A69,'Sport Records'!$B$51:$O$51,0)),"")</f>
        <v/>
      </c>
      <c r="I69" s="110" t="str">
        <f>IFERROR(INDEX('Sport Records'!$B$52:$O$71,MATCH($I$57,'Sport Records'!$A$52:$A$71,0),MATCH($A69,'Sport Records'!$B$51:$O$51,0)),"")</f>
        <v/>
      </c>
      <c r="J69" s="110" t="str">
        <f>IFERROR(INDEX('Sport Records'!$B$52:$O$71,MATCH($J$57,'Sport Records'!$A$52:$A$71,0),MATCH($A69,'Sport Records'!$B$51:$O$51,0)),"")</f>
        <v/>
      </c>
      <c r="K69" s="110" t="str">
        <f>IFERROR(INDEX('Sport Records'!$B$52:$O$71,MATCH($K$57,'Sport Records'!$A$52:$A$71,0),MATCH($A69,'Sport Records'!$B$51:$O$51,0)),"")</f>
        <v/>
      </c>
      <c r="L69" s="110" t="str">
        <f>IFERROR(INDEX('Sport Records'!$B$52:$O$71,MATCH($L$57,'Sport Records'!$A$52:$A$71,0),MATCH($A69,'Sport Records'!$B$51:$O$51,0)),"")</f>
        <v/>
      </c>
      <c r="M69" s="110" t="str">
        <f>IFERROR(INDEX('Sport Records'!$B$52:$O$71,MATCH($M$57,'Sport Records'!$A$52:$A$71,0),MATCH($A69,'Sport Records'!$B$51:$O$51,0)),"")</f>
        <v/>
      </c>
      <c r="N69" s="110" t="str">
        <f>IFERROR(INDEX('Sport Records'!$B$52:$O$71,MATCH($N$57,'Sport Records'!$A$52:$A$71,0),MATCH($A69,'Sport Records'!$B$51:$O$51,0)),"")</f>
        <v/>
      </c>
      <c r="O69" s="110" t="str">
        <f>IFERROR(INDEX('Sport Records'!$B$52:$O$71,MATCH($O$57,'Sport Records'!$A$52:$A$71,0),MATCH($A69,'Sport Records'!$B$51:$O$51,0)),"")</f>
        <v/>
      </c>
      <c r="P69" s="110" t="str">
        <f>IFERROR(INDEX('Sport Records'!$B$52:$O$71,MATCH($P$57,'Sport Records'!$A$52:$A$71,0),MATCH($A69,'Sport Records'!$B$51:$O$51,0)),"")</f>
        <v/>
      </c>
      <c r="Q69" s="110" t="str">
        <f>IFERROR(INDEX('Sport Records'!$B$52:$O$71,MATCH($Q$57,'Sport Records'!$A$52:$A$71,0),MATCH($A69,'Sport Records'!$B$51:$O$51,0)),"")</f>
        <v/>
      </c>
      <c r="R69" s="110" t="str">
        <f>IFERROR(INDEX('Sport Records'!$B$52:$O$71,MATCH($R$57,'Sport Records'!$A$52:$A$71,0),MATCH($A69,'Sport Records'!$B$51:$O$51,0)),"")</f>
        <v/>
      </c>
      <c r="S69" s="110">
        <f>IFERROR(INDEX('Sport Records'!$B$52:$O$71,MATCH($S$57,'Sport Records'!$A$52:$A$71,0),MATCH($A69,'Sport Records'!$B$51:$O$51,0)),"")</f>
        <v>0.4</v>
      </c>
      <c r="T69" s="110" t="str">
        <f>IFERROR(INDEX('Sport Records'!$B$52:$O$71,MATCH($T$57,'Sport Records'!$A$52:$A$71,0),MATCH($A69,'Sport Records'!$B$51:$O$51,0)),"")</f>
        <v/>
      </c>
      <c r="U69" s="26" t="str">
        <f>IFERROR(INDEX('Sport Records'!$B$52:$O$71,MATCH($U$57,'Sport Records'!$A$52:$A$71,0),MATCH($A69,'Sport Records'!$B$51:$O$51,0)),"")</f>
        <v/>
      </c>
    </row>
    <row r="70" spans="1:21" x14ac:dyDescent="0.2">
      <c r="A70" s="86" t="s">
        <v>172</v>
      </c>
      <c r="B70" s="110" t="str">
        <f>IFERROR(INDEX('Sport Records'!$B$52:$O$71,MATCH($B$57,'Sport Records'!$A$52:$A$71,0),MATCH($A70,'Sport Records'!$B$51:$O$51,0)),"")</f>
        <v/>
      </c>
      <c r="C70" s="110" t="str">
        <f>IFERROR(INDEX('Sport Records'!$B$52:$O$71,MATCH($C$57,'Sport Records'!$A$52:$A$71,0),MATCH($A70,'Sport Records'!$B$51:$O$51,0)),"")</f>
        <v/>
      </c>
      <c r="D70" s="110" t="str">
        <f>IFERROR(INDEX('Sport Records'!$B$52:$O$71,MATCH($D$57,'Sport Records'!$A$52:$A$71,0),MATCH($A70,'Sport Records'!$B$51:$O$51,0)),"")</f>
        <v/>
      </c>
      <c r="E70" s="110" t="str">
        <f>IFERROR(INDEX('Sport Records'!$B$52:$O$71,MATCH($E$57,'Sport Records'!$A$52:$A$71,0),MATCH($A70,'Sport Records'!$B$51:$O$51,0)),"")</f>
        <v/>
      </c>
      <c r="F70" s="110" t="str">
        <f>IFERROR(INDEX('Sport Records'!$B$52:$O$71,MATCH($F$57,'Sport Records'!$A$52:$A$71,0),MATCH($A70,'Sport Records'!$B$51:$O$51,0)),"")</f>
        <v/>
      </c>
      <c r="G70" s="110" t="str">
        <f>IFERROR(INDEX('Sport Records'!$B$52:$O$71,MATCH($G$57,'Sport Records'!$A$52:$A$71,0),MATCH($A70,'Sport Records'!$B$51:$O$51,0)),"")</f>
        <v/>
      </c>
      <c r="H70" s="110" t="str">
        <f>IFERROR(INDEX('Sport Records'!$B$52:$O$71,MATCH($H$57,'Sport Records'!$A$52:$A$71,0),MATCH($A70,'Sport Records'!$B$51:$O$51,0)),"")</f>
        <v/>
      </c>
      <c r="I70" s="110" t="str">
        <f>IFERROR(INDEX('Sport Records'!$B$52:$O$71,MATCH($I$57,'Sport Records'!$A$52:$A$71,0),MATCH($A70,'Sport Records'!$B$51:$O$51,0)),"")</f>
        <v/>
      </c>
      <c r="J70" s="110" t="str">
        <f>IFERROR(INDEX('Sport Records'!$B$52:$O$71,MATCH($J$57,'Sport Records'!$A$52:$A$71,0),MATCH($A70,'Sport Records'!$B$51:$O$51,0)),"")</f>
        <v/>
      </c>
      <c r="K70" s="110" t="str">
        <f>IFERROR(INDEX('Sport Records'!$B$52:$O$71,MATCH($K$57,'Sport Records'!$A$52:$A$71,0),MATCH($A70,'Sport Records'!$B$51:$O$51,0)),"")</f>
        <v/>
      </c>
      <c r="L70" s="110" t="str">
        <f>IFERROR(INDEX('Sport Records'!$B$52:$O$71,MATCH($L$57,'Sport Records'!$A$52:$A$71,0),MATCH($A70,'Sport Records'!$B$51:$O$51,0)),"")</f>
        <v/>
      </c>
      <c r="M70" s="110" t="str">
        <f>IFERROR(INDEX('Sport Records'!$B$52:$O$71,MATCH($M$57,'Sport Records'!$A$52:$A$71,0),MATCH($A70,'Sport Records'!$B$51:$O$51,0)),"")</f>
        <v/>
      </c>
      <c r="N70" s="110" t="str">
        <f>IFERROR(INDEX('Sport Records'!$B$52:$O$71,MATCH($N$57,'Sport Records'!$A$52:$A$71,0),MATCH($A70,'Sport Records'!$B$51:$O$51,0)),"")</f>
        <v/>
      </c>
      <c r="O70" s="110" t="str">
        <f>IFERROR(INDEX('Sport Records'!$B$52:$O$71,MATCH($O$57,'Sport Records'!$A$52:$A$71,0),MATCH($A70,'Sport Records'!$B$51:$O$51,0)),"")</f>
        <v/>
      </c>
      <c r="P70" s="110" t="str">
        <f>IFERROR(INDEX('Sport Records'!$B$52:$O$71,MATCH($P$57,'Sport Records'!$A$52:$A$71,0),MATCH($A70,'Sport Records'!$B$51:$O$51,0)),"")</f>
        <v/>
      </c>
      <c r="Q70" s="110" t="str">
        <f>IFERROR(INDEX('Sport Records'!$B$52:$O$71,MATCH($Q$57,'Sport Records'!$A$52:$A$71,0),MATCH($A70,'Sport Records'!$B$51:$O$51,0)),"")</f>
        <v/>
      </c>
      <c r="R70" s="110" t="str">
        <f>IFERROR(INDEX('Sport Records'!$B$52:$O$71,MATCH($R$57,'Sport Records'!$A$52:$A$71,0),MATCH($A70,'Sport Records'!$B$51:$O$51,0)),"")</f>
        <v/>
      </c>
      <c r="S70" s="110">
        <f>IFERROR(INDEX('Sport Records'!$B$52:$O$71,MATCH($S$57,'Sport Records'!$A$52:$A$71,0),MATCH($A70,'Sport Records'!$B$51:$O$51,0)),"")</f>
        <v>0.5</v>
      </c>
      <c r="T70" s="110" t="str">
        <f>IFERROR(INDEX('Sport Records'!$B$52:$O$71,MATCH($T$57,'Sport Records'!$A$52:$A$71,0),MATCH($A70,'Sport Records'!$B$51:$O$51,0)),"")</f>
        <v/>
      </c>
      <c r="U70" s="26" t="str">
        <f>IFERROR(INDEX('Sport Records'!$B$52:$O$71,MATCH($U$57,'Sport Records'!$A$52:$A$71,0),MATCH($A70,'Sport Records'!$B$51:$O$51,0)),"")</f>
        <v/>
      </c>
    </row>
    <row r="71" spans="1:21" x14ac:dyDescent="0.2">
      <c r="A71" s="86" t="s">
        <v>174</v>
      </c>
      <c r="B71" s="110" t="str">
        <f>IFERROR(INDEX('Sport Records'!$B$52:$O$71,MATCH($B$57,'Sport Records'!$A$52:$A$71,0),MATCH($A71,'Sport Records'!$B$51:$O$51,0)),"")</f>
        <v/>
      </c>
      <c r="C71" s="110" t="str">
        <f>IFERROR(INDEX('Sport Records'!$B$52:$O$71,MATCH($C$57,'Sport Records'!$A$52:$A$71,0),MATCH($A71,'Sport Records'!$B$51:$O$51,0)),"")</f>
        <v/>
      </c>
      <c r="D71" s="110" t="str">
        <f>IFERROR(INDEX('Sport Records'!$B$52:$O$71,MATCH($D$57,'Sport Records'!$A$52:$A$71,0),MATCH($A71,'Sport Records'!$B$51:$O$51,0)),"")</f>
        <v/>
      </c>
      <c r="E71" s="110" t="str">
        <f>IFERROR(INDEX('Sport Records'!$B$52:$O$71,MATCH($E$57,'Sport Records'!$A$52:$A$71,0),MATCH($A71,'Sport Records'!$B$51:$O$51,0)),"")</f>
        <v/>
      </c>
      <c r="F71" s="110" t="str">
        <f>IFERROR(INDEX('Sport Records'!$B$52:$O$71,MATCH($F$57,'Sport Records'!$A$52:$A$71,0),MATCH($A71,'Sport Records'!$B$51:$O$51,0)),"")</f>
        <v/>
      </c>
      <c r="G71" s="110" t="str">
        <f>IFERROR(INDEX('Sport Records'!$B$52:$O$71,MATCH($G$57,'Sport Records'!$A$52:$A$71,0),MATCH($A71,'Sport Records'!$B$51:$O$51,0)),"")</f>
        <v/>
      </c>
      <c r="H71" s="110" t="str">
        <f>IFERROR(INDEX('Sport Records'!$B$52:$O$71,MATCH($H$57,'Sport Records'!$A$52:$A$71,0),MATCH($A71,'Sport Records'!$B$51:$O$51,0)),"")</f>
        <v/>
      </c>
      <c r="I71" s="110" t="str">
        <f>IFERROR(INDEX('Sport Records'!$B$52:$O$71,MATCH($I$57,'Sport Records'!$A$52:$A$71,0),MATCH($A71,'Sport Records'!$B$51:$O$51,0)),"")</f>
        <v/>
      </c>
      <c r="J71" s="110" t="str">
        <f>IFERROR(INDEX('Sport Records'!$B$52:$O$71,MATCH($J$57,'Sport Records'!$A$52:$A$71,0),MATCH($A71,'Sport Records'!$B$51:$O$51,0)),"")</f>
        <v/>
      </c>
      <c r="K71" s="110" t="str">
        <f>IFERROR(INDEX('Sport Records'!$B$52:$O$71,MATCH($K$57,'Sport Records'!$A$52:$A$71,0),MATCH($A71,'Sport Records'!$B$51:$O$51,0)),"")</f>
        <v/>
      </c>
      <c r="L71" s="110" t="str">
        <f>IFERROR(INDEX('Sport Records'!$B$52:$O$71,MATCH($L$57,'Sport Records'!$A$52:$A$71,0),MATCH($A71,'Sport Records'!$B$51:$O$51,0)),"")</f>
        <v/>
      </c>
      <c r="M71" s="110" t="str">
        <f>IFERROR(INDEX('Sport Records'!$B$52:$O$71,MATCH($M$57,'Sport Records'!$A$52:$A$71,0),MATCH($A71,'Sport Records'!$B$51:$O$51,0)),"")</f>
        <v/>
      </c>
      <c r="N71" s="110" t="str">
        <f>IFERROR(INDEX('Sport Records'!$B$52:$O$71,MATCH($N$57,'Sport Records'!$A$52:$A$71,0),MATCH($A71,'Sport Records'!$B$51:$O$51,0)),"")</f>
        <v/>
      </c>
      <c r="O71" s="110" t="str">
        <f>IFERROR(INDEX('Sport Records'!$B$52:$O$71,MATCH($O$57,'Sport Records'!$A$52:$A$71,0),MATCH($A71,'Sport Records'!$B$51:$O$51,0)),"")</f>
        <v/>
      </c>
      <c r="P71" s="110" t="str">
        <f>IFERROR(INDEX('Sport Records'!$B$52:$O$71,MATCH($P$57,'Sport Records'!$A$52:$A$71,0),MATCH($A71,'Sport Records'!$B$51:$O$51,0)),"")</f>
        <v/>
      </c>
      <c r="Q71" s="110" t="str">
        <f>IFERROR(INDEX('Sport Records'!$B$52:$O$71,MATCH($Q$57,'Sport Records'!$A$52:$A$71,0),MATCH($A71,'Sport Records'!$B$51:$O$51,0)),"")</f>
        <v/>
      </c>
      <c r="R71" s="110" t="str">
        <f>IFERROR(INDEX('Sport Records'!$B$52:$O$71,MATCH($R$57,'Sport Records'!$A$52:$A$71,0),MATCH($A71,'Sport Records'!$B$51:$O$51,0)),"")</f>
        <v/>
      </c>
      <c r="S71" s="110" t="str">
        <f>IFERROR(INDEX('Sport Records'!$B$52:$O$71,MATCH($S$57,'Sport Records'!$A$52:$A$71,0),MATCH($A71,'Sport Records'!$B$51:$O$51,0)),"")</f>
        <v/>
      </c>
      <c r="T71" s="110" t="str">
        <f>IFERROR(INDEX('Sport Records'!$B$52:$O$71,MATCH($T$57,'Sport Records'!$A$52:$A$71,0),MATCH($A71,'Sport Records'!$B$51:$O$51,0)),"")</f>
        <v/>
      </c>
      <c r="U71" s="26" t="str">
        <f>IFERROR(INDEX('Sport Records'!$B$52:$O$71,MATCH($U$57,'Sport Records'!$A$52:$A$71,0),MATCH($A71,'Sport Records'!$B$51:$O$51,0)),"")</f>
        <v/>
      </c>
    </row>
    <row r="72" spans="1:21" x14ac:dyDescent="0.2">
      <c r="A72" s="26"/>
      <c r="B72" s="98"/>
      <c r="C72" s="98"/>
      <c r="D72" s="98"/>
      <c r="E72" s="98"/>
      <c r="F72" s="98"/>
      <c r="G72" s="98"/>
      <c r="H72" s="98"/>
      <c r="I72" s="98"/>
      <c r="J72" s="98"/>
      <c r="K72" s="98"/>
      <c r="L72" s="98"/>
      <c r="M72" s="98"/>
      <c r="N72" s="98"/>
      <c r="O72" s="98"/>
      <c r="P72" s="98"/>
      <c r="Q72" s="98"/>
      <c r="R72" s="98"/>
      <c r="S72" s="98"/>
      <c r="T72" s="98"/>
      <c r="U72" s="26"/>
    </row>
    <row r="73" spans="1:21" x14ac:dyDescent="0.2">
      <c r="A73" s="26"/>
      <c r="B73" s="98"/>
      <c r="C73" s="98"/>
      <c r="D73" s="98"/>
      <c r="E73" s="98"/>
      <c r="F73" s="98"/>
      <c r="G73" s="98"/>
      <c r="H73" s="98"/>
      <c r="I73" s="98"/>
      <c r="J73" s="98"/>
      <c r="K73" s="98"/>
      <c r="L73" s="98"/>
      <c r="M73" s="98"/>
      <c r="N73" s="98"/>
      <c r="O73" s="98"/>
      <c r="P73" s="98"/>
      <c r="Q73" s="98"/>
      <c r="R73" s="98"/>
      <c r="S73" s="98"/>
      <c r="T73" s="98"/>
      <c r="U73" s="26"/>
    </row>
    <row r="74" spans="1:21" x14ac:dyDescent="0.2">
      <c r="A74" s="26"/>
      <c r="B74" s="98"/>
      <c r="C74" s="98"/>
      <c r="D74" s="98"/>
      <c r="E74" s="98"/>
      <c r="F74" s="98"/>
      <c r="G74" s="98"/>
      <c r="H74" s="98"/>
      <c r="I74" s="98"/>
      <c r="J74" s="98"/>
      <c r="K74" s="98"/>
      <c r="L74" s="98"/>
      <c r="M74" s="98"/>
      <c r="N74" s="98"/>
      <c r="O74" s="98"/>
      <c r="P74" s="98"/>
      <c r="Q74" s="98"/>
      <c r="R74" s="98"/>
      <c r="S74" s="98"/>
      <c r="T74" s="98"/>
      <c r="U74" s="26"/>
    </row>
    <row r="75" spans="1:21" x14ac:dyDescent="0.2">
      <c r="A75" s="26"/>
      <c r="B75" s="98"/>
      <c r="C75" s="98"/>
      <c r="D75" s="98"/>
      <c r="E75" s="98"/>
      <c r="F75" s="98"/>
      <c r="G75" s="98"/>
      <c r="H75" s="98"/>
      <c r="I75" s="98"/>
      <c r="J75" s="98"/>
      <c r="K75" s="98"/>
      <c r="L75" s="98"/>
      <c r="M75" s="98"/>
      <c r="N75" s="98"/>
      <c r="O75" s="98"/>
      <c r="P75" s="98"/>
      <c r="Q75" s="98"/>
      <c r="R75" s="98"/>
      <c r="S75" s="98"/>
      <c r="T75" s="98"/>
      <c r="U75" s="26"/>
    </row>
    <row r="76" spans="1:21" x14ac:dyDescent="0.2">
      <c r="A76" s="26"/>
      <c r="B76" s="98"/>
      <c r="C76" s="98"/>
      <c r="D76" s="98"/>
      <c r="E76" s="98"/>
      <c r="F76" s="98"/>
      <c r="G76" s="98"/>
      <c r="H76" s="98"/>
      <c r="I76" s="98"/>
      <c r="J76" s="98"/>
      <c r="K76" s="98"/>
      <c r="L76" s="98"/>
      <c r="M76" s="98"/>
      <c r="N76" s="98"/>
      <c r="O76" s="98"/>
      <c r="P76" s="98"/>
      <c r="Q76" s="98"/>
      <c r="R76" s="98"/>
      <c r="S76" s="98"/>
      <c r="T76" s="98"/>
      <c r="U76" s="26"/>
    </row>
    <row r="77" spans="1:21" x14ac:dyDescent="0.2">
      <c r="A77" s="26"/>
      <c r="B77" s="98"/>
      <c r="C77" s="98"/>
      <c r="D77" s="98"/>
      <c r="E77" s="98"/>
      <c r="F77" s="98"/>
      <c r="G77" s="98"/>
      <c r="H77" s="98"/>
      <c r="I77" s="98"/>
      <c r="J77" s="98"/>
      <c r="K77" s="98"/>
      <c r="L77" s="98"/>
      <c r="M77" s="98"/>
      <c r="N77" s="98"/>
      <c r="O77" s="98"/>
      <c r="P77" s="98"/>
      <c r="Q77" s="98"/>
      <c r="R77" s="98"/>
      <c r="S77" s="98"/>
      <c r="T77" s="98"/>
      <c r="U77" s="26"/>
    </row>
    <row r="78" spans="1:21" x14ac:dyDescent="0.2">
      <c r="A78" s="26"/>
      <c r="B78" s="98"/>
      <c r="C78" s="98"/>
      <c r="D78" s="98"/>
      <c r="E78" s="98"/>
      <c r="F78" s="98"/>
      <c r="G78" s="98"/>
      <c r="H78" s="98"/>
      <c r="I78" s="98"/>
      <c r="J78" s="98"/>
      <c r="K78" s="98"/>
      <c r="L78" s="98"/>
      <c r="M78" s="98"/>
      <c r="N78" s="98"/>
      <c r="O78" s="98"/>
      <c r="P78" s="98"/>
      <c r="Q78" s="98"/>
      <c r="R78" s="98"/>
      <c r="S78" s="98"/>
      <c r="T78" s="98"/>
      <c r="U78" s="26"/>
    </row>
    <row r="79" spans="1:21" x14ac:dyDescent="0.2">
      <c r="A79" s="26"/>
      <c r="B79" s="98"/>
      <c r="C79" s="98"/>
      <c r="D79" s="98"/>
      <c r="E79" s="98"/>
      <c r="F79" s="98"/>
      <c r="G79" s="98"/>
      <c r="H79" s="98"/>
      <c r="I79" s="98"/>
      <c r="J79" s="98"/>
      <c r="K79" s="98"/>
      <c r="L79" s="98"/>
      <c r="M79" s="98"/>
      <c r="N79" s="98"/>
      <c r="O79" s="98"/>
      <c r="P79" s="98"/>
      <c r="Q79" s="98"/>
      <c r="R79" s="98"/>
      <c r="S79" s="98"/>
      <c r="T79" s="98"/>
      <c r="U79" s="26"/>
    </row>
    <row r="80" spans="1:21" x14ac:dyDescent="0.2">
      <c r="A80" s="26"/>
      <c r="B80" s="98"/>
      <c r="C80" s="98"/>
      <c r="D80" s="98"/>
      <c r="E80" s="98"/>
      <c r="F80" s="98"/>
      <c r="G80" s="98"/>
      <c r="H80" s="98"/>
      <c r="I80" s="98"/>
      <c r="J80" s="98"/>
      <c r="K80" s="98"/>
      <c r="L80" s="98"/>
      <c r="M80" s="98"/>
      <c r="N80" s="98"/>
      <c r="O80" s="98"/>
      <c r="P80" s="98"/>
      <c r="Q80" s="98"/>
      <c r="R80" s="98"/>
      <c r="S80" s="98"/>
      <c r="T80" s="98"/>
      <c r="U80" s="26"/>
    </row>
    <row r="81" spans="1:21" x14ac:dyDescent="0.2">
      <c r="A81" s="26"/>
      <c r="B81" s="98"/>
      <c r="C81" s="98"/>
      <c r="D81" s="98"/>
      <c r="E81" s="98"/>
      <c r="F81" s="98"/>
      <c r="G81" s="98"/>
      <c r="H81" s="98"/>
      <c r="I81" s="98"/>
      <c r="J81" s="98"/>
      <c r="K81" s="98"/>
      <c r="L81" s="98"/>
      <c r="M81" s="98"/>
      <c r="N81" s="98"/>
      <c r="O81" s="98"/>
      <c r="P81" s="98"/>
      <c r="Q81" s="98"/>
      <c r="R81" s="98"/>
      <c r="S81" s="98"/>
      <c r="T81" s="98"/>
      <c r="U81" s="26"/>
    </row>
    <row r="82" spans="1:21" x14ac:dyDescent="0.2">
      <c r="A82" s="26"/>
      <c r="B82" s="26"/>
      <c r="C82" s="26"/>
      <c r="D82" s="26"/>
      <c r="E82" s="26"/>
      <c r="F82" s="26"/>
      <c r="G82" s="26"/>
      <c r="H82" s="26"/>
      <c r="I82" s="26"/>
      <c r="J82" s="26"/>
      <c r="K82" s="26"/>
      <c r="L82" s="26"/>
      <c r="M82" s="26"/>
      <c r="N82" s="26"/>
      <c r="O82" s="26"/>
      <c r="P82" s="26"/>
      <c r="Q82" s="26"/>
      <c r="R82" s="26"/>
      <c r="S82" s="26"/>
      <c r="T82" s="26"/>
      <c r="U82" s="26"/>
    </row>
    <row r="83" spans="1:21" x14ac:dyDescent="0.2">
      <c r="A83" s="26"/>
      <c r="B83" s="26"/>
      <c r="C83" s="26"/>
      <c r="D83" s="26"/>
      <c r="E83" s="26"/>
      <c r="F83" s="26"/>
      <c r="G83" s="26"/>
      <c r="H83" s="26"/>
      <c r="I83" s="26"/>
      <c r="J83" s="26"/>
      <c r="K83" s="26"/>
      <c r="L83" s="26"/>
      <c r="M83" s="26"/>
      <c r="N83" s="26"/>
      <c r="O83" s="26"/>
      <c r="P83" s="26"/>
      <c r="Q83" s="26"/>
      <c r="R83" s="26"/>
      <c r="S83" s="26"/>
      <c r="T83" s="26"/>
      <c r="U83" s="26"/>
    </row>
  </sheetData>
  <conditionalFormatting sqref="B40:K53">
    <cfRule type="cellIs" dxfId="7" priority="3" operator="equal">
      <formula>"W"</formula>
    </cfRule>
    <cfRule type="cellIs" dxfId="6" priority="4" operator="equal">
      <formula>"L"</formula>
    </cfRule>
  </conditionalFormatting>
  <conditionalFormatting sqref="B58:T71">
    <cfRule type="colorScale" priority="5">
      <colorScale>
        <cfvo type="num" val="0"/>
        <cfvo type="num" val="0.5"/>
        <cfvo type="num" val="1"/>
        <color rgb="FFF8696B"/>
        <color rgb="FFFFEB84"/>
        <color rgb="FF63BE7B"/>
      </colorScale>
    </cfRule>
  </conditionalFormatting>
  <conditionalFormatting sqref="D23:D36">
    <cfRule type="colorScale" priority="2">
      <colorScale>
        <cfvo type="num" val="0"/>
        <cfvo type="percentile" val="50"/>
        <cfvo type="num" val="1"/>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700-000000000000}">
          <x14:formula1>
            <xm:f>Lists!$C$2:$C$21</xm:f>
          </x14:formula1>
          <xm:sqref>D21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0581FC-FAE7-3841-BBA1-FAA941E43E1C}">
  <dimension ref="A1:AC810"/>
  <sheetViews>
    <sheetView zoomScale="118" zoomScaleNormal="118" workbookViewId="0">
      <pane xSplit="5" ySplit="3" topLeftCell="F287" activePane="bottomRight" state="frozen"/>
      <selection pane="topRight" activeCell="F1" sqref="F1"/>
      <selection pane="bottomLeft" activeCell="A244" sqref="A244"/>
      <selection pane="bottomRight" activeCell="E326" sqref="E326"/>
    </sheetView>
  </sheetViews>
  <sheetFormatPr baseColWidth="10" defaultColWidth="8.6640625" defaultRowHeight="15" x14ac:dyDescent="0.2"/>
  <cols>
    <col min="1" max="1" width="12.1640625" customWidth="1"/>
    <col min="2" max="5" width="12.83203125" customWidth="1"/>
    <col min="6" max="6" width="14.83203125" customWidth="1"/>
    <col min="7" max="7" width="16" customWidth="1"/>
    <col min="8" max="8" width="12.83203125" customWidth="1"/>
    <col min="9" max="9" width="14.33203125" customWidth="1"/>
    <col min="10" max="12" width="9" customWidth="1"/>
    <col min="13" max="13" width="13" customWidth="1"/>
    <col min="14" max="14" width="12" customWidth="1"/>
    <col min="15" max="15" width="6.33203125" customWidth="1"/>
    <col min="16" max="19" width="13" hidden="1" customWidth="1"/>
    <col min="20" max="20" width="11.5" customWidth="1"/>
    <col min="21" max="21" width="17.1640625" customWidth="1"/>
    <col min="22" max="22" width="13.6640625" customWidth="1"/>
    <col min="23" max="27" width="13" hidden="1" customWidth="1"/>
    <col min="28" max="28" width="15.5" customWidth="1"/>
    <col min="29" max="29" width="13" hidden="1" customWidth="1"/>
  </cols>
  <sheetData>
    <row r="1" spans="1:29" ht="16.5" customHeight="1" x14ac:dyDescent="0.2">
      <c r="A1" s="161" t="s">
        <v>284</v>
      </c>
      <c r="B1" s="161"/>
      <c r="C1" s="161"/>
      <c r="D1" s="161"/>
      <c r="E1" s="161"/>
      <c r="F1" s="161"/>
      <c r="G1" s="161"/>
      <c r="H1" s="161"/>
      <c r="I1" s="161"/>
      <c r="J1" s="161"/>
      <c r="K1" s="161"/>
      <c r="L1" s="161"/>
      <c r="M1" s="161"/>
      <c r="N1" s="161"/>
      <c r="O1" s="161"/>
    </row>
    <row r="2" spans="1:29" ht="15" customHeight="1" x14ac:dyDescent="0.2">
      <c r="A2" s="162" t="s">
        <v>285</v>
      </c>
      <c r="B2" s="162"/>
      <c r="C2" s="162"/>
      <c r="D2" s="162"/>
      <c r="E2" s="162"/>
      <c r="F2" s="162"/>
      <c r="G2" s="162"/>
      <c r="H2" s="162"/>
      <c r="I2" s="162"/>
      <c r="J2" s="162"/>
      <c r="K2" s="162"/>
      <c r="L2" s="162"/>
      <c r="M2" s="162"/>
      <c r="N2" s="162"/>
      <c r="O2" s="162"/>
    </row>
    <row r="3" spans="1:29" ht="15" customHeight="1" x14ac:dyDescent="0.2">
      <c r="A3" s="45" t="s">
        <v>286</v>
      </c>
      <c r="B3" s="45" t="s">
        <v>245</v>
      </c>
      <c r="C3" s="45" t="s">
        <v>123</v>
      </c>
      <c r="D3" s="45" t="s">
        <v>156</v>
      </c>
      <c r="E3" s="45" t="s">
        <v>287</v>
      </c>
      <c r="F3" s="45" t="s">
        <v>288</v>
      </c>
      <c r="G3" s="45" t="s">
        <v>289</v>
      </c>
      <c r="H3" s="45" t="s">
        <v>290</v>
      </c>
      <c r="I3" s="45" t="s">
        <v>77</v>
      </c>
      <c r="J3" s="45" t="s">
        <v>79</v>
      </c>
      <c r="K3" s="45" t="s">
        <v>81</v>
      </c>
      <c r="L3" s="45" t="s">
        <v>83</v>
      </c>
      <c r="M3" s="45" t="s">
        <v>291</v>
      </c>
      <c r="N3" s="45" t="s">
        <v>292</v>
      </c>
      <c r="O3" s="45" t="s">
        <v>293</v>
      </c>
      <c r="P3" s="45" t="s">
        <v>294</v>
      </c>
      <c r="Q3" s="45" t="s">
        <v>295</v>
      </c>
      <c r="R3" s="45" t="s">
        <v>296</v>
      </c>
      <c r="S3" s="45" t="s">
        <v>297</v>
      </c>
      <c r="T3" s="45" t="s">
        <v>298</v>
      </c>
      <c r="U3" s="45" t="s">
        <v>299</v>
      </c>
      <c r="V3" s="45" t="s">
        <v>300</v>
      </c>
      <c r="W3" s="45" t="s">
        <v>301</v>
      </c>
      <c r="X3" s="45" t="s">
        <v>302</v>
      </c>
      <c r="Y3" s="45" t="s">
        <v>303</v>
      </c>
      <c r="Z3" s="45" t="s">
        <v>304</v>
      </c>
      <c r="AA3" s="45" t="s">
        <v>305</v>
      </c>
      <c r="AB3" s="45" t="s">
        <v>306</v>
      </c>
      <c r="AC3" t="s">
        <v>307</v>
      </c>
    </row>
    <row r="4" spans="1:29" ht="15" customHeight="1" x14ac:dyDescent="0.2">
      <c r="A4" s="111">
        <v>1</v>
      </c>
      <c r="B4" s="112">
        <v>46145</v>
      </c>
      <c r="C4" s="113" t="s">
        <v>192</v>
      </c>
      <c r="D4" s="113" t="s">
        <v>137</v>
      </c>
      <c r="E4" s="111" t="s">
        <v>308</v>
      </c>
      <c r="F4" s="114">
        <f t="shared" ref="F4:F67" si="0">IF($D4="",0,COUNTIF($A$4:$A$810,$A4))</f>
        <v>3</v>
      </c>
      <c r="G4" s="115" t="str">
        <f t="shared" ref="G4:G67" si="1">IF($D4="","",IFERROR(LOOKUP(2,1/(($A$4:$A$810=$A4)*($E$4:$E$810="Win")),$D$4:$D$810),"(no winner)"))</f>
        <v>Josh</v>
      </c>
      <c r="H4" s="116">
        <f>IF($D4="",0,IFERROR(LOOKUP(2,1/(($D$3:D3=$D4)*($A$3:A3&lt;$A4)),$N$3:N3),'Guide &amp; Settings'!$C$41))</f>
        <v>1000</v>
      </c>
      <c r="I4" s="117">
        <f t="shared" ref="I4:I67" si="2">IF($D4="",0,IF($S4=0,0,$R4/$S4))</f>
        <v>0.33333333333333331</v>
      </c>
      <c r="J4" s="118">
        <f>IF($D4="",0,IF($F4&lt;2,0,IF($E4="Win",('Guide &amp; Settings'!$C$42/(($F4-1)*COUNTIFS($A$4:$A$810,$A4,$E$4:$E$810,"Win")))*SUMIFS($X$4:$X$810,$A$4:$A$810,$A4,$E$4:$E$810,"Loss"),-('Guide &amp; Settings'!$C$42/($F4-1))*$X4)))</f>
        <v>16</v>
      </c>
      <c r="K4" s="118">
        <f>IF($D4="",0,'Guide &amp; Settings'!$C$43*(IF($E4="Win",1,0)-$I4))</f>
        <v>8</v>
      </c>
      <c r="L4" s="119">
        <f>IF($D4="",0,'Guide &amp; Settings'!$C$44*IF($F4&gt;=3,$F4,0))</f>
        <v>3</v>
      </c>
      <c r="M4" s="118">
        <f t="shared" ref="M4:M67" si="3">IF($D4="",0,$J4+$K4+$L4)</f>
        <v>27</v>
      </c>
      <c r="N4" s="116">
        <f t="shared" ref="N4:N67" si="4">IF($D4="",0,$H4+$M4)</f>
        <v>1027</v>
      </c>
      <c r="O4" s="115" t="str">
        <f t="shared" ref="O4:O67" si="5">IF($D4="","",IF(COUNTIFS($A$4:$A$810,$A4,$E$4:$E$810,"Win")=0,"need a winner",IF(COUNTIFS($A$4:$A$810,$A4,$E$4:$E$810,"Loss")=0,"need a loser",IF(COUNTIFS($A$4:$A$810,$A4,$D$4:$D$810,$D4)&gt;1,"duplicate player","OK"))))</f>
        <v>OK</v>
      </c>
      <c r="P4">
        <f t="shared" ref="P4:P67" si="6">IF($D4="",0,IFERROR(SUMIFS($H$4:$H$810,$A$4:$A$810,$A4,$E$4:$E$810,"Win")/COUNTIFS($A$4:$A$810,$A4,$E$4:$E$810,"Win"),0))</f>
        <v>1000</v>
      </c>
      <c r="Q4">
        <f t="shared" ref="Q4:Q67" si="7">IF($D4="",0,1/(1+10^(($P4-$H4)/400)))</f>
        <v>0.5</v>
      </c>
      <c r="R4">
        <f t="shared" ref="R4:R67" si="8">IF($D4="",0,(COUNTIFS($D$4:$D$810,$D4,$C$4:$C$810,$C4,$E$4:$E$810,"Win",$A$4:$A$810,"&lt;"&amp;$A4)+1)/(COUNTIFS($D$4:$D$810,$D4,$C$4:$C$810,$C4,$A$4:$A$810,"&lt;"&amp;$A4)+2))</f>
        <v>0.5</v>
      </c>
      <c r="S4">
        <f t="shared" ref="S4:S67" si="9">IF($D4="",0,SUMIFS($R$4:$R$810,$A$4:$A$810,$A4))</f>
        <v>1.5</v>
      </c>
      <c r="T4" s="83">
        <f t="shared" ref="T4:T67" si="10">IF($D4="",0,COUNTIFS($D$4:$D$810,$D4,$C$4:$C$810,$C4,$A$4:$A$810,"&lt;"&amp;$A4))</f>
        <v>0</v>
      </c>
      <c r="U4" s="120">
        <f>IF($D4="",0,IFERROR(LOOKUP(2,1/(($D$3:D3=$D4)*($C$3:C3=$C4)*($A$3:A3&lt;$A4)),$AB$3:AB3),1000))</f>
        <v>1000</v>
      </c>
      <c r="V4" s="120">
        <f t="shared" ref="V4:V67" si="11">IF($D4="",0,$U4*($T4/($T4+5))+$H4*(1-$T4/($T4+5)))</f>
        <v>1000</v>
      </c>
      <c r="W4">
        <f t="shared" ref="W4:W67" si="12">IF($D4="",0,IFERROR(SUMIFS($V$4:$V$810,$A$4:$A$810,$A4,$E$4:$E$810,"Win")/COUNTIFS($A$4:$A$810,$A4,$E$4:$E$810,"Win"),0))</f>
        <v>1000</v>
      </c>
      <c r="X4">
        <f t="shared" ref="X4:X67" si="13">IF($D4="",0,1/(1+10^(($W4-$V4)/400)))</f>
        <v>0.5</v>
      </c>
      <c r="Y4">
        <f t="shared" ref="Y4:Y67" si="14">IF($D4="",0,IFERROR(SUMIFS($U$4:$U$810,$A$4:$A$810,$A4,$E$4:$E$810,"Win")/COUNTIFS($A$4:$A$810,$A4,$E$4:$E$810,"Win"),0))</f>
        <v>1000</v>
      </c>
      <c r="Z4">
        <f t="shared" ref="Z4:Z67" si="15">IF($D4="",0,1/(1+10^(($Y4-$U4)/400)))</f>
        <v>0.5</v>
      </c>
      <c r="AA4">
        <f>IF($D4="",0,IF($F4&lt;2,0,IF($E4="Win",('Guide &amp; Settings'!$C$42/(($F4-1)*COUNTIFS($A$4:$A$810,$A4,$E$4:$E$810,"Win")))*SUMIFS($Z$4:$Z$810,$A$4:$A$810,$A4,$E$4:$E$810,"Loss"),-('Guide &amp; Settings'!$C$42/($F4-1))*$Z4)))</f>
        <v>16</v>
      </c>
      <c r="AB4" s="120">
        <f t="shared" ref="AB4:AB67" si="16">IF($D4="",0,$U4+$AA4)</f>
        <v>1016</v>
      </c>
      <c r="AC4" s="120">
        <f>IF($D4="","",IF(SUMPRODUCT(MAX(($D$4:$D$810=$D4)*($B$4:$B$810&lt;$B4)*$B$4:$B$810))=0,0,MAX(($B4-MAX(SUMPRODUCT(MAX(($D$4:$D$810=$D4)*($B$4:$B$810&lt;$B4)*$B$4:$B$810)),'Guide &amp; Settings'!$C$50))/7-'Guide &amp; Settings'!$C$48,0)*'Guide &amp; Settings'!$C$49))</f>
        <v>0</v>
      </c>
    </row>
    <row r="5" spans="1:29" ht="15" customHeight="1" x14ac:dyDescent="0.2">
      <c r="A5" s="111">
        <v>1</v>
      </c>
      <c r="B5" s="112">
        <v>46145</v>
      </c>
      <c r="C5" s="113" t="s">
        <v>192</v>
      </c>
      <c r="D5" s="113" t="s">
        <v>134</v>
      </c>
      <c r="E5" s="111" t="s">
        <v>309</v>
      </c>
      <c r="F5" s="114">
        <f t="shared" si="0"/>
        <v>3</v>
      </c>
      <c r="G5" s="115" t="str">
        <f t="shared" si="1"/>
        <v>Josh</v>
      </c>
      <c r="H5" s="116">
        <f>IF($D5="",0,IFERROR(LOOKUP(2,1/(($D$3:D4=$D5)*($A$3:A4&lt;$A5)),$N$3:N4),'Guide &amp; Settings'!$C$41))</f>
        <v>1000</v>
      </c>
      <c r="I5" s="117">
        <f t="shared" si="2"/>
        <v>0.33333333333333331</v>
      </c>
      <c r="J5" s="118">
        <f>IF($D5="",0,IF($F5&lt;2,0,IF($E5="Win",('Guide &amp; Settings'!$C$42/(($F5-1)*COUNTIFS($A$4:$A$810,$A5,$E$4:$E$810,"Win")))*SUMIFS($X$4:$X$810,$A$4:$A$810,$A5,$E$4:$E$810,"Loss"),-('Guide &amp; Settings'!$C$42/($F5-1))*$X5)))</f>
        <v>-8</v>
      </c>
      <c r="K5" s="118">
        <f>IF($D5="",0,'Guide &amp; Settings'!$C$43*(IF($E5="Win",1,0)-$I5))</f>
        <v>-4</v>
      </c>
      <c r="L5" s="119">
        <f>IF($D5="",0,'Guide &amp; Settings'!$C$44*IF($F5&gt;=3,$F5,0))</f>
        <v>3</v>
      </c>
      <c r="M5" s="118">
        <f t="shared" si="3"/>
        <v>-9</v>
      </c>
      <c r="N5" s="116">
        <f t="shared" si="4"/>
        <v>991</v>
      </c>
      <c r="O5" s="115" t="str">
        <f t="shared" si="5"/>
        <v>OK</v>
      </c>
      <c r="P5">
        <f t="shared" si="6"/>
        <v>1000</v>
      </c>
      <c r="Q5">
        <f t="shared" si="7"/>
        <v>0.5</v>
      </c>
      <c r="R5">
        <f t="shared" si="8"/>
        <v>0.5</v>
      </c>
      <c r="S5">
        <f t="shared" si="9"/>
        <v>1.5</v>
      </c>
      <c r="T5" s="83">
        <f t="shared" si="10"/>
        <v>0</v>
      </c>
      <c r="U5" s="120">
        <f>IF($D5="",0,IFERROR(LOOKUP(2,1/(($D$3:D4=$D5)*($C$3:C4=$C5)*($A$3:A4&lt;$A5)),$AB$3:AB4),1000))</f>
        <v>1000</v>
      </c>
      <c r="V5" s="120">
        <f t="shared" si="11"/>
        <v>1000</v>
      </c>
      <c r="W5">
        <f t="shared" si="12"/>
        <v>1000</v>
      </c>
      <c r="X5">
        <f t="shared" si="13"/>
        <v>0.5</v>
      </c>
      <c r="Y5">
        <f t="shared" si="14"/>
        <v>1000</v>
      </c>
      <c r="Z5">
        <f t="shared" si="15"/>
        <v>0.5</v>
      </c>
      <c r="AA5">
        <f>IF($D5="",0,IF($F5&lt;2,0,IF($E5="Win",('Guide &amp; Settings'!$C$42/(($F5-1)*COUNTIFS($A$4:$A$810,$A5,$E$4:$E$810,"Win")))*SUMIFS($Z$4:$Z$810,$A$4:$A$810,$A5,$E$4:$E$810,"Loss"),-('Guide &amp; Settings'!$C$42/($F5-1))*$Z5)))</f>
        <v>-8</v>
      </c>
      <c r="AB5" s="120">
        <f t="shared" si="16"/>
        <v>992</v>
      </c>
      <c r="AC5" s="120">
        <f>IF($D5="","",IF(SUMPRODUCT(MAX(($D$4:$D$810=$D5)*($B$4:$B$810&lt;$B5)*$B$4:$B$810))=0,0,MAX(($B5-MAX(SUMPRODUCT(MAX(($D$4:$D$810=$D5)*($B$4:$B$810&lt;$B5)*$B$4:$B$810)),'Guide &amp; Settings'!$C$50))/7-'Guide &amp; Settings'!$C$48,0)*'Guide &amp; Settings'!$C$49))</f>
        <v>0</v>
      </c>
    </row>
    <row r="6" spans="1:29" ht="15" customHeight="1" x14ac:dyDescent="0.2">
      <c r="A6" s="111">
        <v>1</v>
      </c>
      <c r="B6" s="112">
        <v>46145</v>
      </c>
      <c r="C6" s="113" t="s">
        <v>192</v>
      </c>
      <c r="D6" s="113" t="s">
        <v>169</v>
      </c>
      <c r="E6" s="111" t="s">
        <v>309</v>
      </c>
      <c r="F6" s="114">
        <f t="shared" si="0"/>
        <v>3</v>
      </c>
      <c r="G6" s="115" t="str">
        <f t="shared" si="1"/>
        <v>Josh</v>
      </c>
      <c r="H6" s="116">
        <f>IF($D6="",0,IFERROR(LOOKUP(2,1/(($D$3:D5=$D6)*($A$3:A5&lt;$A6)),$N$3:N5),'Guide &amp; Settings'!$C$41))</f>
        <v>1000</v>
      </c>
      <c r="I6" s="117">
        <f t="shared" si="2"/>
        <v>0.33333333333333331</v>
      </c>
      <c r="J6" s="118">
        <f>IF($D6="",0,IF($F6&lt;2,0,IF($E6="Win",('Guide &amp; Settings'!$C$42/(($F6-1)*COUNTIFS($A$4:$A$810,$A6,$E$4:$E$810,"Win")))*SUMIFS($X$4:$X$810,$A$4:$A$810,$A6,$E$4:$E$810,"Loss"),-('Guide &amp; Settings'!$C$42/($F6-1))*$X6)))</f>
        <v>-8</v>
      </c>
      <c r="K6" s="118">
        <f>IF($D6="",0,'Guide &amp; Settings'!$C$43*(IF($E6="Win",1,0)-$I6))</f>
        <v>-4</v>
      </c>
      <c r="L6" s="119">
        <f>IF($D6="",0,'Guide &amp; Settings'!$C$44*IF($F6&gt;=3,$F6,0))</f>
        <v>3</v>
      </c>
      <c r="M6" s="118">
        <f t="shared" si="3"/>
        <v>-9</v>
      </c>
      <c r="N6" s="116">
        <f t="shared" si="4"/>
        <v>991</v>
      </c>
      <c r="O6" s="115" t="str">
        <f t="shared" si="5"/>
        <v>OK</v>
      </c>
      <c r="P6">
        <f t="shared" si="6"/>
        <v>1000</v>
      </c>
      <c r="Q6">
        <f t="shared" si="7"/>
        <v>0.5</v>
      </c>
      <c r="R6">
        <f t="shared" si="8"/>
        <v>0.5</v>
      </c>
      <c r="S6">
        <f t="shared" si="9"/>
        <v>1.5</v>
      </c>
      <c r="T6" s="83">
        <f t="shared" si="10"/>
        <v>0</v>
      </c>
      <c r="U6" s="120">
        <f>IF($D6="",0,IFERROR(LOOKUP(2,1/(($D$3:D5=$D6)*($C$3:C5=$C6)*($A$3:A5&lt;$A6)),$AB$3:AB5),1000))</f>
        <v>1000</v>
      </c>
      <c r="V6" s="120">
        <f t="shared" si="11"/>
        <v>1000</v>
      </c>
      <c r="W6">
        <f t="shared" si="12"/>
        <v>1000</v>
      </c>
      <c r="X6">
        <f t="shared" si="13"/>
        <v>0.5</v>
      </c>
      <c r="Y6">
        <f t="shared" si="14"/>
        <v>1000</v>
      </c>
      <c r="Z6">
        <f t="shared" si="15"/>
        <v>0.5</v>
      </c>
      <c r="AA6">
        <f>IF($D6="",0,IF($F6&lt;2,0,IF($E6="Win",('Guide &amp; Settings'!$C$42/(($F6-1)*COUNTIFS($A$4:$A$810,$A6,$E$4:$E$810,"Win")))*SUMIFS($Z$4:$Z$810,$A$4:$A$810,$A6,$E$4:$E$810,"Loss"),-('Guide &amp; Settings'!$C$42/($F6-1))*$Z6)))</f>
        <v>-8</v>
      </c>
      <c r="AB6" s="120">
        <f t="shared" si="16"/>
        <v>992</v>
      </c>
      <c r="AC6" s="120">
        <f>IF($D6="","",IF(SUMPRODUCT(MAX(($D$4:$D$810=$D6)*($B$4:$B$810&lt;$B6)*$B$4:$B$810))=0,0,MAX(($B6-MAX(SUMPRODUCT(MAX(($D$4:$D$810=$D6)*($B$4:$B$810&lt;$B6)*$B$4:$B$810)),'Guide &amp; Settings'!$C$50))/7-'Guide &amp; Settings'!$C$48,0)*'Guide &amp; Settings'!$C$49))</f>
        <v>0</v>
      </c>
    </row>
    <row r="7" spans="1:29" ht="15" customHeight="1" x14ac:dyDescent="0.2">
      <c r="A7" s="111">
        <v>2</v>
      </c>
      <c r="B7" s="112">
        <v>46175</v>
      </c>
      <c r="C7" s="113" t="s">
        <v>186</v>
      </c>
      <c r="D7" s="113" t="s">
        <v>138</v>
      </c>
      <c r="E7" s="111" t="s">
        <v>308</v>
      </c>
      <c r="F7" s="114">
        <f t="shared" si="0"/>
        <v>8</v>
      </c>
      <c r="G7" s="115" t="str">
        <f t="shared" si="1"/>
        <v>Aaron</v>
      </c>
      <c r="H7" s="116">
        <f>IF($D7="",0,IFERROR(LOOKUP(2,1/(($D$3:D6=$D7)*($A$3:A6&lt;$A7)),$N$3:N6),'Guide &amp; Settings'!$C$41))</f>
        <v>1000</v>
      </c>
      <c r="I7" s="117">
        <f t="shared" si="2"/>
        <v>0.125</v>
      </c>
      <c r="J7" s="118">
        <f>IF($D7="",0,IF($F7&lt;2,0,IF($E7="Win",('Guide &amp; Settings'!$C$42/(($F7-1)*COUNTIFS($A$4:$A$810,$A7,$E$4:$E$810,"Win")))*SUMIFS($X$4:$X$810,$A$4:$A$810,$A7,$E$4:$E$810,"Loss"),-('Guide &amp; Settings'!$C$42/($F7-1))*$X7)))</f>
        <v>16.058879096098028</v>
      </c>
      <c r="K7" s="118">
        <f>IF($D7="",0,'Guide &amp; Settings'!$C$43*(IF($E7="Win",1,0)-$I7))</f>
        <v>10.5</v>
      </c>
      <c r="L7" s="119">
        <f>IF($D7="",0,'Guide &amp; Settings'!$C$44*IF($F7&gt;=3,$F7,0))</f>
        <v>8</v>
      </c>
      <c r="M7" s="118">
        <f t="shared" si="3"/>
        <v>34.558879096098025</v>
      </c>
      <c r="N7" s="116">
        <f t="shared" si="4"/>
        <v>1034.5588790960981</v>
      </c>
      <c r="O7" s="115" t="str">
        <f t="shared" si="5"/>
        <v>OK</v>
      </c>
      <c r="P7">
        <f t="shared" si="6"/>
        <v>1000</v>
      </c>
      <c r="Q7">
        <f t="shared" si="7"/>
        <v>0.5</v>
      </c>
      <c r="R7">
        <f t="shared" si="8"/>
        <v>0.5</v>
      </c>
      <c r="S7">
        <f t="shared" si="9"/>
        <v>4</v>
      </c>
      <c r="T7" s="83">
        <f t="shared" si="10"/>
        <v>0</v>
      </c>
      <c r="U7" s="120">
        <f>IF($D7="",0,IFERROR(LOOKUP(2,1/(($D$3:D6=$D7)*($C$3:C6=$C7)*($A$3:A6&lt;$A7)),$AB$3:AB6),1000))</f>
        <v>1000</v>
      </c>
      <c r="V7" s="120">
        <f t="shared" si="11"/>
        <v>1000</v>
      </c>
      <c r="W7">
        <f t="shared" si="12"/>
        <v>1000</v>
      </c>
      <c r="X7">
        <f t="shared" si="13"/>
        <v>0.5</v>
      </c>
      <c r="Y7">
        <f t="shared" si="14"/>
        <v>1000</v>
      </c>
      <c r="Z7">
        <f t="shared" si="15"/>
        <v>0.5</v>
      </c>
      <c r="AA7">
        <f>IF($D7="",0,IF($F7&lt;2,0,IF($E7="Win",('Guide &amp; Settings'!$C$42/(($F7-1)*COUNTIFS($A$4:$A$810,$A7,$E$4:$E$810,"Win")))*SUMIFS($Z$4:$Z$810,$A$4:$A$810,$A7,$E$4:$E$810,"Loss"),-('Guide &amp; Settings'!$C$42/($F7-1))*$Z7)))</f>
        <v>16</v>
      </c>
      <c r="AB7" s="120">
        <f t="shared" si="16"/>
        <v>1016</v>
      </c>
      <c r="AC7" s="120">
        <f>IF($D7="","",IF(SUMPRODUCT(MAX(($D$4:$D$810=$D7)*($B$4:$B$810&lt;$B7)*$B$4:$B$810))=0,0,MAX(($B7-MAX(SUMPRODUCT(MAX(($D$4:$D$810=$D7)*($B$4:$B$810&lt;$B7)*$B$4:$B$810)),'Guide &amp; Settings'!$C$50))/7-'Guide &amp; Settings'!$C$48,0)*'Guide &amp; Settings'!$C$49))</f>
        <v>0</v>
      </c>
    </row>
    <row r="8" spans="1:29" ht="15" customHeight="1" x14ac:dyDescent="0.2">
      <c r="A8" s="111">
        <v>2</v>
      </c>
      <c r="B8" s="112">
        <v>46175</v>
      </c>
      <c r="C8" s="113" t="s">
        <v>186</v>
      </c>
      <c r="D8" s="113" t="s">
        <v>134</v>
      </c>
      <c r="E8" s="111" t="s">
        <v>309</v>
      </c>
      <c r="F8" s="114">
        <f t="shared" si="0"/>
        <v>8</v>
      </c>
      <c r="G8" s="115" t="str">
        <f t="shared" si="1"/>
        <v>Aaron</v>
      </c>
      <c r="H8" s="116">
        <f>IF($D8="",0,IFERROR(LOOKUP(2,1/(($D$3:D7=$D8)*($A$3:A7&lt;$A8)),$N$3:N7),'Guide &amp; Settings'!$C$41))</f>
        <v>991</v>
      </c>
      <c r="I8" s="117">
        <f t="shared" si="2"/>
        <v>0.125</v>
      </c>
      <c r="J8" s="118">
        <f>IF($D8="",0,IF($F8&lt;2,0,IF($E8="Win",('Guide &amp; Settings'!$C$42/(($F8-1)*COUNTIFS($A$4:$A$810,$A8,$E$4:$E$810,"Win")))*SUMIFS($X$4:$X$810,$A$4:$A$810,$A8,$E$4:$E$810,"Loss"),-('Guide &amp; Settings'!$C$42/($F8-1))*$X8)))</f>
        <v>-2.2265181947754797</v>
      </c>
      <c r="K8" s="118">
        <f>IF($D8="",0,'Guide &amp; Settings'!$C$43*(IF($E8="Win",1,0)-$I8))</f>
        <v>-1.5</v>
      </c>
      <c r="L8" s="119">
        <f>IF($D8="",0,'Guide &amp; Settings'!$C$44*IF($F8&gt;=3,$F8,0))</f>
        <v>8</v>
      </c>
      <c r="M8" s="118">
        <f t="shared" si="3"/>
        <v>4.2734818052245203</v>
      </c>
      <c r="N8" s="116">
        <f t="shared" si="4"/>
        <v>995.27348180522449</v>
      </c>
      <c r="O8" s="115" t="str">
        <f t="shared" si="5"/>
        <v>OK</v>
      </c>
      <c r="P8">
        <f t="shared" si="6"/>
        <v>1000</v>
      </c>
      <c r="Q8">
        <f t="shared" si="7"/>
        <v>0.48705085510713625</v>
      </c>
      <c r="R8">
        <f t="shared" si="8"/>
        <v>0.5</v>
      </c>
      <c r="S8">
        <f t="shared" si="9"/>
        <v>4</v>
      </c>
      <c r="T8" s="83">
        <f t="shared" si="10"/>
        <v>0</v>
      </c>
      <c r="U8" s="120">
        <f>IF($D8="",0,IFERROR(LOOKUP(2,1/(($D$3:D7=$D8)*($C$3:C7=$C8)*($A$3:A7&lt;$A8)),$AB$3:AB7),1000))</f>
        <v>1000</v>
      </c>
      <c r="V8" s="120">
        <f t="shared" si="11"/>
        <v>991</v>
      </c>
      <c r="W8">
        <f t="shared" si="12"/>
        <v>1000</v>
      </c>
      <c r="X8">
        <f t="shared" si="13"/>
        <v>0.48705085510713625</v>
      </c>
      <c r="Y8">
        <f t="shared" si="14"/>
        <v>1000</v>
      </c>
      <c r="Z8">
        <f t="shared" si="15"/>
        <v>0.5</v>
      </c>
      <c r="AA8">
        <f>IF($D8="",0,IF($F8&lt;2,0,IF($E8="Win",('Guide &amp; Settings'!$C$42/(($F8-1)*COUNTIFS($A$4:$A$810,$A8,$E$4:$E$810,"Win")))*SUMIFS($Z$4:$Z$810,$A$4:$A$810,$A8,$E$4:$E$810,"Loss"),-('Guide &amp; Settings'!$C$42/($F8-1))*$Z8)))</f>
        <v>-2.2857142857142856</v>
      </c>
      <c r="AB8" s="120">
        <f t="shared" si="16"/>
        <v>997.71428571428567</v>
      </c>
      <c r="AC8" s="120">
        <f>IF($D8="","",IF(SUMPRODUCT(MAX(($D$4:$D$810=$D8)*($B$4:$B$810&lt;$B8)*$B$4:$B$810))=0,0,MAX(($B8-MAX(SUMPRODUCT(MAX(($D$4:$D$810=$D8)*($B$4:$B$810&lt;$B8)*$B$4:$B$810)),'Guide &amp; Settings'!$C$50))/7-'Guide &amp; Settings'!$C$48,0)*'Guide &amp; Settings'!$C$49))</f>
        <v>0</v>
      </c>
    </row>
    <row r="9" spans="1:29" ht="15" customHeight="1" x14ac:dyDescent="0.2">
      <c r="A9" s="111">
        <v>2</v>
      </c>
      <c r="B9" s="112">
        <v>46175</v>
      </c>
      <c r="C9" s="113" t="s">
        <v>186</v>
      </c>
      <c r="D9" s="113" t="s">
        <v>170</v>
      </c>
      <c r="E9" s="111" t="s">
        <v>309</v>
      </c>
      <c r="F9" s="114">
        <f t="shared" si="0"/>
        <v>8</v>
      </c>
      <c r="G9" s="115" t="str">
        <f t="shared" si="1"/>
        <v>Aaron</v>
      </c>
      <c r="H9" s="116">
        <f>IF($D9="",0,IFERROR(LOOKUP(2,1/(($D$3:D8=$D9)*($A$3:A8&lt;$A9)),$N$3:N8),'Guide &amp; Settings'!$C$41))</f>
        <v>1000</v>
      </c>
      <c r="I9" s="117">
        <f t="shared" si="2"/>
        <v>0.125</v>
      </c>
      <c r="J9" s="118">
        <f>IF($D9="",0,IF($F9&lt;2,0,IF($E9="Win",('Guide &amp; Settings'!$C$42/(($F9-1)*COUNTIFS($A$4:$A$810,$A9,$E$4:$E$810,"Win")))*SUMIFS($X$4:$X$810,$A$4:$A$810,$A9,$E$4:$E$810,"Loss"),-('Guide &amp; Settings'!$C$42/($F9-1))*$X9)))</f>
        <v>-2.2857142857142856</v>
      </c>
      <c r="K9" s="118">
        <f>IF($D9="",0,'Guide &amp; Settings'!$C$43*(IF($E9="Win",1,0)-$I9))</f>
        <v>-1.5</v>
      </c>
      <c r="L9" s="119">
        <f>IF($D9="",0,'Guide &amp; Settings'!$C$44*IF($F9&gt;=3,$F9,0))</f>
        <v>8</v>
      </c>
      <c r="M9" s="118">
        <f t="shared" si="3"/>
        <v>4.2142857142857144</v>
      </c>
      <c r="N9" s="116">
        <f t="shared" si="4"/>
        <v>1004.2142857142857</v>
      </c>
      <c r="O9" s="115" t="str">
        <f t="shared" si="5"/>
        <v>OK</v>
      </c>
      <c r="P9">
        <f t="shared" si="6"/>
        <v>1000</v>
      </c>
      <c r="Q9">
        <f t="shared" si="7"/>
        <v>0.5</v>
      </c>
      <c r="R9">
        <f t="shared" si="8"/>
        <v>0.5</v>
      </c>
      <c r="S9">
        <f t="shared" si="9"/>
        <v>4</v>
      </c>
      <c r="T9" s="83">
        <f t="shared" si="10"/>
        <v>0</v>
      </c>
      <c r="U9" s="120">
        <f>IF($D9="",0,IFERROR(LOOKUP(2,1/(($D$3:D8=$D9)*($C$3:C8=$C9)*($A$3:A8&lt;$A9)),$AB$3:AB8),1000))</f>
        <v>1000</v>
      </c>
      <c r="V9" s="120">
        <f t="shared" si="11"/>
        <v>1000</v>
      </c>
      <c r="W9">
        <f t="shared" si="12"/>
        <v>1000</v>
      </c>
      <c r="X9">
        <f t="shared" si="13"/>
        <v>0.5</v>
      </c>
      <c r="Y9">
        <f t="shared" si="14"/>
        <v>1000</v>
      </c>
      <c r="Z9">
        <f t="shared" si="15"/>
        <v>0.5</v>
      </c>
      <c r="AA9">
        <f>IF($D9="",0,IF($F9&lt;2,0,IF($E9="Win",('Guide &amp; Settings'!$C$42/(($F9-1)*COUNTIFS($A$4:$A$810,$A9,$E$4:$E$810,"Win")))*SUMIFS($Z$4:$Z$810,$A$4:$A$810,$A9,$E$4:$E$810,"Loss"),-('Guide &amp; Settings'!$C$42/($F9-1))*$Z9)))</f>
        <v>-2.2857142857142856</v>
      </c>
      <c r="AB9" s="120">
        <f t="shared" si="16"/>
        <v>997.71428571428567</v>
      </c>
      <c r="AC9" s="120">
        <f>IF($D9="","",IF(SUMPRODUCT(MAX(($D$4:$D$810=$D9)*($B$4:$B$810&lt;$B9)*$B$4:$B$810))=0,0,MAX(($B9-MAX(SUMPRODUCT(MAX(($D$4:$D$810=$D9)*($B$4:$B$810&lt;$B9)*$B$4:$B$810)),'Guide &amp; Settings'!$C$50))/7-'Guide &amp; Settings'!$C$48,0)*'Guide &amp; Settings'!$C$49))</f>
        <v>0</v>
      </c>
    </row>
    <row r="10" spans="1:29" ht="15" customHeight="1" x14ac:dyDescent="0.2">
      <c r="A10" s="111">
        <v>2</v>
      </c>
      <c r="B10" s="112">
        <v>46175</v>
      </c>
      <c r="C10" s="113" t="s">
        <v>186</v>
      </c>
      <c r="D10" s="113" t="s">
        <v>137</v>
      </c>
      <c r="E10" s="111" t="s">
        <v>309</v>
      </c>
      <c r="F10" s="114">
        <f t="shared" si="0"/>
        <v>8</v>
      </c>
      <c r="G10" s="115" t="str">
        <f t="shared" si="1"/>
        <v>Aaron</v>
      </c>
      <c r="H10" s="116">
        <f>IF($D10="",0,IFERROR(LOOKUP(2,1/(($D$3:D9=$D10)*($A$3:A9&lt;$A10)),$N$3:N9),'Guide &amp; Settings'!$C$41))</f>
        <v>1027</v>
      </c>
      <c r="I10" s="117">
        <f t="shared" si="2"/>
        <v>0.125</v>
      </c>
      <c r="J10" s="118">
        <f>IF($D10="",0,IF($F10&lt;2,0,IF($E10="Win",('Guide &amp; Settings'!$C$42/(($F10-1)*COUNTIFS($A$4:$A$810,$A10,$E$4:$E$810,"Win")))*SUMIFS($X$4:$X$810,$A$4:$A$810,$A10,$E$4:$E$810,"Loss"),-('Guide &amp; Settings'!$C$42/($F10-1))*$X10)))</f>
        <v>-2.4629855636899269</v>
      </c>
      <c r="K10" s="118">
        <f>IF($D10="",0,'Guide &amp; Settings'!$C$43*(IF($E10="Win",1,0)-$I10))</f>
        <v>-1.5</v>
      </c>
      <c r="L10" s="119">
        <f>IF($D10="",0,'Guide &amp; Settings'!$C$44*IF($F10&gt;=3,$F10,0))</f>
        <v>8</v>
      </c>
      <c r="M10" s="118">
        <f t="shared" si="3"/>
        <v>4.0370144363100735</v>
      </c>
      <c r="N10" s="116">
        <f t="shared" si="4"/>
        <v>1031.0370144363101</v>
      </c>
      <c r="O10" s="115" t="str">
        <f t="shared" si="5"/>
        <v>OK</v>
      </c>
      <c r="P10">
        <f t="shared" si="6"/>
        <v>1000</v>
      </c>
      <c r="Q10">
        <f t="shared" si="7"/>
        <v>0.53877809205717153</v>
      </c>
      <c r="R10">
        <f t="shared" si="8"/>
        <v>0.5</v>
      </c>
      <c r="S10">
        <f t="shared" si="9"/>
        <v>4</v>
      </c>
      <c r="T10" s="83">
        <f t="shared" si="10"/>
        <v>0</v>
      </c>
      <c r="U10" s="120">
        <f>IF($D10="",0,IFERROR(LOOKUP(2,1/(($D$3:D9=$D10)*($C$3:C9=$C10)*($A$3:A9&lt;$A10)),$AB$3:AB9),1000))</f>
        <v>1000</v>
      </c>
      <c r="V10" s="120">
        <f t="shared" si="11"/>
        <v>1027</v>
      </c>
      <c r="W10">
        <f t="shared" si="12"/>
        <v>1000</v>
      </c>
      <c r="X10">
        <f t="shared" si="13"/>
        <v>0.53877809205717153</v>
      </c>
      <c r="Y10">
        <f t="shared" si="14"/>
        <v>1000</v>
      </c>
      <c r="Z10">
        <f t="shared" si="15"/>
        <v>0.5</v>
      </c>
      <c r="AA10">
        <f>IF($D10="",0,IF($F10&lt;2,0,IF($E10="Win",('Guide &amp; Settings'!$C$42/(($F10-1)*COUNTIFS($A$4:$A$810,$A10,$E$4:$E$810,"Win")))*SUMIFS($Z$4:$Z$810,$A$4:$A$810,$A10,$E$4:$E$810,"Loss"),-('Guide &amp; Settings'!$C$42/($F10-1))*$Z10)))</f>
        <v>-2.2857142857142856</v>
      </c>
      <c r="AB10" s="120">
        <f t="shared" si="16"/>
        <v>997.71428571428567</v>
      </c>
      <c r="AC10" s="120">
        <f>IF($D10="","",IF(SUMPRODUCT(MAX(($D$4:$D$810=$D10)*($B$4:$B$810&lt;$B10)*$B$4:$B$810))=0,0,MAX(($B10-MAX(SUMPRODUCT(MAX(($D$4:$D$810=$D10)*($B$4:$B$810&lt;$B10)*$B$4:$B$810)),'Guide &amp; Settings'!$C$50))/7-'Guide &amp; Settings'!$C$48,0)*'Guide &amp; Settings'!$C$49))</f>
        <v>0</v>
      </c>
    </row>
    <row r="11" spans="1:29" ht="15" customHeight="1" x14ac:dyDescent="0.2">
      <c r="A11" s="111">
        <v>2</v>
      </c>
      <c r="B11" s="112">
        <v>46175</v>
      </c>
      <c r="C11" s="113" t="s">
        <v>186</v>
      </c>
      <c r="D11" s="113" t="s">
        <v>168</v>
      </c>
      <c r="E11" s="111" t="s">
        <v>309</v>
      </c>
      <c r="F11" s="114">
        <f t="shared" si="0"/>
        <v>8</v>
      </c>
      <c r="G11" s="115" t="str">
        <f t="shared" si="1"/>
        <v>Aaron</v>
      </c>
      <c r="H11" s="116">
        <f>IF($D11="",0,IFERROR(LOOKUP(2,1/(($D$3:D10=$D11)*($A$3:A10&lt;$A11)),$N$3:N10),'Guide &amp; Settings'!$C$41))</f>
        <v>1000</v>
      </c>
      <c r="I11" s="117">
        <f t="shared" si="2"/>
        <v>0.125</v>
      </c>
      <c r="J11" s="118">
        <f>IF($D11="",0,IF($F11&lt;2,0,IF($E11="Win",('Guide &amp; Settings'!$C$42/(($F11-1)*COUNTIFS($A$4:$A$810,$A11,$E$4:$E$810,"Win")))*SUMIFS($X$4:$X$810,$A$4:$A$810,$A11,$E$4:$E$810,"Loss"),-('Guide &amp; Settings'!$C$42/($F11-1))*$X11)))</f>
        <v>-2.2857142857142856</v>
      </c>
      <c r="K11" s="118">
        <f>IF($D11="",0,'Guide &amp; Settings'!$C$43*(IF($E11="Win",1,0)-$I11))</f>
        <v>-1.5</v>
      </c>
      <c r="L11" s="119">
        <f>IF($D11="",0,'Guide &amp; Settings'!$C$44*IF($F11&gt;=3,$F11,0))</f>
        <v>8</v>
      </c>
      <c r="M11" s="118">
        <f t="shared" si="3"/>
        <v>4.2142857142857144</v>
      </c>
      <c r="N11" s="116">
        <f t="shared" si="4"/>
        <v>1004.2142857142857</v>
      </c>
      <c r="O11" s="115" t="str">
        <f t="shared" si="5"/>
        <v>OK</v>
      </c>
      <c r="P11">
        <f t="shared" si="6"/>
        <v>1000</v>
      </c>
      <c r="Q11">
        <f t="shared" si="7"/>
        <v>0.5</v>
      </c>
      <c r="R11">
        <f t="shared" si="8"/>
        <v>0.5</v>
      </c>
      <c r="S11">
        <f t="shared" si="9"/>
        <v>4</v>
      </c>
      <c r="T11" s="83">
        <f t="shared" si="10"/>
        <v>0</v>
      </c>
      <c r="U11" s="120">
        <f>IF($D11="",0,IFERROR(LOOKUP(2,1/(($D$3:D10=$D11)*($C$3:C10=$C11)*($A$3:A10&lt;$A11)),$AB$3:AB10),1000))</f>
        <v>1000</v>
      </c>
      <c r="V11" s="120">
        <f t="shared" si="11"/>
        <v>1000</v>
      </c>
      <c r="W11">
        <f t="shared" si="12"/>
        <v>1000</v>
      </c>
      <c r="X11">
        <f t="shared" si="13"/>
        <v>0.5</v>
      </c>
      <c r="Y11">
        <f t="shared" si="14"/>
        <v>1000</v>
      </c>
      <c r="Z11">
        <f t="shared" si="15"/>
        <v>0.5</v>
      </c>
      <c r="AA11">
        <f>IF($D11="",0,IF($F11&lt;2,0,IF($E11="Win",('Guide &amp; Settings'!$C$42/(($F11-1)*COUNTIFS($A$4:$A$810,$A11,$E$4:$E$810,"Win")))*SUMIFS($Z$4:$Z$810,$A$4:$A$810,$A11,$E$4:$E$810,"Loss"),-('Guide &amp; Settings'!$C$42/($F11-1))*$Z11)))</f>
        <v>-2.2857142857142856</v>
      </c>
      <c r="AB11" s="120">
        <f t="shared" si="16"/>
        <v>997.71428571428567</v>
      </c>
      <c r="AC11" s="120">
        <f>IF($D11="","",IF(SUMPRODUCT(MAX(($D$4:$D$810=$D11)*($B$4:$B$810&lt;$B11)*$B$4:$B$810))=0,0,MAX(($B11-MAX(SUMPRODUCT(MAX(($D$4:$D$810=$D11)*($B$4:$B$810&lt;$B11)*$B$4:$B$810)),'Guide &amp; Settings'!$C$50))/7-'Guide &amp; Settings'!$C$48,0)*'Guide &amp; Settings'!$C$49))</f>
        <v>0</v>
      </c>
    </row>
    <row r="12" spans="1:29" ht="15" customHeight="1" x14ac:dyDescent="0.2">
      <c r="A12" s="111">
        <v>2</v>
      </c>
      <c r="B12" s="112">
        <v>46175</v>
      </c>
      <c r="C12" s="113" t="s">
        <v>186</v>
      </c>
      <c r="D12" s="113" t="s">
        <v>140</v>
      </c>
      <c r="E12" s="111" t="s">
        <v>309</v>
      </c>
      <c r="F12" s="114">
        <f t="shared" si="0"/>
        <v>8</v>
      </c>
      <c r="G12" s="115" t="str">
        <f t="shared" si="1"/>
        <v>Aaron</v>
      </c>
      <c r="H12" s="116">
        <f>IF($D12="",0,IFERROR(LOOKUP(2,1/(($D$3:D11=$D12)*($A$3:A11&lt;$A12)),$N$3:N11),'Guide &amp; Settings'!$C$41))</f>
        <v>1000</v>
      </c>
      <c r="I12" s="117">
        <f t="shared" si="2"/>
        <v>0.125</v>
      </c>
      <c r="J12" s="118">
        <f>IF($D12="",0,IF($F12&lt;2,0,IF($E12="Win",('Guide &amp; Settings'!$C$42/(($F12-1)*COUNTIFS($A$4:$A$810,$A12,$E$4:$E$810,"Win")))*SUMIFS($X$4:$X$810,$A$4:$A$810,$A12,$E$4:$E$810,"Loss"),-('Guide &amp; Settings'!$C$42/($F12-1))*$X12)))</f>
        <v>-2.2857142857142856</v>
      </c>
      <c r="K12" s="118">
        <f>IF($D12="",0,'Guide &amp; Settings'!$C$43*(IF($E12="Win",1,0)-$I12))</f>
        <v>-1.5</v>
      </c>
      <c r="L12" s="119">
        <f>IF($D12="",0,'Guide &amp; Settings'!$C$44*IF($F12&gt;=3,$F12,0))</f>
        <v>8</v>
      </c>
      <c r="M12" s="118">
        <f t="shared" si="3"/>
        <v>4.2142857142857144</v>
      </c>
      <c r="N12" s="116">
        <f t="shared" si="4"/>
        <v>1004.2142857142857</v>
      </c>
      <c r="O12" s="115" t="str">
        <f t="shared" si="5"/>
        <v>OK</v>
      </c>
      <c r="P12">
        <f t="shared" si="6"/>
        <v>1000</v>
      </c>
      <c r="Q12">
        <f t="shared" si="7"/>
        <v>0.5</v>
      </c>
      <c r="R12">
        <f t="shared" si="8"/>
        <v>0.5</v>
      </c>
      <c r="S12">
        <f t="shared" si="9"/>
        <v>4</v>
      </c>
      <c r="T12" s="83">
        <f t="shared" si="10"/>
        <v>0</v>
      </c>
      <c r="U12" s="120">
        <f>IF($D12="",0,IFERROR(LOOKUP(2,1/(($D$3:D11=$D12)*($C$3:C11=$C12)*($A$3:A11&lt;$A12)),$AB$3:AB11),1000))</f>
        <v>1000</v>
      </c>
      <c r="V12" s="120">
        <f t="shared" si="11"/>
        <v>1000</v>
      </c>
      <c r="W12">
        <f t="shared" si="12"/>
        <v>1000</v>
      </c>
      <c r="X12">
        <f t="shared" si="13"/>
        <v>0.5</v>
      </c>
      <c r="Y12">
        <f t="shared" si="14"/>
        <v>1000</v>
      </c>
      <c r="Z12">
        <f t="shared" si="15"/>
        <v>0.5</v>
      </c>
      <c r="AA12">
        <f>IF($D12="",0,IF($F12&lt;2,0,IF($E12="Win",('Guide &amp; Settings'!$C$42/(($F12-1)*COUNTIFS($A$4:$A$810,$A12,$E$4:$E$810,"Win")))*SUMIFS($Z$4:$Z$810,$A$4:$A$810,$A12,$E$4:$E$810,"Loss"),-('Guide &amp; Settings'!$C$42/($F12-1))*$Z12)))</f>
        <v>-2.2857142857142856</v>
      </c>
      <c r="AB12" s="120">
        <f t="shared" si="16"/>
        <v>997.71428571428567</v>
      </c>
      <c r="AC12" s="120">
        <f>IF($D12="","",IF(SUMPRODUCT(MAX(($D$4:$D$810=$D12)*($B$4:$B$810&lt;$B12)*$B$4:$B$810))=0,0,MAX(($B12-MAX(SUMPRODUCT(MAX(($D$4:$D$810=$D12)*($B$4:$B$810&lt;$B12)*$B$4:$B$810)),'Guide &amp; Settings'!$C$50))/7-'Guide &amp; Settings'!$C$48,0)*'Guide &amp; Settings'!$C$49))</f>
        <v>0</v>
      </c>
    </row>
    <row r="13" spans="1:29" ht="15" customHeight="1" x14ac:dyDescent="0.2">
      <c r="A13" s="111">
        <v>2</v>
      </c>
      <c r="B13" s="112">
        <v>46175</v>
      </c>
      <c r="C13" s="113" t="s">
        <v>186</v>
      </c>
      <c r="D13" s="113" t="s">
        <v>169</v>
      </c>
      <c r="E13" s="111" t="s">
        <v>309</v>
      </c>
      <c r="F13" s="114">
        <f t="shared" si="0"/>
        <v>8</v>
      </c>
      <c r="G13" s="115" t="str">
        <f t="shared" si="1"/>
        <v>Aaron</v>
      </c>
      <c r="H13" s="116">
        <f>IF($D13="",0,IFERROR(LOOKUP(2,1/(($D$3:D12=$D13)*($A$3:A12&lt;$A13)),$N$3:N12),'Guide &amp; Settings'!$C$41))</f>
        <v>991</v>
      </c>
      <c r="I13" s="117">
        <f t="shared" si="2"/>
        <v>0.125</v>
      </c>
      <c r="J13" s="118">
        <f>IF($D13="",0,IF($F13&lt;2,0,IF($E13="Win",('Guide &amp; Settings'!$C$42/(($F13-1)*COUNTIFS($A$4:$A$810,$A13,$E$4:$E$810,"Win")))*SUMIFS($X$4:$X$810,$A$4:$A$810,$A13,$E$4:$E$810,"Loss"),-('Guide &amp; Settings'!$C$42/($F13-1))*$X13)))</f>
        <v>-2.2265181947754797</v>
      </c>
      <c r="K13" s="118">
        <f>IF($D13="",0,'Guide &amp; Settings'!$C$43*(IF($E13="Win",1,0)-$I13))</f>
        <v>-1.5</v>
      </c>
      <c r="L13" s="119">
        <f>IF($D13="",0,'Guide &amp; Settings'!$C$44*IF($F13&gt;=3,$F13,0))</f>
        <v>8</v>
      </c>
      <c r="M13" s="118">
        <f t="shared" si="3"/>
        <v>4.2734818052245203</v>
      </c>
      <c r="N13" s="116">
        <f t="shared" si="4"/>
        <v>995.27348180522449</v>
      </c>
      <c r="O13" s="115" t="str">
        <f t="shared" si="5"/>
        <v>OK</v>
      </c>
      <c r="P13">
        <f t="shared" si="6"/>
        <v>1000</v>
      </c>
      <c r="Q13">
        <f t="shared" si="7"/>
        <v>0.48705085510713625</v>
      </c>
      <c r="R13">
        <f t="shared" si="8"/>
        <v>0.5</v>
      </c>
      <c r="S13">
        <f t="shared" si="9"/>
        <v>4</v>
      </c>
      <c r="T13" s="83">
        <f t="shared" si="10"/>
        <v>0</v>
      </c>
      <c r="U13" s="120">
        <f>IF($D13="",0,IFERROR(LOOKUP(2,1/(($D$3:D12=$D13)*($C$3:C12=$C13)*($A$3:A12&lt;$A13)),$AB$3:AB12),1000))</f>
        <v>1000</v>
      </c>
      <c r="V13" s="120">
        <f t="shared" si="11"/>
        <v>991</v>
      </c>
      <c r="W13">
        <f t="shared" si="12"/>
        <v>1000</v>
      </c>
      <c r="X13">
        <f t="shared" si="13"/>
        <v>0.48705085510713625</v>
      </c>
      <c r="Y13">
        <f t="shared" si="14"/>
        <v>1000</v>
      </c>
      <c r="Z13">
        <f t="shared" si="15"/>
        <v>0.5</v>
      </c>
      <c r="AA13">
        <f>IF($D13="",0,IF($F13&lt;2,0,IF($E13="Win",('Guide &amp; Settings'!$C$42/(($F13-1)*COUNTIFS($A$4:$A$810,$A13,$E$4:$E$810,"Win")))*SUMIFS($Z$4:$Z$810,$A$4:$A$810,$A13,$E$4:$E$810,"Loss"),-('Guide &amp; Settings'!$C$42/($F13-1))*$Z13)))</f>
        <v>-2.2857142857142856</v>
      </c>
      <c r="AB13" s="120">
        <f t="shared" si="16"/>
        <v>997.71428571428567</v>
      </c>
      <c r="AC13" s="120">
        <f>IF($D13="","",IF(SUMPRODUCT(MAX(($D$4:$D$810=$D13)*($B$4:$B$810&lt;$B13)*$B$4:$B$810))=0,0,MAX(($B13-MAX(SUMPRODUCT(MAX(($D$4:$D$810=$D13)*($B$4:$B$810&lt;$B13)*$B$4:$B$810)),'Guide &amp; Settings'!$C$50))/7-'Guide &amp; Settings'!$C$48,0)*'Guide &amp; Settings'!$C$49))</f>
        <v>0</v>
      </c>
    </row>
    <row r="14" spans="1:29" ht="15" customHeight="1" x14ac:dyDescent="0.2">
      <c r="A14" s="111">
        <v>2</v>
      </c>
      <c r="B14" s="112">
        <v>46175</v>
      </c>
      <c r="C14" s="113" t="s">
        <v>186</v>
      </c>
      <c r="D14" s="113" t="s">
        <v>173</v>
      </c>
      <c r="E14" s="111" t="s">
        <v>309</v>
      </c>
      <c r="F14" s="114">
        <f t="shared" si="0"/>
        <v>8</v>
      </c>
      <c r="G14" s="115" t="str">
        <f t="shared" si="1"/>
        <v>Aaron</v>
      </c>
      <c r="H14" s="116">
        <f>IF($D14="",0,IFERROR(LOOKUP(2,1/(($D$3:D13=$D14)*($A$3:A13&lt;$A14)),$N$3:N13),'Guide &amp; Settings'!$C$41))</f>
        <v>1000</v>
      </c>
      <c r="I14" s="117">
        <f t="shared" si="2"/>
        <v>0.125</v>
      </c>
      <c r="J14" s="118">
        <f>IF($D14="",0,IF($F14&lt;2,0,IF($E14="Win",('Guide &amp; Settings'!$C$42/(($F14-1)*COUNTIFS($A$4:$A$810,$A14,$E$4:$E$810,"Win")))*SUMIFS($X$4:$X$810,$A$4:$A$810,$A14,$E$4:$E$810,"Loss"),-('Guide &amp; Settings'!$C$42/($F14-1))*$X14)))</f>
        <v>-2.2857142857142856</v>
      </c>
      <c r="K14" s="118">
        <f>IF($D14="",0,'Guide &amp; Settings'!$C$43*(IF($E14="Win",1,0)-$I14))</f>
        <v>-1.5</v>
      </c>
      <c r="L14" s="119">
        <f>IF($D14="",0,'Guide &amp; Settings'!$C$44*IF($F14&gt;=3,$F14,0))</f>
        <v>8</v>
      </c>
      <c r="M14" s="118">
        <f t="shared" si="3"/>
        <v>4.2142857142857144</v>
      </c>
      <c r="N14" s="116">
        <f t="shared" si="4"/>
        <v>1004.2142857142857</v>
      </c>
      <c r="O14" s="115" t="str">
        <f t="shared" si="5"/>
        <v>OK</v>
      </c>
      <c r="P14">
        <f t="shared" si="6"/>
        <v>1000</v>
      </c>
      <c r="Q14">
        <f t="shared" si="7"/>
        <v>0.5</v>
      </c>
      <c r="R14">
        <f t="shared" si="8"/>
        <v>0.5</v>
      </c>
      <c r="S14">
        <f t="shared" si="9"/>
        <v>4</v>
      </c>
      <c r="T14" s="83">
        <f t="shared" si="10"/>
        <v>0</v>
      </c>
      <c r="U14" s="120">
        <f>IF($D14="",0,IFERROR(LOOKUP(2,1/(($D$3:D13=$D14)*($C$3:C13=$C14)*($A$3:A13&lt;$A14)),$AB$3:AB13),1000))</f>
        <v>1000</v>
      </c>
      <c r="V14" s="120">
        <f t="shared" si="11"/>
        <v>1000</v>
      </c>
      <c r="W14">
        <f t="shared" si="12"/>
        <v>1000</v>
      </c>
      <c r="X14">
        <f t="shared" si="13"/>
        <v>0.5</v>
      </c>
      <c r="Y14">
        <f t="shared" si="14"/>
        <v>1000</v>
      </c>
      <c r="Z14">
        <f t="shared" si="15"/>
        <v>0.5</v>
      </c>
      <c r="AA14">
        <f>IF($D14="",0,IF($F14&lt;2,0,IF($E14="Win",('Guide &amp; Settings'!$C$42/(($F14-1)*COUNTIFS($A$4:$A$810,$A14,$E$4:$E$810,"Win")))*SUMIFS($Z$4:$Z$810,$A$4:$A$810,$A14,$E$4:$E$810,"Loss"),-('Guide &amp; Settings'!$C$42/($F14-1))*$Z14)))</f>
        <v>-2.2857142857142856</v>
      </c>
      <c r="AB14" s="120">
        <f t="shared" si="16"/>
        <v>997.71428571428567</v>
      </c>
      <c r="AC14" s="120">
        <f>IF($D14="","",IF(SUMPRODUCT(MAX(($D$4:$D$810=$D14)*($B$4:$B$810&lt;$B14)*$B$4:$B$810))=0,0,MAX(($B14-MAX(SUMPRODUCT(MAX(($D$4:$D$810=$D14)*($B$4:$B$810&lt;$B14)*$B$4:$B$810)),'Guide &amp; Settings'!$C$50))/7-'Guide &amp; Settings'!$C$48,0)*'Guide &amp; Settings'!$C$49))</f>
        <v>0</v>
      </c>
    </row>
    <row r="15" spans="1:29" ht="15" customHeight="1" x14ac:dyDescent="0.2">
      <c r="A15" s="111">
        <v>3</v>
      </c>
      <c r="B15" s="112">
        <v>46172</v>
      </c>
      <c r="C15" s="113" t="s">
        <v>183</v>
      </c>
      <c r="D15" s="113" t="s">
        <v>170</v>
      </c>
      <c r="E15" s="111" t="s">
        <v>309</v>
      </c>
      <c r="F15" s="114">
        <f t="shared" si="0"/>
        <v>2</v>
      </c>
      <c r="G15" s="115" t="str">
        <f t="shared" si="1"/>
        <v>Shawn</v>
      </c>
      <c r="H15" s="116">
        <f>IF($D15="",0,IFERROR(LOOKUP(2,1/(($D$3:D14=$D15)*($A$3:A14&lt;$A15)),$N$3:N14),'Guide &amp; Settings'!$C$41))</f>
        <v>1004.2142857142857</v>
      </c>
      <c r="I15" s="117">
        <f t="shared" si="2"/>
        <v>0.5</v>
      </c>
      <c r="J15" s="118">
        <f>IF($D15="",0,IF($F15&lt;2,0,IF($E15="Win",('Guide &amp; Settings'!$C$42/(($F15-1)*COUNTIFS($A$4:$A$810,$A15,$E$4:$E$810,"Win")))*SUMIFS($X$4:$X$810,$A$4:$A$810,$A15,$E$4:$E$810,"Loss"),-('Guide &amp; Settings'!$C$42/($F15-1))*$X15)))</f>
        <v>-16.411648372286582</v>
      </c>
      <c r="K15" s="118">
        <f>IF($D15="",0,'Guide &amp; Settings'!$C$43*(IF($E15="Win",1,0)-$I15))</f>
        <v>-6</v>
      </c>
      <c r="L15" s="119">
        <f>IF($D15="",0,'Guide &amp; Settings'!$C$44*IF($F15&gt;=3,$F15,0))</f>
        <v>0</v>
      </c>
      <c r="M15" s="118">
        <f t="shared" si="3"/>
        <v>-22.411648372286582</v>
      </c>
      <c r="N15" s="116">
        <f t="shared" si="4"/>
        <v>981.80263734199912</v>
      </c>
      <c r="O15" s="115" t="str">
        <f t="shared" si="5"/>
        <v>OK</v>
      </c>
      <c r="P15">
        <f t="shared" si="6"/>
        <v>995.27348180522449</v>
      </c>
      <c r="Q15">
        <f t="shared" si="7"/>
        <v>0.51286401163395567</v>
      </c>
      <c r="R15">
        <f t="shared" si="8"/>
        <v>0.5</v>
      </c>
      <c r="S15">
        <f t="shared" si="9"/>
        <v>1</v>
      </c>
      <c r="T15" s="83">
        <f t="shared" si="10"/>
        <v>0</v>
      </c>
      <c r="U15" s="120">
        <f>IF($D15="",0,IFERROR(LOOKUP(2,1/(($D$3:D14=$D15)*($C$3:C14=$C15)*($A$3:A14&lt;$A15)),$AB$3:AB14),1000))</f>
        <v>1000</v>
      </c>
      <c r="V15" s="120">
        <f t="shared" si="11"/>
        <v>1004.2142857142857</v>
      </c>
      <c r="W15">
        <f t="shared" si="12"/>
        <v>995.27348180522449</v>
      </c>
      <c r="X15">
        <f t="shared" si="13"/>
        <v>0.51286401163395567</v>
      </c>
      <c r="Y15">
        <f t="shared" si="14"/>
        <v>1000</v>
      </c>
      <c r="Z15">
        <f t="shared" si="15"/>
        <v>0.5</v>
      </c>
      <c r="AA15">
        <f>IF($D15="",0,IF($F15&lt;2,0,IF($E15="Win",('Guide &amp; Settings'!$C$42/(($F15-1)*COUNTIFS($A$4:$A$810,$A15,$E$4:$E$810,"Win")))*SUMIFS($Z$4:$Z$810,$A$4:$A$810,$A15,$E$4:$E$810,"Loss"),-('Guide &amp; Settings'!$C$42/($F15-1))*$Z15)))</f>
        <v>-16</v>
      </c>
      <c r="AB15" s="120">
        <f t="shared" si="16"/>
        <v>984</v>
      </c>
      <c r="AC15" s="120">
        <f>IF($D15="","",IF(SUMPRODUCT(MAX(($D$4:$D$810=$D15)*($B$4:$B$810&lt;$B15)*$B$4:$B$810))=0,0,MAX(($B15-MAX(SUMPRODUCT(MAX(($D$4:$D$810=$D15)*($B$4:$B$810&lt;$B15)*$B$4:$B$810)),'Guide &amp; Settings'!$C$50))/7-'Guide &amp; Settings'!$C$48,0)*'Guide &amp; Settings'!$C$49))</f>
        <v>0</v>
      </c>
    </row>
    <row r="16" spans="1:29" ht="15" customHeight="1" x14ac:dyDescent="0.2">
      <c r="A16" s="111">
        <v>3</v>
      </c>
      <c r="B16" s="112">
        <v>46172</v>
      </c>
      <c r="C16" s="113" t="s">
        <v>183</v>
      </c>
      <c r="D16" s="113" t="s">
        <v>134</v>
      </c>
      <c r="E16" s="111" t="s">
        <v>308</v>
      </c>
      <c r="F16" s="114">
        <f t="shared" si="0"/>
        <v>2</v>
      </c>
      <c r="G16" s="115" t="str">
        <f t="shared" si="1"/>
        <v>Shawn</v>
      </c>
      <c r="H16" s="116">
        <f>IF($D16="",0,IFERROR(LOOKUP(2,1/(($D$3:D15=$D16)*($A$3:A15&lt;$A16)),$N$3:N15),'Guide &amp; Settings'!$C$41))</f>
        <v>995.27348180522449</v>
      </c>
      <c r="I16" s="117">
        <f t="shared" si="2"/>
        <v>0.5</v>
      </c>
      <c r="J16" s="118">
        <f>IF($D16="",0,IF($F16&lt;2,0,IF($E16="Win",('Guide &amp; Settings'!$C$42/(($F16-1)*COUNTIFS($A$4:$A$810,$A16,$E$4:$E$810,"Win")))*SUMIFS($X$4:$X$810,$A$4:$A$810,$A16,$E$4:$E$810,"Loss"),-('Guide &amp; Settings'!$C$42/($F16-1))*$X16)))</f>
        <v>16.411648372286582</v>
      </c>
      <c r="K16" s="118">
        <f>IF($D16="",0,'Guide &amp; Settings'!$C$43*(IF($E16="Win",1,0)-$I16))</f>
        <v>6</v>
      </c>
      <c r="L16" s="119">
        <f>IF($D16="",0,'Guide &amp; Settings'!$C$44*IF($F16&gt;=3,$F16,0))</f>
        <v>0</v>
      </c>
      <c r="M16" s="118">
        <f t="shared" si="3"/>
        <v>22.411648372286582</v>
      </c>
      <c r="N16" s="116">
        <f t="shared" si="4"/>
        <v>1017.685130177511</v>
      </c>
      <c r="O16" s="115" t="str">
        <f t="shared" si="5"/>
        <v>OK</v>
      </c>
      <c r="P16">
        <f t="shared" si="6"/>
        <v>995.27348180522449</v>
      </c>
      <c r="Q16">
        <f t="shared" si="7"/>
        <v>0.5</v>
      </c>
      <c r="R16">
        <f t="shared" si="8"/>
        <v>0.5</v>
      </c>
      <c r="S16">
        <f t="shared" si="9"/>
        <v>1</v>
      </c>
      <c r="T16" s="83">
        <f t="shared" si="10"/>
        <v>0</v>
      </c>
      <c r="U16" s="120">
        <f>IF($D16="",0,IFERROR(LOOKUP(2,1/(($D$3:D15=$D16)*($C$3:C15=$C16)*($A$3:A15&lt;$A16)),$AB$3:AB15),1000))</f>
        <v>1000</v>
      </c>
      <c r="V16" s="120">
        <f t="shared" si="11"/>
        <v>995.27348180522449</v>
      </c>
      <c r="W16">
        <f t="shared" si="12"/>
        <v>995.27348180522449</v>
      </c>
      <c r="X16">
        <f t="shared" si="13"/>
        <v>0.5</v>
      </c>
      <c r="Y16">
        <f t="shared" si="14"/>
        <v>1000</v>
      </c>
      <c r="Z16">
        <f t="shared" si="15"/>
        <v>0.5</v>
      </c>
      <c r="AA16">
        <f>IF($D16="",0,IF($F16&lt;2,0,IF($E16="Win",('Guide &amp; Settings'!$C$42/(($F16-1)*COUNTIFS($A$4:$A$810,$A16,$E$4:$E$810,"Win")))*SUMIFS($Z$4:$Z$810,$A$4:$A$810,$A16,$E$4:$E$810,"Loss"),-('Guide &amp; Settings'!$C$42/($F16-1))*$Z16)))</f>
        <v>16</v>
      </c>
      <c r="AB16" s="120">
        <f t="shared" si="16"/>
        <v>1016</v>
      </c>
      <c r="AC16" s="120">
        <f>IF($D16="","",IF(SUMPRODUCT(MAX(($D$4:$D$810=$D16)*($B$4:$B$810&lt;$B16)*$B$4:$B$810))=0,0,MAX(($B16-MAX(SUMPRODUCT(MAX(($D$4:$D$810=$D16)*($B$4:$B$810&lt;$B16)*$B$4:$B$810)),'Guide &amp; Settings'!$C$50))/7-'Guide &amp; Settings'!$C$48,0)*'Guide &amp; Settings'!$C$49))</f>
        <v>0</v>
      </c>
    </row>
    <row r="17" spans="1:29" ht="15" customHeight="1" x14ac:dyDescent="0.2">
      <c r="A17" s="111">
        <v>4</v>
      </c>
      <c r="B17" s="112">
        <v>46172</v>
      </c>
      <c r="C17" s="113" t="s">
        <v>183</v>
      </c>
      <c r="D17" s="113" t="s">
        <v>170</v>
      </c>
      <c r="E17" s="111" t="s">
        <v>309</v>
      </c>
      <c r="F17" s="114">
        <f t="shared" si="0"/>
        <v>2</v>
      </c>
      <c r="G17" s="115" t="str">
        <f t="shared" si="1"/>
        <v>Shawn</v>
      </c>
      <c r="H17" s="116">
        <f>IF($D17="",0,IFERROR(LOOKUP(2,1/(($D$3:D16=$D17)*($A$3:A16&lt;$A17)),$N$3:N16),'Guide &amp; Settings'!$C$41))</f>
        <v>981.80263734199912</v>
      </c>
      <c r="I17" s="117">
        <f t="shared" si="2"/>
        <v>0.33333333333333331</v>
      </c>
      <c r="J17" s="118">
        <f>IF($D17="",0,IF($F17&lt;2,0,IF($E17="Win",('Guide &amp; Settings'!$C$42/(($F17-1)*COUNTIFS($A$4:$A$810,$A17,$E$4:$E$810,"Win")))*SUMIFS($X$4:$X$810,$A$4:$A$810,$A17,$E$4:$E$810,"Loss"),-('Guide &amp; Settings'!$C$42/($F17-1))*$X17)))</f>
        <v>-14.382889641165336</v>
      </c>
      <c r="K17" s="118">
        <f>IF($D17="",0,'Guide &amp; Settings'!$C$43*(IF($E17="Win",1,0)-$I17))</f>
        <v>-4</v>
      </c>
      <c r="L17" s="119">
        <f>IF($D17="",0,'Guide &amp; Settings'!$C$44*IF($F17&gt;=3,$F17,0))</f>
        <v>0</v>
      </c>
      <c r="M17" s="118">
        <f t="shared" si="3"/>
        <v>-18.382889641165335</v>
      </c>
      <c r="N17" s="116">
        <f t="shared" si="4"/>
        <v>963.4197477008338</v>
      </c>
      <c r="O17" s="115" t="str">
        <f t="shared" si="5"/>
        <v>OK</v>
      </c>
      <c r="P17">
        <f t="shared" si="6"/>
        <v>1017.685130177511</v>
      </c>
      <c r="Q17">
        <f t="shared" si="7"/>
        <v>0.44854376226039305</v>
      </c>
      <c r="R17">
        <f t="shared" si="8"/>
        <v>0.33333333333333331</v>
      </c>
      <c r="S17">
        <f t="shared" si="9"/>
        <v>1</v>
      </c>
      <c r="T17" s="83">
        <f t="shared" si="10"/>
        <v>1</v>
      </c>
      <c r="U17" s="120">
        <f>IF($D17="",0,IFERROR(LOOKUP(2,1/(($D$3:D16=$D17)*($C$3:C16=$C17)*($A$3:A16&lt;$A17)),$AB$3:AB16),1000))</f>
        <v>984</v>
      </c>
      <c r="V17" s="120">
        <f t="shared" si="11"/>
        <v>982.16886445166597</v>
      </c>
      <c r="W17">
        <f t="shared" si="12"/>
        <v>1017.4042751479258</v>
      </c>
      <c r="X17">
        <f t="shared" si="13"/>
        <v>0.44946530128641676</v>
      </c>
      <c r="Y17">
        <f t="shared" si="14"/>
        <v>1016</v>
      </c>
      <c r="Z17">
        <f t="shared" si="15"/>
        <v>0.45407807721951632</v>
      </c>
      <c r="AA17">
        <f>IF($D17="",0,IF($F17&lt;2,0,IF($E17="Win",('Guide &amp; Settings'!$C$42/(($F17-1)*COUNTIFS($A$4:$A$810,$A17,$E$4:$E$810,"Win")))*SUMIFS($Z$4:$Z$810,$A$4:$A$810,$A17,$E$4:$E$810,"Loss"),-('Guide &amp; Settings'!$C$42/($F17-1))*$Z17)))</f>
        <v>-14.530498471024522</v>
      </c>
      <c r="AB17" s="120">
        <f t="shared" si="16"/>
        <v>969.46950152897546</v>
      </c>
      <c r="AC17" s="120">
        <f>IF($D17="","",IF(SUMPRODUCT(MAX(($D$4:$D$810=$D17)*($B$4:$B$810&lt;$B17)*$B$4:$B$810))=0,0,MAX(($B17-MAX(SUMPRODUCT(MAX(($D$4:$D$810=$D17)*($B$4:$B$810&lt;$B17)*$B$4:$B$810)),'Guide &amp; Settings'!$C$50))/7-'Guide &amp; Settings'!$C$48,0)*'Guide &amp; Settings'!$C$49))</f>
        <v>0</v>
      </c>
    </row>
    <row r="18" spans="1:29" ht="15" customHeight="1" x14ac:dyDescent="0.2">
      <c r="A18" s="111">
        <v>4</v>
      </c>
      <c r="B18" s="112">
        <v>46172</v>
      </c>
      <c r="C18" s="113" t="s">
        <v>183</v>
      </c>
      <c r="D18" s="113" t="s">
        <v>134</v>
      </c>
      <c r="E18" s="111" t="s">
        <v>308</v>
      </c>
      <c r="F18" s="114">
        <f t="shared" si="0"/>
        <v>2</v>
      </c>
      <c r="G18" s="115" t="str">
        <f t="shared" si="1"/>
        <v>Shawn</v>
      </c>
      <c r="H18" s="116">
        <f>IF($D18="",0,IFERROR(LOOKUP(2,1/(($D$3:D17=$D18)*($A$3:A17&lt;$A18)),$N$3:N17),'Guide &amp; Settings'!$C$41))</f>
        <v>1017.685130177511</v>
      </c>
      <c r="I18" s="117">
        <f t="shared" si="2"/>
        <v>0.66666666666666663</v>
      </c>
      <c r="J18" s="118">
        <f>IF($D18="",0,IF($F18&lt;2,0,IF($E18="Win",('Guide &amp; Settings'!$C$42/(($F18-1)*COUNTIFS($A$4:$A$810,$A18,$E$4:$E$810,"Win")))*SUMIFS($X$4:$X$810,$A$4:$A$810,$A18,$E$4:$E$810,"Loss"),-('Guide &amp; Settings'!$C$42/($F18-1))*$X18)))</f>
        <v>14.382889641165336</v>
      </c>
      <c r="K18" s="118">
        <f>IF($D18="",0,'Guide &amp; Settings'!$C$43*(IF($E18="Win",1,0)-$I18))</f>
        <v>4</v>
      </c>
      <c r="L18" s="119">
        <f>IF($D18="",0,'Guide &amp; Settings'!$C$44*IF($F18&gt;=3,$F18,0))</f>
        <v>0</v>
      </c>
      <c r="M18" s="118">
        <f t="shared" si="3"/>
        <v>18.382889641165335</v>
      </c>
      <c r="N18" s="116">
        <f t="shared" si="4"/>
        <v>1036.0680198186765</v>
      </c>
      <c r="O18" s="115" t="str">
        <f t="shared" si="5"/>
        <v>OK</v>
      </c>
      <c r="P18">
        <f t="shared" si="6"/>
        <v>1017.685130177511</v>
      </c>
      <c r="Q18">
        <f t="shared" si="7"/>
        <v>0.5</v>
      </c>
      <c r="R18">
        <f t="shared" si="8"/>
        <v>0.66666666666666663</v>
      </c>
      <c r="S18">
        <f t="shared" si="9"/>
        <v>1</v>
      </c>
      <c r="T18" s="83">
        <f t="shared" si="10"/>
        <v>1</v>
      </c>
      <c r="U18" s="120">
        <f>IF($D18="",0,IFERROR(LOOKUP(2,1/(($D$3:D17=$D18)*($C$3:C17=$C18)*($A$3:A17&lt;$A18)),$AB$3:AB17),1000))</f>
        <v>1016</v>
      </c>
      <c r="V18" s="120">
        <f t="shared" si="11"/>
        <v>1017.4042751479258</v>
      </c>
      <c r="W18">
        <f t="shared" si="12"/>
        <v>1017.4042751479258</v>
      </c>
      <c r="X18">
        <f t="shared" si="13"/>
        <v>0.5</v>
      </c>
      <c r="Y18">
        <f t="shared" si="14"/>
        <v>1016</v>
      </c>
      <c r="Z18">
        <f t="shared" si="15"/>
        <v>0.5</v>
      </c>
      <c r="AA18">
        <f>IF($D18="",0,IF($F18&lt;2,0,IF($E18="Win",('Guide &amp; Settings'!$C$42/(($F18-1)*COUNTIFS($A$4:$A$810,$A18,$E$4:$E$810,"Win")))*SUMIFS($Z$4:$Z$810,$A$4:$A$810,$A18,$E$4:$E$810,"Loss"),-('Guide &amp; Settings'!$C$42/($F18-1))*$Z18)))</f>
        <v>14.530498471024522</v>
      </c>
      <c r="AB18" s="120">
        <f t="shared" si="16"/>
        <v>1030.5304984710244</v>
      </c>
      <c r="AC18" s="120">
        <f>IF($D18="","",IF(SUMPRODUCT(MAX(($D$4:$D$810=$D18)*($B$4:$B$810&lt;$B18)*$B$4:$B$810))=0,0,MAX(($B18-MAX(SUMPRODUCT(MAX(($D$4:$D$810=$D18)*($B$4:$B$810&lt;$B18)*$B$4:$B$810)),'Guide &amp; Settings'!$C$50))/7-'Guide &amp; Settings'!$C$48,0)*'Guide &amp; Settings'!$C$49))</f>
        <v>0</v>
      </c>
    </row>
    <row r="19" spans="1:29" ht="15" customHeight="1" x14ac:dyDescent="0.2">
      <c r="A19" s="111">
        <v>5</v>
      </c>
      <c r="B19" s="112">
        <v>46172</v>
      </c>
      <c r="C19" s="113" t="s">
        <v>183</v>
      </c>
      <c r="D19" s="113" t="s">
        <v>170</v>
      </c>
      <c r="E19" s="111" t="s">
        <v>309</v>
      </c>
      <c r="F19" s="114">
        <f t="shared" si="0"/>
        <v>2</v>
      </c>
      <c r="G19" s="115" t="str">
        <f t="shared" si="1"/>
        <v>Shawn</v>
      </c>
      <c r="H19" s="116">
        <f>IF($D19="",0,IFERROR(LOOKUP(2,1/(($D$3:D18=$D19)*($A$3:A18&lt;$A19)),$N$3:N18),'Guide &amp; Settings'!$C$41))</f>
        <v>963.4197477008338</v>
      </c>
      <c r="I19" s="117">
        <f t="shared" si="2"/>
        <v>0.25</v>
      </c>
      <c r="J19" s="118">
        <f>IF($D19="",0,IF($F19&lt;2,0,IF($E19="Win",('Guide &amp; Settings'!$C$42/(($F19-1)*COUNTIFS($A$4:$A$810,$A19,$E$4:$E$810,"Win")))*SUMIFS($X$4:$X$810,$A$4:$A$810,$A19,$E$4:$E$810,"Loss"),-('Guide &amp; Settings'!$C$42/($F19-1))*$X19)))</f>
        <v>-12.84861173919432</v>
      </c>
      <c r="K19" s="118">
        <f>IF($D19="",0,'Guide &amp; Settings'!$C$43*(IF($E19="Win",1,0)-$I19))</f>
        <v>-3</v>
      </c>
      <c r="L19" s="119">
        <f>IF($D19="",0,'Guide &amp; Settings'!$C$44*IF($F19&gt;=3,$F19,0))</f>
        <v>0</v>
      </c>
      <c r="M19" s="118">
        <f t="shared" si="3"/>
        <v>-15.84861173919432</v>
      </c>
      <c r="N19" s="116">
        <f t="shared" si="4"/>
        <v>947.57113596163947</v>
      </c>
      <c r="O19" s="115" t="str">
        <f t="shared" si="5"/>
        <v>OK</v>
      </c>
      <c r="P19">
        <f t="shared" si="6"/>
        <v>1036.0680198186765</v>
      </c>
      <c r="Q19">
        <f t="shared" si="7"/>
        <v>0.39694825559403052</v>
      </c>
      <c r="R19">
        <f t="shared" si="8"/>
        <v>0.25</v>
      </c>
      <c r="S19">
        <f t="shared" si="9"/>
        <v>1</v>
      </c>
      <c r="T19" s="83">
        <f t="shared" si="10"/>
        <v>2</v>
      </c>
      <c r="U19" s="120">
        <f>IF($D19="",0,IFERROR(LOOKUP(2,1/(($D$3:D18=$D19)*($C$3:C18=$C19)*($A$3:A18&lt;$A19)),$AB$3:AB18),1000))</f>
        <v>969.46950152897546</v>
      </c>
      <c r="V19" s="120">
        <f t="shared" si="11"/>
        <v>965.14824879458865</v>
      </c>
      <c r="W19">
        <f t="shared" si="12"/>
        <v>1034.4858708622046</v>
      </c>
      <c r="X19">
        <f t="shared" si="13"/>
        <v>0.4015191168498225</v>
      </c>
      <c r="Y19">
        <f t="shared" si="14"/>
        <v>1030.5304984710244</v>
      </c>
      <c r="Z19">
        <f t="shared" si="15"/>
        <v>0.41301984883082593</v>
      </c>
      <c r="AA19">
        <f>IF($D19="",0,IF($F19&lt;2,0,IF($E19="Win",('Guide &amp; Settings'!$C$42/(($F19-1)*COUNTIFS($A$4:$A$810,$A19,$E$4:$E$810,"Win")))*SUMIFS($Z$4:$Z$810,$A$4:$A$810,$A19,$E$4:$E$810,"Loss"),-('Guide &amp; Settings'!$C$42/($F19-1))*$Z19)))</f>
        <v>-13.21663516258643</v>
      </c>
      <c r="AB19" s="120">
        <f t="shared" si="16"/>
        <v>956.25286636638907</v>
      </c>
      <c r="AC19" s="120">
        <f>IF($D19="","",IF(SUMPRODUCT(MAX(($D$4:$D$810=$D19)*($B$4:$B$810&lt;$B19)*$B$4:$B$810))=0,0,MAX(($B19-MAX(SUMPRODUCT(MAX(($D$4:$D$810=$D19)*($B$4:$B$810&lt;$B19)*$B$4:$B$810)),'Guide &amp; Settings'!$C$50))/7-'Guide &amp; Settings'!$C$48,0)*'Guide &amp; Settings'!$C$49))</f>
        <v>0</v>
      </c>
    </row>
    <row r="20" spans="1:29" ht="15" customHeight="1" x14ac:dyDescent="0.2">
      <c r="A20" s="111">
        <v>5</v>
      </c>
      <c r="B20" s="112">
        <v>46172</v>
      </c>
      <c r="C20" s="113" t="s">
        <v>183</v>
      </c>
      <c r="D20" s="113" t="s">
        <v>134</v>
      </c>
      <c r="E20" s="111" t="s">
        <v>308</v>
      </c>
      <c r="F20" s="114">
        <f t="shared" si="0"/>
        <v>2</v>
      </c>
      <c r="G20" s="115" t="str">
        <f t="shared" si="1"/>
        <v>Shawn</v>
      </c>
      <c r="H20" s="116">
        <f>IF($D20="",0,IFERROR(LOOKUP(2,1/(($D$3:D19=$D20)*($A$3:A19&lt;$A20)),$N$3:N19),'Guide &amp; Settings'!$C$41))</f>
        <v>1036.0680198186765</v>
      </c>
      <c r="I20" s="117">
        <f t="shared" si="2"/>
        <v>0.75</v>
      </c>
      <c r="J20" s="118">
        <f>IF($D20="",0,IF($F20&lt;2,0,IF($E20="Win",('Guide &amp; Settings'!$C$42/(($F20-1)*COUNTIFS($A$4:$A$810,$A20,$E$4:$E$810,"Win")))*SUMIFS($X$4:$X$810,$A$4:$A$810,$A20,$E$4:$E$810,"Loss"),-('Guide &amp; Settings'!$C$42/($F20-1))*$X20)))</f>
        <v>12.84861173919432</v>
      </c>
      <c r="K20" s="118">
        <f>IF($D20="",0,'Guide &amp; Settings'!$C$43*(IF($E20="Win",1,0)-$I20))</f>
        <v>3</v>
      </c>
      <c r="L20" s="119">
        <f>IF($D20="",0,'Guide &amp; Settings'!$C$44*IF($F20&gt;=3,$F20,0))</f>
        <v>0</v>
      </c>
      <c r="M20" s="118">
        <f t="shared" si="3"/>
        <v>15.84861173919432</v>
      </c>
      <c r="N20" s="116">
        <f t="shared" si="4"/>
        <v>1051.9166315578707</v>
      </c>
      <c r="O20" s="115" t="str">
        <f t="shared" si="5"/>
        <v>OK</v>
      </c>
      <c r="P20">
        <f t="shared" si="6"/>
        <v>1036.0680198186765</v>
      </c>
      <c r="Q20">
        <f t="shared" si="7"/>
        <v>0.5</v>
      </c>
      <c r="R20">
        <f t="shared" si="8"/>
        <v>0.75</v>
      </c>
      <c r="S20">
        <f t="shared" si="9"/>
        <v>1</v>
      </c>
      <c r="T20" s="83">
        <f t="shared" si="10"/>
        <v>2</v>
      </c>
      <c r="U20" s="120">
        <f>IF($D20="",0,IFERROR(LOOKUP(2,1/(($D$3:D19=$D20)*($C$3:C19=$C20)*($A$3:A19&lt;$A20)),$AB$3:AB19),1000))</f>
        <v>1030.5304984710244</v>
      </c>
      <c r="V20" s="120">
        <f t="shared" si="11"/>
        <v>1034.4858708622046</v>
      </c>
      <c r="W20">
        <f t="shared" si="12"/>
        <v>1034.4858708622046</v>
      </c>
      <c r="X20">
        <f t="shared" si="13"/>
        <v>0.5</v>
      </c>
      <c r="Y20">
        <f t="shared" si="14"/>
        <v>1030.5304984710244</v>
      </c>
      <c r="Z20">
        <f t="shared" si="15"/>
        <v>0.5</v>
      </c>
      <c r="AA20">
        <f>IF($D20="",0,IF($F20&lt;2,0,IF($E20="Win",('Guide &amp; Settings'!$C$42/(($F20-1)*COUNTIFS($A$4:$A$810,$A20,$E$4:$E$810,"Win")))*SUMIFS($Z$4:$Z$810,$A$4:$A$810,$A20,$E$4:$E$810,"Loss"),-('Guide &amp; Settings'!$C$42/($F20-1))*$Z20)))</f>
        <v>13.21663516258643</v>
      </c>
      <c r="AB20" s="120">
        <f t="shared" si="16"/>
        <v>1043.7471336336109</v>
      </c>
      <c r="AC20" s="120">
        <f>IF($D20="","",IF(SUMPRODUCT(MAX(($D$4:$D$810=$D20)*($B$4:$B$810&lt;$B20)*$B$4:$B$810))=0,0,MAX(($B20-MAX(SUMPRODUCT(MAX(($D$4:$D$810=$D20)*($B$4:$B$810&lt;$B20)*$B$4:$B$810)),'Guide &amp; Settings'!$C$50))/7-'Guide &amp; Settings'!$C$48,0)*'Guide &amp; Settings'!$C$49))</f>
        <v>0</v>
      </c>
    </row>
    <row r="21" spans="1:29" ht="15" customHeight="1" x14ac:dyDescent="0.2">
      <c r="A21" s="111">
        <v>6</v>
      </c>
      <c r="B21" s="112">
        <v>46172</v>
      </c>
      <c r="C21" s="113" t="s">
        <v>183</v>
      </c>
      <c r="D21" s="113" t="s">
        <v>170</v>
      </c>
      <c r="E21" s="111" t="s">
        <v>308</v>
      </c>
      <c r="F21" s="114">
        <f t="shared" si="0"/>
        <v>2</v>
      </c>
      <c r="G21" s="115" t="str">
        <f t="shared" si="1"/>
        <v>Daniel (Ferret)</v>
      </c>
      <c r="H21" s="116">
        <f>IF($D21="",0,IFERROR(LOOKUP(2,1/(($D$3:D20=$D21)*($A$3:A20&lt;$A21)),$N$3:N20),'Guide &amp; Settings'!$C$41))</f>
        <v>947.57113596163947</v>
      </c>
      <c r="I21" s="117">
        <f t="shared" si="2"/>
        <v>0.2</v>
      </c>
      <c r="J21" s="118">
        <f>IF($D21="",0,IF($F21&lt;2,0,IF($E21="Win",('Guide &amp; Settings'!$C$42/(($F21-1)*COUNTIFS($A$4:$A$810,$A21,$E$4:$E$810,"Win")))*SUMIFS($X$4:$X$810,$A$4:$A$810,$A21,$E$4:$E$810,"Loss"),-('Guide &amp; Settings'!$C$42/($F21-1))*$X21)))</f>
        <v>20.3981870806236</v>
      </c>
      <c r="K21" s="118">
        <f>IF($D21="",0,'Guide &amp; Settings'!$C$43*(IF($E21="Win",1,0)-$I21))</f>
        <v>9.6000000000000014</v>
      </c>
      <c r="L21" s="119">
        <f>IF($D21="",0,'Guide &amp; Settings'!$C$44*IF($F21&gt;=3,$F21,0))</f>
        <v>0</v>
      </c>
      <c r="M21" s="118">
        <f t="shared" si="3"/>
        <v>29.998187080623602</v>
      </c>
      <c r="N21" s="116">
        <f t="shared" si="4"/>
        <v>977.56932304226302</v>
      </c>
      <c r="O21" s="115" t="str">
        <f t="shared" si="5"/>
        <v>OK</v>
      </c>
      <c r="P21">
        <f t="shared" si="6"/>
        <v>947.57113596163947</v>
      </c>
      <c r="Q21">
        <f t="shared" si="7"/>
        <v>0.5</v>
      </c>
      <c r="R21">
        <f t="shared" si="8"/>
        <v>0.2</v>
      </c>
      <c r="S21">
        <f t="shared" si="9"/>
        <v>1</v>
      </c>
      <c r="T21" s="83">
        <f t="shared" si="10"/>
        <v>3</v>
      </c>
      <c r="U21" s="120">
        <f>IF($D21="",0,IFERROR(LOOKUP(2,1/(($D$3:D20=$D21)*($C$3:C20=$C21)*($A$3:A20&lt;$A21)),$AB$3:AB20),1000))</f>
        <v>956.25286636638907</v>
      </c>
      <c r="V21" s="120">
        <f t="shared" si="11"/>
        <v>950.82678486342058</v>
      </c>
      <c r="W21">
        <f t="shared" si="12"/>
        <v>950.82678486342058</v>
      </c>
      <c r="X21">
        <f t="shared" si="13"/>
        <v>0.5</v>
      </c>
      <c r="Y21">
        <f t="shared" si="14"/>
        <v>956.25286636638907</v>
      </c>
      <c r="Z21">
        <f t="shared" si="15"/>
        <v>0.5</v>
      </c>
      <c r="AA21">
        <f>IF($D21="",0,IF($F21&lt;2,0,IF($E21="Win",('Guide &amp; Settings'!$C$42/(($F21-1)*COUNTIFS($A$4:$A$810,$A21,$E$4:$E$810,"Win")))*SUMIFS($Z$4:$Z$810,$A$4:$A$810,$A21,$E$4:$E$810,"Loss"),-('Guide &amp; Settings'!$C$42/($F21-1))*$Z21)))</f>
        <v>19.94619100461318</v>
      </c>
      <c r="AB21" s="120">
        <f t="shared" si="16"/>
        <v>976.19905737100225</v>
      </c>
      <c r="AC21" s="120">
        <f>IF($D21="","",IF(SUMPRODUCT(MAX(($D$4:$D$810=$D21)*($B$4:$B$810&lt;$B21)*$B$4:$B$810))=0,0,MAX(($B21-MAX(SUMPRODUCT(MAX(($D$4:$D$810=$D21)*($B$4:$B$810&lt;$B21)*$B$4:$B$810)),'Guide &amp; Settings'!$C$50))/7-'Guide &amp; Settings'!$C$48,0)*'Guide &amp; Settings'!$C$49))</f>
        <v>0</v>
      </c>
    </row>
    <row r="22" spans="1:29" ht="15" customHeight="1" x14ac:dyDescent="0.2">
      <c r="A22" s="111">
        <v>6</v>
      </c>
      <c r="B22" s="112">
        <v>46172</v>
      </c>
      <c r="C22" s="113" t="s">
        <v>183</v>
      </c>
      <c r="D22" s="113" t="s">
        <v>134</v>
      </c>
      <c r="E22" s="111" t="s">
        <v>309</v>
      </c>
      <c r="F22" s="114">
        <f t="shared" si="0"/>
        <v>2</v>
      </c>
      <c r="G22" s="115" t="str">
        <f t="shared" si="1"/>
        <v>Daniel (Ferret)</v>
      </c>
      <c r="H22" s="116">
        <f>IF($D22="",0,IFERROR(LOOKUP(2,1/(($D$3:D21=$D22)*($A$3:A21&lt;$A22)),$N$3:N21),'Guide &amp; Settings'!$C$41))</f>
        <v>1051.9166315578707</v>
      </c>
      <c r="I22" s="117">
        <f t="shared" si="2"/>
        <v>0.8</v>
      </c>
      <c r="J22" s="118">
        <f>IF($D22="",0,IF($F22&lt;2,0,IF($E22="Win",('Guide &amp; Settings'!$C$42/(($F22-1)*COUNTIFS($A$4:$A$810,$A22,$E$4:$E$810,"Win")))*SUMIFS($X$4:$X$810,$A$4:$A$810,$A22,$E$4:$E$810,"Loss"),-('Guide &amp; Settings'!$C$42/($F22-1))*$X22)))</f>
        <v>-20.3981870806236</v>
      </c>
      <c r="K22" s="118">
        <f>IF($D22="",0,'Guide &amp; Settings'!$C$43*(IF($E22="Win",1,0)-$I22))</f>
        <v>-9.6000000000000014</v>
      </c>
      <c r="L22" s="119">
        <f>IF($D22="",0,'Guide &amp; Settings'!$C$44*IF($F22&gt;=3,$F22,0))</f>
        <v>0</v>
      </c>
      <c r="M22" s="118">
        <f t="shared" si="3"/>
        <v>-29.998187080623602</v>
      </c>
      <c r="N22" s="116">
        <f t="shared" si="4"/>
        <v>1021.9184444772471</v>
      </c>
      <c r="O22" s="115" t="str">
        <f t="shared" si="5"/>
        <v>OK</v>
      </c>
      <c r="P22">
        <f t="shared" si="6"/>
        <v>947.57113596163947</v>
      </c>
      <c r="Q22">
        <f t="shared" si="7"/>
        <v>0.64580750814083487</v>
      </c>
      <c r="R22">
        <f t="shared" si="8"/>
        <v>0.8</v>
      </c>
      <c r="S22">
        <f t="shared" si="9"/>
        <v>1</v>
      </c>
      <c r="T22" s="83">
        <f t="shared" si="10"/>
        <v>3</v>
      </c>
      <c r="U22" s="120">
        <f>IF($D22="",0,IFERROR(LOOKUP(2,1/(($D$3:D21=$D22)*($C$3:C21=$C22)*($A$3:A21&lt;$A22)),$AB$3:AB21),1000))</f>
        <v>1043.7471336336109</v>
      </c>
      <c r="V22" s="120">
        <f t="shared" si="11"/>
        <v>1048.8530698362733</v>
      </c>
      <c r="W22">
        <f t="shared" si="12"/>
        <v>950.82678486342058</v>
      </c>
      <c r="X22">
        <f t="shared" si="13"/>
        <v>0.63744334626948751</v>
      </c>
      <c r="Y22">
        <f t="shared" si="14"/>
        <v>956.25286636638907</v>
      </c>
      <c r="Z22">
        <f t="shared" si="15"/>
        <v>0.62331846889416187</v>
      </c>
      <c r="AA22">
        <f>IF($D22="",0,IF($F22&lt;2,0,IF($E22="Win",('Guide &amp; Settings'!$C$42/(($F22-1)*COUNTIFS($A$4:$A$810,$A22,$E$4:$E$810,"Win")))*SUMIFS($Z$4:$Z$810,$A$4:$A$810,$A22,$E$4:$E$810,"Loss"),-('Guide &amp; Settings'!$C$42/($F22-1))*$Z22)))</f>
        <v>-19.94619100461318</v>
      </c>
      <c r="AB22" s="120">
        <f t="shared" si="16"/>
        <v>1023.8009426289977</v>
      </c>
      <c r="AC22" s="120">
        <f>IF($D22="","",IF(SUMPRODUCT(MAX(($D$4:$D$810=$D22)*($B$4:$B$810&lt;$B22)*$B$4:$B$810))=0,0,MAX(($B22-MAX(SUMPRODUCT(MAX(($D$4:$D$810=$D22)*($B$4:$B$810&lt;$B22)*$B$4:$B$810)),'Guide &amp; Settings'!$C$50))/7-'Guide &amp; Settings'!$C$48,0)*'Guide &amp; Settings'!$C$49))</f>
        <v>0</v>
      </c>
    </row>
    <row r="23" spans="1:29" ht="15" customHeight="1" x14ac:dyDescent="0.2">
      <c r="A23" s="111">
        <v>7</v>
      </c>
      <c r="B23" s="112">
        <v>46172</v>
      </c>
      <c r="C23" s="113" t="s">
        <v>195</v>
      </c>
      <c r="D23" s="113" t="s">
        <v>170</v>
      </c>
      <c r="E23" s="111" t="s">
        <v>309</v>
      </c>
      <c r="F23" s="114">
        <f t="shared" si="0"/>
        <v>2</v>
      </c>
      <c r="G23" s="115" t="str">
        <f t="shared" si="1"/>
        <v>Shawn</v>
      </c>
      <c r="H23" s="116">
        <f>IF($D23="",0,IFERROR(LOOKUP(2,1/(($D$3:D22=$D23)*($A$3:A22&lt;$A23)),$N$3:N22),'Guide &amp; Settings'!$C$41))</f>
        <v>977.56932304226302</v>
      </c>
      <c r="I23" s="117">
        <f t="shared" si="2"/>
        <v>0.5</v>
      </c>
      <c r="J23" s="118">
        <f>IF($D23="",0,IF($F23&lt;2,0,IF($E23="Win",('Guide &amp; Settings'!$C$42/(($F23-1)*COUNTIFS($A$4:$A$810,$A23,$E$4:$E$810,"Win")))*SUMIFS($X$4:$X$810,$A$4:$A$810,$A23,$E$4:$E$810,"Loss"),-('Guide &amp; Settings'!$C$42/($F23-1))*$X23)))</f>
        <v>-13.968668197161014</v>
      </c>
      <c r="K23" s="118">
        <f>IF($D23="",0,'Guide &amp; Settings'!$C$43*(IF($E23="Win",1,0)-$I23))</f>
        <v>-6</v>
      </c>
      <c r="L23" s="119">
        <f>IF($D23="",0,'Guide &amp; Settings'!$C$44*IF($F23&gt;=3,$F23,0))</f>
        <v>0</v>
      </c>
      <c r="M23" s="118">
        <f t="shared" si="3"/>
        <v>-19.968668197161016</v>
      </c>
      <c r="N23" s="116">
        <f t="shared" si="4"/>
        <v>957.60065484510199</v>
      </c>
      <c r="O23" s="115" t="str">
        <f t="shared" si="5"/>
        <v>OK</v>
      </c>
      <c r="P23">
        <f t="shared" si="6"/>
        <v>1021.9184444772471</v>
      </c>
      <c r="Q23">
        <f t="shared" si="7"/>
        <v>0.43652088116128168</v>
      </c>
      <c r="R23">
        <f t="shared" si="8"/>
        <v>0.5</v>
      </c>
      <c r="S23">
        <f t="shared" si="9"/>
        <v>1</v>
      </c>
      <c r="T23" s="83">
        <f t="shared" si="10"/>
        <v>0</v>
      </c>
      <c r="U23" s="120">
        <f>IF($D23="",0,IFERROR(LOOKUP(2,1/(($D$3:D22=$D23)*($C$3:C22=$C23)*($A$3:A22&lt;$A23)),$AB$3:AB22),1000))</f>
        <v>1000</v>
      </c>
      <c r="V23" s="120">
        <f t="shared" si="11"/>
        <v>977.56932304226302</v>
      </c>
      <c r="W23">
        <f t="shared" si="12"/>
        <v>1021.9184444772471</v>
      </c>
      <c r="X23">
        <f t="shared" si="13"/>
        <v>0.43652088116128168</v>
      </c>
      <c r="Y23">
        <f t="shared" si="14"/>
        <v>1000</v>
      </c>
      <c r="Z23">
        <f t="shared" si="15"/>
        <v>0.5</v>
      </c>
      <c r="AA23">
        <f>IF($D23="",0,IF($F23&lt;2,0,IF($E23="Win",('Guide &amp; Settings'!$C$42/(($F23-1)*COUNTIFS($A$4:$A$810,$A23,$E$4:$E$810,"Win")))*SUMIFS($Z$4:$Z$810,$A$4:$A$810,$A23,$E$4:$E$810,"Loss"),-('Guide &amp; Settings'!$C$42/($F23-1))*$Z23)))</f>
        <v>-16</v>
      </c>
      <c r="AB23" s="120">
        <f t="shared" si="16"/>
        <v>984</v>
      </c>
      <c r="AC23" s="120">
        <f>IF($D23="","",IF(SUMPRODUCT(MAX(($D$4:$D$810=$D23)*($B$4:$B$810&lt;$B23)*$B$4:$B$810))=0,0,MAX(($B23-MAX(SUMPRODUCT(MAX(($D$4:$D$810=$D23)*($B$4:$B$810&lt;$B23)*$B$4:$B$810)),'Guide &amp; Settings'!$C$50))/7-'Guide &amp; Settings'!$C$48,0)*'Guide &amp; Settings'!$C$49))</f>
        <v>0</v>
      </c>
    </row>
    <row r="24" spans="1:29" ht="15" customHeight="1" x14ac:dyDescent="0.2">
      <c r="A24" s="111">
        <v>7</v>
      </c>
      <c r="B24" s="112">
        <v>46172</v>
      </c>
      <c r="C24" s="113" t="s">
        <v>195</v>
      </c>
      <c r="D24" s="113" t="s">
        <v>134</v>
      </c>
      <c r="E24" s="111" t="s">
        <v>308</v>
      </c>
      <c r="F24" s="114">
        <f t="shared" si="0"/>
        <v>2</v>
      </c>
      <c r="G24" s="115" t="str">
        <f t="shared" si="1"/>
        <v>Shawn</v>
      </c>
      <c r="H24" s="116">
        <f>IF($D24="",0,IFERROR(LOOKUP(2,1/(($D$3:D23=$D24)*($A$3:A23&lt;$A24)),$N$3:N23),'Guide &amp; Settings'!$C$41))</f>
        <v>1021.9184444772471</v>
      </c>
      <c r="I24" s="117">
        <f t="shared" si="2"/>
        <v>0.5</v>
      </c>
      <c r="J24" s="118">
        <f>IF($D24="",0,IF($F24&lt;2,0,IF($E24="Win",('Guide &amp; Settings'!$C$42/(($F24-1)*COUNTIFS($A$4:$A$810,$A24,$E$4:$E$810,"Win")))*SUMIFS($X$4:$X$810,$A$4:$A$810,$A24,$E$4:$E$810,"Loss"),-('Guide &amp; Settings'!$C$42/($F24-1))*$X24)))</f>
        <v>13.968668197161014</v>
      </c>
      <c r="K24" s="118">
        <f>IF($D24="",0,'Guide &amp; Settings'!$C$43*(IF($E24="Win",1,0)-$I24))</f>
        <v>6</v>
      </c>
      <c r="L24" s="119">
        <f>IF($D24="",0,'Guide &amp; Settings'!$C$44*IF($F24&gt;=3,$F24,0))</f>
        <v>0</v>
      </c>
      <c r="M24" s="118">
        <f t="shared" si="3"/>
        <v>19.968668197161016</v>
      </c>
      <c r="N24" s="116">
        <f t="shared" si="4"/>
        <v>1041.8871126744082</v>
      </c>
      <c r="O24" s="115" t="str">
        <f t="shared" si="5"/>
        <v>OK</v>
      </c>
      <c r="P24">
        <f t="shared" si="6"/>
        <v>1021.9184444772471</v>
      </c>
      <c r="Q24">
        <f t="shared" si="7"/>
        <v>0.5</v>
      </c>
      <c r="R24">
        <f t="shared" si="8"/>
        <v>0.5</v>
      </c>
      <c r="S24">
        <f t="shared" si="9"/>
        <v>1</v>
      </c>
      <c r="T24" s="83">
        <f t="shared" si="10"/>
        <v>0</v>
      </c>
      <c r="U24" s="120">
        <f>IF($D24="",0,IFERROR(LOOKUP(2,1/(($D$3:D23=$D24)*($C$3:C23=$C24)*($A$3:A23&lt;$A24)),$AB$3:AB23),1000))</f>
        <v>1000</v>
      </c>
      <c r="V24" s="120">
        <f t="shared" si="11"/>
        <v>1021.9184444772471</v>
      </c>
      <c r="W24">
        <f t="shared" si="12"/>
        <v>1021.9184444772471</v>
      </c>
      <c r="X24">
        <f t="shared" si="13"/>
        <v>0.5</v>
      </c>
      <c r="Y24">
        <f t="shared" si="14"/>
        <v>1000</v>
      </c>
      <c r="Z24">
        <f t="shared" si="15"/>
        <v>0.5</v>
      </c>
      <c r="AA24">
        <f>IF($D24="",0,IF($F24&lt;2,0,IF($E24="Win",('Guide &amp; Settings'!$C$42/(($F24-1)*COUNTIFS($A$4:$A$810,$A24,$E$4:$E$810,"Win")))*SUMIFS($Z$4:$Z$810,$A$4:$A$810,$A24,$E$4:$E$810,"Loss"),-('Guide &amp; Settings'!$C$42/($F24-1))*$Z24)))</f>
        <v>16</v>
      </c>
      <c r="AB24" s="120">
        <f t="shared" si="16"/>
        <v>1016</v>
      </c>
      <c r="AC24" s="120">
        <f>IF($D24="","",IF(SUMPRODUCT(MAX(($D$4:$D$810=$D24)*($B$4:$B$810&lt;$B24)*$B$4:$B$810))=0,0,MAX(($B24-MAX(SUMPRODUCT(MAX(($D$4:$D$810=$D24)*($B$4:$B$810&lt;$B24)*$B$4:$B$810)),'Guide &amp; Settings'!$C$50))/7-'Guide &amp; Settings'!$C$48,0)*'Guide &amp; Settings'!$C$49))</f>
        <v>0</v>
      </c>
    </row>
    <row r="25" spans="1:29" ht="15" customHeight="1" x14ac:dyDescent="0.2">
      <c r="A25" s="111">
        <v>8</v>
      </c>
      <c r="B25" s="112">
        <v>46172</v>
      </c>
      <c r="C25" s="113" t="s">
        <v>195</v>
      </c>
      <c r="D25" s="113" t="s">
        <v>170</v>
      </c>
      <c r="E25" s="111" t="s">
        <v>309</v>
      </c>
      <c r="F25" s="114">
        <f t="shared" si="0"/>
        <v>2</v>
      </c>
      <c r="G25" s="115" t="str">
        <f t="shared" si="1"/>
        <v>Shawn</v>
      </c>
      <c r="H25" s="116">
        <f>IF($D25="",0,IFERROR(LOOKUP(2,1/(($D$3:D24=$D25)*($A$3:A24&lt;$A25)),$N$3:N24),'Guide &amp; Settings'!$C$41))</f>
        <v>957.60065484510199</v>
      </c>
      <c r="I25" s="117">
        <f t="shared" si="2"/>
        <v>0.33333333333333331</v>
      </c>
      <c r="J25" s="118">
        <f>IF($D25="",0,IF($F25&lt;2,0,IF($E25="Win",('Guide &amp; Settings'!$C$42/(($F25-1)*COUNTIFS($A$4:$A$810,$A25,$E$4:$E$810,"Win")))*SUMIFS($X$4:$X$810,$A$4:$A$810,$A25,$E$4:$E$810,"Loss"),-('Guide &amp; Settings'!$C$42/($F25-1))*$X25)))</f>
        <v>-12.573645103507065</v>
      </c>
      <c r="K25" s="118">
        <f>IF($D25="",0,'Guide &amp; Settings'!$C$43*(IF($E25="Win",1,0)-$I25))</f>
        <v>-4</v>
      </c>
      <c r="L25" s="119">
        <f>IF($D25="",0,'Guide &amp; Settings'!$C$44*IF($F25&gt;=3,$F25,0))</f>
        <v>0</v>
      </c>
      <c r="M25" s="118">
        <f t="shared" si="3"/>
        <v>-16.573645103507065</v>
      </c>
      <c r="N25" s="116">
        <f t="shared" si="4"/>
        <v>941.02700974159495</v>
      </c>
      <c r="O25" s="115" t="str">
        <f t="shared" si="5"/>
        <v>OK</v>
      </c>
      <c r="P25">
        <f t="shared" si="6"/>
        <v>1041.8871126744082</v>
      </c>
      <c r="Q25">
        <f t="shared" si="7"/>
        <v>0.38102689643750615</v>
      </c>
      <c r="R25">
        <f t="shared" si="8"/>
        <v>0.33333333333333331</v>
      </c>
      <c r="S25">
        <f t="shared" si="9"/>
        <v>1</v>
      </c>
      <c r="T25" s="83">
        <f t="shared" si="10"/>
        <v>1</v>
      </c>
      <c r="U25" s="120">
        <f>IF($D25="",0,IFERROR(LOOKUP(2,1/(($D$3:D24=$D25)*($C$3:C24=$C25)*($A$3:A24&lt;$A25)),$AB$3:AB24),1000))</f>
        <v>984</v>
      </c>
      <c r="V25" s="120">
        <f t="shared" si="11"/>
        <v>962.00054570425164</v>
      </c>
      <c r="W25">
        <f t="shared" si="12"/>
        <v>1037.5725938953401</v>
      </c>
      <c r="X25">
        <f t="shared" si="13"/>
        <v>0.39292640948459578</v>
      </c>
      <c r="Y25">
        <f t="shared" si="14"/>
        <v>1016</v>
      </c>
      <c r="Z25">
        <f t="shared" si="15"/>
        <v>0.45407807721951632</v>
      </c>
      <c r="AA25">
        <f>IF($D25="",0,IF($F25&lt;2,0,IF($E25="Win",('Guide &amp; Settings'!$C$42/(($F25-1)*COUNTIFS($A$4:$A$810,$A25,$E$4:$E$810,"Win")))*SUMIFS($Z$4:$Z$810,$A$4:$A$810,$A25,$E$4:$E$810,"Loss"),-('Guide &amp; Settings'!$C$42/($F25-1))*$Z25)))</f>
        <v>-14.530498471024522</v>
      </c>
      <c r="AB25" s="120">
        <f t="shared" si="16"/>
        <v>969.46950152897546</v>
      </c>
      <c r="AC25" s="120">
        <f>IF($D25="","",IF(SUMPRODUCT(MAX(($D$4:$D$810=$D25)*($B$4:$B$810&lt;$B25)*$B$4:$B$810))=0,0,MAX(($B25-MAX(SUMPRODUCT(MAX(($D$4:$D$810=$D25)*($B$4:$B$810&lt;$B25)*$B$4:$B$810)),'Guide &amp; Settings'!$C$50))/7-'Guide &amp; Settings'!$C$48,0)*'Guide &amp; Settings'!$C$49))</f>
        <v>0</v>
      </c>
    </row>
    <row r="26" spans="1:29" ht="15" customHeight="1" x14ac:dyDescent="0.2">
      <c r="A26" s="111">
        <v>8</v>
      </c>
      <c r="B26" s="112">
        <v>46172</v>
      </c>
      <c r="C26" s="113" t="s">
        <v>195</v>
      </c>
      <c r="D26" s="113" t="s">
        <v>134</v>
      </c>
      <c r="E26" s="111" t="s">
        <v>308</v>
      </c>
      <c r="F26" s="114">
        <f t="shared" si="0"/>
        <v>2</v>
      </c>
      <c r="G26" s="115" t="str">
        <f t="shared" si="1"/>
        <v>Shawn</v>
      </c>
      <c r="H26" s="116">
        <f>IF($D26="",0,IFERROR(LOOKUP(2,1/(($D$3:D25=$D26)*($A$3:A25&lt;$A26)),$N$3:N25),'Guide &amp; Settings'!$C$41))</f>
        <v>1041.8871126744082</v>
      </c>
      <c r="I26" s="117">
        <f t="shared" si="2"/>
        <v>0.66666666666666663</v>
      </c>
      <c r="J26" s="118">
        <f>IF($D26="",0,IF($F26&lt;2,0,IF($E26="Win",('Guide &amp; Settings'!$C$42/(($F26-1)*COUNTIFS($A$4:$A$810,$A26,$E$4:$E$810,"Win")))*SUMIFS($X$4:$X$810,$A$4:$A$810,$A26,$E$4:$E$810,"Loss"),-('Guide &amp; Settings'!$C$42/($F26-1))*$X26)))</f>
        <v>12.573645103507065</v>
      </c>
      <c r="K26" s="118">
        <f>IF($D26="",0,'Guide &amp; Settings'!$C$43*(IF($E26="Win",1,0)-$I26))</f>
        <v>4</v>
      </c>
      <c r="L26" s="119">
        <f>IF($D26="",0,'Guide &amp; Settings'!$C$44*IF($F26&gt;=3,$F26,0))</f>
        <v>0</v>
      </c>
      <c r="M26" s="118">
        <f t="shared" si="3"/>
        <v>16.573645103507065</v>
      </c>
      <c r="N26" s="116">
        <f t="shared" si="4"/>
        <v>1058.4607577779152</v>
      </c>
      <c r="O26" s="115" t="str">
        <f t="shared" si="5"/>
        <v>OK</v>
      </c>
      <c r="P26">
        <f t="shared" si="6"/>
        <v>1041.8871126744082</v>
      </c>
      <c r="Q26">
        <f t="shared" si="7"/>
        <v>0.5</v>
      </c>
      <c r="R26">
        <f t="shared" si="8"/>
        <v>0.66666666666666663</v>
      </c>
      <c r="S26">
        <f t="shared" si="9"/>
        <v>1</v>
      </c>
      <c r="T26" s="83">
        <f t="shared" si="10"/>
        <v>1</v>
      </c>
      <c r="U26" s="120">
        <f>IF($D26="",0,IFERROR(LOOKUP(2,1/(($D$3:D25=$D26)*($C$3:C25=$C26)*($A$3:A25&lt;$A26)),$AB$3:AB25),1000))</f>
        <v>1016</v>
      </c>
      <c r="V26" s="120">
        <f t="shared" si="11"/>
        <v>1037.5725938953401</v>
      </c>
      <c r="W26">
        <f t="shared" si="12"/>
        <v>1037.5725938953401</v>
      </c>
      <c r="X26">
        <f t="shared" si="13"/>
        <v>0.5</v>
      </c>
      <c r="Y26">
        <f t="shared" si="14"/>
        <v>1016</v>
      </c>
      <c r="Z26">
        <f t="shared" si="15"/>
        <v>0.5</v>
      </c>
      <c r="AA26">
        <f>IF($D26="",0,IF($F26&lt;2,0,IF($E26="Win",('Guide &amp; Settings'!$C$42/(($F26-1)*COUNTIFS($A$4:$A$810,$A26,$E$4:$E$810,"Win")))*SUMIFS($Z$4:$Z$810,$A$4:$A$810,$A26,$E$4:$E$810,"Loss"),-('Guide &amp; Settings'!$C$42/($F26-1))*$Z26)))</f>
        <v>14.530498471024522</v>
      </c>
      <c r="AB26" s="120">
        <f t="shared" si="16"/>
        <v>1030.5304984710244</v>
      </c>
      <c r="AC26" s="120">
        <f>IF($D26="","",IF(SUMPRODUCT(MAX(($D$4:$D$810=$D26)*($B$4:$B$810&lt;$B26)*$B$4:$B$810))=0,0,MAX(($B26-MAX(SUMPRODUCT(MAX(($D$4:$D$810=$D26)*($B$4:$B$810&lt;$B26)*$B$4:$B$810)),'Guide &amp; Settings'!$C$50))/7-'Guide &amp; Settings'!$C$48,0)*'Guide &amp; Settings'!$C$49))</f>
        <v>0</v>
      </c>
    </row>
    <row r="27" spans="1:29" ht="15" customHeight="1" x14ac:dyDescent="0.2">
      <c r="A27" s="111">
        <v>9</v>
      </c>
      <c r="B27" s="112">
        <v>46172</v>
      </c>
      <c r="C27" s="113" t="s">
        <v>195</v>
      </c>
      <c r="D27" s="113" t="s">
        <v>170</v>
      </c>
      <c r="E27" s="111" t="s">
        <v>309</v>
      </c>
      <c r="F27" s="114">
        <f t="shared" si="0"/>
        <v>2</v>
      </c>
      <c r="G27" s="115" t="str">
        <f t="shared" si="1"/>
        <v>Shawn</v>
      </c>
      <c r="H27" s="116">
        <f>IF($D27="",0,IFERROR(LOOKUP(2,1/(($D$3:D26=$D27)*($A$3:A26&lt;$A27)),$N$3:N26),'Guide &amp; Settings'!$C$41))</f>
        <v>941.02700974159495</v>
      </c>
      <c r="I27" s="117">
        <f t="shared" si="2"/>
        <v>0.25</v>
      </c>
      <c r="J27" s="118">
        <f>IF($D27="",0,IF($F27&lt;2,0,IF($E27="Win",('Guide &amp; Settings'!$C$42/(($F27-1)*COUNTIFS($A$4:$A$810,$A27,$E$4:$E$810,"Win")))*SUMIFS($X$4:$X$810,$A$4:$A$810,$A27,$E$4:$E$810,"Loss"),-('Guide &amp; Settings'!$C$42/($F27-1))*$X27)))</f>
        <v>-11.46165489142933</v>
      </c>
      <c r="K27" s="118">
        <f>IF($D27="",0,'Guide &amp; Settings'!$C$43*(IF($E27="Win",1,0)-$I27))</f>
        <v>-3</v>
      </c>
      <c r="L27" s="119">
        <f>IF($D27="",0,'Guide &amp; Settings'!$C$44*IF($F27&gt;=3,$F27,0))</f>
        <v>0</v>
      </c>
      <c r="M27" s="118">
        <f t="shared" si="3"/>
        <v>-14.46165489142933</v>
      </c>
      <c r="N27" s="116">
        <f t="shared" si="4"/>
        <v>926.56535485016559</v>
      </c>
      <c r="O27" s="115" t="str">
        <f t="shared" si="5"/>
        <v>OK</v>
      </c>
      <c r="P27">
        <f t="shared" si="6"/>
        <v>1058.4607577779152</v>
      </c>
      <c r="Q27">
        <f t="shared" si="7"/>
        <v>0.33715397593244212</v>
      </c>
      <c r="R27">
        <f t="shared" si="8"/>
        <v>0.25</v>
      </c>
      <c r="S27">
        <f t="shared" si="9"/>
        <v>1</v>
      </c>
      <c r="T27" s="83">
        <f t="shared" si="10"/>
        <v>2</v>
      </c>
      <c r="U27" s="120">
        <f>IF($D27="",0,IFERROR(LOOKUP(2,1/(($D$3:D26=$D27)*($C$3:C26=$C27)*($A$3:A26&lt;$A27)),$AB$3:AB26),1000))</f>
        <v>969.46950152897546</v>
      </c>
      <c r="V27" s="120">
        <f t="shared" si="11"/>
        <v>949.15343596656089</v>
      </c>
      <c r="W27">
        <f t="shared" si="12"/>
        <v>1050.4806836902321</v>
      </c>
      <c r="X27">
        <f t="shared" si="13"/>
        <v>0.35817671535716655</v>
      </c>
      <c r="Y27">
        <f t="shared" si="14"/>
        <v>1030.5304984710244</v>
      </c>
      <c r="Z27">
        <f t="shared" si="15"/>
        <v>0.41301984883082593</v>
      </c>
      <c r="AA27">
        <f>IF($D27="",0,IF($F27&lt;2,0,IF($E27="Win",('Guide &amp; Settings'!$C$42/(($F27-1)*COUNTIFS($A$4:$A$810,$A27,$E$4:$E$810,"Win")))*SUMIFS($Z$4:$Z$810,$A$4:$A$810,$A27,$E$4:$E$810,"Loss"),-('Guide &amp; Settings'!$C$42/($F27-1))*$Z27)))</f>
        <v>-13.21663516258643</v>
      </c>
      <c r="AB27" s="120">
        <f t="shared" si="16"/>
        <v>956.25286636638907</v>
      </c>
      <c r="AC27" s="120">
        <f>IF($D27="","",IF(SUMPRODUCT(MAX(($D$4:$D$810=$D27)*($B$4:$B$810&lt;$B27)*$B$4:$B$810))=0,0,MAX(($B27-MAX(SUMPRODUCT(MAX(($D$4:$D$810=$D27)*($B$4:$B$810&lt;$B27)*$B$4:$B$810)),'Guide &amp; Settings'!$C$50))/7-'Guide &amp; Settings'!$C$48,0)*'Guide &amp; Settings'!$C$49))</f>
        <v>0</v>
      </c>
    </row>
    <row r="28" spans="1:29" ht="15" customHeight="1" x14ac:dyDescent="0.2">
      <c r="A28" s="111">
        <v>9</v>
      </c>
      <c r="B28" s="112">
        <v>46172</v>
      </c>
      <c r="C28" s="113" t="s">
        <v>195</v>
      </c>
      <c r="D28" s="113" t="s">
        <v>134</v>
      </c>
      <c r="E28" s="111" t="s">
        <v>308</v>
      </c>
      <c r="F28" s="114">
        <f t="shared" si="0"/>
        <v>2</v>
      </c>
      <c r="G28" s="115" t="str">
        <f t="shared" si="1"/>
        <v>Shawn</v>
      </c>
      <c r="H28" s="116">
        <f>IF($D28="",0,IFERROR(LOOKUP(2,1/(($D$3:D27=$D28)*($A$3:A27&lt;$A28)),$N$3:N27),'Guide &amp; Settings'!$C$41))</f>
        <v>1058.4607577779152</v>
      </c>
      <c r="I28" s="117">
        <f t="shared" si="2"/>
        <v>0.75</v>
      </c>
      <c r="J28" s="118">
        <f>IF($D28="",0,IF($F28&lt;2,0,IF($E28="Win",('Guide &amp; Settings'!$C$42/(($F28-1)*COUNTIFS($A$4:$A$810,$A28,$E$4:$E$810,"Win")))*SUMIFS($X$4:$X$810,$A$4:$A$810,$A28,$E$4:$E$810,"Loss"),-('Guide &amp; Settings'!$C$42/($F28-1))*$X28)))</f>
        <v>11.46165489142933</v>
      </c>
      <c r="K28" s="118">
        <f>IF($D28="",0,'Guide &amp; Settings'!$C$43*(IF($E28="Win",1,0)-$I28))</f>
        <v>3</v>
      </c>
      <c r="L28" s="119">
        <f>IF($D28="",0,'Guide &amp; Settings'!$C$44*IF($F28&gt;=3,$F28,0))</f>
        <v>0</v>
      </c>
      <c r="M28" s="118">
        <f t="shared" si="3"/>
        <v>14.46165489142933</v>
      </c>
      <c r="N28" s="116">
        <f t="shared" si="4"/>
        <v>1072.9224126693446</v>
      </c>
      <c r="O28" s="115" t="str">
        <f t="shared" si="5"/>
        <v>OK</v>
      </c>
      <c r="P28">
        <f t="shared" si="6"/>
        <v>1058.4607577779152</v>
      </c>
      <c r="Q28">
        <f t="shared" si="7"/>
        <v>0.5</v>
      </c>
      <c r="R28">
        <f t="shared" si="8"/>
        <v>0.75</v>
      </c>
      <c r="S28">
        <f t="shared" si="9"/>
        <v>1</v>
      </c>
      <c r="T28" s="83">
        <f t="shared" si="10"/>
        <v>2</v>
      </c>
      <c r="U28" s="120">
        <f>IF($D28="",0,IFERROR(LOOKUP(2,1/(($D$3:D27=$D28)*($C$3:C27=$C28)*($A$3:A27&lt;$A28)),$AB$3:AB27),1000))</f>
        <v>1030.5304984710244</v>
      </c>
      <c r="V28" s="120">
        <f t="shared" si="11"/>
        <v>1050.4806836902321</v>
      </c>
      <c r="W28">
        <f t="shared" si="12"/>
        <v>1050.4806836902321</v>
      </c>
      <c r="X28">
        <f t="shared" si="13"/>
        <v>0.5</v>
      </c>
      <c r="Y28">
        <f t="shared" si="14"/>
        <v>1030.5304984710244</v>
      </c>
      <c r="Z28">
        <f t="shared" si="15"/>
        <v>0.5</v>
      </c>
      <c r="AA28">
        <f>IF($D28="",0,IF($F28&lt;2,0,IF($E28="Win",('Guide &amp; Settings'!$C$42/(($F28-1)*COUNTIFS($A$4:$A$810,$A28,$E$4:$E$810,"Win")))*SUMIFS($Z$4:$Z$810,$A$4:$A$810,$A28,$E$4:$E$810,"Loss"),-('Guide &amp; Settings'!$C$42/($F28-1))*$Z28)))</f>
        <v>13.21663516258643</v>
      </c>
      <c r="AB28" s="120">
        <f t="shared" si="16"/>
        <v>1043.7471336336109</v>
      </c>
      <c r="AC28" s="120">
        <f>IF($D28="","",IF(SUMPRODUCT(MAX(($D$4:$D$810=$D28)*($B$4:$B$810&lt;$B28)*$B$4:$B$810))=0,0,MAX(($B28-MAX(SUMPRODUCT(MAX(($D$4:$D$810=$D28)*($B$4:$B$810&lt;$B28)*$B$4:$B$810)),'Guide &amp; Settings'!$C$50))/7-'Guide &amp; Settings'!$C$48,0)*'Guide &amp; Settings'!$C$49))</f>
        <v>0</v>
      </c>
    </row>
    <row r="29" spans="1:29" ht="15" customHeight="1" x14ac:dyDescent="0.2">
      <c r="A29" s="111">
        <v>10</v>
      </c>
      <c r="B29" s="112">
        <v>46172</v>
      </c>
      <c r="C29" s="113" t="s">
        <v>195</v>
      </c>
      <c r="D29" s="113" t="s">
        <v>137</v>
      </c>
      <c r="E29" s="111" t="s">
        <v>308</v>
      </c>
      <c r="F29" s="114">
        <f t="shared" si="0"/>
        <v>2</v>
      </c>
      <c r="G29" s="115" t="str">
        <f t="shared" si="1"/>
        <v>Josh</v>
      </c>
      <c r="H29" s="116">
        <f>IF($D29="",0,IFERROR(LOOKUP(2,1/(($D$3:D28=$D29)*($A$3:A28&lt;$A29)),$N$3:N28),'Guide &amp; Settings'!$C$41))</f>
        <v>1031.0370144363101</v>
      </c>
      <c r="I29" s="117">
        <f t="shared" si="2"/>
        <v>0.5</v>
      </c>
      <c r="J29" s="118">
        <f>IF($D29="",0,IF($F29&lt;2,0,IF($E29="Win",('Guide &amp; Settings'!$C$42/(($F29-1)*COUNTIFS($A$4:$A$810,$A29,$E$4:$E$810,"Win")))*SUMIFS($X$4:$X$810,$A$4:$A$810,$A29,$E$4:$E$810,"Loss"),-('Guide &amp; Settings'!$C$42/($F29-1))*$X29)))</f>
        <v>14.574482598264527</v>
      </c>
      <c r="K29" s="118">
        <f>IF($D29="",0,'Guide &amp; Settings'!$C$43*(IF($E29="Win",1,0)-$I29))</f>
        <v>6</v>
      </c>
      <c r="L29" s="119">
        <f>IF($D29="",0,'Guide &amp; Settings'!$C$44*IF($F29&gt;=3,$F29,0))</f>
        <v>0</v>
      </c>
      <c r="M29" s="118">
        <f t="shared" si="3"/>
        <v>20.574482598264527</v>
      </c>
      <c r="N29" s="116">
        <f t="shared" si="4"/>
        <v>1051.6114970345745</v>
      </c>
      <c r="O29" s="115" t="str">
        <f t="shared" si="5"/>
        <v>OK</v>
      </c>
      <c r="P29">
        <f t="shared" si="6"/>
        <v>1031.0370144363101</v>
      </c>
      <c r="Q29">
        <f t="shared" si="7"/>
        <v>0.5</v>
      </c>
      <c r="R29">
        <f t="shared" si="8"/>
        <v>0.5</v>
      </c>
      <c r="S29">
        <f t="shared" si="9"/>
        <v>1</v>
      </c>
      <c r="T29" s="83">
        <f t="shared" si="10"/>
        <v>0</v>
      </c>
      <c r="U29" s="120">
        <f>IF($D29="",0,IFERROR(LOOKUP(2,1/(($D$3:D28=$D29)*($C$3:C28=$C29)*($A$3:A28&lt;$A29)),$AB$3:AB28),1000))</f>
        <v>1000</v>
      </c>
      <c r="V29" s="120">
        <f t="shared" si="11"/>
        <v>1031.0370144363101</v>
      </c>
      <c r="W29">
        <f t="shared" si="12"/>
        <v>1031.0370144363101</v>
      </c>
      <c r="X29">
        <f t="shared" si="13"/>
        <v>0.5</v>
      </c>
      <c r="Y29">
        <f t="shared" si="14"/>
        <v>1000</v>
      </c>
      <c r="Z29">
        <f t="shared" si="15"/>
        <v>0.5</v>
      </c>
      <c r="AA29">
        <f>IF($D29="",0,IF($F29&lt;2,0,IF($E29="Win",('Guide &amp; Settings'!$C$42/(($F29-1)*COUNTIFS($A$4:$A$810,$A29,$E$4:$E$810,"Win")))*SUMIFS($Z$4:$Z$810,$A$4:$A$810,$A29,$E$4:$E$810,"Loss"),-('Guide &amp; Settings'!$C$42/($F29-1))*$Z29)))</f>
        <v>16</v>
      </c>
      <c r="AB29" s="120">
        <f t="shared" si="16"/>
        <v>1016</v>
      </c>
      <c r="AC29" s="120">
        <f>IF($D29="","",IF(SUMPRODUCT(MAX(($D$4:$D$810=$D29)*($B$4:$B$810&lt;$B29)*$B$4:$B$810))=0,0,MAX(($B29-MAX(SUMPRODUCT(MAX(($D$4:$D$810=$D29)*($B$4:$B$810&lt;$B29)*$B$4:$B$810)),'Guide &amp; Settings'!$C$50))/7-'Guide &amp; Settings'!$C$48,0)*'Guide &amp; Settings'!$C$49))</f>
        <v>0</v>
      </c>
    </row>
    <row r="30" spans="1:29" ht="15" customHeight="1" x14ac:dyDescent="0.2">
      <c r="A30" s="111">
        <v>10</v>
      </c>
      <c r="B30" s="112">
        <v>46172</v>
      </c>
      <c r="C30" s="113" t="s">
        <v>195</v>
      </c>
      <c r="D30" s="113" t="s">
        <v>175</v>
      </c>
      <c r="E30" s="111" t="s">
        <v>309</v>
      </c>
      <c r="F30" s="114">
        <f t="shared" si="0"/>
        <v>2</v>
      </c>
      <c r="G30" s="115" t="str">
        <f t="shared" si="1"/>
        <v>Josh</v>
      </c>
      <c r="H30" s="116">
        <f>IF($D30="",0,IFERROR(LOOKUP(2,1/(($D$3:D29=$D30)*($A$3:A29&lt;$A30)),$N$3:N29),'Guide &amp; Settings'!$C$41))</f>
        <v>1000</v>
      </c>
      <c r="I30" s="117">
        <f t="shared" si="2"/>
        <v>0.5</v>
      </c>
      <c r="J30" s="118">
        <f>IF($D30="",0,IF($F30&lt;2,0,IF($E30="Win",('Guide &amp; Settings'!$C$42/(($F30-1)*COUNTIFS($A$4:$A$810,$A30,$E$4:$E$810,"Win")))*SUMIFS($X$4:$X$810,$A$4:$A$810,$A30,$E$4:$E$810,"Loss"),-('Guide &amp; Settings'!$C$42/($F30-1))*$X30)))</f>
        <v>-14.574482598264527</v>
      </c>
      <c r="K30" s="118">
        <f>IF($D30="",0,'Guide &amp; Settings'!$C$43*(IF($E30="Win",1,0)-$I30))</f>
        <v>-6</v>
      </c>
      <c r="L30" s="119">
        <f>IF($D30="",0,'Guide &amp; Settings'!$C$44*IF($F30&gt;=3,$F30,0))</f>
        <v>0</v>
      </c>
      <c r="M30" s="118">
        <f t="shared" si="3"/>
        <v>-20.574482598264527</v>
      </c>
      <c r="N30" s="116">
        <f t="shared" si="4"/>
        <v>979.42551740173542</v>
      </c>
      <c r="O30" s="115" t="str">
        <f t="shared" si="5"/>
        <v>OK</v>
      </c>
      <c r="P30">
        <f t="shared" si="6"/>
        <v>1031.0370144363101</v>
      </c>
      <c r="Q30">
        <f t="shared" si="7"/>
        <v>0.45545258119576648</v>
      </c>
      <c r="R30">
        <f t="shared" si="8"/>
        <v>0.5</v>
      </c>
      <c r="S30">
        <f t="shared" si="9"/>
        <v>1</v>
      </c>
      <c r="T30" s="83">
        <f t="shared" si="10"/>
        <v>0</v>
      </c>
      <c r="U30" s="120">
        <f>IF($D30="",0,IFERROR(LOOKUP(2,1/(($D$3:D29=$D30)*($C$3:C29=$C30)*($A$3:A29&lt;$A30)),$AB$3:AB29),1000))</f>
        <v>1000</v>
      </c>
      <c r="V30" s="120">
        <f t="shared" si="11"/>
        <v>1000</v>
      </c>
      <c r="W30">
        <f t="shared" si="12"/>
        <v>1031.0370144363101</v>
      </c>
      <c r="X30">
        <f t="shared" si="13"/>
        <v>0.45545258119576648</v>
      </c>
      <c r="Y30">
        <f t="shared" si="14"/>
        <v>1000</v>
      </c>
      <c r="Z30">
        <f t="shared" si="15"/>
        <v>0.5</v>
      </c>
      <c r="AA30">
        <f>IF($D30="",0,IF($F30&lt;2,0,IF($E30="Win",('Guide &amp; Settings'!$C$42/(($F30-1)*COUNTIFS($A$4:$A$810,$A30,$E$4:$E$810,"Win")))*SUMIFS($Z$4:$Z$810,$A$4:$A$810,$A30,$E$4:$E$810,"Loss"),-('Guide &amp; Settings'!$C$42/($F30-1))*$Z30)))</f>
        <v>-16</v>
      </c>
      <c r="AB30" s="120">
        <f t="shared" si="16"/>
        <v>984</v>
      </c>
      <c r="AC30" s="120">
        <f>IF($D30="","",IF(SUMPRODUCT(MAX(($D$4:$D$810=$D30)*($B$4:$B$810&lt;$B30)*$B$4:$B$810))=0,0,MAX(($B30-MAX(SUMPRODUCT(MAX(($D$4:$D$810=$D30)*($B$4:$B$810&lt;$B30)*$B$4:$B$810)),'Guide &amp; Settings'!$C$50))/7-'Guide &amp; Settings'!$C$48,0)*'Guide &amp; Settings'!$C$49))</f>
        <v>0</v>
      </c>
    </row>
    <row r="31" spans="1:29" ht="15" customHeight="1" x14ac:dyDescent="0.2">
      <c r="A31" s="111">
        <v>11</v>
      </c>
      <c r="B31" s="112">
        <v>46172</v>
      </c>
      <c r="C31" s="113" t="s">
        <v>195</v>
      </c>
      <c r="D31" s="113" t="s">
        <v>137</v>
      </c>
      <c r="E31" s="111" t="s">
        <v>308</v>
      </c>
      <c r="F31" s="114">
        <f t="shared" si="0"/>
        <v>2</v>
      </c>
      <c r="G31" s="115" t="str">
        <f t="shared" si="1"/>
        <v>Josh</v>
      </c>
      <c r="H31" s="116">
        <f>IF($D31="",0,IFERROR(LOOKUP(2,1/(($D$3:D30=$D31)*($A$3:A30&lt;$A31)),$N$3:N30),'Guide &amp; Settings'!$C$41))</f>
        <v>1051.6114970345745</v>
      </c>
      <c r="I31" s="117">
        <f t="shared" si="2"/>
        <v>0.66666666666666663</v>
      </c>
      <c r="J31" s="118">
        <f>IF($D31="",0,IF($F31&lt;2,0,IF($E31="Win",('Guide &amp; Settings'!$C$42/(($F31-1)*COUNTIFS($A$4:$A$810,$A31,$E$4:$E$810,"Win")))*SUMIFS($X$4:$X$810,$A$4:$A$810,$A31,$E$4:$E$810,"Loss"),-('Guide &amp; Settings'!$C$42/($F31-1))*$X31)))</f>
        <v>13.019367562889231</v>
      </c>
      <c r="K31" s="118">
        <f>IF($D31="",0,'Guide &amp; Settings'!$C$43*(IF($E31="Win",1,0)-$I31))</f>
        <v>4</v>
      </c>
      <c r="L31" s="119">
        <f>IF($D31="",0,'Guide &amp; Settings'!$C$44*IF($F31&gt;=3,$F31,0))</f>
        <v>0</v>
      </c>
      <c r="M31" s="118">
        <f t="shared" si="3"/>
        <v>17.019367562889229</v>
      </c>
      <c r="N31" s="116">
        <f t="shared" si="4"/>
        <v>1068.6308645974639</v>
      </c>
      <c r="O31" s="115" t="str">
        <f t="shared" si="5"/>
        <v>OK</v>
      </c>
      <c r="P31">
        <f t="shared" si="6"/>
        <v>1051.6114970345745</v>
      </c>
      <c r="Q31">
        <f t="shared" si="7"/>
        <v>0.5</v>
      </c>
      <c r="R31">
        <f t="shared" si="8"/>
        <v>0.66666666666666663</v>
      </c>
      <c r="S31">
        <f t="shared" si="9"/>
        <v>1</v>
      </c>
      <c r="T31" s="83">
        <f t="shared" si="10"/>
        <v>1</v>
      </c>
      <c r="U31" s="120">
        <f>IF($D31="",0,IFERROR(LOOKUP(2,1/(($D$3:D30=$D31)*($C$3:C30=$C31)*($A$3:A30&lt;$A31)),$AB$3:AB30),1000))</f>
        <v>1016</v>
      </c>
      <c r="V31" s="120">
        <f t="shared" si="11"/>
        <v>1045.6762475288122</v>
      </c>
      <c r="W31">
        <f t="shared" si="12"/>
        <v>1045.6762475288122</v>
      </c>
      <c r="X31">
        <f t="shared" si="13"/>
        <v>0.5</v>
      </c>
      <c r="Y31">
        <f t="shared" si="14"/>
        <v>1016</v>
      </c>
      <c r="Z31">
        <f t="shared" si="15"/>
        <v>0.5</v>
      </c>
      <c r="AA31">
        <f>IF($D31="",0,IF($F31&lt;2,0,IF($E31="Win",('Guide &amp; Settings'!$C$42/(($F31-1)*COUNTIFS($A$4:$A$810,$A31,$E$4:$E$810,"Win")))*SUMIFS($Z$4:$Z$810,$A$4:$A$810,$A31,$E$4:$E$810,"Loss"),-('Guide &amp; Settings'!$C$42/($F31-1))*$Z31)))</f>
        <v>14.530498471024522</v>
      </c>
      <c r="AB31" s="120">
        <f t="shared" si="16"/>
        <v>1030.5304984710244</v>
      </c>
      <c r="AC31" s="120">
        <f>IF($D31="","",IF(SUMPRODUCT(MAX(($D$4:$D$810=$D31)*($B$4:$B$810&lt;$B31)*$B$4:$B$810))=0,0,MAX(($B31-MAX(SUMPRODUCT(MAX(($D$4:$D$810=$D31)*($B$4:$B$810&lt;$B31)*$B$4:$B$810)),'Guide &amp; Settings'!$C$50))/7-'Guide &amp; Settings'!$C$48,0)*'Guide &amp; Settings'!$C$49))</f>
        <v>0</v>
      </c>
    </row>
    <row r="32" spans="1:29" ht="15" customHeight="1" x14ac:dyDescent="0.2">
      <c r="A32" s="111">
        <v>11</v>
      </c>
      <c r="B32" s="112">
        <v>46172</v>
      </c>
      <c r="C32" s="113" t="s">
        <v>195</v>
      </c>
      <c r="D32" s="113" t="s">
        <v>175</v>
      </c>
      <c r="E32" s="111" t="s">
        <v>309</v>
      </c>
      <c r="F32" s="114">
        <f t="shared" si="0"/>
        <v>2</v>
      </c>
      <c r="G32" s="115" t="str">
        <f t="shared" si="1"/>
        <v>Josh</v>
      </c>
      <c r="H32" s="116">
        <f>IF($D32="",0,IFERROR(LOOKUP(2,1/(($D$3:D31=$D32)*($A$3:A31&lt;$A32)),$N$3:N31),'Guide &amp; Settings'!$C$41))</f>
        <v>979.42551740173542</v>
      </c>
      <c r="I32" s="117">
        <f t="shared" si="2"/>
        <v>0.33333333333333331</v>
      </c>
      <c r="J32" s="118">
        <f>IF($D32="",0,IF($F32&lt;2,0,IF($E32="Win",('Guide &amp; Settings'!$C$42/(($F32-1)*COUNTIFS($A$4:$A$810,$A32,$E$4:$E$810,"Win")))*SUMIFS($X$4:$X$810,$A$4:$A$810,$A32,$E$4:$E$810,"Loss"),-('Guide &amp; Settings'!$C$42/($F32-1))*$X32)))</f>
        <v>-13.019367562889231</v>
      </c>
      <c r="K32" s="118">
        <f>IF($D32="",0,'Guide &amp; Settings'!$C$43*(IF($E32="Win",1,0)-$I32))</f>
        <v>-4</v>
      </c>
      <c r="L32" s="119">
        <f>IF($D32="",0,'Guide &amp; Settings'!$C$44*IF($F32&gt;=3,$F32,0))</f>
        <v>0</v>
      </c>
      <c r="M32" s="118">
        <f t="shared" si="3"/>
        <v>-17.019367562889229</v>
      </c>
      <c r="N32" s="116">
        <f t="shared" si="4"/>
        <v>962.4061498388462</v>
      </c>
      <c r="O32" s="115" t="str">
        <f t="shared" si="5"/>
        <v>OK</v>
      </c>
      <c r="P32">
        <f t="shared" si="6"/>
        <v>1051.6114970345745</v>
      </c>
      <c r="Q32">
        <f t="shared" si="7"/>
        <v>0.39758546160927005</v>
      </c>
      <c r="R32">
        <f t="shared" si="8"/>
        <v>0.33333333333333331</v>
      </c>
      <c r="S32">
        <f t="shared" si="9"/>
        <v>1</v>
      </c>
      <c r="T32" s="83">
        <f t="shared" si="10"/>
        <v>1</v>
      </c>
      <c r="U32" s="120">
        <f>IF($D32="",0,IFERROR(LOOKUP(2,1/(($D$3:D31=$D32)*($C$3:C31=$C32)*($A$3:A31&lt;$A32)),$AB$3:AB31),1000))</f>
        <v>984</v>
      </c>
      <c r="V32" s="120">
        <f t="shared" si="11"/>
        <v>980.18793116811287</v>
      </c>
      <c r="W32">
        <f t="shared" si="12"/>
        <v>1045.6762475288122</v>
      </c>
      <c r="X32">
        <f t="shared" si="13"/>
        <v>0.40685523634028847</v>
      </c>
      <c r="Y32">
        <f t="shared" si="14"/>
        <v>1016</v>
      </c>
      <c r="Z32">
        <f t="shared" si="15"/>
        <v>0.45407807721951632</v>
      </c>
      <c r="AA32">
        <f>IF($D32="",0,IF($F32&lt;2,0,IF($E32="Win",('Guide &amp; Settings'!$C$42/(($F32-1)*COUNTIFS($A$4:$A$810,$A32,$E$4:$E$810,"Win")))*SUMIFS($Z$4:$Z$810,$A$4:$A$810,$A32,$E$4:$E$810,"Loss"),-('Guide &amp; Settings'!$C$42/($F32-1))*$Z32)))</f>
        <v>-14.530498471024522</v>
      </c>
      <c r="AB32" s="120">
        <f t="shared" si="16"/>
        <v>969.46950152897546</v>
      </c>
      <c r="AC32" s="120">
        <f>IF($D32="","",IF(SUMPRODUCT(MAX(($D$4:$D$810=$D32)*($B$4:$B$810&lt;$B32)*$B$4:$B$810))=0,0,MAX(($B32-MAX(SUMPRODUCT(MAX(($D$4:$D$810=$D32)*($B$4:$B$810&lt;$B32)*$B$4:$B$810)),'Guide &amp; Settings'!$C$50))/7-'Guide &amp; Settings'!$C$48,0)*'Guide &amp; Settings'!$C$49))</f>
        <v>0</v>
      </c>
    </row>
    <row r="33" spans="1:29" ht="15" customHeight="1" x14ac:dyDescent="0.2">
      <c r="A33" s="111">
        <v>12</v>
      </c>
      <c r="B33" s="112">
        <v>46172</v>
      </c>
      <c r="C33" s="113" t="s">
        <v>195</v>
      </c>
      <c r="D33" s="113" t="s">
        <v>137</v>
      </c>
      <c r="E33" s="111" t="s">
        <v>308</v>
      </c>
      <c r="F33" s="114">
        <f t="shared" si="0"/>
        <v>2</v>
      </c>
      <c r="G33" s="115" t="str">
        <f t="shared" si="1"/>
        <v>Josh</v>
      </c>
      <c r="H33" s="116">
        <f>IF($D33="",0,IFERROR(LOOKUP(2,1/(($D$3:D32=$D33)*($A$3:A32&lt;$A33)),$N$3:N32),'Guide &amp; Settings'!$C$41))</f>
        <v>1068.6308645974639</v>
      </c>
      <c r="I33" s="117">
        <f t="shared" si="2"/>
        <v>0.75</v>
      </c>
      <c r="J33" s="118">
        <f>IF($D33="",0,IF($F33&lt;2,0,IF($E33="Win",('Guide &amp; Settings'!$C$42/(($F33-1)*COUNTIFS($A$4:$A$810,$A33,$E$4:$E$810,"Win")))*SUMIFS($X$4:$X$810,$A$4:$A$810,$A33,$E$4:$E$810,"Loss"),-('Guide &amp; Settings'!$C$42/($F33-1))*$X33)))</f>
        <v>11.80287083496065</v>
      </c>
      <c r="K33" s="118">
        <f>IF($D33="",0,'Guide &amp; Settings'!$C$43*(IF($E33="Win",1,0)-$I33))</f>
        <v>3</v>
      </c>
      <c r="L33" s="119">
        <f>IF($D33="",0,'Guide &amp; Settings'!$C$44*IF($F33&gt;=3,$F33,0))</f>
        <v>0</v>
      </c>
      <c r="M33" s="118">
        <f t="shared" si="3"/>
        <v>14.80287083496065</v>
      </c>
      <c r="N33" s="116">
        <f t="shared" si="4"/>
        <v>1083.4337354324246</v>
      </c>
      <c r="O33" s="115" t="str">
        <f t="shared" si="5"/>
        <v>OK</v>
      </c>
      <c r="P33">
        <f t="shared" si="6"/>
        <v>1068.6308645974639</v>
      </c>
      <c r="Q33">
        <f t="shared" si="7"/>
        <v>0.5</v>
      </c>
      <c r="R33">
        <f t="shared" si="8"/>
        <v>0.75</v>
      </c>
      <c r="S33">
        <f t="shared" si="9"/>
        <v>1</v>
      </c>
      <c r="T33" s="83">
        <f t="shared" si="10"/>
        <v>2</v>
      </c>
      <c r="U33" s="120">
        <f>IF($D33="",0,IFERROR(LOOKUP(2,1/(($D$3:D32=$D33)*($C$3:C32=$C33)*($A$3:A32&lt;$A33)),$AB$3:AB32),1000))</f>
        <v>1030.5304984710244</v>
      </c>
      <c r="V33" s="120">
        <f t="shared" si="11"/>
        <v>1057.7450457041955</v>
      </c>
      <c r="W33">
        <f t="shared" si="12"/>
        <v>1057.7450457041955</v>
      </c>
      <c r="X33">
        <f t="shared" si="13"/>
        <v>0.5</v>
      </c>
      <c r="Y33">
        <f t="shared" si="14"/>
        <v>1030.5304984710244</v>
      </c>
      <c r="Z33">
        <f t="shared" si="15"/>
        <v>0.5</v>
      </c>
      <c r="AA33">
        <f>IF($D33="",0,IF($F33&lt;2,0,IF($E33="Win",('Guide &amp; Settings'!$C$42/(($F33-1)*COUNTIFS($A$4:$A$810,$A33,$E$4:$E$810,"Win")))*SUMIFS($Z$4:$Z$810,$A$4:$A$810,$A33,$E$4:$E$810,"Loss"),-('Guide &amp; Settings'!$C$42/($F33-1))*$Z33)))</f>
        <v>13.21663516258643</v>
      </c>
      <c r="AB33" s="120">
        <f t="shared" si="16"/>
        <v>1043.7471336336109</v>
      </c>
      <c r="AC33" s="120">
        <f>IF($D33="","",IF(SUMPRODUCT(MAX(($D$4:$D$810=$D33)*($B$4:$B$810&lt;$B33)*$B$4:$B$810))=0,0,MAX(($B33-MAX(SUMPRODUCT(MAX(($D$4:$D$810=$D33)*($B$4:$B$810&lt;$B33)*$B$4:$B$810)),'Guide &amp; Settings'!$C$50))/7-'Guide &amp; Settings'!$C$48,0)*'Guide &amp; Settings'!$C$49))</f>
        <v>0</v>
      </c>
    </row>
    <row r="34" spans="1:29" ht="15" customHeight="1" x14ac:dyDescent="0.2">
      <c r="A34" s="111">
        <v>12</v>
      </c>
      <c r="B34" s="112">
        <v>46172</v>
      </c>
      <c r="C34" s="113" t="s">
        <v>195</v>
      </c>
      <c r="D34" s="113" t="s">
        <v>175</v>
      </c>
      <c r="E34" s="111" t="s">
        <v>309</v>
      </c>
      <c r="F34" s="114">
        <f t="shared" si="0"/>
        <v>2</v>
      </c>
      <c r="G34" s="115" t="str">
        <f t="shared" si="1"/>
        <v>Josh</v>
      </c>
      <c r="H34" s="116">
        <f>IF($D34="",0,IFERROR(LOOKUP(2,1/(($D$3:D33=$D34)*($A$3:A33&lt;$A34)),$N$3:N33),'Guide &amp; Settings'!$C$41))</f>
        <v>962.4061498388462</v>
      </c>
      <c r="I34" s="117">
        <f t="shared" si="2"/>
        <v>0.25</v>
      </c>
      <c r="J34" s="118">
        <f>IF($D34="",0,IF($F34&lt;2,0,IF($E34="Win",('Guide &amp; Settings'!$C$42/(($F34-1)*COUNTIFS($A$4:$A$810,$A34,$E$4:$E$810,"Win")))*SUMIFS($X$4:$X$810,$A$4:$A$810,$A34,$E$4:$E$810,"Loss"),-('Guide &amp; Settings'!$C$42/($F34-1))*$X34)))</f>
        <v>-11.80287083496065</v>
      </c>
      <c r="K34" s="118">
        <f>IF($D34="",0,'Guide &amp; Settings'!$C$43*(IF($E34="Win",1,0)-$I34))</f>
        <v>-3</v>
      </c>
      <c r="L34" s="119">
        <f>IF($D34="",0,'Guide &amp; Settings'!$C$44*IF($F34&gt;=3,$F34,0))</f>
        <v>0</v>
      </c>
      <c r="M34" s="118">
        <f t="shared" si="3"/>
        <v>-14.80287083496065</v>
      </c>
      <c r="N34" s="116">
        <f t="shared" si="4"/>
        <v>947.60327900388552</v>
      </c>
      <c r="O34" s="115" t="str">
        <f t="shared" si="5"/>
        <v>OK</v>
      </c>
      <c r="P34">
        <f t="shared" si="6"/>
        <v>1068.6308645974639</v>
      </c>
      <c r="Q34">
        <f t="shared" si="7"/>
        <v>0.35172198041034169</v>
      </c>
      <c r="R34">
        <f t="shared" si="8"/>
        <v>0.25</v>
      </c>
      <c r="S34">
        <f t="shared" si="9"/>
        <v>1</v>
      </c>
      <c r="T34" s="83">
        <f t="shared" si="10"/>
        <v>2</v>
      </c>
      <c r="U34" s="120">
        <f>IF($D34="",0,IFERROR(LOOKUP(2,1/(($D$3:D33=$D34)*($C$3:C33=$C34)*($A$3:A33&lt;$A34)),$AB$3:AB33),1000))</f>
        <v>969.46950152897546</v>
      </c>
      <c r="V34" s="120">
        <f t="shared" si="11"/>
        <v>964.42425032174037</v>
      </c>
      <c r="W34">
        <f t="shared" si="12"/>
        <v>1057.7450457041955</v>
      </c>
      <c r="X34">
        <f t="shared" si="13"/>
        <v>0.36883971359252032</v>
      </c>
      <c r="Y34">
        <f t="shared" si="14"/>
        <v>1030.5304984710244</v>
      </c>
      <c r="Z34">
        <f t="shared" si="15"/>
        <v>0.41301984883082593</v>
      </c>
      <c r="AA34">
        <f>IF($D34="",0,IF($F34&lt;2,0,IF($E34="Win",('Guide &amp; Settings'!$C$42/(($F34-1)*COUNTIFS($A$4:$A$810,$A34,$E$4:$E$810,"Win")))*SUMIFS($Z$4:$Z$810,$A$4:$A$810,$A34,$E$4:$E$810,"Loss"),-('Guide &amp; Settings'!$C$42/($F34-1))*$Z34)))</f>
        <v>-13.21663516258643</v>
      </c>
      <c r="AB34" s="120">
        <f t="shared" si="16"/>
        <v>956.25286636638907</v>
      </c>
      <c r="AC34" s="120">
        <f>IF($D34="","",IF(SUMPRODUCT(MAX(($D$4:$D$810=$D34)*($B$4:$B$810&lt;$B34)*$B$4:$B$810))=0,0,MAX(($B34-MAX(SUMPRODUCT(MAX(($D$4:$D$810=$D34)*($B$4:$B$810&lt;$B34)*$B$4:$B$810)),'Guide &amp; Settings'!$C$50))/7-'Guide &amp; Settings'!$C$48,0)*'Guide &amp; Settings'!$C$49))</f>
        <v>0</v>
      </c>
    </row>
    <row r="35" spans="1:29" ht="15" customHeight="1" x14ac:dyDescent="0.2">
      <c r="A35" s="111">
        <v>13</v>
      </c>
      <c r="B35" s="112">
        <v>46173</v>
      </c>
      <c r="C35" s="113" t="s">
        <v>183</v>
      </c>
      <c r="D35" s="113" t="s">
        <v>134</v>
      </c>
      <c r="E35" s="111" t="s">
        <v>308</v>
      </c>
      <c r="F35" s="114">
        <f t="shared" si="0"/>
        <v>2</v>
      </c>
      <c r="G35" s="115" t="str">
        <f t="shared" si="1"/>
        <v>Shawn</v>
      </c>
      <c r="H35" s="116">
        <f>IF($D35="",0,IFERROR(LOOKUP(2,1/(($D$3:D34=$D35)*($A$3:A34&lt;$A35)),$N$3:N34),'Guide &amp; Settings'!$C$41))</f>
        <v>1072.9224126693446</v>
      </c>
      <c r="I35" s="117">
        <f t="shared" si="2"/>
        <v>0.66666666666666663</v>
      </c>
      <c r="J35" s="118">
        <f>IF($D35="",0,IF($F35&lt;2,0,IF($E35="Win",('Guide &amp; Settings'!$C$42/(($F35-1)*COUNTIFS($A$4:$A$810,$A35,$E$4:$E$810,"Win")))*SUMIFS($X$4:$X$810,$A$4:$A$810,$A35,$E$4:$E$810,"Loss"),-('Guide &amp; Settings'!$C$42/($F35-1))*$X35)))</f>
        <v>11.413483066220147</v>
      </c>
      <c r="K35" s="118">
        <f>IF($D35="",0,'Guide &amp; Settings'!$C$43*(IF($E35="Win",1,0)-$I35))</f>
        <v>4</v>
      </c>
      <c r="L35" s="119">
        <f>IF($D35="",0,'Guide &amp; Settings'!$C$44*IF($F35&gt;=3,$F35,0))</f>
        <v>0</v>
      </c>
      <c r="M35" s="118">
        <f t="shared" si="3"/>
        <v>15.413483066220147</v>
      </c>
      <c r="N35" s="116">
        <f t="shared" si="4"/>
        <v>1088.3358957355647</v>
      </c>
      <c r="O35" s="115" t="str">
        <f t="shared" si="5"/>
        <v>OK</v>
      </c>
      <c r="P35">
        <f t="shared" si="6"/>
        <v>1072.9224126693446</v>
      </c>
      <c r="Q35">
        <f t="shared" si="7"/>
        <v>0.5</v>
      </c>
      <c r="R35">
        <f t="shared" si="8"/>
        <v>0.66666666666666663</v>
      </c>
      <c r="S35">
        <f t="shared" si="9"/>
        <v>1</v>
      </c>
      <c r="T35" s="83">
        <f t="shared" si="10"/>
        <v>4</v>
      </c>
      <c r="U35" s="120">
        <f>IF($D35="",0,IFERROR(LOOKUP(2,1/(($D$3:D34=$D35)*($C$3:C34=$C35)*($A$3:A34&lt;$A35)),$AB$3:AB34),1000))</f>
        <v>1023.8009426289977</v>
      </c>
      <c r="V35" s="120">
        <f t="shared" si="11"/>
        <v>1051.0906482069681</v>
      </c>
      <c r="W35">
        <f t="shared" si="12"/>
        <v>1051.0906482069681</v>
      </c>
      <c r="X35">
        <f t="shared" si="13"/>
        <v>0.5</v>
      </c>
      <c r="Y35">
        <f t="shared" si="14"/>
        <v>1023.8009426289977</v>
      </c>
      <c r="Z35">
        <f t="shared" si="15"/>
        <v>0.5</v>
      </c>
      <c r="AA35">
        <f>IF($D35="",0,IF($F35&lt;2,0,IF($E35="Win",('Guide &amp; Settings'!$C$42/(($F35-1)*COUNTIFS($A$4:$A$810,$A35,$E$4:$E$810,"Win")))*SUMIFS($Z$4:$Z$810,$A$4:$A$810,$A35,$E$4:$E$810,"Loss"),-('Guide &amp; Settings'!$C$42/($F35-1))*$Z35)))</f>
        <v>13.821466613131754</v>
      </c>
      <c r="AB35" s="120">
        <f t="shared" si="16"/>
        <v>1037.6224092421296</v>
      </c>
      <c r="AC35" s="120">
        <f>IF($D35="","",IF(SUMPRODUCT(MAX(($D$4:$D$810=$D35)*($B$4:$B$810&lt;$B35)*$B$4:$B$810))=0,0,MAX(($B35-MAX(SUMPRODUCT(MAX(($D$4:$D$810=$D35)*($B$4:$B$810&lt;$B35)*$B$4:$B$810)),'Guide &amp; Settings'!$C$50))/7-'Guide &amp; Settings'!$C$48,0)*'Guide &amp; Settings'!$C$49))</f>
        <v>0</v>
      </c>
    </row>
    <row r="36" spans="1:29" ht="15" customHeight="1" x14ac:dyDescent="0.2">
      <c r="A36" s="111">
        <v>13</v>
      </c>
      <c r="B36" s="112">
        <v>46173</v>
      </c>
      <c r="C36" s="113" t="s">
        <v>183</v>
      </c>
      <c r="D36" s="113" t="s">
        <v>170</v>
      </c>
      <c r="E36" s="111" t="s">
        <v>309</v>
      </c>
      <c r="F36" s="114">
        <f t="shared" si="0"/>
        <v>2</v>
      </c>
      <c r="G36" s="115" t="str">
        <f t="shared" si="1"/>
        <v>Shawn</v>
      </c>
      <c r="H36" s="116">
        <f>IF($D36="",0,IFERROR(LOOKUP(2,1/(($D$3:D35=$D36)*($A$3:A35&lt;$A36)),$N$3:N35),'Guide &amp; Settings'!$C$41))</f>
        <v>926.56535485016559</v>
      </c>
      <c r="I36" s="117">
        <f t="shared" si="2"/>
        <v>0.33333333333333331</v>
      </c>
      <c r="J36" s="118">
        <f>IF($D36="",0,IF($F36&lt;2,0,IF($E36="Win",('Guide &amp; Settings'!$C$42/(($F36-1)*COUNTIFS($A$4:$A$810,$A36,$E$4:$E$810,"Win")))*SUMIFS($X$4:$X$810,$A$4:$A$810,$A36,$E$4:$E$810,"Loss"),-('Guide &amp; Settings'!$C$42/($F36-1))*$X36)))</f>
        <v>-11.413483066220147</v>
      </c>
      <c r="K36" s="118">
        <f>IF($D36="",0,'Guide &amp; Settings'!$C$43*(IF($E36="Win",1,0)-$I36))</f>
        <v>-4</v>
      </c>
      <c r="L36" s="119">
        <f>IF($D36="",0,'Guide &amp; Settings'!$C$44*IF($F36&gt;=3,$F36,0))</f>
        <v>0</v>
      </c>
      <c r="M36" s="118">
        <f t="shared" si="3"/>
        <v>-15.413483066220147</v>
      </c>
      <c r="N36" s="116">
        <f t="shared" si="4"/>
        <v>911.15187178394547</v>
      </c>
      <c r="O36" s="115" t="str">
        <f t="shared" si="5"/>
        <v>OK</v>
      </c>
      <c r="P36">
        <f t="shared" si="6"/>
        <v>1072.9224126693446</v>
      </c>
      <c r="Q36">
        <f t="shared" si="7"/>
        <v>0.30100873762974351</v>
      </c>
      <c r="R36">
        <f t="shared" si="8"/>
        <v>0.33333333333333331</v>
      </c>
      <c r="S36">
        <f t="shared" si="9"/>
        <v>1</v>
      </c>
      <c r="T36" s="83">
        <f t="shared" si="10"/>
        <v>4</v>
      </c>
      <c r="U36" s="120">
        <f>IF($D36="",0,IFERROR(LOOKUP(2,1/(($D$3:D35=$D36)*($C$3:C35=$C36)*($A$3:A35&lt;$A36)),$AB$3:AB35),1000))</f>
        <v>976.19905737100225</v>
      </c>
      <c r="V36" s="120">
        <f t="shared" si="11"/>
        <v>948.62477819275955</v>
      </c>
      <c r="W36">
        <f t="shared" si="12"/>
        <v>1051.0906482069681</v>
      </c>
      <c r="X36">
        <f t="shared" si="13"/>
        <v>0.35667134581937959</v>
      </c>
      <c r="Y36">
        <f t="shared" si="14"/>
        <v>1023.8009426289977</v>
      </c>
      <c r="Z36">
        <f t="shared" si="15"/>
        <v>0.43192083166036732</v>
      </c>
      <c r="AA36">
        <f>IF($D36="",0,IF($F36&lt;2,0,IF($E36="Win",('Guide &amp; Settings'!$C$42/(($F36-1)*COUNTIFS($A$4:$A$810,$A36,$E$4:$E$810,"Win")))*SUMIFS($Z$4:$Z$810,$A$4:$A$810,$A36,$E$4:$E$810,"Loss"),-('Guide &amp; Settings'!$C$42/($F36-1))*$Z36)))</f>
        <v>-13.821466613131754</v>
      </c>
      <c r="AB36" s="120">
        <f t="shared" si="16"/>
        <v>962.37759075787051</v>
      </c>
      <c r="AC36" s="120">
        <f>IF($D36="","",IF(SUMPRODUCT(MAX(($D$4:$D$810=$D36)*($B$4:$B$810&lt;$B36)*$B$4:$B$810))=0,0,MAX(($B36-MAX(SUMPRODUCT(MAX(($D$4:$D$810=$D36)*($B$4:$B$810&lt;$B36)*$B$4:$B$810)),'Guide &amp; Settings'!$C$50))/7-'Guide &amp; Settings'!$C$48,0)*'Guide &amp; Settings'!$C$49))</f>
        <v>0</v>
      </c>
    </row>
    <row r="37" spans="1:29" ht="15" customHeight="1" x14ac:dyDescent="0.2">
      <c r="A37" s="111">
        <v>14</v>
      </c>
      <c r="B37" s="112">
        <v>46173</v>
      </c>
      <c r="C37" s="113" t="s">
        <v>183</v>
      </c>
      <c r="D37" s="113" t="s">
        <v>134</v>
      </c>
      <c r="E37" s="111" t="s">
        <v>309</v>
      </c>
      <c r="F37" s="114">
        <f t="shared" si="0"/>
        <v>2</v>
      </c>
      <c r="G37" s="115" t="str">
        <f t="shared" si="1"/>
        <v>Daniel (Ferret)</v>
      </c>
      <c r="H37" s="116">
        <f>IF($D37="",0,IFERROR(LOOKUP(2,1/(($D$3:D36=$D37)*($A$3:A36&lt;$A37)),$N$3:N36),'Guide &amp; Settings'!$C$41))</f>
        <v>1088.3358957355647</v>
      </c>
      <c r="I37" s="117">
        <f t="shared" si="2"/>
        <v>0.7142857142857143</v>
      </c>
      <c r="J37" s="118">
        <f>IF($D37="",0,IF($F37&lt;2,0,IF($E37="Win",('Guide &amp; Settings'!$C$42/(($F37-1)*COUNTIFS($A$4:$A$810,$A37,$E$4:$E$810,"Win")))*SUMIFS($X$4:$X$810,$A$4:$A$810,$A37,$E$4:$E$810,"Loss"),-('Guide &amp; Settings'!$C$42/($F37-1))*$X37)))</f>
        <v>-21.569517849087507</v>
      </c>
      <c r="K37" s="118">
        <f>IF($D37="",0,'Guide &amp; Settings'!$C$43*(IF($E37="Win",1,0)-$I37))</f>
        <v>-8.5714285714285712</v>
      </c>
      <c r="L37" s="119">
        <f>IF($D37="",0,'Guide &amp; Settings'!$C$44*IF($F37&gt;=3,$F37,0))</f>
        <v>0</v>
      </c>
      <c r="M37" s="118">
        <f t="shared" si="3"/>
        <v>-30.14094642051608</v>
      </c>
      <c r="N37" s="116">
        <f t="shared" si="4"/>
        <v>1058.1949493150487</v>
      </c>
      <c r="O37" s="115" t="str">
        <f t="shared" si="5"/>
        <v>OK</v>
      </c>
      <c r="P37">
        <f t="shared" si="6"/>
        <v>911.15187178394547</v>
      </c>
      <c r="Q37">
        <f t="shared" si="7"/>
        <v>0.73496348926773425</v>
      </c>
      <c r="R37">
        <f t="shared" si="8"/>
        <v>0.7142857142857143</v>
      </c>
      <c r="S37">
        <f t="shared" si="9"/>
        <v>1</v>
      </c>
      <c r="T37" s="83">
        <f t="shared" si="10"/>
        <v>5</v>
      </c>
      <c r="U37" s="120">
        <f>IF($D37="",0,IFERROR(LOOKUP(2,1/(($D$3:D36=$D37)*($C$3:C36=$C37)*($A$3:A36&lt;$A37)),$AB$3:AB36),1000))</f>
        <v>1037.6224092421296</v>
      </c>
      <c r="V37" s="120">
        <f t="shared" si="11"/>
        <v>1062.9791524888471</v>
      </c>
      <c r="W37">
        <f t="shared" si="12"/>
        <v>936.76473127090799</v>
      </c>
      <c r="X37">
        <f t="shared" si="13"/>
        <v>0.6740474327839846</v>
      </c>
      <c r="Y37">
        <f t="shared" si="14"/>
        <v>962.37759075787051</v>
      </c>
      <c r="Z37">
        <f t="shared" si="15"/>
        <v>0.60662417459292806</v>
      </c>
      <c r="AA37">
        <f>IF($D37="",0,IF($F37&lt;2,0,IF($E37="Win",('Guide &amp; Settings'!$C$42/(($F37-1)*COUNTIFS($A$4:$A$810,$A37,$E$4:$E$810,"Win")))*SUMIFS($Z$4:$Z$810,$A$4:$A$810,$A37,$E$4:$E$810,"Loss"),-('Guide &amp; Settings'!$C$42/($F37-1))*$Z37)))</f>
        <v>-19.411973586973698</v>
      </c>
      <c r="AB37" s="120">
        <f t="shared" si="16"/>
        <v>1018.2104356551559</v>
      </c>
      <c r="AC37" s="120">
        <f>IF($D37="","",IF(SUMPRODUCT(MAX(($D$4:$D$810=$D37)*($B$4:$B$810&lt;$B37)*$B$4:$B$810))=0,0,MAX(($B37-MAX(SUMPRODUCT(MAX(($D$4:$D$810=$D37)*($B$4:$B$810&lt;$B37)*$B$4:$B$810)),'Guide &amp; Settings'!$C$50))/7-'Guide &amp; Settings'!$C$48,0)*'Guide &amp; Settings'!$C$49))</f>
        <v>0</v>
      </c>
    </row>
    <row r="38" spans="1:29" ht="15" customHeight="1" x14ac:dyDescent="0.2">
      <c r="A38" s="111">
        <v>14</v>
      </c>
      <c r="B38" s="112">
        <v>46173</v>
      </c>
      <c r="C38" s="113" t="s">
        <v>183</v>
      </c>
      <c r="D38" s="113" t="s">
        <v>170</v>
      </c>
      <c r="E38" s="111" t="s">
        <v>308</v>
      </c>
      <c r="F38" s="114">
        <f t="shared" si="0"/>
        <v>2</v>
      </c>
      <c r="G38" s="115" t="str">
        <f t="shared" si="1"/>
        <v>Daniel (Ferret)</v>
      </c>
      <c r="H38" s="116">
        <f>IF($D38="",0,IFERROR(LOOKUP(2,1/(($D$3:D37=$D38)*($A$3:A37&lt;$A38)),$N$3:N37),'Guide &amp; Settings'!$C$41))</f>
        <v>911.15187178394547</v>
      </c>
      <c r="I38" s="117">
        <f t="shared" si="2"/>
        <v>0.2857142857142857</v>
      </c>
      <c r="J38" s="118">
        <f>IF($D38="",0,IF($F38&lt;2,0,IF($E38="Win",('Guide &amp; Settings'!$C$42/(($F38-1)*COUNTIFS($A$4:$A$810,$A38,$E$4:$E$810,"Win")))*SUMIFS($X$4:$X$810,$A$4:$A$810,$A38,$E$4:$E$810,"Loss"),-('Guide &amp; Settings'!$C$42/($F38-1))*$X38)))</f>
        <v>21.569517849087507</v>
      </c>
      <c r="K38" s="118">
        <f>IF($D38="",0,'Guide &amp; Settings'!$C$43*(IF($E38="Win",1,0)-$I38))</f>
        <v>8.5714285714285712</v>
      </c>
      <c r="L38" s="119">
        <f>IF($D38="",0,'Guide &amp; Settings'!$C$44*IF($F38&gt;=3,$F38,0))</f>
        <v>0</v>
      </c>
      <c r="M38" s="118">
        <f t="shared" si="3"/>
        <v>30.14094642051608</v>
      </c>
      <c r="N38" s="116">
        <f t="shared" si="4"/>
        <v>941.29281820446158</v>
      </c>
      <c r="O38" s="115" t="str">
        <f t="shared" si="5"/>
        <v>OK</v>
      </c>
      <c r="P38">
        <f t="shared" si="6"/>
        <v>911.15187178394547</v>
      </c>
      <c r="Q38">
        <f t="shared" si="7"/>
        <v>0.5</v>
      </c>
      <c r="R38">
        <f t="shared" si="8"/>
        <v>0.2857142857142857</v>
      </c>
      <c r="S38">
        <f t="shared" si="9"/>
        <v>1</v>
      </c>
      <c r="T38" s="83">
        <f t="shared" si="10"/>
        <v>5</v>
      </c>
      <c r="U38" s="120">
        <f>IF($D38="",0,IFERROR(LOOKUP(2,1/(($D$3:D37=$D38)*($C$3:C37=$C38)*($A$3:A37&lt;$A38)),$AB$3:AB37),1000))</f>
        <v>962.37759075787051</v>
      </c>
      <c r="V38" s="120">
        <f t="shared" si="11"/>
        <v>936.76473127090799</v>
      </c>
      <c r="W38">
        <f t="shared" si="12"/>
        <v>936.76473127090799</v>
      </c>
      <c r="X38">
        <f t="shared" si="13"/>
        <v>0.5</v>
      </c>
      <c r="Y38">
        <f t="shared" si="14"/>
        <v>962.37759075787051</v>
      </c>
      <c r="Z38">
        <f t="shared" si="15"/>
        <v>0.5</v>
      </c>
      <c r="AA38">
        <f>IF($D38="",0,IF($F38&lt;2,0,IF($E38="Win",('Guide &amp; Settings'!$C$42/(($F38-1)*COUNTIFS($A$4:$A$810,$A38,$E$4:$E$810,"Win")))*SUMIFS($Z$4:$Z$810,$A$4:$A$810,$A38,$E$4:$E$810,"Loss"),-('Guide &amp; Settings'!$C$42/($F38-1))*$Z38)))</f>
        <v>19.411973586973698</v>
      </c>
      <c r="AB38" s="120">
        <f t="shared" si="16"/>
        <v>981.78956434484417</v>
      </c>
      <c r="AC38" s="120">
        <f>IF($D38="","",IF(SUMPRODUCT(MAX(($D$4:$D$810=$D38)*($B$4:$B$810&lt;$B38)*$B$4:$B$810))=0,0,MAX(($B38-MAX(SUMPRODUCT(MAX(($D$4:$D$810=$D38)*($B$4:$B$810&lt;$B38)*$B$4:$B$810)),'Guide &amp; Settings'!$C$50))/7-'Guide &amp; Settings'!$C$48,0)*'Guide &amp; Settings'!$C$49))</f>
        <v>0</v>
      </c>
    </row>
    <row r="39" spans="1:29" ht="15" customHeight="1" x14ac:dyDescent="0.2">
      <c r="A39" s="111">
        <v>15</v>
      </c>
      <c r="B39" s="112">
        <v>46173</v>
      </c>
      <c r="C39" s="113" t="s">
        <v>183</v>
      </c>
      <c r="D39" s="113" t="s">
        <v>134</v>
      </c>
      <c r="E39" s="111" t="s">
        <v>309</v>
      </c>
      <c r="F39" s="114">
        <f t="shared" si="0"/>
        <v>2</v>
      </c>
      <c r="G39" s="115" t="str">
        <f t="shared" si="1"/>
        <v>Daniel (Ferret)</v>
      </c>
      <c r="H39" s="116">
        <f>IF($D39="",0,IFERROR(LOOKUP(2,1/(($D$3:D38=$D39)*($A$3:A38&lt;$A39)),$N$3:N38),'Guide &amp; Settings'!$C$41))</f>
        <v>1058.1949493150487</v>
      </c>
      <c r="I39" s="117">
        <f t="shared" si="2"/>
        <v>0.625</v>
      </c>
      <c r="J39" s="118">
        <f>IF($D39="",0,IF($F39&lt;2,0,IF($E39="Win",('Guide &amp; Settings'!$C$42/(($F39-1)*COUNTIFS($A$4:$A$810,$A39,$E$4:$E$810,"Win")))*SUMIFS($X$4:$X$810,$A$4:$A$810,$A39,$E$4:$E$810,"Loss"),-('Guide &amp; Settings'!$C$42/($F39-1))*$X39)))</f>
        <v>-19.313305977555867</v>
      </c>
      <c r="K39" s="118">
        <f>IF($D39="",0,'Guide &amp; Settings'!$C$43*(IF($E39="Win",1,0)-$I39))</f>
        <v>-7.5</v>
      </c>
      <c r="L39" s="119">
        <f>IF($D39="",0,'Guide &amp; Settings'!$C$44*IF($F39&gt;=3,$F39,0))</f>
        <v>0</v>
      </c>
      <c r="M39" s="118">
        <f t="shared" si="3"/>
        <v>-26.813305977555867</v>
      </c>
      <c r="N39" s="116">
        <f t="shared" si="4"/>
        <v>1031.3816433374927</v>
      </c>
      <c r="O39" s="115" t="str">
        <f t="shared" si="5"/>
        <v>OK</v>
      </c>
      <c r="P39">
        <f t="shared" si="6"/>
        <v>941.29281820446158</v>
      </c>
      <c r="Q39">
        <f t="shared" si="7"/>
        <v>0.66216177914682628</v>
      </c>
      <c r="R39">
        <f t="shared" si="8"/>
        <v>0.625</v>
      </c>
      <c r="S39">
        <f t="shared" si="9"/>
        <v>1</v>
      </c>
      <c r="T39" s="83">
        <f t="shared" si="10"/>
        <v>6</v>
      </c>
      <c r="U39" s="120">
        <f>IF($D39="",0,IFERROR(LOOKUP(2,1/(($D$3:D38=$D39)*($C$3:C38=$C39)*($A$3:A38&lt;$A39)),$AB$3:AB38),1000))</f>
        <v>1018.2104356551559</v>
      </c>
      <c r="V39" s="120">
        <f t="shared" si="11"/>
        <v>1036.3852145914709</v>
      </c>
      <c r="W39">
        <f t="shared" si="12"/>
        <v>963.38195246285204</v>
      </c>
      <c r="X39">
        <f t="shared" si="13"/>
        <v>0.60354081179862085</v>
      </c>
      <c r="Y39">
        <f t="shared" si="14"/>
        <v>981.78956434484417</v>
      </c>
      <c r="Z39">
        <f t="shared" si="15"/>
        <v>0.55222269803260859</v>
      </c>
      <c r="AA39">
        <f>IF($D39="",0,IF($F39&lt;2,0,IF($E39="Win",('Guide &amp; Settings'!$C$42/(($F39-1)*COUNTIFS($A$4:$A$810,$A39,$E$4:$E$810,"Win")))*SUMIFS($Z$4:$Z$810,$A$4:$A$810,$A39,$E$4:$E$810,"Loss"),-('Guide &amp; Settings'!$C$42/($F39-1))*$Z39)))</f>
        <v>-17.671126337043475</v>
      </c>
      <c r="AB39" s="120">
        <f t="shared" si="16"/>
        <v>1000.5393093181125</v>
      </c>
      <c r="AC39" s="120">
        <f>IF($D39="","",IF(SUMPRODUCT(MAX(($D$4:$D$810=$D39)*($B$4:$B$810&lt;$B39)*$B$4:$B$810))=0,0,MAX(($B39-MAX(SUMPRODUCT(MAX(($D$4:$D$810=$D39)*($B$4:$B$810&lt;$B39)*$B$4:$B$810)),'Guide &amp; Settings'!$C$50))/7-'Guide &amp; Settings'!$C$48,0)*'Guide &amp; Settings'!$C$49))</f>
        <v>0</v>
      </c>
    </row>
    <row r="40" spans="1:29" ht="15" customHeight="1" x14ac:dyDescent="0.2">
      <c r="A40" s="111">
        <v>15</v>
      </c>
      <c r="B40" s="112">
        <v>46173</v>
      </c>
      <c r="C40" s="113" t="s">
        <v>183</v>
      </c>
      <c r="D40" s="113" t="s">
        <v>170</v>
      </c>
      <c r="E40" s="111" t="s">
        <v>308</v>
      </c>
      <c r="F40" s="114">
        <f t="shared" si="0"/>
        <v>2</v>
      </c>
      <c r="G40" s="115" t="str">
        <f t="shared" si="1"/>
        <v>Daniel (Ferret)</v>
      </c>
      <c r="H40" s="116">
        <f>IF($D40="",0,IFERROR(LOOKUP(2,1/(($D$3:D39=$D40)*($A$3:A39&lt;$A40)),$N$3:N39),'Guide &amp; Settings'!$C$41))</f>
        <v>941.29281820446158</v>
      </c>
      <c r="I40" s="117">
        <f t="shared" si="2"/>
        <v>0.375</v>
      </c>
      <c r="J40" s="118">
        <f>IF($D40="",0,IF($F40&lt;2,0,IF($E40="Win",('Guide &amp; Settings'!$C$42/(($F40-1)*COUNTIFS($A$4:$A$810,$A40,$E$4:$E$810,"Win")))*SUMIFS($X$4:$X$810,$A$4:$A$810,$A40,$E$4:$E$810,"Loss"),-('Guide &amp; Settings'!$C$42/($F40-1))*$X40)))</f>
        <v>19.313305977555867</v>
      </c>
      <c r="K40" s="118">
        <f>IF($D40="",0,'Guide &amp; Settings'!$C$43*(IF($E40="Win",1,0)-$I40))</f>
        <v>7.5</v>
      </c>
      <c r="L40" s="119">
        <f>IF($D40="",0,'Guide &amp; Settings'!$C$44*IF($F40&gt;=3,$F40,0))</f>
        <v>0</v>
      </c>
      <c r="M40" s="118">
        <f t="shared" si="3"/>
        <v>26.813305977555867</v>
      </c>
      <c r="N40" s="116">
        <f t="shared" si="4"/>
        <v>968.10612418201742</v>
      </c>
      <c r="O40" s="115" t="str">
        <f t="shared" si="5"/>
        <v>OK</v>
      </c>
      <c r="P40">
        <f t="shared" si="6"/>
        <v>941.29281820446158</v>
      </c>
      <c r="Q40">
        <f t="shared" si="7"/>
        <v>0.5</v>
      </c>
      <c r="R40">
        <f t="shared" si="8"/>
        <v>0.375</v>
      </c>
      <c r="S40">
        <f t="shared" si="9"/>
        <v>1</v>
      </c>
      <c r="T40" s="83">
        <f t="shared" si="10"/>
        <v>6</v>
      </c>
      <c r="U40" s="120">
        <f>IF($D40="",0,IFERROR(LOOKUP(2,1/(($D$3:D39=$D40)*($C$3:C39=$C40)*($A$3:A39&lt;$A40)),$AB$3:AB39),1000))</f>
        <v>981.78956434484417</v>
      </c>
      <c r="V40" s="120">
        <f t="shared" si="11"/>
        <v>963.38195246285204</v>
      </c>
      <c r="W40">
        <f t="shared" si="12"/>
        <v>963.38195246285204</v>
      </c>
      <c r="X40">
        <f t="shared" si="13"/>
        <v>0.5</v>
      </c>
      <c r="Y40">
        <f t="shared" si="14"/>
        <v>981.78956434484417</v>
      </c>
      <c r="Z40">
        <f t="shared" si="15"/>
        <v>0.5</v>
      </c>
      <c r="AA40">
        <f>IF($D40="",0,IF($F40&lt;2,0,IF($E40="Win",('Guide &amp; Settings'!$C$42/(($F40-1)*COUNTIFS($A$4:$A$810,$A40,$E$4:$E$810,"Win")))*SUMIFS($Z$4:$Z$810,$A$4:$A$810,$A40,$E$4:$E$810,"Loss"),-('Guide &amp; Settings'!$C$42/($F40-1))*$Z40)))</f>
        <v>17.671126337043475</v>
      </c>
      <c r="AB40" s="120">
        <f t="shared" si="16"/>
        <v>999.46069068188763</v>
      </c>
      <c r="AC40" s="120">
        <f>IF($D40="","",IF(SUMPRODUCT(MAX(($D$4:$D$810=$D40)*($B$4:$B$810&lt;$B40)*$B$4:$B$810))=0,0,MAX(($B40-MAX(SUMPRODUCT(MAX(($D$4:$D$810=$D40)*($B$4:$B$810&lt;$B40)*$B$4:$B$810)),'Guide &amp; Settings'!$C$50))/7-'Guide &amp; Settings'!$C$48,0)*'Guide &amp; Settings'!$C$49))</f>
        <v>0</v>
      </c>
    </row>
    <row r="41" spans="1:29" ht="15" customHeight="1" x14ac:dyDescent="0.2">
      <c r="A41" s="111">
        <v>16</v>
      </c>
      <c r="B41" s="112">
        <v>46173</v>
      </c>
      <c r="C41" s="113" t="s">
        <v>183</v>
      </c>
      <c r="D41" s="113" t="s">
        <v>134</v>
      </c>
      <c r="E41" s="111" t="s">
        <v>309</v>
      </c>
      <c r="F41" s="114">
        <f t="shared" si="0"/>
        <v>2</v>
      </c>
      <c r="G41" s="115" t="str">
        <f t="shared" si="1"/>
        <v>Daniel (Ferret)</v>
      </c>
      <c r="H41" s="116">
        <f>IF($D41="",0,IFERROR(LOOKUP(2,1/(($D$3:D40=$D41)*($A$3:A40&lt;$A41)),$N$3:N40),'Guide &amp; Settings'!$C$41))</f>
        <v>1031.3816433374927</v>
      </c>
      <c r="I41" s="117">
        <f t="shared" si="2"/>
        <v>0.55555555555555558</v>
      </c>
      <c r="J41" s="118">
        <f>IF($D41="",0,IF($F41&lt;2,0,IF($E41="Win",('Guide &amp; Settings'!$C$42/(($F41-1)*COUNTIFS($A$4:$A$810,$A41,$E$4:$E$810,"Win")))*SUMIFS($X$4:$X$810,$A$4:$A$810,$A41,$E$4:$E$810,"Loss"),-('Guide &amp; Settings'!$C$42/($F41-1))*$X41)))</f>
        <v>-17.240624015848731</v>
      </c>
      <c r="K41" s="118">
        <f>IF($D41="",0,'Guide &amp; Settings'!$C$43*(IF($E41="Win",1,0)-$I41))</f>
        <v>-6.666666666666667</v>
      </c>
      <c r="L41" s="119">
        <f>IF($D41="",0,'Guide &amp; Settings'!$C$44*IF($F41&gt;=3,$F41,0))</f>
        <v>0</v>
      </c>
      <c r="M41" s="118">
        <f t="shared" si="3"/>
        <v>-23.907290682515399</v>
      </c>
      <c r="N41" s="116">
        <f t="shared" si="4"/>
        <v>1007.4743526549773</v>
      </c>
      <c r="O41" s="115" t="str">
        <f t="shared" si="5"/>
        <v>OK</v>
      </c>
      <c r="P41">
        <f t="shared" si="6"/>
        <v>968.10612418201742</v>
      </c>
      <c r="Q41">
        <f t="shared" si="7"/>
        <v>0.59006719588888956</v>
      </c>
      <c r="R41">
        <f t="shared" si="8"/>
        <v>0.55555555555555558</v>
      </c>
      <c r="S41">
        <f t="shared" si="9"/>
        <v>1</v>
      </c>
      <c r="T41" s="83">
        <f t="shared" si="10"/>
        <v>7</v>
      </c>
      <c r="U41" s="120">
        <f>IF($D41="",0,IFERROR(LOOKUP(2,1/(($D$3:D40=$D41)*($C$3:C40=$C41)*($A$3:A40&lt;$A41)),$AB$3:AB40),1000))</f>
        <v>1000.5393093181125</v>
      </c>
      <c r="V41" s="120">
        <f t="shared" si="11"/>
        <v>1013.3902818261876</v>
      </c>
      <c r="W41">
        <f t="shared" si="12"/>
        <v>986.39628797360842</v>
      </c>
      <c r="X41">
        <f t="shared" si="13"/>
        <v>0.53876950049527284</v>
      </c>
      <c r="Y41">
        <f t="shared" si="14"/>
        <v>999.46069068188763</v>
      </c>
      <c r="Z41">
        <f t="shared" si="15"/>
        <v>0.5015522520086293</v>
      </c>
      <c r="AA41">
        <f>IF($D41="",0,IF($F41&lt;2,0,IF($E41="Win",('Guide &amp; Settings'!$C$42/(($F41-1)*COUNTIFS($A$4:$A$810,$A41,$E$4:$E$810,"Win")))*SUMIFS($Z$4:$Z$810,$A$4:$A$810,$A41,$E$4:$E$810,"Loss"),-('Guide &amp; Settings'!$C$42/($F41-1))*$Z41)))</f>
        <v>-16.049672064276137</v>
      </c>
      <c r="AB41" s="120">
        <f t="shared" si="16"/>
        <v>984.48963725383635</v>
      </c>
      <c r="AC41" s="120">
        <f>IF($D41="","",IF(SUMPRODUCT(MAX(($D$4:$D$810=$D41)*($B$4:$B$810&lt;$B41)*$B$4:$B$810))=0,0,MAX(($B41-MAX(SUMPRODUCT(MAX(($D$4:$D$810=$D41)*($B$4:$B$810&lt;$B41)*$B$4:$B$810)),'Guide &amp; Settings'!$C$50))/7-'Guide &amp; Settings'!$C$48,0)*'Guide &amp; Settings'!$C$49))</f>
        <v>0</v>
      </c>
    </row>
    <row r="42" spans="1:29" ht="15" customHeight="1" x14ac:dyDescent="0.2">
      <c r="A42" s="111">
        <v>16</v>
      </c>
      <c r="B42" s="112">
        <v>46173</v>
      </c>
      <c r="C42" s="113" t="s">
        <v>183</v>
      </c>
      <c r="D42" s="113" t="s">
        <v>170</v>
      </c>
      <c r="E42" s="111" t="s">
        <v>308</v>
      </c>
      <c r="F42" s="114">
        <f t="shared" si="0"/>
        <v>2</v>
      </c>
      <c r="G42" s="115" t="str">
        <f t="shared" si="1"/>
        <v>Daniel (Ferret)</v>
      </c>
      <c r="H42" s="116">
        <f>IF($D42="",0,IFERROR(LOOKUP(2,1/(($D$3:D41=$D42)*($A$3:A41&lt;$A42)),$N$3:N41),'Guide &amp; Settings'!$C$41))</f>
        <v>968.10612418201742</v>
      </c>
      <c r="I42" s="117">
        <f t="shared" si="2"/>
        <v>0.44444444444444442</v>
      </c>
      <c r="J42" s="118">
        <f>IF($D42="",0,IF($F42&lt;2,0,IF($E42="Win",('Guide &amp; Settings'!$C$42/(($F42-1)*COUNTIFS($A$4:$A$810,$A42,$E$4:$E$810,"Win")))*SUMIFS($X$4:$X$810,$A$4:$A$810,$A42,$E$4:$E$810,"Loss"),-('Guide &amp; Settings'!$C$42/($F42-1))*$X42)))</f>
        <v>17.240624015848731</v>
      </c>
      <c r="K42" s="118">
        <f>IF($D42="",0,'Guide &amp; Settings'!$C$43*(IF($E42="Win",1,0)-$I42))</f>
        <v>6.666666666666667</v>
      </c>
      <c r="L42" s="119">
        <f>IF($D42="",0,'Guide &amp; Settings'!$C$44*IF($F42&gt;=3,$F42,0))</f>
        <v>0</v>
      </c>
      <c r="M42" s="118">
        <f t="shared" si="3"/>
        <v>23.907290682515399</v>
      </c>
      <c r="N42" s="116">
        <f t="shared" si="4"/>
        <v>992.01341486453282</v>
      </c>
      <c r="O42" s="115" t="str">
        <f t="shared" si="5"/>
        <v>OK</v>
      </c>
      <c r="P42">
        <f t="shared" si="6"/>
        <v>968.10612418201742</v>
      </c>
      <c r="Q42">
        <f t="shared" si="7"/>
        <v>0.5</v>
      </c>
      <c r="R42">
        <f t="shared" si="8"/>
        <v>0.44444444444444442</v>
      </c>
      <c r="S42">
        <f t="shared" si="9"/>
        <v>1</v>
      </c>
      <c r="T42" s="83">
        <f t="shared" si="10"/>
        <v>7</v>
      </c>
      <c r="U42" s="120">
        <f>IF($D42="",0,IFERROR(LOOKUP(2,1/(($D$3:D41=$D42)*($C$3:C41=$C42)*($A$3:A41&lt;$A42)),$AB$3:AB41),1000))</f>
        <v>999.46069068188763</v>
      </c>
      <c r="V42" s="120">
        <f t="shared" si="11"/>
        <v>986.39628797360842</v>
      </c>
      <c r="W42">
        <f t="shared" si="12"/>
        <v>986.39628797360842</v>
      </c>
      <c r="X42">
        <f t="shared" si="13"/>
        <v>0.5</v>
      </c>
      <c r="Y42">
        <f t="shared" si="14"/>
        <v>999.46069068188763</v>
      </c>
      <c r="Z42">
        <f t="shared" si="15"/>
        <v>0.5</v>
      </c>
      <c r="AA42">
        <f>IF($D42="",0,IF($F42&lt;2,0,IF($E42="Win",('Guide &amp; Settings'!$C$42/(($F42-1)*COUNTIFS($A$4:$A$810,$A42,$E$4:$E$810,"Win")))*SUMIFS($Z$4:$Z$810,$A$4:$A$810,$A42,$E$4:$E$810,"Loss"),-('Guide &amp; Settings'!$C$42/($F42-1))*$Z42)))</f>
        <v>16.049672064276137</v>
      </c>
      <c r="AB42" s="120">
        <f t="shared" si="16"/>
        <v>1015.5103627461638</v>
      </c>
      <c r="AC42" s="120">
        <f>IF($D42="","",IF(SUMPRODUCT(MAX(($D$4:$D$810=$D42)*($B$4:$B$810&lt;$B42)*$B$4:$B$810))=0,0,MAX(($B42-MAX(SUMPRODUCT(MAX(($D$4:$D$810=$D42)*($B$4:$B$810&lt;$B42)*$B$4:$B$810)),'Guide &amp; Settings'!$C$50))/7-'Guide &amp; Settings'!$C$48,0)*'Guide &amp; Settings'!$C$49))</f>
        <v>0</v>
      </c>
    </row>
    <row r="43" spans="1:29" ht="15" customHeight="1" x14ac:dyDescent="0.2">
      <c r="A43" s="111">
        <v>17</v>
      </c>
      <c r="B43" s="112">
        <v>46175</v>
      </c>
      <c r="C43" s="113" t="s">
        <v>183</v>
      </c>
      <c r="D43" s="113" t="s">
        <v>138</v>
      </c>
      <c r="E43" s="111" t="s">
        <v>308</v>
      </c>
      <c r="F43" s="114">
        <f t="shared" si="0"/>
        <v>2</v>
      </c>
      <c r="G43" s="115" t="str">
        <f t="shared" si="1"/>
        <v>Aaron</v>
      </c>
      <c r="H43" s="116">
        <f>IF($D43="",0,IFERROR(LOOKUP(2,1/(($D$3:D42=$D43)*($A$3:A42&lt;$A43)),$N$3:N42),'Guide &amp; Settings'!$C$41))</f>
        <v>1034.5588790960981</v>
      </c>
      <c r="I43" s="117">
        <f t="shared" si="2"/>
        <v>0.5</v>
      </c>
      <c r="J43" s="118">
        <f>IF($D43="",0,IF($F43&lt;2,0,IF($E43="Win",('Guide &amp; Settings'!$C$42/(($F43-1)*COUNTIFS($A$4:$A$810,$A43,$E$4:$E$810,"Win")))*SUMIFS($X$4:$X$810,$A$4:$A$810,$A43,$E$4:$E$810,"Loss"),-('Guide &amp; Settings'!$C$42/($F43-1))*$X43)))</f>
        <v>18.236040117989134</v>
      </c>
      <c r="K43" s="118">
        <f>IF($D43="",0,'Guide &amp; Settings'!$C$43*(IF($E43="Win",1,0)-$I43))</f>
        <v>6</v>
      </c>
      <c r="L43" s="119">
        <f>IF($D43="",0,'Guide &amp; Settings'!$C$44*IF($F43&gt;=3,$F43,0))</f>
        <v>0</v>
      </c>
      <c r="M43" s="118">
        <f t="shared" si="3"/>
        <v>24.236040117989134</v>
      </c>
      <c r="N43" s="116">
        <f t="shared" si="4"/>
        <v>1058.7949192140873</v>
      </c>
      <c r="O43" s="115" t="str">
        <f t="shared" si="5"/>
        <v>OK</v>
      </c>
      <c r="P43">
        <f t="shared" si="6"/>
        <v>1034.5588790960981</v>
      </c>
      <c r="Q43">
        <f t="shared" si="7"/>
        <v>0.5</v>
      </c>
      <c r="R43">
        <f t="shared" si="8"/>
        <v>0.5</v>
      </c>
      <c r="S43">
        <f t="shared" si="9"/>
        <v>1</v>
      </c>
      <c r="T43" s="83">
        <f t="shared" si="10"/>
        <v>0</v>
      </c>
      <c r="U43" s="120">
        <f>IF($D43="",0,IFERROR(LOOKUP(2,1/(($D$3:D42=$D43)*($C$3:C42=$C43)*($A$3:A42&lt;$A43)),$AB$3:AB42),1000))</f>
        <v>1000</v>
      </c>
      <c r="V43" s="120">
        <f t="shared" si="11"/>
        <v>1034.5588790960981</v>
      </c>
      <c r="W43">
        <f t="shared" si="12"/>
        <v>1034.5588790960981</v>
      </c>
      <c r="X43">
        <f t="shared" si="13"/>
        <v>0.5</v>
      </c>
      <c r="Y43">
        <f t="shared" si="14"/>
        <v>1000</v>
      </c>
      <c r="Z43">
        <f t="shared" si="15"/>
        <v>0.5</v>
      </c>
      <c r="AA43">
        <f>IF($D43="",0,IF($F43&lt;2,0,IF($E43="Win",('Guide &amp; Settings'!$C$42/(($F43-1)*COUNTIFS($A$4:$A$810,$A43,$E$4:$E$810,"Win")))*SUMIFS($Z$4:$Z$810,$A$4:$A$810,$A43,$E$4:$E$810,"Loss"),-('Guide &amp; Settings'!$C$42/($F43-1))*$Z43)))</f>
        <v>16</v>
      </c>
      <c r="AB43" s="120">
        <f t="shared" si="16"/>
        <v>1016</v>
      </c>
      <c r="AC43" s="120">
        <f>IF($D43="","",IF(SUMPRODUCT(MAX(($D$4:$D$810=$D43)*($B$4:$B$810&lt;$B43)*$B$4:$B$810))=0,0,MAX(($B43-MAX(SUMPRODUCT(MAX(($D$4:$D$810=$D43)*($B$4:$B$810&lt;$B43)*$B$4:$B$810)),'Guide &amp; Settings'!$C$50))/7-'Guide &amp; Settings'!$C$48,0)*'Guide &amp; Settings'!$C$49))</f>
        <v>0</v>
      </c>
    </row>
    <row r="44" spans="1:29" ht="15" customHeight="1" x14ac:dyDescent="0.2">
      <c r="A44" s="111">
        <v>17</v>
      </c>
      <c r="B44" s="112">
        <v>46175</v>
      </c>
      <c r="C44" s="113" t="s">
        <v>183</v>
      </c>
      <c r="D44" s="113" t="s">
        <v>137</v>
      </c>
      <c r="E44" s="111" t="s">
        <v>309</v>
      </c>
      <c r="F44" s="114">
        <f t="shared" si="0"/>
        <v>2</v>
      </c>
      <c r="G44" s="115" t="str">
        <f t="shared" si="1"/>
        <v>Aaron</v>
      </c>
      <c r="H44" s="116">
        <f>IF($D44="",0,IFERROR(LOOKUP(2,1/(($D$3:D43=$D44)*($A$3:A43&lt;$A44)),$N$3:N43),'Guide &amp; Settings'!$C$41))</f>
        <v>1083.4337354324246</v>
      </c>
      <c r="I44" s="117">
        <f t="shared" si="2"/>
        <v>0.5</v>
      </c>
      <c r="J44" s="118">
        <f>IF($D44="",0,IF($F44&lt;2,0,IF($E44="Win",('Guide &amp; Settings'!$C$42/(($F44-1)*COUNTIFS($A$4:$A$810,$A44,$E$4:$E$810,"Win")))*SUMIFS($X$4:$X$810,$A$4:$A$810,$A44,$E$4:$E$810,"Loss"),-('Guide &amp; Settings'!$C$42/($F44-1))*$X44)))</f>
        <v>-18.236040117989134</v>
      </c>
      <c r="K44" s="118">
        <f>IF($D44="",0,'Guide &amp; Settings'!$C$43*(IF($E44="Win",1,0)-$I44))</f>
        <v>-6</v>
      </c>
      <c r="L44" s="119">
        <f>IF($D44="",0,'Guide &amp; Settings'!$C$44*IF($F44&gt;=3,$F44,0))</f>
        <v>0</v>
      </c>
      <c r="M44" s="118">
        <f t="shared" si="3"/>
        <v>-24.236040117989134</v>
      </c>
      <c r="N44" s="116">
        <f t="shared" si="4"/>
        <v>1059.1976953144354</v>
      </c>
      <c r="O44" s="115" t="str">
        <f t="shared" si="5"/>
        <v>OK</v>
      </c>
      <c r="P44">
        <f t="shared" si="6"/>
        <v>1034.5588790960981</v>
      </c>
      <c r="Q44">
        <f t="shared" si="7"/>
        <v>0.56987625368716044</v>
      </c>
      <c r="R44">
        <f t="shared" si="8"/>
        <v>0.5</v>
      </c>
      <c r="S44">
        <f t="shared" si="9"/>
        <v>1</v>
      </c>
      <c r="T44" s="83">
        <f t="shared" si="10"/>
        <v>0</v>
      </c>
      <c r="U44" s="120">
        <f>IF($D44="",0,IFERROR(LOOKUP(2,1/(($D$3:D43=$D44)*($C$3:C43=$C44)*($A$3:A43&lt;$A44)),$AB$3:AB43),1000))</f>
        <v>1000</v>
      </c>
      <c r="V44" s="120">
        <f t="shared" si="11"/>
        <v>1083.4337354324246</v>
      </c>
      <c r="W44">
        <f t="shared" si="12"/>
        <v>1034.5588790960981</v>
      </c>
      <c r="X44">
        <f t="shared" si="13"/>
        <v>0.56987625368716044</v>
      </c>
      <c r="Y44">
        <f t="shared" si="14"/>
        <v>1000</v>
      </c>
      <c r="Z44">
        <f t="shared" si="15"/>
        <v>0.5</v>
      </c>
      <c r="AA44">
        <f>IF($D44="",0,IF($F44&lt;2,0,IF($E44="Win",('Guide &amp; Settings'!$C$42/(($F44-1)*COUNTIFS($A$4:$A$810,$A44,$E$4:$E$810,"Win")))*SUMIFS($Z$4:$Z$810,$A$4:$A$810,$A44,$E$4:$E$810,"Loss"),-('Guide &amp; Settings'!$C$42/($F44-1))*$Z44)))</f>
        <v>-16</v>
      </c>
      <c r="AB44" s="120">
        <f t="shared" si="16"/>
        <v>984</v>
      </c>
      <c r="AC44" s="120">
        <f>IF($D44="","",IF(SUMPRODUCT(MAX(($D$4:$D$810=$D44)*($B$4:$B$810&lt;$B44)*$B$4:$B$810))=0,0,MAX(($B44-MAX(SUMPRODUCT(MAX(($D$4:$D$810=$D44)*($B$4:$B$810&lt;$B44)*$B$4:$B$810)),'Guide &amp; Settings'!$C$50))/7-'Guide &amp; Settings'!$C$48,0)*'Guide &amp; Settings'!$C$49))</f>
        <v>0</v>
      </c>
    </row>
    <row r="45" spans="1:29" ht="15" customHeight="1" x14ac:dyDescent="0.2">
      <c r="A45" s="111">
        <v>18</v>
      </c>
      <c r="B45" s="112">
        <v>46175</v>
      </c>
      <c r="C45" s="113" t="s">
        <v>183</v>
      </c>
      <c r="D45" s="113" t="s">
        <v>138</v>
      </c>
      <c r="E45" s="111" t="s">
        <v>308</v>
      </c>
      <c r="F45" s="114">
        <f t="shared" si="0"/>
        <v>2</v>
      </c>
      <c r="G45" s="115" t="str">
        <f t="shared" si="1"/>
        <v>Aaron</v>
      </c>
      <c r="H45" s="116">
        <f>IF($D45="",0,IFERROR(LOOKUP(2,1/(($D$3:D44=$D45)*($A$3:A44&lt;$A45)),$N$3:N44),'Guide &amp; Settings'!$C$41))</f>
        <v>1058.7949192140873</v>
      </c>
      <c r="I45" s="117">
        <f t="shared" si="2"/>
        <v>0.57142857142857151</v>
      </c>
      <c r="J45" s="118">
        <f>IF($D45="",0,IF($F45&lt;2,0,IF($E45="Win",('Guide &amp; Settings'!$C$42/(($F45-1)*COUNTIFS($A$4:$A$810,$A45,$E$4:$E$810,"Win")))*SUMIFS($X$4:$X$810,$A$4:$A$810,$A45,$E$4:$E$810,"Loss"),-('Guide &amp; Settings'!$C$42/($F45-1))*$X45)))</f>
        <v>13.828415686320184</v>
      </c>
      <c r="K45" s="118">
        <f>IF($D45="",0,'Guide &amp; Settings'!$C$43*(IF($E45="Win",1,0)-$I45))</f>
        <v>5.1428571428571423</v>
      </c>
      <c r="L45" s="119">
        <f>IF($D45="",0,'Guide &amp; Settings'!$C$44*IF($F45&gt;=3,$F45,0))</f>
        <v>0</v>
      </c>
      <c r="M45" s="118">
        <f t="shared" si="3"/>
        <v>18.971272829177327</v>
      </c>
      <c r="N45" s="116">
        <f t="shared" si="4"/>
        <v>1077.7661920432645</v>
      </c>
      <c r="O45" s="115" t="str">
        <f t="shared" si="5"/>
        <v>OK</v>
      </c>
      <c r="P45">
        <f t="shared" si="6"/>
        <v>1058.7949192140873</v>
      </c>
      <c r="Q45">
        <f t="shared" si="7"/>
        <v>0.5</v>
      </c>
      <c r="R45">
        <f t="shared" si="8"/>
        <v>0.66666666666666663</v>
      </c>
      <c r="S45">
        <f t="shared" si="9"/>
        <v>1.1666666666666665</v>
      </c>
      <c r="T45" s="83">
        <f t="shared" si="10"/>
        <v>1</v>
      </c>
      <c r="U45" s="120">
        <f>IF($D45="",0,IFERROR(LOOKUP(2,1/(($D$3:D44=$D45)*($C$3:C44=$C45)*($A$3:A44&lt;$A45)),$AB$3:AB44),1000))</f>
        <v>1016</v>
      </c>
      <c r="V45" s="120">
        <f t="shared" si="11"/>
        <v>1051.662432678406</v>
      </c>
      <c r="W45">
        <f t="shared" si="12"/>
        <v>1051.662432678406</v>
      </c>
      <c r="X45">
        <f t="shared" si="13"/>
        <v>0.5</v>
      </c>
      <c r="Y45">
        <f t="shared" si="14"/>
        <v>1016</v>
      </c>
      <c r="Z45">
        <f t="shared" si="15"/>
        <v>0.5</v>
      </c>
      <c r="AA45">
        <f>IF($D45="",0,IF($F45&lt;2,0,IF($E45="Win",('Guide &amp; Settings'!$C$42/(($F45-1)*COUNTIFS($A$4:$A$810,$A45,$E$4:$E$810,"Win")))*SUMIFS($Z$4:$Z$810,$A$4:$A$810,$A45,$E$4:$E$810,"Loss"),-('Guide &amp; Settings'!$C$42/($F45-1))*$Z45)))</f>
        <v>15.263693206478006</v>
      </c>
      <c r="AB45" s="120">
        <f t="shared" si="16"/>
        <v>1031.2636932064779</v>
      </c>
      <c r="AC45" s="120">
        <f>IF($D45="","",IF(SUMPRODUCT(MAX(($D$4:$D$810=$D45)*($B$4:$B$810&lt;$B45)*$B$4:$B$810))=0,0,MAX(($B45-MAX(SUMPRODUCT(MAX(($D$4:$D$810=$D45)*($B$4:$B$810&lt;$B45)*$B$4:$B$810)),'Guide &amp; Settings'!$C$50))/7-'Guide &amp; Settings'!$C$48,0)*'Guide &amp; Settings'!$C$49))</f>
        <v>0</v>
      </c>
    </row>
    <row r="46" spans="1:29" ht="15" customHeight="1" x14ac:dyDescent="0.2">
      <c r="A46" s="111">
        <v>18</v>
      </c>
      <c r="B46" s="112">
        <v>46175</v>
      </c>
      <c r="C46" s="113" t="s">
        <v>183</v>
      </c>
      <c r="D46" s="113" t="s">
        <v>173</v>
      </c>
      <c r="E46" s="111" t="s">
        <v>309</v>
      </c>
      <c r="F46" s="114">
        <f t="shared" si="0"/>
        <v>2</v>
      </c>
      <c r="G46" s="115" t="str">
        <f t="shared" si="1"/>
        <v>Aaron</v>
      </c>
      <c r="H46" s="116">
        <f>IF($D46="",0,IFERROR(LOOKUP(2,1/(($D$3:D45=$D46)*($A$3:A45&lt;$A46)),$N$3:N45),'Guide &amp; Settings'!$C$41))</f>
        <v>1004.2142857142857</v>
      </c>
      <c r="I46" s="117">
        <f t="shared" si="2"/>
        <v>0.4285714285714286</v>
      </c>
      <c r="J46" s="118">
        <f>IF($D46="",0,IF($F46&lt;2,0,IF($E46="Win",('Guide &amp; Settings'!$C$42/(($F46-1)*COUNTIFS($A$4:$A$810,$A46,$E$4:$E$810,"Win")))*SUMIFS($X$4:$X$810,$A$4:$A$810,$A46,$E$4:$E$810,"Loss"),-('Guide &amp; Settings'!$C$42/($F46-1))*$X46)))</f>
        <v>-13.828415686320184</v>
      </c>
      <c r="K46" s="118">
        <f>IF($D46="",0,'Guide &amp; Settings'!$C$43*(IF($E46="Win",1,0)-$I46))</f>
        <v>-5.1428571428571432</v>
      </c>
      <c r="L46" s="119">
        <f>IF($D46="",0,'Guide &amp; Settings'!$C$44*IF($F46&gt;=3,$F46,0))</f>
        <v>0</v>
      </c>
      <c r="M46" s="118">
        <f t="shared" si="3"/>
        <v>-18.971272829177327</v>
      </c>
      <c r="N46" s="116">
        <f t="shared" si="4"/>
        <v>985.24301288510833</v>
      </c>
      <c r="O46" s="115" t="str">
        <f t="shared" si="5"/>
        <v>OK</v>
      </c>
      <c r="P46">
        <f t="shared" si="6"/>
        <v>1058.7949192140873</v>
      </c>
      <c r="Q46">
        <f t="shared" si="7"/>
        <v>0.4220920009860345</v>
      </c>
      <c r="R46">
        <f t="shared" si="8"/>
        <v>0.5</v>
      </c>
      <c r="S46">
        <f t="shared" si="9"/>
        <v>1.1666666666666665</v>
      </c>
      <c r="T46" s="83">
        <f t="shared" si="10"/>
        <v>0</v>
      </c>
      <c r="U46" s="120">
        <f>IF($D46="",0,IFERROR(LOOKUP(2,1/(($D$3:D45=$D46)*($C$3:C45=$C46)*($A$3:A45&lt;$A46)),$AB$3:AB45),1000))</f>
        <v>1000</v>
      </c>
      <c r="V46" s="120">
        <f t="shared" si="11"/>
        <v>1004.2142857142857</v>
      </c>
      <c r="W46">
        <f t="shared" si="12"/>
        <v>1051.662432678406</v>
      </c>
      <c r="X46">
        <f t="shared" si="13"/>
        <v>0.43213799019750576</v>
      </c>
      <c r="Y46">
        <f t="shared" si="14"/>
        <v>1016</v>
      </c>
      <c r="Z46">
        <f t="shared" si="15"/>
        <v>0.47699041270243769</v>
      </c>
      <c r="AA46">
        <f>IF($D46="",0,IF($F46&lt;2,0,IF($E46="Win",('Guide &amp; Settings'!$C$42/(($F46-1)*COUNTIFS($A$4:$A$810,$A46,$E$4:$E$810,"Win")))*SUMIFS($Z$4:$Z$810,$A$4:$A$810,$A46,$E$4:$E$810,"Loss"),-('Guide &amp; Settings'!$C$42/($F46-1))*$Z46)))</f>
        <v>-15.263693206478006</v>
      </c>
      <c r="AB46" s="120">
        <f t="shared" si="16"/>
        <v>984.73630679352198</v>
      </c>
      <c r="AC46" s="120">
        <f>IF($D46="","",IF(SUMPRODUCT(MAX(($D$4:$D$810=$D46)*($B$4:$B$810&lt;$B46)*$B$4:$B$810))=0,0,MAX(($B46-MAX(SUMPRODUCT(MAX(($D$4:$D$810=$D46)*($B$4:$B$810&lt;$B46)*$B$4:$B$810)),'Guide &amp; Settings'!$C$50))/7-'Guide &amp; Settings'!$C$48,0)*'Guide &amp; Settings'!$C$49))</f>
        <v>0</v>
      </c>
    </row>
    <row r="47" spans="1:29" ht="15" customHeight="1" x14ac:dyDescent="0.2">
      <c r="A47" s="111">
        <v>19</v>
      </c>
      <c r="B47" s="112">
        <v>46175</v>
      </c>
      <c r="C47" s="113" t="s">
        <v>183</v>
      </c>
      <c r="D47" s="113" t="s">
        <v>138</v>
      </c>
      <c r="E47" s="111" t="s">
        <v>308</v>
      </c>
      <c r="F47" s="114">
        <f t="shared" si="0"/>
        <v>2</v>
      </c>
      <c r="G47" s="115" t="str">
        <f t="shared" si="1"/>
        <v>Aaron</v>
      </c>
      <c r="H47" s="116">
        <f>IF($D47="",0,IFERROR(LOOKUP(2,1/(($D$3:D46=$D47)*($A$3:A46&lt;$A47)),$N$3:N46),'Guide &amp; Settings'!$C$41))</f>
        <v>1077.7661920432645</v>
      </c>
      <c r="I47" s="117">
        <f t="shared" si="2"/>
        <v>0.6</v>
      </c>
      <c r="J47" s="118">
        <f>IF($D47="",0,IF($F47&lt;2,0,IF($E47="Win",('Guide &amp; Settings'!$C$42/(($F47-1)*COUNTIFS($A$4:$A$810,$A47,$E$4:$E$810,"Win")))*SUMIFS($X$4:$X$810,$A$4:$A$810,$A47,$E$4:$E$810,"Loss"),-('Guide &amp; Settings'!$C$42/($F47-1))*$X47)))</f>
        <v>13.353240082966661</v>
      </c>
      <c r="K47" s="118">
        <f>IF($D47="",0,'Guide &amp; Settings'!$C$43*(IF($E47="Win",1,0)-$I47))</f>
        <v>4.8000000000000007</v>
      </c>
      <c r="L47" s="119">
        <f>IF($D47="",0,'Guide &amp; Settings'!$C$44*IF($F47&gt;=3,$F47,0))</f>
        <v>0</v>
      </c>
      <c r="M47" s="118">
        <f t="shared" si="3"/>
        <v>18.153240082966661</v>
      </c>
      <c r="N47" s="116">
        <f t="shared" si="4"/>
        <v>1095.9194321262312</v>
      </c>
      <c r="O47" s="115" t="str">
        <f t="shared" si="5"/>
        <v>OK</v>
      </c>
      <c r="P47">
        <f t="shared" si="6"/>
        <v>1077.7661920432645</v>
      </c>
      <c r="Q47">
        <f t="shared" si="7"/>
        <v>0.5</v>
      </c>
      <c r="R47">
        <f t="shared" si="8"/>
        <v>0.75</v>
      </c>
      <c r="S47">
        <f t="shared" si="9"/>
        <v>1.25</v>
      </c>
      <c r="T47" s="83">
        <f t="shared" si="10"/>
        <v>2</v>
      </c>
      <c r="U47" s="120">
        <f>IF($D47="",0,IFERROR(LOOKUP(2,1/(($D$3:D46=$D47)*($C$3:C46=$C47)*($A$3:A46&lt;$A47)),$AB$3:AB46),1000))</f>
        <v>1031.2636932064779</v>
      </c>
      <c r="V47" s="120">
        <f t="shared" si="11"/>
        <v>1064.4797638041825</v>
      </c>
      <c r="W47">
        <f t="shared" si="12"/>
        <v>1064.4797638041825</v>
      </c>
      <c r="X47">
        <f t="shared" si="13"/>
        <v>0.5</v>
      </c>
      <c r="Y47">
        <f t="shared" si="14"/>
        <v>1031.2636932064779</v>
      </c>
      <c r="Z47">
        <f t="shared" si="15"/>
        <v>0.5</v>
      </c>
      <c r="AA47">
        <f>IF($D47="",0,IF($F47&lt;2,0,IF($E47="Win",('Guide &amp; Settings'!$C$42/(($F47-1)*COUNTIFS($A$4:$A$810,$A47,$E$4:$E$810,"Win")))*SUMIFS($Z$4:$Z$810,$A$4:$A$810,$A47,$E$4:$E$810,"Loss"),-('Guide &amp; Settings'!$C$42/($F47-1))*$Z47)))</f>
        <v>15.275029070186529</v>
      </c>
      <c r="AB47" s="120">
        <f t="shared" si="16"/>
        <v>1046.5387222766644</v>
      </c>
      <c r="AC47" s="120">
        <f>IF($D47="","",IF(SUMPRODUCT(MAX(($D$4:$D$810=$D47)*($B$4:$B$810&lt;$B47)*$B$4:$B$810))=0,0,MAX(($B47-MAX(SUMPRODUCT(MAX(($D$4:$D$810=$D47)*($B$4:$B$810&lt;$B47)*$B$4:$B$810)),'Guide &amp; Settings'!$C$50))/7-'Guide &amp; Settings'!$C$48,0)*'Guide &amp; Settings'!$C$49))</f>
        <v>0</v>
      </c>
    </row>
    <row r="48" spans="1:29" ht="15" customHeight="1" x14ac:dyDescent="0.2">
      <c r="A48" s="111">
        <v>19</v>
      </c>
      <c r="B48" s="112">
        <v>46175</v>
      </c>
      <c r="C48" s="113" t="s">
        <v>183</v>
      </c>
      <c r="D48" s="113" t="s">
        <v>170</v>
      </c>
      <c r="E48" s="111" t="s">
        <v>309</v>
      </c>
      <c r="F48" s="114">
        <f t="shared" si="0"/>
        <v>2</v>
      </c>
      <c r="G48" s="115" t="str">
        <f t="shared" si="1"/>
        <v>Aaron</v>
      </c>
      <c r="H48" s="116">
        <f>IF($D48="",0,IFERROR(LOOKUP(2,1/(($D$3:D47=$D48)*($A$3:A47&lt;$A48)),$N$3:N47),'Guide &amp; Settings'!$C$41))</f>
        <v>992.01341486453282</v>
      </c>
      <c r="I48" s="117">
        <f t="shared" si="2"/>
        <v>0.4</v>
      </c>
      <c r="J48" s="118">
        <f>IF($D48="",0,IF($F48&lt;2,0,IF($E48="Win",('Guide &amp; Settings'!$C$42/(($F48-1)*COUNTIFS($A$4:$A$810,$A48,$E$4:$E$810,"Win")))*SUMIFS($X$4:$X$810,$A$4:$A$810,$A48,$E$4:$E$810,"Loss"),-('Guide &amp; Settings'!$C$42/($F48-1))*$X48)))</f>
        <v>-13.353240082966661</v>
      </c>
      <c r="K48" s="118">
        <f>IF($D48="",0,'Guide &amp; Settings'!$C$43*(IF($E48="Win",1,0)-$I48))</f>
        <v>-4.8000000000000007</v>
      </c>
      <c r="L48" s="119">
        <f>IF($D48="",0,'Guide &amp; Settings'!$C$44*IF($F48&gt;=3,$F48,0))</f>
        <v>0</v>
      </c>
      <c r="M48" s="118">
        <f t="shared" si="3"/>
        <v>-18.153240082966661</v>
      </c>
      <c r="N48" s="116">
        <f t="shared" si="4"/>
        <v>973.86017478156612</v>
      </c>
      <c r="O48" s="115" t="str">
        <f t="shared" si="5"/>
        <v>OK</v>
      </c>
      <c r="P48">
        <f t="shared" si="6"/>
        <v>1077.7661920432645</v>
      </c>
      <c r="Q48">
        <f t="shared" si="7"/>
        <v>0.37903817852437516</v>
      </c>
      <c r="R48">
        <f t="shared" si="8"/>
        <v>0.5</v>
      </c>
      <c r="S48">
        <f t="shared" si="9"/>
        <v>1.25</v>
      </c>
      <c r="T48" s="83">
        <f t="shared" si="10"/>
        <v>8</v>
      </c>
      <c r="U48" s="120">
        <f>IF($D48="",0,IFERROR(LOOKUP(2,1/(($D$3:D47=$D48)*($C$3:C47=$C48)*($A$3:A47&lt;$A48)),$AB$3:AB47),1000))</f>
        <v>1015.5103627461638</v>
      </c>
      <c r="V48" s="120">
        <f t="shared" si="11"/>
        <v>1006.4730750993826</v>
      </c>
      <c r="W48">
        <f t="shared" si="12"/>
        <v>1064.4797638041825</v>
      </c>
      <c r="X48">
        <f t="shared" si="13"/>
        <v>0.41728875259270815</v>
      </c>
      <c r="Y48">
        <f t="shared" si="14"/>
        <v>1031.2636932064779</v>
      </c>
      <c r="Z48">
        <f t="shared" si="15"/>
        <v>0.47734465844332902</v>
      </c>
      <c r="AA48">
        <f>IF($D48="",0,IF($F48&lt;2,0,IF($E48="Win",('Guide &amp; Settings'!$C$42/(($F48-1)*COUNTIFS($A$4:$A$810,$A48,$E$4:$E$810,"Win")))*SUMIFS($Z$4:$Z$810,$A$4:$A$810,$A48,$E$4:$E$810,"Loss"),-('Guide &amp; Settings'!$C$42/($F48-1))*$Z48)))</f>
        <v>-15.275029070186529</v>
      </c>
      <c r="AB48" s="120">
        <f t="shared" si="16"/>
        <v>1000.2353336759772</v>
      </c>
      <c r="AC48" s="120">
        <f>IF($D48="","",IF(SUMPRODUCT(MAX(($D$4:$D$810=$D48)*($B$4:$B$810&lt;$B48)*$B$4:$B$810))=0,0,MAX(($B48-MAX(SUMPRODUCT(MAX(($D$4:$D$810=$D48)*($B$4:$B$810&lt;$B48)*$B$4:$B$810)),'Guide &amp; Settings'!$C$50))/7-'Guide &amp; Settings'!$C$48,0)*'Guide &amp; Settings'!$C$49))</f>
        <v>0</v>
      </c>
    </row>
    <row r="49" spans="1:29" ht="15" customHeight="1" x14ac:dyDescent="0.2">
      <c r="A49" s="111">
        <v>20</v>
      </c>
      <c r="B49" s="112">
        <v>46175</v>
      </c>
      <c r="C49" s="113" t="s">
        <v>199</v>
      </c>
      <c r="D49" s="113" t="s">
        <v>173</v>
      </c>
      <c r="E49" s="111" t="s">
        <v>308</v>
      </c>
      <c r="F49" s="114">
        <f t="shared" si="0"/>
        <v>2</v>
      </c>
      <c r="G49" s="115" t="str">
        <f t="shared" si="1"/>
        <v>Chase</v>
      </c>
      <c r="H49" s="116">
        <f>IF($D49="",0,IFERROR(LOOKUP(2,1/(($D$3:D48=$D49)*($A$3:A48&lt;$A49)),$N$3:N48),'Guide &amp; Settings'!$C$41))</f>
        <v>985.24301288510833</v>
      </c>
      <c r="I49" s="117">
        <f t="shared" si="2"/>
        <v>0.5</v>
      </c>
      <c r="J49" s="118">
        <f>IF($D49="",0,IF($F49&lt;2,0,IF($E49="Win",('Guide &amp; Settings'!$C$42/(($F49-1)*COUNTIFS($A$4:$A$810,$A49,$E$4:$E$810,"Win")))*SUMIFS($X$4:$X$810,$A$4:$A$810,$A49,$E$4:$E$810,"Loss"),-('Guide &amp; Settings'!$C$42/($F49-1))*$X49)))</f>
        <v>15.475988407353857</v>
      </c>
      <c r="K49" s="118">
        <f>IF($D49="",0,'Guide &amp; Settings'!$C$43*(IF($E49="Win",1,0)-$I49))</f>
        <v>6</v>
      </c>
      <c r="L49" s="119">
        <f>IF($D49="",0,'Guide &amp; Settings'!$C$44*IF($F49&gt;=3,$F49,0))</f>
        <v>0</v>
      </c>
      <c r="M49" s="118">
        <f t="shared" si="3"/>
        <v>21.475988407353857</v>
      </c>
      <c r="N49" s="116">
        <f t="shared" si="4"/>
        <v>1006.7190012924622</v>
      </c>
      <c r="O49" s="115" t="str">
        <f t="shared" si="5"/>
        <v>OK</v>
      </c>
      <c r="P49">
        <f t="shared" si="6"/>
        <v>985.24301288510833</v>
      </c>
      <c r="Q49">
        <f t="shared" si="7"/>
        <v>0.5</v>
      </c>
      <c r="R49">
        <f t="shared" si="8"/>
        <v>0.5</v>
      </c>
      <c r="S49">
        <f t="shared" si="9"/>
        <v>1</v>
      </c>
      <c r="T49" s="83">
        <f t="shared" si="10"/>
        <v>0</v>
      </c>
      <c r="U49" s="120">
        <f>IF($D49="",0,IFERROR(LOOKUP(2,1/(($D$3:D48=$D49)*($C$3:C48=$C49)*($A$3:A48&lt;$A49)),$AB$3:AB48),1000))</f>
        <v>1000</v>
      </c>
      <c r="V49" s="120">
        <f t="shared" si="11"/>
        <v>985.24301288510833</v>
      </c>
      <c r="W49">
        <f t="shared" si="12"/>
        <v>985.24301288510833</v>
      </c>
      <c r="X49">
        <f t="shared" si="13"/>
        <v>0.5</v>
      </c>
      <c r="Y49">
        <f t="shared" si="14"/>
        <v>1000</v>
      </c>
      <c r="Z49">
        <f t="shared" si="15"/>
        <v>0.5</v>
      </c>
      <c r="AA49">
        <f>IF($D49="",0,IF($F49&lt;2,0,IF($E49="Win",('Guide &amp; Settings'!$C$42/(($F49-1)*COUNTIFS($A$4:$A$810,$A49,$E$4:$E$810,"Win")))*SUMIFS($Z$4:$Z$810,$A$4:$A$810,$A49,$E$4:$E$810,"Loss"),-('Guide &amp; Settings'!$C$42/($F49-1))*$Z49)))</f>
        <v>16</v>
      </c>
      <c r="AB49" s="120">
        <f t="shared" si="16"/>
        <v>1016</v>
      </c>
      <c r="AC49" s="120">
        <f>IF($D49="","",IF(SUMPRODUCT(MAX(($D$4:$D$810=$D49)*($B$4:$B$810&lt;$B49)*$B$4:$B$810))=0,0,MAX(($B49-MAX(SUMPRODUCT(MAX(($D$4:$D$810=$D49)*($B$4:$B$810&lt;$B49)*$B$4:$B$810)),'Guide &amp; Settings'!$C$50))/7-'Guide &amp; Settings'!$C$48,0)*'Guide &amp; Settings'!$C$49))</f>
        <v>0</v>
      </c>
    </row>
    <row r="50" spans="1:29" ht="15" customHeight="1" x14ac:dyDescent="0.2">
      <c r="A50" s="111">
        <v>20</v>
      </c>
      <c r="B50" s="112">
        <v>46175</v>
      </c>
      <c r="C50" s="113" t="s">
        <v>199</v>
      </c>
      <c r="D50" s="113" t="s">
        <v>170</v>
      </c>
      <c r="E50" s="111" t="s">
        <v>309</v>
      </c>
      <c r="F50" s="114">
        <f t="shared" si="0"/>
        <v>2</v>
      </c>
      <c r="G50" s="115" t="str">
        <f t="shared" si="1"/>
        <v>Chase</v>
      </c>
      <c r="H50" s="116">
        <f>IF($D50="",0,IFERROR(LOOKUP(2,1/(($D$3:D49=$D50)*($A$3:A49&lt;$A50)),$N$3:N49),'Guide &amp; Settings'!$C$41))</f>
        <v>973.86017478156612</v>
      </c>
      <c r="I50" s="117">
        <f t="shared" si="2"/>
        <v>0.5</v>
      </c>
      <c r="J50" s="118">
        <f>IF($D50="",0,IF($F50&lt;2,0,IF($E50="Win",('Guide &amp; Settings'!$C$42/(($F50-1)*COUNTIFS($A$4:$A$810,$A50,$E$4:$E$810,"Win")))*SUMIFS($X$4:$X$810,$A$4:$A$810,$A50,$E$4:$E$810,"Loss"),-('Guide &amp; Settings'!$C$42/($F50-1))*$X50)))</f>
        <v>-15.475988407353857</v>
      </c>
      <c r="K50" s="118">
        <f>IF($D50="",0,'Guide &amp; Settings'!$C$43*(IF($E50="Win",1,0)-$I50))</f>
        <v>-6</v>
      </c>
      <c r="L50" s="119">
        <f>IF($D50="",0,'Guide &amp; Settings'!$C$44*IF($F50&gt;=3,$F50,0))</f>
        <v>0</v>
      </c>
      <c r="M50" s="118">
        <f t="shared" si="3"/>
        <v>-21.475988407353857</v>
      </c>
      <c r="N50" s="116">
        <f t="shared" si="4"/>
        <v>952.38418637421228</v>
      </c>
      <c r="O50" s="115" t="str">
        <f t="shared" si="5"/>
        <v>OK</v>
      </c>
      <c r="P50">
        <f t="shared" si="6"/>
        <v>985.24301288510833</v>
      </c>
      <c r="Q50">
        <f t="shared" si="7"/>
        <v>0.48362463772980802</v>
      </c>
      <c r="R50">
        <f t="shared" si="8"/>
        <v>0.5</v>
      </c>
      <c r="S50">
        <f t="shared" si="9"/>
        <v>1</v>
      </c>
      <c r="T50" s="83">
        <f t="shared" si="10"/>
        <v>0</v>
      </c>
      <c r="U50" s="120">
        <f>IF($D50="",0,IFERROR(LOOKUP(2,1/(($D$3:D49=$D50)*($C$3:C49=$C50)*($A$3:A49&lt;$A50)),$AB$3:AB49),1000))</f>
        <v>1000</v>
      </c>
      <c r="V50" s="120">
        <f t="shared" si="11"/>
        <v>973.86017478156612</v>
      </c>
      <c r="W50">
        <f t="shared" si="12"/>
        <v>985.24301288510833</v>
      </c>
      <c r="X50">
        <f t="shared" si="13"/>
        <v>0.48362463772980802</v>
      </c>
      <c r="Y50">
        <f t="shared" si="14"/>
        <v>1000</v>
      </c>
      <c r="Z50">
        <f t="shared" si="15"/>
        <v>0.5</v>
      </c>
      <c r="AA50">
        <f>IF($D50="",0,IF($F50&lt;2,0,IF($E50="Win",('Guide &amp; Settings'!$C$42/(($F50-1)*COUNTIFS($A$4:$A$810,$A50,$E$4:$E$810,"Win")))*SUMIFS($Z$4:$Z$810,$A$4:$A$810,$A50,$E$4:$E$810,"Loss"),-('Guide &amp; Settings'!$C$42/($F50-1))*$Z50)))</f>
        <v>-16</v>
      </c>
      <c r="AB50" s="120">
        <f t="shared" si="16"/>
        <v>984</v>
      </c>
      <c r="AC50" s="120">
        <f>IF($D50="","",IF(SUMPRODUCT(MAX(($D$4:$D$810=$D50)*($B$4:$B$810&lt;$B50)*$B$4:$B$810))=0,0,MAX(($B50-MAX(SUMPRODUCT(MAX(($D$4:$D$810=$D50)*($B$4:$B$810&lt;$B50)*$B$4:$B$810)),'Guide &amp; Settings'!$C$50))/7-'Guide &amp; Settings'!$C$48,0)*'Guide &amp; Settings'!$C$49))</f>
        <v>0</v>
      </c>
    </row>
    <row r="51" spans="1:29" ht="15" customHeight="1" x14ac:dyDescent="0.2">
      <c r="A51" s="111">
        <v>21</v>
      </c>
      <c r="B51" s="112">
        <v>46175</v>
      </c>
      <c r="C51" s="113" t="s">
        <v>199</v>
      </c>
      <c r="D51" s="113" t="s">
        <v>173</v>
      </c>
      <c r="E51" s="111" t="s">
        <v>308</v>
      </c>
      <c r="F51" s="114">
        <f t="shared" si="0"/>
        <v>2</v>
      </c>
      <c r="G51" s="115" t="str">
        <f t="shared" si="1"/>
        <v>Chase</v>
      </c>
      <c r="H51" s="116">
        <f>IF($D51="",0,IFERROR(LOOKUP(2,1/(($D$3:D50=$D51)*($A$3:A50&lt;$A51)),$N$3:N50),'Guide &amp; Settings'!$C$41))</f>
        <v>1006.7190012924622</v>
      </c>
      <c r="I51" s="117">
        <f t="shared" si="2"/>
        <v>0.66666666666666663</v>
      </c>
      <c r="J51" s="118">
        <f>IF($D51="",0,IF($F51&lt;2,0,IF($E51="Win",('Guide &amp; Settings'!$C$42/(($F51-1)*COUNTIFS($A$4:$A$810,$A51,$E$4:$E$810,"Win")))*SUMIFS($X$4:$X$810,$A$4:$A$810,$A51,$E$4:$E$810,"Loss"),-('Guide &amp; Settings'!$C$42/($F51-1))*$X51)))</f>
        <v>13.685563721741987</v>
      </c>
      <c r="K51" s="118">
        <f>IF($D51="",0,'Guide &amp; Settings'!$C$43*(IF($E51="Win",1,0)-$I51))</f>
        <v>4</v>
      </c>
      <c r="L51" s="119">
        <f>IF($D51="",0,'Guide &amp; Settings'!$C$44*IF($F51&gt;=3,$F51,0))</f>
        <v>0</v>
      </c>
      <c r="M51" s="118">
        <f t="shared" si="3"/>
        <v>17.685563721741985</v>
      </c>
      <c r="N51" s="116">
        <f t="shared" si="4"/>
        <v>1024.4045650142041</v>
      </c>
      <c r="O51" s="115" t="str">
        <f t="shared" si="5"/>
        <v>OK</v>
      </c>
      <c r="P51">
        <f t="shared" si="6"/>
        <v>1006.7190012924622</v>
      </c>
      <c r="Q51">
        <f t="shared" si="7"/>
        <v>0.5</v>
      </c>
      <c r="R51">
        <f t="shared" si="8"/>
        <v>0.66666666666666663</v>
      </c>
      <c r="S51">
        <f t="shared" si="9"/>
        <v>1</v>
      </c>
      <c r="T51" s="83">
        <f t="shared" si="10"/>
        <v>1</v>
      </c>
      <c r="U51" s="120">
        <f>IF($D51="",0,IFERROR(LOOKUP(2,1/(($D$3:D50=$D51)*($C$3:C50=$C51)*($A$3:A50&lt;$A51)),$AB$3:AB50),1000))</f>
        <v>1016</v>
      </c>
      <c r="V51" s="120">
        <f t="shared" si="11"/>
        <v>1008.2658344103852</v>
      </c>
      <c r="W51">
        <f t="shared" si="12"/>
        <v>1008.2658344103852</v>
      </c>
      <c r="X51">
        <f t="shared" si="13"/>
        <v>0.5</v>
      </c>
      <c r="Y51">
        <f t="shared" si="14"/>
        <v>1016</v>
      </c>
      <c r="Z51">
        <f t="shared" si="15"/>
        <v>0.5</v>
      </c>
      <c r="AA51">
        <f>IF($D51="",0,IF($F51&lt;2,0,IF($E51="Win",('Guide &amp; Settings'!$C$42/(($F51-1)*COUNTIFS($A$4:$A$810,$A51,$E$4:$E$810,"Win")))*SUMIFS($Z$4:$Z$810,$A$4:$A$810,$A51,$E$4:$E$810,"Loss"),-('Guide &amp; Settings'!$C$42/($F51-1))*$Z51)))</f>
        <v>14.530498471024522</v>
      </c>
      <c r="AB51" s="120">
        <f t="shared" si="16"/>
        <v>1030.5304984710244</v>
      </c>
      <c r="AC51" s="120">
        <f>IF($D51="","",IF(SUMPRODUCT(MAX(($D$4:$D$810=$D51)*($B$4:$B$810&lt;$B51)*$B$4:$B$810))=0,0,MAX(($B51-MAX(SUMPRODUCT(MAX(($D$4:$D$810=$D51)*($B$4:$B$810&lt;$B51)*$B$4:$B$810)),'Guide &amp; Settings'!$C$50))/7-'Guide &amp; Settings'!$C$48,0)*'Guide &amp; Settings'!$C$49))</f>
        <v>0</v>
      </c>
    </row>
    <row r="52" spans="1:29" ht="15" customHeight="1" x14ac:dyDescent="0.2">
      <c r="A52" s="111">
        <v>21</v>
      </c>
      <c r="B52" s="112">
        <v>46175</v>
      </c>
      <c r="C52" s="113" t="s">
        <v>199</v>
      </c>
      <c r="D52" s="113" t="s">
        <v>170</v>
      </c>
      <c r="E52" s="111" t="s">
        <v>309</v>
      </c>
      <c r="F52" s="114">
        <f t="shared" si="0"/>
        <v>2</v>
      </c>
      <c r="G52" s="115" t="str">
        <f t="shared" si="1"/>
        <v>Chase</v>
      </c>
      <c r="H52" s="116">
        <f>IF($D52="",0,IFERROR(LOOKUP(2,1/(($D$3:D51=$D52)*($A$3:A51&lt;$A52)),$N$3:N51),'Guide &amp; Settings'!$C$41))</f>
        <v>952.38418637421228</v>
      </c>
      <c r="I52" s="117">
        <f t="shared" si="2"/>
        <v>0.33333333333333331</v>
      </c>
      <c r="J52" s="118">
        <f>IF($D52="",0,IF($F52&lt;2,0,IF($E52="Win",('Guide &amp; Settings'!$C$42/(($F52-1)*COUNTIFS($A$4:$A$810,$A52,$E$4:$E$810,"Win")))*SUMIFS($X$4:$X$810,$A$4:$A$810,$A52,$E$4:$E$810,"Loss"),-('Guide &amp; Settings'!$C$42/($F52-1))*$X52)))</f>
        <v>-13.685563721741987</v>
      </c>
      <c r="K52" s="118">
        <f>IF($D52="",0,'Guide &amp; Settings'!$C$43*(IF($E52="Win",1,0)-$I52))</f>
        <v>-4</v>
      </c>
      <c r="L52" s="119">
        <f>IF($D52="",0,'Guide &amp; Settings'!$C$44*IF($F52&gt;=3,$F52,0))</f>
        <v>0</v>
      </c>
      <c r="M52" s="118">
        <f t="shared" si="3"/>
        <v>-17.685563721741985</v>
      </c>
      <c r="N52" s="116">
        <f t="shared" si="4"/>
        <v>934.69862265247025</v>
      </c>
      <c r="O52" s="115" t="str">
        <f t="shared" si="5"/>
        <v>OK</v>
      </c>
      <c r="P52">
        <f t="shared" si="6"/>
        <v>1006.7190012924622</v>
      </c>
      <c r="Q52">
        <f t="shared" si="7"/>
        <v>0.42243721152164532</v>
      </c>
      <c r="R52">
        <f t="shared" si="8"/>
        <v>0.33333333333333331</v>
      </c>
      <c r="S52">
        <f t="shared" si="9"/>
        <v>1</v>
      </c>
      <c r="T52" s="83">
        <f t="shared" si="10"/>
        <v>1</v>
      </c>
      <c r="U52" s="120">
        <f>IF($D52="",0,IFERROR(LOOKUP(2,1/(($D$3:D51=$D52)*($C$3:C51=$C52)*($A$3:A51&lt;$A52)),$AB$3:AB51),1000))</f>
        <v>984</v>
      </c>
      <c r="V52" s="120">
        <f t="shared" si="11"/>
        <v>957.65348864517694</v>
      </c>
      <c r="W52">
        <f t="shared" si="12"/>
        <v>1008.2658344103852</v>
      </c>
      <c r="X52">
        <f t="shared" si="13"/>
        <v>0.4276738663044371</v>
      </c>
      <c r="Y52">
        <f t="shared" si="14"/>
        <v>1016</v>
      </c>
      <c r="Z52">
        <f t="shared" si="15"/>
        <v>0.45407807721951632</v>
      </c>
      <c r="AA52">
        <f>IF($D52="",0,IF($F52&lt;2,0,IF($E52="Win",('Guide &amp; Settings'!$C$42/(($F52-1)*COUNTIFS($A$4:$A$810,$A52,$E$4:$E$810,"Win")))*SUMIFS($Z$4:$Z$810,$A$4:$A$810,$A52,$E$4:$E$810,"Loss"),-('Guide &amp; Settings'!$C$42/($F52-1))*$Z52)))</f>
        <v>-14.530498471024522</v>
      </c>
      <c r="AB52" s="120">
        <f t="shared" si="16"/>
        <v>969.46950152897546</v>
      </c>
      <c r="AC52" s="120">
        <f>IF($D52="","",IF(SUMPRODUCT(MAX(($D$4:$D$810=$D52)*($B$4:$B$810&lt;$B52)*$B$4:$B$810))=0,0,MAX(($B52-MAX(SUMPRODUCT(MAX(($D$4:$D$810=$D52)*($B$4:$B$810&lt;$B52)*$B$4:$B$810)),'Guide &amp; Settings'!$C$50))/7-'Guide &amp; Settings'!$C$48,0)*'Guide &amp; Settings'!$C$49))</f>
        <v>0</v>
      </c>
    </row>
    <row r="53" spans="1:29" ht="15" customHeight="1" x14ac:dyDescent="0.2">
      <c r="A53" s="111">
        <v>22</v>
      </c>
      <c r="B53" s="112">
        <v>46175</v>
      </c>
      <c r="C53" s="113" t="s">
        <v>199</v>
      </c>
      <c r="D53" s="113" t="s">
        <v>173</v>
      </c>
      <c r="E53" s="111" t="s">
        <v>308</v>
      </c>
      <c r="F53" s="114">
        <f t="shared" si="0"/>
        <v>2</v>
      </c>
      <c r="G53" s="115" t="str">
        <f t="shared" si="1"/>
        <v>Chase</v>
      </c>
      <c r="H53" s="116">
        <f>IF($D53="",0,IFERROR(LOOKUP(2,1/(($D$3:D52=$D53)*($A$3:A52&lt;$A53)),$N$3:N52),'Guide &amp; Settings'!$C$41))</f>
        <v>1024.4045650142041</v>
      </c>
      <c r="I53" s="117">
        <f t="shared" si="2"/>
        <v>0.75</v>
      </c>
      <c r="J53" s="118">
        <f>IF($D53="",0,IF($F53&lt;2,0,IF($E53="Win",('Guide &amp; Settings'!$C$42/(($F53-1)*COUNTIFS($A$4:$A$810,$A53,$E$4:$E$810,"Win")))*SUMIFS($X$4:$X$810,$A$4:$A$810,$A53,$E$4:$E$810,"Loss"),-('Guide &amp; Settings'!$C$42/($F53-1))*$X53)))</f>
        <v>12.313200261907909</v>
      </c>
      <c r="K53" s="118">
        <f>IF($D53="",0,'Guide &amp; Settings'!$C$43*(IF($E53="Win",1,0)-$I53))</f>
        <v>3</v>
      </c>
      <c r="L53" s="119">
        <f>IF($D53="",0,'Guide &amp; Settings'!$C$44*IF($F53&gt;=3,$F53,0))</f>
        <v>0</v>
      </c>
      <c r="M53" s="118">
        <f t="shared" si="3"/>
        <v>15.313200261907909</v>
      </c>
      <c r="N53" s="116">
        <f t="shared" si="4"/>
        <v>1039.717765276112</v>
      </c>
      <c r="O53" s="115" t="str">
        <f t="shared" si="5"/>
        <v>OK</v>
      </c>
      <c r="P53">
        <f t="shared" si="6"/>
        <v>1024.4045650142041</v>
      </c>
      <c r="Q53">
        <f t="shared" si="7"/>
        <v>0.5</v>
      </c>
      <c r="R53">
        <f t="shared" si="8"/>
        <v>0.75</v>
      </c>
      <c r="S53">
        <f t="shared" si="9"/>
        <v>1</v>
      </c>
      <c r="T53" s="83">
        <f t="shared" si="10"/>
        <v>2</v>
      </c>
      <c r="U53" s="120">
        <f>IF($D53="",0,IFERROR(LOOKUP(2,1/(($D$3:D52=$D53)*($C$3:C52=$C53)*($A$3:A52&lt;$A53)),$AB$3:AB52),1000))</f>
        <v>1030.5304984710244</v>
      </c>
      <c r="V53" s="120">
        <f t="shared" si="11"/>
        <v>1026.1548317161528</v>
      </c>
      <c r="W53">
        <f t="shared" si="12"/>
        <v>1026.1548317161528</v>
      </c>
      <c r="X53">
        <f t="shared" si="13"/>
        <v>0.5</v>
      </c>
      <c r="Y53">
        <f t="shared" si="14"/>
        <v>1030.5304984710244</v>
      </c>
      <c r="Z53">
        <f t="shared" si="15"/>
        <v>0.5</v>
      </c>
      <c r="AA53">
        <f>IF($D53="",0,IF($F53&lt;2,0,IF($E53="Win",('Guide &amp; Settings'!$C$42/(($F53-1)*COUNTIFS($A$4:$A$810,$A53,$E$4:$E$810,"Win")))*SUMIFS($Z$4:$Z$810,$A$4:$A$810,$A53,$E$4:$E$810,"Loss"),-('Guide &amp; Settings'!$C$42/($F53-1))*$Z53)))</f>
        <v>13.21663516258643</v>
      </c>
      <c r="AB53" s="120">
        <f t="shared" si="16"/>
        <v>1043.7471336336109</v>
      </c>
      <c r="AC53" s="120">
        <f>IF($D53="","",IF(SUMPRODUCT(MAX(($D$4:$D$810=$D53)*($B$4:$B$810&lt;$B53)*$B$4:$B$810))=0,0,MAX(($B53-MAX(SUMPRODUCT(MAX(($D$4:$D$810=$D53)*($B$4:$B$810&lt;$B53)*$B$4:$B$810)),'Guide &amp; Settings'!$C$50))/7-'Guide &amp; Settings'!$C$48,0)*'Guide &amp; Settings'!$C$49))</f>
        <v>0</v>
      </c>
    </row>
    <row r="54" spans="1:29" ht="15" customHeight="1" x14ac:dyDescent="0.2">
      <c r="A54" s="111">
        <v>22</v>
      </c>
      <c r="B54" s="112">
        <v>46175</v>
      </c>
      <c r="C54" s="113" t="s">
        <v>199</v>
      </c>
      <c r="D54" s="113" t="s">
        <v>170</v>
      </c>
      <c r="E54" s="111" t="s">
        <v>309</v>
      </c>
      <c r="F54" s="114">
        <f t="shared" si="0"/>
        <v>2</v>
      </c>
      <c r="G54" s="115" t="str">
        <f t="shared" si="1"/>
        <v>Chase</v>
      </c>
      <c r="H54" s="116">
        <f>IF($D54="",0,IFERROR(LOOKUP(2,1/(($D$3:D53=$D54)*($A$3:A53&lt;$A54)),$N$3:N53),'Guide &amp; Settings'!$C$41))</f>
        <v>934.69862265247025</v>
      </c>
      <c r="I54" s="117">
        <f t="shared" si="2"/>
        <v>0.25</v>
      </c>
      <c r="J54" s="118">
        <f>IF($D54="",0,IF($F54&lt;2,0,IF($E54="Win",('Guide &amp; Settings'!$C$42/(($F54-1)*COUNTIFS($A$4:$A$810,$A54,$E$4:$E$810,"Win")))*SUMIFS($X$4:$X$810,$A$4:$A$810,$A54,$E$4:$E$810,"Loss"),-('Guide &amp; Settings'!$C$42/($F54-1))*$X54)))</f>
        <v>-12.313200261907909</v>
      </c>
      <c r="K54" s="118">
        <f>IF($D54="",0,'Guide &amp; Settings'!$C$43*(IF($E54="Win",1,0)-$I54))</f>
        <v>-3</v>
      </c>
      <c r="L54" s="119">
        <f>IF($D54="",0,'Guide &amp; Settings'!$C$44*IF($F54&gt;=3,$F54,0))</f>
        <v>0</v>
      </c>
      <c r="M54" s="118">
        <f t="shared" si="3"/>
        <v>-15.313200261907909</v>
      </c>
      <c r="N54" s="116">
        <f t="shared" si="4"/>
        <v>919.38542239056233</v>
      </c>
      <c r="O54" s="115" t="str">
        <f t="shared" si="5"/>
        <v>OK</v>
      </c>
      <c r="P54">
        <f t="shared" si="6"/>
        <v>1024.4045650142041</v>
      </c>
      <c r="Q54">
        <f t="shared" si="7"/>
        <v>0.37369701330313077</v>
      </c>
      <c r="R54">
        <f t="shared" si="8"/>
        <v>0.25</v>
      </c>
      <c r="S54">
        <f t="shared" si="9"/>
        <v>1</v>
      </c>
      <c r="T54" s="83">
        <f t="shared" si="10"/>
        <v>2</v>
      </c>
      <c r="U54" s="120">
        <f>IF($D54="",0,IFERROR(LOOKUP(2,1/(($D$3:D53=$D54)*($C$3:C53=$C54)*($A$3:A53&lt;$A54)),$AB$3:AB53),1000))</f>
        <v>969.46950152897546</v>
      </c>
      <c r="V54" s="120">
        <f t="shared" si="11"/>
        <v>944.63315947432898</v>
      </c>
      <c r="W54">
        <f t="shared" si="12"/>
        <v>1026.1548317161528</v>
      </c>
      <c r="X54">
        <f t="shared" si="13"/>
        <v>0.38478750818462215</v>
      </c>
      <c r="Y54">
        <f t="shared" si="14"/>
        <v>1030.5304984710244</v>
      </c>
      <c r="Z54">
        <f t="shared" si="15"/>
        <v>0.41301984883082593</v>
      </c>
      <c r="AA54">
        <f>IF($D54="",0,IF($F54&lt;2,0,IF($E54="Win",('Guide &amp; Settings'!$C$42/(($F54-1)*COUNTIFS($A$4:$A$810,$A54,$E$4:$E$810,"Win")))*SUMIFS($Z$4:$Z$810,$A$4:$A$810,$A54,$E$4:$E$810,"Loss"),-('Guide &amp; Settings'!$C$42/($F54-1))*$Z54)))</f>
        <v>-13.21663516258643</v>
      </c>
      <c r="AB54" s="120">
        <f t="shared" si="16"/>
        <v>956.25286636638907</v>
      </c>
      <c r="AC54" s="120">
        <f>IF($D54="","",IF(SUMPRODUCT(MAX(($D$4:$D$810=$D54)*($B$4:$B$810&lt;$B54)*$B$4:$B$810))=0,0,MAX(($B54-MAX(SUMPRODUCT(MAX(($D$4:$D$810=$D54)*($B$4:$B$810&lt;$B54)*$B$4:$B$810)),'Guide &amp; Settings'!$C$50))/7-'Guide &amp; Settings'!$C$48,0)*'Guide &amp; Settings'!$C$49))</f>
        <v>0</v>
      </c>
    </row>
    <row r="55" spans="1:29" ht="15" customHeight="1" x14ac:dyDescent="0.2">
      <c r="A55" s="111">
        <v>23</v>
      </c>
      <c r="B55" s="112">
        <v>46175</v>
      </c>
      <c r="C55" s="113" t="s">
        <v>199</v>
      </c>
      <c r="D55" s="113" t="s">
        <v>173</v>
      </c>
      <c r="E55" s="111" t="s">
        <v>308</v>
      </c>
      <c r="F55" s="114">
        <f t="shared" si="0"/>
        <v>2</v>
      </c>
      <c r="G55" s="115" t="str">
        <f t="shared" si="1"/>
        <v>Chase</v>
      </c>
      <c r="H55" s="116">
        <f>IF($D55="",0,IFERROR(LOOKUP(2,1/(($D$3:D54=$D55)*($A$3:A54&lt;$A55)),$N$3:N54),'Guide &amp; Settings'!$C$41))</f>
        <v>1039.717765276112</v>
      </c>
      <c r="I55" s="117">
        <f t="shared" si="2"/>
        <v>0.8</v>
      </c>
      <c r="J55" s="118">
        <f>IF($D55="",0,IF($F55&lt;2,0,IF($E55="Win",('Guide &amp; Settings'!$C$42/(($F55-1)*COUNTIFS($A$4:$A$810,$A55,$E$4:$E$810,"Win")))*SUMIFS($X$4:$X$810,$A$4:$A$810,$A55,$E$4:$E$810,"Loss"),-('Guide &amp; Settings'!$C$42/($F55-1))*$X55)))</f>
        <v>11.17989549168626</v>
      </c>
      <c r="K55" s="118">
        <f>IF($D55="",0,'Guide &amp; Settings'!$C$43*(IF($E55="Win",1,0)-$I55))</f>
        <v>2.3999999999999995</v>
      </c>
      <c r="L55" s="119">
        <f>IF($D55="",0,'Guide &amp; Settings'!$C$44*IF($F55&gt;=3,$F55,0))</f>
        <v>0</v>
      </c>
      <c r="M55" s="118">
        <f t="shared" si="3"/>
        <v>13.579895491686258</v>
      </c>
      <c r="N55" s="116">
        <f t="shared" si="4"/>
        <v>1053.2976607677983</v>
      </c>
      <c r="O55" s="115" t="str">
        <f t="shared" si="5"/>
        <v>OK</v>
      </c>
      <c r="P55">
        <f t="shared" si="6"/>
        <v>1039.717765276112</v>
      </c>
      <c r="Q55">
        <f t="shared" si="7"/>
        <v>0.5</v>
      </c>
      <c r="R55">
        <f t="shared" si="8"/>
        <v>0.8</v>
      </c>
      <c r="S55">
        <f t="shared" si="9"/>
        <v>1</v>
      </c>
      <c r="T55" s="83">
        <f t="shared" si="10"/>
        <v>3</v>
      </c>
      <c r="U55" s="120">
        <f>IF($D55="",0,IFERROR(LOOKUP(2,1/(($D$3:D54=$D55)*($C$3:C54=$C55)*($A$3:A54&lt;$A55)),$AB$3:AB54),1000))</f>
        <v>1043.7471336336109</v>
      </c>
      <c r="V55" s="120">
        <f t="shared" si="11"/>
        <v>1041.2287784101741</v>
      </c>
      <c r="W55">
        <f t="shared" si="12"/>
        <v>1041.2287784101741</v>
      </c>
      <c r="X55">
        <f t="shared" si="13"/>
        <v>0.5</v>
      </c>
      <c r="Y55">
        <f t="shared" si="14"/>
        <v>1043.7471336336109</v>
      </c>
      <c r="Z55">
        <f t="shared" si="15"/>
        <v>0.5</v>
      </c>
      <c r="AA55">
        <f>IF($D55="",0,IF($F55&lt;2,0,IF($E55="Win",('Guide &amp; Settings'!$C$42/(($F55-1)*COUNTIFS($A$4:$A$810,$A55,$E$4:$E$810,"Win")))*SUMIFS($Z$4:$Z$810,$A$4:$A$810,$A55,$E$4:$E$810,"Loss"),-('Guide &amp; Settings'!$C$42/($F55-1))*$Z55)))</f>
        <v>12.05380899538682</v>
      </c>
      <c r="AB55" s="120">
        <f t="shared" si="16"/>
        <v>1055.8009426289977</v>
      </c>
      <c r="AC55" s="120">
        <f>IF($D55="","",IF(SUMPRODUCT(MAX(($D$4:$D$810=$D55)*($B$4:$B$810&lt;$B55)*$B$4:$B$810))=0,0,MAX(($B55-MAX(SUMPRODUCT(MAX(($D$4:$D$810=$D55)*($B$4:$B$810&lt;$B55)*$B$4:$B$810)),'Guide &amp; Settings'!$C$50))/7-'Guide &amp; Settings'!$C$48,0)*'Guide &amp; Settings'!$C$49))</f>
        <v>0</v>
      </c>
    </row>
    <row r="56" spans="1:29" ht="15" customHeight="1" x14ac:dyDescent="0.2">
      <c r="A56" s="111">
        <v>23</v>
      </c>
      <c r="B56" s="112">
        <v>46175</v>
      </c>
      <c r="C56" s="113" t="s">
        <v>199</v>
      </c>
      <c r="D56" s="113" t="s">
        <v>170</v>
      </c>
      <c r="E56" s="111" t="s">
        <v>309</v>
      </c>
      <c r="F56" s="114">
        <f t="shared" si="0"/>
        <v>2</v>
      </c>
      <c r="G56" s="115" t="str">
        <f t="shared" si="1"/>
        <v>Chase</v>
      </c>
      <c r="H56" s="116">
        <f>IF($D56="",0,IFERROR(LOOKUP(2,1/(($D$3:D55=$D56)*($A$3:A55&lt;$A56)),$N$3:N55),'Guide &amp; Settings'!$C$41))</f>
        <v>919.38542239056233</v>
      </c>
      <c r="I56" s="117">
        <f t="shared" si="2"/>
        <v>0.2</v>
      </c>
      <c r="J56" s="118">
        <f>IF($D56="",0,IF($F56&lt;2,0,IF($E56="Win",('Guide &amp; Settings'!$C$42/(($F56-1)*COUNTIFS($A$4:$A$810,$A56,$E$4:$E$810,"Win")))*SUMIFS($X$4:$X$810,$A$4:$A$810,$A56,$E$4:$E$810,"Loss"),-('Guide &amp; Settings'!$C$42/($F56-1))*$X56)))</f>
        <v>-11.17989549168626</v>
      </c>
      <c r="K56" s="118">
        <f>IF($D56="",0,'Guide &amp; Settings'!$C$43*(IF($E56="Win",1,0)-$I56))</f>
        <v>-2.4000000000000004</v>
      </c>
      <c r="L56" s="119">
        <f>IF($D56="",0,'Guide &amp; Settings'!$C$44*IF($F56&gt;=3,$F56,0))</f>
        <v>0</v>
      </c>
      <c r="M56" s="118">
        <f t="shared" si="3"/>
        <v>-13.57989549168626</v>
      </c>
      <c r="N56" s="116">
        <f t="shared" si="4"/>
        <v>905.80552689887611</v>
      </c>
      <c r="O56" s="115" t="str">
        <f t="shared" si="5"/>
        <v>OK</v>
      </c>
      <c r="P56">
        <f t="shared" si="6"/>
        <v>1039.717765276112</v>
      </c>
      <c r="Q56">
        <f t="shared" si="7"/>
        <v>0.33343523739187136</v>
      </c>
      <c r="R56">
        <f t="shared" si="8"/>
        <v>0.2</v>
      </c>
      <c r="S56">
        <f t="shared" si="9"/>
        <v>1</v>
      </c>
      <c r="T56" s="83">
        <f t="shared" si="10"/>
        <v>3</v>
      </c>
      <c r="U56" s="120">
        <f>IF($D56="",0,IFERROR(LOOKUP(2,1/(($D$3:D55=$D56)*($C$3:C55=$C56)*($A$3:A55&lt;$A56)),$AB$3:AB55),1000))</f>
        <v>956.25286636638907</v>
      </c>
      <c r="V56" s="120">
        <f t="shared" si="11"/>
        <v>933.21071388149733</v>
      </c>
      <c r="W56">
        <f t="shared" si="12"/>
        <v>1041.2287784101741</v>
      </c>
      <c r="X56">
        <f t="shared" si="13"/>
        <v>0.34937173411519562</v>
      </c>
      <c r="Y56">
        <f t="shared" si="14"/>
        <v>1043.7471336336109</v>
      </c>
      <c r="Z56">
        <f t="shared" si="15"/>
        <v>0.37668153110583813</v>
      </c>
      <c r="AA56">
        <f>IF($D56="",0,IF($F56&lt;2,0,IF($E56="Win",('Guide &amp; Settings'!$C$42/(($F56-1)*COUNTIFS($A$4:$A$810,$A56,$E$4:$E$810,"Win")))*SUMIFS($Z$4:$Z$810,$A$4:$A$810,$A56,$E$4:$E$810,"Loss"),-('Guide &amp; Settings'!$C$42/($F56-1))*$Z56)))</f>
        <v>-12.05380899538682</v>
      </c>
      <c r="AB56" s="120">
        <f t="shared" si="16"/>
        <v>944.19905737100225</v>
      </c>
      <c r="AC56" s="120">
        <f>IF($D56="","",IF(SUMPRODUCT(MAX(($D$4:$D$810=$D56)*($B$4:$B$810&lt;$B56)*$B$4:$B$810))=0,0,MAX(($B56-MAX(SUMPRODUCT(MAX(($D$4:$D$810=$D56)*($B$4:$B$810&lt;$B56)*$B$4:$B$810)),'Guide &amp; Settings'!$C$50))/7-'Guide &amp; Settings'!$C$48,0)*'Guide &amp; Settings'!$C$49))</f>
        <v>0</v>
      </c>
    </row>
    <row r="57" spans="1:29" ht="15" customHeight="1" x14ac:dyDescent="0.2">
      <c r="A57" s="111">
        <v>24</v>
      </c>
      <c r="B57" s="112">
        <v>46175</v>
      </c>
      <c r="C57" s="113" t="s">
        <v>195</v>
      </c>
      <c r="D57" s="113" t="s">
        <v>137</v>
      </c>
      <c r="E57" s="111" t="s">
        <v>308</v>
      </c>
      <c r="F57" s="114">
        <f t="shared" si="0"/>
        <v>2</v>
      </c>
      <c r="G57" s="115" t="str">
        <f t="shared" si="1"/>
        <v>Josh</v>
      </c>
      <c r="H57" s="116">
        <f>IF($D57="",0,IFERROR(LOOKUP(2,1/(($D$3:D56=$D57)*($A$3:A56&lt;$A57)),$N$3:N56),'Guide &amp; Settings'!$C$41))</f>
        <v>1059.1976953144354</v>
      </c>
      <c r="I57" s="117">
        <f t="shared" si="2"/>
        <v>0.8</v>
      </c>
      <c r="J57" s="118">
        <f>IF($D57="",0,IF($F57&lt;2,0,IF($E57="Win",('Guide &amp; Settings'!$C$42/(($F57-1)*COUNTIFS($A$4:$A$810,$A57,$E$4:$E$810,"Win")))*SUMIFS($X$4:$X$810,$A$4:$A$810,$A57,$E$4:$E$810,"Loss"),-('Guide &amp; Settings'!$C$42/($F57-1))*$X57)))</f>
        <v>10.330925408275791</v>
      </c>
      <c r="K57" s="118">
        <f>IF($D57="",0,'Guide &amp; Settings'!$C$43*(IF($E57="Win",1,0)-$I57))</f>
        <v>2.3999999999999995</v>
      </c>
      <c r="L57" s="119">
        <f>IF($D57="",0,'Guide &amp; Settings'!$C$44*IF($F57&gt;=3,$F57,0))</f>
        <v>0</v>
      </c>
      <c r="M57" s="118">
        <f t="shared" si="3"/>
        <v>12.730925408275791</v>
      </c>
      <c r="N57" s="116">
        <f t="shared" si="4"/>
        <v>1071.9286207227112</v>
      </c>
      <c r="O57" s="115" t="str">
        <f t="shared" si="5"/>
        <v>OK</v>
      </c>
      <c r="P57">
        <f t="shared" si="6"/>
        <v>1059.1976953144354</v>
      </c>
      <c r="Q57">
        <f t="shared" si="7"/>
        <v>0.5</v>
      </c>
      <c r="R57">
        <f t="shared" si="8"/>
        <v>0.8</v>
      </c>
      <c r="S57">
        <f t="shared" si="9"/>
        <v>1</v>
      </c>
      <c r="T57" s="83">
        <f t="shared" si="10"/>
        <v>3</v>
      </c>
      <c r="U57" s="120">
        <f>IF($D57="",0,IFERROR(LOOKUP(2,1/(($D$3:D56=$D57)*($C$3:C56=$C57)*($A$3:A56&lt;$A57)),$AB$3:AB56),1000))</f>
        <v>1043.7471336336109</v>
      </c>
      <c r="V57" s="120">
        <f t="shared" si="11"/>
        <v>1053.403734684126</v>
      </c>
      <c r="W57">
        <f t="shared" si="12"/>
        <v>1053.403734684126</v>
      </c>
      <c r="X57">
        <f t="shared" si="13"/>
        <v>0.5</v>
      </c>
      <c r="Y57">
        <f t="shared" si="14"/>
        <v>1043.7471336336109</v>
      </c>
      <c r="Z57">
        <f t="shared" si="15"/>
        <v>0.5</v>
      </c>
      <c r="AA57">
        <f>IF($D57="",0,IF($F57&lt;2,0,IF($E57="Win",('Guide &amp; Settings'!$C$42/(($F57-1)*COUNTIFS($A$4:$A$810,$A57,$E$4:$E$810,"Win")))*SUMIFS($Z$4:$Z$810,$A$4:$A$810,$A57,$E$4:$E$810,"Loss"),-('Guide &amp; Settings'!$C$42/($F57-1))*$Z57)))</f>
        <v>12.05380899538682</v>
      </c>
      <c r="AB57" s="120">
        <f t="shared" si="16"/>
        <v>1055.8009426289977</v>
      </c>
      <c r="AC57" s="120">
        <f>IF($D57="","",IF(SUMPRODUCT(MAX(($D$4:$D$810=$D57)*($B$4:$B$810&lt;$B57)*$B$4:$B$810))=0,0,MAX(($B57-MAX(SUMPRODUCT(MAX(($D$4:$D$810=$D57)*($B$4:$B$810&lt;$B57)*$B$4:$B$810)),'Guide &amp; Settings'!$C$50))/7-'Guide &amp; Settings'!$C$48,0)*'Guide &amp; Settings'!$C$49))</f>
        <v>0</v>
      </c>
    </row>
    <row r="58" spans="1:29" ht="15" customHeight="1" x14ac:dyDescent="0.2">
      <c r="A58" s="111">
        <v>24</v>
      </c>
      <c r="B58" s="112">
        <v>46175</v>
      </c>
      <c r="C58" s="113" t="s">
        <v>195</v>
      </c>
      <c r="D58" s="113" t="s">
        <v>170</v>
      </c>
      <c r="E58" s="111" t="s">
        <v>309</v>
      </c>
      <c r="F58" s="114">
        <f t="shared" si="0"/>
        <v>2</v>
      </c>
      <c r="G58" s="115" t="str">
        <f t="shared" si="1"/>
        <v>Josh</v>
      </c>
      <c r="H58" s="116">
        <f>IF($D58="",0,IFERROR(LOOKUP(2,1/(($D$3:D57=$D58)*($A$3:A57&lt;$A58)),$N$3:N57),'Guide &amp; Settings'!$C$41))</f>
        <v>905.80552689887611</v>
      </c>
      <c r="I58" s="117">
        <f t="shared" si="2"/>
        <v>0.2</v>
      </c>
      <c r="J58" s="118">
        <f>IF($D58="",0,IF($F58&lt;2,0,IF($E58="Win",('Guide &amp; Settings'!$C$42/(($F58-1)*COUNTIFS($A$4:$A$810,$A58,$E$4:$E$810,"Win")))*SUMIFS($X$4:$X$810,$A$4:$A$810,$A58,$E$4:$E$810,"Loss"),-('Guide &amp; Settings'!$C$42/($F58-1))*$X58)))</f>
        <v>-10.330925408275791</v>
      </c>
      <c r="K58" s="118">
        <f>IF($D58="",0,'Guide &amp; Settings'!$C$43*(IF($E58="Win",1,0)-$I58))</f>
        <v>-2.4000000000000004</v>
      </c>
      <c r="L58" s="119">
        <f>IF($D58="",0,'Guide &amp; Settings'!$C$44*IF($F58&gt;=3,$F58,0))</f>
        <v>0</v>
      </c>
      <c r="M58" s="118">
        <f t="shared" si="3"/>
        <v>-12.730925408275791</v>
      </c>
      <c r="N58" s="116">
        <f t="shared" si="4"/>
        <v>893.07460149060034</v>
      </c>
      <c r="O58" s="115" t="str">
        <f t="shared" si="5"/>
        <v>OK</v>
      </c>
      <c r="P58">
        <f t="shared" si="6"/>
        <v>1059.1976953144354</v>
      </c>
      <c r="Q58">
        <f t="shared" si="7"/>
        <v>0.2925572567389505</v>
      </c>
      <c r="R58">
        <f t="shared" si="8"/>
        <v>0.2</v>
      </c>
      <c r="S58">
        <f t="shared" si="9"/>
        <v>1</v>
      </c>
      <c r="T58" s="83">
        <f t="shared" si="10"/>
        <v>3</v>
      </c>
      <c r="U58" s="120">
        <f>IF($D58="",0,IFERROR(LOOKUP(2,1/(($D$3:D57=$D58)*($C$3:C57=$C58)*($A$3:A57&lt;$A58)),$AB$3:AB57),1000))</f>
        <v>956.25286636638907</v>
      </c>
      <c r="V58" s="120">
        <f t="shared" si="11"/>
        <v>924.72327919919348</v>
      </c>
      <c r="W58">
        <f t="shared" si="12"/>
        <v>1053.403734684126</v>
      </c>
      <c r="X58">
        <f t="shared" si="13"/>
        <v>0.32284141900861846</v>
      </c>
      <c r="Y58">
        <f t="shared" si="14"/>
        <v>1043.7471336336109</v>
      </c>
      <c r="Z58">
        <f t="shared" si="15"/>
        <v>0.37668153110583813</v>
      </c>
      <c r="AA58">
        <f>IF($D58="",0,IF($F58&lt;2,0,IF($E58="Win",('Guide &amp; Settings'!$C$42/(($F58-1)*COUNTIFS($A$4:$A$810,$A58,$E$4:$E$810,"Win")))*SUMIFS($Z$4:$Z$810,$A$4:$A$810,$A58,$E$4:$E$810,"Loss"),-('Guide &amp; Settings'!$C$42/($F58-1))*$Z58)))</f>
        <v>-12.05380899538682</v>
      </c>
      <c r="AB58" s="120">
        <f t="shared" si="16"/>
        <v>944.19905737100225</v>
      </c>
      <c r="AC58" s="120">
        <f>IF($D58="","",IF(SUMPRODUCT(MAX(($D$4:$D$810=$D58)*($B$4:$B$810&lt;$B58)*$B$4:$B$810))=0,0,MAX(($B58-MAX(SUMPRODUCT(MAX(($D$4:$D$810=$D58)*($B$4:$B$810&lt;$B58)*$B$4:$B$810)),'Guide &amp; Settings'!$C$50))/7-'Guide &amp; Settings'!$C$48,0)*'Guide &amp; Settings'!$C$49))</f>
        <v>0</v>
      </c>
    </row>
    <row r="59" spans="1:29" ht="15" customHeight="1" x14ac:dyDescent="0.2">
      <c r="A59" s="111">
        <v>25</v>
      </c>
      <c r="B59" s="112">
        <v>46175</v>
      </c>
      <c r="C59" s="113" t="s">
        <v>195</v>
      </c>
      <c r="D59" s="113" t="s">
        <v>137</v>
      </c>
      <c r="E59" s="111" t="s">
        <v>308</v>
      </c>
      <c r="F59" s="114">
        <f t="shared" si="0"/>
        <v>2</v>
      </c>
      <c r="G59" s="115" t="str">
        <f t="shared" si="1"/>
        <v>Josh</v>
      </c>
      <c r="H59" s="116">
        <f>IF($D59="",0,IFERROR(LOOKUP(2,1/(($D$3:D58=$D59)*($A$3:A58&lt;$A59)),$N$3:N58),'Guide &amp; Settings'!$C$41))</f>
        <v>1071.9286207227112</v>
      </c>
      <c r="I59" s="117">
        <f t="shared" si="2"/>
        <v>0.625</v>
      </c>
      <c r="J59" s="118">
        <f>IF($D59="",0,IF($F59&lt;2,0,IF($E59="Win",('Guide &amp; Settings'!$C$42/(($F59-1)*COUNTIFS($A$4:$A$810,$A59,$E$4:$E$810,"Win")))*SUMIFS($X$4:$X$810,$A$4:$A$810,$A59,$E$4:$E$810,"Loss"),-('Guide &amp; Settings'!$C$42/($F59-1))*$X59)))</f>
        <v>13.239618489593605</v>
      </c>
      <c r="K59" s="118">
        <f>IF($D59="",0,'Guide &amp; Settings'!$C$43*(IF($E59="Win",1,0)-$I59))</f>
        <v>4.5</v>
      </c>
      <c r="L59" s="119">
        <f>IF($D59="",0,'Guide &amp; Settings'!$C$44*IF($F59&gt;=3,$F59,0))</f>
        <v>0</v>
      </c>
      <c r="M59" s="118">
        <f t="shared" si="3"/>
        <v>17.739618489593603</v>
      </c>
      <c r="N59" s="116">
        <f t="shared" si="4"/>
        <v>1089.6682392123048</v>
      </c>
      <c r="O59" s="115" t="str">
        <f t="shared" si="5"/>
        <v>OK</v>
      </c>
      <c r="P59">
        <f t="shared" si="6"/>
        <v>1071.9286207227112</v>
      </c>
      <c r="Q59">
        <f t="shared" si="7"/>
        <v>0.5</v>
      </c>
      <c r="R59">
        <f t="shared" si="8"/>
        <v>0.83333333333333337</v>
      </c>
      <c r="S59">
        <f t="shared" si="9"/>
        <v>1.3333333333333335</v>
      </c>
      <c r="T59" s="83">
        <f t="shared" si="10"/>
        <v>4</v>
      </c>
      <c r="U59" s="120">
        <f>IF($D59="",0,IFERROR(LOOKUP(2,1/(($D$3:D58=$D59)*($C$3:C58=$C59)*($A$3:A58&lt;$A59)),$AB$3:AB58),1000))</f>
        <v>1055.8009426289977</v>
      </c>
      <c r="V59" s="120">
        <f t="shared" si="11"/>
        <v>1064.7607637921719</v>
      </c>
      <c r="W59">
        <f t="shared" si="12"/>
        <v>1064.7607637921719</v>
      </c>
      <c r="X59">
        <f t="shared" si="13"/>
        <v>0.5</v>
      </c>
      <c r="Y59">
        <f t="shared" si="14"/>
        <v>1055.8009426289977</v>
      </c>
      <c r="Z59">
        <f t="shared" si="15"/>
        <v>0.5</v>
      </c>
      <c r="AA59">
        <f>IF($D59="",0,IF($F59&lt;2,0,IF($E59="Win",('Guide &amp; Settings'!$C$42/(($F59-1)*COUNTIFS($A$4:$A$810,$A59,$E$4:$E$810,"Win")))*SUMIFS($Z$4:$Z$810,$A$4:$A$810,$A59,$E$4:$E$810,"Loss"),-('Guide &amp; Settings'!$C$42/($F59-1))*$Z59)))</f>
        <v>13.452141330484256</v>
      </c>
      <c r="AB59" s="120">
        <f t="shared" si="16"/>
        <v>1069.253083959482</v>
      </c>
      <c r="AC59" s="120">
        <f>IF($D59="","",IF(SUMPRODUCT(MAX(($D$4:$D$810=$D59)*($B$4:$B$810&lt;$B59)*$B$4:$B$810))=0,0,MAX(($B59-MAX(SUMPRODUCT(MAX(($D$4:$D$810=$D59)*($B$4:$B$810&lt;$B59)*$B$4:$B$810)),'Guide &amp; Settings'!$C$50))/7-'Guide &amp; Settings'!$C$48,0)*'Guide &amp; Settings'!$C$49))</f>
        <v>0</v>
      </c>
    </row>
    <row r="60" spans="1:29" ht="15" customHeight="1" x14ac:dyDescent="0.2">
      <c r="A60" s="111">
        <v>25</v>
      </c>
      <c r="B60" s="112">
        <v>46175</v>
      </c>
      <c r="C60" s="113" t="s">
        <v>195</v>
      </c>
      <c r="D60" s="113" t="s">
        <v>140</v>
      </c>
      <c r="E60" s="111" t="s">
        <v>309</v>
      </c>
      <c r="F60" s="114">
        <f t="shared" si="0"/>
        <v>2</v>
      </c>
      <c r="G60" s="115" t="str">
        <f t="shared" si="1"/>
        <v>Josh</v>
      </c>
      <c r="H60" s="116">
        <f>IF($D60="",0,IFERROR(LOOKUP(2,1/(($D$3:D59=$D60)*($A$3:A59&lt;$A60)),$N$3:N59),'Guide &amp; Settings'!$C$41))</f>
        <v>1004.2142857142857</v>
      </c>
      <c r="I60" s="117">
        <f t="shared" si="2"/>
        <v>0.37499999999999994</v>
      </c>
      <c r="J60" s="118">
        <f>IF($D60="",0,IF($F60&lt;2,0,IF($E60="Win",('Guide &amp; Settings'!$C$42/(($F60-1)*COUNTIFS($A$4:$A$810,$A60,$E$4:$E$810,"Win")))*SUMIFS($X$4:$X$810,$A$4:$A$810,$A60,$E$4:$E$810,"Loss"),-('Guide &amp; Settings'!$C$42/($F60-1))*$X60)))</f>
        <v>-13.239618489593605</v>
      </c>
      <c r="K60" s="118">
        <f>IF($D60="",0,'Guide &amp; Settings'!$C$43*(IF($E60="Win",1,0)-$I60))</f>
        <v>-4.4999999999999991</v>
      </c>
      <c r="L60" s="119">
        <f>IF($D60="",0,'Guide &amp; Settings'!$C$44*IF($F60&gt;=3,$F60,0))</f>
        <v>0</v>
      </c>
      <c r="M60" s="118">
        <f t="shared" si="3"/>
        <v>-17.739618489593603</v>
      </c>
      <c r="N60" s="116">
        <f t="shared" si="4"/>
        <v>986.4746672246921</v>
      </c>
      <c r="O60" s="115" t="str">
        <f t="shared" si="5"/>
        <v>OK</v>
      </c>
      <c r="P60">
        <f t="shared" si="6"/>
        <v>1071.9286207227112</v>
      </c>
      <c r="Q60">
        <f t="shared" si="7"/>
        <v>0.40376664019629765</v>
      </c>
      <c r="R60">
        <f t="shared" si="8"/>
        <v>0.5</v>
      </c>
      <c r="S60">
        <f t="shared" si="9"/>
        <v>1.3333333333333335</v>
      </c>
      <c r="T60" s="83">
        <f t="shared" si="10"/>
        <v>0</v>
      </c>
      <c r="U60" s="120">
        <f>IF($D60="",0,IFERROR(LOOKUP(2,1/(($D$3:D59=$D60)*($C$3:C59=$C60)*($A$3:A59&lt;$A60)),$AB$3:AB59),1000))</f>
        <v>1000</v>
      </c>
      <c r="V60" s="120">
        <f t="shared" si="11"/>
        <v>1004.2142857142857</v>
      </c>
      <c r="W60">
        <f t="shared" si="12"/>
        <v>1064.7607637921719</v>
      </c>
      <c r="X60">
        <f t="shared" si="13"/>
        <v>0.41373807779980015</v>
      </c>
      <c r="Y60">
        <f t="shared" si="14"/>
        <v>1055.8009426289977</v>
      </c>
      <c r="Z60">
        <f t="shared" si="15"/>
        <v>0.420379416577633</v>
      </c>
      <c r="AA60">
        <f>IF($D60="",0,IF($F60&lt;2,0,IF($E60="Win",('Guide &amp; Settings'!$C$42/(($F60-1)*COUNTIFS($A$4:$A$810,$A60,$E$4:$E$810,"Win")))*SUMIFS($Z$4:$Z$810,$A$4:$A$810,$A60,$E$4:$E$810,"Loss"),-('Guide &amp; Settings'!$C$42/($F60-1))*$Z60)))</f>
        <v>-13.452141330484256</v>
      </c>
      <c r="AB60" s="120">
        <f t="shared" si="16"/>
        <v>986.54785866951579</v>
      </c>
      <c r="AC60" s="120">
        <f>IF($D60="","",IF(SUMPRODUCT(MAX(($D$4:$D$810=$D60)*($B$4:$B$810&lt;$B60)*$B$4:$B$810))=0,0,MAX(($B60-MAX(SUMPRODUCT(MAX(($D$4:$D$810=$D60)*($B$4:$B$810&lt;$B60)*$B$4:$B$810)),'Guide &amp; Settings'!$C$50))/7-'Guide &amp; Settings'!$C$48,0)*'Guide &amp; Settings'!$C$49))</f>
        <v>0</v>
      </c>
    </row>
    <row r="61" spans="1:29" ht="15" customHeight="1" x14ac:dyDescent="0.2">
      <c r="A61" s="111">
        <v>26</v>
      </c>
      <c r="B61" s="112">
        <v>46175</v>
      </c>
      <c r="C61" s="113" t="s">
        <v>195</v>
      </c>
      <c r="D61" s="113" t="s">
        <v>140</v>
      </c>
      <c r="E61" s="111" t="s">
        <v>309</v>
      </c>
      <c r="F61" s="114">
        <f t="shared" si="0"/>
        <v>2</v>
      </c>
      <c r="G61" s="115" t="str">
        <f t="shared" si="1"/>
        <v>Daniel (Ferret)</v>
      </c>
      <c r="H61" s="116">
        <f>IF($D61="",0,IFERROR(LOOKUP(2,1/(($D$3:D60=$D61)*($A$3:A60&lt;$A61)),$N$3:N60),'Guide &amp; Settings'!$C$41))</f>
        <v>986.4746672246921</v>
      </c>
      <c r="I61" s="117">
        <f t="shared" si="2"/>
        <v>0.66666666666666663</v>
      </c>
      <c r="J61" s="118">
        <f>IF($D61="",0,IF($F61&lt;2,0,IF($E61="Win",('Guide &amp; Settings'!$C$42/(($F61-1)*COUNTIFS($A$4:$A$810,$A61,$E$4:$E$810,"Win")))*SUMIFS($X$4:$X$810,$A$4:$A$810,$A61,$E$4:$E$810,"Loss"),-('Guide &amp; Settings'!$C$42/($F61-1))*$X61)))</f>
        <v>-19.211217893098144</v>
      </c>
      <c r="K61" s="118">
        <f>IF($D61="",0,'Guide &amp; Settings'!$C$43*(IF($E61="Win",1,0)-$I61))</f>
        <v>-8</v>
      </c>
      <c r="L61" s="119">
        <f>IF($D61="",0,'Guide &amp; Settings'!$C$44*IF($F61&gt;=3,$F61,0))</f>
        <v>0</v>
      </c>
      <c r="M61" s="118">
        <f t="shared" si="3"/>
        <v>-27.211217893098144</v>
      </c>
      <c r="N61" s="116">
        <f t="shared" si="4"/>
        <v>959.26344933159396</v>
      </c>
      <c r="O61" s="115" t="str">
        <f t="shared" si="5"/>
        <v>OK</v>
      </c>
      <c r="P61">
        <f t="shared" si="6"/>
        <v>893.07460149060034</v>
      </c>
      <c r="Q61">
        <f t="shared" si="7"/>
        <v>0.63126650922657901</v>
      </c>
      <c r="R61">
        <f t="shared" si="8"/>
        <v>0.33333333333333331</v>
      </c>
      <c r="S61">
        <f t="shared" si="9"/>
        <v>0.5</v>
      </c>
      <c r="T61" s="83">
        <f t="shared" si="10"/>
        <v>1</v>
      </c>
      <c r="U61" s="120">
        <f>IF($D61="",0,IFERROR(LOOKUP(2,1/(($D$3:D60=$D61)*($C$3:C60=$C61)*($A$3:A60&lt;$A61)),$AB$3:AB60),1000))</f>
        <v>986.54785866951579</v>
      </c>
      <c r="V61" s="120">
        <f t="shared" si="11"/>
        <v>986.4868657988294</v>
      </c>
      <c r="W61">
        <f t="shared" si="12"/>
        <v>915.79658188189001</v>
      </c>
      <c r="X61">
        <f t="shared" si="13"/>
        <v>0.60035055915931701</v>
      </c>
      <c r="Y61">
        <f t="shared" si="14"/>
        <v>944.19905737100225</v>
      </c>
      <c r="Z61">
        <f t="shared" si="15"/>
        <v>0.56064478622154601</v>
      </c>
      <c r="AA61">
        <f>IF($D61="",0,IF($F61&lt;2,0,IF($E61="Win",('Guide &amp; Settings'!$C$42/(($F61-1)*COUNTIFS($A$4:$A$810,$A61,$E$4:$E$810,"Win")))*SUMIFS($Z$4:$Z$810,$A$4:$A$810,$A61,$E$4:$E$810,"Loss"),-('Guide &amp; Settings'!$C$42/($F61-1))*$Z61)))</f>
        <v>-17.940633159089472</v>
      </c>
      <c r="AB61" s="120">
        <f t="shared" si="16"/>
        <v>968.60722551042636</v>
      </c>
      <c r="AC61" s="120">
        <f>IF($D61="","",IF(SUMPRODUCT(MAX(($D$4:$D$810=$D61)*($B$4:$B$810&lt;$B61)*$B$4:$B$810))=0,0,MAX(($B61-MAX(SUMPRODUCT(MAX(($D$4:$D$810=$D61)*($B$4:$B$810&lt;$B61)*$B$4:$B$810)),'Guide &amp; Settings'!$C$50))/7-'Guide &amp; Settings'!$C$48,0)*'Guide &amp; Settings'!$C$49))</f>
        <v>0</v>
      </c>
    </row>
    <row r="62" spans="1:29" ht="15" customHeight="1" x14ac:dyDescent="0.2">
      <c r="A62" s="111">
        <v>26</v>
      </c>
      <c r="B62" s="112">
        <v>46175</v>
      </c>
      <c r="C62" s="113" t="s">
        <v>195</v>
      </c>
      <c r="D62" s="113" t="s">
        <v>170</v>
      </c>
      <c r="E62" s="111" t="s">
        <v>308</v>
      </c>
      <c r="F62" s="114">
        <f t="shared" si="0"/>
        <v>2</v>
      </c>
      <c r="G62" s="115" t="str">
        <f t="shared" si="1"/>
        <v>Daniel (Ferret)</v>
      </c>
      <c r="H62" s="116">
        <f>IF($D62="",0,IFERROR(LOOKUP(2,1/(($D$3:D61=$D62)*($A$3:A61&lt;$A62)),$N$3:N61),'Guide &amp; Settings'!$C$41))</f>
        <v>893.07460149060034</v>
      </c>
      <c r="I62" s="117">
        <f t="shared" si="2"/>
        <v>0.33333333333333331</v>
      </c>
      <c r="J62" s="118">
        <f>IF($D62="",0,IF($F62&lt;2,0,IF($E62="Win",('Guide &amp; Settings'!$C$42/(($F62-1)*COUNTIFS($A$4:$A$810,$A62,$E$4:$E$810,"Win")))*SUMIFS($X$4:$X$810,$A$4:$A$810,$A62,$E$4:$E$810,"Loss"),-('Guide &amp; Settings'!$C$42/($F62-1))*$X62)))</f>
        <v>19.211217893098144</v>
      </c>
      <c r="K62" s="118">
        <f>IF($D62="",0,'Guide &amp; Settings'!$C$43*(IF($E62="Win",1,0)-$I62))</f>
        <v>8</v>
      </c>
      <c r="L62" s="119">
        <f>IF($D62="",0,'Guide &amp; Settings'!$C$44*IF($F62&gt;=3,$F62,0))</f>
        <v>0</v>
      </c>
      <c r="M62" s="118">
        <f t="shared" si="3"/>
        <v>27.211217893098144</v>
      </c>
      <c r="N62" s="116">
        <f t="shared" si="4"/>
        <v>920.28581938369848</v>
      </c>
      <c r="O62" s="115" t="str">
        <f t="shared" si="5"/>
        <v>OK</v>
      </c>
      <c r="P62">
        <f t="shared" si="6"/>
        <v>893.07460149060034</v>
      </c>
      <c r="Q62">
        <f t="shared" si="7"/>
        <v>0.5</v>
      </c>
      <c r="R62">
        <f t="shared" si="8"/>
        <v>0.16666666666666666</v>
      </c>
      <c r="S62">
        <f t="shared" si="9"/>
        <v>0.5</v>
      </c>
      <c r="T62" s="83">
        <f t="shared" si="10"/>
        <v>4</v>
      </c>
      <c r="U62" s="120">
        <f>IF($D62="",0,IFERROR(LOOKUP(2,1/(($D$3:D61=$D62)*($C$3:C61=$C62)*($A$3:A61&lt;$A62)),$AB$3:AB61),1000))</f>
        <v>944.19905737100225</v>
      </c>
      <c r="V62" s="120">
        <f t="shared" si="11"/>
        <v>915.79658188189001</v>
      </c>
      <c r="W62">
        <f t="shared" si="12"/>
        <v>915.79658188189001</v>
      </c>
      <c r="X62">
        <f t="shared" si="13"/>
        <v>0.5</v>
      </c>
      <c r="Y62">
        <f t="shared" si="14"/>
        <v>944.19905737100225</v>
      </c>
      <c r="Z62">
        <f t="shared" si="15"/>
        <v>0.5</v>
      </c>
      <c r="AA62">
        <f>IF($D62="",0,IF($F62&lt;2,0,IF($E62="Win",('Guide &amp; Settings'!$C$42/(($F62-1)*COUNTIFS($A$4:$A$810,$A62,$E$4:$E$810,"Win")))*SUMIFS($Z$4:$Z$810,$A$4:$A$810,$A62,$E$4:$E$810,"Loss"),-('Guide &amp; Settings'!$C$42/($F62-1))*$Z62)))</f>
        <v>17.940633159089472</v>
      </c>
      <c r="AB62" s="120">
        <f t="shared" si="16"/>
        <v>962.13969053009168</v>
      </c>
      <c r="AC62" s="120">
        <f>IF($D62="","",IF(SUMPRODUCT(MAX(($D$4:$D$810=$D62)*($B$4:$B$810&lt;$B62)*$B$4:$B$810))=0,0,MAX(($B62-MAX(SUMPRODUCT(MAX(($D$4:$D$810=$D62)*($B$4:$B$810&lt;$B62)*$B$4:$B$810)),'Guide &amp; Settings'!$C$50))/7-'Guide &amp; Settings'!$C$48,0)*'Guide &amp; Settings'!$C$49))</f>
        <v>0</v>
      </c>
    </row>
    <row r="63" spans="1:29" ht="15" customHeight="1" x14ac:dyDescent="0.2">
      <c r="A63" s="111">
        <v>27</v>
      </c>
      <c r="B63" s="112">
        <v>46175</v>
      </c>
      <c r="C63" s="113" t="s">
        <v>195</v>
      </c>
      <c r="D63" s="113" t="s">
        <v>137</v>
      </c>
      <c r="E63" s="111" t="s">
        <v>308</v>
      </c>
      <c r="F63" s="114">
        <f t="shared" si="0"/>
        <v>2</v>
      </c>
      <c r="G63" s="115" t="str">
        <f t="shared" si="1"/>
        <v>Josh</v>
      </c>
      <c r="H63" s="116">
        <f>IF($D63="",0,IFERROR(LOOKUP(2,1/(($D$3:D62=$D63)*($A$3:A62&lt;$A63)),$N$3:N62),'Guide &amp; Settings'!$C$41))</f>
        <v>1089.6682392123048</v>
      </c>
      <c r="I63" s="117">
        <f t="shared" si="2"/>
        <v>0.75</v>
      </c>
      <c r="J63" s="118">
        <f>IF($D63="",0,IF($F63&lt;2,0,IF($E63="Win",('Guide &amp; Settings'!$C$42/(($F63-1)*COUNTIFS($A$4:$A$810,$A63,$E$4:$E$810,"Win")))*SUMIFS($X$4:$X$810,$A$4:$A$810,$A63,$E$4:$E$810,"Loss"),-('Guide &amp; Settings'!$C$42/($F63-1))*$X63)))</f>
        <v>9.9494592506017394</v>
      </c>
      <c r="K63" s="118">
        <f>IF($D63="",0,'Guide &amp; Settings'!$C$43*(IF($E63="Win",1,0)-$I63))</f>
        <v>3</v>
      </c>
      <c r="L63" s="119">
        <f>IF($D63="",0,'Guide &amp; Settings'!$C$44*IF($F63&gt;=3,$F63,0))</f>
        <v>0</v>
      </c>
      <c r="M63" s="118">
        <f t="shared" si="3"/>
        <v>12.949459250601739</v>
      </c>
      <c r="N63" s="116">
        <f t="shared" si="4"/>
        <v>1102.6176984629064</v>
      </c>
      <c r="O63" s="115" t="str">
        <f t="shared" si="5"/>
        <v>OK</v>
      </c>
      <c r="P63">
        <f t="shared" si="6"/>
        <v>1089.6682392123048</v>
      </c>
      <c r="Q63">
        <f t="shared" si="7"/>
        <v>0.5</v>
      </c>
      <c r="R63">
        <f t="shared" si="8"/>
        <v>0.8571428571428571</v>
      </c>
      <c r="S63">
        <f t="shared" si="9"/>
        <v>1.1428571428571428</v>
      </c>
      <c r="T63" s="83">
        <f t="shared" si="10"/>
        <v>5</v>
      </c>
      <c r="U63" s="120">
        <f>IF($D63="",0,IFERROR(LOOKUP(2,1/(($D$3:D62=$D63)*($C$3:C62=$C63)*($A$3:A62&lt;$A63)),$AB$3:AB62),1000))</f>
        <v>1069.253083959482</v>
      </c>
      <c r="V63" s="120">
        <f t="shared" si="11"/>
        <v>1079.4606615858934</v>
      </c>
      <c r="W63">
        <f t="shared" si="12"/>
        <v>1079.4606615858934</v>
      </c>
      <c r="X63">
        <f t="shared" si="13"/>
        <v>0.5</v>
      </c>
      <c r="Y63">
        <f t="shared" si="14"/>
        <v>1069.253083959482</v>
      </c>
      <c r="Z63">
        <f t="shared" si="15"/>
        <v>0.5</v>
      </c>
      <c r="AA63">
        <f>IF($D63="",0,IF($F63&lt;2,0,IF($E63="Win",('Guide &amp; Settings'!$C$42/(($F63-1)*COUNTIFS($A$4:$A$810,$A63,$E$4:$E$810,"Win")))*SUMIFS($Z$4:$Z$810,$A$4:$A$810,$A63,$E$4:$E$810,"Loss"),-('Guide &amp; Settings'!$C$42/($F63-1))*$Z63)))</f>
        <v>11.217805764397081</v>
      </c>
      <c r="AB63" s="120">
        <f t="shared" si="16"/>
        <v>1080.4708897238791</v>
      </c>
      <c r="AC63" s="120">
        <f>IF($D63="","",IF(SUMPRODUCT(MAX(($D$4:$D$810=$D63)*($B$4:$B$810&lt;$B63)*$B$4:$B$810))=0,0,MAX(($B63-MAX(SUMPRODUCT(MAX(($D$4:$D$810=$D63)*($B$4:$B$810&lt;$B63)*$B$4:$B$810)),'Guide &amp; Settings'!$C$50))/7-'Guide &amp; Settings'!$C$48,0)*'Guide &amp; Settings'!$C$49))</f>
        <v>0</v>
      </c>
    </row>
    <row r="64" spans="1:29" ht="15" customHeight="1" x14ac:dyDescent="0.2">
      <c r="A64" s="111">
        <v>27</v>
      </c>
      <c r="B64" s="112">
        <v>46175</v>
      </c>
      <c r="C64" s="113" t="s">
        <v>195</v>
      </c>
      <c r="D64" s="113" t="s">
        <v>170</v>
      </c>
      <c r="E64" s="111" t="s">
        <v>309</v>
      </c>
      <c r="F64" s="114">
        <f t="shared" si="0"/>
        <v>2</v>
      </c>
      <c r="G64" s="115" t="str">
        <f t="shared" si="1"/>
        <v>Josh</v>
      </c>
      <c r="H64" s="116">
        <f>IF($D64="",0,IFERROR(LOOKUP(2,1/(($D$3:D63=$D64)*($A$3:A63&lt;$A64)),$N$3:N63),'Guide &amp; Settings'!$C$41))</f>
        <v>920.28581938369848</v>
      </c>
      <c r="I64" s="117">
        <f t="shared" si="2"/>
        <v>0.25</v>
      </c>
      <c r="J64" s="118">
        <f>IF($D64="",0,IF($F64&lt;2,0,IF($E64="Win",('Guide &amp; Settings'!$C$42/(($F64-1)*COUNTIFS($A$4:$A$810,$A64,$E$4:$E$810,"Win")))*SUMIFS($X$4:$X$810,$A$4:$A$810,$A64,$E$4:$E$810,"Loss"),-('Guide &amp; Settings'!$C$42/($F64-1))*$X64)))</f>
        <v>-9.9494592506017394</v>
      </c>
      <c r="K64" s="118">
        <f>IF($D64="",0,'Guide &amp; Settings'!$C$43*(IF($E64="Win",1,0)-$I64))</f>
        <v>-3</v>
      </c>
      <c r="L64" s="119">
        <f>IF($D64="",0,'Guide &amp; Settings'!$C$44*IF($F64&gt;=3,$F64,0))</f>
        <v>0</v>
      </c>
      <c r="M64" s="118">
        <f t="shared" si="3"/>
        <v>-12.949459250601739</v>
      </c>
      <c r="N64" s="116">
        <f t="shared" si="4"/>
        <v>907.33636013309672</v>
      </c>
      <c r="O64" s="115" t="str">
        <f t="shared" si="5"/>
        <v>OK</v>
      </c>
      <c r="P64">
        <f t="shared" si="6"/>
        <v>1089.6682392123048</v>
      </c>
      <c r="Q64">
        <f t="shared" si="7"/>
        <v>0.27387635053413867</v>
      </c>
      <c r="R64">
        <f t="shared" si="8"/>
        <v>0.2857142857142857</v>
      </c>
      <c r="S64">
        <f t="shared" si="9"/>
        <v>1.1428571428571428</v>
      </c>
      <c r="T64" s="83">
        <f t="shared" si="10"/>
        <v>5</v>
      </c>
      <c r="U64" s="120">
        <f>IF($D64="",0,IFERROR(LOOKUP(2,1/(($D$3:D63=$D64)*($C$3:C63=$C64)*($A$3:A63&lt;$A64)),$AB$3:AB63),1000))</f>
        <v>962.13969053009168</v>
      </c>
      <c r="V64" s="120">
        <f t="shared" si="11"/>
        <v>941.21275495689508</v>
      </c>
      <c r="W64">
        <f t="shared" si="12"/>
        <v>1079.4606615858934</v>
      </c>
      <c r="X64">
        <f t="shared" si="13"/>
        <v>0.31092060158130436</v>
      </c>
      <c r="Y64">
        <f t="shared" si="14"/>
        <v>1069.253083959482</v>
      </c>
      <c r="Z64">
        <f t="shared" si="15"/>
        <v>0.35055643013740878</v>
      </c>
      <c r="AA64">
        <f>IF($D64="",0,IF($F64&lt;2,0,IF($E64="Win",('Guide &amp; Settings'!$C$42/(($F64-1)*COUNTIFS($A$4:$A$810,$A64,$E$4:$E$810,"Win")))*SUMIFS($Z$4:$Z$810,$A$4:$A$810,$A64,$E$4:$E$810,"Loss"),-('Guide &amp; Settings'!$C$42/($F64-1))*$Z64)))</f>
        <v>-11.217805764397081</v>
      </c>
      <c r="AB64" s="120">
        <f t="shared" si="16"/>
        <v>950.92188476569459</v>
      </c>
      <c r="AC64" s="120">
        <f>IF($D64="","",IF(SUMPRODUCT(MAX(($D$4:$D$810=$D64)*($B$4:$B$810&lt;$B64)*$B$4:$B$810))=0,0,MAX(($B64-MAX(SUMPRODUCT(MAX(($D$4:$D$810=$D64)*($B$4:$B$810&lt;$B64)*$B$4:$B$810)),'Guide &amp; Settings'!$C$50))/7-'Guide &amp; Settings'!$C$48,0)*'Guide &amp; Settings'!$C$49))</f>
        <v>0</v>
      </c>
    </row>
    <row r="65" spans="1:29" ht="15" customHeight="1" x14ac:dyDescent="0.2">
      <c r="A65" s="111">
        <v>28</v>
      </c>
      <c r="B65" s="112">
        <v>46175</v>
      </c>
      <c r="C65" s="113" t="s">
        <v>195</v>
      </c>
      <c r="D65" s="113" t="s">
        <v>137</v>
      </c>
      <c r="E65" s="111" t="s">
        <v>308</v>
      </c>
      <c r="F65" s="114">
        <f t="shared" si="0"/>
        <v>2</v>
      </c>
      <c r="G65" s="115" t="str">
        <f t="shared" si="1"/>
        <v>Josh</v>
      </c>
      <c r="H65" s="116">
        <f>IF($D65="",0,IFERROR(LOOKUP(2,1/(($D$3:D64=$D65)*($A$3:A64&lt;$A65)),$N$3:N64),'Guide &amp; Settings'!$C$41))</f>
        <v>1102.6176984629064</v>
      </c>
      <c r="I65" s="117">
        <f t="shared" si="2"/>
        <v>0.77777777777777779</v>
      </c>
      <c r="J65" s="118">
        <f>IF($D65="",0,IF($F65&lt;2,0,IF($E65="Win",('Guide &amp; Settings'!$C$42/(($F65-1)*COUNTIFS($A$4:$A$810,$A65,$E$4:$E$810,"Win")))*SUMIFS($X$4:$X$810,$A$4:$A$810,$A65,$E$4:$E$810,"Loss"),-('Guide &amp; Settings'!$C$42/($F65-1))*$X65)))</f>
        <v>10.333983540560869</v>
      </c>
      <c r="K65" s="118">
        <f>IF($D65="",0,'Guide &amp; Settings'!$C$43*(IF($E65="Win",1,0)-$I65))</f>
        <v>2.6666666666666665</v>
      </c>
      <c r="L65" s="119">
        <f>IF($D65="",0,'Guide &amp; Settings'!$C$44*IF($F65&gt;=3,$F65,0))</f>
        <v>0</v>
      </c>
      <c r="M65" s="118">
        <f t="shared" si="3"/>
        <v>13.000650207227535</v>
      </c>
      <c r="N65" s="116">
        <f t="shared" si="4"/>
        <v>1115.6183486701341</v>
      </c>
      <c r="O65" s="115" t="str">
        <f t="shared" si="5"/>
        <v>OK</v>
      </c>
      <c r="P65">
        <f t="shared" si="6"/>
        <v>1102.6176984629064</v>
      </c>
      <c r="Q65">
        <f t="shared" si="7"/>
        <v>0.5</v>
      </c>
      <c r="R65">
        <f t="shared" si="8"/>
        <v>0.875</v>
      </c>
      <c r="S65">
        <f t="shared" si="9"/>
        <v>1.125</v>
      </c>
      <c r="T65" s="83">
        <f t="shared" si="10"/>
        <v>6</v>
      </c>
      <c r="U65" s="120">
        <f>IF($D65="",0,IFERROR(LOOKUP(2,1/(($D$3:D64=$D65)*($C$3:C64=$C65)*($A$3:A64&lt;$A65)),$AB$3:AB64),1000))</f>
        <v>1080.4708897238791</v>
      </c>
      <c r="V65" s="120">
        <f t="shared" si="11"/>
        <v>1090.5376209688916</v>
      </c>
      <c r="W65">
        <f t="shared" si="12"/>
        <v>1090.5376209688916</v>
      </c>
      <c r="X65">
        <f t="shared" si="13"/>
        <v>0.5</v>
      </c>
      <c r="Y65">
        <f t="shared" si="14"/>
        <v>1080.4708897238791</v>
      </c>
      <c r="Z65">
        <f t="shared" si="15"/>
        <v>0.5</v>
      </c>
      <c r="AA65">
        <f>IF($D65="",0,IF($F65&lt;2,0,IF($E65="Win",('Guide &amp; Settings'!$C$42/(($F65-1)*COUNTIFS($A$4:$A$810,$A65,$E$4:$E$810,"Win")))*SUMIFS($Z$4:$Z$810,$A$4:$A$810,$A65,$E$4:$E$810,"Loss"),-('Guide &amp; Settings'!$C$42/($F65-1))*$Z65)))</f>
        <v>11.019413230630493</v>
      </c>
      <c r="AB65" s="120">
        <f t="shared" si="16"/>
        <v>1091.4903029545096</v>
      </c>
      <c r="AC65" s="120">
        <f>IF($D65="","",IF(SUMPRODUCT(MAX(($D$4:$D$810=$D65)*($B$4:$B$810&lt;$B65)*$B$4:$B$810))=0,0,MAX(($B65-MAX(SUMPRODUCT(MAX(($D$4:$D$810=$D65)*($B$4:$B$810&lt;$B65)*$B$4:$B$810)),'Guide &amp; Settings'!$C$50))/7-'Guide &amp; Settings'!$C$48,0)*'Guide &amp; Settings'!$C$49))</f>
        <v>0</v>
      </c>
    </row>
    <row r="66" spans="1:29" ht="15" customHeight="1" x14ac:dyDescent="0.2">
      <c r="A66" s="111">
        <v>28</v>
      </c>
      <c r="B66" s="112">
        <v>46175</v>
      </c>
      <c r="C66" s="113" t="s">
        <v>195</v>
      </c>
      <c r="D66" s="113" t="s">
        <v>140</v>
      </c>
      <c r="E66" s="111" t="s">
        <v>309</v>
      </c>
      <c r="F66" s="114">
        <f t="shared" si="0"/>
        <v>2</v>
      </c>
      <c r="G66" s="115" t="str">
        <f t="shared" si="1"/>
        <v>Josh</v>
      </c>
      <c r="H66" s="116">
        <f>IF($D66="",0,IFERROR(LOOKUP(2,1/(($D$3:D65=$D66)*($A$3:A65&lt;$A66)),$N$3:N65),'Guide &amp; Settings'!$C$41))</f>
        <v>959.26344933159396</v>
      </c>
      <c r="I66" s="117">
        <f t="shared" si="2"/>
        <v>0.22222222222222221</v>
      </c>
      <c r="J66" s="118">
        <f>IF($D66="",0,IF($F66&lt;2,0,IF($E66="Win",('Guide &amp; Settings'!$C$42/(($F66-1)*COUNTIFS($A$4:$A$810,$A66,$E$4:$E$810,"Win")))*SUMIFS($X$4:$X$810,$A$4:$A$810,$A66,$E$4:$E$810,"Loss"),-('Guide &amp; Settings'!$C$42/($F66-1))*$X66)))</f>
        <v>-10.333983540560869</v>
      </c>
      <c r="K66" s="118">
        <f>IF($D66="",0,'Guide &amp; Settings'!$C$43*(IF($E66="Win",1,0)-$I66))</f>
        <v>-2.6666666666666665</v>
      </c>
      <c r="L66" s="119">
        <f>IF($D66="",0,'Guide &amp; Settings'!$C$44*IF($F66&gt;=3,$F66,0))</f>
        <v>0</v>
      </c>
      <c r="M66" s="118">
        <f t="shared" si="3"/>
        <v>-13.000650207227535</v>
      </c>
      <c r="N66" s="116">
        <f t="shared" si="4"/>
        <v>946.26279912436644</v>
      </c>
      <c r="O66" s="115" t="str">
        <f t="shared" si="5"/>
        <v>OK</v>
      </c>
      <c r="P66">
        <f t="shared" si="6"/>
        <v>1102.6176984629064</v>
      </c>
      <c r="Q66">
        <f t="shared" si="7"/>
        <v>0.30465812333439751</v>
      </c>
      <c r="R66">
        <f t="shared" si="8"/>
        <v>0.25</v>
      </c>
      <c r="S66">
        <f t="shared" si="9"/>
        <v>1.125</v>
      </c>
      <c r="T66" s="83">
        <f t="shared" si="10"/>
        <v>2</v>
      </c>
      <c r="U66" s="120">
        <f>IF($D66="",0,IFERROR(LOOKUP(2,1/(($D$3:D65=$D66)*($C$3:C65=$C66)*($A$3:A65&lt;$A66)),$AB$3:AB65),1000))</f>
        <v>968.60722551042636</v>
      </c>
      <c r="V66" s="120">
        <f t="shared" si="11"/>
        <v>961.9330996684032</v>
      </c>
      <c r="W66">
        <f t="shared" si="12"/>
        <v>1090.5376209688916</v>
      </c>
      <c r="X66">
        <f t="shared" si="13"/>
        <v>0.32293698564252715</v>
      </c>
      <c r="Y66">
        <f t="shared" si="14"/>
        <v>1080.4708897238791</v>
      </c>
      <c r="Z66">
        <f t="shared" si="15"/>
        <v>0.34435666345720289</v>
      </c>
      <c r="AA66">
        <f>IF($D66="",0,IF($F66&lt;2,0,IF($E66="Win",('Guide &amp; Settings'!$C$42/(($F66-1)*COUNTIFS($A$4:$A$810,$A66,$E$4:$E$810,"Win")))*SUMIFS($Z$4:$Z$810,$A$4:$A$810,$A66,$E$4:$E$810,"Loss"),-('Guide &amp; Settings'!$C$42/($F66-1))*$Z66)))</f>
        <v>-11.019413230630493</v>
      </c>
      <c r="AB66" s="120">
        <f t="shared" si="16"/>
        <v>957.58781227979591</v>
      </c>
      <c r="AC66" s="120">
        <f>IF($D66="","",IF(SUMPRODUCT(MAX(($D$4:$D$810=$D66)*($B$4:$B$810&lt;$B66)*$B$4:$B$810))=0,0,MAX(($B66-MAX(SUMPRODUCT(MAX(($D$4:$D$810=$D66)*($B$4:$B$810&lt;$B66)*$B$4:$B$810)),'Guide &amp; Settings'!$C$50))/7-'Guide &amp; Settings'!$C$48,0)*'Guide &amp; Settings'!$C$49))</f>
        <v>0</v>
      </c>
    </row>
    <row r="67" spans="1:29" ht="15" customHeight="1" x14ac:dyDescent="0.2">
      <c r="A67" s="111">
        <v>29</v>
      </c>
      <c r="B67" s="112">
        <v>46175</v>
      </c>
      <c r="C67" s="113" t="s">
        <v>195</v>
      </c>
      <c r="D67" s="113" t="s">
        <v>138</v>
      </c>
      <c r="E67" s="111" t="s">
        <v>309</v>
      </c>
      <c r="F67" s="114">
        <f t="shared" si="0"/>
        <v>2</v>
      </c>
      <c r="G67" s="115" t="str">
        <f t="shared" si="1"/>
        <v>Oscar</v>
      </c>
      <c r="H67" s="116">
        <f>IF($D67="",0,IFERROR(LOOKUP(2,1/(($D$3:D66=$D67)*($A$3:A66&lt;$A67)),$N$3:N66),'Guide &amp; Settings'!$C$41))</f>
        <v>1095.9194321262312</v>
      </c>
      <c r="I67" s="117">
        <f t="shared" si="2"/>
        <v>0.5</v>
      </c>
      <c r="J67" s="118">
        <f>IF($D67="",0,IF($F67&lt;2,0,IF($E67="Win",('Guide &amp; Settings'!$C$42/(($F67-1)*COUNTIFS($A$4:$A$810,$A67,$E$4:$E$810,"Win")))*SUMIFS($X$4:$X$810,$A$4:$A$810,$A67,$E$4:$E$810,"Loss"),-('Guide &amp; Settings'!$C$42/($F67-1))*$X67)))</f>
        <v>-20.509478464521781</v>
      </c>
      <c r="K67" s="118">
        <f>IF($D67="",0,'Guide &amp; Settings'!$C$43*(IF($E67="Win",1,0)-$I67))</f>
        <v>-6</v>
      </c>
      <c r="L67" s="119">
        <f>IF($D67="",0,'Guide &amp; Settings'!$C$44*IF($F67&gt;=3,$F67,0))</f>
        <v>0</v>
      </c>
      <c r="M67" s="118">
        <f t="shared" si="3"/>
        <v>-26.509478464521781</v>
      </c>
      <c r="N67" s="116">
        <f t="shared" si="4"/>
        <v>1069.4099536617093</v>
      </c>
      <c r="O67" s="115" t="str">
        <f t="shared" si="5"/>
        <v>OK</v>
      </c>
      <c r="P67">
        <f t="shared" si="6"/>
        <v>995.27348180522449</v>
      </c>
      <c r="Q67">
        <f t="shared" si="7"/>
        <v>0.64092120201630565</v>
      </c>
      <c r="R67">
        <f t="shared" si="8"/>
        <v>0.5</v>
      </c>
      <c r="S67">
        <f t="shared" si="9"/>
        <v>1</v>
      </c>
      <c r="T67" s="83">
        <f t="shared" si="10"/>
        <v>0</v>
      </c>
      <c r="U67" s="120">
        <f>IF($D67="",0,IFERROR(LOOKUP(2,1/(($D$3:D66=$D67)*($C$3:C66=$C67)*($A$3:A66&lt;$A67)),$AB$3:AB66),1000))</f>
        <v>1000</v>
      </c>
      <c r="V67" s="120">
        <f t="shared" si="11"/>
        <v>1095.9194321262312</v>
      </c>
      <c r="W67">
        <f t="shared" si="12"/>
        <v>995.27348180522449</v>
      </c>
      <c r="X67">
        <f t="shared" si="13"/>
        <v>0.64092120201630565</v>
      </c>
      <c r="Y67">
        <f t="shared" si="14"/>
        <v>1000</v>
      </c>
      <c r="Z67">
        <f t="shared" si="15"/>
        <v>0.5</v>
      </c>
      <c r="AA67">
        <f>IF($D67="",0,IF($F67&lt;2,0,IF($E67="Win",('Guide &amp; Settings'!$C$42/(($F67-1)*COUNTIFS($A$4:$A$810,$A67,$E$4:$E$810,"Win")))*SUMIFS($Z$4:$Z$810,$A$4:$A$810,$A67,$E$4:$E$810,"Loss"),-('Guide &amp; Settings'!$C$42/($F67-1))*$Z67)))</f>
        <v>-16</v>
      </c>
      <c r="AB67" s="120">
        <f t="shared" si="16"/>
        <v>984</v>
      </c>
      <c r="AC67" s="120">
        <f>IF($D67="","",IF(SUMPRODUCT(MAX(($D$4:$D$810=$D67)*($B$4:$B$810&lt;$B67)*$B$4:$B$810))=0,0,MAX(($B67-MAX(SUMPRODUCT(MAX(($D$4:$D$810=$D67)*($B$4:$B$810&lt;$B67)*$B$4:$B$810)),'Guide &amp; Settings'!$C$50))/7-'Guide &amp; Settings'!$C$48,0)*'Guide &amp; Settings'!$C$49))</f>
        <v>0</v>
      </c>
    </row>
    <row r="68" spans="1:29" ht="15" customHeight="1" x14ac:dyDescent="0.2">
      <c r="A68" s="111">
        <v>29</v>
      </c>
      <c r="B68" s="112">
        <v>46175</v>
      </c>
      <c r="C68" s="113" t="s">
        <v>195</v>
      </c>
      <c r="D68" s="113" t="s">
        <v>169</v>
      </c>
      <c r="E68" s="111" t="s">
        <v>308</v>
      </c>
      <c r="F68" s="114">
        <f t="shared" ref="F68:F131" si="17">IF($D68="",0,COUNTIF($A$4:$A$810,$A68))</f>
        <v>2</v>
      </c>
      <c r="G68" s="115" t="str">
        <f t="shared" ref="G68:G131" si="18">IF($D68="","",IFERROR(LOOKUP(2,1/(($A$4:$A$810=$A68)*($E$4:$E$810="Win")),$D$4:$D$810),"(no winner)"))</f>
        <v>Oscar</v>
      </c>
      <c r="H68" s="116">
        <f>IF($D68="",0,IFERROR(LOOKUP(2,1/(($D$3:D67=$D68)*($A$3:A67&lt;$A68)),$N$3:N67),'Guide &amp; Settings'!$C$41))</f>
        <v>995.27348180522449</v>
      </c>
      <c r="I68" s="117">
        <f t="shared" ref="I68:I131" si="19">IF($D68="",0,IF($S68=0,0,$R68/$S68))</f>
        <v>0.5</v>
      </c>
      <c r="J68" s="118">
        <f>IF($D68="",0,IF($F68&lt;2,0,IF($E68="Win",('Guide &amp; Settings'!$C$42/(($F68-1)*COUNTIFS($A$4:$A$810,$A68,$E$4:$E$810,"Win")))*SUMIFS($X$4:$X$810,$A$4:$A$810,$A68,$E$4:$E$810,"Loss"),-('Guide &amp; Settings'!$C$42/($F68-1))*$X68)))</f>
        <v>20.509478464521781</v>
      </c>
      <c r="K68" s="118">
        <f>IF($D68="",0,'Guide &amp; Settings'!$C$43*(IF($E68="Win",1,0)-$I68))</f>
        <v>6</v>
      </c>
      <c r="L68" s="119">
        <f>IF($D68="",0,'Guide &amp; Settings'!$C$44*IF($F68&gt;=3,$F68,0))</f>
        <v>0</v>
      </c>
      <c r="M68" s="118">
        <f t="shared" ref="M68:M131" si="20">IF($D68="",0,$J68+$K68+$L68)</f>
        <v>26.509478464521781</v>
      </c>
      <c r="N68" s="116">
        <f t="shared" ref="N68:N131" si="21">IF($D68="",0,$H68+$M68)</f>
        <v>1021.7829602697462</v>
      </c>
      <c r="O68" s="115" t="str">
        <f t="shared" ref="O68:O131" si="22">IF($D68="","",IF(COUNTIFS($A$4:$A$810,$A68,$E$4:$E$810,"Win")=0,"need a winner",IF(COUNTIFS($A$4:$A$810,$A68,$E$4:$E$810,"Loss")=0,"need a loser",IF(COUNTIFS($A$4:$A$810,$A68,$D$4:$D$810,$D68)&gt;1,"duplicate player","OK"))))</f>
        <v>OK</v>
      </c>
      <c r="P68">
        <f t="shared" ref="P68:P131" si="23">IF($D68="",0,IFERROR(SUMIFS($H$4:$H$810,$A$4:$A$810,$A68,$E$4:$E$810,"Win")/COUNTIFS($A$4:$A$810,$A68,$E$4:$E$810,"Win"),0))</f>
        <v>995.27348180522449</v>
      </c>
      <c r="Q68">
        <f t="shared" ref="Q68:Q131" si="24">IF($D68="",0,1/(1+10^(($P68-$H68)/400)))</f>
        <v>0.5</v>
      </c>
      <c r="R68">
        <f t="shared" ref="R68:R131" si="25">IF($D68="",0,(COUNTIFS($D$4:$D$810,$D68,$C$4:$C$810,$C68,$E$4:$E$810,"Win",$A$4:$A$810,"&lt;"&amp;$A68)+1)/(COUNTIFS($D$4:$D$810,$D68,$C$4:$C$810,$C68,$A$4:$A$810,"&lt;"&amp;$A68)+2))</f>
        <v>0.5</v>
      </c>
      <c r="S68">
        <f t="shared" ref="S68:S131" si="26">IF($D68="",0,SUMIFS($R$4:$R$810,$A$4:$A$810,$A68))</f>
        <v>1</v>
      </c>
      <c r="T68" s="83">
        <f t="shared" ref="T68:T131" si="27">IF($D68="",0,COUNTIFS($D$4:$D$810,$D68,$C$4:$C$810,$C68,$A$4:$A$810,"&lt;"&amp;$A68))</f>
        <v>0</v>
      </c>
      <c r="U68" s="120">
        <f>IF($D68="",0,IFERROR(LOOKUP(2,1/(($D$3:D67=$D68)*($C$3:C67=$C68)*($A$3:A67&lt;$A68)),$AB$3:AB67),1000))</f>
        <v>1000</v>
      </c>
      <c r="V68" s="120">
        <f t="shared" ref="V68:V131" si="28">IF($D68="",0,$U68*($T68/($T68+5))+$H68*(1-$T68/($T68+5)))</f>
        <v>995.27348180522449</v>
      </c>
      <c r="W68">
        <f t="shared" ref="W68:W131" si="29">IF($D68="",0,IFERROR(SUMIFS($V$4:$V$810,$A$4:$A$810,$A68,$E$4:$E$810,"Win")/COUNTIFS($A$4:$A$810,$A68,$E$4:$E$810,"Win"),0))</f>
        <v>995.27348180522449</v>
      </c>
      <c r="X68">
        <f t="shared" ref="X68:X131" si="30">IF($D68="",0,1/(1+10^(($W68-$V68)/400)))</f>
        <v>0.5</v>
      </c>
      <c r="Y68">
        <f t="shared" ref="Y68:Y131" si="31">IF($D68="",0,IFERROR(SUMIFS($U$4:$U$810,$A$4:$A$810,$A68,$E$4:$E$810,"Win")/COUNTIFS($A$4:$A$810,$A68,$E$4:$E$810,"Win"),0))</f>
        <v>1000</v>
      </c>
      <c r="Z68">
        <f t="shared" ref="Z68:Z131" si="32">IF($D68="",0,1/(1+10^(($Y68-$U68)/400)))</f>
        <v>0.5</v>
      </c>
      <c r="AA68">
        <f>IF($D68="",0,IF($F68&lt;2,0,IF($E68="Win",('Guide &amp; Settings'!$C$42/(($F68-1)*COUNTIFS($A$4:$A$810,$A68,$E$4:$E$810,"Win")))*SUMIFS($Z$4:$Z$810,$A$4:$A$810,$A68,$E$4:$E$810,"Loss"),-('Guide &amp; Settings'!$C$42/($F68-1))*$Z68)))</f>
        <v>16</v>
      </c>
      <c r="AB68" s="120">
        <f t="shared" ref="AB68:AB131" si="33">IF($D68="",0,$U68+$AA68)</f>
        <v>1016</v>
      </c>
      <c r="AC68" s="120">
        <f>IF($D68="","",IF(SUMPRODUCT(MAX(($D$4:$D$810=$D68)*($B$4:$B$810&lt;$B68)*$B$4:$B$810))=0,0,MAX(($B68-MAX(SUMPRODUCT(MAX(($D$4:$D$810=$D68)*($B$4:$B$810&lt;$B68)*$B$4:$B$810)),'Guide &amp; Settings'!$C$50))/7-'Guide &amp; Settings'!$C$48,0)*'Guide &amp; Settings'!$C$49))</f>
        <v>0</v>
      </c>
    </row>
    <row r="69" spans="1:29" ht="15" customHeight="1" x14ac:dyDescent="0.2">
      <c r="A69" s="111">
        <v>30</v>
      </c>
      <c r="B69" s="112">
        <v>46175</v>
      </c>
      <c r="C69" s="113" t="s">
        <v>195</v>
      </c>
      <c r="D69" s="113" t="s">
        <v>138</v>
      </c>
      <c r="E69" s="111" t="s">
        <v>308</v>
      </c>
      <c r="F69" s="114">
        <f t="shared" si="17"/>
        <v>2</v>
      </c>
      <c r="G69" s="115" t="str">
        <f t="shared" si="18"/>
        <v>Aaron</v>
      </c>
      <c r="H69" s="116">
        <f>IF($D69="",0,IFERROR(LOOKUP(2,1/(($D$3:D68=$D69)*($A$3:A68&lt;$A69)),$N$3:N68),'Guide &amp; Settings'!$C$41))</f>
        <v>1069.4099536617093</v>
      </c>
      <c r="I69" s="117">
        <f t="shared" si="19"/>
        <v>0.625</v>
      </c>
      <c r="J69" s="118">
        <f>IF($D69="",0,IF($F69&lt;2,0,IF($E69="Win",('Guide &amp; Settings'!$C$42/(($F69-1)*COUNTIFS($A$4:$A$810,$A69,$E$4:$E$810,"Win")))*SUMIFS($X$4:$X$810,$A$4:$A$810,$A69,$E$4:$E$810,"Loss"),-('Guide &amp; Settings'!$C$42/($F69-1))*$X69)))</f>
        <v>11.320688986263264</v>
      </c>
      <c r="K69" s="118">
        <f>IF($D69="",0,'Guide &amp; Settings'!$C$43*(IF($E69="Win",1,0)-$I69))</f>
        <v>4.5</v>
      </c>
      <c r="L69" s="119">
        <f>IF($D69="",0,'Guide &amp; Settings'!$C$44*IF($F69&gt;=3,$F69,0))</f>
        <v>0</v>
      </c>
      <c r="M69" s="118">
        <f t="shared" si="20"/>
        <v>15.820688986263264</v>
      </c>
      <c r="N69" s="116">
        <f t="shared" si="21"/>
        <v>1085.2306426479727</v>
      </c>
      <c r="O69" s="115" t="str">
        <f t="shared" si="22"/>
        <v>OK</v>
      </c>
      <c r="P69">
        <f t="shared" si="23"/>
        <v>1069.4099536617093</v>
      </c>
      <c r="Q69">
        <f t="shared" si="24"/>
        <v>0.5</v>
      </c>
      <c r="R69">
        <f t="shared" si="25"/>
        <v>0.33333333333333331</v>
      </c>
      <c r="S69">
        <f t="shared" si="26"/>
        <v>0.53333333333333333</v>
      </c>
      <c r="T69" s="83">
        <f t="shared" si="27"/>
        <v>1</v>
      </c>
      <c r="U69" s="120">
        <f>IF($D69="",0,IFERROR(LOOKUP(2,1/(($D$3:D68=$D69)*($C$3:C68=$C69)*($A$3:A68&lt;$A69)),$AB$3:AB68),1000))</f>
        <v>984</v>
      </c>
      <c r="V69" s="120">
        <f t="shared" si="28"/>
        <v>1055.1749613847578</v>
      </c>
      <c r="W69">
        <f t="shared" si="29"/>
        <v>1055.1749613847578</v>
      </c>
      <c r="X69">
        <f t="shared" si="30"/>
        <v>0.5</v>
      </c>
      <c r="Y69">
        <f t="shared" si="31"/>
        <v>984</v>
      </c>
      <c r="Z69">
        <f t="shared" si="32"/>
        <v>0.5</v>
      </c>
      <c r="AA69">
        <f>IF($D69="",0,IF($F69&lt;2,0,IF($E69="Win",('Guide &amp; Settings'!$C$42/(($F69-1)*COUNTIFS($A$4:$A$810,$A69,$E$4:$E$810,"Win")))*SUMIFS($Z$4:$Z$810,$A$4:$A$810,$A69,$E$4:$E$810,"Loss"),-('Guide &amp; Settings'!$C$42/($F69-1))*$Z69)))</f>
        <v>14.786011491839799</v>
      </c>
      <c r="AB69" s="120">
        <f t="shared" si="33"/>
        <v>998.78601149183976</v>
      </c>
      <c r="AC69" s="120">
        <f>IF($D69="","",IF(SUMPRODUCT(MAX(($D$4:$D$810=$D69)*($B$4:$B$810&lt;$B69)*$B$4:$B$810))=0,0,MAX(($B69-MAX(SUMPRODUCT(MAX(($D$4:$D$810=$D69)*($B$4:$B$810&lt;$B69)*$B$4:$B$810)),'Guide &amp; Settings'!$C$50))/7-'Guide &amp; Settings'!$C$48,0)*'Guide &amp; Settings'!$C$49))</f>
        <v>0</v>
      </c>
    </row>
    <row r="70" spans="1:29" ht="15" customHeight="1" x14ac:dyDescent="0.2">
      <c r="A70" s="111">
        <v>30</v>
      </c>
      <c r="B70" s="112">
        <v>46175</v>
      </c>
      <c r="C70" s="113" t="s">
        <v>195</v>
      </c>
      <c r="D70" s="113" t="s">
        <v>140</v>
      </c>
      <c r="E70" s="111" t="s">
        <v>309</v>
      </c>
      <c r="F70" s="114">
        <f t="shared" si="17"/>
        <v>2</v>
      </c>
      <c r="G70" s="115" t="str">
        <f t="shared" si="18"/>
        <v>Aaron</v>
      </c>
      <c r="H70" s="116">
        <f>IF($D70="",0,IFERROR(LOOKUP(2,1/(($D$3:D69=$D70)*($A$3:A69&lt;$A70)),$N$3:N69),'Guide &amp; Settings'!$C$41))</f>
        <v>946.26279912436644</v>
      </c>
      <c r="I70" s="117">
        <f t="shared" si="19"/>
        <v>0.375</v>
      </c>
      <c r="J70" s="118">
        <f>IF($D70="",0,IF($F70&lt;2,0,IF($E70="Win",('Guide &amp; Settings'!$C$42/(($F70-1)*COUNTIFS($A$4:$A$810,$A70,$E$4:$E$810,"Win")))*SUMIFS($X$4:$X$810,$A$4:$A$810,$A70,$E$4:$E$810,"Loss"),-('Guide &amp; Settings'!$C$42/($F70-1))*$X70)))</f>
        <v>-11.320688986263264</v>
      </c>
      <c r="K70" s="118">
        <f>IF($D70="",0,'Guide &amp; Settings'!$C$43*(IF($E70="Win",1,0)-$I70))</f>
        <v>-4.5</v>
      </c>
      <c r="L70" s="119">
        <f>IF($D70="",0,'Guide &amp; Settings'!$C$44*IF($F70&gt;=3,$F70,0))</f>
        <v>0</v>
      </c>
      <c r="M70" s="118">
        <f t="shared" si="20"/>
        <v>-15.820688986263264</v>
      </c>
      <c r="N70" s="116">
        <f t="shared" si="21"/>
        <v>930.4421101381032</v>
      </c>
      <c r="O70" s="115" t="str">
        <f t="shared" si="22"/>
        <v>OK</v>
      </c>
      <c r="P70">
        <f t="shared" si="23"/>
        <v>1069.4099536617093</v>
      </c>
      <c r="Q70">
        <f t="shared" si="24"/>
        <v>0.32984371263485163</v>
      </c>
      <c r="R70">
        <f t="shared" si="25"/>
        <v>0.2</v>
      </c>
      <c r="S70">
        <f t="shared" si="26"/>
        <v>0.53333333333333333</v>
      </c>
      <c r="T70" s="83">
        <f t="shared" si="27"/>
        <v>3</v>
      </c>
      <c r="U70" s="120">
        <f>IF($D70="",0,IFERROR(LOOKUP(2,1/(($D$3:D69=$D70)*($C$3:C69=$C70)*($A$3:A69&lt;$A70)),$AB$3:AB69),1000))</f>
        <v>957.58781227979591</v>
      </c>
      <c r="V70" s="120">
        <f t="shared" si="28"/>
        <v>950.50967905765242</v>
      </c>
      <c r="W70">
        <f t="shared" si="29"/>
        <v>1055.1749613847578</v>
      </c>
      <c r="X70">
        <f t="shared" si="30"/>
        <v>0.35377153082072699</v>
      </c>
      <c r="Y70">
        <f t="shared" si="31"/>
        <v>984</v>
      </c>
      <c r="Z70">
        <f t="shared" si="32"/>
        <v>0.46206285911999373</v>
      </c>
      <c r="AA70">
        <f>IF($D70="",0,IF($F70&lt;2,0,IF($E70="Win",('Guide &amp; Settings'!$C$42/(($F70-1)*COUNTIFS($A$4:$A$810,$A70,$E$4:$E$810,"Win")))*SUMIFS($Z$4:$Z$810,$A$4:$A$810,$A70,$E$4:$E$810,"Loss"),-('Guide &amp; Settings'!$C$42/($F70-1))*$Z70)))</f>
        <v>-14.786011491839799</v>
      </c>
      <c r="AB70" s="120">
        <f t="shared" si="33"/>
        <v>942.80180078795615</v>
      </c>
      <c r="AC70" s="120">
        <f>IF($D70="","",IF(SUMPRODUCT(MAX(($D$4:$D$810=$D70)*($B$4:$B$810&lt;$B70)*$B$4:$B$810))=0,0,MAX(($B70-MAX(SUMPRODUCT(MAX(($D$4:$D$810=$D70)*($B$4:$B$810&lt;$B70)*$B$4:$B$810)),'Guide &amp; Settings'!$C$50))/7-'Guide &amp; Settings'!$C$48,0)*'Guide &amp; Settings'!$C$49))</f>
        <v>0</v>
      </c>
    </row>
    <row r="71" spans="1:29" ht="15" customHeight="1" x14ac:dyDescent="0.2">
      <c r="A71" s="111">
        <v>31</v>
      </c>
      <c r="B71" s="112">
        <v>46175</v>
      </c>
      <c r="C71" s="113" t="s">
        <v>203</v>
      </c>
      <c r="D71" s="113" t="s">
        <v>170</v>
      </c>
      <c r="E71" s="111" t="s">
        <v>308</v>
      </c>
      <c r="F71" s="114">
        <f t="shared" si="17"/>
        <v>2</v>
      </c>
      <c r="G71" s="115" t="str">
        <f t="shared" si="18"/>
        <v>Daniel (Ferret)</v>
      </c>
      <c r="H71" s="116">
        <f>IF($D71="",0,IFERROR(LOOKUP(2,1/(($D$3:D70=$D71)*($A$3:A70&lt;$A71)),$N$3:N70),'Guide &amp; Settings'!$C$41))</f>
        <v>907.33636013309672</v>
      </c>
      <c r="I71" s="117">
        <f t="shared" si="19"/>
        <v>0.5</v>
      </c>
      <c r="J71" s="118">
        <f>IF($D71="",0,IF($F71&lt;2,0,IF($E71="Win",('Guide &amp; Settings'!$C$42/(($F71-1)*COUNTIFS($A$4:$A$810,$A71,$E$4:$E$810,"Win")))*SUMIFS($X$4:$X$810,$A$4:$A$810,$A71,$E$4:$E$810,"Loss"),-('Guide &amp; Settings'!$C$42/($F71-1))*$X71)))</f>
        <v>23.544292688906975</v>
      </c>
      <c r="K71" s="118">
        <f>IF($D71="",0,'Guide &amp; Settings'!$C$43*(IF($E71="Win",1,0)-$I71))</f>
        <v>6</v>
      </c>
      <c r="L71" s="119">
        <f>IF($D71="",0,'Guide &amp; Settings'!$C$44*IF($F71&gt;=3,$F71,0))</f>
        <v>0</v>
      </c>
      <c r="M71" s="118">
        <f t="shared" si="20"/>
        <v>29.544292688906975</v>
      </c>
      <c r="N71" s="116">
        <f t="shared" si="21"/>
        <v>936.88065282200364</v>
      </c>
      <c r="O71" s="115" t="str">
        <f t="shared" si="22"/>
        <v>OK</v>
      </c>
      <c r="P71">
        <f t="shared" si="23"/>
        <v>907.33636013309672</v>
      </c>
      <c r="Q71">
        <f t="shared" si="24"/>
        <v>0.5</v>
      </c>
      <c r="R71">
        <f t="shared" si="25"/>
        <v>0.5</v>
      </c>
      <c r="S71">
        <f t="shared" si="26"/>
        <v>1</v>
      </c>
      <c r="T71" s="83">
        <f t="shared" si="27"/>
        <v>0</v>
      </c>
      <c r="U71" s="120">
        <f>IF($D71="",0,IFERROR(LOOKUP(2,1/(($D$3:D70=$D71)*($C$3:C70=$C71)*($A$3:A70&lt;$A71)),$AB$3:AB70),1000))</f>
        <v>1000</v>
      </c>
      <c r="V71" s="120">
        <f t="shared" si="28"/>
        <v>907.33636013309672</v>
      </c>
      <c r="W71">
        <f t="shared" si="29"/>
        <v>907.33636013309672</v>
      </c>
      <c r="X71">
        <f t="shared" si="30"/>
        <v>0.5</v>
      </c>
      <c r="Y71">
        <f t="shared" si="31"/>
        <v>1000</v>
      </c>
      <c r="Z71">
        <f t="shared" si="32"/>
        <v>0.5</v>
      </c>
      <c r="AA71">
        <f>IF($D71="",0,IF($F71&lt;2,0,IF($E71="Win",('Guide &amp; Settings'!$C$42/(($F71-1)*COUNTIFS($A$4:$A$810,$A71,$E$4:$E$810,"Win")))*SUMIFS($Z$4:$Z$810,$A$4:$A$810,$A71,$E$4:$E$810,"Loss"),-('Guide &amp; Settings'!$C$42/($F71-1))*$Z71)))</f>
        <v>16</v>
      </c>
      <c r="AB71" s="120">
        <f t="shared" si="33"/>
        <v>1016</v>
      </c>
      <c r="AC71" s="120">
        <f>IF($D71="","",IF(SUMPRODUCT(MAX(($D$4:$D$810=$D71)*($B$4:$B$810&lt;$B71)*$B$4:$B$810))=0,0,MAX(($B71-MAX(SUMPRODUCT(MAX(($D$4:$D$810=$D71)*($B$4:$B$810&lt;$B71)*$B$4:$B$810)),'Guide &amp; Settings'!$C$50))/7-'Guide &amp; Settings'!$C$48,0)*'Guide &amp; Settings'!$C$49))</f>
        <v>0</v>
      </c>
    </row>
    <row r="72" spans="1:29" ht="15" customHeight="1" x14ac:dyDescent="0.2">
      <c r="A72" s="111">
        <v>31</v>
      </c>
      <c r="B72" s="112">
        <v>46175</v>
      </c>
      <c r="C72" s="113" t="s">
        <v>203</v>
      </c>
      <c r="D72" s="113" t="s">
        <v>138</v>
      </c>
      <c r="E72" s="111" t="s">
        <v>309</v>
      </c>
      <c r="F72" s="114">
        <f t="shared" si="17"/>
        <v>2</v>
      </c>
      <c r="G72" s="115" t="str">
        <f t="shared" si="18"/>
        <v>Daniel (Ferret)</v>
      </c>
      <c r="H72" s="116">
        <f>IF($D72="",0,IFERROR(LOOKUP(2,1/(($D$3:D71=$D72)*($A$3:A71&lt;$A72)),$N$3:N71),'Guide &amp; Settings'!$C$41))</f>
        <v>1085.2306426479727</v>
      </c>
      <c r="I72" s="117">
        <f t="shared" si="19"/>
        <v>0.5</v>
      </c>
      <c r="J72" s="118">
        <f>IF($D72="",0,IF($F72&lt;2,0,IF($E72="Win",('Guide &amp; Settings'!$C$42/(($F72-1)*COUNTIFS($A$4:$A$810,$A72,$E$4:$E$810,"Win")))*SUMIFS($X$4:$X$810,$A$4:$A$810,$A72,$E$4:$E$810,"Loss"),-('Guide &amp; Settings'!$C$42/($F72-1))*$X72)))</f>
        <v>-23.544292688906975</v>
      </c>
      <c r="K72" s="118">
        <f>IF($D72="",0,'Guide &amp; Settings'!$C$43*(IF($E72="Win",1,0)-$I72))</f>
        <v>-6</v>
      </c>
      <c r="L72" s="119">
        <f>IF($D72="",0,'Guide &amp; Settings'!$C$44*IF($F72&gt;=3,$F72,0))</f>
        <v>0</v>
      </c>
      <c r="M72" s="118">
        <f t="shared" si="20"/>
        <v>-29.544292688906975</v>
      </c>
      <c r="N72" s="116">
        <f t="shared" si="21"/>
        <v>1055.6863499590656</v>
      </c>
      <c r="O72" s="115" t="str">
        <f t="shared" si="22"/>
        <v>OK</v>
      </c>
      <c r="P72">
        <f t="shared" si="23"/>
        <v>907.33636013309672</v>
      </c>
      <c r="Q72">
        <f t="shared" si="24"/>
        <v>0.73575914652834296</v>
      </c>
      <c r="R72">
        <f t="shared" si="25"/>
        <v>0.5</v>
      </c>
      <c r="S72">
        <f t="shared" si="26"/>
        <v>1</v>
      </c>
      <c r="T72" s="83">
        <f t="shared" si="27"/>
        <v>0</v>
      </c>
      <c r="U72" s="120">
        <f>IF($D72="",0,IFERROR(LOOKUP(2,1/(($D$3:D71=$D72)*($C$3:C71=$C72)*($A$3:A71&lt;$A72)),$AB$3:AB71),1000))</f>
        <v>1000</v>
      </c>
      <c r="V72" s="120">
        <f t="shared" si="28"/>
        <v>1085.2306426479727</v>
      </c>
      <c r="W72">
        <f t="shared" si="29"/>
        <v>907.33636013309672</v>
      </c>
      <c r="X72">
        <f t="shared" si="30"/>
        <v>0.73575914652834296</v>
      </c>
      <c r="Y72">
        <f t="shared" si="31"/>
        <v>1000</v>
      </c>
      <c r="Z72">
        <f t="shared" si="32"/>
        <v>0.5</v>
      </c>
      <c r="AA72">
        <f>IF($D72="",0,IF($F72&lt;2,0,IF($E72="Win",('Guide &amp; Settings'!$C$42/(($F72-1)*COUNTIFS($A$4:$A$810,$A72,$E$4:$E$810,"Win")))*SUMIFS($Z$4:$Z$810,$A$4:$A$810,$A72,$E$4:$E$810,"Loss"),-('Guide &amp; Settings'!$C$42/($F72-1))*$Z72)))</f>
        <v>-16</v>
      </c>
      <c r="AB72" s="120">
        <f t="shared" si="33"/>
        <v>984</v>
      </c>
      <c r="AC72" s="120">
        <f>IF($D72="","",IF(SUMPRODUCT(MAX(($D$4:$D$810=$D72)*($B$4:$B$810&lt;$B72)*$B$4:$B$810))=0,0,MAX(($B72-MAX(SUMPRODUCT(MAX(($D$4:$D$810=$D72)*($B$4:$B$810&lt;$B72)*$B$4:$B$810)),'Guide &amp; Settings'!$C$50))/7-'Guide &amp; Settings'!$C$48,0)*'Guide &amp; Settings'!$C$49))</f>
        <v>0</v>
      </c>
    </row>
    <row r="73" spans="1:29" ht="15" customHeight="1" x14ac:dyDescent="0.2">
      <c r="A73" s="111">
        <v>32</v>
      </c>
      <c r="B73" s="112">
        <v>46175</v>
      </c>
      <c r="C73" s="113" t="s">
        <v>203</v>
      </c>
      <c r="D73" s="113" t="s">
        <v>170</v>
      </c>
      <c r="E73" s="111" t="s">
        <v>308</v>
      </c>
      <c r="F73" s="114">
        <f t="shared" si="17"/>
        <v>2</v>
      </c>
      <c r="G73" s="115" t="str">
        <f t="shared" si="18"/>
        <v>Daniel (Ferret)</v>
      </c>
      <c r="H73" s="116">
        <f>IF($D73="",0,IFERROR(LOOKUP(2,1/(($D$3:D72=$D73)*($A$3:A72&lt;$A73)),$N$3:N72),'Guide &amp; Settings'!$C$41))</f>
        <v>936.88065282200364</v>
      </c>
      <c r="I73" s="117">
        <f t="shared" si="19"/>
        <v>0.57142857142857151</v>
      </c>
      <c r="J73" s="118">
        <f>IF($D73="",0,IF($F73&lt;2,0,IF($E73="Win",('Guide &amp; Settings'!$C$42/(($F73-1)*COUNTIFS($A$4:$A$810,$A73,$E$4:$E$810,"Win")))*SUMIFS($X$4:$X$810,$A$4:$A$810,$A73,$E$4:$E$810,"Loss"),-('Guide &amp; Settings'!$C$42/($F73-1))*$X73)))</f>
        <v>20.618813413278588</v>
      </c>
      <c r="K73" s="118">
        <f>IF($D73="",0,'Guide &amp; Settings'!$C$43*(IF($E73="Win",1,0)-$I73))</f>
        <v>5.1428571428571423</v>
      </c>
      <c r="L73" s="119">
        <f>IF($D73="",0,'Guide &amp; Settings'!$C$44*IF($F73&gt;=3,$F73,0))</f>
        <v>0</v>
      </c>
      <c r="M73" s="118">
        <f t="shared" si="20"/>
        <v>25.76167055613573</v>
      </c>
      <c r="N73" s="116">
        <f t="shared" si="21"/>
        <v>962.64232337813939</v>
      </c>
      <c r="O73" s="115" t="str">
        <f t="shared" si="22"/>
        <v>OK</v>
      </c>
      <c r="P73">
        <f t="shared" si="23"/>
        <v>936.88065282200364</v>
      </c>
      <c r="Q73">
        <f t="shared" si="24"/>
        <v>0.5</v>
      </c>
      <c r="R73">
        <f t="shared" si="25"/>
        <v>0.66666666666666663</v>
      </c>
      <c r="S73">
        <f t="shared" si="26"/>
        <v>1.1666666666666665</v>
      </c>
      <c r="T73" s="83">
        <f t="shared" si="27"/>
        <v>1</v>
      </c>
      <c r="U73" s="120">
        <f>IF($D73="",0,IFERROR(LOOKUP(2,1/(($D$3:D72=$D73)*($C$3:C72=$C73)*($A$3:A72&lt;$A73)),$AB$3:AB72),1000))</f>
        <v>1016</v>
      </c>
      <c r="V73" s="120">
        <f t="shared" si="28"/>
        <v>950.06721068500315</v>
      </c>
      <c r="W73">
        <f t="shared" si="29"/>
        <v>950.06721068500315</v>
      </c>
      <c r="X73">
        <f t="shared" si="30"/>
        <v>0.5</v>
      </c>
      <c r="Y73">
        <f t="shared" si="31"/>
        <v>1016</v>
      </c>
      <c r="Z73">
        <f t="shared" si="32"/>
        <v>0.5</v>
      </c>
      <c r="AA73">
        <f>IF($D73="",0,IF($F73&lt;2,0,IF($E73="Win",('Guide &amp; Settings'!$C$42/(($F73-1)*COUNTIFS($A$4:$A$810,$A73,$E$4:$E$810,"Win")))*SUMIFS($Z$4:$Z$810,$A$4:$A$810,$A73,$E$4:$E$810,"Loss"),-('Guide &amp; Settings'!$C$42/($F73-1))*$Z73)))</f>
        <v>15.263693206478006</v>
      </c>
      <c r="AB73" s="120">
        <f t="shared" si="33"/>
        <v>1031.2636932064779</v>
      </c>
      <c r="AC73" s="120">
        <f>IF($D73="","",IF(SUMPRODUCT(MAX(($D$4:$D$810=$D73)*($B$4:$B$810&lt;$B73)*$B$4:$B$810))=0,0,MAX(($B73-MAX(SUMPRODUCT(MAX(($D$4:$D$810=$D73)*($B$4:$B$810&lt;$B73)*$B$4:$B$810)),'Guide &amp; Settings'!$C$50))/7-'Guide &amp; Settings'!$C$48,0)*'Guide &amp; Settings'!$C$49))</f>
        <v>0</v>
      </c>
    </row>
    <row r="74" spans="1:29" ht="15" customHeight="1" x14ac:dyDescent="0.2">
      <c r="A74" s="111">
        <v>32</v>
      </c>
      <c r="B74" s="112">
        <v>46175</v>
      </c>
      <c r="C74" s="113" t="s">
        <v>203</v>
      </c>
      <c r="D74" s="113" t="s">
        <v>173</v>
      </c>
      <c r="E74" s="111" t="s">
        <v>309</v>
      </c>
      <c r="F74" s="114">
        <f t="shared" si="17"/>
        <v>2</v>
      </c>
      <c r="G74" s="115" t="str">
        <f t="shared" si="18"/>
        <v>Daniel (Ferret)</v>
      </c>
      <c r="H74" s="116">
        <f>IF($D74="",0,IFERROR(LOOKUP(2,1/(($D$3:D73=$D74)*($A$3:A73&lt;$A74)),$N$3:N73),'Guide &amp; Settings'!$C$41))</f>
        <v>1053.2976607677983</v>
      </c>
      <c r="I74" s="117">
        <f t="shared" si="19"/>
        <v>0.4285714285714286</v>
      </c>
      <c r="J74" s="118">
        <f>IF($D74="",0,IF($F74&lt;2,0,IF($E74="Win",('Guide &amp; Settings'!$C$42/(($F74-1)*COUNTIFS($A$4:$A$810,$A74,$E$4:$E$810,"Win")))*SUMIFS($X$4:$X$810,$A$4:$A$810,$A74,$E$4:$E$810,"Loss"),-('Guide &amp; Settings'!$C$42/($F74-1))*$X74)))</f>
        <v>-20.618813413278588</v>
      </c>
      <c r="K74" s="118">
        <f>IF($D74="",0,'Guide &amp; Settings'!$C$43*(IF($E74="Win",1,0)-$I74))</f>
        <v>-5.1428571428571432</v>
      </c>
      <c r="L74" s="119">
        <f>IF($D74="",0,'Guide &amp; Settings'!$C$44*IF($F74&gt;=3,$F74,0))</f>
        <v>0</v>
      </c>
      <c r="M74" s="118">
        <f t="shared" si="20"/>
        <v>-25.76167055613573</v>
      </c>
      <c r="N74" s="116">
        <f t="shared" si="21"/>
        <v>1027.5359902116627</v>
      </c>
      <c r="O74" s="115" t="str">
        <f t="shared" si="22"/>
        <v>OK</v>
      </c>
      <c r="P74">
        <f t="shared" si="23"/>
        <v>936.88065282200364</v>
      </c>
      <c r="Q74">
        <f t="shared" si="24"/>
        <v>0.66153678344038458</v>
      </c>
      <c r="R74">
        <f t="shared" si="25"/>
        <v>0.5</v>
      </c>
      <c r="S74">
        <f t="shared" si="26"/>
        <v>1.1666666666666665</v>
      </c>
      <c r="T74" s="83">
        <f t="shared" si="27"/>
        <v>0</v>
      </c>
      <c r="U74" s="120">
        <f>IF($D74="",0,IFERROR(LOOKUP(2,1/(($D$3:D73=$D74)*($C$3:C73=$C74)*($A$3:A73&lt;$A74)),$AB$3:AB73),1000))</f>
        <v>1000</v>
      </c>
      <c r="V74" s="120">
        <f t="shared" si="28"/>
        <v>1053.2976607677983</v>
      </c>
      <c r="W74">
        <f t="shared" si="29"/>
        <v>950.06721068500315</v>
      </c>
      <c r="X74">
        <f t="shared" si="30"/>
        <v>0.64433791916495586</v>
      </c>
      <c r="Y74">
        <f t="shared" si="31"/>
        <v>1016</v>
      </c>
      <c r="Z74">
        <f t="shared" si="32"/>
        <v>0.47699041270243769</v>
      </c>
      <c r="AA74">
        <f>IF($D74="",0,IF($F74&lt;2,0,IF($E74="Win",('Guide &amp; Settings'!$C$42/(($F74-1)*COUNTIFS($A$4:$A$810,$A74,$E$4:$E$810,"Win")))*SUMIFS($Z$4:$Z$810,$A$4:$A$810,$A74,$E$4:$E$810,"Loss"),-('Guide &amp; Settings'!$C$42/($F74-1))*$Z74)))</f>
        <v>-15.263693206478006</v>
      </c>
      <c r="AB74" s="120">
        <f t="shared" si="33"/>
        <v>984.73630679352198</v>
      </c>
      <c r="AC74" s="120">
        <f>IF($D74="","",IF(SUMPRODUCT(MAX(($D$4:$D$810=$D74)*($B$4:$B$810&lt;$B74)*$B$4:$B$810))=0,0,MAX(($B74-MAX(SUMPRODUCT(MAX(($D$4:$D$810=$D74)*($B$4:$B$810&lt;$B74)*$B$4:$B$810)),'Guide &amp; Settings'!$C$50))/7-'Guide &amp; Settings'!$C$48,0)*'Guide &amp; Settings'!$C$49))</f>
        <v>0</v>
      </c>
    </row>
    <row r="75" spans="1:29" ht="15" customHeight="1" x14ac:dyDescent="0.2">
      <c r="A75" s="111">
        <v>33</v>
      </c>
      <c r="B75" s="112">
        <v>46175</v>
      </c>
      <c r="C75" s="113" t="s">
        <v>203</v>
      </c>
      <c r="D75" s="113" t="s">
        <v>138</v>
      </c>
      <c r="E75" s="111" t="s">
        <v>308</v>
      </c>
      <c r="F75" s="114">
        <f t="shared" si="17"/>
        <v>2</v>
      </c>
      <c r="G75" s="115" t="str">
        <f t="shared" si="18"/>
        <v>Aaron</v>
      </c>
      <c r="H75" s="116">
        <f>IF($D75="",0,IFERROR(LOOKUP(2,1/(($D$3:D74=$D75)*($A$3:A74&lt;$A75)),$N$3:N74),'Guide &amp; Settings'!$C$41))</f>
        <v>1055.6863499590656</v>
      </c>
      <c r="I75" s="117">
        <f t="shared" si="19"/>
        <v>0.5</v>
      </c>
      <c r="J75" s="118">
        <f>IF($D75="",0,IF($F75&lt;2,0,IF($E75="Win",('Guide &amp; Settings'!$C$42/(($F75-1)*COUNTIFS($A$4:$A$810,$A75,$E$4:$E$810,"Win")))*SUMIFS($X$4:$X$810,$A$4:$A$810,$A75,$E$4:$E$810,"Loss"),-('Guide &amp; Settings'!$C$42/($F75-1))*$X75)))</f>
        <v>14.926954507509599</v>
      </c>
      <c r="K75" s="118">
        <f>IF($D75="",0,'Guide &amp; Settings'!$C$43*(IF($E75="Win",1,0)-$I75))</f>
        <v>6</v>
      </c>
      <c r="L75" s="119">
        <f>IF($D75="",0,'Guide &amp; Settings'!$C$44*IF($F75&gt;=3,$F75,0))</f>
        <v>0</v>
      </c>
      <c r="M75" s="118">
        <f t="shared" si="20"/>
        <v>20.926954507509599</v>
      </c>
      <c r="N75" s="116">
        <f t="shared" si="21"/>
        <v>1076.6133044665753</v>
      </c>
      <c r="O75" s="115" t="str">
        <f t="shared" si="22"/>
        <v>OK</v>
      </c>
      <c r="P75">
        <f t="shared" si="23"/>
        <v>1055.6863499590656</v>
      </c>
      <c r="Q75">
        <f t="shared" si="24"/>
        <v>0.5</v>
      </c>
      <c r="R75">
        <f t="shared" si="25"/>
        <v>0.33333333333333331</v>
      </c>
      <c r="S75">
        <f t="shared" si="26"/>
        <v>0.66666666666666663</v>
      </c>
      <c r="T75" s="83">
        <f t="shared" si="27"/>
        <v>1</v>
      </c>
      <c r="U75" s="120">
        <f>IF($D75="",0,IFERROR(LOOKUP(2,1/(($D$3:D74=$D75)*($C$3:C74=$C75)*($A$3:A74&lt;$A75)),$AB$3:AB74),1000))</f>
        <v>984</v>
      </c>
      <c r="V75" s="120">
        <f t="shared" si="28"/>
        <v>1043.738624965888</v>
      </c>
      <c r="W75">
        <f t="shared" si="29"/>
        <v>1043.738624965888</v>
      </c>
      <c r="X75">
        <f t="shared" si="30"/>
        <v>0.5</v>
      </c>
      <c r="Y75">
        <f t="shared" si="31"/>
        <v>984</v>
      </c>
      <c r="Z75">
        <f t="shared" si="32"/>
        <v>0.5</v>
      </c>
      <c r="AA75">
        <f>IF($D75="",0,IF($F75&lt;2,0,IF($E75="Win",('Guide &amp; Settings'!$C$42/(($F75-1)*COUNTIFS($A$4:$A$810,$A75,$E$4:$E$810,"Win")))*SUMIFS($Z$4:$Z$810,$A$4:$A$810,$A75,$E$4:$E$810,"Loss"),-('Guide &amp; Settings'!$C$42/($F75-1))*$Z75)))</f>
        <v>16.033908130169188</v>
      </c>
      <c r="AB75" s="120">
        <f t="shared" si="33"/>
        <v>1000.0339081301692</v>
      </c>
      <c r="AC75" s="120">
        <f>IF($D75="","",IF(SUMPRODUCT(MAX(($D$4:$D$810=$D75)*($B$4:$B$810&lt;$B75)*$B$4:$B$810))=0,0,MAX(($B75-MAX(SUMPRODUCT(MAX(($D$4:$D$810=$D75)*($B$4:$B$810&lt;$B75)*$B$4:$B$810)),'Guide &amp; Settings'!$C$50))/7-'Guide &amp; Settings'!$C$48,0)*'Guide &amp; Settings'!$C$49))</f>
        <v>0</v>
      </c>
    </row>
    <row r="76" spans="1:29" ht="15" customHeight="1" x14ac:dyDescent="0.2">
      <c r="A76" s="111">
        <v>33</v>
      </c>
      <c r="B76" s="112">
        <v>46175</v>
      </c>
      <c r="C76" s="113" t="s">
        <v>203</v>
      </c>
      <c r="D76" s="113" t="s">
        <v>173</v>
      </c>
      <c r="E76" s="111" t="s">
        <v>309</v>
      </c>
      <c r="F76" s="114">
        <f t="shared" si="17"/>
        <v>2</v>
      </c>
      <c r="G76" s="115" t="str">
        <f t="shared" si="18"/>
        <v>Aaron</v>
      </c>
      <c r="H76" s="116">
        <f>IF($D76="",0,IFERROR(LOOKUP(2,1/(($D$3:D75=$D76)*($A$3:A75&lt;$A76)),$N$3:N75),'Guide &amp; Settings'!$C$41))</f>
        <v>1027.5359902116627</v>
      </c>
      <c r="I76" s="117">
        <f t="shared" si="19"/>
        <v>0.5</v>
      </c>
      <c r="J76" s="118">
        <f>IF($D76="",0,IF($F76&lt;2,0,IF($E76="Win",('Guide &amp; Settings'!$C$42/(($F76-1)*COUNTIFS($A$4:$A$810,$A76,$E$4:$E$810,"Win")))*SUMIFS($X$4:$X$810,$A$4:$A$810,$A76,$E$4:$E$810,"Loss"),-('Guide &amp; Settings'!$C$42/($F76-1))*$X76)))</f>
        <v>-14.926954507509599</v>
      </c>
      <c r="K76" s="118">
        <f>IF($D76="",0,'Guide &amp; Settings'!$C$43*(IF($E76="Win",1,0)-$I76))</f>
        <v>-6</v>
      </c>
      <c r="L76" s="119">
        <f>IF($D76="",0,'Guide &amp; Settings'!$C$44*IF($F76&gt;=3,$F76,0))</f>
        <v>0</v>
      </c>
      <c r="M76" s="118">
        <f t="shared" si="20"/>
        <v>-20.926954507509599</v>
      </c>
      <c r="N76" s="116">
        <f t="shared" si="21"/>
        <v>1006.6090357041531</v>
      </c>
      <c r="O76" s="115" t="str">
        <f t="shared" si="22"/>
        <v>OK</v>
      </c>
      <c r="P76">
        <f t="shared" si="23"/>
        <v>1055.6863499590656</v>
      </c>
      <c r="Q76">
        <f t="shared" si="24"/>
        <v>0.45957679342109781</v>
      </c>
      <c r="R76">
        <f t="shared" si="25"/>
        <v>0.33333333333333331</v>
      </c>
      <c r="S76">
        <f t="shared" si="26"/>
        <v>0.66666666666666663</v>
      </c>
      <c r="T76" s="83">
        <f t="shared" si="27"/>
        <v>1</v>
      </c>
      <c r="U76" s="120">
        <f>IF($D76="",0,IFERROR(LOOKUP(2,1/(($D$3:D75=$D76)*($C$3:C75=$C76)*($A$3:A75&lt;$A76)),$AB$3:AB75),1000))</f>
        <v>984.73630679352198</v>
      </c>
      <c r="V76" s="120">
        <f t="shared" si="28"/>
        <v>1020.4027096419726</v>
      </c>
      <c r="W76">
        <f t="shared" si="29"/>
        <v>1043.738624965888</v>
      </c>
      <c r="X76">
        <f t="shared" si="30"/>
        <v>0.46646732835967497</v>
      </c>
      <c r="Y76">
        <f t="shared" si="31"/>
        <v>984</v>
      </c>
      <c r="Z76">
        <f t="shared" si="32"/>
        <v>0.50105962906778712</v>
      </c>
      <c r="AA76">
        <f>IF($D76="",0,IF($F76&lt;2,0,IF($E76="Win",('Guide &amp; Settings'!$C$42/(($F76-1)*COUNTIFS($A$4:$A$810,$A76,$E$4:$E$810,"Win")))*SUMIFS($Z$4:$Z$810,$A$4:$A$810,$A76,$E$4:$E$810,"Loss"),-('Guide &amp; Settings'!$C$42/($F76-1))*$Z76)))</f>
        <v>-16.033908130169188</v>
      </c>
      <c r="AB76" s="120">
        <f t="shared" si="33"/>
        <v>968.70239866335282</v>
      </c>
      <c r="AC76" s="120">
        <f>IF($D76="","",IF(SUMPRODUCT(MAX(($D$4:$D$810=$D76)*($B$4:$B$810&lt;$B76)*$B$4:$B$810))=0,0,MAX(($B76-MAX(SUMPRODUCT(MAX(($D$4:$D$810=$D76)*($B$4:$B$810&lt;$B76)*$B$4:$B$810)),'Guide &amp; Settings'!$C$50))/7-'Guide &amp; Settings'!$C$48,0)*'Guide &amp; Settings'!$C$49))</f>
        <v>0</v>
      </c>
    </row>
    <row r="77" spans="1:29" ht="15" customHeight="1" x14ac:dyDescent="0.2">
      <c r="A77" s="111">
        <v>34</v>
      </c>
      <c r="B77" s="112">
        <v>46175</v>
      </c>
      <c r="C77" s="113" t="s">
        <v>204</v>
      </c>
      <c r="D77" s="113" t="s">
        <v>137</v>
      </c>
      <c r="E77" s="111" t="s">
        <v>308</v>
      </c>
      <c r="F77" s="114">
        <f t="shared" si="17"/>
        <v>3</v>
      </c>
      <c r="G77" s="115" t="str">
        <f t="shared" si="18"/>
        <v>Josh</v>
      </c>
      <c r="H77" s="116">
        <f>IF($D77="",0,IFERROR(LOOKUP(2,1/(($D$3:D76=$D77)*($A$3:A76&lt;$A77)),$N$3:N76),'Guide &amp; Settings'!$C$41))</f>
        <v>1115.6183486701341</v>
      </c>
      <c r="I77" s="117">
        <f t="shared" si="19"/>
        <v>0.33333333333333331</v>
      </c>
      <c r="J77" s="118">
        <f>IF($D77="",0,IF($F77&lt;2,0,IF($E77="Win",('Guide &amp; Settings'!$C$42/(($F77-1)*COUNTIFS($A$4:$A$810,$A77,$E$4:$E$810,"Win")))*SUMIFS($X$4:$X$810,$A$4:$A$810,$A77,$E$4:$E$810,"Loss"),-('Guide &amp; Settings'!$C$42/($F77-1))*$X77)))</f>
        <v>10.258065458937804</v>
      </c>
      <c r="K77" s="118">
        <f>IF($D77="",0,'Guide &amp; Settings'!$C$43*(IF($E77="Win",1,0)-$I77))</f>
        <v>8</v>
      </c>
      <c r="L77" s="119">
        <f>IF($D77="",0,'Guide &amp; Settings'!$C$44*IF($F77&gt;=3,$F77,0))</f>
        <v>3</v>
      </c>
      <c r="M77" s="118">
        <f t="shared" si="20"/>
        <v>21.258065458937804</v>
      </c>
      <c r="N77" s="116">
        <f t="shared" si="21"/>
        <v>1136.8764141290719</v>
      </c>
      <c r="O77" s="115" t="str">
        <f t="shared" si="22"/>
        <v>OK</v>
      </c>
      <c r="P77">
        <f t="shared" si="23"/>
        <v>1115.6183486701341</v>
      </c>
      <c r="Q77">
        <f t="shared" si="24"/>
        <v>0.5</v>
      </c>
      <c r="R77">
        <f t="shared" si="25"/>
        <v>0.5</v>
      </c>
      <c r="S77">
        <f t="shared" si="26"/>
        <v>1.5</v>
      </c>
      <c r="T77" s="83">
        <f t="shared" si="27"/>
        <v>0</v>
      </c>
      <c r="U77" s="120">
        <f>IF($D77="",0,IFERROR(LOOKUP(2,1/(($D$3:D76=$D77)*($C$3:C76=$C77)*($A$3:A76&lt;$A77)),$AB$3:AB76),1000))</f>
        <v>1000</v>
      </c>
      <c r="V77" s="120">
        <f t="shared" si="28"/>
        <v>1115.6183486701341</v>
      </c>
      <c r="W77">
        <f t="shared" si="29"/>
        <v>1115.6183486701341</v>
      </c>
      <c r="X77">
        <f t="shared" si="30"/>
        <v>0.5</v>
      </c>
      <c r="Y77">
        <f t="shared" si="31"/>
        <v>1000</v>
      </c>
      <c r="Z77">
        <f t="shared" si="32"/>
        <v>0.5</v>
      </c>
      <c r="AA77">
        <f>IF($D77="",0,IF($F77&lt;2,0,IF($E77="Win",('Guide &amp; Settings'!$C$42/(($F77-1)*COUNTIFS($A$4:$A$810,$A77,$E$4:$E$810,"Win")))*SUMIFS($Z$4:$Z$810,$A$4:$A$810,$A77,$E$4:$E$810,"Loss"),-('Guide &amp; Settings'!$C$42/($F77-1))*$Z77)))</f>
        <v>16</v>
      </c>
      <c r="AB77" s="120">
        <f t="shared" si="33"/>
        <v>1016</v>
      </c>
      <c r="AC77" s="120">
        <f>IF($D77="","",IF(SUMPRODUCT(MAX(($D$4:$D$810=$D77)*($B$4:$B$810&lt;$B77)*$B$4:$B$810))=0,0,MAX(($B77-MAX(SUMPRODUCT(MAX(($D$4:$D$810=$D77)*($B$4:$B$810&lt;$B77)*$B$4:$B$810)),'Guide &amp; Settings'!$C$50))/7-'Guide &amp; Settings'!$C$48,0)*'Guide &amp; Settings'!$C$49))</f>
        <v>0</v>
      </c>
    </row>
    <row r="78" spans="1:29" ht="15" customHeight="1" x14ac:dyDescent="0.2">
      <c r="A78" s="111">
        <v>34</v>
      </c>
      <c r="B78" s="112">
        <v>46175</v>
      </c>
      <c r="C78" s="113" t="s">
        <v>204</v>
      </c>
      <c r="D78" s="113" t="s">
        <v>170</v>
      </c>
      <c r="E78" s="111" t="s">
        <v>309</v>
      </c>
      <c r="F78" s="114">
        <f t="shared" si="17"/>
        <v>3</v>
      </c>
      <c r="G78" s="115" t="str">
        <f t="shared" si="18"/>
        <v>Josh</v>
      </c>
      <c r="H78" s="116">
        <f>IF($D78="",0,IFERROR(LOOKUP(2,1/(($D$3:D77=$D78)*($A$3:A77&lt;$A78)),$N$3:N77),'Guide &amp; Settings'!$C$41))</f>
        <v>962.64232337813939</v>
      </c>
      <c r="I78" s="117">
        <f t="shared" si="19"/>
        <v>0.33333333333333331</v>
      </c>
      <c r="J78" s="118">
        <f>IF($D78="",0,IF($F78&lt;2,0,IF($E78="Win",('Guide &amp; Settings'!$C$42/(($F78-1)*COUNTIFS($A$4:$A$810,$A78,$E$4:$E$810,"Win")))*SUMIFS($X$4:$X$810,$A$4:$A$810,$A78,$E$4:$E$810,"Loss"),-('Guide &amp; Settings'!$C$42/($F78-1))*$X78)))</f>
        <v>-4.6888527396517379</v>
      </c>
      <c r="K78" s="118">
        <f>IF($D78="",0,'Guide &amp; Settings'!$C$43*(IF($E78="Win",1,0)-$I78))</f>
        <v>-4</v>
      </c>
      <c r="L78" s="119">
        <f>IF($D78="",0,'Guide &amp; Settings'!$C$44*IF($F78&gt;=3,$F78,0))</f>
        <v>3</v>
      </c>
      <c r="M78" s="118">
        <f t="shared" si="20"/>
        <v>-5.6888527396517379</v>
      </c>
      <c r="N78" s="116">
        <f t="shared" si="21"/>
        <v>956.9534706384876</v>
      </c>
      <c r="O78" s="115" t="str">
        <f t="shared" si="22"/>
        <v>OK</v>
      </c>
      <c r="P78">
        <f t="shared" si="23"/>
        <v>1115.6183486701341</v>
      </c>
      <c r="Q78">
        <f t="shared" si="24"/>
        <v>0.29305329622823362</v>
      </c>
      <c r="R78">
        <f t="shared" si="25"/>
        <v>0.5</v>
      </c>
      <c r="S78">
        <f t="shared" si="26"/>
        <v>1.5</v>
      </c>
      <c r="T78" s="83">
        <f t="shared" si="27"/>
        <v>0</v>
      </c>
      <c r="U78" s="120">
        <f>IF($D78="",0,IFERROR(LOOKUP(2,1/(($D$3:D77=$D78)*($C$3:C77=$C78)*($A$3:A77&lt;$A78)),$AB$3:AB77),1000))</f>
        <v>1000</v>
      </c>
      <c r="V78" s="120">
        <f t="shared" si="28"/>
        <v>962.64232337813939</v>
      </c>
      <c r="W78">
        <f t="shared" si="29"/>
        <v>1115.6183486701341</v>
      </c>
      <c r="X78">
        <f t="shared" si="30"/>
        <v>0.29305329622823362</v>
      </c>
      <c r="Y78">
        <f t="shared" si="31"/>
        <v>1000</v>
      </c>
      <c r="Z78">
        <f t="shared" si="32"/>
        <v>0.5</v>
      </c>
      <c r="AA78">
        <f>IF($D78="",0,IF($F78&lt;2,0,IF($E78="Win",('Guide &amp; Settings'!$C$42/(($F78-1)*COUNTIFS($A$4:$A$810,$A78,$E$4:$E$810,"Win")))*SUMIFS($Z$4:$Z$810,$A$4:$A$810,$A78,$E$4:$E$810,"Loss"),-('Guide &amp; Settings'!$C$42/($F78-1))*$Z78)))</f>
        <v>-8</v>
      </c>
      <c r="AB78" s="120">
        <f t="shared" si="33"/>
        <v>992</v>
      </c>
      <c r="AC78" s="120">
        <f>IF($D78="","",IF(SUMPRODUCT(MAX(($D$4:$D$810=$D78)*($B$4:$B$810&lt;$B78)*$B$4:$B$810))=0,0,MAX(($B78-MAX(SUMPRODUCT(MAX(($D$4:$D$810=$D78)*($B$4:$B$810&lt;$B78)*$B$4:$B$810)),'Guide &amp; Settings'!$C$50))/7-'Guide &amp; Settings'!$C$48,0)*'Guide &amp; Settings'!$C$49))</f>
        <v>0</v>
      </c>
    </row>
    <row r="79" spans="1:29" ht="15" customHeight="1" x14ac:dyDescent="0.2">
      <c r="A79" s="111">
        <v>34</v>
      </c>
      <c r="B79" s="112">
        <v>46175</v>
      </c>
      <c r="C79" s="113" t="s">
        <v>204</v>
      </c>
      <c r="D79" s="113" t="s">
        <v>173</v>
      </c>
      <c r="E79" s="111" t="s">
        <v>309</v>
      </c>
      <c r="F79" s="114">
        <f t="shared" si="17"/>
        <v>3</v>
      </c>
      <c r="G79" s="115" t="str">
        <f t="shared" si="18"/>
        <v>Josh</v>
      </c>
      <c r="H79" s="116">
        <f>IF($D79="",0,IFERROR(LOOKUP(2,1/(($D$3:D78=$D79)*($A$3:A78&lt;$A79)),$N$3:N78),'Guide &amp; Settings'!$C$41))</f>
        <v>1006.6090357041531</v>
      </c>
      <c r="I79" s="117">
        <f t="shared" si="19"/>
        <v>0.33333333333333331</v>
      </c>
      <c r="J79" s="118">
        <f>IF($D79="",0,IF($F79&lt;2,0,IF($E79="Win",('Guide &amp; Settings'!$C$42/(($F79-1)*COUNTIFS($A$4:$A$810,$A79,$E$4:$E$810,"Win")))*SUMIFS($X$4:$X$810,$A$4:$A$810,$A79,$E$4:$E$810,"Loss"),-('Guide &amp; Settings'!$C$42/($F79-1))*$X79)))</f>
        <v>-5.5692127192860656</v>
      </c>
      <c r="K79" s="118">
        <f>IF($D79="",0,'Guide &amp; Settings'!$C$43*(IF($E79="Win",1,0)-$I79))</f>
        <v>-4</v>
      </c>
      <c r="L79" s="119">
        <f>IF($D79="",0,'Guide &amp; Settings'!$C$44*IF($F79&gt;=3,$F79,0))</f>
        <v>3</v>
      </c>
      <c r="M79" s="118">
        <f t="shared" si="20"/>
        <v>-6.5692127192860656</v>
      </c>
      <c r="N79" s="116">
        <f t="shared" si="21"/>
        <v>1000.0398229848671</v>
      </c>
      <c r="O79" s="115" t="str">
        <f t="shared" si="22"/>
        <v>OK</v>
      </c>
      <c r="P79">
        <f t="shared" si="23"/>
        <v>1115.6183486701341</v>
      </c>
      <c r="Q79">
        <f t="shared" si="24"/>
        <v>0.3480757949553791</v>
      </c>
      <c r="R79">
        <f t="shared" si="25"/>
        <v>0.5</v>
      </c>
      <c r="S79">
        <f t="shared" si="26"/>
        <v>1.5</v>
      </c>
      <c r="T79" s="83">
        <f t="shared" si="27"/>
        <v>0</v>
      </c>
      <c r="U79" s="120">
        <f>IF($D79="",0,IFERROR(LOOKUP(2,1/(($D$3:D78=$D79)*($C$3:C78=$C79)*($A$3:A78&lt;$A79)),$AB$3:AB78),1000))</f>
        <v>1000</v>
      </c>
      <c r="V79" s="120">
        <f t="shared" si="28"/>
        <v>1006.6090357041531</v>
      </c>
      <c r="W79">
        <f t="shared" si="29"/>
        <v>1115.6183486701341</v>
      </c>
      <c r="X79">
        <f t="shared" si="30"/>
        <v>0.3480757949553791</v>
      </c>
      <c r="Y79">
        <f t="shared" si="31"/>
        <v>1000</v>
      </c>
      <c r="Z79">
        <f t="shared" si="32"/>
        <v>0.5</v>
      </c>
      <c r="AA79">
        <f>IF($D79="",0,IF($F79&lt;2,0,IF($E79="Win",('Guide &amp; Settings'!$C$42/(($F79-1)*COUNTIFS($A$4:$A$810,$A79,$E$4:$E$810,"Win")))*SUMIFS($Z$4:$Z$810,$A$4:$A$810,$A79,$E$4:$E$810,"Loss"),-('Guide &amp; Settings'!$C$42/($F79-1))*$Z79)))</f>
        <v>-8</v>
      </c>
      <c r="AB79" s="120">
        <f t="shared" si="33"/>
        <v>992</v>
      </c>
      <c r="AC79" s="120">
        <f>IF($D79="","",IF(SUMPRODUCT(MAX(($D$4:$D$810=$D79)*($B$4:$B$810&lt;$B79)*$B$4:$B$810))=0,0,MAX(($B79-MAX(SUMPRODUCT(MAX(($D$4:$D$810=$D79)*($B$4:$B$810&lt;$B79)*$B$4:$B$810)),'Guide &amp; Settings'!$C$50))/7-'Guide &amp; Settings'!$C$48,0)*'Guide &amp; Settings'!$C$49))</f>
        <v>0</v>
      </c>
    </row>
    <row r="80" spans="1:29" ht="15" customHeight="1" x14ac:dyDescent="0.2">
      <c r="A80" s="111">
        <v>35</v>
      </c>
      <c r="B80" s="112">
        <v>46175</v>
      </c>
      <c r="C80" s="113" t="s">
        <v>195</v>
      </c>
      <c r="D80" s="113" t="s">
        <v>140</v>
      </c>
      <c r="E80" s="111" t="s">
        <v>308</v>
      </c>
      <c r="F80" s="114">
        <f t="shared" si="17"/>
        <v>2</v>
      </c>
      <c r="G80" s="115" t="str">
        <f t="shared" si="18"/>
        <v>David</v>
      </c>
      <c r="H80" s="116">
        <f>IF($D80="",0,IFERROR(LOOKUP(2,1/(($D$3:D79=$D80)*($A$3:A79&lt;$A80)),$N$3:N79),'Guide &amp; Settings'!$C$41))</f>
        <v>930.4421101381032</v>
      </c>
      <c r="I80" s="117">
        <f t="shared" si="19"/>
        <v>0.45454545454545447</v>
      </c>
      <c r="J80" s="118">
        <f>IF($D80="",0,IF($F80&lt;2,0,IF($E80="Win",('Guide &amp; Settings'!$C$42/(($F80-1)*COUNTIFS($A$4:$A$810,$A80,$E$4:$E$810,"Win")))*SUMIFS($X$4:$X$810,$A$4:$A$810,$A80,$E$4:$E$810,"Loss"),-('Guide &amp; Settings'!$C$42/($F80-1))*$X80)))</f>
        <v>16.686281763366704</v>
      </c>
      <c r="K80" s="118">
        <f>IF($D80="",0,'Guide &amp; Settings'!$C$43*(IF($E80="Win",1,0)-$I80))</f>
        <v>6.5454545454545467</v>
      </c>
      <c r="L80" s="119">
        <f>IF($D80="",0,'Guide &amp; Settings'!$C$44*IF($F80&gt;=3,$F80,0))</f>
        <v>0</v>
      </c>
      <c r="M80" s="118">
        <f t="shared" si="20"/>
        <v>23.231736308821251</v>
      </c>
      <c r="N80" s="116">
        <f t="shared" si="21"/>
        <v>953.67384644692447</v>
      </c>
      <c r="O80" s="115" t="str">
        <f t="shared" si="22"/>
        <v>OK</v>
      </c>
      <c r="P80">
        <f t="shared" si="23"/>
        <v>930.4421101381032</v>
      </c>
      <c r="Q80">
        <f t="shared" si="24"/>
        <v>0.5</v>
      </c>
      <c r="R80">
        <f t="shared" si="25"/>
        <v>0.16666666666666666</v>
      </c>
      <c r="S80">
        <f t="shared" si="26"/>
        <v>0.3666666666666667</v>
      </c>
      <c r="T80" s="83">
        <f t="shared" si="27"/>
        <v>4</v>
      </c>
      <c r="U80" s="120">
        <f>IF($D80="",0,IFERROR(LOOKUP(2,1/(($D$3:D79=$D80)*($C$3:C79=$C80)*($A$3:A79&lt;$A80)),$AB$3:AB79),1000))</f>
        <v>942.80180078795615</v>
      </c>
      <c r="V80" s="120">
        <f t="shared" si="28"/>
        <v>935.9353059824823</v>
      </c>
      <c r="W80">
        <f t="shared" si="29"/>
        <v>935.9353059824823</v>
      </c>
      <c r="X80">
        <f t="shared" si="30"/>
        <v>0.5</v>
      </c>
      <c r="Y80">
        <f t="shared" si="31"/>
        <v>942.80180078795615</v>
      </c>
      <c r="Z80">
        <f t="shared" si="32"/>
        <v>0.5</v>
      </c>
      <c r="AA80">
        <f>IF($D80="",0,IF($F80&lt;2,0,IF($E80="Win",('Guide &amp; Settings'!$C$42/(($F80-1)*COUNTIFS($A$4:$A$810,$A80,$E$4:$E$810,"Win")))*SUMIFS($Z$4:$Z$810,$A$4:$A$810,$A80,$E$4:$E$810,"Loss"),-('Guide &amp; Settings'!$C$42/($F80-1))*$Z80)))</f>
        <v>16.619135157668911</v>
      </c>
      <c r="AB80" s="120">
        <f t="shared" si="33"/>
        <v>959.42093594562505</v>
      </c>
      <c r="AC80" s="120">
        <f>IF($D80="","",IF(SUMPRODUCT(MAX(($D$4:$D$810=$D80)*($B$4:$B$810&lt;$B80)*$B$4:$B$810))=0,0,MAX(($B80-MAX(SUMPRODUCT(MAX(($D$4:$D$810=$D80)*($B$4:$B$810&lt;$B80)*$B$4:$B$810)),'Guide &amp; Settings'!$C$50))/7-'Guide &amp; Settings'!$C$48,0)*'Guide &amp; Settings'!$C$49))</f>
        <v>0</v>
      </c>
    </row>
    <row r="81" spans="1:29" ht="15" customHeight="1" x14ac:dyDescent="0.2">
      <c r="A81" s="111">
        <v>35</v>
      </c>
      <c r="B81" s="112">
        <v>46175</v>
      </c>
      <c r="C81" s="113" t="s">
        <v>195</v>
      </c>
      <c r="D81" s="113" t="s">
        <v>175</v>
      </c>
      <c r="E81" s="111" t="s">
        <v>309</v>
      </c>
      <c r="F81" s="114">
        <f t="shared" si="17"/>
        <v>2</v>
      </c>
      <c r="G81" s="115" t="str">
        <f t="shared" si="18"/>
        <v>David</v>
      </c>
      <c r="H81" s="116">
        <f>IF($D81="",0,IFERROR(LOOKUP(2,1/(($D$3:D80=$D81)*($A$3:A80&lt;$A81)),$N$3:N80),'Guide &amp; Settings'!$C$41))</f>
        <v>947.60327900388552</v>
      </c>
      <c r="I81" s="117">
        <f t="shared" si="19"/>
        <v>0.54545454545454541</v>
      </c>
      <c r="J81" s="118">
        <f>IF($D81="",0,IF($F81&lt;2,0,IF($E81="Win",('Guide &amp; Settings'!$C$42/(($F81-1)*COUNTIFS($A$4:$A$810,$A81,$E$4:$E$810,"Win")))*SUMIFS($X$4:$X$810,$A$4:$A$810,$A81,$E$4:$E$810,"Loss"),-('Guide &amp; Settings'!$C$42/($F81-1))*$X81)))</f>
        <v>-16.686281763366704</v>
      </c>
      <c r="K81" s="118">
        <f>IF($D81="",0,'Guide &amp; Settings'!$C$43*(IF($E81="Win",1,0)-$I81))</f>
        <v>-6.545454545454545</v>
      </c>
      <c r="L81" s="119">
        <f>IF($D81="",0,'Guide &amp; Settings'!$C$44*IF($F81&gt;=3,$F81,0))</f>
        <v>0</v>
      </c>
      <c r="M81" s="118">
        <f t="shared" si="20"/>
        <v>-23.231736308821247</v>
      </c>
      <c r="N81" s="116">
        <f t="shared" si="21"/>
        <v>924.37154269506425</v>
      </c>
      <c r="O81" s="115" t="str">
        <f t="shared" si="22"/>
        <v>OK</v>
      </c>
      <c r="P81">
        <f t="shared" si="23"/>
        <v>930.4421101381032</v>
      </c>
      <c r="Q81">
        <f t="shared" si="24"/>
        <v>0.52467684208593446</v>
      </c>
      <c r="R81">
        <f t="shared" si="25"/>
        <v>0.2</v>
      </c>
      <c r="S81">
        <f t="shared" si="26"/>
        <v>0.3666666666666667</v>
      </c>
      <c r="T81" s="83">
        <f t="shared" si="27"/>
        <v>3</v>
      </c>
      <c r="U81" s="120">
        <f>IF($D81="",0,IFERROR(LOOKUP(2,1/(($D$3:D80=$D81)*($C$3:C80=$C81)*($A$3:A80&lt;$A81)),$AB$3:AB80),1000))</f>
        <v>956.25286636638907</v>
      </c>
      <c r="V81" s="120">
        <f t="shared" si="28"/>
        <v>950.84687426482435</v>
      </c>
      <c r="W81">
        <f t="shared" si="29"/>
        <v>935.9353059824823</v>
      </c>
      <c r="X81">
        <f t="shared" si="30"/>
        <v>0.52144630510520951</v>
      </c>
      <c r="Y81">
        <f t="shared" si="31"/>
        <v>942.80180078795615</v>
      </c>
      <c r="Z81">
        <f t="shared" si="32"/>
        <v>0.51934797367715346</v>
      </c>
      <c r="AA81">
        <f>IF($D81="",0,IF($F81&lt;2,0,IF($E81="Win",('Guide &amp; Settings'!$C$42/(($F81-1)*COUNTIFS($A$4:$A$810,$A81,$E$4:$E$810,"Win")))*SUMIFS($Z$4:$Z$810,$A$4:$A$810,$A81,$E$4:$E$810,"Loss"),-('Guide &amp; Settings'!$C$42/($F81-1))*$Z81)))</f>
        <v>-16.619135157668911</v>
      </c>
      <c r="AB81" s="120">
        <f t="shared" si="33"/>
        <v>939.63373120872018</v>
      </c>
      <c r="AC81" s="120">
        <f>IF($D81="","",IF(SUMPRODUCT(MAX(($D$4:$D$810=$D81)*($B$4:$B$810&lt;$B81)*$B$4:$B$810))=0,0,MAX(($B81-MAX(SUMPRODUCT(MAX(($D$4:$D$810=$D81)*($B$4:$B$810&lt;$B81)*$B$4:$B$810)),'Guide &amp; Settings'!$C$50))/7-'Guide &amp; Settings'!$C$48,0)*'Guide &amp; Settings'!$C$49))</f>
        <v>0</v>
      </c>
    </row>
    <row r="82" spans="1:29" ht="15" customHeight="1" x14ac:dyDescent="0.2">
      <c r="A82" s="111">
        <v>36</v>
      </c>
      <c r="B82" s="112">
        <v>46175</v>
      </c>
      <c r="C82" s="113" t="s">
        <v>195</v>
      </c>
      <c r="D82" s="113" t="s">
        <v>137</v>
      </c>
      <c r="E82" s="111" t="s">
        <v>308</v>
      </c>
      <c r="F82" s="114">
        <f t="shared" si="17"/>
        <v>2</v>
      </c>
      <c r="G82" s="115" t="str">
        <f t="shared" si="18"/>
        <v>Josh</v>
      </c>
      <c r="H82" s="116">
        <f>IF($D82="",0,IFERROR(LOOKUP(2,1/(($D$3:D81=$D82)*($A$3:A81&lt;$A82)),$N$3:N81),'Guide &amp; Settings'!$C$41))</f>
        <v>1136.8764141290719</v>
      </c>
      <c r="I82" s="117">
        <f t="shared" si="19"/>
        <v>0.7567567567567568</v>
      </c>
      <c r="J82" s="118">
        <f>IF($D82="",0,IF($F82&lt;2,0,IF($E82="Win",('Guide &amp; Settings'!$C$42/(($F82-1)*COUNTIFS($A$4:$A$810,$A82,$E$4:$E$810,"Win")))*SUMIFS($X$4:$X$810,$A$4:$A$810,$A82,$E$4:$E$810,"Loss"),-('Guide &amp; Settings'!$C$42/($F82-1))*$X82)))</f>
        <v>9.3442426265421066</v>
      </c>
      <c r="K82" s="118">
        <f>IF($D82="",0,'Guide &amp; Settings'!$C$43*(IF($E82="Win",1,0)-$I82))</f>
        <v>2.9189189189189184</v>
      </c>
      <c r="L82" s="119">
        <f>IF($D82="",0,'Guide &amp; Settings'!$C$44*IF($F82&gt;=3,$F82,0))</f>
        <v>0</v>
      </c>
      <c r="M82" s="118">
        <f t="shared" si="20"/>
        <v>12.263161545461024</v>
      </c>
      <c r="N82" s="116">
        <f t="shared" si="21"/>
        <v>1149.139575674533</v>
      </c>
      <c r="O82" s="115" t="str">
        <f t="shared" si="22"/>
        <v>OK</v>
      </c>
      <c r="P82">
        <f t="shared" si="23"/>
        <v>1136.8764141290719</v>
      </c>
      <c r="Q82">
        <f t="shared" si="24"/>
        <v>0.5</v>
      </c>
      <c r="R82">
        <f t="shared" si="25"/>
        <v>0.88888888888888884</v>
      </c>
      <c r="S82">
        <f t="shared" si="26"/>
        <v>1.1746031746031744</v>
      </c>
      <c r="T82" s="83">
        <f t="shared" si="27"/>
        <v>7</v>
      </c>
      <c r="U82" s="120">
        <f>IF($D82="",0,IFERROR(LOOKUP(2,1/(($D$3:D81=$D82)*($C$3:C81=$C82)*($A$3:A81&lt;$A82)),$AB$3:AB81),1000))</f>
        <v>1091.4903029545096</v>
      </c>
      <c r="V82" s="120">
        <f t="shared" si="28"/>
        <v>1110.4011826105773</v>
      </c>
      <c r="W82">
        <f t="shared" si="29"/>
        <v>1110.4011826105773</v>
      </c>
      <c r="X82">
        <f t="shared" si="30"/>
        <v>0.5</v>
      </c>
      <c r="Y82">
        <f t="shared" si="31"/>
        <v>1091.4903029545096</v>
      </c>
      <c r="Z82">
        <f t="shared" si="32"/>
        <v>0.5</v>
      </c>
      <c r="AA82">
        <f>IF($D82="",0,IF($F82&lt;2,0,IF($E82="Win",('Guide &amp; Settings'!$C$42/(($F82-1)*COUNTIFS($A$4:$A$810,$A82,$E$4:$E$810,"Win")))*SUMIFS($Z$4:$Z$810,$A$4:$A$810,$A82,$E$4:$E$810,"Loss"),-('Guide &amp; Settings'!$C$42/($F82-1))*$Z82)))</f>
        <v>10.194927112731179</v>
      </c>
      <c r="AB82" s="120">
        <f t="shared" si="33"/>
        <v>1101.6852300672408</v>
      </c>
      <c r="AC82" s="120">
        <f>IF($D82="","",IF(SUMPRODUCT(MAX(($D$4:$D$810=$D82)*($B$4:$B$810&lt;$B82)*$B$4:$B$810))=0,0,MAX(($B82-MAX(SUMPRODUCT(MAX(($D$4:$D$810=$D82)*($B$4:$B$810&lt;$B82)*$B$4:$B$810)),'Guide &amp; Settings'!$C$50))/7-'Guide &amp; Settings'!$C$48,0)*'Guide &amp; Settings'!$C$49))</f>
        <v>0</v>
      </c>
    </row>
    <row r="83" spans="1:29" ht="15" customHeight="1" x14ac:dyDescent="0.2">
      <c r="A83" s="111">
        <v>36</v>
      </c>
      <c r="B83" s="112">
        <v>46175</v>
      </c>
      <c r="C83" s="113" t="s">
        <v>195</v>
      </c>
      <c r="D83" s="113" t="s">
        <v>140</v>
      </c>
      <c r="E83" s="111" t="s">
        <v>309</v>
      </c>
      <c r="F83" s="114">
        <f t="shared" si="17"/>
        <v>2</v>
      </c>
      <c r="G83" s="115" t="str">
        <f t="shared" si="18"/>
        <v>Josh</v>
      </c>
      <c r="H83" s="116">
        <f>IF($D83="",0,IFERROR(LOOKUP(2,1/(($D$3:D82=$D83)*($A$3:A82&lt;$A83)),$N$3:N82),'Guide &amp; Settings'!$C$41))</f>
        <v>953.67384644692447</v>
      </c>
      <c r="I83" s="117">
        <f t="shared" si="19"/>
        <v>0.24324324324324326</v>
      </c>
      <c r="J83" s="118">
        <f>IF($D83="",0,IF($F83&lt;2,0,IF($E83="Win",('Guide &amp; Settings'!$C$42/(($F83-1)*COUNTIFS($A$4:$A$810,$A83,$E$4:$E$810,"Win")))*SUMIFS($X$4:$X$810,$A$4:$A$810,$A83,$E$4:$E$810,"Loss"),-('Guide &amp; Settings'!$C$42/($F83-1))*$X83)))</f>
        <v>-9.3442426265421066</v>
      </c>
      <c r="K83" s="118">
        <f>IF($D83="",0,'Guide &amp; Settings'!$C$43*(IF($E83="Win",1,0)-$I83))</f>
        <v>-2.9189189189189193</v>
      </c>
      <c r="L83" s="119">
        <f>IF($D83="",0,'Guide &amp; Settings'!$C$44*IF($F83&gt;=3,$F83,0))</f>
        <v>0</v>
      </c>
      <c r="M83" s="118">
        <f t="shared" si="20"/>
        <v>-12.263161545461026</v>
      </c>
      <c r="N83" s="116">
        <f t="shared" si="21"/>
        <v>941.41068490146347</v>
      </c>
      <c r="O83" s="115" t="str">
        <f t="shared" si="22"/>
        <v>OK</v>
      </c>
      <c r="P83">
        <f t="shared" si="23"/>
        <v>1136.8764141290719</v>
      </c>
      <c r="Q83">
        <f t="shared" si="24"/>
        <v>0.25834299222892865</v>
      </c>
      <c r="R83">
        <f t="shared" si="25"/>
        <v>0.2857142857142857</v>
      </c>
      <c r="S83">
        <f t="shared" si="26"/>
        <v>1.1746031746031744</v>
      </c>
      <c r="T83" s="83">
        <f t="shared" si="27"/>
        <v>5</v>
      </c>
      <c r="U83" s="120">
        <f>IF($D83="",0,IFERROR(LOOKUP(2,1/(($D$3:D82=$D83)*($C$3:C82=$C83)*($A$3:A82&lt;$A83)),$AB$3:AB82),1000))</f>
        <v>959.42093594562505</v>
      </c>
      <c r="V83" s="120">
        <f t="shared" si="28"/>
        <v>956.5473911962747</v>
      </c>
      <c r="W83">
        <f t="shared" si="29"/>
        <v>1110.4011826105773</v>
      </c>
      <c r="X83">
        <f t="shared" si="30"/>
        <v>0.29200758207944083</v>
      </c>
      <c r="Y83">
        <f t="shared" si="31"/>
        <v>1091.4903029545096</v>
      </c>
      <c r="Z83">
        <f t="shared" si="32"/>
        <v>0.31859147227284934</v>
      </c>
      <c r="AA83">
        <f>IF($D83="",0,IF($F83&lt;2,0,IF($E83="Win",('Guide &amp; Settings'!$C$42/(($F83-1)*COUNTIFS($A$4:$A$810,$A83,$E$4:$E$810,"Win")))*SUMIFS($Z$4:$Z$810,$A$4:$A$810,$A83,$E$4:$E$810,"Loss"),-('Guide &amp; Settings'!$C$42/($F83-1))*$Z83)))</f>
        <v>-10.194927112731179</v>
      </c>
      <c r="AB83" s="120">
        <f t="shared" si="33"/>
        <v>949.22600883289385</v>
      </c>
      <c r="AC83" s="120">
        <f>IF($D83="","",IF(SUMPRODUCT(MAX(($D$4:$D$810=$D83)*($B$4:$B$810&lt;$B83)*$B$4:$B$810))=0,0,MAX(($B83-MAX(SUMPRODUCT(MAX(($D$4:$D$810=$D83)*($B$4:$B$810&lt;$B83)*$B$4:$B$810)),'Guide &amp; Settings'!$C$50))/7-'Guide &amp; Settings'!$C$48,0)*'Guide &amp; Settings'!$C$49))</f>
        <v>0</v>
      </c>
    </row>
    <row r="84" spans="1:29" ht="15" customHeight="1" x14ac:dyDescent="0.2">
      <c r="A84" s="111">
        <v>37</v>
      </c>
      <c r="B84" s="112">
        <v>46175</v>
      </c>
      <c r="C84" s="113" t="s">
        <v>195</v>
      </c>
      <c r="D84" s="113" t="s">
        <v>137</v>
      </c>
      <c r="E84" s="111" t="s">
        <v>308</v>
      </c>
      <c r="F84" s="114">
        <f t="shared" si="17"/>
        <v>2</v>
      </c>
      <c r="G84" s="115" t="str">
        <f t="shared" si="18"/>
        <v>Josh</v>
      </c>
      <c r="H84" s="116">
        <f>IF($D84="",0,IFERROR(LOOKUP(2,1/(($D$3:D83=$D84)*($A$3:A83&lt;$A84)),$N$3:N83),'Guide &amp; Settings'!$C$41))</f>
        <v>1149.139575674533</v>
      </c>
      <c r="I84" s="117">
        <f t="shared" si="19"/>
        <v>0.84375</v>
      </c>
      <c r="J84" s="118">
        <f>IF($D84="",0,IF($F84&lt;2,0,IF($E84="Win",('Guide &amp; Settings'!$C$42/(($F84-1)*COUNTIFS($A$4:$A$810,$A84,$E$4:$E$810,"Win")))*SUMIFS($X$4:$X$810,$A$4:$A$810,$A84,$E$4:$E$810,"Loss"),-('Guide &amp; Settings'!$C$42/($F84-1))*$X84)))</f>
        <v>8.0715808027619893</v>
      </c>
      <c r="K84" s="118">
        <f>IF($D84="",0,'Guide &amp; Settings'!$C$43*(IF($E84="Win",1,0)-$I84))</f>
        <v>1.875</v>
      </c>
      <c r="L84" s="119">
        <f>IF($D84="",0,'Guide &amp; Settings'!$C$44*IF($F84&gt;=3,$F84,0))</f>
        <v>0</v>
      </c>
      <c r="M84" s="118">
        <f t="shared" si="20"/>
        <v>9.9465808027619893</v>
      </c>
      <c r="N84" s="116">
        <f t="shared" si="21"/>
        <v>1159.0861564772949</v>
      </c>
      <c r="O84" s="115" t="str">
        <f t="shared" si="22"/>
        <v>OK</v>
      </c>
      <c r="P84">
        <f t="shared" si="23"/>
        <v>1149.139575674533</v>
      </c>
      <c r="Q84">
        <f t="shared" si="24"/>
        <v>0.5</v>
      </c>
      <c r="R84">
        <f t="shared" si="25"/>
        <v>0.9</v>
      </c>
      <c r="S84">
        <f t="shared" si="26"/>
        <v>1.0666666666666667</v>
      </c>
      <c r="T84" s="83">
        <f t="shared" si="27"/>
        <v>8</v>
      </c>
      <c r="U84" s="120">
        <f>IF($D84="",0,IFERROR(LOOKUP(2,1/(($D$3:D83=$D84)*($C$3:C83=$C84)*($A$3:A83&lt;$A84)),$AB$3:AB83),1000))</f>
        <v>1101.6852300672408</v>
      </c>
      <c r="V84" s="120">
        <f t="shared" si="28"/>
        <v>1119.936901454661</v>
      </c>
      <c r="W84">
        <f t="shared" si="29"/>
        <v>1119.936901454661</v>
      </c>
      <c r="X84">
        <f t="shared" si="30"/>
        <v>0.5</v>
      </c>
      <c r="Y84">
        <f t="shared" si="31"/>
        <v>1101.6852300672408</v>
      </c>
      <c r="Z84">
        <f t="shared" si="32"/>
        <v>0.5</v>
      </c>
      <c r="AA84">
        <f>IF($D84="",0,IF($F84&lt;2,0,IF($E84="Win",('Guide &amp; Settings'!$C$42/(($F84-1)*COUNTIFS($A$4:$A$810,$A84,$E$4:$E$810,"Win")))*SUMIFS($Z$4:$Z$810,$A$4:$A$810,$A84,$E$4:$E$810,"Loss"),-('Guide &amp; Settings'!$C$42/($F84-1))*$Z84)))</f>
        <v>9.0351425183095415</v>
      </c>
      <c r="AB84" s="120">
        <f t="shared" si="33"/>
        <v>1110.7203725855504</v>
      </c>
      <c r="AC84" s="120">
        <f>IF($D84="","",IF(SUMPRODUCT(MAX(($D$4:$D$810=$D84)*($B$4:$B$810&lt;$B84)*$B$4:$B$810))=0,0,MAX(($B84-MAX(SUMPRODUCT(MAX(($D$4:$D$810=$D84)*($B$4:$B$810&lt;$B84)*$B$4:$B$810)),'Guide &amp; Settings'!$C$50))/7-'Guide &amp; Settings'!$C$48,0)*'Guide &amp; Settings'!$C$49))</f>
        <v>0</v>
      </c>
    </row>
    <row r="85" spans="1:29" ht="15" customHeight="1" x14ac:dyDescent="0.2">
      <c r="A85" s="111">
        <v>37</v>
      </c>
      <c r="B85" s="112">
        <v>46175</v>
      </c>
      <c r="C85" s="113" t="s">
        <v>195</v>
      </c>
      <c r="D85" s="113" t="s">
        <v>175</v>
      </c>
      <c r="E85" s="111" t="s">
        <v>309</v>
      </c>
      <c r="F85" s="114">
        <f t="shared" si="17"/>
        <v>2</v>
      </c>
      <c r="G85" s="115" t="str">
        <f t="shared" si="18"/>
        <v>Josh</v>
      </c>
      <c r="H85" s="116">
        <f>IF($D85="",0,IFERROR(LOOKUP(2,1/(($D$3:D84=$D85)*($A$3:A84&lt;$A85)),$N$3:N84),'Guide &amp; Settings'!$C$41))</f>
        <v>924.37154269506425</v>
      </c>
      <c r="I85" s="117">
        <f t="shared" si="19"/>
        <v>0.15625</v>
      </c>
      <c r="J85" s="118">
        <f>IF($D85="",0,IF($F85&lt;2,0,IF($E85="Win",('Guide &amp; Settings'!$C$42/(($F85-1)*COUNTIFS($A$4:$A$810,$A85,$E$4:$E$810,"Win")))*SUMIFS($X$4:$X$810,$A$4:$A$810,$A85,$E$4:$E$810,"Loss"),-('Guide &amp; Settings'!$C$42/($F85-1))*$X85)))</f>
        <v>-8.0715808027619893</v>
      </c>
      <c r="K85" s="118">
        <f>IF($D85="",0,'Guide &amp; Settings'!$C$43*(IF($E85="Win",1,0)-$I85))</f>
        <v>-1.875</v>
      </c>
      <c r="L85" s="119">
        <f>IF($D85="",0,'Guide &amp; Settings'!$C$44*IF($F85&gt;=3,$F85,0))</f>
        <v>0</v>
      </c>
      <c r="M85" s="118">
        <f t="shared" si="20"/>
        <v>-9.9465808027619893</v>
      </c>
      <c r="N85" s="116">
        <f t="shared" si="21"/>
        <v>914.42496189230224</v>
      </c>
      <c r="O85" s="115" t="str">
        <f t="shared" si="22"/>
        <v>OK</v>
      </c>
      <c r="P85">
        <f t="shared" si="23"/>
        <v>1149.139575674533</v>
      </c>
      <c r="Q85">
        <f t="shared" si="24"/>
        <v>0.21519869527877733</v>
      </c>
      <c r="R85">
        <f t="shared" si="25"/>
        <v>0.16666666666666666</v>
      </c>
      <c r="S85">
        <f t="shared" si="26"/>
        <v>1.0666666666666667</v>
      </c>
      <c r="T85" s="83">
        <f t="shared" si="27"/>
        <v>4</v>
      </c>
      <c r="U85" s="120">
        <f>IF($D85="",0,IFERROR(LOOKUP(2,1/(($D$3:D84=$D85)*($C$3:C84=$C85)*($A$3:A84&lt;$A85)),$AB$3:AB84),1000))</f>
        <v>939.63373120872018</v>
      </c>
      <c r="V85" s="120">
        <f t="shared" si="28"/>
        <v>931.15473759002236</v>
      </c>
      <c r="W85">
        <f t="shared" si="29"/>
        <v>1119.936901454661</v>
      </c>
      <c r="X85">
        <f t="shared" si="30"/>
        <v>0.25223690008631217</v>
      </c>
      <c r="Y85">
        <f t="shared" si="31"/>
        <v>1101.6852300672408</v>
      </c>
      <c r="Z85">
        <f t="shared" si="32"/>
        <v>0.28234820369717317</v>
      </c>
      <c r="AA85">
        <f>IF($D85="",0,IF($F85&lt;2,0,IF($E85="Win",('Guide &amp; Settings'!$C$42/(($F85-1)*COUNTIFS($A$4:$A$810,$A85,$E$4:$E$810,"Win")))*SUMIFS($Z$4:$Z$810,$A$4:$A$810,$A85,$E$4:$E$810,"Loss"),-('Guide &amp; Settings'!$C$42/($F85-1))*$Z85)))</f>
        <v>-9.0351425183095415</v>
      </c>
      <c r="AB85" s="120">
        <f t="shared" si="33"/>
        <v>930.59858869041068</v>
      </c>
      <c r="AC85" s="120">
        <f>IF($D85="","",IF(SUMPRODUCT(MAX(($D$4:$D$810=$D85)*($B$4:$B$810&lt;$B85)*$B$4:$B$810))=0,0,MAX(($B85-MAX(SUMPRODUCT(MAX(($D$4:$D$810=$D85)*($B$4:$B$810&lt;$B85)*$B$4:$B$810)),'Guide &amp; Settings'!$C$50))/7-'Guide &amp; Settings'!$C$48,0)*'Guide &amp; Settings'!$C$49))</f>
        <v>0</v>
      </c>
    </row>
    <row r="86" spans="1:29" ht="15" customHeight="1" x14ac:dyDescent="0.2">
      <c r="A86" s="111">
        <v>38</v>
      </c>
      <c r="B86" s="112">
        <v>46176</v>
      </c>
      <c r="C86" s="113" t="s">
        <v>185</v>
      </c>
      <c r="D86" s="113" t="s">
        <v>167</v>
      </c>
      <c r="E86" s="111" t="s">
        <v>308</v>
      </c>
      <c r="F86" s="114">
        <f t="shared" si="17"/>
        <v>2</v>
      </c>
      <c r="G86" s="115" t="str">
        <f t="shared" si="18"/>
        <v>Dean B</v>
      </c>
      <c r="H86" s="116">
        <f>IF($D86="",0,IFERROR(LOOKUP(2,1/(($D$3:D85=$D86)*($A$3:A85&lt;$A86)),$N$3:N85),'Guide &amp; Settings'!$C$41))</f>
        <v>1000</v>
      </c>
      <c r="I86" s="117">
        <f t="shared" si="19"/>
        <v>0.5</v>
      </c>
      <c r="J86" s="118">
        <f>IF($D86="",0,IF($F86&lt;2,0,IF($E86="Win",('Guide &amp; Settings'!$C$42/(($F86-1)*COUNTIFS($A$4:$A$810,$A86,$E$4:$E$810,"Win")))*SUMIFS($X$4:$X$810,$A$4:$A$810,$A86,$E$4:$E$810,"Loss"),-('Guide &amp; Settings'!$C$42/($F86-1))*$X86)))</f>
        <v>17.001830058442707</v>
      </c>
      <c r="K86" s="118">
        <f>IF($D86="",0,'Guide &amp; Settings'!$C$43*(IF($E86="Win",1,0)-$I86))</f>
        <v>6</v>
      </c>
      <c r="L86" s="119">
        <f>IF($D86="",0,'Guide &amp; Settings'!$C$44*IF($F86&gt;=3,$F86,0))</f>
        <v>0</v>
      </c>
      <c r="M86" s="118">
        <f t="shared" si="20"/>
        <v>23.001830058442707</v>
      </c>
      <c r="N86" s="116">
        <f t="shared" si="21"/>
        <v>1023.0018300584427</v>
      </c>
      <c r="O86" s="115" t="str">
        <f t="shared" si="22"/>
        <v>OK</v>
      </c>
      <c r="P86">
        <f t="shared" si="23"/>
        <v>1000</v>
      </c>
      <c r="Q86">
        <f t="shared" si="24"/>
        <v>0.5</v>
      </c>
      <c r="R86">
        <f t="shared" si="25"/>
        <v>0.5</v>
      </c>
      <c r="S86">
        <f t="shared" si="26"/>
        <v>1</v>
      </c>
      <c r="T86" s="83">
        <f t="shared" si="27"/>
        <v>0</v>
      </c>
      <c r="U86" s="120">
        <f>IF($D86="",0,IFERROR(LOOKUP(2,1/(($D$3:D85=$D86)*($C$3:C85=$C86)*($A$3:A85&lt;$A86)),$AB$3:AB85),1000))</f>
        <v>1000</v>
      </c>
      <c r="V86" s="120">
        <f t="shared" si="28"/>
        <v>1000</v>
      </c>
      <c r="W86">
        <f t="shared" si="29"/>
        <v>1000</v>
      </c>
      <c r="X86">
        <f t="shared" si="30"/>
        <v>0.5</v>
      </c>
      <c r="Y86">
        <f t="shared" si="31"/>
        <v>1000</v>
      </c>
      <c r="Z86">
        <f t="shared" si="32"/>
        <v>0.5</v>
      </c>
      <c r="AA86">
        <f>IF($D86="",0,IF($F86&lt;2,0,IF($E86="Win",('Guide &amp; Settings'!$C$42/(($F86-1)*COUNTIFS($A$4:$A$810,$A86,$E$4:$E$810,"Win")))*SUMIFS($Z$4:$Z$810,$A$4:$A$810,$A86,$E$4:$E$810,"Loss"),-('Guide &amp; Settings'!$C$42/($F86-1))*$Z86)))</f>
        <v>16</v>
      </c>
      <c r="AB86" s="120">
        <f t="shared" si="33"/>
        <v>1016</v>
      </c>
      <c r="AC86" s="120">
        <f>IF($D86="","",IF(SUMPRODUCT(MAX(($D$4:$D$810=$D86)*($B$4:$B$810&lt;$B86)*$B$4:$B$810))=0,0,MAX(($B86-MAX(SUMPRODUCT(MAX(($D$4:$D$810=$D86)*($B$4:$B$810&lt;$B86)*$B$4:$B$810)),'Guide &amp; Settings'!$C$50))/7-'Guide &amp; Settings'!$C$48,0)*'Guide &amp; Settings'!$C$49))</f>
        <v>0</v>
      </c>
    </row>
    <row r="87" spans="1:29" ht="15" customHeight="1" x14ac:dyDescent="0.2">
      <c r="A87" s="111">
        <v>38</v>
      </c>
      <c r="B87" s="112">
        <v>46176</v>
      </c>
      <c r="C87" s="113" t="s">
        <v>185</v>
      </c>
      <c r="D87" s="113" t="s">
        <v>169</v>
      </c>
      <c r="E87" s="111" t="s">
        <v>309</v>
      </c>
      <c r="F87" s="114">
        <f t="shared" si="17"/>
        <v>2</v>
      </c>
      <c r="G87" s="115" t="str">
        <f t="shared" si="18"/>
        <v>Dean B</v>
      </c>
      <c r="H87" s="116">
        <f>IF($D87="",0,IFERROR(LOOKUP(2,1/(($D$3:D86=$D87)*($A$3:A86&lt;$A87)),$N$3:N86),'Guide &amp; Settings'!$C$41))</f>
        <v>1021.7829602697462</v>
      </c>
      <c r="I87" s="117">
        <f t="shared" si="19"/>
        <v>0.5</v>
      </c>
      <c r="J87" s="118">
        <f>IF($D87="",0,IF($F87&lt;2,0,IF($E87="Win",('Guide &amp; Settings'!$C$42/(($F87-1)*COUNTIFS($A$4:$A$810,$A87,$E$4:$E$810,"Win")))*SUMIFS($X$4:$X$810,$A$4:$A$810,$A87,$E$4:$E$810,"Loss"),-('Guide &amp; Settings'!$C$42/($F87-1))*$X87)))</f>
        <v>-17.001830058442707</v>
      </c>
      <c r="K87" s="118">
        <f>IF($D87="",0,'Guide &amp; Settings'!$C$43*(IF($E87="Win",1,0)-$I87))</f>
        <v>-6</v>
      </c>
      <c r="L87" s="119">
        <f>IF($D87="",0,'Guide &amp; Settings'!$C$44*IF($F87&gt;=3,$F87,0))</f>
        <v>0</v>
      </c>
      <c r="M87" s="118">
        <f t="shared" si="20"/>
        <v>-23.001830058442707</v>
      </c>
      <c r="N87" s="116">
        <f t="shared" si="21"/>
        <v>998.78113021130355</v>
      </c>
      <c r="O87" s="115" t="str">
        <f t="shared" si="22"/>
        <v>OK</v>
      </c>
      <c r="P87">
        <f t="shared" si="23"/>
        <v>1000</v>
      </c>
      <c r="Q87">
        <f t="shared" si="24"/>
        <v>0.53130718932633458</v>
      </c>
      <c r="R87">
        <f t="shared" si="25"/>
        <v>0.5</v>
      </c>
      <c r="S87">
        <f t="shared" si="26"/>
        <v>1</v>
      </c>
      <c r="T87" s="83">
        <f t="shared" si="27"/>
        <v>0</v>
      </c>
      <c r="U87" s="120">
        <f>IF($D87="",0,IFERROR(LOOKUP(2,1/(($D$3:D86=$D87)*($C$3:C86=$C87)*($A$3:A86&lt;$A87)),$AB$3:AB86),1000))</f>
        <v>1000</v>
      </c>
      <c r="V87" s="120">
        <f t="shared" si="28"/>
        <v>1021.7829602697462</v>
      </c>
      <c r="W87">
        <f t="shared" si="29"/>
        <v>1000</v>
      </c>
      <c r="X87">
        <f t="shared" si="30"/>
        <v>0.53130718932633458</v>
      </c>
      <c r="Y87">
        <f t="shared" si="31"/>
        <v>1000</v>
      </c>
      <c r="Z87">
        <f t="shared" si="32"/>
        <v>0.5</v>
      </c>
      <c r="AA87">
        <f>IF($D87="",0,IF($F87&lt;2,0,IF($E87="Win",('Guide &amp; Settings'!$C$42/(($F87-1)*COUNTIFS($A$4:$A$810,$A87,$E$4:$E$810,"Win")))*SUMIFS($Z$4:$Z$810,$A$4:$A$810,$A87,$E$4:$E$810,"Loss"),-('Guide &amp; Settings'!$C$42/($F87-1))*$Z87)))</f>
        <v>-16</v>
      </c>
      <c r="AB87" s="120">
        <f t="shared" si="33"/>
        <v>984</v>
      </c>
      <c r="AC87" s="120">
        <f>IF($D87="","",IF(SUMPRODUCT(MAX(($D$4:$D$810=$D87)*($B$4:$B$810&lt;$B87)*$B$4:$B$810))=0,0,MAX(($B87-MAX(SUMPRODUCT(MAX(($D$4:$D$810=$D87)*($B$4:$B$810&lt;$B87)*$B$4:$B$810)),'Guide &amp; Settings'!$C$50))/7-'Guide &amp; Settings'!$C$48,0)*'Guide &amp; Settings'!$C$49))</f>
        <v>0</v>
      </c>
    </row>
    <row r="88" spans="1:29" ht="15" customHeight="1" x14ac:dyDescent="0.2">
      <c r="A88" s="111">
        <v>39</v>
      </c>
      <c r="B88" s="112">
        <v>46176</v>
      </c>
      <c r="C88" s="113" t="s">
        <v>185</v>
      </c>
      <c r="D88" s="113" t="s">
        <v>167</v>
      </c>
      <c r="E88" s="111" t="s">
        <v>308</v>
      </c>
      <c r="F88" s="114">
        <f t="shared" si="17"/>
        <v>2</v>
      </c>
      <c r="G88" s="115" t="str">
        <f t="shared" si="18"/>
        <v>Dean B</v>
      </c>
      <c r="H88" s="116">
        <f>IF($D88="",0,IFERROR(LOOKUP(2,1/(($D$3:D87=$D88)*($A$3:A87&lt;$A88)),$N$3:N87),'Guide &amp; Settings'!$C$41))</f>
        <v>1023.0018300584427</v>
      </c>
      <c r="I88" s="117">
        <f t="shared" si="19"/>
        <v>0.66666666666666663</v>
      </c>
      <c r="J88" s="118">
        <f>IF($D88="",0,IF($F88&lt;2,0,IF($E88="Win",('Guide &amp; Settings'!$C$42/(($F88-1)*COUNTIFS($A$4:$A$810,$A88,$E$4:$E$810,"Win")))*SUMIFS($X$4:$X$810,$A$4:$A$810,$A88,$E$4:$E$810,"Loss"),-('Guide &amp; Settings'!$C$42/($F88-1))*$X88)))</f>
        <v>14.82699556030008</v>
      </c>
      <c r="K88" s="118">
        <f>IF($D88="",0,'Guide &amp; Settings'!$C$43*(IF($E88="Win",1,0)-$I88))</f>
        <v>4</v>
      </c>
      <c r="L88" s="119">
        <f>IF($D88="",0,'Guide &amp; Settings'!$C$44*IF($F88&gt;=3,$F88,0))</f>
        <v>0</v>
      </c>
      <c r="M88" s="118">
        <f t="shared" si="20"/>
        <v>18.82699556030008</v>
      </c>
      <c r="N88" s="116">
        <f t="shared" si="21"/>
        <v>1041.8288256187427</v>
      </c>
      <c r="O88" s="115" t="str">
        <f t="shared" si="22"/>
        <v>OK</v>
      </c>
      <c r="P88">
        <f t="shared" si="23"/>
        <v>1023.0018300584427</v>
      </c>
      <c r="Q88">
        <f t="shared" si="24"/>
        <v>0.5</v>
      </c>
      <c r="R88">
        <f t="shared" si="25"/>
        <v>0.66666666666666663</v>
      </c>
      <c r="S88">
        <f t="shared" si="26"/>
        <v>1</v>
      </c>
      <c r="T88" s="83">
        <f t="shared" si="27"/>
        <v>1</v>
      </c>
      <c r="U88" s="120">
        <f>IF($D88="",0,IFERROR(LOOKUP(2,1/(($D$3:D87=$D88)*($C$3:C87=$C88)*($A$3:A87&lt;$A88)),$AB$3:AB87),1000))</f>
        <v>1016</v>
      </c>
      <c r="V88" s="120">
        <f t="shared" si="28"/>
        <v>1021.8348583820357</v>
      </c>
      <c r="W88">
        <f t="shared" si="29"/>
        <v>1021.8348583820357</v>
      </c>
      <c r="X88">
        <f t="shared" si="30"/>
        <v>0.5</v>
      </c>
      <c r="Y88">
        <f t="shared" si="31"/>
        <v>1016</v>
      </c>
      <c r="Z88">
        <f t="shared" si="32"/>
        <v>0.5</v>
      </c>
      <c r="AA88">
        <f>IF($D88="",0,IF($F88&lt;2,0,IF($E88="Win",('Guide &amp; Settings'!$C$42/(($F88-1)*COUNTIFS($A$4:$A$810,$A88,$E$4:$E$810,"Win")))*SUMIFS($Z$4:$Z$810,$A$4:$A$810,$A88,$E$4:$E$810,"Loss"),-('Guide &amp; Settings'!$C$42/($F88-1))*$Z88)))</f>
        <v>14.530498471024522</v>
      </c>
      <c r="AB88" s="120">
        <f t="shared" si="33"/>
        <v>1030.5304984710244</v>
      </c>
      <c r="AC88" s="120">
        <f>IF($D88="","",IF(SUMPRODUCT(MAX(($D$4:$D$810=$D88)*($B$4:$B$810&lt;$B88)*$B$4:$B$810))=0,0,MAX(($B88-MAX(SUMPRODUCT(MAX(($D$4:$D$810=$D88)*($B$4:$B$810&lt;$B88)*$B$4:$B$810)),'Guide &amp; Settings'!$C$50))/7-'Guide &amp; Settings'!$C$48,0)*'Guide &amp; Settings'!$C$49))</f>
        <v>0</v>
      </c>
    </row>
    <row r="89" spans="1:29" ht="15" customHeight="1" x14ac:dyDescent="0.2">
      <c r="A89" s="111">
        <v>39</v>
      </c>
      <c r="B89" s="112">
        <v>46176</v>
      </c>
      <c r="C89" s="113" t="s">
        <v>185</v>
      </c>
      <c r="D89" s="113" t="s">
        <v>169</v>
      </c>
      <c r="E89" s="111" t="s">
        <v>309</v>
      </c>
      <c r="F89" s="114">
        <f t="shared" si="17"/>
        <v>2</v>
      </c>
      <c r="G89" s="115" t="str">
        <f t="shared" si="18"/>
        <v>Dean B</v>
      </c>
      <c r="H89" s="116">
        <f>IF($D89="",0,IFERROR(LOOKUP(2,1/(($D$3:D88=$D89)*($A$3:A88&lt;$A89)),$N$3:N88),'Guide &amp; Settings'!$C$41))</f>
        <v>998.78113021130355</v>
      </c>
      <c r="I89" s="117">
        <f t="shared" si="19"/>
        <v>0.33333333333333331</v>
      </c>
      <c r="J89" s="118">
        <f>IF($D89="",0,IF($F89&lt;2,0,IF($E89="Win",('Guide &amp; Settings'!$C$42/(($F89-1)*COUNTIFS($A$4:$A$810,$A89,$E$4:$E$810,"Win")))*SUMIFS($X$4:$X$810,$A$4:$A$810,$A89,$E$4:$E$810,"Loss"),-('Guide &amp; Settings'!$C$42/($F89-1))*$X89)))</f>
        <v>-14.82699556030008</v>
      </c>
      <c r="K89" s="118">
        <f>IF($D89="",0,'Guide &amp; Settings'!$C$43*(IF($E89="Win",1,0)-$I89))</f>
        <v>-4</v>
      </c>
      <c r="L89" s="119">
        <f>IF($D89="",0,'Guide &amp; Settings'!$C$44*IF($F89&gt;=3,$F89,0))</f>
        <v>0</v>
      </c>
      <c r="M89" s="118">
        <f t="shared" si="20"/>
        <v>-18.82699556030008</v>
      </c>
      <c r="N89" s="116">
        <f t="shared" si="21"/>
        <v>979.95413465100341</v>
      </c>
      <c r="O89" s="115" t="str">
        <f t="shared" si="22"/>
        <v>OK</v>
      </c>
      <c r="P89">
        <f t="shared" si="23"/>
        <v>1023.0018300584427</v>
      </c>
      <c r="Q89">
        <f t="shared" si="24"/>
        <v>0.46519996729880964</v>
      </c>
      <c r="R89">
        <f t="shared" si="25"/>
        <v>0.33333333333333331</v>
      </c>
      <c r="S89">
        <f t="shared" si="26"/>
        <v>1</v>
      </c>
      <c r="T89" s="83">
        <f t="shared" si="27"/>
        <v>1</v>
      </c>
      <c r="U89" s="120">
        <f>IF($D89="",0,IFERROR(LOOKUP(2,1/(($D$3:D88=$D89)*($C$3:C88=$C89)*($A$3:A88&lt;$A89)),$AB$3:AB88),1000))</f>
        <v>984</v>
      </c>
      <c r="V89" s="120">
        <f t="shared" si="28"/>
        <v>996.31760850941964</v>
      </c>
      <c r="W89">
        <f t="shared" si="29"/>
        <v>1021.8348583820357</v>
      </c>
      <c r="X89">
        <f t="shared" si="30"/>
        <v>0.46334361125937751</v>
      </c>
      <c r="Y89">
        <f t="shared" si="31"/>
        <v>1016</v>
      </c>
      <c r="Z89">
        <f t="shared" si="32"/>
        <v>0.45407807721951632</v>
      </c>
      <c r="AA89">
        <f>IF($D89="",0,IF($F89&lt;2,0,IF($E89="Win",('Guide &amp; Settings'!$C$42/(($F89-1)*COUNTIFS($A$4:$A$810,$A89,$E$4:$E$810,"Win")))*SUMIFS($Z$4:$Z$810,$A$4:$A$810,$A89,$E$4:$E$810,"Loss"),-('Guide &amp; Settings'!$C$42/($F89-1))*$Z89)))</f>
        <v>-14.530498471024522</v>
      </c>
      <c r="AB89" s="120">
        <f t="shared" si="33"/>
        <v>969.46950152897546</v>
      </c>
      <c r="AC89" s="120">
        <f>IF($D89="","",IF(SUMPRODUCT(MAX(($D$4:$D$810=$D89)*($B$4:$B$810&lt;$B89)*$B$4:$B$810))=0,0,MAX(($B89-MAX(SUMPRODUCT(MAX(($D$4:$D$810=$D89)*($B$4:$B$810&lt;$B89)*$B$4:$B$810)),'Guide &amp; Settings'!$C$50))/7-'Guide &amp; Settings'!$C$48,0)*'Guide &amp; Settings'!$C$49))</f>
        <v>0</v>
      </c>
    </row>
    <row r="90" spans="1:29" ht="15" customHeight="1" x14ac:dyDescent="0.2">
      <c r="A90" s="111">
        <v>40</v>
      </c>
      <c r="B90" s="112">
        <v>46176</v>
      </c>
      <c r="C90" s="113" t="s">
        <v>185</v>
      </c>
      <c r="D90" s="113" t="s">
        <v>170</v>
      </c>
      <c r="E90" s="111" t="s">
        <v>308</v>
      </c>
      <c r="F90" s="114">
        <f t="shared" si="17"/>
        <v>2</v>
      </c>
      <c r="G90" s="115" t="str">
        <f t="shared" si="18"/>
        <v>Daniel (Ferret)</v>
      </c>
      <c r="H90" s="116">
        <f>IF($D90="",0,IFERROR(LOOKUP(2,1/(($D$3:D89=$D90)*($A$3:A89&lt;$A90)),$N$3:N89),'Guide &amp; Settings'!$C$41))</f>
        <v>956.9534706384876</v>
      </c>
      <c r="I90" s="117">
        <f t="shared" si="19"/>
        <v>0.4</v>
      </c>
      <c r="J90" s="118">
        <f>IF($D90="",0,IF($F90&lt;2,0,IF($E90="Win",('Guide &amp; Settings'!$C$42/(($F90-1)*COUNTIFS($A$4:$A$810,$A90,$E$4:$E$810,"Win")))*SUMIFS($X$4:$X$810,$A$4:$A$810,$A90,$E$4:$E$810,"Loss"),-('Guide &amp; Settings'!$C$42/($F90-1))*$X90)))</f>
        <v>19.692275797138912</v>
      </c>
      <c r="K90" s="118">
        <f>IF($D90="",0,'Guide &amp; Settings'!$C$43*(IF($E90="Win",1,0)-$I90))</f>
        <v>7.1999999999999993</v>
      </c>
      <c r="L90" s="119">
        <f>IF($D90="",0,'Guide &amp; Settings'!$C$44*IF($F90&gt;=3,$F90,0))</f>
        <v>0</v>
      </c>
      <c r="M90" s="118">
        <f t="shared" si="20"/>
        <v>26.892275797138911</v>
      </c>
      <c r="N90" s="116">
        <f t="shared" si="21"/>
        <v>983.84574643562655</v>
      </c>
      <c r="O90" s="115" t="str">
        <f t="shared" si="22"/>
        <v>OK</v>
      </c>
      <c r="P90">
        <f t="shared" si="23"/>
        <v>956.9534706384876</v>
      </c>
      <c r="Q90">
        <f t="shared" si="24"/>
        <v>0.5</v>
      </c>
      <c r="R90">
        <f t="shared" si="25"/>
        <v>0.5</v>
      </c>
      <c r="S90">
        <f t="shared" si="26"/>
        <v>1.25</v>
      </c>
      <c r="T90" s="83">
        <f t="shared" si="27"/>
        <v>0</v>
      </c>
      <c r="U90" s="120">
        <f>IF($D90="",0,IFERROR(LOOKUP(2,1/(($D$3:D89=$D90)*($C$3:C89=$C90)*($A$3:A89&lt;$A90)),$AB$3:AB89),1000))</f>
        <v>1000</v>
      </c>
      <c r="V90" s="120">
        <f t="shared" si="28"/>
        <v>956.9534706384876</v>
      </c>
      <c r="W90">
        <f t="shared" si="29"/>
        <v>956.9534706384876</v>
      </c>
      <c r="X90">
        <f t="shared" si="30"/>
        <v>0.5</v>
      </c>
      <c r="Y90">
        <f t="shared" si="31"/>
        <v>1000</v>
      </c>
      <c r="Z90">
        <f t="shared" si="32"/>
        <v>0.5</v>
      </c>
      <c r="AA90">
        <f>IF($D90="",0,IF($F90&lt;2,0,IF($E90="Win",('Guide &amp; Settings'!$C$42/(($F90-1)*COUNTIFS($A$4:$A$810,$A90,$E$4:$E$810,"Win")))*SUMIFS($Z$4:$Z$810,$A$4:$A$810,$A90,$E$4:$E$810,"Loss"),-('Guide &amp; Settings'!$C$42/($F90-1))*$Z90)))</f>
        <v>17.402373648406023</v>
      </c>
      <c r="AB90" s="120">
        <f t="shared" si="33"/>
        <v>1017.4023736484061</v>
      </c>
      <c r="AC90" s="120">
        <f>IF($D90="","",IF(SUMPRODUCT(MAX(($D$4:$D$810=$D90)*($B$4:$B$810&lt;$B90)*$B$4:$B$810))=0,0,MAX(($B90-MAX(SUMPRODUCT(MAX(($D$4:$D$810=$D90)*($B$4:$B$810&lt;$B90)*$B$4:$B$810)),'Guide &amp; Settings'!$C$50))/7-'Guide &amp; Settings'!$C$48,0)*'Guide &amp; Settings'!$C$49))</f>
        <v>0</v>
      </c>
    </row>
    <row r="91" spans="1:29" ht="15" customHeight="1" x14ac:dyDescent="0.2">
      <c r="A91" s="111">
        <v>40</v>
      </c>
      <c r="B91" s="112">
        <v>46176</v>
      </c>
      <c r="C91" s="113" t="s">
        <v>185</v>
      </c>
      <c r="D91" s="113" t="s">
        <v>167</v>
      </c>
      <c r="E91" s="111" t="s">
        <v>309</v>
      </c>
      <c r="F91" s="114">
        <f t="shared" si="17"/>
        <v>2</v>
      </c>
      <c r="G91" s="115" t="str">
        <f t="shared" si="18"/>
        <v>Daniel (Ferret)</v>
      </c>
      <c r="H91" s="116">
        <f>IF($D91="",0,IFERROR(LOOKUP(2,1/(($D$3:D90=$D91)*($A$3:A90&lt;$A91)),$N$3:N90),'Guide &amp; Settings'!$C$41))</f>
        <v>1041.8288256187427</v>
      </c>
      <c r="I91" s="117">
        <f t="shared" si="19"/>
        <v>0.6</v>
      </c>
      <c r="J91" s="118">
        <f>IF($D91="",0,IF($F91&lt;2,0,IF($E91="Win",('Guide &amp; Settings'!$C$42/(($F91-1)*COUNTIFS($A$4:$A$810,$A91,$E$4:$E$810,"Win")))*SUMIFS($X$4:$X$810,$A$4:$A$810,$A91,$E$4:$E$810,"Loss"),-('Guide &amp; Settings'!$C$42/($F91-1))*$X91)))</f>
        <v>-19.692275797138912</v>
      </c>
      <c r="K91" s="118">
        <f>IF($D91="",0,'Guide &amp; Settings'!$C$43*(IF($E91="Win",1,0)-$I91))</f>
        <v>-7.1999999999999993</v>
      </c>
      <c r="L91" s="119">
        <f>IF($D91="",0,'Guide &amp; Settings'!$C$44*IF($F91&gt;=3,$F91,0))</f>
        <v>0</v>
      </c>
      <c r="M91" s="118">
        <f t="shared" si="20"/>
        <v>-26.892275797138911</v>
      </c>
      <c r="N91" s="116">
        <f t="shared" si="21"/>
        <v>1014.9365498216038</v>
      </c>
      <c r="O91" s="115" t="str">
        <f t="shared" si="22"/>
        <v>OK</v>
      </c>
      <c r="P91">
        <f t="shared" si="23"/>
        <v>956.9534706384876</v>
      </c>
      <c r="Q91">
        <f t="shared" si="24"/>
        <v>0.61977228801065409</v>
      </c>
      <c r="R91">
        <f t="shared" si="25"/>
        <v>0.75</v>
      </c>
      <c r="S91">
        <f t="shared" si="26"/>
        <v>1.25</v>
      </c>
      <c r="T91" s="83">
        <f t="shared" si="27"/>
        <v>2</v>
      </c>
      <c r="U91" s="120">
        <f>IF($D91="",0,IFERROR(LOOKUP(2,1/(($D$3:D90=$D91)*($C$3:C90=$C91)*($A$3:A90&lt;$A91)),$AB$3:AB90),1000))</f>
        <v>1030.5304984710244</v>
      </c>
      <c r="V91" s="120">
        <f t="shared" si="28"/>
        <v>1038.600732147966</v>
      </c>
      <c r="W91">
        <f t="shared" si="29"/>
        <v>956.9534706384876</v>
      </c>
      <c r="X91">
        <f t="shared" si="30"/>
        <v>0.61538361866059099</v>
      </c>
      <c r="Y91">
        <f t="shared" si="31"/>
        <v>1000</v>
      </c>
      <c r="Z91">
        <f t="shared" si="32"/>
        <v>0.54382417651268822</v>
      </c>
      <c r="AA91">
        <f>IF($D91="",0,IF($F91&lt;2,0,IF($E91="Win",('Guide &amp; Settings'!$C$42/(($F91-1)*COUNTIFS($A$4:$A$810,$A91,$E$4:$E$810,"Win")))*SUMIFS($Z$4:$Z$810,$A$4:$A$810,$A91,$E$4:$E$810,"Loss"),-('Guide &amp; Settings'!$C$42/($F91-1))*$Z91)))</f>
        <v>-17.402373648406023</v>
      </c>
      <c r="AB91" s="120">
        <f t="shared" si="33"/>
        <v>1013.1281248226184</v>
      </c>
      <c r="AC91" s="120">
        <f>IF($D91="","",IF(SUMPRODUCT(MAX(($D$4:$D$810=$D91)*($B$4:$B$810&lt;$B91)*$B$4:$B$810))=0,0,MAX(($B91-MAX(SUMPRODUCT(MAX(($D$4:$D$810=$D91)*($B$4:$B$810&lt;$B91)*$B$4:$B$810)),'Guide &amp; Settings'!$C$50))/7-'Guide &amp; Settings'!$C$48,0)*'Guide &amp; Settings'!$C$49))</f>
        <v>0</v>
      </c>
    </row>
    <row r="92" spans="1:29" ht="15" customHeight="1" x14ac:dyDescent="0.2">
      <c r="A92" s="111">
        <v>41</v>
      </c>
      <c r="B92" s="112">
        <v>46176</v>
      </c>
      <c r="C92" s="113" t="s">
        <v>195</v>
      </c>
      <c r="D92" s="113" t="s">
        <v>170</v>
      </c>
      <c r="E92" s="111" t="s">
        <v>309</v>
      </c>
      <c r="F92" s="114">
        <f t="shared" si="17"/>
        <v>2</v>
      </c>
      <c r="G92" s="115" t="str">
        <f t="shared" si="18"/>
        <v>Josh</v>
      </c>
      <c r="H92" s="116">
        <f>IF($D92="",0,IFERROR(LOOKUP(2,1/(($D$3:D91=$D92)*($A$3:A91&lt;$A92)),$N$3:N91),'Guide &amp; Settings'!$C$41))</f>
        <v>983.84574643562655</v>
      </c>
      <c r="I92" s="117">
        <f t="shared" si="19"/>
        <v>0.2156862745098039</v>
      </c>
      <c r="J92" s="118">
        <f>IF($D92="",0,IF($F92&lt;2,0,IF($E92="Win",('Guide &amp; Settings'!$C$42/(($F92-1)*COUNTIFS($A$4:$A$810,$A92,$E$4:$E$810,"Win")))*SUMIFS($X$4:$X$810,$A$4:$A$810,$A92,$E$4:$E$810,"Loss"),-('Guide &amp; Settings'!$C$42/($F92-1))*$X92)))</f>
        <v>-9.0330863464274316</v>
      </c>
      <c r="K92" s="118">
        <f>IF($D92="",0,'Guide &amp; Settings'!$C$43*(IF($E92="Win",1,0)-$I92))</f>
        <v>-2.5882352941176467</v>
      </c>
      <c r="L92" s="119">
        <f>IF($D92="",0,'Guide &amp; Settings'!$C$44*IF($F92&gt;=3,$F92,0))</f>
        <v>0</v>
      </c>
      <c r="M92" s="118">
        <f t="shared" si="20"/>
        <v>-11.621321640545078</v>
      </c>
      <c r="N92" s="116">
        <f t="shared" si="21"/>
        <v>972.22442479508152</v>
      </c>
      <c r="O92" s="115" t="str">
        <f t="shared" si="22"/>
        <v>OK</v>
      </c>
      <c r="P92">
        <f t="shared" si="23"/>
        <v>1159.0861564772949</v>
      </c>
      <c r="Q92">
        <f t="shared" si="24"/>
        <v>0.26722163340474847</v>
      </c>
      <c r="R92">
        <f t="shared" si="25"/>
        <v>0.25</v>
      </c>
      <c r="S92">
        <f t="shared" si="26"/>
        <v>1.1590909090909092</v>
      </c>
      <c r="T92" s="83">
        <f t="shared" si="27"/>
        <v>6</v>
      </c>
      <c r="U92" s="120">
        <f>IF($D92="",0,IFERROR(LOOKUP(2,1/(($D$3:D91=$D92)*($C$3:C91=$C92)*($A$3:A91&lt;$A92)),$AB$3:AB91),1000))</f>
        <v>950.92188476569459</v>
      </c>
      <c r="V92" s="120">
        <f t="shared" si="28"/>
        <v>965.8872764338455</v>
      </c>
      <c r="W92">
        <f t="shared" si="29"/>
        <v>1127.993866832602</v>
      </c>
      <c r="X92">
        <f t="shared" si="30"/>
        <v>0.28228394832585724</v>
      </c>
      <c r="Y92">
        <f t="shared" si="31"/>
        <v>1110.7203725855504</v>
      </c>
      <c r="Z92">
        <f t="shared" si="32"/>
        <v>0.28498356024449356</v>
      </c>
      <c r="AA92">
        <f>IF($D92="",0,IF($F92&lt;2,0,IF($E92="Win",('Guide &amp; Settings'!$C$42/(($F92-1)*COUNTIFS($A$4:$A$810,$A92,$E$4:$E$810,"Win")))*SUMIFS($Z$4:$Z$810,$A$4:$A$810,$A92,$E$4:$E$810,"Loss"),-('Guide &amp; Settings'!$C$42/($F92-1))*$Z92)))</f>
        <v>-9.119473927823794</v>
      </c>
      <c r="AB92" s="120">
        <f t="shared" si="33"/>
        <v>941.80241083787075</v>
      </c>
      <c r="AC92" s="120">
        <f>IF($D92="","",IF(SUMPRODUCT(MAX(($D$4:$D$810=$D92)*($B$4:$B$810&lt;$B92)*$B$4:$B$810))=0,0,MAX(($B92-MAX(SUMPRODUCT(MAX(($D$4:$D$810=$D92)*($B$4:$B$810&lt;$B92)*$B$4:$B$810)),'Guide &amp; Settings'!$C$50))/7-'Guide &amp; Settings'!$C$48,0)*'Guide &amp; Settings'!$C$49))</f>
        <v>0</v>
      </c>
    </row>
    <row r="93" spans="1:29" ht="15" customHeight="1" x14ac:dyDescent="0.2">
      <c r="A93" s="111">
        <v>41</v>
      </c>
      <c r="B93" s="112">
        <v>46176</v>
      </c>
      <c r="C93" s="113" t="s">
        <v>195</v>
      </c>
      <c r="D93" s="113" t="s">
        <v>137</v>
      </c>
      <c r="E93" s="111" t="s">
        <v>308</v>
      </c>
      <c r="F93" s="114">
        <f t="shared" si="17"/>
        <v>2</v>
      </c>
      <c r="G93" s="115" t="str">
        <f t="shared" si="18"/>
        <v>Josh</v>
      </c>
      <c r="H93" s="116">
        <f>IF($D93="",0,IFERROR(LOOKUP(2,1/(($D$3:D92=$D93)*($A$3:A92&lt;$A93)),$N$3:N92),'Guide &amp; Settings'!$C$41))</f>
        <v>1159.0861564772949</v>
      </c>
      <c r="I93" s="117">
        <f t="shared" si="19"/>
        <v>0.78431372549019596</v>
      </c>
      <c r="J93" s="118">
        <f>IF($D93="",0,IF($F93&lt;2,0,IF($E93="Win",('Guide &amp; Settings'!$C$42/(($F93-1)*COUNTIFS($A$4:$A$810,$A93,$E$4:$E$810,"Win")))*SUMIFS($X$4:$X$810,$A$4:$A$810,$A93,$E$4:$E$810,"Loss"),-('Guide &amp; Settings'!$C$42/($F93-1))*$X93)))</f>
        <v>9.0330863464274316</v>
      </c>
      <c r="K93" s="118">
        <f>IF($D93="",0,'Guide &amp; Settings'!$C$43*(IF($E93="Win",1,0)-$I93))</f>
        <v>2.5882352941176485</v>
      </c>
      <c r="L93" s="119">
        <f>IF($D93="",0,'Guide &amp; Settings'!$C$44*IF($F93&gt;=3,$F93,0))</f>
        <v>0</v>
      </c>
      <c r="M93" s="118">
        <f t="shared" si="20"/>
        <v>11.62132164054508</v>
      </c>
      <c r="N93" s="116">
        <f t="shared" si="21"/>
        <v>1170.7074781178401</v>
      </c>
      <c r="O93" s="115" t="str">
        <f t="shared" si="22"/>
        <v>OK</v>
      </c>
      <c r="P93">
        <f t="shared" si="23"/>
        <v>1159.0861564772949</v>
      </c>
      <c r="Q93">
        <f t="shared" si="24"/>
        <v>0.5</v>
      </c>
      <c r="R93">
        <f t="shared" si="25"/>
        <v>0.90909090909090906</v>
      </c>
      <c r="S93">
        <f t="shared" si="26"/>
        <v>1.1590909090909092</v>
      </c>
      <c r="T93" s="83">
        <f t="shared" si="27"/>
        <v>9</v>
      </c>
      <c r="U93" s="120">
        <f>IF($D93="",0,IFERROR(LOOKUP(2,1/(($D$3:D92=$D93)*($C$3:C92=$C93)*($A$3:A92&lt;$A93)),$AB$3:AB92),1000))</f>
        <v>1110.7203725855504</v>
      </c>
      <c r="V93" s="120">
        <f t="shared" si="28"/>
        <v>1127.993866832602</v>
      </c>
      <c r="W93">
        <f t="shared" si="29"/>
        <v>1127.993866832602</v>
      </c>
      <c r="X93">
        <f t="shared" si="30"/>
        <v>0.5</v>
      </c>
      <c r="Y93">
        <f t="shared" si="31"/>
        <v>1110.7203725855504</v>
      </c>
      <c r="Z93">
        <f t="shared" si="32"/>
        <v>0.5</v>
      </c>
      <c r="AA93">
        <f>IF($D93="",0,IF($F93&lt;2,0,IF($E93="Win",('Guide &amp; Settings'!$C$42/(($F93-1)*COUNTIFS($A$4:$A$810,$A93,$E$4:$E$810,"Win")))*SUMIFS($Z$4:$Z$810,$A$4:$A$810,$A93,$E$4:$E$810,"Loss"),-('Guide &amp; Settings'!$C$42/($F93-1))*$Z93)))</f>
        <v>9.119473927823794</v>
      </c>
      <c r="AB93" s="120">
        <f t="shared" si="33"/>
        <v>1119.8398465133741</v>
      </c>
      <c r="AC93" s="120">
        <f>IF($D93="","",IF(SUMPRODUCT(MAX(($D$4:$D$810=$D93)*($B$4:$B$810&lt;$B93)*$B$4:$B$810))=0,0,MAX(($B93-MAX(SUMPRODUCT(MAX(($D$4:$D$810=$D93)*($B$4:$B$810&lt;$B93)*$B$4:$B$810)),'Guide &amp; Settings'!$C$50))/7-'Guide &amp; Settings'!$C$48,0)*'Guide &amp; Settings'!$C$49))</f>
        <v>0</v>
      </c>
    </row>
    <row r="94" spans="1:29" ht="15" customHeight="1" x14ac:dyDescent="0.2">
      <c r="A94" s="111">
        <v>42</v>
      </c>
      <c r="B94" s="112">
        <v>46176</v>
      </c>
      <c r="C94" s="113" t="s">
        <v>195</v>
      </c>
      <c r="D94" s="113" t="s">
        <v>137</v>
      </c>
      <c r="E94" s="111" t="s">
        <v>308</v>
      </c>
      <c r="F94" s="114">
        <f t="shared" si="17"/>
        <v>2</v>
      </c>
      <c r="G94" s="115" t="str">
        <f t="shared" si="18"/>
        <v>Josh</v>
      </c>
      <c r="H94" s="116">
        <f>IF($D94="",0,IFERROR(LOOKUP(2,1/(($D$3:D93=$D94)*($A$3:A93&lt;$A94)),$N$3:N93),'Guide &amp; Settings'!$C$41))</f>
        <v>1170.7074781178401</v>
      </c>
      <c r="I94" s="117">
        <f t="shared" si="19"/>
        <v>0.6470588235294118</v>
      </c>
      <c r="J94" s="118">
        <f>IF($D94="",0,IF($F94&lt;2,0,IF($E94="Win",('Guide &amp; Settings'!$C$42/(($F94-1)*COUNTIFS($A$4:$A$810,$A94,$E$4:$E$810,"Win")))*SUMIFS($X$4:$X$810,$A$4:$A$810,$A94,$E$4:$E$810,"Loss"),-('Guide &amp; Settings'!$C$42/($F94-1))*$X94)))</f>
        <v>10.607509233470266</v>
      </c>
      <c r="K94" s="118">
        <f>IF($D94="",0,'Guide &amp; Settings'!$C$43*(IF($E94="Win",1,0)-$I94))</f>
        <v>4.235294117647058</v>
      </c>
      <c r="L94" s="119">
        <f>IF($D94="",0,'Guide &amp; Settings'!$C$44*IF($F94&gt;=3,$F94,0))</f>
        <v>0</v>
      </c>
      <c r="M94" s="118">
        <f t="shared" si="20"/>
        <v>14.842803351117324</v>
      </c>
      <c r="N94" s="116">
        <f t="shared" si="21"/>
        <v>1185.5502814689573</v>
      </c>
      <c r="O94" s="115" t="str">
        <f t="shared" si="22"/>
        <v>OK</v>
      </c>
      <c r="P94">
        <f t="shared" si="23"/>
        <v>1170.7074781178401</v>
      </c>
      <c r="Q94">
        <f t="shared" si="24"/>
        <v>0.5</v>
      </c>
      <c r="R94">
        <f t="shared" si="25"/>
        <v>0.91666666666666663</v>
      </c>
      <c r="S94">
        <f t="shared" si="26"/>
        <v>1.4166666666666665</v>
      </c>
      <c r="T94" s="83">
        <f t="shared" si="27"/>
        <v>10</v>
      </c>
      <c r="U94" s="120">
        <f>IF($D94="",0,IFERROR(LOOKUP(2,1/(($D$3:D93=$D94)*($C$3:C93=$C94)*($A$3:A93&lt;$A94)),$AB$3:AB93),1000))</f>
        <v>1119.8398465133741</v>
      </c>
      <c r="V94" s="120">
        <f t="shared" si="28"/>
        <v>1136.7957237148628</v>
      </c>
      <c r="W94">
        <f t="shared" si="29"/>
        <v>1136.7957237148628</v>
      </c>
      <c r="X94">
        <f t="shared" si="30"/>
        <v>0.5</v>
      </c>
      <c r="Y94">
        <f t="shared" si="31"/>
        <v>1119.8398465133741</v>
      </c>
      <c r="Z94">
        <f t="shared" si="32"/>
        <v>0.5</v>
      </c>
      <c r="AA94">
        <f>IF($D94="",0,IF($F94&lt;2,0,IF($E94="Win",('Guide &amp; Settings'!$C$42/(($F94-1)*COUNTIFS($A$4:$A$810,$A94,$E$4:$E$810,"Win")))*SUMIFS($Z$4:$Z$810,$A$4:$A$810,$A94,$E$4:$E$810,"Loss"),-('Guide &amp; Settings'!$C$42/($F94-1))*$Z94)))</f>
        <v>10.690100452875011</v>
      </c>
      <c r="AB94" s="120">
        <f t="shared" si="33"/>
        <v>1130.5299469662491</v>
      </c>
      <c r="AC94" s="120">
        <f>IF($D94="","",IF(SUMPRODUCT(MAX(($D$4:$D$810=$D94)*($B$4:$B$810&lt;$B94)*$B$4:$B$810))=0,0,MAX(($B94-MAX(SUMPRODUCT(MAX(($D$4:$D$810=$D94)*($B$4:$B$810&lt;$B94)*$B$4:$B$810)),'Guide &amp; Settings'!$C$50))/7-'Guide &amp; Settings'!$C$48,0)*'Guide &amp; Settings'!$C$49))</f>
        <v>0</v>
      </c>
    </row>
    <row r="95" spans="1:29" ht="15" customHeight="1" x14ac:dyDescent="0.2">
      <c r="A95" s="111">
        <v>42</v>
      </c>
      <c r="B95" s="112">
        <v>46176</v>
      </c>
      <c r="C95" s="113" t="s">
        <v>195</v>
      </c>
      <c r="D95" s="113" t="s">
        <v>167</v>
      </c>
      <c r="E95" s="111" t="s">
        <v>309</v>
      </c>
      <c r="F95" s="114">
        <f t="shared" si="17"/>
        <v>2</v>
      </c>
      <c r="G95" s="115" t="str">
        <f t="shared" si="18"/>
        <v>Josh</v>
      </c>
      <c r="H95" s="116">
        <f>IF($D95="",0,IFERROR(LOOKUP(2,1/(($D$3:D94=$D95)*($A$3:A94&lt;$A95)),$N$3:N94),'Guide &amp; Settings'!$C$41))</f>
        <v>1014.9365498216038</v>
      </c>
      <c r="I95" s="117">
        <f t="shared" si="19"/>
        <v>0.35294117647058826</v>
      </c>
      <c r="J95" s="118">
        <f>IF($D95="",0,IF($F95&lt;2,0,IF($E95="Win",('Guide &amp; Settings'!$C$42/(($F95-1)*COUNTIFS($A$4:$A$810,$A95,$E$4:$E$810,"Win")))*SUMIFS($X$4:$X$810,$A$4:$A$810,$A95,$E$4:$E$810,"Loss"),-('Guide &amp; Settings'!$C$42/($F95-1))*$X95)))</f>
        <v>-10.607509233470266</v>
      </c>
      <c r="K95" s="118">
        <f>IF($D95="",0,'Guide &amp; Settings'!$C$43*(IF($E95="Win",1,0)-$I95))</f>
        <v>-4.2352941176470589</v>
      </c>
      <c r="L95" s="119">
        <f>IF($D95="",0,'Guide &amp; Settings'!$C$44*IF($F95&gt;=3,$F95,0))</f>
        <v>0</v>
      </c>
      <c r="M95" s="118">
        <f t="shared" si="20"/>
        <v>-14.842803351117325</v>
      </c>
      <c r="N95" s="116">
        <f t="shared" si="21"/>
        <v>1000.0937464704864</v>
      </c>
      <c r="O95" s="115" t="str">
        <f t="shared" si="22"/>
        <v>OK</v>
      </c>
      <c r="P95">
        <f t="shared" si="23"/>
        <v>1170.7074781178401</v>
      </c>
      <c r="Q95">
        <f t="shared" si="24"/>
        <v>0.28973127198441301</v>
      </c>
      <c r="R95">
        <f t="shared" si="25"/>
        <v>0.5</v>
      </c>
      <c r="S95">
        <f t="shared" si="26"/>
        <v>1.4166666666666665</v>
      </c>
      <c r="T95" s="83">
        <f t="shared" si="27"/>
        <v>0</v>
      </c>
      <c r="U95" s="120">
        <f>IF($D95="",0,IFERROR(LOOKUP(2,1/(($D$3:D94=$D95)*($C$3:C94=$C95)*($A$3:A94&lt;$A95)),$AB$3:AB94),1000))</f>
        <v>1000</v>
      </c>
      <c r="V95" s="120">
        <f t="shared" si="28"/>
        <v>1014.9365498216038</v>
      </c>
      <c r="W95">
        <f t="shared" si="29"/>
        <v>1136.7957237148628</v>
      </c>
      <c r="X95">
        <f t="shared" si="30"/>
        <v>0.3314846635459458</v>
      </c>
      <c r="Y95">
        <f t="shared" si="31"/>
        <v>1119.8398465133741</v>
      </c>
      <c r="Z95">
        <f t="shared" si="32"/>
        <v>0.33406563915234411</v>
      </c>
      <c r="AA95">
        <f>IF($D95="",0,IF($F95&lt;2,0,IF($E95="Win",('Guide &amp; Settings'!$C$42/(($F95-1)*COUNTIFS($A$4:$A$810,$A95,$E$4:$E$810,"Win")))*SUMIFS($Z$4:$Z$810,$A$4:$A$810,$A95,$E$4:$E$810,"Loss"),-('Guide &amp; Settings'!$C$42/($F95-1))*$Z95)))</f>
        <v>-10.690100452875011</v>
      </c>
      <c r="AB95" s="120">
        <f t="shared" si="33"/>
        <v>989.30989954712504</v>
      </c>
      <c r="AC95" s="120">
        <f>IF($D95="","",IF(SUMPRODUCT(MAX(($D$4:$D$810=$D95)*($B$4:$B$810&lt;$B95)*$B$4:$B$810))=0,0,MAX(($B95-MAX(SUMPRODUCT(MAX(($D$4:$D$810=$D95)*($B$4:$B$810&lt;$B95)*$B$4:$B$810)),'Guide &amp; Settings'!$C$50))/7-'Guide &amp; Settings'!$C$48,0)*'Guide &amp; Settings'!$C$49))</f>
        <v>0</v>
      </c>
    </row>
    <row r="96" spans="1:29" ht="15" customHeight="1" x14ac:dyDescent="0.2">
      <c r="A96" s="111">
        <v>43</v>
      </c>
      <c r="B96" s="112">
        <v>46176</v>
      </c>
      <c r="C96" s="113" t="s">
        <v>195</v>
      </c>
      <c r="D96" s="113" t="s">
        <v>137</v>
      </c>
      <c r="E96" s="111" t="s">
        <v>309</v>
      </c>
      <c r="F96" s="114">
        <f t="shared" si="17"/>
        <v>2</v>
      </c>
      <c r="G96" s="115" t="str">
        <f t="shared" si="18"/>
        <v>Dean B</v>
      </c>
      <c r="H96" s="116">
        <f>IF($D96="",0,IFERROR(LOOKUP(2,1/(($D$3:D95=$D96)*($A$3:A95&lt;$A96)),$N$3:N95),'Guide &amp; Settings'!$C$41))</f>
        <v>1185.5502814689573</v>
      </c>
      <c r="I96" s="117">
        <f t="shared" si="19"/>
        <v>0.73469387755102045</v>
      </c>
      <c r="J96" s="118">
        <f>IF($D96="",0,IF($F96&lt;2,0,IF($E96="Win",('Guide &amp; Settings'!$C$42/(($F96-1)*COUNTIFS($A$4:$A$810,$A96,$E$4:$E$810,"Win")))*SUMIFS($X$4:$X$810,$A$4:$A$810,$A96,$E$4:$E$810,"Loss"),-('Guide &amp; Settings'!$C$42/($F96-1))*$X96)))</f>
        <v>-22.486297831382991</v>
      </c>
      <c r="K96" s="118">
        <f>IF($D96="",0,'Guide &amp; Settings'!$C$43*(IF($E96="Win",1,0)-$I96))</f>
        <v>-8.8163265306122458</v>
      </c>
      <c r="L96" s="119">
        <f>IF($D96="",0,'Guide &amp; Settings'!$C$44*IF($F96&gt;=3,$F96,0))</f>
        <v>0</v>
      </c>
      <c r="M96" s="118">
        <f t="shared" si="20"/>
        <v>-31.302624361995235</v>
      </c>
      <c r="N96" s="116">
        <f t="shared" si="21"/>
        <v>1154.2476571069622</v>
      </c>
      <c r="O96" s="115" t="str">
        <f t="shared" si="22"/>
        <v>OK</v>
      </c>
      <c r="P96">
        <f t="shared" si="23"/>
        <v>1000.0937464704864</v>
      </c>
      <c r="Q96">
        <f t="shared" si="24"/>
        <v>0.74413521398147953</v>
      </c>
      <c r="R96">
        <f t="shared" si="25"/>
        <v>0.92307692307692313</v>
      </c>
      <c r="S96">
        <f t="shared" si="26"/>
        <v>1.2564102564102564</v>
      </c>
      <c r="T96" s="83">
        <f t="shared" si="27"/>
        <v>11</v>
      </c>
      <c r="U96" s="120">
        <f>IF($D96="",0,IFERROR(LOOKUP(2,1/(($D$3:D95=$D96)*($C$3:C95=$C96)*($A$3:A95&lt;$A96)),$AB$3:AB95),1000))</f>
        <v>1130.5299469662491</v>
      </c>
      <c r="V96" s="120">
        <f t="shared" si="28"/>
        <v>1147.7238014983454</v>
      </c>
      <c r="W96">
        <f t="shared" si="29"/>
        <v>998.29643864992624</v>
      </c>
      <c r="X96">
        <f t="shared" si="30"/>
        <v>0.70269680723071848</v>
      </c>
      <c r="Y96">
        <f t="shared" si="31"/>
        <v>989.30989954712504</v>
      </c>
      <c r="Z96">
        <f t="shared" si="32"/>
        <v>0.69273307938070139</v>
      </c>
      <c r="AA96">
        <f>IF($D96="",0,IF($F96&lt;2,0,IF($E96="Win",('Guide &amp; Settings'!$C$42/(($F96-1)*COUNTIFS($A$4:$A$810,$A96,$E$4:$E$810,"Win")))*SUMIFS($Z$4:$Z$810,$A$4:$A$810,$A96,$E$4:$E$810,"Loss"),-('Guide &amp; Settings'!$C$42/($F96-1))*$Z96)))</f>
        <v>-22.167458540182444</v>
      </c>
      <c r="AB96" s="120">
        <f t="shared" si="33"/>
        <v>1108.3624884260666</v>
      </c>
      <c r="AC96" s="120">
        <f>IF($D96="","",IF(SUMPRODUCT(MAX(($D$4:$D$810=$D96)*($B$4:$B$810&lt;$B96)*$B$4:$B$810))=0,0,MAX(($B96-MAX(SUMPRODUCT(MAX(($D$4:$D$810=$D96)*($B$4:$B$810&lt;$B96)*$B$4:$B$810)),'Guide &amp; Settings'!$C$50))/7-'Guide &amp; Settings'!$C$48,0)*'Guide &amp; Settings'!$C$49))</f>
        <v>0</v>
      </c>
    </row>
    <row r="97" spans="1:29" ht="15" customHeight="1" x14ac:dyDescent="0.2">
      <c r="A97" s="111">
        <v>43</v>
      </c>
      <c r="B97" s="112">
        <v>46176</v>
      </c>
      <c r="C97" s="113" t="s">
        <v>195</v>
      </c>
      <c r="D97" s="113" t="s">
        <v>167</v>
      </c>
      <c r="E97" s="111" t="s">
        <v>308</v>
      </c>
      <c r="F97" s="114">
        <f t="shared" si="17"/>
        <v>2</v>
      </c>
      <c r="G97" s="115" t="str">
        <f t="shared" si="18"/>
        <v>Dean B</v>
      </c>
      <c r="H97" s="116">
        <f>IF($D97="",0,IFERROR(LOOKUP(2,1/(($D$3:D96=$D97)*($A$3:A96&lt;$A97)),$N$3:N96),'Guide &amp; Settings'!$C$41))</f>
        <v>1000.0937464704864</v>
      </c>
      <c r="I97" s="117">
        <f t="shared" si="19"/>
        <v>0.26530612244897961</v>
      </c>
      <c r="J97" s="118">
        <f>IF($D97="",0,IF($F97&lt;2,0,IF($E97="Win",('Guide &amp; Settings'!$C$42/(($F97-1)*COUNTIFS($A$4:$A$810,$A97,$E$4:$E$810,"Win")))*SUMIFS($X$4:$X$810,$A$4:$A$810,$A97,$E$4:$E$810,"Loss"),-('Guide &amp; Settings'!$C$42/($F97-1))*$X97)))</f>
        <v>22.486297831382991</v>
      </c>
      <c r="K97" s="118">
        <f>IF($D97="",0,'Guide &amp; Settings'!$C$43*(IF($E97="Win",1,0)-$I97))</f>
        <v>8.816326530612244</v>
      </c>
      <c r="L97" s="119">
        <f>IF($D97="",0,'Guide &amp; Settings'!$C$44*IF($F97&gt;=3,$F97,0))</f>
        <v>0</v>
      </c>
      <c r="M97" s="118">
        <f t="shared" si="20"/>
        <v>31.302624361995235</v>
      </c>
      <c r="N97" s="116">
        <f t="shared" si="21"/>
        <v>1031.3963708324816</v>
      </c>
      <c r="O97" s="115" t="str">
        <f t="shared" si="22"/>
        <v>OK</v>
      </c>
      <c r="P97">
        <f t="shared" si="23"/>
        <v>1000.0937464704864</v>
      </c>
      <c r="Q97">
        <f t="shared" si="24"/>
        <v>0.5</v>
      </c>
      <c r="R97">
        <f t="shared" si="25"/>
        <v>0.33333333333333331</v>
      </c>
      <c r="S97">
        <f t="shared" si="26"/>
        <v>1.2564102564102564</v>
      </c>
      <c r="T97" s="83">
        <f t="shared" si="27"/>
        <v>1</v>
      </c>
      <c r="U97" s="120">
        <f>IF($D97="",0,IFERROR(LOOKUP(2,1/(($D$3:D96=$D97)*($C$3:C96=$C97)*($A$3:A96&lt;$A97)),$AB$3:AB96),1000))</f>
        <v>989.30989954712504</v>
      </c>
      <c r="V97" s="120">
        <f t="shared" si="28"/>
        <v>998.29643864992624</v>
      </c>
      <c r="W97">
        <f t="shared" si="29"/>
        <v>998.29643864992624</v>
      </c>
      <c r="X97">
        <f t="shared" si="30"/>
        <v>0.5</v>
      </c>
      <c r="Y97">
        <f t="shared" si="31"/>
        <v>989.30989954712504</v>
      </c>
      <c r="Z97">
        <f t="shared" si="32"/>
        <v>0.5</v>
      </c>
      <c r="AA97">
        <f>IF($D97="",0,IF($F97&lt;2,0,IF($E97="Win",('Guide &amp; Settings'!$C$42/(($F97-1)*COUNTIFS($A$4:$A$810,$A97,$E$4:$E$810,"Win")))*SUMIFS($Z$4:$Z$810,$A$4:$A$810,$A97,$E$4:$E$810,"Loss"),-('Guide &amp; Settings'!$C$42/($F97-1))*$Z97)))</f>
        <v>22.167458540182444</v>
      </c>
      <c r="AB97" s="120">
        <f t="shared" si="33"/>
        <v>1011.4773580873075</v>
      </c>
      <c r="AC97" s="120">
        <f>IF($D97="","",IF(SUMPRODUCT(MAX(($D$4:$D$810=$D97)*($B$4:$B$810&lt;$B97)*$B$4:$B$810))=0,0,MAX(($B97-MAX(SUMPRODUCT(MAX(($D$4:$D$810=$D97)*($B$4:$B$810&lt;$B97)*$B$4:$B$810)),'Guide &amp; Settings'!$C$50))/7-'Guide &amp; Settings'!$C$48,0)*'Guide &amp; Settings'!$C$49))</f>
        <v>0</v>
      </c>
    </row>
    <row r="98" spans="1:29" ht="15" customHeight="1" x14ac:dyDescent="0.2">
      <c r="A98" s="111">
        <v>44</v>
      </c>
      <c r="B98" s="112">
        <v>46176</v>
      </c>
      <c r="C98" s="113" t="s">
        <v>195</v>
      </c>
      <c r="D98" s="113" t="s">
        <v>137</v>
      </c>
      <c r="E98" s="111" t="s">
        <v>308</v>
      </c>
      <c r="F98" s="114">
        <f t="shared" si="17"/>
        <v>2</v>
      </c>
      <c r="G98" s="115" t="str">
        <f t="shared" si="18"/>
        <v>Josh</v>
      </c>
      <c r="H98" s="116">
        <f>IF($D98="",0,IFERROR(LOOKUP(2,1/(($D$3:D97=$D98)*($A$3:A97&lt;$A98)),$N$3:N97),'Guide &amp; Settings'!$C$41))</f>
        <v>1154.2476571069622</v>
      </c>
      <c r="I98" s="117">
        <f t="shared" si="19"/>
        <v>0.5625</v>
      </c>
      <c r="J98" s="118">
        <f>IF($D98="",0,IF($F98&lt;2,0,IF($E98="Win",('Guide &amp; Settings'!$C$42/(($F98-1)*COUNTIFS($A$4:$A$810,$A98,$E$4:$E$810,"Win")))*SUMIFS($X$4:$X$810,$A$4:$A$810,$A98,$E$4:$E$810,"Loss"),-('Guide &amp; Settings'!$C$42/($F98-1))*$X98)))</f>
        <v>10.042502896120206</v>
      </c>
      <c r="K98" s="118">
        <f>IF($D98="",0,'Guide &amp; Settings'!$C$43*(IF($E98="Win",1,0)-$I98))</f>
        <v>5.25</v>
      </c>
      <c r="L98" s="119">
        <f>IF($D98="",0,'Guide &amp; Settings'!$C$44*IF($F98&gt;=3,$F98,0))</f>
        <v>0</v>
      </c>
      <c r="M98" s="118">
        <f t="shared" si="20"/>
        <v>15.292502896120206</v>
      </c>
      <c r="N98" s="116">
        <f t="shared" si="21"/>
        <v>1169.5401600030823</v>
      </c>
      <c r="O98" s="115" t="str">
        <f t="shared" si="22"/>
        <v>OK</v>
      </c>
      <c r="P98">
        <f t="shared" si="23"/>
        <v>1154.2476571069622</v>
      </c>
      <c r="Q98">
        <f t="shared" si="24"/>
        <v>0.5</v>
      </c>
      <c r="R98">
        <f t="shared" si="25"/>
        <v>0.8571428571428571</v>
      </c>
      <c r="S98">
        <f t="shared" si="26"/>
        <v>1.5238095238095237</v>
      </c>
      <c r="T98" s="83">
        <f t="shared" si="27"/>
        <v>12</v>
      </c>
      <c r="U98" s="120">
        <f>IF($D98="",0,IFERROR(LOOKUP(2,1/(($D$3:D97=$D98)*($C$3:C97=$C98)*($A$3:A97&lt;$A98)),$AB$3:AB97),1000))</f>
        <v>1108.3624884260666</v>
      </c>
      <c r="V98" s="120">
        <f t="shared" si="28"/>
        <v>1121.8581262733887</v>
      </c>
      <c r="W98">
        <f t="shared" si="29"/>
        <v>1121.8581262733887</v>
      </c>
      <c r="X98">
        <f t="shared" si="30"/>
        <v>0.5</v>
      </c>
      <c r="Y98">
        <f t="shared" si="31"/>
        <v>1108.3624884260666</v>
      </c>
      <c r="Z98">
        <f t="shared" si="32"/>
        <v>0.5</v>
      </c>
      <c r="AA98">
        <f>IF($D98="",0,IF($F98&lt;2,0,IF($E98="Win",('Guide &amp; Settings'!$C$42/(($F98-1)*COUNTIFS($A$4:$A$810,$A98,$E$4:$E$810,"Win")))*SUMIFS($Z$4:$Z$810,$A$4:$A$810,$A98,$E$4:$E$810,"Loss"),-('Guide &amp; Settings'!$C$42/($F98-1))*$Z98)))</f>
        <v>11.843995360289181</v>
      </c>
      <c r="AB98" s="120">
        <f t="shared" si="33"/>
        <v>1120.2064837863559</v>
      </c>
      <c r="AC98" s="120">
        <f>IF($D98="","",IF(SUMPRODUCT(MAX(($D$4:$D$810=$D98)*($B$4:$B$810&lt;$B98)*$B$4:$B$810))=0,0,MAX(($B98-MAX(SUMPRODUCT(MAX(($D$4:$D$810=$D98)*($B$4:$B$810&lt;$B98)*$B$4:$B$810)),'Guide &amp; Settings'!$C$50))/7-'Guide &amp; Settings'!$C$48,0)*'Guide &amp; Settings'!$C$49))</f>
        <v>0</v>
      </c>
    </row>
    <row r="99" spans="1:29" ht="15" customHeight="1" x14ac:dyDescent="0.2">
      <c r="A99" s="111">
        <v>44</v>
      </c>
      <c r="B99" s="112">
        <v>46176</v>
      </c>
      <c r="C99" s="113" t="s">
        <v>195</v>
      </c>
      <c r="D99" s="113" t="s">
        <v>169</v>
      </c>
      <c r="E99" s="111" t="s">
        <v>309</v>
      </c>
      <c r="F99" s="114">
        <f t="shared" si="17"/>
        <v>2</v>
      </c>
      <c r="G99" s="115" t="str">
        <f t="shared" si="18"/>
        <v>Josh</v>
      </c>
      <c r="H99" s="116">
        <f>IF($D99="",0,IFERROR(LOOKUP(2,1/(($D$3:D98=$D99)*($A$3:A98&lt;$A99)),$N$3:N98),'Guide &amp; Settings'!$C$41))</f>
        <v>979.95413465100341</v>
      </c>
      <c r="I99" s="117">
        <f t="shared" si="19"/>
        <v>0.4375</v>
      </c>
      <c r="J99" s="118">
        <f>IF($D99="",0,IF($F99&lt;2,0,IF($E99="Win",('Guide &amp; Settings'!$C$42/(($F99-1)*COUNTIFS($A$4:$A$810,$A99,$E$4:$E$810,"Win")))*SUMIFS($X$4:$X$810,$A$4:$A$810,$A99,$E$4:$E$810,"Loss"),-('Guide &amp; Settings'!$C$42/($F99-1))*$X99)))</f>
        <v>-10.042502896120206</v>
      </c>
      <c r="K99" s="118">
        <f>IF($D99="",0,'Guide &amp; Settings'!$C$43*(IF($E99="Win",1,0)-$I99))</f>
        <v>-5.25</v>
      </c>
      <c r="L99" s="119">
        <f>IF($D99="",0,'Guide &amp; Settings'!$C$44*IF($F99&gt;=3,$F99,0))</f>
        <v>0</v>
      </c>
      <c r="M99" s="118">
        <f t="shared" si="20"/>
        <v>-15.292502896120206</v>
      </c>
      <c r="N99" s="116">
        <f t="shared" si="21"/>
        <v>964.66163175488316</v>
      </c>
      <c r="O99" s="115" t="str">
        <f t="shared" si="22"/>
        <v>OK</v>
      </c>
      <c r="P99">
        <f t="shared" si="23"/>
        <v>1154.2476571069622</v>
      </c>
      <c r="Q99">
        <f t="shared" si="24"/>
        <v>0.26829031587200602</v>
      </c>
      <c r="R99">
        <f t="shared" si="25"/>
        <v>0.66666666666666663</v>
      </c>
      <c r="S99">
        <f t="shared" si="26"/>
        <v>1.5238095238095237</v>
      </c>
      <c r="T99" s="83">
        <f t="shared" si="27"/>
        <v>1</v>
      </c>
      <c r="U99" s="120">
        <f>IF($D99="",0,IFERROR(LOOKUP(2,1/(($D$3:D98=$D99)*($C$3:C98=$C99)*($A$3:A98&lt;$A99)),$AB$3:AB98),1000))</f>
        <v>1016</v>
      </c>
      <c r="V99" s="120">
        <f t="shared" si="28"/>
        <v>985.96177887583622</v>
      </c>
      <c r="W99">
        <f t="shared" si="29"/>
        <v>1121.8581262733887</v>
      </c>
      <c r="X99">
        <f t="shared" si="30"/>
        <v>0.31382821550375645</v>
      </c>
      <c r="Y99">
        <f t="shared" si="31"/>
        <v>1108.3624884260666</v>
      </c>
      <c r="Z99">
        <f t="shared" si="32"/>
        <v>0.37012485500903691</v>
      </c>
      <c r="AA99">
        <f>IF($D99="",0,IF($F99&lt;2,0,IF($E99="Win",('Guide &amp; Settings'!$C$42/(($F99-1)*COUNTIFS($A$4:$A$810,$A99,$E$4:$E$810,"Win")))*SUMIFS($Z$4:$Z$810,$A$4:$A$810,$A99,$E$4:$E$810,"Loss"),-('Guide &amp; Settings'!$C$42/($F99-1))*$Z99)))</f>
        <v>-11.843995360289181</v>
      </c>
      <c r="AB99" s="120">
        <f t="shared" si="33"/>
        <v>1004.1560046397108</v>
      </c>
      <c r="AC99" s="120">
        <f>IF($D99="","",IF(SUMPRODUCT(MAX(($D$4:$D$810=$D99)*($B$4:$B$810&lt;$B99)*$B$4:$B$810))=0,0,MAX(($B99-MAX(SUMPRODUCT(MAX(($D$4:$D$810=$D99)*($B$4:$B$810&lt;$B99)*$B$4:$B$810)),'Guide &amp; Settings'!$C$50))/7-'Guide &amp; Settings'!$C$48,0)*'Guide &amp; Settings'!$C$49))</f>
        <v>0</v>
      </c>
    </row>
    <row r="100" spans="1:29" ht="15" customHeight="1" x14ac:dyDescent="0.2">
      <c r="A100" s="111">
        <v>45</v>
      </c>
      <c r="B100" s="112">
        <v>46176</v>
      </c>
      <c r="C100" s="113" t="s">
        <v>195</v>
      </c>
      <c r="D100" s="113" t="s">
        <v>137</v>
      </c>
      <c r="E100" s="111" t="s">
        <v>308</v>
      </c>
      <c r="F100" s="114">
        <f t="shared" si="17"/>
        <v>2</v>
      </c>
      <c r="G100" s="115" t="str">
        <f t="shared" si="18"/>
        <v>Josh</v>
      </c>
      <c r="H100" s="116">
        <f>IF($D100="",0,IFERROR(LOOKUP(2,1/(($D$3:D99=$D100)*($A$3:A99&lt;$A100)),$N$3:N99),'Guide &amp; Settings'!$C$41))</f>
        <v>1169.5401600030823</v>
      </c>
      <c r="I100" s="117">
        <f t="shared" si="19"/>
        <v>0.63414634146341464</v>
      </c>
      <c r="J100" s="118">
        <f>IF($D100="",0,IF($F100&lt;2,0,IF($E100="Win",('Guide &amp; Settings'!$C$42/(($F100-1)*COUNTIFS($A$4:$A$810,$A100,$E$4:$E$810,"Win")))*SUMIFS($X$4:$X$810,$A$4:$A$810,$A100,$E$4:$E$810,"Loss"),-('Guide &amp; Settings'!$C$42/($F100-1))*$X100)))</f>
        <v>9.1884677700783062</v>
      </c>
      <c r="K100" s="118">
        <f>IF($D100="",0,'Guide &amp; Settings'!$C$43*(IF($E100="Win",1,0)-$I100))</f>
        <v>4.3902439024390247</v>
      </c>
      <c r="L100" s="119">
        <f>IF($D100="",0,'Guide &amp; Settings'!$C$44*IF($F100&gt;=3,$F100,0))</f>
        <v>0</v>
      </c>
      <c r="M100" s="118">
        <f t="shared" si="20"/>
        <v>13.578711672517331</v>
      </c>
      <c r="N100" s="116">
        <f t="shared" si="21"/>
        <v>1183.1188716755996</v>
      </c>
      <c r="O100" s="115" t="str">
        <f t="shared" si="22"/>
        <v>OK</v>
      </c>
      <c r="P100">
        <f t="shared" si="23"/>
        <v>1169.5401600030823</v>
      </c>
      <c r="Q100">
        <f t="shared" si="24"/>
        <v>0.5</v>
      </c>
      <c r="R100">
        <f t="shared" si="25"/>
        <v>0.8666666666666667</v>
      </c>
      <c r="S100">
        <f t="shared" si="26"/>
        <v>1.3666666666666667</v>
      </c>
      <c r="T100" s="83">
        <f t="shared" si="27"/>
        <v>13</v>
      </c>
      <c r="U100" s="120">
        <f>IF($D100="",0,IFERROR(LOOKUP(2,1/(($D$3:D99=$D100)*($C$3:C99=$C100)*($A$3:A99&lt;$A100)),$AB$3:AB99),1000))</f>
        <v>1120.2064837863559</v>
      </c>
      <c r="V100" s="120">
        <f t="shared" si="28"/>
        <v>1133.9102827354466</v>
      </c>
      <c r="W100">
        <f t="shared" si="29"/>
        <v>1133.9102827354466</v>
      </c>
      <c r="X100">
        <f t="shared" si="30"/>
        <v>0.5</v>
      </c>
      <c r="Y100">
        <f t="shared" si="31"/>
        <v>1120.2064837863559</v>
      </c>
      <c r="Z100">
        <f t="shared" si="32"/>
        <v>0.5</v>
      </c>
      <c r="AA100">
        <f>IF($D100="",0,IF($F100&lt;2,0,IF($E100="Win",('Guide &amp; Settings'!$C$42/(($F100-1)*COUNTIFS($A$4:$A$810,$A100,$E$4:$E$810,"Win")))*SUMIFS($Z$4:$Z$810,$A$4:$A$810,$A100,$E$4:$E$810,"Loss"),-('Guide &amp; Settings'!$C$42/($F100-1))*$Z100)))</f>
        <v>10.845945553347134</v>
      </c>
      <c r="AB100" s="120">
        <f t="shared" si="33"/>
        <v>1131.0524293397029</v>
      </c>
      <c r="AC100" s="120">
        <f>IF($D100="","",IF(SUMPRODUCT(MAX(($D$4:$D$810=$D100)*($B$4:$B$810&lt;$B100)*$B$4:$B$810))=0,0,MAX(($B100-MAX(SUMPRODUCT(MAX(($D$4:$D$810=$D100)*($B$4:$B$810&lt;$B100)*$B$4:$B$810)),'Guide &amp; Settings'!$C$50))/7-'Guide &amp; Settings'!$C$48,0)*'Guide &amp; Settings'!$C$49))</f>
        <v>0</v>
      </c>
    </row>
    <row r="101" spans="1:29" ht="15" customHeight="1" x14ac:dyDescent="0.2">
      <c r="A101" s="111">
        <v>45</v>
      </c>
      <c r="B101" s="112">
        <v>46176</v>
      </c>
      <c r="C101" s="113" t="s">
        <v>195</v>
      </c>
      <c r="D101" s="113" t="s">
        <v>169</v>
      </c>
      <c r="E101" s="111" t="s">
        <v>309</v>
      </c>
      <c r="F101" s="114">
        <f t="shared" si="17"/>
        <v>2</v>
      </c>
      <c r="G101" s="115" t="str">
        <f t="shared" si="18"/>
        <v>Josh</v>
      </c>
      <c r="H101" s="116">
        <f>IF($D101="",0,IFERROR(LOOKUP(2,1/(($D$3:D100=$D101)*($A$3:A100&lt;$A101)),$N$3:N100),'Guide &amp; Settings'!$C$41))</f>
        <v>964.66163175488316</v>
      </c>
      <c r="I101" s="117">
        <f t="shared" si="19"/>
        <v>0.36585365853658536</v>
      </c>
      <c r="J101" s="118">
        <f>IF($D101="",0,IF($F101&lt;2,0,IF($E101="Win",('Guide &amp; Settings'!$C$42/(($F101-1)*COUNTIFS($A$4:$A$810,$A101,$E$4:$E$810,"Win")))*SUMIFS($X$4:$X$810,$A$4:$A$810,$A101,$E$4:$E$810,"Loss"),-('Guide &amp; Settings'!$C$42/($F101-1))*$X101)))</f>
        <v>-9.1884677700783062</v>
      </c>
      <c r="K101" s="118">
        <f>IF($D101="",0,'Guide &amp; Settings'!$C$43*(IF($E101="Win",1,0)-$I101))</f>
        <v>-4.3902439024390247</v>
      </c>
      <c r="L101" s="119">
        <f>IF($D101="",0,'Guide &amp; Settings'!$C$44*IF($F101&gt;=3,$F101,0))</f>
        <v>0</v>
      </c>
      <c r="M101" s="118">
        <f t="shared" si="20"/>
        <v>-13.578711672517331</v>
      </c>
      <c r="N101" s="116">
        <f t="shared" si="21"/>
        <v>951.08292008236583</v>
      </c>
      <c r="O101" s="115" t="str">
        <f t="shared" si="22"/>
        <v>OK</v>
      </c>
      <c r="P101">
        <f t="shared" si="23"/>
        <v>1169.5401600030823</v>
      </c>
      <c r="Q101">
        <f t="shared" si="24"/>
        <v>0.23516448133361195</v>
      </c>
      <c r="R101">
        <f t="shared" si="25"/>
        <v>0.5</v>
      </c>
      <c r="S101">
        <f t="shared" si="26"/>
        <v>1.3666666666666667</v>
      </c>
      <c r="T101" s="83">
        <f t="shared" si="27"/>
        <v>2</v>
      </c>
      <c r="U101" s="120">
        <f>IF($D101="",0,IFERROR(LOOKUP(2,1/(($D$3:D100=$D101)*($C$3:C100=$C101)*($A$3:A100&lt;$A101)),$AB$3:AB100),1000))</f>
        <v>1004.1560046397108</v>
      </c>
      <c r="V101" s="120">
        <f t="shared" si="28"/>
        <v>975.94573829340538</v>
      </c>
      <c r="W101">
        <f t="shared" si="29"/>
        <v>1133.9102827354466</v>
      </c>
      <c r="X101">
        <f t="shared" si="30"/>
        <v>0.28713961781494707</v>
      </c>
      <c r="Y101">
        <f t="shared" si="31"/>
        <v>1120.2064837863559</v>
      </c>
      <c r="Z101">
        <f t="shared" si="32"/>
        <v>0.33893579854209793</v>
      </c>
      <c r="AA101">
        <f>IF($D101="",0,IF($F101&lt;2,0,IF($E101="Win",('Guide &amp; Settings'!$C$42/(($F101-1)*COUNTIFS($A$4:$A$810,$A101,$E$4:$E$810,"Win")))*SUMIFS($Z$4:$Z$810,$A$4:$A$810,$A101,$E$4:$E$810,"Loss"),-('Guide &amp; Settings'!$C$42/($F101-1))*$Z101)))</f>
        <v>-10.845945553347134</v>
      </c>
      <c r="AB101" s="120">
        <f t="shared" si="33"/>
        <v>993.31005908636359</v>
      </c>
      <c r="AC101" s="120">
        <f>IF($D101="","",IF(SUMPRODUCT(MAX(($D$4:$D$810=$D101)*($B$4:$B$810&lt;$B101)*$B$4:$B$810))=0,0,MAX(($B101-MAX(SUMPRODUCT(MAX(($D$4:$D$810=$D101)*($B$4:$B$810&lt;$B101)*$B$4:$B$810)),'Guide &amp; Settings'!$C$50))/7-'Guide &amp; Settings'!$C$48,0)*'Guide &amp; Settings'!$C$49))</f>
        <v>0</v>
      </c>
    </row>
    <row r="102" spans="1:29" ht="15" customHeight="1" x14ac:dyDescent="0.2">
      <c r="A102" s="111">
        <v>46</v>
      </c>
      <c r="B102" s="112">
        <v>46176</v>
      </c>
      <c r="C102" s="113" t="s">
        <v>195</v>
      </c>
      <c r="D102" s="113" t="s">
        <v>137</v>
      </c>
      <c r="E102" s="111" t="s">
        <v>309</v>
      </c>
      <c r="F102" s="114">
        <f t="shared" si="17"/>
        <v>2</v>
      </c>
      <c r="G102" s="115" t="str">
        <f t="shared" si="18"/>
        <v>Oscar</v>
      </c>
      <c r="H102" s="116">
        <f>IF($D102="",0,IFERROR(LOOKUP(2,1/(($D$3:D101=$D102)*($A$3:A101&lt;$A102)),$N$3:N101),'Guide &amp; Settings'!$C$41))</f>
        <v>1183.1188716755996</v>
      </c>
      <c r="I102" s="117">
        <f t="shared" si="19"/>
        <v>0.68627450980392157</v>
      </c>
      <c r="J102" s="118">
        <f>IF($D102="",0,IF($F102&lt;2,0,IF($E102="Win",('Guide &amp; Settings'!$C$42/(($F102-1)*COUNTIFS($A$4:$A$810,$A102,$E$4:$E$810,"Win")))*SUMIFS($X$4:$X$810,$A$4:$A$810,$A102,$E$4:$E$810,"Loss"),-('Guide &amp; Settings'!$C$42/($F102-1))*$X102)))</f>
        <v>-23.542206233581037</v>
      </c>
      <c r="K102" s="118">
        <f>IF($D102="",0,'Guide &amp; Settings'!$C$43*(IF($E102="Win",1,0)-$I102))</f>
        <v>-8.235294117647058</v>
      </c>
      <c r="L102" s="119">
        <f>IF($D102="",0,'Guide &amp; Settings'!$C$44*IF($F102&gt;=3,$F102,0))</f>
        <v>0</v>
      </c>
      <c r="M102" s="118">
        <f t="shared" si="20"/>
        <v>-31.777500351228095</v>
      </c>
      <c r="N102" s="116">
        <f t="shared" si="21"/>
        <v>1151.3413713243715</v>
      </c>
      <c r="O102" s="115" t="str">
        <f t="shared" si="22"/>
        <v>OK</v>
      </c>
      <c r="P102">
        <f t="shared" si="23"/>
        <v>951.08292008236583</v>
      </c>
      <c r="Q102">
        <f t="shared" si="24"/>
        <v>0.79178295856584646</v>
      </c>
      <c r="R102">
        <f t="shared" si="25"/>
        <v>0.875</v>
      </c>
      <c r="S102">
        <f t="shared" si="26"/>
        <v>1.2749999999999999</v>
      </c>
      <c r="T102" s="83">
        <f t="shared" si="27"/>
        <v>14</v>
      </c>
      <c r="U102" s="120">
        <f>IF($D102="",0,IFERROR(LOOKUP(2,1/(($D$3:D101=$D102)*($C$3:C101=$C102)*($A$3:A101&lt;$A102)),$AB$3:AB101),1000))</f>
        <v>1131.0524293397029</v>
      </c>
      <c r="V102" s="120">
        <f t="shared" si="28"/>
        <v>1144.7541246912547</v>
      </c>
      <c r="W102">
        <f t="shared" si="29"/>
        <v>966.91809720886499</v>
      </c>
      <c r="X102">
        <f t="shared" si="30"/>
        <v>0.73569394479940742</v>
      </c>
      <c r="Y102">
        <f t="shared" si="31"/>
        <v>993.31005908636359</v>
      </c>
      <c r="Z102">
        <f t="shared" si="32"/>
        <v>0.68845556936334529</v>
      </c>
      <c r="AA102">
        <f>IF($D102="",0,IF($F102&lt;2,0,IF($E102="Win",('Guide &amp; Settings'!$C$42/(($F102-1)*COUNTIFS($A$4:$A$810,$A102,$E$4:$E$810,"Win")))*SUMIFS($Z$4:$Z$810,$A$4:$A$810,$A102,$E$4:$E$810,"Loss"),-('Guide &amp; Settings'!$C$42/($F102-1))*$Z102)))</f>
        <v>-22.030578219627049</v>
      </c>
      <c r="AB102" s="120">
        <f t="shared" si="33"/>
        <v>1109.0218511200758</v>
      </c>
      <c r="AC102" s="120">
        <f>IF($D102="","",IF(SUMPRODUCT(MAX(($D$4:$D$810=$D102)*($B$4:$B$810&lt;$B102)*$B$4:$B$810))=0,0,MAX(($B102-MAX(SUMPRODUCT(MAX(($D$4:$D$810=$D102)*($B$4:$B$810&lt;$B102)*$B$4:$B$810)),'Guide &amp; Settings'!$C$50))/7-'Guide &amp; Settings'!$C$48,0)*'Guide &amp; Settings'!$C$49))</f>
        <v>0</v>
      </c>
    </row>
    <row r="103" spans="1:29" ht="15" customHeight="1" x14ac:dyDescent="0.2">
      <c r="A103" s="111">
        <v>46</v>
      </c>
      <c r="B103" s="112">
        <v>46176</v>
      </c>
      <c r="C103" s="113" t="s">
        <v>195</v>
      </c>
      <c r="D103" s="113" t="s">
        <v>169</v>
      </c>
      <c r="E103" s="111" t="s">
        <v>308</v>
      </c>
      <c r="F103" s="114">
        <f t="shared" si="17"/>
        <v>2</v>
      </c>
      <c r="G103" s="115" t="str">
        <f t="shared" si="18"/>
        <v>Oscar</v>
      </c>
      <c r="H103" s="116">
        <f>IF($D103="",0,IFERROR(LOOKUP(2,1/(($D$3:D102=$D103)*($A$3:A102&lt;$A103)),$N$3:N102),'Guide &amp; Settings'!$C$41))</f>
        <v>951.08292008236583</v>
      </c>
      <c r="I103" s="117">
        <f t="shared" si="19"/>
        <v>0.31372549019607848</v>
      </c>
      <c r="J103" s="118">
        <f>IF($D103="",0,IF($F103&lt;2,0,IF($E103="Win",('Guide &amp; Settings'!$C$42/(($F103-1)*COUNTIFS($A$4:$A$810,$A103,$E$4:$E$810,"Win")))*SUMIFS($X$4:$X$810,$A$4:$A$810,$A103,$E$4:$E$810,"Loss"),-('Guide &amp; Settings'!$C$42/($F103-1))*$X103)))</f>
        <v>23.542206233581037</v>
      </c>
      <c r="K103" s="118">
        <f>IF($D103="",0,'Guide &amp; Settings'!$C$43*(IF($E103="Win",1,0)-$I103))</f>
        <v>8.235294117647058</v>
      </c>
      <c r="L103" s="119">
        <f>IF($D103="",0,'Guide &amp; Settings'!$C$44*IF($F103&gt;=3,$F103,0))</f>
        <v>0</v>
      </c>
      <c r="M103" s="118">
        <f t="shared" si="20"/>
        <v>31.777500351228095</v>
      </c>
      <c r="N103" s="116">
        <f t="shared" si="21"/>
        <v>982.86042043359396</v>
      </c>
      <c r="O103" s="115" t="str">
        <f t="shared" si="22"/>
        <v>OK</v>
      </c>
      <c r="P103">
        <f t="shared" si="23"/>
        <v>951.08292008236583</v>
      </c>
      <c r="Q103">
        <f t="shared" si="24"/>
        <v>0.5</v>
      </c>
      <c r="R103">
        <f t="shared" si="25"/>
        <v>0.4</v>
      </c>
      <c r="S103">
        <f t="shared" si="26"/>
        <v>1.2749999999999999</v>
      </c>
      <c r="T103" s="83">
        <f t="shared" si="27"/>
        <v>3</v>
      </c>
      <c r="U103" s="120">
        <f>IF($D103="",0,IFERROR(LOOKUP(2,1/(($D$3:D102=$D103)*($C$3:C102=$C103)*($A$3:A102&lt;$A103)),$AB$3:AB102),1000))</f>
        <v>993.31005908636359</v>
      </c>
      <c r="V103" s="120">
        <f t="shared" si="28"/>
        <v>966.91809720886499</v>
      </c>
      <c r="W103">
        <f t="shared" si="29"/>
        <v>966.91809720886499</v>
      </c>
      <c r="X103">
        <f t="shared" si="30"/>
        <v>0.5</v>
      </c>
      <c r="Y103">
        <f t="shared" si="31"/>
        <v>993.31005908636359</v>
      </c>
      <c r="Z103">
        <f t="shared" si="32"/>
        <v>0.5</v>
      </c>
      <c r="AA103">
        <f>IF($D103="",0,IF($F103&lt;2,0,IF($E103="Win",('Guide &amp; Settings'!$C$42/(($F103-1)*COUNTIFS($A$4:$A$810,$A103,$E$4:$E$810,"Win")))*SUMIFS($Z$4:$Z$810,$A$4:$A$810,$A103,$E$4:$E$810,"Loss"),-('Guide &amp; Settings'!$C$42/($F103-1))*$Z103)))</f>
        <v>22.030578219627049</v>
      </c>
      <c r="AB103" s="120">
        <f t="shared" si="33"/>
        <v>1015.3406373059906</v>
      </c>
      <c r="AC103" s="120">
        <f>IF($D103="","",IF(SUMPRODUCT(MAX(($D$4:$D$810=$D103)*($B$4:$B$810&lt;$B103)*$B$4:$B$810))=0,0,MAX(($B103-MAX(SUMPRODUCT(MAX(($D$4:$D$810=$D103)*($B$4:$B$810&lt;$B103)*$B$4:$B$810)),'Guide &amp; Settings'!$C$50))/7-'Guide &amp; Settings'!$C$48,0)*'Guide &amp; Settings'!$C$49))</f>
        <v>0</v>
      </c>
    </row>
    <row r="104" spans="1:29" ht="15" customHeight="1" x14ac:dyDescent="0.2">
      <c r="A104" s="111">
        <v>47</v>
      </c>
      <c r="B104" s="112">
        <v>46176</v>
      </c>
      <c r="C104" s="113" t="s">
        <v>199</v>
      </c>
      <c r="D104" s="113" t="s">
        <v>170</v>
      </c>
      <c r="E104" s="111" t="s">
        <v>308</v>
      </c>
      <c r="F104" s="114">
        <f t="shared" si="17"/>
        <v>2</v>
      </c>
      <c r="G104" s="115" t="str">
        <f t="shared" si="18"/>
        <v>Daniel (Ferret)</v>
      </c>
      <c r="H104" s="116">
        <f>IF($D104="",0,IFERROR(LOOKUP(2,1/(($D$3:D103=$D104)*($A$3:A103&lt;$A104)),$N$3:N103),'Guide &amp; Settings'!$C$41))</f>
        <v>972.22442479508152</v>
      </c>
      <c r="I104" s="117">
        <f t="shared" si="19"/>
        <v>0.25</v>
      </c>
      <c r="J104" s="118">
        <f>IF($D104="",0,IF($F104&lt;2,0,IF($E104="Win",('Guide &amp; Settings'!$C$42/(($F104-1)*COUNTIFS($A$4:$A$810,$A104,$E$4:$E$810,"Win")))*SUMIFS($X$4:$X$810,$A$4:$A$810,$A104,$E$4:$E$810,"Loss"),-('Guide &amp; Settings'!$C$42/($F104-1))*$X104)))</f>
        <v>17.06184968395684</v>
      </c>
      <c r="K104" s="118">
        <f>IF($D104="",0,'Guide &amp; Settings'!$C$43*(IF($E104="Win",1,0)-$I104))</f>
        <v>9</v>
      </c>
      <c r="L104" s="119">
        <f>IF($D104="",0,'Guide &amp; Settings'!$C$44*IF($F104&gt;=3,$F104,0))</f>
        <v>0</v>
      </c>
      <c r="M104" s="118">
        <f t="shared" si="20"/>
        <v>26.06184968395684</v>
      </c>
      <c r="N104" s="116">
        <f t="shared" si="21"/>
        <v>998.28627447903841</v>
      </c>
      <c r="O104" s="115" t="str">
        <f t="shared" si="22"/>
        <v>OK</v>
      </c>
      <c r="P104">
        <f t="shared" si="23"/>
        <v>972.22442479508152</v>
      </c>
      <c r="Q104">
        <f t="shared" si="24"/>
        <v>0.5</v>
      </c>
      <c r="R104">
        <f t="shared" si="25"/>
        <v>0.16666666666666666</v>
      </c>
      <c r="S104">
        <f t="shared" si="26"/>
        <v>0.66666666666666663</v>
      </c>
      <c r="T104" s="83">
        <f t="shared" si="27"/>
        <v>4</v>
      </c>
      <c r="U104" s="120">
        <f>IF($D104="",0,IFERROR(LOOKUP(2,1/(($D$3:D103=$D104)*($C$3:C103=$C104)*($A$3:A103&lt;$A104)),$AB$3:AB103),1000))</f>
        <v>944.19905737100225</v>
      </c>
      <c r="V104" s="120">
        <f t="shared" si="28"/>
        <v>959.76870593993522</v>
      </c>
      <c r="W104">
        <f t="shared" si="29"/>
        <v>959.76870593993522</v>
      </c>
      <c r="X104">
        <f t="shared" si="30"/>
        <v>0.5</v>
      </c>
      <c r="Y104">
        <f t="shared" si="31"/>
        <v>944.19905737100225</v>
      </c>
      <c r="Z104">
        <f t="shared" si="32"/>
        <v>0.5</v>
      </c>
      <c r="AA104">
        <f>IF($D104="",0,IF($F104&lt;2,0,IF($E104="Win",('Guide &amp; Settings'!$C$42/(($F104-1)*COUNTIFS($A$4:$A$810,$A104,$E$4:$E$810,"Win")))*SUMIFS($Z$4:$Z$810,$A$4:$A$810,$A104,$E$4:$E$810,"Loss"),-('Guide &amp; Settings'!$C$42/($F104-1))*$Z104)))</f>
        <v>18.547858669515744</v>
      </c>
      <c r="AB104" s="120">
        <f t="shared" si="33"/>
        <v>962.74691604051804</v>
      </c>
      <c r="AC104" s="120">
        <f>IF($D104="","",IF(SUMPRODUCT(MAX(($D$4:$D$810=$D104)*($B$4:$B$810&lt;$B104)*$B$4:$B$810))=0,0,MAX(($B104-MAX(SUMPRODUCT(MAX(($D$4:$D$810=$D104)*($B$4:$B$810&lt;$B104)*$B$4:$B$810)),'Guide &amp; Settings'!$C$50))/7-'Guide &amp; Settings'!$C$48,0)*'Guide &amp; Settings'!$C$49))</f>
        <v>0</v>
      </c>
    </row>
    <row r="105" spans="1:29" ht="15" customHeight="1" x14ac:dyDescent="0.2">
      <c r="A105" s="111">
        <v>47</v>
      </c>
      <c r="B105" s="112">
        <v>46176</v>
      </c>
      <c r="C105" s="113" t="s">
        <v>199</v>
      </c>
      <c r="D105" s="113" t="s">
        <v>169</v>
      </c>
      <c r="E105" s="111" t="s">
        <v>309</v>
      </c>
      <c r="F105" s="114">
        <f t="shared" si="17"/>
        <v>2</v>
      </c>
      <c r="G105" s="115" t="str">
        <f t="shared" si="18"/>
        <v>Daniel (Ferret)</v>
      </c>
      <c r="H105" s="116">
        <f>IF($D105="",0,IFERROR(LOOKUP(2,1/(($D$3:D104=$D105)*($A$3:A104&lt;$A105)),$N$3:N104),'Guide &amp; Settings'!$C$41))</f>
        <v>982.86042043359396</v>
      </c>
      <c r="I105" s="117">
        <f t="shared" si="19"/>
        <v>0.75</v>
      </c>
      <c r="J105" s="118">
        <f>IF($D105="",0,IF($F105&lt;2,0,IF($E105="Win",('Guide &amp; Settings'!$C$42/(($F105-1)*COUNTIFS($A$4:$A$810,$A105,$E$4:$E$810,"Win")))*SUMIFS($X$4:$X$810,$A$4:$A$810,$A105,$E$4:$E$810,"Loss"),-('Guide &amp; Settings'!$C$42/($F105-1))*$X105)))</f>
        <v>-17.06184968395684</v>
      </c>
      <c r="K105" s="118">
        <f>IF($D105="",0,'Guide &amp; Settings'!$C$43*(IF($E105="Win",1,0)-$I105))</f>
        <v>-9</v>
      </c>
      <c r="L105" s="119">
        <f>IF($D105="",0,'Guide &amp; Settings'!$C$44*IF($F105&gt;=3,$F105,0))</f>
        <v>0</v>
      </c>
      <c r="M105" s="118">
        <f t="shared" si="20"/>
        <v>-26.06184968395684</v>
      </c>
      <c r="N105" s="116">
        <f t="shared" si="21"/>
        <v>956.79857074963707</v>
      </c>
      <c r="O105" s="115" t="str">
        <f t="shared" si="22"/>
        <v>OK</v>
      </c>
      <c r="P105">
        <f t="shared" si="23"/>
        <v>972.22442479508152</v>
      </c>
      <c r="Q105">
        <f t="shared" si="24"/>
        <v>0.51530164846311244</v>
      </c>
      <c r="R105">
        <f t="shared" si="25"/>
        <v>0.5</v>
      </c>
      <c r="S105">
        <f t="shared" si="26"/>
        <v>0.66666666666666663</v>
      </c>
      <c r="T105" s="83">
        <f t="shared" si="27"/>
        <v>0</v>
      </c>
      <c r="U105" s="120">
        <f>IF($D105="",0,IFERROR(LOOKUP(2,1/(($D$3:D104=$D105)*($C$3:C104=$C105)*($A$3:A104&lt;$A105)),$AB$3:AB104),1000))</f>
        <v>1000</v>
      </c>
      <c r="V105" s="120">
        <f t="shared" si="28"/>
        <v>982.86042043359396</v>
      </c>
      <c r="W105">
        <f t="shared" si="29"/>
        <v>959.76870593993522</v>
      </c>
      <c r="X105">
        <f t="shared" si="30"/>
        <v>0.53318280262365125</v>
      </c>
      <c r="Y105">
        <f t="shared" si="31"/>
        <v>944.19905737100225</v>
      </c>
      <c r="Z105">
        <f t="shared" si="32"/>
        <v>0.579620583422367</v>
      </c>
      <c r="AA105">
        <f>IF($D105="",0,IF($F105&lt;2,0,IF($E105="Win",('Guide &amp; Settings'!$C$42/(($F105-1)*COUNTIFS($A$4:$A$810,$A105,$E$4:$E$810,"Win")))*SUMIFS($Z$4:$Z$810,$A$4:$A$810,$A105,$E$4:$E$810,"Loss"),-('Guide &amp; Settings'!$C$42/($F105-1))*$Z105)))</f>
        <v>-18.547858669515744</v>
      </c>
      <c r="AB105" s="120">
        <f t="shared" si="33"/>
        <v>981.45214133048421</v>
      </c>
      <c r="AC105" s="120">
        <f>IF($D105="","",IF(SUMPRODUCT(MAX(($D$4:$D$810=$D105)*($B$4:$B$810&lt;$B105)*$B$4:$B$810))=0,0,MAX(($B105-MAX(SUMPRODUCT(MAX(($D$4:$D$810=$D105)*($B$4:$B$810&lt;$B105)*$B$4:$B$810)),'Guide &amp; Settings'!$C$50))/7-'Guide &amp; Settings'!$C$48,0)*'Guide &amp; Settings'!$C$49))</f>
        <v>0</v>
      </c>
    </row>
    <row r="106" spans="1:29" ht="15" customHeight="1" x14ac:dyDescent="0.2">
      <c r="A106" s="111">
        <v>48</v>
      </c>
      <c r="B106" s="112">
        <v>46176</v>
      </c>
      <c r="C106" s="113" t="s">
        <v>199</v>
      </c>
      <c r="D106" s="113" t="s">
        <v>170</v>
      </c>
      <c r="E106" s="111" t="s">
        <v>308</v>
      </c>
      <c r="F106" s="114">
        <f t="shared" si="17"/>
        <v>2</v>
      </c>
      <c r="G106" s="115" t="str">
        <f t="shared" si="18"/>
        <v>Daniel (Ferret)</v>
      </c>
      <c r="H106" s="116">
        <f>IF($D106="",0,IFERROR(LOOKUP(2,1/(($D$3:D105=$D106)*($A$3:A105&lt;$A106)),$N$3:N105),'Guide &amp; Settings'!$C$41))</f>
        <v>998.28627447903841</v>
      </c>
      <c r="I106" s="117">
        <f t="shared" si="19"/>
        <v>0.46153846153846151</v>
      </c>
      <c r="J106" s="118">
        <f>IF($D106="",0,IF($F106&lt;2,0,IF($E106="Win",('Guide &amp; Settings'!$C$42/(($F106-1)*COUNTIFS($A$4:$A$810,$A106,$E$4:$E$810,"Win")))*SUMIFS($X$4:$X$810,$A$4:$A$810,$A106,$E$4:$E$810,"Loss"),-('Guide &amp; Settings'!$C$42/($F106-1))*$X106)))</f>
        <v>15.097925378753624</v>
      </c>
      <c r="K106" s="118">
        <f>IF($D106="",0,'Guide &amp; Settings'!$C$43*(IF($E106="Win",1,0)-$I106))</f>
        <v>6.4615384615384626</v>
      </c>
      <c r="L106" s="119">
        <f>IF($D106="",0,'Guide &amp; Settings'!$C$44*IF($F106&gt;=3,$F106,0))</f>
        <v>0</v>
      </c>
      <c r="M106" s="118">
        <f t="shared" si="20"/>
        <v>21.559463840292086</v>
      </c>
      <c r="N106" s="116">
        <f t="shared" si="21"/>
        <v>1019.8457383193305</v>
      </c>
      <c r="O106" s="115" t="str">
        <f t="shared" si="22"/>
        <v>OK</v>
      </c>
      <c r="P106">
        <f t="shared" si="23"/>
        <v>998.28627447903841</v>
      </c>
      <c r="Q106">
        <f t="shared" si="24"/>
        <v>0.5</v>
      </c>
      <c r="R106">
        <f t="shared" si="25"/>
        <v>0.2857142857142857</v>
      </c>
      <c r="S106">
        <f t="shared" si="26"/>
        <v>0.61904761904761907</v>
      </c>
      <c r="T106" s="83">
        <f t="shared" si="27"/>
        <v>5</v>
      </c>
      <c r="U106" s="120">
        <f>IF($D106="",0,IFERROR(LOOKUP(2,1/(($D$3:D105=$D106)*($C$3:C105=$C106)*($A$3:A105&lt;$A106)),$AB$3:AB105),1000))</f>
        <v>962.74691604051804</v>
      </c>
      <c r="V106" s="120">
        <f t="shared" si="28"/>
        <v>980.51659525977823</v>
      </c>
      <c r="W106">
        <f t="shared" si="29"/>
        <v>980.51659525977823</v>
      </c>
      <c r="X106">
        <f t="shared" si="30"/>
        <v>0.5</v>
      </c>
      <c r="Y106">
        <f t="shared" si="31"/>
        <v>962.74691604051804</v>
      </c>
      <c r="Z106">
        <f t="shared" si="32"/>
        <v>0.5</v>
      </c>
      <c r="AA106">
        <f>IF($D106="",0,IF($F106&lt;2,0,IF($E106="Win",('Guide &amp; Settings'!$C$42/(($F106-1)*COUNTIFS($A$4:$A$810,$A106,$E$4:$E$810,"Win")))*SUMIFS($Z$4:$Z$810,$A$4:$A$810,$A106,$E$4:$E$810,"Loss"),-('Guide &amp; Settings'!$C$42/($F106-1))*$Z106)))</f>
        <v>16.860576151278366</v>
      </c>
      <c r="AB106" s="120">
        <f t="shared" si="33"/>
        <v>979.60749219179638</v>
      </c>
      <c r="AC106" s="120">
        <f>IF($D106="","",IF(SUMPRODUCT(MAX(($D$4:$D$810=$D106)*($B$4:$B$810&lt;$B106)*$B$4:$B$810))=0,0,MAX(($B106-MAX(SUMPRODUCT(MAX(($D$4:$D$810=$D106)*($B$4:$B$810&lt;$B106)*$B$4:$B$810)),'Guide &amp; Settings'!$C$50))/7-'Guide &amp; Settings'!$C$48,0)*'Guide &amp; Settings'!$C$49))</f>
        <v>0</v>
      </c>
    </row>
    <row r="107" spans="1:29" ht="15" customHeight="1" x14ac:dyDescent="0.2">
      <c r="A107" s="111">
        <v>48</v>
      </c>
      <c r="B107" s="112">
        <v>46176</v>
      </c>
      <c r="C107" s="113" t="s">
        <v>199</v>
      </c>
      <c r="D107" s="113" t="s">
        <v>169</v>
      </c>
      <c r="E107" s="111" t="s">
        <v>309</v>
      </c>
      <c r="F107" s="114">
        <f t="shared" si="17"/>
        <v>2</v>
      </c>
      <c r="G107" s="115" t="str">
        <f t="shared" si="18"/>
        <v>Daniel (Ferret)</v>
      </c>
      <c r="H107" s="116">
        <f>IF($D107="",0,IFERROR(LOOKUP(2,1/(($D$3:D106=$D107)*($A$3:A106&lt;$A107)),$N$3:N106),'Guide &amp; Settings'!$C$41))</f>
        <v>956.79857074963707</v>
      </c>
      <c r="I107" s="117">
        <f t="shared" si="19"/>
        <v>0.53846153846153844</v>
      </c>
      <c r="J107" s="118">
        <f>IF($D107="",0,IF($F107&lt;2,0,IF($E107="Win",('Guide &amp; Settings'!$C$42/(($F107-1)*COUNTIFS($A$4:$A$810,$A107,$E$4:$E$810,"Win")))*SUMIFS($X$4:$X$810,$A$4:$A$810,$A107,$E$4:$E$810,"Loss"),-('Guide &amp; Settings'!$C$42/($F107-1))*$X107)))</f>
        <v>-15.097925378753624</v>
      </c>
      <c r="K107" s="118">
        <f>IF($D107="",0,'Guide &amp; Settings'!$C$43*(IF($E107="Win",1,0)-$I107))</f>
        <v>-6.4615384615384617</v>
      </c>
      <c r="L107" s="119">
        <f>IF($D107="",0,'Guide &amp; Settings'!$C$44*IF($F107&gt;=3,$F107,0))</f>
        <v>0</v>
      </c>
      <c r="M107" s="118">
        <f t="shared" si="20"/>
        <v>-21.559463840292086</v>
      </c>
      <c r="N107" s="116">
        <f t="shared" si="21"/>
        <v>935.23910690934497</v>
      </c>
      <c r="O107" s="115" t="str">
        <f t="shared" si="22"/>
        <v>OK</v>
      </c>
      <c r="P107">
        <f t="shared" si="23"/>
        <v>998.28627447903841</v>
      </c>
      <c r="Q107">
        <f t="shared" si="24"/>
        <v>0.44057656709379672</v>
      </c>
      <c r="R107">
        <f t="shared" si="25"/>
        <v>0.33333333333333331</v>
      </c>
      <c r="S107">
        <f t="shared" si="26"/>
        <v>0.61904761904761907</v>
      </c>
      <c r="T107" s="83">
        <f t="shared" si="27"/>
        <v>1</v>
      </c>
      <c r="U107" s="120">
        <f>IF($D107="",0,IFERROR(LOOKUP(2,1/(($D$3:D106=$D107)*($C$3:C106=$C107)*($A$3:A106&lt;$A107)),$AB$3:AB106),1000))</f>
        <v>981.45214133048421</v>
      </c>
      <c r="V107" s="120">
        <f t="shared" si="28"/>
        <v>960.90749917977826</v>
      </c>
      <c r="W107">
        <f t="shared" si="29"/>
        <v>980.51659525977823</v>
      </c>
      <c r="X107">
        <f t="shared" si="30"/>
        <v>0.47181016808605075</v>
      </c>
      <c r="Y107">
        <f t="shared" si="31"/>
        <v>962.74691604051804</v>
      </c>
      <c r="Z107">
        <f t="shared" si="32"/>
        <v>0.52689300472744893</v>
      </c>
      <c r="AA107">
        <f>IF($D107="",0,IF($F107&lt;2,0,IF($E107="Win",('Guide &amp; Settings'!$C$42/(($F107-1)*COUNTIFS($A$4:$A$810,$A107,$E$4:$E$810,"Win")))*SUMIFS($Z$4:$Z$810,$A$4:$A$810,$A107,$E$4:$E$810,"Loss"),-('Guide &amp; Settings'!$C$42/($F107-1))*$Z107)))</f>
        <v>-16.860576151278366</v>
      </c>
      <c r="AB107" s="120">
        <f t="shared" si="33"/>
        <v>964.59156517920587</v>
      </c>
      <c r="AC107" s="120">
        <f>IF($D107="","",IF(SUMPRODUCT(MAX(($D$4:$D$810=$D107)*($B$4:$B$810&lt;$B107)*$B$4:$B$810))=0,0,MAX(($B107-MAX(SUMPRODUCT(MAX(($D$4:$D$810=$D107)*($B$4:$B$810&lt;$B107)*$B$4:$B$810)),'Guide &amp; Settings'!$C$50))/7-'Guide &amp; Settings'!$C$48,0)*'Guide &amp; Settings'!$C$49))</f>
        <v>0</v>
      </c>
    </row>
    <row r="108" spans="1:29" ht="15" customHeight="1" x14ac:dyDescent="0.2">
      <c r="A108" s="111">
        <v>49</v>
      </c>
      <c r="B108" s="112">
        <v>46176</v>
      </c>
      <c r="C108" s="113" t="s">
        <v>199</v>
      </c>
      <c r="D108" s="113" t="s">
        <v>170</v>
      </c>
      <c r="E108" s="111" t="s">
        <v>309</v>
      </c>
      <c r="F108" s="114">
        <f t="shared" si="17"/>
        <v>2</v>
      </c>
      <c r="G108" s="115" t="str">
        <f t="shared" si="18"/>
        <v>Oscar</v>
      </c>
      <c r="H108" s="116">
        <f>IF($D108="",0,IFERROR(LOOKUP(2,1/(($D$3:D107=$D108)*($A$3:A107&lt;$A108)),$N$3:N107),'Guide &amp; Settings'!$C$41))</f>
        <v>1019.8457383193305</v>
      </c>
      <c r="I108" s="117">
        <f t="shared" si="19"/>
        <v>0.6</v>
      </c>
      <c r="J108" s="118">
        <f>IF($D108="",0,IF($F108&lt;2,0,IF($E108="Win",('Guide &amp; Settings'!$C$42/(($F108-1)*COUNTIFS($A$4:$A$810,$A108,$E$4:$E$810,"Win")))*SUMIFS($X$4:$X$810,$A$4:$A$810,$A108,$E$4:$E$810,"Loss"),-('Guide &amp; Settings'!$C$42/($F108-1))*$X108)))</f>
        <v>-18.479189647467326</v>
      </c>
      <c r="K108" s="118">
        <f>IF($D108="",0,'Guide &amp; Settings'!$C$43*(IF($E108="Win",1,0)-$I108))</f>
        <v>-7.1999999999999993</v>
      </c>
      <c r="L108" s="119">
        <f>IF($D108="",0,'Guide &amp; Settings'!$C$44*IF($F108&gt;=3,$F108,0))</f>
        <v>0</v>
      </c>
      <c r="M108" s="118">
        <f t="shared" si="20"/>
        <v>-25.679189647467325</v>
      </c>
      <c r="N108" s="116">
        <f t="shared" si="21"/>
        <v>994.16654867186321</v>
      </c>
      <c r="O108" s="115" t="str">
        <f t="shared" si="22"/>
        <v>OK</v>
      </c>
      <c r="P108">
        <f t="shared" si="23"/>
        <v>935.23910690934497</v>
      </c>
      <c r="Q108">
        <f t="shared" si="24"/>
        <v>0.61940768708822447</v>
      </c>
      <c r="R108">
        <f t="shared" si="25"/>
        <v>0.375</v>
      </c>
      <c r="S108">
        <f t="shared" si="26"/>
        <v>0.625</v>
      </c>
      <c r="T108" s="83">
        <f t="shared" si="27"/>
        <v>6</v>
      </c>
      <c r="U108" s="120">
        <f>IF($D108="",0,IFERROR(LOOKUP(2,1/(($D$3:D107=$D108)*($C$3:C107=$C108)*($A$3:A107&lt;$A108)),$AB$3:AB107),1000))</f>
        <v>979.60749219179638</v>
      </c>
      <c r="V108" s="120">
        <f t="shared" si="28"/>
        <v>997.89760406794835</v>
      </c>
      <c r="W108">
        <f t="shared" si="29"/>
        <v>943.6255235578767</v>
      </c>
      <c r="X108">
        <f t="shared" si="30"/>
        <v>0.57747467648335393</v>
      </c>
      <c r="Y108">
        <f t="shared" si="31"/>
        <v>964.59156517920587</v>
      </c>
      <c r="Z108">
        <f t="shared" si="32"/>
        <v>0.52159621114929866</v>
      </c>
      <c r="AA108">
        <f>IF($D108="",0,IF($F108&lt;2,0,IF($E108="Win",('Guide &amp; Settings'!$C$42/(($F108-1)*COUNTIFS($A$4:$A$810,$A108,$E$4:$E$810,"Win")))*SUMIFS($Z$4:$Z$810,$A$4:$A$810,$A108,$E$4:$E$810,"Loss"),-('Guide &amp; Settings'!$C$42/($F108-1))*$Z108)))</f>
        <v>-16.691078756777557</v>
      </c>
      <c r="AB108" s="120">
        <f t="shared" si="33"/>
        <v>962.91641343501885</v>
      </c>
      <c r="AC108" s="120">
        <f>IF($D108="","",IF(SUMPRODUCT(MAX(($D$4:$D$810=$D108)*($B$4:$B$810&lt;$B108)*$B$4:$B$810))=0,0,MAX(($B108-MAX(SUMPRODUCT(MAX(($D$4:$D$810=$D108)*($B$4:$B$810&lt;$B108)*$B$4:$B$810)),'Guide &amp; Settings'!$C$50))/7-'Guide &amp; Settings'!$C$48,0)*'Guide &amp; Settings'!$C$49))</f>
        <v>0</v>
      </c>
    </row>
    <row r="109" spans="1:29" ht="15" customHeight="1" x14ac:dyDescent="0.2">
      <c r="A109" s="111">
        <v>49</v>
      </c>
      <c r="B109" s="112">
        <v>46176</v>
      </c>
      <c r="C109" s="113" t="s">
        <v>199</v>
      </c>
      <c r="D109" s="113" t="s">
        <v>169</v>
      </c>
      <c r="E109" s="111" t="s">
        <v>308</v>
      </c>
      <c r="F109" s="114">
        <f t="shared" si="17"/>
        <v>2</v>
      </c>
      <c r="G109" s="115" t="str">
        <f t="shared" si="18"/>
        <v>Oscar</v>
      </c>
      <c r="H109" s="116">
        <f>IF($D109="",0,IFERROR(LOOKUP(2,1/(($D$3:D108=$D109)*($A$3:A108&lt;$A109)),$N$3:N108),'Guide &amp; Settings'!$C$41))</f>
        <v>935.23910690934497</v>
      </c>
      <c r="I109" s="117">
        <f t="shared" si="19"/>
        <v>0.4</v>
      </c>
      <c r="J109" s="118">
        <f>IF($D109="",0,IF($F109&lt;2,0,IF($E109="Win",('Guide &amp; Settings'!$C$42/(($F109-1)*COUNTIFS($A$4:$A$810,$A109,$E$4:$E$810,"Win")))*SUMIFS($X$4:$X$810,$A$4:$A$810,$A109,$E$4:$E$810,"Loss"),-('Guide &amp; Settings'!$C$42/($F109-1))*$X109)))</f>
        <v>18.479189647467326</v>
      </c>
      <c r="K109" s="118">
        <f>IF($D109="",0,'Guide &amp; Settings'!$C$43*(IF($E109="Win",1,0)-$I109))</f>
        <v>7.1999999999999993</v>
      </c>
      <c r="L109" s="119">
        <f>IF($D109="",0,'Guide &amp; Settings'!$C$44*IF($F109&gt;=3,$F109,0))</f>
        <v>0</v>
      </c>
      <c r="M109" s="118">
        <f t="shared" si="20"/>
        <v>25.679189647467325</v>
      </c>
      <c r="N109" s="116">
        <f t="shared" si="21"/>
        <v>960.91829655681227</v>
      </c>
      <c r="O109" s="115" t="str">
        <f t="shared" si="22"/>
        <v>OK</v>
      </c>
      <c r="P109">
        <f t="shared" si="23"/>
        <v>935.23910690934497</v>
      </c>
      <c r="Q109">
        <f t="shared" si="24"/>
        <v>0.5</v>
      </c>
      <c r="R109">
        <f t="shared" si="25"/>
        <v>0.25</v>
      </c>
      <c r="S109">
        <f t="shared" si="26"/>
        <v>0.625</v>
      </c>
      <c r="T109" s="83">
        <f t="shared" si="27"/>
        <v>2</v>
      </c>
      <c r="U109" s="120">
        <f>IF($D109="",0,IFERROR(LOOKUP(2,1/(($D$3:D108=$D109)*($C$3:C108=$C109)*($A$3:A108&lt;$A109)),$AB$3:AB108),1000))</f>
        <v>964.59156517920587</v>
      </c>
      <c r="V109" s="120">
        <f t="shared" si="28"/>
        <v>943.6255235578767</v>
      </c>
      <c r="W109">
        <f t="shared" si="29"/>
        <v>943.6255235578767</v>
      </c>
      <c r="X109">
        <f t="shared" si="30"/>
        <v>0.5</v>
      </c>
      <c r="Y109">
        <f t="shared" si="31"/>
        <v>964.59156517920587</v>
      </c>
      <c r="Z109">
        <f t="shared" si="32"/>
        <v>0.5</v>
      </c>
      <c r="AA109">
        <f>IF($D109="",0,IF($F109&lt;2,0,IF($E109="Win",('Guide &amp; Settings'!$C$42/(($F109-1)*COUNTIFS($A$4:$A$810,$A109,$E$4:$E$810,"Win")))*SUMIFS($Z$4:$Z$810,$A$4:$A$810,$A109,$E$4:$E$810,"Loss"),-('Guide &amp; Settings'!$C$42/($F109-1))*$Z109)))</f>
        <v>16.691078756777557</v>
      </c>
      <c r="AB109" s="120">
        <f t="shared" si="33"/>
        <v>981.2826439359834</v>
      </c>
      <c r="AC109" s="120">
        <f>IF($D109="","",IF(SUMPRODUCT(MAX(($D$4:$D$810=$D109)*($B$4:$B$810&lt;$B109)*$B$4:$B$810))=0,0,MAX(($B109-MAX(SUMPRODUCT(MAX(($D$4:$D$810=$D109)*($B$4:$B$810&lt;$B109)*$B$4:$B$810)),'Guide &amp; Settings'!$C$50))/7-'Guide &amp; Settings'!$C$48,0)*'Guide &amp; Settings'!$C$49))</f>
        <v>0</v>
      </c>
    </row>
    <row r="110" spans="1:29" ht="15" customHeight="1" x14ac:dyDescent="0.2">
      <c r="A110" s="111">
        <v>50</v>
      </c>
      <c r="B110" s="112">
        <v>46177</v>
      </c>
      <c r="C110" s="113" t="s">
        <v>195</v>
      </c>
      <c r="D110" s="113" t="s">
        <v>167</v>
      </c>
      <c r="E110" s="111" t="s">
        <v>308</v>
      </c>
      <c r="F110" s="114">
        <f t="shared" si="17"/>
        <v>2</v>
      </c>
      <c r="G110" s="115" t="str">
        <f t="shared" si="18"/>
        <v>Dean B</v>
      </c>
      <c r="H110" s="116">
        <f>IF($D110="",0,IFERROR(LOOKUP(2,1/(($D$3:D109=$D110)*($A$3:A109&lt;$A110)),$N$3:N109),'Guide &amp; Settings'!$C$41))</f>
        <v>1031.3963708324816</v>
      </c>
      <c r="I110" s="117">
        <f t="shared" si="19"/>
        <v>0.5</v>
      </c>
      <c r="J110" s="118">
        <f>IF($D110="",0,IF($F110&lt;2,0,IF($E110="Win",('Guide &amp; Settings'!$C$42/(($F110-1)*COUNTIFS($A$4:$A$810,$A110,$E$4:$E$810,"Win")))*SUMIFS($X$4:$X$810,$A$4:$A$810,$A110,$E$4:$E$810,"Loss"),-('Guide &amp; Settings'!$C$42/($F110-1))*$X110)))</f>
        <v>14.138800551081921</v>
      </c>
      <c r="K110" s="118">
        <f>IF($D110="",0,'Guide &amp; Settings'!$C$43*(IF($E110="Win",1,0)-$I110))</f>
        <v>6</v>
      </c>
      <c r="L110" s="119">
        <f>IF($D110="",0,'Guide &amp; Settings'!$C$44*IF($F110&gt;=3,$F110,0))</f>
        <v>0</v>
      </c>
      <c r="M110" s="118">
        <f t="shared" si="20"/>
        <v>20.138800551081921</v>
      </c>
      <c r="N110" s="116">
        <f t="shared" si="21"/>
        <v>1051.5351713835635</v>
      </c>
      <c r="O110" s="115" t="str">
        <f t="shared" si="22"/>
        <v>OK</v>
      </c>
      <c r="P110">
        <f t="shared" si="23"/>
        <v>1031.3963708324816</v>
      </c>
      <c r="Q110">
        <f t="shared" si="24"/>
        <v>0.5</v>
      </c>
      <c r="R110">
        <f t="shared" si="25"/>
        <v>0.5</v>
      </c>
      <c r="S110">
        <f t="shared" si="26"/>
        <v>1</v>
      </c>
      <c r="T110" s="83">
        <f t="shared" si="27"/>
        <v>2</v>
      </c>
      <c r="U110" s="120">
        <f>IF($D110="",0,IFERROR(LOOKUP(2,1/(($D$3:D109=$D110)*($C$3:C109=$C110)*($A$3:A109&lt;$A110)),$AB$3:AB109),1000))</f>
        <v>1011.4773580873075</v>
      </c>
      <c r="V110" s="120">
        <f t="shared" si="28"/>
        <v>1025.7052243338603</v>
      </c>
      <c r="W110">
        <f t="shared" si="29"/>
        <v>1025.7052243338603</v>
      </c>
      <c r="X110">
        <f t="shared" si="30"/>
        <v>0.5</v>
      </c>
      <c r="Y110">
        <f t="shared" si="31"/>
        <v>1011.4773580873075</v>
      </c>
      <c r="Z110">
        <f t="shared" si="32"/>
        <v>0.5</v>
      </c>
      <c r="AA110">
        <f>IF($D110="",0,IF($F110&lt;2,0,IF($E110="Win",('Guide &amp; Settings'!$C$42/(($F110-1)*COUNTIFS($A$4:$A$810,$A110,$E$4:$E$810,"Win")))*SUMIFS($Z$4:$Z$810,$A$4:$A$810,$A110,$E$4:$E$810,"Loss"),-('Guide &amp; Settings'!$C$42/($F110-1))*$Z110)))</f>
        <v>16.177903250777021</v>
      </c>
      <c r="AB110" s="120">
        <f t="shared" si="33"/>
        <v>1027.6552613380845</v>
      </c>
      <c r="AC110" s="120">
        <f>IF($D110="","",IF(SUMPRODUCT(MAX(($D$4:$D$810=$D110)*($B$4:$B$810&lt;$B110)*$B$4:$B$810))=0,0,MAX(($B110-MAX(SUMPRODUCT(MAX(($D$4:$D$810=$D110)*($B$4:$B$810&lt;$B110)*$B$4:$B$810)),'Guide &amp; Settings'!$C$50))/7-'Guide &amp; Settings'!$C$48,0)*'Guide &amp; Settings'!$C$49))</f>
        <v>0</v>
      </c>
    </row>
    <row r="111" spans="1:29" ht="15" customHeight="1" x14ac:dyDescent="0.2">
      <c r="A111" s="111">
        <v>50</v>
      </c>
      <c r="B111" s="112">
        <v>46177</v>
      </c>
      <c r="C111" s="113" t="s">
        <v>195</v>
      </c>
      <c r="D111" s="113" t="s">
        <v>169</v>
      </c>
      <c r="E111" s="111" t="s">
        <v>309</v>
      </c>
      <c r="F111" s="114">
        <f t="shared" si="17"/>
        <v>2</v>
      </c>
      <c r="G111" s="115" t="str">
        <f t="shared" si="18"/>
        <v>Dean B</v>
      </c>
      <c r="H111" s="116">
        <f>IF($D111="",0,IFERROR(LOOKUP(2,1/(($D$3:D110=$D111)*($A$3:A110&lt;$A111)),$N$3:N110),'Guide &amp; Settings'!$C$41))</f>
        <v>960.91829655681227</v>
      </c>
      <c r="I111" s="117">
        <f t="shared" si="19"/>
        <v>0.5</v>
      </c>
      <c r="J111" s="118">
        <f>IF($D111="",0,IF($F111&lt;2,0,IF($E111="Win",('Guide &amp; Settings'!$C$42/(($F111-1)*COUNTIFS($A$4:$A$810,$A111,$E$4:$E$810,"Win")))*SUMIFS($X$4:$X$810,$A$4:$A$810,$A111,$E$4:$E$810,"Loss"),-('Guide &amp; Settings'!$C$42/($F111-1))*$X111)))</f>
        <v>-14.138800551081921</v>
      </c>
      <c r="K111" s="118">
        <f>IF($D111="",0,'Guide &amp; Settings'!$C$43*(IF($E111="Win",1,0)-$I111))</f>
        <v>-6</v>
      </c>
      <c r="L111" s="119">
        <f>IF($D111="",0,'Guide &amp; Settings'!$C$44*IF($F111&gt;=3,$F111,0))</f>
        <v>0</v>
      </c>
      <c r="M111" s="118">
        <f t="shared" si="20"/>
        <v>-20.138800551081921</v>
      </c>
      <c r="N111" s="116">
        <f t="shared" si="21"/>
        <v>940.77949600573038</v>
      </c>
      <c r="O111" s="115" t="str">
        <f t="shared" si="22"/>
        <v>OK</v>
      </c>
      <c r="P111">
        <f t="shared" si="23"/>
        <v>1031.3963708324816</v>
      </c>
      <c r="Q111">
        <f t="shared" si="24"/>
        <v>0.39994256939449746</v>
      </c>
      <c r="R111">
        <f t="shared" si="25"/>
        <v>0.5</v>
      </c>
      <c r="S111">
        <f t="shared" si="26"/>
        <v>1</v>
      </c>
      <c r="T111" s="83">
        <f t="shared" si="27"/>
        <v>4</v>
      </c>
      <c r="U111" s="120">
        <f>IF($D111="",0,IFERROR(LOOKUP(2,1/(($D$3:D110=$D111)*($C$3:C110=$C111)*($A$3:A110&lt;$A111)),$AB$3:AB110),1000))</f>
        <v>1015.3406373059906</v>
      </c>
      <c r="V111" s="120">
        <f t="shared" si="28"/>
        <v>985.10600355644715</v>
      </c>
      <c r="W111">
        <f t="shared" si="29"/>
        <v>1025.7052243338603</v>
      </c>
      <c r="X111">
        <f t="shared" si="30"/>
        <v>0.44183751722131004</v>
      </c>
      <c r="Y111">
        <f t="shared" si="31"/>
        <v>1011.4773580873075</v>
      </c>
      <c r="Z111">
        <f t="shared" si="32"/>
        <v>0.50555947658678191</v>
      </c>
      <c r="AA111">
        <f>IF($D111="",0,IF($F111&lt;2,0,IF($E111="Win",('Guide &amp; Settings'!$C$42/(($F111-1)*COUNTIFS($A$4:$A$810,$A111,$E$4:$E$810,"Win")))*SUMIFS($Z$4:$Z$810,$A$4:$A$810,$A111,$E$4:$E$810,"Loss"),-('Guide &amp; Settings'!$C$42/($F111-1))*$Z111)))</f>
        <v>-16.177903250777021</v>
      </c>
      <c r="AB111" s="120">
        <f t="shared" si="33"/>
        <v>999.1627340552136</v>
      </c>
      <c r="AC111" s="120">
        <f>IF($D111="","",IF(SUMPRODUCT(MAX(($D$4:$D$810=$D111)*($B$4:$B$810&lt;$B111)*$B$4:$B$810))=0,0,MAX(($B111-MAX(SUMPRODUCT(MAX(($D$4:$D$810=$D111)*($B$4:$B$810&lt;$B111)*$B$4:$B$810)),'Guide &amp; Settings'!$C$50))/7-'Guide &amp; Settings'!$C$48,0)*'Guide &amp; Settings'!$C$49))</f>
        <v>0</v>
      </c>
    </row>
    <row r="112" spans="1:29" ht="15" customHeight="1" x14ac:dyDescent="0.2">
      <c r="A112" s="111">
        <v>51</v>
      </c>
      <c r="B112" s="112">
        <v>46177</v>
      </c>
      <c r="C112" s="113" t="s">
        <v>195</v>
      </c>
      <c r="D112" s="113" t="s">
        <v>167</v>
      </c>
      <c r="E112" s="111" t="s">
        <v>308</v>
      </c>
      <c r="F112" s="114">
        <f t="shared" si="17"/>
        <v>2</v>
      </c>
      <c r="G112" s="115" t="str">
        <f t="shared" si="18"/>
        <v>Dean B</v>
      </c>
      <c r="H112" s="116">
        <f>IF($D112="",0,IFERROR(LOOKUP(2,1/(($D$3:D111=$D112)*($A$3:A111&lt;$A112)),$N$3:N111),'Guide &amp; Settings'!$C$41))</f>
        <v>1051.5351713835635</v>
      </c>
      <c r="I112" s="117">
        <f t="shared" si="19"/>
        <v>0.58333333333333337</v>
      </c>
      <c r="J112" s="118">
        <f>IF($D112="",0,IF($F112&lt;2,0,IF($E112="Win",('Guide &amp; Settings'!$C$42/(($F112-1)*COUNTIFS($A$4:$A$810,$A112,$E$4:$E$810,"Win")))*SUMIFS($X$4:$X$810,$A$4:$A$810,$A112,$E$4:$E$810,"Loss"),-('Guide &amp; Settings'!$C$42/($F112-1))*$X112)))</f>
        <v>12.704071969967577</v>
      </c>
      <c r="K112" s="118">
        <f>IF($D112="",0,'Guide &amp; Settings'!$C$43*(IF($E112="Win",1,0)-$I112))</f>
        <v>5</v>
      </c>
      <c r="L112" s="119">
        <f>IF($D112="",0,'Guide &amp; Settings'!$C$44*IF($F112&gt;=3,$F112,0))</f>
        <v>0</v>
      </c>
      <c r="M112" s="118">
        <f t="shared" si="20"/>
        <v>17.704071969967579</v>
      </c>
      <c r="N112" s="116">
        <f t="shared" si="21"/>
        <v>1069.239243353531</v>
      </c>
      <c r="O112" s="115" t="str">
        <f t="shared" si="22"/>
        <v>OK</v>
      </c>
      <c r="P112">
        <f t="shared" si="23"/>
        <v>1051.5351713835635</v>
      </c>
      <c r="Q112">
        <f t="shared" si="24"/>
        <v>0.5</v>
      </c>
      <c r="R112">
        <f t="shared" si="25"/>
        <v>0.6</v>
      </c>
      <c r="S112">
        <f t="shared" si="26"/>
        <v>1.0285714285714285</v>
      </c>
      <c r="T112" s="83">
        <f t="shared" si="27"/>
        <v>3</v>
      </c>
      <c r="U112" s="120">
        <f>IF($D112="",0,IFERROR(LOOKUP(2,1/(($D$3:D111=$D112)*($C$3:C111=$C112)*($A$3:A111&lt;$A112)),$AB$3:AB111),1000))</f>
        <v>1027.6552613380845</v>
      </c>
      <c r="V112" s="120">
        <f t="shared" si="28"/>
        <v>1042.5802051165088</v>
      </c>
      <c r="W112">
        <f t="shared" si="29"/>
        <v>1042.5802051165088</v>
      </c>
      <c r="X112">
        <f t="shared" si="30"/>
        <v>0.5</v>
      </c>
      <c r="Y112">
        <f t="shared" si="31"/>
        <v>1027.6552613380845</v>
      </c>
      <c r="Z112">
        <f t="shared" si="32"/>
        <v>0.5</v>
      </c>
      <c r="AA112">
        <f>IF($D112="",0,IF($F112&lt;2,0,IF($E112="Win",('Guide &amp; Settings'!$C$42/(($F112-1)*COUNTIFS($A$4:$A$810,$A112,$E$4:$E$810,"Win")))*SUMIFS($Z$4:$Z$810,$A$4:$A$810,$A112,$E$4:$E$810,"Loss"),-('Guide &amp; Settings'!$C$42/($F112-1))*$Z112)))</f>
        <v>14.690804236113944</v>
      </c>
      <c r="AB112" s="120">
        <f t="shared" si="33"/>
        <v>1042.3460655741985</v>
      </c>
      <c r="AC112" s="120">
        <f>IF($D112="","",IF(SUMPRODUCT(MAX(($D$4:$D$810=$D112)*($B$4:$B$810&lt;$B112)*$B$4:$B$810))=0,0,MAX(($B112-MAX(SUMPRODUCT(MAX(($D$4:$D$810=$D112)*($B$4:$B$810&lt;$B112)*$B$4:$B$810)),'Guide &amp; Settings'!$C$50))/7-'Guide &amp; Settings'!$C$48,0)*'Guide &amp; Settings'!$C$49))</f>
        <v>0</v>
      </c>
    </row>
    <row r="113" spans="1:29" ht="15" customHeight="1" x14ac:dyDescent="0.2">
      <c r="A113" s="111">
        <v>51</v>
      </c>
      <c r="B113" s="112">
        <v>46177</v>
      </c>
      <c r="C113" s="113" t="s">
        <v>195</v>
      </c>
      <c r="D113" s="113" t="s">
        <v>169</v>
      </c>
      <c r="E113" s="111" t="s">
        <v>309</v>
      </c>
      <c r="F113" s="114">
        <f t="shared" si="17"/>
        <v>2</v>
      </c>
      <c r="G113" s="115" t="str">
        <f t="shared" si="18"/>
        <v>Dean B</v>
      </c>
      <c r="H113" s="116">
        <f>IF($D113="",0,IFERROR(LOOKUP(2,1/(($D$3:D112=$D113)*($A$3:A112&lt;$A113)),$N$3:N112),'Guide &amp; Settings'!$C$41))</f>
        <v>940.77949600573038</v>
      </c>
      <c r="I113" s="117">
        <f t="shared" si="19"/>
        <v>0.41666666666666669</v>
      </c>
      <c r="J113" s="118">
        <f>IF($D113="",0,IF($F113&lt;2,0,IF($E113="Win",('Guide &amp; Settings'!$C$42/(($F113-1)*COUNTIFS($A$4:$A$810,$A113,$E$4:$E$810,"Win")))*SUMIFS($X$4:$X$810,$A$4:$A$810,$A113,$E$4:$E$810,"Loss"),-('Guide &amp; Settings'!$C$42/($F113-1))*$X113)))</f>
        <v>-12.704071969967577</v>
      </c>
      <c r="K113" s="118">
        <f>IF($D113="",0,'Guide &amp; Settings'!$C$43*(IF($E113="Win",1,0)-$I113))</f>
        <v>-5</v>
      </c>
      <c r="L113" s="119">
        <f>IF($D113="",0,'Guide &amp; Settings'!$C$44*IF($F113&gt;=3,$F113,0))</f>
        <v>0</v>
      </c>
      <c r="M113" s="118">
        <f t="shared" si="20"/>
        <v>-17.704071969967579</v>
      </c>
      <c r="N113" s="116">
        <f t="shared" si="21"/>
        <v>923.07542403576281</v>
      </c>
      <c r="O113" s="115" t="str">
        <f t="shared" si="22"/>
        <v>OK</v>
      </c>
      <c r="P113">
        <f t="shared" si="23"/>
        <v>1051.5351713835635</v>
      </c>
      <c r="Q113">
        <f t="shared" si="24"/>
        <v>0.34579810519368054</v>
      </c>
      <c r="R113">
        <f t="shared" si="25"/>
        <v>0.42857142857142855</v>
      </c>
      <c r="S113">
        <f t="shared" si="26"/>
        <v>1.0285714285714285</v>
      </c>
      <c r="T113" s="83">
        <f t="shared" si="27"/>
        <v>5</v>
      </c>
      <c r="U113" s="120">
        <f>IF($D113="",0,IFERROR(LOOKUP(2,1/(($D$3:D112=$D113)*($C$3:C112=$C113)*($A$3:A112&lt;$A113)),$AB$3:AB112),1000))</f>
        <v>999.1627340552136</v>
      </c>
      <c r="V113" s="120">
        <f t="shared" si="28"/>
        <v>969.97111503047199</v>
      </c>
      <c r="W113">
        <f t="shared" si="29"/>
        <v>1042.5802051165088</v>
      </c>
      <c r="X113">
        <f t="shared" si="30"/>
        <v>0.39700224906148679</v>
      </c>
      <c r="Y113">
        <f t="shared" si="31"/>
        <v>1027.6552613380845</v>
      </c>
      <c r="Z113">
        <f t="shared" si="32"/>
        <v>0.45908763237856076</v>
      </c>
      <c r="AA113">
        <f>IF($D113="",0,IF($F113&lt;2,0,IF($E113="Win",('Guide &amp; Settings'!$C$42/(($F113-1)*COUNTIFS($A$4:$A$810,$A113,$E$4:$E$810,"Win")))*SUMIFS($Z$4:$Z$810,$A$4:$A$810,$A113,$E$4:$E$810,"Loss"),-('Guide &amp; Settings'!$C$42/($F113-1))*$Z113)))</f>
        <v>-14.690804236113944</v>
      </c>
      <c r="AB113" s="120">
        <f t="shared" si="33"/>
        <v>984.47192981909961</v>
      </c>
      <c r="AC113" s="120">
        <f>IF($D113="","",IF(SUMPRODUCT(MAX(($D$4:$D$810=$D113)*($B$4:$B$810&lt;$B113)*$B$4:$B$810))=0,0,MAX(($B113-MAX(SUMPRODUCT(MAX(($D$4:$D$810=$D113)*($B$4:$B$810&lt;$B113)*$B$4:$B$810)),'Guide &amp; Settings'!$C$50))/7-'Guide &amp; Settings'!$C$48,0)*'Guide &amp; Settings'!$C$49))</f>
        <v>0</v>
      </c>
    </row>
    <row r="114" spans="1:29" ht="15" customHeight="1" x14ac:dyDescent="0.2">
      <c r="A114" s="111">
        <v>52</v>
      </c>
      <c r="B114" s="112">
        <v>46177</v>
      </c>
      <c r="C114" s="113" t="s">
        <v>195</v>
      </c>
      <c r="D114" s="113" t="s">
        <v>167</v>
      </c>
      <c r="E114" s="111" t="s">
        <v>308</v>
      </c>
      <c r="F114" s="114">
        <f t="shared" si="17"/>
        <v>2</v>
      </c>
      <c r="G114" s="115" t="str">
        <f t="shared" si="18"/>
        <v>Dean B</v>
      </c>
      <c r="H114" s="116">
        <f>IF($D114="",0,IFERROR(LOOKUP(2,1/(($D$3:D113=$D114)*($A$3:A113&lt;$A114)),$N$3:N113),'Guide &amp; Settings'!$C$41))</f>
        <v>1069.239243353531</v>
      </c>
      <c r="I114" s="117">
        <f t="shared" si="19"/>
        <v>0.64</v>
      </c>
      <c r="J114" s="118">
        <f>IF($D114="",0,IF($F114&lt;2,0,IF($E114="Win",('Guide &amp; Settings'!$C$42/(($F114-1)*COUNTIFS($A$4:$A$810,$A114,$E$4:$E$810,"Win")))*SUMIFS($X$4:$X$810,$A$4:$A$810,$A114,$E$4:$E$810,"Loss"),-('Guide &amp; Settings'!$C$42/($F114-1))*$X114)))</f>
        <v>11.487285309072599</v>
      </c>
      <c r="K114" s="118">
        <f>IF($D114="",0,'Guide &amp; Settings'!$C$43*(IF($E114="Win",1,0)-$I114))</f>
        <v>4.32</v>
      </c>
      <c r="L114" s="119">
        <f>IF($D114="",0,'Guide &amp; Settings'!$C$44*IF($F114&gt;=3,$F114,0))</f>
        <v>0</v>
      </c>
      <c r="M114" s="118">
        <f t="shared" si="20"/>
        <v>15.807285309072599</v>
      </c>
      <c r="N114" s="116">
        <f t="shared" si="21"/>
        <v>1085.0465286626036</v>
      </c>
      <c r="O114" s="115" t="str">
        <f t="shared" si="22"/>
        <v>OK</v>
      </c>
      <c r="P114">
        <f t="shared" si="23"/>
        <v>1069.239243353531</v>
      </c>
      <c r="Q114">
        <f t="shared" si="24"/>
        <v>0.5</v>
      </c>
      <c r="R114">
        <f t="shared" si="25"/>
        <v>0.66666666666666663</v>
      </c>
      <c r="S114">
        <f t="shared" si="26"/>
        <v>1.0416666666666665</v>
      </c>
      <c r="T114" s="83">
        <f t="shared" si="27"/>
        <v>4</v>
      </c>
      <c r="U114" s="120">
        <f>IF($D114="",0,IFERROR(LOOKUP(2,1/(($D$3:D113=$D114)*($C$3:C113=$C114)*($A$3:A113&lt;$A114)),$AB$3:AB113),1000))</f>
        <v>1042.3460655741985</v>
      </c>
      <c r="V114" s="120">
        <f t="shared" si="28"/>
        <v>1057.2867198960498</v>
      </c>
      <c r="W114">
        <f t="shared" si="29"/>
        <v>1057.2867198960498</v>
      </c>
      <c r="X114">
        <f t="shared" si="30"/>
        <v>0.5</v>
      </c>
      <c r="Y114">
        <f t="shared" si="31"/>
        <v>1042.3460655741985</v>
      </c>
      <c r="Z114">
        <f t="shared" si="32"/>
        <v>0.5</v>
      </c>
      <c r="AA114">
        <f>IF($D114="",0,IF($F114&lt;2,0,IF($E114="Win",('Guide &amp; Settings'!$C$42/(($F114-1)*COUNTIFS($A$4:$A$810,$A114,$E$4:$E$810,"Win")))*SUMIFS($Z$4:$Z$810,$A$4:$A$810,$A114,$E$4:$E$810,"Loss"),-('Guide &amp; Settings'!$C$42/($F114-1))*$Z114)))</f>
        <v>13.359177704896565</v>
      </c>
      <c r="AB114" s="120">
        <f t="shared" si="33"/>
        <v>1055.7052432790952</v>
      </c>
      <c r="AC114" s="120">
        <f>IF($D114="","",IF(SUMPRODUCT(MAX(($D$4:$D$810=$D114)*($B$4:$B$810&lt;$B114)*$B$4:$B$810))=0,0,MAX(($B114-MAX(SUMPRODUCT(MAX(($D$4:$D$810=$D114)*($B$4:$B$810&lt;$B114)*$B$4:$B$810)),'Guide &amp; Settings'!$C$50))/7-'Guide &amp; Settings'!$C$48,0)*'Guide &amp; Settings'!$C$49))</f>
        <v>0</v>
      </c>
    </row>
    <row r="115" spans="1:29" ht="15" customHeight="1" x14ac:dyDescent="0.2">
      <c r="A115" s="111">
        <v>52</v>
      </c>
      <c r="B115" s="112">
        <v>46177</v>
      </c>
      <c r="C115" s="113" t="s">
        <v>195</v>
      </c>
      <c r="D115" s="113" t="s">
        <v>169</v>
      </c>
      <c r="E115" s="111" t="s">
        <v>309</v>
      </c>
      <c r="F115" s="114">
        <f t="shared" si="17"/>
        <v>2</v>
      </c>
      <c r="G115" s="115" t="str">
        <f t="shared" si="18"/>
        <v>Dean B</v>
      </c>
      <c r="H115" s="116">
        <f>IF($D115="",0,IFERROR(LOOKUP(2,1/(($D$3:D114=$D115)*($A$3:A114&lt;$A115)),$N$3:N114),'Guide &amp; Settings'!$C$41))</f>
        <v>923.07542403576281</v>
      </c>
      <c r="I115" s="117">
        <f t="shared" si="19"/>
        <v>0.36000000000000004</v>
      </c>
      <c r="J115" s="118">
        <f>IF($D115="",0,IF($F115&lt;2,0,IF($E115="Win",('Guide &amp; Settings'!$C$42/(($F115-1)*COUNTIFS($A$4:$A$810,$A115,$E$4:$E$810,"Win")))*SUMIFS($X$4:$X$810,$A$4:$A$810,$A115,$E$4:$E$810,"Loss"),-('Guide &amp; Settings'!$C$42/($F115-1))*$X115)))</f>
        <v>-11.487285309072599</v>
      </c>
      <c r="K115" s="118">
        <f>IF($D115="",0,'Guide &amp; Settings'!$C$43*(IF($E115="Win",1,0)-$I115))</f>
        <v>-4.32</v>
      </c>
      <c r="L115" s="119">
        <f>IF($D115="",0,'Guide &amp; Settings'!$C$44*IF($F115&gt;=3,$F115,0))</f>
        <v>0</v>
      </c>
      <c r="M115" s="118">
        <f t="shared" si="20"/>
        <v>-15.807285309072599</v>
      </c>
      <c r="N115" s="116">
        <f t="shared" si="21"/>
        <v>907.26813872669015</v>
      </c>
      <c r="O115" s="115" t="str">
        <f t="shared" si="22"/>
        <v>OK</v>
      </c>
      <c r="P115">
        <f t="shared" si="23"/>
        <v>1069.239243353531</v>
      </c>
      <c r="Q115">
        <f t="shared" si="24"/>
        <v>0.30124283487616771</v>
      </c>
      <c r="R115">
        <f t="shared" si="25"/>
        <v>0.375</v>
      </c>
      <c r="S115">
        <f t="shared" si="26"/>
        <v>1.0416666666666665</v>
      </c>
      <c r="T115" s="83">
        <f t="shared" si="27"/>
        <v>6</v>
      </c>
      <c r="U115" s="120">
        <f>IF($D115="",0,IFERROR(LOOKUP(2,1/(($D$3:D114=$D115)*($C$3:C114=$C115)*($A$3:A114&lt;$A115)),$AB$3:AB114),1000))</f>
        <v>984.47192981909961</v>
      </c>
      <c r="V115" s="120">
        <f t="shared" si="28"/>
        <v>956.5644271903102</v>
      </c>
      <c r="W115">
        <f t="shared" si="29"/>
        <v>1057.2867198960498</v>
      </c>
      <c r="X115">
        <f t="shared" si="30"/>
        <v>0.35897766590851871</v>
      </c>
      <c r="Y115">
        <f t="shared" si="31"/>
        <v>1042.3460655741985</v>
      </c>
      <c r="Z115">
        <f t="shared" si="32"/>
        <v>0.41747430327801766</v>
      </c>
      <c r="AA115">
        <f>IF($D115="",0,IF($F115&lt;2,0,IF($E115="Win",('Guide &amp; Settings'!$C$42/(($F115-1)*COUNTIFS($A$4:$A$810,$A115,$E$4:$E$810,"Win")))*SUMIFS($Z$4:$Z$810,$A$4:$A$810,$A115,$E$4:$E$810,"Loss"),-('Guide &amp; Settings'!$C$42/($F115-1))*$Z115)))</f>
        <v>-13.359177704896565</v>
      </c>
      <c r="AB115" s="120">
        <f t="shared" si="33"/>
        <v>971.11275211420309</v>
      </c>
      <c r="AC115" s="120">
        <f>IF($D115="","",IF(SUMPRODUCT(MAX(($D$4:$D$810=$D115)*($B$4:$B$810&lt;$B115)*$B$4:$B$810))=0,0,MAX(($B115-MAX(SUMPRODUCT(MAX(($D$4:$D$810=$D115)*($B$4:$B$810&lt;$B115)*$B$4:$B$810)),'Guide &amp; Settings'!$C$50))/7-'Guide &amp; Settings'!$C$48,0)*'Guide &amp; Settings'!$C$49))</f>
        <v>0</v>
      </c>
    </row>
    <row r="116" spans="1:29" ht="15" customHeight="1" x14ac:dyDescent="0.2">
      <c r="A116" s="111">
        <v>53</v>
      </c>
      <c r="B116" s="112">
        <v>46177</v>
      </c>
      <c r="C116" s="113" t="s">
        <v>185</v>
      </c>
      <c r="D116" s="113" t="s">
        <v>169</v>
      </c>
      <c r="E116" s="111" t="s">
        <v>308</v>
      </c>
      <c r="F116" s="114">
        <f t="shared" si="17"/>
        <v>2</v>
      </c>
      <c r="G116" s="115" t="str">
        <f t="shared" si="18"/>
        <v>Oscar</v>
      </c>
      <c r="H116" s="116">
        <f>IF($D116="",0,IFERROR(LOOKUP(2,1/(($D$3:D115=$D116)*($A$3:A115&lt;$A116)),$N$3:N115),'Guide &amp; Settings'!$C$41))</f>
        <v>907.26813872669015</v>
      </c>
      <c r="I116" s="117">
        <f t="shared" si="19"/>
        <v>0.29411764705882354</v>
      </c>
      <c r="J116" s="118">
        <f>IF($D116="",0,IF($F116&lt;2,0,IF($E116="Win",('Guide &amp; Settings'!$C$42/(($F116-1)*COUNTIFS($A$4:$A$810,$A116,$E$4:$E$810,"Win")))*SUMIFS($X$4:$X$810,$A$4:$A$810,$A116,$E$4:$E$810,"Loss"),-('Guide &amp; Settings'!$C$42/($F116-1))*$X116)))</f>
        <v>21.843735818307859</v>
      </c>
      <c r="K116" s="118">
        <f>IF($D116="",0,'Guide &amp; Settings'!$C$43*(IF($E116="Win",1,0)-$I116))</f>
        <v>8.470588235294116</v>
      </c>
      <c r="L116" s="119">
        <f>IF($D116="",0,'Guide &amp; Settings'!$C$44*IF($F116&gt;=3,$F116,0))</f>
        <v>0</v>
      </c>
      <c r="M116" s="118">
        <f t="shared" si="20"/>
        <v>30.314324053601975</v>
      </c>
      <c r="N116" s="116">
        <f t="shared" si="21"/>
        <v>937.58246278029208</v>
      </c>
      <c r="O116" s="115" t="str">
        <f t="shared" si="22"/>
        <v>OK</v>
      </c>
      <c r="P116">
        <f t="shared" si="23"/>
        <v>907.26813872669015</v>
      </c>
      <c r="Q116">
        <f t="shared" si="24"/>
        <v>0.5</v>
      </c>
      <c r="R116">
        <f t="shared" si="25"/>
        <v>0.25</v>
      </c>
      <c r="S116">
        <f t="shared" si="26"/>
        <v>0.85</v>
      </c>
      <c r="T116" s="83">
        <f t="shared" si="27"/>
        <v>2</v>
      </c>
      <c r="U116" s="120">
        <f>IF($D116="",0,IFERROR(LOOKUP(2,1/(($D$3:D115=$D116)*($C$3:C115=$C116)*($A$3:A115&lt;$A116)),$AB$3:AB115),1000))</f>
        <v>969.46950152897546</v>
      </c>
      <c r="V116" s="120">
        <f t="shared" si="28"/>
        <v>925.03995667020035</v>
      </c>
      <c r="W116">
        <f t="shared" si="29"/>
        <v>925.03995667020035</v>
      </c>
      <c r="X116">
        <f t="shared" si="30"/>
        <v>0.5</v>
      </c>
      <c r="Y116">
        <f t="shared" si="31"/>
        <v>969.46950152897546</v>
      </c>
      <c r="Z116">
        <f t="shared" si="32"/>
        <v>0.5</v>
      </c>
      <c r="AA116">
        <f>IF($D116="",0,IF($F116&lt;2,0,IF($E116="Win",('Guide &amp; Settings'!$C$42/(($F116-1)*COUNTIFS($A$4:$A$810,$A116,$E$4:$E$810,"Win")))*SUMIFS($Z$4:$Z$810,$A$4:$A$810,$A116,$E$4:$E$810,"Loss"),-('Guide &amp; Settings'!$C$42/($F116-1))*$Z116)))</f>
        <v>18.000037876065491</v>
      </c>
      <c r="AB116" s="120">
        <f t="shared" si="33"/>
        <v>987.4695394050409</v>
      </c>
      <c r="AC116" s="120">
        <f>IF($D116="","",IF(SUMPRODUCT(MAX(($D$4:$D$810=$D116)*($B$4:$B$810&lt;$B116)*$B$4:$B$810))=0,0,MAX(($B116-MAX(SUMPRODUCT(MAX(($D$4:$D$810=$D116)*($B$4:$B$810&lt;$B116)*$B$4:$B$810)),'Guide &amp; Settings'!$C$50))/7-'Guide &amp; Settings'!$C$48,0)*'Guide &amp; Settings'!$C$49))</f>
        <v>0</v>
      </c>
    </row>
    <row r="117" spans="1:29" ht="15" customHeight="1" x14ac:dyDescent="0.2">
      <c r="A117" s="111">
        <v>53</v>
      </c>
      <c r="B117" s="112">
        <v>46177</v>
      </c>
      <c r="C117" s="113" t="s">
        <v>185</v>
      </c>
      <c r="D117" s="113" t="s">
        <v>167</v>
      </c>
      <c r="E117" s="111" t="s">
        <v>309</v>
      </c>
      <c r="F117" s="114">
        <f t="shared" si="17"/>
        <v>2</v>
      </c>
      <c r="G117" s="115" t="str">
        <f t="shared" si="18"/>
        <v>Oscar</v>
      </c>
      <c r="H117" s="116">
        <f>IF($D117="",0,IFERROR(LOOKUP(2,1/(($D$3:D116=$D117)*($A$3:A116&lt;$A117)),$N$3:N116),'Guide &amp; Settings'!$C$41))</f>
        <v>1085.0465286626036</v>
      </c>
      <c r="I117" s="117">
        <f t="shared" si="19"/>
        <v>0.70588235294117652</v>
      </c>
      <c r="J117" s="118">
        <f>IF($D117="",0,IF($F117&lt;2,0,IF($E117="Win",('Guide &amp; Settings'!$C$42/(($F117-1)*COUNTIFS($A$4:$A$810,$A117,$E$4:$E$810,"Win")))*SUMIFS($X$4:$X$810,$A$4:$A$810,$A117,$E$4:$E$810,"Loss"),-('Guide &amp; Settings'!$C$42/($F117-1))*$X117)))</f>
        <v>-21.843735818307859</v>
      </c>
      <c r="K117" s="118">
        <f>IF($D117="",0,'Guide &amp; Settings'!$C$43*(IF($E117="Win",1,0)-$I117))</f>
        <v>-8.4705882352941178</v>
      </c>
      <c r="L117" s="119">
        <f>IF($D117="",0,'Guide &amp; Settings'!$C$44*IF($F117&gt;=3,$F117,0))</f>
        <v>0</v>
      </c>
      <c r="M117" s="118">
        <f t="shared" si="20"/>
        <v>-30.314324053601979</v>
      </c>
      <c r="N117" s="116">
        <f t="shared" si="21"/>
        <v>1054.7322046090017</v>
      </c>
      <c r="O117" s="115" t="str">
        <f t="shared" si="22"/>
        <v>OK</v>
      </c>
      <c r="P117">
        <f t="shared" si="23"/>
        <v>907.26813872669015</v>
      </c>
      <c r="Q117">
        <f t="shared" si="24"/>
        <v>0.73562942404501963</v>
      </c>
      <c r="R117">
        <f t="shared" si="25"/>
        <v>0.6</v>
      </c>
      <c r="S117">
        <f t="shared" si="26"/>
        <v>0.85</v>
      </c>
      <c r="T117" s="83">
        <f t="shared" si="27"/>
        <v>3</v>
      </c>
      <c r="U117" s="120">
        <f>IF($D117="",0,IFERROR(LOOKUP(2,1/(($D$3:D116=$D117)*($C$3:C116=$C117)*($A$3:A116&lt;$A117)),$AB$3:AB116),1000))</f>
        <v>1013.1281248226184</v>
      </c>
      <c r="V117" s="120">
        <f t="shared" si="28"/>
        <v>1058.0771272226093</v>
      </c>
      <c r="W117">
        <f t="shared" si="29"/>
        <v>925.03995667020035</v>
      </c>
      <c r="X117">
        <f t="shared" si="30"/>
        <v>0.68261674432212061</v>
      </c>
      <c r="Y117">
        <f t="shared" si="31"/>
        <v>969.46950152897546</v>
      </c>
      <c r="Z117">
        <f t="shared" si="32"/>
        <v>0.5625011836270466</v>
      </c>
      <c r="AA117">
        <f>IF($D117="",0,IF($F117&lt;2,0,IF($E117="Win",('Guide &amp; Settings'!$C$42/(($F117-1)*COUNTIFS($A$4:$A$810,$A117,$E$4:$E$810,"Win")))*SUMIFS($Z$4:$Z$810,$A$4:$A$810,$A117,$E$4:$E$810,"Loss"),-('Guide &amp; Settings'!$C$42/($F117-1))*$Z117)))</f>
        <v>-18.000037876065491</v>
      </c>
      <c r="AB117" s="120">
        <f t="shared" si="33"/>
        <v>995.12808694655291</v>
      </c>
      <c r="AC117" s="120">
        <f>IF($D117="","",IF(SUMPRODUCT(MAX(($D$4:$D$810=$D117)*($B$4:$B$810&lt;$B117)*$B$4:$B$810))=0,0,MAX(($B117-MAX(SUMPRODUCT(MAX(($D$4:$D$810=$D117)*($B$4:$B$810&lt;$B117)*$B$4:$B$810)),'Guide &amp; Settings'!$C$50))/7-'Guide &amp; Settings'!$C$48,0)*'Guide &amp; Settings'!$C$49))</f>
        <v>0</v>
      </c>
    </row>
    <row r="118" spans="1:29" ht="15" customHeight="1" x14ac:dyDescent="0.2">
      <c r="A118" s="111">
        <v>54</v>
      </c>
      <c r="B118" s="112">
        <v>46177</v>
      </c>
      <c r="C118" s="113" t="s">
        <v>185</v>
      </c>
      <c r="D118" s="113" t="s">
        <v>169</v>
      </c>
      <c r="E118" s="111" t="s">
        <v>308</v>
      </c>
      <c r="F118" s="114">
        <f t="shared" si="17"/>
        <v>2</v>
      </c>
      <c r="G118" s="115" t="str">
        <f t="shared" si="18"/>
        <v>Oscar</v>
      </c>
      <c r="H118" s="116">
        <f>IF($D118="",0,IFERROR(LOOKUP(2,1/(($D$3:D117=$D118)*($A$3:A117&lt;$A118)),$N$3:N117),'Guide &amp; Settings'!$C$41))</f>
        <v>937.58246278029208</v>
      </c>
      <c r="I118" s="117">
        <f t="shared" si="19"/>
        <v>0.44444444444444448</v>
      </c>
      <c r="J118" s="118">
        <f>IF($D118="",0,IF($F118&lt;2,0,IF($E118="Win",('Guide &amp; Settings'!$C$42/(($F118-1)*COUNTIFS($A$4:$A$810,$A118,$E$4:$E$810,"Win")))*SUMIFS($X$4:$X$810,$A$4:$A$810,$A118,$E$4:$E$810,"Loss"),-('Guide &amp; Settings'!$C$42/($F118-1))*$X118)))</f>
        <v>18.002361566192853</v>
      </c>
      <c r="K118" s="118">
        <f>IF($D118="",0,'Guide &amp; Settings'!$C$43*(IF($E118="Win",1,0)-$I118))</f>
        <v>6.666666666666667</v>
      </c>
      <c r="L118" s="119">
        <f>IF($D118="",0,'Guide &amp; Settings'!$C$44*IF($F118&gt;=3,$F118,0))</f>
        <v>0</v>
      </c>
      <c r="M118" s="118">
        <f t="shared" si="20"/>
        <v>24.669028232859521</v>
      </c>
      <c r="N118" s="116">
        <f t="shared" si="21"/>
        <v>962.25149101315162</v>
      </c>
      <c r="O118" s="115" t="str">
        <f t="shared" si="22"/>
        <v>OK</v>
      </c>
      <c r="P118">
        <f t="shared" si="23"/>
        <v>937.58246278029208</v>
      </c>
      <c r="Q118">
        <f t="shared" si="24"/>
        <v>0.5</v>
      </c>
      <c r="R118">
        <f t="shared" si="25"/>
        <v>0.4</v>
      </c>
      <c r="S118">
        <f t="shared" si="26"/>
        <v>0.9</v>
      </c>
      <c r="T118" s="83">
        <f t="shared" si="27"/>
        <v>3</v>
      </c>
      <c r="U118" s="120">
        <f>IF($D118="",0,IFERROR(LOOKUP(2,1/(($D$3:D117=$D118)*($C$3:C117=$C118)*($A$3:A117&lt;$A118)),$AB$3:AB117),1000))</f>
        <v>987.4695394050409</v>
      </c>
      <c r="V118" s="120">
        <f t="shared" si="28"/>
        <v>956.2901165145729</v>
      </c>
      <c r="W118">
        <f t="shared" si="29"/>
        <v>956.2901165145729</v>
      </c>
      <c r="X118">
        <f t="shared" si="30"/>
        <v>0.5</v>
      </c>
      <c r="Y118">
        <f t="shared" si="31"/>
        <v>987.4695394050409</v>
      </c>
      <c r="Z118">
        <f t="shared" si="32"/>
        <v>0.5</v>
      </c>
      <c r="AA118">
        <f>IF($D118="",0,IF($F118&lt;2,0,IF($E118="Win",('Guide &amp; Settings'!$C$42/(($F118-1)*COUNTIFS($A$4:$A$810,$A118,$E$4:$E$810,"Win")))*SUMIFS($Z$4:$Z$810,$A$4:$A$810,$A118,$E$4:$E$810,"Loss"),-('Guide &amp; Settings'!$C$42/($F118-1))*$Z118)))</f>
        <v>16.576798971563427</v>
      </c>
      <c r="AB118" s="120">
        <f t="shared" si="33"/>
        <v>1004.0463383766044</v>
      </c>
      <c r="AC118" s="120">
        <f>IF($D118="","",IF(SUMPRODUCT(MAX(($D$4:$D$810=$D118)*($B$4:$B$810&lt;$B118)*$B$4:$B$810))=0,0,MAX(($B118-MAX(SUMPRODUCT(MAX(($D$4:$D$810=$D118)*($B$4:$B$810&lt;$B118)*$B$4:$B$810)),'Guide &amp; Settings'!$C$50))/7-'Guide &amp; Settings'!$C$48,0)*'Guide &amp; Settings'!$C$49))</f>
        <v>0</v>
      </c>
    </row>
    <row r="119" spans="1:29" ht="15" customHeight="1" x14ac:dyDescent="0.2">
      <c r="A119" s="111">
        <v>54</v>
      </c>
      <c r="B119" s="112">
        <v>46177</v>
      </c>
      <c r="C119" s="113" t="s">
        <v>185</v>
      </c>
      <c r="D119" s="113" t="s">
        <v>135</v>
      </c>
      <c r="E119" s="111" t="s">
        <v>309</v>
      </c>
      <c r="F119" s="114">
        <f t="shared" si="17"/>
        <v>2</v>
      </c>
      <c r="G119" s="115" t="str">
        <f t="shared" si="18"/>
        <v>Oscar</v>
      </c>
      <c r="H119" s="116">
        <f>IF($D119="",0,IFERROR(LOOKUP(2,1/(($D$3:D118=$D119)*($A$3:A118&lt;$A119)),$N$3:N118),'Guide &amp; Settings'!$C$41))</f>
        <v>1000</v>
      </c>
      <c r="I119" s="117">
        <f t="shared" si="19"/>
        <v>0.55555555555555558</v>
      </c>
      <c r="J119" s="118">
        <f>IF($D119="",0,IF($F119&lt;2,0,IF($E119="Win",('Guide &amp; Settings'!$C$42/(($F119-1)*COUNTIFS($A$4:$A$810,$A119,$E$4:$E$810,"Win")))*SUMIFS($X$4:$X$810,$A$4:$A$810,$A119,$E$4:$E$810,"Loss"),-('Guide &amp; Settings'!$C$42/($F119-1))*$X119)))</f>
        <v>-18.002361566192853</v>
      </c>
      <c r="K119" s="118">
        <f>IF($D119="",0,'Guide &amp; Settings'!$C$43*(IF($E119="Win",1,0)-$I119))</f>
        <v>-6.666666666666667</v>
      </c>
      <c r="L119" s="119">
        <f>IF($D119="",0,'Guide &amp; Settings'!$C$44*IF($F119&gt;=3,$F119,0))</f>
        <v>0</v>
      </c>
      <c r="M119" s="118">
        <f t="shared" si="20"/>
        <v>-24.669028232859521</v>
      </c>
      <c r="N119" s="116">
        <f t="shared" si="21"/>
        <v>975.33097176714045</v>
      </c>
      <c r="O119" s="115" t="str">
        <f t="shared" si="22"/>
        <v>OK</v>
      </c>
      <c r="P119">
        <f t="shared" si="23"/>
        <v>937.58246278029208</v>
      </c>
      <c r="Q119">
        <f t="shared" si="24"/>
        <v>0.58887199657296974</v>
      </c>
      <c r="R119">
        <f t="shared" si="25"/>
        <v>0.5</v>
      </c>
      <c r="S119">
        <f t="shared" si="26"/>
        <v>0.9</v>
      </c>
      <c r="T119" s="83">
        <f t="shared" si="27"/>
        <v>0</v>
      </c>
      <c r="U119" s="120">
        <f>IF($D119="",0,IFERROR(LOOKUP(2,1/(($D$3:D118=$D119)*($C$3:C118=$C119)*($A$3:A118&lt;$A119)),$AB$3:AB118),1000))</f>
        <v>1000</v>
      </c>
      <c r="V119" s="120">
        <f t="shared" si="28"/>
        <v>1000</v>
      </c>
      <c r="W119">
        <f t="shared" si="29"/>
        <v>956.2901165145729</v>
      </c>
      <c r="X119">
        <f t="shared" si="30"/>
        <v>0.56257379894352666</v>
      </c>
      <c r="Y119">
        <f t="shared" si="31"/>
        <v>987.4695394050409</v>
      </c>
      <c r="Z119">
        <f t="shared" si="32"/>
        <v>0.5180249678613571</v>
      </c>
      <c r="AA119">
        <f>IF($D119="",0,IF($F119&lt;2,0,IF($E119="Win",('Guide &amp; Settings'!$C$42/(($F119-1)*COUNTIFS($A$4:$A$810,$A119,$E$4:$E$810,"Win")))*SUMIFS($Z$4:$Z$810,$A$4:$A$810,$A119,$E$4:$E$810,"Loss"),-('Guide &amp; Settings'!$C$42/($F119-1))*$Z119)))</f>
        <v>-16.576798971563427</v>
      </c>
      <c r="AB119" s="120">
        <f t="shared" si="33"/>
        <v>983.42320102843655</v>
      </c>
      <c r="AC119" s="120">
        <f>IF($D119="","",IF(SUMPRODUCT(MAX(($D$4:$D$810=$D119)*($B$4:$B$810&lt;$B119)*$B$4:$B$810))=0,0,MAX(($B119-MAX(SUMPRODUCT(MAX(($D$4:$D$810=$D119)*($B$4:$B$810&lt;$B119)*$B$4:$B$810)),'Guide &amp; Settings'!$C$50))/7-'Guide &amp; Settings'!$C$48,0)*'Guide &amp; Settings'!$C$49))</f>
        <v>0</v>
      </c>
    </row>
    <row r="120" spans="1:29" ht="15" customHeight="1" x14ac:dyDescent="0.2">
      <c r="A120" s="111">
        <v>55</v>
      </c>
      <c r="B120" s="112">
        <v>46177</v>
      </c>
      <c r="C120" s="113" t="s">
        <v>199</v>
      </c>
      <c r="D120" s="113" t="s">
        <v>134</v>
      </c>
      <c r="E120" s="111" t="s">
        <v>309</v>
      </c>
      <c r="F120" s="114">
        <f t="shared" si="17"/>
        <v>2</v>
      </c>
      <c r="G120" s="115" t="str">
        <f t="shared" si="18"/>
        <v>Oscar</v>
      </c>
      <c r="H120" s="116">
        <f>IF($D120="",0,IFERROR(LOOKUP(2,1/(($D$3:D119=$D120)*($A$3:A119&lt;$A120)),$N$3:N119),'Guide &amp; Settings'!$C$41))</f>
        <v>1007.4743526549773</v>
      </c>
      <c r="I120" s="117">
        <f t="shared" si="19"/>
        <v>0.55555555555555558</v>
      </c>
      <c r="J120" s="118">
        <f>IF($D120="",0,IF($F120&lt;2,0,IF($E120="Win",('Guide &amp; Settings'!$C$42/(($F120-1)*COUNTIFS($A$4:$A$810,$A120,$E$4:$E$810,"Win")))*SUMIFS($X$4:$X$810,$A$4:$A$810,$A120,$E$4:$E$810,"Loss"),-('Guide &amp; Settings'!$C$42/($F120-1))*$X120)))</f>
        <v>-17.74694146669885</v>
      </c>
      <c r="K120" s="118">
        <f>IF($D120="",0,'Guide &amp; Settings'!$C$43*(IF($E120="Win",1,0)-$I120))</f>
        <v>-6.666666666666667</v>
      </c>
      <c r="L120" s="119">
        <f>IF($D120="",0,'Guide &amp; Settings'!$C$44*IF($F120&gt;=3,$F120,0))</f>
        <v>0</v>
      </c>
      <c r="M120" s="118">
        <f t="shared" si="20"/>
        <v>-24.413608133365518</v>
      </c>
      <c r="N120" s="116">
        <f t="shared" si="21"/>
        <v>983.06074452161181</v>
      </c>
      <c r="O120" s="115" t="str">
        <f t="shared" si="22"/>
        <v>OK</v>
      </c>
      <c r="P120">
        <f t="shared" si="23"/>
        <v>962.25149101315162</v>
      </c>
      <c r="Q120">
        <f t="shared" si="24"/>
        <v>0.56471586711762944</v>
      </c>
      <c r="R120">
        <f t="shared" si="25"/>
        <v>0.5</v>
      </c>
      <c r="S120">
        <f t="shared" si="26"/>
        <v>0.9</v>
      </c>
      <c r="T120" s="83">
        <f t="shared" si="27"/>
        <v>0</v>
      </c>
      <c r="U120" s="120">
        <f>IF($D120="",0,IFERROR(LOOKUP(2,1/(($D$3:D119=$D120)*($C$3:C119=$C120)*($A$3:A119&lt;$A120)),$AB$3:AB119),1000))</f>
        <v>1000</v>
      </c>
      <c r="V120" s="120">
        <f t="shared" si="28"/>
        <v>1007.4743526549773</v>
      </c>
      <c r="W120">
        <f t="shared" si="29"/>
        <v>969.38817335921362</v>
      </c>
      <c r="X120">
        <f t="shared" si="30"/>
        <v>0.55459192083433906</v>
      </c>
      <c r="Y120">
        <f t="shared" si="31"/>
        <v>981.2826439359834</v>
      </c>
      <c r="Z120">
        <f t="shared" si="32"/>
        <v>0.52691041177827491</v>
      </c>
      <c r="AA120">
        <f>IF($D120="",0,IF($F120&lt;2,0,IF($E120="Win",('Guide &amp; Settings'!$C$42/(($F120-1)*COUNTIFS($A$4:$A$810,$A120,$E$4:$E$810,"Win")))*SUMIFS($Z$4:$Z$810,$A$4:$A$810,$A120,$E$4:$E$810,"Loss"),-('Guide &amp; Settings'!$C$42/($F120-1))*$Z120)))</f>
        <v>-16.861133176904797</v>
      </c>
      <c r="AB120" s="120">
        <f t="shared" si="33"/>
        <v>983.13886682309521</v>
      </c>
      <c r="AC120" s="120">
        <f>IF($D120="","",IF(SUMPRODUCT(MAX(($D$4:$D$810=$D120)*($B$4:$B$810&lt;$B120)*$B$4:$B$810))=0,0,MAX(($B120-MAX(SUMPRODUCT(MAX(($D$4:$D$810=$D120)*($B$4:$B$810&lt;$B120)*$B$4:$B$810)),'Guide &amp; Settings'!$C$50))/7-'Guide &amp; Settings'!$C$48,0)*'Guide &amp; Settings'!$C$49))</f>
        <v>0</v>
      </c>
    </row>
    <row r="121" spans="1:29" ht="15" customHeight="1" x14ac:dyDescent="0.2">
      <c r="A121" s="111">
        <v>55</v>
      </c>
      <c r="B121" s="112">
        <v>46177</v>
      </c>
      <c r="C121" s="113" t="s">
        <v>199</v>
      </c>
      <c r="D121" s="113" t="s">
        <v>169</v>
      </c>
      <c r="E121" s="111" t="s">
        <v>308</v>
      </c>
      <c r="F121" s="114">
        <f t="shared" si="17"/>
        <v>2</v>
      </c>
      <c r="G121" s="115" t="str">
        <f t="shared" si="18"/>
        <v>Oscar</v>
      </c>
      <c r="H121" s="116">
        <f>IF($D121="",0,IFERROR(LOOKUP(2,1/(($D$3:D120=$D121)*($A$3:A120&lt;$A121)),$N$3:N120),'Guide &amp; Settings'!$C$41))</f>
        <v>962.25149101315162</v>
      </c>
      <c r="I121" s="117">
        <f t="shared" si="19"/>
        <v>0.44444444444444448</v>
      </c>
      <c r="J121" s="118">
        <f>IF($D121="",0,IF($F121&lt;2,0,IF($E121="Win",('Guide &amp; Settings'!$C$42/(($F121-1)*COUNTIFS($A$4:$A$810,$A121,$E$4:$E$810,"Win")))*SUMIFS($X$4:$X$810,$A$4:$A$810,$A121,$E$4:$E$810,"Loss"),-('Guide &amp; Settings'!$C$42/($F121-1))*$X121)))</f>
        <v>17.74694146669885</v>
      </c>
      <c r="K121" s="118">
        <f>IF($D121="",0,'Guide &amp; Settings'!$C$43*(IF($E121="Win",1,0)-$I121))</f>
        <v>6.666666666666667</v>
      </c>
      <c r="L121" s="119">
        <f>IF($D121="",0,'Guide &amp; Settings'!$C$44*IF($F121&gt;=3,$F121,0))</f>
        <v>0</v>
      </c>
      <c r="M121" s="118">
        <f t="shared" si="20"/>
        <v>24.413608133365518</v>
      </c>
      <c r="N121" s="116">
        <f t="shared" si="21"/>
        <v>986.66509914651715</v>
      </c>
      <c r="O121" s="115" t="str">
        <f t="shared" si="22"/>
        <v>OK</v>
      </c>
      <c r="P121">
        <f t="shared" si="23"/>
        <v>962.25149101315162</v>
      </c>
      <c r="Q121">
        <f t="shared" si="24"/>
        <v>0.5</v>
      </c>
      <c r="R121">
        <f t="shared" si="25"/>
        <v>0.4</v>
      </c>
      <c r="S121">
        <f t="shared" si="26"/>
        <v>0.9</v>
      </c>
      <c r="T121" s="83">
        <f t="shared" si="27"/>
        <v>3</v>
      </c>
      <c r="U121" s="120">
        <f>IF($D121="",0,IFERROR(LOOKUP(2,1/(($D$3:D120=$D121)*($C$3:C120=$C121)*($A$3:A120&lt;$A121)),$AB$3:AB120),1000))</f>
        <v>981.2826439359834</v>
      </c>
      <c r="V121" s="120">
        <f t="shared" si="28"/>
        <v>969.38817335921362</v>
      </c>
      <c r="W121">
        <f t="shared" si="29"/>
        <v>969.38817335921362</v>
      </c>
      <c r="X121">
        <f t="shared" si="30"/>
        <v>0.5</v>
      </c>
      <c r="Y121">
        <f t="shared" si="31"/>
        <v>981.2826439359834</v>
      </c>
      <c r="Z121">
        <f t="shared" si="32"/>
        <v>0.5</v>
      </c>
      <c r="AA121">
        <f>IF($D121="",0,IF($F121&lt;2,0,IF($E121="Win",('Guide &amp; Settings'!$C$42/(($F121-1)*COUNTIFS($A$4:$A$810,$A121,$E$4:$E$810,"Win")))*SUMIFS($Z$4:$Z$810,$A$4:$A$810,$A121,$E$4:$E$810,"Loss"),-('Guide &amp; Settings'!$C$42/($F121-1))*$Z121)))</f>
        <v>16.861133176904797</v>
      </c>
      <c r="AB121" s="120">
        <f t="shared" si="33"/>
        <v>998.14377711288819</v>
      </c>
      <c r="AC121" s="120">
        <f>IF($D121="","",IF(SUMPRODUCT(MAX(($D$4:$D$810=$D121)*($B$4:$B$810&lt;$B121)*$B$4:$B$810))=0,0,MAX(($B121-MAX(SUMPRODUCT(MAX(($D$4:$D$810=$D121)*($B$4:$B$810&lt;$B121)*$B$4:$B$810)),'Guide &amp; Settings'!$C$50))/7-'Guide &amp; Settings'!$C$48,0)*'Guide &amp; Settings'!$C$49))</f>
        <v>0</v>
      </c>
    </row>
    <row r="122" spans="1:29" ht="15" customHeight="1" x14ac:dyDescent="0.2">
      <c r="A122" s="111">
        <v>56</v>
      </c>
      <c r="B122" s="112">
        <v>46188</v>
      </c>
      <c r="C122" s="113" t="s">
        <v>206</v>
      </c>
      <c r="D122" s="113" t="s">
        <v>134</v>
      </c>
      <c r="E122" s="111" t="s">
        <v>308</v>
      </c>
      <c r="F122" s="114">
        <f t="shared" si="17"/>
        <v>2</v>
      </c>
      <c r="G122" s="115" t="str">
        <f t="shared" si="18"/>
        <v>Shawn</v>
      </c>
      <c r="H122" s="116">
        <f>IF($D122="",0,IFERROR(LOOKUP(2,1/(($D$3:D121=$D122)*($A$3:A121&lt;$A122)),$N$3:N121),'Guide &amp; Settings'!$C$41))</f>
        <v>983.06074452161181</v>
      </c>
      <c r="I122" s="117">
        <f t="shared" si="19"/>
        <v>0.5</v>
      </c>
      <c r="J122" s="118">
        <f>IF($D122="",0,IF($F122&lt;2,0,IF($E122="Win",('Guide &amp; Settings'!$C$42/(($F122-1)*COUNTIFS($A$4:$A$810,$A122,$E$4:$E$810,"Win")))*SUMIFS($X$4:$X$810,$A$4:$A$810,$A122,$E$4:$E$810,"Loss"),-('Guide &amp; Settings'!$C$42/($F122-1))*$X122)))</f>
        <v>23.19553712333671</v>
      </c>
      <c r="K122" s="118">
        <f>IF($D122="",0,'Guide &amp; Settings'!$C$43*(IF($E122="Win",1,0)-$I122))</f>
        <v>6</v>
      </c>
      <c r="L122" s="119">
        <f>IF($D122="",0,'Guide &amp; Settings'!$C$44*IF($F122&gt;=3,$F122,0))</f>
        <v>0</v>
      </c>
      <c r="M122" s="118">
        <f t="shared" si="20"/>
        <v>29.19553712333671</v>
      </c>
      <c r="N122" s="116">
        <f t="shared" si="21"/>
        <v>1012.2562816449486</v>
      </c>
      <c r="O122" s="115" t="str">
        <f t="shared" si="22"/>
        <v>OK</v>
      </c>
      <c r="P122">
        <f t="shared" si="23"/>
        <v>983.06074452161181</v>
      </c>
      <c r="Q122">
        <f t="shared" si="24"/>
        <v>0.5</v>
      </c>
      <c r="R122">
        <f t="shared" si="25"/>
        <v>0.5</v>
      </c>
      <c r="S122">
        <f t="shared" si="26"/>
        <v>1</v>
      </c>
      <c r="T122" s="83">
        <f t="shared" si="27"/>
        <v>0</v>
      </c>
      <c r="U122" s="120">
        <f>IF($D122="",0,IFERROR(LOOKUP(2,1/(($D$3:D121=$D122)*($C$3:C121=$C122)*($A$3:A121&lt;$A122)),$AB$3:AB121),1000))</f>
        <v>1000</v>
      </c>
      <c r="V122" s="120">
        <f t="shared" si="28"/>
        <v>983.06074452161181</v>
      </c>
      <c r="W122">
        <f t="shared" si="29"/>
        <v>983.06074452161181</v>
      </c>
      <c r="X122">
        <f t="shared" si="30"/>
        <v>0.5</v>
      </c>
      <c r="Y122">
        <f t="shared" si="31"/>
        <v>1000</v>
      </c>
      <c r="Z122">
        <f t="shared" si="32"/>
        <v>0.5</v>
      </c>
      <c r="AA122">
        <f>IF($D122="",0,IF($F122&lt;2,0,IF($E122="Win",('Guide &amp; Settings'!$C$42/(($F122-1)*COUNTIFS($A$4:$A$810,$A122,$E$4:$E$810,"Win")))*SUMIFS($Z$4:$Z$810,$A$4:$A$810,$A122,$E$4:$E$810,"Loss"),-('Guide &amp; Settings'!$C$42/($F122-1))*$Z122)))</f>
        <v>16</v>
      </c>
      <c r="AB122" s="120">
        <f t="shared" si="33"/>
        <v>1016</v>
      </c>
      <c r="AC122" s="120">
        <f>IF($D122="","",IF(SUMPRODUCT(MAX(($D$4:$D$810=$D122)*($B$4:$B$810&lt;$B122)*$B$4:$B$810))=0,0,MAX(($B122-MAX(SUMPRODUCT(MAX(($D$4:$D$810=$D122)*($B$4:$B$810&lt;$B122)*$B$4:$B$810)),'Guide &amp; Settings'!$C$50))/7-'Guide &amp; Settings'!$C$48,0)*'Guide &amp; Settings'!$C$49))</f>
        <v>0</v>
      </c>
    </row>
    <row r="123" spans="1:29" ht="15" customHeight="1" x14ac:dyDescent="0.2">
      <c r="A123" s="111">
        <v>56</v>
      </c>
      <c r="B123" s="112">
        <v>46188</v>
      </c>
      <c r="C123" s="113" t="s">
        <v>206</v>
      </c>
      <c r="D123" s="113" t="s">
        <v>137</v>
      </c>
      <c r="E123" s="111" t="s">
        <v>309</v>
      </c>
      <c r="F123" s="114">
        <f t="shared" si="17"/>
        <v>2</v>
      </c>
      <c r="G123" s="115" t="str">
        <f t="shared" si="18"/>
        <v>Shawn</v>
      </c>
      <c r="H123" s="116">
        <f>IF($D123="",0,IFERROR(LOOKUP(2,1/(($D$3:D122=$D123)*($A$3:A122&lt;$A123)),$N$3:N122),'Guide &amp; Settings'!$C$41))</f>
        <v>1151.3413713243715</v>
      </c>
      <c r="I123" s="117">
        <f t="shared" si="19"/>
        <v>0.5</v>
      </c>
      <c r="J123" s="118">
        <f>IF($D123="",0,IF($F123&lt;2,0,IF($E123="Win",('Guide &amp; Settings'!$C$42/(($F123-1)*COUNTIFS($A$4:$A$810,$A123,$E$4:$E$810,"Win")))*SUMIFS($X$4:$X$810,$A$4:$A$810,$A123,$E$4:$E$810,"Loss"),-('Guide &amp; Settings'!$C$42/($F123-1))*$X123)))</f>
        <v>-23.19553712333671</v>
      </c>
      <c r="K123" s="118">
        <f>IF($D123="",0,'Guide &amp; Settings'!$C$43*(IF($E123="Win",1,0)-$I123))</f>
        <v>-6</v>
      </c>
      <c r="L123" s="119">
        <f>IF($D123="",0,'Guide &amp; Settings'!$C$44*IF($F123&gt;=3,$F123,0))</f>
        <v>0</v>
      </c>
      <c r="M123" s="118">
        <f t="shared" si="20"/>
        <v>-29.19553712333671</v>
      </c>
      <c r="N123" s="116">
        <f t="shared" si="21"/>
        <v>1122.1458342010349</v>
      </c>
      <c r="O123" s="115" t="str">
        <f t="shared" si="22"/>
        <v>OK</v>
      </c>
      <c r="P123">
        <f t="shared" si="23"/>
        <v>983.06074452161181</v>
      </c>
      <c r="Q123">
        <f t="shared" si="24"/>
        <v>0.72486053510427217</v>
      </c>
      <c r="R123">
        <f t="shared" si="25"/>
        <v>0.5</v>
      </c>
      <c r="S123">
        <f t="shared" si="26"/>
        <v>1</v>
      </c>
      <c r="T123" s="83">
        <f t="shared" si="27"/>
        <v>0</v>
      </c>
      <c r="U123" s="120">
        <f>IF($D123="",0,IFERROR(LOOKUP(2,1/(($D$3:D122=$D123)*($C$3:C122=$C123)*($A$3:A122&lt;$A123)),$AB$3:AB122),1000))</f>
        <v>1000</v>
      </c>
      <c r="V123" s="120">
        <f t="shared" si="28"/>
        <v>1151.3413713243715</v>
      </c>
      <c r="W123">
        <f t="shared" si="29"/>
        <v>983.06074452161181</v>
      </c>
      <c r="X123">
        <f t="shared" si="30"/>
        <v>0.72486053510427217</v>
      </c>
      <c r="Y123">
        <f t="shared" si="31"/>
        <v>1000</v>
      </c>
      <c r="Z123">
        <f t="shared" si="32"/>
        <v>0.5</v>
      </c>
      <c r="AA123">
        <f>IF($D123="",0,IF($F123&lt;2,0,IF($E123="Win",('Guide &amp; Settings'!$C$42/(($F123-1)*COUNTIFS($A$4:$A$810,$A123,$E$4:$E$810,"Win")))*SUMIFS($Z$4:$Z$810,$A$4:$A$810,$A123,$E$4:$E$810,"Loss"),-('Guide &amp; Settings'!$C$42/($F123-1))*$Z123)))</f>
        <v>-16</v>
      </c>
      <c r="AB123" s="120">
        <f t="shared" si="33"/>
        <v>984</v>
      </c>
      <c r="AC123" s="120">
        <f>IF($D123="","",IF(SUMPRODUCT(MAX(($D$4:$D$810=$D123)*($B$4:$B$810&lt;$B123)*$B$4:$B$810))=0,0,MAX(($B123-MAX(SUMPRODUCT(MAX(($D$4:$D$810=$D123)*($B$4:$B$810&lt;$B123)*$B$4:$B$810)),'Guide &amp; Settings'!$C$50))/7-'Guide &amp; Settings'!$C$48,0)*'Guide &amp; Settings'!$C$49))</f>
        <v>0</v>
      </c>
    </row>
    <row r="124" spans="1:29" ht="15" customHeight="1" x14ac:dyDescent="0.2">
      <c r="A124" s="111">
        <v>57</v>
      </c>
      <c r="B124" s="112">
        <v>46188</v>
      </c>
      <c r="C124" s="113" t="s">
        <v>206</v>
      </c>
      <c r="D124" s="113" t="s">
        <v>140</v>
      </c>
      <c r="E124" s="111" t="s">
        <v>308</v>
      </c>
      <c r="F124" s="114">
        <f t="shared" si="17"/>
        <v>2</v>
      </c>
      <c r="G124" s="115" t="str">
        <f t="shared" si="18"/>
        <v>David</v>
      </c>
      <c r="H124" s="116">
        <f>IF($D124="",0,IFERROR(LOOKUP(2,1/(($D$3:D123=$D124)*($A$3:A123&lt;$A124)),$N$3:N123),'Guide &amp; Settings'!$C$41))</f>
        <v>941.41068490146347</v>
      </c>
      <c r="I124" s="117">
        <f t="shared" si="19"/>
        <v>0.5</v>
      </c>
      <c r="J124" s="118">
        <f>IF($D124="",0,IF($F124&lt;2,0,IF($E124="Win",('Guide &amp; Settings'!$C$42/(($F124-1)*COUNTIFS($A$4:$A$810,$A124,$E$4:$E$810,"Win")))*SUMIFS($X$4:$X$810,$A$4:$A$810,$A124,$E$4:$E$810,"Loss"),-('Guide &amp; Settings'!$C$42/($F124-1))*$X124)))</f>
        <v>21.92995849097127</v>
      </c>
      <c r="K124" s="118">
        <f>IF($D124="",0,'Guide &amp; Settings'!$C$43*(IF($E124="Win",1,0)-$I124))</f>
        <v>6</v>
      </c>
      <c r="L124" s="119">
        <f>IF($D124="",0,'Guide &amp; Settings'!$C$44*IF($F124&gt;=3,$F124,0))</f>
        <v>0</v>
      </c>
      <c r="M124" s="118">
        <f t="shared" si="20"/>
        <v>27.92995849097127</v>
      </c>
      <c r="N124" s="116">
        <f t="shared" si="21"/>
        <v>969.34064339243469</v>
      </c>
      <c r="O124" s="115" t="str">
        <f t="shared" si="22"/>
        <v>OK</v>
      </c>
      <c r="P124">
        <f t="shared" si="23"/>
        <v>941.41068490146347</v>
      </c>
      <c r="Q124">
        <f t="shared" si="24"/>
        <v>0.5</v>
      </c>
      <c r="R124">
        <f t="shared" si="25"/>
        <v>0.5</v>
      </c>
      <c r="S124">
        <f t="shared" si="26"/>
        <v>1</v>
      </c>
      <c r="T124" s="83">
        <f t="shared" si="27"/>
        <v>0</v>
      </c>
      <c r="U124" s="120">
        <f>IF($D124="",0,IFERROR(LOOKUP(2,1/(($D$3:D123=$D124)*($C$3:C123=$C124)*($A$3:A123&lt;$A124)),$AB$3:AB123),1000))</f>
        <v>1000</v>
      </c>
      <c r="V124" s="120">
        <f t="shared" si="28"/>
        <v>941.41068490146347</v>
      </c>
      <c r="W124">
        <f t="shared" si="29"/>
        <v>941.41068490146347</v>
      </c>
      <c r="X124">
        <f t="shared" si="30"/>
        <v>0.5</v>
      </c>
      <c r="Y124">
        <f t="shared" si="31"/>
        <v>1000</v>
      </c>
      <c r="Z124">
        <f t="shared" si="32"/>
        <v>0.5</v>
      </c>
      <c r="AA124">
        <f>IF($D124="",0,IF($F124&lt;2,0,IF($E124="Win",('Guide &amp; Settings'!$C$42/(($F124-1)*COUNTIFS($A$4:$A$810,$A124,$E$4:$E$810,"Win")))*SUMIFS($Z$4:$Z$810,$A$4:$A$810,$A124,$E$4:$E$810,"Loss"),-('Guide &amp; Settings'!$C$42/($F124-1))*$Z124)))</f>
        <v>16</v>
      </c>
      <c r="AB124" s="120">
        <f t="shared" si="33"/>
        <v>1016</v>
      </c>
      <c r="AC124" s="120">
        <f>IF($D124="","",IF(SUMPRODUCT(MAX(($D$4:$D$810=$D124)*($B$4:$B$810&lt;$B124)*$B$4:$B$810))=0,0,MAX(($B124-MAX(SUMPRODUCT(MAX(($D$4:$D$810=$D124)*($B$4:$B$810&lt;$B124)*$B$4:$B$810)),'Guide &amp; Settings'!$C$50))/7-'Guide &amp; Settings'!$C$48,0)*'Guide &amp; Settings'!$C$49))</f>
        <v>0</v>
      </c>
    </row>
    <row r="125" spans="1:29" ht="15" customHeight="1" x14ac:dyDescent="0.2">
      <c r="A125" s="111">
        <v>57</v>
      </c>
      <c r="B125" s="112">
        <v>46188</v>
      </c>
      <c r="C125" s="113" t="s">
        <v>206</v>
      </c>
      <c r="D125" s="113" t="s">
        <v>138</v>
      </c>
      <c r="E125" s="111" t="s">
        <v>309</v>
      </c>
      <c r="F125" s="114">
        <f t="shared" si="17"/>
        <v>2</v>
      </c>
      <c r="G125" s="115" t="str">
        <f t="shared" si="18"/>
        <v>David</v>
      </c>
      <c r="H125" s="116">
        <f>IF($D125="",0,IFERROR(LOOKUP(2,1/(($D$3:D124=$D125)*($A$3:A124&lt;$A125)),$N$3:N124),'Guide &amp; Settings'!$C$41))</f>
        <v>1076.6133044665753</v>
      </c>
      <c r="I125" s="117">
        <f t="shared" si="19"/>
        <v>0.5</v>
      </c>
      <c r="J125" s="118">
        <f>IF($D125="",0,IF($F125&lt;2,0,IF($E125="Win",('Guide &amp; Settings'!$C$42/(($F125-1)*COUNTIFS($A$4:$A$810,$A125,$E$4:$E$810,"Win")))*SUMIFS($X$4:$X$810,$A$4:$A$810,$A125,$E$4:$E$810,"Loss"),-('Guide &amp; Settings'!$C$42/($F125-1))*$X125)))</f>
        <v>-21.92995849097127</v>
      </c>
      <c r="K125" s="118">
        <f>IF($D125="",0,'Guide &amp; Settings'!$C$43*(IF($E125="Win",1,0)-$I125))</f>
        <v>-6</v>
      </c>
      <c r="L125" s="119">
        <f>IF($D125="",0,'Guide &amp; Settings'!$C$44*IF($F125&gt;=3,$F125,0))</f>
        <v>0</v>
      </c>
      <c r="M125" s="118">
        <f t="shared" si="20"/>
        <v>-27.92995849097127</v>
      </c>
      <c r="N125" s="116">
        <f t="shared" si="21"/>
        <v>1048.683345975604</v>
      </c>
      <c r="O125" s="115" t="str">
        <f t="shared" si="22"/>
        <v>OK</v>
      </c>
      <c r="P125">
        <f t="shared" si="23"/>
        <v>941.41068490146347</v>
      </c>
      <c r="Q125">
        <f t="shared" si="24"/>
        <v>0.68531120284285219</v>
      </c>
      <c r="R125">
        <f t="shared" si="25"/>
        <v>0.5</v>
      </c>
      <c r="S125">
        <f t="shared" si="26"/>
        <v>1</v>
      </c>
      <c r="T125" s="83">
        <f t="shared" si="27"/>
        <v>0</v>
      </c>
      <c r="U125" s="120">
        <f>IF($D125="",0,IFERROR(LOOKUP(2,1/(($D$3:D124=$D125)*($C$3:C124=$C125)*($A$3:A124&lt;$A125)),$AB$3:AB124),1000))</f>
        <v>1000</v>
      </c>
      <c r="V125" s="120">
        <f t="shared" si="28"/>
        <v>1076.6133044665753</v>
      </c>
      <c r="W125">
        <f t="shared" si="29"/>
        <v>941.41068490146347</v>
      </c>
      <c r="X125">
        <f t="shared" si="30"/>
        <v>0.68531120284285219</v>
      </c>
      <c r="Y125">
        <f t="shared" si="31"/>
        <v>1000</v>
      </c>
      <c r="Z125">
        <f t="shared" si="32"/>
        <v>0.5</v>
      </c>
      <c r="AA125">
        <f>IF($D125="",0,IF($F125&lt;2,0,IF($E125="Win",('Guide &amp; Settings'!$C$42/(($F125-1)*COUNTIFS($A$4:$A$810,$A125,$E$4:$E$810,"Win")))*SUMIFS($Z$4:$Z$810,$A$4:$A$810,$A125,$E$4:$E$810,"Loss"),-('Guide &amp; Settings'!$C$42/($F125-1))*$Z125)))</f>
        <v>-16</v>
      </c>
      <c r="AB125" s="120">
        <f t="shared" si="33"/>
        <v>984</v>
      </c>
      <c r="AC125" s="120">
        <f>IF($D125="","",IF(SUMPRODUCT(MAX(($D$4:$D$810=$D125)*($B$4:$B$810&lt;$B125)*$B$4:$B$810))=0,0,MAX(($B125-MAX(SUMPRODUCT(MAX(($D$4:$D$810=$D125)*($B$4:$B$810&lt;$B125)*$B$4:$B$810)),'Guide &amp; Settings'!$C$50))/7-'Guide &amp; Settings'!$C$48,0)*'Guide &amp; Settings'!$C$49))</f>
        <v>0</v>
      </c>
    </row>
    <row r="126" spans="1:29" ht="15" customHeight="1" x14ac:dyDescent="0.2">
      <c r="A126" s="111">
        <v>58</v>
      </c>
      <c r="B126" s="112">
        <v>46188</v>
      </c>
      <c r="C126" s="113" t="s">
        <v>206</v>
      </c>
      <c r="D126" s="113" t="s">
        <v>167</v>
      </c>
      <c r="E126" s="111" t="s">
        <v>308</v>
      </c>
      <c r="F126" s="114">
        <f t="shared" si="17"/>
        <v>2</v>
      </c>
      <c r="G126" s="115" t="str">
        <f t="shared" si="18"/>
        <v>Dean B</v>
      </c>
      <c r="H126" s="116">
        <f>IF($D126="",0,IFERROR(LOOKUP(2,1/(($D$3:D125=$D126)*($A$3:A125&lt;$A126)),$N$3:N125),'Guide &amp; Settings'!$C$41))</f>
        <v>1054.7322046090017</v>
      </c>
      <c r="I126" s="117">
        <f t="shared" si="19"/>
        <v>0.5</v>
      </c>
      <c r="J126" s="118">
        <f>IF($D126="",0,IF($F126&lt;2,0,IF($E126="Win",('Guide &amp; Settings'!$C$42/(($F126-1)*COUNTIFS($A$4:$A$810,$A126,$E$4:$E$810,"Win")))*SUMIFS($X$4:$X$810,$A$4:$A$810,$A126,$E$4:$E$810,"Loss"),-('Guide &amp; Settings'!$C$42/($F126-1))*$X126)))</f>
        <v>13.238761611881984</v>
      </c>
      <c r="K126" s="118">
        <f>IF($D126="",0,'Guide &amp; Settings'!$C$43*(IF($E126="Win",1,0)-$I126))</f>
        <v>6</v>
      </c>
      <c r="L126" s="119">
        <f>IF($D126="",0,'Guide &amp; Settings'!$C$44*IF($F126&gt;=3,$F126,0))</f>
        <v>0</v>
      </c>
      <c r="M126" s="118">
        <f t="shared" si="20"/>
        <v>19.238761611881984</v>
      </c>
      <c r="N126" s="116">
        <f t="shared" si="21"/>
        <v>1073.9709662208836</v>
      </c>
      <c r="O126" s="115" t="str">
        <f t="shared" si="22"/>
        <v>OK</v>
      </c>
      <c r="P126">
        <f t="shared" si="23"/>
        <v>1054.7322046090017</v>
      </c>
      <c r="Q126">
        <f t="shared" si="24"/>
        <v>0.5</v>
      </c>
      <c r="R126">
        <f t="shared" si="25"/>
        <v>0.5</v>
      </c>
      <c r="S126">
        <f t="shared" si="26"/>
        <v>1</v>
      </c>
      <c r="T126" s="83">
        <f t="shared" si="27"/>
        <v>0</v>
      </c>
      <c r="U126" s="120">
        <f>IF($D126="",0,IFERROR(LOOKUP(2,1/(($D$3:D125=$D126)*($C$3:C125=$C126)*($A$3:A125&lt;$A126)),$AB$3:AB125),1000))</f>
        <v>1000</v>
      </c>
      <c r="V126" s="120">
        <f t="shared" si="28"/>
        <v>1054.7322046090017</v>
      </c>
      <c r="W126">
        <f t="shared" si="29"/>
        <v>1054.7322046090017</v>
      </c>
      <c r="X126">
        <f t="shared" si="30"/>
        <v>0.5</v>
      </c>
      <c r="Y126">
        <f t="shared" si="31"/>
        <v>1000</v>
      </c>
      <c r="Z126">
        <f t="shared" si="32"/>
        <v>0.5</v>
      </c>
      <c r="AA126">
        <f>IF($D126="",0,IF($F126&lt;2,0,IF($E126="Win",('Guide &amp; Settings'!$C$42/(($F126-1)*COUNTIFS($A$4:$A$810,$A126,$E$4:$E$810,"Win")))*SUMIFS($Z$4:$Z$810,$A$4:$A$810,$A126,$E$4:$E$810,"Loss"),-('Guide &amp; Settings'!$C$42/($F126-1))*$Z126)))</f>
        <v>16</v>
      </c>
      <c r="AB126" s="120">
        <f t="shared" si="33"/>
        <v>1016</v>
      </c>
      <c r="AC126" s="120">
        <f>IF($D126="","",IF(SUMPRODUCT(MAX(($D$4:$D$810=$D126)*($B$4:$B$810&lt;$B126)*$B$4:$B$810))=0,0,MAX(($B126-MAX(SUMPRODUCT(MAX(($D$4:$D$810=$D126)*($B$4:$B$810&lt;$B126)*$B$4:$B$810)),'Guide &amp; Settings'!$C$50))/7-'Guide &amp; Settings'!$C$48,0)*'Guide &amp; Settings'!$C$49))</f>
        <v>0</v>
      </c>
    </row>
    <row r="127" spans="1:29" ht="15" customHeight="1" x14ac:dyDescent="0.2">
      <c r="A127" s="111">
        <v>58</v>
      </c>
      <c r="B127" s="112">
        <v>46188</v>
      </c>
      <c r="C127" s="113" t="s">
        <v>206</v>
      </c>
      <c r="D127" s="113" t="s">
        <v>170</v>
      </c>
      <c r="E127" s="111" t="s">
        <v>309</v>
      </c>
      <c r="F127" s="114">
        <f t="shared" si="17"/>
        <v>2</v>
      </c>
      <c r="G127" s="115" t="str">
        <f t="shared" si="18"/>
        <v>Dean B</v>
      </c>
      <c r="H127" s="116">
        <f>IF($D127="",0,IFERROR(LOOKUP(2,1/(($D$3:D126=$D127)*($A$3:A126&lt;$A127)),$N$3:N126),'Guide &amp; Settings'!$C$41))</f>
        <v>994.16654867186321</v>
      </c>
      <c r="I127" s="117">
        <f t="shared" si="19"/>
        <v>0.5</v>
      </c>
      <c r="J127" s="118">
        <f>IF($D127="",0,IF($F127&lt;2,0,IF($E127="Win",('Guide &amp; Settings'!$C$42/(($F127-1)*COUNTIFS($A$4:$A$810,$A127,$E$4:$E$810,"Win")))*SUMIFS($X$4:$X$810,$A$4:$A$810,$A127,$E$4:$E$810,"Loss"),-('Guide &amp; Settings'!$C$42/($F127-1))*$X127)))</f>
        <v>-13.238761611881984</v>
      </c>
      <c r="K127" s="118">
        <f>IF($D127="",0,'Guide &amp; Settings'!$C$43*(IF($E127="Win",1,0)-$I127))</f>
        <v>-6</v>
      </c>
      <c r="L127" s="119">
        <f>IF($D127="",0,'Guide &amp; Settings'!$C$44*IF($F127&gt;=3,$F127,0))</f>
        <v>0</v>
      </c>
      <c r="M127" s="118">
        <f t="shared" si="20"/>
        <v>-19.238761611881984</v>
      </c>
      <c r="N127" s="116">
        <f t="shared" si="21"/>
        <v>974.92778705998126</v>
      </c>
      <c r="O127" s="115" t="str">
        <f t="shared" si="22"/>
        <v>OK</v>
      </c>
      <c r="P127">
        <f t="shared" si="23"/>
        <v>1054.7322046090017</v>
      </c>
      <c r="Q127">
        <f t="shared" si="24"/>
        <v>0.41371130037131199</v>
      </c>
      <c r="R127">
        <f t="shared" si="25"/>
        <v>0.5</v>
      </c>
      <c r="S127">
        <f t="shared" si="26"/>
        <v>1</v>
      </c>
      <c r="T127" s="83">
        <f t="shared" si="27"/>
        <v>0</v>
      </c>
      <c r="U127" s="120">
        <f>IF($D127="",0,IFERROR(LOOKUP(2,1/(($D$3:D126=$D127)*($C$3:C126=$C127)*($A$3:A126&lt;$A127)),$AB$3:AB126),1000))</f>
        <v>1000</v>
      </c>
      <c r="V127" s="120">
        <f t="shared" si="28"/>
        <v>994.16654867186321</v>
      </c>
      <c r="W127">
        <f t="shared" si="29"/>
        <v>1054.7322046090017</v>
      </c>
      <c r="X127">
        <f t="shared" si="30"/>
        <v>0.41371130037131199</v>
      </c>
      <c r="Y127">
        <f t="shared" si="31"/>
        <v>1000</v>
      </c>
      <c r="Z127">
        <f t="shared" si="32"/>
        <v>0.5</v>
      </c>
      <c r="AA127">
        <f>IF($D127="",0,IF($F127&lt;2,0,IF($E127="Win",('Guide &amp; Settings'!$C$42/(($F127-1)*COUNTIFS($A$4:$A$810,$A127,$E$4:$E$810,"Win")))*SUMIFS($Z$4:$Z$810,$A$4:$A$810,$A127,$E$4:$E$810,"Loss"),-('Guide &amp; Settings'!$C$42/($F127-1))*$Z127)))</f>
        <v>-16</v>
      </c>
      <c r="AB127" s="120">
        <f t="shared" si="33"/>
        <v>984</v>
      </c>
      <c r="AC127" s="120">
        <f>IF($D127="","",IF(SUMPRODUCT(MAX(($D$4:$D$810=$D127)*($B$4:$B$810&lt;$B127)*$B$4:$B$810))=0,0,MAX(($B127-MAX(SUMPRODUCT(MAX(($D$4:$D$810=$D127)*($B$4:$B$810&lt;$B127)*$B$4:$B$810)),'Guide &amp; Settings'!$C$50))/7-'Guide &amp; Settings'!$C$48,0)*'Guide &amp; Settings'!$C$49))</f>
        <v>0</v>
      </c>
    </row>
    <row r="128" spans="1:29" ht="15" customHeight="1" x14ac:dyDescent="0.2">
      <c r="A128" s="111">
        <v>59</v>
      </c>
      <c r="B128" s="112">
        <v>46188</v>
      </c>
      <c r="C128" s="113" t="s">
        <v>206</v>
      </c>
      <c r="D128" s="113" t="s">
        <v>168</v>
      </c>
      <c r="E128" s="111" t="s">
        <v>308</v>
      </c>
      <c r="F128" s="114">
        <f t="shared" si="17"/>
        <v>2</v>
      </c>
      <c r="G128" s="115" t="str">
        <f t="shared" si="18"/>
        <v>Simon</v>
      </c>
      <c r="H128" s="116">
        <f>IF($D128="",0,IFERROR(LOOKUP(2,1/(($D$3:D127=$D128)*($A$3:A127&lt;$A128)),$N$3:N127),'Guide &amp; Settings'!$C$41))</f>
        <v>1004.2142857142857</v>
      </c>
      <c r="I128" s="117">
        <f t="shared" si="19"/>
        <v>0.60000000000000009</v>
      </c>
      <c r="J128" s="118">
        <f>IF($D128="",0,IF($F128&lt;2,0,IF($E128="Win",('Guide &amp; Settings'!$C$42/(($F128-1)*COUNTIFS($A$4:$A$810,$A128,$E$4:$E$810,"Win")))*SUMIFS($X$4:$X$810,$A$4:$A$810,$A128,$E$4:$E$810,"Loss"),-('Guide &amp; Settings'!$C$42/($F128-1))*$X128)))</f>
        <v>17.546569026305754</v>
      </c>
      <c r="K128" s="118">
        <f>IF($D128="",0,'Guide &amp; Settings'!$C$43*(IF($E128="Win",1,0)-$I128))</f>
        <v>4.7999999999999989</v>
      </c>
      <c r="L128" s="119">
        <f>IF($D128="",0,'Guide &amp; Settings'!$C$44*IF($F128&gt;=3,$F128,0))</f>
        <v>0</v>
      </c>
      <c r="M128" s="118">
        <f t="shared" si="20"/>
        <v>22.346569026305751</v>
      </c>
      <c r="N128" s="116">
        <f t="shared" si="21"/>
        <v>1026.5608547405914</v>
      </c>
      <c r="O128" s="115" t="str">
        <f t="shared" si="22"/>
        <v>OK</v>
      </c>
      <c r="P128">
        <f t="shared" si="23"/>
        <v>1004.2142857142857</v>
      </c>
      <c r="Q128">
        <f t="shared" si="24"/>
        <v>0.5</v>
      </c>
      <c r="R128">
        <f t="shared" si="25"/>
        <v>0.5</v>
      </c>
      <c r="S128">
        <f t="shared" si="26"/>
        <v>0.83333333333333326</v>
      </c>
      <c r="T128" s="83">
        <f t="shared" si="27"/>
        <v>0</v>
      </c>
      <c r="U128" s="120">
        <f>IF($D128="",0,IFERROR(LOOKUP(2,1/(($D$3:D127=$D128)*($C$3:C127=$C128)*($A$3:A127&lt;$A128)),$AB$3:AB127),1000))</f>
        <v>1000</v>
      </c>
      <c r="V128" s="120">
        <f t="shared" si="28"/>
        <v>1004.2142857142857</v>
      </c>
      <c r="W128">
        <f t="shared" si="29"/>
        <v>1004.2142857142857</v>
      </c>
      <c r="X128">
        <f t="shared" si="30"/>
        <v>0.5</v>
      </c>
      <c r="Y128">
        <f t="shared" si="31"/>
        <v>1000</v>
      </c>
      <c r="Z128">
        <f t="shared" si="32"/>
        <v>0.5</v>
      </c>
      <c r="AA128">
        <f>IF($D128="",0,IF($F128&lt;2,0,IF($E128="Win",('Guide &amp; Settings'!$C$42/(($F128-1)*COUNTIFS($A$4:$A$810,$A128,$E$4:$E$810,"Win")))*SUMIFS($Z$4:$Z$810,$A$4:$A$810,$A128,$E$4:$E$810,"Loss"),-('Guide &amp; Settings'!$C$42/($F128-1))*$Z128)))</f>
        <v>15.263693206478006</v>
      </c>
      <c r="AB128" s="120">
        <f t="shared" si="33"/>
        <v>1015.263693206478</v>
      </c>
      <c r="AC128" s="120">
        <f>IF($D128="","",IF(SUMPRODUCT(MAX(($D$4:$D$810=$D128)*($B$4:$B$810&lt;$B128)*$B$4:$B$810))=0,0,MAX(($B128-MAX(SUMPRODUCT(MAX(($D$4:$D$810=$D128)*($B$4:$B$810&lt;$B128)*$B$4:$B$810)),'Guide &amp; Settings'!$C$50))/7-'Guide &amp; Settings'!$C$48,0)*'Guide &amp; Settings'!$C$49))</f>
        <v>0</v>
      </c>
    </row>
    <row r="129" spans="1:29" ht="15" customHeight="1" x14ac:dyDescent="0.2">
      <c r="A129" s="111">
        <v>59</v>
      </c>
      <c r="B129" s="112">
        <v>46188</v>
      </c>
      <c r="C129" s="113" t="s">
        <v>206</v>
      </c>
      <c r="D129" s="113" t="s">
        <v>138</v>
      </c>
      <c r="E129" s="111" t="s">
        <v>309</v>
      </c>
      <c r="F129" s="114">
        <f t="shared" si="17"/>
        <v>2</v>
      </c>
      <c r="G129" s="115" t="str">
        <f t="shared" si="18"/>
        <v>Simon</v>
      </c>
      <c r="H129" s="116">
        <f>IF($D129="",0,IFERROR(LOOKUP(2,1/(($D$3:D128=$D129)*($A$3:A128&lt;$A129)),$N$3:N128),'Guide &amp; Settings'!$C$41))</f>
        <v>1048.683345975604</v>
      </c>
      <c r="I129" s="117">
        <f t="shared" si="19"/>
        <v>0.4</v>
      </c>
      <c r="J129" s="118">
        <f>IF($D129="",0,IF($F129&lt;2,0,IF($E129="Win",('Guide &amp; Settings'!$C$42/(($F129-1)*COUNTIFS($A$4:$A$810,$A129,$E$4:$E$810,"Win")))*SUMIFS($X$4:$X$810,$A$4:$A$810,$A129,$E$4:$E$810,"Loss"),-('Guide &amp; Settings'!$C$42/($F129-1))*$X129)))</f>
        <v>-17.546569026305754</v>
      </c>
      <c r="K129" s="118">
        <f>IF($D129="",0,'Guide &amp; Settings'!$C$43*(IF($E129="Win",1,0)-$I129))</f>
        <v>-4.8000000000000007</v>
      </c>
      <c r="L129" s="119">
        <f>IF($D129="",0,'Guide &amp; Settings'!$C$44*IF($F129&gt;=3,$F129,0))</f>
        <v>0</v>
      </c>
      <c r="M129" s="118">
        <f t="shared" si="20"/>
        <v>-22.346569026305755</v>
      </c>
      <c r="N129" s="116">
        <f t="shared" si="21"/>
        <v>1026.3367769492982</v>
      </c>
      <c r="O129" s="115" t="str">
        <f t="shared" si="22"/>
        <v>OK</v>
      </c>
      <c r="P129">
        <f t="shared" si="23"/>
        <v>1004.2142857142857</v>
      </c>
      <c r="Q129">
        <f t="shared" si="24"/>
        <v>0.5636489351062961</v>
      </c>
      <c r="R129">
        <f t="shared" si="25"/>
        <v>0.33333333333333331</v>
      </c>
      <c r="S129">
        <f t="shared" si="26"/>
        <v>0.83333333333333326</v>
      </c>
      <c r="T129" s="83">
        <f t="shared" si="27"/>
        <v>1</v>
      </c>
      <c r="U129" s="120">
        <f>IF($D129="",0,IFERROR(LOOKUP(2,1/(($D$3:D128=$D129)*($C$3:C128=$C129)*($A$3:A128&lt;$A129)),$AB$3:AB128),1000))</f>
        <v>984</v>
      </c>
      <c r="V129" s="120">
        <f t="shared" si="28"/>
        <v>1037.9027883130034</v>
      </c>
      <c r="W129">
        <f t="shared" si="29"/>
        <v>1004.2142857142857</v>
      </c>
      <c r="X129">
        <f t="shared" si="30"/>
        <v>0.54833028207205481</v>
      </c>
      <c r="Y129">
        <f t="shared" si="31"/>
        <v>1000</v>
      </c>
      <c r="Z129">
        <f t="shared" si="32"/>
        <v>0.47699041270243769</v>
      </c>
      <c r="AA129">
        <f>IF($D129="",0,IF($F129&lt;2,0,IF($E129="Win",('Guide &amp; Settings'!$C$42/(($F129-1)*COUNTIFS($A$4:$A$810,$A129,$E$4:$E$810,"Win")))*SUMIFS($Z$4:$Z$810,$A$4:$A$810,$A129,$E$4:$E$810,"Loss"),-('Guide &amp; Settings'!$C$42/($F129-1))*$Z129)))</f>
        <v>-15.263693206478006</v>
      </c>
      <c r="AB129" s="120">
        <f t="shared" si="33"/>
        <v>968.73630679352198</v>
      </c>
      <c r="AC129" s="120">
        <f>IF($D129="","",IF(SUMPRODUCT(MAX(($D$4:$D$810=$D129)*($B$4:$B$810&lt;$B129)*$B$4:$B$810))=0,0,MAX(($B129-MAX(SUMPRODUCT(MAX(($D$4:$D$810=$D129)*($B$4:$B$810&lt;$B129)*$B$4:$B$810)),'Guide &amp; Settings'!$C$50))/7-'Guide &amp; Settings'!$C$48,0)*'Guide &amp; Settings'!$C$49))</f>
        <v>0</v>
      </c>
    </row>
    <row r="130" spans="1:29" ht="15" customHeight="1" x14ac:dyDescent="0.2">
      <c r="A130" s="111">
        <v>60</v>
      </c>
      <c r="B130" s="112">
        <v>46188</v>
      </c>
      <c r="C130" s="113" t="s">
        <v>206</v>
      </c>
      <c r="D130" s="113" t="s">
        <v>135</v>
      </c>
      <c r="E130" s="111" t="s">
        <v>308</v>
      </c>
      <c r="F130" s="114">
        <f t="shared" si="17"/>
        <v>2</v>
      </c>
      <c r="G130" s="115" t="str">
        <f t="shared" si="18"/>
        <v>Beau</v>
      </c>
      <c r="H130" s="116">
        <f>IF($D130="",0,IFERROR(LOOKUP(2,1/(($D$3:D129=$D130)*($A$3:A129&lt;$A130)),$N$3:N129),'Guide &amp; Settings'!$C$41))</f>
        <v>975.33097176714045</v>
      </c>
      <c r="I130" s="117">
        <f t="shared" si="19"/>
        <v>0.5</v>
      </c>
      <c r="J130" s="118">
        <f>IF($D130="",0,IF($F130&lt;2,0,IF($E130="Win",('Guide &amp; Settings'!$C$42/(($F130-1)*COUNTIFS($A$4:$A$810,$A130,$E$4:$E$810,"Win")))*SUMIFS($X$4:$X$810,$A$4:$A$810,$A130,$E$4:$E$810,"Loss"),-('Guide &amp; Settings'!$C$42/($F130-1))*$X130)))</f>
        <v>13.223557123611547</v>
      </c>
      <c r="K130" s="118">
        <f>IF($D130="",0,'Guide &amp; Settings'!$C$43*(IF($E130="Win",1,0)-$I130))</f>
        <v>6</v>
      </c>
      <c r="L130" s="119">
        <f>IF($D130="",0,'Guide &amp; Settings'!$C$44*IF($F130&gt;=3,$F130,0))</f>
        <v>0</v>
      </c>
      <c r="M130" s="118">
        <f t="shared" si="20"/>
        <v>19.223557123611549</v>
      </c>
      <c r="N130" s="116">
        <f t="shared" si="21"/>
        <v>994.55452889075195</v>
      </c>
      <c r="O130" s="115" t="str">
        <f t="shared" si="22"/>
        <v>OK</v>
      </c>
      <c r="P130">
        <f t="shared" si="23"/>
        <v>975.33097176714045</v>
      </c>
      <c r="Q130">
        <f t="shared" si="24"/>
        <v>0.5</v>
      </c>
      <c r="R130">
        <f t="shared" si="25"/>
        <v>0.5</v>
      </c>
      <c r="S130">
        <f t="shared" si="26"/>
        <v>1</v>
      </c>
      <c r="T130" s="83">
        <f t="shared" si="27"/>
        <v>0</v>
      </c>
      <c r="U130" s="120">
        <f>IF($D130="",0,IFERROR(LOOKUP(2,1/(($D$3:D129=$D130)*($C$3:C129=$C130)*($A$3:A129&lt;$A130)),$AB$3:AB129),1000))</f>
        <v>1000</v>
      </c>
      <c r="V130" s="120">
        <f t="shared" si="28"/>
        <v>975.33097176714045</v>
      </c>
      <c r="W130">
        <f t="shared" si="29"/>
        <v>975.33097176714045</v>
      </c>
      <c r="X130">
        <f t="shared" si="30"/>
        <v>0.5</v>
      </c>
      <c r="Y130">
        <f t="shared" si="31"/>
        <v>1000</v>
      </c>
      <c r="Z130">
        <f t="shared" si="32"/>
        <v>0.5</v>
      </c>
      <c r="AA130">
        <f>IF($D130="",0,IF($F130&lt;2,0,IF($E130="Win",('Guide &amp; Settings'!$C$42/(($F130-1)*COUNTIFS($A$4:$A$810,$A130,$E$4:$E$810,"Win")))*SUMIFS($Z$4:$Z$810,$A$4:$A$810,$A130,$E$4:$E$810,"Loss"),-('Guide &amp; Settings'!$C$42/($F130-1))*$Z130)))</f>
        <v>16</v>
      </c>
      <c r="AB130" s="120">
        <f t="shared" si="33"/>
        <v>1016</v>
      </c>
      <c r="AC130" s="120">
        <f>IF($D130="","",IF(SUMPRODUCT(MAX(($D$4:$D$810=$D130)*($B$4:$B$810&lt;$B130)*$B$4:$B$810))=0,0,MAX(($B130-MAX(SUMPRODUCT(MAX(($D$4:$D$810=$D130)*($B$4:$B$810&lt;$B130)*$B$4:$B$810)),'Guide &amp; Settings'!$C$50))/7-'Guide &amp; Settings'!$C$48,0)*'Guide &amp; Settings'!$C$49))</f>
        <v>0</v>
      </c>
    </row>
    <row r="131" spans="1:29" ht="15" customHeight="1" x14ac:dyDescent="0.2">
      <c r="A131" s="111">
        <v>60</v>
      </c>
      <c r="B131" s="112">
        <v>46188</v>
      </c>
      <c r="C131" s="113" t="s">
        <v>206</v>
      </c>
      <c r="D131" s="113" t="s">
        <v>175</v>
      </c>
      <c r="E131" s="111" t="s">
        <v>309</v>
      </c>
      <c r="F131" s="114">
        <f t="shared" si="17"/>
        <v>2</v>
      </c>
      <c r="G131" s="115" t="str">
        <f t="shared" si="18"/>
        <v>Beau</v>
      </c>
      <c r="H131" s="116">
        <f>IF($D131="",0,IFERROR(LOOKUP(2,1/(($D$3:D130=$D131)*($A$3:A130&lt;$A131)),$N$3:N130),'Guide &amp; Settings'!$C$41))</f>
        <v>914.42496189230224</v>
      </c>
      <c r="I131" s="117">
        <f t="shared" si="19"/>
        <v>0.5</v>
      </c>
      <c r="J131" s="118">
        <f>IF($D131="",0,IF($F131&lt;2,0,IF($E131="Win",('Guide &amp; Settings'!$C$42/(($F131-1)*COUNTIFS($A$4:$A$810,$A131,$E$4:$E$810,"Win")))*SUMIFS($X$4:$X$810,$A$4:$A$810,$A131,$E$4:$E$810,"Loss"),-('Guide &amp; Settings'!$C$42/($F131-1))*$X131)))</f>
        <v>-13.223557123611547</v>
      </c>
      <c r="K131" s="118">
        <f>IF($D131="",0,'Guide &amp; Settings'!$C$43*(IF($E131="Win",1,0)-$I131))</f>
        <v>-6</v>
      </c>
      <c r="L131" s="119">
        <f>IF($D131="",0,'Guide &amp; Settings'!$C$44*IF($F131&gt;=3,$F131,0))</f>
        <v>0</v>
      </c>
      <c r="M131" s="118">
        <f t="shared" si="20"/>
        <v>-19.223557123611549</v>
      </c>
      <c r="N131" s="116">
        <f t="shared" si="21"/>
        <v>895.20140476869074</v>
      </c>
      <c r="O131" s="115" t="str">
        <f t="shared" si="22"/>
        <v>OK</v>
      </c>
      <c r="P131">
        <f t="shared" si="23"/>
        <v>975.33097176714045</v>
      </c>
      <c r="Q131">
        <f t="shared" si="24"/>
        <v>0.41323616011286085</v>
      </c>
      <c r="R131">
        <f t="shared" si="25"/>
        <v>0.5</v>
      </c>
      <c r="S131">
        <f t="shared" si="26"/>
        <v>1</v>
      </c>
      <c r="T131" s="83">
        <f t="shared" si="27"/>
        <v>0</v>
      </c>
      <c r="U131" s="120">
        <f>IF($D131="",0,IFERROR(LOOKUP(2,1/(($D$3:D130=$D131)*($C$3:C130=$C131)*($A$3:A130&lt;$A131)),$AB$3:AB130),1000))</f>
        <v>1000</v>
      </c>
      <c r="V131" s="120">
        <f t="shared" si="28"/>
        <v>914.42496189230224</v>
      </c>
      <c r="W131">
        <f t="shared" si="29"/>
        <v>975.33097176714045</v>
      </c>
      <c r="X131">
        <f t="shared" si="30"/>
        <v>0.41323616011286085</v>
      </c>
      <c r="Y131">
        <f t="shared" si="31"/>
        <v>1000</v>
      </c>
      <c r="Z131">
        <f t="shared" si="32"/>
        <v>0.5</v>
      </c>
      <c r="AA131">
        <f>IF($D131="",0,IF($F131&lt;2,0,IF($E131="Win",('Guide &amp; Settings'!$C$42/(($F131-1)*COUNTIFS($A$4:$A$810,$A131,$E$4:$E$810,"Win")))*SUMIFS($Z$4:$Z$810,$A$4:$A$810,$A131,$E$4:$E$810,"Loss"),-('Guide &amp; Settings'!$C$42/($F131-1))*$Z131)))</f>
        <v>-16</v>
      </c>
      <c r="AB131" s="120">
        <f t="shared" si="33"/>
        <v>984</v>
      </c>
      <c r="AC131" s="120">
        <f>IF($D131="","",IF(SUMPRODUCT(MAX(($D$4:$D$810=$D131)*($B$4:$B$810&lt;$B131)*$B$4:$B$810))=0,0,MAX(($B131-MAX(SUMPRODUCT(MAX(($D$4:$D$810=$D131)*($B$4:$B$810&lt;$B131)*$B$4:$B$810)),'Guide &amp; Settings'!$C$50))/7-'Guide &amp; Settings'!$C$48,0)*'Guide &amp; Settings'!$C$49))</f>
        <v>0</v>
      </c>
    </row>
    <row r="132" spans="1:29" ht="15" customHeight="1" x14ac:dyDescent="0.2">
      <c r="A132" s="111">
        <v>61</v>
      </c>
      <c r="B132" s="112">
        <v>46188</v>
      </c>
      <c r="C132" s="113" t="s">
        <v>206</v>
      </c>
      <c r="D132" s="113" t="s">
        <v>169</v>
      </c>
      <c r="E132" s="111" t="s">
        <v>308</v>
      </c>
      <c r="F132" s="114">
        <f t="shared" ref="F132:F195" si="34">IF($D132="",0,COUNTIF($A$4:$A$810,$A132))</f>
        <v>2</v>
      </c>
      <c r="G132" s="115" t="str">
        <f t="shared" ref="G132:G195" si="35">IF($D132="","",IFERROR(LOOKUP(2,1/(($A$4:$A$810=$A132)*($E$4:$E$810="Win")),$D$4:$D$810),"(no winner)"))</f>
        <v>Oscar</v>
      </c>
      <c r="H132" s="116">
        <f>IF($D132="",0,IFERROR(LOOKUP(2,1/(($D$3:D131=$D132)*($A$3:A131&lt;$A132)),$N$3:N131),'Guide &amp; Settings'!$C$41))</f>
        <v>986.66509914651715</v>
      </c>
      <c r="I132" s="117">
        <f t="shared" ref="I132:I195" si="36">IF($D132="",0,IF($S132=0,0,$R132/$S132))</f>
        <v>0.4285714285714286</v>
      </c>
      <c r="J132" s="118">
        <f>IF($D132="",0,IF($F132&lt;2,0,IF($E132="Win",('Guide &amp; Settings'!$C$42/(($F132-1)*COUNTIFS($A$4:$A$810,$A132,$E$4:$E$810,"Win")))*SUMIFS($X$4:$X$810,$A$4:$A$810,$A132,$E$4:$E$810,"Loss"),-('Guide &amp; Settings'!$C$42/($F132-1))*$X132)))</f>
        <v>17.204965774962339</v>
      </c>
      <c r="K132" s="118">
        <f>IF($D132="",0,'Guide &amp; Settings'!$C$43*(IF($E132="Win",1,0)-$I132))</f>
        <v>6.8571428571428568</v>
      </c>
      <c r="L132" s="119">
        <f>IF($D132="",0,'Guide &amp; Settings'!$C$44*IF($F132&gt;=3,$F132,0))</f>
        <v>0</v>
      </c>
      <c r="M132" s="118">
        <f t="shared" ref="M132:M195" si="37">IF($D132="",0,$J132+$K132+$L132)</f>
        <v>24.062108632105197</v>
      </c>
      <c r="N132" s="116">
        <f t="shared" ref="N132:N195" si="38">IF($D132="",0,$H132+$M132)</f>
        <v>1010.7272077786223</v>
      </c>
      <c r="O132" s="115" t="str">
        <f t="shared" ref="O132:O195" si="39">IF($D132="","",IF(COUNTIFS($A$4:$A$810,$A132,$E$4:$E$810,"Win")=0,"need a winner",IF(COUNTIFS($A$4:$A$810,$A132,$E$4:$E$810,"Loss")=0,"need a loser",IF(COUNTIFS($A$4:$A$810,$A132,$D$4:$D$810,$D132)&gt;1,"duplicate player","OK"))))</f>
        <v>OK</v>
      </c>
      <c r="P132">
        <f t="shared" ref="P132:P195" si="40">IF($D132="",0,IFERROR(SUMIFS($H$4:$H$810,$A$4:$A$810,$A132,$E$4:$E$810,"Win")/COUNTIFS($A$4:$A$810,$A132,$E$4:$E$810,"Win"),0))</f>
        <v>986.66509914651715</v>
      </c>
      <c r="Q132">
        <f t="shared" ref="Q132:Q195" si="41">IF($D132="",0,1/(1+10^(($P132-$H132)/400)))</f>
        <v>0.5</v>
      </c>
      <c r="R132">
        <f t="shared" ref="R132:R195" si="42">IF($D132="",0,(COUNTIFS($D$4:$D$810,$D132,$C$4:$C$810,$C132,$E$4:$E$810,"Win",$A$4:$A$810,"&lt;"&amp;$A132)+1)/(COUNTIFS($D$4:$D$810,$D132,$C$4:$C$810,$C132,$A$4:$A$810,"&lt;"&amp;$A132)+2))</f>
        <v>0.5</v>
      </c>
      <c r="S132">
        <f t="shared" ref="S132:S195" si="43">IF($D132="",0,SUMIFS($R$4:$R$810,$A$4:$A$810,$A132))</f>
        <v>1.1666666666666665</v>
      </c>
      <c r="T132" s="83">
        <f t="shared" ref="T132:T195" si="44">IF($D132="",0,COUNTIFS($D$4:$D$810,$D132,$C$4:$C$810,$C132,$A$4:$A$810,"&lt;"&amp;$A132))</f>
        <v>0</v>
      </c>
      <c r="U132" s="120">
        <f>IF($D132="",0,IFERROR(LOOKUP(2,1/(($D$3:D131=$D132)*($C$3:C131=$C132)*($A$3:A131&lt;$A132)),$AB$3:AB131),1000))</f>
        <v>1000</v>
      </c>
      <c r="V132" s="120">
        <f t="shared" ref="V132:V195" si="45">IF($D132="",0,$U132*($T132/($T132+5))+$H132*(1-$T132/($T132+5)))</f>
        <v>986.66509914651715</v>
      </c>
      <c r="W132">
        <f t="shared" ref="W132:W195" si="46">IF($D132="",0,IFERROR(SUMIFS($V$4:$V$810,$A$4:$A$810,$A132,$E$4:$E$810,"Win")/COUNTIFS($A$4:$A$810,$A132,$E$4:$E$810,"Win"),0))</f>
        <v>986.66509914651715</v>
      </c>
      <c r="X132">
        <f t="shared" ref="X132:X195" si="47">IF($D132="",0,1/(1+10^(($W132-$V132)/400)))</f>
        <v>0.5</v>
      </c>
      <c r="Y132">
        <f t="shared" ref="Y132:Y195" si="48">IF($D132="",0,IFERROR(SUMIFS($U$4:$U$810,$A$4:$A$810,$A132,$E$4:$E$810,"Win")/COUNTIFS($A$4:$A$810,$A132,$E$4:$E$810,"Win"),0))</f>
        <v>1000</v>
      </c>
      <c r="Z132">
        <f t="shared" ref="Z132:Z195" si="49">IF($D132="",0,1/(1+10^(($Y132-$U132)/400)))</f>
        <v>0.5</v>
      </c>
      <c r="AA132">
        <f>IF($D132="",0,IF($F132&lt;2,0,IF($E132="Win",('Guide &amp; Settings'!$C$42/(($F132-1)*COUNTIFS($A$4:$A$810,$A132,$E$4:$E$810,"Win")))*SUMIFS($Z$4:$Z$810,$A$4:$A$810,$A132,$E$4:$E$810,"Loss"),-('Guide &amp; Settings'!$C$42/($F132-1))*$Z132)))</f>
        <v>16.736306793521994</v>
      </c>
      <c r="AB132" s="120">
        <f t="shared" ref="AB132:AB195" si="50">IF($D132="",0,$U132+$AA132)</f>
        <v>1016.736306793522</v>
      </c>
      <c r="AC132" s="120">
        <f>IF($D132="","",IF(SUMPRODUCT(MAX(($D$4:$D$810=$D132)*($B$4:$B$810&lt;$B132)*$B$4:$B$810))=0,0,MAX(($B132-MAX(SUMPRODUCT(MAX(($D$4:$D$810=$D132)*($B$4:$B$810&lt;$B132)*$B$4:$B$810)),'Guide &amp; Settings'!$C$50))/7-'Guide &amp; Settings'!$C$48,0)*'Guide &amp; Settings'!$C$49))</f>
        <v>0</v>
      </c>
    </row>
    <row r="133" spans="1:29" ht="15" customHeight="1" x14ac:dyDescent="0.2">
      <c r="A133" s="111">
        <v>61</v>
      </c>
      <c r="B133" s="112">
        <v>46188</v>
      </c>
      <c r="C133" s="113" t="s">
        <v>206</v>
      </c>
      <c r="D133" s="113" t="s">
        <v>134</v>
      </c>
      <c r="E133" s="111" t="s">
        <v>309</v>
      </c>
      <c r="F133" s="114">
        <f t="shared" si="34"/>
        <v>2</v>
      </c>
      <c r="G133" s="115" t="str">
        <f t="shared" si="35"/>
        <v>Oscar</v>
      </c>
      <c r="H133" s="116">
        <f>IF($D133="",0,IFERROR(LOOKUP(2,1/(($D$3:D132=$D133)*($A$3:A132&lt;$A133)),$N$3:N132),'Guide &amp; Settings'!$C$41))</f>
        <v>1012.2562816449486</v>
      </c>
      <c r="I133" s="117">
        <f t="shared" si="36"/>
        <v>0.57142857142857151</v>
      </c>
      <c r="J133" s="118">
        <f>IF($D133="",0,IF($F133&lt;2,0,IF($E133="Win",('Guide &amp; Settings'!$C$42/(($F133-1)*COUNTIFS($A$4:$A$810,$A133,$E$4:$E$810,"Win")))*SUMIFS($X$4:$X$810,$A$4:$A$810,$A133,$E$4:$E$810,"Loss"),-('Guide &amp; Settings'!$C$42/($F133-1))*$X133)))</f>
        <v>-17.204965774962339</v>
      </c>
      <c r="K133" s="118">
        <f>IF($D133="",0,'Guide &amp; Settings'!$C$43*(IF($E133="Win",1,0)-$I133))</f>
        <v>-6.8571428571428577</v>
      </c>
      <c r="L133" s="119">
        <f>IF($D133="",0,'Guide &amp; Settings'!$C$44*IF($F133&gt;=3,$F133,0))</f>
        <v>0</v>
      </c>
      <c r="M133" s="118">
        <f t="shared" si="37"/>
        <v>-24.062108632105197</v>
      </c>
      <c r="N133" s="116">
        <f t="shared" si="38"/>
        <v>988.19417301284341</v>
      </c>
      <c r="O133" s="115" t="str">
        <f t="shared" si="39"/>
        <v>OK</v>
      </c>
      <c r="P133">
        <f t="shared" si="40"/>
        <v>986.66509914651715</v>
      </c>
      <c r="Q133">
        <f t="shared" si="41"/>
        <v>0.53676221282748315</v>
      </c>
      <c r="R133">
        <f t="shared" si="42"/>
        <v>0.66666666666666663</v>
      </c>
      <c r="S133">
        <f t="shared" si="43"/>
        <v>1.1666666666666665</v>
      </c>
      <c r="T133" s="83">
        <f t="shared" si="44"/>
        <v>1</v>
      </c>
      <c r="U133" s="120">
        <f>IF($D133="",0,IFERROR(LOOKUP(2,1/(($D$3:D132=$D133)*($C$3:C132=$C133)*($A$3:A132&lt;$A133)),$AB$3:AB132),1000))</f>
        <v>1016</v>
      </c>
      <c r="V133" s="120">
        <f t="shared" si="45"/>
        <v>1012.8802347041237</v>
      </c>
      <c r="W133">
        <f t="shared" si="46"/>
        <v>986.66509914651715</v>
      </c>
      <c r="X133">
        <f t="shared" si="47"/>
        <v>0.5376551804675731</v>
      </c>
      <c r="Y133">
        <f t="shared" si="48"/>
        <v>1000</v>
      </c>
      <c r="Z133">
        <f t="shared" si="49"/>
        <v>0.52300958729756231</v>
      </c>
      <c r="AA133">
        <f>IF($D133="",0,IF($F133&lt;2,0,IF($E133="Win",('Guide &amp; Settings'!$C$42/(($F133-1)*COUNTIFS($A$4:$A$810,$A133,$E$4:$E$810,"Win")))*SUMIFS($Z$4:$Z$810,$A$4:$A$810,$A133,$E$4:$E$810,"Loss"),-('Guide &amp; Settings'!$C$42/($F133-1))*$Z133)))</f>
        <v>-16.736306793521994</v>
      </c>
      <c r="AB133" s="120">
        <f t="shared" si="50"/>
        <v>999.26369320647802</v>
      </c>
      <c r="AC133" s="120">
        <f>IF($D133="","",IF(SUMPRODUCT(MAX(($D$4:$D$810=$D133)*($B$4:$B$810&lt;$B133)*$B$4:$B$810))=0,0,MAX(($B133-MAX(SUMPRODUCT(MAX(($D$4:$D$810=$D133)*($B$4:$B$810&lt;$B133)*$B$4:$B$810)),'Guide &amp; Settings'!$C$50))/7-'Guide &amp; Settings'!$C$48,0)*'Guide &amp; Settings'!$C$49))</f>
        <v>0</v>
      </c>
    </row>
    <row r="134" spans="1:29" ht="15" customHeight="1" x14ac:dyDescent="0.2">
      <c r="A134" s="111">
        <v>62</v>
      </c>
      <c r="B134" s="112">
        <v>46188</v>
      </c>
      <c r="C134" s="113" t="s">
        <v>206</v>
      </c>
      <c r="D134" s="113" t="s">
        <v>167</v>
      </c>
      <c r="E134" s="111" t="s">
        <v>308</v>
      </c>
      <c r="F134" s="114">
        <f t="shared" si="34"/>
        <v>2</v>
      </c>
      <c r="G134" s="115" t="str">
        <f t="shared" si="35"/>
        <v>Dean B</v>
      </c>
      <c r="H134" s="116">
        <f>IF($D134="",0,IFERROR(LOOKUP(2,1/(($D$3:D133=$D134)*($A$3:A133&lt;$A134)),$N$3:N133),'Guide &amp; Settings'!$C$41))</f>
        <v>1073.9709662208836</v>
      </c>
      <c r="I134" s="117">
        <f t="shared" si="36"/>
        <v>0.5</v>
      </c>
      <c r="J134" s="118">
        <f>IF($D134="",0,IF($F134&lt;2,0,IF($E134="Win",('Guide &amp; Settings'!$C$42/(($F134-1)*COUNTIFS($A$4:$A$810,$A134,$E$4:$E$810,"Win")))*SUMIFS($X$4:$X$810,$A$4:$A$810,$A134,$E$4:$E$810,"Loss"),-('Guide &amp; Settings'!$C$42/($F134-1))*$X134)))</f>
        <v>12.066887756734788</v>
      </c>
      <c r="K134" s="118">
        <f>IF($D134="",0,'Guide &amp; Settings'!$C$43*(IF($E134="Win",1,0)-$I134))</f>
        <v>6</v>
      </c>
      <c r="L134" s="119">
        <f>IF($D134="",0,'Guide &amp; Settings'!$C$44*IF($F134&gt;=3,$F134,0))</f>
        <v>0</v>
      </c>
      <c r="M134" s="118">
        <f t="shared" si="37"/>
        <v>18.066887756734786</v>
      </c>
      <c r="N134" s="116">
        <f t="shared" si="38"/>
        <v>1092.0378539776184</v>
      </c>
      <c r="O134" s="115" t="str">
        <f t="shared" si="39"/>
        <v>OK</v>
      </c>
      <c r="P134">
        <f t="shared" si="40"/>
        <v>1073.9709662208836</v>
      </c>
      <c r="Q134">
        <f t="shared" si="41"/>
        <v>0.5</v>
      </c>
      <c r="R134">
        <f t="shared" si="42"/>
        <v>0.66666666666666663</v>
      </c>
      <c r="S134">
        <f t="shared" si="43"/>
        <v>1.3333333333333333</v>
      </c>
      <c r="T134" s="83">
        <f t="shared" si="44"/>
        <v>1</v>
      </c>
      <c r="U134" s="120">
        <f>IF($D134="",0,IFERROR(LOOKUP(2,1/(($D$3:D133=$D134)*($C$3:C133=$C134)*($A$3:A133&lt;$A134)),$AB$3:AB133),1000))</f>
        <v>1016</v>
      </c>
      <c r="V134" s="120">
        <f t="shared" si="45"/>
        <v>1064.309138517403</v>
      </c>
      <c r="W134">
        <f t="shared" si="46"/>
        <v>1064.309138517403</v>
      </c>
      <c r="X134">
        <f t="shared" si="47"/>
        <v>0.5</v>
      </c>
      <c r="Y134">
        <f t="shared" si="48"/>
        <v>1016</v>
      </c>
      <c r="Z134">
        <f t="shared" si="49"/>
        <v>0.5</v>
      </c>
      <c r="AA134">
        <f>IF($D134="",0,IF($F134&lt;2,0,IF($E134="Win",('Guide &amp; Settings'!$C$42/(($F134-1)*COUNTIFS($A$4:$A$810,$A134,$E$4:$E$810,"Win")))*SUMIFS($Z$4:$Z$810,$A$4:$A$810,$A134,$E$4:$E$810,"Loss"),-('Guide &amp; Settings'!$C$42/($F134-1))*$Z134)))</f>
        <v>16</v>
      </c>
      <c r="AB134" s="120">
        <f t="shared" si="50"/>
        <v>1032</v>
      </c>
      <c r="AC134" s="120">
        <f>IF($D134="","",IF(SUMPRODUCT(MAX(($D$4:$D$810=$D134)*($B$4:$B$810&lt;$B134)*$B$4:$B$810))=0,0,MAX(($B134-MAX(SUMPRODUCT(MAX(($D$4:$D$810=$D134)*($B$4:$B$810&lt;$B134)*$B$4:$B$810)),'Guide &amp; Settings'!$C$50))/7-'Guide &amp; Settings'!$C$48,0)*'Guide &amp; Settings'!$C$49))</f>
        <v>0</v>
      </c>
    </row>
    <row r="135" spans="1:29" ht="15" customHeight="1" x14ac:dyDescent="0.2">
      <c r="A135" s="111">
        <v>62</v>
      </c>
      <c r="B135" s="112">
        <v>46188</v>
      </c>
      <c r="C135" s="113" t="s">
        <v>206</v>
      </c>
      <c r="D135" s="113" t="s">
        <v>140</v>
      </c>
      <c r="E135" s="111" t="s">
        <v>309</v>
      </c>
      <c r="F135" s="114">
        <f t="shared" si="34"/>
        <v>2</v>
      </c>
      <c r="G135" s="115" t="str">
        <f t="shared" si="35"/>
        <v>Dean B</v>
      </c>
      <c r="H135" s="116">
        <f>IF($D135="",0,IFERROR(LOOKUP(2,1/(($D$3:D134=$D135)*($A$3:A134&lt;$A135)),$N$3:N134),'Guide &amp; Settings'!$C$41))</f>
        <v>969.34064339243469</v>
      </c>
      <c r="I135" s="117">
        <f t="shared" si="36"/>
        <v>0.5</v>
      </c>
      <c r="J135" s="118">
        <f>IF($D135="",0,IF($F135&lt;2,0,IF($E135="Win",('Guide &amp; Settings'!$C$42/(($F135-1)*COUNTIFS($A$4:$A$810,$A135,$E$4:$E$810,"Win")))*SUMIFS($X$4:$X$810,$A$4:$A$810,$A135,$E$4:$E$810,"Loss"),-('Guide &amp; Settings'!$C$42/($F135-1))*$X135)))</f>
        <v>-12.066887756734788</v>
      </c>
      <c r="K135" s="118">
        <f>IF($D135="",0,'Guide &amp; Settings'!$C$43*(IF($E135="Win",1,0)-$I135))</f>
        <v>-6</v>
      </c>
      <c r="L135" s="119">
        <f>IF($D135="",0,'Guide &amp; Settings'!$C$44*IF($F135&gt;=3,$F135,0))</f>
        <v>0</v>
      </c>
      <c r="M135" s="118">
        <f t="shared" si="37"/>
        <v>-18.066887756734786</v>
      </c>
      <c r="N135" s="116">
        <f t="shared" si="38"/>
        <v>951.2737556356999</v>
      </c>
      <c r="O135" s="115" t="str">
        <f t="shared" si="39"/>
        <v>OK</v>
      </c>
      <c r="P135">
        <f t="shared" si="40"/>
        <v>1073.9709662208836</v>
      </c>
      <c r="Q135">
        <f t="shared" si="41"/>
        <v>0.35381753980437913</v>
      </c>
      <c r="R135">
        <f t="shared" si="42"/>
        <v>0.66666666666666663</v>
      </c>
      <c r="S135">
        <f t="shared" si="43"/>
        <v>1.3333333333333333</v>
      </c>
      <c r="T135" s="83">
        <f t="shared" si="44"/>
        <v>1</v>
      </c>
      <c r="U135" s="120">
        <f>IF($D135="",0,IFERROR(LOOKUP(2,1/(($D$3:D134=$D135)*($C$3:C134=$C135)*($A$3:A134&lt;$A135)),$AB$3:AB134),1000))</f>
        <v>1016</v>
      </c>
      <c r="V135" s="120">
        <f t="shared" si="45"/>
        <v>977.1172028270289</v>
      </c>
      <c r="W135">
        <f t="shared" si="46"/>
        <v>1064.309138517403</v>
      </c>
      <c r="X135">
        <f t="shared" si="47"/>
        <v>0.37709024239796213</v>
      </c>
      <c r="Y135">
        <f t="shared" si="48"/>
        <v>1016</v>
      </c>
      <c r="Z135">
        <f t="shared" si="49"/>
        <v>0.5</v>
      </c>
      <c r="AA135">
        <f>IF($D135="",0,IF($F135&lt;2,0,IF($E135="Win",('Guide &amp; Settings'!$C$42/(($F135-1)*COUNTIFS($A$4:$A$810,$A135,$E$4:$E$810,"Win")))*SUMIFS($Z$4:$Z$810,$A$4:$A$810,$A135,$E$4:$E$810,"Loss"),-('Guide &amp; Settings'!$C$42/($F135-1))*$Z135)))</f>
        <v>-16</v>
      </c>
      <c r="AB135" s="120">
        <f t="shared" si="50"/>
        <v>1000</v>
      </c>
      <c r="AC135" s="120">
        <f>IF($D135="","",IF(SUMPRODUCT(MAX(($D$4:$D$810=$D135)*($B$4:$B$810&lt;$B135)*$B$4:$B$810))=0,0,MAX(($B135-MAX(SUMPRODUCT(MAX(($D$4:$D$810=$D135)*($B$4:$B$810&lt;$B135)*$B$4:$B$810)),'Guide &amp; Settings'!$C$50))/7-'Guide &amp; Settings'!$C$48,0)*'Guide &amp; Settings'!$C$49))</f>
        <v>0</v>
      </c>
    </row>
    <row r="136" spans="1:29" ht="15" customHeight="1" x14ac:dyDescent="0.2">
      <c r="A136" s="111">
        <v>63</v>
      </c>
      <c r="B136" s="112">
        <v>46188</v>
      </c>
      <c r="C136" s="113" t="s">
        <v>206</v>
      </c>
      <c r="D136" s="113" t="s">
        <v>168</v>
      </c>
      <c r="E136" s="111" t="s">
        <v>308</v>
      </c>
      <c r="F136" s="114">
        <f t="shared" si="34"/>
        <v>2</v>
      </c>
      <c r="G136" s="115" t="str">
        <f t="shared" si="35"/>
        <v>Simon</v>
      </c>
      <c r="H136" s="116">
        <f>IF($D136="",0,IFERROR(LOOKUP(2,1/(($D$3:D135=$D136)*($A$3:A135&lt;$A136)),$N$3:N135),'Guide &amp; Settings'!$C$41))</f>
        <v>1026.5608547405914</v>
      </c>
      <c r="I136" s="117">
        <f t="shared" si="36"/>
        <v>0.5</v>
      </c>
      <c r="J136" s="118">
        <f>IF($D136="",0,IF($F136&lt;2,0,IF($E136="Win",('Guide &amp; Settings'!$C$42/(($F136-1)*COUNTIFS($A$4:$A$810,$A136,$E$4:$E$810,"Win")))*SUMIFS($X$4:$X$810,$A$4:$A$810,$A136,$E$4:$E$810,"Loss"),-('Guide &amp; Settings'!$C$42/($F136-1))*$X136)))</f>
        <v>15.403940044730891</v>
      </c>
      <c r="K136" s="118">
        <f>IF($D136="",0,'Guide &amp; Settings'!$C$43*(IF($E136="Win",1,0)-$I136))</f>
        <v>6</v>
      </c>
      <c r="L136" s="119">
        <f>IF($D136="",0,'Guide &amp; Settings'!$C$44*IF($F136&gt;=3,$F136,0))</f>
        <v>0</v>
      </c>
      <c r="M136" s="118">
        <f t="shared" si="37"/>
        <v>21.403940044730891</v>
      </c>
      <c r="N136" s="116">
        <f t="shared" si="38"/>
        <v>1047.9647947853223</v>
      </c>
      <c r="O136" s="115" t="str">
        <f t="shared" si="39"/>
        <v>OK</v>
      </c>
      <c r="P136">
        <f t="shared" si="40"/>
        <v>1026.5608547405914</v>
      </c>
      <c r="Q136">
        <f t="shared" si="41"/>
        <v>0.5</v>
      </c>
      <c r="R136">
        <f t="shared" si="42"/>
        <v>0.66666666666666663</v>
      </c>
      <c r="S136">
        <f t="shared" si="43"/>
        <v>1.3333333333333333</v>
      </c>
      <c r="T136" s="83">
        <f t="shared" si="44"/>
        <v>1</v>
      </c>
      <c r="U136" s="120">
        <f>IF($D136="",0,IFERROR(LOOKUP(2,1/(($D$3:D135=$D136)*($C$3:C135=$C136)*($A$3:A135&lt;$A136)),$AB$3:AB135),1000))</f>
        <v>1015.263693206478</v>
      </c>
      <c r="V136" s="120">
        <f t="shared" si="45"/>
        <v>1024.6779944849059</v>
      </c>
      <c r="W136">
        <f t="shared" si="46"/>
        <v>1024.6779944849059</v>
      </c>
      <c r="X136">
        <f t="shared" si="47"/>
        <v>0.5</v>
      </c>
      <c r="Y136">
        <f t="shared" si="48"/>
        <v>1015.263693206478</v>
      </c>
      <c r="Z136">
        <f t="shared" si="49"/>
        <v>0.5</v>
      </c>
      <c r="AA136">
        <f>IF($D136="",0,IF($F136&lt;2,0,IF($E136="Win",('Guide &amp; Settings'!$C$42/(($F136-1)*COUNTIFS($A$4:$A$810,$A136,$E$4:$E$810,"Win")))*SUMIFS($Z$4:$Z$810,$A$4:$A$810,$A136,$E$4:$E$810,"Loss"),-('Guide &amp; Settings'!$C$42/($F136-1))*$Z136)))</f>
        <v>16.067815955759624</v>
      </c>
      <c r="AB136" s="120">
        <f t="shared" si="50"/>
        <v>1031.3315091622376</v>
      </c>
      <c r="AC136" s="120">
        <f>IF($D136="","",IF(SUMPRODUCT(MAX(($D$4:$D$810=$D136)*($B$4:$B$810&lt;$B136)*$B$4:$B$810))=0,0,MAX(($B136-MAX(SUMPRODUCT(MAX(($D$4:$D$810=$D136)*($B$4:$B$810&lt;$B136)*$B$4:$B$810)),'Guide &amp; Settings'!$C$50))/7-'Guide &amp; Settings'!$C$48,0)*'Guide &amp; Settings'!$C$49))</f>
        <v>0</v>
      </c>
    </row>
    <row r="137" spans="1:29" ht="15" customHeight="1" x14ac:dyDescent="0.2">
      <c r="A137" s="111">
        <v>63</v>
      </c>
      <c r="B137" s="112">
        <v>46188</v>
      </c>
      <c r="C137" s="113" t="s">
        <v>206</v>
      </c>
      <c r="D137" s="113" t="s">
        <v>169</v>
      </c>
      <c r="E137" s="111" t="s">
        <v>309</v>
      </c>
      <c r="F137" s="114">
        <f t="shared" si="34"/>
        <v>2</v>
      </c>
      <c r="G137" s="115" t="str">
        <f t="shared" si="35"/>
        <v>Simon</v>
      </c>
      <c r="H137" s="116">
        <f>IF($D137="",0,IFERROR(LOOKUP(2,1/(($D$3:D136=$D137)*($A$3:A136&lt;$A137)),$N$3:N136),'Guide &amp; Settings'!$C$41))</f>
        <v>1010.7272077786223</v>
      </c>
      <c r="I137" s="117">
        <f t="shared" si="36"/>
        <v>0.5</v>
      </c>
      <c r="J137" s="118">
        <f>IF($D137="",0,IF($F137&lt;2,0,IF($E137="Win",('Guide &amp; Settings'!$C$42/(($F137-1)*COUNTIFS($A$4:$A$810,$A137,$E$4:$E$810,"Win")))*SUMIFS($X$4:$X$810,$A$4:$A$810,$A137,$E$4:$E$810,"Loss"),-('Guide &amp; Settings'!$C$42/($F137-1))*$X137)))</f>
        <v>-15.403940044730891</v>
      </c>
      <c r="K137" s="118">
        <f>IF($D137="",0,'Guide &amp; Settings'!$C$43*(IF($E137="Win",1,0)-$I137))</f>
        <v>-6</v>
      </c>
      <c r="L137" s="119">
        <f>IF($D137="",0,'Guide &amp; Settings'!$C$44*IF($F137&gt;=3,$F137,0))</f>
        <v>0</v>
      </c>
      <c r="M137" s="118">
        <f t="shared" si="37"/>
        <v>-21.403940044730891</v>
      </c>
      <c r="N137" s="116">
        <f t="shared" si="38"/>
        <v>989.32326773389138</v>
      </c>
      <c r="O137" s="115" t="str">
        <f t="shared" si="39"/>
        <v>OK</v>
      </c>
      <c r="P137">
        <f t="shared" si="40"/>
        <v>1026.5608547405914</v>
      </c>
      <c r="Q137">
        <f t="shared" si="41"/>
        <v>0.47722931221859638</v>
      </c>
      <c r="R137">
        <f t="shared" si="42"/>
        <v>0.66666666666666663</v>
      </c>
      <c r="S137">
        <f t="shared" si="43"/>
        <v>1.3333333333333333</v>
      </c>
      <c r="T137" s="83">
        <f t="shared" si="44"/>
        <v>1</v>
      </c>
      <c r="U137" s="120">
        <f>IF($D137="",0,IFERROR(LOOKUP(2,1/(($D$3:D136=$D137)*($C$3:C136=$C137)*($A$3:A136&lt;$A137)),$AB$3:AB136),1000))</f>
        <v>1016.736306793522</v>
      </c>
      <c r="V137" s="120">
        <f t="shared" si="45"/>
        <v>1011.7287242811055</v>
      </c>
      <c r="W137">
        <f t="shared" si="46"/>
        <v>1024.6779944849059</v>
      </c>
      <c r="X137">
        <f t="shared" si="47"/>
        <v>0.48137312639784036</v>
      </c>
      <c r="Y137">
        <f t="shared" si="48"/>
        <v>1015.263693206478</v>
      </c>
      <c r="Z137">
        <f t="shared" si="49"/>
        <v>0.50211924861748825</v>
      </c>
      <c r="AA137">
        <f>IF($D137="",0,IF($F137&lt;2,0,IF($E137="Win",('Guide &amp; Settings'!$C$42/(($F137-1)*COUNTIFS($A$4:$A$810,$A137,$E$4:$E$810,"Win")))*SUMIFS($Z$4:$Z$810,$A$4:$A$810,$A137,$E$4:$E$810,"Loss"),-('Guide &amp; Settings'!$C$42/($F137-1))*$Z137)))</f>
        <v>-16.067815955759624</v>
      </c>
      <c r="AB137" s="120">
        <f t="shared" si="50"/>
        <v>1000.6684908377623</v>
      </c>
      <c r="AC137" s="120">
        <f>IF($D137="","",IF(SUMPRODUCT(MAX(($D$4:$D$810=$D137)*($B$4:$B$810&lt;$B137)*$B$4:$B$810))=0,0,MAX(($B137-MAX(SUMPRODUCT(MAX(($D$4:$D$810=$D137)*($B$4:$B$810&lt;$B137)*$B$4:$B$810)),'Guide &amp; Settings'!$C$50))/7-'Guide &amp; Settings'!$C$48,0)*'Guide &amp; Settings'!$C$49))</f>
        <v>0</v>
      </c>
    </row>
    <row r="138" spans="1:29" ht="15" customHeight="1" x14ac:dyDescent="0.2">
      <c r="A138" s="111">
        <v>64</v>
      </c>
      <c r="B138" s="112">
        <v>46188</v>
      </c>
      <c r="C138" s="113" t="s">
        <v>206</v>
      </c>
      <c r="D138" s="113" t="s">
        <v>173</v>
      </c>
      <c r="E138" s="111" t="s">
        <v>308</v>
      </c>
      <c r="F138" s="114">
        <f t="shared" si="34"/>
        <v>2</v>
      </c>
      <c r="G138" s="115" t="str">
        <f t="shared" si="35"/>
        <v>Chase</v>
      </c>
      <c r="H138" s="116">
        <f>IF($D138="",0,IFERROR(LOOKUP(2,1/(($D$3:D137=$D138)*($A$3:A137&lt;$A138)),$N$3:N137),'Guide &amp; Settings'!$C$41))</f>
        <v>1000.0398229848671</v>
      </c>
      <c r="I138" s="117">
        <f t="shared" si="36"/>
        <v>0.60000000000000009</v>
      </c>
      <c r="J138" s="118">
        <f>IF($D138="",0,IF($F138&lt;2,0,IF($E138="Win",('Guide &amp; Settings'!$C$42/(($F138-1)*COUNTIFS($A$4:$A$810,$A138,$E$4:$E$810,"Win")))*SUMIFS($X$4:$X$810,$A$4:$A$810,$A138,$E$4:$E$810,"Loss"),-('Guide &amp; Settings'!$C$42/($F138-1))*$X138)))</f>
        <v>11.943963722712418</v>
      </c>
      <c r="K138" s="118">
        <f>IF($D138="",0,'Guide &amp; Settings'!$C$43*(IF($E138="Win",1,0)-$I138))</f>
        <v>4.7999999999999989</v>
      </c>
      <c r="L138" s="119">
        <f>IF($D138="",0,'Guide &amp; Settings'!$C$44*IF($F138&gt;=3,$F138,0))</f>
        <v>0</v>
      </c>
      <c r="M138" s="118">
        <f t="shared" si="37"/>
        <v>16.743963722712415</v>
      </c>
      <c r="N138" s="116">
        <f t="shared" si="38"/>
        <v>1016.7837867075796</v>
      </c>
      <c r="O138" s="115" t="str">
        <f t="shared" si="39"/>
        <v>OK</v>
      </c>
      <c r="P138">
        <f t="shared" si="40"/>
        <v>1000.0398229848671</v>
      </c>
      <c r="Q138">
        <f t="shared" si="41"/>
        <v>0.5</v>
      </c>
      <c r="R138">
        <f t="shared" si="42"/>
        <v>0.5</v>
      </c>
      <c r="S138">
        <f t="shared" si="43"/>
        <v>0.83333333333333326</v>
      </c>
      <c r="T138" s="83">
        <f t="shared" si="44"/>
        <v>0</v>
      </c>
      <c r="U138" s="120">
        <f>IF($D138="",0,IFERROR(LOOKUP(2,1/(($D$3:D137=$D138)*($C$3:C137=$C138)*($A$3:A137&lt;$A138)),$AB$3:AB137),1000))</f>
        <v>1000</v>
      </c>
      <c r="V138" s="120">
        <f t="shared" si="45"/>
        <v>1000.0398229848671</v>
      </c>
      <c r="W138">
        <f t="shared" si="46"/>
        <v>1000.0398229848671</v>
      </c>
      <c r="X138">
        <f t="shared" si="47"/>
        <v>0.5</v>
      </c>
      <c r="Y138">
        <f t="shared" si="48"/>
        <v>1000</v>
      </c>
      <c r="Z138">
        <f t="shared" si="49"/>
        <v>0.5</v>
      </c>
      <c r="AA138">
        <f>IF($D138="",0,IF($F138&lt;2,0,IF($E138="Win",('Guide &amp; Settings'!$C$42/(($F138-1)*COUNTIFS($A$4:$A$810,$A138,$E$4:$E$810,"Win")))*SUMIFS($Z$4:$Z$810,$A$4:$A$810,$A138,$E$4:$E$810,"Loss"),-('Guide &amp; Settings'!$C$42/($F138-1))*$Z138)))</f>
        <v>15.263693206478006</v>
      </c>
      <c r="AB138" s="120">
        <f t="shared" si="50"/>
        <v>1015.263693206478</v>
      </c>
      <c r="AC138" s="120">
        <f>IF($D138="","",IF(SUMPRODUCT(MAX(($D$4:$D$810=$D138)*($B$4:$B$810&lt;$B138)*$B$4:$B$810))=0,0,MAX(($B138-MAX(SUMPRODUCT(MAX(($D$4:$D$810=$D138)*($B$4:$B$810&lt;$B138)*$B$4:$B$810)),'Guide &amp; Settings'!$C$50))/7-'Guide &amp; Settings'!$C$48,0)*'Guide &amp; Settings'!$C$49))</f>
        <v>0</v>
      </c>
    </row>
    <row r="139" spans="1:29" ht="15" customHeight="1" x14ac:dyDescent="0.2">
      <c r="A139" s="111">
        <v>64</v>
      </c>
      <c r="B139" s="112">
        <v>46188</v>
      </c>
      <c r="C139" s="113" t="s">
        <v>206</v>
      </c>
      <c r="D139" s="113" t="s">
        <v>175</v>
      </c>
      <c r="E139" s="111" t="s">
        <v>309</v>
      </c>
      <c r="F139" s="114">
        <f t="shared" si="34"/>
        <v>2</v>
      </c>
      <c r="G139" s="115" t="str">
        <f t="shared" si="35"/>
        <v>Chase</v>
      </c>
      <c r="H139" s="116">
        <f>IF($D139="",0,IFERROR(LOOKUP(2,1/(($D$3:D138=$D139)*($A$3:A138&lt;$A139)),$N$3:N138),'Guide &amp; Settings'!$C$41))</f>
        <v>895.20140476869074</v>
      </c>
      <c r="I139" s="117">
        <f t="shared" si="36"/>
        <v>0.4</v>
      </c>
      <c r="J139" s="118">
        <f>IF($D139="",0,IF($F139&lt;2,0,IF($E139="Win",('Guide &amp; Settings'!$C$42/(($F139-1)*COUNTIFS($A$4:$A$810,$A139,$E$4:$E$810,"Win")))*SUMIFS($X$4:$X$810,$A$4:$A$810,$A139,$E$4:$E$810,"Loss"),-('Guide &amp; Settings'!$C$42/($F139-1))*$X139)))</f>
        <v>-11.943963722712418</v>
      </c>
      <c r="K139" s="118">
        <f>IF($D139="",0,'Guide &amp; Settings'!$C$43*(IF($E139="Win",1,0)-$I139))</f>
        <v>-4.8000000000000007</v>
      </c>
      <c r="L139" s="119">
        <f>IF($D139="",0,'Guide &amp; Settings'!$C$44*IF($F139&gt;=3,$F139,0))</f>
        <v>0</v>
      </c>
      <c r="M139" s="118">
        <f t="shared" si="37"/>
        <v>-16.743963722712419</v>
      </c>
      <c r="N139" s="116">
        <f t="shared" si="38"/>
        <v>878.45744104597827</v>
      </c>
      <c r="O139" s="115" t="str">
        <f t="shared" si="39"/>
        <v>OK</v>
      </c>
      <c r="P139">
        <f t="shared" si="40"/>
        <v>1000.0398229848671</v>
      </c>
      <c r="Q139">
        <f t="shared" si="41"/>
        <v>0.35354371260743206</v>
      </c>
      <c r="R139">
        <f t="shared" si="42"/>
        <v>0.33333333333333331</v>
      </c>
      <c r="S139">
        <f t="shared" si="43"/>
        <v>0.83333333333333326</v>
      </c>
      <c r="T139" s="83">
        <f t="shared" si="44"/>
        <v>1</v>
      </c>
      <c r="U139" s="120">
        <f>IF($D139="",0,IFERROR(LOOKUP(2,1/(($D$3:D138=$D139)*($C$3:C138=$C139)*($A$3:A138&lt;$A139)),$AB$3:AB138),1000))</f>
        <v>984</v>
      </c>
      <c r="V139" s="120">
        <f t="shared" si="45"/>
        <v>910.00117064057565</v>
      </c>
      <c r="W139">
        <f t="shared" si="46"/>
        <v>1000.0398229848671</v>
      </c>
      <c r="X139">
        <f t="shared" si="47"/>
        <v>0.37324886633476306</v>
      </c>
      <c r="Y139">
        <f t="shared" si="48"/>
        <v>1000</v>
      </c>
      <c r="Z139">
        <f t="shared" si="49"/>
        <v>0.47699041270243769</v>
      </c>
      <c r="AA139">
        <f>IF($D139="",0,IF($F139&lt;2,0,IF($E139="Win",('Guide &amp; Settings'!$C$42/(($F139-1)*COUNTIFS($A$4:$A$810,$A139,$E$4:$E$810,"Win")))*SUMIFS($Z$4:$Z$810,$A$4:$A$810,$A139,$E$4:$E$810,"Loss"),-('Guide &amp; Settings'!$C$42/($F139-1))*$Z139)))</f>
        <v>-15.263693206478006</v>
      </c>
      <c r="AB139" s="120">
        <f t="shared" si="50"/>
        <v>968.73630679352198</v>
      </c>
      <c r="AC139" s="120">
        <f>IF($D139="","",IF(SUMPRODUCT(MAX(($D$4:$D$810=$D139)*($B$4:$B$810&lt;$B139)*$B$4:$B$810))=0,0,MAX(($B139-MAX(SUMPRODUCT(MAX(($D$4:$D$810=$D139)*($B$4:$B$810&lt;$B139)*$B$4:$B$810)),'Guide &amp; Settings'!$C$50))/7-'Guide &amp; Settings'!$C$48,0)*'Guide &amp; Settings'!$C$49))</f>
        <v>0</v>
      </c>
    </row>
    <row r="140" spans="1:29" ht="15" customHeight="1" x14ac:dyDescent="0.2">
      <c r="A140" s="111">
        <v>65</v>
      </c>
      <c r="B140" s="112">
        <v>46188</v>
      </c>
      <c r="C140" s="113" t="s">
        <v>206</v>
      </c>
      <c r="D140" s="113" t="s">
        <v>175</v>
      </c>
      <c r="E140" s="111" t="s">
        <v>308</v>
      </c>
      <c r="F140" s="114">
        <f t="shared" si="34"/>
        <v>2</v>
      </c>
      <c r="G140" s="115" t="str">
        <f t="shared" si="35"/>
        <v>Cody</v>
      </c>
      <c r="H140" s="116">
        <f>IF($D140="",0,IFERROR(LOOKUP(2,1/(($D$3:D139=$D140)*($A$3:A139&lt;$A140)),$N$3:N139),'Guide &amp; Settings'!$C$41))</f>
        <v>878.45744104597827</v>
      </c>
      <c r="I140" s="117">
        <f t="shared" si="36"/>
        <v>0.33333333333333331</v>
      </c>
      <c r="J140" s="118">
        <f>IF($D140="",0,IF($F140&lt;2,0,IF($E140="Win",('Guide &amp; Settings'!$C$42/(($F140-1)*COUNTIFS($A$4:$A$810,$A140,$E$4:$E$810,"Win")))*SUMIFS($X$4:$X$810,$A$4:$A$810,$A140,$E$4:$E$810,"Loss"),-('Guide &amp; Settings'!$C$42/($F140-1))*$X140)))</f>
        <v>19.981596316011267</v>
      </c>
      <c r="K140" s="118">
        <f>IF($D140="",0,'Guide &amp; Settings'!$C$43*(IF($E140="Win",1,0)-$I140))</f>
        <v>8</v>
      </c>
      <c r="L140" s="119">
        <f>IF($D140="",0,'Guide &amp; Settings'!$C$44*IF($F140&gt;=3,$F140,0))</f>
        <v>0</v>
      </c>
      <c r="M140" s="118">
        <f t="shared" si="37"/>
        <v>27.981596316011267</v>
      </c>
      <c r="N140" s="116">
        <f t="shared" si="38"/>
        <v>906.43903736198956</v>
      </c>
      <c r="O140" s="115" t="str">
        <f t="shared" si="39"/>
        <v>OK</v>
      </c>
      <c r="P140">
        <f t="shared" si="40"/>
        <v>878.45744104597827</v>
      </c>
      <c r="Q140">
        <f t="shared" si="41"/>
        <v>0.5</v>
      </c>
      <c r="R140">
        <f t="shared" si="42"/>
        <v>0.25</v>
      </c>
      <c r="S140">
        <f t="shared" si="43"/>
        <v>0.75</v>
      </c>
      <c r="T140" s="83">
        <f t="shared" si="44"/>
        <v>2</v>
      </c>
      <c r="U140" s="120">
        <f>IF($D140="",0,IFERROR(LOOKUP(2,1/(($D$3:D139=$D140)*($C$3:C139=$C140)*($A$3:A139&lt;$A140)),$AB$3:AB139),1000))</f>
        <v>968.73630679352198</v>
      </c>
      <c r="V140" s="120">
        <f t="shared" si="45"/>
        <v>904.25140268813368</v>
      </c>
      <c r="W140">
        <f t="shared" si="46"/>
        <v>904.25140268813368</v>
      </c>
      <c r="X140">
        <f t="shared" si="47"/>
        <v>0.5</v>
      </c>
      <c r="Y140">
        <f t="shared" si="48"/>
        <v>968.73630679352198</v>
      </c>
      <c r="Z140">
        <f t="shared" si="49"/>
        <v>0.5</v>
      </c>
      <c r="AA140">
        <f>IF($D140="",0,IF($F140&lt;2,0,IF($E140="Win",('Guide &amp; Settings'!$C$42/(($F140-1)*COUNTIFS($A$4:$A$810,$A140,$E$4:$E$810,"Win")))*SUMIFS($Z$4:$Z$810,$A$4:$A$810,$A140,$E$4:$E$810,"Loss"),-('Guide &amp; Settings'!$C$42/($F140-1))*$Z140)))</f>
        <v>17.466404777079056</v>
      </c>
      <c r="AB140" s="120">
        <f t="shared" si="50"/>
        <v>986.20271157060108</v>
      </c>
      <c r="AC140" s="120">
        <f>IF($D140="","",IF(SUMPRODUCT(MAX(($D$4:$D$810=$D140)*($B$4:$B$810&lt;$B140)*$B$4:$B$810))=0,0,MAX(($B140-MAX(SUMPRODUCT(MAX(($D$4:$D$810=$D140)*($B$4:$B$810&lt;$B140)*$B$4:$B$810)),'Guide &amp; Settings'!$C$50))/7-'Guide &amp; Settings'!$C$48,0)*'Guide &amp; Settings'!$C$49))</f>
        <v>0</v>
      </c>
    </row>
    <row r="141" spans="1:29" ht="15" customHeight="1" x14ac:dyDescent="0.2">
      <c r="A141" s="111">
        <v>65</v>
      </c>
      <c r="B141" s="112">
        <v>46188</v>
      </c>
      <c r="C141" s="113" t="s">
        <v>206</v>
      </c>
      <c r="D141" s="113" t="s">
        <v>169</v>
      </c>
      <c r="E141" s="111" t="s">
        <v>309</v>
      </c>
      <c r="F141" s="114">
        <f t="shared" si="34"/>
        <v>2</v>
      </c>
      <c r="G141" s="115" t="str">
        <f t="shared" si="35"/>
        <v>Cody</v>
      </c>
      <c r="H141" s="116">
        <f>IF($D141="",0,IFERROR(LOOKUP(2,1/(($D$3:D140=$D141)*($A$3:A140&lt;$A141)),$N$3:N140),'Guide &amp; Settings'!$C$41))</f>
        <v>989.32326773389138</v>
      </c>
      <c r="I141" s="117">
        <f t="shared" si="36"/>
        <v>0.66666666666666663</v>
      </c>
      <c r="J141" s="118">
        <f>IF($D141="",0,IF($F141&lt;2,0,IF($E141="Win",('Guide &amp; Settings'!$C$42/(($F141-1)*COUNTIFS($A$4:$A$810,$A141,$E$4:$E$810,"Win")))*SUMIFS($X$4:$X$810,$A$4:$A$810,$A141,$E$4:$E$810,"Loss"),-('Guide &amp; Settings'!$C$42/($F141-1))*$X141)))</f>
        <v>-19.981596316011267</v>
      </c>
      <c r="K141" s="118">
        <f>IF($D141="",0,'Guide &amp; Settings'!$C$43*(IF($E141="Win",1,0)-$I141))</f>
        <v>-8</v>
      </c>
      <c r="L141" s="119">
        <f>IF($D141="",0,'Guide &amp; Settings'!$C$44*IF($F141&gt;=3,$F141,0))</f>
        <v>0</v>
      </c>
      <c r="M141" s="118">
        <f t="shared" si="37"/>
        <v>-27.981596316011267</v>
      </c>
      <c r="N141" s="116">
        <f t="shared" si="38"/>
        <v>961.34167141788009</v>
      </c>
      <c r="O141" s="115" t="str">
        <f t="shared" si="39"/>
        <v>OK</v>
      </c>
      <c r="P141">
        <f t="shared" si="40"/>
        <v>878.45744104597827</v>
      </c>
      <c r="Q141">
        <f t="shared" si="41"/>
        <v>0.65434532391339806</v>
      </c>
      <c r="R141">
        <f t="shared" si="42"/>
        <v>0.5</v>
      </c>
      <c r="S141">
        <f t="shared" si="43"/>
        <v>0.75</v>
      </c>
      <c r="T141" s="83">
        <f t="shared" si="44"/>
        <v>2</v>
      </c>
      <c r="U141" s="120">
        <f>IF($D141="",0,IFERROR(LOOKUP(2,1/(($D$3:D140=$D141)*($C$3:C140=$C141)*($A$3:A140&lt;$A141)),$AB$3:AB140),1000))</f>
        <v>1000.6684908377623</v>
      </c>
      <c r="V141" s="120">
        <f t="shared" si="45"/>
        <v>992.564760049283</v>
      </c>
      <c r="W141">
        <f t="shared" si="46"/>
        <v>904.25140268813368</v>
      </c>
      <c r="X141">
        <f t="shared" si="47"/>
        <v>0.62442488487535208</v>
      </c>
      <c r="Y141">
        <f t="shared" si="48"/>
        <v>968.73630679352198</v>
      </c>
      <c r="Z141">
        <f t="shared" si="49"/>
        <v>0.5458251492837205</v>
      </c>
      <c r="AA141">
        <f>IF($D141="",0,IF($F141&lt;2,0,IF($E141="Win",('Guide &amp; Settings'!$C$42/(($F141-1)*COUNTIFS($A$4:$A$810,$A141,$E$4:$E$810,"Win")))*SUMIFS($Z$4:$Z$810,$A$4:$A$810,$A141,$E$4:$E$810,"Loss"),-('Guide &amp; Settings'!$C$42/($F141-1))*$Z141)))</f>
        <v>-17.466404777079056</v>
      </c>
      <c r="AB141" s="120">
        <f t="shared" si="50"/>
        <v>983.2020860606832</v>
      </c>
      <c r="AC141" s="120">
        <f>IF($D141="","",IF(SUMPRODUCT(MAX(($D$4:$D$810=$D141)*($B$4:$B$810&lt;$B141)*$B$4:$B$810))=0,0,MAX(($B141-MAX(SUMPRODUCT(MAX(($D$4:$D$810=$D141)*($B$4:$B$810&lt;$B141)*$B$4:$B$810)),'Guide &amp; Settings'!$C$50))/7-'Guide &amp; Settings'!$C$48,0)*'Guide &amp; Settings'!$C$49))</f>
        <v>0</v>
      </c>
    </row>
    <row r="142" spans="1:29" ht="15" customHeight="1" x14ac:dyDescent="0.2">
      <c r="A142" s="111">
        <v>66</v>
      </c>
      <c r="B142" s="112">
        <v>46188</v>
      </c>
      <c r="C142" s="113" t="s">
        <v>206</v>
      </c>
      <c r="D142" s="113" t="s">
        <v>168</v>
      </c>
      <c r="E142" s="111" t="s">
        <v>308</v>
      </c>
      <c r="F142" s="114">
        <f t="shared" si="34"/>
        <v>2</v>
      </c>
      <c r="G142" s="115" t="str">
        <f t="shared" si="35"/>
        <v>Simon</v>
      </c>
      <c r="H142" s="116">
        <f>IF($D142="",0,IFERROR(LOOKUP(2,1/(($D$3:D141=$D142)*($A$3:A141&lt;$A142)),$N$3:N141),'Guide &amp; Settings'!$C$41))</f>
        <v>1047.9647947853223</v>
      </c>
      <c r="I142" s="117">
        <f t="shared" si="36"/>
        <v>0.65217391304347827</v>
      </c>
      <c r="J142" s="118">
        <f>IF($D142="",0,IF($F142&lt;2,0,IF($E142="Win",('Guide &amp; Settings'!$C$42/(($F142-1)*COUNTIFS($A$4:$A$810,$A142,$E$4:$E$810,"Win")))*SUMIFS($X$4:$X$810,$A$4:$A$810,$A142,$E$4:$E$810,"Loss"),-('Guide &amp; Settings'!$C$42/($F142-1))*$X142)))</f>
        <v>12.657181456418279</v>
      </c>
      <c r="K142" s="118">
        <f>IF($D142="",0,'Guide &amp; Settings'!$C$43*(IF($E142="Win",1,0)-$I142))</f>
        <v>4.1739130434782608</v>
      </c>
      <c r="L142" s="119">
        <f>IF($D142="",0,'Guide &amp; Settings'!$C$44*IF($F142&gt;=3,$F142,0))</f>
        <v>0</v>
      </c>
      <c r="M142" s="118">
        <f t="shared" si="37"/>
        <v>16.83109449989654</v>
      </c>
      <c r="N142" s="116">
        <f t="shared" si="38"/>
        <v>1064.7958892852189</v>
      </c>
      <c r="O142" s="115" t="str">
        <f t="shared" si="39"/>
        <v>OK</v>
      </c>
      <c r="P142">
        <f t="shared" si="40"/>
        <v>1047.9647947853223</v>
      </c>
      <c r="Q142">
        <f t="shared" si="41"/>
        <v>0.5</v>
      </c>
      <c r="R142">
        <f t="shared" si="42"/>
        <v>0.75</v>
      </c>
      <c r="S142">
        <f t="shared" si="43"/>
        <v>1.1499999999999999</v>
      </c>
      <c r="T142" s="83">
        <f t="shared" si="44"/>
        <v>2</v>
      </c>
      <c r="U142" s="120">
        <f>IF($D142="",0,IFERROR(LOOKUP(2,1/(($D$3:D141=$D142)*($C$3:C141=$C142)*($A$3:A141&lt;$A142)),$AB$3:AB141),1000))</f>
        <v>1031.3315091622376</v>
      </c>
      <c r="V142" s="120">
        <f t="shared" si="45"/>
        <v>1043.2124274644409</v>
      </c>
      <c r="W142">
        <f t="shared" si="46"/>
        <v>1043.2124274644409</v>
      </c>
      <c r="X142">
        <f t="shared" si="47"/>
        <v>0.5</v>
      </c>
      <c r="Y142">
        <f t="shared" si="48"/>
        <v>1031.3315091622376</v>
      </c>
      <c r="Z142">
        <f t="shared" si="49"/>
        <v>0.5</v>
      </c>
      <c r="AA142">
        <f>IF($D142="",0,IF($F142&lt;2,0,IF($E142="Win",('Guide &amp; Settings'!$C$42/(($F142-1)*COUNTIFS($A$4:$A$810,$A142,$E$4:$E$810,"Win")))*SUMIFS($Z$4:$Z$810,$A$4:$A$810,$A142,$E$4:$E$810,"Loss"),-('Guide &amp; Settings'!$C$42/($F142-1))*$Z142)))</f>
        <v>13.797627933361934</v>
      </c>
      <c r="AB142" s="120">
        <f t="shared" si="50"/>
        <v>1045.1291370955996</v>
      </c>
      <c r="AC142" s="120">
        <f>IF($D142="","",IF(SUMPRODUCT(MAX(($D$4:$D$810=$D142)*($B$4:$B$810&lt;$B142)*$B$4:$B$810))=0,0,MAX(($B142-MAX(SUMPRODUCT(MAX(($D$4:$D$810=$D142)*($B$4:$B$810&lt;$B142)*$B$4:$B$810)),'Guide &amp; Settings'!$C$50))/7-'Guide &amp; Settings'!$C$48,0)*'Guide &amp; Settings'!$C$49))</f>
        <v>0</v>
      </c>
    </row>
    <row r="143" spans="1:29" ht="15" customHeight="1" x14ac:dyDescent="0.2">
      <c r="A143" s="111">
        <v>66</v>
      </c>
      <c r="B143" s="112">
        <v>46188</v>
      </c>
      <c r="C143" s="113" t="s">
        <v>206</v>
      </c>
      <c r="D143" s="113" t="s">
        <v>169</v>
      </c>
      <c r="E143" s="111" t="s">
        <v>309</v>
      </c>
      <c r="F143" s="114">
        <f t="shared" si="34"/>
        <v>2</v>
      </c>
      <c r="G143" s="115" t="str">
        <f t="shared" si="35"/>
        <v>Simon</v>
      </c>
      <c r="H143" s="116">
        <f>IF($D143="",0,IFERROR(LOOKUP(2,1/(($D$3:D142=$D143)*($A$3:A142&lt;$A143)),$N$3:N142),'Guide &amp; Settings'!$C$41))</f>
        <v>961.34167141788009</v>
      </c>
      <c r="I143" s="117">
        <f t="shared" si="36"/>
        <v>0.34782608695652178</v>
      </c>
      <c r="J143" s="118">
        <f>IF($D143="",0,IF($F143&lt;2,0,IF($E143="Win",('Guide &amp; Settings'!$C$42/(($F143-1)*COUNTIFS($A$4:$A$810,$A143,$E$4:$E$810,"Win")))*SUMIFS($X$4:$X$810,$A$4:$A$810,$A143,$E$4:$E$810,"Loss"),-('Guide &amp; Settings'!$C$42/($F143-1))*$X143)))</f>
        <v>-12.657181456418279</v>
      </c>
      <c r="K143" s="118">
        <f>IF($D143="",0,'Guide &amp; Settings'!$C$43*(IF($E143="Win",1,0)-$I143))</f>
        <v>-4.1739130434782616</v>
      </c>
      <c r="L143" s="119">
        <f>IF($D143="",0,'Guide &amp; Settings'!$C$44*IF($F143&gt;=3,$F143,0))</f>
        <v>0</v>
      </c>
      <c r="M143" s="118">
        <f t="shared" si="37"/>
        <v>-16.83109449989654</v>
      </c>
      <c r="N143" s="116">
        <f t="shared" si="38"/>
        <v>944.5105769179836</v>
      </c>
      <c r="O143" s="115" t="str">
        <f t="shared" si="39"/>
        <v>OK</v>
      </c>
      <c r="P143">
        <f t="shared" si="40"/>
        <v>1047.9647947853223</v>
      </c>
      <c r="Q143">
        <f t="shared" si="41"/>
        <v>0.37785967316978014</v>
      </c>
      <c r="R143">
        <f t="shared" si="42"/>
        <v>0.4</v>
      </c>
      <c r="S143">
        <f t="shared" si="43"/>
        <v>1.1499999999999999</v>
      </c>
      <c r="T143" s="83">
        <f t="shared" si="44"/>
        <v>3</v>
      </c>
      <c r="U143" s="120">
        <f>IF($D143="",0,IFERROR(LOOKUP(2,1/(($D$3:D142=$D143)*($C$3:C142=$C143)*($A$3:A142&lt;$A143)),$AB$3:AB142),1000))</f>
        <v>983.2020860606832</v>
      </c>
      <c r="V143" s="120">
        <f t="shared" si="45"/>
        <v>969.53932690893123</v>
      </c>
      <c r="W143">
        <f t="shared" si="46"/>
        <v>1043.2124274644409</v>
      </c>
      <c r="X143">
        <f t="shared" si="47"/>
        <v>0.39553692051307121</v>
      </c>
      <c r="Y143">
        <f t="shared" si="48"/>
        <v>1031.3315091622376</v>
      </c>
      <c r="Z143">
        <f t="shared" si="49"/>
        <v>0.43117587291756043</v>
      </c>
      <c r="AA143">
        <f>IF($D143="",0,IF($F143&lt;2,0,IF($E143="Win",('Guide &amp; Settings'!$C$42/(($F143-1)*COUNTIFS($A$4:$A$810,$A143,$E$4:$E$810,"Win")))*SUMIFS($Z$4:$Z$810,$A$4:$A$810,$A143,$E$4:$E$810,"Loss"),-('Guide &amp; Settings'!$C$42/($F143-1))*$Z143)))</f>
        <v>-13.797627933361934</v>
      </c>
      <c r="AB143" s="120">
        <f t="shared" si="50"/>
        <v>969.40445812732128</v>
      </c>
      <c r="AC143" s="120">
        <f>IF($D143="","",IF(SUMPRODUCT(MAX(($D$4:$D$810=$D143)*($B$4:$B$810&lt;$B143)*$B$4:$B$810))=0,0,MAX(($B143-MAX(SUMPRODUCT(MAX(($D$4:$D$810=$D143)*($B$4:$B$810&lt;$B143)*$B$4:$B$810)),'Guide &amp; Settings'!$C$50))/7-'Guide &amp; Settings'!$C$48,0)*'Guide &amp; Settings'!$C$49))</f>
        <v>0</v>
      </c>
    </row>
    <row r="144" spans="1:29" ht="15" customHeight="1" x14ac:dyDescent="0.2">
      <c r="A144" s="111">
        <v>67</v>
      </c>
      <c r="B144" s="112">
        <v>46188</v>
      </c>
      <c r="C144" s="113" t="s">
        <v>206</v>
      </c>
      <c r="D144" s="113" t="s">
        <v>175</v>
      </c>
      <c r="E144" s="111" t="s">
        <v>308</v>
      </c>
      <c r="F144" s="114">
        <f t="shared" si="34"/>
        <v>2</v>
      </c>
      <c r="G144" s="115" t="str">
        <f t="shared" si="35"/>
        <v>Cody</v>
      </c>
      <c r="H144" s="116">
        <f>IF($D144="",0,IFERROR(LOOKUP(2,1/(($D$3:D143=$D144)*($A$3:A143&lt;$A144)),$N$3:N143),'Guide &amp; Settings'!$C$41))</f>
        <v>906.43903736198956</v>
      </c>
      <c r="I144" s="117">
        <f t="shared" si="36"/>
        <v>0.54545454545454541</v>
      </c>
      <c r="J144" s="118">
        <f>IF($D144="",0,IF($F144&lt;2,0,IF($E144="Win",('Guide &amp; Settings'!$C$42/(($F144-1)*COUNTIFS($A$4:$A$810,$A144,$E$4:$E$810,"Win")))*SUMIFS($X$4:$X$810,$A$4:$A$810,$A144,$E$4:$E$810,"Loss"),-('Guide &amp; Settings'!$C$42/($F144-1))*$X144)))</f>
        <v>16.884400566534442</v>
      </c>
      <c r="K144" s="118">
        <f>IF($D144="",0,'Guide &amp; Settings'!$C$43*(IF($E144="Win",1,0)-$I144))</f>
        <v>5.454545454545455</v>
      </c>
      <c r="L144" s="119">
        <f>IF($D144="",0,'Guide &amp; Settings'!$C$44*IF($F144&gt;=3,$F144,0))</f>
        <v>0</v>
      </c>
      <c r="M144" s="118">
        <f t="shared" si="37"/>
        <v>22.338946021079899</v>
      </c>
      <c r="N144" s="116">
        <f t="shared" si="38"/>
        <v>928.77798338306945</v>
      </c>
      <c r="O144" s="115" t="str">
        <f t="shared" si="39"/>
        <v>OK</v>
      </c>
      <c r="P144">
        <f t="shared" si="40"/>
        <v>906.43903736198956</v>
      </c>
      <c r="Q144">
        <f t="shared" si="41"/>
        <v>0.5</v>
      </c>
      <c r="R144">
        <f t="shared" si="42"/>
        <v>0.4</v>
      </c>
      <c r="S144">
        <f t="shared" si="43"/>
        <v>0.73333333333333339</v>
      </c>
      <c r="T144" s="83">
        <f t="shared" si="44"/>
        <v>3</v>
      </c>
      <c r="U144" s="120">
        <f>IF($D144="",0,IFERROR(LOOKUP(2,1/(($D$3:D143=$D144)*($C$3:C143=$C144)*($A$3:A143&lt;$A144)),$AB$3:AB143),1000))</f>
        <v>986.20271157060108</v>
      </c>
      <c r="V144" s="120">
        <f t="shared" si="45"/>
        <v>936.35041519021888</v>
      </c>
      <c r="W144">
        <f t="shared" si="46"/>
        <v>936.35041519021888</v>
      </c>
      <c r="X144">
        <f t="shared" si="47"/>
        <v>0.5</v>
      </c>
      <c r="Y144">
        <f t="shared" si="48"/>
        <v>986.20271157060108</v>
      </c>
      <c r="Z144">
        <f t="shared" si="49"/>
        <v>0.5</v>
      </c>
      <c r="AA144">
        <f>IF($D144="",0,IF($F144&lt;2,0,IF($E144="Win",('Guide &amp; Settings'!$C$42/(($F144-1)*COUNTIFS($A$4:$A$810,$A144,$E$4:$E$810,"Win")))*SUMIFS($Z$4:$Z$810,$A$4:$A$810,$A144,$E$4:$E$810,"Loss"),-('Guide &amp; Settings'!$C$42/($F144-1))*$Z144)))</f>
        <v>15.227014070577207</v>
      </c>
      <c r="AB144" s="120">
        <f t="shared" si="50"/>
        <v>1001.4297256411783</v>
      </c>
      <c r="AC144" s="120">
        <f>IF($D144="","",IF(SUMPRODUCT(MAX(($D$4:$D$810=$D144)*($B$4:$B$810&lt;$B144)*$B$4:$B$810))=0,0,MAX(($B144-MAX(SUMPRODUCT(MAX(($D$4:$D$810=$D144)*($B$4:$B$810&lt;$B144)*$B$4:$B$810)),'Guide &amp; Settings'!$C$50))/7-'Guide &amp; Settings'!$C$48,0)*'Guide &amp; Settings'!$C$49))</f>
        <v>0</v>
      </c>
    </row>
    <row r="145" spans="1:29" ht="15" customHeight="1" x14ac:dyDescent="0.2">
      <c r="A145" s="111">
        <v>67</v>
      </c>
      <c r="B145" s="112">
        <v>46188</v>
      </c>
      <c r="C145" s="113" t="s">
        <v>206</v>
      </c>
      <c r="D145" s="113" t="s">
        <v>169</v>
      </c>
      <c r="E145" s="111" t="s">
        <v>309</v>
      </c>
      <c r="F145" s="114">
        <f t="shared" si="34"/>
        <v>2</v>
      </c>
      <c r="G145" s="115" t="str">
        <f t="shared" si="35"/>
        <v>Cody</v>
      </c>
      <c r="H145" s="116">
        <f>IF($D145="",0,IFERROR(LOOKUP(2,1/(($D$3:D144=$D145)*($A$3:A144&lt;$A145)),$N$3:N144),'Guide &amp; Settings'!$C$41))</f>
        <v>944.5105769179836</v>
      </c>
      <c r="I145" s="117">
        <f t="shared" si="36"/>
        <v>0.45454545454545447</v>
      </c>
      <c r="J145" s="118">
        <f>IF($D145="",0,IF($F145&lt;2,0,IF($E145="Win",('Guide &amp; Settings'!$C$42/(($F145-1)*COUNTIFS($A$4:$A$810,$A145,$E$4:$E$810,"Win")))*SUMIFS($X$4:$X$810,$A$4:$A$810,$A145,$E$4:$E$810,"Loss"),-('Guide &amp; Settings'!$C$42/($F145-1))*$X145)))</f>
        <v>-16.884400566534442</v>
      </c>
      <c r="K145" s="118">
        <f>IF($D145="",0,'Guide &amp; Settings'!$C$43*(IF($E145="Win",1,0)-$I145))</f>
        <v>-5.4545454545454533</v>
      </c>
      <c r="L145" s="119">
        <f>IF($D145="",0,'Guide &amp; Settings'!$C$44*IF($F145&gt;=3,$F145,0))</f>
        <v>0</v>
      </c>
      <c r="M145" s="118">
        <f t="shared" si="37"/>
        <v>-22.338946021079895</v>
      </c>
      <c r="N145" s="116">
        <f t="shared" si="38"/>
        <v>922.17163089690371</v>
      </c>
      <c r="O145" s="115" t="str">
        <f t="shared" si="39"/>
        <v>OK</v>
      </c>
      <c r="P145">
        <f t="shared" si="40"/>
        <v>906.43903736198956</v>
      </c>
      <c r="Q145">
        <f t="shared" si="41"/>
        <v>0.55457110361677942</v>
      </c>
      <c r="R145">
        <f t="shared" si="42"/>
        <v>0.33333333333333331</v>
      </c>
      <c r="S145">
        <f t="shared" si="43"/>
        <v>0.73333333333333339</v>
      </c>
      <c r="T145" s="83">
        <f t="shared" si="44"/>
        <v>4</v>
      </c>
      <c r="U145" s="120">
        <f>IF($D145="",0,IFERROR(LOOKUP(2,1/(($D$3:D144=$D145)*($C$3:C144=$C145)*($A$3:A144&lt;$A145)),$AB$3:AB144),1000))</f>
        <v>969.40445812732128</v>
      </c>
      <c r="V145" s="120">
        <f t="shared" si="45"/>
        <v>955.57452412213365</v>
      </c>
      <c r="W145">
        <f t="shared" si="46"/>
        <v>936.35041519021888</v>
      </c>
      <c r="X145">
        <f t="shared" si="47"/>
        <v>0.52763751770420131</v>
      </c>
      <c r="Y145">
        <f t="shared" si="48"/>
        <v>986.20271157060108</v>
      </c>
      <c r="Z145">
        <f t="shared" si="49"/>
        <v>0.47584418970553771</v>
      </c>
      <c r="AA145">
        <f>IF($D145="",0,IF($F145&lt;2,0,IF($E145="Win",('Guide &amp; Settings'!$C$42/(($F145-1)*COUNTIFS($A$4:$A$810,$A145,$E$4:$E$810,"Win")))*SUMIFS($Z$4:$Z$810,$A$4:$A$810,$A145,$E$4:$E$810,"Loss"),-('Guide &amp; Settings'!$C$42/($F145-1))*$Z145)))</f>
        <v>-15.227014070577207</v>
      </c>
      <c r="AB145" s="120">
        <f t="shared" si="50"/>
        <v>954.17744405674409</v>
      </c>
      <c r="AC145" s="120">
        <f>IF($D145="","",IF(SUMPRODUCT(MAX(($D$4:$D$810=$D145)*($B$4:$B$810&lt;$B145)*$B$4:$B$810))=0,0,MAX(($B145-MAX(SUMPRODUCT(MAX(($D$4:$D$810=$D145)*($B$4:$B$810&lt;$B145)*$B$4:$B$810)),'Guide &amp; Settings'!$C$50))/7-'Guide &amp; Settings'!$C$48,0)*'Guide &amp; Settings'!$C$49))</f>
        <v>0</v>
      </c>
    </row>
    <row r="146" spans="1:29" ht="15" customHeight="1" x14ac:dyDescent="0.2">
      <c r="A146" s="111">
        <v>68</v>
      </c>
      <c r="B146" s="112">
        <v>46188</v>
      </c>
      <c r="C146" s="113" t="s">
        <v>206</v>
      </c>
      <c r="D146" s="113" t="s">
        <v>168</v>
      </c>
      <c r="E146" s="111" t="s">
        <v>308</v>
      </c>
      <c r="F146" s="114">
        <f t="shared" si="34"/>
        <v>2</v>
      </c>
      <c r="G146" s="115" t="str">
        <f t="shared" si="35"/>
        <v>Simon</v>
      </c>
      <c r="H146" s="116">
        <f>IF($D146="",0,IFERROR(LOOKUP(2,1/(($D$3:D145=$D146)*($A$3:A145&lt;$A146)),$N$3:N145),'Guide &amp; Settings'!$C$41))</f>
        <v>1064.7958892852189</v>
      </c>
      <c r="I146" s="117">
        <f t="shared" si="36"/>
        <v>0.61538461538461542</v>
      </c>
      <c r="J146" s="118">
        <f>IF($D146="",0,IF($F146&lt;2,0,IF($E146="Win",('Guide &amp; Settings'!$C$42/(($F146-1)*COUNTIFS($A$4:$A$810,$A146,$E$4:$E$810,"Win")))*SUMIFS($X$4:$X$810,$A$4:$A$810,$A146,$E$4:$E$810,"Loss"),-('Guide &amp; Settings'!$C$42/($F146-1))*$X146)))</f>
        <v>11.673132748701628</v>
      </c>
      <c r="K146" s="118">
        <f>IF($D146="",0,'Guide &amp; Settings'!$C$43*(IF($E146="Win",1,0)-$I146))</f>
        <v>4.615384615384615</v>
      </c>
      <c r="L146" s="119">
        <f>IF($D146="",0,'Guide &amp; Settings'!$C$44*IF($F146&gt;=3,$F146,0))</f>
        <v>0</v>
      </c>
      <c r="M146" s="118">
        <f t="shared" si="37"/>
        <v>16.288517364086243</v>
      </c>
      <c r="N146" s="116">
        <f t="shared" si="38"/>
        <v>1081.084406649305</v>
      </c>
      <c r="O146" s="115" t="str">
        <f t="shared" si="39"/>
        <v>OK</v>
      </c>
      <c r="P146">
        <f t="shared" si="40"/>
        <v>1064.7958892852189</v>
      </c>
      <c r="Q146">
        <f t="shared" si="41"/>
        <v>0.5</v>
      </c>
      <c r="R146">
        <f t="shared" si="42"/>
        <v>0.8</v>
      </c>
      <c r="S146">
        <f t="shared" si="43"/>
        <v>1.3</v>
      </c>
      <c r="T146" s="83">
        <f t="shared" si="44"/>
        <v>3</v>
      </c>
      <c r="U146" s="120">
        <f>IF($D146="",0,IFERROR(LOOKUP(2,1/(($D$3:D145=$D146)*($C$3:C145=$C146)*($A$3:A145&lt;$A146)),$AB$3:AB145),1000))</f>
        <v>1045.1291370955996</v>
      </c>
      <c r="V146" s="120">
        <f t="shared" si="45"/>
        <v>1057.4208572141115</v>
      </c>
      <c r="W146">
        <f t="shared" si="46"/>
        <v>1057.4208572141115</v>
      </c>
      <c r="X146">
        <f t="shared" si="47"/>
        <v>0.5</v>
      </c>
      <c r="Y146">
        <f t="shared" si="48"/>
        <v>1045.1291370955996</v>
      </c>
      <c r="Z146">
        <f t="shared" si="49"/>
        <v>0.5</v>
      </c>
      <c r="AA146">
        <f>IF($D146="",0,IF($F146&lt;2,0,IF($E146="Win",('Guide &amp; Settings'!$C$42/(($F146-1)*COUNTIFS($A$4:$A$810,$A146,$E$4:$E$810,"Win")))*SUMIFS($Z$4:$Z$810,$A$4:$A$810,$A146,$E$4:$E$810,"Loss"),-('Guide &amp; Settings'!$C$42/($F146-1))*$Z146)))</f>
        <v>13.998113137409879</v>
      </c>
      <c r="AB146" s="120">
        <f t="shared" si="50"/>
        <v>1059.1272502330096</v>
      </c>
      <c r="AC146" s="120">
        <f>IF($D146="","",IF(SUMPRODUCT(MAX(($D$4:$D$810=$D146)*($B$4:$B$810&lt;$B146)*$B$4:$B$810))=0,0,MAX(($B146-MAX(SUMPRODUCT(MAX(($D$4:$D$810=$D146)*($B$4:$B$810&lt;$B146)*$B$4:$B$810)),'Guide &amp; Settings'!$C$50))/7-'Guide &amp; Settings'!$C$48,0)*'Guide &amp; Settings'!$C$49))</f>
        <v>0</v>
      </c>
    </row>
    <row r="147" spans="1:29" ht="15" customHeight="1" x14ac:dyDescent="0.2">
      <c r="A147" s="111">
        <v>68</v>
      </c>
      <c r="B147" s="112">
        <v>46188</v>
      </c>
      <c r="C147" s="113" t="s">
        <v>206</v>
      </c>
      <c r="D147" s="113" t="s">
        <v>175</v>
      </c>
      <c r="E147" s="111" t="s">
        <v>309</v>
      </c>
      <c r="F147" s="114">
        <f t="shared" si="34"/>
        <v>2</v>
      </c>
      <c r="G147" s="115" t="str">
        <f t="shared" si="35"/>
        <v>Simon</v>
      </c>
      <c r="H147" s="116">
        <f>IF($D147="",0,IFERROR(LOOKUP(2,1/(($D$3:D146=$D147)*($A$3:A146&lt;$A147)),$N$3:N146),'Guide &amp; Settings'!$C$41))</f>
        <v>928.77798338306945</v>
      </c>
      <c r="I147" s="117">
        <f t="shared" si="36"/>
        <v>0.38461538461538458</v>
      </c>
      <c r="J147" s="118">
        <f>IF($D147="",0,IF($F147&lt;2,0,IF($E147="Win",('Guide &amp; Settings'!$C$42/(($F147-1)*COUNTIFS($A$4:$A$810,$A147,$E$4:$E$810,"Win")))*SUMIFS($X$4:$X$810,$A$4:$A$810,$A147,$E$4:$E$810,"Loss"),-('Guide &amp; Settings'!$C$42/($F147-1))*$X147)))</f>
        <v>-11.673132748701628</v>
      </c>
      <c r="K147" s="118">
        <f>IF($D147="",0,'Guide &amp; Settings'!$C$43*(IF($E147="Win",1,0)-$I147))</f>
        <v>-4.615384615384615</v>
      </c>
      <c r="L147" s="119">
        <f>IF($D147="",0,'Guide &amp; Settings'!$C$44*IF($F147&gt;=3,$F147,0))</f>
        <v>0</v>
      </c>
      <c r="M147" s="118">
        <f t="shared" si="37"/>
        <v>-16.288517364086243</v>
      </c>
      <c r="N147" s="116">
        <f t="shared" si="38"/>
        <v>912.48946601898319</v>
      </c>
      <c r="O147" s="115" t="str">
        <f t="shared" si="39"/>
        <v>OK</v>
      </c>
      <c r="P147">
        <f t="shared" si="40"/>
        <v>1064.7958892852189</v>
      </c>
      <c r="Q147">
        <f t="shared" si="41"/>
        <v>0.3136775515714163</v>
      </c>
      <c r="R147">
        <f t="shared" si="42"/>
        <v>0.5</v>
      </c>
      <c r="S147">
        <f t="shared" si="43"/>
        <v>1.3</v>
      </c>
      <c r="T147" s="83">
        <f t="shared" si="44"/>
        <v>4</v>
      </c>
      <c r="U147" s="120">
        <f>IF($D147="",0,IFERROR(LOOKUP(2,1/(($D$3:D146=$D147)*($C$3:C146=$C147)*($A$3:A146&lt;$A147)),$AB$3:AB146),1000))</f>
        <v>1001.4297256411783</v>
      </c>
      <c r="V147" s="120">
        <f t="shared" si="45"/>
        <v>961.06764660889553</v>
      </c>
      <c r="W147">
        <f t="shared" si="46"/>
        <v>1057.4208572141115</v>
      </c>
      <c r="X147">
        <f t="shared" si="47"/>
        <v>0.36478539839692586</v>
      </c>
      <c r="Y147">
        <f t="shared" si="48"/>
        <v>1045.1291370955996</v>
      </c>
      <c r="Z147">
        <f t="shared" si="49"/>
        <v>0.43744103554405872</v>
      </c>
      <c r="AA147">
        <f>IF($D147="",0,IF($F147&lt;2,0,IF($E147="Win",('Guide &amp; Settings'!$C$42/(($F147-1)*COUNTIFS($A$4:$A$810,$A147,$E$4:$E$810,"Win")))*SUMIFS($Z$4:$Z$810,$A$4:$A$810,$A147,$E$4:$E$810,"Loss"),-('Guide &amp; Settings'!$C$42/($F147-1))*$Z147)))</f>
        <v>-13.998113137409879</v>
      </c>
      <c r="AB147" s="120">
        <f t="shared" si="50"/>
        <v>987.43161250376841</v>
      </c>
      <c r="AC147" s="120">
        <f>IF($D147="","",IF(SUMPRODUCT(MAX(($D$4:$D$810=$D147)*($B$4:$B$810&lt;$B147)*$B$4:$B$810))=0,0,MAX(($B147-MAX(SUMPRODUCT(MAX(($D$4:$D$810=$D147)*($B$4:$B$810&lt;$B147)*$B$4:$B$810)),'Guide &amp; Settings'!$C$50))/7-'Guide &amp; Settings'!$C$48,0)*'Guide &amp; Settings'!$C$49))</f>
        <v>0</v>
      </c>
    </row>
    <row r="148" spans="1:29" ht="15" customHeight="1" x14ac:dyDescent="0.2">
      <c r="A148" s="111">
        <v>69</v>
      </c>
      <c r="B148" s="112">
        <v>46188</v>
      </c>
      <c r="C148" s="113" t="s">
        <v>206</v>
      </c>
      <c r="D148" s="113" t="s">
        <v>134</v>
      </c>
      <c r="E148" s="111" t="s">
        <v>308</v>
      </c>
      <c r="F148" s="114">
        <f t="shared" si="34"/>
        <v>4</v>
      </c>
      <c r="G148" s="115" t="str">
        <f t="shared" si="35"/>
        <v>Josh</v>
      </c>
      <c r="H148" s="116">
        <f>IF($D148="",0,IFERROR(LOOKUP(2,1/(($D$3:D147=$D148)*($A$3:A147&lt;$A148)),$N$3:N147),'Guide &amp; Settings'!$C$41))</f>
        <v>988.19417301284341</v>
      </c>
      <c r="I148" s="117">
        <f t="shared" si="36"/>
        <v>0.2608695652173913</v>
      </c>
      <c r="J148" s="118">
        <f>IF($D148="",0,IF($F148&lt;2,0,IF($E148="Win",('Guide &amp; Settings'!$C$42/(($F148-1)*COUNTIFS($A$4:$A$810,$A148,$E$4:$E$810,"Win")))*SUMIFS($X$4:$X$810,$A$4:$A$810,$A148,$E$4:$E$810,"Loss"),-('Guide &amp; Settings'!$C$42/($F148-1))*$X148)))</f>
        <v>5.0390569864289532</v>
      </c>
      <c r="K148" s="118">
        <f>IF($D148="",0,'Guide &amp; Settings'!$C$43*(IF($E148="Win",1,0)-$I148))</f>
        <v>8.8695652173913047</v>
      </c>
      <c r="L148" s="119">
        <f>IF($D148="",0,'Guide &amp; Settings'!$C$44*IF($F148&gt;=3,$F148,0))</f>
        <v>4</v>
      </c>
      <c r="M148" s="118">
        <f t="shared" si="37"/>
        <v>17.908622203820258</v>
      </c>
      <c r="N148" s="116">
        <f t="shared" si="38"/>
        <v>1006.1027952166637</v>
      </c>
      <c r="O148" s="115" t="str">
        <f t="shared" si="39"/>
        <v>OK</v>
      </c>
      <c r="P148">
        <f t="shared" si="40"/>
        <v>1055.1700036069392</v>
      </c>
      <c r="Q148">
        <f t="shared" si="41"/>
        <v>0.40479048127992689</v>
      </c>
      <c r="R148">
        <f t="shared" si="42"/>
        <v>0.5</v>
      </c>
      <c r="S148">
        <f t="shared" si="43"/>
        <v>1.9166666666666665</v>
      </c>
      <c r="T148" s="83">
        <f t="shared" si="44"/>
        <v>2</v>
      </c>
      <c r="U148" s="120">
        <f>IF($D148="",0,IFERROR(LOOKUP(2,1/(($D$3:D147=$D148)*($C$3:C147=$C148)*($A$3:A147&lt;$A148)),$AB$3:AB147),1000))</f>
        <v>999.26369320647802</v>
      </c>
      <c r="V148" s="120">
        <f t="shared" si="45"/>
        <v>991.35689306816766</v>
      </c>
      <c r="W148">
        <f t="shared" si="46"/>
        <v>1045.2392107845151</v>
      </c>
      <c r="X148">
        <f t="shared" si="47"/>
        <v>0.42307286506570896</v>
      </c>
      <c r="Y148">
        <f t="shared" si="48"/>
        <v>991.63184660323896</v>
      </c>
      <c r="Z148">
        <f t="shared" si="49"/>
        <v>0.51098134397425776</v>
      </c>
      <c r="AA148">
        <f>IF($D148="",0,IF($F148&lt;2,0,IF($E148="Win",('Guide &amp; Settings'!$C$42/(($F148-1)*COUNTIFS($A$4:$A$810,$A148,$E$4:$E$810,"Win")))*SUMIFS($Z$4:$Z$810,$A$4:$A$810,$A148,$E$4:$E$810,"Loss"),-('Guide &amp; Settings'!$C$42/($F148-1))*$Z148)))</f>
        <v>5.583216429050422</v>
      </c>
      <c r="AB148" s="120">
        <f t="shared" si="50"/>
        <v>1004.8469096355284</v>
      </c>
      <c r="AC148" s="120">
        <f>IF($D148="","",IF(SUMPRODUCT(MAX(($D$4:$D$810=$D148)*($B$4:$B$810&lt;$B148)*$B$4:$B$810))=0,0,MAX(($B148-MAX(SUMPRODUCT(MAX(($D$4:$D$810=$D148)*($B$4:$B$810&lt;$B148)*$B$4:$B$810)),'Guide &amp; Settings'!$C$50))/7-'Guide &amp; Settings'!$C$48,0)*'Guide &amp; Settings'!$C$49))</f>
        <v>0</v>
      </c>
    </row>
    <row r="149" spans="1:29" ht="15" customHeight="1" x14ac:dyDescent="0.2">
      <c r="A149" s="111">
        <v>69</v>
      </c>
      <c r="B149" s="112">
        <v>46188</v>
      </c>
      <c r="C149" s="113" t="s">
        <v>206</v>
      </c>
      <c r="D149" s="113" t="s">
        <v>137</v>
      </c>
      <c r="E149" s="111" t="s">
        <v>308</v>
      </c>
      <c r="F149" s="114">
        <f t="shared" si="34"/>
        <v>4</v>
      </c>
      <c r="G149" s="115" t="str">
        <f t="shared" si="35"/>
        <v>Josh</v>
      </c>
      <c r="H149" s="116">
        <f>IF($D149="",0,IFERROR(LOOKUP(2,1/(($D$3:D148=$D149)*($A$3:A148&lt;$A149)),$N$3:N148),'Guide &amp; Settings'!$C$41))</f>
        <v>1122.1458342010349</v>
      </c>
      <c r="I149" s="117">
        <f t="shared" si="36"/>
        <v>0.17391304347826086</v>
      </c>
      <c r="J149" s="118">
        <f>IF($D149="",0,IF($F149&lt;2,0,IF($E149="Win",('Guide &amp; Settings'!$C$42/(($F149-1)*COUNTIFS($A$4:$A$810,$A149,$E$4:$E$810,"Win")))*SUMIFS($X$4:$X$810,$A$4:$A$810,$A149,$E$4:$E$810,"Loss"),-('Guide &amp; Settings'!$C$42/($F149-1))*$X149)))</f>
        <v>5.0390569864289532</v>
      </c>
      <c r="K149" s="118">
        <f>IF($D149="",0,'Guide &amp; Settings'!$C$43*(IF($E149="Win",1,0)-$I149))</f>
        <v>9.9130434782608692</v>
      </c>
      <c r="L149" s="119">
        <f>IF($D149="",0,'Guide &amp; Settings'!$C$44*IF($F149&gt;=3,$F149,0))</f>
        <v>4</v>
      </c>
      <c r="M149" s="118">
        <f t="shared" si="37"/>
        <v>18.952100464689821</v>
      </c>
      <c r="N149" s="116">
        <f t="shared" si="38"/>
        <v>1141.0979346657248</v>
      </c>
      <c r="O149" s="115" t="str">
        <f t="shared" si="39"/>
        <v>OK</v>
      </c>
      <c r="P149">
        <f t="shared" si="40"/>
        <v>1055.1700036069392</v>
      </c>
      <c r="Q149">
        <f t="shared" si="41"/>
        <v>0.59520951872007299</v>
      </c>
      <c r="R149">
        <f t="shared" si="42"/>
        <v>0.33333333333333331</v>
      </c>
      <c r="S149">
        <f t="shared" si="43"/>
        <v>1.9166666666666665</v>
      </c>
      <c r="T149" s="83">
        <f t="shared" si="44"/>
        <v>1</v>
      </c>
      <c r="U149" s="120">
        <f>IF($D149="",0,IFERROR(LOOKUP(2,1/(($D$3:D148=$D149)*($C$3:C148=$C149)*($A$3:A148&lt;$A149)),$AB$3:AB148),1000))</f>
        <v>984</v>
      </c>
      <c r="V149" s="120">
        <f t="shared" si="45"/>
        <v>1099.1215285008625</v>
      </c>
      <c r="W149">
        <f t="shared" si="46"/>
        <v>1045.2392107845151</v>
      </c>
      <c r="X149">
        <f t="shared" si="47"/>
        <v>0.57692713493429104</v>
      </c>
      <c r="Y149">
        <f t="shared" si="48"/>
        <v>991.63184660323896</v>
      </c>
      <c r="Z149">
        <f t="shared" si="49"/>
        <v>0.48901865602574252</v>
      </c>
      <c r="AA149">
        <f>IF($D149="",0,IF($F149&lt;2,0,IF($E149="Win",('Guide &amp; Settings'!$C$42/(($F149-1)*COUNTIFS($A$4:$A$810,$A149,$E$4:$E$810,"Win")))*SUMIFS($Z$4:$Z$810,$A$4:$A$810,$A149,$E$4:$E$810,"Loss"),-('Guide &amp; Settings'!$C$42/($F149-1))*$Z149)))</f>
        <v>5.583216429050422</v>
      </c>
      <c r="AB149" s="120">
        <f t="shared" si="50"/>
        <v>989.58321642905037</v>
      </c>
      <c r="AC149" s="120">
        <f>IF($D149="","",IF(SUMPRODUCT(MAX(($D$4:$D$810=$D149)*($B$4:$B$810&lt;$B149)*$B$4:$B$810))=0,0,MAX(($B149-MAX(SUMPRODUCT(MAX(($D$4:$D$810=$D149)*($B$4:$B$810&lt;$B149)*$B$4:$B$810)),'Guide &amp; Settings'!$C$50))/7-'Guide &amp; Settings'!$C$48,0)*'Guide &amp; Settings'!$C$49))</f>
        <v>0</v>
      </c>
    </row>
    <row r="150" spans="1:29" ht="15" customHeight="1" x14ac:dyDescent="0.2">
      <c r="A150" s="111">
        <v>69</v>
      </c>
      <c r="B150" s="112">
        <v>46188</v>
      </c>
      <c r="C150" s="113" t="s">
        <v>206</v>
      </c>
      <c r="D150" s="113" t="s">
        <v>167</v>
      </c>
      <c r="E150" s="111" t="s">
        <v>309</v>
      </c>
      <c r="F150" s="114">
        <f t="shared" si="34"/>
        <v>4</v>
      </c>
      <c r="G150" s="115" t="str">
        <f t="shared" si="35"/>
        <v>Josh</v>
      </c>
      <c r="H150" s="116">
        <f>IF($D150="",0,IFERROR(LOOKUP(2,1/(($D$3:D149=$D150)*($A$3:A149&lt;$A150)),$N$3:N149),'Guide &amp; Settings'!$C$41))</f>
        <v>1092.0378539776184</v>
      </c>
      <c r="I150" s="117">
        <f t="shared" si="36"/>
        <v>0.39130434782608697</v>
      </c>
      <c r="J150" s="118">
        <f>IF($D150="",0,IF($F150&lt;2,0,IF($E150="Win",('Guide &amp; Settings'!$C$42/(($F150-1)*COUNTIFS($A$4:$A$810,$A150,$E$4:$E$810,"Win")))*SUMIFS($X$4:$X$810,$A$4:$A$810,$A150,$E$4:$E$810,"Loss"),-('Guide &amp; Settings'!$C$42/($F150-1))*$X150)))</f>
        <v>-5.787299303928604</v>
      </c>
      <c r="K150" s="118">
        <f>IF($D150="",0,'Guide &amp; Settings'!$C$43*(IF($E150="Win",1,0)-$I150))</f>
        <v>-4.6956521739130439</v>
      </c>
      <c r="L150" s="119">
        <f>IF($D150="",0,'Guide &amp; Settings'!$C$44*IF($F150&gt;=3,$F150,0))</f>
        <v>4</v>
      </c>
      <c r="M150" s="118">
        <f t="shared" si="37"/>
        <v>-6.4829514778416488</v>
      </c>
      <c r="N150" s="116">
        <f t="shared" si="38"/>
        <v>1085.5549024997767</v>
      </c>
      <c r="O150" s="115" t="str">
        <f t="shared" si="39"/>
        <v>OK</v>
      </c>
      <c r="P150">
        <f t="shared" si="40"/>
        <v>1055.1700036069392</v>
      </c>
      <c r="Q150">
        <f t="shared" si="41"/>
        <v>0.5528588496160477</v>
      </c>
      <c r="R150">
        <f t="shared" si="42"/>
        <v>0.75</v>
      </c>
      <c r="S150">
        <f t="shared" si="43"/>
        <v>1.9166666666666665</v>
      </c>
      <c r="T150" s="83">
        <f t="shared" si="44"/>
        <v>2</v>
      </c>
      <c r="U150" s="120">
        <f>IF($D150="",0,IFERROR(LOOKUP(2,1/(($D$3:D149=$D150)*($C$3:C149=$C150)*($A$3:A149&lt;$A150)),$AB$3:AB149),1000))</f>
        <v>1032</v>
      </c>
      <c r="V150" s="120">
        <f t="shared" si="45"/>
        <v>1074.8841814125847</v>
      </c>
      <c r="W150">
        <f t="shared" si="46"/>
        <v>1045.2392107845151</v>
      </c>
      <c r="X150">
        <f t="shared" si="47"/>
        <v>0.54255930974330668</v>
      </c>
      <c r="Y150">
        <f t="shared" si="48"/>
        <v>991.63184660323896</v>
      </c>
      <c r="Z150">
        <f t="shared" si="49"/>
        <v>0.55783442442121178</v>
      </c>
      <c r="AA150">
        <f>IF($D150="",0,IF($F150&lt;2,0,IF($E150="Win",('Guide &amp; Settings'!$C$42/(($F150-1)*COUNTIFS($A$4:$A$810,$A150,$E$4:$E$810,"Win")))*SUMIFS($Z$4:$Z$810,$A$4:$A$810,$A150,$E$4:$E$810,"Loss"),-('Guide &amp; Settings'!$C$42/($F150-1))*$Z150)))</f>
        <v>-5.9502338604929257</v>
      </c>
      <c r="AB150" s="120">
        <f t="shared" si="50"/>
        <v>1026.049766139507</v>
      </c>
      <c r="AC150" s="120">
        <f>IF($D150="","",IF(SUMPRODUCT(MAX(($D$4:$D$810=$D150)*($B$4:$B$810&lt;$B150)*$B$4:$B$810))=0,0,MAX(($B150-MAX(SUMPRODUCT(MAX(($D$4:$D$810=$D150)*($B$4:$B$810&lt;$B150)*$B$4:$B$810)),'Guide &amp; Settings'!$C$50))/7-'Guide &amp; Settings'!$C$48,0)*'Guide &amp; Settings'!$C$49))</f>
        <v>0</v>
      </c>
    </row>
    <row r="151" spans="1:29" ht="15" customHeight="1" x14ac:dyDescent="0.2">
      <c r="A151" s="111">
        <v>69</v>
      </c>
      <c r="B151" s="112">
        <v>46188</v>
      </c>
      <c r="C151" s="113" t="s">
        <v>206</v>
      </c>
      <c r="D151" s="113" t="s">
        <v>170</v>
      </c>
      <c r="E151" s="111" t="s">
        <v>309</v>
      </c>
      <c r="F151" s="114">
        <f t="shared" si="34"/>
        <v>4</v>
      </c>
      <c r="G151" s="115" t="str">
        <f t="shared" si="35"/>
        <v>Josh</v>
      </c>
      <c r="H151" s="116">
        <f>IF($D151="",0,IFERROR(LOOKUP(2,1/(($D$3:D150=$D151)*($A$3:A150&lt;$A151)),$N$3:N150),'Guide &amp; Settings'!$C$41))</f>
        <v>974.92778705998126</v>
      </c>
      <c r="I151" s="117">
        <f t="shared" si="36"/>
        <v>0.17391304347826086</v>
      </c>
      <c r="J151" s="118">
        <f>IF($D151="",0,IF($F151&lt;2,0,IF($E151="Win",('Guide &amp; Settings'!$C$42/(($F151-1)*COUNTIFS($A$4:$A$810,$A151,$E$4:$E$810,"Win")))*SUMIFS($X$4:$X$810,$A$4:$A$810,$A151,$E$4:$E$810,"Loss"),-('Guide &amp; Settings'!$C$42/($F151-1))*$X151)))</f>
        <v>-4.2908146689293023</v>
      </c>
      <c r="K151" s="118">
        <f>IF($D151="",0,'Guide &amp; Settings'!$C$43*(IF($E151="Win",1,0)-$I151))</f>
        <v>-2.0869565217391304</v>
      </c>
      <c r="L151" s="119">
        <f>IF($D151="",0,'Guide &amp; Settings'!$C$44*IF($F151&gt;=3,$F151,0))</f>
        <v>4</v>
      </c>
      <c r="M151" s="118">
        <f t="shared" si="37"/>
        <v>-2.3777711906684331</v>
      </c>
      <c r="N151" s="116">
        <f t="shared" si="38"/>
        <v>972.5500158693128</v>
      </c>
      <c r="O151" s="115" t="str">
        <f t="shared" si="39"/>
        <v>OK</v>
      </c>
      <c r="P151">
        <f t="shared" si="40"/>
        <v>1055.1700036069392</v>
      </c>
      <c r="Q151">
        <f t="shared" si="41"/>
        <v>0.38653250152396323</v>
      </c>
      <c r="R151">
        <f t="shared" si="42"/>
        <v>0.33333333333333331</v>
      </c>
      <c r="S151">
        <f t="shared" si="43"/>
        <v>1.9166666666666665</v>
      </c>
      <c r="T151" s="83">
        <f t="shared" si="44"/>
        <v>1</v>
      </c>
      <c r="U151" s="120">
        <f>IF($D151="",0,IFERROR(LOOKUP(2,1/(($D$3:D150=$D151)*($C$3:C150=$C151)*($A$3:A150&lt;$A151)),$AB$3:AB150),1000))</f>
        <v>984</v>
      </c>
      <c r="V151" s="120">
        <f t="shared" si="45"/>
        <v>976.43982254998446</v>
      </c>
      <c r="W151">
        <f t="shared" si="46"/>
        <v>1045.2392107845151</v>
      </c>
      <c r="X151">
        <f t="shared" si="47"/>
        <v>0.40226387521212209</v>
      </c>
      <c r="Y151">
        <f t="shared" si="48"/>
        <v>991.63184660323896</v>
      </c>
      <c r="Z151">
        <f t="shared" si="49"/>
        <v>0.48901865602574252</v>
      </c>
      <c r="AA151">
        <f>IF($D151="",0,IF($F151&lt;2,0,IF($E151="Win",('Guide &amp; Settings'!$C$42/(($F151-1)*COUNTIFS($A$4:$A$810,$A151,$E$4:$E$810,"Win")))*SUMIFS($Z$4:$Z$810,$A$4:$A$810,$A151,$E$4:$E$810,"Loss"),-('Guide &amp; Settings'!$C$42/($F151-1))*$Z151)))</f>
        <v>-5.2161989976079202</v>
      </c>
      <c r="AB151" s="120">
        <f t="shared" si="50"/>
        <v>978.78380100239212</v>
      </c>
      <c r="AC151" s="120">
        <f>IF($D151="","",IF(SUMPRODUCT(MAX(($D$4:$D$810=$D151)*($B$4:$B$810&lt;$B151)*$B$4:$B$810))=0,0,MAX(($B151-MAX(SUMPRODUCT(MAX(($D$4:$D$810=$D151)*($B$4:$B$810&lt;$B151)*$B$4:$B$810)),'Guide &amp; Settings'!$C$50))/7-'Guide &amp; Settings'!$C$48,0)*'Guide &amp; Settings'!$C$49))</f>
        <v>0</v>
      </c>
    </row>
    <row r="152" spans="1:29" ht="15" customHeight="1" x14ac:dyDescent="0.2">
      <c r="A152" s="111">
        <v>70</v>
      </c>
      <c r="B152" s="112">
        <v>46188</v>
      </c>
      <c r="C152" s="113" t="s">
        <v>206</v>
      </c>
      <c r="D152" s="113" t="s">
        <v>169</v>
      </c>
      <c r="E152" s="111" t="s">
        <v>308</v>
      </c>
      <c r="F152" s="114">
        <f t="shared" si="34"/>
        <v>4</v>
      </c>
      <c r="G152" s="115" t="str">
        <f t="shared" si="35"/>
        <v>Simon</v>
      </c>
      <c r="H152" s="116">
        <f>IF($D152="",0,IFERROR(LOOKUP(2,1/(($D$3:D151=$D152)*($A$3:A151&lt;$A152)),$N$3:N151),'Guide &amp; Settings'!$C$41))</f>
        <v>922.17163089690371</v>
      </c>
      <c r="I152" s="117">
        <f t="shared" si="36"/>
        <v>0.12875536480686695</v>
      </c>
      <c r="J152" s="118">
        <f>IF($D152="",0,IF($F152&lt;2,0,IF($E152="Win",('Guide &amp; Settings'!$C$42/(($F152-1)*COUNTIFS($A$4:$A$810,$A152,$E$4:$E$810,"Win")))*SUMIFS($X$4:$X$810,$A$4:$A$810,$A152,$E$4:$E$810,"Loss"),-('Guide &amp; Settings'!$C$42/($F152-1))*$X152)))</f>
        <v>6.0377431655972345</v>
      </c>
      <c r="K152" s="118">
        <f>IF($D152="",0,'Guide &amp; Settings'!$C$43*(IF($E152="Win",1,0)-$I152))</f>
        <v>10.454935622317597</v>
      </c>
      <c r="L152" s="119">
        <f>IF($D152="",0,'Guide &amp; Settings'!$C$44*IF($F152&gt;=3,$F152,0))</f>
        <v>4</v>
      </c>
      <c r="M152" s="118">
        <f t="shared" si="37"/>
        <v>20.492678787914834</v>
      </c>
      <c r="N152" s="116">
        <f t="shared" si="38"/>
        <v>942.66430968481859</v>
      </c>
      <c r="O152" s="115" t="str">
        <f t="shared" si="39"/>
        <v>OK</v>
      </c>
      <c r="P152">
        <f t="shared" si="40"/>
        <v>1001.6280187731044</v>
      </c>
      <c r="Q152">
        <f t="shared" si="41"/>
        <v>0.38760570822243079</v>
      </c>
      <c r="R152">
        <f t="shared" si="42"/>
        <v>0.2857142857142857</v>
      </c>
      <c r="S152">
        <f t="shared" si="43"/>
        <v>2.2190476190476192</v>
      </c>
      <c r="T152" s="83">
        <f t="shared" si="44"/>
        <v>5</v>
      </c>
      <c r="U152" s="120">
        <f>IF($D152="",0,IFERROR(LOOKUP(2,1/(($D$3:D151=$D152)*($C$3:C151=$C152)*($A$3:A151&lt;$A152)),$AB$3:AB151),1000))</f>
        <v>954.17744405674409</v>
      </c>
      <c r="V152" s="120">
        <f t="shared" si="45"/>
        <v>938.17453747682384</v>
      </c>
      <c r="W152">
        <f t="shared" si="46"/>
        <v>1004.7501039705544</v>
      </c>
      <c r="X152">
        <f t="shared" si="47"/>
        <v>0.4053457428124756</v>
      </c>
      <c r="Y152">
        <f t="shared" si="48"/>
        <v>1006.6523471448768</v>
      </c>
      <c r="Z152">
        <f t="shared" si="49"/>
        <v>0.4250515756358243</v>
      </c>
      <c r="AA152">
        <f>IF($D152="",0,IF($F152&lt;2,0,IF($E152="Win",('Guide &amp; Settings'!$C$42/(($F152-1)*COUNTIFS($A$4:$A$810,$A152,$E$4:$E$810,"Win")))*SUMIFS($Z$4:$Z$810,$A$4:$A$810,$A152,$E$4:$E$810,"Loss"),-('Guide &amp; Settings'!$C$42/($F152-1))*$Z152)))</f>
        <v>5.1885710960379354</v>
      </c>
      <c r="AB152" s="120">
        <f t="shared" si="50"/>
        <v>959.36601515278198</v>
      </c>
      <c r="AC152" s="120">
        <f>IF($D152="","",IF(SUMPRODUCT(MAX(($D$4:$D$810=$D152)*($B$4:$B$810&lt;$B152)*$B$4:$B$810))=0,0,MAX(($B152-MAX(SUMPRODUCT(MAX(($D$4:$D$810=$D152)*($B$4:$B$810&lt;$B152)*$B$4:$B$810)),'Guide &amp; Settings'!$C$50))/7-'Guide &amp; Settings'!$C$48,0)*'Guide &amp; Settings'!$C$49))</f>
        <v>0</v>
      </c>
    </row>
    <row r="153" spans="1:29" ht="15" customHeight="1" x14ac:dyDescent="0.2">
      <c r="A153" s="111">
        <v>70</v>
      </c>
      <c r="B153" s="112">
        <v>46188</v>
      </c>
      <c r="C153" s="113" t="s">
        <v>206</v>
      </c>
      <c r="D153" s="113" t="s">
        <v>168</v>
      </c>
      <c r="E153" s="111" t="s">
        <v>308</v>
      </c>
      <c r="F153" s="114">
        <f t="shared" si="34"/>
        <v>4</v>
      </c>
      <c r="G153" s="115" t="str">
        <f t="shared" si="35"/>
        <v>Simon</v>
      </c>
      <c r="H153" s="116">
        <f>IF($D153="",0,IFERROR(LOOKUP(2,1/(($D$3:D152=$D153)*($A$3:A152&lt;$A153)),$N$3:N152),'Guide &amp; Settings'!$C$41))</f>
        <v>1081.084406649305</v>
      </c>
      <c r="I153" s="117">
        <f t="shared" si="36"/>
        <v>0.37553648068669526</v>
      </c>
      <c r="J153" s="118">
        <f>IF($D153="",0,IF($F153&lt;2,0,IF($E153="Win",('Guide &amp; Settings'!$C$42/(($F153-1)*COUNTIFS($A$4:$A$810,$A153,$E$4:$E$810,"Win")))*SUMIFS($X$4:$X$810,$A$4:$A$810,$A153,$E$4:$E$810,"Loss"),-('Guide &amp; Settings'!$C$42/($F153-1))*$X153)))</f>
        <v>6.0377431655972345</v>
      </c>
      <c r="K153" s="118">
        <f>IF($D153="",0,'Guide &amp; Settings'!$C$43*(IF($E153="Win",1,0)-$I153))</f>
        <v>7.4935622317596575</v>
      </c>
      <c r="L153" s="119">
        <f>IF($D153="",0,'Guide &amp; Settings'!$C$44*IF($F153&gt;=3,$F153,0))</f>
        <v>4</v>
      </c>
      <c r="M153" s="118">
        <f t="shared" si="37"/>
        <v>17.531305397356892</v>
      </c>
      <c r="N153" s="116">
        <f t="shared" si="38"/>
        <v>1098.6157120466619</v>
      </c>
      <c r="O153" s="115" t="str">
        <f t="shared" si="39"/>
        <v>OK</v>
      </c>
      <c r="P153">
        <f t="shared" si="40"/>
        <v>1001.6280187731044</v>
      </c>
      <c r="Q153">
        <f t="shared" si="41"/>
        <v>0.61239429177756921</v>
      </c>
      <c r="R153">
        <f t="shared" si="42"/>
        <v>0.83333333333333337</v>
      </c>
      <c r="S153">
        <f t="shared" si="43"/>
        <v>2.2190476190476192</v>
      </c>
      <c r="T153" s="83">
        <f t="shared" si="44"/>
        <v>4</v>
      </c>
      <c r="U153" s="120">
        <f>IF($D153="",0,IFERROR(LOOKUP(2,1/(($D$3:D152=$D153)*($C$3:C152=$C153)*($A$3:A152&lt;$A153)),$AB$3:AB152),1000))</f>
        <v>1059.1272502330096</v>
      </c>
      <c r="V153" s="120">
        <f t="shared" si="45"/>
        <v>1071.3256704642849</v>
      </c>
      <c r="W153">
        <f t="shared" si="46"/>
        <v>1004.7501039705544</v>
      </c>
      <c r="X153">
        <f t="shared" si="47"/>
        <v>0.5946542571875244</v>
      </c>
      <c r="Y153">
        <f t="shared" si="48"/>
        <v>1006.6523471448768</v>
      </c>
      <c r="Z153">
        <f t="shared" si="49"/>
        <v>0.57494842436417581</v>
      </c>
      <c r="AA153">
        <f>IF($D153="",0,IF($F153&lt;2,0,IF($E153="Win",('Guide &amp; Settings'!$C$42/(($F153-1)*COUNTIFS($A$4:$A$810,$A153,$E$4:$E$810,"Win")))*SUMIFS($Z$4:$Z$810,$A$4:$A$810,$A153,$E$4:$E$810,"Loss"),-('Guide &amp; Settings'!$C$42/($F153-1))*$Z153)))</f>
        <v>5.1885710960379354</v>
      </c>
      <c r="AB153" s="120">
        <f t="shared" si="50"/>
        <v>1064.3158213290476</v>
      </c>
      <c r="AC153" s="120">
        <f>IF($D153="","",IF(SUMPRODUCT(MAX(($D$4:$D$810=$D153)*($B$4:$B$810&lt;$B153)*$B$4:$B$810))=0,0,MAX(($B153-MAX(SUMPRODUCT(MAX(($D$4:$D$810=$D153)*($B$4:$B$810&lt;$B153)*$B$4:$B$810)),'Guide &amp; Settings'!$C$50))/7-'Guide &amp; Settings'!$C$48,0)*'Guide &amp; Settings'!$C$49))</f>
        <v>0</v>
      </c>
    </row>
    <row r="154" spans="1:29" ht="15" customHeight="1" x14ac:dyDescent="0.2">
      <c r="A154" s="111">
        <v>70</v>
      </c>
      <c r="B154" s="112">
        <v>46188</v>
      </c>
      <c r="C154" s="113" t="s">
        <v>206</v>
      </c>
      <c r="D154" s="113" t="s">
        <v>134</v>
      </c>
      <c r="E154" s="111" t="s">
        <v>309</v>
      </c>
      <c r="F154" s="114">
        <f t="shared" si="34"/>
        <v>4</v>
      </c>
      <c r="G154" s="115" t="str">
        <f t="shared" si="35"/>
        <v>Simon</v>
      </c>
      <c r="H154" s="116">
        <f>IF($D154="",0,IFERROR(LOOKUP(2,1/(($D$3:D153=$D154)*($A$3:A153&lt;$A154)),$N$3:N153),'Guide &amp; Settings'!$C$41))</f>
        <v>1006.1027952166637</v>
      </c>
      <c r="I154" s="117">
        <f t="shared" si="36"/>
        <v>0.27038626609442057</v>
      </c>
      <c r="J154" s="118">
        <f>IF($D154="",0,IF($F154&lt;2,0,IF($E154="Win",('Guide &amp; Settings'!$C$42/(($F154-1)*COUNTIFS($A$4:$A$810,$A154,$E$4:$E$810,"Win")))*SUMIFS($X$4:$X$810,$A$4:$A$810,$A154,$E$4:$E$810,"Loss"),-('Guide &amp; Settings'!$C$42/($F154-1))*$X154)))</f>
        <v>-5.3468684237226469</v>
      </c>
      <c r="K154" s="118">
        <f>IF($D154="",0,'Guide &amp; Settings'!$C$43*(IF($E154="Win",1,0)-$I154))</f>
        <v>-3.244635193133047</v>
      </c>
      <c r="L154" s="119">
        <f>IF($D154="",0,'Guide &amp; Settings'!$C$44*IF($F154&gt;=3,$F154,0))</f>
        <v>4</v>
      </c>
      <c r="M154" s="118">
        <f t="shared" si="37"/>
        <v>-4.5915036168556931</v>
      </c>
      <c r="N154" s="116">
        <f t="shared" si="38"/>
        <v>1001.511291599808</v>
      </c>
      <c r="O154" s="115" t="str">
        <f t="shared" si="39"/>
        <v>OK</v>
      </c>
      <c r="P154">
        <f t="shared" si="40"/>
        <v>1001.6280187731044</v>
      </c>
      <c r="Q154">
        <f t="shared" si="41"/>
        <v>0.50643936490832331</v>
      </c>
      <c r="R154">
        <f t="shared" si="42"/>
        <v>0.6</v>
      </c>
      <c r="S154">
        <f t="shared" si="43"/>
        <v>2.2190476190476192</v>
      </c>
      <c r="T154" s="83">
        <f t="shared" si="44"/>
        <v>3</v>
      </c>
      <c r="U154" s="120">
        <f>IF($D154="",0,IFERROR(LOOKUP(2,1/(($D$3:D153=$D154)*($C$3:C153=$C154)*($A$3:A153&lt;$A154)),$AB$3:AB153),1000))</f>
        <v>1004.8469096355284</v>
      </c>
      <c r="V154" s="120">
        <f t="shared" si="45"/>
        <v>1005.631838123738</v>
      </c>
      <c r="W154">
        <f t="shared" si="46"/>
        <v>1004.7501039705544</v>
      </c>
      <c r="X154">
        <f t="shared" si="47"/>
        <v>0.50126891472399815</v>
      </c>
      <c r="Y154">
        <f t="shared" si="48"/>
        <v>1006.6523471448768</v>
      </c>
      <c r="Z154">
        <f t="shared" si="49"/>
        <v>0.4974017899520799</v>
      </c>
      <c r="AA154">
        <f>IF($D154="",0,IF($F154&lt;2,0,IF($E154="Win",('Guide &amp; Settings'!$C$42/(($F154-1)*COUNTIFS($A$4:$A$810,$A154,$E$4:$E$810,"Win")))*SUMIFS($Z$4:$Z$810,$A$4:$A$810,$A154,$E$4:$E$810,"Loss"),-('Guide &amp; Settings'!$C$42/($F154-1))*$Z154)))</f>
        <v>-5.3056190928221856</v>
      </c>
      <c r="AB154" s="120">
        <f t="shared" si="50"/>
        <v>999.54129054270618</v>
      </c>
      <c r="AC154" s="120">
        <f>IF($D154="","",IF(SUMPRODUCT(MAX(($D$4:$D$810=$D154)*($B$4:$B$810&lt;$B154)*$B$4:$B$810))=0,0,MAX(($B154-MAX(SUMPRODUCT(MAX(($D$4:$D$810=$D154)*($B$4:$B$810&lt;$B154)*$B$4:$B$810)),'Guide &amp; Settings'!$C$50))/7-'Guide &amp; Settings'!$C$48,0)*'Guide &amp; Settings'!$C$49))</f>
        <v>0</v>
      </c>
    </row>
    <row r="155" spans="1:29" ht="15" customHeight="1" x14ac:dyDescent="0.2">
      <c r="A155" s="111">
        <v>70</v>
      </c>
      <c r="B155" s="112">
        <v>46188</v>
      </c>
      <c r="C155" s="113" t="s">
        <v>206</v>
      </c>
      <c r="D155" s="113" t="s">
        <v>137</v>
      </c>
      <c r="E155" s="111" t="s">
        <v>309</v>
      </c>
      <c r="F155" s="114">
        <f t="shared" si="34"/>
        <v>4</v>
      </c>
      <c r="G155" s="115" t="str">
        <f t="shared" si="35"/>
        <v>Simon</v>
      </c>
      <c r="H155" s="116">
        <f>IF($D155="",0,IFERROR(LOOKUP(2,1/(($D$3:D154=$D155)*($A$3:A154&lt;$A155)),$N$3:N154),'Guide &amp; Settings'!$C$41))</f>
        <v>1141.0979346657248</v>
      </c>
      <c r="I155" s="117">
        <f t="shared" si="36"/>
        <v>0.22532188841201717</v>
      </c>
      <c r="J155" s="118">
        <f>IF($D155="",0,IF($F155&lt;2,0,IF($E155="Win",('Guide &amp; Settings'!$C$42/(($F155-1)*COUNTIFS($A$4:$A$810,$A155,$E$4:$E$810,"Win")))*SUMIFS($X$4:$X$810,$A$4:$A$810,$A155,$E$4:$E$810,"Loss"),-('Guide &amp; Settings'!$C$42/($F155-1))*$X155)))</f>
        <v>-6.7286179074718229</v>
      </c>
      <c r="K155" s="118">
        <f>IF($D155="",0,'Guide &amp; Settings'!$C$43*(IF($E155="Win",1,0)-$I155))</f>
        <v>-2.703862660944206</v>
      </c>
      <c r="L155" s="119">
        <f>IF($D155="",0,'Guide &amp; Settings'!$C$44*IF($F155&gt;=3,$F155,0))</f>
        <v>4</v>
      </c>
      <c r="M155" s="118">
        <f t="shared" si="37"/>
        <v>-5.4324805684160289</v>
      </c>
      <c r="N155" s="116">
        <f t="shared" si="38"/>
        <v>1135.6654540973088</v>
      </c>
      <c r="O155" s="115" t="str">
        <f t="shared" si="39"/>
        <v>OK</v>
      </c>
      <c r="P155">
        <f t="shared" si="40"/>
        <v>1001.6280187731044</v>
      </c>
      <c r="Q155">
        <f t="shared" si="41"/>
        <v>0.69058451421641132</v>
      </c>
      <c r="R155">
        <f t="shared" si="42"/>
        <v>0.5</v>
      </c>
      <c r="S155">
        <f t="shared" si="43"/>
        <v>2.2190476190476192</v>
      </c>
      <c r="T155" s="83">
        <f t="shared" si="44"/>
        <v>2</v>
      </c>
      <c r="U155" s="120">
        <f>IF($D155="",0,IFERROR(LOOKUP(2,1/(($D$3:D154=$D155)*($C$3:C154=$C155)*($A$3:A154&lt;$A155)),$AB$3:AB154),1000))</f>
        <v>989.58321642905037</v>
      </c>
      <c r="V155" s="120">
        <f t="shared" si="45"/>
        <v>1097.8080151695322</v>
      </c>
      <c r="W155">
        <f t="shared" si="46"/>
        <v>1004.7501039705544</v>
      </c>
      <c r="X155">
        <f t="shared" si="47"/>
        <v>0.63080792882548342</v>
      </c>
      <c r="Y155">
        <f t="shared" si="48"/>
        <v>1006.6523471448768</v>
      </c>
      <c r="Z155">
        <f t="shared" si="49"/>
        <v>0.47545529055503305</v>
      </c>
      <c r="AA155">
        <f>IF($D155="",0,IF($F155&lt;2,0,IF($E155="Win",('Guide &amp; Settings'!$C$42/(($F155-1)*COUNTIFS($A$4:$A$810,$A155,$E$4:$E$810,"Win")))*SUMIFS($Z$4:$Z$810,$A$4:$A$810,$A155,$E$4:$E$810,"Loss"),-('Guide &amp; Settings'!$C$42/($F155-1))*$Z155)))</f>
        <v>-5.0715230992536853</v>
      </c>
      <c r="AB155" s="120">
        <f t="shared" si="50"/>
        <v>984.51169332979669</v>
      </c>
      <c r="AC155" s="120">
        <f>IF($D155="","",IF(SUMPRODUCT(MAX(($D$4:$D$810=$D155)*($B$4:$B$810&lt;$B155)*$B$4:$B$810))=0,0,MAX(($B155-MAX(SUMPRODUCT(MAX(($D$4:$D$810=$D155)*($B$4:$B$810&lt;$B155)*$B$4:$B$810)),'Guide &amp; Settings'!$C$50))/7-'Guide &amp; Settings'!$C$48,0)*'Guide &amp; Settings'!$C$49))</f>
        <v>0</v>
      </c>
    </row>
    <row r="156" spans="1:29" ht="15" customHeight="1" x14ac:dyDescent="0.2">
      <c r="A156" s="111">
        <v>71</v>
      </c>
      <c r="B156" s="112">
        <v>46188</v>
      </c>
      <c r="C156" s="113" t="s">
        <v>206</v>
      </c>
      <c r="D156" s="113" t="s">
        <v>168</v>
      </c>
      <c r="E156" s="111" t="s">
        <v>308</v>
      </c>
      <c r="F156" s="114">
        <f t="shared" si="34"/>
        <v>4</v>
      </c>
      <c r="G156" s="115" t="str">
        <f t="shared" si="35"/>
        <v>Oscar</v>
      </c>
      <c r="H156" s="116">
        <f>IF($D156="",0,IFERROR(LOOKUP(2,1/(($D$3:D155=$D156)*($A$3:A155&lt;$A156)),$N$3:N155),'Guide &amp; Settings'!$C$41))</f>
        <v>1098.6157120466619</v>
      </c>
      <c r="I156" s="117">
        <f t="shared" si="36"/>
        <v>0.38399999999999995</v>
      </c>
      <c r="J156" s="118">
        <f>IF($D156="",0,IF($F156&lt;2,0,IF($E156="Win",('Guide &amp; Settings'!$C$42/(($F156-1)*COUNTIFS($A$4:$A$810,$A156,$E$4:$E$810,"Win")))*SUMIFS($X$4:$X$810,$A$4:$A$810,$A156,$E$4:$E$810,"Loss"),-('Guide &amp; Settings'!$C$42/($F156-1))*$X156)))</f>
        <v>4.8140265020540536</v>
      </c>
      <c r="K156" s="118">
        <f>IF($D156="",0,'Guide &amp; Settings'!$C$43*(IF($E156="Win",1,0)-$I156))</f>
        <v>7.3920000000000012</v>
      </c>
      <c r="L156" s="119">
        <f>IF($D156="",0,'Guide &amp; Settings'!$C$44*IF($F156&gt;=3,$F156,0))</f>
        <v>4</v>
      </c>
      <c r="M156" s="118">
        <f t="shared" si="37"/>
        <v>16.206026502054055</v>
      </c>
      <c r="N156" s="116">
        <f t="shared" si="38"/>
        <v>1114.821738548716</v>
      </c>
      <c r="O156" s="115" t="str">
        <f t="shared" si="39"/>
        <v>OK</v>
      </c>
      <c r="P156">
        <f t="shared" si="40"/>
        <v>1020.6400108657402</v>
      </c>
      <c r="Q156">
        <f t="shared" si="41"/>
        <v>0.61036915766612798</v>
      </c>
      <c r="R156">
        <f t="shared" si="42"/>
        <v>0.8571428571428571</v>
      </c>
      <c r="S156">
        <f t="shared" si="43"/>
        <v>2.2321428571428572</v>
      </c>
      <c r="T156" s="83">
        <f t="shared" si="44"/>
        <v>5</v>
      </c>
      <c r="U156" s="120">
        <f>IF($D156="",0,IFERROR(LOOKUP(2,1/(($D$3:D155=$D156)*($C$3:C155=$C156)*($A$3:A155&lt;$A156)),$AB$3:AB155),1000))</f>
        <v>1064.3158213290476</v>
      </c>
      <c r="V156" s="120">
        <f t="shared" si="45"/>
        <v>1081.4657666878547</v>
      </c>
      <c r="W156">
        <f t="shared" si="46"/>
        <v>1016.6200487685085</v>
      </c>
      <c r="X156">
        <f t="shared" si="47"/>
        <v>0.59225177664658835</v>
      </c>
      <c r="Y156">
        <f t="shared" si="48"/>
        <v>1011.8409182409148</v>
      </c>
      <c r="Z156">
        <f t="shared" si="49"/>
        <v>0.57494842436417581</v>
      </c>
      <c r="AA156">
        <f>IF($D156="",0,IF($F156&lt;2,0,IF($E156="Win",('Guide &amp; Settings'!$C$42/(($F156-1)*COUNTIFS($A$4:$A$810,$A156,$E$4:$E$810,"Win")))*SUMIFS($Z$4:$Z$810,$A$4:$A$810,$A156,$E$4:$E$810,"Loss"),-('Guide &amp; Settings'!$C$42/($F156-1))*$Z156)))</f>
        <v>5.1516388622153571</v>
      </c>
      <c r="AB156" s="120">
        <f t="shared" si="50"/>
        <v>1069.4674601912629</v>
      </c>
      <c r="AC156" s="120">
        <f>IF($D156="","",IF(SUMPRODUCT(MAX(($D$4:$D$810=$D156)*($B$4:$B$810&lt;$B156)*$B$4:$B$810))=0,0,MAX(($B156-MAX(SUMPRODUCT(MAX(($D$4:$D$810=$D156)*($B$4:$B$810&lt;$B156)*$B$4:$B$810)),'Guide &amp; Settings'!$C$50))/7-'Guide &amp; Settings'!$C$48,0)*'Guide &amp; Settings'!$C$49))</f>
        <v>0</v>
      </c>
    </row>
    <row r="157" spans="1:29" ht="15" customHeight="1" x14ac:dyDescent="0.2">
      <c r="A157" s="111">
        <v>71</v>
      </c>
      <c r="B157" s="112">
        <v>46188</v>
      </c>
      <c r="C157" s="113" t="s">
        <v>206</v>
      </c>
      <c r="D157" s="113" t="s">
        <v>169</v>
      </c>
      <c r="E157" s="111" t="s">
        <v>308</v>
      </c>
      <c r="F157" s="114">
        <f t="shared" si="34"/>
        <v>4</v>
      </c>
      <c r="G157" s="115" t="str">
        <f t="shared" si="35"/>
        <v>Oscar</v>
      </c>
      <c r="H157" s="116">
        <f>IF($D157="",0,IFERROR(LOOKUP(2,1/(($D$3:D156=$D157)*($A$3:A156&lt;$A157)),$N$3:N156),'Guide &amp; Settings'!$C$41))</f>
        <v>942.66430968481859</v>
      </c>
      <c r="I157" s="117">
        <f t="shared" si="36"/>
        <v>0.16799999999999998</v>
      </c>
      <c r="J157" s="118">
        <f>IF($D157="",0,IF($F157&lt;2,0,IF($E157="Win",('Guide &amp; Settings'!$C$42/(($F157-1)*COUNTIFS($A$4:$A$810,$A157,$E$4:$E$810,"Win")))*SUMIFS($X$4:$X$810,$A$4:$A$810,$A157,$E$4:$E$810,"Loss"),-('Guide &amp; Settings'!$C$42/($F157-1))*$X157)))</f>
        <v>4.8140265020540536</v>
      </c>
      <c r="K157" s="118">
        <f>IF($D157="",0,'Guide &amp; Settings'!$C$43*(IF($E157="Win",1,0)-$I157))</f>
        <v>9.9840000000000018</v>
      </c>
      <c r="L157" s="119">
        <f>IF($D157="",0,'Guide &amp; Settings'!$C$44*IF($F157&gt;=3,$F157,0))</f>
        <v>4</v>
      </c>
      <c r="M157" s="118">
        <f t="shared" si="37"/>
        <v>18.798026502054057</v>
      </c>
      <c r="N157" s="116">
        <f t="shared" si="38"/>
        <v>961.46233618687268</v>
      </c>
      <c r="O157" s="115" t="str">
        <f t="shared" si="39"/>
        <v>OK</v>
      </c>
      <c r="P157">
        <f t="shared" si="40"/>
        <v>1020.6400108657402</v>
      </c>
      <c r="Q157">
        <f t="shared" si="41"/>
        <v>0.38963084233387202</v>
      </c>
      <c r="R157">
        <f t="shared" si="42"/>
        <v>0.375</v>
      </c>
      <c r="S157">
        <f t="shared" si="43"/>
        <v>2.2321428571428572</v>
      </c>
      <c r="T157" s="83">
        <f t="shared" si="44"/>
        <v>6</v>
      </c>
      <c r="U157" s="120">
        <f>IF($D157="",0,IFERROR(LOOKUP(2,1/(($D$3:D156=$D157)*($C$3:C156=$C157)*($A$3:A156&lt;$A157)),$AB$3:AB156),1000))</f>
        <v>959.36601515278198</v>
      </c>
      <c r="V157" s="120">
        <f t="shared" si="45"/>
        <v>951.7743308491622</v>
      </c>
      <c r="W157">
        <f t="shared" si="46"/>
        <v>1016.6200487685085</v>
      </c>
      <c r="X157">
        <f t="shared" si="47"/>
        <v>0.4077482233534116</v>
      </c>
      <c r="Y157">
        <f t="shared" si="48"/>
        <v>1011.8409182409148</v>
      </c>
      <c r="Z157">
        <f t="shared" si="49"/>
        <v>0.42505157563582413</v>
      </c>
      <c r="AA157">
        <f>IF($D157="",0,IF($F157&lt;2,0,IF($E157="Win",('Guide &amp; Settings'!$C$42/(($F157-1)*COUNTIFS($A$4:$A$810,$A157,$E$4:$E$810,"Win")))*SUMIFS($Z$4:$Z$810,$A$4:$A$810,$A157,$E$4:$E$810,"Loss"),-('Guide &amp; Settings'!$C$42/($F157-1))*$Z157)))</f>
        <v>5.1516388622153571</v>
      </c>
      <c r="AB157" s="120">
        <f t="shared" si="50"/>
        <v>964.51765401499733</v>
      </c>
      <c r="AC157" s="120">
        <f>IF($D157="","",IF(SUMPRODUCT(MAX(($D$4:$D$810=$D157)*($B$4:$B$810&lt;$B157)*$B$4:$B$810))=0,0,MAX(($B157-MAX(SUMPRODUCT(MAX(($D$4:$D$810=$D157)*($B$4:$B$810&lt;$B157)*$B$4:$B$810)),'Guide &amp; Settings'!$C$50))/7-'Guide &amp; Settings'!$C$48,0)*'Guide &amp; Settings'!$C$49))</f>
        <v>0</v>
      </c>
    </row>
    <row r="158" spans="1:29" ht="15" customHeight="1" x14ac:dyDescent="0.2">
      <c r="A158" s="111">
        <v>71</v>
      </c>
      <c r="B158" s="112">
        <v>46188</v>
      </c>
      <c r="C158" s="113" t="s">
        <v>206</v>
      </c>
      <c r="D158" s="113" t="s">
        <v>140</v>
      </c>
      <c r="E158" s="111" t="s">
        <v>309</v>
      </c>
      <c r="F158" s="114">
        <f t="shared" si="34"/>
        <v>4</v>
      </c>
      <c r="G158" s="115" t="str">
        <f t="shared" si="35"/>
        <v>Oscar</v>
      </c>
      <c r="H158" s="116">
        <f>IF($D158="",0,IFERROR(LOOKUP(2,1/(($D$3:D157=$D158)*($A$3:A157&lt;$A158)),$N$3:N157),'Guide &amp; Settings'!$C$41))</f>
        <v>951.2737556356999</v>
      </c>
      <c r="I158" s="117">
        <f t="shared" si="36"/>
        <v>0.224</v>
      </c>
      <c r="J158" s="118">
        <f>IF($D158="",0,IF($F158&lt;2,0,IF($E158="Win",('Guide &amp; Settings'!$C$42/(($F158-1)*COUNTIFS($A$4:$A$810,$A158,$E$4:$E$810,"Win")))*SUMIFS($X$4:$X$810,$A$4:$A$810,$A158,$E$4:$E$810,"Loss"),-('Guide &amp; Settings'!$C$42/($F158-1))*$X158)))</f>
        <v>-4.5496524217997738</v>
      </c>
      <c r="K158" s="118">
        <f>IF($D158="",0,'Guide &amp; Settings'!$C$43*(IF($E158="Win",1,0)-$I158))</f>
        <v>-2.6880000000000002</v>
      </c>
      <c r="L158" s="119">
        <f>IF($D158="",0,'Guide &amp; Settings'!$C$44*IF($F158&gt;=3,$F158,0))</f>
        <v>4</v>
      </c>
      <c r="M158" s="118">
        <f t="shared" si="37"/>
        <v>-3.2376524217997744</v>
      </c>
      <c r="N158" s="116">
        <f t="shared" si="38"/>
        <v>948.03610321390011</v>
      </c>
      <c r="O158" s="115" t="str">
        <f t="shared" si="39"/>
        <v>OK</v>
      </c>
      <c r="P158">
        <f t="shared" si="40"/>
        <v>1020.6400108657402</v>
      </c>
      <c r="Q158">
        <f t="shared" si="41"/>
        <v>0.40147950961950735</v>
      </c>
      <c r="R158">
        <f t="shared" si="42"/>
        <v>0.5</v>
      </c>
      <c r="S158">
        <f t="shared" si="43"/>
        <v>2.2321428571428572</v>
      </c>
      <c r="T158" s="83">
        <f t="shared" si="44"/>
        <v>2</v>
      </c>
      <c r="U158" s="120">
        <f>IF($D158="",0,IFERROR(LOOKUP(2,1/(($D$3:D157=$D158)*($C$3:C157=$C158)*($A$3:A157&lt;$A158)),$AB$3:AB157),1000))</f>
        <v>1000</v>
      </c>
      <c r="V158" s="120">
        <f t="shared" si="45"/>
        <v>965.19553973978577</v>
      </c>
      <c r="W158">
        <f t="shared" si="46"/>
        <v>1016.6200487685085</v>
      </c>
      <c r="X158">
        <f t="shared" si="47"/>
        <v>0.42652991454372879</v>
      </c>
      <c r="Y158">
        <f t="shared" si="48"/>
        <v>1011.8409182409148</v>
      </c>
      <c r="Z158">
        <f t="shared" si="49"/>
        <v>0.48296614333268972</v>
      </c>
      <c r="AA158">
        <f>IF($D158="",0,IF($F158&lt;2,0,IF($E158="Win",('Guide &amp; Settings'!$C$42/(($F158-1)*COUNTIFS($A$4:$A$810,$A158,$E$4:$E$810,"Win")))*SUMIFS($Z$4:$Z$810,$A$4:$A$810,$A158,$E$4:$E$810,"Loss"),-('Guide &amp; Settings'!$C$42/($F158-1))*$Z158)))</f>
        <v>-5.1516388622153571</v>
      </c>
      <c r="AB158" s="120">
        <f t="shared" si="50"/>
        <v>994.84836113778465</v>
      </c>
      <c r="AC158" s="120">
        <f>IF($D158="","",IF(SUMPRODUCT(MAX(($D$4:$D$810=$D158)*($B$4:$B$810&lt;$B158)*$B$4:$B$810))=0,0,MAX(($B158-MAX(SUMPRODUCT(MAX(($D$4:$D$810=$D158)*($B$4:$B$810&lt;$B158)*$B$4:$B$810)),'Guide &amp; Settings'!$C$50))/7-'Guide &amp; Settings'!$C$48,0)*'Guide &amp; Settings'!$C$49))</f>
        <v>0</v>
      </c>
    </row>
    <row r="159" spans="1:29" ht="15" customHeight="1" x14ac:dyDescent="0.2">
      <c r="A159" s="111">
        <v>71</v>
      </c>
      <c r="B159" s="112">
        <v>46188</v>
      </c>
      <c r="C159" s="113" t="s">
        <v>206</v>
      </c>
      <c r="D159" s="113" t="s">
        <v>171</v>
      </c>
      <c r="E159" s="111" t="s">
        <v>309</v>
      </c>
      <c r="F159" s="114">
        <f t="shared" si="34"/>
        <v>4</v>
      </c>
      <c r="G159" s="115" t="str">
        <f t="shared" si="35"/>
        <v>Oscar</v>
      </c>
      <c r="H159" s="116">
        <f>IF($D159="",0,IFERROR(LOOKUP(2,1/(($D$3:D158=$D159)*($A$3:A158&lt;$A159)),$N$3:N158),'Guide &amp; Settings'!$C$41))</f>
        <v>1000</v>
      </c>
      <c r="I159" s="117">
        <f t="shared" si="36"/>
        <v>0.224</v>
      </c>
      <c r="J159" s="118">
        <f>IF($D159="",0,IF($F159&lt;2,0,IF($E159="Win",('Guide &amp; Settings'!$C$42/(($F159-1)*COUNTIFS($A$4:$A$810,$A159,$E$4:$E$810,"Win")))*SUMIFS($X$4:$X$810,$A$4:$A$810,$A159,$E$4:$E$810,"Loss"),-('Guide &amp; Settings'!$C$42/($F159-1))*$X159)))</f>
        <v>-5.0784005823083334</v>
      </c>
      <c r="K159" s="118">
        <f>IF($D159="",0,'Guide &amp; Settings'!$C$43*(IF($E159="Win",1,0)-$I159))</f>
        <v>-2.6880000000000002</v>
      </c>
      <c r="L159" s="119">
        <f>IF($D159="",0,'Guide &amp; Settings'!$C$44*IF($F159&gt;=3,$F159,0))</f>
        <v>4</v>
      </c>
      <c r="M159" s="118">
        <f t="shared" si="37"/>
        <v>-3.766400582308334</v>
      </c>
      <c r="N159" s="116">
        <f t="shared" si="38"/>
        <v>996.23359941769172</v>
      </c>
      <c r="O159" s="115" t="str">
        <f t="shared" si="39"/>
        <v>OK</v>
      </c>
      <c r="P159">
        <f t="shared" si="40"/>
        <v>1020.6400108657402</v>
      </c>
      <c r="Q159">
        <f t="shared" si="41"/>
        <v>0.47033153003884332</v>
      </c>
      <c r="R159">
        <f t="shared" si="42"/>
        <v>0.5</v>
      </c>
      <c r="S159">
        <f t="shared" si="43"/>
        <v>2.2321428571428572</v>
      </c>
      <c r="T159" s="83">
        <f t="shared" si="44"/>
        <v>0</v>
      </c>
      <c r="U159" s="120">
        <f>IF($D159="",0,IFERROR(LOOKUP(2,1/(($D$3:D158=$D159)*($C$3:C158=$C159)*($A$3:A158&lt;$A159)),$AB$3:AB158),1000))</f>
        <v>1000</v>
      </c>
      <c r="V159" s="120">
        <f t="shared" si="45"/>
        <v>1000</v>
      </c>
      <c r="W159">
        <f t="shared" si="46"/>
        <v>1016.6200487685085</v>
      </c>
      <c r="X159">
        <f t="shared" si="47"/>
        <v>0.47610005459140625</v>
      </c>
      <c r="Y159">
        <f t="shared" si="48"/>
        <v>1011.8409182409148</v>
      </c>
      <c r="Z159">
        <f t="shared" si="49"/>
        <v>0.48296614333268972</v>
      </c>
      <c r="AA159">
        <f>IF($D159="",0,IF($F159&lt;2,0,IF($E159="Win",('Guide &amp; Settings'!$C$42/(($F159-1)*COUNTIFS($A$4:$A$810,$A159,$E$4:$E$810,"Win")))*SUMIFS($Z$4:$Z$810,$A$4:$A$810,$A159,$E$4:$E$810,"Loss"),-('Guide &amp; Settings'!$C$42/($F159-1))*$Z159)))</f>
        <v>-5.1516388622153571</v>
      </c>
      <c r="AB159" s="120">
        <f t="shared" si="50"/>
        <v>994.84836113778465</v>
      </c>
      <c r="AC159" s="120">
        <f>IF($D159="","",IF(SUMPRODUCT(MAX(($D$4:$D$810=$D159)*($B$4:$B$810&lt;$B159)*$B$4:$B$810))=0,0,MAX(($B159-MAX(SUMPRODUCT(MAX(($D$4:$D$810=$D159)*($B$4:$B$810&lt;$B159)*$B$4:$B$810)),'Guide &amp; Settings'!$C$50))/7-'Guide &amp; Settings'!$C$48,0)*'Guide &amp; Settings'!$C$49))</f>
        <v>0</v>
      </c>
    </row>
    <row r="160" spans="1:29" ht="15" customHeight="1" x14ac:dyDescent="0.2">
      <c r="A160" s="111">
        <v>72</v>
      </c>
      <c r="B160" s="112">
        <v>46188</v>
      </c>
      <c r="C160" s="113" t="s">
        <v>206</v>
      </c>
      <c r="D160" s="113" t="s">
        <v>168</v>
      </c>
      <c r="E160" s="111" t="s">
        <v>308</v>
      </c>
      <c r="F160" s="114">
        <f t="shared" si="34"/>
        <v>4</v>
      </c>
      <c r="G160" s="115" t="str">
        <f t="shared" si="35"/>
        <v>Oscar</v>
      </c>
      <c r="H160" s="116">
        <f>IF($D160="",0,IFERROR(LOOKUP(2,1/(($D$3:D159=$D160)*($A$3:A159&lt;$A160)),$N$3:N159),'Guide &amp; Settings'!$C$41))</f>
        <v>1114.821738548716</v>
      </c>
      <c r="I160" s="117">
        <f t="shared" si="36"/>
        <v>0.43793445878848064</v>
      </c>
      <c r="J160" s="118">
        <f>IF($D160="",0,IF($F160&lt;2,0,IF($E160="Win",('Guide &amp; Settings'!$C$42/(($F160-1)*COUNTIFS($A$4:$A$810,$A160,$E$4:$E$810,"Win")))*SUMIFS($X$4:$X$810,$A$4:$A$810,$A160,$E$4:$E$810,"Loss"),-('Guide &amp; Settings'!$C$42/($F160-1))*$X160)))</f>
        <v>4.6252712844412409</v>
      </c>
      <c r="K160" s="118">
        <f>IF($D160="",0,'Guide &amp; Settings'!$C$43*(IF($E160="Win",1,0)-$I160))</f>
        <v>6.744786494538233</v>
      </c>
      <c r="L160" s="119">
        <f>IF($D160="",0,'Guide &amp; Settings'!$C$44*IF($F160&gt;=3,$F160,0))</f>
        <v>4</v>
      </c>
      <c r="M160" s="118">
        <f t="shared" si="37"/>
        <v>15.370057778979474</v>
      </c>
      <c r="N160" s="116">
        <f t="shared" si="38"/>
        <v>1130.1917963276956</v>
      </c>
      <c r="O160" s="115" t="str">
        <f t="shared" si="39"/>
        <v>OK</v>
      </c>
      <c r="P160">
        <f t="shared" si="40"/>
        <v>1038.1420373677943</v>
      </c>
      <c r="Q160">
        <f t="shared" si="41"/>
        <v>0.60859348735253671</v>
      </c>
      <c r="R160">
        <f t="shared" si="42"/>
        <v>0.875</v>
      </c>
      <c r="S160">
        <f t="shared" si="43"/>
        <v>1.998015873015873</v>
      </c>
      <c r="T160" s="83">
        <f t="shared" si="44"/>
        <v>6</v>
      </c>
      <c r="U160" s="120">
        <f>IF($D160="",0,IFERROR(LOOKUP(2,1/(($D$3:D159=$D160)*($C$3:C159=$C160)*($A$3:A159&lt;$A160)),$AB$3:AB159),1000))</f>
        <v>1069.4674601912629</v>
      </c>
      <c r="V160" s="120">
        <f t="shared" si="45"/>
        <v>1090.0830412628325</v>
      </c>
      <c r="W160">
        <f t="shared" si="46"/>
        <v>1026.6638230913891</v>
      </c>
      <c r="X160">
        <f t="shared" si="47"/>
        <v>0.59026727016584035</v>
      </c>
      <c r="Y160">
        <f t="shared" si="48"/>
        <v>1016.9925571031301</v>
      </c>
      <c r="Z160">
        <f t="shared" si="49"/>
        <v>0.57494842436417581</v>
      </c>
      <c r="AA160">
        <f>IF($D160="",0,IF($F160&lt;2,0,IF($E160="Win",('Guide &amp; Settings'!$C$42/(($F160-1)*COUNTIFS($A$4:$A$810,$A160,$E$4:$E$810,"Win")))*SUMIFS($Z$4:$Z$810,$A$4:$A$810,$A160,$E$4:$E$810,"Loss"),-('Guide &amp; Settings'!$C$42/($F160-1))*$Z160)))</f>
        <v>4.7389736580532942</v>
      </c>
      <c r="AB160" s="120">
        <f t="shared" si="50"/>
        <v>1074.2064338493162</v>
      </c>
      <c r="AC160" s="120">
        <f>IF($D160="","",IF(SUMPRODUCT(MAX(($D$4:$D$810=$D160)*($B$4:$B$810&lt;$B160)*$B$4:$B$810))=0,0,MAX(($B160-MAX(SUMPRODUCT(MAX(($D$4:$D$810=$D160)*($B$4:$B$810&lt;$B160)*$B$4:$B$810)),'Guide &amp; Settings'!$C$50))/7-'Guide &amp; Settings'!$C$48,0)*'Guide &amp; Settings'!$C$49))</f>
        <v>0</v>
      </c>
    </row>
    <row r="161" spans="1:29" ht="15" customHeight="1" x14ac:dyDescent="0.2">
      <c r="A161" s="111">
        <v>72</v>
      </c>
      <c r="B161" s="112">
        <v>46188</v>
      </c>
      <c r="C161" s="113" t="s">
        <v>206</v>
      </c>
      <c r="D161" s="113" t="s">
        <v>169</v>
      </c>
      <c r="E161" s="111" t="s">
        <v>308</v>
      </c>
      <c r="F161" s="114">
        <f t="shared" si="34"/>
        <v>4</v>
      </c>
      <c r="G161" s="115" t="str">
        <f t="shared" si="35"/>
        <v>Oscar</v>
      </c>
      <c r="H161" s="116">
        <f>IF($D161="",0,IFERROR(LOOKUP(2,1/(($D$3:D160=$D161)*($A$3:A160&lt;$A161)),$N$3:N160),'Guide &amp; Settings'!$C$41))</f>
        <v>961.46233618687268</v>
      </c>
      <c r="I161" s="117">
        <f t="shared" si="36"/>
        <v>0.22244289970208539</v>
      </c>
      <c r="J161" s="118">
        <f>IF($D161="",0,IF($F161&lt;2,0,IF($E161="Win",('Guide &amp; Settings'!$C$42/(($F161-1)*COUNTIFS($A$4:$A$810,$A161,$E$4:$E$810,"Win")))*SUMIFS($X$4:$X$810,$A$4:$A$810,$A161,$E$4:$E$810,"Loss"),-('Guide &amp; Settings'!$C$42/($F161-1))*$X161)))</f>
        <v>4.6252712844412409</v>
      </c>
      <c r="K161" s="118">
        <f>IF($D161="",0,'Guide &amp; Settings'!$C$43*(IF($E161="Win",1,0)-$I161))</f>
        <v>9.3306852035749746</v>
      </c>
      <c r="L161" s="119">
        <f>IF($D161="",0,'Guide &amp; Settings'!$C$44*IF($F161&gt;=3,$F161,0))</f>
        <v>4</v>
      </c>
      <c r="M161" s="118">
        <f t="shared" si="37"/>
        <v>17.955956488016216</v>
      </c>
      <c r="N161" s="116">
        <f t="shared" si="38"/>
        <v>979.4182926748889</v>
      </c>
      <c r="O161" s="115" t="str">
        <f t="shared" si="39"/>
        <v>OK</v>
      </c>
      <c r="P161">
        <f t="shared" si="40"/>
        <v>1038.1420373677943</v>
      </c>
      <c r="Q161">
        <f t="shared" si="41"/>
        <v>0.39140651264746346</v>
      </c>
      <c r="R161">
        <f t="shared" si="42"/>
        <v>0.44444444444444442</v>
      </c>
      <c r="S161">
        <f t="shared" si="43"/>
        <v>1.998015873015873</v>
      </c>
      <c r="T161" s="83">
        <f t="shared" si="44"/>
        <v>7</v>
      </c>
      <c r="U161" s="120">
        <f>IF($D161="",0,IFERROR(LOOKUP(2,1/(($D$3:D160=$D161)*($C$3:C160=$C161)*($A$3:A160&lt;$A161)),$AB$3:AB160),1000))</f>
        <v>964.51765401499733</v>
      </c>
      <c r="V161" s="120">
        <f t="shared" si="45"/>
        <v>963.24460491994546</v>
      </c>
      <c r="W161">
        <f t="shared" si="46"/>
        <v>1026.6638230913891</v>
      </c>
      <c r="X161">
        <f t="shared" si="47"/>
        <v>0.40973272983415937</v>
      </c>
      <c r="Y161">
        <f t="shared" si="48"/>
        <v>1016.9925571031301</v>
      </c>
      <c r="Z161">
        <f t="shared" si="49"/>
        <v>0.42505157563582413</v>
      </c>
      <c r="AA161">
        <f>IF($D161="",0,IF($F161&lt;2,0,IF($E161="Win",('Guide &amp; Settings'!$C$42/(($F161-1)*COUNTIFS($A$4:$A$810,$A161,$E$4:$E$810,"Win")))*SUMIFS($Z$4:$Z$810,$A$4:$A$810,$A161,$E$4:$E$810,"Loss"),-('Guide &amp; Settings'!$C$42/($F161-1))*$Z161)))</f>
        <v>4.7389736580532942</v>
      </c>
      <c r="AB161" s="120">
        <f t="shared" si="50"/>
        <v>969.25662767305062</v>
      </c>
      <c r="AC161" s="120">
        <f>IF($D161="","",IF(SUMPRODUCT(MAX(($D$4:$D$810=$D161)*($B$4:$B$810&lt;$B161)*$B$4:$B$810))=0,0,MAX(($B161-MAX(SUMPRODUCT(MAX(($D$4:$D$810=$D161)*($B$4:$B$810&lt;$B161)*$B$4:$B$810)),'Guide &amp; Settings'!$C$50))/7-'Guide &amp; Settings'!$C$48,0)*'Guide &amp; Settings'!$C$49))</f>
        <v>0</v>
      </c>
    </row>
    <row r="162" spans="1:29" ht="15" customHeight="1" x14ac:dyDescent="0.2">
      <c r="A162" s="111">
        <v>72</v>
      </c>
      <c r="B162" s="112">
        <v>46188</v>
      </c>
      <c r="C162" s="113" t="s">
        <v>206</v>
      </c>
      <c r="D162" s="113" t="s">
        <v>175</v>
      </c>
      <c r="E162" s="111" t="s">
        <v>309</v>
      </c>
      <c r="F162" s="114">
        <f t="shared" si="34"/>
        <v>4</v>
      </c>
      <c r="G162" s="115" t="str">
        <f t="shared" si="35"/>
        <v>Oscar</v>
      </c>
      <c r="H162" s="116">
        <f>IF($D162="",0,IFERROR(LOOKUP(2,1/(($D$3:D161=$D162)*($A$3:A161&lt;$A162)),$N$3:N161),'Guide &amp; Settings'!$C$41))</f>
        <v>912.48946601898319</v>
      </c>
      <c r="I162" s="117">
        <f t="shared" si="36"/>
        <v>0.2144985104270109</v>
      </c>
      <c r="J162" s="118">
        <f>IF($D162="",0,IF($F162&lt;2,0,IF($E162="Win",('Guide &amp; Settings'!$C$42/(($F162-1)*COUNTIFS($A$4:$A$810,$A162,$E$4:$E$810,"Win")))*SUMIFS($X$4:$X$810,$A$4:$A$810,$A162,$E$4:$E$810,"Loss"),-('Guide &amp; Settings'!$C$42/($F162-1))*$X162)))</f>
        <v>-4.1746578755546757</v>
      </c>
      <c r="K162" s="118">
        <f>IF($D162="",0,'Guide &amp; Settings'!$C$43*(IF($E162="Win",1,0)-$I162))</f>
        <v>-2.5739821251241306</v>
      </c>
      <c r="L162" s="119">
        <f>IF($D162="",0,'Guide &amp; Settings'!$C$44*IF($F162&gt;=3,$F162,0))</f>
        <v>4</v>
      </c>
      <c r="M162" s="118">
        <f t="shared" si="37"/>
        <v>-2.7486400006788063</v>
      </c>
      <c r="N162" s="116">
        <f t="shared" si="38"/>
        <v>909.74082601830435</v>
      </c>
      <c r="O162" s="115" t="str">
        <f t="shared" si="39"/>
        <v>OK</v>
      </c>
      <c r="P162">
        <f t="shared" si="40"/>
        <v>1038.1420373677943</v>
      </c>
      <c r="Q162">
        <f t="shared" si="41"/>
        <v>0.32666355969653349</v>
      </c>
      <c r="R162">
        <f t="shared" si="42"/>
        <v>0.42857142857142855</v>
      </c>
      <c r="S162">
        <f t="shared" si="43"/>
        <v>1.998015873015873</v>
      </c>
      <c r="T162" s="83">
        <f t="shared" si="44"/>
        <v>5</v>
      </c>
      <c r="U162" s="120">
        <f>IF($D162="",0,IFERROR(LOOKUP(2,1/(($D$3:D161=$D162)*($C$3:C161=$C162)*($A$3:A161&lt;$A162)),$AB$3:AB161),1000))</f>
        <v>987.43161250376841</v>
      </c>
      <c r="V162" s="120">
        <f t="shared" si="45"/>
        <v>949.96053926137574</v>
      </c>
      <c r="W162">
        <f t="shared" si="46"/>
        <v>1026.6638230913891</v>
      </c>
      <c r="X162">
        <f t="shared" si="47"/>
        <v>0.3913741758332509</v>
      </c>
      <c r="Y162">
        <f t="shared" si="48"/>
        <v>1016.9925571031301</v>
      </c>
      <c r="Z162">
        <f t="shared" si="49"/>
        <v>0.45756073979125222</v>
      </c>
      <c r="AA162">
        <f>IF($D162="",0,IF($F162&lt;2,0,IF($E162="Win",('Guide &amp; Settings'!$C$42/(($F162-1)*COUNTIFS($A$4:$A$810,$A162,$E$4:$E$810,"Win")))*SUMIFS($Z$4:$Z$810,$A$4:$A$810,$A162,$E$4:$E$810,"Loss"),-('Guide &amp; Settings'!$C$42/($F162-1))*$Z162)))</f>
        <v>-4.8806478911066904</v>
      </c>
      <c r="AB162" s="120">
        <f t="shared" si="50"/>
        <v>982.55096461266169</v>
      </c>
      <c r="AC162" s="120">
        <f>IF($D162="","",IF(SUMPRODUCT(MAX(($D$4:$D$810=$D162)*($B$4:$B$810&lt;$B162)*$B$4:$B$810))=0,0,MAX(($B162-MAX(SUMPRODUCT(MAX(($D$4:$D$810=$D162)*($B$4:$B$810&lt;$B162)*$B$4:$B$810)),'Guide &amp; Settings'!$C$50))/7-'Guide &amp; Settings'!$C$48,0)*'Guide &amp; Settings'!$C$49))</f>
        <v>0</v>
      </c>
    </row>
    <row r="163" spans="1:29" ht="15" customHeight="1" x14ac:dyDescent="0.2">
      <c r="A163" s="111">
        <v>72</v>
      </c>
      <c r="B163" s="112">
        <v>46188</v>
      </c>
      <c r="C163" s="113" t="s">
        <v>206</v>
      </c>
      <c r="D163" s="113" t="s">
        <v>138</v>
      </c>
      <c r="E163" s="111" t="s">
        <v>309</v>
      </c>
      <c r="F163" s="114">
        <f t="shared" si="34"/>
        <v>4</v>
      </c>
      <c r="G163" s="115" t="str">
        <f t="shared" si="35"/>
        <v>Oscar</v>
      </c>
      <c r="H163" s="116">
        <f>IF($D163="",0,IFERROR(LOOKUP(2,1/(($D$3:D162=$D163)*($A$3:A162&lt;$A163)),$N$3:N162),'Guide &amp; Settings'!$C$41))</f>
        <v>1026.3367769492982</v>
      </c>
      <c r="I163" s="117">
        <f t="shared" si="36"/>
        <v>0.12512413108242304</v>
      </c>
      <c r="J163" s="118">
        <f>IF($D163="",0,IF($F163&lt;2,0,IF($E163="Win",('Guide &amp; Settings'!$C$42/(($F163-1)*COUNTIFS($A$4:$A$810,$A163,$E$4:$E$810,"Win")))*SUMIFS($X$4:$X$810,$A$4:$A$810,$A163,$E$4:$E$810,"Loss"),-('Guide &amp; Settings'!$C$42/($F163-1))*$X163)))</f>
        <v>-5.0758846933278061</v>
      </c>
      <c r="K163" s="118">
        <f>IF($D163="",0,'Guide &amp; Settings'!$C$43*(IF($E163="Win",1,0)-$I163))</f>
        <v>-1.5014895729890765</v>
      </c>
      <c r="L163" s="119">
        <f>IF($D163="",0,'Guide &amp; Settings'!$C$44*IF($F163&gt;=3,$F163,0))</f>
        <v>4</v>
      </c>
      <c r="M163" s="118">
        <f t="shared" si="37"/>
        <v>-2.5773742663168822</v>
      </c>
      <c r="N163" s="116">
        <f t="shared" si="38"/>
        <v>1023.7594026829813</v>
      </c>
      <c r="O163" s="115" t="str">
        <f t="shared" si="39"/>
        <v>OK</v>
      </c>
      <c r="P163">
        <f t="shared" si="40"/>
        <v>1038.1420373677943</v>
      </c>
      <c r="Q163">
        <f t="shared" si="41"/>
        <v>0.48301739968568758</v>
      </c>
      <c r="R163">
        <f t="shared" si="42"/>
        <v>0.25</v>
      </c>
      <c r="S163">
        <f t="shared" si="43"/>
        <v>1.998015873015873</v>
      </c>
      <c r="T163" s="83">
        <f t="shared" si="44"/>
        <v>2</v>
      </c>
      <c r="U163" s="120">
        <f>IF($D163="",0,IFERROR(LOOKUP(2,1/(($D$3:D162=$D163)*($C$3:C162=$C163)*($A$3:A162&lt;$A163)),$AB$3:AB162),1000))</f>
        <v>968.73630679352198</v>
      </c>
      <c r="V163" s="120">
        <f t="shared" si="45"/>
        <v>1009.8794997619335</v>
      </c>
      <c r="W163">
        <f t="shared" si="46"/>
        <v>1026.6638230913891</v>
      </c>
      <c r="X163">
        <f t="shared" si="47"/>
        <v>0.47586418999948188</v>
      </c>
      <c r="Y163">
        <f t="shared" si="48"/>
        <v>1016.9925571031301</v>
      </c>
      <c r="Z163">
        <f t="shared" si="49"/>
        <v>0.43099682109374055</v>
      </c>
      <c r="AA163">
        <f>IF($D163="",0,IF($F163&lt;2,0,IF($E163="Win",('Guide &amp; Settings'!$C$42/(($F163-1)*COUNTIFS($A$4:$A$810,$A163,$E$4:$E$810,"Win")))*SUMIFS($Z$4:$Z$810,$A$4:$A$810,$A163,$E$4:$E$810,"Loss"),-('Guide &amp; Settings'!$C$42/($F163-1))*$Z163)))</f>
        <v>-4.5972994249998989</v>
      </c>
      <c r="AB163" s="120">
        <f t="shared" si="50"/>
        <v>964.13900736852213</v>
      </c>
      <c r="AC163" s="120">
        <f>IF($D163="","",IF(SUMPRODUCT(MAX(($D$4:$D$810=$D163)*($B$4:$B$810&lt;$B163)*$B$4:$B$810))=0,0,MAX(($B163-MAX(SUMPRODUCT(MAX(($D$4:$D$810=$D163)*($B$4:$B$810&lt;$B163)*$B$4:$B$810)),'Guide &amp; Settings'!$C$50))/7-'Guide &amp; Settings'!$C$48,0)*'Guide &amp; Settings'!$C$49))</f>
        <v>0</v>
      </c>
    </row>
    <row r="164" spans="1:29" ht="15" customHeight="1" x14ac:dyDescent="0.2">
      <c r="A164" s="111">
        <v>73</v>
      </c>
      <c r="B164" s="112">
        <v>46188</v>
      </c>
      <c r="C164" s="113" t="s">
        <v>206</v>
      </c>
      <c r="D164" s="113" t="s">
        <v>135</v>
      </c>
      <c r="E164" s="111" t="s">
        <v>308</v>
      </c>
      <c r="F164" s="114">
        <f t="shared" si="34"/>
        <v>4</v>
      </c>
      <c r="G164" s="115" t="str">
        <f t="shared" si="35"/>
        <v>Dylan A</v>
      </c>
      <c r="H164" s="116">
        <f>IF($D164="",0,IFERROR(LOOKUP(2,1/(($D$3:D163=$D164)*($A$3:A163&lt;$A164)),$N$3:N163),'Guide &amp; Settings'!$C$41))</f>
        <v>994.55452889075195</v>
      </c>
      <c r="I164" s="117">
        <f t="shared" si="36"/>
        <v>0.2608695652173913</v>
      </c>
      <c r="J164" s="118">
        <f>IF($D164="",0,IF($F164&lt;2,0,IF($E164="Win",('Guide &amp; Settings'!$C$42/(($F164-1)*COUNTIFS($A$4:$A$810,$A164,$E$4:$E$810,"Win")))*SUMIFS($X$4:$X$810,$A$4:$A$810,$A164,$E$4:$E$810,"Loss"),-('Guide &amp; Settings'!$C$42/($F164-1))*$X164)))</f>
        <v>5.8710885566634632</v>
      </c>
      <c r="K164" s="118">
        <f>IF($D164="",0,'Guide &amp; Settings'!$C$43*(IF($E164="Win",1,0)-$I164))</f>
        <v>8.8695652173913047</v>
      </c>
      <c r="L164" s="119">
        <f>IF($D164="",0,'Guide &amp; Settings'!$C$44*IF($F164&gt;=3,$F164,0))</f>
        <v>4</v>
      </c>
      <c r="M164" s="118">
        <f t="shared" si="37"/>
        <v>18.740653774054767</v>
      </c>
      <c r="N164" s="116">
        <f t="shared" si="38"/>
        <v>1013.2951826648067</v>
      </c>
      <c r="O164" s="115" t="str">
        <f t="shared" si="39"/>
        <v>OK</v>
      </c>
      <c r="P164">
        <f t="shared" si="40"/>
        <v>997.27726444537598</v>
      </c>
      <c r="Q164">
        <f t="shared" si="41"/>
        <v>0.49608174877291339</v>
      </c>
      <c r="R164">
        <f t="shared" si="42"/>
        <v>0.66666666666666663</v>
      </c>
      <c r="S164">
        <f t="shared" si="43"/>
        <v>2.5555555555555554</v>
      </c>
      <c r="T164" s="83">
        <f t="shared" si="44"/>
        <v>1</v>
      </c>
      <c r="U164" s="120">
        <f>IF($D164="",0,IFERROR(LOOKUP(2,1/(($D$3:D163=$D164)*($C$3:C163=$C164)*($A$3:A163&lt;$A164)),$AB$3:AB163),1000))</f>
        <v>1016</v>
      </c>
      <c r="V164" s="120">
        <f t="shared" si="45"/>
        <v>998.12877407562655</v>
      </c>
      <c r="W164">
        <f t="shared" si="46"/>
        <v>999.06438703781328</v>
      </c>
      <c r="X164">
        <f t="shared" si="47"/>
        <v>0.49865354796750289</v>
      </c>
      <c r="Y164">
        <f t="shared" si="48"/>
        <v>1008</v>
      </c>
      <c r="Z164">
        <f t="shared" si="49"/>
        <v>0.5115108912177917</v>
      </c>
      <c r="AA164">
        <f>IF($D164="",0,IF($F164&lt;2,0,IF($E164="Win",('Guide &amp; Settings'!$C$42/(($F164-1)*COUNTIFS($A$4:$A$810,$A164,$E$4:$E$810,"Win")))*SUMIFS($Z$4:$Z$810,$A$4:$A$810,$A164,$E$4:$E$810,"Loss"),-('Guide &amp; Settings'!$C$42/($F164-1))*$Z164)))</f>
        <v>5.5392839402240961</v>
      </c>
      <c r="AB164" s="120">
        <f t="shared" si="50"/>
        <v>1021.5392839402241</v>
      </c>
      <c r="AC164" s="120">
        <f>IF($D164="","",IF(SUMPRODUCT(MAX(($D$4:$D$810=$D164)*($B$4:$B$810&lt;$B164)*$B$4:$B$810))=0,0,MAX(($B164-MAX(SUMPRODUCT(MAX(($D$4:$D$810=$D164)*($B$4:$B$810&lt;$B164)*$B$4:$B$810)),'Guide &amp; Settings'!$C$50))/7-'Guide &amp; Settings'!$C$48,0)*'Guide &amp; Settings'!$C$49))</f>
        <v>0</v>
      </c>
    </row>
    <row r="165" spans="1:29" ht="15" customHeight="1" x14ac:dyDescent="0.2">
      <c r="A165" s="111">
        <v>73</v>
      </c>
      <c r="B165" s="112">
        <v>46188</v>
      </c>
      <c r="C165" s="113" t="s">
        <v>206</v>
      </c>
      <c r="D165" s="113" t="s">
        <v>172</v>
      </c>
      <c r="E165" s="111" t="s">
        <v>308</v>
      </c>
      <c r="F165" s="114">
        <f t="shared" si="34"/>
        <v>4</v>
      </c>
      <c r="G165" s="115" t="str">
        <f t="shared" si="35"/>
        <v>Dylan A</v>
      </c>
      <c r="H165" s="116">
        <f>IF($D165="",0,IFERROR(LOOKUP(2,1/(($D$3:D164=$D165)*($A$3:A164&lt;$A165)),$N$3:N164),'Guide &amp; Settings'!$C$41))</f>
        <v>1000</v>
      </c>
      <c r="I165" s="117">
        <f t="shared" si="36"/>
        <v>0.19565217391304349</v>
      </c>
      <c r="J165" s="118">
        <f>IF($D165="",0,IF($F165&lt;2,0,IF($E165="Win",('Guide &amp; Settings'!$C$42/(($F165-1)*COUNTIFS($A$4:$A$810,$A165,$E$4:$E$810,"Win")))*SUMIFS($X$4:$X$810,$A$4:$A$810,$A165,$E$4:$E$810,"Loss"),-('Guide &amp; Settings'!$C$42/($F165-1))*$X165)))</f>
        <v>5.8710885566634632</v>
      </c>
      <c r="K165" s="118">
        <f>IF($D165="",0,'Guide &amp; Settings'!$C$43*(IF($E165="Win",1,0)-$I165))</f>
        <v>9.6521739130434785</v>
      </c>
      <c r="L165" s="119">
        <f>IF($D165="",0,'Guide &amp; Settings'!$C$44*IF($F165&gt;=3,$F165,0))</f>
        <v>4</v>
      </c>
      <c r="M165" s="118">
        <f t="shared" si="37"/>
        <v>19.523262469706943</v>
      </c>
      <c r="N165" s="116">
        <f t="shared" si="38"/>
        <v>1019.523262469707</v>
      </c>
      <c r="O165" s="115" t="str">
        <f t="shared" si="39"/>
        <v>OK</v>
      </c>
      <c r="P165">
        <f t="shared" si="40"/>
        <v>997.27726444537598</v>
      </c>
      <c r="Q165">
        <f t="shared" si="41"/>
        <v>0.50391825122708667</v>
      </c>
      <c r="R165">
        <f t="shared" si="42"/>
        <v>0.5</v>
      </c>
      <c r="S165">
        <f t="shared" si="43"/>
        <v>2.5555555555555554</v>
      </c>
      <c r="T165" s="83">
        <f t="shared" si="44"/>
        <v>0</v>
      </c>
      <c r="U165" s="120">
        <f>IF($D165="",0,IFERROR(LOOKUP(2,1/(($D$3:D164=$D165)*($C$3:C164=$C165)*($A$3:A164&lt;$A165)),$AB$3:AB164),1000))</f>
        <v>1000</v>
      </c>
      <c r="V165" s="120">
        <f t="shared" si="45"/>
        <v>1000</v>
      </c>
      <c r="W165">
        <f t="shared" si="46"/>
        <v>999.06438703781328</v>
      </c>
      <c r="X165">
        <f t="shared" si="47"/>
        <v>0.50134645203249706</v>
      </c>
      <c r="Y165">
        <f t="shared" si="48"/>
        <v>1008</v>
      </c>
      <c r="Z165">
        <f t="shared" si="49"/>
        <v>0.4884891087822083</v>
      </c>
      <c r="AA165">
        <f>IF($D165="",0,IF($F165&lt;2,0,IF($E165="Win",('Guide &amp; Settings'!$C$42/(($F165-1)*COUNTIFS($A$4:$A$810,$A165,$E$4:$E$810,"Win")))*SUMIFS($Z$4:$Z$810,$A$4:$A$810,$A165,$E$4:$E$810,"Loss"),-('Guide &amp; Settings'!$C$42/($F165-1))*$Z165)))</f>
        <v>5.5392839402240961</v>
      </c>
      <c r="AB165" s="120">
        <f t="shared" si="50"/>
        <v>1005.5392839402241</v>
      </c>
      <c r="AC165" s="120">
        <f>IF($D165="","",IF(SUMPRODUCT(MAX(($D$4:$D$810=$D165)*($B$4:$B$810&lt;$B165)*$B$4:$B$810))=0,0,MAX(($B165-MAX(SUMPRODUCT(MAX(($D$4:$D$810=$D165)*($B$4:$B$810&lt;$B165)*$B$4:$B$810)),'Guide &amp; Settings'!$C$50))/7-'Guide &amp; Settings'!$C$48,0)*'Guide &amp; Settings'!$C$49))</f>
        <v>0</v>
      </c>
    </row>
    <row r="166" spans="1:29" ht="15" customHeight="1" x14ac:dyDescent="0.2">
      <c r="A166" s="111">
        <v>73</v>
      </c>
      <c r="B166" s="112">
        <v>46188</v>
      </c>
      <c r="C166" s="113" t="s">
        <v>206</v>
      </c>
      <c r="D166" s="113" t="s">
        <v>169</v>
      </c>
      <c r="E166" s="111" t="s">
        <v>309</v>
      </c>
      <c r="F166" s="114">
        <f t="shared" si="34"/>
        <v>4</v>
      </c>
      <c r="G166" s="115" t="str">
        <f t="shared" si="35"/>
        <v>Dylan A</v>
      </c>
      <c r="H166" s="116">
        <f>IF($D166="",0,IFERROR(LOOKUP(2,1/(($D$3:D165=$D166)*($A$3:A165&lt;$A166)),$N$3:N165),'Guide &amp; Settings'!$C$41))</f>
        <v>979.4182926748889</v>
      </c>
      <c r="I166" s="117">
        <f t="shared" si="36"/>
        <v>0.19565217391304349</v>
      </c>
      <c r="J166" s="118">
        <f>IF($D166="",0,IF($F166&lt;2,0,IF($E166="Win",('Guide &amp; Settings'!$C$42/(($F166-1)*COUNTIFS($A$4:$A$810,$A166,$E$4:$E$810,"Win")))*SUMIFS($X$4:$X$810,$A$4:$A$810,$A166,$E$4:$E$810,"Loss"),-('Guide &amp; Settings'!$C$42/($F166-1))*$X166)))</f>
        <v>-4.9364972273926551</v>
      </c>
      <c r="K166" s="118">
        <f>IF($D166="",0,'Guide &amp; Settings'!$C$43*(IF($E166="Win",1,0)-$I166))</f>
        <v>-2.347826086956522</v>
      </c>
      <c r="L166" s="119">
        <f>IF($D166="",0,'Guide &amp; Settings'!$C$44*IF($F166&gt;=3,$F166,0))</f>
        <v>4</v>
      </c>
      <c r="M166" s="118">
        <f t="shared" si="37"/>
        <v>-3.2843233143491766</v>
      </c>
      <c r="N166" s="116">
        <f t="shared" si="38"/>
        <v>976.13396936053971</v>
      </c>
      <c r="O166" s="115" t="str">
        <f t="shared" si="39"/>
        <v>OK</v>
      </c>
      <c r="P166">
        <f t="shared" si="40"/>
        <v>997.27726444537598</v>
      </c>
      <c r="Q166">
        <f t="shared" si="41"/>
        <v>0.47432148550960995</v>
      </c>
      <c r="R166">
        <f t="shared" si="42"/>
        <v>0.5</v>
      </c>
      <c r="S166">
        <f t="shared" si="43"/>
        <v>2.5555555555555554</v>
      </c>
      <c r="T166" s="83">
        <f t="shared" si="44"/>
        <v>8</v>
      </c>
      <c r="U166" s="120">
        <f>IF($D166="",0,IFERROR(LOOKUP(2,1/(($D$3:D165=$D166)*($C$3:C165=$C166)*($A$3:A165&lt;$A166)),$AB$3:AB165),1000))</f>
        <v>969.25662767305062</v>
      </c>
      <c r="V166" s="120">
        <f t="shared" si="45"/>
        <v>973.16496036606532</v>
      </c>
      <c r="W166">
        <f t="shared" si="46"/>
        <v>999.06438703781328</v>
      </c>
      <c r="X166">
        <f t="shared" si="47"/>
        <v>0.46279661506806141</v>
      </c>
      <c r="Y166">
        <f t="shared" si="48"/>
        <v>1008</v>
      </c>
      <c r="Z166">
        <f t="shared" si="49"/>
        <v>0.44447377115232384</v>
      </c>
      <c r="AA166">
        <f>IF($D166="",0,IF($F166&lt;2,0,IF($E166="Win",('Guide &amp; Settings'!$C$42/(($F166-1)*COUNTIFS($A$4:$A$810,$A166,$E$4:$E$810,"Win")))*SUMIFS($Z$4:$Z$810,$A$4:$A$810,$A166,$E$4:$E$810,"Loss"),-('Guide &amp; Settings'!$C$42/($F166-1))*$Z166)))</f>
        <v>-4.7410535589581206</v>
      </c>
      <c r="AB166" s="120">
        <f t="shared" si="50"/>
        <v>964.51557411409249</v>
      </c>
      <c r="AC166" s="120">
        <f>IF($D166="","",IF(SUMPRODUCT(MAX(($D$4:$D$810=$D166)*($B$4:$B$810&lt;$B166)*$B$4:$B$810))=0,0,MAX(($B166-MAX(SUMPRODUCT(MAX(($D$4:$D$810=$D166)*($B$4:$B$810&lt;$B166)*$B$4:$B$810)),'Guide &amp; Settings'!$C$50))/7-'Guide &amp; Settings'!$C$48,0)*'Guide &amp; Settings'!$C$49))</f>
        <v>0</v>
      </c>
    </row>
    <row r="167" spans="1:29" ht="15" customHeight="1" x14ac:dyDescent="0.2">
      <c r="A167" s="111">
        <v>73</v>
      </c>
      <c r="B167" s="112">
        <v>46188</v>
      </c>
      <c r="C167" s="113" t="s">
        <v>206</v>
      </c>
      <c r="D167" s="113" t="s">
        <v>168</v>
      </c>
      <c r="E167" s="111" t="s">
        <v>309</v>
      </c>
      <c r="F167" s="114">
        <f t="shared" si="34"/>
        <v>4</v>
      </c>
      <c r="G167" s="115" t="str">
        <f t="shared" si="35"/>
        <v>Dylan A</v>
      </c>
      <c r="H167" s="116">
        <f>IF($D167="",0,IFERROR(LOOKUP(2,1/(($D$3:D166=$D167)*($A$3:A166&lt;$A167)),$N$3:N166),'Guide &amp; Settings'!$C$41))</f>
        <v>1130.1917963276956</v>
      </c>
      <c r="I167" s="117">
        <f t="shared" si="36"/>
        <v>0.34782608695652173</v>
      </c>
      <c r="J167" s="118">
        <f>IF($D167="",0,IF($F167&lt;2,0,IF($E167="Win",('Guide &amp; Settings'!$C$42/(($F167-1)*COUNTIFS($A$4:$A$810,$A167,$E$4:$E$810,"Win")))*SUMIFS($X$4:$X$810,$A$4:$A$810,$A167,$E$4:$E$810,"Loss"),-('Guide &amp; Settings'!$C$42/($F167-1))*$X167)))</f>
        <v>-6.8056798859342713</v>
      </c>
      <c r="K167" s="118">
        <f>IF($D167="",0,'Guide &amp; Settings'!$C$43*(IF($E167="Win",1,0)-$I167))</f>
        <v>-4.1739130434782608</v>
      </c>
      <c r="L167" s="119">
        <f>IF($D167="",0,'Guide &amp; Settings'!$C$44*IF($F167&gt;=3,$F167,0))</f>
        <v>4</v>
      </c>
      <c r="M167" s="118">
        <f t="shared" si="37"/>
        <v>-6.979592929412533</v>
      </c>
      <c r="N167" s="116">
        <f t="shared" si="38"/>
        <v>1123.212203398283</v>
      </c>
      <c r="O167" s="115" t="str">
        <f t="shared" si="39"/>
        <v>OK</v>
      </c>
      <c r="P167">
        <f t="shared" si="40"/>
        <v>997.27726444537598</v>
      </c>
      <c r="Q167">
        <f t="shared" si="41"/>
        <v>0.68246377651077772</v>
      </c>
      <c r="R167">
        <f t="shared" si="42"/>
        <v>0.88888888888888884</v>
      </c>
      <c r="S167">
        <f t="shared" si="43"/>
        <v>2.5555555555555554</v>
      </c>
      <c r="T167" s="83">
        <f t="shared" si="44"/>
        <v>7</v>
      </c>
      <c r="U167" s="120">
        <f>IF($D167="",0,IFERROR(LOOKUP(2,1/(($D$3:D166=$D167)*($C$3:C166=$C167)*($A$3:A166&lt;$A167)),$AB$3:AB166),1000))</f>
        <v>1074.2064338493162</v>
      </c>
      <c r="V167" s="120">
        <f t="shared" si="45"/>
        <v>1097.5336682153077</v>
      </c>
      <c r="W167">
        <f t="shared" si="46"/>
        <v>999.06438703781328</v>
      </c>
      <c r="X167">
        <f t="shared" si="47"/>
        <v>0.63803248930633794</v>
      </c>
      <c r="Y167">
        <f t="shared" si="48"/>
        <v>1008</v>
      </c>
      <c r="Z167">
        <f t="shared" si="49"/>
        <v>0.59414196763969418</v>
      </c>
      <c r="AA167">
        <f>IF($D167="",0,IF($F167&lt;2,0,IF($E167="Win",('Guide &amp; Settings'!$C$42/(($F167-1)*COUNTIFS($A$4:$A$810,$A167,$E$4:$E$810,"Win")))*SUMIFS($Z$4:$Z$810,$A$4:$A$810,$A167,$E$4:$E$810,"Loss"),-('Guide &amp; Settings'!$C$42/($F167-1))*$Z167)))</f>
        <v>-6.3375143214900707</v>
      </c>
      <c r="AB167" s="120">
        <f t="shared" si="50"/>
        <v>1067.8689195278262</v>
      </c>
      <c r="AC167" s="120">
        <f>IF($D167="","",IF(SUMPRODUCT(MAX(($D$4:$D$810=$D167)*($B$4:$B$810&lt;$B167)*$B$4:$B$810))=0,0,MAX(($B167-MAX(SUMPRODUCT(MAX(($D$4:$D$810=$D167)*($B$4:$B$810&lt;$B167)*$B$4:$B$810)),'Guide &amp; Settings'!$C$50))/7-'Guide &amp; Settings'!$C$48,0)*'Guide &amp; Settings'!$C$49))</f>
        <v>0</v>
      </c>
    </row>
    <row r="168" spans="1:29" ht="15" customHeight="1" x14ac:dyDescent="0.2">
      <c r="A168" s="111">
        <v>74</v>
      </c>
      <c r="B168" s="112">
        <v>46188</v>
      </c>
      <c r="C168" s="113" t="s">
        <v>206</v>
      </c>
      <c r="D168" s="113" t="s">
        <v>137</v>
      </c>
      <c r="E168" s="111" t="s">
        <v>308</v>
      </c>
      <c r="F168" s="114">
        <f t="shared" si="34"/>
        <v>4</v>
      </c>
      <c r="G168" s="115" t="str">
        <f t="shared" si="35"/>
        <v>Shawn</v>
      </c>
      <c r="H168" s="116">
        <f>IF($D168="",0,IFERROR(LOOKUP(2,1/(($D$3:D167=$D168)*($A$3:A167&lt;$A168)),$N$3:N167),'Guide &amp; Settings'!$C$41))</f>
        <v>1135.6654540973088</v>
      </c>
      <c r="I168" s="117">
        <f t="shared" si="36"/>
        <v>0.17266187050359716</v>
      </c>
      <c r="J168" s="118">
        <f>IF($D168="",0,IF($F168&lt;2,0,IF($E168="Win",('Guide &amp; Settings'!$C$42/(($F168-1)*COUNTIFS($A$4:$A$810,$A168,$E$4:$E$810,"Win")))*SUMIFS($X$4:$X$810,$A$4:$A$810,$A168,$E$4:$E$810,"Loss"),-('Guide &amp; Settings'!$C$42/($F168-1))*$X168)))</f>
        <v>4.9748627606210771</v>
      </c>
      <c r="K168" s="118">
        <f>IF($D168="",0,'Guide &amp; Settings'!$C$43*(IF($E168="Win",1,0)-$I168))</f>
        <v>9.9280575539568332</v>
      </c>
      <c r="L168" s="119">
        <f>IF($D168="",0,'Guide &amp; Settings'!$C$44*IF($F168&gt;=3,$F168,0))</f>
        <v>4</v>
      </c>
      <c r="M168" s="118">
        <f t="shared" si="37"/>
        <v>18.902920314577912</v>
      </c>
      <c r="N168" s="116">
        <f t="shared" si="38"/>
        <v>1154.5683744118867</v>
      </c>
      <c r="O168" s="115" t="str">
        <f t="shared" si="39"/>
        <v>OK</v>
      </c>
      <c r="P168">
        <f t="shared" si="40"/>
        <v>1068.5883728485585</v>
      </c>
      <c r="Q168">
        <f t="shared" si="41"/>
        <v>0.59534993891932586</v>
      </c>
      <c r="R168">
        <f t="shared" si="42"/>
        <v>0.4</v>
      </c>
      <c r="S168">
        <f t="shared" si="43"/>
        <v>2.3166666666666664</v>
      </c>
      <c r="T168" s="83">
        <f t="shared" si="44"/>
        <v>3</v>
      </c>
      <c r="U168" s="120">
        <f>IF($D168="",0,IFERROR(LOOKUP(2,1/(($D$3:D167=$D168)*($C$3:C167=$C168)*($A$3:A167&lt;$A168)),$AB$3:AB167),1000))</f>
        <v>984.51169332979669</v>
      </c>
      <c r="V168" s="120">
        <f t="shared" si="45"/>
        <v>1078.9827938094918</v>
      </c>
      <c r="W168">
        <f t="shared" si="46"/>
        <v>1039.8092646919606</v>
      </c>
      <c r="X168">
        <f t="shared" si="47"/>
        <v>0.55613755539667342</v>
      </c>
      <c r="Y168">
        <f t="shared" si="48"/>
        <v>992.02649193625143</v>
      </c>
      <c r="Z168">
        <f t="shared" si="49"/>
        <v>0.48918702162159966</v>
      </c>
      <c r="AA168">
        <f>IF($D168="",0,IF($F168&lt;2,0,IF($E168="Win",('Guide &amp; Settings'!$C$42/(($F168-1)*COUNTIFS($A$4:$A$810,$A168,$E$4:$E$810,"Win")))*SUMIFS($Z$4:$Z$810,$A$4:$A$810,$A168,$E$4:$E$810,"Loss"),-('Guide &amp; Settings'!$C$42/($F168-1))*$Z168)))</f>
        <v>5.6629713760314075</v>
      </c>
      <c r="AB168" s="120">
        <f t="shared" si="50"/>
        <v>990.17466470582804</v>
      </c>
      <c r="AC168" s="120">
        <f>IF($D168="","",IF(SUMPRODUCT(MAX(($D$4:$D$810=$D168)*($B$4:$B$810&lt;$B168)*$B$4:$B$810))=0,0,MAX(($B168-MAX(SUMPRODUCT(MAX(($D$4:$D$810=$D168)*($B$4:$B$810&lt;$B168)*$B$4:$B$810)),'Guide &amp; Settings'!$C$50))/7-'Guide &amp; Settings'!$C$48,0)*'Guide &amp; Settings'!$C$49))</f>
        <v>0</v>
      </c>
    </row>
    <row r="169" spans="1:29" ht="15" customHeight="1" x14ac:dyDescent="0.2">
      <c r="A169" s="111">
        <v>74</v>
      </c>
      <c r="B169" s="112">
        <v>46188</v>
      </c>
      <c r="C169" s="113" t="s">
        <v>206</v>
      </c>
      <c r="D169" s="113" t="s">
        <v>134</v>
      </c>
      <c r="E169" s="111" t="s">
        <v>308</v>
      </c>
      <c r="F169" s="114">
        <f t="shared" si="34"/>
        <v>4</v>
      </c>
      <c r="G169" s="115" t="str">
        <f t="shared" si="35"/>
        <v>Shawn</v>
      </c>
      <c r="H169" s="116">
        <f>IF($D169="",0,IFERROR(LOOKUP(2,1/(($D$3:D168=$D169)*($A$3:A168&lt;$A169)),$N$3:N168),'Guide &amp; Settings'!$C$41))</f>
        <v>1001.511291599808</v>
      </c>
      <c r="I169" s="117">
        <f t="shared" si="36"/>
        <v>0.21582733812949642</v>
      </c>
      <c r="J169" s="118">
        <f>IF($D169="",0,IF($F169&lt;2,0,IF($E169="Win",('Guide &amp; Settings'!$C$42/(($F169-1)*COUNTIFS($A$4:$A$810,$A169,$E$4:$E$810,"Win")))*SUMIFS($X$4:$X$810,$A$4:$A$810,$A169,$E$4:$E$810,"Loss"),-('Guide &amp; Settings'!$C$42/($F169-1))*$X169)))</f>
        <v>4.9748627606210771</v>
      </c>
      <c r="K169" s="118">
        <f>IF($D169="",0,'Guide &amp; Settings'!$C$43*(IF($E169="Win",1,0)-$I169))</f>
        <v>9.4100719424460433</v>
      </c>
      <c r="L169" s="119">
        <f>IF($D169="",0,'Guide &amp; Settings'!$C$44*IF($F169&gt;=3,$F169,0))</f>
        <v>4</v>
      </c>
      <c r="M169" s="118">
        <f t="shared" si="37"/>
        <v>18.38493470306712</v>
      </c>
      <c r="N169" s="116">
        <f t="shared" si="38"/>
        <v>1019.8962263028751</v>
      </c>
      <c r="O169" s="115" t="str">
        <f t="shared" si="39"/>
        <v>OK</v>
      </c>
      <c r="P169">
        <f t="shared" si="40"/>
        <v>1068.5883728485585</v>
      </c>
      <c r="Q169">
        <f t="shared" si="41"/>
        <v>0.40465006108067397</v>
      </c>
      <c r="R169">
        <f t="shared" si="42"/>
        <v>0.5</v>
      </c>
      <c r="S169">
        <f t="shared" si="43"/>
        <v>2.3166666666666664</v>
      </c>
      <c r="T169" s="83">
        <f t="shared" si="44"/>
        <v>4</v>
      </c>
      <c r="U169" s="120">
        <f>IF($D169="",0,IFERROR(LOOKUP(2,1/(($D$3:D168=$D169)*($C$3:C168=$C169)*($A$3:A168&lt;$A169)),$AB$3:AB168),1000))</f>
        <v>999.54129054270618</v>
      </c>
      <c r="V169" s="120">
        <f t="shared" si="45"/>
        <v>1000.6357355744294</v>
      </c>
      <c r="W169">
        <f t="shared" si="46"/>
        <v>1039.8092646919606</v>
      </c>
      <c r="X169">
        <f t="shared" si="47"/>
        <v>0.44386244460332658</v>
      </c>
      <c r="Y169">
        <f t="shared" si="48"/>
        <v>992.02649193625143</v>
      </c>
      <c r="Z169">
        <f t="shared" si="49"/>
        <v>0.51081297837840034</v>
      </c>
      <c r="AA169">
        <f>IF($D169="",0,IF($F169&lt;2,0,IF($E169="Win",('Guide &amp; Settings'!$C$42/(($F169-1)*COUNTIFS($A$4:$A$810,$A169,$E$4:$E$810,"Win")))*SUMIFS($Z$4:$Z$810,$A$4:$A$810,$A169,$E$4:$E$810,"Loss"),-('Guide &amp; Settings'!$C$42/($F169-1))*$Z169)))</f>
        <v>5.6629713760314075</v>
      </c>
      <c r="AB169" s="120">
        <f t="shared" si="50"/>
        <v>1005.2042619187375</v>
      </c>
      <c r="AC169" s="120">
        <f>IF($D169="","",IF(SUMPRODUCT(MAX(($D$4:$D$810=$D169)*($B$4:$B$810&lt;$B169)*$B$4:$B$810))=0,0,MAX(($B169-MAX(SUMPRODUCT(MAX(($D$4:$D$810=$D169)*($B$4:$B$810&lt;$B169)*$B$4:$B$810)),'Guide &amp; Settings'!$C$50))/7-'Guide &amp; Settings'!$C$48,0)*'Guide &amp; Settings'!$C$49))</f>
        <v>0</v>
      </c>
    </row>
    <row r="170" spans="1:29" ht="15" customHeight="1" x14ac:dyDescent="0.2">
      <c r="A170" s="111">
        <v>74</v>
      </c>
      <c r="B170" s="112">
        <v>46188</v>
      </c>
      <c r="C170" s="113" t="s">
        <v>206</v>
      </c>
      <c r="D170" s="113" t="s">
        <v>172</v>
      </c>
      <c r="E170" s="111" t="s">
        <v>309</v>
      </c>
      <c r="F170" s="114">
        <f t="shared" si="34"/>
        <v>4</v>
      </c>
      <c r="G170" s="115" t="str">
        <f t="shared" si="35"/>
        <v>Shawn</v>
      </c>
      <c r="H170" s="116">
        <f>IF($D170="",0,IFERROR(LOOKUP(2,1/(($D$3:D169=$D170)*($A$3:A169&lt;$A170)),$N$3:N169),'Guide &amp; Settings'!$C$41))</f>
        <v>1019.523262469707</v>
      </c>
      <c r="I170" s="117">
        <f t="shared" si="36"/>
        <v>0.28776978417266186</v>
      </c>
      <c r="J170" s="118">
        <f>IF($D170="",0,IF($F170&lt;2,0,IF($E170="Win",('Guide &amp; Settings'!$C$42/(($F170-1)*COUNTIFS($A$4:$A$810,$A170,$E$4:$E$810,"Win")))*SUMIFS($X$4:$X$810,$A$4:$A$810,$A170,$E$4:$E$810,"Loss"),-('Guide &amp; Settings'!$C$42/($F170-1))*$X170)))</f>
        <v>-4.9866442494191787</v>
      </c>
      <c r="K170" s="118">
        <f>IF($D170="",0,'Guide &amp; Settings'!$C$43*(IF($E170="Win",1,0)-$I170))</f>
        <v>-3.4532374100719423</v>
      </c>
      <c r="L170" s="119">
        <f>IF($D170="",0,'Guide &amp; Settings'!$C$44*IF($F170&gt;=3,$F170,0))</f>
        <v>4</v>
      </c>
      <c r="M170" s="118">
        <f t="shared" si="37"/>
        <v>-4.439881659491121</v>
      </c>
      <c r="N170" s="116">
        <f t="shared" si="38"/>
        <v>1015.0833808102159</v>
      </c>
      <c r="O170" s="115" t="str">
        <f t="shared" si="39"/>
        <v>OK</v>
      </c>
      <c r="P170">
        <f t="shared" si="40"/>
        <v>1068.5883728485585</v>
      </c>
      <c r="Q170">
        <f t="shared" si="41"/>
        <v>0.42985531678127642</v>
      </c>
      <c r="R170">
        <f t="shared" si="42"/>
        <v>0.66666666666666663</v>
      </c>
      <c r="S170">
        <f t="shared" si="43"/>
        <v>2.3166666666666664</v>
      </c>
      <c r="T170" s="83">
        <f t="shared" si="44"/>
        <v>1</v>
      </c>
      <c r="U170" s="120">
        <f>IF($D170="",0,IFERROR(LOOKUP(2,1/(($D$3:D169=$D170)*($C$3:C169=$C170)*($A$3:A169&lt;$A170)),$AB$3:AB169),1000))</f>
        <v>1005.5392839402241</v>
      </c>
      <c r="V170" s="120">
        <f t="shared" si="45"/>
        <v>1017.1925993814598</v>
      </c>
      <c r="W170">
        <f t="shared" si="46"/>
        <v>1039.8092646919606</v>
      </c>
      <c r="X170">
        <f t="shared" si="47"/>
        <v>0.46749789838304801</v>
      </c>
      <c r="Y170">
        <f t="shared" si="48"/>
        <v>992.02649193625143</v>
      </c>
      <c r="Z170">
        <f t="shared" si="49"/>
        <v>0.51943667151935735</v>
      </c>
      <c r="AA170">
        <f>IF($D170="",0,IF($F170&lt;2,0,IF($E170="Win",('Guide &amp; Settings'!$C$42/(($F170-1)*COUNTIFS($A$4:$A$810,$A170,$E$4:$E$810,"Win")))*SUMIFS($Z$4:$Z$810,$A$4:$A$810,$A170,$E$4:$E$810,"Loss"),-('Guide &amp; Settings'!$C$42/($F170-1))*$Z170)))</f>
        <v>-5.5406578295398115</v>
      </c>
      <c r="AB170" s="120">
        <f t="shared" si="50"/>
        <v>999.99862611068431</v>
      </c>
      <c r="AC170" s="120">
        <f>IF($D170="","",IF(SUMPRODUCT(MAX(($D$4:$D$810=$D170)*($B$4:$B$810&lt;$B170)*$B$4:$B$810))=0,0,MAX(($B170-MAX(SUMPRODUCT(MAX(($D$4:$D$810=$D170)*($B$4:$B$810&lt;$B170)*$B$4:$B$810)),'Guide &amp; Settings'!$C$50))/7-'Guide &amp; Settings'!$C$48,0)*'Guide &amp; Settings'!$C$49))</f>
        <v>0</v>
      </c>
    </row>
    <row r="171" spans="1:29" ht="15" customHeight="1" x14ac:dyDescent="0.2">
      <c r="A171" s="111">
        <v>74</v>
      </c>
      <c r="B171" s="112">
        <v>46188</v>
      </c>
      <c r="C171" s="113" t="s">
        <v>206</v>
      </c>
      <c r="D171" s="113" t="s">
        <v>135</v>
      </c>
      <c r="E171" s="111" t="s">
        <v>309</v>
      </c>
      <c r="F171" s="114">
        <f t="shared" si="34"/>
        <v>4</v>
      </c>
      <c r="G171" s="115" t="str">
        <f t="shared" si="35"/>
        <v>Shawn</v>
      </c>
      <c r="H171" s="116">
        <f>IF($D171="",0,IFERROR(LOOKUP(2,1/(($D$3:D170=$D171)*($A$3:A170&lt;$A171)),$N$3:N170),'Guide &amp; Settings'!$C$41))</f>
        <v>1013.2951826648067</v>
      </c>
      <c r="I171" s="117">
        <f t="shared" si="36"/>
        <v>0.32374100719424465</v>
      </c>
      <c r="J171" s="118">
        <f>IF($D171="",0,IF($F171&lt;2,0,IF($E171="Win",('Guide &amp; Settings'!$C$42/(($F171-1)*COUNTIFS($A$4:$A$810,$A171,$E$4:$E$810,"Win")))*SUMIFS($X$4:$X$810,$A$4:$A$810,$A171,$E$4:$E$810,"Loss"),-('Guide &amp; Settings'!$C$42/($F171-1))*$X171)))</f>
        <v>-4.9630812718229773</v>
      </c>
      <c r="K171" s="118">
        <f>IF($D171="",0,'Guide &amp; Settings'!$C$43*(IF($E171="Win",1,0)-$I171))</f>
        <v>-3.884892086330936</v>
      </c>
      <c r="L171" s="119">
        <f>IF($D171="",0,'Guide &amp; Settings'!$C$44*IF($F171&gt;=3,$F171,0))</f>
        <v>4</v>
      </c>
      <c r="M171" s="118">
        <f t="shared" si="37"/>
        <v>-4.8479733581539133</v>
      </c>
      <c r="N171" s="116">
        <f t="shared" si="38"/>
        <v>1008.4472093066528</v>
      </c>
      <c r="O171" s="115" t="str">
        <f t="shared" si="39"/>
        <v>OK</v>
      </c>
      <c r="P171">
        <f t="shared" si="40"/>
        <v>1068.5883728485585</v>
      </c>
      <c r="Q171">
        <f t="shared" si="41"/>
        <v>0.42109176708033647</v>
      </c>
      <c r="R171">
        <f t="shared" si="42"/>
        <v>0.75</v>
      </c>
      <c r="S171">
        <f t="shared" si="43"/>
        <v>2.3166666666666664</v>
      </c>
      <c r="T171" s="83">
        <f t="shared" si="44"/>
        <v>2</v>
      </c>
      <c r="U171" s="120">
        <f>IF($D171="",0,IFERROR(LOOKUP(2,1/(($D$3:D170=$D171)*($C$3:C170=$C171)*($A$3:A170&lt;$A171)),$AB$3:AB170),1000))</f>
        <v>1021.5392839402241</v>
      </c>
      <c r="V171" s="120">
        <f t="shared" si="45"/>
        <v>1015.6506401720688</v>
      </c>
      <c r="W171">
        <f t="shared" si="46"/>
        <v>1039.8092646919606</v>
      </c>
      <c r="X171">
        <f t="shared" si="47"/>
        <v>0.46528886923340412</v>
      </c>
      <c r="Y171">
        <f t="shared" si="48"/>
        <v>992.02649193625143</v>
      </c>
      <c r="Z171">
        <f t="shared" si="49"/>
        <v>0.54237046148653156</v>
      </c>
      <c r="AA171">
        <f>IF($D171="",0,IF($F171&lt;2,0,IF($E171="Win",('Guide &amp; Settings'!$C$42/(($F171-1)*COUNTIFS($A$4:$A$810,$A171,$E$4:$E$810,"Win")))*SUMIFS($Z$4:$Z$810,$A$4:$A$810,$A171,$E$4:$E$810,"Loss"),-('Guide &amp; Settings'!$C$42/($F171-1))*$Z171)))</f>
        <v>-5.7852849225230027</v>
      </c>
      <c r="AB171" s="120">
        <f t="shared" si="50"/>
        <v>1015.7539990177011</v>
      </c>
      <c r="AC171" s="120">
        <f>IF($D171="","",IF(SUMPRODUCT(MAX(($D$4:$D$810=$D171)*($B$4:$B$810&lt;$B171)*$B$4:$B$810))=0,0,MAX(($B171-MAX(SUMPRODUCT(MAX(($D$4:$D$810=$D171)*($B$4:$B$810&lt;$B171)*$B$4:$B$810)),'Guide &amp; Settings'!$C$50))/7-'Guide &amp; Settings'!$C$48,0)*'Guide &amp; Settings'!$C$49))</f>
        <v>0</v>
      </c>
    </row>
    <row r="172" spans="1:29" ht="15" customHeight="1" x14ac:dyDescent="0.2">
      <c r="A172" s="111">
        <v>75</v>
      </c>
      <c r="B172" s="112">
        <v>46188</v>
      </c>
      <c r="C172" s="113" t="s">
        <v>206</v>
      </c>
      <c r="D172" s="113" t="s">
        <v>167</v>
      </c>
      <c r="E172" s="111" t="s">
        <v>308</v>
      </c>
      <c r="F172" s="114">
        <f t="shared" si="34"/>
        <v>4</v>
      </c>
      <c r="G172" s="115" t="str">
        <f t="shared" si="35"/>
        <v>Daniel (Ferret)</v>
      </c>
      <c r="H172" s="116">
        <f>IF($D172="",0,IFERROR(LOOKUP(2,1/(($D$3:D171=$D172)*($A$3:A171&lt;$A172)),$N$3:N171),'Guide &amp; Settings'!$C$41))</f>
        <v>1085.5549024997767</v>
      </c>
      <c r="I172" s="117">
        <f t="shared" si="36"/>
        <v>0.31226765799256506</v>
      </c>
      <c r="J172" s="118">
        <f>IF($D172="",0,IF($F172&lt;2,0,IF($E172="Win",('Guide &amp; Settings'!$C$42/(($F172-1)*COUNTIFS($A$4:$A$810,$A172,$E$4:$E$810,"Win")))*SUMIFS($X$4:$X$810,$A$4:$A$810,$A172,$E$4:$E$810,"Loss"),-('Guide &amp; Settings'!$C$42/($F172-1))*$X172)))</f>
        <v>5.7617011540433722</v>
      </c>
      <c r="K172" s="118">
        <f>IF($D172="",0,'Guide &amp; Settings'!$C$43*(IF($E172="Win",1,0)-$I172))</f>
        <v>8.2527881040892197</v>
      </c>
      <c r="L172" s="119">
        <f>IF($D172="",0,'Guide &amp; Settings'!$C$44*IF($F172&gt;=3,$F172,0))</f>
        <v>4</v>
      </c>
      <c r="M172" s="118">
        <f t="shared" si="37"/>
        <v>18.014489258132592</v>
      </c>
      <c r="N172" s="116">
        <f t="shared" si="38"/>
        <v>1103.5693917579094</v>
      </c>
      <c r="O172" s="115" t="str">
        <f t="shared" si="39"/>
        <v>OK</v>
      </c>
      <c r="P172">
        <f t="shared" si="40"/>
        <v>1029.0524591845447</v>
      </c>
      <c r="Q172">
        <f t="shared" si="41"/>
        <v>0.58060420679121871</v>
      </c>
      <c r="R172">
        <f t="shared" si="42"/>
        <v>0.6</v>
      </c>
      <c r="S172">
        <f t="shared" si="43"/>
        <v>1.9214285714285715</v>
      </c>
      <c r="T172" s="83">
        <f t="shared" si="44"/>
        <v>3</v>
      </c>
      <c r="U172" s="120">
        <f>IF($D172="",0,IFERROR(LOOKUP(2,1/(($D$3:D171=$D172)*($C$3:C171=$C172)*($A$3:A171&lt;$A172)),$AB$3:AB171),1000))</f>
        <v>1026.049766139507</v>
      </c>
      <c r="V172" s="120">
        <f t="shared" si="45"/>
        <v>1063.2404763646755</v>
      </c>
      <c r="W172">
        <f t="shared" si="46"/>
        <v>1018.7857868502912</v>
      </c>
      <c r="X172">
        <f t="shared" si="47"/>
        <v>0.56362858896498691</v>
      </c>
      <c r="Y172">
        <f t="shared" si="48"/>
        <v>1002.4167835709495</v>
      </c>
      <c r="Z172">
        <f t="shared" si="49"/>
        <v>0.53395823840807799</v>
      </c>
      <c r="AA172">
        <f>IF($D172="",0,IF($F172&lt;2,0,IF($E172="Win",('Guide &amp; Settings'!$C$42/(($F172-1)*COUNTIFS($A$4:$A$810,$A172,$E$4:$E$810,"Win")))*SUMIFS($Z$4:$Z$810,$A$4:$A$810,$A172,$E$4:$E$810,"Loss"),-('Guide &amp; Settings'!$C$42/($F172-1))*$Z172)))</f>
        <v>5.260804693375384</v>
      </c>
      <c r="AB172" s="120">
        <f t="shared" si="50"/>
        <v>1031.3105708328824</v>
      </c>
      <c r="AC172" s="120">
        <f>IF($D172="","",IF(SUMPRODUCT(MAX(($D$4:$D$810=$D172)*($B$4:$B$810&lt;$B172)*$B$4:$B$810))=0,0,MAX(($B172-MAX(SUMPRODUCT(MAX(($D$4:$D$810=$D172)*($B$4:$B$810&lt;$B172)*$B$4:$B$810)),'Guide &amp; Settings'!$C$50))/7-'Guide &amp; Settings'!$C$48,0)*'Guide &amp; Settings'!$C$49))</f>
        <v>0</v>
      </c>
    </row>
    <row r="173" spans="1:29" ht="15" customHeight="1" x14ac:dyDescent="0.2">
      <c r="A173" s="111">
        <v>75</v>
      </c>
      <c r="B173" s="112">
        <v>46188</v>
      </c>
      <c r="C173" s="113" t="s">
        <v>206</v>
      </c>
      <c r="D173" s="113" t="s">
        <v>170</v>
      </c>
      <c r="E173" s="111" t="s">
        <v>308</v>
      </c>
      <c r="F173" s="114">
        <f t="shared" si="34"/>
        <v>4</v>
      </c>
      <c r="G173" s="115" t="str">
        <f t="shared" si="35"/>
        <v>Daniel (Ferret)</v>
      </c>
      <c r="H173" s="116">
        <f>IF($D173="",0,IFERROR(LOOKUP(2,1/(($D$3:D172=$D173)*($A$3:A172&lt;$A173)),$N$3:N172),'Guide &amp; Settings'!$C$41))</f>
        <v>972.5500158693128</v>
      </c>
      <c r="I173" s="117">
        <f t="shared" si="36"/>
        <v>0.13011152416356878</v>
      </c>
      <c r="J173" s="118">
        <f>IF($D173="",0,IF($F173&lt;2,0,IF($E173="Win",('Guide &amp; Settings'!$C$42/(($F173-1)*COUNTIFS($A$4:$A$810,$A173,$E$4:$E$810,"Win")))*SUMIFS($X$4:$X$810,$A$4:$A$810,$A173,$E$4:$E$810,"Loss"),-('Guide &amp; Settings'!$C$42/($F173-1))*$X173)))</f>
        <v>5.7617011540433722</v>
      </c>
      <c r="K173" s="118">
        <f>IF($D173="",0,'Guide &amp; Settings'!$C$43*(IF($E173="Win",1,0)-$I173))</f>
        <v>10.438661710037175</v>
      </c>
      <c r="L173" s="119">
        <f>IF($D173="",0,'Guide &amp; Settings'!$C$44*IF($F173&gt;=3,$F173,0))</f>
        <v>4</v>
      </c>
      <c r="M173" s="118">
        <f t="shared" si="37"/>
        <v>20.200362864080546</v>
      </c>
      <c r="N173" s="116">
        <f t="shared" si="38"/>
        <v>992.75037873339329</v>
      </c>
      <c r="O173" s="115" t="str">
        <f t="shared" si="39"/>
        <v>OK</v>
      </c>
      <c r="P173">
        <f t="shared" si="40"/>
        <v>1029.0524591845447</v>
      </c>
      <c r="Q173">
        <f t="shared" si="41"/>
        <v>0.41939579320878162</v>
      </c>
      <c r="R173">
        <f t="shared" si="42"/>
        <v>0.25</v>
      </c>
      <c r="S173">
        <f t="shared" si="43"/>
        <v>1.9214285714285715</v>
      </c>
      <c r="T173" s="83">
        <f t="shared" si="44"/>
        <v>2</v>
      </c>
      <c r="U173" s="120">
        <f>IF($D173="",0,IFERROR(LOOKUP(2,1/(($D$3:D172=$D173)*($C$3:C172=$C173)*($A$3:A172&lt;$A173)),$AB$3:AB172),1000))</f>
        <v>978.78380100239212</v>
      </c>
      <c r="V173" s="120">
        <f t="shared" si="45"/>
        <v>974.33109733590686</v>
      </c>
      <c r="W173">
        <f t="shared" si="46"/>
        <v>1018.7857868502912</v>
      </c>
      <c r="X173">
        <f t="shared" si="47"/>
        <v>0.43637141103501309</v>
      </c>
      <c r="Y173">
        <f t="shared" si="48"/>
        <v>1002.4167835709495</v>
      </c>
      <c r="Z173">
        <f t="shared" si="49"/>
        <v>0.46604176159192229</v>
      </c>
      <c r="AA173">
        <f>IF($D173="",0,IF($F173&lt;2,0,IF($E173="Win",('Guide &amp; Settings'!$C$42/(($F173-1)*COUNTIFS($A$4:$A$810,$A173,$E$4:$E$810,"Win")))*SUMIFS($Z$4:$Z$810,$A$4:$A$810,$A173,$E$4:$E$810,"Loss"),-('Guide &amp; Settings'!$C$42/($F173-1))*$Z173)))</f>
        <v>5.260804693375384</v>
      </c>
      <c r="AB173" s="120">
        <f t="shared" si="50"/>
        <v>984.04460569576747</v>
      </c>
      <c r="AC173" s="120">
        <f>IF($D173="","",IF(SUMPRODUCT(MAX(($D$4:$D$810=$D173)*($B$4:$B$810&lt;$B173)*$B$4:$B$810))=0,0,MAX(($B173-MAX(SUMPRODUCT(MAX(($D$4:$D$810=$D173)*($B$4:$B$810&lt;$B173)*$B$4:$B$810)),'Guide &amp; Settings'!$C$50))/7-'Guide &amp; Settings'!$C$48,0)*'Guide &amp; Settings'!$C$49))</f>
        <v>0</v>
      </c>
    </row>
    <row r="174" spans="1:29" ht="15" customHeight="1" x14ac:dyDescent="0.2">
      <c r="A174" s="111">
        <v>75</v>
      </c>
      <c r="B174" s="112">
        <v>46188</v>
      </c>
      <c r="C174" s="113" t="s">
        <v>206</v>
      </c>
      <c r="D174" s="113" t="s">
        <v>137</v>
      </c>
      <c r="E174" s="111" t="s">
        <v>309</v>
      </c>
      <c r="F174" s="114">
        <f t="shared" si="34"/>
        <v>4</v>
      </c>
      <c r="G174" s="115" t="str">
        <f t="shared" si="35"/>
        <v>Daniel (Ferret)</v>
      </c>
      <c r="H174" s="116">
        <f>IF($D174="",0,IFERROR(LOOKUP(2,1/(($D$3:D173=$D174)*($A$3:A173&lt;$A174)),$N$3:N173),'Guide &amp; Settings'!$C$41))</f>
        <v>1154.5683744118867</v>
      </c>
      <c r="I174" s="117">
        <f t="shared" si="36"/>
        <v>0.26022304832713755</v>
      </c>
      <c r="J174" s="118">
        <f>IF($D174="",0,IF($F174&lt;2,0,IF($E174="Win",('Guide &amp; Settings'!$C$42/(($F174-1)*COUNTIFS($A$4:$A$810,$A174,$E$4:$E$810,"Win")))*SUMIFS($X$4:$X$810,$A$4:$A$810,$A174,$E$4:$E$810,"Loss"),-('Guide &amp; Settings'!$C$42/($F174-1))*$X174)))</f>
        <v>-6.2857778172081229</v>
      </c>
      <c r="K174" s="118">
        <f>IF($D174="",0,'Guide &amp; Settings'!$C$43*(IF($E174="Win",1,0)-$I174))</f>
        <v>-3.1226765799256508</v>
      </c>
      <c r="L174" s="119">
        <f>IF($D174="",0,'Guide &amp; Settings'!$C$44*IF($F174&gt;=3,$F174,0))</f>
        <v>4</v>
      </c>
      <c r="M174" s="118">
        <f t="shared" si="37"/>
        <v>-5.4084543971337737</v>
      </c>
      <c r="N174" s="116">
        <f t="shared" si="38"/>
        <v>1149.159920014753</v>
      </c>
      <c r="O174" s="115" t="str">
        <f t="shared" si="39"/>
        <v>OK</v>
      </c>
      <c r="P174">
        <f t="shared" si="40"/>
        <v>1029.0524591845447</v>
      </c>
      <c r="Q174">
        <f t="shared" si="41"/>
        <v>0.67316338823397626</v>
      </c>
      <c r="R174">
        <f t="shared" si="42"/>
        <v>0.5</v>
      </c>
      <c r="S174">
        <f t="shared" si="43"/>
        <v>1.9214285714285715</v>
      </c>
      <c r="T174" s="83">
        <f t="shared" si="44"/>
        <v>4</v>
      </c>
      <c r="U174" s="120">
        <f>IF($D174="",0,IFERROR(LOOKUP(2,1/(($D$3:D173=$D174)*($C$3:C173=$C174)*($A$3:A173&lt;$A174)),$AB$3:AB173),1000))</f>
        <v>990.17466470582804</v>
      </c>
      <c r="V174" s="120">
        <f t="shared" si="45"/>
        <v>1081.5045034314162</v>
      </c>
      <c r="W174">
        <f t="shared" si="46"/>
        <v>1018.7857868502912</v>
      </c>
      <c r="X174">
        <f t="shared" si="47"/>
        <v>0.58929167036326158</v>
      </c>
      <c r="Y174">
        <f t="shared" si="48"/>
        <v>1002.4167835709495</v>
      </c>
      <c r="Z174">
        <f t="shared" si="49"/>
        <v>0.48238946227070195</v>
      </c>
      <c r="AA174">
        <f>IF($D174="",0,IF($F174&lt;2,0,IF($E174="Win",('Guide &amp; Settings'!$C$42/(($F174-1)*COUNTIFS($A$4:$A$810,$A174,$E$4:$E$810,"Win")))*SUMIFS($Z$4:$Z$810,$A$4:$A$810,$A174,$E$4:$E$810,"Loss"),-('Guide &amp; Settings'!$C$42/($F174-1))*$Z174)))</f>
        <v>-5.1454875975541539</v>
      </c>
      <c r="AB174" s="120">
        <f t="shared" si="50"/>
        <v>985.02917710827387</v>
      </c>
      <c r="AC174" s="120">
        <f>IF($D174="","",IF(SUMPRODUCT(MAX(($D$4:$D$810=$D174)*($B$4:$B$810&lt;$B174)*$B$4:$B$810))=0,0,MAX(($B174-MAX(SUMPRODUCT(MAX(($D$4:$D$810=$D174)*($B$4:$B$810&lt;$B174)*$B$4:$B$810)),'Guide &amp; Settings'!$C$50))/7-'Guide &amp; Settings'!$C$48,0)*'Guide &amp; Settings'!$C$49))</f>
        <v>0</v>
      </c>
    </row>
    <row r="175" spans="1:29" ht="15" customHeight="1" x14ac:dyDescent="0.2">
      <c r="A175" s="111">
        <v>75</v>
      </c>
      <c r="B175" s="112">
        <v>46188</v>
      </c>
      <c r="C175" s="113" t="s">
        <v>206</v>
      </c>
      <c r="D175" s="113" t="s">
        <v>134</v>
      </c>
      <c r="E175" s="111" t="s">
        <v>309</v>
      </c>
      <c r="F175" s="114">
        <f t="shared" si="34"/>
        <v>4</v>
      </c>
      <c r="G175" s="115" t="str">
        <f t="shared" si="35"/>
        <v>Daniel (Ferret)</v>
      </c>
      <c r="H175" s="116">
        <f>IF($D175="",0,IFERROR(LOOKUP(2,1/(($D$3:D174=$D175)*($A$3:A174&lt;$A175)),$N$3:N174),'Guide &amp; Settings'!$C$41))</f>
        <v>1019.8962263028751</v>
      </c>
      <c r="I175" s="117">
        <f t="shared" si="36"/>
        <v>0.29739776951672858</v>
      </c>
      <c r="J175" s="118">
        <f>IF($D175="",0,IF($F175&lt;2,0,IF($E175="Win",('Guide &amp; Settings'!$C$42/(($F175-1)*COUNTIFS($A$4:$A$810,$A175,$E$4:$E$810,"Win")))*SUMIFS($X$4:$X$810,$A$4:$A$810,$A175,$E$4:$E$810,"Loss"),-('Guide &amp; Settings'!$C$42/($F175-1))*$X175)))</f>
        <v>-5.2376244908786216</v>
      </c>
      <c r="K175" s="118">
        <f>IF($D175="",0,'Guide &amp; Settings'!$C$43*(IF($E175="Win",1,0)-$I175))</f>
        <v>-3.568773234200743</v>
      </c>
      <c r="L175" s="119">
        <f>IF($D175="",0,'Guide &amp; Settings'!$C$44*IF($F175&gt;=3,$F175,0))</f>
        <v>4</v>
      </c>
      <c r="M175" s="118">
        <f t="shared" si="37"/>
        <v>-4.8063977250793641</v>
      </c>
      <c r="N175" s="116">
        <f t="shared" si="38"/>
        <v>1015.0898285777957</v>
      </c>
      <c r="O175" s="115" t="str">
        <f t="shared" si="39"/>
        <v>OK</v>
      </c>
      <c r="P175">
        <f t="shared" si="40"/>
        <v>1029.0524591845447</v>
      </c>
      <c r="Q175">
        <f t="shared" si="41"/>
        <v>0.48682617135179013</v>
      </c>
      <c r="R175">
        <f t="shared" si="42"/>
        <v>0.5714285714285714</v>
      </c>
      <c r="S175">
        <f t="shared" si="43"/>
        <v>1.9214285714285715</v>
      </c>
      <c r="T175" s="83">
        <f t="shared" si="44"/>
        <v>5</v>
      </c>
      <c r="U175" s="120">
        <f>IF($D175="",0,IFERROR(LOOKUP(2,1/(($D$3:D174=$D175)*($C$3:C174=$C175)*($A$3:A174&lt;$A175)),$AB$3:AB174),1000))</f>
        <v>1005.2042619187375</v>
      </c>
      <c r="V175" s="120">
        <f t="shared" si="45"/>
        <v>1012.5502441108063</v>
      </c>
      <c r="W175">
        <f t="shared" si="46"/>
        <v>1018.7857868502912</v>
      </c>
      <c r="X175">
        <f t="shared" si="47"/>
        <v>0.49102729601987077</v>
      </c>
      <c r="Y175">
        <f t="shared" si="48"/>
        <v>1002.4167835709495</v>
      </c>
      <c r="Z175">
        <f t="shared" si="49"/>
        <v>0.5040114177371825</v>
      </c>
      <c r="AA175">
        <f>IF($D175="",0,IF($F175&lt;2,0,IF($E175="Win",('Guide &amp; Settings'!$C$42/(($F175-1)*COUNTIFS($A$4:$A$810,$A175,$E$4:$E$810,"Win")))*SUMIFS($Z$4:$Z$810,$A$4:$A$810,$A175,$E$4:$E$810,"Loss"),-('Guide &amp; Settings'!$C$42/($F175-1))*$Z175)))</f>
        <v>-5.3761217891966133</v>
      </c>
      <c r="AB175" s="120">
        <f t="shared" si="50"/>
        <v>999.82814012954088</v>
      </c>
      <c r="AC175" s="120">
        <f>IF($D175="","",IF(SUMPRODUCT(MAX(($D$4:$D$810=$D175)*($B$4:$B$810&lt;$B175)*$B$4:$B$810))=0,0,MAX(($B175-MAX(SUMPRODUCT(MAX(($D$4:$D$810=$D175)*($B$4:$B$810&lt;$B175)*$B$4:$B$810)),'Guide &amp; Settings'!$C$50))/7-'Guide &amp; Settings'!$C$48,0)*'Guide &amp; Settings'!$C$49))</f>
        <v>0</v>
      </c>
    </row>
    <row r="176" spans="1:29" ht="15" customHeight="1" x14ac:dyDescent="0.2">
      <c r="A176" s="111">
        <v>76</v>
      </c>
      <c r="B176" s="112">
        <v>46188</v>
      </c>
      <c r="C176" s="113" t="s">
        <v>206</v>
      </c>
      <c r="D176" s="113" t="s">
        <v>167</v>
      </c>
      <c r="E176" s="111" t="s">
        <v>308</v>
      </c>
      <c r="F176" s="114">
        <f t="shared" si="34"/>
        <v>4</v>
      </c>
      <c r="G176" s="115" t="str">
        <f t="shared" si="35"/>
        <v>Daniel (Ferret)</v>
      </c>
      <c r="H176" s="116">
        <f>IF($D176="",0,IFERROR(LOOKUP(2,1/(($D$3:D175=$D176)*($A$3:A175&lt;$A176)),$N$3:N175),'Guide &amp; Settings'!$C$41))</f>
        <v>1103.5693917579094</v>
      </c>
      <c r="I176" s="117">
        <f t="shared" si="36"/>
        <v>0.37037037037037035</v>
      </c>
      <c r="J176" s="118">
        <f>IF($D176="",0,IF($F176&lt;2,0,IF($E176="Win",('Guide &amp; Settings'!$C$42/(($F176-1)*COUNTIFS($A$4:$A$810,$A176,$E$4:$E$810,"Win")))*SUMIFS($X$4:$X$810,$A$4:$A$810,$A176,$E$4:$E$810,"Loss"),-('Guide &amp; Settings'!$C$42/($F176-1))*$X176)))</f>
        <v>4.5773926750612803</v>
      </c>
      <c r="K176" s="118">
        <f>IF($D176="",0,'Guide &amp; Settings'!$C$43*(IF($E176="Win",1,0)-$I176))</f>
        <v>7.5555555555555554</v>
      </c>
      <c r="L176" s="119">
        <f>IF($D176="",0,'Guide &amp; Settings'!$C$44*IF($F176&gt;=3,$F176,0))</f>
        <v>4</v>
      </c>
      <c r="M176" s="118">
        <f t="shared" si="37"/>
        <v>16.132948230616837</v>
      </c>
      <c r="N176" s="116">
        <f t="shared" si="38"/>
        <v>1119.7023399885263</v>
      </c>
      <c r="O176" s="115" t="str">
        <f t="shared" si="39"/>
        <v>OK</v>
      </c>
      <c r="P176">
        <f t="shared" si="40"/>
        <v>1048.1598852456514</v>
      </c>
      <c r="Q176">
        <f t="shared" si="41"/>
        <v>0.5790714478551412</v>
      </c>
      <c r="R176">
        <f t="shared" si="42"/>
        <v>0.66666666666666663</v>
      </c>
      <c r="S176">
        <f t="shared" si="43"/>
        <v>1.8</v>
      </c>
      <c r="T176" s="83">
        <f t="shared" si="44"/>
        <v>4</v>
      </c>
      <c r="U176" s="120">
        <f>IF($D176="",0,IFERROR(LOOKUP(2,1/(($D$3:D175=$D176)*($C$3:C175=$C176)*($A$3:A175&lt;$A176)),$AB$3:AB175),1000))</f>
        <v>1031.3105708328824</v>
      </c>
      <c r="V176" s="120">
        <f t="shared" si="45"/>
        <v>1071.4543602356753</v>
      </c>
      <c r="W176">
        <f t="shared" si="46"/>
        <v>1030.4700370399794</v>
      </c>
      <c r="X176">
        <f t="shared" si="47"/>
        <v>0.55870911975354287</v>
      </c>
      <c r="Y176">
        <f t="shared" si="48"/>
        <v>1007.6775882643249</v>
      </c>
      <c r="Z176">
        <f t="shared" si="49"/>
        <v>0.53395823840807799</v>
      </c>
      <c r="AA176">
        <f>IF($D176="",0,IF($F176&lt;2,0,IF($E176="Win",('Guide &amp; Settings'!$C$42/(($F176-1)*COUNTIFS($A$4:$A$810,$A176,$E$4:$E$810,"Win")))*SUMIFS($Z$4:$Z$810,$A$4:$A$810,$A176,$E$4:$E$810,"Loss"),-('Guide &amp; Settings'!$C$42/($F176-1))*$Z176)))</f>
        <v>5.1364868771082088</v>
      </c>
      <c r="AB176" s="120">
        <f t="shared" si="50"/>
        <v>1036.4470577099905</v>
      </c>
      <c r="AC176" s="120">
        <f>IF($D176="","",IF(SUMPRODUCT(MAX(($D$4:$D$810=$D176)*($B$4:$B$810&lt;$B176)*$B$4:$B$810))=0,0,MAX(($B176-MAX(SUMPRODUCT(MAX(($D$4:$D$810=$D176)*($B$4:$B$810&lt;$B176)*$B$4:$B$810)),'Guide &amp; Settings'!$C$50))/7-'Guide &amp; Settings'!$C$48,0)*'Guide &amp; Settings'!$C$49))</f>
        <v>0</v>
      </c>
    </row>
    <row r="177" spans="1:29" ht="15" customHeight="1" x14ac:dyDescent="0.2">
      <c r="A177" s="111">
        <v>76</v>
      </c>
      <c r="B177" s="112">
        <v>46188</v>
      </c>
      <c r="C177" s="113" t="s">
        <v>206</v>
      </c>
      <c r="D177" s="113" t="s">
        <v>170</v>
      </c>
      <c r="E177" s="111" t="s">
        <v>308</v>
      </c>
      <c r="F177" s="114">
        <f t="shared" si="34"/>
        <v>4</v>
      </c>
      <c r="G177" s="115" t="str">
        <f t="shared" si="35"/>
        <v>Daniel (Ferret)</v>
      </c>
      <c r="H177" s="116">
        <f>IF($D177="",0,IFERROR(LOOKUP(2,1/(($D$3:D176=$D177)*($A$3:A176&lt;$A177)),$N$3:N176),'Guide &amp; Settings'!$C$41))</f>
        <v>992.75037873339329</v>
      </c>
      <c r="I177" s="117">
        <f t="shared" si="36"/>
        <v>0.22222222222222224</v>
      </c>
      <c r="J177" s="118">
        <f>IF($D177="",0,IF($F177&lt;2,0,IF($E177="Win",('Guide &amp; Settings'!$C$42/(($F177-1)*COUNTIFS($A$4:$A$810,$A177,$E$4:$E$810,"Win")))*SUMIFS($X$4:$X$810,$A$4:$A$810,$A177,$E$4:$E$810,"Loss"),-('Guide &amp; Settings'!$C$42/($F177-1))*$X177)))</f>
        <v>4.5773926750612803</v>
      </c>
      <c r="K177" s="118">
        <f>IF($D177="",0,'Guide &amp; Settings'!$C$43*(IF($E177="Win",1,0)-$I177))</f>
        <v>9.3333333333333339</v>
      </c>
      <c r="L177" s="119">
        <f>IF($D177="",0,'Guide &amp; Settings'!$C$44*IF($F177&gt;=3,$F177,0))</f>
        <v>4</v>
      </c>
      <c r="M177" s="118">
        <f t="shared" si="37"/>
        <v>17.910726008394615</v>
      </c>
      <c r="N177" s="116">
        <f t="shared" si="38"/>
        <v>1010.6611047417879</v>
      </c>
      <c r="O177" s="115" t="str">
        <f t="shared" si="39"/>
        <v>OK</v>
      </c>
      <c r="P177">
        <f t="shared" si="40"/>
        <v>1048.1598852456514</v>
      </c>
      <c r="Q177">
        <f t="shared" si="41"/>
        <v>0.42092855214485886</v>
      </c>
      <c r="R177">
        <f t="shared" si="42"/>
        <v>0.4</v>
      </c>
      <c r="S177">
        <f t="shared" si="43"/>
        <v>1.8</v>
      </c>
      <c r="T177" s="83">
        <f t="shared" si="44"/>
        <v>3</v>
      </c>
      <c r="U177" s="120">
        <f>IF($D177="",0,IFERROR(LOOKUP(2,1/(($D$3:D176=$D177)*($C$3:C176=$C177)*($A$3:A176&lt;$A177)),$AB$3:AB176),1000))</f>
        <v>984.04460569576747</v>
      </c>
      <c r="V177" s="120">
        <f t="shared" si="45"/>
        <v>989.48571384428362</v>
      </c>
      <c r="W177">
        <f t="shared" si="46"/>
        <v>1030.4700370399794</v>
      </c>
      <c r="X177">
        <f t="shared" si="47"/>
        <v>0.4412908802464573</v>
      </c>
      <c r="Y177">
        <f t="shared" si="48"/>
        <v>1007.6775882643249</v>
      </c>
      <c r="Z177">
        <f t="shared" si="49"/>
        <v>0.46604176159192229</v>
      </c>
      <c r="AA177">
        <f>IF($D177="",0,IF($F177&lt;2,0,IF($E177="Win",('Guide &amp; Settings'!$C$42/(($F177-1)*COUNTIFS($A$4:$A$810,$A177,$E$4:$E$810,"Win")))*SUMIFS($Z$4:$Z$810,$A$4:$A$810,$A177,$E$4:$E$810,"Loss"),-('Guide &amp; Settings'!$C$42/($F177-1))*$Z177)))</f>
        <v>5.1364868771082088</v>
      </c>
      <c r="AB177" s="120">
        <f t="shared" si="50"/>
        <v>989.18109257287563</v>
      </c>
      <c r="AC177" s="120">
        <f>IF($D177="","",IF(SUMPRODUCT(MAX(($D$4:$D$810=$D177)*($B$4:$B$810&lt;$B177)*$B$4:$B$810))=0,0,MAX(($B177-MAX(SUMPRODUCT(MAX(($D$4:$D$810=$D177)*($B$4:$B$810&lt;$B177)*$B$4:$B$810)),'Guide &amp; Settings'!$C$50))/7-'Guide &amp; Settings'!$C$48,0)*'Guide &amp; Settings'!$C$49))</f>
        <v>0</v>
      </c>
    </row>
    <row r="178" spans="1:29" ht="15" customHeight="1" x14ac:dyDescent="0.2">
      <c r="A178" s="111">
        <v>76</v>
      </c>
      <c r="B178" s="112">
        <v>46188</v>
      </c>
      <c r="C178" s="113" t="s">
        <v>206</v>
      </c>
      <c r="D178" s="113" t="s">
        <v>140</v>
      </c>
      <c r="E178" s="111" t="s">
        <v>309</v>
      </c>
      <c r="F178" s="114">
        <f t="shared" si="34"/>
        <v>4</v>
      </c>
      <c r="G178" s="115" t="str">
        <f t="shared" si="35"/>
        <v>Daniel (Ferret)</v>
      </c>
      <c r="H178" s="116">
        <f>IF($D178="",0,IFERROR(LOOKUP(2,1/(($D$3:D177=$D178)*($A$3:A177&lt;$A178)),$N$3:N177),'Guide &amp; Settings'!$C$41))</f>
        <v>948.03610321390011</v>
      </c>
      <c r="I178" s="117">
        <f t="shared" si="36"/>
        <v>0.22222222222222224</v>
      </c>
      <c r="J178" s="118">
        <f>IF($D178="",0,IF($F178&lt;2,0,IF($E178="Win",('Guide &amp; Settings'!$C$42/(($F178-1)*COUNTIFS($A$4:$A$810,$A178,$E$4:$E$810,"Win")))*SUMIFS($X$4:$X$810,$A$4:$A$810,$A178,$E$4:$E$810,"Loss"),-('Guide &amp; Settings'!$C$42/($F178-1))*$X178)))</f>
        <v>-4.3488158857218915</v>
      </c>
      <c r="K178" s="118">
        <f>IF($D178="",0,'Guide &amp; Settings'!$C$43*(IF($E178="Win",1,0)-$I178))</f>
        <v>-2.666666666666667</v>
      </c>
      <c r="L178" s="119">
        <f>IF($D178="",0,'Guide &amp; Settings'!$C$44*IF($F178&gt;=3,$F178,0))</f>
        <v>4</v>
      </c>
      <c r="M178" s="118">
        <f t="shared" si="37"/>
        <v>-3.0154825523885584</v>
      </c>
      <c r="N178" s="116">
        <f t="shared" si="38"/>
        <v>945.02062066151154</v>
      </c>
      <c r="O178" s="115" t="str">
        <f t="shared" si="39"/>
        <v>OK</v>
      </c>
      <c r="P178">
        <f t="shared" si="40"/>
        <v>1048.1598852456514</v>
      </c>
      <c r="Q178">
        <f t="shared" si="41"/>
        <v>0.35977085880836951</v>
      </c>
      <c r="R178">
        <f t="shared" si="42"/>
        <v>0.4</v>
      </c>
      <c r="S178">
        <f t="shared" si="43"/>
        <v>1.8</v>
      </c>
      <c r="T178" s="83">
        <f t="shared" si="44"/>
        <v>3</v>
      </c>
      <c r="U178" s="120">
        <f>IF($D178="",0,IFERROR(LOOKUP(2,1/(($D$3:D177=$D178)*($C$3:C177=$C178)*($A$3:A177&lt;$A178)),$AB$3:AB177),1000))</f>
        <v>994.84836113778465</v>
      </c>
      <c r="V178" s="120">
        <f t="shared" si="45"/>
        <v>965.59069993535672</v>
      </c>
      <c r="W178">
        <f t="shared" si="46"/>
        <v>1030.4700370399794</v>
      </c>
      <c r="X178">
        <f t="shared" si="47"/>
        <v>0.40770148928642735</v>
      </c>
      <c r="Y178">
        <f t="shared" si="48"/>
        <v>1007.6775882643249</v>
      </c>
      <c r="Z178">
        <f t="shared" si="49"/>
        <v>0.48154564472889461</v>
      </c>
      <c r="AA178">
        <f>IF($D178="",0,IF($F178&lt;2,0,IF($E178="Win",('Guide &amp; Settings'!$C$42/(($F178-1)*COUNTIFS($A$4:$A$810,$A178,$E$4:$E$810,"Win")))*SUMIFS($Z$4:$Z$810,$A$4:$A$810,$A178,$E$4:$E$810,"Loss"),-('Guide &amp; Settings'!$C$42/($F178-1))*$Z178)))</f>
        <v>-5.1364868771082088</v>
      </c>
      <c r="AB178" s="120">
        <f t="shared" si="50"/>
        <v>989.7118742606765</v>
      </c>
      <c r="AC178" s="120">
        <f>IF($D178="","",IF(SUMPRODUCT(MAX(($D$4:$D$810=$D178)*($B$4:$B$810&lt;$B178)*$B$4:$B$810))=0,0,MAX(($B178-MAX(SUMPRODUCT(MAX(($D$4:$D$810=$D178)*($B$4:$B$810&lt;$B178)*$B$4:$B$810)),'Guide &amp; Settings'!$C$50))/7-'Guide &amp; Settings'!$C$48,0)*'Guide &amp; Settings'!$C$49))</f>
        <v>0</v>
      </c>
    </row>
    <row r="179" spans="1:29" ht="15" customHeight="1" x14ac:dyDescent="0.2">
      <c r="A179" s="111">
        <v>76</v>
      </c>
      <c r="B179" s="112">
        <v>46188</v>
      </c>
      <c r="C179" s="113" t="s">
        <v>206</v>
      </c>
      <c r="D179" s="113" t="s">
        <v>171</v>
      </c>
      <c r="E179" s="111" t="s">
        <v>309</v>
      </c>
      <c r="F179" s="114">
        <f t="shared" si="34"/>
        <v>4</v>
      </c>
      <c r="G179" s="115" t="str">
        <f t="shared" si="35"/>
        <v>Daniel (Ferret)</v>
      </c>
      <c r="H179" s="116">
        <f>IF($D179="",0,IFERROR(LOOKUP(2,1/(($D$3:D178=$D179)*($A$3:A178&lt;$A179)),$N$3:N178),'Guide &amp; Settings'!$C$41))</f>
        <v>996.23359941769172</v>
      </c>
      <c r="I179" s="117">
        <f t="shared" si="36"/>
        <v>0.18518518518518517</v>
      </c>
      <c r="J179" s="118">
        <f>IF($D179="",0,IF($F179&lt;2,0,IF($E179="Win",('Guide &amp; Settings'!$C$42/(($F179-1)*COUNTIFS($A$4:$A$810,$A179,$E$4:$E$810,"Win")))*SUMIFS($X$4:$X$810,$A$4:$A$810,$A179,$E$4:$E$810,"Loss"),-('Guide &amp; Settings'!$C$42/($F179-1))*$X179)))</f>
        <v>-4.8059694644006701</v>
      </c>
      <c r="K179" s="118">
        <f>IF($D179="",0,'Guide &amp; Settings'!$C$43*(IF($E179="Win",1,0)-$I179))</f>
        <v>-2.2222222222222223</v>
      </c>
      <c r="L179" s="119">
        <f>IF($D179="",0,'Guide &amp; Settings'!$C$44*IF($F179&gt;=3,$F179,0))</f>
        <v>4</v>
      </c>
      <c r="M179" s="118">
        <f t="shared" si="37"/>
        <v>-3.0281916866228924</v>
      </c>
      <c r="N179" s="116">
        <f t="shared" si="38"/>
        <v>993.20540773106882</v>
      </c>
      <c r="O179" s="115" t="str">
        <f t="shared" si="39"/>
        <v>OK</v>
      </c>
      <c r="P179">
        <f t="shared" si="40"/>
        <v>1048.1598852456514</v>
      </c>
      <c r="Q179">
        <f t="shared" si="41"/>
        <v>0.42582354155763658</v>
      </c>
      <c r="R179">
        <f t="shared" si="42"/>
        <v>0.33333333333333331</v>
      </c>
      <c r="S179">
        <f t="shared" si="43"/>
        <v>1.8</v>
      </c>
      <c r="T179" s="83">
        <f t="shared" si="44"/>
        <v>1</v>
      </c>
      <c r="U179" s="120">
        <f>IF($D179="",0,IFERROR(LOOKUP(2,1/(($D$3:D178=$D179)*($C$3:C178=$C179)*($A$3:A178&lt;$A179)),$AB$3:AB178),1000))</f>
        <v>994.84836113778465</v>
      </c>
      <c r="V179" s="120">
        <f t="shared" si="45"/>
        <v>996.00272637104058</v>
      </c>
      <c r="W179">
        <f t="shared" si="46"/>
        <v>1030.4700370399794</v>
      </c>
      <c r="X179">
        <f t="shared" si="47"/>
        <v>0.45055963728756282</v>
      </c>
      <c r="Y179">
        <f t="shared" si="48"/>
        <v>1007.6775882643249</v>
      </c>
      <c r="Z179">
        <f t="shared" si="49"/>
        <v>0.48154564472889461</v>
      </c>
      <c r="AA179">
        <f>IF($D179="",0,IF($F179&lt;2,0,IF($E179="Win",('Guide &amp; Settings'!$C$42/(($F179-1)*COUNTIFS($A$4:$A$810,$A179,$E$4:$E$810,"Win")))*SUMIFS($Z$4:$Z$810,$A$4:$A$810,$A179,$E$4:$E$810,"Loss"),-('Guide &amp; Settings'!$C$42/($F179-1))*$Z179)))</f>
        <v>-5.1364868771082088</v>
      </c>
      <c r="AB179" s="120">
        <f t="shared" si="50"/>
        <v>989.7118742606765</v>
      </c>
      <c r="AC179" s="120">
        <f>IF($D179="","",IF(SUMPRODUCT(MAX(($D$4:$D$810=$D179)*($B$4:$B$810&lt;$B179)*$B$4:$B$810))=0,0,MAX(($B179-MAX(SUMPRODUCT(MAX(($D$4:$D$810=$D179)*($B$4:$B$810&lt;$B179)*$B$4:$B$810)),'Guide &amp; Settings'!$C$50))/7-'Guide &amp; Settings'!$C$48,0)*'Guide &amp; Settings'!$C$49))</f>
        <v>0</v>
      </c>
    </row>
    <row r="180" spans="1:29" ht="15" customHeight="1" x14ac:dyDescent="0.2">
      <c r="A180" s="111">
        <v>77</v>
      </c>
      <c r="B180" s="112">
        <v>46188</v>
      </c>
      <c r="C180" s="113" t="s">
        <v>206</v>
      </c>
      <c r="D180" s="113" t="s">
        <v>167</v>
      </c>
      <c r="E180" s="111" t="s">
        <v>308</v>
      </c>
      <c r="F180" s="114">
        <f t="shared" si="34"/>
        <v>4</v>
      </c>
      <c r="G180" s="115" t="str">
        <f t="shared" si="35"/>
        <v>Daniel (Ferret)</v>
      </c>
      <c r="H180" s="116">
        <f>IF($D180="",0,IFERROR(LOOKUP(2,1/(($D$3:D179=$D180)*($A$3:A179&lt;$A180)),$N$3:N179),'Guide &amp; Settings'!$C$41))</f>
        <v>1119.7023399885263</v>
      </c>
      <c r="I180" s="117">
        <f t="shared" si="36"/>
        <v>0.39920159680638723</v>
      </c>
      <c r="J180" s="118">
        <f>IF($D180="",0,IF($F180&lt;2,0,IF($E180="Win",('Guide &amp; Settings'!$C$42/(($F180-1)*COUNTIFS($A$4:$A$810,$A180,$E$4:$E$810,"Win")))*SUMIFS($X$4:$X$810,$A$4:$A$810,$A180,$E$4:$E$810,"Loss"),-('Guide &amp; Settings'!$C$42/($F180-1))*$X180)))</f>
        <v>4.3646402279410648</v>
      </c>
      <c r="K180" s="118">
        <f>IF($D180="",0,'Guide &amp; Settings'!$C$43*(IF($E180="Win",1,0)-$I180))</f>
        <v>7.2095808383233528</v>
      </c>
      <c r="L180" s="119">
        <f>IF($D180="",0,'Guide &amp; Settings'!$C$44*IF($F180&gt;=3,$F180,0))</f>
        <v>4</v>
      </c>
      <c r="M180" s="118">
        <f t="shared" si="37"/>
        <v>15.574221066264418</v>
      </c>
      <c r="N180" s="116">
        <f t="shared" si="38"/>
        <v>1135.2765610547908</v>
      </c>
      <c r="O180" s="115" t="str">
        <f t="shared" si="39"/>
        <v>OK</v>
      </c>
      <c r="P180">
        <f t="shared" si="40"/>
        <v>1065.1817223651572</v>
      </c>
      <c r="Q180">
        <f t="shared" si="41"/>
        <v>0.5778237238972187</v>
      </c>
      <c r="R180">
        <f t="shared" si="42"/>
        <v>0.7142857142857143</v>
      </c>
      <c r="S180">
        <f t="shared" si="43"/>
        <v>1.7892857142857144</v>
      </c>
      <c r="T180" s="83">
        <f t="shared" si="44"/>
        <v>5</v>
      </c>
      <c r="U180" s="120">
        <f>IF($D180="",0,IFERROR(LOOKUP(2,1/(($D$3:D179=$D180)*($C$3:C179=$C180)*($A$3:A179&lt;$A180)),$AB$3:AB179),1000))</f>
        <v>1036.4470577099905</v>
      </c>
      <c r="V180" s="120">
        <f t="shared" si="45"/>
        <v>1078.0746988492583</v>
      </c>
      <c r="W180">
        <f t="shared" si="46"/>
        <v>1039.5945657579871</v>
      </c>
      <c r="X180">
        <f t="shared" si="47"/>
        <v>0.5551520377205128</v>
      </c>
      <c r="Y180">
        <f t="shared" si="48"/>
        <v>1012.814075141433</v>
      </c>
      <c r="Z180">
        <f t="shared" si="49"/>
        <v>0.53395823840807799</v>
      </c>
      <c r="AA180">
        <f>IF($D180="",0,IF($F180&lt;2,0,IF($E180="Win",('Guide &amp; Settings'!$C$42/(($F180-1)*COUNTIFS($A$4:$A$810,$A180,$E$4:$E$810,"Win")))*SUMIFS($Z$4:$Z$810,$A$4:$A$810,$A180,$E$4:$E$810,"Loss"),-('Guide &amp; Settings'!$C$42/($F180-1))*$Z180)))</f>
        <v>4.730471293558141</v>
      </c>
      <c r="AB180" s="120">
        <f t="shared" si="50"/>
        <v>1041.1775290035487</v>
      </c>
      <c r="AC180" s="120">
        <f>IF($D180="","",IF(SUMPRODUCT(MAX(($D$4:$D$810=$D180)*($B$4:$B$810&lt;$B180)*$B$4:$B$810))=0,0,MAX(($B180-MAX(SUMPRODUCT(MAX(($D$4:$D$810=$D180)*($B$4:$B$810&lt;$B180)*$B$4:$B$810)),'Guide &amp; Settings'!$C$50))/7-'Guide &amp; Settings'!$C$48,0)*'Guide &amp; Settings'!$C$49))</f>
        <v>0</v>
      </c>
    </row>
    <row r="181" spans="1:29" ht="15" customHeight="1" x14ac:dyDescent="0.2">
      <c r="A181" s="111">
        <v>77</v>
      </c>
      <c r="B181" s="112">
        <v>46188</v>
      </c>
      <c r="C181" s="113" t="s">
        <v>206</v>
      </c>
      <c r="D181" s="113" t="s">
        <v>170</v>
      </c>
      <c r="E181" s="111" t="s">
        <v>308</v>
      </c>
      <c r="F181" s="114">
        <f t="shared" si="34"/>
        <v>4</v>
      </c>
      <c r="G181" s="115" t="str">
        <f t="shared" si="35"/>
        <v>Daniel (Ferret)</v>
      </c>
      <c r="H181" s="116">
        <f>IF($D181="",0,IFERROR(LOOKUP(2,1/(($D$3:D180=$D181)*($A$3:A180&lt;$A181)),$N$3:N180),'Guide &amp; Settings'!$C$41))</f>
        <v>1010.6611047417879</v>
      </c>
      <c r="I181" s="117">
        <f t="shared" si="36"/>
        <v>0.27944111776447106</v>
      </c>
      <c r="J181" s="118">
        <f>IF($D181="",0,IF($F181&lt;2,0,IF($E181="Win",('Guide &amp; Settings'!$C$42/(($F181-1)*COUNTIFS($A$4:$A$810,$A181,$E$4:$E$810,"Win")))*SUMIFS($X$4:$X$810,$A$4:$A$810,$A181,$E$4:$E$810,"Loss"),-('Guide &amp; Settings'!$C$42/($F181-1))*$X181)))</f>
        <v>4.3646402279410648</v>
      </c>
      <c r="K181" s="118">
        <f>IF($D181="",0,'Guide &amp; Settings'!$C$43*(IF($E181="Win",1,0)-$I181))</f>
        <v>8.6467065868263475</v>
      </c>
      <c r="L181" s="119">
        <f>IF($D181="",0,'Guide &amp; Settings'!$C$44*IF($F181&gt;=3,$F181,0))</f>
        <v>4</v>
      </c>
      <c r="M181" s="118">
        <f t="shared" si="37"/>
        <v>17.011346814767414</v>
      </c>
      <c r="N181" s="116">
        <f t="shared" si="38"/>
        <v>1027.6724515565552</v>
      </c>
      <c r="O181" s="115" t="str">
        <f t="shared" si="39"/>
        <v>OK</v>
      </c>
      <c r="P181">
        <f t="shared" si="40"/>
        <v>1065.1817223651572</v>
      </c>
      <c r="Q181">
        <f t="shared" si="41"/>
        <v>0.42217627610278124</v>
      </c>
      <c r="R181">
        <f t="shared" si="42"/>
        <v>0.5</v>
      </c>
      <c r="S181">
        <f t="shared" si="43"/>
        <v>1.7892857142857144</v>
      </c>
      <c r="T181" s="83">
        <f t="shared" si="44"/>
        <v>4</v>
      </c>
      <c r="U181" s="120">
        <f>IF($D181="",0,IFERROR(LOOKUP(2,1/(($D$3:D180=$D181)*($C$3:C180=$C181)*($A$3:A180&lt;$A181)),$AB$3:AB180),1000))</f>
        <v>989.18109257287563</v>
      </c>
      <c r="V181" s="120">
        <f t="shared" si="45"/>
        <v>1001.1144326667157</v>
      </c>
      <c r="W181">
        <f t="shared" si="46"/>
        <v>1039.5945657579871</v>
      </c>
      <c r="X181">
        <f t="shared" si="47"/>
        <v>0.44484796227948703</v>
      </c>
      <c r="Y181">
        <f t="shared" si="48"/>
        <v>1012.814075141433</v>
      </c>
      <c r="Z181">
        <f t="shared" si="49"/>
        <v>0.46604176159192229</v>
      </c>
      <c r="AA181">
        <f>IF($D181="",0,IF($F181&lt;2,0,IF($E181="Win",('Guide &amp; Settings'!$C$42/(($F181-1)*COUNTIFS($A$4:$A$810,$A181,$E$4:$E$810,"Win")))*SUMIFS($Z$4:$Z$810,$A$4:$A$810,$A181,$E$4:$E$810,"Loss"),-('Guide &amp; Settings'!$C$42/($F181-1))*$Z181)))</f>
        <v>4.730471293558141</v>
      </c>
      <c r="AB181" s="120">
        <f t="shared" si="50"/>
        <v>993.91156386643377</v>
      </c>
      <c r="AC181" s="120">
        <f>IF($D181="","",IF(SUMPRODUCT(MAX(($D$4:$D$810=$D181)*($B$4:$B$810&lt;$B181)*$B$4:$B$810))=0,0,MAX(($B181-MAX(SUMPRODUCT(MAX(($D$4:$D$810=$D181)*($B$4:$B$810&lt;$B181)*$B$4:$B$810)),'Guide &amp; Settings'!$C$50))/7-'Guide &amp; Settings'!$C$48,0)*'Guide &amp; Settings'!$C$49))</f>
        <v>0</v>
      </c>
    </row>
    <row r="182" spans="1:29" ht="15" customHeight="1" x14ac:dyDescent="0.2">
      <c r="A182" s="111">
        <v>77</v>
      </c>
      <c r="B182" s="112">
        <v>46188</v>
      </c>
      <c r="C182" s="113" t="s">
        <v>206</v>
      </c>
      <c r="D182" s="113" t="s">
        <v>175</v>
      </c>
      <c r="E182" s="111" t="s">
        <v>309</v>
      </c>
      <c r="F182" s="114">
        <f t="shared" si="34"/>
        <v>4</v>
      </c>
      <c r="G182" s="115" t="str">
        <f t="shared" si="35"/>
        <v>Daniel (Ferret)</v>
      </c>
      <c r="H182" s="116">
        <f>IF($D182="",0,IFERROR(LOOKUP(2,1/(($D$3:D181=$D182)*($A$3:A181&lt;$A182)),$N$3:N181),'Guide &amp; Settings'!$C$41))</f>
        <v>909.74082601830435</v>
      </c>
      <c r="I182" s="117">
        <f t="shared" si="36"/>
        <v>0.20958083832335328</v>
      </c>
      <c r="J182" s="118">
        <f>IF($D182="",0,IF($F182&lt;2,0,IF($E182="Win",('Guide &amp; Settings'!$C$42/(($F182-1)*COUNTIFS($A$4:$A$810,$A182,$E$4:$E$810,"Win")))*SUMIFS($X$4:$X$810,$A$4:$A$810,$A182,$E$4:$E$810,"Loss"),-('Guide &amp; Settings'!$C$42/($F182-1))*$X182)))</f>
        <v>-3.9798782393524785</v>
      </c>
      <c r="K182" s="118">
        <f>IF($D182="",0,'Guide &amp; Settings'!$C$43*(IF($E182="Win",1,0)-$I182))</f>
        <v>-2.5149700598802394</v>
      </c>
      <c r="L182" s="119">
        <f>IF($D182="",0,'Guide &amp; Settings'!$C$44*IF($F182&gt;=3,$F182,0))</f>
        <v>4</v>
      </c>
      <c r="M182" s="118">
        <f t="shared" si="37"/>
        <v>-2.4948482992327179</v>
      </c>
      <c r="N182" s="116">
        <f t="shared" si="38"/>
        <v>907.24597771907167</v>
      </c>
      <c r="O182" s="115" t="str">
        <f t="shared" si="39"/>
        <v>OK</v>
      </c>
      <c r="P182">
        <f t="shared" si="40"/>
        <v>1065.1817223651572</v>
      </c>
      <c r="Q182">
        <f t="shared" si="41"/>
        <v>0.29012238578581612</v>
      </c>
      <c r="R182">
        <f t="shared" si="42"/>
        <v>0.375</v>
      </c>
      <c r="S182">
        <f t="shared" si="43"/>
        <v>1.7892857142857144</v>
      </c>
      <c r="T182" s="83">
        <f t="shared" si="44"/>
        <v>6</v>
      </c>
      <c r="U182" s="120">
        <f>IF($D182="",0,IFERROR(LOOKUP(2,1/(($D$3:D181=$D182)*($C$3:C181=$C182)*($A$3:A181&lt;$A182)),$AB$3:AB181),1000))</f>
        <v>982.55096461266169</v>
      </c>
      <c r="V182" s="120">
        <f t="shared" si="45"/>
        <v>949.45544706977205</v>
      </c>
      <c r="W182">
        <f t="shared" si="46"/>
        <v>1039.5945657579871</v>
      </c>
      <c r="X182">
        <f t="shared" si="47"/>
        <v>0.37311358493929486</v>
      </c>
      <c r="Y182">
        <f t="shared" si="48"/>
        <v>1012.814075141433</v>
      </c>
      <c r="Z182">
        <f t="shared" si="49"/>
        <v>0.45655769521176187</v>
      </c>
      <c r="AA182">
        <f>IF($D182="",0,IF($F182&lt;2,0,IF($E182="Win",('Guide &amp; Settings'!$C$42/(($F182-1)*COUNTIFS($A$4:$A$810,$A182,$E$4:$E$810,"Win")))*SUMIFS($Z$4:$Z$810,$A$4:$A$810,$A182,$E$4:$E$810,"Loss"),-('Guide &amp; Settings'!$C$42/($F182-1))*$Z182)))</f>
        <v>-4.8699487489254594</v>
      </c>
      <c r="AB182" s="120">
        <f t="shared" si="50"/>
        <v>977.68101586373621</v>
      </c>
      <c r="AC182" s="120">
        <f>IF($D182="","",IF(SUMPRODUCT(MAX(($D$4:$D$810=$D182)*($B$4:$B$810&lt;$B182)*$B$4:$B$810))=0,0,MAX(($B182-MAX(SUMPRODUCT(MAX(($D$4:$D$810=$D182)*($B$4:$B$810&lt;$B182)*$B$4:$B$810)),'Guide &amp; Settings'!$C$50))/7-'Guide &amp; Settings'!$C$48,0)*'Guide &amp; Settings'!$C$49))</f>
        <v>0</v>
      </c>
    </row>
    <row r="183" spans="1:29" ht="15" customHeight="1" x14ac:dyDescent="0.2">
      <c r="A183" s="111">
        <v>77</v>
      </c>
      <c r="B183" s="112">
        <v>46188</v>
      </c>
      <c r="C183" s="113" t="s">
        <v>206</v>
      </c>
      <c r="D183" s="113" t="s">
        <v>138</v>
      </c>
      <c r="E183" s="111" t="s">
        <v>309</v>
      </c>
      <c r="F183" s="114">
        <f t="shared" si="34"/>
        <v>4</v>
      </c>
      <c r="G183" s="115" t="str">
        <f t="shared" si="35"/>
        <v>Daniel (Ferret)</v>
      </c>
      <c r="H183" s="116">
        <f>IF($D183="",0,IFERROR(LOOKUP(2,1/(($D$3:D182=$D183)*($A$3:A182&lt;$A183)),$N$3:N182),'Guide &amp; Settings'!$C$41))</f>
        <v>1023.7594026829813</v>
      </c>
      <c r="I183" s="117">
        <f t="shared" si="36"/>
        <v>0.11177644710578842</v>
      </c>
      <c r="J183" s="118">
        <f>IF($D183="",0,IF($F183&lt;2,0,IF($E183="Win",('Guide &amp; Settings'!$C$42/(($F183-1)*COUNTIFS($A$4:$A$810,$A183,$E$4:$E$810,"Win")))*SUMIFS($X$4:$X$810,$A$4:$A$810,$A183,$E$4:$E$810,"Loss"),-('Guide &amp; Settings'!$C$42/($F183-1))*$X183)))</f>
        <v>-4.749402216529651</v>
      </c>
      <c r="K183" s="118">
        <f>IF($D183="",0,'Guide &amp; Settings'!$C$43*(IF($E183="Win",1,0)-$I183))</f>
        <v>-1.341317365269461</v>
      </c>
      <c r="L183" s="119">
        <f>IF($D183="",0,'Guide &amp; Settings'!$C$44*IF($F183&gt;=3,$F183,0))</f>
        <v>4</v>
      </c>
      <c r="M183" s="118">
        <f t="shared" si="37"/>
        <v>-2.090719581799112</v>
      </c>
      <c r="N183" s="116">
        <f t="shared" si="38"/>
        <v>1021.6686831011822</v>
      </c>
      <c r="O183" s="115" t="str">
        <f t="shared" si="39"/>
        <v>OK</v>
      </c>
      <c r="P183">
        <f t="shared" si="40"/>
        <v>1065.1817223651572</v>
      </c>
      <c r="Q183">
        <f t="shared" si="41"/>
        <v>0.44066933532027314</v>
      </c>
      <c r="R183">
        <f t="shared" si="42"/>
        <v>0.2</v>
      </c>
      <c r="S183">
        <f t="shared" si="43"/>
        <v>1.7892857142857144</v>
      </c>
      <c r="T183" s="83">
        <f t="shared" si="44"/>
        <v>3</v>
      </c>
      <c r="U183" s="120">
        <f>IF($D183="",0,IFERROR(LOOKUP(2,1/(($D$3:D182=$D183)*($C$3:C182=$C183)*($A$3:A182&lt;$A183)),$AB$3:AB182),1000))</f>
        <v>964.13900736852213</v>
      </c>
      <c r="V183" s="120">
        <f t="shared" si="45"/>
        <v>1001.4017544400591</v>
      </c>
      <c r="W183">
        <f t="shared" si="46"/>
        <v>1039.5945657579871</v>
      </c>
      <c r="X183">
        <f t="shared" si="47"/>
        <v>0.44525645779965478</v>
      </c>
      <c r="Y183">
        <f t="shared" si="48"/>
        <v>1012.814075141433</v>
      </c>
      <c r="Z183">
        <f t="shared" si="49"/>
        <v>0.43040567233038957</v>
      </c>
      <c r="AA183">
        <f>IF($D183="",0,IF($F183&lt;2,0,IF($E183="Win",('Guide &amp; Settings'!$C$42/(($F183-1)*COUNTIFS($A$4:$A$810,$A183,$E$4:$E$810,"Win")))*SUMIFS($Z$4:$Z$810,$A$4:$A$810,$A183,$E$4:$E$810,"Loss"),-('Guide &amp; Settings'!$C$42/($F183-1))*$Z183)))</f>
        <v>-4.5909938381908217</v>
      </c>
      <c r="AB183" s="120">
        <f t="shared" si="50"/>
        <v>959.54801353033133</v>
      </c>
      <c r="AC183" s="120">
        <f>IF($D183="","",IF(SUMPRODUCT(MAX(($D$4:$D$810=$D183)*($B$4:$B$810&lt;$B183)*$B$4:$B$810))=0,0,MAX(($B183-MAX(SUMPRODUCT(MAX(($D$4:$D$810=$D183)*($B$4:$B$810&lt;$B183)*$B$4:$B$810)),'Guide &amp; Settings'!$C$50))/7-'Guide &amp; Settings'!$C$48,0)*'Guide &amp; Settings'!$C$49))</f>
        <v>0</v>
      </c>
    </row>
    <row r="184" spans="1:29" ht="15" customHeight="1" x14ac:dyDescent="0.2">
      <c r="A184" s="111">
        <v>78</v>
      </c>
      <c r="B184" s="112">
        <v>46188</v>
      </c>
      <c r="C184" s="113" t="s">
        <v>206</v>
      </c>
      <c r="D184" s="113" t="s">
        <v>135</v>
      </c>
      <c r="E184" s="111" t="s">
        <v>308</v>
      </c>
      <c r="F184" s="114">
        <f t="shared" si="34"/>
        <v>4</v>
      </c>
      <c r="G184" s="115" t="str">
        <f t="shared" si="35"/>
        <v>Dylan A</v>
      </c>
      <c r="H184" s="116">
        <f>IF($D184="",0,IFERROR(LOOKUP(2,1/(($D$3:D183=$D184)*($A$3:A183&lt;$A184)),$N$3:N183),'Guide &amp; Settings'!$C$41))</f>
        <v>1008.4472093066528</v>
      </c>
      <c r="I184" s="117">
        <f t="shared" si="36"/>
        <v>0.247787610619469</v>
      </c>
      <c r="J184" s="118">
        <f>IF($D184="",0,IF($F184&lt;2,0,IF($E184="Win",('Guide &amp; Settings'!$C$42/(($F184-1)*COUNTIFS($A$4:$A$810,$A184,$E$4:$E$810,"Win")))*SUMIFS($X$4:$X$810,$A$4:$A$810,$A184,$E$4:$E$810,"Loss"),-('Guide &amp; Settings'!$C$42/($F184-1))*$X184)))</f>
        <v>5.8838570941683566</v>
      </c>
      <c r="K184" s="118">
        <f>IF($D184="",0,'Guide &amp; Settings'!$C$43*(IF($E184="Win",1,0)-$I184))</f>
        <v>9.0265486725663724</v>
      </c>
      <c r="L184" s="119">
        <f>IF($D184="",0,'Guide &amp; Settings'!$C$44*IF($F184&gt;=3,$F184,0))</f>
        <v>4</v>
      </c>
      <c r="M184" s="118">
        <f t="shared" si="37"/>
        <v>18.91040576673473</v>
      </c>
      <c r="N184" s="116">
        <f t="shared" si="38"/>
        <v>1027.3576150733875</v>
      </c>
      <c r="O184" s="115" t="str">
        <f t="shared" si="39"/>
        <v>OK</v>
      </c>
      <c r="P184">
        <f t="shared" si="40"/>
        <v>1011.7652950584343</v>
      </c>
      <c r="Q184">
        <f t="shared" si="41"/>
        <v>0.49522503592531653</v>
      </c>
      <c r="R184">
        <f t="shared" si="42"/>
        <v>0.6</v>
      </c>
      <c r="S184">
        <f t="shared" si="43"/>
        <v>2.4214285714285717</v>
      </c>
      <c r="T184" s="83">
        <f t="shared" si="44"/>
        <v>3</v>
      </c>
      <c r="U184" s="120">
        <f>IF($D184="",0,IFERROR(LOOKUP(2,1/(($D$3:D183=$D184)*($C$3:C183=$C184)*($A$3:A183&lt;$A184)),$AB$3:AB183),1000))</f>
        <v>1015.7539990177011</v>
      </c>
      <c r="V184" s="120">
        <f t="shared" si="45"/>
        <v>1011.1872554482959</v>
      </c>
      <c r="W184">
        <f t="shared" si="46"/>
        <v>1010.98035317218</v>
      </c>
      <c r="X184">
        <f t="shared" si="47"/>
        <v>0.50029775627523365</v>
      </c>
      <c r="Y184">
        <f t="shared" si="48"/>
        <v>1007.8763125641926</v>
      </c>
      <c r="Z184">
        <f t="shared" si="49"/>
        <v>0.51133495974897236</v>
      </c>
      <c r="AA184">
        <f>IF($D184="",0,IF($F184&lt;2,0,IF($E184="Win",('Guide &amp; Settings'!$C$42/(($F184-1)*COUNTIFS($A$4:$A$810,$A184,$E$4:$E$810,"Win")))*SUMIFS($Z$4:$Z$810,$A$4:$A$810,$A184,$E$4:$E$810,"Loss"),-('Guide &amp; Settings'!$C$42/($F184-1))*$Z184)))</f>
        <v>5.4810240387817064</v>
      </c>
      <c r="AB184" s="120">
        <f t="shared" si="50"/>
        <v>1021.2350230564828</v>
      </c>
      <c r="AC184" s="120">
        <f>IF($D184="","",IF(SUMPRODUCT(MAX(($D$4:$D$810=$D184)*($B$4:$B$810&lt;$B184)*$B$4:$B$810))=0,0,MAX(($B184-MAX(SUMPRODUCT(MAX(($D$4:$D$810=$D184)*($B$4:$B$810&lt;$B184)*$B$4:$B$810)),'Guide &amp; Settings'!$C$50))/7-'Guide &amp; Settings'!$C$48,0)*'Guide &amp; Settings'!$C$49))</f>
        <v>0</v>
      </c>
    </row>
    <row r="185" spans="1:29" ht="15" customHeight="1" x14ac:dyDescent="0.2">
      <c r="A185" s="111">
        <v>78</v>
      </c>
      <c r="B185" s="112">
        <v>46188</v>
      </c>
      <c r="C185" s="113" t="s">
        <v>206</v>
      </c>
      <c r="D185" s="113" t="s">
        <v>172</v>
      </c>
      <c r="E185" s="111" t="s">
        <v>308</v>
      </c>
      <c r="F185" s="114">
        <f t="shared" si="34"/>
        <v>4</v>
      </c>
      <c r="G185" s="115" t="str">
        <f t="shared" si="35"/>
        <v>Dylan A</v>
      </c>
      <c r="H185" s="116">
        <f>IF($D185="",0,IFERROR(LOOKUP(2,1/(($D$3:D184=$D185)*($A$3:A184&lt;$A185)),$N$3:N184),'Guide &amp; Settings'!$C$41))</f>
        <v>1015.0833808102159</v>
      </c>
      <c r="I185" s="117">
        <f t="shared" si="36"/>
        <v>0.20648967551622416</v>
      </c>
      <c r="J185" s="118">
        <f>IF($D185="",0,IF($F185&lt;2,0,IF($E185="Win",('Guide &amp; Settings'!$C$42/(($F185-1)*COUNTIFS($A$4:$A$810,$A185,$E$4:$E$810,"Win")))*SUMIFS($X$4:$X$810,$A$4:$A$810,$A185,$E$4:$E$810,"Loss"),-('Guide &amp; Settings'!$C$42/($F185-1))*$X185)))</f>
        <v>5.8838570941683566</v>
      </c>
      <c r="K185" s="118">
        <f>IF($D185="",0,'Guide &amp; Settings'!$C$43*(IF($E185="Win",1,0)-$I185))</f>
        <v>9.5221238938053094</v>
      </c>
      <c r="L185" s="119">
        <f>IF($D185="",0,'Guide &amp; Settings'!$C$44*IF($F185&gt;=3,$F185,0))</f>
        <v>4</v>
      </c>
      <c r="M185" s="118">
        <f t="shared" si="37"/>
        <v>19.405980987973667</v>
      </c>
      <c r="N185" s="116">
        <f t="shared" si="38"/>
        <v>1034.4893617981895</v>
      </c>
      <c r="O185" s="115" t="str">
        <f t="shared" si="39"/>
        <v>OK</v>
      </c>
      <c r="P185">
        <f t="shared" si="40"/>
        <v>1011.7652950584343</v>
      </c>
      <c r="Q185">
        <f t="shared" si="41"/>
        <v>0.5047749640746837</v>
      </c>
      <c r="R185">
        <f t="shared" si="42"/>
        <v>0.5</v>
      </c>
      <c r="S185">
        <f t="shared" si="43"/>
        <v>2.4214285714285717</v>
      </c>
      <c r="T185" s="83">
        <f t="shared" si="44"/>
        <v>2</v>
      </c>
      <c r="U185" s="120">
        <f>IF($D185="",0,IFERROR(LOOKUP(2,1/(($D$3:D184=$D185)*($C$3:C184=$C185)*($A$3:A184&lt;$A185)),$AB$3:AB184),1000))</f>
        <v>999.99862611068431</v>
      </c>
      <c r="V185" s="120">
        <f t="shared" si="45"/>
        <v>1010.773450896064</v>
      </c>
      <c r="W185">
        <f t="shared" si="46"/>
        <v>1010.98035317218</v>
      </c>
      <c r="X185">
        <f t="shared" si="47"/>
        <v>0.49970224372476624</v>
      </c>
      <c r="Y185">
        <f t="shared" si="48"/>
        <v>1007.8763125641926</v>
      </c>
      <c r="Z185">
        <f t="shared" si="49"/>
        <v>0.4886650402510278</v>
      </c>
      <c r="AA185">
        <f>IF($D185="",0,IF($F185&lt;2,0,IF($E185="Win",('Guide &amp; Settings'!$C$42/(($F185-1)*COUNTIFS($A$4:$A$810,$A185,$E$4:$E$810,"Win")))*SUMIFS($Z$4:$Z$810,$A$4:$A$810,$A185,$E$4:$E$810,"Loss"),-('Guide &amp; Settings'!$C$42/($F185-1))*$Z185)))</f>
        <v>5.4810240387817064</v>
      </c>
      <c r="AB185" s="120">
        <f t="shared" si="50"/>
        <v>1005.479650149466</v>
      </c>
      <c r="AC185" s="120">
        <f>IF($D185="","",IF(SUMPRODUCT(MAX(($D$4:$D$810=$D185)*($B$4:$B$810&lt;$B185)*$B$4:$B$810))=0,0,MAX(($B185-MAX(SUMPRODUCT(MAX(($D$4:$D$810=$D185)*($B$4:$B$810&lt;$B185)*$B$4:$B$810)),'Guide &amp; Settings'!$C$50))/7-'Guide &amp; Settings'!$C$48,0)*'Guide &amp; Settings'!$C$49))</f>
        <v>0</v>
      </c>
    </row>
    <row r="186" spans="1:29" ht="15" customHeight="1" x14ac:dyDescent="0.2">
      <c r="A186" s="111">
        <v>78</v>
      </c>
      <c r="B186" s="112">
        <v>46188</v>
      </c>
      <c r="C186" s="113" t="s">
        <v>206</v>
      </c>
      <c r="D186" s="113" t="s">
        <v>167</v>
      </c>
      <c r="E186" s="111" t="s">
        <v>309</v>
      </c>
      <c r="F186" s="114">
        <f t="shared" si="34"/>
        <v>4</v>
      </c>
      <c r="G186" s="115" t="str">
        <f t="shared" si="35"/>
        <v>Dylan A</v>
      </c>
      <c r="H186" s="116">
        <f>IF($D186="",0,IFERROR(LOOKUP(2,1/(($D$3:D185=$D186)*($A$3:A185&lt;$A186)),$N$3:N185),'Guide &amp; Settings'!$C$41))</f>
        <v>1135.2765610547908</v>
      </c>
      <c r="I186" s="117">
        <f t="shared" si="36"/>
        <v>0.30973451327433627</v>
      </c>
      <c r="J186" s="118">
        <f>IF($D186="",0,IF($F186&lt;2,0,IF($E186="Win",('Guide &amp; Settings'!$C$42/(($F186-1)*COUNTIFS($A$4:$A$810,$A186,$E$4:$E$810,"Win")))*SUMIFS($X$4:$X$810,$A$4:$A$810,$A186,$E$4:$E$810,"Loss"),-('Guide &amp; Settings'!$C$42/($F186-1))*$X186)))</f>
        <v>-6.4372720643875461</v>
      </c>
      <c r="K186" s="118">
        <f>IF($D186="",0,'Guide &amp; Settings'!$C$43*(IF($E186="Win",1,0)-$I186))</f>
        <v>-3.716814159292035</v>
      </c>
      <c r="L186" s="119">
        <f>IF($D186="",0,'Guide &amp; Settings'!$C$44*IF($F186&gt;=3,$F186,0))</f>
        <v>4</v>
      </c>
      <c r="M186" s="118">
        <f t="shared" si="37"/>
        <v>-6.154086223679581</v>
      </c>
      <c r="N186" s="116">
        <f t="shared" si="38"/>
        <v>1129.1224748311113</v>
      </c>
      <c r="O186" s="115" t="str">
        <f t="shared" si="39"/>
        <v>OK</v>
      </c>
      <c r="P186">
        <f t="shared" si="40"/>
        <v>1011.7652950584343</v>
      </c>
      <c r="Q186">
        <f t="shared" si="41"/>
        <v>0.6706194348713066</v>
      </c>
      <c r="R186">
        <f t="shared" si="42"/>
        <v>0.75</v>
      </c>
      <c r="S186">
        <f t="shared" si="43"/>
        <v>2.4214285714285717</v>
      </c>
      <c r="T186" s="83">
        <f t="shared" si="44"/>
        <v>6</v>
      </c>
      <c r="U186" s="120">
        <f>IF($D186="",0,IFERROR(LOOKUP(2,1/(($D$3:D185=$D186)*($C$3:C185=$C186)*($A$3:A185&lt;$A186)),$AB$3:AB185),1000))</f>
        <v>1041.1775290035487</v>
      </c>
      <c r="V186" s="120">
        <f t="shared" si="45"/>
        <v>1083.9498162995678</v>
      </c>
      <c r="W186">
        <f t="shared" si="46"/>
        <v>1010.98035317218</v>
      </c>
      <c r="X186">
        <f t="shared" si="47"/>
        <v>0.60349425603633244</v>
      </c>
      <c r="Y186">
        <f t="shared" si="48"/>
        <v>1007.8763125641926</v>
      </c>
      <c r="Z186">
        <f t="shared" si="49"/>
        <v>0.54777808068137135</v>
      </c>
      <c r="AA186">
        <f>IF($D186="",0,IF($F186&lt;2,0,IF($E186="Win",('Guide &amp; Settings'!$C$42/(($F186-1)*COUNTIFS($A$4:$A$810,$A186,$E$4:$E$810,"Win")))*SUMIFS($Z$4:$Z$810,$A$4:$A$810,$A186,$E$4:$E$810,"Loss"),-('Guide &amp; Settings'!$C$42/($F186-1))*$Z186)))</f>
        <v>-5.8429661939346271</v>
      </c>
      <c r="AB186" s="120">
        <f t="shared" si="50"/>
        <v>1035.334562809614</v>
      </c>
      <c r="AC186" s="120">
        <f>IF($D186="","",IF(SUMPRODUCT(MAX(($D$4:$D$810=$D186)*($B$4:$B$810&lt;$B186)*$B$4:$B$810))=0,0,MAX(($B186-MAX(SUMPRODUCT(MAX(($D$4:$D$810=$D186)*($B$4:$B$810&lt;$B186)*$B$4:$B$810)),'Guide &amp; Settings'!$C$50))/7-'Guide &amp; Settings'!$C$48,0)*'Guide &amp; Settings'!$C$49))</f>
        <v>0</v>
      </c>
    </row>
    <row r="187" spans="1:29" ht="15" customHeight="1" x14ac:dyDescent="0.2">
      <c r="A187" s="111">
        <v>78</v>
      </c>
      <c r="B187" s="112">
        <v>46188</v>
      </c>
      <c r="C187" s="113" t="s">
        <v>206</v>
      </c>
      <c r="D187" s="113" t="s">
        <v>170</v>
      </c>
      <c r="E187" s="111" t="s">
        <v>309</v>
      </c>
      <c r="F187" s="114">
        <f t="shared" si="34"/>
        <v>4</v>
      </c>
      <c r="G187" s="115" t="str">
        <f t="shared" si="35"/>
        <v>Dylan A</v>
      </c>
      <c r="H187" s="116">
        <f>IF($D187="",0,IFERROR(LOOKUP(2,1/(($D$3:D186=$D187)*($A$3:A186&lt;$A187)),$N$3:N186),'Guide &amp; Settings'!$C$41))</f>
        <v>1027.6724515565552</v>
      </c>
      <c r="I187" s="117">
        <f t="shared" si="36"/>
        <v>0.23598820058997047</v>
      </c>
      <c r="J187" s="118">
        <f>IF($D187="",0,IF($F187&lt;2,0,IF($E187="Win",('Guide &amp; Settings'!$C$42/(($F187-1)*COUNTIFS($A$4:$A$810,$A187,$E$4:$E$810,"Win")))*SUMIFS($X$4:$X$810,$A$4:$A$810,$A187,$E$4:$E$810,"Loss"),-('Guide &amp; Settings'!$C$42/($F187-1))*$X187)))</f>
        <v>-5.3304421239491679</v>
      </c>
      <c r="K187" s="118">
        <f>IF($D187="",0,'Guide &amp; Settings'!$C$43*(IF($E187="Win",1,0)-$I187))</f>
        <v>-2.8318584070796455</v>
      </c>
      <c r="L187" s="119">
        <f>IF($D187="",0,'Guide &amp; Settings'!$C$44*IF($F187&gt;=3,$F187,0))</f>
        <v>4</v>
      </c>
      <c r="M187" s="118">
        <f t="shared" si="37"/>
        <v>-4.1623005310288139</v>
      </c>
      <c r="N187" s="116">
        <f t="shared" si="38"/>
        <v>1023.5101510255264</v>
      </c>
      <c r="O187" s="115" t="str">
        <f t="shared" si="39"/>
        <v>OK</v>
      </c>
      <c r="P187">
        <f t="shared" si="40"/>
        <v>1011.7652950584343</v>
      </c>
      <c r="Q187">
        <f t="shared" si="41"/>
        <v>0.52287625608135213</v>
      </c>
      <c r="R187">
        <f t="shared" si="42"/>
        <v>0.5714285714285714</v>
      </c>
      <c r="S187">
        <f t="shared" si="43"/>
        <v>2.4214285714285717</v>
      </c>
      <c r="T187" s="83">
        <f t="shared" si="44"/>
        <v>5</v>
      </c>
      <c r="U187" s="120">
        <f>IF($D187="",0,IFERROR(LOOKUP(2,1/(($D$3:D186=$D187)*($C$3:C186=$C187)*($A$3:A186&lt;$A187)),$AB$3:AB186),1000))</f>
        <v>993.91156386643377</v>
      </c>
      <c r="V187" s="120">
        <f t="shared" si="45"/>
        <v>1010.7920077114945</v>
      </c>
      <c r="W187">
        <f t="shared" si="46"/>
        <v>1010.98035317218</v>
      </c>
      <c r="X187">
        <f t="shared" si="47"/>
        <v>0.49972894912023452</v>
      </c>
      <c r="Y187">
        <f t="shared" si="48"/>
        <v>1007.8763125641926</v>
      </c>
      <c r="Z187">
        <f t="shared" si="49"/>
        <v>0.47991392659019877</v>
      </c>
      <c r="AA187">
        <f>IF($D187="",0,IF($F187&lt;2,0,IF($E187="Win",('Guide &amp; Settings'!$C$42/(($F187-1)*COUNTIFS($A$4:$A$810,$A187,$E$4:$E$810,"Win")))*SUMIFS($Z$4:$Z$810,$A$4:$A$810,$A187,$E$4:$E$810,"Loss"),-('Guide &amp; Settings'!$C$42/($F187-1))*$Z187)))</f>
        <v>-5.1190818836287866</v>
      </c>
      <c r="AB187" s="120">
        <f t="shared" si="50"/>
        <v>988.79248198280493</v>
      </c>
      <c r="AC187" s="120">
        <f>IF($D187="","",IF(SUMPRODUCT(MAX(($D$4:$D$810=$D187)*($B$4:$B$810&lt;$B187)*$B$4:$B$810))=0,0,MAX(($B187-MAX(SUMPRODUCT(MAX(($D$4:$D$810=$D187)*($B$4:$B$810&lt;$B187)*$B$4:$B$810)),'Guide &amp; Settings'!$C$50))/7-'Guide &amp; Settings'!$C$48,0)*'Guide &amp; Settings'!$C$49))</f>
        <v>0</v>
      </c>
    </row>
    <row r="188" spans="1:29" ht="15" customHeight="1" x14ac:dyDescent="0.2">
      <c r="A188" s="111">
        <v>79</v>
      </c>
      <c r="B188" s="112">
        <v>46188</v>
      </c>
      <c r="C188" s="113" t="s">
        <v>206</v>
      </c>
      <c r="D188" s="113" t="s">
        <v>169</v>
      </c>
      <c r="E188" s="111" t="s">
        <v>308</v>
      </c>
      <c r="F188" s="114">
        <f t="shared" si="34"/>
        <v>4</v>
      </c>
      <c r="G188" s="115" t="str">
        <f t="shared" si="35"/>
        <v>Simon</v>
      </c>
      <c r="H188" s="116">
        <f>IF($D188="",0,IFERROR(LOOKUP(2,1/(($D$3:D187=$D188)*($A$3:A187&lt;$A188)),$N$3:N187),'Guide &amp; Settings'!$C$41))</f>
        <v>976.13396936053971</v>
      </c>
      <c r="I188" s="117">
        <f t="shared" si="36"/>
        <v>0.18028846153846151</v>
      </c>
      <c r="J188" s="118">
        <f>IF($D188="",0,IF($F188&lt;2,0,IF($E188="Win",('Guide &amp; Settings'!$C$42/(($F188-1)*COUNTIFS($A$4:$A$810,$A188,$E$4:$E$810,"Win")))*SUMIFS($X$4:$X$810,$A$4:$A$810,$A188,$E$4:$E$810,"Loss"),-('Guide &amp; Settings'!$C$42/($F188-1))*$X188)))</f>
        <v>5.2598655984543585</v>
      </c>
      <c r="K188" s="118">
        <f>IF($D188="",0,'Guide &amp; Settings'!$C$43*(IF($E188="Win",1,0)-$I188))</f>
        <v>9.8365384615384635</v>
      </c>
      <c r="L188" s="119">
        <f>IF($D188="",0,'Guide &amp; Settings'!$C$44*IF($F188&gt;=3,$F188,0))</f>
        <v>4</v>
      </c>
      <c r="M188" s="118">
        <f t="shared" si="37"/>
        <v>19.096404059992821</v>
      </c>
      <c r="N188" s="116">
        <f t="shared" si="38"/>
        <v>995.23037342053249</v>
      </c>
      <c r="O188" s="115" t="str">
        <f t="shared" si="39"/>
        <v>OK</v>
      </c>
      <c r="P188">
        <f t="shared" si="40"/>
        <v>1049.6730863794114</v>
      </c>
      <c r="Q188">
        <f t="shared" si="41"/>
        <v>0.39572133664674414</v>
      </c>
      <c r="R188">
        <f t="shared" si="42"/>
        <v>0.45454545454545453</v>
      </c>
      <c r="S188">
        <f t="shared" si="43"/>
        <v>2.5212121212121215</v>
      </c>
      <c r="T188" s="83">
        <f t="shared" si="44"/>
        <v>9</v>
      </c>
      <c r="U188" s="120">
        <f>IF($D188="",0,IFERROR(LOOKUP(2,1/(($D$3:D187=$D188)*($C$3:C187=$C188)*($A$3:A187&lt;$A188)),$AB$3:AB187),1000))</f>
        <v>964.51557411409249</v>
      </c>
      <c r="V188" s="120">
        <f t="shared" si="45"/>
        <v>968.66500098782376</v>
      </c>
      <c r="W188">
        <f t="shared" si="46"/>
        <v>1028.909899463682</v>
      </c>
      <c r="X188">
        <f t="shared" si="47"/>
        <v>0.41415923067895616</v>
      </c>
      <c r="Y188">
        <f t="shared" si="48"/>
        <v>1016.1922468209593</v>
      </c>
      <c r="Z188">
        <f t="shared" si="49"/>
        <v>0.4261748951304476</v>
      </c>
      <c r="AA188">
        <f>IF($D188="",0,IF($F188&lt;2,0,IF($E188="Win",('Guide &amp; Settings'!$C$42/(($F188-1)*COUNTIFS($A$4:$A$810,$A188,$E$4:$E$810,"Win")))*SUMIFS($Z$4:$Z$810,$A$4:$A$810,$A188,$E$4:$E$810,"Loss"),-('Guide &amp; Settings'!$C$42/($F188-1))*$Z188)))</f>
        <v>5.2898391817695778</v>
      </c>
      <c r="AB188" s="120">
        <f t="shared" si="50"/>
        <v>969.80541329586208</v>
      </c>
      <c r="AC188" s="120">
        <f>IF($D188="","",IF(SUMPRODUCT(MAX(($D$4:$D$810=$D188)*($B$4:$B$810&lt;$B188)*$B$4:$B$810))=0,0,MAX(($B188-MAX(SUMPRODUCT(MAX(($D$4:$D$810=$D188)*($B$4:$B$810&lt;$B188)*$B$4:$B$810)),'Guide &amp; Settings'!$C$50))/7-'Guide &amp; Settings'!$C$48,0)*'Guide &amp; Settings'!$C$49))</f>
        <v>0</v>
      </c>
    </row>
    <row r="189" spans="1:29" ht="15" customHeight="1" x14ac:dyDescent="0.2">
      <c r="A189" s="111">
        <v>79</v>
      </c>
      <c r="B189" s="112">
        <v>46188</v>
      </c>
      <c r="C189" s="113" t="s">
        <v>206</v>
      </c>
      <c r="D189" s="113" t="s">
        <v>168</v>
      </c>
      <c r="E189" s="111" t="s">
        <v>308</v>
      </c>
      <c r="F189" s="114">
        <f t="shared" si="34"/>
        <v>4</v>
      </c>
      <c r="G189" s="115" t="str">
        <f t="shared" si="35"/>
        <v>Simon</v>
      </c>
      <c r="H189" s="116">
        <f>IF($D189="",0,IFERROR(LOOKUP(2,1/(($D$3:D188=$D189)*($A$3:A188&lt;$A189)),$N$3:N188),'Guide &amp; Settings'!$C$41))</f>
        <v>1123.212203398283</v>
      </c>
      <c r="I189" s="117">
        <f t="shared" si="36"/>
        <v>0.31730769230769229</v>
      </c>
      <c r="J189" s="118">
        <f>IF($D189="",0,IF($F189&lt;2,0,IF($E189="Win",('Guide &amp; Settings'!$C$42/(($F189-1)*COUNTIFS($A$4:$A$810,$A189,$E$4:$E$810,"Win")))*SUMIFS($X$4:$X$810,$A$4:$A$810,$A189,$E$4:$E$810,"Loss"),-('Guide &amp; Settings'!$C$42/($F189-1))*$X189)))</f>
        <v>5.2598655984543585</v>
      </c>
      <c r="K189" s="118">
        <f>IF($D189="",0,'Guide &amp; Settings'!$C$43*(IF($E189="Win",1,0)-$I189))</f>
        <v>8.1923076923076934</v>
      </c>
      <c r="L189" s="119">
        <f>IF($D189="",0,'Guide &amp; Settings'!$C$44*IF($F189&gt;=3,$F189,0))</f>
        <v>4</v>
      </c>
      <c r="M189" s="118">
        <f t="shared" si="37"/>
        <v>17.452173290762051</v>
      </c>
      <c r="N189" s="116">
        <f t="shared" si="38"/>
        <v>1140.664376689045</v>
      </c>
      <c r="O189" s="115" t="str">
        <f t="shared" si="39"/>
        <v>OK</v>
      </c>
      <c r="P189">
        <f t="shared" si="40"/>
        <v>1049.6730863794114</v>
      </c>
      <c r="Q189">
        <f t="shared" si="41"/>
        <v>0.60427866335325575</v>
      </c>
      <c r="R189">
        <f t="shared" si="42"/>
        <v>0.8</v>
      </c>
      <c r="S189">
        <f t="shared" si="43"/>
        <v>2.5212121212121215</v>
      </c>
      <c r="T189" s="83">
        <f t="shared" si="44"/>
        <v>8</v>
      </c>
      <c r="U189" s="120">
        <f>IF($D189="",0,IFERROR(LOOKUP(2,1/(($D$3:D188=$D189)*($C$3:C188=$C189)*($A$3:A188&lt;$A189)),$AB$3:AB188),1000))</f>
        <v>1067.8689195278262</v>
      </c>
      <c r="V189" s="120">
        <f t="shared" si="45"/>
        <v>1089.1547979395402</v>
      </c>
      <c r="W189">
        <f t="shared" si="46"/>
        <v>1028.909899463682</v>
      </c>
      <c r="X189">
        <f t="shared" si="47"/>
        <v>0.5858407693210439</v>
      </c>
      <c r="Y189">
        <f t="shared" si="48"/>
        <v>1016.1922468209593</v>
      </c>
      <c r="Z189">
        <f t="shared" si="49"/>
        <v>0.5738251048695524</v>
      </c>
      <c r="AA189">
        <f>IF($D189="",0,IF($F189&lt;2,0,IF($E189="Win",('Guide &amp; Settings'!$C$42/(($F189-1)*COUNTIFS($A$4:$A$810,$A189,$E$4:$E$810,"Win")))*SUMIFS($Z$4:$Z$810,$A$4:$A$810,$A189,$E$4:$E$810,"Loss"),-('Guide &amp; Settings'!$C$42/($F189-1))*$Z189)))</f>
        <v>5.2898391817695778</v>
      </c>
      <c r="AB189" s="120">
        <f t="shared" si="50"/>
        <v>1073.1587587095958</v>
      </c>
      <c r="AC189" s="120">
        <f>IF($D189="","",IF(SUMPRODUCT(MAX(($D$4:$D$810=$D189)*($B$4:$B$810&lt;$B189)*$B$4:$B$810))=0,0,MAX(($B189-MAX(SUMPRODUCT(MAX(($D$4:$D$810=$D189)*($B$4:$B$810&lt;$B189)*$B$4:$B$810)),'Guide &amp; Settings'!$C$50))/7-'Guide &amp; Settings'!$C$48,0)*'Guide &amp; Settings'!$C$49))</f>
        <v>0</v>
      </c>
    </row>
    <row r="190" spans="1:29" ht="15" customHeight="1" x14ac:dyDescent="0.2">
      <c r="A190" s="111">
        <v>79</v>
      </c>
      <c r="B190" s="112">
        <v>46188</v>
      </c>
      <c r="C190" s="113" t="s">
        <v>206</v>
      </c>
      <c r="D190" s="113" t="s">
        <v>135</v>
      </c>
      <c r="E190" s="111" t="s">
        <v>309</v>
      </c>
      <c r="F190" s="114">
        <f t="shared" si="34"/>
        <v>4</v>
      </c>
      <c r="G190" s="115" t="str">
        <f t="shared" si="35"/>
        <v>Simon</v>
      </c>
      <c r="H190" s="116">
        <f>IF($D190="",0,IFERROR(LOOKUP(2,1/(($D$3:D189=$D190)*($A$3:A189&lt;$A190)),$N$3:N189),'Guide &amp; Settings'!$C$41))</f>
        <v>1027.3576150733875</v>
      </c>
      <c r="I190" s="117">
        <f t="shared" si="36"/>
        <v>0.26442307692307687</v>
      </c>
      <c r="J190" s="118">
        <f>IF($D190="",0,IF($F190&lt;2,0,IF($E190="Win",('Guide &amp; Settings'!$C$42/(($F190-1)*COUNTIFS($A$4:$A$810,$A190,$E$4:$E$810,"Win")))*SUMIFS($X$4:$X$810,$A$4:$A$810,$A190,$E$4:$E$810,"Loss"),-('Guide &amp; Settings'!$C$42/($F190-1))*$X190)))</f>
        <v>-5.2677369683220068</v>
      </c>
      <c r="K190" s="118">
        <f>IF($D190="",0,'Guide &amp; Settings'!$C$43*(IF($E190="Win",1,0)-$I190))</f>
        <v>-3.1730769230769225</v>
      </c>
      <c r="L190" s="119">
        <f>IF($D190="",0,'Guide &amp; Settings'!$C$44*IF($F190&gt;=3,$F190,0))</f>
        <v>4</v>
      </c>
      <c r="M190" s="118">
        <f t="shared" si="37"/>
        <v>-4.4408138913989283</v>
      </c>
      <c r="N190" s="116">
        <f t="shared" si="38"/>
        <v>1022.9168011819886</v>
      </c>
      <c r="O190" s="115" t="str">
        <f t="shared" si="39"/>
        <v>OK</v>
      </c>
      <c r="P190">
        <f t="shared" si="40"/>
        <v>1049.6730863794114</v>
      </c>
      <c r="Q190">
        <f t="shared" si="41"/>
        <v>0.46792954403890336</v>
      </c>
      <c r="R190">
        <f t="shared" si="42"/>
        <v>0.66666666666666663</v>
      </c>
      <c r="S190">
        <f t="shared" si="43"/>
        <v>2.5212121212121215</v>
      </c>
      <c r="T190" s="83">
        <f t="shared" si="44"/>
        <v>4</v>
      </c>
      <c r="U190" s="120">
        <f>IF($D190="",0,IFERROR(LOOKUP(2,1/(($D$3:D189=$D190)*($C$3:C189=$C190)*($A$3:A189&lt;$A190)),$AB$3:AB189),1000))</f>
        <v>1021.2350230564828</v>
      </c>
      <c r="V190" s="120">
        <f t="shared" si="45"/>
        <v>1024.6364630658743</v>
      </c>
      <c r="W190">
        <f t="shared" si="46"/>
        <v>1028.909899463682</v>
      </c>
      <c r="X190">
        <f t="shared" si="47"/>
        <v>0.49385034078018819</v>
      </c>
      <c r="Y190">
        <f t="shared" si="48"/>
        <v>1016.1922468209593</v>
      </c>
      <c r="Z190">
        <f t="shared" si="49"/>
        <v>0.50725662880346523</v>
      </c>
      <c r="AA190">
        <f>IF($D190="",0,IF($F190&lt;2,0,IF($E190="Win",('Guide &amp; Settings'!$C$42/(($F190-1)*COUNTIFS($A$4:$A$810,$A190,$E$4:$E$810,"Win")))*SUMIFS($Z$4:$Z$810,$A$4:$A$810,$A190,$E$4:$E$810,"Loss"),-('Guide &amp; Settings'!$C$42/($F190-1))*$Z190)))</f>
        <v>-5.4107373739036291</v>
      </c>
      <c r="AB190" s="120">
        <f t="shared" si="50"/>
        <v>1015.8242856825791</v>
      </c>
      <c r="AC190" s="120">
        <f>IF($D190="","",IF(SUMPRODUCT(MAX(($D$4:$D$810=$D190)*($B$4:$B$810&lt;$B190)*$B$4:$B$810))=0,0,MAX(($B190-MAX(SUMPRODUCT(MAX(($D$4:$D$810=$D190)*($B$4:$B$810&lt;$B190)*$B$4:$B$810)),'Guide &amp; Settings'!$C$50))/7-'Guide &amp; Settings'!$C$48,0)*'Guide &amp; Settings'!$C$49))</f>
        <v>0</v>
      </c>
    </row>
    <row r="191" spans="1:29" ht="15" customHeight="1" x14ac:dyDescent="0.2">
      <c r="A191" s="111">
        <v>79</v>
      </c>
      <c r="B191" s="112">
        <v>46188</v>
      </c>
      <c r="C191" s="113" t="s">
        <v>206</v>
      </c>
      <c r="D191" s="113" t="s">
        <v>172</v>
      </c>
      <c r="E191" s="111" t="s">
        <v>309</v>
      </c>
      <c r="F191" s="114">
        <f t="shared" si="34"/>
        <v>4</v>
      </c>
      <c r="G191" s="115" t="str">
        <f t="shared" si="35"/>
        <v>Simon</v>
      </c>
      <c r="H191" s="116">
        <f>IF($D191="",0,IFERROR(LOOKUP(2,1/(($D$3:D190=$D191)*($A$3:A190&lt;$A191)),$N$3:N190),'Guide &amp; Settings'!$C$41))</f>
        <v>1034.4893617981895</v>
      </c>
      <c r="I191" s="117">
        <f t="shared" si="36"/>
        <v>0.23798076923076919</v>
      </c>
      <c r="J191" s="118">
        <f>IF($D191="",0,IF($F191&lt;2,0,IF($E191="Win",('Guide &amp; Settings'!$C$42/(($F191-1)*COUNTIFS($A$4:$A$810,$A191,$E$4:$E$810,"Win")))*SUMIFS($X$4:$X$810,$A$4:$A$810,$A191,$E$4:$E$810,"Loss"),-('Guide &amp; Settings'!$C$42/($F191-1))*$X191)))</f>
        <v>-5.2519942285867094</v>
      </c>
      <c r="K191" s="118">
        <f>IF($D191="",0,'Guide &amp; Settings'!$C$43*(IF($E191="Win",1,0)-$I191))</f>
        <v>-2.8557692307692304</v>
      </c>
      <c r="L191" s="119">
        <f>IF($D191="",0,'Guide &amp; Settings'!$C$44*IF($F191&gt;=3,$F191,0))</f>
        <v>4</v>
      </c>
      <c r="M191" s="118">
        <f t="shared" si="37"/>
        <v>-4.1077634593559402</v>
      </c>
      <c r="N191" s="116">
        <f t="shared" si="38"/>
        <v>1030.3815983388336</v>
      </c>
      <c r="O191" s="115" t="str">
        <f t="shared" si="39"/>
        <v>OK</v>
      </c>
      <c r="P191">
        <f t="shared" si="40"/>
        <v>1049.6730863794114</v>
      </c>
      <c r="Q191">
        <f t="shared" si="41"/>
        <v>0.4781627642864188</v>
      </c>
      <c r="R191">
        <f t="shared" si="42"/>
        <v>0.6</v>
      </c>
      <c r="S191">
        <f t="shared" si="43"/>
        <v>2.5212121212121215</v>
      </c>
      <c r="T191" s="83">
        <f t="shared" si="44"/>
        <v>3</v>
      </c>
      <c r="U191" s="120">
        <f>IF($D191="",0,IFERROR(LOOKUP(2,1/(($D$3:D190=$D191)*($C$3:C190=$C191)*($A$3:A190&lt;$A191)),$AB$3:AB190),1000))</f>
        <v>1005.479650149466</v>
      </c>
      <c r="V191" s="120">
        <f t="shared" si="45"/>
        <v>1023.6107199299182</v>
      </c>
      <c r="W191">
        <f t="shared" si="46"/>
        <v>1028.909899463682</v>
      </c>
      <c r="X191">
        <f t="shared" si="47"/>
        <v>0.49237445893000403</v>
      </c>
      <c r="Y191">
        <f t="shared" si="48"/>
        <v>1016.1922468209593</v>
      </c>
      <c r="Z191">
        <f t="shared" si="49"/>
        <v>0.48458821777833072</v>
      </c>
      <c r="AA191">
        <f>IF($D191="",0,IF($F191&lt;2,0,IF($E191="Win",('Guide &amp; Settings'!$C$42/(($F191-1)*COUNTIFS($A$4:$A$810,$A191,$E$4:$E$810,"Win")))*SUMIFS($Z$4:$Z$810,$A$4:$A$810,$A191,$E$4:$E$810,"Loss"),-('Guide &amp; Settings'!$C$42/($F191-1))*$Z191)))</f>
        <v>-5.1689409896355274</v>
      </c>
      <c r="AB191" s="120">
        <f t="shared" si="50"/>
        <v>1000.3107091598305</v>
      </c>
      <c r="AC191" s="120">
        <f>IF($D191="","",IF(SUMPRODUCT(MAX(($D$4:$D$810=$D191)*($B$4:$B$810&lt;$B191)*$B$4:$B$810))=0,0,MAX(($B191-MAX(SUMPRODUCT(MAX(($D$4:$D$810=$D191)*($B$4:$B$810&lt;$B191)*$B$4:$B$810)),'Guide &amp; Settings'!$C$50))/7-'Guide &amp; Settings'!$C$48,0)*'Guide &amp; Settings'!$C$49))</f>
        <v>0</v>
      </c>
    </row>
    <row r="192" spans="1:29" ht="15" customHeight="1" x14ac:dyDescent="0.2">
      <c r="A192" s="111">
        <v>80</v>
      </c>
      <c r="B192" s="112">
        <v>46188</v>
      </c>
      <c r="C192" s="113" t="s">
        <v>206</v>
      </c>
      <c r="D192" s="113" t="s">
        <v>137</v>
      </c>
      <c r="E192" s="111" t="s">
        <v>308</v>
      </c>
      <c r="F192" s="114">
        <f t="shared" si="34"/>
        <v>4</v>
      </c>
      <c r="G192" s="115" t="str">
        <f t="shared" si="35"/>
        <v>Shawn</v>
      </c>
      <c r="H192" s="116">
        <f>IF($D192="",0,IFERROR(LOOKUP(2,1/(($D$3:D191=$D192)*($A$3:A191&lt;$A192)),$N$3:N191),'Guide &amp; Settings'!$C$41))</f>
        <v>1149.159920014753</v>
      </c>
      <c r="I192" s="117">
        <f t="shared" si="36"/>
        <v>0.19075144508670519</v>
      </c>
      <c r="J192" s="118">
        <f>IF($D192="",0,IF($F192&lt;2,0,IF($E192="Win",('Guide &amp; Settings'!$C$42/(($F192-1)*COUNTIFS($A$4:$A$810,$A192,$E$4:$E$810,"Win")))*SUMIFS($X$4:$X$810,$A$4:$A$810,$A192,$E$4:$E$810,"Loss"),-('Guide &amp; Settings'!$C$42/($F192-1))*$X192)))</f>
        <v>5.3459202405647632</v>
      </c>
      <c r="K192" s="118">
        <f>IF($D192="",0,'Guide &amp; Settings'!$C$43*(IF($E192="Win",1,0)-$I192))</f>
        <v>9.7109826589595372</v>
      </c>
      <c r="L192" s="119">
        <f>IF($D192="",0,'Guide &amp; Settings'!$C$44*IF($F192&gt;=3,$F192,0))</f>
        <v>4</v>
      </c>
      <c r="M192" s="118">
        <f t="shared" si="37"/>
        <v>19.056902899524299</v>
      </c>
      <c r="N192" s="116">
        <f t="shared" si="38"/>
        <v>1168.2168229142774</v>
      </c>
      <c r="O192" s="115" t="str">
        <f t="shared" si="39"/>
        <v>OK</v>
      </c>
      <c r="P192">
        <f t="shared" si="40"/>
        <v>1082.1248742962744</v>
      </c>
      <c r="Q192">
        <f t="shared" si="41"/>
        <v>0.59529164353502906</v>
      </c>
      <c r="R192">
        <f t="shared" si="42"/>
        <v>0.42857142857142855</v>
      </c>
      <c r="S192">
        <f t="shared" si="43"/>
        <v>2.2467532467532467</v>
      </c>
      <c r="T192" s="83">
        <f t="shared" si="44"/>
        <v>5</v>
      </c>
      <c r="U192" s="120">
        <f>IF($D192="",0,IFERROR(LOOKUP(2,1/(($D$3:D191=$D192)*($C$3:C191=$C192)*($A$3:A191&lt;$A192)),$AB$3:AB191),1000))</f>
        <v>985.02917710827387</v>
      </c>
      <c r="V192" s="120">
        <f t="shared" si="45"/>
        <v>1067.0945485615134</v>
      </c>
      <c r="W192">
        <f t="shared" si="46"/>
        <v>1036.9299099019486</v>
      </c>
      <c r="X192">
        <f t="shared" si="47"/>
        <v>0.54330165869507263</v>
      </c>
      <c r="Y192">
        <f t="shared" si="48"/>
        <v>992.42865861890732</v>
      </c>
      <c r="Z192">
        <f t="shared" si="49"/>
        <v>0.48935289983328739</v>
      </c>
      <c r="AA192">
        <f>IF($D192="",0,IF($F192&lt;2,0,IF($E192="Win",('Guide &amp; Settings'!$C$42/(($F192-1)*COUNTIFS($A$4:$A$810,$A192,$E$4:$E$810,"Win")))*SUMIFS($Z$4:$Z$810,$A$4:$A$810,$A192,$E$4:$E$810,"Loss"),-('Guide &amp; Settings'!$C$42/($F192-1))*$Z192)))</f>
        <v>5.7686491567091647</v>
      </c>
      <c r="AB192" s="120">
        <f t="shared" si="50"/>
        <v>990.79782626498309</v>
      </c>
      <c r="AC192" s="120">
        <f>IF($D192="","",IF(SUMPRODUCT(MAX(($D$4:$D$810=$D192)*($B$4:$B$810&lt;$B192)*$B$4:$B$810))=0,0,MAX(($B192-MAX(SUMPRODUCT(MAX(($D$4:$D$810=$D192)*($B$4:$B$810&lt;$B192)*$B$4:$B$810)),'Guide &amp; Settings'!$C$50))/7-'Guide &amp; Settings'!$C$48,0)*'Guide &amp; Settings'!$C$49))</f>
        <v>0</v>
      </c>
    </row>
    <row r="193" spans="1:29" ht="15" customHeight="1" x14ac:dyDescent="0.2">
      <c r="A193" s="111">
        <v>80</v>
      </c>
      <c r="B193" s="112">
        <v>46188</v>
      </c>
      <c r="C193" s="113" t="s">
        <v>206</v>
      </c>
      <c r="D193" s="113" t="s">
        <v>134</v>
      </c>
      <c r="E193" s="111" t="s">
        <v>308</v>
      </c>
      <c r="F193" s="114">
        <f t="shared" si="34"/>
        <v>4</v>
      </c>
      <c r="G193" s="115" t="str">
        <f t="shared" si="35"/>
        <v>Shawn</v>
      </c>
      <c r="H193" s="116">
        <f>IF($D193="",0,IFERROR(LOOKUP(2,1/(($D$3:D192=$D193)*($A$3:A192&lt;$A193)),$N$3:N192),'Guide &amp; Settings'!$C$41))</f>
        <v>1015.0898285777957</v>
      </c>
      <c r="I193" s="117">
        <f t="shared" si="36"/>
        <v>0.22254335260115607</v>
      </c>
      <c r="J193" s="118">
        <f>IF($D193="",0,IF($F193&lt;2,0,IF($E193="Win",('Guide &amp; Settings'!$C$42/(($F193-1)*COUNTIFS($A$4:$A$810,$A193,$E$4:$E$810,"Win")))*SUMIFS($X$4:$X$810,$A$4:$A$810,$A193,$E$4:$E$810,"Loss"),-('Guide &amp; Settings'!$C$42/($F193-1))*$X193)))</f>
        <v>5.3459202405647632</v>
      </c>
      <c r="K193" s="118">
        <f>IF($D193="",0,'Guide &amp; Settings'!$C$43*(IF($E193="Win",1,0)-$I193))</f>
        <v>9.3294797687861273</v>
      </c>
      <c r="L193" s="119">
        <f>IF($D193="",0,'Guide &amp; Settings'!$C$44*IF($F193&gt;=3,$F193,0))</f>
        <v>4</v>
      </c>
      <c r="M193" s="118">
        <f t="shared" si="37"/>
        <v>18.675400009350891</v>
      </c>
      <c r="N193" s="116">
        <f t="shared" si="38"/>
        <v>1033.7652285871466</v>
      </c>
      <c r="O193" s="115" t="str">
        <f t="shared" si="39"/>
        <v>OK</v>
      </c>
      <c r="P193">
        <f t="shared" si="40"/>
        <v>1082.1248742962744</v>
      </c>
      <c r="Q193">
        <f t="shared" si="41"/>
        <v>0.40470835646497089</v>
      </c>
      <c r="R193">
        <f t="shared" si="42"/>
        <v>0.5</v>
      </c>
      <c r="S193">
        <f t="shared" si="43"/>
        <v>2.2467532467532467</v>
      </c>
      <c r="T193" s="83">
        <f t="shared" si="44"/>
        <v>6</v>
      </c>
      <c r="U193" s="120">
        <f>IF($D193="",0,IFERROR(LOOKUP(2,1/(($D$3:D192=$D193)*($C$3:C192=$C193)*($A$3:A192&lt;$A193)),$AB$3:AB192),1000))</f>
        <v>999.82814012954088</v>
      </c>
      <c r="V193" s="120">
        <f t="shared" si="45"/>
        <v>1006.765271242384</v>
      </c>
      <c r="W193">
        <f t="shared" si="46"/>
        <v>1036.9299099019486</v>
      </c>
      <c r="X193">
        <f t="shared" si="47"/>
        <v>0.4566983413049277</v>
      </c>
      <c r="Y193">
        <f t="shared" si="48"/>
        <v>992.42865861890732</v>
      </c>
      <c r="Z193">
        <f t="shared" si="49"/>
        <v>0.51064710016671289</v>
      </c>
      <c r="AA193">
        <f>IF($D193="",0,IF($F193&lt;2,0,IF($E193="Win",('Guide &amp; Settings'!$C$42/(($F193-1)*COUNTIFS($A$4:$A$810,$A193,$E$4:$E$810,"Win")))*SUMIFS($Z$4:$Z$810,$A$4:$A$810,$A193,$E$4:$E$810,"Loss"),-('Guide &amp; Settings'!$C$42/($F193-1))*$Z193)))</f>
        <v>5.7686491567091647</v>
      </c>
      <c r="AB193" s="120">
        <f t="shared" si="50"/>
        <v>1005.5967892862501</v>
      </c>
      <c r="AC193" s="120">
        <f>IF($D193="","",IF(SUMPRODUCT(MAX(($D$4:$D$810=$D193)*($B$4:$B$810&lt;$B193)*$B$4:$B$810))=0,0,MAX(($B193-MAX(SUMPRODUCT(MAX(($D$4:$D$810=$D193)*($B$4:$B$810&lt;$B193)*$B$4:$B$810)),'Guide &amp; Settings'!$C$50))/7-'Guide &amp; Settings'!$C$48,0)*'Guide &amp; Settings'!$C$49))</f>
        <v>0</v>
      </c>
    </row>
    <row r="194" spans="1:29" ht="15" customHeight="1" x14ac:dyDescent="0.2">
      <c r="A194" s="111">
        <v>80</v>
      </c>
      <c r="B194" s="112">
        <v>46188</v>
      </c>
      <c r="C194" s="113" t="s">
        <v>206</v>
      </c>
      <c r="D194" s="113" t="s">
        <v>168</v>
      </c>
      <c r="E194" s="111" t="s">
        <v>309</v>
      </c>
      <c r="F194" s="114">
        <f t="shared" si="34"/>
        <v>4</v>
      </c>
      <c r="G194" s="115" t="str">
        <f t="shared" si="35"/>
        <v>Shawn</v>
      </c>
      <c r="H194" s="116">
        <f>IF($D194="",0,IFERROR(LOOKUP(2,1/(($D$3:D193=$D194)*($A$3:A193&lt;$A194)),$N$3:N193),'Guide &amp; Settings'!$C$41))</f>
        <v>1140.664376689045</v>
      </c>
      <c r="I194" s="117">
        <f t="shared" si="36"/>
        <v>0.3641618497109827</v>
      </c>
      <c r="J194" s="118">
        <f>IF($D194="",0,IF($F194&lt;2,0,IF($E194="Win",('Guide &amp; Settings'!$C$42/(($F194-1)*COUNTIFS($A$4:$A$810,$A194,$E$4:$E$810,"Win")))*SUMIFS($X$4:$X$810,$A$4:$A$810,$A194,$E$4:$E$810,"Loss"),-('Guide &amp; Settings'!$C$42/($F194-1))*$X194)))</f>
        <v>-6.2503551510642659</v>
      </c>
      <c r="K194" s="118">
        <f>IF($D194="",0,'Guide &amp; Settings'!$C$43*(IF($E194="Win",1,0)-$I194))</f>
        <v>-4.3699421965317926</v>
      </c>
      <c r="L194" s="119">
        <f>IF($D194="",0,'Guide &amp; Settings'!$C$44*IF($F194&gt;=3,$F194,0))</f>
        <v>4</v>
      </c>
      <c r="M194" s="118">
        <f t="shared" si="37"/>
        <v>-6.6202973475960576</v>
      </c>
      <c r="N194" s="116">
        <f t="shared" si="38"/>
        <v>1134.0440793414489</v>
      </c>
      <c r="O194" s="115" t="str">
        <f t="shared" si="39"/>
        <v>OK</v>
      </c>
      <c r="P194">
        <f t="shared" si="40"/>
        <v>1082.1248742962744</v>
      </c>
      <c r="Q194">
        <f t="shared" si="41"/>
        <v>0.5834568555633578</v>
      </c>
      <c r="R194">
        <f t="shared" si="42"/>
        <v>0.81818181818181823</v>
      </c>
      <c r="S194">
        <f t="shared" si="43"/>
        <v>2.2467532467532467</v>
      </c>
      <c r="T194" s="83">
        <f t="shared" si="44"/>
        <v>9</v>
      </c>
      <c r="U194" s="120">
        <f>IF($D194="",0,IFERROR(LOOKUP(2,1/(($D$3:D193=$D194)*($C$3:C193=$C194)*($A$3:A193&lt;$A194)),$AB$3:AB193),1000))</f>
        <v>1073.1587587095958</v>
      </c>
      <c r="V194" s="120">
        <f t="shared" si="45"/>
        <v>1097.2679079879704</v>
      </c>
      <c r="W194">
        <f t="shared" si="46"/>
        <v>1036.9299099019486</v>
      </c>
      <c r="X194">
        <f t="shared" si="47"/>
        <v>0.58597079541227493</v>
      </c>
      <c r="Y194">
        <f t="shared" si="48"/>
        <v>992.42865861890732</v>
      </c>
      <c r="Z194">
        <f t="shared" si="49"/>
        <v>0.61413324787417245</v>
      </c>
      <c r="AA194">
        <f>IF($D194="",0,IF($F194&lt;2,0,IF($E194="Win",('Guide &amp; Settings'!$C$42/(($F194-1)*COUNTIFS($A$4:$A$810,$A194,$E$4:$E$810,"Win")))*SUMIFS($Z$4:$Z$810,$A$4:$A$810,$A194,$E$4:$E$810,"Loss"),-('Guide &amp; Settings'!$C$42/($F194-1))*$Z194)))</f>
        <v>-6.5507546439911728</v>
      </c>
      <c r="AB194" s="120">
        <f t="shared" si="50"/>
        <v>1066.6080040656045</v>
      </c>
      <c r="AC194" s="120">
        <f>IF($D194="","",IF(SUMPRODUCT(MAX(($D$4:$D$810=$D194)*($B$4:$B$810&lt;$B194)*$B$4:$B$810))=0,0,MAX(($B194-MAX(SUMPRODUCT(MAX(($D$4:$D$810=$D194)*($B$4:$B$810&lt;$B194)*$B$4:$B$810)),'Guide &amp; Settings'!$C$50))/7-'Guide &amp; Settings'!$C$48,0)*'Guide &amp; Settings'!$C$49))</f>
        <v>0</v>
      </c>
    </row>
    <row r="195" spans="1:29" ht="15" customHeight="1" x14ac:dyDescent="0.2">
      <c r="A195" s="111">
        <v>80</v>
      </c>
      <c r="B195" s="112">
        <v>46188</v>
      </c>
      <c r="C195" s="113" t="s">
        <v>206</v>
      </c>
      <c r="D195" s="113" t="s">
        <v>169</v>
      </c>
      <c r="E195" s="111" t="s">
        <v>309</v>
      </c>
      <c r="F195" s="114">
        <f t="shared" si="34"/>
        <v>4</v>
      </c>
      <c r="G195" s="115" t="str">
        <f t="shared" si="35"/>
        <v>Shawn</v>
      </c>
      <c r="H195" s="116">
        <f>IF($D195="",0,IFERROR(LOOKUP(2,1/(($D$3:D194=$D195)*($A$3:A194&lt;$A195)),$N$3:N194),'Guide &amp; Settings'!$C$41))</f>
        <v>995.23037342053249</v>
      </c>
      <c r="I195" s="117">
        <f t="shared" si="36"/>
        <v>0.22254335260115607</v>
      </c>
      <c r="J195" s="118">
        <f>IF($D195="",0,IF($F195&lt;2,0,IF($E195="Win",('Guide &amp; Settings'!$C$42/(($F195-1)*COUNTIFS($A$4:$A$810,$A195,$E$4:$E$810,"Win")))*SUMIFS($X$4:$X$810,$A$4:$A$810,$A195,$E$4:$E$810,"Loss"),-('Guide &amp; Settings'!$C$42/($F195-1))*$X195)))</f>
        <v>-4.4414853300652597</v>
      </c>
      <c r="K195" s="118">
        <f>IF($D195="",0,'Guide &amp; Settings'!$C$43*(IF($E195="Win",1,0)-$I195))</f>
        <v>-2.6705202312138727</v>
      </c>
      <c r="L195" s="119">
        <f>IF($D195="",0,'Guide &amp; Settings'!$C$44*IF($F195&gt;=3,$F195,0))</f>
        <v>4</v>
      </c>
      <c r="M195" s="118">
        <f t="shared" si="37"/>
        <v>-3.1120055612791324</v>
      </c>
      <c r="N195" s="116">
        <f t="shared" si="38"/>
        <v>992.11836785925334</v>
      </c>
      <c r="O195" s="115" t="str">
        <f t="shared" si="39"/>
        <v>OK</v>
      </c>
      <c r="P195">
        <f t="shared" si="40"/>
        <v>1082.1248742962744</v>
      </c>
      <c r="Q195">
        <f t="shared" si="41"/>
        <v>0.37749250459829914</v>
      </c>
      <c r="R195">
        <f t="shared" si="42"/>
        <v>0.5</v>
      </c>
      <c r="S195">
        <f t="shared" si="43"/>
        <v>2.2467532467532467</v>
      </c>
      <c r="T195" s="83">
        <f t="shared" si="44"/>
        <v>10</v>
      </c>
      <c r="U195" s="120">
        <f>IF($D195="",0,IFERROR(LOOKUP(2,1/(($D$3:D194=$D195)*($C$3:C194=$C195)*($A$3:A194&lt;$A195)),$AB$3:AB194),1000))</f>
        <v>969.80541329586208</v>
      </c>
      <c r="V195" s="120">
        <f t="shared" si="45"/>
        <v>978.28040000408555</v>
      </c>
      <c r="W195">
        <f t="shared" si="46"/>
        <v>1036.9299099019486</v>
      </c>
      <c r="X195">
        <f t="shared" si="47"/>
        <v>0.41638924969361812</v>
      </c>
      <c r="Y195">
        <f t="shared" si="48"/>
        <v>992.42865861890732</v>
      </c>
      <c r="Z195">
        <f t="shared" si="49"/>
        <v>0.46748846900879604</v>
      </c>
      <c r="AA195">
        <f>IF($D195="",0,IF($F195&lt;2,0,IF($E195="Win",('Guide &amp; Settings'!$C$42/(($F195-1)*COUNTIFS($A$4:$A$810,$A195,$E$4:$E$810,"Win")))*SUMIFS($Z$4:$Z$810,$A$4:$A$810,$A195,$E$4:$E$810,"Loss"),-('Guide &amp; Settings'!$C$42/($F195-1))*$Z195)))</f>
        <v>-4.9865436694271574</v>
      </c>
      <c r="AB195" s="120">
        <f t="shared" si="50"/>
        <v>964.81886962643489</v>
      </c>
      <c r="AC195" s="120">
        <f>IF($D195="","",IF(SUMPRODUCT(MAX(($D$4:$D$810=$D195)*($B$4:$B$810&lt;$B195)*$B$4:$B$810))=0,0,MAX(($B195-MAX(SUMPRODUCT(MAX(($D$4:$D$810=$D195)*($B$4:$B$810&lt;$B195)*$B$4:$B$810)),'Guide &amp; Settings'!$C$50))/7-'Guide &amp; Settings'!$C$48,0)*'Guide &amp; Settings'!$C$49))</f>
        <v>0</v>
      </c>
    </row>
    <row r="196" spans="1:29" ht="15" customHeight="1" x14ac:dyDescent="0.2">
      <c r="A196" s="111">
        <v>81</v>
      </c>
      <c r="B196" s="112">
        <v>46188</v>
      </c>
      <c r="C196" s="113" t="s">
        <v>206</v>
      </c>
      <c r="D196" s="113" t="s">
        <v>167</v>
      </c>
      <c r="E196" s="111" t="s">
        <v>308</v>
      </c>
      <c r="F196" s="114">
        <f t="shared" ref="F196:F259" si="51">IF($D196="",0,COUNTIF($A$4:$A$810,$A196))</f>
        <v>4</v>
      </c>
      <c r="G196" s="115" t="str">
        <f t="shared" ref="G196:G259" si="52">IF($D196="","",IFERROR(LOOKUP(2,1/(($A$4:$A$810=$A196)*($E$4:$E$810="Win")),$D$4:$D$810),"(no winner)"))</f>
        <v>Daniel (Ferret)</v>
      </c>
      <c r="H196" s="116">
        <f>IF($D196="",0,IFERROR(LOOKUP(2,1/(($D$3:D195=$D196)*($A$3:A195&lt;$A196)),$N$3:N195),'Guide &amp; Settings'!$C$41))</f>
        <v>1129.1224748311113</v>
      </c>
      <c r="I196" s="117">
        <f t="shared" ref="I196:I259" si="53">IF($D196="",0,IF($S196=0,0,$R196/$S196))</f>
        <v>0.3</v>
      </c>
      <c r="J196" s="118">
        <f>IF($D196="",0,IF($F196&lt;2,0,IF($E196="Win",('Guide &amp; Settings'!$C$42/(($F196-1)*COUNTIFS($A$4:$A$810,$A196,$E$4:$E$810,"Win")))*SUMIFS($X$4:$X$810,$A$4:$A$810,$A196,$E$4:$E$810,"Loss"),-('Guide &amp; Settings'!$C$42/($F196-1))*$X196)))</f>
        <v>5.4080184891828296</v>
      </c>
      <c r="K196" s="118">
        <f>IF($D196="",0,'Guide &amp; Settings'!$C$43*(IF($E196="Win",1,0)-$I196))</f>
        <v>8.3999999999999986</v>
      </c>
      <c r="L196" s="119">
        <f>IF($D196="",0,'Guide &amp; Settings'!$C$44*IF($F196&gt;=3,$F196,0))</f>
        <v>4</v>
      </c>
      <c r="M196" s="118">
        <f t="shared" ref="M196:M259" si="54">IF($D196="",0,$J196+$K196+$L196)</f>
        <v>17.808018489182828</v>
      </c>
      <c r="N196" s="116">
        <f t="shared" ref="N196:N259" si="55">IF($D196="",0,$H196+$M196)</f>
        <v>1146.9304933202941</v>
      </c>
      <c r="O196" s="115" t="str">
        <f t="shared" ref="O196:O259" si="56">IF($D196="","",IF(COUNTIFS($A$4:$A$810,$A196,$E$4:$E$810,"Win")=0,"need a winner",IF(COUNTIFS($A$4:$A$810,$A196,$E$4:$E$810,"Loss")=0,"need a loser",IF(COUNTIFS($A$4:$A$810,$A196,$D$4:$D$810,$D196)&gt;1,"duplicate player","OK"))))</f>
        <v>OK</v>
      </c>
      <c r="P196">
        <f t="shared" ref="P196:P259" si="57">IF($D196="",0,IFERROR(SUMIFS($H$4:$H$810,$A$4:$A$810,$A196,$E$4:$E$810,"Win")/COUNTIFS($A$4:$A$810,$A196,$E$4:$E$810,"Win"),0))</f>
        <v>1076.3163129283189</v>
      </c>
      <c r="Q196">
        <f t="shared" ref="Q196:Q259" si="58">IF($D196="",0,1/(1+10^(($P196-$H196)/400)))</f>
        <v>0.57541436593980244</v>
      </c>
      <c r="R196">
        <f t="shared" ref="R196:R259" si="59">IF($D196="",0,(COUNTIFS($D$4:$D$810,$D196,$C$4:$C$810,$C196,$E$4:$E$810,"Win",$A$4:$A$810,"&lt;"&amp;$A196)+1)/(COUNTIFS($D$4:$D$810,$D196,$C$4:$C$810,$C196,$A$4:$A$810,"&lt;"&amp;$A196)+2))</f>
        <v>0.66666666666666663</v>
      </c>
      <c r="S196">
        <f t="shared" ref="S196:S259" si="60">IF($D196="",0,SUMIFS($R$4:$R$810,$A$4:$A$810,$A196))</f>
        <v>2.2222222222222223</v>
      </c>
      <c r="T196" s="83">
        <f t="shared" ref="T196:T259" si="61">IF($D196="",0,COUNTIFS($D$4:$D$810,$D196,$C$4:$C$810,$C196,$A$4:$A$810,"&lt;"&amp;$A196))</f>
        <v>7</v>
      </c>
      <c r="U196" s="120">
        <f>IF($D196="",0,IFERROR(LOOKUP(2,1/(($D$3:D195=$D196)*($C$3:C195=$C196)*($A$3:A195&lt;$A196)),$AB$3:AB195),1000))</f>
        <v>1035.334562809614</v>
      </c>
      <c r="V196" s="120">
        <f t="shared" ref="V196:V259" si="62">IF($D196="",0,$U196*($T196/($T196+5))+$H196*(1-$T196/($T196+5)))</f>
        <v>1074.4128594852377</v>
      </c>
      <c r="W196">
        <f t="shared" ref="W196:W259" si="63">IF($D196="",0,IFERROR(SUMIFS($V$4:$V$810,$A$4:$A$810,$A196,$E$4:$E$810,"Win")/COUNTIFS($A$4:$A$810,$A196,$E$4:$E$810,"Win"),0))</f>
        <v>1039.4930500619125</v>
      </c>
      <c r="X196">
        <f t="shared" ref="X196:X259" si="64">IF($D196="",0,1/(1+10^(($W196-$V196)/400)))</f>
        <v>0.55008511034765195</v>
      </c>
      <c r="Y196">
        <f t="shared" ref="Y196:Y259" si="65">IF($D196="",0,IFERROR(SUMIFS($U$4:$U$810,$A$4:$A$810,$A196,$E$4:$E$810,"Win")/COUNTIFS($A$4:$A$810,$A196,$E$4:$E$810,"Win"),0))</f>
        <v>1012.0635223962095</v>
      </c>
      <c r="Z196">
        <f t="shared" ref="Z196:Z259" si="66">IF($D196="",0,1/(1+10^(($Y196-$U196)/400)))</f>
        <v>0.5334397278984826</v>
      </c>
      <c r="AA196">
        <f>IF($D196="",0,IF($F196&lt;2,0,IF($E196="Win",('Guide &amp; Settings'!$C$42/(($F196-1)*COUNTIFS($A$4:$A$810,$A196,$E$4:$E$810,"Win")))*SUMIFS($Z$4:$Z$810,$A$4:$A$810,$A196,$E$4:$E$810,"Loss"),-('Guide &amp; Settings'!$C$42/($F196-1))*$Z196)))</f>
        <v>5.120688326447592</v>
      </c>
      <c r="AB196" s="120">
        <f t="shared" ref="AB196:AB259" si="67">IF($D196="",0,$U196+$AA196)</f>
        <v>1040.4552511360616</v>
      </c>
      <c r="AC196" s="120">
        <f>IF($D196="","",IF(SUMPRODUCT(MAX(($D$4:$D$810=$D196)*($B$4:$B$810&lt;$B196)*$B$4:$B$810))=0,0,MAX(($B196-MAX(SUMPRODUCT(MAX(($D$4:$D$810=$D196)*($B$4:$B$810&lt;$B196)*$B$4:$B$810)),'Guide &amp; Settings'!$C$50))/7-'Guide &amp; Settings'!$C$48,0)*'Guide &amp; Settings'!$C$49))</f>
        <v>0</v>
      </c>
    </row>
    <row r="197" spans="1:29" ht="15" customHeight="1" x14ac:dyDescent="0.2">
      <c r="A197" s="111">
        <v>81</v>
      </c>
      <c r="B197" s="112">
        <v>46188</v>
      </c>
      <c r="C197" s="113" t="s">
        <v>206</v>
      </c>
      <c r="D197" s="113" t="s">
        <v>170</v>
      </c>
      <c r="E197" s="111" t="s">
        <v>308</v>
      </c>
      <c r="F197" s="114">
        <f t="shared" si="51"/>
        <v>4</v>
      </c>
      <c r="G197" s="115" t="str">
        <f t="shared" si="52"/>
        <v>Daniel (Ferret)</v>
      </c>
      <c r="H197" s="116">
        <f>IF($D197="",0,IFERROR(LOOKUP(2,1/(($D$3:D196=$D197)*($A$3:A196&lt;$A197)),$N$3:N196),'Guide &amp; Settings'!$C$41))</f>
        <v>1023.5101510255264</v>
      </c>
      <c r="I197" s="117">
        <f t="shared" si="53"/>
        <v>0.22499999999999998</v>
      </c>
      <c r="J197" s="118">
        <f>IF($D197="",0,IF($F197&lt;2,0,IF($E197="Win",('Guide &amp; Settings'!$C$42/(($F197-1)*COUNTIFS($A$4:$A$810,$A197,$E$4:$E$810,"Win")))*SUMIFS($X$4:$X$810,$A$4:$A$810,$A197,$E$4:$E$810,"Loss"),-('Guide &amp; Settings'!$C$42/($F197-1))*$X197)))</f>
        <v>5.4080184891828296</v>
      </c>
      <c r="K197" s="118">
        <f>IF($D197="",0,'Guide &amp; Settings'!$C$43*(IF($E197="Win",1,0)-$I197))</f>
        <v>9.3000000000000007</v>
      </c>
      <c r="L197" s="119">
        <f>IF($D197="",0,'Guide &amp; Settings'!$C$44*IF($F197&gt;=3,$F197,0))</f>
        <v>4</v>
      </c>
      <c r="M197" s="118">
        <f t="shared" si="54"/>
        <v>18.70801848918283</v>
      </c>
      <c r="N197" s="116">
        <f t="shared" si="55"/>
        <v>1042.2181695147092</v>
      </c>
      <c r="O197" s="115" t="str">
        <f t="shared" si="56"/>
        <v>OK</v>
      </c>
      <c r="P197">
        <f t="shared" si="57"/>
        <v>1076.3163129283189</v>
      </c>
      <c r="Q197">
        <f t="shared" si="58"/>
        <v>0.42458563406019734</v>
      </c>
      <c r="R197">
        <f t="shared" si="59"/>
        <v>0.5</v>
      </c>
      <c r="S197">
        <f t="shared" si="60"/>
        <v>2.2222222222222223</v>
      </c>
      <c r="T197" s="83">
        <f t="shared" si="61"/>
        <v>6</v>
      </c>
      <c r="U197" s="120">
        <f>IF($D197="",0,IFERROR(LOOKUP(2,1/(($D$3:D196=$D197)*($C$3:C196=$C197)*($A$3:A196&lt;$A197)),$AB$3:AB196),1000))</f>
        <v>988.79248198280493</v>
      </c>
      <c r="V197" s="120">
        <f t="shared" si="62"/>
        <v>1004.5732406385873</v>
      </c>
      <c r="W197">
        <f t="shared" si="63"/>
        <v>1039.4930500619125</v>
      </c>
      <c r="X197">
        <f t="shared" si="64"/>
        <v>0.4499148896523481</v>
      </c>
      <c r="Y197">
        <f t="shared" si="65"/>
        <v>1012.0635223962095</v>
      </c>
      <c r="Z197">
        <f t="shared" si="66"/>
        <v>0.4665602721015174</v>
      </c>
      <c r="AA197">
        <f>IF($D197="",0,IF($F197&lt;2,0,IF($E197="Win",('Guide &amp; Settings'!$C$42/(($F197-1)*COUNTIFS($A$4:$A$810,$A197,$E$4:$E$810,"Win")))*SUMIFS($Z$4:$Z$810,$A$4:$A$810,$A197,$E$4:$E$810,"Loss"),-('Guide &amp; Settings'!$C$42/($F197-1))*$Z197)))</f>
        <v>5.120688326447592</v>
      </c>
      <c r="AB197" s="120">
        <f t="shared" si="67"/>
        <v>993.91317030925256</v>
      </c>
      <c r="AC197" s="120">
        <f>IF($D197="","",IF(SUMPRODUCT(MAX(($D$4:$D$810=$D197)*($B$4:$B$810&lt;$B197)*$B$4:$B$810))=0,0,MAX(($B197-MAX(SUMPRODUCT(MAX(($D$4:$D$810=$D197)*($B$4:$B$810&lt;$B197)*$B$4:$B$810)),'Guide &amp; Settings'!$C$50))/7-'Guide &amp; Settings'!$C$48,0)*'Guide &amp; Settings'!$C$49))</f>
        <v>0</v>
      </c>
    </row>
    <row r="198" spans="1:29" ht="15" customHeight="1" x14ac:dyDescent="0.2">
      <c r="A198" s="111">
        <v>81</v>
      </c>
      <c r="B198" s="112">
        <v>46188</v>
      </c>
      <c r="C198" s="113" t="s">
        <v>206</v>
      </c>
      <c r="D198" s="113" t="s">
        <v>137</v>
      </c>
      <c r="E198" s="111" t="s">
        <v>309</v>
      </c>
      <c r="F198" s="114">
        <f t="shared" si="51"/>
        <v>4</v>
      </c>
      <c r="G198" s="115" t="str">
        <f t="shared" si="52"/>
        <v>Daniel (Ferret)</v>
      </c>
      <c r="H198" s="116">
        <f>IF($D198="",0,IFERROR(LOOKUP(2,1/(($D$3:D197=$D198)*($A$3:A197&lt;$A198)),$N$3:N197),'Guide &amp; Settings'!$C$41))</f>
        <v>1168.2168229142774</v>
      </c>
      <c r="I198" s="117">
        <f t="shared" si="53"/>
        <v>0.22499999999999998</v>
      </c>
      <c r="J198" s="118">
        <f>IF($D198="",0,IF($F198&lt;2,0,IF($E198="Win",('Guide &amp; Settings'!$C$42/(($F198-1)*COUNTIFS($A$4:$A$810,$A198,$E$4:$E$810,"Win")))*SUMIFS($X$4:$X$810,$A$4:$A$810,$A198,$E$4:$E$810,"Loss"),-('Guide &amp; Settings'!$C$42/($F198-1))*$X198)))</f>
        <v>-5.8224026825282742</v>
      </c>
      <c r="K198" s="118">
        <f>IF($D198="",0,'Guide &amp; Settings'!$C$43*(IF($E198="Win",1,0)-$I198))</f>
        <v>-2.6999999999999997</v>
      </c>
      <c r="L198" s="119">
        <f>IF($D198="",0,'Guide &amp; Settings'!$C$44*IF($F198&gt;=3,$F198,0))</f>
        <v>4</v>
      </c>
      <c r="M198" s="118">
        <f t="shared" si="54"/>
        <v>-4.5224026825282735</v>
      </c>
      <c r="N198" s="116">
        <f t="shared" si="55"/>
        <v>1163.6944202317491</v>
      </c>
      <c r="O198" s="115" t="str">
        <f t="shared" si="56"/>
        <v>OK</v>
      </c>
      <c r="P198">
        <f t="shared" si="57"/>
        <v>1076.3163129283189</v>
      </c>
      <c r="Q198">
        <f t="shared" si="58"/>
        <v>0.62925494765594603</v>
      </c>
      <c r="R198">
        <f t="shared" si="59"/>
        <v>0.5</v>
      </c>
      <c r="S198">
        <f t="shared" si="60"/>
        <v>2.2222222222222223</v>
      </c>
      <c r="T198" s="83">
        <f t="shared" si="61"/>
        <v>6</v>
      </c>
      <c r="U198" s="120">
        <f>IF($D198="",0,IFERROR(LOOKUP(2,1/(($D$3:D197=$D198)*($C$3:C197=$C198)*($A$3:A197&lt;$A198)),$AB$3:AB197),1000))</f>
        <v>990.79782626498309</v>
      </c>
      <c r="V198" s="120">
        <f t="shared" si="62"/>
        <v>1071.4428247419351</v>
      </c>
      <c r="W198">
        <f t="shared" si="63"/>
        <v>1039.4930500619125</v>
      </c>
      <c r="X198">
        <f t="shared" si="64"/>
        <v>0.54585025148702571</v>
      </c>
      <c r="Y198">
        <f t="shared" si="65"/>
        <v>1012.0635223962095</v>
      </c>
      <c r="Z198">
        <f t="shared" si="66"/>
        <v>0.46943436371121494</v>
      </c>
      <c r="AA198">
        <f>IF($D198="",0,IF($F198&lt;2,0,IF($E198="Win",('Guide &amp; Settings'!$C$42/(($F198-1)*COUNTIFS($A$4:$A$810,$A198,$E$4:$E$810,"Win")))*SUMIFS($Z$4:$Z$810,$A$4:$A$810,$A198,$E$4:$E$810,"Loss"),-('Guide &amp; Settings'!$C$42/($F198-1))*$Z198)))</f>
        <v>-5.0072998795862924</v>
      </c>
      <c r="AB198" s="120">
        <f t="shared" si="67"/>
        <v>985.79052638539679</v>
      </c>
      <c r="AC198" s="120">
        <f>IF($D198="","",IF(SUMPRODUCT(MAX(($D$4:$D$810=$D198)*($B$4:$B$810&lt;$B198)*$B$4:$B$810))=0,0,MAX(($B198-MAX(SUMPRODUCT(MAX(($D$4:$D$810=$D198)*($B$4:$B$810&lt;$B198)*$B$4:$B$810)),'Guide &amp; Settings'!$C$50))/7-'Guide &amp; Settings'!$C$48,0)*'Guide &amp; Settings'!$C$49))</f>
        <v>0</v>
      </c>
    </row>
    <row r="199" spans="1:29" ht="15" customHeight="1" x14ac:dyDescent="0.2">
      <c r="A199" s="111">
        <v>81</v>
      </c>
      <c r="B199" s="112">
        <v>46188</v>
      </c>
      <c r="C199" s="113" t="s">
        <v>206</v>
      </c>
      <c r="D199" s="113" t="s">
        <v>134</v>
      </c>
      <c r="E199" s="111" t="s">
        <v>309</v>
      </c>
      <c r="F199" s="114">
        <f t="shared" si="51"/>
        <v>4</v>
      </c>
      <c r="G199" s="115" t="str">
        <f t="shared" si="52"/>
        <v>Daniel (Ferret)</v>
      </c>
      <c r="H199" s="116">
        <f>IF($D199="",0,IFERROR(LOOKUP(2,1/(($D$3:D198=$D199)*($A$3:A198&lt;$A199)),$N$3:N198),'Guide &amp; Settings'!$C$41))</f>
        <v>1033.7652285871466</v>
      </c>
      <c r="I199" s="117">
        <f t="shared" si="53"/>
        <v>0.25</v>
      </c>
      <c r="J199" s="118">
        <f>IF($D199="",0,IF($F199&lt;2,0,IF($E199="Win",('Guide &amp; Settings'!$C$42/(($F199-1)*COUNTIFS($A$4:$A$810,$A199,$E$4:$E$810,"Win")))*SUMIFS($X$4:$X$810,$A$4:$A$810,$A199,$E$4:$E$810,"Loss"),-('Guide &amp; Settings'!$C$42/($F199-1))*$X199)))</f>
        <v>-4.9936342958373849</v>
      </c>
      <c r="K199" s="118">
        <f>IF($D199="",0,'Guide &amp; Settings'!$C$43*(IF($E199="Win",1,0)-$I199))</f>
        <v>-3</v>
      </c>
      <c r="L199" s="119">
        <f>IF($D199="",0,'Guide &amp; Settings'!$C$44*IF($F199&gt;=3,$F199,0))</f>
        <v>4</v>
      </c>
      <c r="M199" s="118">
        <f t="shared" si="54"/>
        <v>-3.9936342958373849</v>
      </c>
      <c r="N199" s="116">
        <f t="shared" si="55"/>
        <v>1029.7715942913092</v>
      </c>
      <c r="O199" s="115" t="str">
        <f t="shared" si="56"/>
        <v>OK</v>
      </c>
      <c r="P199">
        <f t="shared" si="57"/>
        <v>1076.3163129283189</v>
      </c>
      <c r="Q199">
        <f t="shared" si="58"/>
        <v>0.43906840791184393</v>
      </c>
      <c r="R199">
        <f t="shared" si="59"/>
        <v>0.55555555555555558</v>
      </c>
      <c r="S199">
        <f t="shared" si="60"/>
        <v>2.2222222222222223</v>
      </c>
      <c r="T199" s="83">
        <f t="shared" si="61"/>
        <v>7</v>
      </c>
      <c r="U199" s="120">
        <f>IF($D199="",0,IFERROR(LOOKUP(2,1/(($D$3:D198=$D199)*($C$3:C198=$C199)*($A$3:A198&lt;$A199)),$AB$3:AB198),1000))</f>
        <v>1005.5967892862501</v>
      </c>
      <c r="V199" s="120">
        <f t="shared" si="62"/>
        <v>1017.333638994957</v>
      </c>
      <c r="W199">
        <f t="shared" si="63"/>
        <v>1039.4930500619125</v>
      </c>
      <c r="X199">
        <f t="shared" si="64"/>
        <v>0.46815321523475489</v>
      </c>
      <c r="Y199">
        <f t="shared" si="65"/>
        <v>1012.0635223962095</v>
      </c>
      <c r="Z199">
        <f t="shared" si="66"/>
        <v>0.49069469749770855</v>
      </c>
      <c r="AA199">
        <f>IF($D199="",0,IF($F199&lt;2,0,IF($E199="Win",('Guide &amp; Settings'!$C$42/(($F199-1)*COUNTIFS($A$4:$A$810,$A199,$E$4:$E$810,"Win")))*SUMIFS($Z$4:$Z$810,$A$4:$A$810,$A199,$E$4:$E$810,"Loss"),-('Guide &amp; Settings'!$C$42/($F199-1))*$Z199)))</f>
        <v>-5.2340767733088907</v>
      </c>
      <c r="AB199" s="120">
        <f t="shared" si="67"/>
        <v>1000.3627125129412</v>
      </c>
      <c r="AC199" s="120">
        <f>IF($D199="","",IF(SUMPRODUCT(MAX(($D$4:$D$810=$D199)*($B$4:$B$810&lt;$B199)*$B$4:$B$810))=0,0,MAX(($B199-MAX(SUMPRODUCT(MAX(($D$4:$D$810=$D199)*($B$4:$B$810&lt;$B199)*$B$4:$B$810)),'Guide &amp; Settings'!$C$50))/7-'Guide &amp; Settings'!$C$48,0)*'Guide &amp; Settings'!$C$49))</f>
        <v>0</v>
      </c>
    </row>
    <row r="200" spans="1:29" ht="15" customHeight="1" x14ac:dyDescent="0.2">
      <c r="A200" s="111">
        <v>82</v>
      </c>
      <c r="B200" s="112">
        <v>46188</v>
      </c>
      <c r="C200" s="113" t="s">
        <v>206</v>
      </c>
      <c r="D200" s="113" t="s">
        <v>167</v>
      </c>
      <c r="E200" s="111" t="s">
        <v>308</v>
      </c>
      <c r="F200" s="114">
        <f t="shared" si="51"/>
        <v>4</v>
      </c>
      <c r="G200" s="115" t="str">
        <f t="shared" si="52"/>
        <v>Daniel (Ferret)</v>
      </c>
      <c r="H200" s="116">
        <f>IF($D200="",0,IFERROR(LOOKUP(2,1/(($D$3:D199=$D200)*($A$3:A199&lt;$A200)),$N$3:N199),'Guide &amp; Settings'!$C$41))</f>
        <v>1146.9304933202941</v>
      </c>
      <c r="I200" s="117">
        <f t="shared" si="53"/>
        <v>0.38066465256797583</v>
      </c>
      <c r="J200" s="118">
        <f>IF($D200="",0,IF($F200&lt;2,0,IF($E200="Win",('Guide &amp; Settings'!$C$42/(($F200-1)*COUNTIFS($A$4:$A$810,$A200,$E$4:$E$810,"Win")))*SUMIFS($X$4:$X$810,$A$4:$A$810,$A200,$E$4:$E$810,"Loss"),-('Guide &amp; Settings'!$C$42/($F200-1))*$X200)))</f>
        <v>4.2867761685740229</v>
      </c>
      <c r="K200" s="118">
        <f>IF($D200="",0,'Guide &amp; Settings'!$C$43*(IF($E200="Win",1,0)-$I200))</f>
        <v>7.4320241691842908</v>
      </c>
      <c r="L200" s="119">
        <f>IF($D200="",0,'Guide &amp; Settings'!$C$44*IF($F200&gt;=3,$F200,0))</f>
        <v>4</v>
      </c>
      <c r="M200" s="118">
        <f t="shared" si="54"/>
        <v>15.718800337758314</v>
      </c>
      <c r="N200" s="116">
        <f t="shared" si="55"/>
        <v>1162.6492936580523</v>
      </c>
      <c r="O200" s="115" t="str">
        <f t="shared" si="56"/>
        <v>OK</v>
      </c>
      <c r="P200">
        <f t="shared" si="57"/>
        <v>1094.5743314175015</v>
      </c>
      <c r="Q200">
        <f t="shared" si="58"/>
        <v>0.5747813730762773</v>
      </c>
      <c r="R200">
        <f t="shared" si="59"/>
        <v>0.7</v>
      </c>
      <c r="S200">
        <f t="shared" si="60"/>
        <v>1.8388888888888888</v>
      </c>
      <c r="T200" s="83">
        <f t="shared" si="61"/>
        <v>8</v>
      </c>
      <c r="U200" s="120">
        <f>IF($D200="",0,IFERROR(LOOKUP(2,1/(($D$3:D199=$D200)*($C$3:C199=$C200)*($A$3:A199&lt;$A200)),$AB$3:AB199),1000))</f>
        <v>1040.4552511360616</v>
      </c>
      <c r="V200" s="120">
        <f t="shared" si="62"/>
        <v>1081.4072673607664</v>
      </c>
      <c r="W200">
        <f t="shared" si="63"/>
        <v>1047.7237603361464</v>
      </c>
      <c r="X200">
        <f t="shared" si="64"/>
        <v>0.54832316002380932</v>
      </c>
      <c r="Y200">
        <f t="shared" si="65"/>
        <v>1017.1842107226571</v>
      </c>
      <c r="Z200">
        <f t="shared" si="66"/>
        <v>0.5334397278984826</v>
      </c>
      <c r="AA200">
        <f>IF($D200="",0,IF($F200&lt;2,0,IF($E200="Win",('Guide &amp; Settings'!$C$42/(($F200-1)*COUNTIFS($A$4:$A$810,$A200,$E$4:$E$810,"Win")))*SUMIFS($Z$4:$Z$810,$A$4:$A$810,$A200,$E$4:$E$810,"Loss"),-('Guide &amp; Settings'!$C$42/($F200-1))*$Z200)))</f>
        <v>4.9124940952728142</v>
      </c>
      <c r="AB200" s="120">
        <f t="shared" si="67"/>
        <v>1045.3677452313345</v>
      </c>
      <c r="AC200" s="120">
        <f>IF($D200="","",IF(SUMPRODUCT(MAX(($D$4:$D$810=$D200)*($B$4:$B$810&lt;$B200)*$B$4:$B$810))=0,0,MAX(($B200-MAX(SUMPRODUCT(MAX(($D$4:$D$810=$D200)*($B$4:$B$810&lt;$B200)*$B$4:$B$810)),'Guide &amp; Settings'!$C$50))/7-'Guide &amp; Settings'!$C$48,0)*'Guide &amp; Settings'!$C$49))</f>
        <v>0</v>
      </c>
    </row>
    <row r="201" spans="1:29" ht="15" customHeight="1" x14ac:dyDescent="0.2">
      <c r="A201" s="111">
        <v>82</v>
      </c>
      <c r="B201" s="112">
        <v>46188</v>
      </c>
      <c r="C201" s="113" t="s">
        <v>206</v>
      </c>
      <c r="D201" s="113" t="s">
        <v>170</v>
      </c>
      <c r="E201" s="111" t="s">
        <v>308</v>
      </c>
      <c r="F201" s="114">
        <f t="shared" si="51"/>
        <v>4</v>
      </c>
      <c r="G201" s="115" t="str">
        <f t="shared" si="52"/>
        <v>Daniel (Ferret)</v>
      </c>
      <c r="H201" s="116">
        <f>IF($D201="",0,IFERROR(LOOKUP(2,1/(($D$3:D200=$D201)*($A$3:A200&lt;$A201)),$N$3:N200),'Guide &amp; Settings'!$C$41))</f>
        <v>1042.2181695147092</v>
      </c>
      <c r="I201" s="117">
        <f t="shared" si="53"/>
        <v>0.30211480362537768</v>
      </c>
      <c r="J201" s="118">
        <f>IF($D201="",0,IF($F201&lt;2,0,IF($E201="Win",('Guide &amp; Settings'!$C$42/(($F201-1)*COUNTIFS($A$4:$A$810,$A201,$E$4:$E$810,"Win")))*SUMIFS($X$4:$X$810,$A$4:$A$810,$A201,$E$4:$E$810,"Loss"),-('Guide &amp; Settings'!$C$42/($F201-1))*$X201)))</f>
        <v>4.2867761685740229</v>
      </c>
      <c r="K201" s="118">
        <f>IF($D201="",0,'Guide &amp; Settings'!$C$43*(IF($E201="Win",1,0)-$I201))</f>
        <v>8.3746223564954683</v>
      </c>
      <c r="L201" s="119">
        <f>IF($D201="",0,'Guide &amp; Settings'!$C$44*IF($F201&gt;=3,$F201,0))</f>
        <v>4</v>
      </c>
      <c r="M201" s="118">
        <f t="shared" si="54"/>
        <v>16.66139852506949</v>
      </c>
      <c r="N201" s="116">
        <f t="shared" si="55"/>
        <v>1058.8795680397786</v>
      </c>
      <c r="O201" s="115" t="str">
        <f t="shared" si="56"/>
        <v>OK</v>
      </c>
      <c r="P201">
        <f t="shared" si="57"/>
        <v>1094.5743314175015</v>
      </c>
      <c r="Q201">
        <f t="shared" si="58"/>
        <v>0.42521862692372298</v>
      </c>
      <c r="R201">
        <f t="shared" si="59"/>
        <v>0.55555555555555558</v>
      </c>
      <c r="S201">
        <f t="shared" si="60"/>
        <v>1.8388888888888888</v>
      </c>
      <c r="T201" s="83">
        <f t="shared" si="61"/>
        <v>7</v>
      </c>
      <c r="U201" s="120">
        <f>IF($D201="",0,IFERROR(LOOKUP(2,1/(($D$3:D200=$D201)*($C$3:C200=$C201)*($A$3:A200&lt;$A201)),$AB$3:AB200),1000))</f>
        <v>993.91317030925256</v>
      </c>
      <c r="V201" s="120">
        <f t="shared" si="62"/>
        <v>1014.0402533115262</v>
      </c>
      <c r="W201">
        <f t="shared" si="63"/>
        <v>1047.7237603361464</v>
      </c>
      <c r="X201">
        <f t="shared" si="64"/>
        <v>0.45167683997619035</v>
      </c>
      <c r="Y201">
        <f t="shared" si="65"/>
        <v>1017.1842107226571</v>
      </c>
      <c r="Z201">
        <f t="shared" si="66"/>
        <v>0.4665602721015174</v>
      </c>
      <c r="AA201">
        <f>IF($D201="",0,IF($F201&lt;2,0,IF($E201="Win",('Guide &amp; Settings'!$C$42/(($F201-1)*COUNTIFS($A$4:$A$810,$A201,$E$4:$E$810,"Win")))*SUMIFS($Z$4:$Z$810,$A$4:$A$810,$A201,$E$4:$E$810,"Loss"),-('Guide &amp; Settings'!$C$42/($F201-1))*$Z201)))</f>
        <v>4.9124940952728142</v>
      </c>
      <c r="AB201" s="120">
        <f t="shared" si="67"/>
        <v>998.82566440452536</v>
      </c>
      <c r="AC201" s="120">
        <f>IF($D201="","",IF(SUMPRODUCT(MAX(($D$4:$D$810=$D201)*($B$4:$B$810&lt;$B201)*$B$4:$B$810))=0,0,MAX(($B201-MAX(SUMPRODUCT(MAX(($D$4:$D$810=$D201)*($B$4:$B$810&lt;$B201)*$B$4:$B$810)),'Guide &amp; Settings'!$C$50))/7-'Guide &amp; Settings'!$C$48,0)*'Guide &amp; Settings'!$C$49))</f>
        <v>0</v>
      </c>
    </row>
    <row r="202" spans="1:29" ht="15" customHeight="1" x14ac:dyDescent="0.2">
      <c r="A202" s="111">
        <v>82</v>
      </c>
      <c r="B202" s="112">
        <v>46188</v>
      </c>
      <c r="C202" s="113" t="s">
        <v>206</v>
      </c>
      <c r="D202" s="113" t="s">
        <v>140</v>
      </c>
      <c r="E202" s="111" t="s">
        <v>309</v>
      </c>
      <c r="F202" s="114">
        <f t="shared" si="51"/>
        <v>4</v>
      </c>
      <c r="G202" s="115" t="str">
        <f t="shared" si="52"/>
        <v>Daniel (Ferret)</v>
      </c>
      <c r="H202" s="116">
        <f>IF($D202="",0,IFERROR(LOOKUP(2,1/(($D$3:D201=$D202)*($A$3:A201&lt;$A202)),$N$3:N201),'Guide &amp; Settings'!$C$41))</f>
        <v>945.02062066151154</v>
      </c>
      <c r="I202" s="117">
        <f t="shared" si="53"/>
        <v>0.18126888217522658</v>
      </c>
      <c r="J202" s="118">
        <f>IF($D202="",0,IF($F202&lt;2,0,IF($E202="Win",('Guide &amp; Settings'!$C$42/(($F202-1)*COUNTIFS($A$4:$A$810,$A202,$E$4:$E$810,"Win")))*SUMIFS($X$4:$X$810,$A$4:$A$810,$A202,$E$4:$E$810,"Loss"),-('Guide &amp; Settings'!$C$42/($F202-1))*$X202)))</f>
        <v>-4.0852491135012858</v>
      </c>
      <c r="K202" s="118">
        <f>IF($D202="",0,'Guide &amp; Settings'!$C$43*(IF($E202="Win",1,0)-$I202))</f>
        <v>-2.1752265861027187</v>
      </c>
      <c r="L202" s="119">
        <f>IF($D202="",0,'Guide &amp; Settings'!$C$44*IF($F202&gt;=3,$F202,0))</f>
        <v>4</v>
      </c>
      <c r="M202" s="118">
        <f t="shared" si="54"/>
        <v>-2.2604756996040045</v>
      </c>
      <c r="N202" s="116">
        <f t="shared" si="55"/>
        <v>942.76014496190749</v>
      </c>
      <c r="O202" s="115" t="str">
        <f t="shared" si="56"/>
        <v>OK</v>
      </c>
      <c r="P202">
        <f t="shared" si="57"/>
        <v>1094.5743314175015</v>
      </c>
      <c r="Q202">
        <f t="shared" si="58"/>
        <v>0.29715126846206036</v>
      </c>
      <c r="R202">
        <f t="shared" si="59"/>
        <v>0.33333333333333331</v>
      </c>
      <c r="S202">
        <f t="shared" si="60"/>
        <v>1.8388888888888888</v>
      </c>
      <c r="T202" s="83">
        <f t="shared" si="61"/>
        <v>4</v>
      </c>
      <c r="U202" s="120">
        <f>IF($D202="",0,IFERROR(LOOKUP(2,1/(($D$3:D201=$D202)*($C$3:C201=$C202)*($A$3:A201&lt;$A202)),$AB$3:AB201),1000))</f>
        <v>989.7118742606765</v>
      </c>
      <c r="V202" s="120">
        <f t="shared" si="62"/>
        <v>964.88340003891824</v>
      </c>
      <c r="W202">
        <f t="shared" si="63"/>
        <v>1047.7237603361464</v>
      </c>
      <c r="X202">
        <f t="shared" si="64"/>
        <v>0.38299210439074555</v>
      </c>
      <c r="Y202">
        <f t="shared" si="65"/>
        <v>1017.1842107226571</v>
      </c>
      <c r="Z202">
        <f t="shared" si="66"/>
        <v>0.46054632143182633</v>
      </c>
      <c r="AA202">
        <f>IF($D202="",0,IF($F202&lt;2,0,IF($E202="Win",('Guide &amp; Settings'!$C$42/(($F202-1)*COUNTIFS($A$4:$A$810,$A202,$E$4:$E$810,"Win")))*SUMIFS($Z$4:$Z$810,$A$4:$A$810,$A202,$E$4:$E$810,"Loss"),-('Guide &amp; Settings'!$C$42/($F202-1))*$Z202)))</f>
        <v>-4.9124940952728142</v>
      </c>
      <c r="AB202" s="120">
        <f t="shared" si="67"/>
        <v>984.7993801654037</v>
      </c>
      <c r="AC202" s="120">
        <f>IF($D202="","",IF(SUMPRODUCT(MAX(($D$4:$D$810=$D202)*($B$4:$B$810&lt;$B202)*$B$4:$B$810))=0,0,MAX(($B202-MAX(SUMPRODUCT(MAX(($D$4:$D$810=$D202)*($B$4:$B$810&lt;$B202)*$B$4:$B$810)),'Guide &amp; Settings'!$C$50))/7-'Guide &amp; Settings'!$C$48,0)*'Guide &amp; Settings'!$C$49))</f>
        <v>0</v>
      </c>
    </row>
    <row r="203" spans="1:29" ht="15" customHeight="1" x14ac:dyDescent="0.2">
      <c r="A203" s="111">
        <v>82</v>
      </c>
      <c r="B203" s="112">
        <v>46188</v>
      </c>
      <c r="C203" s="113" t="s">
        <v>206</v>
      </c>
      <c r="D203" s="113" t="s">
        <v>171</v>
      </c>
      <c r="E203" s="111" t="s">
        <v>309</v>
      </c>
      <c r="F203" s="114">
        <f t="shared" si="51"/>
        <v>4</v>
      </c>
      <c r="G203" s="115" t="str">
        <f t="shared" si="52"/>
        <v>Daniel (Ferret)</v>
      </c>
      <c r="H203" s="116">
        <f>IF($D203="",0,IFERROR(LOOKUP(2,1/(($D$3:D202=$D203)*($A$3:A202&lt;$A203)),$N$3:N202),'Guide &amp; Settings'!$C$41))</f>
        <v>993.20540773106882</v>
      </c>
      <c r="I203" s="117">
        <f t="shared" si="53"/>
        <v>0.13595166163141995</v>
      </c>
      <c r="J203" s="118">
        <f>IF($D203="",0,IF($F203&lt;2,0,IF($E203="Win",('Guide &amp; Settings'!$C$42/(($F203-1)*COUNTIFS($A$4:$A$810,$A203,$E$4:$E$810,"Win")))*SUMIFS($X$4:$X$810,$A$4:$A$810,$A203,$E$4:$E$810,"Loss"),-('Guide &amp; Settings'!$C$42/($F203-1))*$X203)))</f>
        <v>-4.4883032236467599</v>
      </c>
      <c r="K203" s="118">
        <f>IF($D203="",0,'Guide &amp; Settings'!$C$43*(IF($E203="Win",1,0)-$I203))</f>
        <v>-1.6314199395770395</v>
      </c>
      <c r="L203" s="119">
        <f>IF($D203="",0,'Guide &amp; Settings'!$C$44*IF($F203&gt;=3,$F203,0))</f>
        <v>4</v>
      </c>
      <c r="M203" s="118">
        <f t="shared" si="54"/>
        <v>-2.1197231632237994</v>
      </c>
      <c r="N203" s="116">
        <f t="shared" si="55"/>
        <v>991.08568456784496</v>
      </c>
      <c r="O203" s="115" t="str">
        <f t="shared" si="56"/>
        <v>OK</v>
      </c>
      <c r="P203">
        <f t="shared" si="57"/>
        <v>1094.5743314175015</v>
      </c>
      <c r="Q203">
        <f t="shared" si="58"/>
        <v>0.35812156613664275</v>
      </c>
      <c r="R203">
        <f t="shared" si="59"/>
        <v>0.25</v>
      </c>
      <c r="S203">
        <f t="shared" si="60"/>
        <v>1.8388888888888888</v>
      </c>
      <c r="T203" s="83">
        <f t="shared" si="61"/>
        <v>2</v>
      </c>
      <c r="U203" s="120">
        <f>IF($D203="",0,IFERROR(LOOKUP(2,1/(($D$3:D202=$D203)*($C$3:C202=$C203)*($A$3:A202&lt;$A203)),$AB$3:AB202),1000))</f>
        <v>989.7118742606765</v>
      </c>
      <c r="V203" s="120">
        <f t="shared" si="62"/>
        <v>992.20725531095673</v>
      </c>
      <c r="W203">
        <f t="shared" si="63"/>
        <v>1047.7237603361464</v>
      </c>
      <c r="X203">
        <f t="shared" si="64"/>
        <v>0.42077842721688374</v>
      </c>
      <c r="Y203">
        <f t="shared" si="65"/>
        <v>1017.1842107226571</v>
      </c>
      <c r="Z203">
        <f t="shared" si="66"/>
        <v>0.46054632143182633</v>
      </c>
      <c r="AA203">
        <f>IF($D203="",0,IF($F203&lt;2,0,IF($E203="Win",('Guide &amp; Settings'!$C$42/(($F203-1)*COUNTIFS($A$4:$A$810,$A203,$E$4:$E$810,"Win")))*SUMIFS($Z$4:$Z$810,$A$4:$A$810,$A203,$E$4:$E$810,"Loss"),-('Guide &amp; Settings'!$C$42/($F203-1))*$Z203)))</f>
        <v>-4.9124940952728142</v>
      </c>
      <c r="AB203" s="120">
        <f t="shared" si="67"/>
        <v>984.7993801654037</v>
      </c>
      <c r="AC203" s="120">
        <f>IF($D203="","",IF(SUMPRODUCT(MAX(($D$4:$D$810=$D203)*($B$4:$B$810&lt;$B203)*$B$4:$B$810))=0,0,MAX(($B203-MAX(SUMPRODUCT(MAX(($D$4:$D$810=$D203)*($B$4:$B$810&lt;$B203)*$B$4:$B$810)),'Guide &amp; Settings'!$C$50))/7-'Guide &amp; Settings'!$C$48,0)*'Guide &amp; Settings'!$C$49))</f>
        <v>0</v>
      </c>
    </row>
    <row r="204" spans="1:29" ht="15" customHeight="1" x14ac:dyDescent="0.2">
      <c r="A204" s="111">
        <v>83</v>
      </c>
      <c r="B204" s="112">
        <v>46188</v>
      </c>
      <c r="C204" s="113" t="s">
        <v>206</v>
      </c>
      <c r="D204" s="113" t="s">
        <v>138</v>
      </c>
      <c r="E204" s="111" t="s">
        <v>308</v>
      </c>
      <c r="F204" s="114">
        <f t="shared" si="51"/>
        <v>4</v>
      </c>
      <c r="G204" s="115" t="str">
        <f t="shared" si="52"/>
        <v>Beau</v>
      </c>
      <c r="H204" s="116">
        <f>IF($D204="",0,IFERROR(LOOKUP(2,1/(($D$3:D203=$D204)*($A$3:A203&lt;$A204)),$N$3:N203),'Guide &amp; Settings'!$C$41))</f>
        <v>1021.6686831011822</v>
      </c>
      <c r="I204" s="117">
        <f t="shared" si="53"/>
        <v>8.0695870886606583E-2</v>
      </c>
      <c r="J204" s="118">
        <f>IF($D204="",0,IF($F204&lt;2,0,IF($E204="Win",('Guide &amp; Settings'!$C$42/(($F204-1)*COUNTIFS($A$4:$A$810,$A204,$E$4:$E$810,"Win")))*SUMIFS($X$4:$X$810,$A$4:$A$810,$A204,$E$4:$E$810,"Loss"),-('Guide &amp; Settings'!$C$42/($F204-1))*$X204)))</f>
        <v>6.057306955134333</v>
      </c>
      <c r="K204" s="118">
        <f>IF($D204="",0,'Guide &amp; Settings'!$C$43*(IF($E204="Win",1,0)-$I204))</f>
        <v>11.031649549360722</v>
      </c>
      <c r="L204" s="119">
        <f>IF($D204="",0,'Guide &amp; Settings'!$C$44*IF($F204&gt;=3,$F204,0))</f>
        <v>4</v>
      </c>
      <c r="M204" s="118">
        <f t="shared" si="54"/>
        <v>21.088956504495055</v>
      </c>
      <c r="N204" s="116">
        <f t="shared" si="55"/>
        <v>1042.7576396056772</v>
      </c>
      <c r="O204" s="115" t="str">
        <f t="shared" si="56"/>
        <v>OK</v>
      </c>
      <c r="P204">
        <f t="shared" si="57"/>
        <v>1022.2927421415854</v>
      </c>
      <c r="Q204">
        <f t="shared" si="58"/>
        <v>0.4991019078135957</v>
      </c>
      <c r="R204">
        <f t="shared" si="59"/>
        <v>0.16666666666666666</v>
      </c>
      <c r="S204">
        <f t="shared" si="60"/>
        <v>2.0653679653679653</v>
      </c>
      <c r="T204" s="83">
        <f t="shared" si="61"/>
        <v>4</v>
      </c>
      <c r="U204" s="120">
        <f>IF($D204="",0,IFERROR(LOOKUP(2,1/(($D$3:D203=$D204)*($C$3:C203=$C204)*($A$3:A203&lt;$A204)),$AB$3:AB203),1000))</f>
        <v>959.54801353033133</v>
      </c>
      <c r="V204" s="120">
        <f t="shared" si="62"/>
        <v>994.05949662524847</v>
      </c>
      <c r="W204">
        <f t="shared" si="63"/>
        <v>1006.7150200287662</v>
      </c>
      <c r="X204">
        <f t="shared" si="64"/>
        <v>0.48179528853110926</v>
      </c>
      <c r="Y204">
        <f t="shared" si="65"/>
        <v>987.68614960645527</v>
      </c>
      <c r="Z204">
        <f t="shared" si="66"/>
        <v>0.45959426976874912</v>
      </c>
      <c r="AA204">
        <f>IF($D204="",0,IF($F204&lt;2,0,IF($E204="Win",('Guide &amp; Settings'!$C$42/(($F204-1)*COUNTIFS($A$4:$A$810,$A204,$E$4:$E$810,"Win")))*SUMIFS($Z$4:$Z$810,$A$4:$A$810,$A204,$E$4:$E$810,"Loss"),-('Guide &amp; Settings'!$C$42/($F204-1))*$Z204)))</f>
        <v>5.8575023599757596</v>
      </c>
      <c r="AB204" s="120">
        <f t="shared" si="67"/>
        <v>965.40551589030713</v>
      </c>
      <c r="AC204" s="120">
        <f>IF($D204="","",IF(SUMPRODUCT(MAX(($D$4:$D$810=$D204)*($B$4:$B$810&lt;$B204)*$B$4:$B$810))=0,0,MAX(($B204-MAX(SUMPRODUCT(MAX(($D$4:$D$810=$D204)*($B$4:$B$810&lt;$B204)*$B$4:$B$810)),'Guide &amp; Settings'!$C$50))/7-'Guide &amp; Settings'!$C$48,0)*'Guide &amp; Settings'!$C$49))</f>
        <v>0</v>
      </c>
    </row>
    <row r="205" spans="1:29" ht="15" customHeight="1" x14ac:dyDescent="0.2">
      <c r="A205" s="111">
        <v>83</v>
      </c>
      <c r="B205" s="112">
        <v>46188</v>
      </c>
      <c r="C205" s="113" t="s">
        <v>206</v>
      </c>
      <c r="D205" s="113" t="s">
        <v>135</v>
      </c>
      <c r="E205" s="111" t="s">
        <v>308</v>
      </c>
      <c r="F205" s="114">
        <f t="shared" si="51"/>
        <v>4</v>
      </c>
      <c r="G205" s="115" t="str">
        <f t="shared" si="52"/>
        <v>Beau</v>
      </c>
      <c r="H205" s="116">
        <f>IF($D205="",0,IFERROR(LOOKUP(2,1/(($D$3:D204=$D205)*($A$3:A204&lt;$A205)),$N$3:N204),'Guide &amp; Settings'!$C$41))</f>
        <v>1022.9168011819886</v>
      </c>
      <c r="I205" s="117">
        <f t="shared" si="53"/>
        <v>0.2766715573255083</v>
      </c>
      <c r="J205" s="118">
        <f>IF($D205="",0,IF($F205&lt;2,0,IF($E205="Win",('Guide &amp; Settings'!$C$42/(($F205-1)*COUNTIFS($A$4:$A$810,$A205,$E$4:$E$810,"Win")))*SUMIFS($X$4:$X$810,$A$4:$A$810,$A205,$E$4:$E$810,"Loss"),-('Guide &amp; Settings'!$C$42/($F205-1))*$X205)))</f>
        <v>6.057306955134333</v>
      </c>
      <c r="K205" s="118">
        <f>IF($D205="",0,'Guide &amp; Settings'!$C$43*(IF($E205="Win",1,0)-$I205))</f>
        <v>8.6799413120939004</v>
      </c>
      <c r="L205" s="119">
        <f>IF($D205="",0,'Guide &amp; Settings'!$C$44*IF($F205&gt;=3,$F205,0))</f>
        <v>4</v>
      </c>
      <c r="M205" s="118">
        <f t="shared" si="54"/>
        <v>18.737248267228232</v>
      </c>
      <c r="N205" s="116">
        <f t="shared" si="55"/>
        <v>1041.6540494492169</v>
      </c>
      <c r="O205" s="115" t="str">
        <f t="shared" si="56"/>
        <v>OK</v>
      </c>
      <c r="P205">
        <f t="shared" si="57"/>
        <v>1022.2927421415854</v>
      </c>
      <c r="Q205">
        <f t="shared" si="58"/>
        <v>0.50089809218640413</v>
      </c>
      <c r="R205">
        <f t="shared" si="59"/>
        <v>0.5714285714285714</v>
      </c>
      <c r="S205">
        <f t="shared" si="60"/>
        <v>2.0653679653679653</v>
      </c>
      <c r="T205" s="83">
        <f t="shared" si="61"/>
        <v>5</v>
      </c>
      <c r="U205" s="120">
        <f>IF($D205="",0,IFERROR(LOOKUP(2,1/(($D$3:D204=$D205)*($C$3:C204=$C205)*($A$3:A204&lt;$A205)),$AB$3:AB204),1000))</f>
        <v>1015.8242856825791</v>
      </c>
      <c r="V205" s="120">
        <f t="shared" si="62"/>
        <v>1019.3705434322839</v>
      </c>
      <c r="W205">
        <f t="shared" si="63"/>
        <v>1006.7150200287662</v>
      </c>
      <c r="X205">
        <f t="shared" si="64"/>
        <v>0.5182047114688908</v>
      </c>
      <c r="Y205">
        <f t="shared" si="65"/>
        <v>987.68614960645527</v>
      </c>
      <c r="Z205">
        <f t="shared" si="66"/>
        <v>0.54040573023125071</v>
      </c>
      <c r="AA205">
        <f>IF($D205="",0,IF($F205&lt;2,0,IF($E205="Win",('Guide &amp; Settings'!$C$42/(($F205-1)*COUNTIFS($A$4:$A$810,$A205,$E$4:$E$810,"Win")))*SUMIFS($Z$4:$Z$810,$A$4:$A$810,$A205,$E$4:$E$810,"Loss"),-('Guide &amp; Settings'!$C$42/($F205-1))*$Z205)))</f>
        <v>5.8575023599757596</v>
      </c>
      <c r="AB205" s="120">
        <f t="shared" si="67"/>
        <v>1021.6817880425549</v>
      </c>
      <c r="AC205" s="120">
        <f>IF($D205="","",IF(SUMPRODUCT(MAX(($D$4:$D$810=$D205)*($B$4:$B$810&lt;$B205)*$B$4:$B$810))=0,0,MAX(($B205-MAX(SUMPRODUCT(MAX(($D$4:$D$810=$D205)*($B$4:$B$810&lt;$B205)*$B$4:$B$810)),'Guide &amp; Settings'!$C$50))/7-'Guide &amp; Settings'!$C$48,0)*'Guide &amp; Settings'!$C$49))</f>
        <v>0</v>
      </c>
    </row>
    <row r="206" spans="1:29" ht="15" customHeight="1" x14ac:dyDescent="0.2">
      <c r="A206" s="111">
        <v>83</v>
      </c>
      <c r="B206" s="112">
        <v>46188</v>
      </c>
      <c r="C206" s="113" t="s">
        <v>206</v>
      </c>
      <c r="D206" s="113" t="s">
        <v>167</v>
      </c>
      <c r="E206" s="111" t="s">
        <v>309</v>
      </c>
      <c r="F206" s="114">
        <f t="shared" si="51"/>
        <v>4</v>
      </c>
      <c r="G206" s="115" t="str">
        <f t="shared" si="52"/>
        <v>Beau</v>
      </c>
      <c r="H206" s="116">
        <f>IF($D206="",0,IFERROR(LOOKUP(2,1/(($D$3:D205=$D206)*($A$3:A205&lt;$A206)),$N$3:N205),'Guide &amp; Settings'!$C$41))</f>
        <v>1162.6492936580523</v>
      </c>
      <c r="I206" s="117">
        <f t="shared" si="53"/>
        <v>0.35212743659610146</v>
      </c>
      <c r="J206" s="118">
        <f>IF($D206="",0,IF($F206&lt;2,0,IF($E206="Win",('Guide &amp; Settings'!$C$42/(($F206-1)*COUNTIFS($A$4:$A$810,$A206,$E$4:$E$810,"Win")))*SUMIFS($X$4:$X$810,$A$4:$A$810,$A206,$E$4:$E$810,"Loss"),-('Guide &amp; Settings'!$C$42/($F206-1))*$X206)))</f>
        <v>-6.5479735426047423</v>
      </c>
      <c r="K206" s="118">
        <f>IF($D206="",0,'Guide &amp; Settings'!$C$43*(IF($E206="Win",1,0)-$I206))</f>
        <v>-4.225529239153218</v>
      </c>
      <c r="L206" s="119">
        <f>IF($D206="",0,'Guide &amp; Settings'!$C$44*IF($F206&gt;=3,$F206,0))</f>
        <v>4</v>
      </c>
      <c r="M206" s="118">
        <f t="shared" si="54"/>
        <v>-6.7735027817579603</v>
      </c>
      <c r="N206" s="116">
        <f t="shared" si="55"/>
        <v>1155.8757908762943</v>
      </c>
      <c r="O206" s="115" t="str">
        <f t="shared" si="56"/>
        <v>OK</v>
      </c>
      <c r="P206">
        <f t="shared" si="57"/>
        <v>1022.2927421415854</v>
      </c>
      <c r="Q206">
        <f t="shared" si="58"/>
        <v>0.69167403763892399</v>
      </c>
      <c r="R206">
        <f t="shared" si="59"/>
        <v>0.72727272727272729</v>
      </c>
      <c r="S206">
        <f t="shared" si="60"/>
        <v>2.0653679653679653</v>
      </c>
      <c r="T206" s="83">
        <f t="shared" si="61"/>
        <v>9</v>
      </c>
      <c r="U206" s="120">
        <f>IF($D206="",0,IFERROR(LOOKUP(2,1/(($D$3:D205=$D206)*($C$3:C205=$C206)*($A$3:A205&lt;$A206)),$AB$3:AB205),1000))</f>
        <v>1045.3677452313345</v>
      </c>
      <c r="V206" s="120">
        <f t="shared" si="62"/>
        <v>1087.2540125265909</v>
      </c>
      <c r="W206">
        <f t="shared" si="63"/>
        <v>1006.7150200287662</v>
      </c>
      <c r="X206">
        <f t="shared" si="64"/>
        <v>0.61387251961919465</v>
      </c>
      <c r="Y206">
        <f t="shared" si="65"/>
        <v>987.68614960645527</v>
      </c>
      <c r="Z206">
        <f t="shared" si="66"/>
        <v>0.58225613298011458</v>
      </c>
      <c r="AA206">
        <f>IF($D206="",0,IF($F206&lt;2,0,IF($E206="Win",('Guide &amp; Settings'!$C$42/(($F206-1)*COUNTIFS($A$4:$A$810,$A206,$E$4:$E$810,"Win")))*SUMIFS($Z$4:$Z$810,$A$4:$A$810,$A206,$E$4:$E$810,"Loss"),-('Guide &amp; Settings'!$C$42/($F206-1))*$Z206)))</f>
        <v>-6.2107320851212222</v>
      </c>
      <c r="AB206" s="120">
        <f t="shared" si="67"/>
        <v>1039.1570131462133</v>
      </c>
      <c r="AC206" s="120">
        <f>IF($D206="","",IF(SUMPRODUCT(MAX(($D$4:$D$810=$D206)*($B$4:$B$810&lt;$B206)*$B$4:$B$810))=0,0,MAX(($B206-MAX(SUMPRODUCT(MAX(($D$4:$D$810=$D206)*($B$4:$B$810&lt;$B206)*$B$4:$B$810)),'Guide &amp; Settings'!$C$50))/7-'Guide &amp; Settings'!$C$48,0)*'Guide &amp; Settings'!$C$49))</f>
        <v>0</v>
      </c>
    </row>
    <row r="207" spans="1:29" ht="15" customHeight="1" x14ac:dyDescent="0.2">
      <c r="A207" s="111">
        <v>83</v>
      </c>
      <c r="B207" s="112">
        <v>46188</v>
      </c>
      <c r="C207" s="113" t="s">
        <v>206</v>
      </c>
      <c r="D207" s="113" t="s">
        <v>170</v>
      </c>
      <c r="E207" s="111" t="s">
        <v>309</v>
      </c>
      <c r="F207" s="114">
        <f t="shared" si="51"/>
        <v>4</v>
      </c>
      <c r="G207" s="115" t="str">
        <f t="shared" si="52"/>
        <v>Beau</v>
      </c>
      <c r="H207" s="116">
        <f>IF($D207="",0,IFERROR(LOOKUP(2,1/(($D$3:D206=$D207)*($A$3:A206&lt;$A207)),$N$3:N206),'Guide &amp; Settings'!$C$41))</f>
        <v>1058.8795680397786</v>
      </c>
      <c r="I207" s="117">
        <f t="shared" si="53"/>
        <v>0.29050513519178367</v>
      </c>
      <c r="J207" s="118">
        <f>IF($D207="",0,IF($F207&lt;2,0,IF($E207="Win",('Guide &amp; Settings'!$C$42/(($F207-1)*COUNTIFS($A$4:$A$810,$A207,$E$4:$E$810,"Win")))*SUMIFS($X$4:$X$810,$A$4:$A$810,$A207,$E$4:$E$810,"Loss"),-('Guide &amp; Settings'!$C$42/($F207-1))*$X207)))</f>
        <v>-5.5666403676639229</v>
      </c>
      <c r="K207" s="118">
        <f>IF($D207="",0,'Guide &amp; Settings'!$C$43*(IF($E207="Win",1,0)-$I207))</f>
        <v>-3.486061622301404</v>
      </c>
      <c r="L207" s="119">
        <f>IF($D207="",0,'Guide &amp; Settings'!$C$44*IF($F207&gt;=3,$F207,0))</f>
        <v>4</v>
      </c>
      <c r="M207" s="118">
        <f t="shared" si="54"/>
        <v>-5.0527019899653265</v>
      </c>
      <c r="N207" s="116">
        <f t="shared" si="55"/>
        <v>1053.8268660498134</v>
      </c>
      <c r="O207" s="115" t="str">
        <f t="shared" si="56"/>
        <v>OK</v>
      </c>
      <c r="P207">
        <f t="shared" si="57"/>
        <v>1022.2927421415854</v>
      </c>
      <c r="Q207">
        <f t="shared" si="58"/>
        <v>0.552458908745463</v>
      </c>
      <c r="R207">
        <f t="shared" si="59"/>
        <v>0.6</v>
      </c>
      <c r="S207">
        <f t="shared" si="60"/>
        <v>2.0653679653679653</v>
      </c>
      <c r="T207" s="83">
        <f t="shared" si="61"/>
        <v>8</v>
      </c>
      <c r="U207" s="120">
        <f>IF($D207="",0,IFERROR(LOOKUP(2,1/(($D$3:D206=$D207)*($C$3:C206=$C207)*($A$3:A206&lt;$A207)),$AB$3:AB206),1000))</f>
        <v>998.82566440452536</v>
      </c>
      <c r="V207" s="120">
        <f t="shared" si="62"/>
        <v>1021.9233196488535</v>
      </c>
      <c r="W207">
        <f t="shared" si="63"/>
        <v>1006.7150200287662</v>
      </c>
      <c r="X207">
        <f t="shared" si="64"/>
        <v>0.5218725344684928</v>
      </c>
      <c r="Y207">
        <f t="shared" si="65"/>
        <v>987.68614960645527</v>
      </c>
      <c r="Z207">
        <f t="shared" si="66"/>
        <v>0.51602555951534046</v>
      </c>
      <c r="AA207">
        <f>IF($D207="",0,IF($F207&lt;2,0,IF($E207="Win",('Guide &amp; Settings'!$C$42/(($F207-1)*COUNTIFS($A$4:$A$810,$A207,$E$4:$E$810,"Win")))*SUMIFS($Z$4:$Z$810,$A$4:$A$810,$A207,$E$4:$E$810,"Loss"),-('Guide &amp; Settings'!$C$42/($F207-1))*$Z207)))</f>
        <v>-5.5042726348302979</v>
      </c>
      <c r="AB207" s="120">
        <f t="shared" si="67"/>
        <v>993.32139176969508</v>
      </c>
      <c r="AC207" s="120">
        <f>IF($D207="","",IF(SUMPRODUCT(MAX(($D$4:$D$810=$D207)*($B$4:$B$810&lt;$B207)*$B$4:$B$810))=0,0,MAX(($B207-MAX(SUMPRODUCT(MAX(($D$4:$D$810=$D207)*($B$4:$B$810&lt;$B207)*$B$4:$B$810)),'Guide &amp; Settings'!$C$50))/7-'Guide &amp; Settings'!$C$48,0)*'Guide &amp; Settings'!$C$49))</f>
        <v>0</v>
      </c>
    </row>
    <row r="208" spans="1:29" ht="15" customHeight="1" x14ac:dyDescent="0.2">
      <c r="A208" s="111">
        <v>84</v>
      </c>
      <c r="B208" s="112">
        <v>46188</v>
      </c>
      <c r="C208" s="113" t="s">
        <v>206</v>
      </c>
      <c r="D208" s="113" t="s">
        <v>138</v>
      </c>
      <c r="E208" s="111" t="s">
        <v>308</v>
      </c>
      <c r="F208" s="114">
        <f t="shared" si="51"/>
        <v>4</v>
      </c>
      <c r="G208" s="115" t="str">
        <f t="shared" si="52"/>
        <v>Beau</v>
      </c>
      <c r="H208" s="116">
        <f>IF($D208="",0,IFERROR(LOOKUP(2,1/(($D$3:D207=$D208)*($A$3:A207&lt;$A208)),$N$3:N207),'Guide &amp; Settings'!$C$41))</f>
        <v>1042.7576396056772</v>
      </c>
      <c r="I208" s="117">
        <f t="shared" si="53"/>
        <v>0.13462783171521034</v>
      </c>
      <c r="J208" s="118">
        <f>IF($D208="",0,IF($F208&lt;2,0,IF($E208="Win",('Guide &amp; Settings'!$C$42/(($F208-1)*COUNTIFS($A$4:$A$810,$A208,$E$4:$E$810,"Win")))*SUMIFS($X$4:$X$810,$A$4:$A$810,$A208,$E$4:$E$810,"Loss"),-('Guide &amp; Settings'!$C$42/($F208-1))*$X208)))</f>
        <v>5.5392646200057039</v>
      </c>
      <c r="K208" s="118">
        <f>IF($D208="",0,'Guide &amp; Settings'!$C$43*(IF($E208="Win",1,0)-$I208))</f>
        <v>10.384466019417477</v>
      </c>
      <c r="L208" s="119">
        <f>IF($D208="",0,'Guide &amp; Settings'!$C$44*IF($F208&gt;=3,$F208,0))</f>
        <v>4</v>
      </c>
      <c r="M208" s="118">
        <f t="shared" si="54"/>
        <v>19.92373063942318</v>
      </c>
      <c r="N208" s="116">
        <f t="shared" si="55"/>
        <v>1062.6813702451004</v>
      </c>
      <c r="O208" s="115" t="str">
        <f t="shared" si="56"/>
        <v>OK</v>
      </c>
      <c r="P208">
        <f t="shared" si="57"/>
        <v>1042.205844527447</v>
      </c>
      <c r="Q208">
        <f t="shared" si="58"/>
        <v>0.50079409628328486</v>
      </c>
      <c r="R208">
        <f t="shared" si="59"/>
        <v>0.2857142857142857</v>
      </c>
      <c r="S208">
        <f t="shared" si="60"/>
        <v>2.1222527472527473</v>
      </c>
      <c r="T208" s="83">
        <f t="shared" si="61"/>
        <v>5</v>
      </c>
      <c r="U208" s="120">
        <f>IF($D208="",0,IFERROR(LOOKUP(2,1/(($D$3:D207=$D208)*($C$3:C207=$C208)*($A$3:A207&lt;$A208)),$AB$3:AB207),1000))</f>
        <v>965.40551589030713</v>
      </c>
      <c r="V208" s="120">
        <f t="shared" si="62"/>
        <v>1004.0815777479922</v>
      </c>
      <c r="W208">
        <f t="shared" si="63"/>
        <v>1017.4208332149695</v>
      </c>
      <c r="X208">
        <f t="shared" si="64"/>
        <v>0.48081269506366647</v>
      </c>
      <c r="Y208">
        <f t="shared" si="65"/>
        <v>993.54365196643107</v>
      </c>
      <c r="Z208">
        <f t="shared" si="66"/>
        <v>0.45959426976874912</v>
      </c>
      <c r="AA208">
        <f>IF($D208="",0,IF($F208&lt;2,0,IF($E208="Win",('Guide &amp; Settings'!$C$42/(($F208-1)*COUNTIFS($A$4:$A$810,$A208,$E$4:$E$810,"Win")))*SUMIFS($Z$4:$Z$810,$A$4:$A$810,$A208,$E$4:$E$810,"Loss"),-('Guide &amp; Settings'!$C$42/($F208-1))*$Z208)))</f>
        <v>5.6660298706239702</v>
      </c>
      <c r="AB208" s="120">
        <f t="shared" si="67"/>
        <v>971.07154576093114</v>
      </c>
      <c r="AC208" s="120">
        <f>IF($D208="","",IF(SUMPRODUCT(MAX(($D$4:$D$810=$D208)*($B$4:$B$810&lt;$B208)*$B$4:$B$810))=0,0,MAX(($B208-MAX(SUMPRODUCT(MAX(($D$4:$D$810=$D208)*($B$4:$B$810&lt;$B208)*$B$4:$B$810)),'Guide &amp; Settings'!$C$50))/7-'Guide &amp; Settings'!$C$48,0)*'Guide &amp; Settings'!$C$49))</f>
        <v>0</v>
      </c>
    </row>
    <row r="209" spans="1:29" ht="15" customHeight="1" x14ac:dyDescent="0.2">
      <c r="A209" s="111">
        <v>84</v>
      </c>
      <c r="B209" s="112">
        <v>46188</v>
      </c>
      <c r="C209" s="113" t="s">
        <v>206</v>
      </c>
      <c r="D209" s="113" t="s">
        <v>135</v>
      </c>
      <c r="E209" s="111" t="s">
        <v>308</v>
      </c>
      <c r="F209" s="114">
        <f t="shared" si="51"/>
        <v>4</v>
      </c>
      <c r="G209" s="115" t="str">
        <f t="shared" si="52"/>
        <v>Beau</v>
      </c>
      <c r="H209" s="116">
        <f>IF($D209="",0,IFERROR(LOOKUP(2,1/(($D$3:D208=$D209)*($A$3:A208&lt;$A209)),$N$3:N208),'Guide &amp; Settings'!$C$41))</f>
        <v>1041.6540494492169</v>
      </c>
      <c r="I209" s="117">
        <f t="shared" si="53"/>
        <v>0.29449838187702265</v>
      </c>
      <c r="J209" s="118">
        <f>IF($D209="",0,IF($F209&lt;2,0,IF($E209="Win",('Guide &amp; Settings'!$C$42/(($F209-1)*COUNTIFS($A$4:$A$810,$A209,$E$4:$E$810,"Win")))*SUMIFS($X$4:$X$810,$A$4:$A$810,$A209,$E$4:$E$810,"Loss"),-('Guide &amp; Settings'!$C$42/($F209-1))*$X209)))</f>
        <v>5.5392646200057039</v>
      </c>
      <c r="K209" s="118">
        <f>IF($D209="",0,'Guide &amp; Settings'!$C$43*(IF($E209="Win",1,0)-$I209))</f>
        <v>8.4660194174757279</v>
      </c>
      <c r="L209" s="119">
        <f>IF($D209="",0,'Guide &amp; Settings'!$C$44*IF($F209&gt;=3,$F209,0))</f>
        <v>4</v>
      </c>
      <c r="M209" s="118">
        <f t="shared" si="54"/>
        <v>18.005284037481431</v>
      </c>
      <c r="N209" s="116">
        <f t="shared" si="55"/>
        <v>1059.6593334866984</v>
      </c>
      <c r="O209" s="115" t="str">
        <f t="shared" si="56"/>
        <v>OK</v>
      </c>
      <c r="P209">
        <f t="shared" si="57"/>
        <v>1042.205844527447</v>
      </c>
      <c r="Q209">
        <f t="shared" si="58"/>
        <v>0.49920590371671542</v>
      </c>
      <c r="R209">
        <f t="shared" si="59"/>
        <v>0.625</v>
      </c>
      <c r="S209">
        <f t="shared" si="60"/>
        <v>2.1222527472527473</v>
      </c>
      <c r="T209" s="83">
        <f t="shared" si="61"/>
        <v>6</v>
      </c>
      <c r="U209" s="120">
        <f>IF($D209="",0,IFERROR(LOOKUP(2,1/(($D$3:D208=$D209)*($C$3:C208=$C209)*($A$3:A208&lt;$A209)),$AB$3:AB208),1000))</f>
        <v>1021.6817880425549</v>
      </c>
      <c r="V209" s="120">
        <f t="shared" si="62"/>
        <v>1030.7600886819469</v>
      </c>
      <c r="W209">
        <f t="shared" si="63"/>
        <v>1017.4208332149695</v>
      </c>
      <c r="X209">
        <f t="shared" si="64"/>
        <v>0.51918730493633347</v>
      </c>
      <c r="Y209">
        <f t="shared" si="65"/>
        <v>993.54365196643107</v>
      </c>
      <c r="Z209">
        <f t="shared" si="66"/>
        <v>0.54040573023125071</v>
      </c>
      <c r="AA209">
        <f>IF($D209="",0,IF($F209&lt;2,0,IF($E209="Win",('Guide &amp; Settings'!$C$42/(($F209-1)*COUNTIFS($A$4:$A$810,$A209,$E$4:$E$810,"Win")))*SUMIFS($Z$4:$Z$810,$A$4:$A$810,$A209,$E$4:$E$810,"Loss"),-('Guide &amp; Settings'!$C$42/($F209-1))*$Z209)))</f>
        <v>5.6660298706239702</v>
      </c>
      <c r="AB209" s="120">
        <f t="shared" si="67"/>
        <v>1027.3478179131789</v>
      </c>
      <c r="AC209" s="120">
        <f>IF($D209="","",IF(SUMPRODUCT(MAX(($D$4:$D$810=$D209)*($B$4:$B$810&lt;$B209)*$B$4:$B$810))=0,0,MAX(($B209-MAX(SUMPRODUCT(MAX(($D$4:$D$810=$D209)*($B$4:$B$810&lt;$B209)*$B$4:$B$810)),'Guide &amp; Settings'!$C$50))/7-'Guide &amp; Settings'!$C$48,0)*'Guide &amp; Settings'!$C$49))</f>
        <v>0</v>
      </c>
    </row>
    <row r="210" spans="1:29" ht="15" customHeight="1" x14ac:dyDescent="0.2">
      <c r="A210" s="111">
        <v>84</v>
      </c>
      <c r="B210" s="112">
        <v>46188</v>
      </c>
      <c r="C210" s="113" t="s">
        <v>206</v>
      </c>
      <c r="D210" s="113" t="s">
        <v>168</v>
      </c>
      <c r="E210" s="111" t="s">
        <v>309</v>
      </c>
      <c r="F210" s="114">
        <f t="shared" si="51"/>
        <v>4</v>
      </c>
      <c r="G210" s="115" t="str">
        <f t="shared" si="52"/>
        <v>Beau</v>
      </c>
      <c r="H210" s="116">
        <f>IF($D210="",0,IFERROR(LOOKUP(2,1/(($D$3:D209=$D210)*($A$3:A209&lt;$A210)),$N$3:N209),'Guide &amp; Settings'!$C$41))</f>
        <v>1134.0440793414489</v>
      </c>
      <c r="I210" s="117">
        <f t="shared" si="53"/>
        <v>0.35339805825242721</v>
      </c>
      <c r="J210" s="118">
        <f>IF($D210="",0,IF($F210&lt;2,0,IF($E210="Win",('Guide &amp; Settings'!$C$42/(($F210-1)*COUNTIFS($A$4:$A$810,$A210,$E$4:$E$810,"Win")))*SUMIFS($X$4:$X$810,$A$4:$A$810,$A210,$E$4:$E$810,"Loss"),-('Guide &amp; Settings'!$C$42/($F210-1))*$X210)))</f>
        <v>-6.4181036164884624</v>
      </c>
      <c r="K210" s="118">
        <f>IF($D210="",0,'Guide &amp; Settings'!$C$43*(IF($E210="Win",1,0)-$I210))</f>
        <v>-4.2407766990291265</v>
      </c>
      <c r="L210" s="119">
        <f>IF($D210="",0,'Guide &amp; Settings'!$C$44*IF($F210&gt;=3,$F210,0))</f>
        <v>4</v>
      </c>
      <c r="M210" s="118">
        <f t="shared" si="54"/>
        <v>-6.6588803155175889</v>
      </c>
      <c r="N210" s="116">
        <f t="shared" si="55"/>
        <v>1127.3851990259313</v>
      </c>
      <c r="O210" s="115" t="str">
        <f t="shared" si="56"/>
        <v>OK</v>
      </c>
      <c r="P210">
        <f t="shared" si="57"/>
        <v>1042.205844527447</v>
      </c>
      <c r="Q210">
        <f t="shared" si="58"/>
        <v>0.62917131175203289</v>
      </c>
      <c r="R210">
        <f t="shared" si="59"/>
        <v>0.75</v>
      </c>
      <c r="S210">
        <f t="shared" si="60"/>
        <v>2.1222527472527473</v>
      </c>
      <c r="T210" s="83">
        <f t="shared" si="61"/>
        <v>10</v>
      </c>
      <c r="U210" s="120">
        <f>IF($D210="",0,IFERROR(LOOKUP(2,1/(($D$3:D209=$D210)*($C$3:C209=$C210)*($A$3:A209&lt;$A210)),$AB$3:AB209),1000))</f>
        <v>1066.6080040656045</v>
      </c>
      <c r="V210" s="120">
        <f t="shared" si="62"/>
        <v>1089.0866958242193</v>
      </c>
      <c r="W210">
        <f t="shared" si="63"/>
        <v>1017.4208332149695</v>
      </c>
      <c r="X210">
        <f t="shared" si="64"/>
        <v>0.60169721404579335</v>
      </c>
      <c r="Y210">
        <f t="shared" si="65"/>
        <v>993.54365196643107</v>
      </c>
      <c r="Z210">
        <f t="shared" si="66"/>
        <v>0.60362495420452977</v>
      </c>
      <c r="AA210">
        <f>IF($D210="",0,IF($F210&lt;2,0,IF($E210="Win",('Guide &amp; Settings'!$C$42/(($F210-1)*COUNTIFS($A$4:$A$810,$A210,$E$4:$E$810,"Win")))*SUMIFS($Z$4:$Z$810,$A$4:$A$810,$A210,$E$4:$E$810,"Loss"),-('Guide &amp; Settings'!$C$42/($F210-1))*$Z210)))</f>
        <v>-6.4386661781816503</v>
      </c>
      <c r="AB210" s="120">
        <f t="shared" si="67"/>
        <v>1060.1693378874229</v>
      </c>
      <c r="AC210" s="120">
        <f>IF($D210="","",IF(SUMPRODUCT(MAX(($D$4:$D$810=$D210)*($B$4:$B$810&lt;$B210)*$B$4:$B$810))=0,0,MAX(($B210-MAX(SUMPRODUCT(MAX(($D$4:$D$810=$D210)*($B$4:$B$810&lt;$B210)*$B$4:$B$810)),'Guide &amp; Settings'!$C$50))/7-'Guide &amp; Settings'!$C$48,0)*'Guide &amp; Settings'!$C$49))</f>
        <v>0</v>
      </c>
    </row>
    <row r="211" spans="1:29" ht="15" customHeight="1" x14ac:dyDescent="0.2">
      <c r="A211" s="111">
        <v>84</v>
      </c>
      <c r="B211" s="112">
        <v>46188</v>
      </c>
      <c r="C211" s="113" t="s">
        <v>206</v>
      </c>
      <c r="D211" s="113" t="s">
        <v>169</v>
      </c>
      <c r="E211" s="111" t="s">
        <v>309</v>
      </c>
      <c r="F211" s="114">
        <f t="shared" si="51"/>
        <v>4</v>
      </c>
      <c r="G211" s="115" t="str">
        <f t="shared" si="52"/>
        <v>Beau</v>
      </c>
      <c r="H211" s="116">
        <f>IF($D211="",0,IFERROR(LOOKUP(2,1/(($D$3:D210=$D211)*($A$3:A210&lt;$A211)),$N$3:N210),'Guide &amp; Settings'!$C$41))</f>
        <v>992.11836785925334</v>
      </c>
      <c r="I211" s="117">
        <f t="shared" si="53"/>
        <v>0.2174757281553398</v>
      </c>
      <c r="J211" s="118">
        <f>IF($D211="",0,IF($F211&lt;2,0,IF($E211="Win",('Guide &amp; Settings'!$C$42/(($F211-1)*COUNTIFS($A$4:$A$810,$A211,$E$4:$E$810,"Win")))*SUMIFS($X$4:$X$810,$A$4:$A$810,$A211,$E$4:$E$810,"Loss"),-('Guide &amp; Settings'!$C$42/($F211-1))*$X211)))</f>
        <v>-4.6604256235229453</v>
      </c>
      <c r="K211" s="118">
        <f>IF($D211="",0,'Guide &amp; Settings'!$C$43*(IF($E211="Win",1,0)-$I211))</f>
        <v>-2.6097087378640778</v>
      </c>
      <c r="L211" s="119">
        <f>IF($D211="",0,'Guide &amp; Settings'!$C$44*IF($F211&gt;=3,$F211,0))</f>
        <v>4</v>
      </c>
      <c r="M211" s="118">
        <f t="shared" si="54"/>
        <v>-3.2701343613870231</v>
      </c>
      <c r="N211" s="116">
        <f t="shared" si="55"/>
        <v>988.84823349786632</v>
      </c>
      <c r="O211" s="115" t="str">
        <f t="shared" si="56"/>
        <v>OK</v>
      </c>
      <c r="P211">
        <f t="shared" si="57"/>
        <v>1042.205844527447</v>
      </c>
      <c r="Q211">
        <f t="shared" si="58"/>
        <v>0.42841356963652888</v>
      </c>
      <c r="R211">
        <f t="shared" si="59"/>
        <v>0.46153846153846156</v>
      </c>
      <c r="S211">
        <f t="shared" si="60"/>
        <v>2.1222527472527473</v>
      </c>
      <c r="T211" s="83">
        <f t="shared" si="61"/>
        <v>11</v>
      </c>
      <c r="U211" s="120">
        <f>IF($D211="",0,IFERROR(LOOKUP(2,1/(($D$3:D210=$D211)*($C$3:C210=$C211)*($A$3:A210&lt;$A211)),$AB$3:AB210),1000))</f>
        <v>964.81886962643489</v>
      </c>
      <c r="V211" s="120">
        <f t="shared" si="62"/>
        <v>973.3499628241907</v>
      </c>
      <c r="W211">
        <f t="shared" si="63"/>
        <v>1017.4208332149695</v>
      </c>
      <c r="X211">
        <f t="shared" si="64"/>
        <v>0.43691490220527618</v>
      </c>
      <c r="Y211">
        <f t="shared" si="65"/>
        <v>993.54365196643107</v>
      </c>
      <c r="Z211">
        <f t="shared" si="66"/>
        <v>0.45875564653746481</v>
      </c>
      <c r="AA211">
        <f>IF($D211="",0,IF($F211&lt;2,0,IF($E211="Win",('Guide &amp; Settings'!$C$42/(($F211-1)*COUNTIFS($A$4:$A$810,$A211,$E$4:$E$810,"Win")))*SUMIFS($Z$4:$Z$810,$A$4:$A$810,$A211,$E$4:$E$810,"Loss"),-('Guide &amp; Settings'!$C$42/($F211-1))*$Z211)))</f>
        <v>-4.893393563066291</v>
      </c>
      <c r="AB211" s="120">
        <f t="shared" si="67"/>
        <v>959.92547606336859</v>
      </c>
      <c r="AC211" s="120">
        <f>IF($D211="","",IF(SUMPRODUCT(MAX(($D$4:$D$810=$D211)*($B$4:$B$810&lt;$B211)*$B$4:$B$810))=0,0,MAX(($B211-MAX(SUMPRODUCT(MAX(($D$4:$D$810=$D211)*($B$4:$B$810&lt;$B211)*$B$4:$B$810)),'Guide &amp; Settings'!$C$50))/7-'Guide &amp; Settings'!$C$48,0)*'Guide &amp; Settings'!$C$49))</f>
        <v>0</v>
      </c>
    </row>
    <row r="212" spans="1:29" ht="15" customHeight="1" x14ac:dyDescent="0.2">
      <c r="A212" s="111">
        <v>85</v>
      </c>
      <c r="B212" s="112">
        <v>46188</v>
      </c>
      <c r="C212" s="113" t="s">
        <v>206</v>
      </c>
      <c r="D212" s="113" t="s">
        <v>171</v>
      </c>
      <c r="E212" s="111" t="s">
        <v>308</v>
      </c>
      <c r="F212" s="114">
        <f t="shared" si="51"/>
        <v>4</v>
      </c>
      <c r="G212" s="115" t="str">
        <f t="shared" si="52"/>
        <v>David</v>
      </c>
      <c r="H212" s="116">
        <f>IF($D212="",0,IFERROR(LOOKUP(2,1/(($D$3:D211=$D212)*($A$3:A211&lt;$A212)),$N$3:N211),'Guide &amp; Settings'!$C$41))</f>
        <v>991.08568456784496</v>
      </c>
      <c r="I212" s="117">
        <f t="shared" si="53"/>
        <v>0.13094310210444274</v>
      </c>
      <c r="J212" s="118">
        <f>IF($D212="",0,IF($F212&lt;2,0,IF($E212="Win",('Guide &amp; Settings'!$C$42/(($F212-1)*COUNTIFS($A$4:$A$810,$A212,$E$4:$E$810,"Win")))*SUMIFS($X$4:$X$810,$A$4:$A$810,$A212,$E$4:$E$810,"Loss"),-('Guide &amp; Settings'!$C$42/($F212-1))*$X212)))</f>
        <v>6.1020066918505096</v>
      </c>
      <c r="K212" s="118">
        <f>IF($D212="",0,'Guide &amp; Settings'!$C$43*(IF($E212="Win",1,0)-$I212))</f>
        <v>10.428682774746687</v>
      </c>
      <c r="L212" s="119">
        <f>IF($D212="",0,'Guide &amp; Settings'!$C$44*IF($F212&gt;=3,$F212,0))</f>
        <v>4</v>
      </c>
      <c r="M212" s="118">
        <f t="shared" si="54"/>
        <v>20.530689466597195</v>
      </c>
      <c r="N212" s="116">
        <f t="shared" si="55"/>
        <v>1011.6163740344422</v>
      </c>
      <c r="O212" s="115" t="str">
        <f t="shared" si="56"/>
        <v>OK</v>
      </c>
      <c r="P212">
        <f t="shared" si="57"/>
        <v>966.92291476487617</v>
      </c>
      <c r="Q212">
        <f t="shared" si="58"/>
        <v>0.53471706755293213</v>
      </c>
      <c r="R212">
        <f t="shared" si="59"/>
        <v>0.2</v>
      </c>
      <c r="S212">
        <f t="shared" si="60"/>
        <v>1.5273809523809523</v>
      </c>
      <c r="T212" s="83">
        <f t="shared" si="61"/>
        <v>3</v>
      </c>
      <c r="U212" s="120">
        <f>IF($D212="",0,IFERROR(LOOKUP(2,1/(($D$3:D211=$D212)*($C$3:C211=$C212)*($A$3:A211&lt;$A212)),$AB$3:AB211),1000))</f>
        <v>984.7993801654037</v>
      </c>
      <c r="V212" s="120">
        <f t="shared" si="62"/>
        <v>988.72832041692936</v>
      </c>
      <c r="W212">
        <f t="shared" si="63"/>
        <v>976.25404149029248</v>
      </c>
      <c r="X212">
        <f t="shared" si="64"/>
        <v>0.5179442205463477</v>
      </c>
      <c r="Y212">
        <f t="shared" si="65"/>
        <v>984.7993801654037</v>
      </c>
      <c r="Z212">
        <f t="shared" si="66"/>
        <v>0.5</v>
      </c>
      <c r="AA212">
        <f>IF($D212="",0,IF($F212&lt;2,0,IF($E212="Win",('Guide &amp; Settings'!$C$42/(($F212-1)*COUNTIFS($A$4:$A$810,$A212,$E$4:$E$810,"Win")))*SUMIFS($Z$4:$Z$810,$A$4:$A$810,$A212,$E$4:$E$810,"Loss"),-('Guide &amp; Settings'!$C$42/($F212-1))*$Z212)))</f>
        <v>5.552971587250271</v>
      </c>
      <c r="AB212" s="120">
        <f t="shared" si="67"/>
        <v>990.35235175265393</v>
      </c>
      <c r="AC212" s="120">
        <f>IF($D212="","",IF(SUMPRODUCT(MAX(($D$4:$D$810=$D212)*($B$4:$B$810&lt;$B212)*$B$4:$B$810))=0,0,MAX(($B212-MAX(SUMPRODUCT(MAX(($D$4:$D$810=$D212)*($B$4:$B$810&lt;$B212)*$B$4:$B$810)),'Guide &amp; Settings'!$C$50))/7-'Guide &amp; Settings'!$C$48,0)*'Guide &amp; Settings'!$C$49))</f>
        <v>0</v>
      </c>
    </row>
    <row r="213" spans="1:29" ht="15" customHeight="1" x14ac:dyDescent="0.2">
      <c r="A213" s="111">
        <v>85</v>
      </c>
      <c r="B213" s="112">
        <v>46188</v>
      </c>
      <c r="C213" s="113" t="s">
        <v>206</v>
      </c>
      <c r="D213" s="113" t="s">
        <v>140</v>
      </c>
      <c r="E213" s="111" t="s">
        <v>308</v>
      </c>
      <c r="F213" s="114">
        <f t="shared" si="51"/>
        <v>4</v>
      </c>
      <c r="G213" s="115" t="str">
        <f t="shared" si="52"/>
        <v>David</v>
      </c>
      <c r="H213" s="116">
        <f>IF($D213="",0,IFERROR(LOOKUP(2,1/(($D$3:D212=$D213)*($A$3:A212&lt;$A213)),$N$3:N212),'Guide &amp; Settings'!$C$41))</f>
        <v>942.76014496190749</v>
      </c>
      <c r="I213" s="117">
        <f t="shared" si="53"/>
        <v>0.18706157443491817</v>
      </c>
      <c r="J213" s="118">
        <f>IF($D213="",0,IF($F213&lt;2,0,IF($E213="Win",('Guide &amp; Settings'!$C$42/(($F213-1)*COUNTIFS($A$4:$A$810,$A213,$E$4:$E$810,"Win")))*SUMIFS($X$4:$X$810,$A$4:$A$810,$A213,$E$4:$E$810,"Loss"),-('Guide &amp; Settings'!$C$42/($F213-1))*$X213)))</f>
        <v>6.1020066918505096</v>
      </c>
      <c r="K213" s="118">
        <f>IF($D213="",0,'Guide &amp; Settings'!$C$43*(IF($E213="Win",1,0)-$I213))</f>
        <v>9.7552611067809814</v>
      </c>
      <c r="L213" s="119">
        <f>IF($D213="",0,'Guide &amp; Settings'!$C$44*IF($F213&gt;=3,$F213,0))</f>
        <v>4</v>
      </c>
      <c r="M213" s="118">
        <f t="shared" si="54"/>
        <v>19.85726779863149</v>
      </c>
      <c r="N213" s="116">
        <f t="shared" si="55"/>
        <v>962.61741276053897</v>
      </c>
      <c r="O213" s="115" t="str">
        <f t="shared" si="56"/>
        <v>OK</v>
      </c>
      <c r="P213">
        <f t="shared" si="57"/>
        <v>966.92291476487617</v>
      </c>
      <c r="Q213">
        <f t="shared" si="58"/>
        <v>0.46528293244706798</v>
      </c>
      <c r="R213">
        <f t="shared" si="59"/>
        <v>0.2857142857142857</v>
      </c>
      <c r="S213">
        <f t="shared" si="60"/>
        <v>1.5273809523809523</v>
      </c>
      <c r="T213" s="83">
        <f t="shared" si="61"/>
        <v>5</v>
      </c>
      <c r="U213" s="120">
        <f>IF($D213="",0,IFERROR(LOOKUP(2,1/(($D$3:D212=$D213)*($C$3:C212=$C213)*($A$3:A212&lt;$A213)),$AB$3:AB212),1000))</f>
        <v>984.7993801654037</v>
      </c>
      <c r="V213" s="120">
        <f t="shared" si="62"/>
        <v>963.77976256365559</v>
      </c>
      <c r="W213">
        <f t="shared" si="63"/>
        <v>976.25404149029248</v>
      </c>
      <c r="X213">
        <f t="shared" si="64"/>
        <v>0.48205577945365236</v>
      </c>
      <c r="Y213">
        <f t="shared" si="65"/>
        <v>984.7993801654037</v>
      </c>
      <c r="Z213">
        <f t="shared" si="66"/>
        <v>0.5</v>
      </c>
      <c r="AA213">
        <f>IF($D213="",0,IF($F213&lt;2,0,IF($E213="Win",('Guide &amp; Settings'!$C$42/(($F213-1)*COUNTIFS($A$4:$A$810,$A213,$E$4:$E$810,"Win")))*SUMIFS($Z$4:$Z$810,$A$4:$A$810,$A213,$E$4:$E$810,"Loss"),-('Guide &amp; Settings'!$C$42/($F213-1))*$Z213)))</f>
        <v>5.552971587250271</v>
      </c>
      <c r="AB213" s="120">
        <f t="shared" si="67"/>
        <v>990.35235175265393</v>
      </c>
      <c r="AC213" s="120">
        <f>IF($D213="","",IF(SUMPRODUCT(MAX(($D$4:$D$810=$D213)*($B$4:$B$810&lt;$B213)*$B$4:$B$810))=0,0,MAX(($B213-MAX(SUMPRODUCT(MAX(($D$4:$D$810=$D213)*($B$4:$B$810&lt;$B213)*$B$4:$B$810)),'Guide &amp; Settings'!$C$50))/7-'Guide &amp; Settings'!$C$48,0)*'Guide &amp; Settings'!$C$49))</f>
        <v>0</v>
      </c>
    </row>
    <row r="214" spans="1:29" ht="15" customHeight="1" x14ac:dyDescent="0.2">
      <c r="A214" s="111">
        <v>85</v>
      </c>
      <c r="B214" s="112">
        <v>46188</v>
      </c>
      <c r="C214" s="113" t="s">
        <v>206</v>
      </c>
      <c r="D214" s="113" t="s">
        <v>138</v>
      </c>
      <c r="E214" s="111" t="s">
        <v>309</v>
      </c>
      <c r="F214" s="114">
        <f t="shared" si="51"/>
        <v>4</v>
      </c>
      <c r="G214" s="115" t="str">
        <f t="shared" si="52"/>
        <v>David</v>
      </c>
      <c r="H214" s="116">
        <f>IF($D214="",0,IFERROR(LOOKUP(2,1/(($D$3:D213=$D214)*($A$3:A213&lt;$A214)),$N$3:N213),'Guide &amp; Settings'!$C$41))</f>
        <v>1062.6813702451004</v>
      </c>
      <c r="I214" s="117">
        <f t="shared" si="53"/>
        <v>0.24551831644583011</v>
      </c>
      <c r="J214" s="118">
        <f>IF($D214="",0,IF($F214&lt;2,0,IF($E214="Win",('Guide &amp; Settings'!$C$42/(($F214-1)*COUNTIFS($A$4:$A$810,$A214,$E$4:$E$810,"Win")))*SUMIFS($X$4:$X$810,$A$4:$A$810,$A214,$E$4:$E$810,"Loss"),-('Guide &amp; Settings'!$C$42/($F214-1))*$X214)))</f>
        <v>-5.890944233074265</v>
      </c>
      <c r="K214" s="118">
        <f>IF($D214="",0,'Guide &amp; Settings'!$C$43*(IF($E214="Win",1,0)-$I214))</f>
        <v>-2.9462197973499613</v>
      </c>
      <c r="L214" s="119">
        <f>IF($D214="",0,'Guide &amp; Settings'!$C$44*IF($F214&gt;=3,$F214,0))</f>
        <v>4</v>
      </c>
      <c r="M214" s="118">
        <f t="shared" si="54"/>
        <v>-4.8371640304242263</v>
      </c>
      <c r="N214" s="116">
        <f t="shared" si="55"/>
        <v>1057.8442062146762</v>
      </c>
      <c r="O214" s="115" t="str">
        <f t="shared" si="56"/>
        <v>OK</v>
      </c>
      <c r="P214">
        <f t="shared" si="57"/>
        <v>966.92291476487617</v>
      </c>
      <c r="Q214">
        <f t="shared" si="58"/>
        <v>0.63442090873074974</v>
      </c>
      <c r="R214">
        <f t="shared" si="59"/>
        <v>0.375</v>
      </c>
      <c r="S214">
        <f t="shared" si="60"/>
        <v>1.5273809523809523</v>
      </c>
      <c r="T214" s="83">
        <f t="shared" si="61"/>
        <v>6</v>
      </c>
      <c r="U214" s="120">
        <f>IF($D214="",0,IFERROR(LOOKUP(2,1/(($D$3:D213=$D214)*($C$3:C213=$C214)*($A$3:A213&lt;$A214)),$AB$3:AB213),1000))</f>
        <v>971.07154576093114</v>
      </c>
      <c r="V214" s="120">
        <f t="shared" si="62"/>
        <v>1012.7123750719172</v>
      </c>
      <c r="W214">
        <f t="shared" si="63"/>
        <v>976.25404149029248</v>
      </c>
      <c r="X214">
        <f t="shared" si="64"/>
        <v>0.55227602185071234</v>
      </c>
      <c r="Y214">
        <f t="shared" si="65"/>
        <v>984.7993801654037</v>
      </c>
      <c r="Z214">
        <f t="shared" si="66"/>
        <v>0.48025433271639861</v>
      </c>
      <c r="AA214">
        <f>IF($D214="",0,IF($F214&lt;2,0,IF($E214="Win",('Guide &amp; Settings'!$C$42/(($F214-1)*COUNTIFS($A$4:$A$810,$A214,$E$4:$E$810,"Win")))*SUMIFS($Z$4:$Z$810,$A$4:$A$810,$A214,$E$4:$E$810,"Loss"),-('Guide &amp; Settings'!$C$42/($F214-1))*$Z214)))</f>
        <v>-5.1227128823082513</v>
      </c>
      <c r="AB214" s="120">
        <f t="shared" si="67"/>
        <v>965.94883287862285</v>
      </c>
      <c r="AC214" s="120">
        <f>IF($D214="","",IF(SUMPRODUCT(MAX(($D$4:$D$810=$D214)*($B$4:$B$810&lt;$B214)*$B$4:$B$810))=0,0,MAX(($B214-MAX(SUMPRODUCT(MAX(($D$4:$D$810=$D214)*($B$4:$B$810&lt;$B214)*$B$4:$B$810)),'Guide &amp; Settings'!$C$50))/7-'Guide &amp; Settings'!$C$48,0)*'Guide &amp; Settings'!$C$49))</f>
        <v>0</v>
      </c>
    </row>
    <row r="215" spans="1:29" ht="15" customHeight="1" x14ac:dyDescent="0.2">
      <c r="A215" s="111">
        <v>85</v>
      </c>
      <c r="B215" s="112">
        <v>46188</v>
      </c>
      <c r="C215" s="113" t="s">
        <v>206</v>
      </c>
      <c r="D215" s="113" t="s">
        <v>135</v>
      </c>
      <c r="E215" s="111" t="s">
        <v>309</v>
      </c>
      <c r="F215" s="114">
        <f t="shared" si="51"/>
        <v>4</v>
      </c>
      <c r="G215" s="115" t="str">
        <f t="shared" si="52"/>
        <v>David</v>
      </c>
      <c r="H215" s="116">
        <f>IF($D215="",0,IFERROR(LOOKUP(2,1/(($D$3:D214=$D215)*($A$3:A214&lt;$A215)),$N$3:N214),'Guide &amp; Settings'!$C$41))</f>
        <v>1059.6593334866984</v>
      </c>
      <c r="I215" s="117">
        <f t="shared" si="53"/>
        <v>0.43647700701480907</v>
      </c>
      <c r="J215" s="118">
        <f>IF($D215="",0,IF($F215&lt;2,0,IF($E215="Win",('Guide &amp; Settings'!$C$42/(($F215-1)*COUNTIFS($A$4:$A$810,$A215,$E$4:$E$810,"Win")))*SUMIFS($X$4:$X$810,$A$4:$A$810,$A215,$E$4:$E$810,"Loss"),-('Guide &amp; Settings'!$C$42/($F215-1))*$X215)))</f>
        <v>-6.3130691506267542</v>
      </c>
      <c r="K215" s="118">
        <f>IF($D215="",0,'Guide &amp; Settings'!$C$43*(IF($E215="Win",1,0)-$I215))</f>
        <v>-5.2377240841777084</v>
      </c>
      <c r="L215" s="119">
        <f>IF($D215="",0,'Guide &amp; Settings'!$C$44*IF($F215&gt;=3,$F215,0))</f>
        <v>4</v>
      </c>
      <c r="M215" s="118">
        <f t="shared" si="54"/>
        <v>-7.5507932348044626</v>
      </c>
      <c r="N215" s="116">
        <f t="shared" si="55"/>
        <v>1052.1085402518941</v>
      </c>
      <c r="O215" s="115" t="str">
        <f t="shared" si="56"/>
        <v>OK</v>
      </c>
      <c r="P215">
        <f t="shared" si="57"/>
        <v>966.92291476487617</v>
      </c>
      <c r="Q215">
        <f t="shared" si="58"/>
        <v>0.63037682582607213</v>
      </c>
      <c r="R215">
        <f t="shared" si="59"/>
        <v>0.66666666666666663</v>
      </c>
      <c r="S215">
        <f t="shared" si="60"/>
        <v>1.5273809523809523</v>
      </c>
      <c r="T215" s="83">
        <f t="shared" si="61"/>
        <v>7</v>
      </c>
      <c r="U215" s="120">
        <f>IF($D215="",0,IFERROR(LOOKUP(2,1/(($D$3:D214=$D215)*($C$3:C214=$C215)*($A$3:A214&lt;$A215)),$AB$3:AB214),1000))</f>
        <v>1027.3478179131789</v>
      </c>
      <c r="V215" s="120">
        <f t="shared" si="62"/>
        <v>1040.8109494021455</v>
      </c>
      <c r="W215">
        <f t="shared" si="63"/>
        <v>976.25404149029248</v>
      </c>
      <c r="X215">
        <f t="shared" si="64"/>
        <v>0.59185023287125826</v>
      </c>
      <c r="Y215">
        <f t="shared" si="65"/>
        <v>984.7993801654037</v>
      </c>
      <c r="Z215">
        <f t="shared" si="66"/>
        <v>0.56092783989302741</v>
      </c>
      <c r="AA215">
        <f>IF($D215="",0,IF($F215&lt;2,0,IF($E215="Win",('Guide &amp; Settings'!$C$42/(($F215-1)*COUNTIFS($A$4:$A$810,$A215,$E$4:$E$810,"Win")))*SUMIFS($Z$4:$Z$810,$A$4:$A$810,$A215,$E$4:$E$810,"Loss"),-('Guide &amp; Settings'!$C$42/($F215-1))*$Z215)))</f>
        <v>-5.9832302921922924</v>
      </c>
      <c r="AB215" s="120">
        <f t="shared" si="67"/>
        <v>1021.3645876209866</v>
      </c>
      <c r="AC215" s="120">
        <f>IF($D215="","",IF(SUMPRODUCT(MAX(($D$4:$D$810=$D215)*($B$4:$B$810&lt;$B215)*$B$4:$B$810))=0,0,MAX(($B215-MAX(SUMPRODUCT(MAX(($D$4:$D$810=$D215)*($B$4:$B$810&lt;$B215)*$B$4:$B$810)),'Guide &amp; Settings'!$C$50))/7-'Guide &amp; Settings'!$C$48,0)*'Guide &amp; Settings'!$C$49))</f>
        <v>0</v>
      </c>
    </row>
    <row r="216" spans="1:29" ht="15" customHeight="1" x14ac:dyDescent="0.2">
      <c r="A216" s="111">
        <v>86</v>
      </c>
      <c r="B216" s="112">
        <v>46188</v>
      </c>
      <c r="C216" s="113" t="s">
        <v>206</v>
      </c>
      <c r="D216" s="113" t="s">
        <v>171</v>
      </c>
      <c r="E216" s="111" t="s">
        <v>308</v>
      </c>
      <c r="F216" s="114">
        <f t="shared" si="51"/>
        <v>4</v>
      </c>
      <c r="G216" s="115" t="str">
        <f t="shared" si="52"/>
        <v>David</v>
      </c>
      <c r="H216" s="116">
        <f>IF($D216="",0,IFERROR(LOOKUP(2,1/(($D$3:D215=$D216)*($A$3:A215&lt;$A216)),$N$3:N215),'Guide &amp; Settings'!$C$41))</f>
        <v>1011.6163740344422</v>
      </c>
      <c r="I216" s="117">
        <f t="shared" si="53"/>
        <v>0.20168067226890757</v>
      </c>
      <c r="J216" s="118">
        <f>IF($D216="",0,IF($F216&lt;2,0,IF($E216="Win",('Guide &amp; Settings'!$C$42/(($F216-1)*COUNTIFS($A$4:$A$810,$A216,$E$4:$E$810,"Win")))*SUMIFS($X$4:$X$810,$A$4:$A$810,$A216,$E$4:$E$810,"Loss"),-('Guide &amp; Settings'!$C$42/($F216-1))*$X216)))</f>
        <v>6.0296423998356339</v>
      </c>
      <c r="K216" s="118">
        <f>IF($D216="",0,'Guide &amp; Settings'!$C$43*(IF($E216="Win",1,0)-$I216))</f>
        <v>9.5798319327731107</v>
      </c>
      <c r="L216" s="119">
        <f>IF($D216="",0,'Guide &amp; Settings'!$C$44*IF($F216&gt;=3,$F216,0))</f>
        <v>4</v>
      </c>
      <c r="M216" s="118">
        <f t="shared" si="54"/>
        <v>19.609474332608745</v>
      </c>
      <c r="N216" s="116">
        <f t="shared" si="55"/>
        <v>1031.225848367051</v>
      </c>
      <c r="O216" s="115" t="str">
        <f t="shared" si="56"/>
        <v>OK</v>
      </c>
      <c r="P216">
        <f t="shared" si="57"/>
        <v>987.11689339749057</v>
      </c>
      <c r="Q216">
        <f t="shared" si="58"/>
        <v>0.53519926465643985</v>
      </c>
      <c r="R216">
        <f t="shared" si="59"/>
        <v>0.33333333333333331</v>
      </c>
      <c r="S216">
        <f t="shared" si="60"/>
        <v>1.6527777777777777</v>
      </c>
      <c r="T216" s="83">
        <f t="shared" si="61"/>
        <v>4</v>
      </c>
      <c r="U216" s="120">
        <f>IF($D216="",0,IFERROR(LOOKUP(2,1/(($D$3:D215=$D216)*($C$3:C215=$C216)*($A$3:A215&lt;$A216)),$AB$3:AB215),1000))</f>
        <v>990.35235175265393</v>
      </c>
      <c r="V216" s="120">
        <f t="shared" si="62"/>
        <v>1002.1656974647585</v>
      </c>
      <c r="W216">
        <f t="shared" si="63"/>
        <v>989.95562938322553</v>
      </c>
      <c r="X216">
        <f t="shared" si="64"/>
        <v>0.51756447001334061</v>
      </c>
      <c r="Y216">
        <f t="shared" si="65"/>
        <v>990.35235175265393</v>
      </c>
      <c r="Z216">
        <f t="shared" si="66"/>
        <v>0.5</v>
      </c>
      <c r="AA216">
        <f>IF($D216="",0,IF($F216&lt;2,0,IF($E216="Win",('Guide &amp; Settings'!$C$42/(($F216-1)*COUNTIFS($A$4:$A$810,$A216,$E$4:$E$810,"Win")))*SUMIFS($Z$4:$Z$810,$A$4:$A$810,$A216,$E$4:$E$810,"Loss"),-('Guide &amp; Settings'!$C$42/($F216-1))*$Z216)))</f>
        <v>5.3751331463777881</v>
      </c>
      <c r="AB216" s="120">
        <f t="shared" si="67"/>
        <v>995.72748489903177</v>
      </c>
      <c r="AC216" s="120">
        <f>IF($D216="","",IF(SUMPRODUCT(MAX(($D$4:$D$810=$D216)*($B$4:$B$810&lt;$B216)*$B$4:$B$810))=0,0,MAX(($B216-MAX(SUMPRODUCT(MAX(($D$4:$D$810=$D216)*($B$4:$B$810&lt;$B216)*$B$4:$B$810)),'Guide &amp; Settings'!$C$50))/7-'Guide &amp; Settings'!$C$48,0)*'Guide &amp; Settings'!$C$49))</f>
        <v>0</v>
      </c>
    </row>
    <row r="217" spans="1:29" ht="15" customHeight="1" x14ac:dyDescent="0.2">
      <c r="A217" s="111">
        <v>86</v>
      </c>
      <c r="B217" s="112">
        <v>46188</v>
      </c>
      <c r="C217" s="113" t="s">
        <v>206</v>
      </c>
      <c r="D217" s="113" t="s">
        <v>140</v>
      </c>
      <c r="E217" s="111" t="s">
        <v>308</v>
      </c>
      <c r="F217" s="114">
        <f t="shared" si="51"/>
        <v>4</v>
      </c>
      <c r="G217" s="115" t="str">
        <f t="shared" si="52"/>
        <v>David</v>
      </c>
      <c r="H217" s="116">
        <f>IF($D217="",0,IFERROR(LOOKUP(2,1/(($D$3:D216=$D217)*($A$3:A216&lt;$A217)),$N$3:N216),'Guide &amp; Settings'!$C$41))</f>
        <v>962.61741276053897</v>
      </c>
      <c r="I217" s="117">
        <f t="shared" si="53"/>
        <v>0.22689075630252103</v>
      </c>
      <c r="J217" s="118">
        <f>IF($D217="",0,IF($F217&lt;2,0,IF($E217="Win",('Guide &amp; Settings'!$C$42/(($F217-1)*COUNTIFS($A$4:$A$810,$A217,$E$4:$E$810,"Win")))*SUMIFS($X$4:$X$810,$A$4:$A$810,$A217,$E$4:$E$810,"Loss"),-('Guide &amp; Settings'!$C$42/($F217-1))*$X217)))</f>
        <v>6.0296423998356339</v>
      </c>
      <c r="K217" s="118">
        <f>IF($D217="",0,'Guide &amp; Settings'!$C$43*(IF($E217="Win",1,0)-$I217))</f>
        <v>9.2773109243697469</v>
      </c>
      <c r="L217" s="119">
        <f>IF($D217="",0,'Guide &amp; Settings'!$C$44*IF($F217&gt;=3,$F217,0))</f>
        <v>4</v>
      </c>
      <c r="M217" s="118">
        <f t="shared" si="54"/>
        <v>19.306953324205381</v>
      </c>
      <c r="N217" s="116">
        <f t="shared" si="55"/>
        <v>981.92436608474441</v>
      </c>
      <c r="O217" s="115" t="str">
        <f t="shared" si="56"/>
        <v>OK</v>
      </c>
      <c r="P217">
        <f t="shared" si="57"/>
        <v>987.11689339749057</v>
      </c>
      <c r="Q217">
        <f t="shared" si="58"/>
        <v>0.46480073534356003</v>
      </c>
      <c r="R217">
        <f t="shared" si="59"/>
        <v>0.375</v>
      </c>
      <c r="S217">
        <f t="shared" si="60"/>
        <v>1.6527777777777777</v>
      </c>
      <c r="T217" s="83">
        <f t="shared" si="61"/>
        <v>6</v>
      </c>
      <c r="U217" s="120">
        <f>IF($D217="",0,IFERROR(LOOKUP(2,1/(($D$3:D216=$D217)*($C$3:C216=$C217)*($A$3:A216&lt;$A217)),$AB$3:AB216),1000))</f>
        <v>990.35235175265393</v>
      </c>
      <c r="V217" s="120">
        <f t="shared" si="62"/>
        <v>977.74556130169253</v>
      </c>
      <c r="W217">
        <f t="shared" si="63"/>
        <v>989.95562938322553</v>
      </c>
      <c r="X217">
        <f t="shared" si="64"/>
        <v>0.48243552998665945</v>
      </c>
      <c r="Y217">
        <f t="shared" si="65"/>
        <v>990.35235175265393</v>
      </c>
      <c r="Z217">
        <f t="shared" si="66"/>
        <v>0.5</v>
      </c>
      <c r="AA217">
        <f>IF($D217="",0,IF($F217&lt;2,0,IF($E217="Win",('Guide &amp; Settings'!$C$42/(($F217-1)*COUNTIFS($A$4:$A$810,$A217,$E$4:$E$810,"Win")))*SUMIFS($Z$4:$Z$810,$A$4:$A$810,$A217,$E$4:$E$810,"Loss"),-('Guide &amp; Settings'!$C$42/($F217-1))*$Z217)))</f>
        <v>5.3751331463777881</v>
      </c>
      <c r="AB217" s="120">
        <f t="shared" si="67"/>
        <v>995.72748489903177</v>
      </c>
      <c r="AC217" s="120">
        <f>IF($D217="","",IF(SUMPRODUCT(MAX(($D$4:$D$810=$D217)*($B$4:$B$810&lt;$B217)*$B$4:$B$810))=0,0,MAX(($B217-MAX(SUMPRODUCT(MAX(($D$4:$D$810=$D217)*($B$4:$B$810&lt;$B217)*$B$4:$B$810)),'Guide &amp; Settings'!$C$50))/7-'Guide &amp; Settings'!$C$48,0)*'Guide &amp; Settings'!$C$49))</f>
        <v>0</v>
      </c>
    </row>
    <row r="218" spans="1:29" ht="15" customHeight="1" x14ac:dyDescent="0.2">
      <c r="A218" s="111">
        <v>86</v>
      </c>
      <c r="B218" s="112">
        <v>46188</v>
      </c>
      <c r="C218" s="113" t="s">
        <v>206</v>
      </c>
      <c r="D218" s="113" t="s">
        <v>134</v>
      </c>
      <c r="E218" s="111" t="s">
        <v>309</v>
      </c>
      <c r="F218" s="114">
        <f t="shared" si="51"/>
        <v>4</v>
      </c>
      <c r="G218" s="115" t="str">
        <f t="shared" si="52"/>
        <v>David</v>
      </c>
      <c r="H218" s="116">
        <f>IF($D218="",0,IFERROR(LOOKUP(2,1/(($D$3:D217=$D218)*($A$3:A217&lt;$A218)),$N$3:N217),'Guide &amp; Settings'!$C$41))</f>
        <v>1029.7715942913092</v>
      </c>
      <c r="I218" s="117">
        <f t="shared" si="53"/>
        <v>0.30252100840336138</v>
      </c>
      <c r="J218" s="118">
        <f>IF($D218="",0,IF($F218&lt;2,0,IF($E218="Win",('Guide &amp; Settings'!$C$42/(($F218-1)*COUNTIFS($A$4:$A$810,$A218,$E$4:$E$810,"Win")))*SUMIFS($X$4:$X$810,$A$4:$A$810,$A218,$E$4:$E$810,"Loss"),-('Guide &amp; Settings'!$C$42/($F218-1))*$X218)))</f>
        <v>-5.666286335300609</v>
      </c>
      <c r="K218" s="118">
        <f>IF($D218="",0,'Guide &amp; Settings'!$C$43*(IF($E218="Win",1,0)-$I218))</f>
        <v>-3.6302521008403366</v>
      </c>
      <c r="L218" s="119">
        <f>IF($D218="",0,'Guide &amp; Settings'!$C$44*IF($F218&gt;=3,$F218,0))</f>
        <v>4</v>
      </c>
      <c r="M218" s="118">
        <f t="shared" si="54"/>
        <v>-5.2965384361409455</v>
      </c>
      <c r="N218" s="116">
        <f t="shared" si="55"/>
        <v>1024.4750558551682</v>
      </c>
      <c r="O218" s="115" t="str">
        <f t="shared" si="56"/>
        <v>OK</v>
      </c>
      <c r="P218">
        <f t="shared" si="57"/>
        <v>987.11689339749057</v>
      </c>
      <c r="Q218">
        <f t="shared" si="58"/>
        <v>0.56107848848056352</v>
      </c>
      <c r="R218">
        <f t="shared" si="59"/>
        <v>0.5</v>
      </c>
      <c r="S218">
        <f t="shared" si="60"/>
        <v>1.6527777777777777</v>
      </c>
      <c r="T218" s="83">
        <f t="shared" si="61"/>
        <v>8</v>
      </c>
      <c r="U218" s="120">
        <f>IF($D218="",0,IFERROR(LOOKUP(2,1/(($D$3:D217=$D218)*($C$3:C217=$C218)*($A$3:A217&lt;$A218)),$AB$3:AB217),1000))</f>
        <v>1000.3627125129412</v>
      </c>
      <c r="V218" s="120">
        <f t="shared" si="62"/>
        <v>1011.6738208892366</v>
      </c>
      <c r="W218">
        <f t="shared" si="63"/>
        <v>989.95562938322553</v>
      </c>
      <c r="X218">
        <f t="shared" si="64"/>
        <v>0.53121434393443212</v>
      </c>
      <c r="Y218">
        <f t="shared" si="65"/>
        <v>990.35235175265393</v>
      </c>
      <c r="Z218">
        <f t="shared" si="66"/>
        <v>0.51440208214060656</v>
      </c>
      <c r="AA218">
        <f>IF($D218="",0,IF($F218&lt;2,0,IF($E218="Win",('Guide &amp; Settings'!$C$42/(($F218-1)*COUNTIFS($A$4:$A$810,$A218,$E$4:$E$810,"Win")))*SUMIFS($Z$4:$Z$810,$A$4:$A$810,$A218,$E$4:$E$810,"Loss"),-('Guide &amp; Settings'!$C$42/($F218-1))*$Z218)))</f>
        <v>-5.4869555428331367</v>
      </c>
      <c r="AB218" s="120">
        <f t="shared" si="67"/>
        <v>994.87575697010811</v>
      </c>
      <c r="AC218" s="120">
        <f>IF($D218="","",IF(SUMPRODUCT(MAX(($D$4:$D$810=$D218)*($B$4:$B$810&lt;$B218)*$B$4:$B$810))=0,0,MAX(($B218-MAX(SUMPRODUCT(MAX(($D$4:$D$810=$D218)*($B$4:$B$810&lt;$B218)*$B$4:$B$810)),'Guide &amp; Settings'!$C$50))/7-'Guide &amp; Settings'!$C$48,0)*'Guide &amp; Settings'!$C$49))</f>
        <v>0</v>
      </c>
    </row>
    <row r="219" spans="1:29" ht="15" customHeight="1" x14ac:dyDescent="0.2">
      <c r="A219" s="111">
        <v>86</v>
      </c>
      <c r="B219" s="112">
        <v>46188</v>
      </c>
      <c r="C219" s="113" t="s">
        <v>206</v>
      </c>
      <c r="D219" s="113" t="s">
        <v>137</v>
      </c>
      <c r="E219" s="111" t="s">
        <v>309</v>
      </c>
      <c r="F219" s="114">
        <f t="shared" si="51"/>
        <v>4</v>
      </c>
      <c r="G219" s="115" t="str">
        <f t="shared" si="52"/>
        <v>David</v>
      </c>
      <c r="H219" s="116">
        <f>IF($D219="",0,IFERROR(LOOKUP(2,1/(($D$3:D218=$D219)*($A$3:A218&lt;$A219)),$N$3:N218),'Guide &amp; Settings'!$C$41))</f>
        <v>1163.6944202317491</v>
      </c>
      <c r="I219" s="117">
        <f t="shared" si="53"/>
        <v>0.26890756302521007</v>
      </c>
      <c r="J219" s="118">
        <f>IF($D219="",0,IF($F219&lt;2,0,IF($E219="Win",('Guide &amp; Settings'!$C$42/(($F219-1)*COUNTIFS($A$4:$A$810,$A219,$E$4:$E$810,"Win")))*SUMIFS($X$4:$X$810,$A$4:$A$810,$A219,$E$4:$E$810,"Loss"),-('Guide &amp; Settings'!$C$42/($F219-1))*$X219)))</f>
        <v>-6.3929984643706579</v>
      </c>
      <c r="K219" s="118">
        <f>IF($D219="",0,'Guide &amp; Settings'!$C$43*(IF($E219="Win",1,0)-$I219))</f>
        <v>-3.2268907563025211</v>
      </c>
      <c r="L219" s="119">
        <f>IF($D219="",0,'Guide &amp; Settings'!$C$44*IF($F219&gt;=3,$F219,0))</f>
        <v>4</v>
      </c>
      <c r="M219" s="118">
        <f t="shared" si="54"/>
        <v>-5.6198892206731799</v>
      </c>
      <c r="N219" s="116">
        <f t="shared" si="55"/>
        <v>1158.0745310110758</v>
      </c>
      <c r="O219" s="115" t="str">
        <f t="shared" si="56"/>
        <v>OK</v>
      </c>
      <c r="P219">
        <f t="shared" si="57"/>
        <v>987.11689339749057</v>
      </c>
      <c r="Q219">
        <f t="shared" si="58"/>
        <v>0.73428285803302462</v>
      </c>
      <c r="R219">
        <f t="shared" si="59"/>
        <v>0.44444444444444442</v>
      </c>
      <c r="S219">
        <f t="shared" si="60"/>
        <v>1.6527777777777777</v>
      </c>
      <c r="T219" s="83">
        <f t="shared" si="61"/>
        <v>7</v>
      </c>
      <c r="U219" s="120">
        <f>IF($D219="",0,IFERROR(LOOKUP(2,1/(($D$3:D218=$D219)*($C$3:C218=$C219)*($A$3:A218&lt;$A219)),$AB$3:AB218),1000))</f>
        <v>985.79052638539679</v>
      </c>
      <c r="V219" s="120">
        <f t="shared" si="62"/>
        <v>1059.9171488213769</v>
      </c>
      <c r="W219">
        <f t="shared" si="63"/>
        <v>989.95562938322553</v>
      </c>
      <c r="X219">
        <f t="shared" si="64"/>
        <v>0.59934360603474923</v>
      </c>
      <c r="Y219">
        <f t="shared" si="65"/>
        <v>990.35235175265393</v>
      </c>
      <c r="Z219">
        <f t="shared" si="66"/>
        <v>0.49343538280522869</v>
      </c>
      <c r="AA219">
        <f>IF($D219="",0,IF($F219&lt;2,0,IF($E219="Win",('Guide &amp; Settings'!$C$42/(($F219-1)*COUNTIFS($A$4:$A$810,$A219,$E$4:$E$810,"Win")))*SUMIFS($Z$4:$Z$810,$A$4:$A$810,$A219,$E$4:$E$810,"Loss"),-('Guide &amp; Settings'!$C$42/($F219-1))*$Z219)))</f>
        <v>-5.2633107499224394</v>
      </c>
      <c r="AB219" s="120">
        <f t="shared" si="67"/>
        <v>980.52721563547436</v>
      </c>
      <c r="AC219" s="120">
        <f>IF($D219="","",IF(SUMPRODUCT(MAX(($D$4:$D$810=$D219)*($B$4:$B$810&lt;$B219)*$B$4:$B$810))=0,0,MAX(($B219-MAX(SUMPRODUCT(MAX(($D$4:$D$810=$D219)*($B$4:$B$810&lt;$B219)*$B$4:$B$810)),'Guide &amp; Settings'!$C$50))/7-'Guide &amp; Settings'!$C$48,0)*'Guide &amp; Settings'!$C$49))</f>
        <v>0</v>
      </c>
    </row>
    <row r="220" spans="1:29" ht="15" customHeight="1" x14ac:dyDescent="0.2">
      <c r="A220" s="111">
        <v>87</v>
      </c>
      <c r="B220" s="112">
        <v>46188</v>
      </c>
      <c r="C220" s="113" t="s">
        <v>185</v>
      </c>
      <c r="D220" s="113" t="s">
        <v>168</v>
      </c>
      <c r="E220" s="111" t="s">
        <v>308</v>
      </c>
      <c r="F220" s="114">
        <f t="shared" si="51"/>
        <v>2</v>
      </c>
      <c r="G220" s="115" t="str">
        <f t="shared" si="52"/>
        <v>Simon</v>
      </c>
      <c r="H220" s="116">
        <f>IF($D220="",0,IFERROR(LOOKUP(2,1/(($D$3:D219=$D220)*($A$3:A219&lt;$A220)),$N$3:N219),'Guide &amp; Settings'!$C$41))</f>
        <v>1127.3851990259313</v>
      </c>
      <c r="I220" s="117">
        <f t="shared" si="53"/>
        <v>0.5</v>
      </c>
      <c r="J220" s="118">
        <f>IF($D220="",0,IF($F220&lt;2,0,IF($E220="Win",('Guide &amp; Settings'!$C$42/(($F220-1)*COUNTIFS($A$4:$A$810,$A220,$E$4:$E$810,"Win")))*SUMIFS($X$4:$X$810,$A$4:$A$810,$A220,$E$4:$E$810,"Loss"),-('Guide &amp; Settings'!$C$42/($F220-1))*$X220)))</f>
        <v>14.031965214538561</v>
      </c>
      <c r="K220" s="118">
        <f>IF($D220="",0,'Guide &amp; Settings'!$C$43*(IF($E220="Win",1,0)-$I220))</f>
        <v>6</v>
      </c>
      <c r="L220" s="119">
        <f>IF($D220="",0,'Guide &amp; Settings'!$C$44*IF($F220&gt;=3,$F220,0))</f>
        <v>0</v>
      </c>
      <c r="M220" s="118">
        <f t="shared" si="54"/>
        <v>20.031965214538559</v>
      </c>
      <c r="N220" s="116">
        <f t="shared" si="55"/>
        <v>1147.4171642404699</v>
      </c>
      <c r="O220" s="115" t="str">
        <f t="shared" si="56"/>
        <v>OK</v>
      </c>
      <c r="P220">
        <f t="shared" si="57"/>
        <v>1127.3851990259313</v>
      </c>
      <c r="Q220">
        <f t="shared" si="58"/>
        <v>0.5</v>
      </c>
      <c r="R220">
        <f t="shared" si="59"/>
        <v>0.5</v>
      </c>
      <c r="S220">
        <f t="shared" si="60"/>
        <v>1</v>
      </c>
      <c r="T220" s="83">
        <f t="shared" si="61"/>
        <v>0</v>
      </c>
      <c r="U220" s="120">
        <f>IF($D220="",0,IFERROR(LOOKUP(2,1/(($D$3:D219=$D220)*($C$3:C219=$C220)*($A$3:A219&lt;$A220)),$AB$3:AB219),1000))</f>
        <v>1000</v>
      </c>
      <c r="V220" s="120">
        <f t="shared" si="62"/>
        <v>1127.3851990259313</v>
      </c>
      <c r="W220">
        <f t="shared" si="63"/>
        <v>1127.3851990259313</v>
      </c>
      <c r="X220">
        <f t="shared" si="64"/>
        <v>0.5</v>
      </c>
      <c r="Y220">
        <f t="shared" si="65"/>
        <v>1000</v>
      </c>
      <c r="Z220">
        <f t="shared" si="66"/>
        <v>0.5</v>
      </c>
      <c r="AA220">
        <f>IF($D220="",0,IF($F220&lt;2,0,IF($E220="Win",('Guide &amp; Settings'!$C$42/(($F220-1)*COUNTIFS($A$4:$A$810,$A220,$E$4:$E$810,"Win")))*SUMIFS($Z$4:$Z$810,$A$4:$A$810,$A220,$E$4:$E$810,"Loss"),-('Guide &amp; Settings'!$C$42/($F220-1))*$Z220)))</f>
        <v>15.775654816736873</v>
      </c>
      <c r="AB220" s="120">
        <f t="shared" si="67"/>
        <v>1015.7756548167368</v>
      </c>
      <c r="AC220" s="120">
        <f>IF($D220="","",IF(SUMPRODUCT(MAX(($D$4:$D$810=$D220)*($B$4:$B$810&lt;$B220)*$B$4:$B$810))=0,0,MAX(($B220-MAX(SUMPRODUCT(MAX(($D$4:$D$810=$D220)*($B$4:$B$810&lt;$B220)*$B$4:$B$810)),'Guide &amp; Settings'!$C$50))/7-'Guide &amp; Settings'!$C$48,0)*'Guide &amp; Settings'!$C$49))</f>
        <v>0</v>
      </c>
    </row>
    <row r="221" spans="1:29" ht="15" customHeight="1" x14ac:dyDescent="0.2">
      <c r="A221" s="111">
        <v>87</v>
      </c>
      <c r="B221" s="112">
        <v>46188</v>
      </c>
      <c r="C221" s="113" t="s">
        <v>185</v>
      </c>
      <c r="D221" s="113" t="s">
        <v>167</v>
      </c>
      <c r="E221" s="111" t="s">
        <v>309</v>
      </c>
      <c r="F221" s="114">
        <f t="shared" si="51"/>
        <v>2</v>
      </c>
      <c r="G221" s="115" t="str">
        <f t="shared" si="52"/>
        <v>Simon</v>
      </c>
      <c r="H221" s="116">
        <f>IF($D221="",0,IFERROR(LOOKUP(2,1/(($D$3:D220=$D221)*($A$3:A220&lt;$A221)),$N$3:N220),'Guide &amp; Settings'!$C$41))</f>
        <v>1155.8757908762943</v>
      </c>
      <c r="I221" s="117">
        <f t="shared" si="53"/>
        <v>0.5</v>
      </c>
      <c r="J221" s="118">
        <f>IF($D221="",0,IF($F221&lt;2,0,IF($E221="Win",('Guide &amp; Settings'!$C$42/(($F221-1)*COUNTIFS($A$4:$A$810,$A221,$E$4:$E$810,"Win")))*SUMIFS($X$4:$X$810,$A$4:$A$810,$A221,$E$4:$E$810,"Loss"),-('Guide &amp; Settings'!$C$42/($F221-1))*$X221)))</f>
        <v>-14.031965214538561</v>
      </c>
      <c r="K221" s="118">
        <f>IF($D221="",0,'Guide &amp; Settings'!$C$43*(IF($E221="Win",1,0)-$I221))</f>
        <v>-6</v>
      </c>
      <c r="L221" s="119">
        <f>IF($D221="",0,'Guide &amp; Settings'!$C$44*IF($F221&gt;=3,$F221,0))</f>
        <v>0</v>
      </c>
      <c r="M221" s="118">
        <f t="shared" si="54"/>
        <v>-20.031965214538559</v>
      </c>
      <c r="N221" s="116">
        <f t="shared" si="55"/>
        <v>1135.8438256617558</v>
      </c>
      <c r="O221" s="115" t="str">
        <f t="shared" si="56"/>
        <v>OK</v>
      </c>
      <c r="P221">
        <f t="shared" si="57"/>
        <v>1127.3851990259313</v>
      </c>
      <c r="Q221">
        <f t="shared" si="58"/>
        <v>0.54090960095736162</v>
      </c>
      <c r="R221">
        <f t="shared" si="59"/>
        <v>0.5</v>
      </c>
      <c r="S221">
        <f t="shared" si="60"/>
        <v>1</v>
      </c>
      <c r="T221" s="83">
        <f t="shared" si="61"/>
        <v>4</v>
      </c>
      <c r="U221" s="120">
        <f>IF($D221="",0,IFERROR(LOOKUP(2,1/(($D$3:D220=$D221)*($C$3:C220=$C221)*($A$3:A220&lt;$A221)),$AB$3:AB220),1000))</f>
        <v>995.12808694655291</v>
      </c>
      <c r="V221" s="120">
        <f t="shared" si="62"/>
        <v>1084.4323669075202</v>
      </c>
      <c r="W221">
        <f t="shared" si="63"/>
        <v>1127.3851990259313</v>
      </c>
      <c r="X221">
        <f t="shared" si="64"/>
        <v>0.43849891295433002</v>
      </c>
      <c r="Y221">
        <f t="shared" si="65"/>
        <v>1000</v>
      </c>
      <c r="Z221">
        <f t="shared" si="66"/>
        <v>0.49298921302302728</v>
      </c>
      <c r="AA221">
        <f>IF($D221="",0,IF($F221&lt;2,0,IF($E221="Win",('Guide &amp; Settings'!$C$42/(($F221-1)*COUNTIFS($A$4:$A$810,$A221,$E$4:$E$810,"Win")))*SUMIFS($Z$4:$Z$810,$A$4:$A$810,$A221,$E$4:$E$810,"Loss"),-('Guide &amp; Settings'!$C$42/($F221-1))*$Z221)))</f>
        <v>-15.775654816736873</v>
      </c>
      <c r="AB221" s="120">
        <f t="shared" si="67"/>
        <v>979.35243212981607</v>
      </c>
      <c r="AC221" s="120">
        <f>IF($D221="","",IF(SUMPRODUCT(MAX(($D$4:$D$810=$D221)*($B$4:$B$810&lt;$B221)*$B$4:$B$810))=0,0,MAX(($B221-MAX(SUMPRODUCT(MAX(($D$4:$D$810=$D221)*($B$4:$B$810&lt;$B221)*$B$4:$B$810)),'Guide &amp; Settings'!$C$50))/7-'Guide &amp; Settings'!$C$48,0)*'Guide &amp; Settings'!$C$49))</f>
        <v>0</v>
      </c>
    </row>
    <row r="222" spans="1:29" ht="15" customHeight="1" x14ac:dyDescent="0.2">
      <c r="A222" s="111">
        <v>88</v>
      </c>
      <c r="B222" s="112">
        <v>46188</v>
      </c>
      <c r="C222" s="113" t="s">
        <v>185</v>
      </c>
      <c r="D222" s="113" t="s">
        <v>168</v>
      </c>
      <c r="E222" s="111" t="s">
        <v>308</v>
      </c>
      <c r="F222" s="114">
        <f t="shared" si="51"/>
        <v>2</v>
      </c>
      <c r="G222" s="115" t="str">
        <f t="shared" si="52"/>
        <v>Simon</v>
      </c>
      <c r="H222" s="116">
        <f>IF($D222="",0,IFERROR(LOOKUP(2,1/(($D$3:D221=$D222)*($A$3:A221&lt;$A222)),$N$3:N221),'Guide &amp; Settings'!$C$41))</f>
        <v>1147.4171642404699</v>
      </c>
      <c r="I222" s="117">
        <f t="shared" si="53"/>
        <v>0.60869565217391308</v>
      </c>
      <c r="J222" s="118">
        <f>IF($D222="",0,IF($F222&lt;2,0,IF($E222="Win",('Guide &amp; Settings'!$C$42/(($F222-1)*COUNTIFS($A$4:$A$810,$A222,$E$4:$E$810,"Win")))*SUMIFS($X$4:$X$810,$A$4:$A$810,$A222,$E$4:$E$810,"Loss"),-('Guide &amp; Settings'!$C$42/($F222-1))*$X222)))</f>
        <v>12.913240540934135</v>
      </c>
      <c r="K222" s="118">
        <f>IF($D222="",0,'Guide &amp; Settings'!$C$43*(IF($E222="Win",1,0)-$I222))</f>
        <v>4.695652173913043</v>
      </c>
      <c r="L222" s="119">
        <f>IF($D222="",0,'Guide &amp; Settings'!$C$44*IF($F222&gt;=3,$F222,0))</f>
        <v>0</v>
      </c>
      <c r="M222" s="118">
        <f t="shared" si="54"/>
        <v>17.60889271484718</v>
      </c>
      <c r="N222" s="116">
        <f t="shared" si="55"/>
        <v>1165.026056955317</v>
      </c>
      <c r="O222" s="115" t="str">
        <f t="shared" si="56"/>
        <v>OK</v>
      </c>
      <c r="P222">
        <f t="shared" si="57"/>
        <v>1147.4171642404699</v>
      </c>
      <c r="Q222">
        <f t="shared" si="58"/>
        <v>0.5</v>
      </c>
      <c r="R222">
        <f t="shared" si="59"/>
        <v>0.66666666666666663</v>
      </c>
      <c r="S222">
        <f t="shared" si="60"/>
        <v>1.0952380952380951</v>
      </c>
      <c r="T222" s="83">
        <f t="shared" si="61"/>
        <v>1</v>
      </c>
      <c r="U222" s="120">
        <f>IF($D222="",0,IFERROR(LOOKUP(2,1/(($D$3:D221=$D222)*($C$3:C221=$C222)*($A$3:A221&lt;$A222)),$AB$3:AB221),1000))</f>
        <v>1015.7756548167368</v>
      </c>
      <c r="V222" s="120">
        <f t="shared" si="62"/>
        <v>1125.4769126698477</v>
      </c>
      <c r="W222">
        <f t="shared" si="63"/>
        <v>1125.4769126698477</v>
      </c>
      <c r="X222">
        <f t="shared" si="64"/>
        <v>0.5</v>
      </c>
      <c r="Y222">
        <f t="shared" si="65"/>
        <v>1015.7756548167368</v>
      </c>
      <c r="Z222">
        <f t="shared" si="66"/>
        <v>0.5</v>
      </c>
      <c r="AA222">
        <f>IF($D222="",0,IF($F222&lt;2,0,IF($E222="Win",('Guide &amp; Settings'!$C$42/(($F222-1)*COUNTIFS($A$4:$A$810,$A222,$E$4:$E$810,"Win")))*SUMIFS($Z$4:$Z$810,$A$4:$A$810,$A222,$E$4:$E$810,"Loss"),-('Guide &amp; Settings'!$C$42/($F222-1))*$Z222)))</f>
        <v>14.328766559400348</v>
      </c>
      <c r="AB222" s="120">
        <f t="shared" si="67"/>
        <v>1030.1044213761372</v>
      </c>
      <c r="AC222" s="120">
        <f>IF($D222="","",IF(SUMPRODUCT(MAX(($D$4:$D$810=$D222)*($B$4:$B$810&lt;$B222)*$B$4:$B$810))=0,0,MAX(($B222-MAX(SUMPRODUCT(MAX(($D$4:$D$810=$D222)*($B$4:$B$810&lt;$B222)*$B$4:$B$810)),'Guide &amp; Settings'!$C$50))/7-'Guide &amp; Settings'!$C$48,0)*'Guide &amp; Settings'!$C$49))</f>
        <v>0</v>
      </c>
    </row>
    <row r="223" spans="1:29" ht="15" customHeight="1" x14ac:dyDescent="0.2">
      <c r="A223" s="111">
        <v>88</v>
      </c>
      <c r="B223" s="112">
        <v>46188</v>
      </c>
      <c r="C223" s="113" t="s">
        <v>185</v>
      </c>
      <c r="D223" s="113" t="s">
        <v>167</v>
      </c>
      <c r="E223" s="111" t="s">
        <v>309</v>
      </c>
      <c r="F223" s="114">
        <f t="shared" si="51"/>
        <v>2</v>
      </c>
      <c r="G223" s="115" t="str">
        <f t="shared" si="52"/>
        <v>Simon</v>
      </c>
      <c r="H223" s="116">
        <f>IF($D223="",0,IFERROR(LOOKUP(2,1/(($D$3:D222=$D223)*($A$3:A222&lt;$A223)),$N$3:N222),'Guide &amp; Settings'!$C$41))</f>
        <v>1135.8438256617558</v>
      </c>
      <c r="I223" s="117">
        <f t="shared" si="53"/>
        <v>0.39130434782608697</v>
      </c>
      <c r="J223" s="118">
        <f>IF($D223="",0,IF($F223&lt;2,0,IF($E223="Win",('Guide &amp; Settings'!$C$42/(($F223-1)*COUNTIFS($A$4:$A$810,$A223,$E$4:$E$810,"Win")))*SUMIFS($X$4:$X$810,$A$4:$A$810,$A223,$E$4:$E$810,"Loss"),-('Guide &amp; Settings'!$C$42/($F223-1))*$X223)))</f>
        <v>-12.913240540934135</v>
      </c>
      <c r="K223" s="118">
        <f>IF($D223="",0,'Guide &amp; Settings'!$C$43*(IF($E223="Win",1,0)-$I223))</f>
        <v>-4.6956521739130439</v>
      </c>
      <c r="L223" s="119">
        <f>IF($D223="",0,'Guide &amp; Settings'!$C$44*IF($F223&gt;=3,$F223,0))</f>
        <v>0</v>
      </c>
      <c r="M223" s="118">
        <f t="shared" si="54"/>
        <v>-17.60889271484718</v>
      </c>
      <c r="N223" s="116">
        <f t="shared" si="55"/>
        <v>1118.2349329469087</v>
      </c>
      <c r="O223" s="115" t="str">
        <f t="shared" si="56"/>
        <v>OK</v>
      </c>
      <c r="P223">
        <f t="shared" si="57"/>
        <v>1147.4171642404699</v>
      </c>
      <c r="Q223">
        <f t="shared" si="58"/>
        <v>0.48335078451187535</v>
      </c>
      <c r="R223">
        <f t="shared" si="59"/>
        <v>0.42857142857142855</v>
      </c>
      <c r="S223">
        <f t="shared" si="60"/>
        <v>1.0952380952380951</v>
      </c>
      <c r="T223" s="83">
        <f t="shared" si="61"/>
        <v>5</v>
      </c>
      <c r="U223" s="120">
        <f>IF($D223="",0,IFERROR(LOOKUP(2,1/(($D$3:D222=$D223)*($C$3:C222=$C223)*($A$3:A222&lt;$A223)),$AB$3:AB222),1000))</f>
        <v>979.35243212981607</v>
      </c>
      <c r="V223" s="120">
        <f t="shared" si="62"/>
        <v>1057.598128895786</v>
      </c>
      <c r="W223">
        <f t="shared" si="63"/>
        <v>1125.4769126698477</v>
      </c>
      <c r="X223">
        <f t="shared" si="64"/>
        <v>0.40353876690419171</v>
      </c>
      <c r="Y223">
        <f t="shared" si="65"/>
        <v>1015.7756548167368</v>
      </c>
      <c r="Z223">
        <f t="shared" si="66"/>
        <v>0.44777395498126088</v>
      </c>
      <c r="AA223">
        <f>IF($D223="",0,IF($F223&lt;2,0,IF($E223="Win",('Guide &amp; Settings'!$C$42/(($F223-1)*COUNTIFS($A$4:$A$810,$A223,$E$4:$E$810,"Win")))*SUMIFS($Z$4:$Z$810,$A$4:$A$810,$A223,$E$4:$E$810,"Loss"),-('Guide &amp; Settings'!$C$42/($F223-1))*$Z223)))</f>
        <v>-14.328766559400348</v>
      </c>
      <c r="AB223" s="120">
        <f t="shared" si="67"/>
        <v>965.02366557041569</v>
      </c>
      <c r="AC223" s="120">
        <f>IF($D223="","",IF(SUMPRODUCT(MAX(($D$4:$D$810=$D223)*($B$4:$B$810&lt;$B223)*$B$4:$B$810))=0,0,MAX(($B223-MAX(SUMPRODUCT(MAX(($D$4:$D$810=$D223)*($B$4:$B$810&lt;$B223)*$B$4:$B$810)),'Guide &amp; Settings'!$C$50))/7-'Guide &amp; Settings'!$C$48,0)*'Guide &amp; Settings'!$C$49))</f>
        <v>0</v>
      </c>
    </row>
    <row r="224" spans="1:29" ht="15" customHeight="1" x14ac:dyDescent="0.2">
      <c r="A224" s="111">
        <v>89</v>
      </c>
      <c r="B224" s="112">
        <v>46188</v>
      </c>
      <c r="C224" s="113" t="s">
        <v>197</v>
      </c>
      <c r="D224" s="113" t="s">
        <v>170</v>
      </c>
      <c r="E224" s="111" t="s">
        <v>308</v>
      </c>
      <c r="F224" s="114">
        <f t="shared" si="51"/>
        <v>3</v>
      </c>
      <c r="G224" s="115" t="str">
        <f t="shared" si="52"/>
        <v>Daniel (Ferret)</v>
      </c>
      <c r="H224" s="116">
        <f>IF($D224="",0,IFERROR(LOOKUP(2,1/(($D$3:D223=$D224)*($A$3:A223&lt;$A224)),$N$3:N223),'Guide &amp; Settings'!$C$41))</f>
        <v>1053.8268660498134</v>
      </c>
      <c r="I224" s="117">
        <f t="shared" si="53"/>
        <v>0.33333333333333331</v>
      </c>
      <c r="J224" s="118">
        <f>IF($D224="",0,IF($F224&lt;2,0,IF($E224="Win",('Guide &amp; Settings'!$C$42/(($F224-1)*COUNTIFS($A$4:$A$810,$A224,$E$4:$E$810,"Win")))*SUMIFS($X$4:$X$810,$A$4:$A$810,$A224,$E$4:$E$810,"Loss"),-('Guide &amp; Settings'!$C$42/($F224-1))*$X224)))</f>
        <v>13.846768378582084</v>
      </c>
      <c r="K224" s="118">
        <f>IF($D224="",0,'Guide &amp; Settings'!$C$43*(IF($E224="Win",1,0)-$I224))</f>
        <v>8</v>
      </c>
      <c r="L224" s="119">
        <f>IF($D224="",0,'Guide &amp; Settings'!$C$44*IF($F224&gt;=3,$F224,0))</f>
        <v>3</v>
      </c>
      <c r="M224" s="118">
        <f t="shared" si="54"/>
        <v>24.846768378582084</v>
      </c>
      <c r="N224" s="116">
        <f t="shared" si="55"/>
        <v>1078.6736344283954</v>
      </c>
      <c r="O224" s="115" t="str">
        <f t="shared" si="56"/>
        <v>OK</v>
      </c>
      <c r="P224">
        <f t="shared" si="57"/>
        <v>1053.8268660498134</v>
      </c>
      <c r="Q224">
        <f t="shared" si="58"/>
        <v>0.5</v>
      </c>
      <c r="R224">
        <f t="shared" si="59"/>
        <v>0.5</v>
      </c>
      <c r="S224">
        <f t="shared" si="60"/>
        <v>1.5</v>
      </c>
      <c r="T224" s="83">
        <f t="shared" si="61"/>
        <v>0</v>
      </c>
      <c r="U224" s="120">
        <f>IF($D224="",0,IFERROR(LOOKUP(2,1/(($D$3:D223=$D224)*($C$3:C223=$C224)*($A$3:A223&lt;$A224)),$AB$3:AB223),1000))</f>
        <v>1000</v>
      </c>
      <c r="V224" s="120">
        <f t="shared" si="62"/>
        <v>1053.8268660498134</v>
      </c>
      <c r="W224">
        <f t="shared" si="63"/>
        <v>1053.8268660498134</v>
      </c>
      <c r="X224">
        <f t="shared" si="64"/>
        <v>0.5</v>
      </c>
      <c r="Y224">
        <f t="shared" si="65"/>
        <v>1000</v>
      </c>
      <c r="Z224">
        <f t="shared" si="66"/>
        <v>0.5</v>
      </c>
      <c r="AA224">
        <f>IF($D224="",0,IF($F224&lt;2,0,IF($E224="Win",('Guide &amp; Settings'!$C$42/(($F224-1)*COUNTIFS($A$4:$A$810,$A224,$E$4:$E$810,"Win")))*SUMIFS($Z$4:$Z$810,$A$4:$A$810,$A224,$E$4:$E$810,"Loss"),-('Guide &amp; Settings'!$C$42/($F224-1))*$Z224)))</f>
        <v>16</v>
      </c>
      <c r="AB224" s="120">
        <f t="shared" si="67"/>
        <v>1016</v>
      </c>
      <c r="AC224" s="120">
        <f>IF($D224="","",IF(SUMPRODUCT(MAX(($D$4:$D$810=$D224)*($B$4:$B$810&lt;$B224)*$B$4:$B$810))=0,0,MAX(($B224-MAX(SUMPRODUCT(MAX(($D$4:$D$810=$D224)*($B$4:$B$810&lt;$B224)*$B$4:$B$810)),'Guide &amp; Settings'!$C$50))/7-'Guide &amp; Settings'!$C$48,0)*'Guide &amp; Settings'!$C$49))</f>
        <v>0</v>
      </c>
    </row>
    <row r="225" spans="1:29" ht="15" customHeight="1" x14ac:dyDescent="0.2">
      <c r="A225" s="111">
        <v>89</v>
      </c>
      <c r="B225" s="112">
        <v>46188</v>
      </c>
      <c r="C225" s="113" t="s">
        <v>197</v>
      </c>
      <c r="D225" s="113" t="s">
        <v>169</v>
      </c>
      <c r="E225" s="111" t="s">
        <v>309</v>
      </c>
      <c r="F225" s="114">
        <f t="shared" si="51"/>
        <v>3</v>
      </c>
      <c r="G225" s="115" t="str">
        <f t="shared" si="52"/>
        <v>Daniel (Ferret)</v>
      </c>
      <c r="H225" s="116">
        <f>IF($D225="",0,IFERROR(LOOKUP(2,1/(($D$3:D224=$D225)*($A$3:A224&lt;$A225)),$N$3:N224),'Guide &amp; Settings'!$C$41))</f>
        <v>988.84823349786632</v>
      </c>
      <c r="I225" s="117">
        <f t="shared" si="53"/>
        <v>0.33333333333333331</v>
      </c>
      <c r="J225" s="118">
        <f>IF($D225="",0,IF($F225&lt;2,0,IF($E225="Win",('Guide &amp; Settings'!$C$42/(($F225-1)*COUNTIFS($A$4:$A$810,$A225,$E$4:$E$810,"Win")))*SUMIFS($X$4:$X$810,$A$4:$A$810,$A225,$E$4:$E$810,"Loss"),-('Guide &amp; Settings'!$C$42/($F225-1))*$X225)))</f>
        <v>-6.5210154931950557</v>
      </c>
      <c r="K225" s="118">
        <f>IF($D225="",0,'Guide &amp; Settings'!$C$43*(IF($E225="Win",1,0)-$I225))</f>
        <v>-4</v>
      </c>
      <c r="L225" s="119">
        <f>IF($D225="",0,'Guide &amp; Settings'!$C$44*IF($F225&gt;=3,$F225,0))</f>
        <v>3</v>
      </c>
      <c r="M225" s="118">
        <f t="shared" si="54"/>
        <v>-7.5210154931950548</v>
      </c>
      <c r="N225" s="116">
        <f t="shared" si="55"/>
        <v>981.32721800467129</v>
      </c>
      <c r="O225" s="115" t="str">
        <f t="shared" si="56"/>
        <v>OK</v>
      </c>
      <c r="P225">
        <f t="shared" si="57"/>
        <v>1053.8268660498134</v>
      </c>
      <c r="Q225">
        <f t="shared" si="58"/>
        <v>0.40756346832469098</v>
      </c>
      <c r="R225">
        <f t="shared" si="59"/>
        <v>0.5</v>
      </c>
      <c r="S225">
        <f t="shared" si="60"/>
        <v>1.5</v>
      </c>
      <c r="T225" s="83">
        <f t="shared" si="61"/>
        <v>0</v>
      </c>
      <c r="U225" s="120">
        <f>IF($D225="",0,IFERROR(LOOKUP(2,1/(($D$3:D224=$D225)*($C$3:C224=$C225)*($A$3:A224&lt;$A225)),$AB$3:AB224),1000))</f>
        <v>1000</v>
      </c>
      <c r="V225" s="120">
        <f t="shared" si="62"/>
        <v>988.84823349786632</v>
      </c>
      <c r="W225">
        <f t="shared" si="63"/>
        <v>1053.8268660498134</v>
      </c>
      <c r="X225">
        <f t="shared" si="64"/>
        <v>0.40756346832469098</v>
      </c>
      <c r="Y225">
        <f t="shared" si="65"/>
        <v>1000</v>
      </c>
      <c r="Z225">
        <f t="shared" si="66"/>
        <v>0.5</v>
      </c>
      <c r="AA225">
        <f>IF($D225="",0,IF($F225&lt;2,0,IF($E225="Win",('Guide &amp; Settings'!$C$42/(($F225-1)*COUNTIFS($A$4:$A$810,$A225,$E$4:$E$810,"Win")))*SUMIFS($Z$4:$Z$810,$A$4:$A$810,$A225,$E$4:$E$810,"Loss"),-('Guide &amp; Settings'!$C$42/($F225-1))*$Z225)))</f>
        <v>-8</v>
      </c>
      <c r="AB225" s="120">
        <f t="shared" si="67"/>
        <v>992</v>
      </c>
      <c r="AC225" s="120">
        <f>IF($D225="","",IF(SUMPRODUCT(MAX(($D$4:$D$810=$D225)*($B$4:$B$810&lt;$B225)*$B$4:$B$810))=0,0,MAX(($B225-MAX(SUMPRODUCT(MAX(($D$4:$D$810=$D225)*($B$4:$B$810&lt;$B225)*$B$4:$B$810)),'Guide &amp; Settings'!$C$50))/7-'Guide &amp; Settings'!$C$48,0)*'Guide &amp; Settings'!$C$49))</f>
        <v>0</v>
      </c>
    </row>
    <row r="226" spans="1:29" ht="15" customHeight="1" x14ac:dyDescent="0.2">
      <c r="A226" s="111">
        <v>89</v>
      </c>
      <c r="B226" s="112">
        <v>46188</v>
      </c>
      <c r="C226" s="113" t="s">
        <v>197</v>
      </c>
      <c r="D226" s="113" t="s">
        <v>134</v>
      </c>
      <c r="E226" s="111" t="s">
        <v>309</v>
      </c>
      <c r="F226" s="114">
        <f t="shared" si="51"/>
        <v>3</v>
      </c>
      <c r="G226" s="115" t="str">
        <f t="shared" si="52"/>
        <v>Daniel (Ferret)</v>
      </c>
      <c r="H226" s="116">
        <f>IF($D226="",0,IFERROR(LOOKUP(2,1/(($D$3:D225=$D226)*($A$3:A225&lt;$A226)),$N$3:N225),'Guide &amp; Settings'!$C$41))</f>
        <v>1024.4750558551682</v>
      </c>
      <c r="I226" s="117">
        <f t="shared" si="53"/>
        <v>0.33333333333333331</v>
      </c>
      <c r="J226" s="118">
        <f>IF($D226="",0,IF($F226&lt;2,0,IF($E226="Win",('Guide &amp; Settings'!$C$42/(($F226-1)*COUNTIFS($A$4:$A$810,$A226,$E$4:$E$810,"Win")))*SUMIFS($X$4:$X$810,$A$4:$A$810,$A226,$E$4:$E$810,"Loss"),-('Guide &amp; Settings'!$C$42/($F226-1))*$X226)))</f>
        <v>-7.3257528853870291</v>
      </c>
      <c r="K226" s="118">
        <f>IF($D226="",0,'Guide &amp; Settings'!$C$43*(IF($E226="Win",1,0)-$I226))</f>
        <v>-4</v>
      </c>
      <c r="L226" s="119">
        <f>IF($D226="",0,'Guide &amp; Settings'!$C$44*IF($F226&gt;=3,$F226,0))</f>
        <v>3</v>
      </c>
      <c r="M226" s="118">
        <f t="shared" si="54"/>
        <v>-8.3257528853870291</v>
      </c>
      <c r="N226" s="116">
        <f t="shared" si="55"/>
        <v>1016.1493029697812</v>
      </c>
      <c r="O226" s="115" t="str">
        <f t="shared" si="56"/>
        <v>OK</v>
      </c>
      <c r="P226">
        <f t="shared" si="57"/>
        <v>1053.8268660498134</v>
      </c>
      <c r="Q226">
        <f t="shared" si="58"/>
        <v>0.45785955533668932</v>
      </c>
      <c r="R226">
        <f t="shared" si="59"/>
        <v>0.5</v>
      </c>
      <c r="S226">
        <f t="shared" si="60"/>
        <v>1.5</v>
      </c>
      <c r="T226" s="83">
        <f t="shared" si="61"/>
        <v>0</v>
      </c>
      <c r="U226" s="120">
        <f>IF($D226="",0,IFERROR(LOOKUP(2,1/(($D$3:D225=$D226)*($C$3:C225=$C226)*($A$3:A225&lt;$A226)),$AB$3:AB225),1000))</f>
        <v>1000</v>
      </c>
      <c r="V226" s="120">
        <f t="shared" si="62"/>
        <v>1024.4750558551682</v>
      </c>
      <c r="W226">
        <f t="shared" si="63"/>
        <v>1053.8268660498134</v>
      </c>
      <c r="X226">
        <f t="shared" si="64"/>
        <v>0.45785955533668932</v>
      </c>
      <c r="Y226">
        <f t="shared" si="65"/>
        <v>1000</v>
      </c>
      <c r="Z226">
        <f t="shared" si="66"/>
        <v>0.5</v>
      </c>
      <c r="AA226">
        <f>IF($D226="",0,IF($F226&lt;2,0,IF($E226="Win",('Guide &amp; Settings'!$C$42/(($F226-1)*COUNTIFS($A$4:$A$810,$A226,$E$4:$E$810,"Win")))*SUMIFS($Z$4:$Z$810,$A$4:$A$810,$A226,$E$4:$E$810,"Loss"),-('Guide &amp; Settings'!$C$42/($F226-1))*$Z226)))</f>
        <v>-8</v>
      </c>
      <c r="AB226" s="120">
        <f t="shared" si="67"/>
        <v>992</v>
      </c>
      <c r="AC226" s="120">
        <f>IF($D226="","",IF(SUMPRODUCT(MAX(($D$4:$D$810=$D226)*($B$4:$B$810&lt;$B226)*$B$4:$B$810))=0,0,MAX(($B226-MAX(SUMPRODUCT(MAX(($D$4:$D$810=$D226)*($B$4:$B$810&lt;$B226)*$B$4:$B$810)),'Guide &amp; Settings'!$C$50))/7-'Guide &amp; Settings'!$C$48,0)*'Guide &amp; Settings'!$C$49))</f>
        <v>0</v>
      </c>
    </row>
    <row r="227" spans="1:29" ht="15" customHeight="1" x14ac:dyDescent="0.2">
      <c r="A227" s="111">
        <v>90</v>
      </c>
      <c r="B227" s="112">
        <v>46188</v>
      </c>
      <c r="C227" s="113" t="s">
        <v>195</v>
      </c>
      <c r="D227" s="113" t="s">
        <v>169</v>
      </c>
      <c r="E227" s="111" t="s">
        <v>308</v>
      </c>
      <c r="F227" s="114">
        <f t="shared" si="51"/>
        <v>2</v>
      </c>
      <c r="G227" s="115" t="str">
        <f t="shared" si="52"/>
        <v>Oscar</v>
      </c>
      <c r="H227" s="116">
        <f>IF($D227="",0,IFERROR(LOOKUP(2,1/(($D$3:D226=$D227)*($A$3:A226&lt;$A227)),$N$3:N226),'Guide &amp; Settings'!$C$41))</f>
        <v>981.32721800467129</v>
      </c>
      <c r="I227" s="117">
        <f t="shared" si="53"/>
        <v>0.4</v>
      </c>
      <c r="J227" s="118">
        <f>IF($D227="",0,IF($F227&lt;2,0,IF($E227="Win",('Guide &amp; Settings'!$C$42/(($F227-1)*COUNTIFS($A$4:$A$810,$A227,$E$4:$E$810,"Win")))*SUMIFS($X$4:$X$810,$A$4:$A$810,$A227,$E$4:$E$810,"Loss"),-('Guide &amp; Settings'!$C$42/($F227-1))*$X227)))</f>
        <v>23.958786071371375</v>
      </c>
      <c r="K227" s="118">
        <f>IF($D227="",0,'Guide &amp; Settings'!$C$43*(IF($E227="Win",1,0)-$I227))</f>
        <v>7.1999999999999993</v>
      </c>
      <c r="L227" s="119">
        <f>IF($D227="",0,'Guide &amp; Settings'!$C$44*IF($F227&gt;=3,$F227,0))</f>
        <v>0</v>
      </c>
      <c r="M227" s="118">
        <f t="shared" si="54"/>
        <v>31.158786071371374</v>
      </c>
      <c r="N227" s="116">
        <f t="shared" si="55"/>
        <v>1012.4860040760427</v>
      </c>
      <c r="O227" s="115" t="str">
        <f t="shared" si="56"/>
        <v>OK</v>
      </c>
      <c r="P227">
        <f t="shared" si="57"/>
        <v>981.32721800467129</v>
      </c>
      <c r="Q227">
        <f t="shared" si="58"/>
        <v>0.5</v>
      </c>
      <c r="R227">
        <f t="shared" si="59"/>
        <v>0.33333333333333331</v>
      </c>
      <c r="S227">
        <f t="shared" si="60"/>
        <v>0.83333333333333326</v>
      </c>
      <c r="T227" s="83">
        <f t="shared" si="61"/>
        <v>7</v>
      </c>
      <c r="U227" s="120">
        <f>IF($D227="",0,IFERROR(LOOKUP(2,1/(($D$3:D226=$D227)*($C$3:C226=$C227)*($A$3:A226&lt;$A227)),$AB$3:AB226),1000))</f>
        <v>971.11275211420309</v>
      </c>
      <c r="V227" s="120">
        <f t="shared" si="62"/>
        <v>975.36877956856483</v>
      </c>
      <c r="W227">
        <f t="shared" si="63"/>
        <v>975.36877956856483</v>
      </c>
      <c r="X227">
        <f t="shared" si="64"/>
        <v>0.5</v>
      </c>
      <c r="Y227">
        <f t="shared" si="65"/>
        <v>971.11275211420309</v>
      </c>
      <c r="Z227">
        <f t="shared" si="66"/>
        <v>0.5</v>
      </c>
      <c r="AA227">
        <f>IF($D227="",0,IF($F227&lt;2,0,IF($E227="Win",('Guide &amp; Settings'!$C$42/(($F227-1)*COUNTIFS($A$4:$A$810,$A227,$E$4:$E$810,"Win")))*SUMIFS($Z$4:$Z$810,$A$4:$A$810,$A227,$E$4:$E$810,"Loss"),-('Guide &amp; Settings'!$C$42/($F227-1))*$Z227)))</f>
        <v>17.327249929355109</v>
      </c>
      <c r="AB227" s="120">
        <f t="shared" si="67"/>
        <v>988.44000204355825</v>
      </c>
      <c r="AC227" s="120">
        <f>IF($D227="","",IF(SUMPRODUCT(MAX(($D$4:$D$810=$D227)*($B$4:$B$810&lt;$B227)*$B$4:$B$810))=0,0,MAX(($B227-MAX(SUMPRODUCT(MAX(($D$4:$D$810=$D227)*($B$4:$B$810&lt;$B227)*$B$4:$B$810)),'Guide &amp; Settings'!$C$50))/7-'Guide &amp; Settings'!$C$48,0)*'Guide &amp; Settings'!$C$49))</f>
        <v>0</v>
      </c>
    </row>
    <row r="228" spans="1:29" ht="15" customHeight="1" x14ac:dyDescent="0.2">
      <c r="A228" s="111">
        <v>90</v>
      </c>
      <c r="B228" s="112">
        <v>46188</v>
      </c>
      <c r="C228" s="113" t="s">
        <v>195</v>
      </c>
      <c r="D228" s="113" t="s">
        <v>168</v>
      </c>
      <c r="E228" s="111" t="s">
        <v>309</v>
      </c>
      <c r="F228" s="114">
        <f t="shared" si="51"/>
        <v>2</v>
      </c>
      <c r="G228" s="115" t="str">
        <f t="shared" si="52"/>
        <v>Oscar</v>
      </c>
      <c r="H228" s="116">
        <f>IF($D228="",0,IFERROR(LOOKUP(2,1/(($D$3:D227=$D228)*($A$3:A227&lt;$A228)),$N$3:N227),'Guide &amp; Settings'!$C$41))</f>
        <v>1165.026056955317</v>
      </c>
      <c r="I228" s="117">
        <f t="shared" si="53"/>
        <v>0.60000000000000009</v>
      </c>
      <c r="J228" s="118">
        <f>IF($D228="",0,IF($F228&lt;2,0,IF($E228="Win",('Guide &amp; Settings'!$C$42/(($F228-1)*COUNTIFS($A$4:$A$810,$A228,$E$4:$E$810,"Win")))*SUMIFS($X$4:$X$810,$A$4:$A$810,$A228,$E$4:$E$810,"Loss"),-('Guide &amp; Settings'!$C$42/($F228-1))*$X228)))</f>
        <v>-23.958786071371375</v>
      </c>
      <c r="K228" s="118">
        <f>IF($D228="",0,'Guide &amp; Settings'!$C$43*(IF($E228="Win",1,0)-$I228))</f>
        <v>-7.2000000000000011</v>
      </c>
      <c r="L228" s="119">
        <f>IF($D228="",0,'Guide &amp; Settings'!$C$44*IF($F228&gt;=3,$F228,0))</f>
        <v>0</v>
      </c>
      <c r="M228" s="118">
        <f t="shared" si="54"/>
        <v>-31.158786071371374</v>
      </c>
      <c r="N228" s="116">
        <f t="shared" si="55"/>
        <v>1133.8672708839456</v>
      </c>
      <c r="O228" s="115" t="str">
        <f t="shared" si="56"/>
        <v>OK</v>
      </c>
      <c r="P228">
        <f t="shared" si="57"/>
        <v>981.32721800467129</v>
      </c>
      <c r="Q228">
        <f t="shared" si="58"/>
        <v>0.74220399175455187</v>
      </c>
      <c r="R228">
        <f t="shared" si="59"/>
        <v>0.5</v>
      </c>
      <c r="S228">
        <f t="shared" si="60"/>
        <v>0.83333333333333326</v>
      </c>
      <c r="T228" s="83">
        <f t="shared" si="61"/>
        <v>0</v>
      </c>
      <c r="U228" s="120">
        <f>IF($D228="",0,IFERROR(LOOKUP(2,1/(($D$3:D227=$D228)*($C$3:C227=$C228)*($A$3:A227&lt;$A228)),$AB$3:AB227),1000))</f>
        <v>1000</v>
      </c>
      <c r="V228" s="120">
        <f t="shared" si="62"/>
        <v>1165.026056955317</v>
      </c>
      <c r="W228">
        <f t="shared" si="63"/>
        <v>975.36877956856483</v>
      </c>
      <c r="X228">
        <f t="shared" si="64"/>
        <v>0.74871206473035545</v>
      </c>
      <c r="Y228">
        <f t="shared" si="65"/>
        <v>971.11275211420309</v>
      </c>
      <c r="Z228">
        <f t="shared" si="66"/>
        <v>0.54147656029234714</v>
      </c>
      <c r="AA228">
        <f>IF($D228="",0,IF($F228&lt;2,0,IF($E228="Win",('Guide &amp; Settings'!$C$42/(($F228-1)*COUNTIFS($A$4:$A$810,$A228,$E$4:$E$810,"Win")))*SUMIFS($Z$4:$Z$810,$A$4:$A$810,$A228,$E$4:$E$810,"Loss"),-('Guide &amp; Settings'!$C$42/($F228-1))*$Z228)))</f>
        <v>-17.327249929355109</v>
      </c>
      <c r="AB228" s="120">
        <f t="shared" si="67"/>
        <v>982.67275007064484</v>
      </c>
      <c r="AC228" s="120">
        <f>IF($D228="","",IF(SUMPRODUCT(MAX(($D$4:$D$810=$D228)*($B$4:$B$810&lt;$B228)*$B$4:$B$810))=0,0,MAX(($B228-MAX(SUMPRODUCT(MAX(($D$4:$D$810=$D228)*($B$4:$B$810&lt;$B228)*$B$4:$B$810)),'Guide &amp; Settings'!$C$50))/7-'Guide &amp; Settings'!$C$48,0)*'Guide &amp; Settings'!$C$49))</f>
        <v>0</v>
      </c>
    </row>
    <row r="229" spans="1:29" ht="15" customHeight="1" x14ac:dyDescent="0.2">
      <c r="A229" s="111">
        <v>91</v>
      </c>
      <c r="B229" s="112">
        <v>46188</v>
      </c>
      <c r="C229" s="113" t="s">
        <v>195</v>
      </c>
      <c r="D229" s="113" t="s">
        <v>169</v>
      </c>
      <c r="E229" s="111" t="s">
        <v>308</v>
      </c>
      <c r="F229" s="114">
        <f t="shared" si="51"/>
        <v>2</v>
      </c>
      <c r="G229" s="115" t="str">
        <f t="shared" si="52"/>
        <v>Oscar</v>
      </c>
      <c r="H229" s="116">
        <f>IF($D229="",0,IFERROR(LOOKUP(2,1/(($D$3:D228=$D229)*($A$3:A228&lt;$A229)),$N$3:N228),'Guide &amp; Settings'!$C$41))</f>
        <v>1012.4860040760427</v>
      </c>
      <c r="I229" s="117">
        <f t="shared" si="53"/>
        <v>0.54545454545454541</v>
      </c>
      <c r="J229" s="118">
        <f>IF($D229="",0,IF($F229&lt;2,0,IF($E229="Win",('Guide &amp; Settings'!$C$42/(($F229-1)*COUNTIFS($A$4:$A$810,$A229,$E$4:$E$810,"Win")))*SUMIFS($X$4:$X$810,$A$4:$A$810,$A229,$E$4:$E$810,"Loss"),-('Guide &amp; Settings'!$C$42/($F229-1))*$X229)))</f>
        <v>20.943795060250654</v>
      </c>
      <c r="K229" s="118">
        <f>IF($D229="",0,'Guide &amp; Settings'!$C$43*(IF($E229="Win",1,0)-$I229))</f>
        <v>5.454545454545455</v>
      </c>
      <c r="L229" s="119">
        <f>IF($D229="",0,'Guide &amp; Settings'!$C$44*IF($F229&gt;=3,$F229,0))</f>
        <v>0</v>
      </c>
      <c r="M229" s="118">
        <f t="shared" si="54"/>
        <v>26.398340514796111</v>
      </c>
      <c r="N229" s="116">
        <f t="shared" si="55"/>
        <v>1038.8843445908387</v>
      </c>
      <c r="O229" s="115" t="str">
        <f t="shared" si="56"/>
        <v>OK</v>
      </c>
      <c r="P229">
        <f t="shared" si="57"/>
        <v>1012.4860040760427</v>
      </c>
      <c r="Q229">
        <f t="shared" si="58"/>
        <v>0.5</v>
      </c>
      <c r="R229">
        <f t="shared" si="59"/>
        <v>0.4</v>
      </c>
      <c r="S229">
        <f t="shared" si="60"/>
        <v>0.73333333333333339</v>
      </c>
      <c r="T229" s="83">
        <f t="shared" si="61"/>
        <v>8</v>
      </c>
      <c r="U229" s="120">
        <f>IF($D229="",0,IFERROR(LOOKUP(2,1/(($D$3:D228=$D229)*($C$3:C228=$C229)*($A$3:A228&lt;$A229)),$AB$3:AB228),1000))</f>
        <v>988.44000204355825</v>
      </c>
      <c r="V229" s="120">
        <f t="shared" si="62"/>
        <v>997.68846436374463</v>
      </c>
      <c r="W229">
        <f t="shared" si="63"/>
        <v>997.68846436374463</v>
      </c>
      <c r="X229">
        <f t="shared" si="64"/>
        <v>0.5</v>
      </c>
      <c r="Y229">
        <f t="shared" si="65"/>
        <v>988.44000204355825</v>
      </c>
      <c r="Z229">
        <f t="shared" si="66"/>
        <v>0.5</v>
      </c>
      <c r="AA229">
        <f>IF($D229="",0,IF($F229&lt;2,0,IF($E229="Win",('Guide &amp; Settings'!$C$42/(($F229-1)*COUNTIFS($A$4:$A$810,$A229,$E$4:$E$810,"Win")))*SUMIFS($Z$4:$Z$810,$A$4:$A$810,$A229,$E$4:$E$810,"Loss"),-('Guide &amp; Settings'!$C$42/($F229-1))*$Z229)))</f>
        <v>15.73443262288135</v>
      </c>
      <c r="AB229" s="120">
        <f t="shared" si="67"/>
        <v>1004.1744346664397</v>
      </c>
      <c r="AC229" s="120">
        <f>IF($D229="","",IF(SUMPRODUCT(MAX(($D$4:$D$810=$D229)*($B$4:$B$810&lt;$B229)*$B$4:$B$810))=0,0,MAX(($B229-MAX(SUMPRODUCT(MAX(($D$4:$D$810=$D229)*($B$4:$B$810&lt;$B229)*$B$4:$B$810)),'Guide &amp; Settings'!$C$50))/7-'Guide &amp; Settings'!$C$48,0)*'Guide &amp; Settings'!$C$49))</f>
        <v>0</v>
      </c>
    </row>
    <row r="230" spans="1:29" ht="15" customHeight="1" x14ac:dyDescent="0.2">
      <c r="A230" s="111">
        <v>91</v>
      </c>
      <c r="B230" s="112">
        <v>46188</v>
      </c>
      <c r="C230" s="113" t="s">
        <v>195</v>
      </c>
      <c r="D230" s="113" t="s">
        <v>168</v>
      </c>
      <c r="E230" s="111" t="s">
        <v>309</v>
      </c>
      <c r="F230" s="114">
        <f t="shared" si="51"/>
        <v>2</v>
      </c>
      <c r="G230" s="115" t="str">
        <f t="shared" si="52"/>
        <v>Oscar</v>
      </c>
      <c r="H230" s="116">
        <f>IF($D230="",0,IFERROR(LOOKUP(2,1/(($D$3:D229=$D230)*($A$3:A229&lt;$A230)),$N$3:N229),'Guide &amp; Settings'!$C$41))</f>
        <v>1133.8672708839456</v>
      </c>
      <c r="I230" s="117">
        <f t="shared" si="53"/>
        <v>0.45454545454545447</v>
      </c>
      <c r="J230" s="118">
        <f>IF($D230="",0,IF($F230&lt;2,0,IF($E230="Win",('Guide &amp; Settings'!$C$42/(($F230-1)*COUNTIFS($A$4:$A$810,$A230,$E$4:$E$810,"Win")))*SUMIFS($X$4:$X$810,$A$4:$A$810,$A230,$E$4:$E$810,"Loss"),-('Guide &amp; Settings'!$C$42/($F230-1))*$X230)))</f>
        <v>-20.943795060250654</v>
      </c>
      <c r="K230" s="118">
        <f>IF($D230="",0,'Guide &amp; Settings'!$C$43*(IF($E230="Win",1,0)-$I230))</f>
        <v>-5.4545454545454533</v>
      </c>
      <c r="L230" s="119">
        <f>IF($D230="",0,'Guide &amp; Settings'!$C$44*IF($F230&gt;=3,$F230,0))</f>
        <v>0</v>
      </c>
      <c r="M230" s="118">
        <f t="shared" si="54"/>
        <v>-26.398340514796107</v>
      </c>
      <c r="N230" s="116">
        <f t="shared" si="55"/>
        <v>1107.4689303691496</v>
      </c>
      <c r="O230" s="115" t="str">
        <f t="shared" si="56"/>
        <v>OK</v>
      </c>
      <c r="P230">
        <f t="shared" si="57"/>
        <v>1012.4860040760427</v>
      </c>
      <c r="Q230">
        <f t="shared" si="58"/>
        <v>0.66790541334126052</v>
      </c>
      <c r="R230">
        <f t="shared" si="59"/>
        <v>0.33333333333333331</v>
      </c>
      <c r="S230">
        <f t="shared" si="60"/>
        <v>0.73333333333333339</v>
      </c>
      <c r="T230" s="83">
        <f t="shared" si="61"/>
        <v>1</v>
      </c>
      <c r="U230" s="120">
        <f>IF($D230="",0,IFERROR(LOOKUP(2,1/(($D$3:D229=$D230)*($C$3:C229=$C230)*($A$3:A229&lt;$A230)),$AB$3:AB229),1000))</f>
        <v>982.67275007064484</v>
      </c>
      <c r="V230" s="120">
        <f t="shared" si="62"/>
        <v>1108.6681840817289</v>
      </c>
      <c r="W230">
        <f t="shared" si="63"/>
        <v>997.68846436374463</v>
      </c>
      <c r="X230">
        <f t="shared" si="64"/>
        <v>0.65449359563283294</v>
      </c>
      <c r="Y230">
        <f t="shared" si="65"/>
        <v>988.44000204355825</v>
      </c>
      <c r="Z230">
        <f t="shared" si="66"/>
        <v>0.49170101946504219</v>
      </c>
      <c r="AA230">
        <f>IF($D230="",0,IF($F230&lt;2,0,IF($E230="Win",('Guide &amp; Settings'!$C$42/(($F230-1)*COUNTIFS($A$4:$A$810,$A230,$E$4:$E$810,"Win")))*SUMIFS($Z$4:$Z$810,$A$4:$A$810,$A230,$E$4:$E$810,"Loss"),-('Guide &amp; Settings'!$C$42/($F230-1))*$Z230)))</f>
        <v>-15.73443262288135</v>
      </c>
      <c r="AB230" s="120">
        <f t="shared" si="67"/>
        <v>966.93831744776344</v>
      </c>
      <c r="AC230" s="120">
        <f>IF($D230="","",IF(SUMPRODUCT(MAX(($D$4:$D$810=$D230)*($B$4:$B$810&lt;$B230)*$B$4:$B$810))=0,0,MAX(($B230-MAX(SUMPRODUCT(MAX(($D$4:$D$810=$D230)*($B$4:$B$810&lt;$B230)*$B$4:$B$810)),'Guide &amp; Settings'!$C$50))/7-'Guide &amp; Settings'!$C$48,0)*'Guide &amp; Settings'!$C$49))</f>
        <v>0</v>
      </c>
    </row>
    <row r="231" spans="1:29" ht="15" customHeight="1" x14ac:dyDescent="0.2">
      <c r="A231" s="111">
        <v>92</v>
      </c>
      <c r="B231" s="112">
        <v>46188</v>
      </c>
      <c r="C231" s="113" t="s">
        <v>195</v>
      </c>
      <c r="D231" s="113" t="s">
        <v>169</v>
      </c>
      <c r="E231" s="111" t="s">
        <v>308</v>
      </c>
      <c r="F231" s="114">
        <f t="shared" si="51"/>
        <v>2</v>
      </c>
      <c r="G231" s="115" t="str">
        <f t="shared" si="52"/>
        <v>Oscar</v>
      </c>
      <c r="H231" s="116">
        <f>IF($D231="",0,IFERROR(LOOKUP(2,1/(($D$3:D230=$D231)*($A$3:A230&lt;$A231)),$N$3:N230),'Guide &amp; Settings'!$C$41))</f>
        <v>1038.8843445908387</v>
      </c>
      <c r="I231" s="117">
        <f t="shared" si="53"/>
        <v>0.64516129032258063</v>
      </c>
      <c r="J231" s="118">
        <f>IF($D231="",0,IF($F231&lt;2,0,IF($E231="Win",('Guide &amp; Settings'!$C$42/(($F231-1)*COUNTIFS($A$4:$A$810,$A231,$E$4:$E$810,"Win")))*SUMIFS($X$4:$X$810,$A$4:$A$810,$A231,$E$4:$E$810,"Loss"),-('Guide &amp; Settings'!$C$42/($F231-1))*$X231)))</f>
        <v>18.320484502169066</v>
      </c>
      <c r="K231" s="118">
        <f>IF($D231="",0,'Guide &amp; Settings'!$C$43*(IF($E231="Win",1,0)-$I231))</f>
        <v>4.258064516129032</v>
      </c>
      <c r="L231" s="119">
        <f>IF($D231="",0,'Guide &amp; Settings'!$C$44*IF($F231&gt;=3,$F231,0))</f>
        <v>0</v>
      </c>
      <c r="M231" s="118">
        <f t="shared" si="54"/>
        <v>22.578549018298098</v>
      </c>
      <c r="N231" s="116">
        <f t="shared" si="55"/>
        <v>1061.4628936091369</v>
      </c>
      <c r="O231" s="115" t="str">
        <f t="shared" si="56"/>
        <v>OK</v>
      </c>
      <c r="P231">
        <f t="shared" si="57"/>
        <v>1038.8843445908387</v>
      </c>
      <c r="Q231">
        <f t="shared" si="58"/>
        <v>0.5</v>
      </c>
      <c r="R231">
        <f t="shared" si="59"/>
        <v>0.45454545454545453</v>
      </c>
      <c r="S231">
        <f t="shared" si="60"/>
        <v>0.70454545454545459</v>
      </c>
      <c r="T231" s="83">
        <f t="shared" si="61"/>
        <v>9</v>
      </c>
      <c r="U231" s="120">
        <f>IF($D231="",0,IFERROR(LOOKUP(2,1/(($D$3:D230=$D231)*($C$3:C230=$C231)*($A$3:A230&lt;$A231)),$AB$3:AB230),1000))</f>
        <v>1004.1744346664397</v>
      </c>
      <c r="V231" s="120">
        <f t="shared" si="62"/>
        <v>1016.5708310680108</v>
      </c>
      <c r="W231">
        <f t="shared" si="63"/>
        <v>1016.5708310680108</v>
      </c>
      <c r="X231">
        <f t="shared" si="64"/>
        <v>0.5</v>
      </c>
      <c r="Y231">
        <f t="shared" si="65"/>
        <v>1004.1744346664397</v>
      </c>
      <c r="Z231">
        <f t="shared" si="66"/>
        <v>0.5</v>
      </c>
      <c r="AA231">
        <f>IF($D231="",0,IF($F231&lt;2,0,IF($E231="Win",('Guide &amp; Settings'!$C$42/(($F231-1)*COUNTIFS($A$4:$A$810,$A231,$E$4:$E$810,"Win")))*SUMIFS($Z$4:$Z$810,$A$4:$A$810,$A231,$E$4:$E$810,"Loss"),-('Guide &amp; Settings'!$C$42/($F231-1))*$Z231)))</f>
        <v>14.291748923662567</v>
      </c>
      <c r="AB231" s="120">
        <f t="shared" si="67"/>
        <v>1018.4661835901022</v>
      </c>
      <c r="AC231" s="120">
        <f>IF($D231="","",IF(SUMPRODUCT(MAX(($D$4:$D$810=$D231)*($B$4:$B$810&lt;$B231)*$B$4:$B$810))=0,0,MAX(($B231-MAX(SUMPRODUCT(MAX(($D$4:$D$810=$D231)*($B$4:$B$810&lt;$B231)*$B$4:$B$810)),'Guide &amp; Settings'!$C$50))/7-'Guide &amp; Settings'!$C$48,0)*'Guide &amp; Settings'!$C$49))</f>
        <v>0</v>
      </c>
    </row>
    <row r="232" spans="1:29" ht="15" customHeight="1" x14ac:dyDescent="0.2">
      <c r="A232" s="111">
        <v>92</v>
      </c>
      <c r="B232" s="112">
        <v>46188</v>
      </c>
      <c r="C232" s="113" t="s">
        <v>195</v>
      </c>
      <c r="D232" s="113" t="s">
        <v>168</v>
      </c>
      <c r="E232" s="111" t="s">
        <v>309</v>
      </c>
      <c r="F232" s="114">
        <f t="shared" si="51"/>
        <v>2</v>
      </c>
      <c r="G232" s="115" t="str">
        <f t="shared" si="52"/>
        <v>Oscar</v>
      </c>
      <c r="H232" s="116">
        <f>IF($D232="",0,IFERROR(LOOKUP(2,1/(($D$3:D231=$D232)*($A$3:A231&lt;$A232)),$N$3:N231),'Guide &amp; Settings'!$C$41))</f>
        <v>1107.4689303691496</v>
      </c>
      <c r="I232" s="117">
        <f t="shared" si="53"/>
        <v>0.35483870967741932</v>
      </c>
      <c r="J232" s="118">
        <f>IF($D232="",0,IF($F232&lt;2,0,IF($E232="Win",('Guide &amp; Settings'!$C$42/(($F232-1)*COUNTIFS($A$4:$A$810,$A232,$E$4:$E$810,"Win")))*SUMIFS($X$4:$X$810,$A$4:$A$810,$A232,$E$4:$E$810,"Loss"),-('Guide &amp; Settings'!$C$42/($F232-1))*$X232)))</f>
        <v>-18.320484502169066</v>
      </c>
      <c r="K232" s="118">
        <f>IF($D232="",0,'Guide &amp; Settings'!$C$43*(IF($E232="Win",1,0)-$I232))</f>
        <v>-4.258064516129032</v>
      </c>
      <c r="L232" s="119">
        <f>IF($D232="",0,'Guide &amp; Settings'!$C$44*IF($F232&gt;=3,$F232,0))</f>
        <v>0</v>
      </c>
      <c r="M232" s="118">
        <f t="shared" si="54"/>
        <v>-22.578549018298098</v>
      </c>
      <c r="N232" s="116">
        <f t="shared" si="55"/>
        <v>1084.8903813508514</v>
      </c>
      <c r="O232" s="115" t="str">
        <f t="shared" si="56"/>
        <v>OK</v>
      </c>
      <c r="P232">
        <f t="shared" si="57"/>
        <v>1038.8843445908387</v>
      </c>
      <c r="Q232">
        <f t="shared" si="58"/>
        <v>0.59743877481039909</v>
      </c>
      <c r="R232">
        <f t="shared" si="59"/>
        <v>0.25</v>
      </c>
      <c r="S232">
        <f t="shared" si="60"/>
        <v>0.70454545454545459</v>
      </c>
      <c r="T232" s="83">
        <f t="shared" si="61"/>
        <v>2</v>
      </c>
      <c r="U232" s="120">
        <f>IF($D232="",0,IFERROR(LOOKUP(2,1/(($D$3:D231=$D232)*($C$3:C231=$C232)*($A$3:A231&lt;$A232)),$AB$3:AB231),1000))</f>
        <v>966.93831744776344</v>
      </c>
      <c r="V232" s="120">
        <f t="shared" si="62"/>
        <v>1067.3173266773251</v>
      </c>
      <c r="W232">
        <f t="shared" si="63"/>
        <v>1016.5708310680108</v>
      </c>
      <c r="X232">
        <f t="shared" si="64"/>
        <v>0.57251514069278331</v>
      </c>
      <c r="Y232">
        <f t="shared" si="65"/>
        <v>1004.1744346664397</v>
      </c>
      <c r="Z232">
        <f t="shared" si="66"/>
        <v>0.44661715386445522</v>
      </c>
      <c r="AA232">
        <f>IF($D232="",0,IF($F232&lt;2,0,IF($E232="Win",('Guide &amp; Settings'!$C$42/(($F232-1)*COUNTIFS($A$4:$A$810,$A232,$E$4:$E$810,"Win")))*SUMIFS($Z$4:$Z$810,$A$4:$A$810,$A232,$E$4:$E$810,"Loss"),-('Guide &amp; Settings'!$C$42/($F232-1))*$Z232)))</f>
        <v>-14.291748923662567</v>
      </c>
      <c r="AB232" s="120">
        <f t="shared" si="67"/>
        <v>952.64656852410087</v>
      </c>
      <c r="AC232" s="120">
        <f>IF($D232="","",IF(SUMPRODUCT(MAX(($D$4:$D$810=$D232)*($B$4:$B$810&lt;$B232)*$B$4:$B$810))=0,0,MAX(($B232-MAX(SUMPRODUCT(MAX(($D$4:$D$810=$D232)*($B$4:$B$810&lt;$B232)*$B$4:$B$810)),'Guide &amp; Settings'!$C$50))/7-'Guide &amp; Settings'!$C$48,0)*'Guide &amp; Settings'!$C$49))</f>
        <v>0</v>
      </c>
    </row>
    <row r="233" spans="1:29" ht="15" customHeight="1" x14ac:dyDescent="0.2">
      <c r="A233" s="111">
        <v>93</v>
      </c>
      <c r="B233" s="112">
        <v>46188</v>
      </c>
      <c r="C233" s="113" t="s">
        <v>195</v>
      </c>
      <c r="D233" s="113" t="s">
        <v>135</v>
      </c>
      <c r="E233" s="111" t="s">
        <v>309</v>
      </c>
      <c r="F233" s="114">
        <f t="shared" si="51"/>
        <v>2</v>
      </c>
      <c r="G233" s="115" t="str">
        <f t="shared" si="52"/>
        <v>Oscar</v>
      </c>
      <c r="H233" s="116">
        <f>IF($D233="",0,IFERROR(LOOKUP(2,1/(($D$3:D232=$D233)*($A$3:A232&lt;$A233)),$N$3:N232),'Guide &amp; Settings'!$C$41))</f>
        <v>1052.1085402518941</v>
      </c>
      <c r="I233" s="117">
        <f t="shared" si="53"/>
        <v>0.5</v>
      </c>
      <c r="J233" s="118">
        <f>IF($D233="",0,IF($F233&lt;2,0,IF($E233="Win",('Guide &amp; Settings'!$C$42/(($F233-1)*COUNTIFS($A$4:$A$810,$A233,$E$4:$E$810,"Win")))*SUMIFS($X$4:$X$810,$A$4:$A$810,$A233,$E$4:$E$810,"Loss"),-('Guide &amp; Settings'!$C$42/($F233-1))*$X233)))</f>
        <v>-16.888349365941842</v>
      </c>
      <c r="K233" s="118">
        <f>IF($D233="",0,'Guide &amp; Settings'!$C$43*(IF($E233="Win",1,0)-$I233))</f>
        <v>-6</v>
      </c>
      <c r="L233" s="119">
        <f>IF($D233="",0,'Guide &amp; Settings'!$C$44*IF($F233&gt;=3,$F233,0))</f>
        <v>0</v>
      </c>
      <c r="M233" s="118">
        <f t="shared" si="54"/>
        <v>-22.888349365941842</v>
      </c>
      <c r="N233" s="116">
        <f t="shared" si="55"/>
        <v>1029.2201908859522</v>
      </c>
      <c r="O233" s="115" t="str">
        <f t="shared" si="56"/>
        <v>OK</v>
      </c>
      <c r="P233">
        <f t="shared" si="57"/>
        <v>1061.4628936091369</v>
      </c>
      <c r="Q233">
        <f t="shared" si="58"/>
        <v>0.48654125530865927</v>
      </c>
      <c r="R233">
        <f t="shared" si="59"/>
        <v>0.5</v>
      </c>
      <c r="S233">
        <f t="shared" si="60"/>
        <v>1</v>
      </c>
      <c r="T233" s="83">
        <f t="shared" si="61"/>
        <v>0</v>
      </c>
      <c r="U233" s="120">
        <f>IF($D233="",0,IFERROR(LOOKUP(2,1/(($D$3:D232=$D233)*($C$3:C232=$C233)*($A$3:A232&lt;$A233)),$AB$3:AB232),1000))</f>
        <v>1000</v>
      </c>
      <c r="V233" s="120">
        <f t="shared" si="62"/>
        <v>1052.1085402518941</v>
      </c>
      <c r="W233">
        <f t="shared" si="63"/>
        <v>1032.7984202631137</v>
      </c>
      <c r="X233">
        <f t="shared" si="64"/>
        <v>0.52776091768568256</v>
      </c>
      <c r="Y233">
        <f t="shared" si="65"/>
        <v>1018.4661835901022</v>
      </c>
      <c r="Z233">
        <f t="shared" si="66"/>
        <v>0.47345002137691644</v>
      </c>
      <c r="AA233">
        <f>IF($D233="",0,IF($F233&lt;2,0,IF($E233="Win",('Guide &amp; Settings'!$C$42/(($F233-1)*COUNTIFS($A$4:$A$810,$A233,$E$4:$E$810,"Win")))*SUMIFS($Z$4:$Z$810,$A$4:$A$810,$A233,$E$4:$E$810,"Loss"),-('Guide &amp; Settings'!$C$42/($F233-1))*$Z233)))</f>
        <v>-15.150400684061326</v>
      </c>
      <c r="AB233" s="120">
        <f t="shared" si="67"/>
        <v>984.84959931593869</v>
      </c>
      <c r="AC233" s="120">
        <f>IF($D233="","",IF(SUMPRODUCT(MAX(($D$4:$D$810=$D233)*($B$4:$B$810&lt;$B233)*$B$4:$B$810))=0,0,MAX(($B233-MAX(SUMPRODUCT(MAX(($D$4:$D$810=$D233)*($B$4:$B$810&lt;$B233)*$B$4:$B$810)),'Guide &amp; Settings'!$C$50))/7-'Guide &amp; Settings'!$C$48,0)*'Guide &amp; Settings'!$C$49))</f>
        <v>0</v>
      </c>
    </row>
    <row r="234" spans="1:29" ht="15" customHeight="1" x14ac:dyDescent="0.2">
      <c r="A234" s="111">
        <v>93</v>
      </c>
      <c r="B234" s="112">
        <v>46188</v>
      </c>
      <c r="C234" s="113" t="s">
        <v>195</v>
      </c>
      <c r="D234" s="113" t="s">
        <v>169</v>
      </c>
      <c r="E234" s="111" t="s">
        <v>308</v>
      </c>
      <c r="F234" s="114">
        <f t="shared" si="51"/>
        <v>2</v>
      </c>
      <c r="G234" s="115" t="str">
        <f t="shared" si="52"/>
        <v>Oscar</v>
      </c>
      <c r="H234" s="116">
        <f>IF($D234="",0,IFERROR(LOOKUP(2,1/(($D$3:D233=$D234)*($A$3:A233&lt;$A234)),$N$3:N233),'Guide &amp; Settings'!$C$41))</f>
        <v>1061.4628936091369</v>
      </c>
      <c r="I234" s="117">
        <f t="shared" si="53"/>
        <v>0.5</v>
      </c>
      <c r="J234" s="118">
        <f>IF($D234="",0,IF($F234&lt;2,0,IF($E234="Win",('Guide &amp; Settings'!$C$42/(($F234-1)*COUNTIFS($A$4:$A$810,$A234,$E$4:$E$810,"Win")))*SUMIFS($X$4:$X$810,$A$4:$A$810,$A234,$E$4:$E$810,"Loss"),-('Guide &amp; Settings'!$C$42/($F234-1))*$X234)))</f>
        <v>16.888349365941842</v>
      </c>
      <c r="K234" s="118">
        <f>IF($D234="",0,'Guide &amp; Settings'!$C$43*(IF($E234="Win",1,0)-$I234))</f>
        <v>6</v>
      </c>
      <c r="L234" s="119">
        <f>IF($D234="",0,'Guide &amp; Settings'!$C$44*IF($F234&gt;=3,$F234,0))</f>
        <v>0</v>
      </c>
      <c r="M234" s="118">
        <f t="shared" si="54"/>
        <v>22.888349365941842</v>
      </c>
      <c r="N234" s="116">
        <f t="shared" si="55"/>
        <v>1084.3512429750788</v>
      </c>
      <c r="O234" s="115" t="str">
        <f t="shared" si="56"/>
        <v>OK</v>
      </c>
      <c r="P234">
        <f t="shared" si="57"/>
        <v>1061.4628936091369</v>
      </c>
      <c r="Q234">
        <f t="shared" si="58"/>
        <v>0.5</v>
      </c>
      <c r="R234">
        <f t="shared" si="59"/>
        <v>0.5</v>
      </c>
      <c r="S234">
        <f t="shared" si="60"/>
        <v>1</v>
      </c>
      <c r="T234" s="83">
        <f t="shared" si="61"/>
        <v>10</v>
      </c>
      <c r="U234" s="120">
        <f>IF($D234="",0,IFERROR(LOOKUP(2,1/(($D$3:D233=$D234)*($C$3:C233=$C234)*($A$3:A233&lt;$A234)),$AB$3:AB233),1000))</f>
        <v>1018.4661835901022</v>
      </c>
      <c r="V234" s="120">
        <f t="shared" si="62"/>
        <v>1032.7984202631137</v>
      </c>
      <c r="W234">
        <f t="shared" si="63"/>
        <v>1032.7984202631137</v>
      </c>
      <c r="X234">
        <f t="shared" si="64"/>
        <v>0.5</v>
      </c>
      <c r="Y234">
        <f t="shared" si="65"/>
        <v>1018.4661835901022</v>
      </c>
      <c r="Z234">
        <f t="shared" si="66"/>
        <v>0.5</v>
      </c>
      <c r="AA234">
        <f>IF($D234="",0,IF($F234&lt;2,0,IF($E234="Win",('Guide &amp; Settings'!$C$42/(($F234-1)*COUNTIFS($A$4:$A$810,$A234,$E$4:$E$810,"Win")))*SUMIFS($Z$4:$Z$810,$A$4:$A$810,$A234,$E$4:$E$810,"Loss"),-('Guide &amp; Settings'!$C$42/($F234-1))*$Z234)))</f>
        <v>15.150400684061326</v>
      </c>
      <c r="AB234" s="120">
        <f t="shared" si="67"/>
        <v>1033.6165842741636</v>
      </c>
      <c r="AC234" s="120">
        <f>IF($D234="","",IF(SUMPRODUCT(MAX(($D$4:$D$810=$D234)*($B$4:$B$810&lt;$B234)*$B$4:$B$810))=0,0,MAX(($B234-MAX(SUMPRODUCT(MAX(($D$4:$D$810=$D234)*($B$4:$B$810&lt;$B234)*$B$4:$B$810)),'Guide &amp; Settings'!$C$50))/7-'Guide &amp; Settings'!$C$48,0)*'Guide &amp; Settings'!$C$49))</f>
        <v>0</v>
      </c>
    </row>
    <row r="235" spans="1:29" ht="15" customHeight="1" x14ac:dyDescent="0.2">
      <c r="A235" s="111">
        <v>94</v>
      </c>
      <c r="B235" s="112">
        <v>46188</v>
      </c>
      <c r="C235" s="113" t="s">
        <v>185</v>
      </c>
      <c r="D235" s="113" t="s">
        <v>170</v>
      </c>
      <c r="E235" s="111" t="s">
        <v>308</v>
      </c>
      <c r="F235" s="114">
        <f t="shared" si="51"/>
        <v>2</v>
      </c>
      <c r="G235" s="115" t="str">
        <f t="shared" si="52"/>
        <v>Daniel (Ferret)</v>
      </c>
      <c r="H235" s="116">
        <f>IF($D235="",0,IFERROR(LOOKUP(2,1/(($D$3:D234=$D235)*($A$3:A234&lt;$A235)),$N$3:N234),'Guide &amp; Settings'!$C$41))</f>
        <v>1078.6736344283954</v>
      </c>
      <c r="I235" s="117">
        <f t="shared" si="53"/>
        <v>0.57142857142857151</v>
      </c>
      <c r="J235" s="118">
        <f>IF($D235="",0,IF($F235&lt;2,0,IF($E235="Win",('Guide &amp; Settings'!$C$42/(($F235-1)*COUNTIFS($A$4:$A$810,$A235,$E$4:$E$810,"Win")))*SUMIFS($X$4:$X$810,$A$4:$A$810,$A235,$E$4:$E$810,"Loss"),-('Guide &amp; Settings'!$C$42/($F235-1))*$X235)))</f>
        <v>9.066368698962826</v>
      </c>
      <c r="K235" s="118">
        <f>IF($D235="",0,'Guide &amp; Settings'!$C$43*(IF($E235="Win",1,0)-$I235))</f>
        <v>5.1428571428571423</v>
      </c>
      <c r="L235" s="119">
        <f>IF($D235="",0,'Guide &amp; Settings'!$C$44*IF($F235&gt;=3,$F235,0))</f>
        <v>0</v>
      </c>
      <c r="M235" s="118">
        <f t="shared" si="54"/>
        <v>14.209225841819968</v>
      </c>
      <c r="N235" s="116">
        <f t="shared" si="55"/>
        <v>1092.8828602702154</v>
      </c>
      <c r="O235" s="115" t="str">
        <f t="shared" si="56"/>
        <v>OK</v>
      </c>
      <c r="P235">
        <f t="shared" si="57"/>
        <v>1078.6736344283954</v>
      </c>
      <c r="Q235">
        <f t="shared" si="58"/>
        <v>0.5</v>
      </c>
      <c r="R235">
        <f t="shared" si="59"/>
        <v>0.66666666666666663</v>
      </c>
      <c r="S235">
        <f t="shared" si="60"/>
        <v>1.1666666666666665</v>
      </c>
      <c r="T235" s="83">
        <f t="shared" si="61"/>
        <v>1</v>
      </c>
      <c r="U235" s="120">
        <f>IF($D235="",0,IFERROR(LOOKUP(2,1/(($D$3:D234=$D235)*($C$3:C234=$C235)*($A$3:A234&lt;$A235)),$AB$3:AB234),1000))</f>
        <v>1017.4023736484061</v>
      </c>
      <c r="V235" s="120">
        <f t="shared" si="62"/>
        <v>1068.4617576317305</v>
      </c>
      <c r="W235">
        <f t="shared" si="63"/>
        <v>1068.4617576317305</v>
      </c>
      <c r="X235">
        <f t="shared" si="64"/>
        <v>0.5</v>
      </c>
      <c r="Y235">
        <f t="shared" si="65"/>
        <v>1017.4023736484061</v>
      </c>
      <c r="Z235">
        <f t="shared" si="66"/>
        <v>0.5</v>
      </c>
      <c r="AA235">
        <f>IF($D235="",0,IF($F235&lt;2,0,IF($E235="Win",('Guide &amp; Settings'!$C$42/(($F235-1)*COUNTIFS($A$4:$A$810,$A235,$E$4:$E$810,"Win")))*SUMIFS($Z$4:$Z$810,$A$4:$A$810,$A235,$E$4:$E$810,"Loss"),-('Guide &amp; Settings'!$C$42/($F235-1))*$Z235)))</f>
        <v>15.199260600394643</v>
      </c>
      <c r="AB235" s="120">
        <f t="shared" si="67"/>
        <v>1032.6016342488008</v>
      </c>
      <c r="AC235" s="120">
        <f>IF($D235="","",IF(SUMPRODUCT(MAX(($D$4:$D$810=$D235)*($B$4:$B$810&lt;$B235)*$B$4:$B$810))=0,0,MAX(($B235-MAX(SUMPRODUCT(MAX(($D$4:$D$810=$D235)*($B$4:$B$810&lt;$B235)*$B$4:$B$810)),'Guide &amp; Settings'!$C$50))/7-'Guide &amp; Settings'!$C$48,0)*'Guide &amp; Settings'!$C$49))</f>
        <v>0</v>
      </c>
    </row>
    <row r="236" spans="1:29" ht="15" customHeight="1" x14ac:dyDescent="0.2">
      <c r="A236" s="111">
        <v>94</v>
      </c>
      <c r="B236" s="112">
        <v>46188</v>
      </c>
      <c r="C236" s="113" t="s">
        <v>185</v>
      </c>
      <c r="D236" s="113" t="s">
        <v>175</v>
      </c>
      <c r="E236" s="111" t="s">
        <v>309</v>
      </c>
      <c r="F236" s="114">
        <f t="shared" si="51"/>
        <v>2</v>
      </c>
      <c r="G236" s="115" t="str">
        <f t="shared" si="52"/>
        <v>Daniel (Ferret)</v>
      </c>
      <c r="H236" s="116">
        <f>IF($D236="",0,IFERROR(LOOKUP(2,1/(($D$3:D235=$D236)*($A$3:A235&lt;$A236)),$N$3:N235),'Guide &amp; Settings'!$C$41))</f>
        <v>907.24597771907167</v>
      </c>
      <c r="I236" s="117">
        <f t="shared" si="53"/>
        <v>0.4285714285714286</v>
      </c>
      <c r="J236" s="118">
        <f>IF($D236="",0,IF($F236&lt;2,0,IF($E236="Win",('Guide &amp; Settings'!$C$42/(($F236-1)*COUNTIFS($A$4:$A$810,$A236,$E$4:$E$810,"Win")))*SUMIFS($X$4:$X$810,$A$4:$A$810,$A236,$E$4:$E$810,"Loss"),-('Guide &amp; Settings'!$C$42/($F236-1))*$X236)))</f>
        <v>-9.066368698962826</v>
      </c>
      <c r="K236" s="118">
        <f>IF($D236="",0,'Guide &amp; Settings'!$C$43*(IF($E236="Win",1,0)-$I236))</f>
        <v>-5.1428571428571432</v>
      </c>
      <c r="L236" s="119">
        <f>IF($D236="",0,'Guide &amp; Settings'!$C$44*IF($F236&gt;=3,$F236,0))</f>
        <v>0</v>
      </c>
      <c r="M236" s="118">
        <f t="shared" si="54"/>
        <v>-14.209225841819968</v>
      </c>
      <c r="N236" s="116">
        <f t="shared" si="55"/>
        <v>893.03675187725173</v>
      </c>
      <c r="O236" s="115" t="str">
        <f t="shared" si="56"/>
        <v>OK</v>
      </c>
      <c r="P236">
        <f t="shared" si="57"/>
        <v>1078.6736344283954</v>
      </c>
      <c r="Q236">
        <f t="shared" si="58"/>
        <v>0.27154125437832793</v>
      </c>
      <c r="R236">
        <f t="shared" si="59"/>
        <v>0.5</v>
      </c>
      <c r="S236">
        <f t="shared" si="60"/>
        <v>1.1666666666666665</v>
      </c>
      <c r="T236" s="83">
        <f t="shared" si="61"/>
        <v>0</v>
      </c>
      <c r="U236" s="120">
        <f>IF($D236="",0,IFERROR(LOOKUP(2,1/(($D$3:D235=$D236)*($C$3:C235=$C236)*($A$3:A235&lt;$A236)),$AB$3:AB235),1000))</f>
        <v>1000</v>
      </c>
      <c r="V236" s="120">
        <f t="shared" si="62"/>
        <v>907.24597771907167</v>
      </c>
      <c r="W236">
        <f t="shared" si="63"/>
        <v>1068.4617576317305</v>
      </c>
      <c r="X236">
        <f t="shared" si="64"/>
        <v>0.28332402184258831</v>
      </c>
      <c r="Y236">
        <f t="shared" si="65"/>
        <v>1017.4023736484061</v>
      </c>
      <c r="Z236">
        <f t="shared" si="66"/>
        <v>0.4749768937623326</v>
      </c>
      <c r="AA236">
        <f>IF($D236="",0,IF($F236&lt;2,0,IF($E236="Win",('Guide &amp; Settings'!$C$42/(($F236-1)*COUNTIFS($A$4:$A$810,$A236,$E$4:$E$810,"Win")))*SUMIFS($Z$4:$Z$810,$A$4:$A$810,$A236,$E$4:$E$810,"Loss"),-('Guide &amp; Settings'!$C$42/($F236-1))*$Z236)))</f>
        <v>-15.199260600394643</v>
      </c>
      <c r="AB236" s="120">
        <f t="shared" si="67"/>
        <v>984.80073939960539</v>
      </c>
      <c r="AC236" s="120">
        <f>IF($D236="","",IF(SUMPRODUCT(MAX(($D$4:$D$810=$D236)*($B$4:$B$810&lt;$B236)*$B$4:$B$810))=0,0,MAX(($B236-MAX(SUMPRODUCT(MAX(($D$4:$D$810=$D236)*($B$4:$B$810&lt;$B236)*$B$4:$B$810)),'Guide &amp; Settings'!$C$50))/7-'Guide &amp; Settings'!$C$48,0)*'Guide &amp; Settings'!$C$49))</f>
        <v>0</v>
      </c>
    </row>
    <row r="237" spans="1:29" ht="15" customHeight="1" x14ac:dyDescent="0.2">
      <c r="A237" s="111">
        <v>95</v>
      </c>
      <c r="B237" s="112">
        <v>46189</v>
      </c>
      <c r="C237" s="113" t="s">
        <v>197</v>
      </c>
      <c r="D237" s="113" t="s">
        <v>170</v>
      </c>
      <c r="E237" s="111" t="s">
        <v>308</v>
      </c>
      <c r="F237" s="114">
        <f t="shared" si="51"/>
        <v>3</v>
      </c>
      <c r="G237" s="115" t="str">
        <f t="shared" si="52"/>
        <v>Daniel (Ferret)</v>
      </c>
      <c r="H237" s="116">
        <f>IF($D237="",0,IFERROR(LOOKUP(2,1/(($D$3:D236=$D237)*($A$3:A236&lt;$A237)),$N$3:N236),'Guide &amp; Settings'!$C$41))</f>
        <v>1092.8828602702154</v>
      </c>
      <c r="I237" s="117">
        <f t="shared" si="53"/>
        <v>0.5</v>
      </c>
      <c r="J237" s="118">
        <f>IF($D237="",0,IF($F237&lt;2,0,IF($E237="Win",('Guide &amp; Settings'!$C$42/(($F237-1)*COUNTIFS($A$4:$A$810,$A237,$E$4:$E$810,"Win")))*SUMIFS($X$4:$X$810,$A$4:$A$810,$A237,$E$4:$E$810,"Loss"),-('Guide &amp; Settings'!$C$42/($F237-1))*$X237)))</f>
        <v>14.199437855447254</v>
      </c>
      <c r="K237" s="118">
        <f>IF($D237="",0,'Guide &amp; Settings'!$C$43*(IF($E237="Win",1,0)-$I237))</f>
        <v>6</v>
      </c>
      <c r="L237" s="119">
        <f>IF($D237="",0,'Guide &amp; Settings'!$C$44*IF($F237&gt;=3,$F237,0))</f>
        <v>3</v>
      </c>
      <c r="M237" s="118">
        <f t="shared" si="54"/>
        <v>23.199437855447254</v>
      </c>
      <c r="N237" s="116">
        <f t="shared" si="55"/>
        <v>1116.0822981256626</v>
      </c>
      <c r="O237" s="115" t="str">
        <f t="shared" si="56"/>
        <v>OK</v>
      </c>
      <c r="P237">
        <f t="shared" si="57"/>
        <v>1092.8828602702154</v>
      </c>
      <c r="Q237">
        <f t="shared" si="58"/>
        <v>0.5</v>
      </c>
      <c r="R237">
        <f t="shared" si="59"/>
        <v>0.66666666666666663</v>
      </c>
      <c r="S237">
        <f t="shared" si="60"/>
        <v>1.3333333333333333</v>
      </c>
      <c r="T237" s="83">
        <f t="shared" si="61"/>
        <v>1</v>
      </c>
      <c r="U237" s="120">
        <f>IF($D237="",0,IFERROR(LOOKUP(2,1/(($D$3:D236=$D237)*($C$3:C236=$C237)*($A$3:A236&lt;$A237)),$AB$3:AB236),1000))</f>
        <v>1016</v>
      </c>
      <c r="V237" s="120">
        <f t="shared" si="62"/>
        <v>1080.0690502251796</v>
      </c>
      <c r="W237">
        <f t="shared" si="63"/>
        <v>1080.0690502251796</v>
      </c>
      <c r="X237">
        <f t="shared" si="64"/>
        <v>0.5</v>
      </c>
      <c r="Y237">
        <f t="shared" si="65"/>
        <v>1016</v>
      </c>
      <c r="Z237">
        <f t="shared" si="66"/>
        <v>0.5</v>
      </c>
      <c r="AA237">
        <f>IF($D237="",0,IF($F237&lt;2,0,IF($E237="Win",('Guide &amp; Settings'!$C$42/(($F237-1)*COUNTIFS($A$4:$A$810,$A237,$E$4:$E$810,"Win")))*SUMIFS($Z$4:$Z$810,$A$4:$A$810,$A237,$E$4:$E$810,"Loss"),-('Guide &amp; Settings'!$C$42/($F237-1))*$Z237)))</f>
        <v>14.896513768741391</v>
      </c>
      <c r="AB237" s="120">
        <f t="shared" si="67"/>
        <v>1030.8965137687414</v>
      </c>
      <c r="AC237" s="120">
        <f>IF($D237="","",IF(SUMPRODUCT(MAX(($D$4:$D$810=$D237)*($B$4:$B$810&lt;$B237)*$B$4:$B$810))=0,0,MAX(($B237-MAX(SUMPRODUCT(MAX(($D$4:$D$810=$D237)*($B$4:$B$810&lt;$B237)*$B$4:$B$810)),'Guide &amp; Settings'!$C$50))/7-'Guide &amp; Settings'!$C$48,0)*'Guide &amp; Settings'!$C$49))</f>
        <v>0</v>
      </c>
    </row>
    <row r="238" spans="1:29" ht="15" customHeight="1" x14ac:dyDescent="0.2">
      <c r="A238" s="111">
        <v>95</v>
      </c>
      <c r="B238" s="112">
        <v>46189</v>
      </c>
      <c r="C238" s="113" t="s">
        <v>197</v>
      </c>
      <c r="D238" s="113" t="s">
        <v>134</v>
      </c>
      <c r="E238" s="111" t="s">
        <v>309</v>
      </c>
      <c r="F238" s="114">
        <f t="shared" si="51"/>
        <v>3</v>
      </c>
      <c r="G238" s="115" t="str">
        <f t="shared" si="52"/>
        <v>Daniel (Ferret)</v>
      </c>
      <c r="H238" s="116">
        <f>IF($D238="",0,IFERROR(LOOKUP(2,1/(($D$3:D237=$D238)*($A$3:A237&lt;$A238)),$N$3:N237),'Guide &amp; Settings'!$C$41))</f>
        <v>1016.1493029697812</v>
      </c>
      <c r="I238" s="117">
        <f t="shared" si="53"/>
        <v>0.25</v>
      </c>
      <c r="J238" s="118">
        <f>IF($D238="",0,IF($F238&lt;2,0,IF($E238="Win",('Guide &amp; Settings'!$C$42/(($F238-1)*COUNTIFS($A$4:$A$810,$A238,$E$4:$E$810,"Win")))*SUMIFS($X$4:$X$810,$A$4:$A$810,$A238,$E$4:$E$810,"Loss"),-('Guide &amp; Settings'!$C$42/($F238-1))*$X238)))</f>
        <v>-6.4551605647268993</v>
      </c>
      <c r="K238" s="118">
        <f>IF($D238="",0,'Guide &amp; Settings'!$C$43*(IF($E238="Win",1,0)-$I238))</f>
        <v>-3</v>
      </c>
      <c r="L238" s="119">
        <f>IF($D238="",0,'Guide &amp; Settings'!$C$44*IF($F238&gt;=3,$F238,0))</f>
        <v>3</v>
      </c>
      <c r="M238" s="118">
        <f t="shared" si="54"/>
        <v>-6.4551605647268993</v>
      </c>
      <c r="N238" s="116">
        <f t="shared" si="55"/>
        <v>1009.6941424050542</v>
      </c>
      <c r="O238" s="115" t="str">
        <f t="shared" si="56"/>
        <v>OK</v>
      </c>
      <c r="P238">
        <f t="shared" si="57"/>
        <v>1092.8828602702154</v>
      </c>
      <c r="Q238">
        <f t="shared" si="58"/>
        <v>0.39133266588171339</v>
      </c>
      <c r="R238">
        <f t="shared" si="59"/>
        <v>0.33333333333333331</v>
      </c>
      <c r="S238">
        <f t="shared" si="60"/>
        <v>1.3333333333333333</v>
      </c>
      <c r="T238" s="83">
        <f t="shared" si="61"/>
        <v>1</v>
      </c>
      <c r="U238" s="120">
        <f>IF($D238="",0,IFERROR(LOOKUP(2,1/(($D$3:D237=$D238)*($C$3:C237=$C238)*($A$3:A237&lt;$A238)),$AB$3:AB237),1000))</f>
        <v>992</v>
      </c>
      <c r="V238" s="120">
        <f t="shared" si="62"/>
        <v>1012.1244191414844</v>
      </c>
      <c r="W238">
        <f t="shared" si="63"/>
        <v>1080.0690502251796</v>
      </c>
      <c r="X238">
        <f t="shared" si="64"/>
        <v>0.4034475352954312</v>
      </c>
      <c r="Y238">
        <f t="shared" si="65"/>
        <v>1016</v>
      </c>
      <c r="Z238">
        <f t="shared" si="66"/>
        <v>0.46551605527316847</v>
      </c>
      <c r="AA238">
        <f>IF($D238="",0,IF($F238&lt;2,0,IF($E238="Win",('Guide &amp; Settings'!$C$42/(($F238-1)*COUNTIFS($A$4:$A$810,$A238,$E$4:$E$810,"Win")))*SUMIFS($Z$4:$Z$810,$A$4:$A$810,$A238,$E$4:$E$810,"Loss"),-('Guide &amp; Settings'!$C$42/($F238-1))*$Z238)))</f>
        <v>-7.4482568843706956</v>
      </c>
      <c r="AB238" s="120">
        <f t="shared" si="67"/>
        <v>984.55174311562928</v>
      </c>
      <c r="AC238" s="120">
        <f>IF($D238="","",IF(SUMPRODUCT(MAX(($D$4:$D$810=$D238)*($B$4:$B$810&lt;$B238)*$B$4:$B$810))=0,0,MAX(($B238-MAX(SUMPRODUCT(MAX(($D$4:$D$810=$D238)*($B$4:$B$810&lt;$B238)*$B$4:$B$810)),'Guide &amp; Settings'!$C$50))/7-'Guide &amp; Settings'!$C$48,0)*'Guide &amp; Settings'!$C$49))</f>
        <v>0</v>
      </c>
    </row>
    <row r="239" spans="1:29" ht="15" customHeight="1" x14ac:dyDescent="0.2">
      <c r="A239" s="111">
        <v>95</v>
      </c>
      <c r="B239" s="112">
        <v>46189</v>
      </c>
      <c r="C239" s="113" t="s">
        <v>197</v>
      </c>
      <c r="D239" s="113" t="s">
        <v>169</v>
      </c>
      <c r="E239" s="111" t="s">
        <v>309</v>
      </c>
      <c r="F239" s="114">
        <f t="shared" si="51"/>
        <v>3</v>
      </c>
      <c r="G239" s="115" t="str">
        <f t="shared" si="52"/>
        <v>Daniel (Ferret)</v>
      </c>
      <c r="H239" s="116">
        <f>IF($D239="",0,IFERROR(LOOKUP(2,1/(($D$3:D238=$D239)*($A$3:A238&lt;$A239)),$N$3:N238),'Guide &amp; Settings'!$C$41))</f>
        <v>1084.3512429750788</v>
      </c>
      <c r="I239" s="117">
        <f t="shared" si="53"/>
        <v>0.25</v>
      </c>
      <c r="J239" s="118">
        <f>IF($D239="",0,IF($F239&lt;2,0,IF($E239="Win",('Guide &amp; Settings'!$C$42/(($F239-1)*COUNTIFS($A$4:$A$810,$A239,$E$4:$E$810,"Win")))*SUMIFS($X$4:$X$810,$A$4:$A$810,$A239,$E$4:$E$810,"Loss"),-('Guide &amp; Settings'!$C$42/($F239-1))*$X239)))</f>
        <v>-7.7442772907203539</v>
      </c>
      <c r="K239" s="118">
        <f>IF($D239="",0,'Guide &amp; Settings'!$C$43*(IF($E239="Win",1,0)-$I239))</f>
        <v>-3</v>
      </c>
      <c r="L239" s="119">
        <f>IF($D239="",0,'Guide &amp; Settings'!$C$44*IF($F239&gt;=3,$F239,0))</f>
        <v>3</v>
      </c>
      <c r="M239" s="118">
        <f t="shared" si="54"/>
        <v>-7.7442772907203548</v>
      </c>
      <c r="N239" s="116">
        <f t="shared" si="55"/>
        <v>1076.6069656843583</v>
      </c>
      <c r="O239" s="115" t="str">
        <f t="shared" si="56"/>
        <v>OK</v>
      </c>
      <c r="P239">
        <f t="shared" si="57"/>
        <v>1092.8828602702154</v>
      </c>
      <c r="Q239">
        <f t="shared" si="58"/>
        <v>0.48772448300986526</v>
      </c>
      <c r="R239">
        <f t="shared" si="59"/>
        <v>0.33333333333333331</v>
      </c>
      <c r="S239">
        <f t="shared" si="60"/>
        <v>1.3333333333333333</v>
      </c>
      <c r="T239" s="83">
        <f t="shared" si="61"/>
        <v>1</v>
      </c>
      <c r="U239" s="120">
        <f>IF($D239="",0,IFERROR(LOOKUP(2,1/(($D$3:D238=$D239)*($C$3:C238=$C239)*($A$3:A238&lt;$A239)),$AB$3:AB238),1000))</f>
        <v>992</v>
      </c>
      <c r="V239" s="120">
        <f t="shared" si="62"/>
        <v>1068.959369145899</v>
      </c>
      <c r="W239">
        <f t="shared" si="63"/>
        <v>1080.0690502251796</v>
      </c>
      <c r="X239">
        <f t="shared" si="64"/>
        <v>0.48401733067002212</v>
      </c>
      <c r="Y239">
        <f t="shared" si="65"/>
        <v>1016</v>
      </c>
      <c r="Z239">
        <f t="shared" si="66"/>
        <v>0.46551605527316847</v>
      </c>
      <c r="AA239">
        <f>IF($D239="",0,IF($F239&lt;2,0,IF($E239="Win",('Guide &amp; Settings'!$C$42/(($F239-1)*COUNTIFS($A$4:$A$810,$A239,$E$4:$E$810,"Win")))*SUMIFS($Z$4:$Z$810,$A$4:$A$810,$A239,$E$4:$E$810,"Loss"),-('Guide &amp; Settings'!$C$42/($F239-1))*$Z239)))</f>
        <v>-7.4482568843706956</v>
      </c>
      <c r="AB239" s="120">
        <f t="shared" si="67"/>
        <v>984.55174311562928</v>
      </c>
      <c r="AC239" s="120">
        <f>IF($D239="","",IF(SUMPRODUCT(MAX(($D$4:$D$810=$D239)*($B$4:$B$810&lt;$B239)*$B$4:$B$810))=0,0,MAX(($B239-MAX(SUMPRODUCT(MAX(($D$4:$D$810=$D239)*($B$4:$B$810&lt;$B239)*$B$4:$B$810)),'Guide &amp; Settings'!$C$50))/7-'Guide &amp; Settings'!$C$48,0)*'Guide &amp; Settings'!$C$49))</f>
        <v>0</v>
      </c>
    </row>
    <row r="240" spans="1:29" ht="15" customHeight="1" x14ac:dyDescent="0.2">
      <c r="A240" s="111">
        <v>96</v>
      </c>
      <c r="B240" s="112">
        <v>46189</v>
      </c>
      <c r="C240" s="113" t="s">
        <v>185</v>
      </c>
      <c r="D240" s="113" t="s">
        <v>167</v>
      </c>
      <c r="E240" s="111" t="s">
        <v>308</v>
      </c>
      <c r="F240" s="114">
        <f t="shared" si="51"/>
        <v>2</v>
      </c>
      <c r="G240" s="115" t="str">
        <f t="shared" si="52"/>
        <v>Dean B</v>
      </c>
      <c r="H240" s="116">
        <f>IF($D240="",0,IFERROR(LOOKUP(2,1/(($D$3:D239=$D240)*($A$3:A239&lt;$A240)),$N$3:N239),'Guide &amp; Settings'!$C$41))</f>
        <v>1118.2349329469087</v>
      </c>
      <c r="I240" s="117">
        <f t="shared" si="53"/>
        <v>0.33333333333333331</v>
      </c>
      <c r="J240" s="118">
        <f>IF($D240="",0,IF($F240&lt;2,0,IF($E240="Win",('Guide &amp; Settings'!$C$42/(($F240-1)*COUNTIFS($A$4:$A$810,$A240,$E$4:$E$810,"Win")))*SUMIFS($X$4:$X$810,$A$4:$A$810,$A240,$E$4:$E$810,"Loss"),-('Guide &amp; Settings'!$C$42/($F240-1))*$X240)))</f>
        <v>18.626995570500643</v>
      </c>
      <c r="K240" s="118">
        <f>IF($D240="",0,'Guide &amp; Settings'!$C$43*(IF($E240="Win",1,0)-$I240))</f>
        <v>8</v>
      </c>
      <c r="L240" s="119">
        <f>IF($D240="",0,'Guide &amp; Settings'!$C$44*IF($F240&gt;=3,$F240,0))</f>
        <v>0</v>
      </c>
      <c r="M240" s="118">
        <f t="shared" si="54"/>
        <v>26.626995570500643</v>
      </c>
      <c r="N240" s="116">
        <f t="shared" si="55"/>
        <v>1144.8619285174093</v>
      </c>
      <c r="O240" s="115" t="str">
        <f t="shared" si="56"/>
        <v>OK</v>
      </c>
      <c r="P240">
        <f t="shared" si="57"/>
        <v>1118.2349329469087</v>
      </c>
      <c r="Q240">
        <f t="shared" si="58"/>
        <v>0.5</v>
      </c>
      <c r="R240">
        <f t="shared" si="59"/>
        <v>0.375</v>
      </c>
      <c r="S240">
        <f t="shared" si="60"/>
        <v>1.125</v>
      </c>
      <c r="T240" s="83">
        <f t="shared" si="61"/>
        <v>6</v>
      </c>
      <c r="U240" s="120">
        <f>IF($D240="",0,IFERROR(LOOKUP(2,1/(($D$3:D239=$D240)*($C$3:C239=$C240)*($A$3:A239&lt;$A240)),$AB$3:AB239),1000))</f>
        <v>965.02366557041569</v>
      </c>
      <c r="V240" s="120">
        <f t="shared" si="62"/>
        <v>1034.665150741549</v>
      </c>
      <c r="W240">
        <f t="shared" si="63"/>
        <v>1034.665150741549</v>
      </c>
      <c r="X240">
        <f t="shared" si="64"/>
        <v>0.5</v>
      </c>
      <c r="Y240">
        <f t="shared" si="65"/>
        <v>965.02366557041569</v>
      </c>
      <c r="Z240">
        <f t="shared" si="66"/>
        <v>0.5</v>
      </c>
      <c r="AA240">
        <f>IF($D240="",0,IF($F240&lt;2,0,IF($E240="Win",('Guide &amp; Settings'!$C$42/(($F240-1)*COUNTIFS($A$4:$A$810,$A240,$E$4:$E$810,"Win")))*SUMIFS($Z$4:$Z$810,$A$4:$A$810,$A240,$E$4:$E$810,"Loss"),-('Guide &amp; Settings'!$C$42/($F240-1))*$Z240)))</f>
        <v>19.073419784742327</v>
      </c>
      <c r="AB240" s="120">
        <f t="shared" si="67"/>
        <v>984.09708535515801</v>
      </c>
      <c r="AC240" s="120">
        <f>IF($D240="","",IF(SUMPRODUCT(MAX(($D$4:$D$810=$D240)*($B$4:$B$810&lt;$B240)*$B$4:$B$810))=0,0,MAX(($B240-MAX(SUMPRODUCT(MAX(($D$4:$D$810=$D240)*($B$4:$B$810&lt;$B240)*$B$4:$B$810)),'Guide &amp; Settings'!$C$50))/7-'Guide &amp; Settings'!$C$48,0)*'Guide &amp; Settings'!$C$49))</f>
        <v>0</v>
      </c>
    </row>
    <row r="241" spans="1:29" ht="15" customHeight="1" x14ac:dyDescent="0.2">
      <c r="A241" s="111">
        <v>96</v>
      </c>
      <c r="B241" s="112">
        <v>46189</v>
      </c>
      <c r="C241" s="113" t="s">
        <v>185</v>
      </c>
      <c r="D241" s="113" t="s">
        <v>170</v>
      </c>
      <c r="E241" s="111" t="s">
        <v>309</v>
      </c>
      <c r="F241" s="114">
        <f t="shared" si="51"/>
        <v>2</v>
      </c>
      <c r="G241" s="115" t="str">
        <f t="shared" si="52"/>
        <v>Dean B</v>
      </c>
      <c r="H241" s="116">
        <f>IF($D241="",0,IFERROR(LOOKUP(2,1/(($D$3:D240=$D241)*($A$3:A240&lt;$A241)),$N$3:N240),'Guide &amp; Settings'!$C$41))</f>
        <v>1116.0822981256626</v>
      </c>
      <c r="I241" s="117">
        <f t="shared" si="53"/>
        <v>0.66666666666666663</v>
      </c>
      <c r="J241" s="118">
        <f>IF($D241="",0,IF($F241&lt;2,0,IF($E241="Win",('Guide &amp; Settings'!$C$42/(($F241-1)*COUNTIFS($A$4:$A$810,$A241,$E$4:$E$810,"Win")))*SUMIFS($X$4:$X$810,$A$4:$A$810,$A241,$E$4:$E$810,"Loss"),-('Guide &amp; Settings'!$C$42/($F241-1))*$X241)))</f>
        <v>-18.626995570500643</v>
      </c>
      <c r="K241" s="118">
        <f>IF($D241="",0,'Guide &amp; Settings'!$C$43*(IF($E241="Win",1,0)-$I241))</f>
        <v>-8</v>
      </c>
      <c r="L241" s="119">
        <f>IF($D241="",0,'Guide &amp; Settings'!$C$44*IF($F241&gt;=3,$F241,0))</f>
        <v>0</v>
      </c>
      <c r="M241" s="118">
        <f t="shared" si="54"/>
        <v>-26.626995570500643</v>
      </c>
      <c r="N241" s="116">
        <f t="shared" si="55"/>
        <v>1089.455302555162</v>
      </c>
      <c r="O241" s="115" t="str">
        <f t="shared" si="56"/>
        <v>OK</v>
      </c>
      <c r="P241">
        <f t="shared" si="57"/>
        <v>1118.2349329469087</v>
      </c>
      <c r="Q241">
        <f t="shared" si="58"/>
        <v>0.49690214910840375</v>
      </c>
      <c r="R241">
        <f t="shared" si="59"/>
        <v>0.75</v>
      </c>
      <c r="S241">
        <f t="shared" si="60"/>
        <v>1.125</v>
      </c>
      <c r="T241" s="83">
        <f t="shared" si="61"/>
        <v>2</v>
      </c>
      <c r="U241" s="120">
        <f>IF($D241="",0,IFERROR(LOOKUP(2,1/(($D$3:D240=$D241)*($C$3:C240=$C241)*($A$3:A240&lt;$A241)),$AB$3:AB240),1000))</f>
        <v>1032.6016342488008</v>
      </c>
      <c r="V241" s="120">
        <f t="shared" si="62"/>
        <v>1092.2306798751306</v>
      </c>
      <c r="W241">
        <f t="shared" si="63"/>
        <v>1034.665150741549</v>
      </c>
      <c r="X241">
        <f t="shared" si="64"/>
        <v>0.5820936115781451</v>
      </c>
      <c r="Y241">
        <f t="shared" si="65"/>
        <v>965.02366557041569</v>
      </c>
      <c r="Z241">
        <f t="shared" si="66"/>
        <v>0.59604436827319773</v>
      </c>
      <c r="AA241">
        <f>IF($D241="",0,IF($F241&lt;2,0,IF($E241="Win",('Guide &amp; Settings'!$C$42/(($F241-1)*COUNTIFS($A$4:$A$810,$A241,$E$4:$E$810,"Win")))*SUMIFS($Z$4:$Z$810,$A$4:$A$810,$A241,$E$4:$E$810,"Loss"),-('Guide &amp; Settings'!$C$42/($F241-1))*$Z241)))</f>
        <v>-19.073419784742327</v>
      </c>
      <c r="AB241" s="120">
        <f t="shared" si="67"/>
        <v>1013.5282144640585</v>
      </c>
      <c r="AC241" s="120">
        <f>IF($D241="","",IF(SUMPRODUCT(MAX(($D$4:$D$810=$D241)*($B$4:$B$810&lt;$B241)*$B$4:$B$810))=0,0,MAX(($B241-MAX(SUMPRODUCT(MAX(($D$4:$D$810=$D241)*($B$4:$B$810&lt;$B241)*$B$4:$B$810)),'Guide &amp; Settings'!$C$50))/7-'Guide &amp; Settings'!$C$48,0)*'Guide &amp; Settings'!$C$49))</f>
        <v>0</v>
      </c>
    </row>
    <row r="242" spans="1:29" ht="15" customHeight="1" x14ac:dyDescent="0.2">
      <c r="A242" s="111">
        <v>97</v>
      </c>
      <c r="B242" s="112">
        <v>46189</v>
      </c>
      <c r="C242" s="113" t="s">
        <v>185</v>
      </c>
      <c r="D242" s="113" t="s">
        <v>167</v>
      </c>
      <c r="E242" s="111" t="s">
        <v>308</v>
      </c>
      <c r="F242" s="114">
        <f t="shared" si="51"/>
        <v>2</v>
      </c>
      <c r="G242" s="115" t="str">
        <f t="shared" si="52"/>
        <v>Dean B</v>
      </c>
      <c r="H242" s="116">
        <f>IF($D242="",0,IFERROR(LOOKUP(2,1/(($D$3:D241=$D242)*($A$3:A241&lt;$A242)),$N$3:N241),'Guide &amp; Settings'!$C$41))</f>
        <v>1144.8619285174093</v>
      </c>
      <c r="I242" s="117">
        <f t="shared" si="53"/>
        <v>0.42553191489361708</v>
      </c>
      <c r="J242" s="118">
        <f>IF($D242="",0,IF($F242&lt;2,0,IF($E242="Win",('Guide &amp; Settings'!$C$42/(($F242-1)*COUNTIFS($A$4:$A$810,$A242,$E$4:$E$810,"Win")))*SUMIFS($X$4:$X$810,$A$4:$A$810,$A242,$E$4:$E$810,"Loss"),-('Guide &amp; Settings'!$C$42/($F242-1))*$X242)))</f>
        <v>16.455798062058349</v>
      </c>
      <c r="K242" s="118">
        <f>IF($D242="",0,'Guide &amp; Settings'!$C$43*(IF($E242="Win",1,0)-$I242))</f>
        <v>6.8936170212765955</v>
      </c>
      <c r="L242" s="119">
        <f>IF($D242="",0,'Guide &amp; Settings'!$C$44*IF($F242&gt;=3,$F242,0))</f>
        <v>0</v>
      </c>
      <c r="M242" s="118">
        <f t="shared" si="54"/>
        <v>23.349415083334947</v>
      </c>
      <c r="N242" s="116">
        <f t="shared" si="55"/>
        <v>1168.2113436007442</v>
      </c>
      <c r="O242" s="115" t="str">
        <f t="shared" si="56"/>
        <v>OK</v>
      </c>
      <c r="P242">
        <f t="shared" si="57"/>
        <v>1144.8619285174093</v>
      </c>
      <c r="Q242">
        <f t="shared" si="58"/>
        <v>0.5</v>
      </c>
      <c r="R242">
        <f t="shared" si="59"/>
        <v>0.44444444444444442</v>
      </c>
      <c r="S242">
        <f t="shared" si="60"/>
        <v>1.0444444444444443</v>
      </c>
      <c r="T242" s="83">
        <f t="shared" si="61"/>
        <v>7</v>
      </c>
      <c r="U242" s="120">
        <f>IF($D242="",0,IFERROR(LOOKUP(2,1/(($D$3:D241=$D242)*($C$3:C241=$C242)*($A$3:A241&lt;$A242)),$AB$3:AB241),1000))</f>
        <v>984.09708535515801</v>
      </c>
      <c r="V242" s="120">
        <f t="shared" si="62"/>
        <v>1051.0824366727627</v>
      </c>
      <c r="W242">
        <f t="shared" si="63"/>
        <v>1051.0824366727627</v>
      </c>
      <c r="X242">
        <f t="shared" si="64"/>
        <v>0.5</v>
      </c>
      <c r="Y242">
        <f t="shared" si="65"/>
        <v>984.09708535515801</v>
      </c>
      <c r="Z242">
        <f t="shared" si="66"/>
        <v>0.5</v>
      </c>
      <c r="AA242">
        <f>IF($D242="",0,IF($F242&lt;2,0,IF($E242="Win",('Guide &amp; Settings'!$C$42/(($F242-1)*COUNTIFS($A$4:$A$810,$A242,$E$4:$E$810,"Win")))*SUMIFS($Z$4:$Z$810,$A$4:$A$810,$A242,$E$4:$E$810,"Loss"),-('Guide &amp; Settings'!$C$42/($F242-1))*$Z242)))</f>
        <v>17.352120983758638</v>
      </c>
      <c r="AB242" s="120">
        <f t="shared" si="67"/>
        <v>1001.4492063389166</v>
      </c>
      <c r="AC242" s="120">
        <f>IF($D242="","",IF(SUMPRODUCT(MAX(($D$4:$D$810=$D242)*($B$4:$B$810&lt;$B242)*$B$4:$B$810))=0,0,MAX(($B242-MAX(SUMPRODUCT(MAX(($D$4:$D$810=$D242)*($B$4:$B$810&lt;$B242)*$B$4:$B$810)),'Guide &amp; Settings'!$C$50))/7-'Guide &amp; Settings'!$C$48,0)*'Guide &amp; Settings'!$C$49))</f>
        <v>0</v>
      </c>
    </row>
    <row r="243" spans="1:29" ht="15" customHeight="1" x14ac:dyDescent="0.2">
      <c r="A243" s="111">
        <v>97</v>
      </c>
      <c r="B243" s="112">
        <v>46189</v>
      </c>
      <c r="C243" s="113" t="s">
        <v>185</v>
      </c>
      <c r="D243" s="113" t="s">
        <v>170</v>
      </c>
      <c r="E243" s="111" t="s">
        <v>309</v>
      </c>
      <c r="F243" s="114">
        <f t="shared" si="51"/>
        <v>2</v>
      </c>
      <c r="G243" s="115" t="str">
        <f t="shared" si="52"/>
        <v>Dean B</v>
      </c>
      <c r="H243" s="116">
        <f>IF($D243="",0,IFERROR(LOOKUP(2,1/(($D$3:D242=$D243)*($A$3:A242&lt;$A243)),$N$3:N242),'Guide &amp; Settings'!$C$41))</f>
        <v>1089.455302555162</v>
      </c>
      <c r="I243" s="117">
        <f t="shared" si="53"/>
        <v>0.57446808510638303</v>
      </c>
      <c r="J243" s="118">
        <f>IF($D243="",0,IF($F243&lt;2,0,IF($E243="Win",('Guide &amp; Settings'!$C$42/(($F243-1)*COUNTIFS($A$4:$A$810,$A243,$E$4:$E$810,"Win")))*SUMIFS($X$4:$X$810,$A$4:$A$810,$A243,$E$4:$E$810,"Loss"),-('Guide &amp; Settings'!$C$42/($F243-1))*$X243)))</f>
        <v>-16.455798062058349</v>
      </c>
      <c r="K243" s="118">
        <f>IF($D243="",0,'Guide &amp; Settings'!$C$43*(IF($E243="Win",1,0)-$I243))</f>
        <v>-6.8936170212765964</v>
      </c>
      <c r="L243" s="119">
        <f>IF($D243="",0,'Guide &amp; Settings'!$C$44*IF($F243&gt;=3,$F243,0))</f>
        <v>0</v>
      </c>
      <c r="M243" s="118">
        <f t="shared" si="54"/>
        <v>-23.349415083334947</v>
      </c>
      <c r="N243" s="116">
        <f t="shared" si="55"/>
        <v>1066.1058874718271</v>
      </c>
      <c r="O243" s="115" t="str">
        <f t="shared" si="56"/>
        <v>OK</v>
      </c>
      <c r="P243">
        <f t="shared" si="57"/>
        <v>1144.8619285174093</v>
      </c>
      <c r="Q243">
        <f t="shared" si="58"/>
        <v>0.42093259392070081</v>
      </c>
      <c r="R243">
        <f t="shared" si="59"/>
        <v>0.6</v>
      </c>
      <c r="S243">
        <f t="shared" si="60"/>
        <v>1.0444444444444443</v>
      </c>
      <c r="T243" s="83">
        <f t="shared" si="61"/>
        <v>3</v>
      </c>
      <c r="U243" s="120">
        <f>IF($D243="",0,IFERROR(LOOKUP(2,1/(($D$3:D242=$D243)*($C$3:C242=$C243)*($A$3:A242&lt;$A243)),$AB$3:AB242),1000))</f>
        <v>1013.5282144640585</v>
      </c>
      <c r="V243" s="120">
        <f t="shared" si="62"/>
        <v>1060.9826445209983</v>
      </c>
      <c r="W243">
        <f t="shared" si="63"/>
        <v>1051.0824366727627</v>
      </c>
      <c r="X243">
        <f t="shared" si="64"/>
        <v>0.51424368943932341</v>
      </c>
      <c r="Y243">
        <f t="shared" si="65"/>
        <v>984.09708535515801</v>
      </c>
      <c r="Z243">
        <f t="shared" si="66"/>
        <v>0.54225378074245745</v>
      </c>
      <c r="AA243">
        <f>IF($D243="",0,IF($F243&lt;2,0,IF($E243="Win",('Guide &amp; Settings'!$C$42/(($F243-1)*COUNTIFS($A$4:$A$810,$A243,$E$4:$E$810,"Win")))*SUMIFS($Z$4:$Z$810,$A$4:$A$810,$A243,$E$4:$E$810,"Loss"),-('Guide &amp; Settings'!$C$42/($F243-1))*$Z243)))</f>
        <v>-17.352120983758638</v>
      </c>
      <c r="AB243" s="120">
        <f t="shared" si="67"/>
        <v>996.17609348029987</v>
      </c>
      <c r="AC243" s="120">
        <f>IF($D243="","",IF(SUMPRODUCT(MAX(($D$4:$D$810=$D243)*($B$4:$B$810&lt;$B243)*$B$4:$B$810))=0,0,MAX(($B243-MAX(SUMPRODUCT(MAX(($D$4:$D$810=$D243)*($B$4:$B$810&lt;$B243)*$B$4:$B$810)),'Guide &amp; Settings'!$C$50))/7-'Guide &amp; Settings'!$C$48,0)*'Guide &amp; Settings'!$C$49))</f>
        <v>0</v>
      </c>
    </row>
    <row r="244" spans="1:29" ht="15" customHeight="1" x14ac:dyDescent="0.2">
      <c r="A244" s="111">
        <v>98</v>
      </c>
      <c r="B244" s="112">
        <v>46190</v>
      </c>
      <c r="C244" s="113" t="s">
        <v>181</v>
      </c>
      <c r="D244" s="113" t="s">
        <v>134</v>
      </c>
      <c r="E244" s="111" t="s">
        <v>308</v>
      </c>
      <c r="F244" s="114">
        <f t="shared" si="51"/>
        <v>2</v>
      </c>
      <c r="G244" s="115" t="str">
        <f t="shared" si="52"/>
        <v>Shawn</v>
      </c>
      <c r="H244" s="116">
        <f>IF($D244="",0,IFERROR(LOOKUP(2,1/(($D$3:D243=$D244)*($A$3:A243&lt;$A244)),$N$3:N243),'Guide &amp; Settings'!$C$41))</f>
        <v>1009.6941424050542</v>
      </c>
      <c r="I244" s="117">
        <f t="shared" si="53"/>
        <v>0.5</v>
      </c>
      <c r="J244" s="118">
        <f>IF($D244="",0,IF($F244&lt;2,0,IF($E244="Win",('Guide &amp; Settings'!$C$42/(($F244-1)*COUNTIFS($A$4:$A$810,$A244,$E$4:$E$810,"Win")))*SUMIFS($X$4:$X$810,$A$4:$A$810,$A244,$E$4:$E$810,"Loss"),-('Guide &amp; Settings'!$C$42/($F244-1))*$X244)))</f>
        <v>18.575266185041961</v>
      </c>
      <c r="K244" s="118">
        <f>IF($D244="",0,'Guide &amp; Settings'!$C$43*(IF($E244="Win",1,0)-$I244))</f>
        <v>6</v>
      </c>
      <c r="L244" s="119">
        <f>IF($D244="",0,'Guide &amp; Settings'!$C$44*IF($F244&gt;=3,$F244,0))</f>
        <v>0</v>
      </c>
      <c r="M244" s="118">
        <f t="shared" si="54"/>
        <v>24.575266185041961</v>
      </c>
      <c r="N244" s="116">
        <f t="shared" si="55"/>
        <v>1034.2694085900962</v>
      </c>
      <c r="O244" s="115" t="str">
        <f t="shared" si="56"/>
        <v>OK</v>
      </c>
      <c r="P244">
        <f t="shared" si="57"/>
        <v>1009.6941424050542</v>
      </c>
      <c r="Q244">
        <f t="shared" si="58"/>
        <v>0.5</v>
      </c>
      <c r="R244">
        <f t="shared" si="59"/>
        <v>0.5</v>
      </c>
      <c r="S244">
        <f t="shared" si="60"/>
        <v>1</v>
      </c>
      <c r="T244" s="83">
        <f t="shared" si="61"/>
        <v>0</v>
      </c>
      <c r="U244" s="120">
        <f>IF($D244="",0,IFERROR(LOOKUP(2,1/(($D$3:D243=$D244)*($C$3:C243=$C244)*($A$3:A243&lt;$A244)),$AB$3:AB243),1000))</f>
        <v>1000</v>
      </c>
      <c r="V244" s="120">
        <f t="shared" si="62"/>
        <v>1009.6941424050542</v>
      </c>
      <c r="W244">
        <f t="shared" si="63"/>
        <v>1009.6941424050542</v>
      </c>
      <c r="X244">
        <f t="shared" si="64"/>
        <v>0.5</v>
      </c>
      <c r="Y244">
        <f t="shared" si="65"/>
        <v>1000</v>
      </c>
      <c r="Z244">
        <f t="shared" si="66"/>
        <v>0.5</v>
      </c>
      <c r="AA244">
        <f>IF($D244="",0,IF($F244&lt;2,0,IF($E244="Win",('Guide &amp; Settings'!$C$42/(($F244-1)*COUNTIFS($A$4:$A$810,$A244,$E$4:$E$810,"Win")))*SUMIFS($Z$4:$Z$810,$A$4:$A$810,$A244,$E$4:$E$810,"Loss"),-('Guide &amp; Settings'!$C$42/($F244-1))*$Z244)))</f>
        <v>16</v>
      </c>
      <c r="AB244" s="120">
        <f t="shared" si="67"/>
        <v>1016</v>
      </c>
      <c r="AC244" s="120">
        <f>IF($D244="","",IF(SUMPRODUCT(MAX(($D$4:$D$810=$D244)*($B$4:$B$810&lt;$B244)*$B$4:$B$810))=0,0,MAX(($B244-MAX(SUMPRODUCT(MAX(($D$4:$D$810=$D244)*($B$4:$B$810&lt;$B244)*$B$4:$B$810)),'Guide &amp; Settings'!$C$50))/7-'Guide &amp; Settings'!$C$48,0)*'Guide &amp; Settings'!$C$49))</f>
        <v>0</v>
      </c>
    </row>
    <row r="245" spans="1:29" ht="15" customHeight="1" x14ac:dyDescent="0.2">
      <c r="A245" s="111">
        <v>98</v>
      </c>
      <c r="B245" s="112">
        <v>46190</v>
      </c>
      <c r="C245" s="113" t="s">
        <v>181</v>
      </c>
      <c r="D245" s="113" t="s">
        <v>170</v>
      </c>
      <c r="E245" s="111" t="s">
        <v>309</v>
      </c>
      <c r="F245" s="114">
        <f t="shared" si="51"/>
        <v>2</v>
      </c>
      <c r="G245" s="115" t="str">
        <f t="shared" si="52"/>
        <v>Shawn</v>
      </c>
      <c r="H245" s="116">
        <f>IF($D245="",0,IFERROR(LOOKUP(2,1/(($D$3:D244=$D245)*($A$3:A244&lt;$A245)),$N$3:N244),'Guide &amp; Settings'!$C$41))</f>
        <v>1066.1058874718271</v>
      </c>
      <c r="I245" s="117">
        <f t="shared" si="53"/>
        <v>0.5</v>
      </c>
      <c r="J245" s="118">
        <f>IF($D245="",0,IF($F245&lt;2,0,IF($E245="Win",('Guide &amp; Settings'!$C$42/(($F245-1)*COUNTIFS($A$4:$A$810,$A245,$E$4:$E$810,"Win")))*SUMIFS($X$4:$X$810,$A$4:$A$810,$A245,$E$4:$E$810,"Loss"),-('Guide &amp; Settings'!$C$42/($F245-1))*$X245)))</f>
        <v>-18.575266185041961</v>
      </c>
      <c r="K245" s="118">
        <f>IF($D245="",0,'Guide &amp; Settings'!$C$43*(IF($E245="Win",1,0)-$I245))</f>
        <v>-6</v>
      </c>
      <c r="L245" s="119">
        <f>IF($D245="",0,'Guide &amp; Settings'!$C$44*IF($F245&gt;=3,$F245,0))</f>
        <v>0</v>
      </c>
      <c r="M245" s="118">
        <f t="shared" si="54"/>
        <v>-24.575266185041961</v>
      </c>
      <c r="N245" s="116">
        <f t="shared" si="55"/>
        <v>1041.5306212867852</v>
      </c>
      <c r="O245" s="115" t="str">
        <f t="shared" si="56"/>
        <v>OK</v>
      </c>
      <c r="P245">
        <f t="shared" si="57"/>
        <v>1009.6941424050542</v>
      </c>
      <c r="Q245">
        <f t="shared" si="58"/>
        <v>0.58047706828256129</v>
      </c>
      <c r="R245">
        <f t="shared" si="59"/>
        <v>0.5</v>
      </c>
      <c r="S245">
        <f t="shared" si="60"/>
        <v>1</v>
      </c>
      <c r="T245" s="83">
        <f t="shared" si="61"/>
        <v>0</v>
      </c>
      <c r="U245" s="120">
        <f>IF($D245="",0,IFERROR(LOOKUP(2,1/(($D$3:D244=$D245)*($C$3:C244=$C245)*($A$3:A244&lt;$A245)),$AB$3:AB244),1000))</f>
        <v>1000</v>
      </c>
      <c r="V245" s="120">
        <f t="shared" si="62"/>
        <v>1066.1058874718271</v>
      </c>
      <c r="W245">
        <f t="shared" si="63"/>
        <v>1009.6941424050542</v>
      </c>
      <c r="X245">
        <f t="shared" si="64"/>
        <v>0.58047706828256129</v>
      </c>
      <c r="Y245">
        <f t="shared" si="65"/>
        <v>1000</v>
      </c>
      <c r="Z245">
        <f t="shared" si="66"/>
        <v>0.5</v>
      </c>
      <c r="AA245">
        <f>IF($D245="",0,IF($F245&lt;2,0,IF($E245="Win",('Guide &amp; Settings'!$C$42/(($F245-1)*COUNTIFS($A$4:$A$810,$A245,$E$4:$E$810,"Win")))*SUMIFS($Z$4:$Z$810,$A$4:$A$810,$A245,$E$4:$E$810,"Loss"),-('Guide &amp; Settings'!$C$42/($F245-1))*$Z245)))</f>
        <v>-16</v>
      </c>
      <c r="AB245" s="120">
        <f t="shared" si="67"/>
        <v>984</v>
      </c>
      <c r="AC245" s="120">
        <f>IF($D245="","",IF(SUMPRODUCT(MAX(($D$4:$D$810=$D245)*($B$4:$B$810&lt;$B245)*$B$4:$B$810))=0,0,MAX(($B245-MAX(SUMPRODUCT(MAX(($D$4:$D$810=$D245)*($B$4:$B$810&lt;$B245)*$B$4:$B$810)),'Guide &amp; Settings'!$C$50))/7-'Guide &amp; Settings'!$C$48,0)*'Guide &amp; Settings'!$C$49))</f>
        <v>0</v>
      </c>
    </row>
    <row r="246" spans="1:29" ht="15" customHeight="1" x14ac:dyDescent="0.2">
      <c r="A246" s="111">
        <v>99</v>
      </c>
      <c r="B246" s="112">
        <v>46199</v>
      </c>
      <c r="C246" s="113" t="s">
        <v>208</v>
      </c>
      <c r="D246" s="113" t="s">
        <v>170</v>
      </c>
      <c r="E246" s="111" t="s">
        <v>308</v>
      </c>
      <c r="F246" s="114">
        <f t="shared" si="51"/>
        <v>2</v>
      </c>
      <c r="G246" s="115" t="str">
        <f t="shared" si="52"/>
        <v>Daniel (Ferret)</v>
      </c>
      <c r="H246" s="116">
        <f>IF($D246="",0,IFERROR(LOOKUP(2,1/(($D$3:D245=$D246)*($A$3:A245&lt;$A246)),$N$3:N245),'Guide &amp; Settings'!$C$41))</f>
        <v>1041.5306212867852</v>
      </c>
      <c r="I246" s="117">
        <f t="shared" si="53"/>
        <v>0.5</v>
      </c>
      <c r="J246" s="118">
        <f>IF($D246="",0,IF($F246&lt;2,0,IF($E246="Win",('Guide &amp; Settings'!$C$42/(($F246-1)*COUNTIFS($A$4:$A$810,$A246,$E$4:$E$810,"Win")))*SUMIFS($X$4:$X$810,$A$4:$A$810,$A246,$E$4:$E$810,"Loss"),-('Guide &amp; Settings'!$C$42/($F246-1))*$X246)))</f>
        <v>21.174410514250127</v>
      </c>
      <c r="K246" s="118">
        <f>IF($D246="",0,'Guide &amp; Settings'!$C$43*(IF($E246="Win",1,0)-$I246))</f>
        <v>6</v>
      </c>
      <c r="L246" s="119">
        <f>IF($D246="",0,'Guide &amp; Settings'!$C$44*IF($F246&gt;=3,$F246,0))</f>
        <v>0</v>
      </c>
      <c r="M246" s="118">
        <f t="shared" si="54"/>
        <v>27.174410514250127</v>
      </c>
      <c r="N246" s="116">
        <f t="shared" si="55"/>
        <v>1068.7050318010354</v>
      </c>
      <c r="O246" s="115" t="str">
        <f t="shared" si="56"/>
        <v>OK</v>
      </c>
      <c r="P246">
        <f t="shared" si="57"/>
        <v>1041.5306212867852</v>
      </c>
      <c r="Q246">
        <f t="shared" si="58"/>
        <v>0.5</v>
      </c>
      <c r="R246">
        <f t="shared" si="59"/>
        <v>0.5</v>
      </c>
      <c r="S246">
        <f t="shared" si="60"/>
        <v>1</v>
      </c>
      <c r="T246" s="83">
        <f t="shared" si="61"/>
        <v>0</v>
      </c>
      <c r="U246" s="120">
        <f>IF($D246="",0,IFERROR(LOOKUP(2,1/(($D$3:D245=$D246)*($C$3:C245=$C246)*($A$3:A245&lt;$A246)),$AB$3:AB245),1000))</f>
        <v>1000</v>
      </c>
      <c r="V246" s="120">
        <f t="shared" si="62"/>
        <v>1041.5306212867852</v>
      </c>
      <c r="W246">
        <f t="shared" si="63"/>
        <v>1041.5306212867852</v>
      </c>
      <c r="X246">
        <f t="shared" si="64"/>
        <v>0.5</v>
      </c>
      <c r="Y246">
        <f t="shared" si="65"/>
        <v>1000</v>
      </c>
      <c r="Z246">
        <f t="shared" si="66"/>
        <v>0.5</v>
      </c>
      <c r="AA246">
        <f>IF($D246="",0,IF($F246&lt;2,0,IF($E246="Win",('Guide &amp; Settings'!$C$42/(($F246-1)*COUNTIFS($A$4:$A$810,$A246,$E$4:$E$810,"Win")))*SUMIFS($Z$4:$Z$810,$A$4:$A$810,$A246,$E$4:$E$810,"Loss"),-('Guide &amp; Settings'!$C$42/($F246-1))*$Z246)))</f>
        <v>16</v>
      </c>
      <c r="AB246" s="120">
        <f t="shared" si="67"/>
        <v>1016</v>
      </c>
      <c r="AC246" s="120">
        <f>IF($D246="","",IF(SUMPRODUCT(MAX(($D$4:$D$810=$D246)*($B$4:$B$810&lt;$B246)*$B$4:$B$810))=0,0,MAX(($B246-MAX(SUMPRODUCT(MAX(($D$4:$D$810=$D246)*($B$4:$B$810&lt;$B246)*$B$4:$B$810)),'Guide &amp; Settings'!$C$50))/7-'Guide &amp; Settings'!$C$48,0)*'Guide &amp; Settings'!$C$49))</f>
        <v>0</v>
      </c>
    </row>
    <row r="247" spans="1:29" ht="15" customHeight="1" x14ac:dyDescent="0.2">
      <c r="A247" s="111">
        <v>99</v>
      </c>
      <c r="B247" s="112">
        <v>46199</v>
      </c>
      <c r="C247" s="113" t="s">
        <v>208</v>
      </c>
      <c r="D247" s="113" t="s">
        <v>137</v>
      </c>
      <c r="E247" s="111" t="s">
        <v>309</v>
      </c>
      <c r="F247" s="114">
        <f t="shared" si="51"/>
        <v>2</v>
      </c>
      <c r="G247" s="115" t="str">
        <f t="shared" si="52"/>
        <v>Daniel (Ferret)</v>
      </c>
      <c r="H247" s="116">
        <f>IF($D247="",0,IFERROR(LOOKUP(2,1/(($D$3:D246=$D247)*($A$3:A246&lt;$A247)),$N$3:N246),'Guide &amp; Settings'!$C$41))</f>
        <v>1158.0745310110758</v>
      </c>
      <c r="I247" s="117">
        <f t="shared" si="53"/>
        <v>0.5</v>
      </c>
      <c r="J247" s="118">
        <f>IF($D247="",0,IF($F247&lt;2,0,IF($E247="Win",('Guide &amp; Settings'!$C$42/(($F247-1)*COUNTIFS($A$4:$A$810,$A247,$E$4:$E$810,"Win")))*SUMIFS($X$4:$X$810,$A$4:$A$810,$A247,$E$4:$E$810,"Loss"),-('Guide &amp; Settings'!$C$42/($F247-1))*$X247)))</f>
        <v>-21.174410514250127</v>
      </c>
      <c r="K247" s="118">
        <f>IF($D247="",0,'Guide &amp; Settings'!$C$43*(IF($E247="Win",1,0)-$I247))</f>
        <v>-6</v>
      </c>
      <c r="L247" s="119">
        <f>IF($D247="",0,'Guide &amp; Settings'!$C$44*IF($F247&gt;=3,$F247,0))</f>
        <v>0</v>
      </c>
      <c r="M247" s="118">
        <f t="shared" si="54"/>
        <v>-27.174410514250127</v>
      </c>
      <c r="N247" s="116">
        <f t="shared" si="55"/>
        <v>1130.9001204968256</v>
      </c>
      <c r="O247" s="115" t="str">
        <f t="shared" si="56"/>
        <v>OK</v>
      </c>
      <c r="P247">
        <f t="shared" si="57"/>
        <v>1041.5306212867852</v>
      </c>
      <c r="Q247">
        <f t="shared" si="58"/>
        <v>0.66170032857031647</v>
      </c>
      <c r="R247">
        <f t="shared" si="59"/>
        <v>0.5</v>
      </c>
      <c r="S247">
        <f t="shared" si="60"/>
        <v>1</v>
      </c>
      <c r="T247" s="83">
        <f t="shared" si="61"/>
        <v>0</v>
      </c>
      <c r="U247" s="120">
        <f>IF($D247="",0,IFERROR(LOOKUP(2,1/(($D$3:D246=$D247)*($C$3:C246=$C247)*($A$3:A246&lt;$A247)),$AB$3:AB246),1000))</f>
        <v>1000</v>
      </c>
      <c r="V247" s="120">
        <f t="shared" si="62"/>
        <v>1158.0745310110758</v>
      </c>
      <c r="W247">
        <f t="shared" si="63"/>
        <v>1041.5306212867852</v>
      </c>
      <c r="X247">
        <f t="shared" si="64"/>
        <v>0.66170032857031647</v>
      </c>
      <c r="Y247">
        <f t="shared" si="65"/>
        <v>1000</v>
      </c>
      <c r="Z247">
        <f t="shared" si="66"/>
        <v>0.5</v>
      </c>
      <c r="AA247">
        <f>IF($D247="",0,IF($F247&lt;2,0,IF($E247="Win",('Guide &amp; Settings'!$C$42/(($F247-1)*COUNTIFS($A$4:$A$810,$A247,$E$4:$E$810,"Win")))*SUMIFS($Z$4:$Z$810,$A$4:$A$810,$A247,$E$4:$E$810,"Loss"),-('Guide &amp; Settings'!$C$42/($F247-1))*$Z247)))</f>
        <v>-16</v>
      </c>
      <c r="AB247" s="120">
        <f t="shared" si="67"/>
        <v>984</v>
      </c>
      <c r="AC247" s="120">
        <f>IF($D247="","",IF(SUMPRODUCT(MAX(($D$4:$D$810=$D247)*($B$4:$B$810&lt;$B247)*$B$4:$B$810))=0,0,MAX(($B247-MAX(SUMPRODUCT(MAX(($D$4:$D$810=$D247)*($B$4:$B$810&lt;$B247)*$B$4:$B$810)),'Guide &amp; Settings'!$C$50))/7-'Guide &amp; Settings'!$C$48,0)*'Guide &amp; Settings'!$C$49))</f>
        <v>0</v>
      </c>
    </row>
    <row r="248" spans="1:29" ht="15" customHeight="1" x14ac:dyDescent="0.2">
      <c r="A248" s="111">
        <v>100</v>
      </c>
      <c r="B248" s="112">
        <v>46199</v>
      </c>
      <c r="C248" s="113" t="s">
        <v>208</v>
      </c>
      <c r="D248" s="113" t="s">
        <v>170</v>
      </c>
      <c r="E248" s="111" t="s">
        <v>308</v>
      </c>
      <c r="F248" s="114">
        <f t="shared" si="51"/>
        <v>2</v>
      </c>
      <c r="G248" s="115" t="str">
        <f t="shared" si="52"/>
        <v>Daniel (Ferret)</v>
      </c>
      <c r="H248" s="116">
        <f>IF($D248="",0,IFERROR(LOOKUP(2,1/(($D$3:D247=$D248)*($A$3:A247&lt;$A248)),$N$3:N247),'Guide &amp; Settings'!$C$41))</f>
        <v>1068.7050318010354</v>
      </c>
      <c r="I248" s="117">
        <f t="shared" si="53"/>
        <v>0.66666666666666663</v>
      </c>
      <c r="J248" s="118">
        <f>IF($D248="",0,IF($F248&lt;2,0,IF($E248="Win",('Guide &amp; Settings'!$C$42/(($F248-1)*COUNTIFS($A$4:$A$810,$A248,$E$4:$E$810,"Win")))*SUMIFS($X$4:$X$810,$A$4:$A$810,$A248,$E$4:$E$810,"Loss"),-('Guide &amp; Settings'!$C$42/($F248-1))*$X248)))</f>
        <v>18.12852394688333</v>
      </c>
      <c r="K248" s="118">
        <f>IF($D248="",0,'Guide &amp; Settings'!$C$43*(IF($E248="Win",1,0)-$I248))</f>
        <v>4</v>
      </c>
      <c r="L248" s="119">
        <f>IF($D248="",0,'Guide &amp; Settings'!$C$44*IF($F248&gt;=3,$F248,0))</f>
        <v>0</v>
      </c>
      <c r="M248" s="118">
        <f t="shared" si="54"/>
        <v>22.12852394688333</v>
      </c>
      <c r="N248" s="116">
        <f t="shared" si="55"/>
        <v>1090.8335557479188</v>
      </c>
      <c r="O248" s="115" t="str">
        <f t="shared" si="56"/>
        <v>OK</v>
      </c>
      <c r="P248">
        <f t="shared" si="57"/>
        <v>1068.7050318010354</v>
      </c>
      <c r="Q248">
        <f t="shared" si="58"/>
        <v>0.5</v>
      </c>
      <c r="R248">
        <f t="shared" si="59"/>
        <v>0.66666666666666663</v>
      </c>
      <c r="S248">
        <f t="shared" si="60"/>
        <v>1</v>
      </c>
      <c r="T248" s="83">
        <f t="shared" si="61"/>
        <v>1</v>
      </c>
      <c r="U248" s="120">
        <f>IF($D248="",0,IFERROR(LOOKUP(2,1/(($D$3:D247=$D248)*($C$3:C247=$C248)*($A$3:A247&lt;$A248)),$AB$3:AB247),1000))</f>
        <v>1016</v>
      </c>
      <c r="V248" s="120">
        <f t="shared" si="62"/>
        <v>1059.9208598341961</v>
      </c>
      <c r="W248">
        <f t="shared" si="63"/>
        <v>1059.9208598341961</v>
      </c>
      <c r="X248">
        <f t="shared" si="64"/>
        <v>0.5</v>
      </c>
      <c r="Y248">
        <f t="shared" si="65"/>
        <v>1016</v>
      </c>
      <c r="Z248">
        <f t="shared" si="66"/>
        <v>0.5</v>
      </c>
      <c r="AA248">
        <f>IF($D248="",0,IF($F248&lt;2,0,IF($E248="Win",('Guide &amp; Settings'!$C$42/(($F248-1)*COUNTIFS($A$4:$A$810,$A248,$E$4:$E$810,"Win")))*SUMIFS($Z$4:$Z$810,$A$4:$A$810,$A248,$E$4:$E$810,"Loss"),-('Guide &amp; Settings'!$C$42/($F248-1))*$Z248)))</f>
        <v>14.530498471024522</v>
      </c>
      <c r="AB248" s="120">
        <f t="shared" si="67"/>
        <v>1030.5304984710244</v>
      </c>
      <c r="AC248" s="120">
        <f>IF($D248="","",IF(SUMPRODUCT(MAX(($D$4:$D$810=$D248)*($B$4:$B$810&lt;$B248)*$B$4:$B$810))=0,0,MAX(($B248-MAX(SUMPRODUCT(MAX(($D$4:$D$810=$D248)*($B$4:$B$810&lt;$B248)*$B$4:$B$810)),'Guide &amp; Settings'!$C$50))/7-'Guide &amp; Settings'!$C$48,0)*'Guide &amp; Settings'!$C$49))</f>
        <v>0</v>
      </c>
    </row>
    <row r="249" spans="1:29" ht="15" customHeight="1" x14ac:dyDescent="0.2">
      <c r="A249" s="111">
        <v>100</v>
      </c>
      <c r="B249" s="112">
        <v>46199</v>
      </c>
      <c r="C249" s="113" t="s">
        <v>208</v>
      </c>
      <c r="D249" s="113" t="s">
        <v>137</v>
      </c>
      <c r="E249" s="111" t="s">
        <v>309</v>
      </c>
      <c r="F249" s="114">
        <f t="shared" si="51"/>
        <v>2</v>
      </c>
      <c r="G249" s="115" t="str">
        <f t="shared" si="52"/>
        <v>Daniel (Ferret)</v>
      </c>
      <c r="H249" s="116">
        <f>IF($D249="",0,IFERROR(LOOKUP(2,1/(($D$3:D248=$D249)*($A$3:A248&lt;$A249)),$N$3:N248),'Guide &amp; Settings'!$C$41))</f>
        <v>1130.9001204968256</v>
      </c>
      <c r="I249" s="117">
        <f t="shared" si="53"/>
        <v>0.33333333333333331</v>
      </c>
      <c r="J249" s="118">
        <f>IF($D249="",0,IF($F249&lt;2,0,IF($E249="Win",('Guide &amp; Settings'!$C$42/(($F249-1)*COUNTIFS($A$4:$A$810,$A249,$E$4:$E$810,"Win")))*SUMIFS($X$4:$X$810,$A$4:$A$810,$A249,$E$4:$E$810,"Loss"),-('Guide &amp; Settings'!$C$42/($F249-1))*$X249)))</f>
        <v>-18.12852394688333</v>
      </c>
      <c r="K249" s="118">
        <f>IF($D249="",0,'Guide &amp; Settings'!$C$43*(IF($E249="Win",1,0)-$I249))</f>
        <v>-4</v>
      </c>
      <c r="L249" s="119">
        <f>IF($D249="",0,'Guide &amp; Settings'!$C$44*IF($F249&gt;=3,$F249,0))</f>
        <v>0</v>
      </c>
      <c r="M249" s="118">
        <f t="shared" si="54"/>
        <v>-22.12852394688333</v>
      </c>
      <c r="N249" s="116">
        <f t="shared" si="55"/>
        <v>1108.7715965499422</v>
      </c>
      <c r="O249" s="115" t="str">
        <f t="shared" si="56"/>
        <v>OK</v>
      </c>
      <c r="P249">
        <f t="shared" si="57"/>
        <v>1068.7050318010354</v>
      </c>
      <c r="Q249">
        <f t="shared" si="58"/>
        <v>0.58856194598867784</v>
      </c>
      <c r="R249">
        <f t="shared" si="59"/>
        <v>0.33333333333333331</v>
      </c>
      <c r="S249">
        <f t="shared" si="60"/>
        <v>1</v>
      </c>
      <c r="T249" s="83">
        <f t="shared" si="61"/>
        <v>1</v>
      </c>
      <c r="U249" s="120">
        <f>IF($D249="",0,IFERROR(LOOKUP(2,1/(($D$3:D248=$D249)*($C$3:C248=$C249)*($A$3:A248&lt;$A249)),$AB$3:AB248),1000))</f>
        <v>984</v>
      </c>
      <c r="V249" s="120">
        <f t="shared" si="62"/>
        <v>1106.416767080688</v>
      </c>
      <c r="W249">
        <f t="shared" si="63"/>
        <v>1059.9208598341961</v>
      </c>
      <c r="X249">
        <f t="shared" si="64"/>
        <v>0.56651637334010407</v>
      </c>
      <c r="Y249">
        <f t="shared" si="65"/>
        <v>1016</v>
      </c>
      <c r="Z249">
        <f t="shared" si="66"/>
        <v>0.45407807721951632</v>
      </c>
      <c r="AA249">
        <f>IF($D249="",0,IF($F249&lt;2,0,IF($E249="Win",('Guide &amp; Settings'!$C$42/(($F249-1)*COUNTIFS($A$4:$A$810,$A249,$E$4:$E$810,"Win")))*SUMIFS($Z$4:$Z$810,$A$4:$A$810,$A249,$E$4:$E$810,"Loss"),-('Guide &amp; Settings'!$C$42/($F249-1))*$Z249)))</f>
        <v>-14.530498471024522</v>
      </c>
      <c r="AB249" s="120">
        <f t="shared" si="67"/>
        <v>969.46950152897546</v>
      </c>
      <c r="AC249" s="120">
        <f>IF($D249="","",IF(SUMPRODUCT(MAX(($D$4:$D$810=$D249)*($B$4:$B$810&lt;$B249)*$B$4:$B$810))=0,0,MAX(($B249-MAX(SUMPRODUCT(MAX(($D$4:$D$810=$D249)*($B$4:$B$810&lt;$B249)*$B$4:$B$810)),'Guide &amp; Settings'!$C$50))/7-'Guide &amp; Settings'!$C$48,0)*'Guide &amp; Settings'!$C$49))</f>
        <v>0</v>
      </c>
    </row>
    <row r="250" spans="1:29" ht="15" customHeight="1" x14ac:dyDescent="0.2">
      <c r="A250" s="111">
        <v>101</v>
      </c>
      <c r="B250" s="112">
        <v>46199</v>
      </c>
      <c r="C250" s="113" t="s">
        <v>208</v>
      </c>
      <c r="D250" s="113" t="s">
        <v>137</v>
      </c>
      <c r="E250" s="111" t="s">
        <v>308</v>
      </c>
      <c r="F250" s="114">
        <f t="shared" si="51"/>
        <v>2</v>
      </c>
      <c r="G250" s="115" t="str">
        <f t="shared" si="52"/>
        <v>Josh</v>
      </c>
      <c r="H250" s="116">
        <f>IF($D250="",0,IFERROR(LOOKUP(2,1/(($D$3:D249=$D250)*($A$3:A249&lt;$A250)),$N$3:N249),'Guide &amp; Settings'!$C$41))</f>
        <v>1108.7715965499422</v>
      </c>
      <c r="I250" s="117">
        <f t="shared" si="53"/>
        <v>0.25</v>
      </c>
      <c r="J250" s="118">
        <f>IF($D250="",0,IF($F250&lt;2,0,IF($E250="Win",('Guide &amp; Settings'!$C$42/(($F250-1)*COUNTIFS($A$4:$A$810,$A250,$E$4:$E$810,"Win")))*SUMIFS($X$4:$X$810,$A$4:$A$810,$A250,$E$4:$E$810,"Loss"),-('Guide &amp; Settings'!$C$42/($F250-1))*$X250)))</f>
        <v>16.213350084848507</v>
      </c>
      <c r="K250" s="118">
        <f>IF($D250="",0,'Guide &amp; Settings'!$C$43*(IF($E250="Win",1,0)-$I250))</f>
        <v>9</v>
      </c>
      <c r="L250" s="119">
        <f>IF($D250="",0,'Guide &amp; Settings'!$C$44*IF($F250&gt;=3,$F250,0))</f>
        <v>0</v>
      </c>
      <c r="M250" s="118">
        <f t="shared" si="54"/>
        <v>25.213350084848507</v>
      </c>
      <c r="N250" s="116">
        <f t="shared" si="55"/>
        <v>1133.9849466347907</v>
      </c>
      <c r="O250" s="115" t="str">
        <f t="shared" si="56"/>
        <v>OK</v>
      </c>
      <c r="P250">
        <f t="shared" si="57"/>
        <v>1108.7715965499422</v>
      </c>
      <c r="Q250">
        <f t="shared" si="58"/>
        <v>0.5</v>
      </c>
      <c r="R250">
        <f t="shared" si="59"/>
        <v>0.25</v>
      </c>
      <c r="S250">
        <f t="shared" si="60"/>
        <v>1</v>
      </c>
      <c r="T250" s="83">
        <f t="shared" si="61"/>
        <v>2</v>
      </c>
      <c r="U250" s="120">
        <f>IF($D250="",0,IFERROR(LOOKUP(2,1/(($D$3:D249=$D250)*($C$3:C249=$C250)*($A$3:A249&lt;$A250)),$AB$3:AB249),1000))</f>
        <v>969.46950152897546</v>
      </c>
      <c r="V250" s="120">
        <f t="shared" si="62"/>
        <v>1068.970997972523</v>
      </c>
      <c r="W250">
        <f t="shared" si="63"/>
        <v>1068.970997972523</v>
      </c>
      <c r="X250">
        <f t="shared" si="64"/>
        <v>0.5</v>
      </c>
      <c r="Y250">
        <f t="shared" si="65"/>
        <v>969.46950152897546</v>
      </c>
      <c r="Z250">
        <f t="shared" si="66"/>
        <v>0.5</v>
      </c>
      <c r="AA250">
        <f>IF($D250="",0,IF($F250&lt;2,0,IF($E250="Win",('Guide &amp; Settings'!$C$42/(($F250-1)*COUNTIFS($A$4:$A$810,$A250,$E$4:$E$810,"Win")))*SUMIFS($Z$4:$Z$810,$A$4:$A$810,$A250,$E$4:$E$810,"Loss"),-('Guide &amp; Settings'!$C$42/($F250-1))*$Z250)))</f>
        <v>18.783364837413572</v>
      </c>
      <c r="AB250" s="120">
        <f t="shared" si="67"/>
        <v>988.25286636638907</v>
      </c>
      <c r="AC250" s="120">
        <f>IF($D250="","",IF(SUMPRODUCT(MAX(($D$4:$D$810=$D250)*($B$4:$B$810&lt;$B250)*$B$4:$B$810))=0,0,MAX(($B250-MAX(SUMPRODUCT(MAX(($D$4:$D$810=$D250)*($B$4:$B$810&lt;$B250)*$B$4:$B$810)),'Guide &amp; Settings'!$C$50))/7-'Guide &amp; Settings'!$C$48,0)*'Guide &amp; Settings'!$C$49))</f>
        <v>0</v>
      </c>
    </row>
    <row r="251" spans="1:29" ht="15" customHeight="1" x14ac:dyDescent="0.2">
      <c r="A251" s="111">
        <v>101</v>
      </c>
      <c r="B251" s="112">
        <v>46199</v>
      </c>
      <c r="C251" s="113" t="s">
        <v>208</v>
      </c>
      <c r="D251" s="113" t="s">
        <v>170</v>
      </c>
      <c r="E251" s="111" t="s">
        <v>309</v>
      </c>
      <c r="F251" s="114">
        <f t="shared" si="51"/>
        <v>2</v>
      </c>
      <c r="G251" s="115" t="str">
        <f t="shared" si="52"/>
        <v>Josh</v>
      </c>
      <c r="H251" s="116">
        <f>IF($D251="",0,IFERROR(LOOKUP(2,1/(($D$3:D250=$D251)*($A$3:A250&lt;$A251)),$N$3:N250),'Guide &amp; Settings'!$C$41))</f>
        <v>1090.8335557479188</v>
      </c>
      <c r="I251" s="117">
        <f t="shared" si="53"/>
        <v>0.75</v>
      </c>
      <c r="J251" s="118">
        <f>IF($D251="",0,IF($F251&lt;2,0,IF($E251="Win",('Guide &amp; Settings'!$C$42/(($F251-1)*COUNTIFS($A$4:$A$810,$A251,$E$4:$E$810,"Win")))*SUMIFS($X$4:$X$810,$A$4:$A$810,$A251,$E$4:$E$810,"Loss"),-('Guide &amp; Settings'!$C$42/($F251-1))*$X251)))</f>
        <v>-16.213350084848507</v>
      </c>
      <c r="K251" s="118">
        <f>IF($D251="",0,'Guide &amp; Settings'!$C$43*(IF($E251="Win",1,0)-$I251))</f>
        <v>-9</v>
      </c>
      <c r="L251" s="119">
        <f>IF($D251="",0,'Guide &amp; Settings'!$C$44*IF($F251&gt;=3,$F251,0))</f>
        <v>0</v>
      </c>
      <c r="M251" s="118">
        <f t="shared" si="54"/>
        <v>-25.213350084848507</v>
      </c>
      <c r="N251" s="116">
        <f t="shared" si="55"/>
        <v>1065.6202056630702</v>
      </c>
      <c r="O251" s="115" t="str">
        <f t="shared" si="56"/>
        <v>OK</v>
      </c>
      <c r="P251">
        <f t="shared" si="57"/>
        <v>1108.7715965499422</v>
      </c>
      <c r="Q251">
        <f t="shared" si="58"/>
        <v>0.47420799747947673</v>
      </c>
      <c r="R251">
        <f t="shared" si="59"/>
        <v>0.75</v>
      </c>
      <c r="S251">
        <f t="shared" si="60"/>
        <v>1</v>
      </c>
      <c r="T251" s="83">
        <f t="shared" si="61"/>
        <v>2</v>
      </c>
      <c r="U251" s="120">
        <f>IF($D251="",0,IFERROR(LOOKUP(2,1/(($D$3:D250=$D251)*($C$3:C250=$C251)*($A$3:A250&lt;$A251)),$AB$3:AB250),1000))</f>
        <v>1030.5304984710244</v>
      </c>
      <c r="V251" s="120">
        <f t="shared" si="62"/>
        <v>1073.6041108116633</v>
      </c>
      <c r="W251">
        <f t="shared" si="63"/>
        <v>1068.970997972523</v>
      </c>
      <c r="X251">
        <f t="shared" si="64"/>
        <v>0.50666719015151584</v>
      </c>
      <c r="Y251">
        <f t="shared" si="65"/>
        <v>969.46950152897546</v>
      </c>
      <c r="Z251">
        <f t="shared" si="66"/>
        <v>0.58698015116917412</v>
      </c>
      <c r="AA251">
        <f>IF($D251="",0,IF($F251&lt;2,0,IF($E251="Win",('Guide &amp; Settings'!$C$42/(($F251-1)*COUNTIFS($A$4:$A$810,$A251,$E$4:$E$810,"Win")))*SUMIFS($Z$4:$Z$810,$A$4:$A$810,$A251,$E$4:$E$810,"Loss"),-('Guide &amp; Settings'!$C$42/($F251-1))*$Z251)))</f>
        <v>-18.783364837413572</v>
      </c>
      <c r="AB251" s="120">
        <f t="shared" si="67"/>
        <v>1011.7471336336108</v>
      </c>
      <c r="AC251" s="120">
        <f>IF($D251="","",IF(SUMPRODUCT(MAX(($D$4:$D$810=$D251)*($B$4:$B$810&lt;$B251)*$B$4:$B$810))=0,0,MAX(($B251-MAX(SUMPRODUCT(MAX(($D$4:$D$810=$D251)*($B$4:$B$810&lt;$B251)*$B$4:$B$810)),'Guide &amp; Settings'!$C$50))/7-'Guide &amp; Settings'!$C$48,0)*'Guide &amp; Settings'!$C$49))</f>
        <v>0</v>
      </c>
    </row>
    <row r="252" spans="1:29" ht="15" customHeight="1" x14ac:dyDescent="0.2">
      <c r="A252" s="111">
        <v>102</v>
      </c>
      <c r="B252" s="112">
        <v>46199</v>
      </c>
      <c r="C252" s="113" t="s">
        <v>208</v>
      </c>
      <c r="D252" s="113" t="s">
        <v>137</v>
      </c>
      <c r="E252" s="111" t="s">
        <v>308</v>
      </c>
      <c r="F252" s="114">
        <f t="shared" si="51"/>
        <v>2</v>
      </c>
      <c r="G252" s="115" t="str">
        <f t="shared" si="52"/>
        <v>Josh</v>
      </c>
      <c r="H252" s="116">
        <f>IF($D252="",0,IFERROR(LOOKUP(2,1/(($D$3:D251=$D252)*($A$3:A251&lt;$A252)),$N$3:N251),'Guide &amp; Settings'!$C$41))</f>
        <v>1133.9849466347907</v>
      </c>
      <c r="I252" s="117">
        <f t="shared" si="53"/>
        <v>0.4</v>
      </c>
      <c r="J252" s="118">
        <f>IF($D252="",0,IF($F252&lt;2,0,IF($E252="Win",('Guide &amp; Settings'!$C$42/(($F252-1)*COUNTIFS($A$4:$A$810,$A252,$E$4:$E$810,"Win")))*SUMIFS($X$4:$X$810,$A$4:$A$810,$A252,$E$4:$E$810,"Loss"),-('Guide &amp; Settings'!$C$42/($F252-1))*$X252)))</f>
        <v>14.442979302969768</v>
      </c>
      <c r="K252" s="118">
        <f>IF($D252="",0,'Guide &amp; Settings'!$C$43*(IF($E252="Win",1,0)-$I252))</f>
        <v>7.1999999999999993</v>
      </c>
      <c r="L252" s="119">
        <f>IF($D252="",0,'Guide &amp; Settings'!$C$44*IF($F252&gt;=3,$F252,0))</f>
        <v>0</v>
      </c>
      <c r="M252" s="118">
        <f t="shared" si="54"/>
        <v>21.642979302969767</v>
      </c>
      <c r="N252" s="116">
        <f t="shared" si="55"/>
        <v>1155.6279259377604</v>
      </c>
      <c r="O252" s="115" t="str">
        <f t="shared" si="56"/>
        <v>OK</v>
      </c>
      <c r="P252">
        <f t="shared" si="57"/>
        <v>1133.9849466347907</v>
      </c>
      <c r="Q252">
        <f t="shared" si="58"/>
        <v>0.5</v>
      </c>
      <c r="R252">
        <f t="shared" si="59"/>
        <v>0.4</v>
      </c>
      <c r="S252">
        <f t="shared" si="60"/>
        <v>1</v>
      </c>
      <c r="T252" s="83">
        <f t="shared" si="61"/>
        <v>3</v>
      </c>
      <c r="U252" s="120">
        <f>IF($D252="",0,IFERROR(LOOKUP(2,1/(($D$3:D251=$D252)*($C$3:C251=$C252)*($A$3:A251&lt;$A252)),$AB$3:AB251),1000))</f>
        <v>988.25286636638907</v>
      </c>
      <c r="V252" s="120">
        <f t="shared" si="62"/>
        <v>1079.3354165341402</v>
      </c>
      <c r="W252">
        <f t="shared" si="63"/>
        <v>1079.3354165341402</v>
      </c>
      <c r="X252">
        <f t="shared" si="64"/>
        <v>0.5</v>
      </c>
      <c r="Y252">
        <f t="shared" si="65"/>
        <v>988.25286636638907</v>
      </c>
      <c r="Z252">
        <f t="shared" si="66"/>
        <v>0.5</v>
      </c>
      <c r="AA252">
        <f>IF($D252="",0,IF($F252&lt;2,0,IF($E252="Win",('Guide &amp; Settings'!$C$42/(($F252-1)*COUNTIFS($A$4:$A$810,$A252,$E$4:$E$810,"Win")))*SUMIFS($Z$4:$Z$810,$A$4:$A$810,$A252,$E$4:$E$810,"Loss"),-('Guide &amp; Settings'!$C$42/($F252-1))*$Z252)))</f>
        <v>17.080304847214755</v>
      </c>
      <c r="AB252" s="120">
        <f t="shared" si="67"/>
        <v>1005.3331712136038</v>
      </c>
      <c r="AC252" s="120">
        <f>IF($D252="","",IF(SUMPRODUCT(MAX(($D$4:$D$810=$D252)*($B$4:$B$810&lt;$B252)*$B$4:$B$810))=0,0,MAX(($B252-MAX(SUMPRODUCT(MAX(($D$4:$D$810=$D252)*($B$4:$B$810&lt;$B252)*$B$4:$B$810)),'Guide &amp; Settings'!$C$50))/7-'Guide &amp; Settings'!$C$48,0)*'Guide &amp; Settings'!$C$49))</f>
        <v>0</v>
      </c>
    </row>
    <row r="253" spans="1:29" ht="15" customHeight="1" x14ac:dyDescent="0.2">
      <c r="A253" s="111">
        <v>102</v>
      </c>
      <c r="B253" s="112">
        <v>46199</v>
      </c>
      <c r="C253" s="113" t="s">
        <v>208</v>
      </c>
      <c r="D253" s="113" t="s">
        <v>170</v>
      </c>
      <c r="E253" s="111" t="s">
        <v>309</v>
      </c>
      <c r="F253" s="114">
        <f t="shared" si="51"/>
        <v>2</v>
      </c>
      <c r="G253" s="115" t="str">
        <f t="shared" si="52"/>
        <v>Josh</v>
      </c>
      <c r="H253" s="116">
        <f>IF($D253="",0,IFERROR(LOOKUP(2,1/(($D$3:D252=$D253)*($A$3:A252&lt;$A253)),$N$3:N252),'Guide &amp; Settings'!$C$41))</f>
        <v>1065.6202056630702</v>
      </c>
      <c r="I253" s="117">
        <f t="shared" si="53"/>
        <v>0.6</v>
      </c>
      <c r="J253" s="118">
        <f>IF($D253="",0,IF($F253&lt;2,0,IF($E253="Win",('Guide &amp; Settings'!$C$42/(($F253-1)*COUNTIFS($A$4:$A$810,$A253,$E$4:$E$810,"Win")))*SUMIFS($X$4:$X$810,$A$4:$A$810,$A253,$E$4:$E$810,"Loss"),-('Guide &amp; Settings'!$C$42/($F253-1))*$X253)))</f>
        <v>-14.442979302969768</v>
      </c>
      <c r="K253" s="118">
        <f>IF($D253="",0,'Guide &amp; Settings'!$C$43*(IF($E253="Win",1,0)-$I253))</f>
        <v>-7.1999999999999993</v>
      </c>
      <c r="L253" s="119">
        <f>IF($D253="",0,'Guide &amp; Settings'!$C$44*IF($F253&gt;=3,$F253,0))</f>
        <v>0</v>
      </c>
      <c r="M253" s="118">
        <f t="shared" si="54"/>
        <v>-21.642979302969767</v>
      </c>
      <c r="N253" s="116">
        <f t="shared" si="55"/>
        <v>1043.9772263601005</v>
      </c>
      <c r="O253" s="115" t="str">
        <f t="shared" si="56"/>
        <v>OK</v>
      </c>
      <c r="P253">
        <f t="shared" si="57"/>
        <v>1133.9849466347907</v>
      </c>
      <c r="Q253">
        <f t="shared" si="58"/>
        <v>0.40286562946914495</v>
      </c>
      <c r="R253">
        <f t="shared" si="59"/>
        <v>0.6</v>
      </c>
      <c r="S253">
        <f t="shared" si="60"/>
        <v>1</v>
      </c>
      <c r="T253" s="83">
        <f t="shared" si="61"/>
        <v>3</v>
      </c>
      <c r="U253" s="120">
        <f>IF($D253="",0,IFERROR(LOOKUP(2,1/(($D$3:D252=$D253)*($C$3:C252=$C253)*($A$3:A252&lt;$A253)),$AB$3:AB252),1000))</f>
        <v>1011.7471336336108</v>
      </c>
      <c r="V253" s="120">
        <f t="shared" si="62"/>
        <v>1045.4178036520229</v>
      </c>
      <c r="W253">
        <f t="shared" si="63"/>
        <v>1079.3354165341402</v>
      </c>
      <c r="X253">
        <f t="shared" si="64"/>
        <v>0.45134310321780524</v>
      </c>
      <c r="Y253">
        <f t="shared" si="65"/>
        <v>988.25286636638907</v>
      </c>
      <c r="Z253">
        <f t="shared" si="66"/>
        <v>0.5337595264754611</v>
      </c>
      <c r="AA253">
        <f>IF($D253="",0,IF($F253&lt;2,0,IF($E253="Win",('Guide &amp; Settings'!$C$42/(($F253-1)*COUNTIFS($A$4:$A$810,$A253,$E$4:$E$810,"Win")))*SUMIFS($Z$4:$Z$810,$A$4:$A$810,$A253,$E$4:$E$810,"Loss"),-('Guide &amp; Settings'!$C$42/($F253-1))*$Z253)))</f>
        <v>-17.080304847214755</v>
      </c>
      <c r="AB253" s="120">
        <f t="shared" si="67"/>
        <v>994.66682878639608</v>
      </c>
      <c r="AC253" s="120">
        <f>IF($D253="","",IF(SUMPRODUCT(MAX(($D$4:$D$810=$D253)*($B$4:$B$810&lt;$B253)*$B$4:$B$810))=0,0,MAX(($B253-MAX(SUMPRODUCT(MAX(($D$4:$D$810=$D253)*($B$4:$B$810&lt;$B253)*$B$4:$B$810)),'Guide &amp; Settings'!$C$50))/7-'Guide &amp; Settings'!$C$48,0)*'Guide &amp; Settings'!$C$49))</f>
        <v>0</v>
      </c>
    </row>
    <row r="254" spans="1:29" ht="15" customHeight="1" x14ac:dyDescent="0.2">
      <c r="A254" s="111">
        <v>103</v>
      </c>
      <c r="B254" s="112">
        <v>46199</v>
      </c>
      <c r="C254" s="113" t="s">
        <v>197</v>
      </c>
      <c r="D254" s="113" t="s">
        <v>170</v>
      </c>
      <c r="E254" s="111" t="s">
        <v>308</v>
      </c>
      <c r="F254" s="114">
        <f t="shared" si="51"/>
        <v>2</v>
      </c>
      <c r="G254" s="115" t="str">
        <f t="shared" si="52"/>
        <v>Daniel (Ferret)</v>
      </c>
      <c r="H254" s="116">
        <f>IF($D254="",0,IFERROR(LOOKUP(2,1/(($D$3:D253=$D254)*($A$3:A253&lt;$A254)),$N$3:N253),'Guide &amp; Settings'!$C$41))</f>
        <v>1043.9772263601005</v>
      </c>
      <c r="I254" s="117">
        <f t="shared" si="53"/>
        <v>0.6</v>
      </c>
      <c r="J254" s="118">
        <f>IF($D254="",0,IF($F254&lt;2,0,IF($E254="Win",('Guide &amp; Settings'!$C$42/(($F254-1)*COUNTIFS($A$4:$A$810,$A254,$E$4:$E$810,"Win")))*SUMIFS($X$4:$X$810,$A$4:$A$810,$A254,$E$4:$E$810,"Loss"),-('Guide &amp; Settings'!$C$42/($F254-1))*$X254)))</f>
        <v>21.12669703017124</v>
      </c>
      <c r="K254" s="118">
        <f>IF($D254="",0,'Guide &amp; Settings'!$C$43*(IF($E254="Win",1,0)-$I254))</f>
        <v>4.8000000000000007</v>
      </c>
      <c r="L254" s="119">
        <f>IF($D254="",0,'Guide &amp; Settings'!$C$44*IF($F254&gt;=3,$F254,0))</f>
        <v>0</v>
      </c>
      <c r="M254" s="118">
        <f t="shared" si="54"/>
        <v>25.92669703017124</v>
      </c>
      <c r="N254" s="116">
        <f t="shared" si="55"/>
        <v>1069.9039233902718</v>
      </c>
      <c r="O254" s="115" t="str">
        <f t="shared" si="56"/>
        <v>OK</v>
      </c>
      <c r="P254">
        <f t="shared" si="57"/>
        <v>1043.9772263601005</v>
      </c>
      <c r="Q254">
        <f t="shared" si="58"/>
        <v>0.5</v>
      </c>
      <c r="R254">
        <f t="shared" si="59"/>
        <v>0.75</v>
      </c>
      <c r="S254">
        <f t="shared" si="60"/>
        <v>1.25</v>
      </c>
      <c r="T254" s="83">
        <f t="shared" si="61"/>
        <v>2</v>
      </c>
      <c r="U254" s="120">
        <f>IF($D254="",0,IFERROR(LOOKUP(2,1/(($D$3:D253=$D254)*($C$3:C253=$C254)*($A$3:A253&lt;$A254)),$AB$3:AB253),1000))</f>
        <v>1030.8965137687414</v>
      </c>
      <c r="V254" s="120">
        <f t="shared" si="62"/>
        <v>1040.2398799054265</v>
      </c>
      <c r="W254">
        <f t="shared" si="63"/>
        <v>1040.2398799054265</v>
      </c>
      <c r="X254">
        <f t="shared" si="64"/>
        <v>0.5</v>
      </c>
      <c r="Y254">
        <f t="shared" si="65"/>
        <v>1030.8965137687414</v>
      </c>
      <c r="Z254">
        <f t="shared" si="66"/>
        <v>0.5</v>
      </c>
      <c r="AA254">
        <f>IF($D254="",0,IF($F254&lt;2,0,IF($E254="Win",('Guide &amp; Settings'!$C$42/(($F254-1)*COUNTIFS($A$4:$A$810,$A254,$E$4:$E$810,"Win")))*SUMIFS($Z$4:$Z$810,$A$4:$A$810,$A254,$E$4:$E$810,"Loss"),-('Guide &amp; Settings'!$C$42/($F254-1))*$Z254)))</f>
        <v>14.580901763557666</v>
      </c>
      <c r="AB254" s="120">
        <f t="shared" si="67"/>
        <v>1045.4774155322991</v>
      </c>
      <c r="AC254" s="120">
        <f>IF($D254="","",IF(SUMPRODUCT(MAX(($D$4:$D$810=$D254)*($B$4:$B$810&lt;$B254)*$B$4:$B$810))=0,0,MAX(($B254-MAX(SUMPRODUCT(MAX(($D$4:$D$810=$D254)*($B$4:$B$810&lt;$B254)*$B$4:$B$810)),'Guide &amp; Settings'!$C$50))/7-'Guide &amp; Settings'!$C$48,0)*'Guide &amp; Settings'!$C$49))</f>
        <v>0</v>
      </c>
    </row>
    <row r="255" spans="1:29" ht="15" customHeight="1" x14ac:dyDescent="0.2">
      <c r="A255" s="111">
        <v>103</v>
      </c>
      <c r="B255" s="112">
        <v>46199</v>
      </c>
      <c r="C255" s="113" t="s">
        <v>197</v>
      </c>
      <c r="D255" s="113" t="s">
        <v>137</v>
      </c>
      <c r="E255" s="111" t="s">
        <v>309</v>
      </c>
      <c r="F255" s="114">
        <f t="shared" si="51"/>
        <v>2</v>
      </c>
      <c r="G255" s="115" t="str">
        <f t="shared" si="52"/>
        <v>Daniel (Ferret)</v>
      </c>
      <c r="H255" s="116">
        <f>IF($D255="",0,IFERROR(LOOKUP(2,1/(($D$3:D254=$D255)*($A$3:A254&lt;$A255)),$N$3:N254),'Guide &amp; Settings'!$C$41))</f>
        <v>1155.6279259377604</v>
      </c>
      <c r="I255" s="117">
        <f t="shared" si="53"/>
        <v>0.4</v>
      </c>
      <c r="J255" s="118">
        <f>IF($D255="",0,IF($F255&lt;2,0,IF($E255="Win",('Guide &amp; Settings'!$C$42/(($F255-1)*COUNTIFS($A$4:$A$810,$A255,$E$4:$E$810,"Win")))*SUMIFS($X$4:$X$810,$A$4:$A$810,$A255,$E$4:$E$810,"Loss"),-('Guide &amp; Settings'!$C$42/($F255-1))*$X255)))</f>
        <v>-21.12669703017124</v>
      </c>
      <c r="K255" s="118">
        <f>IF($D255="",0,'Guide &amp; Settings'!$C$43*(IF($E255="Win",1,0)-$I255))</f>
        <v>-4.8000000000000007</v>
      </c>
      <c r="L255" s="119">
        <f>IF($D255="",0,'Guide &amp; Settings'!$C$44*IF($F255&gt;=3,$F255,0))</f>
        <v>0</v>
      </c>
      <c r="M255" s="118">
        <f t="shared" si="54"/>
        <v>-25.92669703017124</v>
      </c>
      <c r="N255" s="116">
        <f t="shared" si="55"/>
        <v>1129.7012289075892</v>
      </c>
      <c r="O255" s="115" t="str">
        <f t="shared" si="56"/>
        <v>OK</v>
      </c>
      <c r="P255">
        <f t="shared" si="57"/>
        <v>1043.9772263601005</v>
      </c>
      <c r="Q255">
        <f t="shared" si="58"/>
        <v>0.65536650080635572</v>
      </c>
      <c r="R255">
        <f t="shared" si="59"/>
        <v>0.5</v>
      </c>
      <c r="S255">
        <f t="shared" si="60"/>
        <v>1.25</v>
      </c>
      <c r="T255" s="83">
        <f t="shared" si="61"/>
        <v>0</v>
      </c>
      <c r="U255" s="120">
        <f>IF($D255="",0,IFERROR(LOOKUP(2,1/(($D$3:D254=$D255)*($C$3:C254=$C255)*($A$3:A254&lt;$A255)),$AB$3:AB254),1000))</f>
        <v>1000</v>
      </c>
      <c r="V255" s="120">
        <f t="shared" si="62"/>
        <v>1155.6279259377604</v>
      </c>
      <c r="W255">
        <f t="shared" si="63"/>
        <v>1040.2398799054265</v>
      </c>
      <c r="X255">
        <f t="shared" si="64"/>
        <v>0.66020928219285124</v>
      </c>
      <c r="Y255">
        <f t="shared" si="65"/>
        <v>1030.8965137687414</v>
      </c>
      <c r="Z255">
        <f t="shared" si="66"/>
        <v>0.45565318011117706</v>
      </c>
      <c r="AA255">
        <f>IF($D255="",0,IF($F255&lt;2,0,IF($E255="Win",('Guide &amp; Settings'!$C$42/(($F255-1)*COUNTIFS($A$4:$A$810,$A255,$E$4:$E$810,"Win")))*SUMIFS($Z$4:$Z$810,$A$4:$A$810,$A255,$E$4:$E$810,"Loss"),-('Guide &amp; Settings'!$C$42/($F255-1))*$Z255)))</f>
        <v>-14.580901763557666</v>
      </c>
      <c r="AB255" s="120">
        <f t="shared" si="67"/>
        <v>985.41909823644232</v>
      </c>
      <c r="AC255" s="120">
        <f>IF($D255="","",IF(SUMPRODUCT(MAX(($D$4:$D$810=$D255)*($B$4:$B$810&lt;$B255)*$B$4:$B$810))=0,0,MAX(($B255-MAX(SUMPRODUCT(MAX(($D$4:$D$810=$D255)*($B$4:$B$810&lt;$B255)*$B$4:$B$810)),'Guide &amp; Settings'!$C$50))/7-'Guide &amp; Settings'!$C$48,0)*'Guide &amp; Settings'!$C$49))</f>
        <v>0</v>
      </c>
    </row>
    <row r="256" spans="1:29" ht="15" customHeight="1" x14ac:dyDescent="0.2">
      <c r="A256" s="111">
        <v>104</v>
      </c>
      <c r="B256" s="112">
        <v>46199</v>
      </c>
      <c r="C256" s="113" t="s">
        <v>197</v>
      </c>
      <c r="D256" s="113" t="s">
        <v>138</v>
      </c>
      <c r="E256" s="111" t="s">
        <v>309</v>
      </c>
      <c r="F256" s="114">
        <f t="shared" si="51"/>
        <v>2</v>
      </c>
      <c r="G256" s="115" t="str">
        <f t="shared" si="52"/>
        <v>Shawn</v>
      </c>
      <c r="H256" s="116">
        <f>IF($D256="",0,IFERROR(LOOKUP(2,1/(($D$3:D255=$D256)*($A$3:A255&lt;$A256)),$N$3:N255),'Guide &amp; Settings'!$C$41))</f>
        <v>1057.8442062146762</v>
      </c>
      <c r="I256" s="117">
        <f t="shared" si="53"/>
        <v>0.66666666666666663</v>
      </c>
      <c r="J256" s="118">
        <f>IF($D256="",0,IF($F256&lt;2,0,IF($E256="Win",('Guide &amp; Settings'!$C$42/(($F256-1)*COUNTIFS($A$4:$A$810,$A256,$E$4:$E$810,"Win")))*SUMIFS($X$4:$X$810,$A$4:$A$810,$A256,$E$4:$E$810,"Loss"),-('Guide &amp; Settings'!$C$42/($F256-1))*$X256)))</f>
        <v>-17.733001081920793</v>
      </c>
      <c r="K256" s="118">
        <f>IF($D256="",0,'Guide &amp; Settings'!$C$43*(IF($E256="Win",1,0)-$I256))</f>
        <v>-8</v>
      </c>
      <c r="L256" s="119">
        <f>IF($D256="",0,'Guide &amp; Settings'!$C$44*IF($F256&gt;=3,$F256,0))</f>
        <v>0</v>
      </c>
      <c r="M256" s="118">
        <f t="shared" si="54"/>
        <v>-25.733001081920793</v>
      </c>
      <c r="N256" s="116">
        <f t="shared" si="55"/>
        <v>1032.1112051327555</v>
      </c>
      <c r="O256" s="115" t="str">
        <f t="shared" si="56"/>
        <v>OK</v>
      </c>
      <c r="P256">
        <f t="shared" si="57"/>
        <v>1034.2694085900962</v>
      </c>
      <c r="Q256">
        <f t="shared" si="58"/>
        <v>0.53387488883488798</v>
      </c>
      <c r="R256">
        <f t="shared" si="59"/>
        <v>0.5</v>
      </c>
      <c r="S256">
        <f t="shared" si="60"/>
        <v>0.75</v>
      </c>
      <c r="T256" s="83">
        <f t="shared" si="61"/>
        <v>0</v>
      </c>
      <c r="U256" s="120">
        <f>IF($D256="",0,IFERROR(LOOKUP(2,1/(($D$3:D255=$D256)*($C$3:C255=$C256)*($A$3:A255&lt;$A256)),$AB$3:AB255),1000))</f>
        <v>1000</v>
      </c>
      <c r="V256" s="120">
        <f t="shared" si="62"/>
        <v>1057.8442062146762</v>
      </c>
      <c r="W256">
        <f t="shared" si="63"/>
        <v>1020.0643613116772</v>
      </c>
      <c r="X256">
        <f t="shared" si="64"/>
        <v>0.5541562838100248</v>
      </c>
      <c r="Y256">
        <f t="shared" si="65"/>
        <v>984.55174311562928</v>
      </c>
      <c r="Z256">
        <f t="shared" si="66"/>
        <v>0.52221718943600426</v>
      </c>
      <c r="AA256">
        <f>IF($D256="",0,IF($F256&lt;2,0,IF($E256="Win",('Guide &amp; Settings'!$C$42/(($F256-1)*COUNTIFS($A$4:$A$810,$A256,$E$4:$E$810,"Win")))*SUMIFS($Z$4:$Z$810,$A$4:$A$810,$A256,$E$4:$E$810,"Loss"),-('Guide &amp; Settings'!$C$42/($F256-1))*$Z256)))</f>
        <v>-16.710950061952136</v>
      </c>
      <c r="AB256" s="120">
        <f t="shared" si="67"/>
        <v>983.28904993804781</v>
      </c>
      <c r="AC256" s="120">
        <f>IF($D256="","",IF(SUMPRODUCT(MAX(($D$4:$D$810=$D256)*($B$4:$B$810&lt;$B256)*$B$4:$B$810))=0,0,MAX(($B256-MAX(SUMPRODUCT(MAX(($D$4:$D$810=$D256)*($B$4:$B$810&lt;$B256)*$B$4:$B$810)),'Guide &amp; Settings'!$C$50))/7-'Guide &amp; Settings'!$C$48,0)*'Guide &amp; Settings'!$C$49))</f>
        <v>0</v>
      </c>
    </row>
    <row r="257" spans="1:29" ht="15" customHeight="1" x14ac:dyDescent="0.2">
      <c r="A257" s="111">
        <v>104</v>
      </c>
      <c r="B257" s="112">
        <v>46199</v>
      </c>
      <c r="C257" s="113" t="s">
        <v>197</v>
      </c>
      <c r="D257" s="113" t="s">
        <v>134</v>
      </c>
      <c r="E257" s="111" t="s">
        <v>308</v>
      </c>
      <c r="F257" s="114">
        <f t="shared" si="51"/>
        <v>2</v>
      </c>
      <c r="G257" s="115" t="str">
        <f t="shared" si="52"/>
        <v>Shawn</v>
      </c>
      <c r="H257" s="116">
        <f>IF($D257="",0,IFERROR(LOOKUP(2,1/(($D$3:D256=$D257)*($A$3:A256&lt;$A257)),$N$3:N256),'Guide &amp; Settings'!$C$41))</f>
        <v>1034.2694085900962</v>
      </c>
      <c r="I257" s="117">
        <f t="shared" si="53"/>
        <v>0.33333333333333331</v>
      </c>
      <c r="J257" s="118">
        <f>IF($D257="",0,IF($F257&lt;2,0,IF($E257="Win",('Guide &amp; Settings'!$C$42/(($F257-1)*COUNTIFS($A$4:$A$810,$A257,$E$4:$E$810,"Win")))*SUMIFS($X$4:$X$810,$A$4:$A$810,$A257,$E$4:$E$810,"Loss"),-('Guide &amp; Settings'!$C$42/($F257-1))*$X257)))</f>
        <v>17.733001081920793</v>
      </c>
      <c r="K257" s="118">
        <f>IF($D257="",0,'Guide &amp; Settings'!$C$43*(IF($E257="Win",1,0)-$I257))</f>
        <v>8</v>
      </c>
      <c r="L257" s="119">
        <f>IF($D257="",0,'Guide &amp; Settings'!$C$44*IF($F257&gt;=3,$F257,0))</f>
        <v>0</v>
      </c>
      <c r="M257" s="118">
        <f t="shared" si="54"/>
        <v>25.733001081920793</v>
      </c>
      <c r="N257" s="116">
        <f t="shared" si="55"/>
        <v>1060.0024096720169</v>
      </c>
      <c r="O257" s="115" t="str">
        <f t="shared" si="56"/>
        <v>OK</v>
      </c>
      <c r="P257">
        <f t="shared" si="57"/>
        <v>1034.2694085900962</v>
      </c>
      <c r="Q257">
        <f t="shared" si="58"/>
        <v>0.5</v>
      </c>
      <c r="R257">
        <f t="shared" si="59"/>
        <v>0.25</v>
      </c>
      <c r="S257">
        <f t="shared" si="60"/>
        <v>0.75</v>
      </c>
      <c r="T257" s="83">
        <f t="shared" si="61"/>
        <v>2</v>
      </c>
      <c r="U257" s="120">
        <f>IF($D257="",0,IFERROR(LOOKUP(2,1/(($D$3:D256=$D257)*($C$3:C256=$C257)*($A$3:A256&lt;$A257)),$AB$3:AB256),1000))</f>
        <v>984.55174311562928</v>
      </c>
      <c r="V257" s="120">
        <f t="shared" si="62"/>
        <v>1020.0643613116772</v>
      </c>
      <c r="W257">
        <f t="shared" si="63"/>
        <v>1020.0643613116772</v>
      </c>
      <c r="X257">
        <f t="shared" si="64"/>
        <v>0.5</v>
      </c>
      <c r="Y257">
        <f t="shared" si="65"/>
        <v>984.55174311562928</v>
      </c>
      <c r="Z257">
        <f t="shared" si="66"/>
        <v>0.5</v>
      </c>
      <c r="AA257">
        <f>IF($D257="",0,IF($F257&lt;2,0,IF($E257="Win",('Guide &amp; Settings'!$C$42/(($F257-1)*COUNTIFS($A$4:$A$810,$A257,$E$4:$E$810,"Win")))*SUMIFS($Z$4:$Z$810,$A$4:$A$810,$A257,$E$4:$E$810,"Loss"),-('Guide &amp; Settings'!$C$42/($F257-1))*$Z257)))</f>
        <v>16.710950061952136</v>
      </c>
      <c r="AB257" s="120">
        <f t="shared" si="67"/>
        <v>1001.2626931775815</v>
      </c>
      <c r="AC257" s="120">
        <f>IF($D257="","",IF(SUMPRODUCT(MAX(($D$4:$D$810=$D257)*($B$4:$B$810&lt;$B257)*$B$4:$B$810))=0,0,MAX(($B257-MAX(SUMPRODUCT(MAX(($D$4:$D$810=$D257)*($B$4:$B$810&lt;$B257)*$B$4:$B$810)),'Guide &amp; Settings'!$C$50))/7-'Guide &amp; Settings'!$C$48,0)*'Guide &amp; Settings'!$C$49))</f>
        <v>0</v>
      </c>
    </row>
    <row r="258" spans="1:29" ht="15" customHeight="1" x14ac:dyDescent="0.2">
      <c r="A258" s="111">
        <v>105</v>
      </c>
      <c r="B258" s="112">
        <v>46199</v>
      </c>
      <c r="C258" s="113" t="s">
        <v>197</v>
      </c>
      <c r="D258" s="113" t="s">
        <v>138</v>
      </c>
      <c r="E258" s="111" t="s">
        <v>308</v>
      </c>
      <c r="F258" s="114">
        <f t="shared" si="51"/>
        <v>2</v>
      </c>
      <c r="G258" s="115" t="str">
        <f t="shared" si="52"/>
        <v>Aaron</v>
      </c>
      <c r="H258" s="116">
        <f>IF($D258="",0,IFERROR(LOOKUP(2,1/(($D$3:D257=$D258)*($A$3:A257&lt;$A258)),$N$3:N257),'Guide &amp; Settings'!$C$41))</f>
        <v>1032.1112051327555</v>
      </c>
      <c r="I258" s="117">
        <f t="shared" si="53"/>
        <v>0.45454545454545447</v>
      </c>
      <c r="J258" s="118">
        <f>IF($D258="",0,IF($F258&lt;2,0,IF($E258="Win",('Guide &amp; Settings'!$C$42/(($F258-1)*COUNTIFS($A$4:$A$810,$A258,$E$4:$E$810,"Win")))*SUMIFS($X$4:$X$810,$A$4:$A$810,$A258,$E$4:$E$810,"Loss"),-('Guide &amp; Settings'!$C$42/($F258-1))*$X258)))</f>
        <v>16.644413575007892</v>
      </c>
      <c r="K258" s="118">
        <f>IF($D258="",0,'Guide &amp; Settings'!$C$43*(IF($E258="Win",1,0)-$I258))</f>
        <v>6.5454545454545467</v>
      </c>
      <c r="L258" s="119">
        <f>IF($D258="",0,'Guide &amp; Settings'!$C$44*IF($F258&gt;=3,$F258,0))</f>
        <v>0</v>
      </c>
      <c r="M258" s="118">
        <f t="shared" si="54"/>
        <v>23.189868120462439</v>
      </c>
      <c r="N258" s="116">
        <f t="shared" si="55"/>
        <v>1055.301073253218</v>
      </c>
      <c r="O258" s="115" t="str">
        <f t="shared" si="56"/>
        <v>OK</v>
      </c>
      <c r="P258">
        <f t="shared" si="57"/>
        <v>1032.1112051327555</v>
      </c>
      <c r="Q258">
        <f t="shared" si="58"/>
        <v>0.5</v>
      </c>
      <c r="R258">
        <f t="shared" si="59"/>
        <v>0.33333333333333331</v>
      </c>
      <c r="S258">
        <f t="shared" si="60"/>
        <v>0.73333333333333339</v>
      </c>
      <c r="T258" s="83">
        <f t="shared" si="61"/>
        <v>1</v>
      </c>
      <c r="U258" s="120">
        <f>IF($D258="",0,IFERROR(LOOKUP(2,1/(($D$3:D257=$D258)*($C$3:C257=$C258)*($A$3:A257&lt;$A258)),$AB$3:AB257),1000))</f>
        <v>983.28904993804781</v>
      </c>
      <c r="V258" s="120">
        <f t="shared" si="62"/>
        <v>1023.9741792669709</v>
      </c>
      <c r="W258">
        <f t="shared" si="63"/>
        <v>1023.9741792669709</v>
      </c>
      <c r="X258">
        <f t="shared" si="64"/>
        <v>0.5</v>
      </c>
      <c r="Y258">
        <f t="shared" si="65"/>
        <v>983.28904993804781</v>
      </c>
      <c r="Z258">
        <f t="shared" si="66"/>
        <v>0.5</v>
      </c>
      <c r="AA258">
        <f>IF($D258="",0,IF($F258&lt;2,0,IF($E258="Win",('Guide &amp; Settings'!$C$42/(($F258-1)*COUNTIFS($A$4:$A$810,$A258,$E$4:$E$810,"Win")))*SUMIFS($Z$4:$Z$810,$A$4:$A$810,$A258,$E$4:$E$810,"Loss"),-('Guide &amp; Settings'!$C$42/($F258-1))*$Z258)))</f>
        <v>16.82697926214345</v>
      </c>
      <c r="AB258" s="120">
        <f t="shared" si="67"/>
        <v>1000.1160292001913</v>
      </c>
      <c r="AC258" s="120">
        <f>IF($D258="","",IF(SUMPRODUCT(MAX(($D$4:$D$810=$D258)*($B$4:$B$810&lt;$B258)*$B$4:$B$810))=0,0,MAX(($B258-MAX(SUMPRODUCT(MAX(($D$4:$D$810=$D258)*($B$4:$B$810&lt;$B258)*$B$4:$B$810)),'Guide &amp; Settings'!$C$50))/7-'Guide &amp; Settings'!$C$48,0)*'Guide &amp; Settings'!$C$49))</f>
        <v>0</v>
      </c>
    </row>
    <row r="259" spans="1:29" ht="15" customHeight="1" x14ac:dyDescent="0.2">
      <c r="A259" s="111">
        <v>105</v>
      </c>
      <c r="B259" s="112">
        <v>46199</v>
      </c>
      <c r="C259" s="113" t="s">
        <v>197</v>
      </c>
      <c r="D259" s="113" t="s">
        <v>134</v>
      </c>
      <c r="E259" s="111" t="s">
        <v>309</v>
      </c>
      <c r="F259" s="114">
        <f t="shared" si="51"/>
        <v>2</v>
      </c>
      <c r="G259" s="115" t="str">
        <f t="shared" si="52"/>
        <v>Aaron</v>
      </c>
      <c r="H259" s="116">
        <f>IF($D259="",0,IFERROR(LOOKUP(2,1/(($D$3:D258=$D259)*($A$3:A258&lt;$A259)),$N$3:N258),'Guide &amp; Settings'!$C$41))</f>
        <v>1060.0024096720169</v>
      </c>
      <c r="I259" s="117">
        <f t="shared" si="53"/>
        <v>0.54545454545454541</v>
      </c>
      <c r="J259" s="118">
        <f>IF($D259="",0,IF($F259&lt;2,0,IF($E259="Win",('Guide &amp; Settings'!$C$42/(($F259-1)*COUNTIFS($A$4:$A$810,$A259,$E$4:$E$810,"Win")))*SUMIFS($X$4:$X$810,$A$4:$A$810,$A259,$E$4:$E$810,"Loss"),-('Guide &amp; Settings'!$C$42/($F259-1))*$X259)))</f>
        <v>-16.644413575007892</v>
      </c>
      <c r="K259" s="118">
        <f>IF($D259="",0,'Guide &amp; Settings'!$C$43*(IF($E259="Win",1,0)-$I259))</f>
        <v>-6.545454545454545</v>
      </c>
      <c r="L259" s="119">
        <f>IF($D259="",0,'Guide &amp; Settings'!$C$44*IF($F259&gt;=3,$F259,0))</f>
        <v>0</v>
      </c>
      <c r="M259" s="118">
        <f t="shared" si="54"/>
        <v>-23.189868120462435</v>
      </c>
      <c r="N259" s="116">
        <f t="shared" si="55"/>
        <v>1036.8125415515544</v>
      </c>
      <c r="O259" s="115" t="str">
        <f t="shared" si="56"/>
        <v>OK</v>
      </c>
      <c r="P259">
        <f t="shared" si="57"/>
        <v>1032.1112051327555</v>
      </c>
      <c r="Q259">
        <f t="shared" si="58"/>
        <v>0.54005266766084803</v>
      </c>
      <c r="R259">
        <f t="shared" si="59"/>
        <v>0.4</v>
      </c>
      <c r="S259">
        <f t="shared" si="60"/>
        <v>0.73333333333333339</v>
      </c>
      <c r="T259" s="83">
        <f t="shared" si="61"/>
        <v>3</v>
      </c>
      <c r="U259" s="120">
        <f>IF($D259="",0,IFERROR(LOOKUP(2,1/(($D$3:D258=$D259)*($C$3:C258=$C259)*($A$3:A258&lt;$A259)),$AB$3:AB258),1000))</f>
        <v>1001.2626931775815</v>
      </c>
      <c r="V259" s="120">
        <f t="shared" si="62"/>
        <v>1037.9750159866037</v>
      </c>
      <c r="W259">
        <f t="shared" si="63"/>
        <v>1023.9741792669709</v>
      </c>
      <c r="X259">
        <f t="shared" si="64"/>
        <v>0.52013792421899663</v>
      </c>
      <c r="Y259">
        <f t="shared" si="65"/>
        <v>983.28904993804781</v>
      </c>
      <c r="Z259">
        <f t="shared" si="66"/>
        <v>0.5258431019419828</v>
      </c>
      <c r="AA259">
        <f>IF($D259="",0,IF($F259&lt;2,0,IF($E259="Win",('Guide &amp; Settings'!$C$42/(($F259-1)*COUNTIFS($A$4:$A$810,$A259,$E$4:$E$810,"Win")))*SUMIFS($Z$4:$Z$810,$A$4:$A$810,$A259,$E$4:$E$810,"Loss"),-('Guide &amp; Settings'!$C$42/($F259-1))*$Z259)))</f>
        <v>-16.82697926214345</v>
      </c>
      <c r="AB259" s="120">
        <f t="shared" si="67"/>
        <v>984.43571391543799</v>
      </c>
      <c r="AC259" s="120">
        <f>IF($D259="","",IF(SUMPRODUCT(MAX(($D$4:$D$810=$D259)*($B$4:$B$810&lt;$B259)*$B$4:$B$810))=0,0,MAX(($B259-MAX(SUMPRODUCT(MAX(($D$4:$D$810=$D259)*($B$4:$B$810&lt;$B259)*$B$4:$B$810)),'Guide &amp; Settings'!$C$50))/7-'Guide &amp; Settings'!$C$48,0)*'Guide &amp; Settings'!$C$49))</f>
        <v>0</v>
      </c>
    </row>
    <row r="260" spans="1:29" ht="15" customHeight="1" x14ac:dyDescent="0.2">
      <c r="A260" s="111">
        <v>106</v>
      </c>
      <c r="B260" s="112">
        <v>46199</v>
      </c>
      <c r="C260" s="113" t="s">
        <v>183</v>
      </c>
      <c r="D260" s="113" t="s">
        <v>138</v>
      </c>
      <c r="E260" s="111" t="s">
        <v>308</v>
      </c>
      <c r="F260" s="114">
        <f t="shared" ref="F260:F311" si="68">IF($D260="",0,COUNTIF($A$4:$A$810,$A260))</f>
        <v>2</v>
      </c>
      <c r="G260" s="115" t="str">
        <f t="shared" ref="G260:G311" si="69">IF($D260="","",IFERROR(LOOKUP(2,1/(($A$4:$A$810=$A260)*($E$4:$E$810="Win")),$D$4:$D$810),"(no winner)"))</f>
        <v>Aaron</v>
      </c>
      <c r="H260" s="116">
        <f>IF($D260="",0,IFERROR(LOOKUP(2,1/(($D$3:D259=$D260)*($A$3:A259&lt;$A260)),$N$3:N259),'Guide &amp; Settings'!$C$41))</f>
        <v>1055.301073253218</v>
      </c>
      <c r="I260" s="117">
        <f t="shared" ref="I260:I311" si="70">IF($D260="",0,IF($S260=0,0,$R260/$S260))</f>
        <v>0.61538461538461542</v>
      </c>
      <c r="J260" s="118">
        <f>IF($D260="",0,IF($F260&lt;2,0,IF($E260="Win",('Guide &amp; Settings'!$C$42/(($F260-1)*COUNTIFS($A$4:$A$810,$A260,$E$4:$E$810,"Win")))*SUMIFS($X$4:$X$810,$A$4:$A$810,$A260,$E$4:$E$810,"Loss"),-('Guide &amp; Settings'!$C$42/($F260-1))*$X260)))</f>
        <v>13.830530634922741</v>
      </c>
      <c r="K260" s="118">
        <f>IF($D260="",0,'Guide &amp; Settings'!$C$43*(IF($E260="Win",1,0)-$I260))</f>
        <v>4.615384615384615</v>
      </c>
      <c r="L260" s="119">
        <f>IF($D260="",0,'Guide &amp; Settings'!$C$44*IF($F260&gt;=3,$F260,0))</f>
        <v>0</v>
      </c>
      <c r="M260" s="118">
        <f t="shared" ref="M260:M311" si="71">IF($D260="",0,$J260+$K260+$L260)</f>
        <v>18.445915250307358</v>
      </c>
      <c r="N260" s="116">
        <f t="shared" ref="N260:N311" si="72">IF($D260="",0,$H260+$M260)</f>
        <v>1073.7469885035252</v>
      </c>
      <c r="O260" s="115" t="str">
        <f t="shared" ref="O260:O311" si="73">IF($D260="","",IF(COUNTIFS($A$4:$A$810,$A260,$E$4:$E$810,"Win")=0,"need a winner",IF(COUNTIFS($A$4:$A$810,$A260,$E$4:$E$810,"Loss")=0,"need a loser",IF(COUNTIFS($A$4:$A$810,$A260,$D$4:$D$810,$D260)&gt;1,"duplicate player","OK"))))</f>
        <v>OK</v>
      </c>
      <c r="P260">
        <f t="shared" ref="P260:P311" si="74">IF($D260="",0,IFERROR(SUMIFS($H$4:$H$810,$A$4:$A$810,$A260,$E$4:$E$810,"Win")/COUNTIFS($A$4:$A$810,$A260,$E$4:$E$810,"Win"),0))</f>
        <v>1055.301073253218</v>
      </c>
      <c r="Q260">
        <f t="shared" ref="Q260:Q311" si="75">IF($D260="",0,1/(1+10^(($P260-$H260)/400)))</f>
        <v>0.5</v>
      </c>
      <c r="R260">
        <f t="shared" ref="R260:R311" si="76">IF($D260="",0,(COUNTIFS($D$4:$D$810,$D260,$C$4:$C$810,$C260,$E$4:$E$810,"Win",$A$4:$A$810,"&lt;"&amp;$A260)+1)/(COUNTIFS($D$4:$D$810,$D260,$C$4:$C$810,$C260,$A$4:$A$810,"&lt;"&amp;$A260)+2))</f>
        <v>0.8</v>
      </c>
      <c r="S260">
        <f t="shared" ref="S260:S311" si="77">IF($D260="",0,SUMIFS($R$4:$R$810,$A$4:$A$810,$A260))</f>
        <v>1.3</v>
      </c>
      <c r="T260" s="83">
        <f t="shared" ref="T260:T311" si="78">IF($D260="",0,COUNTIFS($D$4:$D$810,$D260,$C$4:$C$810,$C260,$A$4:$A$810,"&lt;"&amp;$A260))</f>
        <v>3</v>
      </c>
      <c r="U260" s="120">
        <f>IF($D260="",0,IFERROR(LOOKUP(2,1/(($D$3:D259=$D260)*($C$3:C259=$C260)*($A$3:A259&lt;$A260)),$AB$3:AB259),1000))</f>
        <v>1046.5387222766644</v>
      </c>
      <c r="V260" s="120">
        <f t="shared" ref="V260:V311" si="79">IF($D260="",0,$U260*($T260/($T260+5))+$H260*(1-$T260/($T260+5)))</f>
        <v>1052.0151916370105</v>
      </c>
      <c r="W260">
        <f t="shared" ref="W260:W311" si="80">IF($D260="",0,IFERROR(SUMIFS($V$4:$V$810,$A$4:$A$810,$A260,$E$4:$E$810,"Win")/COUNTIFS($A$4:$A$810,$A260,$E$4:$E$810,"Win"),0))</f>
        <v>1052.0151916370105</v>
      </c>
      <c r="X260">
        <f t="shared" ref="X260:X311" si="81">IF($D260="",0,1/(1+10^(($W260-$V260)/400)))</f>
        <v>0.5</v>
      </c>
      <c r="Y260">
        <f t="shared" ref="Y260:Y311" si="82">IF($D260="",0,IFERROR(SUMIFS($U$4:$U$810,$A$4:$A$810,$A260,$E$4:$E$810,"Win")/COUNTIFS($A$4:$A$810,$A260,$E$4:$E$810,"Win"),0))</f>
        <v>1046.5387222766644</v>
      </c>
      <c r="Z260">
        <f t="shared" ref="Z260:Z311" si="83">IF($D260="",0,1/(1+10^(($Y260-$U260)/400)))</f>
        <v>0.5</v>
      </c>
      <c r="AA260">
        <f>IF($D260="",0,IF($F260&lt;2,0,IF($E260="Win",('Guide &amp; Settings'!$C$42/(($F260-1)*COUNTIFS($A$4:$A$810,$A260,$E$4:$E$810,"Win")))*SUMIFS($Z$4:$Z$810,$A$4:$A$810,$A260,$E$4:$E$810,"Loss"),-('Guide &amp; Settings'!$C$42/($F260-1))*$Z260)))</f>
        <v>13.172530988059659</v>
      </c>
      <c r="AB260" s="120">
        <f t="shared" ref="AB260:AB311" si="84">IF($D260="",0,$U260+$AA260)</f>
        <v>1059.7112532647241</v>
      </c>
      <c r="AC260" s="120">
        <f>IF($D260="","",IF(SUMPRODUCT(MAX(($D$4:$D$810=$D260)*($B$4:$B$810&lt;$B260)*$B$4:$B$810))=0,0,MAX(($B260-MAX(SUMPRODUCT(MAX(($D$4:$D$810=$D260)*($B$4:$B$810&lt;$B260)*$B$4:$B$810)),'Guide &amp; Settings'!$C$50))/7-'Guide &amp; Settings'!$C$48,0)*'Guide &amp; Settings'!$C$49))</f>
        <v>0</v>
      </c>
    </row>
    <row r="261" spans="1:29" ht="15" customHeight="1" x14ac:dyDescent="0.2">
      <c r="A261" s="111">
        <v>106</v>
      </c>
      <c r="B261" s="112">
        <v>46199</v>
      </c>
      <c r="C261" s="113" t="s">
        <v>183</v>
      </c>
      <c r="D261" s="113" t="s">
        <v>134</v>
      </c>
      <c r="E261" s="111" t="s">
        <v>309</v>
      </c>
      <c r="F261" s="114">
        <f t="shared" si="68"/>
        <v>2</v>
      </c>
      <c r="G261" s="115" t="str">
        <f t="shared" si="69"/>
        <v>Aaron</v>
      </c>
      <c r="H261" s="116">
        <f>IF($D261="",0,IFERROR(LOOKUP(2,1/(($D$3:D260=$D261)*($A$3:A260&lt;$A261)),$N$3:N260),'Guide &amp; Settings'!$C$41))</f>
        <v>1036.8125415515544</v>
      </c>
      <c r="I261" s="117">
        <f t="shared" si="70"/>
        <v>0.38461538461538458</v>
      </c>
      <c r="J261" s="118">
        <f>IF($D261="",0,IF($F261&lt;2,0,IF($E261="Win",('Guide &amp; Settings'!$C$42/(($F261-1)*COUNTIFS($A$4:$A$810,$A261,$E$4:$E$810,"Win")))*SUMIFS($X$4:$X$810,$A$4:$A$810,$A261,$E$4:$E$810,"Loss"),-('Guide &amp; Settings'!$C$42/($F261-1))*$X261)))</f>
        <v>-13.830530634922741</v>
      </c>
      <c r="K261" s="118">
        <f>IF($D261="",0,'Guide &amp; Settings'!$C$43*(IF($E261="Win",1,0)-$I261))</f>
        <v>-4.615384615384615</v>
      </c>
      <c r="L261" s="119">
        <f>IF($D261="",0,'Guide &amp; Settings'!$C$44*IF($F261&gt;=3,$F261,0))</f>
        <v>0</v>
      </c>
      <c r="M261" s="118">
        <f t="shared" si="71"/>
        <v>-18.445915250307358</v>
      </c>
      <c r="N261" s="116">
        <f t="shared" si="72"/>
        <v>1018.366626301247</v>
      </c>
      <c r="O261" s="115" t="str">
        <f t="shared" si="73"/>
        <v>OK</v>
      </c>
      <c r="P261">
        <f t="shared" si="74"/>
        <v>1055.301073253218</v>
      </c>
      <c r="Q261">
        <f t="shared" si="75"/>
        <v>0.47341795065145509</v>
      </c>
      <c r="R261">
        <f t="shared" si="76"/>
        <v>0.5</v>
      </c>
      <c r="S261">
        <f t="shared" si="77"/>
        <v>1.3</v>
      </c>
      <c r="T261" s="83">
        <f t="shared" si="78"/>
        <v>8</v>
      </c>
      <c r="U261" s="120">
        <f>IF($D261="",0,IFERROR(LOOKUP(2,1/(($D$3:D260=$D261)*($C$3:C260=$C261)*($A$3:A260&lt;$A261)),$AB$3:AB260),1000))</f>
        <v>984.48963725383635</v>
      </c>
      <c r="V261" s="120">
        <f t="shared" si="79"/>
        <v>1004.6138312144972</v>
      </c>
      <c r="W261">
        <f t="shared" si="80"/>
        <v>1052.0151916370105</v>
      </c>
      <c r="X261">
        <f t="shared" si="81"/>
        <v>0.43220408234133567</v>
      </c>
      <c r="Y261">
        <f t="shared" si="82"/>
        <v>1046.5387222766644</v>
      </c>
      <c r="Z261">
        <f t="shared" si="83"/>
        <v>0.41164159337686435</v>
      </c>
      <c r="AA261">
        <f>IF($D261="",0,IF($F261&lt;2,0,IF($E261="Win",('Guide &amp; Settings'!$C$42/(($F261-1)*COUNTIFS($A$4:$A$810,$A261,$E$4:$E$810,"Win")))*SUMIFS($Z$4:$Z$810,$A$4:$A$810,$A261,$E$4:$E$810,"Loss"),-('Guide &amp; Settings'!$C$42/($F261-1))*$Z261)))</f>
        <v>-13.172530988059659</v>
      </c>
      <c r="AB261" s="120">
        <f t="shared" si="84"/>
        <v>971.31710626577672</v>
      </c>
      <c r="AC261" s="120">
        <f>IF($D261="","",IF(SUMPRODUCT(MAX(($D$4:$D$810=$D261)*($B$4:$B$810&lt;$B261)*$B$4:$B$810))=0,0,MAX(($B261-MAX(SUMPRODUCT(MAX(($D$4:$D$810=$D261)*($B$4:$B$810&lt;$B261)*$B$4:$B$810)),'Guide &amp; Settings'!$C$50))/7-'Guide &amp; Settings'!$C$48,0)*'Guide &amp; Settings'!$C$49))</f>
        <v>0</v>
      </c>
    </row>
    <row r="262" spans="1:29" ht="15" customHeight="1" x14ac:dyDescent="0.2">
      <c r="A262" s="111">
        <v>107</v>
      </c>
      <c r="B262" s="112">
        <v>46199</v>
      </c>
      <c r="C262" s="113" t="s">
        <v>183</v>
      </c>
      <c r="D262" s="113" t="s">
        <v>138</v>
      </c>
      <c r="E262" s="111" t="s">
        <v>309</v>
      </c>
      <c r="F262" s="114">
        <f t="shared" si="68"/>
        <v>2</v>
      </c>
      <c r="G262" s="115" t="str">
        <f t="shared" si="69"/>
        <v>Shawn</v>
      </c>
      <c r="H262" s="116">
        <f>IF($D262="",0,IFERROR(LOOKUP(2,1/(($D$3:D261=$D262)*($A$3:A261&lt;$A262)),$N$3:N261),'Guide &amp; Settings'!$C$41))</f>
        <v>1073.7469885035252</v>
      </c>
      <c r="I262" s="117">
        <f t="shared" si="70"/>
        <v>0.6470588235294118</v>
      </c>
      <c r="J262" s="118">
        <f>IF($D262="",0,IF($F262&lt;2,0,IF($E262="Win",('Guide &amp; Settings'!$C$42/(($F262-1)*COUNTIFS($A$4:$A$810,$A262,$E$4:$E$810,"Win")))*SUMIFS($X$4:$X$810,$A$4:$A$810,$A262,$E$4:$E$810,"Loss"),-('Guide &amp; Settings'!$C$42/($F262-1))*$X262)))</f>
        <v>-19.593643479470582</v>
      </c>
      <c r="K262" s="118">
        <f>IF($D262="",0,'Guide &amp; Settings'!$C$43*(IF($E262="Win",1,0)-$I262))</f>
        <v>-7.764705882352942</v>
      </c>
      <c r="L262" s="119">
        <f>IF($D262="",0,'Guide &amp; Settings'!$C$44*IF($F262&gt;=3,$F262,0))</f>
        <v>0</v>
      </c>
      <c r="M262" s="118">
        <f t="shared" si="71"/>
        <v>-27.358349361823525</v>
      </c>
      <c r="N262" s="116">
        <f t="shared" si="72"/>
        <v>1046.3886391417018</v>
      </c>
      <c r="O262" s="115" t="str">
        <f t="shared" si="73"/>
        <v>OK</v>
      </c>
      <c r="P262">
        <f t="shared" si="74"/>
        <v>1018.366626301247</v>
      </c>
      <c r="Q262">
        <f t="shared" si="75"/>
        <v>0.5790305542148666</v>
      </c>
      <c r="R262">
        <f t="shared" si="76"/>
        <v>0.83333333333333337</v>
      </c>
      <c r="S262">
        <f t="shared" si="77"/>
        <v>1.2878787878787878</v>
      </c>
      <c r="T262" s="83">
        <f t="shared" si="78"/>
        <v>4</v>
      </c>
      <c r="U262" s="120">
        <f>IF($D262="",0,IFERROR(LOOKUP(2,1/(($D$3:D261=$D262)*($C$3:C261=$C262)*($A$3:A261&lt;$A262)),$AB$3:AB261),1000))</f>
        <v>1059.7112532647241</v>
      </c>
      <c r="V262" s="120">
        <f t="shared" si="79"/>
        <v>1067.5088839529469</v>
      </c>
      <c r="W262">
        <f t="shared" si="80"/>
        <v>988.12050627844474</v>
      </c>
      <c r="X262">
        <f t="shared" si="81"/>
        <v>0.6123013587334557</v>
      </c>
      <c r="Y262">
        <f t="shared" si="82"/>
        <v>971.31710626577672</v>
      </c>
      <c r="Z262">
        <f t="shared" si="83"/>
        <v>0.62453394430754061</v>
      </c>
      <c r="AA262">
        <f>IF($D262="",0,IF($F262&lt;2,0,IF($E262="Win",('Guide &amp; Settings'!$C$42/(($F262-1)*COUNTIFS($A$4:$A$810,$A262,$E$4:$E$810,"Win")))*SUMIFS($Z$4:$Z$810,$A$4:$A$810,$A262,$E$4:$E$810,"Loss"),-('Guide &amp; Settings'!$C$42/($F262-1))*$Z262)))</f>
        <v>-19.9850862178413</v>
      </c>
      <c r="AB262" s="120">
        <f t="shared" si="84"/>
        <v>1039.7261670468827</v>
      </c>
      <c r="AC262" s="120">
        <f>IF($D262="","",IF(SUMPRODUCT(MAX(($D$4:$D$810=$D262)*($B$4:$B$810&lt;$B262)*$B$4:$B$810))=0,0,MAX(($B262-MAX(SUMPRODUCT(MAX(($D$4:$D$810=$D262)*($B$4:$B$810&lt;$B262)*$B$4:$B$810)),'Guide &amp; Settings'!$C$50))/7-'Guide &amp; Settings'!$C$48,0)*'Guide &amp; Settings'!$C$49))</f>
        <v>0</v>
      </c>
    </row>
    <row r="263" spans="1:29" ht="15" customHeight="1" x14ac:dyDescent="0.2">
      <c r="A263" s="111">
        <v>107</v>
      </c>
      <c r="B263" s="112">
        <v>46199</v>
      </c>
      <c r="C263" s="113" t="s">
        <v>183</v>
      </c>
      <c r="D263" s="113" t="s">
        <v>134</v>
      </c>
      <c r="E263" s="111" t="s">
        <v>308</v>
      </c>
      <c r="F263" s="114">
        <f t="shared" si="68"/>
        <v>2</v>
      </c>
      <c r="G263" s="115" t="str">
        <f t="shared" si="69"/>
        <v>Shawn</v>
      </c>
      <c r="H263" s="116">
        <f>IF($D263="",0,IFERROR(LOOKUP(2,1/(($D$3:D262=$D263)*($A$3:A262&lt;$A263)),$N$3:N262),'Guide &amp; Settings'!$C$41))</f>
        <v>1018.366626301247</v>
      </c>
      <c r="I263" s="117">
        <f t="shared" si="70"/>
        <v>0.35294117647058826</v>
      </c>
      <c r="J263" s="118">
        <f>IF($D263="",0,IF($F263&lt;2,0,IF($E263="Win",('Guide &amp; Settings'!$C$42/(($F263-1)*COUNTIFS($A$4:$A$810,$A263,$E$4:$E$810,"Win")))*SUMIFS($X$4:$X$810,$A$4:$A$810,$A263,$E$4:$E$810,"Loss"),-('Guide &amp; Settings'!$C$42/($F263-1))*$X263)))</f>
        <v>19.593643479470582</v>
      </c>
      <c r="K263" s="118">
        <f>IF($D263="",0,'Guide &amp; Settings'!$C$43*(IF($E263="Win",1,0)-$I263))</f>
        <v>7.7647058823529402</v>
      </c>
      <c r="L263" s="119">
        <f>IF($D263="",0,'Guide &amp; Settings'!$C$44*IF($F263&gt;=3,$F263,0))</f>
        <v>0</v>
      </c>
      <c r="M263" s="118">
        <f t="shared" si="71"/>
        <v>27.358349361823521</v>
      </c>
      <c r="N263" s="116">
        <f t="shared" si="72"/>
        <v>1045.7249756630706</v>
      </c>
      <c r="O263" s="115" t="str">
        <f t="shared" si="73"/>
        <v>OK</v>
      </c>
      <c r="P263">
        <f t="shared" si="74"/>
        <v>1018.366626301247</v>
      </c>
      <c r="Q263">
        <f t="shared" si="75"/>
        <v>0.5</v>
      </c>
      <c r="R263">
        <f t="shared" si="76"/>
        <v>0.45454545454545453</v>
      </c>
      <c r="S263">
        <f t="shared" si="77"/>
        <v>1.2878787878787878</v>
      </c>
      <c r="T263" s="83">
        <f t="shared" si="78"/>
        <v>9</v>
      </c>
      <c r="U263" s="120">
        <f>IF($D263="",0,IFERROR(LOOKUP(2,1/(($D$3:D262=$D263)*($C$3:C262=$C263)*($A$3:A262&lt;$A263)),$AB$3:AB262),1000))</f>
        <v>971.31710626577672</v>
      </c>
      <c r="V263" s="120">
        <f t="shared" si="79"/>
        <v>988.12050627844474</v>
      </c>
      <c r="W263">
        <f t="shared" si="80"/>
        <v>988.12050627844474</v>
      </c>
      <c r="X263">
        <f t="shared" si="81"/>
        <v>0.5</v>
      </c>
      <c r="Y263">
        <f t="shared" si="82"/>
        <v>971.31710626577672</v>
      </c>
      <c r="Z263">
        <f t="shared" si="83"/>
        <v>0.5</v>
      </c>
      <c r="AA263">
        <f>IF($D263="",0,IF($F263&lt;2,0,IF($E263="Win",('Guide &amp; Settings'!$C$42/(($F263-1)*COUNTIFS($A$4:$A$810,$A263,$E$4:$E$810,"Win")))*SUMIFS($Z$4:$Z$810,$A$4:$A$810,$A263,$E$4:$E$810,"Loss"),-('Guide &amp; Settings'!$C$42/($F263-1))*$Z263)))</f>
        <v>19.9850862178413</v>
      </c>
      <c r="AB263" s="120">
        <f t="shared" si="84"/>
        <v>991.302192483618</v>
      </c>
      <c r="AC263" s="120">
        <f>IF($D263="","",IF(SUMPRODUCT(MAX(($D$4:$D$810=$D263)*($B$4:$B$810&lt;$B263)*$B$4:$B$810))=0,0,MAX(($B263-MAX(SUMPRODUCT(MAX(($D$4:$D$810=$D263)*($B$4:$B$810&lt;$B263)*$B$4:$B$810)),'Guide &amp; Settings'!$C$50))/7-'Guide &amp; Settings'!$C$48,0)*'Guide &amp; Settings'!$C$49))</f>
        <v>0</v>
      </c>
    </row>
    <row r="264" spans="1:29" ht="15" customHeight="1" x14ac:dyDescent="0.2">
      <c r="A264" s="111">
        <v>108</v>
      </c>
      <c r="B264" s="112">
        <v>46200</v>
      </c>
      <c r="C264" s="113" t="s">
        <v>183</v>
      </c>
      <c r="D264" s="113" t="s">
        <v>138</v>
      </c>
      <c r="E264" s="111" t="s">
        <v>309</v>
      </c>
      <c r="F264" s="114">
        <f t="shared" si="68"/>
        <v>2</v>
      </c>
      <c r="G264" s="115" t="str">
        <f t="shared" si="69"/>
        <v>Shawn</v>
      </c>
      <c r="H264" s="116">
        <f>IF($D264="",0,IFERROR(LOOKUP(2,1/(($D$3:D263=$D264)*($A$3:A263&lt;$A264)),$N$3:N263),'Guide &amp; Settings'!$C$41))</f>
        <v>1046.3886391417018</v>
      </c>
      <c r="I264" s="117">
        <f t="shared" si="70"/>
        <v>0.58823529411764697</v>
      </c>
      <c r="J264" s="118">
        <f>IF($D264="",0,IF($F264&lt;2,0,IF($E264="Win",('Guide &amp; Settings'!$C$42/(($F264-1)*COUNTIFS($A$4:$A$810,$A264,$E$4:$E$810,"Win")))*SUMIFS($X$4:$X$810,$A$4:$A$810,$A264,$E$4:$E$810,"Loss"),-('Guide &amp; Settings'!$C$42/($F264-1))*$X264)))</f>
        <v>-17.543182947030239</v>
      </c>
      <c r="K264" s="118">
        <f>IF($D264="",0,'Guide &amp; Settings'!$C$43*(IF($E264="Win",1,0)-$I264))</f>
        <v>-7.0588235294117636</v>
      </c>
      <c r="L264" s="119">
        <f>IF($D264="",0,'Guide &amp; Settings'!$C$44*IF($F264&gt;=3,$F264,0))</f>
        <v>0</v>
      </c>
      <c r="M264" s="118">
        <f t="shared" si="71"/>
        <v>-24.602006476442003</v>
      </c>
      <c r="N264" s="116">
        <f t="shared" si="72"/>
        <v>1021.7866326652597</v>
      </c>
      <c r="O264" s="115" t="str">
        <f t="shared" si="73"/>
        <v>OK</v>
      </c>
      <c r="P264">
        <f t="shared" si="74"/>
        <v>1045.7249756630706</v>
      </c>
      <c r="Q264">
        <f t="shared" si="75"/>
        <v>0.5009550873587798</v>
      </c>
      <c r="R264">
        <f t="shared" si="76"/>
        <v>0.7142857142857143</v>
      </c>
      <c r="S264">
        <f t="shared" si="77"/>
        <v>1.2142857142857144</v>
      </c>
      <c r="T264" s="83">
        <f t="shared" si="78"/>
        <v>5</v>
      </c>
      <c r="U264" s="120">
        <f>IF($D264="",0,IFERROR(LOOKUP(2,1/(($D$3:D263=$D264)*($C$3:C263=$C264)*($A$3:A263&lt;$A264)),$AB$3:AB263),1000))</f>
        <v>1039.7261670468827</v>
      </c>
      <c r="V264" s="120">
        <f t="shared" si="79"/>
        <v>1043.0574030942921</v>
      </c>
      <c r="W264">
        <f t="shared" si="80"/>
        <v>1009.4431202101023</v>
      </c>
      <c r="X264">
        <f t="shared" si="81"/>
        <v>0.54822446709469497</v>
      </c>
      <c r="Y264">
        <f t="shared" si="82"/>
        <v>991.302192483618</v>
      </c>
      <c r="Z264">
        <f t="shared" si="83"/>
        <v>0.569239940556581</v>
      </c>
      <c r="AA264">
        <f>IF($D264="",0,IF($F264&lt;2,0,IF($E264="Win",('Guide &amp; Settings'!$C$42/(($F264-1)*COUNTIFS($A$4:$A$810,$A264,$E$4:$E$810,"Win")))*SUMIFS($Z$4:$Z$810,$A$4:$A$810,$A264,$E$4:$E$810,"Loss"),-('Guide &amp; Settings'!$C$42/($F264-1))*$Z264)))</f>
        <v>-18.215678097810592</v>
      </c>
      <c r="AB264" s="120">
        <f t="shared" si="84"/>
        <v>1021.5104889490721</v>
      </c>
      <c r="AC264" s="120">
        <f>IF($D264="","",IF(SUMPRODUCT(MAX(($D$4:$D$810=$D264)*($B$4:$B$810&lt;$B264)*$B$4:$B$810))=0,0,MAX(($B264-MAX(SUMPRODUCT(MAX(($D$4:$D$810=$D264)*($B$4:$B$810&lt;$B264)*$B$4:$B$810)),'Guide &amp; Settings'!$C$50))/7-'Guide &amp; Settings'!$C$48,0)*'Guide &amp; Settings'!$C$49))</f>
        <v>0</v>
      </c>
    </row>
    <row r="265" spans="1:29" ht="15" customHeight="1" x14ac:dyDescent="0.2">
      <c r="A265" s="111">
        <v>108</v>
      </c>
      <c r="B265" s="112">
        <v>46200</v>
      </c>
      <c r="C265" s="113" t="s">
        <v>183</v>
      </c>
      <c r="D265" s="113" t="s">
        <v>134</v>
      </c>
      <c r="E265" s="111" t="s">
        <v>308</v>
      </c>
      <c r="F265" s="114">
        <f t="shared" si="68"/>
        <v>2</v>
      </c>
      <c r="G265" s="115" t="str">
        <f t="shared" si="69"/>
        <v>Shawn</v>
      </c>
      <c r="H265" s="116">
        <f>IF($D265="",0,IFERROR(LOOKUP(2,1/(($D$3:D264=$D265)*($A$3:A264&lt;$A265)),$N$3:N264),'Guide &amp; Settings'!$C$41))</f>
        <v>1045.7249756630706</v>
      </c>
      <c r="I265" s="117">
        <f t="shared" si="70"/>
        <v>0.41176470588235292</v>
      </c>
      <c r="J265" s="118">
        <f>IF($D265="",0,IF($F265&lt;2,0,IF($E265="Win",('Guide &amp; Settings'!$C$42/(($F265-1)*COUNTIFS($A$4:$A$810,$A265,$E$4:$E$810,"Win")))*SUMIFS($X$4:$X$810,$A$4:$A$810,$A265,$E$4:$E$810,"Loss"),-('Guide &amp; Settings'!$C$42/($F265-1))*$X265)))</f>
        <v>17.543182947030239</v>
      </c>
      <c r="K265" s="118">
        <f>IF($D265="",0,'Guide &amp; Settings'!$C$43*(IF($E265="Win",1,0)-$I265))</f>
        <v>7.0588235294117645</v>
      </c>
      <c r="L265" s="119">
        <f>IF($D265="",0,'Guide &amp; Settings'!$C$44*IF($F265&gt;=3,$F265,0))</f>
        <v>0</v>
      </c>
      <c r="M265" s="118">
        <f t="shared" si="71"/>
        <v>24.602006476442003</v>
      </c>
      <c r="N265" s="116">
        <f t="shared" si="72"/>
        <v>1070.3269821395127</v>
      </c>
      <c r="O265" s="115" t="str">
        <f t="shared" si="73"/>
        <v>OK</v>
      </c>
      <c r="P265">
        <f t="shared" si="74"/>
        <v>1045.7249756630706</v>
      </c>
      <c r="Q265">
        <f t="shared" si="75"/>
        <v>0.5</v>
      </c>
      <c r="R265">
        <f t="shared" si="76"/>
        <v>0.5</v>
      </c>
      <c r="S265">
        <f t="shared" si="77"/>
        <v>1.2142857142857144</v>
      </c>
      <c r="T265" s="83">
        <f t="shared" si="78"/>
        <v>10</v>
      </c>
      <c r="U265" s="120">
        <f>IF($D265="",0,IFERROR(LOOKUP(2,1/(($D$3:D264=$D265)*($C$3:C264=$C265)*($A$3:A264&lt;$A265)),$AB$3:AB264),1000))</f>
        <v>991.302192483618</v>
      </c>
      <c r="V265" s="120">
        <f t="shared" si="79"/>
        <v>1009.4431202101023</v>
      </c>
      <c r="W265">
        <f t="shared" si="80"/>
        <v>1009.4431202101023</v>
      </c>
      <c r="X265">
        <f t="shared" si="81"/>
        <v>0.5</v>
      </c>
      <c r="Y265">
        <f t="shared" si="82"/>
        <v>991.302192483618</v>
      </c>
      <c r="Z265">
        <f t="shared" si="83"/>
        <v>0.5</v>
      </c>
      <c r="AA265">
        <f>IF($D265="",0,IF($F265&lt;2,0,IF($E265="Win",('Guide &amp; Settings'!$C$42/(($F265-1)*COUNTIFS($A$4:$A$810,$A265,$E$4:$E$810,"Win")))*SUMIFS($Z$4:$Z$810,$A$4:$A$810,$A265,$E$4:$E$810,"Loss"),-('Guide &amp; Settings'!$C$42/($F265-1))*$Z265)))</f>
        <v>18.215678097810592</v>
      </c>
      <c r="AB265" s="120">
        <f t="shared" si="84"/>
        <v>1009.5178705814286</v>
      </c>
      <c r="AC265" s="120">
        <f>IF($D265="","",IF(SUMPRODUCT(MAX(($D$4:$D$810=$D265)*($B$4:$B$810&lt;$B265)*$B$4:$B$810))=0,0,MAX(($B265-MAX(SUMPRODUCT(MAX(($D$4:$D$810=$D265)*($B$4:$B$810&lt;$B265)*$B$4:$B$810)),'Guide &amp; Settings'!$C$50))/7-'Guide &amp; Settings'!$C$48,0)*'Guide &amp; Settings'!$C$49))</f>
        <v>0</v>
      </c>
    </row>
    <row r="266" spans="1:29" ht="15" customHeight="1" x14ac:dyDescent="0.2">
      <c r="A266" s="111">
        <v>109</v>
      </c>
      <c r="B266" s="112">
        <v>46200</v>
      </c>
      <c r="C266" s="113" t="s">
        <v>183</v>
      </c>
      <c r="D266" s="113" t="s">
        <v>138</v>
      </c>
      <c r="E266" s="111" t="s">
        <v>308</v>
      </c>
      <c r="F266" s="114">
        <f t="shared" si="68"/>
        <v>2</v>
      </c>
      <c r="G266" s="115" t="str">
        <f t="shared" si="69"/>
        <v>Aaron</v>
      </c>
      <c r="H266" s="116">
        <f>IF($D266="",0,IFERROR(LOOKUP(2,1/(($D$3:D265=$D266)*($A$3:A265&lt;$A266)),$N$3:N265),'Guide &amp; Settings'!$C$41))</f>
        <v>1021.7866326652597</v>
      </c>
      <c r="I266" s="117">
        <f t="shared" si="70"/>
        <v>0.5371900826446282</v>
      </c>
      <c r="J266" s="118">
        <f>IF($D266="",0,IF($F266&lt;2,0,IF($E266="Win",('Guide &amp; Settings'!$C$42/(($F266-1)*COUNTIFS($A$4:$A$810,$A266,$E$4:$E$810,"Win")))*SUMIFS($X$4:$X$810,$A$4:$A$810,$A266,$E$4:$E$810,"Loss"),-('Guide &amp; Settings'!$C$42/($F266-1))*$X266)))</f>
        <v>16.317011079932236</v>
      </c>
      <c r="K266" s="118">
        <f>IF($D266="",0,'Guide &amp; Settings'!$C$43*(IF($E266="Win",1,0)-$I266))</f>
        <v>5.5537190082644621</v>
      </c>
      <c r="L266" s="119">
        <f>IF($D266="",0,'Guide &amp; Settings'!$C$44*IF($F266&gt;=3,$F266,0))</f>
        <v>0</v>
      </c>
      <c r="M266" s="118">
        <f t="shared" si="71"/>
        <v>21.870730088196698</v>
      </c>
      <c r="N266" s="116">
        <f t="shared" si="72"/>
        <v>1043.6573627534565</v>
      </c>
      <c r="O266" s="115" t="str">
        <f t="shared" si="73"/>
        <v>OK</v>
      </c>
      <c r="P266">
        <f t="shared" si="74"/>
        <v>1021.7866326652597</v>
      </c>
      <c r="Q266">
        <f t="shared" si="75"/>
        <v>0.5</v>
      </c>
      <c r="R266">
        <f t="shared" si="76"/>
        <v>0.625</v>
      </c>
      <c r="S266">
        <f t="shared" si="77"/>
        <v>1.1634615384615383</v>
      </c>
      <c r="T266" s="83">
        <f t="shared" si="78"/>
        <v>6</v>
      </c>
      <c r="U266" s="120">
        <f>IF($D266="",0,IFERROR(LOOKUP(2,1/(($D$3:D265=$D266)*($C$3:C265=$C266)*($A$3:A265&lt;$A266)),$AB$3:AB265),1000))</f>
        <v>1021.5104889490721</v>
      </c>
      <c r="V266" s="120">
        <f t="shared" si="79"/>
        <v>1021.6360088200665</v>
      </c>
      <c r="W266">
        <f t="shared" si="80"/>
        <v>1021.6360088200665</v>
      </c>
      <c r="X266">
        <f t="shared" si="81"/>
        <v>0.5</v>
      </c>
      <c r="Y266">
        <f t="shared" si="82"/>
        <v>1021.5104889490721</v>
      </c>
      <c r="Z266">
        <f t="shared" si="83"/>
        <v>0.5</v>
      </c>
      <c r="AA266">
        <f>IF($D266="",0,IF($F266&lt;2,0,IF($E266="Win",('Guide &amp; Settings'!$C$42/(($F266-1)*COUNTIFS($A$4:$A$810,$A266,$E$4:$E$810,"Win")))*SUMIFS($Z$4:$Z$810,$A$4:$A$810,$A266,$E$4:$E$810,"Loss"),-('Guide &amp; Settings'!$C$42/($F266-1))*$Z266)))</f>
        <v>15.44793874994804</v>
      </c>
      <c r="AB266" s="120">
        <f t="shared" si="84"/>
        <v>1036.9584276990201</v>
      </c>
      <c r="AC266" s="120">
        <f>IF($D266="","",IF(SUMPRODUCT(MAX(($D$4:$D$810=$D266)*($B$4:$B$810&lt;$B266)*$B$4:$B$810))=0,0,MAX(($B266-MAX(SUMPRODUCT(MAX(($D$4:$D$810=$D266)*($B$4:$B$810&lt;$B266)*$B$4:$B$810)),'Guide &amp; Settings'!$C$50))/7-'Guide &amp; Settings'!$C$48,0)*'Guide &amp; Settings'!$C$49))</f>
        <v>0</v>
      </c>
    </row>
    <row r="267" spans="1:29" ht="15" customHeight="1" x14ac:dyDescent="0.2">
      <c r="A267" s="111">
        <v>109</v>
      </c>
      <c r="B267" s="112">
        <v>46200</v>
      </c>
      <c r="C267" s="113" t="s">
        <v>183</v>
      </c>
      <c r="D267" s="113" t="s">
        <v>134</v>
      </c>
      <c r="E267" s="111" t="s">
        <v>309</v>
      </c>
      <c r="F267" s="114">
        <f t="shared" si="68"/>
        <v>2</v>
      </c>
      <c r="G267" s="115" t="str">
        <f t="shared" si="69"/>
        <v>Aaron</v>
      </c>
      <c r="H267" s="116">
        <f>IF($D267="",0,IFERROR(LOOKUP(2,1/(($D$3:D266=$D267)*($A$3:A266&lt;$A267)),$N$3:N266),'Guide &amp; Settings'!$C$41))</f>
        <v>1070.3269821395127</v>
      </c>
      <c r="I267" s="117">
        <f t="shared" si="70"/>
        <v>0.46280991735537191</v>
      </c>
      <c r="J267" s="118">
        <f>IF($D267="",0,IF($F267&lt;2,0,IF($E267="Win",('Guide &amp; Settings'!$C$42/(($F267-1)*COUNTIFS($A$4:$A$810,$A267,$E$4:$E$810,"Win")))*SUMIFS($X$4:$X$810,$A$4:$A$810,$A267,$E$4:$E$810,"Loss"),-('Guide &amp; Settings'!$C$42/($F267-1))*$X267)))</f>
        <v>-16.317011079932236</v>
      </c>
      <c r="K267" s="118">
        <f>IF($D267="",0,'Guide &amp; Settings'!$C$43*(IF($E267="Win",1,0)-$I267))</f>
        <v>-5.553719008264463</v>
      </c>
      <c r="L267" s="119">
        <f>IF($D267="",0,'Guide &amp; Settings'!$C$44*IF($F267&gt;=3,$F267,0))</f>
        <v>0</v>
      </c>
      <c r="M267" s="118">
        <f t="shared" si="71"/>
        <v>-21.870730088196698</v>
      </c>
      <c r="N267" s="116">
        <f t="shared" si="72"/>
        <v>1048.4562520513159</v>
      </c>
      <c r="O267" s="115" t="str">
        <f t="shared" si="73"/>
        <v>OK</v>
      </c>
      <c r="P267">
        <f t="shared" si="74"/>
        <v>1021.7866326652597</v>
      </c>
      <c r="Q267">
        <f t="shared" si="75"/>
        <v>0.56940419823933552</v>
      </c>
      <c r="R267">
        <f t="shared" si="76"/>
        <v>0.53846153846153844</v>
      </c>
      <c r="S267">
        <f t="shared" si="77"/>
        <v>1.1634615384615383</v>
      </c>
      <c r="T267" s="83">
        <f t="shared" si="78"/>
        <v>11</v>
      </c>
      <c r="U267" s="120">
        <f>IF($D267="",0,IFERROR(LOOKUP(2,1/(($D$3:D266=$D267)*($C$3:C266=$C267)*($A$3:A266&lt;$A267)),$AB$3:AB266),1000))</f>
        <v>1009.5178705814286</v>
      </c>
      <c r="V267" s="120">
        <f t="shared" si="79"/>
        <v>1028.5207179433298</v>
      </c>
      <c r="W267">
        <f t="shared" si="80"/>
        <v>1021.6360088200665</v>
      </c>
      <c r="X267">
        <f t="shared" si="81"/>
        <v>0.50990659624788237</v>
      </c>
      <c r="Y267">
        <f t="shared" si="82"/>
        <v>1021.5104889490721</v>
      </c>
      <c r="Z267">
        <f t="shared" si="83"/>
        <v>0.48274808593587626</v>
      </c>
      <c r="AA267">
        <f>IF($D267="",0,IF($F267&lt;2,0,IF($E267="Win",('Guide &amp; Settings'!$C$42/(($F267-1)*COUNTIFS($A$4:$A$810,$A267,$E$4:$E$810,"Win")))*SUMIFS($Z$4:$Z$810,$A$4:$A$810,$A267,$E$4:$E$810,"Loss"),-('Guide &amp; Settings'!$C$42/($F267-1))*$Z267)))</f>
        <v>-15.44793874994804</v>
      </c>
      <c r="AB267" s="120">
        <f t="shared" si="84"/>
        <v>994.06993183148052</v>
      </c>
      <c r="AC267" s="120">
        <f>IF($D267="","",IF(SUMPRODUCT(MAX(($D$4:$D$810=$D267)*($B$4:$B$810&lt;$B267)*$B$4:$B$810))=0,0,MAX(($B267-MAX(SUMPRODUCT(MAX(($D$4:$D$810=$D267)*($B$4:$B$810&lt;$B267)*$B$4:$B$810)),'Guide &amp; Settings'!$C$50))/7-'Guide &amp; Settings'!$C$48,0)*'Guide &amp; Settings'!$C$49))</f>
        <v>0</v>
      </c>
    </row>
    <row r="268" spans="1:29" ht="15" customHeight="1" x14ac:dyDescent="0.2">
      <c r="A268" s="111">
        <v>110</v>
      </c>
      <c r="B268" s="112">
        <v>46200</v>
      </c>
      <c r="C268" s="113" t="s">
        <v>183</v>
      </c>
      <c r="D268" s="113" t="s">
        <v>138</v>
      </c>
      <c r="E268" s="111" t="s">
        <v>308</v>
      </c>
      <c r="F268" s="114">
        <f t="shared" si="68"/>
        <v>2</v>
      </c>
      <c r="G268" s="115" t="str">
        <f t="shared" si="69"/>
        <v>Aaron</v>
      </c>
      <c r="H268" s="116">
        <f>IF($D268="",0,IFERROR(LOOKUP(2,1/(($D$3:D267=$D268)*($A$3:A267&lt;$A268)),$N$3:N267),'Guide &amp; Settings'!$C$41))</f>
        <v>1043.6573627534565</v>
      </c>
      <c r="I268" s="117">
        <f t="shared" si="70"/>
        <v>0.57142857142857151</v>
      </c>
      <c r="J268" s="118">
        <f>IF($D268="",0,IF($F268&lt;2,0,IF($E268="Win",('Guide &amp; Settings'!$C$42/(($F268-1)*COUNTIFS($A$4:$A$810,$A268,$E$4:$E$810,"Win")))*SUMIFS($X$4:$X$810,$A$4:$A$810,$A268,$E$4:$E$810,"Loss"),-('Guide &amp; Settings'!$C$42/($F268-1))*$X268)))</f>
        <v>14.636329541157044</v>
      </c>
      <c r="K268" s="118">
        <f>IF($D268="",0,'Guide &amp; Settings'!$C$43*(IF($E268="Win",1,0)-$I268))</f>
        <v>5.1428571428571423</v>
      </c>
      <c r="L268" s="119">
        <f>IF($D268="",0,'Guide &amp; Settings'!$C$44*IF($F268&gt;=3,$F268,0))</f>
        <v>0</v>
      </c>
      <c r="M268" s="118">
        <f t="shared" si="71"/>
        <v>19.779186684014185</v>
      </c>
      <c r="N268" s="116">
        <f t="shared" si="72"/>
        <v>1063.4365494374706</v>
      </c>
      <c r="O268" s="115" t="str">
        <f t="shared" si="73"/>
        <v>OK</v>
      </c>
      <c r="P268">
        <f t="shared" si="74"/>
        <v>1043.6573627534565</v>
      </c>
      <c r="Q268">
        <f t="shared" si="75"/>
        <v>0.5</v>
      </c>
      <c r="R268">
        <f t="shared" si="76"/>
        <v>0.66666666666666663</v>
      </c>
      <c r="S268">
        <f t="shared" si="77"/>
        <v>1.1666666666666665</v>
      </c>
      <c r="T268" s="83">
        <f t="shared" si="78"/>
        <v>7</v>
      </c>
      <c r="U268" s="120">
        <f>IF($D268="",0,IFERROR(LOOKUP(2,1/(($D$3:D267=$D268)*($C$3:C267=$C268)*($A$3:A267&lt;$A268)),$AB$3:AB267),1000))</f>
        <v>1036.9584276990201</v>
      </c>
      <c r="V268" s="120">
        <f t="shared" si="79"/>
        <v>1039.7496506383686</v>
      </c>
      <c r="W268">
        <f t="shared" si="80"/>
        <v>1039.7496506383686</v>
      </c>
      <c r="X268">
        <f t="shared" si="81"/>
        <v>0.5</v>
      </c>
      <c r="Y268">
        <f t="shared" si="82"/>
        <v>1036.9584276990201</v>
      </c>
      <c r="Z268">
        <f t="shared" si="83"/>
        <v>0.5</v>
      </c>
      <c r="AA268">
        <f>IF($D268="",0,IF($F268&lt;2,0,IF($E268="Win",('Guide &amp; Settings'!$C$42/(($F268-1)*COUNTIFS($A$4:$A$810,$A268,$E$4:$E$810,"Win")))*SUMIFS($Z$4:$Z$810,$A$4:$A$810,$A268,$E$4:$E$810,"Loss"),-('Guide &amp; Settings'!$C$42/($F268-1))*$Z268)))</f>
        <v>14.034883249120194</v>
      </c>
      <c r="AB268" s="120">
        <f t="shared" si="84"/>
        <v>1050.9933109481403</v>
      </c>
      <c r="AC268" s="120">
        <f>IF($D268="","",IF(SUMPRODUCT(MAX(($D$4:$D$810=$D268)*($B$4:$B$810&lt;$B268)*$B$4:$B$810))=0,0,MAX(($B268-MAX(SUMPRODUCT(MAX(($D$4:$D$810=$D268)*($B$4:$B$810&lt;$B268)*$B$4:$B$810)),'Guide &amp; Settings'!$C$50))/7-'Guide &amp; Settings'!$C$48,0)*'Guide &amp; Settings'!$C$49))</f>
        <v>0</v>
      </c>
    </row>
    <row r="269" spans="1:29" ht="15" customHeight="1" x14ac:dyDescent="0.2">
      <c r="A269" s="111">
        <v>110</v>
      </c>
      <c r="B269" s="112">
        <v>46200</v>
      </c>
      <c r="C269" s="113" t="s">
        <v>183</v>
      </c>
      <c r="D269" s="113" t="s">
        <v>134</v>
      </c>
      <c r="E269" s="111" t="s">
        <v>309</v>
      </c>
      <c r="F269" s="114">
        <f t="shared" si="68"/>
        <v>2</v>
      </c>
      <c r="G269" s="115" t="str">
        <f t="shared" si="69"/>
        <v>Aaron</v>
      </c>
      <c r="H269" s="116">
        <f>IF($D269="",0,IFERROR(LOOKUP(2,1/(($D$3:D268=$D269)*($A$3:A268&lt;$A269)),$N$3:N268),'Guide &amp; Settings'!$C$41))</f>
        <v>1048.4562520513159</v>
      </c>
      <c r="I269" s="117">
        <f t="shared" si="70"/>
        <v>0.4285714285714286</v>
      </c>
      <c r="J269" s="118">
        <f>IF($D269="",0,IF($F269&lt;2,0,IF($E269="Win",('Guide &amp; Settings'!$C$42/(($F269-1)*COUNTIFS($A$4:$A$810,$A269,$E$4:$E$810,"Win")))*SUMIFS($X$4:$X$810,$A$4:$A$810,$A269,$E$4:$E$810,"Loss"),-('Guide &amp; Settings'!$C$42/($F269-1))*$X269)))</f>
        <v>-14.636329541157044</v>
      </c>
      <c r="K269" s="118">
        <f>IF($D269="",0,'Guide &amp; Settings'!$C$43*(IF($E269="Win",1,0)-$I269))</f>
        <v>-5.1428571428571432</v>
      </c>
      <c r="L269" s="119">
        <f>IF($D269="",0,'Guide &amp; Settings'!$C$44*IF($F269&gt;=3,$F269,0))</f>
        <v>0</v>
      </c>
      <c r="M269" s="118">
        <f t="shared" si="71"/>
        <v>-19.779186684014189</v>
      </c>
      <c r="N269" s="116">
        <f t="shared" si="72"/>
        <v>1028.6770653673018</v>
      </c>
      <c r="O269" s="115" t="str">
        <f t="shared" si="73"/>
        <v>OK</v>
      </c>
      <c r="P269">
        <f t="shared" si="74"/>
        <v>1043.6573627534565</v>
      </c>
      <c r="Q269">
        <f t="shared" si="75"/>
        <v>0.5069057176980678</v>
      </c>
      <c r="R269">
        <f t="shared" si="76"/>
        <v>0.5</v>
      </c>
      <c r="S269">
        <f t="shared" si="77"/>
        <v>1.1666666666666665</v>
      </c>
      <c r="T269" s="83">
        <f t="shared" si="78"/>
        <v>12</v>
      </c>
      <c r="U269" s="120">
        <f>IF($D269="",0,IFERROR(LOOKUP(2,1/(($D$3:D268=$D269)*($C$3:C268=$C269)*($A$3:A268&lt;$A269)),$AB$3:AB268),1000))</f>
        <v>994.06993183148052</v>
      </c>
      <c r="V269" s="120">
        <f t="shared" si="79"/>
        <v>1010.0659083667263</v>
      </c>
      <c r="W269">
        <f t="shared" si="80"/>
        <v>1039.7496506383686</v>
      </c>
      <c r="X269">
        <f t="shared" si="81"/>
        <v>0.45738529816115764</v>
      </c>
      <c r="Y269">
        <f t="shared" si="82"/>
        <v>1036.9584276990201</v>
      </c>
      <c r="Z269">
        <f t="shared" si="83"/>
        <v>0.43859010153500605</v>
      </c>
      <c r="AA269">
        <f>IF($D269="",0,IF($F269&lt;2,0,IF($E269="Win",('Guide &amp; Settings'!$C$42/(($F269-1)*COUNTIFS($A$4:$A$810,$A269,$E$4:$E$810,"Win")))*SUMIFS($Z$4:$Z$810,$A$4:$A$810,$A269,$E$4:$E$810,"Loss"),-('Guide &amp; Settings'!$C$42/($F269-1))*$Z269)))</f>
        <v>-14.034883249120194</v>
      </c>
      <c r="AB269" s="120">
        <f t="shared" si="84"/>
        <v>980.03504858236033</v>
      </c>
      <c r="AC269" s="120">
        <f>IF($D269="","",IF(SUMPRODUCT(MAX(($D$4:$D$810=$D269)*($B$4:$B$810&lt;$B269)*$B$4:$B$810))=0,0,MAX(($B269-MAX(SUMPRODUCT(MAX(($D$4:$D$810=$D269)*($B$4:$B$810&lt;$B269)*$B$4:$B$810)),'Guide &amp; Settings'!$C$50))/7-'Guide &amp; Settings'!$C$48,0)*'Guide &amp; Settings'!$C$49))</f>
        <v>0</v>
      </c>
    </row>
    <row r="270" spans="1:29" ht="15" customHeight="1" x14ac:dyDescent="0.2">
      <c r="A270" s="111">
        <v>111</v>
      </c>
      <c r="B270" s="112">
        <v>46200</v>
      </c>
      <c r="C270" s="113" t="s">
        <v>199</v>
      </c>
      <c r="D270" s="113" t="s">
        <v>138</v>
      </c>
      <c r="E270" s="111" t="s">
        <v>308</v>
      </c>
      <c r="F270" s="114">
        <f t="shared" si="68"/>
        <v>2</v>
      </c>
      <c r="G270" s="115" t="str">
        <f t="shared" si="69"/>
        <v>Aaron</v>
      </c>
      <c r="H270" s="116">
        <f>IF($D270="",0,IFERROR(LOOKUP(2,1/(($D$3:D269=$D270)*($A$3:A269&lt;$A270)),$N$3:N269),'Guide &amp; Settings'!$C$41))</f>
        <v>1063.4365494374706</v>
      </c>
      <c r="I270" s="117">
        <f t="shared" si="70"/>
        <v>0.60000000000000009</v>
      </c>
      <c r="J270" s="118">
        <f>IF($D270="",0,IF($F270&lt;2,0,IF($E270="Win",('Guide &amp; Settings'!$C$42/(($F270-1)*COUNTIFS($A$4:$A$810,$A270,$E$4:$E$810,"Win")))*SUMIFS($X$4:$X$810,$A$4:$A$810,$A270,$E$4:$E$810,"Loss"),-('Guide &amp; Settings'!$C$42/($F270-1))*$X270)))</f>
        <v>14.059349483953781</v>
      </c>
      <c r="K270" s="118">
        <f>IF($D270="",0,'Guide &amp; Settings'!$C$43*(IF($E270="Win",1,0)-$I270))</f>
        <v>4.7999999999999989</v>
      </c>
      <c r="L270" s="119">
        <f>IF($D270="",0,'Guide &amp; Settings'!$C$44*IF($F270&gt;=3,$F270,0))</f>
        <v>0</v>
      </c>
      <c r="M270" s="118">
        <f t="shared" si="71"/>
        <v>18.859349483953778</v>
      </c>
      <c r="N270" s="116">
        <f t="shared" si="72"/>
        <v>1082.2958989214244</v>
      </c>
      <c r="O270" s="115" t="str">
        <f t="shared" si="73"/>
        <v>OK</v>
      </c>
      <c r="P270">
        <f t="shared" si="74"/>
        <v>1063.4365494374706</v>
      </c>
      <c r="Q270">
        <f t="shared" si="75"/>
        <v>0.5</v>
      </c>
      <c r="R270">
        <f t="shared" si="76"/>
        <v>0.5</v>
      </c>
      <c r="S270">
        <f t="shared" si="77"/>
        <v>0.83333333333333326</v>
      </c>
      <c r="T270" s="83">
        <f t="shared" si="78"/>
        <v>0</v>
      </c>
      <c r="U270" s="120">
        <f>IF($D270="",0,IFERROR(LOOKUP(2,1/(($D$3:D269=$D270)*($C$3:C269=$C270)*($A$3:A269&lt;$A270)),$AB$3:AB269),1000))</f>
        <v>1000</v>
      </c>
      <c r="V270" s="120">
        <f t="shared" si="79"/>
        <v>1063.4365494374706</v>
      </c>
      <c r="W270">
        <f t="shared" si="80"/>
        <v>1063.4365494374706</v>
      </c>
      <c r="X270">
        <f t="shared" si="81"/>
        <v>0.5</v>
      </c>
      <c r="Y270">
        <f t="shared" si="82"/>
        <v>1000</v>
      </c>
      <c r="Z270">
        <f t="shared" si="83"/>
        <v>0.5</v>
      </c>
      <c r="AA270">
        <f>IF($D270="",0,IF($F270&lt;2,0,IF($E270="Win",('Guide &amp; Settings'!$C$42/(($F270-1)*COUNTIFS($A$4:$A$810,$A270,$E$4:$E$810,"Win")))*SUMIFS($Z$4:$Z$810,$A$4:$A$810,$A270,$E$4:$E$810,"Loss"),-('Guide &amp; Settings'!$C$42/($F270-1))*$Z270)))</f>
        <v>15.224125135766659</v>
      </c>
      <c r="AB270" s="120">
        <f t="shared" si="84"/>
        <v>1015.2241251357667</v>
      </c>
      <c r="AC270" s="120">
        <f>IF($D270="","",IF(SUMPRODUCT(MAX(($D$4:$D$810=$D270)*($B$4:$B$810&lt;$B270)*$B$4:$B$810))=0,0,MAX(($B270-MAX(SUMPRODUCT(MAX(($D$4:$D$810=$D270)*($B$4:$B$810&lt;$B270)*$B$4:$B$810)),'Guide &amp; Settings'!$C$50))/7-'Guide &amp; Settings'!$C$48,0)*'Guide &amp; Settings'!$C$49))</f>
        <v>0</v>
      </c>
    </row>
    <row r="271" spans="1:29" ht="15" customHeight="1" x14ac:dyDescent="0.2">
      <c r="A271" s="111">
        <v>111</v>
      </c>
      <c r="B271" s="112">
        <v>46200</v>
      </c>
      <c r="C271" s="113" t="s">
        <v>199</v>
      </c>
      <c r="D271" s="113" t="s">
        <v>134</v>
      </c>
      <c r="E271" s="111" t="s">
        <v>309</v>
      </c>
      <c r="F271" s="114">
        <f t="shared" si="68"/>
        <v>2</v>
      </c>
      <c r="G271" s="115" t="str">
        <f t="shared" si="69"/>
        <v>Aaron</v>
      </c>
      <c r="H271" s="116">
        <f>IF($D271="",0,IFERROR(LOOKUP(2,1/(($D$3:D270=$D271)*($A$3:A270&lt;$A271)),$N$3:N270),'Guide &amp; Settings'!$C$41))</f>
        <v>1028.6770653673018</v>
      </c>
      <c r="I271" s="117">
        <f t="shared" si="70"/>
        <v>0.4</v>
      </c>
      <c r="J271" s="118">
        <f>IF($D271="",0,IF($F271&lt;2,0,IF($E271="Win",('Guide &amp; Settings'!$C$42/(($F271-1)*COUNTIFS($A$4:$A$810,$A271,$E$4:$E$810,"Win")))*SUMIFS($X$4:$X$810,$A$4:$A$810,$A271,$E$4:$E$810,"Loss"),-('Guide &amp; Settings'!$C$42/($F271-1))*$X271)))</f>
        <v>-14.059349483953781</v>
      </c>
      <c r="K271" s="118">
        <f>IF($D271="",0,'Guide &amp; Settings'!$C$43*(IF($E271="Win",1,0)-$I271))</f>
        <v>-4.8000000000000007</v>
      </c>
      <c r="L271" s="119">
        <f>IF($D271="",0,'Guide &amp; Settings'!$C$44*IF($F271&gt;=3,$F271,0))</f>
        <v>0</v>
      </c>
      <c r="M271" s="118">
        <f t="shared" si="71"/>
        <v>-18.859349483953782</v>
      </c>
      <c r="N271" s="116">
        <f t="shared" si="72"/>
        <v>1009.817715883348</v>
      </c>
      <c r="O271" s="115" t="str">
        <f t="shared" si="73"/>
        <v>OK</v>
      </c>
      <c r="P271">
        <f t="shared" si="74"/>
        <v>1063.4365494374706</v>
      </c>
      <c r="Q271">
        <f t="shared" si="75"/>
        <v>0.45014331179594574</v>
      </c>
      <c r="R271">
        <f t="shared" si="76"/>
        <v>0.33333333333333331</v>
      </c>
      <c r="S271">
        <f t="shared" si="77"/>
        <v>0.83333333333333326</v>
      </c>
      <c r="T271" s="83">
        <f t="shared" si="78"/>
        <v>1</v>
      </c>
      <c r="U271" s="120">
        <f>IF($D271="",0,IFERROR(LOOKUP(2,1/(($D$3:D270=$D271)*($C$3:C270=$C271)*($A$3:A270&lt;$A271)),$AB$3:AB270),1000))</f>
        <v>983.13886682309521</v>
      </c>
      <c r="V271" s="120">
        <f t="shared" si="79"/>
        <v>1021.0873656099341</v>
      </c>
      <c r="W271">
        <f t="shared" si="80"/>
        <v>1063.4365494374706</v>
      </c>
      <c r="X271">
        <f t="shared" si="81"/>
        <v>0.43935467137355566</v>
      </c>
      <c r="Y271">
        <f t="shared" si="82"/>
        <v>1000</v>
      </c>
      <c r="Z271">
        <f t="shared" si="83"/>
        <v>0.4757539104927081</v>
      </c>
      <c r="AA271">
        <f>IF($D271="",0,IF($F271&lt;2,0,IF($E271="Win",('Guide &amp; Settings'!$C$42/(($F271-1)*COUNTIFS($A$4:$A$810,$A271,$E$4:$E$810,"Win")))*SUMIFS($Z$4:$Z$810,$A$4:$A$810,$A271,$E$4:$E$810,"Loss"),-('Guide &amp; Settings'!$C$42/($F271-1))*$Z271)))</f>
        <v>-15.224125135766659</v>
      </c>
      <c r="AB271" s="120">
        <f t="shared" si="84"/>
        <v>967.9147416873285</v>
      </c>
      <c r="AC271" s="120">
        <f>IF($D271="","",IF(SUMPRODUCT(MAX(($D$4:$D$810=$D271)*($B$4:$B$810&lt;$B271)*$B$4:$B$810))=0,0,MAX(($B271-MAX(SUMPRODUCT(MAX(($D$4:$D$810=$D271)*($B$4:$B$810&lt;$B271)*$B$4:$B$810)),'Guide &amp; Settings'!$C$50))/7-'Guide &amp; Settings'!$C$48,0)*'Guide &amp; Settings'!$C$49))</f>
        <v>0</v>
      </c>
    </row>
    <row r="272" spans="1:29" ht="15" customHeight="1" x14ac:dyDescent="0.2">
      <c r="A272" s="111">
        <v>112</v>
      </c>
      <c r="B272" s="112">
        <v>46200</v>
      </c>
      <c r="C272" s="113" t="s">
        <v>199</v>
      </c>
      <c r="D272" s="113" t="s">
        <v>138</v>
      </c>
      <c r="E272" s="111" t="s">
        <v>308</v>
      </c>
      <c r="F272" s="114">
        <f t="shared" si="68"/>
        <v>2</v>
      </c>
      <c r="G272" s="115" t="str">
        <f t="shared" si="69"/>
        <v>Aaron</v>
      </c>
      <c r="H272" s="116">
        <f>IF($D272="",0,IFERROR(LOOKUP(2,1/(($D$3:D271=$D272)*($A$3:A271&lt;$A272)),$N$3:N271),'Guide &amp; Settings'!$C$41))</f>
        <v>1082.2958989214244</v>
      </c>
      <c r="I272" s="117">
        <f t="shared" si="70"/>
        <v>0.72727272727272729</v>
      </c>
      <c r="J272" s="118">
        <f>IF($D272="",0,IF($F272&lt;2,0,IF($E272="Win",('Guide &amp; Settings'!$C$42/(($F272-1)*COUNTIFS($A$4:$A$810,$A272,$E$4:$E$810,"Win")))*SUMIFS($X$4:$X$810,$A$4:$A$810,$A272,$E$4:$E$810,"Loss"),-('Guide &amp; Settings'!$C$42/($F272-1))*$X272)))</f>
        <v>12.674858180200337</v>
      </c>
      <c r="K272" s="118">
        <f>IF($D272="",0,'Guide &amp; Settings'!$C$43*(IF($E272="Win",1,0)-$I272))</f>
        <v>3.2727272727272725</v>
      </c>
      <c r="L272" s="119">
        <f>IF($D272="",0,'Guide &amp; Settings'!$C$44*IF($F272&gt;=3,$F272,0))</f>
        <v>0</v>
      </c>
      <c r="M272" s="118">
        <f t="shared" si="71"/>
        <v>15.947585452927608</v>
      </c>
      <c r="N272" s="116">
        <f t="shared" si="72"/>
        <v>1098.243484374352</v>
      </c>
      <c r="O272" s="115" t="str">
        <f t="shared" si="73"/>
        <v>OK</v>
      </c>
      <c r="P272">
        <f t="shared" si="74"/>
        <v>1082.2958989214244</v>
      </c>
      <c r="Q272">
        <f t="shared" si="75"/>
        <v>0.5</v>
      </c>
      <c r="R272">
        <f t="shared" si="76"/>
        <v>0.66666666666666663</v>
      </c>
      <c r="S272">
        <f t="shared" si="77"/>
        <v>0.91666666666666663</v>
      </c>
      <c r="T272" s="83">
        <f t="shared" si="78"/>
        <v>1</v>
      </c>
      <c r="U272" s="120">
        <f>IF($D272="",0,IFERROR(LOOKUP(2,1/(($D$3:D271=$D272)*($C$3:C271=$C272)*($A$3:A271&lt;$A272)),$AB$3:AB271),1000))</f>
        <v>1015.2241251357667</v>
      </c>
      <c r="V272" s="120">
        <f t="shared" si="79"/>
        <v>1071.1172699571482</v>
      </c>
      <c r="W272">
        <f t="shared" si="80"/>
        <v>1071.1172699571482</v>
      </c>
      <c r="X272">
        <f t="shared" si="81"/>
        <v>0.5</v>
      </c>
      <c r="Y272">
        <f t="shared" si="82"/>
        <v>1015.2241251357667</v>
      </c>
      <c r="Z272">
        <f t="shared" si="83"/>
        <v>0.5</v>
      </c>
      <c r="AA272">
        <f>IF($D272="",0,IF($F272&lt;2,0,IF($E272="Win",('Guide &amp; Settings'!$C$42/(($F272-1)*COUNTIFS($A$4:$A$810,$A272,$E$4:$E$810,"Win")))*SUMIFS($Z$4:$Z$810,$A$4:$A$810,$A272,$E$4:$E$810,"Loss"),-('Guide &amp; Settings'!$C$42/($F272-1))*$Z272)))</f>
        <v>13.834688606373584</v>
      </c>
      <c r="AB272" s="120">
        <f t="shared" si="84"/>
        <v>1029.0588137421403</v>
      </c>
      <c r="AC272" s="120">
        <f>IF($D272="","",IF(SUMPRODUCT(MAX(($D$4:$D$810=$D272)*($B$4:$B$810&lt;$B272)*$B$4:$B$810))=0,0,MAX(($B272-MAX(SUMPRODUCT(MAX(($D$4:$D$810=$D272)*($B$4:$B$810&lt;$B272)*$B$4:$B$810)),'Guide &amp; Settings'!$C$50))/7-'Guide &amp; Settings'!$C$48,0)*'Guide &amp; Settings'!$C$49))</f>
        <v>0</v>
      </c>
    </row>
    <row r="273" spans="1:29" ht="15" customHeight="1" x14ac:dyDescent="0.2">
      <c r="A273" s="111">
        <v>112</v>
      </c>
      <c r="B273" s="112">
        <v>46200</v>
      </c>
      <c r="C273" s="113" t="s">
        <v>199</v>
      </c>
      <c r="D273" s="113" t="s">
        <v>134</v>
      </c>
      <c r="E273" s="111" t="s">
        <v>309</v>
      </c>
      <c r="F273" s="114">
        <f t="shared" si="68"/>
        <v>2</v>
      </c>
      <c r="G273" s="115" t="str">
        <f t="shared" si="69"/>
        <v>Aaron</v>
      </c>
      <c r="H273" s="116">
        <f>IF($D273="",0,IFERROR(LOOKUP(2,1/(($D$3:D272=$D273)*($A$3:A272&lt;$A273)),$N$3:N272),'Guide &amp; Settings'!$C$41))</f>
        <v>1009.817715883348</v>
      </c>
      <c r="I273" s="117">
        <f t="shared" si="70"/>
        <v>0.27272727272727276</v>
      </c>
      <c r="J273" s="118">
        <f>IF($D273="",0,IF($F273&lt;2,0,IF($E273="Win",('Guide &amp; Settings'!$C$42/(($F273-1)*COUNTIFS($A$4:$A$810,$A273,$E$4:$E$810,"Win")))*SUMIFS($X$4:$X$810,$A$4:$A$810,$A273,$E$4:$E$810,"Loss"),-('Guide &amp; Settings'!$C$42/($F273-1))*$X273)))</f>
        <v>-12.674858180200337</v>
      </c>
      <c r="K273" s="118">
        <f>IF($D273="",0,'Guide &amp; Settings'!$C$43*(IF($E273="Win",1,0)-$I273))</f>
        <v>-3.2727272727272734</v>
      </c>
      <c r="L273" s="119">
        <f>IF($D273="",0,'Guide &amp; Settings'!$C$44*IF($F273&gt;=3,$F273,0))</f>
        <v>0</v>
      </c>
      <c r="M273" s="118">
        <f t="shared" si="71"/>
        <v>-15.94758545292761</v>
      </c>
      <c r="N273" s="116">
        <f t="shared" si="72"/>
        <v>993.87013043042043</v>
      </c>
      <c r="O273" s="115" t="str">
        <f t="shared" si="73"/>
        <v>OK</v>
      </c>
      <c r="P273">
        <f t="shared" si="74"/>
        <v>1082.2958989214244</v>
      </c>
      <c r="Q273">
        <f t="shared" si="75"/>
        <v>0.39718265925598023</v>
      </c>
      <c r="R273">
        <f t="shared" si="76"/>
        <v>0.25</v>
      </c>
      <c r="S273">
        <f t="shared" si="77"/>
        <v>0.91666666666666663</v>
      </c>
      <c r="T273" s="83">
        <f t="shared" si="78"/>
        <v>2</v>
      </c>
      <c r="U273" s="120">
        <f>IF($D273="",0,IFERROR(LOOKUP(2,1/(($D$3:D272=$D273)*($C$3:C272=$C273)*($A$3:A272&lt;$A273)),$AB$3:AB272),1000))</f>
        <v>967.9147416873285</v>
      </c>
      <c r="V273" s="120">
        <f t="shared" si="79"/>
        <v>997.84543754162814</v>
      </c>
      <c r="W273">
        <f t="shared" si="80"/>
        <v>1071.1172699571482</v>
      </c>
      <c r="X273">
        <f t="shared" si="81"/>
        <v>0.39608931813126053</v>
      </c>
      <c r="Y273">
        <f t="shared" si="82"/>
        <v>1015.2241251357667</v>
      </c>
      <c r="Z273">
        <f t="shared" si="83"/>
        <v>0.4323340189491745</v>
      </c>
      <c r="AA273">
        <f>IF($D273="",0,IF($F273&lt;2,0,IF($E273="Win",('Guide &amp; Settings'!$C$42/(($F273-1)*COUNTIFS($A$4:$A$810,$A273,$E$4:$E$810,"Win")))*SUMIFS($Z$4:$Z$810,$A$4:$A$810,$A273,$E$4:$E$810,"Loss"),-('Guide &amp; Settings'!$C$42/($F273-1))*$Z273)))</f>
        <v>-13.834688606373584</v>
      </c>
      <c r="AB273" s="120">
        <f t="shared" si="84"/>
        <v>954.08005308095494</v>
      </c>
      <c r="AC273" s="120">
        <f>IF($D273="","",IF(SUMPRODUCT(MAX(($D$4:$D$810=$D273)*($B$4:$B$810&lt;$B273)*$B$4:$B$810))=0,0,MAX(($B273-MAX(SUMPRODUCT(MAX(($D$4:$D$810=$D273)*($B$4:$B$810&lt;$B273)*$B$4:$B$810)),'Guide &amp; Settings'!$C$50))/7-'Guide &amp; Settings'!$C$48,0)*'Guide &amp; Settings'!$C$49))</f>
        <v>0</v>
      </c>
    </row>
    <row r="274" spans="1:29" ht="15" customHeight="1" x14ac:dyDescent="0.2">
      <c r="A274" s="111">
        <v>113</v>
      </c>
      <c r="B274" s="112">
        <v>46200</v>
      </c>
      <c r="C274" s="113" t="s">
        <v>199</v>
      </c>
      <c r="D274" s="113" t="s">
        <v>138</v>
      </c>
      <c r="E274" s="111" t="s">
        <v>308</v>
      </c>
      <c r="F274" s="114">
        <f t="shared" si="68"/>
        <v>2</v>
      </c>
      <c r="G274" s="115" t="str">
        <f t="shared" si="69"/>
        <v>Aaron</v>
      </c>
      <c r="H274" s="116">
        <f>IF($D274="",0,IFERROR(LOOKUP(2,1/(($D$3:D273=$D274)*($A$3:A273&lt;$A274)),$N$3:N273),'Guide &amp; Settings'!$C$41))</f>
        <v>1098.243484374352</v>
      </c>
      <c r="I274" s="117">
        <f t="shared" si="70"/>
        <v>0.78947368421052633</v>
      </c>
      <c r="J274" s="118">
        <f>IF($D274="",0,IF($F274&lt;2,0,IF($E274="Win",('Guide &amp; Settings'!$C$42/(($F274-1)*COUNTIFS($A$4:$A$810,$A274,$E$4:$E$810,"Win")))*SUMIFS($X$4:$X$810,$A$4:$A$810,$A274,$E$4:$E$810,"Loss"),-('Guide &amp; Settings'!$C$42/($F274-1))*$X274)))</f>
        <v>11.537975965493914</v>
      </c>
      <c r="K274" s="118">
        <f>IF($D274="",0,'Guide &amp; Settings'!$C$43*(IF($E274="Win",1,0)-$I274))</f>
        <v>2.5263157894736841</v>
      </c>
      <c r="L274" s="119">
        <f>IF($D274="",0,'Guide &amp; Settings'!$C$44*IF($F274&gt;=3,$F274,0))</f>
        <v>0</v>
      </c>
      <c r="M274" s="118">
        <f t="shared" si="71"/>
        <v>14.064291754967599</v>
      </c>
      <c r="N274" s="116">
        <f t="shared" si="72"/>
        <v>1112.3077761293196</v>
      </c>
      <c r="O274" s="115" t="str">
        <f t="shared" si="73"/>
        <v>OK</v>
      </c>
      <c r="P274">
        <f t="shared" si="74"/>
        <v>1098.243484374352</v>
      </c>
      <c r="Q274">
        <f t="shared" si="75"/>
        <v>0.5</v>
      </c>
      <c r="R274">
        <f t="shared" si="76"/>
        <v>0.75</v>
      </c>
      <c r="S274">
        <f t="shared" si="77"/>
        <v>0.95</v>
      </c>
      <c r="T274" s="83">
        <f t="shared" si="78"/>
        <v>2</v>
      </c>
      <c r="U274" s="120">
        <f>IF($D274="",0,IFERROR(LOOKUP(2,1/(($D$3:D273=$D274)*($C$3:C273=$C274)*($A$3:A273&lt;$A274)),$AB$3:AB273),1000))</f>
        <v>1029.0588137421403</v>
      </c>
      <c r="V274" s="120">
        <f t="shared" si="79"/>
        <v>1078.4764356222915</v>
      </c>
      <c r="W274">
        <f t="shared" si="80"/>
        <v>1078.4764356222915</v>
      </c>
      <c r="X274">
        <f t="shared" si="81"/>
        <v>0.5</v>
      </c>
      <c r="Y274">
        <f t="shared" si="82"/>
        <v>1029.0588137421403</v>
      </c>
      <c r="Z274">
        <f t="shared" si="83"/>
        <v>0.5</v>
      </c>
      <c r="AA274">
        <f>IF($D274="",0,IF($F274&lt;2,0,IF($E274="Win",('Guide &amp; Settings'!$C$42/(($F274-1)*COUNTIFS($A$4:$A$810,$A274,$E$4:$E$810,"Win")))*SUMIFS($Z$4:$Z$810,$A$4:$A$810,$A274,$E$4:$E$810,"Loss"),-('Guide &amp; Settings'!$C$42/($F274-1))*$Z274)))</f>
        <v>12.599723559572594</v>
      </c>
      <c r="AB274" s="120">
        <f t="shared" si="84"/>
        <v>1041.6585373017128</v>
      </c>
      <c r="AC274" s="120">
        <f>IF($D274="","",IF(SUMPRODUCT(MAX(($D$4:$D$810=$D274)*($B$4:$B$810&lt;$B274)*$B$4:$B$810))=0,0,MAX(($B274-MAX(SUMPRODUCT(MAX(($D$4:$D$810=$D274)*($B$4:$B$810&lt;$B274)*$B$4:$B$810)),'Guide &amp; Settings'!$C$50))/7-'Guide &amp; Settings'!$C$48,0)*'Guide &amp; Settings'!$C$49))</f>
        <v>0</v>
      </c>
    </row>
    <row r="275" spans="1:29" ht="15" customHeight="1" x14ac:dyDescent="0.2">
      <c r="A275" s="111">
        <v>113</v>
      </c>
      <c r="B275" s="112">
        <v>46200</v>
      </c>
      <c r="C275" s="113" t="s">
        <v>199</v>
      </c>
      <c r="D275" s="113" t="s">
        <v>134</v>
      </c>
      <c r="E275" s="111" t="s">
        <v>309</v>
      </c>
      <c r="F275" s="114">
        <f t="shared" si="68"/>
        <v>2</v>
      </c>
      <c r="G275" s="115" t="str">
        <f t="shared" si="69"/>
        <v>Aaron</v>
      </c>
      <c r="H275" s="116">
        <f>IF($D275="",0,IFERROR(LOOKUP(2,1/(($D$3:D274=$D275)*($A$3:A274&lt;$A275)),$N$3:N274),'Guide &amp; Settings'!$C$41))</f>
        <v>993.87013043042043</v>
      </c>
      <c r="I275" s="117">
        <f t="shared" si="70"/>
        <v>0.2105263157894737</v>
      </c>
      <c r="J275" s="118">
        <f>IF($D275="",0,IF($F275&lt;2,0,IF($E275="Win",('Guide &amp; Settings'!$C$42/(($F275-1)*COUNTIFS($A$4:$A$810,$A275,$E$4:$E$810,"Win")))*SUMIFS($X$4:$X$810,$A$4:$A$810,$A275,$E$4:$E$810,"Loss"),-('Guide &amp; Settings'!$C$42/($F275-1))*$X275)))</f>
        <v>-11.537975965493914</v>
      </c>
      <c r="K275" s="118">
        <f>IF($D275="",0,'Guide &amp; Settings'!$C$43*(IF($E275="Win",1,0)-$I275))</f>
        <v>-2.5263157894736845</v>
      </c>
      <c r="L275" s="119">
        <f>IF($D275="",0,'Guide &amp; Settings'!$C$44*IF($F275&gt;=3,$F275,0))</f>
        <v>0</v>
      </c>
      <c r="M275" s="118">
        <f t="shared" si="71"/>
        <v>-14.064291754967599</v>
      </c>
      <c r="N275" s="116">
        <f t="shared" si="72"/>
        <v>979.80583867545283</v>
      </c>
      <c r="O275" s="115" t="str">
        <f t="shared" si="73"/>
        <v>OK</v>
      </c>
      <c r="P275">
        <f t="shared" si="74"/>
        <v>1098.243484374352</v>
      </c>
      <c r="Q275">
        <f t="shared" si="75"/>
        <v>0.35415581067589397</v>
      </c>
      <c r="R275">
        <f t="shared" si="76"/>
        <v>0.2</v>
      </c>
      <c r="S275">
        <f t="shared" si="77"/>
        <v>0.95</v>
      </c>
      <c r="T275" s="83">
        <f t="shared" si="78"/>
        <v>3</v>
      </c>
      <c r="U275" s="120">
        <f>IF($D275="",0,IFERROR(LOOKUP(2,1/(($D$3:D274=$D275)*($C$3:C274=$C275)*($A$3:A274&lt;$A275)),$AB$3:AB274),1000))</f>
        <v>954.08005308095494</v>
      </c>
      <c r="V275" s="120">
        <f t="shared" si="79"/>
        <v>978.9488514243709</v>
      </c>
      <c r="W275">
        <f t="shared" si="80"/>
        <v>1078.4764356222915</v>
      </c>
      <c r="X275">
        <f t="shared" si="81"/>
        <v>0.3605617489216848</v>
      </c>
      <c r="Y275">
        <f t="shared" si="82"/>
        <v>1029.0588137421403</v>
      </c>
      <c r="Z275">
        <f t="shared" si="83"/>
        <v>0.39374136123664355</v>
      </c>
      <c r="AA275">
        <f>IF($D275="",0,IF($F275&lt;2,0,IF($E275="Win",('Guide &amp; Settings'!$C$42/(($F275-1)*COUNTIFS($A$4:$A$810,$A275,$E$4:$E$810,"Win")))*SUMIFS($Z$4:$Z$810,$A$4:$A$810,$A275,$E$4:$E$810,"Loss"),-('Guide &amp; Settings'!$C$42/($F275-1))*$Z275)))</f>
        <v>-12.599723559572594</v>
      </c>
      <c r="AB275" s="120">
        <f t="shared" si="84"/>
        <v>941.48032952138237</v>
      </c>
      <c r="AC275" s="120">
        <f>IF($D275="","",IF(SUMPRODUCT(MAX(($D$4:$D$810=$D275)*($B$4:$B$810&lt;$B275)*$B$4:$B$810))=0,0,MAX(($B275-MAX(SUMPRODUCT(MAX(($D$4:$D$810=$D275)*($B$4:$B$810&lt;$B275)*$B$4:$B$810)),'Guide &amp; Settings'!$C$50))/7-'Guide &amp; Settings'!$C$48,0)*'Guide &amp; Settings'!$C$49))</f>
        <v>0</v>
      </c>
    </row>
    <row r="276" spans="1:29" ht="15" customHeight="1" x14ac:dyDescent="0.2">
      <c r="A276" s="111">
        <v>114</v>
      </c>
      <c r="B276" s="112">
        <v>46202</v>
      </c>
      <c r="C276" s="113" t="s">
        <v>181</v>
      </c>
      <c r="D276" s="113" t="s">
        <v>134</v>
      </c>
      <c r="E276" s="111" t="s">
        <v>308</v>
      </c>
      <c r="F276" s="114">
        <f t="shared" si="68"/>
        <v>2</v>
      </c>
      <c r="G276" s="115" t="str">
        <f t="shared" si="69"/>
        <v>Shawn</v>
      </c>
      <c r="H276" s="116">
        <f>IF($D276="",0,IFERROR(LOOKUP(2,1/(($D$3:D275=$D276)*($A$3:A275&lt;$A276)),$N$3:N275),'Guide &amp; Settings'!$C$41))</f>
        <v>979.80583867545283</v>
      </c>
      <c r="I276" s="117">
        <f t="shared" si="70"/>
        <v>0.66666666666666663</v>
      </c>
      <c r="J276" s="118">
        <f>IF($D276="",0,IF($F276&lt;2,0,IF($E276="Win",('Guide &amp; Settings'!$C$42/(($F276-1)*COUNTIFS($A$4:$A$810,$A276,$E$4:$E$810,"Win")))*SUMIFS($X$4:$X$810,$A$4:$A$810,$A276,$E$4:$E$810,"Loss"),-('Guide &amp; Settings'!$C$42/($F276-1))*$X276)))</f>
        <v>19.169567349908785</v>
      </c>
      <c r="K276" s="118">
        <f>IF($D276="",0,'Guide &amp; Settings'!$C$43*(IF($E276="Win",1,0)-$I276))</f>
        <v>4</v>
      </c>
      <c r="L276" s="119">
        <f>IF($D276="",0,'Guide &amp; Settings'!$C$44*IF($F276&gt;=3,$F276,0))</f>
        <v>0</v>
      </c>
      <c r="M276" s="118">
        <f t="shared" si="71"/>
        <v>23.169567349908785</v>
      </c>
      <c r="N276" s="116">
        <f t="shared" si="72"/>
        <v>1002.9754060253616</v>
      </c>
      <c r="O276" s="115" t="str">
        <f t="shared" si="73"/>
        <v>OK</v>
      </c>
      <c r="P276">
        <f t="shared" si="74"/>
        <v>979.80583867545283</v>
      </c>
      <c r="Q276">
        <f t="shared" si="75"/>
        <v>0.5</v>
      </c>
      <c r="R276">
        <f t="shared" si="76"/>
        <v>0.66666666666666663</v>
      </c>
      <c r="S276">
        <f t="shared" si="77"/>
        <v>1</v>
      </c>
      <c r="T276" s="83">
        <f t="shared" si="78"/>
        <v>1</v>
      </c>
      <c r="U276" s="120">
        <f>IF($D276="",0,IFERROR(LOOKUP(2,1/(($D$3:D275=$D276)*($C$3:C275=$C276)*($A$3:A275&lt;$A276)),$AB$3:AB275),1000))</f>
        <v>1016</v>
      </c>
      <c r="V276" s="120">
        <f t="shared" si="79"/>
        <v>985.83819889621077</v>
      </c>
      <c r="W276">
        <f t="shared" si="80"/>
        <v>985.83819889621077</v>
      </c>
      <c r="X276">
        <f t="shared" si="81"/>
        <v>0.5</v>
      </c>
      <c r="Y276">
        <f t="shared" si="82"/>
        <v>1016</v>
      </c>
      <c r="Z276">
        <f t="shared" si="83"/>
        <v>0.5</v>
      </c>
      <c r="AA276">
        <f>IF($D276="",0,IF($F276&lt;2,0,IF($E276="Win",('Guide &amp; Settings'!$C$42/(($F276-1)*COUNTIFS($A$4:$A$810,$A276,$E$4:$E$810,"Win")))*SUMIFS($Z$4:$Z$810,$A$4:$A$810,$A276,$E$4:$E$810,"Loss"),-('Guide &amp; Settings'!$C$42/($F276-1))*$Z276)))</f>
        <v>14.530498471024522</v>
      </c>
      <c r="AB276" s="120">
        <f t="shared" si="84"/>
        <v>1030.5304984710244</v>
      </c>
      <c r="AC276" s="120">
        <f>IF($D276="","",IF(SUMPRODUCT(MAX(($D$4:$D$810=$D276)*($B$4:$B$810&lt;$B276)*$B$4:$B$810))=0,0,MAX(($B276-MAX(SUMPRODUCT(MAX(($D$4:$D$810=$D276)*($B$4:$B$810&lt;$B276)*$B$4:$B$810)),'Guide &amp; Settings'!$C$50))/7-'Guide &amp; Settings'!$C$48,0)*'Guide &amp; Settings'!$C$49))</f>
        <v>0</v>
      </c>
    </row>
    <row r="277" spans="1:29" ht="15" customHeight="1" x14ac:dyDescent="0.2">
      <c r="A277" s="111">
        <v>114</v>
      </c>
      <c r="B277" s="112">
        <v>46202</v>
      </c>
      <c r="C277" s="113" t="s">
        <v>181</v>
      </c>
      <c r="D277" s="113" t="s">
        <v>170</v>
      </c>
      <c r="E277" s="111" t="s">
        <v>309</v>
      </c>
      <c r="F277" s="114">
        <f t="shared" si="68"/>
        <v>2</v>
      </c>
      <c r="G277" s="115" t="str">
        <f t="shared" si="69"/>
        <v>Shawn</v>
      </c>
      <c r="H277" s="116">
        <f>IF($D277="",0,IFERROR(LOOKUP(2,1/(($D$3:D276=$D277)*($A$3:A276&lt;$A277)),$N$3:N276),'Guide &amp; Settings'!$C$41))</f>
        <v>1069.9039233902718</v>
      </c>
      <c r="I277" s="117">
        <f t="shared" si="70"/>
        <v>0.33333333333333331</v>
      </c>
      <c r="J277" s="118">
        <f>IF($D277="",0,IF($F277&lt;2,0,IF($E277="Win",('Guide &amp; Settings'!$C$42/(($F277-1)*COUNTIFS($A$4:$A$810,$A277,$E$4:$E$810,"Win")))*SUMIFS($X$4:$X$810,$A$4:$A$810,$A277,$E$4:$E$810,"Loss"),-('Guide &amp; Settings'!$C$42/($F277-1))*$X277)))</f>
        <v>-19.169567349908785</v>
      </c>
      <c r="K277" s="118">
        <f>IF($D277="",0,'Guide &amp; Settings'!$C$43*(IF($E277="Win",1,0)-$I277))</f>
        <v>-4</v>
      </c>
      <c r="L277" s="119">
        <f>IF($D277="",0,'Guide &amp; Settings'!$C$44*IF($F277&gt;=3,$F277,0))</f>
        <v>0</v>
      </c>
      <c r="M277" s="118">
        <f t="shared" si="71"/>
        <v>-23.169567349908785</v>
      </c>
      <c r="N277" s="116">
        <f t="shared" si="72"/>
        <v>1046.7343560403631</v>
      </c>
      <c r="O277" s="115" t="str">
        <f t="shared" si="73"/>
        <v>OK</v>
      </c>
      <c r="P277">
        <f t="shared" si="74"/>
        <v>979.80583867545283</v>
      </c>
      <c r="Q277">
        <f t="shared" si="75"/>
        <v>0.62683116379833637</v>
      </c>
      <c r="R277">
        <f t="shared" si="76"/>
        <v>0.33333333333333331</v>
      </c>
      <c r="S277">
        <f t="shared" si="77"/>
        <v>1</v>
      </c>
      <c r="T277" s="83">
        <f t="shared" si="78"/>
        <v>1</v>
      </c>
      <c r="U277" s="120">
        <f>IF($D277="",0,IFERROR(LOOKUP(2,1/(($D$3:D276=$D277)*($C$3:C276=$C277)*($A$3:A276&lt;$A277)),$AB$3:AB276),1000))</f>
        <v>984</v>
      </c>
      <c r="V277" s="120">
        <f t="shared" si="79"/>
        <v>1055.5866028252265</v>
      </c>
      <c r="W277">
        <f t="shared" si="80"/>
        <v>985.83819889621077</v>
      </c>
      <c r="X277">
        <f t="shared" si="81"/>
        <v>0.59904897968464954</v>
      </c>
      <c r="Y277">
        <f t="shared" si="82"/>
        <v>1016</v>
      </c>
      <c r="Z277">
        <f t="shared" si="83"/>
        <v>0.45407807721951632</v>
      </c>
      <c r="AA277">
        <f>IF($D277="",0,IF($F277&lt;2,0,IF($E277="Win",('Guide &amp; Settings'!$C$42/(($F277-1)*COUNTIFS($A$4:$A$810,$A277,$E$4:$E$810,"Win")))*SUMIFS($Z$4:$Z$810,$A$4:$A$810,$A277,$E$4:$E$810,"Loss"),-('Guide &amp; Settings'!$C$42/($F277-1))*$Z277)))</f>
        <v>-14.530498471024522</v>
      </c>
      <c r="AB277" s="120">
        <f t="shared" si="84"/>
        <v>969.46950152897546</v>
      </c>
      <c r="AC277" s="120">
        <f>IF($D277="","",IF(SUMPRODUCT(MAX(($D$4:$D$810=$D277)*($B$4:$B$810&lt;$B277)*$B$4:$B$810))=0,0,MAX(($B277-MAX(SUMPRODUCT(MAX(($D$4:$D$810=$D277)*($B$4:$B$810&lt;$B277)*$B$4:$B$810)),'Guide &amp; Settings'!$C$50))/7-'Guide &amp; Settings'!$C$48,0)*'Guide &amp; Settings'!$C$49))</f>
        <v>0</v>
      </c>
    </row>
    <row r="278" spans="1:29" ht="15" customHeight="1" x14ac:dyDescent="0.2">
      <c r="A278" s="111">
        <v>115</v>
      </c>
      <c r="B278" s="112">
        <v>46207</v>
      </c>
      <c r="C278" s="113" t="s">
        <v>199</v>
      </c>
      <c r="D278" s="113" t="s">
        <v>134</v>
      </c>
      <c r="E278" s="111" t="s">
        <v>309</v>
      </c>
      <c r="F278" s="114">
        <f t="shared" si="68"/>
        <v>2</v>
      </c>
      <c r="G278" s="115" t="str">
        <f t="shared" si="69"/>
        <v>Oscar</v>
      </c>
      <c r="H278" s="116">
        <f>IF($D278="",0,IFERROR(LOOKUP(2,1/(($D$3:D277=$D278)*($A$3:A277&lt;$A278)),$N$3:N277),'Guide &amp; Settings'!$C$41))</f>
        <v>1002.9754060253616</v>
      </c>
      <c r="I278" s="117">
        <f t="shared" si="70"/>
        <v>0.25</v>
      </c>
      <c r="J278" s="118">
        <f>IF($D278="",0,IF($F278&lt;2,0,IF($E278="Win",('Guide &amp; Settings'!$C$42/(($F278-1)*COUNTIFS($A$4:$A$810,$A278,$E$4:$E$810,"Win")))*SUMIFS($X$4:$X$810,$A$4:$A$810,$A278,$E$4:$E$810,"Loss"),-('Guide &amp; Settings'!$C$42/($F278-1))*$X278)))</f>
        <v>-12.992621410263446</v>
      </c>
      <c r="K278" s="118">
        <f>IF($D278="",0,'Guide &amp; Settings'!$C$43*(IF($E278="Win",1,0)-$I278))</f>
        <v>-3</v>
      </c>
      <c r="L278" s="119">
        <f>IF($D278="",0,'Guide &amp; Settings'!$C$44*IF($F278&gt;=3,$F278,0))</f>
        <v>0</v>
      </c>
      <c r="M278" s="118">
        <f t="shared" si="71"/>
        <v>-15.992621410263446</v>
      </c>
      <c r="N278" s="116">
        <f t="shared" si="72"/>
        <v>986.98278461509813</v>
      </c>
      <c r="O278" s="115" t="str">
        <f t="shared" si="73"/>
        <v>OK</v>
      </c>
      <c r="P278">
        <f t="shared" si="74"/>
        <v>1076.6069656843583</v>
      </c>
      <c r="Q278">
        <f t="shared" si="75"/>
        <v>0.39559409459721812</v>
      </c>
      <c r="R278">
        <f t="shared" si="76"/>
        <v>0.16666666666666666</v>
      </c>
      <c r="S278">
        <f t="shared" si="77"/>
        <v>0.66666666666666663</v>
      </c>
      <c r="T278" s="83">
        <f t="shared" si="78"/>
        <v>4</v>
      </c>
      <c r="U278" s="120">
        <f>IF($D278="",0,IFERROR(LOOKUP(2,1/(($D$3:D277=$D278)*($C$3:C277=$C278)*($A$3:A277&lt;$A278)),$AB$3:AB277),1000))</f>
        <v>941.48032952138237</v>
      </c>
      <c r="V278" s="120">
        <f t="shared" si="79"/>
        <v>975.64426091248197</v>
      </c>
      <c r="W278">
        <f t="shared" si="80"/>
        <v>1041.7344374303716</v>
      </c>
      <c r="X278">
        <f t="shared" si="81"/>
        <v>0.40601941907073269</v>
      </c>
      <c r="Y278">
        <f t="shared" si="82"/>
        <v>998.14377711288819</v>
      </c>
      <c r="Z278">
        <f t="shared" si="83"/>
        <v>0.41917012785744429</v>
      </c>
      <c r="AA278">
        <f>IF($D278="",0,IF($F278&lt;2,0,IF($E278="Win",('Guide &amp; Settings'!$C$42/(($F278-1)*COUNTIFS($A$4:$A$810,$A278,$E$4:$E$810,"Win")))*SUMIFS($Z$4:$Z$810,$A$4:$A$810,$A278,$E$4:$E$810,"Loss"),-('Guide &amp; Settings'!$C$42/($F278-1))*$Z278)))</f>
        <v>-13.413444091438217</v>
      </c>
      <c r="AB278" s="120">
        <f t="shared" si="84"/>
        <v>928.06688542994414</v>
      </c>
      <c r="AC278" s="120">
        <f>IF($D278="","",IF(SUMPRODUCT(MAX(($D$4:$D$810=$D278)*($B$4:$B$810&lt;$B278)*$B$4:$B$810))=0,0,MAX(($B278-MAX(SUMPRODUCT(MAX(($D$4:$D$810=$D278)*($B$4:$B$810&lt;$B278)*$B$4:$B$810)),'Guide &amp; Settings'!$C$50))/7-'Guide &amp; Settings'!$C$48,0)*'Guide &amp; Settings'!$C$49))</f>
        <v>0</v>
      </c>
    </row>
    <row r="279" spans="1:29" ht="15" customHeight="1" x14ac:dyDescent="0.2">
      <c r="A279" s="111">
        <v>115</v>
      </c>
      <c r="B279" s="112">
        <v>46207</v>
      </c>
      <c r="C279" s="113" t="s">
        <v>199</v>
      </c>
      <c r="D279" s="113" t="s">
        <v>169</v>
      </c>
      <c r="E279" s="111" t="s">
        <v>308</v>
      </c>
      <c r="F279" s="114">
        <f t="shared" si="68"/>
        <v>2</v>
      </c>
      <c r="G279" s="115" t="str">
        <f t="shared" si="69"/>
        <v>Oscar</v>
      </c>
      <c r="H279" s="116">
        <f>IF($D279="",0,IFERROR(LOOKUP(2,1/(($D$3:D278=$D279)*($A$3:A278&lt;$A279)),$N$3:N278),'Guide &amp; Settings'!$C$41))</f>
        <v>1076.6069656843583</v>
      </c>
      <c r="I279" s="117">
        <f t="shared" si="70"/>
        <v>0.75</v>
      </c>
      <c r="J279" s="118">
        <f>IF($D279="",0,IF($F279&lt;2,0,IF($E279="Win",('Guide &amp; Settings'!$C$42/(($F279-1)*COUNTIFS($A$4:$A$810,$A279,$E$4:$E$810,"Win")))*SUMIFS($X$4:$X$810,$A$4:$A$810,$A279,$E$4:$E$810,"Loss"),-('Guide &amp; Settings'!$C$42/($F279-1))*$X279)))</f>
        <v>12.992621410263446</v>
      </c>
      <c r="K279" s="118">
        <f>IF($D279="",0,'Guide &amp; Settings'!$C$43*(IF($E279="Win",1,0)-$I279))</f>
        <v>3</v>
      </c>
      <c r="L279" s="119">
        <f>IF($D279="",0,'Guide &amp; Settings'!$C$44*IF($F279&gt;=3,$F279,0))</f>
        <v>0</v>
      </c>
      <c r="M279" s="118">
        <f t="shared" si="71"/>
        <v>15.992621410263446</v>
      </c>
      <c r="N279" s="116">
        <f t="shared" si="72"/>
        <v>1092.5995870946217</v>
      </c>
      <c r="O279" s="115" t="str">
        <f t="shared" si="73"/>
        <v>OK</v>
      </c>
      <c r="P279">
        <f t="shared" si="74"/>
        <v>1076.6069656843583</v>
      </c>
      <c r="Q279">
        <f t="shared" si="75"/>
        <v>0.5</v>
      </c>
      <c r="R279">
        <f t="shared" si="76"/>
        <v>0.5</v>
      </c>
      <c r="S279">
        <f t="shared" si="77"/>
        <v>0.66666666666666663</v>
      </c>
      <c r="T279" s="83">
        <f t="shared" si="78"/>
        <v>4</v>
      </c>
      <c r="U279" s="120">
        <f>IF($D279="",0,IFERROR(LOOKUP(2,1/(($D$3:D278=$D279)*($C$3:C278=$C279)*($A$3:A278&lt;$A279)),$AB$3:AB278),1000))</f>
        <v>998.14377711288819</v>
      </c>
      <c r="V279" s="120">
        <f t="shared" si="79"/>
        <v>1041.7344374303716</v>
      </c>
      <c r="W279">
        <f t="shared" si="80"/>
        <v>1041.7344374303716</v>
      </c>
      <c r="X279">
        <f t="shared" si="81"/>
        <v>0.5</v>
      </c>
      <c r="Y279">
        <f t="shared" si="82"/>
        <v>998.14377711288819</v>
      </c>
      <c r="Z279">
        <f t="shared" si="83"/>
        <v>0.5</v>
      </c>
      <c r="AA279">
        <f>IF($D279="",0,IF($F279&lt;2,0,IF($E279="Win",('Guide &amp; Settings'!$C$42/(($F279-1)*COUNTIFS($A$4:$A$810,$A279,$E$4:$E$810,"Win")))*SUMIFS($Z$4:$Z$810,$A$4:$A$810,$A279,$E$4:$E$810,"Loss"),-('Guide &amp; Settings'!$C$42/($F279-1))*$Z279)))</f>
        <v>13.413444091438217</v>
      </c>
      <c r="AB279" s="120">
        <f t="shared" si="84"/>
        <v>1011.5572212043264</v>
      </c>
      <c r="AC279" s="120">
        <f>IF($D279="","",IF(SUMPRODUCT(MAX(($D$4:$D$810=$D279)*($B$4:$B$810&lt;$B279)*$B$4:$B$810))=0,0,MAX(($B279-MAX(SUMPRODUCT(MAX(($D$4:$D$810=$D279)*($B$4:$B$810&lt;$B279)*$B$4:$B$810)),'Guide &amp; Settings'!$C$50))/7-'Guide &amp; Settings'!$C$48,0)*'Guide &amp; Settings'!$C$49))</f>
        <v>0</v>
      </c>
    </row>
    <row r="280" spans="1:29" ht="15" customHeight="1" x14ac:dyDescent="0.2">
      <c r="A280" s="111">
        <v>116</v>
      </c>
      <c r="B280" s="112">
        <v>46207</v>
      </c>
      <c r="C280" s="113" t="s">
        <v>199</v>
      </c>
      <c r="D280" s="113" t="s">
        <v>134</v>
      </c>
      <c r="E280" s="111" t="s">
        <v>309</v>
      </c>
      <c r="F280" s="114">
        <f t="shared" si="68"/>
        <v>2</v>
      </c>
      <c r="G280" s="115" t="str">
        <f t="shared" si="69"/>
        <v>Oscar</v>
      </c>
      <c r="H280" s="116">
        <f>IF($D280="",0,IFERROR(LOOKUP(2,1/(($D$3:D279=$D280)*($A$3:A279&lt;$A280)),$N$3:N279),'Guide &amp; Settings'!$C$41))</f>
        <v>986.98278461509813</v>
      </c>
      <c r="I280" s="117">
        <f t="shared" si="70"/>
        <v>0.2</v>
      </c>
      <c r="J280" s="118">
        <f>IF($D280="",0,IF($F280&lt;2,0,IF($E280="Win",('Guide &amp; Settings'!$C$42/(($F280-1)*COUNTIFS($A$4:$A$810,$A280,$E$4:$E$810,"Win")))*SUMIFS($X$4:$X$810,$A$4:$A$810,$A280,$E$4:$E$810,"Loss"),-('Guide &amp; Settings'!$C$42/($F280-1))*$X280)))</f>
        <v>-11.750055439935712</v>
      </c>
      <c r="K280" s="118">
        <f>IF($D280="",0,'Guide &amp; Settings'!$C$43*(IF($E280="Win",1,0)-$I280))</f>
        <v>-2.4000000000000004</v>
      </c>
      <c r="L280" s="119">
        <f>IF($D280="",0,'Guide &amp; Settings'!$C$44*IF($F280&gt;=3,$F280,0))</f>
        <v>0</v>
      </c>
      <c r="M280" s="118">
        <f t="shared" si="71"/>
        <v>-14.150055439935713</v>
      </c>
      <c r="N280" s="116">
        <f t="shared" si="72"/>
        <v>972.8327291751624</v>
      </c>
      <c r="O280" s="115" t="str">
        <f t="shared" si="73"/>
        <v>OK</v>
      </c>
      <c r="P280">
        <f t="shared" si="74"/>
        <v>1092.5995870946217</v>
      </c>
      <c r="Q280">
        <f t="shared" si="75"/>
        <v>0.35252031029100833</v>
      </c>
      <c r="R280">
        <f t="shared" si="76"/>
        <v>0.14285714285714285</v>
      </c>
      <c r="S280">
        <f t="shared" si="77"/>
        <v>0.71428571428571419</v>
      </c>
      <c r="T280" s="83">
        <f t="shared" si="78"/>
        <v>5</v>
      </c>
      <c r="U280" s="120">
        <f>IF($D280="",0,IFERROR(LOOKUP(2,1/(($D$3:D279=$D280)*($C$3:C279=$C280)*($A$3:A279&lt;$A280)),$AB$3:AB279),1000))</f>
        <v>928.06688542994414</v>
      </c>
      <c r="V280" s="120">
        <f t="shared" si="79"/>
        <v>957.52483502252107</v>
      </c>
      <c r="W280">
        <f t="shared" si="80"/>
        <v>1052.078404149474</v>
      </c>
      <c r="X280">
        <f t="shared" si="81"/>
        <v>0.36718923249799101</v>
      </c>
      <c r="Y280">
        <f t="shared" si="82"/>
        <v>1011.5572212043264</v>
      </c>
      <c r="Z280">
        <f t="shared" si="83"/>
        <v>0.38210832755194674</v>
      </c>
      <c r="AA280">
        <f>IF($D280="",0,IF($F280&lt;2,0,IF($E280="Win",('Guide &amp; Settings'!$C$42/(($F280-1)*COUNTIFS($A$4:$A$810,$A280,$E$4:$E$810,"Win")))*SUMIFS($Z$4:$Z$810,$A$4:$A$810,$A280,$E$4:$E$810,"Loss"),-('Guide &amp; Settings'!$C$42/($F280-1))*$Z280)))</f>
        <v>-12.227466481662296</v>
      </c>
      <c r="AB280" s="120">
        <f t="shared" si="84"/>
        <v>915.83941894828183</v>
      </c>
      <c r="AC280" s="120">
        <f>IF($D280="","",IF(SUMPRODUCT(MAX(($D$4:$D$810=$D280)*($B$4:$B$810&lt;$B280)*$B$4:$B$810))=0,0,MAX(($B280-MAX(SUMPRODUCT(MAX(($D$4:$D$810=$D280)*($B$4:$B$810&lt;$B280)*$B$4:$B$810)),'Guide &amp; Settings'!$C$50))/7-'Guide &amp; Settings'!$C$48,0)*'Guide &amp; Settings'!$C$49))</f>
        <v>0</v>
      </c>
    </row>
    <row r="281" spans="1:29" ht="15" customHeight="1" x14ac:dyDescent="0.2">
      <c r="A281" s="111">
        <v>116</v>
      </c>
      <c r="B281" s="112">
        <v>46207</v>
      </c>
      <c r="C281" s="113" t="s">
        <v>199</v>
      </c>
      <c r="D281" s="113" t="s">
        <v>169</v>
      </c>
      <c r="E281" s="111" t="s">
        <v>308</v>
      </c>
      <c r="F281" s="114">
        <f t="shared" si="68"/>
        <v>2</v>
      </c>
      <c r="G281" s="115" t="str">
        <f t="shared" si="69"/>
        <v>Oscar</v>
      </c>
      <c r="H281" s="116">
        <f>IF($D281="",0,IFERROR(LOOKUP(2,1/(($D$3:D280=$D281)*($A$3:A280&lt;$A281)),$N$3:N280),'Guide &amp; Settings'!$C$41))</f>
        <v>1092.5995870946217</v>
      </c>
      <c r="I281" s="117">
        <f t="shared" si="70"/>
        <v>0.8</v>
      </c>
      <c r="J281" s="118">
        <f>IF($D281="",0,IF($F281&lt;2,0,IF($E281="Win",('Guide &amp; Settings'!$C$42/(($F281-1)*COUNTIFS($A$4:$A$810,$A281,$E$4:$E$810,"Win")))*SUMIFS($X$4:$X$810,$A$4:$A$810,$A281,$E$4:$E$810,"Loss"),-('Guide &amp; Settings'!$C$42/($F281-1))*$X281)))</f>
        <v>11.750055439935712</v>
      </c>
      <c r="K281" s="118">
        <f>IF($D281="",0,'Guide &amp; Settings'!$C$43*(IF($E281="Win",1,0)-$I281))</f>
        <v>2.3999999999999995</v>
      </c>
      <c r="L281" s="119">
        <f>IF($D281="",0,'Guide &amp; Settings'!$C$44*IF($F281&gt;=3,$F281,0))</f>
        <v>0</v>
      </c>
      <c r="M281" s="118">
        <f t="shared" si="71"/>
        <v>14.150055439935713</v>
      </c>
      <c r="N281" s="116">
        <f t="shared" si="72"/>
        <v>1106.7496425345573</v>
      </c>
      <c r="O281" s="115" t="str">
        <f t="shared" si="73"/>
        <v>OK</v>
      </c>
      <c r="P281">
        <f t="shared" si="74"/>
        <v>1092.5995870946217</v>
      </c>
      <c r="Q281">
        <f t="shared" si="75"/>
        <v>0.5</v>
      </c>
      <c r="R281">
        <f t="shared" si="76"/>
        <v>0.5714285714285714</v>
      </c>
      <c r="S281">
        <f t="shared" si="77"/>
        <v>0.71428571428571419</v>
      </c>
      <c r="T281" s="83">
        <f t="shared" si="78"/>
        <v>5</v>
      </c>
      <c r="U281" s="120">
        <f>IF($D281="",0,IFERROR(LOOKUP(2,1/(($D$3:D280=$D281)*($C$3:C280=$C281)*($A$3:A280&lt;$A281)),$AB$3:AB280),1000))</f>
        <v>1011.5572212043264</v>
      </c>
      <c r="V281" s="120">
        <f t="shared" si="79"/>
        <v>1052.078404149474</v>
      </c>
      <c r="W281">
        <f t="shared" si="80"/>
        <v>1052.078404149474</v>
      </c>
      <c r="X281">
        <f t="shared" si="81"/>
        <v>0.5</v>
      </c>
      <c r="Y281">
        <f t="shared" si="82"/>
        <v>1011.5572212043264</v>
      </c>
      <c r="Z281">
        <f t="shared" si="83"/>
        <v>0.5</v>
      </c>
      <c r="AA281">
        <f>IF($D281="",0,IF($F281&lt;2,0,IF($E281="Win",('Guide &amp; Settings'!$C$42/(($F281-1)*COUNTIFS($A$4:$A$810,$A281,$E$4:$E$810,"Win")))*SUMIFS($Z$4:$Z$810,$A$4:$A$810,$A281,$E$4:$E$810,"Loss"),-('Guide &amp; Settings'!$C$42/($F281-1))*$Z281)))</f>
        <v>12.227466481662296</v>
      </c>
      <c r="AB281" s="120">
        <f t="shared" si="84"/>
        <v>1023.7846876859887</v>
      </c>
      <c r="AC281" s="120">
        <f>IF($D281="","",IF(SUMPRODUCT(MAX(($D$4:$D$810=$D281)*($B$4:$B$810&lt;$B281)*$B$4:$B$810))=0,0,MAX(($B281-MAX(SUMPRODUCT(MAX(($D$4:$D$810=$D281)*($B$4:$B$810&lt;$B281)*$B$4:$B$810)),'Guide &amp; Settings'!$C$50))/7-'Guide &amp; Settings'!$C$48,0)*'Guide &amp; Settings'!$C$49))</f>
        <v>0</v>
      </c>
    </row>
    <row r="282" spans="1:29" ht="15" customHeight="1" x14ac:dyDescent="0.2">
      <c r="A282" s="111">
        <v>117</v>
      </c>
      <c r="B282" s="112">
        <v>46207</v>
      </c>
      <c r="C282" s="113" t="s">
        <v>199</v>
      </c>
      <c r="D282" s="113" t="s">
        <v>134</v>
      </c>
      <c r="E282" s="111" t="s">
        <v>309</v>
      </c>
      <c r="F282" s="114">
        <f t="shared" si="68"/>
        <v>2</v>
      </c>
      <c r="G282" s="115" t="str">
        <f t="shared" si="69"/>
        <v>Oscar</v>
      </c>
      <c r="H282" s="116">
        <f>IF($D282="",0,IFERROR(LOOKUP(2,1/(($D$3:D281=$D282)*($A$3:A281&lt;$A282)),$N$3:N281),'Guide &amp; Settings'!$C$41))</f>
        <v>972.8327291751624</v>
      </c>
      <c r="I282" s="117">
        <f t="shared" si="70"/>
        <v>0.16666666666666666</v>
      </c>
      <c r="J282" s="118">
        <f>IF($D282="",0,IF($F282&lt;2,0,IF($E282="Win",('Guide &amp; Settings'!$C$42/(($F282-1)*COUNTIFS($A$4:$A$810,$A282,$E$4:$E$810,"Win")))*SUMIFS($X$4:$X$810,$A$4:$A$810,$A282,$E$4:$E$810,"Loss"),-('Guide &amp; Settings'!$C$42/($F282-1))*$X282)))</f>
        <v>-10.693759628903043</v>
      </c>
      <c r="K282" s="118">
        <f>IF($D282="",0,'Guide &amp; Settings'!$C$43*(IF($E282="Win",1,0)-$I282))</f>
        <v>-2</v>
      </c>
      <c r="L282" s="119">
        <f>IF($D282="",0,'Guide &amp; Settings'!$C$44*IF($F282&gt;=3,$F282,0))</f>
        <v>0</v>
      </c>
      <c r="M282" s="118">
        <f t="shared" si="71"/>
        <v>-12.693759628903043</v>
      </c>
      <c r="N282" s="116">
        <f t="shared" si="72"/>
        <v>960.13896954625932</v>
      </c>
      <c r="O282" s="115" t="str">
        <f t="shared" si="73"/>
        <v>OK</v>
      </c>
      <c r="P282">
        <f t="shared" si="74"/>
        <v>1106.7496425345573</v>
      </c>
      <c r="Q282">
        <f t="shared" si="75"/>
        <v>0.31628710567640728</v>
      </c>
      <c r="R282">
        <f t="shared" si="76"/>
        <v>0.125</v>
      </c>
      <c r="S282">
        <f t="shared" si="77"/>
        <v>0.75</v>
      </c>
      <c r="T282" s="83">
        <f t="shared" si="78"/>
        <v>6</v>
      </c>
      <c r="U282" s="120">
        <f>IF($D282="",0,IFERROR(LOOKUP(2,1/(($D$3:D281=$D282)*($C$3:C281=$C282)*($A$3:A281&lt;$A282)),$AB$3:AB281),1000))</f>
        <v>915.83941894828183</v>
      </c>
      <c r="V282" s="120">
        <f t="shared" si="79"/>
        <v>941.74546905140937</v>
      </c>
      <c r="W282">
        <f t="shared" si="80"/>
        <v>1061.4960307989745</v>
      </c>
      <c r="X282">
        <f t="shared" si="81"/>
        <v>0.33417998840322011</v>
      </c>
      <c r="Y282">
        <f t="shared" si="82"/>
        <v>1023.7846876859887</v>
      </c>
      <c r="Z282">
        <f t="shared" si="83"/>
        <v>0.34946699400312992</v>
      </c>
      <c r="AA282">
        <f>IF($D282="",0,IF($F282&lt;2,0,IF($E282="Win",('Guide &amp; Settings'!$C$42/(($F282-1)*COUNTIFS($A$4:$A$810,$A282,$E$4:$E$810,"Win")))*SUMIFS($Z$4:$Z$810,$A$4:$A$810,$A282,$E$4:$E$810,"Loss"),-('Guide &amp; Settings'!$C$42/($F282-1))*$Z282)))</f>
        <v>-11.182943808100157</v>
      </c>
      <c r="AB282" s="120">
        <f t="shared" si="84"/>
        <v>904.65647514018167</v>
      </c>
      <c r="AC282" s="120">
        <f>IF($D282="","",IF(SUMPRODUCT(MAX(($D$4:$D$810=$D282)*($B$4:$B$810&lt;$B282)*$B$4:$B$810))=0,0,MAX(($B282-MAX(SUMPRODUCT(MAX(($D$4:$D$810=$D282)*($B$4:$B$810&lt;$B282)*$B$4:$B$810)),'Guide &amp; Settings'!$C$50))/7-'Guide &amp; Settings'!$C$48,0)*'Guide &amp; Settings'!$C$49))</f>
        <v>0</v>
      </c>
    </row>
    <row r="283" spans="1:29" ht="15" customHeight="1" x14ac:dyDescent="0.2">
      <c r="A283" s="111">
        <v>117</v>
      </c>
      <c r="B283" s="112">
        <v>46207</v>
      </c>
      <c r="C283" s="113" t="s">
        <v>199</v>
      </c>
      <c r="D283" s="113" t="s">
        <v>169</v>
      </c>
      <c r="E283" s="111" t="s">
        <v>308</v>
      </c>
      <c r="F283" s="114">
        <f t="shared" si="68"/>
        <v>2</v>
      </c>
      <c r="G283" s="115" t="str">
        <f t="shared" si="69"/>
        <v>Oscar</v>
      </c>
      <c r="H283" s="116">
        <f>IF($D283="",0,IFERROR(LOOKUP(2,1/(($D$3:D282=$D283)*($A$3:A282&lt;$A283)),$N$3:N282),'Guide &amp; Settings'!$C$41))</f>
        <v>1106.7496425345573</v>
      </c>
      <c r="I283" s="117">
        <f t="shared" si="70"/>
        <v>0.83333333333333337</v>
      </c>
      <c r="J283" s="118">
        <f>IF($D283="",0,IF($F283&lt;2,0,IF($E283="Win",('Guide &amp; Settings'!$C$42/(($F283-1)*COUNTIFS($A$4:$A$810,$A283,$E$4:$E$810,"Win")))*SUMIFS($X$4:$X$810,$A$4:$A$810,$A283,$E$4:$E$810,"Loss"),-('Guide &amp; Settings'!$C$42/($F283-1))*$X283)))</f>
        <v>10.693759628903043</v>
      </c>
      <c r="K283" s="118">
        <f>IF($D283="",0,'Guide &amp; Settings'!$C$43*(IF($E283="Win",1,0)-$I283))</f>
        <v>1.9999999999999996</v>
      </c>
      <c r="L283" s="119">
        <f>IF($D283="",0,'Guide &amp; Settings'!$C$44*IF($F283&gt;=3,$F283,0))</f>
        <v>0</v>
      </c>
      <c r="M283" s="118">
        <f t="shared" si="71"/>
        <v>12.693759628903043</v>
      </c>
      <c r="N283" s="116">
        <f t="shared" si="72"/>
        <v>1119.4434021634604</v>
      </c>
      <c r="O283" s="115" t="str">
        <f t="shared" si="73"/>
        <v>OK</v>
      </c>
      <c r="P283">
        <f t="shared" si="74"/>
        <v>1106.7496425345573</v>
      </c>
      <c r="Q283">
        <f t="shared" si="75"/>
        <v>0.5</v>
      </c>
      <c r="R283">
        <f t="shared" si="76"/>
        <v>0.625</v>
      </c>
      <c r="S283">
        <f t="shared" si="77"/>
        <v>0.75</v>
      </c>
      <c r="T283" s="83">
        <f t="shared" si="78"/>
        <v>6</v>
      </c>
      <c r="U283" s="120">
        <f>IF($D283="",0,IFERROR(LOOKUP(2,1/(($D$3:D282=$D283)*($C$3:C282=$C283)*($A$3:A282&lt;$A283)),$AB$3:AB282),1000))</f>
        <v>1023.7846876859887</v>
      </c>
      <c r="V283" s="120">
        <f t="shared" si="79"/>
        <v>1061.4960307989745</v>
      </c>
      <c r="W283">
        <f t="shared" si="80"/>
        <v>1061.4960307989745</v>
      </c>
      <c r="X283">
        <f t="shared" si="81"/>
        <v>0.5</v>
      </c>
      <c r="Y283">
        <f t="shared" si="82"/>
        <v>1023.7846876859887</v>
      </c>
      <c r="Z283">
        <f t="shared" si="83"/>
        <v>0.5</v>
      </c>
      <c r="AA283">
        <f>IF($D283="",0,IF($F283&lt;2,0,IF($E283="Win",('Guide &amp; Settings'!$C$42/(($F283-1)*COUNTIFS($A$4:$A$810,$A283,$E$4:$E$810,"Win")))*SUMIFS($Z$4:$Z$810,$A$4:$A$810,$A283,$E$4:$E$810,"Loss"),-('Guide &amp; Settings'!$C$42/($F283-1))*$Z283)))</f>
        <v>11.182943808100157</v>
      </c>
      <c r="AB283" s="120">
        <f t="shared" si="84"/>
        <v>1034.9676314940889</v>
      </c>
      <c r="AC283" s="120">
        <f>IF($D283="","",IF(SUMPRODUCT(MAX(($D$4:$D$810=$D283)*($B$4:$B$810&lt;$B283)*$B$4:$B$810))=0,0,MAX(($B283-MAX(SUMPRODUCT(MAX(($D$4:$D$810=$D283)*($B$4:$B$810&lt;$B283)*$B$4:$B$810)),'Guide &amp; Settings'!$C$50))/7-'Guide &amp; Settings'!$C$48,0)*'Guide &amp; Settings'!$C$49))</f>
        <v>0</v>
      </c>
    </row>
    <row r="284" spans="1:29" ht="15" customHeight="1" x14ac:dyDescent="0.2">
      <c r="A284" s="111">
        <v>118</v>
      </c>
      <c r="B284" s="112">
        <v>46207</v>
      </c>
      <c r="C284" s="113" t="s">
        <v>197</v>
      </c>
      <c r="D284" s="113" t="s">
        <v>134</v>
      </c>
      <c r="E284" s="111" t="s">
        <v>309</v>
      </c>
      <c r="F284" s="114">
        <f t="shared" si="68"/>
        <v>2</v>
      </c>
      <c r="G284" s="115" t="str">
        <f t="shared" si="69"/>
        <v>Oscar</v>
      </c>
      <c r="H284" s="116">
        <f>IF($D284="",0,IFERROR(LOOKUP(2,1/(($D$3:D283=$D284)*($A$3:A283&lt;$A284)),$N$3:N283),'Guide &amp; Settings'!$C$41))</f>
        <v>960.13896954625932</v>
      </c>
      <c r="I284" s="117">
        <f t="shared" si="70"/>
        <v>0.57142857142857151</v>
      </c>
      <c r="J284" s="118">
        <f>IF($D284="",0,IF($F284&lt;2,0,IF($E284="Win",('Guide &amp; Settings'!$C$42/(($F284-1)*COUNTIFS($A$4:$A$810,$A284,$E$4:$E$810,"Win")))*SUMIFS($X$4:$X$810,$A$4:$A$810,$A284,$E$4:$E$810,"Loss"),-('Guide &amp; Settings'!$C$42/($F284-1))*$X284)))</f>
        <v>-11.098494227906516</v>
      </c>
      <c r="K284" s="118">
        <f>IF($D284="",0,'Guide &amp; Settings'!$C$43*(IF($E284="Win",1,0)-$I284))</f>
        <v>-6.8571428571428577</v>
      </c>
      <c r="L284" s="119">
        <f>IF($D284="",0,'Guide &amp; Settings'!$C$44*IF($F284&gt;=3,$F284,0))</f>
        <v>0</v>
      </c>
      <c r="M284" s="118">
        <f t="shared" si="71"/>
        <v>-17.955637085049375</v>
      </c>
      <c r="N284" s="116">
        <f t="shared" si="72"/>
        <v>942.18333246120994</v>
      </c>
      <c r="O284" s="115" t="str">
        <f t="shared" si="73"/>
        <v>OK</v>
      </c>
      <c r="P284">
        <f t="shared" si="74"/>
        <v>1119.4434021634604</v>
      </c>
      <c r="Q284">
        <f t="shared" si="75"/>
        <v>0.2855634325569113</v>
      </c>
      <c r="R284">
        <f t="shared" si="76"/>
        <v>0.33333333333333331</v>
      </c>
      <c r="S284">
        <f t="shared" si="77"/>
        <v>0.58333333333333326</v>
      </c>
      <c r="T284" s="83">
        <f t="shared" si="78"/>
        <v>4</v>
      </c>
      <c r="U284" s="120">
        <f>IF($D284="",0,IFERROR(LOOKUP(2,1/(($D$3:D283=$D284)*($C$3:C283=$C284)*($A$3:A283&lt;$A284)),$AB$3:AB283),1000))</f>
        <v>984.43571391543799</v>
      </c>
      <c r="V284" s="120">
        <f t="shared" si="79"/>
        <v>970.93752259922758</v>
      </c>
      <c r="W284">
        <f t="shared" si="80"/>
        <v>1080.9029281497944</v>
      </c>
      <c r="X284">
        <f t="shared" si="81"/>
        <v>0.34682794462207861</v>
      </c>
      <c r="Y284">
        <f t="shared" si="82"/>
        <v>984.55174311562928</v>
      </c>
      <c r="Z284">
        <f t="shared" si="83"/>
        <v>0.49983302056451234</v>
      </c>
      <c r="AA284">
        <f>IF($D284="",0,IF($F284&lt;2,0,IF($E284="Win",('Guide &amp; Settings'!$C$42/(($F284-1)*COUNTIFS($A$4:$A$810,$A284,$E$4:$E$810,"Win")))*SUMIFS($Z$4:$Z$810,$A$4:$A$810,$A284,$E$4:$E$810,"Loss"),-('Guide &amp; Settings'!$C$42/($F284-1))*$Z284)))</f>
        <v>-15.994656658064395</v>
      </c>
      <c r="AB284" s="120">
        <f t="shared" si="84"/>
        <v>968.44105725737359</v>
      </c>
      <c r="AC284" s="120">
        <f>IF($D284="","",IF(SUMPRODUCT(MAX(($D$4:$D$810=$D284)*($B$4:$B$810&lt;$B284)*$B$4:$B$810))=0,0,MAX(($B284-MAX(SUMPRODUCT(MAX(($D$4:$D$810=$D284)*($B$4:$B$810&lt;$B284)*$B$4:$B$810)),'Guide &amp; Settings'!$C$50))/7-'Guide &amp; Settings'!$C$48,0)*'Guide &amp; Settings'!$C$49))</f>
        <v>0</v>
      </c>
    </row>
    <row r="285" spans="1:29" ht="15" customHeight="1" x14ac:dyDescent="0.2">
      <c r="A285" s="111">
        <v>118</v>
      </c>
      <c r="B285" s="112">
        <v>46207</v>
      </c>
      <c r="C285" s="113" t="s">
        <v>197</v>
      </c>
      <c r="D285" s="113" t="s">
        <v>169</v>
      </c>
      <c r="E285" s="111" t="s">
        <v>308</v>
      </c>
      <c r="F285" s="114">
        <f t="shared" si="68"/>
        <v>2</v>
      </c>
      <c r="G285" s="115" t="str">
        <f t="shared" si="69"/>
        <v>Oscar</v>
      </c>
      <c r="H285" s="116">
        <f>IF($D285="",0,IFERROR(LOOKUP(2,1/(($D$3:D284=$D285)*($A$3:A284&lt;$A285)),$N$3:N284),'Guide &amp; Settings'!$C$41))</f>
        <v>1119.4434021634604</v>
      </c>
      <c r="I285" s="117">
        <f t="shared" si="70"/>
        <v>0.4285714285714286</v>
      </c>
      <c r="J285" s="118">
        <f>IF($D285="",0,IF($F285&lt;2,0,IF($E285="Win",('Guide &amp; Settings'!$C$42/(($F285-1)*COUNTIFS($A$4:$A$810,$A285,$E$4:$E$810,"Win")))*SUMIFS($X$4:$X$810,$A$4:$A$810,$A285,$E$4:$E$810,"Loss"),-('Guide &amp; Settings'!$C$42/($F285-1))*$X285)))</f>
        <v>11.098494227906516</v>
      </c>
      <c r="K285" s="118">
        <f>IF($D285="",0,'Guide &amp; Settings'!$C$43*(IF($E285="Win",1,0)-$I285))</f>
        <v>6.8571428571428568</v>
      </c>
      <c r="L285" s="119">
        <f>IF($D285="",0,'Guide &amp; Settings'!$C$44*IF($F285&gt;=3,$F285,0))</f>
        <v>0</v>
      </c>
      <c r="M285" s="118">
        <f t="shared" si="71"/>
        <v>17.955637085049371</v>
      </c>
      <c r="N285" s="116">
        <f t="shared" si="72"/>
        <v>1137.3990392485098</v>
      </c>
      <c r="O285" s="115" t="str">
        <f t="shared" si="73"/>
        <v>OK</v>
      </c>
      <c r="P285">
        <f t="shared" si="74"/>
        <v>1119.4434021634604</v>
      </c>
      <c r="Q285">
        <f t="shared" si="75"/>
        <v>0.5</v>
      </c>
      <c r="R285">
        <f t="shared" si="76"/>
        <v>0.25</v>
      </c>
      <c r="S285">
        <f t="shared" si="77"/>
        <v>0.58333333333333326</v>
      </c>
      <c r="T285" s="83">
        <f t="shared" si="78"/>
        <v>2</v>
      </c>
      <c r="U285" s="120">
        <f>IF($D285="",0,IFERROR(LOOKUP(2,1/(($D$3:D284=$D285)*($C$3:C284=$C285)*($A$3:A284&lt;$A285)),$AB$3:AB284),1000))</f>
        <v>984.55174311562928</v>
      </c>
      <c r="V285" s="120">
        <f t="shared" si="79"/>
        <v>1080.9029281497944</v>
      </c>
      <c r="W285">
        <f t="shared" si="80"/>
        <v>1080.9029281497944</v>
      </c>
      <c r="X285">
        <f t="shared" si="81"/>
        <v>0.5</v>
      </c>
      <c r="Y285">
        <f t="shared" si="82"/>
        <v>984.55174311562928</v>
      </c>
      <c r="Z285">
        <f t="shared" si="83"/>
        <v>0.5</v>
      </c>
      <c r="AA285">
        <f>IF($D285="",0,IF($F285&lt;2,0,IF($E285="Win",('Guide &amp; Settings'!$C$42/(($F285-1)*COUNTIFS($A$4:$A$810,$A285,$E$4:$E$810,"Win")))*SUMIFS($Z$4:$Z$810,$A$4:$A$810,$A285,$E$4:$E$810,"Loss"),-('Guide &amp; Settings'!$C$42/($F285-1))*$Z285)))</f>
        <v>15.994656658064395</v>
      </c>
      <c r="AB285" s="120">
        <f t="shared" si="84"/>
        <v>1000.5463997736937</v>
      </c>
      <c r="AC285" s="120">
        <f>IF($D285="","",IF(SUMPRODUCT(MAX(($D$4:$D$810=$D285)*($B$4:$B$810&lt;$B285)*$B$4:$B$810))=0,0,MAX(($B285-MAX(SUMPRODUCT(MAX(($D$4:$D$810=$D285)*($B$4:$B$810&lt;$B285)*$B$4:$B$810)),'Guide &amp; Settings'!$C$50))/7-'Guide &amp; Settings'!$C$48,0)*'Guide &amp; Settings'!$C$49))</f>
        <v>0</v>
      </c>
    </row>
    <row r="286" spans="1:29" ht="15" customHeight="1" x14ac:dyDescent="0.2">
      <c r="A286" s="111">
        <v>119</v>
      </c>
      <c r="B286" s="112">
        <v>46208</v>
      </c>
      <c r="C286" s="113" t="s">
        <v>195</v>
      </c>
      <c r="D286" s="113" t="s">
        <v>134</v>
      </c>
      <c r="E286" s="111" t="s">
        <v>308</v>
      </c>
      <c r="F286" s="114">
        <f t="shared" si="68"/>
        <v>2</v>
      </c>
      <c r="G286" s="115" t="str">
        <f t="shared" si="69"/>
        <v>Shawn</v>
      </c>
      <c r="H286" s="116">
        <f>IF($D286="",0,IFERROR(LOOKUP(2,1/(($D$3:D285=$D286)*($A$3:A285&lt;$A286)),$N$3:N285),'Guide &amp; Settings'!$C$41))</f>
        <v>942.18333246120994</v>
      </c>
      <c r="I286" s="117">
        <f t="shared" si="70"/>
        <v>0.59770114942528729</v>
      </c>
      <c r="J286" s="118">
        <f>IF($D286="",0,IF($F286&lt;2,0,IF($E286="Win",('Guide &amp; Settings'!$C$42/(($F286-1)*COUNTIFS($A$4:$A$810,$A286,$E$4:$E$810,"Win")))*SUMIFS($X$4:$X$810,$A$4:$A$810,$A286,$E$4:$E$810,"Loss"),-('Guide &amp; Settings'!$C$42/($F286-1))*$X286)))</f>
        <v>19.871908411670749</v>
      </c>
      <c r="K286" s="118">
        <f>IF($D286="",0,'Guide &amp; Settings'!$C$43*(IF($E286="Win",1,0)-$I286))</f>
        <v>4.8275862068965525</v>
      </c>
      <c r="L286" s="119">
        <f>IF($D286="",0,'Guide &amp; Settings'!$C$44*IF($F286&gt;=3,$F286,0))</f>
        <v>0</v>
      </c>
      <c r="M286" s="118">
        <f t="shared" si="71"/>
        <v>24.6994946185673</v>
      </c>
      <c r="N286" s="116">
        <f t="shared" si="72"/>
        <v>966.88282707977726</v>
      </c>
      <c r="O286" s="115" t="str">
        <f t="shared" si="73"/>
        <v>OK</v>
      </c>
      <c r="P286">
        <f t="shared" si="74"/>
        <v>942.18333246120994</v>
      </c>
      <c r="Q286">
        <f t="shared" si="75"/>
        <v>0.5</v>
      </c>
      <c r="R286">
        <f t="shared" si="76"/>
        <v>0.8</v>
      </c>
      <c r="S286">
        <f t="shared" si="77"/>
        <v>1.3384615384615386</v>
      </c>
      <c r="T286" s="83">
        <f t="shared" si="78"/>
        <v>3</v>
      </c>
      <c r="U286" s="120">
        <f>IF($D286="",0,IFERROR(LOOKUP(2,1/(($D$3:D285=$D286)*($C$3:C285=$C286)*($A$3:A285&lt;$A286)),$AB$3:AB285),1000))</f>
        <v>1043.7471336336109</v>
      </c>
      <c r="V286" s="120">
        <f t="shared" si="79"/>
        <v>980.26975790086033</v>
      </c>
      <c r="W286">
        <f t="shared" si="80"/>
        <v>980.26975790086033</v>
      </c>
      <c r="X286">
        <f t="shared" si="81"/>
        <v>0.5</v>
      </c>
      <c r="Y286">
        <f t="shared" si="82"/>
        <v>1043.7471336336109</v>
      </c>
      <c r="Z286">
        <f t="shared" si="83"/>
        <v>0.5</v>
      </c>
      <c r="AA286">
        <f>IF($D286="",0,IF($F286&lt;2,0,IF($E286="Win",('Guide &amp; Settings'!$C$42/(($F286-1)*COUNTIFS($A$4:$A$810,$A286,$E$4:$E$810,"Win")))*SUMIFS($Z$4:$Z$810,$A$4:$A$810,$A286,$E$4:$E$810,"Loss"),-('Guide &amp; Settings'!$C$42/($F286-1))*$Z286)))</f>
        <v>15.533603129476869</v>
      </c>
      <c r="AB286" s="120">
        <f t="shared" si="84"/>
        <v>1059.2807367630878</v>
      </c>
      <c r="AC286" s="120">
        <f>IF($D286="","",IF(SUMPRODUCT(MAX(($D$4:$D$810=$D286)*($B$4:$B$810&lt;$B286)*$B$4:$B$810))=0,0,MAX(($B286-MAX(SUMPRODUCT(MAX(($D$4:$D$810=$D286)*($B$4:$B$810&lt;$B286)*$B$4:$B$810)),'Guide &amp; Settings'!$C$50))/7-'Guide &amp; Settings'!$C$48,0)*'Guide &amp; Settings'!$C$49))</f>
        <v>0</v>
      </c>
    </row>
    <row r="287" spans="1:29" ht="15" customHeight="1" x14ac:dyDescent="0.2">
      <c r="A287" s="111">
        <v>119</v>
      </c>
      <c r="B287" s="112">
        <v>46208</v>
      </c>
      <c r="C287" s="113" t="s">
        <v>195</v>
      </c>
      <c r="D287" s="113" t="s">
        <v>169</v>
      </c>
      <c r="E287" s="111" t="s">
        <v>309</v>
      </c>
      <c r="F287" s="114">
        <f t="shared" si="68"/>
        <v>2</v>
      </c>
      <c r="G287" s="115" t="str">
        <f t="shared" si="69"/>
        <v>Shawn</v>
      </c>
      <c r="H287" s="116">
        <f>IF($D287="",0,IFERROR(LOOKUP(2,1/(($D$3:D286=$D287)*($A$3:A286&lt;$A287)),$N$3:N286),'Guide &amp; Settings'!$C$41))</f>
        <v>1137.3990392485098</v>
      </c>
      <c r="I287" s="117">
        <f t="shared" si="70"/>
        <v>0.4022988505747126</v>
      </c>
      <c r="J287" s="118">
        <f>IF($D287="",0,IF($F287&lt;2,0,IF($E287="Win",('Guide &amp; Settings'!$C$42/(($F287-1)*COUNTIFS($A$4:$A$810,$A287,$E$4:$E$810,"Win")))*SUMIFS($X$4:$X$810,$A$4:$A$810,$A287,$E$4:$E$810,"Loss"),-('Guide &amp; Settings'!$C$42/($F287-1))*$X287)))</f>
        <v>-19.871908411670749</v>
      </c>
      <c r="K287" s="118">
        <f>IF($D287="",0,'Guide &amp; Settings'!$C$43*(IF($E287="Win",1,0)-$I287))</f>
        <v>-4.8275862068965516</v>
      </c>
      <c r="L287" s="119">
        <f>IF($D287="",0,'Guide &amp; Settings'!$C$44*IF($F287&gt;=3,$F287,0))</f>
        <v>0</v>
      </c>
      <c r="M287" s="118">
        <f t="shared" si="71"/>
        <v>-24.6994946185673</v>
      </c>
      <c r="N287" s="116">
        <f t="shared" si="72"/>
        <v>1112.6995446299425</v>
      </c>
      <c r="O287" s="115" t="str">
        <f t="shared" si="73"/>
        <v>OK</v>
      </c>
      <c r="P287">
        <f t="shared" si="74"/>
        <v>942.18333246120994</v>
      </c>
      <c r="Q287">
        <f t="shared" si="75"/>
        <v>0.75468399957763532</v>
      </c>
      <c r="R287">
        <f t="shared" si="76"/>
        <v>0.53846153846153844</v>
      </c>
      <c r="S287">
        <f t="shared" si="77"/>
        <v>1.3384615384615386</v>
      </c>
      <c r="T287" s="83">
        <f t="shared" si="78"/>
        <v>11</v>
      </c>
      <c r="U287" s="120">
        <f>IF($D287="",0,IFERROR(LOOKUP(2,1/(($D$3:D286=$D287)*($C$3:C286=$C287)*($A$3:A286&lt;$A287)),$AB$3:AB286),1000))</f>
        <v>1033.6165842741636</v>
      </c>
      <c r="V287" s="120">
        <f t="shared" si="79"/>
        <v>1066.0486014536468</v>
      </c>
      <c r="W287">
        <f t="shared" si="80"/>
        <v>980.26975790086033</v>
      </c>
      <c r="X287">
        <f t="shared" si="81"/>
        <v>0.62099713786471089</v>
      </c>
      <c r="Y287">
        <f t="shared" si="82"/>
        <v>1043.7471336336109</v>
      </c>
      <c r="Z287">
        <f t="shared" si="83"/>
        <v>0.48542509779615217</v>
      </c>
      <c r="AA287">
        <f>IF($D287="",0,IF($F287&lt;2,0,IF($E287="Win",('Guide &amp; Settings'!$C$42/(($F287-1)*COUNTIFS($A$4:$A$810,$A287,$E$4:$E$810,"Win")))*SUMIFS($Z$4:$Z$810,$A$4:$A$810,$A287,$E$4:$E$810,"Loss"),-('Guide &amp; Settings'!$C$42/($F287-1))*$Z287)))</f>
        <v>-15.533603129476869</v>
      </c>
      <c r="AB287" s="120">
        <f t="shared" si="84"/>
        <v>1018.0829811446868</v>
      </c>
      <c r="AC287" s="120">
        <f>IF($D287="","",IF(SUMPRODUCT(MAX(($D$4:$D$810=$D287)*($B$4:$B$810&lt;$B287)*$B$4:$B$810))=0,0,MAX(($B287-MAX(SUMPRODUCT(MAX(($D$4:$D$810=$D287)*($B$4:$B$810&lt;$B287)*$B$4:$B$810)),'Guide &amp; Settings'!$C$50))/7-'Guide &amp; Settings'!$C$48,0)*'Guide &amp; Settings'!$C$49))</f>
        <v>0</v>
      </c>
    </row>
    <row r="288" spans="1:29" ht="15" customHeight="1" x14ac:dyDescent="0.2">
      <c r="A288" s="111">
        <v>120</v>
      </c>
      <c r="B288" s="112">
        <v>46208</v>
      </c>
      <c r="C288" s="113" t="s">
        <v>195</v>
      </c>
      <c r="D288" s="113" t="s">
        <v>134</v>
      </c>
      <c r="E288" s="111" t="s">
        <v>308</v>
      </c>
      <c r="F288" s="114">
        <f t="shared" si="68"/>
        <v>2</v>
      </c>
      <c r="G288" s="115" t="str">
        <f t="shared" si="69"/>
        <v>Shawn</v>
      </c>
      <c r="H288" s="116">
        <f>IF($D288="",0,IFERROR(LOOKUP(2,1/(($D$3:D287=$D288)*($A$3:A287&lt;$A288)),$N$3:N287),'Guide &amp; Settings'!$C$41))</f>
        <v>966.88282707977726</v>
      </c>
      <c r="I288" s="117">
        <f t="shared" si="70"/>
        <v>0.625</v>
      </c>
      <c r="J288" s="118">
        <f>IF($D288="",0,IF($F288&lt;2,0,IF($E288="Win",('Guide &amp; Settings'!$C$42/(($F288-1)*COUNTIFS($A$4:$A$810,$A288,$E$4:$E$810,"Win")))*SUMIFS($X$4:$X$810,$A$4:$A$810,$A288,$E$4:$E$810,"Loss"),-('Guide &amp; Settings'!$C$42/($F288-1))*$X288)))</f>
        <v>17.741327950613481</v>
      </c>
      <c r="K288" s="118">
        <f>IF($D288="",0,'Guide &amp; Settings'!$C$43*(IF($E288="Win",1,0)-$I288))</f>
        <v>4.5</v>
      </c>
      <c r="L288" s="119">
        <f>IF($D288="",0,'Guide &amp; Settings'!$C$44*IF($F288&gt;=3,$F288,0))</f>
        <v>0</v>
      </c>
      <c r="M288" s="118">
        <f t="shared" si="71"/>
        <v>22.241327950613481</v>
      </c>
      <c r="N288" s="116">
        <f t="shared" si="72"/>
        <v>989.12415503039074</v>
      </c>
      <c r="O288" s="115" t="str">
        <f t="shared" si="73"/>
        <v>OK</v>
      </c>
      <c r="P288">
        <f t="shared" si="74"/>
        <v>966.88282707977726</v>
      </c>
      <c r="Q288">
        <f t="shared" si="75"/>
        <v>0.5</v>
      </c>
      <c r="R288">
        <f t="shared" si="76"/>
        <v>0.83333333333333337</v>
      </c>
      <c r="S288">
        <f t="shared" si="77"/>
        <v>1.3333333333333335</v>
      </c>
      <c r="T288" s="83">
        <f t="shared" si="78"/>
        <v>4</v>
      </c>
      <c r="U288" s="120">
        <f>IF($D288="",0,IFERROR(LOOKUP(2,1/(($D$3:D287=$D288)*($C$3:C287=$C288)*($A$3:A287&lt;$A288)),$AB$3:AB287),1000))</f>
        <v>1059.2807367630878</v>
      </c>
      <c r="V288" s="120">
        <f t="shared" si="79"/>
        <v>1007.9485647168042</v>
      </c>
      <c r="W288">
        <f t="shared" si="80"/>
        <v>1007.9485647168042</v>
      </c>
      <c r="X288">
        <f t="shared" si="81"/>
        <v>0.5</v>
      </c>
      <c r="Y288">
        <f t="shared" si="82"/>
        <v>1059.2807367630878</v>
      </c>
      <c r="Z288">
        <f t="shared" si="83"/>
        <v>0.5</v>
      </c>
      <c r="AA288">
        <f>IF($D288="",0,IF($F288&lt;2,0,IF($E288="Win",('Guide &amp; Settings'!$C$42/(($F288-1)*COUNTIFS($A$4:$A$810,$A288,$E$4:$E$810,"Win")))*SUMIFS($Z$4:$Z$810,$A$4:$A$810,$A288,$E$4:$E$810,"Loss"),-('Guide &amp; Settings'!$C$42/($F288-1))*$Z288)))</f>
        <v>14.111615453782131</v>
      </c>
      <c r="AB288" s="120">
        <f t="shared" si="84"/>
        <v>1073.39235221687</v>
      </c>
      <c r="AC288" s="120">
        <f>IF($D288="","",IF(SUMPRODUCT(MAX(($D$4:$D$810=$D288)*($B$4:$B$810&lt;$B288)*$B$4:$B$810))=0,0,MAX(($B288-MAX(SUMPRODUCT(MAX(($D$4:$D$810=$D288)*($B$4:$B$810&lt;$B288)*$B$4:$B$810)),'Guide &amp; Settings'!$C$50))/7-'Guide &amp; Settings'!$C$48,0)*'Guide &amp; Settings'!$C$49))</f>
        <v>0</v>
      </c>
    </row>
    <row r="289" spans="1:29" ht="15" customHeight="1" x14ac:dyDescent="0.2">
      <c r="A289" s="111">
        <v>120</v>
      </c>
      <c r="B289" s="112">
        <v>46208</v>
      </c>
      <c r="C289" s="113" t="s">
        <v>195</v>
      </c>
      <c r="D289" s="113" t="s">
        <v>169</v>
      </c>
      <c r="E289" s="111" t="s">
        <v>309</v>
      </c>
      <c r="F289" s="114">
        <f t="shared" si="68"/>
        <v>2</v>
      </c>
      <c r="G289" s="115" t="str">
        <f t="shared" si="69"/>
        <v>Shawn</v>
      </c>
      <c r="H289" s="116">
        <f>IF($D289="",0,IFERROR(LOOKUP(2,1/(($D$3:D288=$D289)*($A$3:A288&lt;$A289)),$N$3:N288),'Guide &amp; Settings'!$C$41))</f>
        <v>1112.6995446299425</v>
      </c>
      <c r="I289" s="117">
        <f t="shared" si="70"/>
        <v>0.37499999999999994</v>
      </c>
      <c r="J289" s="118">
        <f>IF($D289="",0,IF($F289&lt;2,0,IF($E289="Win",('Guide &amp; Settings'!$C$42/(($F289-1)*COUNTIFS($A$4:$A$810,$A289,$E$4:$E$810,"Win")))*SUMIFS($X$4:$X$810,$A$4:$A$810,$A289,$E$4:$E$810,"Loss"),-('Guide &amp; Settings'!$C$42/($F289-1))*$X289)))</f>
        <v>-17.741327950613481</v>
      </c>
      <c r="K289" s="118">
        <f>IF($D289="",0,'Guide &amp; Settings'!$C$43*(IF($E289="Win",1,0)-$I289))</f>
        <v>-4.4999999999999991</v>
      </c>
      <c r="L289" s="119">
        <f>IF($D289="",0,'Guide &amp; Settings'!$C$44*IF($F289&gt;=3,$F289,0))</f>
        <v>0</v>
      </c>
      <c r="M289" s="118">
        <f t="shared" si="71"/>
        <v>-22.241327950613481</v>
      </c>
      <c r="N289" s="116">
        <f t="shared" si="72"/>
        <v>1090.4582166793289</v>
      </c>
      <c r="O289" s="115" t="str">
        <f t="shared" si="73"/>
        <v>OK</v>
      </c>
      <c r="P289">
        <f t="shared" si="74"/>
        <v>966.88282707977726</v>
      </c>
      <c r="Q289">
        <f t="shared" si="75"/>
        <v>0.69833641148080416</v>
      </c>
      <c r="R289">
        <f t="shared" si="76"/>
        <v>0.5</v>
      </c>
      <c r="S289">
        <f t="shared" si="77"/>
        <v>1.3333333333333335</v>
      </c>
      <c r="T289" s="83">
        <f t="shared" si="78"/>
        <v>12</v>
      </c>
      <c r="U289" s="120">
        <f>IF($D289="",0,IFERROR(LOOKUP(2,1/(($D$3:D288=$D289)*($C$3:C288=$C289)*($A$3:A288&lt;$A289)),$AB$3:AB288),1000))</f>
        <v>1018.0829811446868</v>
      </c>
      <c r="V289" s="120">
        <f t="shared" si="79"/>
        <v>1045.911382169762</v>
      </c>
      <c r="W289">
        <f t="shared" si="80"/>
        <v>1007.9485647168042</v>
      </c>
      <c r="X289">
        <f t="shared" si="81"/>
        <v>0.55441649845667129</v>
      </c>
      <c r="Y289">
        <f t="shared" si="82"/>
        <v>1059.2807367630878</v>
      </c>
      <c r="Z289">
        <f t="shared" si="83"/>
        <v>0.44098798293069158</v>
      </c>
      <c r="AA289">
        <f>IF($D289="",0,IF($F289&lt;2,0,IF($E289="Win",('Guide &amp; Settings'!$C$42/(($F289-1)*COUNTIFS($A$4:$A$810,$A289,$E$4:$E$810,"Win")))*SUMIFS($Z$4:$Z$810,$A$4:$A$810,$A289,$E$4:$E$810,"Loss"),-('Guide &amp; Settings'!$C$42/($F289-1))*$Z289)))</f>
        <v>-14.111615453782131</v>
      </c>
      <c r="AB289" s="120">
        <f t="shared" si="84"/>
        <v>1003.9713656909046</v>
      </c>
      <c r="AC289" s="120">
        <f>IF($D289="","",IF(SUMPRODUCT(MAX(($D$4:$D$810=$D289)*($B$4:$B$810&lt;$B289)*$B$4:$B$810))=0,0,MAX(($B289-MAX(SUMPRODUCT(MAX(($D$4:$D$810=$D289)*($B$4:$B$810&lt;$B289)*$B$4:$B$810)),'Guide &amp; Settings'!$C$50))/7-'Guide &amp; Settings'!$C$48,0)*'Guide &amp; Settings'!$C$49))</f>
        <v>0</v>
      </c>
    </row>
    <row r="290" spans="1:29" ht="15" customHeight="1" x14ac:dyDescent="0.2">
      <c r="A290" s="111">
        <v>121</v>
      </c>
      <c r="B290" s="112">
        <v>46208</v>
      </c>
      <c r="C290" s="113" t="s">
        <v>197</v>
      </c>
      <c r="D290" s="113" t="s">
        <v>134</v>
      </c>
      <c r="E290" s="111" t="s">
        <v>309</v>
      </c>
      <c r="F290" s="114">
        <f t="shared" si="68"/>
        <v>2</v>
      </c>
      <c r="G290" s="115" t="str">
        <f t="shared" si="69"/>
        <v>Daniel (Ferret)</v>
      </c>
      <c r="H290" s="116">
        <f>IF($D290="",0,IFERROR(LOOKUP(2,1/(($D$3:D289=$D290)*($A$3:A289&lt;$A290)),$N$3:N289),'Guide &amp; Settings'!$C$41))</f>
        <v>989.12415503039074</v>
      </c>
      <c r="I290" s="117">
        <f t="shared" si="70"/>
        <v>0.26315789473684204</v>
      </c>
      <c r="J290" s="118">
        <f>IF($D290="",0,IF($F290&lt;2,0,IF($E290="Win",('Guide &amp; Settings'!$C$42/(($F290-1)*COUNTIFS($A$4:$A$810,$A290,$E$4:$E$810,"Win")))*SUMIFS($X$4:$X$810,$A$4:$A$810,$A290,$E$4:$E$810,"Loss"),-('Guide &amp; Settings'!$C$42/($F290-1))*$X290)))</f>
        <v>-12.930907985614377</v>
      </c>
      <c r="K290" s="118">
        <f>IF($D290="",0,'Guide &amp; Settings'!$C$43*(IF($E290="Win",1,0)-$I290))</f>
        <v>-3.1578947368421044</v>
      </c>
      <c r="L290" s="119">
        <f>IF($D290="",0,'Guide &amp; Settings'!$C$44*IF($F290&gt;=3,$F290,0))</f>
        <v>0</v>
      </c>
      <c r="M290" s="118">
        <f t="shared" si="71"/>
        <v>-16.088802722456482</v>
      </c>
      <c r="N290" s="116">
        <f t="shared" si="72"/>
        <v>973.0353523079342</v>
      </c>
      <c r="O290" s="115" t="str">
        <f t="shared" si="73"/>
        <v>OK</v>
      </c>
      <c r="P290">
        <f t="shared" si="74"/>
        <v>1046.7343560403631</v>
      </c>
      <c r="Q290">
        <f t="shared" si="75"/>
        <v>0.41784383478495124</v>
      </c>
      <c r="R290">
        <f t="shared" si="76"/>
        <v>0.2857142857142857</v>
      </c>
      <c r="S290">
        <f t="shared" si="77"/>
        <v>1.0857142857142859</v>
      </c>
      <c r="T290" s="83">
        <f t="shared" si="78"/>
        <v>5</v>
      </c>
      <c r="U290" s="120">
        <f>IF($D290="",0,IFERROR(LOOKUP(2,1/(($D$3:D289=$D290)*($C$3:C289=$C290)*($A$3:A289&lt;$A290)),$AB$3:AB289),1000))</f>
        <v>968.44105725737359</v>
      </c>
      <c r="V290" s="120">
        <f t="shared" si="79"/>
        <v>978.78260614388216</v>
      </c>
      <c r="W290">
        <f t="shared" si="80"/>
        <v>1046.263003349839</v>
      </c>
      <c r="X290">
        <f t="shared" si="81"/>
        <v>0.40409087455044929</v>
      </c>
      <c r="Y290">
        <f t="shared" si="82"/>
        <v>1045.4774155322991</v>
      </c>
      <c r="Z290">
        <f t="shared" si="83"/>
        <v>0.3909175620918483</v>
      </c>
      <c r="AA290">
        <f>IF($D290="",0,IF($F290&lt;2,0,IF($E290="Win",('Guide &amp; Settings'!$C$42/(($F290-1)*COUNTIFS($A$4:$A$810,$A290,$E$4:$E$810,"Win")))*SUMIFS($Z$4:$Z$810,$A$4:$A$810,$A290,$E$4:$E$810,"Loss"),-('Guide &amp; Settings'!$C$42/($F290-1))*$Z290)))</f>
        <v>-12.509361986939146</v>
      </c>
      <c r="AB290" s="120">
        <f t="shared" si="84"/>
        <v>955.93169527043449</v>
      </c>
      <c r="AC290" s="120">
        <f>IF($D290="","",IF(SUMPRODUCT(MAX(($D$4:$D$810=$D290)*($B$4:$B$810&lt;$B290)*$B$4:$B$810))=0,0,MAX(($B290-MAX(SUMPRODUCT(MAX(($D$4:$D$810=$D290)*($B$4:$B$810&lt;$B290)*$B$4:$B$810)),'Guide &amp; Settings'!$C$50))/7-'Guide &amp; Settings'!$C$48,0)*'Guide &amp; Settings'!$C$49))</f>
        <v>0</v>
      </c>
    </row>
    <row r="291" spans="1:29" ht="15" customHeight="1" x14ac:dyDescent="0.2">
      <c r="A291" s="111">
        <v>121</v>
      </c>
      <c r="B291" s="112">
        <v>46208</v>
      </c>
      <c r="C291" s="113" t="s">
        <v>197</v>
      </c>
      <c r="D291" s="113" t="s">
        <v>170</v>
      </c>
      <c r="E291" s="111" t="s">
        <v>308</v>
      </c>
      <c r="F291" s="114">
        <f t="shared" si="68"/>
        <v>2</v>
      </c>
      <c r="G291" s="115" t="str">
        <f t="shared" si="69"/>
        <v>Daniel (Ferret)</v>
      </c>
      <c r="H291" s="116">
        <f>IF($D291="",0,IFERROR(LOOKUP(2,1/(($D$3:D290=$D291)*($A$3:A290&lt;$A291)),$N$3:N290),'Guide &amp; Settings'!$C$41))</f>
        <v>1046.7343560403631</v>
      </c>
      <c r="I291" s="117">
        <f t="shared" si="70"/>
        <v>0.73684210526315785</v>
      </c>
      <c r="J291" s="118">
        <f>IF($D291="",0,IF($F291&lt;2,0,IF($E291="Win",('Guide &amp; Settings'!$C$42/(($F291-1)*COUNTIFS($A$4:$A$810,$A291,$E$4:$E$810,"Win")))*SUMIFS($X$4:$X$810,$A$4:$A$810,$A291,$E$4:$E$810,"Loss"),-('Guide &amp; Settings'!$C$42/($F291-1))*$X291)))</f>
        <v>12.930907985614377</v>
      </c>
      <c r="K291" s="118">
        <f>IF($D291="",0,'Guide &amp; Settings'!$C$43*(IF($E291="Win",1,0)-$I291))</f>
        <v>3.1578947368421058</v>
      </c>
      <c r="L291" s="119">
        <f>IF($D291="",0,'Guide &amp; Settings'!$C$44*IF($F291&gt;=3,$F291,0))</f>
        <v>0</v>
      </c>
      <c r="M291" s="118">
        <f t="shared" si="71"/>
        <v>16.088802722456482</v>
      </c>
      <c r="N291" s="116">
        <f t="shared" si="72"/>
        <v>1062.8231587628195</v>
      </c>
      <c r="O291" s="115" t="str">
        <f t="shared" si="73"/>
        <v>OK</v>
      </c>
      <c r="P291">
        <f t="shared" si="74"/>
        <v>1046.7343560403631</v>
      </c>
      <c r="Q291">
        <f t="shared" si="75"/>
        <v>0.5</v>
      </c>
      <c r="R291">
        <f t="shared" si="76"/>
        <v>0.8</v>
      </c>
      <c r="S291">
        <f t="shared" si="77"/>
        <v>1.0857142857142859</v>
      </c>
      <c r="T291" s="83">
        <f t="shared" si="78"/>
        <v>3</v>
      </c>
      <c r="U291" s="120">
        <f>IF($D291="",0,IFERROR(LOOKUP(2,1/(($D$3:D290=$D291)*($C$3:C290=$C291)*($A$3:A290&lt;$A291)),$AB$3:AB290),1000))</f>
        <v>1045.4774155322991</v>
      </c>
      <c r="V291" s="120">
        <f t="shared" si="79"/>
        <v>1046.263003349839</v>
      </c>
      <c r="W291">
        <f t="shared" si="80"/>
        <v>1046.263003349839</v>
      </c>
      <c r="X291">
        <f t="shared" si="81"/>
        <v>0.5</v>
      </c>
      <c r="Y291">
        <f t="shared" si="82"/>
        <v>1045.4774155322991</v>
      </c>
      <c r="Z291">
        <f t="shared" si="83"/>
        <v>0.5</v>
      </c>
      <c r="AA291">
        <f>IF($D291="",0,IF($F291&lt;2,0,IF($E291="Win",('Guide &amp; Settings'!$C$42/(($F291-1)*COUNTIFS($A$4:$A$810,$A291,$E$4:$E$810,"Win")))*SUMIFS($Z$4:$Z$810,$A$4:$A$810,$A291,$E$4:$E$810,"Loss"),-('Guide &amp; Settings'!$C$42/($F291-1))*$Z291)))</f>
        <v>12.509361986939146</v>
      </c>
      <c r="AB291" s="120">
        <f t="shared" si="84"/>
        <v>1057.9867775192383</v>
      </c>
      <c r="AC291" s="120">
        <f>IF($D291="","",IF(SUMPRODUCT(MAX(($D$4:$D$810=$D291)*($B$4:$B$810&lt;$B291)*$B$4:$B$810))=0,0,MAX(($B291-MAX(SUMPRODUCT(MAX(($D$4:$D$810=$D291)*($B$4:$B$810&lt;$B291)*$B$4:$B$810)),'Guide &amp; Settings'!$C$50))/7-'Guide &amp; Settings'!$C$48,0)*'Guide &amp; Settings'!$C$49))</f>
        <v>0</v>
      </c>
    </row>
    <row r="292" spans="1:29" ht="15" customHeight="1" x14ac:dyDescent="0.2">
      <c r="A292" s="111">
        <v>122</v>
      </c>
      <c r="B292" s="112">
        <v>46208</v>
      </c>
      <c r="C292" s="113" t="s">
        <v>197</v>
      </c>
      <c r="D292" s="113" t="s">
        <v>134</v>
      </c>
      <c r="E292" s="111" t="s">
        <v>308</v>
      </c>
      <c r="F292" s="114">
        <f t="shared" si="68"/>
        <v>2</v>
      </c>
      <c r="G292" s="115" t="str">
        <f t="shared" si="69"/>
        <v>Shawn</v>
      </c>
      <c r="H292" s="116">
        <f>IF($D292="",0,IFERROR(LOOKUP(2,1/(($D$3:D291=$D292)*($A$3:A291&lt;$A292)),$N$3:N291),'Guide &amp; Settings'!$C$41))</f>
        <v>973.0353523079342</v>
      </c>
      <c r="I292" s="117">
        <f t="shared" si="70"/>
        <v>0.23076923076923073</v>
      </c>
      <c r="J292" s="118">
        <f>IF($D292="",0,IF($F292&lt;2,0,IF($E292="Win",('Guide &amp; Settings'!$C$42/(($F292-1)*COUNTIFS($A$4:$A$810,$A292,$E$4:$E$810,"Win")))*SUMIFS($X$4:$X$810,$A$4:$A$810,$A292,$E$4:$E$810,"Loss"),-('Guide &amp; Settings'!$C$42/($F292-1))*$X292)))</f>
        <v>20.353077964334474</v>
      </c>
      <c r="K292" s="118">
        <f>IF($D292="",0,'Guide &amp; Settings'!$C$43*(IF($E292="Win",1,0)-$I292))</f>
        <v>9.2307692307692317</v>
      </c>
      <c r="L292" s="119">
        <f>IF($D292="",0,'Guide &amp; Settings'!$C$44*IF($F292&gt;=3,$F292,0))</f>
        <v>0</v>
      </c>
      <c r="M292" s="118">
        <f t="shared" si="71"/>
        <v>29.583847195103708</v>
      </c>
      <c r="N292" s="116">
        <f t="shared" si="72"/>
        <v>1002.6191995030379</v>
      </c>
      <c r="O292" s="115" t="str">
        <f t="shared" si="73"/>
        <v>OK</v>
      </c>
      <c r="P292">
        <f t="shared" si="74"/>
        <v>973.0353523079342</v>
      </c>
      <c r="Q292">
        <f t="shared" si="75"/>
        <v>0.5</v>
      </c>
      <c r="R292">
        <f t="shared" si="76"/>
        <v>0.25</v>
      </c>
      <c r="S292">
        <f t="shared" si="77"/>
        <v>1.0833333333333335</v>
      </c>
      <c r="T292" s="83">
        <f t="shared" si="78"/>
        <v>6</v>
      </c>
      <c r="U292" s="120">
        <f>IF($D292="",0,IFERROR(LOOKUP(2,1/(($D$3:D291=$D292)*($C$3:C291=$C292)*($A$3:A291&lt;$A292)),$AB$3:AB291),1000))</f>
        <v>955.93169527043449</v>
      </c>
      <c r="V292" s="120">
        <f t="shared" si="79"/>
        <v>963.70608483293438</v>
      </c>
      <c r="W292">
        <f t="shared" si="80"/>
        <v>963.70608483293438</v>
      </c>
      <c r="X292">
        <f t="shared" si="81"/>
        <v>0.5</v>
      </c>
      <c r="Y292">
        <f t="shared" si="82"/>
        <v>955.93169527043449</v>
      </c>
      <c r="Z292">
        <f t="shared" si="83"/>
        <v>0.5</v>
      </c>
      <c r="AA292">
        <f>IF($D292="",0,IF($F292&lt;2,0,IF($E292="Win",('Guide &amp; Settings'!$C$42/(($F292-1)*COUNTIFS($A$4:$A$810,$A292,$E$4:$E$810,"Win")))*SUMIFS($Z$4:$Z$810,$A$4:$A$810,$A292,$E$4:$E$810,"Loss"),-('Guide &amp; Settings'!$C$42/($F292-1))*$Z292)))</f>
        <v>20.569148074012489</v>
      </c>
      <c r="AB292" s="120">
        <f t="shared" si="84"/>
        <v>976.50084334444693</v>
      </c>
      <c r="AC292" s="120">
        <f>IF($D292="","",IF(SUMPRODUCT(MAX(($D$4:$D$810=$D292)*($B$4:$B$810&lt;$B292)*$B$4:$B$810))=0,0,MAX(($B292-MAX(SUMPRODUCT(MAX(($D$4:$D$810=$D292)*($B$4:$B$810&lt;$B292)*$B$4:$B$810)),'Guide &amp; Settings'!$C$50))/7-'Guide &amp; Settings'!$C$48,0)*'Guide &amp; Settings'!$C$49))</f>
        <v>0</v>
      </c>
    </row>
    <row r="293" spans="1:29" ht="15" customHeight="1" x14ac:dyDescent="0.2">
      <c r="A293" s="111">
        <v>122</v>
      </c>
      <c r="B293" s="112">
        <v>46208</v>
      </c>
      <c r="C293" s="113" t="s">
        <v>197</v>
      </c>
      <c r="D293" s="113" t="s">
        <v>170</v>
      </c>
      <c r="E293" s="111" t="s">
        <v>309</v>
      </c>
      <c r="F293" s="114">
        <f t="shared" si="68"/>
        <v>2</v>
      </c>
      <c r="G293" s="115" t="str">
        <f t="shared" si="69"/>
        <v>Shawn</v>
      </c>
      <c r="H293" s="116">
        <f>IF($D293="",0,IFERROR(LOOKUP(2,1/(($D$3:D292=$D293)*($A$3:A292&lt;$A293)),$N$3:N292),'Guide &amp; Settings'!$C$41))</f>
        <v>1062.8231587628195</v>
      </c>
      <c r="I293" s="117">
        <f t="shared" si="70"/>
        <v>0.76923076923076916</v>
      </c>
      <c r="J293" s="118">
        <f>IF($D293="",0,IF($F293&lt;2,0,IF($E293="Win",('Guide &amp; Settings'!$C$42/(($F293-1)*COUNTIFS($A$4:$A$810,$A293,$E$4:$E$810,"Win")))*SUMIFS($X$4:$X$810,$A$4:$A$810,$A293,$E$4:$E$810,"Loss"),-('Guide &amp; Settings'!$C$42/($F293-1))*$X293)))</f>
        <v>-20.353077964334474</v>
      </c>
      <c r="K293" s="118">
        <f>IF($D293="",0,'Guide &amp; Settings'!$C$43*(IF($E293="Win",1,0)-$I293))</f>
        <v>-9.2307692307692299</v>
      </c>
      <c r="L293" s="119">
        <f>IF($D293="",0,'Guide &amp; Settings'!$C$44*IF($F293&gt;=3,$F293,0))</f>
        <v>0</v>
      </c>
      <c r="M293" s="118">
        <f t="shared" si="71"/>
        <v>-29.583847195103704</v>
      </c>
      <c r="N293" s="116">
        <f t="shared" si="72"/>
        <v>1033.2393115677157</v>
      </c>
      <c r="O293" s="115" t="str">
        <f t="shared" si="73"/>
        <v>OK</v>
      </c>
      <c r="P293">
        <f t="shared" si="74"/>
        <v>973.0353523079342</v>
      </c>
      <c r="Q293">
        <f t="shared" si="75"/>
        <v>0.62641327447965833</v>
      </c>
      <c r="R293">
        <f t="shared" si="76"/>
        <v>0.83333333333333337</v>
      </c>
      <c r="S293">
        <f t="shared" si="77"/>
        <v>1.0833333333333335</v>
      </c>
      <c r="T293" s="83">
        <f t="shared" si="78"/>
        <v>4</v>
      </c>
      <c r="U293" s="120">
        <f>IF($D293="",0,IFERROR(LOOKUP(2,1/(($D$3:D292=$D293)*($C$3:C292=$C293)*($A$3:A292&lt;$A293)),$AB$3:AB292),1000))</f>
        <v>1057.9867775192383</v>
      </c>
      <c r="V293" s="120">
        <f t="shared" si="79"/>
        <v>1060.6736559878946</v>
      </c>
      <c r="W293">
        <f t="shared" si="80"/>
        <v>963.70608483293438</v>
      </c>
      <c r="X293">
        <f t="shared" si="81"/>
        <v>0.63603368638545232</v>
      </c>
      <c r="Y293">
        <f t="shared" si="82"/>
        <v>955.93169527043449</v>
      </c>
      <c r="Z293">
        <f t="shared" si="83"/>
        <v>0.64278587731289027</v>
      </c>
      <c r="AA293">
        <f>IF($D293="",0,IF($F293&lt;2,0,IF($E293="Win",('Guide &amp; Settings'!$C$42/(($F293-1)*COUNTIFS($A$4:$A$810,$A293,$E$4:$E$810,"Win")))*SUMIFS($Z$4:$Z$810,$A$4:$A$810,$A293,$E$4:$E$810,"Loss"),-('Guide &amp; Settings'!$C$42/($F293-1))*$Z293)))</f>
        <v>-20.569148074012489</v>
      </c>
      <c r="AB293" s="120">
        <f t="shared" si="84"/>
        <v>1037.4176294452259</v>
      </c>
      <c r="AC293" s="120">
        <f>IF($D293="","",IF(SUMPRODUCT(MAX(($D$4:$D$810=$D293)*($B$4:$B$810&lt;$B293)*$B$4:$B$810))=0,0,MAX(($B293-MAX(SUMPRODUCT(MAX(($D$4:$D$810=$D293)*($B$4:$B$810&lt;$B293)*$B$4:$B$810)),'Guide &amp; Settings'!$C$50))/7-'Guide &amp; Settings'!$C$48,0)*'Guide &amp; Settings'!$C$49))</f>
        <v>0</v>
      </c>
    </row>
    <row r="294" spans="1:29" ht="15" customHeight="1" x14ac:dyDescent="0.2">
      <c r="A294" s="111">
        <v>123</v>
      </c>
      <c r="B294" s="112">
        <v>46208</v>
      </c>
      <c r="C294" s="113" t="s">
        <v>197</v>
      </c>
      <c r="D294" s="113" t="s">
        <v>134</v>
      </c>
      <c r="E294" s="111" t="s">
        <v>309</v>
      </c>
      <c r="F294" s="114">
        <f t="shared" si="68"/>
        <v>2</v>
      </c>
      <c r="G294" s="115" t="str">
        <f t="shared" si="69"/>
        <v>Daniel (Ferret)</v>
      </c>
      <c r="H294" s="116">
        <f>IF($D294="",0,IFERROR(LOOKUP(2,1/(($D$3:D293=$D294)*($A$3:A293&lt;$A294)),$N$3:N293),'Guide &amp; Settings'!$C$41))</f>
        <v>1002.6191995030379</v>
      </c>
      <c r="I294" s="117">
        <f t="shared" si="70"/>
        <v>0.31818181818181812</v>
      </c>
      <c r="J294" s="118">
        <f>IF($D294="",0,IF($F294&lt;2,0,IF($E294="Win",('Guide &amp; Settings'!$C$42/(($F294-1)*COUNTIFS($A$4:$A$810,$A294,$E$4:$E$810,"Win")))*SUMIFS($X$4:$X$810,$A$4:$A$810,$A294,$E$4:$E$810,"Loss"),-('Guide &amp; Settings'!$C$42/($F294-1))*$X294)))</f>
        <v>-13.80596158154383</v>
      </c>
      <c r="K294" s="118">
        <f>IF($D294="",0,'Guide &amp; Settings'!$C$43*(IF($E294="Win",1,0)-$I294))</f>
        <v>-3.8181818181818175</v>
      </c>
      <c r="L294" s="119">
        <f>IF($D294="",0,'Guide &amp; Settings'!$C$44*IF($F294&gt;=3,$F294,0))</f>
        <v>0</v>
      </c>
      <c r="M294" s="118">
        <f t="shared" si="71"/>
        <v>-17.624143399725646</v>
      </c>
      <c r="N294" s="116">
        <f t="shared" si="72"/>
        <v>984.99505610331221</v>
      </c>
      <c r="O294" s="115" t="str">
        <f t="shared" si="73"/>
        <v>OK</v>
      </c>
      <c r="P294">
        <f t="shared" si="74"/>
        <v>1033.2393115677157</v>
      </c>
      <c r="Q294">
        <f t="shared" si="75"/>
        <v>0.45604785278925686</v>
      </c>
      <c r="R294">
        <f t="shared" si="76"/>
        <v>0.33333333333333331</v>
      </c>
      <c r="S294">
        <f t="shared" si="77"/>
        <v>1.0476190476190477</v>
      </c>
      <c r="T294" s="83">
        <f t="shared" si="78"/>
        <v>7</v>
      </c>
      <c r="U294" s="120">
        <f>IF($D294="",0,IFERROR(LOOKUP(2,1/(($D$3:D293=$D294)*($C$3:C293=$C294)*($A$3:A293&lt;$A294)),$AB$3:AB293),1000))</f>
        <v>976.50084334444693</v>
      </c>
      <c r="V294" s="120">
        <f t="shared" si="79"/>
        <v>987.38349174385985</v>
      </c>
      <c r="W294">
        <f t="shared" si="80"/>
        <v>1035.3284705064707</v>
      </c>
      <c r="X294">
        <f t="shared" si="81"/>
        <v>0.43143629942324468</v>
      </c>
      <c r="Y294">
        <f t="shared" si="82"/>
        <v>1037.4176294452259</v>
      </c>
      <c r="Z294">
        <f t="shared" si="83"/>
        <v>0.41322111893982072</v>
      </c>
      <c r="AA294">
        <f>IF($D294="",0,IF($F294&lt;2,0,IF($E294="Win",('Guide &amp; Settings'!$C$42/(($F294-1)*COUNTIFS($A$4:$A$810,$A294,$E$4:$E$810,"Win")))*SUMIFS($Z$4:$Z$810,$A$4:$A$810,$A294,$E$4:$E$810,"Loss"),-('Guide &amp; Settings'!$C$42/($F294-1))*$Z294)))</f>
        <v>-13.223075806074263</v>
      </c>
      <c r="AB294" s="120">
        <f t="shared" si="84"/>
        <v>963.2777675383727</v>
      </c>
      <c r="AC294" s="120">
        <f>IF($D294="","",IF(SUMPRODUCT(MAX(($D$4:$D$810=$D294)*($B$4:$B$810&lt;$B294)*$B$4:$B$810))=0,0,MAX(($B294-MAX(SUMPRODUCT(MAX(($D$4:$D$810=$D294)*($B$4:$B$810&lt;$B294)*$B$4:$B$810)),'Guide &amp; Settings'!$C$50))/7-'Guide &amp; Settings'!$C$48,0)*'Guide &amp; Settings'!$C$49))</f>
        <v>0</v>
      </c>
    </row>
    <row r="295" spans="1:29" ht="15" customHeight="1" x14ac:dyDescent="0.2">
      <c r="A295" s="111">
        <v>123</v>
      </c>
      <c r="B295" s="112">
        <v>46208</v>
      </c>
      <c r="C295" s="113" t="s">
        <v>197</v>
      </c>
      <c r="D295" s="113" t="s">
        <v>170</v>
      </c>
      <c r="E295" s="111" t="s">
        <v>308</v>
      </c>
      <c r="F295" s="114">
        <f t="shared" si="68"/>
        <v>2</v>
      </c>
      <c r="G295" s="115" t="str">
        <f t="shared" si="69"/>
        <v>Daniel (Ferret)</v>
      </c>
      <c r="H295" s="116">
        <f>IF($D295="",0,IFERROR(LOOKUP(2,1/(($D$3:D294=$D295)*($A$3:A294&lt;$A295)),$N$3:N294),'Guide &amp; Settings'!$C$41))</f>
        <v>1033.2393115677157</v>
      </c>
      <c r="I295" s="117">
        <f t="shared" si="70"/>
        <v>0.68181818181818177</v>
      </c>
      <c r="J295" s="118">
        <f>IF($D295="",0,IF($F295&lt;2,0,IF($E295="Win",('Guide &amp; Settings'!$C$42/(($F295-1)*COUNTIFS($A$4:$A$810,$A295,$E$4:$E$810,"Win")))*SUMIFS($X$4:$X$810,$A$4:$A$810,$A295,$E$4:$E$810,"Loss"),-('Guide &amp; Settings'!$C$42/($F295-1))*$X295)))</f>
        <v>13.80596158154383</v>
      </c>
      <c r="K295" s="118">
        <f>IF($D295="",0,'Guide &amp; Settings'!$C$43*(IF($E295="Win",1,0)-$I295))</f>
        <v>3.8181818181818188</v>
      </c>
      <c r="L295" s="119">
        <f>IF($D295="",0,'Guide &amp; Settings'!$C$44*IF($F295&gt;=3,$F295,0))</f>
        <v>0</v>
      </c>
      <c r="M295" s="118">
        <f t="shared" si="71"/>
        <v>17.62414339972565</v>
      </c>
      <c r="N295" s="116">
        <f t="shared" si="72"/>
        <v>1050.8634549674414</v>
      </c>
      <c r="O295" s="115" t="str">
        <f t="shared" si="73"/>
        <v>OK</v>
      </c>
      <c r="P295">
        <f t="shared" si="74"/>
        <v>1033.2393115677157</v>
      </c>
      <c r="Q295">
        <f t="shared" si="75"/>
        <v>0.5</v>
      </c>
      <c r="R295">
        <f t="shared" si="76"/>
        <v>0.7142857142857143</v>
      </c>
      <c r="S295">
        <f t="shared" si="77"/>
        <v>1.0476190476190477</v>
      </c>
      <c r="T295" s="83">
        <f t="shared" si="78"/>
        <v>5</v>
      </c>
      <c r="U295" s="120">
        <f>IF($D295="",0,IFERROR(LOOKUP(2,1/(($D$3:D294=$D295)*($C$3:C294=$C295)*($A$3:A294&lt;$A295)),$AB$3:AB294),1000))</f>
        <v>1037.4176294452259</v>
      </c>
      <c r="V295" s="120">
        <f t="shared" si="79"/>
        <v>1035.3284705064707</v>
      </c>
      <c r="W295">
        <f t="shared" si="80"/>
        <v>1035.3284705064707</v>
      </c>
      <c r="X295">
        <f t="shared" si="81"/>
        <v>0.5</v>
      </c>
      <c r="Y295">
        <f t="shared" si="82"/>
        <v>1037.4176294452259</v>
      </c>
      <c r="Z295">
        <f t="shared" si="83"/>
        <v>0.5</v>
      </c>
      <c r="AA295">
        <f>IF($D295="",0,IF($F295&lt;2,0,IF($E295="Win",('Guide &amp; Settings'!$C$42/(($F295-1)*COUNTIFS($A$4:$A$810,$A295,$E$4:$E$810,"Win")))*SUMIFS($Z$4:$Z$810,$A$4:$A$810,$A295,$E$4:$E$810,"Loss"),-('Guide &amp; Settings'!$C$42/($F295-1))*$Z295)))</f>
        <v>13.223075806074263</v>
      </c>
      <c r="AB295" s="120">
        <f t="shared" si="84"/>
        <v>1050.6407052513002</v>
      </c>
      <c r="AC295" s="120">
        <f>IF($D295="","",IF(SUMPRODUCT(MAX(($D$4:$D$810=$D295)*($B$4:$B$810&lt;$B295)*$B$4:$B$810))=0,0,MAX(($B295-MAX(SUMPRODUCT(MAX(($D$4:$D$810=$D295)*($B$4:$B$810&lt;$B295)*$B$4:$B$810)),'Guide &amp; Settings'!$C$50))/7-'Guide &amp; Settings'!$C$48,0)*'Guide &amp; Settings'!$C$49))</f>
        <v>0</v>
      </c>
    </row>
    <row r="296" spans="1:29" ht="15" customHeight="1" x14ac:dyDescent="0.2">
      <c r="A296" s="111">
        <v>124</v>
      </c>
      <c r="B296" s="112">
        <v>46209</v>
      </c>
      <c r="C296" s="113" t="s">
        <v>183</v>
      </c>
      <c r="D296" s="113" t="s">
        <v>134</v>
      </c>
      <c r="E296" s="111" t="s">
        <v>308</v>
      </c>
      <c r="F296" s="114">
        <f t="shared" si="68"/>
        <v>2</v>
      </c>
      <c r="G296" s="115" t="str">
        <f t="shared" si="69"/>
        <v>Shawn</v>
      </c>
      <c r="H296" s="116">
        <f>IF($D296="",0,IFERROR(LOOKUP(2,1/(($D$3:D295=$D296)*($A$3:A295&lt;$A296)),$N$3:N295),'Guide &amp; Settings'!$C$41))</f>
        <v>984.99505610331221</v>
      </c>
      <c r="I296" s="117">
        <f t="shared" si="70"/>
        <v>0.48275862068965519</v>
      </c>
      <c r="J296" s="118">
        <f>IF($D296="",0,IF($F296&lt;2,0,IF($E296="Win",('Guide &amp; Settings'!$C$42/(($F296-1)*COUNTIFS($A$4:$A$810,$A296,$E$4:$E$810,"Win")))*SUMIFS($X$4:$X$810,$A$4:$A$810,$A296,$E$4:$E$810,"Loss"),-('Guide &amp; Settings'!$C$42/($F296-1))*$X296)))</f>
        <v>20.863082461010471</v>
      </c>
      <c r="K296" s="118">
        <f>IF($D296="",0,'Guide &amp; Settings'!$C$43*(IF($E296="Win",1,0)-$I296))</f>
        <v>6.206896551724137</v>
      </c>
      <c r="L296" s="119">
        <f>IF($D296="",0,'Guide &amp; Settings'!$C$44*IF($F296&gt;=3,$F296,0))</f>
        <v>0</v>
      </c>
      <c r="M296" s="118">
        <f t="shared" si="71"/>
        <v>27.069979012734606</v>
      </c>
      <c r="N296" s="116">
        <f t="shared" si="72"/>
        <v>1012.0650351160468</v>
      </c>
      <c r="O296" s="115" t="str">
        <f t="shared" si="73"/>
        <v>OK</v>
      </c>
      <c r="P296">
        <f t="shared" si="74"/>
        <v>984.99505610331221</v>
      </c>
      <c r="Q296">
        <f t="shared" si="75"/>
        <v>0.5</v>
      </c>
      <c r="R296">
        <f t="shared" si="76"/>
        <v>0.46666666666666667</v>
      </c>
      <c r="S296">
        <f t="shared" si="77"/>
        <v>0.96666666666666667</v>
      </c>
      <c r="T296" s="83">
        <f t="shared" si="78"/>
        <v>13</v>
      </c>
      <c r="U296" s="120">
        <f>IF($D296="",0,IFERROR(LOOKUP(2,1/(($D$3:D295=$D296)*($C$3:C295=$C296)*($A$3:A295&lt;$A296)),$AB$3:AB295),1000))</f>
        <v>980.03504858236033</v>
      </c>
      <c r="V296" s="120">
        <f t="shared" si="79"/>
        <v>981.41282844929128</v>
      </c>
      <c r="W296">
        <f t="shared" si="80"/>
        <v>981.41282844929128</v>
      </c>
      <c r="X296">
        <f t="shared" si="81"/>
        <v>0.5</v>
      </c>
      <c r="Y296">
        <f t="shared" si="82"/>
        <v>980.03504858236033</v>
      </c>
      <c r="Z296">
        <f t="shared" si="83"/>
        <v>0.5</v>
      </c>
      <c r="AA296">
        <f>IF($D296="",0,IF($F296&lt;2,0,IF($E296="Win",('Guide &amp; Settings'!$C$42/(($F296-1)*COUNTIFS($A$4:$A$810,$A296,$E$4:$E$810,"Win")))*SUMIFS($Z$4:$Z$810,$A$4:$A$810,$A296,$E$4:$E$810,"Loss"),-('Guide &amp; Settings'!$C$42/($F296-1))*$Z296)))</f>
        <v>16.918409325012838</v>
      </c>
      <c r="AB296" s="120">
        <f t="shared" si="84"/>
        <v>996.95345790737315</v>
      </c>
      <c r="AC296" s="120">
        <f>IF($D296="","",IF(SUMPRODUCT(MAX(($D$4:$D$810=$D296)*($B$4:$B$810&lt;$B296)*$B$4:$B$810))=0,0,MAX(($B296-MAX(SUMPRODUCT(MAX(($D$4:$D$810=$D296)*($B$4:$B$810&lt;$B296)*$B$4:$B$810)),'Guide &amp; Settings'!$C$50))/7-'Guide &amp; Settings'!$C$48,0)*'Guide &amp; Settings'!$C$49))</f>
        <v>0</v>
      </c>
    </row>
    <row r="297" spans="1:29" ht="15" customHeight="1" x14ac:dyDescent="0.2">
      <c r="A297" s="111">
        <v>124</v>
      </c>
      <c r="B297" s="112">
        <v>46209</v>
      </c>
      <c r="C297" s="113" t="s">
        <v>183</v>
      </c>
      <c r="D297" s="113" t="s">
        <v>169</v>
      </c>
      <c r="E297" s="111" t="s">
        <v>309</v>
      </c>
      <c r="F297" s="114">
        <f t="shared" si="68"/>
        <v>2</v>
      </c>
      <c r="G297" s="115" t="str">
        <f t="shared" si="69"/>
        <v>Shawn</v>
      </c>
      <c r="H297" s="116">
        <f>IF($D297="",0,IFERROR(LOOKUP(2,1/(($D$3:D296=$D297)*($A$3:A296&lt;$A297)),$N$3:N296),'Guide &amp; Settings'!$C$41))</f>
        <v>1090.4582166793289</v>
      </c>
      <c r="I297" s="117">
        <f t="shared" si="70"/>
        <v>0.51724137931034486</v>
      </c>
      <c r="J297" s="118">
        <f>IF($D297="",0,IF($F297&lt;2,0,IF($E297="Win",('Guide &amp; Settings'!$C$42/(($F297-1)*COUNTIFS($A$4:$A$810,$A297,$E$4:$E$810,"Win")))*SUMIFS($X$4:$X$810,$A$4:$A$810,$A297,$E$4:$E$810,"Loss"),-('Guide &amp; Settings'!$C$42/($F297-1))*$X297)))</f>
        <v>-20.863082461010471</v>
      </c>
      <c r="K297" s="118">
        <f>IF($D297="",0,'Guide &amp; Settings'!$C$43*(IF($E297="Win",1,0)-$I297))</f>
        <v>-6.2068965517241388</v>
      </c>
      <c r="L297" s="119">
        <f>IF($D297="",0,'Guide &amp; Settings'!$C$44*IF($F297&gt;=3,$F297,0))</f>
        <v>0</v>
      </c>
      <c r="M297" s="118">
        <f t="shared" si="71"/>
        <v>-27.06997901273461</v>
      </c>
      <c r="N297" s="116">
        <f t="shared" si="72"/>
        <v>1063.3882376665943</v>
      </c>
      <c r="O297" s="115" t="str">
        <f t="shared" si="73"/>
        <v>OK</v>
      </c>
      <c r="P297">
        <f t="shared" si="74"/>
        <v>984.99505610331221</v>
      </c>
      <c r="Q297">
        <f t="shared" si="75"/>
        <v>0.64727779158054288</v>
      </c>
      <c r="R297">
        <f t="shared" si="76"/>
        <v>0.5</v>
      </c>
      <c r="S297">
        <f t="shared" si="77"/>
        <v>0.96666666666666667</v>
      </c>
      <c r="T297" s="83">
        <f t="shared" si="78"/>
        <v>0</v>
      </c>
      <c r="U297" s="120">
        <f>IF($D297="",0,IFERROR(LOOKUP(2,1/(($D$3:D296=$D297)*($C$3:C296=$C297)*($A$3:A296&lt;$A297)),$AB$3:AB296),1000))</f>
        <v>1000</v>
      </c>
      <c r="V297" s="120">
        <f t="shared" si="79"/>
        <v>1090.4582166793289</v>
      </c>
      <c r="W297">
        <f t="shared" si="80"/>
        <v>981.41282844929128</v>
      </c>
      <c r="X297">
        <f t="shared" si="81"/>
        <v>0.65197132690657722</v>
      </c>
      <c r="Y297">
        <f t="shared" si="82"/>
        <v>980.03504858236033</v>
      </c>
      <c r="Z297">
        <f t="shared" si="83"/>
        <v>0.5287002914066512</v>
      </c>
      <c r="AA297">
        <f>IF($D297="",0,IF($F297&lt;2,0,IF($E297="Win",('Guide &amp; Settings'!$C$42/(($F297-1)*COUNTIFS($A$4:$A$810,$A297,$E$4:$E$810,"Win")))*SUMIFS($Z$4:$Z$810,$A$4:$A$810,$A297,$E$4:$E$810,"Loss"),-('Guide &amp; Settings'!$C$42/($F297-1))*$Z297)))</f>
        <v>-16.918409325012838</v>
      </c>
      <c r="AB297" s="120">
        <f t="shared" si="84"/>
        <v>983.08159067498718</v>
      </c>
      <c r="AC297" s="120">
        <f>IF($D297="","",IF(SUMPRODUCT(MAX(($D$4:$D$810=$D297)*($B$4:$B$810&lt;$B297)*$B$4:$B$810))=0,0,MAX(($B297-MAX(SUMPRODUCT(MAX(($D$4:$D$810=$D297)*($B$4:$B$810&lt;$B297)*$B$4:$B$810)),'Guide &amp; Settings'!$C$50))/7-'Guide &amp; Settings'!$C$48,0)*'Guide &amp; Settings'!$C$49))</f>
        <v>0</v>
      </c>
    </row>
    <row r="298" spans="1:29" ht="15" customHeight="1" x14ac:dyDescent="0.2">
      <c r="A298" s="111">
        <v>125</v>
      </c>
      <c r="B298" s="112">
        <v>46209</v>
      </c>
      <c r="C298" s="113" t="s">
        <v>183</v>
      </c>
      <c r="D298" s="113" t="s">
        <v>134</v>
      </c>
      <c r="E298" s="111" t="s">
        <v>309</v>
      </c>
      <c r="F298" s="114">
        <f t="shared" si="68"/>
        <v>2</v>
      </c>
      <c r="G298" s="115" t="str">
        <f t="shared" si="69"/>
        <v>Oscar</v>
      </c>
      <c r="H298" s="116">
        <f>IF($D298="",0,IFERROR(LOOKUP(2,1/(($D$3:D297=$D298)*($A$3:A297&lt;$A298)),$N$3:N297),'Guide &amp; Settings'!$C$41))</f>
        <v>1012.0650351160468</v>
      </c>
      <c r="I298" s="117">
        <f t="shared" si="70"/>
        <v>0.60000000000000009</v>
      </c>
      <c r="J298" s="118">
        <f>IF($D298="",0,IF($F298&lt;2,0,IF($E298="Win",('Guide &amp; Settings'!$C$42/(($F298-1)*COUNTIFS($A$4:$A$810,$A298,$E$4:$E$810,"Win")))*SUMIFS($X$4:$X$810,$A$4:$A$810,$A298,$E$4:$E$810,"Loss"),-('Guide &amp; Settings'!$C$42/($F298-1))*$X298)))</f>
        <v>-13.754986521513139</v>
      </c>
      <c r="K298" s="118">
        <f>IF($D298="",0,'Guide &amp; Settings'!$C$43*(IF($E298="Win",1,0)-$I298))</f>
        <v>-7.2000000000000011</v>
      </c>
      <c r="L298" s="119">
        <f>IF($D298="",0,'Guide &amp; Settings'!$C$44*IF($F298&gt;=3,$F298,0))</f>
        <v>0</v>
      </c>
      <c r="M298" s="118">
        <f t="shared" si="71"/>
        <v>-20.954986521513142</v>
      </c>
      <c r="N298" s="116">
        <f t="shared" si="72"/>
        <v>991.11004859453374</v>
      </c>
      <c r="O298" s="115" t="str">
        <f t="shared" si="73"/>
        <v>OK</v>
      </c>
      <c r="P298">
        <f t="shared" si="74"/>
        <v>1063.3882376665943</v>
      </c>
      <c r="Q298">
        <f t="shared" si="75"/>
        <v>0.42667256454329139</v>
      </c>
      <c r="R298">
        <f t="shared" si="76"/>
        <v>0.5</v>
      </c>
      <c r="S298">
        <f t="shared" si="77"/>
        <v>0.83333333333333326</v>
      </c>
      <c r="T298" s="83">
        <f t="shared" si="78"/>
        <v>14</v>
      </c>
      <c r="U298" s="120">
        <f>IF($D298="",0,IFERROR(LOOKUP(2,1/(($D$3:D297=$D298)*($C$3:C297=$C298)*($A$3:A297&lt;$A298)),$AB$3:AB297),1000))</f>
        <v>996.95345790737315</v>
      </c>
      <c r="V298" s="120">
        <f t="shared" si="79"/>
        <v>1000.930188751761</v>
      </c>
      <c r="W298">
        <f t="shared" si="80"/>
        <v>1050.0037965013264</v>
      </c>
      <c r="X298">
        <f t="shared" si="81"/>
        <v>0.4298433287972856</v>
      </c>
      <c r="Y298">
        <f t="shared" si="82"/>
        <v>983.08159067498718</v>
      </c>
      <c r="Z298">
        <f t="shared" si="83"/>
        <v>0.51995262051855673</v>
      </c>
      <c r="AA298">
        <f>IF($D298="",0,IF($F298&lt;2,0,IF($E298="Win",('Guide &amp; Settings'!$C$42/(($F298-1)*COUNTIFS($A$4:$A$810,$A298,$E$4:$E$810,"Win")))*SUMIFS($Z$4:$Z$810,$A$4:$A$810,$A298,$E$4:$E$810,"Loss"),-('Guide &amp; Settings'!$C$42/($F298-1))*$Z298)))</f>
        <v>-16.638483856593815</v>
      </c>
      <c r="AB298" s="120">
        <f t="shared" si="84"/>
        <v>980.31497405077937</v>
      </c>
      <c r="AC298" s="120">
        <f>IF($D298="","",IF(SUMPRODUCT(MAX(($D$4:$D$810=$D298)*($B$4:$B$810&lt;$B298)*$B$4:$B$810))=0,0,MAX(($B298-MAX(SUMPRODUCT(MAX(($D$4:$D$810=$D298)*($B$4:$B$810&lt;$B298)*$B$4:$B$810)),'Guide &amp; Settings'!$C$50))/7-'Guide &amp; Settings'!$C$48,0)*'Guide &amp; Settings'!$C$49))</f>
        <v>0</v>
      </c>
    </row>
    <row r="299" spans="1:29" ht="15" customHeight="1" x14ac:dyDescent="0.2">
      <c r="A299" s="111">
        <v>125</v>
      </c>
      <c r="B299" s="112">
        <v>46209</v>
      </c>
      <c r="C299" s="113" t="s">
        <v>183</v>
      </c>
      <c r="D299" s="113" t="s">
        <v>169</v>
      </c>
      <c r="E299" s="111" t="s">
        <v>308</v>
      </c>
      <c r="F299" s="114">
        <f t="shared" si="68"/>
        <v>2</v>
      </c>
      <c r="G299" s="115" t="str">
        <f t="shared" si="69"/>
        <v>Oscar</v>
      </c>
      <c r="H299" s="116">
        <f>IF($D299="",0,IFERROR(LOOKUP(2,1/(($D$3:D298=$D299)*($A$3:A298&lt;$A299)),$N$3:N298),'Guide &amp; Settings'!$C$41))</f>
        <v>1063.3882376665943</v>
      </c>
      <c r="I299" s="117">
        <f t="shared" si="70"/>
        <v>0.4</v>
      </c>
      <c r="J299" s="118">
        <f>IF($D299="",0,IF($F299&lt;2,0,IF($E299="Win",('Guide &amp; Settings'!$C$42/(($F299-1)*COUNTIFS($A$4:$A$810,$A299,$E$4:$E$810,"Win")))*SUMIFS($X$4:$X$810,$A$4:$A$810,$A299,$E$4:$E$810,"Loss"),-('Guide &amp; Settings'!$C$42/($F299-1))*$X299)))</f>
        <v>13.754986521513139</v>
      </c>
      <c r="K299" s="118">
        <f>IF($D299="",0,'Guide &amp; Settings'!$C$43*(IF($E299="Win",1,0)-$I299))</f>
        <v>7.1999999999999993</v>
      </c>
      <c r="L299" s="119">
        <f>IF($D299="",0,'Guide &amp; Settings'!$C$44*IF($F299&gt;=3,$F299,0))</f>
        <v>0</v>
      </c>
      <c r="M299" s="118">
        <f t="shared" si="71"/>
        <v>20.954986521513138</v>
      </c>
      <c r="N299" s="116">
        <f t="shared" si="72"/>
        <v>1084.3432241881073</v>
      </c>
      <c r="O299" s="115" t="str">
        <f t="shared" si="73"/>
        <v>OK</v>
      </c>
      <c r="P299">
        <f t="shared" si="74"/>
        <v>1063.3882376665943</v>
      </c>
      <c r="Q299">
        <f t="shared" si="75"/>
        <v>0.5</v>
      </c>
      <c r="R299">
        <f t="shared" si="76"/>
        <v>0.33333333333333331</v>
      </c>
      <c r="S299">
        <f t="shared" si="77"/>
        <v>0.83333333333333326</v>
      </c>
      <c r="T299" s="83">
        <f t="shared" si="78"/>
        <v>1</v>
      </c>
      <c r="U299" s="120">
        <f>IF($D299="",0,IFERROR(LOOKUP(2,1/(($D$3:D298=$D299)*($C$3:C298=$C299)*($A$3:A298&lt;$A299)),$AB$3:AB298),1000))</f>
        <v>983.08159067498718</v>
      </c>
      <c r="V299" s="120">
        <f t="shared" si="79"/>
        <v>1050.0037965013264</v>
      </c>
      <c r="W299">
        <f t="shared" si="80"/>
        <v>1050.0037965013264</v>
      </c>
      <c r="X299">
        <f t="shared" si="81"/>
        <v>0.5</v>
      </c>
      <c r="Y299">
        <f t="shared" si="82"/>
        <v>983.08159067498718</v>
      </c>
      <c r="Z299">
        <f t="shared" si="83"/>
        <v>0.5</v>
      </c>
      <c r="AA299">
        <f>IF($D299="",0,IF($F299&lt;2,0,IF($E299="Win",('Guide &amp; Settings'!$C$42/(($F299-1)*COUNTIFS($A$4:$A$810,$A299,$E$4:$E$810,"Win")))*SUMIFS($Z$4:$Z$810,$A$4:$A$810,$A299,$E$4:$E$810,"Loss"),-('Guide &amp; Settings'!$C$42/($F299-1))*$Z299)))</f>
        <v>16.638483856593815</v>
      </c>
      <c r="AB299" s="120">
        <f t="shared" si="84"/>
        <v>999.72007453158096</v>
      </c>
      <c r="AC299" s="120">
        <f>IF($D299="","",IF(SUMPRODUCT(MAX(($D$4:$D$810=$D299)*($B$4:$B$810&lt;$B299)*$B$4:$B$810))=0,0,MAX(($B299-MAX(SUMPRODUCT(MAX(($D$4:$D$810=$D299)*($B$4:$B$810&lt;$B299)*$B$4:$B$810)),'Guide &amp; Settings'!$C$50))/7-'Guide &amp; Settings'!$C$48,0)*'Guide &amp; Settings'!$C$49))</f>
        <v>0</v>
      </c>
    </row>
    <row r="300" spans="1:29" ht="15" customHeight="1" x14ac:dyDescent="0.2">
      <c r="A300" s="111">
        <v>126</v>
      </c>
      <c r="B300" s="112">
        <v>46209</v>
      </c>
      <c r="C300" s="113" t="s">
        <v>183</v>
      </c>
      <c r="D300" s="113" t="s">
        <v>134</v>
      </c>
      <c r="E300" s="111" t="s">
        <v>308</v>
      </c>
      <c r="F300" s="114">
        <f t="shared" si="68"/>
        <v>2</v>
      </c>
      <c r="G300" s="115" t="str">
        <f t="shared" si="69"/>
        <v>Shawn</v>
      </c>
      <c r="H300" s="116">
        <f>IF($D300="",0,IFERROR(LOOKUP(2,1/(($D$3:D299=$D300)*($A$3:A299&lt;$A300)),$N$3:N299),'Guide &amp; Settings'!$C$41))</f>
        <v>991.11004859453374</v>
      </c>
      <c r="I300" s="117">
        <f t="shared" si="70"/>
        <v>0.48484848484848486</v>
      </c>
      <c r="J300" s="118">
        <f>IF($D300="",0,IF($F300&lt;2,0,IF($E300="Win",('Guide &amp; Settings'!$C$42/(($F300-1)*COUNTIFS($A$4:$A$810,$A300,$E$4:$E$810,"Win")))*SUMIFS($X$4:$X$810,$A$4:$A$810,$A300,$E$4:$E$810,"Loss"),-('Guide &amp; Settings'!$C$42/($F300-1))*$X300)))</f>
        <v>19.495685057796013</v>
      </c>
      <c r="K300" s="118">
        <f>IF($D300="",0,'Guide &amp; Settings'!$C$43*(IF($E300="Win",1,0)-$I300))</f>
        <v>6.1818181818181817</v>
      </c>
      <c r="L300" s="119">
        <f>IF($D300="",0,'Guide &amp; Settings'!$C$44*IF($F300&gt;=3,$F300,0))</f>
        <v>0</v>
      </c>
      <c r="M300" s="118">
        <f t="shared" si="71"/>
        <v>25.677503239614197</v>
      </c>
      <c r="N300" s="116">
        <f t="shared" si="72"/>
        <v>1016.787551834148</v>
      </c>
      <c r="O300" s="115" t="str">
        <f t="shared" si="73"/>
        <v>OK</v>
      </c>
      <c r="P300">
        <f t="shared" si="74"/>
        <v>991.11004859453374</v>
      </c>
      <c r="Q300">
        <f t="shared" si="75"/>
        <v>0.5</v>
      </c>
      <c r="R300">
        <f t="shared" si="76"/>
        <v>0.47058823529411764</v>
      </c>
      <c r="S300">
        <f t="shared" si="77"/>
        <v>0.97058823529411764</v>
      </c>
      <c r="T300" s="83">
        <f t="shared" si="78"/>
        <v>15</v>
      </c>
      <c r="U300" s="120">
        <f>IF($D300="",0,IFERROR(LOOKUP(2,1/(($D$3:D299=$D300)*($C$3:C299=$C300)*($A$3:A299&lt;$A300)),$AB$3:AB299),1000))</f>
        <v>980.31497405077937</v>
      </c>
      <c r="V300" s="120">
        <f t="shared" si="79"/>
        <v>983.01374268671793</v>
      </c>
      <c r="W300">
        <f t="shared" si="80"/>
        <v>983.01374268671793</v>
      </c>
      <c r="X300">
        <f t="shared" si="81"/>
        <v>0.5</v>
      </c>
      <c r="Y300">
        <f t="shared" si="82"/>
        <v>980.31497405077937</v>
      </c>
      <c r="Z300">
        <f t="shared" si="83"/>
        <v>0.5</v>
      </c>
      <c r="AA300">
        <f>IF($D300="",0,IF($F300&lt;2,0,IF($E300="Win",('Guide &amp; Settings'!$C$42/(($F300-1)*COUNTIFS($A$4:$A$810,$A300,$E$4:$E$810,"Win")))*SUMIFS($Z$4:$Z$810,$A$4:$A$810,$A300,$E$4:$E$810,"Loss"),-('Guide &amp; Settings'!$C$42/($F300-1))*$Z300)))</f>
        <v>16.892709829291775</v>
      </c>
      <c r="AB300" s="120">
        <f t="shared" si="84"/>
        <v>997.20768388007116</v>
      </c>
      <c r="AC300" s="120">
        <f>IF($D300="","",IF(SUMPRODUCT(MAX(($D$4:$D$810=$D300)*($B$4:$B$810&lt;$B300)*$B$4:$B$810))=0,0,MAX(($B300-MAX(SUMPRODUCT(MAX(($D$4:$D$810=$D300)*($B$4:$B$810&lt;$B300)*$B$4:$B$810)),'Guide &amp; Settings'!$C$50))/7-'Guide &amp; Settings'!$C$48,0)*'Guide &amp; Settings'!$C$49))</f>
        <v>0</v>
      </c>
    </row>
    <row r="301" spans="1:29" ht="15" customHeight="1" x14ac:dyDescent="0.2">
      <c r="A301" s="111">
        <v>126</v>
      </c>
      <c r="B301" s="112">
        <v>46209</v>
      </c>
      <c r="C301" s="113" t="s">
        <v>183</v>
      </c>
      <c r="D301" s="113" t="s">
        <v>169</v>
      </c>
      <c r="E301" s="111" t="s">
        <v>309</v>
      </c>
      <c r="F301" s="114">
        <f t="shared" si="68"/>
        <v>2</v>
      </c>
      <c r="G301" s="115" t="str">
        <f t="shared" si="69"/>
        <v>Shawn</v>
      </c>
      <c r="H301" s="116">
        <f>IF($D301="",0,IFERROR(LOOKUP(2,1/(($D$3:D300=$D301)*($A$3:A300&lt;$A301)),$N$3:N300),'Guide &amp; Settings'!$C$41))</f>
        <v>1084.3432241881073</v>
      </c>
      <c r="I301" s="117">
        <f t="shared" si="70"/>
        <v>0.51515151515151514</v>
      </c>
      <c r="J301" s="118">
        <f>IF($D301="",0,IF($F301&lt;2,0,IF($E301="Win",('Guide &amp; Settings'!$C$42/(($F301-1)*COUNTIFS($A$4:$A$810,$A301,$E$4:$E$810,"Win")))*SUMIFS($X$4:$X$810,$A$4:$A$810,$A301,$E$4:$E$810,"Loss"),-('Guide &amp; Settings'!$C$42/($F301-1))*$X301)))</f>
        <v>-19.495685057796013</v>
      </c>
      <c r="K301" s="118">
        <f>IF($D301="",0,'Guide &amp; Settings'!$C$43*(IF($E301="Win",1,0)-$I301))</f>
        <v>-6.1818181818181817</v>
      </c>
      <c r="L301" s="119">
        <f>IF($D301="",0,'Guide &amp; Settings'!$C$44*IF($F301&gt;=3,$F301,0))</f>
        <v>0</v>
      </c>
      <c r="M301" s="118">
        <f t="shared" si="71"/>
        <v>-25.677503239614197</v>
      </c>
      <c r="N301" s="116">
        <f t="shared" si="72"/>
        <v>1058.6657209484931</v>
      </c>
      <c r="O301" s="115" t="str">
        <f t="shared" si="73"/>
        <v>OK</v>
      </c>
      <c r="P301">
        <f t="shared" si="74"/>
        <v>991.11004859453374</v>
      </c>
      <c r="Q301">
        <f t="shared" si="75"/>
        <v>0.63104286048981406</v>
      </c>
      <c r="R301">
        <f t="shared" si="76"/>
        <v>0.5</v>
      </c>
      <c r="S301">
        <f t="shared" si="77"/>
        <v>0.97058823529411764</v>
      </c>
      <c r="T301" s="83">
        <f t="shared" si="78"/>
        <v>2</v>
      </c>
      <c r="U301" s="120">
        <f>IF($D301="",0,IFERROR(LOOKUP(2,1/(($D$3:D300=$D301)*($C$3:C300=$C301)*($A$3:A300&lt;$A301)),$AB$3:AB300),1000))</f>
        <v>999.72007453158096</v>
      </c>
      <c r="V301" s="120">
        <f t="shared" si="79"/>
        <v>1060.1651814290999</v>
      </c>
      <c r="W301">
        <f t="shared" si="80"/>
        <v>983.01374268671793</v>
      </c>
      <c r="X301">
        <f t="shared" si="81"/>
        <v>0.60924015805612541</v>
      </c>
      <c r="Y301">
        <f t="shared" si="82"/>
        <v>980.31497405077937</v>
      </c>
      <c r="Z301">
        <f t="shared" si="83"/>
        <v>0.52789718216536796</v>
      </c>
      <c r="AA301">
        <f>IF($D301="",0,IF($F301&lt;2,0,IF($E301="Win",('Guide &amp; Settings'!$C$42/(($F301-1)*COUNTIFS($A$4:$A$810,$A301,$E$4:$E$810,"Win")))*SUMIFS($Z$4:$Z$810,$A$4:$A$810,$A301,$E$4:$E$810,"Loss"),-('Guide &amp; Settings'!$C$42/($F301-1))*$Z301)))</f>
        <v>-16.892709829291775</v>
      </c>
      <c r="AB301" s="120">
        <f t="shared" si="84"/>
        <v>982.82736470228917</v>
      </c>
      <c r="AC301" s="120">
        <f>IF($D301="","",IF(SUMPRODUCT(MAX(($D$4:$D$810=$D301)*($B$4:$B$810&lt;$B301)*$B$4:$B$810))=0,0,MAX(($B301-MAX(SUMPRODUCT(MAX(($D$4:$D$810=$D301)*($B$4:$B$810&lt;$B301)*$B$4:$B$810)),'Guide &amp; Settings'!$C$50))/7-'Guide &amp; Settings'!$C$48,0)*'Guide &amp; Settings'!$C$49))</f>
        <v>0</v>
      </c>
    </row>
    <row r="302" spans="1:29" ht="15" customHeight="1" x14ac:dyDescent="0.2">
      <c r="A302" s="111">
        <v>127</v>
      </c>
      <c r="B302" s="112">
        <v>46212</v>
      </c>
      <c r="C302" s="113" t="s">
        <v>183</v>
      </c>
      <c r="D302" s="113" t="s">
        <v>134</v>
      </c>
      <c r="E302" s="111" t="s">
        <v>308</v>
      </c>
      <c r="F302" s="114">
        <f t="shared" si="68"/>
        <v>2</v>
      </c>
      <c r="G302" s="115" t="str">
        <f t="shared" si="69"/>
        <v>Shawn</v>
      </c>
      <c r="H302" s="116">
        <f>IF($D302="",0,IFERROR(LOOKUP(2,1/(($D$3:D301=$D302)*($A$3:A301&lt;$A302)),$N$3:N301),'Guide &amp; Settings'!$C$41))</f>
        <v>1016.787551834148</v>
      </c>
      <c r="I302" s="117">
        <f t="shared" si="70"/>
        <v>0.41666666666666669</v>
      </c>
      <c r="J302" s="118">
        <f>IF($D302="",0,IF($F302&lt;2,0,IF($E302="Win",('Guide &amp; Settings'!$C$42/(($F302-1)*COUNTIFS($A$4:$A$810,$A302,$E$4:$E$810,"Win")))*SUMIFS($X$4:$X$810,$A$4:$A$810,$A302,$E$4:$E$810,"Loss"),-('Guide &amp; Settings'!$C$42/($F302-1))*$X302)))</f>
        <v>19.300211870714467</v>
      </c>
      <c r="K302" s="118">
        <f>IF($D302="",0,'Guide &amp; Settings'!$C$43*(IF($E302="Win",1,0)-$I302))</f>
        <v>6.9999999999999991</v>
      </c>
      <c r="L302" s="119">
        <f>IF($D302="",0,'Guide &amp; Settings'!$C$44*IF($F302&gt;=3,$F302,0))</f>
        <v>0</v>
      </c>
      <c r="M302" s="118">
        <f t="shared" si="71"/>
        <v>26.300211870714467</v>
      </c>
      <c r="N302" s="116">
        <f t="shared" si="72"/>
        <v>1043.0877637048625</v>
      </c>
      <c r="O302" s="115" t="str">
        <f t="shared" si="73"/>
        <v>OK</v>
      </c>
      <c r="P302">
        <f t="shared" si="74"/>
        <v>1016.787551834148</v>
      </c>
      <c r="Q302">
        <f t="shared" si="75"/>
        <v>0.5</v>
      </c>
      <c r="R302">
        <f t="shared" si="76"/>
        <v>0.5</v>
      </c>
      <c r="S302">
        <f t="shared" si="77"/>
        <v>1.2</v>
      </c>
      <c r="T302" s="83">
        <f t="shared" si="78"/>
        <v>16</v>
      </c>
      <c r="U302" s="120">
        <f>IF($D302="",0,IFERROR(LOOKUP(2,1/(($D$3:D301=$D302)*($C$3:C301=$C302)*($A$3:A301&lt;$A302)),$AB$3:AB301),1000))</f>
        <v>997.20768388007116</v>
      </c>
      <c r="V302" s="120">
        <f t="shared" si="79"/>
        <v>1001.8695572024704</v>
      </c>
      <c r="W302">
        <f t="shared" si="80"/>
        <v>1001.8695572024704</v>
      </c>
      <c r="X302">
        <f t="shared" si="81"/>
        <v>0.5</v>
      </c>
      <c r="Y302">
        <f t="shared" si="82"/>
        <v>997.20768388007116</v>
      </c>
      <c r="Z302">
        <f t="shared" si="83"/>
        <v>0.5</v>
      </c>
      <c r="AA302">
        <f>IF($D302="",0,IF($F302&lt;2,0,IF($E302="Win",('Guide &amp; Settings'!$C$42/(($F302-1)*COUNTIFS($A$4:$A$810,$A302,$E$4:$E$810,"Win")))*SUMIFS($Z$4:$Z$810,$A$4:$A$810,$A302,$E$4:$E$810,"Loss"),-('Guide &amp; Settings'!$C$42/($F302-1))*$Z302)))</f>
        <v>18.457320765051705</v>
      </c>
      <c r="AB302" s="120">
        <f t="shared" si="84"/>
        <v>1015.6650046451228</v>
      </c>
      <c r="AC302" s="120">
        <f>IF($D302="","",IF(SUMPRODUCT(MAX(($D$4:$D$810=$D302)*($B$4:$B$810&lt;$B302)*$B$4:$B$810))=0,0,MAX(($B302-MAX(SUMPRODUCT(MAX(($D$4:$D$810=$D302)*($B$4:$B$810&lt;$B302)*$B$4:$B$810)),'Guide &amp; Settings'!$C$50))/7-'Guide &amp; Settings'!$C$48,0)*'Guide &amp; Settings'!$C$49))</f>
        <v>0</v>
      </c>
    </row>
    <row r="303" spans="1:29" ht="15" customHeight="1" x14ac:dyDescent="0.2">
      <c r="A303" s="111">
        <v>127</v>
      </c>
      <c r="B303" s="112">
        <v>46212</v>
      </c>
      <c r="C303" s="113" t="s">
        <v>183</v>
      </c>
      <c r="D303" s="113" t="s">
        <v>138</v>
      </c>
      <c r="E303" s="111" t="s">
        <v>309</v>
      </c>
      <c r="F303" s="114">
        <f t="shared" si="68"/>
        <v>2</v>
      </c>
      <c r="G303" s="115" t="str">
        <f t="shared" si="69"/>
        <v>Shawn</v>
      </c>
      <c r="H303" s="116">
        <f>IF($D303="",0,IFERROR(LOOKUP(2,1/(($D$3:D302=$D303)*($A$3:A302&lt;$A303)),$N$3:N302),'Guide &amp; Settings'!$C$41))</f>
        <v>1112.3077761293196</v>
      </c>
      <c r="I303" s="117">
        <f t="shared" si="70"/>
        <v>0.58333333333333337</v>
      </c>
      <c r="J303" s="118">
        <f>IF($D303="",0,IF($F303&lt;2,0,IF($E303="Win",('Guide &amp; Settings'!$C$42/(($F303-1)*COUNTIFS($A$4:$A$810,$A303,$E$4:$E$810,"Win")))*SUMIFS($X$4:$X$810,$A$4:$A$810,$A303,$E$4:$E$810,"Loss"),-('Guide &amp; Settings'!$C$42/($F303-1))*$X303)))</f>
        <v>-19.300211870714467</v>
      </c>
      <c r="K303" s="118">
        <f>IF($D303="",0,'Guide &amp; Settings'!$C$43*(IF($E303="Win",1,0)-$I303))</f>
        <v>-7</v>
      </c>
      <c r="L303" s="119">
        <f>IF($D303="",0,'Guide &amp; Settings'!$C$44*IF($F303&gt;=3,$F303,0))</f>
        <v>0</v>
      </c>
      <c r="M303" s="118">
        <f t="shared" si="71"/>
        <v>-26.300211870714467</v>
      </c>
      <c r="N303" s="116">
        <f t="shared" si="72"/>
        <v>1086.007564258605</v>
      </c>
      <c r="O303" s="115" t="str">
        <f t="shared" si="73"/>
        <v>OK</v>
      </c>
      <c r="P303">
        <f t="shared" si="74"/>
        <v>1016.787551834148</v>
      </c>
      <c r="Q303">
        <f t="shared" si="75"/>
        <v>0.63410278714213231</v>
      </c>
      <c r="R303">
        <f t="shared" si="76"/>
        <v>0.7</v>
      </c>
      <c r="S303">
        <f t="shared" si="77"/>
        <v>1.2</v>
      </c>
      <c r="T303" s="83">
        <f t="shared" si="78"/>
        <v>8</v>
      </c>
      <c r="U303" s="120">
        <f>IF($D303="",0,IFERROR(LOOKUP(2,1/(($D$3:D302=$D303)*($C$3:C302=$C303)*($A$3:A302&lt;$A303)),$AB$3:AB302),1000))</f>
        <v>1050.9933109481403</v>
      </c>
      <c r="V303" s="120">
        <f t="shared" si="79"/>
        <v>1074.5757975562863</v>
      </c>
      <c r="W303">
        <f t="shared" si="80"/>
        <v>1001.8695572024704</v>
      </c>
      <c r="X303">
        <f t="shared" si="81"/>
        <v>0.60313162095982709</v>
      </c>
      <c r="Y303">
        <f t="shared" si="82"/>
        <v>997.20768388007116</v>
      </c>
      <c r="Z303">
        <f t="shared" si="83"/>
        <v>0.57679127390786578</v>
      </c>
      <c r="AA303">
        <f>IF($D303="",0,IF($F303&lt;2,0,IF($E303="Win",('Guide &amp; Settings'!$C$42/(($F303-1)*COUNTIFS($A$4:$A$810,$A303,$E$4:$E$810,"Win")))*SUMIFS($Z$4:$Z$810,$A$4:$A$810,$A303,$E$4:$E$810,"Loss"),-('Guide &amp; Settings'!$C$42/($F303-1))*$Z303)))</f>
        <v>-18.457320765051705</v>
      </c>
      <c r="AB303" s="120">
        <f t="shared" si="84"/>
        <v>1032.5359901830886</v>
      </c>
      <c r="AC303" s="120">
        <f>IF($D303="","",IF(SUMPRODUCT(MAX(($D$4:$D$810=$D303)*($B$4:$B$810&lt;$B303)*$B$4:$B$810))=0,0,MAX(($B303-MAX(SUMPRODUCT(MAX(($D$4:$D$810=$D303)*($B$4:$B$810&lt;$B303)*$B$4:$B$810)),'Guide &amp; Settings'!$C$50))/7-'Guide &amp; Settings'!$C$48,0)*'Guide &amp; Settings'!$C$49))</f>
        <v>0</v>
      </c>
    </row>
    <row r="304" spans="1:29" ht="15" customHeight="1" x14ac:dyDescent="0.2">
      <c r="A304" s="111">
        <v>128</v>
      </c>
      <c r="B304" s="112">
        <v>46212</v>
      </c>
      <c r="C304" s="113" t="s">
        <v>183</v>
      </c>
      <c r="D304" s="113" t="s">
        <v>134</v>
      </c>
      <c r="E304" s="111" t="s">
        <v>309</v>
      </c>
      <c r="F304" s="114">
        <f t="shared" si="68"/>
        <v>2</v>
      </c>
      <c r="G304" s="115" t="str">
        <f t="shared" si="69"/>
        <v>Aaron</v>
      </c>
      <c r="H304" s="116">
        <f>IF($D304="",0,IFERROR(LOOKUP(2,1/(($D$3:D303=$D304)*($A$3:A303&lt;$A304)),$N$3:N303),'Guide &amp; Settings'!$C$41))</f>
        <v>1043.0877637048625</v>
      </c>
      <c r="I304" s="117">
        <f t="shared" si="70"/>
        <v>0.45267489711934156</v>
      </c>
      <c r="J304" s="118">
        <f>IF($D304="",0,IF($F304&lt;2,0,IF($E304="Win",('Guide &amp; Settings'!$C$42/(($F304-1)*COUNTIFS($A$4:$A$810,$A304,$E$4:$E$810,"Win")))*SUMIFS($X$4:$X$810,$A$4:$A$810,$A304,$E$4:$E$810,"Loss"),-('Guide &amp; Settings'!$C$42/($F304-1))*$X304)))</f>
        <v>-14.633961934886059</v>
      </c>
      <c r="K304" s="118">
        <f>IF($D304="",0,'Guide &amp; Settings'!$C$43*(IF($E304="Win",1,0)-$I304))</f>
        <v>-5.4320987654320989</v>
      </c>
      <c r="L304" s="119">
        <f>IF($D304="",0,'Guide &amp; Settings'!$C$44*IF($F304&gt;=3,$F304,0))</f>
        <v>0</v>
      </c>
      <c r="M304" s="118">
        <f t="shared" si="71"/>
        <v>-20.066060700318157</v>
      </c>
      <c r="N304" s="116">
        <f t="shared" si="72"/>
        <v>1023.0217030045443</v>
      </c>
      <c r="O304" s="115" t="str">
        <f t="shared" si="73"/>
        <v>OK</v>
      </c>
      <c r="P304">
        <f t="shared" si="74"/>
        <v>1086.007564258605</v>
      </c>
      <c r="Q304">
        <f t="shared" si="75"/>
        <v>0.43854573054319174</v>
      </c>
      <c r="R304">
        <f t="shared" si="76"/>
        <v>0.52631578947368418</v>
      </c>
      <c r="S304">
        <f t="shared" si="77"/>
        <v>1.1626794258373205</v>
      </c>
      <c r="T304" s="83">
        <f t="shared" si="78"/>
        <v>17</v>
      </c>
      <c r="U304" s="120">
        <f>IF($D304="",0,IFERROR(LOOKUP(2,1/(($D$3:D303=$D304)*($C$3:C303=$C304)*($A$3:A303&lt;$A304)),$AB$3:AB303),1000))</f>
        <v>1015.6650046451228</v>
      </c>
      <c r="V304" s="120">
        <f t="shared" si="79"/>
        <v>1021.8974498859728</v>
      </c>
      <c r="W304">
        <f t="shared" si="80"/>
        <v>1051.6329809243446</v>
      </c>
      <c r="X304">
        <f t="shared" si="81"/>
        <v>0.45731131046518936</v>
      </c>
      <c r="Y304">
        <f t="shared" si="82"/>
        <v>1032.5359901830886</v>
      </c>
      <c r="Z304">
        <f t="shared" si="83"/>
        <v>0.47573976516590627</v>
      </c>
      <c r="AA304">
        <f>IF($D304="",0,IF($F304&lt;2,0,IF($E304="Win",('Guide &amp; Settings'!$C$42/(($F304-1)*COUNTIFS($A$4:$A$810,$A304,$E$4:$E$810,"Win")))*SUMIFS($Z$4:$Z$810,$A$4:$A$810,$A304,$E$4:$E$810,"Loss"),-('Guide &amp; Settings'!$C$42/($F304-1))*$Z304)))</f>
        <v>-15.223672485309001</v>
      </c>
      <c r="AB304" s="120">
        <f t="shared" si="84"/>
        <v>1000.4413321598139</v>
      </c>
      <c r="AC304" s="120">
        <f>IF($D304="","",IF(SUMPRODUCT(MAX(($D$4:$D$810=$D304)*($B$4:$B$810&lt;$B304)*$B$4:$B$810))=0,0,MAX(($B304-MAX(SUMPRODUCT(MAX(($D$4:$D$810=$D304)*($B$4:$B$810&lt;$B304)*$B$4:$B$810)),'Guide &amp; Settings'!$C$50))/7-'Guide &amp; Settings'!$C$48,0)*'Guide &amp; Settings'!$C$49))</f>
        <v>0</v>
      </c>
    </row>
    <row r="305" spans="1:29" ht="15" customHeight="1" x14ac:dyDescent="0.2">
      <c r="A305" s="111">
        <v>128</v>
      </c>
      <c r="B305" s="112">
        <v>46212</v>
      </c>
      <c r="C305" s="113" t="s">
        <v>183</v>
      </c>
      <c r="D305" s="113" t="s">
        <v>138</v>
      </c>
      <c r="E305" s="111" t="s">
        <v>308</v>
      </c>
      <c r="F305" s="114">
        <f t="shared" si="68"/>
        <v>2</v>
      </c>
      <c r="G305" s="115" t="str">
        <f t="shared" si="69"/>
        <v>Aaron</v>
      </c>
      <c r="H305" s="116">
        <f>IF($D305="",0,IFERROR(LOOKUP(2,1/(($D$3:D304=$D305)*($A$3:A304&lt;$A305)),$N$3:N304),'Guide &amp; Settings'!$C$41))</f>
        <v>1086.007564258605</v>
      </c>
      <c r="I305" s="117">
        <f t="shared" si="70"/>
        <v>0.5473251028806585</v>
      </c>
      <c r="J305" s="118">
        <f>IF($D305="",0,IF($F305&lt;2,0,IF($E305="Win",('Guide &amp; Settings'!$C$42/(($F305-1)*COUNTIFS($A$4:$A$810,$A305,$E$4:$E$810,"Win")))*SUMIFS($X$4:$X$810,$A$4:$A$810,$A305,$E$4:$E$810,"Loss"),-('Guide &amp; Settings'!$C$42/($F305-1))*$X305)))</f>
        <v>14.633961934886059</v>
      </c>
      <c r="K305" s="118">
        <f>IF($D305="",0,'Guide &amp; Settings'!$C$43*(IF($E305="Win",1,0)-$I305))</f>
        <v>5.432098765432098</v>
      </c>
      <c r="L305" s="119">
        <f>IF($D305="",0,'Guide &amp; Settings'!$C$44*IF($F305&gt;=3,$F305,0))</f>
        <v>0</v>
      </c>
      <c r="M305" s="118">
        <f t="shared" si="71"/>
        <v>20.066060700318157</v>
      </c>
      <c r="N305" s="116">
        <f t="shared" si="72"/>
        <v>1106.0736249589231</v>
      </c>
      <c r="O305" s="115" t="str">
        <f t="shared" si="73"/>
        <v>OK</v>
      </c>
      <c r="P305">
        <f t="shared" si="74"/>
        <v>1086.007564258605</v>
      </c>
      <c r="Q305">
        <f t="shared" si="75"/>
        <v>0.5</v>
      </c>
      <c r="R305">
        <f t="shared" si="76"/>
        <v>0.63636363636363635</v>
      </c>
      <c r="S305">
        <f t="shared" si="77"/>
        <v>1.1626794258373205</v>
      </c>
      <c r="T305" s="83">
        <f t="shared" si="78"/>
        <v>9</v>
      </c>
      <c r="U305" s="120">
        <f>IF($D305="",0,IFERROR(LOOKUP(2,1/(($D$3:D304=$D305)*($C$3:C304=$C305)*($A$3:A304&lt;$A305)),$AB$3:AB304),1000))</f>
        <v>1032.5359901830886</v>
      </c>
      <c r="V305" s="120">
        <f t="shared" si="79"/>
        <v>1051.6329809243446</v>
      </c>
      <c r="W305">
        <f t="shared" si="80"/>
        <v>1051.6329809243446</v>
      </c>
      <c r="X305">
        <f t="shared" si="81"/>
        <v>0.5</v>
      </c>
      <c r="Y305">
        <f t="shared" si="82"/>
        <v>1032.5359901830886</v>
      </c>
      <c r="Z305">
        <f t="shared" si="83"/>
        <v>0.5</v>
      </c>
      <c r="AA305">
        <f>IF($D305="",0,IF($F305&lt;2,0,IF($E305="Win",('Guide &amp; Settings'!$C$42/(($F305-1)*COUNTIFS($A$4:$A$810,$A305,$E$4:$E$810,"Win")))*SUMIFS($Z$4:$Z$810,$A$4:$A$810,$A305,$E$4:$E$810,"Loss"),-('Guide &amp; Settings'!$C$42/($F305-1))*$Z305)))</f>
        <v>15.223672485309001</v>
      </c>
      <c r="AB305" s="120">
        <f t="shared" si="84"/>
        <v>1047.7596626683976</v>
      </c>
      <c r="AC305" s="120">
        <f>IF($D305="","",IF(SUMPRODUCT(MAX(($D$4:$D$810=$D305)*($B$4:$B$810&lt;$B305)*$B$4:$B$810))=0,0,MAX(($B305-MAX(SUMPRODUCT(MAX(($D$4:$D$810=$D305)*($B$4:$B$810&lt;$B305)*$B$4:$B$810)),'Guide &amp; Settings'!$C$50))/7-'Guide &amp; Settings'!$C$48,0)*'Guide &amp; Settings'!$C$49))</f>
        <v>0</v>
      </c>
    </row>
    <row r="306" spans="1:29" ht="15" customHeight="1" x14ac:dyDescent="0.2">
      <c r="A306" s="111">
        <v>129</v>
      </c>
      <c r="B306" s="112">
        <v>46212</v>
      </c>
      <c r="C306" s="113" t="s">
        <v>208</v>
      </c>
      <c r="D306" s="113" t="s">
        <v>134</v>
      </c>
      <c r="E306" s="111" t="s">
        <v>308</v>
      </c>
      <c r="F306" s="114">
        <f t="shared" si="68"/>
        <v>2</v>
      </c>
      <c r="G306" s="115" t="str">
        <f t="shared" si="69"/>
        <v>Shawn</v>
      </c>
      <c r="H306" s="116">
        <f>IF($D306="",0,IFERROR(LOOKUP(2,1/(($D$3:D305=$D306)*($A$3:A305&lt;$A306)),$N$3:N305),'Guide &amp; Settings'!$C$41))</f>
        <v>1023.0217030045443</v>
      </c>
      <c r="I306" s="117">
        <f t="shared" si="70"/>
        <v>0.5</v>
      </c>
      <c r="J306" s="118">
        <f>IF($D306="",0,IF($F306&lt;2,0,IF($E306="Win",('Guide &amp; Settings'!$C$42/(($F306-1)*COUNTIFS($A$4:$A$810,$A306,$E$4:$E$810,"Win")))*SUMIFS($X$4:$X$810,$A$4:$A$810,$A306,$E$4:$E$810,"Loss"),-('Guide &amp; Settings'!$C$42/($F306-1))*$X306)))</f>
        <v>19.7534605732545</v>
      </c>
      <c r="K306" s="118">
        <f>IF($D306="",0,'Guide &amp; Settings'!$C$43*(IF($E306="Win",1,0)-$I306))</f>
        <v>6</v>
      </c>
      <c r="L306" s="119">
        <f>IF($D306="",0,'Guide &amp; Settings'!$C$44*IF($F306&gt;=3,$F306,0))</f>
        <v>0</v>
      </c>
      <c r="M306" s="118">
        <f t="shared" si="71"/>
        <v>25.7534605732545</v>
      </c>
      <c r="N306" s="116">
        <f t="shared" si="72"/>
        <v>1048.7751635777988</v>
      </c>
      <c r="O306" s="115" t="str">
        <f t="shared" si="73"/>
        <v>OK</v>
      </c>
      <c r="P306">
        <f t="shared" si="74"/>
        <v>1023.0217030045443</v>
      </c>
      <c r="Q306">
        <f t="shared" si="75"/>
        <v>0.5</v>
      </c>
      <c r="R306">
        <f t="shared" si="76"/>
        <v>0.5</v>
      </c>
      <c r="S306">
        <f t="shared" si="77"/>
        <v>1</v>
      </c>
      <c r="T306" s="83">
        <f t="shared" si="78"/>
        <v>0</v>
      </c>
      <c r="U306" s="120">
        <f>IF($D306="",0,IFERROR(LOOKUP(2,1/(($D$3:D305=$D306)*($C$3:C305=$C306)*($A$3:A305&lt;$A306)),$AB$3:AB305),1000))</f>
        <v>1000</v>
      </c>
      <c r="V306" s="120">
        <f t="shared" si="79"/>
        <v>1023.0217030045443</v>
      </c>
      <c r="W306">
        <f t="shared" si="80"/>
        <v>1023.0217030045443</v>
      </c>
      <c r="X306">
        <f t="shared" si="81"/>
        <v>0.5</v>
      </c>
      <c r="Y306">
        <f t="shared" si="82"/>
        <v>1000</v>
      </c>
      <c r="Z306">
        <f t="shared" si="83"/>
        <v>0.5</v>
      </c>
      <c r="AA306">
        <f>IF($D306="",0,IF($F306&lt;2,0,IF($E306="Win",('Guide &amp; Settings'!$C$42/(($F306-1)*COUNTIFS($A$4:$A$810,$A306,$E$4:$E$810,"Win")))*SUMIFS($Z$4:$Z$810,$A$4:$A$810,$A306,$E$4:$E$810,"Loss"),-('Guide &amp; Settings'!$C$42/($F306-1))*$Z306)))</f>
        <v>16</v>
      </c>
      <c r="AB306" s="120">
        <f t="shared" si="84"/>
        <v>1016</v>
      </c>
      <c r="AC306" s="120">
        <f>IF($D306="","",IF(SUMPRODUCT(MAX(($D$4:$D$810=$D306)*($B$4:$B$810&lt;$B306)*$B$4:$B$810))=0,0,MAX(($B306-MAX(SUMPRODUCT(MAX(($D$4:$D$810=$D306)*($B$4:$B$810&lt;$B306)*$B$4:$B$810)),'Guide &amp; Settings'!$C$50))/7-'Guide &amp; Settings'!$C$48,0)*'Guide &amp; Settings'!$C$49))</f>
        <v>0</v>
      </c>
    </row>
    <row r="307" spans="1:29" ht="15" customHeight="1" x14ac:dyDescent="0.2">
      <c r="A307" s="111">
        <v>129</v>
      </c>
      <c r="B307" s="112">
        <v>46212</v>
      </c>
      <c r="C307" s="113" t="s">
        <v>208</v>
      </c>
      <c r="D307" s="113" t="s">
        <v>138</v>
      </c>
      <c r="E307" s="111" t="s">
        <v>309</v>
      </c>
      <c r="F307" s="114">
        <f t="shared" si="68"/>
        <v>2</v>
      </c>
      <c r="G307" s="115" t="str">
        <f t="shared" si="69"/>
        <v>Shawn</v>
      </c>
      <c r="H307" s="116">
        <f>IF($D307="",0,IFERROR(LOOKUP(2,1/(($D$3:D306=$D307)*($A$3:A306&lt;$A307)),$N$3:N306),'Guide &amp; Settings'!$C$41))</f>
        <v>1106.0736249589231</v>
      </c>
      <c r="I307" s="117">
        <f t="shared" si="70"/>
        <v>0.5</v>
      </c>
      <c r="J307" s="118">
        <f>IF($D307="",0,IF($F307&lt;2,0,IF($E307="Win",('Guide &amp; Settings'!$C$42/(($F307-1)*COUNTIFS($A$4:$A$810,$A307,$E$4:$E$810,"Win")))*SUMIFS($X$4:$X$810,$A$4:$A$810,$A307,$E$4:$E$810,"Loss"),-('Guide &amp; Settings'!$C$42/($F307-1))*$X307)))</f>
        <v>-19.7534605732545</v>
      </c>
      <c r="K307" s="118">
        <f>IF($D307="",0,'Guide &amp; Settings'!$C$43*(IF($E307="Win",1,0)-$I307))</f>
        <v>-6</v>
      </c>
      <c r="L307" s="119">
        <f>IF($D307="",0,'Guide &amp; Settings'!$C$44*IF($F307&gt;=3,$F307,0))</f>
        <v>0</v>
      </c>
      <c r="M307" s="118">
        <f t="shared" si="71"/>
        <v>-25.7534605732545</v>
      </c>
      <c r="N307" s="116">
        <f t="shared" si="72"/>
        <v>1080.3201643856687</v>
      </c>
      <c r="O307" s="115" t="str">
        <f t="shared" si="73"/>
        <v>OK</v>
      </c>
      <c r="P307">
        <f t="shared" si="74"/>
        <v>1023.0217030045443</v>
      </c>
      <c r="Q307">
        <f t="shared" si="75"/>
        <v>0.61729564291420314</v>
      </c>
      <c r="R307">
        <f t="shared" si="76"/>
        <v>0.5</v>
      </c>
      <c r="S307">
        <f t="shared" si="77"/>
        <v>1</v>
      </c>
      <c r="T307" s="83">
        <f t="shared" si="78"/>
        <v>0</v>
      </c>
      <c r="U307" s="120">
        <f>IF($D307="",0,IFERROR(LOOKUP(2,1/(($D$3:D306=$D307)*($C$3:C306=$C307)*($A$3:A306&lt;$A307)),$AB$3:AB306),1000))</f>
        <v>1000</v>
      </c>
      <c r="V307" s="120">
        <f t="shared" si="79"/>
        <v>1106.0736249589231</v>
      </c>
      <c r="W307">
        <f t="shared" si="80"/>
        <v>1023.0217030045443</v>
      </c>
      <c r="X307">
        <f t="shared" si="81"/>
        <v>0.61729564291420314</v>
      </c>
      <c r="Y307">
        <f t="shared" si="82"/>
        <v>1000</v>
      </c>
      <c r="Z307">
        <f t="shared" si="83"/>
        <v>0.5</v>
      </c>
      <c r="AA307">
        <f>IF($D307="",0,IF($F307&lt;2,0,IF($E307="Win",('Guide &amp; Settings'!$C$42/(($F307-1)*COUNTIFS($A$4:$A$810,$A307,$E$4:$E$810,"Win")))*SUMIFS($Z$4:$Z$810,$A$4:$A$810,$A307,$E$4:$E$810,"Loss"),-('Guide &amp; Settings'!$C$42/($F307-1))*$Z307)))</f>
        <v>-16</v>
      </c>
      <c r="AB307" s="120">
        <f t="shared" si="84"/>
        <v>984</v>
      </c>
      <c r="AC307" s="120">
        <f>IF($D307="","",IF(SUMPRODUCT(MAX(($D$4:$D$810=$D307)*($B$4:$B$810&lt;$B307)*$B$4:$B$810))=0,0,MAX(($B307-MAX(SUMPRODUCT(MAX(($D$4:$D$810=$D307)*($B$4:$B$810&lt;$B307)*$B$4:$B$810)),'Guide &amp; Settings'!$C$50))/7-'Guide &amp; Settings'!$C$48,0)*'Guide &amp; Settings'!$C$49))</f>
        <v>0</v>
      </c>
    </row>
    <row r="308" spans="1:29" ht="15" customHeight="1" x14ac:dyDescent="0.2">
      <c r="A308" s="111">
        <v>130</v>
      </c>
      <c r="B308" s="112">
        <v>46212</v>
      </c>
      <c r="C308" s="113" t="s">
        <v>208</v>
      </c>
      <c r="D308" s="113" t="s">
        <v>134</v>
      </c>
      <c r="E308" s="111" t="s">
        <v>308</v>
      </c>
      <c r="F308" s="114">
        <f t="shared" si="68"/>
        <v>2</v>
      </c>
      <c r="G308" s="115" t="str">
        <f t="shared" si="69"/>
        <v>Shawn</v>
      </c>
      <c r="H308" s="116">
        <f>IF($D308="",0,IFERROR(LOOKUP(2,1/(($D$3:D307=$D308)*($A$3:A307&lt;$A308)),$N$3:N307),'Guide &amp; Settings'!$C$41))</f>
        <v>1048.7751635777988</v>
      </c>
      <c r="I308" s="117">
        <f t="shared" si="70"/>
        <v>0.66666666666666663</v>
      </c>
      <c r="J308" s="118">
        <f>IF($D308="",0,IF($F308&lt;2,0,IF($E308="Win",('Guide &amp; Settings'!$C$42/(($F308-1)*COUNTIFS($A$4:$A$810,$A308,$E$4:$E$810,"Win")))*SUMIFS($X$4:$X$810,$A$4:$A$810,$A308,$E$4:$E$810,"Loss"),-('Guide &amp; Settings'!$C$42/($F308-1))*$X308)))</f>
        <v>16.963806763649458</v>
      </c>
      <c r="K308" s="118">
        <f>IF($D308="",0,'Guide &amp; Settings'!$C$43*(IF($E308="Win",1,0)-$I308))</f>
        <v>4</v>
      </c>
      <c r="L308" s="119">
        <f>IF($D308="",0,'Guide &amp; Settings'!$C$44*IF($F308&gt;=3,$F308,0))</f>
        <v>0</v>
      </c>
      <c r="M308" s="118">
        <f t="shared" si="71"/>
        <v>20.963806763649458</v>
      </c>
      <c r="N308" s="116">
        <f t="shared" si="72"/>
        <v>1069.7389703414483</v>
      </c>
      <c r="O308" s="115" t="str">
        <f t="shared" si="73"/>
        <v>OK</v>
      </c>
      <c r="P308">
        <f t="shared" si="74"/>
        <v>1048.7751635777988</v>
      </c>
      <c r="Q308">
        <f t="shared" si="75"/>
        <v>0.5</v>
      </c>
      <c r="R308">
        <f t="shared" si="76"/>
        <v>0.66666666666666663</v>
      </c>
      <c r="S308">
        <f t="shared" si="77"/>
        <v>1</v>
      </c>
      <c r="T308" s="83">
        <f t="shared" si="78"/>
        <v>1</v>
      </c>
      <c r="U308" s="120">
        <f>IF($D308="",0,IFERROR(LOOKUP(2,1/(($D$3:D307=$D308)*($C$3:C307=$C308)*($A$3:A307&lt;$A308)),$AB$3:AB307),1000))</f>
        <v>1016</v>
      </c>
      <c r="V308" s="120">
        <f t="shared" si="79"/>
        <v>1043.3126363148324</v>
      </c>
      <c r="W308">
        <f t="shared" si="80"/>
        <v>1043.3126363148324</v>
      </c>
      <c r="X308">
        <f t="shared" si="81"/>
        <v>0.5</v>
      </c>
      <c r="Y308">
        <f t="shared" si="82"/>
        <v>1016</v>
      </c>
      <c r="Z308">
        <f t="shared" si="83"/>
        <v>0.5</v>
      </c>
      <c r="AA308">
        <f>IF($D308="",0,IF($F308&lt;2,0,IF($E308="Win",('Guide &amp; Settings'!$C$42/(($F308-1)*COUNTIFS($A$4:$A$810,$A308,$E$4:$E$810,"Win")))*SUMIFS($Z$4:$Z$810,$A$4:$A$810,$A308,$E$4:$E$810,"Loss"),-('Guide &amp; Settings'!$C$42/($F308-1))*$Z308)))</f>
        <v>14.530498471024522</v>
      </c>
      <c r="AB308" s="120">
        <f t="shared" si="84"/>
        <v>1030.5304984710244</v>
      </c>
      <c r="AC308" s="120">
        <f>IF($D308="","",IF(SUMPRODUCT(MAX(($D$4:$D$810=$D308)*($B$4:$B$810&lt;$B308)*$B$4:$B$810))=0,0,MAX(($B308-MAX(SUMPRODUCT(MAX(($D$4:$D$810=$D308)*($B$4:$B$810&lt;$B308)*$B$4:$B$810)),'Guide &amp; Settings'!$C$50))/7-'Guide &amp; Settings'!$C$48,0)*'Guide &amp; Settings'!$C$49))</f>
        <v>0</v>
      </c>
    </row>
    <row r="309" spans="1:29" ht="15" customHeight="1" x14ac:dyDescent="0.2">
      <c r="A309" s="111">
        <v>130</v>
      </c>
      <c r="B309" s="112">
        <v>46212</v>
      </c>
      <c r="C309" s="113" t="s">
        <v>208</v>
      </c>
      <c r="D309" s="113" t="s">
        <v>138</v>
      </c>
      <c r="E309" s="111" t="s">
        <v>309</v>
      </c>
      <c r="F309" s="114">
        <f t="shared" si="68"/>
        <v>2</v>
      </c>
      <c r="G309" s="115" t="str">
        <f t="shared" si="69"/>
        <v>Shawn</v>
      </c>
      <c r="H309" s="116">
        <f>IF($D309="",0,IFERROR(LOOKUP(2,1/(($D$3:D308=$D309)*($A$3:A308&lt;$A309)),$N$3:N308),'Guide &amp; Settings'!$C$41))</f>
        <v>1080.3201643856687</v>
      </c>
      <c r="I309" s="117">
        <f t="shared" si="70"/>
        <v>0.33333333333333331</v>
      </c>
      <c r="J309" s="118">
        <f>IF($D309="",0,IF($F309&lt;2,0,IF($E309="Win",('Guide &amp; Settings'!$C$42/(($F309-1)*COUNTIFS($A$4:$A$810,$A309,$E$4:$E$810,"Win")))*SUMIFS($X$4:$X$810,$A$4:$A$810,$A309,$E$4:$E$810,"Loss"),-('Guide &amp; Settings'!$C$42/($F309-1))*$X309)))</f>
        <v>-16.963806763649458</v>
      </c>
      <c r="K309" s="118">
        <f>IF($D309="",0,'Guide &amp; Settings'!$C$43*(IF($E309="Win",1,0)-$I309))</f>
        <v>-4</v>
      </c>
      <c r="L309" s="119">
        <f>IF($D309="",0,'Guide &amp; Settings'!$C$44*IF($F309&gt;=3,$F309,0))</f>
        <v>0</v>
      </c>
      <c r="M309" s="118">
        <f t="shared" si="71"/>
        <v>-20.963806763649458</v>
      </c>
      <c r="N309" s="116">
        <f t="shared" si="72"/>
        <v>1059.3563576220192</v>
      </c>
      <c r="O309" s="115" t="str">
        <f t="shared" si="73"/>
        <v>OK</v>
      </c>
      <c r="P309">
        <f t="shared" si="74"/>
        <v>1048.7751635777988</v>
      </c>
      <c r="Q309">
        <f t="shared" si="75"/>
        <v>0.54527257197528178</v>
      </c>
      <c r="R309">
        <f t="shared" si="76"/>
        <v>0.33333333333333331</v>
      </c>
      <c r="S309">
        <f t="shared" si="77"/>
        <v>1</v>
      </c>
      <c r="T309" s="83">
        <f t="shared" si="78"/>
        <v>1</v>
      </c>
      <c r="U309" s="120">
        <f>IF($D309="",0,IFERROR(LOOKUP(2,1/(($D$3:D308=$D309)*($C$3:C308=$C309)*($A$3:A308&lt;$A309)),$AB$3:AB308),1000))</f>
        <v>984</v>
      </c>
      <c r="V309" s="120">
        <f t="shared" si="79"/>
        <v>1064.2668036547238</v>
      </c>
      <c r="W309">
        <f t="shared" si="80"/>
        <v>1043.3126363148324</v>
      </c>
      <c r="X309">
        <f t="shared" si="81"/>
        <v>0.53011896136404557</v>
      </c>
      <c r="Y309">
        <f t="shared" si="82"/>
        <v>1016</v>
      </c>
      <c r="Z309">
        <f t="shared" si="83"/>
        <v>0.45407807721951632</v>
      </c>
      <c r="AA309">
        <f>IF($D309="",0,IF($F309&lt;2,0,IF($E309="Win",('Guide &amp; Settings'!$C$42/(($F309-1)*COUNTIFS($A$4:$A$810,$A309,$E$4:$E$810,"Win")))*SUMIFS($Z$4:$Z$810,$A$4:$A$810,$A309,$E$4:$E$810,"Loss"),-('Guide &amp; Settings'!$C$42/($F309-1))*$Z309)))</f>
        <v>-14.530498471024522</v>
      </c>
      <c r="AB309" s="120">
        <f t="shared" si="84"/>
        <v>969.46950152897546</v>
      </c>
      <c r="AC309" s="120">
        <f>IF($D309="","",IF(SUMPRODUCT(MAX(($D$4:$D$810=$D309)*($B$4:$B$810&lt;$B309)*$B$4:$B$810))=0,0,MAX(($B309-MAX(SUMPRODUCT(MAX(($D$4:$D$810=$D309)*($B$4:$B$810&lt;$B309)*$B$4:$B$810)),'Guide &amp; Settings'!$C$50))/7-'Guide &amp; Settings'!$C$48,0)*'Guide &amp; Settings'!$C$49))</f>
        <v>0</v>
      </c>
    </row>
    <row r="310" spans="1:29" ht="15" customHeight="1" x14ac:dyDescent="0.2">
      <c r="A310" s="111">
        <v>131</v>
      </c>
      <c r="B310" s="112">
        <v>46212</v>
      </c>
      <c r="C310" s="113" t="s">
        <v>208</v>
      </c>
      <c r="D310" s="113" t="s">
        <v>134</v>
      </c>
      <c r="E310" s="111" t="s">
        <v>308</v>
      </c>
      <c r="F310" s="114">
        <f t="shared" si="68"/>
        <v>2</v>
      </c>
      <c r="G310" s="115" t="str">
        <f t="shared" si="69"/>
        <v>Shawn</v>
      </c>
      <c r="H310" s="116">
        <f>IF($D310="",0,IFERROR(LOOKUP(2,1/(($D$3:D309=$D310)*($A$3:A309&lt;$A310)),$N$3:N309),'Guide &amp; Settings'!$C$41))</f>
        <v>1069.7389703414483</v>
      </c>
      <c r="I310" s="117">
        <f t="shared" si="70"/>
        <v>0.75</v>
      </c>
      <c r="J310" s="118">
        <f>IF($D310="",0,IF($F310&lt;2,0,IF($E310="Win",('Guide &amp; Settings'!$C$42/(($F310-1)*COUNTIFS($A$4:$A$810,$A310,$E$4:$E$810,"Win")))*SUMIFS($X$4:$X$810,$A$4:$A$810,$A310,$E$4:$E$810,"Loss"),-('Guide &amp; Settings'!$C$42/($F310-1))*$X310)))</f>
        <v>14.857005939879265</v>
      </c>
      <c r="K310" s="118">
        <f>IF($D310="",0,'Guide &amp; Settings'!$C$43*(IF($E310="Win",1,0)-$I310))</f>
        <v>3</v>
      </c>
      <c r="L310" s="119">
        <f>IF($D310="",0,'Guide &amp; Settings'!$C$44*IF($F310&gt;=3,$F310,0))</f>
        <v>0</v>
      </c>
      <c r="M310" s="118">
        <f t="shared" si="71"/>
        <v>17.857005939879265</v>
      </c>
      <c r="N310" s="116">
        <f t="shared" si="72"/>
        <v>1087.5959762813275</v>
      </c>
      <c r="O310" s="115" t="str">
        <f t="shared" si="73"/>
        <v>OK</v>
      </c>
      <c r="P310">
        <f t="shared" si="74"/>
        <v>1069.7389703414483</v>
      </c>
      <c r="Q310">
        <f t="shared" si="75"/>
        <v>0.5</v>
      </c>
      <c r="R310">
        <f t="shared" si="76"/>
        <v>0.75</v>
      </c>
      <c r="S310">
        <f t="shared" si="77"/>
        <v>1</v>
      </c>
      <c r="T310" s="83">
        <f t="shared" si="78"/>
        <v>2</v>
      </c>
      <c r="U310" s="120">
        <f>IF($D310="",0,IFERROR(LOOKUP(2,1/(($D$3:D309=$D310)*($C$3:C309=$C310)*($A$3:A309&lt;$A310)),$AB$3:AB309),1000))</f>
        <v>1030.5304984710244</v>
      </c>
      <c r="V310" s="120">
        <f t="shared" si="79"/>
        <v>1058.5365498070414</v>
      </c>
      <c r="W310">
        <f t="shared" si="80"/>
        <v>1058.5365498070414</v>
      </c>
      <c r="X310">
        <f t="shared" si="81"/>
        <v>0.5</v>
      </c>
      <c r="Y310">
        <f t="shared" si="82"/>
        <v>1030.5304984710244</v>
      </c>
      <c r="Z310">
        <f t="shared" si="83"/>
        <v>0.5</v>
      </c>
      <c r="AA310">
        <f>IF($D310="",0,IF($F310&lt;2,0,IF($E310="Win",('Guide &amp; Settings'!$C$42/(($F310-1)*COUNTIFS($A$4:$A$810,$A310,$E$4:$E$810,"Win")))*SUMIFS($Z$4:$Z$810,$A$4:$A$810,$A310,$E$4:$E$810,"Loss"),-('Guide &amp; Settings'!$C$42/($F310-1))*$Z310)))</f>
        <v>13.21663516258643</v>
      </c>
      <c r="AB310" s="120">
        <f t="shared" si="84"/>
        <v>1043.7471336336109</v>
      </c>
      <c r="AC310" s="120">
        <f>IF($D310="","",IF(SUMPRODUCT(MAX(($D$4:$D$810=$D310)*($B$4:$B$810&lt;$B310)*$B$4:$B$810))=0,0,MAX(($B310-MAX(SUMPRODUCT(MAX(($D$4:$D$810=$D310)*($B$4:$B$810&lt;$B310)*$B$4:$B$810)),'Guide &amp; Settings'!$C$50))/7-'Guide &amp; Settings'!$C$48,0)*'Guide &amp; Settings'!$C$49))</f>
        <v>0</v>
      </c>
    </row>
    <row r="311" spans="1:29" ht="15" customHeight="1" x14ac:dyDescent="0.2">
      <c r="A311" s="111">
        <v>131</v>
      </c>
      <c r="B311" s="112">
        <v>46212</v>
      </c>
      <c r="C311" s="113" t="s">
        <v>208</v>
      </c>
      <c r="D311" s="113" t="s">
        <v>138</v>
      </c>
      <c r="E311" s="111" t="s">
        <v>309</v>
      </c>
      <c r="F311" s="114">
        <f t="shared" si="68"/>
        <v>2</v>
      </c>
      <c r="G311" s="115" t="str">
        <f t="shared" si="69"/>
        <v>Shawn</v>
      </c>
      <c r="H311" s="116">
        <f>IF($D311="",0,IFERROR(LOOKUP(2,1/(($D$3:D310=$D311)*($A$3:A310&lt;$A311)),$N$3:N310),'Guide &amp; Settings'!$C$41))</f>
        <v>1059.3563576220192</v>
      </c>
      <c r="I311" s="117">
        <f t="shared" si="70"/>
        <v>0.25</v>
      </c>
      <c r="J311" s="118">
        <f>IF($D311="",0,IF($F311&lt;2,0,IF($E311="Win",('Guide &amp; Settings'!$C$42/(($F311-1)*COUNTIFS($A$4:$A$810,$A311,$E$4:$E$810,"Win")))*SUMIFS($X$4:$X$810,$A$4:$A$810,$A311,$E$4:$E$810,"Loss"),-('Guide &amp; Settings'!$C$42/($F311-1))*$X311)))</f>
        <v>-14.857005939879265</v>
      </c>
      <c r="K311" s="118">
        <f>IF($D311="",0,'Guide &amp; Settings'!$C$43*(IF($E311="Win",1,0)-$I311))</f>
        <v>-3</v>
      </c>
      <c r="L311" s="119">
        <f>IF($D311="",0,'Guide &amp; Settings'!$C$44*IF($F311&gt;=3,$F311,0))</f>
        <v>0</v>
      </c>
      <c r="M311" s="118">
        <f t="shared" si="71"/>
        <v>-17.857005939879265</v>
      </c>
      <c r="N311" s="116">
        <f t="shared" si="72"/>
        <v>1041.4993516821401</v>
      </c>
      <c r="O311" s="115" t="str">
        <f t="shared" si="73"/>
        <v>OK</v>
      </c>
      <c r="P311">
        <f t="shared" si="74"/>
        <v>1069.7389703414483</v>
      </c>
      <c r="Q311">
        <f t="shared" si="75"/>
        <v>0.48506266542128662</v>
      </c>
      <c r="R311">
        <f t="shared" si="76"/>
        <v>0.25</v>
      </c>
      <c r="S311">
        <f t="shared" si="77"/>
        <v>1</v>
      </c>
      <c r="T311" s="83">
        <f t="shared" si="78"/>
        <v>2</v>
      </c>
      <c r="U311" s="120">
        <f>IF($D311="",0,IFERROR(LOOKUP(2,1/(($D$3:D310=$D311)*($C$3:C310=$C311)*($A$3:A310&lt;$A311)),$AB$3:AB310),1000))</f>
        <v>969.46950152897546</v>
      </c>
      <c r="V311" s="120">
        <f t="shared" si="79"/>
        <v>1033.6743987382924</v>
      </c>
      <c r="W311">
        <f t="shared" si="80"/>
        <v>1058.5365498070414</v>
      </c>
      <c r="X311">
        <f t="shared" si="81"/>
        <v>0.46428143562122703</v>
      </c>
      <c r="Y311">
        <f t="shared" si="82"/>
        <v>1030.5304984710244</v>
      </c>
      <c r="Z311">
        <f t="shared" si="83"/>
        <v>0.41301984883082593</v>
      </c>
      <c r="AA311">
        <f>IF($D311="",0,IF($F311&lt;2,0,IF($E311="Win",('Guide &amp; Settings'!$C$42/(($F311-1)*COUNTIFS($A$4:$A$810,$A311,$E$4:$E$810,"Win")))*SUMIFS($Z$4:$Z$810,$A$4:$A$810,$A311,$E$4:$E$810,"Loss"),-('Guide &amp; Settings'!$C$42/($F311-1))*$Z311)))</f>
        <v>-13.21663516258643</v>
      </c>
      <c r="AB311" s="120">
        <f t="shared" si="84"/>
        <v>956.25286636638907</v>
      </c>
      <c r="AC311" s="120">
        <f>IF($D311="","",IF(SUMPRODUCT(MAX(($D$4:$D$810=$D311)*($B$4:$B$810&lt;$B311)*$B$4:$B$810))=0,0,MAX(($B311-MAX(SUMPRODUCT(MAX(($D$4:$D$810=$D311)*($B$4:$B$810&lt;$B311)*$B$4:$B$810)),'Guide &amp; Settings'!$C$50))/7-'Guide &amp; Settings'!$C$48,0)*'Guide &amp; Settings'!$C$49))</f>
        <v>0</v>
      </c>
    </row>
    <row r="312" spans="1:29" x14ac:dyDescent="0.2">
      <c r="A312" s="111">
        <v>132</v>
      </c>
      <c r="B312" s="112">
        <v>46213</v>
      </c>
      <c r="C312" s="113" t="s">
        <v>183</v>
      </c>
      <c r="D312" s="113" t="s">
        <v>134</v>
      </c>
      <c r="E312" s="111" t="s">
        <v>309</v>
      </c>
      <c r="F312" s="114">
        <f t="shared" ref="F312:F375" si="85">IF($D312="",0,COUNTIF($A$4:$A$810,$A312))</f>
        <v>2</v>
      </c>
      <c r="G312" s="115" t="str">
        <f t="shared" ref="G312:G375" si="86">IF($D312="","",IFERROR(LOOKUP(2,1/(($A$4:$A$810=$A312)*($E$4:$E$810="Win")),$D$4:$D$810),"(no winner)"))</f>
        <v>Aaron</v>
      </c>
      <c r="H312" s="116">
        <f>IF($D312="",0,IFERROR(LOOKUP(2,1/(($D$3:D311=$D312)*($A$3:A311&lt;$A312)),$N$3:N311),'Guide &amp; Settings'!$C$41))</f>
        <v>1087.5959762813275</v>
      </c>
      <c r="I312" s="117">
        <f t="shared" ref="I312:I375" si="87">IF($D312="",0,IF($S312=0,0,$R312/$S312))</f>
        <v>0.4285714285714286</v>
      </c>
      <c r="J312" s="118">
        <f>IF($D312="",0,IF($F312&lt;2,0,IF($E312="Win",('Guide &amp; Settings'!$C$42/(($F312-1)*COUNTIFS($A$4:$A$810,$A312,$E$4:$E$810,"Win")))*SUMIFS($X$4:$X$810,$A$4:$A$810,$A312,$E$4:$E$810,"Loss"),-('Guide &amp; Settings'!$C$42/($F312-1))*$X312)))</f>
        <v>-14.791839796411267</v>
      </c>
      <c r="K312" s="118">
        <f>IF($D312="",0,'Guide &amp; Settings'!$C$43*(IF($E312="Win",1,0)-$I312))</f>
        <v>-5.1428571428571432</v>
      </c>
      <c r="L312" s="119">
        <f>IF($D312="",0,'Guide &amp; Settings'!$C$44*IF($F312&gt;=3,$F312,0))</f>
        <v>0</v>
      </c>
      <c r="M312" s="118">
        <f t="shared" ref="M312:M375" si="88">IF($D312="",0,$J312+$K312+$L312)</f>
        <v>-19.934696939268409</v>
      </c>
      <c r="N312" s="116">
        <f t="shared" ref="N312:N375" si="89">IF($D312="",0,$H312+$M312)</f>
        <v>1067.6612793420591</v>
      </c>
      <c r="O312" s="115" t="str">
        <f t="shared" ref="O312:O375" si="90">IF($D312="","",IF(COUNTIFS($A$4:$A$810,$A312,$E$4:$E$810,"Win")=0,"need a winner",IF(COUNTIFS($A$4:$A$810,$A312,$E$4:$E$810,"Loss")=0,"need a loser",IF(COUNTIFS($A$4:$A$810,$A312,$D$4:$D$810,$D312)&gt;1,"duplicate player","OK"))))</f>
        <v>OK</v>
      </c>
      <c r="P312">
        <f t="shared" ref="P312:P375" si="91">IF($D312="",0,IFERROR(SUMIFS($H$4:$H$810,$A$4:$A$810,$A312,$E$4:$E$810,"Win")/COUNTIFS($A$4:$A$810,$A312,$E$4:$E$810,"Win"),0))</f>
        <v>1041.4993516821401</v>
      </c>
      <c r="Q312">
        <f t="shared" ref="Q312:Q375" si="92">IF($D312="",0,1/(1+10^(($P312-$H312)/400)))</f>
        <v>0.56595184271215493</v>
      </c>
      <c r="R312">
        <f t="shared" ref="R312:R375" si="93">IF($D312="",0,(COUNTIFS($D$4:$D$810,$D312,$C$4:$C$810,$C312,$E$4:$E$810,"Win",$A$4:$A$810,"&lt;"&amp;$A312)+1)/(COUNTIFS($D$4:$D$810,$D312,$C$4:$C$810,$C312,$A$4:$A$810,"&lt;"&amp;$A312)+2))</f>
        <v>0.5</v>
      </c>
      <c r="S312">
        <f t="shared" ref="S312:S375" si="94">IF($D312="",0,SUMIFS($R$4:$R$810,$A$4:$A$810,$A312))</f>
        <v>1.1666666666666665</v>
      </c>
      <c r="T312" s="83">
        <f t="shared" ref="T312:T375" si="95">IF($D312="",0,COUNTIFS($D$4:$D$810,$D312,$C$4:$C$810,$C312,$A$4:$A$810,"&lt;"&amp;$A312))</f>
        <v>18</v>
      </c>
      <c r="U312" s="120">
        <f>IF($D312="",0,IFERROR(LOOKUP(2,1/(($D$3:D311=$D312)*($C$3:C311=$C312)*($A$3:A311&lt;$A312)),$AB$3:AB311),1000))</f>
        <v>1000.4413321598139</v>
      </c>
      <c r="V312" s="120">
        <f t="shared" ref="V312:V375" si="96">IF($D312="",0,$U312*($T312/($T312+5))+$H312*(1-$T312/($T312+5)))</f>
        <v>1019.3879939253603</v>
      </c>
      <c r="W312">
        <f t="shared" ref="W312:W375" si="97">IF($D312="",0,IFERROR(SUMIFS($V$4:$V$810,$A$4:$A$810,$A312,$E$4:$E$810,"Win")/COUNTIFS($A$4:$A$810,$A312,$E$4:$E$810,"Win"),0))</f>
        <v>1045.6728923396452</v>
      </c>
      <c r="X312">
        <f t="shared" ref="X312:X375" si="98">IF($D312="",0,1/(1+10^(($W312-$V312)/400)))</f>
        <v>0.4622449936378521</v>
      </c>
      <c r="Y312">
        <f t="shared" ref="Y312:Y375" si="99">IF($D312="",0,IFERROR(SUMIFS($U$4:$U$810,$A$4:$A$810,$A312,$E$4:$E$810,"Win")/COUNTIFS($A$4:$A$810,$A312,$E$4:$E$810,"Win"),0))</f>
        <v>1047.7596626683976</v>
      </c>
      <c r="Z312">
        <f t="shared" ref="Z312:Z375" si="100">IF($D312="",0,1/(1+10^(($Y312-$U312)/400)))</f>
        <v>0.43232137895658307</v>
      </c>
      <c r="AA312">
        <f>IF($D312="",0,IF($F312&lt;2,0,IF($E312="Win",('Guide &amp; Settings'!$C$42/(($F312-1)*COUNTIFS($A$4:$A$810,$A312,$E$4:$E$810,"Win")))*SUMIFS($Z$4:$Z$810,$A$4:$A$810,$A312,$E$4:$E$810,"Loss"),-('Guide &amp; Settings'!$C$42/($F312-1))*$Z312)))</f>
        <v>-13.834284126610658</v>
      </c>
      <c r="AB312" s="120">
        <f t="shared" ref="AB312:AB375" si="101">IF($D312="",0,$U312+$AA312)</f>
        <v>986.60704803320323</v>
      </c>
      <c r="AC312" s="120">
        <f>IF($D312="","",IF(SUMPRODUCT(MAX(($D$4:$D$810=$D312)*($B$4:$B$810&lt;$B312)*$B$4:$B$810))=0,0,MAX(($B312-MAX(SUMPRODUCT(MAX(($D$4:$D$810=$D312)*($B$4:$B$810&lt;$B312)*$B$4:$B$810)),'Guide &amp; Settings'!$C$50))/7-'Guide &amp; Settings'!$C$48,0)*'Guide &amp; Settings'!$C$49))</f>
        <v>0</v>
      </c>
    </row>
    <row r="313" spans="1:29" x14ac:dyDescent="0.2">
      <c r="A313" s="111">
        <v>132</v>
      </c>
      <c r="B313" s="112">
        <v>46213</v>
      </c>
      <c r="C313" s="113" t="s">
        <v>183</v>
      </c>
      <c r="D313" s="113" t="s">
        <v>138</v>
      </c>
      <c r="E313" s="111" t="s">
        <v>308</v>
      </c>
      <c r="F313" s="114">
        <f t="shared" si="85"/>
        <v>2</v>
      </c>
      <c r="G313" s="115" t="str">
        <f t="shared" si="86"/>
        <v>Aaron</v>
      </c>
      <c r="H313" s="116">
        <f>IF($D313="",0,IFERROR(LOOKUP(2,1/(($D$3:D312=$D313)*($A$3:A312&lt;$A313)),$N$3:N312),'Guide &amp; Settings'!$C$41))</f>
        <v>1041.4993516821401</v>
      </c>
      <c r="I313" s="117">
        <f t="shared" si="87"/>
        <v>0.57142857142857151</v>
      </c>
      <c r="J313" s="118">
        <f>IF($D313="",0,IF($F313&lt;2,0,IF($E313="Win",('Guide &amp; Settings'!$C$42/(($F313-1)*COUNTIFS($A$4:$A$810,$A313,$E$4:$E$810,"Win")))*SUMIFS($X$4:$X$810,$A$4:$A$810,$A313,$E$4:$E$810,"Loss"),-('Guide &amp; Settings'!$C$42/($F313-1))*$X313)))</f>
        <v>14.791839796411267</v>
      </c>
      <c r="K313" s="118">
        <f>IF($D313="",0,'Guide &amp; Settings'!$C$43*(IF($E313="Win",1,0)-$I313))</f>
        <v>5.1428571428571423</v>
      </c>
      <c r="L313" s="119">
        <f>IF($D313="",0,'Guide &amp; Settings'!$C$44*IF($F313&gt;=3,$F313,0))</f>
        <v>0</v>
      </c>
      <c r="M313" s="118">
        <f t="shared" si="88"/>
        <v>19.934696939268409</v>
      </c>
      <c r="N313" s="116">
        <f t="shared" si="89"/>
        <v>1061.4340486214085</v>
      </c>
      <c r="O313" s="115" t="str">
        <f t="shared" si="90"/>
        <v>OK</v>
      </c>
      <c r="P313">
        <f t="shared" si="91"/>
        <v>1041.4993516821401</v>
      </c>
      <c r="Q313">
        <f t="shared" si="92"/>
        <v>0.5</v>
      </c>
      <c r="R313">
        <f t="shared" si="93"/>
        <v>0.66666666666666663</v>
      </c>
      <c r="S313">
        <f t="shared" si="94"/>
        <v>1.1666666666666665</v>
      </c>
      <c r="T313" s="83">
        <f t="shared" si="95"/>
        <v>10</v>
      </c>
      <c r="U313" s="120">
        <f>IF($D313="",0,IFERROR(LOOKUP(2,1/(($D$3:D312=$D313)*($C$3:C312=$C313)*($A$3:A312&lt;$A313)),$AB$3:AB312),1000))</f>
        <v>1047.7596626683976</v>
      </c>
      <c r="V313" s="120">
        <f t="shared" si="96"/>
        <v>1045.6728923396452</v>
      </c>
      <c r="W313">
        <f t="shared" si="97"/>
        <v>1045.6728923396452</v>
      </c>
      <c r="X313">
        <f t="shared" si="98"/>
        <v>0.5</v>
      </c>
      <c r="Y313">
        <f t="shared" si="99"/>
        <v>1047.7596626683976</v>
      </c>
      <c r="Z313">
        <f t="shared" si="100"/>
        <v>0.5</v>
      </c>
      <c r="AA313">
        <f>IF($D313="",0,IF($F313&lt;2,0,IF($E313="Win",('Guide &amp; Settings'!$C$42/(($F313-1)*COUNTIFS($A$4:$A$810,$A313,$E$4:$E$810,"Win")))*SUMIFS($Z$4:$Z$810,$A$4:$A$810,$A313,$E$4:$E$810,"Loss"),-('Guide &amp; Settings'!$C$42/($F313-1))*$Z313)))</f>
        <v>13.834284126610658</v>
      </c>
      <c r="AB313" s="120">
        <f t="shared" si="101"/>
        <v>1061.5939467950082</v>
      </c>
      <c r="AC313" s="120">
        <f>IF($D313="","",IF(SUMPRODUCT(MAX(($D$4:$D$810=$D313)*($B$4:$B$810&lt;$B313)*$B$4:$B$810))=0,0,MAX(($B313-MAX(SUMPRODUCT(MAX(($D$4:$D$810=$D313)*($B$4:$B$810&lt;$B313)*$B$4:$B$810)),'Guide &amp; Settings'!$C$50))/7-'Guide &amp; Settings'!$C$48,0)*'Guide &amp; Settings'!$C$49))</f>
        <v>0</v>
      </c>
    </row>
    <row r="314" spans="1:29" x14ac:dyDescent="0.2">
      <c r="A314" s="111">
        <v>133</v>
      </c>
      <c r="B314" s="112">
        <v>46213</v>
      </c>
      <c r="C314" s="113" t="s">
        <v>183</v>
      </c>
      <c r="D314" s="113" t="s">
        <v>134</v>
      </c>
      <c r="E314" s="111" t="s">
        <v>309</v>
      </c>
      <c r="F314" s="114">
        <f t="shared" si="85"/>
        <v>2</v>
      </c>
      <c r="G314" s="115" t="str">
        <f t="shared" si="86"/>
        <v>Aaron</v>
      </c>
      <c r="H314" s="116">
        <f>IF($D314="",0,IFERROR(LOOKUP(2,1/(($D$3:D313=$D314)*($A$3:A313&lt;$A314)),$N$3:N313),'Guide &amp; Settings'!$C$41))</f>
        <v>1067.6612793420591</v>
      </c>
      <c r="I314" s="117">
        <f t="shared" si="87"/>
        <v>0.40752351097178685</v>
      </c>
      <c r="J314" s="118">
        <f>IF($D314="",0,IF($F314&lt;2,0,IF($E314="Win",('Guide &amp; Settings'!$C$42/(($F314-1)*COUNTIFS($A$4:$A$810,$A314,$E$4:$E$810,"Win")))*SUMIFS($X$4:$X$810,$A$4:$A$810,$A314,$E$4:$E$810,"Loss"),-('Guide &amp; Settings'!$C$42/($F314-1))*$X314)))</f>
        <v>-13.351271819763314</v>
      </c>
      <c r="K314" s="118">
        <f>IF($D314="",0,'Guide &amp; Settings'!$C$43*(IF($E314="Win",1,0)-$I314))</f>
        <v>-4.8902821316614418</v>
      </c>
      <c r="L314" s="119">
        <f>IF($D314="",0,'Guide &amp; Settings'!$C$44*IF($F314&gt;=3,$F314,0))</f>
        <v>0</v>
      </c>
      <c r="M314" s="118">
        <f t="shared" si="88"/>
        <v>-18.241553951424756</v>
      </c>
      <c r="N314" s="116">
        <f t="shared" si="89"/>
        <v>1049.4197253906343</v>
      </c>
      <c r="O314" s="115" t="str">
        <f t="shared" si="90"/>
        <v>OK</v>
      </c>
      <c r="P314">
        <f t="shared" si="91"/>
        <v>1061.4340486214085</v>
      </c>
      <c r="Q314">
        <f t="shared" si="92"/>
        <v>0.5089607458705353</v>
      </c>
      <c r="R314">
        <f t="shared" si="93"/>
        <v>0.47619047619047616</v>
      </c>
      <c r="S314">
        <f t="shared" si="94"/>
        <v>1.1684981684981683</v>
      </c>
      <c r="T314" s="83">
        <f t="shared" si="95"/>
        <v>19</v>
      </c>
      <c r="U314" s="120">
        <f>IF($D314="",0,IFERROR(LOOKUP(2,1/(($D$3:D313=$D314)*($C$3:C313=$C314)*($A$3:A313&lt;$A314)),$AB$3:AB313),1000))</f>
        <v>986.60704803320323</v>
      </c>
      <c r="V314" s="120">
        <f t="shared" si="96"/>
        <v>1003.4933462225482</v>
      </c>
      <c r="W314">
        <f t="shared" si="97"/>
        <v>1061.5439786157583</v>
      </c>
      <c r="X314">
        <f t="shared" si="98"/>
        <v>0.41722724436760356</v>
      </c>
      <c r="Y314">
        <f t="shared" si="99"/>
        <v>1061.5939467950082</v>
      </c>
      <c r="Z314">
        <f t="shared" si="100"/>
        <v>0.39373017856509918</v>
      </c>
      <c r="AA314">
        <f>IF($D314="",0,IF($F314&lt;2,0,IF($E314="Win",('Guide &amp; Settings'!$C$42/(($F314-1)*COUNTIFS($A$4:$A$810,$A314,$E$4:$E$810,"Win")))*SUMIFS($Z$4:$Z$810,$A$4:$A$810,$A314,$E$4:$E$810,"Loss"),-('Guide &amp; Settings'!$C$42/($F314-1))*$Z314)))</f>
        <v>-12.599365714083174</v>
      </c>
      <c r="AB314" s="120">
        <f t="shared" si="101"/>
        <v>974.00768231912002</v>
      </c>
      <c r="AC314" s="120">
        <f>IF($D314="","",IF(SUMPRODUCT(MAX(($D$4:$D$810=$D314)*($B$4:$B$810&lt;$B314)*$B$4:$B$810))=0,0,MAX(($B314-MAX(SUMPRODUCT(MAX(($D$4:$D$810=$D314)*($B$4:$B$810&lt;$B314)*$B$4:$B$810)),'Guide &amp; Settings'!$C$50))/7-'Guide &amp; Settings'!$C$48,0)*'Guide &amp; Settings'!$C$49))</f>
        <v>0</v>
      </c>
    </row>
    <row r="315" spans="1:29" x14ac:dyDescent="0.2">
      <c r="A315" s="111">
        <v>133</v>
      </c>
      <c r="B315" s="112">
        <v>46213</v>
      </c>
      <c r="C315" s="113" t="s">
        <v>183</v>
      </c>
      <c r="D315" s="113" t="s">
        <v>138</v>
      </c>
      <c r="E315" s="111" t="s">
        <v>308</v>
      </c>
      <c r="F315" s="114">
        <f t="shared" si="85"/>
        <v>2</v>
      </c>
      <c r="G315" s="115" t="str">
        <f t="shared" si="86"/>
        <v>Aaron</v>
      </c>
      <c r="H315" s="116">
        <f>IF($D315="",0,IFERROR(LOOKUP(2,1/(($D$3:D314=$D315)*($A$3:A314&lt;$A315)),$N$3:N314),'Guide &amp; Settings'!$C$41))</f>
        <v>1061.4340486214085</v>
      </c>
      <c r="I315" s="117">
        <f t="shared" si="87"/>
        <v>0.59247648902821326</v>
      </c>
      <c r="J315" s="118">
        <f>IF($D315="",0,IF($F315&lt;2,0,IF($E315="Win",('Guide &amp; Settings'!$C$42/(($F315-1)*COUNTIFS($A$4:$A$810,$A315,$E$4:$E$810,"Win")))*SUMIFS($X$4:$X$810,$A$4:$A$810,$A315,$E$4:$E$810,"Loss"),-('Guide &amp; Settings'!$C$42/($F315-1))*$X315)))</f>
        <v>13.351271819763314</v>
      </c>
      <c r="K315" s="118">
        <f>IF($D315="",0,'Guide &amp; Settings'!$C$43*(IF($E315="Win",1,0)-$I315))</f>
        <v>4.8902821316614409</v>
      </c>
      <c r="L315" s="119">
        <f>IF($D315="",0,'Guide &amp; Settings'!$C$44*IF($F315&gt;=3,$F315,0))</f>
        <v>0</v>
      </c>
      <c r="M315" s="118">
        <f t="shared" si="88"/>
        <v>18.241553951424756</v>
      </c>
      <c r="N315" s="116">
        <f t="shared" si="89"/>
        <v>1079.6756025728332</v>
      </c>
      <c r="O315" s="115" t="str">
        <f t="shared" si="90"/>
        <v>OK</v>
      </c>
      <c r="P315">
        <f t="shared" si="91"/>
        <v>1061.4340486214085</v>
      </c>
      <c r="Q315">
        <f t="shared" si="92"/>
        <v>0.5</v>
      </c>
      <c r="R315">
        <f t="shared" si="93"/>
        <v>0.69230769230769229</v>
      </c>
      <c r="S315">
        <f t="shared" si="94"/>
        <v>1.1684981684981683</v>
      </c>
      <c r="T315" s="83">
        <f t="shared" si="95"/>
        <v>11</v>
      </c>
      <c r="U315" s="120">
        <f>IF($D315="",0,IFERROR(LOOKUP(2,1/(($D$3:D314=$D315)*($C$3:C314=$C315)*($A$3:A314&lt;$A315)),$AB$3:AB314),1000))</f>
        <v>1061.5939467950082</v>
      </c>
      <c r="V315" s="120">
        <f t="shared" si="96"/>
        <v>1061.5439786157583</v>
      </c>
      <c r="W315">
        <f t="shared" si="97"/>
        <v>1061.5439786157583</v>
      </c>
      <c r="X315">
        <f t="shared" si="98"/>
        <v>0.5</v>
      </c>
      <c r="Y315">
        <f t="shared" si="99"/>
        <v>1061.5939467950082</v>
      </c>
      <c r="Z315">
        <f t="shared" si="100"/>
        <v>0.5</v>
      </c>
      <c r="AA315">
        <f>IF($D315="",0,IF($F315&lt;2,0,IF($E315="Win",('Guide &amp; Settings'!$C$42/(($F315-1)*COUNTIFS($A$4:$A$810,$A315,$E$4:$E$810,"Win")))*SUMIFS($Z$4:$Z$810,$A$4:$A$810,$A315,$E$4:$E$810,"Loss"),-('Guide &amp; Settings'!$C$42/($F315-1))*$Z315)))</f>
        <v>12.599365714083174</v>
      </c>
      <c r="AB315" s="120">
        <f t="shared" si="101"/>
        <v>1074.1933125090914</v>
      </c>
      <c r="AC315" s="120">
        <f>IF($D315="","",IF(SUMPRODUCT(MAX(($D$4:$D$810=$D315)*($B$4:$B$810&lt;$B315)*$B$4:$B$810))=0,0,MAX(($B315-MAX(SUMPRODUCT(MAX(($D$4:$D$810=$D315)*($B$4:$B$810&lt;$B315)*$B$4:$B$810)),'Guide &amp; Settings'!$C$50))/7-'Guide &amp; Settings'!$C$48,0)*'Guide &amp; Settings'!$C$49))</f>
        <v>0</v>
      </c>
    </row>
    <row r="316" spans="1:29" x14ac:dyDescent="0.2">
      <c r="A316" s="111">
        <v>134</v>
      </c>
      <c r="B316" s="112">
        <v>46213</v>
      </c>
      <c r="C316" s="113" t="s">
        <v>208</v>
      </c>
      <c r="D316" s="113" t="s">
        <v>134</v>
      </c>
      <c r="E316" s="111" t="s">
        <v>308</v>
      </c>
      <c r="F316" s="114">
        <f t="shared" si="85"/>
        <v>2</v>
      </c>
      <c r="G316" s="115" t="str">
        <f t="shared" si="86"/>
        <v>Shawn</v>
      </c>
      <c r="H316" s="116">
        <f>IF($D316="",0,IFERROR(LOOKUP(2,1/(($D$3:D315=$D316)*($A$3:A315&lt;$A316)),$N$3:N315),'Guide &amp; Settings'!$C$41))</f>
        <v>1049.4197253906343</v>
      </c>
      <c r="I316" s="117">
        <f t="shared" si="87"/>
        <v>0.8</v>
      </c>
      <c r="J316" s="118">
        <f>IF($D316="",0,IF($F316&lt;2,0,IF($E316="Win",('Guide &amp; Settings'!$C$42/(($F316-1)*COUNTIFS($A$4:$A$810,$A316,$E$4:$E$810,"Win")))*SUMIFS($X$4:$X$810,$A$4:$A$810,$A316,$E$4:$E$810,"Loss"),-('Guide &amp; Settings'!$C$42/($F316-1))*$X316)))</f>
        <v>15.360203016844471</v>
      </c>
      <c r="K316" s="118">
        <f>IF($D316="",0,'Guide &amp; Settings'!$C$43*(IF($E316="Win",1,0)-$I316))</f>
        <v>2.3999999999999995</v>
      </c>
      <c r="L316" s="119">
        <f>IF($D316="",0,'Guide &amp; Settings'!$C$44*IF($F316&gt;=3,$F316,0))</f>
        <v>0</v>
      </c>
      <c r="M316" s="118">
        <f t="shared" si="88"/>
        <v>17.760203016844471</v>
      </c>
      <c r="N316" s="116">
        <f t="shared" si="89"/>
        <v>1067.1799284074789</v>
      </c>
      <c r="O316" s="115" t="str">
        <f t="shared" si="90"/>
        <v>OK</v>
      </c>
      <c r="P316">
        <f t="shared" si="91"/>
        <v>1049.4197253906343</v>
      </c>
      <c r="Q316">
        <f t="shared" si="92"/>
        <v>0.5</v>
      </c>
      <c r="R316">
        <f t="shared" si="93"/>
        <v>0.8</v>
      </c>
      <c r="S316">
        <f t="shared" si="94"/>
        <v>1</v>
      </c>
      <c r="T316" s="83">
        <f t="shared" si="95"/>
        <v>3</v>
      </c>
      <c r="U316" s="120">
        <f>IF($D316="",0,IFERROR(LOOKUP(2,1/(($D$3:D315=$D316)*($C$3:C315=$C316)*($A$3:A315&lt;$A316)),$AB$3:AB315),1000))</f>
        <v>1043.7471336336109</v>
      </c>
      <c r="V316" s="120">
        <f t="shared" si="96"/>
        <v>1047.2925034817504</v>
      </c>
      <c r="W316">
        <f t="shared" si="97"/>
        <v>1047.2925034817504</v>
      </c>
      <c r="X316">
        <f t="shared" si="98"/>
        <v>0.5</v>
      </c>
      <c r="Y316">
        <f t="shared" si="99"/>
        <v>1043.7471336336109</v>
      </c>
      <c r="Z316">
        <f t="shared" si="100"/>
        <v>0.5</v>
      </c>
      <c r="AA316">
        <f>IF($D316="",0,IF($F316&lt;2,0,IF($E316="Win",('Guide &amp; Settings'!$C$42/(($F316-1)*COUNTIFS($A$4:$A$810,$A316,$E$4:$E$810,"Win")))*SUMIFS($Z$4:$Z$810,$A$4:$A$810,$A316,$E$4:$E$810,"Loss"),-('Guide &amp; Settings'!$C$42/($F316-1))*$Z316)))</f>
        <v>12.05380899538682</v>
      </c>
      <c r="AB316" s="120">
        <f t="shared" si="101"/>
        <v>1055.8009426289977</v>
      </c>
      <c r="AC316" s="120">
        <f>IF($D316="","",IF(SUMPRODUCT(MAX(($D$4:$D$810=$D316)*($B$4:$B$810&lt;$B316)*$B$4:$B$810))=0,0,MAX(($B316-MAX(SUMPRODUCT(MAX(($D$4:$D$810=$D316)*($B$4:$B$810&lt;$B316)*$B$4:$B$810)),'Guide &amp; Settings'!$C$50))/7-'Guide &amp; Settings'!$C$48,0)*'Guide &amp; Settings'!$C$49))</f>
        <v>0</v>
      </c>
    </row>
    <row r="317" spans="1:29" x14ac:dyDescent="0.2">
      <c r="A317" s="111">
        <v>134</v>
      </c>
      <c r="B317" s="112">
        <v>46213</v>
      </c>
      <c r="C317" s="113" t="s">
        <v>208</v>
      </c>
      <c r="D317" s="113" t="s">
        <v>138</v>
      </c>
      <c r="E317" s="111" t="s">
        <v>309</v>
      </c>
      <c r="F317" s="114">
        <f t="shared" si="85"/>
        <v>2</v>
      </c>
      <c r="G317" s="115" t="str">
        <f t="shared" si="86"/>
        <v>Shawn</v>
      </c>
      <c r="H317" s="116">
        <f>IF($D317="",0,IFERROR(LOOKUP(2,1/(($D$3:D316=$D317)*($A$3:A316&lt;$A317)),$N$3:N316),'Guide &amp; Settings'!$C$41))</f>
        <v>1079.6756025728332</v>
      </c>
      <c r="I317" s="117">
        <f t="shared" si="87"/>
        <v>0.2</v>
      </c>
      <c r="J317" s="118">
        <f>IF($D317="",0,IF($F317&lt;2,0,IF($E317="Win",('Guide &amp; Settings'!$C$42/(($F317-1)*COUNTIFS($A$4:$A$810,$A317,$E$4:$E$810,"Win")))*SUMIFS($X$4:$X$810,$A$4:$A$810,$A317,$E$4:$E$810,"Loss"),-('Guide &amp; Settings'!$C$42/($F317-1))*$X317)))</f>
        <v>-15.360203016844471</v>
      </c>
      <c r="K317" s="118">
        <f>IF($D317="",0,'Guide &amp; Settings'!$C$43*(IF($E317="Win",1,0)-$I317))</f>
        <v>-2.4000000000000004</v>
      </c>
      <c r="L317" s="119">
        <f>IF($D317="",0,'Guide &amp; Settings'!$C$44*IF($F317&gt;=3,$F317,0))</f>
        <v>0</v>
      </c>
      <c r="M317" s="118">
        <f t="shared" si="88"/>
        <v>-17.760203016844471</v>
      </c>
      <c r="N317" s="116">
        <f t="shared" si="89"/>
        <v>1061.9153995559886</v>
      </c>
      <c r="O317" s="115" t="str">
        <f t="shared" si="90"/>
        <v>OK</v>
      </c>
      <c r="P317">
        <f t="shared" si="91"/>
        <v>1049.4197253906343</v>
      </c>
      <c r="Q317">
        <f t="shared" si="92"/>
        <v>0.54343197372862562</v>
      </c>
      <c r="R317">
        <f t="shared" si="93"/>
        <v>0.2</v>
      </c>
      <c r="S317">
        <f t="shared" si="94"/>
        <v>1</v>
      </c>
      <c r="T317" s="83">
        <f t="shared" si="95"/>
        <v>3</v>
      </c>
      <c r="U317" s="120">
        <f>IF($D317="",0,IFERROR(LOOKUP(2,1/(($D$3:D316=$D317)*($C$3:C316=$C317)*($A$3:A316&lt;$A317)),$AB$3:AB316),1000))</f>
        <v>956.25286636638907</v>
      </c>
      <c r="V317" s="120">
        <f t="shared" si="96"/>
        <v>1033.3920764954169</v>
      </c>
      <c r="W317">
        <f t="shared" si="97"/>
        <v>1047.2925034817504</v>
      </c>
      <c r="X317">
        <f t="shared" si="98"/>
        <v>0.48000634427638972</v>
      </c>
      <c r="Y317">
        <f t="shared" si="99"/>
        <v>1043.7471336336109</v>
      </c>
      <c r="Z317">
        <f t="shared" si="100"/>
        <v>0.37668153110583813</v>
      </c>
      <c r="AA317">
        <f>IF($D317="",0,IF($F317&lt;2,0,IF($E317="Win",('Guide &amp; Settings'!$C$42/(($F317-1)*COUNTIFS($A$4:$A$810,$A317,$E$4:$E$810,"Win")))*SUMIFS($Z$4:$Z$810,$A$4:$A$810,$A317,$E$4:$E$810,"Loss"),-('Guide &amp; Settings'!$C$42/($F317-1))*$Z317)))</f>
        <v>-12.05380899538682</v>
      </c>
      <c r="AB317" s="120">
        <f t="shared" si="101"/>
        <v>944.19905737100225</v>
      </c>
      <c r="AC317" s="120">
        <f>IF($D317="","",IF(SUMPRODUCT(MAX(($D$4:$D$810=$D317)*($B$4:$B$810&lt;$B317)*$B$4:$B$810))=0,0,MAX(($B317-MAX(SUMPRODUCT(MAX(($D$4:$D$810=$D317)*($B$4:$B$810&lt;$B317)*$B$4:$B$810)),'Guide &amp; Settings'!$C$50))/7-'Guide &amp; Settings'!$C$48,0)*'Guide &amp; Settings'!$C$49))</f>
        <v>0</v>
      </c>
    </row>
    <row r="318" spans="1:29" x14ac:dyDescent="0.2">
      <c r="A318" s="111">
        <v>135</v>
      </c>
      <c r="B318" s="112">
        <v>46213</v>
      </c>
      <c r="C318" s="113" t="s">
        <v>208</v>
      </c>
      <c r="D318" s="113" t="s">
        <v>134</v>
      </c>
      <c r="E318" s="111" t="s">
        <v>309</v>
      </c>
      <c r="F318" s="114">
        <f t="shared" si="85"/>
        <v>2</v>
      </c>
      <c r="G318" s="115" t="str">
        <f t="shared" si="86"/>
        <v>Aaron</v>
      </c>
      <c r="H318" s="116">
        <f>IF($D318="",0,IFERROR(LOOKUP(2,1/(($D$3:D317=$D318)*($A$3:A317&lt;$A318)),$N$3:N317),'Guide &amp; Settings'!$C$41))</f>
        <v>1067.1799284074789</v>
      </c>
      <c r="I318" s="117">
        <f t="shared" si="87"/>
        <v>0.83333333333333337</v>
      </c>
      <c r="J318" s="118">
        <f>IF($D318="",0,IF($F318&lt;2,0,IF($E318="Win",('Guide &amp; Settings'!$C$42/(($F318-1)*COUNTIFS($A$4:$A$810,$A318,$E$4:$E$810,"Win")))*SUMIFS($X$4:$X$810,$A$4:$A$810,$A318,$E$4:$E$810,"Loss"),-('Guide &amp; Settings'!$C$42/($F318-1))*$X318)))</f>
        <v>-18.400630676824097</v>
      </c>
      <c r="K318" s="118">
        <f>IF($D318="",0,'Guide &amp; Settings'!$C$43*(IF($E318="Win",1,0)-$I318))</f>
        <v>-10</v>
      </c>
      <c r="L318" s="119">
        <f>IF($D318="",0,'Guide &amp; Settings'!$C$44*IF($F318&gt;=3,$F318,0))</f>
        <v>0</v>
      </c>
      <c r="M318" s="118">
        <f t="shared" si="88"/>
        <v>-28.400630676824097</v>
      </c>
      <c r="N318" s="116">
        <f t="shared" si="89"/>
        <v>1038.7792977306549</v>
      </c>
      <c r="O318" s="115" t="str">
        <f t="shared" si="90"/>
        <v>OK</v>
      </c>
      <c r="P318">
        <f t="shared" si="91"/>
        <v>1061.9153995559886</v>
      </c>
      <c r="Q318">
        <f t="shared" si="92"/>
        <v>0.50757568625272653</v>
      </c>
      <c r="R318">
        <f t="shared" si="93"/>
        <v>0.83333333333333337</v>
      </c>
      <c r="S318">
        <f t="shared" si="94"/>
        <v>1</v>
      </c>
      <c r="T318" s="83">
        <f t="shared" si="95"/>
        <v>4</v>
      </c>
      <c r="U318" s="120">
        <f>IF($D318="",0,IFERROR(LOOKUP(2,1/(($D$3:D317=$D318)*($C$3:C317=$C318)*($A$3:A317&lt;$A318)),$AB$3:AB317),1000))</f>
        <v>1055.8009426289977</v>
      </c>
      <c r="V318" s="120">
        <f t="shared" si="96"/>
        <v>1062.1226013948205</v>
      </c>
      <c r="W318">
        <f t="shared" si="97"/>
        <v>1009.5970252515502</v>
      </c>
      <c r="X318">
        <f t="shared" si="98"/>
        <v>0.57501970865075303</v>
      </c>
      <c r="Y318">
        <f t="shared" si="99"/>
        <v>944.19905737100225</v>
      </c>
      <c r="Z318">
        <f t="shared" si="100"/>
        <v>0.65530303151867697</v>
      </c>
      <c r="AA318">
        <f>IF($D318="",0,IF($F318&lt;2,0,IF($E318="Win",('Guide &amp; Settings'!$C$42/(($F318-1)*COUNTIFS($A$4:$A$810,$A318,$E$4:$E$810,"Win")))*SUMIFS($Z$4:$Z$810,$A$4:$A$810,$A318,$E$4:$E$810,"Loss"),-('Guide &amp; Settings'!$C$42/($F318-1))*$Z318)))</f>
        <v>-20.969697008597663</v>
      </c>
      <c r="AB318" s="120">
        <f t="shared" si="101"/>
        <v>1034.8312456204001</v>
      </c>
      <c r="AC318" s="120">
        <f>IF($D318="","",IF(SUMPRODUCT(MAX(($D$4:$D$810=$D318)*($B$4:$B$810&lt;$B318)*$B$4:$B$810))=0,0,MAX(($B318-MAX(SUMPRODUCT(MAX(($D$4:$D$810=$D318)*($B$4:$B$810&lt;$B318)*$B$4:$B$810)),'Guide &amp; Settings'!$C$50))/7-'Guide &amp; Settings'!$C$48,0)*'Guide &amp; Settings'!$C$49))</f>
        <v>0</v>
      </c>
    </row>
    <row r="319" spans="1:29" x14ac:dyDescent="0.2">
      <c r="A319" s="111">
        <v>135</v>
      </c>
      <c r="B319" s="112">
        <v>46213</v>
      </c>
      <c r="C319" s="113" t="s">
        <v>208</v>
      </c>
      <c r="D319" s="113" t="s">
        <v>138</v>
      </c>
      <c r="E319" s="111" t="s">
        <v>308</v>
      </c>
      <c r="F319" s="114">
        <f t="shared" si="85"/>
        <v>2</v>
      </c>
      <c r="G319" s="115" t="str">
        <f t="shared" si="86"/>
        <v>Aaron</v>
      </c>
      <c r="H319" s="116">
        <f>IF($D319="",0,IFERROR(LOOKUP(2,1/(($D$3:D318=$D319)*($A$3:A318&lt;$A319)),$N$3:N318),'Guide &amp; Settings'!$C$41))</f>
        <v>1061.9153995559886</v>
      </c>
      <c r="I319" s="117">
        <f t="shared" si="87"/>
        <v>0.16666666666666666</v>
      </c>
      <c r="J319" s="118">
        <f>IF($D319="",0,IF($F319&lt;2,0,IF($E319="Win",('Guide &amp; Settings'!$C$42/(($F319-1)*COUNTIFS($A$4:$A$810,$A319,$E$4:$E$810,"Win")))*SUMIFS($X$4:$X$810,$A$4:$A$810,$A319,$E$4:$E$810,"Loss"),-('Guide &amp; Settings'!$C$42/($F319-1))*$X319)))</f>
        <v>18.400630676824097</v>
      </c>
      <c r="K319" s="118">
        <f>IF($D319="",0,'Guide &amp; Settings'!$C$43*(IF($E319="Win",1,0)-$I319))</f>
        <v>10</v>
      </c>
      <c r="L319" s="119">
        <f>IF($D319="",0,'Guide &amp; Settings'!$C$44*IF($F319&gt;=3,$F319,0))</f>
        <v>0</v>
      </c>
      <c r="M319" s="118">
        <f t="shared" si="88"/>
        <v>28.400630676824097</v>
      </c>
      <c r="N319" s="116">
        <f t="shared" si="89"/>
        <v>1090.3160302328126</v>
      </c>
      <c r="O319" s="115" t="str">
        <f t="shared" si="90"/>
        <v>OK</v>
      </c>
      <c r="P319">
        <f t="shared" si="91"/>
        <v>1061.9153995559886</v>
      </c>
      <c r="Q319">
        <f t="shared" si="92"/>
        <v>0.5</v>
      </c>
      <c r="R319">
        <f t="shared" si="93"/>
        <v>0.16666666666666666</v>
      </c>
      <c r="S319">
        <f t="shared" si="94"/>
        <v>1</v>
      </c>
      <c r="T319" s="83">
        <f t="shared" si="95"/>
        <v>4</v>
      </c>
      <c r="U319" s="120">
        <f>IF($D319="",0,IFERROR(LOOKUP(2,1/(($D$3:D318=$D319)*($C$3:C318=$C319)*($A$3:A318&lt;$A319)),$AB$3:AB318),1000))</f>
        <v>944.19905737100225</v>
      </c>
      <c r="V319" s="120">
        <f t="shared" si="96"/>
        <v>1009.5970252515502</v>
      </c>
      <c r="W319">
        <f t="shared" si="97"/>
        <v>1009.5970252515502</v>
      </c>
      <c r="X319">
        <f t="shared" si="98"/>
        <v>0.5</v>
      </c>
      <c r="Y319">
        <f t="shared" si="99"/>
        <v>944.19905737100225</v>
      </c>
      <c r="Z319">
        <f t="shared" si="100"/>
        <v>0.5</v>
      </c>
      <c r="AA319">
        <f>IF($D319="",0,IF($F319&lt;2,0,IF($E319="Win",('Guide &amp; Settings'!$C$42/(($F319-1)*COUNTIFS($A$4:$A$810,$A319,$E$4:$E$810,"Win")))*SUMIFS($Z$4:$Z$810,$A$4:$A$810,$A319,$E$4:$E$810,"Loss"),-('Guide &amp; Settings'!$C$42/($F319-1))*$Z319)))</f>
        <v>20.969697008597663</v>
      </c>
      <c r="AB319" s="120">
        <f t="shared" si="101"/>
        <v>965.16875437959993</v>
      </c>
      <c r="AC319" s="120">
        <f>IF($D319="","",IF(SUMPRODUCT(MAX(($D$4:$D$810=$D319)*($B$4:$B$810&lt;$B319)*$B$4:$B$810))=0,0,MAX(($B319-MAX(SUMPRODUCT(MAX(($D$4:$D$810=$D319)*($B$4:$B$810&lt;$B319)*$B$4:$B$810)),'Guide &amp; Settings'!$C$50))/7-'Guide &amp; Settings'!$C$48,0)*'Guide &amp; Settings'!$C$49))</f>
        <v>0</v>
      </c>
    </row>
    <row r="320" spans="1:29" x14ac:dyDescent="0.2">
      <c r="A320" s="111">
        <v>136</v>
      </c>
      <c r="B320" s="112">
        <v>46213</v>
      </c>
      <c r="C320" s="113" t="s">
        <v>197</v>
      </c>
      <c r="D320" s="113" t="s">
        <v>134</v>
      </c>
      <c r="E320" s="111" t="s">
        <v>309</v>
      </c>
      <c r="F320" s="114">
        <f t="shared" si="85"/>
        <v>2</v>
      </c>
      <c r="G320" s="115" t="str">
        <f t="shared" si="86"/>
        <v>Aaron</v>
      </c>
      <c r="H320" s="116">
        <f>IF($D320="",0,IFERROR(LOOKUP(2,1/(($D$3:D319=$D320)*($A$3:A319&lt;$A320)),$N$3:N319),'Guide &amp; Settings'!$C$41))</f>
        <v>1038.7792977306549</v>
      </c>
      <c r="I320" s="117">
        <f t="shared" si="87"/>
        <v>0.37499999999999994</v>
      </c>
      <c r="J320" s="118">
        <f>IF($D320="",0,IF($F320&lt;2,0,IF($E320="Win",('Guide &amp; Settings'!$C$42/(($F320-1)*COUNTIFS($A$4:$A$810,$A320,$E$4:$E$810,"Win")))*SUMIFS($X$4:$X$810,$A$4:$A$810,$A320,$E$4:$E$810,"Loss"),-('Guide &amp; Settings'!$C$42/($F320-1))*$X320)))</f>
        <v>-12.720890435646909</v>
      </c>
      <c r="K320" s="118">
        <f>IF($D320="",0,'Guide &amp; Settings'!$C$43*(IF($E320="Win",1,0)-$I320))</f>
        <v>-4.4999999999999991</v>
      </c>
      <c r="L320" s="119">
        <f>IF($D320="",0,'Guide &amp; Settings'!$C$44*IF($F320&gt;=3,$F320,0))</f>
        <v>0</v>
      </c>
      <c r="M320" s="118">
        <f t="shared" si="88"/>
        <v>-17.220890435646908</v>
      </c>
      <c r="N320" s="116">
        <f t="shared" si="89"/>
        <v>1021.558407295008</v>
      </c>
      <c r="O320" s="115" t="str">
        <f t="shared" si="90"/>
        <v>OK</v>
      </c>
      <c r="P320">
        <f t="shared" si="91"/>
        <v>1090.3160302328126</v>
      </c>
      <c r="Q320">
        <f t="shared" si="92"/>
        <v>0.42637190655665269</v>
      </c>
      <c r="R320">
        <f t="shared" si="93"/>
        <v>0.3</v>
      </c>
      <c r="S320">
        <f t="shared" si="94"/>
        <v>0.8</v>
      </c>
      <c r="T320" s="83">
        <f t="shared" si="95"/>
        <v>8</v>
      </c>
      <c r="U320" s="120">
        <f>IF($D320="",0,IFERROR(LOOKUP(2,1/(($D$3:D319=$D320)*($C$3:C319=$C320)*($A$3:A319&lt;$A320)),$AB$3:AB319),1000))</f>
        <v>963.2777675383727</v>
      </c>
      <c r="V320" s="120">
        <f t="shared" si="96"/>
        <v>992.31681761232744</v>
      </c>
      <c r="W320">
        <f t="shared" si="97"/>
        <v>1064.5446013663495</v>
      </c>
      <c r="X320">
        <f t="shared" si="98"/>
        <v>0.39752782611396592</v>
      </c>
      <c r="Y320">
        <f t="shared" si="99"/>
        <v>1000.1160292001913</v>
      </c>
      <c r="Z320">
        <f t="shared" si="100"/>
        <v>0.44718325643634876</v>
      </c>
      <c r="AA320">
        <f>IF($D320="",0,IF($F320&lt;2,0,IF($E320="Win",('Guide &amp; Settings'!$C$42/(($F320-1)*COUNTIFS($A$4:$A$810,$A320,$E$4:$E$810,"Win")))*SUMIFS($Z$4:$Z$810,$A$4:$A$810,$A320,$E$4:$E$810,"Loss"),-('Guide &amp; Settings'!$C$42/($F320-1))*$Z320)))</f>
        <v>-14.30986420596316</v>
      </c>
      <c r="AB320" s="120">
        <f t="shared" si="101"/>
        <v>948.96790333240949</v>
      </c>
      <c r="AC320" s="120">
        <f>IF($D320="","",IF(SUMPRODUCT(MAX(($D$4:$D$810=$D320)*($B$4:$B$810&lt;$B320)*$B$4:$B$810))=0,0,MAX(($B320-MAX(SUMPRODUCT(MAX(($D$4:$D$810=$D320)*($B$4:$B$810&lt;$B320)*$B$4:$B$810)),'Guide &amp; Settings'!$C$50))/7-'Guide &amp; Settings'!$C$48,0)*'Guide &amp; Settings'!$C$49))</f>
        <v>0</v>
      </c>
    </row>
    <row r="321" spans="1:29" x14ac:dyDescent="0.2">
      <c r="A321" s="111">
        <v>136</v>
      </c>
      <c r="B321" s="112">
        <v>46213</v>
      </c>
      <c r="C321" s="113" t="s">
        <v>197</v>
      </c>
      <c r="D321" s="113" t="s">
        <v>138</v>
      </c>
      <c r="E321" s="111" t="s">
        <v>308</v>
      </c>
      <c r="F321" s="114">
        <f t="shared" si="85"/>
        <v>2</v>
      </c>
      <c r="G321" s="115" t="str">
        <f t="shared" si="86"/>
        <v>Aaron</v>
      </c>
      <c r="H321" s="116">
        <f>IF($D321="",0,IFERROR(LOOKUP(2,1/(($D$3:D320=$D321)*($A$3:A320&lt;$A321)),$N$3:N320),'Guide &amp; Settings'!$C$41))</f>
        <v>1090.3160302328126</v>
      </c>
      <c r="I321" s="117">
        <f t="shared" si="87"/>
        <v>0.625</v>
      </c>
      <c r="J321" s="118">
        <f>IF($D321="",0,IF($F321&lt;2,0,IF($E321="Win",('Guide &amp; Settings'!$C$42/(($F321-1)*COUNTIFS($A$4:$A$810,$A321,$E$4:$E$810,"Win")))*SUMIFS($X$4:$X$810,$A$4:$A$810,$A321,$E$4:$E$810,"Loss"),-('Guide &amp; Settings'!$C$42/($F321-1))*$X321)))</f>
        <v>12.720890435646909</v>
      </c>
      <c r="K321" s="118">
        <f>IF($D321="",0,'Guide &amp; Settings'!$C$43*(IF($E321="Win",1,0)-$I321))</f>
        <v>4.5</v>
      </c>
      <c r="L321" s="119">
        <f>IF($D321="",0,'Guide &amp; Settings'!$C$44*IF($F321&gt;=3,$F321,0))</f>
        <v>0</v>
      </c>
      <c r="M321" s="118">
        <f t="shared" si="88"/>
        <v>17.220890435646908</v>
      </c>
      <c r="N321" s="116">
        <f t="shared" si="89"/>
        <v>1107.5369206684595</v>
      </c>
      <c r="O321" s="115" t="str">
        <f t="shared" si="90"/>
        <v>OK</v>
      </c>
      <c r="P321">
        <f t="shared" si="91"/>
        <v>1090.3160302328126</v>
      </c>
      <c r="Q321">
        <f t="shared" si="92"/>
        <v>0.5</v>
      </c>
      <c r="R321">
        <f t="shared" si="93"/>
        <v>0.5</v>
      </c>
      <c r="S321">
        <f t="shared" si="94"/>
        <v>0.8</v>
      </c>
      <c r="T321" s="83">
        <f t="shared" si="95"/>
        <v>2</v>
      </c>
      <c r="U321" s="120">
        <f>IF($D321="",0,IFERROR(LOOKUP(2,1/(($D$3:D320=$D321)*($C$3:C320=$C321)*($A$3:A320&lt;$A321)),$AB$3:AB320),1000))</f>
        <v>1000.1160292001913</v>
      </c>
      <c r="V321" s="120">
        <f t="shared" si="96"/>
        <v>1064.5446013663495</v>
      </c>
      <c r="W321">
        <f t="shared" si="97"/>
        <v>1064.5446013663495</v>
      </c>
      <c r="X321">
        <f t="shared" si="98"/>
        <v>0.5</v>
      </c>
      <c r="Y321">
        <f t="shared" si="99"/>
        <v>1000.1160292001913</v>
      </c>
      <c r="Z321">
        <f t="shared" si="100"/>
        <v>0.5</v>
      </c>
      <c r="AA321">
        <f>IF($D321="",0,IF($F321&lt;2,0,IF($E321="Win",('Guide &amp; Settings'!$C$42/(($F321-1)*COUNTIFS($A$4:$A$810,$A321,$E$4:$E$810,"Win")))*SUMIFS($Z$4:$Z$810,$A$4:$A$810,$A321,$E$4:$E$810,"Loss"),-('Guide &amp; Settings'!$C$42/($F321-1))*$Z321)))</f>
        <v>14.30986420596316</v>
      </c>
      <c r="AB321" s="120">
        <f t="shared" si="101"/>
        <v>1014.4258934061545</v>
      </c>
      <c r="AC321" s="120">
        <f>IF($D321="","",IF(SUMPRODUCT(MAX(($D$4:$D$810=$D321)*($B$4:$B$810&lt;$B321)*$B$4:$B$810))=0,0,MAX(($B321-MAX(SUMPRODUCT(MAX(($D$4:$D$810=$D321)*($B$4:$B$810&lt;$B321)*$B$4:$B$810)),'Guide &amp; Settings'!$C$50))/7-'Guide &amp; Settings'!$C$48,0)*'Guide &amp; Settings'!$C$49))</f>
        <v>0</v>
      </c>
    </row>
    <row r="322" spans="1:29" x14ac:dyDescent="0.2">
      <c r="A322" s="111">
        <v>137</v>
      </c>
      <c r="B322" s="112">
        <v>46214</v>
      </c>
      <c r="C322" s="113" t="s">
        <v>208</v>
      </c>
      <c r="D322" s="113" t="s">
        <v>134</v>
      </c>
      <c r="E322" s="111" t="s">
        <v>309</v>
      </c>
      <c r="F322" s="114">
        <f t="shared" si="85"/>
        <v>2</v>
      </c>
      <c r="G322" s="115" t="str">
        <f t="shared" si="86"/>
        <v>Aaron</v>
      </c>
      <c r="H322" s="116">
        <f>IF($D322="",0,IFERROR(LOOKUP(2,1/(($D$3:D321=$D322)*($A$3:A321&lt;$A322)),$N$3:N321),'Guide &amp; Settings'!$C$41))</f>
        <v>1021.558407295008</v>
      </c>
      <c r="I322" s="117">
        <f t="shared" si="87"/>
        <v>0.7142857142857143</v>
      </c>
      <c r="J322" s="118">
        <f>IF($D322="",0,IF($F322&lt;2,0,IF($E322="Win",('Guide &amp; Settings'!$C$42/(($F322-1)*COUNTIFS($A$4:$A$810,$A322,$E$4:$E$810,"Win")))*SUMIFS($X$4:$X$810,$A$4:$A$810,$A322,$E$4:$E$810,"Loss"),-('Guide &amp; Settings'!$C$42/($F322-1))*$X322)))</f>
        <v>-15.624378735819253</v>
      </c>
      <c r="K322" s="118">
        <f>IF($D322="",0,'Guide &amp; Settings'!$C$43*(IF($E322="Win",1,0)-$I322))</f>
        <v>-8.5714285714285712</v>
      </c>
      <c r="L322" s="119">
        <f>IF($D322="",0,'Guide &amp; Settings'!$C$44*IF($F322&gt;=3,$F322,0))</f>
        <v>0</v>
      </c>
      <c r="M322" s="118">
        <f t="shared" si="88"/>
        <v>-24.195807307247826</v>
      </c>
      <c r="N322" s="116">
        <f t="shared" si="89"/>
        <v>997.36259998776018</v>
      </c>
      <c r="O322" s="115" t="str">
        <f t="shared" si="90"/>
        <v>OK</v>
      </c>
      <c r="P322">
        <f t="shared" si="91"/>
        <v>1107.5369206684595</v>
      </c>
      <c r="Q322">
        <f t="shared" si="92"/>
        <v>0.37873237926203607</v>
      </c>
      <c r="R322">
        <f t="shared" si="93"/>
        <v>0.7142857142857143</v>
      </c>
      <c r="S322">
        <f t="shared" si="94"/>
        <v>1</v>
      </c>
      <c r="T322" s="83">
        <f t="shared" si="95"/>
        <v>5</v>
      </c>
      <c r="U322" s="120">
        <f>IF($D322="",0,IFERROR(LOOKUP(2,1/(($D$3:D321=$D322)*($C$3:C321=$C322)*($A$3:A321&lt;$A322)),$AB$3:AB321),1000))</f>
        <v>1034.8312456204001</v>
      </c>
      <c r="V322" s="120">
        <f t="shared" si="96"/>
        <v>1028.194826457704</v>
      </c>
      <c r="W322">
        <f t="shared" si="97"/>
        <v>1036.3528375240298</v>
      </c>
      <c r="X322">
        <f t="shared" si="98"/>
        <v>0.48826183549435165</v>
      </c>
      <c r="Y322">
        <f t="shared" si="99"/>
        <v>965.16875437959993</v>
      </c>
      <c r="Z322">
        <f t="shared" si="100"/>
        <v>0.59893018748419347</v>
      </c>
      <c r="AA322">
        <f>IF($D322="",0,IF($F322&lt;2,0,IF($E322="Win",('Guide &amp; Settings'!$C$42/(($F322-1)*COUNTIFS($A$4:$A$810,$A322,$E$4:$E$810,"Win")))*SUMIFS($Z$4:$Z$810,$A$4:$A$810,$A322,$E$4:$E$810,"Loss"),-('Guide &amp; Settings'!$C$42/($F322-1))*$Z322)))</f>
        <v>-19.165765999494191</v>
      </c>
      <c r="AB322" s="120">
        <f t="shared" si="101"/>
        <v>1015.6654796209059</v>
      </c>
      <c r="AC322" s="120">
        <f>IF($D322="","",IF(SUMPRODUCT(MAX(($D$4:$D$810=$D322)*($B$4:$B$810&lt;$B322)*$B$4:$B$810))=0,0,MAX(($B322-MAX(SUMPRODUCT(MAX(($D$4:$D$810=$D322)*($B$4:$B$810&lt;$B322)*$B$4:$B$810)),'Guide &amp; Settings'!$C$50))/7-'Guide &amp; Settings'!$C$48,0)*'Guide &amp; Settings'!$C$49))</f>
        <v>0</v>
      </c>
    </row>
    <row r="323" spans="1:29" x14ac:dyDescent="0.2">
      <c r="A323" s="111">
        <v>137</v>
      </c>
      <c r="B323" s="112">
        <v>46214</v>
      </c>
      <c r="C323" s="113" t="s">
        <v>208</v>
      </c>
      <c r="D323" s="113" t="s">
        <v>138</v>
      </c>
      <c r="E323" s="111" t="s">
        <v>308</v>
      </c>
      <c r="F323" s="114">
        <f t="shared" si="85"/>
        <v>2</v>
      </c>
      <c r="G323" s="115" t="str">
        <f t="shared" si="86"/>
        <v>Aaron</v>
      </c>
      <c r="H323" s="116">
        <f>IF($D323="",0,IFERROR(LOOKUP(2,1/(($D$3:D322=$D323)*($A$3:A322&lt;$A323)),$N$3:N322),'Guide &amp; Settings'!$C$41))</f>
        <v>1107.5369206684595</v>
      </c>
      <c r="I323" s="117">
        <f t="shared" si="87"/>
        <v>0.2857142857142857</v>
      </c>
      <c r="J323" s="118">
        <f>IF($D323="",0,IF($F323&lt;2,0,IF($E323="Win",('Guide &amp; Settings'!$C$42/(($F323-1)*COUNTIFS($A$4:$A$810,$A323,$E$4:$E$810,"Win")))*SUMIFS($X$4:$X$810,$A$4:$A$810,$A323,$E$4:$E$810,"Loss"),-('Guide &amp; Settings'!$C$42/($F323-1))*$X323)))</f>
        <v>15.624378735819253</v>
      </c>
      <c r="K323" s="118">
        <f>IF($D323="",0,'Guide &amp; Settings'!$C$43*(IF($E323="Win",1,0)-$I323))</f>
        <v>8.5714285714285712</v>
      </c>
      <c r="L323" s="119">
        <f>IF($D323="",0,'Guide &amp; Settings'!$C$44*IF($F323&gt;=3,$F323,0))</f>
        <v>0</v>
      </c>
      <c r="M323" s="118">
        <f t="shared" si="88"/>
        <v>24.195807307247826</v>
      </c>
      <c r="N323" s="116">
        <f t="shared" si="89"/>
        <v>1131.7327279757073</v>
      </c>
      <c r="O323" s="115" t="str">
        <f t="shared" si="90"/>
        <v>OK</v>
      </c>
      <c r="P323">
        <f t="shared" si="91"/>
        <v>1107.5369206684595</v>
      </c>
      <c r="Q323">
        <f t="shared" si="92"/>
        <v>0.5</v>
      </c>
      <c r="R323">
        <f t="shared" si="93"/>
        <v>0.2857142857142857</v>
      </c>
      <c r="S323">
        <f t="shared" si="94"/>
        <v>1</v>
      </c>
      <c r="T323" s="83">
        <f t="shared" si="95"/>
        <v>5</v>
      </c>
      <c r="U323" s="120">
        <f>IF($D323="",0,IFERROR(LOOKUP(2,1/(($D$3:D322=$D323)*($C$3:C322=$C323)*($A$3:A322&lt;$A323)),$AB$3:AB322),1000))</f>
        <v>965.16875437959993</v>
      </c>
      <c r="V323" s="120">
        <f t="shared" si="96"/>
        <v>1036.3528375240298</v>
      </c>
      <c r="W323">
        <f t="shared" si="97"/>
        <v>1036.3528375240298</v>
      </c>
      <c r="X323">
        <f t="shared" si="98"/>
        <v>0.5</v>
      </c>
      <c r="Y323">
        <f t="shared" si="99"/>
        <v>965.16875437959993</v>
      </c>
      <c r="Z323">
        <f t="shared" si="100"/>
        <v>0.5</v>
      </c>
      <c r="AA323">
        <f>IF($D323="",0,IF($F323&lt;2,0,IF($E323="Win",('Guide &amp; Settings'!$C$42/(($F323-1)*COUNTIFS($A$4:$A$810,$A323,$E$4:$E$810,"Win")))*SUMIFS($Z$4:$Z$810,$A$4:$A$810,$A323,$E$4:$E$810,"Loss"),-('Guide &amp; Settings'!$C$42/($F323-1))*$Z323)))</f>
        <v>19.165765999494191</v>
      </c>
      <c r="AB323" s="120">
        <f t="shared" si="101"/>
        <v>984.3345203790941</v>
      </c>
      <c r="AC323" s="120">
        <f>IF($D323="","",IF(SUMPRODUCT(MAX(($D$4:$D$810=$D323)*($B$4:$B$810&lt;$B323)*$B$4:$B$810))=0,0,MAX(($B323-MAX(SUMPRODUCT(MAX(($D$4:$D$810=$D323)*($B$4:$B$810&lt;$B323)*$B$4:$B$810)),'Guide &amp; Settings'!$C$50))/7-'Guide &amp; Settings'!$C$48,0)*'Guide &amp; Settings'!$C$49))</f>
        <v>0</v>
      </c>
    </row>
    <row r="324" spans="1:29" x14ac:dyDescent="0.2">
      <c r="A324" s="111">
        <v>138</v>
      </c>
      <c r="B324" s="112">
        <v>46214</v>
      </c>
      <c r="C324" s="113" t="s">
        <v>208</v>
      </c>
      <c r="D324" s="113" t="s">
        <v>134</v>
      </c>
      <c r="E324" s="111" t="s">
        <v>308</v>
      </c>
      <c r="F324" s="114">
        <f t="shared" si="85"/>
        <v>2</v>
      </c>
      <c r="G324" s="115" t="str">
        <f t="shared" si="86"/>
        <v>Shawn</v>
      </c>
      <c r="H324" s="116">
        <f>IF($D324="",0,IFERROR(LOOKUP(2,1/(($D$3:D323=$D324)*($A$3:A323&lt;$A324)),$N$3:N323),'Guide &amp; Settings'!$C$41))</f>
        <v>997.36259998776018</v>
      </c>
      <c r="I324" s="117">
        <f t="shared" si="87"/>
        <v>0.625</v>
      </c>
      <c r="J324" s="118">
        <f>IF($D324="",0,IF($F324&lt;2,0,IF($E324="Win",('Guide &amp; Settings'!$C$42/(($F324-1)*COUNTIFS($A$4:$A$810,$A324,$E$4:$E$810,"Win")))*SUMIFS($X$4:$X$810,$A$4:$A$810,$A324,$E$4:$E$810,"Loss"),-('Guide &amp; Settings'!$C$42/($F324-1))*$X324)))</f>
        <v>18.014954609390589</v>
      </c>
      <c r="K324" s="118">
        <f>IF($D324="",0,'Guide &amp; Settings'!$C$43*(IF($E324="Win",1,0)-$I324))</f>
        <v>4.5</v>
      </c>
      <c r="L324" s="119">
        <f>IF($D324="",0,'Guide &amp; Settings'!$C$44*IF($F324&gt;=3,$F324,0))</f>
        <v>0</v>
      </c>
      <c r="M324" s="118">
        <f t="shared" si="88"/>
        <v>22.514954609390589</v>
      </c>
      <c r="N324" s="116">
        <f t="shared" si="89"/>
        <v>1019.8775545971507</v>
      </c>
      <c r="O324" s="115" t="str">
        <f t="shared" si="90"/>
        <v>OK</v>
      </c>
      <c r="P324">
        <f t="shared" si="91"/>
        <v>997.36259998776018</v>
      </c>
      <c r="Q324">
        <f t="shared" si="92"/>
        <v>0.5</v>
      </c>
      <c r="R324">
        <f t="shared" si="93"/>
        <v>0.625</v>
      </c>
      <c r="S324">
        <f t="shared" si="94"/>
        <v>1</v>
      </c>
      <c r="T324" s="83">
        <f t="shared" si="95"/>
        <v>6</v>
      </c>
      <c r="U324" s="120">
        <f>IF($D324="",0,IFERROR(LOOKUP(2,1/(($D$3:D323=$D324)*($C$3:C323=$C324)*($A$3:A323&lt;$A324)),$AB$3:AB323),1000))</f>
        <v>1015.6654796209059</v>
      </c>
      <c r="V324" s="120">
        <f t="shared" si="96"/>
        <v>1007.3459888785669</v>
      </c>
      <c r="W324">
        <f t="shared" si="97"/>
        <v>1007.3459888785669</v>
      </c>
      <c r="X324">
        <f t="shared" si="98"/>
        <v>0.5</v>
      </c>
      <c r="Y324">
        <f t="shared" si="99"/>
        <v>1015.6654796209059</v>
      </c>
      <c r="Z324">
        <f t="shared" si="100"/>
        <v>0.5</v>
      </c>
      <c r="AA324">
        <f>IF($D324="",0,IF($F324&lt;2,0,IF($E324="Win",('Guide &amp; Settings'!$C$42/(($F324-1)*COUNTIFS($A$4:$A$810,$A324,$E$4:$E$810,"Win")))*SUMIFS($Z$4:$Z$810,$A$4:$A$810,$A324,$E$4:$E$810,"Loss"),-('Guide &amp; Settings'!$C$42/($F324-1))*$Z324)))</f>
        <v>14.561054407618714</v>
      </c>
      <c r="AB324" s="120">
        <f t="shared" si="101"/>
        <v>1030.2265340285246</v>
      </c>
      <c r="AC324" s="120">
        <f>IF($D324="","",IF(SUMPRODUCT(MAX(($D$4:$D$810=$D324)*($B$4:$B$810&lt;$B324)*$B$4:$B$810))=0,0,MAX(($B324-MAX(SUMPRODUCT(MAX(($D$4:$D$810=$D324)*($B$4:$B$810&lt;$B324)*$B$4:$B$810)),'Guide &amp; Settings'!$C$50))/7-'Guide &amp; Settings'!$C$48,0)*'Guide &amp; Settings'!$C$49))</f>
        <v>0</v>
      </c>
    </row>
    <row r="325" spans="1:29" x14ac:dyDescent="0.2">
      <c r="A325" s="111">
        <v>138</v>
      </c>
      <c r="B325" s="112">
        <v>46214</v>
      </c>
      <c r="C325" s="113" t="s">
        <v>208</v>
      </c>
      <c r="D325" s="113" t="s">
        <v>138</v>
      </c>
      <c r="E325" s="111" t="s">
        <v>309</v>
      </c>
      <c r="F325" s="114">
        <f t="shared" si="85"/>
        <v>2</v>
      </c>
      <c r="G325" s="115" t="str">
        <f t="shared" si="86"/>
        <v>Shawn</v>
      </c>
      <c r="H325" s="116">
        <f>IF($D325="",0,IFERROR(LOOKUP(2,1/(($D$3:D324=$D325)*($A$3:A324&lt;$A325)),$N$3:N324),'Guide &amp; Settings'!$C$41))</f>
        <v>1131.7327279757073</v>
      </c>
      <c r="I325" s="117">
        <f t="shared" si="87"/>
        <v>0.375</v>
      </c>
      <c r="J325" s="118">
        <f>IF($D325="",0,IF($F325&lt;2,0,IF($E325="Win",('Guide &amp; Settings'!$C$42/(($F325-1)*COUNTIFS($A$4:$A$810,$A325,$E$4:$E$810,"Win")))*SUMIFS($X$4:$X$810,$A$4:$A$810,$A325,$E$4:$E$810,"Loss"),-('Guide &amp; Settings'!$C$42/($F325-1))*$X325)))</f>
        <v>-18.014954609390589</v>
      </c>
      <c r="K325" s="118">
        <f>IF($D325="",0,'Guide &amp; Settings'!$C$43*(IF($E325="Win",1,0)-$I325))</f>
        <v>-4.5</v>
      </c>
      <c r="L325" s="119">
        <f>IF($D325="",0,'Guide &amp; Settings'!$C$44*IF($F325&gt;=3,$F325,0))</f>
        <v>0</v>
      </c>
      <c r="M325" s="118">
        <f t="shared" si="88"/>
        <v>-22.514954609390589</v>
      </c>
      <c r="N325" s="116">
        <f t="shared" si="89"/>
        <v>1109.2177733663168</v>
      </c>
      <c r="O325" s="115" t="str">
        <f t="shared" si="90"/>
        <v>OK</v>
      </c>
      <c r="P325">
        <f t="shared" si="91"/>
        <v>997.36259998776018</v>
      </c>
      <c r="Q325">
        <f t="shared" si="92"/>
        <v>0.6842768000753876</v>
      </c>
      <c r="R325">
        <f t="shared" si="93"/>
        <v>0.375</v>
      </c>
      <c r="S325">
        <f t="shared" si="94"/>
        <v>1</v>
      </c>
      <c r="T325" s="83">
        <f t="shared" si="95"/>
        <v>6</v>
      </c>
      <c r="U325" s="120">
        <f>IF($D325="",0,IFERROR(LOOKUP(2,1/(($D$3:D324=$D325)*($C$3:C324=$C325)*($A$3:A324&lt;$A325)),$AB$3:AB324),1000))</f>
        <v>984.3345203790941</v>
      </c>
      <c r="V325" s="120">
        <f t="shared" si="96"/>
        <v>1051.3337056502819</v>
      </c>
      <c r="W325">
        <f t="shared" si="97"/>
        <v>1007.3459888785669</v>
      </c>
      <c r="X325">
        <f t="shared" si="98"/>
        <v>0.56296733154345591</v>
      </c>
      <c r="Y325">
        <f t="shared" si="99"/>
        <v>1015.6654796209059</v>
      </c>
      <c r="Z325">
        <f t="shared" si="100"/>
        <v>0.45503295023808482</v>
      </c>
      <c r="AA325">
        <f>IF($D325="",0,IF($F325&lt;2,0,IF($E325="Win",('Guide &amp; Settings'!$C$42/(($F325-1)*COUNTIFS($A$4:$A$810,$A325,$E$4:$E$810,"Win")))*SUMIFS($Z$4:$Z$810,$A$4:$A$810,$A325,$E$4:$E$810,"Loss"),-('Guide &amp; Settings'!$C$42/($F325-1))*$Z325)))</f>
        <v>-14.561054407618714</v>
      </c>
      <c r="AB325" s="120">
        <f t="shared" si="101"/>
        <v>969.77346597147539</v>
      </c>
      <c r="AC325" s="120">
        <f>IF($D325="","",IF(SUMPRODUCT(MAX(($D$4:$D$810=$D325)*($B$4:$B$810&lt;$B325)*$B$4:$B$810))=0,0,MAX(($B325-MAX(SUMPRODUCT(MAX(($D$4:$D$810=$D325)*($B$4:$B$810&lt;$B325)*$B$4:$B$810)),'Guide &amp; Settings'!$C$50))/7-'Guide &amp; Settings'!$C$48,0)*'Guide &amp; Settings'!$C$49))</f>
        <v>0</v>
      </c>
    </row>
    <row r="326" spans="1:29" x14ac:dyDescent="0.2">
      <c r="A326" s="111"/>
      <c r="B326" s="112"/>
      <c r="C326" s="113"/>
      <c r="D326" s="113"/>
      <c r="E326" s="111"/>
      <c r="F326" s="114">
        <f t="shared" si="85"/>
        <v>0</v>
      </c>
      <c r="G326" s="115" t="str">
        <f t="shared" si="86"/>
        <v/>
      </c>
      <c r="H326" s="116">
        <f>IF($D326="",0,IFERROR(LOOKUP(2,1/(($D$3:D325=$D326)*($A$3:A325&lt;$A326)),$N$3:N325),'Guide &amp; Settings'!$C$41))</f>
        <v>0</v>
      </c>
      <c r="I326" s="117">
        <f t="shared" si="87"/>
        <v>0</v>
      </c>
      <c r="J326" s="118">
        <f>IF($D326="",0,IF($F326&lt;2,0,IF($E326="Win",('Guide &amp; Settings'!$C$42/(($F326-1)*COUNTIFS($A$4:$A$810,$A326,$E$4:$E$810,"Win")))*SUMIFS($X$4:$X$810,$A$4:$A$810,$A326,$E$4:$E$810,"Loss"),-('Guide &amp; Settings'!$C$42/($F326-1))*$X326)))</f>
        <v>0</v>
      </c>
      <c r="K326" s="118">
        <f>IF($D326="",0,'Guide &amp; Settings'!$C$43*(IF($E326="Win",1,0)-$I326))</f>
        <v>0</v>
      </c>
      <c r="L326" s="119">
        <f>IF($D326="",0,'Guide &amp; Settings'!$C$44*IF($F326&gt;=3,$F326,0))</f>
        <v>0</v>
      </c>
      <c r="M326" s="118">
        <f t="shared" si="88"/>
        <v>0</v>
      </c>
      <c r="N326" s="116">
        <f t="shared" si="89"/>
        <v>0</v>
      </c>
      <c r="O326" s="115" t="str">
        <f t="shared" si="90"/>
        <v/>
      </c>
      <c r="P326">
        <f t="shared" si="91"/>
        <v>0</v>
      </c>
      <c r="Q326">
        <f t="shared" si="92"/>
        <v>0</v>
      </c>
      <c r="R326">
        <f t="shared" si="93"/>
        <v>0</v>
      </c>
      <c r="S326">
        <f t="shared" si="94"/>
        <v>0</v>
      </c>
      <c r="T326" s="83">
        <f t="shared" si="95"/>
        <v>0</v>
      </c>
      <c r="U326" s="120">
        <f>IF($D326="",0,IFERROR(LOOKUP(2,1/(($D$3:D325=$D326)*($C$3:C325=$C326)*($A$3:A325&lt;$A326)),$AB$3:AB325),1000))</f>
        <v>0</v>
      </c>
      <c r="V326" s="120">
        <f t="shared" si="96"/>
        <v>0</v>
      </c>
      <c r="W326">
        <f t="shared" si="97"/>
        <v>0</v>
      </c>
      <c r="X326">
        <f t="shared" si="98"/>
        <v>0</v>
      </c>
      <c r="Y326">
        <f t="shared" si="99"/>
        <v>0</v>
      </c>
      <c r="Z326">
        <f t="shared" si="100"/>
        <v>0</v>
      </c>
      <c r="AA326">
        <f>IF($D326="",0,IF($F326&lt;2,0,IF($E326="Win",('Guide &amp; Settings'!$C$42/(($F326-1)*COUNTIFS($A$4:$A$810,$A326,$E$4:$E$810,"Win")))*SUMIFS($Z$4:$Z$810,$A$4:$A$810,$A326,$E$4:$E$810,"Loss"),-('Guide &amp; Settings'!$C$42/($F326-1))*$Z326)))</f>
        <v>0</v>
      </c>
      <c r="AB326" s="120">
        <f t="shared" si="101"/>
        <v>0</v>
      </c>
      <c r="AC326" s="120" t="str">
        <f>IF($D326="","",IF(SUMPRODUCT(MAX(($D$4:$D$810=$D326)*($B$4:$B$810&lt;$B326)*$B$4:$B$810))=0,0,MAX(($B326-MAX(SUMPRODUCT(MAX(($D$4:$D$810=$D326)*($B$4:$B$810&lt;$B326)*$B$4:$B$810)),'Guide &amp; Settings'!$C$50))/7-'Guide &amp; Settings'!$C$48,0)*'Guide &amp; Settings'!$C$49))</f>
        <v/>
      </c>
    </row>
    <row r="327" spans="1:29" x14ac:dyDescent="0.2">
      <c r="A327" s="111"/>
      <c r="B327" s="112"/>
      <c r="C327" s="113"/>
      <c r="D327" s="113"/>
      <c r="E327" s="111"/>
      <c r="F327" s="114">
        <f t="shared" si="85"/>
        <v>0</v>
      </c>
      <c r="G327" s="115" t="str">
        <f t="shared" si="86"/>
        <v/>
      </c>
      <c r="H327" s="116">
        <f>IF($D327="",0,IFERROR(LOOKUP(2,1/(($D$3:D326=$D327)*($A$3:A326&lt;$A327)),$N$3:N326),'Guide &amp; Settings'!$C$41))</f>
        <v>0</v>
      </c>
      <c r="I327" s="117">
        <f t="shared" si="87"/>
        <v>0</v>
      </c>
      <c r="J327" s="118">
        <f>IF($D327="",0,IF($F327&lt;2,0,IF($E327="Win",('Guide &amp; Settings'!$C$42/(($F327-1)*COUNTIFS($A$4:$A$810,$A327,$E$4:$E$810,"Win")))*SUMIFS($X$4:$X$810,$A$4:$A$810,$A327,$E$4:$E$810,"Loss"),-('Guide &amp; Settings'!$C$42/($F327-1))*$X327)))</f>
        <v>0</v>
      </c>
      <c r="K327" s="118">
        <f>IF($D327="",0,'Guide &amp; Settings'!$C$43*(IF($E327="Win",1,0)-$I327))</f>
        <v>0</v>
      </c>
      <c r="L327" s="119">
        <f>IF($D327="",0,'Guide &amp; Settings'!$C$44*IF($F327&gt;=3,$F327,0))</f>
        <v>0</v>
      </c>
      <c r="M327" s="118">
        <f t="shared" si="88"/>
        <v>0</v>
      </c>
      <c r="N327" s="116">
        <f t="shared" si="89"/>
        <v>0</v>
      </c>
      <c r="O327" s="115" t="str">
        <f t="shared" si="90"/>
        <v/>
      </c>
      <c r="P327">
        <f t="shared" si="91"/>
        <v>0</v>
      </c>
      <c r="Q327">
        <f t="shared" si="92"/>
        <v>0</v>
      </c>
      <c r="R327">
        <f t="shared" si="93"/>
        <v>0</v>
      </c>
      <c r="S327">
        <f t="shared" si="94"/>
        <v>0</v>
      </c>
      <c r="T327" s="83">
        <f t="shared" si="95"/>
        <v>0</v>
      </c>
      <c r="U327" s="120">
        <f>IF($D327="",0,IFERROR(LOOKUP(2,1/(($D$3:D326=$D327)*($C$3:C326=$C327)*($A$3:A326&lt;$A327)),$AB$3:AB326),1000))</f>
        <v>0</v>
      </c>
      <c r="V327" s="120">
        <f t="shared" si="96"/>
        <v>0</v>
      </c>
      <c r="W327">
        <f t="shared" si="97"/>
        <v>0</v>
      </c>
      <c r="X327">
        <f t="shared" si="98"/>
        <v>0</v>
      </c>
      <c r="Y327">
        <f t="shared" si="99"/>
        <v>0</v>
      </c>
      <c r="Z327">
        <f t="shared" si="100"/>
        <v>0</v>
      </c>
      <c r="AA327">
        <f>IF($D327="",0,IF($F327&lt;2,0,IF($E327="Win",('Guide &amp; Settings'!$C$42/(($F327-1)*COUNTIFS($A$4:$A$810,$A327,$E$4:$E$810,"Win")))*SUMIFS($Z$4:$Z$810,$A$4:$A$810,$A327,$E$4:$E$810,"Loss"),-('Guide &amp; Settings'!$C$42/($F327-1))*$Z327)))</f>
        <v>0</v>
      </c>
      <c r="AB327" s="120">
        <f t="shared" si="101"/>
        <v>0</v>
      </c>
      <c r="AC327" s="120" t="str">
        <f>IF($D327="","",IF(SUMPRODUCT(MAX(($D$4:$D$810=$D327)*($B$4:$B$810&lt;$B327)*$B$4:$B$810))=0,0,MAX(($B327-MAX(SUMPRODUCT(MAX(($D$4:$D$810=$D327)*($B$4:$B$810&lt;$B327)*$B$4:$B$810)),'Guide &amp; Settings'!$C$50))/7-'Guide &amp; Settings'!$C$48,0)*'Guide &amp; Settings'!$C$49))</f>
        <v/>
      </c>
    </row>
    <row r="328" spans="1:29" x14ac:dyDescent="0.2">
      <c r="A328" s="111"/>
      <c r="B328" s="112"/>
      <c r="C328" s="113"/>
      <c r="D328" s="113"/>
      <c r="E328" s="111"/>
      <c r="F328" s="114">
        <f t="shared" si="85"/>
        <v>0</v>
      </c>
      <c r="G328" s="115" t="str">
        <f t="shared" si="86"/>
        <v/>
      </c>
      <c r="H328" s="116">
        <f>IF($D328="",0,IFERROR(LOOKUP(2,1/(($D$3:D327=$D328)*($A$3:A327&lt;$A328)),$N$3:N327),'Guide &amp; Settings'!$C$41))</f>
        <v>0</v>
      </c>
      <c r="I328" s="117">
        <f t="shared" si="87"/>
        <v>0</v>
      </c>
      <c r="J328" s="118">
        <f>IF($D328="",0,IF($F328&lt;2,0,IF($E328="Win",('Guide &amp; Settings'!$C$42/(($F328-1)*COUNTIFS($A$4:$A$810,$A328,$E$4:$E$810,"Win")))*SUMIFS($X$4:$X$810,$A$4:$A$810,$A328,$E$4:$E$810,"Loss"),-('Guide &amp; Settings'!$C$42/($F328-1))*$X328)))</f>
        <v>0</v>
      </c>
      <c r="K328" s="118">
        <f>IF($D328="",0,'Guide &amp; Settings'!$C$43*(IF($E328="Win",1,0)-$I328))</f>
        <v>0</v>
      </c>
      <c r="L328" s="119">
        <f>IF($D328="",0,'Guide &amp; Settings'!$C$44*IF($F328&gt;=3,$F328,0))</f>
        <v>0</v>
      </c>
      <c r="M328" s="118">
        <f t="shared" si="88"/>
        <v>0</v>
      </c>
      <c r="N328" s="116">
        <f t="shared" si="89"/>
        <v>0</v>
      </c>
      <c r="O328" s="115" t="str">
        <f t="shared" si="90"/>
        <v/>
      </c>
      <c r="P328">
        <f t="shared" si="91"/>
        <v>0</v>
      </c>
      <c r="Q328">
        <f t="shared" si="92"/>
        <v>0</v>
      </c>
      <c r="R328">
        <f t="shared" si="93"/>
        <v>0</v>
      </c>
      <c r="S328">
        <f t="shared" si="94"/>
        <v>0</v>
      </c>
      <c r="T328" s="83">
        <f t="shared" si="95"/>
        <v>0</v>
      </c>
      <c r="U328" s="120">
        <f>IF($D328="",0,IFERROR(LOOKUP(2,1/(($D$3:D327=$D328)*($C$3:C327=$C328)*($A$3:A327&lt;$A328)),$AB$3:AB327),1000))</f>
        <v>0</v>
      </c>
      <c r="V328" s="120">
        <f t="shared" si="96"/>
        <v>0</v>
      </c>
      <c r="W328">
        <f t="shared" si="97"/>
        <v>0</v>
      </c>
      <c r="X328">
        <f t="shared" si="98"/>
        <v>0</v>
      </c>
      <c r="Y328">
        <f t="shared" si="99"/>
        <v>0</v>
      </c>
      <c r="Z328">
        <f t="shared" si="100"/>
        <v>0</v>
      </c>
      <c r="AA328">
        <f>IF($D328="",0,IF($F328&lt;2,0,IF($E328="Win",('Guide &amp; Settings'!$C$42/(($F328-1)*COUNTIFS($A$4:$A$810,$A328,$E$4:$E$810,"Win")))*SUMIFS($Z$4:$Z$810,$A$4:$A$810,$A328,$E$4:$E$810,"Loss"),-('Guide &amp; Settings'!$C$42/($F328-1))*$Z328)))</f>
        <v>0</v>
      </c>
      <c r="AB328" s="120">
        <f t="shared" si="101"/>
        <v>0</v>
      </c>
      <c r="AC328" s="120" t="str">
        <f>IF($D328="","",IF(SUMPRODUCT(MAX(($D$4:$D$810=$D328)*($B$4:$B$810&lt;$B328)*$B$4:$B$810))=0,0,MAX(($B328-MAX(SUMPRODUCT(MAX(($D$4:$D$810=$D328)*($B$4:$B$810&lt;$B328)*$B$4:$B$810)),'Guide &amp; Settings'!$C$50))/7-'Guide &amp; Settings'!$C$48,0)*'Guide &amp; Settings'!$C$49))</f>
        <v/>
      </c>
    </row>
    <row r="329" spans="1:29" x14ac:dyDescent="0.2">
      <c r="A329" s="111"/>
      <c r="B329" s="112"/>
      <c r="C329" s="113"/>
      <c r="D329" s="113"/>
      <c r="E329" s="111"/>
      <c r="F329" s="114">
        <f t="shared" si="85"/>
        <v>0</v>
      </c>
      <c r="G329" s="115" t="str">
        <f t="shared" si="86"/>
        <v/>
      </c>
      <c r="H329" s="116">
        <f>IF($D329="",0,IFERROR(LOOKUP(2,1/(($D$3:D328=$D329)*($A$3:A328&lt;$A329)),$N$3:N328),'Guide &amp; Settings'!$C$41))</f>
        <v>0</v>
      </c>
      <c r="I329" s="117">
        <f t="shared" si="87"/>
        <v>0</v>
      </c>
      <c r="J329" s="118">
        <f>IF($D329="",0,IF($F329&lt;2,0,IF($E329="Win",('Guide &amp; Settings'!$C$42/(($F329-1)*COUNTIFS($A$4:$A$810,$A329,$E$4:$E$810,"Win")))*SUMIFS($X$4:$X$810,$A$4:$A$810,$A329,$E$4:$E$810,"Loss"),-('Guide &amp; Settings'!$C$42/($F329-1))*$X329)))</f>
        <v>0</v>
      </c>
      <c r="K329" s="118">
        <f>IF($D329="",0,'Guide &amp; Settings'!$C$43*(IF($E329="Win",1,0)-$I329))</f>
        <v>0</v>
      </c>
      <c r="L329" s="119">
        <f>IF($D329="",0,'Guide &amp; Settings'!$C$44*IF($F329&gt;=3,$F329,0))</f>
        <v>0</v>
      </c>
      <c r="M329" s="118">
        <f t="shared" si="88"/>
        <v>0</v>
      </c>
      <c r="N329" s="116">
        <f t="shared" si="89"/>
        <v>0</v>
      </c>
      <c r="O329" s="115" t="str">
        <f t="shared" si="90"/>
        <v/>
      </c>
      <c r="P329">
        <f t="shared" si="91"/>
        <v>0</v>
      </c>
      <c r="Q329">
        <f t="shared" si="92"/>
        <v>0</v>
      </c>
      <c r="R329">
        <f t="shared" si="93"/>
        <v>0</v>
      </c>
      <c r="S329">
        <f t="shared" si="94"/>
        <v>0</v>
      </c>
      <c r="T329" s="83">
        <f t="shared" si="95"/>
        <v>0</v>
      </c>
      <c r="U329" s="120">
        <f>IF($D329="",0,IFERROR(LOOKUP(2,1/(($D$3:D328=$D329)*($C$3:C328=$C329)*($A$3:A328&lt;$A329)),$AB$3:AB328),1000))</f>
        <v>0</v>
      </c>
      <c r="V329" s="120">
        <f t="shared" si="96"/>
        <v>0</v>
      </c>
      <c r="W329">
        <f t="shared" si="97"/>
        <v>0</v>
      </c>
      <c r="X329">
        <f t="shared" si="98"/>
        <v>0</v>
      </c>
      <c r="Y329">
        <f t="shared" si="99"/>
        <v>0</v>
      </c>
      <c r="Z329">
        <f t="shared" si="100"/>
        <v>0</v>
      </c>
      <c r="AA329">
        <f>IF($D329="",0,IF($F329&lt;2,0,IF($E329="Win",('Guide &amp; Settings'!$C$42/(($F329-1)*COUNTIFS($A$4:$A$810,$A329,$E$4:$E$810,"Win")))*SUMIFS($Z$4:$Z$810,$A$4:$A$810,$A329,$E$4:$E$810,"Loss"),-('Guide &amp; Settings'!$C$42/($F329-1))*$Z329)))</f>
        <v>0</v>
      </c>
      <c r="AB329" s="120">
        <f t="shared" si="101"/>
        <v>0</v>
      </c>
      <c r="AC329" s="120" t="str">
        <f>IF($D329="","",IF(SUMPRODUCT(MAX(($D$4:$D$810=$D329)*($B$4:$B$810&lt;$B329)*$B$4:$B$810))=0,0,MAX(($B329-MAX(SUMPRODUCT(MAX(($D$4:$D$810=$D329)*($B$4:$B$810&lt;$B329)*$B$4:$B$810)),'Guide &amp; Settings'!$C$50))/7-'Guide &amp; Settings'!$C$48,0)*'Guide &amp; Settings'!$C$49))</f>
        <v/>
      </c>
    </row>
    <row r="330" spans="1:29" x14ac:dyDescent="0.2">
      <c r="A330" s="111"/>
      <c r="B330" s="112"/>
      <c r="C330" s="113"/>
      <c r="D330" s="113"/>
      <c r="E330" s="111"/>
      <c r="F330" s="114">
        <f t="shared" si="85"/>
        <v>0</v>
      </c>
      <c r="G330" s="115" t="str">
        <f t="shared" si="86"/>
        <v/>
      </c>
      <c r="H330" s="116">
        <f>IF($D330="",0,IFERROR(LOOKUP(2,1/(($D$3:D329=$D330)*($A$3:A329&lt;$A330)),$N$3:N329),'Guide &amp; Settings'!$C$41))</f>
        <v>0</v>
      </c>
      <c r="I330" s="117">
        <f t="shared" si="87"/>
        <v>0</v>
      </c>
      <c r="J330" s="118">
        <f>IF($D330="",0,IF($F330&lt;2,0,IF($E330="Win",('Guide &amp; Settings'!$C$42/(($F330-1)*COUNTIFS($A$4:$A$810,$A330,$E$4:$E$810,"Win")))*SUMIFS($X$4:$X$810,$A$4:$A$810,$A330,$E$4:$E$810,"Loss"),-('Guide &amp; Settings'!$C$42/($F330-1))*$X330)))</f>
        <v>0</v>
      </c>
      <c r="K330" s="118">
        <f>IF($D330="",0,'Guide &amp; Settings'!$C$43*(IF($E330="Win",1,0)-$I330))</f>
        <v>0</v>
      </c>
      <c r="L330" s="119">
        <f>IF($D330="",0,'Guide &amp; Settings'!$C$44*IF($F330&gt;=3,$F330,0))</f>
        <v>0</v>
      </c>
      <c r="M330" s="118">
        <f t="shared" si="88"/>
        <v>0</v>
      </c>
      <c r="N330" s="116">
        <f t="shared" si="89"/>
        <v>0</v>
      </c>
      <c r="O330" s="115" t="str">
        <f t="shared" si="90"/>
        <v/>
      </c>
      <c r="P330">
        <f t="shared" si="91"/>
        <v>0</v>
      </c>
      <c r="Q330">
        <f t="shared" si="92"/>
        <v>0</v>
      </c>
      <c r="R330">
        <f t="shared" si="93"/>
        <v>0</v>
      </c>
      <c r="S330">
        <f t="shared" si="94"/>
        <v>0</v>
      </c>
      <c r="T330" s="83">
        <f t="shared" si="95"/>
        <v>0</v>
      </c>
      <c r="U330" s="120">
        <f>IF($D330="",0,IFERROR(LOOKUP(2,1/(($D$3:D329=$D330)*($C$3:C329=$C330)*($A$3:A329&lt;$A330)),$AB$3:AB329),1000))</f>
        <v>0</v>
      </c>
      <c r="V330" s="120">
        <f t="shared" si="96"/>
        <v>0</v>
      </c>
      <c r="W330">
        <f t="shared" si="97"/>
        <v>0</v>
      </c>
      <c r="X330">
        <f t="shared" si="98"/>
        <v>0</v>
      </c>
      <c r="Y330">
        <f t="shared" si="99"/>
        <v>0</v>
      </c>
      <c r="Z330">
        <f t="shared" si="100"/>
        <v>0</v>
      </c>
      <c r="AA330">
        <f>IF($D330="",0,IF($F330&lt;2,0,IF($E330="Win",('Guide &amp; Settings'!$C$42/(($F330-1)*COUNTIFS($A$4:$A$810,$A330,$E$4:$E$810,"Win")))*SUMIFS($Z$4:$Z$810,$A$4:$A$810,$A330,$E$4:$E$810,"Loss"),-('Guide &amp; Settings'!$C$42/($F330-1))*$Z330)))</f>
        <v>0</v>
      </c>
      <c r="AB330" s="120">
        <f t="shared" si="101"/>
        <v>0</v>
      </c>
      <c r="AC330" s="120" t="str">
        <f>IF($D330="","",IF(SUMPRODUCT(MAX(($D$4:$D$810=$D330)*($B$4:$B$810&lt;$B330)*$B$4:$B$810))=0,0,MAX(($B330-MAX(SUMPRODUCT(MAX(($D$4:$D$810=$D330)*($B$4:$B$810&lt;$B330)*$B$4:$B$810)),'Guide &amp; Settings'!$C$50))/7-'Guide &amp; Settings'!$C$48,0)*'Guide &amp; Settings'!$C$49))</f>
        <v/>
      </c>
    </row>
    <row r="331" spans="1:29" x14ac:dyDescent="0.2">
      <c r="A331" s="111"/>
      <c r="B331" s="112"/>
      <c r="C331" s="113"/>
      <c r="D331" s="113"/>
      <c r="E331" s="111"/>
      <c r="F331" s="114">
        <f t="shared" si="85"/>
        <v>0</v>
      </c>
      <c r="G331" s="115" t="str">
        <f t="shared" si="86"/>
        <v/>
      </c>
      <c r="H331" s="116">
        <f>IF($D331="",0,IFERROR(LOOKUP(2,1/(($D$3:D330=$D331)*($A$3:A330&lt;$A331)),$N$3:N330),'Guide &amp; Settings'!$C$41))</f>
        <v>0</v>
      </c>
      <c r="I331" s="117">
        <f t="shared" si="87"/>
        <v>0</v>
      </c>
      <c r="J331" s="118">
        <f>IF($D331="",0,IF($F331&lt;2,0,IF($E331="Win",('Guide &amp; Settings'!$C$42/(($F331-1)*COUNTIFS($A$4:$A$810,$A331,$E$4:$E$810,"Win")))*SUMIFS($X$4:$X$810,$A$4:$A$810,$A331,$E$4:$E$810,"Loss"),-('Guide &amp; Settings'!$C$42/($F331-1))*$X331)))</f>
        <v>0</v>
      </c>
      <c r="K331" s="118">
        <f>IF($D331="",0,'Guide &amp; Settings'!$C$43*(IF($E331="Win",1,0)-$I331))</f>
        <v>0</v>
      </c>
      <c r="L331" s="119">
        <f>IF($D331="",0,'Guide &amp; Settings'!$C$44*IF($F331&gt;=3,$F331,0))</f>
        <v>0</v>
      </c>
      <c r="M331" s="118">
        <f t="shared" si="88"/>
        <v>0</v>
      </c>
      <c r="N331" s="116">
        <f t="shared" si="89"/>
        <v>0</v>
      </c>
      <c r="O331" s="115" t="str">
        <f t="shared" si="90"/>
        <v/>
      </c>
      <c r="P331">
        <f t="shared" si="91"/>
        <v>0</v>
      </c>
      <c r="Q331">
        <f t="shared" si="92"/>
        <v>0</v>
      </c>
      <c r="R331">
        <f t="shared" si="93"/>
        <v>0</v>
      </c>
      <c r="S331">
        <f t="shared" si="94"/>
        <v>0</v>
      </c>
      <c r="T331" s="83">
        <f t="shared" si="95"/>
        <v>0</v>
      </c>
      <c r="U331" s="120">
        <f>IF($D331="",0,IFERROR(LOOKUP(2,1/(($D$3:D330=$D331)*($C$3:C330=$C331)*($A$3:A330&lt;$A331)),$AB$3:AB330),1000))</f>
        <v>0</v>
      </c>
      <c r="V331" s="120">
        <f t="shared" si="96"/>
        <v>0</v>
      </c>
      <c r="W331">
        <f t="shared" si="97"/>
        <v>0</v>
      </c>
      <c r="X331">
        <f t="shared" si="98"/>
        <v>0</v>
      </c>
      <c r="Y331">
        <f t="shared" si="99"/>
        <v>0</v>
      </c>
      <c r="Z331">
        <f t="shared" si="100"/>
        <v>0</v>
      </c>
      <c r="AA331">
        <f>IF($D331="",0,IF($F331&lt;2,0,IF($E331="Win",('Guide &amp; Settings'!$C$42/(($F331-1)*COUNTIFS($A$4:$A$810,$A331,$E$4:$E$810,"Win")))*SUMIFS($Z$4:$Z$810,$A$4:$A$810,$A331,$E$4:$E$810,"Loss"),-('Guide &amp; Settings'!$C$42/($F331-1))*$Z331)))</f>
        <v>0</v>
      </c>
      <c r="AB331" s="120">
        <f t="shared" si="101"/>
        <v>0</v>
      </c>
      <c r="AC331" s="120" t="str">
        <f>IF($D331="","",IF(SUMPRODUCT(MAX(($D$4:$D$810=$D331)*($B$4:$B$810&lt;$B331)*$B$4:$B$810))=0,0,MAX(($B331-MAX(SUMPRODUCT(MAX(($D$4:$D$810=$D331)*($B$4:$B$810&lt;$B331)*$B$4:$B$810)),'Guide &amp; Settings'!$C$50))/7-'Guide &amp; Settings'!$C$48,0)*'Guide &amp; Settings'!$C$49))</f>
        <v/>
      </c>
    </row>
    <row r="332" spans="1:29" x14ac:dyDescent="0.2">
      <c r="A332" s="111"/>
      <c r="B332" s="112"/>
      <c r="C332" s="113"/>
      <c r="D332" s="113"/>
      <c r="E332" s="111"/>
      <c r="F332" s="114">
        <f t="shared" si="85"/>
        <v>0</v>
      </c>
      <c r="G332" s="115" t="str">
        <f t="shared" si="86"/>
        <v/>
      </c>
      <c r="H332" s="116">
        <f>IF($D332="",0,IFERROR(LOOKUP(2,1/(($D$3:D331=$D332)*($A$3:A331&lt;$A332)),$N$3:N331),'Guide &amp; Settings'!$C$41))</f>
        <v>0</v>
      </c>
      <c r="I332" s="117">
        <f t="shared" si="87"/>
        <v>0</v>
      </c>
      <c r="J332" s="118">
        <f>IF($D332="",0,IF($F332&lt;2,0,IF($E332="Win",('Guide &amp; Settings'!$C$42/(($F332-1)*COUNTIFS($A$4:$A$810,$A332,$E$4:$E$810,"Win")))*SUMIFS($X$4:$X$810,$A$4:$A$810,$A332,$E$4:$E$810,"Loss"),-('Guide &amp; Settings'!$C$42/($F332-1))*$X332)))</f>
        <v>0</v>
      </c>
      <c r="K332" s="118">
        <f>IF($D332="",0,'Guide &amp; Settings'!$C$43*(IF($E332="Win",1,0)-$I332))</f>
        <v>0</v>
      </c>
      <c r="L332" s="119">
        <f>IF($D332="",0,'Guide &amp; Settings'!$C$44*IF($F332&gt;=3,$F332,0))</f>
        <v>0</v>
      </c>
      <c r="M332" s="118">
        <f t="shared" si="88"/>
        <v>0</v>
      </c>
      <c r="N332" s="116">
        <f t="shared" si="89"/>
        <v>0</v>
      </c>
      <c r="O332" s="115" t="str">
        <f t="shared" si="90"/>
        <v/>
      </c>
      <c r="P332">
        <f t="shared" si="91"/>
        <v>0</v>
      </c>
      <c r="Q332">
        <f t="shared" si="92"/>
        <v>0</v>
      </c>
      <c r="R332">
        <f t="shared" si="93"/>
        <v>0</v>
      </c>
      <c r="S332">
        <f t="shared" si="94"/>
        <v>0</v>
      </c>
      <c r="T332" s="83">
        <f t="shared" si="95"/>
        <v>0</v>
      </c>
      <c r="U332" s="120">
        <f>IF($D332="",0,IFERROR(LOOKUP(2,1/(($D$3:D331=$D332)*($C$3:C331=$C332)*($A$3:A331&lt;$A332)),$AB$3:AB331),1000))</f>
        <v>0</v>
      </c>
      <c r="V332" s="120">
        <f t="shared" si="96"/>
        <v>0</v>
      </c>
      <c r="W332">
        <f t="shared" si="97"/>
        <v>0</v>
      </c>
      <c r="X332">
        <f t="shared" si="98"/>
        <v>0</v>
      </c>
      <c r="Y332">
        <f t="shared" si="99"/>
        <v>0</v>
      </c>
      <c r="Z332">
        <f t="shared" si="100"/>
        <v>0</v>
      </c>
      <c r="AA332">
        <f>IF($D332="",0,IF($F332&lt;2,0,IF($E332="Win",('Guide &amp; Settings'!$C$42/(($F332-1)*COUNTIFS($A$4:$A$810,$A332,$E$4:$E$810,"Win")))*SUMIFS($Z$4:$Z$810,$A$4:$A$810,$A332,$E$4:$E$810,"Loss"),-('Guide &amp; Settings'!$C$42/($F332-1))*$Z332)))</f>
        <v>0</v>
      </c>
      <c r="AB332" s="120">
        <f t="shared" si="101"/>
        <v>0</v>
      </c>
      <c r="AC332" s="120" t="str">
        <f>IF($D332="","",IF(SUMPRODUCT(MAX(($D$4:$D$810=$D332)*($B$4:$B$810&lt;$B332)*$B$4:$B$810))=0,0,MAX(($B332-MAX(SUMPRODUCT(MAX(($D$4:$D$810=$D332)*($B$4:$B$810&lt;$B332)*$B$4:$B$810)),'Guide &amp; Settings'!$C$50))/7-'Guide &amp; Settings'!$C$48,0)*'Guide &amp; Settings'!$C$49))</f>
        <v/>
      </c>
    </row>
    <row r="333" spans="1:29" x14ac:dyDescent="0.2">
      <c r="A333" s="111"/>
      <c r="B333" s="112"/>
      <c r="C333" s="113"/>
      <c r="D333" s="113"/>
      <c r="E333" s="111"/>
      <c r="F333" s="114">
        <f t="shared" si="85"/>
        <v>0</v>
      </c>
      <c r="G333" s="115" t="str">
        <f t="shared" si="86"/>
        <v/>
      </c>
      <c r="H333" s="116">
        <f>IF($D333="",0,IFERROR(LOOKUP(2,1/(($D$3:D332=$D333)*($A$3:A332&lt;$A333)),$N$3:N332),'Guide &amp; Settings'!$C$41))</f>
        <v>0</v>
      </c>
      <c r="I333" s="117">
        <f t="shared" si="87"/>
        <v>0</v>
      </c>
      <c r="J333" s="118">
        <f>IF($D333="",0,IF($F333&lt;2,0,IF($E333="Win",('Guide &amp; Settings'!$C$42/(($F333-1)*COUNTIFS($A$4:$A$810,$A333,$E$4:$E$810,"Win")))*SUMIFS($X$4:$X$810,$A$4:$A$810,$A333,$E$4:$E$810,"Loss"),-('Guide &amp; Settings'!$C$42/($F333-1))*$X333)))</f>
        <v>0</v>
      </c>
      <c r="K333" s="118">
        <f>IF($D333="",0,'Guide &amp; Settings'!$C$43*(IF($E333="Win",1,0)-$I333))</f>
        <v>0</v>
      </c>
      <c r="L333" s="119">
        <f>IF($D333="",0,'Guide &amp; Settings'!$C$44*IF($F333&gt;=3,$F333,0))</f>
        <v>0</v>
      </c>
      <c r="M333" s="118">
        <f t="shared" si="88"/>
        <v>0</v>
      </c>
      <c r="N333" s="116">
        <f t="shared" si="89"/>
        <v>0</v>
      </c>
      <c r="O333" s="115" t="str">
        <f t="shared" si="90"/>
        <v/>
      </c>
      <c r="P333">
        <f t="shared" si="91"/>
        <v>0</v>
      </c>
      <c r="Q333">
        <f t="shared" si="92"/>
        <v>0</v>
      </c>
      <c r="R333">
        <f t="shared" si="93"/>
        <v>0</v>
      </c>
      <c r="S333">
        <f t="shared" si="94"/>
        <v>0</v>
      </c>
      <c r="T333" s="83">
        <f t="shared" si="95"/>
        <v>0</v>
      </c>
      <c r="U333" s="120">
        <f>IF($D333="",0,IFERROR(LOOKUP(2,1/(($D$3:D332=$D333)*($C$3:C332=$C333)*($A$3:A332&lt;$A333)),$AB$3:AB332),1000))</f>
        <v>0</v>
      </c>
      <c r="V333" s="120">
        <f t="shared" si="96"/>
        <v>0</v>
      </c>
      <c r="W333">
        <f t="shared" si="97"/>
        <v>0</v>
      </c>
      <c r="X333">
        <f t="shared" si="98"/>
        <v>0</v>
      </c>
      <c r="Y333">
        <f t="shared" si="99"/>
        <v>0</v>
      </c>
      <c r="Z333">
        <f t="shared" si="100"/>
        <v>0</v>
      </c>
      <c r="AA333">
        <f>IF($D333="",0,IF($F333&lt;2,0,IF($E333="Win",('Guide &amp; Settings'!$C$42/(($F333-1)*COUNTIFS($A$4:$A$810,$A333,$E$4:$E$810,"Win")))*SUMIFS($Z$4:$Z$810,$A$4:$A$810,$A333,$E$4:$E$810,"Loss"),-('Guide &amp; Settings'!$C$42/($F333-1))*$Z333)))</f>
        <v>0</v>
      </c>
      <c r="AB333" s="120">
        <f t="shared" si="101"/>
        <v>0</v>
      </c>
      <c r="AC333" s="120" t="str">
        <f>IF($D333="","",IF(SUMPRODUCT(MAX(($D$4:$D$810=$D333)*($B$4:$B$810&lt;$B333)*$B$4:$B$810))=0,0,MAX(($B333-MAX(SUMPRODUCT(MAX(($D$4:$D$810=$D333)*($B$4:$B$810&lt;$B333)*$B$4:$B$810)),'Guide &amp; Settings'!$C$50))/7-'Guide &amp; Settings'!$C$48,0)*'Guide &amp; Settings'!$C$49))</f>
        <v/>
      </c>
    </row>
    <row r="334" spans="1:29" x14ac:dyDescent="0.2">
      <c r="A334" s="111"/>
      <c r="B334" s="112"/>
      <c r="C334" s="113"/>
      <c r="D334" s="113"/>
      <c r="E334" s="111"/>
      <c r="F334" s="114">
        <f t="shared" si="85"/>
        <v>0</v>
      </c>
      <c r="G334" s="115" t="str">
        <f t="shared" si="86"/>
        <v/>
      </c>
      <c r="H334" s="116">
        <f>IF($D334="",0,IFERROR(LOOKUP(2,1/(($D$3:D333=$D334)*($A$3:A333&lt;$A334)),$N$3:N333),'Guide &amp; Settings'!$C$41))</f>
        <v>0</v>
      </c>
      <c r="I334" s="117">
        <f t="shared" si="87"/>
        <v>0</v>
      </c>
      <c r="J334" s="118">
        <f>IF($D334="",0,IF($F334&lt;2,0,IF($E334="Win",('Guide &amp; Settings'!$C$42/(($F334-1)*COUNTIFS($A$4:$A$810,$A334,$E$4:$E$810,"Win")))*SUMIFS($X$4:$X$810,$A$4:$A$810,$A334,$E$4:$E$810,"Loss"),-('Guide &amp; Settings'!$C$42/($F334-1))*$X334)))</f>
        <v>0</v>
      </c>
      <c r="K334" s="118">
        <f>IF($D334="",0,'Guide &amp; Settings'!$C$43*(IF($E334="Win",1,0)-$I334))</f>
        <v>0</v>
      </c>
      <c r="L334" s="119">
        <f>IF($D334="",0,'Guide &amp; Settings'!$C$44*IF($F334&gt;=3,$F334,0))</f>
        <v>0</v>
      </c>
      <c r="M334" s="118">
        <f t="shared" si="88"/>
        <v>0</v>
      </c>
      <c r="N334" s="116">
        <f t="shared" si="89"/>
        <v>0</v>
      </c>
      <c r="O334" s="115" t="str">
        <f t="shared" si="90"/>
        <v/>
      </c>
      <c r="P334">
        <f t="shared" si="91"/>
        <v>0</v>
      </c>
      <c r="Q334">
        <f t="shared" si="92"/>
        <v>0</v>
      </c>
      <c r="R334">
        <f t="shared" si="93"/>
        <v>0</v>
      </c>
      <c r="S334">
        <f t="shared" si="94"/>
        <v>0</v>
      </c>
      <c r="T334" s="83">
        <f t="shared" si="95"/>
        <v>0</v>
      </c>
      <c r="U334" s="120">
        <f>IF($D334="",0,IFERROR(LOOKUP(2,1/(($D$3:D333=$D334)*($C$3:C333=$C334)*($A$3:A333&lt;$A334)),$AB$3:AB333),1000))</f>
        <v>0</v>
      </c>
      <c r="V334" s="120">
        <f t="shared" si="96"/>
        <v>0</v>
      </c>
      <c r="W334">
        <f t="shared" si="97"/>
        <v>0</v>
      </c>
      <c r="X334">
        <f t="shared" si="98"/>
        <v>0</v>
      </c>
      <c r="Y334">
        <f t="shared" si="99"/>
        <v>0</v>
      </c>
      <c r="Z334">
        <f t="shared" si="100"/>
        <v>0</v>
      </c>
      <c r="AA334">
        <f>IF($D334="",0,IF($F334&lt;2,0,IF($E334="Win",('Guide &amp; Settings'!$C$42/(($F334-1)*COUNTIFS($A$4:$A$810,$A334,$E$4:$E$810,"Win")))*SUMIFS($Z$4:$Z$810,$A$4:$A$810,$A334,$E$4:$E$810,"Loss"),-('Guide &amp; Settings'!$C$42/($F334-1))*$Z334)))</f>
        <v>0</v>
      </c>
      <c r="AB334" s="120">
        <f t="shared" si="101"/>
        <v>0</v>
      </c>
      <c r="AC334" s="120" t="str">
        <f>IF($D334="","",IF(SUMPRODUCT(MAX(($D$4:$D$810=$D334)*($B$4:$B$810&lt;$B334)*$B$4:$B$810))=0,0,MAX(($B334-MAX(SUMPRODUCT(MAX(($D$4:$D$810=$D334)*($B$4:$B$810&lt;$B334)*$B$4:$B$810)),'Guide &amp; Settings'!$C$50))/7-'Guide &amp; Settings'!$C$48,0)*'Guide &amp; Settings'!$C$49))</f>
        <v/>
      </c>
    </row>
    <row r="335" spans="1:29" x14ac:dyDescent="0.2">
      <c r="A335" s="111"/>
      <c r="B335" s="112"/>
      <c r="C335" s="113"/>
      <c r="D335" s="113"/>
      <c r="E335" s="111"/>
      <c r="F335" s="114">
        <f t="shared" si="85"/>
        <v>0</v>
      </c>
      <c r="G335" s="115" t="str">
        <f t="shared" si="86"/>
        <v/>
      </c>
      <c r="H335" s="116">
        <f>IF($D335="",0,IFERROR(LOOKUP(2,1/(($D$3:D334=$D335)*($A$3:A334&lt;$A335)),$N$3:N334),'Guide &amp; Settings'!$C$41))</f>
        <v>0</v>
      </c>
      <c r="I335" s="117">
        <f t="shared" si="87"/>
        <v>0</v>
      </c>
      <c r="J335" s="118">
        <f>IF($D335="",0,IF($F335&lt;2,0,IF($E335="Win",('Guide &amp; Settings'!$C$42/(($F335-1)*COUNTIFS($A$4:$A$810,$A335,$E$4:$E$810,"Win")))*SUMIFS($X$4:$X$810,$A$4:$A$810,$A335,$E$4:$E$810,"Loss"),-('Guide &amp; Settings'!$C$42/($F335-1))*$X335)))</f>
        <v>0</v>
      </c>
      <c r="K335" s="118">
        <f>IF($D335="",0,'Guide &amp; Settings'!$C$43*(IF($E335="Win",1,0)-$I335))</f>
        <v>0</v>
      </c>
      <c r="L335" s="119">
        <f>IF($D335="",0,'Guide &amp; Settings'!$C$44*IF($F335&gt;=3,$F335,0))</f>
        <v>0</v>
      </c>
      <c r="M335" s="118">
        <f t="shared" si="88"/>
        <v>0</v>
      </c>
      <c r="N335" s="116">
        <f t="shared" si="89"/>
        <v>0</v>
      </c>
      <c r="O335" s="115" t="str">
        <f t="shared" si="90"/>
        <v/>
      </c>
      <c r="P335">
        <f t="shared" si="91"/>
        <v>0</v>
      </c>
      <c r="Q335">
        <f t="shared" si="92"/>
        <v>0</v>
      </c>
      <c r="R335">
        <f t="shared" si="93"/>
        <v>0</v>
      </c>
      <c r="S335">
        <f t="shared" si="94"/>
        <v>0</v>
      </c>
      <c r="T335" s="83">
        <f t="shared" si="95"/>
        <v>0</v>
      </c>
      <c r="U335" s="120">
        <f>IF($D335="",0,IFERROR(LOOKUP(2,1/(($D$3:D334=$D335)*($C$3:C334=$C335)*($A$3:A334&lt;$A335)),$AB$3:AB334),1000))</f>
        <v>0</v>
      </c>
      <c r="V335" s="120">
        <f t="shared" si="96"/>
        <v>0</v>
      </c>
      <c r="W335">
        <f t="shared" si="97"/>
        <v>0</v>
      </c>
      <c r="X335">
        <f t="shared" si="98"/>
        <v>0</v>
      </c>
      <c r="Y335">
        <f t="shared" si="99"/>
        <v>0</v>
      </c>
      <c r="Z335">
        <f t="shared" si="100"/>
        <v>0</v>
      </c>
      <c r="AA335">
        <f>IF($D335="",0,IF($F335&lt;2,0,IF($E335="Win",('Guide &amp; Settings'!$C$42/(($F335-1)*COUNTIFS($A$4:$A$810,$A335,$E$4:$E$810,"Win")))*SUMIFS($Z$4:$Z$810,$A$4:$A$810,$A335,$E$4:$E$810,"Loss"),-('Guide &amp; Settings'!$C$42/($F335-1))*$Z335)))</f>
        <v>0</v>
      </c>
      <c r="AB335" s="120">
        <f t="shared" si="101"/>
        <v>0</v>
      </c>
      <c r="AC335" s="120" t="str">
        <f>IF($D335="","",IF(SUMPRODUCT(MAX(($D$4:$D$810=$D335)*($B$4:$B$810&lt;$B335)*$B$4:$B$810))=0,0,MAX(($B335-MAX(SUMPRODUCT(MAX(($D$4:$D$810=$D335)*($B$4:$B$810&lt;$B335)*$B$4:$B$810)),'Guide &amp; Settings'!$C$50))/7-'Guide &amp; Settings'!$C$48,0)*'Guide &amp; Settings'!$C$49))</f>
        <v/>
      </c>
    </row>
    <row r="336" spans="1:29" x14ac:dyDescent="0.2">
      <c r="A336" s="111"/>
      <c r="B336" s="112"/>
      <c r="C336" s="113"/>
      <c r="D336" s="113"/>
      <c r="E336" s="111"/>
      <c r="F336" s="114">
        <f t="shared" si="85"/>
        <v>0</v>
      </c>
      <c r="G336" s="115" t="str">
        <f t="shared" si="86"/>
        <v/>
      </c>
      <c r="H336" s="116">
        <f>IF($D336="",0,IFERROR(LOOKUP(2,1/(($D$3:D335=$D336)*($A$3:A335&lt;$A336)),$N$3:N335),'Guide &amp; Settings'!$C$41))</f>
        <v>0</v>
      </c>
      <c r="I336" s="117">
        <f t="shared" si="87"/>
        <v>0</v>
      </c>
      <c r="J336" s="118">
        <f>IF($D336="",0,IF($F336&lt;2,0,IF($E336="Win",('Guide &amp; Settings'!$C$42/(($F336-1)*COUNTIFS($A$4:$A$810,$A336,$E$4:$E$810,"Win")))*SUMIFS($X$4:$X$810,$A$4:$A$810,$A336,$E$4:$E$810,"Loss"),-('Guide &amp; Settings'!$C$42/($F336-1))*$X336)))</f>
        <v>0</v>
      </c>
      <c r="K336" s="118">
        <f>IF($D336="",0,'Guide &amp; Settings'!$C$43*(IF($E336="Win",1,0)-$I336))</f>
        <v>0</v>
      </c>
      <c r="L336" s="119">
        <f>IF($D336="",0,'Guide &amp; Settings'!$C$44*IF($F336&gt;=3,$F336,0))</f>
        <v>0</v>
      </c>
      <c r="M336" s="118">
        <f t="shared" si="88"/>
        <v>0</v>
      </c>
      <c r="N336" s="116">
        <f t="shared" si="89"/>
        <v>0</v>
      </c>
      <c r="O336" s="115" t="str">
        <f t="shared" si="90"/>
        <v/>
      </c>
      <c r="P336">
        <f t="shared" si="91"/>
        <v>0</v>
      </c>
      <c r="Q336">
        <f t="shared" si="92"/>
        <v>0</v>
      </c>
      <c r="R336">
        <f t="shared" si="93"/>
        <v>0</v>
      </c>
      <c r="S336">
        <f t="shared" si="94"/>
        <v>0</v>
      </c>
      <c r="T336" s="83">
        <f t="shared" si="95"/>
        <v>0</v>
      </c>
      <c r="U336" s="120">
        <f>IF($D336="",0,IFERROR(LOOKUP(2,1/(($D$3:D335=$D336)*($C$3:C335=$C336)*($A$3:A335&lt;$A336)),$AB$3:AB335),1000))</f>
        <v>0</v>
      </c>
      <c r="V336" s="120">
        <f t="shared" si="96"/>
        <v>0</v>
      </c>
      <c r="W336">
        <f t="shared" si="97"/>
        <v>0</v>
      </c>
      <c r="X336">
        <f t="shared" si="98"/>
        <v>0</v>
      </c>
      <c r="Y336">
        <f t="shared" si="99"/>
        <v>0</v>
      </c>
      <c r="Z336">
        <f t="shared" si="100"/>
        <v>0</v>
      </c>
      <c r="AA336">
        <f>IF($D336="",0,IF($F336&lt;2,0,IF($E336="Win",('Guide &amp; Settings'!$C$42/(($F336-1)*COUNTIFS($A$4:$A$810,$A336,$E$4:$E$810,"Win")))*SUMIFS($Z$4:$Z$810,$A$4:$A$810,$A336,$E$4:$E$810,"Loss"),-('Guide &amp; Settings'!$C$42/($F336-1))*$Z336)))</f>
        <v>0</v>
      </c>
      <c r="AB336" s="120">
        <f t="shared" si="101"/>
        <v>0</v>
      </c>
      <c r="AC336" s="120" t="str">
        <f>IF($D336="","",IF(SUMPRODUCT(MAX(($D$4:$D$810=$D336)*($B$4:$B$810&lt;$B336)*$B$4:$B$810))=0,0,MAX(($B336-MAX(SUMPRODUCT(MAX(($D$4:$D$810=$D336)*($B$4:$B$810&lt;$B336)*$B$4:$B$810)),'Guide &amp; Settings'!$C$50))/7-'Guide &amp; Settings'!$C$48,0)*'Guide &amp; Settings'!$C$49))</f>
        <v/>
      </c>
    </row>
    <row r="337" spans="1:29" x14ac:dyDescent="0.2">
      <c r="A337" s="111"/>
      <c r="B337" s="112"/>
      <c r="C337" s="113"/>
      <c r="D337" s="113"/>
      <c r="E337" s="111"/>
      <c r="F337" s="114">
        <f t="shared" si="85"/>
        <v>0</v>
      </c>
      <c r="G337" s="115" t="str">
        <f t="shared" si="86"/>
        <v/>
      </c>
      <c r="H337" s="116">
        <f>IF($D337="",0,IFERROR(LOOKUP(2,1/(($D$3:D336=$D337)*($A$3:A336&lt;$A337)),$N$3:N336),'Guide &amp; Settings'!$C$41))</f>
        <v>0</v>
      </c>
      <c r="I337" s="117">
        <f t="shared" si="87"/>
        <v>0</v>
      </c>
      <c r="J337" s="118">
        <f>IF($D337="",0,IF($F337&lt;2,0,IF($E337="Win",('Guide &amp; Settings'!$C$42/(($F337-1)*COUNTIFS($A$4:$A$810,$A337,$E$4:$E$810,"Win")))*SUMIFS($X$4:$X$810,$A$4:$A$810,$A337,$E$4:$E$810,"Loss"),-('Guide &amp; Settings'!$C$42/($F337-1))*$X337)))</f>
        <v>0</v>
      </c>
      <c r="K337" s="118">
        <f>IF($D337="",0,'Guide &amp; Settings'!$C$43*(IF($E337="Win",1,0)-$I337))</f>
        <v>0</v>
      </c>
      <c r="L337" s="119">
        <f>IF($D337="",0,'Guide &amp; Settings'!$C$44*IF($F337&gt;=3,$F337,0))</f>
        <v>0</v>
      </c>
      <c r="M337" s="118">
        <f t="shared" si="88"/>
        <v>0</v>
      </c>
      <c r="N337" s="116">
        <f t="shared" si="89"/>
        <v>0</v>
      </c>
      <c r="O337" s="115" t="str">
        <f t="shared" si="90"/>
        <v/>
      </c>
      <c r="P337">
        <f t="shared" si="91"/>
        <v>0</v>
      </c>
      <c r="Q337">
        <f t="shared" si="92"/>
        <v>0</v>
      </c>
      <c r="R337">
        <f t="shared" si="93"/>
        <v>0</v>
      </c>
      <c r="S337">
        <f t="shared" si="94"/>
        <v>0</v>
      </c>
      <c r="T337" s="83">
        <f t="shared" si="95"/>
        <v>0</v>
      </c>
      <c r="U337" s="120">
        <f>IF($D337="",0,IFERROR(LOOKUP(2,1/(($D$3:D336=$D337)*($C$3:C336=$C337)*($A$3:A336&lt;$A337)),$AB$3:AB336),1000))</f>
        <v>0</v>
      </c>
      <c r="V337" s="120">
        <f t="shared" si="96"/>
        <v>0</v>
      </c>
      <c r="W337">
        <f t="shared" si="97"/>
        <v>0</v>
      </c>
      <c r="X337">
        <f t="shared" si="98"/>
        <v>0</v>
      </c>
      <c r="Y337">
        <f t="shared" si="99"/>
        <v>0</v>
      </c>
      <c r="Z337">
        <f t="shared" si="100"/>
        <v>0</v>
      </c>
      <c r="AA337">
        <f>IF($D337="",0,IF($F337&lt;2,0,IF($E337="Win",('Guide &amp; Settings'!$C$42/(($F337-1)*COUNTIFS($A$4:$A$810,$A337,$E$4:$E$810,"Win")))*SUMIFS($Z$4:$Z$810,$A$4:$A$810,$A337,$E$4:$E$810,"Loss"),-('Guide &amp; Settings'!$C$42/($F337-1))*$Z337)))</f>
        <v>0</v>
      </c>
      <c r="AB337" s="120">
        <f t="shared" si="101"/>
        <v>0</v>
      </c>
      <c r="AC337" s="120" t="str">
        <f>IF($D337="","",IF(SUMPRODUCT(MAX(($D$4:$D$810=$D337)*($B$4:$B$810&lt;$B337)*$B$4:$B$810))=0,0,MAX(($B337-MAX(SUMPRODUCT(MAX(($D$4:$D$810=$D337)*($B$4:$B$810&lt;$B337)*$B$4:$B$810)),'Guide &amp; Settings'!$C$50))/7-'Guide &amp; Settings'!$C$48,0)*'Guide &amp; Settings'!$C$49))</f>
        <v/>
      </c>
    </row>
    <row r="338" spans="1:29" x14ac:dyDescent="0.2">
      <c r="A338" s="111"/>
      <c r="B338" s="112"/>
      <c r="C338" s="113"/>
      <c r="D338" s="113"/>
      <c r="E338" s="111"/>
      <c r="F338" s="114">
        <f t="shared" si="85"/>
        <v>0</v>
      </c>
      <c r="G338" s="115" t="str">
        <f t="shared" si="86"/>
        <v/>
      </c>
      <c r="H338" s="116">
        <f>IF($D338="",0,IFERROR(LOOKUP(2,1/(($D$3:D337=$D338)*($A$3:A337&lt;$A338)),$N$3:N337),'Guide &amp; Settings'!$C$41))</f>
        <v>0</v>
      </c>
      <c r="I338" s="117">
        <f t="shared" si="87"/>
        <v>0</v>
      </c>
      <c r="J338" s="118">
        <f>IF($D338="",0,IF($F338&lt;2,0,IF($E338="Win",('Guide &amp; Settings'!$C$42/(($F338-1)*COUNTIFS($A$4:$A$810,$A338,$E$4:$E$810,"Win")))*SUMIFS($X$4:$X$810,$A$4:$A$810,$A338,$E$4:$E$810,"Loss"),-('Guide &amp; Settings'!$C$42/($F338-1))*$X338)))</f>
        <v>0</v>
      </c>
      <c r="K338" s="118">
        <f>IF($D338="",0,'Guide &amp; Settings'!$C$43*(IF($E338="Win",1,0)-$I338))</f>
        <v>0</v>
      </c>
      <c r="L338" s="119">
        <f>IF($D338="",0,'Guide &amp; Settings'!$C$44*IF($F338&gt;=3,$F338,0))</f>
        <v>0</v>
      </c>
      <c r="M338" s="118">
        <f t="shared" si="88"/>
        <v>0</v>
      </c>
      <c r="N338" s="116">
        <f t="shared" si="89"/>
        <v>0</v>
      </c>
      <c r="O338" s="115" t="str">
        <f t="shared" si="90"/>
        <v/>
      </c>
      <c r="P338">
        <f t="shared" si="91"/>
        <v>0</v>
      </c>
      <c r="Q338">
        <f t="shared" si="92"/>
        <v>0</v>
      </c>
      <c r="R338">
        <f t="shared" si="93"/>
        <v>0</v>
      </c>
      <c r="S338">
        <f t="shared" si="94"/>
        <v>0</v>
      </c>
      <c r="T338" s="83">
        <f t="shared" si="95"/>
        <v>0</v>
      </c>
      <c r="U338" s="120">
        <f>IF($D338="",0,IFERROR(LOOKUP(2,1/(($D$3:D337=$D338)*($C$3:C337=$C338)*($A$3:A337&lt;$A338)),$AB$3:AB337),1000))</f>
        <v>0</v>
      </c>
      <c r="V338" s="120">
        <f t="shared" si="96"/>
        <v>0</v>
      </c>
      <c r="W338">
        <f t="shared" si="97"/>
        <v>0</v>
      </c>
      <c r="X338">
        <f t="shared" si="98"/>
        <v>0</v>
      </c>
      <c r="Y338">
        <f t="shared" si="99"/>
        <v>0</v>
      </c>
      <c r="Z338">
        <f t="shared" si="100"/>
        <v>0</v>
      </c>
      <c r="AA338">
        <f>IF($D338="",0,IF($F338&lt;2,0,IF($E338="Win",('Guide &amp; Settings'!$C$42/(($F338-1)*COUNTIFS($A$4:$A$810,$A338,$E$4:$E$810,"Win")))*SUMIFS($Z$4:$Z$810,$A$4:$A$810,$A338,$E$4:$E$810,"Loss"),-('Guide &amp; Settings'!$C$42/($F338-1))*$Z338)))</f>
        <v>0</v>
      </c>
      <c r="AB338" s="120">
        <f t="shared" si="101"/>
        <v>0</v>
      </c>
      <c r="AC338" s="120" t="str">
        <f>IF($D338="","",IF(SUMPRODUCT(MAX(($D$4:$D$810=$D338)*($B$4:$B$810&lt;$B338)*$B$4:$B$810))=0,0,MAX(($B338-MAX(SUMPRODUCT(MAX(($D$4:$D$810=$D338)*($B$4:$B$810&lt;$B338)*$B$4:$B$810)),'Guide &amp; Settings'!$C$50))/7-'Guide &amp; Settings'!$C$48,0)*'Guide &amp; Settings'!$C$49))</f>
        <v/>
      </c>
    </row>
    <row r="339" spans="1:29" x14ac:dyDescent="0.2">
      <c r="A339" s="111"/>
      <c r="B339" s="112"/>
      <c r="C339" s="113"/>
      <c r="D339" s="113"/>
      <c r="E339" s="111"/>
      <c r="F339" s="114">
        <f t="shared" si="85"/>
        <v>0</v>
      </c>
      <c r="G339" s="115" t="str">
        <f t="shared" si="86"/>
        <v/>
      </c>
      <c r="H339" s="116">
        <f>IF($D339="",0,IFERROR(LOOKUP(2,1/(($D$3:D338=$D339)*($A$3:A338&lt;$A339)),$N$3:N338),'Guide &amp; Settings'!$C$41))</f>
        <v>0</v>
      </c>
      <c r="I339" s="117">
        <f t="shared" si="87"/>
        <v>0</v>
      </c>
      <c r="J339" s="118">
        <f>IF($D339="",0,IF($F339&lt;2,0,IF($E339="Win",('Guide &amp; Settings'!$C$42/(($F339-1)*COUNTIFS($A$4:$A$810,$A339,$E$4:$E$810,"Win")))*SUMIFS($X$4:$X$810,$A$4:$A$810,$A339,$E$4:$E$810,"Loss"),-('Guide &amp; Settings'!$C$42/($F339-1))*$X339)))</f>
        <v>0</v>
      </c>
      <c r="K339" s="118">
        <f>IF($D339="",0,'Guide &amp; Settings'!$C$43*(IF($E339="Win",1,0)-$I339))</f>
        <v>0</v>
      </c>
      <c r="L339" s="119">
        <f>IF($D339="",0,'Guide &amp; Settings'!$C$44*IF($F339&gt;=3,$F339,0))</f>
        <v>0</v>
      </c>
      <c r="M339" s="118">
        <f t="shared" si="88"/>
        <v>0</v>
      </c>
      <c r="N339" s="116">
        <f t="shared" si="89"/>
        <v>0</v>
      </c>
      <c r="O339" s="115" t="str">
        <f t="shared" si="90"/>
        <v/>
      </c>
      <c r="P339">
        <f t="shared" si="91"/>
        <v>0</v>
      </c>
      <c r="Q339">
        <f t="shared" si="92"/>
        <v>0</v>
      </c>
      <c r="R339">
        <f t="shared" si="93"/>
        <v>0</v>
      </c>
      <c r="S339">
        <f t="shared" si="94"/>
        <v>0</v>
      </c>
      <c r="T339" s="83">
        <f t="shared" si="95"/>
        <v>0</v>
      </c>
      <c r="U339" s="120">
        <f>IF($D339="",0,IFERROR(LOOKUP(2,1/(($D$3:D338=$D339)*($C$3:C338=$C339)*($A$3:A338&lt;$A339)),$AB$3:AB338),1000))</f>
        <v>0</v>
      </c>
      <c r="V339" s="120">
        <f t="shared" si="96"/>
        <v>0</v>
      </c>
      <c r="W339">
        <f t="shared" si="97"/>
        <v>0</v>
      </c>
      <c r="X339">
        <f t="shared" si="98"/>
        <v>0</v>
      </c>
      <c r="Y339">
        <f t="shared" si="99"/>
        <v>0</v>
      </c>
      <c r="Z339">
        <f t="shared" si="100"/>
        <v>0</v>
      </c>
      <c r="AA339">
        <f>IF($D339="",0,IF($F339&lt;2,0,IF($E339="Win",('Guide &amp; Settings'!$C$42/(($F339-1)*COUNTIFS($A$4:$A$810,$A339,$E$4:$E$810,"Win")))*SUMIFS($Z$4:$Z$810,$A$4:$A$810,$A339,$E$4:$E$810,"Loss"),-('Guide &amp; Settings'!$C$42/($F339-1))*$Z339)))</f>
        <v>0</v>
      </c>
      <c r="AB339" s="120">
        <f t="shared" si="101"/>
        <v>0</v>
      </c>
      <c r="AC339" s="120" t="str">
        <f>IF($D339="","",IF(SUMPRODUCT(MAX(($D$4:$D$810=$D339)*($B$4:$B$810&lt;$B339)*$B$4:$B$810))=0,0,MAX(($B339-MAX(SUMPRODUCT(MAX(($D$4:$D$810=$D339)*($B$4:$B$810&lt;$B339)*$B$4:$B$810)),'Guide &amp; Settings'!$C$50))/7-'Guide &amp; Settings'!$C$48,0)*'Guide &amp; Settings'!$C$49))</f>
        <v/>
      </c>
    </row>
    <row r="340" spans="1:29" x14ac:dyDescent="0.2">
      <c r="A340" s="111"/>
      <c r="B340" s="112"/>
      <c r="C340" s="113"/>
      <c r="D340" s="113"/>
      <c r="E340" s="111"/>
      <c r="F340" s="114">
        <f t="shared" si="85"/>
        <v>0</v>
      </c>
      <c r="G340" s="115" t="str">
        <f t="shared" si="86"/>
        <v/>
      </c>
      <c r="H340" s="116">
        <f>IF($D340="",0,IFERROR(LOOKUP(2,1/(($D$3:D339=$D340)*($A$3:A339&lt;$A340)),$N$3:N339),'Guide &amp; Settings'!$C$41))</f>
        <v>0</v>
      </c>
      <c r="I340" s="117">
        <f t="shared" si="87"/>
        <v>0</v>
      </c>
      <c r="J340" s="118">
        <f>IF($D340="",0,IF($F340&lt;2,0,IF($E340="Win",('Guide &amp; Settings'!$C$42/(($F340-1)*COUNTIFS($A$4:$A$810,$A340,$E$4:$E$810,"Win")))*SUMIFS($X$4:$X$810,$A$4:$A$810,$A340,$E$4:$E$810,"Loss"),-('Guide &amp; Settings'!$C$42/($F340-1))*$X340)))</f>
        <v>0</v>
      </c>
      <c r="K340" s="118">
        <f>IF($D340="",0,'Guide &amp; Settings'!$C$43*(IF($E340="Win",1,0)-$I340))</f>
        <v>0</v>
      </c>
      <c r="L340" s="119">
        <f>IF($D340="",0,'Guide &amp; Settings'!$C$44*IF($F340&gt;=3,$F340,0))</f>
        <v>0</v>
      </c>
      <c r="M340" s="118">
        <f t="shared" si="88"/>
        <v>0</v>
      </c>
      <c r="N340" s="116">
        <f t="shared" si="89"/>
        <v>0</v>
      </c>
      <c r="O340" s="115" t="str">
        <f t="shared" si="90"/>
        <v/>
      </c>
      <c r="P340">
        <f t="shared" si="91"/>
        <v>0</v>
      </c>
      <c r="Q340">
        <f t="shared" si="92"/>
        <v>0</v>
      </c>
      <c r="R340">
        <f t="shared" si="93"/>
        <v>0</v>
      </c>
      <c r="S340">
        <f t="shared" si="94"/>
        <v>0</v>
      </c>
      <c r="T340" s="83">
        <f t="shared" si="95"/>
        <v>0</v>
      </c>
      <c r="U340" s="120">
        <f>IF($D340="",0,IFERROR(LOOKUP(2,1/(($D$3:D339=$D340)*($C$3:C339=$C340)*($A$3:A339&lt;$A340)),$AB$3:AB339),1000))</f>
        <v>0</v>
      </c>
      <c r="V340" s="120">
        <f t="shared" si="96"/>
        <v>0</v>
      </c>
      <c r="W340">
        <f t="shared" si="97"/>
        <v>0</v>
      </c>
      <c r="X340">
        <f t="shared" si="98"/>
        <v>0</v>
      </c>
      <c r="Y340">
        <f t="shared" si="99"/>
        <v>0</v>
      </c>
      <c r="Z340">
        <f t="shared" si="100"/>
        <v>0</v>
      </c>
      <c r="AA340">
        <f>IF($D340="",0,IF($F340&lt;2,0,IF($E340="Win",('Guide &amp; Settings'!$C$42/(($F340-1)*COUNTIFS($A$4:$A$810,$A340,$E$4:$E$810,"Win")))*SUMIFS($Z$4:$Z$810,$A$4:$A$810,$A340,$E$4:$E$810,"Loss"),-('Guide &amp; Settings'!$C$42/($F340-1))*$Z340)))</f>
        <v>0</v>
      </c>
      <c r="AB340" s="120">
        <f t="shared" si="101"/>
        <v>0</v>
      </c>
      <c r="AC340" s="120" t="str">
        <f>IF($D340="","",IF(SUMPRODUCT(MAX(($D$4:$D$810=$D340)*($B$4:$B$810&lt;$B340)*$B$4:$B$810))=0,0,MAX(($B340-MAX(SUMPRODUCT(MAX(($D$4:$D$810=$D340)*($B$4:$B$810&lt;$B340)*$B$4:$B$810)),'Guide &amp; Settings'!$C$50))/7-'Guide &amp; Settings'!$C$48,0)*'Guide &amp; Settings'!$C$49))</f>
        <v/>
      </c>
    </row>
    <row r="341" spans="1:29" x14ac:dyDescent="0.2">
      <c r="A341" s="111"/>
      <c r="B341" s="112"/>
      <c r="C341" s="113"/>
      <c r="D341" s="113"/>
      <c r="E341" s="111"/>
      <c r="F341" s="114">
        <f t="shared" si="85"/>
        <v>0</v>
      </c>
      <c r="G341" s="115" t="str">
        <f t="shared" si="86"/>
        <v/>
      </c>
      <c r="H341" s="116">
        <f>IF($D341="",0,IFERROR(LOOKUP(2,1/(($D$3:D340=$D341)*($A$3:A340&lt;$A341)),$N$3:N340),'Guide &amp; Settings'!$C$41))</f>
        <v>0</v>
      </c>
      <c r="I341" s="117">
        <f t="shared" si="87"/>
        <v>0</v>
      </c>
      <c r="J341" s="118">
        <f>IF($D341="",0,IF($F341&lt;2,0,IF($E341="Win",('Guide &amp; Settings'!$C$42/(($F341-1)*COUNTIFS($A$4:$A$810,$A341,$E$4:$E$810,"Win")))*SUMIFS($X$4:$X$810,$A$4:$A$810,$A341,$E$4:$E$810,"Loss"),-('Guide &amp; Settings'!$C$42/($F341-1))*$X341)))</f>
        <v>0</v>
      </c>
      <c r="K341" s="118">
        <f>IF($D341="",0,'Guide &amp; Settings'!$C$43*(IF($E341="Win",1,0)-$I341))</f>
        <v>0</v>
      </c>
      <c r="L341" s="119">
        <f>IF($D341="",0,'Guide &amp; Settings'!$C$44*IF($F341&gt;=3,$F341,0))</f>
        <v>0</v>
      </c>
      <c r="M341" s="118">
        <f t="shared" si="88"/>
        <v>0</v>
      </c>
      <c r="N341" s="116">
        <f t="shared" si="89"/>
        <v>0</v>
      </c>
      <c r="O341" s="115" t="str">
        <f t="shared" si="90"/>
        <v/>
      </c>
      <c r="P341">
        <f t="shared" si="91"/>
        <v>0</v>
      </c>
      <c r="Q341">
        <f t="shared" si="92"/>
        <v>0</v>
      </c>
      <c r="R341">
        <f t="shared" si="93"/>
        <v>0</v>
      </c>
      <c r="S341">
        <f t="shared" si="94"/>
        <v>0</v>
      </c>
      <c r="T341" s="83">
        <f t="shared" si="95"/>
        <v>0</v>
      </c>
      <c r="U341" s="120">
        <f>IF($D341="",0,IFERROR(LOOKUP(2,1/(($D$3:D340=$D341)*($C$3:C340=$C341)*($A$3:A340&lt;$A341)),$AB$3:AB340),1000))</f>
        <v>0</v>
      </c>
      <c r="V341" s="120">
        <f t="shared" si="96"/>
        <v>0</v>
      </c>
      <c r="W341">
        <f t="shared" si="97"/>
        <v>0</v>
      </c>
      <c r="X341">
        <f t="shared" si="98"/>
        <v>0</v>
      </c>
      <c r="Y341">
        <f t="shared" si="99"/>
        <v>0</v>
      </c>
      <c r="Z341">
        <f t="shared" si="100"/>
        <v>0</v>
      </c>
      <c r="AA341">
        <f>IF($D341="",0,IF($F341&lt;2,0,IF($E341="Win",('Guide &amp; Settings'!$C$42/(($F341-1)*COUNTIFS($A$4:$A$810,$A341,$E$4:$E$810,"Win")))*SUMIFS($Z$4:$Z$810,$A$4:$A$810,$A341,$E$4:$E$810,"Loss"),-('Guide &amp; Settings'!$C$42/($F341-1))*$Z341)))</f>
        <v>0</v>
      </c>
      <c r="AB341" s="120">
        <f t="shared" si="101"/>
        <v>0</v>
      </c>
      <c r="AC341" s="120" t="str">
        <f>IF($D341="","",IF(SUMPRODUCT(MAX(($D$4:$D$810=$D341)*($B$4:$B$810&lt;$B341)*$B$4:$B$810))=0,0,MAX(($B341-MAX(SUMPRODUCT(MAX(($D$4:$D$810=$D341)*($B$4:$B$810&lt;$B341)*$B$4:$B$810)),'Guide &amp; Settings'!$C$50))/7-'Guide &amp; Settings'!$C$48,0)*'Guide &amp; Settings'!$C$49))</f>
        <v/>
      </c>
    </row>
    <row r="342" spans="1:29" x14ac:dyDescent="0.2">
      <c r="A342" s="111"/>
      <c r="B342" s="112"/>
      <c r="C342" s="113"/>
      <c r="D342" s="113"/>
      <c r="E342" s="111"/>
      <c r="F342" s="114">
        <f t="shared" si="85"/>
        <v>0</v>
      </c>
      <c r="G342" s="115" t="str">
        <f t="shared" si="86"/>
        <v/>
      </c>
      <c r="H342" s="116">
        <f>IF($D342="",0,IFERROR(LOOKUP(2,1/(($D$3:D341=$D342)*($A$3:A341&lt;$A342)),$N$3:N341),'Guide &amp; Settings'!$C$41))</f>
        <v>0</v>
      </c>
      <c r="I342" s="117">
        <f t="shared" si="87"/>
        <v>0</v>
      </c>
      <c r="J342" s="118">
        <f>IF($D342="",0,IF($F342&lt;2,0,IF($E342="Win",('Guide &amp; Settings'!$C$42/(($F342-1)*COUNTIFS($A$4:$A$810,$A342,$E$4:$E$810,"Win")))*SUMIFS($X$4:$X$810,$A$4:$A$810,$A342,$E$4:$E$810,"Loss"),-('Guide &amp; Settings'!$C$42/($F342-1))*$X342)))</f>
        <v>0</v>
      </c>
      <c r="K342" s="118">
        <f>IF($D342="",0,'Guide &amp; Settings'!$C$43*(IF($E342="Win",1,0)-$I342))</f>
        <v>0</v>
      </c>
      <c r="L342" s="119">
        <f>IF($D342="",0,'Guide &amp; Settings'!$C$44*IF($F342&gt;=3,$F342,0))</f>
        <v>0</v>
      </c>
      <c r="M342" s="118">
        <f t="shared" si="88"/>
        <v>0</v>
      </c>
      <c r="N342" s="116">
        <f t="shared" si="89"/>
        <v>0</v>
      </c>
      <c r="O342" s="115" t="str">
        <f t="shared" si="90"/>
        <v/>
      </c>
      <c r="P342">
        <f t="shared" si="91"/>
        <v>0</v>
      </c>
      <c r="Q342">
        <f t="shared" si="92"/>
        <v>0</v>
      </c>
      <c r="R342">
        <f t="shared" si="93"/>
        <v>0</v>
      </c>
      <c r="S342">
        <f t="shared" si="94"/>
        <v>0</v>
      </c>
      <c r="T342" s="83">
        <f t="shared" si="95"/>
        <v>0</v>
      </c>
      <c r="U342" s="120">
        <f>IF($D342="",0,IFERROR(LOOKUP(2,1/(($D$3:D341=$D342)*($C$3:C341=$C342)*($A$3:A341&lt;$A342)),$AB$3:AB341),1000))</f>
        <v>0</v>
      </c>
      <c r="V342" s="120">
        <f t="shared" si="96"/>
        <v>0</v>
      </c>
      <c r="W342">
        <f t="shared" si="97"/>
        <v>0</v>
      </c>
      <c r="X342">
        <f t="shared" si="98"/>
        <v>0</v>
      </c>
      <c r="Y342">
        <f t="shared" si="99"/>
        <v>0</v>
      </c>
      <c r="Z342">
        <f t="shared" si="100"/>
        <v>0</v>
      </c>
      <c r="AA342">
        <f>IF($D342="",0,IF($F342&lt;2,0,IF($E342="Win",('Guide &amp; Settings'!$C$42/(($F342-1)*COUNTIFS($A$4:$A$810,$A342,$E$4:$E$810,"Win")))*SUMIFS($Z$4:$Z$810,$A$4:$A$810,$A342,$E$4:$E$810,"Loss"),-('Guide &amp; Settings'!$C$42/($F342-1))*$Z342)))</f>
        <v>0</v>
      </c>
      <c r="AB342" s="120">
        <f t="shared" si="101"/>
        <v>0</v>
      </c>
      <c r="AC342" s="120" t="str">
        <f>IF($D342="","",IF(SUMPRODUCT(MAX(($D$4:$D$810=$D342)*($B$4:$B$810&lt;$B342)*$B$4:$B$810))=0,0,MAX(($B342-MAX(SUMPRODUCT(MAX(($D$4:$D$810=$D342)*($B$4:$B$810&lt;$B342)*$B$4:$B$810)),'Guide &amp; Settings'!$C$50))/7-'Guide &amp; Settings'!$C$48,0)*'Guide &amp; Settings'!$C$49))</f>
        <v/>
      </c>
    </row>
    <row r="343" spans="1:29" x14ac:dyDescent="0.2">
      <c r="A343" s="111"/>
      <c r="B343" s="112"/>
      <c r="C343" s="113"/>
      <c r="D343" s="113"/>
      <c r="E343" s="111"/>
      <c r="F343" s="114">
        <f t="shared" si="85"/>
        <v>0</v>
      </c>
      <c r="G343" s="115" t="str">
        <f t="shared" si="86"/>
        <v/>
      </c>
      <c r="H343" s="116">
        <f>IF($D343="",0,IFERROR(LOOKUP(2,1/(($D$3:D342=$D343)*($A$3:A342&lt;$A343)),$N$3:N342),'Guide &amp; Settings'!$C$41))</f>
        <v>0</v>
      </c>
      <c r="I343" s="117">
        <f t="shared" si="87"/>
        <v>0</v>
      </c>
      <c r="J343" s="118">
        <f>IF($D343="",0,IF($F343&lt;2,0,IF($E343="Win",('Guide &amp; Settings'!$C$42/(($F343-1)*COUNTIFS($A$4:$A$810,$A343,$E$4:$E$810,"Win")))*SUMIFS($X$4:$X$810,$A$4:$A$810,$A343,$E$4:$E$810,"Loss"),-('Guide &amp; Settings'!$C$42/($F343-1))*$X343)))</f>
        <v>0</v>
      </c>
      <c r="K343" s="118">
        <f>IF($D343="",0,'Guide &amp; Settings'!$C$43*(IF($E343="Win",1,0)-$I343))</f>
        <v>0</v>
      </c>
      <c r="L343" s="119">
        <f>IF($D343="",0,'Guide &amp; Settings'!$C$44*IF($F343&gt;=3,$F343,0))</f>
        <v>0</v>
      </c>
      <c r="M343" s="118">
        <f t="shared" si="88"/>
        <v>0</v>
      </c>
      <c r="N343" s="116">
        <f t="shared" si="89"/>
        <v>0</v>
      </c>
      <c r="O343" s="115" t="str">
        <f t="shared" si="90"/>
        <v/>
      </c>
      <c r="P343">
        <f t="shared" si="91"/>
        <v>0</v>
      </c>
      <c r="Q343">
        <f t="shared" si="92"/>
        <v>0</v>
      </c>
      <c r="R343">
        <f t="shared" si="93"/>
        <v>0</v>
      </c>
      <c r="S343">
        <f t="shared" si="94"/>
        <v>0</v>
      </c>
      <c r="T343" s="83">
        <f t="shared" si="95"/>
        <v>0</v>
      </c>
      <c r="U343" s="120">
        <f>IF($D343="",0,IFERROR(LOOKUP(2,1/(($D$3:D342=$D343)*($C$3:C342=$C343)*($A$3:A342&lt;$A343)),$AB$3:AB342),1000))</f>
        <v>0</v>
      </c>
      <c r="V343" s="120">
        <f t="shared" si="96"/>
        <v>0</v>
      </c>
      <c r="W343">
        <f t="shared" si="97"/>
        <v>0</v>
      </c>
      <c r="X343">
        <f t="shared" si="98"/>
        <v>0</v>
      </c>
      <c r="Y343">
        <f t="shared" si="99"/>
        <v>0</v>
      </c>
      <c r="Z343">
        <f t="shared" si="100"/>
        <v>0</v>
      </c>
      <c r="AA343">
        <f>IF($D343="",0,IF($F343&lt;2,0,IF($E343="Win",('Guide &amp; Settings'!$C$42/(($F343-1)*COUNTIFS($A$4:$A$810,$A343,$E$4:$E$810,"Win")))*SUMIFS($Z$4:$Z$810,$A$4:$A$810,$A343,$E$4:$E$810,"Loss"),-('Guide &amp; Settings'!$C$42/($F343-1))*$Z343)))</f>
        <v>0</v>
      </c>
      <c r="AB343" s="120">
        <f t="shared" si="101"/>
        <v>0</v>
      </c>
      <c r="AC343" s="120" t="str">
        <f>IF($D343="","",IF(SUMPRODUCT(MAX(($D$4:$D$810=$D343)*($B$4:$B$810&lt;$B343)*$B$4:$B$810))=0,0,MAX(($B343-MAX(SUMPRODUCT(MAX(($D$4:$D$810=$D343)*($B$4:$B$810&lt;$B343)*$B$4:$B$810)),'Guide &amp; Settings'!$C$50))/7-'Guide &amp; Settings'!$C$48,0)*'Guide &amp; Settings'!$C$49))</f>
        <v/>
      </c>
    </row>
    <row r="344" spans="1:29" x14ac:dyDescent="0.2">
      <c r="A344" s="111"/>
      <c r="B344" s="112"/>
      <c r="C344" s="113"/>
      <c r="D344" s="113"/>
      <c r="E344" s="111"/>
      <c r="F344" s="114">
        <f t="shared" si="85"/>
        <v>0</v>
      </c>
      <c r="G344" s="115" t="str">
        <f t="shared" si="86"/>
        <v/>
      </c>
      <c r="H344" s="116">
        <f>IF($D344="",0,IFERROR(LOOKUP(2,1/(($D$3:D343=$D344)*($A$3:A343&lt;$A344)),$N$3:N343),'Guide &amp; Settings'!$C$41))</f>
        <v>0</v>
      </c>
      <c r="I344" s="117">
        <f t="shared" si="87"/>
        <v>0</v>
      </c>
      <c r="J344" s="118">
        <f>IF($D344="",0,IF($F344&lt;2,0,IF($E344="Win",('Guide &amp; Settings'!$C$42/(($F344-1)*COUNTIFS($A$4:$A$810,$A344,$E$4:$E$810,"Win")))*SUMIFS($X$4:$X$810,$A$4:$A$810,$A344,$E$4:$E$810,"Loss"),-('Guide &amp; Settings'!$C$42/($F344-1))*$X344)))</f>
        <v>0</v>
      </c>
      <c r="K344" s="118">
        <f>IF($D344="",0,'Guide &amp; Settings'!$C$43*(IF($E344="Win",1,0)-$I344))</f>
        <v>0</v>
      </c>
      <c r="L344" s="119">
        <f>IF($D344="",0,'Guide &amp; Settings'!$C$44*IF($F344&gt;=3,$F344,0))</f>
        <v>0</v>
      </c>
      <c r="M344" s="118">
        <f t="shared" si="88"/>
        <v>0</v>
      </c>
      <c r="N344" s="116">
        <f t="shared" si="89"/>
        <v>0</v>
      </c>
      <c r="O344" s="115" t="str">
        <f t="shared" si="90"/>
        <v/>
      </c>
      <c r="P344">
        <f t="shared" si="91"/>
        <v>0</v>
      </c>
      <c r="Q344">
        <f t="shared" si="92"/>
        <v>0</v>
      </c>
      <c r="R344">
        <f t="shared" si="93"/>
        <v>0</v>
      </c>
      <c r="S344">
        <f t="shared" si="94"/>
        <v>0</v>
      </c>
      <c r="T344" s="83">
        <f t="shared" si="95"/>
        <v>0</v>
      </c>
      <c r="U344" s="120">
        <f>IF($D344="",0,IFERROR(LOOKUP(2,1/(($D$3:D343=$D344)*($C$3:C343=$C344)*($A$3:A343&lt;$A344)),$AB$3:AB343),1000))</f>
        <v>0</v>
      </c>
      <c r="V344" s="120">
        <f t="shared" si="96"/>
        <v>0</v>
      </c>
      <c r="W344">
        <f t="shared" si="97"/>
        <v>0</v>
      </c>
      <c r="X344">
        <f t="shared" si="98"/>
        <v>0</v>
      </c>
      <c r="Y344">
        <f t="shared" si="99"/>
        <v>0</v>
      </c>
      <c r="Z344">
        <f t="shared" si="100"/>
        <v>0</v>
      </c>
      <c r="AA344">
        <f>IF($D344="",0,IF($F344&lt;2,0,IF($E344="Win",('Guide &amp; Settings'!$C$42/(($F344-1)*COUNTIFS($A$4:$A$810,$A344,$E$4:$E$810,"Win")))*SUMIFS($Z$4:$Z$810,$A$4:$A$810,$A344,$E$4:$E$810,"Loss"),-('Guide &amp; Settings'!$C$42/($F344-1))*$Z344)))</f>
        <v>0</v>
      </c>
      <c r="AB344" s="120">
        <f t="shared" si="101"/>
        <v>0</v>
      </c>
      <c r="AC344" s="120" t="str">
        <f>IF($D344="","",IF(SUMPRODUCT(MAX(($D$4:$D$810=$D344)*($B$4:$B$810&lt;$B344)*$B$4:$B$810))=0,0,MAX(($B344-MAX(SUMPRODUCT(MAX(($D$4:$D$810=$D344)*($B$4:$B$810&lt;$B344)*$B$4:$B$810)),'Guide &amp; Settings'!$C$50))/7-'Guide &amp; Settings'!$C$48,0)*'Guide &amp; Settings'!$C$49))</f>
        <v/>
      </c>
    </row>
    <row r="345" spans="1:29" x14ac:dyDescent="0.2">
      <c r="A345" s="111"/>
      <c r="B345" s="112"/>
      <c r="C345" s="113"/>
      <c r="D345" s="113"/>
      <c r="E345" s="111"/>
      <c r="F345" s="114">
        <f t="shared" si="85"/>
        <v>0</v>
      </c>
      <c r="G345" s="115" t="str">
        <f t="shared" si="86"/>
        <v/>
      </c>
      <c r="H345" s="116">
        <f>IF($D345="",0,IFERROR(LOOKUP(2,1/(($D$3:D344=$D345)*($A$3:A344&lt;$A345)),$N$3:N344),'Guide &amp; Settings'!$C$41))</f>
        <v>0</v>
      </c>
      <c r="I345" s="117">
        <f t="shared" si="87"/>
        <v>0</v>
      </c>
      <c r="J345" s="118">
        <f>IF($D345="",0,IF($F345&lt;2,0,IF($E345="Win",('Guide &amp; Settings'!$C$42/(($F345-1)*COUNTIFS($A$4:$A$810,$A345,$E$4:$E$810,"Win")))*SUMIFS($X$4:$X$810,$A$4:$A$810,$A345,$E$4:$E$810,"Loss"),-('Guide &amp; Settings'!$C$42/($F345-1))*$X345)))</f>
        <v>0</v>
      </c>
      <c r="K345" s="118">
        <f>IF($D345="",0,'Guide &amp; Settings'!$C$43*(IF($E345="Win",1,0)-$I345))</f>
        <v>0</v>
      </c>
      <c r="L345" s="119">
        <f>IF($D345="",0,'Guide &amp; Settings'!$C$44*IF($F345&gt;=3,$F345,0))</f>
        <v>0</v>
      </c>
      <c r="M345" s="118">
        <f t="shared" si="88"/>
        <v>0</v>
      </c>
      <c r="N345" s="116">
        <f t="shared" si="89"/>
        <v>0</v>
      </c>
      <c r="O345" s="115" t="str">
        <f t="shared" si="90"/>
        <v/>
      </c>
      <c r="P345">
        <f t="shared" si="91"/>
        <v>0</v>
      </c>
      <c r="Q345">
        <f t="shared" si="92"/>
        <v>0</v>
      </c>
      <c r="R345">
        <f t="shared" si="93"/>
        <v>0</v>
      </c>
      <c r="S345">
        <f t="shared" si="94"/>
        <v>0</v>
      </c>
      <c r="T345" s="83">
        <f t="shared" si="95"/>
        <v>0</v>
      </c>
      <c r="U345" s="120">
        <f>IF($D345="",0,IFERROR(LOOKUP(2,1/(($D$3:D344=$D345)*($C$3:C344=$C345)*($A$3:A344&lt;$A345)),$AB$3:AB344),1000))</f>
        <v>0</v>
      </c>
      <c r="V345" s="120">
        <f t="shared" si="96"/>
        <v>0</v>
      </c>
      <c r="W345">
        <f t="shared" si="97"/>
        <v>0</v>
      </c>
      <c r="X345">
        <f t="shared" si="98"/>
        <v>0</v>
      </c>
      <c r="Y345">
        <f t="shared" si="99"/>
        <v>0</v>
      </c>
      <c r="Z345">
        <f t="shared" si="100"/>
        <v>0</v>
      </c>
      <c r="AA345">
        <f>IF($D345="",0,IF($F345&lt;2,0,IF($E345="Win",('Guide &amp; Settings'!$C$42/(($F345-1)*COUNTIFS($A$4:$A$810,$A345,$E$4:$E$810,"Win")))*SUMIFS($Z$4:$Z$810,$A$4:$A$810,$A345,$E$4:$E$810,"Loss"),-('Guide &amp; Settings'!$C$42/($F345-1))*$Z345)))</f>
        <v>0</v>
      </c>
      <c r="AB345" s="120">
        <f t="shared" si="101"/>
        <v>0</v>
      </c>
      <c r="AC345" s="120" t="str">
        <f>IF($D345="","",IF(SUMPRODUCT(MAX(($D$4:$D$810=$D345)*($B$4:$B$810&lt;$B345)*$B$4:$B$810))=0,0,MAX(($B345-MAX(SUMPRODUCT(MAX(($D$4:$D$810=$D345)*($B$4:$B$810&lt;$B345)*$B$4:$B$810)),'Guide &amp; Settings'!$C$50))/7-'Guide &amp; Settings'!$C$48,0)*'Guide &amp; Settings'!$C$49))</f>
        <v/>
      </c>
    </row>
    <row r="346" spans="1:29" x14ac:dyDescent="0.2">
      <c r="A346" s="111"/>
      <c r="B346" s="112"/>
      <c r="C346" s="113"/>
      <c r="D346" s="113"/>
      <c r="E346" s="111"/>
      <c r="F346" s="114">
        <f t="shared" si="85"/>
        <v>0</v>
      </c>
      <c r="G346" s="115" t="str">
        <f t="shared" si="86"/>
        <v/>
      </c>
      <c r="H346" s="116">
        <f>IF($D346="",0,IFERROR(LOOKUP(2,1/(($D$3:D345=$D346)*($A$3:A345&lt;$A346)),$N$3:N345),'Guide &amp; Settings'!$C$41))</f>
        <v>0</v>
      </c>
      <c r="I346" s="117">
        <f t="shared" si="87"/>
        <v>0</v>
      </c>
      <c r="J346" s="118">
        <f>IF($D346="",0,IF($F346&lt;2,0,IF($E346="Win",('Guide &amp; Settings'!$C$42/(($F346-1)*COUNTIFS($A$4:$A$810,$A346,$E$4:$E$810,"Win")))*SUMIFS($X$4:$X$810,$A$4:$A$810,$A346,$E$4:$E$810,"Loss"),-('Guide &amp; Settings'!$C$42/($F346-1))*$X346)))</f>
        <v>0</v>
      </c>
      <c r="K346" s="118">
        <f>IF($D346="",0,'Guide &amp; Settings'!$C$43*(IF($E346="Win",1,0)-$I346))</f>
        <v>0</v>
      </c>
      <c r="L346" s="119">
        <f>IF($D346="",0,'Guide &amp; Settings'!$C$44*IF($F346&gt;=3,$F346,0))</f>
        <v>0</v>
      </c>
      <c r="M346" s="118">
        <f t="shared" si="88"/>
        <v>0</v>
      </c>
      <c r="N346" s="116">
        <f t="shared" si="89"/>
        <v>0</v>
      </c>
      <c r="O346" s="115" t="str">
        <f t="shared" si="90"/>
        <v/>
      </c>
      <c r="P346">
        <f t="shared" si="91"/>
        <v>0</v>
      </c>
      <c r="Q346">
        <f t="shared" si="92"/>
        <v>0</v>
      </c>
      <c r="R346">
        <f t="shared" si="93"/>
        <v>0</v>
      </c>
      <c r="S346">
        <f t="shared" si="94"/>
        <v>0</v>
      </c>
      <c r="T346" s="83">
        <f t="shared" si="95"/>
        <v>0</v>
      </c>
      <c r="U346" s="120">
        <f>IF($D346="",0,IFERROR(LOOKUP(2,1/(($D$3:D345=$D346)*($C$3:C345=$C346)*($A$3:A345&lt;$A346)),$AB$3:AB345),1000))</f>
        <v>0</v>
      </c>
      <c r="V346" s="120">
        <f t="shared" si="96"/>
        <v>0</v>
      </c>
      <c r="W346">
        <f t="shared" si="97"/>
        <v>0</v>
      </c>
      <c r="X346">
        <f t="shared" si="98"/>
        <v>0</v>
      </c>
      <c r="Y346">
        <f t="shared" si="99"/>
        <v>0</v>
      </c>
      <c r="Z346">
        <f t="shared" si="100"/>
        <v>0</v>
      </c>
      <c r="AA346">
        <f>IF($D346="",0,IF($F346&lt;2,0,IF($E346="Win",('Guide &amp; Settings'!$C$42/(($F346-1)*COUNTIFS($A$4:$A$810,$A346,$E$4:$E$810,"Win")))*SUMIFS($Z$4:$Z$810,$A$4:$A$810,$A346,$E$4:$E$810,"Loss"),-('Guide &amp; Settings'!$C$42/($F346-1))*$Z346)))</f>
        <v>0</v>
      </c>
      <c r="AB346" s="120">
        <f t="shared" si="101"/>
        <v>0</v>
      </c>
      <c r="AC346" s="120" t="str">
        <f>IF($D346="","",IF(SUMPRODUCT(MAX(($D$4:$D$810=$D346)*($B$4:$B$810&lt;$B346)*$B$4:$B$810))=0,0,MAX(($B346-MAX(SUMPRODUCT(MAX(($D$4:$D$810=$D346)*($B$4:$B$810&lt;$B346)*$B$4:$B$810)),'Guide &amp; Settings'!$C$50))/7-'Guide &amp; Settings'!$C$48,0)*'Guide &amp; Settings'!$C$49))</f>
        <v/>
      </c>
    </row>
    <row r="347" spans="1:29" x14ac:dyDescent="0.2">
      <c r="A347" s="111"/>
      <c r="B347" s="112"/>
      <c r="C347" s="113"/>
      <c r="D347" s="113"/>
      <c r="E347" s="111"/>
      <c r="F347" s="114">
        <f t="shared" si="85"/>
        <v>0</v>
      </c>
      <c r="G347" s="115" t="str">
        <f t="shared" si="86"/>
        <v/>
      </c>
      <c r="H347" s="116">
        <f>IF($D347="",0,IFERROR(LOOKUP(2,1/(($D$3:D346=$D347)*($A$3:A346&lt;$A347)),$N$3:N346),'Guide &amp; Settings'!$C$41))</f>
        <v>0</v>
      </c>
      <c r="I347" s="117">
        <f t="shared" si="87"/>
        <v>0</v>
      </c>
      <c r="J347" s="118">
        <f>IF($D347="",0,IF($F347&lt;2,0,IF($E347="Win",('Guide &amp; Settings'!$C$42/(($F347-1)*COUNTIFS($A$4:$A$810,$A347,$E$4:$E$810,"Win")))*SUMIFS($X$4:$X$810,$A$4:$A$810,$A347,$E$4:$E$810,"Loss"),-('Guide &amp; Settings'!$C$42/($F347-1))*$X347)))</f>
        <v>0</v>
      </c>
      <c r="K347" s="118">
        <f>IF($D347="",0,'Guide &amp; Settings'!$C$43*(IF($E347="Win",1,0)-$I347))</f>
        <v>0</v>
      </c>
      <c r="L347" s="119">
        <f>IF($D347="",0,'Guide &amp; Settings'!$C$44*IF($F347&gt;=3,$F347,0))</f>
        <v>0</v>
      </c>
      <c r="M347" s="118">
        <f t="shared" si="88"/>
        <v>0</v>
      </c>
      <c r="N347" s="116">
        <f t="shared" si="89"/>
        <v>0</v>
      </c>
      <c r="O347" s="115" t="str">
        <f t="shared" si="90"/>
        <v/>
      </c>
      <c r="P347">
        <f t="shared" si="91"/>
        <v>0</v>
      </c>
      <c r="Q347">
        <f t="shared" si="92"/>
        <v>0</v>
      </c>
      <c r="R347">
        <f t="shared" si="93"/>
        <v>0</v>
      </c>
      <c r="S347">
        <f t="shared" si="94"/>
        <v>0</v>
      </c>
      <c r="T347" s="83">
        <f t="shared" si="95"/>
        <v>0</v>
      </c>
      <c r="U347" s="120">
        <f>IF($D347="",0,IFERROR(LOOKUP(2,1/(($D$3:D346=$D347)*($C$3:C346=$C347)*($A$3:A346&lt;$A347)),$AB$3:AB346),1000))</f>
        <v>0</v>
      </c>
      <c r="V347" s="120">
        <f t="shared" si="96"/>
        <v>0</v>
      </c>
      <c r="W347">
        <f t="shared" si="97"/>
        <v>0</v>
      </c>
      <c r="X347">
        <f t="shared" si="98"/>
        <v>0</v>
      </c>
      <c r="Y347">
        <f t="shared" si="99"/>
        <v>0</v>
      </c>
      <c r="Z347">
        <f t="shared" si="100"/>
        <v>0</v>
      </c>
      <c r="AA347">
        <f>IF($D347="",0,IF($F347&lt;2,0,IF($E347="Win",('Guide &amp; Settings'!$C$42/(($F347-1)*COUNTIFS($A$4:$A$810,$A347,$E$4:$E$810,"Win")))*SUMIFS($Z$4:$Z$810,$A$4:$A$810,$A347,$E$4:$E$810,"Loss"),-('Guide &amp; Settings'!$C$42/($F347-1))*$Z347)))</f>
        <v>0</v>
      </c>
      <c r="AB347" s="120">
        <f t="shared" si="101"/>
        <v>0</v>
      </c>
      <c r="AC347" s="120" t="str">
        <f>IF($D347="","",IF(SUMPRODUCT(MAX(($D$4:$D$810=$D347)*($B$4:$B$810&lt;$B347)*$B$4:$B$810))=0,0,MAX(($B347-MAX(SUMPRODUCT(MAX(($D$4:$D$810=$D347)*($B$4:$B$810&lt;$B347)*$B$4:$B$810)),'Guide &amp; Settings'!$C$50))/7-'Guide &amp; Settings'!$C$48,0)*'Guide &amp; Settings'!$C$49))</f>
        <v/>
      </c>
    </row>
    <row r="348" spans="1:29" x14ac:dyDescent="0.2">
      <c r="A348" s="111"/>
      <c r="B348" s="112"/>
      <c r="C348" s="113"/>
      <c r="D348" s="113"/>
      <c r="E348" s="111"/>
      <c r="F348" s="114">
        <f t="shared" si="85"/>
        <v>0</v>
      </c>
      <c r="G348" s="115" t="str">
        <f t="shared" si="86"/>
        <v/>
      </c>
      <c r="H348" s="116">
        <f>IF($D348="",0,IFERROR(LOOKUP(2,1/(($D$3:D347=$D348)*($A$3:A347&lt;$A348)),$N$3:N347),'Guide &amp; Settings'!$C$41))</f>
        <v>0</v>
      </c>
      <c r="I348" s="117">
        <f t="shared" si="87"/>
        <v>0</v>
      </c>
      <c r="J348" s="118">
        <f>IF($D348="",0,IF($F348&lt;2,0,IF($E348="Win",('Guide &amp; Settings'!$C$42/(($F348-1)*COUNTIFS($A$4:$A$810,$A348,$E$4:$E$810,"Win")))*SUMIFS($X$4:$X$810,$A$4:$A$810,$A348,$E$4:$E$810,"Loss"),-('Guide &amp; Settings'!$C$42/($F348-1))*$X348)))</f>
        <v>0</v>
      </c>
      <c r="K348" s="118">
        <f>IF($D348="",0,'Guide &amp; Settings'!$C$43*(IF($E348="Win",1,0)-$I348))</f>
        <v>0</v>
      </c>
      <c r="L348" s="119">
        <f>IF($D348="",0,'Guide &amp; Settings'!$C$44*IF($F348&gt;=3,$F348,0))</f>
        <v>0</v>
      </c>
      <c r="M348" s="118">
        <f t="shared" si="88"/>
        <v>0</v>
      </c>
      <c r="N348" s="116">
        <f t="shared" si="89"/>
        <v>0</v>
      </c>
      <c r="O348" s="115" t="str">
        <f t="shared" si="90"/>
        <v/>
      </c>
      <c r="P348">
        <f t="shared" si="91"/>
        <v>0</v>
      </c>
      <c r="Q348">
        <f t="shared" si="92"/>
        <v>0</v>
      </c>
      <c r="R348">
        <f t="shared" si="93"/>
        <v>0</v>
      </c>
      <c r="S348">
        <f t="shared" si="94"/>
        <v>0</v>
      </c>
      <c r="T348" s="83">
        <f t="shared" si="95"/>
        <v>0</v>
      </c>
      <c r="U348" s="120">
        <f>IF($D348="",0,IFERROR(LOOKUP(2,1/(($D$3:D347=$D348)*($C$3:C347=$C348)*($A$3:A347&lt;$A348)),$AB$3:AB347),1000))</f>
        <v>0</v>
      </c>
      <c r="V348" s="120">
        <f t="shared" si="96"/>
        <v>0</v>
      </c>
      <c r="W348">
        <f t="shared" si="97"/>
        <v>0</v>
      </c>
      <c r="X348">
        <f t="shared" si="98"/>
        <v>0</v>
      </c>
      <c r="Y348">
        <f t="shared" si="99"/>
        <v>0</v>
      </c>
      <c r="Z348">
        <f t="shared" si="100"/>
        <v>0</v>
      </c>
      <c r="AA348">
        <f>IF($D348="",0,IF($F348&lt;2,0,IF($E348="Win",('Guide &amp; Settings'!$C$42/(($F348-1)*COUNTIFS($A$4:$A$810,$A348,$E$4:$E$810,"Win")))*SUMIFS($Z$4:$Z$810,$A$4:$A$810,$A348,$E$4:$E$810,"Loss"),-('Guide &amp; Settings'!$C$42/($F348-1))*$Z348)))</f>
        <v>0</v>
      </c>
      <c r="AB348" s="120">
        <f t="shared" si="101"/>
        <v>0</v>
      </c>
      <c r="AC348" s="120" t="str">
        <f>IF($D348="","",IF(SUMPRODUCT(MAX(($D$4:$D$810=$D348)*($B$4:$B$810&lt;$B348)*$B$4:$B$810))=0,0,MAX(($B348-MAX(SUMPRODUCT(MAX(($D$4:$D$810=$D348)*($B$4:$B$810&lt;$B348)*$B$4:$B$810)),'Guide &amp; Settings'!$C$50))/7-'Guide &amp; Settings'!$C$48,0)*'Guide &amp; Settings'!$C$49))</f>
        <v/>
      </c>
    </row>
    <row r="349" spans="1:29" x14ac:dyDescent="0.2">
      <c r="A349" s="111"/>
      <c r="B349" s="112"/>
      <c r="C349" s="113"/>
      <c r="D349" s="113"/>
      <c r="E349" s="111"/>
      <c r="F349" s="114">
        <f t="shared" si="85"/>
        <v>0</v>
      </c>
      <c r="G349" s="115" t="str">
        <f t="shared" si="86"/>
        <v/>
      </c>
      <c r="H349" s="116">
        <f>IF($D349="",0,IFERROR(LOOKUP(2,1/(($D$3:D348=$D349)*($A$3:A348&lt;$A349)),$N$3:N348),'Guide &amp; Settings'!$C$41))</f>
        <v>0</v>
      </c>
      <c r="I349" s="117">
        <f t="shared" si="87"/>
        <v>0</v>
      </c>
      <c r="J349" s="118">
        <f>IF($D349="",0,IF($F349&lt;2,0,IF($E349="Win",('Guide &amp; Settings'!$C$42/(($F349-1)*COUNTIFS($A$4:$A$810,$A349,$E$4:$E$810,"Win")))*SUMIFS($X$4:$X$810,$A$4:$A$810,$A349,$E$4:$E$810,"Loss"),-('Guide &amp; Settings'!$C$42/($F349-1))*$X349)))</f>
        <v>0</v>
      </c>
      <c r="K349" s="118">
        <f>IF($D349="",0,'Guide &amp; Settings'!$C$43*(IF($E349="Win",1,0)-$I349))</f>
        <v>0</v>
      </c>
      <c r="L349" s="119">
        <f>IF($D349="",0,'Guide &amp; Settings'!$C$44*IF($F349&gt;=3,$F349,0))</f>
        <v>0</v>
      </c>
      <c r="M349" s="118">
        <f t="shared" si="88"/>
        <v>0</v>
      </c>
      <c r="N349" s="116">
        <f t="shared" si="89"/>
        <v>0</v>
      </c>
      <c r="O349" s="115" t="str">
        <f t="shared" si="90"/>
        <v/>
      </c>
      <c r="P349">
        <f t="shared" si="91"/>
        <v>0</v>
      </c>
      <c r="Q349">
        <f t="shared" si="92"/>
        <v>0</v>
      </c>
      <c r="R349">
        <f t="shared" si="93"/>
        <v>0</v>
      </c>
      <c r="S349">
        <f t="shared" si="94"/>
        <v>0</v>
      </c>
      <c r="T349" s="83">
        <f t="shared" si="95"/>
        <v>0</v>
      </c>
      <c r="U349" s="120">
        <f>IF($D349="",0,IFERROR(LOOKUP(2,1/(($D$3:D348=$D349)*($C$3:C348=$C349)*($A$3:A348&lt;$A349)),$AB$3:AB348),1000))</f>
        <v>0</v>
      </c>
      <c r="V349" s="120">
        <f t="shared" si="96"/>
        <v>0</v>
      </c>
      <c r="W349">
        <f t="shared" si="97"/>
        <v>0</v>
      </c>
      <c r="X349">
        <f t="shared" si="98"/>
        <v>0</v>
      </c>
      <c r="Y349">
        <f t="shared" si="99"/>
        <v>0</v>
      </c>
      <c r="Z349">
        <f t="shared" si="100"/>
        <v>0</v>
      </c>
      <c r="AA349">
        <f>IF($D349="",0,IF($F349&lt;2,0,IF($E349="Win",('Guide &amp; Settings'!$C$42/(($F349-1)*COUNTIFS($A$4:$A$810,$A349,$E$4:$E$810,"Win")))*SUMIFS($Z$4:$Z$810,$A$4:$A$810,$A349,$E$4:$E$810,"Loss"),-('Guide &amp; Settings'!$C$42/($F349-1))*$Z349)))</f>
        <v>0</v>
      </c>
      <c r="AB349" s="120">
        <f t="shared" si="101"/>
        <v>0</v>
      </c>
      <c r="AC349" s="120" t="str">
        <f>IF($D349="","",IF(SUMPRODUCT(MAX(($D$4:$D$810=$D349)*($B$4:$B$810&lt;$B349)*$B$4:$B$810))=0,0,MAX(($B349-MAX(SUMPRODUCT(MAX(($D$4:$D$810=$D349)*($B$4:$B$810&lt;$B349)*$B$4:$B$810)),'Guide &amp; Settings'!$C$50))/7-'Guide &amp; Settings'!$C$48,0)*'Guide &amp; Settings'!$C$49))</f>
        <v/>
      </c>
    </row>
    <row r="350" spans="1:29" x14ac:dyDescent="0.2">
      <c r="A350" s="111"/>
      <c r="B350" s="112"/>
      <c r="C350" s="113"/>
      <c r="D350" s="113"/>
      <c r="E350" s="111"/>
      <c r="F350" s="114">
        <f t="shared" si="85"/>
        <v>0</v>
      </c>
      <c r="G350" s="115" t="str">
        <f t="shared" si="86"/>
        <v/>
      </c>
      <c r="H350" s="116">
        <f>IF($D350="",0,IFERROR(LOOKUP(2,1/(($D$3:D349=$D350)*($A$3:A349&lt;$A350)),$N$3:N349),'Guide &amp; Settings'!$C$41))</f>
        <v>0</v>
      </c>
      <c r="I350" s="117">
        <f t="shared" si="87"/>
        <v>0</v>
      </c>
      <c r="J350" s="118">
        <f>IF($D350="",0,IF($F350&lt;2,0,IF($E350="Win",('Guide &amp; Settings'!$C$42/(($F350-1)*COUNTIFS($A$4:$A$810,$A350,$E$4:$E$810,"Win")))*SUMIFS($X$4:$X$810,$A$4:$A$810,$A350,$E$4:$E$810,"Loss"),-('Guide &amp; Settings'!$C$42/($F350-1))*$X350)))</f>
        <v>0</v>
      </c>
      <c r="K350" s="118">
        <f>IF($D350="",0,'Guide &amp; Settings'!$C$43*(IF($E350="Win",1,0)-$I350))</f>
        <v>0</v>
      </c>
      <c r="L350" s="119">
        <f>IF($D350="",0,'Guide &amp; Settings'!$C$44*IF($F350&gt;=3,$F350,0))</f>
        <v>0</v>
      </c>
      <c r="M350" s="118">
        <f t="shared" si="88"/>
        <v>0</v>
      </c>
      <c r="N350" s="116">
        <f t="shared" si="89"/>
        <v>0</v>
      </c>
      <c r="O350" s="115" t="str">
        <f t="shared" si="90"/>
        <v/>
      </c>
      <c r="P350">
        <f t="shared" si="91"/>
        <v>0</v>
      </c>
      <c r="Q350">
        <f t="shared" si="92"/>
        <v>0</v>
      </c>
      <c r="R350">
        <f t="shared" si="93"/>
        <v>0</v>
      </c>
      <c r="S350">
        <f t="shared" si="94"/>
        <v>0</v>
      </c>
      <c r="T350" s="83">
        <f t="shared" si="95"/>
        <v>0</v>
      </c>
      <c r="U350" s="120">
        <f>IF($D350="",0,IFERROR(LOOKUP(2,1/(($D$3:D349=$D350)*($C$3:C349=$C350)*($A$3:A349&lt;$A350)),$AB$3:AB349),1000))</f>
        <v>0</v>
      </c>
      <c r="V350" s="120">
        <f t="shared" si="96"/>
        <v>0</v>
      </c>
      <c r="W350">
        <f t="shared" si="97"/>
        <v>0</v>
      </c>
      <c r="X350">
        <f t="shared" si="98"/>
        <v>0</v>
      </c>
      <c r="Y350">
        <f t="shared" si="99"/>
        <v>0</v>
      </c>
      <c r="Z350">
        <f t="shared" si="100"/>
        <v>0</v>
      </c>
      <c r="AA350">
        <f>IF($D350="",0,IF($F350&lt;2,0,IF($E350="Win",('Guide &amp; Settings'!$C$42/(($F350-1)*COUNTIFS($A$4:$A$810,$A350,$E$4:$E$810,"Win")))*SUMIFS($Z$4:$Z$810,$A$4:$A$810,$A350,$E$4:$E$810,"Loss"),-('Guide &amp; Settings'!$C$42/($F350-1))*$Z350)))</f>
        <v>0</v>
      </c>
      <c r="AB350" s="120">
        <f t="shared" si="101"/>
        <v>0</v>
      </c>
      <c r="AC350" s="120" t="str">
        <f>IF($D350="","",IF(SUMPRODUCT(MAX(($D$4:$D$810=$D350)*($B$4:$B$810&lt;$B350)*$B$4:$B$810))=0,0,MAX(($B350-MAX(SUMPRODUCT(MAX(($D$4:$D$810=$D350)*($B$4:$B$810&lt;$B350)*$B$4:$B$810)),'Guide &amp; Settings'!$C$50))/7-'Guide &amp; Settings'!$C$48,0)*'Guide &amp; Settings'!$C$49))</f>
        <v/>
      </c>
    </row>
    <row r="351" spans="1:29" x14ac:dyDescent="0.2">
      <c r="A351" s="111"/>
      <c r="B351" s="112"/>
      <c r="C351" s="113"/>
      <c r="D351" s="113"/>
      <c r="E351" s="111"/>
      <c r="F351" s="114">
        <f t="shared" si="85"/>
        <v>0</v>
      </c>
      <c r="G351" s="115" t="str">
        <f t="shared" si="86"/>
        <v/>
      </c>
      <c r="H351" s="116">
        <f>IF($D351="",0,IFERROR(LOOKUP(2,1/(($D$3:D350=$D351)*($A$3:A350&lt;$A351)),$N$3:N350),'Guide &amp; Settings'!$C$41))</f>
        <v>0</v>
      </c>
      <c r="I351" s="117">
        <f t="shared" si="87"/>
        <v>0</v>
      </c>
      <c r="J351" s="118">
        <f>IF($D351="",0,IF($F351&lt;2,0,IF($E351="Win",('Guide &amp; Settings'!$C$42/(($F351-1)*COUNTIFS($A$4:$A$810,$A351,$E$4:$E$810,"Win")))*SUMIFS($X$4:$X$810,$A$4:$A$810,$A351,$E$4:$E$810,"Loss"),-('Guide &amp; Settings'!$C$42/($F351-1))*$X351)))</f>
        <v>0</v>
      </c>
      <c r="K351" s="118">
        <f>IF($D351="",0,'Guide &amp; Settings'!$C$43*(IF($E351="Win",1,0)-$I351))</f>
        <v>0</v>
      </c>
      <c r="L351" s="119">
        <f>IF($D351="",0,'Guide &amp; Settings'!$C$44*IF($F351&gt;=3,$F351,0))</f>
        <v>0</v>
      </c>
      <c r="M351" s="118">
        <f t="shared" si="88"/>
        <v>0</v>
      </c>
      <c r="N351" s="116">
        <f t="shared" si="89"/>
        <v>0</v>
      </c>
      <c r="O351" s="115" t="str">
        <f t="shared" si="90"/>
        <v/>
      </c>
      <c r="P351">
        <f t="shared" si="91"/>
        <v>0</v>
      </c>
      <c r="Q351">
        <f t="shared" si="92"/>
        <v>0</v>
      </c>
      <c r="R351">
        <f t="shared" si="93"/>
        <v>0</v>
      </c>
      <c r="S351">
        <f t="shared" si="94"/>
        <v>0</v>
      </c>
      <c r="T351" s="83">
        <f t="shared" si="95"/>
        <v>0</v>
      </c>
      <c r="U351" s="120">
        <f>IF($D351="",0,IFERROR(LOOKUP(2,1/(($D$3:D350=$D351)*($C$3:C350=$C351)*($A$3:A350&lt;$A351)),$AB$3:AB350),1000))</f>
        <v>0</v>
      </c>
      <c r="V351" s="120">
        <f t="shared" si="96"/>
        <v>0</v>
      </c>
      <c r="W351">
        <f t="shared" si="97"/>
        <v>0</v>
      </c>
      <c r="X351">
        <f t="shared" si="98"/>
        <v>0</v>
      </c>
      <c r="Y351">
        <f t="shared" si="99"/>
        <v>0</v>
      </c>
      <c r="Z351">
        <f t="shared" si="100"/>
        <v>0</v>
      </c>
      <c r="AA351">
        <f>IF($D351="",0,IF($F351&lt;2,0,IF($E351="Win",('Guide &amp; Settings'!$C$42/(($F351-1)*COUNTIFS($A$4:$A$810,$A351,$E$4:$E$810,"Win")))*SUMIFS($Z$4:$Z$810,$A$4:$A$810,$A351,$E$4:$E$810,"Loss"),-('Guide &amp; Settings'!$C$42/($F351-1))*$Z351)))</f>
        <v>0</v>
      </c>
      <c r="AB351" s="120">
        <f t="shared" si="101"/>
        <v>0</v>
      </c>
      <c r="AC351" s="120" t="str">
        <f>IF($D351="","",IF(SUMPRODUCT(MAX(($D$4:$D$810=$D351)*($B$4:$B$810&lt;$B351)*$B$4:$B$810))=0,0,MAX(($B351-MAX(SUMPRODUCT(MAX(($D$4:$D$810=$D351)*($B$4:$B$810&lt;$B351)*$B$4:$B$810)),'Guide &amp; Settings'!$C$50))/7-'Guide &amp; Settings'!$C$48,0)*'Guide &amp; Settings'!$C$49))</f>
        <v/>
      </c>
    </row>
    <row r="352" spans="1:29" x14ac:dyDescent="0.2">
      <c r="A352" s="111"/>
      <c r="B352" s="112"/>
      <c r="C352" s="113"/>
      <c r="D352" s="113"/>
      <c r="E352" s="111"/>
      <c r="F352" s="114">
        <f t="shared" si="85"/>
        <v>0</v>
      </c>
      <c r="G352" s="115" t="str">
        <f t="shared" si="86"/>
        <v/>
      </c>
      <c r="H352" s="116">
        <f>IF($D352="",0,IFERROR(LOOKUP(2,1/(($D$3:D351=$D352)*($A$3:A351&lt;$A352)),$N$3:N351),'Guide &amp; Settings'!$C$41))</f>
        <v>0</v>
      </c>
      <c r="I352" s="117">
        <f t="shared" si="87"/>
        <v>0</v>
      </c>
      <c r="J352" s="118">
        <f>IF($D352="",0,IF($F352&lt;2,0,IF($E352="Win",('Guide &amp; Settings'!$C$42/(($F352-1)*COUNTIFS($A$4:$A$810,$A352,$E$4:$E$810,"Win")))*SUMIFS($X$4:$X$810,$A$4:$A$810,$A352,$E$4:$E$810,"Loss"),-('Guide &amp; Settings'!$C$42/($F352-1))*$X352)))</f>
        <v>0</v>
      </c>
      <c r="K352" s="118">
        <f>IF($D352="",0,'Guide &amp; Settings'!$C$43*(IF($E352="Win",1,0)-$I352))</f>
        <v>0</v>
      </c>
      <c r="L352" s="119">
        <f>IF($D352="",0,'Guide &amp; Settings'!$C$44*IF($F352&gt;=3,$F352,0))</f>
        <v>0</v>
      </c>
      <c r="M352" s="118">
        <f t="shared" si="88"/>
        <v>0</v>
      </c>
      <c r="N352" s="116">
        <f t="shared" si="89"/>
        <v>0</v>
      </c>
      <c r="O352" s="115" t="str">
        <f t="shared" si="90"/>
        <v/>
      </c>
      <c r="P352">
        <f t="shared" si="91"/>
        <v>0</v>
      </c>
      <c r="Q352">
        <f t="shared" si="92"/>
        <v>0</v>
      </c>
      <c r="R352">
        <f t="shared" si="93"/>
        <v>0</v>
      </c>
      <c r="S352">
        <f t="shared" si="94"/>
        <v>0</v>
      </c>
      <c r="T352" s="83">
        <f t="shared" si="95"/>
        <v>0</v>
      </c>
      <c r="U352" s="120">
        <f>IF($D352="",0,IFERROR(LOOKUP(2,1/(($D$3:D351=$D352)*($C$3:C351=$C352)*($A$3:A351&lt;$A352)),$AB$3:AB351),1000))</f>
        <v>0</v>
      </c>
      <c r="V352" s="120">
        <f t="shared" si="96"/>
        <v>0</v>
      </c>
      <c r="W352">
        <f t="shared" si="97"/>
        <v>0</v>
      </c>
      <c r="X352">
        <f t="shared" si="98"/>
        <v>0</v>
      </c>
      <c r="Y352">
        <f t="shared" si="99"/>
        <v>0</v>
      </c>
      <c r="Z352">
        <f t="shared" si="100"/>
        <v>0</v>
      </c>
      <c r="AA352">
        <f>IF($D352="",0,IF($F352&lt;2,0,IF($E352="Win",('Guide &amp; Settings'!$C$42/(($F352-1)*COUNTIFS($A$4:$A$810,$A352,$E$4:$E$810,"Win")))*SUMIFS($Z$4:$Z$810,$A$4:$A$810,$A352,$E$4:$E$810,"Loss"),-('Guide &amp; Settings'!$C$42/($F352-1))*$Z352)))</f>
        <v>0</v>
      </c>
      <c r="AB352" s="120">
        <f t="shared" si="101"/>
        <v>0</v>
      </c>
      <c r="AC352" s="120" t="str">
        <f>IF($D352="","",IF(SUMPRODUCT(MAX(($D$4:$D$810=$D352)*($B$4:$B$810&lt;$B352)*$B$4:$B$810))=0,0,MAX(($B352-MAX(SUMPRODUCT(MAX(($D$4:$D$810=$D352)*($B$4:$B$810&lt;$B352)*$B$4:$B$810)),'Guide &amp; Settings'!$C$50))/7-'Guide &amp; Settings'!$C$48,0)*'Guide &amp; Settings'!$C$49))</f>
        <v/>
      </c>
    </row>
    <row r="353" spans="1:29" x14ac:dyDescent="0.2">
      <c r="A353" s="111"/>
      <c r="B353" s="112"/>
      <c r="C353" s="113"/>
      <c r="D353" s="113"/>
      <c r="E353" s="111"/>
      <c r="F353" s="114">
        <f t="shared" si="85"/>
        <v>0</v>
      </c>
      <c r="G353" s="115" t="str">
        <f t="shared" si="86"/>
        <v/>
      </c>
      <c r="H353" s="116">
        <f>IF($D353="",0,IFERROR(LOOKUP(2,1/(($D$3:D352=$D353)*($A$3:A352&lt;$A353)),$N$3:N352),'Guide &amp; Settings'!$C$41))</f>
        <v>0</v>
      </c>
      <c r="I353" s="117">
        <f t="shared" si="87"/>
        <v>0</v>
      </c>
      <c r="J353" s="118">
        <f>IF($D353="",0,IF($F353&lt;2,0,IF($E353="Win",('Guide &amp; Settings'!$C$42/(($F353-1)*COUNTIFS($A$4:$A$810,$A353,$E$4:$E$810,"Win")))*SUMIFS($X$4:$X$810,$A$4:$A$810,$A353,$E$4:$E$810,"Loss"),-('Guide &amp; Settings'!$C$42/($F353-1))*$X353)))</f>
        <v>0</v>
      </c>
      <c r="K353" s="118">
        <f>IF($D353="",0,'Guide &amp; Settings'!$C$43*(IF($E353="Win",1,0)-$I353))</f>
        <v>0</v>
      </c>
      <c r="L353" s="119">
        <f>IF($D353="",0,'Guide &amp; Settings'!$C$44*IF($F353&gt;=3,$F353,0))</f>
        <v>0</v>
      </c>
      <c r="M353" s="118">
        <f t="shared" si="88"/>
        <v>0</v>
      </c>
      <c r="N353" s="116">
        <f t="shared" si="89"/>
        <v>0</v>
      </c>
      <c r="O353" s="115" t="str">
        <f t="shared" si="90"/>
        <v/>
      </c>
      <c r="P353">
        <f t="shared" si="91"/>
        <v>0</v>
      </c>
      <c r="Q353">
        <f t="shared" si="92"/>
        <v>0</v>
      </c>
      <c r="R353">
        <f t="shared" si="93"/>
        <v>0</v>
      </c>
      <c r="S353">
        <f t="shared" si="94"/>
        <v>0</v>
      </c>
      <c r="T353" s="83">
        <f t="shared" si="95"/>
        <v>0</v>
      </c>
      <c r="U353" s="120">
        <f>IF($D353="",0,IFERROR(LOOKUP(2,1/(($D$3:D352=$D353)*($C$3:C352=$C353)*($A$3:A352&lt;$A353)),$AB$3:AB352),1000))</f>
        <v>0</v>
      </c>
      <c r="V353" s="120">
        <f t="shared" si="96"/>
        <v>0</v>
      </c>
      <c r="W353">
        <f t="shared" si="97"/>
        <v>0</v>
      </c>
      <c r="X353">
        <f t="shared" si="98"/>
        <v>0</v>
      </c>
      <c r="Y353">
        <f t="shared" si="99"/>
        <v>0</v>
      </c>
      <c r="Z353">
        <f t="shared" si="100"/>
        <v>0</v>
      </c>
      <c r="AA353">
        <f>IF($D353="",0,IF($F353&lt;2,0,IF($E353="Win",('Guide &amp; Settings'!$C$42/(($F353-1)*COUNTIFS($A$4:$A$810,$A353,$E$4:$E$810,"Win")))*SUMIFS($Z$4:$Z$810,$A$4:$A$810,$A353,$E$4:$E$810,"Loss"),-('Guide &amp; Settings'!$C$42/($F353-1))*$Z353)))</f>
        <v>0</v>
      </c>
      <c r="AB353" s="120">
        <f t="shared" si="101"/>
        <v>0</v>
      </c>
      <c r="AC353" s="120" t="str">
        <f>IF($D353="","",IF(SUMPRODUCT(MAX(($D$4:$D$810=$D353)*($B$4:$B$810&lt;$B353)*$B$4:$B$810))=0,0,MAX(($B353-MAX(SUMPRODUCT(MAX(($D$4:$D$810=$D353)*($B$4:$B$810&lt;$B353)*$B$4:$B$810)),'Guide &amp; Settings'!$C$50))/7-'Guide &amp; Settings'!$C$48,0)*'Guide &amp; Settings'!$C$49))</f>
        <v/>
      </c>
    </row>
    <row r="354" spans="1:29" x14ac:dyDescent="0.2">
      <c r="A354" s="111"/>
      <c r="B354" s="112"/>
      <c r="C354" s="113"/>
      <c r="D354" s="113"/>
      <c r="E354" s="111"/>
      <c r="F354" s="114">
        <f t="shared" si="85"/>
        <v>0</v>
      </c>
      <c r="G354" s="115" t="str">
        <f t="shared" si="86"/>
        <v/>
      </c>
      <c r="H354" s="116">
        <f>IF($D354="",0,IFERROR(LOOKUP(2,1/(($D$3:D353=$D354)*($A$3:A353&lt;$A354)),$N$3:N353),'Guide &amp; Settings'!$C$41))</f>
        <v>0</v>
      </c>
      <c r="I354" s="117">
        <f t="shared" si="87"/>
        <v>0</v>
      </c>
      <c r="J354" s="118">
        <f>IF($D354="",0,IF($F354&lt;2,0,IF($E354="Win",('Guide &amp; Settings'!$C$42/(($F354-1)*COUNTIFS($A$4:$A$810,$A354,$E$4:$E$810,"Win")))*SUMIFS($X$4:$X$810,$A$4:$A$810,$A354,$E$4:$E$810,"Loss"),-('Guide &amp; Settings'!$C$42/($F354-1))*$X354)))</f>
        <v>0</v>
      </c>
      <c r="K354" s="118">
        <f>IF($D354="",0,'Guide &amp; Settings'!$C$43*(IF($E354="Win",1,0)-$I354))</f>
        <v>0</v>
      </c>
      <c r="L354" s="119">
        <f>IF($D354="",0,'Guide &amp; Settings'!$C$44*IF($F354&gt;=3,$F354,0))</f>
        <v>0</v>
      </c>
      <c r="M354" s="118">
        <f t="shared" si="88"/>
        <v>0</v>
      </c>
      <c r="N354" s="116">
        <f t="shared" si="89"/>
        <v>0</v>
      </c>
      <c r="O354" s="115" t="str">
        <f t="shared" si="90"/>
        <v/>
      </c>
      <c r="P354">
        <f t="shared" si="91"/>
        <v>0</v>
      </c>
      <c r="Q354">
        <f t="shared" si="92"/>
        <v>0</v>
      </c>
      <c r="R354">
        <f t="shared" si="93"/>
        <v>0</v>
      </c>
      <c r="S354">
        <f t="shared" si="94"/>
        <v>0</v>
      </c>
      <c r="T354" s="83">
        <f t="shared" si="95"/>
        <v>0</v>
      </c>
      <c r="U354" s="120">
        <f>IF($D354="",0,IFERROR(LOOKUP(2,1/(($D$3:D353=$D354)*($C$3:C353=$C354)*($A$3:A353&lt;$A354)),$AB$3:AB353),1000))</f>
        <v>0</v>
      </c>
      <c r="V354" s="120">
        <f t="shared" si="96"/>
        <v>0</v>
      </c>
      <c r="W354">
        <f t="shared" si="97"/>
        <v>0</v>
      </c>
      <c r="X354">
        <f t="shared" si="98"/>
        <v>0</v>
      </c>
      <c r="Y354">
        <f t="shared" si="99"/>
        <v>0</v>
      </c>
      <c r="Z354">
        <f t="shared" si="100"/>
        <v>0</v>
      </c>
      <c r="AA354">
        <f>IF($D354="",0,IF($F354&lt;2,0,IF($E354="Win",('Guide &amp; Settings'!$C$42/(($F354-1)*COUNTIFS($A$4:$A$810,$A354,$E$4:$E$810,"Win")))*SUMIFS($Z$4:$Z$810,$A$4:$A$810,$A354,$E$4:$E$810,"Loss"),-('Guide &amp; Settings'!$C$42/($F354-1))*$Z354)))</f>
        <v>0</v>
      </c>
      <c r="AB354" s="120">
        <f t="shared" si="101"/>
        <v>0</v>
      </c>
      <c r="AC354" s="120" t="str">
        <f>IF($D354="","",IF(SUMPRODUCT(MAX(($D$4:$D$810=$D354)*($B$4:$B$810&lt;$B354)*$B$4:$B$810))=0,0,MAX(($B354-MAX(SUMPRODUCT(MAX(($D$4:$D$810=$D354)*($B$4:$B$810&lt;$B354)*$B$4:$B$810)),'Guide &amp; Settings'!$C$50))/7-'Guide &amp; Settings'!$C$48,0)*'Guide &amp; Settings'!$C$49))</f>
        <v/>
      </c>
    </row>
    <row r="355" spans="1:29" x14ac:dyDescent="0.2">
      <c r="A355" s="111"/>
      <c r="B355" s="112"/>
      <c r="C355" s="113"/>
      <c r="D355" s="113"/>
      <c r="E355" s="111"/>
      <c r="F355" s="114">
        <f t="shared" si="85"/>
        <v>0</v>
      </c>
      <c r="G355" s="115" t="str">
        <f t="shared" si="86"/>
        <v/>
      </c>
      <c r="H355" s="116">
        <f>IF($D355="",0,IFERROR(LOOKUP(2,1/(($D$3:D354=$D355)*($A$3:A354&lt;$A355)),$N$3:N354),'Guide &amp; Settings'!$C$41))</f>
        <v>0</v>
      </c>
      <c r="I355" s="117">
        <f t="shared" si="87"/>
        <v>0</v>
      </c>
      <c r="J355" s="118">
        <f>IF($D355="",0,IF($F355&lt;2,0,IF($E355="Win",('Guide &amp; Settings'!$C$42/(($F355-1)*COUNTIFS($A$4:$A$810,$A355,$E$4:$E$810,"Win")))*SUMIFS($X$4:$X$810,$A$4:$A$810,$A355,$E$4:$E$810,"Loss"),-('Guide &amp; Settings'!$C$42/($F355-1))*$X355)))</f>
        <v>0</v>
      </c>
      <c r="K355" s="118">
        <f>IF($D355="",0,'Guide &amp; Settings'!$C$43*(IF($E355="Win",1,0)-$I355))</f>
        <v>0</v>
      </c>
      <c r="L355" s="119">
        <f>IF($D355="",0,'Guide &amp; Settings'!$C$44*IF($F355&gt;=3,$F355,0))</f>
        <v>0</v>
      </c>
      <c r="M355" s="118">
        <f t="shared" si="88"/>
        <v>0</v>
      </c>
      <c r="N355" s="116">
        <f t="shared" si="89"/>
        <v>0</v>
      </c>
      <c r="O355" s="115" t="str">
        <f t="shared" si="90"/>
        <v/>
      </c>
      <c r="P355">
        <f t="shared" si="91"/>
        <v>0</v>
      </c>
      <c r="Q355">
        <f t="shared" si="92"/>
        <v>0</v>
      </c>
      <c r="R355">
        <f t="shared" si="93"/>
        <v>0</v>
      </c>
      <c r="S355">
        <f t="shared" si="94"/>
        <v>0</v>
      </c>
      <c r="T355" s="83">
        <f t="shared" si="95"/>
        <v>0</v>
      </c>
      <c r="U355" s="120">
        <f>IF($D355="",0,IFERROR(LOOKUP(2,1/(($D$3:D354=$D355)*($C$3:C354=$C355)*($A$3:A354&lt;$A355)),$AB$3:AB354),1000))</f>
        <v>0</v>
      </c>
      <c r="V355" s="120">
        <f t="shared" si="96"/>
        <v>0</v>
      </c>
      <c r="W355">
        <f t="shared" si="97"/>
        <v>0</v>
      </c>
      <c r="X355">
        <f t="shared" si="98"/>
        <v>0</v>
      </c>
      <c r="Y355">
        <f t="shared" si="99"/>
        <v>0</v>
      </c>
      <c r="Z355">
        <f t="shared" si="100"/>
        <v>0</v>
      </c>
      <c r="AA355">
        <f>IF($D355="",0,IF($F355&lt;2,0,IF($E355="Win",('Guide &amp; Settings'!$C$42/(($F355-1)*COUNTIFS($A$4:$A$810,$A355,$E$4:$E$810,"Win")))*SUMIFS($Z$4:$Z$810,$A$4:$A$810,$A355,$E$4:$E$810,"Loss"),-('Guide &amp; Settings'!$C$42/($F355-1))*$Z355)))</f>
        <v>0</v>
      </c>
      <c r="AB355" s="120">
        <f t="shared" si="101"/>
        <v>0</v>
      </c>
      <c r="AC355" s="120" t="str">
        <f>IF($D355="","",IF(SUMPRODUCT(MAX(($D$4:$D$810=$D355)*($B$4:$B$810&lt;$B355)*$B$4:$B$810))=0,0,MAX(($B355-MAX(SUMPRODUCT(MAX(($D$4:$D$810=$D355)*($B$4:$B$810&lt;$B355)*$B$4:$B$810)),'Guide &amp; Settings'!$C$50))/7-'Guide &amp; Settings'!$C$48,0)*'Guide &amp; Settings'!$C$49))</f>
        <v/>
      </c>
    </row>
    <row r="356" spans="1:29" x14ac:dyDescent="0.2">
      <c r="A356" s="111"/>
      <c r="B356" s="112"/>
      <c r="C356" s="113"/>
      <c r="D356" s="113"/>
      <c r="E356" s="111"/>
      <c r="F356" s="114">
        <f t="shared" si="85"/>
        <v>0</v>
      </c>
      <c r="G356" s="115" t="str">
        <f t="shared" si="86"/>
        <v/>
      </c>
      <c r="H356" s="116">
        <f>IF($D356="",0,IFERROR(LOOKUP(2,1/(($D$3:D355=$D356)*($A$3:A355&lt;$A356)),$N$3:N355),'Guide &amp; Settings'!$C$41))</f>
        <v>0</v>
      </c>
      <c r="I356" s="117">
        <f t="shared" si="87"/>
        <v>0</v>
      </c>
      <c r="J356" s="118">
        <f>IF($D356="",0,IF($F356&lt;2,0,IF($E356="Win",('Guide &amp; Settings'!$C$42/(($F356-1)*COUNTIFS($A$4:$A$810,$A356,$E$4:$E$810,"Win")))*SUMIFS($X$4:$X$810,$A$4:$A$810,$A356,$E$4:$E$810,"Loss"),-('Guide &amp; Settings'!$C$42/($F356-1))*$X356)))</f>
        <v>0</v>
      </c>
      <c r="K356" s="118">
        <f>IF($D356="",0,'Guide &amp; Settings'!$C$43*(IF($E356="Win",1,0)-$I356))</f>
        <v>0</v>
      </c>
      <c r="L356" s="119">
        <f>IF($D356="",0,'Guide &amp; Settings'!$C$44*IF($F356&gt;=3,$F356,0))</f>
        <v>0</v>
      </c>
      <c r="M356" s="118">
        <f t="shared" si="88"/>
        <v>0</v>
      </c>
      <c r="N356" s="116">
        <f t="shared" si="89"/>
        <v>0</v>
      </c>
      <c r="O356" s="115" t="str">
        <f t="shared" si="90"/>
        <v/>
      </c>
      <c r="P356">
        <f t="shared" si="91"/>
        <v>0</v>
      </c>
      <c r="Q356">
        <f t="shared" si="92"/>
        <v>0</v>
      </c>
      <c r="R356">
        <f t="shared" si="93"/>
        <v>0</v>
      </c>
      <c r="S356">
        <f t="shared" si="94"/>
        <v>0</v>
      </c>
      <c r="T356" s="83">
        <f t="shared" si="95"/>
        <v>0</v>
      </c>
      <c r="U356" s="120">
        <f>IF($D356="",0,IFERROR(LOOKUP(2,1/(($D$3:D355=$D356)*($C$3:C355=$C356)*($A$3:A355&lt;$A356)),$AB$3:AB355),1000))</f>
        <v>0</v>
      </c>
      <c r="V356" s="120">
        <f t="shared" si="96"/>
        <v>0</v>
      </c>
      <c r="W356">
        <f t="shared" si="97"/>
        <v>0</v>
      </c>
      <c r="X356">
        <f t="shared" si="98"/>
        <v>0</v>
      </c>
      <c r="Y356">
        <f t="shared" si="99"/>
        <v>0</v>
      </c>
      <c r="Z356">
        <f t="shared" si="100"/>
        <v>0</v>
      </c>
      <c r="AA356">
        <f>IF($D356="",0,IF($F356&lt;2,0,IF($E356="Win",('Guide &amp; Settings'!$C$42/(($F356-1)*COUNTIFS($A$4:$A$810,$A356,$E$4:$E$810,"Win")))*SUMIFS($Z$4:$Z$810,$A$4:$A$810,$A356,$E$4:$E$810,"Loss"),-('Guide &amp; Settings'!$C$42/($F356-1))*$Z356)))</f>
        <v>0</v>
      </c>
      <c r="AB356" s="120">
        <f t="shared" si="101"/>
        <v>0</v>
      </c>
      <c r="AC356" s="120" t="str">
        <f>IF($D356="","",IF(SUMPRODUCT(MAX(($D$4:$D$810=$D356)*($B$4:$B$810&lt;$B356)*$B$4:$B$810))=0,0,MAX(($B356-MAX(SUMPRODUCT(MAX(($D$4:$D$810=$D356)*($B$4:$B$810&lt;$B356)*$B$4:$B$810)),'Guide &amp; Settings'!$C$50))/7-'Guide &amp; Settings'!$C$48,0)*'Guide &amp; Settings'!$C$49))</f>
        <v/>
      </c>
    </row>
    <row r="357" spans="1:29" x14ac:dyDescent="0.2">
      <c r="A357" s="111"/>
      <c r="B357" s="112"/>
      <c r="C357" s="113"/>
      <c r="D357" s="113"/>
      <c r="E357" s="111"/>
      <c r="F357" s="114">
        <f t="shared" si="85"/>
        <v>0</v>
      </c>
      <c r="G357" s="115" t="str">
        <f t="shared" si="86"/>
        <v/>
      </c>
      <c r="H357" s="116">
        <f>IF($D357="",0,IFERROR(LOOKUP(2,1/(($D$3:D356=$D357)*($A$3:A356&lt;$A357)),$N$3:N356),'Guide &amp; Settings'!$C$41))</f>
        <v>0</v>
      </c>
      <c r="I357" s="117">
        <f t="shared" si="87"/>
        <v>0</v>
      </c>
      <c r="J357" s="118">
        <f>IF($D357="",0,IF($F357&lt;2,0,IF($E357="Win",('Guide &amp; Settings'!$C$42/(($F357-1)*COUNTIFS($A$4:$A$810,$A357,$E$4:$E$810,"Win")))*SUMIFS($X$4:$X$810,$A$4:$A$810,$A357,$E$4:$E$810,"Loss"),-('Guide &amp; Settings'!$C$42/($F357-1))*$X357)))</f>
        <v>0</v>
      </c>
      <c r="K357" s="118">
        <f>IF($D357="",0,'Guide &amp; Settings'!$C$43*(IF($E357="Win",1,0)-$I357))</f>
        <v>0</v>
      </c>
      <c r="L357" s="119">
        <f>IF($D357="",0,'Guide &amp; Settings'!$C$44*IF($F357&gt;=3,$F357,0))</f>
        <v>0</v>
      </c>
      <c r="M357" s="118">
        <f t="shared" si="88"/>
        <v>0</v>
      </c>
      <c r="N357" s="116">
        <f t="shared" si="89"/>
        <v>0</v>
      </c>
      <c r="O357" s="115" t="str">
        <f t="shared" si="90"/>
        <v/>
      </c>
      <c r="P357">
        <f t="shared" si="91"/>
        <v>0</v>
      </c>
      <c r="Q357">
        <f t="shared" si="92"/>
        <v>0</v>
      </c>
      <c r="R357">
        <f t="shared" si="93"/>
        <v>0</v>
      </c>
      <c r="S357">
        <f t="shared" si="94"/>
        <v>0</v>
      </c>
      <c r="T357" s="83">
        <f t="shared" si="95"/>
        <v>0</v>
      </c>
      <c r="U357" s="120">
        <f>IF($D357="",0,IFERROR(LOOKUP(2,1/(($D$3:D356=$D357)*($C$3:C356=$C357)*($A$3:A356&lt;$A357)),$AB$3:AB356),1000))</f>
        <v>0</v>
      </c>
      <c r="V357" s="120">
        <f t="shared" si="96"/>
        <v>0</v>
      </c>
      <c r="W357">
        <f t="shared" si="97"/>
        <v>0</v>
      </c>
      <c r="X357">
        <f t="shared" si="98"/>
        <v>0</v>
      </c>
      <c r="Y357">
        <f t="shared" si="99"/>
        <v>0</v>
      </c>
      <c r="Z357">
        <f t="shared" si="100"/>
        <v>0</v>
      </c>
      <c r="AA357">
        <f>IF($D357="",0,IF($F357&lt;2,0,IF($E357="Win",('Guide &amp; Settings'!$C$42/(($F357-1)*COUNTIFS($A$4:$A$810,$A357,$E$4:$E$810,"Win")))*SUMIFS($Z$4:$Z$810,$A$4:$A$810,$A357,$E$4:$E$810,"Loss"),-('Guide &amp; Settings'!$C$42/($F357-1))*$Z357)))</f>
        <v>0</v>
      </c>
      <c r="AB357" s="120">
        <f t="shared" si="101"/>
        <v>0</v>
      </c>
      <c r="AC357" s="120" t="str">
        <f>IF($D357="","",IF(SUMPRODUCT(MAX(($D$4:$D$810=$D357)*($B$4:$B$810&lt;$B357)*$B$4:$B$810))=0,0,MAX(($B357-MAX(SUMPRODUCT(MAX(($D$4:$D$810=$D357)*($B$4:$B$810&lt;$B357)*$B$4:$B$810)),'Guide &amp; Settings'!$C$50))/7-'Guide &amp; Settings'!$C$48,0)*'Guide &amp; Settings'!$C$49))</f>
        <v/>
      </c>
    </row>
    <row r="358" spans="1:29" x14ac:dyDescent="0.2">
      <c r="A358" s="111"/>
      <c r="B358" s="112"/>
      <c r="C358" s="113"/>
      <c r="D358" s="113"/>
      <c r="E358" s="111"/>
      <c r="F358" s="114">
        <f t="shared" si="85"/>
        <v>0</v>
      </c>
      <c r="G358" s="115" t="str">
        <f t="shared" si="86"/>
        <v/>
      </c>
      <c r="H358" s="116">
        <f>IF($D358="",0,IFERROR(LOOKUP(2,1/(($D$3:D357=$D358)*($A$3:A357&lt;$A358)),$N$3:N357),'Guide &amp; Settings'!$C$41))</f>
        <v>0</v>
      </c>
      <c r="I358" s="117">
        <f t="shared" si="87"/>
        <v>0</v>
      </c>
      <c r="J358" s="118">
        <f>IF($D358="",0,IF($F358&lt;2,0,IF($E358="Win",('Guide &amp; Settings'!$C$42/(($F358-1)*COUNTIFS($A$4:$A$810,$A358,$E$4:$E$810,"Win")))*SUMIFS($X$4:$X$810,$A$4:$A$810,$A358,$E$4:$E$810,"Loss"),-('Guide &amp; Settings'!$C$42/($F358-1))*$X358)))</f>
        <v>0</v>
      </c>
      <c r="K358" s="118">
        <f>IF($D358="",0,'Guide &amp; Settings'!$C$43*(IF($E358="Win",1,0)-$I358))</f>
        <v>0</v>
      </c>
      <c r="L358" s="119">
        <f>IF($D358="",0,'Guide &amp; Settings'!$C$44*IF($F358&gt;=3,$F358,0))</f>
        <v>0</v>
      </c>
      <c r="M358" s="118">
        <f t="shared" si="88"/>
        <v>0</v>
      </c>
      <c r="N358" s="116">
        <f t="shared" si="89"/>
        <v>0</v>
      </c>
      <c r="O358" s="115" t="str">
        <f t="shared" si="90"/>
        <v/>
      </c>
      <c r="P358">
        <f t="shared" si="91"/>
        <v>0</v>
      </c>
      <c r="Q358">
        <f t="shared" si="92"/>
        <v>0</v>
      </c>
      <c r="R358">
        <f t="shared" si="93"/>
        <v>0</v>
      </c>
      <c r="S358">
        <f t="shared" si="94"/>
        <v>0</v>
      </c>
      <c r="T358" s="83">
        <f t="shared" si="95"/>
        <v>0</v>
      </c>
      <c r="U358" s="120">
        <f>IF($D358="",0,IFERROR(LOOKUP(2,1/(($D$3:D357=$D358)*($C$3:C357=$C358)*($A$3:A357&lt;$A358)),$AB$3:AB357),1000))</f>
        <v>0</v>
      </c>
      <c r="V358" s="120">
        <f t="shared" si="96"/>
        <v>0</v>
      </c>
      <c r="W358">
        <f t="shared" si="97"/>
        <v>0</v>
      </c>
      <c r="X358">
        <f t="shared" si="98"/>
        <v>0</v>
      </c>
      <c r="Y358">
        <f t="shared" si="99"/>
        <v>0</v>
      </c>
      <c r="Z358">
        <f t="shared" si="100"/>
        <v>0</v>
      </c>
      <c r="AA358">
        <f>IF($D358="",0,IF($F358&lt;2,0,IF($E358="Win",('Guide &amp; Settings'!$C$42/(($F358-1)*COUNTIFS($A$4:$A$810,$A358,$E$4:$E$810,"Win")))*SUMIFS($Z$4:$Z$810,$A$4:$A$810,$A358,$E$4:$E$810,"Loss"),-('Guide &amp; Settings'!$C$42/($F358-1))*$Z358)))</f>
        <v>0</v>
      </c>
      <c r="AB358" s="120">
        <f t="shared" si="101"/>
        <v>0</v>
      </c>
      <c r="AC358" s="120" t="str">
        <f>IF($D358="","",IF(SUMPRODUCT(MAX(($D$4:$D$810=$D358)*($B$4:$B$810&lt;$B358)*$B$4:$B$810))=0,0,MAX(($B358-MAX(SUMPRODUCT(MAX(($D$4:$D$810=$D358)*($B$4:$B$810&lt;$B358)*$B$4:$B$810)),'Guide &amp; Settings'!$C$50))/7-'Guide &amp; Settings'!$C$48,0)*'Guide &amp; Settings'!$C$49))</f>
        <v/>
      </c>
    </row>
    <row r="359" spans="1:29" x14ac:dyDescent="0.2">
      <c r="A359" s="111"/>
      <c r="B359" s="112"/>
      <c r="C359" s="113"/>
      <c r="D359" s="113"/>
      <c r="E359" s="111"/>
      <c r="F359" s="114">
        <f t="shared" si="85"/>
        <v>0</v>
      </c>
      <c r="G359" s="115" t="str">
        <f t="shared" si="86"/>
        <v/>
      </c>
      <c r="H359" s="116">
        <f>IF($D359="",0,IFERROR(LOOKUP(2,1/(($D$3:D358=$D359)*($A$3:A358&lt;$A359)),$N$3:N358),'Guide &amp; Settings'!$C$41))</f>
        <v>0</v>
      </c>
      <c r="I359" s="117">
        <f t="shared" si="87"/>
        <v>0</v>
      </c>
      <c r="J359" s="118">
        <f>IF($D359="",0,IF($F359&lt;2,0,IF($E359="Win",('Guide &amp; Settings'!$C$42/(($F359-1)*COUNTIFS($A$4:$A$810,$A359,$E$4:$E$810,"Win")))*SUMIFS($X$4:$X$810,$A$4:$A$810,$A359,$E$4:$E$810,"Loss"),-('Guide &amp; Settings'!$C$42/($F359-1))*$X359)))</f>
        <v>0</v>
      </c>
      <c r="K359" s="118">
        <f>IF($D359="",0,'Guide &amp; Settings'!$C$43*(IF($E359="Win",1,0)-$I359))</f>
        <v>0</v>
      </c>
      <c r="L359" s="119">
        <f>IF($D359="",0,'Guide &amp; Settings'!$C$44*IF($F359&gt;=3,$F359,0))</f>
        <v>0</v>
      </c>
      <c r="M359" s="118">
        <f t="shared" si="88"/>
        <v>0</v>
      </c>
      <c r="N359" s="116">
        <f t="shared" si="89"/>
        <v>0</v>
      </c>
      <c r="O359" s="115" t="str">
        <f t="shared" si="90"/>
        <v/>
      </c>
      <c r="P359">
        <f t="shared" si="91"/>
        <v>0</v>
      </c>
      <c r="Q359">
        <f t="shared" si="92"/>
        <v>0</v>
      </c>
      <c r="R359">
        <f t="shared" si="93"/>
        <v>0</v>
      </c>
      <c r="S359">
        <f t="shared" si="94"/>
        <v>0</v>
      </c>
      <c r="T359" s="83">
        <f t="shared" si="95"/>
        <v>0</v>
      </c>
      <c r="U359" s="120">
        <f>IF($D359="",0,IFERROR(LOOKUP(2,1/(($D$3:D358=$D359)*($C$3:C358=$C359)*($A$3:A358&lt;$A359)),$AB$3:AB358),1000))</f>
        <v>0</v>
      </c>
      <c r="V359" s="120">
        <f t="shared" si="96"/>
        <v>0</v>
      </c>
      <c r="W359">
        <f t="shared" si="97"/>
        <v>0</v>
      </c>
      <c r="X359">
        <f t="shared" si="98"/>
        <v>0</v>
      </c>
      <c r="Y359">
        <f t="shared" si="99"/>
        <v>0</v>
      </c>
      <c r="Z359">
        <f t="shared" si="100"/>
        <v>0</v>
      </c>
      <c r="AA359">
        <f>IF($D359="",0,IF($F359&lt;2,0,IF($E359="Win",('Guide &amp; Settings'!$C$42/(($F359-1)*COUNTIFS($A$4:$A$810,$A359,$E$4:$E$810,"Win")))*SUMIFS($Z$4:$Z$810,$A$4:$A$810,$A359,$E$4:$E$810,"Loss"),-('Guide &amp; Settings'!$C$42/($F359-1))*$Z359)))</f>
        <v>0</v>
      </c>
      <c r="AB359" s="120">
        <f t="shared" si="101"/>
        <v>0</v>
      </c>
      <c r="AC359" s="120" t="str">
        <f>IF($D359="","",IF(SUMPRODUCT(MAX(($D$4:$D$810=$D359)*($B$4:$B$810&lt;$B359)*$B$4:$B$810))=0,0,MAX(($B359-MAX(SUMPRODUCT(MAX(($D$4:$D$810=$D359)*($B$4:$B$810&lt;$B359)*$B$4:$B$810)),'Guide &amp; Settings'!$C$50))/7-'Guide &amp; Settings'!$C$48,0)*'Guide &amp; Settings'!$C$49))</f>
        <v/>
      </c>
    </row>
    <row r="360" spans="1:29" x14ac:dyDescent="0.2">
      <c r="A360" s="111"/>
      <c r="B360" s="112"/>
      <c r="C360" s="113"/>
      <c r="D360" s="113"/>
      <c r="E360" s="111"/>
      <c r="F360" s="114">
        <f t="shared" si="85"/>
        <v>0</v>
      </c>
      <c r="G360" s="115" t="str">
        <f t="shared" si="86"/>
        <v/>
      </c>
      <c r="H360" s="116">
        <f>IF($D360="",0,IFERROR(LOOKUP(2,1/(($D$3:D359=$D360)*($A$3:A359&lt;$A360)),$N$3:N359),'Guide &amp; Settings'!$C$41))</f>
        <v>0</v>
      </c>
      <c r="I360" s="117">
        <f t="shared" si="87"/>
        <v>0</v>
      </c>
      <c r="J360" s="118">
        <f>IF($D360="",0,IF($F360&lt;2,0,IF($E360="Win",('Guide &amp; Settings'!$C$42/(($F360-1)*COUNTIFS($A$4:$A$810,$A360,$E$4:$E$810,"Win")))*SUMIFS($X$4:$X$810,$A$4:$A$810,$A360,$E$4:$E$810,"Loss"),-('Guide &amp; Settings'!$C$42/($F360-1))*$X360)))</f>
        <v>0</v>
      </c>
      <c r="K360" s="118">
        <f>IF($D360="",0,'Guide &amp; Settings'!$C$43*(IF($E360="Win",1,0)-$I360))</f>
        <v>0</v>
      </c>
      <c r="L360" s="119">
        <f>IF($D360="",0,'Guide &amp; Settings'!$C$44*IF($F360&gt;=3,$F360,0))</f>
        <v>0</v>
      </c>
      <c r="M360" s="118">
        <f t="shared" si="88"/>
        <v>0</v>
      </c>
      <c r="N360" s="116">
        <f t="shared" si="89"/>
        <v>0</v>
      </c>
      <c r="O360" s="115" t="str">
        <f t="shared" si="90"/>
        <v/>
      </c>
      <c r="P360">
        <f t="shared" si="91"/>
        <v>0</v>
      </c>
      <c r="Q360">
        <f t="shared" si="92"/>
        <v>0</v>
      </c>
      <c r="R360">
        <f t="shared" si="93"/>
        <v>0</v>
      </c>
      <c r="S360">
        <f t="shared" si="94"/>
        <v>0</v>
      </c>
      <c r="T360" s="83">
        <f t="shared" si="95"/>
        <v>0</v>
      </c>
      <c r="U360" s="120">
        <f>IF($D360="",0,IFERROR(LOOKUP(2,1/(($D$3:D359=$D360)*($C$3:C359=$C360)*($A$3:A359&lt;$A360)),$AB$3:AB359),1000))</f>
        <v>0</v>
      </c>
      <c r="V360" s="120">
        <f t="shared" si="96"/>
        <v>0</v>
      </c>
      <c r="W360">
        <f t="shared" si="97"/>
        <v>0</v>
      </c>
      <c r="X360">
        <f t="shared" si="98"/>
        <v>0</v>
      </c>
      <c r="Y360">
        <f t="shared" si="99"/>
        <v>0</v>
      </c>
      <c r="Z360">
        <f t="shared" si="100"/>
        <v>0</v>
      </c>
      <c r="AA360">
        <f>IF($D360="",0,IF($F360&lt;2,0,IF($E360="Win",('Guide &amp; Settings'!$C$42/(($F360-1)*COUNTIFS($A$4:$A$810,$A360,$E$4:$E$810,"Win")))*SUMIFS($Z$4:$Z$810,$A$4:$A$810,$A360,$E$4:$E$810,"Loss"),-('Guide &amp; Settings'!$C$42/($F360-1))*$Z360)))</f>
        <v>0</v>
      </c>
      <c r="AB360" s="120">
        <f t="shared" si="101"/>
        <v>0</v>
      </c>
      <c r="AC360" s="120" t="str">
        <f>IF($D360="","",IF(SUMPRODUCT(MAX(($D$4:$D$810=$D360)*($B$4:$B$810&lt;$B360)*$B$4:$B$810))=0,0,MAX(($B360-MAX(SUMPRODUCT(MAX(($D$4:$D$810=$D360)*($B$4:$B$810&lt;$B360)*$B$4:$B$810)),'Guide &amp; Settings'!$C$50))/7-'Guide &amp; Settings'!$C$48,0)*'Guide &amp; Settings'!$C$49))</f>
        <v/>
      </c>
    </row>
    <row r="361" spans="1:29" x14ac:dyDescent="0.2">
      <c r="A361" s="111"/>
      <c r="B361" s="112"/>
      <c r="C361" s="113"/>
      <c r="D361" s="113"/>
      <c r="E361" s="111"/>
      <c r="F361" s="114">
        <f t="shared" si="85"/>
        <v>0</v>
      </c>
      <c r="G361" s="115" t="str">
        <f t="shared" si="86"/>
        <v/>
      </c>
      <c r="H361" s="116">
        <f>IF($D361="",0,IFERROR(LOOKUP(2,1/(($D$3:D360=$D361)*($A$3:A360&lt;$A361)),$N$3:N360),'Guide &amp; Settings'!$C$41))</f>
        <v>0</v>
      </c>
      <c r="I361" s="117">
        <f t="shared" si="87"/>
        <v>0</v>
      </c>
      <c r="J361" s="118">
        <f>IF($D361="",0,IF($F361&lt;2,0,IF($E361="Win",('Guide &amp; Settings'!$C$42/(($F361-1)*COUNTIFS($A$4:$A$810,$A361,$E$4:$E$810,"Win")))*SUMIFS($X$4:$X$810,$A$4:$A$810,$A361,$E$4:$E$810,"Loss"),-('Guide &amp; Settings'!$C$42/($F361-1))*$X361)))</f>
        <v>0</v>
      </c>
      <c r="K361" s="118">
        <f>IF($D361="",0,'Guide &amp; Settings'!$C$43*(IF($E361="Win",1,0)-$I361))</f>
        <v>0</v>
      </c>
      <c r="L361" s="119">
        <f>IF($D361="",0,'Guide &amp; Settings'!$C$44*IF($F361&gt;=3,$F361,0))</f>
        <v>0</v>
      </c>
      <c r="M361" s="118">
        <f t="shared" si="88"/>
        <v>0</v>
      </c>
      <c r="N361" s="116">
        <f t="shared" si="89"/>
        <v>0</v>
      </c>
      <c r="O361" s="115" t="str">
        <f t="shared" si="90"/>
        <v/>
      </c>
      <c r="P361">
        <f t="shared" si="91"/>
        <v>0</v>
      </c>
      <c r="Q361">
        <f t="shared" si="92"/>
        <v>0</v>
      </c>
      <c r="R361">
        <f t="shared" si="93"/>
        <v>0</v>
      </c>
      <c r="S361">
        <f t="shared" si="94"/>
        <v>0</v>
      </c>
      <c r="T361" s="83">
        <f t="shared" si="95"/>
        <v>0</v>
      </c>
      <c r="U361" s="120">
        <f>IF($D361="",0,IFERROR(LOOKUP(2,1/(($D$3:D360=$D361)*($C$3:C360=$C361)*($A$3:A360&lt;$A361)),$AB$3:AB360),1000))</f>
        <v>0</v>
      </c>
      <c r="V361" s="120">
        <f t="shared" si="96"/>
        <v>0</v>
      </c>
      <c r="W361">
        <f t="shared" si="97"/>
        <v>0</v>
      </c>
      <c r="X361">
        <f t="shared" si="98"/>
        <v>0</v>
      </c>
      <c r="Y361">
        <f t="shared" si="99"/>
        <v>0</v>
      </c>
      <c r="Z361">
        <f t="shared" si="100"/>
        <v>0</v>
      </c>
      <c r="AA361">
        <f>IF($D361="",0,IF($F361&lt;2,0,IF($E361="Win",('Guide &amp; Settings'!$C$42/(($F361-1)*COUNTIFS($A$4:$A$810,$A361,$E$4:$E$810,"Win")))*SUMIFS($Z$4:$Z$810,$A$4:$A$810,$A361,$E$4:$E$810,"Loss"),-('Guide &amp; Settings'!$C$42/($F361-1))*$Z361)))</f>
        <v>0</v>
      </c>
      <c r="AB361" s="120">
        <f t="shared" si="101"/>
        <v>0</v>
      </c>
      <c r="AC361" s="120" t="str">
        <f>IF($D361="","",IF(SUMPRODUCT(MAX(($D$4:$D$810=$D361)*($B$4:$B$810&lt;$B361)*$B$4:$B$810))=0,0,MAX(($B361-MAX(SUMPRODUCT(MAX(($D$4:$D$810=$D361)*($B$4:$B$810&lt;$B361)*$B$4:$B$810)),'Guide &amp; Settings'!$C$50))/7-'Guide &amp; Settings'!$C$48,0)*'Guide &amp; Settings'!$C$49))</f>
        <v/>
      </c>
    </row>
    <row r="362" spans="1:29" x14ac:dyDescent="0.2">
      <c r="A362" s="111"/>
      <c r="B362" s="112"/>
      <c r="C362" s="113"/>
      <c r="D362" s="113"/>
      <c r="E362" s="111"/>
      <c r="F362" s="114">
        <f t="shared" si="85"/>
        <v>0</v>
      </c>
      <c r="G362" s="115" t="str">
        <f t="shared" si="86"/>
        <v/>
      </c>
      <c r="H362" s="116">
        <f>IF($D362="",0,IFERROR(LOOKUP(2,1/(($D$3:D361=$D362)*($A$3:A361&lt;$A362)),$N$3:N361),'Guide &amp; Settings'!$C$41))</f>
        <v>0</v>
      </c>
      <c r="I362" s="117">
        <f t="shared" si="87"/>
        <v>0</v>
      </c>
      <c r="J362" s="118">
        <f>IF($D362="",0,IF($F362&lt;2,0,IF($E362="Win",('Guide &amp; Settings'!$C$42/(($F362-1)*COUNTIFS($A$4:$A$810,$A362,$E$4:$E$810,"Win")))*SUMIFS($X$4:$X$810,$A$4:$A$810,$A362,$E$4:$E$810,"Loss"),-('Guide &amp; Settings'!$C$42/($F362-1))*$X362)))</f>
        <v>0</v>
      </c>
      <c r="K362" s="118">
        <f>IF($D362="",0,'Guide &amp; Settings'!$C$43*(IF($E362="Win",1,0)-$I362))</f>
        <v>0</v>
      </c>
      <c r="L362" s="119">
        <f>IF($D362="",0,'Guide &amp; Settings'!$C$44*IF($F362&gt;=3,$F362,0))</f>
        <v>0</v>
      </c>
      <c r="M362" s="118">
        <f t="shared" si="88"/>
        <v>0</v>
      </c>
      <c r="N362" s="116">
        <f t="shared" si="89"/>
        <v>0</v>
      </c>
      <c r="O362" s="115" t="str">
        <f t="shared" si="90"/>
        <v/>
      </c>
      <c r="P362">
        <f t="shared" si="91"/>
        <v>0</v>
      </c>
      <c r="Q362">
        <f t="shared" si="92"/>
        <v>0</v>
      </c>
      <c r="R362">
        <f t="shared" si="93"/>
        <v>0</v>
      </c>
      <c r="S362">
        <f t="shared" si="94"/>
        <v>0</v>
      </c>
      <c r="T362" s="83">
        <f t="shared" si="95"/>
        <v>0</v>
      </c>
      <c r="U362" s="120">
        <f>IF($D362="",0,IFERROR(LOOKUP(2,1/(($D$3:D361=$D362)*($C$3:C361=$C362)*($A$3:A361&lt;$A362)),$AB$3:AB361),1000))</f>
        <v>0</v>
      </c>
      <c r="V362" s="120">
        <f t="shared" si="96"/>
        <v>0</v>
      </c>
      <c r="W362">
        <f t="shared" si="97"/>
        <v>0</v>
      </c>
      <c r="X362">
        <f t="shared" si="98"/>
        <v>0</v>
      </c>
      <c r="Y362">
        <f t="shared" si="99"/>
        <v>0</v>
      </c>
      <c r="Z362">
        <f t="shared" si="100"/>
        <v>0</v>
      </c>
      <c r="AA362">
        <f>IF($D362="",0,IF($F362&lt;2,0,IF($E362="Win",('Guide &amp; Settings'!$C$42/(($F362-1)*COUNTIFS($A$4:$A$810,$A362,$E$4:$E$810,"Win")))*SUMIFS($Z$4:$Z$810,$A$4:$A$810,$A362,$E$4:$E$810,"Loss"),-('Guide &amp; Settings'!$C$42/($F362-1))*$Z362)))</f>
        <v>0</v>
      </c>
      <c r="AB362" s="120">
        <f t="shared" si="101"/>
        <v>0</v>
      </c>
      <c r="AC362" s="120" t="str">
        <f>IF($D362="","",IF(SUMPRODUCT(MAX(($D$4:$D$810=$D362)*($B$4:$B$810&lt;$B362)*$B$4:$B$810))=0,0,MAX(($B362-MAX(SUMPRODUCT(MAX(($D$4:$D$810=$D362)*($B$4:$B$810&lt;$B362)*$B$4:$B$810)),'Guide &amp; Settings'!$C$50))/7-'Guide &amp; Settings'!$C$48,0)*'Guide &amp; Settings'!$C$49))</f>
        <v/>
      </c>
    </row>
    <row r="363" spans="1:29" x14ac:dyDescent="0.2">
      <c r="A363" s="111"/>
      <c r="B363" s="112"/>
      <c r="C363" s="113"/>
      <c r="D363" s="113"/>
      <c r="E363" s="111"/>
      <c r="F363" s="114">
        <f t="shared" si="85"/>
        <v>0</v>
      </c>
      <c r="G363" s="115" t="str">
        <f t="shared" si="86"/>
        <v/>
      </c>
      <c r="H363" s="116">
        <f>IF($D363="",0,IFERROR(LOOKUP(2,1/(($D$3:D362=$D363)*($A$3:A362&lt;$A363)),$N$3:N362),'Guide &amp; Settings'!$C$41))</f>
        <v>0</v>
      </c>
      <c r="I363" s="117">
        <f t="shared" si="87"/>
        <v>0</v>
      </c>
      <c r="J363" s="118">
        <f>IF($D363="",0,IF($F363&lt;2,0,IF($E363="Win",('Guide &amp; Settings'!$C$42/(($F363-1)*COUNTIFS($A$4:$A$810,$A363,$E$4:$E$810,"Win")))*SUMIFS($X$4:$X$810,$A$4:$A$810,$A363,$E$4:$E$810,"Loss"),-('Guide &amp; Settings'!$C$42/($F363-1))*$X363)))</f>
        <v>0</v>
      </c>
      <c r="K363" s="118">
        <f>IF($D363="",0,'Guide &amp; Settings'!$C$43*(IF($E363="Win",1,0)-$I363))</f>
        <v>0</v>
      </c>
      <c r="L363" s="119">
        <f>IF($D363="",0,'Guide &amp; Settings'!$C$44*IF($F363&gt;=3,$F363,0))</f>
        <v>0</v>
      </c>
      <c r="M363" s="118">
        <f t="shared" si="88"/>
        <v>0</v>
      </c>
      <c r="N363" s="116">
        <f t="shared" si="89"/>
        <v>0</v>
      </c>
      <c r="O363" s="115" t="str">
        <f t="shared" si="90"/>
        <v/>
      </c>
      <c r="P363">
        <f t="shared" si="91"/>
        <v>0</v>
      </c>
      <c r="Q363">
        <f t="shared" si="92"/>
        <v>0</v>
      </c>
      <c r="R363">
        <f t="shared" si="93"/>
        <v>0</v>
      </c>
      <c r="S363">
        <f t="shared" si="94"/>
        <v>0</v>
      </c>
      <c r="T363" s="83">
        <f t="shared" si="95"/>
        <v>0</v>
      </c>
      <c r="U363" s="120">
        <f>IF($D363="",0,IFERROR(LOOKUP(2,1/(($D$3:D362=$D363)*($C$3:C362=$C363)*($A$3:A362&lt;$A363)),$AB$3:AB362),1000))</f>
        <v>0</v>
      </c>
      <c r="V363" s="120">
        <f t="shared" si="96"/>
        <v>0</v>
      </c>
      <c r="W363">
        <f t="shared" si="97"/>
        <v>0</v>
      </c>
      <c r="X363">
        <f t="shared" si="98"/>
        <v>0</v>
      </c>
      <c r="Y363">
        <f t="shared" si="99"/>
        <v>0</v>
      </c>
      <c r="Z363">
        <f t="shared" si="100"/>
        <v>0</v>
      </c>
      <c r="AA363">
        <f>IF($D363="",0,IF($F363&lt;2,0,IF($E363="Win",('Guide &amp; Settings'!$C$42/(($F363-1)*COUNTIFS($A$4:$A$810,$A363,$E$4:$E$810,"Win")))*SUMIFS($Z$4:$Z$810,$A$4:$A$810,$A363,$E$4:$E$810,"Loss"),-('Guide &amp; Settings'!$C$42/($F363-1))*$Z363)))</f>
        <v>0</v>
      </c>
      <c r="AB363" s="120">
        <f t="shared" si="101"/>
        <v>0</v>
      </c>
      <c r="AC363" s="120" t="str">
        <f>IF($D363="","",IF(SUMPRODUCT(MAX(($D$4:$D$810=$D363)*($B$4:$B$810&lt;$B363)*$B$4:$B$810))=0,0,MAX(($B363-MAX(SUMPRODUCT(MAX(($D$4:$D$810=$D363)*($B$4:$B$810&lt;$B363)*$B$4:$B$810)),'Guide &amp; Settings'!$C$50))/7-'Guide &amp; Settings'!$C$48,0)*'Guide &amp; Settings'!$C$49))</f>
        <v/>
      </c>
    </row>
    <row r="364" spans="1:29" x14ac:dyDescent="0.2">
      <c r="A364" s="111"/>
      <c r="B364" s="112"/>
      <c r="C364" s="113"/>
      <c r="D364" s="113"/>
      <c r="E364" s="111"/>
      <c r="F364" s="114">
        <f t="shared" si="85"/>
        <v>0</v>
      </c>
      <c r="G364" s="115" t="str">
        <f t="shared" si="86"/>
        <v/>
      </c>
      <c r="H364" s="116">
        <f>IF($D364="",0,IFERROR(LOOKUP(2,1/(($D$3:D363=$D364)*($A$3:A363&lt;$A364)),$N$3:N363),'Guide &amp; Settings'!$C$41))</f>
        <v>0</v>
      </c>
      <c r="I364" s="117">
        <f t="shared" si="87"/>
        <v>0</v>
      </c>
      <c r="J364" s="118">
        <f>IF($D364="",0,IF($F364&lt;2,0,IF($E364="Win",('Guide &amp; Settings'!$C$42/(($F364-1)*COUNTIFS($A$4:$A$810,$A364,$E$4:$E$810,"Win")))*SUMIFS($X$4:$X$810,$A$4:$A$810,$A364,$E$4:$E$810,"Loss"),-('Guide &amp; Settings'!$C$42/($F364-1))*$X364)))</f>
        <v>0</v>
      </c>
      <c r="K364" s="118">
        <f>IF($D364="",0,'Guide &amp; Settings'!$C$43*(IF($E364="Win",1,0)-$I364))</f>
        <v>0</v>
      </c>
      <c r="L364" s="119">
        <f>IF($D364="",0,'Guide &amp; Settings'!$C$44*IF($F364&gt;=3,$F364,0))</f>
        <v>0</v>
      </c>
      <c r="M364" s="118">
        <f t="shared" si="88"/>
        <v>0</v>
      </c>
      <c r="N364" s="116">
        <f t="shared" si="89"/>
        <v>0</v>
      </c>
      <c r="O364" s="115" t="str">
        <f t="shared" si="90"/>
        <v/>
      </c>
      <c r="P364">
        <f t="shared" si="91"/>
        <v>0</v>
      </c>
      <c r="Q364">
        <f t="shared" si="92"/>
        <v>0</v>
      </c>
      <c r="R364">
        <f t="shared" si="93"/>
        <v>0</v>
      </c>
      <c r="S364">
        <f t="shared" si="94"/>
        <v>0</v>
      </c>
      <c r="T364" s="83">
        <f t="shared" si="95"/>
        <v>0</v>
      </c>
      <c r="U364" s="120">
        <f>IF($D364="",0,IFERROR(LOOKUP(2,1/(($D$3:D363=$D364)*($C$3:C363=$C364)*($A$3:A363&lt;$A364)),$AB$3:AB363),1000))</f>
        <v>0</v>
      </c>
      <c r="V364" s="120">
        <f t="shared" si="96"/>
        <v>0</v>
      </c>
      <c r="W364">
        <f t="shared" si="97"/>
        <v>0</v>
      </c>
      <c r="X364">
        <f t="shared" si="98"/>
        <v>0</v>
      </c>
      <c r="Y364">
        <f t="shared" si="99"/>
        <v>0</v>
      </c>
      <c r="Z364">
        <f t="shared" si="100"/>
        <v>0</v>
      </c>
      <c r="AA364">
        <f>IF($D364="",0,IF($F364&lt;2,0,IF($E364="Win",('Guide &amp; Settings'!$C$42/(($F364-1)*COUNTIFS($A$4:$A$810,$A364,$E$4:$E$810,"Win")))*SUMIFS($Z$4:$Z$810,$A$4:$A$810,$A364,$E$4:$E$810,"Loss"),-('Guide &amp; Settings'!$C$42/($F364-1))*$Z364)))</f>
        <v>0</v>
      </c>
      <c r="AB364" s="120">
        <f t="shared" si="101"/>
        <v>0</v>
      </c>
      <c r="AC364" s="120" t="str">
        <f>IF($D364="","",IF(SUMPRODUCT(MAX(($D$4:$D$810=$D364)*($B$4:$B$810&lt;$B364)*$B$4:$B$810))=0,0,MAX(($B364-MAX(SUMPRODUCT(MAX(($D$4:$D$810=$D364)*($B$4:$B$810&lt;$B364)*$B$4:$B$810)),'Guide &amp; Settings'!$C$50))/7-'Guide &amp; Settings'!$C$48,0)*'Guide &amp; Settings'!$C$49))</f>
        <v/>
      </c>
    </row>
    <row r="365" spans="1:29" x14ac:dyDescent="0.2">
      <c r="A365" s="111"/>
      <c r="B365" s="112"/>
      <c r="C365" s="113"/>
      <c r="D365" s="113"/>
      <c r="E365" s="111"/>
      <c r="F365" s="114">
        <f t="shared" si="85"/>
        <v>0</v>
      </c>
      <c r="G365" s="115" t="str">
        <f t="shared" si="86"/>
        <v/>
      </c>
      <c r="H365" s="116">
        <f>IF($D365="",0,IFERROR(LOOKUP(2,1/(($D$3:D364=$D365)*($A$3:A364&lt;$A365)),$N$3:N364),'Guide &amp; Settings'!$C$41))</f>
        <v>0</v>
      </c>
      <c r="I365" s="117">
        <f t="shared" si="87"/>
        <v>0</v>
      </c>
      <c r="J365" s="118">
        <f>IF($D365="",0,IF($F365&lt;2,0,IF($E365="Win",('Guide &amp; Settings'!$C$42/(($F365-1)*COUNTIFS($A$4:$A$810,$A365,$E$4:$E$810,"Win")))*SUMIFS($X$4:$X$810,$A$4:$A$810,$A365,$E$4:$E$810,"Loss"),-('Guide &amp; Settings'!$C$42/($F365-1))*$X365)))</f>
        <v>0</v>
      </c>
      <c r="K365" s="118">
        <f>IF($D365="",0,'Guide &amp; Settings'!$C$43*(IF($E365="Win",1,0)-$I365))</f>
        <v>0</v>
      </c>
      <c r="L365" s="119">
        <f>IF($D365="",0,'Guide &amp; Settings'!$C$44*IF($F365&gt;=3,$F365,0))</f>
        <v>0</v>
      </c>
      <c r="M365" s="118">
        <f t="shared" si="88"/>
        <v>0</v>
      </c>
      <c r="N365" s="116">
        <f t="shared" si="89"/>
        <v>0</v>
      </c>
      <c r="O365" s="115" t="str">
        <f t="shared" si="90"/>
        <v/>
      </c>
      <c r="P365">
        <f t="shared" si="91"/>
        <v>0</v>
      </c>
      <c r="Q365">
        <f t="shared" si="92"/>
        <v>0</v>
      </c>
      <c r="R365">
        <f t="shared" si="93"/>
        <v>0</v>
      </c>
      <c r="S365">
        <f t="shared" si="94"/>
        <v>0</v>
      </c>
      <c r="T365" s="83">
        <f t="shared" si="95"/>
        <v>0</v>
      </c>
      <c r="U365" s="120">
        <f>IF($D365="",0,IFERROR(LOOKUP(2,1/(($D$3:D364=$D365)*($C$3:C364=$C365)*($A$3:A364&lt;$A365)),$AB$3:AB364),1000))</f>
        <v>0</v>
      </c>
      <c r="V365" s="120">
        <f t="shared" si="96"/>
        <v>0</v>
      </c>
      <c r="W365">
        <f t="shared" si="97"/>
        <v>0</v>
      </c>
      <c r="X365">
        <f t="shared" si="98"/>
        <v>0</v>
      </c>
      <c r="Y365">
        <f t="shared" si="99"/>
        <v>0</v>
      </c>
      <c r="Z365">
        <f t="shared" si="100"/>
        <v>0</v>
      </c>
      <c r="AA365">
        <f>IF($D365="",0,IF($F365&lt;2,0,IF($E365="Win",('Guide &amp; Settings'!$C$42/(($F365-1)*COUNTIFS($A$4:$A$810,$A365,$E$4:$E$810,"Win")))*SUMIFS($Z$4:$Z$810,$A$4:$A$810,$A365,$E$4:$E$810,"Loss"),-('Guide &amp; Settings'!$C$42/($F365-1))*$Z365)))</f>
        <v>0</v>
      </c>
      <c r="AB365" s="120">
        <f t="shared" si="101"/>
        <v>0</v>
      </c>
      <c r="AC365" s="120" t="str">
        <f>IF($D365="","",IF(SUMPRODUCT(MAX(($D$4:$D$810=$D365)*($B$4:$B$810&lt;$B365)*$B$4:$B$810))=0,0,MAX(($B365-MAX(SUMPRODUCT(MAX(($D$4:$D$810=$D365)*($B$4:$B$810&lt;$B365)*$B$4:$B$810)),'Guide &amp; Settings'!$C$50))/7-'Guide &amp; Settings'!$C$48,0)*'Guide &amp; Settings'!$C$49))</f>
        <v/>
      </c>
    </row>
    <row r="366" spans="1:29" x14ac:dyDescent="0.2">
      <c r="A366" s="111"/>
      <c r="B366" s="112"/>
      <c r="C366" s="113"/>
      <c r="D366" s="113"/>
      <c r="E366" s="111"/>
      <c r="F366" s="114">
        <f t="shared" si="85"/>
        <v>0</v>
      </c>
      <c r="G366" s="115" t="str">
        <f t="shared" si="86"/>
        <v/>
      </c>
      <c r="H366" s="116">
        <f>IF($D366="",0,IFERROR(LOOKUP(2,1/(($D$3:D365=$D366)*($A$3:A365&lt;$A366)),$N$3:N365),'Guide &amp; Settings'!$C$41))</f>
        <v>0</v>
      </c>
      <c r="I366" s="117">
        <f t="shared" si="87"/>
        <v>0</v>
      </c>
      <c r="J366" s="118">
        <f>IF($D366="",0,IF($F366&lt;2,0,IF($E366="Win",('Guide &amp; Settings'!$C$42/(($F366-1)*COUNTIFS($A$4:$A$810,$A366,$E$4:$E$810,"Win")))*SUMIFS($X$4:$X$810,$A$4:$A$810,$A366,$E$4:$E$810,"Loss"),-('Guide &amp; Settings'!$C$42/($F366-1))*$X366)))</f>
        <v>0</v>
      </c>
      <c r="K366" s="118">
        <f>IF($D366="",0,'Guide &amp; Settings'!$C$43*(IF($E366="Win",1,0)-$I366))</f>
        <v>0</v>
      </c>
      <c r="L366" s="119">
        <f>IF($D366="",0,'Guide &amp; Settings'!$C$44*IF($F366&gt;=3,$F366,0))</f>
        <v>0</v>
      </c>
      <c r="M366" s="118">
        <f t="shared" si="88"/>
        <v>0</v>
      </c>
      <c r="N366" s="116">
        <f t="shared" si="89"/>
        <v>0</v>
      </c>
      <c r="O366" s="115" t="str">
        <f t="shared" si="90"/>
        <v/>
      </c>
      <c r="P366">
        <f t="shared" si="91"/>
        <v>0</v>
      </c>
      <c r="Q366">
        <f t="shared" si="92"/>
        <v>0</v>
      </c>
      <c r="R366">
        <f t="shared" si="93"/>
        <v>0</v>
      </c>
      <c r="S366">
        <f t="shared" si="94"/>
        <v>0</v>
      </c>
      <c r="T366" s="83">
        <f t="shared" si="95"/>
        <v>0</v>
      </c>
      <c r="U366" s="120">
        <f>IF($D366="",0,IFERROR(LOOKUP(2,1/(($D$3:D365=$D366)*($C$3:C365=$C366)*($A$3:A365&lt;$A366)),$AB$3:AB365),1000))</f>
        <v>0</v>
      </c>
      <c r="V366" s="120">
        <f t="shared" si="96"/>
        <v>0</v>
      </c>
      <c r="W366">
        <f t="shared" si="97"/>
        <v>0</v>
      </c>
      <c r="X366">
        <f t="shared" si="98"/>
        <v>0</v>
      </c>
      <c r="Y366">
        <f t="shared" si="99"/>
        <v>0</v>
      </c>
      <c r="Z366">
        <f t="shared" si="100"/>
        <v>0</v>
      </c>
      <c r="AA366">
        <f>IF($D366="",0,IF($F366&lt;2,0,IF($E366="Win",('Guide &amp; Settings'!$C$42/(($F366-1)*COUNTIFS($A$4:$A$810,$A366,$E$4:$E$810,"Win")))*SUMIFS($Z$4:$Z$810,$A$4:$A$810,$A366,$E$4:$E$810,"Loss"),-('Guide &amp; Settings'!$C$42/($F366-1))*$Z366)))</f>
        <v>0</v>
      </c>
      <c r="AB366" s="120">
        <f t="shared" si="101"/>
        <v>0</v>
      </c>
      <c r="AC366" s="120" t="str">
        <f>IF($D366="","",IF(SUMPRODUCT(MAX(($D$4:$D$810=$D366)*($B$4:$B$810&lt;$B366)*$B$4:$B$810))=0,0,MAX(($B366-MAX(SUMPRODUCT(MAX(($D$4:$D$810=$D366)*($B$4:$B$810&lt;$B366)*$B$4:$B$810)),'Guide &amp; Settings'!$C$50))/7-'Guide &amp; Settings'!$C$48,0)*'Guide &amp; Settings'!$C$49))</f>
        <v/>
      </c>
    </row>
    <row r="367" spans="1:29" x14ac:dyDescent="0.2">
      <c r="A367" s="111"/>
      <c r="B367" s="112"/>
      <c r="C367" s="113"/>
      <c r="D367" s="113"/>
      <c r="E367" s="111"/>
      <c r="F367" s="114">
        <f t="shared" si="85"/>
        <v>0</v>
      </c>
      <c r="G367" s="115" t="str">
        <f t="shared" si="86"/>
        <v/>
      </c>
      <c r="H367" s="116">
        <f>IF($D367="",0,IFERROR(LOOKUP(2,1/(($D$3:D366=$D367)*($A$3:A366&lt;$A367)),$N$3:N366),'Guide &amp; Settings'!$C$41))</f>
        <v>0</v>
      </c>
      <c r="I367" s="117">
        <f t="shared" si="87"/>
        <v>0</v>
      </c>
      <c r="J367" s="118">
        <f>IF($D367="",0,IF($F367&lt;2,0,IF($E367="Win",('Guide &amp; Settings'!$C$42/(($F367-1)*COUNTIFS($A$4:$A$810,$A367,$E$4:$E$810,"Win")))*SUMIFS($X$4:$X$810,$A$4:$A$810,$A367,$E$4:$E$810,"Loss"),-('Guide &amp; Settings'!$C$42/($F367-1))*$X367)))</f>
        <v>0</v>
      </c>
      <c r="K367" s="118">
        <f>IF($D367="",0,'Guide &amp; Settings'!$C$43*(IF($E367="Win",1,0)-$I367))</f>
        <v>0</v>
      </c>
      <c r="L367" s="119">
        <f>IF($D367="",0,'Guide &amp; Settings'!$C$44*IF($F367&gt;=3,$F367,0))</f>
        <v>0</v>
      </c>
      <c r="M367" s="118">
        <f t="shared" si="88"/>
        <v>0</v>
      </c>
      <c r="N367" s="116">
        <f t="shared" si="89"/>
        <v>0</v>
      </c>
      <c r="O367" s="115" t="str">
        <f t="shared" si="90"/>
        <v/>
      </c>
      <c r="P367">
        <f t="shared" si="91"/>
        <v>0</v>
      </c>
      <c r="Q367">
        <f t="shared" si="92"/>
        <v>0</v>
      </c>
      <c r="R367">
        <f t="shared" si="93"/>
        <v>0</v>
      </c>
      <c r="S367">
        <f t="shared" si="94"/>
        <v>0</v>
      </c>
      <c r="T367" s="83">
        <f t="shared" si="95"/>
        <v>0</v>
      </c>
      <c r="U367" s="120">
        <f>IF($D367="",0,IFERROR(LOOKUP(2,1/(($D$3:D366=$D367)*($C$3:C366=$C367)*($A$3:A366&lt;$A367)),$AB$3:AB366),1000))</f>
        <v>0</v>
      </c>
      <c r="V367" s="120">
        <f t="shared" si="96"/>
        <v>0</v>
      </c>
      <c r="W367">
        <f t="shared" si="97"/>
        <v>0</v>
      </c>
      <c r="X367">
        <f t="shared" si="98"/>
        <v>0</v>
      </c>
      <c r="Y367">
        <f t="shared" si="99"/>
        <v>0</v>
      </c>
      <c r="Z367">
        <f t="shared" si="100"/>
        <v>0</v>
      </c>
      <c r="AA367">
        <f>IF($D367="",0,IF($F367&lt;2,0,IF($E367="Win",('Guide &amp; Settings'!$C$42/(($F367-1)*COUNTIFS($A$4:$A$810,$A367,$E$4:$E$810,"Win")))*SUMIFS($Z$4:$Z$810,$A$4:$A$810,$A367,$E$4:$E$810,"Loss"),-('Guide &amp; Settings'!$C$42/($F367-1))*$Z367)))</f>
        <v>0</v>
      </c>
      <c r="AB367" s="120">
        <f t="shared" si="101"/>
        <v>0</v>
      </c>
      <c r="AC367" s="120" t="str">
        <f>IF($D367="","",IF(SUMPRODUCT(MAX(($D$4:$D$810=$D367)*($B$4:$B$810&lt;$B367)*$B$4:$B$810))=0,0,MAX(($B367-MAX(SUMPRODUCT(MAX(($D$4:$D$810=$D367)*($B$4:$B$810&lt;$B367)*$B$4:$B$810)),'Guide &amp; Settings'!$C$50))/7-'Guide &amp; Settings'!$C$48,0)*'Guide &amp; Settings'!$C$49))</f>
        <v/>
      </c>
    </row>
    <row r="368" spans="1:29" x14ac:dyDescent="0.2">
      <c r="A368" s="111"/>
      <c r="B368" s="112"/>
      <c r="C368" s="113"/>
      <c r="D368" s="113"/>
      <c r="E368" s="111"/>
      <c r="F368" s="114">
        <f t="shared" si="85"/>
        <v>0</v>
      </c>
      <c r="G368" s="115" t="str">
        <f t="shared" si="86"/>
        <v/>
      </c>
      <c r="H368" s="116">
        <f>IF($D368="",0,IFERROR(LOOKUP(2,1/(($D$3:D367=$D368)*($A$3:A367&lt;$A368)),$N$3:N367),'Guide &amp; Settings'!$C$41))</f>
        <v>0</v>
      </c>
      <c r="I368" s="117">
        <f t="shared" si="87"/>
        <v>0</v>
      </c>
      <c r="J368" s="118">
        <f>IF($D368="",0,IF($F368&lt;2,0,IF($E368="Win",('Guide &amp; Settings'!$C$42/(($F368-1)*COUNTIFS($A$4:$A$810,$A368,$E$4:$E$810,"Win")))*SUMIFS($X$4:$X$810,$A$4:$A$810,$A368,$E$4:$E$810,"Loss"),-('Guide &amp; Settings'!$C$42/($F368-1))*$X368)))</f>
        <v>0</v>
      </c>
      <c r="K368" s="118">
        <f>IF($D368="",0,'Guide &amp; Settings'!$C$43*(IF($E368="Win",1,0)-$I368))</f>
        <v>0</v>
      </c>
      <c r="L368" s="119">
        <f>IF($D368="",0,'Guide &amp; Settings'!$C$44*IF($F368&gt;=3,$F368,0))</f>
        <v>0</v>
      </c>
      <c r="M368" s="118">
        <f t="shared" si="88"/>
        <v>0</v>
      </c>
      <c r="N368" s="116">
        <f t="shared" si="89"/>
        <v>0</v>
      </c>
      <c r="O368" s="115" t="str">
        <f t="shared" si="90"/>
        <v/>
      </c>
      <c r="P368">
        <f t="shared" si="91"/>
        <v>0</v>
      </c>
      <c r="Q368">
        <f t="shared" si="92"/>
        <v>0</v>
      </c>
      <c r="R368">
        <f t="shared" si="93"/>
        <v>0</v>
      </c>
      <c r="S368">
        <f t="shared" si="94"/>
        <v>0</v>
      </c>
      <c r="T368" s="83">
        <f t="shared" si="95"/>
        <v>0</v>
      </c>
      <c r="U368" s="120">
        <f>IF($D368="",0,IFERROR(LOOKUP(2,1/(($D$3:D367=$D368)*($C$3:C367=$C368)*($A$3:A367&lt;$A368)),$AB$3:AB367),1000))</f>
        <v>0</v>
      </c>
      <c r="V368" s="120">
        <f t="shared" si="96"/>
        <v>0</v>
      </c>
      <c r="W368">
        <f t="shared" si="97"/>
        <v>0</v>
      </c>
      <c r="X368">
        <f t="shared" si="98"/>
        <v>0</v>
      </c>
      <c r="Y368">
        <f t="shared" si="99"/>
        <v>0</v>
      </c>
      <c r="Z368">
        <f t="shared" si="100"/>
        <v>0</v>
      </c>
      <c r="AA368">
        <f>IF($D368="",0,IF($F368&lt;2,0,IF($E368="Win",('Guide &amp; Settings'!$C$42/(($F368-1)*COUNTIFS($A$4:$A$810,$A368,$E$4:$E$810,"Win")))*SUMIFS($Z$4:$Z$810,$A$4:$A$810,$A368,$E$4:$E$810,"Loss"),-('Guide &amp; Settings'!$C$42/($F368-1))*$Z368)))</f>
        <v>0</v>
      </c>
      <c r="AB368" s="120">
        <f t="shared" si="101"/>
        <v>0</v>
      </c>
      <c r="AC368" s="120" t="str">
        <f>IF($D368="","",IF(SUMPRODUCT(MAX(($D$4:$D$810=$D368)*($B$4:$B$810&lt;$B368)*$B$4:$B$810))=0,0,MAX(($B368-MAX(SUMPRODUCT(MAX(($D$4:$D$810=$D368)*($B$4:$B$810&lt;$B368)*$B$4:$B$810)),'Guide &amp; Settings'!$C$50))/7-'Guide &amp; Settings'!$C$48,0)*'Guide &amp; Settings'!$C$49))</f>
        <v/>
      </c>
    </row>
    <row r="369" spans="1:29" x14ac:dyDescent="0.2">
      <c r="A369" s="111"/>
      <c r="B369" s="112"/>
      <c r="C369" s="113"/>
      <c r="D369" s="113"/>
      <c r="E369" s="111"/>
      <c r="F369" s="114">
        <f t="shared" si="85"/>
        <v>0</v>
      </c>
      <c r="G369" s="115" t="str">
        <f t="shared" si="86"/>
        <v/>
      </c>
      <c r="H369" s="116">
        <f>IF($D369="",0,IFERROR(LOOKUP(2,1/(($D$3:D368=$D369)*($A$3:A368&lt;$A369)),$N$3:N368),'Guide &amp; Settings'!$C$41))</f>
        <v>0</v>
      </c>
      <c r="I369" s="117">
        <f t="shared" si="87"/>
        <v>0</v>
      </c>
      <c r="J369" s="118">
        <f>IF($D369="",0,IF($F369&lt;2,0,IF($E369="Win",('Guide &amp; Settings'!$C$42/(($F369-1)*COUNTIFS($A$4:$A$810,$A369,$E$4:$E$810,"Win")))*SUMIFS($X$4:$X$810,$A$4:$A$810,$A369,$E$4:$E$810,"Loss"),-('Guide &amp; Settings'!$C$42/($F369-1))*$X369)))</f>
        <v>0</v>
      </c>
      <c r="K369" s="118">
        <f>IF($D369="",0,'Guide &amp; Settings'!$C$43*(IF($E369="Win",1,0)-$I369))</f>
        <v>0</v>
      </c>
      <c r="L369" s="119">
        <f>IF($D369="",0,'Guide &amp; Settings'!$C$44*IF($F369&gt;=3,$F369,0))</f>
        <v>0</v>
      </c>
      <c r="M369" s="118">
        <f t="shared" si="88"/>
        <v>0</v>
      </c>
      <c r="N369" s="116">
        <f t="shared" si="89"/>
        <v>0</v>
      </c>
      <c r="O369" s="115" t="str">
        <f t="shared" si="90"/>
        <v/>
      </c>
      <c r="P369">
        <f t="shared" si="91"/>
        <v>0</v>
      </c>
      <c r="Q369">
        <f t="shared" si="92"/>
        <v>0</v>
      </c>
      <c r="R369">
        <f t="shared" si="93"/>
        <v>0</v>
      </c>
      <c r="S369">
        <f t="shared" si="94"/>
        <v>0</v>
      </c>
      <c r="T369" s="83">
        <f t="shared" si="95"/>
        <v>0</v>
      </c>
      <c r="U369" s="120">
        <f>IF($D369="",0,IFERROR(LOOKUP(2,1/(($D$3:D368=$D369)*($C$3:C368=$C369)*($A$3:A368&lt;$A369)),$AB$3:AB368),1000))</f>
        <v>0</v>
      </c>
      <c r="V369" s="120">
        <f t="shared" si="96"/>
        <v>0</v>
      </c>
      <c r="W369">
        <f t="shared" si="97"/>
        <v>0</v>
      </c>
      <c r="X369">
        <f t="shared" si="98"/>
        <v>0</v>
      </c>
      <c r="Y369">
        <f t="shared" si="99"/>
        <v>0</v>
      </c>
      <c r="Z369">
        <f t="shared" si="100"/>
        <v>0</v>
      </c>
      <c r="AA369">
        <f>IF($D369="",0,IF($F369&lt;2,0,IF($E369="Win",('Guide &amp; Settings'!$C$42/(($F369-1)*COUNTIFS($A$4:$A$810,$A369,$E$4:$E$810,"Win")))*SUMIFS($Z$4:$Z$810,$A$4:$A$810,$A369,$E$4:$E$810,"Loss"),-('Guide &amp; Settings'!$C$42/($F369-1))*$Z369)))</f>
        <v>0</v>
      </c>
      <c r="AB369" s="120">
        <f t="shared" si="101"/>
        <v>0</v>
      </c>
      <c r="AC369" s="120" t="str">
        <f>IF($D369="","",IF(SUMPRODUCT(MAX(($D$4:$D$810=$D369)*($B$4:$B$810&lt;$B369)*$B$4:$B$810))=0,0,MAX(($B369-MAX(SUMPRODUCT(MAX(($D$4:$D$810=$D369)*($B$4:$B$810&lt;$B369)*$B$4:$B$810)),'Guide &amp; Settings'!$C$50))/7-'Guide &amp; Settings'!$C$48,0)*'Guide &amp; Settings'!$C$49))</f>
        <v/>
      </c>
    </row>
    <row r="370" spans="1:29" x14ac:dyDescent="0.2">
      <c r="A370" s="111"/>
      <c r="B370" s="112"/>
      <c r="C370" s="113"/>
      <c r="D370" s="113"/>
      <c r="E370" s="111"/>
      <c r="F370" s="114">
        <f t="shared" si="85"/>
        <v>0</v>
      </c>
      <c r="G370" s="115" t="str">
        <f t="shared" si="86"/>
        <v/>
      </c>
      <c r="H370" s="116">
        <f>IF($D370="",0,IFERROR(LOOKUP(2,1/(($D$3:D369=$D370)*($A$3:A369&lt;$A370)),$N$3:N369),'Guide &amp; Settings'!$C$41))</f>
        <v>0</v>
      </c>
      <c r="I370" s="117">
        <f t="shared" si="87"/>
        <v>0</v>
      </c>
      <c r="J370" s="118">
        <f>IF($D370="",0,IF($F370&lt;2,0,IF($E370="Win",('Guide &amp; Settings'!$C$42/(($F370-1)*COUNTIFS($A$4:$A$810,$A370,$E$4:$E$810,"Win")))*SUMIFS($X$4:$X$810,$A$4:$A$810,$A370,$E$4:$E$810,"Loss"),-('Guide &amp; Settings'!$C$42/($F370-1))*$X370)))</f>
        <v>0</v>
      </c>
      <c r="K370" s="118">
        <f>IF($D370="",0,'Guide &amp; Settings'!$C$43*(IF($E370="Win",1,0)-$I370))</f>
        <v>0</v>
      </c>
      <c r="L370" s="119">
        <f>IF($D370="",0,'Guide &amp; Settings'!$C$44*IF($F370&gt;=3,$F370,0))</f>
        <v>0</v>
      </c>
      <c r="M370" s="118">
        <f t="shared" si="88"/>
        <v>0</v>
      </c>
      <c r="N370" s="116">
        <f t="shared" si="89"/>
        <v>0</v>
      </c>
      <c r="O370" s="115" t="str">
        <f t="shared" si="90"/>
        <v/>
      </c>
      <c r="P370">
        <f t="shared" si="91"/>
        <v>0</v>
      </c>
      <c r="Q370">
        <f t="shared" si="92"/>
        <v>0</v>
      </c>
      <c r="R370">
        <f t="shared" si="93"/>
        <v>0</v>
      </c>
      <c r="S370">
        <f t="shared" si="94"/>
        <v>0</v>
      </c>
      <c r="T370" s="83">
        <f t="shared" si="95"/>
        <v>0</v>
      </c>
      <c r="U370" s="120">
        <f>IF($D370="",0,IFERROR(LOOKUP(2,1/(($D$3:D369=$D370)*($C$3:C369=$C370)*($A$3:A369&lt;$A370)),$AB$3:AB369),1000))</f>
        <v>0</v>
      </c>
      <c r="V370" s="120">
        <f t="shared" si="96"/>
        <v>0</v>
      </c>
      <c r="W370">
        <f t="shared" si="97"/>
        <v>0</v>
      </c>
      <c r="X370">
        <f t="shared" si="98"/>
        <v>0</v>
      </c>
      <c r="Y370">
        <f t="shared" si="99"/>
        <v>0</v>
      </c>
      <c r="Z370">
        <f t="shared" si="100"/>
        <v>0</v>
      </c>
      <c r="AA370">
        <f>IF($D370="",0,IF($F370&lt;2,0,IF($E370="Win",('Guide &amp; Settings'!$C$42/(($F370-1)*COUNTIFS($A$4:$A$810,$A370,$E$4:$E$810,"Win")))*SUMIFS($Z$4:$Z$810,$A$4:$A$810,$A370,$E$4:$E$810,"Loss"),-('Guide &amp; Settings'!$C$42/($F370-1))*$Z370)))</f>
        <v>0</v>
      </c>
      <c r="AB370" s="120">
        <f t="shared" si="101"/>
        <v>0</v>
      </c>
      <c r="AC370" s="120" t="str">
        <f>IF($D370="","",IF(SUMPRODUCT(MAX(($D$4:$D$810=$D370)*($B$4:$B$810&lt;$B370)*$B$4:$B$810))=0,0,MAX(($B370-MAX(SUMPRODUCT(MAX(($D$4:$D$810=$D370)*($B$4:$B$810&lt;$B370)*$B$4:$B$810)),'Guide &amp; Settings'!$C$50))/7-'Guide &amp; Settings'!$C$48,0)*'Guide &amp; Settings'!$C$49))</f>
        <v/>
      </c>
    </row>
    <row r="371" spans="1:29" x14ac:dyDescent="0.2">
      <c r="A371" s="111"/>
      <c r="B371" s="112"/>
      <c r="C371" s="113"/>
      <c r="D371" s="113"/>
      <c r="E371" s="111"/>
      <c r="F371" s="114">
        <f t="shared" si="85"/>
        <v>0</v>
      </c>
      <c r="G371" s="115" t="str">
        <f t="shared" si="86"/>
        <v/>
      </c>
      <c r="H371" s="116">
        <f>IF($D371="",0,IFERROR(LOOKUP(2,1/(($D$3:D370=$D371)*($A$3:A370&lt;$A371)),$N$3:N370),'Guide &amp; Settings'!$C$41))</f>
        <v>0</v>
      </c>
      <c r="I371" s="117">
        <f t="shared" si="87"/>
        <v>0</v>
      </c>
      <c r="J371" s="118">
        <f>IF($D371="",0,IF($F371&lt;2,0,IF($E371="Win",('Guide &amp; Settings'!$C$42/(($F371-1)*COUNTIFS($A$4:$A$810,$A371,$E$4:$E$810,"Win")))*SUMIFS($X$4:$X$810,$A$4:$A$810,$A371,$E$4:$E$810,"Loss"),-('Guide &amp; Settings'!$C$42/($F371-1))*$X371)))</f>
        <v>0</v>
      </c>
      <c r="K371" s="118">
        <f>IF($D371="",0,'Guide &amp; Settings'!$C$43*(IF($E371="Win",1,0)-$I371))</f>
        <v>0</v>
      </c>
      <c r="L371" s="119">
        <f>IF($D371="",0,'Guide &amp; Settings'!$C$44*IF($F371&gt;=3,$F371,0))</f>
        <v>0</v>
      </c>
      <c r="M371" s="118">
        <f t="shared" si="88"/>
        <v>0</v>
      </c>
      <c r="N371" s="116">
        <f t="shared" si="89"/>
        <v>0</v>
      </c>
      <c r="O371" s="115" t="str">
        <f t="shared" si="90"/>
        <v/>
      </c>
      <c r="P371">
        <f t="shared" si="91"/>
        <v>0</v>
      </c>
      <c r="Q371">
        <f t="shared" si="92"/>
        <v>0</v>
      </c>
      <c r="R371">
        <f t="shared" si="93"/>
        <v>0</v>
      </c>
      <c r="S371">
        <f t="shared" si="94"/>
        <v>0</v>
      </c>
      <c r="T371" s="83">
        <f t="shared" si="95"/>
        <v>0</v>
      </c>
      <c r="U371" s="120">
        <f>IF($D371="",0,IFERROR(LOOKUP(2,1/(($D$3:D370=$D371)*($C$3:C370=$C371)*($A$3:A370&lt;$A371)),$AB$3:AB370),1000))</f>
        <v>0</v>
      </c>
      <c r="V371" s="120">
        <f t="shared" si="96"/>
        <v>0</v>
      </c>
      <c r="W371">
        <f t="shared" si="97"/>
        <v>0</v>
      </c>
      <c r="X371">
        <f t="shared" si="98"/>
        <v>0</v>
      </c>
      <c r="Y371">
        <f t="shared" si="99"/>
        <v>0</v>
      </c>
      <c r="Z371">
        <f t="shared" si="100"/>
        <v>0</v>
      </c>
      <c r="AA371">
        <f>IF($D371="",0,IF($F371&lt;2,0,IF($E371="Win",('Guide &amp; Settings'!$C$42/(($F371-1)*COUNTIFS($A$4:$A$810,$A371,$E$4:$E$810,"Win")))*SUMIFS($Z$4:$Z$810,$A$4:$A$810,$A371,$E$4:$E$810,"Loss"),-('Guide &amp; Settings'!$C$42/($F371-1))*$Z371)))</f>
        <v>0</v>
      </c>
      <c r="AB371" s="120">
        <f t="shared" si="101"/>
        <v>0</v>
      </c>
      <c r="AC371" s="120" t="str">
        <f>IF($D371="","",IF(SUMPRODUCT(MAX(($D$4:$D$810=$D371)*($B$4:$B$810&lt;$B371)*$B$4:$B$810))=0,0,MAX(($B371-MAX(SUMPRODUCT(MAX(($D$4:$D$810=$D371)*($B$4:$B$810&lt;$B371)*$B$4:$B$810)),'Guide &amp; Settings'!$C$50))/7-'Guide &amp; Settings'!$C$48,0)*'Guide &amp; Settings'!$C$49))</f>
        <v/>
      </c>
    </row>
    <row r="372" spans="1:29" x14ac:dyDescent="0.2">
      <c r="A372" s="111"/>
      <c r="B372" s="112"/>
      <c r="C372" s="113"/>
      <c r="D372" s="113"/>
      <c r="E372" s="111"/>
      <c r="F372" s="114">
        <f t="shared" si="85"/>
        <v>0</v>
      </c>
      <c r="G372" s="115" t="str">
        <f t="shared" si="86"/>
        <v/>
      </c>
      <c r="H372" s="116">
        <f>IF($D372="",0,IFERROR(LOOKUP(2,1/(($D$3:D371=$D372)*($A$3:A371&lt;$A372)),$N$3:N371),'Guide &amp; Settings'!$C$41))</f>
        <v>0</v>
      </c>
      <c r="I372" s="117">
        <f t="shared" si="87"/>
        <v>0</v>
      </c>
      <c r="J372" s="118">
        <f>IF($D372="",0,IF($F372&lt;2,0,IF($E372="Win",('Guide &amp; Settings'!$C$42/(($F372-1)*COUNTIFS($A$4:$A$810,$A372,$E$4:$E$810,"Win")))*SUMIFS($X$4:$X$810,$A$4:$A$810,$A372,$E$4:$E$810,"Loss"),-('Guide &amp; Settings'!$C$42/($F372-1))*$X372)))</f>
        <v>0</v>
      </c>
      <c r="K372" s="118">
        <f>IF($D372="",0,'Guide &amp; Settings'!$C$43*(IF($E372="Win",1,0)-$I372))</f>
        <v>0</v>
      </c>
      <c r="L372" s="119">
        <f>IF($D372="",0,'Guide &amp; Settings'!$C$44*IF($F372&gt;=3,$F372,0))</f>
        <v>0</v>
      </c>
      <c r="M372" s="118">
        <f t="shared" si="88"/>
        <v>0</v>
      </c>
      <c r="N372" s="116">
        <f t="shared" si="89"/>
        <v>0</v>
      </c>
      <c r="O372" s="115" t="str">
        <f t="shared" si="90"/>
        <v/>
      </c>
      <c r="P372">
        <f t="shared" si="91"/>
        <v>0</v>
      </c>
      <c r="Q372">
        <f t="shared" si="92"/>
        <v>0</v>
      </c>
      <c r="R372">
        <f t="shared" si="93"/>
        <v>0</v>
      </c>
      <c r="S372">
        <f t="shared" si="94"/>
        <v>0</v>
      </c>
      <c r="T372" s="83">
        <f t="shared" si="95"/>
        <v>0</v>
      </c>
      <c r="U372" s="120">
        <f>IF($D372="",0,IFERROR(LOOKUP(2,1/(($D$3:D371=$D372)*($C$3:C371=$C372)*($A$3:A371&lt;$A372)),$AB$3:AB371),1000))</f>
        <v>0</v>
      </c>
      <c r="V372" s="120">
        <f t="shared" si="96"/>
        <v>0</v>
      </c>
      <c r="W372">
        <f t="shared" si="97"/>
        <v>0</v>
      </c>
      <c r="X372">
        <f t="shared" si="98"/>
        <v>0</v>
      </c>
      <c r="Y372">
        <f t="shared" si="99"/>
        <v>0</v>
      </c>
      <c r="Z372">
        <f t="shared" si="100"/>
        <v>0</v>
      </c>
      <c r="AA372">
        <f>IF($D372="",0,IF($F372&lt;2,0,IF($E372="Win",('Guide &amp; Settings'!$C$42/(($F372-1)*COUNTIFS($A$4:$A$810,$A372,$E$4:$E$810,"Win")))*SUMIFS($Z$4:$Z$810,$A$4:$A$810,$A372,$E$4:$E$810,"Loss"),-('Guide &amp; Settings'!$C$42/($F372-1))*$Z372)))</f>
        <v>0</v>
      </c>
      <c r="AB372" s="120">
        <f t="shared" si="101"/>
        <v>0</v>
      </c>
      <c r="AC372" s="120" t="str">
        <f>IF($D372="","",IF(SUMPRODUCT(MAX(($D$4:$D$810=$D372)*($B$4:$B$810&lt;$B372)*$B$4:$B$810))=0,0,MAX(($B372-MAX(SUMPRODUCT(MAX(($D$4:$D$810=$D372)*($B$4:$B$810&lt;$B372)*$B$4:$B$810)),'Guide &amp; Settings'!$C$50))/7-'Guide &amp; Settings'!$C$48,0)*'Guide &amp; Settings'!$C$49))</f>
        <v/>
      </c>
    </row>
    <row r="373" spans="1:29" x14ac:dyDescent="0.2">
      <c r="A373" s="111"/>
      <c r="B373" s="112"/>
      <c r="C373" s="113"/>
      <c r="D373" s="113"/>
      <c r="E373" s="111"/>
      <c r="F373" s="114">
        <f t="shared" si="85"/>
        <v>0</v>
      </c>
      <c r="G373" s="115" t="str">
        <f t="shared" si="86"/>
        <v/>
      </c>
      <c r="H373" s="116">
        <f>IF($D373="",0,IFERROR(LOOKUP(2,1/(($D$3:D372=$D373)*($A$3:A372&lt;$A373)),$N$3:N372),'Guide &amp; Settings'!$C$41))</f>
        <v>0</v>
      </c>
      <c r="I373" s="117">
        <f t="shared" si="87"/>
        <v>0</v>
      </c>
      <c r="J373" s="118">
        <f>IF($D373="",0,IF($F373&lt;2,0,IF($E373="Win",('Guide &amp; Settings'!$C$42/(($F373-1)*COUNTIFS($A$4:$A$810,$A373,$E$4:$E$810,"Win")))*SUMIFS($X$4:$X$810,$A$4:$A$810,$A373,$E$4:$E$810,"Loss"),-('Guide &amp; Settings'!$C$42/($F373-1))*$X373)))</f>
        <v>0</v>
      </c>
      <c r="K373" s="118">
        <f>IF($D373="",0,'Guide &amp; Settings'!$C$43*(IF($E373="Win",1,0)-$I373))</f>
        <v>0</v>
      </c>
      <c r="L373" s="119">
        <f>IF($D373="",0,'Guide &amp; Settings'!$C$44*IF($F373&gt;=3,$F373,0))</f>
        <v>0</v>
      </c>
      <c r="M373" s="118">
        <f t="shared" si="88"/>
        <v>0</v>
      </c>
      <c r="N373" s="116">
        <f t="shared" si="89"/>
        <v>0</v>
      </c>
      <c r="O373" s="115" t="str">
        <f t="shared" si="90"/>
        <v/>
      </c>
      <c r="P373">
        <f t="shared" si="91"/>
        <v>0</v>
      </c>
      <c r="Q373">
        <f t="shared" si="92"/>
        <v>0</v>
      </c>
      <c r="R373">
        <f t="shared" si="93"/>
        <v>0</v>
      </c>
      <c r="S373">
        <f t="shared" si="94"/>
        <v>0</v>
      </c>
      <c r="T373" s="83">
        <f t="shared" si="95"/>
        <v>0</v>
      </c>
      <c r="U373" s="120">
        <f>IF($D373="",0,IFERROR(LOOKUP(2,1/(($D$3:D372=$D373)*($C$3:C372=$C373)*($A$3:A372&lt;$A373)),$AB$3:AB372),1000))</f>
        <v>0</v>
      </c>
      <c r="V373" s="120">
        <f t="shared" si="96"/>
        <v>0</v>
      </c>
      <c r="W373">
        <f t="shared" si="97"/>
        <v>0</v>
      </c>
      <c r="X373">
        <f t="shared" si="98"/>
        <v>0</v>
      </c>
      <c r="Y373">
        <f t="shared" si="99"/>
        <v>0</v>
      </c>
      <c r="Z373">
        <f t="shared" si="100"/>
        <v>0</v>
      </c>
      <c r="AA373">
        <f>IF($D373="",0,IF($F373&lt;2,0,IF($E373="Win",('Guide &amp; Settings'!$C$42/(($F373-1)*COUNTIFS($A$4:$A$810,$A373,$E$4:$E$810,"Win")))*SUMIFS($Z$4:$Z$810,$A$4:$A$810,$A373,$E$4:$E$810,"Loss"),-('Guide &amp; Settings'!$C$42/($F373-1))*$Z373)))</f>
        <v>0</v>
      </c>
      <c r="AB373" s="120">
        <f t="shared" si="101"/>
        <v>0</v>
      </c>
      <c r="AC373" s="120" t="str">
        <f>IF($D373="","",IF(SUMPRODUCT(MAX(($D$4:$D$810=$D373)*($B$4:$B$810&lt;$B373)*$B$4:$B$810))=0,0,MAX(($B373-MAX(SUMPRODUCT(MAX(($D$4:$D$810=$D373)*($B$4:$B$810&lt;$B373)*$B$4:$B$810)),'Guide &amp; Settings'!$C$50))/7-'Guide &amp; Settings'!$C$48,0)*'Guide &amp; Settings'!$C$49))</f>
        <v/>
      </c>
    </row>
    <row r="374" spans="1:29" x14ac:dyDescent="0.2">
      <c r="A374" s="111"/>
      <c r="B374" s="112"/>
      <c r="C374" s="113"/>
      <c r="D374" s="113"/>
      <c r="E374" s="111"/>
      <c r="F374" s="114">
        <f t="shared" si="85"/>
        <v>0</v>
      </c>
      <c r="G374" s="115" t="str">
        <f t="shared" si="86"/>
        <v/>
      </c>
      <c r="H374" s="116">
        <f>IF($D374="",0,IFERROR(LOOKUP(2,1/(($D$3:D373=$D374)*($A$3:A373&lt;$A374)),$N$3:N373),'Guide &amp; Settings'!$C$41))</f>
        <v>0</v>
      </c>
      <c r="I374" s="117">
        <f t="shared" si="87"/>
        <v>0</v>
      </c>
      <c r="J374" s="118">
        <f>IF($D374="",0,IF($F374&lt;2,0,IF($E374="Win",('Guide &amp; Settings'!$C$42/(($F374-1)*COUNTIFS($A$4:$A$810,$A374,$E$4:$E$810,"Win")))*SUMIFS($X$4:$X$810,$A$4:$A$810,$A374,$E$4:$E$810,"Loss"),-('Guide &amp; Settings'!$C$42/($F374-1))*$X374)))</f>
        <v>0</v>
      </c>
      <c r="K374" s="118">
        <f>IF($D374="",0,'Guide &amp; Settings'!$C$43*(IF($E374="Win",1,0)-$I374))</f>
        <v>0</v>
      </c>
      <c r="L374" s="119">
        <f>IF($D374="",0,'Guide &amp; Settings'!$C$44*IF($F374&gt;=3,$F374,0))</f>
        <v>0</v>
      </c>
      <c r="M374" s="118">
        <f t="shared" si="88"/>
        <v>0</v>
      </c>
      <c r="N374" s="116">
        <f t="shared" si="89"/>
        <v>0</v>
      </c>
      <c r="O374" s="115" t="str">
        <f t="shared" si="90"/>
        <v/>
      </c>
      <c r="P374">
        <f t="shared" si="91"/>
        <v>0</v>
      </c>
      <c r="Q374">
        <f t="shared" si="92"/>
        <v>0</v>
      </c>
      <c r="R374">
        <f t="shared" si="93"/>
        <v>0</v>
      </c>
      <c r="S374">
        <f t="shared" si="94"/>
        <v>0</v>
      </c>
      <c r="T374" s="83">
        <f t="shared" si="95"/>
        <v>0</v>
      </c>
      <c r="U374" s="120">
        <f>IF($D374="",0,IFERROR(LOOKUP(2,1/(($D$3:D373=$D374)*($C$3:C373=$C374)*($A$3:A373&lt;$A374)),$AB$3:AB373),1000))</f>
        <v>0</v>
      </c>
      <c r="V374" s="120">
        <f t="shared" si="96"/>
        <v>0</v>
      </c>
      <c r="W374">
        <f t="shared" si="97"/>
        <v>0</v>
      </c>
      <c r="X374">
        <f t="shared" si="98"/>
        <v>0</v>
      </c>
      <c r="Y374">
        <f t="shared" si="99"/>
        <v>0</v>
      </c>
      <c r="Z374">
        <f t="shared" si="100"/>
        <v>0</v>
      </c>
      <c r="AA374">
        <f>IF($D374="",0,IF($F374&lt;2,0,IF($E374="Win",('Guide &amp; Settings'!$C$42/(($F374-1)*COUNTIFS($A$4:$A$810,$A374,$E$4:$E$810,"Win")))*SUMIFS($Z$4:$Z$810,$A$4:$A$810,$A374,$E$4:$E$810,"Loss"),-('Guide &amp; Settings'!$C$42/($F374-1))*$Z374)))</f>
        <v>0</v>
      </c>
      <c r="AB374" s="120">
        <f t="shared" si="101"/>
        <v>0</v>
      </c>
      <c r="AC374" s="120" t="str">
        <f>IF($D374="","",IF(SUMPRODUCT(MAX(($D$4:$D$810=$D374)*($B$4:$B$810&lt;$B374)*$B$4:$B$810))=0,0,MAX(($B374-MAX(SUMPRODUCT(MAX(($D$4:$D$810=$D374)*($B$4:$B$810&lt;$B374)*$B$4:$B$810)),'Guide &amp; Settings'!$C$50))/7-'Guide &amp; Settings'!$C$48,0)*'Guide &amp; Settings'!$C$49))</f>
        <v/>
      </c>
    </row>
    <row r="375" spans="1:29" x14ac:dyDescent="0.2">
      <c r="A375" s="111"/>
      <c r="B375" s="112"/>
      <c r="C375" s="113"/>
      <c r="D375" s="113"/>
      <c r="E375" s="111"/>
      <c r="F375" s="114">
        <f t="shared" si="85"/>
        <v>0</v>
      </c>
      <c r="G375" s="115" t="str">
        <f t="shared" si="86"/>
        <v/>
      </c>
      <c r="H375" s="116">
        <f>IF($D375="",0,IFERROR(LOOKUP(2,1/(($D$3:D374=$D375)*($A$3:A374&lt;$A375)),$N$3:N374),'Guide &amp; Settings'!$C$41))</f>
        <v>0</v>
      </c>
      <c r="I375" s="117">
        <f t="shared" si="87"/>
        <v>0</v>
      </c>
      <c r="J375" s="118">
        <f>IF($D375="",0,IF($F375&lt;2,0,IF($E375="Win",('Guide &amp; Settings'!$C$42/(($F375-1)*COUNTIFS($A$4:$A$810,$A375,$E$4:$E$810,"Win")))*SUMIFS($X$4:$X$810,$A$4:$A$810,$A375,$E$4:$E$810,"Loss"),-('Guide &amp; Settings'!$C$42/($F375-1))*$X375)))</f>
        <v>0</v>
      </c>
      <c r="K375" s="118">
        <f>IF($D375="",0,'Guide &amp; Settings'!$C$43*(IF($E375="Win",1,0)-$I375))</f>
        <v>0</v>
      </c>
      <c r="L375" s="119">
        <f>IF($D375="",0,'Guide &amp; Settings'!$C$44*IF($F375&gt;=3,$F375,0))</f>
        <v>0</v>
      </c>
      <c r="M375" s="118">
        <f t="shared" si="88"/>
        <v>0</v>
      </c>
      <c r="N375" s="116">
        <f t="shared" si="89"/>
        <v>0</v>
      </c>
      <c r="O375" s="115" t="str">
        <f t="shared" si="90"/>
        <v/>
      </c>
      <c r="P375">
        <f t="shared" si="91"/>
        <v>0</v>
      </c>
      <c r="Q375">
        <f t="shared" si="92"/>
        <v>0</v>
      </c>
      <c r="R375">
        <f t="shared" si="93"/>
        <v>0</v>
      </c>
      <c r="S375">
        <f t="shared" si="94"/>
        <v>0</v>
      </c>
      <c r="T375" s="83">
        <f t="shared" si="95"/>
        <v>0</v>
      </c>
      <c r="U375" s="120">
        <f>IF($D375="",0,IFERROR(LOOKUP(2,1/(($D$3:D374=$D375)*($C$3:C374=$C375)*($A$3:A374&lt;$A375)),$AB$3:AB374),1000))</f>
        <v>0</v>
      </c>
      <c r="V375" s="120">
        <f t="shared" si="96"/>
        <v>0</v>
      </c>
      <c r="W375">
        <f t="shared" si="97"/>
        <v>0</v>
      </c>
      <c r="X375">
        <f t="shared" si="98"/>
        <v>0</v>
      </c>
      <c r="Y375">
        <f t="shared" si="99"/>
        <v>0</v>
      </c>
      <c r="Z375">
        <f t="shared" si="100"/>
        <v>0</v>
      </c>
      <c r="AA375">
        <f>IF($D375="",0,IF($F375&lt;2,0,IF($E375="Win",('Guide &amp; Settings'!$C$42/(($F375-1)*COUNTIFS($A$4:$A$810,$A375,$E$4:$E$810,"Win")))*SUMIFS($Z$4:$Z$810,$A$4:$A$810,$A375,$E$4:$E$810,"Loss"),-('Guide &amp; Settings'!$C$42/($F375-1))*$Z375)))</f>
        <v>0</v>
      </c>
      <c r="AB375" s="120">
        <f t="shared" si="101"/>
        <v>0</v>
      </c>
      <c r="AC375" s="120" t="str">
        <f>IF($D375="","",IF(SUMPRODUCT(MAX(($D$4:$D$810=$D375)*($B$4:$B$810&lt;$B375)*$B$4:$B$810))=0,0,MAX(($B375-MAX(SUMPRODUCT(MAX(($D$4:$D$810=$D375)*($B$4:$B$810&lt;$B375)*$B$4:$B$810)),'Guide &amp; Settings'!$C$50))/7-'Guide &amp; Settings'!$C$48,0)*'Guide &amp; Settings'!$C$49))</f>
        <v/>
      </c>
    </row>
    <row r="376" spans="1:29" x14ac:dyDescent="0.2">
      <c r="A376" s="111"/>
      <c r="B376" s="112"/>
      <c r="C376" s="113"/>
      <c r="D376" s="113"/>
      <c r="E376" s="111"/>
      <c r="F376" s="114">
        <f t="shared" ref="F376:F439" si="102">IF($D376="",0,COUNTIF($A$4:$A$810,$A376))</f>
        <v>0</v>
      </c>
      <c r="G376" s="115" t="str">
        <f t="shared" ref="G376:G439" si="103">IF($D376="","",IFERROR(LOOKUP(2,1/(($A$4:$A$810=$A376)*($E$4:$E$810="Win")),$D$4:$D$810),"(no winner)"))</f>
        <v/>
      </c>
      <c r="H376" s="116">
        <f>IF($D376="",0,IFERROR(LOOKUP(2,1/(($D$3:D375=$D376)*($A$3:A375&lt;$A376)),$N$3:N375),'Guide &amp; Settings'!$C$41))</f>
        <v>0</v>
      </c>
      <c r="I376" s="117">
        <f t="shared" ref="I376:I439" si="104">IF($D376="",0,IF($S376=0,0,$R376/$S376))</f>
        <v>0</v>
      </c>
      <c r="J376" s="118">
        <f>IF($D376="",0,IF($F376&lt;2,0,IF($E376="Win",('Guide &amp; Settings'!$C$42/(($F376-1)*COUNTIFS($A$4:$A$810,$A376,$E$4:$E$810,"Win")))*SUMIFS($X$4:$X$810,$A$4:$A$810,$A376,$E$4:$E$810,"Loss"),-('Guide &amp; Settings'!$C$42/($F376-1))*$X376)))</f>
        <v>0</v>
      </c>
      <c r="K376" s="118">
        <f>IF($D376="",0,'Guide &amp; Settings'!$C$43*(IF($E376="Win",1,0)-$I376))</f>
        <v>0</v>
      </c>
      <c r="L376" s="119">
        <f>IF($D376="",0,'Guide &amp; Settings'!$C$44*IF($F376&gt;=3,$F376,0))</f>
        <v>0</v>
      </c>
      <c r="M376" s="118">
        <f t="shared" ref="M376:M439" si="105">IF($D376="",0,$J376+$K376+$L376)</f>
        <v>0</v>
      </c>
      <c r="N376" s="116">
        <f t="shared" ref="N376:N439" si="106">IF($D376="",0,$H376+$M376)</f>
        <v>0</v>
      </c>
      <c r="O376" s="115" t="str">
        <f t="shared" ref="O376:O439" si="107">IF($D376="","",IF(COUNTIFS($A$4:$A$810,$A376,$E$4:$E$810,"Win")=0,"need a winner",IF(COUNTIFS($A$4:$A$810,$A376,$E$4:$E$810,"Loss")=0,"need a loser",IF(COUNTIFS($A$4:$A$810,$A376,$D$4:$D$810,$D376)&gt;1,"duplicate player","OK"))))</f>
        <v/>
      </c>
      <c r="P376">
        <f t="shared" ref="P376:P439" si="108">IF($D376="",0,IFERROR(SUMIFS($H$4:$H$810,$A$4:$A$810,$A376,$E$4:$E$810,"Win")/COUNTIFS($A$4:$A$810,$A376,$E$4:$E$810,"Win"),0))</f>
        <v>0</v>
      </c>
      <c r="Q376">
        <f t="shared" ref="Q376:Q439" si="109">IF($D376="",0,1/(1+10^(($P376-$H376)/400)))</f>
        <v>0</v>
      </c>
      <c r="R376">
        <f t="shared" ref="R376:R439" si="110">IF($D376="",0,(COUNTIFS($D$4:$D$810,$D376,$C$4:$C$810,$C376,$E$4:$E$810,"Win",$A$4:$A$810,"&lt;"&amp;$A376)+1)/(COUNTIFS($D$4:$D$810,$D376,$C$4:$C$810,$C376,$A$4:$A$810,"&lt;"&amp;$A376)+2))</f>
        <v>0</v>
      </c>
      <c r="S376">
        <f t="shared" ref="S376:S439" si="111">IF($D376="",0,SUMIFS($R$4:$R$810,$A$4:$A$810,$A376))</f>
        <v>0</v>
      </c>
      <c r="T376" s="83">
        <f t="shared" ref="T376:T439" si="112">IF($D376="",0,COUNTIFS($D$4:$D$810,$D376,$C$4:$C$810,$C376,$A$4:$A$810,"&lt;"&amp;$A376))</f>
        <v>0</v>
      </c>
      <c r="U376" s="120">
        <f>IF($D376="",0,IFERROR(LOOKUP(2,1/(($D$3:D375=$D376)*($C$3:C375=$C376)*($A$3:A375&lt;$A376)),$AB$3:AB375),1000))</f>
        <v>0</v>
      </c>
      <c r="V376" s="120">
        <f t="shared" ref="V376:V439" si="113">IF($D376="",0,$U376*($T376/($T376+5))+$H376*(1-$T376/($T376+5)))</f>
        <v>0</v>
      </c>
      <c r="W376">
        <f t="shared" ref="W376:W439" si="114">IF($D376="",0,IFERROR(SUMIFS($V$4:$V$810,$A$4:$A$810,$A376,$E$4:$E$810,"Win")/COUNTIFS($A$4:$A$810,$A376,$E$4:$E$810,"Win"),0))</f>
        <v>0</v>
      </c>
      <c r="X376">
        <f t="shared" ref="X376:X439" si="115">IF($D376="",0,1/(1+10^(($W376-$V376)/400)))</f>
        <v>0</v>
      </c>
      <c r="Y376">
        <f t="shared" ref="Y376:Y439" si="116">IF($D376="",0,IFERROR(SUMIFS($U$4:$U$810,$A$4:$A$810,$A376,$E$4:$E$810,"Win")/COUNTIFS($A$4:$A$810,$A376,$E$4:$E$810,"Win"),0))</f>
        <v>0</v>
      </c>
      <c r="Z376">
        <f t="shared" ref="Z376:Z439" si="117">IF($D376="",0,1/(1+10^(($Y376-$U376)/400)))</f>
        <v>0</v>
      </c>
      <c r="AA376">
        <f>IF($D376="",0,IF($F376&lt;2,0,IF($E376="Win",('Guide &amp; Settings'!$C$42/(($F376-1)*COUNTIFS($A$4:$A$810,$A376,$E$4:$E$810,"Win")))*SUMIFS($Z$4:$Z$810,$A$4:$A$810,$A376,$E$4:$E$810,"Loss"),-('Guide &amp; Settings'!$C$42/($F376-1))*$Z376)))</f>
        <v>0</v>
      </c>
      <c r="AB376" s="120">
        <f t="shared" ref="AB376:AB439" si="118">IF($D376="",0,$U376+$AA376)</f>
        <v>0</v>
      </c>
      <c r="AC376" s="120" t="str">
        <f>IF($D376="","",IF(SUMPRODUCT(MAX(($D$4:$D$810=$D376)*($B$4:$B$810&lt;$B376)*$B$4:$B$810))=0,0,MAX(($B376-MAX(SUMPRODUCT(MAX(($D$4:$D$810=$D376)*($B$4:$B$810&lt;$B376)*$B$4:$B$810)),'Guide &amp; Settings'!$C$50))/7-'Guide &amp; Settings'!$C$48,0)*'Guide &amp; Settings'!$C$49))</f>
        <v/>
      </c>
    </row>
    <row r="377" spans="1:29" x14ac:dyDescent="0.2">
      <c r="A377" s="111"/>
      <c r="B377" s="112"/>
      <c r="C377" s="113"/>
      <c r="D377" s="113"/>
      <c r="E377" s="111"/>
      <c r="F377" s="114">
        <f t="shared" si="102"/>
        <v>0</v>
      </c>
      <c r="G377" s="115" t="str">
        <f t="shared" si="103"/>
        <v/>
      </c>
      <c r="H377" s="116">
        <f>IF($D377="",0,IFERROR(LOOKUP(2,1/(($D$3:D376=$D377)*($A$3:A376&lt;$A377)),$N$3:N376),'Guide &amp; Settings'!$C$41))</f>
        <v>0</v>
      </c>
      <c r="I377" s="117">
        <f t="shared" si="104"/>
        <v>0</v>
      </c>
      <c r="J377" s="118">
        <f>IF($D377="",0,IF($F377&lt;2,0,IF($E377="Win",('Guide &amp; Settings'!$C$42/(($F377-1)*COUNTIFS($A$4:$A$810,$A377,$E$4:$E$810,"Win")))*SUMIFS($X$4:$X$810,$A$4:$A$810,$A377,$E$4:$E$810,"Loss"),-('Guide &amp; Settings'!$C$42/($F377-1))*$X377)))</f>
        <v>0</v>
      </c>
      <c r="K377" s="118">
        <f>IF($D377="",0,'Guide &amp; Settings'!$C$43*(IF($E377="Win",1,0)-$I377))</f>
        <v>0</v>
      </c>
      <c r="L377" s="119">
        <f>IF($D377="",0,'Guide &amp; Settings'!$C$44*IF($F377&gt;=3,$F377,0))</f>
        <v>0</v>
      </c>
      <c r="M377" s="118">
        <f t="shared" si="105"/>
        <v>0</v>
      </c>
      <c r="N377" s="116">
        <f t="shared" si="106"/>
        <v>0</v>
      </c>
      <c r="O377" s="115" t="str">
        <f t="shared" si="107"/>
        <v/>
      </c>
      <c r="P377">
        <f t="shared" si="108"/>
        <v>0</v>
      </c>
      <c r="Q377">
        <f t="shared" si="109"/>
        <v>0</v>
      </c>
      <c r="R377">
        <f t="shared" si="110"/>
        <v>0</v>
      </c>
      <c r="S377">
        <f t="shared" si="111"/>
        <v>0</v>
      </c>
      <c r="T377" s="83">
        <f t="shared" si="112"/>
        <v>0</v>
      </c>
      <c r="U377" s="120">
        <f>IF($D377="",0,IFERROR(LOOKUP(2,1/(($D$3:D376=$D377)*($C$3:C376=$C377)*($A$3:A376&lt;$A377)),$AB$3:AB376),1000))</f>
        <v>0</v>
      </c>
      <c r="V377" s="120">
        <f t="shared" si="113"/>
        <v>0</v>
      </c>
      <c r="W377">
        <f t="shared" si="114"/>
        <v>0</v>
      </c>
      <c r="X377">
        <f t="shared" si="115"/>
        <v>0</v>
      </c>
      <c r="Y377">
        <f t="shared" si="116"/>
        <v>0</v>
      </c>
      <c r="Z377">
        <f t="shared" si="117"/>
        <v>0</v>
      </c>
      <c r="AA377">
        <f>IF($D377="",0,IF($F377&lt;2,0,IF($E377="Win",('Guide &amp; Settings'!$C$42/(($F377-1)*COUNTIFS($A$4:$A$810,$A377,$E$4:$E$810,"Win")))*SUMIFS($Z$4:$Z$810,$A$4:$A$810,$A377,$E$4:$E$810,"Loss"),-('Guide &amp; Settings'!$C$42/($F377-1))*$Z377)))</f>
        <v>0</v>
      </c>
      <c r="AB377" s="120">
        <f t="shared" si="118"/>
        <v>0</v>
      </c>
      <c r="AC377" s="120" t="str">
        <f>IF($D377="","",IF(SUMPRODUCT(MAX(($D$4:$D$810=$D377)*($B$4:$B$810&lt;$B377)*$B$4:$B$810))=0,0,MAX(($B377-MAX(SUMPRODUCT(MAX(($D$4:$D$810=$D377)*($B$4:$B$810&lt;$B377)*$B$4:$B$810)),'Guide &amp; Settings'!$C$50))/7-'Guide &amp; Settings'!$C$48,0)*'Guide &amp; Settings'!$C$49))</f>
        <v/>
      </c>
    </row>
    <row r="378" spans="1:29" x14ac:dyDescent="0.2">
      <c r="A378" s="111"/>
      <c r="B378" s="112"/>
      <c r="C378" s="113"/>
      <c r="D378" s="113"/>
      <c r="E378" s="111"/>
      <c r="F378" s="114">
        <f t="shared" si="102"/>
        <v>0</v>
      </c>
      <c r="G378" s="115" t="str">
        <f t="shared" si="103"/>
        <v/>
      </c>
      <c r="H378" s="116">
        <f>IF($D378="",0,IFERROR(LOOKUP(2,1/(($D$3:D377=$D378)*($A$3:A377&lt;$A378)),$N$3:N377),'Guide &amp; Settings'!$C$41))</f>
        <v>0</v>
      </c>
      <c r="I378" s="117">
        <f t="shared" si="104"/>
        <v>0</v>
      </c>
      <c r="J378" s="118">
        <f>IF($D378="",0,IF($F378&lt;2,0,IF($E378="Win",('Guide &amp; Settings'!$C$42/(($F378-1)*COUNTIFS($A$4:$A$810,$A378,$E$4:$E$810,"Win")))*SUMIFS($X$4:$X$810,$A$4:$A$810,$A378,$E$4:$E$810,"Loss"),-('Guide &amp; Settings'!$C$42/($F378-1))*$X378)))</f>
        <v>0</v>
      </c>
      <c r="K378" s="118">
        <f>IF($D378="",0,'Guide &amp; Settings'!$C$43*(IF($E378="Win",1,0)-$I378))</f>
        <v>0</v>
      </c>
      <c r="L378" s="119">
        <f>IF($D378="",0,'Guide &amp; Settings'!$C$44*IF($F378&gt;=3,$F378,0))</f>
        <v>0</v>
      </c>
      <c r="M378" s="118">
        <f t="shared" si="105"/>
        <v>0</v>
      </c>
      <c r="N378" s="116">
        <f t="shared" si="106"/>
        <v>0</v>
      </c>
      <c r="O378" s="115" t="str">
        <f t="shared" si="107"/>
        <v/>
      </c>
      <c r="P378">
        <f t="shared" si="108"/>
        <v>0</v>
      </c>
      <c r="Q378">
        <f t="shared" si="109"/>
        <v>0</v>
      </c>
      <c r="R378">
        <f t="shared" si="110"/>
        <v>0</v>
      </c>
      <c r="S378">
        <f t="shared" si="111"/>
        <v>0</v>
      </c>
      <c r="T378" s="83">
        <f t="shared" si="112"/>
        <v>0</v>
      </c>
      <c r="U378" s="120">
        <f>IF($D378="",0,IFERROR(LOOKUP(2,1/(($D$3:D377=$D378)*($C$3:C377=$C378)*($A$3:A377&lt;$A378)),$AB$3:AB377),1000))</f>
        <v>0</v>
      </c>
      <c r="V378" s="120">
        <f t="shared" si="113"/>
        <v>0</v>
      </c>
      <c r="W378">
        <f t="shared" si="114"/>
        <v>0</v>
      </c>
      <c r="X378">
        <f t="shared" si="115"/>
        <v>0</v>
      </c>
      <c r="Y378">
        <f t="shared" si="116"/>
        <v>0</v>
      </c>
      <c r="Z378">
        <f t="shared" si="117"/>
        <v>0</v>
      </c>
      <c r="AA378">
        <f>IF($D378="",0,IF($F378&lt;2,0,IF($E378="Win",('Guide &amp; Settings'!$C$42/(($F378-1)*COUNTIFS($A$4:$A$810,$A378,$E$4:$E$810,"Win")))*SUMIFS($Z$4:$Z$810,$A$4:$A$810,$A378,$E$4:$E$810,"Loss"),-('Guide &amp; Settings'!$C$42/($F378-1))*$Z378)))</f>
        <v>0</v>
      </c>
      <c r="AB378" s="120">
        <f t="shared" si="118"/>
        <v>0</v>
      </c>
      <c r="AC378" s="120" t="str">
        <f>IF($D378="","",IF(SUMPRODUCT(MAX(($D$4:$D$810=$D378)*($B$4:$B$810&lt;$B378)*$B$4:$B$810))=0,0,MAX(($B378-MAX(SUMPRODUCT(MAX(($D$4:$D$810=$D378)*($B$4:$B$810&lt;$B378)*$B$4:$B$810)),'Guide &amp; Settings'!$C$50))/7-'Guide &amp; Settings'!$C$48,0)*'Guide &amp; Settings'!$C$49))</f>
        <v/>
      </c>
    </row>
    <row r="379" spans="1:29" x14ac:dyDescent="0.2">
      <c r="A379" s="111"/>
      <c r="B379" s="112"/>
      <c r="C379" s="113"/>
      <c r="D379" s="113"/>
      <c r="E379" s="111"/>
      <c r="F379" s="114">
        <f t="shared" si="102"/>
        <v>0</v>
      </c>
      <c r="G379" s="115" t="str">
        <f t="shared" si="103"/>
        <v/>
      </c>
      <c r="H379" s="116">
        <f>IF($D379="",0,IFERROR(LOOKUP(2,1/(($D$3:D378=$D379)*($A$3:A378&lt;$A379)),$N$3:N378),'Guide &amp; Settings'!$C$41))</f>
        <v>0</v>
      </c>
      <c r="I379" s="117">
        <f t="shared" si="104"/>
        <v>0</v>
      </c>
      <c r="J379" s="118">
        <f>IF($D379="",0,IF($F379&lt;2,0,IF($E379="Win",('Guide &amp; Settings'!$C$42/(($F379-1)*COUNTIFS($A$4:$A$810,$A379,$E$4:$E$810,"Win")))*SUMIFS($X$4:$X$810,$A$4:$A$810,$A379,$E$4:$E$810,"Loss"),-('Guide &amp; Settings'!$C$42/($F379-1))*$X379)))</f>
        <v>0</v>
      </c>
      <c r="K379" s="118">
        <f>IF($D379="",0,'Guide &amp; Settings'!$C$43*(IF($E379="Win",1,0)-$I379))</f>
        <v>0</v>
      </c>
      <c r="L379" s="119">
        <f>IF($D379="",0,'Guide &amp; Settings'!$C$44*IF($F379&gt;=3,$F379,0))</f>
        <v>0</v>
      </c>
      <c r="M379" s="118">
        <f t="shared" si="105"/>
        <v>0</v>
      </c>
      <c r="N379" s="116">
        <f t="shared" si="106"/>
        <v>0</v>
      </c>
      <c r="O379" s="115" t="str">
        <f t="shared" si="107"/>
        <v/>
      </c>
      <c r="P379">
        <f t="shared" si="108"/>
        <v>0</v>
      </c>
      <c r="Q379">
        <f t="shared" si="109"/>
        <v>0</v>
      </c>
      <c r="R379">
        <f t="shared" si="110"/>
        <v>0</v>
      </c>
      <c r="S379">
        <f t="shared" si="111"/>
        <v>0</v>
      </c>
      <c r="T379" s="83">
        <f t="shared" si="112"/>
        <v>0</v>
      </c>
      <c r="U379" s="120">
        <f>IF($D379="",0,IFERROR(LOOKUP(2,1/(($D$3:D378=$D379)*($C$3:C378=$C379)*($A$3:A378&lt;$A379)),$AB$3:AB378),1000))</f>
        <v>0</v>
      </c>
      <c r="V379" s="120">
        <f t="shared" si="113"/>
        <v>0</v>
      </c>
      <c r="W379">
        <f t="shared" si="114"/>
        <v>0</v>
      </c>
      <c r="X379">
        <f t="shared" si="115"/>
        <v>0</v>
      </c>
      <c r="Y379">
        <f t="shared" si="116"/>
        <v>0</v>
      </c>
      <c r="Z379">
        <f t="shared" si="117"/>
        <v>0</v>
      </c>
      <c r="AA379">
        <f>IF($D379="",0,IF($F379&lt;2,0,IF($E379="Win",('Guide &amp; Settings'!$C$42/(($F379-1)*COUNTIFS($A$4:$A$810,$A379,$E$4:$E$810,"Win")))*SUMIFS($Z$4:$Z$810,$A$4:$A$810,$A379,$E$4:$E$810,"Loss"),-('Guide &amp; Settings'!$C$42/($F379-1))*$Z379)))</f>
        <v>0</v>
      </c>
      <c r="AB379" s="120">
        <f t="shared" si="118"/>
        <v>0</v>
      </c>
      <c r="AC379" s="120" t="str">
        <f>IF($D379="","",IF(SUMPRODUCT(MAX(($D$4:$D$810=$D379)*($B$4:$B$810&lt;$B379)*$B$4:$B$810))=0,0,MAX(($B379-MAX(SUMPRODUCT(MAX(($D$4:$D$810=$D379)*($B$4:$B$810&lt;$B379)*$B$4:$B$810)),'Guide &amp; Settings'!$C$50))/7-'Guide &amp; Settings'!$C$48,0)*'Guide &amp; Settings'!$C$49))</f>
        <v/>
      </c>
    </row>
    <row r="380" spans="1:29" x14ac:dyDescent="0.2">
      <c r="A380" s="111"/>
      <c r="B380" s="112"/>
      <c r="C380" s="113"/>
      <c r="D380" s="113"/>
      <c r="E380" s="111"/>
      <c r="F380" s="114">
        <f t="shared" si="102"/>
        <v>0</v>
      </c>
      <c r="G380" s="115" t="str">
        <f t="shared" si="103"/>
        <v/>
      </c>
      <c r="H380" s="116">
        <f>IF($D380="",0,IFERROR(LOOKUP(2,1/(($D$3:D379=$D380)*($A$3:A379&lt;$A380)),$N$3:N379),'Guide &amp; Settings'!$C$41))</f>
        <v>0</v>
      </c>
      <c r="I380" s="117">
        <f t="shared" si="104"/>
        <v>0</v>
      </c>
      <c r="J380" s="118">
        <f>IF($D380="",0,IF($F380&lt;2,0,IF($E380="Win",('Guide &amp; Settings'!$C$42/(($F380-1)*COUNTIFS($A$4:$A$810,$A380,$E$4:$E$810,"Win")))*SUMIFS($X$4:$X$810,$A$4:$A$810,$A380,$E$4:$E$810,"Loss"),-('Guide &amp; Settings'!$C$42/($F380-1))*$X380)))</f>
        <v>0</v>
      </c>
      <c r="K380" s="118">
        <f>IF($D380="",0,'Guide &amp; Settings'!$C$43*(IF($E380="Win",1,0)-$I380))</f>
        <v>0</v>
      </c>
      <c r="L380" s="119">
        <f>IF($D380="",0,'Guide &amp; Settings'!$C$44*IF($F380&gt;=3,$F380,0))</f>
        <v>0</v>
      </c>
      <c r="M380" s="118">
        <f t="shared" si="105"/>
        <v>0</v>
      </c>
      <c r="N380" s="116">
        <f t="shared" si="106"/>
        <v>0</v>
      </c>
      <c r="O380" s="115" t="str">
        <f t="shared" si="107"/>
        <v/>
      </c>
      <c r="P380">
        <f t="shared" si="108"/>
        <v>0</v>
      </c>
      <c r="Q380">
        <f t="shared" si="109"/>
        <v>0</v>
      </c>
      <c r="R380">
        <f t="shared" si="110"/>
        <v>0</v>
      </c>
      <c r="S380">
        <f t="shared" si="111"/>
        <v>0</v>
      </c>
      <c r="T380" s="83">
        <f t="shared" si="112"/>
        <v>0</v>
      </c>
      <c r="U380" s="120">
        <f>IF($D380="",0,IFERROR(LOOKUP(2,1/(($D$3:D379=$D380)*($C$3:C379=$C380)*($A$3:A379&lt;$A380)),$AB$3:AB379),1000))</f>
        <v>0</v>
      </c>
      <c r="V380" s="120">
        <f t="shared" si="113"/>
        <v>0</v>
      </c>
      <c r="W380">
        <f t="shared" si="114"/>
        <v>0</v>
      </c>
      <c r="X380">
        <f t="shared" si="115"/>
        <v>0</v>
      </c>
      <c r="Y380">
        <f t="shared" si="116"/>
        <v>0</v>
      </c>
      <c r="Z380">
        <f t="shared" si="117"/>
        <v>0</v>
      </c>
      <c r="AA380">
        <f>IF($D380="",0,IF($F380&lt;2,0,IF($E380="Win",('Guide &amp; Settings'!$C$42/(($F380-1)*COUNTIFS($A$4:$A$810,$A380,$E$4:$E$810,"Win")))*SUMIFS($Z$4:$Z$810,$A$4:$A$810,$A380,$E$4:$E$810,"Loss"),-('Guide &amp; Settings'!$C$42/($F380-1))*$Z380)))</f>
        <v>0</v>
      </c>
      <c r="AB380" s="120">
        <f t="shared" si="118"/>
        <v>0</v>
      </c>
      <c r="AC380" s="120" t="str">
        <f>IF($D380="","",IF(SUMPRODUCT(MAX(($D$4:$D$810=$D380)*($B$4:$B$810&lt;$B380)*$B$4:$B$810))=0,0,MAX(($B380-MAX(SUMPRODUCT(MAX(($D$4:$D$810=$D380)*($B$4:$B$810&lt;$B380)*$B$4:$B$810)),'Guide &amp; Settings'!$C$50))/7-'Guide &amp; Settings'!$C$48,0)*'Guide &amp; Settings'!$C$49))</f>
        <v/>
      </c>
    </row>
    <row r="381" spans="1:29" x14ac:dyDescent="0.2">
      <c r="A381" s="111"/>
      <c r="B381" s="112"/>
      <c r="C381" s="113"/>
      <c r="D381" s="113"/>
      <c r="E381" s="111"/>
      <c r="F381" s="114">
        <f t="shared" si="102"/>
        <v>0</v>
      </c>
      <c r="G381" s="115" t="str">
        <f t="shared" si="103"/>
        <v/>
      </c>
      <c r="H381" s="116">
        <f>IF($D381="",0,IFERROR(LOOKUP(2,1/(($D$3:D380=$D381)*($A$3:A380&lt;$A381)),$N$3:N380),'Guide &amp; Settings'!$C$41))</f>
        <v>0</v>
      </c>
      <c r="I381" s="117">
        <f t="shared" si="104"/>
        <v>0</v>
      </c>
      <c r="J381" s="118">
        <f>IF($D381="",0,IF($F381&lt;2,0,IF($E381="Win",('Guide &amp; Settings'!$C$42/(($F381-1)*COUNTIFS($A$4:$A$810,$A381,$E$4:$E$810,"Win")))*SUMIFS($X$4:$X$810,$A$4:$A$810,$A381,$E$4:$E$810,"Loss"),-('Guide &amp; Settings'!$C$42/($F381-1))*$X381)))</f>
        <v>0</v>
      </c>
      <c r="K381" s="118">
        <f>IF($D381="",0,'Guide &amp; Settings'!$C$43*(IF($E381="Win",1,0)-$I381))</f>
        <v>0</v>
      </c>
      <c r="L381" s="119">
        <f>IF($D381="",0,'Guide &amp; Settings'!$C$44*IF($F381&gt;=3,$F381,0))</f>
        <v>0</v>
      </c>
      <c r="M381" s="118">
        <f t="shared" si="105"/>
        <v>0</v>
      </c>
      <c r="N381" s="116">
        <f t="shared" si="106"/>
        <v>0</v>
      </c>
      <c r="O381" s="115" t="str">
        <f t="shared" si="107"/>
        <v/>
      </c>
      <c r="P381">
        <f t="shared" si="108"/>
        <v>0</v>
      </c>
      <c r="Q381">
        <f t="shared" si="109"/>
        <v>0</v>
      </c>
      <c r="R381">
        <f t="shared" si="110"/>
        <v>0</v>
      </c>
      <c r="S381">
        <f t="shared" si="111"/>
        <v>0</v>
      </c>
      <c r="T381" s="83">
        <f t="shared" si="112"/>
        <v>0</v>
      </c>
      <c r="U381" s="120">
        <f>IF($D381="",0,IFERROR(LOOKUP(2,1/(($D$3:D380=$D381)*($C$3:C380=$C381)*($A$3:A380&lt;$A381)),$AB$3:AB380),1000))</f>
        <v>0</v>
      </c>
      <c r="V381" s="120">
        <f t="shared" si="113"/>
        <v>0</v>
      </c>
      <c r="W381">
        <f t="shared" si="114"/>
        <v>0</v>
      </c>
      <c r="X381">
        <f t="shared" si="115"/>
        <v>0</v>
      </c>
      <c r="Y381">
        <f t="shared" si="116"/>
        <v>0</v>
      </c>
      <c r="Z381">
        <f t="shared" si="117"/>
        <v>0</v>
      </c>
      <c r="AA381">
        <f>IF($D381="",0,IF($F381&lt;2,0,IF($E381="Win",('Guide &amp; Settings'!$C$42/(($F381-1)*COUNTIFS($A$4:$A$810,$A381,$E$4:$E$810,"Win")))*SUMIFS($Z$4:$Z$810,$A$4:$A$810,$A381,$E$4:$E$810,"Loss"),-('Guide &amp; Settings'!$C$42/($F381-1))*$Z381)))</f>
        <v>0</v>
      </c>
      <c r="AB381" s="120">
        <f t="shared" si="118"/>
        <v>0</v>
      </c>
      <c r="AC381" s="120" t="str">
        <f>IF($D381="","",IF(SUMPRODUCT(MAX(($D$4:$D$810=$D381)*($B$4:$B$810&lt;$B381)*$B$4:$B$810))=0,0,MAX(($B381-MAX(SUMPRODUCT(MAX(($D$4:$D$810=$D381)*($B$4:$B$810&lt;$B381)*$B$4:$B$810)),'Guide &amp; Settings'!$C$50))/7-'Guide &amp; Settings'!$C$48,0)*'Guide &amp; Settings'!$C$49))</f>
        <v/>
      </c>
    </row>
    <row r="382" spans="1:29" x14ac:dyDescent="0.2">
      <c r="A382" s="111"/>
      <c r="B382" s="112"/>
      <c r="C382" s="113"/>
      <c r="D382" s="113"/>
      <c r="E382" s="111"/>
      <c r="F382" s="114">
        <f t="shared" si="102"/>
        <v>0</v>
      </c>
      <c r="G382" s="115" t="str">
        <f t="shared" si="103"/>
        <v/>
      </c>
      <c r="H382" s="116">
        <f>IF($D382="",0,IFERROR(LOOKUP(2,1/(($D$3:D381=$D382)*($A$3:A381&lt;$A382)),$N$3:N381),'Guide &amp; Settings'!$C$41))</f>
        <v>0</v>
      </c>
      <c r="I382" s="117">
        <f t="shared" si="104"/>
        <v>0</v>
      </c>
      <c r="J382" s="118">
        <f>IF($D382="",0,IF($F382&lt;2,0,IF($E382="Win",('Guide &amp; Settings'!$C$42/(($F382-1)*COUNTIFS($A$4:$A$810,$A382,$E$4:$E$810,"Win")))*SUMIFS($X$4:$X$810,$A$4:$A$810,$A382,$E$4:$E$810,"Loss"),-('Guide &amp; Settings'!$C$42/($F382-1))*$X382)))</f>
        <v>0</v>
      </c>
      <c r="K382" s="118">
        <f>IF($D382="",0,'Guide &amp; Settings'!$C$43*(IF($E382="Win",1,0)-$I382))</f>
        <v>0</v>
      </c>
      <c r="L382" s="119">
        <f>IF($D382="",0,'Guide &amp; Settings'!$C$44*IF($F382&gt;=3,$F382,0))</f>
        <v>0</v>
      </c>
      <c r="M382" s="118">
        <f t="shared" si="105"/>
        <v>0</v>
      </c>
      <c r="N382" s="116">
        <f t="shared" si="106"/>
        <v>0</v>
      </c>
      <c r="O382" s="115" t="str">
        <f t="shared" si="107"/>
        <v/>
      </c>
      <c r="P382">
        <f t="shared" si="108"/>
        <v>0</v>
      </c>
      <c r="Q382">
        <f t="shared" si="109"/>
        <v>0</v>
      </c>
      <c r="R382">
        <f t="shared" si="110"/>
        <v>0</v>
      </c>
      <c r="S382">
        <f t="shared" si="111"/>
        <v>0</v>
      </c>
      <c r="T382" s="83">
        <f t="shared" si="112"/>
        <v>0</v>
      </c>
      <c r="U382" s="120">
        <f>IF($D382="",0,IFERROR(LOOKUP(2,1/(($D$3:D381=$D382)*($C$3:C381=$C382)*($A$3:A381&lt;$A382)),$AB$3:AB381),1000))</f>
        <v>0</v>
      </c>
      <c r="V382" s="120">
        <f t="shared" si="113"/>
        <v>0</v>
      </c>
      <c r="W382">
        <f t="shared" si="114"/>
        <v>0</v>
      </c>
      <c r="X382">
        <f t="shared" si="115"/>
        <v>0</v>
      </c>
      <c r="Y382">
        <f t="shared" si="116"/>
        <v>0</v>
      </c>
      <c r="Z382">
        <f t="shared" si="117"/>
        <v>0</v>
      </c>
      <c r="AA382">
        <f>IF($D382="",0,IF($F382&lt;2,0,IF($E382="Win",('Guide &amp; Settings'!$C$42/(($F382-1)*COUNTIFS($A$4:$A$810,$A382,$E$4:$E$810,"Win")))*SUMIFS($Z$4:$Z$810,$A$4:$A$810,$A382,$E$4:$E$810,"Loss"),-('Guide &amp; Settings'!$C$42/($F382-1))*$Z382)))</f>
        <v>0</v>
      </c>
      <c r="AB382" s="120">
        <f t="shared" si="118"/>
        <v>0</v>
      </c>
      <c r="AC382" s="120" t="str">
        <f>IF($D382="","",IF(SUMPRODUCT(MAX(($D$4:$D$810=$D382)*($B$4:$B$810&lt;$B382)*$B$4:$B$810))=0,0,MAX(($B382-MAX(SUMPRODUCT(MAX(($D$4:$D$810=$D382)*($B$4:$B$810&lt;$B382)*$B$4:$B$810)),'Guide &amp; Settings'!$C$50))/7-'Guide &amp; Settings'!$C$48,0)*'Guide &amp; Settings'!$C$49))</f>
        <v/>
      </c>
    </row>
    <row r="383" spans="1:29" x14ac:dyDescent="0.2">
      <c r="A383" s="111"/>
      <c r="B383" s="112"/>
      <c r="C383" s="113"/>
      <c r="D383" s="113"/>
      <c r="E383" s="111"/>
      <c r="F383" s="114">
        <f t="shared" si="102"/>
        <v>0</v>
      </c>
      <c r="G383" s="115" t="str">
        <f t="shared" si="103"/>
        <v/>
      </c>
      <c r="H383" s="116">
        <f>IF($D383="",0,IFERROR(LOOKUP(2,1/(($D$3:D382=$D383)*($A$3:A382&lt;$A383)),$N$3:N382),'Guide &amp; Settings'!$C$41))</f>
        <v>0</v>
      </c>
      <c r="I383" s="117">
        <f t="shared" si="104"/>
        <v>0</v>
      </c>
      <c r="J383" s="118">
        <f>IF($D383="",0,IF($F383&lt;2,0,IF($E383="Win",('Guide &amp; Settings'!$C$42/(($F383-1)*COUNTIFS($A$4:$A$810,$A383,$E$4:$E$810,"Win")))*SUMIFS($X$4:$X$810,$A$4:$A$810,$A383,$E$4:$E$810,"Loss"),-('Guide &amp; Settings'!$C$42/($F383-1))*$X383)))</f>
        <v>0</v>
      </c>
      <c r="K383" s="118">
        <f>IF($D383="",0,'Guide &amp; Settings'!$C$43*(IF($E383="Win",1,0)-$I383))</f>
        <v>0</v>
      </c>
      <c r="L383" s="119">
        <f>IF($D383="",0,'Guide &amp; Settings'!$C$44*IF($F383&gt;=3,$F383,0))</f>
        <v>0</v>
      </c>
      <c r="M383" s="118">
        <f t="shared" si="105"/>
        <v>0</v>
      </c>
      <c r="N383" s="116">
        <f t="shared" si="106"/>
        <v>0</v>
      </c>
      <c r="O383" s="115" t="str">
        <f t="shared" si="107"/>
        <v/>
      </c>
      <c r="P383">
        <f t="shared" si="108"/>
        <v>0</v>
      </c>
      <c r="Q383">
        <f t="shared" si="109"/>
        <v>0</v>
      </c>
      <c r="R383">
        <f t="shared" si="110"/>
        <v>0</v>
      </c>
      <c r="S383">
        <f t="shared" si="111"/>
        <v>0</v>
      </c>
      <c r="T383" s="83">
        <f t="shared" si="112"/>
        <v>0</v>
      </c>
      <c r="U383" s="120">
        <f>IF($D383="",0,IFERROR(LOOKUP(2,1/(($D$3:D382=$D383)*($C$3:C382=$C383)*($A$3:A382&lt;$A383)),$AB$3:AB382),1000))</f>
        <v>0</v>
      </c>
      <c r="V383" s="120">
        <f t="shared" si="113"/>
        <v>0</v>
      </c>
      <c r="W383">
        <f t="shared" si="114"/>
        <v>0</v>
      </c>
      <c r="X383">
        <f t="shared" si="115"/>
        <v>0</v>
      </c>
      <c r="Y383">
        <f t="shared" si="116"/>
        <v>0</v>
      </c>
      <c r="Z383">
        <f t="shared" si="117"/>
        <v>0</v>
      </c>
      <c r="AA383">
        <f>IF($D383="",0,IF($F383&lt;2,0,IF($E383="Win",('Guide &amp; Settings'!$C$42/(($F383-1)*COUNTIFS($A$4:$A$810,$A383,$E$4:$E$810,"Win")))*SUMIFS($Z$4:$Z$810,$A$4:$A$810,$A383,$E$4:$E$810,"Loss"),-('Guide &amp; Settings'!$C$42/($F383-1))*$Z383)))</f>
        <v>0</v>
      </c>
      <c r="AB383" s="120">
        <f t="shared" si="118"/>
        <v>0</v>
      </c>
      <c r="AC383" s="120" t="str">
        <f>IF($D383="","",IF(SUMPRODUCT(MAX(($D$4:$D$810=$D383)*($B$4:$B$810&lt;$B383)*$B$4:$B$810))=0,0,MAX(($B383-MAX(SUMPRODUCT(MAX(($D$4:$D$810=$D383)*($B$4:$B$810&lt;$B383)*$B$4:$B$810)),'Guide &amp; Settings'!$C$50))/7-'Guide &amp; Settings'!$C$48,0)*'Guide &amp; Settings'!$C$49))</f>
        <v/>
      </c>
    </row>
    <row r="384" spans="1:29" x14ac:dyDescent="0.2">
      <c r="A384" s="111"/>
      <c r="B384" s="112"/>
      <c r="C384" s="113"/>
      <c r="D384" s="113"/>
      <c r="E384" s="111"/>
      <c r="F384" s="114">
        <f t="shared" si="102"/>
        <v>0</v>
      </c>
      <c r="G384" s="115" t="str">
        <f t="shared" si="103"/>
        <v/>
      </c>
      <c r="H384" s="116">
        <f>IF($D384="",0,IFERROR(LOOKUP(2,1/(($D$3:D383=$D384)*($A$3:A383&lt;$A384)),$N$3:N383),'Guide &amp; Settings'!$C$41))</f>
        <v>0</v>
      </c>
      <c r="I384" s="117">
        <f t="shared" si="104"/>
        <v>0</v>
      </c>
      <c r="J384" s="118">
        <f>IF($D384="",0,IF($F384&lt;2,0,IF($E384="Win",('Guide &amp; Settings'!$C$42/(($F384-1)*COUNTIFS($A$4:$A$810,$A384,$E$4:$E$810,"Win")))*SUMIFS($X$4:$X$810,$A$4:$A$810,$A384,$E$4:$E$810,"Loss"),-('Guide &amp; Settings'!$C$42/($F384-1))*$X384)))</f>
        <v>0</v>
      </c>
      <c r="K384" s="118">
        <f>IF($D384="",0,'Guide &amp; Settings'!$C$43*(IF($E384="Win",1,0)-$I384))</f>
        <v>0</v>
      </c>
      <c r="L384" s="119">
        <f>IF($D384="",0,'Guide &amp; Settings'!$C$44*IF($F384&gt;=3,$F384,0))</f>
        <v>0</v>
      </c>
      <c r="M384" s="118">
        <f t="shared" si="105"/>
        <v>0</v>
      </c>
      <c r="N384" s="116">
        <f t="shared" si="106"/>
        <v>0</v>
      </c>
      <c r="O384" s="115" t="str">
        <f t="shared" si="107"/>
        <v/>
      </c>
      <c r="P384">
        <f t="shared" si="108"/>
        <v>0</v>
      </c>
      <c r="Q384">
        <f t="shared" si="109"/>
        <v>0</v>
      </c>
      <c r="R384">
        <f t="shared" si="110"/>
        <v>0</v>
      </c>
      <c r="S384">
        <f t="shared" si="111"/>
        <v>0</v>
      </c>
      <c r="T384" s="83">
        <f t="shared" si="112"/>
        <v>0</v>
      </c>
      <c r="U384" s="120">
        <f>IF($D384="",0,IFERROR(LOOKUP(2,1/(($D$3:D383=$D384)*($C$3:C383=$C384)*($A$3:A383&lt;$A384)),$AB$3:AB383),1000))</f>
        <v>0</v>
      </c>
      <c r="V384" s="120">
        <f t="shared" si="113"/>
        <v>0</v>
      </c>
      <c r="W384">
        <f t="shared" si="114"/>
        <v>0</v>
      </c>
      <c r="X384">
        <f t="shared" si="115"/>
        <v>0</v>
      </c>
      <c r="Y384">
        <f t="shared" si="116"/>
        <v>0</v>
      </c>
      <c r="Z384">
        <f t="shared" si="117"/>
        <v>0</v>
      </c>
      <c r="AA384">
        <f>IF($D384="",0,IF($F384&lt;2,0,IF($E384="Win",('Guide &amp; Settings'!$C$42/(($F384-1)*COUNTIFS($A$4:$A$810,$A384,$E$4:$E$810,"Win")))*SUMIFS($Z$4:$Z$810,$A$4:$A$810,$A384,$E$4:$E$810,"Loss"),-('Guide &amp; Settings'!$C$42/($F384-1))*$Z384)))</f>
        <v>0</v>
      </c>
      <c r="AB384" s="120">
        <f t="shared" si="118"/>
        <v>0</v>
      </c>
      <c r="AC384" s="120" t="str">
        <f>IF($D384="","",IF(SUMPRODUCT(MAX(($D$4:$D$810=$D384)*($B$4:$B$810&lt;$B384)*$B$4:$B$810))=0,0,MAX(($B384-MAX(SUMPRODUCT(MAX(($D$4:$D$810=$D384)*($B$4:$B$810&lt;$B384)*$B$4:$B$810)),'Guide &amp; Settings'!$C$50))/7-'Guide &amp; Settings'!$C$48,0)*'Guide &amp; Settings'!$C$49))</f>
        <v/>
      </c>
    </row>
    <row r="385" spans="1:29" x14ac:dyDescent="0.2">
      <c r="A385" s="111"/>
      <c r="B385" s="112"/>
      <c r="C385" s="113"/>
      <c r="D385" s="113"/>
      <c r="E385" s="111"/>
      <c r="F385" s="114">
        <f t="shared" si="102"/>
        <v>0</v>
      </c>
      <c r="G385" s="115" t="str">
        <f t="shared" si="103"/>
        <v/>
      </c>
      <c r="H385" s="116">
        <f>IF($D385="",0,IFERROR(LOOKUP(2,1/(($D$3:D384=$D385)*($A$3:A384&lt;$A385)),$N$3:N384),'Guide &amp; Settings'!$C$41))</f>
        <v>0</v>
      </c>
      <c r="I385" s="117">
        <f t="shared" si="104"/>
        <v>0</v>
      </c>
      <c r="J385" s="118">
        <f>IF($D385="",0,IF($F385&lt;2,0,IF($E385="Win",('Guide &amp; Settings'!$C$42/(($F385-1)*COUNTIFS($A$4:$A$810,$A385,$E$4:$E$810,"Win")))*SUMIFS($X$4:$X$810,$A$4:$A$810,$A385,$E$4:$E$810,"Loss"),-('Guide &amp; Settings'!$C$42/($F385-1))*$X385)))</f>
        <v>0</v>
      </c>
      <c r="K385" s="118">
        <f>IF($D385="",0,'Guide &amp; Settings'!$C$43*(IF($E385="Win",1,0)-$I385))</f>
        <v>0</v>
      </c>
      <c r="L385" s="119">
        <f>IF($D385="",0,'Guide &amp; Settings'!$C$44*IF($F385&gt;=3,$F385,0))</f>
        <v>0</v>
      </c>
      <c r="M385" s="118">
        <f t="shared" si="105"/>
        <v>0</v>
      </c>
      <c r="N385" s="116">
        <f t="shared" si="106"/>
        <v>0</v>
      </c>
      <c r="O385" s="115" t="str">
        <f t="shared" si="107"/>
        <v/>
      </c>
      <c r="P385">
        <f t="shared" si="108"/>
        <v>0</v>
      </c>
      <c r="Q385">
        <f t="shared" si="109"/>
        <v>0</v>
      </c>
      <c r="R385">
        <f t="shared" si="110"/>
        <v>0</v>
      </c>
      <c r="S385">
        <f t="shared" si="111"/>
        <v>0</v>
      </c>
      <c r="T385" s="83">
        <f t="shared" si="112"/>
        <v>0</v>
      </c>
      <c r="U385" s="120">
        <f>IF($D385="",0,IFERROR(LOOKUP(2,1/(($D$3:D384=$D385)*($C$3:C384=$C385)*($A$3:A384&lt;$A385)),$AB$3:AB384),1000))</f>
        <v>0</v>
      </c>
      <c r="V385" s="120">
        <f t="shared" si="113"/>
        <v>0</v>
      </c>
      <c r="W385">
        <f t="shared" si="114"/>
        <v>0</v>
      </c>
      <c r="X385">
        <f t="shared" si="115"/>
        <v>0</v>
      </c>
      <c r="Y385">
        <f t="shared" si="116"/>
        <v>0</v>
      </c>
      <c r="Z385">
        <f t="shared" si="117"/>
        <v>0</v>
      </c>
      <c r="AA385">
        <f>IF($D385="",0,IF($F385&lt;2,0,IF($E385="Win",('Guide &amp; Settings'!$C$42/(($F385-1)*COUNTIFS($A$4:$A$810,$A385,$E$4:$E$810,"Win")))*SUMIFS($Z$4:$Z$810,$A$4:$A$810,$A385,$E$4:$E$810,"Loss"),-('Guide &amp; Settings'!$C$42/($F385-1))*$Z385)))</f>
        <v>0</v>
      </c>
      <c r="AB385" s="120">
        <f t="shared" si="118"/>
        <v>0</v>
      </c>
      <c r="AC385" s="120" t="str">
        <f>IF($D385="","",IF(SUMPRODUCT(MAX(($D$4:$D$810=$D385)*($B$4:$B$810&lt;$B385)*$B$4:$B$810))=0,0,MAX(($B385-MAX(SUMPRODUCT(MAX(($D$4:$D$810=$D385)*($B$4:$B$810&lt;$B385)*$B$4:$B$810)),'Guide &amp; Settings'!$C$50))/7-'Guide &amp; Settings'!$C$48,0)*'Guide &amp; Settings'!$C$49))</f>
        <v/>
      </c>
    </row>
    <row r="386" spans="1:29" x14ac:dyDescent="0.2">
      <c r="A386" s="111"/>
      <c r="B386" s="112"/>
      <c r="C386" s="113"/>
      <c r="D386" s="113"/>
      <c r="E386" s="111"/>
      <c r="F386" s="114">
        <f t="shared" si="102"/>
        <v>0</v>
      </c>
      <c r="G386" s="115" t="str">
        <f t="shared" si="103"/>
        <v/>
      </c>
      <c r="H386" s="116">
        <f>IF($D386="",0,IFERROR(LOOKUP(2,1/(($D$3:D385=$D386)*($A$3:A385&lt;$A386)),$N$3:N385),'Guide &amp; Settings'!$C$41))</f>
        <v>0</v>
      </c>
      <c r="I386" s="117">
        <f t="shared" si="104"/>
        <v>0</v>
      </c>
      <c r="J386" s="118">
        <f>IF($D386="",0,IF($F386&lt;2,0,IF($E386="Win",('Guide &amp; Settings'!$C$42/(($F386-1)*COUNTIFS($A$4:$A$810,$A386,$E$4:$E$810,"Win")))*SUMIFS($X$4:$X$810,$A$4:$A$810,$A386,$E$4:$E$810,"Loss"),-('Guide &amp; Settings'!$C$42/($F386-1))*$X386)))</f>
        <v>0</v>
      </c>
      <c r="K386" s="118">
        <f>IF($D386="",0,'Guide &amp; Settings'!$C$43*(IF($E386="Win",1,0)-$I386))</f>
        <v>0</v>
      </c>
      <c r="L386" s="119">
        <f>IF($D386="",0,'Guide &amp; Settings'!$C$44*IF($F386&gt;=3,$F386,0))</f>
        <v>0</v>
      </c>
      <c r="M386" s="118">
        <f t="shared" si="105"/>
        <v>0</v>
      </c>
      <c r="N386" s="116">
        <f t="shared" si="106"/>
        <v>0</v>
      </c>
      <c r="O386" s="115" t="str">
        <f t="shared" si="107"/>
        <v/>
      </c>
      <c r="P386">
        <f t="shared" si="108"/>
        <v>0</v>
      </c>
      <c r="Q386">
        <f t="shared" si="109"/>
        <v>0</v>
      </c>
      <c r="R386">
        <f t="shared" si="110"/>
        <v>0</v>
      </c>
      <c r="S386">
        <f t="shared" si="111"/>
        <v>0</v>
      </c>
      <c r="T386" s="83">
        <f t="shared" si="112"/>
        <v>0</v>
      </c>
      <c r="U386" s="120">
        <f>IF($D386="",0,IFERROR(LOOKUP(2,1/(($D$3:D385=$D386)*($C$3:C385=$C386)*($A$3:A385&lt;$A386)),$AB$3:AB385),1000))</f>
        <v>0</v>
      </c>
      <c r="V386" s="120">
        <f t="shared" si="113"/>
        <v>0</v>
      </c>
      <c r="W386">
        <f t="shared" si="114"/>
        <v>0</v>
      </c>
      <c r="X386">
        <f t="shared" si="115"/>
        <v>0</v>
      </c>
      <c r="Y386">
        <f t="shared" si="116"/>
        <v>0</v>
      </c>
      <c r="Z386">
        <f t="shared" si="117"/>
        <v>0</v>
      </c>
      <c r="AA386">
        <f>IF($D386="",0,IF($F386&lt;2,0,IF($E386="Win",('Guide &amp; Settings'!$C$42/(($F386-1)*COUNTIFS($A$4:$A$810,$A386,$E$4:$E$810,"Win")))*SUMIFS($Z$4:$Z$810,$A$4:$A$810,$A386,$E$4:$E$810,"Loss"),-('Guide &amp; Settings'!$C$42/($F386-1))*$Z386)))</f>
        <v>0</v>
      </c>
      <c r="AB386" s="120">
        <f t="shared" si="118"/>
        <v>0</v>
      </c>
      <c r="AC386" s="120" t="str">
        <f>IF($D386="","",IF(SUMPRODUCT(MAX(($D$4:$D$810=$D386)*($B$4:$B$810&lt;$B386)*$B$4:$B$810))=0,0,MAX(($B386-MAX(SUMPRODUCT(MAX(($D$4:$D$810=$D386)*($B$4:$B$810&lt;$B386)*$B$4:$B$810)),'Guide &amp; Settings'!$C$50))/7-'Guide &amp; Settings'!$C$48,0)*'Guide &amp; Settings'!$C$49))</f>
        <v/>
      </c>
    </row>
    <row r="387" spans="1:29" x14ac:dyDescent="0.2">
      <c r="A387" s="111"/>
      <c r="B387" s="112"/>
      <c r="C387" s="113"/>
      <c r="D387" s="113"/>
      <c r="E387" s="111"/>
      <c r="F387" s="114">
        <f t="shared" si="102"/>
        <v>0</v>
      </c>
      <c r="G387" s="115" t="str">
        <f t="shared" si="103"/>
        <v/>
      </c>
      <c r="H387" s="116">
        <f>IF($D387="",0,IFERROR(LOOKUP(2,1/(($D$3:D386=$D387)*($A$3:A386&lt;$A387)),$N$3:N386),'Guide &amp; Settings'!$C$41))</f>
        <v>0</v>
      </c>
      <c r="I387" s="117">
        <f t="shared" si="104"/>
        <v>0</v>
      </c>
      <c r="J387" s="118">
        <f>IF($D387="",0,IF($F387&lt;2,0,IF($E387="Win",('Guide &amp; Settings'!$C$42/(($F387-1)*COUNTIFS($A$4:$A$810,$A387,$E$4:$E$810,"Win")))*SUMIFS($X$4:$X$810,$A$4:$A$810,$A387,$E$4:$E$810,"Loss"),-('Guide &amp; Settings'!$C$42/($F387-1))*$X387)))</f>
        <v>0</v>
      </c>
      <c r="K387" s="118">
        <f>IF($D387="",0,'Guide &amp; Settings'!$C$43*(IF($E387="Win",1,0)-$I387))</f>
        <v>0</v>
      </c>
      <c r="L387" s="119">
        <f>IF($D387="",0,'Guide &amp; Settings'!$C$44*IF($F387&gt;=3,$F387,0))</f>
        <v>0</v>
      </c>
      <c r="M387" s="118">
        <f t="shared" si="105"/>
        <v>0</v>
      </c>
      <c r="N387" s="116">
        <f t="shared" si="106"/>
        <v>0</v>
      </c>
      <c r="O387" s="115" t="str">
        <f t="shared" si="107"/>
        <v/>
      </c>
      <c r="P387">
        <f t="shared" si="108"/>
        <v>0</v>
      </c>
      <c r="Q387">
        <f t="shared" si="109"/>
        <v>0</v>
      </c>
      <c r="R387">
        <f t="shared" si="110"/>
        <v>0</v>
      </c>
      <c r="S387">
        <f t="shared" si="111"/>
        <v>0</v>
      </c>
      <c r="T387" s="83">
        <f t="shared" si="112"/>
        <v>0</v>
      </c>
      <c r="U387" s="120">
        <f>IF($D387="",0,IFERROR(LOOKUP(2,1/(($D$3:D386=$D387)*($C$3:C386=$C387)*($A$3:A386&lt;$A387)),$AB$3:AB386),1000))</f>
        <v>0</v>
      </c>
      <c r="V387" s="120">
        <f t="shared" si="113"/>
        <v>0</v>
      </c>
      <c r="W387">
        <f t="shared" si="114"/>
        <v>0</v>
      </c>
      <c r="X387">
        <f t="shared" si="115"/>
        <v>0</v>
      </c>
      <c r="Y387">
        <f t="shared" si="116"/>
        <v>0</v>
      </c>
      <c r="Z387">
        <f t="shared" si="117"/>
        <v>0</v>
      </c>
      <c r="AA387">
        <f>IF($D387="",0,IF($F387&lt;2,0,IF($E387="Win",('Guide &amp; Settings'!$C$42/(($F387-1)*COUNTIFS($A$4:$A$810,$A387,$E$4:$E$810,"Win")))*SUMIFS($Z$4:$Z$810,$A$4:$A$810,$A387,$E$4:$E$810,"Loss"),-('Guide &amp; Settings'!$C$42/($F387-1))*$Z387)))</f>
        <v>0</v>
      </c>
      <c r="AB387" s="120">
        <f t="shared" si="118"/>
        <v>0</v>
      </c>
      <c r="AC387" s="120" t="str">
        <f>IF($D387="","",IF(SUMPRODUCT(MAX(($D$4:$D$810=$D387)*($B$4:$B$810&lt;$B387)*$B$4:$B$810))=0,0,MAX(($B387-MAX(SUMPRODUCT(MAX(($D$4:$D$810=$D387)*($B$4:$B$810&lt;$B387)*$B$4:$B$810)),'Guide &amp; Settings'!$C$50))/7-'Guide &amp; Settings'!$C$48,0)*'Guide &amp; Settings'!$C$49))</f>
        <v/>
      </c>
    </row>
    <row r="388" spans="1:29" x14ac:dyDescent="0.2">
      <c r="A388" s="111"/>
      <c r="B388" s="112"/>
      <c r="C388" s="113"/>
      <c r="D388" s="113"/>
      <c r="E388" s="111"/>
      <c r="F388" s="114">
        <f t="shared" si="102"/>
        <v>0</v>
      </c>
      <c r="G388" s="115" t="str">
        <f t="shared" si="103"/>
        <v/>
      </c>
      <c r="H388" s="116">
        <f>IF($D388="",0,IFERROR(LOOKUP(2,1/(($D$3:D387=$D388)*($A$3:A387&lt;$A388)),$N$3:N387),'Guide &amp; Settings'!$C$41))</f>
        <v>0</v>
      </c>
      <c r="I388" s="117">
        <f t="shared" si="104"/>
        <v>0</v>
      </c>
      <c r="J388" s="118">
        <f>IF($D388="",0,IF($F388&lt;2,0,IF($E388="Win",('Guide &amp; Settings'!$C$42/(($F388-1)*COUNTIFS($A$4:$A$810,$A388,$E$4:$E$810,"Win")))*SUMIFS($X$4:$X$810,$A$4:$A$810,$A388,$E$4:$E$810,"Loss"),-('Guide &amp; Settings'!$C$42/($F388-1))*$X388)))</f>
        <v>0</v>
      </c>
      <c r="K388" s="118">
        <f>IF($D388="",0,'Guide &amp; Settings'!$C$43*(IF($E388="Win",1,0)-$I388))</f>
        <v>0</v>
      </c>
      <c r="L388" s="119">
        <f>IF($D388="",0,'Guide &amp; Settings'!$C$44*IF($F388&gt;=3,$F388,0))</f>
        <v>0</v>
      </c>
      <c r="M388" s="118">
        <f t="shared" si="105"/>
        <v>0</v>
      </c>
      <c r="N388" s="116">
        <f t="shared" si="106"/>
        <v>0</v>
      </c>
      <c r="O388" s="115" t="str">
        <f t="shared" si="107"/>
        <v/>
      </c>
      <c r="P388">
        <f t="shared" si="108"/>
        <v>0</v>
      </c>
      <c r="Q388">
        <f t="shared" si="109"/>
        <v>0</v>
      </c>
      <c r="R388">
        <f t="shared" si="110"/>
        <v>0</v>
      </c>
      <c r="S388">
        <f t="shared" si="111"/>
        <v>0</v>
      </c>
      <c r="T388" s="83">
        <f t="shared" si="112"/>
        <v>0</v>
      </c>
      <c r="U388" s="120">
        <f>IF($D388="",0,IFERROR(LOOKUP(2,1/(($D$3:D387=$D388)*($C$3:C387=$C388)*($A$3:A387&lt;$A388)),$AB$3:AB387),1000))</f>
        <v>0</v>
      </c>
      <c r="V388" s="120">
        <f t="shared" si="113"/>
        <v>0</v>
      </c>
      <c r="W388">
        <f t="shared" si="114"/>
        <v>0</v>
      </c>
      <c r="X388">
        <f t="shared" si="115"/>
        <v>0</v>
      </c>
      <c r="Y388">
        <f t="shared" si="116"/>
        <v>0</v>
      </c>
      <c r="Z388">
        <f t="shared" si="117"/>
        <v>0</v>
      </c>
      <c r="AA388">
        <f>IF($D388="",0,IF($F388&lt;2,0,IF($E388="Win",('Guide &amp; Settings'!$C$42/(($F388-1)*COUNTIFS($A$4:$A$810,$A388,$E$4:$E$810,"Win")))*SUMIFS($Z$4:$Z$810,$A$4:$A$810,$A388,$E$4:$E$810,"Loss"),-('Guide &amp; Settings'!$C$42/($F388-1))*$Z388)))</f>
        <v>0</v>
      </c>
      <c r="AB388" s="120">
        <f t="shared" si="118"/>
        <v>0</v>
      </c>
      <c r="AC388" s="120" t="str">
        <f>IF($D388="","",IF(SUMPRODUCT(MAX(($D$4:$D$810=$D388)*($B$4:$B$810&lt;$B388)*$B$4:$B$810))=0,0,MAX(($B388-MAX(SUMPRODUCT(MAX(($D$4:$D$810=$D388)*($B$4:$B$810&lt;$B388)*$B$4:$B$810)),'Guide &amp; Settings'!$C$50))/7-'Guide &amp; Settings'!$C$48,0)*'Guide &amp; Settings'!$C$49))</f>
        <v/>
      </c>
    </row>
    <row r="389" spans="1:29" x14ac:dyDescent="0.2">
      <c r="A389" s="111"/>
      <c r="B389" s="112"/>
      <c r="C389" s="113"/>
      <c r="D389" s="113"/>
      <c r="E389" s="111"/>
      <c r="F389" s="114">
        <f t="shared" si="102"/>
        <v>0</v>
      </c>
      <c r="G389" s="115" t="str">
        <f t="shared" si="103"/>
        <v/>
      </c>
      <c r="H389" s="116">
        <f>IF($D389="",0,IFERROR(LOOKUP(2,1/(($D$3:D388=$D389)*($A$3:A388&lt;$A389)),$N$3:N388),'Guide &amp; Settings'!$C$41))</f>
        <v>0</v>
      </c>
      <c r="I389" s="117">
        <f t="shared" si="104"/>
        <v>0</v>
      </c>
      <c r="J389" s="118">
        <f>IF($D389="",0,IF($F389&lt;2,0,IF($E389="Win",('Guide &amp; Settings'!$C$42/(($F389-1)*COUNTIFS($A$4:$A$810,$A389,$E$4:$E$810,"Win")))*SUMIFS($X$4:$X$810,$A$4:$A$810,$A389,$E$4:$E$810,"Loss"),-('Guide &amp; Settings'!$C$42/($F389-1))*$X389)))</f>
        <v>0</v>
      </c>
      <c r="K389" s="118">
        <f>IF($D389="",0,'Guide &amp; Settings'!$C$43*(IF($E389="Win",1,0)-$I389))</f>
        <v>0</v>
      </c>
      <c r="L389" s="119">
        <f>IF($D389="",0,'Guide &amp; Settings'!$C$44*IF($F389&gt;=3,$F389,0))</f>
        <v>0</v>
      </c>
      <c r="M389" s="118">
        <f t="shared" si="105"/>
        <v>0</v>
      </c>
      <c r="N389" s="116">
        <f t="shared" si="106"/>
        <v>0</v>
      </c>
      <c r="O389" s="115" t="str">
        <f t="shared" si="107"/>
        <v/>
      </c>
      <c r="P389">
        <f t="shared" si="108"/>
        <v>0</v>
      </c>
      <c r="Q389">
        <f t="shared" si="109"/>
        <v>0</v>
      </c>
      <c r="R389">
        <f t="shared" si="110"/>
        <v>0</v>
      </c>
      <c r="S389">
        <f t="shared" si="111"/>
        <v>0</v>
      </c>
      <c r="T389" s="83">
        <f t="shared" si="112"/>
        <v>0</v>
      </c>
      <c r="U389" s="120">
        <f>IF($D389="",0,IFERROR(LOOKUP(2,1/(($D$3:D388=$D389)*($C$3:C388=$C389)*($A$3:A388&lt;$A389)),$AB$3:AB388),1000))</f>
        <v>0</v>
      </c>
      <c r="V389" s="120">
        <f t="shared" si="113"/>
        <v>0</v>
      </c>
      <c r="W389">
        <f t="shared" si="114"/>
        <v>0</v>
      </c>
      <c r="X389">
        <f t="shared" si="115"/>
        <v>0</v>
      </c>
      <c r="Y389">
        <f t="shared" si="116"/>
        <v>0</v>
      </c>
      <c r="Z389">
        <f t="shared" si="117"/>
        <v>0</v>
      </c>
      <c r="AA389">
        <f>IF($D389="",0,IF($F389&lt;2,0,IF($E389="Win",('Guide &amp; Settings'!$C$42/(($F389-1)*COUNTIFS($A$4:$A$810,$A389,$E$4:$E$810,"Win")))*SUMIFS($Z$4:$Z$810,$A$4:$A$810,$A389,$E$4:$E$810,"Loss"),-('Guide &amp; Settings'!$C$42/($F389-1))*$Z389)))</f>
        <v>0</v>
      </c>
      <c r="AB389" s="120">
        <f t="shared" si="118"/>
        <v>0</v>
      </c>
      <c r="AC389" s="120" t="str">
        <f>IF($D389="","",IF(SUMPRODUCT(MAX(($D$4:$D$810=$D389)*($B$4:$B$810&lt;$B389)*$B$4:$B$810))=0,0,MAX(($B389-MAX(SUMPRODUCT(MAX(($D$4:$D$810=$D389)*($B$4:$B$810&lt;$B389)*$B$4:$B$810)),'Guide &amp; Settings'!$C$50))/7-'Guide &amp; Settings'!$C$48,0)*'Guide &amp; Settings'!$C$49))</f>
        <v/>
      </c>
    </row>
    <row r="390" spans="1:29" x14ac:dyDescent="0.2">
      <c r="A390" s="111"/>
      <c r="B390" s="112"/>
      <c r="C390" s="113"/>
      <c r="D390" s="113"/>
      <c r="E390" s="111"/>
      <c r="F390" s="114">
        <f t="shared" si="102"/>
        <v>0</v>
      </c>
      <c r="G390" s="115" t="str">
        <f t="shared" si="103"/>
        <v/>
      </c>
      <c r="H390" s="116">
        <f>IF($D390="",0,IFERROR(LOOKUP(2,1/(($D$3:D389=$D390)*($A$3:A389&lt;$A390)),$N$3:N389),'Guide &amp; Settings'!$C$41))</f>
        <v>0</v>
      </c>
      <c r="I390" s="117">
        <f t="shared" si="104"/>
        <v>0</v>
      </c>
      <c r="J390" s="118">
        <f>IF($D390="",0,IF($F390&lt;2,0,IF($E390="Win",('Guide &amp; Settings'!$C$42/(($F390-1)*COUNTIFS($A$4:$A$810,$A390,$E$4:$E$810,"Win")))*SUMIFS($X$4:$X$810,$A$4:$A$810,$A390,$E$4:$E$810,"Loss"),-('Guide &amp; Settings'!$C$42/($F390-1))*$X390)))</f>
        <v>0</v>
      </c>
      <c r="K390" s="118">
        <f>IF($D390="",0,'Guide &amp; Settings'!$C$43*(IF($E390="Win",1,0)-$I390))</f>
        <v>0</v>
      </c>
      <c r="L390" s="119">
        <f>IF($D390="",0,'Guide &amp; Settings'!$C$44*IF($F390&gt;=3,$F390,0))</f>
        <v>0</v>
      </c>
      <c r="M390" s="118">
        <f t="shared" si="105"/>
        <v>0</v>
      </c>
      <c r="N390" s="116">
        <f t="shared" si="106"/>
        <v>0</v>
      </c>
      <c r="O390" s="115" t="str">
        <f t="shared" si="107"/>
        <v/>
      </c>
      <c r="P390">
        <f t="shared" si="108"/>
        <v>0</v>
      </c>
      <c r="Q390">
        <f t="shared" si="109"/>
        <v>0</v>
      </c>
      <c r="R390">
        <f t="shared" si="110"/>
        <v>0</v>
      </c>
      <c r="S390">
        <f t="shared" si="111"/>
        <v>0</v>
      </c>
      <c r="T390" s="83">
        <f t="shared" si="112"/>
        <v>0</v>
      </c>
      <c r="U390" s="120">
        <f>IF($D390="",0,IFERROR(LOOKUP(2,1/(($D$3:D389=$D390)*($C$3:C389=$C390)*($A$3:A389&lt;$A390)),$AB$3:AB389),1000))</f>
        <v>0</v>
      </c>
      <c r="V390" s="120">
        <f t="shared" si="113"/>
        <v>0</v>
      </c>
      <c r="W390">
        <f t="shared" si="114"/>
        <v>0</v>
      </c>
      <c r="X390">
        <f t="shared" si="115"/>
        <v>0</v>
      </c>
      <c r="Y390">
        <f t="shared" si="116"/>
        <v>0</v>
      </c>
      <c r="Z390">
        <f t="shared" si="117"/>
        <v>0</v>
      </c>
      <c r="AA390">
        <f>IF($D390="",0,IF($F390&lt;2,0,IF($E390="Win",('Guide &amp; Settings'!$C$42/(($F390-1)*COUNTIFS($A$4:$A$810,$A390,$E$4:$E$810,"Win")))*SUMIFS($Z$4:$Z$810,$A$4:$A$810,$A390,$E$4:$E$810,"Loss"),-('Guide &amp; Settings'!$C$42/($F390-1))*$Z390)))</f>
        <v>0</v>
      </c>
      <c r="AB390" s="120">
        <f t="shared" si="118"/>
        <v>0</v>
      </c>
      <c r="AC390" s="120" t="str">
        <f>IF($D390="","",IF(SUMPRODUCT(MAX(($D$4:$D$810=$D390)*($B$4:$B$810&lt;$B390)*$B$4:$B$810))=0,0,MAX(($B390-MAX(SUMPRODUCT(MAX(($D$4:$D$810=$D390)*($B$4:$B$810&lt;$B390)*$B$4:$B$810)),'Guide &amp; Settings'!$C$50))/7-'Guide &amp; Settings'!$C$48,0)*'Guide &amp; Settings'!$C$49))</f>
        <v/>
      </c>
    </row>
    <row r="391" spans="1:29" x14ac:dyDescent="0.2">
      <c r="A391" s="111"/>
      <c r="B391" s="112"/>
      <c r="C391" s="113"/>
      <c r="D391" s="113"/>
      <c r="E391" s="111"/>
      <c r="F391" s="114">
        <f t="shared" si="102"/>
        <v>0</v>
      </c>
      <c r="G391" s="115" t="str">
        <f t="shared" si="103"/>
        <v/>
      </c>
      <c r="H391" s="116">
        <f>IF($D391="",0,IFERROR(LOOKUP(2,1/(($D$3:D390=$D391)*($A$3:A390&lt;$A391)),$N$3:N390),'Guide &amp; Settings'!$C$41))</f>
        <v>0</v>
      </c>
      <c r="I391" s="117">
        <f t="shared" si="104"/>
        <v>0</v>
      </c>
      <c r="J391" s="118">
        <f>IF($D391="",0,IF($F391&lt;2,0,IF($E391="Win",('Guide &amp; Settings'!$C$42/(($F391-1)*COUNTIFS($A$4:$A$810,$A391,$E$4:$E$810,"Win")))*SUMIFS($X$4:$X$810,$A$4:$A$810,$A391,$E$4:$E$810,"Loss"),-('Guide &amp; Settings'!$C$42/($F391-1))*$X391)))</f>
        <v>0</v>
      </c>
      <c r="K391" s="118">
        <f>IF($D391="",0,'Guide &amp; Settings'!$C$43*(IF($E391="Win",1,0)-$I391))</f>
        <v>0</v>
      </c>
      <c r="L391" s="119">
        <f>IF($D391="",0,'Guide &amp; Settings'!$C$44*IF($F391&gt;=3,$F391,0))</f>
        <v>0</v>
      </c>
      <c r="M391" s="118">
        <f t="shared" si="105"/>
        <v>0</v>
      </c>
      <c r="N391" s="116">
        <f t="shared" si="106"/>
        <v>0</v>
      </c>
      <c r="O391" s="115" t="str">
        <f t="shared" si="107"/>
        <v/>
      </c>
      <c r="P391">
        <f t="shared" si="108"/>
        <v>0</v>
      </c>
      <c r="Q391">
        <f t="shared" si="109"/>
        <v>0</v>
      </c>
      <c r="R391">
        <f t="shared" si="110"/>
        <v>0</v>
      </c>
      <c r="S391">
        <f t="shared" si="111"/>
        <v>0</v>
      </c>
      <c r="T391" s="83">
        <f t="shared" si="112"/>
        <v>0</v>
      </c>
      <c r="U391" s="120">
        <f>IF($D391="",0,IFERROR(LOOKUP(2,1/(($D$3:D390=$D391)*($C$3:C390=$C391)*($A$3:A390&lt;$A391)),$AB$3:AB390),1000))</f>
        <v>0</v>
      </c>
      <c r="V391" s="120">
        <f t="shared" si="113"/>
        <v>0</v>
      </c>
      <c r="W391">
        <f t="shared" si="114"/>
        <v>0</v>
      </c>
      <c r="X391">
        <f t="shared" si="115"/>
        <v>0</v>
      </c>
      <c r="Y391">
        <f t="shared" si="116"/>
        <v>0</v>
      </c>
      <c r="Z391">
        <f t="shared" si="117"/>
        <v>0</v>
      </c>
      <c r="AA391">
        <f>IF($D391="",0,IF($F391&lt;2,0,IF($E391="Win",('Guide &amp; Settings'!$C$42/(($F391-1)*COUNTIFS($A$4:$A$810,$A391,$E$4:$E$810,"Win")))*SUMIFS($Z$4:$Z$810,$A$4:$A$810,$A391,$E$4:$E$810,"Loss"),-('Guide &amp; Settings'!$C$42/($F391-1))*$Z391)))</f>
        <v>0</v>
      </c>
      <c r="AB391" s="120">
        <f t="shared" si="118"/>
        <v>0</v>
      </c>
      <c r="AC391" s="120" t="str">
        <f>IF($D391="","",IF(SUMPRODUCT(MAX(($D$4:$D$810=$D391)*($B$4:$B$810&lt;$B391)*$B$4:$B$810))=0,0,MAX(($B391-MAX(SUMPRODUCT(MAX(($D$4:$D$810=$D391)*($B$4:$B$810&lt;$B391)*$B$4:$B$810)),'Guide &amp; Settings'!$C$50))/7-'Guide &amp; Settings'!$C$48,0)*'Guide &amp; Settings'!$C$49))</f>
        <v/>
      </c>
    </row>
    <row r="392" spans="1:29" x14ac:dyDescent="0.2">
      <c r="A392" s="111"/>
      <c r="B392" s="112"/>
      <c r="C392" s="113"/>
      <c r="D392" s="113"/>
      <c r="E392" s="111"/>
      <c r="F392" s="114">
        <f t="shared" si="102"/>
        <v>0</v>
      </c>
      <c r="G392" s="115" t="str">
        <f t="shared" si="103"/>
        <v/>
      </c>
      <c r="H392" s="116">
        <f>IF($D392="",0,IFERROR(LOOKUP(2,1/(($D$3:D391=$D392)*($A$3:A391&lt;$A392)),$N$3:N391),'Guide &amp; Settings'!$C$41))</f>
        <v>0</v>
      </c>
      <c r="I392" s="117">
        <f t="shared" si="104"/>
        <v>0</v>
      </c>
      <c r="J392" s="118">
        <f>IF($D392="",0,IF($F392&lt;2,0,IF($E392="Win",('Guide &amp; Settings'!$C$42/(($F392-1)*COUNTIFS($A$4:$A$810,$A392,$E$4:$E$810,"Win")))*SUMIFS($X$4:$X$810,$A$4:$A$810,$A392,$E$4:$E$810,"Loss"),-('Guide &amp; Settings'!$C$42/($F392-1))*$X392)))</f>
        <v>0</v>
      </c>
      <c r="K392" s="118">
        <f>IF($D392="",0,'Guide &amp; Settings'!$C$43*(IF($E392="Win",1,0)-$I392))</f>
        <v>0</v>
      </c>
      <c r="L392" s="119">
        <f>IF($D392="",0,'Guide &amp; Settings'!$C$44*IF($F392&gt;=3,$F392,0))</f>
        <v>0</v>
      </c>
      <c r="M392" s="118">
        <f t="shared" si="105"/>
        <v>0</v>
      </c>
      <c r="N392" s="116">
        <f t="shared" si="106"/>
        <v>0</v>
      </c>
      <c r="O392" s="115" t="str">
        <f t="shared" si="107"/>
        <v/>
      </c>
      <c r="P392">
        <f t="shared" si="108"/>
        <v>0</v>
      </c>
      <c r="Q392">
        <f t="shared" si="109"/>
        <v>0</v>
      </c>
      <c r="R392">
        <f t="shared" si="110"/>
        <v>0</v>
      </c>
      <c r="S392">
        <f t="shared" si="111"/>
        <v>0</v>
      </c>
      <c r="T392" s="83">
        <f t="shared" si="112"/>
        <v>0</v>
      </c>
      <c r="U392" s="120">
        <f>IF($D392="",0,IFERROR(LOOKUP(2,1/(($D$3:D391=$D392)*($C$3:C391=$C392)*($A$3:A391&lt;$A392)),$AB$3:AB391),1000))</f>
        <v>0</v>
      </c>
      <c r="V392" s="120">
        <f t="shared" si="113"/>
        <v>0</v>
      </c>
      <c r="W392">
        <f t="shared" si="114"/>
        <v>0</v>
      </c>
      <c r="X392">
        <f t="shared" si="115"/>
        <v>0</v>
      </c>
      <c r="Y392">
        <f t="shared" si="116"/>
        <v>0</v>
      </c>
      <c r="Z392">
        <f t="shared" si="117"/>
        <v>0</v>
      </c>
      <c r="AA392">
        <f>IF($D392="",0,IF($F392&lt;2,0,IF($E392="Win",('Guide &amp; Settings'!$C$42/(($F392-1)*COUNTIFS($A$4:$A$810,$A392,$E$4:$E$810,"Win")))*SUMIFS($Z$4:$Z$810,$A$4:$A$810,$A392,$E$4:$E$810,"Loss"),-('Guide &amp; Settings'!$C$42/($F392-1))*$Z392)))</f>
        <v>0</v>
      </c>
      <c r="AB392" s="120">
        <f t="shared" si="118"/>
        <v>0</v>
      </c>
      <c r="AC392" s="120" t="str">
        <f>IF($D392="","",IF(SUMPRODUCT(MAX(($D$4:$D$810=$D392)*($B$4:$B$810&lt;$B392)*$B$4:$B$810))=0,0,MAX(($B392-MAX(SUMPRODUCT(MAX(($D$4:$D$810=$D392)*($B$4:$B$810&lt;$B392)*$B$4:$B$810)),'Guide &amp; Settings'!$C$50))/7-'Guide &amp; Settings'!$C$48,0)*'Guide &amp; Settings'!$C$49))</f>
        <v/>
      </c>
    </row>
    <row r="393" spans="1:29" x14ac:dyDescent="0.2">
      <c r="A393" s="111"/>
      <c r="B393" s="112"/>
      <c r="C393" s="113"/>
      <c r="D393" s="113"/>
      <c r="E393" s="111"/>
      <c r="F393" s="114">
        <f t="shared" si="102"/>
        <v>0</v>
      </c>
      <c r="G393" s="115" t="str">
        <f t="shared" si="103"/>
        <v/>
      </c>
      <c r="H393" s="116">
        <f>IF($D393="",0,IFERROR(LOOKUP(2,1/(($D$3:D392=$D393)*($A$3:A392&lt;$A393)),$N$3:N392),'Guide &amp; Settings'!$C$41))</f>
        <v>0</v>
      </c>
      <c r="I393" s="117">
        <f t="shared" si="104"/>
        <v>0</v>
      </c>
      <c r="J393" s="118">
        <f>IF($D393="",0,IF($F393&lt;2,0,IF($E393="Win",('Guide &amp; Settings'!$C$42/(($F393-1)*COUNTIFS($A$4:$A$810,$A393,$E$4:$E$810,"Win")))*SUMIFS($X$4:$X$810,$A$4:$A$810,$A393,$E$4:$E$810,"Loss"),-('Guide &amp; Settings'!$C$42/($F393-1))*$X393)))</f>
        <v>0</v>
      </c>
      <c r="K393" s="118">
        <f>IF($D393="",0,'Guide &amp; Settings'!$C$43*(IF($E393="Win",1,0)-$I393))</f>
        <v>0</v>
      </c>
      <c r="L393" s="119">
        <f>IF($D393="",0,'Guide &amp; Settings'!$C$44*IF($F393&gt;=3,$F393,0))</f>
        <v>0</v>
      </c>
      <c r="M393" s="118">
        <f t="shared" si="105"/>
        <v>0</v>
      </c>
      <c r="N393" s="116">
        <f t="shared" si="106"/>
        <v>0</v>
      </c>
      <c r="O393" s="115" t="str">
        <f t="shared" si="107"/>
        <v/>
      </c>
      <c r="P393">
        <f t="shared" si="108"/>
        <v>0</v>
      </c>
      <c r="Q393">
        <f t="shared" si="109"/>
        <v>0</v>
      </c>
      <c r="R393">
        <f t="shared" si="110"/>
        <v>0</v>
      </c>
      <c r="S393">
        <f t="shared" si="111"/>
        <v>0</v>
      </c>
      <c r="T393" s="83">
        <f t="shared" si="112"/>
        <v>0</v>
      </c>
      <c r="U393" s="120">
        <f>IF($D393="",0,IFERROR(LOOKUP(2,1/(($D$3:D392=$D393)*($C$3:C392=$C393)*($A$3:A392&lt;$A393)),$AB$3:AB392),1000))</f>
        <v>0</v>
      </c>
      <c r="V393" s="120">
        <f t="shared" si="113"/>
        <v>0</v>
      </c>
      <c r="W393">
        <f t="shared" si="114"/>
        <v>0</v>
      </c>
      <c r="X393">
        <f t="shared" si="115"/>
        <v>0</v>
      </c>
      <c r="Y393">
        <f t="shared" si="116"/>
        <v>0</v>
      </c>
      <c r="Z393">
        <f t="shared" si="117"/>
        <v>0</v>
      </c>
      <c r="AA393">
        <f>IF($D393="",0,IF($F393&lt;2,0,IF($E393="Win",('Guide &amp; Settings'!$C$42/(($F393-1)*COUNTIFS($A$4:$A$810,$A393,$E$4:$E$810,"Win")))*SUMIFS($Z$4:$Z$810,$A$4:$A$810,$A393,$E$4:$E$810,"Loss"),-('Guide &amp; Settings'!$C$42/($F393-1))*$Z393)))</f>
        <v>0</v>
      </c>
      <c r="AB393" s="120">
        <f t="shared" si="118"/>
        <v>0</v>
      </c>
      <c r="AC393" s="120" t="str">
        <f>IF($D393="","",IF(SUMPRODUCT(MAX(($D$4:$D$810=$D393)*($B$4:$B$810&lt;$B393)*$B$4:$B$810))=0,0,MAX(($B393-MAX(SUMPRODUCT(MAX(($D$4:$D$810=$D393)*($B$4:$B$810&lt;$B393)*$B$4:$B$810)),'Guide &amp; Settings'!$C$50))/7-'Guide &amp; Settings'!$C$48,0)*'Guide &amp; Settings'!$C$49))</f>
        <v/>
      </c>
    </row>
    <row r="394" spans="1:29" x14ac:dyDescent="0.2">
      <c r="A394" s="111"/>
      <c r="B394" s="112"/>
      <c r="C394" s="113"/>
      <c r="D394" s="113"/>
      <c r="E394" s="111"/>
      <c r="F394" s="114">
        <f t="shared" si="102"/>
        <v>0</v>
      </c>
      <c r="G394" s="115" t="str">
        <f t="shared" si="103"/>
        <v/>
      </c>
      <c r="H394" s="116">
        <f>IF($D394="",0,IFERROR(LOOKUP(2,1/(($D$3:D393=$D394)*($A$3:A393&lt;$A394)),$N$3:N393),'Guide &amp; Settings'!$C$41))</f>
        <v>0</v>
      </c>
      <c r="I394" s="117">
        <f t="shared" si="104"/>
        <v>0</v>
      </c>
      <c r="J394" s="118">
        <f>IF($D394="",0,IF($F394&lt;2,0,IF($E394="Win",('Guide &amp; Settings'!$C$42/(($F394-1)*COUNTIFS($A$4:$A$810,$A394,$E$4:$E$810,"Win")))*SUMIFS($X$4:$X$810,$A$4:$A$810,$A394,$E$4:$E$810,"Loss"),-('Guide &amp; Settings'!$C$42/($F394-1))*$X394)))</f>
        <v>0</v>
      </c>
      <c r="K394" s="118">
        <f>IF($D394="",0,'Guide &amp; Settings'!$C$43*(IF($E394="Win",1,0)-$I394))</f>
        <v>0</v>
      </c>
      <c r="L394" s="119">
        <f>IF($D394="",0,'Guide &amp; Settings'!$C$44*IF($F394&gt;=3,$F394,0))</f>
        <v>0</v>
      </c>
      <c r="M394" s="118">
        <f t="shared" si="105"/>
        <v>0</v>
      </c>
      <c r="N394" s="116">
        <f t="shared" si="106"/>
        <v>0</v>
      </c>
      <c r="O394" s="115" t="str">
        <f t="shared" si="107"/>
        <v/>
      </c>
      <c r="P394">
        <f t="shared" si="108"/>
        <v>0</v>
      </c>
      <c r="Q394">
        <f t="shared" si="109"/>
        <v>0</v>
      </c>
      <c r="R394">
        <f t="shared" si="110"/>
        <v>0</v>
      </c>
      <c r="S394">
        <f t="shared" si="111"/>
        <v>0</v>
      </c>
      <c r="T394" s="83">
        <f t="shared" si="112"/>
        <v>0</v>
      </c>
      <c r="U394" s="120">
        <f>IF($D394="",0,IFERROR(LOOKUP(2,1/(($D$3:D393=$D394)*($C$3:C393=$C394)*($A$3:A393&lt;$A394)),$AB$3:AB393),1000))</f>
        <v>0</v>
      </c>
      <c r="V394" s="120">
        <f t="shared" si="113"/>
        <v>0</v>
      </c>
      <c r="W394">
        <f t="shared" si="114"/>
        <v>0</v>
      </c>
      <c r="X394">
        <f t="shared" si="115"/>
        <v>0</v>
      </c>
      <c r="Y394">
        <f t="shared" si="116"/>
        <v>0</v>
      </c>
      <c r="Z394">
        <f t="shared" si="117"/>
        <v>0</v>
      </c>
      <c r="AA394">
        <f>IF($D394="",0,IF($F394&lt;2,0,IF($E394="Win",('Guide &amp; Settings'!$C$42/(($F394-1)*COUNTIFS($A$4:$A$810,$A394,$E$4:$E$810,"Win")))*SUMIFS($Z$4:$Z$810,$A$4:$A$810,$A394,$E$4:$E$810,"Loss"),-('Guide &amp; Settings'!$C$42/($F394-1))*$Z394)))</f>
        <v>0</v>
      </c>
      <c r="AB394" s="120">
        <f t="shared" si="118"/>
        <v>0</v>
      </c>
      <c r="AC394" s="120" t="str">
        <f>IF($D394="","",IF(SUMPRODUCT(MAX(($D$4:$D$810=$D394)*($B$4:$B$810&lt;$B394)*$B$4:$B$810))=0,0,MAX(($B394-MAX(SUMPRODUCT(MAX(($D$4:$D$810=$D394)*($B$4:$B$810&lt;$B394)*$B$4:$B$810)),'Guide &amp; Settings'!$C$50))/7-'Guide &amp; Settings'!$C$48,0)*'Guide &amp; Settings'!$C$49))</f>
        <v/>
      </c>
    </row>
    <row r="395" spans="1:29" x14ac:dyDescent="0.2">
      <c r="A395" s="111"/>
      <c r="B395" s="112"/>
      <c r="C395" s="113"/>
      <c r="D395" s="113"/>
      <c r="E395" s="111"/>
      <c r="F395" s="114">
        <f t="shared" si="102"/>
        <v>0</v>
      </c>
      <c r="G395" s="115" t="str">
        <f t="shared" si="103"/>
        <v/>
      </c>
      <c r="H395" s="116">
        <f>IF($D395="",0,IFERROR(LOOKUP(2,1/(($D$3:D394=$D395)*($A$3:A394&lt;$A395)),$N$3:N394),'Guide &amp; Settings'!$C$41))</f>
        <v>0</v>
      </c>
      <c r="I395" s="117">
        <f t="shared" si="104"/>
        <v>0</v>
      </c>
      <c r="J395" s="118">
        <f>IF($D395="",0,IF($F395&lt;2,0,IF($E395="Win",('Guide &amp; Settings'!$C$42/(($F395-1)*COUNTIFS($A$4:$A$810,$A395,$E$4:$E$810,"Win")))*SUMIFS($X$4:$X$810,$A$4:$A$810,$A395,$E$4:$E$810,"Loss"),-('Guide &amp; Settings'!$C$42/($F395-1))*$X395)))</f>
        <v>0</v>
      </c>
      <c r="K395" s="118">
        <f>IF($D395="",0,'Guide &amp; Settings'!$C$43*(IF($E395="Win",1,0)-$I395))</f>
        <v>0</v>
      </c>
      <c r="L395" s="119">
        <f>IF($D395="",0,'Guide &amp; Settings'!$C$44*IF($F395&gt;=3,$F395,0))</f>
        <v>0</v>
      </c>
      <c r="M395" s="118">
        <f t="shared" si="105"/>
        <v>0</v>
      </c>
      <c r="N395" s="116">
        <f t="shared" si="106"/>
        <v>0</v>
      </c>
      <c r="O395" s="115" t="str">
        <f t="shared" si="107"/>
        <v/>
      </c>
      <c r="P395">
        <f t="shared" si="108"/>
        <v>0</v>
      </c>
      <c r="Q395">
        <f t="shared" si="109"/>
        <v>0</v>
      </c>
      <c r="R395">
        <f t="shared" si="110"/>
        <v>0</v>
      </c>
      <c r="S395">
        <f t="shared" si="111"/>
        <v>0</v>
      </c>
      <c r="T395" s="83">
        <f t="shared" si="112"/>
        <v>0</v>
      </c>
      <c r="U395" s="120">
        <f>IF($D395="",0,IFERROR(LOOKUP(2,1/(($D$3:D394=$D395)*($C$3:C394=$C395)*($A$3:A394&lt;$A395)),$AB$3:AB394),1000))</f>
        <v>0</v>
      </c>
      <c r="V395" s="120">
        <f t="shared" si="113"/>
        <v>0</v>
      </c>
      <c r="W395">
        <f t="shared" si="114"/>
        <v>0</v>
      </c>
      <c r="X395">
        <f t="shared" si="115"/>
        <v>0</v>
      </c>
      <c r="Y395">
        <f t="shared" si="116"/>
        <v>0</v>
      </c>
      <c r="Z395">
        <f t="shared" si="117"/>
        <v>0</v>
      </c>
      <c r="AA395">
        <f>IF($D395="",0,IF($F395&lt;2,0,IF($E395="Win",('Guide &amp; Settings'!$C$42/(($F395-1)*COUNTIFS($A$4:$A$810,$A395,$E$4:$E$810,"Win")))*SUMIFS($Z$4:$Z$810,$A$4:$A$810,$A395,$E$4:$E$810,"Loss"),-('Guide &amp; Settings'!$C$42/($F395-1))*$Z395)))</f>
        <v>0</v>
      </c>
      <c r="AB395" s="120">
        <f t="shared" si="118"/>
        <v>0</v>
      </c>
      <c r="AC395" s="120" t="str">
        <f>IF($D395="","",IF(SUMPRODUCT(MAX(($D$4:$D$810=$D395)*($B$4:$B$810&lt;$B395)*$B$4:$B$810))=0,0,MAX(($B395-MAX(SUMPRODUCT(MAX(($D$4:$D$810=$D395)*($B$4:$B$810&lt;$B395)*$B$4:$B$810)),'Guide &amp; Settings'!$C$50))/7-'Guide &amp; Settings'!$C$48,0)*'Guide &amp; Settings'!$C$49))</f>
        <v/>
      </c>
    </row>
    <row r="396" spans="1:29" x14ac:dyDescent="0.2">
      <c r="A396" s="111"/>
      <c r="B396" s="112"/>
      <c r="C396" s="113"/>
      <c r="D396" s="113"/>
      <c r="E396" s="111"/>
      <c r="F396" s="114">
        <f t="shared" si="102"/>
        <v>0</v>
      </c>
      <c r="G396" s="115" t="str">
        <f t="shared" si="103"/>
        <v/>
      </c>
      <c r="H396" s="116">
        <f>IF($D396="",0,IFERROR(LOOKUP(2,1/(($D$3:D395=$D396)*($A$3:A395&lt;$A396)),$N$3:N395),'Guide &amp; Settings'!$C$41))</f>
        <v>0</v>
      </c>
      <c r="I396" s="117">
        <f t="shared" si="104"/>
        <v>0</v>
      </c>
      <c r="J396" s="118">
        <f>IF($D396="",0,IF($F396&lt;2,0,IF($E396="Win",('Guide &amp; Settings'!$C$42/(($F396-1)*COUNTIFS($A$4:$A$810,$A396,$E$4:$E$810,"Win")))*SUMIFS($X$4:$X$810,$A$4:$A$810,$A396,$E$4:$E$810,"Loss"),-('Guide &amp; Settings'!$C$42/($F396-1))*$X396)))</f>
        <v>0</v>
      </c>
      <c r="K396" s="118">
        <f>IF($D396="",0,'Guide &amp; Settings'!$C$43*(IF($E396="Win",1,0)-$I396))</f>
        <v>0</v>
      </c>
      <c r="L396" s="119">
        <f>IF($D396="",0,'Guide &amp; Settings'!$C$44*IF($F396&gt;=3,$F396,0))</f>
        <v>0</v>
      </c>
      <c r="M396" s="118">
        <f t="shared" si="105"/>
        <v>0</v>
      </c>
      <c r="N396" s="116">
        <f t="shared" si="106"/>
        <v>0</v>
      </c>
      <c r="O396" s="115" t="str">
        <f t="shared" si="107"/>
        <v/>
      </c>
      <c r="P396">
        <f t="shared" si="108"/>
        <v>0</v>
      </c>
      <c r="Q396">
        <f t="shared" si="109"/>
        <v>0</v>
      </c>
      <c r="R396">
        <f t="shared" si="110"/>
        <v>0</v>
      </c>
      <c r="S396">
        <f t="shared" si="111"/>
        <v>0</v>
      </c>
      <c r="T396" s="83">
        <f t="shared" si="112"/>
        <v>0</v>
      </c>
      <c r="U396" s="120">
        <f>IF($D396="",0,IFERROR(LOOKUP(2,1/(($D$3:D395=$D396)*($C$3:C395=$C396)*($A$3:A395&lt;$A396)),$AB$3:AB395),1000))</f>
        <v>0</v>
      </c>
      <c r="V396" s="120">
        <f t="shared" si="113"/>
        <v>0</v>
      </c>
      <c r="W396">
        <f t="shared" si="114"/>
        <v>0</v>
      </c>
      <c r="X396">
        <f t="shared" si="115"/>
        <v>0</v>
      </c>
      <c r="Y396">
        <f t="shared" si="116"/>
        <v>0</v>
      </c>
      <c r="Z396">
        <f t="shared" si="117"/>
        <v>0</v>
      </c>
      <c r="AA396">
        <f>IF($D396="",0,IF($F396&lt;2,0,IF($E396="Win",('Guide &amp; Settings'!$C$42/(($F396-1)*COUNTIFS($A$4:$A$810,$A396,$E$4:$E$810,"Win")))*SUMIFS($Z$4:$Z$810,$A$4:$A$810,$A396,$E$4:$E$810,"Loss"),-('Guide &amp; Settings'!$C$42/($F396-1))*$Z396)))</f>
        <v>0</v>
      </c>
      <c r="AB396" s="120">
        <f t="shared" si="118"/>
        <v>0</v>
      </c>
      <c r="AC396" s="120" t="str">
        <f>IF($D396="","",IF(SUMPRODUCT(MAX(($D$4:$D$810=$D396)*($B$4:$B$810&lt;$B396)*$B$4:$B$810))=0,0,MAX(($B396-MAX(SUMPRODUCT(MAX(($D$4:$D$810=$D396)*($B$4:$B$810&lt;$B396)*$B$4:$B$810)),'Guide &amp; Settings'!$C$50))/7-'Guide &amp; Settings'!$C$48,0)*'Guide &amp; Settings'!$C$49))</f>
        <v/>
      </c>
    </row>
    <row r="397" spans="1:29" x14ac:dyDescent="0.2">
      <c r="A397" s="111"/>
      <c r="B397" s="112"/>
      <c r="C397" s="113"/>
      <c r="D397" s="113"/>
      <c r="E397" s="111"/>
      <c r="F397" s="114">
        <f t="shared" si="102"/>
        <v>0</v>
      </c>
      <c r="G397" s="115" t="str">
        <f t="shared" si="103"/>
        <v/>
      </c>
      <c r="H397" s="116">
        <f>IF($D397="",0,IFERROR(LOOKUP(2,1/(($D$3:D396=$D397)*($A$3:A396&lt;$A397)),$N$3:N396),'Guide &amp; Settings'!$C$41))</f>
        <v>0</v>
      </c>
      <c r="I397" s="117">
        <f t="shared" si="104"/>
        <v>0</v>
      </c>
      <c r="J397" s="118">
        <f>IF($D397="",0,IF($F397&lt;2,0,IF($E397="Win",('Guide &amp; Settings'!$C$42/(($F397-1)*COUNTIFS($A$4:$A$810,$A397,$E$4:$E$810,"Win")))*SUMIFS($X$4:$X$810,$A$4:$A$810,$A397,$E$4:$E$810,"Loss"),-('Guide &amp; Settings'!$C$42/($F397-1))*$X397)))</f>
        <v>0</v>
      </c>
      <c r="K397" s="118">
        <f>IF($D397="",0,'Guide &amp; Settings'!$C$43*(IF($E397="Win",1,0)-$I397))</f>
        <v>0</v>
      </c>
      <c r="L397" s="119">
        <f>IF($D397="",0,'Guide &amp; Settings'!$C$44*IF($F397&gt;=3,$F397,0))</f>
        <v>0</v>
      </c>
      <c r="M397" s="118">
        <f t="shared" si="105"/>
        <v>0</v>
      </c>
      <c r="N397" s="116">
        <f t="shared" si="106"/>
        <v>0</v>
      </c>
      <c r="O397" s="115" t="str">
        <f t="shared" si="107"/>
        <v/>
      </c>
      <c r="P397">
        <f t="shared" si="108"/>
        <v>0</v>
      </c>
      <c r="Q397">
        <f t="shared" si="109"/>
        <v>0</v>
      </c>
      <c r="R397">
        <f t="shared" si="110"/>
        <v>0</v>
      </c>
      <c r="S397">
        <f t="shared" si="111"/>
        <v>0</v>
      </c>
      <c r="T397" s="83">
        <f t="shared" si="112"/>
        <v>0</v>
      </c>
      <c r="U397" s="120">
        <f>IF($D397="",0,IFERROR(LOOKUP(2,1/(($D$3:D396=$D397)*($C$3:C396=$C397)*($A$3:A396&lt;$A397)),$AB$3:AB396),1000))</f>
        <v>0</v>
      </c>
      <c r="V397" s="120">
        <f t="shared" si="113"/>
        <v>0</v>
      </c>
      <c r="W397">
        <f t="shared" si="114"/>
        <v>0</v>
      </c>
      <c r="X397">
        <f t="shared" si="115"/>
        <v>0</v>
      </c>
      <c r="Y397">
        <f t="shared" si="116"/>
        <v>0</v>
      </c>
      <c r="Z397">
        <f t="shared" si="117"/>
        <v>0</v>
      </c>
      <c r="AA397">
        <f>IF($D397="",0,IF($F397&lt;2,0,IF($E397="Win",('Guide &amp; Settings'!$C$42/(($F397-1)*COUNTIFS($A$4:$A$810,$A397,$E$4:$E$810,"Win")))*SUMIFS($Z$4:$Z$810,$A$4:$A$810,$A397,$E$4:$E$810,"Loss"),-('Guide &amp; Settings'!$C$42/($F397-1))*$Z397)))</f>
        <v>0</v>
      </c>
      <c r="AB397" s="120">
        <f t="shared" si="118"/>
        <v>0</v>
      </c>
      <c r="AC397" s="120" t="str">
        <f>IF($D397="","",IF(SUMPRODUCT(MAX(($D$4:$D$810=$D397)*($B$4:$B$810&lt;$B397)*$B$4:$B$810))=0,0,MAX(($B397-MAX(SUMPRODUCT(MAX(($D$4:$D$810=$D397)*($B$4:$B$810&lt;$B397)*$B$4:$B$810)),'Guide &amp; Settings'!$C$50))/7-'Guide &amp; Settings'!$C$48,0)*'Guide &amp; Settings'!$C$49))</f>
        <v/>
      </c>
    </row>
    <row r="398" spans="1:29" x14ac:dyDescent="0.2">
      <c r="A398" s="111"/>
      <c r="B398" s="112"/>
      <c r="C398" s="113"/>
      <c r="D398" s="113"/>
      <c r="E398" s="111"/>
      <c r="F398" s="114">
        <f t="shared" si="102"/>
        <v>0</v>
      </c>
      <c r="G398" s="115" t="str">
        <f t="shared" si="103"/>
        <v/>
      </c>
      <c r="H398" s="116">
        <f>IF($D398="",0,IFERROR(LOOKUP(2,1/(($D$3:D397=$D398)*($A$3:A397&lt;$A398)),$N$3:N397),'Guide &amp; Settings'!$C$41))</f>
        <v>0</v>
      </c>
      <c r="I398" s="117">
        <f t="shared" si="104"/>
        <v>0</v>
      </c>
      <c r="J398" s="118">
        <f>IF($D398="",0,IF($F398&lt;2,0,IF($E398="Win",('Guide &amp; Settings'!$C$42/(($F398-1)*COUNTIFS($A$4:$A$810,$A398,$E$4:$E$810,"Win")))*SUMIFS($X$4:$X$810,$A$4:$A$810,$A398,$E$4:$E$810,"Loss"),-('Guide &amp; Settings'!$C$42/($F398-1))*$X398)))</f>
        <v>0</v>
      </c>
      <c r="K398" s="118">
        <f>IF($D398="",0,'Guide &amp; Settings'!$C$43*(IF($E398="Win",1,0)-$I398))</f>
        <v>0</v>
      </c>
      <c r="L398" s="119">
        <f>IF($D398="",0,'Guide &amp; Settings'!$C$44*IF($F398&gt;=3,$F398,0))</f>
        <v>0</v>
      </c>
      <c r="M398" s="118">
        <f t="shared" si="105"/>
        <v>0</v>
      </c>
      <c r="N398" s="116">
        <f t="shared" si="106"/>
        <v>0</v>
      </c>
      <c r="O398" s="115" t="str">
        <f t="shared" si="107"/>
        <v/>
      </c>
      <c r="P398">
        <f t="shared" si="108"/>
        <v>0</v>
      </c>
      <c r="Q398">
        <f t="shared" si="109"/>
        <v>0</v>
      </c>
      <c r="R398">
        <f t="shared" si="110"/>
        <v>0</v>
      </c>
      <c r="S398">
        <f t="shared" si="111"/>
        <v>0</v>
      </c>
      <c r="T398" s="83">
        <f t="shared" si="112"/>
        <v>0</v>
      </c>
      <c r="U398" s="120">
        <f>IF($D398="",0,IFERROR(LOOKUP(2,1/(($D$3:D397=$D398)*($C$3:C397=$C398)*($A$3:A397&lt;$A398)),$AB$3:AB397),1000))</f>
        <v>0</v>
      </c>
      <c r="V398" s="120">
        <f t="shared" si="113"/>
        <v>0</v>
      </c>
      <c r="W398">
        <f t="shared" si="114"/>
        <v>0</v>
      </c>
      <c r="X398">
        <f t="shared" si="115"/>
        <v>0</v>
      </c>
      <c r="Y398">
        <f t="shared" si="116"/>
        <v>0</v>
      </c>
      <c r="Z398">
        <f t="shared" si="117"/>
        <v>0</v>
      </c>
      <c r="AA398">
        <f>IF($D398="",0,IF($F398&lt;2,0,IF($E398="Win",('Guide &amp; Settings'!$C$42/(($F398-1)*COUNTIFS($A$4:$A$810,$A398,$E$4:$E$810,"Win")))*SUMIFS($Z$4:$Z$810,$A$4:$A$810,$A398,$E$4:$E$810,"Loss"),-('Guide &amp; Settings'!$C$42/($F398-1))*$Z398)))</f>
        <v>0</v>
      </c>
      <c r="AB398" s="120">
        <f t="shared" si="118"/>
        <v>0</v>
      </c>
      <c r="AC398" s="120" t="str">
        <f>IF($D398="","",IF(SUMPRODUCT(MAX(($D$4:$D$810=$D398)*($B$4:$B$810&lt;$B398)*$B$4:$B$810))=0,0,MAX(($B398-MAX(SUMPRODUCT(MAX(($D$4:$D$810=$D398)*($B$4:$B$810&lt;$B398)*$B$4:$B$810)),'Guide &amp; Settings'!$C$50))/7-'Guide &amp; Settings'!$C$48,0)*'Guide &amp; Settings'!$C$49))</f>
        <v/>
      </c>
    </row>
    <row r="399" spans="1:29" x14ac:dyDescent="0.2">
      <c r="A399" s="111"/>
      <c r="B399" s="112"/>
      <c r="C399" s="113"/>
      <c r="D399" s="113"/>
      <c r="E399" s="111"/>
      <c r="F399" s="114">
        <f t="shared" si="102"/>
        <v>0</v>
      </c>
      <c r="G399" s="115" t="str">
        <f t="shared" si="103"/>
        <v/>
      </c>
      <c r="H399" s="116">
        <f>IF($D399="",0,IFERROR(LOOKUP(2,1/(($D$3:D398=$D399)*($A$3:A398&lt;$A399)),$N$3:N398),'Guide &amp; Settings'!$C$41))</f>
        <v>0</v>
      </c>
      <c r="I399" s="117">
        <f t="shared" si="104"/>
        <v>0</v>
      </c>
      <c r="J399" s="118">
        <f>IF($D399="",0,IF($F399&lt;2,0,IF($E399="Win",('Guide &amp; Settings'!$C$42/(($F399-1)*COUNTIFS($A$4:$A$810,$A399,$E$4:$E$810,"Win")))*SUMIFS($X$4:$X$810,$A$4:$A$810,$A399,$E$4:$E$810,"Loss"),-('Guide &amp; Settings'!$C$42/($F399-1))*$X399)))</f>
        <v>0</v>
      </c>
      <c r="K399" s="118">
        <f>IF($D399="",0,'Guide &amp; Settings'!$C$43*(IF($E399="Win",1,0)-$I399))</f>
        <v>0</v>
      </c>
      <c r="L399" s="119">
        <f>IF($D399="",0,'Guide &amp; Settings'!$C$44*IF($F399&gt;=3,$F399,0))</f>
        <v>0</v>
      </c>
      <c r="M399" s="118">
        <f t="shared" si="105"/>
        <v>0</v>
      </c>
      <c r="N399" s="116">
        <f t="shared" si="106"/>
        <v>0</v>
      </c>
      <c r="O399" s="115" t="str">
        <f t="shared" si="107"/>
        <v/>
      </c>
      <c r="P399">
        <f t="shared" si="108"/>
        <v>0</v>
      </c>
      <c r="Q399">
        <f t="shared" si="109"/>
        <v>0</v>
      </c>
      <c r="R399">
        <f t="shared" si="110"/>
        <v>0</v>
      </c>
      <c r="S399">
        <f t="shared" si="111"/>
        <v>0</v>
      </c>
      <c r="T399" s="83">
        <f t="shared" si="112"/>
        <v>0</v>
      </c>
      <c r="U399" s="120">
        <f>IF($D399="",0,IFERROR(LOOKUP(2,1/(($D$3:D398=$D399)*($C$3:C398=$C399)*($A$3:A398&lt;$A399)),$AB$3:AB398),1000))</f>
        <v>0</v>
      </c>
      <c r="V399" s="120">
        <f t="shared" si="113"/>
        <v>0</v>
      </c>
      <c r="W399">
        <f t="shared" si="114"/>
        <v>0</v>
      </c>
      <c r="X399">
        <f t="shared" si="115"/>
        <v>0</v>
      </c>
      <c r="Y399">
        <f t="shared" si="116"/>
        <v>0</v>
      </c>
      <c r="Z399">
        <f t="shared" si="117"/>
        <v>0</v>
      </c>
      <c r="AA399">
        <f>IF($D399="",0,IF($F399&lt;2,0,IF($E399="Win",('Guide &amp; Settings'!$C$42/(($F399-1)*COUNTIFS($A$4:$A$810,$A399,$E$4:$E$810,"Win")))*SUMIFS($Z$4:$Z$810,$A$4:$A$810,$A399,$E$4:$E$810,"Loss"),-('Guide &amp; Settings'!$C$42/($F399-1))*$Z399)))</f>
        <v>0</v>
      </c>
      <c r="AB399" s="120">
        <f t="shared" si="118"/>
        <v>0</v>
      </c>
      <c r="AC399" s="120" t="str">
        <f>IF($D399="","",IF(SUMPRODUCT(MAX(($D$4:$D$810=$D399)*($B$4:$B$810&lt;$B399)*$B$4:$B$810))=0,0,MAX(($B399-MAX(SUMPRODUCT(MAX(($D$4:$D$810=$D399)*($B$4:$B$810&lt;$B399)*$B$4:$B$810)),'Guide &amp; Settings'!$C$50))/7-'Guide &amp; Settings'!$C$48,0)*'Guide &amp; Settings'!$C$49))</f>
        <v/>
      </c>
    </row>
    <row r="400" spans="1:29" x14ac:dyDescent="0.2">
      <c r="A400" s="111"/>
      <c r="B400" s="112"/>
      <c r="C400" s="113"/>
      <c r="D400" s="113"/>
      <c r="E400" s="111"/>
      <c r="F400" s="114">
        <f t="shared" si="102"/>
        <v>0</v>
      </c>
      <c r="G400" s="115" t="str">
        <f t="shared" si="103"/>
        <v/>
      </c>
      <c r="H400" s="116">
        <f>IF($D400="",0,IFERROR(LOOKUP(2,1/(($D$3:D399=$D400)*($A$3:A399&lt;$A400)),$N$3:N399),'Guide &amp; Settings'!$C$41))</f>
        <v>0</v>
      </c>
      <c r="I400" s="117">
        <f t="shared" si="104"/>
        <v>0</v>
      </c>
      <c r="J400" s="118">
        <f>IF($D400="",0,IF($F400&lt;2,0,IF($E400="Win",('Guide &amp; Settings'!$C$42/(($F400-1)*COUNTIFS($A$4:$A$810,$A400,$E$4:$E$810,"Win")))*SUMIFS($X$4:$X$810,$A$4:$A$810,$A400,$E$4:$E$810,"Loss"),-('Guide &amp; Settings'!$C$42/($F400-1))*$X400)))</f>
        <v>0</v>
      </c>
      <c r="K400" s="118">
        <f>IF($D400="",0,'Guide &amp; Settings'!$C$43*(IF($E400="Win",1,0)-$I400))</f>
        <v>0</v>
      </c>
      <c r="L400" s="119">
        <f>IF($D400="",0,'Guide &amp; Settings'!$C$44*IF($F400&gt;=3,$F400,0))</f>
        <v>0</v>
      </c>
      <c r="M400" s="118">
        <f t="shared" si="105"/>
        <v>0</v>
      </c>
      <c r="N400" s="116">
        <f t="shared" si="106"/>
        <v>0</v>
      </c>
      <c r="O400" s="115" t="str">
        <f t="shared" si="107"/>
        <v/>
      </c>
      <c r="P400">
        <f t="shared" si="108"/>
        <v>0</v>
      </c>
      <c r="Q400">
        <f t="shared" si="109"/>
        <v>0</v>
      </c>
      <c r="R400">
        <f t="shared" si="110"/>
        <v>0</v>
      </c>
      <c r="S400">
        <f t="shared" si="111"/>
        <v>0</v>
      </c>
      <c r="T400" s="83">
        <f t="shared" si="112"/>
        <v>0</v>
      </c>
      <c r="U400" s="120">
        <f>IF($D400="",0,IFERROR(LOOKUP(2,1/(($D$3:D399=$D400)*($C$3:C399=$C400)*($A$3:A399&lt;$A400)),$AB$3:AB399),1000))</f>
        <v>0</v>
      </c>
      <c r="V400" s="120">
        <f t="shared" si="113"/>
        <v>0</v>
      </c>
      <c r="W400">
        <f t="shared" si="114"/>
        <v>0</v>
      </c>
      <c r="X400">
        <f t="shared" si="115"/>
        <v>0</v>
      </c>
      <c r="Y400">
        <f t="shared" si="116"/>
        <v>0</v>
      </c>
      <c r="Z400">
        <f t="shared" si="117"/>
        <v>0</v>
      </c>
      <c r="AA400">
        <f>IF($D400="",0,IF($F400&lt;2,0,IF($E400="Win",('Guide &amp; Settings'!$C$42/(($F400-1)*COUNTIFS($A$4:$A$810,$A400,$E$4:$E$810,"Win")))*SUMIFS($Z$4:$Z$810,$A$4:$A$810,$A400,$E$4:$E$810,"Loss"),-('Guide &amp; Settings'!$C$42/($F400-1))*$Z400)))</f>
        <v>0</v>
      </c>
      <c r="AB400" s="120">
        <f t="shared" si="118"/>
        <v>0</v>
      </c>
      <c r="AC400" s="120" t="str">
        <f>IF($D400="","",IF(SUMPRODUCT(MAX(($D$4:$D$810=$D400)*($B$4:$B$810&lt;$B400)*$B$4:$B$810))=0,0,MAX(($B400-MAX(SUMPRODUCT(MAX(($D$4:$D$810=$D400)*($B$4:$B$810&lt;$B400)*$B$4:$B$810)),'Guide &amp; Settings'!$C$50))/7-'Guide &amp; Settings'!$C$48,0)*'Guide &amp; Settings'!$C$49))</f>
        <v/>
      </c>
    </row>
    <row r="401" spans="1:29" x14ac:dyDescent="0.2">
      <c r="A401" s="111"/>
      <c r="B401" s="112"/>
      <c r="C401" s="113"/>
      <c r="D401" s="113"/>
      <c r="E401" s="111"/>
      <c r="F401" s="114">
        <f t="shared" si="102"/>
        <v>0</v>
      </c>
      <c r="G401" s="115" t="str">
        <f t="shared" si="103"/>
        <v/>
      </c>
      <c r="H401" s="116">
        <f>IF($D401="",0,IFERROR(LOOKUP(2,1/(($D$3:D400=$D401)*($A$3:A400&lt;$A401)),$N$3:N400),'Guide &amp; Settings'!$C$41))</f>
        <v>0</v>
      </c>
      <c r="I401" s="117">
        <f t="shared" si="104"/>
        <v>0</v>
      </c>
      <c r="J401" s="118">
        <f>IF($D401="",0,IF($F401&lt;2,0,IF($E401="Win",('Guide &amp; Settings'!$C$42/(($F401-1)*COUNTIFS($A$4:$A$810,$A401,$E$4:$E$810,"Win")))*SUMIFS($X$4:$X$810,$A$4:$A$810,$A401,$E$4:$E$810,"Loss"),-('Guide &amp; Settings'!$C$42/($F401-1))*$X401)))</f>
        <v>0</v>
      </c>
      <c r="K401" s="118">
        <f>IF($D401="",0,'Guide &amp; Settings'!$C$43*(IF($E401="Win",1,0)-$I401))</f>
        <v>0</v>
      </c>
      <c r="L401" s="119">
        <f>IF($D401="",0,'Guide &amp; Settings'!$C$44*IF($F401&gt;=3,$F401,0))</f>
        <v>0</v>
      </c>
      <c r="M401" s="118">
        <f t="shared" si="105"/>
        <v>0</v>
      </c>
      <c r="N401" s="116">
        <f t="shared" si="106"/>
        <v>0</v>
      </c>
      <c r="O401" s="115" t="str">
        <f t="shared" si="107"/>
        <v/>
      </c>
      <c r="P401">
        <f t="shared" si="108"/>
        <v>0</v>
      </c>
      <c r="Q401">
        <f t="shared" si="109"/>
        <v>0</v>
      </c>
      <c r="R401">
        <f t="shared" si="110"/>
        <v>0</v>
      </c>
      <c r="S401">
        <f t="shared" si="111"/>
        <v>0</v>
      </c>
      <c r="T401" s="83">
        <f t="shared" si="112"/>
        <v>0</v>
      </c>
      <c r="U401" s="120">
        <f>IF($D401="",0,IFERROR(LOOKUP(2,1/(($D$3:D400=$D401)*($C$3:C400=$C401)*($A$3:A400&lt;$A401)),$AB$3:AB400),1000))</f>
        <v>0</v>
      </c>
      <c r="V401" s="120">
        <f t="shared" si="113"/>
        <v>0</v>
      </c>
      <c r="W401">
        <f t="shared" si="114"/>
        <v>0</v>
      </c>
      <c r="X401">
        <f t="shared" si="115"/>
        <v>0</v>
      </c>
      <c r="Y401">
        <f t="shared" si="116"/>
        <v>0</v>
      </c>
      <c r="Z401">
        <f t="shared" si="117"/>
        <v>0</v>
      </c>
      <c r="AA401">
        <f>IF($D401="",0,IF($F401&lt;2,0,IF($E401="Win",('Guide &amp; Settings'!$C$42/(($F401-1)*COUNTIFS($A$4:$A$810,$A401,$E$4:$E$810,"Win")))*SUMIFS($Z$4:$Z$810,$A$4:$A$810,$A401,$E$4:$E$810,"Loss"),-('Guide &amp; Settings'!$C$42/($F401-1))*$Z401)))</f>
        <v>0</v>
      </c>
      <c r="AB401" s="120">
        <f t="shared" si="118"/>
        <v>0</v>
      </c>
      <c r="AC401" s="120" t="str">
        <f>IF($D401="","",IF(SUMPRODUCT(MAX(($D$4:$D$810=$D401)*($B$4:$B$810&lt;$B401)*$B$4:$B$810))=0,0,MAX(($B401-MAX(SUMPRODUCT(MAX(($D$4:$D$810=$D401)*($B$4:$B$810&lt;$B401)*$B$4:$B$810)),'Guide &amp; Settings'!$C$50))/7-'Guide &amp; Settings'!$C$48,0)*'Guide &amp; Settings'!$C$49))</f>
        <v/>
      </c>
    </row>
    <row r="402" spans="1:29" x14ac:dyDescent="0.2">
      <c r="A402" s="111"/>
      <c r="B402" s="112"/>
      <c r="C402" s="113"/>
      <c r="D402" s="113"/>
      <c r="E402" s="111"/>
      <c r="F402" s="114">
        <f t="shared" si="102"/>
        <v>0</v>
      </c>
      <c r="G402" s="115" t="str">
        <f t="shared" si="103"/>
        <v/>
      </c>
      <c r="H402" s="116">
        <f>IF($D402="",0,IFERROR(LOOKUP(2,1/(($D$3:D401=$D402)*($A$3:A401&lt;$A402)),$N$3:N401),'Guide &amp; Settings'!$C$41))</f>
        <v>0</v>
      </c>
      <c r="I402" s="117">
        <f t="shared" si="104"/>
        <v>0</v>
      </c>
      <c r="J402" s="118">
        <f>IF($D402="",0,IF($F402&lt;2,0,IF($E402="Win",('Guide &amp; Settings'!$C$42/(($F402-1)*COUNTIFS($A$4:$A$810,$A402,$E$4:$E$810,"Win")))*SUMIFS($X$4:$X$810,$A$4:$A$810,$A402,$E$4:$E$810,"Loss"),-('Guide &amp; Settings'!$C$42/($F402-1))*$X402)))</f>
        <v>0</v>
      </c>
      <c r="K402" s="118">
        <f>IF($D402="",0,'Guide &amp; Settings'!$C$43*(IF($E402="Win",1,0)-$I402))</f>
        <v>0</v>
      </c>
      <c r="L402" s="119">
        <f>IF($D402="",0,'Guide &amp; Settings'!$C$44*IF($F402&gt;=3,$F402,0))</f>
        <v>0</v>
      </c>
      <c r="M402" s="118">
        <f t="shared" si="105"/>
        <v>0</v>
      </c>
      <c r="N402" s="116">
        <f t="shared" si="106"/>
        <v>0</v>
      </c>
      <c r="O402" s="115" t="str">
        <f t="shared" si="107"/>
        <v/>
      </c>
      <c r="P402">
        <f t="shared" si="108"/>
        <v>0</v>
      </c>
      <c r="Q402">
        <f t="shared" si="109"/>
        <v>0</v>
      </c>
      <c r="R402">
        <f t="shared" si="110"/>
        <v>0</v>
      </c>
      <c r="S402">
        <f t="shared" si="111"/>
        <v>0</v>
      </c>
      <c r="T402" s="83">
        <f t="shared" si="112"/>
        <v>0</v>
      </c>
      <c r="U402" s="120">
        <f>IF($D402="",0,IFERROR(LOOKUP(2,1/(($D$3:D401=$D402)*($C$3:C401=$C402)*($A$3:A401&lt;$A402)),$AB$3:AB401),1000))</f>
        <v>0</v>
      </c>
      <c r="V402" s="120">
        <f t="shared" si="113"/>
        <v>0</v>
      </c>
      <c r="W402">
        <f t="shared" si="114"/>
        <v>0</v>
      </c>
      <c r="X402">
        <f t="shared" si="115"/>
        <v>0</v>
      </c>
      <c r="Y402">
        <f t="shared" si="116"/>
        <v>0</v>
      </c>
      <c r="Z402">
        <f t="shared" si="117"/>
        <v>0</v>
      </c>
      <c r="AA402">
        <f>IF($D402="",0,IF($F402&lt;2,0,IF($E402="Win",('Guide &amp; Settings'!$C$42/(($F402-1)*COUNTIFS($A$4:$A$810,$A402,$E$4:$E$810,"Win")))*SUMIFS($Z$4:$Z$810,$A$4:$A$810,$A402,$E$4:$E$810,"Loss"),-('Guide &amp; Settings'!$C$42/($F402-1))*$Z402)))</f>
        <v>0</v>
      </c>
      <c r="AB402" s="120">
        <f t="shared" si="118"/>
        <v>0</v>
      </c>
      <c r="AC402" s="120" t="str">
        <f>IF($D402="","",IF(SUMPRODUCT(MAX(($D$4:$D$810=$D402)*($B$4:$B$810&lt;$B402)*$B$4:$B$810))=0,0,MAX(($B402-MAX(SUMPRODUCT(MAX(($D$4:$D$810=$D402)*($B$4:$B$810&lt;$B402)*$B$4:$B$810)),'Guide &amp; Settings'!$C$50))/7-'Guide &amp; Settings'!$C$48,0)*'Guide &amp; Settings'!$C$49))</f>
        <v/>
      </c>
    </row>
    <row r="403" spans="1:29" x14ac:dyDescent="0.2">
      <c r="A403" s="111"/>
      <c r="B403" s="112"/>
      <c r="C403" s="113"/>
      <c r="D403" s="113"/>
      <c r="E403" s="111"/>
      <c r="F403" s="114">
        <f t="shared" si="102"/>
        <v>0</v>
      </c>
      <c r="G403" s="115" t="str">
        <f t="shared" si="103"/>
        <v/>
      </c>
      <c r="H403" s="116">
        <f>IF($D403="",0,IFERROR(LOOKUP(2,1/(($D$3:D402=$D403)*($A$3:A402&lt;$A403)),$N$3:N402),'Guide &amp; Settings'!$C$41))</f>
        <v>0</v>
      </c>
      <c r="I403" s="117">
        <f t="shared" si="104"/>
        <v>0</v>
      </c>
      <c r="J403" s="118">
        <f>IF($D403="",0,IF($F403&lt;2,0,IF($E403="Win",('Guide &amp; Settings'!$C$42/(($F403-1)*COUNTIFS($A$4:$A$810,$A403,$E$4:$E$810,"Win")))*SUMIFS($X$4:$X$810,$A$4:$A$810,$A403,$E$4:$E$810,"Loss"),-('Guide &amp; Settings'!$C$42/($F403-1))*$X403)))</f>
        <v>0</v>
      </c>
      <c r="K403" s="118">
        <f>IF($D403="",0,'Guide &amp; Settings'!$C$43*(IF($E403="Win",1,0)-$I403))</f>
        <v>0</v>
      </c>
      <c r="L403" s="119">
        <f>IF($D403="",0,'Guide &amp; Settings'!$C$44*IF($F403&gt;=3,$F403,0))</f>
        <v>0</v>
      </c>
      <c r="M403" s="118">
        <f t="shared" si="105"/>
        <v>0</v>
      </c>
      <c r="N403" s="116">
        <f t="shared" si="106"/>
        <v>0</v>
      </c>
      <c r="O403" s="115" t="str">
        <f t="shared" si="107"/>
        <v/>
      </c>
      <c r="P403">
        <f t="shared" si="108"/>
        <v>0</v>
      </c>
      <c r="Q403">
        <f t="shared" si="109"/>
        <v>0</v>
      </c>
      <c r="R403">
        <f t="shared" si="110"/>
        <v>0</v>
      </c>
      <c r="S403">
        <f t="shared" si="111"/>
        <v>0</v>
      </c>
      <c r="T403" s="83">
        <f t="shared" si="112"/>
        <v>0</v>
      </c>
      <c r="U403" s="120">
        <f>IF($D403="",0,IFERROR(LOOKUP(2,1/(($D$3:D402=$D403)*($C$3:C402=$C403)*($A$3:A402&lt;$A403)),$AB$3:AB402),1000))</f>
        <v>0</v>
      </c>
      <c r="V403" s="120">
        <f t="shared" si="113"/>
        <v>0</v>
      </c>
      <c r="W403">
        <f t="shared" si="114"/>
        <v>0</v>
      </c>
      <c r="X403">
        <f t="shared" si="115"/>
        <v>0</v>
      </c>
      <c r="Y403">
        <f t="shared" si="116"/>
        <v>0</v>
      </c>
      <c r="Z403">
        <f t="shared" si="117"/>
        <v>0</v>
      </c>
      <c r="AA403">
        <f>IF($D403="",0,IF($F403&lt;2,0,IF($E403="Win",('Guide &amp; Settings'!$C$42/(($F403-1)*COUNTIFS($A$4:$A$810,$A403,$E$4:$E$810,"Win")))*SUMIFS($Z$4:$Z$810,$A$4:$A$810,$A403,$E$4:$E$810,"Loss"),-('Guide &amp; Settings'!$C$42/($F403-1))*$Z403)))</f>
        <v>0</v>
      </c>
      <c r="AB403" s="120">
        <f t="shared" si="118"/>
        <v>0</v>
      </c>
      <c r="AC403" s="120" t="str">
        <f>IF($D403="","",IF(SUMPRODUCT(MAX(($D$4:$D$810=$D403)*($B$4:$B$810&lt;$B403)*$B$4:$B$810))=0,0,MAX(($B403-MAX(SUMPRODUCT(MAX(($D$4:$D$810=$D403)*($B$4:$B$810&lt;$B403)*$B$4:$B$810)),'Guide &amp; Settings'!$C$50))/7-'Guide &amp; Settings'!$C$48,0)*'Guide &amp; Settings'!$C$49))</f>
        <v/>
      </c>
    </row>
    <row r="404" spans="1:29" x14ac:dyDescent="0.2">
      <c r="A404" s="111"/>
      <c r="B404" s="112"/>
      <c r="C404" s="113"/>
      <c r="D404" s="113"/>
      <c r="E404" s="111"/>
      <c r="F404" s="114">
        <f t="shared" si="102"/>
        <v>0</v>
      </c>
      <c r="G404" s="115" t="str">
        <f t="shared" si="103"/>
        <v/>
      </c>
      <c r="H404" s="116">
        <f>IF($D404="",0,IFERROR(LOOKUP(2,1/(($D$3:D403=$D404)*($A$3:A403&lt;$A404)),$N$3:N403),'Guide &amp; Settings'!$C$41))</f>
        <v>0</v>
      </c>
      <c r="I404" s="117">
        <f t="shared" si="104"/>
        <v>0</v>
      </c>
      <c r="J404" s="118">
        <f>IF($D404="",0,IF($F404&lt;2,0,IF($E404="Win",('Guide &amp; Settings'!$C$42/(($F404-1)*COUNTIFS($A$4:$A$810,$A404,$E$4:$E$810,"Win")))*SUMIFS($X$4:$X$810,$A$4:$A$810,$A404,$E$4:$E$810,"Loss"),-('Guide &amp; Settings'!$C$42/($F404-1))*$X404)))</f>
        <v>0</v>
      </c>
      <c r="K404" s="118">
        <f>IF($D404="",0,'Guide &amp; Settings'!$C$43*(IF($E404="Win",1,0)-$I404))</f>
        <v>0</v>
      </c>
      <c r="L404" s="119">
        <f>IF($D404="",0,'Guide &amp; Settings'!$C$44*IF($F404&gt;=3,$F404,0))</f>
        <v>0</v>
      </c>
      <c r="M404" s="118">
        <f t="shared" si="105"/>
        <v>0</v>
      </c>
      <c r="N404" s="116">
        <f t="shared" si="106"/>
        <v>0</v>
      </c>
      <c r="O404" s="115" t="str">
        <f t="shared" si="107"/>
        <v/>
      </c>
      <c r="P404">
        <f t="shared" si="108"/>
        <v>0</v>
      </c>
      <c r="Q404">
        <f t="shared" si="109"/>
        <v>0</v>
      </c>
      <c r="R404">
        <f t="shared" si="110"/>
        <v>0</v>
      </c>
      <c r="S404">
        <f t="shared" si="111"/>
        <v>0</v>
      </c>
      <c r="T404" s="83">
        <f t="shared" si="112"/>
        <v>0</v>
      </c>
      <c r="U404" s="120">
        <f>IF($D404="",0,IFERROR(LOOKUP(2,1/(($D$3:D403=$D404)*($C$3:C403=$C404)*($A$3:A403&lt;$A404)),$AB$3:AB403),1000))</f>
        <v>0</v>
      </c>
      <c r="V404" s="120">
        <f t="shared" si="113"/>
        <v>0</v>
      </c>
      <c r="W404">
        <f t="shared" si="114"/>
        <v>0</v>
      </c>
      <c r="X404">
        <f t="shared" si="115"/>
        <v>0</v>
      </c>
      <c r="Y404">
        <f t="shared" si="116"/>
        <v>0</v>
      </c>
      <c r="Z404">
        <f t="shared" si="117"/>
        <v>0</v>
      </c>
      <c r="AA404">
        <f>IF($D404="",0,IF($F404&lt;2,0,IF($E404="Win",('Guide &amp; Settings'!$C$42/(($F404-1)*COUNTIFS($A$4:$A$810,$A404,$E$4:$E$810,"Win")))*SUMIFS($Z$4:$Z$810,$A$4:$A$810,$A404,$E$4:$E$810,"Loss"),-('Guide &amp; Settings'!$C$42/($F404-1))*$Z404)))</f>
        <v>0</v>
      </c>
      <c r="AB404" s="120">
        <f t="shared" si="118"/>
        <v>0</v>
      </c>
      <c r="AC404" s="120" t="str">
        <f>IF($D404="","",IF(SUMPRODUCT(MAX(($D$4:$D$810=$D404)*($B$4:$B$810&lt;$B404)*$B$4:$B$810))=0,0,MAX(($B404-MAX(SUMPRODUCT(MAX(($D$4:$D$810=$D404)*($B$4:$B$810&lt;$B404)*$B$4:$B$810)),'Guide &amp; Settings'!$C$50))/7-'Guide &amp; Settings'!$C$48,0)*'Guide &amp; Settings'!$C$49))</f>
        <v/>
      </c>
    </row>
    <row r="405" spans="1:29" x14ac:dyDescent="0.2">
      <c r="A405" s="111"/>
      <c r="B405" s="112"/>
      <c r="C405" s="113"/>
      <c r="D405" s="113"/>
      <c r="E405" s="111"/>
      <c r="F405" s="114">
        <f t="shared" si="102"/>
        <v>0</v>
      </c>
      <c r="G405" s="115" t="str">
        <f t="shared" si="103"/>
        <v/>
      </c>
      <c r="H405" s="116">
        <f>IF($D405="",0,IFERROR(LOOKUP(2,1/(($D$3:D404=$D405)*($A$3:A404&lt;$A405)),$N$3:N404),'Guide &amp; Settings'!$C$41))</f>
        <v>0</v>
      </c>
      <c r="I405" s="117">
        <f t="shared" si="104"/>
        <v>0</v>
      </c>
      <c r="J405" s="118">
        <f>IF($D405="",0,IF($F405&lt;2,0,IF($E405="Win",('Guide &amp; Settings'!$C$42/(($F405-1)*COUNTIFS($A$4:$A$810,$A405,$E$4:$E$810,"Win")))*SUMIFS($X$4:$X$810,$A$4:$A$810,$A405,$E$4:$E$810,"Loss"),-('Guide &amp; Settings'!$C$42/($F405-1))*$X405)))</f>
        <v>0</v>
      </c>
      <c r="K405" s="118">
        <f>IF($D405="",0,'Guide &amp; Settings'!$C$43*(IF($E405="Win",1,0)-$I405))</f>
        <v>0</v>
      </c>
      <c r="L405" s="119">
        <f>IF($D405="",0,'Guide &amp; Settings'!$C$44*IF($F405&gt;=3,$F405,0))</f>
        <v>0</v>
      </c>
      <c r="M405" s="118">
        <f t="shared" si="105"/>
        <v>0</v>
      </c>
      <c r="N405" s="116">
        <f t="shared" si="106"/>
        <v>0</v>
      </c>
      <c r="O405" s="115" t="str">
        <f t="shared" si="107"/>
        <v/>
      </c>
      <c r="P405">
        <f t="shared" si="108"/>
        <v>0</v>
      </c>
      <c r="Q405">
        <f t="shared" si="109"/>
        <v>0</v>
      </c>
      <c r="R405">
        <f t="shared" si="110"/>
        <v>0</v>
      </c>
      <c r="S405">
        <f t="shared" si="111"/>
        <v>0</v>
      </c>
      <c r="T405" s="83">
        <f t="shared" si="112"/>
        <v>0</v>
      </c>
      <c r="U405" s="120">
        <f>IF($D405="",0,IFERROR(LOOKUP(2,1/(($D$3:D404=$D405)*($C$3:C404=$C405)*($A$3:A404&lt;$A405)),$AB$3:AB404),1000))</f>
        <v>0</v>
      </c>
      <c r="V405" s="120">
        <f t="shared" si="113"/>
        <v>0</v>
      </c>
      <c r="W405">
        <f t="shared" si="114"/>
        <v>0</v>
      </c>
      <c r="X405">
        <f t="shared" si="115"/>
        <v>0</v>
      </c>
      <c r="Y405">
        <f t="shared" si="116"/>
        <v>0</v>
      </c>
      <c r="Z405">
        <f t="shared" si="117"/>
        <v>0</v>
      </c>
      <c r="AA405">
        <f>IF($D405="",0,IF($F405&lt;2,0,IF($E405="Win",('Guide &amp; Settings'!$C$42/(($F405-1)*COUNTIFS($A$4:$A$810,$A405,$E$4:$E$810,"Win")))*SUMIFS($Z$4:$Z$810,$A$4:$A$810,$A405,$E$4:$E$810,"Loss"),-('Guide &amp; Settings'!$C$42/($F405-1))*$Z405)))</f>
        <v>0</v>
      </c>
      <c r="AB405" s="120">
        <f t="shared" si="118"/>
        <v>0</v>
      </c>
      <c r="AC405" s="120" t="str">
        <f>IF($D405="","",IF(SUMPRODUCT(MAX(($D$4:$D$810=$D405)*($B$4:$B$810&lt;$B405)*$B$4:$B$810))=0,0,MAX(($B405-MAX(SUMPRODUCT(MAX(($D$4:$D$810=$D405)*($B$4:$B$810&lt;$B405)*$B$4:$B$810)),'Guide &amp; Settings'!$C$50))/7-'Guide &amp; Settings'!$C$48,0)*'Guide &amp; Settings'!$C$49))</f>
        <v/>
      </c>
    </row>
    <row r="406" spans="1:29" x14ac:dyDescent="0.2">
      <c r="A406" s="111"/>
      <c r="B406" s="112"/>
      <c r="C406" s="113"/>
      <c r="D406" s="113"/>
      <c r="E406" s="111"/>
      <c r="F406" s="114">
        <f t="shared" si="102"/>
        <v>0</v>
      </c>
      <c r="G406" s="115" t="str">
        <f t="shared" si="103"/>
        <v/>
      </c>
      <c r="H406" s="116">
        <f>IF($D406="",0,IFERROR(LOOKUP(2,1/(($D$3:D405=$D406)*($A$3:A405&lt;$A406)),$N$3:N405),'Guide &amp; Settings'!$C$41))</f>
        <v>0</v>
      </c>
      <c r="I406" s="117">
        <f t="shared" si="104"/>
        <v>0</v>
      </c>
      <c r="J406" s="118">
        <f>IF($D406="",0,IF($F406&lt;2,0,IF($E406="Win",('Guide &amp; Settings'!$C$42/(($F406-1)*COUNTIFS($A$4:$A$810,$A406,$E$4:$E$810,"Win")))*SUMIFS($X$4:$X$810,$A$4:$A$810,$A406,$E$4:$E$810,"Loss"),-('Guide &amp; Settings'!$C$42/($F406-1))*$X406)))</f>
        <v>0</v>
      </c>
      <c r="K406" s="118">
        <f>IF($D406="",0,'Guide &amp; Settings'!$C$43*(IF($E406="Win",1,0)-$I406))</f>
        <v>0</v>
      </c>
      <c r="L406" s="119">
        <f>IF($D406="",0,'Guide &amp; Settings'!$C$44*IF($F406&gt;=3,$F406,0))</f>
        <v>0</v>
      </c>
      <c r="M406" s="118">
        <f t="shared" si="105"/>
        <v>0</v>
      </c>
      <c r="N406" s="116">
        <f t="shared" si="106"/>
        <v>0</v>
      </c>
      <c r="O406" s="115" t="str">
        <f t="shared" si="107"/>
        <v/>
      </c>
      <c r="P406">
        <f t="shared" si="108"/>
        <v>0</v>
      </c>
      <c r="Q406">
        <f t="shared" si="109"/>
        <v>0</v>
      </c>
      <c r="R406">
        <f t="shared" si="110"/>
        <v>0</v>
      </c>
      <c r="S406">
        <f t="shared" si="111"/>
        <v>0</v>
      </c>
      <c r="T406" s="83">
        <f t="shared" si="112"/>
        <v>0</v>
      </c>
      <c r="U406" s="120">
        <f>IF($D406="",0,IFERROR(LOOKUP(2,1/(($D$3:D405=$D406)*($C$3:C405=$C406)*($A$3:A405&lt;$A406)),$AB$3:AB405),1000))</f>
        <v>0</v>
      </c>
      <c r="V406" s="120">
        <f t="shared" si="113"/>
        <v>0</v>
      </c>
      <c r="W406">
        <f t="shared" si="114"/>
        <v>0</v>
      </c>
      <c r="X406">
        <f t="shared" si="115"/>
        <v>0</v>
      </c>
      <c r="Y406">
        <f t="shared" si="116"/>
        <v>0</v>
      </c>
      <c r="Z406">
        <f t="shared" si="117"/>
        <v>0</v>
      </c>
      <c r="AA406">
        <f>IF($D406="",0,IF($F406&lt;2,0,IF($E406="Win",('Guide &amp; Settings'!$C$42/(($F406-1)*COUNTIFS($A$4:$A$810,$A406,$E$4:$E$810,"Win")))*SUMIFS($Z$4:$Z$810,$A$4:$A$810,$A406,$E$4:$E$810,"Loss"),-('Guide &amp; Settings'!$C$42/($F406-1))*$Z406)))</f>
        <v>0</v>
      </c>
      <c r="AB406" s="120">
        <f t="shared" si="118"/>
        <v>0</v>
      </c>
      <c r="AC406" s="120" t="str">
        <f>IF($D406="","",IF(SUMPRODUCT(MAX(($D$4:$D$810=$D406)*($B$4:$B$810&lt;$B406)*$B$4:$B$810))=0,0,MAX(($B406-MAX(SUMPRODUCT(MAX(($D$4:$D$810=$D406)*($B$4:$B$810&lt;$B406)*$B$4:$B$810)),'Guide &amp; Settings'!$C$50))/7-'Guide &amp; Settings'!$C$48,0)*'Guide &amp; Settings'!$C$49))</f>
        <v/>
      </c>
    </row>
    <row r="407" spans="1:29" x14ac:dyDescent="0.2">
      <c r="A407" s="111"/>
      <c r="B407" s="112"/>
      <c r="C407" s="113"/>
      <c r="D407" s="113"/>
      <c r="E407" s="111"/>
      <c r="F407" s="114">
        <f t="shared" si="102"/>
        <v>0</v>
      </c>
      <c r="G407" s="115" t="str">
        <f t="shared" si="103"/>
        <v/>
      </c>
      <c r="H407" s="116">
        <f>IF($D407="",0,IFERROR(LOOKUP(2,1/(($D$3:D406=$D407)*($A$3:A406&lt;$A407)),$N$3:N406),'Guide &amp; Settings'!$C$41))</f>
        <v>0</v>
      </c>
      <c r="I407" s="117">
        <f t="shared" si="104"/>
        <v>0</v>
      </c>
      <c r="J407" s="118">
        <f>IF($D407="",0,IF($F407&lt;2,0,IF($E407="Win",('Guide &amp; Settings'!$C$42/(($F407-1)*COUNTIFS($A$4:$A$810,$A407,$E$4:$E$810,"Win")))*SUMIFS($X$4:$X$810,$A$4:$A$810,$A407,$E$4:$E$810,"Loss"),-('Guide &amp; Settings'!$C$42/($F407-1))*$X407)))</f>
        <v>0</v>
      </c>
      <c r="K407" s="118">
        <f>IF($D407="",0,'Guide &amp; Settings'!$C$43*(IF($E407="Win",1,0)-$I407))</f>
        <v>0</v>
      </c>
      <c r="L407" s="119">
        <f>IF($D407="",0,'Guide &amp; Settings'!$C$44*IF($F407&gt;=3,$F407,0))</f>
        <v>0</v>
      </c>
      <c r="M407" s="118">
        <f t="shared" si="105"/>
        <v>0</v>
      </c>
      <c r="N407" s="116">
        <f t="shared" si="106"/>
        <v>0</v>
      </c>
      <c r="O407" s="115" t="str">
        <f t="shared" si="107"/>
        <v/>
      </c>
      <c r="P407">
        <f t="shared" si="108"/>
        <v>0</v>
      </c>
      <c r="Q407">
        <f t="shared" si="109"/>
        <v>0</v>
      </c>
      <c r="R407">
        <f t="shared" si="110"/>
        <v>0</v>
      </c>
      <c r="S407">
        <f t="shared" si="111"/>
        <v>0</v>
      </c>
      <c r="T407" s="83">
        <f t="shared" si="112"/>
        <v>0</v>
      </c>
      <c r="U407" s="120">
        <f>IF($D407="",0,IFERROR(LOOKUP(2,1/(($D$3:D406=$D407)*($C$3:C406=$C407)*($A$3:A406&lt;$A407)),$AB$3:AB406),1000))</f>
        <v>0</v>
      </c>
      <c r="V407" s="120">
        <f t="shared" si="113"/>
        <v>0</v>
      </c>
      <c r="W407">
        <f t="shared" si="114"/>
        <v>0</v>
      </c>
      <c r="X407">
        <f t="shared" si="115"/>
        <v>0</v>
      </c>
      <c r="Y407">
        <f t="shared" si="116"/>
        <v>0</v>
      </c>
      <c r="Z407">
        <f t="shared" si="117"/>
        <v>0</v>
      </c>
      <c r="AA407">
        <f>IF($D407="",0,IF($F407&lt;2,0,IF($E407="Win",('Guide &amp; Settings'!$C$42/(($F407-1)*COUNTIFS($A$4:$A$810,$A407,$E$4:$E$810,"Win")))*SUMIFS($Z$4:$Z$810,$A$4:$A$810,$A407,$E$4:$E$810,"Loss"),-('Guide &amp; Settings'!$C$42/($F407-1))*$Z407)))</f>
        <v>0</v>
      </c>
      <c r="AB407" s="120">
        <f t="shared" si="118"/>
        <v>0</v>
      </c>
      <c r="AC407" s="120" t="str">
        <f>IF($D407="","",IF(SUMPRODUCT(MAX(($D$4:$D$810=$D407)*($B$4:$B$810&lt;$B407)*$B$4:$B$810))=0,0,MAX(($B407-MAX(SUMPRODUCT(MAX(($D$4:$D$810=$D407)*($B$4:$B$810&lt;$B407)*$B$4:$B$810)),'Guide &amp; Settings'!$C$50))/7-'Guide &amp; Settings'!$C$48,0)*'Guide &amp; Settings'!$C$49))</f>
        <v/>
      </c>
    </row>
    <row r="408" spans="1:29" x14ac:dyDescent="0.2">
      <c r="A408" s="111"/>
      <c r="B408" s="112"/>
      <c r="C408" s="113"/>
      <c r="D408" s="113"/>
      <c r="E408" s="111"/>
      <c r="F408" s="114">
        <f t="shared" si="102"/>
        <v>0</v>
      </c>
      <c r="G408" s="115" t="str">
        <f t="shared" si="103"/>
        <v/>
      </c>
      <c r="H408" s="116">
        <f>IF($D408="",0,IFERROR(LOOKUP(2,1/(($D$3:D407=$D408)*($A$3:A407&lt;$A408)),$N$3:N407),'Guide &amp; Settings'!$C$41))</f>
        <v>0</v>
      </c>
      <c r="I408" s="117">
        <f t="shared" si="104"/>
        <v>0</v>
      </c>
      <c r="J408" s="118">
        <f>IF($D408="",0,IF($F408&lt;2,0,IF($E408="Win",('Guide &amp; Settings'!$C$42/(($F408-1)*COUNTIFS($A$4:$A$810,$A408,$E$4:$E$810,"Win")))*SUMIFS($X$4:$X$810,$A$4:$A$810,$A408,$E$4:$E$810,"Loss"),-('Guide &amp; Settings'!$C$42/($F408-1))*$X408)))</f>
        <v>0</v>
      </c>
      <c r="K408" s="118">
        <f>IF($D408="",0,'Guide &amp; Settings'!$C$43*(IF($E408="Win",1,0)-$I408))</f>
        <v>0</v>
      </c>
      <c r="L408" s="119">
        <f>IF($D408="",0,'Guide &amp; Settings'!$C$44*IF($F408&gt;=3,$F408,0))</f>
        <v>0</v>
      </c>
      <c r="M408" s="118">
        <f t="shared" si="105"/>
        <v>0</v>
      </c>
      <c r="N408" s="116">
        <f t="shared" si="106"/>
        <v>0</v>
      </c>
      <c r="O408" s="115" t="str">
        <f t="shared" si="107"/>
        <v/>
      </c>
      <c r="P408">
        <f t="shared" si="108"/>
        <v>0</v>
      </c>
      <c r="Q408">
        <f t="shared" si="109"/>
        <v>0</v>
      </c>
      <c r="R408">
        <f t="shared" si="110"/>
        <v>0</v>
      </c>
      <c r="S408">
        <f t="shared" si="111"/>
        <v>0</v>
      </c>
      <c r="T408" s="83">
        <f t="shared" si="112"/>
        <v>0</v>
      </c>
      <c r="U408" s="120">
        <f>IF($D408="",0,IFERROR(LOOKUP(2,1/(($D$3:D407=$D408)*($C$3:C407=$C408)*($A$3:A407&lt;$A408)),$AB$3:AB407),1000))</f>
        <v>0</v>
      </c>
      <c r="V408" s="120">
        <f t="shared" si="113"/>
        <v>0</v>
      </c>
      <c r="W408">
        <f t="shared" si="114"/>
        <v>0</v>
      </c>
      <c r="X408">
        <f t="shared" si="115"/>
        <v>0</v>
      </c>
      <c r="Y408">
        <f t="shared" si="116"/>
        <v>0</v>
      </c>
      <c r="Z408">
        <f t="shared" si="117"/>
        <v>0</v>
      </c>
      <c r="AA408">
        <f>IF($D408="",0,IF($F408&lt;2,0,IF($E408="Win",('Guide &amp; Settings'!$C$42/(($F408-1)*COUNTIFS($A$4:$A$810,$A408,$E$4:$E$810,"Win")))*SUMIFS($Z$4:$Z$810,$A$4:$A$810,$A408,$E$4:$E$810,"Loss"),-('Guide &amp; Settings'!$C$42/($F408-1))*$Z408)))</f>
        <v>0</v>
      </c>
      <c r="AB408" s="120">
        <f t="shared" si="118"/>
        <v>0</v>
      </c>
      <c r="AC408" s="120" t="str">
        <f>IF($D408="","",IF(SUMPRODUCT(MAX(($D$4:$D$810=$D408)*($B$4:$B$810&lt;$B408)*$B$4:$B$810))=0,0,MAX(($B408-MAX(SUMPRODUCT(MAX(($D$4:$D$810=$D408)*($B$4:$B$810&lt;$B408)*$B$4:$B$810)),'Guide &amp; Settings'!$C$50))/7-'Guide &amp; Settings'!$C$48,0)*'Guide &amp; Settings'!$C$49))</f>
        <v/>
      </c>
    </row>
    <row r="409" spans="1:29" x14ac:dyDescent="0.2">
      <c r="A409" s="111"/>
      <c r="B409" s="112"/>
      <c r="C409" s="113"/>
      <c r="D409" s="113"/>
      <c r="E409" s="111"/>
      <c r="F409" s="114">
        <f t="shared" si="102"/>
        <v>0</v>
      </c>
      <c r="G409" s="115" t="str">
        <f t="shared" si="103"/>
        <v/>
      </c>
      <c r="H409" s="116">
        <f>IF($D409="",0,IFERROR(LOOKUP(2,1/(($D$3:D408=$D409)*($A$3:A408&lt;$A409)),$N$3:N408),'Guide &amp; Settings'!$C$41))</f>
        <v>0</v>
      </c>
      <c r="I409" s="117">
        <f t="shared" si="104"/>
        <v>0</v>
      </c>
      <c r="J409" s="118">
        <f>IF($D409="",0,IF($F409&lt;2,0,IF($E409="Win",('Guide &amp; Settings'!$C$42/(($F409-1)*COUNTIFS($A$4:$A$810,$A409,$E$4:$E$810,"Win")))*SUMIFS($X$4:$X$810,$A$4:$A$810,$A409,$E$4:$E$810,"Loss"),-('Guide &amp; Settings'!$C$42/($F409-1))*$X409)))</f>
        <v>0</v>
      </c>
      <c r="K409" s="118">
        <f>IF($D409="",0,'Guide &amp; Settings'!$C$43*(IF($E409="Win",1,0)-$I409))</f>
        <v>0</v>
      </c>
      <c r="L409" s="119">
        <f>IF($D409="",0,'Guide &amp; Settings'!$C$44*IF($F409&gt;=3,$F409,0))</f>
        <v>0</v>
      </c>
      <c r="M409" s="118">
        <f t="shared" si="105"/>
        <v>0</v>
      </c>
      <c r="N409" s="116">
        <f t="shared" si="106"/>
        <v>0</v>
      </c>
      <c r="O409" s="115" t="str">
        <f t="shared" si="107"/>
        <v/>
      </c>
      <c r="P409">
        <f t="shared" si="108"/>
        <v>0</v>
      </c>
      <c r="Q409">
        <f t="shared" si="109"/>
        <v>0</v>
      </c>
      <c r="R409">
        <f t="shared" si="110"/>
        <v>0</v>
      </c>
      <c r="S409">
        <f t="shared" si="111"/>
        <v>0</v>
      </c>
      <c r="T409" s="83">
        <f t="shared" si="112"/>
        <v>0</v>
      </c>
      <c r="U409" s="120">
        <f>IF($D409="",0,IFERROR(LOOKUP(2,1/(($D$3:D408=$D409)*($C$3:C408=$C409)*($A$3:A408&lt;$A409)),$AB$3:AB408),1000))</f>
        <v>0</v>
      </c>
      <c r="V409" s="120">
        <f t="shared" si="113"/>
        <v>0</v>
      </c>
      <c r="W409">
        <f t="shared" si="114"/>
        <v>0</v>
      </c>
      <c r="X409">
        <f t="shared" si="115"/>
        <v>0</v>
      </c>
      <c r="Y409">
        <f t="shared" si="116"/>
        <v>0</v>
      </c>
      <c r="Z409">
        <f t="shared" si="117"/>
        <v>0</v>
      </c>
      <c r="AA409">
        <f>IF($D409="",0,IF($F409&lt;2,0,IF($E409="Win",('Guide &amp; Settings'!$C$42/(($F409-1)*COUNTIFS($A$4:$A$810,$A409,$E$4:$E$810,"Win")))*SUMIFS($Z$4:$Z$810,$A$4:$A$810,$A409,$E$4:$E$810,"Loss"),-('Guide &amp; Settings'!$C$42/($F409-1))*$Z409)))</f>
        <v>0</v>
      </c>
      <c r="AB409" s="120">
        <f t="shared" si="118"/>
        <v>0</v>
      </c>
      <c r="AC409" s="120" t="str">
        <f>IF($D409="","",IF(SUMPRODUCT(MAX(($D$4:$D$810=$D409)*($B$4:$B$810&lt;$B409)*$B$4:$B$810))=0,0,MAX(($B409-MAX(SUMPRODUCT(MAX(($D$4:$D$810=$D409)*($B$4:$B$810&lt;$B409)*$B$4:$B$810)),'Guide &amp; Settings'!$C$50))/7-'Guide &amp; Settings'!$C$48,0)*'Guide &amp; Settings'!$C$49))</f>
        <v/>
      </c>
    </row>
    <row r="410" spans="1:29" x14ac:dyDescent="0.2">
      <c r="A410" s="111"/>
      <c r="B410" s="112"/>
      <c r="C410" s="113"/>
      <c r="D410" s="113"/>
      <c r="E410" s="111"/>
      <c r="F410" s="114">
        <f t="shared" si="102"/>
        <v>0</v>
      </c>
      <c r="G410" s="115" t="str">
        <f t="shared" si="103"/>
        <v/>
      </c>
      <c r="H410" s="116">
        <f>IF($D410="",0,IFERROR(LOOKUP(2,1/(($D$3:D409=$D410)*($A$3:A409&lt;$A410)),$N$3:N409),'Guide &amp; Settings'!$C$41))</f>
        <v>0</v>
      </c>
      <c r="I410" s="117">
        <f t="shared" si="104"/>
        <v>0</v>
      </c>
      <c r="J410" s="118">
        <f>IF($D410="",0,IF($F410&lt;2,0,IF($E410="Win",('Guide &amp; Settings'!$C$42/(($F410-1)*COUNTIFS($A$4:$A$810,$A410,$E$4:$E$810,"Win")))*SUMIFS($X$4:$X$810,$A$4:$A$810,$A410,$E$4:$E$810,"Loss"),-('Guide &amp; Settings'!$C$42/($F410-1))*$X410)))</f>
        <v>0</v>
      </c>
      <c r="K410" s="118">
        <f>IF($D410="",0,'Guide &amp; Settings'!$C$43*(IF($E410="Win",1,0)-$I410))</f>
        <v>0</v>
      </c>
      <c r="L410" s="119">
        <f>IF($D410="",0,'Guide &amp; Settings'!$C$44*IF($F410&gt;=3,$F410,0))</f>
        <v>0</v>
      </c>
      <c r="M410" s="118">
        <f t="shared" si="105"/>
        <v>0</v>
      </c>
      <c r="N410" s="116">
        <f t="shared" si="106"/>
        <v>0</v>
      </c>
      <c r="O410" s="115" t="str">
        <f t="shared" si="107"/>
        <v/>
      </c>
      <c r="P410">
        <f t="shared" si="108"/>
        <v>0</v>
      </c>
      <c r="Q410">
        <f t="shared" si="109"/>
        <v>0</v>
      </c>
      <c r="R410">
        <f t="shared" si="110"/>
        <v>0</v>
      </c>
      <c r="S410">
        <f t="shared" si="111"/>
        <v>0</v>
      </c>
      <c r="T410" s="83">
        <f t="shared" si="112"/>
        <v>0</v>
      </c>
      <c r="U410" s="120">
        <f>IF($D410="",0,IFERROR(LOOKUP(2,1/(($D$3:D409=$D410)*($C$3:C409=$C410)*($A$3:A409&lt;$A410)),$AB$3:AB409),1000))</f>
        <v>0</v>
      </c>
      <c r="V410" s="120">
        <f t="shared" si="113"/>
        <v>0</v>
      </c>
      <c r="W410">
        <f t="shared" si="114"/>
        <v>0</v>
      </c>
      <c r="X410">
        <f t="shared" si="115"/>
        <v>0</v>
      </c>
      <c r="Y410">
        <f t="shared" si="116"/>
        <v>0</v>
      </c>
      <c r="Z410">
        <f t="shared" si="117"/>
        <v>0</v>
      </c>
      <c r="AA410">
        <f>IF($D410="",0,IF($F410&lt;2,0,IF($E410="Win",('Guide &amp; Settings'!$C$42/(($F410-1)*COUNTIFS($A$4:$A$810,$A410,$E$4:$E$810,"Win")))*SUMIFS($Z$4:$Z$810,$A$4:$A$810,$A410,$E$4:$E$810,"Loss"),-('Guide &amp; Settings'!$C$42/($F410-1))*$Z410)))</f>
        <v>0</v>
      </c>
      <c r="AB410" s="120">
        <f t="shared" si="118"/>
        <v>0</v>
      </c>
      <c r="AC410" s="120" t="str">
        <f>IF($D410="","",IF(SUMPRODUCT(MAX(($D$4:$D$810=$D410)*($B$4:$B$810&lt;$B410)*$B$4:$B$810))=0,0,MAX(($B410-MAX(SUMPRODUCT(MAX(($D$4:$D$810=$D410)*($B$4:$B$810&lt;$B410)*$B$4:$B$810)),'Guide &amp; Settings'!$C$50))/7-'Guide &amp; Settings'!$C$48,0)*'Guide &amp; Settings'!$C$49))</f>
        <v/>
      </c>
    </row>
    <row r="411" spans="1:29" x14ac:dyDescent="0.2">
      <c r="A411" s="111"/>
      <c r="B411" s="112"/>
      <c r="C411" s="113"/>
      <c r="D411" s="113"/>
      <c r="E411" s="111"/>
      <c r="F411" s="114">
        <f t="shared" si="102"/>
        <v>0</v>
      </c>
      <c r="G411" s="115" t="str">
        <f t="shared" si="103"/>
        <v/>
      </c>
      <c r="H411" s="116">
        <f>IF($D411="",0,IFERROR(LOOKUP(2,1/(($D$3:D410=$D411)*($A$3:A410&lt;$A411)),$N$3:N410),'Guide &amp; Settings'!$C$41))</f>
        <v>0</v>
      </c>
      <c r="I411" s="117">
        <f t="shared" si="104"/>
        <v>0</v>
      </c>
      <c r="J411" s="118">
        <f>IF($D411="",0,IF($F411&lt;2,0,IF($E411="Win",('Guide &amp; Settings'!$C$42/(($F411-1)*COUNTIFS($A$4:$A$810,$A411,$E$4:$E$810,"Win")))*SUMIFS($X$4:$X$810,$A$4:$A$810,$A411,$E$4:$E$810,"Loss"),-('Guide &amp; Settings'!$C$42/($F411-1))*$X411)))</f>
        <v>0</v>
      </c>
      <c r="K411" s="118">
        <f>IF($D411="",0,'Guide &amp; Settings'!$C$43*(IF($E411="Win",1,0)-$I411))</f>
        <v>0</v>
      </c>
      <c r="L411" s="119">
        <f>IF($D411="",0,'Guide &amp; Settings'!$C$44*IF($F411&gt;=3,$F411,0))</f>
        <v>0</v>
      </c>
      <c r="M411" s="118">
        <f t="shared" si="105"/>
        <v>0</v>
      </c>
      <c r="N411" s="116">
        <f t="shared" si="106"/>
        <v>0</v>
      </c>
      <c r="O411" s="115" t="str">
        <f t="shared" si="107"/>
        <v/>
      </c>
      <c r="P411">
        <f t="shared" si="108"/>
        <v>0</v>
      </c>
      <c r="Q411">
        <f t="shared" si="109"/>
        <v>0</v>
      </c>
      <c r="R411">
        <f t="shared" si="110"/>
        <v>0</v>
      </c>
      <c r="S411">
        <f t="shared" si="111"/>
        <v>0</v>
      </c>
      <c r="T411" s="83">
        <f t="shared" si="112"/>
        <v>0</v>
      </c>
      <c r="U411" s="120">
        <f>IF($D411="",0,IFERROR(LOOKUP(2,1/(($D$3:D410=$D411)*($C$3:C410=$C411)*($A$3:A410&lt;$A411)),$AB$3:AB410),1000))</f>
        <v>0</v>
      </c>
      <c r="V411" s="120">
        <f t="shared" si="113"/>
        <v>0</v>
      </c>
      <c r="W411">
        <f t="shared" si="114"/>
        <v>0</v>
      </c>
      <c r="X411">
        <f t="shared" si="115"/>
        <v>0</v>
      </c>
      <c r="Y411">
        <f t="shared" si="116"/>
        <v>0</v>
      </c>
      <c r="Z411">
        <f t="shared" si="117"/>
        <v>0</v>
      </c>
      <c r="AA411">
        <f>IF($D411="",0,IF($F411&lt;2,0,IF($E411="Win",('Guide &amp; Settings'!$C$42/(($F411-1)*COUNTIFS($A$4:$A$810,$A411,$E$4:$E$810,"Win")))*SUMIFS($Z$4:$Z$810,$A$4:$A$810,$A411,$E$4:$E$810,"Loss"),-('Guide &amp; Settings'!$C$42/($F411-1))*$Z411)))</f>
        <v>0</v>
      </c>
      <c r="AB411" s="120">
        <f t="shared" si="118"/>
        <v>0</v>
      </c>
      <c r="AC411" s="120" t="str">
        <f>IF($D411="","",IF(SUMPRODUCT(MAX(($D$4:$D$810=$D411)*($B$4:$B$810&lt;$B411)*$B$4:$B$810))=0,0,MAX(($B411-MAX(SUMPRODUCT(MAX(($D$4:$D$810=$D411)*($B$4:$B$810&lt;$B411)*$B$4:$B$810)),'Guide &amp; Settings'!$C$50))/7-'Guide &amp; Settings'!$C$48,0)*'Guide &amp; Settings'!$C$49))</f>
        <v/>
      </c>
    </row>
    <row r="412" spans="1:29" x14ac:dyDescent="0.2">
      <c r="A412" s="111"/>
      <c r="B412" s="112"/>
      <c r="C412" s="113"/>
      <c r="D412" s="113"/>
      <c r="E412" s="111"/>
      <c r="F412" s="114">
        <f t="shared" si="102"/>
        <v>0</v>
      </c>
      <c r="G412" s="115" t="str">
        <f t="shared" si="103"/>
        <v/>
      </c>
      <c r="H412" s="116">
        <f>IF($D412="",0,IFERROR(LOOKUP(2,1/(($D$3:D411=$D412)*($A$3:A411&lt;$A412)),$N$3:N411),'Guide &amp; Settings'!$C$41))</f>
        <v>0</v>
      </c>
      <c r="I412" s="117">
        <f t="shared" si="104"/>
        <v>0</v>
      </c>
      <c r="J412" s="118">
        <f>IF($D412="",0,IF($F412&lt;2,0,IF($E412="Win",('Guide &amp; Settings'!$C$42/(($F412-1)*COUNTIFS($A$4:$A$810,$A412,$E$4:$E$810,"Win")))*SUMIFS($X$4:$X$810,$A$4:$A$810,$A412,$E$4:$E$810,"Loss"),-('Guide &amp; Settings'!$C$42/($F412-1))*$X412)))</f>
        <v>0</v>
      </c>
      <c r="K412" s="118">
        <f>IF($D412="",0,'Guide &amp; Settings'!$C$43*(IF($E412="Win",1,0)-$I412))</f>
        <v>0</v>
      </c>
      <c r="L412" s="119">
        <f>IF($D412="",0,'Guide &amp; Settings'!$C$44*IF($F412&gt;=3,$F412,0))</f>
        <v>0</v>
      </c>
      <c r="M412" s="118">
        <f t="shared" si="105"/>
        <v>0</v>
      </c>
      <c r="N412" s="116">
        <f t="shared" si="106"/>
        <v>0</v>
      </c>
      <c r="O412" s="115" t="str">
        <f t="shared" si="107"/>
        <v/>
      </c>
      <c r="P412">
        <f t="shared" si="108"/>
        <v>0</v>
      </c>
      <c r="Q412">
        <f t="shared" si="109"/>
        <v>0</v>
      </c>
      <c r="R412">
        <f t="shared" si="110"/>
        <v>0</v>
      </c>
      <c r="S412">
        <f t="shared" si="111"/>
        <v>0</v>
      </c>
      <c r="T412" s="83">
        <f t="shared" si="112"/>
        <v>0</v>
      </c>
      <c r="U412" s="120">
        <f>IF($D412="",0,IFERROR(LOOKUP(2,1/(($D$3:D411=$D412)*($C$3:C411=$C412)*($A$3:A411&lt;$A412)),$AB$3:AB411),1000))</f>
        <v>0</v>
      </c>
      <c r="V412" s="120">
        <f t="shared" si="113"/>
        <v>0</v>
      </c>
      <c r="W412">
        <f t="shared" si="114"/>
        <v>0</v>
      </c>
      <c r="X412">
        <f t="shared" si="115"/>
        <v>0</v>
      </c>
      <c r="Y412">
        <f t="shared" si="116"/>
        <v>0</v>
      </c>
      <c r="Z412">
        <f t="shared" si="117"/>
        <v>0</v>
      </c>
      <c r="AA412">
        <f>IF($D412="",0,IF($F412&lt;2,0,IF($E412="Win",('Guide &amp; Settings'!$C$42/(($F412-1)*COUNTIFS($A$4:$A$810,$A412,$E$4:$E$810,"Win")))*SUMIFS($Z$4:$Z$810,$A$4:$A$810,$A412,$E$4:$E$810,"Loss"),-('Guide &amp; Settings'!$C$42/($F412-1))*$Z412)))</f>
        <v>0</v>
      </c>
      <c r="AB412" s="120">
        <f t="shared" si="118"/>
        <v>0</v>
      </c>
      <c r="AC412" s="120" t="str">
        <f>IF($D412="","",IF(SUMPRODUCT(MAX(($D$4:$D$810=$D412)*($B$4:$B$810&lt;$B412)*$B$4:$B$810))=0,0,MAX(($B412-MAX(SUMPRODUCT(MAX(($D$4:$D$810=$D412)*($B$4:$B$810&lt;$B412)*$B$4:$B$810)),'Guide &amp; Settings'!$C$50))/7-'Guide &amp; Settings'!$C$48,0)*'Guide &amp; Settings'!$C$49))</f>
        <v/>
      </c>
    </row>
    <row r="413" spans="1:29" x14ac:dyDescent="0.2">
      <c r="A413" s="111"/>
      <c r="B413" s="112"/>
      <c r="C413" s="113"/>
      <c r="D413" s="113"/>
      <c r="E413" s="111"/>
      <c r="F413" s="114">
        <f t="shared" si="102"/>
        <v>0</v>
      </c>
      <c r="G413" s="115" t="str">
        <f t="shared" si="103"/>
        <v/>
      </c>
      <c r="H413" s="116">
        <f>IF($D413="",0,IFERROR(LOOKUP(2,1/(($D$3:D412=$D413)*($A$3:A412&lt;$A413)),$N$3:N412),'Guide &amp; Settings'!$C$41))</f>
        <v>0</v>
      </c>
      <c r="I413" s="117">
        <f t="shared" si="104"/>
        <v>0</v>
      </c>
      <c r="J413" s="118">
        <f>IF($D413="",0,IF($F413&lt;2,0,IF($E413="Win",('Guide &amp; Settings'!$C$42/(($F413-1)*COUNTIFS($A$4:$A$810,$A413,$E$4:$E$810,"Win")))*SUMIFS($X$4:$X$810,$A$4:$A$810,$A413,$E$4:$E$810,"Loss"),-('Guide &amp; Settings'!$C$42/($F413-1))*$X413)))</f>
        <v>0</v>
      </c>
      <c r="K413" s="118">
        <f>IF($D413="",0,'Guide &amp; Settings'!$C$43*(IF($E413="Win",1,0)-$I413))</f>
        <v>0</v>
      </c>
      <c r="L413" s="119">
        <f>IF($D413="",0,'Guide &amp; Settings'!$C$44*IF($F413&gt;=3,$F413,0))</f>
        <v>0</v>
      </c>
      <c r="M413" s="118">
        <f t="shared" si="105"/>
        <v>0</v>
      </c>
      <c r="N413" s="116">
        <f t="shared" si="106"/>
        <v>0</v>
      </c>
      <c r="O413" s="115" t="str">
        <f t="shared" si="107"/>
        <v/>
      </c>
      <c r="P413">
        <f t="shared" si="108"/>
        <v>0</v>
      </c>
      <c r="Q413">
        <f t="shared" si="109"/>
        <v>0</v>
      </c>
      <c r="R413">
        <f t="shared" si="110"/>
        <v>0</v>
      </c>
      <c r="S413">
        <f t="shared" si="111"/>
        <v>0</v>
      </c>
      <c r="T413" s="83">
        <f t="shared" si="112"/>
        <v>0</v>
      </c>
      <c r="U413" s="120">
        <f>IF($D413="",0,IFERROR(LOOKUP(2,1/(($D$3:D412=$D413)*($C$3:C412=$C413)*($A$3:A412&lt;$A413)),$AB$3:AB412),1000))</f>
        <v>0</v>
      </c>
      <c r="V413" s="120">
        <f t="shared" si="113"/>
        <v>0</v>
      </c>
      <c r="W413">
        <f t="shared" si="114"/>
        <v>0</v>
      </c>
      <c r="X413">
        <f t="shared" si="115"/>
        <v>0</v>
      </c>
      <c r="Y413">
        <f t="shared" si="116"/>
        <v>0</v>
      </c>
      <c r="Z413">
        <f t="shared" si="117"/>
        <v>0</v>
      </c>
      <c r="AA413">
        <f>IF($D413="",0,IF($F413&lt;2,0,IF($E413="Win",('Guide &amp; Settings'!$C$42/(($F413-1)*COUNTIFS($A$4:$A$810,$A413,$E$4:$E$810,"Win")))*SUMIFS($Z$4:$Z$810,$A$4:$A$810,$A413,$E$4:$E$810,"Loss"),-('Guide &amp; Settings'!$C$42/($F413-1))*$Z413)))</f>
        <v>0</v>
      </c>
      <c r="AB413" s="120">
        <f t="shared" si="118"/>
        <v>0</v>
      </c>
      <c r="AC413" s="120" t="str">
        <f>IF($D413="","",IF(SUMPRODUCT(MAX(($D$4:$D$810=$D413)*($B$4:$B$810&lt;$B413)*$B$4:$B$810))=0,0,MAX(($B413-MAX(SUMPRODUCT(MAX(($D$4:$D$810=$D413)*($B$4:$B$810&lt;$B413)*$B$4:$B$810)),'Guide &amp; Settings'!$C$50))/7-'Guide &amp; Settings'!$C$48,0)*'Guide &amp; Settings'!$C$49))</f>
        <v/>
      </c>
    </row>
    <row r="414" spans="1:29" x14ac:dyDescent="0.2">
      <c r="A414" s="111"/>
      <c r="B414" s="112"/>
      <c r="C414" s="113"/>
      <c r="D414" s="113"/>
      <c r="E414" s="111"/>
      <c r="F414" s="114">
        <f t="shared" si="102"/>
        <v>0</v>
      </c>
      <c r="G414" s="115" t="str">
        <f t="shared" si="103"/>
        <v/>
      </c>
      <c r="H414" s="116">
        <f>IF($D414="",0,IFERROR(LOOKUP(2,1/(($D$3:D413=$D414)*($A$3:A413&lt;$A414)),$N$3:N413),'Guide &amp; Settings'!$C$41))</f>
        <v>0</v>
      </c>
      <c r="I414" s="117">
        <f t="shared" si="104"/>
        <v>0</v>
      </c>
      <c r="J414" s="118">
        <f>IF($D414="",0,IF($F414&lt;2,0,IF($E414="Win",('Guide &amp; Settings'!$C$42/(($F414-1)*COUNTIFS($A$4:$A$810,$A414,$E$4:$E$810,"Win")))*SUMIFS($X$4:$X$810,$A$4:$A$810,$A414,$E$4:$E$810,"Loss"),-('Guide &amp; Settings'!$C$42/($F414-1))*$X414)))</f>
        <v>0</v>
      </c>
      <c r="K414" s="118">
        <f>IF($D414="",0,'Guide &amp; Settings'!$C$43*(IF($E414="Win",1,0)-$I414))</f>
        <v>0</v>
      </c>
      <c r="L414" s="119">
        <f>IF($D414="",0,'Guide &amp; Settings'!$C$44*IF($F414&gt;=3,$F414,0))</f>
        <v>0</v>
      </c>
      <c r="M414" s="118">
        <f t="shared" si="105"/>
        <v>0</v>
      </c>
      <c r="N414" s="116">
        <f t="shared" si="106"/>
        <v>0</v>
      </c>
      <c r="O414" s="115" t="str">
        <f t="shared" si="107"/>
        <v/>
      </c>
      <c r="P414">
        <f t="shared" si="108"/>
        <v>0</v>
      </c>
      <c r="Q414">
        <f t="shared" si="109"/>
        <v>0</v>
      </c>
      <c r="R414">
        <f t="shared" si="110"/>
        <v>0</v>
      </c>
      <c r="S414">
        <f t="shared" si="111"/>
        <v>0</v>
      </c>
      <c r="T414" s="83">
        <f t="shared" si="112"/>
        <v>0</v>
      </c>
      <c r="U414" s="120">
        <f>IF($D414="",0,IFERROR(LOOKUP(2,1/(($D$3:D413=$D414)*($C$3:C413=$C414)*($A$3:A413&lt;$A414)),$AB$3:AB413),1000))</f>
        <v>0</v>
      </c>
      <c r="V414" s="120">
        <f t="shared" si="113"/>
        <v>0</v>
      </c>
      <c r="W414">
        <f t="shared" si="114"/>
        <v>0</v>
      </c>
      <c r="X414">
        <f t="shared" si="115"/>
        <v>0</v>
      </c>
      <c r="Y414">
        <f t="shared" si="116"/>
        <v>0</v>
      </c>
      <c r="Z414">
        <f t="shared" si="117"/>
        <v>0</v>
      </c>
      <c r="AA414">
        <f>IF($D414="",0,IF($F414&lt;2,0,IF($E414="Win",('Guide &amp; Settings'!$C$42/(($F414-1)*COUNTIFS($A$4:$A$810,$A414,$E$4:$E$810,"Win")))*SUMIFS($Z$4:$Z$810,$A$4:$A$810,$A414,$E$4:$E$810,"Loss"),-('Guide &amp; Settings'!$C$42/($F414-1))*$Z414)))</f>
        <v>0</v>
      </c>
      <c r="AB414" s="120">
        <f t="shared" si="118"/>
        <v>0</v>
      </c>
      <c r="AC414" s="120" t="str">
        <f>IF($D414="","",IF(SUMPRODUCT(MAX(($D$4:$D$810=$D414)*($B$4:$B$810&lt;$B414)*$B$4:$B$810))=0,0,MAX(($B414-MAX(SUMPRODUCT(MAX(($D$4:$D$810=$D414)*($B$4:$B$810&lt;$B414)*$B$4:$B$810)),'Guide &amp; Settings'!$C$50))/7-'Guide &amp; Settings'!$C$48,0)*'Guide &amp; Settings'!$C$49))</f>
        <v/>
      </c>
    </row>
    <row r="415" spans="1:29" x14ac:dyDescent="0.2">
      <c r="A415" s="111"/>
      <c r="B415" s="112"/>
      <c r="C415" s="113"/>
      <c r="D415" s="113"/>
      <c r="E415" s="111"/>
      <c r="F415" s="114">
        <f t="shared" si="102"/>
        <v>0</v>
      </c>
      <c r="G415" s="115" t="str">
        <f t="shared" si="103"/>
        <v/>
      </c>
      <c r="H415" s="116">
        <f>IF($D415="",0,IFERROR(LOOKUP(2,1/(($D$3:D414=$D415)*($A$3:A414&lt;$A415)),$N$3:N414),'Guide &amp; Settings'!$C$41))</f>
        <v>0</v>
      </c>
      <c r="I415" s="117">
        <f t="shared" si="104"/>
        <v>0</v>
      </c>
      <c r="J415" s="118">
        <f>IF($D415="",0,IF($F415&lt;2,0,IF($E415="Win",('Guide &amp; Settings'!$C$42/(($F415-1)*COUNTIFS($A$4:$A$810,$A415,$E$4:$E$810,"Win")))*SUMIFS($X$4:$X$810,$A$4:$A$810,$A415,$E$4:$E$810,"Loss"),-('Guide &amp; Settings'!$C$42/($F415-1))*$X415)))</f>
        <v>0</v>
      </c>
      <c r="K415" s="118">
        <f>IF($D415="",0,'Guide &amp; Settings'!$C$43*(IF($E415="Win",1,0)-$I415))</f>
        <v>0</v>
      </c>
      <c r="L415" s="119">
        <f>IF($D415="",0,'Guide &amp; Settings'!$C$44*IF($F415&gt;=3,$F415,0))</f>
        <v>0</v>
      </c>
      <c r="M415" s="118">
        <f t="shared" si="105"/>
        <v>0</v>
      </c>
      <c r="N415" s="116">
        <f t="shared" si="106"/>
        <v>0</v>
      </c>
      <c r="O415" s="115" t="str">
        <f t="shared" si="107"/>
        <v/>
      </c>
      <c r="P415">
        <f t="shared" si="108"/>
        <v>0</v>
      </c>
      <c r="Q415">
        <f t="shared" si="109"/>
        <v>0</v>
      </c>
      <c r="R415">
        <f t="shared" si="110"/>
        <v>0</v>
      </c>
      <c r="S415">
        <f t="shared" si="111"/>
        <v>0</v>
      </c>
      <c r="T415" s="83">
        <f t="shared" si="112"/>
        <v>0</v>
      </c>
      <c r="U415" s="120">
        <f>IF($D415="",0,IFERROR(LOOKUP(2,1/(($D$3:D414=$D415)*($C$3:C414=$C415)*($A$3:A414&lt;$A415)),$AB$3:AB414),1000))</f>
        <v>0</v>
      </c>
      <c r="V415" s="120">
        <f t="shared" si="113"/>
        <v>0</v>
      </c>
      <c r="W415">
        <f t="shared" si="114"/>
        <v>0</v>
      </c>
      <c r="X415">
        <f t="shared" si="115"/>
        <v>0</v>
      </c>
      <c r="Y415">
        <f t="shared" si="116"/>
        <v>0</v>
      </c>
      <c r="Z415">
        <f t="shared" si="117"/>
        <v>0</v>
      </c>
      <c r="AA415">
        <f>IF($D415="",0,IF($F415&lt;2,0,IF($E415="Win",('Guide &amp; Settings'!$C$42/(($F415-1)*COUNTIFS($A$4:$A$810,$A415,$E$4:$E$810,"Win")))*SUMIFS($Z$4:$Z$810,$A$4:$A$810,$A415,$E$4:$E$810,"Loss"),-('Guide &amp; Settings'!$C$42/($F415-1))*$Z415)))</f>
        <v>0</v>
      </c>
      <c r="AB415" s="120">
        <f t="shared" si="118"/>
        <v>0</v>
      </c>
      <c r="AC415" s="120" t="str">
        <f>IF($D415="","",IF(SUMPRODUCT(MAX(($D$4:$D$810=$D415)*($B$4:$B$810&lt;$B415)*$B$4:$B$810))=0,0,MAX(($B415-MAX(SUMPRODUCT(MAX(($D$4:$D$810=$D415)*($B$4:$B$810&lt;$B415)*$B$4:$B$810)),'Guide &amp; Settings'!$C$50))/7-'Guide &amp; Settings'!$C$48,0)*'Guide &amp; Settings'!$C$49))</f>
        <v/>
      </c>
    </row>
    <row r="416" spans="1:29" x14ac:dyDescent="0.2">
      <c r="A416" s="111"/>
      <c r="B416" s="112"/>
      <c r="C416" s="113"/>
      <c r="D416" s="113"/>
      <c r="E416" s="111"/>
      <c r="F416" s="114">
        <f t="shared" si="102"/>
        <v>0</v>
      </c>
      <c r="G416" s="115" t="str">
        <f t="shared" si="103"/>
        <v/>
      </c>
      <c r="H416" s="116">
        <f>IF($D416="",0,IFERROR(LOOKUP(2,1/(($D$3:D415=$D416)*($A$3:A415&lt;$A416)),$N$3:N415),'Guide &amp; Settings'!$C$41))</f>
        <v>0</v>
      </c>
      <c r="I416" s="117">
        <f t="shared" si="104"/>
        <v>0</v>
      </c>
      <c r="J416" s="118">
        <f>IF($D416="",0,IF($F416&lt;2,0,IF($E416="Win",('Guide &amp; Settings'!$C$42/(($F416-1)*COUNTIFS($A$4:$A$810,$A416,$E$4:$E$810,"Win")))*SUMIFS($X$4:$X$810,$A$4:$A$810,$A416,$E$4:$E$810,"Loss"),-('Guide &amp; Settings'!$C$42/($F416-1))*$X416)))</f>
        <v>0</v>
      </c>
      <c r="K416" s="118">
        <f>IF($D416="",0,'Guide &amp; Settings'!$C$43*(IF($E416="Win",1,0)-$I416))</f>
        <v>0</v>
      </c>
      <c r="L416" s="119">
        <f>IF($D416="",0,'Guide &amp; Settings'!$C$44*IF($F416&gt;=3,$F416,0))</f>
        <v>0</v>
      </c>
      <c r="M416" s="118">
        <f t="shared" si="105"/>
        <v>0</v>
      </c>
      <c r="N416" s="116">
        <f t="shared" si="106"/>
        <v>0</v>
      </c>
      <c r="O416" s="115" t="str">
        <f t="shared" si="107"/>
        <v/>
      </c>
      <c r="P416">
        <f t="shared" si="108"/>
        <v>0</v>
      </c>
      <c r="Q416">
        <f t="shared" si="109"/>
        <v>0</v>
      </c>
      <c r="R416">
        <f t="shared" si="110"/>
        <v>0</v>
      </c>
      <c r="S416">
        <f t="shared" si="111"/>
        <v>0</v>
      </c>
      <c r="T416" s="83">
        <f t="shared" si="112"/>
        <v>0</v>
      </c>
      <c r="U416" s="120">
        <f>IF($D416="",0,IFERROR(LOOKUP(2,1/(($D$3:D415=$D416)*($C$3:C415=$C416)*($A$3:A415&lt;$A416)),$AB$3:AB415),1000))</f>
        <v>0</v>
      </c>
      <c r="V416" s="120">
        <f t="shared" si="113"/>
        <v>0</v>
      </c>
      <c r="W416">
        <f t="shared" si="114"/>
        <v>0</v>
      </c>
      <c r="X416">
        <f t="shared" si="115"/>
        <v>0</v>
      </c>
      <c r="Y416">
        <f t="shared" si="116"/>
        <v>0</v>
      </c>
      <c r="Z416">
        <f t="shared" si="117"/>
        <v>0</v>
      </c>
      <c r="AA416">
        <f>IF($D416="",0,IF($F416&lt;2,0,IF($E416="Win",('Guide &amp; Settings'!$C$42/(($F416-1)*COUNTIFS($A$4:$A$810,$A416,$E$4:$E$810,"Win")))*SUMIFS($Z$4:$Z$810,$A$4:$A$810,$A416,$E$4:$E$810,"Loss"),-('Guide &amp; Settings'!$C$42/($F416-1))*$Z416)))</f>
        <v>0</v>
      </c>
      <c r="AB416" s="120">
        <f t="shared" si="118"/>
        <v>0</v>
      </c>
      <c r="AC416" s="120" t="str">
        <f>IF($D416="","",IF(SUMPRODUCT(MAX(($D$4:$D$810=$D416)*($B$4:$B$810&lt;$B416)*$B$4:$B$810))=0,0,MAX(($B416-MAX(SUMPRODUCT(MAX(($D$4:$D$810=$D416)*($B$4:$B$810&lt;$B416)*$B$4:$B$810)),'Guide &amp; Settings'!$C$50))/7-'Guide &amp; Settings'!$C$48,0)*'Guide &amp; Settings'!$C$49))</f>
        <v/>
      </c>
    </row>
    <row r="417" spans="1:29" x14ac:dyDescent="0.2">
      <c r="A417" s="111"/>
      <c r="B417" s="112"/>
      <c r="C417" s="113"/>
      <c r="D417" s="113"/>
      <c r="E417" s="111"/>
      <c r="F417" s="114">
        <f t="shared" si="102"/>
        <v>0</v>
      </c>
      <c r="G417" s="115" t="str">
        <f t="shared" si="103"/>
        <v/>
      </c>
      <c r="H417" s="116">
        <f>IF($D417="",0,IFERROR(LOOKUP(2,1/(($D$3:D416=$D417)*($A$3:A416&lt;$A417)),$N$3:N416),'Guide &amp; Settings'!$C$41))</f>
        <v>0</v>
      </c>
      <c r="I417" s="117">
        <f t="shared" si="104"/>
        <v>0</v>
      </c>
      <c r="J417" s="118">
        <f>IF($D417="",0,IF($F417&lt;2,0,IF($E417="Win",('Guide &amp; Settings'!$C$42/(($F417-1)*COUNTIFS($A$4:$A$810,$A417,$E$4:$E$810,"Win")))*SUMIFS($X$4:$X$810,$A$4:$A$810,$A417,$E$4:$E$810,"Loss"),-('Guide &amp; Settings'!$C$42/($F417-1))*$X417)))</f>
        <v>0</v>
      </c>
      <c r="K417" s="118">
        <f>IF($D417="",0,'Guide &amp; Settings'!$C$43*(IF($E417="Win",1,0)-$I417))</f>
        <v>0</v>
      </c>
      <c r="L417" s="119">
        <f>IF($D417="",0,'Guide &amp; Settings'!$C$44*IF($F417&gt;=3,$F417,0))</f>
        <v>0</v>
      </c>
      <c r="M417" s="118">
        <f t="shared" si="105"/>
        <v>0</v>
      </c>
      <c r="N417" s="116">
        <f t="shared" si="106"/>
        <v>0</v>
      </c>
      <c r="O417" s="115" t="str">
        <f t="shared" si="107"/>
        <v/>
      </c>
      <c r="P417">
        <f t="shared" si="108"/>
        <v>0</v>
      </c>
      <c r="Q417">
        <f t="shared" si="109"/>
        <v>0</v>
      </c>
      <c r="R417">
        <f t="shared" si="110"/>
        <v>0</v>
      </c>
      <c r="S417">
        <f t="shared" si="111"/>
        <v>0</v>
      </c>
      <c r="T417" s="83">
        <f t="shared" si="112"/>
        <v>0</v>
      </c>
      <c r="U417" s="120">
        <f>IF($D417="",0,IFERROR(LOOKUP(2,1/(($D$3:D416=$D417)*($C$3:C416=$C417)*($A$3:A416&lt;$A417)),$AB$3:AB416),1000))</f>
        <v>0</v>
      </c>
      <c r="V417" s="120">
        <f t="shared" si="113"/>
        <v>0</v>
      </c>
      <c r="W417">
        <f t="shared" si="114"/>
        <v>0</v>
      </c>
      <c r="X417">
        <f t="shared" si="115"/>
        <v>0</v>
      </c>
      <c r="Y417">
        <f t="shared" si="116"/>
        <v>0</v>
      </c>
      <c r="Z417">
        <f t="shared" si="117"/>
        <v>0</v>
      </c>
      <c r="AA417">
        <f>IF($D417="",0,IF($F417&lt;2,0,IF($E417="Win",('Guide &amp; Settings'!$C$42/(($F417-1)*COUNTIFS($A$4:$A$810,$A417,$E$4:$E$810,"Win")))*SUMIFS($Z$4:$Z$810,$A$4:$A$810,$A417,$E$4:$E$810,"Loss"),-('Guide &amp; Settings'!$C$42/($F417-1))*$Z417)))</f>
        <v>0</v>
      </c>
      <c r="AB417" s="120">
        <f t="shared" si="118"/>
        <v>0</v>
      </c>
      <c r="AC417" s="120" t="str">
        <f>IF($D417="","",IF(SUMPRODUCT(MAX(($D$4:$D$810=$D417)*($B$4:$B$810&lt;$B417)*$B$4:$B$810))=0,0,MAX(($B417-MAX(SUMPRODUCT(MAX(($D$4:$D$810=$D417)*($B$4:$B$810&lt;$B417)*$B$4:$B$810)),'Guide &amp; Settings'!$C$50))/7-'Guide &amp; Settings'!$C$48,0)*'Guide &amp; Settings'!$C$49))</f>
        <v/>
      </c>
    </row>
    <row r="418" spans="1:29" x14ac:dyDescent="0.2">
      <c r="A418" s="111"/>
      <c r="B418" s="112"/>
      <c r="C418" s="113"/>
      <c r="D418" s="113"/>
      <c r="E418" s="111"/>
      <c r="F418" s="114">
        <f t="shared" si="102"/>
        <v>0</v>
      </c>
      <c r="G418" s="115" t="str">
        <f t="shared" si="103"/>
        <v/>
      </c>
      <c r="H418" s="116">
        <f>IF($D418="",0,IFERROR(LOOKUP(2,1/(($D$3:D417=$D418)*($A$3:A417&lt;$A418)),$N$3:N417),'Guide &amp; Settings'!$C$41))</f>
        <v>0</v>
      </c>
      <c r="I418" s="117">
        <f t="shared" si="104"/>
        <v>0</v>
      </c>
      <c r="J418" s="118">
        <f>IF($D418="",0,IF($F418&lt;2,0,IF($E418="Win",('Guide &amp; Settings'!$C$42/(($F418-1)*COUNTIFS($A$4:$A$810,$A418,$E$4:$E$810,"Win")))*SUMIFS($X$4:$X$810,$A$4:$A$810,$A418,$E$4:$E$810,"Loss"),-('Guide &amp; Settings'!$C$42/($F418-1))*$X418)))</f>
        <v>0</v>
      </c>
      <c r="K418" s="118">
        <f>IF($D418="",0,'Guide &amp; Settings'!$C$43*(IF($E418="Win",1,0)-$I418))</f>
        <v>0</v>
      </c>
      <c r="L418" s="119">
        <f>IF($D418="",0,'Guide &amp; Settings'!$C$44*IF($F418&gt;=3,$F418,0))</f>
        <v>0</v>
      </c>
      <c r="M418" s="118">
        <f t="shared" si="105"/>
        <v>0</v>
      </c>
      <c r="N418" s="116">
        <f t="shared" si="106"/>
        <v>0</v>
      </c>
      <c r="O418" s="115" t="str">
        <f t="shared" si="107"/>
        <v/>
      </c>
      <c r="P418">
        <f t="shared" si="108"/>
        <v>0</v>
      </c>
      <c r="Q418">
        <f t="shared" si="109"/>
        <v>0</v>
      </c>
      <c r="R418">
        <f t="shared" si="110"/>
        <v>0</v>
      </c>
      <c r="S418">
        <f t="shared" si="111"/>
        <v>0</v>
      </c>
      <c r="T418" s="83">
        <f t="shared" si="112"/>
        <v>0</v>
      </c>
      <c r="U418" s="120">
        <f>IF($D418="",0,IFERROR(LOOKUP(2,1/(($D$3:D417=$D418)*($C$3:C417=$C418)*($A$3:A417&lt;$A418)),$AB$3:AB417),1000))</f>
        <v>0</v>
      </c>
      <c r="V418" s="120">
        <f t="shared" si="113"/>
        <v>0</v>
      </c>
      <c r="W418">
        <f t="shared" si="114"/>
        <v>0</v>
      </c>
      <c r="X418">
        <f t="shared" si="115"/>
        <v>0</v>
      </c>
      <c r="Y418">
        <f t="shared" si="116"/>
        <v>0</v>
      </c>
      <c r="Z418">
        <f t="shared" si="117"/>
        <v>0</v>
      </c>
      <c r="AA418">
        <f>IF($D418="",0,IF($F418&lt;2,0,IF($E418="Win",('Guide &amp; Settings'!$C$42/(($F418-1)*COUNTIFS($A$4:$A$810,$A418,$E$4:$E$810,"Win")))*SUMIFS($Z$4:$Z$810,$A$4:$A$810,$A418,$E$4:$E$810,"Loss"),-('Guide &amp; Settings'!$C$42/($F418-1))*$Z418)))</f>
        <v>0</v>
      </c>
      <c r="AB418" s="120">
        <f t="shared" si="118"/>
        <v>0</v>
      </c>
      <c r="AC418" s="120" t="str">
        <f>IF($D418="","",IF(SUMPRODUCT(MAX(($D$4:$D$810=$D418)*($B$4:$B$810&lt;$B418)*$B$4:$B$810))=0,0,MAX(($B418-MAX(SUMPRODUCT(MAX(($D$4:$D$810=$D418)*($B$4:$B$810&lt;$B418)*$B$4:$B$810)),'Guide &amp; Settings'!$C$50))/7-'Guide &amp; Settings'!$C$48,0)*'Guide &amp; Settings'!$C$49))</f>
        <v/>
      </c>
    </row>
    <row r="419" spans="1:29" x14ac:dyDescent="0.2">
      <c r="A419" s="111"/>
      <c r="B419" s="112"/>
      <c r="C419" s="113"/>
      <c r="D419" s="113"/>
      <c r="E419" s="111"/>
      <c r="F419" s="114">
        <f t="shared" si="102"/>
        <v>0</v>
      </c>
      <c r="G419" s="115" t="str">
        <f t="shared" si="103"/>
        <v/>
      </c>
      <c r="H419" s="116">
        <f>IF($D419="",0,IFERROR(LOOKUP(2,1/(($D$3:D418=$D419)*($A$3:A418&lt;$A419)),$N$3:N418),'Guide &amp; Settings'!$C$41))</f>
        <v>0</v>
      </c>
      <c r="I419" s="117">
        <f t="shared" si="104"/>
        <v>0</v>
      </c>
      <c r="J419" s="118">
        <f>IF($D419="",0,IF($F419&lt;2,0,IF($E419="Win",('Guide &amp; Settings'!$C$42/(($F419-1)*COUNTIFS($A$4:$A$810,$A419,$E$4:$E$810,"Win")))*SUMIFS($X$4:$X$810,$A$4:$A$810,$A419,$E$4:$E$810,"Loss"),-('Guide &amp; Settings'!$C$42/($F419-1))*$X419)))</f>
        <v>0</v>
      </c>
      <c r="K419" s="118">
        <f>IF($D419="",0,'Guide &amp; Settings'!$C$43*(IF($E419="Win",1,0)-$I419))</f>
        <v>0</v>
      </c>
      <c r="L419" s="119">
        <f>IF($D419="",0,'Guide &amp; Settings'!$C$44*IF($F419&gt;=3,$F419,0))</f>
        <v>0</v>
      </c>
      <c r="M419" s="118">
        <f t="shared" si="105"/>
        <v>0</v>
      </c>
      <c r="N419" s="116">
        <f t="shared" si="106"/>
        <v>0</v>
      </c>
      <c r="O419" s="115" t="str">
        <f t="shared" si="107"/>
        <v/>
      </c>
      <c r="P419">
        <f t="shared" si="108"/>
        <v>0</v>
      </c>
      <c r="Q419">
        <f t="shared" si="109"/>
        <v>0</v>
      </c>
      <c r="R419">
        <f t="shared" si="110"/>
        <v>0</v>
      </c>
      <c r="S419">
        <f t="shared" si="111"/>
        <v>0</v>
      </c>
      <c r="T419" s="83">
        <f t="shared" si="112"/>
        <v>0</v>
      </c>
      <c r="U419" s="120">
        <f>IF($D419="",0,IFERROR(LOOKUP(2,1/(($D$3:D418=$D419)*($C$3:C418=$C419)*($A$3:A418&lt;$A419)),$AB$3:AB418),1000))</f>
        <v>0</v>
      </c>
      <c r="V419" s="120">
        <f t="shared" si="113"/>
        <v>0</v>
      </c>
      <c r="W419">
        <f t="shared" si="114"/>
        <v>0</v>
      </c>
      <c r="X419">
        <f t="shared" si="115"/>
        <v>0</v>
      </c>
      <c r="Y419">
        <f t="shared" si="116"/>
        <v>0</v>
      </c>
      <c r="Z419">
        <f t="shared" si="117"/>
        <v>0</v>
      </c>
      <c r="AA419">
        <f>IF($D419="",0,IF($F419&lt;2,0,IF($E419="Win",('Guide &amp; Settings'!$C$42/(($F419-1)*COUNTIFS($A$4:$A$810,$A419,$E$4:$E$810,"Win")))*SUMIFS($Z$4:$Z$810,$A$4:$A$810,$A419,$E$4:$E$810,"Loss"),-('Guide &amp; Settings'!$C$42/($F419-1))*$Z419)))</f>
        <v>0</v>
      </c>
      <c r="AB419" s="120">
        <f t="shared" si="118"/>
        <v>0</v>
      </c>
      <c r="AC419" s="120" t="str">
        <f>IF($D419="","",IF(SUMPRODUCT(MAX(($D$4:$D$810=$D419)*($B$4:$B$810&lt;$B419)*$B$4:$B$810))=0,0,MAX(($B419-MAX(SUMPRODUCT(MAX(($D$4:$D$810=$D419)*($B$4:$B$810&lt;$B419)*$B$4:$B$810)),'Guide &amp; Settings'!$C$50))/7-'Guide &amp; Settings'!$C$48,0)*'Guide &amp; Settings'!$C$49))</f>
        <v/>
      </c>
    </row>
    <row r="420" spans="1:29" x14ac:dyDescent="0.2">
      <c r="A420" s="111"/>
      <c r="B420" s="112"/>
      <c r="C420" s="113"/>
      <c r="D420" s="113"/>
      <c r="E420" s="111"/>
      <c r="F420" s="114">
        <f t="shared" si="102"/>
        <v>0</v>
      </c>
      <c r="G420" s="115" t="str">
        <f t="shared" si="103"/>
        <v/>
      </c>
      <c r="H420" s="116">
        <f>IF($D420="",0,IFERROR(LOOKUP(2,1/(($D$3:D419=$D420)*($A$3:A419&lt;$A420)),$N$3:N419),'Guide &amp; Settings'!$C$41))</f>
        <v>0</v>
      </c>
      <c r="I420" s="117">
        <f t="shared" si="104"/>
        <v>0</v>
      </c>
      <c r="J420" s="118">
        <f>IF($D420="",0,IF($F420&lt;2,0,IF($E420="Win",('Guide &amp; Settings'!$C$42/(($F420-1)*COUNTIFS($A$4:$A$810,$A420,$E$4:$E$810,"Win")))*SUMIFS($X$4:$X$810,$A$4:$A$810,$A420,$E$4:$E$810,"Loss"),-('Guide &amp; Settings'!$C$42/($F420-1))*$X420)))</f>
        <v>0</v>
      </c>
      <c r="K420" s="118">
        <f>IF($D420="",0,'Guide &amp; Settings'!$C$43*(IF($E420="Win",1,0)-$I420))</f>
        <v>0</v>
      </c>
      <c r="L420" s="119">
        <f>IF($D420="",0,'Guide &amp; Settings'!$C$44*IF($F420&gt;=3,$F420,0))</f>
        <v>0</v>
      </c>
      <c r="M420" s="118">
        <f t="shared" si="105"/>
        <v>0</v>
      </c>
      <c r="N420" s="116">
        <f t="shared" si="106"/>
        <v>0</v>
      </c>
      <c r="O420" s="115" t="str">
        <f t="shared" si="107"/>
        <v/>
      </c>
      <c r="P420">
        <f t="shared" si="108"/>
        <v>0</v>
      </c>
      <c r="Q420">
        <f t="shared" si="109"/>
        <v>0</v>
      </c>
      <c r="R420">
        <f t="shared" si="110"/>
        <v>0</v>
      </c>
      <c r="S420">
        <f t="shared" si="111"/>
        <v>0</v>
      </c>
      <c r="T420" s="83">
        <f t="shared" si="112"/>
        <v>0</v>
      </c>
      <c r="U420" s="120">
        <f>IF($D420="",0,IFERROR(LOOKUP(2,1/(($D$3:D419=$D420)*($C$3:C419=$C420)*($A$3:A419&lt;$A420)),$AB$3:AB419),1000))</f>
        <v>0</v>
      </c>
      <c r="V420" s="120">
        <f t="shared" si="113"/>
        <v>0</v>
      </c>
      <c r="W420">
        <f t="shared" si="114"/>
        <v>0</v>
      </c>
      <c r="X420">
        <f t="shared" si="115"/>
        <v>0</v>
      </c>
      <c r="Y420">
        <f t="shared" si="116"/>
        <v>0</v>
      </c>
      <c r="Z420">
        <f t="shared" si="117"/>
        <v>0</v>
      </c>
      <c r="AA420">
        <f>IF($D420="",0,IF($F420&lt;2,0,IF($E420="Win",('Guide &amp; Settings'!$C$42/(($F420-1)*COUNTIFS($A$4:$A$810,$A420,$E$4:$E$810,"Win")))*SUMIFS($Z$4:$Z$810,$A$4:$A$810,$A420,$E$4:$E$810,"Loss"),-('Guide &amp; Settings'!$C$42/($F420-1))*$Z420)))</f>
        <v>0</v>
      </c>
      <c r="AB420" s="120">
        <f t="shared" si="118"/>
        <v>0</v>
      </c>
      <c r="AC420" s="120" t="str">
        <f>IF($D420="","",IF(SUMPRODUCT(MAX(($D$4:$D$810=$D420)*($B$4:$B$810&lt;$B420)*$B$4:$B$810))=0,0,MAX(($B420-MAX(SUMPRODUCT(MAX(($D$4:$D$810=$D420)*($B$4:$B$810&lt;$B420)*$B$4:$B$810)),'Guide &amp; Settings'!$C$50))/7-'Guide &amp; Settings'!$C$48,0)*'Guide &amp; Settings'!$C$49))</f>
        <v/>
      </c>
    </row>
    <row r="421" spans="1:29" x14ac:dyDescent="0.2">
      <c r="A421" s="111"/>
      <c r="B421" s="112"/>
      <c r="C421" s="113"/>
      <c r="D421" s="113"/>
      <c r="E421" s="111"/>
      <c r="F421" s="114">
        <f t="shared" si="102"/>
        <v>0</v>
      </c>
      <c r="G421" s="115" t="str">
        <f t="shared" si="103"/>
        <v/>
      </c>
      <c r="H421" s="116">
        <f>IF($D421="",0,IFERROR(LOOKUP(2,1/(($D$3:D420=$D421)*($A$3:A420&lt;$A421)),$N$3:N420),'Guide &amp; Settings'!$C$41))</f>
        <v>0</v>
      </c>
      <c r="I421" s="117">
        <f t="shared" si="104"/>
        <v>0</v>
      </c>
      <c r="J421" s="118">
        <f>IF($D421="",0,IF($F421&lt;2,0,IF($E421="Win",('Guide &amp; Settings'!$C$42/(($F421-1)*COUNTIFS($A$4:$A$810,$A421,$E$4:$E$810,"Win")))*SUMIFS($X$4:$X$810,$A$4:$A$810,$A421,$E$4:$E$810,"Loss"),-('Guide &amp; Settings'!$C$42/($F421-1))*$X421)))</f>
        <v>0</v>
      </c>
      <c r="K421" s="118">
        <f>IF($D421="",0,'Guide &amp; Settings'!$C$43*(IF($E421="Win",1,0)-$I421))</f>
        <v>0</v>
      </c>
      <c r="L421" s="119">
        <f>IF($D421="",0,'Guide &amp; Settings'!$C$44*IF($F421&gt;=3,$F421,0))</f>
        <v>0</v>
      </c>
      <c r="M421" s="118">
        <f t="shared" si="105"/>
        <v>0</v>
      </c>
      <c r="N421" s="116">
        <f t="shared" si="106"/>
        <v>0</v>
      </c>
      <c r="O421" s="115" t="str">
        <f t="shared" si="107"/>
        <v/>
      </c>
      <c r="P421">
        <f t="shared" si="108"/>
        <v>0</v>
      </c>
      <c r="Q421">
        <f t="shared" si="109"/>
        <v>0</v>
      </c>
      <c r="R421">
        <f t="shared" si="110"/>
        <v>0</v>
      </c>
      <c r="S421">
        <f t="shared" si="111"/>
        <v>0</v>
      </c>
      <c r="T421" s="83">
        <f t="shared" si="112"/>
        <v>0</v>
      </c>
      <c r="U421" s="120">
        <f>IF($D421="",0,IFERROR(LOOKUP(2,1/(($D$3:D420=$D421)*($C$3:C420=$C421)*($A$3:A420&lt;$A421)),$AB$3:AB420),1000))</f>
        <v>0</v>
      </c>
      <c r="V421" s="120">
        <f t="shared" si="113"/>
        <v>0</v>
      </c>
      <c r="W421">
        <f t="shared" si="114"/>
        <v>0</v>
      </c>
      <c r="X421">
        <f t="shared" si="115"/>
        <v>0</v>
      </c>
      <c r="Y421">
        <f t="shared" si="116"/>
        <v>0</v>
      </c>
      <c r="Z421">
        <f t="shared" si="117"/>
        <v>0</v>
      </c>
      <c r="AA421">
        <f>IF($D421="",0,IF($F421&lt;2,0,IF($E421="Win",('Guide &amp; Settings'!$C$42/(($F421-1)*COUNTIFS($A$4:$A$810,$A421,$E$4:$E$810,"Win")))*SUMIFS($Z$4:$Z$810,$A$4:$A$810,$A421,$E$4:$E$810,"Loss"),-('Guide &amp; Settings'!$C$42/($F421-1))*$Z421)))</f>
        <v>0</v>
      </c>
      <c r="AB421" s="120">
        <f t="shared" si="118"/>
        <v>0</v>
      </c>
      <c r="AC421" s="120" t="str">
        <f>IF($D421="","",IF(SUMPRODUCT(MAX(($D$4:$D$810=$D421)*($B$4:$B$810&lt;$B421)*$B$4:$B$810))=0,0,MAX(($B421-MAX(SUMPRODUCT(MAX(($D$4:$D$810=$D421)*($B$4:$B$810&lt;$B421)*$B$4:$B$810)),'Guide &amp; Settings'!$C$50))/7-'Guide &amp; Settings'!$C$48,0)*'Guide &amp; Settings'!$C$49))</f>
        <v/>
      </c>
    </row>
    <row r="422" spans="1:29" x14ac:dyDescent="0.2">
      <c r="A422" s="111"/>
      <c r="B422" s="112"/>
      <c r="C422" s="113"/>
      <c r="D422" s="113"/>
      <c r="E422" s="111"/>
      <c r="F422" s="114">
        <f t="shared" si="102"/>
        <v>0</v>
      </c>
      <c r="G422" s="115" t="str">
        <f t="shared" si="103"/>
        <v/>
      </c>
      <c r="H422" s="116">
        <f>IF($D422="",0,IFERROR(LOOKUP(2,1/(($D$3:D421=$D422)*($A$3:A421&lt;$A422)),$N$3:N421),'Guide &amp; Settings'!$C$41))</f>
        <v>0</v>
      </c>
      <c r="I422" s="117">
        <f t="shared" si="104"/>
        <v>0</v>
      </c>
      <c r="J422" s="118">
        <f>IF($D422="",0,IF($F422&lt;2,0,IF($E422="Win",('Guide &amp; Settings'!$C$42/(($F422-1)*COUNTIFS($A$4:$A$810,$A422,$E$4:$E$810,"Win")))*SUMIFS($X$4:$X$810,$A$4:$A$810,$A422,$E$4:$E$810,"Loss"),-('Guide &amp; Settings'!$C$42/($F422-1))*$X422)))</f>
        <v>0</v>
      </c>
      <c r="K422" s="118">
        <f>IF($D422="",0,'Guide &amp; Settings'!$C$43*(IF($E422="Win",1,0)-$I422))</f>
        <v>0</v>
      </c>
      <c r="L422" s="119">
        <f>IF($D422="",0,'Guide &amp; Settings'!$C$44*IF($F422&gt;=3,$F422,0))</f>
        <v>0</v>
      </c>
      <c r="M422" s="118">
        <f t="shared" si="105"/>
        <v>0</v>
      </c>
      <c r="N422" s="116">
        <f t="shared" si="106"/>
        <v>0</v>
      </c>
      <c r="O422" s="115" t="str">
        <f t="shared" si="107"/>
        <v/>
      </c>
      <c r="P422">
        <f t="shared" si="108"/>
        <v>0</v>
      </c>
      <c r="Q422">
        <f t="shared" si="109"/>
        <v>0</v>
      </c>
      <c r="R422">
        <f t="shared" si="110"/>
        <v>0</v>
      </c>
      <c r="S422">
        <f t="shared" si="111"/>
        <v>0</v>
      </c>
      <c r="T422" s="83">
        <f t="shared" si="112"/>
        <v>0</v>
      </c>
      <c r="U422" s="120">
        <f>IF($D422="",0,IFERROR(LOOKUP(2,1/(($D$3:D421=$D422)*($C$3:C421=$C422)*($A$3:A421&lt;$A422)),$AB$3:AB421),1000))</f>
        <v>0</v>
      </c>
      <c r="V422" s="120">
        <f t="shared" si="113"/>
        <v>0</v>
      </c>
      <c r="W422">
        <f t="shared" si="114"/>
        <v>0</v>
      </c>
      <c r="X422">
        <f t="shared" si="115"/>
        <v>0</v>
      </c>
      <c r="Y422">
        <f t="shared" si="116"/>
        <v>0</v>
      </c>
      <c r="Z422">
        <f t="shared" si="117"/>
        <v>0</v>
      </c>
      <c r="AA422">
        <f>IF($D422="",0,IF($F422&lt;2,0,IF($E422="Win",('Guide &amp; Settings'!$C$42/(($F422-1)*COUNTIFS($A$4:$A$810,$A422,$E$4:$E$810,"Win")))*SUMIFS($Z$4:$Z$810,$A$4:$A$810,$A422,$E$4:$E$810,"Loss"),-('Guide &amp; Settings'!$C$42/($F422-1))*$Z422)))</f>
        <v>0</v>
      </c>
      <c r="AB422" s="120">
        <f t="shared" si="118"/>
        <v>0</v>
      </c>
      <c r="AC422" s="120" t="str">
        <f>IF($D422="","",IF(SUMPRODUCT(MAX(($D$4:$D$810=$D422)*($B$4:$B$810&lt;$B422)*$B$4:$B$810))=0,0,MAX(($B422-MAX(SUMPRODUCT(MAX(($D$4:$D$810=$D422)*($B$4:$B$810&lt;$B422)*$B$4:$B$810)),'Guide &amp; Settings'!$C$50))/7-'Guide &amp; Settings'!$C$48,0)*'Guide &amp; Settings'!$C$49))</f>
        <v/>
      </c>
    </row>
    <row r="423" spans="1:29" x14ac:dyDescent="0.2">
      <c r="A423" s="111"/>
      <c r="B423" s="112"/>
      <c r="C423" s="113"/>
      <c r="D423" s="113"/>
      <c r="E423" s="111"/>
      <c r="F423" s="114">
        <f t="shared" si="102"/>
        <v>0</v>
      </c>
      <c r="G423" s="115" t="str">
        <f t="shared" si="103"/>
        <v/>
      </c>
      <c r="H423" s="116">
        <f>IF($D423="",0,IFERROR(LOOKUP(2,1/(($D$3:D422=$D423)*($A$3:A422&lt;$A423)),$N$3:N422),'Guide &amp; Settings'!$C$41))</f>
        <v>0</v>
      </c>
      <c r="I423" s="117">
        <f t="shared" si="104"/>
        <v>0</v>
      </c>
      <c r="J423" s="118">
        <f>IF($D423="",0,IF($F423&lt;2,0,IF($E423="Win",('Guide &amp; Settings'!$C$42/(($F423-1)*COUNTIFS($A$4:$A$810,$A423,$E$4:$E$810,"Win")))*SUMIFS($X$4:$X$810,$A$4:$A$810,$A423,$E$4:$E$810,"Loss"),-('Guide &amp; Settings'!$C$42/($F423-1))*$X423)))</f>
        <v>0</v>
      </c>
      <c r="K423" s="118">
        <f>IF($D423="",0,'Guide &amp; Settings'!$C$43*(IF($E423="Win",1,0)-$I423))</f>
        <v>0</v>
      </c>
      <c r="L423" s="119">
        <f>IF($D423="",0,'Guide &amp; Settings'!$C$44*IF($F423&gt;=3,$F423,0))</f>
        <v>0</v>
      </c>
      <c r="M423" s="118">
        <f t="shared" si="105"/>
        <v>0</v>
      </c>
      <c r="N423" s="116">
        <f t="shared" si="106"/>
        <v>0</v>
      </c>
      <c r="O423" s="115" t="str">
        <f t="shared" si="107"/>
        <v/>
      </c>
      <c r="P423">
        <f t="shared" si="108"/>
        <v>0</v>
      </c>
      <c r="Q423">
        <f t="shared" si="109"/>
        <v>0</v>
      </c>
      <c r="R423">
        <f t="shared" si="110"/>
        <v>0</v>
      </c>
      <c r="S423">
        <f t="shared" si="111"/>
        <v>0</v>
      </c>
      <c r="T423" s="83">
        <f t="shared" si="112"/>
        <v>0</v>
      </c>
      <c r="U423" s="120">
        <f>IF($D423="",0,IFERROR(LOOKUP(2,1/(($D$3:D422=$D423)*($C$3:C422=$C423)*($A$3:A422&lt;$A423)),$AB$3:AB422),1000))</f>
        <v>0</v>
      </c>
      <c r="V423" s="120">
        <f t="shared" si="113"/>
        <v>0</v>
      </c>
      <c r="W423">
        <f t="shared" si="114"/>
        <v>0</v>
      </c>
      <c r="X423">
        <f t="shared" si="115"/>
        <v>0</v>
      </c>
      <c r="Y423">
        <f t="shared" si="116"/>
        <v>0</v>
      </c>
      <c r="Z423">
        <f t="shared" si="117"/>
        <v>0</v>
      </c>
      <c r="AA423">
        <f>IF($D423="",0,IF($F423&lt;2,0,IF($E423="Win",('Guide &amp; Settings'!$C$42/(($F423-1)*COUNTIFS($A$4:$A$810,$A423,$E$4:$E$810,"Win")))*SUMIFS($Z$4:$Z$810,$A$4:$A$810,$A423,$E$4:$E$810,"Loss"),-('Guide &amp; Settings'!$C$42/($F423-1))*$Z423)))</f>
        <v>0</v>
      </c>
      <c r="AB423" s="120">
        <f t="shared" si="118"/>
        <v>0</v>
      </c>
      <c r="AC423" s="120" t="str">
        <f>IF($D423="","",IF(SUMPRODUCT(MAX(($D$4:$D$810=$D423)*($B$4:$B$810&lt;$B423)*$B$4:$B$810))=0,0,MAX(($B423-MAX(SUMPRODUCT(MAX(($D$4:$D$810=$D423)*($B$4:$B$810&lt;$B423)*$B$4:$B$810)),'Guide &amp; Settings'!$C$50))/7-'Guide &amp; Settings'!$C$48,0)*'Guide &amp; Settings'!$C$49))</f>
        <v/>
      </c>
    </row>
    <row r="424" spans="1:29" x14ac:dyDescent="0.2">
      <c r="A424" s="111"/>
      <c r="B424" s="112"/>
      <c r="C424" s="113"/>
      <c r="D424" s="113"/>
      <c r="E424" s="111"/>
      <c r="F424" s="114">
        <f t="shared" si="102"/>
        <v>0</v>
      </c>
      <c r="G424" s="115" t="str">
        <f t="shared" si="103"/>
        <v/>
      </c>
      <c r="H424" s="116">
        <f>IF($D424="",0,IFERROR(LOOKUP(2,1/(($D$3:D423=$D424)*($A$3:A423&lt;$A424)),$N$3:N423),'Guide &amp; Settings'!$C$41))</f>
        <v>0</v>
      </c>
      <c r="I424" s="117">
        <f t="shared" si="104"/>
        <v>0</v>
      </c>
      <c r="J424" s="118">
        <f>IF($D424="",0,IF($F424&lt;2,0,IF($E424="Win",('Guide &amp; Settings'!$C$42/(($F424-1)*COUNTIFS($A$4:$A$810,$A424,$E$4:$E$810,"Win")))*SUMIFS($X$4:$X$810,$A$4:$A$810,$A424,$E$4:$E$810,"Loss"),-('Guide &amp; Settings'!$C$42/($F424-1))*$X424)))</f>
        <v>0</v>
      </c>
      <c r="K424" s="118">
        <f>IF($D424="",0,'Guide &amp; Settings'!$C$43*(IF($E424="Win",1,0)-$I424))</f>
        <v>0</v>
      </c>
      <c r="L424" s="119">
        <f>IF($D424="",0,'Guide &amp; Settings'!$C$44*IF($F424&gt;=3,$F424,0))</f>
        <v>0</v>
      </c>
      <c r="M424" s="118">
        <f t="shared" si="105"/>
        <v>0</v>
      </c>
      <c r="N424" s="116">
        <f t="shared" si="106"/>
        <v>0</v>
      </c>
      <c r="O424" s="115" t="str">
        <f t="shared" si="107"/>
        <v/>
      </c>
      <c r="P424">
        <f t="shared" si="108"/>
        <v>0</v>
      </c>
      <c r="Q424">
        <f t="shared" si="109"/>
        <v>0</v>
      </c>
      <c r="R424">
        <f t="shared" si="110"/>
        <v>0</v>
      </c>
      <c r="S424">
        <f t="shared" si="111"/>
        <v>0</v>
      </c>
      <c r="T424" s="83">
        <f t="shared" si="112"/>
        <v>0</v>
      </c>
      <c r="U424" s="120">
        <f>IF($D424="",0,IFERROR(LOOKUP(2,1/(($D$3:D423=$D424)*($C$3:C423=$C424)*($A$3:A423&lt;$A424)),$AB$3:AB423),1000))</f>
        <v>0</v>
      </c>
      <c r="V424" s="120">
        <f t="shared" si="113"/>
        <v>0</v>
      </c>
      <c r="W424">
        <f t="shared" si="114"/>
        <v>0</v>
      </c>
      <c r="X424">
        <f t="shared" si="115"/>
        <v>0</v>
      </c>
      <c r="Y424">
        <f t="shared" si="116"/>
        <v>0</v>
      </c>
      <c r="Z424">
        <f t="shared" si="117"/>
        <v>0</v>
      </c>
      <c r="AA424">
        <f>IF($D424="",0,IF($F424&lt;2,0,IF($E424="Win",('Guide &amp; Settings'!$C$42/(($F424-1)*COUNTIFS($A$4:$A$810,$A424,$E$4:$E$810,"Win")))*SUMIFS($Z$4:$Z$810,$A$4:$A$810,$A424,$E$4:$E$810,"Loss"),-('Guide &amp; Settings'!$C$42/($F424-1))*$Z424)))</f>
        <v>0</v>
      </c>
      <c r="AB424" s="120">
        <f t="shared" si="118"/>
        <v>0</v>
      </c>
      <c r="AC424" s="120" t="str">
        <f>IF($D424="","",IF(SUMPRODUCT(MAX(($D$4:$D$810=$D424)*($B$4:$B$810&lt;$B424)*$B$4:$B$810))=0,0,MAX(($B424-MAX(SUMPRODUCT(MAX(($D$4:$D$810=$D424)*($B$4:$B$810&lt;$B424)*$B$4:$B$810)),'Guide &amp; Settings'!$C$50))/7-'Guide &amp; Settings'!$C$48,0)*'Guide &amp; Settings'!$C$49))</f>
        <v/>
      </c>
    </row>
    <row r="425" spans="1:29" x14ac:dyDescent="0.2">
      <c r="A425" s="111"/>
      <c r="B425" s="112"/>
      <c r="C425" s="113"/>
      <c r="D425" s="113"/>
      <c r="E425" s="111"/>
      <c r="F425" s="114">
        <f t="shared" si="102"/>
        <v>0</v>
      </c>
      <c r="G425" s="115" t="str">
        <f t="shared" si="103"/>
        <v/>
      </c>
      <c r="H425" s="116">
        <f>IF($D425="",0,IFERROR(LOOKUP(2,1/(($D$3:D424=$D425)*($A$3:A424&lt;$A425)),$N$3:N424),'Guide &amp; Settings'!$C$41))</f>
        <v>0</v>
      </c>
      <c r="I425" s="117">
        <f t="shared" si="104"/>
        <v>0</v>
      </c>
      <c r="J425" s="118">
        <f>IF($D425="",0,IF($F425&lt;2,0,IF($E425="Win",('Guide &amp; Settings'!$C$42/(($F425-1)*COUNTIFS($A$4:$A$810,$A425,$E$4:$E$810,"Win")))*SUMIFS($X$4:$X$810,$A$4:$A$810,$A425,$E$4:$E$810,"Loss"),-('Guide &amp; Settings'!$C$42/($F425-1))*$X425)))</f>
        <v>0</v>
      </c>
      <c r="K425" s="118">
        <f>IF($D425="",0,'Guide &amp; Settings'!$C$43*(IF($E425="Win",1,0)-$I425))</f>
        <v>0</v>
      </c>
      <c r="L425" s="119">
        <f>IF($D425="",0,'Guide &amp; Settings'!$C$44*IF($F425&gt;=3,$F425,0))</f>
        <v>0</v>
      </c>
      <c r="M425" s="118">
        <f t="shared" si="105"/>
        <v>0</v>
      </c>
      <c r="N425" s="116">
        <f t="shared" si="106"/>
        <v>0</v>
      </c>
      <c r="O425" s="115" t="str">
        <f t="shared" si="107"/>
        <v/>
      </c>
      <c r="P425">
        <f t="shared" si="108"/>
        <v>0</v>
      </c>
      <c r="Q425">
        <f t="shared" si="109"/>
        <v>0</v>
      </c>
      <c r="R425">
        <f t="shared" si="110"/>
        <v>0</v>
      </c>
      <c r="S425">
        <f t="shared" si="111"/>
        <v>0</v>
      </c>
      <c r="T425" s="83">
        <f t="shared" si="112"/>
        <v>0</v>
      </c>
      <c r="U425" s="120">
        <f>IF($D425="",0,IFERROR(LOOKUP(2,1/(($D$3:D424=$D425)*($C$3:C424=$C425)*($A$3:A424&lt;$A425)),$AB$3:AB424),1000))</f>
        <v>0</v>
      </c>
      <c r="V425" s="120">
        <f t="shared" si="113"/>
        <v>0</v>
      </c>
      <c r="W425">
        <f t="shared" si="114"/>
        <v>0</v>
      </c>
      <c r="X425">
        <f t="shared" si="115"/>
        <v>0</v>
      </c>
      <c r="Y425">
        <f t="shared" si="116"/>
        <v>0</v>
      </c>
      <c r="Z425">
        <f t="shared" si="117"/>
        <v>0</v>
      </c>
      <c r="AA425">
        <f>IF($D425="",0,IF($F425&lt;2,0,IF($E425="Win",('Guide &amp; Settings'!$C$42/(($F425-1)*COUNTIFS($A$4:$A$810,$A425,$E$4:$E$810,"Win")))*SUMIFS($Z$4:$Z$810,$A$4:$A$810,$A425,$E$4:$E$810,"Loss"),-('Guide &amp; Settings'!$C$42/($F425-1))*$Z425)))</f>
        <v>0</v>
      </c>
      <c r="AB425" s="120">
        <f t="shared" si="118"/>
        <v>0</v>
      </c>
      <c r="AC425" s="120" t="str">
        <f>IF($D425="","",IF(SUMPRODUCT(MAX(($D$4:$D$810=$D425)*($B$4:$B$810&lt;$B425)*$B$4:$B$810))=0,0,MAX(($B425-MAX(SUMPRODUCT(MAX(($D$4:$D$810=$D425)*($B$4:$B$810&lt;$B425)*$B$4:$B$810)),'Guide &amp; Settings'!$C$50))/7-'Guide &amp; Settings'!$C$48,0)*'Guide &amp; Settings'!$C$49))</f>
        <v/>
      </c>
    </row>
    <row r="426" spans="1:29" x14ac:dyDescent="0.2">
      <c r="A426" s="111"/>
      <c r="B426" s="112"/>
      <c r="C426" s="113"/>
      <c r="D426" s="113"/>
      <c r="E426" s="111"/>
      <c r="F426" s="114">
        <f t="shared" si="102"/>
        <v>0</v>
      </c>
      <c r="G426" s="115" t="str">
        <f t="shared" si="103"/>
        <v/>
      </c>
      <c r="H426" s="116">
        <f>IF($D426="",0,IFERROR(LOOKUP(2,1/(($D$3:D425=$D426)*($A$3:A425&lt;$A426)),$N$3:N425),'Guide &amp; Settings'!$C$41))</f>
        <v>0</v>
      </c>
      <c r="I426" s="117">
        <f t="shared" si="104"/>
        <v>0</v>
      </c>
      <c r="J426" s="118">
        <f>IF($D426="",0,IF($F426&lt;2,0,IF($E426="Win",('Guide &amp; Settings'!$C$42/(($F426-1)*COUNTIFS($A$4:$A$810,$A426,$E$4:$E$810,"Win")))*SUMIFS($X$4:$X$810,$A$4:$A$810,$A426,$E$4:$E$810,"Loss"),-('Guide &amp; Settings'!$C$42/($F426-1))*$X426)))</f>
        <v>0</v>
      </c>
      <c r="K426" s="118">
        <f>IF($D426="",0,'Guide &amp; Settings'!$C$43*(IF($E426="Win",1,0)-$I426))</f>
        <v>0</v>
      </c>
      <c r="L426" s="119">
        <f>IF($D426="",0,'Guide &amp; Settings'!$C$44*IF($F426&gt;=3,$F426,0))</f>
        <v>0</v>
      </c>
      <c r="M426" s="118">
        <f t="shared" si="105"/>
        <v>0</v>
      </c>
      <c r="N426" s="116">
        <f t="shared" si="106"/>
        <v>0</v>
      </c>
      <c r="O426" s="115" t="str">
        <f t="shared" si="107"/>
        <v/>
      </c>
      <c r="P426">
        <f t="shared" si="108"/>
        <v>0</v>
      </c>
      <c r="Q426">
        <f t="shared" si="109"/>
        <v>0</v>
      </c>
      <c r="R426">
        <f t="shared" si="110"/>
        <v>0</v>
      </c>
      <c r="S426">
        <f t="shared" si="111"/>
        <v>0</v>
      </c>
      <c r="T426" s="83">
        <f t="shared" si="112"/>
        <v>0</v>
      </c>
      <c r="U426" s="120">
        <f>IF($D426="",0,IFERROR(LOOKUP(2,1/(($D$3:D425=$D426)*($C$3:C425=$C426)*($A$3:A425&lt;$A426)),$AB$3:AB425),1000))</f>
        <v>0</v>
      </c>
      <c r="V426" s="120">
        <f t="shared" si="113"/>
        <v>0</v>
      </c>
      <c r="W426">
        <f t="shared" si="114"/>
        <v>0</v>
      </c>
      <c r="X426">
        <f t="shared" si="115"/>
        <v>0</v>
      </c>
      <c r="Y426">
        <f t="shared" si="116"/>
        <v>0</v>
      </c>
      <c r="Z426">
        <f t="shared" si="117"/>
        <v>0</v>
      </c>
      <c r="AA426">
        <f>IF($D426="",0,IF($F426&lt;2,0,IF($E426="Win",('Guide &amp; Settings'!$C$42/(($F426-1)*COUNTIFS($A$4:$A$810,$A426,$E$4:$E$810,"Win")))*SUMIFS($Z$4:$Z$810,$A$4:$A$810,$A426,$E$4:$E$810,"Loss"),-('Guide &amp; Settings'!$C$42/($F426-1))*$Z426)))</f>
        <v>0</v>
      </c>
      <c r="AB426" s="120">
        <f t="shared" si="118"/>
        <v>0</v>
      </c>
      <c r="AC426" s="120" t="str">
        <f>IF($D426="","",IF(SUMPRODUCT(MAX(($D$4:$D$810=$D426)*($B$4:$B$810&lt;$B426)*$B$4:$B$810))=0,0,MAX(($B426-MAX(SUMPRODUCT(MAX(($D$4:$D$810=$D426)*($B$4:$B$810&lt;$B426)*$B$4:$B$810)),'Guide &amp; Settings'!$C$50))/7-'Guide &amp; Settings'!$C$48,0)*'Guide &amp; Settings'!$C$49))</f>
        <v/>
      </c>
    </row>
    <row r="427" spans="1:29" x14ac:dyDescent="0.2">
      <c r="A427" s="111"/>
      <c r="B427" s="112"/>
      <c r="C427" s="113"/>
      <c r="D427" s="113"/>
      <c r="E427" s="111"/>
      <c r="F427" s="114">
        <f t="shared" si="102"/>
        <v>0</v>
      </c>
      <c r="G427" s="115" t="str">
        <f t="shared" si="103"/>
        <v/>
      </c>
      <c r="H427" s="116">
        <f>IF($D427="",0,IFERROR(LOOKUP(2,1/(($D$3:D426=$D427)*($A$3:A426&lt;$A427)),$N$3:N426),'Guide &amp; Settings'!$C$41))</f>
        <v>0</v>
      </c>
      <c r="I427" s="117">
        <f t="shared" si="104"/>
        <v>0</v>
      </c>
      <c r="J427" s="118">
        <f>IF($D427="",0,IF($F427&lt;2,0,IF($E427="Win",('Guide &amp; Settings'!$C$42/(($F427-1)*COUNTIFS($A$4:$A$810,$A427,$E$4:$E$810,"Win")))*SUMIFS($X$4:$X$810,$A$4:$A$810,$A427,$E$4:$E$810,"Loss"),-('Guide &amp; Settings'!$C$42/($F427-1))*$X427)))</f>
        <v>0</v>
      </c>
      <c r="K427" s="118">
        <f>IF($D427="",0,'Guide &amp; Settings'!$C$43*(IF($E427="Win",1,0)-$I427))</f>
        <v>0</v>
      </c>
      <c r="L427" s="119">
        <f>IF($D427="",0,'Guide &amp; Settings'!$C$44*IF($F427&gt;=3,$F427,0))</f>
        <v>0</v>
      </c>
      <c r="M427" s="118">
        <f t="shared" si="105"/>
        <v>0</v>
      </c>
      <c r="N427" s="116">
        <f t="shared" si="106"/>
        <v>0</v>
      </c>
      <c r="O427" s="115" t="str">
        <f t="shared" si="107"/>
        <v/>
      </c>
      <c r="P427">
        <f t="shared" si="108"/>
        <v>0</v>
      </c>
      <c r="Q427">
        <f t="shared" si="109"/>
        <v>0</v>
      </c>
      <c r="R427">
        <f t="shared" si="110"/>
        <v>0</v>
      </c>
      <c r="S427">
        <f t="shared" si="111"/>
        <v>0</v>
      </c>
      <c r="T427" s="83">
        <f t="shared" si="112"/>
        <v>0</v>
      </c>
      <c r="U427" s="120">
        <f>IF($D427="",0,IFERROR(LOOKUP(2,1/(($D$3:D426=$D427)*($C$3:C426=$C427)*($A$3:A426&lt;$A427)),$AB$3:AB426),1000))</f>
        <v>0</v>
      </c>
      <c r="V427" s="120">
        <f t="shared" si="113"/>
        <v>0</v>
      </c>
      <c r="W427">
        <f t="shared" si="114"/>
        <v>0</v>
      </c>
      <c r="X427">
        <f t="shared" si="115"/>
        <v>0</v>
      </c>
      <c r="Y427">
        <f t="shared" si="116"/>
        <v>0</v>
      </c>
      <c r="Z427">
        <f t="shared" si="117"/>
        <v>0</v>
      </c>
      <c r="AA427">
        <f>IF($D427="",0,IF($F427&lt;2,0,IF($E427="Win",('Guide &amp; Settings'!$C$42/(($F427-1)*COUNTIFS($A$4:$A$810,$A427,$E$4:$E$810,"Win")))*SUMIFS($Z$4:$Z$810,$A$4:$A$810,$A427,$E$4:$E$810,"Loss"),-('Guide &amp; Settings'!$C$42/($F427-1))*$Z427)))</f>
        <v>0</v>
      </c>
      <c r="AB427" s="120">
        <f t="shared" si="118"/>
        <v>0</v>
      </c>
      <c r="AC427" s="120" t="str">
        <f>IF($D427="","",IF(SUMPRODUCT(MAX(($D$4:$D$810=$D427)*($B$4:$B$810&lt;$B427)*$B$4:$B$810))=0,0,MAX(($B427-MAX(SUMPRODUCT(MAX(($D$4:$D$810=$D427)*($B$4:$B$810&lt;$B427)*$B$4:$B$810)),'Guide &amp; Settings'!$C$50))/7-'Guide &amp; Settings'!$C$48,0)*'Guide &amp; Settings'!$C$49))</f>
        <v/>
      </c>
    </row>
    <row r="428" spans="1:29" x14ac:dyDescent="0.2">
      <c r="A428" s="111"/>
      <c r="B428" s="112"/>
      <c r="C428" s="113"/>
      <c r="D428" s="113"/>
      <c r="E428" s="111"/>
      <c r="F428" s="114">
        <f t="shared" si="102"/>
        <v>0</v>
      </c>
      <c r="G428" s="115" t="str">
        <f t="shared" si="103"/>
        <v/>
      </c>
      <c r="H428" s="116">
        <f>IF($D428="",0,IFERROR(LOOKUP(2,1/(($D$3:D427=$D428)*($A$3:A427&lt;$A428)),$N$3:N427),'Guide &amp; Settings'!$C$41))</f>
        <v>0</v>
      </c>
      <c r="I428" s="117">
        <f t="shared" si="104"/>
        <v>0</v>
      </c>
      <c r="J428" s="118">
        <f>IF($D428="",0,IF($F428&lt;2,0,IF($E428="Win",('Guide &amp; Settings'!$C$42/(($F428-1)*COUNTIFS($A$4:$A$810,$A428,$E$4:$E$810,"Win")))*SUMIFS($X$4:$X$810,$A$4:$A$810,$A428,$E$4:$E$810,"Loss"),-('Guide &amp; Settings'!$C$42/($F428-1))*$X428)))</f>
        <v>0</v>
      </c>
      <c r="K428" s="118">
        <f>IF($D428="",0,'Guide &amp; Settings'!$C$43*(IF($E428="Win",1,0)-$I428))</f>
        <v>0</v>
      </c>
      <c r="L428" s="119">
        <f>IF($D428="",0,'Guide &amp; Settings'!$C$44*IF($F428&gt;=3,$F428,0))</f>
        <v>0</v>
      </c>
      <c r="M428" s="118">
        <f t="shared" si="105"/>
        <v>0</v>
      </c>
      <c r="N428" s="116">
        <f t="shared" si="106"/>
        <v>0</v>
      </c>
      <c r="O428" s="115" t="str">
        <f t="shared" si="107"/>
        <v/>
      </c>
      <c r="P428">
        <f t="shared" si="108"/>
        <v>0</v>
      </c>
      <c r="Q428">
        <f t="shared" si="109"/>
        <v>0</v>
      </c>
      <c r="R428">
        <f t="shared" si="110"/>
        <v>0</v>
      </c>
      <c r="S428">
        <f t="shared" si="111"/>
        <v>0</v>
      </c>
      <c r="T428" s="83">
        <f t="shared" si="112"/>
        <v>0</v>
      </c>
      <c r="U428" s="120">
        <f>IF($D428="",0,IFERROR(LOOKUP(2,1/(($D$3:D427=$D428)*($C$3:C427=$C428)*($A$3:A427&lt;$A428)),$AB$3:AB427),1000))</f>
        <v>0</v>
      </c>
      <c r="V428" s="120">
        <f t="shared" si="113"/>
        <v>0</v>
      </c>
      <c r="W428">
        <f t="shared" si="114"/>
        <v>0</v>
      </c>
      <c r="X428">
        <f t="shared" si="115"/>
        <v>0</v>
      </c>
      <c r="Y428">
        <f t="shared" si="116"/>
        <v>0</v>
      </c>
      <c r="Z428">
        <f t="shared" si="117"/>
        <v>0</v>
      </c>
      <c r="AA428">
        <f>IF($D428="",0,IF($F428&lt;2,0,IF($E428="Win",('Guide &amp; Settings'!$C$42/(($F428-1)*COUNTIFS($A$4:$A$810,$A428,$E$4:$E$810,"Win")))*SUMIFS($Z$4:$Z$810,$A$4:$A$810,$A428,$E$4:$E$810,"Loss"),-('Guide &amp; Settings'!$C$42/($F428-1))*$Z428)))</f>
        <v>0</v>
      </c>
      <c r="AB428" s="120">
        <f t="shared" si="118"/>
        <v>0</v>
      </c>
      <c r="AC428" s="120" t="str">
        <f>IF($D428="","",IF(SUMPRODUCT(MAX(($D$4:$D$810=$D428)*($B$4:$B$810&lt;$B428)*$B$4:$B$810))=0,0,MAX(($B428-MAX(SUMPRODUCT(MAX(($D$4:$D$810=$D428)*($B$4:$B$810&lt;$B428)*$B$4:$B$810)),'Guide &amp; Settings'!$C$50))/7-'Guide &amp; Settings'!$C$48,0)*'Guide &amp; Settings'!$C$49))</f>
        <v/>
      </c>
    </row>
    <row r="429" spans="1:29" x14ac:dyDescent="0.2">
      <c r="A429" s="111"/>
      <c r="B429" s="112"/>
      <c r="C429" s="113"/>
      <c r="D429" s="113"/>
      <c r="E429" s="111"/>
      <c r="F429" s="114">
        <f t="shared" si="102"/>
        <v>0</v>
      </c>
      <c r="G429" s="115" t="str">
        <f t="shared" si="103"/>
        <v/>
      </c>
      <c r="H429" s="116">
        <f>IF($D429="",0,IFERROR(LOOKUP(2,1/(($D$3:D428=$D429)*($A$3:A428&lt;$A429)),$N$3:N428),'Guide &amp; Settings'!$C$41))</f>
        <v>0</v>
      </c>
      <c r="I429" s="117">
        <f t="shared" si="104"/>
        <v>0</v>
      </c>
      <c r="J429" s="118">
        <f>IF($D429="",0,IF($F429&lt;2,0,IF($E429="Win",('Guide &amp; Settings'!$C$42/(($F429-1)*COUNTIFS($A$4:$A$810,$A429,$E$4:$E$810,"Win")))*SUMIFS($X$4:$X$810,$A$4:$A$810,$A429,$E$4:$E$810,"Loss"),-('Guide &amp; Settings'!$C$42/($F429-1))*$X429)))</f>
        <v>0</v>
      </c>
      <c r="K429" s="118">
        <f>IF($D429="",0,'Guide &amp; Settings'!$C$43*(IF($E429="Win",1,0)-$I429))</f>
        <v>0</v>
      </c>
      <c r="L429" s="119">
        <f>IF($D429="",0,'Guide &amp; Settings'!$C$44*IF($F429&gt;=3,$F429,0))</f>
        <v>0</v>
      </c>
      <c r="M429" s="118">
        <f t="shared" si="105"/>
        <v>0</v>
      </c>
      <c r="N429" s="116">
        <f t="shared" si="106"/>
        <v>0</v>
      </c>
      <c r="O429" s="115" t="str">
        <f t="shared" si="107"/>
        <v/>
      </c>
      <c r="P429">
        <f t="shared" si="108"/>
        <v>0</v>
      </c>
      <c r="Q429">
        <f t="shared" si="109"/>
        <v>0</v>
      </c>
      <c r="R429">
        <f t="shared" si="110"/>
        <v>0</v>
      </c>
      <c r="S429">
        <f t="shared" si="111"/>
        <v>0</v>
      </c>
      <c r="T429" s="83">
        <f t="shared" si="112"/>
        <v>0</v>
      </c>
      <c r="U429" s="120">
        <f>IF($D429="",0,IFERROR(LOOKUP(2,1/(($D$3:D428=$D429)*($C$3:C428=$C429)*($A$3:A428&lt;$A429)),$AB$3:AB428),1000))</f>
        <v>0</v>
      </c>
      <c r="V429" s="120">
        <f t="shared" si="113"/>
        <v>0</v>
      </c>
      <c r="W429">
        <f t="shared" si="114"/>
        <v>0</v>
      </c>
      <c r="X429">
        <f t="shared" si="115"/>
        <v>0</v>
      </c>
      <c r="Y429">
        <f t="shared" si="116"/>
        <v>0</v>
      </c>
      <c r="Z429">
        <f t="shared" si="117"/>
        <v>0</v>
      </c>
      <c r="AA429">
        <f>IF($D429="",0,IF($F429&lt;2,0,IF($E429="Win",('Guide &amp; Settings'!$C$42/(($F429-1)*COUNTIFS($A$4:$A$810,$A429,$E$4:$E$810,"Win")))*SUMIFS($Z$4:$Z$810,$A$4:$A$810,$A429,$E$4:$E$810,"Loss"),-('Guide &amp; Settings'!$C$42/($F429-1))*$Z429)))</f>
        <v>0</v>
      </c>
      <c r="AB429" s="120">
        <f t="shared" si="118"/>
        <v>0</v>
      </c>
      <c r="AC429" s="120" t="str">
        <f>IF($D429="","",IF(SUMPRODUCT(MAX(($D$4:$D$810=$D429)*($B$4:$B$810&lt;$B429)*$B$4:$B$810))=0,0,MAX(($B429-MAX(SUMPRODUCT(MAX(($D$4:$D$810=$D429)*($B$4:$B$810&lt;$B429)*$B$4:$B$810)),'Guide &amp; Settings'!$C$50))/7-'Guide &amp; Settings'!$C$48,0)*'Guide &amp; Settings'!$C$49))</f>
        <v/>
      </c>
    </row>
    <row r="430" spans="1:29" x14ac:dyDescent="0.2">
      <c r="A430" s="111"/>
      <c r="B430" s="112"/>
      <c r="C430" s="113"/>
      <c r="D430" s="113"/>
      <c r="E430" s="111"/>
      <c r="F430" s="114">
        <f t="shared" si="102"/>
        <v>0</v>
      </c>
      <c r="G430" s="115" t="str">
        <f t="shared" si="103"/>
        <v/>
      </c>
      <c r="H430" s="116">
        <f>IF($D430="",0,IFERROR(LOOKUP(2,1/(($D$3:D429=$D430)*($A$3:A429&lt;$A430)),$N$3:N429),'Guide &amp; Settings'!$C$41))</f>
        <v>0</v>
      </c>
      <c r="I430" s="117">
        <f t="shared" si="104"/>
        <v>0</v>
      </c>
      <c r="J430" s="118">
        <f>IF($D430="",0,IF($F430&lt;2,0,IF($E430="Win",('Guide &amp; Settings'!$C$42/(($F430-1)*COUNTIFS($A$4:$A$810,$A430,$E$4:$E$810,"Win")))*SUMIFS($X$4:$X$810,$A$4:$A$810,$A430,$E$4:$E$810,"Loss"),-('Guide &amp; Settings'!$C$42/($F430-1))*$X430)))</f>
        <v>0</v>
      </c>
      <c r="K430" s="118">
        <f>IF($D430="",0,'Guide &amp; Settings'!$C$43*(IF($E430="Win",1,0)-$I430))</f>
        <v>0</v>
      </c>
      <c r="L430" s="119">
        <f>IF($D430="",0,'Guide &amp; Settings'!$C$44*IF($F430&gt;=3,$F430,0))</f>
        <v>0</v>
      </c>
      <c r="M430" s="118">
        <f t="shared" si="105"/>
        <v>0</v>
      </c>
      <c r="N430" s="116">
        <f t="shared" si="106"/>
        <v>0</v>
      </c>
      <c r="O430" s="115" t="str">
        <f t="shared" si="107"/>
        <v/>
      </c>
      <c r="P430">
        <f t="shared" si="108"/>
        <v>0</v>
      </c>
      <c r="Q430">
        <f t="shared" si="109"/>
        <v>0</v>
      </c>
      <c r="R430">
        <f t="shared" si="110"/>
        <v>0</v>
      </c>
      <c r="S430">
        <f t="shared" si="111"/>
        <v>0</v>
      </c>
      <c r="T430" s="83">
        <f t="shared" si="112"/>
        <v>0</v>
      </c>
      <c r="U430" s="120">
        <f>IF($D430="",0,IFERROR(LOOKUP(2,1/(($D$3:D429=$D430)*($C$3:C429=$C430)*($A$3:A429&lt;$A430)),$AB$3:AB429),1000))</f>
        <v>0</v>
      </c>
      <c r="V430" s="120">
        <f t="shared" si="113"/>
        <v>0</v>
      </c>
      <c r="W430">
        <f t="shared" si="114"/>
        <v>0</v>
      </c>
      <c r="X430">
        <f t="shared" si="115"/>
        <v>0</v>
      </c>
      <c r="Y430">
        <f t="shared" si="116"/>
        <v>0</v>
      </c>
      <c r="Z430">
        <f t="shared" si="117"/>
        <v>0</v>
      </c>
      <c r="AA430">
        <f>IF($D430="",0,IF($F430&lt;2,0,IF($E430="Win",('Guide &amp; Settings'!$C$42/(($F430-1)*COUNTIFS($A$4:$A$810,$A430,$E$4:$E$810,"Win")))*SUMIFS($Z$4:$Z$810,$A$4:$A$810,$A430,$E$4:$E$810,"Loss"),-('Guide &amp; Settings'!$C$42/($F430-1))*$Z430)))</f>
        <v>0</v>
      </c>
      <c r="AB430" s="120">
        <f t="shared" si="118"/>
        <v>0</v>
      </c>
      <c r="AC430" s="120" t="str">
        <f>IF($D430="","",IF(SUMPRODUCT(MAX(($D$4:$D$810=$D430)*($B$4:$B$810&lt;$B430)*$B$4:$B$810))=0,0,MAX(($B430-MAX(SUMPRODUCT(MAX(($D$4:$D$810=$D430)*($B$4:$B$810&lt;$B430)*$B$4:$B$810)),'Guide &amp; Settings'!$C$50))/7-'Guide &amp; Settings'!$C$48,0)*'Guide &amp; Settings'!$C$49))</f>
        <v/>
      </c>
    </row>
    <row r="431" spans="1:29" x14ac:dyDescent="0.2">
      <c r="A431" s="111"/>
      <c r="B431" s="112"/>
      <c r="C431" s="113"/>
      <c r="D431" s="113"/>
      <c r="E431" s="111"/>
      <c r="F431" s="114">
        <f t="shared" si="102"/>
        <v>0</v>
      </c>
      <c r="G431" s="115" t="str">
        <f t="shared" si="103"/>
        <v/>
      </c>
      <c r="H431" s="116">
        <f>IF($D431="",0,IFERROR(LOOKUP(2,1/(($D$3:D430=$D431)*($A$3:A430&lt;$A431)),$N$3:N430),'Guide &amp; Settings'!$C$41))</f>
        <v>0</v>
      </c>
      <c r="I431" s="117">
        <f t="shared" si="104"/>
        <v>0</v>
      </c>
      <c r="J431" s="118">
        <f>IF($D431="",0,IF($F431&lt;2,0,IF($E431="Win",('Guide &amp; Settings'!$C$42/(($F431-1)*COUNTIFS($A$4:$A$810,$A431,$E$4:$E$810,"Win")))*SUMIFS($X$4:$X$810,$A$4:$A$810,$A431,$E$4:$E$810,"Loss"),-('Guide &amp; Settings'!$C$42/($F431-1))*$X431)))</f>
        <v>0</v>
      </c>
      <c r="K431" s="118">
        <f>IF($D431="",0,'Guide &amp; Settings'!$C$43*(IF($E431="Win",1,0)-$I431))</f>
        <v>0</v>
      </c>
      <c r="L431" s="119">
        <f>IF($D431="",0,'Guide &amp; Settings'!$C$44*IF($F431&gt;=3,$F431,0))</f>
        <v>0</v>
      </c>
      <c r="M431" s="118">
        <f t="shared" si="105"/>
        <v>0</v>
      </c>
      <c r="N431" s="116">
        <f t="shared" si="106"/>
        <v>0</v>
      </c>
      <c r="O431" s="115" t="str">
        <f t="shared" si="107"/>
        <v/>
      </c>
      <c r="P431">
        <f t="shared" si="108"/>
        <v>0</v>
      </c>
      <c r="Q431">
        <f t="shared" si="109"/>
        <v>0</v>
      </c>
      <c r="R431">
        <f t="shared" si="110"/>
        <v>0</v>
      </c>
      <c r="S431">
        <f t="shared" si="111"/>
        <v>0</v>
      </c>
      <c r="T431" s="83">
        <f t="shared" si="112"/>
        <v>0</v>
      </c>
      <c r="U431" s="120">
        <f>IF($D431="",0,IFERROR(LOOKUP(2,1/(($D$3:D430=$D431)*($C$3:C430=$C431)*($A$3:A430&lt;$A431)),$AB$3:AB430),1000))</f>
        <v>0</v>
      </c>
      <c r="V431" s="120">
        <f t="shared" si="113"/>
        <v>0</v>
      </c>
      <c r="W431">
        <f t="shared" si="114"/>
        <v>0</v>
      </c>
      <c r="X431">
        <f t="shared" si="115"/>
        <v>0</v>
      </c>
      <c r="Y431">
        <f t="shared" si="116"/>
        <v>0</v>
      </c>
      <c r="Z431">
        <f t="shared" si="117"/>
        <v>0</v>
      </c>
      <c r="AA431">
        <f>IF($D431="",0,IF($F431&lt;2,0,IF($E431="Win",('Guide &amp; Settings'!$C$42/(($F431-1)*COUNTIFS($A$4:$A$810,$A431,$E$4:$E$810,"Win")))*SUMIFS($Z$4:$Z$810,$A$4:$A$810,$A431,$E$4:$E$810,"Loss"),-('Guide &amp; Settings'!$C$42/($F431-1))*$Z431)))</f>
        <v>0</v>
      </c>
      <c r="AB431" s="120">
        <f t="shared" si="118"/>
        <v>0</v>
      </c>
      <c r="AC431" s="120" t="str">
        <f>IF($D431="","",IF(SUMPRODUCT(MAX(($D$4:$D$810=$D431)*($B$4:$B$810&lt;$B431)*$B$4:$B$810))=0,0,MAX(($B431-MAX(SUMPRODUCT(MAX(($D$4:$D$810=$D431)*($B$4:$B$810&lt;$B431)*$B$4:$B$810)),'Guide &amp; Settings'!$C$50))/7-'Guide &amp; Settings'!$C$48,0)*'Guide &amp; Settings'!$C$49))</f>
        <v/>
      </c>
    </row>
    <row r="432" spans="1:29" x14ac:dyDescent="0.2">
      <c r="A432" s="111"/>
      <c r="B432" s="112"/>
      <c r="C432" s="113"/>
      <c r="D432" s="113"/>
      <c r="E432" s="111"/>
      <c r="F432" s="114">
        <f t="shared" si="102"/>
        <v>0</v>
      </c>
      <c r="G432" s="115" t="str">
        <f t="shared" si="103"/>
        <v/>
      </c>
      <c r="H432" s="116">
        <f>IF($D432="",0,IFERROR(LOOKUP(2,1/(($D$3:D431=$D432)*($A$3:A431&lt;$A432)),$N$3:N431),'Guide &amp; Settings'!$C$41))</f>
        <v>0</v>
      </c>
      <c r="I432" s="117">
        <f t="shared" si="104"/>
        <v>0</v>
      </c>
      <c r="J432" s="118">
        <f>IF($D432="",0,IF($F432&lt;2,0,IF($E432="Win",('Guide &amp; Settings'!$C$42/(($F432-1)*COUNTIFS($A$4:$A$810,$A432,$E$4:$E$810,"Win")))*SUMIFS($X$4:$X$810,$A$4:$A$810,$A432,$E$4:$E$810,"Loss"),-('Guide &amp; Settings'!$C$42/($F432-1))*$X432)))</f>
        <v>0</v>
      </c>
      <c r="K432" s="118">
        <f>IF($D432="",0,'Guide &amp; Settings'!$C$43*(IF($E432="Win",1,0)-$I432))</f>
        <v>0</v>
      </c>
      <c r="L432" s="119">
        <f>IF($D432="",0,'Guide &amp; Settings'!$C$44*IF($F432&gt;=3,$F432,0))</f>
        <v>0</v>
      </c>
      <c r="M432" s="118">
        <f t="shared" si="105"/>
        <v>0</v>
      </c>
      <c r="N432" s="116">
        <f t="shared" si="106"/>
        <v>0</v>
      </c>
      <c r="O432" s="115" t="str">
        <f t="shared" si="107"/>
        <v/>
      </c>
      <c r="P432">
        <f t="shared" si="108"/>
        <v>0</v>
      </c>
      <c r="Q432">
        <f t="shared" si="109"/>
        <v>0</v>
      </c>
      <c r="R432">
        <f t="shared" si="110"/>
        <v>0</v>
      </c>
      <c r="S432">
        <f t="shared" si="111"/>
        <v>0</v>
      </c>
      <c r="T432" s="83">
        <f t="shared" si="112"/>
        <v>0</v>
      </c>
      <c r="U432" s="120">
        <f>IF($D432="",0,IFERROR(LOOKUP(2,1/(($D$3:D431=$D432)*($C$3:C431=$C432)*($A$3:A431&lt;$A432)),$AB$3:AB431),1000))</f>
        <v>0</v>
      </c>
      <c r="V432" s="120">
        <f t="shared" si="113"/>
        <v>0</v>
      </c>
      <c r="W432">
        <f t="shared" si="114"/>
        <v>0</v>
      </c>
      <c r="X432">
        <f t="shared" si="115"/>
        <v>0</v>
      </c>
      <c r="Y432">
        <f t="shared" si="116"/>
        <v>0</v>
      </c>
      <c r="Z432">
        <f t="shared" si="117"/>
        <v>0</v>
      </c>
      <c r="AA432">
        <f>IF($D432="",0,IF($F432&lt;2,0,IF($E432="Win",('Guide &amp; Settings'!$C$42/(($F432-1)*COUNTIFS($A$4:$A$810,$A432,$E$4:$E$810,"Win")))*SUMIFS($Z$4:$Z$810,$A$4:$A$810,$A432,$E$4:$E$810,"Loss"),-('Guide &amp; Settings'!$C$42/($F432-1))*$Z432)))</f>
        <v>0</v>
      </c>
      <c r="AB432" s="120">
        <f t="shared" si="118"/>
        <v>0</v>
      </c>
      <c r="AC432" s="120" t="str">
        <f>IF($D432="","",IF(SUMPRODUCT(MAX(($D$4:$D$810=$D432)*($B$4:$B$810&lt;$B432)*$B$4:$B$810))=0,0,MAX(($B432-MAX(SUMPRODUCT(MAX(($D$4:$D$810=$D432)*($B$4:$B$810&lt;$B432)*$B$4:$B$810)),'Guide &amp; Settings'!$C$50))/7-'Guide &amp; Settings'!$C$48,0)*'Guide &amp; Settings'!$C$49))</f>
        <v/>
      </c>
    </row>
    <row r="433" spans="1:29" x14ac:dyDescent="0.2">
      <c r="A433" s="111"/>
      <c r="B433" s="112"/>
      <c r="C433" s="113"/>
      <c r="D433" s="113"/>
      <c r="E433" s="111"/>
      <c r="F433" s="114">
        <f t="shared" si="102"/>
        <v>0</v>
      </c>
      <c r="G433" s="115" t="str">
        <f t="shared" si="103"/>
        <v/>
      </c>
      <c r="H433" s="116">
        <f>IF($D433="",0,IFERROR(LOOKUP(2,1/(($D$3:D432=$D433)*($A$3:A432&lt;$A433)),$N$3:N432),'Guide &amp; Settings'!$C$41))</f>
        <v>0</v>
      </c>
      <c r="I433" s="117">
        <f t="shared" si="104"/>
        <v>0</v>
      </c>
      <c r="J433" s="118">
        <f>IF($D433="",0,IF($F433&lt;2,0,IF($E433="Win",('Guide &amp; Settings'!$C$42/(($F433-1)*COUNTIFS($A$4:$A$810,$A433,$E$4:$E$810,"Win")))*SUMIFS($X$4:$X$810,$A$4:$A$810,$A433,$E$4:$E$810,"Loss"),-('Guide &amp; Settings'!$C$42/($F433-1))*$X433)))</f>
        <v>0</v>
      </c>
      <c r="K433" s="118">
        <f>IF($D433="",0,'Guide &amp; Settings'!$C$43*(IF($E433="Win",1,0)-$I433))</f>
        <v>0</v>
      </c>
      <c r="L433" s="119">
        <f>IF($D433="",0,'Guide &amp; Settings'!$C$44*IF($F433&gt;=3,$F433,0))</f>
        <v>0</v>
      </c>
      <c r="M433" s="118">
        <f t="shared" si="105"/>
        <v>0</v>
      </c>
      <c r="N433" s="116">
        <f t="shared" si="106"/>
        <v>0</v>
      </c>
      <c r="O433" s="115" t="str">
        <f t="shared" si="107"/>
        <v/>
      </c>
      <c r="P433">
        <f t="shared" si="108"/>
        <v>0</v>
      </c>
      <c r="Q433">
        <f t="shared" si="109"/>
        <v>0</v>
      </c>
      <c r="R433">
        <f t="shared" si="110"/>
        <v>0</v>
      </c>
      <c r="S433">
        <f t="shared" si="111"/>
        <v>0</v>
      </c>
      <c r="T433" s="83">
        <f t="shared" si="112"/>
        <v>0</v>
      </c>
      <c r="U433" s="120">
        <f>IF($D433="",0,IFERROR(LOOKUP(2,1/(($D$3:D432=$D433)*($C$3:C432=$C433)*($A$3:A432&lt;$A433)),$AB$3:AB432),1000))</f>
        <v>0</v>
      </c>
      <c r="V433" s="120">
        <f t="shared" si="113"/>
        <v>0</v>
      </c>
      <c r="W433">
        <f t="shared" si="114"/>
        <v>0</v>
      </c>
      <c r="X433">
        <f t="shared" si="115"/>
        <v>0</v>
      </c>
      <c r="Y433">
        <f t="shared" si="116"/>
        <v>0</v>
      </c>
      <c r="Z433">
        <f t="shared" si="117"/>
        <v>0</v>
      </c>
      <c r="AA433">
        <f>IF($D433="",0,IF($F433&lt;2,0,IF($E433="Win",('Guide &amp; Settings'!$C$42/(($F433-1)*COUNTIFS($A$4:$A$810,$A433,$E$4:$E$810,"Win")))*SUMIFS($Z$4:$Z$810,$A$4:$A$810,$A433,$E$4:$E$810,"Loss"),-('Guide &amp; Settings'!$C$42/($F433-1))*$Z433)))</f>
        <v>0</v>
      </c>
      <c r="AB433" s="120">
        <f t="shared" si="118"/>
        <v>0</v>
      </c>
      <c r="AC433" s="120" t="str">
        <f>IF($D433="","",IF(SUMPRODUCT(MAX(($D$4:$D$810=$D433)*($B$4:$B$810&lt;$B433)*$B$4:$B$810))=0,0,MAX(($B433-MAX(SUMPRODUCT(MAX(($D$4:$D$810=$D433)*($B$4:$B$810&lt;$B433)*$B$4:$B$810)),'Guide &amp; Settings'!$C$50))/7-'Guide &amp; Settings'!$C$48,0)*'Guide &amp; Settings'!$C$49))</f>
        <v/>
      </c>
    </row>
    <row r="434" spans="1:29" x14ac:dyDescent="0.2">
      <c r="A434" s="111"/>
      <c r="B434" s="112"/>
      <c r="C434" s="113"/>
      <c r="D434" s="113"/>
      <c r="E434" s="111"/>
      <c r="F434" s="114">
        <f t="shared" si="102"/>
        <v>0</v>
      </c>
      <c r="G434" s="115" t="str">
        <f t="shared" si="103"/>
        <v/>
      </c>
      <c r="H434" s="116">
        <f>IF($D434="",0,IFERROR(LOOKUP(2,1/(($D$3:D433=$D434)*($A$3:A433&lt;$A434)),$N$3:N433),'Guide &amp; Settings'!$C$41))</f>
        <v>0</v>
      </c>
      <c r="I434" s="117">
        <f t="shared" si="104"/>
        <v>0</v>
      </c>
      <c r="J434" s="118">
        <f>IF($D434="",0,IF($F434&lt;2,0,IF($E434="Win",('Guide &amp; Settings'!$C$42/(($F434-1)*COUNTIFS($A$4:$A$810,$A434,$E$4:$E$810,"Win")))*SUMIFS($X$4:$X$810,$A$4:$A$810,$A434,$E$4:$E$810,"Loss"),-('Guide &amp; Settings'!$C$42/($F434-1))*$X434)))</f>
        <v>0</v>
      </c>
      <c r="K434" s="118">
        <f>IF($D434="",0,'Guide &amp; Settings'!$C$43*(IF($E434="Win",1,0)-$I434))</f>
        <v>0</v>
      </c>
      <c r="L434" s="119">
        <f>IF($D434="",0,'Guide &amp; Settings'!$C$44*IF($F434&gt;=3,$F434,0))</f>
        <v>0</v>
      </c>
      <c r="M434" s="118">
        <f t="shared" si="105"/>
        <v>0</v>
      </c>
      <c r="N434" s="116">
        <f t="shared" si="106"/>
        <v>0</v>
      </c>
      <c r="O434" s="115" t="str">
        <f t="shared" si="107"/>
        <v/>
      </c>
      <c r="P434">
        <f t="shared" si="108"/>
        <v>0</v>
      </c>
      <c r="Q434">
        <f t="shared" si="109"/>
        <v>0</v>
      </c>
      <c r="R434">
        <f t="shared" si="110"/>
        <v>0</v>
      </c>
      <c r="S434">
        <f t="shared" si="111"/>
        <v>0</v>
      </c>
      <c r="T434" s="83">
        <f t="shared" si="112"/>
        <v>0</v>
      </c>
      <c r="U434" s="120">
        <f>IF($D434="",0,IFERROR(LOOKUP(2,1/(($D$3:D433=$D434)*($C$3:C433=$C434)*($A$3:A433&lt;$A434)),$AB$3:AB433),1000))</f>
        <v>0</v>
      </c>
      <c r="V434" s="120">
        <f t="shared" si="113"/>
        <v>0</v>
      </c>
      <c r="W434">
        <f t="shared" si="114"/>
        <v>0</v>
      </c>
      <c r="X434">
        <f t="shared" si="115"/>
        <v>0</v>
      </c>
      <c r="Y434">
        <f t="shared" si="116"/>
        <v>0</v>
      </c>
      <c r="Z434">
        <f t="shared" si="117"/>
        <v>0</v>
      </c>
      <c r="AA434">
        <f>IF($D434="",0,IF($F434&lt;2,0,IF($E434="Win",('Guide &amp; Settings'!$C$42/(($F434-1)*COUNTIFS($A$4:$A$810,$A434,$E$4:$E$810,"Win")))*SUMIFS($Z$4:$Z$810,$A$4:$A$810,$A434,$E$4:$E$810,"Loss"),-('Guide &amp; Settings'!$C$42/($F434-1))*$Z434)))</f>
        <v>0</v>
      </c>
      <c r="AB434" s="120">
        <f t="shared" si="118"/>
        <v>0</v>
      </c>
      <c r="AC434" s="120" t="str">
        <f>IF($D434="","",IF(SUMPRODUCT(MAX(($D$4:$D$810=$D434)*($B$4:$B$810&lt;$B434)*$B$4:$B$810))=0,0,MAX(($B434-MAX(SUMPRODUCT(MAX(($D$4:$D$810=$D434)*($B$4:$B$810&lt;$B434)*$B$4:$B$810)),'Guide &amp; Settings'!$C$50))/7-'Guide &amp; Settings'!$C$48,0)*'Guide &amp; Settings'!$C$49))</f>
        <v/>
      </c>
    </row>
    <row r="435" spans="1:29" x14ac:dyDescent="0.2">
      <c r="A435" s="111"/>
      <c r="B435" s="112"/>
      <c r="C435" s="113"/>
      <c r="D435" s="113"/>
      <c r="E435" s="111"/>
      <c r="F435" s="114">
        <f t="shared" si="102"/>
        <v>0</v>
      </c>
      <c r="G435" s="115" t="str">
        <f t="shared" si="103"/>
        <v/>
      </c>
      <c r="H435" s="116">
        <f>IF($D435="",0,IFERROR(LOOKUP(2,1/(($D$3:D434=$D435)*($A$3:A434&lt;$A435)),$N$3:N434),'Guide &amp; Settings'!$C$41))</f>
        <v>0</v>
      </c>
      <c r="I435" s="117">
        <f t="shared" si="104"/>
        <v>0</v>
      </c>
      <c r="J435" s="118">
        <f>IF($D435="",0,IF($F435&lt;2,0,IF($E435="Win",('Guide &amp; Settings'!$C$42/(($F435-1)*COUNTIFS($A$4:$A$810,$A435,$E$4:$E$810,"Win")))*SUMIFS($X$4:$X$810,$A$4:$A$810,$A435,$E$4:$E$810,"Loss"),-('Guide &amp; Settings'!$C$42/($F435-1))*$X435)))</f>
        <v>0</v>
      </c>
      <c r="K435" s="118">
        <f>IF($D435="",0,'Guide &amp; Settings'!$C$43*(IF($E435="Win",1,0)-$I435))</f>
        <v>0</v>
      </c>
      <c r="L435" s="119">
        <f>IF($D435="",0,'Guide &amp; Settings'!$C$44*IF($F435&gt;=3,$F435,0))</f>
        <v>0</v>
      </c>
      <c r="M435" s="118">
        <f t="shared" si="105"/>
        <v>0</v>
      </c>
      <c r="N435" s="116">
        <f t="shared" si="106"/>
        <v>0</v>
      </c>
      <c r="O435" s="115" t="str">
        <f t="shared" si="107"/>
        <v/>
      </c>
      <c r="P435">
        <f t="shared" si="108"/>
        <v>0</v>
      </c>
      <c r="Q435">
        <f t="shared" si="109"/>
        <v>0</v>
      </c>
      <c r="R435">
        <f t="shared" si="110"/>
        <v>0</v>
      </c>
      <c r="S435">
        <f t="shared" si="111"/>
        <v>0</v>
      </c>
      <c r="T435" s="83">
        <f t="shared" si="112"/>
        <v>0</v>
      </c>
      <c r="U435" s="120">
        <f>IF($D435="",0,IFERROR(LOOKUP(2,1/(($D$3:D434=$D435)*($C$3:C434=$C435)*($A$3:A434&lt;$A435)),$AB$3:AB434),1000))</f>
        <v>0</v>
      </c>
      <c r="V435" s="120">
        <f t="shared" si="113"/>
        <v>0</v>
      </c>
      <c r="W435">
        <f t="shared" si="114"/>
        <v>0</v>
      </c>
      <c r="X435">
        <f t="shared" si="115"/>
        <v>0</v>
      </c>
      <c r="Y435">
        <f t="shared" si="116"/>
        <v>0</v>
      </c>
      <c r="Z435">
        <f t="shared" si="117"/>
        <v>0</v>
      </c>
      <c r="AA435">
        <f>IF($D435="",0,IF($F435&lt;2,0,IF($E435="Win",('Guide &amp; Settings'!$C$42/(($F435-1)*COUNTIFS($A$4:$A$810,$A435,$E$4:$E$810,"Win")))*SUMIFS($Z$4:$Z$810,$A$4:$A$810,$A435,$E$4:$E$810,"Loss"),-('Guide &amp; Settings'!$C$42/($F435-1))*$Z435)))</f>
        <v>0</v>
      </c>
      <c r="AB435" s="120">
        <f t="shared" si="118"/>
        <v>0</v>
      </c>
      <c r="AC435" s="120" t="str">
        <f>IF($D435="","",IF(SUMPRODUCT(MAX(($D$4:$D$810=$D435)*($B$4:$B$810&lt;$B435)*$B$4:$B$810))=0,0,MAX(($B435-MAX(SUMPRODUCT(MAX(($D$4:$D$810=$D435)*($B$4:$B$810&lt;$B435)*$B$4:$B$810)),'Guide &amp; Settings'!$C$50))/7-'Guide &amp; Settings'!$C$48,0)*'Guide &amp; Settings'!$C$49))</f>
        <v/>
      </c>
    </row>
    <row r="436" spans="1:29" x14ac:dyDescent="0.2">
      <c r="A436" s="111"/>
      <c r="B436" s="112"/>
      <c r="C436" s="113"/>
      <c r="D436" s="113"/>
      <c r="E436" s="111"/>
      <c r="F436" s="114">
        <f t="shared" si="102"/>
        <v>0</v>
      </c>
      <c r="G436" s="115" t="str">
        <f t="shared" si="103"/>
        <v/>
      </c>
      <c r="H436" s="116">
        <f>IF($D436="",0,IFERROR(LOOKUP(2,1/(($D$3:D435=$D436)*($A$3:A435&lt;$A436)),$N$3:N435),'Guide &amp; Settings'!$C$41))</f>
        <v>0</v>
      </c>
      <c r="I436" s="117">
        <f t="shared" si="104"/>
        <v>0</v>
      </c>
      <c r="J436" s="118">
        <f>IF($D436="",0,IF($F436&lt;2,0,IF($E436="Win",('Guide &amp; Settings'!$C$42/(($F436-1)*COUNTIFS($A$4:$A$810,$A436,$E$4:$E$810,"Win")))*SUMIFS($X$4:$X$810,$A$4:$A$810,$A436,$E$4:$E$810,"Loss"),-('Guide &amp; Settings'!$C$42/($F436-1))*$X436)))</f>
        <v>0</v>
      </c>
      <c r="K436" s="118">
        <f>IF($D436="",0,'Guide &amp; Settings'!$C$43*(IF($E436="Win",1,0)-$I436))</f>
        <v>0</v>
      </c>
      <c r="L436" s="119">
        <f>IF($D436="",0,'Guide &amp; Settings'!$C$44*IF($F436&gt;=3,$F436,0))</f>
        <v>0</v>
      </c>
      <c r="M436" s="118">
        <f t="shared" si="105"/>
        <v>0</v>
      </c>
      <c r="N436" s="116">
        <f t="shared" si="106"/>
        <v>0</v>
      </c>
      <c r="O436" s="115" t="str">
        <f t="shared" si="107"/>
        <v/>
      </c>
      <c r="P436">
        <f t="shared" si="108"/>
        <v>0</v>
      </c>
      <c r="Q436">
        <f t="shared" si="109"/>
        <v>0</v>
      </c>
      <c r="R436">
        <f t="shared" si="110"/>
        <v>0</v>
      </c>
      <c r="S436">
        <f t="shared" si="111"/>
        <v>0</v>
      </c>
      <c r="T436" s="83">
        <f t="shared" si="112"/>
        <v>0</v>
      </c>
      <c r="U436" s="120">
        <f>IF($D436="",0,IFERROR(LOOKUP(2,1/(($D$3:D435=$D436)*($C$3:C435=$C436)*($A$3:A435&lt;$A436)),$AB$3:AB435),1000))</f>
        <v>0</v>
      </c>
      <c r="V436" s="120">
        <f t="shared" si="113"/>
        <v>0</v>
      </c>
      <c r="W436">
        <f t="shared" si="114"/>
        <v>0</v>
      </c>
      <c r="X436">
        <f t="shared" si="115"/>
        <v>0</v>
      </c>
      <c r="Y436">
        <f t="shared" si="116"/>
        <v>0</v>
      </c>
      <c r="Z436">
        <f t="shared" si="117"/>
        <v>0</v>
      </c>
      <c r="AA436">
        <f>IF($D436="",0,IF($F436&lt;2,0,IF($E436="Win",('Guide &amp; Settings'!$C$42/(($F436-1)*COUNTIFS($A$4:$A$810,$A436,$E$4:$E$810,"Win")))*SUMIFS($Z$4:$Z$810,$A$4:$A$810,$A436,$E$4:$E$810,"Loss"),-('Guide &amp; Settings'!$C$42/($F436-1))*$Z436)))</f>
        <v>0</v>
      </c>
      <c r="AB436" s="120">
        <f t="shared" si="118"/>
        <v>0</v>
      </c>
      <c r="AC436" s="120" t="str">
        <f>IF($D436="","",IF(SUMPRODUCT(MAX(($D$4:$D$810=$D436)*($B$4:$B$810&lt;$B436)*$B$4:$B$810))=0,0,MAX(($B436-MAX(SUMPRODUCT(MAX(($D$4:$D$810=$D436)*($B$4:$B$810&lt;$B436)*$B$4:$B$810)),'Guide &amp; Settings'!$C$50))/7-'Guide &amp; Settings'!$C$48,0)*'Guide &amp; Settings'!$C$49))</f>
        <v/>
      </c>
    </row>
    <row r="437" spans="1:29" x14ac:dyDescent="0.2">
      <c r="A437" s="111"/>
      <c r="B437" s="112"/>
      <c r="C437" s="113"/>
      <c r="D437" s="113"/>
      <c r="E437" s="111"/>
      <c r="F437" s="114">
        <f t="shared" si="102"/>
        <v>0</v>
      </c>
      <c r="G437" s="115" t="str">
        <f t="shared" si="103"/>
        <v/>
      </c>
      <c r="H437" s="116">
        <f>IF($D437="",0,IFERROR(LOOKUP(2,1/(($D$3:D436=$D437)*($A$3:A436&lt;$A437)),$N$3:N436),'Guide &amp; Settings'!$C$41))</f>
        <v>0</v>
      </c>
      <c r="I437" s="117">
        <f t="shared" si="104"/>
        <v>0</v>
      </c>
      <c r="J437" s="118">
        <f>IF($D437="",0,IF($F437&lt;2,0,IF($E437="Win",('Guide &amp; Settings'!$C$42/(($F437-1)*COUNTIFS($A$4:$A$810,$A437,$E$4:$E$810,"Win")))*SUMIFS($X$4:$X$810,$A$4:$A$810,$A437,$E$4:$E$810,"Loss"),-('Guide &amp; Settings'!$C$42/($F437-1))*$X437)))</f>
        <v>0</v>
      </c>
      <c r="K437" s="118">
        <f>IF($D437="",0,'Guide &amp; Settings'!$C$43*(IF($E437="Win",1,0)-$I437))</f>
        <v>0</v>
      </c>
      <c r="L437" s="119">
        <f>IF($D437="",0,'Guide &amp; Settings'!$C$44*IF($F437&gt;=3,$F437,0))</f>
        <v>0</v>
      </c>
      <c r="M437" s="118">
        <f t="shared" si="105"/>
        <v>0</v>
      </c>
      <c r="N437" s="116">
        <f t="shared" si="106"/>
        <v>0</v>
      </c>
      <c r="O437" s="115" t="str">
        <f t="shared" si="107"/>
        <v/>
      </c>
      <c r="P437">
        <f t="shared" si="108"/>
        <v>0</v>
      </c>
      <c r="Q437">
        <f t="shared" si="109"/>
        <v>0</v>
      </c>
      <c r="R437">
        <f t="shared" si="110"/>
        <v>0</v>
      </c>
      <c r="S437">
        <f t="shared" si="111"/>
        <v>0</v>
      </c>
      <c r="T437" s="83">
        <f t="shared" si="112"/>
        <v>0</v>
      </c>
      <c r="U437" s="120">
        <f>IF($D437="",0,IFERROR(LOOKUP(2,1/(($D$3:D436=$D437)*($C$3:C436=$C437)*($A$3:A436&lt;$A437)),$AB$3:AB436),1000))</f>
        <v>0</v>
      </c>
      <c r="V437" s="120">
        <f t="shared" si="113"/>
        <v>0</v>
      </c>
      <c r="W437">
        <f t="shared" si="114"/>
        <v>0</v>
      </c>
      <c r="X437">
        <f t="shared" si="115"/>
        <v>0</v>
      </c>
      <c r="Y437">
        <f t="shared" si="116"/>
        <v>0</v>
      </c>
      <c r="Z437">
        <f t="shared" si="117"/>
        <v>0</v>
      </c>
      <c r="AA437">
        <f>IF($D437="",0,IF($F437&lt;2,0,IF($E437="Win",('Guide &amp; Settings'!$C$42/(($F437-1)*COUNTIFS($A$4:$A$810,$A437,$E$4:$E$810,"Win")))*SUMIFS($Z$4:$Z$810,$A$4:$A$810,$A437,$E$4:$E$810,"Loss"),-('Guide &amp; Settings'!$C$42/($F437-1))*$Z437)))</f>
        <v>0</v>
      </c>
      <c r="AB437" s="120">
        <f t="shared" si="118"/>
        <v>0</v>
      </c>
      <c r="AC437" s="120" t="str">
        <f>IF($D437="","",IF(SUMPRODUCT(MAX(($D$4:$D$810=$D437)*($B$4:$B$810&lt;$B437)*$B$4:$B$810))=0,0,MAX(($B437-MAX(SUMPRODUCT(MAX(($D$4:$D$810=$D437)*($B$4:$B$810&lt;$B437)*$B$4:$B$810)),'Guide &amp; Settings'!$C$50))/7-'Guide &amp; Settings'!$C$48,0)*'Guide &amp; Settings'!$C$49))</f>
        <v/>
      </c>
    </row>
    <row r="438" spans="1:29" x14ac:dyDescent="0.2">
      <c r="A438" s="111"/>
      <c r="B438" s="112"/>
      <c r="C438" s="113"/>
      <c r="D438" s="113"/>
      <c r="E438" s="111"/>
      <c r="F438" s="114">
        <f t="shared" si="102"/>
        <v>0</v>
      </c>
      <c r="G438" s="115" t="str">
        <f t="shared" si="103"/>
        <v/>
      </c>
      <c r="H438" s="116">
        <f>IF($D438="",0,IFERROR(LOOKUP(2,1/(($D$3:D437=$D438)*($A$3:A437&lt;$A438)),$N$3:N437),'Guide &amp; Settings'!$C$41))</f>
        <v>0</v>
      </c>
      <c r="I438" s="117">
        <f t="shared" si="104"/>
        <v>0</v>
      </c>
      <c r="J438" s="118">
        <f>IF($D438="",0,IF($F438&lt;2,0,IF($E438="Win",('Guide &amp; Settings'!$C$42/(($F438-1)*COUNTIFS($A$4:$A$810,$A438,$E$4:$E$810,"Win")))*SUMIFS($X$4:$X$810,$A$4:$A$810,$A438,$E$4:$E$810,"Loss"),-('Guide &amp; Settings'!$C$42/($F438-1))*$X438)))</f>
        <v>0</v>
      </c>
      <c r="K438" s="118">
        <f>IF($D438="",0,'Guide &amp; Settings'!$C$43*(IF($E438="Win",1,0)-$I438))</f>
        <v>0</v>
      </c>
      <c r="L438" s="119">
        <f>IF($D438="",0,'Guide &amp; Settings'!$C$44*IF($F438&gt;=3,$F438,0))</f>
        <v>0</v>
      </c>
      <c r="M438" s="118">
        <f t="shared" si="105"/>
        <v>0</v>
      </c>
      <c r="N438" s="116">
        <f t="shared" si="106"/>
        <v>0</v>
      </c>
      <c r="O438" s="115" t="str">
        <f t="shared" si="107"/>
        <v/>
      </c>
      <c r="P438">
        <f t="shared" si="108"/>
        <v>0</v>
      </c>
      <c r="Q438">
        <f t="shared" si="109"/>
        <v>0</v>
      </c>
      <c r="R438">
        <f t="shared" si="110"/>
        <v>0</v>
      </c>
      <c r="S438">
        <f t="shared" si="111"/>
        <v>0</v>
      </c>
      <c r="T438" s="83">
        <f t="shared" si="112"/>
        <v>0</v>
      </c>
      <c r="U438" s="120">
        <f>IF($D438="",0,IFERROR(LOOKUP(2,1/(($D$3:D437=$D438)*($C$3:C437=$C438)*($A$3:A437&lt;$A438)),$AB$3:AB437),1000))</f>
        <v>0</v>
      </c>
      <c r="V438" s="120">
        <f t="shared" si="113"/>
        <v>0</v>
      </c>
      <c r="W438">
        <f t="shared" si="114"/>
        <v>0</v>
      </c>
      <c r="X438">
        <f t="shared" si="115"/>
        <v>0</v>
      </c>
      <c r="Y438">
        <f t="shared" si="116"/>
        <v>0</v>
      </c>
      <c r="Z438">
        <f t="shared" si="117"/>
        <v>0</v>
      </c>
      <c r="AA438">
        <f>IF($D438="",0,IF($F438&lt;2,0,IF($E438="Win",('Guide &amp; Settings'!$C$42/(($F438-1)*COUNTIFS($A$4:$A$810,$A438,$E$4:$E$810,"Win")))*SUMIFS($Z$4:$Z$810,$A$4:$A$810,$A438,$E$4:$E$810,"Loss"),-('Guide &amp; Settings'!$C$42/($F438-1))*$Z438)))</f>
        <v>0</v>
      </c>
      <c r="AB438" s="120">
        <f t="shared" si="118"/>
        <v>0</v>
      </c>
      <c r="AC438" s="120" t="str">
        <f>IF($D438="","",IF(SUMPRODUCT(MAX(($D$4:$D$810=$D438)*($B$4:$B$810&lt;$B438)*$B$4:$B$810))=0,0,MAX(($B438-MAX(SUMPRODUCT(MAX(($D$4:$D$810=$D438)*($B$4:$B$810&lt;$B438)*$B$4:$B$810)),'Guide &amp; Settings'!$C$50))/7-'Guide &amp; Settings'!$C$48,0)*'Guide &amp; Settings'!$C$49))</f>
        <v/>
      </c>
    </row>
    <row r="439" spans="1:29" x14ac:dyDescent="0.2">
      <c r="A439" s="111"/>
      <c r="B439" s="112"/>
      <c r="C439" s="113"/>
      <c r="D439" s="113"/>
      <c r="E439" s="111"/>
      <c r="F439" s="114">
        <f t="shared" si="102"/>
        <v>0</v>
      </c>
      <c r="G439" s="115" t="str">
        <f t="shared" si="103"/>
        <v/>
      </c>
      <c r="H439" s="116">
        <f>IF($D439="",0,IFERROR(LOOKUP(2,1/(($D$3:D438=$D439)*($A$3:A438&lt;$A439)),$N$3:N438),'Guide &amp; Settings'!$C$41))</f>
        <v>0</v>
      </c>
      <c r="I439" s="117">
        <f t="shared" si="104"/>
        <v>0</v>
      </c>
      <c r="J439" s="118">
        <f>IF($D439="",0,IF($F439&lt;2,0,IF($E439="Win",('Guide &amp; Settings'!$C$42/(($F439-1)*COUNTIFS($A$4:$A$810,$A439,$E$4:$E$810,"Win")))*SUMIFS($X$4:$X$810,$A$4:$A$810,$A439,$E$4:$E$810,"Loss"),-('Guide &amp; Settings'!$C$42/($F439-1))*$X439)))</f>
        <v>0</v>
      </c>
      <c r="K439" s="118">
        <f>IF($D439="",0,'Guide &amp; Settings'!$C$43*(IF($E439="Win",1,0)-$I439))</f>
        <v>0</v>
      </c>
      <c r="L439" s="119">
        <f>IF($D439="",0,'Guide &amp; Settings'!$C$44*IF($F439&gt;=3,$F439,0))</f>
        <v>0</v>
      </c>
      <c r="M439" s="118">
        <f t="shared" si="105"/>
        <v>0</v>
      </c>
      <c r="N439" s="116">
        <f t="shared" si="106"/>
        <v>0</v>
      </c>
      <c r="O439" s="115" t="str">
        <f t="shared" si="107"/>
        <v/>
      </c>
      <c r="P439">
        <f t="shared" si="108"/>
        <v>0</v>
      </c>
      <c r="Q439">
        <f t="shared" si="109"/>
        <v>0</v>
      </c>
      <c r="R439">
        <f t="shared" si="110"/>
        <v>0</v>
      </c>
      <c r="S439">
        <f t="shared" si="111"/>
        <v>0</v>
      </c>
      <c r="T439" s="83">
        <f t="shared" si="112"/>
        <v>0</v>
      </c>
      <c r="U439" s="120">
        <f>IF($D439="",0,IFERROR(LOOKUP(2,1/(($D$3:D438=$D439)*($C$3:C438=$C439)*($A$3:A438&lt;$A439)),$AB$3:AB438),1000))</f>
        <v>0</v>
      </c>
      <c r="V439" s="120">
        <f t="shared" si="113"/>
        <v>0</v>
      </c>
      <c r="W439">
        <f t="shared" si="114"/>
        <v>0</v>
      </c>
      <c r="X439">
        <f t="shared" si="115"/>
        <v>0</v>
      </c>
      <c r="Y439">
        <f t="shared" si="116"/>
        <v>0</v>
      </c>
      <c r="Z439">
        <f t="shared" si="117"/>
        <v>0</v>
      </c>
      <c r="AA439">
        <f>IF($D439="",0,IF($F439&lt;2,0,IF($E439="Win",('Guide &amp; Settings'!$C$42/(($F439-1)*COUNTIFS($A$4:$A$810,$A439,$E$4:$E$810,"Win")))*SUMIFS($Z$4:$Z$810,$A$4:$A$810,$A439,$E$4:$E$810,"Loss"),-('Guide &amp; Settings'!$C$42/($F439-1))*$Z439)))</f>
        <v>0</v>
      </c>
      <c r="AB439" s="120">
        <f t="shared" si="118"/>
        <v>0</v>
      </c>
      <c r="AC439" s="120" t="str">
        <f>IF($D439="","",IF(SUMPRODUCT(MAX(($D$4:$D$810=$D439)*($B$4:$B$810&lt;$B439)*$B$4:$B$810))=0,0,MAX(($B439-MAX(SUMPRODUCT(MAX(($D$4:$D$810=$D439)*($B$4:$B$810&lt;$B439)*$B$4:$B$810)),'Guide &amp; Settings'!$C$50))/7-'Guide &amp; Settings'!$C$48,0)*'Guide &amp; Settings'!$C$49))</f>
        <v/>
      </c>
    </row>
    <row r="440" spans="1:29" x14ac:dyDescent="0.2">
      <c r="A440" s="111"/>
      <c r="B440" s="112"/>
      <c r="C440" s="113"/>
      <c r="D440" s="113"/>
      <c r="E440" s="111"/>
      <c r="F440" s="114">
        <f t="shared" ref="F440:F503" si="119">IF($D440="",0,COUNTIF($A$4:$A$810,$A440))</f>
        <v>0</v>
      </c>
      <c r="G440" s="115" t="str">
        <f t="shared" ref="G440:G503" si="120">IF($D440="","",IFERROR(LOOKUP(2,1/(($A$4:$A$810=$A440)*($E$4:$E$810="Win")),$D$4:$D$810),"(no winner)"))</f>
        <v/>
      </c>
      <c r="H440" s="116">
        <f>IF($D440="",0,IFERROR(LOOKUP(2,1/(($D$3:D439=$D440)*($A$3:A439&lt;$A440)),$N$3:N439),'Guide &amp; Settings'!$C$41))</f>
        <v>0</v>
      </c>
      <c r="I440" s="117">
        <f t="shared" ref="I440:I503" si="121">IF($D440="",0,IF($S440=0,0,$R440/$S440))</f>
        <v>0</v>
      </c>
      <c r="J440" s="118">
        <f>IF($D440="",0,IF($F440&lt;2,0,IF($E440="Win",('Guide &amp; Settings'!$C$42/(($F440-1)*COUNTIFS($A$4:$A$810,$A440,$E$4:$E$810,"Win")))*SUMIFS($X$4:$X$810,$A$4:$A$810,$A440,$E$4:$E$810,"Loss"),-('Guide &amp; Settings'!$C$42/($F440-1))*$X440)))</f>
        <v>0</v>
      </c>
      <c r="K440" s="118">
        <f>IF($D440="",0,'Guide &amp; Settings'!$C$43*(IF($E440="Win",1,0)-$I440))</f>
        <v>0</v>
      </c>
      <c r="L440" s="119">
        <f>IF($D440="",0,'Guide &amp; Settings'!$C$44*IF($F440&gt;=3,$F440,0))</f>
        <v>0</v>
      </c>
      <c r="M440" s="118">
        <f t="shared" ref="M440:M503" si="122">IF($D440="",0,$J440+$K440+$L440)</f>
        <v>0</v>
      </c>
      <c r="N440" s="116">
        <f t="shared" ref="N440:N503" si="123">IF($D440="",0,$H440+$M440)</f>
        <v>0</v>
      </c>
      <c r="O440" s="115" t="str">
        <f t="shared" ref="O440:O503" si="124">IF($D440="","",IF(COUNTIFS($A$4:$A$810,$A440,$E$4:$E$810,"Win")=0,"need a winner",IF(COUNTIFS($A$4:$A$810,$A440,$E$4:$E$810,"Loss")=0,"need a loser",IF(COUNTIFS($A$4:$A$810,$A440,$D$4:$D$810,$D440)&gt;1,"duplicate player","OK"))))</f>
        <v/>
      </c>
      <c r="P440">
        <f t="shared" ref="P440:P503" si="125">IF($D440="",0,IFERROR(SUMIFS($H$4:$H$810,$A$4:$A$810,$A440,$E$4:$E$810,"Win")/COUNTIFS($A$4:$A$810,$A440,$E$4:$E$810,"Win"),0))</f>
        <v>0</v>
      </c>
      <c r="Q440">
        <f t="shared" ref="Q440:Q503" si="126">IF($D440="",0,1/(1+10^(($P440-$H440)/400)))</f>
        <v>0</v>
      </c>
      <c r="R440">
        <f t="shared" ref="R440:R503" si="127">IF($D440="",0,(COUNTIFS($D$4:$D$810,$D440,$C$4:$C$810,$C440,$E$4:$E$810,"Win",$A$4:$A$810,"&lt;"&amp;$A440)+1)/(COUNTIFS($D$4:$D$810,$D440,$C$4:$C$810,$C440,$A$4:$A$810,"&lt;"&amp;$A440)+2))</f>
        <v>0</v>
      </c>
      <c r="S440">
        <f t="shared" ref="S440:S503" si="128">IF($D440="",0,SUMIFS($R$4:$R$810,$A$4:$A$810,$A440))</f>
        <v>0</v>
      </c>
      <c r="T440" s="83">
        <f t="shared" ref="T440:T503" si="129">IF($D440="",0,COUNTIFS($D$4:$D$810,$D440,$C$4:$C$810,$C440,$A$4:$A$810,"&lt;"&amp;$A440))</f>
        <v>0</v>
      </c>
      <c r="U440" s="120">
        <f>IF($D440="",0,IFERROR(LOOKUP(2,1/(($D$3:D439=$D440)*($C$3:C439=$C440)*($A$3:A439&lt;$A440)),$AB$3:AB439),1000))</f>
        <v>0</v>
      </c>
      <c r="V440" s="120">
        <f t="shared" ref="V440:V503" si="130">IF($D440="",0,$U440*($T440/($T440+5))+$H440*(1-$T440/($T440+5)))</f>
        <v>0</v>
      </c>
      <c r="W440">
        <f t="shared" ref="W440:W503" si="131">IF($D440="",0,IFERROR(SUMIFS($V$4:$V$810,$A$4:$A$810,$A440,$E$4:$E$810,"Win")/COUNTIFS($A$4:$A$810,$A440,$E$4:$E$810,"Win"),0))</f>
        <v>0</v>
      </c>
      <c r="X440">
        <f t="shared" ref="X440:X503" si="132">IF($D440="",0,1/(1+10^(($W440-$V440)/400)))</f>
        <v>0</v>
      </c>
      <c r="Y440">
        <f t="shared" ref="Y440:Y503" si="133">IF($D440="",0,IFERROR(SUMIFS($U$4:$U$810,$A$4:$A$810,$A440,$E$4:$E$810,"Win")/COUNTIFS($A$4:$A$810,$A440,$E$4:$E$810,"Win"),0))</f>
        <v>0</v>
      </c>
      <c r="Z440">
        <f t="shared" ref="Z440:Z503" si="134">IF($D440="",0,1/(1+10^(($Y440-$U440)/400)))</f>
        <v>0</v>
      </c>
      <c r="AA440">
        <f>IF($D440="",0,IF($F440&lt;2,0,IF($E440="Win",('Guide &amp; Settings'!$C$42/(($F440-1)*COUNTIFS($A$4:$A$810,$A440,$E$4:$E$810,"Win")))*SUMIFS($Z$4:$Z$810,$A$4:$A$810,$A440,$E$4:$E$810,"Loss"),-('Guide &amp; Settings'!$C$42/($F440-1))*$Z440)))</f>
        <v>0</v>
      </c>
      <c r="AB440" s="120">
        <f t="shared" ref="AB440:AB503" si="135">IF($D440="",0,$U440+$AA440)</f>
        <v>0</v>
      </c>
      <c r="AC440" s="120" t="str">
        <f>IF($D440="","",IF(SUMPRODUCT(MAX(($D$4:$D$810=$D440)*($B$4:$B$810&lt;$B440)*$B$4:$B$810))=0,0,MAX(($B440-MAX(SUMPRODUCT(MAX(($D$4:$D$810=$D440)*($B$4:$B$810&lt;$B440)*$B$4:$B$810)),'Guide &amp; Settings'!$C$50))/7-'Guide &amp; Settings'!$C$48,0)*'Guide &amp; Settings'!$C$49))</f>
        <v/>
      </c>
    </row>
    <row r="441" spans="1:29" x14ac:dyDescent="0.2">
      <c r="A441" s="111"/>
      <c r="B441" s="112"/>
      <c r="C441" s="113"/>
      <c r="D441" s="113"/>
      <c r="E441" s="111"/>
      <c r="F441" s="114">
        <f t="shared" si="119"/>
        <v>0</v>
      </c>
      <c r="G441" s="115" t="str">
        <f t="shared" si="120"/>
        <v/>
      </c>
      <c r="H441" s="116">
        <f>IF($D441="",0,IFERROR(LOOKUP(2,1/(($D$3:D440=$D441)*($A$3:A440&lt;$A441)),$N$3:N440),'Guide &amp; Settings'!$C$41))</f>
        <v>0</v>
      </c>
      <c r="I441" s="117">
        <f t="shared" si="121"/>
        <v>0</v>
      </c>
      <c r="J441" s="118">
        <f>IF($D441="",0,IF($F441&lt;2,0,IF($E441="Win",('Guide &amp; Settings'!$C$42/(($F441-1)*COUNTIFS($A$4:$A$810,$A441,$E$4:$E$810,"Win")))*SUMIFS($X$4:$X$810,$A$4:$A$810,$A441,$E$4:$E$810,"Loss"),-('Guide &amp; Settings'!$C$42/($F441-1))*$X441)))</f>
        <v>0</v>
      </c>
      <c r="K441" s="118">
        <f>IF($D441="",0,'Guide &amp; Settings'!$C$43*(IF($E441="Win",1,0)-$I441))</f>
        <v>0</v>
      </c>
      <c r="L441" s="119">
        <f>IF($D441="",0,'Guide &amp; Settings'!$C$44*IF($F441&gt;=3,$F441,0))</f>
        <v>0</v>
      </c>
      <c r="M441" s="118">
        <f t="shared" si="122"/>
        <v>0</v>
      </c>
      <c r="N441" s="116">
        <f t="shared" si="123"/>
        <v>0</v>
      </c>
      <c r="O441" s="115" t="str">
        <f t="shared" si="124"/>
        <v/>
      </c>
      <c r="P441">
        <f t="shared" si="125"/>
        <v>0</v>
      </c>
      <c r="Q441">
        <f t="shared" si="126"/>
        <v>0</v>
      </c>
      <c r="R441">
        <f t="shared" si="127"/>
        <v>0</v>
      </c>
      <c r="S441">
        <f t="shared" si="128"/>
        <v>0</v>
      </c>
      <c r="T441" s="83">
        <f t="shared" si="129"/>
        <v>0</v>
      </c>
      <c r="U441" s="120">
        <f>IF($D441="",0,IFERROR(LOOKUP(2,1/(($D$3:D440=$D441)*($C$3:C440=$C441)*($A$3:A440&lt;$A441)),$AB$3:AB440),1000))</f>
        <v>0</v>
      </c>
      <c r="V441" s="120">
        <f t="shared" si="130"/>
        <v>0</v>
      </c>
      <c r="W441">
        <f t="shared" si="131"/>
        <v>0</v>
      </c>
      <c r="X441">
        <f t="shared" si="132"/>
        <v>0</v>
      </c>
      <c r="Y441">
        <f t="shared" si="133"/>
        <v>0</v>
      </c>
      <c r="Z441">
        <f t="shared" si="134"/>
        <v>0</v>
      </c>
      <c r="AA441">
        <f>IF($D441="",0,IF($F441&lt;2,0,IF($E441="Win",('Guide &amp; Settings'!$C$42/(($F441-1)*COUNTIFS($A$4:$A$810,$A441,$E$4:$E$810,"Win")))*SUMIFS($Z$4:$Z$810,$A$4:$A$810,$A441,$E$4:$E$810,"Loss"),-('Guide &amp; Settings'!$C$42/($F441-1))*$Z441)))</f>
        <v>0</v>
      </c>
      <c r="AB441" s="120">
        <f t="shared" si="135"/>
        <v>0</v>
      </c>
      <c r="AC441" s="120" t="str">
        <f>IF($D441="","",IF(SUMPRODUCT(MAX(($D$4:$D$810=$D441)*($B$4:$B$810&lt;$B441)*$B$4:$B$810))=0,0,MAX(($B441-MAX(SUMPRODUCT(MAX(($D$4:$D$810=$D441)*($B$4:$B$810&lt;$B441)*$B$4:$B$810)),'Guide &amp; Settings'!$C$50))/7-'Guide &amp; Settings'!$C$48,0)*'Guide &amp; Settings'!$C$49))</f>
        <v/>
      </c>
    </row>
    <row r="442" spans="1:29" x14ac:dyDescent="0.2">
      <c r="A442" s="111"/>
      <c r="B442" s="112"/>
      <c r="C442" s="113"/>
      <c r="D442" s="113"/>
      <c r="E442" s="111"/>
      <c r="F442" s="114">
        <f t="shared" si="119"/>
        <v>0</v>
      </c>
      <c r="G442" s="115" t="str">
        <f t="shared" si="120"/>
        <v/>
      </c>
      <c r="H442" s="116">
        <f>IF($D442="",0,IFERROR(LOOKUP(2,1/(($D$3:D441=$D442)*($A$3:A441&lt;$A442)),$N$3:N441),'Guide &amp; Settings'!$C$41))</f>
        <v>0</v>
      </c>
      <c r="I442" s="117">
        <f t="shared" si="121"/>
        <v>0</v>
      </c>
      <c r="J442" s="118">
        <f>IF($D442="",0,IF($F442&lt;2,0,IF($E442="Win",('Guide &amp; Settings'!$C$42/(($F442-1)*COUNTIFS($A$4:$A$810,$A442,$E$4:$E$810,"Win")))*SUMIFS($X$4:$X$810,$A$4:$A$810,$A442,$E$4:$E$810,"Loss"),-('Guide &amp; Settings'!$C$42/($F442-1))*$X442)))</f>
        <v>0</v>
      </c>
      <c r="K442" s="118">
        <f>IF($D442="",0,'Guide &amp; Settings'!$C$43*(IF($E442="Win",1,0)-$I442))</f>
        <v>0</v>
      </c>
      <c r="L442" s="119">
        <f>IF($D442="",0,'Guide &amp; Settings'!$C$44*IF($F442&gt;=3,$F442,0))</f>
        <v>0</v>
      </c>
      <c r="M442" s="118">
        <f t="shared" si="122"/>
        <v>0</v>
      </c>
      <c r="N442" s="116">
        <f t="shared" si="123"/>
        <v>0</v>
      </c>
      <c r="O442" s="115" t="str">
        <f t="shared" si="124"/>
        <v/>
      </c>
      <c r="P442">
        <f t="shared" si="125"/>
        <v>0</v>
      </c>
      <c r="Q442">
        <f t="shared" si="126"/>
        <v>0</v>
      </c>
      <c r="R442">
        <f t="shared" si="127"/>
        <v>0</v>
      </c>
      <c r="S442">
        <f t="shared" si="128"/>
        <v>0</v>
      </c>
      <c r="T442" s="83">
        <f t="shared" si="129"/>
        <v>0</v>
      </c>
      <c r="U442" s="120">
        <f>IF($D442="",0,IFERROR(LOOKUP(2,1/(($D$3:D441=$D442)*($C$3:C441=$C442)*($A$3:A441&lt;$A442)),$AB$3:AB441),1000))</f>
        <v>0</v>
      </c>
      <c r="V442" s="120">
        <f t="shared" si="130"/>
        <v>0</v>
      </c>
      <c r="W442">
        <f t="shared" si="131"/>
        <v>0</v>
      </c>
      <c r="X442">
        <f t="shared" si="132"/>
        <v>0</v>
      </c>
      <c r="Y442">
        <f t="shared" si="133"/>
        <v>0</v>
      </c>
      <c r="Z442">
        <f t="shared" si="134"/>
        <v>0</v>
      </c>
      <c r="AA442">
        <f>IF($D442="",0,IF($F442&lt;2,0,IF($E442="Win",('Guide &amp; Settings'!$C$42/(($F442-1)*COUNTIFS($A$4:$A$810,$A442,$E$4:$E$810,"Win")))*SUMIFS($Z$4:$Z$810,$A$4:$A$810,$A442,$E$4:$E$810,"Loss"),-('Guide &amp; Settings'!$C$42/($F442-1))*$Z442)))</f>
        <v>0</v>
      </c>
      <c r="AB442" s="120">
        <f t="shared" si="135"/>
        <v>0</v>
      </c>
      <c r="AC442" s="120" t="str">
        <f>IF($D442="","",IF(SUMPRODUCT(MAX(($D$4:$D$810=$D442)*($B$4:$B$810&lt;$B442)*$B$4:$B$810))=0,0,MAX(($B442-MAX(SUMPRODUCT(MAX(($D$4:$D$810=$D442)*($B$4:$B$810&lt;$B442)*$B$4:$B$810)),'Guide &amp; Settings'!$C$50))/7-'Guide &amp; Settings'!$C$48,0)*'Guide &amp; Settings'!$C$49))</f>
        <v/>
      </c>
    </row>
    <row r="443" spans="1:29" x14ac:dyDescent="0.2">
      <c r="A443" s="111"/>
      <c r="B443" s="112"/>
      <c r="C443" s="113"/>
      <c r="D443" s="113"/>
      <c r="E443" s="111"/>
      <c r="F443" s="114">
        <f t="shared" si="119"/>
        <v>0</v>
      </c>
      <c r="G443" s="115" t="str">
        <f t="shared" si="120"/>
        <v/>
      </c>
      <c r="H443" s="116">
        <f>IF($D443="",0,IFERROR(LOOKUP(2,1/(($D$3:D442=$D443)*($A$3:A442&lt;$A443)),$N$3:N442),'Guide &amp; Settings'!$C$41))</f>
        <v>0</v>
      </c>
      <c r="I443" s="117">
        <f t="shared" si="121"/>
        <v>0</v>
      </c>
      <c r="J443" s="118">
        <f>IF($D443="",0,IF($F443&lt;2,0,IF($E443="Win",('Guide &amp; Settings'!$C$42/(($F443-1)*COUNTIFS($A$4:$A$810,$A443,$E$4:$E$810,"Win")))*SUMIFS($X$4:$X$810,$A$4:$A$810,$A443,$E$4:$E$810,"Loss"),-('Guide &amp; Settings'!$C$42/($F443-1))*$X443)))</f>
        <v>0</v>
      </c>
      <c r="K443" s="118">
        <f>IF($D443="",0,'Guide &amp; Settings'!$C$43*(IF($E443="Win",1,0)-$I443))</f>
        <v>0</v>
      </c>
      <c r="L443" s="119">
        <f>IF($D443="",0,'Guide &amp; Settings'!$C$44*IF($F443&gt;=3,$F443,0))</f>
        <v>0</v>
      </c>
      <c r="M443" s="118">
        <f t="shared" si="122"/>
        <v>0</v>
      </c>
      <c r="N443" s="116">
        <f t="shared" si="123"/>
        <v>0</v>
      </c>
      <c r="O443" s="115" t="str">
        <f t="shared" si="124"/>
        <v/>
      </c>
      <c r="P443">
        <f t="shared" si="125"/>
        <v>0</v>
      </c>
      <c r="Q443">
        <f t="shared" si="126"/>
        <v>0</v>
      </c>
      <c r="R443">
        <f t="shared" si="127"/>
        <v>0</v>
      </c>
      <c r="S443">
        <f t="shared" si="128"/>
        <v>0</v>
      </c>
      <c r="T443" s="83">
        <f t="shared" si="129"/>
        <v>0</v>
      </c>
      <c r="U443" s="120">
        <f>IF($D443="",0,IFERROR(LOOKUP(2,1/(($D$3:D442=$D443)*($C$3:C442=$C443)*($A$3:A442&lt;$A443)),$AB$3:AB442),1000))</f>
        <v>0</v>
      </c>
      <c r="V443" s="120">
        <f t="shared" si="130"/>
        <v>0</v>
      </c>
      <c r="W443">
        <f t="shared" si="131"/>
        <v>0</v>
      </c>
      <c r="X443">
        <f t="shared" si="132"/>
        <v>0</v>
      </c>
      <c r="Y443">
        <f t="shared" si="133"/>
        <v>0</v>
      </c>
      <c r="Z443">
        <f t="shared" si="134"/>
        <v>0</v>
      </c>
      <c r="AA443">
        <f>IF($D443="",0,IF($F443&lt;2,0,IF($E443="Win",('Guide &amp; Settings'!$C$42/(($F443-1)*COUNTIFS($A$4:$A$810,$A443,$E$4:$E$810,"Win")))*SUMIFS($Z$4:$Z$810,$A$4:$A$810,$A443,$E$4:$E$810,"Loss"),-('Guide &amp; Settings'!$C$42/($F443-1))*$Z443)))</f>
        <v>0</v>
      </c>
      <c r="AB443" s="120">
        <f t="shared" si="135"/>
        <v>0</v>
      </c>
      <c r="AC443" s="120" t="str">
        <f>IF($D443="","",IF(SUMPRODUCT(MAX(($D$4:$D$810=$D443)*($B$4:$B$810&lt;$B443)*$B$4:$B$810))=0,0,MAX(($B443-MAX(SUMPRODUCT(MAX(($D$4:$D$810=$D443)*($B$4:$B$810&lt;$B443)*$B$4:$B$810)),'Guide &amp; Settings'!$C$50))/7-'Guide &amp; Settings'!$C$48,0)*'Guide &amp; Settings'!$C$49))</f>
        <v/>
      </c>
    </row>
    <row r="444" spans="1:29" x14ac:dyDescent="0.2">
      <c r="A444" s="111"/>
      <c r="B444" s="112"/>
      <c r="C444" s="113"/>
      <c r="D444" s="113"/>
      <c r="E444" s="111"/>
      <c r="F444" s="114">
        <f t="shared" si="119"/>
        <v>0</v>
      </c>
      <c r="G444" s="115" t="str">
        <f t="shared" si="120"/>
        <v/>
      </c>
      <c r="H444" s="116">
        <f>IF($D444="",0,IFERROR(LOOKUP(2,1/(($D$3:D443=$D444)*($A$3:A443&lt;$A444)),$N$3:N443),'Guide &amp; Settings'!$C$41))</f>
        <v>0</v>
      </c>
      <c r="I444" s="117">
        <f t="shared" si="121"/>
        <v>0</v>
      </c>
      <c r="J444" s="118">
        <f>IF($D444="",0,IF($F444&lt;2,0,IF($E444="Win",('Guide &amp; Settings'!$C$42/(($F444-1)*COUNTIFS($A$4:$A$810,$A444,$E$4:$E$810,"Win")))*SUMIFS($X$4:$X$810,$A$4:$A$810,$A444,$E$4:$E$810,"Loss"),-('Guide &amp; Settings'!$C$42/($F444-1))*$X444)))</f>
        <v>0</v>
      </c>
      <c r="K444" s="118">
        <f>IF($D444="",0,'Guide &amp; Settings'!$C$43*(IF($E444="Win",1,0)-$I444))</f>
        <v>0</v>
      </c>
      <c r="L444" s="119">
        <f>IF($D444="",0,'Guide &amp; Settings'!$C$44*IF($F444&gt;=3,$F444,0))</f>
        <v>0</v>
      </c>
      <c r="M444" s="118">
        <f t="shared" si="122"/>
        <v>0</v>
      </c>
      <c r="N444" s="116">
        <f t="shared" si="123"/>
        <v>0</v>
      </c>
      <c r="O444" s="115" t="str">
        <f t="shared" si="124"/>
        <v/>
      </c>
      <c r="P444">
        <f t="shared" si="125"/>
        <v>0</v>
      </c>
      <c r="Q444">
        <f t="shared" si="126"/>
        <v>0</v>
      </c>
      <c r="R444">
        <f t="shared" si="127"/>
        <v>0</v>
      </c>
      <c r="S444">
        <f t="shared" si="128"/>
        <v>0</v>
      </c>
      <c r="T444" s="83">
        <f t="shared" si="129"/>
        <v>0</v>
      </c>
      <c r="U444" s="120">
        <f>IF($D444="",0,IFERROR(LOOKUP(2,1/(($D$3:D443=$D444)*($C$3:C443=$C444)*($A$3:A443&lt;$A444)),$AB$3:AB443),1000))</f>
        <v>0</v>
      </c>
      <c r="V444" s="120">
        <f t="shared" si="130"/>
        <v>0</v>
      </c>
      <c r="W444">
        <f t="shared" si="131"/>
        <v>0</v>
      </c>
      <c r="X444">
        <f t="shared" si="132"/>
        <v>0</v>
      </c>
      <c r="Y444">
        <f t="shared" si="133"/>
        <v>0</v>
      </c>
      <c r="Z444">
        <f t="shared" si="134"/>
        <v>0</v>
      </c>
      <c r="AA444">
        <f>IF($D444="",0,IF($F444&lt;2,0,IF($E444="Win",('Guide &amp; Settings'!$C$42/(($F444-1)*COUNTIFS($A$4:$A$810,$A444,$E$4:$E$810,"Win")))*SUMIFS($Z$4:$Z$810,$A$4:$A$810,$A444,$E$4:$E$810,"Loss"),-('Guide &amp; Settings'!$C$42/($F444-1))*$Z444)))</f>
        <v>0</v>
      </c>
      <c r="AB444" s="120">
        <f t="shared" si="135"/>
        <v>0</v>
      </c>
      <c r="AC444" s="120" t="str">
        <f>IF($D444="","",IF(SUMPRODUCT(MAX(($D$4:$D$810=$D444)*($B$4:$B$810&lt;$B444)*$B$4:$B$810))=0,0,MAX(($B444-MAX(SUMPRODUCT(MAX(($D$4:$D$810=$D444)*($B$4:$B$810&lt;$B444)*$B$4:$B$810)),'Guide &amp; Settings'!$C$50))/7-'Guide &amp; Settings'!$C$48,0)*'Guide &amp; Settings'!$C$49))</f>
        <v/>
      </c>
    </row>
    <row r="445" spans="1:29" x14ac:dyDescent="0.2">
      <c r="A445" s="111"/>
      <c r="B445" s="112"/>
      <c r="C445" s="113"/>
      <c r="D445" s="113"/>
      <c r="E445" s="111"/>
      <c r="F445" s="114">
        <f t="shared" si="119"/>
        <v>0</v>
      </c>
      <c r="G445" s="115" t="str">
        <f t="shared" si="120"/>
        <v/>
      </c>
      <c r="H445" s="116">
        <f>IF($D445="",0,IFERROR(LOOKUP(2,1/(($D$3:D444=$D445)*($A$3:A444&lt;$A445)),$N$3:N444),'Guide &amp; Settings'!$C$41))</f>
        <v>0</v>
      </c>
      <c r="I445" s="117">
        <f t="shared" si="121"/>
        <v>0</v>
      </c>
      <c r="J445" s="118">
        <f>IF($D445="",0,IF($F445&lt;2,0,IF($E445="Win",('Guide &amp; Settings'!$C$42/(($F445-1)*COUNTIFS($A$4:$A$810,$A445,$E$4:$E$810,"Win")))*SUMIFS($X$4:$X$810,$A$4:$A$810,$A445,$E$4:$E$810,"Loss"),-('Guide &amp; Settings'!$C$42/($F445-1))*$X445)))</f>
        <v>0</v>
      </c>
      <c r="K445" s="118">
        <f>IF($D445="",0,'Guide &amp; Settings'!$C$43*(IF($E445="Win",1,0)-$I445))</f>
        <v>0</v>
      </c>
      <c r="L445" s="119">
        <f>IF($D445="",0,'Guide &amp; Settings'!$C$44*IF($F445&gt;=3,$F445,0))</f>
        <v>0</v>
      </c>
      <c r="M445" s="118">
        <f t="shared" si="122"/>
        <v>0</v>
      </c>
      <c r="N445" s="116">
        <f t="shared" si="123"/>
        <v>0</v>
      </c>
      <c r="O445" s="115" t="str">
        <f t="shared" si="124"/>
        <v/>
      </c>
      <c r="P445">
        <f t="shared" si="125"/>
        <v>0</v>
      </c>
      <c r="Q445">
        <f t="shared" si="126"/>
        <v>0</v>
      </c>
      <c r="R445">
        <f t="shared" si="127"/>
        <v>0</v>
      </c>
      <c r="S445">
        <f t="shared" si="128"/>
        <v>0</v>
      </c>
      <c r="T445" s="83">
        <f t="shared" si="129"/>
        <v>0</v>
      </c>
      <c r="U445" s="120">
        <f>IF($D445="",0,IFERROR(LOOKUP(2,1/(($D$3:D444=$D445)*($C$3:C444=$C445)*($A$3:A444&lt;$A445)),$AB$3:AB444),1000))</f>
        <v>0</v>
      </c>
      <c r="V445" s="120">
        <f t="shared" si="130"/>
        <v>0</v>
      </c>
      <c r="W445">
        <f t="shared" si="131"/>
        <v>0</v>
      </c>
      <c r="X445">
        <f t="shared" si="132"/>
        <v>0</v>
      </c>
      <c r="Y445">
        <f t="shared" si="133"/>
        <v>0</v>
      </c>
      <c r="Z445">
        <f t="shared" si="134"/>
        <v>0</v>
      </c>
      <c r="AA445">
        <f>IF($D445="",0,IF($F445&lt;2,0,IF($E445="Win",('Guide &amp; Settings'!$C$42/(($F445-1)*COUNTIFS($A$4:$A$810,$A445,$E$4:$E$810,"Win")))*SUMIFS($Z$4:$Z$810,$A$4:$A$810,$A445,$E$4:$E$810,"Loss"),-('Guide &amp; Settings'!$C$42/($F445-1))*$Z445)))</f>
        <v>0</v>
      </c>
      <c r="AB445" s="120">
        <f t="shared" si="135"/>
        <v>0</v>
      </c>
      <c r="AC445" s="120" t="str">
        <f>IF($D445="","",IF(SUMPRODUCT(MAX(($D$4:$D$810=$D445)*($B$4:$B$810&lt;$B445)*$B$4:$B$810))=0,0,MAX(($B445-MAX(SUMPRODUCT(MAX(($D$4:$D$810=$D445)*($B$4:$B$810&lt;$B445)*$B$4:$B$810)),'Guide &amp; Settings'!$C$50))/7-'Guide &amp; Settings'!$C$48,0)*'Guide &amp; Settings'!$C$49))</f>
        <v/>
      </c>
    </row>
    <row r="446" spans="1:29" x14ac:dyDescent="0.2">
      <c r="A446" s="111"/>
      <c r="B446" s="112"/>
      <c r="C446" s="113"/>
      <c r="D446" s="113"/>
      <c r="E446" s="111"/>
      <c r="F446" s="114">
        <f t="shared" si="119"/>
        <v>0</v>
      </c>
      <c r="G446" s="115" t="str">
        <f t="shared" si="120"/>
        <v/>
      </c>
      <c r="H446" s="116">
        <f>IF($D446="",0,IFERROR(LOOKUP(2,1/(($D$3:D445=$D446)*($A$3:A445&lt;$A446)),$N$3:N445),'Guide &amp; Settings'!$C$41))</f>
        <v>0</v>
      </c>
      <c r="I446" s="117">
        <f t="shared" si="121"/>
        <v>0</v>
      </c>
      <c r="J446" s="118">
        <f>IF($D446="",0,IF($F446&lt;2,0,IF($E446="Win",('Guide &amp; Settings'!$C$42/(($F446-1)*COUNTIFS($A$4:$A$810,$A446,$E$4:$E$810,"Win")))*SUMIFS($X$4:$X$810,$A$4:$A$810,$A446,$E$4:$E$810,"Loss"),-('Guide &amp; Settings'!$C$42/($F446-1))*$X446)))</f>
        <v>0</v>
      </c>
      <c r="K446" s="118">
        <f>IF($D446="",0,'Guide &amp; Settings'!$C$43*(IF($E446="Win",1,0)-$I446))</f>
        <v>0</v>
      </c>
      <c r="L446" s="119">
        <f>IF($D446="",0,'Guide &amp; Settings'!$C$44*IF($F446&gt;=3,$F446,0))</f>
        <v>0</v>
      </c>
      <c r="M446" s="118">
        <f t="shared" si="122"/>
        <v>0</v>
      </c>
      <c r="N446" s="116">
        <f t="shared" si="123"/>
        <v>0</v>
      </c>
      <c r="O446" s="115" t="str">
        <f t="shared" si="124"/>
        <v/>
      </c>
      <c r="P446">
        <f t="shared" si="125"/>
        <v>0</v>
      </c>
      <c r="Q446">
        <f t="shared" si="126"/>
        <v>0</v>
      </c>
      <c r="R446">
        <f t="shared" si="127"/>
        <v>0</v>
      </c>
      <c r="S446">
        <f t="shared" si="128"/>
        <v>0</v>
      </c>
      <c r="T446" s="83">
        <f t="shared" si="129"/>
        <v>0</v>
      </c>
      <c r="U446" s="120">
        <f>IF($D446="",0,IFERROR(LOOKUP(2,1/(($D$3:D445=$D446)*($C$3:C445=$C446)*($A$3:A445&lt;$A446)),$AB$3:AB445),1000))</f>
        <v>0</v>
      </c>
      <c r="V446" s="120">
        <f t="shared" si="130"/>
        <v>0</v>
      </c>
      <c r="W446">
        <f t="shared" si="131"/>
        <v>0</v>
      </c>
      <c r="X446">
        <f t="shared" si="132"/>
        <v>0</v>
      </c>
      <c r="Y446">
        <f t="shared" si="133"/>
        <v>0</v>
      </c>
      <c r="Z446">
        <f t="shared" si="134"/>
        <v>0</v>
      </c>
      <c r="AA446">
        <f>IF($D446="",0,IF($F446&lt;2,0,IF($E446="Win",('Guide &amp; Settings'!$C$42/(($F446-1)*COUNTIFS($A$4:$A$810,$A446,$E$4:$E$810,"Win")))*SUMIFS($Z$4:$Z$810,$A$4:$A$810,$A446,$E$4:$E$810,"Loss"),-('Guide &amp; Settings'!$C$42/($F446-1))*$Z446)))</f>
        <v>0</v>
      </c>
      <c r="AB446" s="120">
        <f t="shared" si="135"/>
        <v>0</v>
      </c>
      <c r="AC446" s="120" t="str">
        <f>IF($D446="","",IF(SUMPRODUCT(MAX(($D$4:$D$810=$D446)*($B$4:$B$810&lt;$B446)*$B$4:$B$810))=0,0,MAX(($B446-MAX(SUMPRODUCT(MAX(($D$4:$D$810=$D446)*($B$4:$B$810&lt;$B446)*$B$4:$B$810)),'Guide &amp; Settings'!$C$50))/7-'Guide &amp; Settings'!$C$48,0)*'Guide &amp; Settings'!$C$49))</f>
        <v/>
      </c>
    </row>
    <row r="447" spans="1:29" x14ac:dyDescent="0.2">
      <c r="A447" s="111"/>
      <c r="B447" s="112"/>
      <c r="C447" s="113"/>
      <c r="D447" s="113"/>
      <c r="E447" s="111"/>
      <c r="F447" s="114">
        <f t="shared" si="119"/>
        <v>0</v>
      </c>
      <c r="G447" s="115" t="str">
        <f t="shared" si="120"/>
        <v/>
      </c>
      <c r="H447" s="116">
        <f>IF($D447="",0,IFERROR(LOOKUP(2,1/(($D$3:D446=$D447)*($A$3:A446&lt;$A447)),$N$3:N446),'Guide &amp; Settings'!$C$41))</f>
        <v>0</v>
      </c>
      <c r="I447" s="117">
        <f t="shared" si="121"/>
        <v>0</v>
      </c>
      <c r="J447" s="118">
        <f>IF($D447="",0,IF($F447&lt;2,0,IF($E447="Win",('Guide &amp; Settings'!$C$42/(($F447-1)*COUNTIFS($A$4:$A$810,$A447,$E$4:$E$810,"Win")))*SUMIFS($X$4:$X$810,$A$4:$A$810,$A447,$E$4:$E$810,"Loss"),-('Guide &amp; Settings'!$C$42/($F447-1))*$X447)))</f>
        <v>0</v>
      </c>
      <c r="K447" s="118">
        <f>IF($D447="",0,'Guide &amp; Settings'!$C$43*(IF($E447="Win",1,0)-$I447))</f>
        <v>0</v>
      </c>
      <c r="L447" s="119">
        <f>IF($D447="",0,'Guide &amp; Settings'!$C$44*IF($F447&gt;=3,$F447,0))</f>
        <v>0</v>
      </c>
      <c r="M447" s="118">
        <f t="shared" si="122"/>
        <v>0</v>
      </c>
      <c r="N447" s="116">
        <f t="shared" si="123"/>
        <v>0</v>
      </c>
      <c r="O447" s="115" t="str">
        <f t="shared" si="124"/>
        <v/>
      </c>
      <c r="P447">
        <f t="shared" si="125"/>
        <v>0</v>
      </c>
      <c r="Q447">
        <f t="shared" si="126"/>
        <v>0</v>
      </c>
      <c r="R447">
        <f t="shared" si="127"/>
        <v>0</v>
      </c>
      <c r="S447">
        <f t="shared" si="128"/>
        <v>0</v>
      </c>
      <c r="T447" s="83">
        <f t="shared" si="129"/>
        <v>0</v>
      </c>
      <c r="U447" s="120">
        <f>IF($D447="",0,IFERROR(LOOKUP(2,1/(($D$3:D446=$D447)*($C$3:C446=$C447)*($A$3:A446&lt;$A447)),$AB$3:AB446),1000))</f>
        <v>0</v>
      </c>
      <c r="V447" s="120">
        <f t="shared" si="130"/>
        <v>0</v>
      </c>
      <c r="W447">
        <f t="shared" si="131"/>
        <v>0</v>
      </c>
      <c r="X447">
        <f t="shared" si="132"/>
        <v>0</v>
      </c>
      <c r="Y447">
        <f t="shared" si="133"/>
        <v>0</v>
      </c>
      <c r="Z447">
        <f t="shared" si="134"/>
        <v>0</v>
      </c>
      <c r="AA447">
        <f>IF($D447="",0,IF($F447&lt;2,0,IF($E447="Win",('Guide &amp; Settings'!$C$42/(($F447-1)*COUNTIFS($A$4:$A$810,$A447,$E$4:$E$810,"Win")))*SUMIFS($Z$4:$Z$810,$A$4:$A$810,$A447,$E$4:$E$810,"Loss"),-('Guide &amp; Settings'!$C$42/($F447-1))*$Z447)))</f>
        <v>0</v>
      </c>
      <c r="AB447" s="120">
        <f t="shared" si="135"/>
        <v>0</v>
      </c>
      <c r="AC447" s="120" t="str">
        <f>IF($D447="","",IF(SUMPRODUCT(MAX(($D$4:$D$810=$D447)*($B$4:$B$810&lt;$B447)*$B$4:$B$810))=0,0,MAX(($B447-MAX(SUMPRODUCT(MAX(($D$4:$D$810=$D447)*($B$4:$B$810&lt;$B447)*$B$4:$B$810)),'Guide &amp; Settings'!$C$50))/7-'Guide &amp; Settings'!$C$48,0)*'Guide &amp; Settings'!$C$49))</f>
        <v/>
      </c>
    </row>
    <row r="448" spans="1:29" x14ac:dyDescent="0.2">
      <c r="A448" s="111"/>
      <c r="B448" s="112"/>
      <c r="C448" s="113"/>
      <c r="D448" s="113"/>
      <c r="E448" s="111"/>
      <c r="F448" s="114">
        <f t="shared" si="119"/>
        <v>0</v>
      </c>
      <c r="G448" s="115" t="str">
        <f t="shared" si="120"/>
        <v/>
      </c>
      <c r="H448" s="116">
        <f>IF($D448="",0,IFERROR(LOOKUP(2,1/(($D$3:D447=$D448)*($A$3:A447&lt;$A448)),$N$3:N447),'Guide &amp; Settings'!$C$41))</f>
        <v>0</v>
      </c>
      <c r="I448" s="117">
        <f t="shared" si="121"/>
        <v>0</v>
      </c>
      <c r="J448" s="118">
        <f>IF($D448="",0,IF($F448&lt;2,0,IF($E448="Win",('Guide &amp; Settings'!$C$42/(($F448-1)*COUNTIFS($A$4:$A$810,$A448,$E$4:$E$810,"Win")))*SUMIFS($X$4:$X$810,$A$4:$A$810,$A448,$E$4:$E$810,"Loss"),-('Guide &amp; Settings'!$C$42/($F448-1))*$X448)))</f>
        <v>0</v>
      </c>
      <c r="K448" s="118">
        <f>IF($D448="",0,'Guide &amp; Settings'!$C$43*(IF($E448="Win",1,0)-$I448))</f>
        <v>0</v>
      </c>
      <c r="L448" s="119">
        <f>IF($D448="",0,'Guide &amp; Settings'!$C$44*IF($F448&gt;=3,$F448,0))</f>
        <v>0</v>
      </c>
      <c r="M448" s="118">
        <f t="shared" si="122"/>
        <v>0</v>
      </c>
      <c r="N448" s="116">
        <f t="shared" si="123"/>
        <v>0</v>
      </c>
      <c r="O448" s="115" t="str">
        <f t="shared" si="124"/>
        <v/>
      </c>
      <c r="P448">
        <f t="shared" si="125"/>
        <v>0</v>
      </c>
      <c r="Q448">
        <f t="shared" si="126"/>
        <v>0</v>
      </c>
      <c r="R448">
        <f t="shared" si="127"/>
        <v>0</v>
      </c>
      <c r="S448">
        <f t="shared" si="128"/>
        <v>0</v>
      </c>
      <c r="T448" s="83">
        <f t="shared" si="129"/>
        <v>0</v>
      </c>
      <c r="U448" s="120">
        <f>IF($D448="",0,IFERROR(LOOKUP(2,1/(($D$3:D447=$D448)*($C$3:C447=$C448)*($A$3:A447&lt;$A448)),$AB$3:AB447),1000))</f>
        <v>0</v>
      </c>
      <c r="V448" s="120">
        <f t="shared" si="130"/>
        <v>0</v>
      </c>
      <c r="W448">
        <f t="shared" si="131"/>
        <v>0</v>
      </c>
      <c r="X448">
        <f t="shared" si="132"/>
        <v>0</v>
      </c>
      <c r="Y448">
        <f t="shared" si="133"/>
        <v>0</v>
      </c>
      <c r="Z448">
        <f t="shared" si="134"/>
        <v>0</v>
      </c>
      <c r="AA448">
        <f>IF($D448="",0,IF($F448&lt;2,0,IF($E448="Win",('Guide &amp; Settings'!$C$42/(($F448-1)*COUNTIFS($A$4:$A$810,$A448,$E$4:$E$810,"Win")))*SUMIFS($Z$4:$Z$810,$A$4:$A$810,$A448,$E$4:$E$810,"Loss"),-('Guide &amp; Settings'!$C$42/($F448-1))*$Z448)))</f>
        <v>0</v>
      </c>
      <c r="AB448" s="120">
        <f t="shared" si="135"/>
        <v>0</v>
      </c>
      <c r="AC448" s="120" t="str">
        <f>IF($D448="","",IF(SUMPRODUCT(MAX(($D$4:$D$810=$D448)*($B$4:$B$810&lt;$B448)*$B$4:$B$810))=0,0,MAX(($B448-MAX(SUMPRODUCT(MAX(($D$4:$D$810=$D448)*($B$4:$B$810&lt;$B448)*$B$4:$B$810)),'Guide &amp; Settings'!$C$50))/7-'Guide &amp; Settings'!$C$48,0)*'Guide &amp; Settings'!$C$49))</f>
        <v/>
      </c>
    </row>
    <row r="449" spans="1:29" x14ac:dyDescent="0.2">
      <c r="A449" s="111"/>
      <c r="B449" s="112"/>
      <c r="C449" s="113"/>
      <c r="D449" s="113"/>
      <c r="E449" s="111"/>
      <c r="F449" s="114">
        <f t="shared" si="119"/>
        <v>0</v>
      </c>
      <c r="G449" s="115" t="str">
        <f t="shared" si="120"/>
        <v/>
      </c>
      <c r="H449" s="116">
        <f>IF($D449="",0,IFERROR(LOOKUP(2,1/(($D$3:D448=$D449)*($A$3:A448&lt;$A449)),$N$3:N448),'Guide &amp; Settings'!$C$41))</f>
        <v>0</v>
      </c>
      <c r="I449" s="117">
        <f t="shared" si="121"/>
        <v>0</v>
      </c>
      <c r="J449" s="118">
        <f>IF($D449="",0,IF($F449&lt;2,0,IF($E449="Win",('Guide &amp; Settings'!$C$42/(($F449-1)*COUNTIFS($A$4:$A$810,$A449,$E$4:$E$810,"Win")))*SUMIFS($X$4:$X$810,$A$4:$A$810,$A449,$E$4:$E$810,"Loss"),-('Guide &amp; Settings'!$C$42/($F449-1))*$X449)))</f>
        <v>0</v>
      </c>
      <c r="K449" s="118">
        <f>IF($D449="",0,'Guide &amp; Settings'!$C$43*(IF($E449="Win",1,0)-$I449))</f>
        <v>0</v>
      </c>
      <c r="L449" s="119">
        <f>IF($D449="",0,'Guide &amp; Settings'!$C$44*IF($F449&gt;=3,$F449,0))</f>
        <v>0</v>
      </c>
      <c r="M449" s="118">
        <f t="shared" si="122"/>
        <v>0</v>
      </c>
      <c r="N449" s="116">
        <f t="shared" si="123"/>
        <v>0</v>
      </c>
      <c r="O449" s="115" t="str">
        <f t="shared" si="124"/>
        <v/>
      </c>
      <c r="P449">
        <f t="shared" si="125"/>
        <v>0</v>
      </c>
      <c r="Q449">
        <f t="shared" si="126"/>
        <v>0</v>
      </c>
      <c r="R449">
        <f t="shared" si="127"/>
        <v>0</v>
      </c>
      <c r="S449">
        <f t="shared" si="128"/>
        <v>0</v>
      </c>
      <c r="T449" s="83">
        <f t="shared" si="129"/>
        <v>0</v>
      </c>
      <c r="U449" s="120">
        <f>IF($D449="",0,IFERROR(LOOKUP(2,1/(($D$3:D448=$D449)*($C$3:C448=$C449)*($A$3:A448&lt;$A449)),$AB$3:AB448),1000))</f>
        <v>0</v>
      </c>
      <c r="V449" s="120">
        <f t="shared" si="130"/>
        <v>0</v>
      </c>
      <c r="W449">
        <f t="shared" si="131"/>
        <v>0</v>
      </c>
      <c r="X449">
        <f t="shared" si="132"/>
        <v>0</v>
      </c>
      <c r="Y449">
        <f t="shared" si="133"/>
        <v>0</v>
      </c>
      <c r="Z449">
        <f t="shared" si="134"/>
        <v>0</v>
      </c>
      <c r="AA449">
        <f>IF($D449="",0,IF($F449&lt;2,0,IF($E449="Win",('Guide &amp; Settings'!$C$42/(($F449-1)*COUNTIFS($A$4:$A$810,$A449,$E$4:$E$810,"Win")))*SUMIFS($Z$4:$Z$810,$A$4:$A$810,$A449,$E$4:$E$810,"Loss"),-('Guide &amp; Settings'!$C$42/($F449-1))*$Z449)))</f>
        <v>0</v>
      </c>
      <c r="AB449" s="120">
        <f t="shared" si="135"/>
        <v>0</v>
      </c>
      <c r="AC449" s="120" t="str">
        <f>IF($D449="","",IF(SUMPRODUCT(MAX(($D$4:$D$810=$D449)*($B$4:$B$810&lt;$B449)*$B$4:$B$810))=0,0,MAX(($B449-MAX(SUMPRODUCT(MAX(($D$4:$D$810=$D449)*($B$4:$B$810&lt;$B449)*$B$4:$B$810)),'Guide &amp; Settings'!$C$50))/7-'Guide &amp; Settings'!$C$48,0)*'Guide &amp; Settings'!$C$49))</f>
        <v/>
      </c>
    </row>
    <row r="450" spans="1:29" x14ac:dyDescent="0.2">
      <c r="A450" s="111"/>
      <c r="B450" s="112"/>
      <c r="C450" s="113"/>
      <c r="D450" s="113"/>
      <c r="E450" s="111"/>
      <c r="F450" s="114">
        <f t="shared" si="119"/>
        <v>0</v>
      </c>
      <c r="G450" s="115" t="str">
        <f t="shared" si="120"/>
        <v/>
      </c>
      <c r="H450" s="116">
        <f>IF($D450="",0,IFERROR(LOOKUP(2,1/(($D$3:D449=$D450)*($A$3:A449&lt;$A450)),$N$3:N449),'Guide &amp; Settings'!$C$41))</f>
        <v>0</v>
      </c>
      <c r="I450" s="117">
        <f t="shared" si="121"/>
        <v>0</v>
      </c>
      <c r="J450" s="118">
        <f>IF($D450="",0,IF($F450&lt;2,0,IF($E450="Win",('Guide &amp; Settings'!$C$42/(($F450-1)*COUNTIFS($A$4:$A$810,$A450,$E$4:$E$810,"Win")))*SUMIFS($X$4:$X$810,$A$4:$A$810,$A450,$E$4:$E$810,"Loss"),-('Guide &amp; Settings'!$C$42/($F450-1))*$X450)))</f>
        <v>0</v>
      </c>
      <c r="K450" s="118">
        <f>IF($D450="",0,'Guide &amp; Settings'!$C$43*(IF($E450="Win",1,0)-$I450))</f>
        <v>0</v>
      </c>
      <c r="L450" s="119">
        <f>IF($D450="",0,'Guide &amp; Settings'!$C$44*IF($F450&gt;=3,$F450,0))</f>
        <v>0</v>
      </c>
      <c r="M450" s="118">
        <f t="shared" si="122"/>
        <v>0</v>
      </c>
      <c r="N450" s="116">
        <f t="shared" si="123"/>
        <v>0</v>
      </c>
      <c r="O450" s="115" t="str">
        <f t="shared" si="124"/>
        <v/>
      </c>
      <c r="P450">
        <f t="shared" si="125"/>
        <v>0</v>
      </c>
      <c r="Q450">
        <f t="shared" si="126"/>
        <v>0</v>
      </c>
      <c r="R450">
        <f t="shared" si="127"/>
        <v>0</v>
      </c>
      <c r="S450">
        <f t="shared" si="128"/>
        <v>0</v>
      </c>
      <c r="T450" s="83">
        <f t="shared" si="129"/>
        <v>0</v>
      </c>
      <c r="U450" s="120">
        <f>IF($D450="",0,IFERROR(LOOKUP(2,1/(($D$3:D449=$D450)*($C$3:C449=$C450)*($A$3:A449&lt;$A450)),$AB$3:AB449),1000))</f>
        <v>0</v>
      </c>
      <c r="V450" s="120">
        <f t="shared" si="130"/>
        <v>0</v>
      </c>
      <c r="W450">
        <f t="shared" si="131"/>
        <v>0</v>
      </c>
      <c r="X450">
        <f t="shared" si="132"/>
        <v>0</v>
      </c>
      <c r="Y450">
        <f t="shared" si="133"/>
        <v>0</v>
      </c>
      <c r="Z450">
        <f t="shared" si="134"/>
        <v>0</v>
      </c>
      <c r="AA450">
        <f>IF($D450="",0,IF($F450&lt;2,0,IF($E450="Win",('Guide &amp; Settings'!$C$42/(($F450-1)*COUNTIFS($A$4:$A$810,$A450,$E$4:$E$810,"Win")))*SUMIFS($Z$4:$Z$810,$A$4:$A$810,$A450,$E$4:$E$810,"Loss"),-('Guide &amp; Settings'!$C$42/($F450-1))*$Z450)))</f>
        <v>0</v>
      </c>
      <c r="AB450" s="120">
        <f t="shared" si="135"/>
        <v>0</v>
      </c>
      <c r="AC450" s="120" t="str">
        <f>IF($D450="","",IF(SUMPRODUCT(MAX(($D$4:$D$810=$D450)*($B$4:$B$810&lt;$B450)*$B$4:$B$810))=0,0,MAX(($B450-MAX(SUMPRODUCT(MAX(($D$4:$D$810=$D450)*($B$4:$B$810&lt;$B450)*$B$4:$B$810)),'Guide &amp; Settings'!$C$50))/7-'Guide &amp; Settings'!$C$48,0)*'Guide &amp; Settings'!$C$49))</f>
        <v/>
      </c>
    </row>
    <row r="451" spans="1:29" x14ac:dyDescent="0.2">
      <c r="A451" s="111"/>
      <c r="B451" s="112"/>
      <c r="C451" s="113"/>
      <c r="D451" s="113"/>
      <c r="E451" s="111"/>
      <c r="F451" s="114">
        <f t="shared" si="119"/>
        <v>0</v>
      </c>
      <c r="G451" s="115" t="str">
        <f t="shared" si="120"/>
        <v/>
      </c>
      <c r="H451" s="116">
        <f>IF($D451="",0,IFERROR(LOOKUP(2,1/(($D$3:D450=$D451)*($A$3:A450&lt;$A451)),$N$3:N450),'Guide &amp; Settings'!$C$41))</f>
        <v>0</v>
      </c>
      <c r="I451" s="117">
        <f t="shared" si="121"/>
        <v>0</v>
      </c>
      <c r="J451" s="118">
        <f>IF($D451="",0,IF($F451&lt;2,0,IF($E451="Win",('Guide &amp; Settings'!$C$42/(($F451-1)*COUNTIFS($A$4:$A$810,$A451,$E$4:$E$810,"Win")))*SUMIFS($X$4:$X$810,$A$4:$A$810,$A451,$E$4:$E$810,"Loss"),-('Guide &amp; Settings'!$C$42/($F451-1))*$X451)))</f>
        <v>0</v>
      </c>
      <c r="K451" s="118">
        <f>IF($D451="",0,'Guide &amp; Settings'!$C$43*(IF($E451="Win",1,0)-$I451))</f>
        <v>0</v>
      </c>
      <c r="L451" s="119">
        <f>IF($D451="",0,'Guide &amp; Settings'!$C$44*IF($F451&gt;=3,$F451,0))</f>
        <v>0</v>
      </c>
      <c r="M451" s="118">
        <f t="shared" si="122"/>
        <v>0</v>
      </c>
      <c r="N451" s="116">
        <f t="shared" si="123"/>
        <v>0</v>
      </c>
      <c r="O451" s="115" t="str">
        <f t="shared" si="124"/>
        <v/>
      </c>
      <c r="P451">
        <f t="shared" si="125"/>
        <v>0</v>
      </c>
      <c r="Q451">
        <f t="shared" si="126"/>
        <v>0</v>
      </c>
      <c r="R451">
        <f t="shared" si="127"/>
        <v>0</v>
      </c>
      <c r="S451">
        <f t="shared" si="128"/>
        <v>0</v>
      </c>
      <c r="T451" s="83">
        <f t="shared" si="129"/>
        <v>0</v>
      </c>
      <c r="U451" s="120">
        <f>IF($D451="",0,IFERROR(LOOKUP(2,1/(($D$3:D450=$D451)*($C$3:C450=$C451)*($A$3:A450&lt;$A451)),$AB$3:AB450),1000))</f>
        <v>0</v>
      </c>
      <c r="V451" s="120">
        <f t="shared" si="130"/>
        <v>0</v>
      </c>
      <c r="W451">
        <f t="shared" si="131"/>
        <v>0</v>
      </c>
      <c r="X451">
        <f t="shared" si="132"/>
        <v>0</v>
      </c>
      <c r="Y451">
        <f t="shared" si="133"/>
        <v>0</v>
      </c>
      <c r="Z451">
        <f t="shared" si="134"/>
        <v>0</v>
      </c>
      <c r="AA451">
        <f>IF($D451="",0,IF($F451&lt;2,0,IF($E451="Win",('Guide &amp; Settings'!$C$42/(($F451-1)*COUNTIFS($A$4:$A$810,$A451,$E$4:$E$810,"Win")))*SUMIFS($Z$4:$Z$810,$A$4:$A$810,$A451,$E$4:$E$810,"Loss"),-('Guide &amp; Settings'!$C$42/($F451-1))*$Z451)))</f>
        <v>0</v>
      </c>
      <c r="AB451" s="120">
        <f t="shared" si="135"/>
        <v>0</v>
      </c>
      <c r="AC451" s="120" t="str">
        <f>IF($D451="","",IF(SUMPRODUCT(MAX(($D$4:$D$810=$D451)*($B$4:$B$810&lt;$B451)*$B$4:$B$810))=0,0,MAX(($B451-MAX(SUMPRODUCT(MAX(($D$4:$D$810=$D451)*($B$4:$B$810&lt;$B451)*$B$4:$B$810)),'Guide &amp; Settings'!$C$50))/7-'Guide &amp; Settings'!$C$48,0)*'Guide &amp; Settings'!$C$49))</f>
        <v/>
      </c>
    </row>
    <row r="452" spans="1:29" x14ac:dyDescent="0.2">
      <c r="A452" s="111"/>
      <c r="B452" s="112"/>
      <c r="C452" s="113"/>
      <c r="D452" s="113"/>
      <c r="E452" s="111"/>
      <c r="F452" s="114">
        <f t="shared" si="119"/>
        <v>0</v>
      </c>
      <c r="G452" s="115" t="str">
        <f t="shared" si="120"/>
        <v/>
      </c>
      <c r="H452" s="116">
        <f>IF($D452="",0,IFERROR(LOOKUP(2,1/(($D$3:D451=$D452)*($A$3:A451&lt;$A452)),$N$3:N451),'Guide &amp; Settings'!$C$41))</f>
        <v>0</v>
      </c>
      <c r="I452" s="117">
        <f t="shared" si="121"/>
        <v>0</v>
      </c>
      <c r="J452" s="118">
        <f>IF($D452="",0,IF($F452&lt;2,0,IF($E452="Win",('Guide &amp; Settings'!$C$42/(($F452-1)*COUNTIFS($A$4:$A$810,$A452,$E$4:$E$810,"Win")))*SUMIFS($X$4:$X$810,$A$4:$A$810,$A452,$E$4:$E$810,"Loss"),-('Guide &amp; Settings'!$C$42/($F452-1))*$X452)))</f>
        <v>0</v>
      </c>
      <c r="K452" s="118">
        <f>IF($D452="",0,'Guide &amp; Settings'!$C$43*(IF($E452="Win",1,0)-$I452))</f>
        <v>0</v>
      </c>
      <c r="L452" s="119">
        <f>IF($D452="",0,'Guide &amp; Settings'!$C$44*IF($F452&gt;=3,$F452,0))</f>
        <v>0</v>
      </c>
      <c r="M452" s="118">
        <f t="shared" si="122"/>
        <v>0</v>
      </c>
      <c r="N452" s="116">
        <f t="shared" si="123"/>
        <v>0</v>
      </c>
      <c r="O452" s="115" t="str">
        <f t="shared" si="124"/>
        <v/>
      </c>
      <c r="P452">
        <f t="shared" si="125"/>
        <v>0</v>
      </c>
      <c r="Q452">
        <f t="shared" si="126"/>
        <v>0</v>
      </c>
      <c r="R452">
        <f t="shared" si="127"/>
        <v>0</v>
      </c>
      <c r="S452">
        <f t="shared" si="128"/>
        <v>0</v>
      </c>
      <c r="T452" s="83">
        <f t="shared" si="129"/>
        <v>0</v>
      </c>
      <c r="U452" s="120">
        <f>IF($D452="",0,IFERROR(LOOKUP(2,1/(($D$3:D451=$D452)*($C$3:C451=$C452)*($A$3:A451&lt;$A452)),$AB$3:AB451),1000))</f>
        <v>0</v>
      </c>
      <c r="V452" s="120">
        <f t="shared" si="130"/>
        <v>0</v>
      </c>
      <c r="W452">
        <f t="shared" si="131"/>
        <v>0</v>
      </c>
      <c r="X452">
        <f t="shared" si="132"/>
        <v>0</v>
      </c>
      <c r="Y452">
        <f t="shared" si="133"/>
        <v>0</v>
      </c>
      <c r="Z452">
        <f t="shared" si="134"/>
        <v>0</v>
      </c>
      <c r="AA452">
        <f>IF($D452="",0,IF($F452&lt;2,0,IF($E452="Win",('Guide &amp; Settings'!$C$42/(($F452-1)*COUNTIFS($A$4:$A$810,$A452,$E$4:$E$810,"Win")))*SUMIFS($Z$4:$Z$810,$A$4:$A$810,$A452,$E$4:$E$810,"Loss"),-('Guide &amp; Settings'!$C$42/($F452-1))*$Z452)))</f>
        <v>0</v>
      </c>
      <c r="AB452" s="120">
        <f t="shared" si="135"/>
        <v>0</v>
      </c>
      <c r="AC452" s="120" t="str">
        <f>IF($D452="","",IF(SUMPRODUCT(MAX(($D$4:$D$810=$D452)*($B$4:$B$810&lt;$B452)*$B$4:$B$810))=0,0,MAX(($B452-MAX(SUMPRODUCT(MAX(($D$4:$D$810=$D452)*($B$4:$B$810&lt;$B452)*$B$4:$B$810)),'Guide &amp; Settings'!$C$50))/7-'Guide &amp; Settings'!$C$48,0)*'Guide &amp; Settings'!$C$49))</f>
        <v/>
      </c>
    </row>
    <row r="453" spans="1:29" x14ac:dyDescent="0.2">
      <c r="A453" s="111"/>
      <c r="B453" s="112"/>
      <c r="C453" s="113"/>
      <c r="D453" s="113"/>
      <c r="E453" s="111"/>
      <c r="F453" s="114">
        <f t="shared" si="119"/>
        <v>0</v>
      </c>
      <c r="G453" s="115" t="str">
        <f t="shared" si="120"/>
        <v/>
      </c>
      <c r="H453" s="116">
        <f>IF($D453="",0,IFERROR(LOOKUP(2,1/(($D$3:D452=$D453)*($A$3:A452&lt;$A453)),$N$3:N452),'Guide &amp; Settings'!$C$41))</f>
        <v>0</v>
      </c>
      <c r="I453" s="117">
        <f t="shared" si="121"/>
        <v>0</v>
      </c>
      <c r="J453" s="118">
        <f>IF($D453="",0,IF($F453&lt;2,0,IF($E453="Win",('Guide &amp; Settings'!$C$42/(($F453-1)*COUNTIFS($A$4:$A$810,$A453,$E$4:$E$810,"Win")))*SUMIFS($X$4:$X$810,$A$4:$A$810,$A453,$E$4:$E$810,"Loss"),-('Guide &amp; Settings'!$C$42/($F453-1))*$X453)))</f>
        <v>0</v>
      </c>
      <c r="K453" s="118">
        <f>IF($D453="",0,'Guide &amp; Settings'!$C$43*(IF($E453="Win",1,0)-$I453))</f>
        <v>0</v>
      </c>
      <c r="L453" s="119">
        <f>IF($D453="",0,'Guide &amp; Settings'!$C$44*IF($F453&gt;=3,$F453,0))</f>
        <v>0</v>
      </c>
      <c r="M453" s="118">
        <f t="shared" si="122"/>
        <v>0</v>
      </c>
      <c r="N453" s="116">
        <f t="shared" si="123"/>
        <v>0</v>
      </c>
      <c r="O453" s="115" t="str">
        <f t="shared" si="124"/>
        <v/>
      </c>
      <c r="P453">
        <f t="shared" si="125"/>
        <v>0</v>
      </c>
      <c r="Q453">
        <f t="shared" si="126"/>
        <v>0</v>
      </c>
      <c r="R453">
        <f t="shared" si="127"/>
        <v>0</v>
      </c>
      <c r="S453">
        <f t="shared" si="128"/>
        <v>0</v>
      </c>
      <c r="T453" s="83">
        <f t="shared" si="129"/>
        <v>0</v>
      </c>
      <c r="U453" s="120">
        <f>IF($D453="",0,IFERROR(LOOKUP(2,1/(($D$3:D452=$D453)*($C$3:C452=$C453)*($A$3:A452&lt;$A453)),$AB$3:AB452),1000))</f>
        <v>0</v>
      </c>
      <c r="V453" s="120">
        <f t="shared" si="130"/>
        <v>0</v>
      </c>
      <c r="W453">
        <f t="shared" si="131"/>
        <v>0</v>
      </c>
      <c r="X453">
        <f t="shared" si="132"/>
        <v>0</v>
      </c>
      <c r="Y453">
        <f t="shared" si="133"/>
        <v>0</v>
      </c>
      <c r="Z453">
        <f t="shared" si="134"/>
        <v>0</v>
      </c>
      <c r="AA453">
        <f>IF($D453="",0,IF($F453&lt;2,0,IF($E453="Win",('Guide &amp; Settings'!$C$42/(($F453-1)*COUNTIFS($A$4:$A$810,$A453,$E$4:$E$810,"Win")))*SUMIFS($Z$4:$Z$810,$A$4:$A$810,$A453,$E$4:$E$810,"Loss"),-('Guide &amp; Settings'!$C$42/($F453-1))*$Z453)))</f>
        <v>0</v>
      </c>
      <c r="AB453" s="120">
        <f t="shared" si="135"/>
        <v>0</v>
      </c>
      <c r="AC453" s="120" t="str">
        <f>IF($D453="","",IF(SUMPRODUCT(MAX(($D$4:$D$810=$D453)*($B$4:$B$810&lt;$B453)*$B$4:$B$810))=0,0,MAX(($B453-MAX(SUMPRODUCT(MAX(($D$4:$D$810=$D453)*($B$4:$B$810&lt;$B453)*$B$4:$B$810)),'Guide &amp; Settings'!$C$50))/7-'Guide &amp; Settings'!$C$48,0)*'Guide &amp; Settings'!$C$49))</f>
        <v/>
      </c>
    </row>
    <row r="454" spans="1:29" x14ac:dyDescent="0.2">
      <c r="A454" s="111"/>
      <c r="B454" s="112"/>
      <c r="C454" s="113"/>
      <c r="D454" s="113"/>
      <c r="E454" s="111"/>
      <c r="F454" s="114">
        <f t="shared" si="119"/>
        <v>0</v>
      </c>
      <c r="G454" s="115" t="str">
        <f t="shared" si="120"/>
        <v/>
      </c>
      <c r="H454" s="116">
        <f>IF($D454="",0,IFERROR(LOOKUP(2,1/(($D$3:D453=$D454)*($A$3:A453&lt;$A454)),$N$3:N453),'Guide &amp; Settings'!$C$41))</f>
        <v>0</v>
      </c>
      <c r="I454" s="117">
        <f t="shared" si="121"/>
        <v>0</v>
      </c>
      <c r="J454" s="118">
        <f>IF($D454="",0,IF($F454&lt;2,0,IF($E454="Win",('Guide &amp; Settings'!$C$42/(($F454-1)*COUNTIFS($A$4:$A$810,$A454,$E$4:$E$810,"Win")))*SUMIFS($X$4:$X$810,$A$4:$A$810,$A454,$E$4:$E$810,"Loss"),-('Guide &amp; Settings'!$C$42/($F454-1))*$X454)))</f>
        <v>0</v>
      </c>
      <c r="K454" s="118">
        <f>IF($D454="",0,'Guide &amp; Settings'!$C$43*(IF($E454="Win",1,0)-$I454))</f>
        <v>0</v>
      </c>
      <c r="L454" s="119">
        <f>IF($D454="",0,'Guide &amp; Settings'!$C$44*IF($F454&gt;=3,$F454,0))</f>
        <v>0</v>
      </c>
      <c r="M454" s="118">
        <f t="shared" si="122"/>
        <v>0</v>
      </c>
      <c r="N454" s="116">
        <f t="shared" si="123"/>
        <v>0</v>
      </c>
      <c r="O454" s="115" t="str">
        <f t="shared" si="124"/>
        <v/>
      </c>
      <c r="P454">
        <f t="shared" si="125"/>
        <v>0</v>
      </c>
      <c r="Q454">
        <f t="shared" si="126"/>
        <v>0</v>
      </c>
      <c r="R454">
        <f t="shared" si="127"/>
        <v>0</v>
      </c>
      <c r="S454">
        <f t="shared" si="128"/>
        <v>0</v>
      </c>
      <c r="T454" s="83">
        <f t="shared" si="129"/>
        <v>0</v>
      </c>
      <c r="U454" s="120">
        <f>IF($D454="",0,IFERROR(LOOKUP(2,1/(($D$3:D453=$D454)*($C$3:C453=$C454)*($A$3:A453&lt;$A454)),$AB$3:AB453),1000))</f>
        <v>0</v>
      </c>
      <c r="V454" s="120">
        <f t="shared" si="130"/>
        <v>0</v>
      </c>
      <c r="W454">
        <f t="shared" si="131"/>
        <v>0</v>
      </c>
      <c r="X454">
        <f t="shared" si="132"/>
        <v>0</v>
      </c>
      <c r="Y454">
        <f t="shared" si="133"/>
        <v>0</v>
      </c>
      <c r="Z454">
        <f t="shared" si="134"/>
        <v>0</v>
      </c>
      <c r="AA454">
        <f>IF($D454="",0,IF($F454&lt;2,0,IF($E454="Win",('Guide &amp; Settings'!$C$42/(($F454-1)*COUNTIFS($A$4:$A$810,$A454,$E$4:$E$810,"Win")))*SUMIFS($Z$4:$Z$810,$A$4:$A$810,$A454,$E$4:$E$810,"Loss"),-('Guide &amp; Settings'!$C$42/($F454-1))*$Z454)))</f>
        <v>0</v>
      </c>
      <c r="AB454" s="120">
        <f t="shared" si="135"/>
        <v>0</v>
      </c>
      <c r="AC454" s="120" t="str">
        <f>IF($D454="","",IF(SUMPRODUCT(MAX(($D$4:$D$810=$D454)*($B$4:$B$810&lt;$B454)*$B$4:$B$810))=0,0,MAX(($B454-MAX(SUMPRODUCT(MAX(($D$4:$D$810=$D454)*($B$4:$B$810&lt;$B454)*$B$4:$B$810)),'Guide &amp; Settings'!$C$50))/7-'Guide &amp; Settings'!$C$48,0)*'Guide &amp; Settings'!$C$49))</f>
        <v/>
      </c>
    </row>
    <row r="455" spans="1:29" x14ac:dyDescent="0.2">
      <c r="A455" s="111"/>
      <c r="B455" s="112"/>
      <c r="C455" s="113"/>
      <c r="D455" s="113"/>
      <c r="E455" s="111"/>
      <c r="F455" s="114">
        <f t="shared" si="119"/>
        <v>0</v>
      </c>
      <c r="G455" s="115" t="str">
        <f t="shared" si="120"/>
        <v/>
      </c>
      <c r="H455" s="116">
        <f>IF($D455="",0,IFERROR(LOOKUP(2,1/(($D$3:D454=$D455)*($A$3:A454&lt;$A455)),$N$3:N454),'Guide &amp; Settings'!$C$41))</f>
        <v>0</v>
      </c>
      <c r="I455" s="117">
        <f t="shared" si="121"/>
        <v>0</v>
      </c>
      <c r="J455" s="118">
        <f>IF($D455="",0,IF($F455&lt;2,0,IF($E455="Win",('Guide &amp; Settings'!$C$42/(($F455-1)*COUNTIFS($A$4:$A$810,$A455,$E$4:$E$810,"Win")))*SUMIFS($X$4:$X$810,$A$4:$A$810,$A455,$E$4:$E$810,"Loss"),-('Guide &amp; Settings'!$C$42/($F455-1))*$X455)))</f>
        <v>0</v>
      </c>
      <c r="K455" s="118">
        <f>IF($D455="",0,'Guide &amp; Settings'!$C$43*(IF($E455="Win",1,0)-$I455))</f>
        <v>0</v>
      </c>
      <c r="L455" s="119">
        <f>IF($D455="",0,'Guide &amp; Settings'!$C$44*IF($F455&gt;=3,$F455,0))</f>
        <v>0</v>
      </c>
      <c r="M455" s="118">
        <f t="shared" si="122"/>
        <v>0</v>
      </c>
      <c r="N455" s="116">
        <f t="shared" si="123"/>
        <v>0</v>
      </c>
      <c r="O455" s="115" t="str">
        <f t="shared" si="124"/>
        <v/>
      </c>
      <c r="P455">
        <f t="shared" si="125"/>
        <v>0</v>
      </c>
      <c r="Q455">
        <f t="shared" si="126"/>
        <v>0</v>
      </c>
      <c r="R455">
        <f t="shared" si="127"/>
        <v>0</v>
      </c>
      <c r="S455">
        <f t="shared" si="128"/>
        <v>0</v>
      </c>
      <c r="T455" s="83">
        <f t="shared" si="129"/>
        <v>0</v>
      </c>
      <c r="U455" s="120">
        <f>IF($D455="",0,IFERROR(LOOKUP(2,1/(($D$3:D454=$D455)*($C$3:C454=$C455)*($A$3:A454&lt;$A455)),$AB$3:AB454),1000))</f>
        <v>0</v>
      </c>
      <c r="V455" s="120">
        <f t="shared" si="130"/>
        <v>0</v>
      </c>
      <c r="W455">
        <f t="shared" si="131"/>
        <v>0</v>
      </c>
      <c r="X455">
        <f t="shared" si="132"/>
        <v>0</v>
      </c>
      <c r="Y455">
        <f t="shared" si="133"/>
        <v>0</v>
      </c>
      <c r="Z455">
        <f t="shared" si="134"/>
        <v>0</v>
      </c>
      <c r="AA455">
        <f>IF($D455="",0,IF($F455&lt;2,0,IF($E455="Win",('Guide &amp; Settings'!$C$42/(($F455-1)*COUNTIFS($A$4:$A$810,$A455,$E$4:$E$810,"Win")))*SUMIFS($Z$4:$Z$810,$A$4:$A$810,$A455,$E$4:$E$810,"Loss"),-('Guide &amp; Settings'!$C$42/($F455-1))*$Z455)))</f>
        <v>0</v>
      </c>
      <c r="AB455" s="120">
        <f t="shared" si="135"/>
        <v>0</v>
      </c>
      <c r="AC455" s="120" t="str">
        <f>IF($D455="","",IF(SUMPRODUCT(MAX(($D$4:$D$810=$D455)*($B$4:$B$810&lt;$B455)*$B$4:$B$810))=0,0,MAX(($B455-MAX(SUMPRODUCT(MAX(($D$4:$D$810=$D455)*($B$4:$B$810&lt;$B455)*$B$4:$B$810)),'Guide &amp; Settings'!$C$50))/7-'Guide &amp; Settings'!$C$48,0)*'Guide &amp; Settings'!$C$49))</f>
        <v/>
      </c>
    </row>
    <row r="456" spans="1:29" x14ac:dyDescent="0.2">
      <c r="A456" s="111"/>
      <c r="B456" s="112"/>
      <c r="C456" s="113"/>
      <c r="D456" s="113"/>
      <c r="E456" s="111"/>
      <c r="F456" s="114">
        <f t="shared" si="119"/>
        <v>0</v>
      </c>
      <c r="G456" s="115" t="str">
        <f t="shared" si="120"/>
        <v/>
      </c>
      <c r="H456" s="116">
        <f>IF($D456="",0,IFERROR(LOOKUP(2,1/(($D$3:D455=$D456)*($A$3:A455&lt;$A456)),$N$3:N455),'Guide &amp; Settings'!$C$41))</f>
        <v>0</v>
      </c>
      <c r="I456" s="117">
        <f t="shared" si="121"/>
        <v>0</v>
      </c>
      <c r="J456" s="118">
        <f>IF($D456="",0,IF($F456&lt;2,0,IF($E456="Win",('Guide &amp; Settings'!$C$42/(($F456-1)*COUNTIFS($A$4:$A$810,$A456,$E$4:$E$810,"Win")))*SUMIFS($X$4:$X$810,$A$4:$A$810,$A456,$E$4:$E$810,"Loss"),-('Guide &amp; Settings'!$C$42/($F456-1))*$X456)))</f>
        <v>0</v>
      </c>
      <c r="K456" s="118">
        <f>IF($D456="",0,'Guide &amp; Settings'!$C$43*(IF($E456="Win",1,0)-$I456))</f>
        <v>0</v>
      </c>
      <c r="L456" s="119">
        <f>IF($D456="",0,'Guide &amp; Settings'!$C$44*IF($F456&gt;=3,$F456,0))</f>
        <v>0</v>
      </c>
      <c r="M456" s="118">
        <f t="shared" si="122"/>
        <v>0</v>
      </c>
      <c r="N456" s="116">
        <f t="shared" si="123"/>
        <v>0</v>
      </c>
      <c r="O456" s="115" t="str">
        <f t="shared" si="124"/>
        <v/>
      </c>
      <c r="P456">
        <f t="shared" si="125"/>
        <v>0</v>
      </c>
      <c r="Q456">
        <f t="shared" si="126"/>
        <v>0</v>
      </c>
      <c r="R456">
        <f t="shared" si="127"/>
        <v>0</v>
      </c>
      <c r="S456">
        <f t="shared" si="128"/>
        <v>0</v>
      </c>
      <c r="T456" s="83">
        <f t="shared" si="129"/>
        <v>0</v>
      </c>
      <c r="U456" s="120">
        <f>IF($D456="",0,IFERROR(LOOKUP(2,1/(($D$3:D455=$D456)*($C$3:C455=$C456)*($A$3:A455&lt;$A456)),$AB$3:AB455),1000))</f>
        <v>0</v>
      </c>
      <c r="V456" s="120">
        <f t="shared" si="130"/>
        <v>0</v>
      </c>
      <c r="W456">
        <f t="shared" si="131"/>
        <v>0</v>
      </c>
      <c r="X456">
        <f t="shared" si="132"/>
        <v>0</v>
      </c>
      <c r="Y456">
        <f t="shared" si="133"/>
        <v>0</v>
      </c>
      <c r="Z456">
        <f t="shared" si="134"/>
        <v>0</v>
      </c>
      <c r="AA456">
        <f>IF($D456="",0,IF($F456&lt;2,0,IF($E456="Win",('Guide &amp; Settings'!$C$42/(($F456-1)*COUNTIFS($A$4:$A$810,$A456,$E$4:$E$810,"Win")))*SUMIFS($Z$4:$Z$810,$A$4:$A$810,$A456,$E$4:$E$810,"Loss"),-('Guide &amp; Settings'!$C$42/($F456-1))*$Z456)))</f>
        <v>0</v>
      </c>
      <c r="AB456" s="120">
        <f t="shared" si="135"/>
        <v>0</v>
      </c>
      <c r="AC456" s="120" t="str">
        <f>IF($D456="","",IF(SUMPRODUCT(MAX(($D$4:$D$810=$D456)*($B$4:$B$810&lt;$B456)*$B$4:$B$810))=0,0,MAX(($B456-MAX(SUMPRODUCT(MAX(($D$4:$D$810=$D456)*($B$4:$B$810&lt;$B456)*$B$4:$B$810)),'Guide &amp; Settings'!$C$50))/7-'Guide &amp; Settings'!$C$48,0)*'Guide &amp; Settings'!$C$49))</f>
        <v/>
      </c>
    </row>
    <row r="457" spans="1:29" x14ac:dyDescent="0.2">
      <c r="A457" s="111"/>
      <c r="B457" s="112"/>
      <c r="C457" s="113"/>
      <c r="D457" s="113"/>
      <c r="E457" s="111"/>
      <c r="F457" s="114">
        <f t="shared" si="119"/>
        <v>0</v>
      </c>
      <c r="G457" s="115" t="str">
        <f t="shared" si="120"/>
        <v/>
      </c>
      <c r="H457" s="116">
        <f>IF($D457="",0,IFERROR(LOOKUP(2,1/(($D$3:D456=$D457)*($A$3:A456&lt;$A457)),$N$3:N456),'Guide &amp; Settings'!$C$41))</f>
        <v>0</v>
      </c>
      <c r="I457" s="117">
        <f t="shared" si="121"/>
        <v>0</v>
      </c>
      <c r="J457" s="118">
        <f>IF($D457="",0,IF($F457&lt;2,0,IF($E457="Win",('Guide &amp; Settings'!$C$42/(($F457-1)*COUNTIFS($A$4:$A$810,$A457,$E$4:$E$810,"Win")))*SUMIFS($X$4:$X$810,$A$4:$A$810,$A457,$E$4:$E$810,"Loss"),-('Guide &amp; Settings'!$C$42/($F457-1))*$X457)))</f>
        <v>0</v>
      </c>
      <c r="K457" s="118">
        <f>IF($D457="",0,'Guide &amp; Settings'!$C$43*(IF($E457="Win",1,0)-$I457))</f>
        <v>0</v>
      </c>
      <c r="L457" s="119">
        <f>IF($D457="",0,'Guide &amp; Settings'!$C$44*IF($F457&gt;=3,$F457,0))</f>
        <v>0</v>
      </c>
      <c r="M457" s="118">
        <f t="shared" si="122"/>
        <v>0</v>
      </c>
      <c r="N457" s="116">
        <f t="shared" si="123"/>
        <v>0</v>
      </c>
      <c r="O457" s="115" t="str">
        <f t="shared" si="124"/>
        <v/>
      </c>
      <c r="P457">
        <f t="shared" si="125"/>
        <v>0</v>
      </c>
      <c r="Q457">
        <f t="shared" si="126"/>
        <v>0</v>
      </c>
      <c r="R457">
        <f t="shared" si="127"/>
        <v>0</v>
      </c>
      <c r="S457">
        <f t="shared" si="128"/>
        <v>0</v>
      </c>
      <c r="T457" s="83">
        <f t="shared" si="129"/>
        <v>0</v>
      </c>
      <c r="U457" s="120">
        <f>IF($D457="",0,IFERROR(LOOKUP(2,1/(($D$3:D456=$D457)*($C$3:C456=$C457)*($A$3:A456&lt;$A457)),$AB$3:AB456),1000))</f>
        <v>0</v>
      </c>
      <c r="V457" s="120">
        <f t="shared" si="130"/>
        <v>0</v>
      </c>
      <c r="W457">
        <f t="shared" si="131"/>
        <v>0</v>
      </c>
      <c r="X457">
        <f t="shared" si="132"/>
        <v>0</v>
      </c>
      <c r="Y457">
        <f t="shared" si="133"/>
        <v>0</v>
      </c>
      <c r="Z457">
        <f t="shared" si="134"/>
        <v>0</v>
      </c>
      <c r="AA457">
        <f>IF($D457="",0,IF($F457&lt;2,0,IF($E457="Win",('Guide &amp; Settings'!$C$42/(($F457-1)*COUNTIFS($A$4:$A$810,$A457,$E$4:$E$810,"Win")))*SUMIFS($Z$4:$Z$810,$A$4:$A$810,$A457,$E$4:$E$810,"Loss"),-('Guide &amp; Settings'!$C$42/($F457-1))*$Z457)))</f>
        <v>0</v>
      </c>
      <c r="AB457" s="120">
        <f t="shared" si="135"/>
        <v>0</v>
      </c>
      <c r="AC457" s="120" t="str">
        <f>IF($D457="","",IF(SUMPRODUCT(MAX(($D$4:$D$810=$D457)*($B$4:$B$810&lt;$B457)*$B$4:$B$810))=0,0,MAX(($B457-MAX(SUMPRODUCT(MAX(($D$4:$D$810=$D457)*($B$4:$B$810&lt;$B457)*$B$4:$B$810)),'Guide &amp; Settings'!$C$50))/7-'Guide &amp; Settings'!$C$48,0)*'Guide &amp; Settings'!$C$49))</f>
        <v/>
      </c>
    </row>
    <row r="458" spans="1:29" x14ac:dyDescent="0.2">
      <c r="A458" s="111"/>
      <c r="B458" s="112"/>
      <c r="C458" s="113"/>
      <c r="D458" s="113"/>
      <c r="E458" s="111"/>
      <c r="F458" s="114">
        <f t="shared" si="119"/>
        <v>0</v>
      </c>
      <c r="G458" s="115" t="str">
        <f t="shared" si="120"/>
        <v/>
      </c>
      <c r="H458" s="116">
        <f>IF($D458="",0,IFERROR(LOOKUP(2,1/(($D$3:D457=$D458)*($A$3:A457&lt;$A458)),$N$3:N457),'Guide &amp; Settings'!$C$41))</f>
        <v>0</v>
      </c>
      <c r="I458" s="117">
        <f t="shared" si="121"/>
        <v>0</v>
      </c>
      <c r="J458" s="118">
        <f>IF($D458="",0,IF($F458&lt;2,0,IF($E458="Win",('Guide &amp; Settings'!$C$42/(($F458-1)*COUNTIFS($A$4:$A$810,$A458,$E$4:$E$810,"Win")))*SUMIFS($X$4:$X$810,$A$4:$A$810,$A458,$E$4:$E$810,"Loss"),-('Guide &amp; Settings'!$C$42/($F458-1))*$X458)))</f>
        <v>0</v>
      </c>
      <c r="K458" s="118">
        <f>IF($D458="",0,'Guide &amp; Settings'!$C$43*(IF($E458="Win",1,0)-$I458))</f>
        <v>0</v>
      </c>
      <c r="L458" s="119">
        <f>IF($D458="",0,'Guide &amp; Settings'!$C$44*IF($F458&gt;=3,$F458,0))</f>
        <v>0</v>
      </c>
      <c r="M458" s="118">
        <f t="shared" si="122"/>
        <v>0</v>
      </c>
      <c r="N458" s="116">
        <f t="shared" si="123"/>
        <v>0</v>
      </c>
      <c r="O458" s="115" t="str">
        <f t="shared" si="124"/>
        <v/>
      </c>
      <c r="P458">
        <f t="shared" si="125"/>
        <v>0</v>
      </c>
      <c r="Q458">
        <f t="shared" si="126"/>
        <v>0</v>
      </c>
      <c r="R458">
        <f t="shared" si="127"/>
        <v>0</v>
      </c>
      <c r="S458">
        <f t="shared" si="128"/>
        <v>0</v>
      </c>
      <c r="T458" s="83">
        <f t="shared" si="129"/>
        <v>0</v>
      </c>
      <c r="U458" s="120">
        <f>IF($D458="",0,IFERROR(LOOKUP(2,1/(($D$3:D457=$D458)*($C$3:C457=$C458)*($A$3:A457&lt;$A458)),$AB$3:AB457),1000))</f>
        <v>0</v>
      </c>
      <c r="V458" s="120">
        <f t="shared" si="130"/>
        <v>0</v>
      </c>
      <c r="W458">
        <f t="shared" si="131"/>
        <v>0</v>
      </c>
      <c r="X458">
        <f t="shared" si="132"/>
        <v>0</v>
      </c>
      <c r="Y458">
        <f t="shared" si="133"/>
        <v>0</v>
      </c>
      <c r="Z458">
        <f t="shared" si="134"/>
        <v>0</v>
      </c>
      <c r="AA458">
        <f>IF($D458="",0,IF($F458&lt;2,0,IF($E458="Win",('Guide &amp; Settings'!$C$42/(($F458-1)*COUNTIFS($A$4:$A$810,$A458,$E$4:$E$810,"Win")))*SUMIFS($Z$4:$Z$810,$A$4:$A$810,$A458,$E$4:$E$810,"Loss"),-('Guide &amp; Settings'!$C$42/($F458-1))*$Z458)))</f>
        <v>0</v>
      </c>
      <c r="AB458" s="120">
        <f t="shared" si="135"/>
        <v>0</v>
      </c>
      <c r="AC458" s="120" t="str">
        <f>IF($D458="","",IF(SUMPRODUCT(MAX(($D$4:$D$810=$D458)*($B$4:$B$810&lt;$B458)*$B$4:$B$810))=0,0,MAX(($B458-MAX(SUMPRODUCT(MAX(($D$4:$D$810=$D458)*($B$4:$B$810&lt;$B458)*$B$4:$B$810)),'Guide &amp; Settings'!$C$50))/7-'Guide &amp; Settings'!$C$48,0)*'Guide &amp; Settings'!$C$49))</f>
        <v/>
      </c>
    </row>
    <row r="459" spans="1:29" x14ac:dyDescent="0.2">
      <c r="A459" s="111"/>
      <c r="B459" s="112"/>
      <c r="C459" s="113"/>
      <c r="D459" s="113"/>
      <c r="E459" s="111"/>
      <c r="F459" s="114">
        <f t="shared" si="119"/>
        <v>0</v>
      </c>
      <c r="G459" s="115" t="str">
        <f t="shared" si="120"/>
        <v/>
      </c>
      <c r="H459" s="116">
        <f>IF($D459="",0,IFERROR(LOOKUP(2,1/(($D$3:D458=$D459)*($A$3:A458&lt;$A459)),$N$3:N458),'Guide &amp; Settings'!$C$41))</f>
        <v>0</v>
      </c>
      <c r="I459" s="117">
        <f t="shared" si="121"/>
        <v>0</v>
      </c>
      <c r="J459" s="118">
        <f>IF($D459="",0,IF($F459&lt;2,0,IF($E459="Win",('Guide &amp; Settings'!$C$42/(($F459-1)*COUNTIFS($A$4:$A$810,$A459,$E$4:$E$810,"Win")))*SUMIFS($X$4:$X$810,$A$4:$A$810,$A459,$E$4:$E$810,"Loss"),-('Guide &amp; Settings'!$C$42/($F459-1))*$X459)))</f>
        <v>0</v>
      </c>
      <c r="K459" s="118">
        <f>IF($D459="",0,'Guide &amp; Settings'!$C$43*(IF($E459="Win",1,0)-$I459))</f>
        <v>0</v>
      </c>
      <c r="L459" s="119">
        <f>IF($D459="",0,'Guide &amp; Settings'!$C$44*IF($F459&gt;=3,$F459,0))</f>
        <v>0</v>
      </c>
      <c r="M459" s="118">
        <f t="shared" si="122"/>
        <v>0</v>
      </c>
      <c r="N459" s="116">
        <f t="shared" si="123"/>
        <v>0</v>
      </c>
      <c r="O459" s="115" t="str">
        <f t="shared" si="124"/>
        <v/>
      </c>
      <c r="P459">
        <f t="shared" si="125"/>
        <v>0</v>
      </c>
      <c r="Q459">
        <f t="shared" si="126"/>
        <v>0</v>
      </c>
      <c r="R459">
        <f t="shared" si="127"/>
        <v>0</v>
      </c>
      <c r="S459">
        <f t="shared" si="128"/>
        <v>0</v>
      </c>
      <c r="T459" s="83">
        <f t="shared" si="129"/>
        <v>0</v>
      </c>
      <c r="U459" s="120">
        <f>IF($D459="",0,IFERROR(LOOKUP(2,1/(($D$3:D458=$D459)*($C$3:C458=$C459)*($A$3:A458&lt;$A459)),$AB$3:AB458),1000))</f>
        <v>0</v>
      </c>
      <c r="V459" s="120">
        <f t="shared" si="130"/>
        <v>0</v>
      </c>
      <c r="W459">
        <f t="shared" si="131"/>
        <v>0</v>
      </c>
      <c r="X459">
        <f t="shared" si="132"/>
        <v>0</v>
      </c>
      <c r="Y459">
        <f t="shared" si="133"/>
        <v>0</v>
      </c>
      <c r="Z459">
        <f t="shared" si="134"/>
        <v>0</v>
      </c>
      <c r="AA459">
        <f>IF($D459="",0,IF($F459&lt;2,0,IF($E459="Win",('Guide &amp; Settings'!$C$42/(($F459-1)*COUNTIFS($A$4:$A$810,$A459,$E$4:$E$810,"Win")))*SUMIFS($Z$4:$Z$810,$A$4:$A$810,$A459,$E$4:$E$810,"Loss"),-('Guide &amp; Settings'!$C$42/($F459-1))*$Z459)))</f>
        <v>0</v>
      </c>
      <c r="AB459" s="120">
        <f t="shared" si="135"/>
        <v>0</v>
      </c>
      <c r="AC459" s="120" t="str">
        <f>IF($D459="","",IF(SUMPRODUCT(MAX(($D$4:$D$810=$D459)*($B$4:$B$810&lt;$B459)*$B$4:$B$810))=0,0,MAX(($B459-MAX(SUMPRODUCT(MAX(($D$4:$D$810=$D459)*($B$4:$B$810&lt;$B459)*$B$4:$B$810)),'Guide &amp; Settings'!$C$50))/7-'Guide &amp; Settings'!$C$48,0)*'Guide &amp; Settings'!$C$49))</f>
        <v/>
      </c>
    </row>
    <row r="460" spans="1:29" x14ac:dyDescent="0.2">
      <c r="A460" s="111"/>
      <c r="B460" s="112"/>
      <c r="C460" s="113"/>
      <c r="D460" s="113"/>
      <c r="E460" s="111"/>
      <c r="F460" s="114">
        <f t="shared" si="119"/>
        <v>0</v>
      </c>
      <c r="G460" s="115" t="str">
        <f t="shared" si="120"/>
        <v/>
      </c>
      <c r="H460" s="116">
        <f>IF($D460="",0,IFERROR(LOOKUP(2,1/(($D$3:D459=$D460)*($A$3:A459&lt;$A460)),$N$3:N459),'Guide &amp; Settings'!$C$41))</f>
        <v>0</v>
      </c>
      <c r="I460" s="117">
        <f t="shared" si="121"/>
        <v>0</v>
      </c>
      <c r="J460" s="118">
        <f>IF($D460="",0,IF($F460&lt;2,0,IF($E460="Win",('Guide &amp; Settings'!$C$42/(($F460-1)*COUNTIFS($A$4:$A$810,$A460,$E$4:$E$810,"Win")))*SUMIFS($X$4:$X$810,$A$4:$A$810,$A460,$E$4:$E$810,"Loss"),-('Guide &amp; Settings'!$C$42/($F460-1))*$X460)))</f>
        <v>0</v>
      </c>
      <c r="K460" s="118">
        <f>IF($D460="",0,'Guide &amp; Settings'!$C$43*(IF($E460="Win",1,0)-$I460))</f>
        <v>0</v>
      </c>
      <c r="L460" s="119">
        <f>IF($D460="",0,'Guide &amp; Settings'!$C$44*IF($F460&gt;=3,$F460,0))</f>
        <v>0</v>
      </c>
      <c r="M460" s="118">
        <f t="shared" si="122"/>
        <v>0</v>
      </c>
      <c r="N460" s="116">
        <f t="shared" si="123"/>
        <v>0</v>
      </c>
      <c r="O460" s="115" t="str">
        <f t="shared" si="124"/>
        <v/>
      </c>
      <c r="P460">
        <f t="shared" si="125"/>
        <v>0</v>
      </c>
      <c r="Q460">
        <f t="shared" si="126"/>
        <v>0</v>
      </c>
      <c r="R460">
        <f t="shared" si="127"/>
        <v>0</v>
      </c>
      <c r="S460">
        <f t="shared" si="128"/>
        <v>0</v>
      </c>
      <c r="T460" s="83">
        <f t="shared" si="129"/>
        <v>0</v>
      </c>
      <c r="U460" s="120">
        <f>IF($D460="",0,IFERROR(LOOKUP(2,1/(($D$3:D459=$D460)*($C$3:C459=$C460)*($A$3:A459&lt;$A460)),$AB$3:AB459),1000))</f>
        <v>0</v>
      </c>
      <c r="V460" s="120">
        <f t="shared" si="130"/>
        <v>0</v>
      </c>
      <c r="W460">
        <f t="shared" si="131"/>
        <v>0</v>
      </c>
      <c r="X460">
        <f t="shared" si="132"/>
        <v>0</v>
      </c>
      <c r="Y460">
        <f t="shared" si="133"/>
        <v>0</v>
      </c>
      <c r="Z460">
        <f t="shared" si="134"/>
        <v>0</v>
      </c>
      <c r="AA460">
        <f>IF($D460="",0,IF($F460&lt;2,0,IF($E460="Win",('Guide &amp; Settings'!$C$42/(($F460-1)*COUNTIFS($A$4:$A$810,$A460,$E$4:$E$810,"Win")))*SUMIFS($Z$4:$Z$810,$A$4:$A$810,$A460,$E$4:$E$810,"Loss"),-('Guide &amp; Settings'!$C$42/($F460-1))*$Z460)))</f>
        <v>0</v>
      </c>
      <c r="AB460" s="120">
        <f t="shared" si="135"/>
        <v>0</v>
      </c>
      <c r="AC460" s="120" t="str">
        <f>IF($D460="","",IF(SUMPRODUCT(MAX(($D$4:$D$810=$D460)*($B$4:$B$810&lt;$B460)*$B$4:$B$810))=0,0,MAX(($B460-MAX(SUMPRODUCT(MAX(($D$4:$D$810=$D460)*($B$4:$B$810&lt;$B460)*$B$4:$B$810)),'Guide &amp; Settings'!$C$50))/7-'Guide &amp; Settings'!$C$48,0)*'Guide &amp; Settings'!$C$49))</f>
        <v/>
      </c>
    </row>
    <row r="461" spans="1:29" x14ac:dyDescent="0.2">
      <c r="A461" s="111"/>
      <c r="B461" s="112"/>
      <c r="C461" s="113"/>
      <c r="D461" s="113"/>
      <c r="E461" s="111"/>
      <c r="F461" s="114">
        <f t="shared" si="119"/>
        <v>0</v>
      </c>
      <c r="G461" s="115" t="str">
        <f t="shared" si="120"/>
        <v/>
      </c>
      <c r="H461" s="116">
        <f>IF($D461="",0,IFERROR(LOOKUP(2,1/(($D$3:D460=$D461)*($A$3:A460&lt;$A461)),$N$3:N460),'Guide &amp; Settings'!$C$41))</f>
        <v>0</v>
      </c>
      <c r="I461" s="117">
        <f t="shared" si="121"/>
        <v>0</v>
      </c>
      <c r="J461" s="118">
        <f>IF($D461="",0,IF($F461&lt;2,0,IF($E461="Win",('Guide &amp; Settings'!$C$42/(($F461-1)*COUNTIFS($A$4:$A$810,$A461,$E$4:$E$810,"Win")))*SUMIFS($X$4:$X$810,$A$4:$A$810,$A461,$E$4:$E$810,"Loss"),-('Guide &amp; Settings'!$C$42/($F461-1))*$X461)))</f>
        <v>0</v>
      </c>
      <c r="K461" s="118">
        <f>IF($D461="",0,'Guide &amp; Settings'!$C$43*(IF($E461="Win",1,0)-$I461))</f>
        <v>0</v>
      </c>
      <c r="L461" s="119">
        <f>IF($D461="",0,'Guide &amp; Settings'!$C$44*IF($F461&gt;=3,$F461,0))</f>
        <v>0</v>
      </c>
      <c r="M461" s="118">
        <f t="shared" si="122"/>
        <v>0</v>
      </c>
      <c r="N461" s="116">
        <f t="shared" si="123"/>
        <v>0</v>
      </c>
      <c r="O461" s="115" t="str">
        <f t="shared" si="124"/>
        <v/>
      </c>
      <c r="P461">
        <f t="shared" si="125"/>
        <v>0</v>
      </c>
      <c r="Q461">
        <f t="shared" si="126"/>
        <v>0</v>
      </c>
      <c r="R461">
        <f t="shared" si="127"/>
        <v>0</v>
      </c>
      <c r="S461">
        <f t="shared" si="128"/>
        <v>0</v>
      </c>
      <c r="T461" s="83">
        <f t="shared" si="129"/>
        <v>0</v>
      </c>
      <c r="U461" s="120">
        <f>IF($D461="",0,IFERROR(LOOKUP(2,1/(($D$3:D460=$D461)*($C$3:C460=$C461)*($A$3:A460&lt;$A461)),$AB$3:AB460),1000))</f>
        <v>0</v>
      </c>
      <c r="V461" s="120">
        <f t="shared" si="130"/>
        <v>0</v>
      </c>
      <c r="W461">
        <f t="shared" si="131"/>
        <v>0</v>
      </c>
      <c r="X461">
        <f t="shared" si="132"/>
        <v>0</v>
      </c>
      <c r="Y461">
        <f t="shared" si="133"/>
        <v>0</v>
      </c>
      <c r="Z461">
        <f t="shared" si="134"/>
        <v>0</v>
      </c>
      <c r="AA461">
        <f>IF($D461="",0,IF($F461&lt;2,0,IF($E461="Win",('Guide &amp; Settings'!$C$42/(($F461-1)*COUNTIFS($A$4:$A$810,$A461,$E$4:$E$810,"Win")))*SUMIFS($Z$4:$Z$810,$A$4:$A$810,$A461,$E$4:$E$810,"Loss"),-('Guide &amp; Settings'!$C$42/($F461-1))*$Z461)))</f>
        <v>0</v>
      </c>
      <c r="AB461" s="120">
        <f t="shared" si="135"/>
        <v>0</v>
      </c>
      <c r="AC461" s="120" t="str">
        <f>IF($D461="","",IF(SUMPRODUCT(MAX(($D$4:$D$810=$D461)*($B$4:$B$810&lt;$B461)*$B$4:$B$810))=0,0,MAX(($B461-MAX(SUMPRODUCT(MAX(($D$4:$D$810=$D461)*($B$4:$B$810&lt;$B461)*$B$4:$B$810)),'Guide &amp; Settings'!$C$50))/7-'Guide &amp; Settings'!$C$48,0)*'Guide &amp; Settings'!$C$49))</f>
        <v/>
      </c>
    </row>
    <row r="462" spans="1:29" x14ac:dyDescent="0.2">
      <c r="A462" s="111"/>
      <c r="B462" s="112"/>
      <c r="C462" s="113"/>
      <c r="D462" s="113"/>
      <c r="E462" s="111"/>
      <c r="F462" s="114">
        <f t="shared" si="119"/>
        <v>0</v>
      </c>
      <c r="G462" s="115" t="str">
        <f t="shared" si="120"/>
        <v/>
      </c>
      <c r="H462" s="116">
        <f>IF($D462="",0,IFERROR(LOOKUP(2,1/(($D$3:D461=$D462)*($A$3:A461&lt;$A462)),$N$3:N461),'Guide &amp; Settings'!$C$41))</f>
        <v>0</v>
      </c>
      <c r="I462" s="117">
        <f t="shared" si="121"/>
        <v>0</v>
      </c>
      <c r="J462" s="118">
        <f>IF($D462="",0,IF($F462&lt;2,0,IF($E462="Win",('Guide &amp; Settings'!$C$42/(($F462-1)*COUNTIFS($A$4:$A$810,$A462,$E$4:$E$810,"Win")))*SUMIFS($X$4:$X$810,$A$4:$A$810,$A462,$E$4:$E$810,"Loss"),-('Guide &amp; Settings'!$C$42/($F462-1))*$X462)))</f>
        <v>0</v>
      </c>
      <c r="K462" s="118">
        <f>IF($D462="",0,'Guide &amp; Settings'!$C$43*(IF($E462="Win",1,0)-$I462))</f>
        <v>0</v>
      </c>
      <c r="L462" s="119">
        <f>IF($D462="",0,'Guide &amp; Settings'!$C$44*IF($F462&gt;=3,$F462,0))</f>
        <v>0</v>
      </c>
      <c r="M462" s="118">
        <f t="shared" si="122"/>
        <v>0</v>
      </c>
      <c r="N462" s="116">
        <f t="shared" si="123"/>
        <v>0</v>
      </c>
      <c r="O462" s="115" t="str">
        <f t="shared" si="124"/>
        <v/>
      </c>
      <c r="P462">
        <f t="shared" si="125"/>
        <v>0</v>
      </c>
      <c r="Q462">
        <f t="shared" si="126"/>
        <v>0</v>
      </c>
      <c r="R462">
        <f t="shared" si="127"/>
        <v>0</v>
      </c>
      <c r="S462">
        <f t="shared" si="128"/>
        <v>0</v>
      </c>
      <c r="T462" s="83">
        <f t="shared" si="129"/>
        <v>0</v>
      </c>
      <c r="U462" s="120">
        <f>IF($D462="",0,IFERROR(LOOKUP(2,1/(($D$3:D461=$D462)*($C$3:C461=$C462)*($A$3:A461&lt;$A462)),$AB$3:AB461),1000))</f>
        <v>0</v>
      </c>
      <c r="V462" s="120">
        <f t="shared" si="130"/>
        <v>0</v>
      </c>
      <c r="W462">
        <f t="shared" si="131"/>
        <v>0</v>
      </c>
      <c r="X462">
        <f t="shared" si="132"/>
        <v>0</v>
      </c>
      <c r="Y462">
        <f t="shared" si="133"/>
        <v>0</v>
      </c>
      <c r="Z462">
        <f t="shared" si="134"/>
        <v>0</v>
      </c>
      <c r="AA462">
        <f>IF($D462="",0,IF($F462&lt;2,0,IF($E462="Win",('Guide &amp; Settings'!$C$42/(($F462-1)*COUNTIFS($A$4:$A$810,$A462,$E$4:$E$810,"Win")))*SUMIFS($Z$4:$Z$810,$A$4:$A$810,$A462,$E$4:$E$810,"Loss"),-('Guide &amp; Settings'!$C$42/($F462-1))*$Z462)))</f>
        <v>0</v>
      </c>
      <c r="AB462" s="120">
        <f t="shared" si="135"/>
        <v>0</v>
      </c>
      <c r="AC462" s="120" t="str">
        <f>IF($D462="","",IF(SUMPRODUCT(MAX(($D$4:$D$810=$D462)*($B$4:$B$810&lt;$B462)*$B$4:$B$810))=0,0,MAX(($B462-MAX(SUMPRODUCT(MAX(($D$4:$D$810=$D462)*($B$4:$B$810&lt;$B462)*$B$4:$B$810)),'Guide &amp; Settings'!$C$50))/7-'Guide &amp; Settings'!$C$48,0)*'Guide &amp; Settings'!$C$49))</f>
        <v/>
      </c>
    </row>
    <row r="463" spans="1:29" x14ac:dyDescent="0.2">
      <c r="A463" s="111"/>
      <c r="B463" s="112"/>
      <c r="C463" s="113"/>
      <c r="D463" s="113"/>
      <c r="E463" s="111"/>
      <c r="F463" s="114">
        <f t="shared" si="119"/>
        <v>0</v>
      </c>
      <c r="G463" s="115" t="str">
        <f t="shared" si="120"/>
        <v/>
      </c>
      <c r="H463" s="116">
        <f>IF($D463="",0,IFERROR(LOOKUP(2,1/(($D$3:D462=$D463)*($A$3:A462&lt;$A463)),$N$3:N462),'Guide &amp; Settings'!$C$41))</f>
        <v>0</v>
      </c>
      <c r="I463" s="117">
        <f t="shared" si="121"/>
        <v>0</v>
      </c>
      <c r="J463" s="118">
        <f>IF($D463="",0,IF($F463&lt;2,0,IF($E463="Win",('Guide &amp; Settings'!$C$42/(($F463-1)*COUNTIFS($A$4:$A$810,$A463,$E$4:$E$810,"Win")))*SUMIFS($X$4:$X$810,$A$4:$A$810,$A463,$E$4:$E$810,"Loss"),-('Guide &amp; Settings'!$C$42/($F463-1))*$X463)))</f>
        <v>0</v>
      </c>
      <c r="K463" s="118">
        <f>IF($D463="",0,'Guide &amp; Settings'!$C$43*(IF($E463="Win",1,0)-$I463))</f>
        <v>0</v>
      </c>
      <c r="L463" s="119">
        <f>IF($D463="",0,'Guide &amp; Settings'!$C$44*IF($F463&gt;=3,$F463,0))</f>
        <v>0</v>
      </c>
      <c r="M463" s="118">
        <f t="shared" si="122"/>
        <v>0</v>
      </c>
      <c r="N463" s="116">
        <f t="shared" si="123"/>
        <v>0</v>
      </c>
      <c r="O463" s="115" t="str">
        <f t="shared" si="124"/>
        <v/>
      </c>
      <c r="P463">
        <f t="shared" si="125"/>
        <v>0</v>
      </c>
      <c r="Q463">
        <f t="shared" si="126"/>
        <v>0</v>
      </c>
      <c r="R463">
        <f t="shared" si="127"/>
        <v>0</v>
      </c>
      <c r="S463">
        <f t="shared" si="128"/>
        <v>0</v>
      </c>
      <c r="T463" s="83">
        <f t="shared" si="129"/>
        <v>0</v>
      </c>
      <c r="U463" s="120">
        <f>IF($D463="",0,IFERROR(LOOKUP(2,1/(($D$3:D462=$D463)*($C$3:C462=$C463)*($A$3:A462&lt;$A463)),$AB$3:AB462),1000))</f>
        <v>0</v>
      </c>
      <c r="V463" s="120">
        <f t="shared" si="130"/>
        <v>0</v>
      </c>
      <c r="W463">
        <f t="shared" si="131"/>
        <v>0</v>
      </c>
      <c r="X463">
        <f t="shared" si="132"/>
        <v>0</v>
      </c>
      <c r="Y463">
        <f t="shared" si="133"/>
        <v>0</v>
      </c>
      <c r="Z463">
        <f t="shared" si="134"/>
        <v>0</v>
      </c>
      <c r="AA463">
        <f>IF($D463="",0,IF($F463&lt;2,0,IF($E463="Win",('Guide &amp; Settings'!$C$42/(($F463-1)*COUNTIFS($A$4:$A$810,$A463,$E$4:$E$810,"Win")))*SUMIFS($Z$4:$Z$810,$A$4:$A$810,$A463,$E$4:$E$810,"Loss"),-('Guide &amp; Settings'!$C$42/($F463-1))*$Z463)))</f>
        <v>0</v>
      </c>
      <c r="AB463" s="120">
        <f t="shared" si="135"/>
        <v>0</v>
      </c>
      <c r="AC463" s="120" t="str">
        <f>IF($D463="","",IF(SUMPRODUCT(MAX(($D$4:$D$810=$D463)*($B$4:$B$810&lt;$B463)*$B$4:$B$810))=0,0,MAX(($B463-MAX(SUMPRODUCT(MAX(($D$4:$D$810=$D463)*($B$4:$B$810&lt;$B463)*$B$4:$B$810)),'Guide &amp; Settings'!$C$50))/7-'Guide &amp; Settings'!$C$48,0)*'Guide &amp; Settings'!$C$49))</f>
        <v/>
      </c>
    </row>
    <row r="464" spans="1:29" x14ac:dyDescent="0.2">
      <c r="A464" s="111"/>
      <c r="B464" s="112"/>
      <c r="C464" s="113"/>
      <c r="D464" s="113"/>
      <c r="E464" s="111"/>
      <c r="F464" s="114">
        <f t="shared" si="119"/>
        <v>0</v>
      </c>
      <c r="G464" s="115" t="str">
        <f t="shared" si="120"/>
        <v/>
      </c>
      <c r="H464" s="116">
        <f>IF($D464="",0,IFERROR(LOOKUP(2,1/(($D$3:D463=$D464)*($A$3:A463&lt;$A464)),$N$3:N463),'Guide &amp; Settings'!$C$41))</f>
        <v>0</v>
      </c>
      <c r="I464" s="117">
        <f t="shared" si="121"/>
        <v>0</v>
      </c>
      <c r="J464" s="118">
        <f>IF($D464="",0,IF($F464&lt;2,0,IF($E464="Win",('Guide &amp; Settings'!$C$42/(($F464-1)*COUNTIFS($A$4:$A$810,$A464,$E$4:$E$810,"Win")))*SUMIFS($X$4:$X$810,$A$4:$A$810,$A464,$E$4:$E$810,"Loss"),-('Guide &amp; Settings'!$C$42/($F464-1))*$X464)))</f>
        <v>0</v>
      </c>
      <c r="K464" s="118">
        <f>IF($D464="",0,'Guide &amp; Settings'!$C$43*(IF($E464="Win",1,0)-$I464))</f>
        <v>0</v>
      </c>
      <c r="L464" s="119">
        <f>IF($D464="",0,'Guide &amp; Settings'!$C$44*IF($F464&gt;=3,$F464,0))</f>
        <v>0</v>
      </c>
      <c r="M464" s="118">
        <f t="shared" si="122"/>
        <v>0</v>
      </c>
      <c r="N464" s="116">
        <f t="shared" si="123"/>
        <v>0</v>
      </c>
      <c r="O464" s="115" t="str">
        <f t="shared" si="124"/>
        <v/>
      </c>
      <c r="P464">
        <f t="shared" si="125"/>
        <v>0</v>
      </c>
      <c r="Q464">
        <f t="shared" si="126"/>
        <v>0</v>
      </c>
      <c r="R464">
        <f t="shared" si="127"/>
        <v>0</v>
      </c>
      <c r="S464">
        <f t="shared" si="128"/>
        <v>0</v>
      </c>
      <c r="T464" s="83">
        <f t="shared" si="129"/>
        <v>0</v>
      </c>
      <c r="U464" s="120">
        <f>IF($D464="",0,IFERROR(LOOKUP(2,1/(($D$3:D463=$D464)*($C$3:C463=$C464)*($A$3:A463&lt;$A464)),$AB$3:AB463),1000))</f>
        <v>0</v>
      </c>
      <c r="V464" s="120">
        <f t="shared" si="130"/>
        <v>0</v>
      </c>
      <c r="W464">
        <f t="shared" si="131"/>
        <v>0</v>
      </c>
      <c r="X464">
        <f t="shared" si="132"/>
        <v>0</v>
      </c>
      <c r="Y464">
        <f t="shared" si="133"/>
        <v>0</v>
      </c>
      <c r="Z464">
        <f t="shared" si="134"/>
        <v>0</v>
      </c>
      <c r="AA464">
        <f>IF($D464="",0,IF($F464&lt;2,0,IF($E464="Win",('Guide &amp; Settings'!$C$42/(($F464-1)*COUNTIFS($A$4:$A$810,$A464,$E$4:$E$810,"Win")))*SUMIFS($Z$4:$Z$810,$A$4:$A$810,$A464,$E$4:$E$810,"Loss"),-('Guide &amp; Settings'!$C$42/($F464-1))*$Z464)))</f>
        <v>0</v>
      </c>
      <c r="AB464" s="120">
        <f t="shared" si="135"/>
        <v>0</v>
      </c>
      <c r="AC464" s="120" t="str">
        <f>IF($D464="","",IF(SUMPRODUCT(MAX(($D$4:$D$810=$D464)*($B$4:$B$810&lt;$B464)*$B$4:$B$810))=0,0,MAX(($B464-MAX(SUMPRODUCT(MAX(($D$4:$D$810=$D464)*($B$4:$B$810&lt;$B464)*$B$4:$B$810)),'Guide &amp; Settings'!$C$50))/7-'Guide &amp; Settings'!$C$48,0)*'Guide &amp; Settings'!$C$49))</f>
        <v/>
      </c>
    </row>
    <row r="465" spans="1:29" x14ac:dyDescent="0.2">
      <c r="A465" s="111"/>
      <c r="B465" s="112"/>
      <c r="C465" s="113"/>
      <c r="D465" s="113"/>
      <c r="E465" s="111"/>
      <c r="F465" s="114">
        <f t="shared" si="119"/>
        <v>0</v>
      </c>
      <c r="G465" s="115" t="str">
        <f t="shared" si="120"/>
        <v/>
      </c>
      <c r="H465" s="116">
        <f>IF($D465="",0,IFERROR(LOOKUP(2,1/(($D$3:D464=$D465)*($A$3:A464&lt;$A465)),$N$3:N464),'Guide &amp; Settings'!$C$41))</f>
        <v>0</v>
      </c>
      <c r="I465" s="117">
        <f t="shared" si="121"/>
        <v>0</v>
      </c>
      <c r="J465" s="118">
        <f>IF($D465="",0,IF($F465&lt;2,0,IF($E465="Win",('Guide &amp; Settings'!$C$42/(($F465-1)*COUNTIFS($A$4:$A$810,$A465,$E$4:$E$810,"Win")))*SUMIFS($X$4:$X$810,$A$4:$A$810,$A465,$E$4:$E$810,"Loss"),-('Guide &amp; Settings'!$C$42/($F465-1))*$X465)))</f>
        <v>0</v>
      </c>
      <c r="K465" s="118">
        <f>IF($D465="",0,'Guide &amp; Settings'!$C$43*(IF($E465="Win",1,0)-$I465))</f>
        <v>0</v>
      </c>
      <c r="L465" s="119">
        <f>IF($D465="",0,'Guide &amp; Settings'!$C$44*IF($F465&gt;=3,$F465,0))</f>
        <v>0</v>
      </c>
      <c r="M465" s="118">
        <f t="shared" si="122"/>
        <v>0</v>
      </c>
      <c r="N465" s="116">
        <f t="shared" si="123"/>
        <v>0</v>
      </c>
      <c r="O465" s="115" t="str">
        <f t="shared" si="124"/>
        <v/>
      </c>
      <c r="P465">
        <f t="shared" si="125"/>
        <v>0</v>
      </c>
      <c r="Q465">
        <f t="shared" si="126"/>
        <v>0</v>
      </c>
      <c r="R465">
        <f t="shared" si="127"/>
        <v>0</v>
      </c>
      <c r="S465">
        <f t="shared" si="128"/>
        <v>0</v>
      </c>
      <c r="T465" s="83">
        <f t="shared" si="129"/>
        <v>0</v>
      </c>
      <c r="U465" s="120">
        <f>IF($D465="",0,IFERROR(LOOKUP(2,1/(($D$3:D464=$D465)*($C$3:C464=$C465)*($A$3:A464&lt;$A465)),$AB$3:AB464),1000))</f>
        <v>0</v>
      </c>
      <c r="V465" s="120">
        <f t="shared" si="130"/>
        <v>0</v>
      </c>
      <c r="W465">
        <f t="shared" si="131"/>
        <v>0</v>
      </c>
      <c r="X465">
        <f t="shared" si="132"/>
        <v>0</v>
      </c>
      <c r="Y465">
        <f t="shared" si="133"/>
        <v>0</v>
      </c>
      <c r="Z465">
        <f t="shared" si="134"/>
        <v>0</v>
      </c>
      <c r="AA465">
        <f>IF($D465="",0,IF($F465&lt;2,0,IF($E465="Win",('Guide &amp; Settings'!$C$42/(($F465-1)*COUNTIFS($A$4:$A$810,$A465,$E$4:$E$810,"Win")))*SUMIFS($Z$4:$Z$810,$A$4:$A$810,$A465,$E$4:$E$810,"Loss"),-('Guide &amp; Settings'!$C$42/($F465-1))*$Z465)))</f>
        <v>0</v>
      </c>
      <c r="AB465" s="120">
        <f t="shared" si="135"/>
        <v>0</v>
      </c>
      <c r="AC465" s="120" t="str">
        <f>IF($D465="","",IF(SUMPRODUCT(MAX(($D$4:$D$810=$D465)*($B$4:$B$810&lt;$B465)*$B$4:$B$810))=0,0,MAX(($B465-MAX(SUMPRODUCT(MAX(($D$4:$D$810=$D465)*($B$4:$B$810&lt;$B465)*$B$4:$B$810)),'Guide &amp; Settings'!$C$50))/7-'Guide &amp; Settings'!$C$48,0)*'Guide &amp; Settings'!$C$49))</f>
        <v/>
      </c>
    </row>
    <row r="466" spans="1:29" x14ac:dyDescent="0.2">
      <c r="A466" s="111"/>
      <c r="B466" s="112"/>
      <c r="C466" s="113"/>
      <c r="D466" s="113"/>
      <c r="E466" s="111"/>
      <c r="F466" s="114">
        <f t="shared" si="119"/>
        <v>0</v>
      </c>
      <c r="G466" s="115" t="str">
        <f t="shared" si="120"/>
        <v/>
      </c>
      <c r="H466" s="116">
        <f>IF($D466="",0,IFERROR(LOOKUP(2,1/(($D$3:D465=$D466)*($A$3:A465&lt;$A466)),$N$3:N465),'Guide &amp; Settings'!$C$41))</f>
        <v>0</v>
      </c>
      <c r="I466" s="117">
        <f t="shared" si="121"/>
        <v>0</v>
      </c>
      <c r="J466" s="118">
        <f>IF($D466="",0,IF($F466&lt;2,0,IF($E466="Win",('Guide &amp; Settings'!$C$42/(($F466-1)*COUNTIFS($A$4:$A$810,$A466,$E$4:$E$810,"Win")))*SUMIFS($X$4:$X$810,$A$4:$A$810,$A466,$E$4:$E$810,"Loss"),-('Guide &amp; Settings'!$C$42/($F466-1))*$X466)))</f>
        <v>0</v>
      </c>
      <c r="K466" s="118">
        <f>IF($D466="",0,'Guide &amp; Settings'!$C$43*(IF($E466="Win",1,0)-$I466))</f>
        <v>0</v>
      </c>
      <c r="L466" s="119">
        <f>IF($D466="",0,'Guide &amp; Settings'!$C$44*IF($F466&gt;=3,$F466,0))</f>
        <v>0</v>
      </c>
      <c r="M466" s="118">
        <f t="shared" si="122"/>
        <v>0</v>
      </c>
      <c r="N466" s="116">
        <f t="shared" si="123"/>
        <v>0</v>
      </c>
      <c r="O466" s="115" t="str">
        <f t="shared" si="124"/>
        <v/>
      </c>
      <c r="P466">
        <f t="shared" si="125"/>
        <v>0</v>
      </c>
      <c r="Q466">
        <f t="shared" si="126"/>
        <v>0</v>
      </c>
      <c r="R466">
        <f t="shared" si="127"/>
        <v>0</v>
      </c>
      <c r="S466">
        <f t="shared" si="128"/>
        <v>0</v>
      </c>
      <c r="T466" s="83">
        <f t="shared" si="129"/>
        <v>0</v>
      </c>
      <c r="U466" s="120">
        <f>IF($D466="",0,IFERROR(LOOKUP(2,1/(($D$3:D465=$D466)*($C$3:C465=$C466)*($A$3:A465&lt;$A466)),$AB$3:AB465),1000))</f>
        <v>0</v>
      </c>
      <c r="V466" s="120">
        <f t="shared" si="130"/>
        <v>0</v>
      </c>
      <c r="W466">
        <f t="shared" si="131"/>
        <v>0</v>
      </c>
      <c r="X466">
        <f t="shared" si="132"/>
        <v>0</v>
      </c>
      <c r="Y466">
        <f t="shared" si="133"/>
        <v>0</v>
      </c>
      <c r="Z466">
        <f t="shared" si="134"/>
        <v>0</v>
      </c>
      <c r="AA466">
        <f>IF($D466="",0,IF($F466&lt;2,0,IF($E466="Win",('Guide &amp; Settings'!$C$42/(($F466-1)*COUNTIFS($A$4:$A$810,$A466,$E$4:$E$810,"Win")))*SUMIFS($Z$4:$Z$810,$A$4:$A$810,$A466,$E$4:$E$810,"Loss"),-('Guide &amp; Settings'!$C$42/($F466-1))*$Z466)))</f>
        <v>0</v>
      </c>
      <c r="AB466" s="120">
        <f t="shared" si="135"/>
        <v>0</v>
      </c>
      <c r="AC466" s="120" t="str">
        <f>IF($D466="","",IF(SUMPRODUCT(MAX(($D$4:$D$810=$D466)*($B$4:$B$810&lt;$B466)*$B$4:$B$810))=0,0,MAX(($B466-MAX(SUMPRODUCT(MAX(($D$4:$D$810=$D466)*($B$4:$B$810&lt;$B466)*$B$4:$B$810)),'Guide &amp; Settings'!$C$50))/7-'Guide &amp; Settings'!$C$48,0)*'Guide &amp; Settings'!$C$49))</f>
        <v/>
      </c>
    </row>
    <row r="467" spans="1:29" x14ac:dyDescent="0.2">
      <c r="A467" s="111"/>
      <c r="B467" s="112"/>
      <c r="C467" s="113"/>
      <c r="D467" s="113"/>
      <c r="E467" s="111"/>
      <c r="F467" s="114">
        <f t="shared" si="119"/>
        <v>0</v>
      </c>
      <c r="G467" s="115" t="str">
        <f t="shared" si="120"/>
        <v/>
      </c>
      <c r="H467" s="116">
        <f>IF($D467="",0,IFERROR(LOOKUP(2,1/(($D$3:D466=$D467)*($A$3:A466&lt;$A467)),$N$3:N466),'Guide &amp; Settings'!$C$41))</f>
        <v>0</v>
      </c>
      <c r="I467" s="117">
        <f t="shared" si="121"/>
        <v>0</v>
      </c>
      <c r="J467" s="118">
        <f>IF($D467="",0,IF($F467&lt;2,0,IF($E467="Win",('Guide &amp; Settings'!$C$42/(($F467-1)*COUNTIFS($A$4:$A$810,$A467,$E$4:$E$810,"Win")))*SUMIFS($X$4:$X$810,$A$4:$A$810,$A467,$E$4:$E$810,"Loss"),-('Guide &amp; Settings'!$C$42/($F467-1))*$X467)))</f>
        <v>0</v>
      </c>
      <c r="K467" s="118">
        <f>IF($D467="",0,'Guide &amp; Settings'!$C$43*(IF($E467="Win",1,0)-$I467))</f>
        <v>0</v>
      </c>
      <c r="L467" s="119">
        <f>IF($D467="",0,'Guide &amp; Settings'!$C$44*IF($F467&gt;=3,$F467,0))</f>
        <v>0</v>
      </c>
      <c r="M467" s="118">
        <f t="shared" si="122"/>
        <v>0</v>
      </c>
      <c r="N467" s="116">
        <f t="shared" si="123"/>
        <v>0</v>
      </c>
      <c r="O467" s="115" t="str">
        <f t="shared" si="124"/>
        <v/>
      </c>
      <c r="P467">
        <f t="shared" si="125"/>
        <v>0</v>
      </c>
      <c r="Q467">
        <f t="shared" si="126"/>
        <v>0</v>
      </c>
      <c r="R467">
        <f t="shared" si="127"/>
        <v>0</v>
      </c>
      <c r="S467">
        <f t="shared" si="128"/>
        <v>0</v>
      </c>
      <c r="T467" s="83">
        <f t="shared" si="129"/>
        <v>0</v>
      </c>
      <c r="U467" s="120">
        <f>IF($D467="",0,IFERROR(LOOKUP(2,1/(($D$3:D466=$D467)*($C$3:C466=$C467)*($A$3:A466&lt;$A467)),$AB$3:AB466),1000))</f>
        <v>0</v>
      </c>
      <c r="V467" s="120">
        <f t="shared" si="130"/>
        <v>0</v>
      </c>
      <c r="W467">
        <f t="shared" si="131"/>
        <v>0</v>
      </c>
      <c r="X467">
        <f t="shared" si="132"/>
        <v>0</v>
      </c>
      <c r="Y467">
        <f t="shared" si="133"/>
        <v>0</v>
      </c>
      <c r="Z467">
        <f t="shared" si="134"/>
        <v>0</v>
      </c>
      <c r="AA467">
        <f>IF($D467="",0,IF($F467&lt;2,0,IF($E467="Win",('Guide &amp; Settings'!$C$42/(($F467-1)*COUNTIFS($A$4:$A$810,$A467,$E$4:$E$810,"Win")))*SUMIFS($Z$4:$Z$810,$A$4:$A$810,$A467,$E$4:$E$810,"Loss"),-('Guide &amp; Settings'!$C$42/($F467-1))*$Z467)))</f>
        <v>0</v>
      </c>
      <c r="AB467" s="120">
        <f t="shared" si="135"/>
        <v>0</v>
      </c>
      <c r="AC467" s="120" t="str">
        <f>IF($D467="","",IF(SUMPRODUCT(MAX(($D$4:$D$810=$D467)*($B$4:$B$810&lt;$B467)*$B$4:$B$810))=0,0,MAX(($B467-MAX(SUMPRODUCT(MAX(($D$4:$D$810=$D467)*($B$4:$B$810&lt;$B467)*$B$4:$B$810)),'Guide &amp; Settings'!$C$50))/7-'Guide &amp; Settings'!$C$48,0)*'Guide &amp; Settings'!$C$49))</f>
        <v/>
      </c>
    </row>
    <row r="468" spans="1:29" x14ac:dyDescent="0.2">
      <c r="A468" s="111"/>
      <c r="B468" s="112"/>
      <c r="C468" s="113"/>
      <c r="D468" s="113"/>
      <c r="E468" s="111"/>
      <c r="F468" s="114">
        <f t="shared" si="119"/>
        <v>0</v>
      </c>
      <c r="G468" s="115" t="str">
        <f t="shared" si="120"/>
        <v/>
      </c>
      <c r="H468" s="116">
        <f>IF($D468="",0,IFERROR(LOOKUP(2,1/(($D$3:D467=$D468)*($A$3:A467&lt;$A468)),$N$3:N467),'Guide &amp; Settings'!$C$41))</f>
        <v>0</v>
      </c>
      <c r="I468" s="117">
        <f t="shared" si="121"/>
        <v>0</v>
      </c>
      <c r="J468" s="118">
        <f>IF($D468="",0,IF($F468&lt;2,0,IF($E468="Win",('Guide &amp; Settings'!$C$42/(($F468-1)*COUNTIFS($A$4:$A$810,$A468,$E$4:$E$810,"Win")))*SUMIFS($X$4:$X$810,$A$4:$A$810,$A468,$E$4:$E$810,"Loss"),-('Guide &amp; Settings'!$C$42/($F468-1))*$X468)))</f>
        <v>0</v>
      </c>
      <c r="K468" s="118">
        <f>IF($D468="",0,'Guide &amp; Settings'!$C$43*(IF($E468="Win",1,0)-$I468))</f>
        <v>0</v>
      </c>
      <c r="L468" s="119">
        <f>IF($D468="",0,'Guide &amp; Settings'!$C$44*IF($F468&gt;=3,$F468,0))</f>
        <v>0</v>
      </c>
      <c r="M468" s="118">
        <f t="shared" si="122"/>
        <v>0</v>
      </c>
      <c r="N468" s="116">
        <f t="shared" si="123"/>
        <v>0</v>
      </c>
      <c r="O468" s="115" t="str">
        <f t="shared" si="124"/>
        <v/>
      </c>
      <c r="P468">
        <f t="shared" si="125"/>
        <v>0</v>
      </c>
      <c r="Q468">
        <f t="shared" si="126"/>
        <v>0</v>
      </c>
      <c r="R468">
        <f t="shared" si="127"/>
        <v>0</v>
      </c>
      <c r="S468">
        <f t="shared" si="128"/>
        <v>0</v>
      </c>
      <c r="T468" s="83">
        <f t="shared" si="129"/>
        <v>0</v>
      </c>
      <c r="U468" s="120">
        <f>IF($D468="",0,IFERROR(LOOKUP(2,1/(($D$3:D467=$D468)*($C$3:C467=$C468)*($A$3:A467&lt;$A468)),$AB$3:AB467),1000))</f>
        <v>0</v>
      </c>
      <c r="V468" s="120">
        <f t="shared" si="130"/>
        <v>0</v>
      </c>
      <c r="W468">
        <f t="shared" si="131"/>
        <v>0</v>
      </c>
      <c r="X468">
        <f t="shared" si="132"/>
        <v>0</v>
      </c>
      <c r="Y468">
        <f t="shared" si="133"/>
        <v>0</v>
      </c>
      <c r="Z468">
        <f t="shared" si="134"/>
        <v>0</v>
      </c>
      <c r="AA468">
        <f>IF($D468="",0,IF($F468&lt;2,0,IF($E468="Win",('Guide &amp; Settings'!$C$42/(($F468-1)*COUNTIFS($A$4:$A$810,$A468,$E$4:$E$810,"Win")))*SUMIFS($Z$4:$Z$810,$A$4:$A$810,$A468,$E$4:$E$810,"Loss"),-('Guide &amp; Settings'!$C$42/($F468-1))*$Z468)))</f>
        <v>0</v>
      </c>
      <c r="AB468" s="120">
        <f t="shared" si="135"/>
        <v>0</v>
      </c>
      <c r="AC468" s="120" t="str">
        <f>IF($D468="","",IF(SUMPRODUCT(MAX(($D$4:$D$810=$D468)*($B$4:$B$810&lt;$B468)*$B$4:$B$810))=0,0,MAX(($B468-MAX(SUMPRODUCT(MAX(($D$4:$D$810=$D468)*($B$4:$B$810&lt;$B468)*$B$4:$B$810)),'Guide &amp; Settings'!$C$50))/7-'Guide &amp; Settings'!$C$48,0)*'Guide &amp; Settings'!$C$49))</f>
        <v/>
      </c>
    </row>
    <row r="469" spans="1:29" x14ac:dyDescent="0.2">
      <c r="A469" s="111"/>
      <c r="B469" s="112"/>
      <c r="C469" s="113"/>
      <c r="D469" s="113"/>
      <c r="E469" s="111"/>
      <c r="F469" s="114">
        <f t="shared" si="119"/>
        <v>0</v>
      </c>
      <c r="G469" s="115" t="str">
        <f t="shared" si="120"/>
        <v/>
      </c>
      <c r="H469" s="116">
        <f>IF($D469="",0,IFERROR(LOOKUP(2,1/(($D$3:D468=$D469)*($A$3:A468&lt;$A469)),$N$3:N468),'Guide &amp; Settings'!$C$41))</f>
        <v>0</v>
      </c>
      <c r="I469" s="117">
        <f t="shared" si="121"/>
        <v>0</v>
      </c>
      <c r="J469" s="118">
        <f>IF($D469="",0,IF($F469&lt;2,0,IF($E469="Win",('Guide &amp; Settings'!$C$42/(($F469-1)*COUNTIFS($A$4:$A$810,$A469,$E$4:$E$810,"Win")))*SUMIFS($X$4:$X$810,$A$4:$A$810,$A469,$E$4:$E$810,"Loss"),-('Guide &amp; Settings'!$C$42/($F469-1))*$X469)))</f>
        <v>0</v>
      </c>
      <c r="K469" s="118">
        <f>IF($D469="",0,'Guide &amp; Settings'!$C$43*(IF($E469="Win",1,0)-$I469))</f>
        <v>0</v>
      </c>
      <c r="L469" s="119">
        <f>IF($D469="",0,'Guide &amp; Settings'!$C$44*IF($F469&gt;=3,$F469,0))</f>
        <v>0</v>
      </c>
      <c r="M469" s="118">
        <f t="shared" si="122"/>
        <v>0</v>
      </c>
      <c r="N469" s="116">
        <f t="shared" si="123"/>
        <v>0</v>
      </c>
      <c r="O469" s="115" t="str">
        <f t="shared" si="124"/>
        <v/>
      </c>
      <c r="P469">
        <f t="shared" si="125"/>
        <v>0</v>
      </c>
      <c r="Q469">
        <f t="shared" si="126"/>
        <v>0</v>
      </c>
      <c r="R469">
        <f t="shared" si="127"/>
        <v>0</v>
      </c>
      <c r="S469">
        <f t="shared" si="128"/>
        <v>0</v>
      </c>
      <c r="T469" s="83">
        <f t="shared" si="129"/>
        <v>0</v>
      </c>
      <c r="U469" s="120">
        <f>IF($D469="",0,IFERROR(LOOKUP(2,1/(($D$3:D468=$D469)*($C$3:C468=$C469)*($A$3:A468&lt;$A469)),$AB$3:AB468),1000))</f>
        <v>0</v>
      </c>
      <c r="V469" s="120">
        <f t="shared" si="130"/>
        <v>0</v>
      </c>
      <c r="W469">
        <f t="shared" si="131"/>
        <v>0</v>
      </c>
      <c r="X469">
        <f t="shared" si="132"/>
        <v>0</v>
      </c>
      <c r="Y469">
        <f t="shared" si="133"/>
        <v>0</v>
      </c>
      <c r="Z469">
        <f t="shared" si="134"/>
        <v>0</v>
      </c>
      <c r="AA469">
        <f>IF($D469="",0,IF($F469&lt;2,0,IF($E469="Win",('Guide &amp; Settings'!$C$42/(($F469-1)*COUNTIFS($A$4:$A$810,$A469,$E$4:$E$810,"Win")))*SUMIFS($Z$4:$Z$810,$A$4:$A$810,$A469,$E$4:$E$810,"Loss"),-('Guide &amp; Settings'!$C$42/($F469-1))*$Z469)))</f>
        <v>0</v>
      </c>
      <c r="AB469" s="120">
        <f t="shared" si="135"/>
        <v>0</v>
      </c>
      <c r="AC469" s="120" t="str">
        <f>IF($D469="","",IF(SUMPRODUCT(MAX(($D$4:$D$810=$D469)*($B$4:$B$810&lt;$B469)*$B$4:$B$810))=0,0,MAX(($B469-MAX(SUMPRODUCT(MAX(($D$4:$D$810=$D469)*($B$4:$B$810&lt;$B469)*$B$4:$B$810)),'Guide &amp; Settings'!$C$50))/7-'Guide &amp; Settings'!$C$48,0)*'Guide &amp; Settings'!$C$49))</f>
        <v/>
      </c>
    </row>
    <row r="470" spans="1:29" x14ac:dyDescent="0.2">
      <c r="A470" s="111"/>
      <c r="B470" s="112"/>
      <c r="C470" s="113"/>
      <c r="D470" s="113"/>
      <c r="E470" s="111"/>
      <c r="F470" s="114">
        <f t="shared" si="119"/>
        <v>0</v>
      </c>
      <c r="G470" s="115" t="str">
        <f t="shared" si="120"/>
        <v/>
      </c>
      <c r="H470" s="116">
        <f>IF($D470="",0,IFERROR(LOOKUP(2,1/(($D$3:D469=$D470)*($A$3:A469&lt;$A470)),$N$3:N469),'Guide &amp; Settings'!$C$41))</f>
        <v>0</v>
      </c>
      <c r="I470" s="117">
        <f t="shared" si="121"/>
        <v>0</v>
      </c>
      <c r="J470" s="118">
        <f>IF($D470="",0,IF($F470&lt;2,0,IF($E470="Win",('Guide &amp; Settings'!$C$42/(($F470-1)*COUNTIFS($A$4:$A$810,$A470,$E$4:$E$810,"Win")))*SUMIFS($X$4:$X$810,$A$4:$A$810,$A470,$E$4:$E$810,"Loss"),-('Guide &amp; Settings'!$C$42/($F470-1))*$X470)))</f>
        <v>0</v>
      </c>
      <c r="K470" s="118">
        <f>IF($D470="",0,'Guide &amp; Settings'!$C$43*(IF($E470="Win",1,0)-$I470))</f>
        <v>0</v>
      </c>
      <c r="L470" s="119">
        <f>IF($D470="",0,'Guide &amp; Settings'!$C$44*IF($F470&gt;=3,$F470,0))</f>
        <v>0</v>
      </c>
      <c r="M470" s="118">
        <f t="shared" si="122"/>
        <v>0</v>
      </c>
      <c r="N470" s="116">
        <f t="shared" si="123"/>
        <v>0</v>
      </c>
      <c r="O470" s="115" t="str">
        <f t="shared" si="124"/>
        <v/>
      </c>
      <c r="P470">
        <f t="shared" si="125"/>
        <v>0</v>
      </c>
      <c r="Q470">
        <f t="shared" si="126"/>
        <v>0</v>
      </c>
      <c r="R470">
        <f t="shared" si="127"/>
        <v>0</v>
      </c>
      <c r="S470">
        <f t="shared" si="128"/>
        <v>0</v>
      </c>
      <c r="T470" s="83">
        <f t="shared" si="129"/>
        <v>0</v>
      </c>
      <c r="U470" s="120">
        <f>IF($D470="",0,IFERROR(LOOKUP(2,1/(($D$3:D469=$D470)*($C$3:C469=$C470)*($A$3:A469&lt;$A470)),$AB$3:AB469),1000))</f>
        <v>0</v>
      </c>
      <c r="V470" s="120">
        <f t="shared" si="130"/>
        <v>0</v>
      </c>
      <c r="W470">
        <f t="shared" si="131"/>
        <v>0</v>
      </c>
      <c r="X470">
        <f t="shared" si="132"/>
        <v>0</v>
      </c>
      <c r="Y470">
        <f t="shared" si="133"/>
        <v>0</v>
      </c>
      <c r="Z470">
        <f t="shared" si="134"/>
        <v>0</v>
      </c>
      <c r="AA470">
        <f>IF($D470="",0,IF($F470&lt;2,0,IF($E470="Win",('Guide &amp; Settings'!$C$42/(($F470-1)*COUNTIFS($A$4:$A$810,$A470,$E$4:$E$810,"Win")))*SUMIFS($Z$4:$Z$810,$A$4:$A$810,$A470,$E$4:$E$810,"Loss"),-('Guide &amp; Settings'!$C$42/($F470-1))*$Z470)))</f>
        <v>0</v>
      </c>
      <c r="AB470" s="120">
        <f t="shared" si="135"/>
        <v>0</v>
      </c>
      <c r="AC470" s="120" t="str">
        <f>IF($D470="","",IF(SUMPRODUCT(MAX(($D$4:$D$810=$D470)*($B$4:$B$810&lt;$B470)*$B$4:$B$810))=0,0,MAX(($B470-MAX(SUMPRODUCT(MAX(($D$4:$D$810=$D470)*($B$4:$B$810&lt;$B470)*$B$4:$B$810)),'Guide &amp; Settings'!$C$50))/7-'Guide &amp; Settings'!$C$48,0)*'Guide &amp; Settings'!$C$49))</f>
        <v/>
      </c>
    </row>
    <row r="471" spans="1:29" x14ac:dyDescent="0.2">
      <c r="A471" s="111"/>
      <c r="B471" s="112"/>
      <c r="C471" s="113"/>
      <c r="D471" s="113"/>
      <c r="E471" s="111"/>
      <c r="F471" s="114">
        <f t="shared" si="119"/>
        <v>0</v>
      </c>
      <c r="G471" s="115" t="str">
        <f t="shared" si="120"/>
        <v/>
      </c>
      <c r="H471" s="116">
        <f>IF($D471="",0,IFERROR(LOOKUP(2,1/(($D$3:D470=$D471)*($A$3:A470&lt;$A471)),$N$3:N470),'Guide &amp; Settings'!$C$41))</f>
        <v>0</v>
      </c>
      <c r="I471" s="117">
        <f t="shared" si="121"/>
        <v>0</v>
      </c>
      <c r="J471" s="118">
        <f>IF($D471="",0,IF($F471&lt;2,0,IF($E471="Win",('Guide &amp; Settings'!$C$42/(($F471-1)*COUNTIFS($A$4:$A$810,$A471,$E$4:$E$810,"Win")))*SUMIFS($X$4:$X$810,$A$4:$A$810,$A471,$E$4:$E$810,"Loss"),-('Guide &amp; Settings'!$C$42/($F471-1))*$X471)))</f>
        <v>0</v>
      </c>
      <c r="K471" s="118">
        <f>IF($D471="",0,'Guide &amp; Settings'!$C$43*(IF($E471="Win",1,0)-$I471))</f>
        <v>0</v>
      </c>
      <c r="L471" s="119">
        <f>IF($D471="",0,'Guide &amp; Settings'!$C$44*IF($F471&gt;=3,$F471,0))</f>
        <v>0</v>
      </c>
      <c r="M471" s="118">
        <f t="shared" si="122"/>
        <v>0</v>
      </c>
      <c r="N471" s="116">
        <f t="shared" si="123"/>
        <v>0</v>
      </c>
      <c r="O471" s="115" t="str">
        <f t="shared" si="124"/>
        <v/>
      </c>
      <c r="P471">
        <f t="shared" si="125"/>
        <v>0</v>
      </c>
      <c r="Q471">
        <f t="shared" si="126"/>
        <v>0</v>
      </c>
      <c r="R471">
        <f t="shared" si="127"/>
        <v>0</v>
      </c>
      <c r="S471">
        <f t="shared" si="128"/>
        <v>0</v>
      </c>
      <c r="T471" s="83">
        <f t="shared" si="129"/>
        <v>0</v>
      </c>
      <c r="U471" s="120">
        <f>IF($D471="",0,IFERROR(LOOKUP(2,1/(($D$3:D470=$D471)*($C$3:C470=$C471)*($A$3:A470&lt;$A471)),$AB$3:AB470),1000))</f>
        <v>0</v>
      </c>
      <c r="V471" s="120">
        <f t="shared" si="130"/>
        <v>0</v>
      </c>
      <c r="W471">
        <f t="shared" si="131"/>
        <v>0</v>
      </c>
      <c r="X471">
        <f t="shared" si="132"/>
        <v>0</v>
      </c>
      <c r="Y471">
        <f t="shared" si="133"/>
        <v>0</v>
      </c>
      <c r="Z471">
        <f t="shared" si="134"/>
        <v>0</v>
      </c>
      <c r="AA471">
        <f>IF($D471="",0,IF($F471&lt;2,0,IF($E471="Win",('Guide &amp; Settings'!$C$42/(($F471-1)*COUNTIFS($A$4:$A$810,$A471,$E$4:$E$810,"Win")))*SUMIFS($Z$4:$Z$810,$A$4:$A$810,$A471,$E$4:$E$810,"Loss"),-('Guide &amp; Settings'!$C$42/($F471-1))*$Z471)))</f>
        <v>0</v>
      </c>
      <c r="AB471" s="120">
        <f t="shared" si="135"/>
        <v>0</v>
      </c>
      <c r="AC471" s="120" t="str">
        <f>IF($D471="","",IF(SUMPRODUCT(MAX(($D$4:$D$810=$D471)*($B$4:$B$810&lt;$B471)*$B$4:$B$810))=0,0,MAX(($B471-MAX(SUMPRODUCT(MAX(($D$4:$D$810=$D471)*($B$4:$B$810&lt;$B471)*$B$4:$B$810)),'Guide &amp; Settings'!$C$50))/7-'Guide &amp; Settings'!$C$48,0)*'Guide &amp; Settings'!$C$49))</f>
        <v/>
      </c>
    </row>
    <row r="472" spans="1:29" x14ac:dyDescent="0.2">
      <c r="A472" s="111"/>
      <c r="B472" s="112"/>
      <c r="C472" s="113"/>
      <c r="D472" s="113"/>
      <c r="E472" s="111"/>
      <c r="F472" s="114">
        <f t="shared" si="119"/>
        <v>0</v>
      </c>
      <c r="G472" s="115" t="str">
        <f t="shared" si="120"/>
        <v/>
      </c>
      <c r="H472" s="116">
        <f>IF($D472="",0,IFERROR(LOOKUP(2,1/(($D$3:D471=$D472)*($A$3:A471&lt;$A472)),$N$3:N471),'Guide &amp; Settings'!$C$41))</f>
        <v>0</v>
      </c>
      <c r="I472" s="117">
        <f t="shared" si="121"/>
        <v>0</v>
      </c>
      <c r="J472" s="118">
        <f>IF($D472="",0,IF($F472&lt;2,0,IF($E472="Win",('Guide &amp; Settings'!$C$42/(($F472-1)*COUNTIFS($A$4:$A$810,$A472,$E$4:$E$810,"Win")))*SUMIFS($X$4:$X$810,$A$4:$A$810,$A472,$E$4:$E$810,"Loss"),-('Guide &amp; Settings'!$C$42/($F472-1))*$X472)))</f>
        <v>0</v>
      </c>
      <c r="K472" s="118">
        <f>IF($D472="",0,'Guide &amp; Settings'!$C$43*(IF($E472="Win",1,0)-$I472))</f>
        <v>0</v>
      </c>
      <c r="L472" s="119">
        <f>IF($D472="",0,'Guide &amp; Settings'!$C$44*IF($F472&gt;=3,$F472,0))</f>
        <v>0</v>
      </c>
      <c r="M472" s="118">
        <f t="shared" si="122"/>
        <v>0</v>
      </c>
      <c r="N472" s="116">
        <f t="shared" si="123"/>
        <v>0</v>
      </c>
      <c r="O472" s="115" t="str">
        <f t="shared" si="124"/>
        <v/>
      </c>
      <c r="P472">
        <f t="shared" si="125"/>
        <v>0</v>
      </c>
      <c r="Q472">
        <f t="shared" si="126"/>
        <v>0</v>
      </c>
      <c r="R472">
        <f t="shared" si="127"/>
        <v>0</v>
      </c>
      <c r="S472">
        <f t="shared" si="128"/>
        <v>0</v>
      </c>
      <c r="T472" s="83">
        <f t="shared" si="129"/>
        <v>0</v>
      </c>
      <c r="U472" s="120">
        <f>IF($D472="",0,IFERROR(LOOKUP(2,1/(($D$3:D471=$D472)*($C$3:C471=$C472)*($A$3:A471&lt;$A472)),$AB$3:AB471),1000))</f>
        <v>0</v>
      </c>
      <c r="V472" s="120">
        <f t="shared" si="130"/>
        <v>0</v>
      </c>
      <c r="W472">
        <f t="shared" si="131"/>
        <v>0</v>
      </c>
      <c r="X472">
        <f t="shared" si="132"/>
        <v>0</v>
      </c>
      <c r="Y472">
        <f t="shared" si="133"/>
        <v>0</v>
      </c>
      <c r="Z472">
        <f t="shared" si="134"/>
        <v>0</v>
      </c>
      <c r="AA472">
        <f>IF($D472="",0,IF($F472&lt;2,0,IF($E472="Win",('Guide &amp; Settings'!$C$42/(($F472-1)*COUNTIFS($A$4:$A$810,$A472,$E$4:$E$810,"Win")))*SUMIFS($Z$4:$Z$810,$A$4:$A$810,$A472,$E$4:$E$810,"Loss"),-('Guide &amp; Settings'!$C$42/($F472-1))*$Z472)))</f>
        <v>0</v>
      </c>
      <c r="AB472" s="120">
        <f t="shared" si="135"/>
        <v>0</v>
      </c>
      <c r="AC472" s="120" t="str">
        <f>IF($D472="","",IF(SUMPRODUCT(MAX(($D$4:$D$810=$D472)*($B$4:$B$810&lt;$B472)*$B$4:$B$810))=0,0,MAX(($B472-MAX(SUMPRODUCT(MAX(($D$4:$D$810=$D472)*($B$4:$B$810&lt;$B472)*$B$4:$B$810)),'Guide &amp; Settings'!$C$50))/7-'Guide &amp; Settings'!$C$48,0)*'Guide &amp; Settings'!$C$49))</f>
        <v/>
      </c>
    </row>
    <row r="473" spans="1:29" x14ac:dyDescent="0.2">
      <c r="A473" s="111"/>
      <c r="B473" s="112"/>
      <c r="C473" s="113"/>
      <c r="D473" s="113"/>
      <c r="E473" s="111"/>
      <c r="F473" s="114">
        <f t="shared" si="119"/>
        <v>0</v>
      </c>
      <c r="G473" s="115" t="str">
        <f t="shared" si="120"/>
        <v/>
      </c>
      <c r="H473" s="116">
        <f>IF($D473="",0,IFERROR(LOOKUP(2,1/(($D$3:D472=$D473)*($A$3:A472&lt;$A473)),$N$3:N472),'Guide &amp; Settings'!$C$41))</f>
        <v>0</v>
      </c>
      <c r="I473" s="117">
        <f t="shared" si="121"/>
        <v>0</v>
      </c>
      <c r="J473" s="118">
        <f>IF($D473="",0,IF($F473&lt;2,0,IF($E473="Win",('Guide &amp; Settings'!$C$42/(($F473-1)*COUNTIFS($A$4:$A$810,$A473,$E$4:$E$810,"Win")))*SUMIFS($X$4:$X$810,$A$4:$A$810,$A473,$E$4:$E$810,"Loss"),-('Guide &amp; Settings'!$C$42/($F473-1))*$X473)))</f>
        <v>0</v>
      </c>
      <c r="K473" s="118">
        <f>IF($D473="",0,'Guide &amp; Settings'!$C$43*(IF($E473="Win",1,0)-$I473))</f>
        <v>0</v>
      </c>
      <c r="L473" s="119">
        <f>IF($D473="",0,'Guide &amp; Settings'!$C$44*IF($F473&gt;=3,$F473,0))</f>
        <v>0</v>
      </c>
      <c r="M473" s="118">
        <f t="shared" si="122"/>
        <v>0</v>
      </c>
      <c r="N473" s="116">
        <f t="shared" si="123"/>
        <v>0</v>
      </c>
      <c r="O473" s="115" t="str">
        <f t="shared" si="124"/>
        <v/>
      </c>
      <c r="P473">
        <f t="shared" si="125"/>
        <v>0</v>
      </c>
      <c r="Q473">
        <f t="shared" si="126"/>
        <v>0</v>
      </c>
      <c r="R473">
        <f t="shared" si="127"/>
        <v>0</v>
      </c>
      <c r="S473">
        <f t="shared" si="128"/>
        <v>0</v>
      </c>
      <c r="T473" s="83">
        <f t="shared" si="129"/>
        <v>0</v>
      </c>
      <c r="U473" s="120">
        <f>IF($D473="",0,IFERROR(LOOKUP(2,1/(($D$3:D472=$D473)*($C$3:C472=$C473)*($A$3:A472&lt;$A473)),$AB$3:AB472),1000))</f>
        <v>0</v>
      </c>
      <c r="V473" s="120">
        <f t="shared" si="130"/>
        <v>0</v>
      </c>
      <c r="W473">
        <f t="shared" si="131"/>
        <v>0</v>
      </c>
      <c r="X473">
        <f t="shared" si="132"/>
        <v>0</v>
      </c>
      <c r="Y473">
        <f t="shared" si="133"/>
        <v>0</v>
      </c>
      <c r="Z473">
        <f t="shared" si="134"/>
        <v>0</v>
      </c>
      <c r="AA473">
        <f>IF($D473="",0,IF($F473&lt;2,0,IF($E473="Win",('Guide &amp; Settings'!$C$42/(($F473-1)*COUNTIFS($A$4:$A$810,$A473,$E$4:$E$810,"Win")))*SUMIFS($Z$4:$Z$810,$A$4:$A$810,$A473,$E$4:$E$810,"Loss"),-('Guide &amp; Settings'!$C$42/($F473-1))*$Z473)))</f>
        <v>0</v>
      </c>
      <c r="AB473" s="120">
        <f t="shared" si="135"/>
        <v>0</v>
      </c>
      <c r="AC473" s="120" t="str">
        <f>IF($D473="","",IF(SUMPRODUCT(MAX(($D$4:$D$810=$D473)*($B$4:$B$810&lt;$B473)*$B$4:$B$810))=0,0,MAX(($B473-MAX(SUMPRODUCT(MAX(($D$4:$D$810=$D473)*($B$4:$B$810&lt;$B473)*$B$4:$B$810)),'Guide &amp; Settings'!$C$50))/7-'Guide &amp; Settings'!$C$48,0)*'Guide &amp; Settings'!$C$49))</f>
        <v/>
      </c>
    </row>
    <row r="474" spans="1:29" x14ac:dyDescent="0.2">
      <c r="A474" s="111"/>
      <c r="B474" s="112"/>
      <c r="C474" s="113"/>
      <c r="D474" s="113"/>
      <c r="E474" s="111"/>
      <c r="F474" s="114">
        <f t="shared" si="119"/>
        <v>0</v>
      </c>
      <c r="G474" s="115" t="str">
        <f t="shared" si="120"/>
        <v/>
      </c>
      <c r="H474" s="116">
        <f>IF($D474="",0,IFERROR(LOOKUP(2,1/(($D$3:D473=$D474)*($A$3:A473&lt;$A474)),$N$3:N473),'Guide &amp; Settings'!$C$41))</f>
        <v>0</v>
      </c>
      <c r="I474" s="117">
        <f t="shared" si="121"/>
        <v>0</v>
      </c>
      <c r="J474" s="118">
        <f>IF($D474="",0,IF($F474&lt;2,0,IF($E474="Win",('Guide &amp; Settings'!$C$42/(($F474-1)*COUNTIFS($A$4:$A$810,$A474,$E$4:$E$810,"Win")))*SUMIFS($X$4:$X$810,$A$4:$A$810,$A474,$E$4:$E$810,"Loss"),-('Guide &amp; Settings'!$C$42/($F474-1))*$X474)))</f>
        <v>0</v>
      </c>
      <c r="K474" s="118">
        <f>IF($D474="",0,'Guide &amp; Settings'!$C$43*(IF($E474="Win",1,0)-$I474))</f>
        <v>0</v>
      </c>
      <c r="L474" s="119">
        <f>IF($D474="",0,'Guide &amp; Settings'!$C$44*IF($F474&gt;=3,$F474,0))</f>
        <v>0</v>
      </c>
      <c r="M474" s="118">
        <f t="shared" si="122"/>
        <v>0</v>
      </c>
      <c r="N474" s="116">
        <f t="shared" si="123"/>
        <v>0</v>
      </c>
      <c r="O474" s="115" t="str">
        <f t="shared" si="124"/>
        <v/>
      </c>
      <c r="P474">
        <f t="shared" si="125"/>
        <v>0</v>
      </c>
      <c r="Q474">
        <f t="shared" si="126"/>
        <v>0</v>
      </c>
      <c r="R474">
        <f t="shared" si="127"/>
        <v>0</v>
      </c>
      <c r="S474">
        <f t="shared" si="128"/>
        <v>0</v>
      </c>
      <c r="T474" s="83">
        <f t="shared" si="129"/>
        <v>0</v>
      </c>
      <c r="U474" s="120">
        <f>IF($D474="",0,IFERROR(LOOKUP(2,1/(($D$3:D473=$D474)*($C$3:C473=$C474)*($A$3:A473&lt;$A474)),$AB$3:AB473),1000))</f>
        <v>0</v>
      </c>
      <c r="V474" s="120">
        <f t="shared" si="130"/>
        <v>0</v>
      </c>
      <c r="W474">
        <f t="shared" si="131"/>
        <v>0</v>
      </c>
      <c r="X474">
        <f t="shared" si="132"/>
        <v>0</v>
      </c>
      <c r="Y474">
        <f t="shared" si="133"/>
        <v>0</v>
      </c>
      <c r="Z474">
        <f t="shared" si="134"/>
        <v>0</v>
      </c>
      <c r="AA474">
        <f>IF($D474="",0,IF($F474&lt;2,0,IF($E474="Win",('Guide &amp; Settings'!$C$42/(($F474-1)*COUNTIFS($A$4:$A$810,$A474,$E$4:$E$810,"Win")))*SUMIFS($Z$4:$Z$810,$A$4:$A$810,$A474,$E$4:$E$810,"Loss"),-('Guide &amp; Settings'!$C$42/($F474-1))*$Z474)))</f>
        <v>0</v>
      </c>
      <c r="AB474" s="120">
        <f t="shared" si="135"/>
        <v>0</v>
      </c>
      <c r="AC474" s="120" t="str">
        <f>IF($D474="","",IF(SUMPRODUCT(MAX(($D$4:$D$810=$D474)*($B$4:$B$810&lt;$B474)*$B$4:$B$810))=0,0,MAX(($B474-MAX(SUMPRODUCT(MAX(($D$4:$D$810=$D474)*($B$4:$B$810&lt;$B474)*$B$4:$B$810)),'Guide &amp; Settings'!$C$50))/7-'Guide &amp; Settings'!$C$48,0)*'Guide &amp; Settings'!$C$49))</f>
        <v/>
      </c>
    </row>
    <row r="475" spans="1:29" x14ac:dyDescent="0.2">
      <c r="A475" s="111"/>
      <c r="B475" s="112"/>
      <c r="C475" s="113"/>
      <c r="D475" s="113"/>
      <c r="E475" s="111"/>
      <c r="F475" s="114">
        <f t="shared" si="119"/>
        <v>0</v>
      </c>
      <c r="G475" s="115" t="str">
        <f t="shared" si="120"/>
        <v/>
      </c>
      <c r="H475" s="116">
        <f>IF($D475="",0,IFERROR(LOOKUP(2,1/(($D$3:D474=$D475)*($A$3:A474&lt;$A475)),$N$3:N474),'Guide &amp; Settings'!$C$41))</f>
        <v>0</v>
      </c>
      <c r="I475" s="117">
        <f t="shared" si="121"/>
        <v>0</v>
      </c>
      <c r="J475" s="118">
        <f>IF($D475="",0,IF($F475&lt;2,0,IF($E475="Win",('Guide &amp; Settings'!$C$42/(($F475-1)*COUNTIFS($A$4:$A$810,$A475,$E$4:$E$810,"Win")))*SUMIFS($X$4:$X$810,$A$4:$A$810,$A475,$E$4:$E$810,"Loss"),-('Guide &amp; Settings'!$C$42/($F475-1))*$X475)))</f>
        <v>0</v>
      </c>
      <c r="K475" s="118">
        <f>IF($D475="",0,'Guide &amp; Settings'!$C$43*(IF($E475="Win",1,0)-$I475))</f>
        <v>0</v>
      </c>
      <c r="L475" s="119">
        <f>IF($D475="",0,'Guide &amp; Settings'!$C$44*IF($F475&gt;=3,$F475,0))</f>
        <v>0</v>
      </c>
      <c r="M475" s="118">
        <f t="shared" si="122"/>
        <v>0</v>
      </c>
      <c r="N475" s="116">
        <f t="shared" si="123"/>
        <v>0</v>
      </c>
      <c r="O475" s="115" t="str">
        <f t="shared" si="124"/>
        <v/>
      </c>
      <c r="P475">
        <f t="shared" si="125"/>
        <v>0</v>
      </c>
      <c r="Q475">
        <f t="shared" si="126"/>
        <v>0</v>
      </c>
      <c r="R475">
        <f t="shared" si="127"/>
        <v>0</v>
      </c>
      <c r="S475">
        <f t="shared" si="128"/>
        <v>0</v>
      </c>
      <c r="T475" s="83">
        <f t="shared" si="129"/>
        <v>0</v>
      </c>
      <c r="U475" s="120">
        <f>IF($D475="",0,IFERROR(LOOKUP(2,1/(($D$3:D474=$D475)*($C$3:C474=$C475)*($A$3:A474&lt;$A475)),$AB$3:AB474),1000))</f>
        <v>0</v>
      </c>
      <c r="V475" s="120">
        <f t="shared" si="130"/>
        <v>0</v>
      </c>
      <c r="W475">
        <f t="shared" si="131"/>
        <v>0</v>
      </c>
      <c r="X475">
        <f t="shared" si="132"/>
        <v>0</v>
      </c>
      <c r="Y475">
        <f t="shared" si="133"/>
        <v>0</v>
      </c>
      <c r="Z475">
        <f t="shared" si="134"/>
        <v>0</v>
      </c>
      <c r="AA475">
        <f>IF($D475="",0,IF($F475&lt;2,0,IF($E475="Win",('Guide &amp; Settings'!$C$42/(($F475-1)*COUNTIFS($A$4:$A$810,$A475,$E$4:$E$810,"Win")))*SUMIFS($Z$4:$Z$810,$A$4:$A$810,$A475,$E$4:$E$810,"Loss"),-('Guide &amp; Settings'!$C$42/($F475-1))*$Z475)))</f>
        <v>0</v>
      </c>
      <c r="AB475" s="120">
        <f t="shared" si="135"/>
        <v>0</v>
      </c>
      <c r="AC475" s="120" t="str">
        <f>IF($D475="","",IF(SUMPRODUCT(MAX(($D$4:$D$810=$D475)*($B$4:$B$810&lt;$B475)*$B$4:$B$810))=0,0,MAX(($B475-MAX(SUMPRODUCT(MAX(($D$4:$D$810=$D475)*($B$4:$B$810&lt;$B475)*$B$4:$B$810)),'Guide &amp; Settings'!$C$50))/7-'Guide &amp; Settings'!$C$48,0)*'Guide &amp; Settings'!$C$49))</f>
        <v/>
      </c>
    </row>
    <row r="476" spans="1:29" x14ac:dyDescent="0.2">
      <c r="A476" s="111"/>
      <c r="B476" s="112"/>
      <c r="C476" s="113"/>
      <c r="D476" s="113"/>
      <c r="E476" s="111"/>
      <c r="F476" s="114">
        <f t="shared" si="119"/>
        <v>0</v>
      </c>
      <c r="G476" s="115" t="str">
        <f t="shared" si="120"/>
        <v/>
      </c>
      <c r="H476" s="116">
        <f>IF($D476="",0,IFERROR(LOOKUP(2,1/(($D$3:D475=$D476)*($A$3:A475&lt;$A476)),$N$3:N475),'Guide &amp; Settings'!$C$41))</f>
        <v>0</v>
      </c>
      <c r="I476" s="117">
        <f t="shared" si="121"/>
        <v>0</v>
      </c>
      <c r="J476" s="118">
        <f>IF($D476="",0,IF($F476&lt;2,0,IF($E476="Win",('Guide &amp; Settings'!$C$42/(($F476-1)*COUNTIFS($A$4:$A$810,$A476,$E$4:$E$810,"Win")))*SUMIFS($X$4:$X$810,$A$4:$A$810,$A476,$E$4:$E$810,"Loss"),-('Guide &amp; Settings'!$C$42/($F476-1))*$X476)))</f>
        <v>0</v>
      </c>
      <c r="K476" s="118">
        <f>IF($D476="",0,'Guide &amp; Settings'!$C$43*(IF($E476="Win",1,0)-$I476))</f>
        <v>0</v>
      </c>
      <c r="L476" s="119">
        <f>IF($D476="",0,'Guide &amp; Settings'!$C$44*IF($F476&gt;=3,$F476,0))</f>
        <v>0</v>
      </c>
      <c r="M476" s="118">
        <f t="shared" si="122"/>
        <v>0</v>
      </c>
      <c r="N476" s="116">
        <f t="shared" si="123"/>
        <v>0</v>
      </c>
      <c r="O476" s="115" t="str">
        <f t="shared" si="124"/>
        <v/>
      </c>
      <c r="P476">
        <f t="shared" si="125"/>
        <v>0</v>
      </c>
      <c r="Q476">
        <f t="shared" si="126"/>
        <v>0</v>
      </c>
      <c r="R476">
        <f t="shared" si="127"/>
        <v>0</v>
      </c>
      <c r="S476">
        <f t="shared" si="128"/>
        <v>0</v>
      </c>
      <c r="T476" s="83">
        <f t="shared" si="129"/>
        <v>0</v>
      </c>
      <c r="U476" s="120">
        <f>IF($D476="",0,IFERROR(LOOKUP(2,1/(($D$3:D475=$D476)*($C$3:C475=$C476)*($A$3:A475&lt;$A476)),$AB$3:AB475),1000))</f>
        <v>0</v>
      </c>
      <c r="V476" s="120">
        <f t="shared" si="130"/>
        <v>0</v>
      </c>
      <c r="W476">
        <f t="shared" si="131"/>
        <v>0</v>
      </c>
      <c r="X476">
        <f t="shared" si="132"/>
        <v>0</v>
      </c>
      <c r="Y476">
        <f t="shared" si="133"/>
        <v>0</v>
      </c>
      <c r="Z476">
        <f t="shared" si="134"/>
        <v>0</v>
      </c>
      <c r="AA476">
        <f>IF($D476="",0,IF($F476&lt;2,0,IF($E476="Win",('Guide &amp; Settings'!$C$42/(($F476-1)*COUNTIFS($A$4:$A$810,$A476,$E$4:$E$810,"Win")))*SUMIFS($Z$4:$Z$810,$A$4:$A$810,$A476,$E$4:$E$810,"Loss"),-('Guide &amp; Settings'!$C$42/($F476-1))*$Z476)))</f>
        <v>0</v>
      </c>
      <c r="AB476" s="120">
        <f t="shared" si="135"/>
        <v>0</v>
      </c>
      <c r="AC476" s="120" t="str">
        <f>IF($D476="","",IF(SUMPRODUCT(MAX(($D$4:$D$810=$D476)*($B$4:$B$810&lt;$B476)*$B$4:$B$810))=0,0,MAX(($B476-MAX(SUMPRODUCT(MAX(($D$4:$D$810=$D476)*($B$4:$B$810&lt;$B476)*$B$4:$B$810)),'Guide &amp; Settings'!$C$50))/7-'Guide &amp; Settings'!$C$48,0)*'Guide &amp; Settings'!$C$49))</f>
        <v/>
      </c>
    </row>
    <row r="477" spans="1:29" x14ac:dyDescent="0.2">
      <c r="A477" s="111"/>
      <c r="B477" s="112"/>
      <c r="C477" s="113"/>
      <c r="D477" s="113"/>
      <c r="E477" s="111"/>
      <c r="F477" s="114">
        <f t="shared" si="119"/>
        <v>0</v>
      </c>
      <c r="G477" s="115" t="str">
        <f t="shared" si="120"/>
        <v/>
      </c>
      <c r="H477" s="116">
        <f>IF($D477="",0,IFERROR(LOOKUP(2,1/(($D$3:D476=$D477)*($A$3:A476&lt;$A477)),$N$3:N476),'Guide &amp; Settings'!$C$41))</f>
        <v>0</v>
      </c>
      <c r="I477" s="117">
        <f t="shared" si="121"/>
        <v>0</v>
      </c>
      <c r="J477" s="118">
        <f>IF($D477="",0,IF($F477&lt;2,0,IF($E477="Win",('Guide &amp; Settings'!$C$42/(($F477-1)*COUNTIFS($A$4:$A$810,$A477,$E$4:$E$810,"Win")))*SUMIFS($X$4:$X$810,$A$4:$A$810,$A477,$E$4:$E$810,"Loss"),-('Guide &amp; Settings'!$C$42/($F477-1))*$X477)))</f>
        <v>0</v>
      </c>
      <c r="K477" s="118">
        <f>IF($D477="",0,'Guide &amp; Settings'!$C$43*(IF($E477="Win",1,0)-$I477))</f>
        <v>0</v>
      </c>
      <c r="L477" s="119">
        <f>IF($D477="",0,'Guide &amp; Settings'!$C$44*IF($F477&gt;=3,$F477,0))</f>
        <v>0</v>
      </c>
      <c r="M477" s="118">
        <f t="shared" si="122"/>
        <v>0</v>
      </c>
      <c r="N477" s="116">
        <f t="shared" si="123"/>
        <v>0</v>
      </c>
      <c r="O477" s="115" t="str">
        <f t="shared" si="124"/>
        <v/>
      </c>
      <c r="P477">
        <f t="shared" si="125"/>
        <v>0</v>
      </c>
      <c r="Q477">
        <f t="shared" si="126"/>
        <v>0</v>
      </c>
      <c r="R477">
        <f t="shared" si="127"/>
        <v>0</v>
      </c>
      <c r="S477">
        <f t="shared" si="128"/>
        <v>0</v>
      </c>
      <c r="T477" s="83">
        <f t="shared" si="129"/>
        <v>0</v>
      </c>
      <c r="U477" s="120">
        <f>IF($D477="",0,IFERROR(LOOKUP(2,1/(($D$3:D476=$D477)*($C$3:C476=$C477)*($A$3:A476&lt;$A477)),$AB$3:AB476),1000))</f>
        <v>0</v>
      </c>
      <c r="V477" s="120">
        <f t="shared" si="130"/>
        <v>0</v>
      </c>
      <c r="W477">
        <f t="shared" si="131"/>
        <v>0</v>
      </c>
      <c r="X477">
        <f t="shared" si="132"/>
        <v>0</v>
      </c>
      <c r="Y477">
        <f t="shared" si="133"/>
        <v>0</v>
      </c>
      <c r="Z477">
        <f t="shared" si="134"/>
        <v>0</v>
      </c>
      <c r="AA477">
        <f>IF($D477="",0,IF($F477&lt;2,0,IF($E477="Win",('Guide &amp; Settings'!$C$42/(($F477-1)*COUNTIFS($A$4:$A$810,$A477,$E$4:$E$810,"Win")))*SUMIFS($Z$4:$Z$810,$A$4:$A$810,$A477,$E$4:$E$810,"Loss"),-('Guide &amp; Settings'!$C$42/($F477-1))*$Z477)))</f>
        <v>0</v>
      </c>
      <c r="AB477" s="120">
        <f t="shared" si="135"/>
        <v>0</v>
      </c>
      <c r="AC477" s="120" t="str">
        <f>IF($D477="","",IF(SUMPRODUCT(MAX(($D$4:$D$810=$D477)*($B$4:$B$810&lt;$B477)*$B$4:$B$810))=0,0,MAX(($B477-MAX(SUMPRODUCT(MAX(($D$4:$D$810=$D477)*($B$4:$B$810&lt;$B477)*$B$4:$B$810)),'Guide &amp; Settings'!$C$50))/7-'Guide &amp; Settings'!$C$48,0)*'Guide &amp; Settings'!$C$49))</f>
        <v/>
      </c>
    </row>
    <row r="478" spans="1:29" x14ac:dyDescent="0.2">
      <c r="A478" s="111"/>
      <c r="B478" s="112"/>
      <c r="C478" s="113"/>
      <c r="D478" s="113"/>
      <c r="E478" s="111"/>
      <c r="F478" s="114">
        <f t="shared" si="119"/>
        <v>0</v>
      </c>
      <c r="G478" s="115" t="str">
        <f t="shared" si="120"/>
        <v/>
      </c>
      <c r="H478" s="116">
        <f>IF($D478="",0,IFERROR(LOOKUP(2,1/(($D$3:D477=$D478)*($A$3:A477&lt;$A478)),$N$3:N477),'Guide &amp; Settings'!$C$41))</f>
        <v>0</v>
      </c>
      <c r="I478" s="117">
        <f t="shared" si="121"/>
        <v>0</v>
      </c>
      <c r="J478" s="118">
        <f>IF($D478="",0,IF($F478&lt;2,0,IF($E478="Win",('Guide &amp; Settings'!$C$42/(($F478-1)*COUNTIFS($A$4:$A$810,$A478,$E$4:$E$810,"Win")))*SUMIFS($X$4:$X$810,$A$4:$A$810,$A478,$E$4:$E$810,"Loss"),-('Guide &amp; Settings'!$C$42/($F478-1))*$X478)))</f>
        <v>0</v>
      </c>
      <c r="K478" s="118">
        <f>IF($D478="",0,'Guide &amp; Settings'!$C$43*(IF($E478="Win",1,0)-$I478))</f>
        <v>0</v>
      </c>
      <c r="L478" s="119">
        <f>IF($D478="",0,'Guide &amp; Settings'!$C$44*IF($F478&gt;=3,$F478,0))</f>
        <v>0</v>
      </c>
      <c r="M478" s="118">
        <f t="shared" si="122"/>
        <v>0</v>
      </c>
      <c r="N478" s="116">
        <f t="shared" si="123"/>
        <v>0</v>
      </c>
      <c r="O478" s="115" t="str">
        <f t="shared" si="124"/>
        <v/>
      </c>
      <c r="P478">
        <f t="shared" si="125"/>
        <v>0</v>
      </c>
      <c r="Q478">
        <f t="shared" si="126"/>
        <v>0</v>
      </c>
      <c r="R478">
        <f t="shared" si="127"/>
        <v>0</v>
      </c>
      <c r="S478">
        <f t="shared" si="128"/>
        <v>0</v>
      </c>
      <c r="T478" s="83">
        <f t="shared" si="129"/>
        <v>0</v>
      </c>
      <c r="U478" s="120">
        <f>IF($D478="",0,IFERROR(LOOKUP(2,1/(($D$3:D477=$D478)*($C$3:C477=$C478)*($A$3:A477&lt;$A478)),$AB$3:AB477),1000))</f>
        <v>0</v>
      </c>
      <c r="V478" s="120">
        <f t="shared" si="130"/>
        <v>0</v>
      </c>
      <c r="W478">
        <f t="shared" si="131"/>
        <v>0</v>
      </c>
      <c r="X478">
        <f t="shared" si="132"/>
        <v>0</v>
      </c>
      <c r="Y478">
        <f t="shared" si="133"/>
        <v>0</v>
      </c>
      <c r="Z478">
        <f t="shared" si="134"/>
        <v>0</v>
      </c>
      <c r="AA478">
        <f>IF($D478="",0,IF($F478&lt;2,0,IF($E478="Win",('Guide &amp; Settings'!$C$42/(($F478-1)*COUNTIFS($A$4:$A$810,$A478,$E$4:$E$810,"Win")))*SUMIFS($Z$4:$Z$810,$A$4:$A$810,$A478,$E$4:$E$810,"Loss"),-('Guide &amp; Settings'!$C$42/($F478-1))*$Z478)))</f>
        <v>0</v>
      </c>
      <c r="AB478" s="120">
        <f t="shared" si="135"/>
        <v>0</v>
      </c>
      <c r="AC478" s="120" t="str">
        <f>IF($D478="","",IF(SUMPRODUCT(MAX(($D$4:$D$810=$D478)*($B$4:$B$810&lt;$B478)*$B$4:$B$810))=0,0,MAX(($B478-MAX(SUMPRODUCT(MAX(($D$4:$D$810=$D478)*($B$4:$B$810&lt;$B478)*$B$4:$B$810)),'Guide &amp; Settings'!$C$50))/7-'Guide &amp; Settings'!$C$48,0)*'Guide &amp; Settings'!$C$49))</f>
        <v/>
      </c>
    </row>
    <row r="479" spans="1:29" x14ac:dyDescent="0.2">
      <c r="A479" s="111"/>
      <c r="B479" s="112"/>
      <c r="C479" s="113"/>
      <c r="D479" s="113"/>
      <c r="E479" s="111"/>
      <c r="F479" s="114">
        <f t="shared" si="119"/>
        <v>0</v>
      </c>
      <c r="G479" s="115" t="str">
        <f t="shared" si="120"/>
        <v/>
      </c>
      <c r="H479" s="116">
        <f>IF($D479="",0,IFERROR(LOOKUP(2,1/(($D$3:D478=$D479)*($A$3:A478&lt;$A479)),$N$3:N478),'Guide &amp; Settings'!$C$41))</f>
        <v>0</v>
      </c>
      <c r="I479" s="117">
        <f t="shared" si="121"/>
        <v>0</v>
      </c>
      <c r="J479" s="118">
        <f>IF($D479="",0,IF($F479&lt;2,0,IF($E479="Win",('Guide &amp; Settings'!$C$42/(($F479-1)*COUNTIFS($A$4:$A$810,$A479,$E$4:$E$810,"Win")))*SUMIFS($X$4:$X$810,$A$4:$A$810,$A479,$E$4:$E$810,"Loss"),-('Guide &amp; Settings'!$C$42/($F479-1))*$X479)))</f>
        <v>0</v>
      </c>
      <c r="K479" s="118">
        <f>IF($D479="",0,'Guide &amp; Settings'!$C$43*(IF($E479="Win",1,0)-$I479))</f>
        <v>0</v>
      </c>
      <c r="L479" s="119">
        <f>IF($D479="",0,'Guide &amp; Settings'!$C$44*IF($F479&gt;=3,$F479,0))</f>
        <v>0</v>
      </c>
      <c r="M479" s="118">
        <f t="shared" si="122"/>
        <v>0</v>
      </c>
      <c r="N479" s="116">
        <f t="shared" si="123"/>
        <v>0</v>
      </c>
      <c r="O479" s="115" t="str">
        <f t="shared" si="124"/>
        <v/>
      </c>
      <c r="P479">
        <f t="shared" si="125"/>
        <v>0</v>
      </c>
      <c r="Q479">
        <f t="shared" si="126"/>
        <v>0</v>
      </c>
      <c r="R479">
        <f t="shared" si="127"/>
        <v>0</v>
      </c>
      <c r="S479">
        <f t="shared" si="128"/>
        <v>0</v>
      </c>
      <c r="T479" s="83">
        <f t="shared" si="129"/>
        <v>0</v>
      </c>
      <c r="U479" s="120">
        <f>IF($D479="",0,IFERROR(LOOKUP(2,1/(($D$3:D478=$D479)*($C$3:C478=$C479)*($A$3:A478&lt;$A479)),$AB$3:AB478),1000))</f>
        <v>0</v>
      </c>
      <c r="V479" s="120">
        <f t="shared" si="130"/>
        <v>0</v>
      </c>
      <c r="W479">
        <f t="shared" si="131"/>
        <v>0</v>
      </c>
      <c r="X479">
        <f t="shared" si="132"/>
        <v>0</v>
      </c>
      <c r="Y479">
        <f t="shared" si="133"/>
        <v>0</v>
      </c>
      <c r="Z479">
        <f t="shared" si="134"/>
        <v>0</v>
      </c>
      <c r="AA479">
        <f>IF($D479="",0,IF($F479&lt;2,0,IF($E479="Win",('Guide &amp; Settings'!$C$42/(($F479-1)*COUNTIFS($A$4:$A$810,$A479,$E$4:$E$810,"Win")))*SUMIFS($Z$4:$Z$810,$A$4:$A$810,$A479,$E$4:$E$810,"Loss"),-('Guide &amp; Settings'!$C$42/($F479-1))*$Z479)))</f>
        <v>0</v>
      </c>
      <c r="AB479" s="120">
        <f t="shared" si="135"/>
        <v>0</v>
      </c>
      <c r="AC479" s="120" t="str">
        <f>IF($D479="","",IF(SUMPRODUCT(MAX(($D$4:$D$810=$D479)*($B$4:$B$810&lt;$B479)*$B$4:$B$810))=0,0,MAX(($B479-MAX(SUMPRODUCT(MAX(($D$4:$D$810=$D479)*($B$4:$B$810&lt;$B479)*$B$4:$B$810)),'Guide &amp; Settings'!$C$50))/7-'Guide &amp; Settings'!$C$48,0)*'Guide &amp; Settings'!$C$49))</f>
        <v/>
      </c>
    </row>
    <row r="480" spans="1:29" x14ac:dyDescent="0.2">
      <c r="A480" s="111"/>
      <c r="B480" s="112"/>
      <c r="C480" s="113"/>
      <c r="D480" s="113"/>
      <c r="E480" s="111"/>
      <c r="F480" s="114">
        <f t="shared" si="119"/>
        <v>0</v>
      </c>
      <c r="G480" s="115" t="str">
        <f t="shared" si="120"/>
        <v/>
      </c>
      <c r="H480" s="116">
        <f>IF($D480="",0,IFERROR(LOOKUP(2,1/(($D$3:D479=$D480)*($A$3:A479&lt;$A480)),$N$3:N479),'Guide &amp; Settings'!$C$41))</f>
        <v>0</v>
      </c>
      <c r="I480" s="117">
        <f t="shared" si="121"/>
        <v>0</v>
      </c>
      <c r="J480" s="118">
        <f>IF($D480="",0,IF($F480&lt;2,0,IF($E480="Win",('Guide &amp; Settings'!$C$42/(($F480-1)*COUNTIFS($A$4:$A$810,$A480,$E$4:$E$810,"Win")))*SUMIFS($X$4:$X$810,$A$4:$A$810,$A480,$E$4:$E$810,"Loss"),-('Guide &amp; Settings'!$C$42/($F480-1))*$X480)))</f>
        <v>0</v>
      </c>
      <c r="K480" s="118">
        <f>IF($D480="",0,'Guide &amp; Settings'!$C$43*(IF($E480="Win",1,0)-$I480))</f>
        <v>0</v>
      </c>
      <c r="L480" s="119">
        <f>IF($D480="",0,'Guide &amp; Settings'!$C$44*IF($F480&gt;=3,$F480,0))</f>
        <v>0</v>
      </c>
      <c r="M480" s="118">
        <f t="shared" si="122"/>
        <v>0</v>
      </c>
      <c r="N480" s="116">
        <f t="shared" si="123"/>
        <v>0</v>
      </c>
      <c r="O480" s="115" t="str">
        <f t="shared" si="124"/>
        <v/>
      </c>
      <c r="P480">
        <f t="shared" si="125"/>
        <v>0</v>
      </c>
      <c r="Q480">
        <f t="shared" si="126"/>
        <v>0</v>
      </c>
      <c r="R480">
        <f t="shared" si="127"/>
        <v>0</v>
      </c>
      <c r="S480">
        <f t="shared" si="128"/>
        <v>0</v>
      </c>
      <c r="T480" s="83">
        <f t="shared" si="129"/>
        <v>0</v>
      </c>
      <c r="U480" s="120">
        <f>IF($D480="",0,IFERROR(LOOKUP(2,1/(($D$3:D479=$D480)*($C$3:C479=$C480)*($A$3:A479&lt;$A480)),$AB$3:AB479),1000))</f>
        <v>0</v>
      </c>
      <c r="V480" s="120">
        <f t="shared" si="130"/>
        <v>0</v>
      </c>
      <c r="W480">
        <f t="shared" si="131"/>
        <v>0</v>
      </c>
      <c r="X480">
        <f t="shared" si="132"/>
        <v>0</v>
      </c>
      <c r="Y480">
        <f t="shared" si="133"/>
        <v>0</v>
      </c>
      <c r="Z480">
        <f t="shared" si="134"/>
        <v>0</v>
      </c>
      <c r="AA480">
        <f>IF($D480="",0,IF($F480&lt;2,0,IF($E480="Win",('Guide &amp; Settings'!$C$42/(($F480-1)*COUNTIFS($A$4:$A$810,$A480,$E$4:$E$810,"Win")))*SUMIFS($Z$4:$Z$810,$A$4:$A$810,$A480,$E$4:$E$810,"Loss"),-('Guide &amp; Settings'!$C$42/($F480-1))*$Z480)))</f>
        <v>0</v>
      </c>
      <c r="AB480" s="120">
        <f t="shared" si="135"/>
        <v>0</v>
      </c>
      <c r="AC480" s="120" t="str">
        <f>IF($D480="","",IF(SUMPRODUCT(MAX(($D$4:$D$810=$D480)*($B$4:$B$810&lt;$B480)*$B$4:$B$810))=0,0,MAX(($B480-MAX(SUMPRODUCT(MAX(($D$4:$D$810=$D480)*($B$4:$B$810&lt;$B480)*$B$4:$B$810)),'Guide &amp; Settings'!$C$50))/7-'Guide &amp; Settings'!$C$48,0)*'Guide &amp; Settings'!$C$49))</f>
        <v/>
      </c>
    </row>
    <row r="481" spans="1:29" x14ac:dyDescent="0.2">
      <c r="A481" s="111"/>
      <c r="B481" s="112"/>
      <c r="C481" s="113"/>
      <c r="D481" s="113"/>
      <c r="E481" s="111"/>
      <c r="F481" s="114">
        <f t="shared" si="119"/>
        <v>0</v>
      </c>
      <c r="G481" s="115" t="str">
        <f t="shared" si="120"/>
        <v/>
      </c>
      <c r="H481" s="116">
        <f>IF($D481="",0,IFERROR(LOOKUP(2,1/(($D$3:D480=$D481)*($A$3:A480&lt;$A481)),$N$3:N480),'Guide &amp; Settings'!$C$41))</f>
        <v>0</v>
      </c>
      <c r="I481" s="117">
        <f t="shared" si="121"/>
        <v>0</v>
      </c>
      <c r="J481" s="118">
        <f>IF($D481="",0,IF($F481&lt;2,0,IF($E481="Win",('Guide &amp; Settings'!$C$42/(($F481-1)*COUNTIFS($A$4:$A$810,$A481,$E$4:$E$810,"Win")))*SUMIFS($X$4:$X$810,$A$4:$A$810,$A481,$E$4:$E$810,"Loss"),-('Guide &amp; Settings'!$C$42/($F481-1))*$X481)))</f>
        <v>0</v>
      </c>
      <c r="K481" s="118">
        <f>IF($D481="",0,'Guide &amp; Settings'!$C$43*(IF($E481="Win",1,0)-$I481))</f>
        <v>0</v>
      </c>
      <c r="L481" s="119">
        <f>IF($D481="",0,'Guide &amp; Settings'!$C$44*IF($F481&gt;=3,$F481,0))</f>
        <v>0</v>
      </c>
      <c r="M481" s="118">
        <f t="shared" si="122"/>
        <v>0</v>
      </c>
      <c r="N481" s="116">
        <f t="shared" si="123"/>
        <v>0</v>
      </c>
      <c r="O481" s="115" t="str">
        <f t="shared" si="124"/>
        <v/>
      </c>
      <c r="P481">
        <f t="shared" si="125"/>
        <v>0</v>
      </c>
      <c r="Q481">
        <f t="shared" si="126"/>
        <v>0</v>
      </c>
      <c r="R481">
        <f t="shared" si="127"/>
        <v>0</v>
      </c>
      <c r="S481">
        <f t="shared" si="128"/>
        <v>0</v>
      </c>
      <c r="T481" s="83">
        <f t="shared" si="129"/>
        <v>0</v>
      </c>
      <c r="U481" s="120">
        <f>IF($D481="",0,IFERROR(LOOKUP(2,1/(($D$3:D480=$D481)*($C$3:C480=$C481)*($A$3:A480&lt;$A481)),$AB$3:AB480),1000))</f>
        <v>0</v>
      </c>
      <c r="V481" s="120">
        <f t="shared" si="130"/>
        <v>0</v>
      </c>
      <c r="W481">
        <f t="shared" si="131"/>
        <v>0</v>
      </c>
      <c r="X481">
        <f t="shared" si="132"/>
        <v>0</v>
      </c>
      <c r="Y481">
        <f t="shared" si="133"/>
        <v>0</v>
      </c>
      <c r="Z481">
        <f t="shared" si="134"/>
        <v>0</v>
      </c>
      <c r="AA481">
        <f>IF($D481="",0,IF($F481&lt;2,0,IF($E481="Win",('Guide &amp; Settings'!$C$42/(($F481-1)*COUNTIFS($A$4:$A$810,$A481,$E$4:$E$810,"Win")))*SUMIFS($Z$4:$Z$810,$A$4:$A$810,$A481,$E$4:$E$810,"Loss"),-('Guide &amp; Settings'!$C$42/($F481-1))*$Z481)))</f>
        <v>0</v>
      </c>
      <c r="AB481" s="120">
        <f t="shared" si="135"/>
        <v>0</v>
      </c>
      <c r="AC481" s="120" t="str">
        <f>IF($D481="","",IF(SUMPRODUCT(MAX(($D$4:$D$810=$D481)*($B$4:$B$810&lt;$B481)*$B$4:$B$810))=0,0,MAX(($B481-MAX(SUMPRODUCT(MAX(($D$4:$D$810=$D481)*($B$4:$B$810&lt;$B481)*$B$4:$B$810)),'Guide &amp; Settings'!$C$50))/7-'Guide &amp; Settings'!$C$48,0)*'Guide &amp; Settings'!$C$49))</f>
        <v/>
      </c>
    </row>
    <row r="482" spans="1:29" x14ac:dyDescent="0.2">
      <c r="A482" s="111"/>
      <c r="B482" s="112"/>
      <c r="C482" s="113"/>
      <c r="D482" s="113"/>
      <c r="E482" s="111"/>
      <c r="F482" s="114">
        <f t="shared" si="119"/>
        <v>0</v>
      </c>
      <c r="G482" s="115" t="str">
        <f t="shared" si="120"/>
        <v/>
      </c>
      <c r="H482" s="116">
        <f>IF($D482="",0,IFERROR(LOOKUP(2,1/(($D$3:D481=$D482)*($A$3:A481&lt;$A482)),$N$3:N481),'Guide &amp; Settings'!$C$41))</f>
        <v>0</v>
      </c>
      <c r="I482" s="117">
        <f t="shared" si="121"/>
        <v>0</v>
      </c>
      <c r="J482" s="118">
        <f>IF($D482="",0,IF($F482&lt;2,0,IF($E482="Win",('Guide &amp; Settings'!$C$42/(($F482-1)*COUNTIFS($A$4:$A$810,$A482,$E$4:$E$810,"Win")))*SUMIFS($X$4:$X$810,$A$4:$A$810,$A482,$E$4:$E$810,"Loss"),-('Guide &amp; Settings'!$C$42/($F482-1))*$X482)))</f>
        <v>0</v>
      </c>
      <c r="K482" s="118">
        <f>IF($D482="",0,'Guide &amp; Settings'!$C$43*(IF($E482="Win",1,0)-$I482))</f>
        <v>0</v>
      </c>
      <c r="L482" s="119">
        <f>IF($D482="",0,'Guide &amp; Settings'!$C$44*IF($F482&gt;=3,$F482,0))</f>
        <v>0</v>
      </c>
      <c r="M482" s="118">
        <f t="shared" si="122"/>
        <v>0</v>
      </c>
      <c r="N482" s="116">
        <f t="shared" si="123"/>
        <v>0</v>
      </c>
      <c r="O482" s="115" t="str">
        <f t="shared" si="124"/>
        <v/>
      </c>
      <c r="P482">
        <f t="shared" si="125"/>
        <v>0</v>
      </c>
      <c r="Q482">
        <f t="shared" si="126"/>
        <v>0</v>
      </c>
      <c r="R482">
        <f t="shared" si="127"/>
        <v>0</v>
      </c>
      <c r="S482">
        <f t="shared" si="128"/>
        <v>0</v>
      </c>
      <c r="T482" s="83">
        <f t="shared" si="129"/>
        <v>0</v>
      </c>
      <c r="U482" s="120">
        <f>IF($D482="",0,IFERROR(LOOKUP(2,1/(($D$3:D481=$D482)*($C$3:C481=$C482)*($A$3:A481&lt;$A482)),$AB$3:AB481),1000))</f>
        <v>0</v>
      </c>
      <c r="V482" s="120">
        <f t="shared" si="130"/>
        <v>0</v>
      </c>
      <c r="W482">
        <f t="shared" si="131"/>
        <v>0</v>
      </c>
      <c r="X482">
        <f t="shared" si="132"/>
        <v>0</v>
      </c>
      <c r="Y482">
        <f t="shared" si="133"/>
        <v>0</v>
      </c>
      <c r="Z482">
        <f t="shared" si="134"/>
        <v>0</v>
      </c>
      <c r="AA482">
        <f>IF($D482="",0,IF($F482&lt;2,0,IF($E482="Win",('Guide &amp; Settings'!$C$42/(($F482-1)*COUNTIFS($A$4:$A$810,$A482,$E$4:$E$810,"Win")))*SUMIFS($Z$4:$Z$810,$A$4:$A$810,$A482,$E$4:$E$810,"Loss"),-('Guide &amp; Settings'!$C$42/($F482-1))*$Z482)))</f>
        <v>0</v>
      </c>
      <c r="AB482" s="120">
        <f t="shared" si="135"/>
        <v>0</v>
      </c>
      <c r="AC482" s="120" t="str">
        <f>IF($D482="","",IF(SUMPRODUCT(MAX(($D$4:$D$810=$D482)*($B$4:$B$810&lt;$B482)*$B$4:$B$810))=0,0,MAX(($B482-MAX(SUMPRODUCT(MAX(($D$4:$D$810=$D482)*($B$4:$B$810&lt;$B482)*$B$4:$B$810)),'Guide &amp; Settings'!$C$50))/7-'Guide &amp; Settings'!$C$48,0)*'Guide &amp; Settings'!$C$49))</f>
        <v/>
      </c>
    </row>
    <row r="483" spans="1:29" x14ac:dyDescent="0.2">
      <c r="A483" s="111"/>
      <c r="B483" s="112"/>
      <c r="C483" s="113"/>
      <c r="D483" s="113"/>
      <c r="E483" s="111"/>
      <c r="F483" s="114">
        <f t="shared" si="119"/>
        <v>0</v>
      </c>
      <c r="G483" s="115" t="str">
        <f t="shared" si="120"/>
        <v/>
      </c>
      <c r="H483" s="116">
        <f>IF($D483="",0,IFERROR(LOOKUP(2,1/(($D$3:D482=$D483)*($A$3:A482&lt;$A483)),$N$3:N482),'Guide &amp; Settings'!$C$41))</f>
        <v>0</v>
      </c>
      <c r="I483" s="117">
        <f t="shared" si="121"/>
        <v>0</v>
      </c>
      <c r="J483" s="118">
        <f>IF($D483="",0,IF($F483&lt;2,0,IF($E483="Win",('Guide &amp; Settings'!$C$42/(($F483-1)*COUNTIFS($A$4:$A$810,$A483,$E$4:$E$810,"Win")))*SUMIFS($X$4:$X$810,$A$4:$A$810,$A483,$E$4:$E$810,"Loss"),-('Guide &amp; Settings'!$C$42/($F483-1))*$X483)))</f>
        <v>0</v>
      </c>
      <c r="K483" s="118">
        <f>IF($D483="",0,'Guide &amp; Settings'!$C$43*(IF($E483="Win",1,0)-$I483))</f>
        <v>0</v>
      </c>
      <c r="L483" s="119">
        <f>IF($D483="",0,'Guide &amp; Settings'!$C$44*IF($F483&gt;=3,$F483,0))</f>
        <v>0</v>
      </c>
      <c r="M483" s="118">
        <f t="shared" si="122"/>
        <v>0</v>
      </c>
      <c r="N483" s="116">
        <f t="shared" si="123"/>
        <v>0</v>
      </c>
      <c r="O483" s="115" t="str">
        <f t="shared" si="124"/>
        <v/>
      </c>
      <c r="P483">
        <f t="shared" si="125"/>
        <v>0</v>
      </c>
      <c r="Q483">
        <f t="shared" si="126"/>
        <v>0</v>
      </c>
      <c r="R483">
        <f t="shared" si="127"/>
        <v>0</v>
      </c>
      <c r="S483">
        <f t="shared" si="128"/>
        <v>0</v>
      </c>
      <c r="T483" s="83">
        <f t="shared" si="129"/>
        <v>0</v>
      </c>
      <c r="U483" s="120">
        <f>IF($D483="",0,IFERROR(LOOKUP(2,1/(($D$3:D482=$D483)*($C$3:C482=$C483)*($A$3:A482&lt;$A483)),$AB$3:AB482),1000))</f>
        <v>0</v>
      </c>
      <c r="V483" s="120">
        <f t="shared" si="130"/>
        <v>0</v>
      </c>
      <c r="W483">
        <f t="shared" si="131"/>
        <v>0</v>
      </c>
      <c r="X483">
        <f t="shared" si="132"/>
        <v>0</v>
      </c>
      <c r="Y483">
        <f t="shared" si="133"/>
        <v>0</v>
      </c>
      <c r="Z483">
        <f t="shared" si="134"/>
        <v>0</v>
      </c>
      <c r="AA483">
        <f>IF($D483="",0,IF($F483&lt;2,0,IF($E483="Win",('Guide &amp; Settings'!$C$42/(($F483-1)*COUNTIFS($A$4:$A$810,$A483,$E$4:$E$810,"Win")))*SUMIFS($Z$4:$Z$810,$A$4:$A$810,$A483,$E$4:$E$810,"Loss"),-('Guide &amp; Settings'!$C$42/($F483-1))*$Z483)))</f>
        <v>0</v>
      </c>
      <c r="AB483" s="120">
        <f t="shared" si="135"/>
        <v>0</v>
      </c>
      <c r="AC483" s="120" t="str">
        <f>IF($D483="","",IF(SUMPRODUCT(MAX(($D$4:$D$810=$D483)*($B$4:$B$810&lt;$B483)*$B$4:$B$810))=0,0,MAX(($B483-MAX(SUMPRODUCT(MAX(($D$4:$D$810=$D483)*($B$4:$B$810&lt;$B483)*$B$4:$B$810)),'Guide &amp; Settings'!$C$50))/7-'Guide &amp; Settings'!$C$48,0)*'Guide &amp; Settings'!$C$49))</f>
        <v/>
      </c>
    </row>
    <row r="484" spans="1:29" x14ac:dyDescent="0.2">
      <c r="A484" s="111"/>
      <c r="B484" s="112"/>
      <c r="C484" s="113"/>
      <c r="D484" s="113"/>
      <c r="E484" s="111"/>
      <c r="F484" s="114">
        <f t="shared" si="119"/>
        <v>0</v>
      </c>
      <c r="G484" s="115" t="str">
        <f t="shared" si="120"/>
        <v/>
      </c>
      <c r="H484" s="116">
        <f>IF($D484="",0,IFERROR(LOOKUP(2,1/(($D$3:D483=$D484)*($A$3:A483&lt;$A484)),$N$3:N483),'Guide &amp; Settings'!$C$41))</f>
        <v>0</v>
      </c>
      <c r="I484" s="117">
        <f t="shared" si="121"/>
        <v>0</v>
      </c>
      <c r="J484" s="118">
        <f>IF($D484="",0,IF($F484&lt;2,0,IF($E484="Win",('Guide &amp; Settings'!$C$42/(($F484-1)*COUNTIFS($A$4:$A$810,$A484,$E$4:$E$810,"Win")))*SUMIFS($X$4:$X$810,$A$4:$A$810,$A484,$E$4:$E$810,"Loss"),-('Guide &amp; Settings'!$C$42/($F484-1))*$X484)))</f>
        <v>0</v>
      </c>
      <c r="K484" s="118">
        <f>IF($D484="",0,'Guide &amp; Settings'!$C$43*(IF($E484="Win",1,0)-$I484))</f>
        <v>0</v>
      </c>
      <c r="L484" s="119">
        <f>IF($D484="",0,'Guide &amp; Settings'!$C$44*IF($F484&gt;=3,$F484,0))</f>
        <v>0</v>
      </c>
      <c r="M484" s="118">
        <f t="shared" si="122"/>
        <v>0</v>
      </c>
      <c r="N484" s="116">
        <f t="shared" si="123"/>
        <v>0</v>
      </c>
      <c r="O484" s="115" t="str">
        <f t="shared" si="124"/>
        <v/>
      </c>
      <c r="P484">
        <f t="shared" si="125"/>
        <v>0</v>
      </c>
      <c r="Q484">
        <f t="shared" si="126"/>
        <v>0</v>
      </c>
      <c r="R484">
        <f t="shared" si="127"/>
        <v>0</v>
      </c>
      <c r="S484">
        <f t="shared" si="128"/>
        <v>0</v>
      </c>
      <c r="T484" s="83">
        <f t="shared" si="129"/>
        <v>0</v>
      </c>
      <c r="U484" s="120">
        <f>IF($D484="",0,IFERROR(LOOKUP(2,1/(($D$3:D483=$D484)*($C$3:C483=$C484)*($A$3:A483&lt;$A484)),$AB$3:AB483),1000))</f>
        <v>0</v>
      </c>
      <c r="V484" s="120">
        <f t="shared" si="130"/>
        <v>0</v>
      </c>
      <c r="W484">
        <f t="shared" si="131"/>
        <v>0</v>
      </c>
      <c r="X484">
        <f t="shared" si="132"/>
        <v>0</v>
      </c>
      <c r="Y484">
        <f t="shared" si="133"/>
        <v>0</v>
      </c>
      <c r="Z484">
        <f t="shared" si="134"/>
        <v>0</v>
      </c>
      <c r="AA484">
        <f>IF($D484="",0,IF($F484&lt;2,0,IF($E484="Win",('Guide &amp; Settings'!$C$42/(($F484-1)*COUNTIFS($A$4:$A$810,$A484,$E$4:$E$810,"Win")))*SUMIFS($Z$4:$Z$810,$A$4:$A$810,$A484,$E$4:$E$810,"Loss"),-('Guide &amp; Settings'!$C$42/($F484-1))*$Z484)))</f>
        <v>0</v>
      </c>
      <c r="AB484" s="120">
        <f t="shared" si="135"/>
        <v>0</v>
      </c>
      <c r="AC484" s="120" t="str">
        <f>IF($D484="","",IF(SUMPRODUCT(MAX(($D$4:$D$810=$D484)*($B$4:$B$810&lt;$B484)*$B$4:$B$810))=0,0,MAX(($B484-MAX(SUMPRODUCT(MAX(($D$4:$D$810=$D484)*($B$4:$B$810&lt;$B484)*$B$4:$B$810)),'Guide &amp; Settings'!$C$50))/7-'Guide &amp; Settings'!$C$48,0)*'Guide &amp; Settings'!$C$49))</f>
        <v/>
      </c>
    </row>
    <row r="485" spans="1:29" x14ac:dyDescent="0.2">
      <c r="A485" s="111"/>
      <c r="B485" s="112"/>
      <c r="C485" s="113"/>
      <c r="D485" s="113"/>
      <c r="E485" s="111"/>
      <c r="F485" s="114">
        <f t="shared" si="119"/>
        <v>0</v>
      </c>
      <c r="G485" s="115" t="str">
        <f t="shared" si="120"/>
        <v/>
      </c>
      <c r="H485" s="116">
        <f>IF($D485="",0,IFERROR(LOOKUP(2,1/(($D$3:D484=$D485)*($A$3:A484&lt;$A485)),$N$3:N484),'Guide &amp; Settings'!$C$41))</f>
        <v>0</v>
      </c>
      <c r="I485" s="117">
        <f t="shared" si="121"/>
        <v>0</v>
      </c>
      <c r="J485" s="118">
        <f>IF($D485="",0,IF($F485&lt;2,0,IF($E485="Win",('Guide &amp; Settings'!$C$42/(($F485-1)*COUNTIFS($A$4:$A$810,$A485,$E$4:$E$810,"Win")))*SUMIFS($X$4:$X$810,$A$4:$A$810,$A485,$E$4:$E$810,"Loss"),-('Guide &amp; Settings'!$C$42/($F485-1))*$X485)))</f>
        <v>0</v>
      </c>
      <c r="K485" s="118">
        <f>IF($D485="",0,'Guide &amp; Settings'!$C$43*(IF($E485="Win",1,0)-$I485))</f>
        <v>0</v>
      </c>
      <c r="L485" s="119">
        <f>IF($D485="",0,'Guide &amp; Settings'!$C$44*IF($F485&gt;=3,$F485,0))</f>
        <v>0</v>
      </c>
      <c r="M485" s="118">
        <f t="shared" si="122"/>
        <v>0</v>
      </c>
      <c r="N485" s="116">
        <f t="shared" si="123"/>
        <v>0</v>
      </c>
      <c r="O485" s="115" t="str">
        <f t="shared" si="124"/>
        <v/>
      </c>
      <c r="P485">
        <f t="shared" si="125"/>
        <v>0</v>
      </c>
      <c r="Q485">
        <f t="shared" si="126"/>
        <v>0</v>
      </c>
      <c r="R485">
        <f t="shared" si="127"/>
        <v>0</v>
      </c>
      <c r="S485">
        <f t="shared" si="128"/>
        <v>0</v>
      </c>
      <c r="T485" s="83">
        <f t="shared" si="129"/>
        <v>0</v>
      </c>
      <c r="U485" s="120">
        <f>IF($D485="",0,IFERROR(LOOKUP(2,1/(($D$3:D484=$D485)*($C$3:C484=$C485)*($A$3:A484&lt;$A485)),$AB$3:AB484),1000))</f>
        <v>0</v>
      </c>
      <c r="V485" s="120">
        <f t="shared" si="130"/>
        <v>0</v>
      </c>
      <c r="W485">
        <f t="shared" si="131"/>
        <v>0</v>
      </c>
      <c r="X485">
        <f t="shared" si="132"/>
        <v>0</v>
      </c>
      <c r="Y485">
        <f t="shared" si="133"/>
        <v>0</v>
      </c>
      <c r="Z485">
        <f t="shared" si="134"/>
        <v>0</v>
      </c>
      <c r="AA485">
        <f>IF($D485="",0,IF($F485&lt;2,0,IF($E485="Win",('Guide &amp; Settings'!$C$42/(($F485-1)*COUNTIFS($A$4:$A$810,$A485,$E$4:$E$810,"Win")))*SUMIFS($Z$4:$Z$810,$A$4:$A$810,$A485,$E$4:$E$810,"Loss"),-('Guide &amp; Settings'!$C$42/($F485-1))*$Z485)))</f>
        <v>0</v>
      </c>
      <c r="AB485" s="120">
        <f t="shared" si="135"/>
        <v>0</v>
      </c>
      <c r="AC485" s="120" t="str">
        <f>IF($D485="","",IF(SUMPRODUCT(MAX(($D$4:$D$810=$D485)*($B$4:$B$810&lt;$B485)*$B$4:$B$810))=0,0,MAX(($B485-MAX(SUMPRODUCT(MAX(($D$4:$D$810=$D485)*($B$4:$B$810&lt;$B485)*$B$4:$B$810)),'Guide &amp; Settings'!$C$50))/7-'Guide &amp; Settings'!$C$48,0)*'Guide &amp; Settings'!$C$49))</f>
        <v/>
      </c>
    </row>
    <row r="486" spans="1:29" x14ac:dyDescent="0.2">
      <c r="A486" s="111"/>
      <c r="B486" s="112"/>
      <c r="C486" s="113"/>
      <c r="D486" s="113"/>
      <c r="E486" s="111"/>
      <c r="F486" s="114">
        <f t="shared" si="119"/>
        <v>0</v>
      </c>
      <c r="G486" s="115" t="str">
        <f t="shared" si="120"/>
        <v/>
      </c>
      <c r="H486" s="116">
        <f>IF($D486="",0,IFERROR(LOOKUP(2,1/(($D$3:D485=$D486)*($A$3:A485&lt;$A486)),$N$3:N485),'Guide &amp; Settings'!$C$41))</f>
        <v>0</v>
      </c>
      <c r="I486" s="117">
        <f t="shared" si="121"/>
        <v>0</v>
      </c>
      <c r="J486" s="118">
        <f>IF($D486="",0,IF($F486&lt;2,0,IF($E486="Win",('Guide &amp; Settings'!$C$42/(($F486-1)*COUNTIFS($A$4:$A$810,$A486,$E$4:$E$810,"Win")))*SUMIFS($X$4:$X$810,$A$4:$A$810,$A486,$E$4:$E$810,"Loss"),-('Guide &amp; Settings'!$C$42/($F486-1))*$X486)))</f>
        <v>0</v>
      </c>
      <c r="K486" s="118">
        <f>IF($D486="",0,'Guide &amp; Settings'!$C$43*(IF($E486="Win",1,0)-$I486))</f>
        <v>0</v>
      </c>
      <c r="L486" s="119">
        <f>IF($D486="",0,'Guide &amp; Settings'!$C$44*IF($F486&gt;=3,$F486,0))</f>
        <v>0</v>
      </c>
      <c r="M486" s="118">
        <f t="shared" si="122"/>
        <v>0</v>
      </c>
      <c r="N486" s="116">
        <f t="shared" si="123"/>
        <v>0</v>
      </c>
      <c r="O486" s="115" t="str">
        <f t="shared" si="124"/>
        <v/>
      </c>
      <c r="P486">
        <f t="shared" si="125"/>
        <v>0</v>
      </c>
      <c r="Q486">
        <f t="shared" si="126"/>
        <v>0</v>
      </c>
      <c r="R486">
        <f t="shared" si="127"/>
        <v>0</v>
      </c>
      <c r="S486">
        <f t="shared" si="128"/>
        <v>0</v>
      </c>
      <c r="T486" s="83">
        <f t="shared" si="129"/>
        <v>0</v>
      </c>
      <c r="U486" s="120">
        <f>IF($D486="",0,IFERROR(LOOKUP(2,1/(($D$3:D485=$D486)*($C$3:C485=$C486)*($A$3:A485&lt;$A486)),$AB$3:AB485),1000))</f>
        <v>0</v>
      </c>
      <c r="V486" s="120">
        <f t="shared" si="130"/>
        <v>0</v>
      </c>
      <c r="W486">
        <f t="shared" si="131"/>
        <v>0</v>
      </c>
      <c r="X486">
        <f t="shared" si="132"/>
        <v>0</v>
      </c>
      <c r="Y486">
        <f t="shared" si="133"/>
        <v>0</v>
      </c>
      <c r="Z486">
        <f t="shared" si="134"/>
        <v>0</v>
      </c>
      <c r="AA486">
        <f>IF($D486="",0,IF($F486&lt;2,0,IF($E486="Win",('Guide &amp; Settings'!$C$42/(($F486-1)*COUNTIFS($A$4:$A$810,$A486,$E$4:$E$810,"Win")))*SUMIFS($Z$4:$Z$810,$A$4:$A$810,$A486,$E$4:$E$810,"Loss"),-('Guide &amp; Settings'!$C$42/($F486-1))*$Z486)))</f>
        <v>0</v>
      </c>
      <c r="AB486" s="120">
        <f t="shared" si="135"/>
        <v>0</v>
      </c>
      <c r="AC486" s="120" t="str">
        <f>IF($D486="","",IF(SUMPRODUCT(MAX(($D$4:$D$810=$D486)*($B$4:$B$810&lt;$B486)*$B$4:$B$810))=0,0,MAX(($B486-MAX(SUMPRODUCT(MAX(($D$4:$D$810=$D486)*($B$4:$B$810&lt;$B486)*$B$4:$B$810)),'Guide &amp; Settings'!$C$50))/7-'Guide &amp; Settings'!$C$48,0)*'Guide &amp; Settings'!$C$49))</f>
        <v/>
      </c>
    </row>
    <row r="487" spans="1:29" x14ac:dyDescent="0.2">
      <c r="A487" s="111"/>
      <c r="B487" s="112"/>
      <c r="C487" s="113"/>
      <c r="D487" s="113"/>
      <c r="E487" s="111"/>
      <c r="F487" s="114">
        <f t="shared" si="119"/>
        <v>0</v>
      </c>
      <c r="G487" s="115" t="str">
        <f t="shared" si="120"/>
        <v/>
      </c>
      <c r="H487" s="116">
        <f>IF($D487="",0,IFERROR(LOOKUP(2,1/(($D$3:D486=$D487)*($A$3:A486&lt;$A487)),$N$3:N486),'Guide &amp; Settings'!$C$41))</f>
        <v>0</v>
      </c>
      <c r="I487" s="117">
        <f t="shared" si="121"/>
        <v>0</v>
      </c>
      <c r="J487" s="118">
        <f>IF($D487="",0,IF($F487&lt;2,0,IF($E487="Win",('Guide &amp; Settings'!$C$42/(($F487-1)*COUNTIFS($A$4:$A$810,$A487,$E$4:$E$810,"Win")))*SUMIFS($X$4:$X$810,$A$4:$A$810,$A487,$E$4:$E$810,"Loss"),-('Guide &amp; Settings'!$C$42/($F487-1))*$X487)))</f>
        <v>0</v>
      </c>
      <c r="K487" s="118">
        <f>IF($D487="",0,'Guide &amp; Settings'!$C$43*(IF($E487="Win",1,0)-$I487))</f>
        <v>0</v>
      </c>
      <c r="L487" s="119">
        <f>IF($D487="",0,'Guide &amp; Settings'!$C$44*IF($F487&gt;=3,$F487,0))</f>
        <v>0</v>
      </c>
      <c r="M487" s="118">
        <f t="shared" si="122"/>
        <v>0</v>
      </c>
      <c r="N487" s="116">
        <f t="shared" si="123"/>
        <v>0</v>
      </c>
      <c r="O487" s="115" t="str">
        <f t="shared" si="124"/>
        <v/>
      </c>
      <c r="P487">
        <f t="shared" si="125"/>
        <v>0</v>
      </c>
      <c r="Q487">
        <f t="shared" si="126"/>
        <v>0</v>
      </c>
      <c r="R487">
        <f t="shared" si="127"/>
        <v>0</v>
      </c>
      <c r="S487">
        <f t="shared" si="128"/>
        <v>0</v>
      </c>
      <c r="T487" s="83">
        <f t="shared" si="129"/>
        <v>0</v>
      </c>
      <c r="U487" s="120">
        <f>IF($D487="",0,IFERROR(LOOKUP(2,1/(($D$3:D486=$D487)*($C$3:C486=$C487)*($A$3:A486&lt;$A487)),$AB$3:AB486),1000))</f>
        <v>0</v>
      </c>
      <c r="V487" s="120">
        <f t="shared" si="130"/>
        <v>0</v>
      </c>
      <c r="W487">
        <f t="shared" si="131"/>
        <v>0</v>
      </c>
      <c r="X487">
        <f t="shared" si="132"/>
        <v>0</v>
      </c>
      <c r="Y487">
        <f t="shared" si="133"/>
        <v>0</v>
      </c>
      <c r="Z487">
        <f t="shared" si="134"/>
        <v>0</v>
      </c>
      <c r="AA487">
        <f>IF($D487="",0,IF($F487&lt;2,0,IF($E487="Win",('Guide &amp; Settings'!$C$42/(($F487-1)*COUNTIFS($A$4:$A$810,$A487,$E$4:$E$810,"Win")))*SUMIFS($Z$4:$Z$810,$A$4:$A$810,$A487,$E$4:$E$810,"Loss"),-('Guide &amp; Settings'!$C$42/($F487-1))*$Z487)))</f>
        <v>0</v>
      </c>
      <c r="AB487" s="120">
        <f t="shared" si="135"/>
        <v>0</v>
      </c>
      <c r="AC487" s="120" t="str">
        <f>IF($D487="","",IF(SUMPRODUCT(MAX(($D$4:$D$810=$D487)*($B$4:$B$810&lt;$B487)*$B$4:$B$810))=0,0,MAX(($B487-MAX(SUMPRODUCT(MAX(($D$4:$D$810=$D487)*($B$4:$B$810&lt;$B487)*$B$4:$B$810)),'Guide &amp; Settings'!$C$50))/7-'Guide &amp; Settings'!$C$48,0)*'Guide &amp; Settings'!$C$49))</f>
        <v/>
      </c>
    </row>
    <row r="488" spans="1:29" x14ac:dyDescent="0.2">
      <c r="A488" s="111"/>
      <c r="B488" s="112"/>
      <c r="C488" s="113"/>
      <c r="D488" s="113"/>
      <c r="E488" s="111"/>
      <c r="F488" s="114">
        <f t="shared" si="119"/>
        <v>0</v>
      </c>
      <c r="G488" s="115" t="str">
        <f t="shared" si="120"/>
        <v/>
      </c>
      <c r="H488" s="116">
        <f>IF($D488="",0,IFERROR(LOOKUP(2,1/(($D$3:D487=$D488)*($A$3:A487&lt;$A488)),$N$3:N487),'Guide &amp; Settings'!$C$41))</f>
        <v>0</v>
      </c>
      <c r="I488" s="117">
        <f t="shared" si="121"/>
        <v>0</v>
      </c>
      <c r="J488" s="118">
        <f>IF($D488="",0,IF($F488&lt;2,0,IF($E488="Win",('Guide &amp; Settings'!$C$42/(($F488-1)*COUNTIFS($A$4:$A$810,$A488,$E$4:$E$810,"Win")))*SUMIFS($X$4:$X$810,$A$4:$A$810,$A488,$E$4:$E$810,"Loss"),-('Guide &amp; Settings'!$C$42/($F488-1))*$X488)))</f>
        <v>0</v>
      </c>
      <c r="K488" s="118">
        <f>IF($D488="",0,'Guide &amp; Settings'!$C$43*(IF($E488="Win",1,0)-$I488))</f>
        <v>0</v>
      </c>
      <c r="L488" s="119">
        <f>IF($D488="",0,'Guide &amp; Settings'!$C$44*IF($F488&gt;=3,$F488,0))</f>
        <v>0</v>
      </c>
      <c r="M488" s="118">
        <f t="shared" si="122"/>
        <v>0</v>
      </c>
      <c r="N488" s="116">
        <f t="shared" si="123"/>
        <v>0</v>
      </c>
      <c r="O488" s="115" t="str">
        <f t="shared" si="124"/>
        <v/>
      </c>
      <c r="P488">
        <f t="shared" si="125"/>
        <v>0</v>
      </c>
      <c r="Q488">
        <f t="shared" si="126"/>
        <v>0</v>
      </c>
      <c r="R488">
        <f t="shared" si="127"/>
        <v>0</v>
      </c>
      <c r="S488">
        <f t="shared" si="128"/>
        <v>0</v>
      </c>
      <c r="T488" s="83">
        <f t="shared" si="129"/>
        <v>0</v>
      </c>
      <c r="U488" s="120">
        <f>IF($D488="",0,IFERROR(LOOKUP(2,1/(($D$3:D487=$D488)*($C$3:C487=$C488)*($A$3:A487&lt;$A488)),$AB$3:AB487),1000))</f>
        <v>0</v>
      </c>
      <c r="V488" s="120">
        <f t="shared" si="130"/>
        <v>0</v>
      </c>
      <c r="W488">
        <f t="shared" si="131"/>
        <v>0</v>
      </c>
      <c r="X488">
        <f t="shared" si="132"/>
        <v>0</v>
      </c>
      <c r="Y488">
        <f t="shared" si="133"/>
        <v>0</v>
      </c>
      <c r="Z488">
        <f t="shared" si="134"/>
        <v>0</v>
      </c>
      <c r="AA488">
        <f>IF($D488="",0,IF($F488&lt;2,0,IF($E488="Win",('Guide &amp; Settings'!$C$42/(($F488-1)*COUNTIFS($A$4:$A$810,$A488,$E$4:$E$810,"Win")))*SUMIFS($Z$4:$Z$810,$A$4:$A$810,$A488,$E$4:$E$810,"Loss"),-('Guide &amp; Settings'!$C$42/($F488-1))*$Z488)))</f>
        <v>0</v>
      </c>
      <c r="AB488" s="120">
        <f t="shared" si="135"/>
        <v>0</v>
      </c>
      <c r="AC488" s="120" t="str">
        <f>IF($D488="","",IF(SUMPRODUCT(MAX(($D$4:$D$810=$D488)*($B$4:$B$810&lt;$B488)*$B$4:$B$810))=0,0,MAX(($B488-MAX(SUMPRODUCT(MAX(($D$4:$D$810=$D488)*($B$4:$B$810&lt;$B488)*$B$4:$B$810)),'Guide &amp; Settings'!$C$50))/7-'Guide &amp; Settings'!$C$48,0)*'Guide &amp; Settings'!$C$49))</f>
        <v/>
      </c>
    </row>
    <row r="489" spans="1:29" x14ac:dyDescent="0.2">
      <c r="A489" s="111"/>
      <c r="B489" s="112"/>
      <c r="C489" s="113"/>
      <c r="D489" s="113"/>
      <c r="E489" s="111"/>
      <c r="F489" s="114">
        <f t="shared" si="119"/>
        <v>0</v>
      </c>
      <c r="G489" s="115" t="str">
        <f t="shared" si="120"/>
        <v/>
      </c>
      <c r="H489" s="116">
        <f>IF($D489="",0,IFERROR(LOOKUP(2,1/(($D$3:D488=$D489)*($A$3:A488&lt;$A489)),$N$3:N488),'Guide &amp; Settings'!$C$41))</f>
        <v>0</v>
      </c>
      <c r="I489" s="117">
        <f t="shared" si="121"/>
        <v>0</v>
      </c>
      <c r="J489" s="118">
        <f>IF($D489="",0,IF($F489&lt;2,0,IF($E489="Win",('Guide &amp; Settings'!$C$42/(($F489-1)*COUNTIFS($A$4:$A$810,$A489,$E$4:$E$810,"Win")))*SUMIFS($X$4:$X$810,$A$4:$A$810,$A489,$E$4:$E$810,"Loss"),-('Guide &amp; Settings'!$C$42/($F489-1))*$X489)))</f>
        <v>0</v>
      </c>
      <c r="K489" s="118">
        <f>IF($D489="",0,'Guide &amp; Settings'!$C$43*(IF($E489="Win",1,0)-$I489))</f>
        <v>0</v>
      </c>
      <c r="L489" s="119">
        <f>IF($D489="",0,'Guide &amp; Settings'!$C$44*IF($F489&gt;=3,$F489,0))</f>
        <v>0</v>
      </c>
      <c r="M489" s="118">
        <f t="shared" si="122"/>
        <v>0</v>
      </c>
      <c r="N489" s="116">
        <f t="shared" si="123"/>
        <v>0</v>
      </c>
      <c r="O489" s="115" t="str">
        <f t="shared" si="124"/>
        <v/>
      </c>
      <c r="P489">
        <f t="shared" si="125"/>
        <v>0</v>
      </c>
      <c r="Q489">
        <f t="shared" si="126"/>
        <v>0</v>
      </c>
      <c r="R489">
        <f t="shared" si="127"/>
        <v>0</v>
      </c>
      <c r="S489">
        <f t="shared" si="128"/>
        <v>0</v>
      </c>
      <c r="T489" s="83">
        <f t="shared" si="129"/>
        <v>0</v>
      </c>
      <c r="U489" s="120">
        <f>IF($D489="",0,IFERROR(LOOKUP(2,1/(($D$3:D488=$D489)*($C$3:C488=$C489)*($A$3:A488&lt;$A489)),$AB$3:AB488),1000))</f>
        <v>0</v>
      </c>
      <c r="V489" s="120">
        <f t="shared" si="130"/>
        <v>0</v>
      </c>
      <c r="W489">
        <f t="shared" si="131"/>
        <v>0</v>
      </c>
      <c r="X489">
        <f t="shared" si="132"/>
        <v>0</v>
      </c>
      <c r="Y489">
        <f t="shared" si="133"/>
        <v>0</v>
      </c>
      <c r="Z489">
        <f t="shared" si="134"/>
        <v>0</v>
      </c>
      <c r="AA489">
        <f>IF($D489="",0,IF($F489&lt;2,0,IF($E489="Win",('Guide &amp; Settings'!$C$42/(($F489-1)*COUNTIFS($A$4:$A$810,$A489,$E$4:$E$810,"Win")))*SUMIFS($Z$4:$Z$810,$A$4:$A$810,$A489,$E$4:$E$810,"Loss"),-('Guide &amp; Settings'!$C$42/($F489-1))*$Z489)))</f>
        <v>0</v>
      </c>
      <c r="AB489" s="120">
        <f t="shared" si="135"/>
        <v>0</v>
      </c>
      <c r="AC489" s="120" t="str">
        <f>IF($D489="","",IF(SUMPRODUCT(MAX(($D$4:$D$810=$D489)*($B$4:$B$810&lt;$B489)*$B$4:$B$810))=0,0,MAX(($B489-MAX(SUMPRODUCT(MAX(($D$4:$D$810=$D489)*($B$4:$B$810&lt;$B489)*$B$4:$B$810)),'Guide &amp; Settings'!$C$50))/7-'Guide &amp; Settings'!$C$48,0)*'Guide &amp; Settings'!$C$49))</f>
        <v/>
      </c>
    </row>
    <row r="490" spans="1:29" x14ac:dyDescent="0.2">
      <c r="A490" s="111"/>
      <c r="B490" s="112"/>
      <c r="C490" s="113"/>
      <c r="D490" s="113"/>
      <c r="E490" s="111"/>
      <c r="F490" s="114">
        <f t="shared" si="119"/>
        <v>0</v>
      </c>
      <c r="G490" s="115" t="str">
        <f t="shared" si="120"/>
        <v/>
      </c>
      <c r="H490" s="116">
        <f>IF($D490="",0,IFERROR(LOOKUP(2,1/(($D$3:D489=$D490)*($A$3:A489&lt;$A490)),$N$3:N489),'Guide &amp; Settings'!$C$41))</f>
        <v>0</v>
      </c>
      <c r="I490" s="117">
        <f t="shared" si="121"/>
        <v>0</v>
      </c>
      <c r="J490" s="118">
        <f>IF($D490="",0,IF($F490&lt;2,0,IF($E490="Win",('Guide &amp; Settings'!$C$42/(($F490-1)*COUNTIFS($A$4:$A$810,$A490,$E$4:$E$810,"Win")))*SUMIFS($X$4:$X$810,$A$4:$A$810,$A490,$E$4:$E$810,"Loss"),-('Guide &amp; Settings'!$C$42/($F490-1))*$X490)))</f>
        <v>0</v>
      </c>
      <c r="K490" s="118">
        <f>IF($D490="",0,'Guide &amp; Settings'!$C$43*(IF($E490="Win",1,0)-$I490))</f>
        <v>0</v>
      </c>
      <c r="L490" s="119">
        <f>IF($D490="",0,'Guide &amp; Settings'!$C$44*IF($F490&gt;=3,$F490,0))</f>
        <v>0</v>
      </c>
      <c r="M490" s="118">
        <f t="shared" si="122"/>
        <v>0</v>
      </c>
      <c r="N490" s="116">
        <f t="shared" si="123"/>
        <v>0</v>
      </c>
      <c r="O490" s="115" t="str">
        <f t="shared" si="124"/>
        <v/>
      </c>
      <c r="P490">
        <f t="shared" si="125"/>
        <v>0</v>
      </c>
      <c r="Q490">
        <f t="shared" si="126"/>
        <v>0</v>
      </c>
      <c r="R490">
        <f t="shared" si="127"/>
        <v>0</v>
      </c>
      <c r="S490">
        <f t="shared" si="128"/>
        <v>0</v>
      </c>
      <c r="T490" s="83">
        <f t="shared" si="129"/>
        <v>0</v>
      </c>
      <c r="U490" s="120">
        <f>IF($D490="",0,IFERROR(LOOKUP(2,1/(($D$3:D489=$D490)*($C$3:C489=$C490)*($A$3:A489&lt;$A490)),$AB$3:AB489),1000))</f>
        <v>0</v>
      </c>
      <c r="V490" s="120">
        <f t="shared" si="130"/>
        <v>0</v>
      </c>
      <c r="W490">
        <f t="shared" si="131"/>
        <v>0</v>
      </c>
      <c r="X490">
        <f t="shared" si="132"/>
        <v>0</v>
      </c>
      <c r="Y490">
        <f t="shared" si="133"/>
        <v>0</v>
      </c>
      <c r="Z490">
        <f t="shared" si="134"/>
        <v>0</v>
      </c>
      <c r="AA490">
        <f>IF($D490="",0,IF($F490&lt;2,0,IF($E490="Win",('Guide &amp; Settings'!$C$42/(($F490-1)*COUNTIFS($A$4:$A$810,$A490,$E$4:$E$810,"Win")))*SUMIFS($Z$4:$Z$810,$A$4:$A$810,$A490,$E$4:$E$810,"Loss"),-('Guide &amp; Settings'!$C$42/($F490-1))*$Z490)))</f>
        <v>0</v>
      </c>
      <c r="AB490" s="120">
        <f t="shared" si="135"/>
        <v>0</v>
      </c>
      <c r="AC490" s="120" t="str">
        <f>IF($D490="","",IF(SUMPRODUCT(MAX(($D$4:$D$810=$D490)*($B$4:$B$810&lt;$B490)*$B$4:$B$810))=0,0,MAX(($B490-MAX(SUMPRODUCT(MAX(($D$4:$D$810=$D490)*($B$4:$B$810&lt;$B490)*$B$4:$B$810)),'Guide &amp; Settings'!$C$50))/7-'Guide &amp; Settings'!$C$48,0)*'Guide &amp; Settings'!$C$49))</f>
        <v/>
      </c>
    </row>
    <row r="491" spans="1:29" x14ac:dyDescent="0.2">
      <c r="A491" s="111"/>
      <c r="B491" s="112"/>
      <c r="C491" s="113"/>
      <c r="D491" s="113"/>
      <c r="E491" s="111"/>
      <c r="F491" s="114">
        <f t="shared" si="119"/>
        <v>0</v>
      </c>
      <c r="G491" s="115" t="str">
        <f t="shared" si="120"/>
        <v/>
      </c>
      <c r="H491" s="116">
        <f>IF($D491="",0,IFERROR(LOOKUP(2,1/(($D$3:D490=$D491)*($A$3:A490&lt;$A491)),$N$3:N490),'Guide &amp; Settings'!$C$41))</f>
        <v>0</v>
      </c>
      <c r="I491" s="117">
        <f t="shared" si="121"/>
        <v>0</v>
      </c>
      <c r="J491" s="118">
        <f>IF($D491="",0,IF($F491&lt;2,0,IF($E491="Win",('Guide &amp; Settings'!$C$42/(($F491-1)*COUNTIFS($A$4:$A$810,$A491,$E$4:$E$810,"Win")))*SUMIFS($X$4:$X$810,$A$4:$A$810,$A491,$E$4:$E$810,"Loss"),-('Guide &amp; Settings'!$C$42/($F491-1))*$X491)))</f>
        <v>0</v>
      </c>
      <c r="K491" s="118">
        <f>IF($D491="",0,'Guide &amp; Settings'!$C$43*(IF($E491="Win",1,0)-$I491))</f>
        <v>0</v>
      </c>
      <c r="L491" s="119">
        <f>IF($D491="",0,'Guide &amp; Settings'!$C$44*IF($F491&gt;=3,$F491,0))</f>
        <v>0</v>
      </c>
      <c r="M491" s="118">
        <f t="shared" si="122"/>
        <v>0</v>
      </c>
      <c r="N491" s="116">
        <f t="shared" si="123"/>
        <v>0</v>
      </c>
      <c r="O491" s="115" t="str">
        <f t="shared" si="124"/>
        <v/>
      </c>
      <c r="P491">
        <f t="shared" si="125"/>
        <v>0</v>
      </c>
      <c r="Q491">
        <f t="shared" si="126"/>
        <v>0</v>
      </c>
      <c r="R491">
        <f t="shared" si="127"/>
        <v>0</v>
      </c>
      <c r="S491">
        <f t="shared" si="128"/>
        <v>0</v>
      </c>
      <c r="T491" s="83">
        <f t="shared" si="129"/>
        <v>0</v>
      </c>
      <c r="U491" s="120">
        <f>IF($D491="",0,IFERROR(LOOKUP(2,1/(($D$3:D490=$D491)*($C$3:C490=$C491)*($A$3:A490&lt;$A491)),$AB$3:AB490),1000))</f>
        <v>0</v>
      </c>
      <c r="V491" s="120">
        <f t="shared" si="130"/>
        <v>0</v>
      </c>
      <c r="W491">
        <f t="shared" si="131"/>
        <v>0</v>
      </c>
      <c r="X491">
        <f t="shared" si="132"/>
        <v>0</v>
      </c>
      <c r="Y491">
        <f t="shared" si="133"/>
        <v>0</v>
      </c>
      <c r="Z491">
        <f t="shared" si="134"/>
        <v>0</v>
      </c>
      <c r="AA491">
        <f>IF($D491="",0,IF($F491&lt;2,0,IF($E491="Win",('Guide &amp; Settings'!$C$42/(($F491-1)*COUNTIFS($A$4:$A$810,$A491,$E$4:$E$810,"Win")))*SUMIFS($Z$4:$Z$810,$A$4:$A$810,$A491,$E$4:$E$810,"Loss"),-('Guide &amp; Settings'!$C$42/($F491-1))*$Z491)))</f>
        <v>0</v>
      </c>
      <c r="AB491" s="120">
        <f t="shared" si="135"/>
        <v>0</v>
      </c>
      <c r="AC491" s="120" t="str">
        <f>IF($D491="","",IF(SUMPRODUCT(MAX(($D$4:$D$810=$D491)*($B$4:$B$810&lt;$B491)*$B$4:$B$810))=0,0,MAX(($B491-MAX(SUMPRODUCT(MAX(($D$4:$D$810=$D491)*($B$4:$B$810&lt;$B491)*$B$4:$B$810)),'Guide &amp; Settings'!$C$50))/7-'Guide &amp; Settings'!$C$48,0)*'Guide &amp; Settings'!$C$49))</f>
        <v/>
      </c>
    </row>
    <row r="492" spans="1:29" x14ac:dyDescent="0.2">
      <c r="A492" s="111"/>
      <c r="B492" s="112"/>
      <c r="C492" s="113"/>
      <c r="D492" s="113"/>
      <c r="E492" s="111"/>
      <c r="F492" s="114">
        <f t="shared" si="119"/>
        <v>0</v>
      </c>
      <c r="G492" s="115" t="str">
        <f t="shared" si="120"/>
        <v/>
      </c>
      <c r="H492" s="116">
        <f>IF($D492="",0,IFERROR(LOOKUP(2,1/(($D$3:D491=$D492)*($A$3:A491&lt;$A492)),$N$3:N491),'Guide &amp; Settings'!$C$41))</f>
        <v>0</v>
      </c>
      <c r="I492" s="117">
        <f t="shared" si="121"/>
        <v>0</v>
      </c>
      <c r="J492" s="118">
        <f>IF($D492="",0,IF($F492&lt;2,0,IF($E492="Win",('Guide &amp; Settings'!$C$42/(($F492-1)*COUNTIFS($A$4:$A$810,$A492,$E$4:$E$810,"Win")))*SUMIFS($X$4:$X$810,$A$4:$A$810,$A492,$E$4:$E$810,"Loss"),-('Guide &amp; Settings'!$C$42/($F492-1))*$X492)))</f>
        <v>0</v>
      </c>
      <c r="K492" s="118">
        <f>IF($D492="",0,'Guide &amp; Settings'!$C$43*(IF($E492="Win",1,0)-$I492))</f>
        <v>0</v>
      </c>
      <c r="L492" s="119">
        <f>IF($D492="",0,'Guide &amp; Settings'!$C$44*IF($F492&gt;=3,$F492,0))</f>
        <v>0</v>
      </c>
      <c r="M492" s="118">
        <f t="shared" si="122"/>
        <v>0</v>
      </c>
      <c r="N492" s="116">
        <f t="shared" si="123"/>
        <v>0</v>
      </c>
      <c r="O492" s="115" t="str">
        <f t="shared" si="124"/>
        <v/>
      </c>
      <c r="P492">
        <f t="shared" si="125"/>
        <v>0</v>
      </c>
      <c r="Q492">
        <f t="shared" si="126"/>
        <v>0</v>
      </c>
      <c r="R492">
        <f t="shared" si="127"/>
        <v>0</v>
      </c>
      <c r="S492">
        <f t="shared" si="128"/>
        <v>0</v>
      </c>
      <c r="T492" s="83">
        <f t="shared" si="129"/>
        <v>0</v>
      </c>
      <c r="U492" s="120">
        <f>IF($D492="",0,IFERROR(LOOKUP(2,1/(($D$3:D491=$D492)*($C$3:C491=$C492)*($A$3:A491&lt;$A492)),$AB$3:AB491),1000))</f>
        <v>0</v>
      </c>
      <c r="V492" s="120">
        <f t="shared" si="130"/>
        <v>0</v>
      </c>
      <c r="W492">
        <f t="shared" si="131"/>
        <v>0</v>
      </c>
      <c r="X492">
        <f t="shared" si="132"/>
        <v>0</v>
      </c>
      <c r="Y492">
        <f t="shared" si="133"/>
        <v>0</v>
      </c>
      <c r="Z492">
        <f t="shared" si="134"/>
        <v>0</v>
      </c>
      <c r="AA492">
        <f>IF($D492="",0,IF($F492&lt;2,0,IF($E492="Win",('Guide &amp; Settings'!$C$42/(($F492-1)*COUNTIFS($A$4:$A$810,$A492,$E$4:$E$810,"Win")))*SUMIFS($Z$4:$Z$810,$A$4:$A$810,$A492,$E$4:$E$810,"Loss"),-('Guide &amp; Settings'!$C$42/($F492-1))*$Z492)))</f>
        <v>0</v>
      </c>
      <c r="AB492" s="120">
        <f t="shared" si="135"/>
        <v>0</v>
      </c>
      <c r="AC492" s="120" t="str">
        <f>IF($D492="","",IF(SUMPRODUCT(MAX(($D$4:$D$810=$D492)*($B$4:$B$810&lt;$B492)*$B$4:$B$810))=0,0,MAX(($B492-MAX(SUMPRODUCT(MAX(($D$4:$D$810=$D492)*($B$4:$B$810&lt;$B492)*$B$4:$B$810)),'Guide &amp; Settings'!$C$50))/7-'Guide &amp; Settings'!$C$48,0)*'Guide &amp; Settings'!$C$49))</f>
        <v/>
      </c>
    </row>
    <row r="493" spans="1:29" x14ac:dyDescent="0.2">
      <c r="A493" s="111"/>
      <c r="B493" s="112"/>
      <c r="C493" s="113"/>
      <c r="D493" s="113"/>
      <c r="E493" s="111"/>
      <c r="F493" s="114">
        <f t="shared" si="119"/>
        <v>0</v>
      </c>
      <c r="G493" s="115" t="str">
        <f t="shared" si="120"/>
        <v/>
      </c>
      <c r="H493" s="116">
        <f>IF($D493="",0,IFERROR(LOOKUP(2,1/(($D$3:D492=$D493)*($A$3:A492&lt;$A493)),$N$3:N492),'Guide &amp; Settings'!$C$41))</f>
        <v>0</v>
      </c>
      <c r="I493" s="117">
        <f t="shared" si="121"/>
        <v>0</v>
      </c>
      <c r="J493" s="118">
        <f>IF($D493="",0,IF($F493&lt;2,0,IF($E493="Win",('Guide &amp; Settings'!$C$42/(($F493-1)*COUNTIFS($A$4:$A$810,$A493,$E$4:$E$810,"Win")))*SUMIFS($X$4:$X$810,$A$4:$A$810,$A493,$E$4:$E$810,"Loss"),-('Guide &amp; Settings'!$C$42/($F493-1))*$X493)))</f>
        <v>0</v>
      </c>
      <c r="K493" s="118">
        <f>IF($D493="",0,'Guide &amp; Settings'!$C$43*(IF($E493="Win",1,0)-$I493))</f>
        <v>0</v>
      </c>
      <c r="L493" s="119">
        <f>IF($D493="",0,'Guide &amp; Settings'!$C$44*IF($F493&gt;=3,$F493,0))</f>
        <v>0</v>
      </c>
      <c r="M493" s="118">
        <f t="shared" si="122"/>
        <v>0</v>
      </c>
      <c r="N493" s="116">
        <f t="shared" si="123"/>
        <v>0</v>
      </c>
      <c r="O493" s="115" t="str">
        <f t="shared" si="124"/>
        <v/>
      </c>
      <c r="P493">
        <f t="shared" si="125"/>
        <v>0</v>
      </c>
      <c r="Q493">
        <f t="shared" si="126"/>
        <v>0</v>
      </c>
      <c r="R493">
        <f t="shared" si="127"/>
        <v>0</v>
      </c>
      <c r="S493">
        <f t="shared" si="128"/>
        <v>0</v>
      </c>
      <c r="T493" s="83">
        <f t="shared" si="129"/>
        <v>0</v>
      </c>
      <c r="U493" s="120">
        <f>IF($D493="",0,IFERROR(LOOKUP(2,1/(($D$3:D492=$D493)*($C$3:C492=$C493)*($A$3:A492&lt;$A493)),$AB$3:AB492),1000))</f>
        <v>0</v>
      </c>
      <c r="V493" s="120">
        <f t="shared" si="130"/>
        <v>0</v>
      </c>
      <c r="W493">
        <f t="shared" si="131"/>
        <v>0</v>
      </c>
      <c r="X493">
        <f t="shared" si="132"/>
        <v>0</v>
      </c>
      <c r="Y493">
        <f t="shared" si="133"/>
        <v>0</v>
      </c>
      <c r="Z493">
        <f t="shared" si="134"/>
        <v>0</v>
      </c>
      <c r="AA493">
        <f>IF($D493="",0,IF($F493&lt;2,0,IF($E493="Win",('Guide &amp; Settings'!$C$42/(($F493-1)*COUNTIFS($A$4:$A$810,$A493,$E$4:$E$810,"Win")))*SUMIFS($Z$4:$Z$810,$A$4:$A$810,$A493,$E$4:$E$810,"Loss"),-('Guide &amp; Settings'!$C$42/($F493-1))*$Z493)))</f>
        <v>0</v>
      </c>
      <c r="AB493" s="120">
        <f t="shared" si="135"/>
        <v>0</v>
      </c>
      <c r="AC493" s="120" t="str">
        <f>IF($D493="","",IF(SUMPRODUCT(MAX(($D$4:$D$810=$D493)*($B$4:$B$810&lt;$B493)*$B$4:$B$810))=0,0,MAX(($B493-MAX(SUMPRODUCT(MAX(($D$4:$D$810=$D493)*($B$4:$B$810&lt;$B493)*$B$4:$B$810)),'Guide &amp; Settings'!$C$50))/7-'Guide &amp; Settings'!$C$48,0)*'Guide &amp; Settings'!$C$49))</f>
        <v/>
      </c>
    </row>
    <row r="494" spans="1:29" x14ac:dyDescent="0.2">
      <c r="A494" s="111"/>
      <c r="B494" s="112"/>
      <c r="C494" s="113"/>
      <c r="D494" s="113"/>
      <c r="E494" s="111"/>
      <c r="F494" s="114">
        <f t="shared" si="119"/>
        <v>0</v>
      </c>
      <c r="G494" s="115" t="str">
        <f t="shared" si="120"/>
        <v/>
      </c>
      <c r="H494" s="116">
        <f>IF($D494="",0,IFERROR(LOOKUP(2,1/(($D$3:D493=$D494)*($A$3:A493&lt;$A494)),$N$3:N493),'Guide &amp; Settings'!$C$41))</f>
        <v>0</v>
      </c>
      <c r="I494" s="117">
        <f t="shared" si="121"/>
        <v>0</v>
      </c>
      <c r="J494" s="118">
        <f>IF($D494="",0,IF($F494&lt;2,0,IF($E494="Win",('Guide &amp; Settings'!$C$42/(($F494-1)*COUNTIFS($A$4:$A$810,$A494,$E$4:$E$810,"Win")))*SUMIFS($X$4:$X$810,$A$4:$A$810,$A494,$E$4:$E$810,"Loss"),-('Guide &amp; Settings'!$C$42/($F494-1))*$X494)))</f>
        <v>0</v>
      </c>
      <c r="K494" s="118">
        <f>IF($D494="",0,'Guide &amp; Settings'!$C$43*(IF($E494="Win",1,0)-$I494))</f>
        <v>0</v>
      </c>
      <c r="L494" s="119">
        <f>IF($D494="",0,'Guide &amp; Settings'!$C$44*IF($F494&gt;=3,$F494,0))</f>
        <v>0</v>
      </c>
      <c r="M494" s="118">
        <f t="shared" si="122"/>
        <v>0</v>
      </c>
      <c r="N494" s="116">
        <f t="shared" si="123"/>
        <v>0</v>
      </c>
      <c r="O494" s="115" t="str">
        <f t="shared" si="124"/>
        <v/>
      </c>
      <c r="P494">
        <f t="shared" si="125"/>
        <v>0</v>
      </c>
      <c r="Q494">
        <f t="shared" si="126"/>
        <v>0</v>
      </c>
      <c r="R494">
        <f t="shared" si="127"/>
        <v>0</v>
      </c>
      <c r="S494">
        <f t="shared" si="128"/>
        <v>0</v>
      </c>
      <c r="T494" s="83">
        <f t="shared" si="129"/>
        <v>0</v>
      </c>
      <c r="U494" s="120">
        <f>IF($D494="",0,IFERROR(LOOKUP(2,1/(($D$3:D493=$D494)*($C$3:C493=$C494)*($A$3:A493&lt;$A494)),$AB$3:AB493),1000))</f>
        <v>0</v>
      </c>
      <c r="V494" s="120">
        <f t="shared" si="130"/>
        <v>0</v>
      </c>
      <c r="W494">
        <f t="shared" si="131"/>
        <v>0</v>
      </c>
      <c r="X494">
        <f t="shared" si="132"/>
        <v>0</v>
      </c>
      <c r="Y494">
        <f t="shared" si="133"/>
        <v>0</v>
      </c>
      <c r="Z494">
        <f t="shared" si="134"/>
        <v>0</v>
      </c>
      <c r="AA494">
        <f>IF($D494="",0,IF($F494&lt;2,0,IF($E494="Win",('Guide &amp; Settings'!$C$42/(($F494-1)*COUNTIFS($A$4:$A$810,$A494,$E$4:$E$810,"Win")))*SUMIFS($Z$4:$Z$810,$A$4:$A$810,$A494,$E$4:$E$810,"Loss"),-('Guide &amp; Settings'!$C$42/($F494-1))*$Z494)))</f>
        <v>0</v>
      </c>
      <c r="AB494" s="120">
        <f t="shared" si="135"/>
        <v>0</v>
      </c>
      <c r="AC494" s="120" t="str">
        <f>IF($D494="","",IF(SUMPRODUCT(MAX(($D$4:$D$810=$D494)*($B$4:$B$810&lt;$B494)*$B$4:$B$810))=0,0,MAX(($B494-MAX(SUMPRODUCT(MAX(($D$4:$D$810=$D494)*($B$4:$B$810&lt;$B494)*$B$4:$B$810)),'Guide &amp; Settings'!$C$50))/7-'Guide &amp; Settings'!$C$48,0)*'Guide &amp; Settings'!$C$49))</f>
        <v/>
      </c>
    </row>
    <row r="495" spans="1:29" x14ac:dyDescent="0.2">
      <c r="A495" s="111"/>
      <c r="B495" s="112"/>
      <c r="C495" s="113"/>
      <c r="D495" s="113"/>
      <c r="E495" s="111"/>
      <c r="F495" s="114">
        <f t="shared" si="119"/>
        <v>0</v>
      </c>
      <c r="G495" s="115" t="str">
        <f t="shared" si="120"/>
        <v/>
      </c>
      <c r="H495" s="116">
        <f>IF($D495="",0,IFERROR(LOOKUP(2,1/(($D$3:D494=$D495)*($A$3:A494&lt;$A495)),$N$3:N494),'Guide &amp; Settings'!$C$41))</f>
        <v>0</v>
      </c>
      <c r="I495" s="117">
        <f t="shared" si="121"/>
        <v>0</v>
      </c>
      <c r="J495" s="118">
        <f>IF($D495="",0,IF($F495&lt;2,0,IF($E495="Win",('Guide &amp; Settings'!$C$42/(($F495-1)*COUNTIFS($A$4:$A$810,$A495,$E$4:$E$810,"Win")))*SUMIFS($X$4:$X$810,$A$4:$A$810,$A495,$E$4:$E$810,"Loss"),-('Guide &amp; Settings'!$C$42/($F495-1))*$X495)))</f>
        <v>0</v>
      </c>
      <c r="K495" s="118">
        <f>IF($D495="",0,'Guide &amp; Settings'!$C$43*(IF($E495="Win",1,0)-$I495))</f>
        <v>0</v>
      </c>
      <c r="L495" s="119">
        <f>IF($D495="",0,'Guide &amp; Settings'!$C$44*IF($F495&gt;=3,$F495,0))</f>
        <v>0</v>
      </c>
      <c r="M495" s="118">
        <f t="shared" si="122"/>
        <v>0</v>
      </c>
      <c r="N495" s="116">
        <f t="shared" si="123"/>
        <v>0</v>
      </c>
      <c r="O495" s="115" t="str">
        <f t="shared" si="124"/>
        <v/>
      </c>
      <c r="P495">
        <f t="shared" si="125"/>
        <v>0</v>
      </c>
      <c r="Q495">
        <f t="shared" si="126"/>
        <v>0</v>
      </c>
      <c r="R495">
        <f t="shared" si="127"/>
        <v>0</v>
      </c>
      <c r="S495">
        <f t="shared" si="128"/>
        <v>0</v>
      </c>
      <c r="T495" s="83">
        <f t="shared" si="129"/>
        <v>0</v>
      </c>
      <c r="U495" s="120">
        <f>IF($D495="",0,IFERROR(LOOKUP(2,1/(($D$3:D494=$D495)*($C$3:C494=$C495)*($A$3:A494&lt;$A495)),$AB$3:AB494),1000))</f>
        <v>0</v>
      </c>
      <c r="V495" s="120">
        <f t="shared" si="130"/>
        <v>0</v>
      </c>
      <c r="W495">
        <f t="shared" si="131"/>
        <v>0</v>
      </c>
      <c r="X495">
        <f t="shared" si="132"/>
        <v>0</v>
      </c>
      <c r="Y495">
        <f t="shared" si="133"/>
        <v>0</v>
      </c>
      <c r="Z495">
        <f t="shared" si="134"/>
        <v>0</v>
      </c>
      <c r="AA495">
        <f>IF($D495="",0,IF($F495&lt;2,0,IF($E495="Win",('Guide &amp; Settings'!$C$42/(($F495-1)*COUNTIFS($A$4:$A$810,$A495,$E$4:$E$810,"Win")))*SUMIFS($Z$4:$Z$810,$A$4:$A$810,$A495,$E$4:$E$810,"Loss"),-('Guide &amp; Settings'!$C$42/($F495-1))*$Z495)))</f>
        <v>0</v>
      </c>
      <c r="AB495" s="120">
        <f t="shared" si="135"/>
        <v>0</v>
      </c>
      <c r="AC495" s="120" t="str">
        <f>IF($D495="","",IF(SUMPRODUCT(MAX(($D$4:$D$810=$D495)*($B$4:$B$810&lt;$B495)*$B$4:$B$810))=0,0,MAX(($B495-MAX(SUMPRODUCT(MAX(($D$4:$D$810=$D495)*($B$4:$B$810&lt;$B495)*$B$4:$B$810)),'Guide &amp; Settings'!$C$50))/7-'Guide &amp; Settings'!$C$48,0)*'Guide &amp; Settings'!$C$49))</f>
        <v/>
      </c>
    </row>
    <row r="496" spans="1:29" x14ac:dyDescent="0.2">
      <c r="A496" s="111"/>
      <c r="B496" s="112"/>
      <c r="C496" s="113"/>
      <c r="D496" s="113"/>
      <c r="E496" s="111"/>
      <c r="F496" s="114">
        <f t="shared" si="119"/>
        <v>0</v>
      </c>
      <c r="G496" s="115" t="str">
        <f t="shared" si="120"/>
        <v/>
      </c>
      <c r="H496" s="116">
        <f>IF($D496="",0,IFERROR(LOOKUP(2,1/(($D$3:D495=$D496)*($A$3:A495&lt;$A496)),$N$3:N495),'Guide &amp; Settings'!$C$41))</f>
        <v>0</v>
      </c>
      <c r="I496" s="117">
        <f t="shared" si="121"/>
        <v>0</v>
      </c>
      <c r="J496" s="118">
        <f>IF($D496="",0,IF($F496&lt;2,0,IF($E496="Win",('Guide &amp; Settings'!$C$42/(($F496-1)*COUNTIFS($A$4:$A$810,$A496,$E$4:$E$810,"Win")))*SUMIFS($X$4:$X$810,$A$4:$A$810,$A496,$E$4:$E$810,"Loss"),-('Guide &amp; Settings'!$C$42/($F496-1))*$X496)))</f>
        <v>0</v>
      </c>
      <c r="K496" s="118">
        <f>IF($D496="",0,'Guide &amp; Settings'!$C$43*(IF($E496="Win",1,0)-$I496))</f>
        <v>0</v>
      </c>
      <c r="L496" s="119">
        <f>IF($D496="",0,'Guide &amp; Settings'!$C$44*IF($F496&gt;=3,$F496,0))</f>
        <v>0</v>
      </c>
      <c r="M496" s="118">
        <f t="shared" si="122"/>
        <v>0</v>
      </c>
      <c r="N496" s="116">
        <f t="shared" si="123"/>
        <v>0</v>
      </c>
      <c r="O496" s="115" t="str">
        <f t="shared" si="124"/>
        <v/>
      </c>
      <c r="P496">
        <f t="shared" si="125"/>
        <v>0</v>
      </c>
      <c r="Q496">
        <f t="shared" si="126"/>
        <v>0</v>
      </c>
      <c r="R496">
        <f t="shared" si="127"/>
        <v>0</v>
      </c>
      <c r="S496">
        <f t="shared" si="128"/>
        <v>0</v>
      </c>
      <c r="T496" s="83">
        <f t="shared" si="129"/>
        <v>0</v>
      </c>
      <c r="U496" s="120">
        <f>IF($D496="",0,IFERROR(LOOKUP(2,1/(($D$3:D495=$D496)*($C$3:C495=$C496)*($A$3:A495&lt;$A496)),$AB$3:AB495),1000))</f>
        <v>0</v>
      </c>
      <c r="V496" s="120">
        <f t="shared" si="130"/>
        <v>0</v>
      </c>
      <c r="W496">
        <f t="shared" si="131"/>
        <v>0</v>
      </c>
      <c r="X496">
        <f t="shared" si="132"/>
        <v>0</v>
      </c>
      <c r="Y496">
        <f t="shared" si="133"/>
        <v>0</v>
      </c>
      <c r="Z496">
        <f t="shared" si="134"/>
        <v>0</v>
      </c>
      <c r="AA496">
        <f>IF($D496="",0,IF($F496&lt;2,0,IF($E496="Win",('Guide &amp; Settings'!$C$42/(($F496-1)*COUNTIFS($A$4:$A$810,$A496,$E$4:$E$810,"Win")))*SUMIFS($Z$4:$Z$810,$A$4:$A$810,$A496,$E$4:$E$810,"Loss"),-('Guide &amp; Settings'!$C$42/($F496-1))*$Z496)))</f>
        <v>0</v>
      </c>
      <c r="AB496" s="120">
        <f t="shared" si="135"/>
        <v>0</v>
      </c>
      <c r="AC496" s="120" t="str">
        <f>IF($D496="","",IF(SUMPRODUCT(MAX(($D$4:$D$810=$D496)*($B$4:$B$810&lt;$B496)*$B$4:$B$810))=0,0,MAX(($B496-MAX(SUMPRODUCT(MAX(($D$4:$D$810=$D496)*($B$4:$B$810&lt;$B496)*$B$4:$B$810)),'Guide &amp; Settings'!$C$50))/7-'Guide &amp; Settings'!$C$48,0)*'Guide &amp; Settings'!$C$49))</f>
        <v/>
      </c>
    </row>
    <row r="497" spans="1:29" x14ac:dyDescent="0.2">
      <c r="A497" s="111"/>
      <c r="B497" s="112"/>
      <c r="C497" s="113"/>
      <c r="D497" s="113"/>
      <c r="E497" s="111"/>
      <c r="F497" s="114">
        <f t="shared" si="119"/>
        <v>0</v>
      </c>
      <c r="G497" s="115" t="str">
        <f t="shared" si="120"/>
        <v/>
      </c>
      <c r="H497" s="116">
        <f>IF($D497="",0,IFERROR(LOOKUP(2,1/(($D$3:D496=$D497)*($A$3:A496&lt;$A497)),$N$3:N496),'Guide &amp; Settings'!$C$41))</f>
        <v>0</v>
      </c>
      <c r="I497" s="117">
        <f t="shared" si="121"/>
        <v>0</v>
      </c>
      <c r="J497" s="118">
        <f>IF($D497="",0,IF($F497&lt;2,0,IF($E497="Win",('Guide &amp; Settings'!$C$42/(($F497-1)*COUNTIFS($A$4:$A$810,$A497,$E$4:$E$810,"Win")))*SUMIFS($X$4:$X$810,$A$4:$A$810,$A497,$E$4:$E$810,"Loss"),-('Guide &amp; Settings'!$C$42/($F497-1))*$X497)))</f>
        <v>0</v>
      </c>
      <c r="K497" s="118">
        <f>IF($D497="",0,'Guide &amp; Settings'!$C$43*(IF($E497="Win",1,0)-$I497))</f>
        <v>0</v>
      </c>
      <c r="L497" s="119">
        <f>IF($D497="",0,'Guide &amp; Settings'!$C$44*IF($F497&gt;=3,$F497,0))</f>
        <v>0</v>
      </c>
      <c r="M497" s="118">
        <f t="shared" si="122"/>
        <v>0</v>
      </c>
      <c r="N497" s="116">
        <f t="shared" si="123"/>
        <v>0</v>
      </c>
      <c r="O497" s="115" t="str">
        <f t="shared" si="124"/>
        <v/>
      </c>
      <c r="P497">
        <f t="shared" si="125"/>
        <v>0</v>
      </c>
      <c r="Q497">
        <f t="shared" si="126"/>
        <v>0</v>
      </c>
      <c r="R497">
        <f t="shared" si="127"/>
        <v>0</v>
      </c>
      <c r="S497">
        <f t="shared" si="128"/>
        <v>0</v>
      </c>
      <c r="T497" s="83">
        <f t="shared" si="129"/>
        <v>0</v>
      </c>
      <c r="U497" s="120">
        <f>IF($D497="",0,IFERROR(LOOKUP(2,1/(($D$3:D496=$D497)*($C$3:C496=$C497)*($A$3:A496&lt;$A497)),$AB$3:AB496),1000))</f>
        <v>0</v>
      </c>
      <c r="V497" s="120">
        <f t="shared" si="130"/>
        <v>0</v>
      </c>
      <c r="W497">
        <f t="shared" si="131"/>
        <v>0</v>
      </c>
      <c r="X497">
        <f t="shared" si="132"/>
        <v>0</v>
      </c>
      <c r="Y497">
        <f t="shared" si="133"/>
        <v>0</v>
      </c>
      <c r="Z497">
        <f t="shared" si="134"/>
        <v>0</v>
      </c>
      <c r="AA497">
        <f>IF($D497="",0,IF($F497&lt;2,0,IF($E497="Win",('Guide &amp; Settings'!$C$42/(($F497-1)*COUNTIFS($A$4:$A$810,$A497,$E$4:$E$810,"Win")))*SUMIFS($Z$4:$Z$810,$A$4:$A$810,$A497,$E$4:$E$810,"Loss"),-('Guide &amp; Settings'!$C$42/($F497-1))*$Z497)))</f>
        <v>0</v>
      </c>
      <c r="AB497" s="120">
        <f t="shared" si="135"/>
        <v>0</v>
      </c>
      <c r="AC497" s="120" t="str">
        <f>IF($D497="","",IF(SUMPRODUCT(MAX(($D$4:$D$810=$D497)*($B$4:$B$810&lt;$B497)*$B$4:$B$810))=0,0,MAX(($B497-MAX(SUMPRODUCT(MAX(($D$4:$D$810=$D497)*($B$4:$B$810&lt;$B497)*$B$4:$B$810)),'Guide &amp; Settings'!$C$50))/7-'Guide &amp; Settings'!$C$48,0)*'Guide &amp; Settings'!$C$49))</f>
        <v/>
      </c>
    </row>
    <row r="498" spans="1:29" x14ac:dyDescent="0.2">
      <c r="A498" s="111"/>
      <c r="B498" s="112"/>
      <c r="C498" s="113"/>
      <c r="D498" s="113"/>
      <c r="E498" s="111"/>
      <c r="F498" s="114">
        <f t="shared" si="119"/>
        <v>0</v>
      </c>
      <c r="G498" s="115" t="str">
        <f t="shared" si="120"/>
        <v/>
      </c>
      <c r="H498" s="116">
        <f>IF($D498="",0,IFERROR(LOOKUP(2,1/(($D$3:D497=$D498)*($A$3:A497&lt;$A498)),$N$3:N497),'Guide &amp; Settings'!$C$41))</f>
        <v>0</v>
      </c>
      <c r="I498" s="117">
        <f t="shared" si="121"/>
        <v>0</v>
      </c>
      <c r="J498" s="118">
        <f>IF($D498="",0,IF($F498&lt;2,0,IF($E498="Win",('Guide &amp; Settings'!$C$42/(($F498-1)*COUNTIFS($A$4:$A$810,$A498,$E$4:$E$810,"Win")))*SUMIFS($X$4:$X$810,$A$4:$A$810,$A498,$E$4:$E$810,"Loss"),-('Guide &amp; Settings'!$C$42/($F498-1))*$X498)))</f>
        <v>0</v>
      </c>
      <c r="K498" s="118">
        <f>IF($D498="",0,'Guide &amp; Settings'!$C$43*(IF($E498="Win",1,0)-$I498))</f>
        <v>0</v>
      </c>
      <c r="L498" s="119">
        <f>IF($D498="",0,'Guide &amp; Settings'!$C$44*IF($F498&gt;=3,$F498,0))</f>
        <v>0</v>
      </c>
      <c r="M498" s="118">
        <f t="shared" si="122"/>
        <v>0</v>
      </c>
      <c r="N498" s="116">
        <f t="shared" si="123"/>
        <v>0</v>
      </c>
      <c r="O498" s="115" t="str">
        <f t="shared" si="124"/>
        <v/>
      </c>
      <c r="P498">
        <f t="shared" si="125"/>
        <v>0</v>
      </c>
      <c r="Q498">
        <f t="shared" si="126"/>
        <v>0</v>
      </c>
      <c r="R498">
        <f t="shared" si="127"/>
        <v>0</v>
      </c>
      <c r="S498">
        <f t="shared" si="128"/>
        <v>0</v>
      </c>
      <c r="T498" s="83">
        <f t="shared" si="129"/>
        <v>0</v>
      </c>
      <c r="U498" s="120">
        <f>IF($D498="",0,IFERROR(LOOKUP(2,1/(($D$3:D497=$D498)*($C$3:C497=$C498)*($A$3:A497&lt;$A498)),$AB$3:AB497),1000))</f>
        <v>0</v>
      </c>
      <c r="V498" s="120">
        <f t="shared" si="130"/>
        <v>0</v>
      </c>
      <c r="W498">
        <f t="shared" si="131"/>
        <v>0</v>
      </c>
      <c r="X498">
        <f t="shared" si="132"/>
        <v>0</v>
      </c>
      <c r="Y498">
        <f t="shared" si="133"/>
        <v>0</v>
      </c>
      <c r="Z498">
        <f t="shared" si="134"/>
        <v>0</v>
      </c>
      <c r="AA498">
        <f>IF($D498="",0,IF($F498&lt;2,0,IF($E498="Win",('Guide &amp; Settings'!$C$42/(($F498-1)*COUNTIFS($A$4:$A$810,$A498,$E$4:$E$810,"Win")))*SUMIFS($Z$4:$Z$810,$A$4:$A$810,$A498,$E$4:$E$810,"Loss"),-('Guide &amp; Settings'!$C$42/($F498-1))*$Z498)))</f>
        <v>0</v>
      </c>
      <c r="AB498" s="120">
        <f t="shared" si="135"/>
        <v>0</v>
      </c>
      <c r="AC498" s="120" t="str">
        <f>IF($D498="","",IF(SUMPRODUCT(MAX(($D$4:$D$810=$D498)*($B$4:$B$810&lt;$B498)*$B$4:$B$810))=0,0,MAX(($B498-MAX(SUMPRODUCT(MAX(($D$4:$D$810=$D498)*($B$4:$B$810&lt;$B498)*$B$4:$B$810)),'Guide &amp; Settings'!$C$50))/7-'Guide &amp; Settings'!$C$48,0)*'Guide &amp; Settings'!$C$49))</f>
        <v/>
      </c>
    </row>
    <row r="499" spans="1:29" x14ac:dyDescent="0.2">
      <c r="A499" s="111"/>
      <c r="B499" s="112"/>
      <c r="C499" s="113"/>
      <c r="D499" s="113"/>
      <c r="E499" s="111"/>
      <c r="F499" s="114">
        <f t="shared" si="119"/>
        <v>0</v>
      </c>
      <c r="G499" s="115" t="str">
        <f t="shared" si="120"/>
        <v/>
      </c>
      <c r="H499" s="116">
        <f>IF($D499="",0,IFERROR(LOOKUP(2,1/(($D$3:D498=$D499)*($A$3:A498&lt;$A499)),$N$3:N498),'Guide &amp; Settings'!$C$41))</f>
        <v>0</v>
      </c>
      <c r="I499" s="117">
        <f t="shared" si="121"/>
        <v>0</v>
      </c>
      <c r="J499" s="118">
        <f>IF($D499="",0,IF($F499&lt;2,0,IF($E499="Win",('Guide &amp; Settings'!$C$42/(($F499-1)*COUNTIFS($A$4:$A$810,$A499,$E$4:$E$810,"Win")))*SUMIFS($X$4:$X$810,$A$4:$A$810,$A499,$E$4:$E$810,"Loss"),-('Guide &amp; Settings'!$C$42/($F499-1))*$X499)))</f>
        <v>0</v>
      </c>
      <c r="K499" s="118">
        <f>IF($D499="",0,'Guide &amp; Settings'!$C$43*(IF($E499="Win",1,0)-$I499))</f>
        <v>0</v>
      </c>
      <c r="L499" s="119">
        <f>IF($D499="",0,'Guide &amp; Settings'!$C$44*IF($F499&gt;=3,$F499,0))</f>
        <v>0</v>
      </c>
      <c r="M499" s="118">
        <f t="shared" si="122"/>
        <v>0</v>
      </c>
      <c r="N499" s="116">
        <f t="shared" si="123"/>
        <v>0</v>
      </c>
      <c r="O499" s="115" t="str">
        <f t="shared" si="124"/>
        <v/>
      </c>
      <c r="P499">
        <f t="shared" si="125"/>
        <v>0</v>
      </c>
      <c r="Q499">
        <f t="shared" si="126"/>
        <v>0</v>
      </c>
      <c r="R499">
        <f t="shared" si="127"/>
        <v>0</v>
      </c>
      <c r="S499">
        <f t="shared" si="128"/>
        <v>0</v>
      </c>
      <c r="T499" s="83">
        <f t="shared" si="129"/>
        <v>0</v>
      </c>
      <c r="U499" s="120">
        <f>IF($D499="",0,IFERROR(LOOKUP(2,1/(($D$3:D498=$D499)*($C$3:C498=$C499)*($A$3:A498&lt;$A499)),$AB$3:AB498),1000))</f>
        <v>0</v>
      </c>
      <c r="V499" s="120">
        <f t="shared" si="130"/>
        <v>0</v>
      </c>
      <c r="W499">
        <f t="shared" si="131"/>
        <v>0</v>
      </c>
      <c r="X499">
        <f t="shared" si="132"/>
        <v>0</v>
      </c>
      <c r="Y499">
        <f t="shared" si="133"/>
        <v>0</v>
      </c>
      <c r="Z499">
        <f t="shared" si="134"/>
        <v>0</v>
      </c>
      <c r="AA499">
        <f>IF($D499="",0,IF($F499&lt;2,0,IF($E499="Win",('Guide &amp; Settings'!$C$42/(($F499-1)*COUNTIFS($A$4:$A$810,$A499,$E$4:$E$810,"Win")))*SUMIFS($Z$4:$Z$810,$A$4:$A$810,$A499,$E$4:$E$810,"Loss"),-('Guide &amp; Settings'!$C$42/($F499-1))*$Z499)))</f>
        <v>0</v>
      </c>
      <c r="AB499" s="120">
        <f t="shared" si="135"/>
        <v>0</v>
      </c>
      <c r="AC499" s="120" t="str">
        <f>IF($D499="","",IF(SUMPRODUCT(MAX(($D$4:$D$810=$D499)*($B$4:$B$810&lt;$B499)*$B$4:$B$810))=0,0,MAX(($B499-MAX(SUMPRODUCT(MAX(($D$4:$D$810=$D499)*($B$4:$B$810&lt;$B499)*$B$4:$B$810)),'Guide &amp; Settings'!$C$50))/7-'Guide &amp; Settings'!$C$48,0)*'Guide &amp; Settings'!$C$49))</f>
        <v/>
      </c>
    </row>
    <row r="500" spans="1:29" x14ac:dyDescent="0.2">
      <c r="A500" s="111"/>
      <c r="B500" s="112"/>
      <c r="C500" s="113"/>
      <c r="D500" s="113"/>
      <c r="E500" s="111"/>
      <c r="F500" s="114">
        <f t="shared" si="119"/>
        <v>0</v>
      </c>
      <c r="G500" s="115" t="str">
        <f t="shared" si="120"/>
        <v/>
      </c>
      <c r="H500" s="116">
        <f>IF($D500="",0,IFERROR(LOOKUP(2,1/(($D$3:D499=$D500)*($A$3:A499&lt;$A500)),$N$3:N499),'Guide &amp; Settings'!$C$41))</f>
        <v>0</v>
      </c>
      <c r="I500" s="117">
        <f t="shared" si="121"/>
        <v>0</v>
      </c>
      <c r="J500" s="118">
        <f>IF($D500="",0,IF($F500&lt;2,0,IF($E500="Win",('Guide &amp; Settings'!$C$42/(($F500-1)*COUNTIFS($A$4:$A$810,$A500,$E$4:$E$810,"Win")))*SUMIFS($X$4:$X$810,$A$4:$A$810,$A500,$E$4:$E$810,"Loss"),-('Guide &amp; Settings'!$C$42/($F500-1))*$X500)))</f>
        <v>0</v>
      </c>
      <c r="K500" s="118">
        <f>IF($D500="",0,'Guide &amp; Settings'!$C$43*(IF($E500="Win",1,0)-$I500))</f>
        <v>0</v>
      </c>
      <c r="L500" s="119">
        <f>IF($D500="",0,'Guide &amp; Settings'!$C$44*IF($F500&gt;=3,$F500,0))</f>
        <v>0</v>
      </c>
      <c r="M500" s="118">
        <f t="shared" si="122"/>
        <v>0</v>
      </c>
      <c r="N500" s="116">
        <f t="shared" si="123"/>
        <v>0</v>
      </c>
      <c r="O500" s="115" t="str">
        <f t="shared" si="124"/>
        <v/>
      </c>
      <c r="P500">
        <f t="shared" si="125"/>
        <v>0</v>
      </c>
      <c r="Q500">
        <f t="shared" si="126"/>
        <v>0</v>
      </c>
      <c r="R500">
        <f t="shared" si="127"/>
        <v>0</v>
      </c>
      <c r="S500">
        <f t="shared" si="128"/>
        <v>0</v>
      </c>
      <c r="T500" s="83">
        <f t="shared" si="129"/>
        <v>0</v>
      </c>
      <c r="U500" s="120">
        <f>IF($D500="",0,IFERROR(LOOKUP(2,1/(($D$3:D499=$D500)*($C$3:C499=$C500)*($A$3:A499&lt;$A500)),$AB$3:AB499),1000))</f>
        <v>0</v>
      </c>
      <c r="V500" s="120">
        <f t="shared" si="130"/>
        <v>0</v>
      </c>
      <c r="W500">
        <f t="shared" si="131"/>
        <v>0</v>
      </c>
      <c r="X500">
        <f t="shared" si="132"/>
        <v>0</v>
      </c>
      <c r="Y500">
        <f t="shared" si="133"/>
        <v>0</v>
      </c>
      <c r="Z500">
        <f t="shared" si="134"/>
        <v>0</v>
      </c>
      <c r="AA500">
        <f>IF($D500="",0,IF($F500&lt;2,0,IF($E500="Win",('Guide &amp; Settings'!$C$42/(($F500-1)*COUNTIFS($A$4:$A$810,$A500,$E$4:$E$810,"Win")))*SUMIFS($Z$4:$Z$810,$A$4:$A$810,$A500,$E$4:$E$810,"Loss"),-('Guide &amp; Settings'!$C$42/($F500-1))*$Z500)))</f>
        <v>0</v>
      </c>
      <c r="AB500" s="120">
        <f t="shared" si="135"/>
        <v>0</v>
      </c>
      <c r="AC500" s="120" t="str">
        <f>IF($D500="","",IF(SUMPRODUCT(MAX(($D$4:$D$810=$D500)*($B$4:$B$810&lt;$B500)*$B$4:$B$810))=0,0,MAX(($B500-MAX(SUMPRODUCT(MAX(($D$4:$D$810=$D500)*($B$4:$B$810&lt;$B500)*$B$4:$B$810)),'Guide &amp; Settings'!$C$50))/7-'Guide &amp; Settings'!$C$48,0)*'Guide &amp; Settings'!$C$49))</f>
        <v/>
      </c>
    </row>
    <row r="501" spans="1:29" x14ac:dyDescent="0.2">
      <c r="A501" s="111"/>
      <c r="B501" s="112"/>
      <c r="C501" s="113"/>
      <c r="D501" s="113"/>
      <c r="E501" s="111"/>
      <c r="F501" s="114">
        <f t="shared" si="119"/>
        <v>0</v>
      </c>
      <c r="G501" s="115" t="str">
        <f t="shared" si="120"/>
        <v/>
      </c>
      <c r="H501" s="116">
        <f>IF($D501="",0,IFERROR(LOOKUP(2,1/(($D$3:D500=$D501)*($A$3:A500&lt;$A501)),$N$3:N500),'Guide &amp; Settings'!$C$41))</f>
        <v>0</v>
      </c>
      <c r="I501" s="117">
        <f t="shared" si="121"/>
        <v>0</v>
      </c>
      <c r="J501" s="118">
        <f>IF($D501="",0,IF($F501&lt;2,0,IF($E501="Win",('Guide &amp; Settings'!$C$42/(($F501-1)*COUNTIFS($A$4:$A$810,$A501,$E$4:$E$810,"Win")))*SUMIFS($X$4:$X$810,$A$4:$A$810,$A501,$E$4:$E$810,"Loss"),-('Guide &amp; Settings'!$C$42/($F501-1))*$X501)))</f>
        <v>0</v>
      </c>
      <c r="K501" s="118">
        <f>IF($D501="",0,'Guide &amp; Settings'!$C$43*(IF($E501="Win",1,0)-$I501))</f>
        <v>0</v>
      </c>
      <c r="L501" s="119">
        <f>IF($D501="",0,'Guide &amp; Settings'!$C$44*IF($F501&gt;=3,$F501,0))</f>
        <v>0</v>
      </c>
      <c r="M501" s="118">
        <f t="shared" si="122"/>
        <v>0</v>
      </c>
      <c r="N501" s="116">
        <f t="shared" si="123"/>
        <v>0</v>
      </c>
      <c r="O501" s="115" t="str">
        <f t="shared" si="124"/>
        <v/>
      </c>
      <c r="P501">
        <f t="shared" si="125"/>
        <v>0</v>
      </c>
      <c r="Q501">
        <f t="shared" si="126"/>
        <v>0</v>
      </c>
      <c r="R501">
        <f t="shared" si="127"/>
        <v>0</v>
      </c>
      <c r="S501">
        <f t="shared" si="128"/>
        <v>0</v>
      </c>
      <c r="T501" s="83">
        <f t="shared" si="129"/>
        <v>0</v>
      </c>
      <c r="U501" s="120">
        <f>IF($D501="",0,IFERROR(LOOKUP(2,1/(($D$3:D500=$D501)*($C$3:C500=$C501)*($A$3:A500&lt;$A501)),$AB$3:AB500),1000))</f>
        <v>0</v>
      </c>
      <c r="V501" s="120">
        <f t="shared" si="130"/>
        <v>0</v>
      </c>
      <c r="W501">
        <f t="shared" si="131"/>
        <v>0</v>
      </c>
      <c r="X501">
        <f t="shared" si="132"/>
        <v>0</v>
      </c>
      <c r="Y501">
        <f t="shared" si="133"/>
        <v>0</v>
      </c>
      <c r="Z501">
        <f t="shared" si="134"/>
        <v>0</v>
      </c>
      <c r="AA501">
        <f>IF($D501="",0,IF($F501&lt;2,0,IF($E501="Win",('Guide &amp; Settings'!$C$42/(($F501-1)*COUNTIFS($A$4:$A$810,$A501,$E$4:$E$810,"Win")))*SUMIFS($Z$4:$Z$810,$A$4:$A$810,$A501,$E$4:$E$810,"Loss"),-('Guide &amp; Settings'!$C$42/($F501-1))*$Z501)))</f>
        <v>0</v>
      </c>
      <c r="AB501" s="120">
        <f t="shared" si="135"/>
        <v>0</v>
      </c>
      <c r="AC501" s="120" t="str">
        <f>IF($D501="","",IF(SUMPRODUCT(MAX(($D$4:$D$810=$D501)*($B$4:$B$810&lt;$B501)*$B$4:$B$810))=0,0,MAX(($B501-MAX(SUMPRODUCT(MAX(($D$4:$D$810=$D501)*($B$4:$B$810&lt;$B501)*$B$4:$B$810)),'Guide &amp; Settings'!$C$50))/7-'Guide &amp; Settings'!$C$48,0)*'Guide &amp; Settings'!$C$49))</f>
        <v/>
      </c>
    </row>
    <row r="502" spans="1:29" x14ac:dyDescent="0.2">
      <c r="A502" s="111"/>
      <c r="B502" s="112"/>
      <c r="C502" s="113"/>
      <c r="D502" s="113"/>
      <c r="E502" s="111"/>
      <c r="F502" s="114">
        <f t="shared" si="119"/>
        <v>0</v>
      </c>
      <c r="G502" s="115" t="str">
        <f t="shared" si="120"/>
        <v/>
      </c>
      <c r="H502" s="116">
        <f>IF($D502="",0,IFERROR(LOOKUP(2,1/(($D$3:D501=$D502)*($A$3:A501&lt;$A502)),$N$3:N501),'Guide &amp; Settings'!$C$41))</f>
        <v>0</v>
      </c>
      <c r="I502" s="117">
        <f t="shared" si="121"/>
        <v>0</v>
      </c>
      <c r="J502" s="118">
        <f>IF($D502="",0,IF($F502&lt;2,0,IF($E502="Win",('Guide &amp; Settings'!$C$42/(($F502-1)*COUNTIFS($A$4:$A$810,$A502,$E$4:$E$810,"Win")))*SUMIFS($X$4:$X$810,$A$4:$A$810,$A502,$E$4:$E$810,"Loss"),-('Guide &amp; Settings'!$C$42/($F502-1))*$X502)))</f>
        <v>0</v>
      </c>
      <c r="K502" s="118">
        <f>IF($D502="",0,'Guide &amp; Settings'!$C$43*(IF($E502="Win",1,0)-$I502))</f>
        <v>0</v>
      </c>
      <c r="L502" s="119">
        <f>IF($D502="",0,'Guide &amp; Settings'!$C$44*IF($F502&gt;=3,$F502,0))</f>
        <v>0</v>
      </c>
      <c r="M502" s="118">
        <f t="shared" si="122"/>
        <v>0</v>
      </c>
      <c r="N502" s="116">
        <f t="shared" si="123"/>
        <v>0</v>
      </c>
      <c r="O502" s="115" t="str">
        <f t="shared" si="124"/>
        <v/>
      </c>
      <c r="P502">
        <f t="shared" si="125"/>
        <v>0</v>
      </c>
      <c r="Q502">
        <f t="shared" si="126"/>
        <v>0</v>
      </c>
      <c r="R502">
        <f t="shared" si="127"/>
        <v>0</v>
      </c>
      <c r="S502">
        <f t="shared" si="128"/>
        <v>0</v>
      </c>
      <c r="T502" s="83">
        <f t="shared" si="129"/>
        <v>0</v>
      </c>
      <c r="U502" s="120">
        <f>IF($D502="",0,IFERROR(LOOKUP(2,1/(($D$3:D501=$D502)*($C$3:C501=$C502)*($A$3:A501&lt;$A502)),$AB$3:AB501),1000))</f>
        <v>0</v>
      </c>
      <c r="V502" s="120">
        <f t="shared" si="130"/>
        <v>0</v>
      </c>
      <c r="W502">
        <f t="shared" si="131"/>
        <v>0</v>
      </c>
      <c r="X502">
        <f t="shared" si="132"/>
        <v>0</v>
      </c>
      <c r="Y502">
        <f t="shared" si="133"/>
        <v>0</v>
      </c>
      <c r="Z502">
        <f t="shared" si="134"/>
        <v>0</v>
      </c>
      <c r="AA502">
        <f>IF($D502="",0,IF($F502&lt;2,0,IF($E502="Win",('Guide &amp; Settings'!$C$42/(($F502-1)*COUNTIFS($A$4:$A$810,$A502,$E$4:$E$810,"Win")))*SUMIFS($Z$4:$Z$810,$A$4:$A$810,$A502,$E$4:$E$810,"Loss"),-('Guide &amp; Settings'!$C$42/($F502-1))*$Z502)))</f>
        <v>0</v>
      </c>
      <c r="AB502" s="120">
        <f t="shared" si="135"/>
        <v>0</v>
      </c>
      <c r="AC502" s="120" t="str">
        <f>IF($D502="","",IF(SUMPRODUCT(MAX(($D$4:$D$810=$D502)*($B$4:$B$810&lt;$B502)*$B$4:$B$810))=0,0,MAX(($B502-MAX(SUMPRODUCT(MAX(($D$4:$D$810=$D502)*($B$4:$B$810&lt;$B502)*$B$4:$B$810)),'Guide &amp; Settings'!$C$50))/7-'Guide &amp; Settings'!$C$48,0)*'Guide &amp; Settings'!$C$49))</f>
        <v/>
      </c>
    </row>
    <row r="503" spans="1:29" x14ac:dyDescent="0.2">
      <c r="A503" s="111"/>
      <c r="B503" s="112"/>
      <c r="C503" s="113"/>
      <c r="D503" s="113"/>
      <c r="E503" s="111"/>
      <c r="F503" s="114">
        <f t="shared" si="119"/>
        <v>0</v>
      </c>
      <c r="G503" s="115" t="str">
        <f t="shared" si="120"/>
        <v/>
      </c>
      <c r="H503" s="116">
        <f>IF($D503="",0,IFERROR(LOOKUP(2,1/(($D$3:D502=$D503)*($A$3:A502&lt;$A503)),$N$3:N502),'Guide &amp; Settings'!$C$41))</f>
        <v>0</v>
      </c>
      <c r="I503" s="117">
        <f t="shared" si="121"/>
        <v>0</v>
      </c>
      <c r="J503" s="118">
        <f>IF($D503="",0,IF($F503&lt;2,0,IF($E503="Win",('Guide &amp; Settings'!$C$42/(($F503-1)*COUNTIFS($A$4:$A$810,$A503,$E$4:$E$810,"Win")))*SUMIFS($X$4:$X$810,$A$4:$A$810,$A503,$E$4:$E$810,"Loss"),-('Guide &amp; Settings'!$C$42/($F503-1))*$X503)))</f>
        <v>0</v>
      </c>
      <c r="K503" s="118">
        <f>IF($D503="",0,'Guide &amp; Settings'!$C$43*(IF($E503="Win",1,0)-$I503))</f>
        <v>0</v>
      </c>
      <c r="L503" s="119">
        <f>IF($D503="",0,'Guide &amp; Settings'!$C$44*IF($F503&gt;=3,$F503,0))</f>
        <v>0</v>
      </c>
      <c r="M503" s="118">
        <f t="shared" si="122"/>
        <v>0</v>
      </c>
      <c r="N503" s="116">
        <f t="shared" si="123"/>
        <v>0</v>
      </c>
      <c r="O503" s="115" t="str">
        <f t="shared" si="124"/>
        <v/>
      </c>
      <c r="P503">
        <f t="shared" si="125"/>
        <v>0</v>
      </c>
      <c r="Q503">
        <f t="shared" si="126"/>
        <v>0</v>
      </c>
      <c r="R503">
        <f t="shared" si="127"/>
        <v>0</v>
      </c>
      <c r="S503">
        <f t="shared" si="128"/>
        <v>0</v>
      </c>
      <c r="T503" s="83">
        <f t="shared" si="129"/>
        <v>0</v>
      </c>
      <c r="U503" s="120">
        <f>IF($D503="",0,IFERROR(LOOKUP(2,1/(($D$3:D502=$D503)*($C$3:C502=$C503)*($A$3:A502&lt;$A503)),$AB$3:AB502),1000))</f>
        <v>0</v>
      </c>
      <c r="V503" s="120">
        <f t="shared" si="130"/>
        <v>0</v>
      </c>
      <c r="W503">
        <f t="shared" si="131"/>
        <v>0</v>
      </c>
      <c r="X503">
        <f t="shared" si="132"/>
        <v>0</v>
      </c>
      <c r="Y503">
        <f t="shared" si="133"/>
        <v>0</v>
      </c>
      <c r="Z503">
        <f t="shared" si="134"/>
        <v>0</v>
      </c>
      <c r="AA503">
        <f>IF($D503="",0,IF($F503&lt;2,0,IF($E503="Win",('Guide &amp; Settings'!$C$42/(($F503-1)*COUNTIFS($A$4:$A$810,$A503,$E$4:$E$810,"Win")))*SUMIFS($Z$4:$Z$810,$A$4:$A$810,$A503,$E$4:$E$810,"Loss"),-('Guide &amp; Settings'!$C$42/($F503-1))*$Z503)))</f>
        <v>0</v>
      </c>
      <c r="AB503" s="120">
        <f t="shared" si="135"/>
        <v>0</v>
      </c>
      <c r="AC503" s="120" t="str">
        <f>IF($D503="","",IF(SUMPRODUCT(MAX(($D$4:$D$810=$D503)*($B$4:$B$810&lt;$B503)*$B$4:$B$810))=0,0,MAX(($B503-MAX(SUMPRODUCT(MAX(($D$4:$D$810=$D503)*($B$4:$B$810&lt;$B503)*$B$4:$B$810)),'Guide &amp; Settings'!$C$50))/7-'Guide &amp; Settings'!$C$48,0)*'Guide &amp; Settings'!$C$49))</f>
        <v/>
      </c>
    </row>
    <row r="504" spans="1:29" x14ac:dyDescent="0.2">
      <c r="A504" s="111"/>
      <c r="B504" s="112"/>
      <c r="C504" s="113"/>
      <c r="D504" s="113"/>
      <c r="E504" s="111"/>
      <c r="F504" s="114">
        <f t="shared" ref="F504:F567" si="136">IF($D504="",0,COUNTIF($A$4:$A$810,$A504))</f>
        <v>0</v>
      </c>
      <c r="G504" s="115" t="str">
        <f t="shared" ref="G504:G567" si="137">IF($D504="","",IFERROR(LOOKUP(2,1/(($A$4:$A$810=$A504)*($E$4:$E$810="Win")),$D$4:$D$810),"(no winner)"))</f>
        <v/>
      </c>
      <c r="H504" s="116">
        <f>IF($D504="",0,IFERROR(LOOKUP(2,1/(($D$3:D503=$D504)*($A$3:A503&lt;$A504)),$N$3:N503),'Guide &amp; Settings'!$C$41))</f>
        <v>0</v>
      </c>
      <c r="I504" s="117">
        <f t="shared" ref="I504:I567" si="138">IF($D504="",0,IF($S504=0,0,$R504/$S504))</f>
        <v>0</v>
      </c>
      <c r="J504" s="118">
        <f>IF($D504="",0,IF($F504&lt;2,0,IF($E504="Win",('Guide &amp; Settings'!$C$42/(($F504-1)*COUNTIFS($A$4:$A$810,$A504,$E$4:$E$810,"Win")))*SUMIFS($X$4:$X$810,$A$4:$A$810,$A504,$E$4:$E$810,"Loss"),-('Guide &amp; Settings'!$C$42/($F504-1))*$X504)))</f>
        <v>0</v>
      </c>
      <c r="K504" s="118">
        <f>IF($D504="",0,'Guide &amp; Settings'!$C$43*(IF($E504="Win",1,0)-$I504))</f>
        <v>0</v>
      </c>
      <c r="L504" s="119">
        <f>IF($D504="",0,'Guide &amp; Settings'!$C$44*IF($F504&gt;=3,$F504,0))</f>
        <v>0</v>
      </c>
      <c r="M504" s="118">
        <f t="shared" ref="M504:M567" si="139">IF($D504="",0,$J504+$K504+$L504)</f>
        <v>0</v>
      </c>
      <c r="N504" s="116">
        <f t="shared" ref="N504:N567" si="140">IF($D504="",0,$H504+$M504)</f>
        <v>0</v>
      </c>
      <c r="O504" s="115" t="str">
        <f t="shared" ref="O504:O567" si="141">IF($D504="","",IF(COUNTIFS($A$4:$A$810,$A504,$E$4:$E$810,"Win")=0,"need a winner",IF(COUNTIFS($A$4:$A$810,$A504,$E$4:$E$810,"Loss")=0,"need a loser",IF(COUNTIFS($A$4:$A$810,$A504,$D$4:$D$810,$D504)&gt;1,"duplicate player","OK"))))</f>
        <v/>
      </c>
      <c r="P504">
        <f t="shared" ref="P504:P567" si="142">IF($D504="",0,IFERROR(SUMIFS($H$4:$H$810,$A$4:$A$810,$A504,$E$4:$E$810,"Win")/COUNTIFS($A$4:$A$810,$A504,$E$4:$E$810,"Win"),0))</f>
        <v>0</v>
      </c>
      <c r="Q504">
        <f t="shared" ref="Q504:Q567" si="143">IF($D504="",0,1/(1+10^(($P504-$H504)/400)))</f>
        <v>0</v>
      </c>
      <c r="R504">
        <f t="shared" ref="R504:R567" si="144">IF($D504="",0,(COUNTIFS($D$4:$D$810,$D504,$C$4:$C$810,$C504,$E$4:$E$810,"Win",$A$4:$A$810,"&lt;"&amp;$A504)+1)/(COUNTIFS($D$4:$D$810,$D504,$C$4:$C$810,$C504,$A$4:$A$810,"&lt;"&amp;$A504)+2))</f>
        <v>0</v>
      </c>
      <c r="S504">
        <f t="shared" ref="S504:S567" si="145">IF($D504="",0,SUMIFS($R$4:$R$810,$A$4:$A$810,$A504))</f>
        <v>0</v>
      </c>
      <c r="T504" s="83">
        <f t="shared" ref="T504:T567" si="146">IF($D504="",0,COUNTIFS($D$4:$D$810,$D504,$C$4:$C$810,$C504,$A$4:$A$810,"&lt;"&amp;$A504))</f>
        <v>0</v>
      </c>
      <c r="U504" s="120">
        <f>IF($D504="",0,IFERROR(LOOKUP(2,1/(($D$3:D503=$D504)*($C$3:C503=$C504)*($A$3:A503&lt;$A504)),$AB$3:AB503),1000))</f>
        <v>0</v>
      </c>
      <c r="V504" s="120">
        <f t="shared" ref="V504:V567" si="147">IF($D504="",0,$U504*($T504/($T504+5))+$H504*(1-$T504/($T504+5)))</f>
        <v>0</v>
      </c>
      <c r="W504">
        <f t="shared" ref="W504:W567" si="148">IF($D504="",0,IFERROR(SUMIFS($V$4:$V$810,$A$4:$A$810,$A504,$E$4:$E$810,"Win")/COUNTIFS($A$4:$A$810,$A504,$E$4:$E$810,"Win"),0))</f>
        <v>0</v>
      </c>
      <c r="X504">
        <f t="shared" ref="X504:X567" si="149">IF($D504="",0,1/(1+10^(($W504-$V504)/400)))</f>
        <v>0</v>
      </c>
      <c r="Y504">
        <f t="shared" ref="Y504:Y567" si="150">IF($D504="",0,IFERROR(SUMIFS($U$4:$U$810,$A$4:$A$810,$A504,$E$4:$E$810,"Win")/COUNTIFS($A$4:$A$810,$A504,$E$4:$E$810,"Win"),0))</f>
        <v>0</v>
      </c>
      <c r="Z504">
        <f t="shared" ref="Z504:Z567" si="151">IF($D504="",0,1/(1+10^(($Y504-$U504)/400)))</f>
        <v>0</v>
      </c>
      <c r="AA504">
        <f>IF($D504="",0,IF($F504&lt;2,0,IF($E504="Win",('Guide &amp; Settings'!$C$42/(($F504-1)*COUNTIFS($A$4:$A$810,$A504,$E$4:$E$810,"Win")))*SUMIFS($Z$4:$Z$810,$A$4:$A$810,$A504,$E$4:$E$810,"Loss"),-('Guide &amp; Settings'!$C$42/($F504-1))*$Z504)))</f>
        <v>0</v>
      </c>
      <c r="AB504" s="120">
        <f t="shared" ref="AB504:AB567" si="152">IF($D504="",0,$U504+$AA504)</f>
        <v>0</v>
      </c>
      <c r="AC504" s="120" t="str">
        <f>IF($D504="","",IF(SUMPRODUCT(MAX(($D$4:$D$810=$D504)*($B$4:$B$810&lt;$B504)*$B$4:$B$810))=0,0,MAX(($B504-MAX(SUMPRODUCT(MAX(($D$4:$D$810=$D504)*($B$4:$B$810&lt;$B504)*$B$4:$B$810)),'Guide &amp; Settings'!$C$50))/7-'Guide &amp; Settings'!$C$48,0)*'Guide &amp; Settings'!$C$49))</f>
        <v/>
      </c>
    </row>
    <row r="505" spans="1:29" x14ac:dyDescent="0.2">
      <c r="A505" s="111"/>
      <c r="B505" s="112"/>
      <c r="C505" s="113"/>
      <c r="D505" s="113"/>
      <c r="E505" s="111"/>
      <c r="F505" s="114">
        <f t="shared" si="136"/>
        <v>0</v>
      </c>
      <c r="G505" s="115" t="str">
        <f t="shared" si="137"/>
        <v/>
      </c>
      <c r="H505" s="116">
        <f>IF($D505="",0,IFERROR(LOOKUP(2,1/(($D$3:D504=$D505)*($A$3:A504&lt;$A505)),$N$3:N504),'Guide &amp; Settings'!$C$41))</f>
        <v>0</v>
      </c>
      <c r="I505" s="117">
        <f t="shared" si="138"/>
        <v>0</v>
      </c>
      <c r="J505" s="118">
        <f>IF($D505="",0,IF($F505&lt;2,0,IF($E505="Win",('Guide &amp; Settings'!$C$42/(($F505-1)*COUNTIFS($A$4:$A$810,$A505,$E$4:$E$810,"Win")))*SUMIFS($X$4:$X$810,$A$4:$A$810,$A505,$E$4:$E$810,"Loss"),-('Guide &amp; Settings'!$C$42/($F505-1))*$X505)))</f>
        <v>0</v>
      </c>
      <c r="K505" s="118">
        <f>IF($D505="",0,'Guide &amp; Settings'!$C$43*(IF($E505="Win",1,0)-$I505))</f>
        <v>0</v>
      </c>
      <c r="L505" s="119">
        <f>IF($D505="",0,'Guide &amp; Settings'!$C$44*IF($F505&gt;=3,$F505,0))</f>
        <v>0</v>
      </c>
      <c r="M505" s="118">
        <f t="shared" si="139"/>
        <v>0</v>
      </c>
      <c r="N505" s="116">
        <f t="shared" si="140"/>
        <v>0</v>
      </c>
      <c r="O505" s="115" t="str">
        <f t="shared" si="141"/>
        <v/>
      </c>
      <c r="P505">
        <f t="shared" si="142"/>
        <v>0</v>
      </c>
      <c r="Q505">
        <f t="shared" si="143"/>
        <v>0</v>
      </c>
      <c r="R505">
        <f t="shared" si="144"/>
        <v>0</v>
      </c>
      <c r="S505">
        <f t="shared" si="145"/>
        <v>0</v>
      </c>
      <c r="T505" s="83">
        <f t="shared" si="146"/>
        <v>0</v>
      </c>
      <c r="U505" s="120">
        <f>IF($D505="",0,IFERROR(LOOKUP(2,1/(($D$3:D504=$D505)*($C$3:C504=$C505)*($A$3:A504&lt;$A505)),$AB$3:AB504),1000))</f>
        <v>0</v>
      </c>
      <c r="V505" s="120">
        <f t="shared" si="147"/>
        <v>0</v>
      </c>
      <c r="W505">
        <f t="shared" si="148"/>
        <v>0</v>
      </c>
      <c r="X505">
        <f t="shared" si="149"/>
        <v>0</v>
      </c>
      <c r="Y505">
        <f t="shared" si="150"/>
        <v>0</v>
      </c>
      <c r="Z505">
        <f t="shared" si="151"/>
        <v>0</v>
      </c>
      <c r="AA505">
        <f>IF($D505="",0,IF($F505&lt;2,0,IF($E505="Win",('Guide &amp; Settings'!$C$42/(($F505-1)*COUNTIFS($A$4:$A$810,$A505,$E$4:$E$810,"Win")))*SUMIFS($Z$4:$Z$810,$A$4:$A$810,$A505,$E$4:$E$810,"Loss"),-('Guide &amp; Settings'!$C$42/($F505-1))*$Z505)))</f>
        <v>0</v>
      </c>
      <c r="AB505" s="120">
        <f t="shared" si="152"/>
        <v>0</v>
      </c>
      <c r="AC505" s="120" t="str">
        <f>IF($D505="","",IF(SUMPRODUCT(MAX(($D$4:$D$810=$D505)*($B$4:$B$810&lt;$B505)*$B$4:$B$810))=0,0,MAX(($B505-MAX(SUMPRODUCT(MAX(($D$4:$D$810=$D505)*($B$4:$B$810&lt;$B505)*$B$4:$B$810)),'Guide &amp; Settings'!$C$50))/7-'Guide &amp; Settings'!$C$48,0)*'Guide &amp; Settings'!$C$49))</f>
        <v/>
      </c>
    </row>
    <row r="506" spans="1:29" x14ac:dyDescent="0.2">
      <c r="A506" s="111"/>
      <c r="B506" s="112"/>
      <c r="C506" s="113"/>
      <c r="D506" s="113"/>
      <c r="E506" s="111"/>
      <c r="F506" s="114">
        <f t="shared" si="136"/>
        <v>0</v>
      </c>
      <c r="G506" s="115" t="str">
        <f t="shared" si="137"/>
        <v/>
      </c>
      <c r="H506" s="116">
        <f>IF($D506="",0,IFERROR(LOOKUP(2,1/(($D$3:D505=$D506)*($A$3:A505&lt;$A506)),$N$3:N505),'Guide &amp; Settings'!$C$41))</f>
        <v>0</v>
      </c>
      <c r="I506" s="117">
        <f t="shared" si="138"/>
        <v>0</v>
      </c>
      <c r="J506" s="118">
        <f>IF($D506="",0,IF($F506&lt;2,0,IF($E506="Win",('Guide &amp; Settings'!$C$42/(($F506-1)*COUNTIFS($A$4:$A$810,$A506,$E$4:$E$810,"Win")))*SUMIFS($X$4:$X$810,$A$4:$A$810,$A506,$E$4:$E$810,"Loss"),-('Guide &amp; Settings'!$C$42/($F506-1))*$X506)))</f>
        <v>0</v>
      </c>
      <c r="K506" s="118">
        <f>IF($D506="",0,'Guide &amp; Settings'!$C$43*(IF($E506="Win",1,0)-$I506))</f>
        <v>0</v>
      </c>
      <c r="L506" s="119">
        <f>IF($D506="",0,'Guide &amp; Settings'!$C$44*IF($F506&gt;=3,$F506,0))</f>
        <v>0</v>
      </c>
      <c r="M506" s="118">
        <f t="shared" si="139"/>
        <v>0</v>
      </c>
      <c r="N506" s="116">
        <f t="shared" si="140"/>
        <v>0</v>
      </c>
      <c r="O506" s="115" t="str">
        <f t="shared" si="141"/>
        <v/>
      </c>
      <c r="P506">
        <f t="shared" si="142"/>
        <v>0</v>
      </c>
      <c r="Q506">
        <f t="shared" si="143"/>
        <v>0</v>
      </c>
      <c r="R506">
        <f t="shared" si="144"/>
        <v>0</v>
      </c>
      <c r="S506">
        <f t="shared" si="145"/>
        <v>0</v>
      </c>
      <c r="T506" s="83">
        <f t="shared" si="146"/>
        <v>0</v>
      </c>
      <c r="U506" s="120">
        <f>IF($D506="",0,IFERROR(LOOKUP(2,1/(($D$3:D505=$D506)*($C$3:C505=$C506)*($A$3:A505&lt;$A506)),$AB$3:AB505),1000))</f>
        <v>0</v>
      </c>
      <c r="V506" s="120">
        <f t="shared" si="147"/>
        <v>0</v>
      </c>
      <c r="W506">
        <f t="shared" si="148"/>
        <v>0</v>
      </c>
      <c r="X506">
        <f t="shared" si="149"/>
        <v>0</v>
      </c>
      <c r="Y506">
        <f t="shared" si="150"/>
        <v>0</v>
      </c>
      <c r="Z506">
        <f t="shared" si="151"/>
        <v>0</v>
      </c>
      <c r="AA506">
        <f>IF($D506="",0,IF($F506&lt;2,0,IF($E506="Win",('Guide &amp; Settings'!$C$42/(($F506-1)*COUNTIFS($A$4:$A$810,$A506,$E$4:$E$810,"Win")))*SUMIFS($Z$4:$Z$810,$A$4:$A$810,$A506,$E$4:$E$810,"Loss"),-('Guide &amp; Settings'!$C$42/($F506-1))*$Z506)))</f>
        <v>0</v>
      </c>
      <c r="AB506" s="120">
        <f t="shared" si="152"/>
        <v>0</v>
      </c>
      <c r="AC506" s="120" t="str">
        <f>IF($D506="","",IF(SUMPRODUCT(MAX(($D$4:$D$810=$D506)*($B$4:$B$810&lt;$B506)*$B$4:$B$810))=0,0,MAX(($B506-MAX(SUMPRODUCT(MAX(($D$4:$D$810=$D506)*($B$4:$B$810&lt;$B506)*$B$4:$B$810)),'Guide &amp; Settings'!$C$50))/7-'Guide &amp; Settings'!$C$48,0)*'Guide &amp; Settings'!$C$49))</f>
        <v/>
      </c>
    </row>
    <row r="507" spans="1:29" x14ac:dyDescent="0.2">
      <c r="A507" s="111"/>
      <c r="B507" s="112"/>
      <c r="C507" s="113"/>
      <c r="D507" s="113"/>
      <c r="E507" s="111"/>
      <c r="F507" s="114">
        <f t="shared" si="136"/>
        <v>0</v>
      </c>
      <c r="G507" s="115" t="str">
        <f t="shared" si="137"/>
        <v/>
      </c>
      <c r="H507" s="116">
        <f>IF($D507="",0,IFERROR(LOOKUP(2,1/(($D$3:D506=$D507)*($A$3:A506&lt;$A507)),$N$3:N506),'Guide &amp; Settings'!$C$41))</f>
        <v>0</v>
      </c>
      <c r="I507" s="117">
        <f t="shared" si="138"/>
        <v>0</v>
      </c>
      <c r="J507" s="118">
        <f>IF($D507="",0,IF($F507&lt;2,0,IF($E507="Win",('Guide &amp; Settings'!$C$42/(($F507-1)*COUNTIFS($A$4:$A$810,$A507,$E$4:$E$810,"Win")))*SUMIFS($X$4:$X$810,$A$4:$A$810,$A507,$E$4:$E$810,"Loss"),-('Guide &amp; Settings'!$C$42/($F507-1))*$X507)))</f>
        <v>0</v>
      </c>
      <c r="K507" s="118">
        <f>IF($D507="",0,'Guide &amp; Settings'!$C$43*(IF($E507="Win",1,0)-$I507))</f>
        <v>0</v>
      </c>
      <c r="L507" s="119">
        <f>IF($D507="",0,'Guide &amp; Settings'!$C$44*IF($F507&gt;=3,$F507,0))</f>
        <v>0</v>
      </c>
      <c r="M507" s="118">
        <f t="shared" si="139"/>
        <v>0</v>
      </c>
      <c r="N507" s="116">
        <f t="shared" si="140"/>
        <v>0</v>
      </c>
      <c r="O507" s="115" t="str">
        <f t="shared" si="141"/>
        <v/>
      </c>
      <c r="P507">
        <f t="shared" si="142"/>
        <v>0</v>
      </c>
      <c r="Q507">
        <f t="shared" si="143"/>
        <v>0</v>
      </c>
      <c r="R507">
        <f t="shared" si="144"/>
        <v>0</v>
      </c>
      <c r="S507">
        <f t="shared" si="145"/>
        <v>0</v>
      </c>
      <c r="T507" s="83">
        <f t="shared" si="146"/>
        <v>0</v>
      </c>
      <c r="U507" s="120">
        <f>IF($D507="",0,IFERROR(LOOKUP(2,1/(($D$3:D506=$D507)*($C$3:C506=$C507)*($A$3:A506&lt;$A507)),$AB$3:AB506),1000))</f>
        <v>0</v>
      </c>
      <c r="V507" s="120">
        <f t="shared" si="147"/>
        <v>0</v>
      </c>
      <c r="W507">
        <f t="shared" si="148"/>
        <v>0</v>
      </c>
      <c r="X507">
        <f t="shared" si="149"/>
        <v>0</v>
      </c>
      <c r="Y507">
        <f t="shared" si="150"/>
        <v>0</v>
      </c>
      <c r="Z507">
        <f t="shared" si="151"/>
        <v>0</v>
      </c>
      <c r="AA507">
        <f>IF($D507="",0,IF($F507&lt;2,0,IF($E507="Win",('Guide &amp; Settings'!$C$42/(($F507-1)*COUNTIFS($A$4:$A$810,$A507,$E$4:$E$810,"Win")))*SUMIFS($Z$4:$Z$810,$A$4:$A$810,$A507,$E$4:$E$810,"Loss"),-('Guide &amp; Settings'!$C$42/($F507-1))*$Z507)))</f>
        <v>0</v>
      </c>
      <c r="AB507" s="120">
        <f t="shared" si="152"/>
        <v>0</v>
      </c>
      <c r="AC507" s="120" t="str">
        <f>IF($D507="","",IF(SUMPRODUCT(MAX(($D$4:$D$810=$D507)*($B$4:$B$810&lt;$B507)*$B$4:$B$810))=0,0,MAX(($B507-MAX(SUMPRODUCT(MAX(($D$4:$D$810=$D507)*($B$4:$B$810&lt;$B507)*$B$4:$B$810)),'Guide &amp; Settings'!$C$50))/7-'Guide &amp; Settings'!$C$48,0)*'Guide &amp; Settings'!$C$49))</f>
        <v/>
      </c>
    </row>
    <row r="508" spans="1:29" x14ac:dyDescent="0.2">
      <c r="A508" s="111"/>
      <c r="B508" s="112"/>
      <c r="C508" s="113"/>
      <c r="D508" s="113"/>
      <c r="E508" s="111"/>
      <c r="F508" s="114">
        <f t="shared" si="136"/>
        <v>0</v>
      </c>
      <c r="G508" s="115" t="str">
        <f t="shared" si="137"/>
        <v/>
      </c>
      <c r="H508" s="116">
        <f>IF($D508="",0,IFERROR(LOOKUP(2,1/(($D$3:D507=$D508)*($A$3:A507&lt;$A508)),$N$3:N507),'Guide &amp; Settings'!$C$41))</f>
        <v>0</v>
      </c>
      <c r="I508" s="117">
        <f t="shared" si="138"/>
        <v>0</v>
      </c>
      <c r="J508" s="118">
        <f>IF($D508="",0,IF($F508&lt;2,0,IF($E508="Win",('Guide &amp; Settings'!$C$42/(($F508-1)*COUNTIFS($A$4:$A$810,$A508,$E$4:$E$810,"Win")))*SUMIFS($X$4:$X$810,$A$4:$A$810,$A508,$E$4:$E$810,"Loss"),-('Guide &amp; Settings'!$C$42/($F508-1))*$X508)))</f>
        <v>0</v>
      </c>
      <c r="K508" s="118">
        <f>IF($D508="",0,'Guide &amp; Settings'!$C$43*(IF($E508="Win",1,0)-$I508))</f>
        <v>0</v>
      </c>
      <c r="L508" s="119">
        <f>IF($D508="",0,'Guide &amp; Settings'!$C$44*IF($F508&gt;=3,$F508,0))</f>
        <v>0</v>
      </c>
      <c r="M508" s="118">
        <f t="shared" si="139"/>
        <v>0</v>
      </c>
      <c r="N508" s="116">
        <f t="shared" si="140"/>
        <v>0</v>
      </c>
      <c r="O508" s="115" t="str">
        <f t="shared" si="141"/>
        <v/>
      </c>
      <c r="P508">
        <f t="shared" si="142"/>
        <v>0</v>
      </c>
      <c r="Q508">
        <f t="shared" si="143"/>
        <v>0</v>
      </c>
      <c r="R508">
        <f t="shared" si="144"/>
        <v>0</v>
      </c>
      <c r="S508">
        <f t="shared" si="145"/>
        <v>0</v>
      </c>
      <c r="T508" s="83">
        <f t="shared" si="146"/>
        <v>0</v>
      </c>
      <c r="U508" s="120">
        <f>IF($D508="",0,IFERROR(LOOKUP(2,1/(($D$3:D507=$D508)*($C$3:C507=$C508)*($A$3:A507&lt;$A508)),$AB$3:AB507),1000))</f>
        <v>0</v>
      </c>
      <c r="V508" s="120">
        <f t="shared" si="147"/>
        <v>0</v>
      </c>
      <c r="W508">
        <f t="shared" si="148"/>
        <v>0</v>
      </c>
      <c r="X508">
        <f t="shared" si="149"/>
        <v>0</v>
      </c>
      <c r="Y508">
        <f t="shared" si="150"/>
        <v>0</v>
      </c>
      <c r="Z508">
        <f t="shared" si="151"/>
        <v>0</v>
      </c>
      <c r="AA508">
        <f>IF($D508="",0,IF($F508&lt;2,0,IF($E508="Win",('Guide &amp; Settings'!$C$42/(($F508-1)*COUNTIFS($A$4:$A$810,$A508,$E$4:$E$810,"Win")))*SUMIFS($Z$4:$Z$810,$A$4:$A$810,$A508,$E$4:$E$810,"Loss"),-('Guide &amp; Settings'!$C$42/($F508-1))*$Z508)))</f>
        <v>0</v>
      </c>
      <c r="AB508" s="120">
        <f t="shared" si="152"/>
        <v>0</v>
      </c>
      <c r="AC508" s="120" t="str">
        <f>IF($D508="","",IF(SUMPRODUCT(MAX(($D$4:$D$810=$D508)*($B$4:$B$810&lt;$B508)*$B$4:$B$810))=0,0,MAX(($B508-MAX(SUMPRODUCT(MAX(($D$4:$D$810=$D508)*($B$4:$B$810&lt;$B508)*$B$4:$B$810)),'Guide &amp; Settings'!$C$50))/7-'Guide &amp; Settings'!$C$48,0)*'Guide &amp; Settings'!$C$49))</f>
        <v/>
      </c>
    </row>
    <row r="509" spans="1:29" x14ac:dyDescent="0.2">
      <c r="A509" s="111"/>
      <c r="B509" s="112"/>
      <c r="C509" s="113"/>
      <c r="D509" s="113"/>
      <c r="E509" s="111"/>
      <c r="F509" s="114">
        <f t="shared" si="136"/>
        <v>0</v>
      </c>
      <c r="G509" s="115" t="str">
        <f t="shared" si="137"/>
        <v/>
      </c>
      <c r="H509" s="116">
        <f>IF($D509="",0,IFERROR(LOOKUP(2,1/(($D$3:D508=$D509)*($A$3:A508&lt;$A509)),$N$3:N508),'Guide &amp; Settings'!$C$41))</f>
        <v>0</v>
      </c>
      <c r="I509" s="117">
        <f t="shared" si="138"/>
        <v>0</v>
      </c>
      <c r="J509" s="118">
        <f>IF($D509="",0,IF($F509&lt;2,0,IF($E509="Win",('Guide &amp; Settings'!$C$42/(($F509-1)*COUNTIFS($A$4:$A$810,$A509,$E$4:$E$810,"Win")))*SUMIFS($X$4:$X$810,$A$4:$A$810,$A509,$E$4:$E$810,"Loss"),-('Guide &amp; Settings'!$C$42/($F509-1))*$X509)))</f>
        <v>0</v>
      </c>
      <c r="K509" s="118">
        <f>IF($D509="",0,'Guide &amp; Settings'!$C$43*(IF($E509="Win",1,0)-$I509))</f>
        <v>0</v>
      </c>
      <c r="L509" s="119">
        <f>IF($D509="",0,'Guide &amp; Settings'!$C$44*IF($F509&gt;=3,$F509,0))</f>
        <v>0</v>
      </c>
      <c r="M509" s="118">
        <f t="shared" si="139"/>
        <v>0</v>
      </c>
      <c r="N509" s="116">
        <f t="shared" si="140"/>
        <v>0</v>
      </c>
      <c r="O509" s="115" t="str">
        <f t="shared" si="141"/>
        <v/>
      </c>
      <c r="P509">
        <f t="shared" si="142"/>
        <v>0</v>
      </c>
      <c r="Q509">
        <f t="shared" si="143"/>
        <v>0</v>
      </c>
      <c r="R509">
        <f t="shared" si="144"/>
        <v>0</v>
      </c>
      <c r="S509">
        <f t="shared" si="145"/>
        <v>0</v>
      </c>
      <c r="T509" s="83">
        <f t="shared" si="146"/>
        <v>0</v>
      </c>
      <c r="U509" s="120">
        <f>IF($D509="",0,IFERROR(LOOKUP(2,1/(($D$3:D508=$D509)*($C$3:C508=$C509)*($A$3:A508&lt;$A509)),$AB$3:AB508),1000))</f>
        <v>0</v>
      </c>
      <c r="V509" s="120">
        <f t="shared" si="147"/>
        <v>0</v>
      </c>
      <c r="W509">
        <f t="shared" si="148"/>
        <v>0</v>
      </c>
      <c r="X509">
        <f t="shared" si="149"/>
        <v>0</v>
      </c>
      <c r="Y509">
        <f t="shared" si="150"/>
        <v>0</v>
      </c>
      <c r="Z509">
        <f t="shared" si="151"/>
        <v>0</v>
      </c>
      <c r="AA509">
        <f>IF($D509="",0,IF($F509&lt;2,0,IF($E509="Win",('Guide &amp; Settings'!$C$42/(($F509-1)*COUNTIFS($A$4:$A$810,$A509,$E$4:$E$810,"Win")))*SUMIFS($Z$4:$Z$810,$A$4:$A$810,$A509,$E$4:$E$810,"Loss"),-('Guide &amp; Settings'!$C$42/($F509-1))*$Z509)))</f>
        <v>0</v>
      </c>
      <c r="AB509" s="120">
        <f t="shared" si="152"/>
        <v>0</v>
      </c>
      <c r="AC509" s="120" t="str">
        <f>IF($D509="","",IF(SUMPRODUCT(MAX(($D$4:$D$810=$D509)*($B$4:$B$810&lt;$B509)*$B$4:$B$810))=0,0,MAX(($B509-MAX(SUMPRODUCT(MAX(($D$4:$D$810=$D509)*($B$4:$B$810&lt;$B509)*$B$4:$B$810)),'Guide &amp; Settings'!$C$50))/7-'Guide &amp; Settings'!$C$48,0)*'Guide &amp; Settings'!$C$49))</f>
        <v/>
      </c>
    </row>
    <row r="510" spans="1:29" x14ac:dyDescent="0.2">
      <c r="A510" s="111"/>
      <c r="B510" s="112"/>
      <c r="C510" s="113"/>
      <c r="D510" s="113"/>
      <c r="E510" s="111"/>
      <c r="F510" s="114">
        <f t="shared" si="136"/>
        <v>0</v>
      </c>
      <c r="G510" s="115" t="str">
        <f t="shared" si="137"/>
        <v/>
      </c>
      <c r="H510" s="116">
        <f>IF($D510="",0,IFERROR(LOOKUP(2,1/(($D$3:D509=$D510)*($A$3:A509&lt;$A510)),$N$3:N509),'Guide &amp; Settings'!$C$41))</f>
        <v>0</v>
      </c>
      <c r="I510" s="117">
        <f t="shared" si="138"/>
        <v>0</v>
      </c>
      <c r="J510" s="118">
        <f>IF($D510="",0,IF($F510&lt;2,0,IF($E510="Win",('Guide &amp; Settings'!$C$42/(($F510-1)*COUNTIFS($A$4:$A$810,$A510,$E$4:$E$810,"Win")))*SUMIFS($X$4:$X$810,$A$4:$A$810,$A510,$E$4:$E$810,"Loss"),-('Guide &amp; Settings'!$C$42/($F510-1))*$X510)))</f>
        <v>0</v>
      </c>
      <c r="K510" s="118">
        <f>IF($D510="",0,'Guide &amp; Settings'!$C$43*(IF($E510="Win",1,0)-$I510))</f>
        <v>0</v>
      </c>
      <c r="L510" s="119">
        <f>IF($D510="",0,'Guide &amp; Settings'!$C$44*IF($F510&gt;=3,$F510,0))</f>
        <v>0</v>
      </c>
      <c r="M510" s="118">
        <f t="shared" si="139"/>
        <v>0</v>
      </c>
      <c r="N510" s="116">
        <f t="shared" si="140"/>
        <v>0</v>
      </c>
      <c r="O510" s="115" t="str">
        <f t="shared" si="141"/>
        <v/>
      </c>
      <c r="P510">
        <f t="shared" si="142"/>
        <v>0</v>
      </c>
      <c r="Q510">
        <f t="shared" si="143"/>
        <v>0</v>
      </c>
      <c r="R510">
        <f t="shared" si="144"/>
        <v>0</v>
      </c>
      <c r="S510">
        <f t="shared" si="145"/>
        <v>0</v>
      </c>
      <c r="T510" s="83">
        <f t="shared" si="146"/>
        <v>0</v>
      </c>
      <c r="U510" s="120">
        <f>IF($D510="",0,IFERROR(LOOKUP(2,1/(($D$3:D509=$D510)*($C$3:C509=$C510)*($A$3:A509&lt;$A510)),$AB$3:AB509),1000))</f>
        <v>0</v>
      </c>
      <c r="V510" s="120">
        <f t="shared" si="147"/>
        <v>0</v>
      </c>
      <c r="W510">
        <f t="shared" si="148"/>
        <v>0</v>
      </c>
      <c r="X510">
        <f t="shared" si="149"/>
        <v>0</v>
      </c>
      <c r="Y510">
        <f t="shared" si="150"/>
        <v>0</v>
      </c>
      <c r="Z510">
        <f t="shared" si="151"/>
        <v>0</v>
      </c>
      <c r="AA510">
        <f>IF($D510="",0,IF($F510&lt;2,0,IF($E510="Win",('Guide &amp; Settings'!$C$42/(($F510-1)*COUNTIFS($A$4:$A$810,$A510,$E$4:$E$810,"Win")))*SUMIFS($Z$4:$Z$810,$A$4:$A$810,$A510,$E$4:$E$810,"Loss"),-('Guide &amp; Settings'!$C$42/($F510-1))*$Z510)))</f>
        <v>0</v>
      </c>
      <c r="AB510" s="120">
        <f t="shared" si="152"/>
        <v>0</v>
      </c>
      <c r="AC510" s="120" t="str">
        <f>IF($D510="","",IF(SUMPRODUCT(MAX(($D$4:$D$810=$D510)*($B$4:$B$810&lt;$B510)*$B$4:$B$810))=0,0,MAX(($B510-MAX(SUMPRODUCT(MAX(($D$4:$D$810=$D510)*($B$4:$B$810&lt;$B510)*$B$4:$B$810)),'Guide &amp; Settings'!$C$50))/7-'Guide &amp; Settings'!$C$48,0)*'Guide &amp; Settings'!$C$49))</f>
        <v/>
      </c>
    </row>
    <row r="511" spans="1:29" x14ac:dyDescent="0.2">
      <c r="A511" s="111"/>
      <c r="B511" s="112"/>
      <c r="C511" s="113"/>
      <c r="D511" s="113"/>
      <c r="E511" s="111"/>
      <c r="F511" s="114">
        <f t="shared" si="136"/>
        <v>0</v>
      </c>
      <c r="G511" s="115" t="str">
        <f t="shared" si="137"/>
        <v/>
      </c>
      <c r="H511" s="116">
        <f>IF($D511="",0,IFERROR(LOOKUP(2,1/(($D$3:D510=$D511)*($A$3:A510&lt;$A511)),$N$3:N510),'Guide &amp; Settings'!$C$41))</f>
        <v>0</v>
      </c>
      <c r="I511" s="117">
        <f t="shared" si="138"/>
        <v>0</v>
      </c>
      <c r="J511" s="118">
        <f>IF($D511="",0,IF($F511&lt;2,0,IF($E511="Win",('Guide &amp; Settings'!$C$42/(($F511-1)*COUNTIFS($A$4:$A$810,$A511,$E$4:$E$810,"Win")))*SUMIFS($X$4:$X$810,$A$4:$A$810,$A511,$E$4:$E$810,"Loss"),-('Guide &amp; Settings'!$C$42/($F511-1))*$X511)))</f>
        <v>0</v>
      </c>
      <c r="K511" s="118">
        <f>IF($D511="",0,'Guide &amp; Settings'!$C$43*(IF($E511="Win",1,0)-$I511))</f>
        <v>0</v>
      </c>
      <c r="L511" s="119">
        <f>IF($D511="",0,'Guide &amp; Settings'!$C$44*IF($F511&gt;=3,$F511,0))</f>
        <v>0</v>
      </c>
      <c r="M511" s="118">
        <f t="shared" si="139"/>
        <v>0</v>
      </c>
      <c r="N511" s="116">
        <f t="shared" si="140"/>
        <v>0</v>
      </c>
      <c r="O511" s="115" t="str">
        <f t="shared" si="141"/>
        <v/>
      </c>
      <c r="P511">
        <f t="shared" si="142"/>
        <v>0</v>
      </c>
      <c r="Q511">
        <f t="shared" si="143"/>
        <v>0</v>
      </c>
      <c r="R511">
        <f t="shared" si="144"/>
        <v>0</v>
      </c>
      <c r="S511">
        <f t="shared" si="145"/>
        <v>0</v>
      </c>
      <c r="T511" s="83">
        <f t="shared" si="146"/>
        <v>0</v>
      </c>
      <c r="U511" s="120">
        <f>IF($D511="",0,IFERROR(LOOKUP(2,1/(($D$3:D510=$D511)*($C$3:C510=$C511)*($A$3:A510&lt;$A511)),$AB$3:AB510),1000))</f>
        <v>0</v>
      </c>
      <c r="V511" s="120">
        <f t="shared" si="147"/>
        <v>0</v>
      </c>
      <c r="W511">
        <f t="shared" si="148"/>
        <v>0</v>
      </c>
      <c r="X511">
        <f t="shared" si="149"/>
        <v>0</v>
      </c>
      <c r="Y511">
        <f t="shared" si="150"/>
        <v>0</v>
      </c>
      <c r="Z511">
        <f t="shared" si="151"/>
        <v>0</v>
      </c>
      <c r="AA511">
        <f>IF($D511="",0,IF($F511&lt;2,0,IF($E511="Win",('Guide &amp; Settings'!$C$42/(($F511-1)*COUNTIFS($A$4:$A$810,$A511,$E$4:$E$810,"Win")))*SUMIFS($Z$4:$Z$810,$A$4:$A$810,$A511,$E$4:$E$810,"Loss"),-('Guide &amp; Settings'!$C$42/($F511-1))*$Z511)))</f>
        <v>0</v>
      </c>
      <c r="AB511" s="120">
        <f t="shared" si="152"/>
        <v>0</v>
      </c>
      <c r="AC511" s="120" t="str">
        <f>IF($D511="","",IF(SUMPRODUCT(MAX(($D$4:$D$810=$D511)*($B$4:$B$810&lt;$B511)*$B$4:$B$810))=0,0,MAX(($B511-MAX(SUMPRODUCT(MAX(($D$4:$D$810=$D511)*($B$4:$B$810&lt;$B511)*$B$4:$B$810)),'Guide &amp; Settings'!$C$50))/7-'Guide &amp; Settings'!$C$48,0)*'Guide &amp; Settings'!$C$49))</f>
        <v/>
      </c>
    </row>
    <row r="512" spans="1:29" x14ac:dyDescent="0.2">
      <c r="A512" s="111"/>
      <c r="B512" s="112"/>
      <c r="C512" s="113"/>
      <c r="D512" s="113"/>
      <c r="E512" s="111"/>
      <c r="F512" s="114">
        <f t="shared" si="136"/>
        <v>0</v>
      </c>
      <c r="G512" s="115" t="str">
        <f t="shared" si="137"/>
        <v/>
      </c>
      <c r="H512" s="116">
        <f>IF($D512="",0,IFERROR(LOOKUP(2,1/(($D$3:D511=$D512)*($A$3:A511&lt;$A512)),$N$3:N511),'Guide &amp; Settings'!$C$41))</f>
        <v>0</v>
      </c>
      <c r="I512" s="117">
        <f t="shared" si="138"/>
        <v>0</v>
      </c>
      <c r="J512" s="118">
        <f>IF($D512="",0,IF($F512&lt;2,0,IF($E512="Win",('Guide &amp; Settings'!$C$42/(($F512-1)*COUNTIFS($A$4:$A$810,$A512,$E$4:$E$810,"Win")))*SUMIFS($X$4:$X$810,$A$4:$A$810,$A512,$E$4:$E$810,"Loss"),-('Guide &amp; Settings'!$C$42/($F512-1))*$X512)))</f>
        <v>0</v>
      </c>
      <c r="K512" s="118">
        <f>IF($D512="",0,'Guide &amp; Settings'!$C$43*(IF($E512="Win",1,0)-$I512))</f>
        <v>0</v>
      </c>
      <c r="L512" s="119">
        <f>IF($D512="",0,'Guide &amp; Settings'!$C$44*IF($F512&gt;=3,$F512,0))</f>
        <v>0</v>
      </c>
      <c r="M512" s="118">
        <f t="shared" si="139"/>
        <v>0</v>
      </c>
      <c r="N512" s="116">
        <f t="shared" si="140"/>
        <v>0</v>
      </c>
      <c r="O512" s="115" t="str">
        <f t="shared" si="141"/>
        <v/>
      </c>
      <c r="P512">
        <f t="shared" si="142"/>
        <v>0</v>
      </c>
      <c r="Q512">
        <f t="shared" si="143"/>
        <v>0</v>
      </c>
      <c r="R512">
        <f t="shared" si="144"/>
        <v>0</v>
      </c>
      <c r="S512">
        <f t="shared" si="145"/>
        <v>0</v>
      </c>
      <c r="T512" s="83">
        <f t="shared" si="146"/>
        <v>0</v>
      </c>
      <c r="U512" s="120">
        <f>IF($D512="",0,IFERROR(LOOKUP(2,1/(($D$3:D511=$D512)*($C$3:C511=$C512)*($A$3:A511&lt;$A512)),$AB$3:AB511),1000))</f>
        <v>0</v>
      </c>
      <c r="V512" s="120">
        <f t="shared" si="147"/>
        <v>0</v>
      </c>
      <c r="W512">
        <f t="shared" si="148"/>
        <v>0</v>
      </c>
      <c r="X512">
        <f t="shared" si="149"/>
        <v>0</v>
      </c>
      <c r="Y512">
        <f t="shared" si="150"/>
        <v>0</v>
      </c>
      <c r="Z512">
        <f t="shared" si="151"/>
        <v>0</v>
      </c>
      <c r="AA512">
        <f>IF($D512="",0,IF($F512&lt;2,0,IF($E512="Win",('Guide &amp; Settings'!$C$42/(($F512-1)*COUNTIFS($A$4:$A$810,$A512,$E$4:$E$810,"Win")))*SUMIFS($Z$4:$Z$810,$A$4:$A$810,$A512,$E$4:$E$810,"Loss"),-('Guide &amp; Settings'!$C$42/($F512-1))*$Z512)))</f>
        <v>0</v>
      </c>
      <c r="AB512" s="120">
        <f t="shared" si="152"/>
        <v>0</v>
      </c>
      <c r="AC512" s="120" t="str">
        <f>IF($D512="","",IF(SUMPRODUCT(MAX(($D$4:$D$810=$D512)*($B$4:$B$810&lt;$B512)*$B$4:$B$810))=0,0,MAX(($B512-MAX(SUMPRODUCT(MAX(($D$4:$D$810=$D512)*($B$4:$B$810&lt;$B512)*$B$4:$B$810)),'Guide &amp; Settings'!$C$50))/7-'Guide &amp; Settings'!$C$48,0)*'Guide &amp; Settings'!$C$49))</f>
        <v/>
      </c>
    </row>
    <row r="513" spans="1:29" x14ac:dyDescent="0.2">
      <c r="A513" s="111"/>
      <c r="B513" s="112"/>
      <c r="C513" s="113"/>
      <c r="D513" s="113"/>
      <c r="E513" s="111"/>
      <c r="F513" s="114">
        <f t="shared" si="136"/>
        <v>0</v>
      </c>
      <c r="G513" s="115" t="str">
        <f t="shared" si="137"/>
        <v/>
      </c>
      <c r="H513" s="116">
        <f>IF($D513="",0,IFERROR(LOOKUP(2,1/(($D$3:D512=$D513)*($A$3:A512&lt;$A513)),$N$3:N512),'Guide &amp; Settings'!$C$41))</f>
        <v>0</v>
      </c>
      <c r="I513" s="117">
        <f t="shared" si="138"/>
        <v>0</v>
      </c>
      <c r="J513" s="118">
        <f>IF($D513="",0,IF($F513&lt;2,0,IF($E513="Win",('Guide &amp; Settings'!$C$42/(($F513-1)*COUNTIFS($A$4:$A$810,$A513,$E$4:$E$810,"Win")))*SUMIFS($X$4:$X$810,$A$4:$A$810,$A513,$E$4:$E$810,"Loss"),-('Guide &amp; Settings'!$C$42/($F513-1))*$X513)))</f>
        <v>0</v>
      </c>
      <c r="K513" s="118">
        <f>IF($D513="",0,'Guide &amp; Settings'!$C$43*(IF($E513="Win",1,0)-$I513))</f>
        <v>0</v>
      </c>
      <c r="L513" s="119">
        <f>IF($D513="",0,'Guide &amp; Settings'!$C$44*IF($F513&gt;=3,$F513,0))</f>
        <v>0</v>
      </c>
      <c r="M513" s="118">
        <f t="shared" si="139"/>
        <v>0</v>
      </c>
      <c r="N513" s="116">
        <f t="shared" si="140"/>
        <v>0</v>
      </c>
      <c r="O513" s="115" t="str">
        <f t="shared" si="141"/>
        <v/>
      </c>
      <c r="P513">
        <f t="shared" si="142"/>
        <v>0</v>
      </c>
      <c r="Q513">
        <f t="shared" si="143"/>
        <v>0</v>
      </c>
      <c r="R513">
        <f t="shared" si="144"/>
        <v>0</v>
      </c>
      <c r="S513">
        <f t="shared" si="145"/>
        <v>0</v>
      </c>
      <c r="T513" s="83">
        <f t="shared" si="146"/>
        <v>0</v>
      </c>
      <c r="U513" s="120">
        <f>IF($D513="",0,IFERROR(LOOKUP(2,1/(($D$3:D512=$D513)*($C$3:C512=$C513)*($A$3:A512&lt;$A513)),$AB$3:AB512),1000))</f>
        <v>0</v>
      </c>
      <c r="V513" s="120">
        <f t="shared" si="147"/>
        <v>0</v>
      </c>
      <c r="W513">
        <f t="shared" si="148"/>
        <v>0</v>
      </c>
      <c r="X513">
        <f t="shared" si="149"/>
        <v>0</v>
      </c>
      <c r="Y513">
        <f t="shared" si="150"/>
        <v>0</v>
      </c>
      <c r="Z513">
        <f t="shared" si="151"/>
        <v>0</v>
      </c>
      <c r="AA513">
        <f>IF($D513="",0,IF($F513&lt;2,0,IF($E513="Win",('Guide &amp; Settings'!$C$42/(($F513-1)*COUNTIFS($A$4:$A$810,$A513,$E$4:$E$810,"Win")))*SUMIFS($Z$4:$Z$810,$A$4:$A$810,$A513,$E$4:$E$810,"Loss"),-('Guide &amp; Settings'!$C$42/($F513-1))*$Z513)))</f>
        <v>0</v>
      </c>
      <c r="AB513" s="120">
        <f t="shared" si="152"/>
        <v>0</v>
      </c>
      <c r="AC513" s="120" t="str">
        <f>IF($D513="","",IF(SUMPRODUCT(MAX(($D$4:$D$810=$D513)*($B$4:$B$810&lt;$B513)*$B$4:$B$810))=0,0,MAX(($B513-MAX(SUMPRODUCT(MAX(($D$4:$D$810=$D513)*($B$4:$B$810&lt;$B513)*$B$4:$B$810)),'Guide &amp; Settings'!$C$50))/7-'Guide &amp; Settings'!$C$48,0)*'Guide &amp; Settings'!$C$49))</f>
        <v/>
      </c>
    </row>
    <row r="514" spans="1:29" x14ac:dyDescent="0.2">
      <c r="A514" s="111"/>
      <c r="B514" s="112"/>
      <c r="C514" s="113"/>
      <c r="D514" s="113"/>
      <c r="E514" s="111"/>
      <c r="F514" s="114">
        <f t="shared" si="136"/>
        <v>0</v>
      </c>
      <c r="G514" s="115" t="str">
        <f t="shared" si="137"/>
        <v/>
      </c>
      <c r="H514" s="116">
        <f>IF($D514="",0,IFERROR(LOOKUP(2,1/(($D$3:D513=$D514)*($A$3:A513&lt;$A514)),$N$3:N513),'Guide &amp; Settings'!$C$41))</f>
        <v>0</v>
      </c>
      <c r="I514" s="117">
        <f t="shared" si="138"/>
        <v>0</v>
      </c>
      <c r="J514" s="118">
        <f>IF($D514="",0,IF($F514&lt;2,0,IF($E514="Win",('Guide &amp; Settings'!$C$42/(($F514-1)*COUNTIFS($A$4:$A$810,$A514,$E$4:$E$810,"Win")))*SUMIFS($X$4:$X$810,$A$4:$A$810,$A514,$E$4:$E$810,"Loss"),-('Guide &amp; Settings'!$C$42/($F514-1))*$X514)))</f>
        <v>0</v>
      </c>
      <c r="K514" s="118">
        <f>IF($D514="",0,'Guide &amp; Settings'!$C$43*(IF($E514="Win",1,0)-$I514))</f>
        <v>0</v>
      </c>
      <c r="L514" s="119">
        <f>IF($D514="",0,'Guide &amp; Settings'!$C$44*IF($F514&gt;=3,$F514,0))</f>
        <v>0</v>
      </c>
      <c r="M514" s="118">
        <f t="shared" si="139"/>
        <v>0</v>
      </c>
      <c r="N514" s="116">
        <f t="shared" si="140"/>
        <v>0</v>
      </c>
      <c r="O514" s="115" t="str">
        <f t="shared" si="141"/>
        <v/>
      </c>
      <c r="P514">
        <f t="shared" si="142"/>
        <v>0</v>
      </c>
      <c r="Q514">
        <f t="shared" si="143"/>
        <v>0</v>
      </c>
      <c r="R514">
        <f t="shared" si="144"/>
        <v>0</v>
      </c>
      <c r="S514">
        <f t="shared" si="145"/>
        <v>0</v>
      </c>
      <c r="T514" s="83">
        <f t="shared" si="146"/>
        <v>0</v>
      </c>
      <c r="U514" s="120">
        <f>IF($D514="",0,IFERROR(LOOKUP(2,1/(($D$3:D513=$D514)*($C$3:C513=$C514)*($A$3:A513&lt;$A514)),$AB$3:AB513),1000))</f>
        <v>0</v>
      </c>
      <c r="V514" s="120">
        <f t="shared" si="147"/>
        <v>0</v>
      </c>
      <c r="W514">
        <f t="shared" si="148"/>
        <v>0</v>
      </c>
      <c r="X514">
        <f t="shared" si="149"/>
        <v>0</v>
      </c>
      <c r="Y514">
        <f t="shared" si="150"/>
        <v>0</v>
      </c>
      <c r="Z514">
        <f t="shared" si="151"/>
        <v>0</v>
      </c>
      <c r="AA514">
        <f>IF($D514="",0,IF($F514&lt;2,0,IF($E514="Win",('Guide &amp; Settings'!$C$42/(($F514-1)*COUNTIFS($A$4:$A$810,$A514,$E$4:$E$810,"Win")))*SUMIFS($Z$4:$Z$810,$A$4:$A$810,$A514,$E$4:$E$810,"Loss"),-('Guide &amp; Settings'!$C$42/($F514-1))*$Z514)))</f>
        <v>0</v>
      </c>
      <c r="AB514" s="120">
        <f t="shared" si="152"/>
        <v>0</v>
      </c>
      <c r="AC514" s="120" t="str">
        <f>IF($D514="","",IF(SUMPRODUCT(MAX(($D$4:$D$810=$D514)*($B$4:$B$810&lt;$B514)*$B$4:$B$810))=0,0,MAX(($B514-MAX(SUMPRODUCT(MAX(($D$4:$D$810=$D514)*($B$4:$B$810&lt;$B514)*$B$4:$B$810)),'Guide &amp; Settings'!$C$50))/7-'Guide &amp; Settings'!$C$48,0)*'Guide &amp; Settings'!$C$49))</f>
        <v/>
      </c>
    </row>
    <row r="515" spans="1:29" x14ac:dyDescent="0.2">
      <c r="A515" s="111"/>
      <c r="B515" s="112"/>
      <c r="C515" s="113"/>
      <c r="D515" s="113"/>
      <c r="E515" s="111"/>
      <c r="F515" s="114">
        <f t="shared" si="136"/>
        <v>0</v>
      </c>
      <c r="G515" s="115" t="str">
        <f t="shared" si="137"/>
        <v/>
      </c>
      <c r="H515" s="116">
        <f>IF($D515="",0,IFERROR(LOOKUP(2,1/(($D$3:D514=$D515)*($A$3:A514&lt;$A515)),$N$3:N514),'Guide &amp; Settings'!$C$41))</f>
        <v>0</v>
      </c>
      <c r="I515" s="117">
        <f t="shared" si="138"/>
        <v>0</v>
      </c>
      <c r="J515" s="118">
        <f>IF($D515="",0,IF($F515&lt;2,0,IF($E515="Win",('Guide &amp; Settings'!$C$42/(($F515-1)*COUNTIFS($A$4:$A$810,$A515,$E$4:$E$810,"Win")))*SUMIFS($X$4:$X$810,$A$4:$A$810,$A515,$E$4:$E$810,"Loss"),-('Guide &amp; Settings'!$C$42/($F515-1))*$X515)))</f>
        <v>0</v>
      </c>
      <c r="K515" s="118">
        <f>IF($D515="",0,'Guide &amp; Settings'!$C$43*(IF($E515="Win",1,0)-$I515))</f>
        <v>0</v>
      </c>
      <c r="L515" s="119">
        <f>IF($D515="",0,'Guide &amp; Settings'!$C$44*IF($F515&gt;=3,$F515,0))</f>
        <v>0</v>
      </c>
      <c r="M515" s="118">
        <f t="shared" si="139"/>
        <v>0</v>
      </c>
      <c r="N515" s="116">
        <f t="shared" si="140"/>
        <v>0</v>
      </c>
      <c r="O515" s="115" t="str">
        <f t="shared" si="141"/>
        <v/>
      </c>
      <c r="P515">
        <f t="shared" si="142"/>
        <v>0</v>
      </c>
      <c r="Q515">
        <f t="shared" si="143"/>
        <v>0</v>
      </c>
      <c r="R515">
        <f t="shared" si="144"/>
        <v>0</v>
      </c>
      <c r="S515">
        <f t="shared" si="145"/>
        <v>0</v>
      </c>
      <c r="T515" s="83">
        <f t="shared" si="146"/>
        <v>0</v>
      </c>
      <c r="U515" s="120">
        <f>IF($D515="",0,IFERROR(LOOKUP(2,1/(($D$3:D514=$D515)*($C$3:C514=$C515)*($A$3:A514&lt;$A515)),$AB$3:AB514),1000))</f>
        <v>0</v>
      </c>
      <c r="V515" s="120">
        <f t="shared" si="147"/>
        <v>0</v>
      </c>
      <c r="W515">
        <f t="shared" si="148"/>
        <v>0</v>
      </c>
      <c r="X515">
        <f t="shared" si="149"/>
        <v>0</v>
      </c>
      <c r="Y515">
        <f t="shared" si="150"/>
        <v>0</v>
      </c>
      <c r="Z515">
        <f t="shared" si="151"/>
        <v>0</v>
      </c>
      <c r="AA515">
        <f>IF($D515="",0,IF($F515&lt;2,0,IF($E515="Win",('Guide &amp; Settings'!$C$42/(($F515-1)*COUNTIFS($A$4:$A$810,$A515,$E$4:$E$810,"Win")))*SUMIFS($Z$4:$Z$810,$A$4:$A$810,$A515,$E$4:$E$810,"Loss"),-('Guide &amp; Settings'!$C$42/($F515-1))*$Z515)))</f>
        <v>0</v>
      </c>
      <c r="AB515" s="120">
        <f t="shared" si="152"/>
        <v>0</v>
      </c>
      <c r="AC515" s="120" t="str">
        <f>IF($D515="","",IF(SUMPRODUCT(MAX(($D$4:$D$810=$D515)*($B$4:$B$810&lt;$B515)*$B$4:$B$810))=0,0,MAX(($B515-MAX(SUMPRODUCT(MAX(($D$4:$D$810=$D515)*($B$4:$B$810&lt;$B515)*$B$4:$B$810)),'Guide &amp; Settings'!$C$50))/7-'Guide &amp; Settings'!$C$48,0)*'Guide &amp; Settings'!$C$49))</f>
        <v/>
      </c>
    </row>
    <row r="516" spans="1:29" x14ac:dyDescent="0.2">
      <c r="A516" s="111"/>
      <c r="B516" s="112"/>
      <c r="C516" s="113"/>
      <c r="D516" s="113"/>
      <c r="E516" s="111"/>
      <c r="F516" s="114">
        <f t="shared" si="136"/>
        <v>0</v>
      </c>
      <c r="G516" s="115" t="str">
        <f t="shared" si="137"/>
        <v/>
      </c>
      <c r="H516" s="116">
        <f>IF($D516="",0,IFERROR(LOOKUP(2,1/(($D$3:D515=$D516)*($A$3:A515&lt;$A516)),$N$3:N515),'Guide &amp; Settings'!$C$41))</f>
        <v>0</v>
      </c>
      <c r="I516" s="117">
        <f t="shared" si="138"/>
        <v>0</v>
      </c>
      <c r="J516" s="118">
        <f>IF($D516="",0,IF($F516&lt;2,0,IF($E516="Win",('Guide &amp; Settings'!$C$42/(($F516-1)*COUNTIFS($A$4:$A$810,$A516,$E$4:$E$810,"Win")))*SUMIFS($X$4:$X$810,$A$4:$A$810,$A516,$E$4:$E$810,"Loss"),-('Guide &amp; Settings'!$C$42/($F516-1))*$X516)))</f>
        <v>0</v>
      </c>
      <c r="K516" s="118">
        <f>IF($D516="",0,'Guide &amp; Settings'!$C$43*(IF($E516="Win",1,0)-$I516))</f>
        <v>0</v>
      </c>
      <c r="L516" s="119">
        <f>IF($D516="",0,'Guide &amp; Settings'!$C$44*IF($F516&gt;=3,$F516,0))</f>
        <v>0</v>
      </c>
      <c r="M516" s="118">
        <f t="shared" si="139"/>
        <v>0</v>
      </c>
      <c r="N516" s="116">
        <f t="shared" si="140"/>
        <v>0</v>
      </c>
      <c r="O516" s="115" t="str">
        <f t="shared" si="141"/>
        <v/>
      </c>
      <c r="P516">
        <f t="shared" si="142"/>
        <v>0</v>
      </c>
      <c r="Q516">
        <f t="shared" si="143"/>
        <v>0</v>
      </c>
      <c r="R516">
        <f t="shared" si="144"/>
        <v>0</v>
      </c>
      <c r="S516">
        <f t="shared" si="145"/>
        <v>0</v>
      </c>
      <c r="T516" s="83">
        <f t="shared" si="146"/>
        <v>0</v>
      </c>
      <c r="U516" s="120">
        <f>IF($D516="",0,IFERROR(LOOKUP(2,1/(($D$3:D515=$D516)*($C$3:C515=$C516)*($A$3:A515&lt;$A516)),$AB$3:AB515),1000))</f>
        <v>0</v>
      </c>
      <c r="V516" s="120">
        <f t="shared" si="147"/>
        <v>0</v>
      </c>
      <c r="W516">
        <f t="shared" si="148"/>
        <v>0</v>
      </c>
      <c r="X516">
        <f t="shared" si="149"/>
        <v>0</v>
      </c>
      <c r="Y516">
        <f t="shared" si="150"/>
        <v>0</v>
      </c>
      <c r="Z516">
        <f t="shared" si="151"/>
        <v>0</v>
      </c>
      <c r="AA516">
        <f>IF($D516="",0,IF($F516&lt;2,0,IF($E516="Win",('Guide &amp; Settings'!$C$42/(($F516-1)*COUNTIFS($A$4:$A$810,$A516,$E$4:$E$810,"Win")))*SUMIFS($Z$4:$Z$810,$A$4:$A$810,$A516,$E$4:$E$810,"Loss"),-('Guide &amp; Settings'!$C$42/($F516-1))*$Z516)))</f>
        <v>0</v>
      </c>
      <c r="AB516" s="120">
        <f t="shared" si="152"/>
        <v>0</v>
      </c>
      <c r="AC516" s="120" t="str">
        <f>IF($D516="","",IF(SUMPRODUCT(MAX(($D$4:$D$810=$D516)*($B$4:$B$810&lt;$B516)*$B$4:$B$810))=0,0,MAX(($B516-MAX(SUMPRODUCT(MAX(($D$4:$D$810=$D516)*($B$4:$B$810&lt;$B516)*$B$4:$B$810)),'Guide &amp; Settings'!$C$50))/7-'Guide &amp; Settings'!$C$48,0)*'Guide &amp; Settings'!$C$49))</f>
        <v/>
      </c>
    </row>
    <row r="517" spans="1:29" x14ac:dyDescent="0.2">
      <c r="A517" s="111"/>
      <c r="B517" s="112"/>
      <c r="C517" s="113"/>
      <c r="D517" s="113"/>
      <c r="E517" s="111"/>
      <c r="F517" s="114">
        <f t="shared" si="136"/>
        <v>0</v>
      </c>
      <c r="G517" s="115" t="str">
        <f t="shared" si="137"/>
        <v/>
      </c>
      <c r="H517" s="116">
        <f>IF($D517="",0,IFERROR(LOOKUP(2,1/(($D$3:D516=$D517)*($A$3:A516&lt;$A517)),$N$3:N516),'Guide &amp; Settings'!$C$41))</f>
        <v>0</v>
      </c>
      <c r="I517" s="117">
        <f t="shared" si="138"/>
        <v>0</v>
      </c>
      <c r="J517" s="118">
        <f>IF($D517="",0,IF($F517&lt;2,0,IF($E517="Win",('Guide &amp; Settings'!$C$42/(($F517-1)*COUNTIFS($A$4:$A$810,$A517,$E$4:$E$810,"Win")))*SUMIFS($X$4:$X$810,$A$4:$A$810,$A517,$E$4:$E$810,"Loss"),-('Guide &amp; Settings'!$C$42/($F517-1))*$X517)))</f>
        <v>0</v>
      </c>
      <c r="K517" s="118">
        <f>IF($D517="",0,'Guide &amp; Settings'!$C$43*(IF($E517="Win",1,0)-$I517))</f>
        <v>0</v>
      </c>
      <c r="L517" s="119">
        <f>IF($D517="",0,'Guide &amp; Settings'!$C$44*IF($F517&gt;=3,$F517,0))</f>
        <v>0</v>
      </c>
      <c r="M517" s="118">
        <f t="shared" si="139"/>
        <v>0</v>
      </c>
      <c r="N517" s="116">
        <f t="shared" si="140"/>
        <v>0</v>
      </c>
      <c r="O517" s="115" t="str">
        <f t="shared" si="141"/>
        <v/>
      </c>
      <c r="P517">
        <f t="shared" si="142"/>
        <v>0</v>
      </c>
      <c r="Q517">
        <f t="shared" si="143"/>
        <v>0</v>
      </c>
      <c r="R517">
        <f t="shared" si="144"/>
        <v>0</v>
      </c>
      <c r="S517">
        <f t="shared" si="145"/>
        <v>0</v>
      </c>
      <c r="T517" s="83">
        <f t="shared" si="146"/>
        <v>0</v>
      </c>
      <c r="U517" s="120">
        <f>IF($D517="",0,IFERROR(LOOKUP(2,1/(($D$3:D516=$D517)*($C$3:C516=$C517)*($A$3:A516&lt;$A517)),$AB$3:AB516),1000))</f>
        <v>0</v>
      </c>
      <c r="V517" s="120">
        <f t="shared" si="147"/>
        <v>0</v>
      </c>
      <c r="W517">
        <f t="shared" si="148"/>
        <v>0</v>
      </c>
      <c r="X517">
        <f t="shared" si="149"/>
        <v>0</v>
      </c>
      <c r="Y517">
        <f t="shared" si="150"/>
        <v>0</v>
      </c>
      <c r="Z517">
        <f t="shared" si="151"/>
        <v>0</v>
      </c>
      <c r="AA517">
        <f>IF($D517="",0,IF($F517&lt;2,0,IF($E517="Win",('Guide &amp; Settings'!$C$42/(($F517-1)*COUNTIFS($A$4:$A$810,$A517,$E$4:$E$810,"Win")))*SUMIFS($Z$4:$Z$810,$A$4:$A$810,$A517,$E$4:$E$810,"Loss"),-('Guide &amp; Settings'!$C$42/($F517-1))*$Z517)))</f>
        <v>0</v>
      </c>
      <c r="AB517" s="120">
        <f t="shared" si="152"/>
        <v>0</v>
      </c>
      <c r="AC517" s="120" t="str">
        <f>IF($D517="","",IF(SUMPRODUCT(MAX(($D$4:$D$810=$D517)*($B$4:$B$810&lt;$B517)*$B$4:$B$810))=0,0,MAX(($B517-MAX(SUMPRODUCT(MAX(($D$4:$D$810=$D517)*($B$4:$B$810&lt;$B517)*$B$4:$B$810)),'Guide &amp; Settings'!$C$50))/7-'Guide &amp; Settings'!$C$48,0)*'Guide &amp; Settings'!$C$49))</f>
        <v/>
      </c>
    </row>
    <row r="518" spans="1:29" x14ac:dyDescent="0.2">
      <c r="A518" s="111"/>
      <c r="B518" s="112"/>
      <c r="C518" s="113"/>
      <c r="D518" s="113"/>
      <c r="E518" s="111"/>
      <c r="F518" s="114">
        <f t="shared" si="136"/>
        <v>0</v>
      </c>
      <c r="G518" s="115" t="str">
        <f t="shared" si="137"/>
        <v/>
      </c>
      <c r="H518" s="116">
        <f>IF($D518="",0,IFERROR(LOOKUP(2,1/(($D$3:D517=$D518)*($A$3:A517&lt;$A518)),$N$3:N517),'Guide &amp; Settings'!$C$41))</f>
        <v>0</v>
      </c>
      <c r="I518" s="117">
        <f t="shared" si="138"/>
        <v>0</v>
      </c>
      <c r="J518" s="118">
        <f>IF($D518="",0,IF($F518&lt;2,0,IF($E518="Win",('Guide &amp; Settings'!$C$42/(($F518-1)*COUNTIFS($A$4:$A$810,$A518,$E$4:$E$810,"Win")))*SUMIFS($X$4:$X$810,$A$4:$A$810,$A518,$E$4:$E$810,"Loss"),-('Guide &amp; Settings'!$C$42/($F518-1))*$X518)))</f>
        <v>0</v>
      </c>
      <c r="K518" s="118">
        <f>IF($D518="",0,'Guide &amp; Settings'!$C$43*(IF($E518="Win",1,0)-$I518))</f>
        <v>0</v>
      </c>
      <c r="L518" s="119">
        <f>IF($D518="",0,'Guide &amp; Settings'!$C$44*IF($F518&gt;=3,$F518,0))</f>
        <v>0</v>
      </c>
      <c r="M518" s="118">
        <f t="shared" si="139"/>
        <v>0</v>
      </c>
      <c r="N518" s="116">
        <f t="shared" si="140"/>
        <v>0</v>
      </c>
      <c r="O518" s="115" t="str">
        <f t="shared" si="141"/>
        <v/>
      </c>
      <c r="P518">
        <f t="shared" si="142"/>
        <v>0</v>
      </c>
      <c r="Q518">
        <f t="shared" si="143"/>
        <v>0</v>
      </c>
      <c r="R518">
        <f t="shared" si="144"/>
        <v>0</v>
      </c>
      <c r="S518">
        <f t="shared" si="145"/>
        <v>0</v>
      </c>
      <c r="T518" s="83">
        <f t="shared" si="146"/>
        <v>0</v>
      </c>
      <c r="U518" s="120">
        <f>IF($D518="",0,IFERROR(LOOKUP(2,1/(($D$3:D517=$D518)*($C$3:C517=$C518)*($A$3:A517&lt;$A518)),$AB$3:AB517),1000))</f>
        <v>0</v>
      </c>
      <c r="V518" s="120">
        <f t="shared" si="147"/>
        <v>0</v>
      </c>
      <c r="W518">
        <f t="shared" si="148"/>
        <v>0</v>
      </c>
      <c r="X518">
        <f t="shared" si="149"/>
        <v>0</v>
      </c>
      <c r="Y518">
        <f t="shared" si="150"/>
        <v>0</v>
      </c>
      <c r="Z518">
        <f t="shared" si="151"/>
        <v>0</v>
      </c>
      <c r="AA518">
        <f>IF($D518="",0,IF($F518&lt;2,0,IF($E518="Win",('Guide &amp; Settings'!$C$42/(($F518-1)*COUNTIFS($A$4:$A$810,$A518,$E$4:$E$810,"Win")))*SUMIFS($Z$4:$Z$810,$A$4:$A$810,$A518,$E$4:$E$810,"Loss"),-('Guide &amp; Settings'!$C$42/($F518-1))*$Z518)))</f>
        <v>0</v>
      </c>
      <c r="AB518" s="120">
        <f t="shared" si="152"/>
        <v>0</v>
      </c>
      <c r="AC518" s="120" t="str">
        <f>IF($D518="","",IF(SUMPRODUCT(MAX(($D$4:$D$810=$D518)*($B$4:$B$810&lt;$B518)*$B$4:$B$810))=0,0,MAX(($B518-MAX(SUMPRODUCT(MAX(($D$4:$D$810=$D518)*($B$4:$B$810&lt;$B518)*$B$4:$B$810)),'Guide &amp; Settings'!$C$50))/7-'Guide &amp; Settings'!$C$48,0)*'Guide &amp; Settings'!$C$49))</f>
        <v/>
      </c>
    </row>
    <row r="519" spans="1:29" x14ac:dyDescent="0.2">
      <c r="A519" s="111"/>
      <c r="B519" s="112"/>
      <c r="C519" s="113"/>
      <c r="D519" s="113"/>
      <c r="E519" s="111"/>
      <c r="F519" s="114">
        <f t="shared" si="136"/>
        <v>0</v>
      </c>
      <c r="G519" s="115" t="str">
        <f t="shared" si="137"/>
        <v/>
      </c>
      <c r="H519" s="116">
        <f>IF($D519="",0,IFERROR(LOOKUP(2,1/(($D$3:D518=$D519)*($A$3:A518&lt;$A519)),$N$3:N518),'Guide &amp; Settings'!$C$41))</f>
        <v>0</v>
      </c>
      <c r="I519" s="117">
        <f t="shared" si="138"/>
        <v>0</v>
      </c>
      <c r="J519" s="118">
        <f>IF($D519="",0,IF($F519&lt;2,0,IF($E519="Win",('Guide &amp; Settings'!$C$42/(($F519-1)*COUNTIFS($A$4:$A$810,$A519,$E$4:$E$810,"Win")))*SUMIFS($X$4:$X$810,$A$4:$A$810,$A519,$E$4:$E$810,"Loss"),-('Guide &amp; Settings'!$C$42/($F519-1))*$X519)))</f>
        <v>0</v>
      </c>
      <c r="K519" s="118">
        <f>IF($D519="",0,'Guide &amp; Settings'!$C$43*(IF($E519="Win",1,0)-$I519))</f>
        <v>0</v>
      </c>
      <c r="L519" s="119">
        <f>IF($D519="",0,'Guide &amp; Settings'!$C$44*IF($F519&gt;=3,$F519,0))</f>
        <v>0</v>
      </c>
      <c r="M519" s="118">
        <f t="shared" si="139"/>
        <v>0</v>
      </c>
      <c r="N519" s="116">
        <f t="shared" si="140"/>
        <v>0</v>
      </c>
      <c r="O519" s="115" t="str">
        <f t="shared" si="141"/>
        <v/>
      </c>
      <c r="P519">
        <f t="shared" si="142"/>
        <v>0</v>
      </c>
      <c r="Q519">
        <f t="shared" si="143"/>
        <v>0</v>
      </c>
      <c r="R519">
        <f t="shared" si="144"/>
        <v>0</v>
      </c>
      <c r="S519">
        <f t="shared" si="145"/>
        <v>0</v>
      </c>
      <c r="T519" s="83">
        <f t="shared" si="146"/>
        <v>0</v>
      </c>
      <c r="U519" s="120">
        <f>IF($D519="",0,IFERROR(LOOKUP(2,1/(($D$3:D518=$D519)*($C$3:C518=$C519)*($A$3:A518&lt;$A519)),$AB$3:AB518),1000))</f>
        <v>0</v>
      </c>
      <c r="V519" s="120">
        <f t="shared" si="147"/>
        <v>0</v>
      </c>
      <c r="W519">
        <f t="shared" si="148"/>
        <v>0</v>
      </c>
      <c r="X519">
        <f t="shared" si="149"/>
        <v>0</v>
      </c>
      <c r="Y519">
        <f t="shared" si="150"/>
        <v>0</v>
      </c>
      <c r="Z519">
        <f t="shared" si="151"/>
        <v>0</v>
      </c>
      <c r="AA519">
        <f>IF($D519="",0,IF($F519&lt;2,0,IF($E519="Win",('Guide &amp; Settings'!$C$42/(($F519-1)*COUNTIFS($A$4:$A$810,$A519,$E$4:$E$810,"Win")))*SUMIFS($Z$4:$Z$810,$A$4:$A$810,$A519,$E$4:$E$810,"Loss"),-('Guide &amp; Settings'!$C$42/($F519-1))*$Z519)))</f>
        <v>0</v>
      </c>
      <c r="AB519" s="120">
        <f t="shared" si="152"/>
        <v>0</v>
      </c>
      <c r="AC519" s="120" t="str">
        <f>IF($D519="","",IF(SUMPRODUCT(MAX(($D$4:$D$810=$D519)*($B$4:$B$810&lt;$B519)*$B$4:$B$810))=0,0,MAX(($B519-MAX(SUMPRODUCT(MAX(($D$4:$D$810=$D519)*($B$4:$B$810&lt;$B519)*$B$4:$B$810)),'Guide &amp; Settings'!$C$50))/7-'Guide &amp; Settings'!$C$48,0)*'Guide &amp; Settings'!$C$49))</f>
        <v/>
      </c>
    </row>
    <row r="520" spans="1:29" x14ac:dyDescent="0.2">
      <c r="A520" s="111"/>
      <c r="B520" s="112"/>
      <c r="C520" s="113"/>
      <c r="D520" s="113"/>
      <c r="E520" s="111"/>
      <c r="F520" s="114">
        <f t="shared" si="136"/>
        <v>0</v>
      </c>
      <c r="G520" s="115" t="str">
        <f t="shared" si="137"/>
        <v/>
      </c>
      <c r="H520" s="116">
        <f>IF($D520="",0,IFERROR(LOOKUP(2,1/(($D$3:D519=$D520)*($A$3:A519&lt;$A520)),$N$3:N519),'Guide &amp; Settings'!$C$41))</f>
        <v>0</v>
      </c>
      <c r="I520" s="117">
        <f t="shared" si="138"/>
        <v>0</v>
      </c>
      <c r="J520" s="118">
        <f>IF($D520="",0,IF($F520&lt;2,0,IF($E520="Win",('Guide &amp; Settings'!$C$42/(($F520-1)*COUNTIFS($A$4:$A$810,$A520,$E$4:$E$810,"Win")))*SUMIFS($X$4:$X$810,$A$4:$A$810,$A520,$E$4:$E$810,"Loss"),-('Guide &amp; Settings'!$C$42/($F520-1))*$X520)))</f>
        <v>0</v>
      </c>
      <c r="K520" s="118">
        <f>IF($D520="",0,'Guide &amp; Settings'!$C$43*(IF($E520="Win",1,0)-$I520))</f>
        <v>0</v>
      </c>
      <c r="L520" s="119">
        <f>IF($D520="",0,'Guide &amp; Settings'!$C$44*IF($F520&gt;=3,$F520,0))</f>
        <v>0</v>
      </c>
      <c r="M520" s="118">
        <f t="shared" si="139"/>
        <v>0</v>
      </c>
      <c r="N520" s="116">
        <f t="shared" si="140"/>
        <v>0</v>
      </c>
      <c r="O520" s="115" t="str">
        <f t="shared" si="141"/>
        <v/>
      </c>
      <c r="P520">
        <f t="shared" si="142"/>
        <v>0</v>
      </c>
      <c r="Q520">
        <f t="shared" si="143"/>
        <v>0</v>
      </c>
      <c r="R520">
        <f t="shared" si="144"/>
        <v>0</v>
      </c>
      <c r="S520">
        <f t="shared" si="145"/>
        <v>0</v>
      </c>
      <c r="T520" s="83">
        <f t="shared" si="146"/>
        <v>0</v>
      </c>
      <c r="U520" s="120">
        <f>IF($D520="",0,IFERROR(LOOKUP(2,1/(($D$3:D519=$D520)*($C$3:C519=$C520)*($A$3:A519&lt;$A520)),$AB$3:AB519),1000))</f>
        <v>0</v>
      </c>
      <c r="V520" s="120">
        <f t="shared" si="147"/>
        <v>0</v>
      </c>
      <c r="W520">
        <f t="shared" si="148"/>
        <v>0</v>
      </c>
      <c r="X520">
        <f t="shared" si="149"/>
        <v>0</v>
      </c>
      <c r="Y520">
        <f t="shared" si="150"/>
        <v>0</v>
      </c>
      <c r="Z520">
        <f t="shared" si="151"/>
        <v>0</v>
      </c>
      <c r="AA520">
        <f>IF($D520="",0,IF($F520&lt;2,0,IF($E520="Win",('Guide &amp; Settings'!$C$42/(($F520-1)*COUNTIFS($A$4:$A$810,$A520,$E$4:$E$810,"Win")))*SUMIFS($Z$4:$Z$810,$A$4:$A$810,$A520,$E$4:$E$810,"Loss"),-('Guide &amp; Settings'!$C$42/($F520-1))*$Z520)))</f>
        <v>0</v>
      </c>
      <c r="AB520" s="120">
        <f t="shared" si="152"/>
        <v>0</v>
      </c>
      <c r="AC520" s="120" t="str">
        <f>IF($D520="","",IF(SUMPRODUCT(MAX(($D$4:$D$810=$D520)*($B$4:$B$810&lt;$B520)*$B$4:$B$810))=0,0,MAX(($B520-MAX(SUMPRODUCT(MAX(($D$4:$D$810=$D520)*($B$4:$B$810&lt;$B520)*$B$4:$B$810)),'Guide &amp; Settings'!$C$50))/7-'Guide &amp; Settings'!$C$48,0)*'Guide &amp; Settings'!$C$49))</f>
        <v/>
      </c>
    </row>
    <row r="521" spans="1:29" x14ac:dyDescent="0.2">
      <c r="A521" s="111"/>
      <c r="B521" s="112"/>
      <c r="C521" s="113"/>
      <c r="D521" s="113"/>
      <c r="E521" s="111"/>
      <c r="F521" s="114">
        <f t="shared" si="136"/>
        <v>0</v>
      </c>
      <c r="G521" s="115" t="str">
        <f t="shared" si="137"/>
        <v/>
      </c>
      <c r="H521" s="116">
        <f>IF($D521="",0,IFERROR(LOOKUP(2,1/(($D$3:D520=$D521)*($A$3:A520&lt;$A521)),$N$3:N520),'Guide &amp; Settings'!$C$41))</f>
        <v>0</v>
      </c>
      <c r="I521" s="117">
        <f t="shared" si="138"/>
        <v>0</v>
      </c>
      <c r="J521" s="118">
        <f>IF($D521="",0,IF($F521&lt;2,0,IF($E521="Win",('Guide &amp; Settings'!$C$42/(($F521-1)*COUNTIFS($A$4:$A$810,$A521,$E$4:$E$810,"Win")))*SUMIFS($X$4:$X$810,$A$4:$A$810,$A521,$E$4:$E$810,"Loss"),-('Guide &amp; Settings'!$C$42/($F521-1))*$X521)))</f>
        <v>0</v>
      </c>
      <c r="K521" s="118">
        <f>IF($D521="",0,'Guide &amp; Settings'!$C$43*(IF($E521="Win",1,0)-$I521))</f>
        <v>0</v>
      </c>
      <c r="L521" s="119">
        <f>IF($D521="",0,'Guide &amp; Settings'!$C$44*IF($F521&gt;=3,$F521,0))</f>
        <v>0</v>
      </c>
      <c r="M521" s="118">
        <f t="shared" si="139"/>
        <v>0</v>
      </c>
      <c r="N521" s="116">
        <f t="shared" si="140"/>
        <v>0</v>
      </c>
      <c r="O521" s="115" t="str">
        <f t="shared" si="141"/>
        <v/>
      </c>
      <c r="P521">
        <f t="shared" si="142"/>
        <v>0</v>
      </c>
      <c r="Q521">
        <f t="shared" si="143"/>
        <v>0</v>
      </c>
      <c r="R521">
        <f t="shared" si="144"/>
        <v>0</v>
      </c>
      <c r="S521">
        <f t="shared" si="145"/>
        <v>0</v>
      </c>
      <c r="T521" s="83">
        <f t="shared" si="146"/>
        <v>0</v>
      </c>
      <c r="U521" s="120">
        <f>IF($D521="",0,IFERROR(LOOKUP(2,1/(($D$3:D520=$D521)*($C$3:C520=$C521)*($A$3:A520&lt;$A521)),$AB$3:AB520),1000))</f>
        <v>0</v>
      </c>
      <c r="V521" s="120">
        <f t="shared" si="147"/>
        <v>0</v>
      </c>
      <c r="W521">
        <f t="shared" si="148"/>
        <v>0</v>
      </c>
      <c r="X521">
        <f t="shared" si="149"/>
        <v>0</v>
      </c>
      <c r="Y521">
        <f t="shared" si="150"/>
        <v>0</v>
      </c>
      <c r="Z521">
        <f t="shared" si="151"/>
        <v>0</v>
      </c>
      <c r="AA521">
        <f>IF($D521="",0,IF($F521&lt;2,0,IF($E521="Win",('Guide &amp; Settings'!$C$42/(($F521-1)*COUNTIFS($A$4:$A$810,$A521,$E$4:$E$810,"Win")))*SUMIFS($Z$4:$Z$810,$A$4:$A$810,$A521,$E$4:$E$810,"Loss"),-('Guide &amp; Settings'!$C$42/($F521-1))*$Z521)))</f>
        <v>0</v>
      </c>
      <c r="AB521" s="120">
        <f t="shared" si="152"/>
        <v>0</v>
      </c>
      <c r="AC521" s="120" t="str">
        <f>IF($D521="","",IF(SUMPRODUCT(MAX(($D$4:$D$810=$D521)*($B$4:$B$810&lt;$B521)*$B$4:$B$810))=0,0,MAX(($B521-MAX(SUMPRODUCT(MAX(($D$4:$D$810=$D521)*($B$4:$B$810&lt;$B521)*$B$4:$B$810)),'Guide &amp; Settings'!$C$50))/7-'Guide &amp; Settings'!$C$48,0)*'Guide &amp; Settings'!$C$49))</f>
        <v/>
      </c>
    </row>
    <row r="522" spans="1:29" x14ac:dyDescent="0.2">
      <c r="A522" s="111"/>
      <c r="B522" s="112"/>
      <c r="C522" s="113"/>
      <c r="D522" s="113"/>
      <c r="E522" s="111"/>
      <c r="F522" s="114">
        <f t="shared" si="136"/>
        <v>0</v>
      </c>
      <c r="G522" s="115" t="str">
        <f t="shared" si="137"/>
        <v/>
      </c>
      <c r="H522" s="116">
        <f>IF($D522="",0,IFERROR(LOOKUP(2,1/(($D$3:D521=$D522)*($A$3:A521&lt;$A522)),$N$3:N521),'Guide &amp; Settings'!$C$41))</f>
        <v>0</v>
      </c>
      <c r="I522" s="117">
        <f t="shared" si="138"/>
        <v>0</v>
      </c>
      <c r="J522" s="118">
        <f>IF($D522="",0,IF($F522&lt;2,0,IF($E522="Win",('Guide &amp; Settings'!$C$42/(($F522-1)*COUNTIFS($A$4:$A$810,$A522,$E$4:$E$810,"Win")))*SUMIFS($X$4:$X$810,$A$4:$A$810,$A522,$E$4:$E$810,"Loss"),-('Guide &amp; Settings'!$C$42/($F522-1))*$X522)))</f>
        <v>0</v>
      </c>
      <c r="K522" s="118">
        <f>IF($D522="",0,'Guide &amp; Settings'!$C$43*(IF($E522="Win",1,0)-$I522))</f>
        <v>0</v>
      </c>
      <c r="L522" s="119">
        <f>IF($D522="",0,'Guide &amp; Settings'!$C$44*IF($F522&gt;=3,$F522,0))</f>
        <v>0</v>
      </c>
      <c r="M522" s="118">
        <f t="shared" si="139"/>
        <v>0</v>
      </c>
      <c r="N522" s="116">
        <f t="shared" si="140"/>
        <v>0</v>
      </c>
      <c r="O522" s="115" t="str">
        <f t="shared" si="141"/>
        <v/>
      </c>
      <c r="P522">
        <f t="shared" si="142"/>
        <v>0</v>
      </c>
      <c r="Q522">
        <f t="shared" si="143"/>
        <v>0</v>
      </c>
      <c r="R522">
        <f t="shared" si="144"/>
        <v>0</v>
      </c>
      <c r="S522">
        <f t="shared" si="145"/>
        <v>0</v>
      </c>
      <c r="T522" s="83">
        <f t="shared" si="146"/>
        <v>0</v>
      </c>
      <c r="U522" s="120">
        <f>IF($D522="",0,IFERROR(LOOKUP(2,1/(($D$3:D521=$D522)*($C$3:C521=$C522)*($A$3:A521&lt;$A522)),$AB$3:AB521),1000))</f>
        <v>0</v>
      </c>
      <c r="V522" s="120">
        <f t="shared" si="147"/>
        <v>0</v>
      </c>
      <c r="W522">
        <f t="shared" si="148"/>
        <v>0</v>
      </c>
      <c r="X522">
        <f t="shared" si="149"/>
        <v>0</v>
      </c>
      <c r="Y522">
        <f t="shared" si="150"/>
        <v>0</v>
      </c>
      <c r="Z522">
        <f t="shared" si="151"/>
        <v>0</v>
      </c>
      <c r="AA522">
        <f>IF($D522="",0,IF($F522&lt;2,0,IF($E522="Win",('Guide &amp; Settings'!$C$42/(($F522-1)*COUNTIFS($A$4:$A$810,$A522,$E$4:$E$810,"Win")))*SUMIFS($Z$4:$Z$810,$A$4:$A$810,$A522,$E$4:$E$810,"Loss"),-('Guide &amp; Settings'!$C$42/($F522-1))*$Z522)))</f>
        <v>0</v>
      </c>
      <c r="AB522" s="120">
        <f t="shared" si="152"/>
        <v>0</v>
      </c>
      <c r="AC522" s="120" t="str">
        <f>IF($D522="","",IF(SUMPRODUCT(MAX(($D$4:$D$810=$D522)*($B$4:$B$810&lt;$B522)*$B$4:$B$810))=0,0,MAX(($B522-MAX(SUMPRODUCT(MAX(($D$4:$D$810=$D522)*($B$4:$B$810&lt;$B522)*$B$4:$B$810)),'Guide &amp; Settings'!$C$50))/7-'Guide &amp; Settings'!$C$48,0)*'Guide &amp; Settings'!$C$49))</f>
        <v/>
      </c>
    </row>
    <row r="523" spans="1:29" x14ac:dyDescent="0.2">
      <c r="A523" s="111"/>
      <c r="B523" s="112"/>
      <c r="C523" s="113"/>
      <c r="D523" s="113"/>
      <c r="E523" s="111"/>
      <c r="F523" s="114">
        <f t="shared" si="136"/>
        <v>0</v>
      </c>
      <c r="G523" s="115" t="str">
        <f t="shared" si="137"/>
        <v/>
      </c>
      <c r="H523" s="116">
        <f>IF($D523="",0,IFERROR(LOOKUP(2,1/(($D$3:D522=$D523)*($A$3:A522&lt;$A523)),$N$3:N522),'Guide &amp; Settings'!$C$41))</f>
        <v>0</v>
      </c>
      <c r="I523" s="117">
        <f t="shared" si="138"/>
        <v>0</v>
      </c>
      <c r="J523" s="118">
        <f>IF($D523="",0,IF($F523&lt;2,0,IF($E523="Win",('Guide &amp; Settings'!$C$42/(($F523-1)*COUNTIFS($A$4:$A$810,$A523,$E$4:$E$810,"Win")))*SUMIFS($X$4:$X$810,$A$4:$A$810,$A523,$E$4:$E$810,"Loss"),-('Guide &amp; Settings'!$C$42/($F523-1))*$X523)))</f>
        <v>0</v>
      </c>
      <c r="K523" s="118">
        <f>IF($D523="",0,'Guide &amp; Settings'!$C$43*(IF($E523="Win",1,0)-$I523))</f>
        <v>0</v>
      </c>
      <c r="L523" s="119">
        <f>IF($D523="",0,'Guide &amp; Settings'!$C$44*IF($F523&gt;=3,$F523,0))</f>
        <v>0</v>
      </c>
      <c r="M523" s="118">
        <f t="shared" si="139"/>
        <v>0</v>
      </c>
      <c r="N523" s="116">
        <f t="shared" si="140"/>
        <v>0</v>
      </c>
      <c r="O523" s="115" t="str">
        <f t="shared" si="141"/>
        <v/>
      </c>
      <c r="P523">
        <f t="shared" si="142"/>
        <v>0</v>
      </c>
      <c r="Q523">
        <f t="shared" si="143"/>
        <v>0</v>
      </c>
      <c r="R523">
        <f t="shared" si="144"/>
        <v>0</v>
      </c>
      <c r="S523">
        <f t="shared" si="145"/>
        <v>0</v>
      </c>
      <c r="T523" s="83">
        <f t="shared" si="146"/>
        <v>0</v>
      </c>
      <c r="U523" s="120">
        <f>IF($D523="",0,IFERROR(LOOKUP(2,1/(($D$3:D522=$D523)*($C$3:C522=$C523)*($A$3:A522&lt;$A523)),$AB$3:AB522),1000))</f>
        <v>0</v>
      </c>
      <c r="V523" s="120">
        <f t="shared" si="147"/>
        <v>0</v>
      </c>
      <c r="W523">
        <f t="shared" si="148"/>
        <v>0</v>
      </c>
      <c r="X523">
        <f t="shared" si="149"/>
        <v>0</v>
      </c>
      <c r="Y523">
        <f t="shared" si="150"/>
        <v>0</v>
      </c>
      <c r="Z523">
        <f t="shared" si="151"/>
        <v>0</v>
      </c>
      <c r="AA523">
        <f>IF($D523="",0,IF($F523&lt;2,0,IF($E523="Win",('Guide &amp; Settings'!$C$42/(($F523-1)*COUNTIFS($A$4:$A$810,$A523,$E$4:$E$810,"Win")))*SUMIFS($Z$4:$Z$810,$A$4:$A$810,$A523,$E$4:$E$810,"Loss"),-('Guide &amp; Settings'!$C$42/($F523-1))*$Z523)))</f>
        <v>0</v>
      </c>
      <c r="AB523" s="120">
        <f t="shared" si="152"/>
        <v>0</v>
      </c>
      <c r="AC523" s="120" t="str">
        <f>IF($D523="","",IF(SUMPRODUCT(MAX(($D$4:$D$810=$D523)*($B$4:$B$810&lt;$B523)*$B$4:$B$810))=0,0,MAX(($B523-MAX(SUMPRODUCT(MAX(($D$4:$D$810=$D523)*($B$4:$B$810&lt;$B523)*$B$4:$B$810)),'Guide &amp; Settings'!$C$50))/7-'Guide &amp; Settings'!$C$48,0)*'Guide &amp; Settings'!$C$49))</f>
        <v/>
      </c>
    </row>
    <row r="524" spans="1:29" x14ac:dyDescent="0.2">
      <c r="A524" s="111"/>
      <c r="B524" s="112"/>
      <c r="C524" s="113"/>
      <c r="D524" s="113"/>
      <c r="E524" s="111"/>
      <c r="F524" s="114">
        <f t="shared" si="136"/>
        <v>0</v>
      </c>
      <c r="G524" s="115" t="str">
        <f t="shared" si="137"/>
        <v/>
      </c>
      <c r="H524" s="116">
        <f>IF($D524="",0,IFERROR(LOOKUP(2,1/(($D$3:D523=$D524)*($A$3:A523&lt;$A524)),$N$3:N523),'Guide &amp; Settings'!$C$41))</f>
        <v>0</v>
      </c>
      <c r="I524" s="117">
        <f t="shared" si="138"/>
        <v>0</v>
      </c>
      <c r="J524" s="118">
        <f>IF($D524="",0,IF($F524&lt;2,0,IF($E524="Win",('Guide &amp; Settings'!$C$42/(($F524-1)*COUNTIFS($A$4:$A$810,$A524,$E$4:$E$810,"Win")))*SUMIFS($X$4:$X$810,$A$4:$A$810,$A524,$E$4:$E$810,"Loss"),-('Guide &amp; Settings'!$C$42/($F524-1))*$X524)))</f>
        <v>0</v>
      </c>
      <c r="K524" s="118">
        <f>IF($D524="",0,'Guide &amp; Settings'!$C$43*(IF($E524="Win",1,0)-$I524))</f>
        <v>0</v>
      </c>
      <c r="L524" s="119">
        <f>IF($D524="",0,'Guide &amp; Settings'!$C$44*IF($F524&gt;=3,$F524,0))</f>
        <v>0</v>
      </c>
      <c r="M524" s="118">
        <f t="shared" si="139"/>
        <v>0</v>
      </c>
      <c r="N524" s="116">
        <f t="shared" si="140"/>
        <v>0</v>
      </c>
      <c r="O524" s="115" t="str">
        <f t="shared" si="141"/>
        <v/>
      </c>
      <c r="P524">
        <f t="shared" si="142"/>
        <v>0</v>
      </c>
      <c r="Q524">
        <f t="shared" si="143"/>
        <v>0</v>
      </c>
      <c r="R524">
        <f t="shared" si="144"/>
        <v>0</v>
      </c>
      <c r="S524">
        <f t="shared" si="145"/>
        <v>0</v>
      </c>
      <c r="T524" s="83">
        <f t="shared" si="146"/>
        <v>0</v>
      </c>
      <c r="U524" s="120">
        <f>IF($D524="",0,IFERROR(LOOKUP(2,1/(($D$3:D523=$D524)*($C$3:C523=$C524)*($A$3:A523&lt;$A524)),$AB$3:AB523),1000))</f>
        <v>0</v>
      </c>
      <c r="V524" s="120">
        <f t="shared" si="147"/>
        <v>0</v>
      </c>
      <c r="W524">
        <f t="shared" si="148"/>
        <v>0</v>
      </c>
      <c r="X524">
        <f t="shared" si="149"/>
        <v>0</v>
      </c>
      <c r="Y524">
        <f t="shared" si="150"/>
        <v>0</v>
      </c>
      <c r="Z524">
        <f t="shared" si="151"/>
        <v>0</v>
      </c>
      <c r="AA524">
        <f>IF($D524="",0,IF($F524&lt;2,0,IF($E524="Win",('Guide &amp; Settings'!$C$42/(($F524-1)*COUNTIFS($A$4:$A$810,$A524,$E$4:$E$810,"Win")))*SUMIFS($Z$4:$Z$810,$A$4:$A$810,$A524,$E$4:$E$810,"Loss"),-('Guide &amp; Settings'!$C$42/($F524-1))*$Z524)))</f>
        <v>0</v>
      </c>
      <c r="AB524" s="120">
        <f t="shared" si="152"/>
        <v>0</v>
      </c>
      <c r="AC524" s="120" t="str">
        <f>IF($D524="","",IF(SUMPRODUCT(MAX(($D$4:$D$810=$D524)*($B$4:$B$810&lt;$B524)*$B$4:$B$810))=0,0,MAX(($B524-MAX(SUMPRODUCT(MAX(($D$4:$D$810=$D524)*($B$4:$B$810&lt;$B524)*$B$4:$B$810)),'Guide &amp; Settings'!$C$50))/7-'Guide &amp; Settings'!$C$48,0)*'Guide &amp; Settings'!$C$49))</f>
        <v/>
      </c>
    </row>
    <row r="525" spans="1:29" x14ac:dyDescent="0.2">
      <c r="A525" s="111"/>
      <c r="B525" s="112"/>
      <c r="C525" s="113"/>
      <c r="D525" s="113"/>
      <c r="E525" s="111"/>
      <c r="F525" s="114">
        <f t="shared" si="136"/>
        <v>0</v>
      </c>
      <c r="G525" s="115" t="str">
        <f t="shared" si="137"/>
        <v/>
      </c>
      <c r="H525" s="116">
        <f>IF($D525="",0,IFERROR(LOOKUP(2,1/(($D$3:D524=$D525)*($A$3:A524&lt;$A525)),$N$3:N524),'Guide &amp; Settings'!$C$41))</f>
        <v>0</v>
      </c>
      <c r="I525" s="117">
        <f t="shared" si="138"/>
        <v>0</v>
      </c>
      <c r="J525" s="118">
        <f>IF($D525="",0,IF($F525&lt;2,0,IF($E525="Win",('Guide &amp; Settings'!$C$42/(($F525-1)*COUNTIFS($A$4:$A$810,$A525,$E$4:$E$810,"Win")))*SUMIFS($X$4:$X$810,$A$4:$A$810,$A525,$E$4:$E$810,"Loss"),-('Guide &amp; Settings'!$C$42/($F525-1))*$X525)))</f>
        <v>0</v>
      </c>
      <c r="K525" s="118">
        <f>IF($D525="",0,'Guide &amp; Settings'!$C$43*(IF($E525="Win",1,0)-$I525))</f>
        <v>0</v>
      </c>
      <c r="L525" s="119">
        <f>IF($D525="",0,'Guide &amp; Settings'!$C$44*IF($F525&gt;=3,$F525,0))</f>
        <v>0</v>
      </c>
      <c r="M525" s="118">
        <f t="shared" si="139"/>
        <v>0</v>
      </c>
      <c r="N525" s="116">
        <f t="shared" si="140"/>
        <v>0</v>
      </c>
      <c r="O525" s="115" t="str">
        <f t="shared" si="141"/>
        <v/>
      </c>
      <c r="P525">
        <f t="shared" si="142"/>
        <v>0</v>
      </c>
      <c r="Q525">
        <f t="shared" si="143"/>
        <v>0</v>
      </c>
      <c r="R525">
        <f t="shared" si="144"/>
        <v>0</v>
      </c>
      <c r="S525">
        <f t="shared" si="145"/>
        <v>0</v>
      </c>
      <c r="T525" s="83">
        <f t="shared" si="146"/>
        <v>0</v>
      </c>
      <c r="U525" s="120">
        <f>IF($D525="",0,IFERROR(LOOKUP(2,1/(($D$3:D524=$D525)*($C$3:C524=$C525)*($A$3:A524&lt;$A525)),$AB$3:AB524),1000))</f>
        <v>0</v>
      </c>
      <c r="V525" s="120">
        <f t="shared" si="147"/>
        <v>0</v>
      </c>
      <c r="W525">
        <f t="shared" si="148"/>
        <v>0</v>
      </c>
      <c r="X525">
        <f t="shared" si="149"/>
        <v>0</v>
      </c>
      <c r="Y525">
        <f t="shared" si="150"/>
        <v>0</v>
      </c>
      <c r="Z525">
        <f t="shared" si="151"/>
        <v>0</v>
      </c>
      <c r="AA525">
        <f>IF($D525="",0,IF($F525&lt;2,0,IF($E525="Win",('Guide &amp; Settings'!$C$42/(($F525-1)*COUNTIFS($A$4:$A$810,$A525,$E$4:$E$810,"Win")))*SUMIFS($Z$4:$Z$810,$A$4:$A$810,$A525,$E$4:$E$810,"Loss"),-('Guide &amp; Settings'!$C$42/($F525-1))*$Z525)))</f>
        <v>0</v>
      </c>
      <c r="AB525" s="120">
        <f t="shared" si="152"/>
        <v>0</v>
      </c>
      <c r="AC525" s="120" t="str">
        <f>IF($D525="","",IF(SUMPRODUCT(MAX(($D$4:$D$810=$D525)*($B$4:$B$810&lt;$B525)*$B$4:$B$810))=0,0,MAX(($B525-MAX(SUMPRODUCT(MAX(($D$4:$D$810=$D525)*($B$4:$B$810&lt;$B525)*$B$4:$B$810)),'Guide &amp; Settings'!$C$50))/7-'Guide &amp; Settings'!$C$48,0)*'Guide &amp; Settings'!$C$49))</f>
        <v/>
      </c>
    </row>
    <row r="526" spans="1:29" x14ac:dyDescent="0.2">
      <c r="A526" s="111"/>
      <c r="B526" s="112"/>
      <c r="C526" s="113"/>
      <c r="D526" s="113"/>
      <c r="E526" s="111"/>
      <c r="F526" s="114">
        <f t="shared" si="136"/>
        <v>0</v>
      </c>
      <c r="G526" s="115" t="str">
        <f t="shared" si="137"/>
        <v/>
      </c>
      <c r="H526" s="116">
        <f>IF($D526="",0,IFERROR(LOOKUP(2,1/(($D$3:D525=$D526)*($A$3:A525&lt;$A526)),$N$3:N525),'Guide &amp; Settings'!$C$41))</f>
        <v>0</v>
      </c>
      <c r="I526" s="117">
        <f t="shared" si="138"/>
        <v>0</v>
      </c>
      <c r="J526" s="118">
        <f>IF($D526="",0,IF($F526&lt;2,0,IF($E526="Win",('Guide &amp; Settings'!$C$42/(($F526-1)*COUNTIFS($A$4:$A$810,$A526,$E$4:$E$810,"Win")))*SUMIFS($X$4:$X$810,$A$4:$A$810,$A526,$E$4:$E$810,"Loss"),-('Guide &amp; Settings'!$C$42/($F526-1))*$X526)))</f>
        <v>0</v>
      </c>
      <c r="K526" s="118">
        <f>IF($D526="",0,'Guide &amp; Settings'!$C$43*(IF($E526="Win",1,0)-$I526))</f>
        <v>0</v>
      </c>
      <c r="L526" s="119">
        <f>IF($D526="",0,'Guide &amp; Settings'!$C$44*IF($F526&gt;=3,$F526,0))</f>
        <v>0</v>
      </c>
      <c r="M526" s="118">
        <f t="shared" si="139"/>
        <v>0</v>
      </c>
      <c r="N526" s="116">
        <f t="shared" si="140"/>
        <v>0</v>
      </c>
      <c r="O526" s="115" t="str">
        <f t="shared" si="141"/>
        <v/>
      </c>
      <c r="P526">
        <f t="shared" si="142"/>
        <v>0</v>
      </c>
      <c r="Q526">
        <f t="shared" si="143"/>
        <v>0</v>
      </c>
      <c r="R526">
        <f t="shared" si="144"/>
        <v>0</v>
      </c>
      <c r="S526">
        <f t="shared" si="145"/>
        <v>0</v>
      </c>
      <c r="T526" s="83">
        <f t="shared" si="146"/>
        <v>0</v>
      </c>
      <c r="U526" s="120">
        <f>IF($D526="",0,IFERROR(LOOKUP(2,1/(($D$3:D525=$D526)*($C$3:C525=$C526)*($A$3:A525&lt;$A526)),$AB$3:AB525),1000))</f>
        <v>0</v>
      </c>
      <c r="V526" s="120">
        <f t="shared" si="147"/>
        <v>0</v>
      </c>
      <c r="W526">
        <f t="shared" si="148"/>
        <v>0</v>
      </c>
      <c r="X526">
        <f t="shared" si="149"/>
        <v>0</v>
      </c>
      <c r="Y526">
        <f t="shared" si="150"/>
        <v>0</v>
      </c>
      <c r="Z526">
        <f t="shared" si="151"/>
        <v>0</v>
      </c>
      <c r="AA526">
        <f>IF($D526="",0,IF($F526&lt;2,0,IF($E526="Win",('Guide &amp; Settings'!$C$42/(($F526-1)*COUNTIFS($A$4:$A$810,$A526,$E$4:$E$810,"Win")))*SUMIFS($Z$4:$Z$810,$A$4:$A$810,$A526,$E$4:$E$810,"Loss"),-('Guide &amp; Settings'!$C$42/($F526-1))*$Z526)))</f>
        <v>0</v>
      </c>
      <c r="AB526" s="120">
        <f t="shared" si="152"/>
        <v>0</v>
      </c>
      <c r="AC526" s="120" t="str">
        <f>IF($D526="","",IF(SUMPRODUCT(MAX(($D$4:$D$810=$D526)*($B$4:$B$810&lt;$B526)*$B$4:$B$810))=0,0,MAX(($B526-MAX(SUMPRODUCT(MAX(($D$4:$D$810=$D526)*($B$4:$B$810&lt;$B526)*$B$4:$B$810)),'Guide &amp; Settings'!$C$50))/7-'Guide &amp; Settings'!$C$48,0)*'Guide &amp; Settings'!$C$49))</f>
        <v/>
      </c>
    </row>
    <row r="527" spans="1:29" x14ac:dyDescent="0.2">
      <c r="A527" s="111"/>
      <c r="B527" s="112"/>
      <c r="C527" s="113"/>
      <c r="D527" s="113"/>
      <c r="E527" s="111"/>
      <c r="F527" s="114">
        <f t="shared" si="136"/>
        <v>0</v>
      </c>
      <c r="G527" s="115" t="str">
        <f t="shared" si="137"/>
        <v/>
      </c>
      <c r="H527" s="116">
        <f>IF($D527="",0,IFERROR(LOOKUP(2,1/(($D$3:D526=$D527)*($A$3:A526&lt;$A527)),$N$3:N526),'Guide &amp; Settings'!$C$41))</f>
        <v>0</v>
      </c>
      <c r="I527" s="117">
        <f t="shared" si="138"/>
        <v>0</v>
      </c>
      <c r="J527" s="118">
        <f>IF($D527="",0,IF($F527&lt;2,0,IF($E527="Win",('Guide &amp; Settings'!$C$42/(($F527-1)*COUNTIFS($A$4:$A$810,$A527,$E$4:$E$810,"Win")))*SUMIFS($X$4:$X$810,$A$4:$A$810,$A527,$E$4:$E$810,"Loss"),-('Guide &amp; Settings'!$C$42/($F527-1))*$X527)))</f>
        <v>0</v>
      </c>
      <c r="K527" s="118">
        <f>IF($D527="",0,'Guide &amp; Settings'!$C$43*(IF($E527="Win",1,0)-$I527))</f>
        <v>0</v>
      </c>
      <c r="L527" s="119">
        <f>IF($D527="",0,'Guide &amp; Settings'!$C$44*IF($F527&gt;=3,$F527,0))</f>
        <v>0</v>
      </c>
      <c r="M527" s="118">
        <f t="shared" si="139"/>
        <v>0</v>
      </c>
      <c r="N527" s="116">
        <f t="shared" si="140"/>
        <v>0</v>
      </c>
      <c r="O527" s="115" t="str">
        <f t="shared" si="141"/>
        <v/>
      </c>
      <c r="P527">
        <f t="shared" si="142"/>
        <v>0</v>
      </c>
      <c r="Q527">
        <f t="shared" si="143"/>
        <v>0</v>
      </c>
      <c r="R527">
        <f t="shared" si="144"/>
        <v>0</v>
      </c>
      <c r="S527">
        <f t="shared" si="145"/>
        <v>0</v>
      </c>
      <c r="T527" s="83">
        <f t="shared" si="146"/>
        <v>0</v>
      </c>
      <c r="U527" s="120">
        <f>IF($D527="",0,IFERROR(LOOKUP(2,1/(($D$3:D526=$D527)*($C$3:C526=$C527)*($A$3:A526&lt;$A527)),$AB$3:AB526),1000))</f>
        <v>0</v>
      </c>
      <c r="V527" s="120">
        <f t="shared" si="147"/>
        <v>0</v>
      </c>
      <c r="W527">
        <f t="shared" si="148"/>
        <v>0</v>
      </c>
      <c r="X527">
        <f t="shared" si="149"/>
        <v>0</v>
      </c>
      <c r="Y527">
        <f t="shared" si="150"/>
        <v>0</v>
      </c>
      <c r="Z527">
        <f t="shared" si="151"/>
        <v>0</v>
      </c>
      <c r="AA527">
        <f>IF($D527="",0,IF($F527&lt;2,0,IF($E527="Win",('Guide &amp; Settings'!$C$42/(($F527-1)*COUNTIFS($A$4:$A$810,$A527,$E$4:$E$810,"Win")))*SUMIFS($Z$4:$Z$810,$A$4:$A$810,$A527,$E$4:$E$810,"Loss"),-('Guide &amp; Settings'!$C$42/($F527-1))*$Z527)))</f>
        <v>0</v>
      </c>
      <c r="AB527" s="120">
        <f t="shared" si="152"/>
        <v>0</v>
      </c>
      <c r="AC527" s="120" t="str">
        <f>IF($D527="","",IF(SUMPRODUCT(MAX(($D$4:$D$810=$D527)*($B$4:$B$810&lt;$B527)*$B$4:$B$810))=0,0,MAX(($B527-MAX(SUMPRODUCT(MAX(($D$4:$D$810=$D527)*($B$4:$B$810&lt;$B527)*$B$4:$B$810)),'Guide &amp; Settings'!$C$50))/7-'Guide &amp; Settings'!$C$48,0)*'Guide &amp; Settings'!$C$49))</f>
        <v/>
      </c>
    </row>
    <row r="528" spans="1:29" x14ac:dyDescent="0.2">
      <c r="A528" s="111"/>
      <c r="B528" s="112"/>
      <c r="C528" s="113"/>
      <c r="D528" s="113"/>
      <c r="E528" s="111"/>
      <c r="F528" s="114">
        <f t="shared" si="136"/>
        <v>0</v>
      </c>
      <c r="G528" s="115" t="str">
        <f t="shared" si="137"/>
        <v/>
      </c>
      <c r="H528" s="116">
        <f>IF($D528="",0,IFERROR(LOOKUP(2,1/(($D$3:D527=$D528)*($A$3:A527&lt;$A528)),$N$3:N527),'Guide &amp; Settings'!$C$41))</f>
        <v>0</v>
      </c>
      <c r="I528" s="117">
        <f t="shared" si="138"/>
        <v>0</v>
      </c>
      <c r="J528" s="118">
        <f>IF($D528="",0,IF($F528&lt;2,0,IF($E528="Win",('Guide &amp; Settings'!$C$42/(($F528-1)*COUNTIFS($A$4:$A$810,$A528,$E$4:$E$810,"Win")))*SUMIFS($X$4:$X$810,$A$4:$A$810,$A528,$E$4:$E$810,"Loss"),-('Guide &amp; Settings'!$C$42/($F528-1))*$X528)))</f>
        <v>0</v>
      </c>
      <c r="K528" s="118">
        <f>IF($D528="",0,'Guide &amp; Settings'!$C$43*(IF($E528="Win",1,0)-$I528))</f>
        <v>0</v>
      </c>
      <c r="L528" s="119">
        <f>IF($D528="",0,'Guide &amp; Settings'!$C$44*IF($F528&gt;=3,$F528,0))</f>
        <v>0</v>
      </c>
      <c r="M528" s="118">
        <f t="shared" si="139"/>
        <v>0</v>
      </c>
      <c r="N528" s="116">
        <f t="shared" si="140"/>
        <v>0</v>
      </c>
      <c r="O528" s="115" t="str">
        <f t="shared" si="141"/>
        <v/>
      </c>
      <c r="P528">
        <f t="shared" si="142"/>
        <v>0</v>
      </c>
      <c r="Q528">
        <f t="shared" si="143"/>
        <v>0</v>
      </c>
      <c r="R528">
        <f t="shared" si="144"/>
        <v>0</v>
      </c>
      <c r="S528">
        <f t="shared" si="145"/>
        <v>0</v>
      </c>
      <c r="T528" s="83">
        <f t="shared" si="146"/>
        <v>0</v>
      </c>
      <c r="U528" s="120">
        <f>IF($D528="",0,IFERROR(LOOKUP(2,1/(($D$3:D527=$D528)*($C$3:C527=$C528)*($A$3:A527&lt;$A528)),$AB$3:AB527),1000))</f>
        <v>0</v>
      </c>
      <c r="V528" s="120">
        <f t="shared" si="147"/>
        <v>0</v>
      </c>
      <c r="W528">
        <f t="shared" si="148"/>
        <v>0</v>
      </c>
      <c r="X528">
        <f t="shared" si="149"/>
        <v>0</v>
      </c>
      <c r="Y528">
        <f t="shared" si="150"/>
        <v>0</v>
      </c>
      <c r="Z528">
        <f t="shared" si="151"/>
        <v>0</v>
      </c>
      <c r="AA528">
        <f>IF($D528="",0,IF($F528&lt;2,0,IF($E528="Win",('Guide &amp; Settings'!$C$42/(($F528-1)*COUNTIFS($A$4:$A$810,$A528,$E$4:$E$810,"Win")))*SUMIFS($Z$4:$Z$810,$A$4:$A$810,$A528,$E$4:$E$810,"Loss"),-('Guide &amp; Settings'!$C$42/($F528-1))*$Z528)))</f>
        <v>0</v>
      </c>
      <c r="AB528" s="120">
        <f t="shared" si="152"/>
        <v>0</v>
      </c>
      <c r="AC528" s="120" t="str">
        <f>IF($D528="","",IF(SUMPRODUCT(MAX(($D$4:$D$810=$D528)*($B$4:$B$810&lt;$B528)*$B$4:$B$810))=0,0,MAX(($B528-MAX(SUMPRODUCT(MAX(($D$4:$D$810=$D528)*($B$4:$B$810&lt;$B528)*$B$4:$B$810)),'Guide &amp; Settings'!$C$50))/7-'Guide &amp; Settings'!$C$48,0)*'Guide &amp; Settings'!$C$49))</f>
        <v/>
      </c>
    </row>
    <row r="529" spans="1:29" x14ac:dyDescent="0.2">
      <c r="A529" s="111"/>
      <c r="B529" s="112"/>
      <c r="C529" s="113"/>
      <c r="D529" s="113"/>
      <c r="E529" s="111"/>
      <c r="F529" s="114">
        <f t="shared" si="136"/>
        <v>0</v>
      </c>
      <c r="G529" s="115" t="str">
        <f t="shared" si="137"/>
        <v/>
      </c>
      <c r="H529" s="116">
        <f>IF($D529="",0,IFERROR(LOOKUP(2,1/(($D$3:D528=$D529)*($A$3:A528&lt;$A529)),$N$3:N528),'Guide &amp; Settings'!$C$41))</f>
        <v>0</v>
      </c>
      <c r="I529" s="117">
        <f t="shared" si="138"/>
        <v>0</v>
      </c>
      <c r="J529" s="118">
        <f>IF($D529="",0,IF($F529&lt;2,0,IF($E529="Win",('Guide &amp; Settings'!$C$42/(($F529-1)*COUNTIFS($A$4:$A$810,$A529,$E$4:$E$810,"Win")))*SUMIFS($X$4:$X$810,$A$4:$A$810,$A529,$E$4:$E$810,"Loss"),-('Guide &amp; Settings'!$C$42/($F529-1))*$X529)))</f>
        <v>0</v>
      </c>
      <c r="K529" s="118">
        <f>IF($D529="",0,'Guide &amp; Settings'!$C$43*(IF($E529="Win",1,0)-$I529))</f>
        <v>0</v>
      </c>
      <c r="L529" s="119">
        <f>IF($D529="",0,'Guide &amp; Settings'!$C$44*IF($F529&gt;=3,$F529,0))</f>
        <v>0</v>
      </c>
      <c r="M529" s="118">
        <f t="shared" si="139"/>
        <v>0</v>
      </c>
      <c r="N529" s="116">
        <f t="shared" si="140"/>
        <v>0</v>
      </c>
      <c r="O529" s="115" t="str">
        <f t="shared" si="141"/>
        <v/>
      </c>
      <c r="P529">
        <f t="shared" si="142"/>
        <v>0</v>
      </c>
      <c r="Q529">
        <f t="shared" si="143"/>
        <v>0</v>
      </c>
      <c r="R529">
        <f t="shared" si="144"/>
        <v>0</v>
      </c>
      <c r="S529">
        <f t="shared" si="145"/>
        <v>0</v>
      </c>
      <c r="T529" s="83">
        <f t="shared" si="146"/>
        <v>0</v>
      </c>
      <c r="U529" s="120">
        <f>IF($D529="",0,IFERROR(LOOKUP(2,1/(($D$3:D528=$D529)*($C$3:C528=$C529)*($A$3:A528&lt;$A529)),$AB$3:AB528),1000))</f>
        <v>0</v>
      </c>
      <c r="V529" s="120">
        <f t="shared" si="147"/>
        <v>0</v>
      </c>
      <c r="W529">
        <f t="shared" si="148"/>
        <v>0</v>
      </c>
      <c r="X529">
        <f t="shared" si="149"/>
        <v>0</v>
      </c>
      <c r="Y529">
        <f t="shared" si="150"/>
        <v>0</v>
      </c>
      <c r="Z529">
        <f t="shared" si="151"/>
        <v>0</v>
      </c>
      <c r="AA529">
        <f>IF($D529="",0,IF($F529&lt;2,0,IF($E529="Win",('Guide &amp; Settings'!$C$42/(($F529-1)*COUNTIFS($A$4:$A$810,$A529,$E$4:$E$810,"Win")))*SUMIFS($Z$4:$Z$810,$A$4:$A$810,$A529,$E$4:$E$810,"Loss"),-('Guide &amp; Settings'!$C$42/($F529-1))*$Z529)))</f>
        <v>0</v>
      </c>
      <c r="AB529" s="120">
        <f t="shared" si="152"/>
        <v>0</v>
      </c>
      <c r="AC529" s="120" t="str">
        <f>IF($D529="","",IF(SUMPRODUCT(MAX(($D$4:$D$810=$D529)*($B$4:$B$810&lt;$B529)*$B$4:$B$810))=0,0,MAX(($B529-MAX(SUMPRODUCT(MAX(($D$4:$D$810=$D529)*($B$4:$B$810&lt;$B529)*$B$4:$B$810)),'Guide &amp; Settings'!$C$50))/7-'Guide &amp; Settings'!$C$48,0)*'Guide &amp; Settings'!$C$49))</f>
        <v/>
      </c>
    </row>
    <row r="530" spans="1:29" x14ac:dyDescent="0.2">
      <c r="A530" s="111"/>
      <c r="B530" s="112"/>
      <c r="C530" s="113"/>
      <c r="D530" s="113"/>
      <c r="E530" s="111"/>
      <c r="F530" s="114">
        <f t="shared" si="136"/>
        <v>0</v>
      </c>
      <c r="G530" s="115" t="str">
        <f t="shared" si="137"/>
        <v/>
      </c>
      <c r="H530" s="116">
        <f>IF($D530="",0,IFERROR(LOOKUP(2,1/(($D$3:D529=$D530)*($A$3:A529&lt;$A530)),$N$3:N529),'Guide &amp; Settings'!$C$41))</f>
        <v>0</v>
      </c>
      <c r="I530" s="117">
        <f t="shared" si="138"/>
        <v>0</v>
      </c>
      <c r="J530" s="118">
        <f>IF($D530="",0,IF($F530&lt;2,0,IF($E530="Win",('Guide &amp; Settings'!$C$42/(($F530-1)*COUNTIFS($A$4:$A$810,$A530,$E$4:$E$810,"Win")))*SUMIFS($X$4:$X$810,$A$4:$A$810,$A530,$E$4:$E$810,"Loss"),-('Guide &amp; Settings'!$C$42/($F530-1))*$X530)))</f>
        <v>0</v>
      </c>
      <c r="K530" s="118">
        <f>IF($D530="",0,'Guide &amp; Settings'!$C$43*(IF($E530="Win",1,0)-$I530))</f>
        <v>0</v>
      </c>
      <c r="L530" s="119">
        <f>IF($D530="",0,'Guide &amp; Settings'!$C$44*IF($F530&gt;=3,$F530,0))</f>
        <v>0</v>
      </c>
      <c r="M530" s="118">
        <f t="shared" si="139"/>
        <v>0</v>
      </c>
      <c r="N530" s="116">
        <f t="shared" si="140"/>
        <v>0</v>
      </c>
      <c r="O530" s="115" t="str">
        <f t="shared" si="141"/>
        <v/>
      </c>
      <c r="P530">
        <f t="shared" si="142"/>
        <v>0</v>
      </c>
      <c r="Q530">
        <f t="shared" si="143"/>
        <v>0</v>
      </c>
      <c r="R530">
        <f t="shared" si="144"/>
        <v>0</v>
      </c>
      <c r="S530">
        <f t="shared" si="145"/>
        <v>0</v>
      </c>
      <c r="T530" s="83">
        <f t="shared" si="146"/>
        <v>0</v>
      </c>
      <c r="U530" s="120">
        <f>IF($D530="",0,IFERROR(LOOKUP(2,1/(($D$3:D529=$D530)*($C$3:C529=$C530)*($A$3:A529&lt;$A530)),$AB$3:AB529),1000))</f>
        <v>0</v>
      </c>
      <c r="V530" s="120">
        <f t="shared" si="147"/>
        <v>0</v>
      </c>
      <c r="W530">
        <f t="shared" si="148"/>
        <v>0</v>
      </c>
      <c r="X530">
        <f t="shared" si="149"/>
        <v>0</v>
      </c>
      <c r="Y530">
        <f t="shared" si="150"/>
        <v>0</v>
      </c>
      <c r="Z530">
        <f t="shared" si="151"/>
        <v>0</v>
      </c>
      <c r="AA530">
        <f>IF($D530="",0,IF($F530&lt;2,0,IF($E530="Win",('Guide &amp; Settings'!$C$42/(($F530-1)*COUNTIFS($A$4:$A$810,$A530,$E$4:$E$810,"Win")))*SUMIFS($Z$4:$Z$810,$A$4:$A$810,$A530,$E$4:$E$810,"Loss"),-('Guide &amp; Settings'!$C$42/($F530-1))*$Z530)))</f>
        <v>0</v>
      </c>
      <c r="AB530" s="120">
        <f t="shared" si="152"/>
        <v>0</v>
      </c>
      <c r="AC530" s="120" t="str">
        <f>IF($D530="","",IF(SUMPRODUCT(MAX(($D$4:$D$810=$D530)*($B$4:$B$810&lt;$B530)*$B$4:$B$810))=0,0,MAX(($B530-MAX(SUMPRODUCT(MAX(($D$4:$D$810=$D530)*($B$4:$B$810&lt;$B530)*$B$4:$B$810)),'Guide &amp; Settings'!$C$50))/7-'Guide &amp; Settings'!$C$48,0)*'Guide &amp; Settings'!$C$49))</f>
        <v/>
      </c>
    </row>
    <row r="531" spans="1:29" x14ac:dyDescent="0.2">
      <c r="A531" s="111"/>
      <c r="B531" s="112"/>
      <c r="C531" s="113"/>
      <c r="D531" s="113"/>
      <c r="E531" s="111"/>
      <c r="F531" s="114">
        <f t="shared" si="136"/>
        <v>0</v>
      </c>
      <c r="G531" s="115" t="str">
        <f t="shared" si="137"/>
        <v/>
      </c>
      <c r="H531" s="116">
        <f>IF($D531="",0,IFERROR(LOOKUP(2,1/(($D$3:D530=$D531)*($A$3:A530&lt;$A531)),$N$3:N530),'Guide &amp; Settings'!$C$41))</f>
        <v>0</v>
      </c>
      <c r="I531" s="117">
        <f t="shared" si="138"/>
        <v>0</v>
      </c>
      <c r="J531" s="118">
        <f>IF($D531="",0,IF($F531&lt;2,0,IF($E531="Win",('Guide &amp; Settings'!$C$42/(($F531-1)*COUNTIFS($A$4:$A$810,$A531,$E$4:$E$810,"Win")))*SUMIFS($X$4:$X$810,$A$4:$A$810,$A531,$E$4:$E$810,"Loss"),-('Guide &amp; Settings'!$C$42/($F531-1))*$X531)))</f>
        <v>0</v>
      </c>
      <c r="K531" s="118">
        <f>IF($D531="",0,'Guide &amp; Settings'!$C$43*(IF($E531="Win",1,0)-$I531))</f>
        <v>0</v>
      </c>
      <c r="L531" s="119">
        <f>IF($D531="",0,'Guide &amp; Settings'!$C$44*IF($F531&gt;=3,$F531,0))</f>
        <v>0</v>
      </c>
      <c r="M531" s="118">
        <f t="shared" si="139"/>
        <v>0</v>
      </c>
      <c r="N531" s="116">
        <f t="shared" si="140"/>
        <v>0</v>
      </c>
      <c r="O531" s="115" t="str">
        <f t="shared" si="141"/>
        <v/>
      </c>
      <c r="P531">
        <f t="shared" si="142"/>
        <v>0</v>
      </c>
      <c r="Q531">
        <f t="shared" si="143"/>
        <v>0</v>
      </c>
      <c r="R531">
        <f t="shared" si="144"/>
        <v>0</v>
      </c>
      <c r="S531">
        <f t="shared" si="145"/>
        <v>0</v>
      </c>
      <c r="T531" s="83">
        <f t="shared" si="146"/>
        <v>0</v>
      </c>
      <c r="U531" s="120">
        <f>IF($D531="",0,IFERROR(LOOKUP(2,1/(($D$3:D530=$D531)*($C$3:C530=$C531)*($A$3:A530&lt;$A531)),$AB$3:AB530),1000))</f>
        <v>0</v>
      </c>
      <c r="V531" s="120">
        <f t="shared" si="147"/>
        <v>0</v>
      </c>
      <c r="W531">
        <f t="shared" si="148"/>
        <v>0</v>
      </c>
      <c r="X531">
        <f t="shared" si="149"/>
        <v>0</v>
      </c>
      <c r="Y531">
        <f t="shared" si="150"/>
        <v>0</v>
      </c>
      <c r="Z531">
        <f t="shared" si="151"/>
        <v>0</v>
      </c>
      <c r="AA531">
        <f>IF($D531="",0,IF($F531&lt;2,0,IF($E531="Win",('Guide &amp; Settings'!$C$42/(($F531-1)*COUNTIFS($A$4:$A$810,$A531,$E$4:$E$810,"Win")))*SUMIFS($Z$4:$Z$810,$A$4:$A$810,$A531,$E$4:$E$810,"Loss"),-('Guide &amp; Settings'!$C$42/($F531-1))*$Z531)))</f>
        <v>0</v>
      </c>
      <c r="AB531" s="120">
        <f t="shared" si="152"/>
        <v>0</v>
      </c>
      <c r="AC531" s="120" t="str">
        <f>IF($D531="","",IF(SUMPRODUCT(MAX(($D$4:$D$810=$D531)*($B$4:$B$810&lt;$B531)*$B$4:$B$810))=0,0,MAX(($B531-MAX(SUMPRODUCT(MAX(($D$4:$D$810=$D531)*($B$4:$B$810&lt;$B531)*$B$4:$B$810)),'Guide &amp; Settings'!$C$50))/7-'Guide &amp; Settings'!$C$48,0)*'Guide &amp; Settings'!$C$49))</f>
        <v/>
      </c>
    </row>
    <row r="532" spans="1:29" x14ac:dyDescent="0.2">
      <c r="A532" s="111"/>
      <c r="B532" s="112"/>
      <c r="C532" s="113"/>
      <c r="D532" s="113"/>
      <c r="E532" s="111"/>
      <c r="F532" s="114">
        <f t="shared" si="136"/>
        <v>0</v>
      </c>
      <c r="G532" s="115" t="str">
        <f t="shared" si="137"/>
        <v/>
      </c>
      <c r="H532" s="116">
        <f>IF($D532="",0,IFERROR(LOOKUP(2,1/(($D$3:D531=$D532)*($A$3:A531&lt;$A532)),$N$3:N531),'Guide &amp; Settings'!$C$41))</f>
        <v>0</v>
      </c>
      <c r="I532" s="117">
        <f t="shared" si="138"/>
        <v>0</v>
      </c>
      <c r="J532" s="118">
        <f>IF($D532="",0,IF($F532&lt;2,0,IF($E532="Win",('Guide &amp; Settings'!$C$42/(($F532-1)*COUNTIFS($A$4:$A$810,$A532,$E$4:$E$810,"Win")))*SUMIFS($X$4:$X$810,$A$4:$A$810,$A532,$E$4:$E$810,"Loss"),-('Guide &amp; Settings'!$C$42/($F532-1))*$X532)))</f>
        <v>0</v>
      </c>
      <c r="K532" s="118">
        <f>IF($D532="",0,'Guide &amp; Settings'!$C$43*(IF($E532="Win",1,0)-$I532))</f>
        <v>0</v>
      </c>
      <c r="L532" s="119">
        <f>IF($D532="",0,'Guide &amp; Settings'!$C$44*IF($F532&gt;=3,$F532,0))</f>
        <v>0</v>
      </c>
      <c r="M532" s="118">
        <f t="shared" si="139"/>
        <v>0</v>
      </c>
      <c r="N532" s="116">
        <f t="shared" si="140"/>
        <v>0</v>
      </c>
      <c r="O532" s="115" t="str">
        <f t="shared" si="141"/>
        <v/>
      </c>
      <c r="P532">
        <f t="shared" si="142"/>
        <v>0</v>
      </c>
      <c r="Q532">
        <f t="shared" si="143"/>
        <v>0</v>
      </c>
      <c r="R532">
        <f t="shared" si="144"/>
        <v>0</v>
      </c>
      <c r="S532">
        <f t="shared" si="145"/>
        <v>0</v>
      </c>
      <c r="T532" s="83">
        <f t="shared" si="146"/>
        <v>0</v>
      </c>
      <c r="U532" s="120">
        <f>IF($D532="",0,IFERROR(LOOKUP(2,1/(($D$3:D531=$D532)*($C$3:C531=$C532)*($A$3:A531&lt;$A532)),$AB$3:AB531),1000))</f>
        <v>0</v>
      </c>
      <c r="V532" s="120">
        <f t="shared" si="147"/>
        <v>0</v>
      </c>
      <c r="W532">
        <f t="shared" si="148"/>
        <v>0</v>
      </c>
      <c r="X532">
        <f t="shared" si="149"/>
        <v>0</v>
      </c>
      <c r="Y532">
        <f t="shared" si="150"/>
        <v>0</v>
      </c>
      <c r="Z532">
        <f t="shared" si="151"/>
        <v>0</v>
      </c>
      <c r="AA532">
        <f>IF($D532="",0,IF($F532&lt;2,0,IF($E532="Win",('Guide &amp; Settings'!$C$42/(($F532-1)*COUNTIFS($A$4:$A$810,$A532,$E$4:$E$810,"Win")))*SUMIFS($Z$4:$Z$810,$A$4:$A$810,$A532,$E$4:$E$810,"Loss"),-('Guide &amp; Settings'!$C$42/($F532-1))*$Z532)))</f>
        <v>0</v>
      </c>
      <c r="AB532" s="120">
        <f t="shared" si="152"/>
        <v>0</v>
      </c>
      <c r="AC532" s="120" t="str">
        <f>IF($D532="","",IF(SUMPRODUCT(MAX(($D$4:$D$810=$D532)*($B$4:$B$810&lt;$B532)*$B$4:$B$810))=0,0,MAX(($B532-MAX(SUMPRODUCT(MAX(($D$4:$D$810=$D532)*($B$4:$B$810&lt;$B532)*$B$4:$B$810)),'Guide &amp; Settings'!$C$50))/7-'Guide &amp; Settings'!$C$48,0)*'Guide &amp; Settings'!$C$49))</f>
        <v/>
      </c>
    </row>
    <row r="533" spans="1:29" x14ac:dyDescent="0.2">
      <c r="A533" s="111"/>
      <c r="B533" s="112"/>
      <c r="C533" s="113"/>
      <c r="D533" s="113"/>
      <c r="E533" s="111"/>
      <c r="F533" s="114">
        <f t="shared" si="136"/>
        <v>0</v>
      </c>
      <c r="G533" s="115" t="str">
        <f t="shared" si="137"/>
        <v/>
      </c>
      <c r="H533" s="116">
        <f>IF($D533="",0,IFERROR(LOOKUP(2,1/(($D$3:D532=$D533)*($A$3:A532&lt;$A533)),$N$3:N532),'Guide &amp; Settings'!$C$41))</f>
        <v>0</v>
      </c>
      <c r="I533" s="117">
        <f t="shared" si="138"/>
        <v>0</v>
      </c>
      <c r="J533" s="118">
        <f>IF($D533="",0,IF($F533&lt;2,0,IF($E533="Win",('Guide &amp; Settings'!$C$42/(($F533-1)*COUNTIFS($A$4:$A$810,$A533,$E$4:$E$810,"Win")))*SUMIFS($X$4:$X$810,$A$4:$A$810,$A533,$E$4:$E$810,"Loss"),-('Guide &amp; Settings'!$C$42/($F533-1))*$X533)))</f>
        <v>0</v>
      </c>
      <c r="K533" s="118">
        <f>IF($D533="",0,'Guide &amp; Settings'!$C$43*(IF($E533="Win",1,0)-$I533))</f>
        <v>0</v>
      </c>
      <c r="L533" s="119">
        <f>IF($D533="",0,'Guide &amp; Settings'!$C$44*IF($F533&gt;=3,$F533,0))</f>
        <v>0</v>
      </c>
      <c r="M533" s="118">
        <f t="shared" si="139"/>
        <v>0</v>
      </c>
      <c r="N533" s="116">
        <f t="shared" si="140"/>
        <v>0</v>
      </c>
      <c r="O533" s="115" t="str">
        <f t="shared" si="141"/>
        <v/>
      </c>
      <c r="P533">
        <f t="shared" si="142"/>
        <v>0</v>
      </c>
      <c r="Q533">
        <f t="shared" si="143"/>
        <v>0</v>
      </c>
      <c r="R533">
        <f t="shared" si="144"/>
        <v>0</v>
      </c>
      <c r="S533">
        <f t="shared" si="145"/>
        <v>0</v>
      </c>
      <c r="T533" s="83">
        <f t="shared" si="146"/>
        <v>0</v>
      </c>
      <c r="U533" s="120">
        <f>IF($D533="",0,IFERROR(LOOKUP(2,1/(($D$3:D532=$D533)*($C$3:C532=$C533)*($A$3:A532&lt;$A533)),$AB$3:AB532),1000))</f>
        <v>0</v>
      </c>
      <c r="V533" s="120">
        <f t="shared" si="147"/>
        <v>0</v>
      </c>
      <c r="W533">
        <f t="shared" si="148"/>
        <v>0</v>
      </c>
      <c r="X533">
        <f t="shared" si="149"/>
        <v>0</v>
      </c>
      <c r="Y533">
        <f t="shared" si="150"/>
        <v>0</v>
      </c>
      <c r="Z533">
        <f t="shared" si="151"/>
        <v>0</v>
      </c>
      <c r="AA533">
        <f>IF($D533="",0,IF($F533&lt;2,0,IF($E533="Win",('Guide &amp; Settings'!$C$42/(($F533-1)*COUNTIFS($A$4:$A$810,$A533,$E$4:$E$810,"Win")))*SUMIFS($Z$4:$Z$810,$A$4:$A$810,$A533,$E$4:$E$810,"Loss"),-('Guide &amp; Settings'!$C$42/($F533-1))*$Z533)))</f>
        <v>0</v>
      </c>
      <c r="AB533" s="120">
        <f t="shared" si="152"/>
        <v>0</v>
      </c>
      <c r="AC533" s="120" t="str">
        <f>IF($D533="","",IF(SUMPRODUCT(MAX(($D$4:$D$810=$D533)*($B$4:$B$810&lt;$B533)*$B$4:$B$810))=0,0,MAX(($B533-MAX(SUMPRODUCT(MAX(($D$4:$D$810=$D533)*($B$4:$B$810&lt;$B533)*$B$4:$B$810)),'Guide &amp; Settings'!$C$50))/7-'Guide &amp; Settings'!$C$48,0)*'Guide &amp; Settings'!$C$49))</f>
        <v/>
      </c>
    </row>
    <row r="534" spans="1:29" x14ac:dyDescent="0.2">
      <c r="A534" s="111"/>
      <c r="B534" s="112"/>
      <c r="C534" s="113"/>
      <c r="D534" s="113"/>
      <c r="E534" s="111"/>
      <c r="F534" s="114">
        <f t="shared" si="136"/>
        <v>0</v>
      </c>
      <c r="G534" s="115" t="str">
        <f t="shared" si="137"/>
        <v/>
      </c>
      <c r="H534" s="116">
        <f>IF($D534="",0,IFERROR(LOOKUP(2,1/(($D$3:D533=$D534)*($A$3:A533&lt;$A534)),$N$3:N533),'Guide &amp; Settings'!$C$41))</f>
        <v>0</v>
      </c>
      <c r="I534" s="117">
        <f t="shared" si="138"/>
        <v>0</v>
      </c>
      <c r="J534" s="118">
        <f>IF($D534="",0,IF($F534&lt;2,0,IF($E534="Win",('Guide &amp; Settings'!$C$42/(($F534-1)*COUNTIFS($A$4:$A$810,$A534,$E$4:$E$810,"Win")))*SUMIFS($X$4:$X$810,$A$4:$A$810,$A534,$E$4:$E$810,"Loss"),-('Guide &amp; Settings'!$C$42/($F534-1))*$X534)))</f>
        <v>0</v>
      </c>
      <c r="K534" s="118">
        <f>IF($D534="",0,'Guide &amp; Settings'!$C$43*(IF($E534="Win",1,0)-$I534))</f>
        <v>0</v>
      </c>
      <c r="L534" s="119">
        <f>IF($D534="",0,'Guide &amp; Settings'!$C$44*IF($F534&gt;=3,$F534,0))</f>
        <v>0</v>
      </c>
      <c r="M534" s="118">
        <f t="shared" si="139"/>
        <v>0</v>
      </c>
      <c r="N534" s="116">
        <f t="shared" si="140"/>
        <v>0</v>
      </c>
      <c r="O534" s="115" t="str">
        <f t="shared" si="141"/>
        <v/>
      </c>
      <c r="P534">
        <f t="shared" si="142"/>
        <v>0</v>
      </c>
      <c r="Q534">
        <f t="shared" si="143"/>
        <v>0</v>
      </c>
      <c r="R534">
        <f t="shared" si="144"/>
        <v>0</v>
      </c>
      <c r="S534">
        <f t="shared" si="145"/>
        <v>0</v>
      </c>
      <c r="T534" s="83">
        <f t="shared" si="146"/>
        <v>0</v>
      </c>
      <c r="U534" s="120">
        <f>IF($D534="",0,IFERROR(LOOKUP(2,1/(($D$3:D533=$D534)*($C$3:C533=$C534)*($A$3:A533&lt;$A534)),$AB$3:AB533),1000))</f>
        <v>0</v>
      </c>
      <c r="V534" s="120">
        <f t="shared" si="147"/>
        <v>0</v>
      </c>
      <c r="W534">
        <f t="shared" si="148"/>
        <v>0</v>
      </c>
      <c r="X534">
        <f t="shared" si="149"/>
        <v>0</v>
      </c>
      <c r="Y534">
        <f t="shared" si="150"/>
        <v>0</v>
      </c>
      <c r="Z534">
        <f t="shared" si="151"/>
        <v>0</v>
      </c>
      <c r="AA534">
        <f>IF($D534="",0,IF($F534&lt;2,0,IF($E534="Win",('Guide &amp; Settings'!$C$42/(($F534-1)*COUNTIFS($A$4:$A$810,$A534,$E$4:$E$810,"Win")))*SUMIFS($Z$4:$Z$810,$A$4:$A$810,$A534,$E$4:$E$810,"Loss"),-('Guide &amp; Settings'!$C$42/($F534-1))*$Z534)))</f>
        <v>0</v>
      </c>
      <c r="AB534" s="120">
        <f t="shared" si="152"/>
        <v>0</v>
      </c>
      <c r="AC534" s="120" t="str">
        <f>IF($D534="","",IF(SUMPRODUCT(MAX(($D$4:$D$810=$D534)*($B$4:$B$810&lt;$B534)*$B$4:$B$810))=0,0,MAX(($B534-MAX(SUMPRODUCT(MAX(($D$4:$D$810=$D534)*($B$4:$B$810&lt;$B534)*$B$4:$B$810)),'Guide &amp; Settings'!$C$50))/7-'Guide &amp; Settings'!$C$48,0)*'Guide &amp; Settings'!$C$49))</f>
        <v/>
      </c>
    </row>
    <row r="535" spans="1:29" x14ac:dyDescent="0.2">
      <c r="A535" s="111"/>
      <c r="B535" s="112"/>
      <c r="C535" s="113"/>
      <c r="D535" s="113"/>
      <c r="E535" s="111"/>
      <c r="F535" s="114">
        <f t="shared" si="136"/>
        <v>0</v>
      </c>
      <c r="G535" s="115" t="str">
        <f t="shared" si="137"/>
        <v/>
      </c>
      <c r="H535" s="116">
        <f>IF($D535="",0,IFERROR(LOOKUP(2,1/(($D$3:D534=$D535)*($A$3:A534&lt;$A535)),$N$3:N534),'Guide &amp; Settings'!$C$41))</f>
        <v>0</v>
      </c>
      <c r="I535" s="117">
        <f t="shared" si="138"/>
        <v>0</v>
      </c>
      <c r="J535" s="118">
        <f>IF($D535="",0,IF($F535&lt;2,0,IF($E535="Win",('Guide &amp; Settings'!$C$42/(($F535-1)*COUNTIFS($A$4:$A$810,$A535,$E$4:$E$810,"Win")))*SUMIFS($X$4:$X$810,$A$4:$A$810,$A535,$E$4:$E$810,"Loss"),-('Guide &amp; Settings'!$C$42/($F535-1))*$X535)))</f>
        <v>0</v>
      </c>
      <c r="K535" s="118">
        <f>IF($D535="",0,'Guide &amp; Settings'!$C$43*(IF($E535="Win",1,0)-$I535))</f>
        <v>0</v>
      </c>
      <c r="L535" s="119">
        <f>IF($D535="",0,'Guide &amp; Settings'!$C$44*IF($F535&gt;=3,$F535,0))</f>
        <v>0</v>
      </c>
      <c r="M535" s="118">
        <f t="shared" si="139"/>
        <v>0</v>
      </c>
      <c r="N535" s="116">
        <f t="shared" si="140"/>
        <v>0</v>
      </c>
      <c r="O535" s="115" t="str">
        <f t="shared" si="141"/>
        <v/>
      </c>
      <c r="P535">
        <f t="shared" si="142"/>
        <v>0</v>
      </c>
      <c r="Q535">
        <f t="shared" si="143"/>
        <v>0</v>
      </c>
      <c r="R535">
        <f t="shared" si="144"/>
        <v>0</v>
      </c>
      <c r="S535">
        <f t="shared" si="145"/>
        <v>0</v>
      </c>
      <c r="T535" s="83">
        <f t="shared" si="146"/>
        <v>0</v>
      </c>
      <c r="U535" s="120">
        <f>IF($D535="",0,IFERROR(LOOKUP(2,1/(($D$3:D534=$D535)*($C$3:C534=$C535)*($A$3:A534&lt;$A535)),$AB$3:AB534),1000))</f>
        <v>0</v>
      </c>
      <c r="V535" s="120">
        <f t="shared" si="147"/>
        <v>0</v>
      </c>
      <c r="W535">
        <f t="shared" si="148"/>
        <v>0</v>
      </c>
      <c r="X535">
        <f t="shared" si="149"/>
        <v>0</v>
      </c>
      <c r="Y535">
        <f t="shared" si="150"/>
        <v>0</v>
      </c>
      <c r="Z535">
        <f t="shared" si="151"/>
        <v>0</v>
      </c>
      <c r="AA535">
        <f>IF($D535="",0,IF($F535&lt;2,0,IF($E535="Win",('Guide &amp; Settings'!$C$42/(($F535-1)*COUNTIFS($A$4:$A$810,$A535,$E$4:$E$810,"Win")))*SUMIFS($Z$4:$Z$810,$A$4:$A$810,$A535,$E$4:$E$810,"Loss"),-('Guide &amp; Settings'!$C$42/($F535-1))*$Z535)))</f>
        <v>0</v>
      </c>
      <c r="AB535" s="120">
        <f t="shared" si="152"/>
        <v>0</v>
      </c>
      <c r="AC535" s="120" t="str">
        <f>IF($D535="","",IF(SUMPRODUCT(MAX(($D$4:$D$810=$D535)*($B$4:$B$810&lt;$B535)*$B$4:$B$810))=0,0,MAX(($B535-MAX(SUMPRODUCT(MAX(($D$4:$D$810=$D535)*($B$4:$B$810&lt;$B535)*$B$4:$B$810)),'Guide &amp; Settings'!$C$50))/7-'Guide &amp; Settings'!$C$48,0)*'Guide &amp; Settings'!$C$49))</f>
        <v/>
      </c>
    </row>
    <row r="536" spans="1:29" x14ac:dyDescent="0.2">
      <c r="A536" s="111"/>
      <c r="B536" s="112"/>
      <c r="C536" s="113"/>
      <c r="D536" s="113"/>
      <c r="E536" s="111"/>
      <c r="F536" s="114">
        <f t="shared" si="136"/>
        <v>0</v>
      </c>
      <c r="G536" s="115" t="str">
        <f t="shared" si="137"/>
        <v/>
      </c>
      <c r="H536" s="116">
        <f>IF($D536="",0,IFERROR(LOOKUP(2,1/(($D$3:D535=$D536)*($A$3:A535&lt;$A536)),$N$3:N535),'Guide &amp; Settings'!$C$41))</f>
        <v>0</v>
      </c>
      <c r="I536" s="117">
        <f t="shared" si="138"/>
        <v>0</v>
      </c>
      <c r="J536" s="118">
        <f>IF($D536="",0,IF($F536&lt;2,0,IF($E536="Win",('Guide &amp; Settings'!$C$42/(($F536-1)*COUNTIFS($A$4:$A$810,$A536,$E$4:$E$810,"Win")))*SUMIFS($X$4:$X$810,$A$4:$A$810,$A536,$E$4:$E$810,"Loss"),-('Guide &amp; Settings'!$C$42/($F536-1))*$X536)))</f>
        <v>0</v>
      </c>
      <c r="K536" s="118">
        <f>IF($D536="",0,'Guide &amp; Settings'!$C$43*(IF($E536="Win",1,0)-$I536))</f>
        <v>0</v>
      </c>
      <c r="L536" s="119">
        <f>IF($D536="",0,'Guide &amp; Settings'!$C$44*IF($F536&gt;=3,$F536,0))</f>
        <v>0</v>
      </c>
      <c r="M536" s="118">
        <f t="shared" si="139"/>
        <v>0</v>
      </c>
      <c r="N536" s="116">
        <f t="shared" si="140"/>
        <v>0</v>
      </c>
      <c r="O536" s="115" t="str">
        <f t="shared" si="141"/>
        <v/>
      </c>
      <c r="P536">
        <f t="shared" si="142"/>
        <v>0</v>
      </c>
      <c r="Q536">
        <f t="shared" si="143"/>
        <v>0</v>
      </c>
      <c r="R536">
        <f t="shared" si="144"/>
        <v>0</v>
      </c>
      <c r="S536">
        <f t="shared" si="145"/>
        <v>0</v>
      </c>
      <c r="T536" s="83">
        <f t="shared" si="146"/>
        <v>0</v>
      </c>
      <c r="U536" s="120">
        <f>IF($D536="",0,IFERROR(LOOKUP(2,1/(($D$3:D535=$D536)*($C$3:C535=$C536)*($A$3:A535&lt;$A536)),$AB$3:AB535),1000))</f>
        <v>0</v>
      </c>
      <c r="V536" s="120">
        <f t="shared" si="147"/>
        <v>0</v>
      </c>
      <c r="W536">
        <f t="shared" si="148"/>
        <v>0</v>
      </c>
      <c r="X536">
        <f t="shared" si="149"/>
        <v>0</v>
      </c>
      <c r="Y536">
        <f t="shared" si="150"/>
        <v>0</v>
      </c>
      <c r="Z536">
        <f t="shared" si="151"/>
        <v>0</v>
      </c>
      <c r="AA536">
        <f>IF($D536="",0,IF($F536&lt;2,0,IF($E536="Win",('Guide &amp; Settings'!$C$42/(($F536-1)*COUNTIFS($A$4:$A$810,$A536,$E$4:$E$810,"Win")))*SUMIFS($Z$4:$Z$810,$A$4:$A$810,$A536,$E$4:$E$810,"Loss"),-('Guide &amp; Settings'!$C$42/($F536-1))*$Z536)))</f>
        <v>0</v>
      </c>
      <c r="AB536" s="120">
        <f t="shared" si="152"/>
        <v>0</v>
      </c>
      <c r="AC536" s="120" t="str">
        <f>IF($D536="","",IF(SUMPRODUCT(MAX(($D$4:$D$810=$D536)*($B$4:$B$810&lt;$B536)*$B$4:$B$810))=0,0,MAX(($B536-MAX(SUMPRODUCT(MAX(($D$4:$D$810=$D536)*($B$4:$B$810&lt;$B536)*$B$4:$B$810)),'Guide &amp; Settings'!$C$50))/7-'Guide &amp; Settings'!$C$48,0)*'Guide &amp; Settings'!$C$49))</f>
        <v/>
      </c>
    </row>
    <row r="537" spans="1:29" x14ac:dyDescent="0.2">
      <c r="A537" s="111"/>
      <c r="B537" s="112"/>
      <c r="C537" s="113"/>
      <c r="D537" s="113"/>
      <c r="E537" s="111"/>
      <c r="F537" s="114">
        <f t="shared" si="136"/>
        <v>0</v>
      </c>
      <c r="G537" s="115" t="str">
        <f t="shared" si="137"/>
        <v/>
      </c>
      <c r="H537" s="116">
        <f>IF($D537="",0,IFERROR(LOOKUP(2,1/(($D$3:D536=$D537)*($A$3:A536&lt;$A537)),$N$3:N536),'Guide &amp; Settings'!$C$41))</f>
        <v>0</v>
      </c>
      <c r="I537" s="117">
        <f t="shared" si="138"/>
        <v>0</v>
      </c>
      <c r="J537" s="118">
        <f>IF($D537="",0,IF($F537&lt;2,0,IF($E537="Win",('Guide &amp; Settings'!$C$42/(($F537-1)*COUNTIFS($A$4:$A$810,$A537,$E$4:$E$810,"Win")))*SUMIFS($X$4:$X$810,$A$4:$A$810,$A537,$E$4:$E$810,"Loss"),-('Guide &amp; Settings'!$C$42/($F537-1))*$X537)))</f>
        <v>0</v>
      </c>
      <c r="K537" s="118">
        <f>IF($D537="",0,'Guide &amp; Settings'!$C$43*(IF($E537="Win",1,0)-$I537))</f>
        <v>0</v>
      </c>
      <c r="L537" s="119">
        <f>IF($D537="",0,'Guide &amp; Settings'!$C$44*IF($F537&gt;=3,$F537,0))</f>
        <v>0</v>
      </c>
      <c r="M537" s="118">
        <f t="shared" si="139"/>
        <v>0</v>
      </c>
      <c r="N537" s="116">
        <f t="shared" si="140"/>
        <v>0</v>
      </c>
      <c r="O537" s="115" t="str">
        <f t="shared" si="141"/>
        <v/>
      </c>
      <c r="P537">
        <f t="shared" si="142"/>
        <v>0</v>
      </c>
      <c r="Q537">
        <f t="shared" si="143"/>
        <v>0</v>
      </c>
      <c r="R537">
        <f t="shared" si="144"/>
        <v>0</v>
      </c>
      <c r="S537">
        <f t="shared" si="145"/>
        <v>0</v>
      </c>
      <c r="T537" s="83">
        <f t="shared" si="146"/>
        <v>0</v>
      </c>
      <c r="U537" s="120">
        <f>IF($D537="",0,IFERROR(LOOKUP(2,1/(($D$3:D536=$D537)*($C$3:C536=$C537)*($A$3:A536&lt;$A537)),$AB$3:AB536),1000))</f>
        <v>0</v>
      </c>
      <c r="V537" s="120">
        <f t="shared" si="147"/>
        <v>0</v>
      </c>
      <c r="W537">
        <f t="shared" si="148"/>
        <v>0</v>
      </c>
      <c r="X537">
        <f t="shared" si="149"/>
        <v>0</v>
      </c>
      <c r="Y537">
        <f t="shared" si="150"/>
        <v>0</v>
      </c>
      <c r="Z537">
        <f t="shared" si="151"/>
        <v>0</v>
      </c>
      <c r="AA537">
        <f>IF($D537="",0,IF($F537&lt;2,0,IF($E537="Win",('Guide &amp; Settings'!$C$42/(($F537-1)*COUNTIFS($A$4:$A$810,$A537,$E$4:$E$810,"Win")))*SUMIFS($Z$4:$Z$810,$A$4:$A$810,$A537,$E$4:$E$810,"Loss"),-('Guide &amp; Settings'!$C$42/($F537-1))*$Z537)))</f>
        <v>0</v>
      </c>
      <c r="AB537" s="120">
        <f t="shared" si="152"/>
        <v>0</v>
      </c>
      <c r="AC537" s="120" t="str">
        <f>IF($D537="","",IF(SUMPRODUCT(MAX(($D$4:$D$810=$D537)*($B$4:$B$810&lt;$B537)*$B$4:$B$810))=0,0,MAX(($B537-MAX(SUMPRODUCT(MAX(($D$4:$D$810=$D537)*($B$4:$B$810&lt;$B537)*$B$4:$B$810)),'Guide &amp; Settings'!$C$50))/7-'Guide &amp; Settings'!$C$48,0)*'Guide &amp; Settings'!$C$49))</f>
        <v/>
      </c>
    </row>
    <row r="538" spans="1:29" x14ac:dyDescent="0.2">
      <c r="A538" s="111"/>
      <c r="B538" s="112"/>
      <c r="C538" s="113"/>
      <c r="D538" s="113"/>
      <c r="E538" s="111"/>
      <c r="F538" s="114">
        <f t="shared" si="136"/>
        <v>0</v>
      </c>
      <c r="G538" s="115" t="str">
        <f t="shared" si="137"/>
        <v/>
      </c>
      <c r="H538" s="116">
        <f>IF($D538="",0,IFERROR(LOOKUP(2,1/(($D$3:D537=$D538)*($A$3:A537&lt;$A538)),$N$3:N537),'Guide &amp; Settings'!$C$41))</f>
        <v>0</v>
      </c>
      <c r="I538" s="117">
        <f t="shared" si="138"/>
        <v>0</v>
      </c>
      <c r="J538" s="118">
        <f>IF($D538="",0,IF($F538&lt;2,0,IF($E538="Win",('Guide &amp; Settings'!$C$42/(($F538-1)*COUNTIFS($A$4:$A$810,$A538,$E$4:$E$810,"Win")))*SUMIFS($X$4:$X$810,$A$4:$A$810,$A538,$E$4:$E$810,"Loss"),-('Guide &amp; Settings'!$C$42/($F538-1))*$X538)))</f>
        <v>0</v>
      </c>
      <c r="K538" s="118">
        <f>IF($D538="",0,'Guide &amp; Settings'!$C$43*(IF($E538="Win",1,0)-$I538))</f>
        <v>0</v>
      </c>
      <c r="L538" s="119">
        <f>IF($D538="",0,'Guide &amp; Settings'!$C$44*IF($F538&gt;=3,$F538,0))</f>
        <v>0</v>
      </c>
      <c r="M538" s="118">
        <f t="shared" si="139"/>
        <v>0</v>
      </c>
      <c r="N538" s="116">
        <f t="shared" si="140"/>
        <v>0</v>
      </c>
      <c r="O538" s="115" t="str">
        <f t="shared" si="141"/>
        <v/>
      </c>
      <c r="P538">
        <f t="shared" si="142"/>
        <v>0</v>
      </c>
      <c r="Q538">
        <f t="shared" si="143"/>
        <v>0</v>
      </c>
      <c r="R538">
        <f t="shared" si="144"/>
        <v>0</v>
      </c>
      <c r="S538">
        <f t="shared" si="145"/>
        <v>0</v>
      </c>
      <c r="T538" s="83">
        <f t="shared" si="146"/>
        <v>0</v>
      </c>
      <c r="U538" s="120">
        <f>IF($D538="",0,IFERROR(LOOKUP(2,1/(($D$3:D537=$D538)*($C$3:C537=$C538)*($A$3:A537&lt;$A538)),$AB$3:AB537),1000))</f>
        <v>0</v>
      </c>
      <c r="V538" s="120">
        <f t="shared" si="147"/>
        <v>0</v>
      </c>
      <c r="W538">
        <f t="shared" si="148"/>
        <v>0</v>
      </c>
      <c r="X538">
        <f t="shared" si="149"/>
        <v>0</v>
      </c>
      <c r="Y538">
        <f t="shared" si="150"/>
        <v>0</v>
      </c>
      <c r="Z538">
        <f t="shared" si="151"/>
        <v>0</v>
      </c>
      <c r="AA538">
        <f>IF($D538="",0,IF($F538&lt;2,0,IF($E538="Win",('Guide &amp; Settings'!$C$42/(($F538-1)*COUNTIFS($A$4:$A$810,$A538,$E$4:$E$810,"Win")))*SUMIFS($Z$4:$Z$810,$A$4:$A$810,$A538,$E$4:$E$810,"Loss"),-('Guide &amp; Settings'!$C$42/($F538-1))*$Z538)))</f>
        <v>0</v>
      </c>
      <c r="AB538" s="120">
        <f t="shared" si="152"/>
        <v>0</v>
      </c>
      <c r="AC538" s="120" t="str">
        <f>IF($D538="","",IF(SUMPRODUCT(MAX(($D$4:$D$810=$D538)*($B$4:$B$810&lt;$B538)*$B$4:$B$810))=0,0,MAX(($B538-MAX(SUMPRODUCT(MAX(($D$4:$D$810=$D538)*($B$4:$B$810&lt;$B538)*$B$4:$B$810)),'Guide &amp; Settings'!$C$50))/7-'Guide &amp; Settings'!$C$48,0)*'Guide &amp; Settings'!$C$49))</f>
        <v/>
      </c>
    </row>
    <row r="539" spans="1:29" x14ac:dyDescent="0.2">
      <c r="A539" s="111"/>
      <c r="B539" s="112"/>
      <c r="C539" s="113"/>
      <c r="D539" s="113"/>
      <c r="E539" s="111"/>
      <c r="F539" s="114">
        <f t="shared" si="136"/>
        <v>0</v>
      </c>
      <c r="G539" s="115" t="str">
        <f t="shared" si="137"/>
        <v/>
      </c>
      <c r="H539" s="116">
        <f>IF($D539="",0,IFERROR(LOOKUP(2,1/(($D$3:D538=$D539)*($A$3:A538&lt;$A539)),$N$3:N538),'Guide &amp; Settings'!$C$41))</f>
        <v>0</v>
      </c>
      <c r="I539" s="117">
        <f t="shared" si="138"/>
        <v>0</v>
      </c>
      <c r="J539" s="118">
        <f>IF($D539="",0,IF($F539&lt;2,0,IF($E539="Win",('Guide &amp; Settings'!$C$42/(($F539-1)*COUNTIFS($A$4:$A$810,$A539,$E$4:$E$810,"Win")))*SUMIFS($X$4:$X$810,$A$4:$A$810,$A539,$E$4:$E$810,"Loss"),-('Guide &amp; Settings'!$C$42/($F539-1))*$X539)))</f>
        <v>0</v>
      </c>
      <c r="K539" s="118">
        <f>IF($D539="",0,'Guide &amp; Settings'!$C$43*(IF($E539="Win",1,0)-$I539))</f>
        <v>0</v>
      </c>
      <c r="L539" s="119">
        <f>IF($D539="",0,'Guide &amp; Settings'!$C$44*IF($F539&gt;=3,$F539,0))</f>
        <v>0</v>
      </c>
      <c r="M539" s="118">
        <f t="shared" si="139"/>
        <v>0</v>
      </c>
      <c r="N539" s="116">
        <f t="shared" si="140"/>
        <v>0</v>
      </c>
      <c r="O539" s="115" t="str">
        <f t="shared" si="141"/>
        <v/>
      </c>
      <c r="P539">
        <f t="shared" si="142"/>
        <v>0</v>
      </c>
      <c r="Q539">
        <f t="shared" si="143"/>
        <v>0</v>
      </c>
      <c r="R539">
        <f t="shared" si="144"/>
        <v>0</v>
      </c>
      <c r="S539">
        <f t="shared" si="145"/>
        <v>0</v>
      </c>
      <c r="T539" s="83">
        <f t="shared" si="146"/>
        <v>0</v>
      </c>
      <c r="U539" s="120">
        <f>IF($D539="",0,IFERROR(LOOKUP(2,1/(($D$3:D538=$D539)*($C$3:C538=$C539)*($A$3:A538&lt;$A539)),$AB$3:AB538),1000))</f>
        <v>0</v>
      </c>
      <c r="V539" s="120">
        <f t="shared" si="147"/>
        <v>0</v>
      </c>
      <c r="W539">
        <f t="shared" si="148"/>
        <v>0</v>
      </c>
      <c r="X539">
        <f t="shared" si="149"/>
        <v>0</v>
      </c>
      <c r="Y539">
        <f t="shared" si="150"/>
        <v>0</v>
      </c>
      <c r="Z539">
        <f t="shared" si="151"/>
        <v>0</v>
      </c>
      <c r="AA539">
        <f>IF($D539="",0,IF($F539&lt;2,0,IF($E539="Win",('Guide &amp; Settings'!$C$42/(($F539-1)*COUNTIFS($A$4:$A$810,$A539,$E$4:$E$810,"Win")))*SUMIFS($Z$4:$Z$810,$A$4:$A$810,$A539,$E$4:$E$810,"Loss"),-('Guide &amp; Settings'!$C$42/($F539-1))*$Z539)))</f>
        <v>0</v>
      </c>
      <c r="AB539" s="120">
        <f t="shared" si="152"/>
        <v>0</v>
      </c>
      <c r="AC539" s="120" t="str">
        <f>IF($D539="","",IF(SUMPRODUCT(MAX(($D$4:$D$810=$D539)*($B$4:$B$810&lt;$B539)*$B$4:$B$810))=0,0,MAX(($B539-MAX(SUMPRODUCT(MAX(($D$4:$D$810=$D539)*($B$4:$B$810&lt;$B539)*$B$4:$B$810)),'Guide &amp; Settings'!$C$50))/7-'Guide &amp; Settings'!$C$48,0)*'Guide &amp; Settings'!$C$49))</f>
        <v/>
      </c>
    </row>
    <row r="540" spans="1:29" x14ac:dyDescent="0.2">
      <c r="A540" s="111"/>
      <c r="B540" s="112"/>
      <c r="C540" s="113"/>
      <c r="D540" s="113"/>
      <c r="E540" s="111"/>
      <c r="F540" s="114">
        <f t="shared" si="136"/>
        <v>0</v>
      </c>
      <c r="G540" s="115" t="str">
        <f t="shared" si="137"/>
        <v/>
      </c>
      <c r="H540" s="116">
        <f>IF($D540="",0,IFERROR(LOOKUP(2,1/(($D$3:D539=$D540)*($A$3:A539&lt;$A540)),$N$3:N539),'Guide &amp; Settings'!$C$41))</f>
        <v>0</v>
      </c>
      <c r="I540" s="117">
        <f t="shared" si="138"/>
        <v>0</v>
      </c>
      <c r="J540" s="118">
        <f>IF($D540="",0,IF($F540&lt;2,0,IF($E540="Win",('Guide &amp; Settings'!$C$42/(($F540-1)*COUNTIFS($A$4:$A$810,$A540,$E$4:$E$810,"Win")))*SUMIFS($X$4:$X$810,$A$4:$A$810,$A540,$E$4:$E$810,"Loss"),-('Guide &amp; Settings'!$C$42/($F540-1))*$X540)))</f>
        <v>0</v>
      </c>
      <c r="K540" s="118">
        <f>IF($D540="",0,'Guide &amp; Settings'!$C$43*(IF($E540="Win",1,0)-$I540))</f>
        <v>0</v>
      </c>
      <c r="L540" s="119">
        <f>IF($D540="",0,'Guide &amp; Settings'!$C$44*IF($F540&gt;=3,$F540,0))</f>
        <v>0</v>
      </c>
      <c r="M540" s="118">
        <f t="shared" si="139"/>
        <v>0</v>
      </c>
      <c r="N540" s="116">
        <f t="shared" si="140"/>
        <v>0</v>
      </c>
      <c r="O540" s="115" t="str">
        <f t="shared" si="141"/>
        <v/>
      </c>
      <c r="P540">
        <f t="shared" si="142"/>
        <v>0</v>
      </c>
      <c r="Q540">
        <f t="shared" si="143"/>
        <v>0</v>
      </c>
      <c r="R540">
        <f t="shared" si="144"/>
        <v>0</v>
      </c>
      <c r="S540">
        <f t="shared" si="145"/>
        <v>0</v>
      </c>
      <c r="T540" s="83">
        <f t="shared" si="146"/>
        <v>0</v>
      </c>
      <c r="U540" s="120">
        <f>IF($D540="",0,IFERROR(LOOKUP(2,1/(($D$3:D539=$D540)*($C$3:C539=$C540)*($A$3:A539&lt;$A540)),$AB$3:AB539),1000))</f>
        <v>0</v>
      </c>
      <c r="V540" s="120">
        <f t="shared" si="147"/>
        <v>0</v>
      </c>
      <c r="W540">
        <f t="shared" si="148"/>
        <v>0</v>
      </c>
      <c r="X540">
        <f t="shared" si="149"/>
        <v>0</v>
      </c>
      <c r="Y540">
        <f t="shared" si="150"/>
        <v>0</v>
      </c>
      <c r="Z540">
        <f t="shared" si="151"/>
        <v>0</v>
      </c>
      <c r="AA540">
        <f>IF($D540="",0,IF($F540&lt;2,0,IF($E540="Win",('Guide &amp; Settings'!$C$42/(($F540-1)*COUNTIFS($A$4:$A$810,$A540,$E$4:$E$810,"Win")))*SUMIFS($Z$4:$Z$810,$A$4:$A$810,$A540,$E$4:$E$810,"Loss"),-('Guide &amp; Settings'!$C$42/($F540-1))*$Z540)))</f>
        <v>0</v>
      </c>
      <c r="AB540" s="120">
        <f t="shared" si="152"/>
        <v>0</v>
      </c>
      <c r="AC540" s="120" t="str">
        <f>IF($D540="","",IF(SUMPRODUCT(MAX(($D$4:$D$810=$D540)*($B$4:$B$810&lt;$B540)*$B$4:$B$810))=0,0,MAX(($B540-MAX(SUMPRODUCT(MAX(($D$4:$D$810=$D540)*($B$4:$B$810&lt;$B540)*$B$4:$B$810)),'Guide &amp; Settings'!$C$50))/7-'Guide &amp; Settings'!$C$48,0)*'Guide &amp; Settings'!$C$49))</f>
        <v/>
      </c>
    </row>
    <row r="541" spans="1:29" x14ac:dyDescent="0.2">
      <c r="A541" s="111"/>
      <c r="B541" s="112"/>
      <c r="C541" s="113"/>
      <c r="D541" s="113"/>
      <c r="E541" s="111"/>
      <c r="F541" s="114">
        <f t="shared" si="136"/>
        <v>0</v>
      </c>
      <c r="G541" s="115" t="str">
        <f t="shared" si="137"/>
        <v/>
      </c>
      <c r="H541" s="116">
        <f>IF($D541="",0,IFERROR(LOOKUP(2,1/(($D$3:D540=$D541)*($A$3:A540&lt;$A541)),$N$3:N540),'Guide &amp; Settings'!$C$41))</f>
        <v>0</v>
      </c>
      <c r="I541" s="117">
        <f t="shared" si="138"/>
        <v>0</v>
      </c>
      <c r="J541" s="118">
        <f>IF($D541="",0,IF($F541&lt;2,0,IF($E541="Win",('Guide &amp; Settings'!$C$42/(($F541-1)*COUNTIFS($A$4:$A$810,$A541,$E$4:$E$810,"Win")))*SUMIFS($X$4:$X$810,$A$4:$A$810,$A541,$E$4:$E$810,"Loss"),-('Guide &amp; Settings'!$C$42/($F541-1))*$X541)))</f>
        <v>0</v>
      </c>
      <c r="K541" s="118">
        <f>IF($D541="",0,'Guide &amp; Settings'!$C$43*(IF($E541="Win",1,0)-$I541))</f>
        <v>0</v>
      </c>
      <c r="L541" s="119">
        <f>IF($D541="",0,'Guide &amp; Settings'!$C$44*IF($F541&gt;=3,$F541,0))</f>
        <v>0</v>
      </c>
      <c r="M541" s="118">
        <f t="shared" si="139"/>
        <v>0</v>
      </c>
      <c r="N541" s="116">
        <f t="shared" si="140"/>
        <v>0</v>
      </c>
      <c r="O541" s="115" t="str">
        <f t="shared" si="141"/>
        <v/>
      </c>
      <c r="P541">
        <f t="shared" si="142"/>
        <v>0</v>
      </c>
      <c r="Q541">
        <f t="shared" si="143"/>
        <v>0</v>
      </c>
      <c r="R541">
        <f t="shared" si="144"/>
        <v>0</v>
      </c>
      <c r="S541">
        <f t="shared" si="145"/>
        <v>0</v>
      </c>
      <c r="T541" s="83">
        <f t="shared" si="146"/>
        <v>0</v>
      </c>
      <c r="U541" s="120">
        <f>IF($D541="",0,IFERROR(LOOKUP(2,1/(($D$3:D540=$D541)*($C$3:C540=$C541)*($A$3:A540&lt;$A541)),$AB$3:AB540),1000))</f>
        <v>0</v>
      </c>
      <c r="V541" s="120">
        <f t="shared" si="147"/>
        <v>0</v>
      </c>
      <c r="W541">
        <f t="shared" si="148"/>
        <v>0</v>
      </c>
      <c r="X541">
        <f t="shared" si="149"/>
        <v>0</v>
      </c>
      <c r="Y541">
        <f t="shared" si="150"/>
        <v>0</v>
      </c>
      <c r="Z541">
        <f t="shared" si="151"/>
        <v>0</v>
      </c>
      <c r="AA541">
        <f>IF($D541="",0,IF($F541&lt;2,0,IF($E541="Win",('Guide &amp; Settings'!$C$42/(($F541-1)*COUNTIFS($A$4:$A$810,$A541,$E$4:$E$810,"Win")))*SUMIFS($Z$4:$Z$810,$A$4:$A$810,$A541,$E$4:$E$810,"Loss"),-('Guide &amp; Settings'!$C$42/($F541-1))*$Z541)))</f>
        <v>0</v>
      </c>
      <c r="AB541" s="120">
        <f t="shared" si="152"/>
        <v>0</v>
      </c>
      <c r="AC541" s="120" t="str">
        <f>IF($D541="","",IF(SUMPRODUCT(MAX(($D$4:$D$810=$D541)*($B$4:$B$810&lt;$B541)*$B$4:$B$810))=0,0,MAX(($B541-MAX(SUMPRODUCT(MAX(($D$4:$D$810=$D541)*($B$4:$B$810&lt;$B541)*$B$4:$B$810)),'Guide &amp; Settings'!$C$50))/7-'Guide &amp; Settings'!$C$48,0)*'Guide &amp; Settings'!$C$49))</f>
        <v/>
      </c>
    </row>
    <row r="542" spans="1:29" x14ac:dyDescent="0.2">
      <c r="A542" s="111"/>
      <c r="B542" s="112"/>
      <c r="C542" s="113"/>
      <c r="D542" s="113"/>
      <c r="E542" s="111"/>
      <c r="F542" s="114">
        <f t="shared" si="136"/>
        <v>0</v>
      </c>
      <c r="G542" s="115" t="str">
        <f t="shared" si="137"/>
        <v/>
      </c>
      <c r="H542" s="116">
        <f>IF($D542="",0,IFERROR(LOOKUP(2,1/(($D$3:D541=$D542)*($A$3:A541&lt;$A542)),$N$3:N541),'Guide &amp; Settings'!$C$41))</f>
        <v>0</v>
      </c>
      <c r="I542" s="117">
        <f t="shared" si="138"/>
        <v>0</v>
      </c>
      <c r="J542" s="118">
        <f>IF($D542="",0,IF($F542&lt;2,0,IF($E542="Win",('Guide &amp; Settings'!$C$42/(($F542-1)*COUNTIFS($A$4:$A$810,$A542,$E$4:$E$810,"Win")))*SUMIFS($X$4:$X$810,$A$4:$A$810,$A542,$E$4:$E$810,"Loss"),-('Guide &amp; Settings'!$C$42/($F542-1))*$X542)))</f>
        <v>0</v>
      </c>
      <c r="K542" s="118">
        <f>IF($D542="",0,'Guide &amp; Settings'!$C$43*(IF($E542="Win",1,0)-$I542))</f>
        <v>0</v>
      </c>
      <c r="L542" s="119">
        <f>IF($D542="",0,'Guide &amp; Settings'!$C$44*IF($F542&gt;=3,$F542,0))</f>
        <v>0</v>
      </c>
      <c r="M542" s="118">
        <f t="shared" si="139"/>
        <v>0</v>
      </c>
      <c r="N542" s="116">
        <f t="shared" si="140"/>
        <v>0</v>
      </c>
      <c r="O542" s="115" t="str">
        <f t="shared" si="141"/>
        <v/>
      </c>
      <c r="P542">
        <f t="shared" si="142"/>
        <v>0</v>
      </c>
      <c r="Q542">
        <f t="shared" si="143"/>
        <v>0</v>
      </c>
      <c r="R542">
        <f t="shared" si="144"/>
        <v>0</v>
      </c>
      <c r="S542">
        <f t="shared" si="145"/>
        <v>0</v>
      </c>
      <c r="T542" s="83">
        <f t="shared" si="146"/>
        <v>0</v>
      </c>
      <c r="U542" s="120">
        <f>IF($D542="",0,IFERROR(LOOKUP(2,1/(($D$3:D541=$D542)*($C$3:C541=$C542)*($A$3:A541&lt;$A542)),$AB$3:AB541),1000))</f>
        <v>0</v>
      </c>
      <c r="V542" s="120">
        <f t="shared" si="147"/>
        <v>0</v>
      </c>
      <c r="W542">
        <f t="shared" si="148"/>
        <v>0</v>
      </c>
      <c r="X542">
        <f t="shared" si="149"/>
        <v>0</v>
      </c>
      <c r="Y542">
        <f t="shared" si="150"/>
        <v>0</v>
      </c>
      <c r="Z542">
        <f t="shared" si="151"/>
        <v>0</v>
      </c>
      <c r="AA542">
        <f>IF($D542="",0,IF($F542&lt;2,0,IF($E542="Win",('Guide &amp; Settings'!$C$42/(($F542-1)*COUNTIFS($A$4:$A$810,$A542,$E$4:$E$810,"Win")))*SUMIFS($Z$4:$Z$810,$A$4:$A$810,$A542,$E$4:$E$810,"Loss"),-('Guide &amp; Settings'!$C$42/($F542-1))*$Z542)))</f>
        <v>0</v>
      </c>
      <c r="AB542" s="120">
        <f t="shared" si="152"/>
        <v>0</v>
      </c>
      <c r="AC542" s="120" t="str">
        <f>IF($D542="","",IF(SUMPRODUCT(MAX(($D$4:$D$810=$D542)*($B$4:$B$810&lt;$B542)*$B$4:$B$810))=0,0,MAX(($B542-MAX(SUMPRODUCT(MAX(($D$4:$D$810=$D542)*($B$4:$B$810&lt;$B542)*$B$4:$B$810)),'Guide &amp; Settings'!$C$50))/7-'Guide &amp; Settings'!$C$48,0)*'Guide &amp; Settings'!$C$49))</f>
        <v/>
      </c>
    </row>
    <row r="543" spans="1:29" x14ac:dyDescent="0.2">
      <c r="A543" s="111"/>
      <c r="B543" s="112"/>
      <c r="C543" s="113"/>
      <c r="D543" s="113"/>
      <c r="E543" s="111"/>
      <c r="F543" s="114">
        <f t="shared" si="136"/>
        <v>0</v>
      </c>
      <c r="G543" s="115" t="str">
        <f t="shared" si="137"/>
        <v/>
      </c>
      <c r="H543" s="116">
        <f>IF($D543="",0,IFERROR(LOOKUP(2,1/(($D$3:D542=$D543)*($A$3:A542&lt;$A543)),$N$3:N542),'Guide &amp; Settings'!$C$41))</f>
        <v>0</v>
      </c>
      <c r="I543" s="117">
        <f t="shared" si="138"/>
        <v>0</v>
      </c>
      <c r="J543" s="118">
        <f>IF($D543="",0,IF($F543&lt;2,0,IF($E543="Win",('Guide &amp; Settings'!$C$42/(($F543-1)*COUNTIFS($A$4:$A$810,$A543,$E$4:$E$810,"Win")))*SUMIFS($X$4:$X$810,$A$4:$A$810,$A543,$E$4:$E$810,"Loss"),-('Guide &amp; Settings'!$C$42/($F543-1))*$X543)))</f>
        <v>0</v>
      </c>
      <c r="K543" s="118">
        <f>IF($D543="",0,'Guide &amp; Settings'!$C$43*(IF($E543="Win",1,0)-$I543))</f>
        <v>0</v>
      </c>
      <c r="L543" s="119">
        <f>IF($D543="",0,'Guide &amp; Settings'!$C$44*IF($F543&gt;=3,$F543,0))</f>
        <v>0</v>
      </c>
      <c r="M543" s="118">
        <f t="shared" si="139"/>
        <v>0</v>
      </c>
      <c r="N543" s="116">
        <f t="shared" si="140"/>
        <v>0</v>
      </c>
      <c r="O543" s="115" t="str">
        <f t="shared" si="141"/>
        <v/>
      </c>
      <c r="P543">
        <f t="shared" si="142"/>
        <v>0</v>
      </c>
      <c r="Q543">
        <f t="shared" si="143"/>
        <v>0</v>
      </c>
      <c r="R543">
        <f t="shared" si="144"/>
        <v>0</v>
      </c>
      <c r="S543">
        <f t="shared" si="145"/>
        <v>0</v>
      </c>
      <c r="T543" s="83">
        <f t="shared" si="146"/>
        <v>0</v>
      </c>
      <c r="U543" s="120">
        <f>IF($D543="",0,IFERROR(LOOKUP(2,1/(($D$3:D542=$D543)*($C$3:C542=$C543)*($A$3:A542&lt;$A543)),$AB$3:AB542),1000))</f>
        <v>0</v>
      </c>
      <c r="V543" s="120">
        <f t="shared" si="147"/>
        <v>0</v>
      </c>
      <c r="W543">
        <f t="shared" si="148"/>
        <v>0</v>
      </c>
      <c r="X543">
        <f t="shared" si="149"/>
        <v>0</v>
      </c>
      <c r="Y543">
        <f t="shared" si="150"/>
        <v>0</v>
      </c>
      <c r="Z543">
        <f t="shared" si="151"/>
        <v>0</v>
      </c>
      <c r="AA543">
        <f>IF($D543="",0,IF($F543&lt;2,0,IF($E543="Win",('Guide &amp; Settings'!$C$42/(($F543-1)*COUNTIFS($A$4:$A$810,$A543,$E$4:$E$810,"Win")))*SUMIFS($Z$4:$Z$810,$A$4:$A$810,$A543,$E$4:$E$810,"Loss"),-('Guide &amp; Settings'!$C$42/($F543-1))*$Z543)))</f>
        <v>0</v>
      </c>
      <c r="AB543" s="120">
        <f t="shared" si="152"/>
        <v>0</v>
      </c>
      <c r="AC543" s="120" t="str">
        <f>IF($D543="","",IF(SUMPRODUCT(MAX(($D$4:$D$810=$D543)*($B$4:$B$810&lt;$B543)*$B$4:$B$810))=0,0,MAX(($B543-MAX(SUMPRODUCT(MAX(($D$4:$D$810=$D543)*($B$4:$B$810&lt;$B543)*$B$4:$B$810)),'Guide &amp; Settings'!$C$50))/7-'Guide &amp; Settings'!$C$48,0)*'Guide &amp; Settings'!$C$49))</f>
        <v/>
      </c>
    </row>
    <row r="544" spans="1:29" x14ac:dyDescent="0.2">
      <c r="A544" s="111"/>
      <c r="B544" s="112"/>
      <c r="C544" s="113"/>
      <c r="D544" s="113"/>
      <c r="E544" s="111"/>
      <c r="F544" s="114">
        <f t="shared" si="136"/>
        <v>0</v>
      </c>
      <c r="G544" s="115" t="str">
        <f t="shared" si="137"/>
        <v/>
      </c>
      <c r="H544" s="116">
        <f>IF($D544="",0,IFERROR(LOOKUP(2,1/(($D$3:D543=$D544)*($A$3:A543&lt;$A544)),$N$3:N543),'Guide &amp; Settings'!$C$41))</f>
        <v>0</v>
      </c>
      <c r="I544" s="117">
        <f t="shared" si="138"/>
        <v>0</v>
      </c>
      <c r="J544" s="118">
        <f>IF($D544="",0,IF($F544&lt;2,0,IF($E544="Win",('Guide &amp; Settings'!$C$42/(($F544-1)*COUNTIFS($A$4:$A$810,$A544,$E$4:$E$810,"Win")))*SUMIFS($X$4:$X$810,$A$4:$A$810,$A544,$E$4:$E$810,"Loss"),-('Guide &amp; Settings'!$C$42/($F544-1))*$X544)))</f>
        <v>0</v>
      </c>
      <c r="K544" s="118">
        <f>IF($D544="",0,'Guide &amp; Settings'!$C$43*(IF($E544="Win",1,0)-$I544))</f>
        <v>0</v>
      </c>
      <c r="L544" s="119">
        <f>IF($D544="",0,'Guide &amp; Settings'!$C$44*IF($F544&gt;=3,$F544,0))</f>
        <v>0</v>
      </c>
      <c r="M544" s="118">
        <f t="shared" si="139"/>
        <v>0</v>
      </c>
      <c r="N544" s="116">
        <f t="shared" si="140"/>
        <v>0</v>
      </c>
      <c r="O544" s="115" t="str">
        <f t="shared" si="141"/>
        <v/>
      </c>
      <c r="P544">
        <f t="shared" si="142"/>
        <v>0</v>
      </c>
      <c r="Q544">
        <f t="shared" si="143"/>
        <v>0</v>
      </c>
      <c r="R544">
        <f t="shared" si="144"/>
        <v>0</v>
      </c>
      <c r="S544">
        <f t="shared" si="145"/>
        <v>0</v>
      </c>
      <c r="T544" s="83">
        <f t="shared" si="146"/>
        <v>0</v>
      </c>
      <c r="U544" s="120">
        <f>IF($D544="",0,IFERROR(LOOKUP(2,1/(($D$3:D543=$D544)*($C$3:C543=$C544)*($A$3:A543&lt;$A544)),$AB$3:AB543),1000))</f>
        <v>0</v>
      </c>
      <c r="V544" s="120">
        <f t="shared" si="147"/>
        <v>0</v>
      </c>
      <c r="W544">
        <f t="shared" si="148"/>
        <v>0</v>
      </c>
      <c r="X544">
        <f t="shared" si="149"/>
        <v>0</v>
      </c>
      <c r="Y544">
        <f t="shared" si="150"/>
        <v>0</v>
      </c>
      <c r="Z544">
        <f t="shared" si="151"/>
        <v>0</v>
      </c>
      <c r="AA544">
        <f>IF($D544="",0,IF($F544&lt;2,0,IF($E544="Win",('Guide &amp; Settings'!$C$42/(($F544-1)*COUNTIFS($A$4:$A$810,$A544,$E$4:$E$810,"Win")))*SUMIFS($Z$4:$Z$810,$A$4:$A$810,$A544,$E$4:$E$810,"Loss"),-('Guide &amp; Settings'!$C$42/($F544-1))*$Z544)))</f>
        <v>0</v>
      </c>
      <c r="AB544" s="120">
        <f t="shared" si="152"/>
        <v>0</v>
      </c>
      <c r="AC544" s="120" t="str">
        <f>IF($D544="","",IF(SUMPRODUCT(MAX(($D$4:$D$810=$D544)*($B$4:$B$810&lt;$B544)*$B$4:$B$810))=0,0,MAX(($B544-MAX(SUMPRODUCT(MAX(($D$4:$D$810=$D544)*($B$4:$B$810&lt;$B544)*$B$4:$B$810)),'Guide &amp; Settings'!$C$50))/7-'Guide &amp; Settings'!$C$48,0)*'Guide &amp; Settings'!$C$49))</f>
        <v/>
      </c>
    </row>
    <row r="545" spans="1:29" x14ac:dyDescent="0.2">
      <c r="A545" s="111"/>
      <c r="B545" s="112"/>
      <c r="C545" s="113"/>
      <c r="D545" s="113"/>
      <c r="E545" s="111"/>
      <c r="F545" s="114">
        <f t="shared" si="136"/>
        <v>0</v>
      </c>
      <c r="G545" s="115" t="str">
        <f t="shared" si="137"/>
        <v/>
      </c>
      <c r="H545" s="116">
        <f>IF($D545="",0,IFERROR(LOOKUP(2,1/(($D$3:D544=$D545)*($A$3:A544&lt;$A545)),$N$3:N544),'Guide &amp; Settings'!$C$41))</f>
        <v>0</v>
      </c>
      <c r="I545" s="117">
        <f t="shared" si="138"/>
        <v>0</v>
      </c>
      <c r="J545" s="118">
        <f>IF($D545="",0,IF($F545&lt;2,0,IF($E545="Win",('Guide &amp; Settings'!$C$42/(($F545-1)*COUNTIFS($A$4:$A$810,$A545,$E$4:$E$810,"Win")))*SUMIFS($X$4:$X$810,$A$4:$A$810,$A545,$E$4:$E$810,"Loss"),-('Guide &amp; Settings'!$C$42/($F545-1))*$X545)))</f>
        <v>0</v>
      </c>
      <c r="K545" s="118">
        <f>IF($D545="",0,'Guide &amp; Settings'!$C$43*(IF($E545="Win",1,0)-$I545))</f>
        <v>0</v>
      </c>
      <c r="L545" s="119">
        <f>IF($D545="",0,'Guide &amp; Settings'!$C$44*IF($F545&gt;=3,$F545,0))</f>
        <v>0</v>
      </c>
      <c r="M545" s="118">
        <f t="shared" si="139"/>
        <v>0</v>
      </c>
      <c r="N545" s="116">
        <f t="shared" si="140"/>
        <v>0</v>
      </c>
      <c r="O545" s="115" t="str">
        <f t="shared" si="141"/>
        <v/>
      </c>
      <c r="P545">
        <f t="shared" si="142"/>
        <v>0</v>
      </c>
      <c r="Q545">
        <f t="shared" si="143"/>
        <v>0</v>
      </c>
      <c r="R545">
        <f t="shared" si="144"/>
        <v>0</v>
      </c>
      <c r="S545">
        <f t="shared" si="145"/>
        <v>0</v>
      </c>
      <c r="T545" s="83">
        <f t="shared" si="146"/>
        <v>0</v>
      </c>
      <c r="U545" s="120">
        <f>IF($D545="",0,IFERROR(LOOKUP(2,1/(($D$3:D544=$D545)*($C$3:C544=$C545)*($A$3:A544&lt;$A545)),$AB$3:AB544),1000))</f>
        <v>0</v>
      </c>
      <c r="V545" s="120">
        <f t="shared" si="147"/>
        <v>0</v>
      </c>
      <c r="W545">
        <f t="shared" si="148"/>
        <v>0</v>
      </c>
      <c r="X545">
        <f t="shared" si="149"/>
        <v>0</v>
      </c>
      <c r="Y545">
        <f t="shared" si="150"/>
        <v>0</v>
      </c>
      <c r="Z545">
        <f t="shared" si="151"/>
        <v>0</v>
      </c>
      <c r="AA545">
        <f>IF($D545="",0,IF($F545&lt;2,0,IF($E545="Win",('Guide &amp; Settings'!$C$42/(($F545-1)*COUNTIFS($A$4:$A$810,$A545,$E$4:$E$810,"Win")))*SUMIFS($Z$4:$Z$810,$A$4:$A$810,$A545,$E$4:$E$810,"Loss"),-('Guide &amp; Settings'!$C$42/($F545-1))*$Z545)))</f>
        <v>0</v>
      </c>
      <c r="AB545" s="120">
        <f t="shared" si="152"/>
        <v>0</v>
      </c>
      <c r="AC545" s="120" t="str">
        <f>IF($D545="","",IF(SUMPRODUCT(MAX(($D$4:$D$810=$D545)*($B$4:$B$810&lt;$B545)*$B$4:$B$810))=0,0,MAX(($B545-MAX(SUMPRODUCT(MAX(($D$4:$D$810=$D545)*($B$4:$B$810&lt;$B545)*$B$4:$B$810)),'Guide &amp; Settings'!$C$50))/7-'Guide &amp; Settings'!$C$48,0)*'Guide &amp; Settings'!$C$49))</f>
        <v/>
      </c>
    </row>
    <row r="546" spans="1:29" x14ac:dyDescent="0.2">
      <c r="A546" s="111"/>
      <c r="B546" s="112"/>
      <c r="C546" s="113"/>
      <c r="D546" s="113"/>
      <c r="E546" s="111"/>
      <c r="F546" s="114">
        <f t="shared" si="136"/>
        <v>0</v>
      </c>
      <c r="G546" s="115" t="str">
        <f t="shared" si="137"/>
        <v/>
      </c>
      <c r="H546" s="116">
        <f>IF($D546="",0,IFERROR(LOOKUP(2,1/(($D$3:D545=$D546)*($A$3:A545&lt;$A546)),$N$3:N545),'Guide &amp; Settings'!$C$41))</f>
        <v>0</v>
      </c>
      <c r="I546" s="117">
        <f t="shared" si="138"/>
        <v>0</v>
      </c>
      <c r="J546" s="118">
        <f>IF($D546="",0,IF($F546&lt;2,0,IF($E546="Win",('Guide &amp; Settings'!$C$42/(($F546-1)*COUNTIFS($A$4:$A$810,$A546,$E$4:$E$810,"Win")))*SUMIFS($X$4:$X$810,$A$4:$A$810,$A546,$E$4:$E$810,"Loss"),-('Guide &amp; Settings'!$C$42/($F546-1))*$X546)))</f>
        <v>0</v>
      </c>
      <c r="K546" s="118">
        <f>IF($D546="",0,'Guide &amp; Settings'!$C$43*(IF($E546="Win",1,0)-$I546))</f>
        <v>0</v>
      </c>
      <c r="L546" s="119">
        <f>IF($D546="",0,'Guide &amp; Settings'!$C$44*IF($F546&gt;=3,$F546,0))</f>
        <v>0</v>
      </c>
      <c r="M546" s="118">
        <f t="shared" si="139"/>
        <v>0</v>
      </c>
      <c r="N546" s="116">
        <f t="shared" si="140"/>
        <v>0</v>
      </c>
      <c r="O546" s="115" t="str">
        <f t="shared" si="141"/>
        <v/>
      </c>
      <c r="P546">
        <f t="shared" si="142"/>
        <v>0</v>
      </c>
      <c r="Q546">
        <f t="shared" si="143"/>
        <v>0</v>
      </c>
      <c r="R546">
        <f t="shared" si="144"/>
        <v>0</v>
      </c>
      <c r="S546">
        <f t="shared" si="145"/>
        <v>0</v>
      </c>
      <c r="T546" s="83">
        <f t="shared" si="146"/>
        <v>0</v>
      </c>
      <c r="U546" s="120">
        <f>IF($D546="",0,IFERROR(LOOKUP(2,1/(($D$3:D545=$D546)*($C$3:C545=$C546)*($A$3:A545&lt;$A546)),$AB$3:AB545),1000))</f>
        <v>0</v>
      </c>
      <c r="V546" s="120">
        <f t="shared" si="147"/>
        <v>0</v>
      </c>
      <c r="W546">
        <f t="shared" si="148"/>
        <v>0</v>
      </c>
      <c r="X546">
        <f t="shared" si="149"/>
        <v>0</v>
      </c>
      <c r="Y546">
        <f t="shared" si="150"/>
        <v>0</v>
      </c>
      <c r="Z546">
        <f t="shared" si="151"/>
        <v>0</v>
      </c>
      <c r="AA546">
        <f>IF($D546="",0,IF($F546&lt;2,0,IF($E546="Win",('Guide &amp; Settings'!$C$42/(($F546-1)*COUNTIFS($A$4:$A$810,$A546,$E$4:$E$810,"Win")))*SUMIFS($Z$4:$Z$810,$A$4:$A$810,$A546,$E$4:$E$810,"Loss"),-('Guide &amp; Settings'!$C$42/($F546-1))*$Z546)))</f>
        <v>0</v>
      </c>
      <c r="AB546" s="120">
        <f t="shared" si="152"/>
        <v>0</v>
      </c>
      <c r="AC546" s="120" t="str">
        <f>IF($D546="","",IF(SUMPRODUCT(MAX(($D$4:$D$810=$D546)*($B$4:$B$810&lt;$B546)*$B$4:$B$810))=0,0,MAX(($B546-MAX(SUMPRODUCT(MAX(($D$4:$D$810=$D546)*($B$4:$B$810&lt;$B546)*$B$4:$B$810)),'Guide &amp; Settings'!$C$50))/7-'Guide &amp; Settings'!$C$48,0)*'Guide &amp; Settings'!$C$49))</f>
        <v/>
      </c>
    </row>
    <row r="547" spans="1:29" x14ac:dyDescent="0.2">
      <c r="A547" s="111"/>
      <c r="B547" s="112"/>
      <c r="C547" s="113"/>
      <c r="D547" s="113"/>
      <c r="E547" s="111"/>
      <c r="F547" s="114">
        <f t="shared" si="136"/>
        <v>0</v>
      </c>
      <c r="G547" s="115" t="str">
        <f t="shared" si="137"/>
        <v/>
      </c>
      <c r="H547" s="116">
        <f>IF($D547="",0,IFERROR(LOOKUP(2,1/(($D$3:D546=$D547)*($A$3:A546&lt;$A547)),$N$3:N546),'Guide &amp; Settings'!$C$41))</f>
        <v>0</v>
      </c>
      <c r="I547" s="117">
        <f t="shared" si="138"/>
        <v>0</v>
      </c>
      <c r="J547" s="118">
        <f>IF($D547="",0,IF($F547&lt;2,0,IF($E547="Win",('Guide &amp; Settings'!$C$42/(($F547-1)*COUNTIFS($A$4:$A$810,$A547,$E$4:$E$810,"Win")))*SUMIFS($X$4:$X$810,$A$4:$A$810,$A547,$E$4:$E$810,"Loss"),-('Guide &amp; Settings'!$C$42/($F547-1))*$X547)))</f>
        <v>0</v>
      </c>
      <c r="K547" s="118">
        <f>IF($D547="",0,'Guide &amp; Settings'!$C$43*(IF($E547="Win",1,0)-$I547))</f>
        <v>0</v>
      </c>
      <c r="L547" s="119">
        <f>IF($D547="",0,'Guide &amp; Settings'!$C$44*IF($F547&gt;=3,$F547,0))</f>
        <v>0</v>
      </c>
      <c r="M547" s="118">
        <f t="shared" si="139"/>
        <v>0</v>
      </c>
      <c r="N547" s="116">
        <f t="shared" si="140"/>
        <v>0</v>
      </c>
      <c r="O547" s="115" t="str">
        <f t="shared" si="141"/>
        <v/>
      </c>
      <c r="P547">
        <f t="shared" si="142"/>
        <v>0</v>
      </c>
      <c r="Q547">
        <f t="shared" si="143"/>
        <v>0</v>
      </c>
      <c r="R547">
        <f t="shared" si="144"/>
        <v>0</v>
      </c>
      <c r="S547">
        <f t="shared" si="145"/>
        <v>0</v>
      </c>
      <c r="T547" s="83">
        <f t="shared" si="146"/>
        <v>0</v>
      </c>
      <c r="U547" s="120">
        <f>IF($D547="",0,IFERROR(LOOKUP(2,1/(($D$3:D546=$D547)*($C$3:C546=$C547)*($A$3:A546&lt;$A547)),$AB$3:AB546),1000))</f>
        <v>0</v>
      </c>
      <c r="V547" s="120">
        <f t="shared" si="147"/>
        <v>0</v>
      </c>
      <c r="W547">
        <f t="shared" si="148"/>
        <v>0</v>
      </c>
      <c r="X547">
        <f t="shared" si="149"/>
        <v>0</v>
      </c>
      <c r="Y547">
        <f t="shared" si="150"/>
        <v>0</v>
      </c>
      <c r="Z547">
        <f t="shared" si="151"/>
        <v>0</v>
      </c>
      <c r="AA547">
        <f>IF($D547="",0,IF($F547&lt;2,0,IF($E547="Win",('Guide &amp; Settings'!$C$42/(($F547-1)*COUNTIFS($A$4:$A$810,$A547,$E$4:$E$810,"Win")))*SUMIFS($Z$4:$Z$810,$A$4:$A$810,$A547,$E$4:$E$810,"Loss"),-('Guide &amp; Settings'!$C$42/($F547-1))*$Z547)))</f>
        <v>0</v>
      </c>
      <c r="AB547" s="120">
        <f t="shared" si="152"/>
        <v>0</v>
      </c>
      <c r="AC547" s="120" t="str">
        <f>IF($D547="","",IF(SUMPRODUCT(MAX(($D$4:$D$810=$D547)*($B$4:$B$810&lt;$B547)*$B$4:$B$810))=0,0,MAX(($B547-MAX(SUMPRODUCT(MAX(($D$4:$D$810=$D547)*($B$4:$B$810&lt;$B547)*$B$4:$B$810)),'Guide &amp; Settings'!$C$50))/7-'Guide &amp; Settings'!$C$48,0)*'Guide &amp; Settings'!$C$49))</f>
        <v/>
      </c>
    </row>
    <row r="548" spans="1:29" x14ac:dyDescent="0.2">
      <c r="A548" s="111"/>
      <c r="B548" s="112"/>
      <c r="C548" s="113"/>
      <c r="D548" s="113"/>
      <c r="E548" s="111"/>
      <c r="F548" s="114">
        <f t="shared" si="136"/>
        <v>0</v>
      </c>
      <c r="G548" s="115" t="str">
        <f t="shared" si="137"/>
        <v/>
      </c>
      <c r="H548" s="116">
        <f>IF($D548="",0,IFERROR(LOOKUP(2,1/(($D$3:D547=$D548)*($A$3:A547&lt;$A548)),$N$3:N547),'Guide &amp; Settings'!$C$41))</f>
        <v>0</v>
      </c>
      <c r="I548" s="117">
        <f t="shared" si="138"/>
        <v>0</v>
      </c>
      <c r="J548" s="118">
        <f>IF($D548="",0,IF($F548&lt;2,0,IF($E548="Win",('Guide &amp; Settings'!$C$42/(($F548-1)*COUNTIFS($A$4:$A$810,$A548,$E$4:$E$810,"Win")))*SUMIFS($X$4:$X$810,$A$4:$A$810,$A548,$E$4:$E$810,"Loss"),-('Guide &amp; Settings'!$C$42/($F548-1))*$X548)))</f>
        <v>0</v>
      </c>
      <c r="K548" s="118">
        <f>IF($D548="",0,'Guide &amp; Settings'!$C$43*(IF($E548="Win",1,0)-$I548))</f>
        <v>0</v>
      </c>
      <c r="L548" s="119">
        <f>IF($D548="",0,'Guide &amp; Settings'!$C$44*IF($F548&gt;=3,$F548,0))</f>
        <v>0</v>
      </c>
      <c r="M548" s="118">
        <f t="shared" si="139"/>
        <v>0</v>
      </c>
      <c r="N548" s="116">
        <f t="shared" si="140"/>
        <v>0</v>
      </c>
      <c r="O548" s="115" t="str">
        <f t="shared" si="141"/>
        <v/>
      </c>
      <c r="P548">
        <f t="shared" si="142"/>
        <v>0</v>
      </c>
      <c r="Q548">
        <f t="shared" si="143"/>
        <v>0</v>
      </c>
      <c r="R548">
        <f t="shared" si="144"/>
        <v>0</v>
      </c>
      <c r="S548">
        <f t="shared" si="145"/>
        <v>0</v>
      </c>
      <c r="T548" s="83">
        <f t="shared" si="146"/>
        <v>0</v>
      </c>
      <c r="U548" s="120">
        <f>IF($D548="",0,IFERROR(LOOKUP(2,1/(($D$3:D547=$D548)*($C$3:C547=$C548)*($A$3:A547&lt;$A548)),$AB$3:AB547),1000))</f>
        <v>0</v>
      </c>
      <c r="V548" s="120">
        <f t="shared" si="147"/>
        <v>0</v>
      </c>
      <c r="W548">
        <f t="shared" si="148"/>
        <v>0</v>
      </c>
      <c r="X548">
        <f t="shared" si="149"/>
        <v>0</v>
      </c>
      <c r="Y548">
        <f t="shared" si="150"/>
        <v>0</v>
      </c>
      <c r="Z548">
        <f t="shared" si="151"/>
        <v>0</v>
      </c>
      <c r="AA548">
        <f>IF($D548="",0,IF($F548&lt;2,0,IF($E548="Win",('Guide &amp; Settings'!$C$42/(($F548-1)*COUNTIFS($A$4:$A$810,$A548,$E$4:$E$810,"Win")))*SUMIFS($Z$4:$Z$810,$A$4:$A$810,$A548,$E$4:$E$810,"Loss"),-('Guide &amp; Settings'!$C$42/($F548-1))*$Z548)))</f>
        <v>0</v>
      </c>
      <c r="AB548" s="120">
        <f t="shared" si="152"/>
        <v>0</v>
      </c>
      <c r="AC548" s="120" t="str">
        <f>IF($D548="","",IF(SUMPRODUCT(MAX(($D$4:$D$810=$D548)*($B$4:$B$810&lt;$B548)*$B$4:$B$810))=0,0,MAX(($B548-MAX(SUMPRODUCT(MAX(($D$4:$D$810=$D548)*($B$4:$B$810&lt;$B548)*$B$4:$B$810)),'Guide &amp; Settings'!$C$50))/7-'Guide &amp; Settings'!$C$48,0)*'Guide &amp; Settings'!$C$49))</f>
        <v/>
      </c>
    </row>
    <row r="549" spans="1:29" x14ac:dyDescent="0.2">
      <c r="A549" s="111"/>
      <c r="B549" s="112"/>
      <c r="C549" s="113"/>
      <c r="D549" s="113"/>
      <c r="E549" s="111"/>
      <c r="F549" s="114">
        <f t="shared" si="136"/>
        <v>0</v>
      </c>
      <c r="G549" s="115" t="str">
        <f t="shared" si="137"/>
        <v/>
      </c>
      <c r="H549" s="116">
        <f>IF($D549="",0,IFERROR(LOOKUP(2,1/(($D$3:D548=$D549)*($A$3:A548&lt;$A549)),$N$3:N548),'Guide &amp; Settings'!$C$41))</f>
        <v>0</v>
      </c>
      <c r="I549" s="117">
        <f t="shared" si="138"/>
        <v>0</v>
      </c>
      <c r="J549" s="118">
        <f>IF($D549="",0,IF($F549&lt;2,0,IF($E549="Win",('Guide &amp; Settings'!$C$42/(($F549-1)*COUNTIFS($A$4:$A$810,$A549,$E$4:$E$810,"Win")))*SUMIFS($X$4:$X$810,$A$4:$A$810,$A549,$E$4:$E$810,"Loss"),-('Guide &amp; Settings'!$C$42/($F549-1))*$X549)))</f>
        <v>0</v>
      </c>
      <c r="K549" s="118">
        <f>IF($D549="",0,'Guide &amp; Settings'!$C$43*(IF($E549="Win",1,0)-$I549))</f>
        <v>0</v>
      </c>
      <c r="L549" s="119">
        <f>IF($D549="",0,'Guide &amp; Settings'!$C$44*IF($F549&gt;=3,$F549,0))</f>
        <v>0</v>
      </c>
      <c r="M549" s="118">
        <f t="shared" si="139"/>
        <v>0</v>
      </c>
      <c r="N549" s="116">
        <f t="shared" si="140"/>
        <v>0</v>
      </c>
      <c r="O549" s="115" t="str">
        <f t="shared" si="141"/>
        <v/>
      </c>
      <c r="P549">
        <f t="shared" si="142"/>
        <v>0</v>
      </c>
      <c r="Q549">
        <f t="shared" si="143"/>
        <v>0</v>
      </c>
      <c r="R549">
        <f t="shared" si="144"/>
        <v>0</v>
      </c>
      <c r="S549">
        <f t="shared" si="145"/>
        <v>0</v>
      </c>
      <c r="T549" s="83">
        <f t="shared" si="146"/>
        <v>0</v>
      </c>
      <c r="U549" s="120">
        <f>IF($D549="",0,IFERROR(LOOKUP(2,1/(($D$3:D548=$D549)*($C$3:C548=$C549)*($A$3:A548&lt;$A549)),$AB$3:AB548),1000))</f>
        <v>0</v>
      </c>
      <c r="V549" s="120">
        <f t="shared" si="147"/>
        <v>0</v>
      </c>
      <c r="W549">
        <f t="shared" si="148"/>
        <v>0</v>
      </c>
      <c r="X549">
        <f t="shared" si="149"/>
        <v>0</v>
      </c>
      <c r="Y549">
        <f t="shared" si="150"/>
        <v>0</v>
      </c>
      <c r="Z549">
        <f t="shared" si="151"/>
        <v>0</v>
      </c>
      <c r="AA549">
        <f>IF($D549="",0,IF($F549&lt;2,0,IF($E549="Win",('Guide &amp; Settings'!$C$42/(($F549-1)*COUNTIFS($A$4:$A$810,$A549,$E$4:$E$810,"Win")))*SUMIFS($Z$4:$Z$810,$A$4:$A$810,$A549,$E$4:$E$810,"Loss"),-('Guide &amp; Settings'!$C$42/($F549-1))*$Z549)))</f>
        <v>0</v>
      </c>
      <c r="AB549" s="120">
        <f t="shared" si="152"/>
        <v>0</v>
      </c>
      <c r="AC549" s="120" t="str">
        <f>IF($D549="","",IF(SUMPRODUCT(MAX(($D$4:$D$810=$D549)*($B$4:$B$810&lt;$B549)*$B$4:$B$810))=0,0,MAX(($B549-MAX(SUMPRODUCT(MAX(($D$4:$D$810=$D549)*($B$4:$B$810&lt;$B549)*$B$4:$B$810)),'Guide &amp; Settings'!$C$50))/7-'Guide &amp; Settings'!$C$48,0)*'Guide &amp; Settings'!$C$49))</f>
        <v/>
      </c>
    </row>
    <row r="550" spans="1:29" x14ac:dyDescent="0.2">
      <c r="A550" s="111"/>
      <c r="B550" s="112"/>
      <c r="C550" s="113"/>
      <c r="D550" s="113"/>
      <c r="E550" s="111"/>
      <c r="F550" s="114">
        <f t="shared" si="136"/>
        <v>0</v>
      </c>
      <c r="G550" s="115" t="str">
        <f t="shared" si="137"/>
        <v/>
      </c>
      <c r="H550" s="116">
        <f>IF($D550="",0,IFERROR(LOOKUP(2,1/(($D$3:D549=$D550)*($A$3:A549&lt;$A550)),$N$3:N549),'Guide &amp; Settings'!$C$41))</f>
        <v>0</v>
      </c>
      <c r="I550" s="117">
        <f t="shared" si="138"/>
        <v>0</v>
      </c>
      <c r="J550" s="118">
        <f>IF($D550="",0,IF($F550&lt;2,0,IF($E550="Win",('Guide &amp; Settings'!$C$42/(($F550-1)*COUNTIFS($A$4:$A$810,$A550,$E$4:$E$810,"Win")))*SUMIFS($X$4:$X$810,$A$4:$A$810,$A550,$E$4:$E$810,"Loss"),-('Guide &amp; Settings'!$C$42/($F550-1))*$X550)))</f>
        <v>0</v>
      </c>
      <c r="K550" s="118">
        <f>IF($D550="",0,'Guide &amp; Settings'!$C$43*(IF($E550="Win",1,0)-$I550))</f>
        <v>0</v>
      </c>
      <c r="L550" s="119">
        <f>IF($D550="",0,'Guide &amp; Settings'!$C$44*IF($F550&gt;=3,$F550,0))</f>
        <v>0</v>
      </c>
      <c r="M550" s="118">
        <f t="shared" si="139"/>
        <v>0</v>
      </c>
      <c r="N550" s="116">
        <f t="shared" si="140"/>
        <v>0</v>
      </c>
      <c r="O550" s="115" t="str">
        <f t="shared" si="141"/>
        <v/>
      </c>
      <c r="P550">
        <f t="shared" si="142"/>
        <v>0</v>
      </c>
      <c r="Q550">
        <f t="shared" si="143"/>
        <v>0</v>
      </c>
      <c r="R550">
        <f t="shared" si="144"/>
        <v>0</v>
      </c>
      <c r="S550">
        <f t="shared" si="145"/>
        <v>0</v>
      </c>
      <c r="T550" s="83">
        <f t="shared" si="146"/>
        <v>0</v>
      </c>
      <c r="U550" s="120">
        <f>IF($D550="",0,IFERROR(LOOKUP(2,1/(($D$3:D549=$D550)*($C$3:C549=$C550)*($A$3:A549&lt;$A550)),$AB$3:AB549),1000))</f>
        <v>0</v>
      </c>
      <c r="V550" s="120">
        <f t="shared" si="147"/>
        <v>0</v>
      </c>
      <c r="W550">
        <f t="shared" si="148"/>
        <v>0</v>
      </c>
      <c r="X550">
        <f t="shared" si="149"/>
        <v>0</v>
      </c>
      <c r="Y550">
        <f t="shared" si="150"/>
        <v>0</v>
      </c>
      <c r="Z550">
        <f t="shared" si="151"/>
        <v>0</v>
      </c>
      <c r="AA550">
        <f>IF($D550="",0,IF($F550&lt;2,0,IF($E550="Win",('Guide &amp; Settings'!$C$42/(($F550-1)*COUNTIFS($A$4:$A$810,$A550,$E$4:$E$810,"Win")))*SUMIFS($Z$4:$Z$810,$A$4:$A$810,$A550,$E$4:$E$810,"Loss"),-('Guide &amp; Settings'!$C$42/($F550-1))*$Z550)))</f>
        <v>0</v>
      </c>
      <c r="AB550" s="120">
        <f t="shared" si="152"/>
        <v>0</v>
      </c>
      <c r="AC550" s="120" t="str">
        <f>IF($D550="","",IF(SUMPRODUCT(MAX(($D$4:$D$810=$D550)*($B$4:$B$810&lt;$B550)*$B$4:$B$810))=0,0,MAX(($B550-MAX(SUMPRODUCT(MAX(($D$4:$D$810=$D550)*($B$4:$B$810&lt;$B550)*$B$4:$B$810)),'Guide &amp; Settings'!$C$50))/7-'Guide &amp; Settings'!$C$48,0)*'Guide &amp; Settings'!$C$49))</f>
        <v/>
      </c>
    </row>
    <row r="551" spans="1:29" x14ac:dyDescent="0.2">
      <c r="A551" s="111"/>
      <c r="B551" s="112"/>
      <c r="C551" s="113"/>
      <c r="D551" s="113"/>
      <c r="E551" s="111"/>
      <c r="F551" s="114">
        <f t="shared" si="136"/>
        <v>0</v>
      </c>
      <c r="G551" s="115" t="str">
        <f t="shared" si="137"/>
        <v/>
      </c>
      <c r="H551" s="116">
        <f>IF($D551="",0,IFERROR(LOOKUP(2,1/(($D$3:D550=$D551)*($A$3:A550&lt;$A551)),$N$3:N550),'Guide &amp; Settings'!$C$41))</f>
        <v>0</v>
      </c>
      <c r="I551" s="117">
        <f t="shared" si="138"/>
        <v>0</v>
      </c>
      <c r="J551" s="118">
        <f>IF($D551="",0,IF($F551&lt;2,0,IF($E551="Win",('Guide &amp; Settings'!$C$42/(($F551-1)*COUNTIFS($A$4:$A$810,$A551,$E$4:$E$810,"Win")))*SUMIFS($X$4:$X$810,$A$4:$A$810,$A551,$E$4:$E$810,"Loss"),-('Guide &amp; Settings'!$C$42/($F551-1))*$X551)))</f>
        <v>0</v>
      </c>
      <c r="K551" s="118">
        <f>IF($D551="",0,'Guide &amp; Settings'!$C$43*(IF($E551="Win",1,0)-$I551))</f>
        <v>0</v>
      </c>
      <c r="L551" s="119">
        <f>IF($D551="",0,'Guide &amp; Settings'!$C$44*IF($F551&gt;=3,$F551,0))</f>
        <v>0</v>
      </c>
      <c r="M551" s="118">
        <f t="shared" si="139"/>
        <v>0</v>
      </c>
      <c r="N551" s="116">
        <f t="shared" si="140"/>
        <v>0</v>
      </c>
      <c r="O551" s="115" t="str">
        <f t="shared" si="141"/>
        <v/>
      </c>
      <c r="P551">
        <f t="shared" si="142"/>
        <v>0</v>
      </c>
      <c r="Q551">
        <f t="shared" si="143"/>
        <v>0</v>
      </c>
      <c r="R551">
        <f t="shared" si="144"/>
        <v>0</v>
      </c>
      <c r="S551">
        <f t="shared" si="145"/>
        <v>0</v>
      </c>
      <c r="T551" s="83">
        <f t="shared" si="146"/>
        <v>0</v>
      </c>
      <c r="U551" s="120">
        <f>IF($D551="",0,IFERROR(LOOKUP(2,1/(($D$3:D550=$D551)*($C$3:C550=$C551)*($A$3:A550&lt;$A551)),$AB$3:AB550),1000))</f>
        <v>0</v>
      </c>
      <c r="V551" s="120">
        <f t="shared" si="147"/>
        <v>0</v>
      </c>
      <c r="W551">
        <f t="shared" si="148"/>
        <v>0</v>
      </c>
      <c r="X551">
        <f t="shared" si="149"/>
        <v>0</v>
      </c>
      <c r="Y551">
        <f t="shared" si="150"/>
        <v>0</v>
      </c>
      <c r="Z551">
        <f t="shared" si="151"/>
        <v>0</v>
      </c>
      <c r="AA551">
        <f>IF($D551="",0,IF($F551&lt;2,0,IF($E551="Win",('Guide &amp; Settings'!$C$42/(($F551-1)*COUNTIFS($A$4:$A$810,$A551,$E$4:$E$810,"Win")))*SUMIFS($Z$4:$Z$810,$A$4:$A$810,$A551,$E$4:$E$810,"Loss"),-('Guide &amp; Settings'!$C$42/($F551-1))*$Z551)))</f>
        <v>0</v>
      </c>
      <c r="AB551" s="120">
        <f t="shared" si="152"/>
        <v>0</v>
      </c>
      <c r="AC551" s="120" t="str">
        <f>IF($D551="","",IF(SUMPRODUCT(MAX(($D$4:$D$810=$D551)*($B$4:$B$810&lt;$B551)*$B$4:$B$810))=0,0,MAX(($B551-MAX(SUMPRODUCT(MAX(($D$4:$D$810=$D551)*($B$4:$B$810&lt;$B551)*$B$4:$B$810)),'Guide &amp; Settings'!$C$50))/7-'Guide &amp; Settings'!$C$48,0)*'Guide &amp; Settings'!$C$49))</f>
        <v/>
      </c>
    </row>
    <row r="552" spans="1:29" x14ac:dyDescent="0.2">
      <c r="A552" s="111"/>
      <c r="B552" s="112"/>
      <c r="C552" s="113"/>
      <c r="D552" s="113"/>
      <c r="E552" s="111"/>
      <c r="F552" s="114">
        <f t="shared" si="136"/>
        <v>0</v>
      </c>
      <c r="G552" s="115" t="str">
        <f t="shared" si="137"/>
        <v/>
      </c>
      <c r="H552" s="116">
        <f>IF($D552="",0,IFERROR(LOOKUP(2,1/(($D$3:D551=$D552)*($A$3:A551&lt;$A552)),$N$3:N551),'Guide &amp; Settings'!$C$41))</f>
        <v>0</v>
      </c>
      <c r="I552" s="117">
        <f t="shared" si="138"/>
        <v>0</v>
      </c>
      <c r="J552" s="118">
        <f>IF($D552="",0,IF($F552&lt;2,0,IF($E552="Win",('Guide &amp; Settings'!$C$42/(($F552-1)*COUNTIFS($A$4:$A$810,$A552,$E$4:$E$810,"Win")))*SUMIFS($X$4:$X$810,$A$4:$A$810,$A552,$E$4:$E$810,"Loss"),-('Guide &amp; Settings'!$C$42/($F552-1))*$X552)))</f>
        <v>0</v>
      </c>
      <c r="K552" s="118">
        <f>IF($D552="",0,'Guide &amp; Settings'!$C$43*(IF($E552="Win",1,0)-$I552))</f>
        <v>0</v>
      </c>
      <c r="L552" s="119">
        <f>IF($D552="",0,'Guide &amp; Settings'!$C$44*IF($F552&gt;=3,$F552,0))</f>
        <v>0</v>
      </c>
      <c r="M552" s="118">
        <f t="shared" si="139"/>
        <v>0</v>
      </c>
      <c r="N552" s="116">
        <f t="shared" si="140"/>
        <v>0</v>
      </c>
      <c r="O552" s="115" t="str">
        <f t="shared" si="141"/>
        <v/>
      </c>
      <c r="P552">
        <f t="shared" si="142"/>
        <v>0</v>
      </c>
      <c r="Q552">
        <f t="shared" si="143"/>
        <v>0</v>
      </c>
      <c r="R552">
        <f t="shared" si="144"/>
        <v>0</v>
      </c>
      <c r="S552">
        <f t="shared" si="145"/>
        <v>0</v>
      </c>
      <c r="T552" s="83">
        <f t="shared" si="146"/>
        <v>0</v>
      </c>
      <c r="U552" s="120">
        <f>IF($D552="",0,IFERROR(LOOKUP(2,1/(($D$3:D551=$D552)*($C$3:C551=$C552)*($A$3:A551&lt;$A552)),$AB$3:AB551),1000))</f>
        <v>0</v>
      </c>
      <c r="V552" s="120">
        <f t="shared" si="147"/>
        <v>0</v>
      </c>
      <c r="W552">
        <f t="shared" si="148"/>
        <v>0</v>
      </c>
      <c r="X552">
        <f t="shared" si="149"/>
        <v>0</v>
      </c>
      <c r="Y552">
        <f t="shared" si="150"/>
        <v>0</v>
      </c>
      <c r="Z552">
        <f t="shared" si="151"/>
        <v>0</v>
      </c>
      <c r="AA552">
        <f>IF($D552="",0,IF($F552&lt;2,0,IF($E552="Win",('Guide &amp; Settings'!$C$42/(($F552-1)*COUNTIFS($A$4:$A$810,$A552,$E$4:$E$810,"Win")))*SUMIFS($Z$4:$Z$810,$A$4:$A$810,$A552,$E$4:$E$810,"Loss"),-('Guide &amp; Settings'!$C$42/($F552-1))*$Z552)))</f>
        <v>0</v>
      </c>
      <c r="AB552" s="120">
        <f t="shared" si="152"/>
        <v>0</v>
      </c>
      <c r="AC552" s="120" t="str">
        <f>IF($D552="","",IF(SUMPRODUCT(MAX(($D$4:$D$810=$D552)*($B$4:$B$810&lt;$B552)*$B$4:$B$810))=0,0,MAX(($B552-MAX(SUMPRODUCT(MAX(($D$4:$D$810=$D552)*($B$4:$B$810&lt;$B552)*$B$4:$B$810)),'Guide &amp; Settings'!$C$50))/7-'Guide &amp; Settings'!$C$48,0)*'Guide &amp; Settings'!$C$49))</f>
        <v/>
      </c>
    </row>
    <row r="553" spans="1:29" x14ac:dyDescent="0.2">
      <c r="A553" s="111"/>
      <c r="B553" s="112"/>
      <c r="C553" s="113"/>
      <c r="D553" s="113"/>
      <c r="E553" s="111"/>
      <c r="F553" s="114">
        <f t="shared" si="136"/>
        <v>0</v>
      </c>
      <c r="G553" s="115" t="str">
        <f t="shared" si="137"/>
        <v/>
      </c>
      <c r="H553" s="116">
        <f>IF($D553="",0,IFERROR(LOOKUP(2,1/(($D$3:D552=$D553)*($A$3:A552&lt;$A553)),$N$3:N552),'Guide &amp; Settings'!$C$41))</f>
        <v>0</v>
      </c>
      <c r="I553" s="117">
        <f t="shared" si="138"/>
        <v>0</v>
      </c>
      <c r="J553" s="118">
        <f>IF($D553="",0,IF($F553&lt;2,0,IF($E553="Win",('Guide &amp; Settings'!$C$42/(($F553-1)*COUNTIFS($A$4:$A$810,$A553,$E$4:$E$810,"Win")))*SUMIFS($X$4:$X$810,$A$4:$A$810,$A553,$E$4:$E$810,"Loss"),-('Guide &amp; Settings'!$C$42/($F553-1))*$X553)))</f>
        <v>0</v>
      </c>
      <c r="K553" s="118">
        <f>IF($D553="",0,'Guide &amp; Settings'!$C$43*(IF($E553="Win",1,0)-$I553))</f>
        <v>0</v>
      </c>
      <c r="L553" s="119">
        <f>IF($D553="",0,'Guide &amp; Settings'!$C$44*IF($F553&gt;=3,$F553,0))</f>
        <v>0</v>
      </c>
      <c r="M553" s="118">
        <f t="shared" si="139"/>
        <v>0</v>
      </c>
      <c r="N553" s="116">
        <f t="shared" si="140"/>
        <v>0</v>
      </c>
      <c r="O553" s="115" t="str">
        <f t="shared" si="141"/>
        <v/>
      </c>
      <c r="P553">
        <f t="shared" si="142"/>
        <v>0</v>
      </c>
      <c r="Q553">
        <f t="shared" si="143"/>
        <v>0</v>
      </c>
      <c r="R553">
        <f t="shared" si="144"/>
        <v>0</v>
      </c>
      <c r="S553">
        <f t="shared" si="145"/>
        <v>0</v>
      </c>
      <c r="T553" s="83">
        <f t="shared" si="146"/>
        <v>0</v>
      </c>
      <c r="U553" s="120">
        <f>IF($D553="",0,IFERROR(LOOKUP(2,1/(($D$3:D552=$D553)*($C$3:C552=$C553)*($A$3:A552&lt;$A553)),$AB$3:AB552),1000))</f>
        <v>0</v>
      </c>
      <c r="V553" s="120">
        <f t="shared" si="147"/>
        <v>0</v>
      </c>
      <c r="W553">
        <f t="shared" si="148"/>
        <v>0</v>
      </c>
      <c r="X553">
        <f t="shared" si="149"/>
        <v>0</v>
      </c>
      <c r="Y553">
        <f t="shared" si="150"/>
        <v>0</v>
      </c>
      <c r="Z553">
        <f t="shared" si="151"/>
        <v>0</v>
      </c>
      <c r="AA553">
        <f>IF($D553="",0,IF($F553&lt;2,0,IF($E553="Win",('Guide &amp; Settings'!$C$42/(($F553-1)*COUNTIFS($A$4:$A$810,$A553,$E$4:$E$810,"Win")))*SUMIFS($Z$4:$Z$810,$A$4:$A$810,$A553,$E$4:$E$810,"Loss"),-('Guide &amp; Settings'!$C$42/($F553-1))*$Z553)))</f>
        <v>0</v>
      </c>
      <c r="AB553" s="120">
        <f t="shared" si="152"/>
        <v>0</v>
      </c>
      <c r="AC553" s="120" t="str">
        <f>IF($D553="","",IF(SUMPRODUCT(MAX(($D$4:$D$810=$D553)*($B$4:$B$810&lt;$B553)*$B$4:$B$810))=0,0,MAX(($B553-MAX(SUMPRODUCT(MAX(($D$4:$D$810=$D553)*($B$4:$B$810&lt;$B553)*$B$4:$B$810)),'Guide &amp; Settings'!$C$50))/7-'Guide &amp; Settings'!$C$48,0)*'Guide &amp; Settings'!$C$49))</f>
        <v/>
      </c>
    </row>
    <row r="554" spans="1:29" x14ac:dyDescent="0.2">
      <c r="A554" s="111"/>
      <c r="B554" s="112"/>
      <c r="C554" s="113"/>
      <c r="D554" s="113"/>
      <c r="E554" s="111"/>
      <c r="F554" s="114">
        <f t="shared" si="136"/>
        <v>0</v>
      </c>
      <c r="G554" s="115" t="str">
        <f t="shared" si="137"/>
        <v/>
      </c>
      <c r="H554" s="116">
        <f>IF($D554="",0,IFERROR(LOOKUP(2,1/(($D$3:D553=$D554)*($A$3:A553&lt;$A554)),$N$3:N553),'Guide &amp; Settings'!$C$41))</f>
        <v>0</v>
      </c>
      <c r="I554" s="117">
        <f t="shared" si="138"/>
        <v>0</v>
      </c>
      <c r="J554" s="118">
        <f>IF($D554="",0,IF($F554&lt;2,0,IF($E554="Win",('Guide &amp; Settings'!$C$42/(($F554-1)*COUNTIFS($A$4:$A$810,$A554,$E$4:$E$810,"Win")))*SUMIFS($X$4:$X$810,$A$4:$A$810,$A554,$E$4:$E$810,"Loss"),-('Guide &amp; Settings'!$C$42/($F554-1))*$X554)))</f>
        <v>0</v>
      </c>
      <c r="K554" s="118">
        <f>IF($D554="",0,'Guide &amp; Settings'!$C$43*(IF($E554="Win",1,0)-$I554))</f>
        <v>0</v>
      </c>
      <c r="L554" s="119">
        <f>IF($D554="",0,'Guide &amp; Settings'!$C$44*IF($F554&gt;=3,$F554,0))</f>
        <v>0</v>
      </c>
      <c r="M554" s="118">
        <f t="shared" si="139"/>
        <v>0</v>
      </c>
      <c r="N554" s="116">
        <f t="shared" si="140"/>
        <v>0</v>
      </c>
      <c r="O554" s="115" t="str">
        <f t="shared" si="141"/>
        <v/>
      </c>
      <c r="P554">
        <f t="shared" si="142"/>
        <v>0</v>
      </c>
      <c r="Q554">
        <f t="shared" si="143"/>
        <v>0</v>
      </c>
      <c r="R554">
        <f t="shared" si="144"/>
        <v>0</v>
      </c>
      <c r="S554">
        <f t="shared" si="145"/>
        <v>0</v>
      </c>
      <c r="T554" s="83">
        <f t="shared" si="146"/>
        <v>0</v>
      </c>
      <c r="U554" s="120">
        <f>IF($D554="",0,IFERROR(LOOKUP(2,1/(($D$3:D553=$D554)*($C$3:C553=$C554)*($A$3:A553&lt;$A554)),$AB$3:AB553),1000))</f>
        <v>0</v>
      </c>
      <c r="V554" s="120">
        <f t="shared" si="147"/>
        <v>0</v>
      </c>
      <c r="W554">
        <f t="shared" si="148"/>
        <v>0</v>
      </c>
      <c r="X554">
        <f t="shared" si="149"/>
        <v>0</v>
      </c>
      <c r="Y554">
        <f t="shared" si="150"/>
        <v>0</v>
      </c>
      <c r="Z554">
        <f t="shared" si="151"/>
        <v>0</v>
      </c>
      <c r="AA554">
        <f>IF($D554="",0,IF($F554&lt;2,0,IF($E554="Win",('Guide &amp; Settings'!$C$42/(($F554-1)*COUNTIFS($A$4:$A$810,$A554,$E$4:$E$810,"Win")))*SUMIFS($Z$4:$Z$810,$A$4:$A$810,$A554,$E$4:$E$810,"Loss"),-('Guide &amp; Settings'!$C$42/($F554-1))*$Z554)))</f>
        <v>0</v>
      </c>
      <c r="AB554" s="120">
        <f t="shared" si="152"/>
        <v>0</v>
      </c>
      <c r="AC554" s="120" t="str">
        <f>IF($D554="","",IF(SUMPRODUCT(MAX(($D$4:$D$810=$D554)*($B$4:$B$810&lt;$B554)*$B$4:$B$810))=0,0,MAX(($B554-MAX(SUMPRODUCT(MAX(($D$4:$D$810=$D554)*($B$4:$B$810&lt;$B554)*$B$4:$B$810)),'Guide &amp; Settings'!$C$50))/7-'Guide &amp; Settings'!$C$48,0)*'Guide &amp; Settings'!$C$49))</f>
        <v/>
      </c>
    </row>
    <row r="555" spans="1:29" x14ac:dyDescent="0.2">
      <c r="A555" s="111"/>
      <c r="B555" s="112"/>
      <c r="C555" s="113"/>
      <c r="D555" s="113"/>
      <c r="E555" s="111"/>
      <c r="F555" s="114">
        <f t="shared" si="136"/>
        <v>0</v>
      </c>
      <c r="G555" s="115" t="str">
        <f t="shared" si="137"/>
        <v/>
      </c>
      <c r="H555" s="116">
        <f>IF($D555="",0,IFERROR(LOOKUP(2,1/(($D$3:D554=$D555)*($A$3:A554&lt;$A555)),$N$3:N554),'Guide &amp; Settings'!$C$41))</f>
        <v>0</v>
      </c>
      <c r="I555" s="117">
        <f t="shared" si="138"/>
        <v>0</v>
      </c>
      <c r="J555" s="118">
        <f>IF($D555="",0,IF($F555&lt;2,0,IF($E555="Win",('Guide &amp; Settings'!$C$42/(($F555-1)*COUNTIFS($A$4:$A$810,$A555,$E$4:$E$810,"Win")))*SUMIFS($X$4:$X$810,$A$4:$A$810,$A555,$E$4:$E$810,"Loss"),-('Guide &amp; Settings'!$C$42/($F555-1))*$X555)))</f>
        <v>0</v>
      </c>
      <c r="K555" s="118">
        <f>IF($D555="",0,'Guide &amp; Settings'!$C$43*(IF($E555="Win",1,0)-$I555))</f>
        <v>0</v>
      </c>
      <c r="L555" s="119">
        <f>IF($D555="",0,'Guide &amp; Settings'!$C$44*IF($F555&gt;=3,$F555,0))</f>
        <v>0</v>
      </c>
      <c r="M555" s="118">
        <f t="shared" si="139"/>
        <v>0</v>
      </c>
      <c r="N555" s="116">
        <f t="shared" si="140"/>
        <v>0</v>
      </c>
      <c r="O555" s="115" t="str">
        <f t="shared" si="141"/>
        <v/>
      </c>
      <c r="P555">
        <f t="shared" si="142"/>
        <v>0</v>
      </c>
      <c r="Q555">
        <f t="shared" si="143"/>
        <v>0</v>
      </c>
      <c r="R555">
        <f t="shared" si="144"/>
        <v>0</v>
      </c>
      <c r="S555">
        <f t="shared" si="145"/>
        <v>0</v>
      </c>
      <c r="T555" s="83">
        <f t="shared" si="146"/>
        <v>0</v>
      </c>
      <c r="U555" s="120">
        <f>IF($D555="",0,IFERROR(LOOKUP(2,1/(($D$3:D554=$D555)*($C$3:C554=$C555)*($A$3:A554&lt;$A555)),$AB$3:AB554),1000))</f>
        <v>0</v>
      </c>
      <c r="V555" s="120">
        <f t="shared" si="147"/>
        <v>0</v>
      </c>
      <c r="W555">
        <f t="shared" si="148"/>
        <v>0</v>
      </c>
      <c r="X555">
        <f t="shared" si="149"/>
        <v>0</v>
      </c>
      <c r="Y555">
        <f t="shared" si="150"/>
        <v>0</v>
      </c>
      <c r="Z555">
        <f t="shared" si="151"/>
        <v>0</v>
      </c>
      <c r="AA555">
        <f>IF($D555="",0,IF($F555&lt;2,0,IF($E555="Win",('Guide &amp; Settings'!$C$42/(($F555-1)*COUNTIFS($A$4:$A$810,$A555,$E$4:$E$810,"Win")))*SUMIFS($Z$4:$Z$810,$A$4:$A$810,$A555,$E$4:$E$810,"Loss"),-('Guide &amp; Settings'!$C$42/($F555-1))*$Z555)))</f>
        <v>0</v>
      </c>
      <c r="AB555" s="120">
        <f t="shared" si="152"/>
        <v>0</v>
      </c>
      <c r="AC555" s="120" t="str">
        <f>IF($D555="","",IF(SUMPRODUCT(MAX(($D$4:$D$810=$D555)*($B$4:$B$810&lt;$B555)*$B$4:$B$810))=0,0,MAX(($B555-MAX(SUMPRODUCT(MAX(($D$4:$D$810=$D555)*($B$4:$B$810&lt;$B555)*$B$4:$B$810)),'Guide &amp; Settings'!$C$50))/7-'Guide &amp; Settings'!$C$48,0)*'Guide &amp; Settings'!$C$49))</f>
        <v/>
      </c>
    </row>
    <row r="556" spans="1:29" x14ac:dyDescent="0.2">
      <c r="A556" s="111"/>
      <c r="B556" s="112"/>
      <c r="C556" s="113"/>
      <c r="D556" s="113"/>
      <c r="E556" s="111"/>
      <c r="F556" s="114">
        <f t="shared" si="136"/>
        <v>0</v>
      </c>
      <c r="G556" s="115" t="str">
        <f t="shared" si="137"/>
        <v/>
      </c>
      <c r="H556" s="116">
        <f>IF($D556="",0,IFERROR(LOOKUP(2,1/(($D$3:D555=$D556)*($A$3:A555&lt;$A556)),$N$3:N555),'Guide &amp; Settings'!$C$41))</f>
        <v>0</v>
      </c>
      <c r="I556" s="117">
        <f t="shared" si="138"/>
        <v>0</v>
      </c>
      <c r="J556" s="118">
        <f>IF($D556="",0,IF($F556&lt;2,0,IF($E556="Win",('Guide &amp; Settings'!$C$42/(($F556-1)*COUNTIFS($A$4:$A$810,$A556,$E$4:$E$810,"Win")))*SUMIFS($X$4:$X$810,$A$4:$A$810,$A556,$E$4:$E$810,"Loss"),-('Guide &amp; Settings'!$C$42/($F556-1))*$X556)))</f>
        <v>0</v>
      </c>
      <c r="K556" s="118">
        <f>IF($D556="",0,'Guide &amp; Settings'!$C$43*(IF($E556="Win",1,0)-$I556))</f>
        <v>0</v>
      </c>
      <c r="L556" s="119">
        <f>IF($D556="",0,'Guide &amp; Settings'!$C$44*IF($F556&gt;=3,$F556,0))</f>
        <v>0</v>
      </c>
      <c r="M556" s="118">
        <f t="shared" si="139"/>
        <v>0</v>
      </c>
      <c r="N556" s="116">
        <f t="shared" si="140"/>
        <v>0</v>
      </c>
      <c r="O556" s="115" t="str">
        <f t="shared" si="141"/>
        <v/>
      </c>
      <c r="P556">
        <f t="shared" si="142"/>
        <v>0</v>
      </c>
      <c r="Q556">
        <f t="shared" si="143"/>
        <v>0</v>
      </c>
      <c r="R556">
        <f t="shared" si="144"/>
        <v>0</v>
      </c>
      <c r="S556">
        <f t="shared" si="145"/>
        <v>0</v>
      </c>
      <c r="T556" s="83">
        <f t="shared" si="146"/>
        <v>0</v>
      </c>
      <c r="U556" s="120">
        <f>IF($D556="",0,IFERROR(LOOKUP(2,1/(($D$3:D555=$D556)*($C$3:C555=$C556)*($A$3:A555&lt;$A556)),$AB$3:AB555),1000))</f>
        <v>0</v>
      </c>
      <c r="V556" s="120">
        <f t="shared" si="147"/>
        <v>0</v>
      </c>
      <c r="W556">
        <f t="shared" si="148"/>
        <v>0</v>
      </c>
      <c r="X556">
        <f t="shared" si="149"/>
        <v>0</v>
      </c>
      <c r="Y556">
        <f t="shared" si="150"/>
        <v>0</v>
      </c>
      <c r="Z556">
        <f t="shared" si="151"/>
        <v>0</v>
      </c>
      <c r="AA556">
        <f>IF($D556="",0,IF($F556&lt;2,0,IF($E556="Win",('Guide &amp; Settings'!$C$42/(($F556-1)*COUNTIFS($A$4:$A$810,$A556,$E$4:$E$810,"Win")))*SUMIFS($Z$4:$Z$810,$A$4:$A$810,$A556,$E$4:$E$810,"Loss"),-('Guide &amp; Settings'!$C$42/($F556-1))*$Z556)))</f>
        <v>0</v>
      </c>
      <c r="AB556" s="120">
        <f t="shared" si="152"/>
        <v>0</v>
      </c>
      <c r="AC556" s="120" t="str">
        <f>IF($D556="","",IF(SUMPRODUCT(MAX(($D$4:$D$810=$D556)*($B$4:$B$810&lt;$B556)*$B$4:$B$810))=0,0,MAX(($B556-MAX(SUMPRODUCT(MAX(($D$4:$D$810=$D556)*($B$4:$B$810&lt;$B556)*$B$4:$B$810)),'Guide &amp; Settings'!$C$50))/7-'Guide &amp; Settings'!$C$48,0)*'Guide &amp; Settings'!$C$49))</f>
        <v/>
      </c>
    </row>
    <row r="557" spans="1:29" x14ac:dyDescent="0.2">
      <c r="A557" s="111"/>
      <c r="B557" s="112"/>
      <c r="C557" s="113"/>
      <c r="D557" s="113"/>
      <c r="E557" s="111"/>
      <c r="F557" s="114">
        <f t="shared" si="136"/>
        <v>0</v>
      </c>
      <c r="G557" s="115" t="str">
        <f t="shared" si="137"/>
        <v/>
      </c>
      <c r="H557" s="116">
        <f>IF($D557="",0,IFERROR(LOOKUP(2,1/(($D$3:D556=$D557)*($A$3:A556&lt;$A557)),$N$3:N556),'Guide &amp; Settings'!$C$41))</f>
        <v>0</v>
      </c>
      <c r="I557" s="117">
        <f t="shared" si="138"/>
        <v>0</v>
      </c>
      <c r="J557" s="118">
        <f>IF($D557="",0,IF($F557&lt;2,0,IF($E557="Win",('Guide &amp; Settings'!$C$42/(($F557-1)*COUNTIFS($A$4:$A$810,$A557,$E$4:$E$810,"Win")))*SUMIFS($X$4:$X$810,$A$4:$A$810,$A557,$E$4:$E$810,"Loss"),-('Guide &amp; Settings'!$C$42/($F557-1))*$X557)))</f>
        <v>0</v>
      </c>
      <c r="K557" s="118">
        <f>IF($D557="",0,'Guide &amp; Settings'!$C$43*(IF($E557="Win",1,0)-$I557))</f>
        <v>0</v>
      </c>
      <c r="L557" s="119">
        <f>IF($D557="",0,'Guide &amp; Settings'!$C$44*IF($F557&gt;=3,$F557,0))</f>
        <v>0</v>
      </c>
      <c r="M557" s="118">
        <f t="shared" si="139"/>
        <v>0</v>
      </c>
      <c r="N557" s="116">
        <f t="shared" si="140"/>
        <v>0</v>
      </c>
      <c r="O557" s="115" t="str">
        <f t="shared" si="141"/>
        <v/>
      </c>
      <c r="P557">
        <f t="shared" si="142"/>
        <v>0</v>
      </c>
      <c r="Q557">
        <f t="shared" si="143"/>
        <v>0</v>
      </c>
      <c r="R557">
        <f t="shared" si="144"/>
        <v>0</v>
      </c>
      <c r="S557">
        <f t="shared" si="145"/>
        <v>0</v>
      </c>
      <c r="T557" s="83">
        <f t="shared" si="146"/>
        <v>0</v>
      </c>
      <c r="U557" s="120">
        <f>IF($D557="",0,IFERROR(LOOKUP(2,1/(($D$3:D556=$D557)*($C$3:C556=$C557)*($A$3:A556&lt;$A557)),$AB$3:AB556),1000))</f>
        <v>0</v>
      </c>
      <c r="V557" s="120">
        <f t="shared" si="147"/>
        <v>0</v>
      </c>
      <c r="W557">
        <f t="shared" si="148"/>
        <v>0</v>
      </c>
      <c r="X557">
        <f t="shared" si="149"/>
        <v>0</v>
      </c>
      <c r="Y557">
        <f t="shared" si="150"/>
        <v>0</v>
      </c>
      <c r="Z557">
        <f t="shared" si="151"/>
        <v>0</v>
      </c>
      <c r="AA557">
        <f>IF($D557="",0,IF($F557&lt;2,0,IF($E557="Win",('Guide &amp; Settings'!$C$42/(($F557-1)*COUNTIFS($A$4:$A$810,$A557,$E$4:$E$810,"Win")))*SUMIFS($Z$4:$Z$810,$A$4:$A$810,$A557,$E$4:$E$810,"Loss"),-('Guide &amp; Settings'!$C$42/($F557-1))*$Z557)))</f>
        <v>0</v>
      </c>
      <c r="AB557" s="120">
        <f t="shared" si="152"/>
        <v>0</v>
      </c>
      <c r="AC557" s="120" t="str">
        <f>IF($D557="","",IF(SUMPRODUCT(MAX(($D$4:$D$810=$D557)*($B$4:$B$810&lt;$B557)*$B$4:$B$810))=0,0,MAX(($B557-MAX(SUMPRODUCT(MAX(($D$4:$D$810=$D557)*($B$4:$B$810&lt;$B557)*$B$4:$B$810)),'Guide &amp; Settings'!$C$50))/7-'Guide &amp; Settings'!$C$48,0)*'Guide &amp; Settings'!$C$49))</f>
        <v/>
      </c>
    </row>
    <row r="558" spans="1:29" x14ac:dyDescent="0.2">
      <c r="A558" s="111"/>
      <c r="B558" s="112"/>
      <c r="C558" s="113"/>
      <c r="D558" s="113"/>
      <c r="E558" s="111"/>
      <c r="F558" s="114">
        <f t="shared" si="136"/>
        <v>0</v>
      </c>
      <c r="G558" s="115" t="str">
        <f t="shared" si="137"/>
        <v/>
      </c>
      <c r="H558" s="116">
        <f>IF($D558="",0,IFERROR(LOOKUP(2,1/(($D$3:D557=$D558)*($A$3:A557&lt;$A558)),$N$3:N557),'Guide &amp; Settings'!$C$41))</f>
        <v>0</v>
      </c>
      <c r="I558" s="117">
        <f t="shared" si="138"/>
        <v>0</v>
      </c>
      <c r="J558" s="118">
        <f>IF($D558="",0,IF($F558&lt;2,0,IF($E558="Win",('Guide &amp; Settings'!$C$42/(($F558-1)*COUNTIFS($A$4:$A$810,$A558,$E$4:$E$810,"Win")))*SUMIFS($X$4:$X$810,$A$4:$A$810,$A558,$E$4:$E$810,"Loss"),-('Guide &amp; Settings'!$C$42/($F558-1))*$X558)))</f>
        <v>0</v>
      </c>
      <c r="K558" s="118">
        <f>IF($D558="",0,'Guide &amp; Settings'!$C$43*(IF($E558="Win",1,0)-$I558))</f>
        <v>0</v>
      </c>
      <c r="L558" s="119">
        <f>IF($D558="",0,'Guide &amp; Settings'!$C$44*IF($F558&gt;=3,$F558,0))</f>
        <v>0</v>
      </c>
      <c r="M558" s="118">
        <f t="shared" si="139"/>
        <v>0</v>
      </c>
      <c r="N558" s="116">
        <f t="shared" si="140"/>
        <v>0</v>
      </c>
      <c r="O558" s="115" t="str">
        <f t="shared" si="141"/>
        <v/>
      </c>
      <c r="P558">
        <f t="shared" si="142"/>
        <v>0</v>
      </c>
      <c r="Q558">
        <f t="shared" si="143"/>
        <v>0</v>
      </c>
      <c r="R558">
        <f t="shared" si="144"/>
        <v>0</v>
      </c>
      <c r="S558">
        <f t="shared" si="145"/>
        <v>0</v>
      </c>
      <c r="T558" s="83">
        <f t="shared" si="146"/>
        <v>0</v>
      </c>
      <c r="U558" s="120">
        <f>IF($D558="",0,IFERROR(LOOKUP(2,1/(($D$3:D557=$D558)*($C$3:C557=$C558)*($A$3:A557&lt;$A558)),$AB$3:AB557),1000))</f>
        <v>0</v>
      </c>
      <c r="V558" s="120">
        <f t="shared" si="147"/>
        <v>0</v>
      </c>
      <c r="W558">
        <f t="shared" si="148"/>
        <v>0</v>
      </c>
      <c r="X558">
        <f t="shared" si="149"/>
        <v>0</v>
      </c>
      <c r="Y558">
        <f t="shared" si="150"/>
        <v>0</v>
      </c>
      <c r="Z558">
        <f t="shared" si="151"/>
        <v>0</v>
      </c>
      <c r="AA558">
        <f>IF($D558="",0,IF($F558&lt;2,0,IF($E558="Win",('Guide &amp; Settings'!$C$42/(($F558-1)*COUNTIFS($A$4:$A$810,$A558,$E$4:$E$810,"Win")))*SUMIFS($Z$4:$Z$810,$A$4:$A$810,$A558,$E$4:$E$810,"Loss"),-('Guide &amp; Settings'!$C$42/($F558-1))*$Z558)))</f>
        <v>0</v>
      </c>
      <c r="AB558" s="120">
        <f t="shared" si="152"/>
        <v>0</v>
      </c>
      <c r="AC558" s="120" t="str">
        <f>IF($D558="","",IF(SUMPRODUCT(MAX(($D$4:$D$810=$D558)*($B$4:$B$810&lt;$B558)*$B$4:$B$810))=0,0,MAX(($B558-MAX(SUMPRODUCT(MAX(($D$4:$D$810=$D558)*($B$4:$B$810&lt;$B558)*$B$4:$B$810)),'Guide &amp; Settings'!$C$50))/7-'Guide &amp; Settings'!$C$48,0)*'Guide &amp; Settings'!$C$49))</f>
        <v/>
      </c>
    </row>
    <row r="559" spans="1:29" x14ac:dyDescent="0.2">
      <c r="A559" s="111"/>
      <c r="B559" s="112"/>
      <c r="C559" s="113"/>
      <c r="D559" s="113"/>
      <c r="E559" s="111"/>
      <c r="F559" s="114">
        <f t="shared" si="136"/>
        <v>0</v>
      </c>
      <c r="G559" s="115" t="str">
        <f t="shared" si="137"/>
        <v/>
      </c>
      <c r="H559" s="116">
        <f>IF($D559="",0,IFERROR(LOOKUP(2,1/(($D$3:D558=$D559)*($A$3:A558&lt;$A559)),$N$3:N558),'Guide &amp; Settings'!$C$41))</f>
        <v>0</v>
      </c>
      <c r="I559" s="117">
        <f t="shared" si="138"/>
        <v>0</v>
      </c>
      <c r="J559" s="118">
        <f>IF($D559="",0,IF($F559&lt;2,0,IF($E559="Win",('Guide &amp; Settings'!$C$42/(($F559-1)*COUNTIFS($A$4:$A$810,$A559,$E$4:$E$810,"Win")))*SUMIFS($X$4:$X$810,$A$4:$A$810,$A559,$E$4:$E$810,"Loss"),-('Guide &amp; Settings'!$C$42/($F559-1))*$X559)))</f>
        <v>0</v>
      </c>
      <c r="K559" s="118">
        <f>IF($D559="",0,'Guide &amp; Settings'!$C$43*(IF($E559="Win",1,0)-$I559))</f>
        <v>0</v>
      </c>
      <c r="L559" s="119">
        <f>IF($D559="",0,'Guide &amp; Settings'!$C$44*IF($F559&gt;=3,$F559,0))</f>
        <v>0</v>
      </c>
      <c r="M559" s="118">
        <f t="shared" si="139"/>
        <v>0</v>
      </c>
      <c r="N559" s="116">
        <f t="shared" si="140"/>
        <v>0</v>
      </c>
      <c r="O559" s="115" t="str">
        <f t="shared" si="141"/>
        <v/>
      </c>
      <c r="P559">
        <f t="shared" si="142"/>
        <v>0</v>
      </c>
      <c r="Q559">
        <f t="shared" si="143"/>
        <v>0</v>
      </c>
      <c r="R559">
        <f t="shared" si="144"/>
        <v>0</v>
      </c>
      <c r="S559">
        <f t="shared" si="145"/>
        <v>0</v>
      </c>
      <c r="T559" s="83">
        <f t="shared" si="146"/>
        <v>0</v>
      </c>
      <c r="U559" s="120">
        <f>IF($D559="",0,IFERROR(LOOKUP(2,1/(($D$3:D558=$D559)*($C$3:C558=$C559)*($A$3:A558&lt;$A559)),$AB$3:AB558),1000))</f>
        <v>0</v>
      </c>
      <c r="V559" s="120">
        <f t="shared" si="147"/>
        <v>0</v>
      </c>
      <c r="W559">
        <f t="shared" si="148"/>
        <v>0</v>
      </c>
      <c r="X559">
        <f t="shared" si="149"/>
        <v>0</v>
      </c>
      <c r="Y559">
        <f t="shared" si="150"/>
        <v>0</v>
      </c>
      <c r="Z559">
        <f t="shared" si="151"/>
        <v>0</v>
      </c>
      <c r="AA559">
        <f>IF($D559="",0,IF($F559&lt;2,0,IF($E559="Win",('Guide &amp; Settings'!$C$42/(($F559-1)*COUNTIFS($A$4:$A$810,$A559,$E$4:$E$810,"Win")))*SUMIFS($Z$4:$Z$810,$A$4:$A$810,$A559,$E$4:$E$810,"Loss"),-('Guide &amp; Settings'!$C$42/($F559-1))*$Z559)))</f>
        <v>0</v>
      </c>
      <c r="AB559" s="120">
        <f t="shared" si="152"/>
        <v>0</v>
      </c>
      <c r="AC559" s="120" t="str">
        <f>IF($D559="","",IF(SUMPRODUCT(MAX(($D$4:$D$810=$D559)*($B$4:$B$810&lt;$B559)*$B$4:$B$810))=0,0,MAX(($B559-MAX(SUMPRODUCT(MAX(($D$4:$D$810=$D559)*($B$4:$B$810&lt;$B559)*$B$4:$B$810)),'Guide &amp; Settings'!$C$50))/7-'Guide &amp; Settings'!$C$48,0)*'Guide &amp; Settings'!$C$49))</f>
        <v/>
      </c>
    </row>
    <row r="560" spans="1:29" x14ac:dyDescent="0.2">
      <c r="A560" s="111"/>
      <c r="B560" s="112"/>
      <c r="C560" s="113"/>
      <c r="D560" s="113"/>
      <c r="E560" s="111"/>
      <c r="F560" s="114">
        <f t="shared" si="136"/>
        <v>0</v>
      </c>
      <c r="G560" s="115" t="str">
        <f t="shared" si="137"/>
        <v/>
      </c>
      <c r="H560" s="116">
        <f>IF($D560="",0,IFERROR(LOOKUP(2,1/(($D$3:D559=$D560)*($A$3:A559&lt;$A560)),$N$3:N559),'Guide &amp; Settings'!$C$41))</f>
        <v>0</v>
      </c>
      <c r="I560" s="117">
        <f t="shared" si="138"/>
        <v>0</v>
      </c>
      <c r="J560" s="118">
        <f>IF($D560="",0,IF($F560&lt;2,0,IF($E560="Win",('Guide &amp; Settings'!$C$42/(($F560-1)*COUNTIFS($A$4:$A$810,$A560,$E$4:$E$810,"Win")))*SUMIFS($X$4:$X$810,$A$4:$A$810,$A560,$E$4:$E$810,"Loss"),-('Guide &amp; Settings'!$C$42/($F560-1))*$X560)))</f>
        <v>0</v>
      </c>
      <c r="K560" s="118">
        <f>IF($D560="",0,'Guide &amp; Settings'!$C$43*(IF($E560="Win",1,0)-$I560))</f>
        <v>0</v>
      </c>
      <c r="L560" s="119">
        <f>IF($D560="",0,'Guide &amp; Settings'!$C$44*IF($F560&gt;=3,$F560,0))</f>
        <v>0</v>
      </c>
      <c r="M560" s="118">
        <f t="shared" si="139"/>
        <v>0</v>
      </c>
      <c r="N560" s="116">
        <f t="shared" si="140"/>
        <v>0</v>
      </c>
      <c r="O560" s="115" t="str">
        <f t="shared" si="141"/>
        <v/>
      </c>
      <c r="P560">
        <f t="shared" si="142"/>
        <v>0</v>
      </c>
      <c r="Q560">
        <f t="shared" si="143"/>
        <v>0</v>
      </c>
      <c r="R560">
        <f t="shared" si="144"/>
        <v>0</v>
      </c>
      <c r="S560">
        <f t="shared" si="145"/>
        <v>0</v>
      </c>
      <c r="T560" s="83">
        <f t="shared" si="146"/>
        <v>0</v>
      </c>
      <c r="U560" s="120">
        <f>IF($D560="",0,IFERROR(LOOKUP(2,1/(($D$3:D559=$D560)*($C$3:C559=$C560)*($A$3:A559&lt;$A560)),$AB$3:AB559),1000))</f>
        <v>0</v>
      </c>
      <c r="V560" s="120">
        <f t="shared" si="147"/>
        <v>0</v>
      </c>
      <c r="W560">
        <f t="shared" si="148"/>
        <v>0</v>
      </c>
      <c r="X560">
        <f t="shared" si="149"/>
        <v>0</v>
      </c>
      <c r="Y560">
        <f t="shared" si="150"/>
        <v>0</v>
      </c>
      <c r="Z560">
        <f t="shared" si="151"/>
        <v>0</v>
      </c>
      <c r="AA560">
        <f>IF($D560="",0,IF($F560&lt;2,0,IF($E560="Win",('Guide &amp; Settings'!$C$42/(($F560-1)*COUNTIFS($A$4:$A$810,$A560,$E$4:$E$810,"Win")))*SUMIFS($Z$4:$Z$810,$A$4:$A$810,$A560,$E$4:$E$810,"Loss"),-('Guide &amp; Settings'!$C$42/($F560-1))*$Z560)))</f>
        <v>0</v>
      </c>
      <c r="AB560" s="120">
        <f t="shared" si="152"/>
        <v>0</v>
      </c>
      <c r="AC560" s="120" t="str">
        <f>IF($D560="","",IF(SUMPRODUCT(MAX(($D$4:$D$810=$D560)*($B$4:$B$810&lt;$B560)*$B$4:$B$810))=0,0,MAX(($B560-MAX(SUMPRODUCT(MAX(($D$4:$D$810=$D560)*($B$4:$B$810&lt;$B560)*$B$4:$B$810)),'Guide &amp; Settings'!$C$50))/7-'Guide &amp; Settings'!$C$48,0)*'Guide &amp; Settings'!$C$49))</f>
        <v/>
      </c>
    </row>
    <row r="561" spans="1:29" x14ac:dyDescent="0.2">
      <c r="A561" s="111"/>
      <c r="B561" s="112"/>
      <c r="C561" s="113"/>
      <c r="D561" s="113"/>
      <c r="E561" s="111"/>
      <c r="F561" s="114">
        <f t="shared" si="136"/>
        <v>0</v>
      </c>
      <c r="G561" s="115" t="str">
        <f t="shared" si="137"/>
        <v/>
      </c>
      <c r="H561" s="116">
        <f>IF($D561="",0,IFERROR(LOOKUP(2,1/(($D$3:D560=$D561)*($A$3:A560&lt;$A561)),$N$3:N560),'Guide &amp; Settings'!$C$41))</f>
        <v>0</v>
      </c>
      <c r="I561" s="117">
        <f t="shared" si="138"/>
        <v>0</v>
      </c>
      <c r="J561" s="118">
        <f>IF($D561="",0,IF($F561&lt;2,0,IF($E561="Win",('Guide &amp; Settings'!$C$42/(($F561-1)*COUNTIFS($A$4:$A$810,$A561,$E$4:$E$810,"Win")))*SUMIFS($X$4:$X$810,$A$4:$A$810,$A561,$E$4:$E$810,"Loss"),-('Guide &amp; Settings'!$C$42/($F561-1))*$X561)))</f>
        <v>0</v>
      </c>
      <c r="K561" s="118">
        <f>IF($D561="",0,'Guide &amp; Settings'!$C$43*(IF($E561="Win",1,0)-$I561))</f>
        <v>0</v>
      </c>
      <c r="L561" s="119">
        <f>IF($D561="",0,'Guide &amp; Settings'!$C$44*IF($F561&gt;=3,$F561,0))</f>
        <v>0</v>
      </c>
      <c r="M561" s="118">
        <f t="shared" si="139"/>
        <v>0</v>
      </c>
      <c r="N561" s="116">
        <f t="shared" si="140"/>
        <v>0</v>
      </c>
      <c r="O561" s="115" t="str">
        <f t="shared" si="141"/>
        <v/>
      </c>
      <c r="P561">
        <f t="shared" si="142"/>
        <v>0</v>
      </c>
      <c r="Q561">
        <f t="shared" si="143"/>
        <v>0</v>
      </c>
      <c r="R561">
        <f t="shared" si="144"/>
        <v>0</v>
      </c>
      <c r="S561">
        <f t="shared" si="145"/>
        <v>0</v>
      </c>
      <c r="T561" s="83">
        <f t="shared" si="146"/>
        <v>0</v>
      </c>
      <c r="U561" s="120">
        <f>IF($D561="",0,IFERROR(LOOKUP(2,1/(($D$3:D560=$D561)*($C$3:C560=$C561)*($A$3:A560&lt;$A561)),$AB$3:AB560),1000))</f>
        <v>0</v>
      </c>
      <c r="V561" s="120">
        <f t="shared" si="147"/>
        <v>0</v>
      </c>
      <c r="W561">
        <f t="shared" si="148"/>
        <v>0</v>
      </c>
      <c r="X561">
        <f t="shared" si="149"/>
        <v>0</v>
      </c>
      <c r="Y561">
        <f t="shared" si="150"/>
        <v>0</v>
      </c>
      <c r="Z561">
        <f t="shared" si="151"/>
        <v>0</v>
      </c>
      <c r="AA561">
        <f>IF($D561="",0,IF($F561&lt;2,0,IF($E561="Win",('Guide &amp; Settings'!$C$42/(($F561-1)*COUNTIFS($A$4:$A$810,$A561,$E$4:$E$810,"Win")))*SUMIFS($Z$4:$Z$810,$A$4:$A$810,$A561,$E$4:$E$810,"Loss"),-('Guide &amp; Settings'!$C$42/($F561-1))*$Z561)))</f>
        <v>0</v>
      </c>
      <c r="AB561" s="120">
        <f t="shared" si="152"/>
        <v>0</v>
      </c>
      <c r="AC561" s="120" t="str">
        <f>IF($D561="","",IF(SUMPRODUCT(MAX(($D$4:$D$810=$D561)*($B$4:$B$810&lt;$B561)*$B$4:$B$810))=0,0,MAX(($B561-MAX(SUMPRODUCT(MAX(($D$4:$D$810=$D561)*($B$4:$B$810&lt;$B561)*$B$4:$B$810)),'Guide &amp; Settings'!$C$50))/7-'Guide &amp; Settings'!$C$48,0)*'Guide &amp; Settings'!$C$49))</f>
        <v/>
      </c>
    </row>
    <row r="562" spans="1:29" x14ac:dyDescent="0.2">
      <c r="A562" s="111"/>
      <c r="B562" s="112"/>
      <c r="C562" s="113"/>
      <c r="D562" s="113"/>
      <c r="E562" s="111"/>
      <c r="F562" s="114">
        <f t="shared" si="136"/>
        <v>0</v>
      </c>
      <c r="G562" s="115" t="str">
        <f t="shared" si="137"/>
        <v/>
      </c>
      <c r="H562" s="116">
        <f>IF($D562="",0,IFERROR(LOOKUP(2,1/(($D$3:D561=$D562)*($A$3:A561&lt;$A562)),$N$3:N561),'Guide &amp; Settings'!$C$41))</f>
        <v>0</v>
      </c>
      <c r="I562" s="117">
        <f t="shared" si="138"/>
        <v>0</v>
      </c>
      <c r="J562" s="118">
        <f>IF($D562="",0,IF($F562&lt;2,0,IF($E562="Win",('Guide &amp; Settings'!$C$42/(($F562-1)*COUNTIFS($A$4:$A$810,$A562,$E$4:$E$810,"Win")))*SUMIFS($X$4:$X$810,$A$4:$A$810,$A562,$E$4:$E$810,"Loss"),-('Guide &amp; Settings'!$C$42/($F562-1))*$X562)))</f>
        <v>0</v>
      </c>
      <c r="K562" s="118">
        <f>IF($D562="",0,'Guide &amp; Settings'!$C$43*(IF($E562="Win",1,0)-$I562))</f>
        <v>0</v>
      </c>
      <c r="L562" s="119">
        <f>IF($D562="",0,'Guide &amp; Settings'!$C$44*IF($F562&gt;=3,$F562,0))</f>
        <v>0</v>
      </c>
      <c r="M562" s="118">
        <f t="shared" si="139"/>
        <v>0</v>
      </c>
      <c r="N562" s="116">
        <f t="shared" si="140"/>
        <v>0</v>
      </c>
      <c r="O562" s="115" t="str">
        <f t="shared" si="141"/>
        <v/>
      </c>
      <c r="P562">
        <f t="shared" si="142"/>
        <v>0</v>
      </c>
      <c r="Q562">
        <f t="shared" si="143"/>
        <v>0</v>
      </c>
      <c r="R562">
        <f t="shared" si="144"/>
        <v>0</v>
      </c>
      <c r="S562">
        <f t="shared" si="145"/>
        <v>0</v>
      </c>
      <c r="T562" s="83">
        <f t="shared" si="146"/>
        <v>0</v>
      </c>
      <c r="U562" s="120">
        <f>IF($D562="",0,IFERROR(LOOKUP(2,1/(($D$3:D561=$D562)*($C$3:C561=$C562)*($A$3:A561&lt;$A562)),$AB$3:AB561),1000))</f>
        <v>0</v>
      </c>
      <c r="V562" s="120">
        <f t="shared" si="147"/>
        <v>0</v>
      </c>
      <c r="W562">
        <f t="shared" si="148"/>
        <v>0</v>
      </c>
      <c r="X562">
        <f t="shared" si="149"/>
        <v>0</v>
      </c>
      <c r="Y562">
        <f t="shared" si="150"/>
        <v>0</v>
      </c>
      <c r="Z562">
        <f t="shared" si="151"/>
        <v>0</v>
      </c>
      <c r="AA562">
        <f>IF($D562="",0,IF($F562&lt;2,0,IF($E562="Win",('Guide &amp; Settings'!$C$42/(($F562-1)*COUNTIFS($A$4:$A$810,$A562,$E$4:$E$810,"Win")))*SUMIFS($Z$4:$Z$810,$A$4:$A$810,$A562,$E$4:$E$810,"Loss"),-('Guide &amp; Settings'!$C$42/($F562-1))*$Z562)))</f>
        <v>0</v>
      </c>
      <c r="AB562" s="120">
        <f t="shared" si="152"/>
        <v>0</v>
      </c>
      <c r="AC562" s="120" t="str">
        <f>IF($D562="","",IF(SUMPRODUCT(MAX(($D$4:$D$810=$D562)*($B$4:$B$810&lt;$B562)*$B$4:$B$810))=0,0,MAX(($B562-MAX(SUMPRODUCT(MAX(($D$4:$D$810=$D562)*($B$4:$B$810&lt;$B562)*$B$4:$B$810)),'Guide &amp; Settings'!$C$50))/7-'Guide &amp; Settings'!$C$48,0)*'Guide &amp; Settings'!$C$49))</f>
        <v/>
      </c>
    </row>
    <row r="563" spans="1:29" x14ac:dyDescent="0.2">
      <c r="A563" s="111"/>
      <c r="B563" s="112"/>
      <c r="C563" s="113"/>
      <c r="D563" s="113"/>
      <c r="E563" s="111"/>
      <c r="F563" s="114">
        <f t="shared" si="136"/>
        <v>0</v>
      </c>
      <c r="G563" s="115" t="str">
        <f t="shared" si="137"/>
        <v/>
      </c>
      <c r="H563" s="116">
        <f>IF($D563="",0,IFERROR(LOOKUP(2,1/(($D$3:D562=$D563)*($A$3:A562&lt;$A563)),$N$3:N562),'Guide &amp; Settings'!$C$41))</f>
        <v>0</v>
      </c>
      <c r="I563" s="117">
        <f t="shared" si="138"/>
        <v>0</v>
      </c>
      <c r="J563" s="118">
        <f>IF($D563="",0,IF($F563&lt;2,0,IF($E563="Win",('Guide &amp; Settings'!$C$42/(($F563-1)*COUNTIFS($A$4:$A$810,$A563,$E$4:$E$810,"Win")))*SUMIFS($X$4:$X$810,$A$4:$A$810,$A563,$E$4:$E$810,"Loss"),-('Guide &amp; Settings'!$C$42/($F563-1))*$X563)))</f>
        <v>0</v>
      </c>
      <c r="K563" s="118">
        <f>IF($D563="",0,'Guide &amp; Settings'!$C$43*(IF($E563="Win",1,0)-$I563))</f>
        <v>0</v>
      </c>
      <c r="L563" s="119">
        <f>IF($D563="",0,'Guide &amp; Settings'!$C$44*IF($F563&gt;=3,$F563,0))</f>
        <v>0</v>
      </c>
      <c r="M563" s="118">
        <f t="shared" si="139"/>
        <v>0</v>
      </c>
      <c r="N563" s="116">
        <f t="shared" si="140"/>
        <v>0</v>
      </c>
      <c r="O563" s="115" t="str">
        <f t="shared" si="141"/>
        <v/>
      </c>
      <c r="P563">
        <f t="shared" si="142"/>
        <v>0</v>
      </c>
      <c r="Q563">
        <f t="shared" si="143"/>
        <v>0</v>
      </c>
      <c r="R563">
        <f t="shared" si="144"/>
        <v>0</v>
      </c>
      <c r="S563">
        <f t="shared" si="145"/>
        <v>0</v>
      </c>
      <c r="T563" s="83">
        <f t="shared" si="146"/>
        <v>0</v>
      </c>
      <c r="U563" s="120">
        <f>IF($D563="",0,IFERROR(LOOKUP(2,1/(($D$3:D562=$D563)*($C$3:C562=$C563)*($A$3:A562&lt;$A563)),$AB$3:AB562),1000))</f>
        <v>0</v>
      </c>
      <c r="V563" s="120">
        <f t="shared" si="147"/>
        <v>0</v>
      </c>
      <c r="W563">
        <f t="shared" si="148"/>
        <v>0</v>
      </c>
      <c r="X563">
        <f t="shared" si="149"/>
        <v>0</v>
      </c>
      <c r="Y563">
        <f t="shared" si="150"/>
        <v>0</v>
      </c>
      <c r="Z563">
        <f t="shared" si="151"/>
        <v>0</v>
      </c>
      <c r="AA563">
        <f>IF($D563="",0,IF($F563&lt;2,0,IF($E563="Win",('Guide &amp; Settings'!$C$42/(($F563-1)*COUNTIFS($A$4:$A$810,$A563,$E$4:$E$810,"Win")))*SUMIFS($Z$4:$Z$810,$A$4:$A$810,$A563,$E$4:$E$810,"Loss"),-('Guide &amp; Settings'!$C$42/($F563-1))*$Z563)))</f>
        <v>0</v>
      </c>
      <c r="AB563" s="120">
        <f t="shared" si="152"/>
        <v>0</v>
      </c>
      <c r="AC563" s="120" t="str">
        <f>IF($D563="","",IF(SUMPRODUCT(MAX(($D$4:$D$810=$D563)*($B$4:$B$810&lt;$B563)*$B$4:$B$810))=0,0,MAX(($B563-MAX(SUMPRODUCT(MAX(($D$4:$D$810=$D563)*($B$4:$B$810&lt;$B563)*$B$4:$B$810)),'Guide &amp; Settings'!$C$50))/7-'Guide &amp; Settings'!$C$48,0)*'Guide &amp; Settings'!$C$49))</f>
        <v/>
      </c>
    </row>
    <row r="564" spans="1:29" x14ac:dyDescent="0.2">
      <c r="A564" s="111"/>
      <c r="B564" s="112"/>
      <c r="C564" s="113"/>
      <c r="D564" s="113"/>
      <c r="E564" s="111"/>
      <c r="F564" s="114">
        <f t="shared" si="136"/>
        <v>0</v>
      </c>
      <c r="G564" s="115" t="str">
        <f t="shared" si="137"/>
        <v/>
      </c>
      <c r="H564" s="116">
        <f>IF($D564="",0,IFERROR(LOOKUP(2,1/(($D$3:D563=$D564)*($A$3:A563&lt;$A564)),$N$3:N563),'Guide &amp; Settings'!$C$41))</f>
        <v>0</v>
      </c>
      <c r="I564" s="117">
        <f t="shared" si="138"/>
        <v>0</v>
      </c>
      <c r="J564" s="118">
        <f>IF($D564="",0,IF($F564&lt;2,0,IF($E564="Win",('Guide &amp; Settings'!$C$42/(($F564-1)*COUNTIFS($A$4:$A$810,$A564,$E$4:$E$810,"Win")))*SUMIFS($X$4:$X$810,$A$4:$A$810,$A564,$E$4:$E$810,"Loss"),-('Guide &amp; Settings'!$C$42/($F564-1))*$X564)))</f>
        <v>0</v>
      </c>
      <c r="K564" s="118">
        <f>IF($D564="",0,'Guide &amp; Settings'!$C$43*(IF($E564="Win",1,0)-$I564))</f>
        <v>0</v>
      </c>
      <c r="L564" s="119">
        <f>IF($D564="",0,'Guide &amp; Settings'!$C$44*IF($F564&gt;=3,$F564,0))</f>
        <v>0</v>
      </c>
      <c r="M564" s="118">
        <f t="shared" si="139"/>
        <v>0</v>
      </c>
      <c r="N564" s="116">
        <f t="shared" si="140"/>
        <v>0</v>
      </c>
      <c r="O564" s="115" t="str">
        <f t="shared" si="141"/>
        <v/>
      </c>
      <c r="P564">
        <f t="shared" si="142"/>
        <v>0</v>
      </c>
      <c r="Q564">
        <f t="shared" si="143"/>
        <v>0</v>
      </c>
      <c r="R564">
        <f t="shared" si="144"/>
        <v>0</v>
      </c>
      <c r="S564">
        <f t="shared" si="145"/>
        <v>0</v>
      </c>
      <c r="T564" s="83">
        <f t="shared" si="146"/>
        <v>0</v>
      </c>
      <c r="U564" s="120">
        <f>IF($D564="",0,IFERROR(LOOKUP(2,1/(($D$3:D563=$D564)*($C$3:C563=$C564)*($A$3:A563&lt;$A564)),$AB$3:AB563),1000))</f>
        <v>0</v>
      </c>
      <c r="V564" s="120">
        <f t="shared" si="147"/>
        <v>0</v>
      </c>
      <c r="W564">
        <f t="shared" si="148"/>
        <v>0</v>
      </c>
      <c r="X564">
        <f t="shared" si="149"/>
        <v>0</v>
      </c>
      <c r="Y564">
        <f t="shared" si="150"/>
        <v>0</v>
      </c>
      <c r="Z564">
        <f t="shared" si="151"/>
        <v>0</v>
      </c>
      <c r="AA564">
        <f>IF($D564="",0,IF($F564&lt;2,0,IF($E564="Win",('Guide &amp; Settings'!$C$42/(($F564-1)*COUNTIFS($A$4:$A$810,$A564,$E$4:$E$810,"Win")))*SUMIFS($Z$4:$Z$810,$A$4:$A$810,$A564,$E$4:$E$810,"Loss"),-('Guide &amp; Settings'!$C$42/($F564-1))*$Z564)))</f>
        <v>0</v>
      </c>
      <c r="AB564" s="120">
        <f t="shared" si="152"/>
        <v>0</v>
      </c>
      <c r="AC564" s="120" t="str">
        <f>IF($D564="","",IF(SUMPRODUCT(MAX(($D$4:$D$810=$D564)*($B$4:$B$810&lt;$B564)*$B$4:$B$810))=0,0,MAX(($B564-MAX(SUMPRODUCT(MAX(($D$4:$D$810=$D564)*($B$4:$B$810&lt;$B564)*$B$4:$B$810)),'Guide &amp; Settings'!$C$50))/7-'Guide &amp; Settings'!$C$48,0)*'Guide &amp; Settings'!$C$49))</f>
        <v/>
      </c>
    </row>
    <row r="565" spans="1:29" x14ac:dyDescent="0.2">
      <c r="A565" s="111"/>
      <c r="B565" s="112"/>
      <c r="C565" s="113"/>
      <c r="D565" s="113"/>
      <c r="E565" s="111"/>
      <c r="F565" s="114">
        <f t="shared" si="136"/>
        <v>0</v>
      </c>
      <c r="G565" s="115" t="str">
        <f t="shared" si="137"/>
        <v/>
      </c>
      <c r="H565" s="116">
        <f>IF($D565="",0,IFERROR(LOOKUP(2,1/(($D$3:D564=$D565)*($A$3:A564&lt;$A565)),$N$3:N564),'Guide &amp; Settings'!$C$41))</f>
        <v>0</v>
      </c>
      <c r="I565" s="117">
        <f t="shared" si="138"/>
        <v>0</v>
      </c>
      <c r="J565" s="118">
        <f>IF($D565="",0,IF($F565&lt;2,0,IF($E565="Win",('Guide &amp; Settings'!$C$42/(($F565-1)*COUNTIFS($A$4:$A$810,$A565,$E$4:$E$810,"Win")))*SUMIFS($X$4:$X$810,$A$4:$A$810,$A565,$E$4:$E$810,"Loss"),-('Guide &amp; Settings'!$C$42/($F565-1))*$X565)))</f>
        <v>0</v>
      </c>
      <c r="K565" s="118">
        <f>IF($D565="",0,'Guide &amp; Settings'!$C$43*(IF($E565="Win",1,0)-$I565))</f>
        <v>0</v>
      </c>
      <c r="L565" s="119">
        <f>IF($D565="",0,'Guide &amp; Settings'!$C$44*IF($F565&gt;=3,$F565,0))</f>
        <v>0</v>
      </c>
      <c r="M565" s="118">
        <f t="shared" si="139"/>
        <v>0</v>
      </c>
      <c r="N565" s="116">
        <f t="shared" si="140"/>
        <v>0</v>
      </c>
      <c r="O565" s="115" t="str">
        <f t="shared" si="141"/>
        <v/>
      </c>
      <c r="P565">
        <f t="shared" si="142"/>
        <v>0</v>
      </c>
      <c r="Q565">
        <f t="shared" si="143"/>
        <v>0</v>
      </c>
      <c r="R565">
        <f t="shared" si="144"/>
        <v>0</v>
      </c>
      <c r="S565">
        <f t="shared" si="145"/>
        <v>0</v>
      </c>
      <c r="T565" s="83">
        <f t="shared" si="146"/>
        <v>0</v>
      </c>
      <c r="U565" s="120">
        <f>IF($D565="",0,IFERROR(LOOKUP(2,1/(($D$3:D564=$D565)*($C$3:C564=$C565)*($A$3:A564&lt;$A565)),$AB$3:AB564),1000))</f>
        <v>0</v>
      </c>
      <c r="V565" s="120">
        <f t="shared" si="147"/>
        <v>0</v>
      </c>
      <c r="W565">
        <f t="shared" si="148"/>
        <v>0</v>
      </c>
      <c r="X565">
        <f t="shared" si="149"/>
        <v>0</v>
      </c>
      <c r="Y565">
        <f t="shared" si="150"/>
        <v>0</v>
      </c>
      <c r="Z565">
        <f t="shared" si="151"/>
        <v>0</v>
      </c>
      <c r="AA565">
        <f>IF($D565="",0,IF($F565&lt;2,0,IF($E565="Win",('Guide &amp; Settings'!$C$42/(($F565-1)*COUNTIFS($A$4:$A$810,$A565,$E$4:$E$810,"Win")))*SUMIFS($Z$4:$Z$810,$A$4:$A$810,$A565,$E$4:$E$810,"Loss"),-('Guide &amp; Settings'!$C$42/($F565-1))*$Z565)))</f>
        <v>0</v>
      </c>
      <c r="AB565" s="120">
        <f t="shared" si="152"/>
        <v>0</v>
      </c>
      <c r="AC565" s="120" t="str">
        <f>IF($D565="","",IF(SUMPRODUCT(MAX(($D$4:$D$810=$D565)*($B$4:$B$810&lt;$B565)*$B$4:$B$810))=0,0,MAX(($B565-MAX(SUMPRODUCT(MAX(($D$4:$D$810=$D565)*($B$4:$B$810&lt;$B565)*$B$4:$B$810)),'Guide &amp; Settings'!$C$50))/7-'Guide &amp; Settings'!$C$48,0)*'Guide &amp; Settings'!$C$49))</f>
        <v/>
      </c>
    </row>
    <row r="566" spans="1:29" x14ac:dyDescent="0.2">
      <c r="A566" s="111"/>
      <c r="B566" s="112"/>
      <c r="C566" s="113"/>
      <c r="D566" s="113"/>
      <c r="E566" s="111"/>
      <c r="F566" s="114">
        <f t="shared" si="136"/>
        <v>0</v>
      </c>
      <c r="G566" s="115" t="str">
        <f t="shared" si="137"/>
        <v/>
      </c>
      <c r="H566" s="116">
        <f>IF($D566="",0,IFERROR(LOOKUP(2,1/(($D$3:D565=$D566)*($A$3:A565&lt;$A566)),$N$3:N565),'Guide &amp; Settings'!$C$41))</f>
        <v>0</v>
      </c>
      <c r="I566" s="117">
        <f t="shared" si="138"/>
        <v>0</v>
      </c>
      <c r="J566" s="118">
        <f>IF($D566="",0,IF($F566&lt;2,0,IF($E566="Win",('Guide &amp; Settings'!$C$42/(($F566-1)*COUNTIFS($A$4:$A$810,$A566,$E$4:$E$810,"Win")))*SUMIFS($X$4:$X$810,$A$4:$A$810,$A566,$E$4:$E$810,"Loss"),-('Guide &amp; Settings'!$C$42/($F566-1))*$X566)))</f>
        <v>0</v>
      </c>
      <c r="K566" s="118">
        <f>IF($D566="",0,'Guide &amp; Settings'!$C$43*(IF($E566="Win",1,0)-$I566))</f>
        <v>0</v>
      </c>
      <c r="L566" s="119">
        <f>IF($D566="",0,'Guide &amp; Settings'!$C$44*IF($F566&gt;=3,$F566,0))</f>
        <v>0</v>
      </c>
      <c r="M566" s="118">
        <f t="shared" si="139"/>
        <v>0</v>
      </c>
      <c r="N566" s="116">
        <f t="shared" si="140"/>
        <v>0</v>
      </c>
      <c r="O566" s="115" t="str">
        <f t="shared" si="141"/>
        <v/>
      </c>
      <c r="P566">
        <f t="shared" si="142"/>
        <v>0</v>
      </c>
      <c r="Q566">
        <f t="shared" si="143"/>
        <v>0</v>
      </c>
      <c r="R566">
        <f t="shared" si="144"/>
        <v>0</v>
      </c>
      <c r="S566">
        <f t="shared" si="145"/>
        <v>0</v>
      </c>
      <c r="T566" s="83">
        <f t="shared" si="146"/>
        <v>0</v>
      </c>
      <c r="U566" s="120">
        <f>IF($D566="",0,IFERROR(LOOKUP(2,1/(($D$3:D565=$D566)*($C$3:C565=$C566)*($A$3:A565&lt;$A566)),$AB$3:AB565),1000))</f>
        <v>0</v>
      </c>
      <c r="V566" s="120">
        <f t="shared" si="147"/>
        <v>0</v>
      </c>
      <c r="W566">
        <f t="shared" si="148"/>
        <v>0</v>
      </c>
      <c r="X566">
        <f t="shared" si="149"/>
        <v>0</v>
      </c>
      <c r="Y566">
        <f t="shared" si="150"/>
        <v>0</v>
      </c>
      <c r="Z566">
        <f t="shared" si="151"/>
        <v>0</v>
      </c>
      <c r="AA566">
        <f>IF($D566="",0,IF($F566&lt;2,0,IF($E566="Win",('Guide &amp; Settings'!$C$42/(($F566-1)*COUNTIFS($A$4:$A$810,$A566,$E$4:$E$810,"Win")))*SUMIFS($Z$4:$Z$810,$A$4:$A$810,$A566,$E$4:$E$810,"Loss"),-('Guide &amp; Settings'!$C$42/($F566-1))*$Z566)))</f>
        <v>0</v>
      </c>
      <c r="AB566" s="120">
        <f t="shared" si="152"/>
        <v>0</v>
      </c>
      <c r="AC566" s="120" t="str">
        <f>IF($D566="","",IF(SUMPRODUCT(MAX(($D$4:$D$810=$D566)*($B$4:$B$810&lt;$B566)*$B$4:$B$810))=0,0,MAX(($B566-MAX(SUMPRODUCT(MAX(($D$4:$D$810=$D566)*($B$4:$B$810&lt;$B566)*$B$4:$B$810)),'Guide &amp; Settings'!$C$50))/7-'Guide &amp; Settings'!$C$48,0)*'Guide &amp; Settings'!$C$49))</f>
        <v/>
      </c>
    </row>
    <row r="567" spans="1:29" x14ac:dyDescent="0.2">
      <c r="A567" s="111"/>
      <c r="B567" s="112"/>
      <c r="C567" s="113"/>
      <c r="D567" s="113"/>
      <c r="E567" s="111"/>
      <c r="F567" s="114">
        <f t="shared" si="136"/>
        <v>0</v>
      </c>
      <c r="G567" s="115" t="str">
        <f t="shared" si="137"/>
        <v/>
      </c>
      <c r="H567" s="116">
        <f>IF($D567="",0,IFERROR(LOOKUP(2,1/(($D$3:D566=$D567)*($A$3:A566&lt;$A567)),$N$3:N566),'Guide &amp; Settings'!$C$41))</f>
        <v>0</v>
      </c>
      <c r="I567" s="117">
        <f t="shared" si="138"/>
        <v>0</v>
      </c>
      <c r="J567" s="118">
        <f>IF($D567="",0,IF($F567&lt;2,0,IF($E567="Win",('Guide &amp; Settings'!$C$42/(($F567-1)*COUNTIFS($A$4:$A$810,$A567,$E$4:$E$810,"Win")))*SUMIFS($X$4:$X$810,$A$4:$A$810,$A567,$E$4:$E$810,"Loss"),-('Guide &amp; Settings'!$C$42/($F567-1))*$X567)))</f>
        <v>0</v>
      </c>
      <c r="K567" s="118">
        <f>IF($D567="",0,'Guide &amp; Settings'!$C$43*(IF($E567="Win",1,0)-$I567))</f>
        <v>0</v>
      </c>
      <c r="L567" s="119">
        <f>IF($D567="",0,'Guide &amp; Settings'!$C$44*IF($F567&gt;=3,$F567,0))</f>
        <v>0</v>
      </c>
      <c r="M567" s="118">
        <f t="shared" si="139"/>
        <v>0</v>
      </c>
      <c r="N567" s="116">
        <f t="shared" si="140"/>
        <v>0</v>
      </c>
      <c r="O567" s="115" t="str">
        <f t="shared" si="141"/>
        <v/>
      </c>
      <c r="P567">
        <f t="shared" si="142"/>
        <v>0</v>
      </c>
      <c r="Q567">
        <f t="shared" si="143"/>
        <v>0</v>
      </c>
      <c r="R567">
        <f t="shared" si="144"/>
        <v>0</v>
      </c>
      <c r="S567">
        <f t="shared" si="145"/>
        <v>0</v>
      </c>
      <c r="T567" s="83">
        <f t="shared" si="146"/>
        <v>0</v>
      </c>
      <c r="U567" s="120">
        <f>IF($D567="",0,IFERROR(LOOKUP(2,1/(($D$3:D566=$D567)*($C$3:C566=$C567)*($A$3:A566&lt;$A567)),$AB$3:AB566),1000))</f>
        <v>0</v>
      </c>
      <c r="V567" s="120">
        <f t="shared" si="147"/>
        <v>0</v>
      </c>
      <c r="W567">
        <f t="shared" si="148"/>
        <v>0</v>
      </c>
      <c r="X567">
        <f t="shared" si="149"/>
        <v>0</v>
      </c>
      <c r="Y567">
        <f t="shared" si="150"/>
        <v>0</v>
      </c>
      <c r="Z567">
        <f t="shared" si="151"/>
        <v>0</v>
      </c>
      <c r="AA567">
        <f>IF($D567="",0,IF($F567&lt;2,0,IF($E567="Win",('Guide &amp; Settings'!$C$42/(($F567-1)*COUNTIFS($A$4:$A$810,$A567,$E$4:$E$810,"Win")))*SUMIFS($Z$4:$Z$810,$A$4:$A$810,$A567,$E$4:$E$810,"Loss"),-('Guide &amp; Settings'!$C$42/($F567-1))*$Z567)))</f>
        <v>0</v>
      </c>
      <c r="AB567" s="120">
        <f t="shared" si="152"/>
        <v>0</v>
      </c>
      <c r="AC567" s="120" t="str">
        <f>IF($D567="","",IF(SUMPRODUCT(MAX(($D$4:$D$810=$D567)*($B$4:$B$810&lt;$B567)*$B$4:$B$810))=0,0,MAX(($B567-MAX(SUMPRODUCT(MAX(($D$4:$D$810=$D567)*($B$4:$B$810&lt;$B567)*$B$4:$B$810)),'Guide &amp; Settings'!$C$50))/7-'Guide &amp; Settings'!$C$48,0)*'Guide &amp; Settings'!$C$49))</f>
        <v/>
      </c>
    </row>
    <row r="568" spans="1:29" x14ac:dyDescent="0.2">
      <c r="A568" s="111"/>
      <c r="B568" s="112"/>
      <c r="C568" s="113"/>
      <c r="D568" s="113"/>
      <c r="E568" s="111"/>
      <c r="F568" s="114">
        <f t="shared" ref="F568:F631" si="153">IF($D568="",0,COUNTIF($A$4:$A$810,$A568))</f>
        <v>0</v>
      </c>
      <c r="G568" s="115" t="str">
        <f t="shared" ref="G568:G631" si="154">IF($D568="","",IFERROR(LOOKUP(2,1/(($A$4:$A$810=$A568)*($E$4:$E$810="Win")),$D$4:$D$810),"(no winner)"))</f>
        <v/>
      </c>
      <c r="H568" s="116">
        <f>IF($D568="",0,IFERROR(LOOKUP(2,1/(($D$3:D567=$D568)*($A$3:A567&lt;$A568)),$N$3:N567),'Guide &amp; Settings'!$C$41))</f>
        <v>0</v>
      </c>
      <c r="I568" s="117">
        <f t="shared" ref="I568:I631" si="155">IF($D568="",0,IF($S568=0,0,$R568/$S568))</f>
        <v>0</v>
      </c>
      <c r="J568" s="118">
        <f>IF($D568="",0,IF($F568&lt;2,0,IF($E568="Win",('Guide &amp; Settings'!$C$42/(($F568-1)*COUNTIFS($A$4:$A$810,$A568,$E$4:$E$810,"Win")))*SUMIFS($X$4:$X$810,$A$4:$A$810,$A568,$E$4:$E$810,"Loss"),-('Guide &amp; Settings'!$C$42/($F568-1))*$X568)))</f>
        <v>0</v>
      </c>
      <c r="K568" s="118">
        <f>IF($D568="",0,'Guide &amp; Settings'!$C$43*(IF($E568="Win",1,0)-$I568))</f>
        <v>0</v>
      </c>
      <c r="L568" s="119">
        <f>IF($D568="",0,'Guide &amp; Settings'!$C$44*IF($F568&gt;=3,$F568,0))</f>
        <v>0</v>
      </c>
      <c r="M568" s="118">
        <f t="shared" ref="M568:M631" si="156">IF($D568="",0,$J568+$K568+$L568)</f>
        <v>0</v>
      </c>
      <c r="N568" s="116">
        <f t="shared" ref="N568:N631" si="157">IF($D568="",0,$H568+$M568)</f>
        <v>0</v>
      </c>
      <c r="O568" s="115" t="str">
        <f t="shared" ref="O568:O631" si="158">IF($D568="","",IF(COUNTIFS($A$4:$A$810,$A568,$E$4:$E$810,"Win")=0,"need a winner",IF(COUNTIFS($A$4:$A$810,$A568,$E$4:$E$810,"Loss")=0,"need a loser",IF(COUNTIFS($A$4:$A$810,$A568,$D$4:$D$810,$D568)&gt;1,"duplicate player","OK"))))</f>
        <v/>
      </c>
      <c r="P568">
        <f t="shared" ref="P568:P631" si="159">IF($D568="",0,IFERROR(SUMIFS($H$4:$H$810,$A$4:$A$810,$A568,$E$4:$E$810,"Win")/COUNTIFS($A$4:$A$810,$A568,$E$4:$E$810,"Win"),0))</f>
        <v>0</v>
      </c>
      <c r="Q568">
        <f t="shared" ref="Q568:Q631" si="160">IF($D568="",0,1/(1+10^(($P568-$H568)/400)))</f>
        <v>0</v>
      </c>
      <c r="R568">
        <f t="shared" ref="R568:R631" si="161">IF($D568="",0,(COUNTIFS($D$4:$D$810,$D568,$C$4:$C$810,$C568,$E$4:$E$810,"Win",$A$4:$A$810,"&lt;"&amp;$A568)+1)/(COUNTIFS($D$4:$D$810,$D568,$C$4:$C$810,$C568,$A$4:$A$810,"&lt;"&amp;$A568)+2))</f>
        <v>0</v>
      </c>
      <c r="S568">
        <f t="shared" ref="S568:S631" si="162">IF($D568="",0,SUMIFS($R$4:$R$810,$A$4:$A$810,$A568))</f>
        <v>0</v>
      </c>
      <c r="T568" s="83">
        <f t="shared" ref="T568:T631" si="163">IF($D568="",0,COUNTIFS($D$4:$D$810,$D568,$C$4:$C$810,$C568,$A$4:$A$810,"&lt;"&amp;$A568))</f>
        <v>0</v>
      </c>
      <c r="U568" s="120">
        <f>IF($D568="",0,IFERROR(LOOKUP(2,1/(($D$3:D567=$D568)*($C$3:C567=$C568)*($A$3:A567&lt;$A568)),$AB$3:AB567),1000))</f>
        <v>0</v>
      </c>
      <c r="V568" s="120">
        <f t="shared" ref="V568:V631" si="164">IF($D568="",0,$U568*($T568/($T568+5))+$H568*(1-$T568/($T568+5)))</f>
        <v>0</v>
      </c>
      <c r="W568">
        <f t="shared" ref="W568:W631" si="165">IF($D568="",0,IFERROR(SUMIFS($V$4:$V$810,$A$4:$A$810,$A568,$E$4:$E$810,"Win")/COUNTIFS($A$4:$A$810,$A568,$E$4:$E$810,"Win"),0))</f>
        <v>0</v>
      </c>
      <c r="X568">
        <f t="shared" ref="X568:X631" si="166">IF($D568="",0,1/(1+10^(($W568-$V568)/400)))</f>
        <v>0</v>
      </c>
      <c r="Y568">
        <f t="shared" ref="Y568:Y631" si="167">IF($D568="",0,IFERROR(SUMIFS($U$4:$U$810,$A$4:$A$810,$A568,$E$4:$E$810,"Win")/COUNTIFS($A$4:$A$810,$A568,$E$4:$E$810,"Win"),0))</f>
        <v>0</v>
      </c>
      <c r="Z568">
        <f t="shared" ref="Z568:Z631" si="168">IF($D568="",0,1/(1+10^(($Y568-$U568)/400)))</f>
        <v>0</v>
      </c>
      <c r="AA568">
        <f>IF($D568="",0,IF($F568&lt;2,0,IF($E568="Win",('Guide &amp; Settings'!$C$42/(($F568-1)*COUNTIFS($A$4:$A$810,$A568,$E$4:$E$810,"Win")))*SUMIFS($Z$4:$Z$810,$A$4:$A$810,$A568,$E$4:$E$810,"Loss"),-('Guide &amp; Settings'!$C$42/($F568-1))*$Z568)))</f>
        <v>0</v>
      </c>
      <c r="AB568" s="120">
        <f t="shared" ref="AB568:AB631" si="169">IF($D568="",0,$U568+$AA568)</f>
        <v>0</v>
      </c>
      <c r="AC568" s="120" t="str">
        <f>IF($D568="","",IF(SUMPRODUCT(MAX(($D$4:$D$810=$D568)*($B$4:$B$810&lt;$B568)*$B$4:$B$810))=0,0,MAX(($B568-MAX(SUMPRODUCT(MAX(($D$4:$D$810=$D568)*($B$4:$B$810&lt;$B568)*$B$4:$B$810)),'Guide &amp; Settings'!$C$50))/7-'Guide &amp; Settings'!$C$48,0)*'Guide &amp; Settings'!$C$49))</f>
        <v/>
      </c>
    </row>
    <row r="569" spans="1:29" x14ac:dyDescent="0.2">
      <c r="A569" s="111"/>
      <c r="B569" s="112"/>
      <c r="C569" s="113"/>
      <c r="D569" s="113"/>
      <c r="E569" s="111"/>
      <c r="F569" s="114">
        <f t="shared" si="153"/>
        <v>0</v>
      </c>
      <c r="G569" s="115" t="str">
        <f t="shared" si="154"/>
        <v/>
      </c>
      <c r="H569" s="116">
        <f>IF($D569="",0,IFERROR(LOOKUP(2,1/(($D$3:D568=$D569)*($A$3:A568&lt;$A569)),$N$3:N568),'Guide &amp; Settings'!$C$41))</f>
        <v>0</v>
      </c>
      <c r="I569" s="117">
        <f t="shared" si="155"/>
        <v>0</v>
      </c>
      <c r="J569" s="118">
        <f>IF($D569="",0,IF($F569&lt;2,0,IF($E569="Win",('Guide &amp; Settings'!$C$42/(($F569-1)*COUNTIFS($A$4:$A$810,$A569,$E$4:$E$810,"Win")))*SUMIFS($X$4:$X$810,$A$4:$A$810,$A569,$E$4:$E$810,"Loss"),-('Guide &amp; Settings'!$C$42/($F569-1))*$X569)))</f>
        <v>0</v>
      </c>
      <c r="K569" s="118">
        <f>IF($D569="",0,'Guide &amp; Settings'!$C$43*(IF($E569="Win",1,0)-$I569))</f>
        <v>0</v>
      </c>
      <c r="L569" s="119">
        <f>IF($D569="",0,'Guide &amp; Settings'!$C$44*IF($F569&gt;=3,$F569,0))</f>
        <v>0</v>
      </c>
      <c r="M569" s="118">
        <f t="shared" si="156"/>
        <v>0</v>
      </c>
      <c r="N569" s="116">
        <f t="shared" si="157"/>
        <v>0</v>
      </c>
      <c r="O569" s="115" t="str">
        <f t="shared" si="158"/>
        <v/>
      </c>
      <c r="P569">
        <f t="shared" si="159"/>
        <v>0</v>
      </c>
      <c r="Q569">
        <f t="shared" si="160"/>
        <v>0</v>
      </c>
      <c r="R569">
        <f t="shared" si="161"/>
        <v>0</v>
      </c>
      <c r="S569">
        <f t="shared" si="162"/>
        <v>0</v>
      </c>
      <c r="T569" s="83">
        <f t="shared" si="163"/>
        <v>0</v>
      </c>
      <c r="U569" s="120">
        <f>IF($D569="",0,IFERROR(LOOKUP(2,1/(($D$3:D568=$D569)*($C$3:C568=$C569)*($A$3:A568&lt;$A569)),$AB$3:AB568),1000))</f>
        <v>0</v>
      </c>
      <c r="V569" s="120">
        <f t="shared" si="164"/>
        <v>0</v>
      </c>
      <c r="W569">
        <f t="shared" si="165"/>
        <v>0</v>
      </c>
      <c r="X569">
        <f t="shared" si="166"/>
        <v>0</v>
      </c>
      <c r="Y569">
        <f t="shared" si="167"/>
        <v>0</v>
      </c>
      <c r="Z569">
        <f t="shared" si="168"/>
        <v>0</v>
      </c>
      <c r="AA569">
        <f>IF($D569="",0,IF($F569&lt;2,0,IF($E569="Win",('Guide &amp; Settings'!$C$42/(($F569-1)*COUNTIFS($A$4:$A$810,$A569,$E$4:$E$810,"Win")))*SUMIFS($Z$4:$Z$810,$A$4:$A$810,$A569,$E$4:$E$810,"Loss"),-('Guide &amp; Settings'!$C$42/($F569-1))*$Z569)))</f>
        <v>0</v>
      </c>
      <c r="AB569" s="120">
        <f t="shared" si="169"/>
        <v>0</v>
      </c>
      <c r="AC569" s="120" t="str">
        <f>IF($D569="","",IF(SUMPRODUCT(MAX(($D$4:$D$810=$D569)*($B$4:$B$810&lt;$B569)*$B$4:$B$810))=0,0,MAX(($B569-MAX(SUMPRODUCT(MAX(($D$4:$D$810=$D569)*($B$4:$B$810&lt;$B569)*$B$4:$B$810)),'Guide &amp; Settings'!$C$50))/7-'Guide &amp; Settings'!$C$48,0)*'Guide &amp; Settings'!$C$49))</f>
        <v/>
      </c>
    </row>
    <row r="570" spans="1:29" x14ac:dyDescent="0.2">
      <c r="A570" s="111"/>
      <c r="B570" s="112"/>
      <c r="C570" s="113"/>
      <c r="D570" s="113"/>
      <c r="E570" s="111"/>
      <c r="F570" s="114">
        <f t="shared" si="153"/>
        <v>0</v>
      </c>
      <c r="G570" s="115" t="str">
        <f t="shared" si="154"/>
        <v/>
      </c>
      <c r="H570" s="116">
        <f>IF($D570="",0,IFERROR(LOOKUP(2,1/(($D$3:D569=$D570)*($A$3:A569&lt;$A570)),$N$3:N569),'Guide &amp; Settings'!$C$41))</f>
        <v>0</v>
      </c>
      <c r="I570" s="117">
        <f t="shared" si="155"/>
        <v>0</v>
      </c>
      <c r="J570" s="118">
        <f>IF($D570="",0,IF($F570&lt;2,0,IF($E570="Win",('Guide &amp; Settings'!$C$42/(($F570-1)*COUNTIFS($A$4:$A$810,$A570,$E$4:$E$810,"Win")))*SUMIFS($X$4:$X$810,$A$4:$A$810,$A570,$E$4:$E$810,"Loss"),-('Guide &amp; Settings'!$C$42/($F570-1))*$X570)))</f>
        <v>0</v>
      </c>
      <c r="K570" s="118">
        <f>IF($D570="",0,'Guide &amp; Settings'!$C$43*(IF($E570="Win",1,0)-$I570))</f>
        <v>0</v>
      </c>
      <c r="L570" s="119">
        <f>IF($D570="",0,'Guide &amp; Settings'!$C$44*IF($F570&gt;=3,$F570,0))</f>
        <v>0</v>
      </c>
      <c r="M570" s="118">
        <f t="shared" si="156"/>
        <v>0</v>
      </c>
      <c r="N570" s="116">
        <f t="shared" si="157"/>
        <v>0</v>
      </c>
      <c r="O570" s="115" t="str">
        <f t="shared" si="158"/>
        <v/>
      </c>
      <c r="P570">
        <f t="shared" si="159"/>
        <v>0</v>
      </c>
      <c r="Q570">
        <f t="shared" si="160"/>
        <v>0</v>
      </c>
      <c r="R570">
        <f t="shared" si="161"/>
        <v>0</v>
      </c>
      <c r="S570">
        <f t="shared" si="162"/>
        <v>0</v>
      </c>
      <c r="T570" s="83">
        <f t="shared" si="163"/>
        <v>0</v>
      </c>
      <c r="U570" s="120">
        <f>IF($D570="",0,IFERROR(LOOKUP(2,1/(($D$3:D569=$D570)*($C$3:C569=$C570)*($A$3:A569&lt;$A570)),$AB$3:AB569),1000))</f>
        <v>0</v>
      </c>
      <c r="V570" s="120">
        <f t="shared" si="164"/>
        <v>0</v>
      </c>
      <c r="W570">
        <f t="shared" si="165"/>
        <v>0</v>
      </c>
      <c r="X570">
        <f t="shared" si="166"/>
        <v>0</v>
      </c>
      <c r="Y570">
        <f t="shared" si="167"/>
        <v>0</v>
      </c>
      <c r="Z570">
        <f t="shared" si="168"/>
        <v>0</v>
      </c>
      <c r="AA570">
        <f>IF($D570="",0,IF($F570&lt;2,0,IF($E570="Win",('Guide &amp; Settings'!$C$42/(($F570-1)*COUNTIFS($A$4:$A$810,$A570,$E$4:$E$810,"Win")))*SUMIFS($Z$4:$Z$810,$A$4:$A$810,$A570,$E$4:$E$810,"Loss"),-('Guide &amp; Settings'!$C$42/($F570-1))*$Z570)))</f>
        <v>0</v>
      </c>
      <c r="AB570" s="120">
        <f t="shared" si="169"/>
        <v>0</v>
      </c>
      <c r="AC570" s="120" t="str">
        <f>IF($D570="","",IF(SUMPRODUCT(MAX(($D$4:$D$810=$D570)*($B$4:$B$810&lt;$B570)*$B$4:$B$810))=0,0,MAX(($B570-MAX(SUMPRODUCT(MAX(($D$4:$D$810=$D570)*($B$4:$B$810&lt;$B570)*$B$4:$B$810)),'Guide &amp; Settings'!$C$50))/7-'Guide &amp; Settings'!$C$48,0)*'Guide &amp; Settings'!$C$49))</f>
        <v/>
      </c>
    </row>
    <row r="571" spans="1:29" x14ac:dyDescent="0.2">
      <c r="A571" s="111"/>
      <c r="B571" s="112"/>
      <c r="C571" s="113"/>
      <c r="D571" s="113"/>
      <c r="E571" s="111"/>
      <c r="F571" s="114">
        <f t="shared" si="153"/>
        <v>0</v>
      </c>
      <c r="G571" s="115" t="str">
        <f t="shared" si="154"/>
        <v/>
      </c>
      <c r="H571" s="116">
        <f>IF($D571="",0,IFERROR(LOOKUP(2,1/(($D$3:D570=$D571)*($A$3:A570&lt;$A571)),$N$3:N570),'Guide &amp; Settings'!$C$41))</f>
        <v>0</v>
      </c>
      <c r="I571" s="117">
        <f t="shared" si="155"/>
        <v>0</v>
      </c>
      <c r="J571" s="118">
        <f>IF($D571="",0,IF($F571&lt;2,0,IF($E571="Win",('Guide &amp; Settings'!$C$42/(($F571-1)*COUNTIFS($A$4:$A$810,$A571,$E$4:$E$810,"Win")))*SUMIFS($X$4:$X$810,$A$4:$A$810,$A571,$E$4:$E$810,"Loss"),-('Guide &amp; Settings'!$C$42/($F571-1))*$X571)))</f>
        <v>0</v>
      </c>
      <c r="K571" s="118">
        <f>IF($D571="",0,'Guide &amp; Settings'!$C$43*(IF($E571="Win",1,0)-$I571))</f>
        <v>0</v>
      </c>
      <c r="L571" s="119">
        <f>IF($D571="",0,'Guide &amp; Settings'!$C$44*IF($F571&gt;=3,$F571,0))</f>
        <v>0</v>
      </c>
      <c r="M571" s="118">
        <f t="shared" si="156"/>
        <v>0</v>
      </c>
      <c r="N571" s="116">
        <f t="shared" si="157"/>
        <v>0</v>
      </c>
      <c r="O571" s="115" t="str">
        <f t="shared" si="158"/>
        <v/>
      </c>
      <c r="P571">
        <f t="shared" si="159"/>
        <v>0</v>
      </c>
      <c r="Q571">
        <f t="shared" si="160"/>
        <v>0</v>
      </c>
      <c r="R571">
        <f t="shared" si="161"/>
        <v>0</v>
      </c>
      <c r="S571">
        <f t="shared" si="162"/>
        <v>0</v>
      </c>
      <c r="T571" s="83">
        <f t="shared" si="163"/>
        <v>0</v>
      </c>
      <c r="U571" s="120">
        <f>IF($D571="",0,IFERROR(LOOKUP(2,1/(($D$3:D570=$D571)*($C$3:C570=$C571)*($A$3:A570&lt;$A571)),$AB$3:AB570),1000))</f>
        <v>0</v>
      </c>
      <c r="V571" s="120">
        <f t="shared" si="164"/>
        <v>0</v>
      </c>
      <c r="W571">
        <f t="shared" si="165"/>
        <v>0</v>
      </c>
      <c r="X571">
        <f t="shared" si="166"/>
        <v>0</v>
      </c>
      <c r="Y571">
        <f t="shared" si="167"/>
        <v>0</v>
      </c>
      <c r="Z571">
        <f t="shared" si="168"/>
        <v>0</v>
      </c>
      <c r="AA571">
        <f>IF($D571="",0,IF($F571&lt;2,0,IF($E571="Win",('Guide &amp; Settings'!$C$42/(($F571-1)*COUNTIFS($A$4:$A$810,$A571,$E$4:$E$810,"Win")))*SUMIFS($Z$4:$Z$810,$A$4:$A$810,$A571,$E$4:$E$810,"Loss"),-('Guide &amp; Settings'!$C$42/($F571-1))*$Z571)))</f>
        <v>0</v>
      </c>
      <c r="AB571" s="120">
        <f t="shared" si="169"/>
        <v>0</v>
      </c>
      <c r="AC571" s="120" t="str">
        <f>IF($D571="","",IF(SUMPRODUCT(MAX(($D$4:$D$810=$D571)*($B$4:$B$810&lt;$B571)*$B$4:$B$810))=0,0,MAX(($B571-MAX(SUMPRODUCT(MAX(($D$4:$D$810=$D571)*($B$4:$B$810&lt;$B571)*$B$4:$B$810)),'Guide &amp; Settings'!$C$50))/7-'Guide &amp; Settings'!$C$48,0)*'Guide &amp; Settings'!$C$49))</f>
        <v/>
      </c>
    </row>
    <row r="572" spans="1:29" x14ac:dyDescent="0.2">
      <c r="A572" s="111"/>
      <c r="B572" s="112"/>
      <c r="C572" s="113"/>
      <c r="D572" s="113"/>
      <c r="E572" s="111"/>
      <c r="F572" s="114">
        <f t="shared" si="153"/>
        <v>0</v>
      </c>
      <c r="G572" s="115" t="str">
        <f t="shared" si="154"/>
        <v/>
      </c>
      <c r="H572" s="116">
        <f>IF($D572="",0,IFERROR(LOOKUP(2,1/(($D$3:D571=$D572)*($A$3:A571&lt;$A572)),$N$3:N571),'Guide &amp; Settings'!$C$41))</f>
        <v>0</v>
      </c>
      <c r="I572" s="117">
        <f t="shared" si="155"/>
        <v>0</v>
      </c>
      <c r="J572" s="118">
        <f>IF($D572="",0,IF($F572&lt;2,0,IF($E572="Win",('Guide &amp; Settings'!$C$42/(($F572-1)*COUNTIFS($A$4:$A$810,$A572,$E$4:$E$810,"Win")))*SUMIFS($X$4:$X$810,$A$4:$A$810,$A572,$E$4:$E$810,"Loss"),-('Guide &amp; Settings'!$C$42/($F572-1))*$X572)))</f>
        <v>0</v>
      </c>
      <c r="K572" s="118">
        <f>IF($D572="",0,'Guide &amp; Settings'!$C$43*(IF($E572="Win",1,0)-$I572))</f>
        <v>0</v>
      </c>
      <c r="L572" s="119">
        <f>IF($D572="",0,'Guide &amp; Settings'!$C$44*IF($F572&gt;=3,$F572,0))</f>
        <v>0</v>
      </c>
      <c r="M572" s="118">
        <f t="shared" si="156"/>
        <v>0</v>
      </c>
      <c r="N572" s="116">
        <f t="shared" si="157"/>
        <v>0</v>
      </c>
      <c r="O572" s="115" t="str">
        <f t="shared" si="158"/>
        <v/>
      </c>
      <c r="P572">
        <f t="shared" si="159"/>
        <v>0</v>
      </c>
      <c r="Q572">
        <f t="shared" si="160"/>
        <v>0</v>
      </c>
      <c r="R572">
        <f t="shared" si="161"/>
        <v>0</v>
      </c>
      <c r="S572">
        <f t="shared" si="162"/>
        <v>0</v>
      </c>
      <c r="T572" s="83">
        <f t="shared" si="163"/>
        <v>0</v>
      </c>
      <c r="U572" s="120">
        <f>IF($D572="",0,IFERROR(LOOKUP(2,1/(($D$3:D571=$D572)*($C$3:C571=$C572)*($A$3:A571&lt;$A572)),$AB$3:AB571),1000))</f>
        <v>0</v>
      </c>
      <c r="V572" s="120">
        <f t="shared" si="164"/>
        <v>0</v>
      </c>
      <c r="W572">
        <f t="shared" si="165"/>
        <v>0</v>
      </c>
      <c r="X572">
        <f t="shared" si="166"/>
        <v>0</v>
      </c>
      <c r="Y572">
        <f t="shared" si="167"/>
        <v>0</v>
      </c>
      <c r="Z572">
        <f t="shared" si="168"/>
        <v>0</v>
      </c>
      <c r="AA572">
        <f>IF($D572="",0,IF($F572&lt;2,0,IF($E572="Win",('Guide &amp; Settings'!$C$42/(($F572-1)*COUNTIFS($A$4:$A$810,$A572,$E$4:$E$810,"Win")))*SUMIFS($Z$4:$Z$810,$A$4:$A$810,$A572,$E$4:$E$810,"Loss"),-('Guide &amp; Settings'!$C$42/($F572-1))*$Z572)))</f>
        <v>0</v>
      </c>
      <c r="AB572" s="120">
        <f t="shared" si="169"/>
        <v>0</v>
      </c>
      <c r="AC572" s="120" t="str">
        <f>IF($D572="","",IF(SUMPRODUCT(MAX(($D$4:$D$810=$D572)*($B$4:$B$810&lt;$B572)*$B$4:$B$810))=0,0,MAX(($B572-MAX(SUMPRODUCT(MAX(($D$4:$D$810=$D572)*($B$4:$B$810&lt;$B572)*$B$4:$B$810)),'Guide &amp; Settings'!$C$50))/7-'Guide &amp; Settings'!$C$48,0)*'Guide &amp; Settings'!$C$49))</f>
        <v/>
      </c>
    </row>
    <row r="573" spans="1:29" x14ac:dyDescent="0.2">
      <c r="A573" s="111"/>
      <c r="B573" s="112"/>
      <c r="C573" s="113"/>
      <c r="D573" s="113"/>
      <c r="E573" s="111"/>
      <c r="F573" s="114">
        <f t="shared" si="153"/>
        <v>0</v>
      </c>
      <c r="G573" s="115" t="str">
        <f t="shared" si="154"/>
        <v/>
      </c>
      <c r="H573" s="116">
        <f>IF($D573="",0,IFERROR(LOOKUP(2,1/(($D$3:D572=$D573)*($A$3:A572&lt;$A573)),$N$3:N572),'Guide &amp; Settings'!$C$41))</f>
        <v>0</v>
      </c>
      <c r="I573" s="117">
        <f t="shared" si="155"/>
        <v>0</v>
      </c>
      <c r="J573" s="118">
        <f>IF($D573="",0,IF($F573&lt;2,0,IF($E573="Win",('Guide &amp; Settings'!$C$42/(($F573-1)*COUNTIFS($A$4:$A$810,$A573,$E$4:$E$810,"Win")))*SUMIFS($X$4:$X$810,$A$4:$A$810,$A573,$E$4:$E$810,"Loss"),-('Guide &amp; Settings'!$C$42/($F573-1))*$X573)))</f>
        <v>0</v>
      </c>
      <c r="K573" s="118">
        <f>IF($D573="",0,'Guide &amp; Settings'!$C$43*(IF($E573="Win",1,0)-$I573))</f>
        <v>0</v>
      </c>
      <c r="L573" s="119">
        <f>IF($D573="",0,'Guide &amp; Settings'!$C$44*IF($F573&gt;=3,$F573,0))</f>
        <v>0</v>
      </c>
      <c r="M573" s="118">
        <f t="shared" si="156"/>
        <v>0</v>
      </c>
      <c r="N573" s="116">
        <f t="shared" si="157"/>
        <v>0</v>
      </c>
      <c r="O573" s="115" t="str">
        <f t="shared" si="158"/>
        <v/>
      </c>
      <c r="P573">
        <f t="shared" si="159"/>
        <v>0</v>
      </c>
      <c r="Q573">
        <f t="shared" si="160"/>
        <v>0</v>
      </c>
      <c r="R573">
        <f t="shared" si="161"/>
        <v>0</v>
      </c>
      <c r="S573">
        <f t="shared" si="162"/>
        <v>0</v>
      </c>
      <c r="T573" s="83">
        <f t="shared" si="163"/>
        <v>0</v>
      </c>
      <c r="U573" s="120">
        <f>IF($D573="",0,IFERROR(LOOKUP(2,1/(($D$3:D572=$D573)*($C$3:C572=$C573)*($A$3:A572&lt;$A573)),$AB$3:AB572),1000))</f>
        <v>0</v>
      </c>
      <c r="V573" s="120">
        <f t="shared" si="164"/>
        <v>0</v>
      </c>
      <c r="W573">
        <f t="shared" si="165"/>
        <v>0</v>
      </c>
      <c r="X573">
        <f t="shared" si="166"/>
        <v>0</v>
      </c>
      <c r="Y573">
        <f t="shared" si="167"/>
        <v>0</v>
      </c>
      <c r="Z573">
        <f t="shared" si="168"/>
        <v>0</v>
      </c>
      <c r="AA573">
        <f>IF($D573="",0,IF($F573&lt;2,0,IF($E573="Win",('Guide &amp; Settings'!$C$42/(($F573-1)*COUNTIFS($A$4:$A$810,$A573,$E$4:$E$810,"Win")))*SUMIFS($Z$4:$Z$810,$A$4:$A$810,$A573,$E$4:$E$810,"Loss"),-('Guide &amp; Settings'!$C$42/($F573-1))*$Z573)))</f>
        <v>0</v>
      </c>
      <c r="AB573" s="120">
        <f t="shared" si="169"/>
        <v>0</v>
      </c>
      <c r="AC573" s="120" t="str">
        <f>IF($D573="","",IF(SUMPRODUCT(MAX(($D$4:$D$810=$D573)*($B$4:$B$810&lt;$B573)*$B$4:$B$810))=0,0,MAX(($B573-MAX(SUMPRODUCT(MAX(($D$4:$D$810=$D573)*($B$4:$B$810&lt;$B573)*$B$4:$B$810)),'Guide &amp; Settings'!$C$50))/7-'Guide &amp; Settings'!$C$48,0)*'Guide &amp; Settings'!$C$49))</f>
        <v/>
      </c>
    </row>
    <row r="574" spans="1:29" x14ac:dyDescent="0.2">
      <c r="A574" s="111"/>
      <c r="B574" s="112"/>
      <c r="C574" s="113"/>
      <c r="D574" s="113"/>
      <c r="E574" s="111"/>
      <c r="F574" s="114">
        <f t="shared" si="153"/>
        <v>0</v>
      </c>
      <c r="G574" s="115" t="str">
        <f t="shared" si="154"/>
        <v/>
      </c>
      <c r="H574" s="116">
        <f>IF($D574="",0,IFERROR(LOOKUP(2,1/(($D$3:D573=$D574)*($A$3:A573&lt;$A574)),$N$3:N573),'Guide &amp; Settings'!$C$41))</f>
        <v>0</v>
      </c>
      <c r="I574" s="117">
        <f t="shared" si="155"/>
        <v>0</v>
      </c>
      <c r="J574" s="118">
        <f>IF($D574="",0,IF($F574&lt;2,0,IF($E574="Win",('Guide &amp; Settings'!$C$42/(($F574-1)*COUNTIFS($A$4:$A$810,$A574,$E$4:$E$810,"Win")))*SUMIFS($X$4:$X$810,$A$4:$A$810,$A574,$E$4:$E$810,"Loss"),-('Guide &amp; Settings'!$C$42/($F574-1))*$X574)))</f>
        <v>0</v>
      </c>
      <c r="K574" s="118">
        <f>IF($D574="",0,'Guide &amp; Settings'!$C$43*(IF($E574="Win",1,0)-$I574))</f>
        <v>0</v>
      </c>
      <c r="L574" s="119">
        <f>IF($D574="",0,'Guide &amp; Settings'!$C$44*IF($F574&gt;=3,$F574,0))</f>
        <v>0</v>
      </c>
      <c r="M574" s="118">
        <f t="shared" si="156"/>
        <v>0</v>
      </c>
      <c r="N574" s="116">
        <f t="shared" si="157"/>
        <v>0</v>
      </c>
      <c r="O574" s="115" t="str">
        <f t="shared" si="158"/>
        <v/>
      </c>
      <c r="P574">
        <f t="shared" si="159"/>
        <v>0</v>
      </c>
      <c r="Q574">
        <f t="shared" si="160"/>
        <v>0</v>
      </c>
      <c r="R574">
        <f t="shared" si="161"/>
        <v>0</v>
      </c>
      <c r="S574">
        <f t="shared" si="162"/>
        <v>0</v>
      </c>
      <c r="T574" s="83">
        <f t="shared" si="163"/>
        <v>0</v>
      </c>
      <c r="U574" s="120">
        <f>IF($D574="",0,IFERROR(LOOKUP(2,1/(($D$3:D573=$D574)*($C$3:C573=$C574)*($A$3:A573&lt;$A574)),$AB$3:AB573),1000))</f>
        <v>0</v>
      </c>
      <c r="V574" s="120">
        <f t="shared" si="164"/>
        <v>0</v>
      </c>
      <c r="W574">
        <f t="shared" si="165"/>
        <v>0</v>
      </c>
      <c r="X574">
        <f t="shared" si="166"/>
        <v>0</v>
      </c>
      <c r="Y574">
        <f t="shared" si="167"/>
        <v>0</v>
      </c>
      <c r="Z574">
        <f t="shared" si="168"/>
        <v>0</v>
      </c>
      <c r="AA574">
        <f>IF($D574="",0,IF($F574&lt;2,0,IF($E574="Win",('Guide &amp; Settings'!$C$42/(($F574-1)*COUNTIFS($A$4:$A$810,$A574,$E$4:$E$810,"Win")))*SUMIFS($Z$4:$Z$810,$A$4:$A$810,$A574,$E$4:$E$810,"Loss"),-('Guide &amp; Settings'!$C$42/($F574-1))*$Z574)))</f>
        <v>0</v>
      </c>
      <c r="AB574" s="120">
        <f t="shared" si="169"/>
        <v>0</v>
      </c>
      <c r="AC574" s="120" t="str">
        <f>IF($D574="","",IF(SUMPRODUCT(MAX(($D$4:$D$810=$D574)*($B$4:$B$810&lt;$B574)*$B$4:$B$810))=0,0,MAX(($B574-MAX(SUMPRODUCT(MAX(($D$4:$D$810=$D574)*($B$4:$B$810&lt;$B574)*$B$4:$B$810)),'Guide &amp; Settings'!$C$50))/7-'Guide &amp; Settings'!$C$48,0)*'Guide &amp; Settings'!$C$49))</f>
        <v/>
      </c>
    </row>
    <row r="575" spans="1:29" x14ac:dyDescent="0.2">
      <c r="A575" s="111"/>
      <c r="B575" s="112"/>
      <c r="C575" s="113"/>
      <c r="D575" s="113"/>
      <c r="E575" s="111"/>
      <c r="F575" s="114">
        <f t="shared" si="153"/>
        <v>0</v>
      </c>
      <c r="G575" s="115" t="str">
        <f t="shared" si="154"/>
        <v/>
      </c>
      <c r="H575" s="116">
        <f>IF($D575="",0,IFERROR(LOOKUP(2,1/(($D$3:D574=$D575)*($A$3:A574&lt;$A575)),$N$3:N574),'Guide &amp; Settings'!$C$41))</f>
        <v>0</v>
      </c>
      <c r="I575" s="117">
        <f t="shared" si="155"/>
        <v>0</v>
      </c>
      <c r="J575" s="118">
        <f>IF($D575="",0,IF($F575&lt;2,0,IF($E575="Win",('Guide &amp; Settings'!$C$42/(($F575-1)*COUNTIFS($A$4:$A$810,$A575,$E$4:$E$810,"Win")))*SUMIFS($X$4:$X$810,$A$4:$A$810,$A575,$E$4:$E$810,"Loss"),-('Guide &amp; Settings'!$C$42/($F575-1))*$X575)))</f>
        <v>0</v>
      </c>
      <c r="K575" s="118">
        <f>IF($D575="",0,'Guide &amp; Settings'!$C$43*(IF($E575="Win",1,0)-$I575))</f>
        <v>0</v>
      </c>
      <c r="L575" s="119">
        <f>IF($D575="",0,'Guide &amp; Settings'!$C$44*IF($F575&gt;=3,$F575,0))</f>
        <v>0</v>
      </c>
      <c r="M575" s="118">
        <f t="shared" si="156"/>
        <v>0</v>
      </c>
      <c r="N575" s="116">
        <f t="shared" si="157"/>
        <v>0</v>
      </c>
      <c r="O575" s="115" t="str">
        <f t="shared" si="158"/>
        <v/>
      </c>
      <c r="P575">
        <f t="shared" si="159"/>
        <v>0</v>
      </c>
      <c r="Q575">
        <f t="shared" si="160"/>
        <v>0</v>
      </c>
      <c r="R575">
        <f t="shared" si="161"/>
        <v>0</v>
      </c>
      <c r="S575">
        <f t="shared" si="162"/>
        <v>0</v>
      </c>
      <c r="T575" s="83">
        <f t="shared" si="163"/>
        <v>0</v>
      </c>
      <c r="U575" s="120">
        <f>IF($D575="",0,IFERROR(LOOKUP(2,1/(($D$3:D574=$D575)*($C$3:C574=$C575)*($A$3:A574&lt;$A575)),$AB$3:AB574),1000))</f>
        <v>0</v>
      </c>
      <c r="V575" s="120">
        <f t="shared" si="164"/>
        <v>0</v>
      </c>
      <c r="W575">
        <f t="shared" si="165"/>
        <v>0</v>
      </c>
      <c r="X575">
        <f t="shared" si="166"/>
        <v>0</v>
      </c>
      <c r="Y575">
        <f t="shared" si="167"/>
        <v>0</v>
      </c>
      <c r="Z575">
        <f t="shared" si="168"/>
        <v>0</v>
      </c>
      <c r="AA575">
        <f>IF($D575="",0,IF($F575&lt;2,0,IF($E575="Win",('Guide &amp; Settings'!$C$42/(($F575-1)*COUNTIFS($A$4:$A$810,$A575,$E$4:$E$810,"Win")))*SUMIFS($Z$4:$Z$810,$A$4:$A$810,$A575,$E$4:$E$810,"Loss"),-('Guide &amp; Settings'!$C$42/($F575-1))*$Z575)))</f>
        <v>0</v>
      </c>
      <c r="AB575" s="120">
        <f t="shared" si="169"/>
        <v>0</v>
      </c>
      <c r="AC575" s="120" t="str">
        <f>IF($D575="","",IF(SUMPRODUCT(MAX(($D$4:$D$810=$D575)*($B$4:$B$810&lt;$B575)*$B$4:$B$810))=0,0,MAX(($B575-MAX(SUMPRODUCT(MAX(($D$4:$D$810=$D575)*($B$4:$B$810&lt;$B575)*$B$4:$B$810)),'Guide &amp; Settings'!$C$50))/7-'Guide &amp; Settings'!$C$48,0)*'Guide &amp; Settings'!$C$49))</f>
        <v/>
      </c>
    </row>
    <row r="576" spans="1:29" x14ac:dyDescent="0.2">
      <c r="A576" s="111"/>
      <c r="B576" s="112"/>
      <c r="C576" s="113"/>
      <c r="D576" s="113"/>
      <c r="E576" s="111"/>
      <c r="F576" s="114">
        <f t="shared" si="153"/>
        <v>0</v>
      </c>
      <c r="G576" s="115" t="str">
        <f t="shared" si="154"/>
        <v/>
      </c>
      <c r="H576" s="116">
        <f>IF($D576="",0,IFERROR(LOOKUP(2,1/(($D$3:D575=$D576)*($A$3:A575&lt;$A576)),$N$3:N575),'Guide &amp; Settings'!$C$41))</f>
        <v>0</v>
      </c>
      <c r="I576" s="117">
        <f t="shared" si="155"/>
        <v>0</v>
      </c>
      <c r="J576" s="118">
        <f>IF($D576="",0,IF($F576&lt;2,0,IF($E576="Win",('Guide &amp; Settings'!$C$42/(($F576-1)*COUNTIFS($A$4:$A$810,$A576,$E$4:$E$810,"Win")))*SUMIFS($X$4:$X$810,$A$4:$A$810,$A576,$E$4:$E$810,"Loss"),-('Guide &amp; Settings'!$C$42/($F576-1))*$X576)))</f>
        <v>0</v>
      </c>
      <c r="K576" s="118">
        <f>IF($D576="",0,'Guide &amp; Settings'!$C$43*(IF($E576="Win",1,0)-$I576))</f>
        <v>0</v>
      </c>
      <c r="L576" s="119">
        <f>IF($D576="",0,'Guide &amp; Settings'!$C$44*IF($F576&gt;=3,$F576,0))</f>
        <v>0</v>
      </c>
      <c r="M576" s="118">
        <f t="shared" si="156"/>
        <v>0</v>
      </c>
      <c r="N576" s="116">
        <f t="shared" si="157"/>
        <v>0</v>
      </c>
      <c r="O576" s="115" t="str">
        <f t="shared" si="158"/>
        <v/>
      </c>
      <c r="P576">
        <f t="shared" si="159"/>
        <v>0</v>
      </c>
      <c r="Q576">
        <f t="shared" si="160"/>
        <v>0</v>
      </c>
      <c r="R576">
        <f t="shared" si="161"/>
        <v>0</v>
      </c>
      <c r="S576">
        <f t="shared" si="162"/>
        <v>0</v>
      </c>
      <c r="T576" s="83">
        <f t="shared" si="163"/>
        <v>0</v>
      </c>
      <c r="U576" s="120">
        <f>IF($D576="",0,IFERROR(LOOKUP(2,1/(($D$3:D575=$D576)*($C$3:C575=$C576)*($A$3:A575&lt;$A576)),$AB$3:AB575),1000))</f>
        <v>0</v>
      </c>
      <c r="V576" s="120">
        <f t="shared" si="164"/>
        <v>0</v>
      </c>
      <c r="W576">
        <f t="shared" si="165"/>
        <v>0</v>
      </c>
      <c r="X576">
        <f t="shared" si="166"/>
        <v>0</v>
      </c>
      <c r="Y576">
        <f t="shared" si="167"/>
        <v>0</v>
      </c>
      <c r="Z576">
        <f t="shared" si="168"/>
        <v>0</v>
      </c>
      <c r="AA576">
        <f>IF($D576="",0,IF($F576&lt;2,0,IF($E576="Win",('Guide &amp; Settings'!$C$42/(($F576-1)*COUNTIFS($A$4:$A$810,$A576,$E$4:$E$810,"Win")))*SUMIFS($Z$4:$Z$810,$A$4:$A$810,$A576,$E$4:$E$810,"Loss"),-('Guide &amp; Settings'!$C$42/($F576-1))*$Z576)))</f>
        <v>0</v>
      </c>
      <c r="AB576" s="120">
        <f t="shared" si="169"/>
        <v>0</v>
      </c>
      <c r="AC576" s="120" t="str">
        <f>IF($D576="","",IF(SUMPRODUCT(MAX(($D$4:$D$810=$D576)*($B$4:$B$810&lt;$B576)*$B$4:$B$810))=0,0,MAX(($B576-MAX(SUMPRODUCT(MAX(($D$4:$D$810=$D576)*($B$4:$B$810&lt;$B576)*$B$4:$B$810)),'Guide &amp; Settings'!$C$50))/7-'Guide &amp; Settings'!$C$48,0)*'Guide &amp; Settings'!$C$49))</f>
        <v/>
      </c>
    </row>
    <row r="577" spans="1:29" x14ac:dyDescent="0.2">
      <c r="A577" s="111"/>
      <c r="B577" s="112"/>
      <c r="C577" s="113"/>
      <c r="D577" s="113"/>
      <c r="E577" s="111"/>
      <c r="F577" s="114">
        <f t="shared" si="153"/>
        <v>0</v>
      </c>
      <c r="G577" s="115" t="str">
        <f t="shared" si="154"/>
        <v/>
      </c>
      <c r="H577" s="116">
        <f>IF($D577="",0,IFERROR(LOOKUP(2,1/(($D$3:D576=$D577)*($A$3:A576&lt;$A577)),$N$3:N576),'Guide &amp; Settings'!$C$41))</f>
        <v>0</v>
      </c>
      <c r="I577" s="117">
        <f t="shared" si="155"/>
        <v>0</v>
      </c>
      <c r="J577" s="118">
        <f>IF($D577="",0,IF($F577&lt;2,0,IF($E577="Win",('Guide &amp; Settings'!$C$42/(($F577-1)*COUNTIFS($A$4:$A$810,$A577,$E$4:$E$810,"Win")))*SUMIFS($X$4:$X$810,$A$4:$A$810,$A577,$E$4:$E$810,"Loss"),-('Guide &amp; Settings'!$C$42/($F577-1))*$X577)))</f>
        <v>0</v>
      </c>
      <c r="K577" s="118">
        <f>IF($D577="",0,'Guide &amp; Settings'!$C$43*(IF($E577="Win",1,0)-$I577))</f>
        <v>0</v>
      </c>
      <c r="L577" s="119">
        <f>IF($D577="",0,'Guide &amp; Settings'!$C$44*IF($F577&gt;=3,$F577,0))</f>
        <v>0</v>
      </c>
      <c r="M577" s="118">
        <f t="shared" si="156"/>
        <v>0</v>
      </c>
      <c r="N577" s="116">
        <f t="shared" si="157"/>
        <v>0</v>
      </c>
      <c r="O577" s="115" t="str">
        <f t="shared" si="158"/>
        <v/>
      </c>
      <c r="P577">
        <f t="shared" si="159"/>
        <v>0</v>
      </c>
      <c r="Q577">
        <f t="shared" si="160"/>
        <v>0</v>
      </c>
      <c r="R577">
        <f t="shared" si="161"/>
        <v>0</v>
      </c>
      <c r="S577">
        <f t="shared" si="162"/>
        <v>0</v>
      </c>
      <c r="T577" s="83">
        <f t="shared" si="163"/>
        <v>0</v>
      </c>
      <c r="U577" s="120">
        <f>IF($D577="",0,IFERROR(LOOKUP(2,1/(($D$3:D576=$D577)*($C$3:C576=$C577)*($A$3:A576&lt;$A577)),$AB$3:AB576),1000))</f>
        <v>0</v>
      </c>
      <c r="V577" s="120">
        <f t="shared" si="164"/>
        <v>0</v>
      </c>
      <c r="W577">
        <f t="shared" si="165"/>
        <v>0</v>
      </c>
      <c r="X577">
        <f t="shared" si="166"/>
        <v>0</v>
      </c>
      <c r="Y577">
        <f t="shared" si="167"/>
        <v>0</v>
      </c>
      <c r="Z577">
        <f t="shared" si="168"/>
        <v>0</v>
      </c>
      <c r="AA577">
        <f>IF($D577="",0,IF($F577&lt;2,0,IF($E577="Win",('Guide &amp; Settings'!$C$42/(($F577-1)*COUNTIFS($A$4:$A$810,$A577,$E$4:$E$810,"Win")))*SUMIFS($Z$4:$Z$810,$A$4:$A$810,$A577,$E$4:$E$810,"Loss"),-('Guide &amp; Settings'!$C$42/($F577-1))*$Z577)))</f>
        <v>0</v>
      </c>
      <c r="AB577" s="120">
        <f t="shared" si="169"/>
        <v>0</v>
      </c>
      <c r="AC577" s="120" t="str">
        <f>IF($D577="","",IF(SUMPRODUCT(MAX(($D$4:$D$810=$D577)*($B$4:$B$810&lt;$B577)*$B$4:$B$810))=0,0,MAX(($B577-MAX(SUMPRODUCT(MAX(($D$4:$D$810=$D577)*($B$4:$B$810&lt;$B577)*$B$4:$B$810)),'Guide &amp; Settings'!$C$50))/7-'Guide &amp; Settings'!$C$48,0)*'Guide &amp; Settings'!$C$49))</f>
        <v/>
      </c>
    </row>
    <row r="578" spans="1:29" x14ac:dyDescent="0.2">
      <c r="A578" s="111"/>
      <c r="B578" s="112"/>
      <c r="C578" s="113"/>
      <c r="D578" s="113"/>
      <c r="E578" s="111"/>
      <c r="F578" s="114">
        <f t="shared" si="153"/>
        <v>0</v>
      </c>
      <c r="G578" s="115" t="str">
        <f t="shared" si="154"/>
        <v/>
      </c>
      <c r="H578" s="116">
        <f>IF($D578="",0,IFERROR(LOOKUP(2,1/(($D$3:D577=$D578)*($A$3:A577&lt;$A578)),$N$3:N577),'Guide &amp; Settings'!$C$41))</f>
        <v>0</v>
      </c>
      <c r="I578" s="117">
        <f t="shared" si="155"/>
        <v>0</v>
      </c>
      <c r="J578" s="118">
        <f>IF($D578="",0,IF($F578&lt;2,0,IF($E578="Win",('Guide &amp; Settings'!$C$42/(($F578-1)*COUNTIFS($A$4:$A$810,$A578,$E$4:$E$810,"Win")))*SUMIFS($X$4:$X$810,$A$4:$A$810,$A578,$E$4:$E$810,"Loss"),-('Guide &amp; Settings'!$C$42/($F578-1))*$X578)))</f>
        <v>0</v>
      </c>
      <c r="K578" s="118">
        <f>IF($D578="",0,'Guide &amp; Settings'!$C$43*(IF($E578="Win",1,0)-$I578))</f>
        <v>0</v>
      </c>
      <c r="L578" s="119">
        <f>IF($D578="",0,'Guide &amp; Settings'!$C$44*IF($F578&gt;=3,$F578,0))</f>
        <v>0</v>
      </c>
      <c r="M578" s="118">
        <f t="shared" si="156"/>
        <v>0</v>
      </c>
      <c r="N578" s="116">
        <f t="shared" si="157"/>
        <v>0</v>
      </c>
      <c r="O578" s="115" t="str">
        <f t="shared" si="158"/>
        <v/>
      </c>
      <c r="P578">
        <f t="shared" si="159"/>
        <v>0</v>
      </c>
      <c r="Q578">
        <f t="shared" si="160"/>
        <v>0</v>
      </c>
      <c r="R578">
        <f t="shared" si="161"/>
        <v>0</v>
      </c>
      <c r="S578">
        <f t="shared" si="162"/>
        <v>0</v>
      </c>
      <c r="T578" s="83">
        <f t="shared" si="163"/>
        <v>0</v>
      </c>
      <c r="U578" s="120">
        <f>IF($D578="",0,IFERROR(LOOKUP(2,1/(($D$3:D577=$D578)*($C$3:C577=$C578)*($A$3:A577&lt;$A578)),$AB$3:AB577),1000))</f>
        <v>0</v>
      </c>
      <c r="V578" s="120">
        <f t="shared" si="164"/>
        <v>0</v>
      </c>
      <c r="W578">
        <f t="shared" si="165"/>
        <v>0</v>
      </c>
      <c r="X578">
        <f t="shared" si="166"/>
        <v>0</v>
      </c>
      <c r="Y578">
        <f t="shared" si="167"/>
        <v>0</v>
      </c>
      <c r="Z578">
        <f t="shared" si="168"/>
        <v>0</v>
      </c>
      <c r="AA578">
        <f>IF($D578="",0,IF($F578&lt;2,0,IF($E578="Win",('Guide &amp; Settings'!$C$42/(($F578-1)*COUNTIFS($A$4:$A$810,$A578,$E$4:$E$810,"Win")))*SUMIFS($Z$4:$Z$810,$A$4:$A$810,$A578,$E$4:$E$810,"Loss"),-('Guide &amp; Settings'!$C$42/($F578-1))*$Z578)))</f>
        <v>0</v>
      </c>
      <c r="AB578" s="120">
        <f t="shared" si="169"/>
        <v>0</v>
      </c>
      <c r="AC578" s="120" t="str">
        <f>IF($D578="","",IF(SUMPRODUCT(MAX(($D$4:$D$810=$D578)*($B$4:$B$810&lt;$B578)*$B$4:$B$810))=0,0,MAX(($B578-MAX(SUMPRODUCT(MAX(($D$4:$D$810=$D578)*($B$4:$B$810&lt;$B578)*$B$4:$B$810)),'Guide &amp; Settings'!$C$50))/7-'Guide &amp; Settings'!$C$48,0)*'Guide &amp; Settings'!$C$49))</f>
        <v/>
      </c>
    </row>
    <row r="579" spans="1:29" x14ac:dyDescent="0.2">
      <c r="A579" s="111"/>
      <c r="B579" s="112"/>
      <c r="C579" s="113"/>
      <c r="D579" s="113"/>
      <c r="E579" s="111"/>
      <c r="F579" s="114">
        <f t="shared" si="153"/>
        <v>0</v>
      </c>
      <c r="G579" s="115" t="str">
        <f t="shared" si="154"/>
        <v/>
      </c>
      <c r="H579" s="116">
        <f>IF($D579="",0,IFERROR(LOOKUP(2,1/(($D$3:D578=$D579)*($A$3:A578&lt;$A579)),$N$3:N578),'Guide &amp; Settings'!$C$41))</f>
        <v>0</v>
      </c>
      <c r="I579" s="117">
        <f t="shared" si="155"/>
        <v>0</v>
      </c>
      <c r="J579" s="118">
        <f>IF($D579="",0,IF($F579&lt;2,0,IF($E579="Win",('Guide &amp; Settings'!$C$42/(($F579-1)*COUNTIFS($A$4:$A$810,$A579,$E$4:$E$810,"Win")))*SUMIFS($X$4:$X$810,$A$4:$A$810,$A579,$E$4:$E$810,"Loss"),-('Guide &amp; Settings'!$C$42/($F579-1))*$X579)))</f>
        <v>0</v>
      </c>
      <c r="K579" s="118">
        <f>IF($D579="",0,'Guide &amp; Settings'!$C$43*(IF($E579="Win",1,0)-$I579))</f>
        <v>0</v>
      </c>
      <c r="L579" s="119">
        <f>IF($D579="",0,'Guide &amp; Settings'!$C$44*IF($F579&gt;=3,$F579,0))</f>
        <v>0</v>
      </c>
      <c r="M579" s="118">
        <f t="shared" si="156"/>
        <v>0</v>
      </c>
      <c r="N579" s="116">
        <f t="shared" si="157"/>
        <v>0</v>
      </c>
      <c r="O579" s="115" t="str">
        <f t="shared" si="158"/>
        <v/>
      </c>
      <c r="P579">
        <f t="shared" si="159"/>
        <v>0</v>
      </c>
      <c r="Q579">
        <f t="shared" si="160"/>
        <v>0</v>
      </c>
      <c r="R579">
        <f t="shared" si="161"/>
        <v>0</v>
      </c>
      <c r="S579">
        <f t="shared" si="162"/>
        <v>0</v>
      </c>
      <c r="T579" s="83">
        <f t="shared" si="163"/>
        <v>0</v>
      </c>
      <c r="U579" s="120">
        <f>IF($D579="",0,IFERROR(LOOKUP(2,1/(($D$3:D578=$D579)*($C$3:C578=$C579)*($A$3:A578&lt;$A579)),$AB$3:AB578),1000))</f>
        <v>0</v>
      </c>
      <c r="V579" s="120">
        <f t="shared" si="164"/>
        <v>0</v>
      </c>
      <c r="W579">
        <f t="shared" si="165"/>
        <v>0</v>
      </c>
      <c r="X579">
        <f t="shared" si="166"/>
        <v>0</v>
      </c>
      <c r="Y579">
        <f t="shared" si="167"/>
        <v>0</v>
      </c>
      <c r="Z579">
        <f t="shared" si="168"/>
        <v>0</v>
      </c>
      <c r="AA579">
        <f>IF($D579="",0,IF($F579&lt;2,0,IF($E579="Win",('Guide &amp; Settings'!$C$42/(($F579-1)*COUNTIFS($A$4:$A$810,$A579,$E$4:$E$810,"Win")))*SUMIFS($Z$4:$Z$810,$A$4:$A$810,$A579,$E$4:$E$810,"Loss"),-('Guide &amp; Settings'!$C$42/($F579-1))*$Z579)))</f>
        <v>0</v>
      </c>
      <c r="AB579" s="120">
        <f t="shared" si="169"/>
        <v>0</v>
      </c>
      <c r="AC579" s="120" t="str">
        <f>IF($D579="","",IF(SUMPRODUCT(MAX(($D$4:$D$810=$D579)*($B$4:$B$810&lt;$B579)*$B$4:$B$810))=0,0,MAX(($B579-MAX(SUMPRODUCT(MAX(($D$4:$D$810=$D579)*($B$4:$B$810&lt;$B579)*$B$4:$B$810)),'Guide &amp; Settings'!$C$50))/7-'Guide &amp; Settings'!$C$48,0)*'Guide &amp; Settings'!$C$49))</f>
        <v/>
      </c>
    </row>
    <row r="580" spans="1:29" x14ac:dyDescent="0.2">
      <c r="A580" s="111"/>
      <c r="B580" s="112"/>
      <c r="C580" s="113"/>
      <c r="D580" s="113"/>
      <c r="E580" s="111"/>
      <c r="F580" s="114">
        <f t="shared" si="153"/>
        <v>0</v>
      </c>
      <c r="G580" s="115" t="str">
        <f t="shared" si="154"/>
        <v/>
      </c>
      <c r="H580" s="116">
        <f>IF($D580="",0,IFERROR(LOOKUP(2,1/(($D$3:D579=$D580)*($A$3:A579&lt;$A580)),$N$3:N579),'Guide &amp; Settings'!$C$41))</f>
        <v>0</v>
      </c>
      <c r="I580" s="117">
        <f t="shared" si="155"/>
        <v>0</v>
      </c>
      <c r="J580" s="118">
        <f>IF($D580="",0,IF($F580&lt;2,0,IF($E580="Win",('Guide &amp; Settings'!$C$42/(($F580-1)*COUNTIFS($A$4:$A$810,$A580,$E$4:$E$810,"Win")))*SUMIFS($X$4:$X$810,$A$4:$A$810,$A580,$E$4:$E$810,"Loss"),-('Guide &amp; Settings'!$C$42/($F580-1))*$X580)))</f>
        <v>0</v>
      </c>
      <c r="K580" s="118">
        <f>IF($D580="",0,'Guide &amp; Settings'!$C$43*(IF($E580="Win",1,0)-$I580))</f>
        <v>0</v>
      </c>
      <c r="L580" s="119">
        <f>IF($D580="",0,'Guide &amp; Settings'!$C$44*IF($F580&gt;=3,$F580,0))</f>
        <v>0</v>
      </c>
      <c r="M580" s="118">
        <f t="shared" si="156"/>
        <v>0</v>
      </c>
      <c r="N580" s="116">
        <f t="shared" si="157"/>
        <v>0</v>
      </c>
      <c r="O580" s="115" t="str">
        <f t="shared" si="158"/>
        <v/>
      </c>
      <c r="P580">
        <f t="shared" si="159"/>
        <v>0</v>
      </c>
      <c r="Q580">
        <f t="shared" si="160"/>
        <v>0</v>
      </c>
      <c r="R580">
        <f t="shared" si="161"/>
        <v>0</v>
      </c>
      <c r="S580">
        <f t="shared" si="162"/>
        <v>0</v>
      </c>
      <c r="T580" s="83">
        <f t="shared" si="163"/>
        <v>0</v>
      </c>
      <c r="U580" s="120">
        <f>IF($D580="",0,IFERROR(LOOKUP(2,1/(($D$3:D579=$D580)*($C$3:C579=$C580)*($A$3:A579&lt;$A580)),$AB$3:AB579),1000))</f>
        <v>0</v>
      </c>
      <c r="V580" s="120">
        <f t="shared" si="164"/>
        <v>0</v>
      </c>
      <c r="W580">
        <f t="shared" si="165"/>
        <v>0</v>
      </c>
      <c r="X580">
        <f t="shared" si="166"/>
        <v>0</v>
      </c>
      <c r="Y580">
        <f t="shared" si="167"/>
        <v>0</v>
      </c>
      <c r="Z580">
        <f t="shared" si="168"/>
        <v>0</v>
      </c>
      <c r="AA580">
        <f>IF($D580="",0,IF($F580&lt;2,0,IF($E580="Win",('Guide &amp; Settings'!$C$42/(($F580-1)*COUNTIFS($A$4:$A$810,$A580,$E$4:$E$810,"Win")))*SUMIFS($Z$4:$Z$810,$A$4:$A$810,$A580,$E$4:$E$810,"Loss"),-('Guide &amp; Settings'!$C$42/($F580-1))*$Z580)))</f>
        <v>0</v>
      </c>
      <c r="AB580" s="120">
        <f t="shared" si="169"/>
        <v>0</v>
      </c>
      <c r="AC580" s="120" t="str">
        <f>IF($D580="","",IF(SUMPRODUCT(MAX(($D$4:$D$810=$D580)*($B$4:$B$810&lt;$B580)*$B$4:$B$810))=0,0,MAX(($B580-MAX(SUMPRODUCT(MAX(($D$4:$D$810=$D580)*($B$4:$B$810&lt;$B580)*$B$4:$B$810)),'Guide &amp; Settings'!$C$50))/7-'Guide &amp; Settings'!$C$48,0)*'Guide &amp; Settings'!$C$49))</f>
        <v/>
      </c>
    </row>
    <row r="581" spans="1:29" x14ac:dyDescent="0.2">
      <c r="A581" s="111"/>
      <c r="B581" s="112"/>
      <c r="C581" s="113"/>
      <c r="D581" s="113"/>
      <c r="E581" s="111"/>
      <c r="F581" s="114">
        <f t="shared" si="153"/>
        <v>0</v>
      </c>
      <c r="G581" s="115" t="str">
        <f t="shared" si="154"/>
        <v/>
      </c>
      <c r="H581" s="116">
        <f>IF($D581="",0,IFERROR(LOOKUP(2,1/(($D$3:D580=$D581)*($A$3:A580&lt;$A581)),$N$3:N580),'Guide &amp; Settings'!$C$41))</f>
        <v>0</v>
      </c>
      <c r="I581" s="117">
        <f t="shared" si="155"/>
        <v>0</v>
      </c>
      <c r="J581" s="118">
        <f>IF($D581="",0,IF($F581&lt;2,0,IF($E581="Win",('Guide &amp; Settings'!$C$42/(($F581-1)*COUNTIFS($A$4:$A$810,$A581,$E$4:$E$810,"Win")))*SUMIFS($X$4:$X$810,$A$4:$A$810,$A581,$E$4:$E$810,"Loss"),-('Guide &amp; Settings'!$C$42/($F581-1))*$X581)))</f>
        <v>0</v>
      </c>
      <c r="K581" s="118">
        <f>IF($D581="",0,'Guide &amp; Settings'!$C$43*(IF($E581="Win",1,0)-$I581))</f>
        <v>0</v>
      </c>
      <c r="L581" s="119">
        <f>IF($D581="",0,'Guide &amp; Settings'!$C$44*IF($F581&gt;=3,$F581,0))</f>
        <v>0</v>
      </c>
      <c r="M581" s="118">
        <f t="shared" si="156"/>
        <v>0</v>
      </c>
      <c r="N581" s="116">
        <f t="shared" si="157"/>
        <v>0</v>
      </c>
      <c r="O581" s="115" t="str">
        <f t="shared" si="158"/>
        <v/>
      </c>
      <c r="P581">
        <f t="shared" si="159"/>
        <v>0</v>
      </c>
      <c r="Q581">
        <f t="shared" si="160"/>
        <v>0</v>
      </c>
      <c r="R581">
        <f t="shared" si="161"/>
        <v>0</v>
      </c>
      <c r="S581">
        <f t="shared" si="162"/>
        <v>0</v>
      </c>
      <c r="T581" s="83">
        <f t="shared" si="163"/>
        <v>0</v>
      </c>
      <c r="U581" s="120">
        <f>IF($D581="",0,IFERROR(LOOKUP(2,1/(($D$3:D580=$D581)*($C$3:C580=$C581)*($A$3:A580&lt;$A581)),$AB$3:AB580),1000))</f>
        <v>0</v>
      </c>
      <c r="V581" s="120">
        <f t="shared" si="164"/>
        <v>0</v>
      </c>
      <c r="W581">
        <f t="shared" si="165"/>
        <v>0</v>
      </c>
      <c r="X581">
        <f t="shared" si="166"/>
        <v>0</v>
      </c>
      <c r="Y581">
        <f t="shared" si="167"/>
        <v>0</v>
      </c>
      <c r="Z581">
        <f t="shared" si="168"/>
        <v>0</v>
      </c>
      <c r="AA581">
        <f>IF($D581="",0,IF($F581&lt;2,0,IF($E581="Win",('Guide &amp; Settings'!$C$42/(($F581-1)*COUNTIFS($A$4:$A$810,$A581,$E$4:$E$810,"Win")))*SUMIFS($Z$4:$Z$810,$A$4:$A$810,$A581,$E$4:$E$810,"Loss"),-('Guide &amp; Settings'!$C$42/($F581-1))*$Z581)))</f>
        <v>0</v>
      </c>
      <c r="AB581" s="120">
        <f t="shared" si="169"/>
        <v>0</v>
      </c>
      <c r="AC581" s="120" t="str">
        <f>IF($D581="","",IF(SUMPRODUCT(MAX(($D$4:$D$810=$D581)*($B$4:$B$810&lt;$B581)*$B$4:$B$810))=0,0,MAX(($B581-MAX(SUMPRODUCT(MAX(($D$4:$D$810=$D581)*($B$4:$B$810&lt;$B581)*$B$4:$B$810)),'Guide &amp; Settings'!$C$50))/7-'Guide &amp; Settings'!$C$48,0)*'Guide &amp; Settings'!$C$49))</f>
        <v/>
      </c>
    </row>
    <row r="582" spans="1:29" x14ac:dyDescent="0.2">
      <c r="A582" s="111"/>
      <c r="B582" s="112"/>
      <c r="C582" s="113"/>
      <c r="D582" s="113"/>
      <c r="E582" s="111"/>
      <c r="F582" s="114">
        <f t="shared" si="153"/>
        <v>0</v>
      </c>
      <c r="G582" s="115" t="str">
        <f t="shared" si="154"/>
        <v/>
      </c>
      <c r="H582" s="116">
        <f>IF($D582="",0,IFERROR(LOOKUP(2,1/(($D$3:D581=$D582)*($A$3:A581&lt;$A582)),$N$3:N581),'Guide &amp; Settings'!$C$41))</f>
        <v>0</v>
      </c>
      <c r="I582" s="117">
        <f t="shared" si="155"/>
        <v>0</v>
      </c>
      <c r="J582" s="118">
        <f>IF($D582="",0,IF($F582&lt;2,0,IF($E582="Win",('Guide &amp; Settings'!$C$42/(($F582-1)*COUNTIFS($A$4:$A$810,$A582,$E$4:$E$810,"Win")))*SUMIFS($X$4:$X$810,$A$4:$A$810,$A582,$E$4:$E$810,"Loss"),-('Guide &amp; Settings'!$C$42/($F582-1))*$X582)))</f>
        <v>0</v>
      </c>
      <c r="K582" s="118">
        <f>IF($D582="",0,'Guide &amp; Settings'!$C$43*(IF($E582="Win",1,0)-$I582))</f>
        <v>0</v>
      </c>
      <c r="L582" s="119">
        <f>IF($D582="",0,'Guide &amp; Settings'!$C$44*IF($F582&gt;=3,$F582,0))</f>
        <v>0</v>
      </c>
      <c r="M582" s="118">
        <f t="shared" si="156"/>
        <v>0</v>
      </c>
      <c r="N582" s="116">
        <f t="shared" si="157"/>
        <v>0</v>
      </c>
      <c r="O582" s="115" t="str">
        <f t="shared" si="158"/>
        <v/>
      </c>
      <c r="P582">
        <f t="shared" si="159"/>
        <v>0</v>
      </c>
      <c r="Q582">
        <f t="shared" si="160"/>
        <v>0</v>
      </c>
      <c r="R582">
        <f t="shared" si="161"/>
        <v>0</v>
      </c>
      <c r="S582">
        <f t="shared" si="162"/>
        <v>0</v>
      </c>
      <c r="T582" s="83">
        <f t="shared" si="163"/>
        <v>0</v>
      </c>
      <c r="U582" s="120">
        <f>IF($D582="",0,IFERROR(LOOKUP(2,1/(($D$3:D581=$D582)*($C$3:C581=$C582)*($A$3:A581&lt;$A582)),$AB$3:AB581),1000))</f>
        <v>0</v>
      </c>
      <c r="V582" s="120">
        <f t="shared" si="164"/>
        <v>0</v>
      </c>
      <c r="W582">
        <f t="shared" si="165"/>
        <v>0</v>
      </c>
      <c r="X582">
        <f t="shared" si="166"/>
        <v>0</v>
      </c>
      <c r="Y582">
        <f t="shared" si="167"/>
        <v>0</v>
      </c>
      <c r="Z582">
        <f t="shared" si="168"/>
        <v>0</v>
      </c>
      <c r="AA582">
        <f>IF($D582="",0,IF($F582&lt;2,0,IF($E582="Win",('Guide &amp; Settings'!$C$42/(($F582-1)*COUNTIFS($A$4:$A$810,$A582,$E$4:$E$810,"Win")))*SUMIFS($Z$4:$Z$810,$A$4:$A$810,$A582,$E$4:$E$810,"Loss"),-('Guide &amp; Settings'!$C$42/($F582-1))*$Z582)))</f>
        <v>0</v>
      </c>
      <c r="AB582" s="120">
        <f t="shared" si="169"/>
        <v>0</v>
      </c>
      <c r="AC582" s="120" t="str">
        <f>IF($D582="","",IF(SUMPRODUCT(MAX(($D$4:$D$810=$D582)*($B$4:$B$810&lt;$B582)*$B$4:$B$810))=0,0,MAX(($B582-MAX(SUMPRODUCT(MAX(($D$4:$D$810=$D582)*($B$4:$B$810&lt;$B582)*$B$4:$B$810)),'Guide &amp; Settings'!$C$50))/7-'Guide &amp; Settings'!$C$48,0)*'Guide &amp; Settings'!$C$49))</f>
        <v/>
      </c>
    </row>
    <row r="583" spans="1:29" x14ac:dyDescent="0.2">
      <c r="A583" s="111"/>
      <c r="B583" s="112"/>
      <c r="C583" s="113"/>
      <c r="D583" s="113"/>
      <c r="E583" s="111"/>
      <c r="F583" s="114">
        <f t="shared" si="153"/>
        <v>0</v>
      </c>
      <c r="G583" s="115" t="str">
        <f t="shared" si="154"/>
        <v/>
      </c>
      <c r="H583" s="116">
        <f>IF($D583="",0,IFERROR(LOOKUP(2,1/(($D$3:D582=$D583)*($A$3:A582&lt;$A583)),$N$3:N582),'Guide &amp; Settings'!$C$41))</f>
        <v>0</v>
      </c>
      <c r="I583" s="117">
        <f t="shared" si="155"/>
        <v>0</v>
      </c>
      <c r="J583" s="118">
        <f>IF($D583="",0,IF($F583&lt;2,0,IF($E583="Win",('Guide &amp; Settings'!$C$42/(($F583-1)*COUNTIFS($A$4:$A$810,$A583,$E$4:$E$810,"Win")))*SUMIFS($X$4:$X$810,$A$4:$A$810,$A583,$E$4:$E$810,"Loss"),-('Guide &amp; Settings'!$C$42/($F583-1))*$X583)))</f>
        <v>0</v>
      </c>
      <c r="K583" s="118">
        <f>IF($D583="",0,'Guide &amp; Settings'!$C$43*(IF($E583="Win",1,0)-$I583))</f>
        <v>0</v>
      </c>
      <c r="L583" s="119">
        <f>IF($D583="",0,'Guide &amp; Settings'!$C$44*IF($F583&gt;=3,$F583,0))</f>
        <v>0</v>
      </c>
      <c r="M583" s="118">
        <f t="shared" si="156"/>
        <v>0</v>
      </c>
      <c r="N583" s="116">
        <f t="shared" si="157"/>
        <v>0</v>
      </c>
      <c r="O583" s="115" t="str">
        <f t="shared" si="158"/>
        <v/>
      </c>
      <c r="P583">
        <f t="shared" si="159"/>
        <v>0</v>
      </c>
      <c r="Q583">
        <f t="shared" si="160"/>
        <v>0</v>
      </c>
      <c r="R583">
        <f t="shared" si="161"/>
        <v>0</v>
      </c>
      <c r="S583">
        <f t="shared" si="162"/>
        <v>0</v>
      </c>
      <c r="T583" s="83">
        <f t="shared" si="163"/>
        <v>0</v>
      </c>
      <c r="U583" s="120">
        <f>IF($D583="",0,IFERROR(LOOKUP(2,1/(($D$3:D582=$D583)*($C$3:C582=$C583)*($A$3:A582&lt;$A583)),$AB$3:AB582),1000))</f>
        <v>0</v>
      </c>
      <c r="V583" s="120">
        <f t="shared" si="164"/>
        <v>0</v>
      </c>
      <c r="W583">
        <f t="shared" si="165"/>
        <v>0</v>
      </c>
      <c r="X583">
        <f t="shared" si="166"/>
        <v>0</v>
      </c>
      <c r="Y583">
        <f t="shared" si="167"/>
        <v>0</v>
      </c>
      <c r="Z583">
        <f t="shared" si="168"/>
        <v>0</v>
      </c>
      <c r="AA583">
        <f>IF($D583="",0,IF($F583&lt;2,0,IF($E583="Win",('Guide &amp; Settings'!$C$42/(($F583-1)*COUNTIFS($A$4:$A$810,$A583,$E$4:$E$810,"Win")))*SUMIFS($Z$4:$Z$810,$A$4:$A$810,$A583,$E$4:$E$810,"Loss"),-('Guide &amp; Settings'!$C$42/($F583-1))*$Z583)))</f>
        <v>0</v>
      </c>
      <c r="AB583" s="120">
        <f t="shared" si="169"/>
        <v>0</v>
      </c>
      <c r="AC583" s="120" t="str">
        <f>IF($D583="","",IF(SUMPRODUCT(MAX(($D$4:$D$810=$D583)*($B$4:$B$810&lt;$B583)*$B$4:$B$810))=0,0,MAX(($B583-MAX(SUMPRODUCT(MAX(($D$4:$D$810=$D583)*($B$4:$B$810&lt;$B583)*$B$4:$B$810)),'Guide &amp; Settings'!$C$50))/7-'Guide &amp; Settings'!$C$48,0)*'Guide &amp; Settings'!$C$49))</f>
        <v/>
      </c>
    </row>
    <row r="584" spans="1:29" x14ac:dyDescent="0.2">
      <c r="A584" s="111"/>
      <c r="B584" s="112"/>
      <c r="C584" s="113"/>
      <c r="D584" s="113"/>
      <c r="E584" s="111"/>
      <c r="F584" s="114">
        <f t="shared" si="153"/>
        <v>0</v>
      </c>
      <c r="G584" s="115" t="str">
        <f t="shared" si="154"/>
        <v/>
      </c>
      <c r="H584" s="116">
        <f>IF($D584="",0,IFERROR(LOOKUP(2,1/(($D$3:D583=$D584)*($A$3:A583&lt;$A584)),$N$3:N583),'Guide &amp; Settings'!$C$41))</f>
        <v>0</v>
      </c>
      <c r="I584" s="117">
        <f t="shared" si="155"/>
        <v>0</v>
      </c>
      <c r="J584" s="118">
        <f>IF($D584="",0,IF($F584&lt;2,0,IF($E584="Win",('Guide &amp; Settings'!$C$42/(($F584-1)*COUNTIFS($A$4:$A$810,$A584,$E$4:$E$810,"Win")))*SUMIFS($X$4:$X$810,$A$4:$A$810,$A584,$E$4:$E$810,"Loss"),-('Guide &amp; Settings'!$C$42/($F584-1))*$X584)))</f>
        <v>0</v>
      </c>
      <c r="K584" s="118">
        <f>IF($D584="",0,'Guide &amp; Settings'!$C$43*(IF($E584="Win",1,0)-$I584))</f>
        <v>0</v>
      </c>
      <c r="L584" s="119">
        <f>IF($D584="",0,'Guide &amp; Settings'!$C$44*IF($F584&gt;=3,$F584,0))</f>
        <v>0</v>
      </c>
      <c r="M584" s="118">
        <f t="shared" si="156"/>
        <v>0</v>
      </c>
      <c r="N584" s="116">
        <f t="shared" si="157"/>
        <v>0</v>
      </c>
      <c r="O584" s="115" t="str">
        <f t="shared" si="158"/>
        <v/>
      </c>
      <c r="P584">
        <f t="shared" si="159"/>
        <v>0</v>
      </c>
      <c r="Q584">
        <f t="shared" si="160"/>
        <v>0</v>
      </c>
      <c r="R584">
        <f t="shared" si="161"/>
        <v>0</v>
      </c>
      <c r="S584">
        <f t="shared" si="162"/>
        <v>0</v>
      </c>
      <c r="T584" s="83">
        <f t="shared" si="163"/>
        <v>0</v>
      </c>
      <c r="U584" s="120">
        <f>IF($D584="",0,IFERROR(LOOKUP(2,1/(($D$3:D583=$D584)*($C$3:C583=$C584)*($A$3:A583&lt;$A584)),$AB$3:AB583),1000))</f>
        <v>0</v>
      </c>
      <c r="V584" s="120">
        <f t="shared" si="164"/>
        <v>0</v>
      </c>
      <c r="W584">
        <f t="shared" si="165"/>
        <v>0</v>
      </c>
      <c r="X584">
        <f t="shared" si="166"/>
        <v>0</v>
      </c>
      <c r="Y584">
        <f t="shared" si="167"/>
        <v>0</v>
      </c>
      <c r="Z584">
        <f t="shared" si="168"/>
        <v>0</v>
      </c>
      <c r="AA584">
        <f>IF($D584="",0,IF($F584&lt;2,0,IF($E584="Win",('Guide &amp; Settings'!$C$42/(($F584-1)*COUNTIFS($A$4:$A$810,$A584,$E$4:$E$810,"Win")))*SUMIFS($Z$4:$Z$810,$A$4:$A$810,$A584,$E$4:$E$810,"Loss"),-('Guide &amp; Settings'!$C$42/($F584-1))*$Z584)))</f>
        <v>0</v>
      </c>
      <c r="AB584" s="120">
        <f t="shared" si="169"/>
        <v>0</v>
      </c>
      <c r="AC584" s="120" t="str">
        <f>IF($D584="","",IF(SUMPRODUCT(MAX(($D$4:$D$810=$D584)*($B$4:$B$810&lt;$B584)*$B$4:$B$810))=0,0,MAX(($B584-MAX(SUMPRODUCT(MAX(($D$4:$D$810=$D584)*($B$4:$B$810&lt;$B584)*$B$4:$B$810)),'Guide &amp; Settings'!$C$50))/7-'Guide &amp; Settings'!$C$48,0)*'Guide &amp; Settings'!$C$49))</f>
        <v/>
      </c>
    </row>
    <row r="585" spans="1:29" x14ac:dyDescent="0.2">
      <c r="A585" s="111"/>
      <c r="B585" s="112"/>
      <c r="C585" s="113"/>
      <c r="D585" s="113"/>
      <c r="E585" s="111"/>
      <c r="F585" s="114">
        <f t="shared" si="153"/>
        <v>0</v>
      </c>
      <c r="G585" s="115" t="str">
        <f t="shared" si="154"/>
        <v/>
      </c>
      <c r="H585" s="116">
        <f>IF($D585="",0,IFERROR(LOOKUP(2,1/(($D$3:D584=$D585)*($A$3:A584&lt;$A585)),$N$3:N584),'Guide &amp; Settings'!$C$41))</f>
        <v>0</v>
      </c>
      <c r="I585" s="117">
        <f t="shared" si="155"/>
        <v>0</v>
      </c>
      <c r="J585" s="118">
        <f>IF($D585="",0,IF($F585&lt;2,0,IF($E585="Win",('Guide &amp; Settings'!$C$42/(($F585-1)*COUNTIFS($A$4:$A$810,$A585,$E$4:$E$810,"Win")))*SUMIFS($X$4:$X$810,$A$4:$A$810,$A585,$E$4:$E$810,"Loss"),-('Guide &amp; Settings'!$C$42/($F585-1))*$X585)))</f>
        <v>0</v>
      </c>
      <c r="K585" s="118">
        <f>IF($D585="",0,'Guide &amp; Settings'!$C$43*(IF($E585="Win",1,0)-$I585))</f>
        <v>0</v>
      </c>
      <c r="L585" s="119">
        <f>IF($D585="",0,'Guide &amp; Settings'!$C$44*IF($F585&gt;=3,$F585,0))</f>
        <v>0</v>
      </c>
      <c r="M585" s="118">
        <f t="shared" si="156"/>
        <v>0</v>
      </c>
      <c r="N585" s="116">
        <f t="shared" si="157"/>
        <v>0</v>
      </c>
      <c r="O585" s="115" t="str">
        <f t="shared" si="158"/>
        <v/>
      </c>
      <c r="P585">
        <f t="shared" si="159"/>
        <v>0</v>
      </c>
      <c r="Q585">
        <f t="shared" si="160"/>
        <v>0</v>
      </c>
      <c r="R585">
        <f t="shared" si="161"/>
        <v>0</v>
      </c>
      <c r="S585">
        <f t="shared" si="162"/>
        <v>0</v>
      </c>
      <c r="T585" s="83">
        <f t="shared" si="163"/>
        <v>0</v>
      </c>
      <c r="U585" s="120">
        <f>IF($D585="",0,IFERROR(LOOKUP(2,1/(($D$3:D584=$D585)*($C$3:C584=$C585)*($A$3:A584&lt;$A585)),$AB$3:AB584),1000))</f>
        <v>0</v>
      </c>
      <c r="V585" s="120">
        <f t="shared" si="164"/>
        <v>0</v>
      </c>
      <c r="W585">
        <f t="shared" si="165"/>
        <v>0</v>
      </c>
      <c r="X585">
        <f t="shared" si="166"/>
        <v>0</v>
      </c>
      <c r="Y585">
        <f t="shared" si="167"/>
        <v>0</v>
      </c>
      <c r="Z585">
        <f t="shared" si="168"/>
        <v>0</v>
      </c>
      <c r="AA585">
        <f>IF($D585="",0,IF($F585&lt;2,0,IF($E585="Win",('Guide &amp; Settings'!$C$42/(($F585-1)*COUNTIFS($A$4:$A$810,$A585,$E$4:$E$810,"Win")))*SUMIFS($Z$4:$Z$810,$A$4:$A$810,$A585,$E$4:$E$810,"Loss"),-('Guide &amp; Settings'!$C$42/($F585-1))*$Z585)))</f>
        <v>0</v>
      </c>
      <c r="AB585" s="120">
        <f t="shared" si="169"/>
        <v>0</v>
      </c>
      <c r="AC585" s="120" t="str">
        <f>IF($D585="","",IF(SUMPRODUCT(MAX(($D$4:$D$810=$D585)*($B$4:$B$810&lt;$B585)*$B$4:$B$810))=0,0,MAX(($B585-MAX(SUMPRODUCT(MAX(($D$4:$D$810=$D585)*($B$4:$B$810&lt;$B585)*$B$4:$B$810)),'Guide &amp; Settings'!$C$50))/7-'Guide &amp; Settings'!$C$48,0)*'Guide &amp; Settings'!$C$49))</f>
        <v/>
      </c>
    </row>
    <row r="586" spans="1:29" x14ac:dyDescent="0.2">
      <c r="A586" s="111"/>
      <c r="B586" s="112"/>
      <c r="C586" s="113"/>
      <c r="D586" s="113"/>
      <c r="E586" s="111"/>
      <c r="F586" s="114">
        <f t="shared" si="153"/>
        <v>0</v>
      </c>
      <c r="G586" s="115" t="str">
        <f t="shared" si="154"/>
        <v/>
      </c>
      <c r="H586" s="116">
        <f>IF($D586="",0,IFERROR(LOOKUP(2,1/(($D$3:D585=$D586)*($A$3:A585&lt;$A586)),$N$3:N585),'Guide &amp; Settings'!$C$41))</f>
        <v>0</v>
      </c>
      <c r="I586" s="117">
        <f t="shared" si="155"/>
        <v>0</v>
      </c>
      <c r="J586" s="118">
        <f>IF($D586="",0,IF($F586&lt;2,0,IF($E586="Win",('Guide &amp; Settings'!$C$42/(($F586-1)*COUNTIFS($A$4:$A$810,$A586,$E$4:$E$810,"Win")))*SUMIFS($X$4:$X$810,$A$4:$A$810,$A586,$E$4:$E$810,"Loss"),-('Guide &amp; Settings'!$C$42/($F586-1))*$X586)))</f>
        <v>0</v>
      </c>
      <c r="K586" s="118">
        <f>IF($D586="",0,'Guide &amp; Settings'!$C$43*(IF($E586="Win",1,0)-$I586))</f>
        <v>0</v>
      </c>
      <c r="L586" s="119">
        <f>IF($D586="",0,'Guide &amp; Settings'!$C$44*IF($F586&gt;=3,$F586,0))</f>
        <v>0</v>
      </c>
      <c r="M586" s="118">
        <f t="shared" si="156"/>
        <v>0</v>
      </c>
      <c r="N586" s="116">
        <f t="shared" si="157"/>
        <v>0</v>
      </c>
      <c r="O586" s="115" t="str">
        <f t="shared" si="158"/>
        <v/>
      </c>
      <c r="P586">
        <f t="shared" si="159"/>
        <v>0</v>
      </c>
      <c r="Q586">
        <f t="shared" si="160"/>
        <v>0</v>
      </c>
      <c r="R586">
        <f t="shared" si="161"/>
        <v>0</v>
      </c>
      <c r="S586">
        <f t="shared" si="162"/>
        <v>0</v>
      </c>
      <c r="T586" s="83">
        <f t="shared" si="163"/>
        <v>0</v>
      </c>
      <c r="U586" s="120">
        <f>IF($D586="",0,IFERROR(LOOKUP(2,1/(($D$3:D585=$D586)*($C$3:C585=$C586)*($A$3:A585&lt;$A586)),$AB$3:AB585),1000))</f>
        <v>0</v>
      </c>
      <c r="V586" s="120">
        <f t="shared" si="164"/>
        <v>0</v>
      </c>
      <c r="W586">
        <f t="shared" si="165"/>
        <v>0</v>
      </c>
      <c r="X586">
        <f t="shared" si="166"/>
        <v>0</v>
      </c>
      <c r="Y586">
        <f t="shared" si="167"/>
        <v>0</v>
      </c>
      <c r="Z586">
        <f t="shared" si="168"/>
        <v>0</v>
      </c>
      <c r="AA586">
        <f>IF($D586="",0,IF($F586&lt;2,0,IF($E586="Win",('Guide &amp; Settings'!$C$42/(($F586-1)*COUNTIFS($A$4:$A$810,$A586,$E$4:$E$810,"Win")))*SUMIFS($Z$4:$Z$810,$A$4:$A$810,$A586,$E$4:$E$810,"Loss"),-('Guide &amp; Settings'!$C$42/($F586-1))*$Z586)))</f>
        <v>0</v>
      </c>
      <c r="AB586" s="120">
        <f t="shared" si="169"/>
        <v>0</v>
      </c>
      <c r="AC586" s="120" t="str">
        <f>IF($D586="","",IF(SUMPRODUCT(MAX(($D$4:$D$810=$D586)*($B$4:$B$810&lt;$B586)*$B$4:$B$810))=0,0,MAX(($B586-MAX(SUMPRODUCT(MAX(($D$4:$D$810=$D586)*($B$4:$B$810&lt;$B586)*$B$4:$B$810)),'Guide &amp; Settings'!$C$50))/7-'Guide &amp; Settings'!$C$48,0)*'Guide &amp; Settings'!$C$49))</f>
        <v/>
      </c>
    </row>
    <row r="587" spans="1:29" x14ac:dyDescent="0.2">
      <c r="A587" s="111"/>
      <c r="B587" s="112"/>
      <c r="C587" s="113"/>
      <c r="D587" s="113"/>
      <c r="E587" s="111"/>
      <c r="F587" s="114">
        <f t="shared" si="153"/>
        <v>0</v>
      </c>
      <c r="G587" s="115" t="str">
        <f t="shared" si="154"/>
        <v/>
      </c>
      <c r="H587" s="116">
        <f>IF($D587="",0,IFERROR(LOOKUP(2,1/(($D$3:D586=$D587)*($A$3:A586&lt;$A587)),$N$3:N586),'Guide &amp; Settings'!$C$41))</f>
        <v>0</v>
      </c>
      <c r="I587" s="117">
        <f t="shared" si="155"/>
        <v>0</v>
      </c>
      <c r="J587" s="118">
        <f>IF($D587="",0,IF($F587&lt;2,0,IF($E587="Win",('Guide &amp; Settings'!$C$42/(($F587-1)*COUNTIFS($A$4:$A$810,$A587,$E$4:$E$810,"Win")))*SUMIFS($X$4:$X$810,$A$4:$A$810,$A587,$E$4:$E$810,"Loss"),-('Guide &amp; Settings'!$C$42/($F587-1))*$X587)))</f>
        <v>0</v>
      </c>
      <c r="K587" s="118">
        <f>IF($D587="",0,'Guide &amp; Settings'!$C$43*(IF($E587="Win",1,0)-$I587))</f>
        <v>0</v>
      </c>
      <c r="L587" s="119">
        <f>IF($D587="",0,'Guide &amp; Settings'!$C$44*IF($F587&gt;=3,$F587,0))</f>
        <v>0</v>
      </c>
      <c r="M587" s="118">
        <f t="shared" si="156"/>
        <v>0</v>
      </c>
      <c r="N587" s="116">
        <f t="shared" si="157"/>
        <v>0</v>
      </c>
      <c r="O587" s="115" t="str">
        <f t="shared" si="158"/>
        <v/>
      </c>
      <c r="P587">
        <f t="shared" si="159"/>
        <v>0</v>
      </c>
      <c r="Q587">
        <f t="shared" si="160"/>
        <v>0</v>
      </c>
      <c r="R587">
        <f t="shared" si="161"/>
        <v>0</v>
      </c>
      <c r="S587">
        <f t="shared" si="162"/>
        <v>0</v>
      </c>
      <c r="T587" s="83">
        <f t="shared" si="163"/>
        <v>0</v>
      </c>
      <c r="U587" s="120">
        <f>IF($D587="",0,IFERROR(LOOKUP(2,1/(($D$3:D586=$D587)*($C$3:C586=$C587)*($A$3:A586&lt;$A587)),$AB$3:AB586),1000))</f>
        <v>0</v>
      </c>
      <c r="V587" s="120">
        <f t="shared" si="164"/>
        <v>0</v>
      </c>
      <c r="W587">
        <f t="shared" si="165"/>
        <v>0</v>
      </c>
      <c r="X587">
        <f t="shared" si="166"/>
        <v>0</v>
      </c>
      <c r="Y587">
        <f t="shared" si="167"/>
        <v>0</v>
      </c>
      <c r="Z587">
        <f t="shared" si="168"/>
        <v>0</v>
      </c>
      <c r="AA587">
        <f>IF($D587="",0,IF($F587&lt;2,0,IF($E587="Win",('Guide &amp; Settings'!$C$42/(($F587-1)*COUNTIFS($A$4:$A$810,$A587,$E$4:$E$810,"Win")))*SUMIFS($Z$4:$Z$810,$A$4:$A$810,$A587,$E$4:$E$810,"Loss"),-('Guide &amp; Settings'!$C$42/($F587-1))*$Z587)))</f>
        <v>0</v>
      </c>
      <c r="AB587" s="120">
        <f t="shared" si="169"/>
        <v>0</v>
      </c>
      <c r="AC587" s="120" t="str">
        <f>IF($D587="","",IF(SUMPRODUCT(MAX(($D$4:$D$810=$D587)*($B$4:$B$810&lt;$B587)*$B$4:$B$810))=0,0,MAX(($B587-MAX(SUMPRODUCT(MAX(($D$4:$D$810=$D587)*($B$4:$B$810&lt;$B587)*$B$4:$B$810)),'Guide &amp; Settings'!$C$50))/7-'Guide &amp; Settings'!$C$48,0)*'Guide &amp; Settings'!$C$49))</f>
        <v/>
      </c>
    </row>
    <row r="588" spans="1:29" x14ac:dyDescent="0.2">
      <c r="A588" s="111"/>
      <c r="B588" s="112"/>
      <c r="C588" s="113"/>
      <c r="D588" s="113"/>
      <c r="E588" s="111"/>
      <c r="F588" s="114">
        <f t="shared" si="153"/>
        <v>0</v>
      </c>
      <c r="G588" s="115" t="str">
        <f t="shared" si="154"/>
        <v/>
      </c>
      <c r="H588" s="116">
        <f>IF($D588="",0,IFERROR(LOOKUP(2,1/(($D$3:D587=$D588)*($A$3:A587&lt;$A588)),$N$3:N587),'Guide &amp; Settings'!$C$41))</f>
        <v>0</v>
      </c>
      <c r="I588" s="117">
        <f t="shared" si="155"/>
        <v>0</v>
      </c>
      <c r="J588" s="118">
        <f>IF($D588="",0,IF($F588&lt;2,0,IF($E588="Win",('Guide &amp; Settings'!$C$42/(($F588-1)*COUNTIFS($A$4:$A$810,$A588,$E$4:$E$810,"Win")))*SUMIFS($X$4:$X$810,$A$4:$A$810,$A588,$E$4:$E$810,"Loss"),-('Guide &amp; Settings'!$C$42/($F588-1))*$X588)))</f>
        <v>0</v>
      </c>
      <c r="K588" s="118">
        <f>IF($D588="",0,'Guide &amp; Settings'!$C$43*(IF($E588="Win",1,0)-$I588))</f>
        <v>0</v>
      </c>
      <c r="L588" s="119">
        <f>IF($D588="",0,'Guide &amp; Settings'!$C$44*IF($F588&gt;=3,$F588,0))</f>
        <v>0</v>
      </c>
      <c r="M588" s="118">
        <f t="shared" si="156"/>
        <v>0</v>
      </c>
      <c r="N588" s="116">
        <f t="shared" si="157"/>
        <v>0</v>
      </c>
      <c r="O588" s="115" t="str">
        <f t="shared" si="158"/>
        <v/>
      </c>
      <c r="P588">
        <f t="shared" si="159"/>
        <v>0</v>
      </c>
      <c r="Q588">
        <f t="shared" si="160"/>
        <v>0</v>
      </c>
      <c r="R588">
        <f t="shared" si="161"/>
        <v>0</v>
      </c>
      <c r="S588">
        <f t="shared" si="162"/>
        <v>0</v>
      </c>
      <c r="T588" s="83">
        <f t="shared" si="163"/>
        <v>0</v>
      </c>
      <c r="U588" s="120">
        <f>IF($D588="",0,IFERROR(LOOKUP(2,1/(($D$3:D587=$D588)*($C$3:C587=$C588)*($A$3:A587&lt;$A588)),$AB$3:AB587),1000))</f>
        <v>0</v>
      </c>
      <c r="V588" s="120">
        <f t="shared" si="164"/>
        <v>0</v>
      </c>
      <c r="W588">
        <f t="shared" si="165"/>
        <v>0</v>
      </c>
      <c r="X588">
        <f t="shared" si="166"/>
        <v>0</v>
      </c>
      <c r="Y588">
        <f t="shared" si="167"/>
        <v>0</v>
      </c>
      <c r="Z588">
        <f t="shared" si="168"/>
        <v>0</v>
      </c>
      <c r="AA588">
        <f>IF($D588="",0,IF($F588&lt;2,0,IF($E588="Win",('Guide &amp; Settings'!$C$42/(($F588-1)*COUNTIFS($A$4:$A$810,$A588,$E$4:$E$810,"Win")))*SUMIFS($Z$4:$Z$810,$A$4:$A$810,$A588,$E$4:$E$810,"Loss"),-('Guide &amp; Settings'!$C$42/($F588-1))*$Z588)))</f>
        <v>0</v>
      </c>
      <c r="AB588" s="120">
        <f t="shared" si="169"/>
        <v>0</v>
      </c>
      <c r="AC588" s="120" t="str">
        <f>IF($D588="","",IF(SUMPRODUCT(MAX(($D$4:$D$810=$D588)*($B$4:$B$810&lt;$B588)*$B$4:$B$810))=0,0,MAX(($B588-MAX(SUMPRODUCT(MAX(($D$4:$D$810=$D588)*($B$4:$B$810&lt;$B588)*$B$4:$B$810)),'Guide &amp; Settings'!$C$50))/7-'Guide &amp; Settings'!$C$48,0)*'Guide &amp; Settings'!$C$49))</f>
        <v/>
      </c>
    </row>
    <row r="589" spans="1:29" x14ac:dyDescent="0.2">
      <c r="A589" s="111"/>
      <c r="B589" s="112"/>
      <c r="C589" s="113"/>
      <c r="D589" s="113"/>
      <c r="E589" s="111"/>
      <c r="F589" s="114">
        <f t="shared" si="153"/>
        <v>0</v>
      </c>
      <c r="G589" s="115" t="str">
        <f t="shared" si="154"/>
        <v/>
      </c>
      <c r="H589" s="116">
        <f>IF($D589="",0,IFERROR(LOOKUP(2,1/(($D$3:D588=$D589)*($A$3:A588&lt;$A589)),$N$3:N588),'Guide &amp; Settings'!$C$41))</f>
        <v>0</v>
      </c>
      <c r="I589" s="117">
        <f t="shared" si="155"/>
        <v>0</v>
      </c>
      <c r="J589" s="118">
        <f>IF($D589="",0,IF($F589&lt;2,0,IF($E589="Win",('Guide &amp; Settings'!$C$42/(($F589-1)*COUNTIFS($A$4:$A$810,$A589,$E$4:$E$810,"Win")))*SUMIFS($X$4:$X$810,$A$4:$A$810,$A589,$E$4:$E$810,"Loss"),-('Guide &amp; Settings'!$C$42/($F589-1))*$X589)))</f>
        <v>0</v>
      </c>
      <c r="K589" s="118">
        <f>IF($D589="",0,'Guide &amp; Settings'!$C$43*(IF($E589="Win",1,0)-$I589))</f>
        <v>0</v>
      </c>
      <c r="L589" s="119">
        <f>IF($D589="",0,'Guide &amp; Settings'!$C$44*IF($F589&gt;=3,$F589,0))</f>
        <v>0</v>
      </c>
      <c r="M589" s="118">
        <f t="shared" si="156"/>
        <v>0</v>
      </c>
      <c r="N589" s="116">
        <f t="shared" si="157"/>
        <v>0</v>
      </c>
      <c r="O589" s="115" t="str">
        <f t="shared" si="158"/>
        <v/>
      </c>
      <c r="P589">
        <f t="shared" si="159"/>
        <v>0</v>
      </c>
      <c r="Q589">
        <f t="shared" si="160"/>
        <v>0</v>
      </c>
      <c r="R589">
        <f t="shared" si="161"/>
        <v>0</v>
      </c>
      <c r="S589">
        <f t="shared" si="162"/>
        <v>0</v>
      </c>
      <c r="T589" s="83">
        <f t="shared" si="163"/>
        <v>0</v>
      </c>
      <c r="U589" s="120">
        <f>IF($D589="",0,IFERROR(LOOKUP(2,1/(($D$3:D588=$D589)*($C$3:C588=$C589)*($A$3:A588&lt;$A589)),$AB$3:AB588),1000))</f>
        <v>0</v>
      </c>
      <c r="V589" s="120">
        <f t="shared" si="164"/>
        <v>0</v>
      </c>
      <c r="W589">
        <f t="shared" si="165"/>
        <v>0</v>
      </c>
      <c r="X589">
        <f t="shared" si="166"/>
        <v>0</v>
      </c>
      <c r="Y589">
        <f t="shared" si="167"/>
        <v>0</v>
      </c>
      <c r="Z589">
        <f t="shared" si="168"/>
        <v>0</v>
      </c>
      <c r="AA589">
        <f>IF($D589="",0,IF($F589&lt;2,0,IF($E589="Win",('Guide &amp; Settings'!$C$42/(($F589-1)*COUNTIFS($A$4:$A$810,$A589,$E$4:$E$810,"Win")))*SUMIFS($Z$4:$Z$810,$A$4:$A$810,$A589,$E$4:$E$810,"Loss"),-('Guide &amp; Settings'!$C$42/($F589-1))*$Z589)))</f>
        <v>0</v>
      </c>
      <c r="AB589" s="120">
        <f t="shared" si="169"/>
        <v>0</v>
      </c>
      <c r="AC589" s="120" t="str">
        <f>IF($D589="","",IF(SUMPRODUCT(MAX(($D$4:$D$810=$D589)*($B$4:$B$810&lt;$B589)*$B$4:$B$810))=0,0,MAX(($B589-MAX(SUMPRODUCT(MAX(($D$4:$D$810=$D589)*($B$4:$B$810&lt;$B589)*$B$4:$B$810)),'Guide &amp; Settings'!$C$50))/7-'Guide &amp; Settings'!$C$48,0)*'Guide &amp; Settings'!$C$49))</f>
        <v/>
      </c>
    </row>
    <row r="590" spans="1:29" x14ac:dyDescent="0.2">
      <c r="A590" s="111"/>
      <c r="B590" s="112"/>
      <c r="C590" s="113"/>
      <c r="D590" s="113"/>
      <c r="E590" s="111"/>
      <c r="F590" s="114">
        <f t="shared" si="153"/>
        <v>0</v>
      </c>
      <c r="G590" s="115" t="str">
        <f t="shared" si="154"/>
        <v/>
      </c>
      <c r="H590" s="116">
        <f>IF($D590="",0,IFERROR(LOOKUP(2,1/(($D$3:D589=$D590)*($A$3:A589&lt;$A590)),$N$3:N589),'Guide &amp; Settings'!$C$41))</f>
        <v>0</v>
      </c>
      <c r="I590" s="117">
        <f t="shared" si="155"/>
        <v>0</v>
      </c>
      <c r="J590" s="118">
        <f>IF($D590="",0,IF($F590&lt;2,0,IF($E590="Win",('Guide &amp; Settings'!$C$42/(($F590-1)*COUNTIFS($A$4:$A$810,$A590,$E$4:$E$810,"Win")))*SUMIFS($X$4:$X$810,$A$4:$A$810,$A590,$E$4:$E$810,"Loss"),-('Guide &amp; Settings'!$C$42/($F590-1))*$X590)))</f>
        <v>0</v>
      </c>
      <c r="K590" s="118">
        <f>IF($D590="",0,'Guide &amp; Settings'!$C$43*(IF($E590="Win",1,0)-$I590))</f>
        <v>0</v>
      </c>
      <c r="L590" s="119">
        <f>IF($D590="",0,'Guide &amp; Settings'!$C$44*IF($F590&gt;=3,$F590,0))</f>
        <v>0</v>
      </c>
      <c r="M590" s="118">
        <f t="shared" si="156"/>
        <v>0</v>
      </c>
      <c r="N590" s="116">
        <f t="shared" si="157"/>
        <v>0</v>
      </c>
      <c r="O590" s="115" t="str">
        <f t="shared" si="158"/>
        <v/>
      </c>
      <c r="P590">
        <f t="shared" si="159"/>
        <v>0</v>
      </c>
      <c r="Q590">
        <f t="shared" si="160"/>
        <v>0</v>
      </c>
      <c r="R590">
        <f t="shared" si="161"/>
        <v>0</v>
      </c>
      <c r="S590">
        <f t="shared" si="162"/>
        <v>0</v>
      </c>
      <c r="T590" s="83">
        <f t="shared" si="163"/>
        <v>0</v>
      </c>
      <c r="U590" s="120">
        <f>IF($D590="",0,IFERROR(LOOKUP(2,1/(($D$3:D589=$D590)*($C$3:C589=$C590)*($A$3:A589&lt;$A590)),$AB$3:AB589),1000))</f>
        <v>0</v>
      </c>
      <c r="V590" s="120">
        <f t="shared" si="164"/>
        <v>0</v>
      </c>
      <c r="W590">
        <f t="shared" si="165"/>
        <v>0</v>
      </c>
      <c r="X590">
        <f t="shared" si="166"/>
        <v>0</v>
      </c>
      <c r="Y590">
        <f t="shared" si="167"/>
        <v>0</v>
      </c>
      <c r="Z590">
        <f t="shared" si="168"/>
        <v>0</v>
      </c>
      <c r="AA590">
        <f>IF($D590="",0,IF($F590&lt;2,0,IF($E590="Win",('Guide &amp; Settings'!$C$42/(($F590-1)*COUNTIFS($A$4:$A$810,$A590,$E$4:$E$810,"Win")))*SUMIFS($Z$4:$Z$810,$A$4:$A$810,$A590,$E$4:$E$810,"Loss"),-('Guide &amp; Settings'!$C$42/($F590-1))*$Z590)))</f>
        <v>0</v>
      </c>
      <c r="AB590" s="120">
        <f t="shared" si="169"/>
        <v>0</v>
      </c>
      <c r="AC590" s="120" t="str">
        <f>IF($D590="","",IF(SUMPRODUCT(MAX(($D$4:$D$810=$D590)*($B$4:$B$810&lt;$B590)*$B$4:$B$810))=0,0,MAX(($B590-MAX(SUMPRODUCT(MAX(($D$4:$D$810=$D590)*($B$4:$B$810&lt;$B590)*$B$4:$B$810)),'Guide &amp; Settings'!$C$50))/7-'Guide &amp; Settings'!$C$48,0)*'Guide &amp; Settings'!$C$49))</f>
        <v/>
      </c>
    </row>
    <row r="591" spans="1:29" x14ac:dyDescent="0.2">
      <c r="A591" s="111"/>
      <c r="B591" s="112"/>
      <c r="C591" s="113"/>
      <c r="D591" s="113"/>
      <c r="E591" s="111"/>
      <c r="F591" s="114">
        <f t="shared" si="153"/>
        <v>0</v>
      </c>
      <c r="G591" s="115" t="str">
        <f t="shared" si="154"/>
        <v/>
      </c>
      <c r="H591" s="116">
        <f>IF($D591="",0,IFERROR(LOOKUP(2,1/(($D$3:D590=$D591)*($A$3:A590&lt;$A591)),$N$3:N590),'Guide &amp; Settings'!$C$41))</f>
        <v>0</v>
      </c>
      <c r="I591" s="117">
        <f t="shared" si="155"/>
        <v>0</v>
      </c>
      <c r="J591" s="118">
        <f>IF($D591="",0,IF($F591&lt;2,0,IF($E591="Win",('Guide &amp; Settings'!$C$42/(($F591-1)*COUNTIFS($A$4:$A$810,$A591,$E$4:$E$810,"Win")))*SUMIFS($X$4:$X$810,$A$4:$A$810,$A591,$E$4:$E$810,"Loss"),-('Guide &amp; Settings'!$C$42/($F591-1))*$X591)))</f>
        <v>0</v>
      </c>
      <c r="K591" s="118">
        <f>IF($D591="",0,'Guide &amp; Settings'!$C$43*(IF($E591="Win",1,0)-$I591))</f>
        <v>0</v>
      </c>
      <c r="L591" s="119">
        <f>IF($D591="",0,'Guide &amp; Settings'!$C$44*IF($F591&gt;=3,$F591,0))</f>
        <v>0</v>
      </c>
      <c r="M591" s="118">
        <f t="shared" si="156"/>
        <v>0</v>
      </c>
      <c r="N591" s="116">
        <f t="shared" si="157"/>
        <v>0</v>
      </c>
      <c r="O591" s="115" t="str">
        <f t="shared" si="158"/>
        <v/>
      </c>
      <c r="P591">
        <f t="shared" si="159"/>
        <v>0</v>
      </c>
      <c r="Q591">
        <f t="shared" si="160"/>
        <v>0</v>
      </c>
      <c r="R591">
        <f t="shared" si="161"/>
        <v>0</v>
      </c>
      <c r="S591">
        <f t="shared" si="162"/>
        <v>0</v>
      </c>
      <c r="T591" s="83">
        <f t="shared" si="163"/>
        <v>0</v>
      </c>
      <c r="U591" s="120">
        <f>IF($D591="",0,IFERROR(LOOKUP(2,1/(($D$3:D590=$D591)*($C$3:C590=$C591)*($A$3:A590&lt;$A591)),$AB$3:AB590),1000))</f>
        <v>0</v>
      </c>
      <c r="V591" s="120">
        <f t="shared" si="164"/>
        <v>0</v>
      </c>
      <c r="W591">
        <f t="shared" si="165"/>
        <v>0</v>
      </c>
      <c r="X591">
        <f t="shared" si="166"/>
        <v>0</v>
      </c>
      <c r="Y591">
        <f t="shared" si="167"/>
        <v>0</v>
      </c>
      <c r="Z591">
        <f t="shared" si="168"/>
        <v>0</v>
      </c>
      <c r="AA591">
        <f>IF($D591="",0,IF($F591&lt;2,0,IF($E591="Win",('Guide &amp; Settings'!$C$42/(($F591-1)*COUNTIFS($A$4:$A$810,$A591,$E$4:$E$810,"Win")))*SUMIFS($Z$4:$Z$810,$A$4:$A$810,$A591,$E$4:$E$810,"Loss"),-('Guide &amp; Settings'!$C$42/($F591-1))*$Z591)))</f>
        <v>0</v>
      </c>
      <c r="AB591" s="120">
        <f t="shared" si="169"/>
        <v>0</v>
      </c>
      <c r="AC591" s="120" t="str">
        <f>IF($D591="","",IF(SUMPRODUCT(MAX(($D$4:$D$810=$D591)*($B$4:$B$810&lt;$B591)*$B$4:$B$810))=0,0,MAX(($B591-MAX(SUMPRODUCT(MAX(($D$4:$D$810=$D591)*($B$4:$B$810&lt;$B591)*$B$4:$B$810)),'Guide &amp; Settings'!$C$50))/7-'Guide &amp; Settings'!$C$48,0)*'Guide &amp; Settings'!$C$49))</f>
        <v/>
      </c>
    </row>
    <row r="592" spans="1:29" x14ac:dyDescent="0.2">
      <c r="A592" s="111"/>
      <c r="B592" s="112"/>
      <c r="C592" s="113"/>
      <c r="D592" s="113"/>
      <c r="E592" s="111"/>
      <c r="F592" s="114">
        <f t="shared" si="153"/>
        <v>0</v>
      </c>
      <c r="G592" s="115" t="str">
        <f t="shared" si="154"/>
        <v/>
      </c>
      <c r="H592" s="116">
        <f>IF($D592="",0,IFERROR(LOOKUP(2,1/(($D$3:D591=$D592)*($A$3:A591&lt;$A592)),$N$3:N591),'Guide &amp; Settings'!$C$41))</f>
        <v>0</v>
      </c>
      <c r="I592" s="117">
        <f t="shared" si="155"/>
        <v>0</v>
      </c>
      <c r="J592" s="118">
        <f>IF($D592="",0,IF($F592&lt;2,0,IF($E592="Win",('Guide &amp; Settings'!$C$42/(($F592-1)*COUNTIFS($A$4:$A$810,$A592,$E$4:$E$810,"Win")))*SUMIFS($X$4:$X$810,$A$4:$A$810,$A592,$E$4:$E$810,"Loss"),-('Guide &amp; Settings'!$C$42/($F592-1))*$X592)))</f>
        <v>0</v>
      </c>
      <c r="K592" s="118">
        <f>IF($D592="",0,'Guide &amp; Settings'!$C$43*(IF($E592="Win",1,0)-$I592))</f>
        <v>0</v>
      </c>
      <c r="L592" s="119">
        <f>IF($D592="",0,'Guide &amp; Settings'!$C$44*IF($F592&gt;=3,$F592,0))</f>
        <v>0</v>
      </c>
      <c r="M592" s="118">
        <f t="shared" si="156"/>
        <v>0</v>
      </c>
      <c r="N592" s="116">
        <f t="shared" si="157"/>
        <v>0</v>
      </c>
      <c r="O592" s="115" t="str">
        <f t="shared" si="158"/>
        <v/>
      </c>
      <c r="P592">
        <f t="shared" si="159"/>
        <v>0</v>
      </c>
      <c r="Q592">
        <f t="shared" si="160"/>
        <v>0</v>
      </c>
      <c r="R592">
        <f t="shared" si="161"/>
        <v>0</v>
      </c>
      <c r="S592">
        <f t="shared" si="162"/>
        <v>0</v>
      </c>
      <c r="T592" s="83">
        <f t="shared" si="163"/>
        <v>0</v>
      </c>
      <c r="U592" s="120">
        <f>IF($D592="",0,IFERROR(LOOKUP(2,1/(($D$3:D591=$D592)*($C$3:C591=$C592)*($A$3:A591&lt;$A592)),$AB$3:AB591),1000))</f>
        <v>0</v>
      </c>
      <c r="V592" s="120">
        <f t="shared" si="164"/>
        <v>0</v>
      </c>
      <c r="W592">
        <f t="shared" si="165"/>
        <v>0</v>
      </c>
      <c r="X592">
        <f t="shared" si="166"/>
        <v>0</v>
      </c>
      <c r="Y592">
        <f t="shared" si="167"/>
        <v>0</v>
      </c>
      <c r="Z592">
        <f t="shared" si="168"/>
        <v>0</v>
      </c>
      <c r="AA592">
        <f>IF($D592="",0,IF($F592&lt;2,0,IF($E592="Win",('Guide &amp; Settings'!$C$42/(($F592-1)*COUNTIFS($A$4:$A$810,$A592,$E$4:$E$810,"Win")))*SUMIFS($Z$4:$Z$810,$A$4:$A$810,$A592,$E$4:$E$810,"Loss"),-('Guide &amp; Settings'!$C$42/($F592-1))*$Z592)))</f>
        <v>0</v>
      </c>
      <c r="AB592" s="120">
        <f t="shared" si="169"/>
        <v>0</v>
      </c>
      <c r="AC592" s="120" t="str">
        <f>IF($D592="","",IF(SUMPRODUCT(MAX(($D$4:$D$810=$D592)*($B$4:$B$810&lt;$B592)*$B$4:$B$810))=0,0,MAX(($B592-MAX(SUMPRODUCT(MAX(($D$4:$D$810=$D592)*($B$4:$B$810&lt;$B592)*$B$4:$B$810)),'Guide &amp; Settings'!$C$50))/7-'Guide &amp; Settings'!$C$48,0)*'Guide &amp; Settings'!$C$49))</f>
        <v/>
      </c>
    </row>
    <row r="593" spans="1:29" x14ac:dyDescent="0.2">
      <c r="A593" s="111"/>
      <c r="B593" s="112"/>
      <c r="C593" s="113"/>
      <c r="D593" s="113"/>
      <c r="E593" s="111"/>
      <c r="F593" s="114">
        <f t="shared" si="153"/>
        <v>0</v>
      </c>
      <c r="G593" s="115" t="str">
        <f t="shared" si="154"/>
        <v/>
      </c>
      <c r="H593" s="116">
        <f>IF($D593="",0,IFERROR(LOOKUP(2,1/(($D$3:D592=$D593)*($A$3:A592&lt;$A593)),$N$3:N592),'Guide &amp; Settings'!$C$41))</f>
        <v>0</v>
      </c>
      <c r="I593" s="117">
        <f t="shared" si="155"/>
        <v>0</v>
      </c>
      <c r="J593" s="118">
        <f>IF($D593="",0,IF($F593&lt;2,0,IF($E593="Win",('Guide &amp; Settings'!$C$42/(($F593-1)*COUNTIFS($A$4:$A$810,$A593,$E$4:$E$810,"Win")))*SUMIFS($X$4:$X$810,$A$4:$A$810,$A593,$E$4:$E$810,"Loss"),-('Guide &amp; Settings'!$C$42/($F593-1))*$X593)))</f>
        <v>0</v>
      </c>
      <c r="K593" s="118">
        <f>IF($D593="",0,'Guide &amp; Settings'!$C$43*(IF($E593="Win",1,0)-$I593))</f>
        <v>0</v>
      </c>
      <c r="L593" s="119">
        <f>IF($D593="",0,'Guide &amp; Settings'!$C$44*IF($F593&gt;=3,$F593,0))</f>
        <v>0</v>
      </c>
      <c r="M593" s="118">
        <f t="shared" si="156"/>
        <v>0</v>
      </c>
      <c r="N593" s="116">
        <f t="shared" si="157"/>
        <v>0</v>
      </c>
      <c r="O593" s="115" t="str">
        <f t="shared" si="158"/>
        <v/>
      </c>
      <c r="P593">
        <f t="shared" si="159"/>
        <v>0</v>
      </c>
      <c r="Q593">
        <f t="shared" si="160"/>
        <v>0</v>
      </c>
      <c r="R593">
        <f t="shared" si="161"/>
        <v>0</v>
      </c>
      <c r="S593">
        <f t="shared" si="162"/>
        <v>0</v>
      </c>
      <c r="T593" s="83">
        <f t="shared" si="163"/>
        <v>0</v>
      </c>
      <c r="U593" s="120">
        <f>IF($D593="",0,IFERROR(LOOKUP(2,1/(($D$3:D592=$D593)*($C$3:C592=$C593)*($A$3:A592&lt;$A593)),$AB$3:AB592),1000))</f>
        <v>0</v>
      </c>
      <c r="V593" s="120">
        <f t="shared" si="164"/>
        <v>0</v>
      </c>
      <c r="W593">
        <f t="shared" si="165"/>
        <v>0</v>
      </c>
      <c r="X593">
        <f t="shared" si="166"/>
        <v>0</v>
      </c>
      <c r="Y593">
        <f t="shared" si="167"/>
        <v>0</v>
      </c>
      <c r="Z593">
        <f t="shared" si="168"/>
        <v>0</v>
      </c>
      <c r="AA593">
        <f>IF($D593="",0,IF($F593&lt;2,0,IF($E593="Win",('Guide &amp; Settings'!$C$42/(($F593-1)*COUNTIFS($A$4:$A$810,$A593,$E$4:$E$810,"Win")))*SUMIFS($Z$4:$Z$810,$A$4:$A$810,$A593,$E$4:$E$810,"Loss"),-('Guide &amp; Settings'!$C$42/($F593-1))*$Z593)))</f>
        <v>0</v>
      </c>
      <c r="AB593" s="120">
        <f t="shared" si="169"/>
        <v>0</v>
      </c>
      <c r="AC593" s="120" t="str">
        <f>IF($D593="","",IF(SUMPRODUCT(MAX(($D$4:$D$810=$D593)*($B$4:$B$810&lt;$B593)*$B$4:$B$810))=0,0,MAX(($B593-MAX(SUMPRODUCT(MAX(($D$4:$D$810=$D593)*($B$4:$B$810&lt;$B593)*$B$4:$B$810)),'Guide &amp; Settings'!$C$50))/7-'Guide &amp; Settings'!$C$48,0)*'Guide &amp; Settings'!$C$49))</f>
        <v/>
      </c>
    </row>
    <row r="594" spans="1:29" x14ac:dyDescent="0.2">
      <c r="A594" s="111"/>
      <c r="B594" s="112"/>
      <c r="C594" s="113"/>
      <c r="D594" s="113"/>
      <c r="E594" s="111"/>
      <c r="F594" s="114">
        <f t="shared" si="153"/>
        <v>0</v>
      </c>
      <c r="G594" s="115" t="str">
        <f t="shared" si="154"/>
        <v/>
      </c>
      <c r="H594" s="116">
        <f>IF($D594="",0,IFERROR(LOOKUP(2,1/(($D$3:D593=$D594)*($A$3:A593&lt;$A594)),$N$3:N593),'Guide &amp; Settings'!$C$41))</f>
        <v>0</v>
      </c>
      <c r="I594" s="117">
        <f t="shared" si="155"/>
        <v>0</v>
      </c>
      <c r="J594" s="118">
        <f>IF($D594="",0,IF($F594&lt;2,0,IF($E594="Win",('Guide &amp; Settings'!$C$42/(($F594-1)*COUNTIFS($A$4:$A$810,$A594,$E$4:$E$810,"Win")))*SUMIFS($X$4:$X$810,$A$4:$A$810,$A594,$E$4:$E$810,"Loss"),-('Guide &amp; Settings'!$C$42/($F594-1))*$X594)))</f>
        <v>0</v>
      </c>
      <c r="K594" s="118">
        <f>IF($D594="",0,'Guide &amp; Settings'!$C$43*(IF($E594="Win",1,0)-$I594))</f>
        <v>0</v>
      </c>
      <c r="L594" s="119">
        <f>IF($D594="",0,'Guide &amp; Settings'!$C$44*IF($F594&gt;=3,$F594,0))</f>
        <v>0</v>
      </c>
      <c r="M594" s="118">
        <f t="shared" si="156"/>
        <v>0</v>
      </c>
      <c r="N594" s="116">
        <f t="shared" si="157"/>
        <v>0</v>
      </c>
      <c r="O594" s="115" t="str">
        <f t="shared" si="158"/>
        <v/>
      </c>
      <c r="P594">
        <f t="shared" si="159"/>
        <v>0</v>
      </c>
      <c r="Q594">
        <f t="shared" si="160"/>
        <v>0</v>
      </c>
      <c r="R594">
        <f t="shared" si="161"/>
        <v>0</v>
      </c>
      <c r="S594">
        <f t="shared" si="162"/>
        <v>0</v>
      </c>
      <c r="T594" s="83">
        <f t="shared" si="163"/>
        <v>0</v>
      </c>
      <c r="U594" s="120">
        <f>IF($D594="",0,IFERROR(LOOKUP(2,1/(($D$3:D593=$D594)*($C$3:C593=$C594)*($A$3:A593&lt;$A594)),$AB$3:AB593),1000))</f>
        <v>0</v>
      </c>
      <c r="V594" s="120">
        <f t="shared" si="164"/>
        <v>0</v>
      </c>
      <c r="W594">
        <f t="shared" si="165"/>
        <v>0</v>
      </c>
      <c r="X594">
        <f t="shared" si="166"/>
        <v>0</v>
      </c>
      <c r="Y594">
        <f t="shared" si="167"/>
        <v>0</v>
      </c>
      <c r="Z594">
        <f t="shared" si="168"/>
        <v>0</v>
      </c>
      <c r="AA594">
        <f>IF($D594="",0,IF($F594&lt;2,0,IF($E594="Win",('Guide &amp; Settings'!$C$42/(($F594-1)*COUNTIFS($A$4:$A$810,$A594,$E$4:$E$810,"Win")))*SUMIFS($Z$4:$Z$810,$A$4:$A$810,$A594,$E$4:$E$810,"Loss"),-('Guide &amp; Settings'!$C$42/($F594-1))*$Z594)))</f>
        <v>0</v>
      </c>
      <c r="AB594" s="120">
        <f t="shared" si="169"/>
        <v>0</v>
      </c>
      <c r="AC594" s="120" t="str">
        <f>IF($D594="","",IF(SUMPRODUCT(MAX(($D$4:$D$810=$D594)*($B$4:$B$810&lt;$B594)*$B$4:$B$810))=0,0,MAX(($B594-MAX(SUMPRODUCT(MAX(($D$4:$D$810=$D594)*($B$4:$B$810&lt;$B594)*$B$4:$B$810)),'Guide &amp; Settings'!$C$50))/7-'Guide &amp; Settings'!$C$48,0)*'Guide &amp; Settings'!$C$49))</f>
        <v/>
      </c>
    </row>
    <row r="595" spans="1:29" x14ac:dyDescent="0.2">
      <c r="A595" s="111"/>
      <c r="B595" s="112"/>
      <c r="C595" s="113"/>
      <c r="D595" s="113"/>
      <c r="E595" s="111"/>
      <c r="F595" s="114">
        <f t="shared" si="153"/>
        <v>0</v>
      </c>
      <c r="G595" s="115" t="str">
        <f t="shared" si="154"/>
        <v/>
      </c>
      <c r="H595" s="116">
        <f>IF($D595="",0,IFERROR(LOOKUP(2,1/(($D$3:D594=$D595)*($A$3:A594&lt;$A595)),$N$3:N594),'Guide &amp; Settings'!$C$41))</f>
        <v>0</v>
      </c>
      <c r="I595" s="117">
        <f t="shared" si="155"/>
        <v>0</v>
      </c>
      <c r="J595" s="118">
        <f>IF($D595="",0,IF($F595&lt;2,0,IF($E595="Win",('Guide &amp; Settings'!$C$42/(($F595-1)*COUNTIFS($A$4:$A$810,$A595,$E$4:$E$810,"Win")))*SUMIFS($X$4:$X$810,$A$4:$A$810,$A595,$E$4:$E$810,"Loss"),-('Guide &amp; Settings'!$C$42/($F595-1))*$X595)))</f>
        <v>0</v>
      </c>
      <c r="K595" s="118">
        <f>IF($D595="",0,'Guide &amp; Settings'!$C$43*(IF($E595="Win",1,0)-$I595))</f>
        <v>0</v>
      </c>
      <c r="L595" s="119">
        <f>IF($D595="",0,'Guide &amp; Settings'!$C$44*IF($F595&gt;=3,$F595,0))</f>
        <v>0</v>
      </c>
      <c r="M595" s="118">
        <f t="shared" si="156"/>
        <v>0</v>
      </c>
      <c r="N595" s="116">
        <f t="shared" si="157"/>
        <v>0</v>
      </c>
      <c r="O595" s="115" t="str">
        <f t="shared" si="158"/>
        <v/>
      </c>
      <c r="P595">
        <f t="shared" si="159"/>
        <v>0</v>
      </c>
      <c r="Q595">
        <f t="shared" si="160"/>
        <v>0</v>
      </c>
      <c r="R595">
        <f t="shared" si="161"/>
        <v>0</v>
      </c>
      <c r="S595">
        <f t="shared" si="162"/>
        <v>0</v>
      </c>
      <c r="T595" s="83">
        <f t="shared" si="163"/>
        <v>0</v>
      </c>
      <c r="U595" s="120">
        <f>IF($D595="",0,IFERROR(LOOKUP(2,1/(($D$3:D594=$D595)*($C$3:C594=$C595)*($A$3:A594&lt;$A595)),$AB$3:AB594),1000))</f>
        <v>0</v>
      </c>
      <c r="V595" s="120">
        <f t="shared" si="164"/>
        <v>0</v>
      </c>
      <c r="W595">
        <f t="shared" si="165"/>
        <v>0</v>
      </c>
      <c r="X595">
        <f t="shared" si="166"/>
        <v>0</v>
      </c>
      <c r="Y595">
        <f t="shared" si="167"/>
        <v>0</v>
      </c>
      <c r="Z595">
        <f t="shared" si="168"/>
        <v>0</v>
      </c>
      <c r="AA595">
        <f>IF($D595="",0,IF($F595&lt;2,0,IF($E595="Win",('Guide &amp; Settings'!$C$42/(($F595-1)*COUNTIFS($A$4:$A$810,$A595,$E$4:$E$810,"Win")))*SUMIFS($Z$4:$Z$810,$A$4:$A$810,$A595,$E$4:$E$810,"Loss"),-('Guide &amp; Settings'!$C$42/($F595-1))*$Z595)))</f>
        <v>0</v>
      </c>
      <c r="AB595" s="120">
        <f t="shared" si="169"/>
        <v>0</v>
      </c>
      <c r="AC595" s="120" t="str">
        <f>IF($D595="","",IF(SUMPRODUCT(MAX(($D$4:$D$810=$D595)*($B$4:$B$810&lt;$B595)*$B$4:$B$810))=0,0,MAX(($B595-MAX(SUMPRODUCT(MAX(($D$4:$D$810=$D595)*($B$4:$B$810&lt;$B595)*$B$4:$B$810)),'Guide &amp; Settings'!$C$50))/7-'Guide &amp; Settings'!$C$48,0)*'Guide &amp; Settings'!$C$49))</f>
        <v/>
      </c>
    </row>
    <row r="596" spans="1:29" x14ac:dyDescent="0.2">
      <c r="A596" s="111"/>
      <c r="B596" s="112"/>
      <c r="C596" s="113"/>
      <c r="D596" s="113"/>
      <c r="E596" s="111"/>
      <c r="F596" s="114">
        <f t="shared" si="153"/>
        <v>0</v>
      </c>
      <c r="G596" s="115" t="str">
        <f t="shared" si="154"/>
        <v/>
      </c>
      <c r="H596" s="116">
        <f>IF($D596="",0,IFERROR(LOOKUP(2,1/(($D$3:D595=$D596)*($A$3:A595&lt;$A596)),$N$3:N595),'Guide &amp; Settings'!$C$41))</f>
        <v>0</v>
      </c>
      <c r="I596" s="117">
        <f t="shared" si="155"/>
        <v>0</v>
      </c>
      <c r="J596" s="118">
        <f>IF($D596="",0,IF($F596&lt;2,0,IF($E596="Win",('Guide &amp; Settings'!$C$42/(($F596-1)*COUNTIFS($A$4:$A$810,$A596,$E$4:$E$810,"Win")))*SUMIFS($X$4:$X$810,$A$4:$A$810,$A596,$E$4:$E$810,"Loss"),-('Guide &amp; Settings'!$C$42/($F596-1))*$X596)))</f>
        <v>0</v>
      </c>
      <c r="K596" s="118">
        <f>IF($D596="",0,'Guide &amp; Settings'!$C$43*(IF($E596="Win",1,0)-$I596))</f>
        <v>0</v>
      </c>
      <c r="L596" s="119">
        <f>IF($D596="",0,'Guide &amp; Settings'!$C$44*IF($F596&gt;=3,$F596,0))</f>
        <v>0</v>
      </c>
      <c r="M596" s="118">
        <f t="shared" si="156"/>
        <v>0</v>
      </c>
      <c r="N596" s="116">
        <f t="shared" si="157"/>
        <v>0</v>
      </c>
      <c r="O596" s="115" t="str">
        <f t="shared" si="158"/>
        <v/>
      </c>
      <c r="P596">
        <f t="shared" si="159"/>
        <v>0</v>
      </c>
      <c r="Q596">
        <f t="shared" si="160"/>
        <v>0</v>
      </c>
      <c r="R596">
        <f t="shared" si="161"/>
        <v>0</v>
      </c>
      <c r="S596">
        <f t="shared" si="162"/>
        <v>0</v>
      </c>
      <c r="T596" s="83">
        <f t="shared" si="163"/>
        <v>0</v>
      </c>
      <c r="U596" s="120">
        <f>IF($D596="",0,IFERROR(LOOKUP(2,1/(($D$3:D595=$D596)*($C$3:C595=$C596)*($A$3:A595&lt;$A596)),$AB$3:AB595),1000))</f>
        <v>0</v>
      </c>
      <c r="V596" s="120">
        <f t="shared" si="164"/>
        <v>0</v>
      </c>
      <c r="W596">
        <f t="shared" si="165"/>
        <v>0</v>
      </c>
      <c r="X596">
        <f t="shared" si="166"/>
        <v>0</v>
      </c>
      <c r="Y596">
        <f t="shared" si="167"/>
        <v>0</v>
      </c>
      <c r="Z596">
        <f t="shared" si="168"/>
        <v>0</v>
      </c>
      <c r="AA596">
        <f>IF($D596="",0,IF($F596&lt;2,0,IF($E596="Win",('Guide &amp; Settings'!$C$42/(($F596-1)*COUNTIFS($A$4:$A$810,$A596,$E$4:$E$810,"Win")))*SUMIFS($Z$4:$Z$810,$A$4:$A$810,$A596,$E$4:$E$810,"Loss"),-('Guide &amp; Settings'!$C$42/($F596-1))*$Z596)))</f>
        <v>0</v>
      </c>
      <c r="AB596" s="120">
        <f t="shared" si="169"/>
        <v>0</v>
      </c>
      <c r="AC596" s="120" t="str">
        <f>IF($D596="","",IF(SUMPRODUCT(MAX(($D$4:$D$810=$D596)*($B$4:$B$810&lt;$B596)*$B$4:$B$810))=0,0,MAX(($B596-MAX(SUMPRODUCT(MAX(($D$4:$D$810=$D596)*($B$4:$B$810&lt;$B596)*$B$4:$B$810)),'Guide &amp; Settings'!$C$50))/7-'Guide &amp; Settings'!$C$48,0)*'Guide &amp; Settings'!$C$49))</f>
        <v/>
      </c>
    </row>
    <row r="597" spans="1:29" x14ac:dyDescent="0.2">
      <c r="A597" s="111"/>
      <c r="B597" s="112"/>
      <c r="C597" s="113"/>
      <c r="D597" s="113"/>
      <c r="E597" s="111"/>
      <c r="F597" s="114">
        <f t="shared" si="153"/>
        <v>0</v>
      </c>
      <c r="G597" s="115" t="str">
        <f t="shared" si="154"/>
        <v/>
      </c>
      <c r="H597" s="116">
        <f>IF($D597="",0,IFERROR(LOOKUP(2,1/(($D$3:D596=$D597)*($A$3:A596&lt;$A597)),$N$3:N596),'Guide &amp; Settings'!$C$41))</f>
        <v>0</v>
      </c>
      <c r="I597" s="117">
        <f t="shared" si="155"/>
        <v>0</v>
      </c>
      <c r="J597" s="118">
        <f>IF($D597="",0,IF($F597&lt;2,0,IF($E597="Win",('Guide &amp; Settings'!$C$42/(($F597-1)*COUNTIFS($A$4:$A$810,$A597,$E$4:$E$810,"Win")))*SUMIFS($X$4:$X$810,$A$4:$A$810,$A597,$E$4:$E$810,"Loss"),-('Guide &amp; Settings'!$C$42/($F597-1))*$X597)))</f>
        <v>0</v>
      </c>
      <c r="K597" s="118">
        <f>IF($D597="",0,'Guide &amp; Settings'!$C$43*(IF($E597="Win",1,0)-$I597))</f>
        <v>0</v>
      </c>
      <c r="L597" s="119">
        <f>IF($D597="",0,'Guide &amp; Settings'!$C$44*IF($F597&gt;=3,$F597,0))</f>
        <v>0</v>
      </c>
      <c r="M597" s="118">
        <f t="shared" si="156"/>
        <v>0</v>
      </c>
      <c r="N597" s="116">
        <f t="shared" si="157"/>
        <v>0</v>
      </c>
      <c r="O597" s="115" t="str">
        <f t="shared" si="158"/>
        <v/>
      </c>
      <c r="P597">
        <f t="shared" si="159"/>
        <v>0</v>
      </c>
      <c r="Q597">
        <f t="shared" si="160"/>
        <v>0</v>
      </c>
      <c r="R597">
        <f t="shared" si="161"/>
        <v>0</v>
      </c>
      <c r="S597">
        <f t="shared" si="162"/>
        <v>0</v>
      </c>
      <c r="T597" s="83">
        <f t="shared" si="163"/>
        <v>0</v>
      </c>
      <c r="U597" s="120">
        <f>IF($D597="",0,IFERROR(LOOKUP(2,1/(($D$3:D596=$D597)*($C$3:C596=$C597)*($A$3:A596&lt;$A597)),$AB$3:AB596),1000))</f>
        <v>0</v>
      </c>
      <c r="V597" s="120">
        <f t="shared" si="164"/>
        <v>0</v>
      </c>
      <c r="W597">
        <f t="shared" si="165"/>
        <v>0</v>
      </c>
      <c r="X597">
        <f t="shared" si="166"/>
        <v>0</v>
      </c>
      <c r="Y597">
        <f t="shared" si="167"/>
        <v>0</v>
      </c>
      <c r="Z597">
        <f t="shared" si="168"/>
        <v>0</v>
      </c>
      <c r="AA597">
        <f>IF($D597="",0,IF($F597&lt;2,0,IF($E597="Win",('Guide &amp; Settings'!$C$42/(($F597-1)*COUNTIFS($A$4:$A$810,$A597,$E$4:$E$810,"Win")))*SUMIFS($Z$4:$Z$810,$A$4:$A$810,$A597,$E$4:$E$810,"Loss"),-('Guide &amp; Settings'!$C$42/($F597-1))*$Z597)))</f>
        <v>0</v>
      </c>
      <c r="AB597" s="120">
        <f t="shared" si="169"/>
        <v>0</v>
      </c>
      <c r="AC597" s="120" t="str">
        <f>IF($D597="","",IF(SUMPRODUCT(MAX(($D$4:$D$810=$D597)*($B$4:$B$810&lt;$B597)*$B$4:$B$810))=0,0,MAX(($B597-MAX(SUMPRODUCT(MAX(($D$4:$D$810=$D597)*($B$4:$B$810&lt;$B597)*$B$4:$B$810)),'Guide &amp; Settings'!$C$50))/7-'Guide &amp; Settings'!$C$48,0)*'Guide &amp; Settings'!$C$49))</f>
        <v/>
      </c>
    </row>
    <row r="598" spans="1:29" x14ac:dyDescent="0.2">
      <c r="A598" s="111"/>
      <c r="B598" s="112"/>
      <c r="C598" s="113"/>
      <c r="D598" s="113"/>
      <c r="E598" s="111"/>
      <c r="F598" s="114">
        <f t="shared" si="153"/>
        <v>0</v>
      </c>
      <c r="G598" s="115" t="str">
        <f t="shared" si="154"/>
        <v/>
      </c>
      <c r="H598" s="116">
        <f>IF($D598="",0,IFERROR(LOOKUP(2,1/(($D$3:D597=$D598)*($A$3:A597&lt;$A598)),$N$3:N597),'Guide &amp; Settings'!$C$41))</f>
        <v>0</v>
      </c>
      <c r="I598" s="117">
        <f t="shared" si="155"/>
        <v>0</v>
      </c>
      <c r="J598" s="118">
        <f>IF($D598="",0,IF($F598&lt;2,0,IF($E598="Win",('Guide &amp; Settings'!$C$42/(($F598-1)*COUNTIFS($A$4:$A$810,$A598,$E$4:$E$810,"Win")))*SUMIFS($X$4:$X$810,$A$4:$A$810,$A598,$E$4:$E$810,"Loss"),-('Guide &amp; Settings'!$C$42/($F598-1))*$X598)))</f>
        <v>0</v>
      </c>
      <c r="K598" s="118">
        <f>IF($D598="",0,'Guide &amp; Settings'!$C$43*(IF($E598="Win",1,0)-$I598))</f>
        <v>0</v>
      </c>
      <c r="L598" s="119">
        <f>IF($D598="",0,'Guide &amp; Settings'!$C$44*IF($F598&gt;=3,$F598,0))</f>
        <v>0</v>
      </c>
      <c r="M598" s="118">
        <f t="shared" si="156"/>
        <v>0</v>
      </c>
      <c r="N598" s="116">
        <f t="shared" si="157"/>
        <v>0</v>
      </c>
      <c r="O598" s="115" t="str">
        <f t="shared" si="158"/>
        <v/>
      </c>
      <c r="P598">
        <f t="shared" si="159"/>
        <v>0</v>
      </c>
      <c r="Q598">
        <f t="shared" si="160"/>
        <v>0</v>
      </c>
      <c r="R598">
        <f t="shared" si="161"/>
        <v>0</v>
      </c>
      <c r="S598">
        <f t="shared" si="162"/>
        <v>0</v>
      </c>
      <c r="T598" s="83">
        <f t="shared" si="163"/>
        <v>0</v>
      </c>
      <c r="U598" s="120">
        <f>IF($D598="",0,IFERROR(LOOKUP(2,1/(($D$3:D597=$D598)*($C$3:C597=$C598)*($A$3:A597&lt;$A598)),$AB$3:AB597),1000))</f>
        <v>0</v>
      </c>
      <c r="V598" s="120">
        <f t="shared" si="164"/>
        <v>0</v>
      </c>
      <c r="W598">
        <f t="shared" si="165"/>
        <v>0</v>
      </c>
      <c r="X598">
        <f t="shared" si="166"/>
        <v>0</v>
      </c>
      <c r="Y598">
        <f t="shared" si="167"/>
        <v>0</v>
      </c>
      <c r="Z598">
        <f t="shared" si="168"/>
        <v>0</v>
      </c>
      <c r="AA598">
        <f>IF($D598="",0,IF($F598&lt;2,0,IF($E598="Win",('Guide &amp; Settings'!$C$42/(($F598-1)*COUNTIFS($A$4:$A$810,$A598,$E$4:$E$810,"Win")))*SUMIFS($Z$4:$Z$810,$A$4:$A$810,$A598,$E$4:$E$810,"Loss"),-('Guide &amp; Settings'!$C$42/($F598-1))*$Z598)))</f>
        <v>0</v>
      </c>
      <c r="AB598" s="120">
        <f t="shared" si="169"/>
        <v>0</v>
      </c>
      <c r="AC598" s="120" t="str">
        <f>IF($D598="","",IF(SUMPRODUCT(MAX(($D$4:$D$810=$D598)*($B$4:$B$810&lt;$B598)*$B$4:$B$810))=0,0,MAX(($B598-MAX(SUMPRODUCT(MAX(($D$4:$D$810=$D598)*($B$4:$B$810&lt;$B598)*$B$4:$B$810)),'Guide &amp; Settings'!$C$50))/7-'Guide &amp; Settings'!$C$48,0)*'Guide &amp; Settings'!$C$49))</f>
        <v/>
      </c>
    </row>
    <row r="599" spans="1:29" x14ac:dyDescent="0.2">
      <c r="A599" s="111"/>
      <c r="B599" s="112"/>
      <c r="C599" s="113"/>
      <c r="D599" s="113"/>
      <c r="E599" s="111"/>
      <c r="F599" s="114">
        <f t="shared" si="153"/>
        <v>0</v>
      </c>
      <c r="G599" s="115" t="str">
        <f t="shared" si="154"/>
        <v/>
      </c>
      <c r="H599" s="116">
        <f>IF($D599="",0,IFERROR(LOOKUP(2,1/(($D$3:D598=$D599)*($A$3:A598&lt;$A599)),$N$3:N598),'Guide &amp; Settings'!$C$41))</f>
        <v>0</v>
      </c>
      <c r="I599" s="117">
        <f t="shared" si="155"/>
        <v>0</v>
      </c>
      <c r="J599" s="118">
        <f>IF($D599="",0,IF($F599&lt;2,0,IF($E599="Win",('Guide &amp; Settings'!$C$42/(($F599-1)*COUNTIFS($A$4:$A$810,$A599,$E$4:$E$810,"Win")))*SUMIFS($X$4:$X$810,$A$4:$A$810,$A599,$E$4:$E$810,"Loss"),-('Guide &amp; Settings'!$C$42/($F599-1))*$X599)))</f>
        <v>0</v>
      </c>
      <c r="K599" s="118">
        <f>IF($D599="",0,'Guide &amp; Settings'!$C$43*(IF($E599="Win",1,0)-$I599))</f>
        <v>0</v>
      </c>
      <c r="L599" s="119">
        <f>IF($D599="",0,'Guide &amp; Settings'!$C$44*IF($F599&gt;=3,$F599,0))</f>
        <v>0</v>
      </c>
      <c r="M599" s="118">
        <f t="shared" si="156"/>
        <v>0</v>
      </c>
      <c r="N599" s="116">
        <f t="shared" si="157"/>
        <v>0</v>
      </c>
      <c r="O599" s="115" t="str">
        <f t="shared" si="158"/>
        <v/>
      </c>
      <c r="P599">
        <f t="shared" si="159"/>
        <v>0</v>
      </c>
      <c r="Q599">
        <f t="shared" si="160"/>
        <v>0</v>
      </c>
      <c r="R599">
        <f t="shared" si="161"/>
        <v>0</v>
      </c>
      <c r="S599">
        <f t="shared" si="162"/>
        <v>0</v>
      </c>
      <c r="T599" s="83">
        <f t="shared" si="163"/>
        <v>0</v>
      </c>
      <c r="U599" s="120">
        <f>IF($D599="",0,IFERROR(LOOKUP(2,1/(($D$3:D598=$D599)*($C$3:C598=$C599)*($A$3:A598&lt;$A599)),$AB$3:AB598),1000))</f>
        <v>0</v>
      </c>
      <c r="V599" s="120">
        <f t="shared" si="164"/>
        <v>0</v>
      </c>
      <c r="W599">
        <f t="shared" si="165"/>
        <v>0</v>
      </c>
      <c r="X599">
        <f t="shared" si="166"/>
        <v>0</v>
      </c>
      <c r="Y599">
        <f t="shared" si="167"/>
        <v>0</v>
      </c>
      <c r="Z599">
        <f t="shared" si="168"/>
        <v>0</v>
      </c>
      <c r="AA599">
        <f>IF($D599="",0,IF($F599&lt;2,0,IF($E599="Win",('Guide &amp; Settings'!$C$42/(($F599-1)*COUNTIFS($A$4:$A$810,$A599,$E$4:$E$810,"Win")))*SUMIFS($Z$4:$Z$810,$A$4:$A$810,$A599,$E$4:$E$810,"Loss"),-('Guide &amp; Settings'!$C$42/($F599-1))*$Z599)))</f>
        <v>0</v>
      </c>
      <c r="AB599" s="120">
        <f t="shared" si="169"/>
        <v>0</v>
      </c>
      <c r="AC599" s="120" t="str">
        <f>IF($D599="","",IF(SUMPRODUCT(MAX(($D$4:$D$810=$D599)*($B$4:$B$810&lt;$B599)*$B$4:$B$810))=0,0,MAX(($B599-MAX(SUMPRODUCT(MAX(($D$4:$D$810=$D599)*($B$4:$B$810&lt;$B599)*$B$4:$B$810)),'Guide &amp; Settings'!$C$50))/7-'Guide &amp; Settings'!$C$48,0)*'Guide &amp; Settings'!$C$49))</f>
        <v/>
      </c>
    </row>
    <row r="600" spans="1:29" x14ac:dyDescent="0.2">
      <c r="A600" s="111"/>
      <c r="B600" s="112"/>
      <c r="C600" s="113"/>
      <c r="D600" s="113"/>
      <c r="E600" s="111"/>
      <c r="F600" s="114">
        <f t="shared" si="153"/>
        <v>0</v>
      </c>
      <c r="G600" s="115" t="str">
        <f t="shared" si="154"/>
        <v/>
      </c>
      <c r="H600" s="116">
        <f>IF($D600="",0,IFERROR(LOOKUP(2,1/(($D$3:D599=$D600)*($A$3:A599&lt;$A600)),$N$3:N599),'Guide &amp; Settings'!$C$41))</f>
        <v>0</v>
      </c>
      <c r="I600" s="117">
        <f t="shared" si="155"/>
        <v>0</v>
      </c>
      <c r="J600" s="118">
        <f>IF($D600="",0,IF($F600&lt;2,0,IF($E600="Win",('Guide &amp; Settings'!$C$42/(($F600-1)*COUNTIFS($A$4:$A$810,$A600,$E$4:$E$810,"Win")))*SUMIFS($X$4:$X$810,$A$4:$A$810,$A600,$E$4:$E$810,"Loss"),-('Guide &amp; Settings'!$C$42/($F600-1))*$X600)))</f>
        <v>0</v>
      </c>
      <c r="K600" s="118">
        <f>IF($D600="",0,'Guide &amp; Settings'!$C$43*(IF($E600="Win",1,0)-$I600))</f>
        <v>0</v>
      </c>
      <c r="L600" s="119">
        <f>IF($D600="",0,'Guide &amp; Settings'!$C$44*IF($F600&gt;=3,$F600,0))</f>
        <v>0</v>
      </c>
      <c r="M600" s="118">
        <f t="shared" si="156"/>
        <v>0</v>
      </c>
      <c r="N600" s="116">
        <f t="shared" si="157"/>
        <v>0</v>
      </c>
      <c r="O600" s="115" t="str">
        <f t="shared" si="158"/>
        <v/>
      </c>
      <c r="P600">
        <f t="shared" si="159"/>
        <v>0</v>
      </c>
      <c r="Q600">
        <f t="shared" si="160"/>
        <v>0</v>
      </c>
      <c r="R600">
        <f t="shared" si="161"/>
        <v>0</v>
      </c>
      <c r="S600">
        <f t="shared" si="162"/>
        <v>0</v>
      </c>
      <c r="T600" s="83">
        <f t="shared" si="163"/>
        <v>0</v>
      </c>
      <c r="U600" s="120">
        <f>IF($D600="",0,IFERROR(LOOKUP(2,1/(($D$3:D599=$D600)*($C$3:C599=$C600)*($A$3:A599&lt;$A600)),$AB$3:AB599),1000))</f>
        <v>0</v>
      </c>
      <c r="V600" s="120">
        <f t="shared" si="164"/>
        <v>0</v>
      </c>
      <c r="W600">
        <f t="shared" si="165"/>
        <v>0</v>
      </c>
      <c r="X600">
        <f t="shared" si="166"/>
        <v>0</v>
      </c>
      <c r="Y600">
        <f t="shared" si="167"/>
        <v>0</v>
      </c>
      <c r="Z600">
        <f t="shared" si="168"/>
        <v>0</v>
      </c>
      <c r="AA600">
        <f>IF($D600="",0,IF($F600&lt;2,0,IF($E600="Win",('Guide &amp; Settings'!$C$42/(($F600-1)*COUNTIFS($A$4:$A$810,$A600,$E$4:$E$810,"Win")))*SUMIFS($Z$4:$Z$810,$A$4:$A$810,$A600,$E$4:$E$810,"Loss"),-('Guide &amp; Settings'!$C$42/($F600-1))*$Z600)))</f>
        <v>0</v>
      </c>
      <c r="AB600" s="120">
        <f t="shared" si="169"/>
        <v>0</v>
      </c>
      <c r="AC600" s="120" t="str">
        <f>IF($D600="","",IF(SUMPRODUCT(MAX(($D$4:$D$810=$D600)*($B$4:$B$810&lt;$B600)*$B$4:$B$810))=0,0,MAX(($B600-MAX(SUMPRODUCT(MAX(($D$4:$D$810=$D600)*($B$4:$B$810&lt;$B600)*$B$4:$B$810)),'Guide &amp; Settings'!$C$50))/7-'Guide &amp; Settings'!$C$48,0)*'Guide &amp; Settings'!$C$49))</f>
        <v/>
      </c>
    </row>
    <row r="601" spans="1:29" x14ac:dyDescent="0.2">
      <c r="A601" s="111"/>
      <c r="B601" s="112"/>
      <c r="C601" s="113"/>
      <c r="D601" s="113"/>
      <c r="E601" s="111"/>
      <c r="F601" s="114">
        <f t="shared" si="153"/>
        <v>0</v>
      </c>
      <c r="G601" s="115" t="str">
        <f t="shared" si="154"/>
        <v/>
      </c>
      <c r="H601" s="116">
        <f>IF($D601="",0,IFERROR(LOOKUP(2,1/(($D$3:D600=$D601)*($A$3:A600&lt;$A601)),$N$3:N600),'Guide &amp; Settings'!$C$41))</f>
        <v>0</v>
      </c>
      <c r="I601" s="117">
        <f t="shared" si="155"/>
        <v>0</v>
      </c>
      <c r="J601" s="118">
        <f>IF($D601="",0,IF($F601&lt;2,0,IF($E601="Win",('Guide &amp; Settings'!$C$42/(($F601-1)*COUNTIFS($A$4:$A$810,$A601,$E$4:$E$810,"Win")))*SUMIFS($X$4:$X$810,$A$4:$A$810,$A601,$E$4:$E$810,"Loss"),-('Guide &amp; Settings'!$C$42/($F601-1))*$X601)))</f>
        <v>0</v>
      </c>
      <c r="K601" s="118">
        <f>IF($D601="",0,'Guide &amp; Settings'!$C$43*(IF($E601="Win",1,0)-$I601))</f>
        <v>0</v>
      </c>
      <c r="L601" s="119">
        <f>IF($D601="",0,'Guide &amp; Settings'!$C$44*IF($F601&gt;=3,$F601,0))</f>
        <v>0</v>
      </c>
      <c r="M601" s="118">
        <f t="shared" si="156"/>
        <v>0</v>
      </c>
      <c r="N601" s="116">
        <f t="shared" si="157"/>
        <v>0</v>
      </c>
      <c r="O601" s="115" t="str">
        <f t="shared" si="158"/>
        <v/>
      </c>
      <c r="P601">
        <f t="shared" si="159"/>
        <v>0</v>
      </c>
      <c r="Q601">
        <f t="shared" si="160"/>
        <v>0</v>
      </c>
      <c r="R601">
        <f t="shared" si="161"/>
        <v>0</v>
      </c>
      <c r="S601">
        <f t="shared" si="162"/>
        <v>0</v>
      </c>
      <c r="T601" s="83">
        <f t="shared" si="163"/>
        <v>0</v>
      </c>
      <c r="U601" s="120">
        <f>IF($D601="",0,IFERROR(LOOKUP(2,1/(($D$3:D600=$D601)*($C$3:C600=$C601)*($A$3:A600&lt;$A601)),$AB$3:AB600),1000))</f>
        <v>0</v>
      </c>
      <c r="V601" s="120">
        <f t="shared" si="164"/>
        <v>0</v>
      </c>
      <c r="W601">
        <f t="shared" si="165"/>
        <v>0</v>
      </c>
      <c r="X601">
        <f t="shared" si="166"/>
        <v>0</v>
      </c>
      <c r="Y601">
        <f t="shared" si="167"/>
        <v>0</v>
      </c>
      <c r="Z601">
        <f t="shared" si="168"/>
        <v>0</v>
      </c>
      <c r="AA601">
        <f>IF($D601="",0,IF($F601&lt;2,0,IF($E601="Win",('Guide &amp; Settings'!$C$42/(($F601-1)*COUNTIFS($A$4:$A$810,$A601,$E$4:$E$810,"Win")))*SUMIFS($Z$4:$Z$810,$A$4:$A$810,$A601,$E$4:$E$810,"Loss"),-('Guide &amp; Settings'!$C$42/($F601-1))*$Z601)))</f>
        <v>0</v>
      </c>
      <c r="AB601" s="120">
        <f t="shared" si="169"/>
        <v>0</v>
      </c>
      <c r="AC601" s="120" t="str">
        <f>IF($D601="","",IF(SUMPRODUCT(MAX(($D$4:$D$810=$D601)*($B$4:$B$810&lt;$B601)*$B$4:$B$810))=0,0,MAX(($B601-MAX(SUMPRODUCT(MAX(($D$4:$D$810=$D601)*($B$4:$B$810&lt;$B601)*$B$4:$B$810)),'Guide &amp; Settings'!$C$50))/7-'Guide &amp; Settings'!$C$48,0)*'Guide &amp; Settings'!$C$49))</f>
        <v/>
      </c>
    </row>
    <row r="602" spans="1:29" x14ac:dyDescent="0.2">
      <c r="A602" s="111"/>
      <c r="B602" s="112"/>
      <c r="C602" s="113"/>
      <c r="D602" s="113"/>
      <c r="E602" s="111"/>
      <c r="F602" s="114">
        <f t="shared" si="153"/>
        <v>0</v>
      </c>
      <c r="G602" s="115" t="str">
        <f t="shared" si="154"/>
        <v/>
      </c>
      <c r="H602" s="116">
        <f>IF($D602="",0,IFERROR(LOOKUP(2,1/(($D$3:D601=$D602)*($A$3:A601&lt;$A602)),$N$3:N601),'Guide &amp; Settings'!$C$41))</f>
        <v>0</v>
      </c>
      <c r="I602" s="117">
        <f t="shared" si="155"/>
        <v>0</v>
      </c>
      <c r="J602" s="118">
        <f>IF($D602="",0,IF($F602&lt;2,0,IF($E602="Win",('Guide &amp; Settings'!$C$42/(($F602-1)*COUNTIFS($A$4:$A$810,$A602,$E$4:$E$810,"Win")))*SUMIFS($X$4:$X$810,$A$4:$A$810,$A602,$E$4:$E$810,"Loss"),-('Guide &amp; Settings'!$C$42/($F602-1))*$X602)))</f>
        <v>0</v>
      </c>
      <c r="K602" s="118">
        <f>IF($D602="",0,'Guide &amp; Settings'!$C$43*(IF($E602="Win",1,0)-$I602))</f>
        <v>0</v>
      </c>
      <c r="L602" s="119">
        <f>IF($D602="",0,'Guide &amp; Settings'!$C$44*IF($F602&gt;=3,$F602,0))</f>
        <v>0</v>
      </c>
      <c r="M602" s="118">
        <f t="shared" si="156"/>
        <v>0</v>
      </c>
      <c r="N602" s="116">
        <f t="shared" si="157"/>
        <v>0</v>
      </c>
      <c r="O602" s="115" t="str">
        <f t="shared" si="158"/>
        <v/>
      </c>
      <c r="P602">
        <f t="shared" si="159"/>
        <v>0</v>
      </c>
      <c r="Q602">
        <f t="shared" si="160"/>
        <v>0</v>
      </c>
      <c r="R602">
        <f t="shared" si="161"/>
        <v>0</v>
      </c>
      <c r="S602">
        <f t="shared" si="162"/>
        <v>0</v>
      </c>
      <c r="T602" s="83">
        <f t="shared" si="163"/>
        <v>0</v>
      </c>
      <c r="U602" s="120">
        <f>IF($D602="",0,IFERROR(LOOKUP(2,1/(($D$3:D601=$D602)*($C$3:C601=$C602)*($A$3:A601&lt;$A602)),$AB$3:AB601),1000))</f>
        <v>0</v>
      </c>
      <c r="V602" s="120">
        <f t="shared" si="164"/>
        <v>0</v>
      </c>
      <c r="W602">
        <f t="shared" si="165"/>
        <v>0</v>
      </c>
      <c r="X602">
        <f t="shared" si="166"/>
        <v>0</v>
      </c>
      <c r="Y602">
        <f t="shared" si="167"/>
        <v>0</v>
      </c>
      <c r="Z602">
        <f t="shared" si="168"/>
        <v>0</v>
      </c>
      <c r="AA602">
        <f>IF($D602="",0,IF($F602&lt;2,0,IF($E602="Win",('Guide &amp; Settings'!$C$42/(($F602-1)*COUNTIFS($A$4:$A$810,$A602,$E$4:$E$810,"Win")))*SUMIFS($Z$4:$Z$810,$A$4:$A$810,$A602,$E$4:$E$810,"Loss"),-('Guide &amp; Settings'!$C$42/($F602-1))*$Z602)))</f>
        <v>0</v>
      </c>
      <c r="AB602" s="120">
        <f t="shared" si="169"/>
        <v>0</v>
      </c>
      <c r="AC602" s="120" t="str">
        <f>IF($D602="","",IF(SUMPRODUCT(MAX(($D$4:$D$810=$D602)*($B$4:$B$810&lt;$B602)*$B$4:$B$810))=0,0,MAX(($B602-MAX(SUMPRODUCT(MAX(($D$4:$D$810=$D602)*($B$4:$B$810&lt;$B602)*$B$4:$B$810)),'Guide &amp; Settings'!$C$50))/7-'Guide &amp; Settings'!$C$48,0)*'Guide &amp; Settings'!$C$49))</f>
        <v/>
      </c>
    </row>
    <row r="603" spans="1:29" x14ac:dyDescent="0.2">
      <c r="A603" s="111"/>
      <c r="B603" s="112"/>
      <c r="C603" s="113"/>
      <c r="D603" s="113"/>
      <c r="E603" s="111"/>
      <c r="F603" s="114">
        <f t="shared" si="153"/>
        <v>0</v>
      </c>
      <c r="G603" s="115" t="str">
        <f t="shared" si="154"/>
        <v/>
      </c>
      <c r="H603" s="116">
        <f>IF($D603="",0,IFERROR(LOOKUP(2,1/(($D$3:D602=$D603)*($A$3:A602&lt;$A603)),$N$3:N602),'Guide &amp; Settings'!$C$41))</f>
        <v>0</v>
      </c>
      <c r="I603" s="117">
        <f t="shared" si="155"/>
        <v>0</v>
      </c>
      <c r="J603" s="118">
        <f>IF($D603="",0,IF($F603&lt;2,0,IF($E603="Win",('Guide &amp; Settings'!$C$42/(($F603-1)*COUNTIFS($A$4:$A$810,$A603,$E$4:$E$810,"Win")))*SUMIFS($X$4:$X$810,$A$4:$A$810,$A603,$E$4:$E$810,"Loss"),-('Guide &amp; Settings'!$C$42/($F603-1))*$X603)))</f>
        <v>0</v>
      </c>
      <c r="K603" s="118">
        <f>IF($D603="",0,'Guide &amp; Settings'!$C$43*(IF($E603="Win",1,0)-$I603))</f>
        <v>0</v>
      </c>
      <c r="L603" s="119">
        <f>IF($D603="",0,'Guide &amp; Settings'!$C$44*IF($F603&gt;=3,$F603,0))</f>
        <v>0</v>
      </c>
      <c r="M603" s="118">
        <f t="shared" si="156"/>
        <v>0</v>
      </c>
      <c r="N603" s="116">
        <f t="shared" si="157"/>
        <v>0</v>
      </c>
      <c r="O603" s="115" t="str">
        <f t="shared" si="158"/>
        <v/>
      </c>
      <c r="P603">
        <f t="shared" si="159"/>
        <v>0</v>
      </c>
      <c r="Q603">
        <f t="shared" si="160"/>
        <v>0</v>
      </c>
      <c r="R603">
        <f t="shared" si="161"/>
        <v>0</v>
      </c>
      <c r="S603">
        <f t="shared" si="162"/>
        <v>0</v>
      </c>
      <c r="T603" s="83">
        <f t="shared" si="163"/>
        <v>0</v>
      </c>
      <c r="U603" s="120">
        <f>IF($D603="",0,IFERROR(LOOKUP(2,1/(($D$3:D602=$D603)*($C$3:C602=$C603)*($A$3:A602&lt;$A603)),$AB$3:AB602),1000))</f>
        <v>0</v>
      </c>
      <c r="V603" s="120">
        <f t="shared" si="164"/>
        <v>0</v>
      </c>
      <c r="W603">
        <f t="shared" si="165"/>
        <v>0</v>
      </c>
      <c r="X603">
        <f t="shared" si="166"/>
        <v>0</v>
      </c>
      <c r="Y603">
        <f t="shared" si="167"/>
        <v>0</v>
      </c>
      <c r="Z603">
        <f t="shared" si="168"/>
        <v>0</v>
      </c>
      <c r="AA603">
        <f>IF($D603="",0,IF($F603&lt;2,0,IF($E603="Win",('Guide &amp; Settings'!$C$42/(($F603-1)*COUNTIFS($A$4:$A$810,$A603,$E$4:$E$810,"Win")))*SUMIFS($Z$4:$Z$810,$A$4:$A$810,$A603,$E$4:$E$810,"Loss"),-('Guide &amp; Settings'!$C$42/($F603-1))*$Z603)))</f>
        <v>0</v>
      </c>
      <c r="AB603" s="120">
        <f t="shared" si="169"/>
        <v>0</v>
      </c>
      <c r="AC603" s="120" t="str">
        <f>IF($D603="","",IF(SUMPRODUCT(MAX(($D$4:$D$810=$D603)*($B$4:$B$810&lt;$B603)*$B$4:$B$810))=0,0,MAX(($B603-MAX(SUMPRODUCT(MAX(($D$4:$D$810=$D603)*($B$4:$B$810&lt;$B603)*$B$4:$B$810)),'Guide &amp; Settings'!$C$50))/7-'Guide &amp; Settings'!$C$48,0)*'Guide &amp; Settings'!$C$49))</f>
        <v/>
      </c>
    </row>
    <row r="604" spans="1:29" x14ac:dyDescent="0.2">
      <c r="A604" s="111"/>
      <c r="B604" s="112"/>
      <c r="C604" s="113"/>
      <c r="D604" s="113"/>
      <c r="E604" s="111"/>
      <c r="F604" s="114">
        <f t="shared" si="153"/>
        <v>0</v>
      </c>
      <c r="G604" s="115" t="str">
        <f t="shared" si="154"/>
        <v/>
      </c>
      <c r="H604" s="116">
        <f>IF($D604="",0,IFERROR(LOOKUP(2,1/(($D$3:D603=$D604)*($A$3:A603&lt;$A604)),$N$3:N603),'Guide &amp; Settings'!$C$41))</f>
        <v>0</v>
      </c>
      <c r="I604" s="117">
        <f t="shared" si="155"/>
        <v>0</v>
      </c>
      <c r="J604" s="118">
        <f>IF($D604="",0,IF($F604&lt;2,0,IF($E604="Win",('Guide &amp; Settings'!$C$42/(($F604-1)*COUNTIFS($A$4:$A$810,$A604,$E$4:$E$810,"Win")))*SUMIFS($X$4:$X$810,$A$4:$A$810,$A604,$E$4:$E$810,"Loss"),-('Guide &amp; Settings'!$C$42/($F604-1))*$X604)))</f>
        <v>0</v>
      </c>
      <c r="K604" s="118">
        <f>IF($D604="",0,'Guide &amp; Settings'!$C$43*(IF($E604="Win",1,0)-$I604))</f>
        <v>0</v>
      </c>
      <c r="L604" s="119">
        <f>IF($D604="",0,'Guide &amp; Settings'!$C$44*IF($F604&gt;=3,$F604,0))</f>
        <v>0</v>
      </c>
      <c r="M604" s="118">
        <f t="shared" si="156"/>
        <v>0</v>
      </c>
      <c r="N604" s="116">
        <f t="shared" si="157"/>
        <v>0</v>
      </c>
      <c r="O604" s="115" t="str">
        <f t="shared" si="158"/>
        <v/>
      </c>
      <c r="P604">
        <f t="shared" si="159"/>
        <v>0</v>
      </c>
      <c r="Q604">
        <f t="shared" si="160"/>
        <v>0</v>
      </c>
      <c r="R604">
        <f t="shared" si="161"/>
        <v>0</v>
      </c>
      <c r="S604">
        <f t="shared" si="162"/>
        <v>0</v>
      </c>
      <c r="T604" s="83">
        <f t="shared" si="163"/>
        <v>0</v>
      </c>
      <c r="U604" s="120">
        <f>IF($D604="",0,IFERROR(LOOKUP(2,1/(($D$3:D603=$D604)*($C$3:C603=$C604)*($A$3:A603&lt;$A604)),$AB$3:AB603),1000))</f>
        <v>0</v>
      </c>
      <c r="V604" s="120">
        <f t="shared" si="164"/>
        <v>0</v>
      </c>
      <c r="W604">
        <f t="shared" si="165"/>
        <v>0</v>
      </c>
      <c r="X604">
        <f t="shared" si="166"/>
        <v>0</v>
      </c>
      <c r="Y604">
        <f t="shared" si="167"/>
        <v>0</v>
      </c>
      <c r="Z604">
        <f t="shared" si="168"/>
        <v>0</v>
      </c>
      <c r="AA604">
        <f>IF($D604="",0,IF($F604&lt;2,0,IF($E604="Win",('Guide &amp; Settings'!$C$42/(($F604-1)*COUNTIFS($A$4:$A$810,$A604,$E$4:$E$810,"Win")))*SUMIFS($Z$4:$Z$810,$A$4:$A$810,$A604,$E$4:$E$810,"Loss"),-('Guide &amp; Settings'!$C$42/($F604-1))*$Z604)))</f>
        <v>0</v>
      </c>
      <c r="AB604" s="120">
        <f t="shared" si="169"/>
        <v>0</v>
      </c>
      <c r="AC604" s="120" t="str">
        <f>IF($D604="","",IF(SUMPRODUCT(MAX(($D$4:$D$810=$D604)*($B$4:$B$810&lt;$B604)*$B$4:$B$810))=0,0,MAX(($B604-MAX(SUMPRODUCT(MAX(($D$4:$D$810=$D604)*($B$4:$B$810&lt;$B604)*$B$4:$B$810)),'Guide &amp; Settings'!$C$50))/7-'Guide &amp; Settings'!$C$48,0)*'Guide &amp; Settings'!$C$49))</f>
        <v/>
      </c>
    </row>
    <row r="605" spans="1:29" x14ac:dyDescent="0.2">
      <c r="A605" s="111"/>
      <c r="B605" s="112"/>
      <c r="C605" s="113"/>
      <c r="D605" s="113"/>
      <c r="E605" s="111"/>
      <c r="F605" s="114">
        <f t="shared" si="153"/>
        <v>0</v>
      </c>
      <c r="G605" s="115" t="str">
        <f t="shared" si="154"/>
        <v/>
      </c>
      <c r="H605" s="116">
        <f>IF($D605="",0,IFERROR(LOOKUP(2,1/(($D$3:D604=$D605)*($A$3:A604&lt;$A605)),$N$3:N604),'Guide &amp; Settings'!$C$41))</f>
        <v>0</v>
      </c>
      <c r="I605" s="117">
        <f t="shared" si="155"/>
        <v>0</v>
      </c>
      <c r="J605" s="118">
        <f>IF($D605="",0,IF($F605&lt;2,0,IF($E605="Win",('Guide &amp; Settings'!$C$42/(($F605-1)*COUNTIFS($A$4:$A$810,$A605,$E$4:$E$810,"Win")))*SUMIFS($X$4:$X$810,$A$4:$A$810,$A605,$E$4:$E$810,"Loss"),-('Guide &amp; Settings'!$C$42/($F605-1))*$X605)))</f>
        <v>0</v>
      </c>
      <c r="K605" s="118">
        <f>IF($D605="",0,'Guide &amp; Settings'!$C$43*(IF($E605="Win",1,0)-$I605))</f>
        <v>0</v>
      </c>
      <c r="L605" s="119">
        <f>IF($D605="",0,'Guide &amp; Settings'!$C$44*IF($F605&gt;=3,$F605,0))</f>
        <v>0</v>
      </c>
      <c r="M605" s="118">
        <f t="shared" si="156"/>
        <v>0</v>
      </c>
      <c r="N605" s="116">
        <f t="shared" si="157"/>
        <v>0</v>
      </c>
      <c r="O605" s="115" t="str">
        <f t="shared" si="158"/>
        <v/>
      </c>
      <c r="P605">
        <f t="shared" si="159"/>
        <v>0</v>
      </c>
      <c r="Q605">
        <f t="shared" si="160"/>
        <v>0</v>
      </c>
      <c r="R605">
        <f t="shared" si="161"/>
        <v>0</v>
      </c>
      <c r="S605">
        <f t="shared" si="162"/>
        <v>0</v>
      </c>
      <c r="T605" s="83">
        <f t="shared" si="163"/>
        <v>0</v>
      </c>
      <c r="U605" s="120">
        <f>IF($D605="",0,IFERROR(LOOKUP(2,1/(($D$3:D604=$D605)*($C$3:C604=$C605)*($A$3:A604&lt;$A605)),$AB$3:AB604),1000))</f>
        <v>0</v>
      </c>
      <c r="V605" s="120">
        <f t="shared" si="164"/>
        <v>0</v>
      </c>
      <c r="W605">
        <f t="shared" si="165"/>
        <v>0</v>
      </c>
      <c r="X605">
        <f t="shared" si="166"/>
        <v>0</v>
      </c>
      <c r="Y605">
        <f t="shared" si="167"/>
        <v>0</v>
      </c>
      <c r="Z605">
        <f t="shared" si="168"/>
        <v>0</v>
      </c>
      <c r="AA605">
        <f>IF($D605="",0,IF($F605&lt;2,0,IF($E605="Win",('Guide &amp; Settings'!$C$42/(($F605-1)*COUNTIFS($A$4:$A$810,$A605,$E$4:$E$810,"Win")))*SUMIFS($Z$4:$Z$810,$A$4:$A$810,$A605,$E$4:$E$810,"Loss"),-('Guide &amp; Settings'!$C$42/($F605-1))*$Z605)))</f>
        <v>0</v>
      </c>
      <c r="AB605" s="120">
        <f t="shared" si="169"/>
        <v>0</v>
      </c>
      <c r="AC605" s="120" t="str">
        <f>IF($D605="","",IF(SUMPRODUCT(MAX(($D$4:$D$810=$D605)*($B$4:$B$810&lt;$B605)*$B$4:$B$810))=0,0,MAX(($B605-MAX(SUMPRODUCT(MAX(($D$4:$D$810=$D605)*($B$4:$B$810&lt;$B605)*$B$4:$B$810)),'Guide &amp; Settings'!$C$50))/7-'Guide &amp; Settings'!$C$48,0)*'Guide &amp; Settings'!$C$49))</f>
        <v/>
      </c>
    </row>
    <row r="606" spans="1:29" x14ac:dyDescent="0.2">
      <c r="A606" s="111"/>
      <c r="B606" s="112"/>
      <c r="C606" s="113"/>
      <c r="D606" s="113"/>
      <c r="E606" s="111"/>
      <c r="F606" s="114">
        <f t="shared" si="153"/>
        <v>0</v>
      </c>
      <c r="G606" s="115" t="str">
        <f t="shared" si="154"/>
        <v/>
      </c>
      <c r="H606" s="116">
        <f>IF($D606="",0,IFERROR(LOOKUP(2,1/(($D$3:D605=$D606)*($A$3:A605&lt;$A606)),$N$3:N605),'Guide &amp; Settings'!$C$41))</f>
        <v>0</v>
      </c>
      <c r="I606" s="117">
        <f t="shared" si="155"/>
        <v>0</v>
      </c>
      <c r="J606" s="118">
        <f>IF($D606="",0,IF($F606&lt;2,0,IF($E606="Win",('Guide &amp; Settings'!$C$42/(($F606-1)*COUNTIFS($A$4:$A$810,$A606,$E$4:$E$810,"Win")))*SUMIFS($X$4:$X$810,$A$4:$A$810,$A606,$E$4:$E$810,"Loss"),-('Guide &amp; Settings'!$C$42/($F606-1))*$X606)))</f>
        <v>0</v>
      </c>
      <c r="K606" s="118">
        <f>IF($D606="",0,'Guide &amp; Settings'!$C$43*(IF($E606="Win",1,0)-$I606))</f>
        <v>0</v>
      </c>
      <c r="L606" s="119">
        <f>IF($D606="",0,'Guide &amp; Settings'!$C$44*IF($F606&gt;=3,$F606,0))</f>
        <v>0</v>
      </c>
      <c r="M606" s="118">
        <f t="shared" si="156"/>
        <v>0</v>
      </c>
      <c r="N606" s="116">
        <f t="shared" si="157"/>
        <v>0</v>
      </c>
      <c r="O606" s="115" t="str">
        <f t="shared" si="158"/>
        <v/>
      </c>
      <c r="P606">
        <f t="shared" si="159"/>
        <v>0</v>
      </c>
      <c r="Q606">
        <f t="shared" si="160"/>
        <v>0</v>
      </c>
      <c r="R606">
        <f t="shared" si="161"/>
        <v>0</v>
      </c>
      <c r="S606">
        <f t="shared" si="162"/>
        <v>0</v>
      </c>
      <c r="T606" s="83">
        <f t="shared" si="163"/>
        <v>0</v>
      </c>
      <c r="U606" s="120">
        <f>IF($D606="",0,IFERROR(LOOKUP(2,1/(($D$3:D605=$D606)*($C$3:C605=$C606)*($A$3:A605&lt;$A606)),$AB$3:AB605),1000))</f>
        <v>0</v>
      </c>
      <c r="V606" s="120">
        <f t="shared" si="164"/>
        <v>0</v>
      </c>
      <c r="W606">
        <f t="shared" si="165"/>
        <v>0</v>
      </c>
      <c r="X606">
        <f t="shared" si="166"/>
        <v>0</v>
      </c>
      <c r="Y606">
        <f t="shared" si="167"/>
        <v>0</v>
      </c>
      <c r="Z606">
        <f t="shared" si="168"/>
        <v>0</v>
      </c>
      <c r="AA606">
        <f>IF($D606="",0,IF($F606&lt;2,0,IF($E606="Win",('Guide &amp; Settings'!$C$42/(($F606-1)*COUNTIFS($A$4:$A$810,$A606,$E$4:$E$810,"Win")))*SUMIFS($Z$4:$Z$810,$A$4:$A$810,$A606,$E$4:$E$810,"Loss"),-('Guide &amp; Settings'!$C$42/($F606-1))*$Z606)))</f>
        <v>0</v>
      </c>
      <c r="AB606" s="120">
        <f t="shared" si="169"/>
        <v>0</v>
      </c>
      <c r="AC606" s="120" t="str">
        <f>IF($D606="","",IF(SUMPRODUCT(MAX(($D$4:$D$810=$D606)*($B$4:$B$810&lt;$B606)*$B$4:$B$810))=0,0,MAX(($B606-MAX(SUMPRODUCT(MAX(($D$4:$D$810=$D606)*($B$4:$B$810&lt;$B606)*$B$4:$B$810)),'Guide &amp; Settings'!$C$50))/7-'Guide &amp; Settings'!$C$48,0)*'Guide &amp; Settings'!$C$49))</f>
        <v/>
      </c>
    </row>
    <row r="607" spans="1:29" x14ac:dyDescent="0.2">
      <c r="A607" s="111"/>
      <c r="B607" s="112"/>
      <c r="C607" s="113"/>
      <c r="D607" s="113"/>
      <c r="E607" s="111"/>
      <c r="F607" s="114">
        <f t="shared" si="153"/>
        <v>0</v>
      </c>
      <c r="G607" s="115" t="str">
        <f t="shared" si="154"/>
        <v/>
      </c>
      <c r="H607" s="116">
        <f>IF($D607="",0,IFERROR(LOOKUP(2,1/(($D$3:D606=$D607)*($A$3:A606&lt;$A607)),$N$3:N606),'Guide &amp; Settings'!$C$41))</f>
        <v>0</v>
      </c>
      <c r="I607" s="117">
        <f t="shared" si="155"/>
        <v>0</v>
      </c>
      <c r="J607" s="118">
        <f>IF($D607="",0,IF($F607&lt;2,0,IF($E607="Win",('Guide &amp; Settings'!$C$42/(($F607-1)*COUNTIFS($A$4:$A$810,$A607,$E$4:$E$810,"Win")))*SUMIFS($X$4:$X$810,$A$4:$A$810,$A607,$E$4:$E$810,"Loss"),-('Guide &amp; Settings'!$C$42/($F607-1))*$X607)))</f>
        <v>0</v>
      </c>
      <c r="K607" s="118">
        <f>IF($D607="",0,'Guide &amp; Settings'!$C$43*(IF($E607="Win",1,0)-$I607))</f>
        <v>0</v>
      </c>
      <c r="L607" s="119">
        <f>IF($D607="",0,'Guide &amp; Settings'!$C$44*IF($F607&gt;=3,$F607,0))</f>
        <v>0</v>
      </c>
      <c r="M607" s="118">
        <f t="shared" si="156"/>
        <v>0</v>
      </c>
      <c r="N607" s="116">
        <f t="shared" si="157"/>
        <v>0</v>
      </c>
      <c r="O607" s="115" t="str">
        <f t="shared" si="158"/>
        <v/>
      </c>
      <c r="P607">
        <f t="shared" si="159"/>
        <v>0</v>
      </c>
      <c r="Q607">
        <f t="shared" si="160"/>
        <v>0</v>
      </c>
      <c r="R607">
        <f t="shared" si="161"/>
        <v>0</v>
      </c>
      <c r="S607">
        <f t="shared" si="162"/>
        <v>0</v>
      </c>
      <c r="T607" s="83">
        <f t="shared" si="163"/>
        <v>0</v>
      </c>
      <c r="U607" s="120">
        <f>IF($D607="",0,IFERROR(LOOKUP(2,1/(($D$3:D606=$D607)*($C$3:C606=$C607)*($A$3:A606&lt;$A607)),$AB$3:AB606),1000))</f>
        <v>0</v>
      </c>
      <c r="V607" s="120">
        <f t="shared" si="164"/>
        <v>0</v>
      </c>
      <c r="W607">
        <f t="shared" si="165"/>
        <v>0</v>
      </c>
      <c r="X607">
        <f t="shared" si="166"/>
        <v>0</v>
      </c>
      <c r="Y607">
        <f t="shared" si="167"/>
        <v>0</v>
      </c>
      <c r="Z607">
        <f t="shared" si="168"/>
        <v>0</v>
      </c>
      <c r="AA607">
        <f>IF($D607="",0,IF($F607&lt;2,0,IF($E607="Win",('Guide &amp; Settings'!$C$42/(($F607-1)*COUNTIFS($A$4:$A$810,$A607,$E$4:$E$810,"Win")))*SUMIFS($Z$4:$Z$810,$A$4:$A$810,$A607,$E$4:$E$810,"Loss"),-('Guide &amp; Settings'!$C$42/($F607-1))*$Z607)))</f>
        <v>0</v>
      </c>
      <c r="AB607" s="120">
        <f t="shared" si="169"/>
        <v>0</v>
      </c>
      <c r="AC607" s="120" t="str">
        <f>IF($D607="","",IF(SUMPRODUCT(MAX(($D$4:$D$810=$D607)*($B$4:$B$810&lt;$B607)*$B$4:$B$810))=0,0,MAX(($B607-MAX(SUMPRODUCT(MAX(($D$4:$D$810=$D607)*($B$4:$B$810&lt;$B607)*$B$4:$B$810)),'Guide &amp; Settings'!$C$50))/7-'Guide &amp; Settings'!$C$48,0)*'Guide &amp; Settings'!$C$49))</f>
        <v/>
      </c>
    </row>
    <row r="608" spans="1:29" x14ac:dyDescent="0.2">
      <c r="A608" s="111"/>
      <c r="B608" s="112"/>
      <c r="C608" s="113"/>
      <c r="D608" s="113"/>
      <c r="E608" s="111"/>
      <c r="F608" s="114">
        <f t="shared" si="153"/>
        <v>0</v>
      </c>
      <c r="G608" s="115" t="str">
        <f t="shared" si="154"/>
        <v/>
      </c>
      <c r="H608" s="116">
        <f>IF($D608="",0,IFERROR(LOOKUP(2,1/(($D$3:D607=$D608)*($A$3:A607&lt;$A608)),$N$3:N607),'Guide &amp; Settings'!$C$41))</f>
        <v>0</v>
      </c>
      <c r="I608" s="117">
        <f t="shared" si="155"/>
        <v>0</v>
      </c>
      <c r="J608" s="118">
        <f>IF($D608="",0,IF($F608&lt;2,0,IF($E608="Win",('Guide &amp; Settings'!$C$42/(($F608-1)*COUNTIFS($A$4:$A$810,$A608,$E$4:$E$810,"Win")))*SUMIFS($X$4:$X$810,$A$4:$A$810,$A608,$E$4:$E$810,"Loss"),-('Guide &amp; Settings'!$C$42/($F608-1))*$X608)))</f>
        <v>0</v>
      </c>
      <c r="K608" s="118">
        <f>IF($D608="",0,'Guide &amp; Settings'!$C$43*(IF($E608="Win",1,0)-$I608))</f>
        <v>0</v>
      </c>
      <c r="L608" s="119">
        <f>IF($D608="",0,'Guide &amp; Settings'!$C$44*IF($F608&gt;=3,$F608,0))</f>
        <v>0</v>
      </c>
      <c r="M608" s="118">
        <f t="shared" si="156"/>
        <v>0</v>
      </c>
      <c r="N608" s="116">
        <f t="shared" si="157"/>
        <v>0</v>
      </c>
      <c r="O608" s="115" t="str">
        <f t="shared" si="158"/>
        <v/>
      </c>
      <c r="P608">
        <f t="shared" si="159"/>
        <v>0</v>
      </c>
      <c r="Q608">
        <f t="shared" si="160"/>
        <v>0</v>
      </c>
      <c r="R608">
        <f t="shared" si="161"/>
        <v>0</v>
      </c>
      <c r="S608">
        <f t="shared" si="162"/>
        <v>0</v>
      </c>
      <c r="T608" s="83">
        <f t="shared" si="163"/>
        <v>0</v>
      </c>
      <c r="U608" s="120">
        <f>IF($D608="",0,IFERROR(LOOKUP(2,1/(($D$3:D607=$D608)*($C$3:C607=$C608)*($A$3:A607&lt;$A608)),$AB$3:AB607),1000))</f>
        <v>0</v>
      </c>
      <c r="V608" s="120">
        <f t="shared" si="164"/>
        <v>0</v>
      </c>
      <c r="W608">
        <f t="shared" si="165"/>
        <v>0</v>
      </c>
      <c r="X608">
        <f t="shared" si="166"/>
        <v>0</v>
      </c>
      <c r="Y608">
        <f t="shared" si="167"/>
        <v>0</v>
      </c>
      <c r="Z608">
        <f t="shared" si="168"/>
        <v>0</v>
      </c>
      <c r="AA608">
        <f>IF($D608="",0,IF($F608&lt;2,0,IF($E608="Win",('Guide &amp; Settings'!$C$42/(($F608-1)*COUNTIFS($A$4:$A$810,$A608,$E$4:$E$810,"Win")))*SUMIFS($Z$4:$Z$810,$A$4:$A$810,$A608,$E$4:$E$810,"Loss"),-('Guide &amp; Settings'!$C$42/($F608-1))*$Z608)))</f>
        <v>0</v>
      </c>
      <c r="AB608" s="120">
        <f t="shared" si="169"/>
        <v>0</v>
      </c>
      <c r="AC608" s="120" t="str">
        <f>IF($D608="","",IF(SUMPRODUCT(MAX(($D$4:$D$810=$D608)*($B$4:$B$810&lt;$B608)*$B$4:$B$810))=0,0,MAX(($B608-MAX(SUMPRODUCT(MAX(($D$4:$D$810=$D608)*($B$4:$B$810&lt;$B608)*$B$4:$B$810)),'Guide &amp; Settings'!$C$50))/7-'Guide &amp; Settings'!$C$48,0)*'Guide &amp; Settings'!$C$49))</f>
        <v/>
      </c>
    </row>
    <row r="609" spans="1:29" x14ac:dyDescent="0.2">
      <c r="A609" s="111"/>
      <c r="B609" s="112"/>
      <c r="C609" s="113"/>
      <c r="D609" s="113"/>
      <c r="E609" s="111"/>
      <c r="F609" s="114">
        <f t="shared" si="153"/>
        <v>0</v>
      </c>
      <c r="G609" s="115" t="str">
        <f t="shared" si="154"/>
        <v/>
      </c>
      <c r="H609" s="116">
        <f>IF($D609="",0,IFERROR(LOOKUP(2,1/(($D$3:D608=$D609)*($A$3:A608&lt;$A609)),$N$3:N608),'Guide &amp; Settings'!$C$41))</f>
        <v>0</v>
      </c>
      <c r="I609" s="117">
        <f t="shared" si="155"/>
        <v>0</v>
      </c>
      <c r="J609" s="118">
        <f>IF($D609="",0,IF($F609&lt;2,0,IF($E609="Win",('Guide &amp; Settings'!$C$42/(($F609-1)*COUNTIFS($A$4:$A$810,$A609,$E$4:$E$810,"Win")))*SUMIFS($X$4:$X$810,$A$4:$A$810,$A609,$E$4:$E$810,"Loss"),-('Guide &amp; Settings'!$C$42/($F609-1))*$X609)))</f>
        <v>0</v>
      </c>
      <c r="K609" s="118">
        <f>IF($D609="",0,'Guide &amp; Settings'!$C$43*(IF($E609="Win",1,0)-$I609))</f>
        <v>0</v>
      </c>
      <c r="L609" s="119">
        <f>IF($D609="",0,'Guide &amp; Settings'!$C$44*IF($F609&gt;=3,$F609,0))</f>
        <v>0</v>
      </c>
      <c r="M609" s="118">
        <f t="shared" si="156"/>
        <v>0</v>
      </c>
      <c r="N609" s="116">
        <f t="shared" si="157"/>
        <v>0</v>
      </c>
      <c r="O609" s="115" t="str">
        <f t="shared" si="158"/>
        <v/>
      </c>
      <c r="P609">
        <f t="shared" si="159"/>
        <v>0</v>
      </c>
      <c r="Q609">
        <f t="shared" si="160"/>
        <v>0</v>
      </c>
      <c r="R609">
        <f t="shared" si="161"/>
        <v>0</v>
      </c>
      <c r="S609">
        <f t="shared" si="162"/>
        <v>0</v>
      </c>
      <c r="T609" s="83">
        <f t="shared" si="163"/>
        <v>0</v>
      </c>
      <c r="U609" s="120">
        <f>IF($D609="",0,IFERROR(LOOKUP(2,1/(($D$3:D608=$D609)*($C$3:C608=$C609)*($A$3:A608&lt;$A609)),$AB$3:AB608),1000))</f>
        <v>0</v>
      </c>
      <c r="V609" s="120">
        <f t="shared" si="164"/>
        <v>0</v>
      </c>
      <c r="W609">
        <f t="shared" si="165"/>
        <v>0</v>
      </c>
      <c r="X609">
        <f t="shared" si="166"/>
        <v>0</v>
      </c>
      <c r="Y609">
        <f t="shared" si="167"/>
        <v>0</v>
      </c>
      <c r="Z609">
        <f t="shared" si="168"/>
        <v>0</v>
      </c>
      <c r="AA609">
        <f>IF($D609="",0,IF($F609&lt;2,0,IF($E609="Win",('Guide &amp; Settings'!$C$42/(($F609-1)*COUNTIFS($A$4:$A$810,$A609,$E$4:$E$810,"Win")))*SUMIFS($Z$4:$Z$810,$A$4:$A$810,$A609,$E$4:$E$810,"Loss"),-('Guide &amp; Settings'!$C$42/($F609-1))*$Z609)))</f>
        <v>0</v>
      </c>
      <c r="AB609" s="120">
        <f t="shared" si="169"/>
        <v>0</v>
      </c>
      <c r="AC609" s="120" t="str">
        <f>IF($D609="","",IF(SUMPRODUCT(MAX(($D$4:$D$810=$D609)*($B$4:$B$810&lt;$B609)*$B$4:$B$810))=0,0,MAX(($B609-MAX(SUMPRODUCT(MAX(($D$4:$D$810=$D609)*($B$4:$B$810&lt;$B609)*$B$4:$B$810)),'Guide &amp; Settings'!$C$50))/7-'Guide &amp; Settings'!$C$48,0)*'Guide &amp; Settings'!$C$49))</f>
        <v/>
      </c>
    </row>
    <row r="610" spans="1:29" x14ac:dyDescent="0.2">
      <c r="A610" s="111"/>
      <c r="B610" s="112"/>
      <c r="C610" s="113"/>
      <c r="D610" s="113"/>
      <c r="E610" s="111"/>
      <c r="F610" s="114">
        <f t="shared" si="153"/>
        <v>0</v>
      </c>
      <c r="G610" s="115" t="str">
        <f t="shared" si="154"/>
        <v/>
      </c>
      <c r="H610" s="116">
        <f>IF($D610="",0,IFERROR(LOOKUP(2,1/(($D$3:D609=$D610)*($A$3:A609&lt;$A610)),$N$3:N609),'Guide &amp; Settings'!$C$41))</f>
        <v>0</v>
      </c>
      <c r="I610" s="117">
        <f t="shared" si="155"/>
        <v>0</v>
      </c>
      <c r="J610" s="118">
        <f>IF($D610="",0,IF($F610&lt;2,0,IF($E610="Win",('Guide &amp; Settings'!$C$42/(($F610-1)*COUNTIFS($A$4:$A$810,$A610,$E$4:$E$810,"Win")))*SUMIFS($X$4:$X$810,$A$4:$A$810,$A610,$E$4:$E$810,"Loss"),-('Guide &amp; Settings'!$C$42/($F610-1))*$X610)))</f>
        <v>0</v>
      </c>
      <c r="K610" s="118">
        <f>IF($D610="",0,'Guide &amp; Settings'!$C$43*(IF($E610="Win",1,0)-$I610))</f>
        <v>0</v>
      </c>
      <c r="L610" s="119">
        <f>IF($D610="",0,'Guide &amp; Settings'!$C$44*IF($F610&gt;=3,$F610,0))</f>
        <v>0</v>
      </c>
      <c r="M610" s="118">
        <f t="shared" si="156"/>
        <v>0</v>
      </c>
      <c r="N610" s="116">
        <f t="shared" si="157"/>
        <v>0</v>
      </c>
      <c r="O610" s="115" t="str">
        <f t="shared" si="158"/>
        <v/>
      </c>
      <c r="P610">
        <f t="shared" si="159"/>
        <v>0</v>
      </c>
      <c r="Q610">
        <f t="shared" si="160"/>
        <v>0</v>
      </c>
      <c r="R610">
        <f t="shared" si="161"/>
        <v>0</v>
      </c>
      <c r="S610">
        <f t="shared" si="162"/>
        <v>0</v>
      </c>
      <c r="T610" s="83">
        <f t="shared" si="163"/>
        <v>0</v>
      </c>
      <c r="U610" s="120">
        <f>IF($D610="",0,IFERROR(LOOKUP(2,1/(($D$3:D609=$D610)*($C$3:C609=$C610)*($A$3:A609&lt;$A610)),$AB$3:AB609),1000))</f>
        <v>0</v>
      </c>
      <c r="V610" s="120">
        <f t="shared" si="164"/>
        <v>0</v>
      </c>
      <c r="W610">
        <f t="shared" si="165"/>
        <v>0</v>
      </c>
      <c r="X610">
        <f t="shared" si="166"/>
        <v>0</v>
      </c>
      <c r="Y610">
        <f t="shared" si="167"/>
        <v>0</v>
      </c>
      <c r="Z610">
        <f t="shared" si="168"/>
        <v>0</v>
      </c>
      <c r="AA610">
        <f>IF($D610="",0,IF($F610&lt;2,0,IF($E610="Win",('Guide &amp; Settings'!$C$42/(($F610-1)*COUNTIFS($A$4:$A$810,$A610,$E$4:$E$810,"Win")))*SUMIFS($Z$4:$Z$810,$A$4:$A$810,$A610,$E$4:$E$810,"Loss"),-('Guide &amp; Settings'!$C$42/($F610-1))*$Z610)))</f>
        <v>0</v>
      </c>
      <c r="AB610" s="120">
        <f t="shared" si="169"/>
        <v>0</v>
      </c>
      <c r="AC610" s="120" t="str">
        <f>IF($D610="","",IF(SUMPRODUCT(MAX(($D$4:$D$810=$D610)*($B$4:$B$810&lt;$B610)*$B$4:$B$810))=0,0,MAX(($B610-MAX(SUMPRODUCT(MAX(($D$4:$D$810=$D610)*($B$4:$B$810&lt;$B610)*$B$4:$B$810)),'Guide &amp; Settings'!$C$50))/7-'Guide &amp; Settings'!$C$48,0)*'Guide &amp; Settings'!$C$49))</f>
        <v/>
      </c>
    </row>
    <row r="611" spans="1:29" x14ac:dyDescent="0.2">
      <c r="A611" s="111"/>
      <c r="B611" s="112"/>
      <c r="C611" s="113"/>
      <c r="D611" s="113"/>
      <c r="E611" s="111"/>
      <c r="F611" s="114">
        <f t="shared" si="153"/>
        <v>0</v>
      </c>
      <c r="G611" s="115" t="str">
        <f t="shared" si="154"/>
        <v/>
      </c>
      <c r="H611" s="116">
        <f>IF($D611="",0,IFERROR(LOOKUP(2,1/(($D$3:D610=$D611)*($A$3:A610&lt;$A611)),$N$3:N610),'Guide &amp; Settings'!$C$41))</f>
        <v>0</v>
      </c>
      <c r="I611" s="117">
        <f t="shared" si="155"/>
        <v>0</v>
      </c>
      <c r="J611" s="118">
        <f>IF($D611="",0,IF($F611&lt;2,0,IF($E611="Win",('Guide &amp; Settings'!$C$42/(($F611-1)*COUNTIFS($A$4:$A$810,$A611,$E$4:$E$810,"Win")))*SUMIFS($X$4:$X$810,$A$4:$A$810,$A611,$E$4:$E$810,"Loss"),-('Guide &amp; Settings'!$C$42/($F611-1))*$X611)))</f>
        <v>0</v>
      </c>
      <c r="K611" s="118">
        <f>IF($D611="",0,'Guide &amp; Settings'!$C$43*(IF($E611="Win",1,0)-$I611))</f>
        <v>0</v>
      </c>
      <c r="L611" s="119">
        <f>IF($D611="",0,'Guide &amp; Settings'!$C$44*IF($F611&gt;=3,$F611,0))</f>
        <v>0</v>
      </c>
      <c r="M611" s="118">
        <f t="shared" si="156"/>
        <v>0</v>
      </c>
      <c r="N611" s="116">
        <f t="shared" si="157"/>
        <v>0</v>
      </c>
      <c r="O611" s="115" t="str">
        <f t="shared" si="158"/>
        <v/>
      </c>
      <c r="P611">
        <f t="shared" si="159"/>
        <v>0</v>
      </c>
      <c r="Q611">
        <f t="shared" si="160"/>
        <v>0</v>
      </c>
      <c r="R611">
        <f t="shared" si="161"/>
        <v>0</v>
      </c>
      <c r="S611">
        <f t="shared" si="162"/>
        <v>0</v>
      </c>
      <c r="T611" s="83">
        <f t="shared" si="163"/>
        <v>0</v>
      </c>
      <c r="U611" s="120">
        <f>IF($D611="",0,IFERROR(LOOKUP(2,1/(($D$3:D610=$D611)*($C$3:C610=$C611)*($A$3:A610&lt;$A611)),$AB$3:AB610),1000))</f>
        <v>0</v>
      </c>
      <c r="V611" s="120">
        <f t="shared" si="164"/>
        <v>0</v>
      </c>
      <c r="W611">
        <f t="shared" si="165"/>
        <v>0</v>
      </c>
      <c r="X611">
        <f t="shared" si="166"/>
        <v>0</v>
      </c>
      <c r="Y611">
        <f t="shared" si="167"/>
        <v>0</v>
      </c>
      <c r="Z611">
        <f t="shared" si="168"/>
        <v>0</v>
      </c>
      <c r="AA611">
        <f>IF($D611="",0,IF($F611&lt;2,0,IF($E611="Win",('Guide &amp; Settings'!$C$42/(($F611-1)*COUNTIFS($A$4:$A$810,$A611,$E$4:$E$810,"Win")))*SUMIFS($Z$4:$Z$810,$A$4:$A$810,$A611,$E$4:$E$810,"Loss"),-('Guide &amp; Settings'!$C$42/($F611-1))*$Z611)))</f>
        <v>0</v>
      </c>
      <c r="AB611" s="120">
        <f t="shared" si="169"/>
        <v>0</v>
      </c>
      <c r="AC611" s="120" t="str">
        <f>IF($D611="","",IF(SUMPRODUCT(MAX(($D$4:$D$810=$D611)*($B$4:$B$810&lt;$B611)*$B$4:$B$810))=0,0,MAX(($B611-MAX(SUMPRODUCT(MAX(($D$4:$D$810=$D611)*($B$4:$B$810&lt;$B611)*$B$4:$B$810)),'Guide &amp; Settings'!$C$50))/7-'Guide &amp; Settings'!$C$48,0)*'Guide &amp; Settings'!$C$49))</f>
        <v/>
      </c>
    </row>
    <row r="612" spans="1:29" x14ac:dyDescent="0.2">
      <c r="A612" s="111"/>
      <c r="B612" s="112"/>
      <c r="C612" s="113"/>
      <c r="D612" s="113"/>
      <c r="E612" s="111"/>
      <c r="F612" s="114">
        <f t="shared" si="153"/>
        <v>0</v>
      </c>
      <c r="G612" s="115" t="str">
        <f t="shared" si="154"/>
        <v/>
      </c>
      <c r="H612" s="116">
        <f>IF($D612="",0,IFERROR(LOOKUP(2,1/(($D$3:D611=$D612)*($A$3:A611&lt;$A612)),$N$3:N611),'Guide &amp; Settings'!$C$41))</f>
        <v>0</v>
      </c>
      <c r="I612" s="117">
        <f t="shared" si="155"/>
        <v>0</v>
      </c>
      <c r="J612" s="118">
        <f>IF($D612="",0,IF($F612&lt;2,0,IF($E612="Win",('Guide &amp; Settings'!$C$42/(($F612-1)*COUNTIFS($A$4:$A$810,$A612,$E$4:$E$810,"Win")))*SUMIFS($X$4:$X$810,$A$4:$A$810,$A612,$E$4:$E$810,"Loss"),-('Guide &amp; Settings'!$C$42/($F612-1))*$X612)))</f>
        <v>0</v>
      </c>
      <c r="K612" s="118">
        <f>IF($D612="",0,'Guide &amp; Settings'!$C$43*(IF($E612="Win",1,0)-$I612))</f>
        <v>0</v>
      </c>
      <c r="L612" s="119">
        <f>IF($D612="",0,'Guide &amp; Settings'!$C$44*IF($F612&gt;=3,$F612,0))</f>
        <v>0</v>
      </c>
      <c r="M612" s="118">
        <f t="shared" si="156"/>
        <v>0</v>
      </c>
      <c r="N612" s="116">
        <f t="shared" si="157"/>
        <v>0</v>
      </c>
      <c r="O612" s="115" t="str">
        <f t="shared" si="158"/>
        <v/>
      </c>
      <c r="P612">
        <f t="shared" si="159"/>
        <v>0</v>
      </c>
      <c r="Q612">
        <f t="shared" si="160"/>
        <v>0</v>
      </c>
      <c r="R612">
        <f t="shared" si="161"/>
        <v>0</v>
      </c>
      <c r="S612">
        <f t="shared" si="162"/>
        <v>0</v>
      </c>
      <c r="T612" s="83">
        <f t="shared" si="163"/>
        <v>0</v>
      </c>
      <c r="U612" s="120">
        <f>IF($D612="",0,IFERROR(LOOKUP(2,1/(($D$3:D611=$D612)*($C$3:C611=$C612)*($A$3:A611&lt;$A612)),$AB$3:AB611),1000))</f>
        <v>0</v>
      </c>
      <c r="V612" s="120">
        <f t="shared" si="164"/>
        <v>0</v>
      </c>
      <c r="W612">
        <f t="shared" si="165"/>
        <v>0</v>
      </c>
      <c r="X612">
        <f t="shared" si="166"/>
        <v>0</v>
      </c>
      <c r="Y612">
        <f t="shared" si="167"/>
        <v>0</v>
      </c>
      <c r="Z612">
        <f t="shared" si="168"/>
        <v>0</v>
      </c>
      <c r="AA612">
        <f>IF($D612="",0,IF($F612&lt;2,0,IF($E612="Win",('Guide &amp; Settings'!$C$42/(($F612-1)*COUNTIFS($A$4:$A$810,$A612,$E$4:$E$810,"Win")))*SUMIFS($Z$4:$Z$810,$A$4:$A$810,$A612,$E$4:$E$810,"Loss"),-('Guide &amp; Settings'!$C$42/($F612-1))*$Z612)))</f>
        <v>0</v>
      </c>
      <c r="AB612" s="120">
        <f t="shared" si="169"/>
        <v>0</v>
      </c>
      <c r="AC612" s="120" t="str">
        <f>IF($D612="","",IF(SUMPRODUCT(MAX(($D$4:$D$810=$D612)*($B$4:$B$810&lt;$B612)*$B$4:$B$810))=0,0,MAX(($B612-MAX(SUMPRODUCT(MAX(($D$4:$D$810=$D612)*($B$4:$B$810&lt;$B612)*$B$4:$B$810)),'Guide &amp; Settings'!$C$50))/7-'Guide &amp; Settings'!$C$48,0)*'Guide &amp; Settings'!$C$49))</f>
        <v/>
      </c>
    </row>
    <row r="613" spans="1:29" x14ac:dyDescent="0.2">
      <c r="A613" s="111"/>
      <c r="B613" s="112"/>
      <c r="C613" s="113"/>
      <c r="D613" s="113"/>
      <c r="E613" s="111"/>
      <c r="F613" s="114">
        <f t="shared" si="153"/>
        <v>0</v>
      </c>
      <c r="G613" s="115" t="str">
        <f t="shared" si="154"/>
        <v/>
      </c>
      <c r="H613" s="116">
        <f>IF($D613="",0,IFERROR(LOOKUP(2,1/(($D$3:D612=$D613)*($A$3:A612&lt;$A613)),$N$3:N612),'Guide &amp; Settings'!$C$41))</f>
        <v>0</v>
      </c>
      <c r="I613" s="117">
        <f t="shared" si="155"/>
        <v>0</v>
      </c>
      <c r="J613" s="118">
        <f>IF($D613="",0,IF($F613&lt;2,0,IF($E613="Win",('Guide &amp; Settings'!$C$42/(($F613-1)*COUNTIFS($A$4:$A$810,$A613,$E$4:$E$810,"Win")))*SUMIFS($X$4:$X$810,$A$4:$A$810,$A613,$E$4:$E$810,"Loss"),-('Guide &amp; Settings'!$C$42/($F613-1))*$X613)))</f>
        <v>0</v>
      </c>
      <c r="K613" s="118">
        <f>IF($D613="",0,'Guide &amp; Settings'!$C$43*(IF($E613="Win",1,0)-$I613))</f>
        <v>0</v>
      </c>
      <c r="L613" s="119">
        <f>IF($D613="",0,'Guide &amp; Settings'!$C$44*IF($F613&gt;=3,$F613,0))</f>
        <v>0</v>
      </c>
      <c r="M613" s="118">
        <f t="shared" si="156"/>
        <v>0</v>
      </c>
      <c r="N613" s="116">
        <f t="shared" si="157"/>
        <v>0</v>
      </c>
      <c r="O613" s="115" t="str">
        <f t="shared" si="158"/>
        <v/>
      </c>
      <c r="P613">
        <f t="shared" si="159"/>
        <v>0</v>
      </c>
      <c r="Q613">
        <f t="shared" si="160"/>
        <v>0</v>
      </c>
      <c r="R613">
        <f t="shared" si="161"/>
        <v>0</v>
      </c>
      <c r="S613">
        <f t="shared" si="162"/>
        <v>0</v>
      </c>
      <c r="T613" s="83">
        <f t="shared" si="163"/>
        <v>0</v>
      </c>
      <c r="U613" s="120">
        <f>IF($D613="",0,IFERROR(LOOKUP(2,1/(($D$3:D612=$D613)*($C$3:C612=$C613)*($A$3:A612&lt;$A613)),$AB$3:AB612),1000))</f>
        <v>0</v>
      </c>
      <c r="V613" s="120">
        <f t="shared" si="164"/>
        <v>0</v>
      </c>
      <c r="W613">
        <f t="shared" si="165"/>
        <v>0</v>
      </c>
      <c r="X613">
        <f t="shared" si="166"/>
        <v>0</v>
      </c>
      <c r="Y613">
        <f t="shared" si="167"/>
        <v>0</v>
      </c>
      <c r="Z613">
        <f t="shared" si="168"/>
        <v>0</v>
      </c>
      <c r="AA613">
        <f>IF($D613="",0,IF($F613&lt;2,0,IF($E613="Win",('Guide &amp; Settings'!$C$42/(($F613-1)*COUNTIFS($A$4:$A$810,$A613,$E$4:$E$810,"Win")))*SUMIFS($Z$4:$Z$810,$A$4:$A$810,$A613,$E$4:$E$810,"Loss"),-('Guide &amp; Settings'!$C$42/($F613-1))*$Z613)))</f>
        <v>0</v>
      </c>
      <c r="AB613" s="120">
        <f t="shared" si="169"/>
        <v>0</v>
      </c>
      <c r="AC613" s="120" t="str">
        <f>IF($D613="","",IF(SUMPRODUCT(MAX(($D$4:$D$810=$D613)*($B$4:$B$810&lt;$B613)*$B$4:$B$810))=0,0,MAX(($B613-MAX(SUMPRODUCT(MAX(($D$4:$D$810=$D613)*($B$4:$B$810&lt;$B613)*$B$4:$B$810)),'Guide &amp; Settings'!$C$50))/7-'Guide &amp; Settings'!$C$48,0)*'Guide &amp; Settings'!$C$49))</f>
        <v/>
      </c>
    </row>
    <row r="614" spans="1:29" x14ac:dyDescent="0.2">
      <c r="A614" s="111"/>
      <c r="B614" s="112"/>
      <c r="C614" s="113"/>
      <c r="D614" s="113"/>
      <c r="E614" s="111"/>
      <c r="F614" s="114">
        <f t="shared" si="153"/>
        <v>0</v>
      </c>
      <c r="G614" s="115" t="str">
        <f t="shared" si="154"/>
        <v/>
      </c>
      <c r="H614" s="116">
        <f>IF($D614="",0,IFERROR(LOOKUP(2,1/(($D$3:D613=$D614)*($A$3:A613&lt;$A614)),$N$3:N613),'Guide &amp; Settings'!$C$41))</f>
        <v>0</v>
      </c>
      <c r="I614" s="117">
        <f t="shared" si="155"/>
        <v>0</v>
      </c>
      <c r="J614" s="118">
        <f>IF($D614="",0,IF($F614&lt;2,0,IF($E614="Win",('Guide &amp; Settings'!$C$42/(($F614-1)*COUNTIFS($A$4:$A$810,$A614,$E$4:$E$810,"Win")))*SUMIFS($X$4:$X$810,$A$4:$A$810,$A614,$E$4:$E$810,"Loss"),-('Guide &amp; Settings'!$C$42/($F614-1))*$X614)))</f>
        <v>0</v>
      </c>
      <c r="K614" s="118">
        <f>IF($D614="",0,'Guide &amp; Settings'!$C$43*(IF($E614="Win",1,0)-$I614))</f>
        <v>0</v>
      </c>
      <c r="L614" s="119">
        <f>IF($D614="",0,'Guide &amp; Settings'!$C$44*IF($F614&gt;=3,$F614,0))</f>
        <v>0</v>
      </c>
      <c r="M614" s="118">
        <f t="shared" si="156"/>
        <v>0</v>
      </c>
      <c r="N614" s="116">
        <f t="shared" si="157"/>
        <v>0</v>
      </c>
      <c r="O614" s="115" t="str">
        <f t="shared" si="158"/>
        <v/>
      </c>
      <c r="P614">
        <f t="shared" si="159"/>
        <v>0</v>
      </c>
      <c r="Q614">
        <f t="shared" si="160"/>
        <v>0</v>
      </c>
      <c r="R614">
        <f t="shared" si="161"/>
        <v>0</v>
      </c>
      <c r="S614">
        <f t="shared" si="162"/>
        <v>0</v>
      </c>
      <c r="T614" s="83">
        <f t="shared" si="163"/>
        <v>0</v>
      </c>
      <c r="U614" s="120">
        <f>IF($D614="",0,IFERROR(LOOKUP(2,1/(($D$3:D613=$D614)*($C$3:C613=$C614)*($A$3:A613&lt;$A614)),$AB$3:AB613),1000))</f>
        <v>0</v>
      </c>
      <c r="V614" s="120">
        <f t="shared" si="164"/>
        <v>0</v>
      </c>
      <c r="W614">
        <f t="shared" si="165"/>
        <v>0</v>
      </c>
      <c r="X614">
        <f t="shared" si="166"/>
        <v>0</v>
      </c>
      <c r="Y614">
        <f t="shared" si="167"/>
        <v>0</v>
      </c>
      <c r="Z614">
        <f t="shared" si="168"/>
        <v>0</v>
      </c>
      <c r="AA614">
        <f>IF($D614="",0,IF($F614&lt;2,0,IF($E614="Win",('Guide &amp; Settings'!$C$42/(($F614-1)*COUNTIFS($A$4:$A$810,$A614,$E$4:$E$810,"Win")))*SUMIFS($Z$4:$Z$810,$A$4:$A$810,$A614,$E$4:$E$810,"Loss"),-('Guide &amp; Settings'!$C$42/($F614-1))*$Z614)))</f>
        <v>0</v>
      </c>
      <c r="AB614" s="120">
        <f t="shared" si="169"/>
        <v>0</v>
      </c>
      <c r="AC614" s="120" t="str">
        <f>IF($D614="","",IF(SUMPRODUCT(MAX(($D$4:$D$810=$D614)*($B$4:$B$810&lt;$B614)*$B$4:$B$810))=0,0,MAX(($B614-MAX(SUMPRODUCT(MAX(($D$4:$D$810=$D614)*($B$4:$B$810&lt;$B614)*$B$4:$B$810)),'Guide &amp; Settings'!$C$50))/7-'Guide &amp; Settings'!$C$48,0)*'Guide &amp; Settings'!$C$49))</f>
        <v/>
      </c>
    </row>
    <row r="615" spans="1:29" x14ac:dyDescent="0.2">
      <c r="A615" s="111"/>
      <c r="B615" s="112"/>
      <c r="C615" s="113"/>
      <c r="D615" s="113"/>
      <c r="E615" s="111"/>
      <c r="F615" s="114">
        <f t="shared" si="153"/>
        <v>0</v>
      </c>
      <c r="G615" s="115" t="str">
        <f t="shared" si="154"/>
        <v/>
      </c>
      <c r="H615" s="116">
        <f>IF($D615="",0,IFERROR(LOOKUP(2,1/(($D$3:D614=$D615)*($A$3:A614&lt;$A615)),$N$3:N614),'Guide &amp; Settings'!$C$41))</f>
        <v>0</v>
      </c>
      <c r="I615" s="117">
        <f t="shared" si="155"/>
        <v>0</v>
      </c>
      <c r="J615" s="118">
        <f>IF($D615="",0,IF($F615&lt;2,0,IF($E615="Win",('Guide &amp; Settings'!$C$42/(($F615-1)*COUNTIFS($A$4:$A$810,$A615,$E$4:$E$810,"Win")))*SUMIFS($X$4:$X$810,$A$4:$A$810,$A615,$E$4:$E$810,"Loss"),-('Guide &amp; Settings'!$C$42/($F615-1))*$X615)))</f>
        <v>0</v>
      </c>
      <c r="K615" s="118">
        <f>IF($D615="",0,'Guide &amp; Settings'!$C$43*(IF($E615="Win",1,0)-$I615))</f>
        <v>0</v>
      </c>
      <c r="L615" s="119">
        <f>IF($D615="",0,'Guide &amp; Settings'!$C$44*IF($F615&gt;=3,$F615,0))</f>
        <v>0</v>
      </c>
      <c r="M615" s="118">
        <f t="shared" si="156"/>
        <v>0</v>
      </c>
      <c r="N615" s="116">
        <f t="shared" si="157"/>
        <v>0</v>
      </c>
      <c r="O615" s="115" t="str">
        <f t="shared" si="158"/>
        <v/>
      </c>
      <c r="P615">
        <f t="shared" si="159"/>
        <v>0</v>
      </c>
      <c r="Q615">
        <f t="shared" si="160"/>
        <v>0</v>
      </c>
      <c r="R615">
        <f t="shared" si="161"/>
        <v>0</v>
      </c>
      <c r="S615">
        <f t="shared" si="162"/>
        <v>0</v>
      </c>
      <c r="T615" s="83">
        <f t="shared" si="163"/>
        <v>0</v>
      </c>
      <c r="U615" s="120">
        <f>IF($D615="",0,IFERROR(LOOKUP(2,1/(($D$3:D614=$D615)*($C$3:C614=$C615)*($A$3:A614&lt;$A615)),$AB$3:AB614),1000))</f>
        <v>0</v>
      </c>
      <c r="V615" s="120">
        <f t="shared" si="164"/>
        <v>0</v>
      </c>
      <c r="W615">
        <f t="shared" si="165"/>
        <v>0</v>
      </c>
      <c r="X615">
        <f t="shared" si="166"/>
        <v>0</v>
      </c>
      <c r="Y615">
        <f t="shared" si="167"/>
        <v>0</v>
      </c>
      <c r="Z615">
        <f t="shared" si="168"/>
        <v>0</v>
      </c>
      <c r="AA615">
        <f>IF($D615="",0,IF($F615&lt;2,0,IF($E615="Win",('Guide &amp; Settings'!$C$42/(($F615-1)*COUNTIFS($A$4:$A$810,$A615,$E$4:$E$810,"Win")))*SUMIFS($Z$4:$Z$810,$A$4:$A$810,$A615,$E$4:$E$810,"Loss"),-('Guide &amp; Settings'!$C$42/($F615-1))*$Z615)))</f>
        <v>0</v>
      </c>
      <c r="AB615" s="120">
        <f t="shared" si="169"/>
        <v>0</v>
      </c>
      <c r="AC615" s="120" t="str">
        <f>IF($D615="","",IF(SUMPRODUCT(MAX(($D$4:$D$810=$D615)*($B$4:$B$810&lt;$B615)*$B$4:$B$810))=0,0,MAX(($B615-MAX(SUMPRODUCT(MAX(($D$4:$D$810=$D615)*($B$4:$B$810&lt;$B615)*$B$4:$B$810)),'Guide &amp; Settings'!$C$50))/7-'Guide &amp; Settings'!$C$48,0)*'Guide &amp; Settings'!$C$49))</f>
        <v/>
      </c>
    </row>
    <row r="616" spans="1:29" x14ac:dyDescent="0.2">
      <c r="A616" s="111"/>
      <c r="B616" s="112"/>
      <c r="C616" s="113"/>
      <c r="D616" s="113"/>
      <c r="E616" s="111"/>
      <c r="F616" s="114">
        <f t="shared" si="153"/>
        <v>0</v>
      </c>
      <c r="G616" s="115" t="str">
        <f t="shared" si="154"/>
        <v/>
      </c>
      <c r="H616" s="116">
        <f>IF($D616="",0,IFERROR(LOOKUP(2,1/(($D$3:D615=$D616)*($A$3:A615&lt;$A616)),$N$3:N615),'Guide &amp; Settings'!$C$41))</f>
        <v>0</v>
      </c>
      <c r="I616" s="117">
        <f t="shared" si="155"/>
        <v>0</v>
      </c>
      <c r="J616" s="118">
        <f>IF($D616="",0,IF($F616&lt;2,0,IF($E616="Win",('Guide &amp; Settings'!$C$42/(($F616-1)*COUNTIFS($A$4:$A$810,$A616,$E$4:$E$810,"Win")))*SUMIFS($X$4:$X$810,$A$4:$A$810,$A616,$E$4:$E$810,"Loss"),-('Guide &amp; Settings'!$C$42/($F616-1))*$X616)))</f>
        <v>0</v>
      </c>
      <c r="K616" s="118">
        <f>IF($D616="",0,'Guide &amp; Settings'!$C$43*(IF($E616="Win",1,0)-$I616))</f>
        <v>0</v>
      </c>
      <c r="L616" s="119">
        <f>IF($D616="",0,'Guide &amp; Settings'!$C$44*IF($F616&gt;=3,$F616,0))</f>
        <v>0</v>
      </c>
      <c r="M616" s="118">
        <f t="shared" si="156"/>
        <v>0</v>
      </c>
      <c r="N616" s="116">
        <f t="shared" si="157"/>
        <v>0</v>
      </c>
      <c r="O616" s="115" t="str">
        <f t="shared" si="158"/>
        <v/>
      </c>
      <c r="P616">
        <f t="shared" si="159"/>
        <v>0</v>
      </c>
      <c r="Q616">
        <f t="shared" si="160"/>
        <v>0</v>
      </c>
      <c r="R616">
        <f t="shared" si="161"/>
        <v>0</v>
      </c>
      <c r="S616">
        <f t="shared" si="162"/>
        <v>0</v>
      </c>
      <c r="T616" s="83">
        <f t="shared" si="163"/>
        <v>0</v>
      </c>
      <c r="U616" s="120">
        <f>IF($D616="",0,IFERROR(LOOKUP(2,1/(($D$3:D615=$D616)*($C$3:C615=$C616)*($A$3:A615&lt;$A616)),$AB$3:AB615),1000))</f>
        <v>0</v>
      </c>
      <c r="V616" s="120">
        <f t="shared" si="164"/>
        <v>0</v>
      </c>
      <c r="W616">
        <f t="shared" si="165"/>
        <v>0</v>
      </c>
      <c r="X616">
        <f t="shared" si="166"/>
        <v>0</v>
      </c>
      <c r="Y616">
        <f t="shared" si="167"/>
        <v>0</v>
      </c>
      <c r="Z616">
        <f t="shared" si="168"/>
        <v>0</v>
      </c>
      <c r="AA616">
        <f>IF($D616="",0,IF($F616&lt;2,0,IF($E616="Win",('Guide &amp; Settings'!$C$42/(($F616-1)*COUNTIFS($A$4:$A$810,$A616,$E$4:$E$810,"Win")))*SUMIFS($Z$4:$Z$810,$A$4:$A$810,$A616,$E$4:$E$810,"Loss"),-('Guide &amp; Settings'!$C$42/($F616-1))*$Z616)))</f>
        <v>0</v>
      </c>
      <c r="AB616" s="120">
        <f t="shared" si="169"/>
        <v>0</v>
      </c>
      <c r="AC616" s="120" t="str">
        <f>IF($D616="","",IF(SUMPRODUCT(MAX(($D$4:$D$810=$D616)*($B$4:$B$810&lt;$B616)*$B$4:$B$810))=0,0,MAX(($B616-MAX(SUMPRODUCT(MAX(($D$4:$D$810=$D616)*($B$4:$B$810&lt;$B616)*$B$4:$B$810)),'Guide &amp; Settings'!$C$50))/7-'Guide &amp; Settings'!$C$48,0)*'Guide &amp; Settings'!$C$49))</f>
        <v/>
      </c>
    </row>
    <row r="617" spans="1:29" x14ac:dyDescent="0.2">
      <c r="A617" s="111"/>
      <c r="B617" s="112"/>
      <c r="C617" s="113"/>
      <c r="D617" s="113"/>
      <c r="E617" s="111"/>
      <c r="F617" s="114">
        <f t="shared" si="153"/>
        <v>0</v>
      </c>
      <c r="G617" s="115" t="str">
        <f t="shared" si="154"/>
        <v/>
      </c>
      <c r="H617" s="116">
        <f>IF($D617="",0,IFERROR(LOOKUP(2,1/(($D$3:D616=$D617)*($A$3:A616&lt;$A617)),$N$3:N616),'Guide &amp; Settings'!$C$41))</f>
        <v>0</v>
      </c>
      <c r="I617" s="117">
        <f t="shared" si="155"/>
        <v>0</v>
      </c>
      <c r="J617" s="118">
        <f>IF($D617="",0,IF($F617&lt;2,0,IF($E617="Win",('Guide &amp; Settings'!$C$42/(($F617-1)*COUNTIFS($A$4:$A$810,$A617,$E$4:$E$810,"Win")))*SUMIFS($X$4:$X$810,$A$4:$A$810,$A617,$E$4:$E$810,"Loss"),-('Guide &amp; Settings'!$C$42/($F617-1))*$X617)))</f>
        <v>0</v>
      </c>
      <c r="K617" s="118">
        <f>IF($D617="",0,'Guide &amp; Settings'!$C$43*(IF($E617="Win",1,0)-$I617))</f>
        <v>0</v>
      </c>
      <c r="L617" s="119">
        <f>IF($D617="",0,'Guide &amp; Settings'!$C$44*IF($F617&gt;=3,$F617,0))</f>
        <v>0</v>
      </c>
      <c r="M617" s="118">
        <f t="shared" si="156"/>
        <v>0</v>
      </c>
      <c r="N617" s="116">
        <f t="shared" si="157"/>
        <v>0</v>
      </c>
      <c r="O617" s="115" t="str">
        <f t="shared" si="158"/>
        <v/>
      </c>
      <c r="P617">
        <f t="shared" si="159"/>
        <v>0</v>
      </c>
      <c r="Q617">
        <f t="shared" si="160"/>
        <v>0</v>
      </c>
      <c r="R617">
        <f t="shared" si="161"/>
        <v>0</v>
      </c>
      <c r="S617">
        <f t="shared" si="162"/>
        <v>0</v>
      </c>
      <c r="T617" s="83">
        <f t="shared" si="163"/>
        <v>0</v>
      </c>
      <c r="U617" s="120">
        <f>IF($D617="",0,IFERROR(LOOKUP(2,1/(($D$3:D616=$D617)*($C$3:C616=$C617)*($A$3:A616&lt;$A617)),$AB$3:AB616),1000))</f>
        <v>0</v>
      </c>
      <c r="V617" s="120">
        <f t="shared" si="164"/>
        <v>0</v>
      </c>
      <c r="W617">
        <f t="shared" si="165"/>
        <v>0</v>
      </c>
      <c r="X617">
        <f t="shared" si="166"/>
        <v>0</v>
      </c>
      <c r="Y617">
        <f t="shared" si="167"/>
        <v>0</v>
      </c>
      <c r="Z617">
        <f t="shared" si="168"/>
        <v>0</v>
      </c>
      <c r="AA617">
        <f>IF($D617="",0,IF($F617&lt;2,0,IF($E617="Win",('Guide &amp; Settings'!$C$42/(($F617-1)*COUNTIFS($A$4:$A$810,$A617,$E$4:$E$810,"Win")))*SUMIFS($Z$4:$Z$810,$A$4:$A$810,$A617,$E$4:$E$810,"Loss"),-('Guide &amp; Settings'!$C$42/($F617-1))*$Z617)))</f>
        <v>0</v>
      </c>
      <c r="AB617" s="120">
        <f t="shared" si="169"/>
        <v>0</v>
      </c>
      <c r="AC617" s="120" t="str">
        <f>IF($D617="","",IF(SUMPRODUCT(MAX(($D$4:$D$810=$D617)*($B$4:$B$810&lt;$B617)*$B$4:$B$810))=0,0,MAX(($B617-MAX(SUMPRODUCT(MAX(($D$4:$D$810=$D617)*($B$4:$B$810&lt;$B617)*$B$4:$B$810)),'Guide &amp; Settings'!$C$50))/7-'Guide &amp; Settings'!$C$48,0)*'Guide &amp; Settings'!$C$49))</f>
        <v/>
      </c>
    </row>
    <row r="618" spans="1:29" x14ac:dyDescent="0.2">
      <c r="A618" s="111"/>
      <c r="B618" s="112"/>
      <c r="C618" s="113"/>
      <c r="D618" s="113"/>
      <c r="E618" s="111"/>
      <c r="F618" s="114">
        <f t="shared" si="153"/>
        <v>0</v>
      </c>
      <c r="G618" s="115" t="str">
        <f t="shared" si="154"/>
        <v/>
      </c>
      <c r="H618" s="116">
        <f>IF($D618="",0,IFERROR(LOOKUP(2,1/(($D$3:D617=$D618)*($A$3:A617&lt;$A618)),$N$3:N617),'Guide &amp; Settings'!$C$41))</f>
        <v>0</v>
      </c>
      <c r="I618" s="117">
        <f t="shared" si="155"/>
        <v>0</v>
      </c>
      <c r="J618" s="118">
        <f>IF($D618="",0,IF($F618&lt;2,0,IF($E618="Win",('Guide &amp; Settings'!$C$42/(($F618-1)*COUNTIFS($A$4:$A$810,$A618,$E$4:$E$810,"Win")))*SUMIFS($X$4:$X$810,$A$4:$A$810,$A618,$E$4:$E$810,"Loss"),-('Guide &amp; Settings'!$C$42/($F618-1))*$X618)))</f>
        <v>0</v>
      </c>
      <c r="K618" s="118">
        <f>IF($D618="",0,'Guide &amp; Settings'!$C$43*(IF($E618="Win",1,0)-$I618))</f>
        <v>0</v>
      </c>
      <c r="L618" s="119">
        <f>IF($D618="",0,'Guide &amp; Settings'!$C$44*IF($F618&gt;=3,$F618,0))</f>
        <v>0</v>
      </c>
      <c r="M618" s="118">
        <f t="shared" si="156"/>
        <v>0</v>
      </c>
      <c r="N618" s="116">
        <f t="shared" si="157"/>
        <v>0</v>
      </c>
      <c r="O618" s="115" t="str">
        <f t="shared" si="158"/>
        <v/>
      </c>
      <c r="P618">
        <f t="shared" si="159"/>
        <v>0</v>
      </c>
      <c r="Q618">
        <f t="shared" si="160"/>
        <v>0</v>
      </c>
      <c r="R618">
        <f t="shared" si="161"/>
        <v>0</v>
      </c>
      <c r="S618">
        <f t="shared" si="162"/>
        <v>0</v>
      </c>
      <c r="T618" s="83">
        <f t="shared" si="163"/>
        <v>0</v>
      </c>
      <c r="U618" s="120">
        <f>IF($D618="",0,IFERROR(LOOKUP(2,1/(($D$3:D617=$D618)*($C$3:C617=$C618)*($A$3:A617&lt;$A618)),$AB$3:AB617),1000))</f>
        <v>0</v>
      </c>
      <c r="V618" s="120">
        <f t="shared" si="164"/>
        <v>0</v>
      </c>
      <c r="W618">
        <f t="shared" si="165"/>
        <v>0</v>
      </c>
      <c r="X618">
        <f t="shared" si="166"/>
        <v>0</v>
      </c>
      <c r="Y618">
        <f t="shared" si="167"/>
        <v>0</v>
      </c>
      <c r="Z618">
        <f t="shared" si="168"/>
        <v>0</v>
      </c>
      <c r="AA618">
        <f>IF($D618="",0,IF($F618&lt;2,0,IF($E618="Win",('Guide &amp; Settings'!$C$42/(($F618-1)*COUNTIFS($A$4:$A$810,$A618,$E$4:$E$810,"Win")))*SUMIFS($Z$4:$Z$810,$A$4:$A$810,$A618,$E$4:$E$810,"Loss"),-('Guide &amp; Settings'!$C$42/($F618-1))*$Z618)))</f>
        <v>0</v>
      </c>
      <c r="AB618" s="120">
        <f t="shared" si="169"/>
        <v>0</v>
      </c>
      <c r="AC618" s="120" t="str">
        <f>IF($D618="","",IF(SUMPRODUCT(MAX(($D$4:$D$810=$D618)*($B$4:$B$810&lt;$B618)*$B$4:$B$810))=0,0,MAX(($B618-MAX(SUMPRODUCT(MAX(($D$4:$D$810=$D618)*($B$4:$B$810&lt;$B618)*$B$4:$B$810)),'Guide &amp; Settings'!$C$50))/7-'Guide &amp; Settings'!$C$48,0)*'Guide &amp; Settings'!$C$49))</f>
        <v/>
      </c>
    </row>
    <row r="619" spans="1:29" x14ac:dyDescent="0.2">
      <c r="A619" s="111"/>
      <c r="B619" s="112"/>
      <c r="C619" s="113"/>
      <c r="D619" s="113"/>
      <c r="E619" s="111"/>
      <c r="F619" s="114">
        <f t="shared" si="153"/>
        <v>0</v>
      </c>
      <c r="G619" s="115" t="str">
        <f t="shared" si="154"/>
        <v/>
      </c>
      <c r="H619" s="116">
        <f>IF($D619="",0,IFERROR(LOOKUP(2,1/(($D$3:D618=$D619)*($A$3:A618&lt;$A619)),$N$3:N618),'Guide &amp; Settings'!$C$41))</f>
        <v>0</v>
      </c>
      <c r="I619" s="117">
        <f t="shared" si="155"/>
        <v>0</v>
      </c>
      <c r="J619" s="118">
        <f>IF($D619="",0,IF($F619&lt;2,0,IF($E619="Win",('Guide &amp; Settings'!$C$42/(($F619-1)*COUNTIFS($A$4:$A$810,$A619,$E$4:$E$810,"Win")))*SUMIFS($X$4:$X$810,$A$4:$A$810,$A619,$E$4:$E$810,"Loss"),-('Guide &amp; Settings'!$C$42/($F619-1))*$X619)))</f>
        <v>0</v>
      </c>
      <c r="K619" s="118">
        <f>IF($D619="",0,'Guide &amp; Settings'!$C$43*(IF($E619="Win",1,0)-$I619))</f>
        <v>0</v>
      </c>
      <c r="L619" s="119">
        <f>IF($D619="",0,'Guide &amp; Settings'!$C$44*IF($F619&gt;=3,$F619,0))</f>
        <v>0</v>
      </c>
      <c r="M619" s="118">
        <f t="shared" si="156"/>
        <v>0</v>
      </c>
      <c r="N619" s="116">
        <f t="shared" si="157"/>
        <v>0</v>
      </c>
      <c r="O619" s="115" t="str">
        <f t="shared" si="158"/>
        <v/>
      </c>
      <c r="P619">
        <f t="shared" si="159"/>
        <v>0</v>
      </c>
      <c r="Q619">
        <f t="shared" si="160"/>
        <v>0</v>
      </c>
      <c r="R619">
        <f t="shared" si="161"/>
        <v>0</v>
      </c>
      <c r="S619">
        <f t="shared" si="162"/>
        <v>0</v>
      </c>
      <c r="T619" s="83">
        <f t="shared" si="163"/>
        <v>0</v>
      </c>
      <c r="U619" s="120">
        <f>IF($D619="",0,IFERROR(LOOKUP(2,1/(($D$3:D618=$D619)*($C$3:C618=$C619)*($A$3:A618&lt;$A619)),$AB$3:AB618),1000))</f>
        <v>0</v>
      </c>
      <c r="V619" s="120">
        <f t="shared" si="164"/>
        <v>0</v>
      </c>
      <c r="W619">
        <f t="shared" si="165"/>
        <v>0</v>
      </c>
      <c r="X619">
        <f t="shared" si="166"/>
        <v>0</v>
      </c>
      <c r="Y619">
        <f t="shared" si="167"/>
        <v>0</v>
      </c>
      <c r="Z619">
        <f t="shared" si="168"/>
        <v>0</v>
      </c>
      <c r="AA619">
        <f>IF($D619="",0,IF($F619&lt;2,0,IF($E619="Win",('Guide &amp; Settings'!$C$42/(($F619-1)*COUNTIFS($A$4:$A$810,$A619,$E$4:$E$810,"Win")))*SUMIFS($Z$4:$Z$810,$A$4:$A$810,$A619,$E$4:$E$810,"Loss"),-('Guide &amp; Settings'!$C$42/($F619-1))*$Z619)))</f>
        <v>0</v>
      </c>
      <c r="AB619" s="120">
        <f t="shared" si="169"/>
        <v>0</v>
      </c>
      <c r="AC619" s="120" t="str">
        <f>IF($D619="","",IF(SUMPRODUCT(MAX(($D$4:$D$810=$D619)*($B$4:$B$810&lt;$B619)*$B$4:$B$810))=0,0,MAX(($B619-MAX(SUMPRODUCT(MAX(($D$4:$D$810=$D619)*($B$4:$B$810&lt;$B619)*$B$4:$B$810)),'Guide &amp; Settings'!$C$50))/7-'Guide &amp; Settings'!$C$48,0)*'Guide &amp; Settings'!$C$49))</f>
        <v/>
      </c>
    </row>
    <row r="620" spans="1:29" x14ac:dyDescent="0.2">
      <c r="A620" s="111"/>
      <c r="B620" s="112"/>
      <c r="C620" s="113"/>
      <c r="D620" s="113"/>
      <c r="E620" s="111"/>
      <c r="F620" s="114">
        <f t="shared" si="153"/>
        <v>0</v>
      </c>
      <c r="G620" s="115" t="str">
        <f t="shared" si="154"/>
        <v/>
      </c>
      <c r="H620" s="116">
        <f>IF($D620="",0,IFERROR(LOOKUP(2,1/(($D$3:D619=$D620)*($A$3:A619&lt;$A620)),$N$3:N619),'Guide &amp; Settings'!$C$41))</f>
        <v>0</v>
      </c>
      <c r="I620" s="117">
        <f t="shared" si="155"/>
        <v>0</v>
      </c>
      <c r="J620" s="118">
        <f>IF($D620="",0,IF($F620&lt;2,0,IF($E620="Win",('Guide &amp; Settings'!$C$42/(($F620-1)*COUNTIFS($A$4:$A$810,$A620,$E$4:$E$810,"Win")))*SUMIFS($X$4:$X$810,$A$4:$A$810,$A620,$E$4:$E$810,"Loss"),-('Guide &amp; Settings'!$C$42/($F620-1))*$X620)))</f>
        <v>0</v>
      </c>
      <c r="K620" s="118">
        <f>IF($D620="",0,'Guide &amp; Settings'!$C$43*(IF($E620="Win",1,0)-$I620))</f>
        <v>0</v>
      </c>
      <c r="L620" s="119">
        <f>IF($D620="",0,'Guide &amp; Settings'!$C$44*IF($F620&gt;=3,$F620,0))</f>
        <v>0</v>
      </c>
      <c r="M620" s="118">
        <f t="shared" si="156"/>
        <v>0</v>
      </c>
      <c r="N620" s="116">
        <f t="shared" si="157"/>
        <v>0</v>
      </c>
      <c r="O620" s="115" t="str">
        <f t="shared" si="158"/>
        <v/>
      </c>
      <c r="P620">
        <f t="shared" si="159"/>
        <v>0</v>
      </c>
      <c r="Q620">
        <f t="shared" si="160"/>
        <v>0</v>
      </c>
      <c r="R620">
        <f t="shared" si="161"/>
        <v>0</v>
      </c>
      <c r="S620">
        <f t="shared" si="162"/>
        <v>0</v>
      </c>
      <c r="T620" s="83">
        <f t="shared" si="163"/>
        <v>0</v>
      </c>
      <c r="U620" s="120">
        <f>IF($D620="",0,IFERROR(LOOKUP(2,1/(($D$3:D619=$D620)*($C$3:C619=$C620)*($A$3:A619&lt;$A620)),$AB$3:AB619),1000))</f>
        <v>0</v>
      </c>
      <c r="V620" s="120">
        <f t="shared" si="164"/>
        <v>0</v>
      </c>
      <c r="W620">
        <f t="shared" si="165"/>
        <v>0</v>
      </c>
      <c r="X620">
        <f t="shared" si="166"/>
        <v>0</v>
      </c>
      <c r="Y620">
        <f t="shared" si="167"/>
        <v>0</v>
      </c>
      <c r="Z620">
        <f t="shared" si="168"/>
        <v>0</v>
      </c>
      <c r="AA620">
        <f>IF($D620="",0,IF($F620&lt;2,0,IF($E620="Win",('Guide &amp; Settings'!$C$42/(($F620-1)*COUNTIFS($A$4:$A$810,$A620,$E$4:$E$810,"Win")))*SUMIFS($Z$4:$Z$810,$A$4:$A$810,$A620,$E$4:$E$810,"Loss"),-('Guide &amp; Settings'!$C$42/($F620-1))*$Z620)))</f>
        <v>0</v>
      </c>
      <c r="AB620" s="120">
        <f t="shared" si="169"/>
        <v>0</v>
      </c>
      <c r="AC620" s="120" t="str">
        <f>IF($D620="","",IF(SUMPRODUCT(MAX(($D$4:$D$810=$D620)*($B$4:$B$810&lt;$B620)*$B$4:$B$810))=0,0,MAX(($B620-MAX(SUMPRODUCT(MAX(($D$4:$D$810=$D620)*($B$4:$B$810&lt;$B620)*$B$4:$B$810)),'Guide &amp; Settings'!$C$50))/7-'Guide &amp; Settings'!$C$48,0)*'Guide &amp; Settings'!$C$49))</f>
        <v/>
      </c>
    </row>
    <row r="621" spans="1:29" x14ac:dyDescent="0.2">
      <c r="A621" s="111"/>
      <c r="B621" s="112"/>
      <c r="C621" s="113"/>
      <c r="D621" s="113"/>
      <c r="E621" s="111"/>
      <c r="F621" s="114">
        <f t="shared" si="153"/>
        <v>0</v>
      </c>
      <c r="G621" s="115" t="str">
        <f t="shared" si="154"/>
        <v/>
      </c>
      <c r="H621" s="116">
        <f>IF($D621="",0,IFERROR(LOOKUP(2,1/(($D$3:D620=$D621)*($A$3:A620&lt;$A621)),$N$3:N620),'Guide &amp; Settings'!$C$41))</f>
        <v>0</v>
      </c>
      <c r="I621" s="117">
        <f t="shared" si="155"/>
        <v>0</v>
      </c>
      <c r="J621" s="118">
        <f>IF($D621="",0,IF($F621&lt;2,0,IF($E621="Win",('Guide &amp; Settings'!$C$42/(($F621-1)*COUNTIFS($A$4:$A$810,$A621,$E$4:$E$810,"Win")))*SUMIFS($X$4:$X$810,$A$4:$A$810,$A621,$E$4:$E$810,"Loss"),-('Guide &amp; Settings'!$C$42/($F621-1))*$X621)))</f>
        <v>0</v>
      </c>
      <c r="K621" s="118">
        <f>IF($D621="",0,'Guide &amp; Settings'!$C$43*(IF($E621="Win",1,0)-$I621))</f>
        <v>0</v>
      </c>
      <c r="L621" s="119">
        <f>IF($D621="",0,'Guide &amp; Settings'!$C$44*IF($F621&gt;=3,$F621,0))</f>
        <v>0</v>
      </c>
      <c r="M621" s="118">
        <f t="shared" si="156"/>
        <v>0</v>
      </c>
      <c r="N621" s="116">
        <f t="shared" si="157"/>
        <v>0</v>
      </c>
      <c r="O621" s="115" t="str">
        <f t="shared" si="158"/>
        <v/>
      </c>
      <c r="P621">
        <f t="shared" si="159"/>
        <v>0</v>
      </c>
      <c r="Q621">
        <f t="shared" si="160"/>
        <v>0</v>
      </c>
      <c r="R621">
        <f t="shared" si="161"/>
        <v>0</v>
      </c>
      <c r="S621">
        <f t="shared" si="162"/>
        <v>0</v>
      </c>
      <c r="T621" s="83">
        <f t="shared" si="163"/>
        <v>0</v>
      </c>
      <c r="U621" s="120">
        <f>IF($D621="",0,IFERROR(LOOKUP(2,1/(($D$3:D620=$D621)*($C$3:C620=$C621)*($A$3:A620&lt;$A621)),$AB$3:AB620),1000))</f>
        <v>0</v>
      </c>
      <c r="V621" s="120">
        <f t="shared" si="164"/>
        <v>0</v>
      </c>
      <c r="W621">
        <f t="shared" si="165"/>
        <v>0</v>
      </c>
      <c r="X621">
        <f t="shared" si="166"/>
        <v>0</v>
      </c>
      <c r="Y621">
        <f t="shared" si="167"/>
        <v>0</v>
      </c>
      <c r="Z621">
        <f t="shared" si="168"/>
        <v>0</v>
      </c>
      <c r="AA621">
        <f>IF($D621="",0,IF($F621&lt;2,0,IF($E621="Win",('Guide &amp; Settings'!$C$42/(($F621-1)*COUNTIFS($A$4:$A$810,$A621,$E$4:$E$810,"Win")))*SUMIFS($Z$4:$Z$810,$A$4:$A$810,$A621,$E$4:$E$810,"Loss"),-('Guide &amp; Settings'!$C$42/($F621-1))*$Z621)))</f>
        <v>0</v>
      </c>
      <c r="AB621" s="120">
        <f t="shared" si="169"/>
        <v>0</v>
      </c>
      <c r="AC621" s="120" t="str">
        <f>IF($D621="","",IF(SUMPRODUCT(MAX(($D$4:$D$810=$D621)*($B$4:$B$810&lt;$B621)*$B$4:$B$810))=0,0,MAX(($B621-MAX(SUMPRODUCT(MAX(($D$4:$D$810=$D621)*($B$4:$B$810&lt;$B621)*$B$4:$B$810)),'Guide &amp; Settings'!$C$50))/7-'Guide &amp; Settings'!$C$48,0)*'Guide &amp; Settings'!$C$49))</f>
        <v/>
      </c>
    </row>
    <row r="622" spans="1:29" x14ac:dyDescent="0.2">
      <c r="A622" s="111"/>
      <c r="B622" s="112"/>
      <c r="C622" s="113"/>
      <c r="D622" s="113"/>
      <c r="E622" s="111"/>
      <c r="F622" s="114">
        <f t="shared" si="153"/>
        <v>0</v>
      </c>
      <c r="G622" s="115" t="str">
        <f t="shared" si="154"/>
        <v/>
      </c>
      <c r="H622" s="116">
        <f>IF($D622="",0,IFERROR(LOOKUP(2,1/(($D$3:D621=$D622)*($A$3:A621&lt;$A622)),$N$3:N621),'Guide &amp; Settings'!$C$41))</f>
        <v>0</v>
      </c>
      <c r="I622" s="117">
        <f t="shared" si="155"/>
        <v>0</v>
      </c>
      <c r="J622" s="118">
        <f>IF($D622="",0,IF($F622&lt;2,0,IF($E622="Win",('Guide &amp; Settings'!$C$42/(($F622-1)*COUNTIFS($A$4:$A$810,$A622,$E$4:$E$810,"Win")))*SUMIFS($X$4:$X$810,$A$4:$A$810,$A622,$E$4:$E$810,"Loss"),-('Guide &amp; Settings'!$C$42/($F622-1))*$X622)))</f>
        <v>0</v>
      </c>
      <c r="K622" s="118">
        <f>IF($D622="",0,'Guide &amp; Settings'!$C$43*(IF($E622="Win",1,0)-$I622))</f>
        <v>0</v>
      </c>
      <c r="L622" s="119">
        <f>IF($D622="",0,'Guide &amp; Settings'!$C$44*IF($F622&gt;=3,$F622,0))</f>
        <v>0</v>
      </c>
      <c r="M622" s="118">
        <f t="shared" si="156"/>
        <v>0</v>
      </c>
      <c r="N622" s="116">
        <f t="shared" si="157"/>
        <v>0</v>
      </c>
      <c r="O622" s="115" t="str">
        <f t="shared" si="158"/>
        <v/>
      </c>
      <c r="P622">
        <f t="shared" si="159"/>
        <v>0</v>
      </c>
      <c r="Q622">
        <f t="shared" si="160"/>
        <v>0</v>
      </c>
      <c r="R622">
        <f t="shared" si="161"/>
        <v>0</v>
      </c>
      <c r="S622">
        <f t="shared" si="162"/>
        <v>0</v>
      </c>
      <c r="T622" s="83">
        <f t="shared" si="163"/>
        <v>0</v>
      </c>
      <c r="U622" s="120">
        <f>IF($D622="",0,IFERROR(LOOKUP(2,1/(($D$3:D621=$D622)*($C$3:C621=$C622)*($A$3:A621&lt;$A622)),$AB$3:AB621),1000))</f>
        <v>0</v>
      </c>
      <c r="V622" s="120">
        <f t="shared" si="164"/>
        <v>0</v>
      </c>
      <c r="W622">
        <f t="shared" si="165"/>
        <v>0</v>
      </c>
      <c r="X622">
        <f t="shared" si="166"/>
        <v>0</v>
      </c>
      <c r="Y622">
        <f t="shared" si="167"/>
        <v>0</v>
      </c>
      <c r="Z622">
        <f t="shared" si="168"/>
        <v>0</v>
      </c>
      <c r="AA622">
        <f>IF($D622="",0,IF($F622&lt;2,0,IF($E622="Win",('Guide &amp; Settings'!$C$42/(($F622-1)*COUNTIFS($A$4:$A$810,$A622,$E$4:$E$810,"Win")))*SUMIFS($Z$4:$Z$810,$A$4:$A$810,$A622,$E$4:$E$810,"Loss"),-('Guide &amp; Settings'!$C$42/($F622-1))*$Z622)))</f>
        <v>0</v>
      </c>
      <c r="AB622" s="120">
        <f t="shared" si="169"/>
        <v>0</v>
      </c>
      <c r="AC622" s="120" t="str">
        <f>IF($D622="","",IF(SUMPRODUCT(MAX(($D$4:$D$810=$D622)*($B$4:$B$810&lt;$B622)*$B$4:$B$810))=0,0,MAX(($B622-MAX(SUMPRODUCT(MAX(($D$4:$D$810=$D622)*($B$4:$B$810&lt;$B622)*$B$4:$B$810)),'Guide &amp; Settings'!$C$50))/7-'Guide &amp; Settings'!$C$48,0)*'Guide &amp; Settings'!$C$49))</f>
        <v/>
      </c>
    </row>
    <row r="623" spans="1:29" x14ac:dyDescent="0.2">
      <c r="A623" s="111"/>
      <c r="B623" s="112"/>
      <c r="C623" s="113"/>
      <c r="D623" s="113"/>
      <c r="E623" s="111"/>
      <c r="F623" s="114">
        <f t="shared" si="153"/>
        <v>0</v>
      </c>
      <c r="G623" s="115" t="str">
        <f t="shared" si="154"/>
        <v/>
      </c>
      <c r="H623" s="116">
        <f>IF($D623="",0,IFERROR(LOOKUP(2,1/(($D$3:D622=$D623)*($A$3:A622&lt;$A623)),$N$3:N622),'Guide &amp; Settings'!$C$41))</f>
        <v>0</v>
      </c>
      <c r="I623" s="117">
        <f t="shared" si="155"/>
        <v>0</v>
      </c>
      <c r="J623" s="118">
        <f>IF($D623="",0,IF($F623&lt;2,0,IF($E623="Win",('Guide &amp; Settings'!$C$42/(($F623-1)*COUNTIFS($A$4:$A$810,$A623,$E$4:$E$810,"Win")))*SUMIFS($X$4:$X$810,$A$4:$A$810,$A623,$E$4:$E$810,"Loss"),-('Guide &amp; Settings'!$C$42/($F623-1))*$X623)))</f>
        <v>0</v>
      </c>
      <c r="K623" s="118">
        <f>IF($D623="",0,'Guide &amp; Settings'!$C$43*(IF($E623="Win",1,0)-$I623))</f>
        <v>0</v>
      </c>
      <c r="L623" s="119">
        <f>IF($D623="",0,'Guide &amp; Settings'!$C$44*IF($F623&gt;=3,$F623,0))</f>
        <v>0</v>
      </c>
      <c r="M623" s="118">
        <f t="shared" si="156"/>
        <v>0</v>
      </c>
      <c r="N623" s="116">
        <f t="shared" si="157"/>
        <v>0</v>
      </c>
      <c r="O623" s="115" t="str">
        <f t="shared" si="158"/>
        <v/>
      </c>
      <c r="P623">
        <f t="shared" si="159"/>
        <v>0</v>
      </c>
      <c r="Q623">
        <f t="shared" si="160"/>
        <v>0</v>
      </c>
      <c r="R623">
        <f t="shared" si="161"/>
        <v>0</v>
      </c>
      <c r="S623">
        <f t="shared" si="162"/>
        <v>0</v>
      </c>
      <c r="T623" s="83">
        <f t="shared" si="163"/>
        <v>0</v>
      </c>
      <c r="U623" s="120">
        <f>IF($D623="",0,IFERROR(LOOKUP(2,1/(($D$3:D622=$D623)*($C$3:C622=$C623)*($A$3:A622&lt;$A623)),$AB$3:AB622),1000))</f>
        <v>0</v>
      </c>
      <c r="V623" s="120">
        <f t="shared" si="164"/>
        <v>0</v>
      </c>
      <c r="W623">
        <f t="shared" si="165"/>
        <v>0</v>
      </c>
      <c r="X623">
        <f t="shared" si="166"/>
        <v>0</v>
      </c>
      <c r="Y623">
        <f t="shared" si="167"/>
        <v>0</v>
      </c>
      <c r="Z623">
        <f t="shared" si="168"/>
        <v>0</v>
      </c>
      <c r="AA623">
        <f>IF($D623="",0,IF($F623&lt;2,0,IF($E623="Win",('Guide &amp; Settings'!$C$42/(($F623-1)*COUNTIFS($A$4:$A$810,$A623,$E$4:$E$810,"Win")))*SUMIFS($Z$4:$Z$810,$A$4:$A$810,$A623,$E$4:$E$810,"Loss"),-('Guide &amp; Settings'!$C$42/($F623-1))*$Z623)))</f>
        <v>0</v>
      </c>
      <c r="AB623" s="120">
        <f t="shared" si="169"/>
        <v>0</v>
      </c>
      <c r="AC623" s="120" t="str">
        <f>IF($D623="","",IF(SUMPRODUCT(MAX(($D$4:$D$810=$D623)*($B$4:$B$810&lt;$B623)*$B$4:$B$810))=0,0,MAX(($B623-MAX(SUMPRODUCT(MAX(($D$4:$D$810=$D623)*($B$4:$B$810&lt;$B623)*$B$4:$B$810)),'Guide &amp; Settings'!$C$50))/7-'Guide &amp; Settings'!$C$48,0)*'Guide &amp; Settings'!$C$49))</f>
        <v/>
      </c>
    </row>
    <row r="624" spans="1:29" x14ac:dyDescent="0.2">
      <c r="A624" s="111"/>
      <c r="B624" s="112"/>
      <c r="C624" s="113"/>
      <c r="D624" s="113"/>
      <c r="E624" s="111"/>
      <c r="F624" s="114">
        <f t="shared" si="153"/>
        <v>0</v>
      </c>
      <c r="G624" s="115" t="str">
        <f t="shared" si="154"/>
        <v/>
      </c>
      <c r="H624" s="116">
        <f>IF($D624="",0,IFERROR(LOOKUP(2,1/(($D$3:D623=$D624)*($A$3:A623&lt;$A624)),$N$3:N623),'Guide &amp; Settings'!$C$41))</f>
        <v>0</v>
      </c>
      <c r="I624" s="117">
        <f t="shared" si="155"/>
        <v>0</v>
      </c>
      <c r="J624" s="118">
        <f>IF($D624="",0,IF($F624&lt;2,0,IF($E624="Win",('Guide &amp; Settings'!$C$42/(($F624-1)*COUNTIFS($A$4:$A$810,$A624,$E$4:$E$810,"Win")))*SUMIFS($X$4:$X$810,$A$4:$A$810,$A624,$E$4:$E$810,"Loss"),-('Guide &amp; Settings'!$C$42/($F624-1))*$X624)))</f>
        <v>0</v>
      </c>
      <c r="K624" s="118">
        <f>IF($D624="",0,'Guide &amp; Settings'!$C$43*(IF($E624="Win",1,0)-$I624))</f>
        <v>0</v>
      </c>
      <c r="L624" s="119">
        <f>IF($D624="",0,'Guide &amp; Settings'!$C$44*IF($F624&gt;=3,$F624,0))</f>
        <v>0</v>
      </c>
      <c r="M624" s="118">
        <f t="shared" si="156"/>
        <v>0</v>
      </c>
      <c r="N624" s="116">
        <f t="shared" si="157"/>
        <v>0</v>
      </c>
      <c r="O624" s="115" t="str">
        <f t="shared" si="158"/>
        <v/>
      </c>
      <c r="P624">
        <f t="shared" si="159"/>
        <v>0</v>
      </c>
      <c r="Q624">
        <f t="shared" si="160"/>
        <v>0</v>
      </c>
      <c r="R624">
        <f t="shared" si="161"/>
        <v>0</v>
      </c>
      <c r="S624">
        <f t="shared" si="162"/>
        <v>0</v>
      </c>
      <c r="T624" s="83">
        <f t="shared" si="163"/>
        <v>0</v>
      </c>
      <c r="U624" s="120">
        <f>IF($D624="",0,IFERROR(LOOKUP(2,1/(($D$3:D623=$D624)*($C$3:C623=$C624)*($A$3:A623&lt;$A624)),$AB$3:AB623),1000))</f>
        <v>0</v>
      </c>
      <c r="V624" s="120">
        <f t="shared" si="164"/>
        <v>0</v>
      </c>
      <c r="W624">
        <f t="shared" si="165"/>
        <v>0</v>
      </c>
      <c r="X624">
        <f t="shared" si="166"/>
        <v>0</v>
      </c>
      <c r="Y624">
        <f t="shared" si="167"/>
        <v>0</v>
      </c>
      <c r="Z624">
        <f t="shared" si="168"/>
        <v>0</v>
      </c>
      <c r="AA624">
        <f>IF($D624="",0,IF($F624&lt;2,0,IF($E624="Win",('Guide &amp; Settings'!$C$42/(($F624-1)*COUNTIFS($A$4:$A$810,$A624,$E$4:$E$810,"Win")))*SUMIFS($Z$4:$Z$810,$A$4:$A$810,$A624,$E$4:$E$810,"Loss"),-('Guide &amp; Settings'!$C$42/($F624-1))*$Z624)))</f>
        <v>0</v>
      </c>
      <c r="AB624" s="120">
        <f t="shared" si="169"/>
        <v>0</v>
      </c>
      <c r="AC624" s="120" t="str">
        <f>IF($D624="","",IF(SUMPRODUCT(MAX(($D$4:$D$810=$D624)*($B$4:$B$810&lt;$B624)*$B$4:$B$810))=0,0,MAX(($B624-MAX(SUMPRODUCT(MAX(($D$4:$D$810=$D624)*($B$4:$B$810&lt;$B624)*$B$4:$B$810)),'Guide &amp; Settings'!$C$50))/7-'Guide &amp; Settings'!$C$48,0)*'Guide &amp; Settings'!$C$49))</f>
        <v/>
      </c>
    </row>
    <row r="625" spans="1:29" x14ac:dyDescent="0.2">
      <c r="A625" s="111"/>
      <c r="B625" s="112"/>
      <c r="C625" s="113"/>
      <c r="D625" s="113"/>
      <c r="E625" s="111"/>
      <c r="F625" s="114">
        <f t="shared" si="153"/>
        <v>0</v>
      </c>
      <c r="G625" s="115" t="str">
        <f t="shared" si="154"/>
        <v/>
      </c>
      <c r="H625" s="116">
        <f>IF($D625="",0,IFERROR(LOOKUP(2,1/(($D$3:D624=$D625)*($A$3:A624&lt;$A625)),$N$3:N624),'Guide &amp; Settings'!$C$41))</f>
        <v>0</v>
      </c>
      <c r="I625" s="117">
        <f t="shared" si="155"/>
        <v>0</v>
      </c>
      <c r="J625" s="118">
        <f>IF($D625="",0,IF($F625&lt;2,0,IF($E625="Win",('Guide &amp; Settings'!$C$42/(($F625-1)*COUNTIFS($A$4:$A$810,$A625,$E$4:$E$810,"Win")))*SUMIFS($X$4:$X$810,$A$4:$A$810,$A625,$E$4:$E$810,"Loss"),-('Guide &amp; Settings'!$C$42/($F625-1))*$X625)))</f>
        <v>0</v>
      </c>
      <c r="K625" s="118">
        <f>IF($D625="",0,'Guide &amp; Settings'!$C$43*(IF($E625="Win",1,0)-$I625))</f>
        <v>0</v>
      </c>
      <c r="L625" s="119">
        <f>IF($D625="",0,'Guide &amp; Settings'!$C$44*IF($F625&gt;=3,$F625,0))</f>
        <v>0</v>
      </c>
      <c r="M625" s="118">
        <f t="shared" si="156"/>
        <v>0</v>
      </c>
      <c r="N625" s="116">
        <f t="shared" si="157"/>
        <v>0</v>
      </c>
      <c r="O625" s="115" t="str">
        <f t="shared" si="158"/>
        <v/>
      </c>
      <c r="P625">
        <f t="shared" si="159"/>
        <v>0</v>
      </c>
      <c r="Q625">
        <f t="shared" si="160"/>
        <v>0</v>
      </c>
      <c r="R625">
        <f t="shared" si="161"/>
        <v>0</v>
      </c>
      <c r="S625">
        <f t="shared" si="162"/>
        <v>0</v>
      </c>
      <c r="T625" s="83">
        <f t="shared" si="163"/>
        <v>0</v>
      </c>
      <c r="U625" s="120">
        <f>IF($D625="",0,IFERROR(LOOKUP(2,1/(($D$3:D624=$D625)*($C$3:C624=$C625)*($A$3:A624&lt;$A625)),$AB$3:AB624),1000))</f>
        <v>0</v>
      </c>
      <c r="V625" s="120">
        <f t="shared" si="164"/>
        <v>0</v>
      </c>
      <c r="W625">
        <f t="shared" si="165"/>
        <v>0</v>
      </c>
      <c r="X625">
        <f t="shared" si="166"/>
        <v>0</v>
      </c>
      <c r="Y625">
        <f t="shared" si="167"/>
        <v>0</v>
      </c>
      <c r="Z625">
        <f t="shared" si="168"/>
        <v>0</v>
      </c>
      <c r="AA625">
        <f>IF($D625="",0,IF($F625&lt;2,0,IF($E625="Win",('Guide &amp; Settings'!$C$42/(($F625-1)*COUNTIFS($A$4:$A$810,$A625,$E$4:$E$810,"Win")))*SUMIFS($Z$4:$Z$810,$A$4:$A$810,$A625,$E$4:$E$810,"Loss"),-('Guide &amp; Settings'!$C$42/($F625-1))*$Z625)))</f>
        <v>0</v>
      </c>
      <c r="AB625" s="120">
        <f t="shared" si="169"/>
        <v>0</v>
      </c>
      <c r="AC625" s="120" t="str">
        <f>IF($D625="","",IF(SUMPRODUCT(MAX(($D$4:$D$810=$D625)*($B$4:$B$810&lt;$B625)*$B$4:$B$810))=0,0,MAX(($B625-MAX(SUMPRODUCT(MAX(($D$4:$D$810=$D625)*($B$4:$B$810&lt;$B625)*$B$4:$B$810)),'Guide &amp; Settings'!$C$50))/7-'Guide &amp; Settings'!$C$48,0)*'Guide &amp; Settings'!$C$49))</f>
        <v/>
      </c>
    </row>
    <row r="626" spans="1:29" x14ac:dyDescent="0.2">
      <c r="A626" s="111"/>
      <c r="B626" s="112"/>
      <c r="C626" s="113"/>
      <c r="D626" s="113"/>
      <c r="E626" s="111"/>
      <c r="F626" s="114">
        <f t="shared" si="153"/>
        <v>0</v>
      </c>
      <c r="G626" s="115" t="str">
        <f t="shared" si="154"/>
        <v/>
      </c>
      <c r="H626" s="116">
        <f>IF($D626="",0,IFERROR(LOOKUP(2,1/(($D$3:D625=$D626)*($A$3:A625&lt;$A626)),$N$3:N625),'Guide &amp; Settings'!$C$41))</f>
        <v>0</v>
      </c>
      <c r="I626" s="117">
        <f t="shared" si="155"/>
        <v>0</v>
      </c>
      <c r="J626" s="118">
        <f>IF($D626="",0,IF($F626&lt;2,0,IF($E626="Win",('Guide &amp; Settings'!$C$42/(($F626-1)*COUNTIFS($A$4:$A$810,$A626,$E$4:$E$810,"Win")))*SUMIFS($X$4:$X$810,$A$4:$A$810,$A626,$E$4:$E$810,"Loss"),-('Guide &amp; Settings'!$C$42/($F626-1))*$X626)))</f>
        <v>0</v>
      </c>
      <c r="K626" s="118">
        <f>IF($D626="",0,'Guide &amp; Settings'!$C$43*(IF($E626="Win",1,0)-$I626))</f>
        <v>0</v>
      </c>
      <c r="L626" s="119">
        <f>IF($D626="",0,'Guide &amp; Settings'!$C$44*IF($F626&gt;=3,$F626,0))</f>
        <v>0</v>
      </c>
      <c r="M626" s="118">
        <f t="shared" si="156"/>
        <v>0</v>
      </c>
      <c r="N626" s="116">
        <f t="shared" si="157"/>
        <v>0</v>
      </c>
      <c r="O626" s="115" t="str">
        <f t="shared" si="158"/>
        <v/>
      </c>
      <c r="P626">
        <f t="shared" si="159"/>
        <v>0</v>
      </c>
      <c r="Q626">
        <f t="shared" si="160"/>
        <v>0</v>
      </c>
      <c r="R626">
        <f t="shared" si="161"/>
        <v>0</v>
      </c>
      <c r="S626">
        <f t="shared" si="162"/>
        <v>0</v>
      </c>
      <c r="T626" s="83">
        <f t="shared" si="163"/>
        <v>0</v>
      </c>
      <c r="U626" s="120">
        <f>IF($D626="",0,IFERROR(LOOKUP(2,1/(($D$3:D625=$D626)*($C$3:C625=$C626)*($A$3:A625&lt;$A626)),$AB$3:AB625),1000))</f>
        <v>0</v>
      </c>
      <c r="V626" s="120">
        <f t="shared" si="164"/>
        <v>0</v>
      </c>
      <c r="W626">
        <f t="shared" si="165"/>
        <v>0</v>
      </c>
      <c r="X626">
        <f t="shared" si="166"/>
        <v>0</v>
      </c>
      <c r="Y626">
        <f t="shared" si="167"/>
        <v>0</v>
      </c>
      <c r="Z626">
        <f t="shared" si="168"/>
        <v>0</v>
      </c>
      <c r="AA626">
        <f>IF($D626="",0,IF($F626&lt;2,0,IF($E626="Win",('Guide &amp; Settings'!$C$42/(($F626-1)*COUNTIFS($A$4:$A$810,$A626,$E$4:$E$810,"Win")))*SUMIFS($Z$4:$Z$810,$A$4:$A$810,$A626,$E$4:$E$810,"Loss"),-('Guide &amp; Settings'!$C$42/($F626-1))*$Z626)))</f>
        <v>0</v>
      </c>
      <c r="AB626" s="120">
        <f t="shared" si="169"/>
        <v>0</v>
      </c>
      <c r="AC626" s="120" t="str">
        <f>IF($D626="","",IF(SUMPRODUCT(MAX(($D$4:$D$810=$D626)*($B$4:$B$810&lt;$B626)*$B$4:$B$810))=0,0,MAX(($B626-MAX(SUMPRODUCT(MAX(($D$4:$D$810=$D626)*($B$4:$B$810&lt;$B626)*$B$4:$B$810)),'Guide &amp; Settings'!$C$50))/7-'Guide &amp; Settings'!$C$48,0)*'Guide &amp; Settings'!$C$49))</f>
        <v/>
      </c>
    </row>
    <row r="627" spans="1:29" x14ac:dyDescent="0.2">
      <c r="A627" s="111"/>
      <c r="B627" s="112"/>
      <c r="C627" s="113"/>
      <c r="D627" s="113"/>
      <c r="E627" s="111"/>
      <c r="F627" s="114">
        <f t="shared" si="153"/>
        <v>0</v>
      </c>
      <c r="G627" s="115" t="str">
        <f t="shared" si="154"/>
        <v/>
      </c>
      <c r="H627" s="116">
        <f>IF($D627="",0,IFERROR(LOOKUP(2,1/(($D$3:D626=$D627)*($A$3:A626&lt;$A627)),$N$3:N626),'Guide &amp; Settings'!$C$41))</f>
        <v>0</v>
      </c>
      <c r="I627" s="117">
        <f t="shared" si="155"/>
        <v>0</v>
      </c>
      <c r="J627" s="118">
        <f>IF($D627="",0,IF($F627&lt;2,0,IF($E627="Win",('Guide &amp; Settings'!$C$42/(($F627-1)*COUNTIFS($A$4:$A$810,$A627,$E$4:$E$810,"Win")))*SUMIFS($X$4:$X$810,$A$4:$A$810,$A627,$E$4:$E$810,"Loss"),-('Guide &amp; Settings'!$C$42/($F627-1))*$X627)))</f>
        <v>0</v>
      </c>
      <c r="K627" s="118">
        <f>IF($D627="",0,'Guide &amp; Settings'!$C$43*(IF($E627="Win",1,0)-$I627))</f>
        <v>0</v>
      </c>
      <c r="L627" s="119">
        <f>IF($D627="",0,'Guide &amp; Settings'!$C$44*IF($F627&gt;=3,$F627,0))</f>
        <v>0</v>
      </c>
      <c r="M627" s="118">
        <f t="shared" si="156"/>
        <v>0</v>
      </c>
      <c r="N627" s="116">
        <f t="shared" si="157"/>
        <v>0</v>
      </c>
      <c r="O627" s="115" t="str">
        <f t="shared" si="158"/>
        <v/>
      </c>
      <c r="P627">
        <f t="shared" si="159"/>
        <v>0</v>
      </c>
      <c r="Q627">
        <f t="shared" si="160"/>
        <v>0</v>
      </c>
      <c r="R627">
        <f t="shared" si="161"/>
        <v>0</v>
      </c>
      <c r="S627">
        <f t="shared" si="162"/>
        <v>0</v>
      </c>
      <c r="T627" s="83">
        <f t="shared" si="163"/>
        <v>0</v>
      </c>
      <c r="U627" s="120">
        <f>IF($D627="",0,IFERROR(LOOKUP(2,1/(($D$3:D626=$D627)*($C$3:C626=$C627)*($A$3:A626&lt;$A627)),$AB$3:AB626),1000))</f>
        <v>0</v>
      </c>
      <c r="V627" s="120">
        <f t="shared" si="164"/>
        <v>0</v>
      </c>
      <c r="W627">
        <f t="shared" si="165"/>
        <v>0</v>
      </c>
      <c r="X627">
        <f t="shared" si="166"/>
        <v>0</v>
      </c>
      <c r="Y627">
        <f t="shared" si="167"/>
        <v>0</v>
      </c>
      <c r="Z627">
        <f t="shared" si="168"/>
        <v>0</v>
      </c>
      <c r="AA627">
        <f>IF($D627="",0,IF($F627&lt;2,0,IF($E627="Win",('Guide &amp; Settings'!$C$42/(($F627-1)*COUNTIFS($A$4:$A$810,$A627,$E$4:$E$810,"Win")))*SUMIFS($Z$4:$Z$810,$A$4:$A$810,$A627,$E$4:$E$810,"Loss"),-('Guide &amp; Settings'!$C$42/($F627-1))*$Z627)))</f>
        <v>0</v>
      </c>
      <c r="AB627" s="120">
        <f t="shared" si="169"/>
        <v>0</v>
      </c>
      <c r="AC627" s="120" t="str">
        <f>IF($D627="","",IF(SUMPRODUCT(MAX(($D$4:$D$810=$D627)*($B$4:$B$810&lt;$B627)*$B$4:$B$810))=0,0,MAX(($B627-MAX(SUMPRODUCT(MAX(($D$4:$D$810=$D627)*($B$4:$B$810&lt;$B627)*$B$4:$B$810)),'Guide &amp; Settings'!$C$50))/7-'Guide &amp; Settings'!$C$48,0)*'Guide &amp; Settings'!$C$49))</f>
        <v/>
      </c>
    </row>
    <row r="628" spans="1:29" x14ac:dyDescent="0.2">
      <c r="A628" s="111"/>
      <c r="B628" s="112"/>
      <c r="C628" s="113"/>
      <c r="D628" s="113"/>
      <c r="E628" s="111"/>
      <c r="F628" s="114">
        <f t="shared" si="153"/>
        <v>0</v>
      </c>
      <c r="G628" s="115" t="str">
        <f t="shared" si="154"/>
        <v/>
      </c>
      <c r="H628" s="116">
        <f>IF($D628="",0,IFERROR(LOOKUP(2,1/(($D$3:D627=$D628)*($A$3:A627&lt;$A628)),$N$3:N627),'Guide &amp; Settings'!$C$41))</f>
        <v>0</v>
      </c>
      <c r="I628" s="117">
        <f t="shared" si="155"/>
        <v>0</v>
      </c>
      <c r="J628" s="118">
        <f>IF($D628="",0,IF($F628&lt;2,0,IF($E628="Win",('Guide &amp; Settings'!$C$42/(($F628-1)*COUNTIFS($A$4:$A$810,$A628,$E$4:$E$810,"Win")))*SUMIFS($X$4:$X$810,$A$4:$A$810,$A628,$E$4:$E$810,"Loss"),-('Guide &amp; Settings'!$C$42/($F628-1))*$X628)))</f>
        <v>0</v>
      </c>
      <c r="K628" s="118">
        <f>IF($D628="",0,'Guide &amp; Settings'!$C$43*(IF($E628="Win",1,0)-$I628))</f>
        <v>0</v>
      </c>
      <c r="L628" s="119">
        <f>IF($D628="",0,'Guide &amp; Settings'!$C$44*IF($F628&gt;=3,$F628,0))</f>
        <v>0</v>
      </c>
      <c r="M628" s="118">
        <f t="shared" si="156"/>
        <v>0</v>
      </c>
      <c r="N628" s="116">
        <f t="shared" si="157"/>
        <v>0</v>
      </c>
      <c r="O628" s="115" t="str">
        <f t="shared" si="158"/>
        <v/>
      </c>
      <c r="P628">
        <f t="shared" si="159"/>
        <v>0</v>
      </c>
      <c r="Q628">
        <f t="shared" si="160"/>
        <v>0</v>
      </c>
      <c r="R628">
        <f t="shared" si="161"/>
        <v>0</v>
      </c>
      <c r="S628">
        <f t="shared" si="162"/>
        <v>0</v>
      </c>
      <c r="T628" s="83">
        <f t="shared" si="163"/>
        <v>0</v>
      </c>
      <c r="U628" s="120">
        <f>IF($D628="",0,IFERROR(LOOKUP(2,1/(($D$3:D627=$D628)*($C$3:C627=$C628)*($A$3:A627&lt;$A628)),$AB$3:AB627),1000))</f>
        <v>0</v>
      </c>
      <c r="V628" s="120">
        <f t="shared" si="164"/>
        <v>0</v>
      </c>
      <c r="W628">
        <f t="shared" si="165"/>
        <v>0</v>
      </c>
      <c r="X628">
        <f t="shared" si="166"/>
        <v>0</v>
      </c>
      <c r="Y628">
        <f t="shared" si="167"/>
        <v>0</v>
      </c>
      <c r="Z628">
        <f t="shared" si="168"/>
        <v>0</v>
      </c>
      <c r="AA628">
        <f>IF($D628="",0,IF($F628&lt;2,0,IF($E628="Win",('Guide &amp; Settings'!$C$42/(($F628-1)*COUNTIFS($A$4:$A$810,$A628,$E$4:$E$810,"Win")))*SUMIFS($Z$4:$Z$810,$A$4:$A$810,$A628,$E$4:$E$810,"Loss"),-('Guide &amp; Settings'!$C$42/($F628-1))*$Z628)))</f>
        <v>0</v>
      </c>
      <c r="AB628" s="120">
        <f t="shared" si="169"/>
        <v>0</v>
      </c>
      <c r="AC628" s="120" t="str">
        <f>IF($D628="","",IF(SUMPRODUCT(MAX(($D$4:$D$810=$D628)*($B$4:$B$810&lt;$B628)*$B$4:$B$810))=0,0,MAX(($B628-MAX(SUMPRODUCT(MAX(($D$4:$D$810=$D628)*($B$4:$B$810&lt;$B628)*$B$4:$B$810)),'Guide &amp; Settings'!$C$50))/7-'Guide &amp; Settings'!$C$48,0)*'Guide &amp; Settings'!$C$49))</f>
        <v/>
      </c>
    </row>
    <row r="629" spans="1:29" x14ac:dyDescent="0.2">
      <c r="A629" s="111"/>
      <c r="B629" s="112"/>
      <c r="C629" s="113"/>
      <c r="D629" s="113"/>
      <c r="E629" s="111"/>
      <c r="F629" s="114">
        <f t="shared" si="153"/>
        <v>0</v>
      </c>
      <c r="G629" s="115" t="str">
        <f t="shared" si="154"/>
        <v/>
      </c>
      <c r="H629" s="116">
        <f>IF($D629="",0,IFERROR(LOOKUP(2,1/(($D$3:D628=$D629)*($A$3:A628&lt;$A629)),$N$3:N628),'Guide &amp; Settings'!$C$41))</f>
        <v>0</v>
      </c>
      <c r="I629" s="117">
        <f t="shared" si="155"/>
        <v>0</v>
      </c>
      <c r="J629" s="118">
        <f>IF($D629="",0,IF($F629&lt;2,0,IF($E629="Win",('Guide &amp; Settings'!$C$42/(($F629-1)*COUNTIFS($A$4:$A$810,$A629,$E$4:$E$810,"Win")))*SUMIFS($X$4:$X$810,$A$4:$A$810,$A629,$E$4:$E$810,"Loss"),-('Guide &amp; Settings'!$C$42/($F629-1))*$X629)))</f>
        <v>0</v>
      </c>
      <c r="K629" s="118">
        <f>IF($D629="",0,'Guide &amp; Settings'!$C$43*(IF($E629="Win",1,0)-$I629))</f>
        <v>0</v>
      </c>
      <c r="L629" s="119">
        <f>IF($D629="",0,'Guide &amp; Settings'!$C$44*IF($F629&gt;=3,$F629,0))</f>
        <v>0</v>
      </c>
      <c r="M629" s="118">
        <f t="shared" si="156"/>
        <v>0</v>
      </c>
      <c r="N629" s="116">
        <f t="shared" si="157"/>
        <v>0</v>
      </c>
      <c r="O629" s="115" t="str">
        <f t="shared" si="158"/>
        <v/>
      </c>
      <c r="P629">
        <f t="shared" si="159"/>
        <v>0</v>
      </c>
      <c r="Q629">
        <f t="shared" si="160"/>
        <v>0</v>
      </c>
      <c r="R629">
        <f t="shared" si="161"/>
        <v>0</v>
      </c>
      <c r="S629">
        <f t="shared" si="162"/>
        <v>0</v>
      </c>
      <c r="T629" s="83">
        <f t="shared" si="163"/>
        <v>0</v>
      </c>
      <c r="U629" s="120">
        <f>IF($D629="",0,IFERROR(LOOKUP(2,1/(($D$3:D628=$D629)*($C$3:C628=$C629)*($A$3:A628&lt;$A629)),$AB$3:AB628),1000))</f>
        <v>0</v>
      </c>
      <c r="V629" s="120">
        <f t="shared" si="164"/>
        <v>0</v>
      </c>
      <c r="W629">
        <f t="shared" si="165"/>
        <v>0</v>
      </c>
      <c r="X629">
        <f t="shared" si="166"/>
        <v>0</v>
      </c>
      <c r="Y629">
        <f t="shared" si="167"/>
        <v>0</v>
      </c>
      <c r="Z629">
        <f t="shared" si="168"/>
        <v>0</v>
      </c>
      <c r="AA629">
        <f>IF($D629="",0,IF($F629&lt;2,0,IF($E629="Win",('Guide &amp; Settings'!$C$42/(($F629-1)*COUNTIFS($A$4:$A$810,$A629,$E$4:$E$810,"Win")))*SUMIFS($Z$4:$Z$810,$A$4:$A$810,$A629,$E$4:$E$810,"Loss"),-('Guide &amp; Settings'!$C$42/($F629-1))*$Z629)))</f>
        <v>0</v>
      </c>
      <c r="AB629" s="120">
        <f t="shared" si="169"/>
        <v>0</v>
      </c>
      <c r="AC629" s="120" t="str">
        <f>IF($D629="","",IF(SUMPRODUCT(MAX(($D$4:$D$810=$D629)*($B$4:$B$810&lt;$B629)*$B$4:$B$810))=0,0,MAX(($B629-MAX(SUMPRODUCT(MAX(($D$4:$D$810=$D629)*($B$4:$B$810&lt;$B629)*$B$4:$B$810)),'Guide &amp; Settings'!$C$50))/7-'Guide &amp; Settings'!$C$48,0)*'Guide &amp; Settings'!$C$49))</f>
        <v/>
      </c>
    </row>
    <row r="630" spans="1:29" x14ac:dyDescent="0.2">
      <c r="A630" s="111"/>
      <c r="B630" s="112"/>
      <c r="C630" s="113"/>
      <c r="D630" s="113"/>
      <c r="E630" s="111"/>
      <c r="F630" s="114">
        <f t="shared" si="153"/>
        <v>0</v>
      </c>
      <c r="G630" s="115" t="str">
        <f t="shared" si="154"/>
        <v/>
      </c>
      <c r="H630" s="116">
        <f>IF($D630="",0,IFERROR(LOOKUP(2,1/(($D$3:D629=$D630)*($A$3:A629&lt;$A630)),$N$3:N629),'Guide &amp; Settings'!$C$41))</f>
        <v>0</v>
      </c>
      <c r="I630" s="117">
        <f t="shared" si="155"/>
        <v>0</v>
      </c>
      <c r="J630" s="118">
        <f>IF($D630="",0,IF($F630&lt;2,0,IF($E630="Win",('Guide &amp; Settings'!$C$42/(($F630-1)*COUNTIFS($A$4:$A$810,$A630,$E$4:$E$810,"Win")))*SUMIFS($X$4:$X$810,$A$4:$A$810,$A630,$E$4:$E$810,"Loss"),-('Guide &amp; Settings'!$C$42/($F630-1))*$X630)))</f>
        <v>0</v>
      </c>
      <c r="K630" s="118">
        <f>IF($D630="",0,'Guide &amp; Settings'!$C$43*(IF($E630="Win",1,0)-$I630))</f>
        <v>0</v>
      </c>
      <c r="L630" s="119">
        <f>IF($D630="",0,'Guide &amp; Settings'!$C$44*IF($F630&gt;=3,$F630,0))</f>
        <v>0</v>
      </c>
      <c r="M630" s="118">
        <f t="shared" si="156"/>
        <v>0</v>
      </c>
      <c r="N630" s="116">
        <f t="shared" si="157"/>
        <v>0</v>
      </c>
      <c r="O630" s="115" t="str">
        <f t="shared" si="158"/>
        <v/>
      </c>
      <c r="P630">
        <f t="shared" si="159"/>
        <v>0</v>
      </c>
      <c r="Q630">
        <f t="shared" si="160"/>
        <v>0</v>
      </c>
      <c r="R630">
        <f t="shared" si="161"/>
        <v>0</v>
      </c>
      <c r="S630">
        <f t="shared" si="162"/>
        <v>0</v>
      </c>
      <c r="T630" s="83">
        <f t="shared" si="163"/>
        <v>0</v>
      </c>
      <c r="U630" s="120">
        <f>IF($D630="",0,IFERROR(LOOKUP(2,1/(($D$3:D629=$D630)*($C$3:C629=$C630)*($A$3:A629&lt;$A630)),$AB$3:AB629),1000))</f>
        <v>0</v>
      </c>
      <c r="V630" s="120">
        <f t="shared" si="164"/>
        <v>0</v>
      </c>
      <c r="W630">
        <f t="shared" si="165"/>
        <v>0</v>
      </c>
      <c r="X630">
        <f t="shared" si="166"/>
        <v>0</v>
      </c>
      <c r="Y630">
        <f t="shared" si="167"/>
        <v>0</v>
      </c>
      <c r="Z630">
        <f t="shared" si="168"/>
        <v>0</v>
      </c>
      <c r="AA630">
        <f>IF($D630="",0,IF($F630&lt;2,0,IF($E630="Win",('Guide &amp; Settings'!$C$42/(($F630-1)*COUNTIFS($A$4:$A$810,$A630,$E$4:$E$810,"Win")))*SUMIFS($Z$4:$Z$810,$A$4:$A$810,$A630,$E$4:$E$810,"Loss"),-('Guide &amp; Settings'!$C$42/($F630-1))*$Z630)))</f>
        <v>0</v>
      </c>
      <c r="AB630" s="120">
        <f t="shared" si="169"/>
        <v>0</v>
      </c>
      <c r="AC630" s="120" t="str">
        <f>IF($D630="","",IF(SUMPRODUCT(MAX(($D$4:$D$810=$D630)*($B$4:$B$810&lt;$B630)*$B$4:$B$810))=0,0,MAX(($B630-MAX(SUMPRODUCT(MAX(($D$4:$D$810=$D630)*($B$4:$B$810&lt;$B630)*$B$4:$B$810)),'Guide &amp; Settings'!$C$50))/7-'Guide &amp; Settings'!$C$48,0)*'Guide &amp; Settings'!$C$49))</f>
        <v/>
      </c>
    </row>
    <row r="631" spans="1:29" x14ac:dyDescent="0.2">
      <c r="A631" s="111"/>
      <c r="B631" s="112"/>
      <c r="C631" s="113"/>
      <c r="D631" s="113"/>
      <c r="E631" s="111"/>
      <c r="F631" s="114">
        <f t="shared" si="153"/>
        <v>0</v>
      </c>
      <c r="G631" s="115" t="str">
        <f t="shared" si="154"/>
        <v/>
      </c>
      <c r="H631" s="116">
        <f>IF($D631="",0,IFERROR(LOOKUP(2,1/(($D$3:D630=$D631)*($A$3:A630&lt;$A631)),$N$3:N630),'Guide &amp; Settings'!$C$41))</f>
        <v>0</v>
      </c>
      <c r="I631" s="117">
        <f t="shared" si="155"/>
        <v>0</v>
      </c>
      <c r="J631" s="118">
        <f>IF($D631="",0,IF($F631&lt;2,0,IF($E631="Win",('Guide &amp; Settings'!$C$42/(($F631-1)*COUNTIFS($A$4:$A$810,$A631,$E$4:$E$810,"Win")))*SUMIFS($X$4:$X$810,$A$4:$A$810,$A631,$E$4:$E$810,"Loss"),-('Guide &amp; Settings'!$C$42/($F631-1))*$X631)))</f>
        <v>0</v>
      </c>
      <c r="K631" s="118">
        <f>IF($D631="",0,'Guide &amp; Settings'!$C$43*(IF($E631="Win",1,0)-$I631))</f>
        <v>0</v>
      </c>
      <c r="L631" s="119">
        <f>IF($D631="",0,'Guide &amp; Settings'!$C$44*IF($F631&gt;=3,$F631,0))</f>
        <v>0</v>
      </c>
      <c r="M631" s="118">
        <f t="shared" si="156"/>
        <v>0</v>
      </c>
      <c r="N631" s="116">
        <f t="shared" si="157"/>
        <v>0</v>
      </c>
      <c r="O631" s="115" t="str">
        <f t="shared" si="158"/>
        <v/>
      </c>
      <c r="P631">
        <f t="shared" si="159"/>
        <v>0</v>
      </c>
      <c r="Q631">
        <f t="shared" si="160"/>
        <v>0</v>
      </c>
      <c r="R631">
        <f t="shared" si="161"/>
        <v>0</v>
      </c>
      <c r="S631">
        <f t="shared" si="162"/>
        <v>0</v>
      </c>
      <c r="T631" s="83">
        <f t="shared" si="163"/>
        <v>0</v>
      </c>
      <c r="U631" s="120">
        <f>IF($D631="",0,IFERROR(LOOKUP(2,1/(($D$3:D630=$D631)*($C$3:C630=$C631)*($A$3:A630&lt;$A631)),$AB$3:AB630),1000))</f>
        <v>0</v>
      </c>
      <c r="V631" s="120">
        <f t="shared" si="164"/>
        <v>0</v>
      </c>
      <c r="W631">
        <f t="shared" si="165"/>
        <v>0</v>
      </c>
      <c r="X631">
        <f t="shared" si="166"/>
        <v>0</v>
      </c>
      <c r="Y631">
        <f t="shared" si="167"/>
        <v>0</v>
      </c>
      <c r="Z631">
        <f t="shared" si="168"/>
        <v>0</v>
      </c>
      <c r="AA631">
        <f>IF($D631="",0,IF($F631&lt;2,0,IF($E631="Win",('Guide &amp; Settings'!$C$42/(($F631-1)*COUNTIFS($A$4:$A$810,$A631,$E$4:$E$810,"Win")))*SUMIFS($Z$4:$Z$810,$A$4:$A$810,$A631,$E$4:$E$810,"Loss"),-('Guide &amp; Settings'!$C$42/($F631-1))*$Z631)))</f>
        <v>0</v>
      </c>
      <c r="AB631" s="120">
        <f t="shared" si="169"/>
        <v>0</v>
      </c>
      <c r="AC631" s="120" t="str">
        <f>IF($D631="","",IF(SUMPRODUCT(MAX(($D$4:$D$810=$D631)*($B$4:$B$810&lt;$B631)*$B$4:$B$810))=0,0,MAX(($B631-MAX(SUMPRODUCT(MAX(($D$4:$D$810=$D631)*($B$4:$B$810&lt;$B631)*$B$4:$B$810)),'Guide &amp; Settings'!$C$50))/7-'Guide &amp; Settings'!$C$48,0)*'Guide &amp; Settings'!$C$49))</f>
        <v/>
      </c>
    </row>
    <row r="632" spans="1:29" x14ac:dyDescent="0.2">
      <c r="A632" s="111"/>
      <c r="B632" s="112"/>
      <c r="C632" s="113"/>
      <c r="D632" s="113"/>
      <c r="E632" s="111"/>
      <c r="F632" s="114">
        <f t="shared" ref="F632:F695" si="170">IF($D632="",0,COUNTIF($A$4:$A$810,$A632))</f>
        <v>0</v>
      </c>
      <c r="G632" s="115" t="str">
        <f t="shared" ref="G632:G695" si="171">IF($D632="","",IFERROR(LOOKUP(2,1/(($A$4:$A$810=$A632)*($E$4:$E$810="Win")),$D$4:$D$810),"(no winner)"))</f>
        <v/>
      </c>
      <c r="H632" s="116">
        <f>IF($D632="",0,IFERROR(LOOKUP(2,1/(($D$3:D631=$D632)*($A$3:A631&lt;$A632)),$N$3:N631),'Guide &amp; Settings'!$C$41))</f>
        <v>0</v>
      </c>
      <c r="I632" s="117">
        <f t="shared" ref="I632:I695" si="172">IF($D632="",0,IF($S632=0,0,$R632/$S632))</f>
        <v>0</v>
      </c>
      <c r="J632" s="118">
        <f>IF($D632="",0,IF($F632&lt;2,0,IF($E632="Win",('Guide &amp; Settings'!$C$42/(($F632-1)*COUNTIFS($A$4:$A$810,$A632,$E$4:$E$810,"Win")))*SUMIFS($X$4:$X$810,$A$4:$A$810,$A632,$E$4:$E$810,"Loss"),-('Guide &amp; Settings'!$C$42/($F632-1))*$X632)))</f>
        <v>0</v>
      </c>
      <c r="K632" s="118">
        <f>IF($D632="",0,'Guide &amp; Settings'!$C$43*(IF($E632="Win",1,0)-$I632))</f>
        <v>0</v>
      </c>
      <c r="L632" s="119">
        <f>IF($D632="",0,'Guide &amp; Settings'!$C$44*IF($F632&gt;=3,$F632,0))</f>
        <v>0</v>
      </c>
      <c r="M632" s="118">
        <f t="shared" ref="M632:M695" si="173">IF($D632="",0,$J632+$K632+$L632)</f>
        <v>0</v>
      </c>
      <c r="N632" s="116">
        <f t="shared" ref="N632:N695" si="174">IF($D632="",0,$H632+$M632)</f>
        <v>0</v>
      </c>
      <c r="O632" s="115" t="str">
        <f t="shared" ref="O632:O695" si="175">IF($D632="","",IF(COUNTIFS($A$4:$A$810,$A632,$E$4:$E$810,"Win")=0,"need a winner",IF(COUNTIFS($A$4:$A$810,$A632,$E$4:$E$810,"Loss")=0,"need a loser",IF(COUNTIFS($A$4:$A$810,$A632,$D$4:$D$810,$D632)&gt;1,"duplicate player","OK"))))</f>
        <v/>
      </c>
      <c r="P632">
        <f t="shared" ref="P632:P695" si="176">IF($D632="",0,IFERROR(SUMIFS($H$4:$H$810,$A$4:$A$810,$A632,$E$4:$E$810,"Win")/COUNTIFS($A$4:$A$810,$A632,$E$4:$E$810,"Win"),0))</f>
        <v>0</v>
      </c>
      <c r="Q632">
        <f t="shared" ref="Q632:Q695" si="177">IF($D632="",0,1/(1+10^(($P632-$H632)/400)))</f>
        <v>0</v>
      </c>
      <c r="R632">
        <f t="shared" ref="R632:R695" si="178">IF($D632="",0,(COUNTIFS($D$4:$D$810,$D632,$C$4:$C$810,$C632,$E$4:$E$810,"Win",$A$4:$A$810,"&lt;"&amp;$A632)+1)/(COUNTIFS($D$4:$D$810,$D632,$C$4:$C$810,$C632,$A$4:$A$810,"&lt;"&amp;$A632)+2))</f>
        <v>0</v>
      </c>
      <c r="S632">
        <f t="shared" ref="S632:S695" si="179">IF($D632="",0,SUMIFS($R$4:$R$810,$A$4:$A$810,$A632))</f>
        <v>0</v>
      </c>
      <c r="T632" s="83">
        <f t="shared" ref="T632:T695" si="180">IF($D632="",0,COUNTIFS($D$4:$D$810,$D632,$C$4:$C$810,$C632,$A$4:$A$810,"&lt;"&amp;$A632))</f>
        <v>0</v>
      </c>
      <c r="U632" s="120">
        <f>IF($D632="",0,IFERROR(LOOKUP(2,1/(($D$3:D631=$D632)*($C$3:C631=$C632)*($A$3:A631&lt;$A632)),$AB$3:AB631),1000))</f>
        <v>0</v>
      </c>
      <c r="V632" s="120">
        <f t="shared" ref="V632:V695" si="181">IF($D632="",0,$U632*($T632/($T632+5))+$H632*(1-$T632/($T632+5)))</f>
        <v>0</v>
      </c>
      <c r="W632">
        <f t="shared" ref="W632:W695" si="182">IF($D632="",0,IFERROR(SUMIFS($V$4:$V$810,$A$4:$A$810,$A632,$E$4:$E$810,"Win")/COUNTIFS($A$4:$A$810,$A632,$E$4:$E$810,"Win"),0))</f>
        <v>0</v>
      </c>
      <c r="X632">
        <f t="shared" ref="X632:X695" si="183">IF($D632="",0,1/(1+10^(($W632-$V632)/400)))</f>
        <v>0</v>
      </c>
      <c r="Y632">
        <f t="shared" ref="Y632:Y695" si="184">IF($D632="",0,IFERROR(SUMIFS($U$4:$U$810,$A$4:$A$810,$A632,$E$4:$E$810,"Win")/COUNTIFS($A$4:$A$810,$A632,$E$4:$E$810,"Win"),0))</f>
        <v>0</v>
      </c>
      <c r="Z632">
        <f t="shared" ref="Z632:Z695" si="185">IF($D632="",0,1/(1+10^(($Y632-$U632)/400)))</f>
        <v>0</v>
      </c>
      <c r="AA632">
        <f>IF($D632="",0,IF($F632&lt;2,0,IF($E632="Win",('Guide &amp; Settings'!$C$42/(($F632-1)*COUNTIFS($A$4:$A$810,$A632,$E$4:$E$810,"Win")))*SUMIFS($Z$4:$Z$810,$A$4:$A$810,$A632,$E$4:$E$810,"Loss"),-('Guide &amp; Settings'!$C$42/($F632-1))*$Z632)))</f>
        <v>0</v>
      </c>
      <c r="AB632" s="120">
        <f t="shared" ref="AB632:AB695" si="186">IF($D632="",0,$U632+$AA632)</f>
        <v>0</v>
      </c>
      <c r="AC632" s="120" t="str">
        <f>IF($D632="","",IF(SUMPRODUCT(MAX(($D$4:$D$810=$D632)*($B$4:$B$810&lt;$B632)*$B$4:$B$810))=0,0,MAX(($B632-MAX(SUMPRODUCT(MAX(($D$4:$D$810=$D632)*($B$4:$B$810&lt;$B632)*$B$4:$B$810)),'Guide &amp; Settings'!$C$50))/7-'Guide &amp; Settings'!$C$48,0)*'Guide &amp; Settings'!$C$49))</f>
        <v/>
      </c>
    </row>
    <row r="633" spans="1:29" x14ac:dyDescent="0.2">
      <c r="A633" s="111"/>
      <c r="B633" s="112"/>
      <c r="C633" s="113"/>
      <c r="D633" s="113"/>
      <c r="E633" s="111"/>
      <c r="F633" s="114">
        <f t="shared" si="170"/>
        <v>0</v>
      </c>
      <c r="G633" s="115" t="str">
        <f t="shared" si="171"/>
        <v/>
      </c>
      <c r="H633" s="116">
        <f>IF($D633="",0,IFERROR(LOOKUP(2,1/(($D$3:D632=$D633)*($A$3:A632&lt;$A633)),$N$3:N632),'Guide &amp; Settings'!$C$41))</f>
        <v>0</v>
      </c>
      <c r="I633" s="117">
        <f t="shared" si="172"/>
        <v>0</v>
      </c>
      <c r="J633" s="118">
        <f>IF($D633="",0,IF($F633&lt;2,0,IF($E633="Win",('Guide &amp; Settings'!$C$42/(($F633-1)*COUNTIFS($A$4:$A$810,$A633,$E$4:$E$810,"Win")))*SUMIFS($X$4:$X$810,$A$4:$A$810,$A633,$E$4:$E$810,"Loss"),-('Guide &amp; Settings'!$C$42/($F633-1))*$X633)))</f>
        <v>0</v>
      </c>
      <c r="K633" s="118">
        <f>IF($D633="",0,'Guide &amp; Settings'!$C$43*(IF($E633="Win",1,0)-$I633))</f>
        <v>0</v>
      </c>
      <c r="L633" s="119">
        <f>IF($D633="",0,'Guide &amp; Settings'!$C$44*IF($F633&gt;=3,$F633,0))</f>
        <v>0</v>
      </c>
      <c r="M633" s="118">
        <f t="shared" si="173"/>
        <v>0</v>
      </c>
      <c r="N633" s="116">
        <f t="shared" si="174"/>
        <v>0</v>
      </c>
      <c r="O633" s="115" t="str">
        <f t="shared" si="175"/>
        <v/>
      </c>
      <c r="P633">
        <f t="shared" si="176"/>
        <v>0</v>
      </c>
      <c r="Q633">
        <f t="shared" si="177"/>
        <v>0</v>
      </c>
      <c r="R633">
        <f t="shared" si="178"/>
        <v>0</v>
      </c>
      <c r="S633">
        <f t="shared" si="179"/>
        <v>0</v>
      </c>
      <c r="T633" s="83">
        <f t="shared" si="180"/>
        <v>0</v>
      </c>
      <c r="U633" s="120">
        <f>IF($D633="",0,IFERROR(LOOKUP(2,1/(($D$3:D632=$D633)*($C$3:C632=$C633)*($A$3:A632&lt;$A633)),$AB$3:AB632),1000))</f>
        <v>0</v>
      </c>
      <c r="V633" s="120">
        <f t="shared" si="181"/>
        <v>0</v>
      </c>
      <c r="W633">
        <f t="shared" si="182"/>
        <v>0</v>
      </c>
      <c r="X633">
        <f t="shared" si="183"/>
        <v>0</v>
      </c>
      <c r="Y633">
        <f t="shared" si="184"/>
        <v>0</v>
      </c>
      <c r="Z633">
        <f t="shared" si="185"/>
        <v>0</v>
      </c>
      <c r="AA633">
        <f>IF($D633="",0,IF($F633&lt;2,0,IF($E633="Win",('Guide &amp; Settings'!$C$42/(($F633-1)*COUNTIFS($A$4:$A$810,$A633,$E$4:$E$810,"Win")))*SUMIFS($Z$4:$Z$810,$A$4:$A$810,$A633,$E$4:$E$810,"Loss"),-('Guide &amp; Settings'!$C$42/($F633-1))*$Z633)))</f>
        <v>0</v>
      </c>
      <c r="AB633" s="120">
        <f t="shared" si="186"/>
        <v>0</v>
      </c>
      <c r="AC633" s="120" t="str">
        <f>IF($D633="","",IF(SUMPRODUCT(MAX(($D$4:$D$810=$D633)*($B$4:$B$810&lt;$B633)*$B$4:$B$810))=0,0,MAX(($B633-MAX(SUMPRODUCT(MAX(($D$4:$D$810=$D633)*($B$4:$B$810&lt;$B633)*$B$4:$B$810)),'Guide &amp; Settings'!$C$50))/7-'Guide &amp; Settings'!$C$48,0)*'Guide &amp; Settings'!$C$49))</f>
        <v/>
      </c>
    </row>
    <row r="634" spans="1:29" x14ac:dyDescent="0.2">
      <c r="A634" s="111"/>
      <c r="B634" s="112"/>
      <c r="C634" s="113"/>
      <c r="D634" s="113"/>
      <c r="E634" s="111"/>
      <c r="F634" s="114">
        <f t="shared" si="170"/>
        <v>0</v>
      </c>
      <c r="G634" s="115" t="str">
        <f t="shared" si="171"/>
        <v/>
      </c>
      <c r="H634" s="116">
        <f>IF($D634="",0,IFERROR(LOOKUP(2,1/(($D$3:D633=$D634)*($A$3:A633&lt;$A634)),$N$3:N633),'Guide &amp; Settings'!$C$41))</f>
        <v>0</v>
      </c>
      <c r="I634" s="117">
        <f t="shared" si="172"/>
        <v>0</v>
      </c>
      <c r="J634" s="118">
        <f>IF($D634="",0,IF($F634&lt;2,0,IF($E634="Win",('Guide &amp; Settings'!$C$42/(($F634-1)*COUNTIFS($A$4:$A$810,$A634,$E$4:$E$810,"Win")))*SUMIFS($X$4:$X$810,$A$4:$A$810,$A634,$E$4:$E$810,"Loss"),-('Guide &amp; Settings'!$C$42/($F634-1))*$X634)))</f>
        <v>0</v>
      </c>
      <c r="K634" s="118">
        <f>IF($D634="",0,'Guide &amp; Settings'!$C$43*(IF($E634="Win",1,0)-$I634))</f>
        <v>0</v>
      </c>
      <c r="L634" s="119">
        <f>IF($D634="",0,'Guide &amp; Settings'!$C$44*IF($F634&gt;=3,$F634,0))</f>
        <v>0</v>
      </c>
      <c r="M634" s="118">
        <f t="shared" si="173"/>
        <v>0</v>
      </c>
      <c r="N634" s="116">
        <f t="shared" si="174"/>
        <v>0</v>
      </c>
      <c r="O634" s="115" t="str">
        <f t="shared" si="175"/>
        <v/>
      </c>
      <c r="P634">
        <f t="shared" si="176"/>
        <v>0</v>
      </c>
      <c r="Q634">
        <f t="shared" si="177"/>
        <v>0</v>
      </c>
      <c r="R634">
        <f t="shared" si="178"/>
        <v>0</v>
      </c>
      <c r="S634">
        <f t="shared" si="179"/>
        <v>0</v>
      </c>
      <c r="T634" s="83">
        <f t="shared" si="180"/>
        <v>0</v>
      </c>
      <c r="U634" s="120">
        <f>IF($D634="",0,IFERROR(LOOKUP(2,1/(($D$3:D633=$D634)*($C$3:C633=$C634)*($A$3:A633&lt;$A634)),$AB$3:AB633),1000))</f>
        <v>0</v>
      </c>
      <c r="V634" s="120">
        <f t="shared" si="181"/>
        <v>0</v>
      </c>
      <c r="W634">
        <f t="shared" si="182"/>
        <v>0</v>
      </c>
      <c r="X634">
        <f t="shared" si="183"/>
        <v>0</v>
      </c>
      <c r="Y634">
        <f t="shared" si="184"/>
        <v>0</v>
      </c>
      <c r="Z634">
        <f t="shared" si="185"/>
        <v>0</v>
      </c>
      <c r="AA634">
        <f>IF($D634="",0,IF($F634&lt;2,0,IF($E634="Win",('Guide &amp; Settings'!$C$42/(($F634-1)*COUNTIFS($A$4:$A$810,$A634,$E$4:$E$810,"Win")))*SUMIFS($Z$4:$Z$810,$A$4:$A$810,$A634,$E$4:$E$810,"Loss"),-('Guide &amp; Settings'!$C$42/($F634-1))*$Z634)))</f>
        <v>0</v>
      </c>
      <c r="AB634" s="120">
        <f t="shared" si="186"/>
        <v>0</v>
      </c>
      <c r="AC634" s="120" t="str">
        <f>IF($D634="","",IF(SUMPRODUCT(MAX(($D$4:$D$810=$D634)*($B$4:$B$810&lt;$B634)*$B$4:$B$810))=0,0,MAX(($B634-MAX(SUMPRODUCT(MAX(($D$4:$D$810=$D634)*($B$4:$B$810&lt;$B634)*$B$4:$B$810)),'Guide &amp; Settings'!$C$50))/7-'Guide &amp; Settings'!$C$48,0)*'Guide &amp; Settings'!$C$49))</f>
        <v/>
      </c>
    </row>
    <row r="635" spans="1:29" x14ac:dyDescent="0.2">
      <c r="A635" s="111"/>
      <c r="B635" s="112"/>
      <c r="C635" s="113"/>
      <c r="D635" s="113"/>
      <c r="E635" s="111"/>
      <c r="F635" s="114">
        <f t="shared" si="170"/>
        <v>0</v>
      </c>
      <c r="G635" s="115" t="str">
        <f t="shared" si="171"/>
        <v/>
      </c>
      <c r="H635" s="116">
        <f>IF($D635="",0,IFERROR(LOOKUP(2,1/(($D$3:D634=$D635)*($A$3:A634&lt;$A635)),$N$3:N634),'Guide &amp; Settings'!$C$41))</f>
        <v>0</v>
      </c>
      <c r="I635" s="117">
        <f t="shared" si="172"/>
        <v>0</v>
      </c>
      <c r="J635" s="118">
        <f>IF($D635="",0,IF($F635&lt;2,0,IF($E635="Win",('Guide &amp; Settings'!$C$42/(($F635-1)*COUNTIFS($A$4:$A$810,$A635,$E$4:$E$810,"Win")))*SUMIFS($X$4:$X$810,$A$4:$A$810,$A635,$E$4:$E$810,"Loss"),-('Guide &amp; Settings'!$C$42/($F635-1))*$X635)))</f>
        <v>0</v>
      </c>
      <c r="K635" s="118">
        <f>IF($D635="",0,'Guide &amp; Settings'!$C$43*(IF($E635="Win",1,0)-$I635))</f>
        <v>0</v>
      </c>
      <c r="L635" s="119">
        <f>IF($D635="",0,'Guide &amp; Settings'!$C$44*IF($F635&gt;=3,$F635,0))</f>
        <v>0</v>
      </c>
      <c r="M635" s="118">
        <f t="shared" si="173"/>
        <v>0</v>
      </c>
      <c r="N635" s="116">
        <f t="shared" si="174"/>
        <v>0</v>
      </c>
      <c r="O635" s="115" t="str">
        <f t="shared" si="175"/>
        <v/>
      </c>
      <c r="P635">
        <f t="shared" si="176"/>
        <v>0</v>
      </c>
      <c r="Q635">
        <f t="shared" si="177"/>
        <v>0</v>
      </c>
      <c r="R635">
        <f t="shared" si="178"/>
        <v>0</v>
      </c>
      <c r="S635">
        <f t="shared" si="179"/>
        <v>0</v>
      </c>
      <c r="T635" s="83">
        <f t="shared" si="180"/>
        <v>0</v>
      </c>
      <c r="U635" s="120">
        <f>IF($D635="",0,IFERROR(LOOKUP(2,1/(($D$3:D634=$D635)*($C$3:C634=$C635)*($A$3:A634&lt;$A635)),$AB$3:AB634),1000))</f>
        <v>0</v>
      </c>
      <c r="V635" s="120">
        <f t="shared" si="181"/>
        <v>0</v>
      </c>
      <c r="W635">
        <f t="shared" si="182"/>
        <v>0</v>
      </c>
      <c r="X635">
        <f t="shared" si="183"/>
        <v>0</v>
      </c>
      <c r="Y635">
        <f t="shared" si="184"/>
        <v>0</v>
      </c>
      <c r="Z635">
        <f t="shared" si="185"/>
        <v>0</v>
      </c>
      <c r="AA635">
        <f>IF($D635="",0,IF($F635&lt;2,0,IF($E635="Win",('Guide &amp; Settings'!$C$42/(($F635-1)*COUNTIFS($A$4:$A$810,$A635,$E$4:$E$810,"Win")))*SUMIFS($Z$4:$Z$810,$A$4:$A$810,$A635,$E$4:$E$810,"Loss"),-('Guide &amp; Settings'!$C$42/($F635-1))*$Z635)))</f>
        <v>0</v>
      </c>
      <c r="AB635" s="120">
        <f t="shared" si="186"/>
        <v>0</v>
      </c>
      <c r="AC635" s="120" t="str">
        <f>IF($D635="","",IF(SUMPRODUCT(MAX(($D$4:$D$810=$D635)*($B$4:$B$810&lt;$B635)*$B$4:$B$810))=0,0,MAX(($B635-MAX(SUMPRODUCT(MAX(($D$4:$D$810=$D635)*($B$4:$B$810&lt;$B635)*$B$4:$B$810)),'Guide &amp; Settings'!$C$50))/7-'Guide &amp; Settings'!$C$48,0)*'Guide &amp; Settings'!$C$49))</f>
        <v/>
      </c>
    </row>
    <row r="636" spans="1:29" x14ac:dyDescent="0.2">
      <c r="A636" s="111"/>
      <c r="B636" s="112"/>
      <c r="C636" s="113"/>
      <c r="D636" s="113"/>
      <c r="E636" s="111"/>
      <c r="F636" s="114">
        <f t="shared" si="170"/>
        <v>0</v>
      </c>
      <c r="G636" s="115" t="str">
        <f t="shared" si="171"/>
        <v/>
      </c>
      <c r="H636" s="116">
        <f>IF($D636="",0,IFERROR(LOOKUP(2,1/(($D$3:D635=$D636)*($A$3:A635&lt;$A636)),$N$3:N635),'Guide &amp; Settings'!$C$41))</f>
        <v>0</v>
      </c>
      <c r="I636" s="117">
        <f t="shared" si="172"/>
        <v>0</v>
      </c>
      <c r="J636" s="118">
        <f>IF($D636="",0,IF($F636&lt;2,0,IF($E636="Win",('Guide &amp; Settings'!$C$42/(($F636-1)*COUNTIFS($A$4:$A$810,$A636,$E$4:$E$810,"Win")))*SUMIFS($X$4:$X$810,$A$4:$A$810,$A636,$E$4:$E$810,"Loss"),-('Guide &amp; Settings'!$C$42/($F636-1))*$X636)))</f>
        <v>0</v>
      </c>
      <c r="K636" s="118">
        <f>IF($D636="",0,'Guide &amp; Settings'!$C$43*(IF($E636="Win",1,0)-$I636))</f>
        <v>0</v>
      </c>
      <c r="L636" s="119">
        <f>IF($D636="",0,'Guide &amp; Settings'!$C$44*IF($F636&gt;=3,$F636,0))</f>
        <v>0</v>
      </c>
      <c r="M636" s="118">
        <f t="shared" si="173"/>
        <v>0</v>
      </c>
      <c r="N636" s="116">
        <f t="shared" si="174"/>
        <v>0</v>
      </c>
      <c r="O636" s="115" t="str">
        <f t="shared" si="175"/>
        <v/>
      </c>
      <c r="P636">
        <f t="shared" si="176"/>
        <v>0</v>
      </c>
      <c r="Q636">
        <f t="shared" si="177"/>
        <v>0</v>
      </c>
      <c r="R636">
        <f t="shared" si="178"/>
        <v>0</v>
      </c>
      <c r="S636">
        <f t="shared" si="179"/>
        <v>0</v>
      </c>
      <c r="T636" s="83">
        <f t="shared" si="180"/>
        <v>0</v>
      </c>
      <c r="U636" s="120">
        <f>IF($D636="",0,IFERROR(LOOKUP(2,1/(($D$3:D635=$D636)*($C$3:C635=$C636)*($A$3:A635&lt;$A636)),$AB$3:AB635),1000))</f>
        <v>0</v>
      </c>
      <c r="V636" s="120">
        <f t="shared" si="181"/>
        <v>0</v>
      </c>
      <c r="W636">
        <f t="shared" si="182"/>
        <v>0</v>
      </c>
      <c r="X636">
        <f t="shared" si="183"/>
        <v>0</v>
      </c>
      <c r="Y636">
        <f t="shared" si="184"/>
        <v>0</v>
      </c>
      <c r="Z636">
        <f t="shared" si="185"/>
        <v>0</v>
      </c>
      <c r="AA636">
        <f>IF($D636="",0,IF($F636&lt;2,0,IF($E636="Win",('Guide &amp; Settings'!$C$42/(($F636-1)*COUNTIFS($A$4:$A$810,$A636,$E$4:$E$810,"Win")))*SUMIFS($Z$4:$Z$810,$A$4:$A$810,$A636,$E$4:$E$810,"Loss"),-('Guide &amp; Settings'!$C$42/($F636-1))*$Z636)))</f>
        <v>0</v>
      </c>
      <c r="AB636" s="120">
        <f t="shared" si="186"/>
        <v>0</v>
      </c>
      <c r="AC636" s="120" t="str">
        <f>IF($D636="","",IF(SUMPRODUCT(MAX(($D$4:$D$810=$D636)*($B$4:$B$810&lt;$B636)*$B$4:$B$810))=0,0,MAX(($B636-MAX(SUMPRODUCT(MAX(($D$4:$D$810=$D636)*($B$4:$B$810&lt;$B636)*$B$4:$B$810)),'Guide &amp; Settings'!$C$50))/7-'Guide &amp; Settings'!$C$48,0)*'Guide &amp; Settings'!$C$49))</f>
        <v/>
      </c>
    </row>
    <row r="637" spans="1:29" x14ac:dyDescent="0.2">
      <c r="A637" s="111"/>
      <c r="B637" s="112"/>
      <c r="C637" s="113"/>
      <c r="D637" s="113"/>
      <c r="E637" s="111"/>
      <c r="F637" s="114">
        <f t="shared" si="170"/>
        <v>0</v>
      </c>
      <c r="G637" s="115" t="str">
        <f t="shared" si="171"/>
        <v/>
      </c>
      <c r="H637" s="116">
        <f>IF($D637="",0,IFERROR(LOOKUP(2,1/(($D$3:D636=$D637)*($A$3:A636&lt;$A637)),$N$3:N636),'Guide &amp; Settings'!$C$41))</f>
        <v>0</v>
      </c>
      <c r="I637" s="117">
        <f t="shared" si="172"/>
        <v>0</v>
      </c>
      <c r="J637" s="118">
        <f>IF($D637="",0,IF($F637&lt;2,0,IF($E637="Win",('Guide &amp; Settings'!$C$42/(($F637-1)*COUNTIFS($A$4:$A$810,$A637,$E$4:$E$810,"Win")))*SUMIFS($X$4:$X$810,$A$4:$A$810,$A637,$E$4:$E$810,"Loss"),-('Guide &amp; Settings'!$C$42/($F637-1))*$X637)))</f>
        <v>0</v>
      </c>
      <c r="K637" s="118">
        <f>IF($D637="",0,'Guide &amp; Settings'!$C$43*(IF($E637="Win",1,0)-$I637))</f>
        <v>0</v>
      </c>
      <c r="L637" s="119">
        <f>IF($D637="",0,'Guide &amp; Settings'!$C$44*IF($F637&gt;=3,$F637,0))</f>
        <v>0</v>
      </c>
      <c r="M637" s="118">
        <f t="shared" si="173"/>
        <v>0</v>
      </c>
      <c r="N637" s="116">
        <f t="shared" si="174"/>
        <v>0</v>
      </c>
      <c r="O637" s="115" t="str">
        <f t="shared" si="175"/>
        <v/>
      </c>
      <c r="P637">
        <f t="shared" si="176"/>
        <v>0</v>
      </c>
      <c r="Q637">
        <f t="shared" si="177"/>
        <v>0</v>
      </c>
      <c r="R637">
        <f t="shared" si="178"/>
        <v>0</v>
      </c>
      <c r="S637">
        <f t="shared" si="179"/>
        <v>0</v>
      </c>
      <c r="T637" s="83">
        <f t="shared" si="180"/>
        <v>0</v>
      </c>
      <c r="U637" s="120">
        <f>IF($D637="",0,IFERROR(LOOKUP(2,1/(($D$3:D636=$D637)*($C$3:C636=$C637)*($A$3:A636&lt;$A637)),$AB$3:AB636),1000))</f>
        <v>0</v>
      </c>
      <c r="V637" s="120">
        <f t="shared" si="181"/>
        <v>0</v>
      </c>
      <c r="W637">
        <f t="shared" si="182"/>
        <v>0</v>
      </c>
      <c r="X637">
        <f t="shared" si="183"/>
        <v>0</v>
      </c>
      <c r="Y637">
        <f t="shared" si="184"/>
        <v>0</v>
      </c>
      <c r="Z637">
        <f t="shared" si="185"/>
        <v>0</v>
      </c>
      <c r="AA637">
        <f>IF($D637="",0,IF($F637&lt;2,0,IF($E637="Win",('Guide &amp; Settings'!$C$42/(($F637-1)*COUNTIFS($A$4:$A$810,$A637,$E$4:$E$810,"Win")))*SUMIFS($Z$4:$Z$810,$A$4:$A$810,$A637,$E$4:$E$810,"Loss"),-('Guide &amp; Settings'!$C$42/($F637-1))*$Z637)))</f>
        <v>0</v>
      </c>
      <c r="AB637" s="120">
        <f t="shared" si="186"/>
        <v>0</v>
      </c>
      <c r="AC637" s="120" t="str">
        <f>IF($D637="","",IF(SUMPRODUCT(MAX(($D$4:$D$810=$D637)*($B$4:$B$810&lt;$B637)*$B$4:$B$810))=0,0,MAX(($B637-MAX(SUMPRODUCT(MAX(($D$4:$D$810=$D637)*($B$4:$B$810&lt;$B637)*$B$4:$B$810)),'Guide &amp; Settings'!$C$50))/7-'Guide &amp; Settings'!$C$48,0)*'Guide &amp; Settings'!$C$49))</f>
        <v/>
      </c>
    </row>
    <row r="638" spans="1:29" x14ac:dyDescent="0.2">
      <c r="A638" s="111"/>
      <c r="B638" s="112"/>
      <c r="C638" s="113"/>
      <c r="D638" s="113"/>
      <c r="E638" s="111"/>
      <c r="F638" s="114">
        <f t="shared" si="170"/>
        <v>0</v>
      </c>
      <c r="G638" s="115" t="str">
        <f t="shared" si="171"/>
        <v/>
      </c>
      <c r="H638" s="116">
        <f>IF($D638="",0,IFERROR(LOOKUP(2,1/(($D$3:D637=$D638)*($A$3:A637&lt;$A638)),$N$3:N637),'Guide &amp; Settings'!$C$41))</f>
        <v>0</v>
      </c>
      <c r="I638" s="117">
        <f t="shared" si="172"/>
        <v>0</v>
      </c>
      <c r="J638" s="118">
        <f>IF($D638="",0,IF($F638&lt;2,0,IF($E638="Win",('Guide &amp; Settings'!$C$42/(($F638-1)*COUNTIFS($A$4:$A$810,$A638,$E$4:$E$810,"Win")))*SUMIFS($X$4:$X$810,$A$4:$A$810,$A638,$E$4:$E$810,"Loss"),-('Guide &amp; Settings'!$C$42/($F638-1))*$X638)))</f>
        <v>0</v>
      </c>
      <c r="K638" s="118">
        <f>IF($D638="",0,'Guide &amp; Settings'!$C$43*(IF($E638="Win",1,0)-$I638))</f>
        <v>0</v>
      </c>
      <c r="L638" s="119">
        <f>IF($D638="",0,'Guide &amp; Settings'!$C$44*IF($F638&gt;=3,$F638,0))</f>
        <v>0</v>
      </c>
      <c r="M638" s="118">
        <f t="shared" si="173"/>
        <v>0</v>
      </c>
      <c r="N638" s="116">
        <f t="shared" si="174"/>
        <v>0</v>
      </c>
      <c r="O638" s="115" t="str">
        <f t="shared" si="175"/>
        <v/>
      </c>
      <c r="P638">
        <f t="shared" si="176"/>
        <v>0</v>
      </c>
      <c r="Q638">
        <f t="shared" si="177"/>
        <v>0</v>
      </c>
      <c r="R638">
        <f t="shared" si="178"/>
        <v>0</v>
      </c>
      <c r="S638">
        <f t="shared" si="179"/>
        <v>0</v>
      </c>
      <c r="T638" s="83">
        <f t="shared" si="180"/>
        <v>0</v>
      </c>
      <c r="U638" s="120">
        <f>IF($D638="",0,IFERROR(LOOKUP(2,1/(($D$3:D637=$D638)*($C$3:C637=$C638)*($A$3:A637&lt;$A638)),$AB$3:AB637),1000))</f>
        <v>0</v>
      </c>
      <c r="V638" s="120">
        <f t="shared" si="181"/>
        <v>0</v>
      </c>
      <c r="W638">
        <f t="shared" si="182"/>
        <v>0</v>
      </c>
      <c r="X638">
        <f t="shared" si="183"/>
        <v>0</v>
      </c>
      <c r="Y638">
        <f t="shared" si="184"/>
        <v>0</v>
      </c>
      <c r="Z638">
        <f t="shared" si="185"/>
        <v>0</v>
      </c>
      <c r="AA638">
        <f>IF($D638="",0,IF($F638&lt;2,0,IF($E638="Win",('Guide &amp; Settings'!$C$42/(($F638-1)*COUNTIFS($A$4:$A$810,$A638,$E$4:$E$810,"Win")))*SUMIFS($Z$4:$Z$810,$A$4:$A$810,$A638,$E$4:$E$810,"Loss"),-('Guide &amp; Settings'!$C$42/($F638-1))*$Z638)))</f>
        <v>0</v>
      </c>
      <c r="AB638" s="120">
        <f t="shared" si="186"/>
        <v>0</v>
      </c>
      <c r="AC638" s="120" t="str">
        <f>IF($D638="","",IF(SUMPRODUCT(MAX(($D$4:$D$810=$D638)*($B$4:$B$810&lt;$B638)*$B$4:$B$810))=0,0,MAX(($B638-MAX(SUMPRODUCT(MAX(($D$4:$D$810=$D638)*($B$4:$B$810&lt;$B638)*$B$4:$B$810)),'Guide &amp; Settings'!$C$50))/7-'Guide &amp; Settings'!$C$48,0)*'Guide &amp; Settings'!$C$49))</f>
        <v/>
      </c>
    </row>
    <row r="639" spans="1:29" x14ac:dyDescent="0.2">
      <c r="A639" s="111"/>
      <c r="B639" s="112"/>
      <c r="C639" s="113"/>
      <c r="D639" s="113"/>
      <c r="E639" s="111"/>
      <c r="F639" s="114">
        <f t="shared" si="170"/>
        <v>0</v>
      </c>
      <c r="G639" s="115" t="str">
        <f t="shared" si="171"/>
        <v/>
      </c>
      <c r="H639" s="116">
        <f>IF($D639="",0,IFERROR(LOOKUP(2,1/(($D$3:D638=$D639)*($A$3:A638&lt;$A639)),$N$3:N638),'Guide &amp; Settings'!$C$41))</f>
        <v>0</v>
      </c>
      <c r="I639" s="117">
        <f t="shared" si="172"/>
        <v>0</v>
      </c>
      <c r="J639" s="118">
        <f>IF($D639="",0,IF($F639&lt;2,0,IF($E639="Win",('Guide &amp; Settings'!$C$42/(($F639-1)*COUNTIFS($A$4:$A$810,$A639,$E$4:$E$810,"Win")))*SUMIFS($X$4:$X$810,$A$4:$A$810,$A639,$E$4:$E$810,"Loss"),-('Guide &amp; Settings'!$C$42/($F639-1))*$X639)))</f>
        <v>0</v>
      </c>
      <c r="K639" s="118">
        <f>IF($D639="",0,'Guide &amp; Settings'!$C$43*(IF($E639="Win",1,0)-$I639))</f>
        <v>0</v>
      </c>
      <c r="L639" s="119">
        <f>IF($D639="",0,'Guide &amp; Settings'!$C$44*IF($F639&gt;=3,$F639,0))</f>
        <v>0</v>
      </c>
      <c r="M639" s="118">
        <f t="shared" si="173"/>
        <v>0</v>
      </c>
      <c r="N639" s="116">
        <f t="shared" si="174"/>
        <v>0</v>
      </c>
      <c r="O639" s="115" t="str">
        <f t="shared" si="175"/>
        <v/>
      </c>
      <c r="P639">
        <f t="shared" si="176"/>
        <v>0</v>
      </c>
      <c r="Q639">
        <f t="shared" si="177"/>
        <v>0</v>
      </c>
      <c r="R639">
        <f t="shared" si="178"/>
        <v>0</v>
      </c>
      <c r="S639">
        <f t="shared" si="179"/>
        <v>0</v>
      </c>
      <c r="T639" s="83">
        <f t="shared" si="180"/>
        <v>0</v>
      </c>
      <c r="U639" s="120">
        <f>IF($D639="",0,IFERROR(LOOKUP(2,1/(($D$3:D638=$D639)*($C$3:C638=$C639)*($A$3:A638&lt;$A639)),$AB$3:AB638),1000))</f>
        <v>0</v>
      </c>
      <c r="V639" s="120">
        <f t="shared" si="181"/>
        <v>0</v>
      </c>
      <c r="W639">
        <f t="shared" si="182"/>
        <v>0</v>
      </c>
      <c r="X639">
        <f t="shared" si="183"/>
        <v>0</v>
      </c>
      <c r="Y639">
        <f t="shared" si="184"/>
        <v>0</v>
      </c>
      <c r="Z639">
        <f t="shared" si="185"/>
        <v>0</v>
      </c>
      <c r="AA639">
        <f>IF($D639="",0,IF($F639&lt;2,0,IF($E639="Win",('Guide &amp; Settings'!$C$42/(($F639-1)*COUNTIFS($A$4:$A$810,$A639,$E$4:$E$810,"Win")))*SUMIFS($Z$4:$Z$810,$A$4:$A$810,$A639,$E$4:$E$810,"Loss"),-('Guide &amp; Settings'!$C$42/($F639-1))*$Z639)))</f>
        <v>0</v>
      </c>
      <c r="AB639" s="120">
        <f t="shared" si="186"/>
        <v>0</v>
      </c>
      <c r="AC639" s="120" t="str">
        <f>IF($D639="","",IF(SUMPRODUCT(MAX(($D$4:$D$810=$D639)*($B$4:$B$810&lt;$B639)*$B$4:$B$810))=0,0,MAX(($B639-MAX(SUMPRODUCT(MAX(($D$4:$D$810=$D639)*($B$4:$B$810&lt;$B639)*$B$4:$B$810)),'Guide &amp; Settings'!$C$50))/7-'Guide &amp; Settings'!$C$48,0)*'Guide &amp; Settings'!$C$49))</f>
        <v/>
      </c>
    </row>
    <row r="640" spans="1:29" x14ac:dyDescent="0.2">
      <c r="A640" s="111"/>
      <c r="B640" s="112"/>
      <c r="C640" s="113"/>
      <c r="D640" s="113"/>
      <c r="E640" s="111"/>
      <c r="F640" s="114">
        <f t="shared" si="170"/>
        <v>0</v>
      </c>
      <c r="G640" s="115" t="str">
        <f t="shared" si="171"/>
        <v/>
      </c>
      <c r="H640" s="116">
        <f>IF($D640="",0,IFERROR(LOOKUP(2,1/(($D$3:D639=$D640)*($A$3:A639&lt;$A640)),$N$3:N639),'Guide &amp; Settings'!$C$41))</f>
        <v>0</v>
      </c>
      <c r="I640" s="117">
        <f t="shared" si="172"/>
        <v>0</v>
      </c>
      <c r="J640" s="118">
        <f>IF($D640="",0,IF($F640&lt;2,0,IF($E640="Win",('Guide &amp; Settings'!$C$42/(($F640-1)*COUNTIFS($A$4:$A$810,$A640,$E$4:$E$810,"Win")))*SUMIFS($X$4:$X$810,$A$4:$A$810,$A640,$E$4:$E$810,"Loss"),-('Guide &amp; Settings'!$C$42/($F640-1))*$X640)))</f>
        <v>0</v>
      </c>
      <c r="K640" s="118">
        <f>IF($D640="",0,'Guide &amp; Settings'!$C$43*(IF($E640="Win",1,0)-$I640))</f>
        <v>0</v>
      </c>
      <c r="L640" s="119">
        <f>IF($D640="",0,'Guide &amp; Settings'!$C$44*IF($F640&gt;=3,$F640,0))</f>
        <v>0</v>
      </c>
      <c r="M640" s="118">
        <f t="shared" si="173"/>
        <v>0</v>
      </c>
      <c r="N640" s="116">
        <f t="shared" si="174"/>
        <v>0</v>
      </c>
      <c r="O640" s="115" t="str">
        <f t="shared" si="175"/>
        <v/>
      </c>
      <c r="P640">
        <f t="shared" si="176"/>
        <v>0</v>
      </c>
      <c r="Q640">
        <f t="shared" si="177"/>
        <v>0</v>
      </c>
      <c r="R640">
        <f t="shared" si="178"/>
        <v>0</v>
      </c>
      <c r="S640">
        <f t="shared" si="179"/>
        <v>0</v>
      </c>
      <c r="T640" s="83">
        <f t="shared" si="180"/>
        <v>0</v>
      </c>
      <c r="U640" s="120">
        <f>IF($D640="",0,IFERROR(LOOKUP(2,1/(($D$3:D639=$D640)*($C$3:C639=$C640)*($A$3:A639&lt;$A640)),$AB$3:AB639),1000))</f>
        <v>0</v>
      </c>
      <c r="V640" s="120">
        <f t="shared" si="181"/>
        <v>0</v>
      </c>
      <c r="W640">
        <f t="shared" si="182"/>
        <v>0</v>
      </c>
      <c r="X640">
        <f t="shared" si="183"/>
        <v>0</v>
      </c>
      <c r="Y640">
        <f t="shared" si="184"/>
        <v>0</v>
      </c>
      <c r="Z640">
        <f t="shared" si="185"/>
        <v>0</v>
      </c>
      <c r="AA640">
        <f>IF($D640="",0,IF($F640&lt;2,0,IF($E640="Win",('Guide &amp; Settings'!$C$42/(($F640-1)*COUNTIFS($A$4:$A$810,$A640,$E$4:$E$810,"Win")))*SUMIFS($Z$4:$Z$810,$A$4:$A$810,$A640,$E$4:$E$810,"Loss"),-('Guide &amp; Settings'!$C$42/($F640-1))*$Z640)))</f>
        <v>0</v>
      </c>
      <c r="AB640" s="120">
        <f t="shared" si="186"/>
        <v>0</v>
      </c>
      <c r="AC640" s="120" t="str">
        <f>IF($D640="","",IF(SUMPRODUCT(MAX(($D$4:$D$810=$D640)*($B$4:$B$810&lt;$B640)*$B$4:$B$810))=0,0,MAX(($B640-MAX(SUMPRODUCT(MAX(($D$4:$D$810=$D640)*($B$4:$B$810&lt;$B640)*$B$4:$B$810)),'Guide &amp; Settings'!$C$50))/7-'Guide &amp; Settings'!$C$48,0)*'Guide &amp; Settings'!$C$49))</f>
        <v/>
      </c>
    </row>
    <row r="641" spans="1:29" x14ac:dyDescent="0.2">
      <c r="A641" s="111"/>
      <c r="B641" s="112"/>
      <c r="C641" s="113"/>
      <c r="D641" s="113"/>
      <c r="E641" s="111"/>
      <c r="F641" s="114">
        <f t="shared" si="170"/>
        <v>0</v>
      </c>
      <c r="G641" s="115" t="str">
        <f t="shared" si="171"/>
        <v/>
      </c>
      <c r="H641" s="116">
        <f>IF($D641="",0,IFERROR(LOOKUP(2,1/(($D$3:D640=$D641)*($A$3:A640&lt;$A641)),$N$3:N640),'Guide &amp; Settings'!$C$41))</f>
        <v>0</v>
      </c>
      <c r="I641" s="117">
        <f t="shared" si="172"/>
        <v>0</v>
      </c>
      <c r="J641" s="118">
        <f>IF($D641="",0,IF($F641&lt;2,0,IF($E641="Win",('Guide &amp; Settings'!$C$42/(($F641-1)*COUNTIFS($A$4:$A$810,$A641,$E$4:$E$810,"Win")))*SUMIFS($X$4:$X$810,$A$4:$A$810,$A641,$E$4:$E$810,"Loss"),-('Guide &amp; Settings'!$C$42/($F641-1))*$X641)))</f>
        <v>0</v>
      </c>
      <c r="K641" s="118">
        <f>IF($D641="",0,'Guide &amp; Settings'!$C$43*(IF($E641="Win",1,0)-$I641))</f>
        <v>0</v>
      </c>
      <c r="L641" s="119">
        <f>IF($D641="",0,'Guide &amp; Settings'!$C$44*IF($F641&gt;=3,$F641,0))</f>
        <v>0</v>
      </c>
      <c r="M641" s="118">
        <f t="shared" si="173"/>
        <v>0</v>
      </c>
      <c r="N641" s="116">
        <f t="shared" si="174"/>
        <v>0</v>
      </c>
      <c r="O641" s="115" t="str">
        <f t="shared" si="175"/>
        <v/>
      </c>
      <c r="P641">
        <f t="shared" si="176"/>
        <v>0</v>
      </c>
      <c r="Q641">
        <f t="shared" si="177"/>
        <v>0</v>
      </c>
      <c r="R641">
        <f t="shared" si="178"/>
        <v>0</v>
      </c>
      <c r="S641">
        <f t="shared" si="179"/>
        <v>0</v>
      </c>
      <c r="T641" s="83">
        <f t="shared" si="180"/>
        <v>0</v>
      </c>
      <c r="U641" s="120">
        <f>IF($D641="",0,IFERROR(LOOKUP(2,1/(($D$3:D640=$D641)*($C$3:C640=$C641)*($A$3:A640&lt;$A641)),$AB$3:AB640),1000))</f>
        <v>0</v>
      </c>
      <c r="V641" s="120">
        <f t="shared" si="181"/>
        <v>0</v>
      </c>
      <c r="W641">
        <f t="shared" si="182"/>
        <v>0</v>
      </c>
      <c r="X641">
        <f t="shared" si="183"/>
        <v>0</v>
      </c>
      <c r="Y641">
        <f t="shared" si="184"/>
        <v>0</v>
      </c>
      <c r="Z641">
        <f t="shared" si="185"/>
        <v>0</v>
      </c>
      <c r="AA641">
        <f>IF($D641="",0,IF($F641&lt;2,0,IF($E641="Win",('Guide &amp; Settings'!$C$42/(($F641-1)*COUNTIFS($A$4:$A$810,$A641,$E$4:$E$810,"Win")))*SUMIFS($Z$4:$Z$810,$A$4:$A$810,$A641,$E$4:$E$810,"Loss"),-('Guide &amp; Settings'!$C$42/($F641-1))*$Z641)))</f>
        <v>0</v>
      </c>
      <c r="AB641" s="120">
        <f t="shared" si="186"/>
        <v>0</v>
      </c>
      <c r="AC641" s="120" t="str">
        <f>IF($D641="","",IF(SUMPRODUCT(MAX(($D$4:$D$810=$D641)*($B$4:$B$810&lt;$B641)*$B$4:$B$810))=0,0,MAX(($B641-MAX(SUMPRODUCT(MAX(($D$4:$D$810=$D641)*($B$4:$B$810&lt;$B641)*$B$4:$B$810)),'Guide &amp; Settings'!$C$50))/7-'Guide &amp; Settings'!$C$48,0)*'Guide &amp; Settings'!$C$49))</f>
        <v/>
      </c>
    </row>
    <row r="642" spans="1:29" x14ac:dyDescent="0.2">
      <c r="A642" s="111"/>
      <c r="B642" s="112"/>
      <c r="C642" s="113"/>
      <c r="D642" s="113"/>
      <c r="E642" s="111"/>
      <c r="F642" s="114">
        <f t="shared" si="170"/>
        <v>0</v>
      </c>
      <c r="G642" s="115" t="str">
        <f t="shared" si="171"/>
        <v/>
      </c>
      <c r="H642" s="116">
        <f>IF($D642="",0,IFERROR(LOOKUP(2,1/(($D$3:D641=$D642)*($A$3:A641&lt;$A642)),$N$3:N641),'Guide &amp; Settings'!$C$41))</f>
        <v>0</v>
      </c>
      <c r="I642" s="117">
        <f t="shared" si="172"/>
        <v>0</v>
      </c>
      <c r="J642" s="118">
        <f>IF($D642="",0,IF($F642&lt;2,0,IF($E642="Win",('Guide &amp; Settings'!$C$42/(($F642-1)*COUNTIFS($A$4:$A$810,$A642,$E$4:$E$810,"Win")))*SUMIFS($X$4:$X$810,$A$4:$A$810,$A642,$E$4:$E$810,"Loss"),-('Guide &amp; Settings'!$C$42/($F642-1))*$X642)))</f>
        <v>0</v>
      </c>
      <c r="K642" s="118">
        <f>IF($D642="",0,'Guide &amp; Settings'!$C$43*(IF($E642="Win",1,0)-$I642))</f>
        <v>0</v>
      </c>
      <c r="L642" s="119">
        <f>IF($D642="",0,'Guide &amp; Settings'!$C$44*IF($F642&gt;=3,$F642,0))</f>
        <v>0</v>
      </c>
      <c r="M642" s="118">
        <f t="shared" si="173"/>
        <v>0</v>
      </c>
      <c r="N642" s="116">
        <f t="shared" si="174"/>
        <v>0</v>
      </c>
      <c r="O642" s="115" t="str">
        <f t="shared" si="175"/>
        <v/>
      </c>
      <c r="P642">
        <f t="shared" si="176"/>
        <v>0</v>
      </c>
      <c r="Q642">
        <f t="shared" si="177"/>
        <v>0</v>
      </c>
      <c r="R642">
        <f t="shared" si="178"/>
        <v>0</v>
      </c>
      <c r="S642">
        <f t="shared" si="179"/>
        <v>0</v>
      </c>
      <c r="T642" s="83">
        <f t="shared" si="180"/>
        <v>0</v>
      </c>
      <c r="U642" s="120">
        <f>IF($D642="",0,IFERROR(LOOKUP(2,1/(($D$3:D641=$D642)*($C$3:C641=$C642)*($A$3:A641&lt;$A642)),$AB$3:AB641),1000))</f>
        <v>0</v>
      </c>
      <c r="V642" s="120">
        <f t="shared" si="181"/>
        <v>0</v>
      </c>
      <c r="W642">
        <f t="shared" si="182"/>
        <v>0</v>
      </c>
      <c r="X642">
        <f t="shared" si="183"/>
        <v>0</v>
      </c>
      <c r="Y642">
        <f t="shared" si="184"/>
        <v>0</v>
      </c>
      <c r="Z642">
        <f t="shared" si="185"/>
        <v>0</v>
      </c>
      <c r="AA642">
        <f>IF($D642="",0,IF($F642&lt;2,0,IF($E642="Win",('Guide &amp; Settings'!$C$42/(($F642-1)*COUNTIFS($A$4:$A$810,$A642,$E$4:$E$810,"Win")))*SUMIFS($Z$4:$Z$810,$A$4:$A$810,$A642,$E$4:$E$810,"Loss"),-('Guide &amp; Settings'!$C$42/($F642-1))*$Z642)))</f>
        <v>0</v>
      </c>
      <c r="AB642" s="120">
        <f t="shared" si="186"/>
        <v>0</v>
      </c>
      <c r="AC642" s="120" t="str">
        <f>IF($D642="","",IF(SUMPRODUCT(MAX(($D$4:$D$810=$D642)*($B$4:$B$810&lt;$B642)*$B$4:$B$810))=0,0,MAX(($B642-MAX(SUMPRODUCT(MAX(($D$4:$D$810=$D642)*($B$4:$B$810&lt;$B642)*$B$4:$B$810)),'Guide &amp; Settings'!$C$50))/7-'Guide &amp; Settings'!$C$48,0)*'Guide &amp; Settings'!$C$49))</f>
        <v/>
      </c>
    </row>
    <row r="643" spans="1:29" x14ac:dyDescent="0.2">
      <c r="A643" s="111"/>
      <c r="B643" s="112"/>
      <c r="C643" s="113"/>
      <c r="D643" s="113"/>
      <c r="E643" s="111"/>
      <c r="F643" s="114">
        <f t="shared" si="170"/>
        <v>0</v>
      </c>
      <c r="G643" s="115" t="str">
        <f t="shared" si="171"/>
        <v/>
      </c>
      <c r="H643" s="116">
        <f>IF($D643="",0,IFERROR(LOOKUP(2,1/(($D$3:D642=$D643)*($A$3:A642&lt;$A643)),$N$3:N642),'Guide &amp; Settings'!$C$41))</f>
        <v>0</v>
      </c>
      <c r="I643" s="117">
        <f t="shared" si="172"/>
        <v>0</v>
      </c>
      <c r="J643" s="118">
        <f>IF($D643="",0,IF($F643&lt;2,0,IF($E643="Win",('Guide &amp; Settings'!$C$42/(($F643-1)*COUNTIFS($A$4:$A$810,$A643,$E$4:$E$810,"Win")))*SUMIFS($X$4:$X$810,$A$4:$A$810,$A643,$E$4:$E$810,"Loss"),-('Guide &amp; Settings'!$C$42/($F643-1))*$X643)))</f>
        <v>0</v>
      </c>
      <c r="K643" s="118">
        <f>IF($D643="",0,'Guide &amp; Settings'!$C$43*(IF($E643="Win",1,0)-$I643))</f>
        <v>0</v>
      </c>
      <c r="L643" s="119">
        <f>IF($D643="",0,'Guide &amp; Settings'!$C$44*IF($F643&gt;=3,$F643,0))</f>
        <v>0</v>
      </c>
      <c r="M643" s="118">
        <f t="shared" si="173"/>
        <v>0</v>
      </c>
      <c r="N643" s="116">
        <f t="shared" si="174"/>
        <v>0</v>
      </c>
      <c r="O643" s="115" t="str">
        <f t="shared" si="175"/>
        <v/>
      </c>
      <c r="P643">
        <f t="shared" si="176"/>
        <v>0</v>
      </c>
      <c r="Q643">
        <f t="shared" si="177"/>
        <v>0</v>
      </c>
      <c r="R643">
        <f t="shared" si="178"/>
        <v>0</v>
      </c>
      <c r="S643">
        <f t="shared" si="179"/>
        <v>0</v>
      </c>
      <c r="T643" s="83">
        <f t="shared" si="180"/>
        <v>0</v>
      </c>
      <c r="U643" s="120">
        <f>IF($D643="",0,IFERROR(LOOKUP(2,1/(($D$3:D642=$D643)*($C$3:C642=$C643)*($A$3:A642&lt;$A643)),$AB$3:AB642),1000))</f>
        <v>0</v>
      </c>
      <c r="V643" s="120">
        <f t="shared" si="181"/>
        <v>0</v>
      </c>
      <c r="W643">
        <f t="shared" si="182"/>
        <v>0</v>
      </c>
      <c r="X643">
        <f t="shared" si="183"/>
        <v>0</v>
      </c>
      <c r="Y643">
        <f t="shared" si="184"/>
        <v>0</v>
      </c>
      <c r="Z643">
        <f t="shared" si="185"/>
        <v>0</v>
      </c>
      <c r="AA643">
        <f>IF($D643="",0,IF($F643&lt;2,0,IF($E643="Win",('Guide &amp; Settings'!$C$42/(($F643-1)*COUNTIFS($A$4:$A$810,$A643,$E$4:$E$810,"Win")))*SUMIFS($Z$4:$Z$810,$A$4:$A$810,$A643,$E$4:$E$810,"Loss"),-('Guide &amp; Settings'!$C$42/($F643-1))*$Z643)))</f>
        <v>0</v>
      </c>
      <c r="AB643" s="120">
        <f t="shared" si="186"/>
        <v>0</v>
      </c>
      <c r="AC643" s="120" t="str">
        <f>IF($D643="","",IF(SUMPRODUCT(MAX(($D$4:$D$810=$D643)*($B$4:$B$810&lt;$B643)*$B$4:$B$810))=0,0,MAX(($B643-MAX(SUMPRODUCT(MAX(($D$4:$D$810=$D643)*($B$4:$B$810&lt;$B643)*$B$4:$B$810)),'Guide &amp; Settings'!$C$50))/7-'Guide &amp; Settings'!$C$48,0)*'Guide &amp; Settings'!$C$49))</f>
        <v/>
      </c>
    </row>
    <row r="644" spans="1:29" x14ac:dyDescent="0.2">
      <c r="A644" s="111"/>
      <c r="B644" s="112"/>
      <c r="C644" s="113"/>
      <c r="D644" s="113"/>
      <c r="E644" s="111"/>
      <c r="F644" s="114">
        <f t="shared" si="170"/>
        <v>0</v>
      </c>
      <c r="G644" s="115" t="str">
        <f t="shared" si="171"/>
        <v/>
      </c>
      <c r="H644" s="116">
        <f>IF($D644="",0,IFERROR(LOOKUP(2,1/(($D$3:D643=$D644)*($A$3:A643&lt;$A644)),$N$3:N643),'Guide &amp; Settings'!$C$41))</f>
        <v>0</v>
      </c>
      <c r="I644" s="117">
        <f t="shared" si="172"/>
        <v>0</v>
      </c>
      <c r="J644" s="118">
        <f>IF($D644="",0,IF($F644&lt;2,0,IF($E644="Win",('Guide &amp; Settings'!$C$42/(($F644-1)*COUNTIFS($A$4:$A$810,$A644,$E$4:$E$810,"Win")))*SUMIFS($X$4:$X$810,$A$4:$A$810,$A644,$E$4:$E$810,"Loss"),-('Guide &amp; Settings'!$C$42/($F644-1))*$X644)))</f>
        <v>0</v>
      </c>
      <c r="K644" s="118">
        <f>IF($D644="",0,'Guide &amp; Settings'!$C$43*(IF($E644="Win",1,0)-$I644))</f>
        <v>0</v>
      </c>
      <c r="L644" s="119">
        <f>IF($D644="",0,'Guide &amp; Settings'!$C$44*IF($F644&gt;=3,$F644,0))</f>
        <v>0</v>
      </c>
      <c r="M644" s="118">
        <f t="shared" si="173"/>
        <v>0</v>
      </c>
      <c r="N644" s="116">
        <f t="shared" si="174"/>
        <v>0</v>
      </c>
      <c r="O644" s="115" t="str">
        <f t="shared" si="175"/>
        <v/>
      </c>
      <c r="P644">
        <f t="shared" si="176"/>
        <v>0</v>
      </c>
      <c r="Q644">
        <f t="shared" si="177"/>
        <v>0</v>
      </c>
      <c r="R644">
        <f t="shared" si="178"/>
        <v>0</v>
      </c>
      <c r="S644">
        <f t="shared" si="179"/>
        <v>0</v>
      </c>
      <c r="T644" s="83">
        <f t="shared" si="180"/>
        <v>0</v>
      </c>
      <c r="U644" s="120">
        <f>IF($D644="",0,IFERROR(LOOKUP(2,1/(($D$3:D643=$D644)*($C$3:C643=$C644)*($A$3:A643&lt;$A644)),$AB$3:AB643),1000))</f>
        <v>0</v>
      </c>
      <c r="V644" s="120">
        <f t="shared" si="181"/>
        <v>0</v>
      </c>
      <c r="W644">
        <f t="shared" si="182"/>
        <v>0</v>
      </c>
      <c r="X644">
        <f t="shared" si="183"/>
        <v>0</v>
      </c>
      <c r="Y644">
        <f t="shared" si="184"/>
        <v>0</v>
      </c>
      <c r="Z644">
        <f t="shared" si="185"/>
        <v>0</v>
      </c>
      <c r="AA644">
        <f>IF($D644="",0,IF($F644&lt;2,0,IF($E644="Win",('Guide &amp; Settings'!$C$42/(($F644-1)*COUNTIFS($A$4:$A$810,$A644,$E$4:$E$810,"Win")))*SUMIFS($Z$4:$Z$810,$A$4:$A$810,$A644,$E$4:$E$810,"Loss"),-('Guide &amp; Settings'!$C$42/($F644-1))*$Z644)))</f>
        <v>0</v>
      </c>
      <c r="AB644" s="120">
        <f t="shared" si="186"/>
        <v>0</v>
      </c>
      <c r="AC644" s="120" t="str">
        <f>IF($D644="","",IF(SUMPRODUCT(MAX(($D$4:$D$810=$D644)*($B$4:$B$810&lt;$B644)*$B$4:$B$810))=0,0,MAX(($B644-MAX(SUMPRODUCT(MAX(($D$4:$D$810=$D644)*($B$4:$B$810&lt;$B644)*$B$4:$B$810)),'Guide &amp; Settings'!$C$50))/7-'Guide &amp; Settings'!$C$48,0)*'Guide &amp; Settings'!$C$49))</f>
        <v/>
      </c>
    </row>
    <row r="645" spans="1:29" x14ac:dyDescent="0.2">
      <c r="A645" s="111"/>
      <c r="B645" s="112"/>
      <c r="C645" s="113"/>
      <c r="D645" s="113"/>
      <c r="E645" s="111"/>
      <c r="F645" s="114">
        <f t="shared" si="170"/>
        <v>0</v>
      </c>
      <c r="G645" s="115" t="str">
        <f t="shared" si="171"/>
        <v/>
      </c>
      <c r="H645" s="116">
        <f>IF($D645="",0,IFERROR(LOOKUP(2,1/(($D$3:D644=$D645)*($A$3:A644&lt;$A645)),$N$3:N644),'Guide &amp; Settings'!$C$41))</f>
        <v>0</v>
      </c>
      <c r="I645" s="117">
        <f t="shared" si="172"/>
        <v>0</v>
      </c>
      <c r="J645" s="118">
        <f>IF($D645="",0,IF($F645&lt;2,0,IF($E645="Win",('Guide &amp; Settings'!$C$42/(($F645-1)*COUNTIFS($A$4:$A$810,$A645,$E$4:$E$810,"Win")))*SUMIFS($X$4:$X$810,$A$4:$A$810,$A645,$E$4:$E$810,"Loss"),-('Guide &amp; Settings'!$C$42/($F645-1))*$X645)))</f>
        <v>0</v>
      </c>
      <c r="K645" s="118">
        <f>IF($D645="",0,'Guide &amp; Settings'!$C$43*(IF($E645="Win",1,0)-$I645))</f>
        <v>0</v>
      </c>
      <c r="L645" s="119">
        <f>IF($D645="",0,'Guide &amp; Settings'!$C$44*IF($F645&gt;=3,$F645,0))</f>
        <v>0</v>
      </c>
      <c r="M645" s="118">
        <f t="shared" si="173"/>
        <v>0</v>
      </c>
      <c r="N645" s="116">
        <f t="shared" si="174"/>
        <v>0</v>
      </c>
      <c r="O645" s="115" t="str">
        <f t="shared" si="175"/>
        <v/>
      </c>
      <c r="P645">
        <f t="shared" si="176"/>
        <v>0</v>
      </c>
      <c r="Q645">
        <f t="shared" si="177"/>
        <v>0</v>
      </c>
      <c r="R645">
        <f t="shared" si="178"/>
        <v>0</v>
      </c>
      <c r="S645">
        <f t="shared" si="179"/>
        <v>0</v>
      </c>
      <c r="T645" s="83">
        <f t="shared" si="180"/>
        <v>0</v>
      </c>
      <c r="U645" s="120">
        <f>IF($D645="",0,IFERROR(LOOKUP(2,1/(($D$3:D644=$D645)*($C$3:C644=$C645)*($A$3:A644&lt;$A645)),$AB$3:AB644),1000))</f>
        <v>0</v>
      </c>
      <c r="V645" s="120">
        <f t="shared" si="181"/>
        <v>0</v>
      </c>
      <c r="W645">
        <f t="shared" si="182"/>
        <v>0</v>
      </c>
      <c r="X645">
        <f t="shared" si="183"/>
        <v>0</v>
      </c>
      <c r="Y645">
        <f t="shared" si="184"/>
        <v>0</v>
      </c>
      <c r="Z645">
        <f t="shared" si="185"/>
        <v>0</v>
      </c>
      <c r="AA645">
        <f>IF($D645="",0,IF($F645&lt;2,0,IF($E645="Win",('Guide &amp; Settings'!$C$42/(($F645-1)*COUNTIFS($A$4:$A$810,$A645,$E$4:$E$810,"Win")))*SUMIFS($Z$4:$Z$810,$A$4:$A$810,$A645,$E$4:$E$810,"Loss"),-('Guide &amp; Settings'!$C$42/($F645-1))*$Z645)))</f>
        <v>0</v>
      </c>
      <c r="AB645" s="120">
        <f t="shared" si="186"/>
        <v>0</v>
      </c>
      <c r="AC645" s="120" t="str">
        <f>IF($D645="","",IF(SUMPRODUCT(MAX(($D$4:$D$810=$D645)*($B$4:$B$810&lt;$B645)*$B$4:$B$810))=0,0,MAX(($B645-MAX(SUMPRODUCT(MAX(($D$4:$D$810=$D645)*($B$4:$B$810&lt;$B645)*$B$4:$B$810)),'Guide &amp; Settings'!$C$50))/7-'Guide &amp; Settings'!$C$48,0)*'Guide &amp; Settings'!$C$49))</f>
        <v/>
      </c>
    </row>
    <row r="646" spans="1:29" x14ac:dyDescent="0.2">
      <c r="A646" s="111"/>
      <c r="B646" s="112"/>
      <c r="C646" s="113"/>
      <c r="D646" s="113"/>
      <c r="E646" s="111"/>
      <c r="F646" s="114">
        <f t="shared" si="170"/>
        <v>0</v>
      </c>
      <c r="G646" s="115" t="str">
        <f t="shared" si="171"/>
        <v/>
      </c>
      <c r="H646" s="116">
        <f>IF($D646="",0,IFERROR(LOOKUP(2,1/(($D$3:D645=$D646)*($A$3:A645&lt;$A646)),$N$3:N645),'Guide &amp; Settings'!$C$41))</f>
        <v>0</v>
      </c>
      <c r="I646" s="117">
        <f t="shared" si="172"/>
        <v>0</v>
      </c>
      <c r="J646" s="118">
        <f>IF($D646="",0,IF($F646&lt;2,0,IF($E646="Win",('Guide &amp; Settings'!$C$42/(($F646-1)*COUNTIFS($A$4:$A$810,$A646,$E$4:$E$810,"Win")))*SUMIFS($X$4:$X$810,$A$4:$A$810,$A646,$E$4:$E$810,"Loss"),-('Guide &amp; Settings'!$C$42/($F646-1))*$X646)))</f>
        <v>0</v>
      </c>
      <c r="K646" s="118">
        <f>IF($D646="",0,'Guide &amp; Settings'!$C$43*(IF($E646="Win",1,0)-$I646))</f>
        <v>0</v>
      </c>
      <c r="L646" s="119">
        <f>IF($D646="",0,'Guide &amp; Settings'!$C$44*IF($F646&gt;=3,$F646,0))</f>
        <v>0</v>
      </c>
      <c r="M646" s="118">
        <f t="shared" si="173"/>
        <v>0</v>
      </c>
      <c r="N646" s="116">
        <f t="shared" si="174"/>
        <v>0</v>
      </c>
      <c r="O646" s="115" t="str">
        <f t="shared" si="175"/>
        <v/>
      </c>
      <c r="P646">
        <f t="shared" si="176"/>
        <v>0</v>
      </c>
      <c r="Q646">
        <f t="shared" si="177"/>
        <v>0</v>
      </c>
      <c r="R646">
        <f t="shared" si="178"/>
        <v>0</v>
      </c>
      <c r="S646">
        <f t="shared" si="179"/>
        <v>0</v>
      </c>
      <c r="T646" s="83">
        <f t="shared" si="180"/>
        <v>0</v>
      </c>
      <c r="U646" s="120">
        <f>IF($D646="",0,IFERROR(LOOKUP(2,1/(($D$3:D645=$D646)*($C$3:C645=$C646)*($A$3:A645&lt;$A646)),$AB$3:AB645),1000))</f>
        <v>0</v>
      </c>
      <c r="V646" s="120">
        <f t="shared" si="181"/>
        <v>0</v>
      </c>
      <c r="W646">
        <f t="shared" si="182"/>
        <v>0</v>
      </c>
      <c r="X646">
        <f t="shared" si="183"/>
        <v>0</v>
      </c>
      <c r="Y646">
        <f t="shared" si="184"/>
        <v>0</v>
      </c>
      <c r="Z646">
        <f t="shared" si="185"/>
        <v>0</v>
      </c>
      <c r="AA646">
        <f>IF($D646="",0,IF($F646&lt;2,0,IF($E646="Win",('Guide &amp; Settings'!$C$42/(($F646-1)*COUNTIFS($A$4:$A$810,$A646,$E$4:$E$810,"Win")))*SUMIFS($Z$4:$Z$810,$A$4:$A$810,$A646,$E$4:$E$810,"Loss"),-('Guide &amp; Settings'!$C$42/($F646-1))*$Z646)))</f>
        <v>0</v>
      </c>
      <c r="AB646" s="120">
        <f t="shared" si="186"/>
        <v>0</v>
      </c>
      <c r="AC646" s="120" t="str">
        <f>IF($D646="","",IF(SUMPRODUCT(MAX(($D$4:$D$810=$D646)*($B$4:$B$810&lt;$B646)*$B$4:$B$810))=0,0,MAX(($B646-MAX(SUMPRODUCT(MAX(($D$4:$D$810=$D646)*($B$4:$B$810&lt;$B646)*$B$4:$B$810)),'Guide &amp; Settings'!$C$50))/7-'Guide &amp; Settings'!$C$48,0)*'Guide &amp; Settings'!$C$49))</f>
        <v/>
      </c>
    </row>
    <row r="647" spans="1:29" x14ac:dyDescent="0.2">
      <c r="A647" s="111"/>
      <c r="B647" s="112"/>
      <c r="C647" s="113"/>
      <c r="D647" s="113"/>
      <c r="E647" s="111"/>
      <c r="F647" s="114">
        <f t="shared" si="170"/>
        <v>0</v>
      </c>
      <c r="G647" s="115" t="str">
        <f t="shared" si="171"/>
        <v/>
      </c>
      <c r="H647" s="116">
        <f>IF($D647="",0,IFERROR(LOOKUP(2,1/(($D$3:D646=$D647)*($A$3:A646&lt;$A647)),$N$3:N646),'Guide &amp; Settings'!$C$41))</f>
        <v>0</v>
      </c>
      <c r="I647" s="117">
        <f t="shared" si="172"/>
        <v>0</v>
      </c>
      <c r="J647" s="118">
        <f>IF($D647="",0,IF($F647&lt;2,0,IF($E647="Win",('Guide &amp; Settings'!$C$42/(($F647-1)*COUNTIFS($A$4:$A$810,$A647,$E$4:$E$810,"Win")))*SUMIFS($X$4:$X$810,$A$4:$A$810,$A647,$E$4:$E$810,"Loss"),-('Guide &amp; Settings'!$C$42/($F647-1))*$X647)))</f>
        <v>0</v>
      </c>
      <c r="K647" s="118">
        <f>IF($D647="",0,'Guide &amp; Settings'!$C$43*(IF($E647="Win",1,0)-$I647))</f>
        <v>0</v>
      </c>
      <c r="L647" s="119">
        <f>IF($D647="",0,'Guide &amp; Settings'!$C$44*IF($F647&gt;=3,$F647,0))</f>
        <v>0</v>
      </c>
      <c r="M647" s="118">
        <f t="shared" si="173"/>
        <v>0</v>
      </c>
      <c r="N647" s="116">
        <f t="shared" si="174"/>
        <v>0</v>
      </c>
      <c r="O647" s="115" t="str">
        <f t="shared" si="175"/>
        <v/>
      </c>
      <c r="P647">
        <f t="shared" si="176"/>
        <v>0</v>
      </c>
      <c r="Q647">
        <f t="shared" si="177"/>
        <v>0</v>
      </c>
      <c r="R647">
        <f t="shared" si="178"/>
        <v>0</v>
      </c>
      <c r="S647">
        <f t="shared" si="179"/>
        <v>0</v>
      </c>
      <c r="T647" s="83">
        <f t="shared" si="180"/>
        <v>0</v>
      </c>
      <c r="U647" s="120">
        <f>IF($D647="",0,IFERROR(LOOKUP(2,1/(($D$3:D646=$D647)*($C$3:C646=$C647)*($A$3:A646&lt;$A647)),$AB$3:AB646),1000))</f>
        <v>0</v>
      </c>
      <c r="V647" s="120">
        <f t="shared" si="181"/>
        <v>0</v>
      </c>
      <c r="W647">
        <f t="shared" si="182"/>
        <v>0</v>
      </c>
      <c r="X647">
        <f t="shared" si="183"/>
        <v>0</v>
      </c>
      <c r="Y647">
        <f t="shared" si="184"/>
        <v>0</v>
      </c>
      <c r="Z647">
        <f t="shared" si="185"/>
        <v>0</v>
      </c>
      <c r="AA647">
        <f>IF($D647="",0,IF($F647&lt;2,0,IF($E647="Win",('Guide &amp; Settings'!$C$42/(($F647-1)*COUNTIFS($A$4:$A$810,$A647,$E$4:$E$810,"Win")))*SUMIFS($Z$4:$Z$810,$A$4:$A$810,$A647,$E$4:$E$810,"Loss"),-('Guide &amp; Settings'!$C$42/($F647-1))*$Z647)))</f>
        <v>0</v>
      </c>
      <c r="AB647" s="120">
        <f t="shared" si="186"/>
        <v>0</v>
      </c>
      <c r="AC647" s="120" t="str">
        <f>IF($D647="","",IF(SUMPRODUCT(MAX(($D$4:$D$810=$D647)*($B$4:$B$810&lt;$B647)*$B$4:$B$810))=0,0,MAX(($B647-MAX(SUMPRODUCT(MAX(($D$4:$D$810=$D647)*($B$4:$B$810&lt;$B647)*$B$4:$B$810)),'Guide &amp; Settings'!$C$50))/7-'Guide &amp; Settings'!$C$48,0)*'Guide &amp; Settings'!$C$49))</f>
        <v/>
      </c>
    </row>
    <row r="648" spans="1:29" x14ac:dyDescent="0.2">
      <c r="A648" s="111"/>
      <c r="B648" s="112"/>
      <c r="C648" s="113"/>
      <c r="D648" s="113"/>
      <c r="E648" s="111"/>
      <c r="F648" s="114">
        <f t="shared" si="170"/>
        <v>0</v>
      </c>
      <c r="G648" s="115" t="str">
        <f t="shared" si="171"/>
        <v/>
      </c>
      <c r="H648" s="116">
        <f>IF($D648="",0,IFERROR(LOOKUP(2,1/(($D$3:D647=$D648)*($A$3:A647&lt;$A648)),$N$3:N647),'Guide &amp; Settings'!$C$41))</f>
        <v>0</v>
      </c>
      <c r="I648" s="117">
        <f t="shared" si="172"/>
        <v>0</v>
      </c>
      <c r="J648" s="118">
        <f>IF($D648="",0,IF($F648&lt;2,0,IF($E648="Win",('Guide &amp; Settings'!$C$42/(($F648-1)*COUNTIFS($A$4:$A$810,$A648,$E$4:$E$810,"Win")))*SUMIFS($X$4:$X$810,$A$4:$A$810,$A648,$E$4:$E$810,"Loss"),-('Guide &amp; Settings'!$C$42/($F648-1))*$X648)))</f>
        <v>0</v>
      </c>
      <c r="K648" s="118">
        <f>IF($D648="",0,'Guide &amp; Settings'!$C$43*(IF($E648="Win",1,0)-$I648))</f>
        <v>0</v>
      </c>
      <c r="L648" s="119">
        <f>IF($D648="",0,'Guide &amp; Settings'!$C$44*IF($F648&gt;=3,$F648,0))</f>
        <v>0</v>
      </c>
      <c r="M648" s="118">
        <f t="shared" si="173"/>
        <v>0</v>
      </c>
      <c r="N648" s="116">
        <f t="shared" si="174"/>
        <v>0</v>
      </c>
      <c r="O648" s="115" t="str">
        <f t="shared" si="175"/>
        <v/>
      </c>
      <c r="P648">
        <f t="shared" si="176"/>
        <v>0</v>
      </c>
      <c r="Q648">
        <f t="shared" si="177"/>
        <v>0</v>
      </c>
      <c r="R648">
        <f t="shared" si="178"/>
        <v>0</v>
      </c>
      <c r="S648">
        <f t="shared" si="179"/>
        <v>0</v>
      </c>
      <c r="T648" s="83">
        <f t="shared" si="180"/>
        <v>0</v>
      </c>
      <c r="U648" s="120">
        <f>IF($D648="",0,IFERROR(LOOKUP(2,1/(($D$3:D647=$D648)*($C$3:C647=$C648)*($A$3:A647&lt;$A648)),$AB$3:AB647),1000))</f>
        <v>0</v>
      </c>
      <c r="V648" s="120">
        <f t="shared" si="181"/>
        <v>0</v>
      </c>
      <c r="W648">
        <f t="shared" si="182"/>
        <v>0</v>
      </c>
      <c r="X648">
        <f t="shared" si="183"/>
        <v>0</v>
      </c>
      <c r="Y648">
        <f t="shared" si="184"/>
        <v>0</v>
      </c>
      <c r="Z648">
        <f t="shared" si="185"/>
        <v>0</v>
      </c>
      <c r="AA648">
        <f>IF($D648="",0,IF($F648&lt;2,0,IF($E648="Win",('Guide &amp; Settings'!$C$42/(($F648-1)*COUNTIFS($A$4:$A$810,$A648,$E$4:$E$810,"Win")))*SUMIFS($Z$4:$Z$810,$A$4:$A$810,$A648,$E$4:$E$810,"Loss"),-('Guide &amp; Settings'!$C$42/($F648-1))*$Z648)))</f>
        <v>0</v>
      </c>
      <c r="AB648" s="120">
        <f t="shared" si="186"/>
        <v>0</v>
      </c>
      <c r="AC648" s="120" t="str">
        <f>IF($D648="","",IF(SUMPRODUCT(MAX(($D$4:$D$810=$D648)*($B$4:$B$810&lt;$B648)*$B$4:$B$810))=0,0,MAX(($B648-MAX(SUMPRODUCT(MAX(($D$4:$D$810=$D648)*($B$4:$B$810&lt;$B648)*$B$4:$B$810)),'Guide &amp; Settings'!$C$50))/7-'Guide &amp; Settings'!$C$48,0)*'Guide &amp; Settings'!$C$49))</f>
        <v/>
      </c>
    </row>
    <row r="649" spans="1:29" x14ac:dyDescent="0.2">
      <c r="A649" s="111"/>
      <c r="B649" s="112"/>
      <c r="C649" s="113"/>
      <c r="D649" s="113"/>
      <c r="E649" s="111"/>
      <c r="F649" s="114">
        <f t="shared" si="170"/>
        <v>0</v>
      </c>
      <c r="G649" s="115" t="str">
        <f t="shared" si="171"/>
        <v/>
      </c>
      <c r="H649" s="116">
        <f>IF($D649="",0,IFERROR(LOOKUP(2,1/(($D$3:D648=$D649)*($A$3:A648&lt;$A649)),$N$3:N648),'Guide &amp; Settings'!$C$41))</f>
        <v>0</v>
      </c>
      <c r="I649" s="117">
        <f t="shared" si="172"/>
        <v>0</v>
      </c>
      <c r="J649" s="118">
        <f>IF($D649="",0,IF($F649&lt;2,0,IF($E649="Win",('Guide &amp; Settings'!$C$42/(($F649-1)*COUNTIFS($A$4:$A$810,$A649,$E$4:$E$810,"Win")))*SUMIFS($X$4:$X$810,$A$4:$A$810,$A649,$E$4:$E$810,"Loss"),-('Guide &amp; Settings'!$C$42/($F649-1))*$X649)))</f>
        <v>0</v>
      </c>
      <c r="K649" s="118">
        <f>IF($D649="",0,'Guide &amp; Settings'!$C$43*(IF($E649="Win",1,0)-$I649))</f>
        <v>0</v>
      </c>
      <c r="L649" s="119">
        <f>IF($D649="",0,'Guide &amp; Settings'!$C$44*IF($F649&gt;=3,$F649,0))</f>
        <v>0</v>
      </c>
      <c r="M649" s="118">
        <f t="shared" si="173"/>
        <v>0</v>
      </c>
      <c r="N649" s="116">
        <f t="shared" si="174"/>
        <v>0</v>
      </c>
      <c r="O649" s="115" t="str">
        <f t="shared" si="175"/>
        <v/>
      </c>
      <c r="P649">
        <f t="shared" si="176"/>
        <v>0</v>
      </c>
      <c r="Q649">
        <f t="shared" si="177"/>
        <v>0</v>
      </c>
      <c r="R649">
        <f t="shared" si="178"/>
        <v>0</v>
      </c>
      <c r="S649">
        <f t="shared" si="179"/>
        <v>0</v>
      </c>
      <c r="T649" s="83">
        <f t="shared" si="180"/>
        <v>0</v>
      </c>
      <c r="U649" s="120">
        <f>IF($D649="",0,IFERROR(LOOKUP(2,1/(($D$3:D648=$D649)*($C$3:C648=$C649)*($A$3:A648&lt;$A649)),$AB$3:AB648),1000))</f>
        <v>0</v>
      </c>
      <c r="V649" s="120">
        <f t="shared" si="181"/>
        <v>0</v>
      </c>
      <c r="W649">
        <f t="shared" si="182"/>
        <v>0</v>
      </c>
      <c r="X649">
        <f t="shared" si="183"/>
        <v>0</v>
      </c>
      <c r="Y649">
        <f t="shared" si="184"/>
        <v>0</v>
      </c>
      <c r="Z649">
        <f t="shared" si="185"/>
        <v>0</v>
      </c>
      <c r="AA649">
        <f>IF($D649="",0,IF($F649&lt;2,0,IF($E649="Win",('Guide &amp; Settings'!$C$42/(($F649-1)*COUNTIFS($A$4:$A$810,$A649,$E$4:$E$810,"Win")))*SUMIFS($Z$4:$Z$810,$A$4:$A$810,$A649,$E$4:$E$810,"Loss"),-('Guide &amp; Settings'!$C$42/($F649-1))*$Z649)))</f>
        <v>0</v>
      </c>
      <c r="AB649" s="120">
        <f t="shared" si="186"/>
        <v>0</v>
      </c>
      <c r="AC649" s="120" t="str">
        <f>IF($D649="","",IF(SUMPRODUCT(MAX(($D$4:$D$810=$D649)*($B$4:$B$810&lt;$B649)*$B$4:$B$810))=0,0,MAX(($B649-MAX(SUMPRODUCT(MAX(($D$4:$D$810=$D649)*($B$4:$B$810&lt;$B649)*$B$4:$B$810)),'Guide &amp; Settings'!$C$50))/7-'Guide &amp; Settings'!$C$48,0)*'Guide &amp; Settings'!$C$49))</f>
        <v/>
      </c>
    </row>
    <row r="650" spans="1:29" x14ac:dyDescent="0.2">
      <c r="A650" s="111"/>
      <c r="B650" s="112"/>
      <c r="C650" s="113"/>
      <c r="D650" s="113"/>
      <c r="E650" s="111"/>
      <c r="F650" s="114">
        <f t="shared" si="170"/>
        <v>0</v>
      </c>
      <c r="G650" s="115" t="str">
        <f t="shared" si="171"/>
        <v/>
      </c>
      <c r="H650" s="116">
        <f>IF($D650="",0,IFERROR(LOOKUP(2,1/(($D$3:D649=$D650)*($A$3:A649&lt;$A650)),$N$3:N649),'Guide &amp; Settings'!$C$41))</f>
        <v>0</v>
      </c>
      <c r="I650" s="117">
        <f t="shared" si="172"/>
        <v>0</v>
      </c>
      <c r="J650" s="118">
        <f>IF($D650="",0,IF($F650&lt;2,0,IF($E650="Win",('Guide &amp; Settings'!$C$42/(($F650-1)*COUNTIFS($A$4:$A$810,$A650,$E$4:$E$810,"Win")))*SUMIFS($X$4:$X$810,$A$4:$A$810,$A650,$E$4:$E$810,"Loss"),-('Guide &amp; Settings'!$C$42/($F650-1))*$X650)))</f>
        <v>0</v>
      </c>
      <c r="K650" s="118">
        <f>IF($D650="",0,'Guide &amp; Settings'!$C$43*(IF($E650="Win",1,0)-$I650))</f>
        <v>0</v>
      </c>
      <c r="L650" s="119">
        <f>IF($D650="",0,'Guide &amp; Settings'!$C$44*IF($F650&gt;=3,$F650,0))</f>
        <v>0</v>
      </c>
      <c r="M650" s="118">
        <f t="shared" si="173"/>
        <v>0</v>
      </c>
      <c r="N650" s="116">
        <f t="shared" si="174"/>
        <v>0</v>
      </c>
      <c r="O650" s="115" t="str">
        <f t="shared" si="175"/>
        <v/>
      </c>
      <c r="P650">
        <f t="shared" si="176"/>
        <v>0</v>
      </c>
      <c r="Q650">
        <f t="shared" si="177"/>
        <v>0</v>
      </c>
      <c r="R650">
        <f t="shared" si="178"/>
        <v>0</v>
      </c>
      <c r="S650">
        <f t="shared" si="179"/>
        <v>0</v>
      </c>
      <c r="T650" s="83">
        <f t="shared" si="180"/>
        <v>0</v>
      </c>
      <c r="U650" s="120">
        <f>IF($D650="",0,IFERROR(LOOKUP(2,1/(($D$3:D649=$D650)*($C$3:C649=$C650)*($A$3:A649&lt;$A650)),$AB$3:AB649),1000))</f>
        <v>0</v>
      </c>
      <c r="V650" s="120">
        <f t="shared" si="181"/>
        <v>0</v>
      </c>
      <c r="W650">
        <f t="shared" si="182"/>
        <v>0</v>
      </c>
      <c r="X650">
        <f t="shared" si="183"/>
        <v>0</v>
      </c>
      <c r="Y650">
        <f t="shared" si="184"/>
        <v>0</v>
      </c>
      <c r="Z650">
        <f t="shared" si="185"/>
        <v>0</v>
      </c>
      <c r="AA650">
        <f>IF($D650="",0,IF($F650&lt;2,0,IF($E650="Win",('Guide &amp; Settings'!$C$42/(($F650-1)*COUNTIFS($A$4:$A$810,$A650,$E$4:$E$810,"Win")))*SUMIFS($Z$4:$Z$810,$A$4:$A$810,$A650,$E$4:$E$810,"Loss"),-('Guide &amp; Settings'!$C$42/($F650-1))*$Z650)))</f>
        <v>0</v>
      </c>
      <c r="AB650" s="120">
        <f t="shared" si="186"/>
        <v>0</v>
      </c>
      <c r="AC650" s="120" t="str">
        <f>IF($D650="","",IF(SUMPRODUCT(MAX(($D$4:$D$810=$D650)*($B$4:$B$810&lt;$B650)*$B$4:$B$810))=0,0,MAX(($B650-MAX(SUMPRODUCT(MAX(($D$4:$D$810=$D650)*($B$4:$B$810&lt;$B650)*$B$4:$B$810)),'Guide &amp; Settings'!$C$50))/7-'Guide &amp; Settings'!$C$48,0)*'Guide &amp; Settings'!$C$49))</f>
        <v/>
      </c>
    </row>
    <row r="651" spans="1:29" x14ac:dyDescent="0.2">
      <c r="A651" s="111"/>
      <c r="B651" s="112"/>
      <c r="C651" s="113"/>
      <c r="D651" s="113"/>
      <c r="E651" s="111"/>
      <c r="F651" s="114">
        <f t="shared" si="170"/>
        <v>0</v>
      </c>
      <c r="G651" s="115" t="str">
        <f t="shared" si="171"/>
        <v/>
      </c>
      <c r="H651" s="116">
        <f>IF($D651="",0,IFERROR(LOOKUP(2,1/(($D$3:D650=$D651)*($A$3:A650&lt;$A651)),$N$3:N650),'Guide &amp; Settings'!$C$41))</f>
        <v>0</v>
      </c>
      <c r="I651" s="117">
        <f t="shared" si="172"/>
        <v>0</v>
      </c>
      <c r="J651" s="118">
        <f>IF($D651="",0,IF($F651&lt;2,0,IF($E651="Win",('Guide &amp; Settings'!$C$42/(($F651-1)*COUNTIFS($A$4:$A$810,$A651,$E$4:$E$810,"Win")))*SUMIFS($X$4:$X$810,$A$4:$A$810,$A651,$E$4:$E$810,"Loss"),-('Guide &amp; Settings'!$C$42/($F651-1))*$X651)))</f>
        <v>0</v>
      </c>
      <c r="K651" s="118">
        <f>IF($D651="",0,'Guide &amp; Settings'!$C$43*(IF($E651="Win",1,0)-$I651))</f>
        <v>0</v>
      </c>
      <c r="L651" s="119">
        <f>IF($D651="",0,'Guide &amp; Settings'!$C$44*IF($F651&gt;=3,$F651,0))</f>
        <v>0</v>
      </c>
      <c r="M651" s="118">
        <f t="shared" si="173"/>
        <v>0</v>
      </c>
      <c r="N651" s="116">
        <f t="shared" si="174"/>
        <v>0</v>
      </c>
      <c r="O651" s="115" t="str">
        <f t="shared" si="175"/>
        <v/>
      </c>
      <c r="P651">
        <f t="shared" si="176"/>
        <v>0</v>
      </c>
      <c r="Q651">
        <f t="shared" si="177"/>
        <v>0</v>
      </c>
      <c r="R651">
        <f t="shared" si="178"/>
        <v>0</v>
      </c>
      <c r="S651">
        <f t="shared" si="179"/>
        <v>0</v>
      </c>
      <c r="T651" s="83">
        <f t="shared" si="180"/>
        <v>0</v>
      </c>
      <c r="U651" s="120">
        <f>IF($D651="",0,IFERROR(LOOKUP(2,1/(($D$3:D650=$D651)*($C$3:C650=$C651)*($A$3:A650&lt;$A651)),$AB$3:AB650),1000))</f>
        <v>0</v>
      </c>
      <c r="V651" s="120">
        <f t="shared" si="181"/>
        <v>0</v>
      </c>
      <c r="W651">
        <f t="shared" si="182"/>
        <v>0</v>
      </c>
      <c r="X651">
        <f t="shared" si="183"/>
        <v>0</v>
      </c>
      <c r="Y651">
        <f t="shared" si="184"/>
        <v>0</v>
      </c>
      <c r="Z651">
        <f t="shared" si="185"/>
        <v>0</v>
      </c>
      <c r="AA651">
        <f>IF($D651="",0,IF($F651&lt;2,0,IF($E651="Win",('Guide &amp; Settings'!$C$42/(($F651-1)*COUNTIFS($A$4:$A$810,$A651,$E$4:$E$810,"Win")))*SUMIFS($Z$4:$Z$810,$A$4:$A$810,$A651,$E$4:$E$810,"Loss"),-('Guide &amp; Settings'!$C$42/($F651-1))*$Z651)))</f>
        <v>0</v>
      </c>
      <c r="AB651" s="120">
        <f t="shared" si="186"/>
        <v>0</v>
      </c>
      <c r="AC651" s="120" t="str">
        <f>IF($D651="","",IF(SUMPRODUCT(MAX(($D$4:$D$810=$D651)*($B$4:$B$810&lt;$B651)*$B$4:$B$810))=0,0,MAX(($B651-MAX(SUMPRODUCT(MAX(($D$4:$D$810=$D651)*($B$4:$B$810&lt;$B651)*$B$4:$B$810)),'Guide &amp; Settings'!$C$50))/7-'Guide &amp; Settings'!$C$48,0)*'Guide &amp; Settings'!$C$49))</f>
        <v/>
      </c>
    </row>
    <row r="652" spans="1:29" x14ac:dyDescent="0.2">
      <c r="A652" s="111"/>
      <c r="B652" s="112"/>
      <c r="C652" s="113"/>
      <c r="D652" s="113"/>
      <c r="E652" s="111"/>
      <c r="F652" s="114">
        <f t="shared" si="170"/>
        <v>0</v>
      </c>
      <c r="G652" s="115" t="str">
        <f t="shared" si="171"/>
        <v/>
      </c>
      <c r="H652" s="116">
        <f>IF($D652="",0,IFERROR(LOOKUP(2,1/(($D$3:D651=$D652)*($A$3:A651&lt;$A652)),$N$3:N651),'Guide &amp; Settings'!$C$41))</f>
        <v>0</v>
      </c>
      <c r="I652" s="117">
        <f t="shared" si="172"/>
        <v>0</v>
      </c>
      <c r="J652" s="118">
        <f>IF($D652="",0,IF($F652&lt;2,0,IF($E652="Win",('Guide &amp; Settings'!$C$42/(($F652-1)*COUNTIFS($A$4:$A$810,$A652,$E$4:$E$810,"Win")))*SUMIFS($X$4:$X$810,$A$4:$A$810,$A652,$E$4:$E$810,"Loss"),-('Guide &amp; Settings'!$C$42/($F652-1))*$X652)))</f>
        <v>0</v>
      </c>
      <c r="K652" s="118">
        <f>IF($D652="",0,'Guide &amp; Settings'!$C$43*(IF($E652="Win",1,0)-$I652))</f>
        <v>0</v>
      </c>
      <c r="L652" s="119">
        <f>IF($D652="",0,'Guide &amp; Settings'!$C$44*IF($F652&gt;=3,$F652,0))</f>
        <v>0</v>
      </c>
      <c r="M652" s="118">
        <f t="shared" si="173"/>
        <v>0</v>
      </c>
      <c r="N652" s="116">
        <f t="shared" si="174"/>
        <v>0</v>
      </c>
      <c r="O652" s="115" t="str">
        <f t="shared" si="175"/>
        <v/>
      </c>
      <c r="P652">
        <f t="shared" si="176"/>
        <v>0</v>
      </c>
      <c r="Q652">
        <f t="shared" si="177"/>
        <v>0</v>
      </c>
      <c r="R652">
        <f t="shared" si="178"/>
        <v>0</v>
      </c>
      <c r="S652">
        <f t="shared" si="179"/>
        <v>0</v>
      </c>
      <c r="T652" s="83">
        <f t="shared" si="180"/>
        <v>0</v>
      </c>
      <c r="U652" s="120">
        <f>IF($D652="",0,IFERROR(LOOKUP(2,1/(($D$3:D651=$D652)*($C$3:C651=$C652)*($A$3:A651&lt;$A652)),$AB$3:AB651),1000))</f>
        <v>0</v>
      </c>
      <c r="V652" s="120">
        <f t="shared" si="181"/>
        <v>0</v>
      </c>
      <c r="W652">
        <f t="shared" si="182"/>
        <v>0</v>
      </c>
      <c r="X652">
        <f t="shared" si="183"/>
        <v>0</v>
      </c>
      <c r="Y652">
        <f t="shared" si="184"/>
        <v>0</v>
      </c>
      <c r="Z652">
        <f t="shared" si="185"/>
        <v>0</v>
      </c>
      <c r="AA652">
        <f>IF($D652="",0,IF($F652&lt;2,0,IF($E652="Win",('Guide &amp; Settings'!$C$42/(($F652-1)*COUNTIFS($A$4:$A$810,$A652,$E$4:$E$810,"Win")))*SUMIFS($Z$4:$Z$810,$A$4:$A$810,$A652,$E$4:$E$810,"Loss"),-('Guide &amp; Settings'!$C$42/($F652-1))*$Z652)))</f>
        <v>0</v>
      </c>
      <c r="AB652" s="120">
        <f t="shared" si="186"/>
        <v>0</v>
      </c>
      <c r="AC652" s="120" t="str">
        <f>IF($D652="","",IF(SUMPRODUCT(MAX(($D$4:$D$810=$D652)*($B$4:$B$810&lt;$B652)*$B$4:$B$810))=0,0,MAX(($B652-MAX(SUMPRODUCT(MAX(($D$4:$D$810=$D652)*($B$4:$B$810&lt;$B652)*$B$4:$B$810)),'Guide &amp; Settings'!$C$50))/7-'Guide &amp; Settings'!$C$48,0)*'Guide &amp; Settings'!$C$49))</f>
        <v/>
      </c>
    </row>
    <row r="653" spans="1:29" x14ac:dyDescent="0.2">
      <c r="A653" s="111"/>
      <c r="B653" s="112"/>
      <c r="C653" s="113"/>
      <c r="D653" s="113"/>
      <c r="E653" s="111"/>
      <c r="F653" s="114">
        <f t="shared" si="170"/>
        <v>0</v>
      </c>
      <c r="G653" s="115" t="str">
        <f t="shared" si="171"/>
        <v/>
      </c>
      <c r="H653" s="116">
        <f>IF($D653="",0,IFERROR(LOOKUP(2,1/(($D$3:D652=$D653)*($A$3:A652&lt;$A653)),$N$3:N652),'Guide &amp; Settings'!$C$41))</f>
        <v>0</v>
      </c>
      <c r="I653" s="117">
        <f t="shared" si="172"/>
        <v>0</v>
      </c>
      <c r="J653" s="118">
        <f>IF($D653="",0,IF($F653&lt;2,0,IF($E653="Win",('Guide &amp; Settings'!$C$42/(($F653-1)*COUNTIFS($A$4:$A$810,$A653,$E$4:$E$810,"Win")))*SUMIFS($X$4:$X$810,$A$4:$A$810,$A653,$E$4:$E$810,"Loss"),-('Guide &amp; Settings'!$C$42/($F653-1))*$X653)))</f>
        <v>0</v>
      </c>
      <c r="K653" s="118">
        <f>IF($D653="",0,'Guide &amp; Settings'!$C$43*(IF($E653="Win",1,0)-$I653))</f>
        <v>0</v>
      </c>
      <c r="L653" s="119">
        <f>IF($D653="",0,'Guide &amp; Settings'!$C$44*IF($F653&gt;=3,$F653,0))</f>
        <v>0</v>
      </c>
      <c r="M653" s="118">
        <f t="shared" si="173"/>
        <v>0</v>
      </c>
      <c r="N653" s="116">
        <f t="shared" si="174"/>
        <v>0</v>
      </c>
      <c r="O653" s="115" t="str">
        <f t="shared" si="175"/>
        <v/>
      </c>
      <c r="P653">
        <f t="shared" si="176"/>
        <v>0</v>
      </c>
      <c r="Q653">
        <f t="shared" si="177"/>
        <v>0</v>
      </c>
      <c r="R653">
        <f t="shared" si="178"/>
        <v>0</v>
      </c>
      <c r="S653">
        <f t="shared" si="179"/>
        <v>0</v>
      </c>
      <c r="T653" s="83">
        <f t="shared" si="180"/>
        <v>0</v>
      </c>
      <c r="U653" s="120">
        <f>IF($D653="",0,IFERROR(LOOKUP(2,1/(($D$3:D652=$D653)*($C$3:C652=$C653)*($A$3:A652&lt;$A653)),$AB$3:AB652),1000))</f>
        <v>0</v>
      </c>
      <c r="V653" s="120">
        <f t="shared" si="181"/>
        <v>0</v>
      </c>
      <c r="W653">
        <f t="shared" si="182"/>
        <v>0</v>
      </c>
      <c r="X653">
        <f t="shared" si="183"/>
        <v>0</v>
      </c>
      <c r="Y653">
        <f t="shared" si="184"/>
        <v>0</v>
      </c>
      <c r="Z653">
        <f t="shared" si="185"/>
        <v>0</v>
      </c>
      <c r="AA653">
        <f>IF($D653="",0,IF($F653&lt;2,0,IF($E653="Win",('Guide &amp; Settings'!$C$42/(($F653-1)*COUNTIFS($A$4:$A$810,$A653,$E$4:$E$810,"Win")))*SUMIFS($Z$4:$Z$810,$A$4:$A$810,$A653,$E$4:$E$810,"Loss"),-('Guide &amp; Settings'!$C$42/($F653-1))*$Z653)))</f>
        <v>0</v>
      </c>
      <c r="AB653" s="120">
        <f t="shared" si="186"/>
        <v>0</v>
      </c>
      <c r="AC653" s="120" t="str">
        <f>IF($D653="","",IF(SUMPRODUCT(MAX(($D$4:$D$810=$D653)*($B$4:$B$810&lt;$B653)*$B$4:$B$810))=0,0,MAX(($B653-MAX(SUMPRODUCT(MAX(($D$4:$D$810=$D653)*($B$4:$B$810&lt;$B653)*$B$4:$B$810)),'Guide &amp; Settings'!$C$50))/7-'Guide &amp; Settings'!$C$48,0)*'Guide &amp; Settings'!$C$49))</f>
        <v/>
      </c>
    </row>
    <row r="654" spans="1:29" x14ac:dyDescent="0.2">
      <c r="A654" s="111"/>
      <c r="B654" s="112"/>
      <c r="C654" s="113"/>
      <c r="D654" s="113"/>
      <c r="E654" s="111"/>
      <c r="F654" s="114">
        <f t="shared" si="170"/>
        <v>0</v>
      </c>
      <c r="G654" s="115" t="str">
        <f t="shared" si="171"/>
        <v/>
      </c>
      <c r="H654" s="116">
        <f>IF($D654="",0,IFERROR(LOOKUP(2,1/(($D$3:D653=$D654)*($A$3:A653&lt;$A654)),$N$3:N653),'Guide &amp; Settings'!$C$41))</f>
        <v>0</v>
      </c>
      <c r="I654" s="117">
        <f t="shared" si="172"/>
        <v>0</v>
      </c>
      <c r="J654" s="118">
        <f>IF($D654="",0,IF($F654&lt;2,0,IF($E654="Win",('Guide &amp; Settings'!$C$42/(($F654-1)*COUNTIFS($A$4:$A$810,$A654,$E$4:$E$810,"Win")))*SUMIFS($X$4:$X$810,$A$4:$A$810,$A654,$E$4:$E$810,"Loss"),-('Guide &amp; Settings'!$C$42/($F654-1))*$X654)))</f>
        <v>0</v>
      </c>
      <c r="K654" s="118">
        <f>IF($D654="",0,'Guide &amp; Settings'!$C$43*(IF($E654="Win",1,0)-$I654))</f>
        <v>0</v>
      </c>
      <c r="L654" s="119">
        <f>IF($D654="",0,'Guide &amp; Settings'!$C$44*IF($F654&gt;=3,$F654,0))</f>
        <v>0</v>
      </c>
      <c r="M654" s="118">
        <f t="shared" si="173"/>
        <v>0</v>
      </c>
      <c r="N654" s="116">
        <f t="shared" si="174"/>
        <v>0</v>
      </c>
      <c r="O654" s="115" t="str">
        <f t="shared" si="175"/>
        <v/>
      </c>
      <c r="P654">
        <f t="shared" si="176"/>
        <v>0</v>
      </c>
      <c r="Q654">
        <f t="shared" si="177"/>
        <v>0</v>
      </c>
      <c r="R654">
        <f t="shared" si="178"/>
        <v>0</v>
      </c>
      <c r="S654">
        <f t="shared" si="179"/>
        <v>0</v>
      </c>
      <c r="T654" s="83">
        <f t="shared" si="180"/>
        <v>0</v>
      </c>
      <c r="U654" s="120">
        <f>IF($D654="",0,IFERROR(LOOKUP(2,1/(($D$3:D653=$D654)*($C$3:C653=$C654)*($A$3:A653&lt;$A654)),$AB$3:AB653),1000))</f>
        <v>0</v>
      </c>
      <c r="V654" s="120">
        <f t="shared" si="181"/>
        <v>0</v>
      </c>
      <c r="W654">
        <f t="shared" si="182"/>
        <v>0</v>
      </c>
      <c r="X654">
        <f t="shared" si="183"/>
        <v>0</v>
      </c>
      <c r="Y654">
        <f t="shared" si="184"/>
        <v>0</v>
      </c>
      <c r="Z654">
        <f t="shared" si="185"/>
        <v>0</v>
      </c>
      <c r="AA654">
        <f>IF($D654="",0,IF($F654&lt;2,0,IF($E654="Win",('Guide &amp; Settings'!$C$42/(($F654-1)*COUNTIFS($A$4:$A$810,$A654,$E$4:$E$810,"Win")))*SUMIFS($Z$4:$Z$810,$A$4:$A$810,$A654,$E$4:$E$810,"Loss"),-('Guide &amp; Settings'!$C$42/($F654-1))*$Z654)))</f>
        <v>0</v>
      </c>
      <c r="AB654" s="120">
        <f t="shared" si="186"/>
        <v>0</v>
      </c>
      <c r="AC654" s="120" t="str">
        <f>IF($D654="","",IF(SUMPRODUCT(MAX(($D$4:$D$810=$D654)*($B$4:$B$810&lt;$B654)*$B$4:$B$810))=0,0,MAX(($B654-MAX(SUMPRODUCT(MAX(($D$4:$D$810=$D654)*($B$4:$B$810&lt;$B654)*$B$4:$B$810)),'Guide &amp; Settings'!$C$50))/7-'Guide &amp; Settings'!$C$48,0)*'Guide &amp; Settings'!$C$49))</f>
        <v/>
      </c>
    </row>
    <row r="655" spans="1:29" x14ac:dyDescent="0.2">
      <c r="A655" s="111"/>
      <c r="B655" s="112"/>
      <c r="C655" s="113"/>
      <c r="D655" s="113"/>
      <c r="E655" s="111"/>
      <c r="F655" s="114">
        <f t="shared" si="170"/>
        <v>0</v>
      </c>
      <c r="G655" s="115" t="str">
        <f t="shared" si="171"/>
        <v/>
      </c>
      <c r="H655" s="116">
        <f>IF($D655="",0,IFERROR(LOOKUP(2,1/(($D$3:D654=$D655)*($A$3:A654&lt;$A655)),$N$3:N654),'Guide &amp; Settings'!$C$41))</f>
        <v>0</v>
      </c>
      <c r="I655" s="117">
        <f t="shared" si="172"/>
        <v>0</v>
      </c>
      <c r="J655" s="118">
        <f>IF($D655="",0,IF($F655&lt;2,0,IF($E655="Win",('Guide &amp; Settings'!$C$42/(($F655-1)*COUNTIFS($A$4:$A$810,$A655,$E$4:$E$810,"Win")))*SUMIFS($X$4:$X$810,$A$4:$A$810,$A655,$E$4:$E$810,"Loss"),-('Guide &amp; Settings'!$C$42/($F655-1))*$X655)))</f>
        <v>0</v>
      </c>
      <c r="K655" s="118">
        <f>IF($D655="",0,'Guide &amp; Settings'!$C$43*(IF($E655="Win",1,0)-$I655))</f>
        <v>0</v>
      </c>
      <c r="L655" s="119">
        <f>IF($D655="",0,'Guide &amp; Settings'!$C$44*IF($F655&gt;=3,$F655,0))</f>
        <v>0</v>
      </c>
      <c r="M655" s="118">
        <f t="shared" si="173"/>
        <v>0</v>
      </c>
      <c r="N655" s="116">
        <f t="shared" si="174"/>
        <v>0</v>
      </c>
      <c r="O655" s="115" t="str">
        <f t="shared" si="175"/>
        <v/>
      </c>
      <c r="P655">
        <f t="shared" si="176"/>
        <v>0</v>
      </c>
      <c r="Q655">
        <f t="shared" si="177"/>
        <v>0</v>
      </c>
      <c r="R655">
        <f t="shared" si="178"/>
        <v>0</v>
      </c>
      <c r="S655">
        <f t="shared" si="179"/>
        <v>0</v>
      </c>
      <c r="T655" s="83">
        <f t="shared" si="180"/>
        <v>0</v>
      </c>
      <c r="U655" s="120">
        <f>IF($D655="",0,IFERROR(LOOKUP(2,1/(($D$3:D654=$D655)*($C$3:C654=$C655)*($A$3:A654&lt;$A655)),$AB$3:AB654),1000))</f>
        <v>0</v>
      </c>
      <c r="V655" s="120">
        <f t="shared" si="181"/>
        <v>0</v>
      </c>
      <c r="W655">
        <f t="shared" si="182"/>
        <v>0</v>
      </c>
      <c r="X655">
        <f t="shared" si="183"/>
        <v>0</v>
      </c>
      <c r="Y655">
        <f t="shared" si="184"/>
        <v>0</v>
      </c>
      <c r="Z655">
        <f t="shared" si="185"/>
        <v>0</v>
      </c>
      <c r="AA655">
        <f>IF($D655="",0,IF($F655&lt;2,0,IF($E655="Win",('Guide &amp; Settings'!$C$42/(($F655-1)*COUNTIFS($A$4:$A$810,$A655,$E$4:$E$810,"Win")))*SUMIFS($Z$4:$Z$810,$A$4:$A$810,$A655,$E$4:$E$810,"Loss"),-('Guide &amp; Settings'!$C$42/($F655-1))*$Z655)))</f>
        <v>0</v>
      </c>
      <c r="AB655" s="120">
        <f t="shared" si="186"/>
        <v>0</v>
      </c>
      <c r="AC655" s="120" t="str">
        <f>IF($D655="","",IF(SUMPRODUCT(MAX(($D$4:$D$810=$D655)*($B$4:$B$810&lt;$B655)*$B$4:$B$810))=0,0,MAX(($B655-MAX(SUMPRODUCT(MAX(($D$4:$D$810=$D655)*($B$4:$B$810&lt;$B655)*$B$4:$B$810)),'Guide &amp; Settings'!$C$50))/7-'Guide &amp; Settings'!$C$48,0)*'Guide &amp; Settings'!$C$49))</f>
        <v/>
      </c>
    </row>
    <row r="656" spans="1:29" x14ac:dyDescent="0.2">
      <c r="A656" s="111"/>
      <c r="B656" s="112"/>
      <c r="C656" s="113"/>
      <c r="D656" s="113"/>
      <c r="E656" s="111"/>
      <c r="F656" s="114">
        <f t="shared" si="170"/>
        <v>0</v>
      </c>
      <c r="G656" s="115" t="str">
        <f t="shared" si="171"/>
        <v/>
      </c>
      <c r="H656" s="116">
        <f>IF($D656="",0,IFERROR(LOOKUP(2,1/(($D$3:D655=$D656)*($A$3:A655&lt;$A656)),$N$3:N655),'Guide &amp; Settings'!$C$41))</f>
        <v>0</v>
      </c>
      <c r="I656" s="117">
        <f t="shared" si="172"/>
        <v>0</v>
      </c>
      <c r="J656" s="118">
        <f>IF($D656="",0,IF($F656&lt;2,0,IF($E656="Win",('Guide &amp; Settings'!$C$42/(($F656-1)*COUNTIFS($A$4:$A$810,$A656,$E$4:$E$810,"Win")))*SUMIFS($X$4:$X$810,$A$4:$A$810,$A656,$E$4:$E$810,"Loss"),-('Guide &amp; Settings'!$C$42/($F656-1))*$X656)))</f>
        <v>0</v>
      </c>
      <c r="K656" s="118">
        <f>IF($D656="",0,'Guide &amp; Settings'!$C$43*(IF($E656="Win",1,0)-$I656))</f>
        <v>0</v>
      </c>
      <c r="L656" s="119">
        <f>IF($D656="",0,'Guide &amp; Settings'!$C$44*IF($F656&gt;=3,$F656,0))</f>
        <v>0</v>
      </c>
      <c r="M656" s="118">
        <f t="shared" si="173"/>
        <v>0</v>
      </c>
      <c r="N656" s="116">
        <f t="shared" si="174"/>
        <v>0</v>
      </c>
      <c r="O656" s="115" t="str">
        <f t="shared" si="175"/>
        <v/>
      </c>
      <c r="P656">
        <f t="shared" si="176"/>
        <v>0</v>
      </c>
      <c r="Q656">
        <f t="shared" si="177"/>
        <v>0</v>
      </c>
      <c r="R656">
        <f t="shared" si="178"/>
        <v>0</v>
      </c>
      <c r="S656">
        <f t="shared" si="179"/>
        <v>0</v>
      </c>
      <c r="T656" s="83">
        <f t="shared" si="180"/>
        <v>0</v>
      </c>
      <c r="U656" s="120">
        <f>IF($D656="",0,IFERROR(LOOKUP(2,1/(($D$3:D655=$D656)*($C$3:C655=$C656)*($A$3:A655&lt;$A656)),$AB$3:AB655),1000))</f>
        <v>0</v>
      </c>
      <c r="V656" s="120">
        <f t="shared" si="181"/>
        <v>0</v>
      </c>
      <c r="W656">
        <f t="shared" si="182"/>
        <v>0</v>
      </c>
      <c r="X656">
        <f t="shared" si="183"/>
        <v>0</v>
      </c>
      <c r="Y656">
        <f t="shared" si="184"/>
        <v>0</v>
      </c>
      <c r="Z656">
        <f t="shared" si="185"/>
        <v>0</v>
      </c>
      <c r="AA656">
        <f>IF($D656="",0,IF($F656&lt;2,0,IF($E656="Win",('Guide &amp; Settings'!$C$42/(($F656-1)*COUNTIFS($A$4:$A$810,$A656,$E$4:$E$810,"Win")))*SUMIFS($Z$4:$Z$810,$A$4:$A$810,$A656,$E$4:$E$810,"Loss"),-('Guide &amp; Settings'!$C$42/($F656-1))*$Z656)))</f>
        <v>0</v>
      </c>
      <c r="AB656" s="120">
        <f t="shared" si="186"/>
        <v>0</v>
      </c>
      <c r="AC656" s="120" t="str">
        <f>IF($D656="","",IF(SUMPRODUCT(MAX(($D$4:$D$810=$D656)*($B$4:$B$810&lt;$B656)*$B$4:$B$810))=0,0,MAX(($B656-MAX(SUMPRODUCT(MAX(($D$4:$D$810=$D656)*($B$4:$B$810&lt;$B656)*$B$4:$B$810)),'Guide &amp; Settings'!$C$50))/7-'Guide &amp; Settings'!$C$48,0)*'Guide &amp; Settings'!$C$49))</f>
        <v/>
      </c>
    </row>
    <row r="657" spans="1:29" x14ac:dyDescent="0.2">
      <c r="A657" s="111"/>
      <c r="B657" s="112"/>
      <c r="C657" s="113"/>
      <c r="D657" s="113"/>
      <c r="E657" s="111"/>
      <c r="F657" s="114">
        <f t="shared" si="170"/>
        <v>0</v>
      </c>
      <c r="G657" s="115" t="str">
        <f t="shared" si="171"/>
        <v/>
      </c>
      <c r="H657" s="116">
        <f>IF($D657="",0,IFERROR(LOOKUP(2,1/(($D$3:D656=$D657)*($A$3:A656&lt;$A657)),$N$3:N656),'Guide &amp; Settings'!$C$41))</f>
        <v>0</v>
      </c>
      <c r="I657" s="117">
        <f t="shared" si="172"/>
        <v>0</v>
      </c>
      <c r="J657" s="118">
        <f>IF($D657="",0,IF($F657&lt;2,0,IF($E657="Win",('Guide &amp; Settings'!$C$42/(($F657-1)*COUNTIFS($A$4:$A$810,$A657,$E$4:$E$810,"Win")))*SUMIFS($X$4:$X$810,$A$4:$A$810,$A657,$E$4:$E$810,"Loss"),-('Guide &amp; Settings'!$C$42/($F657-1))*$X657)))</f>
        <v>0</v>
      </c>
      <c r="K657" s="118">
        <f>IF($D657="",0,'Guide &amp; Settings'!$C$43*(IF($E657="Win",1,0)-$I657))</f>
        <v>0</v>
      </c>
      <c r="L657" s="119">
        <f>IF($D657="",0,'Guide &amp; Settings'!$C$44*IF($F657&gt;=3,$F657,0))</f>
        <v>0</v>
      </c>
      <c r="M657" s="118">
        <f t="shared" si="173"/>
        <v>0</v>
      </c>
      <c r="N657" s="116">
        <f t="shared" si="174"/>
        <v>0</v>
      </c>
      <c r="O657" s="115" t="str">
        <f t="shared" si="175"/>
        <v/>
      </c>
      <c r="P657">
        <f t="shared" si="176"/>
        <v>0</v>
      </c>
      <c r="Q657">
        <f t="shared" si="177"/>
        <v>0</v>
      </c>
      <c r="R657">
        <f t="shared" si="178"/>
        <v>0</v>
      </c>
      <c r="S657">
        <f t="shared" si="179"/>
        <v>0</v>
      </c>
      <c r="T657" s="83">
        <f t="shared" si="180"/>
        <v>0</v>
      </c>
      <c r="U657" s="120">
        <f>IF($D657="",0,IFERROR(LOOKUP(2,1/(($D$3:D656=$D657)*($C$3:C656=$C657)*($A$3:A656&lt;$A657)),$AB$3:AB656),1000))</f>
        <v>0</v>
      </c>
      <c r="V657" s="120">
        <f t="shared" si="181"/>
        <v>0</v>
      </c>
      <c r="W657">
        <f t="shared" si="182"/>
        <v>0</v>
      </c>
      <c r="X657">
        <f t="shared" si="183"/>
        <v>0</v>
      </c>
      <c r="Y657">
        <f t="shared" si="184"/>
        <v>0</v>
      </c>
      <c r="Z657">
        <f t="shared" si="185"/>
        <v>0</v>
      </c>
      <c r="AA657">
        <f>IF($D657="",0,IF($F657&lt;2,0,IF($E657="Win",('Guide &amp; Settings'!$C$42/(($F657-1)*COUNTIFS($A$4:$A$810,$A657,$E$4:$E$810,"Win")))*SUMIFS($Z$4:$Z$810,$A$4:$A$810,$A657,$E$4:$E$810,"Loss"),-('Guide &amp; Settings'!$C$42/($F657-1))*$Z657)))</f>
        <v>0</v>
      </c>
      <c r="AB657" s="120">
        <f t="shared" si="186"/>
        <v>0</v>
      </c>
      <c r="AC657" s="120" t="str">
        <f>IF($D657="","",IF(SUMPRODUCT(MAX(($D$4:$D$810=$D657)*($B$4:$B$810&lt;$B657)*$B$4:$B$810))=0,0,MAX(($B657-MAX(SUMPRODUCT(MAX(($D$4:$D$810=$D657)*($B$4:$B$810&lt;$B657)*$B$4:$B$810)),'Guide &amp; Settings'!$C$50))/7-'Guide &amp; Settings'!$C$48,0)*'Guide &amp; Settings'!$C$49))</f>
        <v/>
      </c>
    </row>
    <row r="658" spans="1:29" x14ac:dyDescent="0.2">
      <c r="A658" s="111"/>
      <c r="B658" s="112"/>
      <c r="C658" s="113"/>
      <c r="D658" s="113"/>
      <c r="E658" s="111"/>
      <c r="F658" s="114">
        <f t="shared" si="170"/>
        <v>0</v>
      </c>
      <c r="G658" s="115" t="str">
        <f t="shared" si="171"/>
        <v/>
      </c>
      <c r="H658" s="116">
        <f>IF($D658="",0,IFERROR(LOOKUP(2,1/(($D$3:D657=$D658)*($A$3:A657&lt;$A658)),$N$3:N657),'Guide &amp; Settings'!$C$41))</f>
        <v>0</v>
      </c>
      <c r="I658" s="117">
        <f t="shared" si="172"/>
        <v>0</v>
      </c>
      <c r="J658" s="118">
        <f>IF($D658="",0,IF($F658&lt;2,0,IF($E658="Win",('Guide &amp; Settings'!$C$42/(($F658-1)*COUNTIFS($A$4:$A$810,$A658,$E$4:$E$810,"Win")))*SUMIFS($X$4:$X$810,$A$4:$A$810,$A658,$E$4:$E$810,"Loss"),-('Guide &amp; Settings'!$C$42/($F658-1))*$X658)))</f>
        <v>0</v>
      </c>
      <c r="K658" s="118">
        <f>IF($D658="",0,'Guide &amp; Settings'!$C$43*(IF($E658="Win",1,0)-$I658))</f>
        <v>0</v>
      </c>
      <c r="L658" s="119">
        <f>IF($D658="",0,'Guide &amp; Settings'!$C$44*IF($F658&gt;=3,$F658,0))</f>
        <v>0</v>
      </c>
      <c r="M658" s="118">
        <f t="shared" si="173"/>
        <v>0</v>
      </c>
      <c r="N658" s="116">
        <f t="shared" si="174"/>
        <v>0</v>
      </c>
      <c r="O658" s="115" t="str">
        <f t="shared" si="175"/>
        <v/>
      </c>
      <c r="P658">
        <f t="shared" si="176"/>
        <v>0</v>
      </c>
      <c r="Q658">
        <f t="shared" si="177"/>
        <v>0</v>
      </c>
      <c r="R658">
        <f t="shared" si="178"/>
        <v>0</v>
      </c>
      <c r="S658">
        <f t="shared" si="179"/>
        <v>0</v>
      </c>
      <c r="T658" s="83">
        <f t="shared" si="180"/>
        <v>0</v>
      </c>
      <c r="U658" s="120">
        <f>IF($D658="",0,IFERROR(LOOKUP(2,1/(($D$3:D657=$D658)*($C$3:C657=$C658)*($A$3:A657&lt;$A658)),$AB$3:AB657),1000))</f>
        <v>0</v>
      </c>
      <c r="V658" s="120">
        <f t="shared" si="181"/>
        <v>0</v>
      </c>
      <c r="W658">
        <f t="shared" si="182"/>
        <v>0</v>
      </c>
      <c r="X658">
        <f t="shared" si="183"/>
        <v>0</v>
      </c>
      <c r="Y658">
        <f t="shared" si="184"/>
        <v>0</v>
      </c>
      <c r="Z658">
        <f t="shared" si="185"/>
        <v>0</v>
      </c>
      <c r="AA658">
        <f>IF($D658="",0,IF($F658&lt;2,0,IF($E658="Win",('Guide &amp; Settings'!$C$42/(($F658-1)*COUNTIFS($A$4:$A$810,$A658,$E$4:$E$810,"Win")))*SUMIFS($Z$4:$Z$810,$A$4:$A$810,$A658,$E$4:$E$810,"Loss"),-('Guide &amp; Settings'!$C$42/($F658-1))*$Z658)))</f>
        <v>0</v>
      </c>
      <c r="AB658" s="120">
        <f t="shared" si="186"/>
        <v>0</v>
      </c>
      <c r="AC658" s="120" t="str">
        <f>IF($D658="","",IF(SUMPRODUCT(MAX(($D$4:$D$810=$D658)*($B$4:$B$810&lt;$B658)*$B$4:$B$810))=0,0,MAX(($B658-MAX(SUMPRODUCT(MAX(($D$4:$D$810=$D658)*($B$4:$B$810&lt;$B658)*$B$4:$B$810)),'Guide &amp; Settings'!$C$50))/7-'Guide &amp; Settings'!$C$48,0)*'Guide &amp; Settings'!$C$49))</f>
        <v/>
      </c>
    </row>
    <row r="659" spans="1:29" x14ac:dyDescent="0.2">
      <c r="A659" s="111"/>
      <c r="B659" s="112"/>
      <c r="C659" s="113"/>
      <c r="D659" s="113"/>
      <c r="E659" s="111"/>
      <c r="F659" s="114">
        <f t="shared" si="170"/>
        <v>0</v>
      </c>
      <c r="G659" s="115" t="str">
        <f t="shared" si="171"/>
        <v/>
      </c>
      <c r="H659" s="116">
        <f>IF($D659="",0,IFERROR(LOOKUP(2,1/(($D$3:D658=$D659)*($A$3:A658&lt;$A659)),$N$3:N658),'Guide &amp; Settings'!$C$41))</f>
        <v>0</v>
      </c>
      <c r="I659" s="117">
        <f t="shared" si="172"/>
        <v>0</v>
      </c>
      <c r="J659" s="118">
        <f>IF($D659="",0,IF($F659&lt;2,0,IF($E659="Win",('Guide &amp; Settings'!$C$42/(($F659-1)*COUNTIFS($A$4:$A$810,$A659,$E$4:$E$810,"Win")))*SUMIFS($X$4:$X$810,$A$4:$A$810,$A659,$E$4:$E$810,"Loss"),-('Guide &amp; Settings'!$C$42/($F659-1))*$X659)))</f>
        <v>0</v>
      </c>
      <c r="K659" s="118">
        <f>IF($D659="",0,'Guide &amp; Settings'!$C$43*(IF($E659="Win",1,0)-$I659))</f>
        <v>0</v>
      </c>
      <c r="L659" s="119">
        <f>IF($D659="",0,'Guide &amp; Settings'!$C$44*IF($F659&gt;=3,$F659,0))</f>
        <v>0</v>
      </c>
      <c r="M659" s="118">
        <f t="shared" si="173"/>
        <v>0</v>
      </c>
      <c r="N659" s="116">
        <f t="shared" si="174"/>
        <v>0</v>
      </c>
      <c r="O659" s="115" t="str">
        <f t="shared" si="175"/>
        <v/>
      </c>
      <c r="P659">
        <f t="shared" si="176"/>
        <v>0</v>
      </c>
      <c r="Q659">
        <f t="shared" si="177"/>
        <v>0</v>
      </c>
      <c r="R659">
        <f t="shared" si="178"/>
        <v>0</v>
      </c>
      <c r="S659">
        <f t="shared" si="179"/>
        <v>0</v>
      </c>
      <c r="T659" s="83">
        <f t="shared" si="180"/>
        <v>0</v>
      </c>
      <c r="U659" s="120">
        <f>IF($D659="",0,IFERROR(LOOKUP(2,1/(($D$3:D658=$D659)*($C$3:C658=$C659)*($A$3:A658&lt;$A659)),$AB$3:AB658),1000))</f>
        <v>0</v>
      </c>
      <c r="V659" s="120">
        <f t="shared" si="181"/>
        <v>0</v>
      </c>
      <c r="W659">
        <f t="shared" si="182"/>
        <v>0</v>
      </c>
      <c r="X659">
        <f t="shared" si="183"/>
        <v>0</v>
      </c>
      <c r="Y659">
        <f t="shared" si="184"/>
        <v>0</v>
      </c>
      <c r="Z659">
        <f t="shared" si="185"/>
        <v>0</v>
      </c>
      <c r="AA659">
        <f>IF($D659="",0,IF($F659&lt;2,0,IF($E659="Win",('Guide &amp; Settings'!$C$42/(($F659-1)*COUNTIFS($A$4:$A$810,$A659,$E$4:$E$810,"Win")))*SUMIFS($Z$4:$Z$810,$A$4:$A$810,$A659,$E$4:$E$810,"Loss"),-('Guide &amp; Settings'!$C$42/($F659-1))*$Z659)))</f>
        <v>0</v>
      </c>
      <c r="AB659" s="120">
        <f t="shared" si="186"/>
        <v>0</v>
      </c>
      <c r="AC659" s="120" t="str">
        <f>IF($D659="","",IF(SUMPRODUCT(MAX(($D$4:$D$810=$D659)*($B$4:$B$810&lt;$B659)*$B$4:$B$810))=0,0,MAX(($B659-MAX(SUMPRODUCT(MAX(($D$4:$D$810=$D659)*($B$4:$B$810&lt;$B659)*$B$4:$B$810)),'Guide &amp; Settings'!$C$50))/7-'Guide &amp; Settings'!$C$48,0)*'Guide &amp; Settings'!$C$49))</f>
        <v/>
      </c>
    </row>
    <row r="660" spans="1:29" x14ac:dyDescent="0.2">
      <c r="A660" s="111"/>
      <c r="B660" s="112"/>
      <c r="C660" s="113"/>
      <c r="D660" s="113"/>
      <c r="E660" s="111"/>
      <c r="F660" s="114">
        <f t="shared" si="170"/>
        <v>0</v>
      </c>
      <c r="G660" s="115" t="str">
        <f t="shared" si="171"/>
        <v/>
      </c>
      <c r="H660" s="116">
        <f>IF($D660="",0,IFERROR(LOOKUP(2,1/(($D$3:D659=$D660)*($A$3:A659&lt;$A660)),$N$3:N659),'Guide &amp; Settings'!$C$41))</f>
        <v>0</v>
      </c>
      <c r="I660" s="117">
        <f t="shared" si="172"/>
        <v>0</v>
      </c>
      <c r="J660" s="118">
        <f>IF($D660="",0,IF($F660&lt;2,0,IF($E660="Win",('Guide &amp; Settings'!$C$42/(($F660-1)*COUNTIFS($A$4:$A$810,$A660,$E$4:$E$810,"Win")))*SUMIFS($X$4:$X$810,$A$4:$A$810,$A660,$E$4:$E$810,"Loss"),-('Guide &amp; Settings'!$C$42/($F660-1))*$X660)))</f>
        <v>0</v>
      </c>
      <c r="K660" s="118">
        <f>IF($D660="",0,'Guide &amp; Settings'!$C$43*(IF($E660="Win",1,0)-$I660))</f>
        <v>0</v>
      </c>
      <c r="L660" s="119">
        <f>IF($D660="",0,'Guide &amp; Settings'!$C$44*IF($F660&gt;=3,$F660,0))</f>
        <v>0</v>
      </c>
      <c r="M660" s="118">
        <f t="shared" si="173"/>
        <v>0</v>
      </c>
      <c r="N660" s="116">
        <f t="shared" si="174"/>
        <v>0</v>
      </c>
      <c r="O660" s="115" t="str">
        <f t="shared" si="175"/>
        <v/>
      </c>
      <c r="P660">
        <f t="shared" si="176"/>
        <v>0</v>
      </c>
      <c r="Q660">
        <f t="shared" si="177"/>
        <v>0</v>
      </c>
      <c r="R660">
        <f t="shared" si="178"/>
        <v>0</v>
      </c>
      <c r="S660">
        <f t="shared" si="179"/>
        <v>0</v>
      </c>
      <c r="T660" s="83">
        <f t="shared" si="180"/>
        <v>0</v>
      </c>
      <c r="U660" s="120">
        <f>IF($D660="",0,IFERROR(LOOKUP(2,1/(($D$3:D659=$D660)*($C$3:C659=$C660)*($A$3:A659&lt;$A660)),$AB$3:AB659),1000))</f>
        <v>0</v>
      </c>
      <c r="V660" s="120">
        <f t="shared" si="181"/>
        <v>0</v>
      </c>
      <c r="W660">
        <f t="shared" si="182"/>
        <v>0</v>
      </c>
      <c r="X660">
        <f t="shared" si="183"/>
        <v>0</v>
      </c>
      <c r="Y660">
        <f t="shared" si="184"/>
        <v>0</v>
      </c>
      <c r="Z660">
        <f t="shared" si="185"/>
        <v>0</v>
      </c>
      <c r="AA660">
        <f>IF($D660="",0,IF($F660&lt;2,0,IF($E660="Win",('Guide &amp; Settings'!$C$42/(($F660-1)*COUNTIFS($A$4:$A$810,$A660,$E$4:$E$810,"Win")))*SUMIFS($Z$4:$Z$810,$A$4:$A$810,$A660,$E$4:$E$810,"Loss"),-('Guide &amp; Settings'!$C$42/($F660-1))*$Z660)))</f>
        <v>0</v>
      </c>
      <c r="AB660" s="120">
        <f t="shared" si="186"/>
        <v>0</v>
      </c>
      <c r="AC660" s="120" t="str">
        <f>IF($D660="","",IF(SUMPRODUCT(MAX(($D$4:$D$810=$D660)*($B$4:$B$810&lt;$B660)*$B$4:$B$810))=0,0,MAX(($B660-MAX(SUMPRODUCT(MAX(($D$4:$D$810=$D660)*($B$4:$B$810&lt;$B660)*$B$4:$B$810)),'Guide &amp; Settings'!$C$50))/7-'Guide &amp; Settings'!$C$48,0)*'Guide &amp; Settings'!$C$49))</f>
        <v/>
      </c>
    </row>
    <row r="661" spans="1:29" x14ac:dyDescent="0.2">
      <c r="A661" s="111"/>
      <c r="B661" s="112"/>
      <c r="C661" s="113"/>
      <c r="D661" s="113"/>
      <c r="E661" s="111"/>
      <c r="F661" s="114">
        <f t="shared" si="170"/>
        <v>0</v>
      </c>
      <c r="G661" s="115" t="str">
        <f t="shared" si="171"/>
        <v/>
      </c>
      <c r="H661" s="116">
        <f>IF($D661="",0,IFERROR(LOOKUP(2,1/(($D$3:D660=$D661)*($A$3:A660&lt;$A661)),$N$3:N660),'Guide &amp; Settings'!$C$41))</f>
        <v>0</v>
      </c>
      <c r="I661" s="117">
        <f t="shared" si="172"/>
        <v>0</v>
      </c>
      <c r="J661" s="118">
        <f>IF($D661="",0,IF($F661&lt;2,0,IF($E661="Win",('Guide &amp; Settings'!$C$42/(($F661-1)*COUNTIFS($A$4:$A$810,$A661,$E$4:$E$810,"Win")))*SUMIFS($X$4:$X$810,$A$4:$A$810,$A661,$E$4:$E$810,"Loss"),-('Guide &amp; Settings'!$C$42/($F661-1))*$X661)))</f>
        <v>0</v>
      </c>
      <c r="K661" s="118">
        <f>IF($D661="",0,'Guide &amp; Settings'!$C$43*(IF($E661="Win",1,0)-$I661))</f>
        <v>0</v>
      </c>
      <c r="L661" s="119">
        <f>IF($D661="",0,'Guide &amp; Settings'!$C$44*IF($F661&gt;=3,$F661,0))</f>
        <v>0</v>
      </c>
      <c r="M661" s="118">
        <f t="shared" si="173"/>
        <v>0</v>
      </c>
      <c r="N661" s="116">
        <f t="shared" si="174"/>
        <v>0</v>
      </c>
      <c r="O661" s="115" t="str">
        <f t="shared" si="175"/>
        <v/>
      </c>
      <c r="P661">
        <f t="shared" si="176"/>
        <v>0</v>
      </c>
      <c r="Q661">
        <f t="shared" si="177"/>
        <v>0</v>
      </c>
      <c r="R661">
        <f t="shared" si="178"/>
        <v>0</v>
      </c>
      <c r="S661">
        <f t="shared" si="179"/>
        <v>0</v>
      </c>
      <c r="T661" s="83">
        <f t="shared" si="180"/>
        <v>0</v>
      </c>
      <c r="U661" s="120">
        <f>IF($D661="",0,IFERROR(LOOKUP(2,1/(($D$3:D660=$D661)*($C$3:C660=$C661)*($A$3:A660&lt;$A661)),$AB$3:AB660),1000))</f>
        <v>0</v>
      </c>
      <c r="V661" s="120">
        <f t="shared" si="181"/>
        <v>0</v>
      </c>
      <c r="W661">
        <f t="shared" si="182"/>
        <v>0</v>
      </c>
      <c r="X661">
        <f t="shared" si="183"/>
        <v>0</v>
      </c>
      <c r="Y661">
        <f t="shared" si="184"/>
        <v>0</v>
      </c>
      <c r="Z661">
        <f t="shared" si="185"/>
        <v>0</v>
      </c>
      <c r="AA661">
        <f>IF($D661="",0,IF($F661&lt;2,0,IF($E661="Win",('Guide &amp; Settings'!$C$42/(($F661-1)*COUNTIFS($A$4:$A$810,$A661,$E$4:$E$810,"Win")))*SUMIFS($Z$4:$Z$810,$A$4:$A$810,$A661,$E$4:$E$810,"Loss"),-('Guide &amp; Settings'!$C$42/($F661-1))*$Z661)))</f>
        <v>0</v>
      </c>
      <c r="AB661" s="120">
        <f t="shared" si="186"/>
        <v>0</v>
      </c>
      <c r="AC661" s="120" t="str">
        <f>IF($D661="","",IF(SUMPRODUCT(MAX(($D$4:$D$810=$D661)*($B$4:$B$810&lt;$B661)*$B$4:$B$810))=0,0,MAX(($B661-MAX(SUMPRODUCT(MAX(($D$4:$D$810=$D661)*($B$4:$B$810&lt;$B661)*$B$4:$B$810)),'Guide &amp; Settings'!$C$50))/7-'Guide &amp; Settings'!$C$48,0)*'Guide &amp; Settings'!$C$49))</f>
        <v/>
      </c>
    </row>
    <row r="662" spans="1:29" x14ac:dyDescent="0.2">
      <c r="A662" s="111"/>
      <c r="B662" s="112"/>
      <c r="C662" s="113"/>
      <c r="D662" s="113"/>
      <c r="E662" s="111"/>
      <c r="F662" s="114">
        <f t="shared" si="170"/>
        <v>0</v>
      </c>
      <c r="G662" s="115" t="str">
        <f t="shared" si="171"/>
        <v/>
      </c>
      <c r="H662" s="116">
        <f>IF($D662="",0,IFERROR(LOOKUP(2,1/(($D$3:D661=$D662)*($A$3:A661&lt;$A662)),$N$3:N661),'Guide &amp; Settings'!$C$41))</f>
        <v>0</v>
      </c>
      <c r="I662" s="117">
        <f t="shared" si="172"/>
        <v>0</v>
      </c>
      <c r="J662" s="118">
        <f>IF($D662="",0,IF($F662&lt;2,0,IF($E662="Win",('Guide &amp; Settings'!$C$42/(($F662-1)*COUNTIFS($A$4:$A$810,$A662,$E$4:$E$810,"Win")))*SUMIFS($X$4:$X$810,$A$4:$A$810,$A662,$E$4:$E$810,"Loss"),-('Guide &amp; Settings'!$C$42/($F662-1))*$X662)))</f>
        <v>0</v>
      </c>
      <c r="K662" s="118">
        <f>IF($D662="",0,'Guide &amp; Settings'!$C$43*(IF($E662="Win",1,0)-$I662))</f>
        <v>0</v>
      </c>
      <c r="L662" s="119">
        <f>IF($D662="",0,'Guide &amp; Settings'!$C$44*IF($F662&gt;=3,$F662,0))</f>
        <v>0</v>
      </c>
      <c r="M662" s="118">
        <f t="shared" si="173"/>
        <v>0</v>
      </c>
      <c r="N662" s="116">
        <f t="shared" si="174"/>
        <v>0</v>
      </c>
      <c r="O662" s="115" t="str">
        <f t="shared" si="175"/>
        <v/>
      </c>
      <c r="P662">
        <f t="shared" si="176"/>
        <v>0</v>
      </c>
      <c r="Q662">
        <f t="shared" si="177"/>
        <v>0</v>
      </c>
      <c r="R662">
        <f t="shared" si="178"/>
        <v>0</v>
      </c>
      <c r="S662">
        <f t="shared" si="179"/>
        <v>0</v>
      </c>
      <c r="T662" s="83">
        <f t="shared" si="180"/>
        <v>0</v>
      </c>
      <c r="U662" s="120">
        <f>IF($D662="",0,IFERROR(LOOKUP(2,1/(($D$3:D661=$D662)*($C$3:C661=$C662)*($A$3:A661&lt;$A662)),$AB$3:AB661),1000))</f>
        <v>0</v>
      </c>
      <c r="V662" s="120">
        <f t="shared" si="181"/>
        <v>0</v>
      </c>
      <c r="W662">
        <f t="shared" si="182"/>
        <v>0</v>
      </c>
      <c r="X662">
        <f t="shared" si="183"/>
        <v>0</v>
      </c>
      <c r="Y662">
        <f t="shared" si="184"/>
        <v>0</v>
      </c>
      <c r="Z662">
        <f t="shared" si="185"/>
        <v>0</v>
      </c>
      <c r="AA662">
        <f>IF($D662="",0,IF($F662&lt;2,0,IF($E662="Win",('Guide &amp; Settings'!$C$42/(($F662-1)*COUNTIFS($A$4:$A$810,$A662,$E$4:$E$810,"Win")))*SUMIFS($Z$4:$Z$810,$A$4:$A$810,$A662,$E$4:$E$810,"Loss"),-('Guide &amp; Settings'!$C$42/($F662-1))*$Z662)))</f>
        <v>0</v>
      </c>
      <c r="AB662" s="120">
        <f t="shared" si="186"/>
        <v>0</v>
      </c>
      <c r="AC662" s="120" t="str">
        <f>IF($D662="","",IF(SUMPRODUCT(MAX(($D$4:$D$810=$D662)*($B$4:$B$810&lt;$B662)*$B$4:$B$810))=0,0,MAX(($B662-MAX(SUMPRODUCT(MAX(($D$4:$D$810=$D662)*($B$4:$B$810&lt;$B662)*$B$4:$B$810)),'Guide &amp; Settings'!$C$50))/7-'Guide &amp; Settings'!$C$48,0)*'Guide &amp; Settings'!$C$49))</f>
        <v/>
      </c>
    </row>
    <row r="663" spans="1:29" x14ac:dyDescent="0.2">
      <c r="A663" s="111"/>
      <c r="B663" s="112"/>
      <c r="C663" s="113"/>
      <c r="D663" s="113"/>
      <c r="E663" s="111"/>
      <c r="F663" s="114">
        <f t="shared" si="170"/>
        <v>0</v>
      </c>
      <c r="G663" s="115" t="str">
        <f t="shared" si="171"/>
        <v/>
      </c>
      <c r="H663" s="116">
        <f>IF($D663="",0,IFERROR(LOOKUP(2,1/(($D$3:D662=$D663)*($A$3:A662&lt;$A663)),$N$3:N662),'Guide &amp; Settings'!$C$41))</f>
        <v>0</v>
      </c>
      <c r="I663" s="117">
        <f t="shared" si="172"/>
        <v>0</v>
      </c>
      <c r="J663" s="118">
        <f>IF($D663="",0,IF($F663&lt;2,0,IF($E663="Win",('Guide &amp; Settings'!$C$42/(($F663-1)*COUNTIFS($A$4:$A$810,$A663,$E$4:$E$810,"Win")))*SUMIFS($X$4:$X$810,$A$4:$A$810,$A663,$E$4:$E$810,"Loss"),-('Guide &amp; Settings'!$C$42/($F663-1))*$X663)))</f>
        <v>0</v>
      </c>
      <c r="K663" s="118">
        <f>IF($D663="",0,'Guide &amp; Settings'!$C$43*(IF($E663="Win",1,0)-$I663))</f>
        <v>0</v>
      </c>
      <c r="L663" s="119">
        <f>IF($D663="",0,'Guide &amp; Settings'!$C$44*IF($F663&gt;=3,$F663,0))</f>
        <v>0</v>
      </c>
      <c r="M663" s="118">
        <f t="shared" si="173"/>
        <v>0</v>
      </c>
      <c r="N663" s="116">
        <f t="shared" si="174"/>
        <v>0</v>
      </c>
      <c r="O663" s="115" t="str">
        <f t="shared" si="175"/>
        <v/>
      </c>
      <c r="P663">
        <f t="shared" si="176"/>
        <v>0</v>
      </c>
      <c r="Q663">
        <f t="shared" si="177"/>
        <v>0</v>
      </c>
      <c r="R663">
        <f t="shared" si="178"/>
        <v>0</v>
      </c>
      <c r="S663">
        <f t="shared" si="179"/>
        <v>0</v>
      </c>
      <c r="T663" s="83">
        <f t="shared" si="180"/>
        <v>0</v>
      </c>
      <c r="U663" s="120">
        <f>IF($D663="",0,IFERROR(LOOKUP(2,1/(($D$3:D662=$D663)*($C$3:C662=$C663)*($A$3:A662&lt;$A663)),$AB$3:AB662),1000))</f>
        <v>0</v>
      </c>
      <c r="V663" s="120">
        <f t="shared" si="181"/>
        <v>0</v>
      </c>
      <c r="W663">
        <f t="shared" si="182"/>
        <v>0</v>
      </c>
      <c r="X663">
        <f t="shared" si="183"/>
        <v>0</v>
      </c>
      <c r="Y663">
        <f t="shared" si="184"/>
        <v>0</v>
      </c>
      <c r="Z663">
        <f t="shared" si="185"/>
        <v>0</v>
      </c>
      <c r="AA663">
        <f>IF($D663="",0,IF($F663&lt;2,0,IF($E663="Win",('Guide &amp; Settings'!$C$42/(($F663-1)*COUNTIFS($A$4:$A$810,$A663,$E$4:$E$810,"Win")))*SUMIFS($Z$4:$Z$810,$A$4:$A$810,$A663,$E$4:$E$810,"Loss"),-('Guide &amp; Settings'!$C$42/($F663-1))*$Z663)))</f>
        <v>0</v>
      </c>
      <c r="AB663" s="120">
        <f t="shared" si="186"/>
        <v>0</v>
      </c>
      <c r="AC663" s="120" t="str">
        <f>IF($D663="","",IF(SUMPRODUCT(MAX(($D$4:$D$810=$D663)*($B$4:$B$810&lt;$B663)*$B$4:$B$810))=0,0,MAX(($B663-MAX(SUMPRODUCT(MAX(($D$4:$D$810=$D663)*($B$4:$B$810&lt;$B663)*$B$4:$B$810)),'Guide &amp; Settings'!$C$50))/7-'Guide &amp; Settings'!$C$48,0)*'Guide &amp; Settings'!$C$49))</f>
        <v/>
      </c>
    </row>
    <row r="664" spans="1:29" x14ac:dyDescent="0.2">
      <c r="A664" s="111"/>
      <c r="B664" s="112"/>
      <c r="C664" s="113"/>
      <c r="D664" s="113"/>
      <c r="E664" s="111"/>
      <c r="F664" s="114">
        <f t="shared" si="170"/>
        <v>0</v>
      </c>
      <c r="G664" s="115" t="str">
        <f t="shared" si="171"/>
        <v/>
      </c>
      <c r="H664" s="116">
        <f>IF($D664="",0,IFERROR(LOOKUP(2,1/(($D$3:D663=$D664)*($A$3:A663&lt;$A664)),$N$3:N663),'Guide &amp; Settings'!$C$41))</f>
        <v>0</v>
      </c>
      <c r="I664" s="117">
        <f t="shared" si="172"/>
        <v>0</v>
      </c>
      <c r="J664" s="118">
        <f>IF($D664="",0,IF($F664&lt;2,0,IF($E664="Win",('Guide &amp; Settings'!$C$42/(($F664-1)*COUNTIFS($A$4:$A$810,$A664,$E$4:$E$810,"Win")))*SUMIFS($X$4:$X$810,$A$4:$A$810,$A664,$E$4:$E$810,"Loss"),-('Guide &amp; Settings'!$C$42/($F664-1))*$X664)))</f>
        <v>0</v>
      </c>
      <c r="K664" s="118">
        <f>IF($D664="",0,'Guide &amp; Settings'!$C$43*(IF($E664="Win",1,0)-$I664))</f>
        <v>0</v>
      </c>
      <c r="L664" s="119">
        <f>IF($D664="",0,'Guide &amp; Settings'!$C$44*IF($F664&gt;=3,$F664,0))</f>
        <v>0</v>
      </c>
      <c r="M664" s="118">
        <f t="shared" si="173"/>
        <v>0</v>
      </c>
      <c r="N664" s="116">
        <f t="shared" si="174"/>
        <v>0</v>
      </c>
      <c r="O664" s="115" t="str">
        <f t="shared" si="175"/>
        <v/>
      </c>
      <c r="P664">
        <f t="shared" si="176"/>
        <v>0</v>
      </c>
      <c r="Q664">
        <f t="shared" si="177"/>
        <v>0</v>
      </c>
      <c r="R664">
        <f t="shared" si="178"/>
        <v>0</v>
      </c>
      <c r="S664">
        <f t="shared" si="179"/>
        <v>0</v>
      </c>
      <c r="T664" s="83">
        <f t="shared" si="180"/>
        <v>0</v>
      </c>
      <c r="U664" s="120">
        <f>IF($D664="",0,IFERROR(LOOKUP(2,1/(($D$3:D663=$D664)*($C$3:C663=$C664)*($A$3:A663&lt;$A664)),$AB$3:AB663),1000))</f>
        <v>0</v>
      </c>
      <c r="V664" s="120">
        <f t="shared" si="181"/>
        <v>0</v>
      </c>
      <c r="W664">
        <f t="shared" si="182"/>
        <v>0</v>
      </c>
      <c r="X664">
        <f t="shared" si="183"/>
        <v>0</v>
      </c>
      <c r="Y664">
        <f t="shared" si="184"/>
        <v>0</v>
      </c>
      <c r="Z664">
        <f t="shared" si="185"/>
        <v>0</v>
      </c>
      <c r="AA664">
        <f>IF($D664="",0,IF($F664&lt;2,0,IF($E664="Win",('Guide &amp; Settings'!$C$42/(($F664-1)*COUNTIFS($A$4:$A$810,$A664,$E$4:$E$810,"Win")))*SUMIFS($Z$4:$Z$810,$A$4:$A$810,$A664,$E$4:$E$810,"Loss"),-('Guide &amp; Settings'!$C$42/($F664-1))*$Z664)))</f>
        <v>0</v>
      </c>
      <c r="AB664" s="120">
        <f t="shared" si="186"/>
        <v>0</v>
      </c>
      <c r="AC664" s="120" t="str">
        <f>IF($D664="","",IF(SUMPRODUCT(MAX(($D$4:$D$810=$D664)*($B$4:$B$810&lt;$B664)*$B$4:$B$810))=0,0,MAX(($B664-MAX(SUMPRODUCT(MAX(($D$4:$D$810=$D664)*($B$4:$B$810&lt;$B664)*$B$4:$B$810)),'Guide &amp; Settings'!$C$50))/7-'Guide &amp; Settings'!$C$48,0)*'Guide &amp; Settings'!$C$49))</f>
        <v/>
      </c>
    </row>
    <row r="665" spans="1:29" x14ac:dyDescent="0.2">
      <c r="A665" s="111"/>
      <c r="B665" s="112"/>
      <c r="C665" s="113"/>
      <c r="D665" s="113"/>
      <c r="E665" s="111"/>
      <c r="F665" s="114">
        <f t="shared" si="170"/>
        <v>0</v>
      </c>
      <c r="G665" s="115" t="str">
        <f t="shared" si="171"/>
        <v/>
      </c>
      <c r="H665" s="116">
        <f>IF($D665="",0,IFERROR(LOOKUP(2,1/(($D$3:D664=$D665)*($A$3:A664&lt;$A665)),$N$3:N664),'Guide &amp; Settings'!$C$41))</f>
        <v>0</v>
      </c>
      <c r="I665" s="117">
        <f t="shared" si="172"/>
        <v>0</v>
      </c>
      <c r="J665" s="118">
        <f>IF($D665="",0,IF($F665&lt;2,0,IF($E665="Win",('Guide &amp; Settings'!$C$42/(($F665-1)*COUNTIFS($A$4:$A$810,$A665,$E$4:$E$810,"Win")))*SUMIFS($X$4:$X$810,$A$4:$A$810,$A665,$E$4:$E$810,"Loss"),-('Guide &amp; Settings'!$C$42/($F665-1))*$X665)))</f>
        <v>0</v>
      </c>
      <c r="K665" s="118">
        <f>IF($D665="",0,'Guide &amp; Settings'!$C$43*(IF($E665="Win",1,0)-$I665))</f>
        <v>0</v>
      </c>
      <c r="L665" s="119">
        <f>IF($D665="",0,'Guide &amp; Settings'!$C$44*IF($F665&gt;=3,$F665,0))</f>
        <v>0</v>
      </c>
      <c r="M665" s="118">
        <f t="shared" si="173"/>
        <v>0</v>
      </c>
      <c r="N665" s="116">
        <f t="shared" si="174"/>
        <v>0</v>
      </c>
      <c r="O665" s="115" t="str">
        <f t="shared" si="175"/>
        <v/>
      </c>
      <c r="P665">
        <f t="shared" si="176"/>
        <v>0</v>
      </c>
      <c r="Q665">
        <f t="shared" si="177"/>
        <v>0</v>
      </c>
      <c r="R665">
        <f t="shared" si="178"/>
        <v>0</v>
      </c>
      <c r="S665">
        <f t="shared" si="179"/>
        <v>0</v>
      </c>
      <c r="T665" s="83">
        <f t="shared" si="180"/>
        <v>0</v>
      </c>
      <c r="U665" s="120">
        <f>IF($D665="",0,IFERROR(LOOKUP(2,1/(($D$3:D664=$D665)*($C$3:C664=$C665)*($A$3:A664&lt;$A665)),$AB$3:AB664),1000))</f>
        <v>0</v>
      </c>
      <c r="V665" s="120">
        <f t="shared" si="181"/>
        <v>0</v>
      </c>
      <c r="W665">
        <f t="shared" si="182"/>
        <v>0</v>
      </c>
      <c r="X665">
        <f t="shared" si="183"/>
        <v>0</v>
      </c>
      <c r="Y665">
        <f t="shared" si="184"/>
        <v>0</v>
      </c>
      <c r="Z665">
        <f t="shared" si="185"/>
        <v>0</v>
      </c>
      <c r="AA665">
        <f>IF($D665="",0,IF($F665&lt;2,0,IF($E665="Win",('Guide &amp; Settings'!$C$42/(($F665-1)*COUNTIFS($A$4:$A$810,$A665,$E$4:$E$810,"Win")))*SUMIFS($Z$4:$Z$810,$A$4:$A$810,$A665,$E$4:$E$810,"Loss"),-('Guide &amp; Settings'!$C$42/($F665-1))*$Z665)))</f>
        <v>0</v>
      </c>
      <c r="AB665" s="120">
        <f t="shared" si="186"/>
        <v>0</v>
      </c>
      <c r="AC665" s="120" t="str">
        <f>IF($D665="","",IF(SUMPRODUCT(MAX(($D$4:$D$810=$D665)*($B$4:$B$810&lt;$B665)*$B$4:$B$810))=0,0,MAX(($B665-MAX(SUMPRODUCT(MAX(($D$4:$D$810=$D665)*($B$4:$B$810&lt;$B665)*$B$4:$B$810)),'Guide &amp; Settings'!$C$50))/7-'Guide &amp; Settings'!$C$48,0)*'Guide &amp; Settings'!$C$49))</f>
        <v/>
      </c>
    </row>
    <row r="666" spans="1:29" x14ac:dyDescent="0.2">
      <c r="A666" s="111"/>
      <c r="B666" s="112"/>
      <c r="C666" s="113"/>
      <c r="D666" s="113"/>
      <c r="E666" s="111"/>
      <c r="F666" s="114">
        <f t="shared" si="170"/>
        <v>0</v>
      </c>
      <c r="G666" s="115" t="str">
        <f t="shared" si="171"/>
        <v/>
      </c>
      <c r="H666" s="116">
        <f>IF($D666="",0,IFERROR(LOOKUP(2,1/(($D$3:D665=$D666)*($A$3:A665&lt;$A666)),$N$3:N665),'Guide &amp; Settings'!$C$41))</f>
        <v>0</v>
      </c>
      <c r="I666" s="117">
        <f t="shared" si="172"/>
        <v>0</v>
      </c>
      <c r="J666" s="118">
        <f>IF($D666="",0,IF($F666&lt;2,0,IF($E666="Win",('Guide &amp; Settings'!$C$42/(($F666-1)*COUNTIFS($A$4:$A$810,$A666,$E$4:$E$810,"Win")))*SUMIFS($X$4:$X$810,$A$4:$A$810,$A666,$E$4:$E$810,"Loss"),-('Guide &amp; Settings'!$C$42/($F666-1))*$X666)))</f>
        <v>0</v>
      </c>
      <c r="K666" s="118">
        <f>IF($D666="",0,'Guide &amp; Settings'!$C$43*(IF($E666="Win",1,0)-$I666))</f>
        <v>0</v>
      </c>
      <c r="L666" s="119">
        <f>IF($D666="",0,'Guide &amp; Settings'!$C$44*IF($F666&gt;=3,$F666,0))</f>
        <v>0</v>
      </c>
      <c r="M666" s="118">
        <f t="shared" si="173"/>
        <v>0</v>
      </c>
      <c r="N666" s="116">
        <f t="shared" si="174"/>
        <v>0</v>
      </c>
      <c r="O666" s="115" t="str">
        <f t="shared" si="175"/>
        <v/>
      </c>
      <c r="P666">
        <f t="shared" si="176"/>
        <v>0</v>
      </c>
      <c r="Q666">
        <f t="shared" si="177"/>
        <v>0</v>
      </c>
      <c r="R666">
        <f t="shared" si="178"/>
        <v>0</v>
      </c>
      <c r="S666">
        <f t="shared" si="179"/>
        <v>0</v>
      </c>
      <c r="T666" s="83">
        <f t="shared" si="180"/>
        <v>0</v>
      </c>
      <c r="U666" s="120">
        <f>IF($D666="",0,IFERROR(LOOKUP(2,1/(($D$3:D665=$D666)*($C$3:C665=$C666)*($A$3:A665&lt;$A666)),$AB$3:AB665),1000))</f>
        <v>0</v>
      </c>
      <c r="V666" s="120">
        <f t="shared" si="181"/>
        <v>0</v>
      </c>
      <c r="W666">
        <f t="shared" si="182"/>
        <v>0</v>
      </c>
      <c r="X666">
        <f t="shared" si="183"/>
        <v>0</v>
      </c>
      <c r="Y666">
        <f t="shared" si="184"/>
        <v>0</v>
      </c>
      <c r="Z666">
        <f t="shared" si="185"/>
        <v>0</v>
      </c>
      <c r="AA666">
        <f>IF($D666="",0,IF($F666&lt;2,0,IF($E666="Win",('Guide &amp; Settings'!$C$42/(($F666-1)*COUNTIFS($A$4:$A$810,$A666,$E$4:$E$810,"Win")))*SUMIFS($Z$4:$Z$810,$A$4:$A$810,$A666,$E$4:$E$810,"Loss"),-('Guide &amp; Settings'!$C$42/($F666-1))*$Z666)))</f>
        <v>0</v>
      </c>
      <c r="AB666" s="120">
        <f t="shared" si="186"/>
        <v>0</v>
      </c>
      <c r="AC666" s="120" t="str">
        <f>IF($D666="","",IF(SUMPRODUCT(MAX(($D$4:$D$810=$D666)*($B$4:$B$810&lt;$B666)*$B$4:$B$810))=0,0,MAX(($B666-MAX(SUMPRODUCT(MAX(($D$4:$D$810=$D666)*($B$4:$B$810&lt;$B666)*$B$4:$B$810)),'Guide &amp; Settings'!$C$50))/7-'Guide &amp; Settings'!$C$48,0)*'Guide &amp; Settings'!$C$49))</f>
        <v/>
      </c>
    </row>
    <row r="667" spans="1:29" x14ac:dyDescent="0.2">
      <c r="A667" s="111"/>
      <c r="B667" s="112"/>
      <c r="C667" s="113"/>
      <c r="D667" s="113"/>
      <c r="E667" s="111"/>
      <c r="F667" s="114">
        <f t="shared" si="170"/>
        <v>0</v>
      </c>
      <c r="G667" s="115" t="str">
        <f t="shared" si="171"/>
        <v/>
      </c>
      <c r="H667" s="116">
        <f>IF($D667="",0,IFERROR(LOOKUP(2,1/(($D$3:D666=$D667)*($A$3:A666&lt;$A667)),$N$3:N666),'Guide &amp; Settings'!$C$41))</f>
        <v>0</v>
      </c>
      <c r="I667" s="117">
        <f t="shared" si="172"/>
        <v>0</v>
      </c>
      <c r="J667" s="118">
        <f>IF($D667="",0,IF($F667&lt;2,0,IF($E667="Win",('Guide &amp; Settings'!$C$42/(($F667-1)*COUNTIFS($A$4:$A$810,$A667,$E$4:$E$810,"Win")))*SUMIFS($X$4:$X$810,$A$4:$A$810,$A667,$E$4:$E$810,"Loss"),-('Guide &amp; Settings'!$C$42/($F667-1))*$X667)))</f>
        <v>0</v>
      </c>
      <c r="K667" s="118">
        <f>IF($D667="",0,'Guide &amp; Settings'!$C$43*(IF($E667="Win",1,0)-$I667))</f>
        <v>0</v>
      </c>
      <c r="L667" s="119">
        <f>IF($D667="",0,'Guide &amp; Settings'!$C$44*IF($F667&gt;=3,$F667,0))</f>
        <v>0</v>
      </c>
      <c r="M667" s="118">
        <f t="shared" si="173"/>
        <v>0</v>
      </c>
      <c r="N667" s="116">
        <f t="shared" si="174"/>
        <v>0</v>
      </c>
      <c r="O667" s="115" t="str">
        <f t="shared" si="175"/>
        <v/>
      </c>
      <c r="P667">
        <f t="shared" si="176"/>
        <v>0</v>
      </c>
      <c r="Q667">
        <f t="shared" si="177"/>
        <v>0</v>
      </c>
      <c r="R667">
        <f t="shared" si="178"/>
        <v>0</v>
      </c>
      <c r="S667">
        <f t="shared" si="179"/>
        <v>0</v>
      </c>
      <c r="T667" s="83">
        <f t="shared" si="180"/>
        <v>0</v>
      </c>
      <c r="U667" s="120">
        <f>IF($D667="",0,IFERROR(LOOKUP(2,1/(($D$3:D666=$D667)*($C$3:C666=$C667)*($A$3:A666&lt;$A667)),$AB$3:AB666),1000))</f>
        <v>0</v>
      </c>
      <c r="V667" s="120">
        <f t="shared" si="181"/>
        <v>0</v>
      </c>
      <c r="W667">
        <f t="shared" si="182"/>
        <v>0</v>
      </c>
      <c r="X667">
        <f t="shared" si="183"/>
        <v>0</v>
      </c>
      <c r="Y667">
        <f t="shared" si="184"/>
        <v>0</v>
      </c>
      <c r="Z667">
        <f t="shared" si="185"/>
        <v>0</v>
      </c>
      <c r="AA667">
        <f>IF($D667="",0,IF($F667&lt;2,0,IF($E667="Win",('Guide &amp; Settings'!$C$42/(($F667-1)*COUNTIFS($A$4:$A$810,$A667,$E$4:$E$810,"Win")))*SUMIFS($Z$4:$Z$810,$A$4:$A$810,$A667,$E$4:$E$810,"Loss"),-('Guide &amp; Settings'!$C$42/($F667-1))*$Z667)))</f>
        <v>0</v>
      </c>
      <c r="AB667" s="120">
        <f t="shared" si="186"/>
        <v>0</v>
      </c>
      <c r="AC667" s="120" t="str">
        <f>IF($D667="","",IF(SUMPRODUCT(MAX(($D$4:$D$810=$D667)*($B$4:$B$810&lt;$B667)*$B$4:$B$810))=0,0,MAX(($B667-MAX(SUMPRODUCT(MAX(($D$4:$D$810=$D667)*($B$4:$B$810&lt;$B667)*$B$4:$B$810)),'Guide &amp; Settings'!$C$50))/7-'Guide &amp; Settings'!$C$48,0)*'Guide &amp; Settings'!$C$49))</f>
        <v/>
      </c>
    </row>
    <row r="668" spans="1:29" x14ac:dyDescent="0.2">
      <c r="A668" s="111"/>
      <c r="B668" s="112"/>
      <c r="C668" s="113"/>
      <c r="D668" s="113"/>
      <c r="E668" s="111"/>
      <c r="F668" s="114">
        <f t="shared" si="170"/>
        <v>0</v>
      </c>
      <c r="G668" s="115" t="str">
        <f t="shared" si="171"/>
        <v/>
      </c>
      <c r="H668" s="116">
        <f>IF($D668="",0,IFERROR(LOOKUP(2,1/(($D$3:D667=$D668)*($A$3:A667&lt;$A668)),$N$3:N667),'Guide &amp; Settings'!$C$41))</f>
        <v>0</v>
      </c>
      <c r="I668" s="117">
        <f t="shared" si="172"/>
        <v>0</v>
      </c>
      <c r="J668" s="118">
        <f>IF($D668="",0,IF($F668&lt;2,0,IF($E668="Win",('Guide &amp; Settings'!$C$42/(($F668-1)*COUNTIFS($A$4:$A$810,$A668,$E$4:$E$810,"Win")))*SUMIFS($X$4:$X$810,$A$4:$A$810,$A668,$E$4:$E$810,"Loss"),-('Guide &amp; Settings'!$C$42/($F668-1))*$X668)))</f>
        <v>0</v>
      </c>
      <c r="K668" s="118">
        <f>IF($D668="",0,'Guide &amp; Settings'!$C$43*(IF($E668="Win",1,0)-$I668))</f>
        <v>0</v>
      </c>
      <c r="L668" s="119">
        <f>IF($D668="",0,'Guide &amp; Settings'!$C$44*IF($F668&gt;=3,$F668,0))</f>
        <v>0</v>
      </c>
      <c r="M668" s="118">
        <f t="shared" si="173"/>
        <v>0</v>
      </c>
      <c r="N668" s="116">
        <f t="shared" si="174"/>
        <v>0</v>
      </c>
      <c r="O668" s="115" t="str">
        <f t="shared" si="175"/>
        <v/>
      </c>
      <c r="P668">
        <f t="shared" si="176"/>
        <v>0</v>
      </c>
      <c r="Q668">
        <f t="shared" si="177"/>
        <v>0</v>
      </c>
      <c r="R668">
        <f t="shared" si="178"/>
        <v>0</v>
      </c>
      <c r="S668">
        <f t="shared" si="179"/>
        <v>0</v>
      </c>
      <c r="T668" s="83">
        <f t="shared" si="180"/>
        <v>0</v>
      </c>
      <c r="U668" s="120">
        <f>IF($D668="",0,IFERROR(LOOKUP(2,1/(($D$3:D667=$D668)*($C$3:C667=$C668)*($A$3:A667&lt;$A668)),$AB$3:AB667),1000))</f>
        <v>0</v>
      </c>
      <c r="V668" s="120">
        <f t="shared" si="181"/>
        <v>0</v>
      </c>
      <c r="W668">
        <f t="shared" si="182"/>
        <v>0</v>
      </c>
      <c r="X668">
        <f t="shared" si="183"/>
        <v>0</v>
      </c>
      <c r="Y668">
        <f t="shared" si="184"/>
        <v>0</v>
      </c>
      <c r="Z668">
        <f t="shared" si="185"/>
        <v>0</v>
      </c>
      <c r="AA668">
        <f>IF($D668="",0,IF($F668&lt;2,0,IF($E668="Win",('Guide &amp; Settings'!$C$42/(($F668-1)*COUNTIFS($A$4:$A$810,$A668,$E$4:$E$810,"Win")))*SUMIFS($Z$4:$Z$810,$A$4:$A$810,$A668,$E$4:$E$810,"Loss"),-('Guide &amp; Settings'!$C$42/($F668-1))*$Z668)))</f>
        <v>0</v>
      </c>
      <c r="AB668" s="120">
        <f t="shared" si="186"/>
        <v>0</v>
      </c>
      <c r="AC668" s="120" t="str">
        <f>IF($D668="","",IF(SUMPRODUCT(MAX(($D$4:$D$810=$D668)*($B$4:$B$810&lt;$B668)*$B$4:$B$810))=0,0,MAX(($B668-MAX(SUMPRODUCT(MAX(($D$4:$D$810=$D668)*($B$4:$B$810&lt;$B668)*$B$4:$B$810)),'Guide &amp; Settings'!$C$50))/7-'Guide &amp; Settings'!$C$48,0)*'Guide &amp; Settings'!$C$49))</f>
        <v/>
      </c>
    </row>
    <row r="669" spans="1:29" x14ac:dyDescent="0.2">
      <c r="A669" s="111"/>
      <c r="B669" s="112"/>
      <c r="C669" s="113"/>
      <c r="D669" s="113"/>
      <c r="E669" s="111"/>
      <c r="F669" s="114">
        <f t="shared" si="170"/>
        <v>0</v>
      </c>
      <c r="G669" s="115" t="str">
        <f t="shared" si="171"/>
        <v/>
      </c>
      <c r="H669" s="116">
        <f>IF($D669="",0,IFERROR(LOOKUP(2,1/(($D$3:D668=$D669)*($A$3:A668&lt;$A669)),$N$3:N668),'Guide &amp; Settings'!$C$41))</f>
        <v>0</v>
      </c>
      <c r="I669" s="117">
        <f t="shared" si="172"/>
        <v>0</v>
      </c>
      <c r="J669" s="118">
        <f>IF($D669="",0,IF($F669&lt;2,0,IF($E669="Win",('Guide &amp; Settings'!$C$42/(($F669-1)*COUNTIFS($A$4:$A$810,$A669,$E$4:$E$810,"Win")))*SUMIFS($X$4:$X$810,$A$4:$A$810,$A669,$E$4:$E$810,"Loss"),-('Guide &amp; Settings'!$C$42/($F669-1))*$X669)))</f>
        <v>0</v>
      </c>
      <c r="K669" s="118">
        <f>IF($D669="",0,'Guide &amp; Settings'!$C$43*(IF($E669="Win",1,0)-$I669))</f>
        <v>0</v>
      </c>
      <c r="L669" s="119">
        <f>IF($D669="",0,'Guide &amp; Settings'!$C$44*IF($F669&gt;=3,$F669,0))</f>
        <v>0</v>
      </c>
      <c r="M669" s="118">
        <f t="shared" si="173"/>
        <v>0</v>
      </c>
      <c r="N669" s="116">
        <f t="shared" si="174"/>
        <v>0</v>
      </c>
      <c r="O669" s="115" t="str">
        <f t="shared" si="175"/>
        <v/>
      </c>
      <c r="P669">
        <f t="shared" si="176"/>
        <v>0</v>
      </c>
      <c r="Q669">
        <f t="shared" si="177"/>
        <v>0</v>
      </c>
      <c r="R669">
        <f t="shared" si="178"/>
        <v>0</v>
      </c>
      <c r="S669">
        <f t="shared" si="179"/>
        <v>0</v>
      </c>
      <c r="T669" s="83">
        <f t="shared" si="180"/>
        <v>0</v>
      </c>
      <c r="U669" s="120">
        <f>IF($D669="",0,IFERROR(LOOKUP(2,1/(($D$3:D668=$D669)*($C$3:C668=$C669)*($A$3:A668&lt;$A669)),$AB$3:AB668),1000))</f>
        <v>0</v>
      </c>
      <c r="V669" s="120">
        <f t="shared" si="181"/>
        <v>0</v>
      </c>
      <c r="W669">
        <f t="shared" si="182"/>
        <v>0</v>
      </c>
      <c r="X669">
        <f t="shared" si="183"/>
        <v>0</v>
      </c>
      <c r="Y669">
        <f t="shared" si="184"/>
        <v>0</v>
      </c>
      <c r="Z669">
        <f t="shared" si="185"/>
        <v>0</v>
      </c>
      <c r="AA669">
        <f>IF($D669="",0,IF($F669&lt;2,0,IF($E669="Win",('Guide &amp; Settings'!$C$42/(($F669-1)*COUNTIFS($A$4:$A$810,$A669,$E$4:$E$810,"Win")))*SUMIFS($Z$4:$Z$810,$A$4:$A$810,$A669,$E$4:$E$810,"Loss"),-('Guide &amp; Settings'!$C$42/($F669-1))*$Z669)))</f>
        <v>0</v>
      </c>
      <c r="AB669" s="120">
        <f t="shared" si="186"/>
        <v>0</v>
      </c>
      <c r="AC669" s="120" t="str">
        <f>IF($D669="","",IF(SUMPRODUCT(MAX(($D$4:$D$810=$D669)*($B$4:$B$810&lt;$B669)*$B$4:$B$810))=0,0,MAX(($B669-MAX(SUMPRODUCT(MAX(($D$4:$D$810=$D669)*($B$4:$B$810&lt;$B669)*$B$4:$B$810)),'Guide &amp; Settings'!$C$50))/7-'Guide &amp; Settings'!$C$48,0)*'Guide &amp; Settings'!$C$49))</f>
        <v/>
      </c>
    </row>
    <row r="670" spans="1:29" x14ac:dyDescent="0.2">
      <c r="A670" s="111"/>
      <c r="B670" s="112"/>
      <c r="C670" s="113"/>
      <c r="D670" s="113"/>
      <c r="E670" s="111"/>
      <c r="F670" s="114">
        <f t="shared" si="170"/>
        <v>0</v>
      </c>
      <c r="G670" s="115" t="str">
        <f t="shared" si="171"/>
        <v/>
      </c>
      <c r="H670" s="116">
        <f>IF($D670="",0,IFERROR(LOOKUP(2,1/(($D$3:D669=$D670)*($A$3:A669&lt;$A670)),$N$3:N669),'Guide &amp; Settings'!$C$41))</f>
        <v>0</v>
      </c>
      <c r="I670" s="117">
        <f t="shared" si="172"/>
        <v>0</v>
      </c>
      <c r="J670" s="118">
        <f>IF($D670="",0,IF($F670&lt;2,0,IF($E670="Win",('Guide &amp; Settings'!$C$42/(($F670-1)*COUNTIFS($A$4:$A$810,$A670,$E$4:$E$810,"Win")))*SUMIFS($X$4:$X$810,$A$4:$A$810,$A670,$E$4:$E$810,"Loss"),-('Guide &amp; Settings'!$C$42/($F670-1))*$X670)))</f>
        <v>0</v>
      </c>
      <c r="K670" s="118">
        <f>IF($D670="",0,'Guide &amp; Settings'!$C$43*(IF($E670="Win",1,0)-$I670))</f>
        <v>0</v>
      </c>
      <c r="L670" s="119">
        <f>IF($D670="",0,'Guide &amp; Settings'!$C$44*IF($F670&gt;=3,$F670,0))</f>
        <v>0</v>
      </c>
      <c r="M670" s="118">
        <f t="shared" si="173"/>
        <v>0</v>
      </c>
      <c r="N670" s="116">
        <f t="shared" si="174"/>
        <v>0</v>
      </c>
      <c r="O670" s="115" t="str">
        <f t="shared" si="175"/>
        <v/>
      </c>
      <c r="P670">
        <f t="shared" si="176"/>
        <v>0</v>
      </c>
      <c r="Q670">
        <f t="shared" si="177"/>
        <v>0</v>
      </c>
      <c r="R670">
        <f t="shared" si="178"/>
        <v>0</v>
      </c>
      <c r="S670">
        <f t="shared" si="179"/>
        <v>0</v>
      </c>
      <c r="T670" s="83">
        <f t="shared" si="180"/>
        <v>0</v>
      </c>
      <c r="U670" s="120">
        <f>IF($D670="",0,IFERROR(LOOKUP(2,1/(($D$3:D669=$D670)*($C$3:C669=$C670)*($A$3:A669&lt;$A670)),$AB$3:AB669),1000))</f>
        <v>0</v>
      </c>
      <c r="V670" s="120">
        <f t="shared" si="181"/>
        <v>0</v>
      </c>
      <c r="W670">
        <f t="shared" si="182"/>
        <v>0</v>
      </c>
      <c r="X670">
        <f t="shared" si="183"/>
        <v>0</v>
      </c>
      <c r="Y670">
        <f t="shared" si="184"/>
        <v>0</v>
      </c>
      <c r="Z670">
        <f t="shared" si="185"/>
        <v>0</v>
      </c>
      <c r="AA670">
        <f>IF($D670="",0,IF($F670&lt;2,0,IF($E670="Win",('Guide &amp; Settings'!$C$42/(($F670-1)*COUNTIFS($A$4:$A$810,$A670,$E$4:$E$810,"Win")))*SUMIFS($Z$4:$Z$810,$A$4:$A$810,$A670,$E$4:$E$810,"Loss"),-('Guide &amp; Settings'!$C$42/($F670-1))*$Z670)))</f>
        <v>0</v>
      </c>
      <c r="AB670" s="120">
        <f t="shared" si="186"/>
        <v>0</v>
      </c>
      <c r="AC670" s="120" t="str">
        <f>IF($D670="","",IF(SUMPRODUCT(MAX(($D$4:$D$810=$D670)*($B$4:$B$810&lt;$B670)*$B$4:$B$810))=0,0,MAX(($B670-MAX(SUMPRODUCT(MAX(($D$4:$D$810=$D670)*($B$4:$B$810&lt;$B670)*$B$4:$B$810)),'Guide &amp; Settings'!$C$50))/7-'Guide &amp; Settings'!$C$48,0)*'Guide &amp; Settings'!$C$49))</f>
        <v/>
      </c>
    </row>
    <row r="671" spans="1:29" x14ac:dyDescent="0.2">
      <c r="A671" s="111"/>
      <c r="B671" s="112"/>
      <c r="C671" s="113"/>
      <c r="D671" s="113"/>
      <c r="E671" s="111"/>
      <c r="F671" s="114">
        <f t="shared" si="170"/>
        <v>0</v>
      </c>
      <c r="G671" s="115" t="str">
        <f t="shared" si="171"/>
        <v/>
      </c>
      <c r="H671" s="116">
        <f>IF($D671="",0,IFERROR(LOOKUP(2,1/(($D$3:D670=$D671)*($A$3:A670&lt;$A671)),$N$3:N670),'Guide &amp; Settings'!$C$41))</f>
        <v>0</v>
      </c>
      <c r="I671" s="117">
        <f t="shared" si="172"/>
        <v>0</v>
      </c>
      <c r="J671" s="118">
        <f>IF($D671="",0,IF($F671&lt;2,0,IF($E671="Win",('Guide &amp; Settings'!$C$42/(($F671-1)*COUNTIFS($A$4:$A$810,$A671,$E$4:$E$810,"Win")))*SUMIFS($X$4:$X$810,$A$4:$A$810,$A671,$E$4:$E$810,"Loss"),-('Guide &amp; Settings'!$C$42/($F671-1))*$X671)))</f>
        <v>0</v>
      </c>
      <c r="K671" s="118">
        <f>IF($D671="",0,'Guide &amp; Settings'!$C$43*(IF($E671="Win",1,0)-$I671))</f>
        <v>0</v>
      </c>
      <c r="L671" s="119">
        <f>IF($D671="",0,'Guide &amp; Settings'!$C$44*IF($F671&gt;=3,$F671,0))</f>
        <v>0</v>
      </c>
      <c r="M671" s="118">
        <f t="shared" si="173"/>
        <v>0</v>
      </c>
      <c r="N671" s="116">
        <f t="shared" si="174"/>
        <v>0</v>
      </c>
      <c r="O671" s="115" t="str">
        <f t="shared" si="175"/>
        <v/>
      </c>
      <c r="P671">
        <f t="shared" si="176"/>
        <v>0</v>
      </c>
      <c r="Q671">
        <f t="shared" si="177"/>
        <v>0</v>
      </c>
      <c r="R671">
        <f t="shared" si="178"/>
        <v>0</v>
      </c>
      <c r="S671">
        <f t="shared" si="179"/>
        <v>0</v>
      </c>
      <c r="T671" s="83">
        <f t="shared" si="180"/>
        <v>0</v>
      </c>
      <c r="U671" s="120">
        <f>IF($D671="",0,IFERROR(LOOKUP(2,1/(($D$3:D670=$D671)*($C$3:C670=$C671)*($A$3:A670&lt;$A671)),$AB$3:AB670),1000))</f>
        <v>0</v>
      </c>
      <c r="V671" s="120">
        <f t="shared" si="181"/>
        <v>0</v>
      </c>
      <c r="W671">
        <f t="shared" si="182"/>
        <v>0</v>
      </c>
      <c r="X671">
        <f t="shared" si="183"/>
        <v>0</v>
      </c>
      <c r="Y671">
        <f t="shared" si="184"/>
        <v>0</v>
      </c>
      <c r="Z671">
        <f t="shared" si="185"/>
        <v>0</v>
      </c>
      <c r="AA671">
        <f>IF($D671="",0,IF($F671&lt;2,0,IF($E671="Win",('Guide &amp; Settings'!$C$42/(($F671-1)*COUNTIFS($A$4:$A$810,$A671,$E$4:$E$810,"Win")))*SUMIFS($Z$4:$Z$810,$A$4:$A$810,$A671,$E$4:$E$810,"Loss"),-('Guide &amp; Settings'!$C$42/($F671-1))*$Z671)))</f>
        <v>0</v>
      </c>
      <c r="AB671" s="120">
        <f t="shared" si="186"/>
        <v>0</v>
      </c>
      <c r="AC671" s="120" t="str">
        <f>IF($D671="","",IF(SUMPRODUCT(MAX(($D$4:$D$810=$D671)*($B$4:$B$810&lt;$B671)*$B$4:$B$810))=0,0,MAX(($B671-MAX(SUMPRODUCT(MAX(($D$4:$D$810=$D671)*($B$4:$B$810&lt;$B671)*$B$4:$B$810)),'Guide &amp; Settings'!$C$50))/7-'Guide &amp; Settings'!$C$48,0)*'Guide &amp; Settings'!$C$49))</f>
        <v/>
      </c>
    </row>
    <row r="672" spans="1:29" x14ac:dyDescent="0.2">
      <c r="A672" s="111"/>
      <c r="B672" s="112"/>
      <c r="C672" s="113"/>
      <c r="D672" s="113"/>
      <c r="E672" s="111"/>
      <c r="F672" s="114">
        <f t="shared" si="170"/>
        <v>0</v>
      </c>
      <c r="G672" s="115" t="str">
        <f t="shared" si="171"/>
        <v/>
      </c>
      <c r="H672" s="116">
        <f>IF($D672="",0,IFERROR(LOOKUP(2,1/(($D$3:D671=$D672)*($A$3:A671&lt;$A672)),$N$3:N671),'Guide &amp; Settings'!$C$41))</f>
        <v>0</v>
      </c>
      <c r="I672" s="117">
        <f t="shared" si="172"/>
        <v>0</v>
      </c>
      <c r="J672" s="118">
        <f>IF($D672="",0,IF($F672&lt;2,0,IF($E672="Win",('Guide &amp; Settings'!$C$42/(($F672-1)*COUNTIFS($A$4:$A$810,$A672,$E$4:$E$810,"Win")))*SUMIFS($X$4:$X$810,$A$4:$A$810,$A672,$E$4:$E$810,"Loss"),-('Guide &amp; Settings'!$C$42/($F672-1))*$X672)))</f>
        <v>0</v>
      </c>
      <c r="K672" s="118">
        <f>IF($D672="",0,'Guide &amp; Settings'!$C$43*(IF($E672="Win",1,0)-$I672))</f>
        <v>0</v>
      </c>
      <c r="L672" s="119">
        <f>IF($D672="",0,'Guide &amp; Settings'!$C$44*IF($F672&gt;=3,$F672,0))</f>
        <v>0</v>
      </c>
      <c r="M672" s="118">
        <f t="shared" si="173"/>
        <v>0</v>
      </c>
      <c r="N672" s="116">
        <f t="shared" si="174"/>
        <v>0</v>
      </c>
      <c r="O672" s="115" t="str">
        <f t="shared" si="175"/>
        <v/>
      </c>
      <c r="P672">
        <f t="shared" si="176"/>
        <v>0</v>
      </c>
      <c r="Q672">
        <f t="shared" si="177"/>
        <v>0</v>
      </c>
      <c r="R672">
        <f t="shared" si="178"/>
        <v>0</v>
      </c>
      <c r="S672">
        <f t="shared" si="179"/>
        <v>0</v>
      </c>
      <c r="T672" s="83">
        <f t="shared" si="180"/>
        <v>0</v>
      </c>
      <c r="U672" s="120">
        <f>IF($D672="",0,IFERROR(LOOKUP(2,1/(($D$3:D671=$D672)*($C$3:C671=$C672)*($A$3:A671&lt;$A672)),$AB$3:AB671),1000))</f>
        <v>0</v>
      </c>
      <c r="V672" s="120">
        <f t="shared" si="181"/>
        <v>0</v>
      </c>
      <c r="W672">
        <f t="shared" si="182"/>
        <v>0</v>
      </c>
      <c r="X672">
        <f t="shared" si="183"/>
        <v>0</v>
      </c>
      <c r="Y672">
        <f t="shared" si="184"/>
        <v>0</v>
      </c>
      <c r="Z672">
        <f t="shared" si="185"/>
        <v>0</v>
      </c>
      <c r="AA672">
        <f>IF($D672="",0,IF($F672&lt;2,0,IF($E672="Win",('Guide &amp; Settings'!$C$42/(($F672-1)*COUNTIFS($A$4:$A$810,$A672,$E$4:$E$810,"Win")))*SUMIFS($Z$4:$Z$810,$A$4:$A$810,$A672,$E$4:$E$810,"Loss"),-('Guide &amp; Settings'!$C$42/($F672-1))*$Z672)))</f>
        <v>0</v>
      </c>
      <c r="AB672" s="120">
        <f t="shared" si="186"/>
        <v>0</v>
      </c>
      <c r="AC672" s="120" t="str">
        <f>IF($D672="","",IF(SUMPRODUCT(MAX(($D$4:$D$810=$D672)*($B$4:$B$810&lt;$B672)*$B$4:$B$810))=0,0,MAX(($B672-MAX(SUMPRODUCT(MAX(($D$4:$D$810=$D672)*($B$4:$B$810&lt;$B672)*$B$4:$B$810)),'Guide &amp; Settings'!$C$50))/7-'Guide &amp; Settings'!$C$48,0)*'Guide &amp; Settings'!$C$49))</f>
        <v/>
      </c>
    </row>
    <row r="673" spans="1:29" x14ac:dyDescent="0.2">
      <c r="A673" s="111"/>
      <c r="B673" s="112"/>
      <c r="C673" s="113"/>
      <c r="D673" s="113"/>
      <c r="E673" s="111"/>
      <c r="F673" s="114">
        <f t="shared" si="170"/>
        <v>0</v>
      </c>
      <c r="G673" s="115" t="str">
        <f t="shared" si="171"/>
        <v/>
      </c>
      <c r="H673" s="116">
        <f>IF($D673="",0,IFERROR(LOOKUP(2,1/(($D$3:D672=$D673)*($A$3:A672&lt;$A673)),$N$3:N672),'Guide &amp; Settings'!$C$41))</f>
        <v>0</v>
      </c>
      <c r="I673" s="117">
        <f t="shared" si="172"/>
        <v>0</v>
      </c>
      <c r="J673" s="118">
        <f>IF($D673="",0,IF($F673&lt;2,0,IF($E673="Win",('Guide &amp; Settings'!$C$42/(($F673-1)*COUNTIFS($A$4:$A$810,$A673,$E$4:$E$810,"Win")))*SUMIFS($X$4:$X$810,$A$4:$A$810,$A673,$E$4:$E$810,"Loss"),-('Guide &amp; Settings'!$C$42/($F673-1))*$X673)))</f>
        <v>0</v>
      </c>
      <c r="K673" s="118">
        <f>IF($D673="",0,'Guide &amp; Settings'!$C$43*(IF($E673="Win",1,0)-$I673))</f>
        <v>0</v>
      </c>
      <c r="L673" s="119">
        <f>IF($D673="",0,'Guide &amp; Settings'!$C$44*IF($F673&gt;=3,$F673,0))</f>
        <v>0</v>
      </c>
      <c r="M673" s="118">
        <f t="shared" si="173"/>
        <v>0</v>
      </c>
      <c r="N673" s="116">
        <f t="shared" si="174"/>
        <v>0</v>
      </c>
      <c r="O673" s="115" t="str">
        <f t="shared" si="175"/>
        <v/>
      </c>
      <c r="P673">
        <f t="shared" si="176"/>
        <v>0</v>
      </c>
      <c r="Q673">
        <f t="shared" si="177"/>
        <v>0</v>
      </c>
      <c r="R673">
        <f t="shared" si="178"/>
        <v>0</v>
      </c>
      <c r="S673">
        <f t="shared" si="179"/>
        <v>0</v>
      </c>
      <c r="T673" s="83">
        <f t="shared" si="180"/>
        <v>0</v>
      </c>
      <c r="U673" s="120">
        <f>IF($D673="",0,IFERROR(LOOKUP(2,1/(($D$3:D672=$D673)*($C$3:C672=$C673)*($A$3:A672&lt;$A673)),$AB$3:AB672),1000))</f>
        <v>0</v>
      </c>
      <c r="V673" s="120">
        <f t="shared" si="181"/>
        <v>0</v>
      </c>
      <c r="W673">
        <f t="shared" si="182"/>
        <v>0</v>
      </c>
      <c r="X673">
        <f t="shared" si="183"/>
        <v>0</v>
      </c>
      <c r="Y673">
        <f t="shared" si="184"/>
        <v>0</v>
      </c>
      <c r="Z673">
        <f t="shared" si="185"/>
        <v>0</v>
      </c>
      <c r="AA673">
        <f>IF($D673="",0,IF($F673&lt;2,0,IF($E673="Win",('Guide &amp; Settings'!$C$42/(($F673-1)*COUNTIFS($A$4:$A$810,$A673,$E$4:$E$810,"Win")))*SUMIFS($Z$4:$Z$810,$A$4:$A$810,$A673,$E$4:$E$810,"Loss"),-('Guide &amp; Settings'!$C$42/($F673-1))*$Z673)))</f>
        <v>0</v>
      </c>
      <c r="AB673" s="120">
        <f t="shared" si="186"/>
        <v>0</v>
      </c>
      <c r="AC673" s="120" t="str">
        <f>IF($D673="","",IF(SUMPRODUCT(MAX(($D$4:$D$810=$D673)*($B$4:$B$810&lt;$B673)*$B$4:$B$810))=0,0,MAX(($B673-MAX(SUMPRODUCT(MAX(($D$4:$D$810=$D673)*($B$4:$B$810&lt;$B673)*$B$4:$B$810)),'Guide &amp; Settings'!$C$50))/7-'Guide &amp; Settings'!$C$48,0)*'Guide &amp; Settings'!$C$49))</f>
        <v/>
      </c>
    </row>
    <row r="674" spans="1:29" x14ac:dyDescent="0.2">
      <c r="A674" s="111"/>
      <c r="B674" s="112"/>
      <c r="C674" s="113"/>
      <c r="D674" s="113"/>
      <c r="E674" s="111"/>
      <c r="F674" s="114">
        <f t="shared" si="170"/>
        <v>0</v>
      </c>
      <c r="G674" s="115" t="str">
        <f t="shared" si="171"/>
        <v/>
      </c>
      <c r="H674" s="116">
        <f>IF($D674="",0,IFERROR(LOOKUP(2,1/(($D$3:D673=$D674)*($A$3:A673&lt;$A674)),$N$3:N673),'Guide &amp; Settings'!$C$41))</f>
        <v>0</v>
      </c>
      <c r="I674" s="117">
        <f t="shared" si="172"/>
        <v>0</v>
      </c>
      <c r="J674" s="118">
        <f>IF($D674="",0,IF($F674&lt;2,0,IF($E674="Win",('Guide &amp; Settings'!$C$42/(($F674-1)*COUNTIFS($A$4:$A$810,$A674,$E$4:$E$810,"Win")))*SUMIFS($X$4:$X$810,$A$4:$A$810,$A674,$E$4:$E$810,"Loss"),-('Guide &amp; Settings'!$C$42/($F674-1))*$X674)))</f>
        <v>0</v>
      </c>
      <c r="K674" s="118">
        <f>IF($D674="",0,'Guide &amp; Settings'!$C$43*(IF($E674="Win",1,0)-$I674))</f>
        <v>0</v>
      </c>
      <c r="L674" s="119">
        <f>IF($D674="",0,'Guide &amp; Settings'!$C$44*IF($F674&gt;=3,$F674,0))</f>
        <v>0</v>
      </c>
      <c r="M674" s="118">
        <f t="shared" si="173"/>
        <v>0</v>
      </c>
      <c r="N674" s="116">
        <f t="shared" si="174"/>
        <v>0</v>
      </c>
      <c r="O674" s="115" t="str">
        <f t="shared" si="175"/>
        <v/>
      </c>
      <c r="P674">
        <f t="shared" si="176"/>
        <v>0</v>
      </c>
      <c r="Q674">
        <f t="shared" si="177"/>
        <v>0</v>
      </c>
      <c r="R674">
        <f t="shared" si="178"/>
        <v>0</v>
      </c>
      <c r="S674">
        <f t="shared" si="179"/>
        <v>0</v>
      </c>
      <c r="T674" s="83">
        <f t="shared" si="180"/>
        <v>0</v>
      </c>
      <c r="U674" s="120">
        <f>IF($D674="",0,IFERROR(LOOKUP(2,1/(($D$3:D673=$D674)*($C$3:C673=$C674)*($A$3:A673&lt;$A674)),$AB$3:AB673),1000))</f>
        <v>0</v>
      </c>
      <c r="V674" s="120">
        <f t="shared" si="181"/>
        <v>0</v>
      </c>
      <c r="W674">
        <f t="shared" si="182"/>
        <v>0</v>
      </c>
      <c r="X674">
        <f t="shared" si="183"/>
        <v>0</v>
      </c>
      <c r="Y674">
        <f t="shared" si="184"/>
        <v>0</v>
      </c>
      <c r="Z674">
        <f t="shared" si="185"/>
        <v>0</v>
      </c>
      <c r="AA674">
        <f>IF($D674="",0,IF($F674&lt;2,0,IF($E674="Win",('Guide &amp; Settings'!$C$42/(($F674-1)*COUNTIFS($A$4:$A$810,$A674,$E$4:$E$810,"Win")))*SUMIFS($Z$4:$Z$810,$A$4:$A$810,$A674,$E$4:$E$810,"Loss"),-('Guide &amp; Settings'!$C$42/($F674-1))*$Z674)))</f>
        <v>0</v>
      </c>
      <c r="AB674" s="120">
        <f t="shared" si="186"/>
        <v>0</v>
      </c>
      <c r="AC674" s="120" t="str">
        <f>IF($D674="","",IF(SUMPRODUCT(MAX(($D$4:$D$810=$D674)*($B$4:$B$810&lt;$B674)*$B$4:$B$810))=0,0,MAX(($B674-MAX(SUMPRODUCT(MAX(($D$4:$D$810=$D674)*($B$4:$B$810&lt;$B674)*$B$4:$B$810)),'Guide &amp; Settings'!$C$50))/7-'Guide &amp; Settings'!$C$48,0)*'Guide &amp; Settings'!$C$49))</f>
        <v/>
      </c>
    </row>
    <row r="675" spans="1:29" x14ac:dyDescent="0.2">
      <c r="A675" s="111"/>
      <c r="B675" s="112"/>
      <c r="C675" s="113"/>
      <c r="D675" s="113"/>
      <c r="E675" s="111"/>
      <c r="F675" s="114">
        <f t="shared" si="170"/>
        <v>0</v>
      </c>
      <c r="G675" s="115" t="str">
        <f t="shared" si="171"/>
        <v/>
      </c>
      <c r="H675" s="116">
        <f>IF($D675="",0,IFERROR(LOOKUP(2,1/(($D$3:D674=$D675)*($A$3:A674&lt;$A675)),$N$3:N674),'Guide &amp; Settings'!$C$41))</f>
        <v>0</v>
      </c>
      <c r="I675" s="117">
        <f t="shared" si="172"/>
        <v>0</v>
      </c>
      <c r="J675" s="118">
        <f>IF($D675="",0,IF($F675&lt;2,0,IF($E675="Win",('Guide &amp; Settings'!$C$42/(($F675-1)*COUNTIFS($A$4:$A$810,$A675,$E$4:$E$810,"Win")))*SUMIFS($X$4:$X$810,$A$4:$A$810,$A675,$E$4:$E$810,"Loss"),-('Guide &amp; Settings'!$C$42/($F675-1))*$X675)))</f>
        <v>0</v>
      </c>
      <c r="K675" s="118">
        <f>IF($D675="",0,'Guide &amp; Settings'!$C$43*(IF($E675="Win",1,0)-$I675))</f>
        <v>0</v>
      </c>
      <c r="L675" s="119">
        <f>IF($D675="",0,'Guide &amp; Settings'!$C$44*IF($F675&gt;=3,$F675,0))</f>
        <v>0</v>
      </c>
      <c r="M675" s="118">
        <f t="shared" si="173"/>
        <v>0</v>
      </c>
      <c r="N675" s="116">
        <f t="shared" si="174"/>
        <v>0</v>
      </c>
      <c r="O675" s="115" t="str">
        <f t="shared" si="175"/>
        <v/>
      </c>
      <c r="P675">
        <f t="shared" si="176"/>
        <v>0</v>
      </c>
      <c r="Q675">
        <f t="shared" si="177"/>
        <v>0</v>
      </c>
      <c r="R675">
        <f t="shared" si="178"/>
        <v>0</v>
      </c>
      <c r="S675">
        <f t="shared" si="179"/>
        <v>0</v>
      </c>
      <c r="T675" s="83">
        <f t="shared" si="180"/>
        <v>0</v>
      </c>
      <c r="U675" s="120">
        <f>IF($D675="",0,IFERROR(LOOKUP(2,1/(($D$3:D674=$D675)*($C$3:C674=$C675)*($A$3:A674&lt;$A675)),$AB$3:AB674),1000))</f>
        <v>0</v>
      </c>
      <c r="V675" s="120">
        <f t="shared" si="181"/>
        <v>0</v>
      </c>
      <c r="W675">
        <f t="shared" si="182"/>
        <v>0</v>
      </c>
      <c r="X675">
        <f t="shared" si="183"/>
        <v>0</v>
      </c>
      <c r="Y675">
        <f t="shared" si="184"/>
        <v>0</v>
      </c>
      <c r="Z675">
        <f t="shared" si="185"/>
        <v>0</v>
      </c>
      <c r="AA675">
        <f>IF($D675="",0,IF($F675&lt;2,0,IF($E675="Win",('Guide &amp; Settings'!$C$42/(($F675-1)*COUNTIFS($A$4:$A$810,$A675,$E$4:$E$810,"Win")))*SUMIFS($Z$4:$Z$810,$A$4:$A$810,$A675,$E$4:$E$810,"Loss"),-('Guide &amp; Settings'!$C$42/($F675-1))*$Z675)))</f>
        <v>0</v>
      </c>
      <c r="AB675" s="120">
        <f t="shared" si="186"/>
        <v>0</v>
      </c>
      <c r="AC675" s="120" t="str">
        <f>IF($D675="","",IF(SUMPRODUCT(MAX(($D$4:$D$810=$D675)*($B$4:$B$810&lt;$B675)*$B$4:$B$810))=0,0,MAX(($B675-MAX(SUMPRODUCT(MAX(($D$4:$D$810=$D675)*($B$4:$B$810&lt;$B675)*$B$4:$B$810)),'Guide &amp; Settings'!$C$50))/7-'Guide &amp; Settings'!$C$48,0)*'Guide &amp; Settings'!$C$49))</f>
        <v/>
      </c>
    </row>
    <row r="676" spans="1:29" x14ac:dyDescent="0.2">
      <c r="A676" s="111"/>
      <c r="B676" s="112"/>
      <c r="C676" s="113"/>
      <c r="D676" s="113"/>
      <c r="E676" s="111"/>
      <c r="F676" s="114">
        <f t="shared" si="170"/>
        <v>0</v>
      </c>
      <c r="G676" s="115" t="str">
        <f t="shared" si="171"/>
        <v/>
      </c>
      <c r="H676" s="116">
        <f>IF($D676="",0,IFERROR(LOOKUP(2,1/(($D$3:D675=$D676)*($A$3:A675&lt;$A676)),$N$3:N675),'Guide &amp; Settings'!$C$41))</f>
        <v>0</v>
      </c>
      <c r="I676" s="117">
        <f t="shared" si="172"/>
        <v>0</v>
      </c>
      <c r="J676" s="118">
        <f>IF($D676="",0,IF($F676&lt;2,0,IF($E676="Win",('Guide &amp; Settings'!$C$42/(($F676-1)*COUNTIFS($A$4:$A$810,$A676,$E$4:$E$810,"Win")))*SUMIFS($X$4:$X$810,$A$4:$A$810,$A676,$E$4:$E$810,"Loss"),-('Guide &amp; Settings'!$C$42/($F676-1))*$X676)))</f>
        <v>0</v>
      </c>
      <c r="K676" s="118">
        <f>IF($D676="",0,'Guide &amp; Settings'!$C$43*(IF($E676="Win",1,0)-$I676))</f>
        <v>0</v>
      </c>
      <c r="L676" s="119">
        <f>IF($D676="",0,'Guide &amp; Settings'!$C$44*IF($F676&gt;=3,$F676,0))</f>
        <v>0</v>
      </c>
      <c r="M676" s="118">
        <f t="shared" si="173"/>
        <v>0</v>
      </c>
      <c r="N676" s="116">
        <f t="shared" si="174"/>
        <v>0</v>
      </c>
      <c r="O676" s="115" t="str">
        <f t="shared" si="175"/>
        <v/>
      </c>
      <c r="P676">
        <f t="shared" si="176"/>
        <v>0</v>
      </c>
      <c r="Q676">
        <f t="shared" si="177"/>
        <v>0</v>
      </c>
      <c r="R676">
        <f t="shared" si="178"/>
        <v>0</v>
      </c>
      <c r="S676">
        <f t="shared" si="179"/>
        <v>0</v>
      </c>
      <c r="T676" s="83">
        <f t="shared" si="180"/>
        <v>0</v>
      </c>
      <c r="U676" s="120">
        <f>IF($D676="",0,IFERROR(LOOKUP(2,1/(($D$3:D675=$D676)*($C$3:C675=$C676)*($A$3:A675&lt;$A676)),$AB$3:AB675),1000))</f>
        <v>0</v>
      </c>
      <c r="V676" s="120">
        <f t="shared" si="181"/>
        <v>0</v>
      </c>
      <c r="W676">
        <f t="shared" si="182"/>
        <v>0</v>
      </c>
      <c r="X676">
        <f t="shared" si="183"/>
        <v>0</v>
      </c>
      <c r="Y676">
        <f t="shared" si="184"/>
        <v>0</v>
      </c>
      <c r="Z676">
        <f t="shared" si="185"/>
        <v>0</v>
      </c>
      <c r="AA676">
        <f>IF($D676="",0,IF($F676&lt;2,0,IF($E676="Win",('Guide &amp; Settings'!$C$42/(($F676-1)*COUNTIFS($A$4:$A$810,$A676,$E$4:$E$810,"Win")))*SUMIFS($Z$4:$Z$810,$A$4:$A$810,$A676,$E$4:$E$810,"Loss"),-('Guide &amp; Settings'!$C$42/($F676-1))*$Z676)))</f>
        <v>0</v>
      </c>
      <c r="AB676" s="120">
        <f t="shared" si="186"/>
        <v>0</v>
      </c>
      <c r="AC676" s="120" t="str">
        <f>IF($D676="","",IF(SUMPRODUCT(MAX(($D$4:$D$810=$D676)*($B$4:$B$810&lt;$B676)*$B$4:$B$810))=0,0,MAX(($B676-MAX(SUMPRODUCT(MAX(($D$4:$D$810=$D676)*($B$4:$B$810&lt;$B676)*$B$4:$B$810)),'Guide &amp; Settings'!$C$50))/7-'Guide &amp; Settings'!$C$48,0)*'Guide &amp; Settings'!$C$49))</f>
        <v/>
      </c>
    </row>
    <row r="677" spans="1:29" x14ac:dyDescent="0.2">
      <c r="A677" s="111"/>
      <c r="B677" s="112"/>
      <c r="C677" s="113"/>
      <c r="D677" s="113"/>
      <c r="E677" s="111"/>
      <c r="F677" s="114">
        <f t="shared" si="170"/>
        <v>0</v>
      </c>
      <c r="G677" s="115" t="str">
        <f t="shared" si="171"/>
        <v/>
      </c>
      <c r="H677" s="116">
        <f>IF($D677="",0,IFERROR(LOOKUP(2,1/(($D$3:D676=$D677)*($A$3:A676&lt;$A677)),$N$3:N676),'Guide &amp; Settings'!$C$41))</f>
        <v>0</v>
      </c>
      <c r="I677" s="117">
        <f t="shared" si="172"/>
        <v>0</v>
      </c>
      <c r="J677" s="118">
        <f>IF($D677="",0,IF($F677&lt;2,0,IF($E677="Win",('Guide &amp; Settings'!$C$42/(($F677-1)*COUNTIFS($A$4:$A$810,$A677,$E$4:$E$810,"Win")))*SUMIFS($X$4:$X$810,$A$4:$A$810,$A677,$E$4:$E$810,"Loss"),-('Guide &amp; Settings'!$C$42/($F677-1))*$X677)))</f>
        <v>0</v>
      </c>
      <c r="K677" s="118">
        <f>IF($D677="",0,'Guide &amp; Settings'!$C$43*(IF($E677="Win",1,0)-$I677))</f>
        <v>0</v>
      </c>
      <c r="L677" s="119">
        <f>IF($D677="",0,'Guide &amp; Settings'!$C$44*IF($F677&gt;=3,$F677,0))</f>
        <v>0</v>
      </c>
      <c r="M677" s="118">
        <f t="shared" si="173"/>
        <v>0</v>
      </c>
      <c r="N677" s="116">
        <f t="shared" si="174"/>
        <v>0</v>
      </c>
      <c r="O677" s="115" t="str">
        <f t="shared" si="175"/>
        <v/>
      </c>
      <c r="P677">
        <f t="shared" si="176"/>
        <v>0</v>
      </c>
      <c r="Q677">
        <f t="shared" si="177"/>
        <v>0</v>
      </c>
      <c r="R677">
        <f t="shared" si="178"/>
        <v>0</v>
      </c>
      <c r="S677">
        <f t="shared" si="179"/>
        <v>0</v>
      </c>
      <c r="T677" s="83">
        <f t="shared" si="180"/>
        <v>0</v>
      </c>
      <c r="U677" s="120">
        <f>IF($D677="",0,IFERROR(LOOKUP(2,1/(($D$3:D676=$D677)*($C$3:C676=$C677)*($A$3:A676&lt;$A677)),$AB$3:AB676),1000))</f>
        <v>0</v>
      </c>
      <c r="V677" s="120">
        <f t="shared" si="181"/>
        <v>0</v>
      </c>
      <c r="W677">
        <f t="shared" si="182"/>
        <v>0</v>
      </c>
      <c r="X677">
        <f t="shared" si="183"/>
        <v>0</v>
      </c>
      <c r="Y677">
        <f t="shared" si="184"/>
        <v>0</v>
      </c>
      <c r="Z677">
        <f t="shared" si="185"/>
        <v>0</v>
      </c>
      <c r="AA677">
        <f>IF($D677="",0,IF($F677&lt;2,0,IF($E677="Win",('Guide &amp; Settings'!$C$42/(($F677-1)*COUNTIFS($A$4:$A$810,$A677,$E$4:$E$810,"Win")))*SUMIFS($Z$4:$Z$810,$A$4:$A$810,$A677,$E$4:$E$810,"Loss"),-('Guide &amp; Settings'!$C$42/($F677-1))*$Z677)))</f>
        <v>0</v>
      </c>
      <c r="AB677" s="120">
        <f t="shared" si="186"/>
        <v>0</v>
      </c>
      <c r="AC677" s="120" t="str">
        <f>IF($D677="","",IF(SUMPRODUCT(MAX(($D$4:$D$810=$D677)*($B$4:$B$810&lt;$B677)*$B$4:$B$810))=0,0,MAX(($B677-MAX(SUMPRODUCT(MAX(($D$4:$D$810=$D677)*($B$4:$B$810&lt;$B677)*$B$4:$B$810)),'Guide &amp; Settings'!$C$50))/7-'Guide &amp; Settings'!$C$48,0)*'Guide &amp; Settings'!$C$49))</f>
        <v/>
      </c>
    </row>
    <row r="678" spans="1:29" x14ac:dyDescent="0.2">
      <c r="A678" s="111"/>
      <c r="B678" s="112"/>
      <c r="C678" s="113"/>
      <c r="D678" s="113"/>
      <c r="E678" s="111"/>
      <c r="F678" s="114">
        <f t="shared" si="170"/>
        <v>0</v>
      </c>
      <c r="G678" s="115" t="str">
        <f t="shared" si="171"/>
        <v/>
      </c>
      <c r="H678" s="116">
        <f>IF($D678="",0,IFERROR(LOOKUP(2,1/(($D$3:D677=$D678)*($A$3:A677&lt;$A678)),$N$3:N677),'Guide &amp; Settings'!$C$41))</f>
        <v>0</v>
      </c>
      <c r="I678" s="117">
        <f t="shared" si="172"/>
        <v>0</v>
      </c>
      <c r="J678" s="118">
        <f>IF($D678="",0,IF($F678&lt;2,0,IF($E678="Win",('Guide &amp; Settings'!$C$42/(($F678-1)*COUNTIFS($A$4:$A$810,$A678,$E$4:$E$810,"Win")))*SUMIFS($X$4:$X$810,$A$4:$A$810,$A678,$E$4:$E$810,"Loss"),-('Guide &amp; Settings'!$C$42/($F678-1))*$X678)))</f>
        <v>0</v>
      </c>
      <c r="K678" s="118">
        <f>IF($D678="",0,'Guide &amp; Settings'!$C$43*(IF($E678="Win",1,0)-$I678))</f>
        <v>0</v>
      </c>
      <c r="L678" s="119">
        <f>IF($D678="",0,'Guide &amp; Settings'!$C$44*IF($F678&gt;=3,$F678,0))</f>
        <v>0</v>
      </c>
      <c r="M678" s="118">
        <f t="shared" si="173"/>
        <v>0</v>
      </c>
      <c r="N678" s="116">
        <f t="shared" si="174"/>
        <v>0</v>
      </c>
      <c r="O678" s="115" t="str">
        <f t="shared" si="175"/>
        <v/>
      </c>
      <c r="P678">
        <f t="shared" si="176"/>
        <v>0</v>
      </c>
      <c r="Q678">
        <f t="shared" si="177"/>
        <v>0</v>
      </c>
      <c r="R678">
        <f t="shared" si="178"/>
        <v>0</v>
      </c>
      <c r="S678">
        <f t="shared" si="179"/>
        <v>0</v>
      </c>
      <c r="T678" s="83">
        <f t="shared" si="180"/>
        <v>0</v>
      </c>
      <c r="U678" s="120">
        <f>IF($D678="",0,IFERROR(LOOKUP(2,1/(($D$3:D677=$D678)*($C$3:C677=$C678)*($A$3:A677&lt;$A678)),$AB$3:AB677),1000))</f>
        <v>0</v>
      </c>
      <c r="V678" s="120">
        <f t="shared" si="181"/>
        <v>0</v>
      </c>
      <c r="W678">
        <f t="shared" si="182"/>
        <v>0</v>
      </c>
      <c r="X678">
        <f t="shared" si="183"/>
        <v>0</v>
      </c>
      <c r="Y678">
        <f t="shared" si="184"/>
        <v>0</v>
      </c>
      <c r="Z678">
        <f t="shared" si="185"/>
        <v>0</v>
      </c>
      <c r="AA678">
        <f>IF($D678="",0,IF($F678&lt;2,0,IF($E678="Win",('Guide &amp; Settings'!$C$42/(($F678-1)*COUNTIFS($A$4:$A$810,$A678,$E$4:$E$810,"Win")))*SUMIFS($Z$4:$Z$810,$A$4:$A$810,$A678,$E$4:$E$810,"Loss"),-('Guide &amp; Settings'!$C$42/($F678-1))*$Z678)))</f>
        <v>0</v>
      </c>
      <c r="AB678" s="120">
        <f t="shared" si="186"/>
        <v>0</v>
      </c>
      <c r="AC678" s="120" t="str">
        <f>IF($D678="","",IF(SUMPRODUCT(MAX(($D$4:$D$810=$D678)*($B$4:$B$810&lt;$B678)*$B$4:$B$810))=0,0,MAX(($B678-MAX(SUMPRODUCT(MAX(($D$4:$D$810=$D678)*($B$4:$B$810&lt;$B678)*$B$4:$B$810)),'Guide &amp; Settings'!$C$50))/7-'Guide &amp; Settings'!$C$48,0)*'Guide &amp; Settings'!$C$49))</f>
        <v/>
      </c>
    </row>
    <row r="679" spans="1:29" x14ac:dyDescent="0.2">
      <c r="A679" s="111"/>
      <c r="B679" s="112"/>
      <c r="C679" s="113"/>
      <c r="D679" s="113"/>
      <c r="E679" s="111"/>
      <c r="F679" s="114">
        <f t="shared" si="170"/>
        <v>0</v>
      </c>
      <c r="G679" s="115" t="str">
        <f t="shared" si="171"/>
        <v/>
      </c>
      <c r="H679" s="116">
        <f>IF($D679="",0,IFERROR(LOOKUP(2,1/(($D$3:D678=$D679)*($A$3:A678&lt;$A679)),$N$3:N678),'Guide &amp; Settings'!$C$41))</f>
        <v>0</v>
      </c>
      <c r="I679" s="117">
        <f t="shared" si="172"/>
        <v>0</v>
      </c>
      <c r="J679" s="118">
        <f>IF($D679="",0,IF($F679&lt;2,0,IF($E679="Win",('Guide &amp; Settings'!$C$42/(($F679-1)*COUNTIFS($A$4:$A$810,$A679,$E$4:$E$810,"Win")))*SUMIFS($X$4:$X$810,$A$4:$A$810,$A679,$E$4:$E$810,"Loss"),-('Guide &amp; Settings'!$C$42/($F679-1))*$X679)))</f>
        <v>0</v>
      </c>
      <c r="K679" s="118">
        <f>IF($D679="",0,'Guide &amp; Settings'!$C$43*(IF($E679="Win",1,0)-$I679))</f>
        <v>0</v>
      </c>
      <c r="L679" s="119">
        <f>IF($D679="",0,'Guide &amp; Settings'!$C$44*IF($F679&gt;=3,$F679,0))</f>
        <v>0</v>
      </c>
      <c r="M679" s="118">
        <f t="shared" si="173"/>
        <v>0</v>
      </c>
      <c r="N679" s="116">
        <f t="shared" si="174"/>
        <v>0</v>
      </c>
      <c r="O679" s="115" t="str">
        <f t="shared" si="175"/>
        <v/>
      </c>
      <c r="P679">
        <f t="shared" si="176"/>
        <v>0</v>
      </c>
      <c r="Q679">
        <f t="shared" si="177"/>
        <v>0</v>
      </c>
      <c r="R679">
        <f t="shared" si="178"/>
        <v>0</v>
      </c>
      <c r="S679">
        <f t="shared" si="179"/>
        <v>0</v>
      </c>
      <c r="T679" s="83">
        <f t="shared" si="180"/>
        <v>0</v>
      </c>
      <c r="U679" s="120">
        <f>IF($D679="",0,IFERROR(LOOKUP(2,1/(($D$3:D678=$D679)*($C$3:C678=$C679)*($A$3:A678&lt;$A679)),$AB$3:AB678),1000))</f>
        <v>0</v>
      </c>
      <c r="V679" s="120">
        <f t="shared" si="181"/>
        <v>0</v>
      </c>
      <c r="W679">
        <f t="shared" si="182"/>
        <v>0</v>
      </c>
      <c r="X679">
        <f t="shared" si="183"/>
        <v>0</v>
      </c>
      <c r="Y679">
        <f t="shared" si="184"/>
        <v>0</v>
      </c>
      <c r="Z679">
        <f t="shared" si="185"/>
        <v>0</v>
      </c>
      <c r="AA679">
        <f>IF($D679="",0,IF($F679&lt;2,0,IF($E679="Win",('Guide &amp; Settings'!$C$42/(($F679-1)*COUNTIFS($A$4:$A$810,$A679,$E$4:$E$810,"Win")))*SUMIFS($Z$4:$Z$810,$A$4:$A$810,$A679,$E$4:$E$810,"Loss"),-('Guide &amp; Settings'!$C$42/($F679-1))*$Z679)))</f>
        <v>0</v>
      </c>
      <c r="AB679" s="120">
        <f t="shared" si="186"/>
        <v>0</v>
      </c>
      <c r="AC679" s="120" t="str">
        <f>IF($D679="","",IF(SUMPRODUCT(MAX(($D$4:$D$810=$D679)*($B$4:$B$810&lt;$B679)*$B$4:$B$810))=0,0,MAX(($B679-MAX(SUMPRODUCT(MAX(($D$4:$D$810=$D679)*($B$4:$B$810&lt;$B679)*$B$4:$B$810)),'Guide &amp; Settings'!$C$50))/7-'Guide &amp; Settings'!$C$48,0)*'Guide &amp; Settings'!$C$49))</f>
        <v/>
      </c>
    </row>
    <row r="680" spans="1:29" x14ac:dyDescent="0.2">
      <c r="A680" s="111"/>
      <c r="B680" s="112"/>
      <c r="C680" s="113"/>
      <c r="D680" s="113"/>
      <c r="E680" s="111"/>
      <c r="F680" s="114">
        <f t="shared" si="170"/>
        <v>0</v>
      </c>
      <c r="G680" s="115" t="str">
        <f t="shared" si="171"/>
        <v/>
      </c>
      <c r="H680" s="116">
        <f>IF($D680="",0,IFERROR(LOOKUP(2,1/(($D$3:D679=$D680)*($A$3:A679&lt;$A680)),$N$3:N679),'Guide &amp; Settings'!$C$41))</f>
        <v>0</v>
      </c>
      <c r="I680" s="117">
        <f t="shared" si="172"/>
        <v>0</v>
      </c>
      <c r="J680" s="118">
        <f>IF($D680="",0,IF($F680&lt;2,0,IF($E680="Win",('Guide &amp; Settings'!$C$42/(($F680-1)*COUNTIFS($A$4:$A$810,$A680,$E$4:$E$810,"Win")))*SUMIFS($X$4:$X$810,$A$4:$A$810,$A680,$E$4:$E$810,"Loss"),-('Guide &amp; Settings'!$C$42/($F680-1))*$X680)))</f>
        <v>0</v>
      </c>
      <c r="K680" s="118">
        <f>IF($D680="",0,'Guide &amp; Settings'!$C$43*(IF($E680="Win",1,0)-$I680))</f>
        <v>0</v>
      </c>
      <c r="L680" s="119">
        <f>IF($D680="",0,'Guide &amp; Settings'!$C$44*IF($F680&gt;=3,$F680,0))</f>
        <v>0</v>
      </c>
      <c r="M680" s="118">
        <f t="shared" si="173"/>
        <v>0</v>
      </c>
      <c r="N680" s="116">
        <f t="shared" si="174"/>
        <v>0</v>
      </c>
      <c r="O680" s="115" t="str">
        <f t="shared" si="175"/>
        <v/>
      </c>
      <c r="P680">
        <f t="shared" si="176"/>
        <v>0</v>
      </c>
      <c r="Q680">
        <f t="shared" si="177"/>
        <v>0</v>
      </c>
      <c r="R680">
        <f t="shared" si="178"/>
        <v>0</v>
      </c>
      <c r="S680">
        <f t="shared" si="179"/>
        <v>0</v>
      </c>
      <c r="T680" s="83">
        <f t="shared" si="180"/>
        <v>0</v>
      </c>
      <c r="U680" s="120">
        <f>IF($D680="",0,IFERROR(LOOKUP(2,1/(($D$3:D679=$D680)*($C$3:C679=$C680)*($A$3:A679&lt;$A680)),$AB$3:AB679),1000))</f>
        <v>0</v>
      </c>
      <c r="V680" s="120">
        <f t="shared" si="181"/>
        <v>0</v>
      </c>
      <c r="W680">
        <f t="shared" si="182"/>
        <v>0</v>
      </c>
      <c r="X680">
        <f t="shared" si="183"/>
        <v>0</v>
      </c>
      <c r="Y680">
        <f t="shared" si="184"/>
        <v>0</v>
      </c>
      <c r="Z680">
        <f t="shared" si="185"/>
        <v>0</v>
      </c>
      <c r="AA680">
        <f>IF($D680="",0,IF($F680&lt;2,0,IF($E680="Win",('Guide &amp; Settings'!$C$42/(($F680-1)*COUNTIFS($A$4:$A$810,$A680,$E$4:$E$810,"Win")))*SUMIFS($Z$4:$Z$810,$A$4:$A$810,$A680,$E$4:$E$810,"Loss"),-('Guide &amp; Settings'!$C$42/($F680-1))*$Z680)))</f>
        <v>0</v>
      </c>
      <c r="AB680" s="120">
        <f t="shared" si="186"/>
        <v>0</v>
      </c>
      <c r="AC680" s="120" t="str">
        <f>IF($D680="","",IF(SUMPRODUCT(MAX(($D$4:$D$810=$D680)*($B$4:$B$810&lt;$B680)*$B$4:$B$810))=0,0,MAX(($B680-MAX(SUMPRODUCT(MAX(($D$4:$D$810=$D680)*($B$4:$B$810&lt;$B680)*$B$4:$B$810)),'Guide &amp; Settings'!$C$50))/7-'Guide &amp; Settings'!$C$48,0)*'Guide &amp; Settings'!$C$49))</f>
        <v/>
      </c>
    </row>
    <row r="681" spans="1:29" x14ac:dyDescent="0.2">
      <c r="A681" s="111"/>
      <c r="B681" s="112"/>
      <c r="C681" s="113"/>
      <c r="D681" s="113"/>
      <c r="E681" s="111"/>
      <c r="F681" s="114">
        <f t="shared" si="170"/>
        <v>0</v>
      </c>
      <c r="G681" s="115" t="str">
        <f t="shared" si="171"/>
        <v/>
      </c>
      <c r="H681" s="116">
        <f>IF($D681="",0,IFERROR(LOOKUP(2,1/(($D$3:D680=$D681)*($A$3:A680&lt;$A681)),$N$3:N680),'Guide &amp; Settings'!$C$41))</f>
        <v>0</v>
      </c>
      <c r="I681" s="117">
        <f t="shared" si="172"/>
        <v>0</v>
      </c>
      <c r="J681" s="118">
        <f>IF($D681="",0,IF($F681&lt;2,0,IF($E681="Win",('Guide &amp; Settings'!$C$42/(($F681-1)*COUNTIFS($A$4:$A$810,$A681,$E$4:$E$810,"Win")))*SUMIFS($X$4:$X$810,$A$4:$A$810,$A681,$E$4:$E$810,"Loss"),-('Guide &amp; Settings'!$C$42/($F681-1))*$X681)))</f>
        <v>0</v>
      </c>
      <c r="K681" s="118">
        <f>IF($D681="",0,'Guide &amp; Settings'!$C$43*(IF($E681="Win",1,0)-$I681))</f>
        <v>0</v>
      </c>
      <c r="L681" s="119">
        <f>IF($D681="",0,'Guide &amp; Settings'!$C$44*IF($F681&gt;=3,$F681,0))</f>
        <v>0</v>
      </c>
      <c r="M681" s="118">
        <f t="shared" si="173"/>
        <v>0</v>
      </c>
      <c r="N681" s="116">
        <f t="shared" si="174"/>
        <v>0</v>
      </c>
      <c r="O681" s="115" t="str">
        <f t="shared" si="175"/>
        <v/>
      </c>
      <c r="P681">
        <f t="shared" si="176"/>
        <v>0</v>
      </c>
      <c r="Q681">
        <f t="shared" si="177"/>
        <v>0</v>
      </c>
      <c r="R681">
        <f t="shared" si="178"/>
        <v>0</v>
      </c>
      <c r="S681">
        <f t="shared" si="179"/>
        <v>0</v>
      </c>
      <c r="T681" s="83">
        <f t="shared" si="180"/>
        <v>0</v>
      </c>
      <c r="U681" s="120">
        <f>IF($D681="",0,IFERROR(LOOKUP(2,1/(($D$3:D680=$D681)*($C$3:C680=$C681)*($A$3:A680&lt;$A681)),$AB$3:AB680),1000))</f>
        <v>0</v>
      </c>
      <c r="V681" s="120">
        <f t="shared" si="181"/>
        <v>0</v>
      </c>
      <c r="W681">
        <f t="shared" si="182"/>
        <v>0</v>
      </c>
      <c r="X681">
        <f t="shared" si="183"/>
        <v>0</v>
      </c>
      <c r="Y681">
        <f t="shared" si="184"/>
        <v>0</v>
      </c>
      <c r="Z681">
        <f t="shared" si="185"/>
        <v>0</v>
      </c>
      <c r="AA681">
        <f>IF($D681="",0,IF($F681&lt;2,0,IF($E681="Win",('Guide &amp; Settings'!$C$42/(($F681-1)*COUNTIFS($A$4:$A$810,$A681,$E$4:$E$810,"Win")))*SUMIFS($Z$4:$Z$810,$A$4:$A$810,$A681,$E$4:$E$810,"Loss"),-('Guide &amp; Settings'!$C$42/($F681-1))*$Z681)))</f>
        <v>0</v>
      </c>
      <c r="AB681" s="120">
        <f t="shared" si="186"/>
        <v>0</v>
      </c>
      <c r="AC681" s="120" t="str">
        <f>IF($D681="","",IF(SUMPRODUCT(MAX(($D$4:$D$810=$D681)*($B$4:$B$810&lt;$B681)*$B$4:$B$810))=0,0,MAX(($B681-MAX(SUMPRODUCT(MAX(($D$4:$D$810=$D681)*($B$4:$B$810&lt;$B681)*$B$4:$B$810)),'Guide &amp; Settings'!$C$50))/7-'Guide &amp; Settings'!$C$48,0)*'Guide &amp; Settings'!$C$49))</f>
        <v/>
      </c>
    </row>
    <row r="682" spans="1:29" x14ac:dyDescent="0.2">
      <c r="A682" s="111"/>
      <c r="B682" s="112"/>
      <c r="C682" s="113"/>
      <c r="D682" s="113"/>
      <c r="E682" s="111"/>
      <c r="F682" s="114">
        <f t="shared" si="170"/>
        <v>0</v>
      </c>
      <c r="G682" s="115" t="str">
        <f t="shared" si="171"/>
        <v/>
      </c>
      <c r="H682" s="116">
        <f>IF($D682="",0,IFERROR(LOOKUP(2,1/(($D$3:D681=$D682)*($A$3:A681&lt;$A682)),$N$3:N681),'Guide &amp; Settings'!$C$41))</f>
        <v>0</v>
      </c>
      <c r="I682" s="117">
        <f t="shared" si="172"/>
        <v>0</v>
      </c>
      <c r="J682" s="118">
        <f>IF($D682="",0,IF($F682&lt;2,0,IF($E682="Win",('Guide &amp; Settings'!$C$42/(($F682-1)*COUNTIFS($A$4:$A$810,$A682,$E$4:$E$810,"Win")))*SUMIFS($X$4:$X$810,$A$4:$A$810,$A682,$E$4:$E$810,"Loss"),-('Guide &amp; Settings'!$C$42/($F682-1))*$X682)))</f>
        <v>0</v>
      </c>
      <c r="K682" s="118">
        <f>IF($D682="",0,'Guide &amp; Settings'!$C$43*(IF($E682="Win",1,0)-$I682))</f>
        <v>0</v>
      </c>
      <c r="L682" s="119">
        <f>IF($D682="",0,'Guide &amp; Settings'!$C$44*IF($F682&gt;=3,$F682,0))</f>
        <v>0</v>
      </c>
      <c r="M682" s="118">
        <f t="shared" si="173"/>
        <v>0</v>
      </c>
      <c r="N682" s="116">
        <f t="shared" si="174"/>
        <v>0</v>
      </c>
      <c r="O682" s="115" t="str">
        <f t="shared" si="175"/>
        <v/>
      </c>
      <c r="P682">
        <f t="shared" si="176"/>
        <v>0</v>
      </c>
      <c r="Q682">
        <f t="shared" si="177"/>
        <v>0</v>
      </c>
      <c r="R682">
        <f t="shared" si="178"/>
        <v>0</v>
      </c>
      <c r="S682">
        <f t="shared" si="179"/>
        <v>0</v>
      </c>
      <c r="T682" s="83">
        <f t="shared" si="180"/>
        <v>0</v>
      </c>
      <c r="U682" s="120">
        <f>IF($D682="",0,IFERROR(LOOKUP(2,1/(($D$3:D681=$D682)*($C$3:C681=$C682)*($A$3:A681&lt;$A682)),$AB$3:AB681),1000))</f>
        <v>0</v>
      </c>
      <c r="V682" s="120">
        <f t="shared" si="181"/>
        <v>0</v>
      </c>
      <c r="W682">
        <f t="shared" si="182"/>
        <v>0</v>
      </c>
      <c r="X682">
        <f t="shared" si="183"/>
        <v>0</v>
      </c>
      <c r="Y682">
        <f t="shared" si="184"/>
        <v>0</v>
      </c>
      <c r="Z682">
        <f t="shared" si="185"/>
        <v>0</v>
      </c>
      <c r="AA682">
        <f>IF($D682="",0,IF($F682&lt;2,0,IF($E682="Win",('Guide &amp; Settings'!$C$42/(($F682-1)*COUNTIFS($A$4:$A$810,$A682,$E$4:$E$810,"Win")))*SUMIFS($Z$4:$Z$810,$A$4:$A$810,$A682,$E$4:$E$810,"Loss"),-('Guide &amp; Settings'!$C$42/($F682-1))*$Z682)))</f>
        <v>0</v>
      </c>
      <c r="AB682" s="120">
        <f t="shared" si="186"/>
        <v>0</v>
      </c>
      <c r="AC682" s="120" t="str">
        <f>IF($D682="","",IF(SUMPRODUCT(MAX(($D$4:$D$810=$D682)*($B$4:$B$810&lt;$B682)*$B$4:$B$810))=0,0,MAX(($B682-MAX(SUMPRODUCT(MAX(($D$4:$D$810=$D682)*($B$4:$B$810&lt;$B682)*$B$4:$B$810)),'Guide &amp; Settings'!$C$50))/7-'Guide &amp; Settings'!$C$48,0)*'Guide &amp; Settings'!$C$49))</f>
        <v/>
      </c>
    </row>
    <row r="683" spans="1:29" x14ac:dyDescent="0.2">
      <c r="A683" s="111"/>
      <c r="B683" s="112"/>
      <c r="C683" s="113"/>
      <c r="D683" s="113"/>
      <c r="E683" s="111"/>
      <c r="F683" s="114">
        <f t="shared" si="170"/>
        <v>0</v>
      </c>
      <c r="G683" s="115" t="str">
        <f t="shared" si="171"/>
        <v/>
      </c>
      <c r="H683" s="116">
        <f>IF($D683="",0,IFERROR(LOOKUP(2,1/(($D$3:D682=$D683)*($A$3:A682&lt;$A683)),$N$3:N682),'Guide &amp; Settings'!$C$41))</f>
        <v>0</v>
      </c>
      <c r="I683" s="117">
        <f t="shared" si="172"/>
        <v>0</v>
      </c>
      <c r="J683" s="118">
        <f>IF($D683="",0,IF($F683&lt;2,0,IF($E683="Win",('Guide &amp; Settings'!$C$42/(($F683-1)*COUNTIFS($A$4:$A$810,$A683,$E$4:$E$810,"Win")))*SUMIFS($X$4:$X$810,$A$4:$A$810,$A683,$E$4:$E$810,"Loss"),-('Guide &amp; Settings'!$C$42/($F683-1))*$X683)))</f>
        <v>0</v>
      </c>
      <c r="K683" s="118">
        <f>IF($D683="",0,'Guide &amp; Settings'!$C$43*(IF($E683="Win",1,0)-$I683))</f>
        <v>0</v>
      </c>
      <c r="L683" s="119">
        <f>IF($D683="",0,'Guide &amp; Settings'!$C$44*IF($F683&gt;=3,$F683,0))</f>
        <v>0</v>
      </c>
      <c r="M683" s="118">
        <f t="shared" si="173"/>
        <v>0</v>
      </c>
      <c r="N683" s="116">
        <f t="shared" si="174"/>
        <v>0</v>
      </c>
      <c r="O683" s="115" t="str">
        <f t="shared" si="175"/>
        <v/>
      </c>
      <c r="P683">
        <f t="shared" si="176"/>
        <v>0</v>
      </c>
      <c r="Q683">
        <f t="shared" si="177"/>
        <v>0</v>
      </c>
      <c r="R683">
        <f t="shared" si="178"/>
        <v>0</v>
      </c>
      <c r="S683">
        <f t="shared" si="179"/>
        <v>0</v>
      </c>
      <c r="T683" s="83">
        <f t="shared" si="180"/>
        <v>0</v>
      </c>
      <c r="U683" s="120">
        <f>IF($D683="",0,IFERROR(LOOKUP(2,1/(($D$3:D682=$D683)*($C$3:C682=$C683)*($A$3:A682&lt;$A683)),$AB$3:AB682),1000))</f>
        <v>0</v>
      </c>
      <c r="V683" s="120">
        <f t="shared" si="181"/>
        <v>0</v>
      </c>
      <c r="W683">
        <f t="shared" si="182"/>
        <v>0</v>
      </c>
      <c r="X683">
        <f t="shared" si="183"/>
        <v>0</v>
      </c>
      <c r="Y683">
        <f t="shared" si="184"/>
        <v>0</v>
      </c>
      <c r="Z683">
        <f t="shared" si="185"/>
        <v>0</v>
      </c>
      <c r="AA683">
        <f>IF($D683="",0,IF($F683&lt;2,0,IF($E683="Win",('Guide &amp; Settings'!$C$42/(($F683-1)*COUNTIFS($A$4:$A$810,$A683,$E$4:$E$810,"Win")))*SUMIFS($Z$4:$Z$810,$A$4:$A$810,$A683,$E$4:$E$810,"Loss"),-('Guide &amp; Settings'!$C$42/($F683-1))*$Z683)))</f>
        <v>0</v>
      </c>
      <c r="AB683" s="120">
        <f t="shared" si="186"/>
        <v>0</v>
      </c>
      <c r="AC683" s="120" t="str">
        <f>IF($D683="","",IF(SUMPRODUCT(MAX(($D$4:$D$810=$D683)*($B$4:$B$810&lt;$B683)*$B$4:$B$810))=0,0,MAX(($B683-MAX(SUMPRODUCT(MAX(($D$4:$D$810=$D683)*($B$4:$B$810&lt;$B683)*$B$4:$B$810)),'Guide &amp; Settings'!$C$50))/7-'Guide &amp; Settings'!$C$48,0)*'Guide &amp; Settings'!$C$49))</f>
        <v/>
      </c>
    </row>
    <row r="684" spans="1:29" x14ac:dyDescent="0.2">
      <c r="A684" s="111"/>
      <c r="B684" s="112"/>
      <c r="C684" s="113"/>
      <c r="D684" s="113"/>
      <c r="E684" s="111"/>
      <c r="F684" s="114">
        <f t="shared" si="170"/>
        <v>0</v>
      </c>
      <c r="G684" s="115" t="str">
        <f t="shared" si="171"/>
        <v/>
      </c>
      <c r="H684" s="116">
        <f>IF($D684="",0,IFERROR(LOOKUP(2,1/(($D$3:D683=$D684)*($A$3:A683&lt;$A684)),$N$3:N683),'Guide &amp; Settings'!$C$41))</f>
        <v>0</v>
      </c>
      <c r="I684" s="117">
        <f t="shared" si="172"/>
        <v>0</v>
      </c>
      <c r="J684" s="118">
        <f>IF($D684="",0,IF($F684&lt;2,0,IF($E684="Win",('Guide &amp; Settings'!$C$42/(($F684-1)*COUNTIFS($A$4:$A$810,$A684,$E$4:$E$810,"Win")))*SUMIFS($X$4:$X$810,$A$4:$A$810,$A684,$E$4:$E$810,"Loss"),-('Guide &amp; Settings'!$C$42/($F684-1))*$X684)))</f>
        <v>0</v>
      </c>
      <c r="K684" s="118">
        <f>IF($D684="",0,'Guide &amp; Settings'!$C$43*(IF($E684="Win",1,0)-$I684))</f>
        <v>0</v>
      </c>
      <c r="L684" s="119">
        <f>IF($D684="",0,'Guide &amp; Settings'!$C$44*IF($F684&gt;=3,$F684,0))</f>
        <v>0</v>
      </c>
      <c r="M684" s="118">
        <f t="shared" si="173"/>
        <v>0</v>
      </c>
      <c r="N684" s="116">
        <f t="shared" si="174"/>
        <v>0</v>
      </c>
      <c r="O684" s="115" t="str">
        <f t="shared" si="175"/>
        <v/>
      </c>
      <c r="P684">
        <f t="shared" si="176"/>
        <v>0</v>
      </c>
      <c r="Q684">
        <f t="shared" si="177"/>
        <v>0</v>
      </c>
      <c r="R684">
        <f t="shared" si="178"/>
        <v>0</v>
      </c>
      <c r="S684">
        <f t="shared" si="179"/>
        <v>0</v>
      </c>
      <c r="T684" s="83">
        <f t="shared" si="180"/>
        <v>0</v>
      </c>
      <c r="U684" s="120">
        <f>IF($D684="",0,IFERROR(LOOKUP(2,1/(($D$3:D683=$D684)*($C$3:C683=$C684)*($A$3:A683&lt;$A684)),$AB$3:AB683),1000))</f>
        <v>0</v>
      </c>
      <c r="V684" s="120">
        <f t="shared" si="181"/>
        <v>0</v>
      </c>
      <c r="W684">
        <f t="shared" si="182"/>
        <v>0</v>
      </c>
      <c r="X684">
        <f t="shared" si="183"/>
        <v>0</v>
      </c>
      <c r="Y684">
        <f t="shared" si="184"/>
        <v>0</v>
      </c>
      <c r="Z684">
        <f t="shared" si="185"/>
        <v>0</v>
      </c>
      <c r="AA684">
        <f>IF($D684="",0,IF($F684&lt;2,0,IF($E684="Win",('Guide &amp; Settings'!$C$42/(($F684-1)*COUNTIFS($A$4:$A$810,$A684,$E$4:$E$810,"Win")))*SUMIFS($Z$4:$Z$810,$A$4:$A$810,$A684,$E$4:$E$810,"Loss"),-('Guide &amp; Settings'!$C$42/($F684-1))*$Z684)))</f>
        <v>0</v>
      </c>
      <c r="AB684" s="120">
        <f t="shared" si="186"/>
        <v>0</v>
      </c>
      <c r="AC684" s="120" t="str">
        <f>IF($D684="","",IF(SUMPRODUCT(MAX(($D$4:$D$810=$D684)*($B$4:$B$810&lt;$B684)*$B$4:$B$810))=0,0,MAX(($B684-MAX(SUMPRODUCT(MAX(($D$4:$D$810=$D684)*($B$4:$B$810&lt;$B684)*$B$4:$B$810)),'Guide &amp; Settings'!$C$50))/7-'Guide &amp; Settings'!$C$48,0)*'Guide &amp; Settings'!$C$49))</f>
        <v/>
      </c>
    </row>
    <row r="685" spans="1:29" x14ac:dyDescent="0.2">
      <c r="A685" s="111"/>
      <c r="B685" s="112"/>
      <c r="C685" s="113"/>
      <c r="D685" s="113"/>
      <c r="E685" s="111"/>
      <c r="F685" s="114">
        <f t="shared" si="170"/>
        <v>0</v>
      </c>
      <c r="G685" s="115" t="str">
        <f t="shared" si="171"/>
        <v/>
      </c>
      <c r="H685" s="116">
        <f>IF($D685="",0,IFERROR(LOOKUP(2,1/(($D$3:D684=$D685)*($A$3:A684&lt;$A685)),$N$3:N684),'Guide &amp; Settings'!$C$41))</f>
        <v>0</v>
      </c>
      <c r="I685" s="117">
        <f t="shared" si="172"/>
        <v>0</v>
      </c>
      <c r="J685" s="118">
        <f>IF($D685="",0,IF($F685&lt;2,0,IF($E685="Win",('Guide &amp; Settings'!$C$42/(($F685-1)*COUNTIFS($A$4:$A$810,$A685,$E$4:$E$810,"Win")))*SUMIFS($X$4:$X$810,$A$4:$A$810,$A685,$E$4:$E$810,"Loss"),-('Guide &amp; Settings'!$C$42/($F685-1))*$X685)))</f>
        <v>0</v>
      </c>
      <c r="K685" s="118">
        <f>IF($D685="",0,'Guide &amp; Settings'!$C$43*(IF($E685="Win",1,0)-$I685))</f>
        <v>0</v>
      </c>
      <c r="L685" s="119">
        <f>IF($D685="",0,'Guide &amp; Settings'!$C$44*IF($F685&gt;=3,$F685,0))</f>
        <v>0</v>
      </c>
      <c r="M685" s="118">
        <f t="shared" si="173"/>
        <v>0</v>
      </c>
      <c r="N685" s="116">
        <f t="shared" si="174"/>
        <v>0</v>
      </c>
      <c r="O685" s="115" t="str">
        <f t="shared" si="175"/>
        <v/>
      </c>
      <c r="P685">
        <f t="shared" si="176"/>
        <v>0</v>
      </c>
      <c r="Q685">
        <f t="shared" si="177"/>
        <v>0</v>
      </c>
      <c r="R685">
        <f t="shared" si="178"/>
        <v>0</v>
      </c>
      <c r="S685">
        <f t="shared" si="179"/>
        <v>0</v>
      </c>
      <c r="T685" s="83">
        <f t="shared" si="180"/>
        <v>0</v>
      </c>
      <c r="U685" s="120">
        <f>IF($D685="",0,IFERROR(LOOKUP(2,1/(($D$3:D684=$D685)*($C$3:C684=$C685)*($A$3:A684&lt;$A685)),$AB$3:AB684),1000))</f>
        <v>0</v>
      </c>
      <c r="V685" s="120">
        <f t="shared" si="181"/>
        <v>0</v>
      </c>
      <c r="W685">
        <f t="shared" si="182"/>
        <v>0</v>
      </c>
      <c r="X685">
        <f t="shared" si="183"/>
        <v>0</v>
      </c>
      <c r="Y685">
        <f t="shared" si="184"/>
        <v>0</v>
      </c>
      <c r="Z685">
        <f t="shared" si="185"/>
        <v>0</v>
      </c>
      <c r="AA685">
        <f>IF($D685="",0,IF($F685&lt;2,0,IF($E685="Win",('Guide &amp; Settings'!$C$42/(($F685-1)*COUNTIFS($A$4:$A$810,$A685,$E$4:$E$810,"Win")))*SUMIFS($Z$4:$Z$810,$A$4:$A$810,$A685,$E$4:$E$810,"Loss"),-('Guide &amp; Settings'!$C$42/($F685-1))*$Z685)))</f>
        <v>0</v>
      </c>
      <c r="AB685" s="120">
        <f t="shared" si="186"/>
        <v>0</v>
      </c>
      <c r="AC685" s="120" t="str">
        <f>IF($D685="","",IF(SUMPRODUCT(MAX(($D$4:$D$810=$D685)*($B$4:$B$810&lt;$B685)*$B$4:$B$810))=0,0,MAX(($B685-MAX(SUMPRODUCT(MAX(($D$4:$D$810=$D685)*($B$4:$B$810&lt;$B685)*$B$4:$B$810)),'Guide &amp; Settings'!$C$50))/7-'Guide &amp; Settings'!$C$48,0)*'Guide &amp; Settings'!$C$49))</f>
        <v/>
      </c>
    </row>
    <row r="686" spans="1:29" x14ac:dyDescent="0.2">
      <c r="A686" s="111"/>
      <c r="B686" s="112"/>
      <c r="C686" s="113"/>
      <c r="D686" s="113"/>
      <c r="E686" s="111"/>
      <c r="F686" s="114">
        <f t="shared" si="170"/>
        <v>0</v>
      </c>
      <c r="G686" s="115" t="str">
        <f t="shared" si="171"/>
        <v/>
      </c>
      <c r="H686" s="116">
        <f>IF($D686="",0,IFERROR(LOOKUP(2,1/(($D$3:D685=$D686)*($A$3:A685&lt;$A686)),$N$3:N685),'Guide &amp; Settings'!$C$41))</f>
        <v>0</v>
      </c>
      <c r="I686" s="117">
        <f t="shared" si="172"/>
        <v>0</v>
      </c>
      <c r="J686" s="118">
        <f>IF($D686="",0,IF($F686&lt;2,0,IF($E686="Win",('Guide &amp; Settings'!$C$42/(($F686-1)*COUNTIFS($A$4:$A$810,$A686,$E$4:$E$810,"Win")))*SUMIFS($X$4:$X$810,$A$4:$A$810,$A686,$E$4:$E$810,"Loss"),-('Guide &amp; Settings'!$C$42/($F686-1))*$X686)))</f>
        <v>0</v>
      </c>
      <c r="K686" s="118">
        <f>IF($D686="",0,'Guide &amp; Settings'!$C$43*(IF($E686="Win",1,0)-$I686))</f>
        <v>0</v>
      </c>
      <c r="L686" s="119">
        <f>IF($D686="",0,'Guide &amp; Settings'!$C$44*IF($F686&gt;=3,$F686,0))</f>
        <v>0</v>
      </c>
      <c r="M686" s="118">
        <f t="shared" si="173"/>
        <v>0</v>
      </c>
      <c r="N686" s="116">
        <f t="shared" si="174"/>
        <v>0</v>
      </c>
      <c r="O686" s="115" t="str">
        <f t="shared" si="175"/>
        <v/>
      </c>
      <c r="P686">
        <f t="shared" si="176"/>
        <v>0</v>
      </c>
      <c r="Q686">
        <f t="shared" si="177"/>
        <v>0</v>
      </c>
      <c r="R686">
        <f t="shared" si="178"/>
        <v>0</v>
      </c>
      <c r="S686">
        <f t="shared" si="179"/>
        <v>0</v>
      </c>
      <c r="T686" s="83">
        <f t="shared" si="180"/>
        <v>0</v>
      </c>
      <c r="U686" s="120">
        <f>IF($D686="",0,IFERROR(LOOKUP(2,1/(($D$3:D685=$D686)*($C$3:C685=$C686)*($A$3:A685&lt;$A686)),$AB$3:AB685),1000))</f>
        <v>0</v>
      </c>
      <c r="V686" s="120">
        <f t="shared" si="181"/>
        <v>0</v>
      </c>
      <c r="W686">
        <f t="shared" si="182"/>
        <v>0</v>
      </c>
      <c r="X686">
        <f t="shared" si="183"/>
        <v>0</v>
      </c>
      <c r="Y686">
        <f t="shared" si="184"/>
        <v>0</v>
      </c>
      <c r="Z686">
        <f t="shared" si="185"/>
        <v>0</v>
      </c>
      <c r="AA686">
        <f>IF($D686="",0,IF($F686&lt;2,0,IF($E686="Win",('Guide &amp; Settings'!$C$42/(($F686-1)*COUNTIFS($A$4:$A$810,$A686,$E$4:$E$810,"Win")))*SUMIFS($Z$4:$Z$810,$A$4:$A$810,$A686,$E$4:$E$810,"Loss"),-('Guide &amp; Settings'!$C$42/($F686-1))*$Z686)))</f>
        <v>0</v>
      </c>
      <c r="AB686" s="120">
        <f t="shared" si="186"/>
        <v>0</v>
      </c>
      <c r="AC686" s="120" t="str">
        <f>IF($D686="","",IF(SUMPRODUCT(MAX(($D$4:$D$810=$D686)*($B$4:$B$810&lt;$B686)*$B$4:$B$810))=0,0,MAX(($B686-MAX(SUMPRODUCT(MAX(($D$4:$D$810=$D686)*($B$4:$B$810&lt;$B686)*$B$4:$B$810)),'Guide &amp; Settings'!$C$50))/7-'Guide &amp; Settings'!$C$48,0)*'Guide &amp; Settings'!$C$49))</f>
        <v/>
      </c>
    </row>
    <row r="687" spans="1:29" x14ac:dyDescent="0.2">
      <c r="A687" s="111"/>
      <c r="B687" s="112"/>
      <c r="C687" s="113"/>
      <c r="D687" s="113"/>
      <c r="E687" s="111"/>
      <c r="F687" s="114">
        <f t="shared" si="170"/>
        <v>0</v>
      </c>
      <c r="G687" s="115" t="str">
        <f t="shared" si="171"/>
        <v/>
      </c>
      <c r="H687" s="116">
        <f>IF($D687="",0,IFERROR(LOOKUP(2,1/(($D$3:D686=$D687)*($A$3:A686&lt;$A687)),$N$3:N686),'Guide &amp; Settings'!$C$41))</f>
        <v>0</v>
      </c>
      <c r="I687" s="117">
        <f t="shared" si="172"/>
        <v>0</v>
      </c>
      <c r="J687" s="118">
        <f>IF($D687="",0,IF($F687&lt;2,0,IF($E687="Win",('Guide &amp; Settings'!$C$42/(($F687-1)*COUNTIFS($A$4:$A$810,$A687,$E$4:$E$810,"Win")))*SUMIFS($X$4:$X$810,$A$4:$A$810,$A687,$E$4:$E$810,"Loss"),-('Guide &amp; Settings'!$C$42/($F687-1))*$X687)))</f>
        <v>0</v>
      </c>
      <c r="K687" s="118">
        <f>IF($D687="",0,'Guide &amp; Settings'!$C$43*(IF($E687="Win",1,0)-$I687))</f>
        <v>0</v>
      </c>
      <c r="L687" s="119">
        <f>IF($D687="",0,'Guide &amp; Settings'!$C$44*IF($F687&gt;=3,$F687,0))</f>
        <v>0</v>
      </c>
      <c r="M687" s="118">
        <f t="shared" si="173"/>
        <v>0</v>
      </c>
      <c r="N687" s="116">
        <f t="shared" si="174"/>
        <v>0</v>
      </c>
      <c r="O687" s="115" t="str">
        <f t="shared" si="175"/>
        <v/>
      </c>
      <c r="P687">
        <f t="shared" si="176"/>
        <v>0</v>
      </c>
      <c r="Q687">
        <f t="shared" si="177"/>
        <v>0</v>
      </c>
      <c r="R687">
        <f t="shared" si="178"/>
        <v>0</v>
      </c>
      <c r="S687">
        <f t="shared" si="179"/>
        <v>0</v>
      </c>
      <c r="T687" s="83">
        <f t="shared" si="180"/>
        <v>0</v>
      </c>
      <c r="U687" s="120">
        <f>IF($D687="",0,IFERROR(LOOKUP(2,1/(($D$3:D686=$D687)*($C$3:C686=$C687)*($A$3:A686&lt;$A687)),$AB$3:AB686),1000))</f>
        <v>0</v>
      </c>
      <c r="V687" s="120">
        <f t="shared" si="181"/>
        <v>0</v>
      </c>
      <c r="W687">
        <f t="shared" si="182"/>
        <v>0</v>
      </c>
      <c r="X687">
        <f t="shared" si="183"/>
        <v>0</v>
      </c>
      <c r="Y687">
        <f t="shared" si="184"/>
        <v>0</v>
      </c>
      <c r="Z687">
        <f t="shared" si="185"/>
        <v>0</v>
      </c>
      <c r="AA687">
        <f>IF($D687="",0,IF($F687&lt;2,0,IF($E687="Win",('Guide &amp; Settings'!$C$42/(($F687-1)*COUNTIFS($A$4:$A$810,$A687,$E$4:$E$810,"Win")))*SUMIFS($Z$4:$Z$810,$A$4:$A$810,$A687,$E$4:$E$810,"Loss"),-('Guide &amp; Settings'!$C$42/($F687-1))*$Z687)))</f>
        <v>0</v>
      </c>
      <c r="AB687" s="120">
        <f t="shared" si="186"/>
        <v>0</v>
      </c>
      <c r="AC687" s="120" t="str">
        <f>IF($D687="","",IF(SUMPRODUCT(MAX(($D$4:$D$810=$D687)*($B$4:$B$810&lt;$B687)*$B$4:$B$810))=0,0,MAX(($B687-MAX(SUMPRODUCT(MAX(($D$4:$D$810=$D687)*($B$4:$B$810&lt;$B687)*$B$4:$B$810)),'Guide &amp; Settings'!$C$50))/7-'Guide &amp; Settings'!$C$48,0)*'Guide &amp; Settings'!$C$49))</f>
        <v/>
      </c>
    </row>
    <row r="688" spans="1:29" x14ac:dyDescent="0.2">
      <c r="A688" s="111"/>
      <c r="B688" s="112"/>
      <c r="C688" s="113"/>
      <c r="D688" s="113"/>
      <c r="E688" s="111"/>
      <c r="F688" s="114">
        <f t="shared" si="170"/>
        <v>0</v>
      </c>
      <c r="G688" s="115" t="str">
        <f t="shared" si="171"/>
        <v/>
      </c>
      <c r="H688" s="116">
        <f>IF($D688="",0,IFERROR(LOOKUP(2,1/(($D$3:D687=$D688)*($A$3:A687&lt;$A688)),$N$3:N687),'Guide &amp; Settings'!$C$41))</f>
        <v>0</v>
      </c>
      <c r="I688" s="117">
        <f t="shared" si="172"/>
        <v>0</v>
      </c>
      <c r="J688" s="118">
        <f>IF($D688="",0,IF($F688&lt;2,0,IF($E688="Win",('Guide &amp; Settings'!$C$42/(($F688-1)*COUNTIFS($A$4:$A$810,$A688,$E$4:$E$810,"Win")))*SUMIFS($X$4:$X$810,$A$4:$A$810,$A688,$E$4:$E$810,"Loss"),-('Guide &amp; Settings'!$C$42/($F688-1))*$X688)))</f>
        <v>0</v>
      </c>
      <c r="K688" s="118">
        <f>IF($D688="",0,'Guide &amp; Settings'!$C$43*(IF($E688="Win",1,0)-$I688))</f>
        <v>0</v>
      </c>
      <c r="L688" s="119">
        <f>IF($D688="",0,'Guide &amp; Settings'!$C$44*IF($F688&gt;=3,$F688,0))</f>
        <v>0</v>
      </c>
      <c r="M688" s="118">
        <f t="shared" si="173"/>
        <v>0</v>
      </c>
      <c r="N688" s="116">
        <f t="shared" si="174"/>
        <v>0</v>
      </c>
      <c r="O688" s="115" t="str">
        <f t="shared" si="175"/>
        <v/>
      </c>
      <c r="P688">
        <f t="shared" si="176"/>
        <v>0</v>
      </c>
      <c r="Q688">
        <f t="shared" si="177"/>
        <v>0</v>
      </c>
      <c r="R688">
        <f t="shared" si="178"/>
        <v>0</v>
      </c>
      <c r="S688">
        <f t="shared" si="179"/>
        <v>0</v>
      </c>
      <c r="T688" s="83">
        <f t="shared" si="180"/>
        <v>0</v>
      </c>
      <c r="U688" s="120">
        <f>IF($D688="",0,IFERROR(LOOKUP(2,1/(($D$3:D687=$D688)*($C$3:C687=$C688)*($A$3:A687&lt;$A688)),$AB$3:AB687),1000))</f>
        <v>0</v>
      </c>
      <c r="V688" s="120">
        <f t="shared" si="181"/>
        <v>0</v>
      </c>
      <c r="W688">
        <f t="shared" si="182"/>
        <v>0</v>
      </c>
      <c r="X688">
        <f t="shared" si="183"/>
        <v>0</v>
      </c>
      <c r="Y688">
        <f t="shared" si="184"/>
        <v>0</v>
      </c>
      <c r="Z688">
        <f t="shared" si="185"/>
        <v>0</v>
      </c>
      <c r="AA688">
        <f>IF($D688="",0,IF($F688&lt;2,0,IF($E688="Win",('Guide &amp; Settings'!$C$42/(($F688-1)*COUNTIFS($A$4:$A$810,$A688,$E$4:$E$810,"Win")))*SUMIFS($Z$4:$Z$810,$A$4:$A$810,$A688,$E$4:$E$810,"Loss"),-('Guide &amp; Settings'!$C$42/($F688-1))*$Z688)))</f>
        <v>0</v>
      </c>
      <c r="AB688" s="120">
        <f t="shared" si="186"/>
        <v>0</v>
      </c>
      <c r="AC688" s="120" t="str">
        <f>IF($D688="","",IF(SUMPRODUCT(MAX(($D$4:$D$810=$D688)*($B$4:$B$810&lt;$B688)*$B$4:$B$810))=0,0,MAX(($B688-MAX(SUMPRODUCT(MAX(($D$4:$D$810=$D688)*($B$4:$B$810&lt;$B688)*$B$4:$B$810)),'Guide &amp; Settings'!$C$50))/7-'Guide &amp; Settings'!$C$48,0)*'Guide &amp; Settings'!$C$49))</f>
        <v/>
      </c>
    </row>
    <row r="689" spans="1:29" x14ac:dyDescent="0.2">
      <c r="A689" s="111"/>
      <c r="B689" s="112"/>
      <c r="C689" s="113"/>
      <c r="D689" s="113"/>
      <c r="E689" s="111"/>
      <c r="F689" s="114">
        <f t="shared" si="170"/>
        <v>0</v>
      </c>
      <c r="G689" s="115" t="str">
        <f t="shared" si="171"/>
        <v/>
      </c>
      <c r="H689" s="116">
        <f>IF($D689="",0,IFERROR(LOOKUP(2,1/(($D$3:D688=$D689)*($A$3:A688&lt;$A689)),$N$3:N688),'Guide &amp; Settings'!$C$41))</f>
        <v>0</v>
      </c>
      <c r="I689" s="117">
        <f t="shared" si="172"/>
        <v>0</v>
      </c>
      <c r="J689" s="118">
        <f>IF($D689="",0,IF($F689&lt;2,0,IF($E689="Win",('Guide &amp; Settings'!$C$42/(($F689-1)*COUNTIFS($A$4:$A$810,$A689,$E$4:$E$810,"Win")))*SUMIFS($X$4:$X$810,$A$4:$A$810,$A689,$E$4:$E$810,"Loss"),-('Guide &amp; Settings'!$C$42/($F689-1))*$X689)))</f>
        <v>0</v>
      </c>
      <c r="K689" s="118">
        <f>IF($D689="",0,'Guide &amp; Settings'!$C$43*(IF($E689="Win",1,0)-$I689))</f>
        <v>0</v>
      </c>
      <c r="L689" s="119">
        <f>IF($D689="",0,'Guide &amp; Settings'!$C$44*IF($F689&gt;=3,$F689,0))</f>
        <v>0</v>
      </c>
      <c r="M689" s="118">
        <f t="shared" si="173"/>
        <v>0</v>
      </c>
      <c r="N689" s="116">
        <f t="shared" si="174"/>
        <v>0</v>
      </c>
      <c r="O689" s="115" t="str">
        <f t="shared" si="175"/>
        <v/>
      </c>
      <c r="P689">
        <f t="shared" si="176"/>
        <v>0</v>
      </c>
      <c r="Q689">
        <f t="shared" si="177"/>
        <v>0</v>
      </c>
      <c r="R689">
        <f t="shared" si="178"/>
        <v>0</v>
      </c>
      <c r="S689">
        <f t="shared" si="179"/>
        <v>0</v>
      </c>
      <c r="T689" s="83">
        <f t="shared" si="180"/>
        <v>0</v>
      </c>
      <c r="U689" s="120">
        <f>IF($D689="",0,IFERROR(LOOKUP(2,1/(($D$3:D688=$D689)*($C$3:C688=$C689)*($A$3:A688&lt;$A689)),$AB$3:AB688),1000))</f>
        <v>0</v>
      </c>
      <c r="V689" s="120">
        <f t="shared" si="181"/>
        <v>0</v>
      </c>
      <c r="W689">
        <f t="shared" si="182"/>
        <v>0</v>
      </c>
      <c r="X689">
        <f t="shared" si="183"/>
        <v>0</v>
      </c>
      <c r="Y689">
        <f t="shared" si="184"/>
        <v>0</v>
      </c>
      <c r="Z689">
        <f t="shared" si="185"/>
        <v>0</v>
      </c>
      <c r="AA689">
        <f>IF($D689="",0,IF($F689&lt;2,0,IF($E689="Win",('Guide &amp; Settings'!$C$42/(($F689-1)*COUNTIFS($A$4:$A$810,$A689,$E$4:$E$810,"Win")))*SUMIFS($Z$4:$Z$810,$A$4:$A$810,$A689,$E$4:$E$810,"Loss"),-('Guide &amp; Settings'!$C$42/($F689-1))*$Z689)))</f>
        <v>0</v>
      </c>
      <c r="AB689" s="120">
        <f t="shared" si="186"/>
        <v>0</v>
      </c>
      <c r="AC689" s="120" t="str">
        <f>IF($D689="","",IF(SUMPRODUCT(MAX(($D$4:$D$810=$D689)*($B$4:$B$810&lt;$B689)*$B$4:$B$810))=0,0,MAX(($B689-MAX(SUMPRODUCT(MAX(($D$4:$D$810=$D689)*($B$4:$B$810&lt;$B689)*$B$4:$B$810)),'Guide &amp; Settings'!$C$50))/7-'Guide &amp; Settings'!$C$48,0)*'Guide &amp; Settings'!$C$49))</f>
        <v/>
      </c>
    </row>
    <row r="690" spans="1:29" x14ac:dyDescent="0.2">
      <c r="A690" s="111"/>
      <c r="B690" s="112"/>
      <c r="C690" s="113"/>
      <c r="D690" s="113"/>
      <c r="E690" s="111"/>
      <c r="F690" s="114">
        <f t="shared" si="170"/>
        <v>0</v>
      </c>
      <c r="G690" s="115" t="str">
        <f t="shared" si="171"/>
        <v/>
      </c>
      <c r="H690" s="116">
        <f>IF($D690="",0,IFERROR(LOOKUP(2,1/(($D$3:D689=$D690)*($A$3:A689&lt;$A690)),$N$3:N689),'Guide &amp; Settings'!$C$41))</f>
        <v>0</v>
      </c>
      <c r="I690" s="117">
        <f t="shared" si="172"/>
        <v>0</v>
      </c>
      <c r="J690" s="118">
        <f>IF($D690="",0,IF($F690&lt;2,0,IF($E690="Win",('Guide &amp; Settings'!$C$42/(($F690-1)*COUNTIFS($A$4:$A$810,$A690,$E$4:$E$810,"Win")))*SUMIFS($X$4:$X$810,$A$4:$A$810,$A690,$E$4:$E$810,"Loss"),-('Guide &amp; Settings'!$C$42/($F690-1))*$X690)))</f>
        <v>0</v>
      </c>
      <c r="K690" s="118">
        <f>IF($D690="",0,'Guide &amp; Settings'!$C$43*(IF($E690="Win",1,0)-$I690))</f>
        <v>0</v>
      </c>
      <c r="L690" s="119">
        <f>IF($D690="",0,'Guide &amp; Settings'!$C$44*IF($F690&gt;=3,$F690,0))</f>
        <v>0</v>
      </c>
      <c r="M690" s="118">
        <f t="shared" si="173"/>
        <v>0</v>
      </c>
      <c r="N690" s="116">
        <f t="shared" si="174"/>
        <v>0</v>
      </c>
      <c r="O690" s="115" t="str">
        <f t="shared" si="175"/>
        <v/>
      </c>
      <c r="P690">
        <f t="shared" si="176"/>
        <v>0</v>
      </c>
      <c r="Q690">
        <f t="shared" si="177"/>
        <v>0</v>
      </c>
      <c r="R690">
        <f t="shared" si="178"/>
        <v>0</v>
      </c>
      <c r="S690">
        <f t="shared" si="179"/>
        <v>0</v>
      </c>
      <c r="T690" s="83">
        <f t="shared" si="180"/>
        <v>0</v>
      </c>
      <c r="U690" s="120">
        <f>IF($D690="",0,IFERROR(LOOKUP(2,1/(($D$3:D689=$D690)*($C$3:C689=$C690)*($A$3:A689&lt;$A690)),$AB$3:AB689),1000))</f>
        <v>0</v>
      </c>
      <c r="V690" s="120">
        <f t="shared" si="181"/>
        <v>0</v>
      </c>
      <c r="W690">
        <f t="shared" si="182"/>
        <v>0</v>
      </c>
      <c r="X690">
        <f t="shared" si="183"/>
        <v>0</v>
      </c>
      <c r="Y690">
        <f t="shared" si="184"/>
        <v>0</v>
      </c>
      <c r="Z690">
        <f t="shared" si="185"/>
        <v>0</v>
      </c>
      <c r="AA690">
        <f>IF($D690="",0,IF($F690&lt;2,0,IF($E690="Win",('Guide &amp; Settings'!$C$42/(($F690-1)*COUNTIFS($A$4:$A$810,$A690,$E$4:$E$810,"Win")))*SUMIFS($Z$4:$Z$810,$A$4:$A$810,$A690,$E$4:$E$810,"Loss"),-('Guide &amp; Settings'!$C$42/($F690-1))*$Z690)))</f>
        <v>0</v>
      </c>
      <c r="AB690" s="120">
        <f t="shared" si="186"/>
        <v>0</v>
      </c>
      <c r="AC690" s="120" t="str">
        <f>IF($D690="","",IF(SUMPRODUCT(MAX(($D$4:$D$810=$D690)*($B$4:$B$810&lt;$B690)*$B$4:$B$810))=0,0,MAX(($B690-MAX(SUMPRODUCT(MAX(($D$4:$D$810=$D690)*($B$4:$B$810&lt;$B690)*$B$4:$B$810)),'Guide &amp; Settings'!$C$50))/7-'Guide &amp; Settings'!$C$48,0)*'Guide &amp; Settings'!$C$49))</f>
        <v/>
      </c>
    </row>
    <row r="691" spans="1:29" x14ac:dyDescent="0.2">
      <c r="A691" s="111"/>
      <c r="B691" s="112"/>
      <c r="C691" s="113"/>
      <c r="D691" s="113"/>
      <c r="E691" s="111"/>
      <c r="F691" s="114">
        <f t="shared" si="170"/>
        <v>0</v>
      </c>
      <c r="G691" s="115" t="str">
        <f t="shared" si="171"/>
        <v/>
      </c>
      <c r="H691" s="116">
        <f>IF($D691="",0,IFERROR(LOOKUP(2,1/(($D$3:D690=$D691)*($A$3:A690&lt;$A691)),$N$3:N690),'Guide &amp; Settings'!$C$41))</f>
        <v>0</v>
      </c>
      <c r="I691" s="117">
        <f t="shared" si="172"/>
        <v>0</v>
      </c>
      <c r="J691" s="118">
        <f>IF($D691="",0,IF($F691&lt;2,0,IF($E691="Win",('Guide &amp; Settings'!$C$42/(($F691-1)*COUNTIFS($A$4:$A$810,$A691,$E$4:$E$810,"Win")))*SUMIFS($X$4:$X$810,$A$4:$A$810,$A691,$E$4:$E$810,"Loss"),-('Guide &amp; Settings'!$C$42/($F691-1))*$X691)))</f>
        <v>0</v>
      </c>
      <c r="K691" s="118">
        <f>IF($D691="",0,'Guide &amp; Settings'!$C$43*(IF($E691="Win",1,0)-$I691))</f>
        <v>0</v>
      </c>
      <c r="L691" s="119">
        <f>IF($D691="",0,'Guide &amp; Settings'!$C$44*IF($F691&gt;=3,$F691,0))</f>
        <v>0</v>
      </c>
      <c r="M691" s="118">
        <f t="shared" si="173"/>
        <v>0</v>
      </c>
      <c r="N691" s="116">
        <f t="shared" si="174"/>
        <v>0</v>
      </c>
      <c r="O691" s="115" t="str">
        <f t="shared" si="175"/>
        <v/>
      </c>
      <c r="P691">
        <f t="shared" si="176"/>
        <v>0</v>
      </c>
      <c r="Q691">
        <f t="shared" si="177"/>
        <v>0</v>
      </c>
      <c r="R691">
        <f t="shared" si="178"/>
        <v>0</v>
      </c>
      <c r="S691">
        <f t="shared" si="179"/>
        <v>0</v>
      </c>
      <c r="T691" s="83">
        <f t="shared" si="180"/>
        <v>0</v>
      </c>
      <c r="U691" s="120">
        <f>IF($D691="",0,IFERROR(LOOKUP(2,1/(($D$3:D690=$D691)*($C$3:C690=$C691)*($A$3:A690&lt;$A691)),$AB$3:AB690),1000))</f>
        <v>0</v>
      </c>
      <c r="V691" s="120">
        <f t="shared" si="181"/>
        <v>0</v>
      </c>
      <c r="W691">
        <f t="shared" si="182"/>
        <v>0</v>
      </c>
      <c r="X691">
        <f t="shared" si="183"/>
        <v>0</v>
      </c>
      <c r="Y691">
        <f t="shared" si="184"/>
        <v>0</v>
      </c>
      <c r="Z691">
        <f t="shared" si="185"/>
        <v>0</v>
      </c>
      <c r="AA691">
        <f>IF($D691="",0,IF($F691&lt;2,0,IF($E691="Win",('Guide &amp; Settings'!$C$42/(($F691-1)*COUNTIFS($A$4:$A$810,$A691,$E$4:$E$810,"Win")))*SUMIFS($Z$4:$Z$810,$A$4:$A$810,$A691,$E$4:$E$810,"Loss"),-('Guide &amp; Settings'!$C$42/($F691-1))*$Z691)))</f>
        <v>0</v>
      </c>
      <c r="AB691" s="120">
        <f t="shared" si="186"/>
        <v>0</v>
      </c>
      <c r="AC691" s="120" t="str">
        <f>IF($D691="","",IF(SUMPRODUCT(MAX(($D$4:$D$810=$D691)*($B$4:$B$810&lt;$B691)*$B$4:$B$810))=0,0,MAX(($B691-MAX(SUMPRODUCT(MAX(($D$4:$D$810=$D691)*($B$4:$B$810&lt;$B691)*$B$4:$B$810)),'Guide &amp; Settings'!$C$50))/7-'Guide &amp; Settings'!$C$48,0)*'Guide &amp; Settings'!$C$49))</f>
        <v/>
      </c>
    </row>
    <row r="692" spans="1:29" x14ac:dyDescent="0.2">
      <c r="A692" s="111"/>
      <c r="B692" s="112"/>
      <c r="C692" s="113"/>
      <c r="D692" s="113"/>
      <c r="E692" s="111"/>
      <c r="F692" s="114">
        <f t="shared" si="170"/>
        <v>0</v>
      </c>
      <c r="G692" s="115" t="str">
        <f t="shared" si="171"/>
        <v/>
      </c>
      <c r="H692" s="116">
        <f>IF($D692="",0,IFERROR(LOOKUP(2,1/(($D$3:D691=$D692)*($A$3:A691&lt;$A692)),$N$3:N691),'Guide &amp; Settings'!$C$41))</f>
        <v>0</v>
      </c>
      <c r="I692" s="117">
        <f t="shared" si="172"/>
        <v>0</v>
      </c>
      <c r="J692" s="118">
        <f>IF($D692="",0,IF($F692&lt;2,0,IF($E692="Win",('Guide &amp; Settings'!$C$42/(($F692-1)*COUNTIFS($A$4:$A$810,$A692,$E$4:$E$810,"Win")))*SUMIFS($X$4:$X$810,$A$4:$A$810,$A692,$E$4:$E$810,"Loss"),-('Guide &amp; Settings'!$C$42/($F692-1))*$X692)))</f>
        <v>0</v>
      </c>
      <c r="K692" s="118">
        <f>IF($D692="",0,'Guide &amp; Settings'!$C$43*(IF($E692="Win",1,0)-$I692))</f>
        <v>0</v>
      </c>
      <c r="L692" s="119">
        <f>IF($D692="",0,'Guide &amp; Settings'!$C$44*IF($F692&gt;=3,$F692,0))</f>
        <v>0</v>
      </c>
      <c r="M692" s="118">
        <f t="shared" si="173"/>
        <v>0</v>
      </c>
      <c r="N692" s="116">
        <f t="shared" si="174"/>
        <v>0</v>
      </c>
      <c r="O692" s="115" t="str">
        <f t="shared" si="175"/>
        <v/>
      </c>
      <c r="P692">
        <f t="shared" si="176"/>
        <v>0</v>
      </c>
      <c r="Q692">
        <f t="shared" si="177"/>
        <v>0</v>
      </c>
      <c r="R692">
        <f t="shared" si="178"/>
        <v>0</v>
      </c>
      <c r="S692">
        <f t="shared" si="179"/>
        <v>0</v>
      </c>
      <c r="T692" s="83">
        <f t="shared" si="180"/>
        <v>0</v>
      </c>
      <c r="U692" s="120">
        <f>IF($D692="",0,IFERROR(LOOKUP(2,1/(($D$3:D691=$D692)*($C$3:C691=$C692)*($A$3:A691&lt;$A692)),$AB$3:AB691),1000))</f>
        <v>0</v>
      </c>
      <c r="V692" s="120">
        <f t="shared" si="181"/>
        <v>0</v>
      </c>
      <c r="W692">
        <f t="shared" si="182"/>
        <v>0</v>
      </c>
      <c r="X692">
        <f t="shared" si="183"/>
        <v>0</v>
      </c>
      <c r="Y692">
        <f t="shared" si="184"/>
        <v>0</v>
      </c>
      <c r="Z692">
        <f t="shared" si="185"/>
        <v>0</v>
      </c>
      <c r="AA692">
        <f>IF($D692="",0,IF($F692&lt;2,0,IF($E692="Win",('Guide &amp; Settings'!$C$42/(($F692-1)*COUNTIFS($A$4:$A$810,$A692,$E$4:$E$810,"Win")))*SUMIFS($Z$4:$Z$810,$A$4:$A$810,$A692,$E$4:$E$810,"Loss"),-('Guide &amp; Settings'!$C$42/($F692-1))*$Z692)))</f>
        <v>0</v>
      </c>
      <c r="AB692" s="120">
        <f t="shared" si="186"/>
        <v>0</v>
      </c>
      <c r="AC692" s="120" t="str">
        <f>IF($D692="","",IF(SUMPRODUCT(MAX(($D$4:$D$810=$D692)*($B$4:$B$810&lt;$B692)*$B$4:$B$810))=0,0,MAX(($B692-MAX(SUMPRODUCT(MAX(($D$4:$D$810=$D692)*($B$4:$B$810&lt;$B692)*$B$4:$B$810)),'Guide &amp; Settings'!$C$50))/7-'Guide &amp; Settings'!$C$48,0)*'Guide &amp; Settings'!$C$49))</f>
        <v/>
      </c>
    </row>
    <row r="693" spans="1:29" x14ac:dyDescent="0.2">
      <c r="A693" s="111"/>
      <c r="B693" s="112"/>
      <c r="C693" s="113"/>
      <c r="D693" s="113"/>
      <c r="E693" s="111"/>
      <c r="F693" s="114">
        <f t="shared" si="170"/>
        <v>0</v>
      </c>
      <c r="G693" s="115" t="str">
        <f t="shared" si="171"/>
        <v/>
      </c>
      <c r="H693" s="116">
        <f>IF($D693="",0,IFERROR(LOOKUP(2,1/(($D$3:D692=$D693)*($A$3:A692&lt;$A693)),$N$3:N692),'Guide &amp; Settings'!$C$41))</f>
        <v>0</v>
      </c>
      <c r="I693" s="117">
        <f t="shared" si="172"/>
        <v>0</v>
      </c>
      <c r="J693" s="118">
        <f>IF($D693="",0,IF($F693&lt;2,0,IF($E693="Win",('Guide &amp; Settings'!$C$42/(($F693-1)*COUNTIFS($A$4:$A$810,$A693,$E$4:$E$810,"Win")))*SUMIFS($X$4:$X$810,$A$4:$A$810,$A693,$E$4:$E$810,"Loss"),-('Guide &amp; Settings'!$C$42/($F693-1))*$X693)))</f>
        <v>0</v>
      </c>
      <c r="K693" s="118">
        <f>IF($D693="",0,'Guide &amp; Settings'!$C$43*(IF($E693="Win",1,0)-$I693))</f>
        <v>0</v>
      </c>
      <c r="L693" s="119">
        <f>IF($D693="",0,'Guide &amp; Settings'!$C$44*IF($F693&gt;=3,$F693,0))</f>
        <v>0</v>
      </c>
      <c r="M693" s="118">
        <f t="shared" si="173"/>
        <v>0</v>
      </c>
      <c r="N693" s="116">
        <f t="shared" si="174"/>
        <v>0</v>
      </c>
      <c r="O693" s="115" t="str">
        <f t="shared" si="175"/>
        <v/>
      </c>
      <c r="P693">
        <f t="shared" si="176"/>
        <v>0</v>
      </c>
      <c r="Q693">
        <f t="shared" si="177"/>
        <v>0</v>
      </c>
      <c r="R693">
        <f t="shared" si="178"/>
        <v>0</v>
      </c>
      <c r="S693">
        <f t="shared" si="179"/>
        <v>0</v>
      </c>
      <c r="T693" s="83">
        <f t="shared" si="180"/>
        <v>0</v>
      </c>
      <c r="U693" s="120">
        <f>IF($D693="",0,IFERROR(LOOKUP(2,1/(($D$3:D692=$D693)*($C$3:C692=$C693)*($A$3:A692&lt;$A693)),$AB$3:AB692),1000))</f>
        <v>0</v>
      </c>
      <c r="V693" s="120">
        <f t="shared" si="181"/>
        <v>0</v>
      </c>
      <c r="W693">
        <f t="shared" si="182"/>
        <v>0</v>
      </c>
      <c r="X693">
        <f t="shared" si="183"/>
        <v>0</v>
      </c>
      <c r="Y693">
        <f t="shared" si="184"/>
        <v>0</v>
      </c>
      <c r="Z693">
        <f t="shared" si="185"/>
        <v>0</v>
      </c>
      <c r="AA693">
        <f>IF($D693="",0,IF($F693&lt;2,0,IF($E693="Win",('Guide &amp; Settings'!$C$42/(($F693-1)*COUNTIFS($A$4:$A$810,$A693,$E$4:$E$810,"Win")))*SUMIFS($Z$4:$Z$810,$A$4:$A$810,$A693,$E$4:$E$810,"Loss"),-('Guide &amp; Settings'!$C$42/($F693-1))*$Z693)))</f>
        <v>0</v>
      </c>
      <c r="AB693" s="120">
        <f t="shared" si="186"/>
        <v>0</v>
      </c>
      <c r="AC693" s="120" t="str">
        <f>IF($D693="","",IF(SUMPRODUCT(MAX(($D$4:$D$810=$D693)*($B$4:$B$810&lt;$B693)*$B$4:$B$810))=0,0,MAX(($B693-MAX(SUMPRODUCT(MAX(($D$4:$D$810=$D693)*($B$4:$B$810&lt;$B693)*$B$4:$B$810)),'Guide &amp; Settings'!$C$50))/7-'Guide &amp; Settings'!$C$48,0)*'Guide &amp; Settings'!$C$49))</f>
        <v/>
      </c>
    </row>
    <row r="694" spans="1:29" x14ac:dyDescent="0.2">
      <c r="A694" s="111"/>
      <c r="B694" s="112"/>
      <c r="C694" s="113"/>
      <c r="D694" s="113"/>
      <c r="E694" s="111"/>
      <c r="F694" s="114">
        <f t="shared" si="170"/>
        <v>0</v>
      </c>
      <c r="G694" s="115" t="str">
        <f t="shared" si="171"/>
        <v/>
      </c>
      <c r="H694" s="116">
        <f>IF($D694="",0,IFERROR(LOOKUP(2,1/(($D$3:D693=$D694)*($A$3:A693&lt;$A694)),$N$3:N693),'Guide &amp; Settings'!$C$41))</f>
        <v>0</v>
      </c>
      <c r="I694" s="117">
        <f t="shared" si="172"/>
        <v>0</v>
      </c>
      <c r="J694" s="118">
        <f>IF($D694="",0,IF($F694&lt;2,0,IF($E694="Win",('Guide &amp; Settings'!$C$42/(($F694-1)*COUNTIFS($A$4:$A$810,$A694,$E$4:$E$810,"Win")))*SUMIFS($X$4:$X$810,$A$4:$A$810,$A694,$E$4:$E$810,"Loss"),-('Guide &amp; Settings'!$C$42/($F694-1))*$X694)))</f>
        <v>0</v>
      </c>
      <c r="K694" s="118">
        <f>IF($D694="",0,'Guide &amp; Settings'!$C$43*(IF($E694="Win",1,0)-$I694))</f>
        <v>0</v>
      </c>
      <c r="L694" s="119">
        <f>IF($D694="",0,'Guide &amp; Settings'!$C$44*IF($F694&gt;=3,$F694,0))</f>
        <v>0</v>
      </c>
      <c r="M694" s="118">
        <f t="shared" si="173"/>
        <v>0</v>
      </c>
      <c r="N694" s="116">
        <f t="shared" si="174"/>
        <v>0</v>
      </c>
      <c r="O694" s="115" t="str">
        <f t="shared" si="175"/>
        <v/>
      </c>
      <c r="P694">
        <f t="shared" si="176"/>
        <v>0</v>
      </c>
      <c r="Q694">
        <f t="shared" si="177"/>
        <v>0</v>
      </c>
      <c r="R694">
        <f t="shared" si="178"/>
        <v>0</v>
      </c>
      <c r="S694">
        <f t="shared" si="179"/>
        <v>0</v>
      </c>
      <c r="T694" s="83">
        <f t="shared" si="180"/>
        <v>0</v>
      </c>
      <c r="U694" s="120">
        <f>IF($D694="",0,IFERROR(LOOKUP(2,1/(($D$3:D693=$D694)*($C$3:C693=$C694)*($A$3:A693&lt;$A694)),$AB$3:AB693),1000))</f>
        <v>0</v>
      </c>
      <c r="V694" s="120">
        <f t="shared" si="181"/>
        <v>0</v>
      </c>
      <c r="W694">
        <f t="shared" si="182"/>
        <v>0</v>
      </c>
      <c r="X694">
        <f t="shared" si="183"/>
        <v>0</v>
      </c>
      <c r="Y694">
        <f t="shared" si="184"/>
        <v>0</v>
      </c>
      <c r="Z694">
        <f t="shared" si="185"/>
        <v>0</v>
      </c>
      <c r="AA694">
        <f>IF($D694="",0,IF($F694&lt;2,0,IF($E694="Win",('Guide &amp; Settings'!$C$42/(($F694-1)*COUNTIFS($A$4:$A$810,$A694,$E$4:$E$810,"Win")))*SUMIFS($Z$4:$Z$810,$A$4:$A$810,$A694,$E$4:$E$810,"Loss"),-('Guide &amp; Settings'!$C$42/($F694-1))*$Z694)))</f>
        <v>0</v>
      </c>
      <c r="AB694" s="120">
        <f t="shared" si="186"/>
        <v>0</v>
      </c>
      <c r="AC694" s="120" t="str">
        <f>IF($D694="","",IF(SUMPRODUCT(MAX(($D$4:$D$810=$D694)*($B$4:$B$810&lt;$B694)*$B$4:$B$810))=0,0,MAX(($B694-MAX(SUMPRODUCT(MAX(($D$4:$D$810=$D694)*($B$4:$B$810&lt;$B694)*$B$4:$B$810)),'Guide &amp; Settings'!$C$50))/7-'Guide &amp; Settings'!$C$48,0)*'Guide &amp; Settings'!$C$49))</f>
        <v/>
      </c>
    </row>
    <row r="695" spans="1:29" x14ac:dyDescent="0.2">
      <c r="A695" s="111"/>
      <c r="B695" s="112"/>
      <c r="C695" s="113"/>
      <c r="D695" s="113"/>
      <c r="E695" s="111"/>
      <c r="F695" s="114">
        <f t="shared" si="170"/>
        <v>0</v>
      </c>
      <c r="G695" s="115" t="str">
        <f t="shared" si="171"/>
        <v/>
      </c>
      <c r="H695" s="116">
        <f>IF($D695="",0,IFERROR(LOOKUP(2,1/(($D$3:D694=$D695)*($A$3:A694&lt;$A695)),$N$3:N694),'Guide &amp; Settings'!$C$41))</f>
        <v>0</v>
      </c>
      <c r="I695" s="117">
        <f t="shared" si="172"/>
        <v>0</v>
      </c>
      <c r="J695" s="118">
        <f>IF($D695="",0,IF($F695&lt;2,0,IF($E695="Win",('Guide &amp; Settings'!$C$42/(($F695-1)*COUNTIFS($A$4:$A$810,$A695,$E$4:$E$810,"Win")))*SUMIFS($X$4:$X$810,$A$4:$A$810,$A695,$E$4:$E$810,"Loss"),-('Guide &amp; Settings'!$C$42/($F695-1))*$X695)))</f>
        <v>0</v>
      </c>
      <c r="K695" s="118">
        <f>IF($D695="",0,'Guide &amp; Settings'!$C$43*(IF($E695="Win",1,0)-$I695))</f>
        <v>0</v>
      </c>
      <c r="L695" s="119">
        <f>IF($D695="",0,'Guide &amp; Settings'!$C$44*IF($F695&gt;=3,$F695,0))</f>
        <v>0</v>
      </c>
      <c r="M695" s="118">
        <f t="shared" si="173"/>
        <v>0</v>
      </c>
      <c r="N695" s="116">
        <f t="shared" si="174"/>
        <v>0</v>
      </c>
      <c r="O695" s="115" t="str">
        <f t="shared" si="175"/>
        <v/>
      </c>
      <c r="P695">
        <f t="shared" si="176"/>
        <v>0</v>
      </c>
      <c r="Q695">
        <f t="shared" si="177"/>
        <v>0</v>
      </c>
      <c r="R695">
        <f t="shared" si="178"/>
        <v>0</v>
      </c>
      <c r="S695">
        <f t="shared" si="179"/>
        <v>0</v>
      </c>
      <c r="T695" s="83">
        <f t="shared" si="180"/>
        <v>0</v>
      </c>
      <c r="U695" s="120">
        <f>IF($D695="",0,IFERROR(LOOKUP(2,1/(($D$3:D694=$D695)*($C$3:C694=$C695)*($A$3:A694&lt;$A695)),$AB$3:AB694),1000))</f>
        <v>0</v>
      </c>
      <c r="V695" s="120">
        <f t="shared" si="181"/>
        <v>0</v>
      </c>
      <c r="W695">
        <f t="shared" si="182"/>
        <v>0</v>
      </c>
      <c r="X695">
        <f t="shared" si="183"/>
        <v>0</v>
      </c>
      <c r="Y695">
        <f t="shared" si="184"/>
        <v>0</v>
      </c>
      <c r="Z695">
        <f t="shared" si="185"/>
        <v>0</v>
      </c>
      <c r="AA695">
        <f>IF($D695="",0,IF($F695&lt;2,0,IF($E695="Win",('Guide &amp; Settings'!$C$42/(($F695-1)*COUNTIFS($A$4:$A$810,$A695,$E$4:$E$810,"Win")))*SUMIFS($Z$4:$Z$810,$A$4:$A$810,$A695,$E$4:$E$810,"Loss"),-('Guide &amp; Settings'!$C$42/($F695-1))*$Z695)))</f>
        <v>0</v>
      </c>
      <c r="AB695" s="120">
        <f t="shared" si="186"/>
        <v>0</v>
      </c>
      <c r="AC695" s="120" t="str">
        <f>IF($D695="","",IF(SUMPRODUCT(MAX(($D$4:$D$810=$D695)*($B$4:$B$810&lt;$B695)*$B$4:$B$810))=0,0,MAX(($B695-MAX(SUMPRODUCT(MAX(($D$4:$D$810=$D695)*($B$4:$B$810&lt;$B695)*$B$4:$B$810)),'Guide &amp; Settings'!$C$50))/7-'Guide &amp; Settings'!$C$48,0)*'Guide &amp; Settings'!$C$49))</f>
        <v/>
      </c>
    </row>
    <row r="696" spans="1:29" x14ac:dyDescent="0.2">
      <c r="A696" s="111"/>
      <c r="B696" s="112"/>
      <c r="C696" s="113"/>
      <c r="D696" s="113"/>
      <c r="E696" s="111"/>
      <c r="F696" s="114">
        <f t="shared" ref="F696:F759" si="187">IF($D696="",0,COUNTIF($A$4:$A$810,$A696))</f>
        <v>0</v>
      </c>
      <c r="G696" s="115" t="str">
        <f t="shared" ref="G696:G759" si="188">IF($D696="","",IFERROR(LOOKUP(2,1/(($A$4:$A$810=$A696)*($E$4:$E$810="Win")),$D$4:$D$810),"(no winner)"))</f>
        <v/>
      </c>
      <c r="H696" s="116">
        <f>IF($D696="",0,IFERROR(LOOKUP(2,1/(($D$3:D695=$D696)*($A$3:A695&lt;$A696)),$N$3:N695),'Guide &amp; Settings'!$C$41))</f>
        <v>0</v>
      </c>
      <c r="I696" s="117">
        <f t="shared" ref="I696:I759" si="189">IF($D696="",0,IF($S696=0,0,$R696/$S696))</f>
        <v>0</v>
      </c>
      <c r="J696" s="118">
        <f>IF($D696="",0,IF($F696&lt;2,0,IF($E696="Win",('Guide &amp; Settings'!$C$42/(($F696-1)*COUNTIFS($A$4:$A$810,$A696,$E$4:$E$810,"Win")))*SUMIFS($X$4:$X$810,$A$4:$A$810,$A696,$E$4:$E$810,"Loss"),-('Guide &amp; Settings'!$C$42/($F696-1))*$X696)))</f>
        <v>0</v>
      </c>
      <c r="K696" s="118">
        <f>IF($D696="",0,'Guide &amp; Settings'!$C$43*(IF($E696="Win",1,0)-$I696))</f>
        <v>0</v>
      </c>
      <c r="L696" s="119">
        <f>IF($D696="",0,'Guide &amp; Settings'!$C$44*IF($F696&gt;=3,$F696,0))</f>
        <v>0</v>
      </c>
      <c r="M696" s="118">
        <f t="shared" ref="M696:M759" si="190">IF($D696="",0,$J696+$K696+$L696)</f>
        <v>0</v>
      </c>
      <c r="N696" s="116">
        <f t="shared" ref="N696:N759" si="191">IF($D696="",0,$H696+$M696)</f>
        <v>0</v>
      </c>
      <c r="O696" s="115" t="str">
        <f t="shared" ref="O696:O759" si="192">IF($D696="","",IF(COUNTIFS($A$4:$A$810,$A696,$E$4:$E$810,"Win")=0,"need a winner",IF(COUNTIFS($A$4:$A$810,$A696,$E$4:$E$810,"Loss")=0,"need a loser",IF(COUNTIFS($A$4:$A$810,$A696,$D$4:$D$810,$D696)&gt;1,"duplicate player","OK"))))</f>
        <v/>
      </c>
      <c r="P696">
        <f t="shared" ref="P696:P759" si="193">IF($D696="",0,IFERROR(SUMIFS($H$4:$H$810,$A$4:$A$810,$A696,$E$4:$E$810,"Win")/COUNTIFS($A$4:$A$810,$A696,$E$4:$E$810,"Win"),0))</f>
        <v>0</v>
      </c>
      <c r="Q696">
        <f t="shared" ref="Q696:Q759" si="194">IF($D696="",0,1/(1+10^(($P696-$H696)/400)))</f>
        <v>0</v>
      </c>
      <c r="R696">
        <f t="shared" ref="R696:R759" si="195">IF($D696="",0,(COUNTIFS($D$4:$D$810,$D696,$C$4:$C$810,$C696,$E$4:$E$810,"Win",$A$4:$A$810,"&lt;"&amp;$A696)+1)/(COUNTIFS($D$4:$D$810,$D696,$C$4:$C$810,$C696,$A$4:$A$810,"&lt;"&amp;$A696)+2))</f>
        <v>0</v>
      </c>
      <c r="S696">
        <f t="shared" ref="S696:S759" si="196">IF($D696="",0,SUMIFS($R$4:$R$810,$A$4:$A$810,$A696))</f>
        <v>0</v>
      </c>
      <c r="T696" s="83">
        <f t="shared" ref="T696:T759" si="197">IF($D696="",0,COUNTIFS($D$4:$D$810,$D696,$C$4:$C$810,$C696,$A$4:$A$810,"&lt;"&amp;$A696))</f>
        <v>0</v>
      </c>
      <c r="U696" s="120">
        <f>IF($D696="",0,IFERROR(LOOKUP(2,1/(($D$3:D695=$D696)*($C$3:C695=$C696)*($A$3:A695&lt;$A696)),$AB$3:AB695),1000))</f>
        <v>0</v>
      </c>
      <c r="V696" s="120">
        <f t="shared" ref="V696:V759" si="198">IF($D696="",0,$U696*($T696/($T696+5))+$H696*(1-$T696/($T696+5)))</f>
        <v>0</v>
      </c>
      <c r="W696">
        <f t="shared" ref="W696:W759" si="199">IF($D696="",0,IFERROR(SUMIFS($V$4:$V$810,$A$4:$A$810,$A696,$E$4:$E$810,"Win")/COUNTIFS($A$4:$A$810,$A696,$E$4:$E$810,"Win"),0))</f>
        <v>0</v>
      </c>
      <c r="X696">
        <f t="shared" ref="X696:X759" si="200">IF($D696="",0,1/(1+10^(($W696-$V696)/400)))</f>
        <v>0</v>
      </c>
      <c r="Y696">
        <f t="shared" ref="Y696:Y759" si="201">IF($D696="",0,IFERROR(SUMIFS($U$4:$U$810,$A$4:$A$810,$A696,$E$4:$E$810,"Win")/COUNTIFS($A$4:$A$810,$A696,$E$4:$E$810,"Win"),0))</f>
        <v>0</v>
      </c>
      <c r="Z696">
        <f t="shared" ref="Z696:Z759" si="202">IF($D696="",0,1/(1+10^(($Y696-$U696)/400)))</f>
        <v>0</v>
      </c>
      <c r="AA696">
        <f>IF($D696="",0,IF($F696&lt;2,0,IF($E696="Win",('Guide &amp; Settings'!$C$42/(($F696-1)*COUNTIFS($A$4:$A$810,$A696,$E$4:$E$810,"Win")))*SUMIFS($Z$4:$Z$810,$A$4:$A$810,$A696,$E$4:$E$810,"Loss"),-('Guide &amp; Settings'!$C$42/($F696-1))*$Z696)))</f>
        <v>0</v>
      </c>
      <c r="AB696" s="120">
        <f t="shared" ref="AB696:AB759" si="203">IF($D696="",0,$U696+$AA696)</f>
        <v>0</v>
      </c>
      <c r="AC696" s="120" t="str">
        <f>IF($D696="","",IF(SUMPRODUCT(MAX(($D$4:$D$810=$D696)*($B$4:$B$810&lt;$B696)*$B$4:$B$810))=0,0,MAX(($B696-MAX(SUMPRODUCT(MAX(($D$4:$D$810=$D696)*($B$4:$B$810&lt;$B696)*$B$4:$B$810)),'Guide &amp; Settings'!$C$50))/7-'Guide &amp; Settings'!$C$48,0)*'Guide &amp; Settings'!$C$49))</f>
        <v/>
      </c>
    </row>
    <row r="697" spans="1:29" x14ac:dyDescent="0.2">
      <c r="A697" s="111"/>
      <c r="B697" s="112"/>
      <c r="C697" s="113"/>
      <c r="D697" s="113"/>
      <c r="E697" s="111"/>
      <c r="F697" s="114">
        <f t="shared" si="187"/>
        <v>0</v>
      </c>
      <c r="G697" s="115" t="str">
        <f t="shared" si="188"/>
        <v/>
      </c>
      <c r="H697" s="116">
        <f>IF($D697="",0,IFERROR(LOOKUP(2,1/(($D$3:D696=$D697)*($A$3:A696&lt;$A697)),$N$3:N696),'Guide &amp; Settings'!$C$41))</f>
        <v>0</v>
      </c>
      <c r="I697" s="117">
        <f t="shared" si="189"/>
        <v>0</v>
      </c>
      <c r="J697" s="118">
        <f>IF($D697="",0,IF($F697&lt;2,0,IF($E697="Win",('Guide &amp; Settings'!$C$42/(($F697-1)*COUNTIFS($A$4:$A$810,$A697,$E$4:$E$810,"Win")))*SUMIFS($X$4:$X$810,$A$4:$A$810,$A697,$E$4:$E$810,"Loss"),-('Guide &amp; Settings'!$C$42/($F697-1))*$X697)))</f>
        <v>0</v>
      </c>
      <c r="K697" s="118">
        <f>IF($D697="",0,'Guide &amp; Settings'!$C$43*(IF($E697="Win",1,0)-$I697))</f>
        <v>0</v>
      </c>
      <c r="L697" s="119">
        <f>IF($D697="",0,'Guide &amp; Settings'!$C$44*IF($F697&gt;=3,$F697,0))</f>
        <v>0</v>
      </c>
      <c r="M697" s="118">
        <f t="shared" si="190"/>
        <v>0</v>
      </c>
      <c r="N697" s="116">
        <f t="shared" si="191"/>
        <v>0</v>
      </c>
      <c r="O697" s="115" t="str">
        <f t="shared" si="192"/>
        <v/>
      </c>
      <c r="P697">
        <f t="shared" si="193"/>
        <v>0</v>
      </c>
      <c r="Q697">
        <f t="shared" si="194"/>
        <v>0</v>
      </c>
      <c r="R697">
        <f t="shared" si="195"/>
        <v>0</v>
      </c>
      <c r="S697">
        <f t="shared" si="196"/>
        <v>0</v>
      </c>
      <c r="T697" s="83">
        <f t="shared" si="197"/>
        <v>0</v>
      </c>
      <c r="U697" s="120">
        <f>IF($D697="",0,IFERROR(LOOKUP(2,1/(($D$3:D696=$D697)*($C$3:C696=$C697)*($A$3:A696&lt;$A697)),$AB$3:AB696),1000))</f>
        <v>0</v>
      </c>
      <c r="V697" s="120">
        <f t="shared" si="198"/>
        <v>0</v>
      </c>
      <c r="W697">
        <f t="shared" si="199"/>
        <v>0</v>
      </c>
      <c r="X697">
        <f t="shared" si="200"/>
        <v>0</v>
      </c>
      <c r="Y697">
        <f t="shared" si="201"/>
        <v>0</v>
      </c>
      <c r="Z697">
        <f t="shared" si="202"/>
        <v>0</v>
      </c>
      <c r="AA697">
        <f>IF($D697="",0,IF($F697&lt;2,0,IF($E697="Win",('Guide &amp; Settings'!$C$42/(($F697-1)*COUNTIFS($A$4:$A$810,$A697,$E$4:$E$810,"Win")))*SUMIFS($Z$4:$Z$810,$A$4:$A$810,$A697,$E$4:$E$810,"Loss"),-('Guide &amp; Settings'!$C$42/($F697-1))*$Z697)))</f>
        <v>0</v>
      </c>
      <c r="AB697" s="120">
        <f t="shared" si="203"/>
        <v>0</v>
      </c>
      <c r="AC697" s="120" t="str">
        <f>IF($D697="","",IF(SUMPRODUCT(MAX(($D$4:$D$810=$D697)*($B$4:$B$810&lt;$B697)*$B$4:$B$810))=0,0,MAX(($B697-MAX(SUMPRODUCT(MAX(($D$4:$D$810=$D697)*($B$4:$B$810&lt;$B697)*$B$4:$B$810)),'Guide &amp; Settings'!$C$50))/7-'Guide &amp; Settings'!$C$48,0)*'Guide &amp; Settings'!$C$49))</f>
        <v/>
      </c>
    </row>
    <row r="698" spans="1:29" x14ac:dyDescent="0.2">
      <c r="A698" s="111"/>
      <c r="B698" s="112"/>
      <c r="C698" s="113"/>
      <c r="D698" s="113"/>
      <c r="E698" s="111"/>
      <c r="F698" s="114">
        <f t="shared" si="187"/>
        <v>0</v>
      </c>
      <c r="G698" s="115" t="str">
        <f t="shared" si="188"/>
        <v/>
      </c>
      <c r="H698" s="116">
        <f>IF($D698="",0,IFERROR(LOOKUP(2,1/(($D$3:D697=$D698)*($A$3:A697&lt;$A698)),$N$3:N697),'Guide &amp; Settings'!$C$41))</f>
        <v>0</v>
      </c>
      <c r="I698" s="117">
        <f t="shared" si="189"/>
        <v>0</v>
      </c>
      <c r="J698" s="118">
        <f>IF($D698="",0,IF($F698&lt;2,0,IF($E698="Win",('Guide &amp; Settings'!$C$42/(($F698-1)*COUNTIFS($A$4:$A$810,$A698,$E$4:$E$810,"Win")))*SUMIFS($X$4:$X$810,$A$4:$A$810,$A698,$E$4:$E$810,"Loss"),-('Guide &amp; Settings'!$C$42/($F698-1))*$X698)))</f>
        <v>0</v>
      </c>
      <c r="K698" s="118">
        <f>IF($D698="",0,'Guide &amp; Settings'!$C$43*(IF($E698="Win",1,0)-$I698))</f>
        <v>0</v>
      </c>
      <c r="L698" s="119">
        <f>IF($D698="",0,'Guide &amp; Settings'!$C$44*IF($F698&gt;=3,$F698,0))</f>
        <v>0</v>
      </c>
      <c r="M698" s="118">
        <f t="shared" si="190"/>
        <v>0</v>
      </c>
      <c r="N698" s="116">
        <f t="shared" si="191"/>
        <v>0</v>
      </c>
      <c r="O698" s="115" t="str">
        <f t="shared" si="192"/>
        <v/>
      </c>
      <c r="P698">
        <f t="shared" si="193"/>
        <v>0</v>
      </c>
      <c r="Q698">
        <f t="shared" si="194"/>
        <v>0</v>
      </c>
      <c r="R698">
        <f t="shared" si="195"/>
        <v>0</v>
      </c>
      <c r="S698">
        <f t="shared" si="196"/>
        <v>0</v>
      </c>
      <c r="T698" s="83">
        <f t="shared" si="197"/>
        <v>0</v>
      </c>
      <c r="U698" s="120">
        <f>IF($D698="",0,IFERROR(LOOKUP(2,1/(($D$3:D697=$D698)*($C$3:C697=$C698)*($A$3:A697&lt;$A698)),$AB$3:AB697),1000))</f>
        <v>0</v>
      </c>
      <c r="V698" s="120">
        <f t="shared" si="198"/>
        <v>0</v>
      </c>
      <c r="W698">
        <f t="shared" si="199"/>
        <v>0</v>
      </c>
      <c r="X698">
        <f t="shared" si="200"/>
        <v>0</v>
      </c>
      <c r="Y698">
        <f t="shared" si="201"/>
        <v>0</v>
      </c>
      <c r="Z698">
        <f t="shared" si="202"/>
        <v>0</v>
      </c>
      <c r="AA698">
        <f>IF($D698="",0,IF($F698&lt;2,0,IF($E698="Win",('Guide &amp; Settings'!$C$42/(($F698-1)*COUNTIFS($A$4:$A$810,$A698,$E$4:$E$810,"Win")))*SUMIFS($Z$4:$Z$810,$A$4:$A$810,$A698,$E$4:$E$810,"Loss"),-('Guide &amp; Settings'!$C$42/($F698-1))*$Z698)))</f>
        <v>0</v>
      </c>
      <c r="AB698" s="120">
        <f t="shared" si="203"/>
        <v>0</v>
      </c>
      <c r="AC698" s="120" t="str">
        <f>IF($D698="","",IF(SUMPRODUCT(MAX(($D$4:$D$810=$D698)*($B$4:$B$810&lt;$B698)*$B$4:$B$810))=0,0,MAX(($B698-MAX(SUMPRODUCT(MAX(($D$4:$D$810=$D698)*($B$4:$B$810&lt;$B698)*$B$4:$B$810)),'Guide &amp; Settings'!$C$50))/7-'Guide &amp; Settings'!$C$48,0)*'Guide &amp; Settings'!$C$49))</f>
        <v/>
      </c>
    </row>
    <row r="699" spans="1:29" x14ac:dyDescent="0.2">
      <c r="A699" s="111"/>
      <c r="B699" s="112"/>
      <c r="C699" s="113"/>
      <c r="D699" s="113"/>
      <c r="E699" s="111"/>
      <c r="F699" s="114">
        <f t="shared" si="187"/>
        <v>0</v>
      </c>
      <c r="G699" s="115" t="str">
        <f t="shared" si="188"/>
        <v/>
      </c>
      <c r="H699" s="116">
        <f>IF($D699="",0,IFERROR(LOOKUP(2,1/(($D$3:D698=$D699)*($A$3:A698&lt;$A699)),$N$3:N698),'Guide &amp; Settings'!$C$41))</f>
        <v>0</v>
      </c>
      <c r="I699" s="117">
        <f t="shared" si="189"/>
        <v>0</v>
      </c>
      <c r="J699" s="118">
        <f>IF($D699="",0,IF($F699&lt;2,0,IF($E699="Win",('Guide &amp; Settings'!$C$42/(($F699-1)*COUNTIFS($A$4:$A$810,$A699,$E$4:$E$810,"Win")))*SUMIFS($X$4:$X$810,$A$4:$A$810,$A699,$E$4:$E$810,"Loss"),-('Guide &amp; Settings'!$C$42/($F699-1))*$X699)))</f>
        <v>0</v>
      </c>
      <c r="K699" s="118">
        <f>IF($D699="",0,'Guide &amp; Settings'!$C$43*(IF($E699="Win",1,0)-$I699))</f>
        <v>0</v>
      </c>
      <c r="L699" s="119">
        <f>IF($D699="",0,'Guide &amp; Settings'!$C$44*IF($F699&gt;=3,$F699,0))</f>
        <v>0</v>
      </c>
      <c r="M699" s="118">
        <f t="shared" si="190"/>
        <v>0</v>
      </c>
      <c r="N699" s="116">
        <f t="shared" si="191"/>
        <v>0</v>
      </c>
      <c r="O699" s="115" t="str">
        <f t="shared" si="192"/>
        <v/>
      </c>
      <c r="P699">
        <f t="shared" si="193"/>
        <v>0</v>
      </c>
      <c r="Q699">
        <f t="shared" si="194"/>
        <v>0</v>
      </c>
      <c r="R699">
        <f t="shared" si="195"/>
        <v>0</v>
      </c>
      <c r="S699">
        <f t="shared" si="196"/>
        <v>0</v>
      </c>
      <c r="T699" s="83">
        <f t="shared" si="197"/>
        <v>0</v>
      </c>
      <c r="U699" s="120">
        <f>IF($D699="",0,IFERROR(LOOKUP(2,1/(($D$3:D698=$D699)*($C$3:C698=$C699)*($A$3:A698&lt;$A699)),$AB$3:AB698),1000))</f>
        <v>0</v>
      </c>
      <c r="V699" s="120">
        <f t="shared" si="198"/>
        <v>0</v>
      </c>
      <c r="W699">
        <f t="shared" si="199"/>
        <v>0</v>
      </c>
      <c r="X699">
        <f t="shared" si="200"/>
        <v>0</v>
      </c>
      <c r="Y699">
        <f t="shared" si="201"/>
        <v>0</v>
      </c>
      <c r="Z699">
        <f t="shared" si="202"/>
        <v>0</v>
      </c>
      <c r="AA699">
        <f>IF($D699="",0,IF($F699&lt;2,0,IF($E699="Win",('Guide &amp; Settings'!$C$42/(($F699-1)*COUNTIFS($A$4:$A$810,$A699,$E$4:$E$810,"Win")))*SUMIFS($Z$4:$Z$810,$A$4:$A$810,$A699,$E$4:$E$810,"Loss"),-('Guide &amp; Settings'!$C$42/($F699-1))*$Z699)))</f>
        <v>0</v>
      </c>
      <c r="AB699" s="120">
        <f t="shared" si="203"/>
        <v>0</v>
      </c>
      <c r="AC699" s="120" t="str">
        <f>IF($D699="","",IF(SUMPRODUCT(MAX(($D$4:$D$810=$D699)*($B$4:$B$810&lt;$B699)*$B$4:$B$810))=0,0,MAX(($B699-MAX(SUMPRODUCT(MAX(($D$4:$D$810=$D699)*($B$4:$B$810&lt;$B699)*$B$4:$B$810)),'Guide &amp; Settings'!$C$50))/7-'Guide &amp; Settings'!$C$48,0)*'Guide &amp; Settings'!$C$49))</f>
        <v/>
      </c>
    </row>
    <row r="700" spans="1:29" x14ac:dyDescent="0.2">
      <c r="A700" s="111"/>
      <c r="B700" s="112"/>
      <c r="C700" s="113"/>
      <c r="D700" s="113"/>
      <c r="E700" s="111"/>
      <c r="F700" s="114">
        <f t="shared" si="187"/>
        <v>0</v>
      </c>
      <c r="G700" s="115" t="str">
        <f t="shared" si="188"/>
        <v/>
      </c>
      <c r="H700" s="116">
        <f>IF($D700="",0,IFERROR(LOOKUP(2,1/(($D$3:D699=$D700)*($A$3:A699&lt;$A700)),$N$3:N699),'Guide &amp; Settings'!$C$41))</f>
        <v>0</v>
      </c>
      <c r="I700" s="117">
        <f t="shared" si="189"/>
        <v>0</v>
      </c>
      <c r="J700" s="118">
        <f>IF($D700="",0,IF($F700&lt;2,0,IF($E700="Win",('Guide &amp; Settings'!$C$42/(($F700-1)*COUNTIFS($A$4:$A$810,$A700,$E$4:$E$810,"Win")))*SUMIFS($X$4:$X$810,$A$4:$A$810,$A700,$E$4:$E$810,"Loss"),-('Guide &amp; Settings'!$C$42/($F700-1))*$X700)))</f>
        <v>0</v>
      </c>
      <c r="K700" s="118">
        <f>IF($D700="",0,'Guide &amp; Settings'!$C$43*(IF($E700="Win",1,0)-$I700))</f>
        <v>0</v>
      </c>
      <c r="L700" s="119">
        <f>IF($D700="",0,'Guide &amp; Settings'!$C$44*IF($F700&gt;=3,$F700,0))</f>
        <v>0</v>
      </c>
      <c r="M700" s="118">
        <f t="shared" si="190"/>
        <v>0</v>
      </c>
      <c r="N700" s="116">
        <f t="shared" si="191"/>
        <v>0</v>
      </c>
      <c r="O700" s="115" t="str">
        <f t="shared" si="192"/>
        <v/>
      </c>
      <c r="P700">
        <f t="shared" si="193"/>
        <v>0</v>
      </c>
      <c r="Q700">
        <f t="shared" si="194"/>
        <v>0</v>
      </c>
      <c r="R700">
        <f t="shared" si="195"/>
        <v>0</v>
      </c>
      <c r="S700">
        <f t="shared" si="196"/>
        <v>0</v>
      </c>
      <c r="T700" s="83">
        <f t="shared" si="197"/>
        <v>0</v>
      </c>
      <c r="U700" s="120">
        <f>IF($D700="",0,IFERROR(LOOKUP(2,1/(($D$3:D699=$D700)*($C$3:C699=$C700)*($A$3:A699&lt;$A700)),$AB$3:AB699),1000))</f>
        <v>0</v>
      </c>
      <c r="V700" s="120">
        <f t="shared" si="198"/>
        <v>0</v>
      </c>
      <c r="W700">
        <f t="shared" si="199"/>
        <v>0</v>
      </c>
      <c r="X700">
        <f t="shared" si="200"/>
        <v>0</v>
      </c>
      <c r="Y700">
        <f t="shared" si="201"/>
        <v>0</v>
      </c>
      <c r="Z700">
        <f t="shared" si="202"/>
        <v>0</v>
      </c>
      <c r="AA700">
        <f>IF($D700="",0,IF($F700&lt;2,0,IF($E700="Win",('Guide &amp; Settings'!$C$42/(($F700-1)*COUNTIFS($A$4:$A$810,$A700,$E$4:$E$810,"Win")))*SUMIFS($Z$4:$Z$810,$A$4:$A$810,$A700,$E$4:$E$810,"Loss"),-('Guide &amp; Settings'!$C$42/($F700-1))*$Z700)))</f>
        <v>0</v>
      </c>
      <c r="AB700" s="120">
        <f t="shared" si="203"/>
        <v>0</v>
      </c>
      <c r="AC700" s="120" t="str">
        <f>IF($D700="","",IF(SUMPRODUCT(MAX(($D$4:$D$810=$D700)*($B$4:$B$810&lt;$B700)*$B$4:$B$810))=0,0,MAX(($B700-MAX(SUMPRODUCT(MAX(($D$4:$D$810=$D700)*($B$4:$B$810&lt;$B700)*$B$4:$B$810)),'Guide &amp; Settings'!$C$50))/7-'Guide &amp; Settings'!$C$48,0)*'Guide &amp; Settings'!$C$49))</f>
        <v/>
      </c>
    </row>
    <row r="701" spans="1:29" x14ac:dyDescent="0.2">
      <c r="A701" s="111"/>
      <c r="B701" s="112"/>
      <c r="C701" s="113"/>
      <c r="D701" s="113"/>
      <c r="E701" s="111"/>
      <c r="F701" s="114">
        <f t="shared" si="187"/>
        <v>0</v>
      </c>
      <c r="G701" s="115" t="str">
        <f t="shared" si="188"/>
        <v/>
      </c>
      <c r="H701" s="116">
        <f>IF($D701="",0,IFERROR(LOOKUP(2,1/(($D$3:D700=$D701)*($A$3:A700&lt;$A701)),$N$3:N700),'Guide &amp; Settings'!$C$41))</f>
        <v>0</v>
      </c>
      <c r="I701" s="117">
        <f t="shared" si="189"/>
        <v>0</v>
      </c>
      <c r="J701" s="118">
        <f>IF($D701="",0,IF($F701&lt;2,0,IF($E701="Win",('Guide &amp; Settings'!$C$42/(($F701-1)*COUNTIFS($A$4:$A$810,$A701,$E$4:$E$810,"Win")))*SUMIFS($X$4:$X$810,$A$4:$A$810,$A701,$E$4:$E$810,"Loss"),-('Guide &amp; Settings'!$C$42/($F701-1))*$X701)))</f>
        <v>0</v>
      </c>
      <c r="K701" s="118">
        <f>IF($D701="",0,'Guide &amp; Settings'!$C$43*(IF($E701="Win",1,0)-$I701))</f>
        <v>0</v>
      </c>
      <c r="L701" s="119">
        <f>IF($D701="",0,'Guide &amp; Settings'!$C$44*IF($F701&gt;=3,$F701,0))</f>
        <v>0</v>
      </c>
      <c r="M701" s="118">
        <f t="shared" si="190"/>
        <v>0</v>
      </c>
      <c r="N701" s="116">
        <f t="shared" si="191"/>
        <v>0</v>
      </c>
      <c r="O701" s="115" t="str">
        <f t="shared" si="192"/>
        <v/>
      </c>
      <c r="P701">
        <f t="shared" si="193"/>
        <v>0</v>
      </c>
      <c r="Q701">
        <f t="shared" si="194"/>
        <v>0</v>
      </c>
      <c r="R701">
        <f t="shared" si="195"/>
        <v>0</v>
      </c>
      <c r="S701">
        <f t="shared" si="196"/>
        <v>0</v>
      </c>
      <c r="T701" s="83">
        <f t="shared" si="197"/>
        <v>0</v>
      </c>
      <c r="U701" s="120">
        <f>IF($D701="",0,IFERROR(LOOKUP(2,1/(($D$3:D700=$D701)*($C$3:C700=$C701)*($A$3:A700&lt;$A701)),$AB$3:AB700),1000))</f>
        <v>0</v>
      </c>
      <c r="V701" s="120">
        <f t="shared" si="198"/>
        <v>0</v>
      </c>
      <c r="W701">
        <f t="shared" si="199"/>
        <v>0</v>
      </c>
      <c r="X701">
        <f t="shared" si="200"/>
        <v>0</v>
      </c>
      <c r="Y701">
        <f t="shared" si="201"/>
        <v>0</v>
      </c>
      <c r="Z701">
        <f t="shared" si="202"/>
        <v>0</v>
      </c>
      <c r="AA701">
        <f>IF($D701="",0,IF($F701&lt;2,0,IF($E701="Win",('Guide &amp; Settings'!$C$42/(($F701-1)*COUNTIFS($A$4:$A$810,$A701,$E$4:$E$810,"Win")))*SUMIFS($Z$4:$Z$810,$A$4:$A$810,$A701,$E$4:$E$810,"Loss"),-('Guide &amp; Settings'!$C$42/($F701-1))*$Z701)))</f>
        <v>0</v>
      </c>
      <c r="AB701" s="120">
        <f t="shared" si="203"/>
        <v>0</v>
      </c>
      <c r="AC701" s="120" t="str">
        <f>IF($D701="","",IF(SUMPRODUCT(MAX(($D$4:$D$810=$D701)*($B$4:$B$810&lt;$B701)*$B$4:$B$810))=0,0,MAX(($B701-MAX(SUMPRODUCT(MAX(($D$4:$D$810=$D701)*($B$4:$B$810&lt;$B701)*$B$4:$B$810)),'Guide &amp; Settings'!$C$50))/7-'Guide &amp; Settings'!$C$48,0)*'Guide &amp; Settings'!$C$49))</f>
        <v/>
      </c>
    </row>
    <row r="702" spans="1:29" x14ac:dyDescent="0.2">
      <c r="A702" s="111"/>
      <c r="B702" s="112"/>
      <c r="C702" s="113"/>
      <c r="D702" s="113"/>
      <c r="E702" s="111"/>
      <c r="F702" s="114">
        <f t="shared" si="187"/>
        <v>0</v>
      </c>
      <c r="G702" s="115" t="str">
        <f t="shared" si="188"/>
        <v/>
      </c>
      <c r="H702" s="116">
        <f>IF($D702="",0,IFERROR(LOOKUP(2,1/(($D$3:D701=$D702)*($A$3:A701&lt;$A702)),$N$3:N701),'Guide &amp; Settings'!$C$41))</f>
        <v>0</v>
      </c>
      <c r="I702" s="117">
        <f t="shared" si="189"/>
        <v>0</v>
      </c>
      <c r="J702" s="118">
        <f>IF($D702="",0,IF($F702&lt;2,0,IF($E702="Win",('Guide &amp; Settings'!$C$42/(($F702-1)*COUNTIFS($A$4:$A$810,$A702,$E$4:$E$810,"Win")))*SUMIFS($X$4:$X$810,$A$4:$A$810,$A702,$E$4:$E$810,"Loss"),-('Guide &amp; Settings'!$C$42/($F702-1))*$X702)))</f>
        <v>0</v>
      </c>
      <c r="K702" s="118">
        <f>IF($D702="",0,'Guide &amp; Settings'!$C$43*(IF($E702="Win",1,0)-$I702))</f>
        <v>0</v>
      </c>
      <c r="L702" s="119">
        <f>IF($D702="",0,'Guide &amp; Settings'!$C$44*IF($F702&gt;=3,$F702,0))</f>
        <v>0</v>
      </c>
      <c r="M702" s="118">
        <f t="shared" si="190"/>
        <v>0</v>
      </c>
      <c r="N702" s="116">
        <f t="shared" si="191"/>
        <v>0</v>
      </c>
      <c r="O702" s="115" t="str">
        <f t="shared" si="192"/>
        <v/>
      </c>
      <c r="P702">
        <f t="shared" si="193"/>
        <v>0</v>
      </c>
      <c r="Q702">
        <f t="shared" si="194"/>
        <v>0</v>
      </c>
      <c r="R702">
        <f t="shared" si="195"/>
        <v>0</v>
      </c>
      <c r="S702">
        <f t="shared" si="196"/>
        <v>0</v>
      </c>
      <c r="T702" s="83">
        <f t="shared" si="197"/>
        <v>0</v>
      </c>
      <c r="U702" s="120">
        <f>IF($D702="",0,IFERROR(LOOKUP(2,1/(($D$3:D701=$D702)*($C$3:C701=$C702)*($A$3:A701&lt;$A702)),$AB$3:AB701),1000))</f>
        <v>0</v>
      </c>
      <c r="V702" s="120">
        <f t="shared" si="198"/>
        <v>0</v>
      </c>
      <c r="W702">
        <f t="shared" si="199"/>
        <v>0</v>
      </c>
      <c r="X702">
        <f t="shared" si="200"/>
        <v>0</v>
      </c>
      <c r="Y702">
        <f t="shared" si="201"/>
        <v>0</v>
      </c>
      <c r="Z702">
        <f t="shared" si="202"/>
        <v>0</v>
      </c>
      <c r="AA702">
        <f>IF($D702="",0,IF($F702&lt;2,0,IF($E702="Win",('Guide &amp; Settings'!$C$42/(($F702-1)*COUNTIFS($A$4:$A$810,$A702,$E$4:$E$810,"Win")))*SUMIFS($Z$4:$Z$810,$A$4:$A$810,$A702,$E$4:$E$810,"Loss"),-('Guide &amp; Settings'!$C$42/($F702-1))*$Z702)))</f>
        <v>0</v>
      </c>
      <c r="AB702" s="120">
        <f t="shared" si="203"/>
        <v>0</v>
      </c>
      <c r="AC702" s="120" t="str">
        <f>IF($D702="","",IF(SUMPRODUCT(MAX(($D$4:$D$810=$D702)*($B$4:$B$810&lt;$B702)*$B$4:$B$810))=0,0,MAX(($B702-MAX(SUMPRODUCT(MAX(($D$4:$D$810=$D702)*($B$4:$B$810&lt;$B702)*$B$4:$B$810)),'Guide &amp; Settings'!$C$50))/7-'Guide &amp; Settings'!$C$48,0)*'Guide &amp; Settings'!$C$49))</f>
        <v/>
      </c>
    </row>
    <row r="703" spans="1:29" x14ac:dyDescent="0.2">
      <c r="A703" s="111"/>
      <c r="B703" s="112"/>
      <c r="C703" s="113"/>
      <c r="D703" s="113"/>
      <c r="E703" s="111"/>
      <c r="F703" s="114">
        <f t="shared" si="187"/>
        <v>0</v>
      </c>
      <c r="G703" s="115" t="str">
        <f t="shared" si="188"/>
        <v/>
      </c>
      <c r="H703" s="116">
        <f>IF($D703="",0,IFERROR(LOOKUP(2,1/(($D$3:D702=$D703)*($A$3:A702&lt;$A703)),$N$3:N702),'Guide &amp; Settings'!$C$41))</f>
        <v>0</v>
      </c>
      <c r="I703" s="117">
        <f t="shared" si="189"/>
        <v>0</v>
      </c>
      <c r="J703" s="118">
        <f>IF($D703="",0,IF($F703&lt;2,0,IF($E703="Win",('Guide &amp; Settings'!$C$42/(($F703-1)*COUNTIFS($A$4:$A$810,$A703,$E$4:$E$810,"Win")))*SUMIFS($X$4:$X$810,$A$4:$A$810,$A703,$E$4:$E$810,"Loss"),-('Guide &amp; Settings'!$C$42/($F703-1))*$X703)))</f>
        <v>0</v>
      </c>
      <c r="K703" s="118">
        <f>IF($D703="",0,'Guide &amp; Settings'!$C$43*(IF($E703="Win",1,0)-$I703))</f>
        <v>0</v>
      </c>
      <c r="L703" s="119">
        <f>IF($D703="",0,'Guide &amp; Settings'!$C$44*IF($F703&gt;=3,$F703,0))</f>
        <v>0</v>
      </c>
      <c r="M703" s="118">
        <f t="shared" si="190"/>
        <v>0</v>
      </c>
      <c r="N703" s="116">
        <f t="shared" si="191"/>
        <v>0</v>
      </c>
      <c r="O703" s="115" t="str">
        <f t="shared" si="192"/>
        <v/>
      </c>
      <c r="P703">
        <f t="shared" si="193"/>
        <v>0</v>
      </c>
      <c r="Q703">
        <f t="shared" si="194"/>
        <v>0</v>
      </c>
      <c r="R703">
        <f t="shared" si="195"/>
        <v>0</v>
      </c>
      <c r="S703">
        <f t="shared" si="196"/>
        <v>0</v>
      </c>
      <c r="T703" s="83">
        <f t="shared" si="197"/>
        <v>0</v>
      </c>
      <c r="U703" s="120">
        <f>IF($D703="",0,IFERROR(LOOKUP(2,1/(($D$3:D702=$D703)*($C$3:C702=$C703)*($A$3:A702&lt;$A703)),$AB$3:AB702),1000))</f>
        <v>0</v>
      </c>
      <c r="V703" s="120">
        <f t="shared" si="198"/>
        <v>0</v>
      </c>
      <c r="W703">
        <f t="shared" si="199"/>
        <v>0</v>
      </c>
      <c r="X703">
        <f t="shared" si="200"/>
        <v>0</v>
      </c>
      <c r="Y703">
        <f t="shared" si="201"/>
        <v>0</v>
      </c>
      <c r="Z703">
        <f t="shared" si="202"/>
        <v>0</v>
      </c>
      <c r="AA703">
        <f>IF($D703="",0,IF($F703&lt;2,0,IF($E703="Win",('Guide &amp; Settings'!$C$42/(($F703-1)*COUNTIFS($A$4:$A$810,$A703,$E$4:$E$810,"Win")))*SUMIFS($Z$4:$Z$810,$A$4:$A$810,$A703,$E$4:$E$810,"Loss"),-('Guide &amp; Settings'!$C$42/($F703-1))*$Z703)))</f>
        <v>0</v>
      </c>
      <c r="AB703" s="120">
        <f t="shared" si="203"/>
        <v>0</v>
      </c>
      <c r="AC703" s="120" t="str">
        <f>IF($D703="","",IF(SUMPRODUCT(MAX(($D$4:$D$810=$D703)*($B$4:$B$810&lt;$B703)*$B$4:$B$810))=0,0,MAX(($B703-MAX(SUMPRODUCT(MAX(($D$4:$D$810=$D703)*($B$4:$B$810&lt;$B703)*$B$4:$B$810)),'Guide &amp; Settings'!$C$50))/7-'Guide &amp; Settings'!$C$48,0)*'Guide &amp; Settings'!$C$49))</f>
        <v/>
      </c>
    </row>
    <row r="704" spans="1:29" x14ac:dyDescent="0.2">
      <c r="A704" s="111"/>
      <c r="B704" s="112"/>
      <c r="C704" s="113"/>
      <c r="D704" s="113"/>
      <c r="E704" s="111"/>
      <c r="F704" s="114">
        <f t="shared" si="187"/>
        <v>0</v>
      </c>
      <c r="G704" s="115" t="str">
        <f t="shared" si="188"/>
        <v/>
      </c>
      <c r="H704" s="116">
        <f>IF($D704="",0,IFERROR(LOOKUP(2,1/(($D$3:D703=$D704)*($A$3:A703&lt;$A704)),$N$3:N703),'Guide &amp; Settings'!$C$41))</f>
        <v>0</v>
      </c>
      <c r="I704" s="117">
        <f t="shared" si="189"/>
        <v>0</v>
      </c>
      <c r="J704" s="118">
        <f>IF($D704="",0,IF($F704&lt;2,0,IF($E704="Win",('Guide &amp; Settings'!$C$42/(($F704-1)*COUNTIFS($A$4:$A$810,$A704,$E$4:$E$810,"Win")))*SUMIFS($X$4:$X$810,$A$4:$A$810,$A704,$E$4:$E$810,"Loss"),-('Guide &amp; Settings'!$C$42/($F704-1))*$X704)))</f>
        <v>0</v>
      </c>
      <c r="K704" s="118">
        <f>IF($D704="",0,'Guide &amp; Settings'!$C$43*(IF($E704="Win",1,0)-$I704))</f>
        <v>0</v>
      </c>
      <c r="L704" s="119">
        <f>IF($D704="",0,'Guide &amp; Settings'!$C$44*IF($F704&gt;=3,$F704,0))</f>
        <v>0</v>
      </c>
      <c r="M704" s="118">
        <f t="shared" si="190"/>
        <v>0</v>
      </c>
      <c r="N704" s="116">
        <f t="shared" si="191"/>
        <v>0</v>
      </c>
      <c r="O704" s="115" t="str">
        <f t="shared" si="192"/>
        <v/>
      </c>
      <c r="P704">
        <f t="shared" si="193"/>
        <v>0</v>
      </c>
      <c r="Q704">
        <f t="shared" si="194"/>
        <v>0</v>
      </c>
      <c r="R704">
        <f t="shared" si="195"/>
        <v>0</v>
      </c>
      <c r="S704">
        <f t="shared" si="196"/>
        <v>0</v>
      </c>
      <c r="T704" s="83">
        <f t="shared" si="197"/>
        <v>0</v>
      </c>
      <c r="U704" s="120">
        <f>IF($D704="",0,IFERROR(LOOKUP(2,1/(($D$3:D703=$D704)*($C$3:C703=$C704)*($A$3:A703&lt;$A704)),$AB$3:AB703),1000))</f>
        <v>0</v>
      </c>
      <c r="V704" s="120">
        <f t="shared" si="198"/>
        <v>0</v>
      </c>
      <c r="W704">
        <f t="shared" si="199"/>
        <v>0</v>
      </c>
      <c r="X704">
        <f t="shared" si="200"/>
        <v>0</v>
      </c>
      <c r="Y704">
        <f t="shared" si="201"/>
        <v>0</v>
      </c>
      <c r="Z704">
        <f t="shared" si="202"/>
        <v>0</v>
      </c>
      <c r="AA704">
        <f>IF($D704="",0,IF($F704&lt;2,0,IF($E704="Win",('Guide &amp; Settings'!$C$42/(($F704-1)*COUNTIFS($A$4:$A$810,$A704,$E$4:$E$810,"Win")))*SUMIFS($Z$4:$Z$810,$A$4:$A$810,$A704,$E$4:$E$810,"Loss"),-('Guide &amp; Settings'!$C$42/($F704-1))*$Z704)))</f>
        <v>0</v>
      </c>
      <c r="AB704" s="120">
        <f t="shared" si="203"/>
        <v>0</v>
      </c>
      <c r="AC704" s="120" t="str">
        <f>IF($D704="","",IF(SUMPRODUCT(MAX(($D$4:$D$810=$D704)*($B$4:$B$810&lt;$B704)*$B$4:$B$810))=0,0,MAX(($B704-MAX(SUMPRODUCT(MAX(($D$4:$D$810=$D704)*($B$4:$B$810&lt;$B704)*$B$4:$B$810)),'Guide &amp; Settings'!$C$50))/7-'Guide &amp; Settings'!$C$48,0)*'Guide &amp; Settings'!$C$49))</f>
        <v/>
      </c>
    </row>
    <row r="705" spans="1:29" x14ac:dyDescent="0.2">
      <c r="A705" s="111"/>
      <c r="B705" s="112"/>
      <c r="C705" s="113"/>
      <c r="D705" s="113"/>
      <c r="E705" s="111"/>
      <c r="F705" s="114">
        <f t="shared" si="187"/>
        <v>0</v>
      </c>
      <c r="G705" s="115" t="str">
        <f t="shared" si="188"/>
        <v/>
      </c>
      <c r="H705" s="116">
        <f>IF($D705="",0,IFERROR(LOOKUP(2,1/(($D$3:D704=$D705)*($A$3:A704&lt;$A705)),$N$3:N704),'Guide &amp; Settings'!$C$41))</f>
        <v>0</v>
      </c>
      <c r="I705" s="117">
        <f t="shared" si="189"/>
        <v>0</v>
      </c>
      <c r="J705" s="118">
        <f>IF($D705="",0,IF($F705&lt;2,0,IF($E705="Win",('Guide &amp; Settings'!$C$42/(($F705-1)*COUNTIFS($A$4:$A$810,$A705,$E$4:$E$810,"Win")))*SUMIFS($X$4:$X$810,$A$4:$A$810,$A705,$E$4:$E$810,"Loss"),-('Guide &amp; Settings'!$C$42/($F705-1))*$X705)))</f>
        <v>0</v>
      </c>
      <c r="K705" s="118">
        <f>IF($D705="",0,'Guide &amp; Settings'!$C$43*(IF($E705="Win",1,0)-$I705))</f>
        <v>0</v>
      </c>
      <c r="L705" s="119">
        <f>IF($D705="",0,'Guide &amp; Settings'!$C$44*IF($F705&gt;=3,$F705,0))</f>
        <v>0</v>
      </c>
      <c r="M705" s="118">
        <f t="shared" si="190"/>
        <v>0</v>
      </c>
      <c r="N705" s="116">
        <f t="shared" si="191"/>
        <v>0</v>
      </c>
      <c r="O705" s="115" t="str">
        <f t="shared" si="192"/>
        <v/>
      </c>
      <c r="P705">
        <f t="shared" si="193"/>
        <v>0</v>
      </c>
      <c r="Q705">
        <f t="shared" si="194"/>
        <v>0</v>
      </c>
      <c r="R705">
        <f t="shared" si="195"/>
        <v>0</v>
      </c>
      <c r="S705">
        <f t="shared" si="196"/>
        <v>0</v>
      </c>
      <c r="T705" s="83">
        <f t="shared" si="197"/>
        <v>0</v>
      </c>
      <c r="U705" s="120">
        <f>IF($D705="",0,IFERROR(LOOKUP(2,1/(($D$3:D704=$D705)*($C$3:C704=$C705)*($A$3:A704&lt;$A705)),$AB$3:AB704),1000))</f>
        <v>0</v>
      </c>
      <c r="V705" s="120">
        <f t="shared" si="198"/>
        <v>0</v>
      </c>
      <c r="W705">
        <f t="shared" si="199"/>
        <v>0</v>
      </c>
      <c r="X705">
        <f t="shared" si="200"/>
        <v>0</v>
      </c>
      <c r="Y705">
        <f t="shared" si="201"/>
        <v>0</v>
      </c>
      <c r="Z705">
        <f t="shared" si="202"/>
        <v>0</v>
      </c>
      <c r="AA705">
        <f>IF($D705="",0,IF($F705&lt;2,0,IF($E705="Win",('Guide &amp; Settings'!$C$42/(($F705-1)*COUNTIFS($A$4:$A$810,$A705,$E$4:$E$810,"Win")))*SUMIFS($Z$4:$Z$810,$A$4:$A$810,$A705,$E$4:$E$810,"Loss"),-('Guide &amp; Settings'!$C$42/($F705-1))*$Z705)))</f>
        <v>0</v>
      </c>
      <c r="AB705" s="120">
        <f t="shared" si="203"/>
        <v>0</v>
      </c>
      <c r="AC705" s="120" t="str">
        <f>IF($D705="","",IF(SUMPRODUCT(MAX(($D$4:$D$810=$D705)*($B$4:$B$810&lt;$B705)*$B$4:$B$810))=0,0,MAX(($B705-MAX(SUMPRODUCT(MAX(($D$4:$D$810=$D705)*($B$4:$B$810&lt;$B705)*$B$4:$B$810)),'Guide &amp; Settings'!$C$50))/7-'Guide &amp; Settings'!$C$48,0)*'Guide &amp; Settings'!$C$49))</f>
        <v/>
      </c>
    </row>
    <row r="706" spans="1:29" x14ac:dyDescent="0.2">
      <c r="A706" s="111"/>
      <c r="B706" s="112"/>
      <c r="C706" s="113"/>
      <c r="D706" s="113"/>
      <c r="E706" s="111"/>
      <c r="F706" s="114">
        <f t="shared" si="187"/>
        <v>0</v>
      </c>
      <c r="G706" s="115" t="str">
        <f t="shared" si="188"/>
        <v/>
      </c>
      <c r="H706" s="116">
        <f>IF($D706="",0,IFERROR(LOOKUP(2,1/(($D$3:D705=$D706)*($A$3:A705&lt;$A706)),$N$3:N705),'Guide &amp; Settings'!$C$41))</f>
        <v>0</v>
      </c>
      <c r="I706" s="117">
        <f t="shared" si="189"/>
        <v>0</v>
      </c>
      <c r="J706" s="118">
        <f>IF($D706="",0,IF($F706&lt;2,0,IF($E706="Win",('Guide &amp; Settings'!$C$42/(($F706-1)*COUNTIFS($A$4:$A$810,$A706,$E$4:$E$810,"Win")))*SUMIFS($X$4:$X$810,$A$4:$A$810,$A706,$E$4:$E$810,"Loss"),-('Guide &amp; Settings'!$C$42/($F706-1))*$X706)))</f>
        <v>0</v>
      </c>
      <c r="K706" s="118">
        <f>IF($D706="",0,'Guide &amp; Settings'!$C$43*(IF($E706="Win",1,0)-$I706))</f>
        <v>0</v>
      </c>
      <c r="L706" s="119">
        <f>IF($D706="",0,'Guide &amp; Settings'!$C$44*IF($F706&gt;=3,$F706,0))</f>
        <v>0</v>
      </c>
      <c r="M706" s="118">
        <f t="shared" si="190"/>
        <v>0</v>
      </c>
      <c r="N706" s="116">
        <f t="shared" si="191"/>
        <v>0</v>
      </c>
      <c r="O706" s="115" t="str">
        <f t="shared" si="192"/>
        <v/>
      </c>
      <c r="P706">
        <f t="shared" si="193"/>
        <v>0</v>
      </c>
      <c r="Q706">
        <f t="shared" si="194"/>
        <v>0</v>
      </c>
      <c r="R706">
        <f t="shared" si="195"/>
        <v>0</v>
      </c>
      <c r="S706">
        <f t="shared" si="196"/>
        <v>0</v>
      </c>
      <c r="T706" s="83">
        <f t="shared" si="197"/>
        <v>0</v>
      </c>
      <c r="U706" s="120">
        <f>IF($D706="",0,IFERROR(LOOKUP(2,1/(($D$3:D705=$D706)*($C$3:C705=$C706)*($A$3:A705&lt;$A706)),$AB$3:AB705),1000))</f>
        <v>0</v>
      </c>
      <c r="V706" s="120">
        <f t="shared" si="198"/>
        <v>0</v>
      </c>
      <c r="W706">
        <f t="shared" si="199"/>
        <v>0</v>
      </c>
      <c r="X706">
        <f t="shared" si="200"/>
        <v>0</v>
      </c>
      <c r="Y706">
        <f t="shared" si="201"/>
        <v>0</v>
      </c>
      <c r="Z706">
        <f t="shared" si="202"/>
        <v>0</v>
      </c>
      <c r="AA706">
        <f>IF($D706="",0,IF($F706&lt;2,0,IF($E706="Win",('Guide &amp; Settings'!$C$42/(($F706-1)*COUNTIFS($A$4:$A$810,$A706,$E$4:$E$810,"Win")))*SUMIFS($Z$4:$Z$810,$A$4:$A$810,$A706,$E$4:$E$810,"Loss"),-('Guide &amp; Settings'!$C$42/($F706-1))*$Z706)))</f>
        <v>0</v>
      </c>
      <c r="AB706" s="120">
        <f t="shared" si="203"/>
        <v>0</v>
      </c>
      <c r="AC706" s="120" t="str">
        <f>IF($D706="","",IF(SUMPRODUCT(MAX(($D$4:$D$810=$D706)*($B$4:$B$810&lt;$B706)*$B$4:$B$810))=0,0,MAX(($B706-MAX(SUMPRODUCT(MAX(($D$4:$D$810=$D706)*($B$4:$B$810&lt;$B706)*$B$4:$B$810)),'Guide &amp; Settings'!$C$50))/7-'Guide &amp; Settings'!$C$48,0)*'Guide &amp; Settings'!$C$49))</f>
        <v/>
      </c>
    </row>
    <row r="707" spans="1:29" x14ac:dyDescent="0.2">
      <c r="A707" s="111"/>
      <c r="B707" s="112"/>
      <c r="C707" s="113"/>
      <c r="D707" s="113"/>
      <c r="E707" s="111"/>
      <c r="F707" s="114">
        <f t="shared" si="187"/>
        <v>0</v>
      </c>
      <c r="G707" s="115" t="str">
        <f t="shared" si="188"/>
        <v/>
      </c>
      <c r="H707" s="116">
        <f>IF($D707="",0,IFERROR(LOOKUP(2,1/(($D$3:D706=$D707)*($A$3:A706&lt;$A707)),$N$3:N706),'Guide &amp; Settings'!$C$41))</f>
        <v>0</v>
      </c>
      <c r="I707" s="117">
        <f t="shared" si="189"/>
        <v>0</v>
      </c>
      <c r="J707" s="118">
        <f>IF($D707="",0,IF($F707&lt;2,0,IF($E707="Win",('Guide &amp; Settings'!$C$42/(($F707-1)*COUNTIFS($A$4:$A$810,$A707,$E$4:$E$810,"Win")))*SUMIFS($X$4:$X$810,$A$4:$A$810,$A707,$E$4:$E$810,"Loss"),-('Guide &amp; Settings'!$C$42/($F707-1))*$X707)))</f>
        <v>0</v>
      </c>
      <c r="K707" s="118">
        <f>IF($D707="",0,'Guide &amp; Settings'!$C$43*(IF($E707="Win",1,0)-$I707))</f>
        <v>0</v>
      </c>
      <c r="L707" s="119">
        <f>IF($D707="",0,'Guide &amp; Settings'!$C$44*IF($F707&gt;=3,$F707,0))</f>
        <v>0</v>
      </c>
      <c r="M707" s="118">
        <f t="shared" si="190"/>
        <v>0</v>
      </c>
      <c r="N707" s="116">
        <f t="shared" si="191"/>
        <v>0</v>
      </c>
      <c r="O707" s="115" t="str">
        <f t="shared" si="192"/>
        <v/>
      </c>
      <c r="P707">
        <f t="shared" si="193"/>
        <v>0</v>
      </c>
      <c r="Q707">
        <f t="shared" si="194"/>
        <v>0</v>
      </c>
      <c r="R707">
        <f t="shared" si="195"/>
        <v>0</v>
      </c>
      <c r="S707">
        <f t="shared" si="196"/>
        <v>0</v>
      </c>
      <c r="T707" s="83">
        <f t="shared" si="197"/>
        <v>0</v>
      </c>
      <c r="U707" s="120">
        <f>IF($D707="",0,IFERROR(LOOKUP(2,1/(($D$3:D706=$D707)*($C$3:C706=$C707)*($A$3:A706&lt;$A707)),$AB$3:AB706),1000))</f>
        <v>0</v>
      </c>
      <c r="V707" s="120">
        <f t="shared" si="198"/>
        <v>0</v>
      </c>
      <c r="W707">
        <f t="shared" si="199"/>
        <v>0</v>
      </c>
      <c r="X707">
        <f t="shared" si="200"/>
        <v>0</v>
      </c>
      <c r="Y707">
        <f t="shared" si="201"/>
        <v>0</v>
      </c>
      <c r="Z707">
        <f t="shared" si="202"/>
        <v>0</v>
      </c>
      <c r="AA707">
        <f>IF($D707="",0,IF($F707&lt;2,0,IF($E707="Win",('Guide &amp; Settings'!$C$42/(($F707-1)*COUNTIFS($A$4:$A$810,$A707,$E$4:$E$810,"Win")))*SUMIFS($Z$4:$Z$810,$A$4:$A$810,$A707,$E$4:$E$810,"Loss"),-('Guide &amp; Settings'!$C$42/($F707-1))*$Z707)))</f>
        <v>0</v>
      </c>
      <c r="AB707" s="120">
        <f t="shared" si="203"/>
        <v>0</v>
      </c>
      <c r="AC707" s="120" t="str">
        <f>IF($D707="","",IF(SUMPRODUCT(MAX(($D$4:$D$810=$D707)*($B$4:$B$810&lt;$B707)*$B$4:$B$810))=0,0,MAX(($B707-MAX(SUMPRODUCT(MAX(($D$4:$D$810=$D707)*($B$4:$B$810&lt;$B707)*$B$4:$B$810)),'Guide &amp; Settings'!$C$50))/7-'Guide &amp; Settings'!$C$48,0)*'Guide &amp; Settings'!$C$49))</f>
        <v/>
      </c>
    </row>
    <row r="708" spans="1:29" x14ac:dyDescent="0.2">
      <c r="A708" s="111"/>
      <c r="B708" s="112"/>
      <c r="C708" s="113"/>
      <c r="D708" s="113"/>
      <c r="E708" s="111"/>
      <c r="F708" s="114">
        <f t="shared" si="187"/>
        <v>0</v>
      </c>
      <c r="G708" s="115" t="str">
        <f t="shared" si="188"/>
        <v/>
      </c>
      <c r="H708" s="116">
        <f>IF($D708="",0,IFERROR(LOOKUP(2,1/(($D$3:D707=$D708)*($A$3:A707&lt;$A708)),$N$3:N707),'Guide &amp; Settings'!$C$41))</f>
        <v>0</v>
      </c>
      <c r="I708" s="117">
        <f t="shared" si="189"/>
        <v>0</v>
      </c>
      <c r="J708" s="118">
        <f>IF($D708="",0,IF($F708&lt;2,0,IF($E708="Win",('Guide &amp; Settings'!$C$42/(($F708-1)*COUNTIFS($A$4:$A$810,$A708,$E$4:$E$810,"Win")))*SUMIFS($X$4:$X$810,$A$4:$A$810,$A708,$E$4:$E$810,"Loss"),-('Guide &amp; Settings'!$C$42/($F708-1))*$X708)))</f>
        <v>0</v>
      </c>
      <c r="K708" s="118">
        <f>IF($D708="",0,'Guide &amp; Settings'!$C$43*(IF($E708="Win",1,0)-$I708))</f>
        <v>0</v>
      </c>
      <c r="L708" s="119">
        <f>IF($D708="",0,'Guide &amp; Settings'!$C$44*IF($F708&gt;=3,$F708,0))</f>
        <v>0</v>
      </c>
      <c r="M708" s="118">
        <f t="shared" si="190"/>
        <v>0</v>
      </c>
      <c r="N708" s="116">
        <f t="shared" si="191"/>
        <v>0</v>
      </c>
      <c r="O708" s="115" t="str">
        <f t="shared" si="192"/>
        <v/>
      </c>
      <c r="P708">
        <f t="shared" si="193"/>
        <v>0</v>
      </c>
      <c r="Q708">
        <f t="shared" si="194"/>
        <v>0</v>
      </c>
      <c r="R708">
        <f t="shared" si="195"/>
        <v>0</v>
      </c>
      <c r="S708">
        <f t="shared" si="196"/>
        <v>0</v>
      </c>
      <c r="T708" s="83">
        <f t="shared" si="197"/>
        <v>0</v>
      </c>
      <c r="U708" s="120">
        <f>IF($D708="",0,IFERROR(LOOKUP(2,1/(($D$3:D707=$D708)*($C$3:C707=$C708)*($A$3:A707&lt;$A708)),$AB$3:AB707),1000))</f>
        <v>0</v>
      </c>
      <c r="V708" s="120">
        <f t="shared" si="198"/>
        <v>0</v>
      </c>
      <c r="W708">
        <f t="shared" si="199"/>
        <v>0</v>
      </c>
      <c r="X708">
        <f t="shared" si="200"/>
        <v>0</v>
      </c>
      <c r="Y708">
        <f t="shared" si="201"/>
        <v>0</v>
      </c>
      <c r="Z708">
        <f t="shared" si="202"/>
        <v>0</v>
      </c>
      <c r="AA708">
        <f>IF($D708="",0,IF($F708&lt;2,0,IF($E708="Win",('Guide &amp; Settings'!$C$42/(($F708-1)*COUNTIFS($A$4:$A$810,$A708,$E$4:$E$810,"Win")))*SUMIFS($Z$4:$Z$810,$A$4:$A$810,$A708,$E$4:$E$810,"Loss"),-('Guide &amp; Settings'!$C$42/($F708-1))*$Z708)))</f>
        <v>0</v>
      </c>
      <c r="AB708" s="120">
        <f t="shared" si="203"/>
        <v>0</v>
      </c>
      <c r="AC708" s="120" t="str">
        <f>IF($D708="","",IF(SUMPRODUCT(MAX(($D$4:$D$810=$D708)*($B$4:$B$810&lt;$B708)*$B$4:$B$810))=0,0,MAX(($B708-MAX(SUMPRODUCT(MAX(($D$4:$D$810=$D708)*($B$4:$B$810&lt;$B708)*$B$4:$B$810)),'Guide &amp; Settings'!$C$50))/7-'Guide &amp; Settings'!$C$48,0)*'Guide &amp; Settings'!$C$49))</f>
        <v/>
      </c>
    </row>
    <row r="709" spans="1:29" x14ac:dyDescent="0.2">
      <c r="A709" s="111"/>
      <c r="B709" s="112"/>
      <c r="C709" s="113"/>
      <c r="D709" s="113"/>
      <c r="E709" s="111"/>
      <c r="F709" s="114">
        <f t="shared" si="187"/>
        <v>0</v>
      </c>
      <c r="G709" s="115" t="str">
        <f t="shared" si="188"/>
        <v/>
      </c>
      <c r="H709" s="116">
        <f>IF($D709="",0,IFERROR(LOOKUP(2,1/(($D$3:D708=$D709)*($A$3:A708&lt;$A709)),$N$3:N708),'Guide &amp; Settings'!$C$41))</f>
        <v>0</v>
      </c>
      <c r="I709" s="117">
        <f t="shared" si="189"/>
        <v>0</v>
      </c>
      <c r="J709" s="118">
        <f>IF($D709="",0,IF($F709&lt;2,0,IF($E709="Win",('Guide &amp; Settings'!$C$42/(($F709-1)*COUNTIFS($A$4:$A$810,$A709,$E$4:$E$810,"Win")))*SUMIFS($X$4:$X$810,$A$4:$A$810,$A709,$E$4:$E$810,"Loss"),-('Guide &amp; Settings'!$C$42/($F709-1))*$X709)))</f>
        <v>0</v>
      </c>
      <c r="K709" s="118">
        <f>IF($D709="",0,'Guide &amp; Settings'!$C$43*(IF($E709="Win",1,0)-$I709))</f>
        <v>0</v>
      </c>
      <c r="L709" s="119">
        <f>IF($D709="",0,'Guide &amp; Settings'!$C$44*IF($F709&gt;=3,$F709,0))</f>
        <v>0</v>
      </c>
      <c r="M709" s="118">
        <f t="shared" si="190"/>
        <v>0</v>
      </c>
      <c r="N709" s="116">
        <f t="shared" si="191"/>
        <v>0</v>
      </c>
      <c r="O709" s="115" t="str">
        <f t="shared" si="192"/>
        <v/>
      </c>
      <c r="P709">
        <f t="shared" si="193"/>
        <v>0</v>
      </c>
      <c r="Q709">
        <f t="shared" si="194"/>
        <v>0</v>
      </c>
      <c r="R709">
        <f t="shared" si="195"/>
        <v>0</v>
      </c>
      <c r="S709">
        <f t="shared" si="196"/>
        <v>0</v>
      </c>
      <c r="T709" s="83">
        <f t="shared" si="197"/>
        <v>0</v>
      </c>
      <c r="U709" s="120">
        <f>IF($D709="",0,IFERROR(LOOKUP(2,1/(($D$3:D708=$D709)*($C$3:C708=$C709)*($A$3:A708&lt;$A709)),$AB$3:AB708),1000))</f>
        <v>0</v>
      </c>
      <c r="V709" s="120">
        <f t="shared" si="198"/>
        <v>0</v>
      </c>
      <c r="W709">
        <f t="shared" si="199"/>
        <v>0</v>
      </c>
      <c r="X709">
        <f t="shared" si="200"/>
        <v>0</v>
      </c>
      <c r="Y709">
        <f t="shared" si="201"/>
        <v>0</v>
      </c>
      <c r="Z709">
        <f t="shared" si="202"/>
        <v>0</v>
      </c>
      <c r="AA709">
        <f>IF($D709="",0,IF($F709&lt;2,0,IF($E709="Win",('Guide &amp; Settings'!$C$42/(($F709-1)*COUNTIFS($A$4:$A$810,$A709,$E$4:$E$810,"Win")))*SUMIFS($Z$4:$Z$810,$A$4:$A$810,$A709,$E$4:$E$810,"Loss"),-('Guide &amp; Settings'!$C$42/($F709-1))*$Z709)))</f>
        <v>0</v>
      </c>
      <c r="AB709" s="120">
        <f t="shared" si="203"/>
        <v>0</v>
      </c>
      <c r="AC709" s="120" t="str">
        <f>IF($D709="","",IF(SUMPRODUCT(MAX(($D$4:$D$810=$D709)*($B$4:$B$810&lt;$B709)*$B$4:$B$810))=0,0,MAX(($B709-MAX(SUMPRODUCT(MAX(($D$4:$D$810=$D709)*($B$4:$B$810&lt;$B709)*$B$4:$B$810)),'Guide &amp; Settings'!$C$50))/7-'Guide &amp; Settings'!$C$48,0)*'Guide &amp; Settings'!$C$49))</f>
        <v/>
      </c>
    </row>
    <row r="710" spans="1:29" x14ac:dyDescent="0.2">
      <c r="A710" s="111"/>
      <c r="B710" s="112"/>
      <c r="C710" s="113"/>
      <c r="D710" s="113"/>
      <c r="E710" s="111"/>
      <c r="F710" s="114">
        <f t="shared" si="187"/>
        <v>0</v>
      </c>
      <c r="G710" s="115" t="str">
        <f t="shared" si="188"/>
        <v/>
      </c>
      <c r="H710" s="116">
        <f>IF($D710="",0,IFERROR(LOOKUP(2,1/(($D$3:D709=$D710)*($A$3:A709&lt;$A710)),$N$3:N709),'Guide &amp; Settings'!$C$41))</f>
        <v>0</v>
      </c>
      <c r="I710" s="117">
        <f t="shared" si="189"/>
        <v>0</v>
      </c>
      <c r="J710" s="118">
        <f>IF($D710="",0,IF($F710&lt;2,0,IF($E710="Win",('Guide &amp; Settings'!$C$42/(($F710-1)*COUNTIFS($A$4:$A$810,$A710,$E$4:$E$810,"Win")))*SUMIFS($X$4:$X$810,$A$4:$A$810,$A710,$E$4:$E$810,"Loss"),-('Guide &amp; Settings'!$C$42/($F710-1))*$X710)))</f>
        <v>0</v>
      </c>
      <c r="K710" s="118">
        <f>IF($D710="",0,'Guide &amp; Settings'!$C$43*(IF($E710="Win",1,0)-$I710))</f>
        <v>0</v>
      </c>
      <c r="L710" s="119">
        <f>IF($D710="",0,'Guide &amp; Settings'!$C$44*IF($F710&gt;=3,$F710,0))</f>
        <v>0</v>
      </c>
      <c r="M710" s="118">
        <f t="shared" si="190"/>
        <v>0</v>
      </c>
      <c r="N710" s="116">
        <f t="shared" si="191"/>
        <v>0</v>
      </c>
      <c r="O710" s="115" t="str">
        <f t="shared" si="192"/>
        <v/>
      </c>
      <c r="P710">
        <f t="shared" si="193"/>
        <v>0</v>
      </c>
      <c r="Q710">
        <f t="shared" si="194"/>
        <v>0</v>
      </c>
      <c r="R710">
        <f t="shared" si="195"/>
        <v>0</v>
      </c>
      <c r="S710">
        <f t="shared" si="196"/>
        <v>0</v>
      </c>
      <c r="T710" s="83">
        <f t="shared" si="197"/>
        <v>0</v>
      </c>
      <c r="U710" s="120">
        <f>IF($D710="",0,IFERROR(LOOKUP(2,1/(($D$3:D709=$D710)*($C$3:C709=$C710)*($A$3:A709&lt;$A710)),$AB$3:AB709),1000))</f>
        <v>0</v>
      </c>
      <c r="V710" s="120">
        <f t="shared" si="198"/>
        <v>0</v>
      </c>
      <c r="W710">
        <f t="shared" si="199"/>
        <v>0</v>
      </c>
      <c r="X710">
        <f t="shared" si="200"/>
        <v>0</v>
      </c>
      <c r="Y710">
        <f t="shared" si="201"/>
        <v>0</v>
      </c>
      <c r="Z710">
        <f t="shared" si="202"/>
        <v>0</v>
      </c>
      <c r="AA710">
        <f>IF($D710="",0,IF($F710&lt;2,0,IF($E710="Win",('Guide &amp; Settings'!$C$42/(($F710-1)*COUNTIFS($A$4:$A$810,$A710,$E$4:$E$810,"Win")))*SUMIFS($Z$4:$Z$810,$A$4:$A$810,$A710,$E$4:$E$810,"Loss"),-('Guide &amp; Settings'!$C$42/($F710-1))*$Z710)))</f>
        <v>0</v>
      </c>
      <c r="AB710" s="120">
        <f t="shared" si="203"/>
        <v>0</v>
      </c>
      <c r="AC710" s="120" t="str">
        <f>IF($D710="","",IF(SUMPRODUCT(MAX(($D$4:$D$810=$D710)*($B$4:$B$810&lt;$B710)*$B$4:$B$810))=0,0,MAX(($B710-MAX(SUMPRODUCT(MAX(($D$4:$D$810=$D710)*($B$4:$B$810&lt;$B710)*$B$4:$B$810)),'Guide &amp; Settings'!$C$50))/7-'Guide &amp; Settings'!$C$48,0)*'Guide &amp; Settings'!$C$49))</f>
        <v/>
      </c>
    </row>
    <row r="711" spans="1:29" x14ac:dyDescent="0.2">
      <c r="A711" s="111"/>
      <c r="B711" s="112"/>
      <c r="C711" s="113"/>
      <c r="D711" s="113"/>
      <c r="E711" s="111"/>
      <c r="F711" s="114">
        <f t="shared" si="187"/>
        <v>0</v>
      </c>
      <c r="G711" s="115" t="str">
        <f t="shared" si="188"/>
        <v/>
      </c>
      <c r="H711" s="116">
        <f>IF($D711="",0,IFERROR(LOOKUP(2,1/(($D$3:D710=$D711)*($A$3:A710&lt;$A711)),$N$3:N710),'Guide &amp; Settings'!$C$41))</f>
        <v>0</v>
      </c>
      <c r="I711" s="117">
        <f t="shared" si="189"/>
        <v>0</v>
      </c>
      <c r="J711" s="118">
        <f>IF($D711="",0,IF($F711&lt;2,0,IF($E711="Win",('Guide &amp; Settings'!$C$42/(($F711-1)*COUNTIFS($A$4:$A$810,$A711,$E$4:$E$810,"Win")))*SUMIFS($X$4:$X$810,$A$4:$A$810,$A711,$E$4:$E$810,"Loss"),-('Guide &amp; Settings'!$C$42/($F711-1))*$X711)))</f>
        <v>0</v>
      </c>
      <c r="K711" s="118">
        <f>IF($D711="",0,'Guide &amp; Settings'!$C$43*(IF($E711="Win",1,0)-$I711))</f>
        <v>0</v>
      </c>
      <c r="L711" s="119">
        <f>IF($D711="",0,'Guide &amp; Settings'!$C$44*IF($F711&gt;=3,$F711,0))</f>
        <v>0</v>
      </c>
      <c r="M711" s="118">
        <f t="shared" si="190"/>
        <v>0</v>
      </c>
      <c r="N711" s="116">
        <f t="shared" si="191"/>
        <v>0</v>
      </c>
      <c r="O711" s="115" t="str">
        <f t="shared" si="192"/>
        <v/>
      </c>
      <c r="P711">
        <f t="shared" si="193"/>
        <v>0</v>
      </c>
      <c r="Q711">
        <f t="shared" si="194"/>
        <v>0</v>
      </c>
      <c r="R711">
        <f t="shared" si="195"/>
        <v>0</v>
      </c>
      <c r="S711">
        <f t="shared" si="196"/>
        <v>0</v>
      </c>
      <c r="T711" s="83">
        <f t="shared" si="197"/>
        <v>0</v>
      </c>
      <c r="U711" s="120">
        <f>IF($D711="",0,IFERROR(LOOKUP(2,1/(($D$3:D710=$D711)*($C$3:C710=$C711)*($A$3:A710&lt;$A711)),$AB$3:AB710),1000))</f>
        <v>0</v>
      </c>
      <c r="V711" s="120">
        <f t="shared" si="198"/>
        <v>0</v>
      </c>
      <c r="W711">
        <f t="shared" si="199"/>
        <v>0</v>
      </c>
      <c r="X711">
        <f t="shared" si="200"/>
        <v>0</v>
      </c>
      <c r="Y711">
        <f t="shared" si="201"/>
        <v>0</v>
      </c>
      <c r="Z711">
        <f t="shared" si="202"/>
        <v>0</v>
      </c>
      <c r="AA711">
        <f>IF($D711="",0,IF($F711&lt;2,0,IF($E711="Win",('Guide &amp; Settings'!$C$42/(($F711-1)*COUNTIFS($A$4:$A$810,$A711,$E$4:$E$810,"Win")))*SUMIFS($Z$4:$Z$810,$A$4:$A$810,$A711,$E$4:$E$810,"Loss"),-('Guide &amp; Settings'!$C$42/($F711-1))*$Z711)))</f>
        <v>0</v>
      </c>
      <c r="AB711" s="120">
        <f t="shared" si="203"/>
        <v>0</v>
      </c>
      <c r="AC711" s="120" t="str">
        <f>IF($D711="","",IF(SUMPRODUCT(MAX(($D$4:$D$810=$D711)*($B$4:$B$810&lt;$B711)*$B$4:$B$810))=0,0,MAX(($B711-MAX(SUMPRODUCT(MAX(($D$4:$D$810=$D711)*($B$4:$B$810&lt;$B711)*$B$4:$B$810)),'Guide &amp; Settings'!$C$50))/7-'Guide &amp; Settings'!$C$48,0)*'Guide &amp; Settings'!$C$49))</f>
        <v/>
      </c>
    </row>
    <row r="712" spans="1:29" x14ac:dyDescent="0.2">
      <c r="A712" s="111"/>
      <c r="B712" s="112"/>
      <c r="C712" s="113"/>
      <c r="D712" s="113"/>
      <c r="E712" s="111"/>
      <c r="F712" s="114">
        <f t="shared" si="187"/>
        <v>0</v>
      </c>
      <c r="G712" s="115" t="str">
        <f t="shared" si="188"/>
        <v/>
      </c>
      <c r="H712" s="116">
        <f>IF($D712="",0,IFERROR(LOOKUP(2,1/(($D$3:D711=$D712)*($A$3:A711&lt;$A712)),$N$3:N711),'Guide &amp; Settings'!$C$41))</f>
        <v>0</v>
      </c>
      <c r="I712" s="117">
        <f t="shared" si="189"/>
        <v>0</v>
      </c>
      <c r="J712" s="118">
        <f>IF($D712="",0,IF($F712&lt;2,0,IF($E712="Win",('Guide &amp; Settings'!$C$42/(($F712-1)*COUNTIFS($A$4:$A$810,$A712,$E$4:$E$810,"Win")))*SUMIFS($X$4:$X$810,$A$4:$A$810,$A712,$E$4:$E$810,"Loss"),-('Guide &amp; Settings'!$C$42/($F712-1))*$X712)))</f>
        <v>0</v>
      </c>
      <c r="K712" s="118">
        <f>IF($D712="",0,'Guide &amp; Settings'!$C$43*(IF($E712="Win",1,0)-$I712))</f>
        <v>0</v>
      </c>
      <c r="L712" s="119">
        <f>IF($D712="",0,'Guide &amp; Settings'!$C$44*IF($F712&gt;=3,$F712,0))</f>
        <v>0</v>
      </c>
      <c r="M712" s="118">
        <f t="shared" si="190"/>
        <v>0</v>
      </c>
      <c r="N712" s="116">
        <f t="shared" si="191"/>
        <v>0</v>
      </c>
      <c r="O712" s="115" t="str">
        <f t="shared" si="192"/>
        <v/>
      </c>
      <c r="P712">
        <f t="shared" si="193"/>
        <v>0</v>
      </c>
      <c r="Q712">
        <f t="shared" si="194"/>
        <v>0</v>
      </c>
      <c r="R712">
        <f t="shared" si="195"/>
        <v>0</v>
      </c>
      <c r="S712">
        <f t="shared" si="196"/>
        <v>0</v>
      </c>
      <c r="T712" s="83">
        <f t="shared" si="197"/>
        <v>0</v>
      </c>
      <c r="U712" s="120">
        <f>IF($D712="",0,IFERROR(LOOKUP(2,1/(($D$3:D711=$D712)*($C$3:C711=$C712)*($A$3:A711&lt;$A712)),$AB$3:AB711),1000))</f>
        <v>0</v>
      </c>
      <c r="V712" s="120">
        <f t="shared" si="198"/>
        <v>0</v>
      </c>
      <c r="W712">
        <f t="shared" si="199"/>
        <v>0</v>
      </c>
      <c r="X712">
        <f t="shared" si="200"/>
        <v>0</v>
      </c>
      <c r="Y712">
        <f t="shared" si="201"/>
        <v>0</v>
      </c>
      <c r="Z712">
        <f t="shared" si="202"/>
        <v>0</v>
      </c>
      <c r="AA712">
        <f>IF($D712="",0,IF($F712&lt;2,0,IF($E712="Win",('Guide &amp; Settings'!$C$42/(($F712-1)*COUNTIFS($A$4:$A$810,$A712,$E$4:$E$810,"Win")))*SUMIFS($Z$4:$Z$810,$A$4:$A$810,$A712,$E$4:$E$810,"Loss"),-('Guide &amp; Settings'!$C$42/($F712-1))*$Z712)))</f>
        <v>0</v>
      </c>
      <c r="AB712" s="120">
        <f t="shared" si="203"/>
        <v>0</v>
      </c>
      <c r="AC712" s="120" t="str">
        <f>IF($D712="","",IF(SUMPRODUCT(MAX(($D$4:$D$810=$D712)*($B$4:$B$810&lt;$B712)*$B$4:$B$810))=0,0,MAX(($B712-MAX(SUMPRODUCT(MAX(($D$4:$D$810=$D712)*($B$4:$B$810&lt;$B712)*$B$4:$B$810)),'Guide &amp; Settings'!$C$50))/7-'Guide &amp; Settings'!$C$48,0)*'Guide &amp; Settings'!$C$49))</f>
        <v/>
      </c>
    </row>
    <row r="713" spans="1:29" x14ac:dyDescent="0.2">
      <c r="A713" s="111"/>
      <c r="B713" s="112"/>
      <c r="C713" s="113"/>
      <c r="D713" s="113"/>
      <c r="E713" s="111"/>
      <c r="F713" s="114">
        <f t="shared" si="187"/>
        <v>0</v>
      </c>
      <c r="G713" s="115" t="str">
        <f t="shared" si="188"/>
        <v/>
      </c>
      <c r="H713" s="116">
        <f>IF($D713="",0,IFERROR(LOOKUP(2,1/(($D$3:D712=$D713)*($A$3:A712&lt;$A713)),$N$3:N712),'Guide &amp; Settings'!$C$41))</f>
        <v>0</v>
      </c>
      <c r="I713" s="117">
        <f t="shared" si="189"/>
        <v>0</v>
      </c>
      <c r="J713" s="118">
        <f>IF($D713="",0,IF($F713&lt;2,0,IF($E713="Win",('Guide &amp; Settings'!$C$42/(($F713-1)*COUNTIFS($A$4:$A$810,$A713,$E$4:$E$810,"Win")))*SUMIFS($X$4:$X$810,$A$4:$A$810,$A713,$E$4:$E$810,"Loss"),-('Guide &amp; Settings'!$C$42/($F713-1))*$X713)))</f>
        <v>0</v>
      </c>
      <c r="K713" s="118">
        <f>IF($D713="",0,'Guide &amp; Settings'!$C$43*(IF($E713="Win",1,0)-$I713))</f>
        <v>0</v>
      </c>
      <c r="L713" s="119">
        <f>IF($D713="",0,'Guide &amp; Settings'!$C$44*IF($F713&gt;=3,$F713,0))</f>
        <v>0</v>
      </c>
      <c r="M713" s="118">
        <f t="shared" si="190"/>
        <v>0</v>
      </c>
      <c r="N713" s="116">
        <f t="shared" si="191"/>
        <v>0</v>
      </c>
      <c r="O713" s="115" t="str">
        <f t="shared" si="192"/>
        <v/>
      </c>
      <c r="P713">
        <f t="shared" si="193"/>
        <v>0</v>
      </c>
      <c r="Q713">
        <f t="shared" si="194"/>
        <v>0</v>
      </c>
      <c r="R713">
        <f t="shared" si="195"/>
        <v>0</v>
      </c>
      <c r="S713">
        <f t="shared" si="196"/>
        <v>0</v>
      </c>
      <c r="T713" s="83">
        <f t="shared" si="197"/>
        <v>0</v>
      </c>
      <c r="U713" s="120">
        <f>IF($D713="",0,IFERROR(LOOKUP(2,1/(($D$3:D712=$D713)*($C$3:C712=$C713)*($A$3:A712&lt;$A713)),$AB$3:AB712),1000))</f>
        <v>0</v>
      </c>
      <c r="V713" s="120">
        <f t="shared" si="198"/>
        <v>0</v>
      </c>
      <c r="W713">
        <f t="shared" si="199"/>
        <v>0</v>
      </c>
      <c r="X713">
        <f t="shared" si="200"/>
        <v>0</v>
      </c>
      <c r="Y713">
        <f t="shared" si="201"/>
        <v>0</v>
      </c>
      <c r="Z713">
        <f t="shared" si="202"/>
        <v>0</v>
      </c>
      <c r="AA713">
        <f>IF($D713="",0,IF($F713&lt;2,0,IF($E713="Win",('Guide &amp; Settings'!$C$42/(($F713-1)*COUNTIFS($A$4:$A$810,$A713,$E$4:$E$810,"Win")))*SUMIFS($Z$4:$Z$810,$A$4:$A$810,$A713,$E$4:$E$810,"Loss"),-('Guide &amp; Settings'!$C$42/($F713-1))*$Z713)))</f>
        <v>0</v>
      </c>
      <c r="AB713" s="120">
        <f t="shared" si="203"/>
        <v>0</v>
      </c>
      <c r="AC713" s="120" t="str">
        <f>IF($D713="","",IF(SUMPRODUCT(MAX(($D$4:$D$810=$D713)*($B$4:$B$810&lt;$B713)*$B$4:$B$810))=0,0,MAX(($B713-MAX(SUMPRODUCT(MAX(($D$4:$D$810=$D713)*($B$4:$B$810&lt;$B713)*$B$4:$B$810)),'Guide &amp; Settings'!$C$50))/7-'Guide &amp; Settings'!$C$48,0)*'Guide &amp; Settings'!$C$49))</f>
        <v/>
      </c>
    </row>
    <row r="714" spans="1:29" x14ac:dyDescent="0.2">
      <c r="A714" s="111"/>
      <c r="B714" s="112"/>
      <c r="C714" s="113"/>
      <c r="D714" s="113"/>
      <c r="E714" s="111"/>
      <c r="F714" s="114">
        <f t="shared" si="187"/>
        <v>0</v>
      </c>
      <c r="G714" s="115" t="str">
        <f t="shared" si="188"/>
        <v/>
      </c>
      <c r="H714" s="116">
        <f>IF($D714="",0,IFERROR(LOOKUP(2,1/(($D$3:D713=$D714)*($A$3:A713&lt;$A714)),$N$3:N713),'Guide &amp; Settings'!$C$41))</f>
        <v>0</v>
      </c>
      <c r="I714" s="117">
        <f t="shared" si="189"/>
        <v>0</v>
      </c>
      <c r="J714" s="118">
        <f>IF($D714="",0,IF($F714&lt;2,0,IF($E714="Win",('Guide &amp; Settings'!$C$42/(($F714-1)*COUNTIFS($A$4:$A$810,$A714,$E$4:$E$810,"Win")))*SUMIFS($X$4:$X$810,$A$4:$A$810,$A714,$E$4:$E$810,"Loss"),-('Guide &amp; Settings'!$C$42/($F714-1))*$X714)))</f>
        <v>0</v>
      </c>
      <c r="K714" s="118">
        <f>IF($D714="",0,'Guide &amp; Settings'!$C$43*(IF($E714="Win",1,0)-$I714))</f>
        <v>0</v>
      </c>
      <c r="L714" s="119">
        <f>IF($D714="",0,'Guide &amp; Settings'!$C$44*IF($F714&gt;=3,$F714,0))</f>
        <v>0</v>
      </c>
      <c r="M714" s="118">
        <f t="shared" si="190"/>
        <v>0</v>
      </c>
      <c r="N714" s="116">
        <f t="shared" si="191"/>
        <v>0</v>
      </c>
      <c r="O714" s="115" t="str">
        <f t="shared" si="192"/>
        <v/>
      </c>
      <c r="P714">
        <f t="shared" si="193"/>
        <v>0</v>
      </c>
      <c r="Q714">
        <f t="shared" si="194"/>
        <v>0</v>
      </c>
      <c r="R714">
        <f t="shared" si="195"/>
        <v>0</v>
      </c>
      <c r="S714">
        <f t="shared" si="196"/>
        <v>0</v>
      </c>
      <c r="T714" s="83">
        <f t="shared" si="197"/>
        <v>0</v>
      </c>
      <c r="U714" s="120">
        <f>IF($D714="",0,IFERROR(LOOKUP(2,1/(($D$3:D713=$D714)*($C$3:C713=$C714)*($A$3:A713&lt;$A714)),$AB$3:AB713),1000))</f>
        <v>0</v>
      </c>
      <c r="V714" s="120">
        <f t="shared" si="198"/>
        <v>0</v>
      </c>
      <c r="W714">
        <f t="shared" si="199"/>
        <v>0</v>
      </c>
      <c r="X714">
        <f t="shared" si="200"/>
        <v>0</v>
      </c>
      <c r="Y714">
        <f t="shared" si="201"/>
        <v>0</v>
      </c>
      <c r="Z714">
        <f t="shared" si="202"/>
        <v>0</v>
      </c>
      <c r="AA714">
        <f>IF($D714="",0,IF($F714&lt;2,0,IF($E714="Win",('Guide &amp; Settings'!$C$42/(($F714-1)*COUNTIFS($A$4:$A$810,$A714,$E$4:$E$810,"Win")))*SUMIFS($Z$4:$Z$810,$A$4:$A$810,$A714,$E$4:$E$810,"Loss"),-('Guide &amp; Settings'!$C$42/($F714-1))*$Z714)))</f>
        <v>0</v>
      </c>
      <c r="AB714" s="120">
        <f t="shared" si="203"/>
        <v>0</v>
      </c>
      <c r="AC714" s="120" t="str">
        <f>IF($D714="","",IF(SUMPRODUCT(MAX(($D$4:$D$810=$D714)*($B$4:$B$810&lt;$B714)*$B$4:$B$810))=0,0,MAX(($B714-MAX(SUMPRODUCT(MAX(($D$4:$D$810=$D714)*($B$4:$B$810&lt;$B714)*$B$4:$B$810)),'Guide &amp; Settings'!$C$50))/7-'Guide &amp; Settings'!$C$48,0)*'Guide &amp; Settings'!$C$49))</f>
        <v/>
      </c>
    </row>
    <row r="715" spans="1:29" x14ac:dyDescent="0.2">
      <c r="A715" s="111"/>
      <c r="B715" s="112"/>
      <c r="C715" s="113"/>
      <c r="D715" s="113"/>
      <c r="E715" s="111"/>
      <c r="F715" s="114">
        <f t="shared" si="187"/>
        <v>0</v>
      </c>
      <c r="G715" s="115" t="str">
        <f t="shared" si="188"/>
        <v/>
      </c>
      <c r="H715" s="116">
        <f>IF($D715="",0,IFERROR(LOOKUP(2,1/(($D$3:D714=$D715)*($A$3:A714&lt;$A715)),$N$3:N714),'Guide &amp; Settings'!$C$41))</f>
        <v>0</v>
      </c>
      <c r="I715" s="117">
        <f t="shared" si="189"/>
        <v>0</v>
      </c>
      <c r="J715" s="118">
        <f>IF($D715="",0,IF($F715&lt;2,0,IF($E715="Win",('Guide &amp; Settings'!$C$42/(($F715-1)*COUNTIFS($A$4:$A$810,$A715,$E$4:$E$810,"Win")))*SUMIFS($X$4:$X$810,$A$4:$A$810,$A715,$E$4:$E$810,"Loss"),-('Guide &amp; Settings'!$C$42/($F715-1))*$X715)))</f>
        <v>0</v>
      </c>
      <c r="K715" s="118">
        <f>IF($D715="",0,'Guide &amp; Settings'!$C$43*(IF($E715="Win",1,0)-$I715))</f>
        <v>0</v>
      </c>
      <c r="L715" s="119">
        <f>IF($D715="",0,'Guide &amp; Settings'!$C$44*IF($F715&gt;=3,$F715,0))</f>
        <v>0</v>
      </c>
      <c r="M715" s="118">
        <f t="shared" si="190"/>
        <v>0</v>
      </c>
      <c r="N715" s="116">
        <f t="shared" si="191"/>
        <v>0</v>
      </c>
      <c r="O715" s="115" t="str">
        <f t="shared" si="192"/>
        <v/>
      </c>
      <c r="P715">
        <f t="shared" si="193"/>
        <v>0</v>
      </c>
      <c r="Q715">
        <f t="shared" si="194"/>
        <v>0</v>
      </c>
      <c r="R715">
        <f t="shared" si="195"/>
        <v>0</v>
      </c>
      <c r="S715">
        <f t="shared" si="196"/>
        <v>0</v>
      </c>
      <c r="T715" s="83">
        <f t="shared" si="197"/>
        <v>0</v>
      </c>
      <c r="U715" s="120">
        <f>IF($D715="",0,IFERROR(LOOKUP(2,1/(($D$3:D714=$D715)*($C$3:C714=$C715)*($A$3:A714&lt;$A715)),$AB$3:AB714),1000))</f>
        <v>0</v>
      </c>
      <c r="V715" s="120">
        <f t="shared" si="198"/>
        <v>0</v>
      </c>
      <c r="W715">
        <f t="shared" si="199"/>
        <v>0</v>
      </c>
      <c r="X715">
        <f t="shared" si="200"/>
        <v>0</v>
      </c>
      <c r="Y715">
        <f t="shared" si="201"/>
        <v>0</v>
      </c>
      <c r="Z715">
        <f t="shared" si="202"/>
        <v>0</v>
      </c>
      <c r="AA715">
        <f>IF($D715="",0,IF($F715&lt;2,0,IF($E715="Win",('Guide &amp; Settings'!$C$42/(($F715-1)*COUNTIFS($A$4:$A$810,$A715,$E$4:$E$810,"Win")))*SUMIFS($Z$4:$Z$810,$A$4:$A$810,$A715,$E$4:$E$810,"Loss"),-('Guide &amp; Settings'!$C$42/($F715-1))*$Z715)))</f>
        <v>0</v>
      </c>
      <c r="AB715" s="120">
        <f t="shared" si="203"/>
        <v>0</v>
      </c>
      <c r="AC715" s="120" t="str">
        <f>IF($D715="","",IF(SUMPRODUCT(MAX(($D$4:$D$810=$D715)*($B$4:$B$810&lt;$B715)*$B$4:$B$810))=0,0,MAX(($B715-MAX(SUMPRODUCT(MAX(($D$4:$D$810=$D715)*($B$4:$B$810&lt;$B715)*$B$4:$B$810)),'Guide &amp; Settings'!$C$50))/7-'Guide &amp; Settings'!$C$48,0)*'Guide &amp; Settings'!$C$49))</f>
        <v/>
      </c>
    </row>
    <row r="716" spans="1:29" x14ac:dyDescent="0.2">
      <c r="A716" s="111"/>
      <c r="B716" s="112"/>
      <c r="C716" s="113"/>
      <c r="D716" s="113"/>
      <c r="E716" s="111"/>
      <c r="F716" s="114">
        <f t="shared" si="187"/>
        <v>0</v>
      </c>
      <c r="G716" s="115" t="str">
        <f t="shared" si="188"/>
        <v/>
      </c>
      <c r="H716" s="116">
        <f>IF($D716="",0,IFERROR(LOOKUP(2,1/(($D$3:D715=$D716)*($A$3:A715&lt;$A716)),$N$3:N715),'Guide &amp; Settings'!$C$41))</f>
        <v>0</v>
      </c>
      <c r="I716" s="117">
        <f t="shared" si="189"/>
        <v>0</v>
      </c>
      <c r="J716" s="118">
        <f>IF($D716="",0,IF($F716&lt;2,0,IF($E716="Win",('Guide &amp; Settings'!$C$42/(($F716-1)*COUNTIFS($A$4:$A$810,$A716,$E$4:$E$810,"Win")))*SUMIFS($X$4:$X$810,$A$4:$A$810,$A716,$E$4:$E$810,"Loss"),-('Guide &amp; Settings'!$C$42/($F716-1))*$X716)))</f>
        <v>0</v>
      </c>
      <c r="K716" s="118">
        <f>IF($D716="",0,'Guide &amp; Settings'!$C$43*(IF($E716="Win",1,0)-$I716))</f>
        <v>0</v>
      </c>
      <c r="L716" s="119">
        <f>IF($D716="",0,'Guide &amp; Settings'!$C$44*IF($F716&gt;=3,$F716,0))</f>
        <v>0</v>
      </c>
      <c r="M716" s="118">
        <f t="shared" si="190"/>
        <v>0</v>
      </c>
      <c r="N716" s="116">
        <f t="shared" si="191"/>
        <v>0</v>
      </c>
      <c r="O716" s="115" t="str">
        <f t="shared" si="192"/>
        <v/>
      </c>
      <c r="P716">
        <f t="shared" si="193"/>
        <v>0</v>
      </c>
      <c r="Q716">
        <f t="shared" si="194"/>
        <v>0</v>
      </c>
      <c r="R716">
        <f t="shared" si="195"/>
        <v>0</v>
      </c>
      <c r="S716">
        <f t="shared" si="196"/>
        <v>0</v>
      </c>
      <c r="T716" s="83">
        <f t="shared" si="197"/>
        <v>0</v>
      </c>
      <c r="U716" s="120">
        <f>IF($D716="",0,IFERROR(LOOKUP(2,1/(($D$3:D715=$D716)*($C$3:C715=$C716)*($A$3:A715&lt;$A716)),$AB$3:AB715),1000))</f>
        <v>0</v>
      </c>
      <c r="V716" s="120">
        <f t="shared" si="198"/>
        <v>0</v>
      </c>
      <c r="W716">
        <f t="shared" si="199"/>
        <v>0</v>
      </c>
      <c r="X716">
        <f t="shared" si="200"/>
        <v>0</v>
      </c>
      <c r="Y716">
        <f t="shared" si="201"/>
        <v>0</v>
      </c>
      <c r="Z716">
        <f t="shared" si="202"/>
        <v>0</v>
      </c>
      <c r="AA716">
        <f>IF($D716="",0,IF($F716&lt;2,0,IF($E716="Win",('Guide &amp; Settings'!$C$42/(($F716-1)*COUNTIFS($A$4:$A$810,$A716,$E$4:$E$810,"Win")))*SUMIFS($Z$4:$Z$810,$A$4:$A$810,$A716,$E$4:$E$810,"Loss"),-('Guide &amp; Settings'!$C$42/($F716-1))*$Z716)))</f>
        <v>0</v>
      </c>
      <c r="AB716" s="120">
        <f t="shared" si="203"/>
        <v>0</v>
      </c>
      <c r="AC716" s="120" t="str">
        <f>IF($D716="","",IF(SUMPRODUCT(MAX(($D$4:$D$810=$D716)*($B$4:$B$810&lt;$B716)*$B$4:$B$810))=0,0,MAX(($B716-MAX(SUMPRODUCT(MAX(($D$4:$D$810=$D716)*($B$4:$B$810&lt;$B716)*$B$4:$B$810)),'Guide &amp; Settings'!$C$50))/7-'Guide &amp; Settings'!$C$48,0)*'Guide &amp; Settings'!$C$49))</f>
        <v/>
      </c>
    </row>
    <row r="717" spans="1:29" x14ac:dyDescent="0.2">
      <c r="A717" s="111"/>
      <c r="B717" s="112"/>
      <c r="C717" s="113"/>
      <c r="D717" s="113"/>
      <c r="E717" s="111"/>
      <c r="F717" s="114">
        <f t="shared" si="187"/>
        <v>0</v>
      </c>
      <c r="G717" s="115" t="str">
        <f t="shared" si="188"/>
        <v/>
      </c>
      <c r="H717" s="116">
        <f>IF($D717="",0,IFERROR(LOOKUP(2,1/(($D$3:D716=$D717)*($A$3:A716&lt;$A717)),$N$3:N716),'Guide &amp; Settings'!$C$41))</f>
        <v>0</v>
      </c>
      <c r="I717" s="117">
        <f t="shared" si="189"/>
        <v>0</v>
      </c>
      <c r="J717" s="118">
        <f>IF($D717="",0,IF($F717&lt;2,0,IF($E717="Win",('Guide &amp; Settings'!$C$42/(($F717-1)*COUNTIFS($A$4:$A$810,$A717,$E$4:$E$810,"Win")))*SUMIFS($X$4:$X$810,$A$4:$A$810,$A717,$E$4:$E$810,"Loss"),-('Guide &amp; Settings'!$C$42/($F717-1))*$X717)))</f>
        <v>0</v>
      </c>
      <c r="K717" s="118">
        <f>IF($D717="",0,'Guide &amp; Settings'!$C$43*(IF($E717="Win",1,0)-$I717))</f>
        <v>0</v>
      </c>
      <c r="L717" s="119">
        <f>IF($D717="",0,'Guide &amp; Settings'!$C$44*IF($F717&gt;=3,$F717,0))</f>
        <v>0</v>
      </c>
      <c r="M717" s="118">
        <f t="shared" si="190"/>
        <v>0</v>
      </c>
      <c r="N717" s="116">
        <f t="shared" si="191"/>
        <v>0</v>
      </c>
      <c r="O717" s="115" t="str">
        <f t="shared" si="192"/>
        <v/>
      </c>
      <c r="P717">
        <f t="shared" si="193"/>
        <v>0</v>
      </c>
      <c r="Q717">
        <f t="shared" si="194"/>
        <v>0</v>
      </c>
      <c r="R717">
        <f t="shared" si="195"/>
        <v>0</v>
      </c>
      <c r="S717">
        <f t="shared" si="196"/>
        <v>0</v>
      </c>
      <c r="T717" s="83">
        <f t="shared" si="197"/>
        <v>0</v>
      </c>
      <c r="U717" s="120">
        <f>IF($D717="",0,IFERROR(LOOKUP(2,1/(($D$3:D716=$D717)*($C$3:C716=$C717)*($A$3:A716&lt;$A717)),$AB$3:AB716),1000))</f>
        <v>0</v>
      </c>
      <c r="V717" s="120">
        <f t="shared" si="198"/>
        <v>0</v>
      </c>
      <c r="W717">
        <f t="shared" si="199"/>
        <v>0</v>
      </c>
      <c r="X717">
        <f t="shared" si="200"/>
        <v>0</v>
      </c>
      <c r="Y717">
        <f t="shared" si="201"/>
        <v>0</v>
      </c>
      <c r="Z717">
        <f t="shared" si="202"/>
        <v>0</v>
      </c>
      <c r="AA717">
        <f>IF($D717="",0,IF($F717&lt;2,0,IF($E717="Win",('Guide &amp; Settings'!$C$42/(($F717-1)*COUNTIFS($A$4:$A$810,$A717,$E$4:$E$810,"Win")))*SUMIFS($Z$4:$Z$810,$A$4:$A$810,$A717,$E$4:$E$810,"Loss"),-('Guide &amp; Settings'!$C$42/($F717-1))*$Z717)))</f>
        <v>0</v>
      </c>
      <c r="AB717" s="120">
        <f t="shared" si="203"/>
        <v>0</v>
      </c>
      <c r="AC717" s="120" t="str">
        <f>IF($D717="","",IF(SUMPRODUCT(MAX(($D$4:$D$810=$D717)*($B$4:$B$810&lt;$B717)*$B$4:$B$810))=0,0,MAX(($B717-MAX(SUMPRODUCT(MAX(($D$4:$D$810=$D717)*($B$4:$B$810&lt;$B717)*$B$4:$B$810)),'Guide &amp; Settings'!$C$50))/7-'Guide &amp; Settings'!$C$48,0)*'Guide &amp; Settings'!$C$49))</f>
        <v/>
      </c>
    </row>
    <row r="718" spans="1:29" x14ac:dyDescent="0.2">
      <c r="A718" s="111"/>
      <c r="B718" s="112"/>
      <c r="C718" s="113"/>
      <c r="D718" s="113"/>
      <c r="E718" s="111"/>
      <c r="F718" s="114">
        <f t="shared" si="187"/>
        <v>0</v>
      </c>
      <c r="G718" s="115" t="str">
        <f t="shared" si="188"/>
        <v/>
      </c>
      <c r="H718" s="116">
        <f>IF($D718="",0,IFERROR(LOOKUP(2,1/(($D$3:D717=$D718)*($A$3:A717&lt;$A718)),$N$3:N717),'Guide &amp; Settings'!$C$41))</f>
        <v>0</v>
      </c>
      <c r="I718" s="117">
        <f t="shared" si="189"/>
        <v>0</v>
      </c>
      <c r="J718" s="118">
        <f>IF($D718="",0,IF($F718&lt;2,0,IF($E718="Win",('Guide &amp; Settings'!$C$42/(($F718-1)*COUNTIFS($A$4:$A$810,$A718,$E$4:$E$810,"Win")))*SUMIFS($X$4:$X$810,$A$4:$A$810,$A718,$E$4:$E$810,"Loss"),-('Guide &amp; Settings'!$C$42/($F718-1))*$X718)))</f>
        <v>0</v>
      </c>
      <c r="K718" s="118">
        <f>IF($D718="",0,'Guide &amp; Settings'!$C$43*(IF($E718="Win",1,0)-$I718))</f>
        <v>0</v>
      </c>
      <c r="L718" s="119">
        <f>IF($D718="",0,'Guide &amp; Settings'!$C$44*IF($F718&gt;=3,$F718,0))</f>
        <v>0</v>
      </c>
      <c r="M718" s="118">
        <f t="shared" si="190"/>
        <v>0</v>
      </c>
      <c r="N718" s="116">
        <f t="shared" si="191"/>
        <v>0</v>
      </c>
      <c r="O718" s="115" t="str">
        <f t="shared" si="192"/>
        <v/>
      </c>
      <c r="P718">
        <f t="shared" si="193"/>
        <v>0</v>
      </c>
      <c r="Q718">
        <f t="shared" si="194"/>
        <v>0</v>
      </c>
      <c r="R718">
        <f t="shared" si="195"/>
        <v>0</v>
      </c>
      <c r="S718">
        <f t="shared" si="196"/>
        <v>0</v>
      </c>
      <c r="T718" s="83">
        <f t="shared" si="197"/>
        <v>0</v>
      </c>
      <c r="U718" s="120">
        <f>IF($D718="",0,IFERROR(LOOKUP(2,1/(($D$3:D717=$D718)*($C$3:C717=$C718)*($A$3:A717&lt;$A718)),$AB$3:AB717),1000))</f>
        <v>0</v>
      </c>
      <c r="V718" s="120">
        <f t="shared" si="198"/>
        <v>0</v>
      </c>
      <c r="W718">
        <f t="shared" si="199"/>
        <v>0</v>
      </c>
      <c r="X718">
        <f t="shared" si="200"/>
        <v>0</v>
      </c>
      <c r="Y718">
        <f t="shared" si="201"/>
        <v>0</v>
      </c>
      <c r="Z718">
        <f t="shared" si="202"/>
        <v>0</v>
      </c>
      <c r="AA718">
        <f>IF($D718="",0,IF($F718&lt;2,0,IF($E718="Win",('Guide &amp; Settings'!$C$42/(($F718-1)*COUNTIFS($A$4:$A$810,$A718,$E$4:$E$810,"Win")))*SUMIFS($Z$4:$Z$810,$A$4:$A$810,$A718,$E$4:$E$810,"Loss"),-('Guide &amp; Settings'!$C$42/($F718-1))*$Z718)))</f>
        <v>0</v>
      </c>
      <c r="AB718" s="120">
        <f t="shared" si="203"/>
        <v>0</v>
      </c>
      <c r="AC718" s="120" t="str">
        <f>IF($D718="","",IF(SUMPRODUCT(MAX(($D$4:$D$810=$D718)*($B$4:$B$810&lt;$B718)*$B$4:$B$810))=0,0,MAX(($B718-MAX(SUMPRODUCT(MAX(($D$4:$D$810=$D718)*($B$4:$B$810&lt;$B718)*$B$4:$B$810)),'Guide &amp; Settings'!$C$50))/7-'Guide &amp; Settings'!$C$48,0)*'Guide &amp; Settings'!$C$49))</f>
        <v/>
      </c>
    </row>
    <row r="719" spans="1:29" x14ac:dyDescent="0.2">
      <c r="A719" s="111"/>
      <c r="B719" s="112"/>
      <c r="C719" s="113"/>
      <c r="D719" s="113"/>
      <c r="E719" s="111"/>
      <c r="F719" s="114">
        <f t="shared" si="187"/>
        <v>0</v>
      </c>
      <c r="G719" s="115" t="str">
        <f t="shared" si="188"/>
        <v/>
      </c>
      <c r="H719" s="116">
        <f>IF($D719="",0,IFERROR(LOOKUP(2,1/(($D$3:D718=$D719)*($A$3:A718&lt;$A719)),$N$3:N718),'Guide &amp; Settings'!$C$41))</f>
        <v>0</v>
      </c>
      <c r="I719" s="117">
        <f t="shared" si="189"/>
        <v>0</v>
      </c>
      <c r="J719" s="118">
        <f>IF($D719="",0,IF($F719&lt;2,0,IF($E719="Win",('Guide &amp; Settings'!$C$42/(($F719-1)*COUNTIFS($A$4:$A$810,$A719,$E$4:$E$810,"Win")))*SUMIFS($X$4:$X$810,$A$4:$A$810,$A719,$E$4:$E$810,"Loss"),-('Guide &amp; Settings'!$C$42/($F719-1))*$X719)))</f>
        <v>0</v>
      </c>
      <c r="K719" s="118">
        <f>IF($D719="",0,'Guide &amp; Settings'!$C$43*(IF($E719="Win",1,0)-$I719))</f>
        <v>0</v>
      </c>
      <c r="L719" s="119">
        <f>IF($D719="",0,'Guide &amp; Settings'!$C$44*IF($F719&gt;=3,$F719,0))</f>
        <v>0</v>
      </c>
      <c r="M719" s="118">
        <f t="shared" si="190"/>
        <v>0</v>
      </c>
      <c r="N719" s="116">
        <f t="shared" si="191"/>
        <v>0</v>
      </c>
      <c r="O719" s="115" t="str">
        <f t="shared" si="192"/>
        <v/>
      </c>
      <c r="P719">
        <f t="shared" si="193"/>
        <v>0</v>
      </c>
      <c r="Q719">
        <f t="shared" si="194"/>
        <v>0</v>
      </c>
      <c r="R719">
        <f t="shared" si="195"/>
        <v>0</v>
      </c>
      <c r="S719">
        <f t="shared" si="196"/>
        <v>0</v>
      </c>
      <c r="T719" s="83">
        <f t="shared" si="197"/>
        <v>0</v>
      </c>
      <c r="U719" s="120">
        <f>IF($D719="",0,IFERROR(LOOKUP(2,1/(($D$3:D718=$D719)*($C$3:C718=$C719)*($A$3:A718&lt;$A719)),$AB$3:AB718),1000))</f>
        <v>0</v>
      </c>
      <c r="V719" s="120">
        <f t="shared" si="198"/>
        <v>0</v>
      </c>
      <c r="W719">
        <f t="shared" si="199"/>
        <v>0</v>
      </c>
      <c r="X719">
        <f t="shared" si="200"/>
        <v>0</v>
      </c>
      <c r="Y719">
        <f t="shared" si="201"/>
        <v>0</v>
      </c>
      <c r="Z719">
        <f t="shared" si="202"/>
        <v>0</v>
      </c>
      <c r="AA719">
        <f>IF($D719="",0,IF($F719&lt;2,0,IF($E719="Win",('Guide &amp; Settings'!$C$42/(($F719-1)*COUNTIFS($A$4:$A$810,$A719,$E$4:$E$810,"Win")))*SUMIFS($Z$4:$Z$810,$A$4:$A$810,$A719,$E$4:$E$810,"Loss"),-('Guide &amp; Settings'!$C$42/($F719-1))*$Z719)))</f>
        <v>0</v>
      </c>
      <c r="AB719" s="120">
        <f t="shared" si="203"/>
        <v>0</v>
      </c>
      <c r="AC719" s="120" t="str">
        <f>IF($D719="","",IF(SUMPRODUCT(MAX(($D$4:$D$810=$D719)*($B$4:$B$810&lt;$B719)*$B$4:$B$810))=0,0,MAX(($B719-MAX(SUMPRODUCT(MAX(($D$4:$D$810=$D719)*($B$4:$B$810&lt;$B719)*$B$4:$B$810)),'Guide &amp; Settings'!$C$50))/7-'Guide &amp; Settings'!$C$48,0)*'Guide &amp; Settings'!$C$49))</f>
        <v/>
      </c>
    </row>
    <row r="720" spans="1:29" x14ac:dyDescent="0.2">
      <c r="A720" s="111"/>
      <c r="B720" s="112"/>
      <c r="C720" s="113"/>
      <c r="D720" s="113"/>
      <c r="E720" s="111"/>
      <c r="F720" s="114">
        <f t="shared" si="187"/>
        <v>0</v>
      </c>
      <c r="G720" s="115" t="str">
        <f t="shared" si="188"/>
        <v/>
      </c>
      <c r="H720" s="116">
        <f>IF($D720="",0,IFERROR(LOOKUP(2,1/(($D$3:D719=$D720)*($A$3:A719&lt;$A720)),$N$3:N719),'Guide &amp; Settings'!$C$41))</f>
        <v>0</v>
      </c>
      <c r="I720" s="117">
        <f t="shared" si="189"/>
        <v>0</v>
      </c>
      <c r="J720" s="118">
        <f>IF($D720="",0,IF($F720&lt;2,0,IF($E720="Win",('Guide &amp; Settings'!$C$42/(($F720-1)*COUNTIFS($A$4:$A$810,$A720,$E$4:$E$810,"Win")))*SUMIFS($X$4:$X$810,$A$4:$A$810,$A720,$E$4:$E$810,"Loss"),-('Guide &amp; Settings'!$C$42/($F720-1))*$X720)))</f>
        <v>0</v>
      </c>
      <c r="K720" s="118">
        <f>IF($D720="",0,'Guide &amp; Settings'!$C$43*(IF($E720="Win",1,0)-$I720))</f>
        <v>0</v>
      </c>
      <c r="L720" s="119">
        <f>IF($D720="",0,'Guide &amp; Settings'!$C$44*IF($F720&gt;=3,$F720,0))</f>
        <v>0</v>
      </c>
      <c r="M720" s="118">
        <f t="shared" si="190"/>
        <v>0</v>
      </c>
      <c r="N720" s="116">
        <f t="shared" si="191"/>
        <v>0</v>
      </c>
      <c r="O720" s="115" t="str">
        <f t="shared" si="192"/>
        <v/>
      </c>
      <c r="P720">
        <f t="shared" si="193"/>
        <v>0</v>
      </c>
      <c r="Q720">
        <f t="shared" si="194"/>
        <v>0</v>
      </c>
      <c r="R720">
        <f t="shared" si="195"/>
        <v>0</v>
      </c>
      <c r="S720">
        <f t="shared" si="196"/>
        <v>0</v>
      </c>
      <c r="T720" s="83">
        <f t="shared" si="197"/>
        <v>0</v>
      </c>
      <c r="U720" s="120">
        <f>IF($D720="",0,IFERROR(LOOKUP(2,1/(($D$3:D719=$D720)*($C$3:C719=$C720)*($A$3:A719&lt;$A720)),$AB$3:AB719),1000))</f>
        <v>0</v>
      </c>
      <c r="V720" s="120">
        <f t="shared" si="198"/>
        <v>0</v>
      </c>
      <c r="W720">
        <f t="shared" si="199"/>
        <v>0</v>
      </c>
      <c r="X720">
        <f t="shared" si="200"/>
        <v>0</v>
      </c>
      <c r="Y720">
        <f t="shared" si="201"/>
        <v>0</v>
      </c>
      <c r="Z720">
        <f t="shared" si="202"/>
        <v>0</v>
      </c>
      <c r="AA720">
        <f>IF($D720="",0,IF($F720&lt;2,0,IF($E720="Win",('Guide &amp; Settings'!$C$42/(($F720-1)*COUNTIFS($A$4:$A$810,$A720,$E$4:$E$810,"Win")))*SUMIFS($Z$4:$Z$810,$A$4:$A$810,$A720,$E$4:$E$810,"Loss"),-('Guide &amp; Settings'!$C$42/($F720-1))*$Z720)))</f>
        <v>0</v>
      </c>
      <c r="AB720" s="120">
        <f t="shared" si="203"/>
        <v>0</v>
      </c>
      <c r="AC720" s="120" t="str">
        <f>IF($D720="","",IF(SUMPRODUCT(MAX(($D$4:$D$810=$D720)*($B$4:$B$810&lt;$B720)*$B$4:$B$810))=0,0,MAX(($B720-MAX(SUMPRODUCT(MAX(($D$4:$D$810=$D720)*($B$4:$B$810&lt;$B720)*$B$4:$B$810)),'Guide &amp; Settings'!$C$50))/7-'Guide &amp; Settings'!$C$48,0)*'Guide &amp; Settings'!$C$49))</f>
        <v/>
      </c>
    </row>
    <row r="721" spans="1:29" x14ac:dyDescent="0.2">
      <c r="A721" s="111"/>
      <c r="B721" s="112"/>
      <c r="C721" s="113"/>
      <c r="D721" s="113"/>
      <c r="E721" s="111"/>
      <c r="F721" s="114">
        <f t="shared" si="187"/>
        <v>0</v>
      </c>
      <c r="G721" s="115" t="str">
        <f t="shared" si="188"/>
        <v/>
      </c>
      <c r="H721" s="116">
        <f>IF($D721="",0,IFERROR(LOOKUP(2,1/(($D$3:D720=$D721)*($A$3:A720&lt;$A721)),$N$3:N720),'Guide &amp; Settings'!$C$41))</f>
        <v>0</v>
      </c>
      <c r="I721" s="117">
        <f t="shared" si="189"/>
        <v>0</v>
      </c>
      <c r="J721" s="118">
        <f>IF($D721="",0,IF($F721&lt;2,0,IF($E721="Win",('Guide &amp; Settings'!$C$42/(($F721-1)*COUNTIFS($A$4:$A$810,$A721,$E$4:$E$810,"Win")))*SUMIFS($X$4:$X$810,$A$4:$A$810,$A721,$E$4:$E$810,"Loss"),-('Guide &amp; Settings'!$C$42/($F721-1))*$X721)))</f>
        <v>0</v>
      </c>
      <c r="K721" s="118">
        <f>IF($D721="",0,'Guide &amp; Settings'!$C$43*(IF($E721="Win",1,0)-$I721))</f>
        <v>0</v>
      </c>
      <c r="L721" s="119">
        <f>IF($D721="",0,'Guide &amp; Settings'!$C$44*IF($F721&gt;=3,$F721,0))</f>
        <v>0</v>
      </c>
      <c r="M721" s="118">
        <f t="shared" si="190"/>
        <v>0</v>
      </c>
      <c r="N721" s="116">
        <f t="shared" si="191"/>
        <v>0</v>
      </c>
      <c r="O721" s="115" t="str">
        <f t="shared" si="192"/>
        <v/>
      </c>
      <c r="P721">
        <f t="shared" si="193"/>
        <v>0</v>
      </c>
      <c r="Q721">
        <f t="shared" si="194"/>
        <v>0</v>
      </c>
      <c r="R721">
        <f t="shared" si="195"/>
        <v>0</v>
      </c>
      <c r="S721">
        <f t="shared" si="196"/>
        <v>0</v>
      </c>
      <c r="T721" s="83">
        <f t="shared" si="197"/>
        <v>0</v>
      </c>
      <c r="U721" s="120">
        <f>IF($D721="",0,IFERROR(LOOKUP(2,1/(($D$3:D720=$D721)*($C$3:C720=$C721)*($A$3:A720&lt;$A721)),$AB$3:AB720),1000))</f>
        <v>0</v>
      </c>
      <c r="V721" s="120">
        <f t="shared" si="198"/>
        <v>0</v>
      </c>
      <c r="W721">
        <f t="shared" si="199"/>
        <v>0</v>
      </c>
      <c r="X721">
        <f t="shared" si="200"/>
        <v>0</v>
      </c>
      <c r="Y721">
        <f t="shared" si="201"/>
        <v>0</v>
      </c>
      <c r="Z721">
        <f t="shared" si="202"/>
        <v>0</v>
      </c>
      <c r="AA721">
        <f>IF($D721="",0,IF($F721&lt;2,0,IF($E721="Win",('Guide &amp; Settings'!$C$42/(($F721-1)*COUNTIFS($A$4:$A$810,$A721,$E$4:$E$810,"Win")))*SUMIFS($Z$4:$Z$810,$A$4:$A$810,$A721,$E$4:$E$810,"Loss"),-('Guide &amp; Settings'!$C$42/($F721-1))*$Z721)))</f>
        <v>0</v>
      </c>
      <c r="AB721" s="120">
        <f t="shared" si="203"/>
        <v>0</v>
      </c>
      <c r="AC721" s="120" t="str">
        <f>IF($D721="","",IF(SUMPRODUCT(MAX(($D$4:$D$810=$D721)*($B$4:$B$810&lt;$B721)*$B$4:$B$810))=0,0,MAX(($B721-MAX(SUMPRODUCT(MAX(($D$4:$D$810=$D721)*($B$4:$B$810&lt;$B721)*$B$4:$B$810)),'Guide &amp; Settings'!$C$50))/7-'Guide &amp; Settings'!$C$48,0)*'Guide &amp; Settings'!$C$49))</f>
        <v/>
      </c>
    </row>
    <row r="722" spans="1:29" x14ac:dyDescent="0.2">
      <c r="A722" s="111"/>
      <c r="B722" s="112"/>
      <c r="C722" s="113"/>
      <c r="D722" s="113"/>
      <c r="E722" s="111"/>
      <c r="F722" s="114">
        <f t="shared" si="187"/>
        <v>0</v>
      </c>
      <c r="G722" s="115" t="str">
        <f t="shared" si="188"/>
        <v/>
      </c>
      <c r="H722" s="116">
        <f>IF($D722="",0,IFERROR(LOOKUP(2,1/(($D$3:D721=$D722)*($A$3:A721&lt;$A722)),$N$3:N721),'Guide &amp; Settings'!$C$41))</f>
        <v>0</v>
      </c>
      <c r="I722" s="117">
        <f t="shared" si="189"/>
        <v>0</v>
      </c>
      <c r="J722" s="118">
        <f>IF($D722="",0,IF($F722&lt;2,0,IF($E722="Win",('Guide &amp; Settings'!$C$42/(($F722-1)*COUNTIFS($A$4:$A$810,$A722,$E$4:$E$810,"Win")))*SUMIFS($X$4:$X$810,$A$4:$A$810,$A722,$E$4:$E$810,"Loss"),-('Guide &amp; Settings'!$C$42/($F722-1))*$X722)))</f>
        <v>0</v>
      </c>
      <c r="K722" s="118">
        <f>IF($D722="",0,'Guide &amp; Settings'!$C$43*(IF($E722="Win",1,0)-$I722))</f>
        <v>0</v>
      </c>
      <c r="L722" s="119">
        <f>IF($D722="",0,'Guide &amp; Settings'!$C$44*IF($F722&gt;=3,$F722,0))</f>
        <v>0</v>
      </c>
      <c r="M722" s="118">
        <f t="shared" si="190"/>
        <v>0</v>
      </c>
      <c r="N722" s="116">
        <f t="shared" si="191"/>
        <v>0</v>
      </c>
      <c r="O722" s="115" t="str">
        <f t="shared" si="192"/>
        <v/>
      </c>
      <c r="P722">
        <f t="shared" si="193"/>
        <v>0</v>
      </c>
      <c r="Q722">
        <f t="shared" si="194"/>
        <v>0</v>
      </c>
      <c r="R722">
        <f t="shared" si="195"/>
        <v>0</v>
      </c>
      <c r="S722">
        <f t="shared" si="196"/>
        <v>0</v>
      </c>
      <c r="T722" s="83">
        <f t="shared" si="197"/>
        <v>0</v>
      </c>
      <c r="U722" s="120">
        <f>IF($D722="",0,IFERROR(LOOKUP(2,1/(($D$3:D721=$D722)*($C$3:C721=$C722)*($A$3:A721&lt;$A722)),$AB$3:AB721),1000))</f>
        <v>0</v>
      </c>
      <c r="V722" s="120">
        <f t="shared" si="198"/>
        <v>0</v>
      </c>
      <c r="W722">
        <f t="shared" si="199"/>
        <v>0</v>
      </c>
      <c r="X722">
        <f t="shared" si="200"/>
        <v>0</v>
      </c>
      <c r="Y722">
        <f t="shared" si="201"/>
        <v>0</v>
      </c>
      <c r="Z722">
        <f t="shared" si="202"/>
        <v>0</v>
      </c>
      <c r="AA722">
        <f>IF($D722="",0,IF($F722&lt;2,0,IF($E722="Win",('Guide &amp; Settings'!$C$42/(($F722-1)*COUNTIFS($A$4:$A$810,$A722,$E$4:$E$810,"Win")))*SUMIFS($Z$4:$Z$810,$A$4:$A$810,$A722,$E$4:$E$810,"Loss"),-('Guide &amp; Settings'!$C$42/($F722-1))*$Z722)))</f>
        <v>0</v>
      </c>
      <c r="AB722" s="120">
        <f t="shared" si="203"/>
        <v>0</v>
      </c>
      <c r="AC722" s="120" t="str">
        <f>IF($D722="","",IF(SUMPRODUCT(MAX(($D$4:$D$810=$D722)*($B$4:$B$810&lt;$B722)*$B$4:$B$810))=0,0,MAX(($B722-MAX(SUMPRODUCT(MAX(($D$4:$D$810=$D722)*($B$4:$B$810&lt;$B722)*$B$4:$B$810)),'Guide &amp; Settings'!$C$50))/7-'Guide &amp; Settings'!$C$48,0)*'Guide &amp; Settings'!$C$49))</f>
        <v/>
      </c>
    </row>
    <row r="723" spans="1:29" x14ac:dyDescent="0.2">
      <c r="A723" s="111"/>
      <c r="B723" s="112"/>
      <c r="C723" s="113"/>
      <c r="D723" s="113"/>
      <c r="E723" s="111"/>
      <c r="F723" s="114">
        <f t="shared" si="187"/>
        <v>0</v>
      </c>
      <c r="G723" s="115" t="str">
        <f t="shared" si="188"/>
        <v/>
      </c>
      <c r="H723" s="116">
        <f>IF($D723="",0,IFERROR(LOOKUP(2,1/(($D$3:D722=$D723)*($A$3:A722&lt;$A723)),$N$3:N722),'Guide &amp; Settings'!$C$41))</f>
        <v>0</v>
      </c>
      <c r="I723" s="117">
        <f t="shared" si="189"/>
        <v>0</v>
      </c>
      <c r="J723" s="118">
        <f>IF($D723="",0,IF($F723&lt;2,0,IF($E723="Win",('Guide &amp; Settings'!$C$42/(($F723-1)*COUNTIFS($A$4:$A$810,$A723,$E$4:$E$810,"Win")))*SUMIFS($X$4:$X$810,$A$4:$A$810,$A723,$E$4:$E$810,"Loss"),-('Guide &amp; Settings'!$C$42/($F723-1))*$X723)))</f>
        <v>0</v>
      </c>
      <c r="K723" s="118">
        <f>IF($D723="",0,'Guide &amp; Settings'!$C$43*(IF($E723="Win",1,0)-$I723))</f>
        <v>0</v>
      </c>
      <c r="L723" s="119">
        <f>IF($D723="",0,'Guide &amp; Settings'!$C$44*IF($F723&gt;=3,$F723,0))</f>
        <v>0</v>
      </c>
      <c r="M723" s="118">
        <f t="shared" si="190"/>
        <v>0</v>
      </c>
      <c r="N723" s="116">
        <f t="shared" si="191"/>
        <v>0</v>
      </c>
      <c r="O723" s="115" t="str">
        <f t="shared" si="192"/>
        <v/>
      </c>
      <c r="P723">
        <f t="shared" si="193"/>
        <v>0</v>
      </c>
      <c r="Q723">
        <f t="shared" si="194"/>
        <v>0</v>
      </c>
      <c r="R723">
        <f t="shared" si="195"/>
        <v>0</v>
      </c>
      <c r="S723">
        <f t="shared" si="196"/>
        <v>0</v>
      </c>
      <c r="T723" s="83">
        <f t="shared" si="197"/>
        <v>0</v>
      </c>
      <c r="U723" s="120">
        <f>IF($D723="",0,IFERROR(LOOKUP(2,1/(($D$3:D722=$D723)*($C$3:C722=$C723)*($A$3:A722&lt;$A723)),$AB$3:AB722),1000))</f>
        <v>0</v>
      </c>
      <c r="V723" s="120">
        <f t="shared" si="198"/>
        <v>0</v>
      </c>
      <c r="W723">
        <f t="shared" si="199"/>
        <v>0</v>
      </c>
      <c r="X723">
        <f t="shared" si="200"/>
        <v>0</v>
      </c>
      <c r="Y723">
        <f t="shared" si="201"/>
        <v>0</v>
      </c>
      <c r="Z723">
        <f t="shared" si="202"/>
        <v>0</v>
      </c>
      <c r="AA723">
        <f>IF($D723="",0,IF($F723&lt;2,0,IF($E723="Win",('Guide &amp; Settings'!$C$42/(($F723-1)*COUNTIFS($A$4:$A$810,$A723,$E$4:$E$810,"Win")))*SUMIFS($Z$4:$Z$810,$A$4:$A$810,$A723,$E$4:$E$810,"Loss"),-('Guide &amp; Settings'!$C$42/($F723-1))*$Z723)))</f>
        <v>0</v>
      </c>
      <c r="AB723" s="120">
        <f t="shared" si="203"/>
        <v>0</v>
      </c>
      <c r="AC723" s="120" t="str">
        <f>IF($D723="","",IF(SUMPRODUCT(MAX(($D$4:$D$810=$D723)*($B$4:$B$810&lt;$B723)*$B$4:$B$810))=0,0,MAX(($B723-MAX(SUMPRODUCT(MAX(($D$4:$D$810=$D723)*($B$4:$B$810&lt;$B723)*$B$4:$B$810)),'Guide &amp; Settings'!$C$50))/7-'Guide &amp; Settings'!$C$48,0)*'Guide &amp; Settings'!$C$49))</f>
        <v/>
      </c>
    </row>
    <row r="724" spans="1:29" x14ac:dyDescent="0.2">
      <c r="A724" s="111"/>
      <c r="B724" s="112"/>
      <c r="C724" s="113"/>
      <c r="D724" s="113"/>
      <c r="E724" s="111"/>
      <c r="F724" s="114">
        <f t="shared" si="187"/>
        <v>0</v>
      </c>
      <c r="G724" s="115" t="str">
        <f t="shared" si="188"/>
        <v/>
      </c>
      <c r="H724" s="116">
        <f>IF($D724="",0,IFERROR(LOOKUP(2,1/(($D$3:D723=$D724)*($A$3:A723&lt;$A724)),$N$3:N723),'Guide &amp; Settings'!$C$41))</f>
        <v>0</v>
      </c>
      <c r="I724" s="117">
        <f t="shared" si="189"/>
        <v>0</v>
      </c>
      <c r="J724" s="118">
        <f>IF($D724="",0,IF($F724&lt;2,0,IF($E724="Win",('Guide &amp; Settings'!$C$42/(($F724-1)*COUNTIFS($A$4:$A$810,$A724,$E$4:$E$810,"Win")))*SUMIFS($X$4:$X$810,$A$4:$A$810,$A724,$E$4:$E$810,"Loss"),-('Guide &amp; Settings'!$C$42/($F724-1))*$X724)))</f>
        <v>0</v>
      </c>
      <c r="K724" s="118">
        <f>IF($D724="",0,'Guide &amp; Settings'!$C$43*(IF($E724="Win",1,0)-$I724))</f>
        <v>0</v>
      </c>
      <c r="L724" s="119">
        <f>IF($D724="",0,'Guide &amp; Settings'!$C$44*IF($F724&gt;=3,$F724,0))</f>
        <v>0</v>
      </c>
      <c r="M724" s="118">
        <f t="shared" si="190"/>
        <v>0</v>
      </c>
      <c r="N724" s="116">
        <f t="shared" si="191"/>
        <v>0</v>
      </c>
      <c r="O724" s="115" t="str">
        <f t="shared" si="192"/>
        <v/>
      </c>
      <c r="P724">
        <f t="shared" si="193"/>
        <v>0</v>
      </c>
      <c r="Q724">
        <f t="shared" si="194"/>
        <v>0</v>
      </c>
      <c r="R724">
        <f t="shared" si="195"/>
        <v>0</v>
      </c>
      <c r="S724">
        <f t="shared" si="196"/>
        <v>0</v>
      </c>
      <c r="T724" s="83">
        <f t="shared" si="197"/>
        <v>0</v>
      </c>
      <c r="U724" s="120">
        <f>IF($D724="",0,IFERROR(LOOKUP(2,1/(($D$3:D723=$D724)*($C$3:C723=$C724)*($A$3:A723&lt;$A724)),$AB$3:AB723),1000))</f>
        <v>0</v>
      </c>
      <c r="V724" s="120">
        <f t="shared" si="198"/>
        <v>0</v>
      </c>
      <c r="W724">
        <f t="shared" si="199"/>
        <v>0</v>
      </c>
      <c r="X724">
        <f t="shared" si="200"/>
        <v>0</v>
      </c>
      <c r="Y724">
        <f t="shared" si="201"/>
        <v>0</v>
      </c>
      <c r="Z724">
        <f t="shared" si="202"/>
        <v>0</v>
      </c>
      <c r="AA724">
        <f>IF($D724="",0,IF($F724&lt;2,0,IF($E724="Win",('Guide &amp; Settings'!$C$42/(($F724-1)*COUNTIFS($A$4:$A$810,$A724,$E$4:$E$810,"Win")))*SUMIFS($Z$4:$Z$810,$A$4:$A$810,$A724,$E$4:$E$810,"Loss"),-('Guide &amp; Settings'!$C$42/($F724-1))*$Z724)))</f>
        <v>0</v>
      </c>
      <c r="AB724" s="120">
        <f t="shared" si="203"/>
        <v>0</v>
      </c>
      <c r="AC724" s="120" t="str">
        <f>IF($D724="","",IF(SUMPRODUCT(MAX(($D$4:$D$810=$D724)*($B$4:$B$810&lt;$B724)*$B$4:$B$810))=0,0,MAX(($B724-MAX(SUMPRODUCT(MAX(($D$4:$D$810=$D724)*($B$4:$B$810&lt;$B724)*$B$4:$B$810)),'Guide &amp; Settings'!$C$50))/7-'Guide &amp; Settings'!$C$48,0)*'Guide &amp; Settings'!$C$49))</f>
        <v/>
      </c>
    </row>
    <row r="725" spans="1:29" x14ac:dyDescent="0.2">
      <c r="A725" s="111"/>
      <c r="B725" s="112"/>
      <c r="C725" s="113"/>
      <c r="D725" s="113"/>
      <c r="E725" s="111"/>
      <c r="F725" s="114">
        <f t="shared" si="187"/>
        <v>0</v>
      </c>
      <c r="G725" s="115" t="str">
        <f t="shared" si="188"/>
        <v/>
      </c>
      <c r="H725" s="116">
        <f>IF($D725="",0,IFERROR(LOOKUP(2,1/(($D$3:D724=$D725)*($A$3:A724&lt;$A725)),$N$3:N724),'Guide &amp; Settings'!$C$41))</f>
        <v>0</v>
      </c>
      <c r="I725" s="117">
        <f t="shared" si="189"/>
        <v>0</v>
      </c>
      <c r="J725" s="118">
        <f>IF($D725="",0,IF($F725&lt;2,0,IF($E725="Win",('Guide &amp; Settings'!$C$42/(($F725-1)*COUNTIFS($A$4:$A$810,$A725,$E$4:$E$810,"Win")))*SUMIFS($X$4:$X$810,$A$4:$A$810,$A725,$E$4:$E$810,"Loss"),-('Guide &amp; Settings'!$C$42/($F725-1))*$X725)))</f>
        <v>0</v>
      </c>
      <c r="K725" s="118">
        <f>IF($D725="",0,'Guide &amp; Settings'!$C$43*(IF($E725="Win",1,0)-$I725))</f>
        <v>0</v>
      </c>
      <c r="L725" s="119">
        <f>IF($D725="",0,'Guide &amp; Settings'!$C$44*IF($F725&gt;=3,$F725,0))</f>
        <v>0</v>
      </c>
      <c r="M725" s="118">
        <f t="shared" si="190"/>
        <v>0</v>
      </c>
      <c r="N725" s="116">
        <f t="shared" si="191"/>
        <v>0</v>
      </c>
      <c r="O725" s="115" t="str">
        <f t="shared" si="192"/>
        <v/>
      </c>
      <c r="P725">
        <f t="shared" si="193"/>
        <v>0</v>
      </c>
      <c r="Q725">
        <f t="shared" si="194"/>
        <v>0</v>
      </c>
      <c r="R725">
        <f t="shared" si="195"/>
        <v>0</v>
      </c>
      <c r="S725">
        <f t="shared" si="196"/>
        <v>0</v>
      </c>
      <c r="T725" s="83">
        <f t="shared" si="197"/>
        <v>0</v>
      </c>
      <c r="U725" s="120">
        <f>IF($D725="",0,IFERROR(LOOKUP(2,1/(($D$3:D724=$D725)*($C$3:C724=$C725)*($A$3:A724&lt;$A725)),$AB$3:AB724),1000))</f>
        <v>0</v>
      </c>
      <c r="V725" s="120">
        <f t="shared" si="198"/>
        <v>0</v>
      </c>
      <c r="W725">
        <f t="shared" si="199"/>
        <v>0</v>
      </c>
      <c r="X725">
        <f t="shared" si="200"/>
        <v>0</v>
      </c>
      <c r="Y725">
        <f t="shared" si="201"/>
        <v>0</v>
      </c>
      <c r="Z725">
        <f t="shared" si="202"/>
        <v>0</v>
      </c>
      <c r="AA725">
        <f>IF($D725="",0,IF($F725&lt;2,0,IF($E725="Win",('Guide &amp; Settings'!$C$42/(($F725-1)*COUNTIFS($A$4:$A$810,$A725,$E$4:$E$810,"Win")))*SUMIFS($Z$4:$Z$810,$A$4:$A$810,$A725,$E$4:$E$810,"Loss"),-('Guide &amp; Settings'!$C$42/($F725-1))*$Z725)))</f>
        <v>0</v>
      </c>
      <c r="AB725" s="120">
        <f t="shared" si="203"/>
        <v>0</v>
      </c>
      <c r="AC725" s="120" t="str">
        <f>IF($D725="","",IF(SUMPRODUCT(MAX(($D$4:$D$810=$D725)*($B$4:$B$810&lt;$B725)*$B$4:$B$810))=0,0,MAX(($B725-MAX(SUMPRODUCT(MAX(($D$4:$D$810=$D725)*($B$4:$B$810&lt;$B725)*$B$4:$B$810)),'Guide &amp; Settings'!$C$50))/7-'Guide &amp; Settings'!$C$48,0)*'Guide &amp; Settings'!$C$49))</f>
        <v/>
      </c>
    </row>
    <row r="726" spans="1:29" x14ac:dyDescent="0.2">
      <c r="A726" s="111"/>
      <c r="B726" s="112"/>
      <c r="C726" s="113"/>
      <c r="D726" s="113"/>
      <c r="E726" s="111"/>
      <c r="F726" s="114">
        <f t="shared" si="187"/>
        <v>0</v>
      </c>
      <c r="G726" s="115" t="str">
        <f t="shared" si="188"/>
        <v/>
      </c>
      <c r="H726" s="116">
        <f>IF($D726="",0,IFERROR(LOOKUP(2,1/(($D$3:D725=$D726)*($A$3:A725&lt;$A726)),$N$3:N725),'Guide &amp; Settings'!$C$41))</f>
        <v>0</v>
      </c>
      <c r="I726" s="117">
        <f t="shared" si="189"/>
        <v>0</v>
      </c>
      <c r="J726" s="118">
        <f>IF($D726="",0,IF($F726&lt;2,0,IF($E726="Win",('Guide &amp; Settings'!$C$42/(($F726-1)*COUNTIFS($A$4:$A$810,$A726,$E$4:$E$810,"Win")))*SUMIFS($X$4:$X$810,$A$4:$A$810,$A726,$E$4:$E$810,"Loss"),-('Guide &amp; Settings'!$C$42/($F726-1))*$X726)))</f>
        <v>0</v>
      </c>
      <c r="K726" s="118">
        <f>IF($D726="",0,'Guide &amp; Settings'!$C$43*(IF($E726="Win",1,0)-$I726))</f>
        <v>0</v>
      </c>
      <c r="L726" s="119">
        <f>IF($D726="",0,'Guide &amp; Settings'!$C$44*IF($F726&gt;=3,$F726,0))</f>
        <v>0</v>
      </c>
      <c r="M726" s="118">
        <f t="shared" si="190"/>
        <v>0</v>
      </c>
      <c r="N726" s="116">
        <f t="shared" si="191"/>
        <v>0</v>
      </c>
      <c r="O726" s="115" t="str">
        <f t="shared" si="192"/>
        <v/>
      </c>
      <c r="P726">
        <f t="shared" si="193"/>
        <v>0</v>
      </c>
      <c r="Q726">
        <f t="shared" si="194"/>
        <v>0</v>
      </c>
      <c r="R726">
        <f t="shared" si="195"/>
        <v>0</v>
      </c>
      <c r="S726">
        <f t="shared" si="196"/>
        <v>0</v>
      </c>
      <c r="T726" s="83">
        <f t="shared" si="197"/>
        <v>0</v>
      </c>
      <c r="U726" s="120">
        <f>IF($D726="",0,IFERROR(LOOKUP(2,1/(($D$3:D725=$D726)*($C$3:C725=$C726)*($A$3:A725&lt;$A726)),$AB$3:AB725),1000))</f>
        <v>0</v>
      </c>
      <c r="V726" s="120">
        <f t="shared" si="198"/>
        <v>0</v>
      </c>
      <c r="W726">
        <f t="shared" si="199"/>
        <v>0</v>
      </c>
      <c r="X726">
        <f t="shared" si="200"/>
        <v>0</v>
      </c>
      <c r="Y726">
        <f t="shared" si="201"/>
        <v>0</v>
      </c>
      <c r="Z726">
        <f t="shared" si="202"/>
        <v>0</v>
      </c>
      <c r="AA726">
        <f>IF($D726="",0,IF($F726&lt;2,0,IF($E726="Win",('Guide &amp; Settings'!$C$42/(($F726-1)*COUNTIFS($A$4:$A$810,$A726,$E$4:$E$810,"Win")))*SUMIFS($Z$4:$Z$810,$A$4:$A$810,$A726,$E$4:$E$810,"Loss"),-('Guide &amp; Settings'!$C$42/($F726-1))*$Z726)))</f>
        <v>0</v>
      </c>
      <c r="AB726" s="120">
        <f t="shared" si="203"/>
        <v>0</v>
      </c>
      <c r="AC726" s="120" t="str">
        <f>IF($D726="","",IF(SUMPRODUCT(MAX(($D$4:$D$810=$D726)*($B$4:$B$810&lt;$B726)*$B$4:$B$810))=0,0,MAX(($B726-MAX(SUMPRODUCT(MAX(($D$4:$D$810=$D726)*($B$4:$B$810&lt;$B726)*$B$4:$B$810)),'Guide &amp; Settings'!$C$50))/7-'Guide &amp; Settings'!$C$48,0)*'Guide &amp; Settings'!$C$49))</f>
        <v/>
      </c>
    </row>
    <row r="727" spans="1:29" x14ac:dyDescent="0.2">
      <c r="A727" s="111"/>
      <c r="B727" s="112"/>
      <c r="C727" s="113"/>
      <c r="D727" s="113"/>
      <c r="E727" s="111"/>
      <c r="F727" s="114">
        <f t="shared" si="187"/>
        <v>0</v>
      </c>
      <c r="G727" s="115" t="str">
        <f t="shared" si="188"/>
        <v/>
      </c>
      <c r="H727" s="116">
        <f>IF($D727="",0,IFERROR(LOOKUP(2,1/(($D$3:D726=$D727)*($A$3:A726&lt;$A727)),$N$3:N726),'Guide &amp; Settings'!$C$41))</f>
        <v>0</v>
      </c>
      <c r="I727" s="117">
        <f t="shared" si="189"/>
        <v>0</v>
      </c>
      <c r="J727" s="118">
        <f>IF($D727="",0,IF($F727&lt;2,0,IF($E727="Win",('Guide &amp; Settings'!$C$42/(($F727-1)*COUNTIFS($A$4:$A$810,$A727,$E$4:$E$810,"Win")))*SUMIFS($X$4:$X$810,$A$4:$A$810,$A727,$E$4:$E$810,"Loss"),-('Guide &amp; Settings'!$C$42/($F727-1))*$X727)))</f>
        <v>0</v>
      </c>
      <c r="K727" s="118">
        <f>IF($D727="",0,'Guide &amp; Settings'!$C$43*(IF($E727="Win",1,0)-$I727))</f>
        <v>0</v>
      </c>
      <c r="L727" s="119">
        <f>IF($D727="",0,'Guide &amp; Settings'!$C$44*IF($F727&gt;=3,$F727,0))</f>
        <v>0</v>
      </c>
      <c r="M727" s="118">
        <f t="shared" si="190"/>
        <v>0</v>
      </c>
      <c r="N727" s="116">
        <f t="shared" si="191"/>
        <v>0</v>
      </c>
      <c r="O727" s="115" t="str">
        <f t="shared" si="192"/>
        <v/>
      </c>
      <c r="P727">
        <f t="shared" si="193"/>
        <v>0</v>
      </c>
      <c r="Q727">
        <f t="shared" si="194"/>
        <v>0</v>
      </c>
      <c r="R727">
        <f t="shared" si="195"/>
        <v>0</v>
      </c>
      <c r="S727">
        <f t="shared" si="196"/>
        <v>0</v>
      </c>
      <c r="T727" s="83">
        <f t="shared" si="197"/>
        <v>0</v>
      </c>
      <c r="U727" s="120">
        <f>IF($D727="",0,IFERROR(LOOKUP(2,1/(($D$3:D726=$D727)*($C$3:C726=$C727)*($A$3:A726&lt;$A727)),$AB$3:AB726),1000))</f>
        <v>0</v>
      </c>
      <c r="V727" s="120">
        <f t="shared" si="198"/>
        <v>0</v>
      </c>
      <c r="W727">
        <f t="shared" si="199"/>
        <v>0</v>
      </c>
      <c r="X727">
        <f t="shared" si="200"/>
        <v>0</v>
      </c>
      <c r="Y727">
        <f t="shared" si="201"/>
        <v>0</v>
      </c>
      <c r="Z727">
        <f t="shared" si="202"/>
        <v>0</v>
      </c>
      <c r="AA727">
        <f>IF($D727="",0,IF($F727&lt;2,0,IF($E727="Win",('Guide &amp; Settings'!$C$42/(($F727-1)*COUNTIFS($A$4:$A$810,$A727,$E$4:$E$810,"Win")))*SUMIFS($Z$4:$Z$810,$A$4:$A$810,$A727,$E$4:$E$810,"Loss"),-('Guide &amp; Settings'!$C$42/($F727-1))*$Z727)))</f>
        <v>0</v>
      </c>
      <c r="AB727" s="120">
        <f t="shared" si="203"/>
        <v>0</v>
      </c>
      <c r="AC727" s="120" t="str">
        <f>IF($D727="","",IF(SUMPRODUCT(MAX(($D$4:$D$810=$D727)*($B$4:$B$810&lt;$B727)*$B$4:$B$810))=0,0,MAX(($B727-MAX(SUMPRODUCT(MAX(($D$4:$D$810=$D727)*($B$4:$B$810&lt;$B727)*$B$4:$B$810)),'Guide &amp; Settings'!$C$50))/7-'Guide &amp; Settings'!$C$48,0)*'Guide &amp; Settings'!$C$49))</f>
        <v/>
      </c>
    </row>
    <row r="728" spans="1:29" x14ac:dyDescent="0.2">
      <c r="A728" s="111"/>
      <c r="B728" s="112"/>
      <c r="C728" s="113"/>
      <c r="D728" s="113"/>
      <c r="E728" s="111"/>
      <c r="F728" s="114">
        <f t="shared" si="187"/>
        <v>0</v>
      </c>
      <c r="G728" s="115" t="str">
        <f t="shared" si="188"/>
        <v/>
      </c>
      <c r="H728" s="116">
        <f>IF($D728="",0,IFERROR(LOOKUP(2,1/(($D$3:D727=$D728)*($A$3:A727&lt;$A728)),$N$3:N727),'Guide &amp; Settings'!$C$41))</f>
        <v>0</v>
      </c>
      <c r="I728" s="117">
        <f t="shared" si="189"/>
        <v>0</v>
      </c>
      <c r="J728" s="118">
        <f>IF($D728="",0,IF($F728&lt;2,0,IF($E728="Win",('Guide &amp; Settings'!$C$42/(($F728-1)*COUNTIFS($A$4:$A$810,$A728,$E$4:$E$810,"Win")))*SUMIFS($X$4:$X$810,$A$4:$A$810,$A728,$E$4:$E$810,"Loss"),-('Guide &amp; Settings'!$C$42/($F728-1))*$X728)))</f>
        <v>0</v>
      </c>
      <c r="K728" s="118">
        <f>IF($D728="",0,'Guide &amp; Settings'!$C$43*(IF($E728="Win",1,0)-$I728))</f>
        <v>0</v>
      </c>
      <c r="L728" s="119">
        <f>IF($D728="",0,'Guide &amp; Settings'!$C$44*IF($F728&gt;=3,$F728,0))</f>
        <v>0</v>
      </c>
      <c r="M728" s="118">
        <f t="shared" si="190"/>
        <v>0</v>
      </c>
      <c r="N728" s="116">
        <f t="shared" si="191"/>
        <v>0</v>
      </c>
      <c r="O728" s="115" t="str">
        <f t="shared" si="192"/>
        <v/>
      </c>
      <c r="P728">
        <f t="shared" si="193"/>
        <v>0</v>
      </c>
      <c r="Q728">
        <f t="shared" si="194"/>
        <v>0</v>
      </c>
      <c r="R728">
        <f t="shared" si="195"/>
        <v>0</v>
      </c>
      <c r="S728">
        <f t="shared" si="196"/>
        <v>0</v>
      </c>
      <c r="T728" s="83">
        <f t="shared" si="197"/>
        <v>0</v>
      </c>
      <c r="U728" s="120">
        <f>IF($D728="",0,IFERROR(LOOKUP(2,1/(($D$3:D727=$D728)*($C$3:C727=$C728)*($A$3:A727&lt;$A728)),$AB$3:AB727),1000))</f>
        <v>0</v>
      </c>
      <c r="V728" s="120">
        <f t="shared" si="198"/>
        <v>0</v>
      </c>
      <c r="W728">
        <f t="shared" si="199"/>
        <v>0</v>
      </c>
      <c r="X728">
        <f t="shared" si="200"/>
        <v>0</v>
      </c>
      <c r="Y728">
        <f t="shared" si="201"/>
        <v>0</v>
      </c>
      <c r="Z728">
        <f t="shared" si="202"/>
        <v>0</v>
      </c>
      <c r="AA728">
        <f>IF($D728="",0,IF($F728&lt;2,0,IF($E728="Win",('Guide &amp; Settings'!$C$42/(($F728-1)*COUNTIFS($A$4:$A$810,$A728,$E$4:$E$810,"Win")))*SUMIFS($Z$4:$Z$810,$A$4:$A$810,$A728,$E$4:$E$810,"Loss"),-('Guide &amp; Settings'!$C$42/($F728-1))*$Z728)))</f>
        <v>0</v>
      </c>
      <c r="AB728" s="120">
        <f t="shared" si="203"/>
        <v>0</v>
      </c>
      <c r="AC728" s="120" t="str">
        <f>IF($D728="","",IF(SUMPRODUCT(MAX(($D$4:$D$810=$D728)*($B$4:$B$810&lt;$B728)*$B$4:$B$810))=0,0,MAX(($B728-MAX(SUMPRODUCT(MAX(($D$4:$D$810=$D728)*($B$4:$B$810&lt;$B728)*$B$4:$B$810)),'Guide &amp; Settings'!$C$50))/7-'Guide &amp; Settings'!$C$48,0)*'Guide &amp; Settings'!$C$49))</f>
        <v/>
      </c>
    </row>
    <row r="729" spans="1:29" x14ac:dyDescent="0.2">
      <c r="A729" s="111"/>
      <c r="B729" s="112"/>
      <c r="C729" s="113"/>
      <c r="D729" s="113"/>
      <c r="E729" s="111"/>
      <c r="F729" s="114">
        <f t="shared" si="187"/>
        <v>0</v>
      </c>
      <c r="G729" s="115" t="str">
        <f t="shared" si="188"/>
        <v/>
      </c>
      <c r="H729" s="116">
        <f>IF($D729="",0,IFERROR(LOOKUP(2,1/(($D$3:D728=$D729)*($A$3:A728&lt;$A729)),$N$3:N728),'Guide &amp; Settings'!$C$41))</f>
        <v>0</v>
      </c>
      <c r="I729" s="117">
        <f t="shared" si="189"/>
        <v>0</v>
      </c>
      <c r="J729" s="118">
        <f>IF($D729="",0,IF($F729&lt;2,0,IF($E729="Win",('Guide &amp; Settings'!$C$42/(($F729-1)*COUNTIFS($A$4:$A$810,$A729,$E$4:$E$810,"Win")))*SUMIFS($X$4:$X$810,$A$4:$A$810,$A729,$E$4:$E$810,"Loss"),-('Guide &amp; Settings'!$C$42/($F729-1))*$X729)))</f>
        <v>0</v>
      </c>
      <c r="K729" s="118">
        <f>IF($D729="",0,'Guide &amp; Settings'!$C$43*(IF($E729="Win",1,0)-$I729))</f>
        <v>0</v>
      </c>
      <c r="L729" s="119">
        <f>IF($D729="",0,'Guide &amp; Settings'!$C$44*IF($F729&gt;=3,$F729,0))</f>
        <v>0</v>
      </c>
      <c r="M729" s="118">
        <f t="shared" si="190"/>
        <v>0</v>
      </c>
      <c r="N729" s="116">
        <f t="shared" si="191"/>
        <v>0</v>
      </c>
      <c r="O729" s="115" t="str">
        <f t="shared" si="192"/>
        <v/>
      </c>
      <c r="P729">
        <f t="shared" si="193"/>
        <v>0</v>
      </c>
      <c r="Q729">
        <f t="shared" si="194"/>
        <v>0</v>
      </c>
      <c r="R729">
        <f t="shared" si="195"/>
        <v>0</v>
      </c>
      <c r="S729">
        <f t="shared" si="196"/>
        <v>0</v>
      </c>
      <c r="T729" s="83">
        <f t="shared" si="197"/>
        <v>0</v>
      </c>
      <c r="U729" s="120">
        <f>IF($D729="",0,IFERROR(LOOKUP(2,1/(($D$3:D728=$D729)*($C$3:C728=$C729)*($A$3:A728&lt;$A729)),$AB$3:AB728),1000))</f>
        <v>0</v>
      </c>
      <c r="V729" s="120">
        <f t="shared" si="198"/>
        <v>0</v>
      </c>
      <c r="W729">
        <f t="shared" si="199"/>
        <v>0</v>
      </c>
      <c r="X729">
        <f t="shared" si="200"/>
        <v>0</v>
      </c>
      <c r="Y729">
        <f t="shared" si="201"/>
        <v>0</v>
      </c>
      <c r="Z729">
        <f t="shared" si="202"/>
        <v>0</v>
      </c>
      <c r="AA729">
        <f>IF($D729="",0,IF($F729&lt;2,0,IF($E729="Win",('Guide &amp; Settings'!$C$42/(($F729-1)*COUNTIFS($A$4:$A$810,$A729,$E$4:$E$810,"Win")))*SUMIFS($Z$4:$Z$810,$A$4:$A$810,$A729,$E$4:$E$810,"Loss"),-('Guide &amp; Settings'!$C$42/($F729-1))*$Z729)))</f>
        <v>0</v>
      </c>
      <c r="AB729" s="120">
        <f t="shared" si="203"/>
        <v>0</v>
      </c>
      <c r="AC729" s="120" t="str">
        <f>IF($D729="","",IF(SUMPRODUCT(MAX(($D$4:$D$810=$D729)*($B$4:$B$810&lt;$B729)*$B$4:$B$810))=0,0,MAX(($B729-MAX(SUMPRODUCT(MAX(($D$4:$D$810=$D729)*($B$4:$B$810&lt;$B729)*$B$4:$B$810)),'Guide &amp; Settings'!$C$50))/7-'Guide &amp; Settings'!$C$48,0)*'Guide &amp; Settings'!$C$49))</f>
        <v/>
      </c>
    </row>
    <row r="730" spans="1:29" x14ac:dyDescent="0.2">
      <c r="A730" s="111"/>
      <c r="B730" s="112"/>
      <c r="C730" s="113"/>
      <c r="D730" s="113"/>
      <c r="E730" s="111"/>
      <c r="F730" s="114">
        <f t="shared" si="187"/>
        <v>0</v>
      </c>
      <c r="G730" s="115" t="str">
        <f t="shared" si="188"/>
        <v/>
      </c>
      <c r="H730" s="116">
        <f>IF($D730="",0,IFERROR(LOOKUP(2,1/(($D$3:D729=$D730)*($A$3:A729&lt;$A730)),$N$3:N729),'Guide &amp; Settings'!$C$41))</f>
        <v>0</v>
      </c>
      <c r="I730" s="117">
        <f t="shared" si="189"/>
        <v>0</v>
      </c>
      <c r="J730" s="118">
        <f>IF($D730="",0,IF($F730&lt;2,0,IF($E730="Win",('Guide &amp; Settings'!$C$42/(($F730-1)*COUNTIFS($A$4:$A$810,$A730,$E$4:$E$810,"Win")))*SUMIFS($X$4:$X$810,$A$4:$A$810,$A730,$E$4:$E$810,"Loss"),-('Guide &amp; Settings'!$C$42/($F730-1))*$X730)))</f>
        <v>0</v>
      </c>
      <c r="K730" s="118">
        <f>IF($D730="",0,'Guide &amp; Settings'!$C$43*(IF($E730="Win",1,0)-$I730))</f>
        <v>0</v>
      </c>
      <c r="L730" s="119">
        <f>IF($D730="",0,'Guide &amp; Settings'!$C$44*IF($F730&gt;=3,$F730,0))</f>
        <v>0</v>
      </c>
      <c r="M730" s="118">
        <f t="shared" si="190"/>
        <v>0</v>
      </c>
      <c r="N730" s="116">
        <f t="shared" si="191"/>
        <v>0</v>
      </c>
      <c r="O730" s="115" t="str">
        <f t="shared" si="192"/>
        <v/>
      </c>
      <c r="P730">
        <f t="shared" si="193"/>
        <v>0</v>
      </c>
      <c r="Q730">
        <f t="shared" si="194"/>
        <v>0</v>
      </c>
      <c r="R730">
        <f t="shared" si="195"/>
        <v>0</v>
      </c>
      <c r="S730">
        <f t="shared" si="196"/>
        <v>0</v>
      </c>
      <c r="T730" s="83">
        <f t="shared" si="197"/>
        <v>0</v>
      </c>
      <c r="U730" s="120">
        <f>IF($D730="",0,IFERROR(LOOKUP(2,1/(($D$3:D729=$D730)*($C$3:C729=$C730)*($A$3:A729&lt;$A730)),$AB$3:AB729),1000))</f>
        <v>0</v>
      </c>
      <c r="V730" s="120">
        <f t="shared" si="198"/>
        <v>0</v>
      </c>
      <c r="W730">
        <f t="shared" si="199"/>
        <v>0</v>
      </c>
      <c r="X730">
        <f t="shared" si="200"/>
        <v>0</v>
      </c>
      <c r="Y730">
        <f t="shared" si="201"/>
        <v>0</v>
      </c>
      <c r="Z730">
        <f t="shared" si="202"/>
        <v>0</v>
      </c>
      <c r="AA730">
        <f>IF($D730="",0,IF($F730&lt;2,0,IF($E730="Win",('Guide &amp; Settings'!$C$42/(($F730-1)*COUNTIFS($A$4:$A$810,$A730,$E$4:$E$810,"Win")))*SUMIFS($Z$4:$Z$810,$A$4:$A$810,$A730,$E$4:$E$810,"Loss"),-('Guide &amp; Settings'!$C$42/($F730-1))*$Z730)))</f>
        <v>0</v>
      </c>
      <c r="AB730" s="120">
        <f t="shared" si="203"/>
        <v>0</v>
      </c>
      <c r="AC730" s="120" t="str">
        <f>IF($D730="","",IF(SUMPRODUCT(MAX(($D$4:$D$810=$D730)*($B$4:$B$810&lt;$B730)*$B$4:$B$810))=0,0,MAX(($B730-MAX(SUMPRODUCT(MAX(($D$4:$D$810=$D730)*($B$4:$B$810&lt;$B730)*$B$4:$B$810)),'Guide &amp; Settings'!$C$50))/7-'Guide &amp; Settings'!$C$48,0)*'Guide &amp; Settings'!$C$49))</f>
        <v/>
      </c>
    </row>
    <row r="731" spans="1:29" x14ac:dyDescent="0.2">
      <c r="A731" s="111"/>
      <c r="B731" s="112"/>
      <c r="C731" s="113"/>
      <c r="D731" s="113"/>
      <c r="E731" s="111"/>
      <c r="F731" s="114">
        <f t="shared" si="187"/>
        <v>0</v>
      </c>
      <c r="G731" s="115" t="str">
        <f t="shared" si="188"/>
        <v/>
      </c>
      <c r="H731" s="116">
        <f>IF($D731="",0,IFERROR(LOOKUP(2,1/(($D$3:D730=$D731)*($A$3:A730&lt;$A731)),$N$3:N730),'Guide &amp; Settings'!$C$41))</f>
        <v>0</v>
      </c>
      <c r="I731" s="117">
        <f t="shared" si="189"/>
        <v>0</v>
      </c>
      <c r="J731" s="118">
        <f>IF($D731="",0,IF($F731&lt;2,0,IF($E731="Win",('Guide &amp; Settings'!$C$42/(($F731-1)*COUNTIFS($A$4:$A$810,$A731,$E$4:$E$810,"Win")))*SUMIFS($X$4:$X$810,$A$4:$A$810,$A731,$E$4:$E$810,"Loss"),-('Guide &amp; Settings'!$C$42/($F731-1))*$X731)))</f>
        <v>0</v>
      </c>
      <c r="K731" s="118">
        <f>IF($D731="",0,'Guide &amp; Settings'!$C$43*(IF($E731="Win",1,0)-$I731))</f>
        <v>0</v>
      </c>
      <c r="L731" s="119">
        <f>IF($D731="",0,'Guide &amp; Settings'!$C$44*IF($F731&gt;=3,$F731,0))</f>
        <v>0</v>
      </c>
      <c r="M731" s="118">
        <f t="shared" si="190"/>
        <v>0</v>
      </c>
      <c r="N731" s="116">
        <f t="shared" si="191"/>
        <v>0</v>
      </c>
      <c r="O731" s="115" t="str">
        <f t="shared" si="192"/>
        <v/>
      </c>
      <c r="P731">
        <f t="shared" si="193"/>
        <v>0</v>
      </c>
      <c r="Q731">
        <f t="shared" si="194"/>
        <v>0</v>
      </c>
      <c r="R731">
        <f t="shared" si="195"/>
        <v>0</v>
      </c>
      <c r="S731">
        <f t="shared" si="196"/>
        <v>0</v>
      </c>
      <c r="T731" s="83">
        <f t="shared" si="197"/>
        <v>0</v>
      </c>
      <c r="U731" s="120">
        <f>IF($D731="",0,IFERROR(LOOKUP(2,1/(($D$3:D730=$D731)*($C$3:C730=$C731)*($A$3:A730&lt;$A731)),$AB$3:AB730),1000))</f>
        <v>0</v>
      </c>
      <c r="V731" s="120">
        <f t="shared" si="198"/>
        <v>0</v>
      </c>
      <c r="W731">
        <f t="shared" si="199"/>
        <v>0</v>
      </c>
      <c r="X731">
        <f t="shared" si="200"/>
        <v>0</v>
      </c>
      <c r="Y731">
        <f t="shared" si="201"/>
        <v>0</v>
      </c>
      <c r="Z731">
        <f t="shared" si="202"/>
        <v>0</v>
      </c>
      <c r="AA731">
        <f>IF($D731="",0,IF($F731&lt;2,0,IF($E731="Win",('Guide &amp; Settings'!$C$42/(($F731-1)*COUNTIFS($A$4:$A$810,$A731,$E$4:$E$810,"Win")))*SUMIFS($Z$4:$Z$810,$A$4:$A$810,$A731,$E$4:$E$810,"Loss"),-('Guide &amp; Settings'!$C$42/($F731-1))*$Z731)))</f>
        <v>0</v>
      </c>
      <c r="AB731" s="120">
        <f t="shared" si="203"/>
        <v>0</v>
      </c>
      <c r="AC731" s="120" t="str">
        <f>IF($D731="","",IF(SUMPRODUCT(MAX(($D$4:$D$810=$D731)*($B$4:$B$810&lt;$B731)*$B$4:$B$810))=0,0,MAX(($B731-MAX(SUMPRODUCT(MAX(($D$4:$D$810=$D731)*($B$4:$B$810&lt;$B731)*$B$4:$B$810)),'Guide &amp; Settings'!$C$50))/7-'Guide &amp; Settings'!$C$48,0)*'Guide &amp; Settings'!$C$49))</f>
        <v/>
      </c>
    </row>
    <row r="732" spans="1:29" x14ac:dyDescent="0.2">
      <c r="A732" s="111"/>
      <c r="B732" s="112"/>
      <c r="C732" s="113"/>
      <c r="D732" s="113"/>
      <c r="E732" s="111"/>
      <c r="F732" s="114">
        <f t="shared" si="187"/>
        <v>0</v>
      </c>
      <c r="G732" s="115" t="str">
        <f t="shared" si="188"/>
        <v/>
      </c>
      <c r="H732" s="116">
        <f>IF($D732="",0,IFERROR(LOOKUP(2,1/(($D$3:D731=$D732)*($A$3:A731&lt;$A732)),$N$3:N731),'Guide &amp; Settings'!$C$41))</f>
        <v>0</v>
      </c>
      <c r="I732" s="117">
        <f t="shared" si="189"/>
        <v>0</v>
      </c>
      <c r="J732" s="118">
        <f>IF($D732="",0,IF($F732&lt;2,0,IF($E732="Win",('Guide &amp; Settings'!$C$42/(($F732-1)*COUNTIFS($A$4:$A$810,$A732,$E$4:$E$810,"Win")))*SUMIFS($X$4:$X$810,$A$4:$A$810,$A732,$E$4:$E$810,"Loss"),-('Guide &amp; Settings'!$C$42/($F732-1))*$X732)))</f>
        <v>0</v>
      </c>
      <c r="K732" s="118">
        <f>IF($D732="",0,'Guide &amp; Settings'!$C$43*(IF($E732="Win",1,0)-$I732))</f>
        <v>0</v>
      </c>
      <c r="L732" s="119">
        <f>IF($D732="",0,'Guide &amp; Settings'!$C$44*IF($F732&gt;=3,$F732,0))</f>
        <v>0</v>
      </c>
      <c r="M732" s="118">
        <f t="shared" si="190"/>
        <v>0</v>
      </c>
      <c r="N732" s="116">
        <f t="shared" si="191"/>
        <v>0</v>
      </c>
      <c r="O732" s="115" t="str">
        <f t="shared" si="192"/>
        <v/>
      </c>
      <c r="P732">
        <f t="shared" si="193"/>
        <v>0</v>
      </c>
      <c r="Q732">
        <f t="shared" si="194"/>
        <v>0</v>
      </c>
      <c r="R732">
        <f t="shared" si="195"/>
        <v>0</v>
      </c>
      <c r="S732">
        <f t="shared" si="196"/>
        <v>0</v>
      </c>
      <c r="T732" s="83">
        <f t="shared" si="197"/>
        <v>0</v>
      </c>
      <c r="U732" s="120">
        <f>IF($D732="",0,IFERROR(LOOKUP(2,1/(($D$3:D731=$D732)*($C$3:C731=$C732)*($A$3:A731&lt;$A732)),$AB$3:AB731),1000))</f>
        <v>0</v>
      </c>
      <c r="V732" s="120">
        <f t="shared" si="198"/>
        <v>0</v>
      </c>
      <c r="W732">
        <f t="shared" si="199"/>
        <v>0</v>
      </c>
      <c r="X732">
        <f t="shared" si="200"/>
        <v>0</v>
      </c>
      <c r="Y732">
        <f t="shared" si="201"/>
        <v>0</v>
      </c>
      <c r="Z732">
        <f t="shared" si="202"/>
        <v>0</v>
      </c>
      <c r="AA732">
        <f>IF($D732="",0,IF($F732&lt;2,0,IF($E732="Win",('Guide &amp; Settings'!$C$42/(($F732-1)*COUNTIFS($A$4:$A$810,$A732,$E$4:$E$810,"Win")))*SUMIFS($Z$4:$Z$810,$A$4:$A$810,$A732,$E$4:$E$810,"Loss"),-('Guide &amp; Settings'!$C$42/($F732-1))*$Z732)))</f>
        <v>0</v>
      </c>
      <c r="AB732" s="120">
        <f t="shared" si="203"/>
        <v>0</v>
      </c>
      <c r="AC732" s="120" t="str">
        <f>IF($D732="","",IF(SUMPRODUCT(MAX(($D$4:$D$810=$D732)*($B$4:$B$810&lt;$B732)*$B$4:$B$810))=0,0,MAX(($B732-MAX(SUMPRODUCT(MAX(($D$4:$D$810=$D732)*($B$4:$B$810&lt;$B732)*$B$4:$B$810)),'Guide &amp; Settings'!$C$50))/7-'Guide &amp; Settings'!$C$48,0)*'Guide &amp; Settings'!$C$49))</f>
        <v/>
      </c>
    </row>
    <row r="733" spans="1:29" x14ac:dyDescent="0.2">
      <c r="A733" s="111"/>
      <c r="B733" s="112"/>
      <c r="C733" s="113"/>
      <c r="D733" s="113"/>
      <c r="E733" s="111"/>
      <c r="F733" s="114">
        <f t="shared" si="187"/>
        <v>0</v>
      </c>
      <c r="G733" s="115" t="str">
        <f t="shared" si="188"/>
        <v/>
      </c>
      <c r="H733" s="116">
        <f>IF($D733="",0,IFERROR(LOOKUP(2,1/(($D$3:D732=$D733)*($A$3:A732&lt;$A733)),$N$3:N732),'Guide &amp; Settings'!$C$41))</f>
        <v>0</v>
      </c>
      <c r="I733" s="117">
        <f t="shared" si="189"/>
        <v>0</v>
      </c>
      <c r="J733" s="118">
        <f>IF($D733="",0,IF($F733&lt;2,0,IF($E733="Win",('Guide &amp; Settings'!$C$42/(($F733-1)*COUNTIFS($A$4:$A$810,$A733,$E$4:$E$810,"Win")))*SUMIFS($X$4:$X$810,$A$4:$A$810,$A733,$E$4:$E$810,"Loss"),-('Guide &amp; Settings'!$C$42/($F733-1))*$X733)))</f>
        <v>0</v>
      </c>
      <c r="K733" s="118">
        <f>IF($D733="",0,'Guide &amp; Settings'!$C$43*(IF($E733="Win",1,0)-$I733))</f>
        <v>0</v>
      </c>
      <c r="L733" s="119">
        <f>IF($D733="",0,'Guide &amp; Settings'!$C$44*IF($F733&gt;=3,$F733,0))</f>
        <v>0</v>
      </c>
      <c r="M733" s="118">
        <f t="shared" si="190"/>
        <v>0</v>
      </c>
      <c r="N733" s="116">
        <f t="shared" si="191"/>
        <v>0</v>
      </c>
      <c r="O733" s="115" t="str">
        <f t="shared" si="192"/>
        <v/>
      </c>
      <c r="P733">
        <f t="shared" si="193"/>
        <v>0</v>
      </c>
      <c r="Q733">
        <f t="shared" si="194"/>
        <v>0</v>
      </c>
      <c r="R733">
        <f t="shared" si="195"/>
        <v>0</v>
      </c>
      <c r="S733">
        <f t="shared" si="196"/>
        <v>0</v>
      </c>
      <c r="T733" s="83">
        <f t="shared" si="197"/>
        <v>0</v>
      </c>
      <c r="U733" s="120">
        <f>IF($D733="",0,IFERROR(LOOKUP(2,1/(($D$3:D732=$D733)*($C$3:C732=$C733)*($A$3:A732&lt;$A733)),$AB$3:AB732),1000))</f>
        <v>0</v>
      </c>
      <c r="V733" s="120">
        <f t="shared" si="198"/>
        <v>0</v>
      </c>
      <c r="W733">
        <f t="shared" si="199"/>
        <v>0</v>
      </c>
      <c r="X733">
        <f t="shared" si="200"/>
        <v>0</v>
      </c>
      <c r="Y733">
        <f t="shared" si="201"/>
        <v>0</v>
      </c>
      <c r="Z733">
        <f t="shared" si="202"/>
        <v>0</v>
      </c>
      <c r="AA733">
        <f>IF($D733="",0,IF($F733&lt;2,0,IF($E733="Win",('Guide &amp; Settings'!$C$42/(($F733-1)*COUNTIFS($A$4:$A$810,$A733,$E$4:$E$810,"Win")))*SUMIFS($Z$4:$Z$810,$A$4:$A$810,$A733,$E$4:$E$810,"Loss"),-('Guide &amp; Settings'!$C$42/($F733-1))*$Z733)))</f>
        <v>0</v>
      </c>
      <c r="AB733" s="120">
        <f t="shared" si="203"/>
        <v>0</v>
      </c>
      <c r="AC733" s="120" t="str">
        <f>IF($D733="","",IF(SUMPRODUCT(MAX(($D$4:$D$810=$D733)*($B$4:$B$810&lt;$B733)*$B$4:$B$810))=0,0,MAX(($B733-MAX(SUMPRODUCT(MAX(($D$4:$D$810=$D733)*($B$4:$B$810&lt;$B733)*$B$4:$B$810)),'Guide &amp; Settings'!$C$50))/7-'Guide &amp; Settings'!$C$48,0)*'Guide &amp; Settings'!$C$49))</f>
        <v/>
      </c>
    </row>
    <row r="734" spans="1:29" x14ac:dyDescent="0.2">
      <c r="A734" s="111"/>
      <c r="B734" s="112"/>
      <c r="C734" s="113"/>
      <c r="D734" s="113"/>
      <c r="E734" s="111"/>
      <c r="F734" s="114">
        <f t="shared" si="187"/>
        <v>0</v>
      </c>
      <c r="G734" s="115" t="str">
        <f t="shared" si="188"/>
        <v/>
      </c>
      <c r="H734" s="116">
        <f>IF($D734="",0,IFERROR(LOOKUP(2,1/(($D$3:D733=$D734)*($A$3:A733&lt;$A734)),$N$3:N733),'Guide &amp; Settings'!$C$41))</f>
        <v>0</v>
      </c>
      <c r="I734" s="117">
        <f t="shared" si="189"/>
        <v>0</v>
      </c>
      <c r="J734" s="118">
        <f>IF($D734="",0,IF($F734&lt;2,0,IF($E734="Win",('Guide &amp; Settings'!$C$42/(($F734-1)*COUNTIFS($A$4:$A$810,$A734,$E$4:$E$810,"Win")))*SUMIFS($X$4:$X$810,$A$4:$A$810,$A734,$E$4:$E$810,"Loss"),-('Guide &amp; Settings'!$C$42/($F734-1))*$X734)))</f>
        <v>0</v>
      </c>
      <c r="K734" s="118">
        <f>IF($D734="",0,'Guide &amp; Settings'!$C$43*(IF($E734="Win",1,0)-$I734))</f>
        <v>0</v>
      </c>
      <c r="L734" s="119">
        <f>IF($D734="",0,'Guide &amp; Settings'!$C$44*IF($F734&gt;=3,$F734,0))</f>
        <v>0</v>
      </c>
      <c r="M734" s="118">
        <f t="shared" si="190"/>
        <v>0</v>
      </c>
      <c r="N734" s="116">
        <f t="shared" si="191"/>
        <v>0</v>
      </c>
      <c r="O734" s="115" t="str">
        <f t="shared" si="192"/>
        <v/>
      </c>
      <c r="P734">
        <f t="shared" si="193"/>
        <v>0</v>
      </c>
      <c r="Q734">
        <f t="shared" si="194"/>
        <v>0</v>
      </c>
      <c r="R734">
        <f t="shared" si="195"/>
        <v>0</v>
      </c>
      <c r="S734">
        <f t="shared" si="196"/>
        <v>0</v>
      </c>
      <c r="T734" s="83">
        <f t="shared" si="197"/>
        <v>0</v>
      </c>
      <c r="U734" s="120">
        <f>IF($D734="",0,IFERROR(LOOKUP(2,1/(($D$3:D733=$D734)*($C$3:C733=$C734)*($A$3:A733&lt;$A734)),$AB$3:AB733),1000))</f>
        <v>0</v>
      </c>
      <c r="V734" s="120">
        <f t="shared" si="198"/>
        <v>0</v>
      </c>
      <c r="W734">
        <f t="shared" si="199"/>
        <v>0</v>
      </c>
      <c r="X734">
        <f t="shared" si="200"/>
        <v>0</v>
      </c>
      <c r="Y734">
        <f t="shared" si="201"/>
        <v>0</v>
      </c>
      <c r="Z734">
        <f t="shared" si="202"/>
        <v>0</v>
      </c>
      <c r="AA734">
        <f>IF($D734="",0,IF($F734&lt;2,0,IF($E734="Win",('Guide &amp; Settings'!$C$42/(($F734-1)*COUNTIFS($A$4:$A$810,$A734,$E$4:$E$810,"Win")))*SUMIFS($Z$4:$Z$810,$A$4:$A$810,$A734,$E$4:$E$810,"Loss"),-('Guide &amp; Settings'!$C$42/($F734-1))*$Z734)))</f>
        <v>0</v>
      </c>
      <c r="AB734" s="120">
        <f t="shared" si="203"/>
        <v>0</v>
      </c>
      <c r="AC734" s="120" t="str">
        <f>IF($D734="","",IF(SUMPRODUCT(MAX(($D$4:$D$810=$D734)*($B$4:$B$810&lt;$B734)*$B$4:$B$810))=0,0,MAX(($B734-MAX(SUMPRODUCT(MAX(($D$4:$D$810=$D734)*($B$4:$B$810&lt;$B734)*$B$4:$B$810)),'Guide &amp; Settings'!$C$50))/7-'Guide &amp; Settings'!$C$48,0)*'Guide &amp; Settings'!$C$49))</f>
        <v/>
      </c>
    </row>
    <row r="735" spans="1:29" x14ac:dyDescent="0.2">
      <c r="A735" s="111"/>
      <c r="B735" s="112"/>
      <c r="C735" s="113"/>
      <c r="D735" s="113"/>
      <c r="E735" s="111"/>
      <c r="F735" s="114">
        <f t="shared" si="187"/>
        <v>0</v>
      </c>
      <c r="G735" s="115" t="str">
        <f t="shared" si="188"/>
        <v/>
      </c>
      <c r="H735" s="116">
        <f>IF($D735="",0,IFERROR(LOOKUP(2,1/(($D$3:D734=$D735)*($A$3:A734&lt;$A735)),$N$3:N734),'Guide &amp; Settings'!$C$41))</f>
        <v>0</v>
      </c>
      <c r="I735" s="117">
        <f t="shared" si="189"/>
        <v>0</v>
      </c>
      <c r="J735" s="118">
        <f>IF($D735="",0,IF($F735&lt;2,0,IF($E735="Win",('Guide &amp; Settings'!$C$42/(($F735-1)*COUNTIFS($A$4:$A$810,$A735,$E$4:$E$810,"Win")))*SUMIFS($X$4:$X$810,$A$4:$A$810,$A735,$E$4:$E$810,"Loss"),-('Guide &amp; Settings'!$C$42/($F735-1))*$X735)))</f>
        <v>0</v>
      </c>
      <c r="K735" s="118">
        <f>IF($D735="",0,'Guide &amp; Settings'!$C$43*(IF($E735="Win",1,0)-$I735))</f>
        <v>0</v>
      </c>
      <c r="L735" s="119">
        <f>IF($D735="",0,'Guide &amp; Settings'!$C$44*IF($F735&gt;=3,$F735,0))</f>
        <v>0</v>
      </c>
      <c r="M735" s="118">
        <f t="shared" si="190"/>
        <v>0</v>
      </c>
      <c r="N735" s="116">
        <f t="shared" si="191"/>
        <v>0</v>
      </c>
      <c r="O735" s="115" t="str">
        <f t="shared" si="192"/>
        <v/>
      </c>
      <c r="P735">
        <f t="shared" si="193"/>
        <v>0</v>
      </c>
      <c r="Q735">
        <f t="shared" si="194"/>
        <v>0</v>
      </c>
      <c r="R735">
        <f t="shared" si="195"/>
        <v>0</v>
      </c>
      <c r="S735">
        <f t="shared" si="196"/>
        <v>0</v>
      </c>
      <c r="T735" s="83">
        <f t="shared" si="197"/>
        <v>0</v>
      </c>
      <c r="U735" s="120">
        <f>IF($D735="",0,IFERROR(LOOKUP(2,1/(($D$3:D734=$D735)*($C$3:C734=$C735)*($A$3:A734&lt;$A735)),$AB$3:AB734),1000))</f>
        <v>0</v>
      </c>
      <c r="V735" s="120">
        <f t="shared" si="198"/>
        <v>0</v>
      </c>
      <c r="W735">
        <f t="shared" si="199"/>
        <v>0</v>
      </c>
      <c r="X735">
        <f t="shared" si="200"/>
        <v>0</v>
      </c>
      <c r="Y735">
        <f t="shared" si="201"/>
        <v>0</v>
      </c>
      <c r="Z735">
        <f t="shared" si="202"/>
        <v>0</v>
      </c>
      <c r="AA735">
        <f>IF($D735="",0,IF($F735&lt;2,0,IF($E735="Win",('Guide &amp; Settings'!$C$42/(($F735-1)*COUNTIFS($A$4:$A$810,$A735,$E$4:$E$810,"Win")))*SUMIFS($Z$4:$Z$810,$A$4:$A$810,$A735,$E$4:$E$810,"Loss"),-('Guide &amp; Settings'!$C$42/($F735-1))*$Z735)))</f>
        <v>0</v>
      </c>
      <c r="AB735" s="120">
        <f t="shared" si="203"/>
        <v>0</v>
      </c>
      <c r="AC735" s="120" t="str">
        <f>IF($D735="","",IF(SUMPRODUCT(MAX(($D$4:$D$810=$D735)*($B$4:$B$810&lt;$B735)*$B$4:$B$810))=0,0,MAX(($B735-MAX(SUMPRODUCT(MAX(($D$4:$D$810=$D735)*($B$4:$B$810&lt;$B735)*$B$4:$B$810)),'Guide &amp; Settings'!$C$50))/7-'Guide &amp; Settings'!$C$48,0)*'Guide &amp; Settings'!$C$49))</f>
        <v/>
      </c>
    </row>
    <row r="736" spans="1:29" x14ac:dyDescent="0.2">
      <c r="A736" s="111"/>
      <c r="B736" s="112"/>
      <c r="C736" s="113"/>
      <c r="D736" s="113"/>
      <c r="E736" s="111"/>
      <c r="F736" s="114">
        <f t="shared" si="187"/>
        <v>0</v>
      </c>
      <c r="G736" s="115" t="str">
        <f t="shared" si="188"/>
        <v/>
      </c>
      <c r="H736" s="116">
        <f>IF($D736="",0,IFERROR(LOOKUP(2,1/(($D$3:D735=$D736)*($A$3:A735&lt;$A736)),$N$3:N735),'Guide &amp; Settings'!$C$41))</f>
        <v>0</v>
      </c>
      <c r="I736" s="117">
        <f t="shared" si="189"/>
        <v>0</v>
      </c>
      <c r="J736" s="118">
        <f>IF($D736="",0,IF($F736&lt;2,0,IF($E736="Win",('Guide &amp; Settings'!$C$42/(($F736-1)*COUNTIFS($A$4:$A$810,$A736,$E$4:$E$810,"Win")))*SUMIFS($X$4:$X$810,$A$4:$A$810,$A736,$E$4:$E$810,"Loss"),-('Guide &amp; Settings'!$C$42/($F736-1))*$X736)))</f>
        <v>0</v>
      </c>
      <c r="K736" s="118">
        <f>IF($D736="",0,'Guide &amp; Settings'!$C$43*(IF($E736="Win",1,0)-$I736))</f>
        <v>0</v>
      </c>
      <c r="L736" s="119">
        <f>IF($D736="",0,'Guide &amp; Settings'!$C$44*IF($F736&gt;=3,$F736,0))</f>
        <v>0</v>
      </c>
      <c r="M736" s="118">
        <f t="shared" si="190"/>
        <v>0</v>
      </c>
      <c r="N736" s="116">
        <f t="shared" si="191"/>
        <v>0</v>
      </c>
      <c r="O736" s="115" t="str">
        <f t="shared" si="192"/>
        <v/>
      </c>
      <c r="P736">
        <f t="shared" si="193"/>
        <v>0</v>
      </c>
      <c r="Q736">
        <f t="shared" si="194"/>
        <v>0</v>
      </c>
      <c r="R736">
        <f t="shared" si="195"/>
        <v>0</v>
      </c>
      <c r="S736">
        <f t="shared" si="196"/>
        <v>0</v>
      </c>
      <c r="T736" s="83">
        <f t="shared" si="197"/>
        <v>0</v>
      </c>
      <c r="U736" s="120">
        <f>IF($D736="",0,IFERROR(LOOKUP(2,1/(($D$3:D735=$D736)*($C$3:C735=$C736)*($A$3:A735&lt;$A736)),$AB$3:AB735),1000))</f>
        <v>0</v>
      </c>
      <c r="V736" s="120">
        <f t="shared" si="198"/>
        <v>0</v>
      </c>
      <c r="W736">
        <f t="shared" si="199"/>
        <v>0</v>
      </c>
      <c r="X736">
        <f t="shared" si="200"/>
        <v>0</v>
      </c>
      <c r="Y736">
        <f t="shared" si="201"/>
        <v>0</v>
      </c>
      <c r="Z736">
        <f t="shared" si="202"/>
        <v>0</v>
      </c>
      <c r="AA736">
        <f>IF($D736="",0,IF($F736&lt;2,0,IF($E736="Win",('Guide &amp; Settings'!$C$42/(($F736-1)*COUNTIFS($A$4:$A$810,$A736,$E$4:$E$810,"Win")))*SUMIFS($Z$4:$Z$810,$A$4:$A$810,$A736,$E$4:$E$810,"Loss"),-('Guide &amp; Settings'!$C$42/($F736-1))*$Z736)))</f>
        <v>0</v>
      </c>
      <c r="AB736" s="120">
        <f t="shared" si="203"/>
        <v>0</v>
      </c>
      <c r="AC736" s="120" t="str">
        <f>IF($D736="","",IF(SUMPRODUCT(MAX(($D$4:$D$810=$D736)*($B$4:$B$810&lt;$B736)*$B$4:$B$810))=0,0,MAX(($B736-MAX(SUMPRODUCT(MAX(($D$4:$D$810=$D736)*($B$4:$B$810&lt;$B736)*$B$4:$B$810)),'Guide &amp; Settings'!$C$50))/7-'Guide &amp; Settings'!$C$48,0)*'Guide &amp; Settings'!$C$49))</f>
        <v/>
      </c>
    </row>
    <row r="737" spans="1:29" x14ac:dyDescent="0.2">
      <c r="A737" s="111"/>
      <c r="B737" s="112"/>
      <c r="C737" s="113"/>
      <c r="D737" s="113"/>
      <c r="E737" s="111"/>
      <c r="F737" s="114">
        <f t="shared" si="187"/>
        <v>0</v>
      </c>
      <c r="G737" s="115" t="str">
        <f t="shared" si="188"/>
        <v/>
      </c>
      <c r="H737" s="116">
        <f>IF($D737="",0,IFERROR(LOOKUP(2,1/(($D$3:D736=$D737)*($A$3:A736&lt;$A737)),$N$3:N736),'Guide &amp; Settings'!$C$41))</f>
        <v>0</v>
      </c>
      <c r="I737" s="117">
        <f t="shared" si="189"/>
        <v>0</v>
      </c>
      <c r="J737" s="118">
        <f>IF($D737="",0,IF($F737&lt;2,0,IF($E737="Win",('Guide &amp; Settings'!$C$42/(($F737-1)*COUNTIFS($A$4:$A$810,$A737,$E$4:$E$810,"Win")))*SUMIFS($X$4:$X$810,$A$4:$A$810,$A737,$E$4:$E$810,"Loss"),-('Guide &amp; Settings'!$C$42/($F737-1))*$X737)))</f>
        <v>0</v>
      </c>
      <c r="K737" s="118">
        <f>IF($D737="",0,'Guide &amp; Settings'!$C$43*(IF($E737="Win",1,0)-$I737))</f>
        <v>0</v>
      </c>
      <c r="L737" s="119">
        <f>IF($D737="",0,'Guide &amp; Settings'!$C$44*IF($F737&gt;=3,$F737,0))</f>
        <v>0</v>
      </c>
      <c r="M737" s="118">
        <f t="shared" si="190"/>
        <v>0</v>
      </c>
      <c r="N737" s="116">
        <f t="shared" si="191"/>
        <v>0</v>
      </c>
      <c r="O737" s="115" t="str">
        <f t="shared" si="192"/>
        <v/>
      </c>
      <c r="P737">
        <f t="shared" si="193"/>
        <v>0</v>
      </c>
      <c r="Q737">
        <f t="shared" si="194"/>
        <v>0</v>
      </c>
      <c r="R737">
        <f t="shared" si="195"/>
        <v>0</v>
      </c>
      <c r="S737">
        <f t="shared" si="196"/>
        <v>0</v>
      </c>
      <c r="T737" s="83">
        <f t="shared" si="197"/>
        <v>0</v>
      </c>
      <c r="U737" s="120">
        <f>IF($D737="",0,IFERROR(LOOKUP(2,1/(($D$3:D736=$D737)*($C$3:C736=$C737)*($A$3:A736&lt;$A737)),$AB$3:AB736),1000))</f>
        <v>0</v>
      </c>
      <c r="V737" s="120">
        <f t="shared" si="198"/>
        <v>0</v>
      </c>
      <c r="W737">
        <f t="shared" si="199"/>
        <v>0</v>
      </c>
      <c r="X737">
        <f t="shared" si="200"/>
        <v>0</v>
      </c>
      <c r="Y737">
        <f t="shared" si="201"/>
        <v>0</v>
      </c>
      <c r="Z737">
        <f t="shared" si="202"/>
        <v>0</v>
      </c>
      <c r="AA737">
        <f>IF($D737="",0,IF($F737&lt;2,0,IF($E737="Win",('Guide &amp; Settings'!$C$42/(($F737-1)*COUNTIFS($A$4:$A$810,$A737,$E$4:$E$810,"Win")))*SUMIFS($Z$4:$Z$810,$A$4:$A$810,$A737,$E$4:$E$810,"Loss"),-('Guide &amp; Settings'!$C$42/($F737-1))*$Z737)))</f>
        <v>0</v>
      </c>
      <c r="AB737" s="120">
        <f t="shared" si="203"/>
        <v>0</v>
      </c>
      <c r="AC737" s="120" t="str">
        <f>IF($D737="","",IF(SUMPRODUCT(MAX(($D$4:$D$810=$D737)*($B$4:$B$810&lt;$B737)*$B$4:$B$810))=0,0,MAX(($B737-MAX(SUMPRODUCT(MAX(($D$4:$D$810=$D737)*($B$4:$B$810&lt;$B737)*$B$4:$B$810)),'Guide &amp; Settings'!$C$50))/7-'Guide &amp; Settings'!$C$48,0)*'Guide &amp; Settings'!$C$49))</f>
        <v/>
      </c>
    </row>
    <row r="738" spans="1:29" x14ac:dyDescent="0.2">
      <c r="A738" s="111"/>
      <c r="B738" s="112"/>
      <c r="C738" s="113"/>
      <c r="D738" s="113"/>
      <c r="E738" s="111"/>
      <c r="F738" s="114">
        <f t="shared" si="187"/>
        <v>0</v>
      </c>
      <c r="G738" s="115" t="str">
        <f t="shared" si="188"/>
        <v/>
      </c>
      <c r="H738" s="116">
        <f>IF($D738="",0,IFERROR(LOOKUP(2,1/(($D$3:D737=$D738)*($A$3:A737&lt;$A738)),$N$3:N737),'Guide &amp; Settings'!$C$41))</f>
        <v>0</v>
      </c>
      <c r="I738" s="117">
        <f t="shared" si="189"/>
        <v>0</v>
      </c>
      <c r="J738" s="118">
        <f>IF($D738="",0,IF($F738&lt;2,0,IF($E738="Win",('Guide &amp; Settings'!$C$42/(($F738-1)*COUNTIFS($A$4:$A$810,$A738,$E$4:$E$810,"Win")))*SUMIFS($X$4:$X$810,$A$4:$A$810,$A738,$E$4:$E$810,"Loss"),-('Guide &amp; Settings'!$C$42/($F738-1))*$X738)))</f>
        <v>0</v>
      </c>
      <c r="K738" s="118">
        <f>IF($D738="",0,'Guide &amp; Settings'!$C$43*(IF($E738="Win",1,0)-$I738))</f>
        <v>0</v>
      </c>
      <c r="L738" s="119">
        <f>IF($D738="",0,'Guide &amp; Settings'!$C$44*IF($F738&gt;=3,$F738,0))</f>
        <v>0</v>
      </c>
      <c r="M738" s="118">
        <f t="shared" si="190"/>
        <v>0</v>
      </c>
      <c r="N738" s="116">
        <f t="shared" si="191"/>
        <v>0</v>
      </c>
      <c r="O738" s="115" t="str">
        <f t="shared" si="192"/>
        <v/>
      </c>
      <c r="P738">
        <f t="shared" si="193"/>
        <v>0</v>
      </c>
      <c r="Q738">
        <f t="shared" si="194"/>
        <v>0</v>
      </c>
      <c r="R738">
        <f t="shared" si="195"/>
        <v>0</v>
      </c>
      <c r="S738">
        <f t="shared" si="196"/>
        <v>0</v>
      </c>
      <c r="T738" s="83">
        <f t="shared" si="197"/>
        <v>0</v>
      </c>
      <c r="U738" s="120">
        <f>IF($D738="",0,IFERROR(LOOKUP(2,1/(($D$3:D737=$D738)*($C$3:C737=$C738)*($A$3:A737&lt;$A738)),$AB$3:AB737),1000))</f>
        <v>0</v>
      </c>
      <c r="V738" s="120">
        <f t="shared" si="198"/>
        <v>0</v>
      </c>
      <c r="W738">
        <f t="shared" si="199"/>
        <v>0</v>
      </c>
      <c r="X738">
        <f t="shared" si="200"/>
        <v>0</v>
      </c>
      <c r="Y738">
        <f t="shared" si="201"/>
        <v>0</v>
      </c>
      <c r="Z738">
        <f t="shared" si="202"/>
        <v>0</v>
      </c>
      <c r="AA738">
        <f>IF($D738="",0,IF($F738&lt;2,0,IF($E738="Win",('Guide &amp; Settings'!$C$42/(($F738-1)*COUNTIFS($A$4:$A$810,$A738,$E$4:$E$810,"Win")))*SUMIFS($Z$4:$Z$810,$A$4:$A$810,$A738,$E$4:$E$810,"Loss"),-('Guide &amp; Settings'!$C$42/($F738-1))*$Z738)))</f>
        <v>0</v>
      </c>
      <c r="AB738" s="120">
        <f t="shared" si="203"/>
        <v>0</v>
      </c>
      <c r="AC738" s="120" t="str">
        <f>IF($D738="","",IF(SUMPRODUCT(MAX(($D$4:$D$810=$D738)*($B$4:$B$810&lt;$B738)*$B$4:$B$810))=0,0,MAX(($B738-MAX(SUMPRODUCT(MAX(($D$4:$D$810=$D738)*($B$4:$B$810&lt;$B738)*$B$4:$B$810)),'Guide &amp; Settings'!$C$50))/7-'Guide &amp; Settings'!$C$48,0)*'Guide &amp; Settings'!$C$49))</f>
        <v/>
      </c>
    </row>
    <row r="739" spans="1:29" x14ac:dyDescent="0.2">
      <c r="A739" s="111"/>
      <c r="B739" s="112"/>
      <c r="C739" s="113"/>
      <c r="D739" s="113"/>
      <c r="E739" s="111"/>
      <c r="F739" s="114">
        <f t="shared" si="187"/>
        <v>0</v>
      </c>
      <c r="G739" s="115" t="str">
        <f t="shared" si="188"/>
        <v/>
      </c>
      <c r="H739" s="116">
        <f>IF($D739="",0,IFERROR(LOOKUP(2,1/(($D$3:D738=$D739)*($A$3:A738&lt;$A739)),$N$3:N738),'Guide &amp; Settings'!$C$41))</f>
        <v>0</v>
      </c>
      <c r="I739" s="117">
        <f t="shared" si="189"/>
        <v>0</v>
      </c>
      <c r="J739" s="118">
        <f>IF($D739="",0,IF($F739&lt;2,0,IF($E739="Win",('Guide &amp; Settings'!$C$42/(($F739-1)*COUNTIFS($A$4:$A$810,$A739,$E$4:$E$810,"Win")))*SUMIFS($X$4:$X$810,$A$4:$A$810,$A739,$E$4:$E$810,"Loss"),-('Guide &amp; Settings'!$C$42/($F739-1))*$X739)))</f>
        <v>0</v>
      </c>
      <c r="K739" s="118">
        <f>IF($D739="",0,'Guide &amp; Settings'!$C$43*(IF($E739="Win",1,0)-$I739))</f>
        <v>0</v>
      </c>
      <c r="L739" s="119">
        <f>IF($D739="",0,'Guide &amp; Settings'!$C$44*IF($F739&gt;=3,$F739,0))</f>
        <v>0</v>
      </c>
      <c r="M739" s="118">
        <f t="shared" si="190"/>
        <v>0</v>
      </c>
      <c r="N739" s="116">
        <f t="shared" si="191"/>
        <v>0</v>
      </c>
      <c r="O739" s="115" t="str">
        <f t="shared" si="192"/>
        <v/>
      </c>
      <c r="P739">
        <f t="shared" si="193"/>
        <v>0</v>
      </c>
      <c r="Q739">
        <f t="shared" si="194"/>
        <v>0</v>
      </c>
      <c r="R739">
        <f t="shared" si="195"/>
        <v>0</v>
      </c>
      <c r="S739">
        <f t="shared" si="196"/>
        <v>0</v>
      </c>
      <c r="T739" s="83">
        <f t="shared" si="197"/>
        <v>0</v>
      </c>
      <c r="U739" s="120">
        <f>IF($D739="",0,IFERROR(LOOKUP(2,1/(($D$3:D738=$D739)*($C$3:C738=$C739)*($A$3:A738&lt;$A739)),$AB$3:AB738),1000))</f>
        <v>0</v>
      </c>
      <c r="V739" s="120">
        <f t="shared" si="198"/>
        <v>0</v>
      </c>
      <c r="W739">
        <f t="shared" si="199"/>
        <v>0</v>
      </c>
      <c r="X739">
        <f t="shared" si="200"/>
        <v>0</v>
      </c>
      <c r="Y739">
        <f t="shared" si="201"/>
        <v>0</v>
      </c>
      <c r="Z739">
        <f t="shared" si="202"/>
        <v>0</v>
      </c>
      <c r="AA739">
        <f>IF($D739="",0,IF($F739&lt;2,0,IF($E739="Win",('Guide &amp; Settings'!$C$42/(($F739-1)*COUNTIFS($A$4:$A$810,$A739,$E$4:$E$810,"Win")))*SUMIFS($Z$4:$Z$810,$A$4:$A$810,$A739,$E$4:$E$810,"Loss"),-('Guide &amp; Settings'!$C$42/($F739-1))*$Z739)))</f>
        <v>0</v>
      </c>
      <c r="AB739" s="120">
        <f t="shared" si="203"/>
        <v>0</v>
      </c>
      <c r="AC739" s="120" t="str">
        <f>IF($D739="","",IF(SUMPRODUCT(MAX(($D$4:$D$810=$D739)*($B$4:$B$810&lt;$B739)*$B$4:$B$810))=0,0,MAX(($B739-MAX(SUMPRODUCT(MAX(($D$4:$D$810=$D739)*($B$4:$B$810&lt;$B739)*$B$4:$B$810)),'Guide &amp; Settings'!$C$50))/7-'Guide &amp; Settings'!$C$48,0)*'Guide &amp; Settings'!$C$49))</f>
        <v/>
      </c>
    </row>
    <row r="740" spans="1:29" x14ac:dyDescent="0.2">
      <c r="A740" s="111"/>
      <c r="B740" s="112"/>
      <c r="C740" s="113"/>
      <c r="D740" s="113"/>
      <c r="E740" s="111"/>
      <c r="F740" s="114">
        <f t="shared" si="187"/>
        <v>0</v>
      </c>
      <c r="G740" s="115" t="str">
        <f t="shared" si="188"/>
        <v/>
      </c>
      <c r="H740" s="116">
        <f>IF($D740="",0,IFERROR(LOOKUP(2,1/(($D$3:D739=$D740)*($A$3:A739&lt;$A740)),$N$3:N739),'Guide &amp; Settings'!$C$41))</f>
        <v>0</v>
      </c>
      <c r="I740" s="117">
        <f t="shared" si="189"/>
        <v>0</v>
      </c>
      <c r="J740" s="118">
        <f>IF($D740="",0,IF($F740&lt;2,0,IF($E740="Win",('Guide &amp; Settings'!$C$42/(($F740-1)*COUNTIFS($A$4:$A$810,$A740,$E$4:$E$810,"Win")))*SUMIFS($X$4:$X$810,$A$4:$A$810,$A740,$E$4:$E$810,"Loss"),-('Guide &amp; Settings'!$C$42/($F740-1))*$X740)))</f>
        <v>0</v>
      </c>
      <c r="K740" s="118">
        <f>IF($D740="",0,'Guide &amp; Settings'!$C$43*(IF($E740="Win",1,0)-$I740))</f>
        <v>0</v>
      </c>
      <c r="L740" s="119">
        <f>IF($D740="",0,'Guide &amp; Settings'!$C$44*IF($F740&gt;=3,$F740,0))</f>
        <v>0</v>
      </c>
      <c r="M740" s="118">
        <f t="shared" si="190"/>
        <v>0</v>
      </c>
      <c r="N740" s="116">
        <f t="shared" si="191"/>
        <v>0</v>
      </c>
      <c r="O740" s="115" t="str">
        <f t="shared" si="192"/>
        <v/>
      </c>
      <c r="P740">
        <f t="shared" si="193"/>
        <v>0</v>
      </c>
      <c r="Q740">
        <f t="shared" si="194"/>
        <v>0</v>
      </c>
      <c r="R740">
        <f t="shared" si="195"/>
        <v>0</v>
      </c>
      <c r="S740">
        <f t="shared" si="196"/>
        <v>0</v>
      </c>
      <c r="T740" s="83">
        <f t="shared" si="197"/>
        <v>0</v>
      </c>
      <c r="U740" s="120">
        <f>IF($D740="",0,IFERROR(LOOKUP(2,1/(($D$3:D739=$D740)*($C$3:C739=$C740)*($A$3:A739&lt;$A740)),$AB$3:AB739),1000))</f>
        <v>0</v>
      </c>
      <c r="V740" s="120">
        <f t="shared" si="198"/>
        <v>0</v>
      </c>
      <c r="W740">
        <f t="shared" si="199"/>
        <v>0</v>
      </c>
      <c r="X740">
        <f t="shared" si="200"/>
        <v>0</v>
      </c>
      <c r="Y740">
        <f t="shared" si="201"/>
        <v>0</v>
      </c>
      <c r="Z740">
        <f t="shared" si="202"/>
        <v>0</v>
      </c>
      <c r="AA740">
        <f>IF($D740="",0,IF($F740&lt;2,0,IF($E740="Win",('Guide &amp; Settings'!$C$42/(($F740-1)*COUNTIFS($A$4:$A$810,$A740,$E$4:$E$810,"Win")))*SUMIFS($Z$4:$Z$810,$A$4:$A$810,$A740,$E$4:$E$810,"Loss"),-('Guide &amp; Settings'!$C$42/($F740-1))*$Z740)))</f>
        <v>0</v>
      </c>
      <c r="AB740" s="120">
        <f t="shared" si="203"/>
        <v>0</v>
      </c>
      <c r="AC740" s="120" t="str">
        <f>IF($D740="","",IF(SUMPRODUCT(MAX(($D$4:$D$810=$D740)*($B$4:$B$810&lt;$B740)*$B$4:$B$810))=0,0,MAX(($B740-MAX(SUMPRODUCT(MAX(($D$4:$D$810=$D740)*($B$4:$B$810&lt;$B740)*$B$4:$B$810)),'Guide &amp; Settings'!$C$50))/7-'Guide &amp; Settings'!$C$48,0)*'Guide &amp; Settings'!$C$49))</f>
        <v/>
      </c>
    </row>
    <row r="741" spans="1:29" x14ac:dyDescent="0.2">
      <c r="A741" s="111"/>
      <c r="B741" s="112"/>
      <c r="C741" s="113"/>
      <c r="D741" s="113"/>
      <c r="E741" s="111"/>
      <c r="F741" s="114">
        <f t="shared" si="187"/>
        <v>0</v>
      </c>
      <c r="G741" s="115" t="str">
        <f t="shared" si="188"/>
        <v/>
      </c>
      <c r="H741" s="116">
        <f>IF($D741="",0,IFERROR(LOOKUP(2,1/(($D$3:D740=$D741)*($A$3:A740&lt;$A741)),$N$3:N740),'Guide &amp; Settings'!$C$41))</f>
        <v>0</v>
      </c>
      <c r="I741" s="117">
        <f t="shared" si="189"/>
        <v>0</v>
      </c>
      <c r="J741" s="118">
        <f>IF($D741="",0,IF($F741&lt;2,0,IF($E741="Win",('Guide &amp; Settings'!$C$42/(($F741-1)*COUNTIFS($A$4:$A$810,$A741,$E$4:$E$810,"Win")))*SUMIFS($X$4:$X$810,$A$4:$A$810,$A741,$E$4:$E$810,"Loss"),-('Guide &amp; Settings'!$C$42/($F741-1))*$X741)))</f>
        <v>0</v>
      </c>
      <c r="K741" s="118">
        <f>IF($D741="",0,'Guide &amp; Settings'!$C$43*(IF($E741="Win",1,0)-$I741))</f>
        <v>0</v>
      </c>
      <c r="L741" s="119">
        <f>IF($D741="",0,'Guide &amp; Settings'!$C$44*IF($F741&gt;=3,$F741,0))</f>
        <v>0</v>
      </c>
      <c r="M741" s="118">
        <f t="shared" si="190"/>
        <v>0</v>
      </c>
      <c r="N741" s="116">
        <f t="shared" si="191"/>
        <v>0</v>
      </c>
      <c r="O741" s="115" t="str">
        <f t="shared" si="192"/>
        <v/>
      </c>
      <c r="P741">
        <f t="shared" si="193"/>
        <v>0</v>
      </c>
      <c r="Q741">
        <f t="shared" si="194"/>
        <v>0</v>
      </c>
      <c r="R741">
        <f t="shared" si="195"/>
        <v>0</v>
      </c>
      <c r="S741">
        <f t="shared" si="196"/>
        <v>0</v>
      </c>
      <c r="T741" s="83">
        <f t="shared" si="197"/>
        <v>0</v>
      </c>
      <c r="U741" s="120">
        <f>IF($D741="",0,IFERROR(LOOKUP(2,1/(($D$3:D740=$D741)*($C$3:C740=$C741)*($A$3:A740&lt;$A741)),$AB$3:AB740),1000))</f>
        <v>0</v>
      </c>
      <c r="V741" s="120">
        <f t="shared" si="198"/>
        <v>0</v>
      </c>
      <c r="W741">
        <f t="shared" si="199"/>
        <v>0</v>
      </c>
      <c r="X741">
        <f t="shared" si="200"/>
        <v>0</v>
      </c>
      <c r="Y741">
        <f t="shared" si="201"/>
        <v>0</v>
      </c>
      <c r="Z741">
        <f t="shared" si="202"/>
        <v>0</v>
      </c>
      <c r="AA741">
        <f>IF($D741="",0,IF($F741&lt;2,0,IF($E741="Win",('Guide &amp; Settings'!$C$42/(($F741-1)*COUNTIFS($A$4:$A$810,$A741,$E$4:$E$810,"Win")))*SUMIFS($Z$4:$Z$810,$A$4:$A$810,$A741,$E$4:$E$810,"Loss"),-('Guide &amp; Settings'!$C$42/($F741-1))*$Z741)))</f>
        <v>0</v>
      </c>
      <c r="AB741" s="120">
        <f t="shared" si="203"/>
        <v>0</v>
      </c>
      <c r="AC741" s="120" t="str">
        <f>IF($D741="","",IF(SUMPRODUCT(MAX(($D$4:$D$810=$D741)*($B$4:$B$810&lt;$B741)*$B$4:$B$810))=0,0,MAX(($B741-MAX(SUMPRODUCT(MAX(($D$4:$D$810=$D741)*($B$4:$B$810&lt;$B741)*$B$4:$B$810)),'Guide &amp; Settings'!$C$50))/7-'Guide &amp; Settings'!$C$48,0)*'Guide &amp; Settings'!$C$49))</f>
        <v/>
      </c>
    </row>
    <row r="742" spans="1:29" x14ac:dyDescent="0.2">
      <c r="A742" s="111"/>
      <c r="B742" s="112"/>
      <c r="C742" s="113"/>
      <c r="D742" s="113"/>
      <c r="E742" s="111"/>
      <c r="F742" s="114">
        <f t="shared" si="187"/>
        <v>0</v>
      </c>
      <c r="G742" s="115" t="str">
        <f t="shared" si="188"/>
        <v/>
      </c>
      <c r="H742" s="116">
        <f>IF($D742="",0,IFERROR(LOOKUP(2,1/(($D$3:D741=$D742)*($A$3:A741&lt;$A742)),$N$3:N741),'Guide &amp; Settings'!$C$41))</f>
        <v>0</v>
      </c>
      <c r="I742" s="117">
        <f t="shared" si="189"/>
        <v>0</v>
      </c>
      <c r="J742" s="118">
        <f>IF($D742="",0,IF($F742&lt;2,0,IF($E742="Win",('Guide &amp; Settings'!$C$42/(($F742-1)*COUNTIFS($A$4:$A$810,$A742,$E$4:$E$810,"Win")))*SUMIFS($X$4:$X$810,$A$4:$A$810,$A742,$E$4:$E$810,"Loss"),-('Guide &amp; Settings'!$C$42/($F742-1))*$X742)))</f>
        <v>0</v>
      </c>
      <c r="K742" s="118">
        <f>IF($D742="",0,'Guide &amp; Settings'!$C$43*(IF($E742="Win",1,0)-$I742))</f>
        <v>0</v>
      </c>
      <c r="L742" s="119">
        <f>IF($D742="",0,'Guide &amp; Settings'!$C$44*IF($F742&gt;=3,$F742,0))</f>
        <v>0</v>
      </c>
      <c r="M742" s="118">
        <f t="shared" si="190"/>
        <v>0</v>
      </c>
      <c r="N742" s="116">
        <f t="shared" si="191"/>
        <v>0</v>
      </c>
      <c r="O742" s="115" t="str">
        <f t="shared" si="192"/>
        <v/>
      </c>
      <c r="P742">
        <f t="shared" si="193"/>
        <v>0</v>
      </c>
      <c r="Q742">
        <f t="shared" si="194"/>
        <v>0</v>
      </c>
      <c r="R742">
        <f t="shared" si="195"/>
        <v>0</v>
      </c>
      <c r="S742">
        <f t="shared" si="196"/>
        <v>0</v>
      </c>
      <c r="T742" s="83">
        <f t="shared" si="197"/>
        <v>0</v>
      </c>
      <c r="U742" s="120">
        <f>IF($D742="",0,IFERROR(LOOKUP(2,1/(($D$3:D741=$D742)*($C$3:C741=$C742)*($A$3:A741&lt;$A742)),$AB$3:AB741),1000))</f>
        <v>0</v>
      </c>
      <c r="V742" s="120">
        <f t="shared" si="198"/>
        <v>0</v>
      </c>
      <c r="W742">
        <f t="shared" si="199"/>
        <v>0</v>
      </c>
      <c r="X742">
        <f t="shared" si="200"/>
        <v>0</v>
      </c>
      <c r="Y742">
        <f t="shared" si="201"/>
        <v>0</v>
      </c>
      <c r="Z742">
        <f t="shared" si="202"/>
        <v>0</v>
      </c>
      <c r="AA742">
        <f>IF($D742="",0,IF($F742&lt;2,0,IF($E742="Win",('Guide &amp; Settings'!$C$42/(($F742-1)*COUNTIFS($A$4:$A$810,$A742,$E$4:$E$810,"Win")))*SUMIFS($Z$4:$Z$810,$A$4:$A$810,$A742,$E$4:$E$810,"Loss"),-('Guide &amp; Settings'!$C$42/($F742-1))*$Z742)))</f>
        <v>0</v>
      </c>
      <c r="AB742" s="120">
        <f t="shared" si="203"/>
        <v>0</v>
      </c>
      <c r="AC742" s="120" t="str">
        <f>IF($D742="","",IF(SUMPRODUCT(MAX(($D$4:$D$810=$D742)*($B$4:$B$810&lt;$B742)*$B$4:$B$810))=0,0,MAX(($B742-MAX(SUMPRODUCT(MAX(($D$4:$D$810=$D742)*($B$4:$B$810&lt;$B742)*$B$4:$B$810)),'Guide &amp; Settings'!$C$50))/7-'Guide &amp; Settings'!$C$48,0)*'Guide &amp; Settings'!$C$49))</f>
        <v/>
      </c>
    </row>
    <row r="743" spans="1:29" x14ac:dyDescent="0.2">
      <c r="A743" s="111"/>
      <c r="B743" s="112"/>
      <c r="C743" s="113"/>
      <c r="D743" s="113"/>
      <c r="E743" s="111"/>
      <c r="F743" s="114">
        <f t="shared" si="187"/>
        <v>0</v>
      </c>
      <c r="G743" s="115" t="str">
        <f t="shared" si="188"/>
        <v/>
      </c>
      <c r="H743" s="116">
        <f>IF($D743="",0,IFERROR(LOOKUP(2,1/(($D$3:D742=$D743)*($A$3:A742&lt;$A743)),$N$3:N742),'Guide &amp; Settings'!$C$41))</f>
        <v>0</v>
      </c>
      <c r="I743" s="117">
        <f t="shared" si="189"/>
        <v>0</v>
      </c>
      <c r="J743" s="118">
        <f>IF($D743="",0,IF($F743&lt;2,0,IF($E743="Win",('Guide &amp; Settings'!$C$42/(($F743-1)*COUNTIFS($A$4:$A$810,$A743,$E$4:$E$810,"Win")))*SUMIFS($X$4:$X$810,$A$4:$A$810,$A743,$E$4:$E$810,"Loss"),-('Guide &amp; Settings'!$C$42/($F743-1))*$X743)))</f>
        <v>0</v>
      </c>
      <c r="K743" s="118">
        <f>IF($D743="",0,'Guide &amp; Settings'!$C$43*(IF($E743="Win",1,0)-$I743))</f>
        <v>0</v>
      </c>
      <c r="L743" s="119">
        <f>IF($D743="",0,'Guide &amp; Settings'!$C$44*IF($F743&gt;=3,$F743,0))</f>
        <v>0</v>
      </c>
      <c r="M743" s="118">
        <f t="shared" si="190"/>
        <v>0</v>
      </c>
      <c r="N743" s="116">
        <f t="shared" si="191"/>
        <v>0</v>
      </c>
      <c r="O743" s="115" t="str">
        <f t="shared" si="192"/>
        <v/>
      </c>
      <c r="P743">
        <f t="shared" si="193"/>
        <v>0</v>
      </c>
      <c r="Q743">
        <f t="shared" si="194"/>
        <v>0</v>
      </c>
      <c r="R743">
        <f t="shared" si="195"/>
        <v>0</v>
      </c>
      <c r="S743">
        <f t="shared" si="196"/>
        <v>0</v>
      </c>
      <c r="T743" s="83">
        <f t="shared" si="197"/>
        <v>0</v>
      </c>
      <c r="U743" s="120">
        <f>IF($D743="",0,IFERROR(LOOKUP(2,1/(($D$3:D742=$D743)*($C$3:C742=$C743)*($A$3:A742&lt;$A743)),$AB$3:AB742),1000))</f>
        <v>0</v>
      </c>
      <c r="V743" s="120">
        <f t="shared" si="198"/>
        <v>0</v>
      </c>
      <c r="W743">
        <f t="shared" si="199"/>
        <v>0</v>
      </c>
      <c r="X743">
        <f t="shared" si="200"/>
        <v>0</v>
      </c>
      <c r="Y743">
        <f t="shared" si="201"/>
        <v>0</v>
      </c>
      <c r="Z743">
        <f t="shared" si="202"/>
        <v>0</v>
      </c>
      <c r="AA743">
        <f>IF($D743="",0,IF($F743&lt;2,0,IF($E743="Win",('Guide &amp; Settings'!$C$42/(($F743-1)*COUNTIFS($A$4:$A$810,$A743,$E$4:$E$810,"Win")))*SUMIFS($Z$4:$Z$810,$A$4:$A$810,$A743,$E$4:$E$810,"Loss"),-('Guide &amp; Settings'!$C$42/($F743-1))*$Z743)))</f>
        <v>0</v>
      </c>
      <c r="AB743" s="120">
        <f t="shared" si="203"/>
        <v>0</v>
      </c>
      <c r="AC743" s="120" t="str">
        <f>IF($D743="","",IF(SUMPRODUCT(MAX(($D$4:$D$810=$D743)*($B$4:$B$810&lt;$B743)*$B$4:$B$810))=0,0,MAX(($B743-MAX(SUMPRODUCT(MAX(($D$4:$D$810=$D743)*($B$4:$B$810&lt;$B743)*$B$4:$B$810)),'Guide &amp; Settings'!$C$50))/7-'Guide &amp; Settings'!$C$48,0)*'Guide &amp; Settings'!$C$49))</f>
        <v/>
      </c>
    </row>
    <row r="744" spans="1:29" x14ac:dyDescent="0.2">
      <c r="A744" s="111"/>
      <c r="B744" s="112"/>
      <c r="C744" s="113"/>
      <c r="D744" s="113"/>
      <c r="E744" s="111"/>
      <c r="F744" s="114">
        <f t="shared" si="187"/>
        <v>0</v>
      </c>
      <c r="G744" s="115" t="str">
        <f t="shared" si="188"/>
        <v/>
      </c>
      <c r="H744" s="116">
        <f>IF($D744="",0,IFERROR(LOOKUP(2,1/(($D$3:D743=$D744)*($A$3:A743&lt;$A744)),$N$3:N743),'Guide &amp; Settings'!$C$41))</f>
        <v>0</v>
      </c>
      <c r="I744" s="117">
        <f t="shared" si="189"/>
        <v>0</v>
      </c>
      <c r="J744" s="118">
        <f>IF($D744="",0,IF($F744&lt;2,0,IF($E744="Win",('Guide &amp; Settings'!$C$42/(($F744-1)*COUNTIFS($A$4:$A$810,$A744,$E$4:$E$810,"Win")))*SUMIFS($X$4:$X$810,$A$4:$A$810,$A744,$E$4:$E$810,"Loss"),-('Guide &amp; Settings'!$C$42/($F744-1))*$X744)))</f>
        <v>0</v>
      </c>
      <c r="K744" s="118">
        <f>IF($D744="",0,'Guide &amp; Settings'!$C$43*(IF($E744="Win",1,0)-$I744))</f>
        <v>0</v>
      </c>
      <c r="L744" s="119">
        <f>IF($D744="",0,'Guide &amp; Settings'!$C$44*IF($F744&gt;=3,$F744,0))</f>
        <v>0</v>
      </c>
      <c r="M744" s="118">
        <f t="shared" si="190"/>
        <v>0</v>
      </c>
      <c r="N744" s="116">
        <f t="shared" si="191"/>
        <v>0</v>
      </c>
      <c r="O744" s="115" t="str">
        <f t="shared" si="192"/>
        <v/>
      </c>
      <c r="P744">
        <f t="shared" si="193"/>
        <v>0</v>
      </c>
      <c r="Q744">
        <f t="shared" si="194"/>
        <v>0</v>
      </c>
      <c r="R744">
        <f t="shared" si="195"/>
        <v>0</v>
      </c>
      <c r="S744">
        <f t="shared" si="196"/>
        <v>0</v>
      </c>
      <c r="T744" s="83">
        <f t="shared" si="197"/>
        <v>0</v>
      </c>
      <c r="U744" s="120">
        <f>IF($D744="",0,IFERROR(LOOKUP(2,1/(($D$3:D743=$D744)*($C$3:C743=$C744)*($A$3:A743&lt;$A744)),$AB$3:AB743),1000))</f>
        <v>0</v>
      </c>
      <c r="V744" s="120">
        <f t="shared" si="198"/>
        <v>0</v>
      </c>
      <c r="W744">
        <f t="shared" si="199"/>
        <v>0</v>
      </c>
      <c r="X744">
        <f t="shared" si="200"/>
        <v>0</v>
      </c>
      <c r="Y744">
        <f t="shared" si="201"/>
        <v>0</v>
      </c>
      <c r="Z744">
        <f t="shared" si="202"/>
        <v>0</v>
      </c>
      <c r="AA744">
        <f>IF($D744="",0,IF($F744&lt;2,0,IF($E744="Win",('Guide &amp; Settings'!$C$42/(($F744-1)*COUNTIFS($A$4:$A$810,$A744,$E$4:$E$810,"Win")))*SUMIFS($Z$4:$Z$810,$A$4:$A$810,$A744,$E$4:$E$810,"Loss"),-('Guide &amp; Settings'!$C$42/($F744-1))*$Z744)))</f>
        <v>0</v>
      </c>
      <c r="AB744" s="120">
        <f t="shared" si="203"/>
        <v>0</v>
      </c>
      <c r="AC744" s="120" t="str">
        <f>IF($D744="","",IF(SUMPRODUCT(MAX(($D$4:$D$810=$D744)*($B$4:$B$810&lt;$B744)*$B$4:$B$810))=0,0,MAX(($B744-MAX(SUMPRODUCT(MAX(($D$4:$D$810=$D744)*($B$4:$B$810&lt;$B744)*$B$4:$B$810)),'Guide &amp; Settings'!$C$50))/7-'Guide &amp; Settings'!$C$48,0)*'Guide &amp; Settings'!$C$49))</f>
        <v/>
      </c>
    </row>
    <row r="745" spans="1:29" x14ac:dyDescent="0.2">
      <c r="A745" s="111"/>
      <c r="B745" s="112"/>
      <c r="C745" s="113"/>
      <c r="D745" s="113"/>
      <c r="E745" s="111"/>
      <c r="F745" s="114">
        <f t="shared" si="187"/>
        <v>0</v>
      </c>
      <c r="G745" s="115" t="str">
        <f t="shared" si="188"/>
        <v/>
      </c>
      <c r="H745" s="116">
        <f>IF($D745="",0,IFERROR(LOOKUP(2,1/(($D$3:D744=$D745)*($A$3:A744&lt;$A745)),$N$3:N744),'Guide &amp; Settings'!$C$41))</f>
        <v>0</v>
      </c>
      <c r="I745" s="117">
        <f t="shared" si="189"/>
        <v>0</v>
      </c>
      <c r="J745" s="118">
        <f>IF($D745="",0,IF($F745&lt;2,0,IF($E745="Win",('Guide &amp; Settings'!$C$42/(($F745-1)*COUNTIFS($A$4:$A$810,$A745,$E$4:$E$810,"Win")))*SUMIFS($X$4:$X$810,$A$4:$A$810,$A745,$E$4:$E$810,"Loss"),-('Guide &amp; Settings'!$C$42/($F745-1))*$X745)))</f>
        <v>0</v>
      </c>
      <c r="K745" s="118">
        <f>IF($D745="",0,'Guide &amp; Settings'!$C$43*(IF($E745="Win",1,0)-$I745))</f>
        <v>0</v>
      </c>
      <c r="L745" s="119">
        <f>IF($D745="",0,'Guide &amp; Settings'!$C$44*IF($F745&gt;=3,$F745,0))</f>
        <v>0</v>
      </c>
      <c r="M745" s="118">
        <f t="shared" si="190"/>
        <v>0</v>
      </c>
      <c r="N745" s="116">
        <f t="shared" si="191"/>
        <v>0</v>
      </c>
      <c r="O745" s="115" t="str">
        <f t="shared" si="192"/>
        <v/>
      </c>
      <c r="P745">
        <f t="shared" si="193"/>
        <v>0</v>
      </c>
      <c r="Q745">
        <f t="shared" si="194"/>
        <v>0</v>
      </c>
      <c r="R745">
        <f t="shared" si="195"/>
        <v>0</v>
      </c>
      <c r="S745">
        <f t="shared" si="196"/>
        <v>0</v>
      </c>
      <c r="T745" s="83">
        <f t="shared" si="197"/>
        <v>0</v>
      </c>
      <c r="U745" s="120">
        <f>IF($D745="",0,IFERROR(LOOKUP(2,1/(($D$3:D744=$D745)*($C$3:C744=$C745)*($A$3:A744&lt;$A745)),$AB$3:AB744),1000))</f>
        <v>0</v>
      </c>
      <c r="V745" s="120">
        <f t="shared" si="198"/>
        <v>0</v>
      </c>
      <c r="W745">
        <f t="shared" si="199"/>
        <v>0</v>
      </c>
      <c r="X745">
        <f t="shared" si="200"/>
        <v>0</v>
      </c>
      <c r="Y745">
        <f t="shared" si="201"/>
        <v>0</v>
      </c>
      <c r="Z745">
        <f t="shared" si="202"/>
        <v>0</v>
      </c>
      <c r="AA745">
        <f>IF($D745="",0,IF($F745&lt;2,0,IF($E745="Win",('Guide &amp; Settings'!$C$42/(($F745-1)*COUNTIFS($A$4:$A$810,$A745,$E$4:$E$810,"Win")))*SUMIFS($Z$4:$Z$810,$A$4:$A$810,$A745,$E$4:$E$810,"Loss"),-('Guide &amp; Settings'!$C$42/($F745-1))*$Z745)))</f>
        <v>0</v>
      </c>
      <c r="AB745" s="120">
        <f t="shared" si="203"/>
        <v>0</v>
      </c>
      <c r="AC745" s="120" t="str">
        <f>IF($D745="","",IF(SUMPRODUCT(MAX(($D$4:$D$810=$D745)*($B$4:$B$810&lt;$B745)*$B$4:$B$810))=0,0,MAX(($B745-MAX(SUMPRODUCT(MAX(($D$4:$D$810=$D745)*($B$4:$B$810&lt;$B745)*$B$4:$B$810)),'Guide &amp; Settings'!$C$50))/7-'Guide &amp; Settings'!$C$48,0)*'Guide &amp; Settings'!$C$49))</f>
        <v/>
      </c>
    </row>
    <row r="746" spans="1:29" x14ac:dyDescent="0.2">
      <c r="A746" s="111"/>
      <c r="B746" s="112"/>
      <c r="C746" s="113"/>
      <c r="D746" s="113"/>
      <c r="E746" s="111"/>
      <c r="F746" s="114">
        <f t="shared" si="187"/>
        <v>0</v>
      </c>
      <c r="G746" s="115" t="str">
        <f t="shared" si="188"/>
        <v/>
      </c>
      <c r="H746" s="116">
        <f>IF($D746="",0,IFERROR(LOOKUP(2,1/(($D$3:D745=$D746)*($A$3:A745&lt;$A746)),$N$3:N745),'Guide &amp; Settings'!$C$41))</f>
        <v>0</v>
      </c>
      <c r="I746" s="117">
        <f t="shared" si="189"/>
        <v>0</v>
      </c>
      <c r="J746" s="118">
        <f>IF($D746="",0,IF($F746&lt;2,0,IF($E746="Win",('Guide &amp; Settings'!$C$42/(($F746-1)*COUNTIFS($A$4:$A$810,$A746,$E$4:$E$810,"Win")))*SUMIFS($X$4:$X$810,$A$4:$A$810,$A746,$E$4:$E$810,"Loss"),-('Guide &amp; Settings'!$C$42/($F746-1))*$X746)))</f>
        <v>0</v>
      </c>
      <c r="K746" s="118">
        <f>IF($D746="",0,'Guide &amp; Settings'!$C$43*(IF($E746="Win",1,0)-$I746))</f>
        <v>0</v>
      </c>
      <c r="L746" s="119">
        <f>IF($D746="",0,'Guide &amp; Settings'!$C$44*IF($F746&gt;=3,$F746,0))</f>
        <v>0</v>
      </c>
      <c r="M746" s="118">
        <f t="shared" si="190"/>
        <v>0</v>
      </c>
      <c r="N746" s="116">
        <f t="shared" si="191"/>
        <v>0</v>
      </c>
      <c r="O746" s="115" t="str">
        <f t="shared" si="192"/>
        <v/>
      </c>
      <c r="P746">
        <f t="shared" si="193"/>
        <v>0</v>
      </c>
      <c r="Q746">
        <f t="shared" si="194"/>
        <v>0</v>
      </c>
      <c r="R746">
        <f t="shared" si="195"/>
        <v>0</v>
      </c>
      <c r="S746">
        <f t="shared" si="196"/>
        <v>0</v>
      </c>
      <c r="T746" s="83">
        <f t="shared" si="197"/>
        <v>0</v>
      </c>
      <c r="U746" s="120">
        <f>IF($D746="",0,IFERROR(LOOKUP(2,1/(($D$3:D745=$D746)*($C$3:C745=$C746)*($A$3:A745&lt;$A746)),$AB$3:AB745),1000))</f>
        <v>0</v>
      </c>
      <c r="V746" s="120">
        <f t="shared" si="198"/>
        <v>0</v>
      </c>
      <c r="W746">
        <f t="shared" si="199"/>
        <v>0</v>
      </c>
      <c r="X746">
        <f t="shared" si="200"/>
        <v>0</v>
      </c>
      <c r="Y746">
        <f t="shared" si="201"/>
        <v>0</v>
      </c>
      <c r="Z746">
        <f t="shared" si="202"/>
        <v>0</v>
      </c>
      <c r="AA746">
        <f>IF($D746="",0,IF($F746&lt;2,0,IF($E746="Win",('Guide &amp; Settings'!$C$42/(($F746-1)*COUNTIFS($A$4:$A$810,$A746,$E$4:$E$810,"Win")))*SUMIFS($Z$4:$Z$810,$A$4:$A$810,$A746,$E$4:$E$810,"Loss"),-('Guide &amp; Settings'!$C$42/($F746-1))*$Z746)))</f>
        <v>0</v>
      </c>
      <c r="AB746" s="120">
        <f t="shared" si="203"/>
        <v>0</v>
      </c>
      <c r="AC746" s="120" t="str">
        <f>IF($D746="","",IF(SUMPRODUCT(MAX(($D$4:$D$810=$D746)*($B$4:$B$810&lt;$B746)*$B$4:$B$810))=0,0,MAX(($B746-MAX(SUMPRODUCT(MAX(($D$4:$D$810=$D746)*($B$4:$B$810&lt;$B746)*$B$4:$B$810)),'Guide &amp; Settings'!$C$50))/7-'Guide &amp; Settings'!$C$48,0)*'Guide &amp; Settings'!$C$49))</f>
        <v/>
      </c>
    </row>
    <row r="747" spans="1:29" x14ac:dyDescent="0.2">
      <c r="A747" s="111"/>
      <c r="B747" s="112"/>
      <c r="C747" s="113"/>
      <c r="D747" s="113"/>
      <c r="E747" s="111"/>
      <c r="F747" s="114">
        <f t="shared" si="187"/>
        <v>0</v>
      </c>
      <c r="G747" s="115" t="str">
        <f t="shared" si="188"/>
        <v/>
      </c>
      <c r="H747" s="116">
        <f>IF($D747="",0,IFERROR(LOOKUP(2,1/(($D$3:D746=$D747)*($A$3:A746&lt;$A747)),$N$3:N746),'Guide &amp; Settings'!$C$41))</f>
        <v>0</v>
      </c>
      <c r="I747" s="117">
        <f t="shared" si="189"/>
        <v>0</v>
      </c>
      <c r="J747" s="118">
        <f>IF($D747="",0,IF($F747&lt;2,0,IF($E747="Win",('Guide &amp; Settings'!$C$42/(($F747-1)*COUNTIFS($A$4:$A$810,$A747,$E$4:$E$810,"Win")))*SUMIFS($X$4:$X$810,$A$4:$A$810,$A747,$E$4:$E$810,"Loss"),-('Guide &amp; Settings'!$C$42/($F747-1))*$X747)))</f>
        <v>0</v>
      </c>
      <c r="K747" s="118">
        <f>IF($D747="",0,'Guide &amp; Settings'!$C$43*(IF($E747="Win",1,0)-$I747))</f>
        <v>0</v>
      </c>
      <c r="L747" s="119">
        <f>IF($D747="",0,'Guide &amp; Settings'!$C$44*IF($F747&gt;=3,$F747,0))</f>
        <v>0</v>
      </c>
      <c r="M747" s="118">
        <f t="shared" si="190"/>
        <v>0</v>
      </c>
      <c r="N747" s="116">
        <f t="shared" si="191"/>
        <v>0</v>
      </c>
      <c r="O747" s="115" t="str">
        <f t="shared" si="192"/>
        <v/>
      </c>
      <c r="P747">
        <f t="shared" si="193"/>
        <v>0</v>
      </c>
      <c r="Q747">
        <f t="shared" si="194"/>
        <v>0</v>
      </c>
      <c r="R747">
        <f t="shared" si="195"/>
        <v>0</v>
      </c>
      <c r="S747">
        <f t="shared" si="196"/>
        <v>0</v>
      </c>
      <c r="T747" s="83">
        <f t="shared" si="197"/>
        <v>0</v>
      </c>
      <c r="U747" s="120">
        <f>IF($D747="",0,IFERROR(LOOKUP(2,1/(($D$3:D746=$D747)*($C$3:C746=$C747)*($A$3:A746&lt;$A747)),$AB$3:AB746),1000))</f>
        <v>0</v>
      </c>
      <c r="V747" s="120">
        <f t="shared" si="198"/>
        <v>0</v>
      </c>
      <c r="W747">
        <f t="shared" si="199"/>
        <v>0</v>
      </c>
      <c r="X747">
        <f t="shared" si="200"/>
        <v>0</v>
      </c>
      <c r="Y747">
        <f t="shared" si="201"/>
        <v>0</v>
      </c>
      <c r="Z747">
        <f t="shared" si="202"/>
        <v>0</v>
      </c>
      <c r="AA747">
        <f>IF($D747="",0,IF($F747&lt;2,0,IF($E747="Win",('Guide &amp; Settings'!$C$42/(($F747-1)*COUNTIFS($A$4:$A$810,$A747,$E$4:$E$810,"Win")))*SUMIFS($Z$4:$Z$810,$A$4:$A$810,$A747,$E$4:$E$810,"Loss"),-('Guide &amp; Settings'!$C$42/($F747-1))*$Z747)))</f>
        <v>0</v>
      </c>
      <c r="AB747" s="120">
        <f t="shared" si="203"/>
        <v>0</v>
      </c>
      <c r="AC747" s="120" t="str">
        <f>IF($D747="","",IF(SUMPRODUCT(MAX(($D$4:$D$810=$D747)*($B$4:$B$810&lt;$B747)*$B$4:$B$810))=0,0,MAX(($B747-MAX(SUMPRODUCT(MAX(($D$4:$D$810=$D747)*($B$4:$B$810&lt;$B747)*$B$4:$B$810)),'Guide &amp; Settings'!$C$50))/7-'Guide &amp; Settings'!$C$48,0)*'Guide &amp; Settings'!$C$49))</f>
        <v/>
      </c>
    </row>
    <row r="748" spans="1:29" x14ac:dyDescent="0.2">
      <c r="A748" s="111"/>
      <c r="B748" s="112"/>
      <c r="C748" s="113"/>
      <c r="D748" s="113"/>
      <c r="E748" s="111"/>
      <c r="F748" s="114">
        <f t="shared" si="187"/>
        <v>0</v>
      </c>
      <c r="G748" s="115" t="str">
        <f t="shared" si="188"/>
        <v/>
      </c>
      <c r="H748" s="116">
        <f>IF($D748="",0,IFERROR(LOOKUP(2,1/(($D$3:D747=$D748)*($A$3:A747&lt;$A748)),$N$3:N747),'Guide &amp; Settings'!$C$41))</f>
        <v>0</v>
      </c>
      <c r="I748" s="117">
        <f t="shared" si="189"/>
        <v>0</v>
      </c>
      <c r="J748" s="118">
        <f>IF($D748="",0,IF($F748&lt;2,0,IF($E748="Win",('Guide &amp; Settings'!$C$42/(($F748-1)*COUNTIFS($A$4:$A$810,$A748,$E$4:$E$810,"Win")))*SUMIFS($X$4:$X$810,$A$4:$A$810,$A748,$E$4:$E$810,"Loss"),-('Guide &amp; Settings'!$C$42/($F748-1))*$X748)))</f>
        <v>0</v>
      </c>
      <c r="K748" s="118">
        <f>IF($D748="",0,'Guide &amp; Settings'!$C$43*(IF($E748="Win",1,0)-$I748))</f>
        <v>0</v>
      </c>
      <c r="L748" s="119">
        <f>IF($D748="",0,'Guide &amp; Settings'!$C$44*IF($F748&gt;=3,$F748,0))</f>
        <v>0</v>
      </c>
      <c r="M748" s="118">
        <f t="shared" si="190"/>
        <v>0</v>
      </c>
      <c r="N748" s="116">
        <f t="shared" si="191"/>
        <v>0</v>
      </c>
      <c r="O748" s="115" t="str">
        <f t="shared" si="192"/>
        <v/>
      </c>
      <c r="P748">
        <f t="shared" si="193"/>
        <v>0</v>
      </c>
      <c r="Q748">
        <f t="shared" si="194"/>
        <v>0</v>
      </c>
      <c r="R748">
        <f t="shared" si="195"/>
        <v>0</v>
      </c>
      <c r="S748">
        <f t="shared" si="196"/>
        <v>0</v>
      </c>
      <c r="T748" s="83">
        <f t="shared" si="197"/>
        <v>0</v>
      </c>
      <c r="U748" s="120">
        <f>IF($D748="",0,IFERROR(LOOKUP(2,1/(($D$3:D747=$D748)*($C$3:C747=$C748)*($A$3:A747&lt;$A748)),$AB$3:AB747),1000))</f>
        <v>0</v>
      </c>
      <c r="V748" s="120">
        <f t="shared" si="198"/>
        <v>0</v>
      </c>
      <c r="W748">
        <f t="shared" si="199"/>
        <v>0</v>
      </c>
      <c r="X748">
        <f t="shared" si="200"/>
        <v>0</v>
      </c>
      <c r="Y748">
        <f t="shared" si="201"/>
        <v>0</v>
      </c>
      <c r="Z748">
        <f t="shared" si="202"/>
        <v>0</v>
      </c>
      <c r="AA748">
        <f>IF($D748="",0,IF($F748&lt;2,0,IF($E748="Win",('Guide &amp; Settings'!$C$42/(($F748-1)*COUNTIFS($A$4:$A$810,$A748,$E$4:$E$810,"Win")))*SUMIFS($Z$4:$Z$810,$A$4:$A$810,$A748,$E$4:$E$810,"Loss"),-('Guide &amp; Settings'!$C$42/($F748-1))*$Z748)))</f>
        <v>0</v>
      </c>
      <c r="AB748" s="120">
        <f t="shared" si="203"/>
        <v>0</v>
      </c>
      <c r="AC748" s="120" t="str">
        <f>IF($D748="","",IF(SUMPRODUCT(MAX(($D$4:$D$810=$D748)*($B$4:$B$810&lt;$B748)*$B$4:$B$810))=0,0,MAX(($B748-MAX(SUMPRODUCT(MAX(($D$4:$D$810=$D748)*($B$4:$B$810&lt;$B748)*$B$4:$B$810)),'Guide &amp; Settings'!$C$50))/7-'Guide &amp; Settings'!$C$48,0)*'Guide &amp; Settings'!$C$49))</f>
        <v/>
      </c>
    </row>
    <row r="749" spans="1:29" x14ac:dyDescent="0.2">
      <c r="A749" s="111"/>
      <c r="B749" s="112"/>
      <c r="C749" s="113"/>
      <c r="D749" s="113"/>
      <c r="E749" s="111"/>
      <c r="F749" s="114">
        <f t="shared" si="187"/>
        <v>0</v>
      </c>
      <c r="G749" s="115" t="str">
        <f t="shared" si="188"/>
        <v/>
      </c>
      <c r="H749" s="116">
        <f>IF($D749="",0,IFERROR(LOOKUP(2,1/(($D$3:D748=$D749)*($A$3:A748&lt;$A749)),$N$3:N748),'Guide &amp; Settings'!$C$41))</f>
        <v>0</v>
      </c>
      <c r="I749" s="117">
        <f t="shared" si="189"/>
        <v>0</v>
      </c>
      <c r="J749" s="118">
        <f>IF($D749="",0,IF($F749&lt;2,0,IF($E749="Win",('Guide &amp; Settings'!$C$42/(($F749-1)*COUNTIFS($A$4:$A$810,$A749,$E$4:$E$810,"Win")))*SUMIFS($X$4:$X$810,$A$4:$A$810,$A749,$E$4:$E$810,"Loss"),-('Guide &amp; Settings'!$C$42/($F749-1))*$X749)))</f>
        <v>0</v>
      </c>
      <c r="K749" s="118">
        <f>IF($D749="",0,'Guide &amp; Settings'!$C$43*(IF($E749="Win",1,0)-$I749))</f>
        <v>0</v>
      </c>
      <c r="L749" s="119">
        <f>IF($D749="",0,'Guide &amp; Settings'!$C$44*IF($F749&gt;=3,$F749,0))</f>
        <v>0</v>
      </c>
      <c r="M749" s="118">
        <f t="shared" si="190"/>
        <v>0</v>
      </c>
      <c r="N749" s="116">
        <f t="shared" si="191"/>
        <v>0</v>
      </c>
      <c r="O749" s="115" t="str">
        <f t="shared" si="192"/>
        <v/>
      </c>
      <c r="P749">
        <f t="shared" si="193"/>
        <v>0</v>
      </c>
      <c r="Q749">
        <f t="shared" si="194"/>
        <v>0</v>
      </c>
      <c r="R749">
        <f t="shared" si="195"/>
        <v>0</v>
      </c>
      <c r="S749">
        <f t="shared" si="196"/>
        <v>0</v>
      </c>
      <c r="T749" s="83">
        <f t="shared" si="197"/>
        <v>0</v>
      </c>
      <c r="U749" s="120">
        <f>IF($D749="",0,IFERROR(LOOKUP(2,1/(($D$3:D748=$D749)*($C$3:C748=$C749)*($A$3:A748&lt;$A749)),$AB$3:AB748),1000))</f>
        <v>0</v>
      </c>
      <c r="V749" s="120">
        <f t="shared" si="198"/>
        <v>0</v>
      </c>
      <c r="W749">
        <f t="shared" si="199"/>
        <v>0</v>
      </c>
      <c r="X749">
        <f t="shared" si="200"/>
        <v>0</v>
      </c>
      <c r="Y749">
        <f t="shared" si="201"/>
        <v>0</v>
      </c>
      <c r="Z749">
        <f t="shared" si="202"/>
        <v>0</v>
      </c>
      <c r="AA749">
        <f>IF($D749="",0,IF($F749&lt;2,0,IF($E749="Win",('Guide &amp; Settings'!$C$42/(($F749-1)*COUNTIFS($A$4:$A$810,$A749,$E$4:$E$810,"Win")))*SUMIFS($Z$4:$Z$810,$A$4:$A$810,$A749,$E$4:$E$810,"Loss"),-('Guide &amp; Settings'!$C$42/($F749-1))*$Z749)))</f>
        <v>0</v>
      </c>
      <c r="AB749" s="120">
        <f t="shared" si="203"/>
        <v>0</v>
      </c>
      <c r="AC749" s="120" t="str">
        <f>IF($D749="","",IF(SUMPRODUCT(MAX(($D$4:$D$810=$D749)*($B$4:$B$810&lt;$B749)*$B$4:$B$810))=0,0,MAX(($B749-MAX(SUMPRODUCT(MAX(($D$4:$D$810=$D749)*($B$4:$B$810&lt;$B749)*$B$4:$B$810)),'Guide &amp; Settings'!$C$50))/7-'Guide &amp; Settings'!$C$48,0)*'Guide &amp; Settings'!$C$49))</f>
        <v/>
      </c>
    </row>
    <row r="750" spans="1:29" x14ac:dyDescent="0.2">
      <c r="A750" s="111"/>
      <c r="B750" s="112"/>
      <c r="C750" s="113"/>
      <c r="D750" s="113"/>
      <c r="E750" s="111"/>
      <c r="F750" s="114">
        <f t="shared" si="187"/>
        <v>0</v>
      </c>
      <c r="G750" s="115" t="str">
        <f t="shared" si="188"/>
        <v/>
      </c>
      <c r="H750" s="116">
        <f>IF($D750="",0,IFERROR(LOOKUP(2,1/(($D$3:D749=$D750)*($A$3:A749&lt;$A750)),$N$3:N749),'Guide &amp; Settings'!$C$41))</f>
        <v>0</v>
      </c>
      <c r="I750" s="117">
        <f t="shared" si="189"/>
        <v>0</v>
      </c>
      <c r="J750" s="118">
        <f>IF($D750="",0,IF($F750&lt;2,0,IF($E750="Win",('Guide &amp; Settings'!$C$42/(($F750-1)*COUNTIFS($A$4:$A$810,$A750,$E$4:$E$810,"Win")))*SUMIFS($X$4:$X$810,$A$4:$A$810,$A750,$E$4:$E$810,"Loss"),-('Guide &amp; Settings'!$C$42/($F750-1))*$X750)))</f>
        <v>0</v>
      </c>
      <c r="K750" s="118">
        <f>IF($D750="",0,'Guide &amp; Settings'!$C$43*(IF($E750="Win",1,0)-$I750))</f>
        <v>0</v>
      </c>
      <c r="L750" s="119">
        <f>IF($D750="",0,'Guide &amp; Settings'!$C$44*IF($F750&gt;=3,$F750,0))</f>
        <v>0</v>
      </c>
      <c r="M750" s="118">
        <f t="shared" si="190"/>
        <v>0</v>
      </c>
      <c r="N750" s="116">
        <f t="shared" si="191"/>
        <v>0</v>
      </c>
      <c r="O750" s="115" t="str">
        <f t="shared" si="192"/>
        <v/>
      </c>
      <c r="P750">
        <f t="shared" si="193"/>
        <v>0</v>
      </c>
      <c r="Q750">
        <f t="shared" si="194"/>
        <v>0</v>
      </c>
      <c r="R750">
        <f t="shared" si="195"/>
        <v>0</v>
      </c>
      <c r="S750">
        <f t="shared" si="196"/>
        <v>0</v>
      </c>
      <c r="T750" s="83">
        <f t="shared" si="197"/>
        <v>0</v>
      </c>
      <c r="U750" s="120">
        <f>IF($D750="",0,IFERROR(LOOKUP(2,1/(($D$3:D749=$D750)*($C$3:C749=$C750)*($A$3:A749&lt;$A750)),$AB$3:AB749),1000))</f>
        <v>0</v>
      </c>
      <c r="V750" s="120">
        <f t="shared" si="198"/>
        <v>0</v>
      </c>
      <c r="W750">
        <f t="shared" si="199"/>
        <v>0</v>
      </c>
      <c r="X750">
        <f t="shared" si="200"/>
        <v>0</v>
      </c>
      <c r="Y750">
        <f t="shared" si="201"/>
        <v>0</v>
      </c>
      <c r="Z750">
        <f t="shared" si="202"/>
        <v>0</v>
      </c>
      <c r="AA750">
        <f>IF($D750="",0,IF($F750&lt;2,0,IF($E750="Win",('Guide &amp; Settings'!$C$42/(($F750-1)*COUNTIFS($A$4:$A$810,$A750,$E$4:$E$810,"Win")))*SUMIFS($Z$4:$Z$810,$A$4:$A$810,$A750,$E$4:$E$810,"Loss"),-('Guide &amp; Settings'!$C$42/($F750-1))*$Z750)))</f>
        <v>0</v>
      </c>
      <c r="AB750" s="120">
        <f t="shared" si="203"/>
        <v>0</v>
      </c>
      <c r="AC750" s="120" t="str">
        <f>IF($D750="","",IF(SUMPRODUCT(MAX(($D$4:$D$810=$D750)*($B$4:$B$810&lt;$B750)*$B$4:$B$810))=0,0,MAX(($B750-MAX(SUMPRODUCT(MAX(($D$4:$D$810=$D750)*($B$4:$B$810&lt;$B750)*$B$4:$B$810)),'Guide &amp; Settings'!$C$50))/7-'Guide &amp; Settings'!$C$48,0)*'Guide &amp; Settings'!$C$49))</f>
        <v/>
      </c>
    </row>
    <row r="751" spans="1:29" x14ac:dyDescent="0.2">
      <c r="A751" s="111"/>
      <c r="B751" s="112"/>
      <c r="C751" s="113"/>
      <c r="D751" s="113"/>
      <c r="E751" s="111"/>
      <c r="F751" s="114">
        <f t="shared" si="187"/>
        <v>0</v>
      </c>
      <c r="G751" s="115" t="str">
        <f t="shared" si="188"/>
        <v/>
      </c>
      <c r="H751" s="116">
        <f>IF($D751="",0,IFERROR(LOOKUP(2,1/(($D$3:D750=$D751)*($A$3:A750&lt;$A751)),$N$3:N750),'Guide &amp; Settings'!$C$41))</f>
        <v>0</v>
      </c>
      <c r="I751" s="117">
        <f t="shared" si="189"/>
        <v>0</v>
      </c>
      <c r="J751" s="118">
        <f>IF($D751="",0,IF($F751&lt;2,0,IF($E751="Win",('Guide &amp; Settings'!$C$42/(($F751-1)*COUNTIFS($A$4:$A$810,$A751,$E$4:$E$810,"Win")))*SUMIFS($X$4:$X$810,$A$4:$A$810,$A751,$E$4:$E$810,"Loss"),-('Guide &amp; Settings'!$C$42/($F751-1))*$X751)))</f>
        <v>0</v>
      </c>
      <c r="K751" s="118">
        <f>IF($D751="",0,'Guide &amp; Settings'!$C$43*(IF($E751="Win",1,0)-$I751))</f>
        <v>0</v>
      </c>
      <c r="L751" s="119">
        <f>IF($D751="",0,'Guide &amp; Settings'!$C$44*IF($F751&gt;=3,$F751,0))</f>
        <v>0</v>
      </c>
      <c r="M751" s="118">
        <f t="shared" si="190"/>
        <v>0</v>
      </c>
      <c r="N751" s="116">
        <f t="shared" si="191"/>
        <v>0</v>
      </c>
      <c r="O751" s="115" t="str">
        <f t="shared" si="192"/>
        <v/>
      </c>
      <c r="P751">
        <f t="shared" si="193"/>
        <v>0</v>
      </c>
      <c r="Q751">
        <f t="shared" si="194"/>
        <v>0</v>
      </c>
      <c r="R751">
        <f t="shared" si="195"/>
        <v>0</v>
      </c>
      <c r="S751">
        <f t="shared" si="196"/>
        <v>0</v>
      </c>
      <c r="T751" s="83">
        <f t="shared" si="197"/>
        <v>0</v>
      </c>
      <c r="U751" s="120">
        <f>IF($D751="",0,IFERROR(LOOKUP(2,1/(($D$3:D750=$D751)*($C$3:C750=$C751)*($A$3:A750&lt;$A751)),$AB$3:AB750),1000))</f>
        <v>0</v>
      </c>
      <c r="V751" s="120">
        <f t="shared" si="198"/>
        <v>0</v>
      </c>
      <c r="W751">
        <f t="shared" si="199"/>
        <v>0</v>
      </c>
      <c r="X751">
        <f t="shared" si="200"/>
        <v>0</v>
      </c>
      <c r="Y751">
        <f t="shared" si="201"/>
        <v>0</v>
      </c>
      <c r="Z751">
        <f t="shared" si="202"/>
        <v>0</v>
      </c>
      <c r="AA751">
        <f>IF($D751="",0,IF($F751&lt;2,0,IF($E751="Win",('Guide &amp; Settings'!$C$42/(($F751-1)*COUNTIFS($A$4:$A$810,$A751,$E$4:$E$810,"Win")))*SUMIFS($Z$4:$Z$810,$A$4:$A$810,$A751,$E$4:$E$810,"Loss"),-('Guide &amp; Settings'!$C$42/($F751-1))*$Z751)))</f>
        <v>0</v>
      </c>
      <c r="AB751" s="120">
        <f t="shared" si="203"/>
        <v>0</v>
      </c>
      <c r="AC751" s="120" t="str">
        <f>IF($D751="","",IF(SUMPRODUCT(MAX(($D$4:$D$810=$D751)*($B$4:$B$810&lt;$B751)*$B$4:$B$810))=0,0,MAX(($B751-MAX(SUMPRODUCT(MAX(($D$4:$D$810=$D751)*($B$4:$B$810&lt;$B751)*$B$4:$B$810)),'Guide &amp; Settings'!$C$50))/7-'Guide &amp; Settings'!$C$48,0)*'Guide &amp; Settings'!$C$49))</f>
        <v/>
      </c>
    </row>
    <row r="752" spans="1:29" x14ac:dyDescent="0.2">
      <c r="A752" s="111"/>
      <c r="B752" s="112"/>
      <c r="C752" s="113"/>
      <c r="D752" s="113"/>
      <c r="E752" s="111"/>
      <c r="F752" s="114">
        <f t="shared" si="187"/>
        <v>0</v>
      </c>
      <c r="G752" s="115" t="str">
        <f t="shared" si="188"/>
        <v/>
      </c>
      <c r="H752" s="116">
        <f>IF($D752="",0,IFERROR(LOOKUP(2,1/(($D$3:D751=$D752)*($A$3:A751&lt;$A752)),$N$3:N751),'Guide &amp; Settings'!$C$41))</f>
        <v>0</v>
      </c>
      <c r="I752" s="117">
        <f t="shared" si="189"/>
        <v>0</v>
      </c>
      <c r="J752" s="118">
        <f>IF($D752="",0,IF($F752&lt;2,0,IF($E752="Win",('Guide &amp; Settings'!$C$42/(($F752-1)*COUNTIFS($A$4:$A$810,$A752,$E$4:$E$810,"Win")))*SUMIFS($X$4:$X$810,$A$4:$A$810,$A752,$E$4:$E$810,"Loss"),-('Guide &amp; Settings'!$C$42/($F752-1))*$X752)))</f>
        <v>0</v>
      </c>
      <c r="K752" s="118">
        <f>IF($D752="",0,'Guide &amp; Settings'!$C$43*(IF($E752="Win",1,0)-$I752))</f>
        <v>0</v>
      </c>
      <c r="L752" s="119">
        <f>IF($D752="",0,'Guide &amp; Settings'!$C$44*IF($F752&gt;=3,$F752,0))</f>
        <v>0</v>
      </c>
      <c r="M752" s="118">
        <f t="shared" si="190"/>
        <v>0</v>
      </c>
      <c r="N752" s="116">
        <f t="shared" si="191"/>
        <v>0</v>
      </c>
      <c r="O752" s="115" t="str">
        <f t="shared" si="192"/>
        <v/>
      </c>
      <c r="P752">
        <f t="shared" si="193"/>
        <v>0</v>
      </c>
      <c r="Q752">
        <f t="shared" si="194"/>
        <v>0</v>
      </c>
      <c r="R752">
        <f t="shared" si="195"/>
        <v>0</v>
      </c>
      <c r="S752">
        <f t="shared" si="196"/>
        <v>0</v>
      </c>
      <c r="T752" s="83">
        <f t="shared" si="197"/>
        <v>0</v>
      </c>
      <c r="U752" s="120">
        <f>IF($D752="",0,IFERROR(LOOKUP(2,1/(($D$3:D751=$D752)*($C$3:C751=$C752)*($A$3:A751&lt;$A752)),$AB$3:AB751),1000))</f>
        <v>0</v>
      </c>
      <c r="V752" s="120">
        <f t="shared" si="198"/>
        <v>0</v>
      </c>
      <c r="W752">
        <f t="shared" si="199"/>
        <v>0</v>
      </c>
      <c r="X752">
        <f t="shared" si="200"/>
        <v>0</v>
      </c>
      <c r="Y752">
        <f t="shared" si="201"/>
        <v>0</v>
      </c>
      <c r="Z752">
        <f t="shared" si="202"/>
        <v>0</v>
      </c>
      <c r="AA752">
        <f>IF($D752="",0,IF($F752&lt;2,0,IF($E752="Win",('Guide &amp; Settings'!$C$42/(($F752-1)*COUNTIFS($A$4:$A$810,$A752,$E$4:$E$810,"Win")))*SUMIFS($Z$4:$Z$810,$A$4:$A$810,$A752,$E$4:$E$810,"Loss"),-('Guide &amp; Settings'!$C$42/($F752-1))*$Z752)))</f>
        <v>0</v>
      </c>
      <c r="AB752" s="120">
        <f t="shared" si="203"/>
        <v>0</v>
      </c>
      <c r="AC752" s="120" t="str">
        <f>IF($D752="","",IF(SUMPRODUCT(MAX(($D$4:$D$810=$D752)*($B$4:$B$810&lt;$B752)*$B$4:$B$810))=0,0,MAX(($B752-MAX(SUMPRODUCT(MAX(($D$4:$D$810=$D752)*($B$4:$B$810&lt;$B752)*$B$4:$B$810)),'Guide &amp; Settings'!$C$50))/7-'Guide &amp; Settings'!$C$48,0)*'Guide &amp; Settings'!$C$49))</f>
        <v/>
      </c>
    </row>
    <row r="753" spans="1:29" x14ac:dyDescent="0.2">
      <c r="A753" s="111"/>
      <c r="B753" s="112"/>
      <c r="C753" s="113"/>
      <c r="D753" s="113"/>
      <c r="E753" s="111"/>
      <c r="F753" s="114">
        <f t="shared" si="187"/>
        <v>0</v>
      </c>
      <c r="G753" s="115" t="str">
        <f t="shared" si="188"/>
        <v/>
      </c>
      <c r="H753" s="116">
        <f>IF($D753="",0,IFERROR(LOOKUP(2,1/(($D$3:D752=$D753)*($A$3:A752&lt;$A753)),$N$3:N752),'Guide &amp; Settings'!$C$41))</f>
        <v>0</v>
      </c>
      <c r="I753" s="117">
        <f t="shared" si="189"/>
        <v>0</v>
      </c>
      <c r="J753" s="118">
        <f>IF($D753="",0,IF($F753&lt;2,0,IF($E753="Win",('Guide &amp; Settings'!$C$42/(($F753-1)*COUNTIFS($A$4:$A$810,$A753,$E$4:$E$810,"Win")))*SUMIFS($X$4:$X$810,$A$4:$A$810,$A753,$E$4:$E$810,"Loss"),-('Guide &amp; Settings'!$C$42/($F753-1))*$X753)))</f>
        <v>0</v>
      </c>
      <c r="K753" s="118">
        <f>IF($D753="",0,'Guide &amp; Settings'!$C$43*(IF($E753="Win",1,0)-$I753))</f>
        <v>0</v>
      </c>
      <c r="L753" s="119">
        <f>IF($D753="",0,'Guide &amp; Settings'!$C$44*IF($F753&gt;=3,$F753,0))</f>
        <v>0</v>
      </c>
      <c r="M753" s="118">
        <f t="shared" si="190"/>
        <v>0</v>
      </c>
      <c r="N753" s="116">
        <f t="shared" si="191"/>
        <v>0</v>
      </c>
      <c r="O753" s="115" t="str">
        <f t="shared" si="192"/>
        <v/>
      </c>
      <c r="P753">
        <f t="shared" si="193"/>
        <v>0</v>
      </c>
      <c r="Q753">
        <f t="shared" si="194"/>
        <v>0</v>
      </c>
      <c r="R753">
        <f t="shared" si="195"/>
        <v>0</v>
      </c>
      <c r="S753">
        <f t="shared" si="196"/>
        <v>0</v>
      </c>
      <c r="T753" s="83">
        <f t="shared" si="197"/>
        <v>0</v>
      </c>
      <c r="U753" s="120">
        <f>IF($D753="",0,IFERROR(LOOKUP(2,1/(($D$3:D752=$D753)*($C$3:C752=$C753)*($A$3:A752&lt;$A753)),$AB$3:AB752),1000))</f>
        <v>0</v>
      </c>
      <c r="V753" s="120">
        <f t="shared" si="198"/>
        <v>0</v>
      </c>
      <c r="W753">
        <f t="shared" si="199"/>
        <v>0</v>
      </c>
      <c r="X753">
        <f t="shared" si="200"/>
        <v>0</v>
      </c>
      <c r="Y753">
        <f t="shared" si="201"/>
        <v>0</v>
      </c>
      <c r="Z753">
        <f t="shared" si="202"/>
        <v>0</v>
      </c>
      <c r="AA753">
        <f>IF($D753="",0,IF($F753&lt;2,0,IF($E753="Win",('Guide &amp; Settings'!$C$42/(($F753-1)*COUNTIFS($A$4:$A$810,$A753,$E$4:$E$810,"Win")))*SUMIFS($Z$4:$Z$810,$A$4:$A$810,$A753,$E$4:$E$810,"Loss"),-('Guide &amp; Settings'!$C$42/($F753-1))*$Z753)))</f>
        <v>0</v>
      </c>
      <c r="AB753" s="120">
        <f t="shared" si="203"/>
        <v>0</v>
      </c>
      <c r="AC753" s="120" t="str">
        <f>IF($D753="","",IF(SUMPRODUCT(MAX(($D$4:$D$810=$D753)*($B$4:$B$810&lt;$B753)*$B$4:$B$810))=0,0,MAX(($B753-MAX(SUMPRODUCT(MAX(($D$4:$D$810=$D753)*($B$4:$B$810&lt;$B753)*$B$4:$B$810)),'Guide &amp; Settings'!$C$50))/7-'Guide &amp; Settings'!$C$48,0)*'Guide &amp; Settings'!$C$49))</f>
        <v/>
      </c>
    </row>
    <row r="754" spans="1:29" x14ac:dyDescent="0.2">
      <c r="A754" s="111"/>
      <c r="B754" s="112"/>
      <c r="C754" s="113"/>
      <c r="D754" s="113"/>
      <c r="E754" s="111"/>
      <c r="F754" s="114">
        <f t="shared" si="187"/>
        <v>0</v>
      </c>
      <c r="G754" s="115" t="str">
        <f t="shared" si="188"/>
        <v/>
      </c>
      <c r="H754" s="116">
        <f>IF($D754="",0,IFERROR(LOOKUP(2,1/(($D$3:D753=$D754)*($A$3:A753&lt;$A754)),$N$3:N753),'Guide &amp; Settings'!$C$41))</f>
        <v>0</v>
      </c>
      <c r="I754" s="117">
        <f t="shared" si="189"/>
        <v>0</v>
      </c>
      <c r="J754" s="118">
        <f>IF($D754="",0,IF($F754&lt;2,0,IF($E754="Win",('Guide &amp; Settings'!$C$42/(($F754-1)*COUNTIFS($A$4:$A$810,$A754,$E$4:$E$810,"Win")))*SUMIFS($X$4:$X$810,$A$4:$A$810,$A754,$E$4:$E$810,"Loss"),-('Guide &amp; Settings'!$C$42/($F754-1))*$X754)))</f>
        <v>0</v>
      </c>
      <c r="K754" s="118">
        <f>IF($D754="",0,'Guide &amp; Settings'!$C$43*(IF($E754="Win",1,0)-$I754))</f>
        <v>0</v>
      </c>
      <c r="L754" s="119">
        <f>IF($D754="",0,'Guide &amp; Settings'!$C$44*IF($F754&gt;=3,$F754,0))</f>
        <v>0</v>
      </c>
      <c r="M754" s="118">
        <f t="shared" si="190"/>
        <v>0</v>
      </c>
      <c r="N754" s="116">
        <f t="shared" si="191"/>
        <v>0</v>
      </c>
      <c r="O754" s="115" t="str">
        <f t="shared" si="192"/>
        <v/>
      </c>
      <c r="P754">
        <f t="shared" si="193"/>
        <v>0</v>
      </c>
      <c r="Q754">
        <f t="shared" si="194"/>
        <v>0</v>
      </c>
      <c r="R754">
        <f t="shared" si="195"/>
        <v>0</v>
      </c>
      <c r="S754">
        <f t="shared" si="196"/>
        <v>0</v>
      </c>
      <c r="T754" s="83">
        <f t="shared" si="197"/>
        <v>0</v>
      </c>
      <c r="U754" s="120">
        <f>IF($D754="",0,IFERROR(LOOKUP(2,1/(($D$3:D753=$D754)*($C$3:C753=$C754)*($A$3:A753&lt;$A754)),$AB$3:AB753),1000))</f>
        <v>0</v>
      </c>
      <c r="V754" s="120">
        <f t="shared" si="198"/>
        <v>0</v>
      </c>
      <c r="W754">
        <f t="shared" si="199"/>
        <v>0</v>
      </c>
      <c r="X754">
        <f t="shared" si="200"/>
        <v>0</v>
      </c>
      <c r="Y754">
        <f t="shared" si="201"/>
        <v>0</v>
      </c>
      <c r="Z754">
        <f t="shared" si="202"/>
        <v>0</v>
      </c>
      <c r="AA754">
        <f>IF($D754="",0,IF($F754&lt;2,0,IF($E754="Win",('Guide &amp; Settings'!$C$42/(($F754-1)*COUNTIFS($A$4:$A$810,$A754,$E$4:$E$810,"Win")))*SUMIFS($Z$4:$Z$810,$A$4:$A$810,$A754,$E$4:$E$810,"Loss"),-('Guide &amp; Settings'!$C$42/($F754-1))*$Z754)))</f>
        <v>0</v>
      </c>
      <c r="AB754" s="120">
        <f t="shared" si="203"/>
        <v>0</v>
      </c>
      <c r="AC754" s="120" t="str">
        <f>IF($D754="","",IF(SUMPRODUCT(MAX(($D$4:$D$810=$D754)*($B$4:$B$810&lt;$B754)*$B$4:$B$810))=0,0,MAX(($B754-MAX(SUMPRODUCT(MAX(($D$4:$D$810=$D754)*($B$4:$B$810&lt;$B754)*$B$4:$B$810)),'Guide &amp; Settings'!$C$50))/7-'Guide &amp; Settings'!$C$48,0)*'Guide &amp; Settings'!$C$49))</f>
        <v/>
      </c>
    </row>
    <row r="755" spans="1:29" x14ac:dyDescent="0.2">
      <c r="A755" s="111"/>
      <c r="B755" s="112"/>
      <c r="C755" s="113"/>
      <c r="D755" s="113"/>
      <c r="E755" s="111"/>
      <c r="F755" s="114">
        <f t="shared" si="187"/>
        <v>0</v>
      </c>
      <c r="G755" s="115" t="str">
        <f t="shared" si="188"/>
        <v/>
      </c>
      <c r="H755" s="116">
        <f>IF($D755="",0,IFERROR(LOOKUP(2,1/(($D$3:D754=$D755)*($A$3:A754&lt;$A755)),$N$3:N754),'Guide &amp; Settings'!$C$41))</f>
        <v>0</v>
      </c>
      <c r="I755" s="117">
        <f t="shared" si="189"/>
        <v>0</v>
      </c>
      <c r="J755" s="118">
        <f>IF($D755="",0,IF($F755&lt;2,0,IF($E755="Win",('Guide &amp; Settings'!$C$42/(($F755-1)*COUNTIFS($A$4:$A$810,$A755,$E$4:$E$810,"Win")))*SUMIFS($X$4:$X$810,$A$4:$A$810,$A755,$E$4:$E$810,"Loss"),-('Guide &amp; Settings'!$C$42/($F755-1))*$X755)))</f>
        <v>0</v>
      </c>
      <c r="K755" s="118">
        <f>IF($D755="",0,'Guide &amp; Settings'!$C$43*(IF($E755="Win",1,0)-$I755))</f>
        <v>0</v>
      </c>
      <c r="L755" s="119">
        <f>IF($D755="",0,'Guide &amp; Settings'!$C$44*IF($F755&gt;=3,$F755,0))</f>
        <v>0</v>
      </c>
      <c r="M755" s="118">
        <f t="shared" si="190"/>
        <v>0</v>
      </c>
      <c r="N755" s="116">
        <f t="shared" si="191"/>
        <v>0</v>
      </c>
      <c r="O755" s="115" t="str">
        <f t="shared" si="192"/>
        <v/>
      </c>
      <c r="P755">
        <f t="shared" si="193"/>
        <v>0</v>
      </c>
      <c r="Q755">
        <f t="shared" si="194"/>
        <v>0</v>
      </c>
      <c r="R755">
        <f t="shared" si="195"/>
        <v>0</v>
      </c>
      <c r="S755">
        <f t="shared" si="196"/>
        <v>0</v>
      </c>
      <c r="T755" s="83">
        <f t="shared" si="197"/>
        <v>0</v>
      </c>
      <c r="U755" s="120">
        <f>IF($D755="",0,IFERROR(LOOKUP(2,1/(($D$3:D754=$D755)*($C$3:C754=$C755)*($A$3:A754&lt;$A755)),$AB$3:AB754),1000))</f>
        <v>0</v>
      </c>
      <c r="V755" s="120">
        <f t="shared" si="198"/>
        <v>0</v>
      </c>
      <c r="W755">
        <f t="shared" si="199"/>
        <v>0</v>
      </c>
      <c r="X755">
        <f t="shared" si="200"/>
        <v>0</v>
      </c>
      <c r="Y755">
        <f t="shared" si="201"/>
        <v>0</v>
      </c>
      <c r="Z755">
        <f t="shared" si="202"/>
        <v>0</v>
      </c>
      <c r="AA755">
        <f>IF($D755="",0,IF($F755&lt;2,0,IF($E755="Win",('Guide &amp; Settings'!$C$42/(($F755-1)*COUNTIFS($A$4:$A$810,$A755,$E$4:$E$810,"Win")))*SUMIFS($Z$4:$Z$810,$A$4:$A$810,$A755,$E$4:$E$810,"Loss"),-('Guide &amp; Settings'!$C$42/($F755-1))*$Z755)))</f>
        <v>0</v>
      </c>
      <c r="AB755" s="120">
        <f t="shared" si="203"/>
        <v>0</v>
      </c>
      <c r="AC755" s="120" t="str">
        <f>IF($D755="","",IF(SUMPRODUCT(MAX(($D$4:$D$810=$D755)*($B$4:$B$810&lt;$B755)*$B$4:$B$810))=0,0,MAX(($B755-MAX(SUMPRODUCT(MAX(($D$4:$D$810=$D755)*($B$4:$B$810&lt;$B755)*$B$4:$B$810)),'Guide &amp; Settings'!$C$50))/7-'Guide &amp; Settings'!$C$48,0)*'Guide &amp; Settings'!$C$49))</f>
        <v/>
      </c>
    </row>
    <row r="756" spans="1:29" x14ac:dyDescent="0.2">
      <c r="A756" s="111"/>
      <c r="B756" s="112"/>
      <c r="C756" s="113"/>
      <c r="D756" s="113"/>
      <c r="E756" s="111"/>
      <c r="F756" s="114">
        <f t="shared" si="187"/>
        <v>0</v>
      </c>
      <c r="G756" s="115" t="str">
        <f t="shared" si="188"/>
        <v/>
      </c>
      <c r="H756" s="116">
        <f>IF($D756="",0,IFERROR(LOOKUP(2,1/(($D$3:D755=$D756)*($A$3:A755&lt;$A756)),$N$3:N755),'Guide &amp; Settings'!$C$41))</f>
        <v>0</v>
      </c>
      <c r="I756" s="117">
        <f t="shared" si="189"/>
        <v>0</v>
      </c>
      <c r="J756" s="118">
        <f>IF($D756="",0,IF($F756&lt;2,0,IF($E756="Win",('Guide &amp; Settings'!$C$42/(($F756-1)*COUNTIFS($A$4:$A$810,$A756,$E$4:$E$810,"Win")))*SUMIFS($X$4:$X$810,$A$4:$A$810,$A756,$E$4:$E$810,"Loss"),-('Guide &amp; Settings'!$C$42/($F756-1))*$X756)))</f>
        <v>0</v>
      </c>
      <c r="K756" s="118">
        <f>IF($D756="",0,'Guide &amp; Settings'!$C$43*(IF($E756="Win",1,0)-$I756))</f>
        <v>0</v>
      </c>
      <c r="L756" s="119">
        <f>IF($D756="",0,'Guide &amp; Settings'!$C$44*IF($F756&gt;=3,$F756,0))</f>
        <v>0</v>
      </c>
      <c r="M756" s="118">
        <f t="shared" si="190"/>
        <v>0</v>
      </c>
      <c r="N756" s="116">
        <f t="shared" si="191"/>
        <v>0</v>
      </c>
      <c r="O756" s="115" t="str">
        <f t="shared" si="192"/>
        <v/>
      </c>
      <c r="P756">
        <f t="shared" si="193"/>
        <v>0</v>
      </c>
      <c r="Q756">
        <f t="shared" si="194"/>
        <v>0</v>
      </c>
      <c r="R756">
        <f t="shared" si="195"/>
        <v>0</v>
      </c>
      <c r="S756">
        <f t="shared" si="196"/>
        <v>0</v>
      </c>
      <c r="T756" s="83">
        <f t="shared" si="197"/>
        <v>0</v>
      </c>
      <c r="U756" s="120">
        <f>IF($D756="",0,IFERROR(LOOKUP(2,1/(($D$3:D755=$D756)*($C$3:C755=$C756)*($A$3:A755&lt;$A756)),$AB$3:AB755),1000))</f>
        <v>0</v>
      </c>
      <c r="V756" s="120">
        <f t="shared" si="198"/>
        <v>0</v>
      </c>
      <c r="W756">
        <f t="shared" si="199"/>
        <v>0</v>
      </c>
      <c r="X756">
        <f t="shared" si="200"/>
        <v>0</v>
      </c>
      <c r="Y756">
        <f t="shared" si="201"/>
        <v>0</v>
      </c>
      <c r="Z756">
        <f t="shared" si="202"/>
        <v>0</v>
      </c>
      <c r="AA756">
        <f>IF($D756="",0,IF($F756&lt;2,0,IF($E756="Win",('Guide &amp; Settings'!$C$42/(($F756-1)*COUNTIFS($A$4:$A$810,$A756,$E$4:$E$810,"Win")))*SUMIFS($Z$4:$Z$810,$A$4:$A$810,$A756,$E$4:$E$810,"Loss"),-('Guide &amp; Settings'!$C$42/($F756-1))*$Z756)))</f>
        <v>0</v>
      </c>
      <c r="AB756" s="120">
        <f t="shared" si="203"/>
        <v>0</v>
      </c>
      <c r="AC756" s="120" t="str">
        <f>IF($D756="","",IF(SUMPRODUCT(MAX(($D$4:$D$810=$D756)*($B$4:$B$810&lt;$B756)*$B$4:$B$810))=0,0,MAX(($B756-MAX(SUMPRODUCT(MAX(($D$4:$D$810=$D756)*($B$4:$B$810&lt;$B756)*$B$4:$B$810)),'Guide &amp; Settings'!$C$50))/7-'Guide &amp; Settings'!$C$48,0)*'Guide &amp; Settings'!$C$49))</f>
        <v/>
      </c>
    </row>
    <row r="757" spans="1:29" x14ac:dyDescent="0.2">
      <c r="A757" s="111"/>
      <c r="B757" s="112"/>
      <c r="C757" s="113"/>
      <c r="D757" s="113"/>
      <c r="E757" s="111"/>
      <c r="F757" s="114">
        <f t="shared" si="187"/>
        <v>0</v>
      </c>
      <c r="G757" s="115" t="str">
        <f t="shared" si="188"/>
        <v/>
      </c>
      <c r="H757" s="116">
        <f>IF($D757="",0,IFERROR(LOOKUP(2,1/(($D$3:D756=$D757)*($A$3:A756&lt;$A757)),$N$3:N756),'Guide &amp; Settings'!$C$41))</f>
        <v>0</v>
      </c>
      <c r="I757" s="117">
        <f t="shared" si="189"/>
        <v>0</v>
      </c>
      <c r="J757" s="118">
        <f>IF($D757="",0,IF($F757&lt;2,0,IF($E757="Win",('Guide &amp; Settings'!$C$42/(($F757-1)*COUNTIFS($A$4:$A$810,$A757,$E$4:$E$810,"Win")))*SUMIFS($X$4:$X$810,$A$4:$A$810,$A757,$E$4:$E$810,"Loss"),-('Guide &amp; Settings'!$C$42/($F757-1))*$X757)))</f>
        <v>0</v>
      </c>
      <c r="K757" s="118">
        <f>IF($D757="",0,'Guide &amp; Settings'!$C$43*(IF($E757="Win",1,0)-$I757))</f>
        <v>0</v>
      </c>
      <c r="L757" s="119">
        <f>IF($D757="",0,'Guide &amp; Settings'!$C$44*IF($F757&gt;=3,$F757,0))</f>
        <v>0</v>
      </c>
      <c r="M757" s="118">
        <f t="shared" si="190"/>
        <v>0</v>
      </c>
      <c r="N757" s="116">
        <f t="shared" si="191"/>
        <v>0</v>
      </c>
      <c r="O757" s="115" t="str">
        <f t="shared" si="192"/>
        <v/>
      </c>
      <c r="P757">
        <f t="shared" si="193"/>
        <v>0</v>
      </c>
      <c r="Q757">
        <f t="shared" si="194"/>
        <v>0</v>
      </c>
      <c r="R757">
        <f t="shared" si="195"/>
        <v>0</v>
      </c>
      <c r="S757">
        <f t="shared" si="196"/>
        <v>0</v>
      </c>
      <c r="T757" s="83">
        <f t="shared" si="197"/>
        <v>0</v>
      </c>
      <c r="U757" s="120">
        <f>IF($D757="",0,IFERROR(LOOKUP(2,1/(($D$3:D756=$D757)*($C$3:C756=$C757)*($A$3:A756&lt;$A757)),$AB$3:AB756),1000))</f>
        <v>0</v>
      </c>
      <c r="V757" s="120">
        <f t="shared" si="198"/>
        <v>0</v>
      </c>
      <c r="W757">
        <f t="shared" si="199"/>
        <v>0</v>
      </c>
      <c r="X757">
        <f t="shared" si="200"/>
        <v>0</v>
      </c>
      <c r="Y757">
        <f t="shared" si="201"/>
        <v>0</v>
      </c>
      <c r="Z757">
        <f t="shared" si="202"/>
        <v>0</v>
      </c>
      <c r="AA757">
        <f>IF($D757="",0,IF($F757&lt;2,0,IF($E757="Win",('Guide &amp; Settings'!$C$42/(($F757-1)*COUNTIFS($A$4:$A$810,$A757,$E$4:$E$810,"Win")))*SUMIFS($Z$4:$Z$810,$A$4:$A$810,$A757,$E$4:$E$810,"Loss"),-('Guide &amp; Settings'!$C$42/($F757-1))*$Z757)))</f>
        <v>0</v>
      </c>
      <c r="AB757" s="120">
        <f t="shared" si="203"/>
        <v>0</v>
      </c>
      <c r="AC757" s="120" t="str">
        <f>IF($D757="","",IF(SUMPRODUCT(MAX(($D$4:$D$810=$D757)*($B$4:$B$810&lt;$B757)*$B$4:$B$810))=0,0,MAX(($B757-MAX(SUMPRODUCT(MAX(($D$4:$D$810=$D757)*($B$4:$B$810&lt;$B757)*$B$4:$B$810)),'Guide &amp; Settings'!$C$50))/7-'Guide &amp; Settings'!$C$48,0)*'Guide &amp; Settings'!$C$49))</f>
        <v/>
      </c>
    </row>
    <row r="758" spans="1:29" x14ac:dyDescent="0.2">
      <c r="A758" s="111"/>
      <c r="B758" s="112"/>
      <c r="C758" s="113"/>
      <c r="D758" s="113"/>
      <c r="E758" s="111"/>
      <c r="F758" s="114">
        <f t="shared" si="187"/>
        <v>0</v>
      </c>
      <c r="G758" s="115" t="str">
        <f t="shared" si="188"/>
        <v/>
      </c>
      <c r="H758" s="116">
        <f>IF($D758="",0,IFERROR(LOOKUP(2,1/(($D$3:D757=$D758)*($A$3:A757&lt;$A758)),$N$3:N757),'Guide &amp; Settings'!$C$41))</f>
        <v>0</v>
      </c>
      <c r="I758" s="117">
        <f t="shared" si="189"/>
        <v>0</v>
      </c>
      <c r="J758" s="118">
        <f>IF($D758="",0,IF($F758&lt;2,0,IF($E758="Win",('Guide &amp; Settings'!$C$42/(($F758-1)*COUNTIFS($A$4:$A$810,$A758,$E$4:$E$810,"Win")))*SUMIFS($X$4:$X$810,$A$4:$A$810,$A758,$E$4:$E$810,"Loss"),-('Guide &amp; Settings'!$C$42/($F758-1))*$X758)))</f>
        <v>0</v>
      </c>
      <c r="K758" s="118">
        <f>IF($D758="",0,'Guide &amp; Settings'!$C$43*(IF($E758="Win",1,0)-$I758))</f>
        <v>0</v>
      </c>
      <c r="L758" s="119">
        <f>IF($D758="",0,'Guide &amp; Settings'!$C$44*IF($F758&gt;=3,$F758,0))</f>
        <v>0</v>
      </c>
      <c r="M758" s="118">
        <f t="shared" si="190"/>
        <v>0</v>
      </c>
      <c r="N758" s="116">
        <f t="shared" si="191"/>
        <v>0</v>
      </c>
      <c r="O758" s="115" t="str">
        <f t="shared" si="192"/>
        <v/>
      </c>
      <c r="P758">
        <f t="shared" si="193"/>
        <v>0</v>
      </c>
      <c r="Q758">
        <f t="shared" si="194"/>
        <v>0</v>
      </c>
      <c r="R758">
        <f t="shared" si="195"/>
        <v>0</v>
      </c>
      <c r="S758">
        <f t="shared" si="196"/>
        <v>0</v>
      </c>
      <c r="T758" s="83">
        <f t="shared" si="197"/>
        <v>0</v>
      </c>
      <c r="U758" s="120">
        <f>IF($D758="",0,IFERROR(LOOKUP(2,1/(($D$3:D757=$D758)*($C$3:C757=$C758)*($A$3:A757&lt;$A758)),$AB$3:AB757),1000))</f>
        <v>0</v>
      </c>
      <c r="V758" s="120">
        <f t="shared" si="198"/>
        <v>0</v>
      </c>
      <c r="W758">
        <f t="shared" si="199"/>
        <v>0</v>
      </c>
      <c r="X758">
        <f t="shared" si="200"/>
        <v>0</v>
      </c>
      <c r="Y758">
        <f t="shared" si="201"/>
        <v>0</v>
      </c>
      <c r="Z758">
        <f t="shared" si="202"/>
        <v>0</v>
      </c>
      <c r="AA758">
        <f>IF($D758="",0,IF($F758&lt;2,0,IF($E758="Win",('Guide &amp; Settings'!$C$42/(($F758-1)*COUNTIFS($A$4:$A$810,$A758,$E$4:$E$810,"Win")))*SUMIFS($Z$4:$Z$810,$A$4:$A$810,$A758,$E$4:$E$810,"Loss"),-('Guide &amp; Settings'!$C$42/($F758-1))*$Z758)))</f>
        <v>0</v>
      </c>
      <c r="AB758" s="120">
        <f t="shared" si="203"/>
        <v>0</v>
      </c>
      <c r="AC758" s="120" t="str">
        <f>IF($D758="","",IF(SUMPRODUCT(MAX(($D$4:$D$810=$D758)*($B$4:$B$810&lt;$B758)*$B$4:$B$810))=0,0,MAX(($B758-MAX(SUMPRODUCT(MAX(($D$4:$D$810=$D758)*($B$4:$B$810&lt;$B758)*$B$4:$B$810)),'Guide &amp; Settings'!$C$50))/7-'Guide &amp; Settings'!$C$48,0)*'Guide &amp; Settings'!$C$49))</f>
        <v/>
      </c>
    </row>
    <row r="759" spans="1:29" x14ac:dyDescent="0.2">
      <c r="A759" s="111"/>
      <c r="B759" s="112"/>
      <c r="C759" s="113"/>
      <c r="D759" s="113"/>
      <c r="E759" s="111"/>
      <c r="F759" s="114">
        <f t="shared" si="187"/>
        <v>0</v>
      </c>
      <c r="G759" s="115" t="str">
        <f t="shared" si="188"/>
        <v/>
      </c>
      <c r="H759" s="116">
        <f>IF($D759="",0,IFERROR(LOOKUP(2,1/(($D$3:D758=$D759)*($A$3:A758&lt;$A759)),$N$3:N758),'Guide &amp; Settings'!$C$41))</f>
        <v>0</v>
      </c>
      <c r="I759" s="117">
        <f t="shared" si="189"/>
        <v>0</v>
      </c>
      <c r="J759" s="118">
        <f>IF($D759="",0,IF($F759&lt;2,0,IF($E759="Win",('Guide &amp; Settings'!$C$42/(($F759-1)*COUNTIFS($A$4:$A$810,$A759,$E$4:$E$810,"Win")))*SUMIFS($X$4:$X$810,$A$4:$A$810,$A759,$E$4:$E$810,"Loss"),-('Guide &amp; Settings'!$C$42/($F759-1))*$X759)))</f>
        <v>0</v>
      </c>
      <c r="K759" s="118">
        <f>IF($D759="",0,'Guide &amp; Settings'!$C$43*(IF($E759="Win",1,0)-$I759))</f>
        <v>0</v>
      </c>
      <c r="L759" s="119">
        <f>IF($D759="",0,'Guide &amp; Settings'!$C$44*IF($F759&gt;=3,$F759,0))</f>
        <v>0</v>
      </c>
      <c r="M759" s="118">
        <f t="shared" si="190"/>
        <v>0</v>
      </c>
      <c r="N759" s="116">
        <f t="shared" si="191"/>
        <v>0</v>
      </c>
      <c r="O759" s="115" t="str">
        <f t="shared" si="192"/>
        <v/>
      </c>
      <c r="P759">
        <f t="shared" si="193"/>
        <v>0</v>
      </c>
      <c r="Q759">
        <f t="shared" si="194"/>
        <v>0</v>
      </c>
      <c r="R759">
        <f t="shared" si="195"/>
        <v>0</v>
      </c>
      <c r="S759">
        <f t="shared" si="196"/>
        <v>0</v>
      </c>
      <c r="T759" s="83">
        <f t="shared" si="197"/>
        <v>0</v>
      </c>
      <c r="U759" s="120">
        <f>IF($D759="",0,IFERROR(LOOKUP(2,1/(($D$3:D758=$D759)*($C$3:C758=$C759)*($A$3:A758&lt;$A759)),$AB$3:AB758),1000))</f>
        <v>0</v>
      </c>
      <c r="V759" s="120">
        <f t="shared" si="198"/>
        <v>0</v>
      </c>
      <c r="W759">
        <f t="shared" si="199"/>
        <v>0</v>
      </c>
      <c r="X759">
        <f t="shared" si="200"/>
        <v>0</v>
      </c>
      <c r="Y759">
        <f t="shared" si="201"/>
        <v>0</v>
      </c>
      <c r="Z759">
        <f t="shared" si="202"/>
        <v>0</v>
      </c>
      <c r="AA759">
        <f>IF($D759="",0,IF($F759&lt;2,0,IF($E759="Win",('Guide &amp; Settings'!$C$42/(($F759-1)*COUNTIFS($A$4:$A$810,$A759,$E$4:$E$810,"Win")))*SUMIFS($Z$4:$Z$810,$A$4:$A$810,$A759,$E$4:$E$810,"Loss"),-('Guide &amp; Settings'!$C$42/($F759-1))*$Z759)))</f>
        <v>0</v>
      </c>
      <c r="AB759" s="120">
        <f t="shared" si="203"/>
        <v>0</v>
      </c>
      <c r="AC759" s="120" t="str">
        <f>IF($D759="","",IF(SUMPRODUCT(MAX(($D$4:$D$810=$D759)*($B$4:$B$810&lt;$B759)*$B$4:$B$810))=0,0,MAX(($B759-MAX(SUMPRODUCT(MAX(($D$4:$D$810=$D759)*($B$4:$B$810&lt;$B759)*$B$4:$B$810)),'Guide &amp; Settings'!$C$50))/7-'Guide &amp; Settings'!$C$48,0)*'Guide &amp; Settings'!$C$49))</f>
        <v/>
      </c>
    </row>
    <row r="760" spans="1:29" x14ac:dyDescent="0.2">
      <c r="A760" s="111"/>
      <c r="B760" s="112"/>
      <c r="C760" s="113"/>
      <c r="D760" s="113"/>
      <c r="E760" s="111"/>
      <c r="F760" s="114">
        <f t="shared" ref="F760:F810" si="204">IF($D760="",0,COUNTIF($A$4:$A$810,$A760))</f>
        <v>0</v>
      </c>
      <c r="G760" s="115" t="str">
        <f t="shared" ref="G760:G810" si="205">IF($D760="","",IFERROR(LOOKUP(2,1/(($A$4:$A$810=$A760)*($E$4:$E$810="Win")),$D$4:$D$810),"(no winner)"))</f>
        <v/>
      </c>
      <c r="H760" s="116">
        <f>IF($D760="",0,IFERROR(LOOKUP(2,1/(($D$3:D759=$D760)*($A$3:A759&lt;$A760)),$N$3:N759),'Guide &amp; Settings'!$C$41))</f>
        <v>0</v>
      </c>
      <c r="I760" s="117">
        <f t="shared" ref="I760:I810" si="206">IF($D760="",0,IF($S760=0,0,$R760/$S760))</f>
        <v>0</v>
      </c>
      <c r="J760" s="118">
        <f>IF($D760="",0,IF($F760&lt;2,0,IF($E760="Win",('Guide &amp; Settings'!$C$42/(($F760-1)*COUNTIFS($A$4:$A$810,$A760,$E$4:$E$810,"Win")))*SUMIFS($X$4:$X$810,$A$4:$A$810,$A760,$E$4:$E$810,"Loss"),-('Guide &amp; Settings'!$C$42/($F760-1))*$X760)))</f>
        <v>0</v>
      </c>
      <c r="K760" s="118">
        <f>IF($D760="",0,'Guide &amp; Settings'!$C$43*(IF($E760="Win",1,0)-$I760))</f>
        <v>0</v>
      </c>
      <c r="L760" s="119">
        <f>IF($D760="",0,'Guide &amp; Settings'!$C$44*IF($F760&gt;=3,$F760,0))</f>
        <v>0</v>
      </c>
      <c r="M760" s="118">
        <f t="shared" ref="M760:M810" si="207">IF($D760="",0,$J760+$K760+$L760)</f>
        <v>0</v>
      </c>
      <c r="N760" s="116">
        <f t="shared" ref="N760:N810" si="208">IF($D760="",0,$H760+$M760)</f>
        <v>0</v>
      </c>
      <c r="O760" s="115" t="str">
        <f t="shared" ref="O760:O810" si="209">IF($D760="","",IF(COUNTIFS($A$4:$A$810,$A760,$E$4:$E$810,"Win")=0,"need a winner",IF(COUNTIFS($A$4:$A$810,$A760,$E$4:$E$810,"Loss")=0,"need a loser",IF(COUNTIFS($A$4:$A$810,$A760,$D$4:$D$810,$D760)&gt;1,"duplicate player","OK"))))</f>
        <v/>
      </c>
      <c r="P760">
        <f t="shared" ref="P760:P810" si="210">IF($D760="",0,IFERROR(SUMIFS($H$4:$H$810,$A$4:$A$810,$A760,$E$4:$E$810,"Win")/COUNTIFS($A$4:$A$810,$A760,$E$4:$E$810,"Win"),0))</f>
        <v>0</v>
      </c>
      <c r="Q760">
        <f t="shared" ref="Q760:Q810" si="211">IF($D760="",0,1/(1+10^(($P760-$H760)/400)))</f>
        <v>0</v>
      </c>
      <c r="R760">
        <f t="shared" ref="R760:R810" si="212">IF($D760="",0,(COUNTIFS($D$4:$D$810,$D760,$C$4:$C$810,$C760,$E$4:$E$810,"Win",$A$4:$A$810,"&lt;"&amp;$A760)+1)/(COUNTIFS($D$4:$D$810,$D760,$C$4:$C$810,$C760,$A$4:$A$810,"&lt;"&amp;$A760)+2))</f>
        <v>0</v>
      </c>
      <c r="S760">
        <f t="shared" ref="S760:S810" si="213">IF($D760="",0,SUMIFS($R$4:$R$810,$A$4:$A$810,$A760))</f>
        <v>0</v>
      </c>
      <c r="T760" s="83">
        <f t="shared" ref="T760:T810" si="214">IF($D760="",0,COUNTIFS($D$4:$D$810,$D760,$C$4:$C$810,$C760,$A$4:$A$810,"&lt;"&amp;$A760))</f>
        <v>0</v>
      </c>
      <c r="U760" s="120">
        <f>IF($D760="",0,IFERROR(LOOKUP(2,1/(($D$3:D759=$D760)*($C$3:C759=$C760)*($A$3:A759&lt;$A760)),$AB$3:AB759),1000))</f>
        <v>0</v>
      </c>
      <c r="V760" s="120">
        <f t="shared" ref="V760:V810" si="215">IF($D760="",0,$U760*($T760/($T760+5))+$H760*(1-$T760/($T760+5)))</f>
        <v>0</v>
      </c>
      <c r="W760">
        <f t="shared" ref="W760:W810" si="216">IF($D760="",0,IFERROR(SUMIFS($V$4:$V$810,$A$4:$A$810,$A760,$E$4:$E$810,"Win")/COUNTIFS($A$4:$A$810,$A760,$E$4:$E$810,"Win"),0))</f>
        <v>0</v>
      </c>
      <c r="X760">
        <f t="shared" ref="X760:X810" si="217">IF($D760="",0,1/(1+10^(($W760-$V760)/400)))</f>
        <v>0</v>
      </c>
      <c r="Y760">
        <f t="shared" ref="Y760:Y810" si="218">IF($D760="",0,IFERROR(SUMIFS($U$4:$U$810,$A$4:$A$810,$A760,$E$4:$E$810,"Win")/COUNTIFS($A$4:$A$810,$A760,$E$4:$E$810,"Win"),0))</f>
        <v>0</v>
      </c>
      <c r="Z760">
        <f t="shared" ref="Z760:Z810" si="219">IF($D760="",0,1/(1+10^(($Y760-$U760)/400)))</f>
        <v>0</v>
      </c>
      <c r="AA760">
        <f>IF($D760="",0,IF($F760&lt;2,0,IF($E760="Win",('Guide &amp; Settings'!$C$42/(($F760-1)*COUNTIFS($A$4:$A$810,$A760,$E$4:$E$810,"Win")))*SUMIFS($Z$4:$Z$810,$A$4:$A$810,$A760,$E$4:$E$810,"Loss"),-('Guide &amp; Settings'!$C$42/($F760-1))*$Z760)))</f>
        <v>0</v>
      </c>
      <c r="AB760" s="120">
        <f t="shared" ref="AB760:AB810" si="220">IF($D760="",0,$U760+$AA760)</f>
        <v>0</v>
      </c>
      <c r="AC760" s="120" t="str">
        <f>IF($D760="","",IF(SUMPRODUCT(MAX(($D$4:$D$810=$D760)*($B$4:$B$810&lt;$B760)*$B$4:$B$810))=0,0,MAX(($B760-MAX(SUMPRODUCT(MAX(($D$4:$D$810=$D760)*($B$4:$B$810&lt;$B760)*$B$4:$B$810)),'Guide &amp; Settings'!$C$50))/7-'Guide &amp; Settings'!$C$48,0)*'Guide &amp; Settings'!$C$49))</f>
        <v/>
      </c>
    </row>
    <row r="761" spans="1:29" x14ac:dyDescent="0.2">
      <c r="A761" s="111"/>
      <c r="B761" s="112"/>
      <c r="C761" s="113"/>
      <c r="D761" s="113"/>
      <c r="E761" s="111"/>
      <c r="F761" s="114">
        <f t="shared" si="204"/>
        <v>0</v>
      </c>
      <c r="G761" s="115" t="str">
        <f t="shared" si="205"/>
        <v/>
      </c>
      <c r="H761" s="116">
        <f>IF($D761="",0,IFERROR(LOOKUP(2,1/(($D$3:D760=$D761)*($A$3:A760&lt;$A761)),$N$3:N760),'Guide &amp; Settings'!$C$41))</f>
        <v>0</v>
      </c>
      <c r="I761" s="117">
        <f t="shared" si="206"/>
        <v>0</v>
      </c>
      <c r="J761" s="118">
        <f>IF($D761="",0,IF($F761&lt;2,0,IF($E761="Win",('Guide &amp; Settings'!$C$42/(($F761-1)*COUNTIFS($A$4:$A$810,$A761,$E$4:$E$810,"Win")))*SUMIFS($X$4:$X$810,$A$4:$A$810,$A761,$E$4:$E$810,"Loss"),-('Guide &amp; Settings'!$C$42/($F761-1))*$X761)))</f>
        <v>0</v>
      </c>
      <c r="K761" s="118">
        <f>IF($D761="",0,'Guide &amp; Settings'!$C$43*(IF($E761="Win",1,0)-$I761))</f>
        <v>0</v>
      </c>
      <c r="L761" s="119">
        <f>IF($D761="",0,'Guide &amp; Settings'!$C$44*IF($F761&gt;=3,$F761,0))</f>
        <v>0</v>
      </c>
      <c r="M761" s="118">
        <f t="shared" si="207"/>
        <v>0</v>
      </c>
      <c r="N761" s="116">
        <f t="shared" si="208"/>
        <v>0</v>
      </c>
      <c r="O761" s="115" t="str">
        <f t="shared" si="209"/>
        <v/>
      </c>
      <c r="P761">
        <f t="shared" si="210"/>
        <v>0</v>
      </c>
      <c r="Q761">
        <f t="shared" si="211"/>
        <v>0</v>
      </c>
      <c r="R761">
        <f t="shared" si="212"/>
        <v>0</v>
      </c>
      <c r="S761">
        <f t="shared" si="213"/>
        <v>0</v>
      </c>
      <c r="T761" s="83">
        <f t="shared" si="214"/>
        <v>0</v>
      </c>
      <c r="U761" s="120">
        <f>IF($D761="",0,IFERROR(LOOKUP(2,1/(($D$3:D760=$D761)*($C$3:C760=$C761)*($A$3:A760&lt;$A761)),$AB$3:AB760),1000))</f>
        <v>0</v>
      </c>
      <c r="V761" s="120">
        <f t="shared" si="215"/>
        <v>0</v>
      </c>
      <c r="W761">
        <f t="shared" si="216"/>
        <v>0</v>
      </c>
      <c r="X761">
        <f t="shared" si="217"/>
        <v>0</v>
      </c>
      <c r="Y761">
        <f t="shared" si="218"/>
        <v>0</v>
      </c>
      <c r="Z761">
        <f t="shared" si="219"/>
        <v>0</v>
      </c>
      <c r="AA761">
        <f>IF($D761="",0,IF($F761&lt;2,0,IF($E761="Win",('Guide &amp; Settings'!$C$42/(($F761-1)*COUNTIFS($A$4:$A$810,$A761,$E$4:$E$810,"Win")))*SUMIFS($Z$4:$Z$810,$A$4:$A$810,$A761,$E$4:$E$810,"Loss"),-('Guide &amp; Settings'!$C$42/($F761-1))*$Z761)))</f>
        <v>0</v>
      </c>
      <c r="AB761" s="120">
        <f t="shared" si="220"/>
        <v>0</v>
      </c>
      <c r="AC761" s="120" t="str">
        <f>IF($D761="","",IF(SUMPRODUCT(MAX(($D$4:$D$810=$D761)*($B$4:$B$810&lt;$B761)*$B$4:$B$810))=0,0,MAX(($B761-MAX(SUMPRODUCT(MAX(($D$4:$D$810=$D761)*($B$4:$B$810&lt;$B761)*$B$4:$B$810)),'Guide &amp; Settings'!$C$50))/7-'Guide &amp; Settings'!$C$48,0)*'Guide &amp; Settings'!$C$49))</f>
        <v/>
      </c>
    </row>
    <row r="762" spans="1:29" x14ac:dyDescent="0.2">
      <c r="A762" s="111"/>
      <c r="B762" s="112"/>
      <c r="C762" s="113"/>
      <c r="D762" s="113"/>
      <c r="E762" s="111"/>
      <c r="F762" s="114">
        <f t="shared" si="204"/>
        <v>0</v>
      </c>
      <c r="G762" s="115" t="str">
        <f t="shared" si="205"/>
        <v/>
      </c>
      <c r="H762" s="116">
        <f>IF($D762="",0,IFERROR(LOOKUP(2,1/(($D$3:D761=$D762)*($A$3:A761&lt;$A762)),$N$3:N761),'Guide &amp; Settings'!$C$41))</f>
        <v>0</v>
      </c>
      <c r="I762" s="117">
        <f t="shared" si="206"/>
        <v>0</v>
      </c>
      <c r="J762" s="118">
        <f>IF($D762="",0,IF($F762&lt;2,0,IF($E762="Win",('Guide &amp; Settings'!$C$42/(($F762-1)*COUNTIFS($A$4:$A$810,$A762,$E$4:$E$810,"Win")))*SUMIFS($X$4:$X$810,$A$4:$A$810,$A762,$E$4:$E$810,"Loss"),-('Guide &amp; Settings'!$C$42/($F762-1))*$X762)))</f>
        <v>0</v>
      </c>
      <c r="K762" s="118">
        <f>IF($D762="",0,'Guide &amp; Settings'!$C$43*(IF($E762="Win",1,0)-$I762))</f>
        <v>0</v>
      </c>
      <c r="L762" s="119">
        <f>IF($D762="",0,'Guide &amp; Settings'!$C$44*IF($F762&gt;=3,$F762,0))</f>
        <v>0</v>
      </c>
      <c r="M762" s="118">
        <f t="shared" si="207"/>
        <v>0</v>
      </c>
      <c r="N762" s="116">
        <f t="shared" si="208"/>
        <v>0</v>
      </c>
      <c r="O762" s="115" t="str">
        <f t="shared" si="209"/>
        <v/>
      </c>
      <c r="P762">
        <f t="shared" si="210"/>
        <v>0</v>
      </c>
      <c r="Q762">
        <f t="shared" si="211"/>
        <v>0</v>
      </c>
      <c r="R762">
        <f t="shared" si="212"/>
        <v>0</v>
      </c>
      <c r="S762">
        <f t="shared" si="213"/>
        <v>0</v>
      </c>
      <c r="T762" s="83">
        <f t="shared" si="214"/>
        <v>0</v>
      </c>
      <c r="U762" s="120">
        <f>IF($D762="",0,IFERROR(LOOKUP(2,1/(($D$3:D761=$D762)*($C$3:C761=$C762)*($A$3:A761&lt;$A762)),$AB$3:AB761),1000))</f>
        <v>0</v>
      </c>
      <c r="V762" s="120">
        <f t="shared" si="215"/>
        <v>0</v>
      </c>
      <c r="W762">
        <f t="shared" si="216"/>
        <v>0</v>
      </c>
      <c r="X762">
        <f t="shared" si="217"/>
        <v>0</v>
      </c>
      <c r="Y762">
        <f t="shared" si="218"/>
        <v>0</v>
      </c>
      <c r="Z762">
        <f t="shared" si="219"/>
        <v>0</v>
      </c>
      <c r="AA762">
        <f>IF($D762="",0,IF($F762&lt;2,0,IF($E762="Win",('Guide &amp; Settings'!$C$42/(($F762-1)*COUNTIFS($A$4:$A$810,$A762,$E$4:$E$810,"Win")))*SUMIFS($Z$4:$Z$810,$A$4:$A$810,$A762,$E$4:$E$810,"Loss"),-('Guide &amp; Settings'!$C$42/($F762-1))*$Z762)))</f>
        <v>0</v>
      </c>
      <c r="AB762" s="120">
        <f t="shared" si="220"/>
        <v>0</v>
      </c>
      <c r="AC762" s="120" t="str">
        <f>IF($D762="","",IF(SUMPRODUCT(MAX(($D$4:$D$810=$D762)*($B$4:$B$810&lt;$B762)*$B$4:$B$810))=0,0,MAX(($B762-MAX(SUMPRODUCT(MAX(($D$4:$D$810=$D762)*($B$4:$B$810&lt;$B762)*$B$4:$B$810)),'Guide &amp; Settings'!$C$50))/7-'Guide &amp; Settings'!$C$48,0)*'Guide &amp; Settings'!$C$49))</f>
        <v/>
      </c>
    </row>
    <row r="763" spans="1:29" x14ac:dyDescent="0.2">
      <c r="A763" s="111"/>
      <c r="B763" s="112"/>
      <c r="C763" s="113"/>
      <c r="D763" s="113"/>
      <c r="E763" s="111"/>
      <c r="F763" s="114">
        <f t="shared" si="204"/>
        <v>0</v>
      </c>
      <c r="G763" s="115" t="str">
        <f t="shared" si="205"/>
        <v/>
      </c>
      <c r="H763" s="116">
        <f>IF($D763="",0,IFERROR(LOOKUP(2,1/(($D$3:D762=$D763)*($A$3:A762&lt;$A763)),$N$3:N762),'Guide &amp; Settings'!$C$41))</f>
        <v>0</v>
      </c>
      <c r="I763" s="117">
        <f t="shared" si="206"/>
        <v>0</v>
      </c>
      <c r="J763" s="118">
        <f>IF($D763="",0,IF($F763&lt;2,0,IF($E763="Win",('Guide &amp; Settings'!$C$42/(($F763-1)*COUNTIFS($A$4:$A$810,$A763,$E$4:$E$810,"Win")))*SUMIFS($X$4:$X$810,$A$4:$A$810,$A763,$E$4:$E$810,"Loss"),-('Guide &amp; Settings'!$C$42/($F763-1))*$X763)))</f>
        <v>0</v>
      </c>
      <c r="K763" s="118">
        <f>IF($D763="",0,'Guide &amp; Settings'!$C$43*(IF($E763="Win",1,0)-$I763))</f>
        <v>0</v>
      </c>
      <c r="L763" s="119">
        <f>IF($D763="",0,'Guide &amp; Settings'!$C$44*IF($F763&gt;=3,$F763,0))</f>
        <v>0</v>
      </c>
      <c r="M763" s="118">
        <f t="shared" si="207"/>
        <v>0</v>
      </c>
      <c r="N763" s="116">
        <f t="shared" si="208"/>
        <v>0</v>
      </c>
      <c r="O763" s="115" t="str">
        <f t="shared" si="209"/>
        <v/>
      </c>
      <c r="P763">
        <f t="shared" si="210"/>
        <v>0</v>
      </c>
      <c r="Q763">
        <f t="shared" si="211"/>
        <v>0</v>
      </c>
      <c r="R763">
        <f t="shared" si="212"/>
        <v>0</v>
      </c>
      <c r="S763">
        <f t="shared" si="213"/>
        <v>0</v>
      </c>
      <c r="T763" s="83">
        <f t="shared" si="214"/>
        <v>0</v>
      </c>
      <c r="U763" s="120">
        <f>IF($D763="",0,IFERROR(LOOKUP(2,1/(($D$3:D762=$D763)*($C$3:C762=$C763)*($A$3:A762&lt;$A763)),$AB$3:AB762),1000))</f>
        <v>0</v>
      </c>
      <c r="V763" s="120">
        <f t="shared" si="215"/>
        <v>0</v>
      </c>
      <c r="W763">
        <f t="shared" si="216"/>
        <v>0</v>
      </c>
      <c r="X763">
        <f t="shared" si="217"/>
        <v>0</v>
      </c>
      <c r="Y763">
        <f t="shared" si="218"/>
        <v>0</v>
      </c>
      <c r="Z763">
        <f t="shared" si="219"/>
        <v>0</v>
      </c>
      <c r="AA763">
        <f>IF($D763="",0,IF($F763&lt;2,0,IF($E763="Win",('Guide &amp; Settings'!$C$42/(($F763-1)*COUNTIFS($A$4:$A$810,$A763,$E$4:$E$810,"Win")))*SUMIFS($Z$4:$Z$810,$A$4:$A$810,$A763,$E$4:$E$810,"Loss"),-('Guide &amp; Settings'!$C$42/($F763-1))*$Z763)))</f>
        <v>0</v>
      </c>
      <c r="AB763" s="120">
        <f t="shared" si="220"/>
        <v>0</v>
      </c>
      <c r="AC763" s="120" t="str">
        <f>IF($D763="","",IF(SUMPRODUCT(MAX(($D$4:$D$810=$D763)*($B$4:$B$810&lt;$B763)*$B$4:$B$810))=0,0,MAX(($B763-MAX(SUMPRODUCT(MAX(($D$4:$D$810=$D763)*($B$4:$B$810&lt;$B763)*$B$4:$B$810)),'Guide &amp; Settings'!$C$50))/7-'Guide &amp; Settings'!$C$48,0)*'Guide &amp; Settings'!$C$49))</f>
        <v/>
      </c>
    </row>
    <row r="764" spans="1:29" x14ac:dyDescent="0.2">
      <c r="A764" s="111"/>
      <c r="B764" s="112"/>
      <c r="C764" s="113"/>
      <c r="D764" s="113"/>
      <c r="E764" s="111"/>
      <c r="F764" s="114">
        <f t="shared" si="204"/>
        <v>0</v>
      </c>
      <c r="G764" s="115" t="str">
        <f t="shared" si="205"/>
        <v/>
      </c>
      <c r="H764" s="116">
        <f>IF($D764="",0,IFERROR(LOOKUP(2,1/(($D$3:D763=$D764)*($A$3:A763&lt;$A764)),$N$3:N763),'Guide &amp; Settings'!$C$41))</f>
        <v>0</v>
      </c>
      <c r="I764" s="117">
        <f t="shared" si="206"/>
        <v>0</v>
      </c>
      <c r="J764" s="118">
        <f>IF($D764="",0,IF($F764&lt;2,0,IF($E764="Win",('Guide &amp; Settings'!$C$42/(($F764-1)*COUNTIFS($A$4:$A$810,$A764,$E$4:$E$810,"Win")))*SUMIFS($X$4:$X$810,$A$4:$A$810,$A764,$E$4:$E$810,"Loss"),-('Guide &amp; Settings'!$C$42/($F764-1))*$X764)))</f>
        <v>0</v>
      </c>
      <c r="K764" s="118">
        <f>IF($D764="",0,'Guide &amp; Settings'!$C$43*(IF($E764="Win",1,0)-$I764))</f>
        <v>0</v>
      </c>
      <c r="L764" s="119">
        <f>IF($D764="",0,'Guide &amp; Settings'!$C$44*IF($F764&gt;=3,$F764,0))</f>
        <v>0</v>
      </c>
      <c r="M764" s="118">
        <f t="shared" si="207"/>
        <v>0</v>
      </c>
      <c r="N764" s="116">
        <f t="shared" si="208"/>
        <v>0</v>
      </c>
      <c r="O764" s="115" t="str">
        <f t="shared" si="209"/>
        <v/>
      </c>
      <c r="P764">
        <f t="shared" si="210"/>
        <v>0</v>
      </c>
      <c r="Q764">
        <f t="shared" si="211"/>
        <v>0</v>
      </c>
      <c r="R764">
        <f t="shared" si="212"/>
        <v>0</v>
      </c>
      <c r="S764">
        <f t="shared" si="213"/>
        <v>0</v>
      </c>
      <c r="T764" s="83">
        <f t="shared" si="214"/>
        <v>0</v>
      </c>
      <c r="U764" s="120">
        <f>IF($D764="",0,IFERROR(LOOKUP(2,1/(($D$3:D763=$D764)*($C$3:C763=$C764)*($A$3:A763&lt;$A764)),$AB$3:AB763),1000))</f>
        <v>0</v>
      </c>
      <c r="V764" s="120">
        <f t="shared" si="215"/>
        <v>0</v>
      </c>
      <c r="W764">
        <f t="shared" si="216"/>
        <v>0</v>
      </c>
      <c r="X764">
        <f t="shared" si="217"/>
        <v>0</v>
      </c>
      <c r="Y764">
        <f t="shared" si="218"/>
        <v>0</v>
      </c>
      <c r="Z764">
        <f t="shared" si="219"/>
        <v>0</v>
      </c>
      <c r="AA764">
        <f>IF($D764="",0,IF($F764&lt;2,0,IF($E764="Win",('Guide &amp; Settings'!$C$42/(($F764-1)*COUNTIFS($A$4:$A$810,$A764,$E$4:$E$810,"Win")))*SUMIFS($Z$4:$Z$810,$A$4:$A$810,$A764,$E$4:$E$810,"Loss"),-('Guide &amp; Settings'!$C$42/($F764-1))*$Z764)))</f>
        <v>0</v>
      </c>
      <c r="AB764" s="120">
        <f t="shared" si="220"/>
        <v>0</v>
      </c>
      <c r="AC764" s="120" t="str">
        <f>IF($D764="","",IF(SUMPRODUCT(MAX(($D$4:$D$810=$D764)*($B$4:$B$810&lt;$B764)*$B$4:$B$810))=0,0,MAX(($B764-MAX(SUMPRODUCT(MAX(($D$4:$D$810=$D764)*($B$4:$B$810&lt;$B764)*$B$4:$B$810)),'Guide &amp; Settings'!$C$50))/7-'Guide &amp; Settings'!$C$48,0)*'Guide &amp; Settings'!$C$49))</f>
        <v/>
      </c>
    </row>
    <row r="765" spans="1:29" x14ac:dyDescent="0.2">
      <c r="A765" s="111"/>
      <c r="B765" s="112"/>
      <c r="C765" s="113"/>
      <c r="D765" s="113"/>
      <c r="E765" s="111"/>
      <c r="F765" s="114">
        <f t="shared" si="204"/>
        <v>0</v>
      </c>
      <c r="G765" s="115" t="str">
        <f t="shared" si="205"/>
        <v/>
      </c>
      <c r="H765" s="116">
        <f>IF($D765="",0,IFERROR(LOOKUP(2,1/(($D$3:D764=$D765)*($A$3:A764&lt;$A765)),$N$3:N764),'Guide &amp; Settings'!$C$41))</f>
        <v>0</v>
      </c>
      <c r="I765" s="117">
        <f t="shared" si="206"/>
        <v>0</v>
      </c>
      <c r="J765" s="118">
        <f>IF($D765="",0,IF($F765&lt;2,0,IF($E765="Win",('Guide &amp; Settings'!$C$42/(($F765-1)*COUNTIFS($A$4:$A$810,$A765,$E$4:$E$810,"Win")))*SUMIFS($X$4:$X$810,$A$4:$A$810,$A765,$E$4:$E$810,"Loss"),-('Guide &amp; Settings'!$C$42/($F765-1))*$X765)))</f>
        <v>0</v>
      </c>
      <c r="K765" s="118">
        <f>IF($D765="",0,'Guide &amp; Settings'!$C$43*(IF($E765="Win",1,0)-$I765))</f>
        <v>0</v>
      </c>
      <c r="L765" s="119">
        <f>IF($D765="",0,'Guide &amp; Settings'!$C$44*IF($F765&gt;=3,$F765,0))</f>
        <v>0</v>
      </c>
      <c r="M765" s="118">
        <f t="shared" si="207"/>
        <v>0</v>
      </c>
      <c r="N765" s="116">
        <f t="shared" si="208"/>
        <v>0</v>
      </c>
      <c r="O765" s="115" t="str">
        <f t="shared" si="209"/>
        <v/>
      </c>
      <c r="P765">
        <f t="shared" si="210"/>
        <v>0</v>
      </c>
      <c r="Q765">
        <f t="shared" si="211"/>
        <v>0</v>
      </c>
      <c r="R765">
        <f t="shared" si="212"/>
        <v>0</v>
      </c>
      <c r="S765">
        <f t="shared" si="213"/>
        <v>0</v>
      </c>
      <c r="T765" s="83">
        <f t="shared" si="214"/>
        <v>0</v>
      </c>
      <c r="U765" s="120">
        <f>IF($D765="",0,IFERROR(LOOKUP(2,1/(($D$3:D764=$D765)*($C$3:C764=$C765)*($A$3:A764&lt;$A765)),$AB$3:AB764),1000))</f>
        <v>0</v>
      </c>
      <c r="V765" s="120">
        <f t="shared" si="215"/>
        <v>0</v>
      </c>
      <c r="W765">
        <f t="shared" si="216"/>
        <v>0</v>
      </c>
      <c r="X765">
        <f t="shared" si="217"/>
        <v>0</v>
      </c>
      <c r="Y765">
        <f t="shared" si="218"/>
        <v>0</v>
      </c>
      <c r="Z765">
        <f t="shared" si="219"/>
        <v>0</v>
      </c>
      <c r="AA765">
        <f>IF($D765="",0,IF($F765&lt;2,0,IF($E765="Win",('Guide &amp; Settings'!$C$42/(($F765-1)*COUNTIFS($A$4:$A$810,$A765,$E$4:$E$810,"Win")))*SUMIFS($Z$4:$Z$810,$A$4:$A$810,$A765,$E$4:$E$810,"Loss"),-('Guide &amp; Settings'!$C$42/($F765-1))*$Z765)))</f>
        <v>0</v>
      </c>
      <c r="AB765" s="120">
        <f t="shared" si="220"/>
        <v>0</v>
      </c>
      <c r="AC765" s="120" t="str">
        <f>IF($D765="","",IF(SUMPRODUCT(MAX(($D$4:$D$810=$D765)*($B$4:$B$810&lt;$B765)*$B$4:$B$810))=0,0,MAX(($B765-MAX(SUMPRODUCT(MAX(($D$4:$D$810=$D765)*($B$4:$B$810&lt;$B765)*$B$4:$B$810)),'Guide &amp; Settings'!$C$50))/7-'Guide &amp; Settings'!$C$48,0)*'Guide &amp; Settings'!$C$49))</f>
        <v/>
      </c>
    </row>
    <row r="766" spans="1:29" x14ac:dyDescent="0.2">
      <c r="A766" s="111"/>
      <c r="B766" s="112"/>
      <c r="C766" s="113"/>
      <c r="D766" s="113"/>
      <c r="E766" s="111"/>
      <c r="F766" s="114">
        <f t="shared" si="204"/>
        <v>0</v>
      </c>
      <c r="G766" s="115" t="str">
        <f t="shared" si="205"/>
        <v/>
      </c>
      <c r="H766" s="116">
        <f>IF($D766="",0,IFERROR(LOOKUP(2,1/(($D$3:D765=$D766)*($A$3:A765&lt;$A766)),$N$3:N765),'Guide &amp; Settings'!$C$41))</f>
        <v>0</v>
      </c>
      <c r="I766" s="117">
        <f t="shared" si="206"/>
        <v>0</v>
      </c>
      <c r="J766" s="118">
        <f>IF($D766="",0,IF($F766&lt;2,0,IF($E766="Win",('Guide &amp; Settings'!$C$42/(($F766-1)*COUNTIFS($A$4:$A$810,$A766,$E$4:$E$810,"Win")))*SUMIFS($X$4:$X$810,$A$4:$A$810,$A766,$E$4:$E$810,"Loss"),-('Guide &amp; Settings'!$C$42/($F766-1))*$X766)))</f>
        <v>0</v>
      </c>
      <c r="K766" s="118">
        <f>IF($D766="",0,'Guide &amp; Settings'!$C$43*(IF($E766="Win",1,0)-$I766))</f>
        <v>0</v>
      </c>
      <c r="L766" s="119">
        <f>IF($D766="",0,'Guide &amp; Settings'!$C$44*IF($F766&gt;=3,$F766,0))</f>
        <v>0</v>
      </c>
      <c r="M766" s="118">
        <f t="shared" si="207"/>
        <v>0</v>
      </c>
      <c r="N766" s="116">
        <f t="shared" si="208"/>
        <v>0</v>
      </c>
      <c r="O766" s="115" t="str">
        <f t="shared" si="209"/>
        <v/>
      </c>
      <c r="P766">
        <f t="shared" si="210"/>
        <v>0</v>
      </c>
      <c r="Q766">
        <f t="shared" si="211"/>
        <v>0</v>
      </c>
      <c r="R766">
        <f t="shared" si="212"/>
        <v>0</v>
      </c>
      <c r="S766">
        <f t="shared" si="213"/>
        <v>0</v>
      </c>
      <c r="T766" s="83">
        <f t="shared" si="214"/>
        <v>0</v>
      </c>
      <c r="U766" s="120">
        <f>IF($D766="",0,IFERROR(LOOKUP(2,1/(($D$3:D765=$D766)*($C$3:C765=$C766)*($A$3:A765&lt;$A766)),$AB$3:AB765),1000))</f>
        <v>0</v>
      </c>
      <c r="V766" s="120">
        <f t="shared" si="215"/>
        <v>0</v>
      </c>
      <c r="W766">
        <f t="shared" si="216"/>
        <v>0</v>
      </c>
      <c r="X766">
        <f t="shared" si="217"/>
        <v>0</v>
      </c>
      <c r="Y766">
        <f t="shared" si="218"/>
        <v>0</v>
      </c>
      <c r="Z766">
        <f t="shared" si="219"/>
        <v>0</v>
      </c>
      <c r="AA766">
        <f>IF($D766="",0,IF($F766&lt;2,0,IF($E766="Win",('Guide &amp; Settings'!$C$42/(($F766-1)*COUNTIFS($A$4:$A$810,$A766,$E$4:$E$810,"Win")))*SUMIFS($Z$4:$Z$810,$A$4:$A$810,$A766,$E$4:$E$810,"Loss"),-('Guide &amp; Settings'!$C$42/($F766-1))*$Z766)))</f>
        <v>0</v>
      </c>
      <c r="AB766" s="120">
        <f t="shared" si="220"/>
        <v>0</v>
      </c>
      <c r="AC766" s="120" t="str">
        <f>IF($D766="","",IF(SUMPRODUCT(MAX(($D$4:$D$810=$D766)*($B$4:$B$810&lt;$B766)*$B$4:$B$810))=0,0,MAX(($B766-MAX(SUMPRODUCT(MAX(($D$4:$D$810=$D766)*($B$4:$B$810&lt;$B766)*$B$4:$B$810)),'Guide &amp; Settings'!$C$50))/7-'Guide &amp; Settings'!$C$48,0)*'Guide &amp; Settings'!$C$49))</f>
        <v/>
      </c>
    </row>
    <row r="767" spans="1:29" x14ac:dyDescent="0.2">
      <c r="A767" s="111"/>
      <c r="B767" s="112"/>
      <c r="C767" s="113"/>
      <c r="D767" s="113"/>
      <c r="E767" s="111"/>
      <c r="F767" s="114">
        <f t="shared" si="204"/>
        <v>0</v>
      </c>
      <c r="G767" s="115" t="str">
        <f t="shared" si="205"/>
        <v/>
      </c>
      <c r="H767" s="116">
        <f>IF($D767="",0,IFERROR(LOOKUP(2,1/(($D$3:D766=$D767)*($A$3:A766&lt;$A767)),$N$3:N766),'Guide &amp; Settings'!$C$41))</f>
        <v>0</v>
      </c>
      <c r="I767" s="117">
        <f t="shared" si="206"/>
        <v>0</v>
      </c>
      <c r="J767" s="118">
        <f>IF($D767="",0,IF($F767&lt;2,0,IF($E767="Win",('Guide &amp; Settings'!$C$42/(($F767-1)*COUNTIFS($A$4:$A$810,$A767,$E$4:$E$810,"Win")))*SUMIFS($X$4:$X$810,$A$4:$A$810,$A767,$E$4:$E$810,"Loss"),-('Guide &amp; Settings'!$C$42/($F767-1))*$X767)))</f>
        <v>0</v>
      </c>
      <c r="K767" s="118">
        <f>IF($D767="",0,'Guide &amp; Settings'!$C$43*(IF($E767="Win",1,0)-$I767))</f>
        <v>0</v>
      </c>
      <c r="L767" s="119">
        <f>IF($D767="",0,'Guide &amp; Settings'!$C$44*IF($F767&gt;=3,$F767,0))</f>
        <v>0</v>
      </c>
      <c r="M767" s="118">
        <f t="shared" si="207"/>
        <v>0</v>
      </c>
      <c r="N767" s="116">
        <f t="shared" si="208"/>
        <v>0</v>
      </c>
      <c r="O767" s="115" t="str">
        <f t="shared" si="209"/>
        <v/>
      </c>
      <c r="P767">
        <f t="shared" si="210"/>
        <v>0</v>
      </c>
      <c r="Q767">
        <f t="shared" si="211"/>
        <v>0</v>
      </c>
      <c r="R767">
        <f t="shared" si="212"/>
        <v>0</v>
      </c>
      <c r="S767">
        <f t="shared" si="213"/>
        <v>0</v>
      </c>
      <c r="T767" s="83">
        <f t="shared" si="214"/>
        <v>0</v>
      </c>
      <c r="U767" s="120">
        <f>IF($D767="",0,IFERROR(LOOKUP(2,1/(($D$3:D766=$D767)*($C$3:C766=$C767)*($A$3:A766&lt;$A767)),$AB$3:AB766),1000))</f>
        <v>0</v>
      </c>
      <c r="V767" s="120">
        <f t="shared" si="215"/>
        <v>0</v>
      </c>
      <c r="W767">
        <f t="shared" si="216"/>
        <v>0</v>
      </c>
      <c r="X767">
        <f t="shared" si="217"/>
        <v>0</v>
      </c>
      <c r="Y767">
        <f t="shared" si="218"/>
        <v>0</v>
      </c>
      <c r="Z767">
        <f t="shared" si="219"/>
        <v>0</v>
      </c>
      <c r="AA767">
        <f>IF($D767="",0,IF($F767&lt;2,0,IF($E767="Win",('Guide &amp; Settings'!$C$42/(($F767-1)*COUNTIFS($A$4:$A$810,$A767,$E$4:$E$810,"Win")))*SUMIFS($Z$4:$Z$810,$A$4:$A$810,$A767,$E$4:$E$810,"Loss"),-('Guide &amp; Settings'!$C$42/($F767-1))*$Z767)))</f>
        <v>0</v>
      </c>
      <c r="AB767" s="120">
        <f t="shared" si="220"/>
        <v>0</v>
      </c>
      <c r="AC767" s="120" t="str">
        <f>IF($D767="","",IF(SUMPRODUCT(MAX(($D$4:$D$810=$D767)*($B$4:$B$810&lt;$B767)*$B$4:$B$810))=0,0,MAX(($B767-MAX(SUMPRODUCT(MAX(($D$4:$D$810=$D767)*($B$4:$B$810&lt;$B767)*$B$4:$B$810)),'Guide &amp; Settings'!$C$50))/7-'Guide &amp; Settings'!$C$48,0)*'Guide &amp; Settings'!$C$49))</f>
        <v/>
      </c>
    </row>
    <row r="768" spans="1:29" x14ac:dyDescent="0.2">
      <c r="A768" s="111"/>
      <c r="B768" s="112"/>
      <c r="C768" s="113"/>
      <c r="D768" s="113"/>
      <c r="E768" s="111"/>
      <c r="F768" s="114">
        <f t="shared" si="204"/>
        <v>0</v>
      </c>
      <c r="G768" s="115" t="str">
        <f t="shared" si="205"/>
        <v/>
      </c>
      <c r="H768" s="116">
        <f>IF($D768="",0,IFERROR(LOOKUP(2,1/(($D$3:D767=$D768)*($A$3:A767&lt;$A768)),$N$3:N767),'Guide &amp; Settings'!$C$41))</f>
        <v>0</v>
      </c>
      <c r="I768" s="117">
        <f t="shared" si="206"/>
        <v>0</v>
      </c>
      <c r="J768" s="118">
        <f>IF($D768="",0,IF($F768&lt;2,0,IF($E768="Win",('Guide &amp; Settings'!$C$42/(($F768-1)*COUNTIFS($A$4:$A$810,$A768,$E$4:$E$810,"Win")))*SUMIFS($X$4:$X$810,$A$4:$A$810,$A768,$E$4:$E$810,"Loss"),-('Guide &amp; Settings'!$C$42/($F768-1))*$X768)))</f>
        <v>0</v>
      </c>
      <c r="K768" s="118">
        <f>IF($D768="",0,'Guide &amp; Settings'!$C$43*(IF($E768="Win",1,0)-$I768))</f>
        <v>0</v>
      </c>
      <c r="L768" s="119">
        <f>IF($D768="",0,'Guide &amp; Settings'!$C$44*IF($F768&gt;=3,$F768,0))</f>
        <v>0</v>
      </c>
      <c r="M768" s="118">
        <f t="shared" si="207"/>
        <v>0</v>
      </c>
      <c r="N768" s="116">
        <f t="shared" si="208"/>
        <v>0</v>
      </c>
      <c r="O768" s="115" t="str">
        <f t="shared" si="209"/>
        <v/>
      </c>
      <c r="P768">
        <f t="shared" si="210"/>
        <v>0</v>
      </c>
      <c r="Q768">
        <f t="shared" si="211"/>
        <v>0</v>
      </c>
      <c r="R768">
        <f t="shared" si="212"/>
        <v>0</v>
      </c>
      <c r="S768">
        <f t="shared" si="213"/>
        <v>0</v>
      </c>
      <c r="T768" s="83">
        <f t="shared" si="214"/>
        <v>0</v>
      </c>
      <c r="U768" s="120">
        <f>IF($D768="",0,IFERROR(LOOKUP(2,1/(($D$3:D767=$D768)*($C$3:C767=$C768)*($A$3:A767&lt;$A768)),$AB$3:AB767),1000))</f>
        <v>0</v>
      </c>
      <c r="V768" s="120">
        <f t="shared" si="215"/>
        <v>0</v>
      </c>
      <c r="W768">
        <f t="shared" si="216"/>
        <v>0</v>
      </c>
      <c r="X768">
        <f t="shared" si="217"/>
        <v>0</v>
      </c>
      <c r="Y768">
        <f t="shared" si="218"/>
        <v>0</v>
      </c>
      <c r="Z768">
        <f t="shared" si="219"/>
        <v>0</v>
      </c>
      <c r="AA768">
        <f>IF($D768="",0,IF($F768&lt;2,0,IF($E768="Win",('Guide &amp; Settings'!$C$42/(($F768-1)*COUNTIFS($A$4:$A$810,$A768,$E$4:$E$810,"Win")))*SUMIFS($Z$4:$Z$810,$A$4:$A$810,$A768,$E$4:$E$810,"Loss"),-('Guide &amp; Settings'!$C$42/($F768-1))*$Z768)))</f>
        <v>0</v>
      </c>
      <c r="AB768" s="120">
        <f t="shared" si="220"/>
        <v>0</v>
      </c>
      <c r="AC768" s="120" t="str">
        <f>IF($D768="","",IF(SUMPRODUCT(MAX(($D$4:$D$810=$D768)*($B$4:$B$810&lt;$B768)*$B$4:$B$810))=0,0,MAX(($B768-MAX(SUMPRODUCT(MAX(($D$4:$D$810=$D768)*($B$4:$B$810&lt;$B768)*$B$4:$B$810)),'Guide &amp; Settings'!$C$50))/7-'Guide &amp; Settings'!$C$48,0)*'Guide &amp; Settings'!$C$49))</f>
        <v/>
      </c>
    </row>
    <row r="769" spans="1:29" x14ac:dyDescent="0.2">
      <c r="A769" s="111"/>
      <c r="B769" s="112"/>
      <c r="C769" s="113"/>
      <c r="D769" s="113"/>
      <c r="E769" s="111"/>
      <c r="F769" s="114">
        <f t="shared" si="204"/>
        <v>0</v>
      </c>
      <c r="G769" s="115" t="str">
        <f t="shared" si="205"/>
        <v/>
      </c>
      <c r="H769" s="116">
        <f>IF($D769="",0,IFERROR(LOOKUP(2,1/(($D$3:D768=$D769)*($A$3:A768&lt;$A769)),$N$3:N768),'Guide &amp; Settings'!$C$41))</f>
        <v>0</v>
      </c>
      <c r="I769" s="117">
        <f t="shared" si="206"/>
        <v>0</v>
      </c>
      <c r="J769" s="118">
        <f>IF($D769="",0,IF($F769&lt;2,0,IF($E769="Win",('Guide &amp; Settings'!$C$42/(($F769-1)*COUNTIFS($A$4:$A$810,$A769,$E$4:$E$810,"Win")))*SUMIFS($X$4:$X$810,$A$4:$A$810,$A769,$E$4:$E$810,"Loss"),-('Guide &amp; Settings'!$C$42/($F769-1))*$X769)))</f>
        <v>0</v>
      </c>
      <c r="K769" s="118">
        <f>IF($D769="",0,'Guide &amp; Settings'!$C$43*(IF($E769="Win",1,0)-$I769))</f>
        <v>0</v>
      </c>
      <c r="L769" s="119">
        <f>IF($D769="",0,'Guide &amp; Settings'!$C$44*IF($F769&gt;=3,$F769,0))</f>
        <v>0</v>
      </c>
      <c r="M769" s="118">
        <f t="shared" si="207"/>
        <v>0</v>
      </c>
      <c r="N769" s="116">
        <f t="shared" si="208"/>
        <v>0</v>
      </c>
      <c r="O769" s="115" t="str">
        <f t="shared" si="209"/>
        <v/>
      </c>
      <c r="P769">
        <f t="shared" si="210"/>
        <v>0</v>
      </c>
      <c r="Q769">
        <f t="shared" si="211"/>
        <v>0</v>
      </c>
      <c r="R769">
        <f t="shared" si="212"/>
        <v>0</v>
      </c>
      <c r="S769">
        <f t="shared" si="213"/>
        <v>0</v>
      </c>
      <c r="T769" s="83">
        <f t="shared" si="214"/>
        <v>0</v>
      </c>
      <c r="U769" s="120">
        <f>IF($D769="",0,IFERROR(LOOKUP(2,1/(($D$3:D768=$D769)*($C$3:C768=$C769)*($A$3:A768&lt;$A769)),$AB$3:AB768),1000))</f>
        <v>0</v>
      </c>
      <c r="V769" s="120">
        <f t="shared" si="215"/>
        <v>0</v>
      </c>
      <c r="W769">
        <f t="shared" si="216"/>
        <v>0</v>
      </c>
      <c r="X769">
        <f t="shared" si="217"/>
        <v>0</v>
      </c>
      <c r="Y769">
        <f t="shared" si="218"/>
        <v>0</v>
      </c>
      <c r="Z769">
        <f t="shared" si="219"/>
        <v>0</v>
      </c>
      <c r="AA769">
        <f>IF($D769="",0,IF($F769&lt;2,0,IF($E769="Win",('Guide &amp; Settings'!$C$42/(($F769-1)*COUNTIFS($A$4:$A$810,$A769,$E$4:$E$810,"Win")))*SUMIFS($Z$4:$Z$810,$A$4:$A$810,$A769,$E$4:$E$810,"Loss"),-('Guide &amp; Settings'!$C$42/($F769-1))*$Z769)))</f>
        <v>0</v>
      </c>
      <c r="AB769" s="120">
        <f t="shared" si="220"/>
        <v>0</v>
      </c>
      <c r="AC769" s="120" t="str">
        <f>IF($D769="","",IF(SUMPRODUCT(MAX(($D$4:$D$810=$D769)*($B$4:$B$810&lt;$B769)*$B$4:$B$810))=0,0,MAX(($B769-MAX(SUMPRODUCT(MAX(($D$4:$D$810=$D769)*($B$4:$B$810&lt;$B769)*$B$4:$B$810)),'Guide &amp; Settings'!$C$50))/7-'Guide &amp; Settings'!$C$48,0)*'Guide &amp; Settings'!$C$49))</f>
        <v/>
      </c>
    </row>
    <row r="770" spans="1:29" x14ac:dyDescent="0.2">
      <c r="A770" s="111"/>
      <c r="B770" s="112"/>
      <c r="C770" s="113"/>
      <c r="D770" s="113"/>
      <c r="E770" s="111"/>
      <c r="F770" s="114">
        <f t="shared" si="204"/>
        <v>0</v>
      </c>
      <c r="G770" s="115" t="str">
        <f t="shared" si="205"/>
        <v/>
      </c>
      <c r="H770" s="116">
        <f>IF($D770="",0,IFERROR(LOOKUP(2,1/(($D$3:D769=$D770)*($A$3:A769&lt;$A770)),$N$3:N769),'Guide &amp; Settings'!$C$41))</f>
        <v>0</v>
      </c>
      <c r="I770" s="117">
        <f t="shared" si="206"/>
        <v>0</v>
      </c>
      <c r="J770" s="118">
        <f>IF($D770="",0,IF($F770&lt;2,0,IF($E770="Win",('Guide &amp; Settings'!$C$42/(($F770-1)*COUNTIFS($A$4:$A$810,$A770,$E$4:$E$810,"Win")))*SUMIFS($X$4:$X$810,$A$4:$A$810,$A770,$E$4:$E$810,"Loss"),-('Guide &amp; Settings'!$C$42/($F770-1))*$X770)))</f>
        <v>0</v>
      </c>
      <c r="K770" s="118">
        <f>IF($D770="",0,'Guide &amp; Settings'!$C$43*(IF($E770="Win",1,0)-$I770))</f>
        <v>0</v>
      </c>
      <c r="L770" s="119">
        <f>IF($D770="",0,'Guide &amp; Settings'!$C$44*IF($F770&gt;=3,$F770,0))</f>
        <v>0</v>
      </c>
      <c r="M770" s="118">
        <f t="shared" si="207"/>
        <v>0</v>
      </c>
      <c r="N770" s="116">
        <f t="shared" si="208"/>
        <v>0</v>
      </c>
      <c r="O770" s="115" t="str">
        <f t="shared" si="209"/>
        <v/>
      </c>
      <c r="P770">
        <f t="shared" si="210"/>
        <v>0</v>
      </c>
      <c r="Q770">
        <f t="shared" si="211"/>
        <v>0</v>
      </c>
      <c r="R770">
        <f t="shared" si="212"/>
        <v>0</v>
      </c>
      <c r="S770">
        <f t="shared" si="213"/>
        <v>0</v>
      </c>
      <c r="T770" s="83">
        <f t="shared" si="214"/>
        <v>0</v>
      </c>
      <c r="U770" s="120">
        <f>IF($D770="",0,IFERROR(LOOKUP(2,1/(($D$3:D769=$D770)*($C$3:C769=$C770)*($A$3:A769&lt;$A770)),$AB$3:AB769),1000))</f>
        <v>0</v>
      </c>
      <c r="V770" s="120">
        <f t="shared" si="215"/>
        <v>0</v>
      </c>
      <c r="W770">
        <f t="shared" si="216"/>
        <v>0</v>
      </c>
      <c r="X770">
        <f t="shared" si="217"/>
        <v>0</v>
      </c>
      <c r="Y770">
        <f t="shared" si="218"/>
        <v>0</v>
      </c>
      <c r="Z770">
        <f t="shared" si="219"/>
        <v>0</v>
      </c>
      <c r="AA770">
        <f>IF($D770="",0,IF($F770&lt;2,0,IF($E770="Win",('Guide &amp; Settings'!$C$42/(($F770-1)*COUNTIFS($A$4:$A$810,$A770,$E$4:$E$810,"Win")))*SUMIFS($Z$4:$Z$810,$A$4:$A$810,$A770,$E$4:$E$810,"Loss"),-('Guide &amp; Settings'!$C$42/($F770-1))*$Z770)))</f>
        <v>0</v>
      </c>
      <c r="AB770" s="120">
        <f t="shared" si="220"/>
        <v>0</v>
      </c>
      <c r="AC770" s="120" t="str">
        <f>IF($D770="","",IF(SUMPRODUCT(MAX(($D$4:$D$810=$D770)*($B$4:$B$810&lt;$B770)*$B$4:$B$810))=0,0,MAX(($B770-MAX(SUMPRODUCT(MAX(($D$4:$D$810=$D770)*($B$4:$B$810&lt;$B770)*$B$4:$B$810)),'Guide &amp; Settings'!$C$50))/7-'Guide &amp; Settings'!$C$48,0)*'Guide &amp; Settings'!$C$49))</f>
        <v/>
      </c>
    </row>
    <row r="771" spans="1:29" x14ac:dyDescent="0.2">
      <c r="A771" s="111"/>
      <c r="B771" s="112"/>
      <c r="C771" s="113"/>
      <c r="D771" s="113"/>
      <c r="E771" s="111"/>
      <c r="F771" s="114">
        <f t="shared" si="204"/>
        <v>0</v>
      </c>
      <c r="G771" s="115" t="str">
        <f t="shared" si="205"/>
        <v/>
      </c>
      <c r="H771" s="116">
        <f>IF($D771="",0,IFERROR(LOOKUP(2,1/(($D$3:D770=$D771)*($A$3:A770&lt;$A771)),$N$3:N770),'Guide &amp; Settings'!$C$41))</f>
        <v>0</v>
      </c>
      <c r="I771" s="117">
        <f t="shared" si="206"/>
        <v>0</v>
      </c>
      <c r="J771" s="118">
        <f>IF($D771="",0,IF($F771&lt;2,0,IF($E771="Win",('Guide &amp; Settings'!$C$42/(($F771-1)*COUNTIFS($A$4:$A$810,$A771,$E$4:$E$810,"Win")))*SUMIFS($X$4:$X$810,$A$4:$A$810,$A771,$E$4:$E$810,"Loss"),-('Guide &amp; Settings'!$C$42/($F771-1))*$X771)))</f>
        <v>0</v>
      </c>
      <c r="K771" s="118">
        <f>IF($D771="",0,'Guide &amp; Settings'!$C$43*(IF($E771="Win",1,0)-$I771))</f>
        <v>0</v>
      </c>
      <c r="L771" s="119">
        <f>IF($D771="",0,'Guide &amp; Settings'!$C$44*IF($F771&gt;=3,$F771,0))</f>
        <v>0</v>
      </c>
      <c r="M771" s="118">
        <f t="shared" si="207"/>
        <v>0</v>
      </c>
      <c r="N771" s="116">
        <f t="shared" si="208"/>
        <v>0</v>
      </c>
      <c r="O771" s="115" t="str">
        <f t="shared" si="209"/>
        <v/>
      </c>
      <c r="P771">
        <f t="shared" si="210"/>
        <v>0</v>
      </c>
      <c r="Q771">
        <f t="shared" si="211"/>
        <v>0</v>
      </c>
      <c r="R771">
        <f t="shared" si="212"/>
        <v>0</v>
      </c>
      <c r="S771">
        <f t="shared" si="213"/>
        <v>0</v>
      </c>
      <c r="T771" s="83">
        <f t="shared" si="214"/>
        <v>0</v>
      </c>
      <c r="U771" s="120">
        <f>IF($D771="",0,IFERROR(LOOKUP(2,1/(($D$3:D770=$D771)*($C$3:C770=$C771)*($A$3:A770&lt;$A771)),$AB$3:AB770),1000))</f>
        <v>0</v>
      </c>
      <c r="V771" s="120">
        <f t="shared" si="215"/>
        <v>0</v>
      </c>
      <c r="W771">
        <f t="shared" si="216"/>
        <v>0</v>
      </c>
      <c r="X771">
        <f t="shared" si="217"/>
        <v>0</v>
      </c>
      <c r="Y771">
        <f t="shared" si="218"/>
        <v>0</v>
      </c>
      <c r="Z771">
        <f t="shared" si="219"/>
        <v>0</v>
      </c>
      <c r="AA771">
        <f>IF($D771="",0,IF($F771&lt;2,0,IF($E771="Win",('Guide &amp; Settings'!$C$42/(($F771-1)*COUNTIFS($A$4:$A$810,$A771,$E$4:$E$810,"Win")))*SUMIFS($Z$4:$Z$810,$A$4:$A$810,$A771,$E$4:$E$810,"Loss"),-('Guide &amp; Settings'!$C$42/($F771-1))*$Z771)))</f>
        <v>0</v>
      </c>
      <c r="AB771" s="120">
        <f t="shared" si="220"/>
        <v>0</v>
      </c>
      <c r="AC771" s="120" t="str">
        <f>IF($D771="","",IF(SUMPRODUCT(MAX(($D$4:$D$810=$D771)*($B$4:$B$810&lt;$B771)*$B$4:$B$810))=0,0,MAX(($B771-MAX(SUMPRODUCT(MAX(($D$4:$D$810=$D771)*($B$4:$B$810&lt;$B771)*$B$4:$B$810)),'Guide &amp; Settings'!$C$50))/7-'Guide &amp; Settings'!$C$48,0)*'Guide &amp; Settings'!$C$49))</f>
        <v/>
      </c>
    </row>
    <row r="772" spans="1:29" x14ac:dyDescent="0.2">
      <c r="A772" s="111"/>
      <c r="B772" s="112"/>
      <c r="C772" s="113"/>
      <c r="D772" s="113"/>
      <c r="E772" s="111"/>
      <c r="F772" s="114">
        <f t="shared" si="204"/>
        <v>0</v>
      </c>
      <c r="G772" s="115" t="str">
        <f t="shared" si="205"/>
        <v/>
      </c>
      <c r="H772" s="116">
        <f>IF($D772="",0,IFERROR(LOOKUP(2,1/(($D$3:D771=$D772)*($A$3:A771&lt;$A772)),$N$3:N771),'Guide &amp; Settings'!$C$41))</f>
        <v>0</v>
      </c>
      <c r="I772" s="117">
        <f t="shared" si="206"/>
        <v>0</v>
      </c>
      <c r="J772" s="118">
        <f>IF($D772="",0,IF($F772&lt;2,0,IF($E772="Win",('Guide &amp; Settings'!$C$42/(($F772-1)*COUNTIFS($A$4:$A$810,$A772,$E$4:$E$810,"Win")))*SUMIFS($X$4:$X$810,$A$4:$A$810,$A772,$E$4:$E$810,"Loss"),-('Guide &amp; Settings'!$C$42/($F772-1))*$X772)))</f>
        <v>0</v>
      </c>
      <c r="K772" s="118">
        <f>IF($D772="",0,'Guide &amp; Settings'!$C$43*(IF($E772="Win",1,0)-$I772))</f>
        <v>0</v>
      </c>
      <c r="L772" s="119">
        <f>IF($D772="",0,'Guide &amp; Settings'!$C$44*IF($F772&gt;=3,$F772,0))</f>
        <v>0</v>
      </c>
      <c r="M772" s="118">
        <f t="shared" si="207"/>
        <v>0</v>
      </c>
      <c r="N772" s="116">
        <f t="shared" si="208"/>
        <v>0</v>
      </c>
      <c r="O772" s="115" t="str">
        <f t="shared" si="209"/>
        <v/>
      </c>
      <c r="P772">
        <f t="shared" si="210"/>
        <v>0</v>
      </c>
      <c r="Q772">
        <f t="shared" si="211"/>
        <v>0</v>
      </c>
      <c r="R772">
        <f t="shared" si="212"/>
        <v>0</v>
      </c>
      <c r="S772">
        <f t="shared" si="213"/>
        <v>0</v>
      </c>
      <c r="T772" s="83">
        <f t="shared" si="214"/>
        <v>0</v>
      </c>
      <c r="U772" s="120">
        <f>IF($D772="",0,IFERROR(LOOKUP(2,1/(($D$3:D771=$D772)*($C$3:C771=$C772)*($A$3:A771&lt;$A772)),$AB$3:AB771),1000))</f>
        <v>0</v>
      </c>
      <c r="V772" s="120">
        <f t="shared" si="215"/>
        <v>0</v>
      </c>
      <c r="W772">
        <f t="shared" si="216"/>
        <v>0</v>
      </c>
      <c r="X772">
        <f t="shared" si="217"/>
        <v>0</v>
      </c>
      <c r="Y772">
        <f t="shared" si="218"/>
        <v>0</v>
      </c>
      <c r="Z772">
        <f t="shared" si="219"/>
        <v>0</v>
      </c>
      <c r="AA772">
        <f>IF($D772="",0,IF($F772&lt;2,0,IF($E772="Win",('Guide &amp; Settings'!$C$42/(($F772-1)*COUNTIFS($A$4:$A$810,$A772,$E$4:$E$810,"Win")))*SUMIFS($Z$4:$Z$810,$A$4:$A$810,$A772,$E$4:$E$810,"Loss"),-('Guide &amp; Settings'!$C$42/($F772-1))*$Z772)))</f>
        <v>0</v>
      </c>
      <c r="AB772" s="120">
        <f t="shared" si="220"/>
        <v>0</v>
      </c>
      <c r="AC772" s="120" t="str">
        <f>IF($D772="","",IF(SUMPRODUCT(MAX(($D$4:$D$810=$D772)*($B$4:$B$810&lt;$B772)*$B$4:$B$810))=0,0,MAX(($B772-MAX(SUMPRODUCT(MAX(($D$4:$D$810=$D772)*($B$4:$B$810&lt;$B772)*$B$4:$B$810)),'Guide &amp; Settings'!$C$50))/7-'Guide &amp; Settings'!$C$48,0)*'Guide &amp; Settings'!$C$49))</f>
        <v/>
      </c>
    </row>
    <row r="773" spans="1:29" x14ac:dyDescent="0.2">
      <c r="A773" s="111"/>
      <c r="B773" s="112"/>
      <c r="C773" s="113"/>
      <c r="D773" s="113"/>
      <c r="E773" s="111"/>
      <c r="F773" s="114">
        <f t="shared" si="204"/>
        <v>0</v>
      </c>
      <c r="G773" s="115" t="str">
        <f t="shared" si="205"/>
        <v/>
      </c>
      <c r="H773" s="116">
        <f>IF($D773="",0,IFERROR(LOOKUP(2,1/(($D$3:D772=$D773)*($A$3:A772&lt;$A773)),$N$3:N772),'Guide &amp; Settings'!$C$41))</f>
        <v>0</v>
      </c>
      <c r="I773" s="117">
        <f t="shared" si="206"/>
        <v>0</v>
      </c>
      <c r="J773" s="118">
        <f>IF($D773="",0,IF($F773&lt;2,0,IF($E773="Win",('Guide &amp; Settings'!$C$42/(($F773-1)*COUNTIFS($A$4:$A$810,$A773,$E$4:$E$810,"Win")))*SUMIFS($X$4:$X$810,$A$4:$A$810,$A773,$E$4:$E$810,"Loss"),-('Guide &amp; Settings'!$C$42/($F773-1))*$X773)))</f>
        <v>0</v>
      </c>
      <c r="K773" s="118">
        <f>IF($D773="",0,'Guide &amp; Settings'!$C$43*(IF($E773="Win",1,0)-$I773))</f>
        <v>0</v>
      </c>
      <c r="L773" s="119">
        <f>IF($D773="",0,'Guide &amp; Settings'!$C$44*IF($F773&gt;=3,$F773,0))</f>
        <v>0</v>
      </c>
      <c r="M773" s="118">
        <f t="shared" si="207"/>
        <v>0</v>
      </c>
      <c r="N773" s="116">
        <f t="shared" si="208"/>
        <v>0</v>
      </c>
      <c r="O773" s="115" t="str">
        <f t="shared" si="209"/>
        <v/>
      </c>
      <c r="P773">
        <f t="shared" si="210"/>
        <v>0</v>
      </c>
      <c r="Q773">
        <f t="shared" si="211"/>
        <v>0</v>
      </c>
      <c r="R773">
        <f t="shared" si="212"/>
        <v>0</v>
      </c>
      <c r="S773">
        <f t="shared" si="213"/>
        <v>0</v>
      </c>
      <c r="T773" s="83">
        <f t="shared" si="214"/>
        <v>0</v>
      </c>
      <c r="U773" s="120">
        <f>IF($D773="",0,IFERROR(LOOKUP(2,1/(($D$3:D772=$D773)*($C$3:C772=$C773)*($A$3:A772&lt;$A773)),$AB$3:AB772),1000))</f>
        <v>0</v>
      </c>
      <c r="V773" s="120">
        <f t="shared" si="215"/>
        <v>0</v>
      </c>
      <c r="W773">
        <f t="shared" si="216"/>
        <v>0</v>
      </c>
      <c r="X773">
        <f t="shared" si="217"/>
        <v>0</v>
      </c>
      <c r="Y773">
        <f t="shared" si="218"/>
        <v>0</v>
      </c>
      <c r="Z773">
        <f t="shared" si="219"/>
        <v>0</v>
      </c>
      <c r="AA773">
        <f>IF($D773="",0,IF($F773&lt;2,0,IF($E773="Win",('Guide &amp; Settings'!$C$42/(($F773-1)*COUNTIFS($A$4:$A$810,$A773,$E$4:$E$810,"Win")))*SUMIFS($Z$4:$Z$810,$A$4:$A$810,$A773,$E$4:$E$810,"Loss"),-('Guide &amp; Settings'!$C$42/($F773-1))*$Z773)))</f>
        <v>0</v>
      </c>
      <c r="AB773" s="120">
        <f t="shared" si="220"/>
        <v>0</v>
      </c>
      <c r="AC773" s="120" t="str">
        <f>IF($D773="","",IF(SUMPRODUCT(MAX(($D$4:$D$810=$D773)*($B$4:$B$810&lt;$B773)*$B$4:$B$810))=0,0,MAX(($B773-MAX(SUMPRODUCT(MAX(($D$4:$D$810=$D773)*($B$4:$B$810&lt;$B773)*$B$4:$B$810)),'Guide &amp; Settings'!$C$50))/7-'Guide &amp; Settings'!$C$48,0)*'Guide &amp; Settings'!$C$49))</f>
        <v/>
      </c>
    </row>
    <row r="774" spans="1:29" x14ac:dyDescent="0.2">
      <c r="A774" s="111"/>
      <c r="B774" s="112"/>
      <c r="C774" s="113"/>
      <c r="D774" s="113"/>
      <c r="E774" s="111"/>
      <c r="F774" s="114">
        <f t="shared" si="204"/>
        <v>0</v>
      </c>
      <c r="G774" s="115" t="str">
        <f t="shared" si="205"/>
        <v/>
      </c>
      <c r="H774" s="116">
        <f>IF($D774="",0,IFERROR(LOOKUP(2,1/(($D$3:D773=$D774)*($A$3:A773&lt;$A774)),$N$3:N773),'Guide &amp; Settings'!$C$41))</f>
        <v>0</v>
      </c>
      <c r="I774" s="117">
        <f t="shared" si="206"/>
        <v>0</v>
      </c>
      <c r="J774" s="118">
        <f>IF($D774="",0,IF($F774&lt;2,0,IF($E774="Win",('Guide &amp; Settings'!$C$42/(($F774-1)*COUNTIFS($A$4:$A$810,$A774,$E$4:$E$810,"Win")))*SUMIFS($X$4:$X$810,$A$4:$A$810,$A774,$E$4:$E$810,"Loss"),-('Guide &amp; Settings'!$C$42/($F774-1))*$X774)))</f>
        <v>0</v>
      </c>
      <c r="K774" s="118">
        <f>IF($D774="",0,'Guide &amp; Settings'!$C$43*(IF($E774="Win",1,0)-$I774))</f>
        <v>0</v>
      </c>
      <c r="L774" s="119">
        <f>IF($D774="",0,'Guide &amp; Settings'!$C$44*IF($F774&gt;=3,$F774,0))</f>
        <v>0</v>
      </c>
      <c r="M774" s="118">
        <f t="shared" si="207"/>
        <v>0</v>
      </c>
      <c r="N774" s="116">
        <f t="shared" si="208"/>
        <v>0</v>
      </c>
      <c r="O774" s="115" t="str">
        <f t="shared" si="209"/>
        <v/>
      </c>
      <c r="P774">
        <f t="shared" si="210"/>
        <v>0</v>
      </c>
      <c r="Q774">
        <f t="shared" si="211"/>
        <v>0</v>
      </c>
      <c r="R774">
        <f t="shared" si="212"/>
        <v>0</v>
      </c>
      <c r="S774">
        <f t="shared" si="213"/>
        <v>0</v>
      </c>
      <c r="T774" s="83">
        <f t="shared" si="214"/>
        <v>0</v>
      </c>
      <c r="U774" s="120">
        <f>IF($D774="",0,IFERROR(LOOKUP(2,1/(($D$3:D773=$D774)*($C$3:C773=$C774)*($A$3:A773&lt;$A774)),$AB$3:AB773),1000))</f>
        <v>0</v>
      </c>
      <c r="V774" s="120">
        <f t="shared" si="215"/>
        <v>0</v>
      </c>
      <c r="W774">
        <f t="shared" si="216"/>
        <v>0</v>
      </c>
      <c r="X774">
        <f t="shared" si="217"/>
        <v>0</v>
      </c>
      <c r="Y774">
        <f t="shared" si="218"/>
        <v>0</v>
      </c>
      <c r="Z774">
        <f t="shared" si="219"/>
        <v>0</v>
      </c>
      <c r="AA774">
        <f>IF($D774="",0,IF($F774&lt;2,0,IF($E774="Win",('Guide &amp; Settings'!$C$42/(($F774-1)*COUNTIFS($A$4:$A$810,$A774,$E$4:$E$810,"Win")))*SUMIFS($Z$4:$Z$810,$A$4:$A$810,$A774,$E$4:$E$810,"Loss"),-('Guide &amp; Settings'!$C$42/($F774-1))*$Z774)))</f>
        <v>0</v>
      </c>
      <c r="AB774" s="120">
        <f t="shared" si="220"/>
        <v>0</v>
      </c>
      <c r="AC774" s="120" t="str">
        <f>IF($D774="","",IF(SUMPRODUCT(MAX(($D$4:$D$810=$D774)*($B$4:$B$810&lt;$B774)*$B$4:$B$810))=0,0,MAX(($B774-MAX(SUMPRODUCT(MAX(($D$4:$D$810=$D774)*($B$4:$B$810&lt;$B774)*$B$4:$B$810)),'Guide &amp; Settings'!$C$50))/7-'Guide &amp; Settings'!$C$48,0)*'Guide &amp; Settings'!$C$49))</f>
        <v/>
      </c>
    </row>
    <row r="775" spans="1:29" x14ac:dyDescent="0.2">
      <c r="A775" s="111"/>
      <c r="B775" s="112"/>
      <c r="C775" s="113"/>
      <c r="D775" s="113"/>
      <c r="E775" s="111"/>
      <c r="F775" s="114">
        <f t="shared" si="204"/>
        <v>0</v>
      </c>
      <c r="G775" s="115" t="str">
        <f t="shared" si="205"/>
        <v/>
      </c>
      <c r="H775" s="116">
        <f>IF($D775="",0,IFERROR(LOOKUP(2,1/(($D$3:D774=$D775)*($A$3:A774&lt;$A775)),$N$3:N774),'Guide &amp; Settings'!$C$41))</f>
        <v>0</v>
      </c>
      <c r="I775" s="117">
        <f t="shared" si="206"/>
        <v>0</v>
      </c>
      <c r="J775" s="118">
        <f>IF($D775="",0,IF($F775&lt;2,0,IF($E775="Win",('Guide &amp; Settings'!$C$42/(($F775-1)*COUNTIFS($A$4:$A$810,$A775,$E$4:$E$810,"Win")))*SUMIFS($X$4:$X$810,$A$4:$A$810,$A775,$E$4:$E$810,"Loss"),-('Guide &amp; Settings'!$C$42/($F775-1))*$X775)))</f>
        <v>0</v>
      </c>
      <c r="K775" s="118">
        <f>IF($D775="",0,'Guide &amp; Settings'!$C$43*(IF($E775="Win",1,0)-$I775))</f>
        <v>0</v>
      </c>
      <c r="L775" s="119">
        <f>IF($D775="",0,'Guide &amp; Settings'!$C$44*IF($F775&gt;=3,$F775,0))</f>
        <v>0</v>
      </c>
      <c r="M775" s="118">
        <f t="shared" si="207"/>
        <v>0</v>
      </c>
      <c r="N775" s="116">
        <f t="shared" si="208"/>
        <v>0</v>
      </c>
      <c r="O775" s="115" t="str">
        <f t="shared" si="209"/>
        <v/>
      </c>
      <c r="P775">
        <f t="shared" si="210"/>
        <v>0</v>
      </c>
      <c r="Q775">
        <f t="shared" si="211"/>
        <v>0</v>
      </c>
      <c r="R775">
        <f t="shared" si="212"/>
        <v>0</v>
      </c>
      <c r="S775">
        <f t="shared" si="213"/>
        <v>0</v>
      </c>
      <c r="T775" s="83">
        <f t="shared" si="214"/>
        <v>0</v>
      </c>
      <c r="U775" s="120">
        <f>IF($D775="",0,IFERROR(LOOKUP(2,1/(($D$3:D774=$D775)*($C$3:C774=$C775)*($A$3:A774&lt;$A775)),$AB$3:AB774),1000))</f>
        <v>0</v>
      </c>
      <c r="V775" s="120">
        <f t="shared" si="215"/>
        <v>0</v>
      </c>
      <c r="W775">
        <f t="shared" si="216"/>
        <v>0</v>
      </c>
      <c r="X775">
        <f t="shared" si="217"/>
        <v>0</v>
      </c>
      <c r="Y775">
        <f t="shared" si="218"/>
        <v>0</v>
      </c>
      <c r="Z775">
        <f t="shared" si="219"/>
        <v>0</v>
      </c>
      <c r="AA775">
        <f>IF($D775="",0,IF($F775&lt;2,0,IF($E775="Win",('Guide &amp; Settings'!$C$42/(($F775-1)*COUNTIFS($A$4:$A$810,$A775,$E$4:$E$810,"Win")))*SUMIFS($Z$4:$Z$810,$A$4:$A$810,$A775,$E$4:$E$810,"Loss"),-('Guide &amp; Settings'!$C$42/($F775-1))*$Z775)))</f>
        <v>0</v>
      </c>
      <c r="AB775" s="120">
        <f t="shared" si="220"/>
        <v>0</v>
      </c>
      <c r="AC775" s="120" t="str">
        <f>IF($D775="","",IF(SUMPRODUCT(MAX(($D$4:$D$810=$D775)*($B$4:$B$810&lt;$B775)*$B$4:$B$810))=0,0,MAX(($B775-MAX(SUMPRODUCT(MAX(($D$4:$D$810=$D775)*($B$4:$B$810&lt;$B775)*$B$4:$B$810)),'Guide &amp; Settings'!$C$50))/7-'Guide &amp; Settings'!$C$48,0)*'Guide &amp; Settings'!$C$49))</f>
        <v/>
      </c>
    </row>
    <row r="776" spans="1:29" x14ac:dyDescent="0.2">
      <c r="A776" s="111"/>
      <c r="B776" s="112"/>
      <c r="C776" s="113"/>
      <c r="D776" s="113"/>
      <c r="E776" s="111"/>
      <c r="F776" s="114">
        <f t="shared" si="204"/>
        <v>0</v>
      </c>
      <c r="G776" s="115" t="str">
        <f t="shared" si="205"/>
        <v/>
      </c>
      <c r="H776" s="116">
        <f>IF($D776="",0,IFERROR(LOOKUP(2,1/(($D$3:D775=$D776)*($A$3:A775&lt;$A776)),$N$3:N775),'Guide &amp; Settings'!$C$41))</f>
        <v>0</v>
      </c>
      <c r="I776" s="117">
        <f t="shared" si="206"/>
        <v>0</v>
      </c>
      <c r="J776" s="118">
        <f>IF($D776="",0,IF($F776&lt;2,0,IF($E776="Win",('Guide &amp; Settings'!$C$42/(($F776-1)*COUNTIFS($A$4:$A$810,$A776,$E$4:$E$810,"Win")))*SUMIFS($X$4:$X$810,$A$4:$A$810,$A776,$E$4:$E$810,"Loss"),-('Guide &amp; Settings'!$C$42/($F776-1))*$X776)))</f>
        <v>0</v>
      </c>
      <c r="K776" s="118">
        <f>IF($D776="",0,'Guide &amp; Settings'!$C$43*(IF($E776="Win",1,0)-$I776))</f>
        <v>0</v>
      </c>
      <c r="L776" s="119">
        <f>IF($D776="",0,'Guide &amp; Settings'!$C$44*IF($F776&gt;=3,$F776,0))</f>
        <v>0</v>
      </c>
      <c r="M776" s="118">
        <f t="shared" si="207"/>
        <v>0</v>
      </c>
      <c r="N776" s="116">
        <f t="shared" si="208"/>
        <v>0</v>
      </c>
      <c r="O776" s="115" t="str">
        <f t="shared" si="209"/>
        <v/>
      </c>
      <c r="P776">
        <f t="shared" si="210"/>
        <v>0</v>
      </c>
      <c r="Q776">
        <f t="shared" si="211"/>
        <v>0</v>
      </c>
      <c r="R776">
        <f t="shared" si="212"/>
        <v>0</v>
      </c>
      <c r="S776">
        <f t="shared" si="213"/>
        <v>0</v>
      </c>
      <c r="T776" s="83">
        <f t="shared" si="214"/>
        <v>0</v>
      </c>
      <c r="U776" s="120">
        <f>IF($D776="",0,IFERROR(LOOKUP(2,1/(($D$3:D775=$D776)*($C$3:C775=$C776)*($A$3:A775&lt;$A776)),$AB$3:AB775),1000))</f>
        <v>0</v>
      </c>
      <c r="V776" s="120">
        <f t="shared" si="215"/>
        <v>0</v>
      </c>
      <c r="W776">
        <f t="shared" si="216"/>
        <v>0</v>
      </c>
      <c r="X776">
        <f t="shared" si="217"/>
        <v>0</v>
      </c>
      <c r="Y776">
        <f t="shared" si="218"/>
        <v>0</v>
      </c>
      <c r="Z776">
        <f t="shared" si="219"/>
        <v>0</v>
      </c>
      <c r="AA776">
        <f>IF($D776="",0,IF($F776&lt;2,0,IF($E776="Win",('Guide &amp; Settings'!$C$42/(($F776-1)*COUNTIFS($A$4:$A$810,$A776,$E$4:$E$810,"Win")))*SUMIFS($Z$4:$Z$810,$A$4:$A$810,$A776,$E$4:$E$810,"Loss"),-('Guide &amp; Settings'!$C$42/($F776-1))*$Z776)))</f>
        <v>0</v>
      </c>
      <c r="AB776" s="120">
        <f t="shared" si="220"/>
        <v>0</v>
      </c>
      <c r="AC776" s="120" t="str">
        <f>IF($D776="","",IF(SUMPRODUCT(MAX(($D$4:$D$810=$D776)*($B$4:$B$810&lt;$B776)*$B$4:$B$810))=0,0,MAX(($B776-MAX(SUMPRODUCT(MAX(($D$4:$D$810=$D776)*($B$4:$B$810&lt;$B776)*$B$4:$B$810)),'Guide &amp; Settings'!$C$50))/7-'Guide &amp; Settings'!$C$48,0)*'Guide &amp; Settings'!$C$49))</f>
        <v/>
      </c>
    </row>
    <row r="777" spans="1:29" x14ac:dyDescent="0.2">
      <c r="A777" s="111"/>
      <c r="B777" s="112"/>
      <c r="C777" s="113"/>
      <c r="D777" s="113"/>
      <c r="E777" s="111"/>
      <c r="F777" s="114">
        <f t="shared" si="204"/>
        <v>0</v>
      </c>
      <c r="G777" s="115" t="str">
        <f t="shared" si="205"/>
        <v/>
      </c>
      <c r="H777" s="116">
        <f>IF($D777="",0,IFERROR(LOOKUP(2,1/(($D$3:D776=$D777)*($A$3:A776&lt;$A777)),$N$3:N776),'Guide &amp; Settings'!$C$41))</f>
        <v>0</v>
      </c>
      <c r="I777" s="117">
        <f t="shared" si="206"/>
        <v>0</v>
      </c>
      <c r="J777" s="118">
        <f>IF($D777="",0,IF($F777&lt;2,0,IF($E777="Win",('Guide &amp; Settings'!$C$42/(($F777-1)*COUNTIFS($A$4:$A$810,$A777,$E$4:$E$810,"Win")))*SUMIFS($X$4:$X$810,$A$4:$A$810,$A777,$E$4:$E$810,"Loss"),-('Guide &amp; Settings'!$C$42/($F777-1))*$X777)))</f>
        <v>0</v>
      </c>
      <c r="K777" s="118">
        <f>IF($D777="",0,'Guide &amp; Settings'!$C$43*(IF($E777="Win",1,0)-$I777))</f>
        <v>0</v>
      </c>
      <c r="L777" s="119">
        <f>IF($D777="",0,'Guide &amp; Settings'!$C$44*IF($F777&gt;=3,$F777,0))</f>
        <v>0</v>
      </c>
      <c r="M777" s="118">
        <f t="shared" si="207"/>
        <v>0</v>
      </c>
      <c r="N777" s="116">
        <f t="shared" si="208"/>
        <v>0</v>
      </c>
      <c r="O777" s="115" t="str">
        <f t="shared" si="209"/>
        <v/>
      </c>
      <c r="P777">
        <f t="shared" si="210"/>
        <v>0</v>
      </c>
      <c r="Q777">
        <f t="shared" si="211"/>
        <v>0</v>
      </c>
      <c r="R777">
        <f t="shared" si="212"/>
        <v>0</v>
      </c>
      <c r="S777">
        <f t="shared" si="213"/>
        <v>0</v>
      </c>
      <c r="T777" s="83">
        <f t="shared" si="214"/>
        <v>0</v>
      </c>
      <c r="U777" s="120">
        <f>IF($D777="",0,IFERROR(LOOKUP(2,1/(($D$3:D776=$D777)*($C$3:C776=$C777)*($A$3:A776&lt;$A777)),$AB$3:AB776),1000))</f>
        <v>0</v>
      </c>
      <c r="V777" s="120">
        <f t="shared" si="215"/>
        <v>0</v>
      </c>
      <c r="W777">
        <f t="shared" si="216"/>
        <v>0</v>
      </c>
      <c r="X777">
        <f t="shared" si="217"/>
        <v>0</v>
      </c>
      <c r="Y777">
        <f t="shared" si="218"/>
        <v>0</v>
      </c>
      <c r="Z777">
        <f t="shared" si="219"/>
        <v>0</v>
      </c>
      <c r="AA777">
        <f>IF($D777="",0,IF($F777&lt;2,0,IF($E777="Win",('Guide &amp; Settings'!$C$42/(($F777-1)*COUNTIFS($A$4:$A$810,$A777,$E$4:$E$810,"Win")))*SUMIFS($Z$4:$Z$810,$A$4:$A$810,$A777,$E$4:$E$810,"Loss"),-('Guide &amp; Settings'!$C$42/($F777-1))*$Z777)))</f>
        <v>0</v>
      </c>
      <c r="AB777" s="120">
        <f t="shared" si="220"/>
        <v>0</v>
      </c>
      <c r="AC777" s="120" t="str">
        <f>IF($D777="","",IF(SUMPRODUCT(MAX(($D$4:$D$810=$D777)*($B$4:$B$810&lt;$B777)*$B$4:$B$810))=0,0,MAX(($B777-MAX(SUMPRODUCT(MAX(($D$4:$D$810=$D777)*($B$4:$B$810&lt;$B777)*$B$4:$B$810)),'Guide &amp; Settings'!$C$50))/7-'Guide &amp; Settings'!$C$48,0)*'Guide &amp; Settings'!$C$49))</f>
        <v/>
      </c>
    </row>
    <row r="778" spans="1:29" x14ac:dyDescent="0.2">
      <c r="A778" s="111"/>
      <c r="B778" s="112"/>
      <c r="C778" s="113"/>
      <c r="D778" s="113"/>
      <c r="E778" s="111"/>
      <c r="F778" s="114">
        <f t="shared" si="204"/>
        <v>0</v>
      </c>
      <c r="G778" s="115" t="str">
        <f t="shared" si="205"/>
        <v/>
      </c>
      <c r="H778" s="116">
        <f>IF($D778="",0,IFERROR(LOOKUP(2,1/(($D$3:D777=$D778)*($A$3:A777&lt;$A778)),$N$3:N777),'Guide &amp; Settings'!$C$41))</f>
        <v>0</v>
      </c>
      <c r="I778" s="117">
        <f t="shared" si="206"/>
        <v>0</v>
      </c>
      <c r="J778" s="118">
        <f>IF($D778="",0,IF($F778&lt;2,0,IF($E778="Win",('Guide &amp; Settings'!$C$42/(($F778-1)*COUNTIFS($A$4:$A$810,$A778,$E$4:$E$810,"Win")))*SUMIFS($X$4:$X$810,$A$4:$A$810,$A778,$E$4:$E$810,"Loss"),-('Guide &amp; Settings'!$C$42/($F778-1))*$X778)))</f>
        <v>0</v>
      </c>
      <c r="K778" s="118">
        <f>IF($D778="",0,'Guide &amp; Settings'!$C$43*(IF($E778="Win",1,0)-$I778))</f>
        <v>0</v>
      </c>
      <c r="L778" s="119">
        <f>IF($D778="",0,'Guide &amp; Settings'!$C$44*IF($F778&gt;=3,$F778,0))</f>
        <v>0</v>
      </c>
      <c r="M778" s="118">
        <f t="shared" si="207"/>
        <v>0</v>
      </c>
      <c r="N778" s="116">
        <f t="shared" si="208"/>
        <v>0</v>
      </c>
      <c r="O778" s="115" t="str">
        <f t="shared" si="209"/>
        <v/>
      </c>
      <c r="P778">
        <f t="shared" si="210"/>
        <v>0</v>
      </c>
      <c r="Q778">
        <f t="shared" si="211"/>
        <v>0</v>
      </c>
      <c r="R778">
        <f t="shared" si="212"/>
        <v>0</v>
      </c>
      <c r="S778">
        <f t="shared" si="213"/>
        <v>0</v>
      </c>
      <c r="T778" s="83">
        <f t="shared" si="214"/>
        <v>0</v>
      </c>
      <c r="U778" s="120">
        <f>IF($D778="",0,IFERROR(LOOKUP(2,1/(($D$3:D777=$D778)*($C$3:C777=$C778)*($A$3:A777&lt;$A778)),$AB$3:AB777),1000))</f>
        <v>0</v>
      </c>
      <c r="V778" s="120">
        <f t="shared" si="215"/>
        <v>0</v>
      </c>
      <c r="W778">
        <f t="shared" si="216"/>
        <v>0</v>
      </c>
      <c r="X778">
        <f t="shared" si="217"/>
        <v>0</v>
      </c>
      <c r="Y778">
        <f t="shared" si="218"/>
        <v>0</v>
      </c>
      <c r="Z778">
        <f t="shared" si="219"/>
        <v>0</v>
      </c>
      <c r="AA778">
        <f>IF($D778="",0,IF($F778&lt;2,0,IF($E778="Win",('Guide &amp; Settings'!$C$42/(($F778-1)*COUNTIFS($A$4:$A$810,$A778,$E$4:$E$810,"Win")))*SUMIFS($Z$4:$Z$810,$A$4:$A$810,$A778,$E$4:$E$810,"Loss"),-('Guide &amp; Settings'!$C$42/($F778-1))*$Z778)))</f>
        <v>0</v>
      </c>
      <c r="AB778" s="120">
        <f t="shared" si="220"/>
        <v>0</v>
      </c>
      <c r="AC778" s="120" t="str">
        <f>IF($D778="","",IF(SUMPRODUCT(MAX(($D$4:$D$810=$D778)*($B$4:$B$810&lt;$B778)*$B$4:$B$810))=0,0,MAX(($B778-MAX(SUMPRODUCT(MAX(($D$4:$D$810=$D778)*($B$4:$B$810&lt;$B778)*$B$4:$B$810)),'Guide &amp; Settings'!$C$50))/7-'Guide &amp; Settings'!$C$48,0)*'Guide &amp; Settings'!$C$49))</f>
        <v/>
      </c>
    </row>
    <row r="779" spans="1:29" x14ac:dyDescent="0.2">
      <c r="A779" s="111"/>
      <c r="B779" s="112"/>
      <c r="C779" s="113"/>
      <c r="D779" s="113"/>
      <c r="E779" s="111"/>
      <c r="F779" s="114">
        <f t="shared" si="204"/>
        <v>0</v>
      </c>
      <c r="G779" s="115" t="str">
        <f t="shared" si="205"/>
        <v/>
      </c>
      <c r="H779" s="116">
        <f>IF($D779="",0,IFERROR(LOOKUP(2,1/(($D$3:D778=$D779)*($A$3:A778&lt;$A779)),$N$3:N778),'Guide &amp; Settings'!$C$41))</f>
        <v>0</v>
      </c>
      <c r="I779" s="117">
        <f t="shared" si="206"/>
        <v>0</v>
      </c>
      <c r="J779" s="118">
        <f>IF($D779="",0,IF($F779&lt;2,0,IF($E779="Win",('Guide &amp; Settings'!$C$42/(($F779-1)*COUNTIFS($A$4:$A$810,$A779,$E$4:$E$810,"Win")))*SUMIFS($X$4:$X$810,$A$4:$A$810,$A779,$E$4:$E$810,"Loss"),-('Guide &amp; Settings'!$C$42/($F779-1))*$X779)))</f>
        <v>0</v>
      </c>
      <c r="K779" s="118">
        <f>IF($D779="",0,'Guide &amp; Settings'!$C$43*(IF($E779="Win",1,0)-$I779))</f>
        <v>0</v>
      </c>
      <c r="L779" s="119">
        <f>IF($D779="",0,'Guide &amp; Settings'!$C$44*IF($F779&gt;=3,$F779,0))</f>
        <v>0</v>
      </c>
      <c r="M779" s="118">
        <f t="shared" si="207"/>
        <v>0</v>
      </c>
      <c r="N779" s="116">
        <f t="shared" si="208"/>
        <v>0</v>
      </c>
      <c r="O779" s="115" t="str">
        <f t="shared" si="209"/>
        <v/>
      </c>
      <c r="P779">
        <f t="shared" si="210"/>
        <v>0</v>
      </c>
      <c r="Q779">
        <f t="shared" si="211"/>
        <v>0</v>
      </c>
      <c r="R779">
        <f t="shared" si="212"/>
        <v>0</v>
      </c>
      <c r="S779">
        <f t="shared" si="213"/>
        <v>0</v>
      </c>
      <c r="T779" s="83">
        <f t="shared" si="214"/>
        <v>0</v>
      </c>
      <c r="U779" s="120">
        <f>IF($D779="",0,IFERROR(LOOKUP(2,1/(($D$3:D778=$D779)*($C$3:C778=$C779)*($A$3:A778&lt;$A779)),$AB$3:AB778),1000))</f>
        <v>0</v>
      </c>
      <c r="V779" s="120">
        <f t="shared" si="215"/>
        <v>0</v>
      </c>
      <c r="W779">
        <f t="shared" si="216"/>
        <v>0</v>
      </c>
      <c r="X779">
        <f t="shared" si="217"/>
        <v>0</v>
      </c>
      <c r="Y779">
        <f t="shared" si="218"/>
        <v>0</v>
      </c>
      <c r="Z779">
        <f t="shared" si="219"/>
        <v>0</v>
      </c>
      <c r="AA779">
        <f>IF($D779="",0,IF($F779&lt;2,0,IF($E779="Win",('Guide &amp; Settings'!$C$42/(($F779-1)*COUNTIFS($A$4:$A$810,$A779,$E$4:$E$810,"Win")))*SUMIFS($Z$4:$Z$810,$A$4:$A$810,$A779,$E$4:$E$810,"Loss"),-('Guide &amp; Settings'!$C$42/($F779-1))*$Z779)))</f>
        <v>0</v>
      </c>
      <c r="AB779" s="120">
        <f t="shared" si="220"/>
        <v>0</v>
      </c>
      <c r="AC779" s="120" t="str">
        <f>IF($D779="","",IF(SUMPRODUCT(MAX(($D$4:$D$810=$D779)*($B$4:$B$810&lt;$B779)*$B$4:$B$810))=0,0,MAX(($B779-MAX(SUMPRODUCT(MAX(($D$4:$D$810=$D779)*($B$4:$B$810&lt;$B779)*$B$4:$B$810)),'Guide &amp; Settings'!$C$50))/7-'Guide &amp; Settings'!$C$48,0)*'Guide &amp; Settings'!$C$49))</f>
        <v/>
      </c>
    </row>
    <row r="780" spans="1:29" x14ac:dyDescent="0.2">
      <c r="A780" s="111"/>
      <c r="B780" s="112"/>
      <c r="C780" s="113"/>
      <c r="D780" s="113"/>
      <c r="E780" s="111"/>
      <c r="F780" s="114">
        <f t="shared" si="204"/>
        <v>0</v>
      </c>
      <c r="G780" s="115" t="str">
        <f t="shared" si="205"/>
        <v/>
      </c>
      <c r="H780" s="116">
        <f>IF($D780="",0,IFERROR(LOOKUP(2,1/(($D$3:D779=$D780)*($A$3:A779&lt;$A780)),$N$3:N779),'Guide &amp; Settings'!$C$41))</f>
        <v>0</v>
      </c>
      <c r="I780" s="117">
        <f t="shared" si="206"/>
        <v>0</v>
      </c>
      <c r="J780" s="118">
        <f>IF($D780="",0,IF($F780&lt;2,0,IF($E780="Win",('Guide &amp; Settings'!$C$42/(($F780-1)*COUNTIFS($A$4:$A$810,$A780,$E$4:$E$810,"Win")))*SUMIFS($X$4:$X$810,$A$4:$A$810,$A780,$E$4:$E$810,"Loss"),-('Guide &amp; Settings'!$C$42/($F780-1))*$X780)))</f>
        <v>0</v>
      </c>
      <c r="K780" s="118">
        <f>IF($D780="",0,'Guide &amp; Settings'!$C$43*(IF($E780="Win",1,0)-$I780))</f>
        <v>0</v>
      </c>
      <c r="L780" s="119">
        <f>IF($D780="",0,'Guide &amp; Settings'!$C$44*IF($F780&gt;=3,$F780,0))</f>
        <v>0</v>
      </c>
      <c r="M780" s="118">
        <f t="shared" si="207"/>
        <v>0</v>
      </c>
      <c r="N780" s="116">
        <f t="shared" si="208"/>
        <v>0</v>
      </c>
      <c r="O780" s="115" t="str">
        <f t="shared" si="209"/>
        <v/>
      </c>
      <c r="P780">
        <f t="shared" si="210"/>
        <v>0</v>
      </c>
      <c r="Q780">
        <f t="shared" si="211"/>
        <v>0</v>
      </c>
      <c r="R780">
        <f t="shared" si="212"/>
        <v>0</v>
      </c>
      <c r="S780">
        <f t="shared" si="213"/>
        <v>0</v>
      </c>
      <c r="T780" s="83">
        <f t="shared" si="214"/>
        <v>0</v>
      </c>
      <c r="U780" s="120">
        <f>IF($D780="",0,IFERROR(LOOKUP(2,1/(($D$3:D779=$D780)*($C$3:C779=$C780)*($A$3:A779&lt;$A780)),$AB$3:AB779),1000))</f>
        <v>0</v>
      </c>
      <c r="V780" s="120">
        <f t="shared" si="215"/>
        <v>0</v>
      </c>
      <c r="W780">
        <f t="shared" si="216"/>
        <v>0</v>
      </c>
      <c r="X780">
        <f t="shared" si="217"/>
        <v>0</v>
      </c>
      <c r="Y780">
        <f t="shared" si="218"/>
        <v>0</v>
      </c>
      <c r="Z780">
        <f t="shared" si="219"/>
        <v>0</v>
      </c>
      <c r="AA780">
        <f>IF($D780="",0,IF($F780&lt;2,0,IF($E780="Win",('Guide &amp; Settings'!$C$42/(($F780-1)*COUNTIFS($A$4:$A$810,$A780,$E$4:$E$810,"Win")))*SUMIFS($Z$4:$Z$810,$A$4:$A$810,$A780,$E$4:$E$810,"Loss"),-('Guide &amp; Settings'!$C$42/($F780-1))*$Z780)))</f>
        <v>0</v>
      </c>
      <c r="AB780" s="120">
        <f t="shared" si="220"/>
        <v>0</v>
      </c>
      <c r="AC780" s="120" t="str">
        <f>IF($D780="","",IF(SUMPRODUCT(MAX(($D$4:$D$810=$D780)*($B$4:$B$810&lt;$B780)*$B$4:$B$810))=0,0,MAX(($B780-MAX(SUMPRODUCT(MAX(($D$4:$D$810=$D780)*($B$4:$B$810&lt;$B780)*$B$4:$B$810)),'Guide &amp; Settings'!$C$50))/7-'Guide &amp; Settings'!$C$48,0)*'Guide &amp; Settings'!$C$49))</f>
        <v/>
      </c>
    </row>
    <row r="781" spans="1:29" x14ac:dyDescent="0.2">
      <c r="A781" s="111"/>
      <c r="B781" s="112"/>
      <c r="C781" s="113"/>
      <c r="D781" s="113"/>
      <c r="E781" s="111"/>
      <c r="F781" s="114">
        <f t="shared" si="204"/>
        <v>0</v>
      </c>
      <c r="G781" s="115" t="str">
        <f t="shared" si="205"/>
        <v/>
      </c>
      <c r="H781" s="116">
        <f>IF($D781="",0,IFERROR(LOOKUP(2,1/(($D$3:D780=$D781)*($A$3:A780&lt;$A781)),$N$3:N780),'Guide &amp; Settings'!$C$41))</f>
        <v>0</v>
      </c>
      <c r="I781" s="117">
        <f t="shared" si="206"/>
        <v>0</v>
      </c>
      <c r="J781" s="118">
        <f>IF($D781="",0,IF($F781&lt;2,0,IF($E781="Win",('Guide &amp; Settings'!$C$42/(($F781-1)*COUNTIFS($A$4:$A$810,$A781,$E$4:$E$810,"Win")))*SUMIFS($X$4:$X$810,$A$4:$A$810,$A781,$E$4:$E$810,"Loss"),-('Guide &amp; Settings'!$C$42/($F781-1))*$X781)))</f>
        <v>0</v>
      </c>
      <c r="K781" s="118">
        <f>IF($D781="",0,'Guide &amp; Settings'!$C$43*(IF($E781="Win",1,0)-$I781))</f>
        <v>0</v>
      </c>
      <c r="L781" s="119">
        <f>IF($D781="",0,'Guide &amp; Settings'!$C$44*IF($F781&gt;=3,$F781,0))</f>
        <v>0</v>
      </c>
      <c r="M781" s="118">
        <f t="shared" si="207"/>
        <v>0</v>
      </c>
      <c r="N781" s="116">
        <f t="shared" si="208"/>
        <v>0</v>
      </c>
      <c r="O781" s="115" t="str">
        <f t="shared" si="209"/>
        <v/>
      </c>
      <c r="P781">
        <f t="shared" si="210"/>
        <v>0</v>
      </c>
      <c r="Q781">
        <f t="shared" si="211"/>
        <v>0</v>
      </c>
      <c r="R781">
        <f t="shared" si="212"/>
        <v>0</v>
      </c>
      <c r="S781">
        <f t="shared" si="213"/>
        <v>0</v>
      </c>
      <c r="T781" s="83">
        <f t="shared" si="214"/>
        <v>0</v>
      </c>
      <c r="U781" s="120">
        <f>IF($D781="",0,IFERROR(LOOKUP(2,1/(($D$3:D780=$D781)*($C$3:C780=$C781)*($A$3:A780&lt;$A781)),$AB$3:AB780),1000))</f>
        <v>0</v>
      </c>
      <c r="V781" s="120">
        <f t="shared" si="215"/>
        <v>0</v>
      </c>
      <c r="W781">
        <f t="shared" si="216"/>
        <v>0</v>
      </c>
      <c r="X781">
        <f t="shared" si="217"/>
        <v>0</v>
      </c>
      <c r="Y781">
        <f t="shared" si="218"/>
        <v>0</v>
      </c>
      <c r="Z781">
        <f t="shared" si="219"/>
        <v>0</v>
      </c>
      <c r="AA781">
        <f>IF($D781="",0,IF($F781&lt;2,0,IF($E781="Win",('Guide &amp; Settings'!$C$42/(($F781-1)*COUNTIFS($A$4:$A$810,$A781,$E$4:$E$810,"Win")))*SUMIFS($Z$4:$Z$810,$A$4:$A$810,$A781,$E$4:$E$810,"Loss"),-('Guide &amp; Settings'!$C$42/($F781-1))*$Z781)))</f>
        <v>0</v>
      </c>
      <c r="AB781" s="120">
        <f t="shared" si="220"/>
        <v>0</v>
      </c>
      <c r="AC781" s="120" t="str">
        <f>IF($D781="","",IF(SUMPRODUCT(MAX(($D$4:$D$810=$D781)*($B$4:$B$810&lt;$B781)*$B$4:$B$810))=0,0,MAX(($B781-MAX(SUMPRODUCT(MAX(($D$4:$D$810=$D781)*($B$4:$B$810&lt;$B781)*$B$4:$B$810)),'Guide &amp; Settings'!$C$50))/7-'Guide &amp; Settings'!$C$48,0)*'Guide &amp; Settings'!$C$49))</f>
        <v/>
      </c>
    </row>
    <row r="782" spans="1:29" x14ac:dyDescent="0.2">
      <c r="A782" s="111"/>
      <c r="B782" s="112"/>
      <c r="C782" s="113"/>
      <c r="D782" s="113"/>
      <c r="E782" s="111"/>
      <c r="F782" s="114">
        <f t="shared" si="204"/>
        <v>0</v>
      </c>
      <c r="G782" s="115" t="str">
        <f t="shared" si="205"/>
        <v/>
      </c>
      <c r="H782" s="116">
        <f>IF($D782="",0,IFERROR(LOOKUP(2,1/(($D$3:D781=$D782)*($A$3:A781&lt;$A782)),$N$3:N781),'Guide &amp; Settings'!$C$41))</f>
        <v>0</v>
      </c>
      <c r="I782" s="117">
        <f t="shared" si="206"/>
        <v>0</v>
      </c>
      <c r="J782" s="118">
        <f>IF($D782="",0,IF($F782&lt;2,0,IF($E782="Win",('Guide &amp; Settings'!$C$42/(($F782-1)*COUNTIFS($A$4:$A$810,$A782,$E$4:$E$810,"Win")))*SUMIFS($X$4:$X$810,$A$4:$A$810,$A782,$E$4:$E$810,"Loss"),-('Guide &amp; Settings'!$C$42/($F782-1))*$X782)))</f>
        <v>0</v>
      </c>
      <c r="K782" s="118">
        <f>IF($D782="",0,'Guide &amp; Settings'!$C$43*(IF($E782="Win",1,0)-$I782))</f>
        <v>0</v>
      </c>
      <c r="L782" s="119">
        <f>IF($D782="",0,'Guide &amp; Settings'!$C$44*IF($F782&gt;=3,$F782,0))</f>
        <v>0</v>
      </c>
      <c r="M782" s="118">
        <f t="shared" si="207"/>
        <v>0</v>
      </c>
      <c r="N782" s="116">
        <f t="shared" si="208"/>
        <v>0</v>
      </c>
      <c r="O782" s="115" t="str">
        <f t="shared" si="209"/>
        <v/>
      </c>
      <c r="P782">
        <f t="shared" si="210"/>
        <v>0</v>
      </c>
      <c r="Q782">
        <f t="shared" si="211"/>
        <v>0</v>
      </c>
      <c r="R782">
        <f t="shared" si="212"/>
        <v>0</v>
      </c>
      <c r="S782">
        <f t="shared" si="213"/>
        <v>0</v>
      </c>
      <c r="T782" s="83">
        <f t="shared" si="214"/>
        <v>0</v>
      </c>
      <c r="U782" s="120">
        <f>IF($D782="",0,IFERROR(LOOKUP(2,1/(($D$3:D781=$D782)*($C$3:C781=$C782)*($A$3:A781&lt;$A782)),$AB$3:AB781),1000))</f>
        <v>0</v>
      </c>
      <c r="V782" s="120">
        <f t="shared" si="215"/>
        <v>0</v>
      </c>
      <c r="W782">
        <f t="shared" si="216"/>
        <v>0</v>
      </c>
      <c r="X782">
        <f t="shared" si="217"/>
        <v>0</v>
      </c>
      <c r="Y782">
        <f t="shared" si="218"/>
        <v>0</v>
      </c>
      <c r="Z782">
        <f t="shared" si="219"/>
        <v>0</v>
      </c>
      <c r="AA782">
        <f>IF($D782="",0,IF($F782&lt;2,0,IF($E782="Win",('Guide &amp; Settings'!$C$42/(($F782-1)*COUNTIFS($A$4:$A$810,$A782,$E$4:$E$810,"Win")))*SUMIFS($Z$4:$Z$810,$A$4:$A$810,$A782,$E$4:$E$810,"Loss"),-('Guide &amp; Settings'!$C$42/($F782-1))*$Z782)))</f>
        <v>0</v>
      </c>
      <c r="AB782" s="120">
        <f t="shared" si="220"/>
        <v>0</v>
      </c>
      <c r="AC782" s="120" t="str">
        <f>IF($D782="","",IF(SUMPRODUCT(MAX(($D$4:$D$810=$D782)*($B$4:$B$810&lt;$B782)*$B$4:$B$810))=0,0,MAX(($B782-MAX(SUMPRODUCT(MAX(($D$4:$D$810=$D782)*($B$4:$B$810&lt;$B782)*$B$4:$B$810)),'Guide &amp; Settings'!$C$50))/7-'Guide &amp; Settings'!$C$48,0)*'Guide &amp; Settings'!$C$49))</f>
        <v/>
      </c>
    </row>
    <row r="783" spans="1:29" x14ac:dyDescent="0.2">
      <c r="A783" s="111"/>
      <c r="B783" s="112"/>
      <c r="C783" s="113"/>
      <c r="D783" s="113"/>
      <c r="E783" s="111"/>
      <c r="F783" s="114">
        <f t="shared" si="204"/>
        <v>0</v>
      </c>
      <c r="G783" s="115" t="str">
        <f t="shared" si="205"/>
        <v/>
      </c>
      <c r="H783" s="116">
        <f>IF($D783="",0,IFERROR(LOOKUP(2,1/(($D$3:D782=$D783)*($A$3:A782&lt;$A783)),$N$3:N782),'Guide &amp; Settings'!$C$41))</f>
        <v>0</v>
      </c>
      <c r="I783" s="117">
        <f t="shared" si="206"/>
        <v>0</v>
      </c>
      <c r="J783" s="118">
        <f>IF($D783="",0,IF($F783&lt;2,0,IF($E783="Win",('Guide &amp; Settings'!$C$42/(($F783-1)*COUNTIFS($A$4:$A$810,$A783,$E$4:$E$810,"Win")))*SUMIFS($X$4:$X$810,$A$4:$A$810,$A783,$E$4:$E$810,"Loss"),-('Guide &amp; Settings'!$C$42/($F783-1))*$X783)))</f>
        <v>0</v>
      </c>
      <c r="K783" s="118">
        <f>IF($D783="",0,'Guide &amp; Settings'!$C$43*(IF($E783="Win",1,0)-$I783))</f>
        <v>0</v>
      </c>
      <c r="L783" s="119">
        <f>IF($D783="",0,'Guide &amp; Settings'!$C$44*IF($F783&gt;=3,$F783,0))</f>
        <v>0</v>
      </c>
      <c r="M783" s="118">
        <f t="shared" si="207"/>
        <v>0</v>
      </c>
      <c r="N783" s="116">
        <f t="shared" si="208"/>
        <v>0</v>
      </c>
      <c r="O783" s="115" t="str">
        <f t="shared" si="209"/>
        <v/>
      </c>
      <c r="P783">
        <f t="shared" si="210"/>
        <v>0</v>
      </c>
      <c r="Q783">
        <f t="shared" si="211"/>
        <v>0</v>
      </c>
      <c r="R783">
        <f t="shared" si="212"/>
        <v>0</v>
      </c>
      <c r="S783">
        <f t="shared" si="213"/>
        <v>0</v>
      </c>
      <c r="T783" s="83">
        <f t="shared" si="214"/>
        <v>0</v>
      </c>
      <c r="U783" s="120">
        <f>IF($D783="",0,IFERROR(LOOKUP(2,1/(($D$3:D782=$D783)*($C$3:C782=$C783)*($A$3:A782&lt;$A783)),$AB$3:AB782),1000))</f>
        <v>0</v>
      </c>
      <c r="V783" s="120">
        <f t="shared" si="215"/>
        <v>0</v>
      </c>
      <c r="W783">
        <f t="shared" si="216"/>
        <v>0</v>
      </c>
      <c r="X783">
        <f t="shared" si="217"/>
        <v>0</v>
      </c>
      <c r="Y783">
        <f t="shared" si="218"/>
        <v>0</v>
      </c>
      <c r="Z783">
        <f t="shared" si="219"/>
        <v>0</v>
      </c>
      <c r="AA783">
        <f>IF($D783="",0,IF($F783&lt;2,0,IF($E783="Win",('Guide &amp; Settings'!$C$42/(($F783-1)*COUNTIFS($A$4:$A$810,$A783,$E$4:$E$810,"Win")))*SUMIFS($Z$4:$Z$810,$A$4:$A$810,$A783,$E$4:$E$810,"Loss"),-('Guide &amp; Settings'!$C$42/($F783-1))*$Z783)))</f>
        <v>0</v>
      </c>
      <c r="AB783" s="120">
        <f t="shared" si="220"/>
        <v>0</v>
      </c>
      <c r="AC783" s="120" t="str">
        <f>IF($D783="","",IF(SUMPRODUCT(MAX(($D$4:$D$810=$D783)*($B$4:$B$810&lt;$B783)*$B$4:$B$810))=0,0,MAX(($B783-MAX(SUMPRODUCT(MAX(($D$4:$D$810=$D783)*($B$4:$B$810&lt;$B783)*$B$4:$B$810)),'Guide &amp; Settings'!$C$50))/7-'Guide &amp; Settings'!$C$48,0)*'Guide &amp; Settings'!$C$49))</f>
        <v/>
      </c>
    </row>
    <row r="784" spans="1:29" x14ac:dyDescent="0.2">
      <c r="A784" s="111"/>
      <c r="B784" s="112"/>
      <c r="C784" s="113"/>
      <c r="D784" s="113"/>
      <c r="E784" s="111"/>
      <c r="F784" s="114">
        <f t="shared" si="204"/>
        <v>0</v>
      </c>
      <c r="G784" s="115" t="str">
        <f t="shared" si="205"/>
        <v/>
      </c>
      <c r="H784" s="116">
        <f>IF($D784="",0,IFERROR(LOOKUP(2,1/(($D$3:D783=$D784)*($A$3:A783&lt;$A784)),$N$3:N783),'Guide &amp; Settings'!$C$41))</f>
        <v>0</v>
      </c>
      <c r="I784" s="117">
        <f t="shared" si="206"/>
        <v>0</v>
      </c>
      <c r="J784" s="118">
        <f>IF($D784="",0,IF($F784&lt;2,0,IF($E784="Win",('Guide &amp; Settings'!$C$42/(($F784-1)*COUNTIFS($A$4:$A$810,$A784,$E$4:$E$810,"Win")))*SUMIFS($X$4:$X$810,$A$4:$A$810,$A784,$E$4:$E$810,"Loss"),-('Guide &amp; Settings'!$C$42/($F784-1))*$X784)))</f>
        <v>0</v>
      </c>
      <c r="K784" s="118">
        <f>IF($D784="",0,'Guide &amp; Settings'!$C$43*(IF($E784="Win",1,0)-$I784))</f>
        <v>0</v>
      </c>
      <c r="L784" s="119">
        <f>IF($D784="",0,'Guide &amp; Settings'!$C$44*IF($F784&gt;=3,$F784,0))</f>
        <v>0</v>
      </c>
      <c r="M784" s="118">
        <f t="shared" si="207"/>
        <v>0</v>
      </c>
      <c r="N784" s="116">
        <f t="shared" si="208"/>
        <v>0</v>
      </c>
      <c r="O784" s="115" t="str">
        <f t="shared" si="209"/>
        <v/>
      </c>
      <c r="P784">
        <f t="shared" si="210"/>
        <v>0</v>
      </c>
      <c r="Q784">
        <f t="shared" si="211"/>
        <v>0</v>
      </c>
      <c r="R784">
        <f t="shared" si="212"/>
        <v>0</v>
      </c>
      <c r="S784">
        <f t="shared" si="213"/>
        <v>0</v>
      </c>
      <c r="T784" s="83">
        <f t="shared" si="214"/>
        <v>0</v>
      </c>
      <c r="U784" s="120">
        <f>IF($D784="",0,IFERROR(LOOKUP(2,1/(($D$3:D783=$D784)*($C$3:C783=$C784)*($A$3:A783&lt;$A784)),$AB$3:AB783),1000))</f>
        <v>0</v>
      </c>
      <c r="V784" s="120">
        <f t="shared" si="215"/>
        <v>0</v>
      </c>
      <c r="W784">
        <f t="shared" si="216"/>
        <v>0</v>
      </c>
      <c r="X784">
        <f t="shared" si="217"/>
        <v>0</v>
      </c>
      <c r="Y784">
        <f t="shared" si="218"/>
        <v>0</v>
      </c>
      <c r="Z784">
        <f t="shared" si="219"/>
        <v>0</v>
      </c>
      <c r="AA784">
        <f>IF($D784="",0,IF($F784&lt;2,0,IF($E784="Win",('Guide &amp; Settings'!$C$42/(($F784-1)*COUNTIFS($A$4:$A$810,$A784,$E$4:$E$810,"Win")))*SUMIFS($Z$4:$Z$810,$A$4:$A$810,$A784,$E$4:$E$810,"Loss"),-('Guide &amp; Settings'!$C$42/($F784-1))*$Z784)))</f>
        <v>0</v>
      </c>
      <c r="AB784" s="120">
        <f t="shared" si="220"/>
        <v>0</v>
      </c>
      <c r="AC784" s="120" t="str">
        <f>IF($D784="","",IF(SUMPRODUCT(MAX(($D$4:$D$810=$D784)*($B$4:$B$810&lt;$B784)*$B$4:$B$810))=0,0,MAX(($B784-MAX(SUMPRODUCT(MAX(($D$4:$D$810=$D784)*($B$4:$B$810&lt;$B784)*$B$4:$B$810)),'Guide &amp; Settings'!$C$50))/7-'Guide &amp; Settings'!$C$48,0)*'Guide &amp; Settings'!$C$49))</f>
        <v/>
      </c>
    </row>
    <row r="785" spans="1:29" x14ac:dyDescent="0.2">
      <c r="A785" s="111"/>
      <c r="B785" s="112"/>
      <c r="C785" s="113"/>
      <c r="D785" s="113"/>
      <c r="E785" s="111"/>
      <c r="F785" s="114">
        <f t="shared" si="204"/>
        <v>0</v>
      </c>
      <c r="G785" s="115" t="str">
        <f t="shared" si="205"/>
        <v/>
      </c>
      <c r="H785" s="116">
        <f>IF($D785="",0,IFERROR(LOOKUP(2,1/(($D$3:D784=$D785)*($A$3:A784&lt;$A785)),$N$3:N784),'Guide &amp; Settings'!$C$41))</f>
        <v>0</v>
      </c>
      <c r="I785" s="117">
        <f t="shared" si="206"/>
        <v>0</v>
      </c>
      <c r="J785" s="118">
        <f>IF($D785="",0,IF($F785&lt;2,0,IF($E785="Win",('Guide &amp; Settings'!$C$42/(($F785-1)*COUNTIFS($A$4:$A$810,$A785,$E$4:$E$810,"Win")))*SUMIFS($X$4:$X$810,$A$4:$A$810,$A785,$E$4:$E$810,"Loss"),-('Guide &amp; Settings'!$C$42/($F785-1))*$X785)))</f>
        <v>0</v>
      </c>
      <c r="K785" s="118">
        <f>IF($D785="",0,'Guide &amp; Settings'!$C$43*(IF($E785="Win",1,0)-$I785))</f>
        <v>0</v>
      </c>
      <c r="L785" s="119">
        <f>IF($D785="",0,'Guide &amp; Settings'!$C$44*IF($F785&gt;=3,$F785,0))</f>
        <v>0</v>
      </c>
      <c r="M785" s="118">
        <f t="shared" si="207"/>
        <v>0</v>
      </c>
      <c r="N785" s="116">
        <f t="shared" si="208"/>
        <v>0</v>
      </c>
      <c r="O785" s="115" t="str">
        <f t="shared" si="209"/>
        <v/>
      </c>
      <c r="P785">
        <f t="shared" si="210"/>
        <v>0</v>
      </c>
      <c r="Q785">
        <f t="shared" si="211"/>
        <v>0</v>
      </c>
      <c r="R785">
        <f t="shared" si="212"/>
        <v>0</v>
      </c>
      <c r="S785">
        <f t="shared" si="213"/>
        <v>0</v>
      </c>
      <c r="T785" s="83">
        <f t="shared" si="214"/>
        <v>0</v>
      </c>
      <c r="U785" s="120">
        <f>IF($D785="",0,IFERROR(LOOKUP(2,1/(($D$3:D784=$D785)*($C$3:C784=$C785)*($A$3:A784&lt;$A785)),$AB$3:AB784),1000))</f>
        <v>0</v>
      </c>
      <c r="V785" s="120">
        <f t="shared" si="215"/>
        <v>0</v>
      </c>
      <c r="W785">
        <f t="shared" si="216"/>
        <v>0</v>
      </c>
      <c r="X785">
        <f t="shared" si="217"/>
        <v>0</v>
      </c>
      <c r="Y785">
        <f t="shared" si="218"/>
        <v>0</v>
      </c>
      <c r="Z785">
        <f t="shared" si="219"/>
        <v>0</v>
      </c>
      <c r="AA785">
        <f>IF($D785="",0,IF($F785&lt;2,0,IF($E785="Win",('Guide &amp; Settings'!$C$42/(($F785-1)*COUNTIFS($A$4:$A$810,$A785,$E$4:$E$810,"Win")))*SUMIFS($Z$4:$Z$810,$A$4:$A$810,$A785,$E$4:$E$810,"Loss"),-('Guide &amp; Settings'!$C$42/($F785-1))*$Z785)))</f>
        <v>0</v>
      </c>
      <c r="AB785" s="120">
        <f t="shared" si="220"/>
        <v>0</v>
      </c>
      <c r="AC785" s="120" t="str">
        <f>IF($D785="","",IF(SUMPRODUCT(MAX(($D$4:$D$810=$D785)*($B$4:$B$810&lt;$B785)*$B$4:$B$810))=0,0,MAX(($B785-MAX(SUMPRODUCT(MAX(($D$4:$D$810=$D785)*($B$4:$B$810&lt;$B785)*$B$4:$B$810)),'Guide &amp; Settings'!$C$50))/7-'Guide &amp; Settings'!$C$48,0)*'Guide &amp; Settings'!$C$49))</f>
        <v/>
      </c>
    </row>
    <row r="786" spans="1:29" x14ac:dyDescent="0.2">
      <c r="A786" s="111"/>
      <c r="B786" s="112"/>
      <c r="C786" s="113"/>
      <c r="D786" s="113"/>
      <c r="E786" s="111"/>
      <c r="F786" s="114">
        <f t="shared" si="204"/>
        <v>0</v>
      </c>
      <c r="G786" s="115" t="str">
        <f t="shared" si="205"/>
        <v/>
      </c>
      <c r="H786" s="116">
        <f>IF($D786="",0,IFERROR(LOOKUP(2,1/(($D$3:D785=$D786)*($A$3:A785&lt;$A786)),$N$3:N785),'Guide &amp; Settings'!$C$41))</f>
        <v>0</v>
      </c>
      <c r="I786" s="117">
        <f t="shared" si="206"/>
        <v>0</v>
      </c>
      <c r="J786" s="118">
        <f>IF($D786="",0,IF($F786&lt;2,0,IF($E786="Win",('Guide &amp; Settings'!$C$42/(($F786-1)*COUNTIFS($A$4:$A$810,$A786,$E$4:$E$810,"Win")))*SUMIFS($X$4:$X$810,$A$4:$A$810,$A786,$E$4:$E$810,"Loss"),-('Guide &amp; Settings'!$C$42/($F786-1))*$X786)))</f>
        <v>0</v>
      </c>
      <c r="K786" s="118">
        <f>IF($D786="",0,'Guide &amp; Settings'!$C$43*(IF($E786="Win",1,0)-$I786))</f>
        <v>0</v>
      </c>
      <c r="L786" s="119">
        <f>IF($D786="",0,'Guide &amp; Settings'!$C$44*IF($F786&gt;=3,$F786,0))</f>
        <v>0</v>
      </c>
      <c r="M786" s="118">
        <f t="shared" si="207"/>
        <v>0</v>
      </c>
      <c r="N786" s="116">
        <f t="shared" si="208"/>
        <v>0</v>
      </c>
      <c r="O786" s="115" t="str">
        <f t="shared" si="209"/>
        <v/>
      </c>
      <c r="P786">
        <f t="shared" si="210"/>
        <v>0</v>
      </c>
      <c r="Q786">
        <f t="shared" si="211"/>
        <v>0</v>
      </c>
      <c r="R786">
        <f t="shared" si="212"/>
        <v>0</v>
      </c>
      <c r="S786">
        <f t="shared" si="213"/>
        <v>0</v>
      </c>
      <c r="T786" s="83">
        <f t="shared" si="214"/>
        <v>0</v>
      </c>
      <c r="U786" s="120">
        <f>IF($D786="",0,IFERROR(LOOKUP(2,1/(($D$3:D785=$D786)*($C$3:C785=$C786)*($A$3:A785&lt;$A786)),$AB$3:AB785),1000))</f>
        <v>0</v>
      </c>
      <c r="V786" s="120">
        <f t="shared" si="215"/>
        <v>0</v>
      </c>
      <c r="W786">
        <f t="shared" si="216"/>
        <v>0</v>
      </c>
      <c r="X786">
        <f t="shared" si="217"/>
        <v>0</v>
      </c>
      <c r="Y786">
        <f t="shared" si="218"/>
        <v>0</v>
      </c>
      <c r="Z786">
        <f t="shared" si="219"/>
        <v>0</v>
      </c>
      <c r="AA786">
        <f>IF($D786="",0,IF($F786&lt;2,0,IF($E786="Win",('Guide &amp; Settings'!$C$42/(($F786-1)*COUNTIFS($A$4:$A$810,$A786,$E$4:$E$810,"Win")))*SUMIFS($Z$4:$Z$810,$A$4:$A$810,$A786,$E$4:$E$810,"Loss"),-('Guide &amp; Settings'!$C$42/($F786-1))*$Z786)))</f>
        <v>0</v>
      </c>
      <c r="AB786" s="120">
        <f t="shared" si="220"/>
        <v>0</v>
      </c>
      <c r="AC786" s="120" t="str">
        <f>IF($D786="","",IF(SUMPRODUCT(MAX(($D$4:$D$810=$D786)*($B$4:$B$810&lt;$B786)*$B$4:$B$810))=0,0,MAX(($B786-MAX(SUMPRODUCT(MAX(($D$4:$D$810=$D786)*($B$4:$B$810&lt;$B786)*$B$4:$B$810)),'Guide &amp; Settings'!$C$50))/7-'Guide &amp; Settings'!$C$48,0)*'Guide &amp; Settings'!$C$49))</f>
        <v/>
      </c>
    </row>
    <row r="787" spans="1:29" x14ac:dyDescent="0.2">
      <c r="A787" s="111"/>
      <c r="B787" s="112"/>
      <c r="C787" s="113"/>
      <c r="D787" s="113"/>
      <c r="E787" s="111"/>
      <c r="F787" s="114">
        <f t="shared" si="204"/>
        <v>0</v>
      </c>
      <c r="G787" s="115" t="str">
        <f t="shared" si="205"/>
        <v/>
      </c>
      <c r="H787" s="116">
        <f>IF($D787="",0,IFERROR(LOOKUP(2,1/(($D$3:D786=$D787)*($A$3:A786&lt;$A787)),$N$3:N786),'Guide &amp; Settings'!$C$41))</f>
        <v>0</v>
      </c>
      <c r="I787" s="117">
        <f t="shared" si="206"/>
        <v>0</v>
      </c>
      <c r="J787" s="118">
        <f>IF($D787="",0,IF($F787&lt;2,0,IF($E787="Win",('Guide &amp; Settings'!$C$42/(($F787-1)*COUNTIFS($A$4:$A$810,$A787,$E$4:$E$810,"Win")))*SUMIFS($X$4:$X$810,$A$4:$A$810,$A787,$E$4:$E$810,"Loss"),-('Guide &amp; Settings'!$C$42/($F787-1))*$X787)))</f>
        <v>0</v>
      </c>
      <c r="K787" s="118">
        <f>IF($D787="",0,'Guide &amp; Settings'!$C$43*(IF($E787="Win",1,0)-$I787))</f>
        <v>0</v>
      </c>
      <c r="L787" s="119">
        <f>IF($D787="",0,'Guide &amp; Settings'!$C$44*IF($F787&gt;=3,$F787,0))</f>
        <v>0</v>
      </c>
      <c r="M787" s="118">
        <f t="shared" si="207"/>
        <v>0</v>
      </c>
      <c r="N787" s="116">
        <f t="shared" si="208"/>
        <v>0</v>
      </c>
      <c r="O787" s="115" t="str">
        <f t="shared" si="209"/>
        <v/>
      </c>
      <c r="P787">
        <f t="shared" si="210"/>
        <v>0</v>
      </c>
      <c r="Q787">
        <f t="shared" si="211"/>
        <v>0</v>
      </c>
      <c r="R787">
        <f t="shared" si="212"/>
        <v>0</v>
      </c>
      <c r="S787">
        <f t="shared" si="213"/>
        <v>0</v>
      </c>
      <c r="T787" s="83">
        <f t="shared" si="214"/>
        <v>0</v>
      </c>
      <c r="U787" s="120">
        <f>IF($D787="",0,IFERROR(LOOKUP(2,1/(($D$3:D786=$D787)*($C$3:C786=$C787)*($A$3:A786&lt;$A787)),$AB$3:AB786),1000))</f>
        <v>0</v>
      </c>
      <c r="V787" s="120">
        <f t="shared" si="215"/>
        <v>0</v>
      </c>
      <c r="W787">
        <f t="shared" si="216"/>
        <v>0</v>
      </c>
      <c r="X787">
        <f t="shared" si="217"/>
        <v>0</v>
      </c>
      <c r="Y787">
        <f t="shared" si="218"/>
        <v>0</v>
      </c>
      <c r="Z787">
        <f t="shared" si="219"/>
        <v>0</v>
      </c>
      <c r="AA787">
        <f>IF($D787="",0,IF($F787&lt;2,0,IF($E787="Win",('Guide &amp; Settings'!$C$42/(($F787-1)*COUNTIFS($A$4:$A$810,$A787,$E$4:$E$810,"Win")))*SUMIFS($Z$4:$Z$810,$A$4:$A$810,$A787,$E$4:$E$810,"Loss"),-('Guide &amp; Settings'!$C$42/($F787-1))*$Z787)))</f>
        <v>0</v>
      </c>
      <c r="AB787" s="120">
        <f t="shared" si="220"/>
        <v>0</v>
      </c>
      <c r="AC787" s="120" t="str">
        <f>IF($D787="","",IF(SUMPRODUCT(MAX(($D$4:$D$810=$D787)*($B$4:$B$810&lt;$B787)*$B$4:$B$810))=0,0,MAX(($B787-MAX(SUMPRODUCT(MAX(($D$4:$D$810=$D787)*($B$4:$B$810&lt;$B787)*$B$4:$B$810)),'Guide &amp; Settings'!$C$50))/7-'Guide &amp; Settings'!$C$48,0)*'Guide &amp; Settings'!$C$49))</f>
        <v/>
      </c>
    </row>
    <row r="788" spans="1:29" x14ac:dyDescent="0.2">
      <c r="A788" s="111"/>
      <c r="B788" s="112"/>
      <c r="C788" s="113"/>
      <c r="D788" s="113"/>
      <c r="E788" s="111"/>
      <c r="F788" s="114">
        <f t="shared" si="204"/>
        <v>0</v>
      </c>
      <c r="G788" s="115" t="str">
        <f t="shared" si="205"/>
        <v/>
      </c>
      <c r="H788" s="116">
        <f>IF($D788="",0,IFERROR(LOOKUP(2,1/(($D$3:D787=$D788)*($A$3:A787&lt;$A788)),$N$3:N787),'Guide &amp; Settings'!$C$41))</f>
        <v>0</v>
      </c>
      <c r="I788" s="117">
        <f t="shared" si="206"/>
        <v>0</v>
      </c>
      <c r="J788" s="118">
        <f>IF($D788="",0,IF($F788&lt;2,0,IF($E788="Win",('Guide &amp; Settings'!$C$42/(($F788-1)*COUNTIFS($A$4:$A$810,$A788,$E$4:$E$810,"Win")))*SUMIFS($X$4:$X$810,$A$4:$A$810,$A788,$E$4:$E$810,"Loss"),-('Guide &amp; Settings'!$C$42/($F788-1))*$X788)))</f>
        <v>0</v>
      </c>
      <c r="K788" s="118">
        <f>IF($D788="",0,'Guide &amp; Settings'!$C$43*(IF($E788="Win",1,0)-$I788))</f>
        <v>0</v>
      </c>
      <c r="L788" s="119">
        <f>IF($D788="",0,'Guide &amp; Settings'!$C$44*IF($F788&gt;=3,$F788,0))</f>
        <v>0</v>
      </c>
      <c r="M788" s="118">
        <f t="shared" si="207"/>
        <v>0</v>
      </c>
      <c r="N788" s="116">
        <f t="shared" si="208"/>
        <v>0</v>
      </c>
      <c r="O788" s="115" t="str">
        <f t="shared" si="209"/>
        <v/>
      </c>
      <c r="P788">
        <f t="shared" si="210"/>
        <v>0</v>
      </c>
      <c r="Q788">
        <f t="shared" si="211"/>
        <v>0</v>
      </c>
      <c r="R788">
        <f t="shared" si="212"/>
        <v>0</v>
      </c>
      <c r="S788">
        <f t="shared" si="213"/>
        <v>0</v>
      </c>
      <c r="T788" s="83">
        <f t="shared" si="214"/>
        <v>0</v>
      </c>
      <c r="U788" s="120">
        <f>IF($D788="",0,IFERROR(LOOKUP(2,1/(($D$3:D787=$D788)*($C$3:C787=$C788)*($A$3:A787&lt;$A788)),$AB$3:AB787),1000))</f>
        <v>0</v>
      </c>
      <c r="V788" s="120">
        <f t="shared" si="215"/>
        <v>0</v>
      </c>
      <c r="W788">
        <f t="shared" si="216"/>
        <v>0</v>
      </c>
      <c r="X788">
        <f t="shared" si="217"/>
        <v>0</v>
      </c>
      <c r="Y788">
        <f t="shared" si="218"/>
        <v>0</v>
      </c>
      <c r="Z788">
        <f t="shared" si="219"/>
        <v>0</v>
      </c>
      <c r="AA788">
        <f>IF($D788="",0,IF($F788&lt;2,0,IF($E788="Win",('Guide &amp; Settings'!$C$42/(($F788-1)*COUNTIFS($A$4:$A$810,$A788,$E$4:$E$810,"Win")))*SUMIFS($Z$4:$Z$810,$A$4:$A$810,$A788,$E$4:$E$810,"Loss"),-('Guide &amp; Settings'!$C$42/($F788-1))*$Z788)))</f>
        <v>0</v>
      </c>
      <c r="AB788" s="120">
        <f t="shared" si="220"/>
        <v>0</v>
      </c>
      <c r="AC788" s="120" t="str">
        <f>IF($D788="","",IF(SUMPRODUCT(MAX(($D$4:$D$810=$D788)*($B$4:$B$810&lt;$B788)*$B$4:$B$810))=0,0,MAX(($B788-MAX(SUMPRODUCT(MAX(($D$4:$D$810=$D788)*($B$4:$B$810&lt;$B788)*$B$4:$B$810)),'Guide &amp; Settings'!$C$50))/7-'Guide &amp; Settings'!$C$48,0)*'Guide &amp; Settings'!$C$49))</f>
        <v/>
      </c>
    </row>
    <row r="789" spans="1:29" x14ac:dyDescent="0.2">
      <c r="A789" s="111"/>
      <c r="B789" s="112"/>
      <c r="C789" s="113"/>
      <c r="D789" s="113"/>
      <c r="E789" s="111"/>
      <c r="F789" s="114">
        <f t="shared" si="204"/>
        <v>0</v>
      </c>
      <c r="G789" s="115" t="str">
        <f t="shared" si="205"/>
        <v/>
      </c>
      <c r="H789" s="116">
        <f>IF($D789="",0,IFERROR(LOOKUP(2,1/(($D$3:D788=$D789)*($A$3:A788&lt;$A789)),$N$3:N788),'Guide &amp; Settings'!$C$41))</f>
        <v>0</v>
      </c>
      <c r="I789" s="117">
        <f t="shared" si="206"/>
        <v>0</v>
      </c>
      <c r="J789" s="118">
        <f>IF($D789="",0,IF($F789&lt;2,0,IF($E789="Win",('Guide &amp; Settings'!$C$42/(($F789-1)*COUNTIFS($A$4:$A$810,$A789,$E$4:$E$810,"Win")))*SUMIFS($X$4:$X$810,$A$4:$A$810,$A789,$E$4:$E$810,"Loss"),-('Guide &amp; Settings'!$C$42/($F789-1))*$X789)))</f>
        <v>0</v>
      </c>
      <c r="K789" s="118">
        <f>IF($D789="",0,'Guide &amp; Settings'!$C$43*(IF($E789="Win",1,0)-$I789))</f>
        <v>0</v>
      </c>
      <c r="L789" s="119">
        <f>IF($D789="",0,'Guide &amp; Settings'!$C$44*IF($F789&gt;=3,$F789,0))</f>
        <v>0</v>
      </c>
      <c r="M789" s="118">
        <f t="shared" si="207"/>
        <v>0</v>
      </c>
      <c r="N789" s="116">
        <f t="shared" si="208"/>
        <v>0</v>
      </c>
      <c r="O789" s="115" t="str">
        <f t="shared" si="209"/>
        <v/>
      </c>
      <c r="P789">
        <f t="shared" si="210"/>
        <v>0</v>
      </c>
      <c r="Q789">
        <f t="shared" si="211"/>
        <v>0</v>
      </c>
      <c r="R789">
        <f t="shared" si="212"/>
        <v>0</v>
      </c>
      <c r="S789">
        <f t="shared" si="213"/>
        <v>0</v>
      </c>
      <c r="T789" s="83">
        <f t="shared" si="214"/>
        <v>0</v>
      </c>
      <c r="U789" s="120">
        <f>IF($D789="",0,IFERROR(LOOKUP(2,1/(($D$3:D788=$D789)*($C$3:C788=$C789)*($A$3:A788&lt;$A789)),$AB$3:AB788),1000))</f>
        <v>0</v>
      </c>
      <c r="V789" s="120">
        <f t="shared" si="215"/>
        <v>0</v>
      </c>
      <c r="W789">
        <f t="shared" si="216"/>
        <v>0</v>
      </c>
      <c r="X789">
        <f t="shared" si="217"/>
        <v>0</v>
      </c>
      <c r="Y789">
        <f t="shared" si="218"/>
        <v>0</v>
      </c>
      <c r="Z789">
        <f t="shared" si="219"/>
        <v>0</v>
      </c>
      <c r="AA789">
        <f>IF($D789="",0,IF($F789&lt;2,0,IF($E789="Win",('Guide &amp; Settings'!$C$42/(($F789-1)*COUNTIFS($A$4:$A$810,$A789,$E$4:$E$810,"Win")))*SUMIFS($Z$4:$Z$810,$A$4:$A$810,$A789,$E$4:$E$810,"Loss"),-('Guide &amp; Settings'!$C$42/($F789-1))*$Z789)))</f>
        <v>0</v>
      </c>
      <c r="AB789" s="120">
        <f t="shared" si="220"/>
        <v>0</v>
      </c>
      <c r="AC789" s="120" t="str">
        <f>IF($D789="","",IF(SUMPRODUCT(MAX(($D$4:$D$810=$D789)*($B$4:$B$810&lt;$B789)*$B$4:$B$810))=0,0,MAX(($B789-MAX(SUMPRODUCT(MAX(($D$4:$D$810=$D789)*($B$4:$B$810&lt;$B789)*$B$4:$B$810)),'Guide &amp; Settings'!$C$50))/7-'Guide &amp; Settings'!$C$48,0)*'Guide &amp; Settings'!$C$49))</f>
        <v/>
      </c>
    </row>
    <row r="790" spans="1:29" x14ac:dyDescent="0.2">
      <c r="A790" s="111"/>
      <c r="B790" s="112"/>
      <c r="C790" s="113"/>
      <c r="D790" s="113"/>
      <c r="E790" s="111"/>
      <c r="F790" s="114">
        <f t="shared" si="204"/>
        <v>0</v>
      </c>
      <c r="G790" s="115" t="str">
        <f t="shared" si="205"/>
        <v/>
      </c>
      <c r="H790" s="116">
        <f>IF($D790="",0,IFERROR(LOOKUP(2,1/(($D$3:D789=$D790)*($A$3:A789&lt;$A790)),$N$3:N789),'Guide &amp; Settings'!$C$41))</f>
        <v>0</v>
      </c>
      <c r="I790" s="117">
        <f t="shared" si="206"/>
        <v>0</v>
      </c>
      <c r="J790" s="118">
        <f>IF($D790="",0,IF($F790&lt;2,0,IF($E790="Win",('Guide &amp; Settings'!$C$42/(($F790-1)*COUNTIFS($A$4:$A$810,$A790,$E$4:$E$810,"Win")))*SUMIFS($X$4:$X$810,$A$4:$A$810,$A790,$E$4:$E$810,"Loss"),-('Guide &amp; Settings'!$C$42/($F790-1))*$X790)))</f>
        <v>0</v>
      </c>
      <c r="K790" s="118">
        <f>IF($D790="",0,'Guide &amp; Settings'!$C$43*(IF($E790="Win",1,0)-$I790))</f>
        <v>0</v>
      </c>
      <c r="L790" s="119">
        <f>IF($D790="",0,'Guide &amp; Settings'!$C$44*IF($F790&gt;=3,$F790,0))</f>
        <v>0</v>
      </c>
      <c r="M790" s="118">
        <f t="shared" si="207"/>
        <v>0</v>
      </c>
      <c r="N790" s="116">
        <f t="shared" si="208"/>
        <v>0</v>
      </c>
      <c r="O790" s="115" t="str">
        <f t="shared" si="209"/>
        <v/>
      </c>
      <c r="P790">
        <f t="shared" si="210"/>
        <v>0</v>
      </c>
      <c r="Q790">
        <f t="shared" si="211"/>
        <v>0</v>
      </c>
      <c r="R790">
        <f t="shared" si="212"/>
        <v>0</v>
      </c>
      <c r="S790">
        <f t="shared" si="213"/>
        <v>0</v>
      </c>
      <c r="T790" s="83">
        <f t="shared" si="214"/>
        <v>0</v>
      </c>
      <c r="U790" s="120">
        <f>IF($D790="",0,IFERROR(LOOKUP(2,1/(($D$3:D789=$D790)*($C$3:C789=$C790)*($A$3:A789&lt;$A790)),$AB$3:AB789),1000))</f>
        <v>0</v>
      </c>
      <c r="V790" s="120">
        <f t="shared" si="215"/>
        <v>0</v>
      </c>
      <c r="W790">
        <f t="shared" si="216"/>
        <v>0</v>
      </c>
      <c r="X790">
        <f t="shared" si="217"/>
        <v>0</v>
      </c>
      <c r="Y790">
        <f t="shared" si="218"/>
        <v>0</v>
      </c>
      <c r="Z790">
        <f t="shared" si="219"/>
        <v>0</v>
      </c>
      <c r="AA790">
        <f>IF($D790="",0,IF($F790&lt;2,0,IF($E790="Win",('Guide &amp; Settings'!$C$42/(($F790-1)*COUNTIFS($A$4:$A$810,$A790,$E$4:$E$810,"Win")))*SUMIFS($Z$4:$Z$810,$A$4:$A$810,$A790,$E$4:$E$810,"Loss"),-('Guide &amp; Settings'!$C$42/($F790-1))*$Z790)))</f>
        <v>0</v>
      </c>
      <c r="AB790" s="120">
        <f t="shared" si="220"/>
        <v>0</v>
      </c>
      <c r="AC790" s="120" t="str">
        <f>IF($D790="","",IF(SUMPRODUCT(MAX(($D$4:$D$810=$D790)*($B$4:$B$810&lt;$B790)*$B$4:$B$810))=0,0,MAX(($B790-MAX(SUMPRODUCT(MAX(($D$4:$D$810=$D790)*($B$4:$B$810&lt;$B790)*$B$4:$B$810)),'Guide &amp; Settings'!$C$50))/7-'Guide &amp; Settings'!$C$48,0)*'Guide &amp; Settings'!$C$49))</f>
        <v/>
      </c>
    </row>
    <row r="791" spans="1:29" x14ac:dyDescent="0.2">
      <c r="A791" s="111"/>
      <c r="B791" s="112"/>
      <c r="C791" s="113"/>
      <c r="D791" s="113"/>
      <c r="E791" s="111"/>
      <c r="F791" s="114">
        <f t="shared" si="204"/>
        <v>0</v>
      </c>
      <c r="G791" s="115" t="str">
        <f t="shared" si="205"/>
        <v/>
      </c>
      <c r="H791" s="116">
        <f>IF($D791="",0,IFERROR(LOOKUP(2,1/(($D$3:D790=$D791)*($A$3:A790&lt;$A791)),$N$3:N790),'Guide &amp; Settings'!$C$41))</f>
        <v>0</v>
      </c>
      <c r="I791" s="117">
        <f t="shared" si="206"/>
        <v>0</v>
      </c>
      <c r="J791" s="118">
        <f>IF($D791="",0,IF($F791&lt;2,0,IF($E791="Win",('Guide &amp; Settings'!$C$42/(($F791-1)*COUNTIFS($A$4:$A$810,$A791,$E$4:$E$810,"Win")))*SUMIFS($X$4:$X$810,$A$4:$A$810,$A791,$E$4:$E$810,"Loss"),-('Guide &amp; Settings'!$C$42/($F791-1))*$X791)))</f>
        <v>0</v>
      </c>
      <c r="K791" s="118">
        <f>IF($D791="",0,'Guide &amp; Settings'!$C$43*(IF($E791="Win",1,0)-$I791))</f>
        <v>0</v>
      </c>
      <c r="L791" s="119">
        <f>IF($D791="",0,'Guide &amp; Settings'!$C$44*IF($F791&gt;=3,$F791,0))</f>
        <v>0</v>
      </c>
      <c r="M791" s="118">
        <f t="shared" si="207"/>
        <v>0</v>
      </c>
      <c r="N791" s="116">
        <f t="shared" si="208"/>
        <v>0</v>
      </c>
      <c r="O791" s="115" t="str">
        <f t="shared" si="209"/>
        <v/>
      </c>
      <c r="P791">
        <f t="shared" si="210"/>
        <v>0</v>
      </c>
      <c r="Q791">
        <f t="shared" si="211"/>
        <v>0</v>
      </c>
      <c r="R791">
        <f t="shared" si="212"/>
        <v>0</v>
      </c>
      <c r="S791">
        <f t="shared" si="213"/>
        <v>0</v>
      </c>
      <c r="T791" s="83">
        <f t="shared" si="214"/>
        <v>0</v>
      </c>
      <c r="U791" s="120">
        <f>IF($D791="",0,IFERROR(LOOKUP(2,1/(($D$3:D790=$D791)*($C$3:C790=$C791)*($A$3:A790&lt;$A791)),$AB$3:AB790),1000))</f>
        <v>0</v>
      </c>
      <c r="V791" s="120">
        <f t="shared" si="215"/>
        <v>0</v>
      </c>
      <c r="W791">
        <f t="shared" si="216"/>
        <v>0</v>
      </c>
      <c r="X791">
        <f t="shared" si="217"/>
        <v>0</v>
      </c>
      <c r="Y791">
        <f t="shared" si="218"/>
        <v>0</v>
      </c>
      <c r="Z791">
        <f t="shared" si="219"/>
        <v>0</v>
      </c>
      <c r="AA791">
        <f>IF($D791="",0,IF($F791&lt;2,0,IF($E791="Win",('Guide &amp; Settings'!$C$42/(($F791-1)*COUNTIFS($A$4:$A$810,$A791,$E$4:$E$810,"Win")))*SUMIFS($Z$4:$Z$810,$A$4:$A$810,$A791,$E$4:$E$810,"Loss"),-('Guide &amp; Settings'!$C$42/($F791-1))*$Z791)))</f>
        <v>0</v>
      </c>
      <c r="AB791" s="120">
        <f t="shared" si="220"/>
        <v>0</v>
      </c>
      <c r="AC791" s="120" t="str">
        <f>IF($D791="","",IF(SUMPRODUCT(MAX(($D$4:$D$810=$D791)*($B$4:$B$810&lt;$B791)*$B$4:$B$810))=0,0,MAX(($B791-MAX(SUMPRODUCT(MAX(($D$4:$D$810=$D791)*($B$4:$B$810&lt;$B791)*$B$4:$B$810)),'Guide &amp; Settings'!$C$50))/7-'Guide &amp; Settings'!$C$48,0)*'Guide &amp; Settings'!$C$49))</f>
        <v/>
      </c>
    </row>
    <row r="792" spans="1:29" x14ac:dyDescent="0.2">
      <c r="A792" s="111"/>
      <c r="B792" s="112"/>
      <c r="C792" s="113"/>
      <c r="D792" s="113"/>
      <c r="E792" s="111"/>
      <c r="F792" s="114">
        <f t="shared" si="204"/>
        <v>0</v>
      </c>
      <c r="G792" s="115" t="str">
        <f t="shared" si="205"/>
        <v/>
      </c>
      <c r="H792" s="116">
        <f>IF($D792="",0,IFERROR(LOOKUP(2,1/(($D$3:D791=$D792)*($A$3:A791&lt;$A792)),$N$3:N791),'Guide &amp; Settings'!$C$41))</f>
        <v>0</v>
      </c>
      <c r="I792" s="117">
        <f t="shared" si="206"/>
        <v>0</v>
      </c>
      <c r="J792" s="118">
        <f>IF($D792="",0,IF($F792&lt;2,0,IF($E792="Win",('Guide &amp; Settings'!$C$42/(($F792-1)*COUNTIFS($A$4:$A$810,$A792,$E$4:$E$810,"Win")))*SUMIFS($X$4:$X$810,$A$4:$A$810,$A792,$E$4:$E$810,"Loss"),-('Guide &amp; Settings'!$C$42/($F792-1))*$X792)))</f>
        <v>0</v>
      </c>
      <c r="K792" s="118">
        <f>IF($D792="",0,'Guide &amp; Settings'!$C$43*(IF($E792="Win",1,0)-$I792))</f>
        <v>0</v>
      </c>
      <c r="L792" s="119">
        <f>IF($D792="",0,'Guide &amp; Settings'!$C$44*IF($F792&gt;=3,$F792,0))</f>
        <v>0</v>
      </c>
      <c r="M792" s="118">
        <f t="shared" si="207"/>
        <v>0</v>
      </c>
      <c r="N792" s="116">
        <f t="shared" si="208"/>
        <v>0</v>
      </c>
      <c r="O792" s="115" t="str">
        <f t="shared" si="209"/>
        <v/>
      </c>
      <c r="P792">
        <f t="shared" si="210"/>
        <v>0</v>
      </c>
      <c r="Q792">
        <f t="shared" si="211"/>
        <v>0</v>
      </c>
      <c r="R792">
        <f t="shared" si="212"/>
        <v>0</v>
      </c>
      <c r="S792">
        <f t="shared" si="213"/>
        <v>0</v>
      </c>
      <c r="T792" s="83">
        <f t="shared" si="214"/>
        <v>0</v>
      </c>
      <c r="U792" s="120">
        <f>IF($D792="",0,IFERROR(LOOKUP(2,1/(($D$3:D791=$D792)*($C$3:C791=$C792)*($A$3:A791&lt;$A792)),$AB$3:AB791),1000))</f>
        <v>0</v>
      </c>
      <c r="V792" s="120">
        <f t="shared" si="215"/>
        <v>0</v>
      </c>
      <c r="W792">
        <f t="shared" si="216"/>
        <v>0</v>
      </c>
      <c r="X792">
        <f t="shared" si="217"/>
        <v>0</v>
      </c>
      <c r="Y792">
        <f t="shared" si="218"/>
        <v>0</v>
      </c>
      <c r="Z792">
        <f t="shared" si="219"/>
        <v>0</v>
      </c>
      <c r="AA792">
        <f>IF($D792="",0,IF($F792&lt;2,0,IF($E792="Win",('Guide &amp; Settings'!$C$42/(($F792-1)*COUNTIFS($A$4:$A$810,$A792,$E$4:$E$810,"Win")))*SUMIFS($Z$4:$Z$810,$A$4:$A$810,$A792,$E$4:$E$810,"Loss"),-('Guide &amp; Settings'!$C$42/($F792-1))*$Z792)))</f>
        <v>0</v>
      </c>
      <c r="AB792" s="120">
        <f t="shared" si="220"/>
        <v>0</v>
      </c>
      <c r="AC792" s="120" t="str">
        <f>IF($D792="","",IF(SUMPRODUCT(MAX(($D$4:$D$810=$D792)*($B$4:$B$810&lt;$B792)*$B$4:$B$810))=0,0,MAX(($B792-MAX(SUMPRODUCT(MAX(($D$4:$D$810=$D792)*($B$4:$B$810&lt;$B792)*$B$4:$B$810)),'Guide &amp; Settings'!$C$50))/7-'Guide &amp; Settings'!$C$48,0)*'Guide &amp; Settings'!$C$49))</f>
        <v/>
      </c>
    </row>
    <row r="793" spans="1:29" x14ac:dyDescent="0.2">
      <c r="A793" s="111"/>
      <c r="B793" s="112"/>
      <c r="C793" s="113"/>
      <c r="D793" s="113"/>
      <c r="E793" s="111"/>
      <c r="F793" s="114">
        <f t="shared" si="204"/>
        <v>0</v>
      </c>
      <c r="G793" s="115" t="str">
        <f t="shared" si="205"/>
        <v/>
      </c>
      <c r="H793" s="116">
        <f>IF($D793="",0,IFERROR(LOOKUP(2,1/(($D$3:D792=$D793)*($A$3:A792&lt;$A793)),$N$3:N792),'Guide &amp; Settings'!$C$41))</f>
        <v>0</v>
      </c>
      <c r="I793" s="117">
        <f t="shared" si="206"/>
        <v>0</v>
      </c>
      <c r="J793" s="118">
        <f>IF($D793="",0,IF($F793&lt;2,0,IF($E793="Win",('Guide &amp; Settings'!$C$42/(($F793-1)*COUNTIFS($A$4:$A$810,$A793,$E$4:$E$810,"Win")))*SUMIFS($X$4:$X$810,$A$4:$A$810,$A793,$E$4:$E$810,"Loss"),-('Guide &amp; Settings'!$C$42/($F793-1))*$X793)))</f>
        <v>0</v>
      </c>
      <c r="K793" s="118">
        <f>IF($D793="",0,'Guide &amp; Settings'!$C$43*(IF($E793="Win",1,0)-$I793))</f>
        <v>0</v>
      </c>
      <c r="L793" s="119">
        <f>IF($D793="",0,'Guide &amp; Settings'!$C$44*IF($F793&gt;=3,$F793,0))</f>
        <v>0</v>
      </c>
      <c r="M793" s="118">
        <f t="shared" si="207"/>
        <v>0</v>
      </c>
      <c r="N793" s="116">
        <f t="shared" si="208"/>
        <v>0</v>
      </c>
      <c r="O793" s="115" t="str">
        <f t="shared" si="209"/>
        <v/>
      </c>
      <c r="P793">
        <f t="shared" si="210"/>
        <v>0</v>
      </c>
      <c r="Q793">
        <f t="shared" si="211"/>
        <v>0</v>
      </c>
      <c r="R793">
        <f t="shared" si="212"/>
        <v>0</v>
      </c>
      <c r="S793">
        <f t="shared" si="213"/>
        <v>0</v>
      </c>
      <c r="T793" s="83">
        <f t="shared" si="214"/>
        <v>0</v>
      </c>
      <c r="U793" s="120">
        <f>IF($D793="",0,IFERROR(LOOKUP(2,1/(($D$3:D792=$D793)*($C$3:C792=$C793)*($A$3:A792&lt;$A793)),$AB$3:AB792),1000))</f>
        <v>0</v>
      </c>
      <c r="V793" s="120">
        <f t="shared" si="215"/>
        <v>0</v>
      </c>
      <c r="W793">
        <f t="shared" si="216"/>
        <v>0</v>
      </c>
      <c r="X793">
        <f t="shared" si="217"/>
        <v>0</v>
      </c>
      <c r="Y793">
        <f t="shared" si="218"/>
        <v>0</v>
      </c>
      <c r="Z793">
        <f t="shared" si="219"/>
        <v>0</v>
      </c>
      <c r="AA793">
        <f>IF($D793="",0,IF($F793&lt;2,0,IF($E793="Win",('Guide &amp; Settings'!$C$42/(($F793-1)*COUNTIFS($A$4:$A$810,$A793,$E$4:$E$810,"Win")))*SUMIFS($Z$4:$Z$810,$A$4:$A$810,$A793,$E$4:$E$810,"Loss"),-('Guide &amp; Settings'!$C$42/($F793-1))*$Z793)))</f>
        <v>0</v>
      </c>
      <c r="AB793" s="120">
        <f t="shared" si="220"/>
        <v>0</v>
      </c>
      <c r="AC793" s="120" t="str">
        <f>IF($D793="","",IF(SUMPRODUCT(MAX(($D$4:$D$810=$D793)*($B$4:$B$810&lt;$B793)*$B$4:$B$810))=0,0,MAX(($B793-MAX(SUMPRODUCT(MAX(($D$4:$D$810=$D793)*($B$4:$B$810&lt;$B793)*$B$4:$B$810)),'Guide &amp; Settings'!$C$50))/7-'Guide &amp; Settings'!$C$48,0)*'Guide &amp; Settings'!$C$49))</f>
        <v/>
      </c>
    </row>
    <row r="794" spans="1:29" x14ac:dyDescent="0.2">
      <c r="A794" s="111"/>
      <c r="B794" s="112"/>
      <c r="C794" s="113"/>
      <c r="D794" s="113"/>
      <c r="E794" s="111"/>
      <c r="F794" s="114">
        <f t="shared" si="204"/>
        <v>0</v>
      </c>
      <c r="G794" s="115" t="str">
        <f t="shared" si="205"/>
        <v/>
      </c>
      <c r="H794" s="116">
        <f>IF($D794="",0,IFERROR(LOOKUP(2,1/(($D$3:D793=$D794)*($A$3:A793&lt;$A794)),$N$3:N793),'Guide &amp; Settings'!$C$41))</f>
        <v>0</v>
      </c>
      <c r="I794" s="117">
        <f t="shared" si="206"/>
        <v>0</v>
      </c>
      <c r="J794" s="118">
        <f>IF($D794="",0,IF($F794&lt;2,0,IF($E794="Win",('Guide &amp; Settings'!$C$42/(($F794-1)*COUNTIFS($A$4:$A$810,$A794,$E$4:$E$810,"Win")))*SUMIFS($X$4:$X$810,$A$4:$A$810,$A794,$E$4:$E$810,"Loss"),-('Guide &amp; Settings'!$C$42/($F794-1))*$X794)))</f>
        <v>0</v>
      </c>
      <c r="K794" s="118">
        <f>IF($D794="",0,'Guide &amp; Settings'!$C$43*(IF($E794="Win",1,0)-$I794))</f>
        <v>0</v>
      </c>
      <c r="L794" s="119">
        <f>IF($D794="",0,'Guide &amp; Settings'!$C$44*IF($F794&gt;=3,$F794,0))</f>
        <v>0</v>
      </c>
      <c r="M794" s="118">
        <f t="shared" si="207"/>
        <v>0</v>
      </c>
      <c r="N794" s="116">
        <f t="shared" si="208"/>
        <v>0</v>
      </c>
      <c r="O794" s="115" t="str">
        <f t="shared" si="209"/>
        <v/>
      </c>
      <c r="P794">
        <f t="shared" si="210"/>
        <v>0</v>
      </c>
      <c r="Q794">
        <f t="shared" si="211"/>
        <v>0</v>
      </c>
      <c r="R794">
        <f t="shared" si="212"/>
        <v>0</v>
      </c>
      <c r="S794">
        <f t="shared" si="213"/>
        <v>0</v>
      </c>
      <c r="T794" s="83">
        <f t="shared" si="214"/>
        <v>0</v>
      </c>
      <c r="U794" s="120">
        <f>IF($D794="",0,IFERROR(LOOKUP(2,1/(($D$3:D793=$D794)*($C$3:C793=$C794)*($A$3:A793&lt;$A794)),$AB$3:AB793),1000))</f>
        <v>0</v>
      </c>
      <c r="V794" s="120">
        <f t="shared" si="215"/>
        <v>0</v>
      </c>
      <c r="W794">
        <f t="shared" si="216"/>
        <v>0</v>
      </c>
      <c r="X794">
        <f t="shared" si="217"/>
        <v>0</v>
      </c>
      <c r="Y794">
        <f t="shared" si="218"/>
        <v>0</v>
      </c>
      <c r="Z794">
        <f t="shared" si="219"/>
        <v>0</v>
      </c>
      <c r="AA794">
        <f>IF($D794="",0,IF($F794&lt;2,0,IF($E794="Win",('Guide &amp; Settings'!$C$42/(($F794-1)*COUNTIFS($A$4:$A$810,$A794,$E$4:$E$810,"Win")))*SUMIFS($Z$4:$Z$810,$A$4:$A$810,$A794,$E$4:$E$810,"Loss"),-('Guide &amp; Settings'!$C$42/($F794-1))*$Z794)))</f>
        <v>0</v>
      </c>
      <c r="AB794" s="120">
        <f t="shared" si="220"/>
        <v>0</v>
      </c>
      <c r="AC794" s="120" t="str">
        <f>IF($D794="","",IF(SUMPRODUCT(MAX(($D$4:$D$810=$D794)*($B$4:$B$810&lt;$B794)*$B$4:$B$810))=0,0,MAX(($B794-MAX(SUMPRODUCT(MAX(($D$4:$D$810=$D794)*($B$4:$B$810&lt;$B794)*$B$4:$B$810)),'Guide &amp; Settings'!$C$50))/7-'Guide &amp; Settings'!$C$48,0)*'Guide &amp; Settings'!$C$49))</f>
        <v/>
      </c>
    </row>
    <row r="795" spans="1:29" x14ac:dyDescent="0.2">
      <c r="A795" s="111"/>
      <c r="B795" s="112"/>
      <c r="C795" s="113"/>
      <c r="D795" s="113"/>
      <c r="E795" s="111"/>
      <c r="F795" s="114">
        <f t="shared" si="204"/>
        <v>0</v>
      </c>
      <c r="G795" s="115" t="str">
        <f t="shared" si="205"/>
        <v/>
      </c>
      <c r="H795" s="116">
        <f>IF($D795="",0,IFERROR(LOOKUP(2,1/(($D$3:D794=$D795)*($A$3:A794&lt;$A795)),$N$3:N794),'Guide &amp; Settings'!$C$41))</f>
        <v>0</v>
      </c>
      <c r="I795" s="117">
        <f t="shared" si="206"/>
        <v>0</v>
      </c>
      <c r="J795" s="118">
        <f>IF($D795="",0,IF($F795&lt;2,0,IF($E795="Win",('Guide &amp; Settings'!$C$42/(($F795-1)*COUNTIFS($A$4:$A$810,$A795,$E$4:$E$810,"Win")))*SUMIFS($X$4:$X$810,$A$4:$A$810,$A795,$E$4:$E$810,"Loss"),-('Guide &amp; Settings'!$C$42/($F795-1))*$X795)))</f>
        <v>0</v>
      </c>
      <c r="K795" s="118">
        <f>IF($D795="",0,'Guide &amp; Settings'!$C$43*(IF($E795="Win",1,0)-$I795))</f>
        <v>0</v>
      </c>
      <c r="L795" s="119">
        <f>IF($D795="",0,'Guide &amp; Settings'!$C$44*IF($F795&gt;=3,$F795,0))</f>
        <v>0</v>
      </c>
      <c r="M795" s="118">
        <f t="shared" si="207"/>
        <v>0</v>
      </c>
      <c r="N795" s="116">
        <f t="shared" si="208"/>
        <v>0</v>
      </c>
      <c r="O795" s="115" t="str">
        <f t="shared" si="209"/>
        <v/>
      </c>
      <c r="P795">
        <f t="shared" si="210"/>
        <v>0</v>
      </c>
      <c r="Q795">
        <f t="shared" si="211"/>
        <v>0</v>
      </c>
      <c r="R795">
        <f t="shared" si="212"/>
        <v>0</v>
      </c>
      <c r="S795">
        <f t="shared" si="213"/>
        <v>0</v>
      </c>
      <c r="T795" s="83">
        <f t="shared" si="214"/>
        <v>0</v>
      </c>
      <c r="U795" s="120">
        <f>IF($D795="",0,IFERROR(LOOKUP(2,1/(($D$3:D794=$D795)*($C$3:C794=$C795)*($A$3:A794&lt;$A795)),$AB$3:AB794),1000))</f>
        <v>0</v>
      </c>
      <c r="V795" s="120">
        <f t="shared" si="215"/>
        <v>0</v>
      </c>
      <c r="W795">
        <f t="shared" si="216"/>
        <v>0</v>
      </c>
      <c r="X795">
        <f t="shared" si="217"/>
        <v>0</v>
      </c>
      <c r="Y795">
        <f t="shared" si="218"/>
        <v>0</v>
      </c>
      <c r="Z795">
        <f t="shared" si="219"/>
        <v>0</v>
      </c>
      <c r="AA795">
        <f>IF($D795="",0,IF($F795&lt;2,0,IF($E795="Win",('Guide &amp; Settings'!$C$42/(($F795-1)*COUNTIFS($A$4:$A$810,$A795,$E$4:$E$810,"Win")))*SUMIFS($Z$4:$Z$810,$A$4:$A$810,$A795,$E$4:$E$810,"Loss"),-('Guide &amp; Settings'!$C$42/($F795-1))*$Z795)))</f>
        <v>0</v>
      </c>
      <c r="AB795" s="120">
        <f t="shared" si="220"/>
        <v>0</v>
      </c>
      <c r="AC795" s="120" t="str">
        <f>IF($D795="","",IF(SUMPRODUCT(MAX(($D$4:$D$810=$D795)*($B$4:$B$810&lt;$B795)*$B$4:$B$810))=0,0,MAX(($B795-MAX(SUMPRODUCT(MAX(($D$4:$D$810=$D795)*($B$4:$B$810&lt;$B795)*$B$4:$B$810)),'Guide &amp; Settings'!$C$50))/7-'Guide &amp; Settings'!$C$48,0)*'Guide &amp; Settings'!$C$49))</f>
        <v/>
      </c>
    </row>
    <row r="796" spans="1:29" x14ac:dyDescent="0.2">
      <c r="A796" s="111"/>
      <c r="B796" s="112"/>
      <c r="C796" s="113"/>
      <c r="D796" s="113"/>
      <c r="E796" s="111"/>
      <c r="F796" s="114">
        <f t="shared" si="204"/>
        <v>0</v>
      </c>
      <c r="G796" s="115" t="str">
        <f t="shared" si="205"/>
        <v/>
      </c>
      <c r="H796" s="116">
        <f>IF($D796="",0,IFERROR(LOOKUP(2,1/(($D$3:D795=$D796)*($A$3:A795&lt;$A796)),$N$3:N795),'Guide &amp; Settings'!$C$41))</f>
        <v>0</v>
      </c>
      <c r="I796" s="117">
        <f t="shared" si="206"/>
        <v>0</v>
      </c>
      <c r="J796" s="118">
        <f>IF($D796="",0,IF($F796&lt;2,0,IF($E796="Win",('Guide &amp; Settings'!$C$42/(($F796-1)*COUNTIFS($A$4:$A$810,$A796,$E$4:$E$810,"Win")))*SUMIFS($X$4:$X$810,$A$4:$A$810,$A796,$E$4:$E$810,"Loss"),-('Guide &amp; Settings'!$C$42/($F796-1))*$X796)))</f>
        <v>0</v>
      </c>
      <c r="K796" s="118">
        <f>IF($D796="",0,'Guide &amp; Settings'!$C$43*(IF($E796="Win",1,0)-$I796))</f>
        <v>0</v>
      </c>
      <c r="L796" s="119">
        <f>IF($D796="",0,'Guide &amp; Settings'!$C$44*IF($F796&gt;=3,$F796,0))</f>
        <v>0</v>
      </c>
      <c r="M796" s="118">
        <f t="shared" si="207"/>
        <v>0</v>
      </c>
      <c r="N796" s="116">
        <f t="shared" si="208"/>
        <v>0</v>
      </c>
      <c r="O796" s="115" t="str">
        <f t="shared" si="209"/>
        <v/>
      </c>
      <c r="P796">
        <f t="shared" si="210"/>
        <v>0</v>
      </c>
      <c r="Q796">
        <f t="shared" si="211"/>
        <v>0</v>
      </c>
      <c r="R796">
        <f t="shared" si="212"/>
        <v>0</v>
      </c>
      <c r="S796">
        <f t="shared" si="213"/>
        <v>0</v>
      </c>
      <c r="T796" s="83">
        <f t="shared" si="214"/>
        <v>0</v>
      </c>
      <c r="U796" s="120">
        <f>IF($D796="",0,IFERROR(LOOKUP(2,1/(($D$3:D795=$D796)*($C$3:C795=$C796)*($A$3:A795&lt;$A796)),$AB$3:AB795),1000))</f>
        <v>0</v>
      </c>
      <c r="V796" s="120">
        <f t="shared" si="215"/>
        <v>0</v>
      </c>
      <c r="W796">
        <f t="shared" si="216"/>
        <v>0</v>
      </c>
      <c r="X796">
        <f t="shared" si="217"/>
        <v>0</v>
      </c>
      <c r="Y796">
        <f t="shared" si="218"/>
        <v>0</v>
      </c>
      <c r="Z796">
        <f t="shared" si="219"/>
        <v>0</v>
      </c>
      <c r="AA796">
        <f>IF($D796="",0,IF($F796&lt;2,0,IF($E796="Win",('Guide &amp; Settings'!$C$42/(($F796-1)*COUNTIFS($A$4:$A$810,$A796,$E$4:$E$810,"Win")))*SUMIFS($Z$4:$Z$810,$A$4:$A$810,$A796,$E$4:$E$810,"Loss"),-('Guide &amp; Settings'!$C$42/($F796-1))*$Z796)))</f>
        <v>0</v>
      </c>
      <c r="AB796" s="120">
        <f t="shared" si="220"/>
        <v>0</v>
      </c>
      <c r="AC796" s="120" t="str">
        <f>IF($D796="","",IF(SUMPRODUCT(MAX(($D$4:$D$810=$D796)*($B$4:$B$810&lt;$B796)*$B$4:$B$810))=0,0,MAX(($B796-MAX(SUMPRODUCT(MAX(($D$4:$D$810=$D796)*($B$4:$B$810&lt;$B796)*$B$4:$B$810)),'Guide &amp; Settings'!$C$50))/7-'Guide &amp; Settings'!$C$48,0)*'Guide &amp; Settings'!$C$49))</f>
        <v/>
      </c>
    </row>
    <row r="797" spans="1:29" x14ac:dyDescent="0.2">
      <c r="A797" s="111"/>
      <c r="B797" s="112"/>
      <c r="C797" s="113"/>
      <c r="D797" s="113"/>
      <c r="E797" s="111"/>
      <c r="F797" s="114">
        <f t="shared" si="204"/>
        <v>0</v>
      </c>
      <c r="G797" s="115" t="str">
        <f t="shared" si="205"/>
        <v/>
      </c>
      <c r="H797" s="116">
        <f>IF($D797="",0,IFERROR(LOOKUP(2,1/(($D$3:D796=$D797)*($A$3:A796&lt;$A797)),$N$3:N796),'Guide &amp; Settings'!$C$41))</f>
        <v>0</v>
      </c>
      <c r="I797" s="117">
        <f t="shared" si="206"/>
        <v>0</v>
      </c>
      <c r="J797" s="118">
        <f>IF($D797="",0,IF($F797&lt;2,0,IF($E797="Win",('Guide &amp; Settings'!$C$42/(($F797-1)*COUNTIFS($A$4:$A$810,$A797,$E$4:$E$810,"Win")))*SUMIFS($X$4:$X$810,$A$4:$A$810,$A797,$E$4:$E$810,"Loss"),-('Guide &amp; Settings'!$C$42/($F797-1))*$X797)))</f>
        <v>0</v>
      </c>
      <c r="K797" s="118">
        <f>IF($D797="",0,'Guide &amp; Settings'!$C$43*(IF($E797="Win",1,0)-$I797))</f>
        <v>0</v>
      </c>
      <c r="L797" s="119">
        <f>IF($D797="",0,'Guide &amp; Settings'!$C$44*IF($F797&gt;=3,$F797,0))</f>
        <v>0</v>
      </c>
      <c r="M797" s="118">
        <f t="shared" si="207"/>
        <v>0</v>
      </c>
      <c r="N797" s="116">
        <f t="shared" si="208"/>
        <v>0</v>
      </c>
      <c r="O797" s="115" t="str">
        <f t="shared" si="209"/>
        <v/>
      </c>
      <c r="P797">
        <f t="shared" si="210"/>
        <v>0</v>
      </c>
      <c r="Q797">
        <f t="shared" si="211"/>
        <v>0</v>
      </c>
      <c r="R797">
        <f t="shared" si="212"/>
        <v>0</v>
      </c>
      <c r="S797">
        <f t="shared" si="213"/>
        <v>0</v>
      </c>
      <c r="T797" s="83">
        <f t="shared" si="214"/>
        <v>0</v>
      </c>
      <c r="U797" s="120">
        <f>IF($D797="",0,IFERROR(LOOKUP(2,1/(($D$3:D796=$D797)*($C$3:C796=$C797)*($A$3:A796&lt;$A797)),$AB$3:AB796),1000))</f>
        <v>0</v>
      </c>
      <c r="V797" s="120">
        <f t="shared" si="215"/>
        <v>0</v>
      </c>
      <c r="W797">
        <f t="shared" si="216"/>
        <v>0</v>
      </c>
      <c r="X797">
        <f t="shared" si="217"/>
        <v>0</v>
      </c>
      <c r="Y797">
        <f t="shared" si="218"/>
        <v>0</v>
      </c>
      <c r="Z797">
        <f t="shared" si="219"/>
        <v>0</v>
      </c>
      <c r="AA797">
        <f>IF($D797="",0,IF($F797&lt;2,0,IF($E797="Win",('Guide &amp; Settings'!$C$42/(($F797-1)*COUNTIFS($A$4:$A$810,$A797,$E$4:$E$810,"Win")))*SUMIFS($Z$4:$Z$810,$A$4:$A$810,$A797,$E$4:$E$810,"Loss"),-('Guide &amp; Settings'!$C$42/($F797-1))*$Z797)))</f>
        <v>0</v>
      </c>
      <c r="AB797" s="120">
        <f t="shared" si="220"/>
        <v>0</v>
      </c>
      <c r="AC797" s="120" t="str">
        <f>IF($D797="","",IF(SUMPRODUCT(MAX(($D$4:$D$810=$D797)*($B$4:$B$810&lt;$B797)*$B$4:$B$810))=0,0,MAX(($B797-MAX(SUMPRODUCT(MAX(($D$4:$D$810=$D797)*($B$4:$B$810&lt;$B797)*$B$4:$B$810)),'Guide &amp; Settings'!$C$50))/7-'Guide &amp; Settings'!$C$48,0)*'Guide &amp; Settings'!$C$49))</f>
        <v/>
      </c>
    </row>
    <row r="798" spans="1:29" x14ac:dyDescent="0.2">
      <c r="A798" s="111"/>
      <c r="B798" s="112"/>
      <c r="C798" s="113"/>
      <c r="D798" s="113"/>
      <c r="E798" s="111"/>
      <c r="F798" s="114">
        <f t="shared" si="204"/>
        <v>0</v>
      </c>
      <c r="G798" s="115" t="str">
        <f t="shared" si="205"/>
        <v/>
      </c>
      <c r="H798" s="116">
        <f>IF($D798="",0,IFERROR(LOOKUP(2,1/(($D$3:D797=$D798)*($A$3:A797&lt;$A798)),$N$3:N797),'Guide &amp; Settings'!$C$41))</f>
        <v>0</v>
      </c>
      <c r="I798" s="117">
        <f t="shared" si="206"/>
        <v>0</v>
      </c>
      <c r="J798" s="118">
        <f>IF($D798="",0,IF($F798&lt;2,0,IF($E798="Win",('Guide &amp; Settings'!$C$42/(($F798-1)*COUNTIFS($A$4:$A$810,$A798,$E$4:$E$810,"Win")))*SUMIFS($X$4:$X$810,$A$4:$A$810,$A798,$E$4:$E$810,"Loss"),-('Guide &amp; Settings'!$C$42/($F798-1))*$X798)))</f>
        <v>0</v>
      </c>
      <c r="K798" s="118">
        <f>IF($D798="",0,'Guide &amp; Settings'!$C$43*(IF($E798="Win",1,0)-$I798))</f>
        <v>0</v>
      </c>
      <c r="L798" s="119">
        <f>IF($D798="",0,'Guide &amp; Settings'!$C$44*IF($F798&gt;=3,$F798,0))</f>
        <v>0</v>
      </c>
      <c r="M798" s="118">
        <f t="shared" si="207"/>
        <v>0</v>
      </c>
      <c r="N798" s="116">
        <f t="shared" si="208"/>
        <v>0</v>
      </c>
      <c r="O798" s="115" t="str">
        <f t="shared" si="209"/>
        <v/>
      </c>
      <c r="P798">
        <f t="shared" si="210"/>
        <v>0</v>
      </c>
      <c r="Q798">
        <f t="shared" si="211"/>
        <v>0</v>
      </c>
      <c r="R798">
        <f t="shared" si="212"/>
        <v>0</v>
      </c>
      <c r="S798">
        <f t="shared" si="213"/>
        <v>0</v>
      </c>
      <c r="T798" s="83">
        <f t="shared" si="214"/>
        <v>0</v>
      </c>
      <c r="U798" s="120">
        <f>IF($D798="",0,IFERROR(LOOKUP(2,1/(($D$3:D797=$D798)*($C$3:C797=$C798)*($A$3:A797&lt;$A798)),$AB$3:AB797),1000))</f>
        <v>0</v>
      </c>
      <c r="V798" s="120">
        <f t="shared" si="215"/>
        <v>0</v>
      </c>
      <c r="W798">
        <f t="shared" si="216"/>
        <v>0</v>
      </c>
      <c r="X798">
        <f t="shared" si="217"/>
        <v>0</v>
      </c>
      <c r="Y798">
        <f t="shared" si="218"/>
        <v>0</v>
      </c>
      <c r="Z798">
        <f t="shared" si="219"/>
        <v>0</v>
      </c>
      <c r="AA798">
        <f>IF($D798="",0,IF($F798&lt;2,0,IF($E798="Win",('Guide &amp; Settings'!$C$42/(($F798-1)*COUNTIFS($A$4:$A$810,$A798,$E$4:$E$810,"Win")))*SUMIFS($Z$4:$Z$810,$A$4:$A$810,$A798,$E$4:$E$810,"Loss"),-('Guide &amp; Settings'!$C$42/($F798-1))*$Z798)))</f>
        <v>0</v>
      </c>
      <c r="AB798" s="120">
        <f t="shared" si="220"/>
        <v>0</v>
      </c>
      <c r="AC798" s="120" t="str">
        <f>IF($D798="","",IF(SUMPRODUCT(MAX(($D$4:$D$810=$D798)*($B$4:$B$810&lt;$B798)*$B$4:$B$810))=0,0,MAX(($B798-MAX(SUMPRODUCT(MAX(($D$4:$D$810=$D798)*($B$4:$B$810&lt;$B798)*$B$4:$B$810)),'Guide &amp; Settings'!$C$50))/7-'Guide &amp; Settings'!$C$48,0)*'Guide &amp; Settings'!$C$49))</f>
        <v/>
      </c>
    </row>
    <row r="799" spans="1:29" x14ac:dyDescent="0.2">
      <c r="A799" s="111"/>
      <c r="B799" s="112"/>
      <c r="C799" s="113"/>
      <c r="D799" s="113"/>
      <c r="E799" s="111"/>
      <c r="F799" s="114">
        <f t="shared" si="204"/>
        <v>0</v>
      </c>
      <c r="G799" s="115" t="str">
        <f t="shared" si="205"/>
        <v/>
      </c>
      <c r="H799" s="116">
        <f>IF($D799="",0,IFERROR(LOOKUP(2,1/(($D$3:D798=$D799)*($A$3:A798&lt;$A799)),$N$3:N798),'Guide &amp; Settings'!$C$41))</f>
        <v>0</v>
      </c>
      <c r="I799" s="117">
        <f t="shared" si="206"/>
        <v>0</v>
      </c>
      <c r="J799" s="118">
        <f>IF($D799="",0,IF($F799&lt;2,0,IF($E799="Win",('Guide &amp; Settings'!$C$42/(($F799-1)*COUNTIFS($A$4:$A$810,$A799,$E$4:$E$810,"Win")))*SUMIFS($X$4:$X$810,$A$4:$A$810,$A799,$E$4:$E$810,"Loss"),-('Guide &amp; Settings'!$C$42/($F799-1))*$X799)))</f>
        <v>0</v>
      </c>
      <c r="K799" s="118">
        <f>IF($D799="",0,'Guide &amp; Settings'!$C$43*(IF($E799="Win",1,0)-$I799))</f>
        <v>0</v>
      </c>
      <c r="L799" s="119">
        <f>IF($D799="",0,'Guide &amp; Settings'!$C$44*IF($F799&gt;=3,$F799,0))</f>
        <v>0</v>
      </c>
      <c r="M799" s="118">
        <f t="shared" si="207"/>
        <v>0</v>
      </c>
      <c r="N799" s="116">
        <f t="shared" si="208"/>
        <v>0</v>
      </c>
      <c r="O799" s="115" t="str">
        <f t="shared" si="209"/>
        <v/>
      </c>
      <c r="P799">
        <f t="shared" si="210"/>
        <v>0</v>
      </c>
      <c r="Q799">
        <f t="shared" si="211"/>
        <v>0</v>
      </c>
      <c r="R799">
        <f t="shared" si="212"/>
        <v>0</v>
      </c>
      <c r="S799">
        <f t="shared" si="213"/>
        <v>0</v>
      </c>
      <c r="T799" s="83">
        <f t="shared" si="214"/>
        <v>0</v>
      </c>
      <c r="U799" s="120">
        <f>IF($D799="",0,IFERROR(LOOKUP(2,1/(($D$3:D798=$D799)*($C$3:C798=$C799)*($A$3:A798&lt;$A799)),$AB$3:AB798),1000))</f>
        <v>0</v>
      </c>
      <c r="V799" s="120">
        <f t="shared" si="215"/>
        <v>0</v>
      </c>
      <c r="W799">
        <f t="shared" si="216"/>
        <v>0</v>
      </c>
      <c r="X799">
        <f t="shared" si="217"/>
        <v>0</v>
      </c>
      <c r="Y799">
        <f t="shared" si="218"/>
        <v>0</v>
      </c>
      <c r="Z799">
        <f t="shared" si="219"/>
        <v>0</v>
      </c>
      <c r="AA799">
        <f>IF($D799="",0,IF($F799&lt;2,0,IF($E799="Win",('Guide &amp; Settings'!$C$42/(($F799-1)*COUNTIFS($A$4:$A$810,$A799,$E$4:$E$810,"Win")))*SUMIFS($Z$4:$Z$810,$A$4:$A$810,$A799,$E$4:$E$810,"Loss"),-('Guide &amp; Settings'!$C$42/($F799-1))*$Z799)))</f>
        <v>0</v>
      </c>
      <c r="AB799" s="120">
        <f t="shared" si="220"/>
        <v>0</v>
      </c>
      <c r="AC799" s="120" t="str">
        <f>IF($D799="","",IF(SUMPRODUCT(MAX(($D$4:$D$810=$D799)*($B$4:$B$810&lt;$B799)*$B$4:$B$810))=0,0,MAX(($B799-MAX(SUMPRODUCT(MAX(($D$4:$D$810=$D799)*($B$4:$B$810&lt;$B799)*$B$4:$B$810)),'Guide &amp; Settings'!$C$50))/7-'Guide &amp; Settings'!$C$48,0)*'Guide &amp; Settings'!$C$49))</f>
        <v/>
      </c>
    </row>
    <row r="800" spans="1:29" x14ac:dyDescent="0.2">
      <c r="A800" s="111"/>
      <c r="B800" s="112"/>
      <c r="C800" s="113"/>
      <c r="D800" s="113"/>
      <c r="E800" s="111"/>
      <c r="F800" s="114">
        <f t="shared" si="204"/>
        <v>0</v>
      </c>
      <c r="G800" s="115" t="str">
        <f t="shared" si="205"/>
        <v/>
      </c>
      <c r="H800" s="116">
        <f>IF($D800="",0,IFERROR(LOOKUP(2,1/(($D$3:D799=$D800)*($A$3:A799&lt;$A800)),$N$3:N799),'Guide &amp; Settings'!$C$41))</f>
        <v>0</v>
      </c>
      <c r="I800" s="117">
        <f t="shared" si="206"/>
        <v>0</v>
      </c>
      <c r="J800" s="118">
        <f>IF($D800="",0,IF($F800&lt;2,0,IF($E800="Win",('Guide &amp; Settings'!$C$42/(($F800-1)*COUNTIFS($A$4:$A$810,$A800,$E$4:$E$810,"Win")))*SUMIFS($X$4:$X$810,$A$4:$A$810,$A800,$E$4:$E$810,"Loss"),-('Guide &amp; Settings'!$C$42/($F800-1))*$X800)))</f>
        <v>0</v>
      </c>
      <c r="K800" s="118">
        <f>IF($D800="",0,'Guide &amp; Settings'!$C$43*(IF($E800="Win",1,0)-$I800))</f>
        <v>0</v>
      </c>
      <c r="L800" s="119">
        <f>IF($D800="",0,'Guide &amp; Settings'!$C$44*IF($F800&gt;=3,$F800,0))</f>
        <v>0</v>
      </c>
      <c r="M800" s="118">
        <f t="shared" si="207"/>
        <v>0</v>
      </c>
      <c r="N800" s="116">
        <f t="shared" si="208"/>
        <v>0</v>
      </c>
      <c r="O800" s="115" t="str">
        <f t="shared" si="209"/>
        <v/>
      </c>
      <c r="P800">
        <f t="shared" si="210"/>
        <v>0</v>
      </c>
      <c r="Q800">
        <f t="shared" si="211"/>
        <v>0</v>
      </c>
      <c r="R800">
        <f t="shared" si="212"/>
        <v>0</v>
      </c>
      <c r="S800">
        <f t="shared" si="213"/>
        <v>0</v>
      </c>
      <c r="T800" s="83">
        <f t="shared" si="214"/>
        <v>0</v>
      </c>
      <c r="U800" s="120">
        <f>IF($D800="",0,IFERROR(LOOKUP(2,1/(($D$3:D799=$D800)*($C$3:C799=$C800)*($A$3:A799&lt;$A800)),$AB$3:AB799),1000))</f>
        <v>0</v>
      </c>
      <c r="V800" s="120">
        <f t="shared" si="215"/>
        <v>0</v>
      </c>
      <c r="W800">
        <f t="shared" si="216"/>
        <v>0</v>
      </c>
      <c r="X800">
        <f t="shared" si="217"/>
        <v>0</v>
      </c>
      <c r="Y800">
        <f t="shared" si="218"/>
        <v>0</v>
      </c>
      <c r="Z800">
        <f t="shared" si="219"/>
        <v>0</v>
      </c>
      <c r="AA800">
        <f>IF($D800="",0,IF($F800&lt;2,0,IF($E800="Win",('Guide &amp; Settings'!$C$42/(($F800-1)*COUNTIFS($A$4:$A$810,$A800,$E$4:$E$810,"Win")))*SUMIFS($Z$4:$Z$810,$A$4:$A$810,$A800,$E$4:$E$810,"Loss"),-('Guide &amp; Settings'!$C$42/($F800-1))*$Z800)))</f>
        <v>0</v>
      </c>
      <c r="AB800" s="120">
        <f t="shared" si="220"/>
        <v>0</v>
      </c>
      <c r="AC800" s="120" t="str">
        <f>IF($D800="","",IF(SUMPRODUCT(MAX(($D$4:$D$810=$D800)*($B$4:$B$810&lt;$B800)*$B$4:$B$810))=0,0,MAX(($B800-MAX(SUMPRODUCT(MAX(($D$4:$D$810=$D800)*($B$4:$B$810&lt;$B800)*$B$4:$B$810)),'Guide &amp; Settings'!$C$50))/7-'Guide &amp; Settings'!$C$48,0)*'Guide &amp; Settings'!$C$49))</f>
        <v/>
      </c>
    </row>
    <row r="801" spans="1:29" x14ac:dyDescent="0.2">
      <c r="A801" s="111"/>
      <c r="B801" s="112"/>
      <c r="C801" s="113"/>
      <c r="D801" s="113"/>
      <c r="E801" s="111"/>
      <c r="F801" s="114">
        <f t="shared" si="204"/>
        <v>0</v>
      </c>
      <c r="G801" s="115" t="str">
        <f t="shared" si="205"/>
        <v/>
      </c>
      <c r="H801" s="116">
        <f>IF($D801="",0,IFERROR(LOOKUP(2,1/(($D$3:D800=$D801)*($A$3:A800&lt;$A801)),$N$3:N800),'Guide &amp; Settings'!$C$41))</f>
        <v>0</v>
      </c>
      <c r="I801" s="117">
        <f t="shared" si="206"/>
        <v>0</v>
      </c>
      <c r="J801" s="118">
        <f>IF($D801="",0,IF($F801&lt;2,0,IF($E801="Win",('Guide &amp; Settings'!$C$42/(($F801-1)*COUNTIFS($A$4:$A$810,$A801,$E$4:$E$810,"Win")))*SUMIFS($X$4:$X$810,$A$4:$A$810,$A801,$E$4:$E$810,"Loss"),-('Guide &amp; Settings'!$C$42/($F801-1))*$X801)))</f>
        <v>0</v>
      </c>
      <c r="K801" s="118">
        <f>IF($D801="",0,'Guide &amp; Settings'!$C$43*(IF($E801="Win",1,0)-$I801))</f>
        <v>0</v>
      </c>
      <c r="L801" s="119">
        <f>IF($D801="",0,'Guide &amp; Settings'!$C$44*IF($F801&gt;=3,$F801,0))</f>
        <v>0</v>
      </c>
      <c r="M801" s="118">
        <f t="shared" si="207"/>
        <v>0</v>
      </c>
      <c r="N801" s="116">
        <f t="shared" si="208"/>
        <v>0</v>
      </c>
      <c r="O801" s="115" t="str">
        <f t="shared" si="209"/>
        <v/>
      </c>
      <c r="P801">
        <f t="shared" si="210"/>
        <v>0</v>
      </c>
      <c r="Q801">
        <f t="shared" si="211"/>
        <v>0</v>
      </c>
      <c r="R801">
        <f t="shared" si="212"/>
        <v>0</v>
      </c>
      <c r="S801">
        <f t="shared" si="213"/>
        <v>0</v>
      </c>
      <c r="T801" s="83">
        <f t="shared" si="214"/>
        <v>0</v>
      </c>
      <c r="U801" s="120">
        <f>IF($D801="",0,IFERROR(LOOKUP(2,1/(($D$3:D800=$D801)*($C$3:C800=$C801)*($A$3:A800&lt;$A801)),$AB$3:AB800),1000))</f>
        <v>0</v>
      </c>
      <c r="V801" s="120">
        <f t="shared" si="215"/>
        <v>0</v>
      </c>
      <c r="W801">
        <f t="shared" si="216"/>
        <v>0</v>
      </c>
      <c r="X801">
        <f t="shared" si="217"/>
        <v>0</v>
      </c>
      <c r="Y801">
        <f t="shared" si="218"/>
        <v>0</v>
      </c>
      <c r="Z801">
        <f t="shared" si="219"/>
        <v>0</v>
      </c>
      <c r="AA801">
        <f>IF($D801="",0,IF($F801&lt;2,0,IF($E801="Win",('Guide &amp; Settings'!$C$42/(($F801-1)*COUNTIFS($A$4:$A$810,$A801,$E$4:$E$810,"Win")))*SUMIFS($Z$4:$Z$810,$A$4:$A$810,$A801,$E$4:$E$810,"Loss"),-('Guide &amp; Settings'!$C$42/($F801-1))*$Z801)))</f>
        <v>0</v>
      </c>
      <c r="AB801" s="120">
        <f t="shared" si="220"/>
        <v>0</v>
      </c>
      <c r="AC801" s="120" t="str">
        <f>IF($D801="","",IF(SUMPRODUCT(MAX(($D$4:$D$810=$D801)*($B$4:$B$810&lt;$B801)*$B$4:$B$810))=0,0,MAX(($B801-MAX(SUMPRODUCT(MAX(($D$4:$D$810=$D801)*($B$4:$B$810&lt;$B801)*$B$4:$B$810)),'Guide &amp; Settings'!$C$50))/7-'Guide &amp; Settings'!$C$48,0)*'Guide &amp; Settings'!$C$49))</f>
        <v/>
      </c>
    </row>
    <row r="802" spans="1:29" x14ac:dyDescent="0.2">
      <c r="A802" s="111"/>
      <c r="B802" s="112"/>
      <c r="C802" s="113"/>
      <c r="D802" s="113"/>
      <c r="E802" s="111"/>
      <c r="F802" s="114">
        <f t="shared" si="204"/>
        <v>0</v>
      </c>
      <c r="G802" s="115" t="str">
        <f t="shared" si="205"/>
        <v/>
      </c>
      <c r="H802" s="116">
        <f>IF($D802="",0,IFERROR(LOOKUP(2,1/(($D$3:D801=$D802)*($A$3:A801&lt;$A802)),$N$3:N801),'Guide &amp; Settings'!$C$41))</f>
        <v>0</v>
      </c>
      <c r="I802" s="117">
        <f t="shared" si="206"/>
        <v>0</v>
      </c>
      <c r="J802" s="118">
        <f>IF($D802="",0,IF($F802&lt;2,0,IF($E802="Win",('Guide &amp; Settings'!$C$42/(($F802-1)*COUNTIFS($A$4:$A$810,$A802,$E$4:$E$810,"Win")))*SUMIFS($X$4:$X$810,$A$4:$A$810,$A802,$E$4:$E$810,"Loss"),-('Guide &amp; Settings'!$C$42/($F802-1))*$X802)))</f>
        <v>0</v>
      </c>
      <c r="K802" s="118">
        <f>IF($D802="",0,'Guide &amp; Settings'!$C$43*(IF($E802="Win",1,0)-$I802))</f>
        <v>0</v>
      </c>
      <c r="L802" s="119">
        <f>IF($D802="",0,'Guide &amp; Settings'!$C$44*IF($F802&gt;=3,$F802,0))</f>
        <v>0</v>
      </c>
      <c r="M802" s="118">
        <f t="shared" si="207"/>
        <v>0</v>
      </c>
      <c r="N802" s="116">
        <f t="shared" si="208"/>
        <v>0</v>
      </c>
      <c r="O802" s="115" t="str">
        <f t="shared" si="209"/>
        <v/>
      </c>
      <c r="P802">
        <f t="shared" si="210"/>
        <v>0</v>
      </c>
      <c r="Q802">
        <f t="shared" si="211"/>
        <v>0</v>
      </c>
      <c r="R802">
        <f t="shared" si="212"/>
        <v>0</v>
      </c>
      <c r="S802">
        <f t="shared" si="213"/>
        <v>0</v>
      </c>
      <c r="T802" s="83">
        <f t="shared" si="214"/>
        <v>0</v>
      </c>
      <c r="U802" s="120">
        <f>IF($D802="",0,IFERROR(LOOKUP(2,1/(($D$3:D801=$D802)*($C$3:C801=$C802)*($A$3:A801&lt;$A802)),$AB$3:AB801),1000))</f>
        <v>0</v>
      </c>
      <c r="V802" s="120">
        <f t="shared" si="215"/>
        <v>0</v>
      </c>
      <c r="W802">
        <f t="shared" si="216"/>
        <v>0</v>
      </c>
      <c r="X802">
        <f t="shared" si="217"/>
        <v>0</v>
      </c>
      <c r="Y802">
        <f t="shared" si="218"/>
        <v>0</v>
      </c>
      <c r="Z802">
        <f t="shared" si="219"/>
        <v>0</v>
      </c>
      <c r="AA802">
        <f>IF($D802="",0,IF($F802&lt;2,0,IF($E802="Win",('Guide &amp; Settings'!$C$42/(($F802-1)*COUNTIFS($A$4:$A$810,$A802,$E$4:$E$810,"Win")))*SUMIFS($Z$4:$Z$810,$A$4:$A$810,$A802,$E$4:$E$810,"Loss"),-('Guide &amp; Settings'!$C$42/($F802-1))*$Z802)))</f>
        <v>0</v>
      </c>
      <c r="AB802" s="120">
        <f t="shared" si="220"/>
        <v>0</v>
      </c>
      <c r="AC802" s="120" t="str">
        <f>IF($D802="","",IF(SUMPRODUCT(MAX(($D$4:$D$810=$D802)*($B$4:$B$810&lt;$B802)*$B$4:$B$810))=0,0,MAX(($B802-MAX(SUMPRODUCT(MAX(($D$4:$D$810=$D802)*($B$4:$B$810&lt;$B802)*$B$4:$B$810)),'Guide &amp; Settings'!$C$50))/7-'Guide &amp; Settings'!$C$48,0)*'Guide &amp; Settings'!$C$49))</f>
        <v/>
      </c>
    </row>
    <row r="803" spans="1:29" x14ac:dyDescent="0.2">
      <c r="A803" s="111"/>
      <c r="B803" s="112"/>
      <c r="C803" s="113"/>
      <c r="D803" s="113"/>
      <c r="E803" s="111"/>
      <c r="F803" s="114">
        <f t="shared" si="204"/>
        <v>0</v>
      </c>
      <c r="G803" s="115" t="str">
        <f t="shared" si="205"/>
        <v/>
      </c>
      <c r="H803" s="116">
        <f>IF($D803="",0,IFERROR(LOOKUP(2,1/(($D$3:D802=$D803)*($A$3:A802&lt;$A803)),$N$3:N802),'Guide &amp; Settings'!$C$41))</f>
        <v>0</v>
      </c>
      <c r="I803" s="117">
        <f t="shared" si="206"/>
        <v>0</v>
      </c>
      <c r="J803" s="118">
        <f>IF($D803="",0,IF($F803&lt;2,0,IF($E803="Win",('Guide &amp; Settings'!$C$42/(($F803-1)*COUNTIFS($A$4:$A$810,$A803,$E$4:$E$810,"Win")))*SUMIFS($X$4:$X$810,$A$4:$A$810,$A803,$E$4:$E$810,"Loss"),-('Guide &amp; Settings'!$C$42/($F803-1))*$X803)))</f>
        <v>0</v>
      </c>
      <c r="K803" s="118">
        <f>IF($D803="",0,'Guide &amp; Settings'!$C$43*(IF($E803="Win",1,0)-$I803))</f>
        <v>0</v>
      </c>
      <c r="L803" s="119">
        <f>IF($D803="",0,'Guide &amp; Settings'!$C$44*IF($F803&gt;=3,$F803,0))</f>
        <v>0</v>
      </c>
      <c r="M803" s="118">
        <f t="shared" si="207"/>
        <v>0</v>
      </c>
      <c r="N803" s="116">
        <f t="shared" si="208"/>
        <v>0</v>
      </c>
      <c r="O803" s="115" t="str">
        <f t="shared" si="209"/>
        <v/>
      </c>
      <c r="P803">
        <f t="shared" si="210"/>
        <v>0</v>
      </c>
      <c r="Q803">
        <f t="shared" si="211"/>
        <v>0</v>
      </c>
      <c r="R803">
        <f t="shared" si="212"/>
        <v>0</v>
      </c>
      <c r="S803">
        <f t="shared" si="213"/>
        <v>0</v>
      </c>
      <c r="T803" s="83">
        <f t="shared" si="214"/>
        <v>0</v>
      </c>
      <c r="U803" s="120">
        <f>IF($D803="",0,IFERROR(LOOKUP(2,1/(($D$3:D802=$D803)*($C$3:C802=$C803)*($A$3:A802&lt;$A803)),$AB$3:AB802),1000))</f>
        <v>0</v>
      </c>
      <c r="V803" s="120">
        <f t="shared" si="215"/>
        <v>0</v>
      </c>
      <c r="W803">
        <f t="shared" si="216"/>
        <v>0</v>
      </c>
      <c r="X803">
        <f t="shared" si="217"/>
        <v>0</v>
      </c>
      <c r="Y803">
        <f t="shared" si="218"/>
        <v>0</v>
      </c>
      <c r="Z803">
        <f t="shared" si="219"/>
        <v>0</v>
      </c>
      <c r="AA803">
        <f>IF($D803="",0,IF($F803&lt;2,0,IF($E803="Win",('Guide &amp; Settings'!$C$42/(($F803-1)*COUNTIFS($A$4:$A$810,$A803,$E$4:$E$810,"Win")))*SUMIFS($Z$4:$Z$810,$A$4:$A$810,$A803,$E$4:$E$810,"Loss"),-('Guide &amp; Settings'!$C$42/($F803-1))*$Z803)))</f>
        <v>0</v>
      </c>
      <c r="AB803" s="120">
        <f t="shared" si="220"/>
        <v>0</v>
      </c>
      <c r="AC803" s="120" t="str">
        <f>IF($D803="","",IF(SUMPRODUCT(MAX(($D$4:$D$810=$D803)*($B$4:$B$810&lt;$B803)*$B$4:$B$810))=0,0,MAX(($B803-MAX(SUMPRODUCT(MAX(($D$4:$D$810=$D803)*($B$4:$B$810&lt;$B803)*$B$4:$B$810)),'Guide &amp; Settings'!$C$50))/7-'Guide &amp; Settings'!$C$48,0)*'Guide &amp; Settings'!$C$49))</f>
        <v/>
      </c>
    </row>
    <row r="804" spans="1:29" x14ac:dyDescent="0.2">
      <c r="A804" s="111"/>
      <c r="B804" s="112"/>
      <c r="C804" s="113"/>
      <c r="D804" s="113"/>
      <c r="E804" s="111"/>
      <c r="F804" s="114">
        <f t="shared" si="204"/>
        <v>0</v>
      </c>
      <c r="G804" s="115" t="str">
        <f t="shared" si="205"/>
        <v/>
      </c>
      <c r="H804" s="116">
        <f>IF($D804="",0,IFERROR(LOOKUP(2,1/(($D$3:D803=$D804)*($A$3:A803&lt;$A804)),$N$3:N803),'Guide &amp; Settings'!$C$41))</f>
        <v>0</v>
      </c>
      <c r="I804" s="117">
        <f t="shared" si="206"/>
        <v>0</v>
      </c>
      <c r="J804" s="118">
        <f>IF($D804="",0,IF($F804&lt;2,0,IF($E804="Win",('Guide &amp; Settings'!$C$42/(($F804-1)*COUNTIFS($A$4:$A$810,$A804,$E$4:$E$810,"Win")))*SUMIFS($X$4:$X$810,$A$4:$A$810,$A804,$E$4:$E$810,"Loss"),-('Guide &amp; Settings'!$C$42/($F804-1))*$X804)))</f>
        <v>0</v>
      </c>
      <c r="K804" s="118">
        <f>IF($D804="",0,'Guide &amp; Settings'!$C$43*(IF($E804="Win",1,0)-$I804))</f>
        <v>0</v>
      </c>
      <c r="L804" s="119">
        <f>IF($D804="",0,'Guide &amp; Settings'!$C$44*IF($F804&gt;=3,$F804,0))</f>
        <v>0</v>
      </c>
      <c r="M804" s="118">
        <f t="shared" si="207"/>
        <v>0</v>
      </c>
      <c r="N804" s="116">
        <f t="shared" si="208"/>
        <v>0</v>
      </c>
      <c r="O804" s="115" t="str">
        <f t="shared" si="209"/>
        <v/>
      </c>
      <c r="P804">
        <f t="shared" si="210"/>
        <v>0</v>
      </c>
      <c r="Q804">
        <f t="shared" si="211"/>
        <v>0</v>
      </c>
      <c r="R804">
        <f t="shared" si="212"/>
        <v>0</v>
      </c>
      <c r="S804">
        <f t="shared" si="213"/>
        <v>0</v>
      </c>
      <c r="T804" s="83">
        <f t="shared" si="214"/>
        <v>0</v>
      </c>
      <c r="U804" s="120">
        <f>IF($D804="",0,IFERROR(LOOKUP(2,1/(($D$3:D803=$D804)*($C$3:C803=$C804)*($A$3:A803&lt;$A804)),$AB$3:AB803),1000))</f>
        <v>0</v>
      </c>
      <c r="V804" s="120">
        <f t="shared" si="215"/>
        <v>0</v>
      </c>
      <c r="W804">
        <f t="shared" si="216"/>
        <v>0</v>
      </c>
      <c r="X804">
        <f t="shared" si="217"/>
        <v>0</v>
      </c>
      <c r="Y804">
        <f t="shared" si="218"/>
        <v>0</v>
      </c>
      <c r="Z804">
        <f t="shared" si="219"/>
        <v>0</v>
      </c>
      <c r="AA804">
        <f>IF($D804="",0,IF($F804&lt;2,0,IF($E804="Win",('Guide &amp; Settings'!$C$42/(($F804-1)*COUNTIFS($A$4:$A$810,$A804,$E$4:$E$810,"Win")))*SUMIFS($Z$4:$Z$810,$A$4:$A$810,$A804,$E$4:$E$810,"Loss"),-('Guide &amp; Settings'!$C$42/($F804-1))*$Z804)))</f>
        <v>0</v>
      </c>
      <c r="AB804" s="120">
        <f t="shared" si="220"/>
        <v>0</v>
      </c>
      <c r="AC804" s="120" t="str">
        <f>IF($D804="","",IF(SUMPRODUCT(MAX(($D$4:$D$810=$D804)*($B$4:$B$810&lt;$B804)*$B$4:$B$810))=0,0,MAX(($B804-MAX(SUMPRODUCT(MAX(($D$4:$D$810=$D804)*($B$4:$B$810&lt;$B804)*$B$4:$B$810)),'Guide &amp; Settings'!$C$50))/7-'Guide &amp; Settings'!$C$48,0)*'Guide &amp; Settings'!$C$49))</f>
        <v/>
      </c>
    </row>
    <row r="805" spans="1:29" x14ac:dyDescent="0.2">
      <c r="A805" s="111"/>
      <c r="B805" s="112"/>
      <c r="C805" s="113"/>
      <c r="D805" s="113"/>
      <c r="E805" s="111"/>
      <c r="F805" s="114">
        <f t="shared" si="204"/>
        <v>0</v>
      </c>
      <c r="G805" s="115" t="str">
        <f t="shared" si="205"/>
        <v/>
      </c>
      <c r="H805" s="116">
        <f>IF($D805="",0,IFERROR(LOOKUP(2,1/(($D$3:D804=$D805)*($A$3:A804&lt;$A805)),$N$3:N804),'Guide &amp; Settings'!$C$41))</f>
        <v>0</v>
      </c>
      <c r="I805" s="117">
        <f t="shared" si="206"/>
        <v>0</v>
      </c>
      <c r="J805" s="118">
        <f>IF($D805="",0,IF($F805&lt;2,0,IF($E805="Win",('Guide &amp; Settings'!$C$42/(($F805-1)*COUNTIFS($A$4:$A$810,$A805,$E$4:$E$810,"Win")))*SUMIFS($X$4:$X$810,$A$4:$A$810,$A805,$E$4:$E$810,"Loss"),-('Guide &amp; Settings'!$C$42/($F805-1))*$X805)))</f>
        <v>0</v>
      </c>
      <c r="K805" s="118">
        <f>IF($D805="",0,'Guide &amp; Settings'!$C$43*(IF($E805="Win",1,0)-$I805))</f>
        <v>0</v>
      </c>
      <c r="L805" s="119">
        <f>IF($D805="",0,'Guide &amp; Settings'!$C$44*IF($F805&gt;=3,$F805,0))</f>
        <v>0</v>
      </c>
      <c r="M805" s="118">
        <f t="shared" si="207"/>
        <v>0</v>
      </c>
      <c r="N805" s="116">
        <f t="shared" si="208"/>
        <v>0</v>
      </c>
      <c r="O805" s="115" t="str">
        <f t="shared" si="209"/>
        <v/>
      </c>
      <c r="P805">
        <f t="shared" si="210"/>
        <v>0</v>
      </c>
      <c r="Q805">
        <f t="shared" si="211"/>
        <v>0</v>
      </c>
      <c r="R805">
        <f t="shared" si="212"/>
        <v>0</v>
      </c>
      <c r="S805">
        <f t="shared" si="213"/>
        <v>0</v>
      </c>
      <c r="T805" s="83">
        <f t="shared" si="214"/>
        <v>0</v>
      </c>
      <c r="U805" s="120">
        <f>IF($D805="",0,IFERROR(LOOKUP(2,1/(($D$3:D804=$D805)*($C$3:C804=$C805)*($A$3:A804&lt;$A805)),$AB$3:AB804),1000))</f>
        <v>0</v>
      </c>
      <c r="V805" s="120">
        <f t="shared" si="215"/>
        <v>0</v>
      </c>
      <c r="W805">
        <f t="shared" si="216"/>
        <v>0</v>
      </c>
      <c r="X805">
        <f t="shared" si="217"/>
        <v>0</v>
      </c>
      <c r="Y805">
        <f t="shared" si="218"/>
        <v>0</v>
      </c>
      <c r="Z805">
        <f t="shared" si="219"/>
        <v>0</v>
      </c>
      <c r="AA805">
        <f>IF($D805="",0,IF($F805&lt;2,0,IF($E805="Win",('Guide &amp; Settings'!$C$42/(($F805-1)*COUNTIFS($A$4:$A$810,$A805,$E$4:$E$810,"Win")))*SUMIFS($Z$4:$Z$810,$A$4:$A$810,$A805,$E$4:$E$810,"Loss"),-('Guide &amp; Settings'!$C$42/($F805-1))*$Z805)))</f>
        <v>0</v>
      </c>
      <c r="AB805" s="120">
        <f t="shared" si="220"/>
        <v>0</v>
      </c>
      <c r="AC805" s="120" t="str">
        <f>IF($D805="","",IF(SUMPRODUCT(MAX(($D$4:$D$810=$D805)*($B$4:$B$810&lt;$B805)*$B$4:$B$810))=0,0,MAX(($B805-MAX(SUMPRODUCT(MAX(($D$4:$D$810=$D805)*($B$4:$B$810&lt;$B805)*$B$4:$B$810)),'Guide &amp; Settings'!$C$50))/7-'Guide &amp; Settings'!$C$48,0)*'Guide &amp; Settings'!$C$49))</f>
        <v/>
      </c>
    </row>
    <row r="806" spans="1:29" x14ac:dyDescent="0.2">
      <c r="A806" s="111"/>
      <c r="B806" s="112"/>
      <c r="C806" s="113"/>
      <c r="D806" s="113"/>
      <c r="E806" s="111"/>
      <c r="F806" s="114">
        <f t="shared" si="204"/>
        <v>0</v>
      </c>
      <c r="G806" s="115" t="str">
        <f t="shared" si="205"/>
        <v/>
      </c>
      <c r="H806" s="116">
        <f>IF($D806="",0,IFERROR(LOOKUP(2,1/(($D$3:D805=$D806)*($A$3:A805&lt;$A806)),$N$3:N805),'Guide &amp; Settings'!$C$41))</f>
        <v>0</v>
      </c>
      <c r="I806" s="117">
        <f t="shared" si="206"/>
        <v>0</v>
      </c>
      <c r="J806" s="118">
        <f>IF($D806="",0,IF($F806&lt;2,0,IF($E806="Win",('Guide &amp; Settings'!$C$42/(($F806-1)*COUNTIFS($A$4:$A$810,$A806,$E$4:$E$810,"Win")))*SUMIFS($X$4:$X$810,$A$4:$A$810,$A806,$E$4:$E$810,"Loss"),-('Guide &amp; Settings'!$C$42/($F806-1))*$X806)))</f>
        <v>0</v>
      </c>
      <c r="K806" s="118">
        <f>IF($D806="",0,'Guide &amp; Settings'!$C$43*(IF($E806="Win",1,0)-$I806))</f>
        <v>0</v>
      </c>
      <c r="L806" s="119">
        <f>IF($D806="",0,'Guide &amp; Settings'!$C$44*IF($F806&gt;=3,$F806,0))</f>
        <v>0</v>
      </c>
      <c r="M806" s="118">
        <f t="shared" si="207"/>
        <v>0</v>
      </c>
      <c r="N806" s="116">
        <f t="shared" si="208"/>
        <v>0</v>
      </c>
      <c r="O806" s="115" t="str">
        <f t="shared" si="209"/>
        <v/>
      </c>
      <c r="P806">
        <f t="shared" si="210"/>
        <v>0</v>
      </c>
      <c r="Q806">
        <f t="shared" si="211"/>
        <v>0</v>
      </c>
      <c r="R806">
        <f t="shared" si="212"/>
        <v>0</v>
      </c>
      <c r="S806">
        <f t="shared" si="213"/>
        <v>0</v>
      </c>
      <c r="T806" s="83">
        <f t="shared" si="214"/>
        <v>0</v>
      </c>
      <c r="U806" s="120">
        <f>IF($D806="",0,IFERROR(LOOKUP(2,1/(($D$3:D805=$D806)*($C$3:C805=$C806)*($A$3:A805&lt;$A806)),$AB$3:AB805),1000))</f>
        <v>0</v>
      </c>
      <c r="V806" s="120">
        <f t="shared" si="215"/>
        <v>0</v>
      </c>
      <c r="W806">
        <f t="shared" si="216"/>
        <v>0</v>
      </c>
      <c r="X806">
        <f t="shared" si="217"/>
        <v>0</v>
      </c>
      <c r="Y806">
        <f t="shared" si="218"/>
        <v>0</v>
      </c>
      <c r="Z806">
        <f t="shared" si="219"/>
        <v>0</v>
      </c>
      <c r="AA806">
        <f>IF($D806="",0,IF($F806&lt;2,0,IF($E806="Win",('Guide &amp; Settings'!$C$42/(($F806-1)*COUNTIFS($A$4:$A$810,$A806,$E$4:$E$810,"Win")))*SUMIFS($Z$4:$Z$810,$A$4:$A$810,$A806,$E$4:$E$810,"Loss"),-('Guide &amp; Settings'!$C$42/($F806-1))*$Z806)))</f>
        <v>0</v>
      </c>
      <c r="AB806" s="120">
        <f t="shared" si="220"/>
        <v>0</v>
      </c>
      <c r="AC806" s="120" t="str">
        <f>IF($D806="","",IF(SUMPRODUCT(MAX(($D$4:$D$810=$D806)*($B$4:$B$810&lt;$B806)*$B$4:$B$810))=0,0,MAX(($B806-MAX(SUMPRODUCT(MAX(($D$4:$D$810=$D806)*($B$4:$B$810&lt;$B806)*$B$4:$B$810)),'Guide &amp; Settings'!$C$50))/7-'Guide &amp; Settings'!$C$48,0)*'Guide &amp; Settings'!$C$49))</f>
        <v/>
      </c>
    </row>
    <row r="807" spans="1:29" x14ac:dyDescent="0.2">
      <c r="A807" s="111"/>
      <c r="B807" s="112"/>
      <c r="C807" s="113"/>
      <c r="D807" s="113"/>
      <c r="E807" s="111"/>
      <c r="F807" s="114">
        <f t="shared" si="204"/>
        <v>0</v>
      </c>
      <c r="G807" s="115" t="str">
        <f t="shared" si="205"/>
        <v/>
      </c>
      <c r="H807" s="116">
        <f>IF($D807="",0,IFERROR(LOOKUP(2,1/(($D$3:D806=$D807)*($A$3:A806&lt;$A807)),$N$3:N806),'Guide &amp; Settings'!$C$41))</f>
        <v>0</v>
      </c>
      <c r="I807" s="117">
        <f t="shared" si="206"/>
        <v>0</v>
      </c>
      <c r="J807" s="118">
        <f>IF($D807="",0,IF($F807&lt;2,0,IF($E807="Win",('Guide &amp; Settings'!$C$42/(($F807-1)*COUNTIFS($A$4:$A$810,$A807,$E$4:$E$810,"Win")))*SUMIFS($X$4:$X$810,$A$4:$A$810,$A807,$E$4:$E$810,"Loss"),-('Guide &amp; Settings'!$C$42/($F807-1))*$X807)))</f>
        <v>0</v>
      </c>
      <c r="K807" s="118">
        <f>IF($D807="",0,'Guide &amp; Settings'!$C$43*(IF($E807="Win",1,0)-$I807))</f>
        <v>0</v>
      </c>
      <c r="L807" s="119">
        <f>IF($D807="",0,'Guide &amp; Settings'!$C$44*IF($F807&gt;=3,$F807,0))</f>
        <v>0</v>
      </c>
      <c r="M807" s="118">
        <f t="shared" si="207"/>
        <v>0</v>
      </c>
      <c r="N807" s="116">
        <f t="shared" si="208"/>
        <v>0</v>
      </c>
      <c r="O807" s="115" t="str">
        <f t="shared" si="209"/>
        <v/>
      </c>
      <c r="P807">
        <f t="shared" si="210"/>
        <v>0</v>
      </c>
      <c r="Q807">
        <f t="shared" si="211"/>
        <v>0</v>
      </c>
      <c r="R807">
        <f t="shared" si="212"/>
        <v>0</v>
      </c>
      <c r="S807">
        <f t="shared" si="213"/>
        <v>0</v>
      </c>
      <c r="T807" s="83">
        <f t="shared" si="214"/>
        <v>0</v>
      </c>
      <c r="U807" s="120">
        <f>IF($D807="",0,IFERROR(LOOKUP(2,1/(($D$3:D806=$D807)*($C$3:C806=$C807)*($A$3:A806&lt;$A807)),$AB$3:AB806),1000))</f>
        <v>0</v>
      </c>
      <c r="V807" s="120">
        <f t="shared" si="215"/>
        <v>0</v>
      </c>
      <c r="W807">
        <f t="shared" si="216"/>
        <v>0</v>
      </c>
      <c r="X807">
        <f t="shared" si="217"/>
        <v>0</v>
      </c>
      <c r="Y807">
        <f t="shared" si="218"/>
        <v>0</v>
      </c>
      <c r="Z807">
        <f t="shared" si="219"/>
        <v>0</v>
      </c>
      <c r="AA807">
        <f>IF($D807="",0,IF($F807&lt;2,0,IF($E807="Win",('Guide &amp; Settings'!$C$42/(($F807-1)*COUNTIFS($A$4:$A$810,$A807,$E$4:$E$810,"Win")))*SUMIFS($Z$4:$Z$810,$A$4:$A$810,$A807,$E$4:$E$810,"Loss"),-('Guide &amp; Settings'!$C$42/($F807-1))*$Z807)))</f>
        <v>0</v>
      </c>
      <c r="AB807" s="120">
        <f t="shared" si="220"/>
        <v>0</v>
      </c>
      <c r="AC807" s="120" t="str">
        <f>IF($D807="","",IF(SUMPRODUCT(MAX(($D$4:$D$810=$D807)*($B$4:$B$810&lt;$B807)*$B$4:$B$810))=0,0,MAX(($B807-MAX(SUMPRODUCT(MAX(($D$4:$D$810=$D807)*($B$4:$B$810&lt;$B807)*$B$4:$B$810)),'Guide &amp; Settings'!$C$50))/7-'Guide &amp; Settings'!$C$48,0)*'Guide &amp; Settings'!$C$49))</f>
        <v/>
      </c>
    </row>
    <row r="808" spans="1:29" x14ac:dyDescent="0.2">
      <c r="A808" s="111"/>
      <c r="B808" s="112"/>
      <c r="C808" s="113"/>
      <c r="D808" s="113"/>
      <c r="E808" s="111"/>
      <c r="F808" s="114">
        <f t="shared" si="204"/>
        <v>0</v>
      </c>
      <c r="G808" s="115" t="str">
        <f t="shared" si="205"/>
        <v/>
      </c>
      <c r="H808" s="116">
        <f>IF($D808="",0,IFERROR(LOOKUP(2,1/(($D$3:D807=$D808)*($A$3:A807&lt;$A808)),$N$3:N807),'Guide &amp; Settings'!$C$41))</f>
        <v>0</v>
      </c>
      <c r="I808" s="117">
        <f t="shared" si="206"/>
        <v>0</v>
      </c>
      <c r="J808" s="118">
        <f>IF($D808="",0,IF($F808&lt;2,0,IF($E808="Win",('Guide &amp; Settings'!$C$42/(($F808-1)*COUNTIFS($A$4:$A$810,$A808,$E$4:$E$810,"Win")))*SUMIFS($X$4:$X$810,$A$4:$A$810,$A808,$E$4:$E$810,"Loss"),-('Guide &amp; Settings'!$C$42/($F808-1))*$X808)))</f>
        <v>0</v>
      </c>
      <c r="K808" s="118">
        <f>IF($D808="",0,'Guide &amp; Settings'!$C$43*(IF($E808="Win",1,0)-$I808))</f>
        <v>0</v>
      </c>
      <c r="L808" s="119">
        <f>IF($D808="",0,'Guide &amp; Settings'!$C$44*IF($F808&gt;=3,$F808,0))</f>
        <v>0</v>
      </c>
      <c r="M808" s="118">
        <f t="shared" si="207"/>
        <v>0</v>
      </c>
      <c r="N808" s="116">
        <f t="shared" si="208"/>
        <v>0</v>
      </c>
      <c r="O808" s="115" t="str">
        <f t="shared" si="209"/>
        <v/>
      </c>
      <c r="P808">
        <f t="shared" si="210"/>
        <v>0</v>
      </c>
      <c r="Q808">
        <f t="shared" si="211"/>
        <v>0</v>
      </c>
      <c r="R808">
        <f t="shared" si="212"/>
        <v>0</v>
      </c>
      <c r="S808">
        <f t="shared" si="213"/>
        <v>0</v>
      </c>
      <c r="T808" s="83">
        <f t="shared" si="214"/>
        <v>0</v>
      </c>
      <c r="U808" s="120">
        <f>IF($D808="",0,IFERROR(LOOKUP(2,1/(($D$3:D807=$D808)*($C$3:C807=$C808)*($A$3:A807&lt;$A808)),$AB$3:AB807),1000))</f>
        <v>0</v>
      </c>
      <c r="V808" s="120">
        <f t="shared" si="215"/>
        <v>0</v>
      </c>
      <c r="W808">
        <f t="shared" si="216"/>
        <v>0</v>
      </c>
      <c r="X808">
        <f t="shared" si="217"/>
        <v>0</v>
      </c>
      <c r="Y808">
        <f t="shared" si="218"/>
        <v>0</v>
      </c>
      <c r="Z808">
        <f t="shared" si="219"/>
        <v>0</v>
      </c>
      <c r="AA808">
        <f>IF($D808="",0,IF($F808&lt;2,0,IF($E808="Win",('Guide &amp; Settings'!$C$42/(($F808-1)*COUNTIFS($A$4:$A$810,$A808,$E$4:$E$810,"Win")))*SUMIFS($Z$4:$Z$810,$A$4:$A$810,$A808,$E$4:$E$810,"Loss"),-('Guide &amp; Settings'!$C$42/($F808-1))*$Z808)))</f>
        <v>0</v>
      </c>
      <c r="AB808" s="120">
        <f t="shared" si="220"/>
        <v>0</v>
      </c>
      <c r="AC808" s="120" t="str">
        <f>IF($D808="","",IF(SUMPRODUCT(MAX(($D$4:$D$810=$D808)*($B$4:$B$810&lt;$B808)*$B$4:$B$810))=0,0,MAX(($B808-MAX(SUMPRODUCT(MAX(($D$4:$D$810=$D808)*($B$4:$B$810&lt;$B808)*$B$4:$B$810)),'Guide &amp; Settings'!$C$50))/7-'Guide &amp; Settings'!$C$48,0)*'Guide &amp; Settings'!$C$49))</f>
        <v/>
      </c>
    </row>
    <row r="809" spans="1:29" x14ac:dyDescent="0.2">
      <c r="A809" s="111"/>
      <c r="B809" s="112"/>
      <c r="C809" s="113"/>
      <c r="D809" s="113"/>
      <c r="E809" s="111"/>
      <c r="F809" s="114">
        <f t="shared" si="204"/>
        <v>0</v>
      </c>
      <c r="G809" s="115" t="str">
        <f t="shared" si="205"/>
        <v/>
      </c>
      <c r="H809" s="116">
        <f>IF($D809="",0,IFERROR(LOOKUP(2,1/(($D$3:D808=$D809)*($A$3:A808&lt;$A809)),$N$3:N808),'Guide &amp; Settings'!$C$41))</f>
        <v>0</v>
      </c>
      <c r="I809" s="117">
        <f t="shared" si="206"/>
        <v>0</v>
      </c>
      <c r="J809" s="118">
        <f>IF($D809="",0,IF($F809&lt;2,0,IF($E809="Win",('Guide &amp; Settings'!$C$42/(($F809-1)*COUNTIFS($A$4:$A$810,$A809,$E$4:$E$810,"Win")))*SUMIFS($X$4:$X$810,$A$4:$A$810,$A809,$E$4:$E$810,"Loss"),-('Guide &amp; Settings'!$C$42/($F809-1))*$X809)))</f>
        <v>0</v>
      </c>
      <c r="K809" s="118">
        <f>IF($D809="",0,'Guide &amp; Settings'!$C$43*(IF($E809="Win",1,0)-$I809))</f>
        <v>0</v>
      </c>
      <c r="L809" s="119">
        <f>IF($D809="",0,'Guide &amp; Settings'!$C$44*IF($F809&gt;=3,$F809,0))</f>
        <v>0</v>
      </c>
      <c r="M809" s="118">
        <f t="shared" si="207"/>
        <v>0</v>
      </c>
      <c r="N809" s="116">
        <f t="shared" si="208"/>
        <v>0</v>
      </c>
      <c r="O809" s="115" t="str">
        <f t="shared" si="209"/>
        <v/>
      </c>
      <c r="P809">
        <f t="shared" si="210"/>
        <v>0</v>
      </c>
      <c r="Q809">
        <f t="shared" si="211"/>
        <v>0</v>
      </c>
      <c r="R809">
        <f t="shared" si="212"/>
        <v>0</v>
      </c>
      <c r="S809">
        <f t="shared" si="213"/>
        <v>0</v>
      </c>
      <c r="T809" s="83">
        <f t="shared" si="214"/>
        <v>0</v>
      </c>
      <c r="U809" s="120">
        <f>IF($D809="",0,IFERROR(LOOKUP(2,1/(($D$3:D808=$D809)*($C$3:C808=$C809)*($A$3:A808&lt;$A809)),$AB$3:AB808),1000))</f>
        <v>0</v>
      </c>
      <c r="V809" s="120">
        <f t="shared" si="215"/>
        <v>0</v>
      </c>
      <c r="W809">
        <f t="shared" si="216"/>
        <v>0</v>
      </c>
      <c r="X809">
        <f t="shared" si="217"/>
        <v>0</v>
      </c>
      <c r="Y809">
        <f t="shared" si="218"/>
        <v>0</v>
      </c>
      <c r="Z809">
        <f t="shared" si="219"/>
        <v>0</v>
      </c>
      <c r="AA809">
        <f>IF($D809="",0,IF($F809&lt;2,0,IF($E809="Win",('Guide &amp; Settings'!$C$42/(($F809-1)*COUNTIFS($A$4:$A$810,$A809,$E$4:$E$810,"Win")))*SUMIFS($Z$4:$Z$810,$A$4:$A$810,$A809,$E$4:$E$810,"Loss"),-('Guide &amp; Settings'!$C$42/($F809-1))*$Z809)))</f>
        <v>0</v>
      </c>
      <c r="AB809" s="120">
        <f t="shared" si="220"/>
        <v>0</v>
      </c>
      <c r="AC809" s="120" t="str">
        <f>IF($D809="","",IF(SUMPRODUCT(MAX(($D$4:$D$810=$D809)*($B$4:$B$810&lt;$B809)*$B$4:$B$810))=0,0,MAX(($B809-MAX(SUMPRODUCT(MAX(($D$4:$D$810=$D809)*($B$4:$B$810&lt;$B809)*$B$4:$B$810)),'Guide &amp; Settings'!$C$50))/7-'Guide &amp; Settings'!$C$48,0)*'Guide &amp; Settings'!$C$49))</f>
        <v/>
      </c>
    </row>
    <row r="810" spans="1:29" x14ac:dyDescent="0.2">
      <c r="A810" s="111"/>
      <c r="B810" s="112"/>
      <c r="C810" s="113"/>
      <c r="D810" s="113"/>
      <c r="E810" s="111"/>
      <c r="F810" s="114">
        <f t="shared" si="204"/>
        <v>0</v>
      </c>
      <c r="G810" s="115" t="str">
        <f t="shared" si="205"/>
        <v/>
      </c>
      <c r="H810" s="116">
        <f>IF($D810="",0,IFERROR(LOOKUP(2,1/(($D$3:D809=$D810)*($A$3:A809&lt;$A810)),$N$3:N809),'Guide &amp; Settings'!$C$41))</f>
        <v>0</v>
      </c>
      <c r="I810" s="117">
        <f t="shared" si="206"/>
        <v>0</v>
      </c>
      <c r="J810" s="118">
        <f>IF($D810="",0,IF($F810&lt;2,0,IF($E810="Win",('Guide &amp; Settings'!$C$42/(($F810-1)*COUNTIFS($A$4:$A$810,$A810,$E$4:$E$810,"Win")))*SUMIFS($X$4:$X$810,$A$4:$A$810,$A810,$E$4:$E$810,"Loss"),-('Guide &amp; Settings'!$C$42/($F810-1))*$X810)))</f>
        <v>0</v>
      </c>
      <c r="K810" s="118">
        <f>IF($D810="",0,'Guide &amp; Settings'!$C$43*(IF($E810="Win",1,0)-$I810))</f>
        <v>0</v>
      </c>
      <c r="L810" s="119">
        <f>IF($D810="",0,'Guide &amp; Settings'!$C$44*IF($F810&gt;=3,$F810,0))</f>
        <v>0</v>
      </c>
      <c r="M810" s="118">
        <f t="shared" si="207"/>
        <v>0</v>
      </c>
      <c r="N810" s="116">
        <f t="shared" si="208"/>
        <v>0</v>
      </c>
      <c r="O810" s="115" t="str">
        <f t="shared" si="209"/>
        <v/>
      </c>
      <c r="P810">
        <f t="shared" si="210"/>
        <v>0</v>
      </c>
      <c r="Q810">
        <f t="shared" si="211"/>
        <v>0</v>
      </c>
      <c r="R810">
        <f t="shared" si="212"/>
        <v>0</v>
      </c>
      <c r="S810">
        <f t="shared" si="213"/>
        <v>0</v>
      </c>
      <c r="T810" s="83">
        <f t="shared" si="214"/>
        <v>0</v>
      </c>
      <c r="U810" s="120">
        <f>IF($D810="",0,IFERROR(LOOKUP(2,1/(($D$3:D809=$D810)*($C$3:C809=$C810)*($A$3:A809&lt;$A810)),$AB$3:AB809),1000))</f>
        <v>0</v>
      </c>
      <c r="V810" s="120">
        <f t="shared" si="215"/>
        <v>0</v>
      </c>
      <c r="W810">
        <f t="shared" si="216"/>
        <v>0</v>
      </c>
      <c r="X810">
        <f t="shared" si="217"/>
        <v>0</v>
      </c>
      <c r="Y810">
        <f t="shared" si="218"/>
        <v>0</v>
      </c>
      <c r="Z810">
        <f t="shared" si="219"/>
        <v>0</v>
      </c>
      <c r="AA810">
        <f>IF($D810="",0,IF($F810&lt;2,0,IF($E810="Win",('Guide &amp; Settings'!$C$42/(($F810-1)*COUNTIFS($A$4:$A$810,$A810,$E$4:$E$810,"Win")))*SUMIFS($Z$4:$Z$810,$A$4:$A$810,$A810,$E$4:$E$810,"Loss"),-('Guide &amp; Settings'!$C$42/($F810-1))*$Z810)))</f>
        <v>0</v>
      </c>
      <c r="AB810" s="120">
        <f t="shared" si="220"/>
        <v>0</v>
      </c>
      <c r="AC810" s="120" t="str">
        <f>IF($D810="","",IF(SUMPRODUCT(MAX(($D$4:$D$810=$D810)*($B$4:$B$810&lt;$B810)*$B$4:$B$810))=0,0,MAX(($B810-MAX(SUMPRODUCT(MAX(($D$4:$D$810=$D810)*($B$4:$B$810&lt;$B810)*$B$4:$B$810)),'Guide &amp; Settings'!$C$50))/7-'Guide &amp; Settings'!$C$48,0)*'Guide &amp; Settings'!$C$49))</f>
        <v/>
      </c>
    </row>
  </sheetData>
  <sheetProtection formatCells="0" formatColumns="0" formatRows="0" selectLockedCells="1" selectUnlockedCells="1"/>
  <mergeCells count="2">
    <mergeCell ref="A1:O1"/>
    <mergeCell ref="A2:O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800-000000000000}">
          <x14:formula1>
            <xm:f>Lists!$C$2:$C$21</xm:f>
          </x14:formula1>
          <xm:sqref>C4:C810</xm:sqref>
        </x14:dataValidation>
        <x14:dataValidation type="list" allowBlank="1" showInputMessage="1" showErrorMessage="1" xr:uid="{00000000-0002-0000-0800-000001000000}">
          <x14:formula1>
            <xm:f>Lists!$A$2:$A$15</xm:f>
          </x14:formula1>
          <xm:sqref>D4:D810</xm:sqref>
        </x14:dataValidation>
        <x14:dataValidation type="list" allowBlank="1" showInputMessage="1" showErrorMessage="1" xr:uid="{00000000-0002-0000-0800-000002000000}">
          <x14:formula1>
            <xm:f>Lists!$E$2:$E$3</xm:f>
          </x14:formula1>
          <xm:sqref>E4:E810</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2D16A1-E691-8C4D-9DE0-B145E821A6F0}">
  <sheetPr>
    <tabColor rgb="FF2F8F5B"/>
  </sheetPr>
  <dimension ref="A1:R50"/>
  <sheetViews>
    <sheetView showGridLines="0" zoomScale="158" zoomScaleNormal="158" workbookViewId="0">
      <pane ySplit="5" topLeftCell="A30" activePane="bottomLeft" state="frozen"/>
      <selection pane="bottomLeft" activeCell="S49" sqref="S49"/>
    </sheetView>
  </sheetViews>
  <sheetFormatPr baseColWidth="10" defaultColWidth="8.83203125" defaultRowHeight="15" x14ac:dyDescent="0.2"/>
  <cols>
    <col min="1" max="1" width="22" customWidth="1"/>
    <col min="2" max="15" width="4.6640625" customWidth="1"/>
    <col min="16" max="17" width="9" customWidth="1"/>
    <col min="18" max="18" width="26" customWidth="1"/>
  </cols>
  <sheetData>
    <row r="1" spans="1:18" ht="21" customHeight="1" x14ac:dyDescent="0.25">
      <c r="A1" s="72" t="s">
        <v>310</v>
      </c>
    </row>
    <row r="2" spans="1:18" ht="15" customHeight="1" x14ac:dyDescent="0.2">
      <c r="A2" s="158" t="s">
        <v>311</v>
      </c>
      <c r="B2" s="158"/>
      <c r="C2" s="158"/>
      <c r="D2" s="158"/>
      <c r="E2" s="158"/>
      <c r="F2" s="158"/>
      <c r="G2" s="158"/>
      <c r="H2" s="158"/>
      <c r="I2" s="158"/>
      <c r="J2" s="158"/>
      <c r="K2" s="158"/>
      <c r="L2" s="158"/>
      <c r="M2" s="158"/>
      <c r="N2" s="158"/>
      <c r="O2" s="158"/>
      <c r="P2" s="158"/>
      <c r="Q2" s="158"/>
      <c r="R2" s="158"/>
    </row>
    <row r="3" spans="1:18" ht="15" customHeight="1" x14ac:dyDescent="0.2">
      <c r="A3" s="73" t="s">
        <v>312</v>
      </c>
      <c r="B3" s="121">
        <f>COUNTA($B$6:$O$6)</f>
        <v>14</v>
      </c>
      <c r="C3" s="73" t="s">
        <v>313</v>
      </c>
      <c r="D3" s="121">
        <f>INT($B$3/2)+1</f>
        <v>8</v>
      </c>
      <c r="E3" s="73" t="s">
        <v>314</v>
      </c>
      <c r="F3" s="121">
        <f>ROUNDUP($B$3/2,0)</f>
        <v>7</v>
      </c>
      <c r="H3" s="158" t="s">
        <v>315</v>
      </c>
      <c r="I3" s="158"/>
      <c r="J3" s="158"/>
      <c r="K3" s="158"/>
      <c r="L3" s="158"/>
      <c r="M3" s="158"/>
      <c r="N3" s="158"/>
      <c r="O3" s="158"/>
      <c r="P3" s="158"/>
      <c r="Q3" s="158"/>
      <c r="R3" s="158"/>
    </row>
    <row r="5" spans="1:18" ht="15" customHeight="1" x14ac:dyDescent="0.2">
      <c r="A5" s="157" t="s">
        <v>316</v>
      </c>
      <c r="B5" s="157"/>
      <c r="C5" s="157"/>
      <c r="D5" s="157"/>
      <c r="E5" s="157"/>
      <c r="F5" s="157"/>
      <c r="G5" s="157"/>
      <c r="H5" s="157"/>
      <c r="I5" s="157"/>
      <c r="J5" s="157"/>
      <c r="K5" s="157"/>
      <c r="L5" s="157"/>
      <c r="M5" s="157"/>
      <c r="N5" s="157"/>
      <c r="O5" s="157"/>
      <c r="P5" s="157"/>
      <c r="Q5" s="157"/>
      <c r="R5" s="157"/>
    </row>
    <row r="6" spans="1:18" ht="91.5" customHeight="1" x14ac:dyDescent="0.2">
      <c r="A6" s="74" t="s">
        <v>317</v>
      </c>
      <c r="B6" s="75" t="s">
        <v>138</v>
      </c>
      <c r="C6" s="75" t="s">
        <v>135</v>
      </c>
      <c r="D6" s="75" t="s">
        <v>173</v>
      </c>
      <c r="E6" s="75" t="s">
        <v>140</v>
      </c>
      <c r="F6" s="75" t="s">
        <v>137</v>
      </c>
      <c r="G6" s="75" t="s">
        <v>134</v>
      </c>
      <c r="H6" s="75" t="s">
        <v>168</v>
      </c>
      <c r="I6" s="75" t="s">
        <v>170</v>
      </c>
      <c r="J6" s="75" t="s">
        <v>167</v>
      </c>
      <c r="K6" s="75" t="s">
        <v>175</v>
      </c>
      <c r="L6" s="75" t="s">
        <v>169</v>
      </c>
      <c r="M6" s="75" t="s">
        <v>171</v>
      </c>
      <c r="N6" s="75" t="s">
        <v>172</v>
      </c>
      <c r="O6" s="75" t="s">
        <v>174</v>
      </c>
      <c r="P6" s="74" t="s">
        <v>318</v>
      </c>
      <c r="Q6" s="74" t="s">
        <v>319</v>
      </c>
      <c r="R6" s="74" t="s">
        <v>320</v>
      </c>
    </row>
    <row r="7" spans="1:18" ht="15" customHeight="1" x14ac:dyDescent="0.2">
      <c r="A7" s="122" t="s">
        <v>321</v>
      </c>
      <c r="B7" s="123">
        <v>1</v>
      </c>
      <c r="C7" s="123"/>
      <c r="D7" s="123"/>
      <c r="E7" s="123"/>
      <c r="F7" s="123"/>
      <c r="G7" s="123">
        <v>1</v>
      </c>
      <c r="H7" s="123"/>
      <c r="I7" s="123"/>
      <c r="J7" s="123"/>
      <c r="K7" s="123"/>
      <c r="L7" s="123"/>
      <c r="M7" s="123"/>
      <c r="N7" s="123"/>
      <c r="O7" s="123"/>
      <c r="P7" s="124">
        <f t="shared" ref="P7:P26" si="0">IF($A7="","",SUM($B7:$O7))</f>
        <v>2</v>
      </c>
      <c r="Q7" s="124">
        <f t="shared" ref="Q7:Q26" si="1">IF($A7="","",COUNT($B7:$O7))</f>
        <v>2</v>
      </c>
      <c r="R7" s="125" t="str">
        <f t="shared" ref="R7:R26" si="2">IF($A7="","",IF($P7&gt;=$D$3,"PASSED — add it",IF($Q7&lt;$F$3,"Awaiting votes ("&amp;$Q7&amp;" of "&amp;$B$3&amp;")",IF($P7+($B$3-$Q7)&lt;$D$3,"Rejected","Open ("&amp;$P7&amp;" in favour)"))))</f>
        <v>Awaiting votes (2 of 14)</v>
      </c>
    </row>
    <row r="8" spans="1:18" ht="15" customHeight="1" x14ac:dyDescent="0.2">
      <c r="A8" s="122" t="s">
        <v>322</v>
      </c>
      <c r="B8" s="123">
        <v>1</v>
      </c>
      <c r="C8" s="123"/>
      <c r="D8" s="123"/>
      <c r="E8" s="123"/>
      <c r="F8" s="123"/>
      <c r="G8" s="123">
        <v>1</v>
      </c>
      <c r="H8" s="123"/>
      <c r="I8" s="123"/>
      <c r="J8" s="123"/>
      <c r="K8" s="123"/>
      <c r="L8" s="123"/>
      <c r="M8" s="123"/>
      <c r="N8" s="123"/>
      <c r="O8" s="123"/>
      <c r="P8" s="124">
        <f t="shared" si="0"/>
        <v>2</v>
      </c>
      <c r="Q8" s="124">
        <f t="shared" si="1"/>
        <v>2</v>
      </c>
      <c r="R8" s="125" t="str">
        <f t="shared" si="2"/>
        <v>Awaiting votes (2 of 14)</v>
      </c>
    </row>
    <row r="9" spans="1:18" ht="15" customHeight="1" x14ac:dyDescent="0.2">
      <c r="A9" s="122" t="s">
        <v>323</v>
      </c>
      <c r="B9" s="123">
        <v>1</v>
      </c>
      <c r="C9" s="123"/>
      <c r="D9" s="123"/>
      <c r="E9" s="123"/>
      <c r="F9" s="123"/>
      <c r="G9" s="123">
        <v>1</v>
      </c>
      <c r="H9" s="123"/>
      <c r="I9" s="123"/>
      <c r="J9" s="123"/>
      <c r="K9" s="123"/>
      <c r="L9" s="123"/>
      <c r="M9" s="123"/>
      <c r="N9" s="123"/>
      <c r="O9" s="123"/>
      <c r="P9" s="124">
        <f t="shared" si="0"/>
        <v>2</v>
      </c>
      <c r="Q9" s="124">
        <f t="shared" si="1"/>
        <v>2</v>
      </c>
      <c r="R9" s="125" t="str">
        <f t="shared" si="2"/>
        <v>Awaiting votes (2 of 14)</v>
      </c>
    </row>
    <row r="10" spans="1:18" ht="15" customHeight="1" x14ac:dyDescent="0.2">
      <c r="A10" s="122" t="s">
        <v>324</v>
      </c>
      <c r="B10" s="123">
        <v>1</v>
      </c>
      <c r="C10" s="123"/>
      <c r="D10" s="123"/>
      <c r="E10" s="123"/>
      <c r="F10" s="123"/>
      <c r="G10" s="123">
        <v>1</v>
      </c>
      <c r="H10" s="123"/>
      <c r="I10" s="123"/>
      <c r="J10" s="123"/>
      <c r="K10" s="123"/>
      <c r="L10" s="123"/>
      <c r="M10" s="123"/>
      <c r="N10" s="123"/>
      <c r="O10" s="123"/>
      <c r="P10" s="124">
        <f t="shared" si="0"/>
        <v>2</v>
      </c>
      <c r="Q10" s="124">
        <f t="shared" si="1"/>
        <v>2</v>
      </c>
      <c r="R10" s="125" t="str">
        <f t="shared" si="2"/>
        <v>Awaiting votes (2 of 14)</v>
      </c>
    </row>
    <row r="11" spans="1:18" ht="15" customHeight="1" x14ac:dyDescent="0.2">
      <c r="A11" s="122"/>
      <c r="B11" s="123"/>
      <c r="C11" s="123"/>
      <c r="D11" s="123"/>
      <c r="E11" s="123"/>
      <c r="F11" s="123"/>
      <c r="G11" s="123"/>
      <c r="H11" s="123"/>
      <c r="I11" s="123"/>
      <c r="J11" s="123"/>
      <c r="K11" s="123"/>
      <c r="L11" s="123"/>
      <c r="M11" s="123"/>
      <c r="N11" s="123"/>
      <c r="O11" s="123"/>
      <c r="P11" s="124" t="str">
        <f t="shared" si="0"/>
        <v/>
      </c>
      <c r="Q11" s="124" t="str">
        <f t="shared" si="1"/>
        <v/>
      </c>
      <c r="R11" s="125" t="str">
        <f t="shared" si="2"/>
        <v/>
      </c>
    </row>
    <row r="12" spans="1:18" ht="15" customHeight="1" x14ac:dyDescent="0.2">
      <c r="A12" s="122"/>
      <c r="B12" s="123"/>
      <c r="C12" s="123"/>
      <c r="D12" s="123"/>
      <c r="E12" s="123"/>
      <c r="F12" s="123"/>
      <c r="G12" s="123"/>
      <c r="H12" s="123"/>
      <c r="I12" s="123"/>
      <c r="J12" s="123"/>
      <c r="K12" s="123"/>
      <c r="L12" s="123"/>
      <c r="M12" s="123"/>
      <c r="N12" s="123"/>
      <c r="O12" s="123"/>
      <c r="P12" s="124" t="str">
        <f t="shared" si="0"/>
        <v/>
      </c>
      <c r="Q12" s="124" t="str">
        <f t="shared" si="1"/>
        <v/>
      </c>
      <c r="R12" s="125" t="str">
        <f t="shared" si="2"/>
        <v/>
      </c>
    </row>
    <row r="13" spans="1:18" ht="15" customHeight="1" x14ac:dyDescent="0.2">
      <c r="A13" s="122"/>
      <c r="B13" s="123"/>
      <c r="C13" s="123"/>
      <c r="D13" s="123"/>
      <c r="E13" s="123"/>
      <c r="F13" s="123"/>
      <c r="G13" s="123"/>
      <c r="H13" s="123"/>
      <c r="I13" s="123"/>
      <c r="J13" s="123"/>
      <c r="K13" s="123"/>
      <c r="L13" s="123"/>
      <c r="M13" s="123"/>
      <c r="N13" s="123"/>
      <c r="O13" s="123"/>
      <c r="P13" s="124" t="str">
        <f t="shared" si="0"/>
        <v/>
      </c>
      <c r="Q13" s="124" t="str">
        <f t="shared" si="1"/>
        <v/>
      </c>
      <c r="R13" s="125" t="str">
        <f t="shared" si="2"/>
        <v/>
      </c>
    </row>
    <row r="14" spans="1:18" ht="15" customHeight="1" x14ac:dyDescent="0.2">
      <c r="A14" s="122"/>
      <c r="B14" s="123"/>
      <c r="C14" s="123"/>
      <c r="D14" s="123"/>
      <c r="E14" s="123"/>
      <c r="F14" s="123"/>
      <c r="G14" s="123"/>
      <c r="H14" s="123"/>
      <c r="I14" s="123"/>
      <c r="J14" s="123"/>
      <c r="K14" s="123"/>
      <c r="L14" s="123"/>
      <c r="M14" s="123"/>
      <c r="N14" s="123"/>
      <c r="O14" s="123"/>
      <c r="P14" s="124" t="str">
        <f t="shared" si="0"/>
        <v/>
      </c>
      <c r="Q14" s="124" t="str">
        <f t="shared" si="1"/>
        <v/>
      </c>
      <c r="R14" s="125" t="str">
        <f t="shared" si="2"/>
        <v/>
      </c>
    </row>
    <row r="15" spans="1:18" ht="15" customHeight="1" x14ac:dyDescent="0.2">
      <c r="A15" s="122"/>
      <c r="B15" s="123"/>
      <c r="C15" s="123"/>
      <c r="D15" s="123"/>
      <c r="E15" s="123"/>
      <c r="F15" s="123"/>
      <c r="G15" s="123"/>
      <c r="H15" s="123"/>
      <c r="I15" s="123"/>
      <c r="J15" s="123"/>
      <c r="K15" s="123"/>
      <c r="L15" s="123"/>
      <c r="M15" s="123"/>
      <c r="N15" s="123"/>
      <c r="O15" s="123"/>
      <c r="P15" s="124" t="str">
        <f t="shared" si="0"/>
        <v/>
      </c>
      <c r="Q15" s="124" t="str">
        <f t="shared" si="1"/>
        <v/>
      </c>
      <c r="R15" s="125" t="str">
        <f t="shared" si="2"/>
        <v/>
      </c>
    </row>
    <row r="16" spans="1:18" ht="15" customHeight="1" x14ac:dyDescent="0.2">
      <c r="A16" s="122"/>
      <c r="B16" s="123"/>
      <c r="C16" s="123"/>
      <c r="D16" s="123"/>
      <c r="E16" s="123"/>
      <c r="F16" s="123"/>
      <c r="G16" s="123"/>
      <c r="H16" s="123"/>
      <c r="I16" s="123"/>
      <c r="J16" s="123"/>
      <c r="K16" s="123"/>
      <c r="L16" s="123"/>
      <c r="M16" s="123"/>
      <c r="N16" s="123"/>
      <c r="O16" s="123"/>
      <c r="P16" s="124" t="str">
        <f t="shared" si="0"/>
        <v/>
      </c>
      <c r="Q16" s="124" t="str">
        <f t="shared" si="1"/>
        <v/>
      </c>
      <c r="R16" s="125" t="str">
        <f t="shared" si="2"/>
        <v/>
      </c>
    </row>
    <row r="17" spans="1:18" ht="15" customHeight="1" x14ac:dyDescent="0.2">
      <c r="A17" s="122"/>
      <c r="B17" s="123"/>
      <c r="C17" s="123"/>
      <c r="D17" s="123"/>
      <c r="E17" s="123"/>
      <c r="F17" s="123"/>
      <c r="G17" s="123"/>
      <c r="H17" s="123"/>
      <c r="I17" s="123"/>
      <c r="J17" s="123"/>
      <c r="K17" s="123"/>
      <c r="L17" s="123"/>
      <c r="M17" s="123"/>
      <c r="N17" s="123"/>
      <c r="O17" s="123"/>
      <c r="P17" s="124" t="str">
        <f t="shared" si="0"/>
        <v/>
      </c>
      <c r="Q17" s="124" t="str">
        <f t="shared" si="1"/>
        <v/>
      </c>
      <c r="R17" s="125" t="str">
        <f t="shared" si="2"/>
        <v/>
      </c>
    </row>
    <row r="18" spans="1:18" ht="15" customHeight="1" x14ac:dyDescent="0.2">
      <c r="A18" s="122"/>
      <c r="B18" s="123"/>
      <c r="C18" s="123"/>
      <c r="D18" s="123"/>
      <c r="E18" s="123"/>
      <c r="F18" s="123"/>
      <c r="G18" s="123"/>
      <c r="H18" s="123"/>
      <c r="I18" s="123"/>
      <c r="J18" s="123"/>
      <c r="K18" s="123"/>
      <c r="L18" s="123"/>
      <c r="M18" s="123"/>
      <c r="N18" s="123"/>
      <c r="O18" s="123"/>
      <c r="P18" s="124" t="str">
        <f t="shared" si="0"/>
        <v/>
      </c>
      <c r="Q18" s="124" t="str">
        <f t="shared" si="1"/>
        <v/>
      </c>
      <c r="R18" s="125" t="str">
        <f t="shared" si="2"/>
        <v/>
      </c>
    </row>
    <row r="19" spans="1:18" ht="15" customHeight="1" x14ac:dyDescent="0.2">
      <c r="A19" s="122"/>
      <c r="B19" s="123"/>
      <c r="C19" s="123"/>
      <c r="D19" s="123"/>
      <c r="E19" s="123"/>
      <c r="F19" s="123"/>
      <c r="G19" s="123"/>
      <c r="H19" s="123"/>
      <c r="I19" s="123"/>
      <c r="J19" s="123"/>
      <c r="K19" s="123"/>
      <c r="L19" s="123"/>
      <c r="M19" s="123"/>
      <c r="N19" s="123"/>
      <c r="O19" s="123"/>
      <c r="P19" s="124" t="str">
        <f t="shared" si="0"/>
        <v/>
      </c>
      <c r="Q19" s="124" t="str">
        <f t="shared" si="1"/>
        <v/>
      </c>
      <c r="R19" s="125" t="str">
        <f t="shared" si="2"/>
        <v/>
      </c>
    </row>
    <row r="20" spans="1:18" ht="15" customHeight="1" x14ac:dyDescent="0.2">
      <c r="A20" s="122"/>
      <c r="B20" s="123"/>
      <c r="C20" s="123"/>
      <c r="D20" s="123"/>
      <c r="E20" s="123"/>
      <c r="F20" s="123"/>
      <c r="G20" s="123"/>
      <c r="H20" s="123"/>
      <c r="I20" s="123"/>
      <c r="J20" s="123"/>
      <c r="K20" s="123"/>
      <c r="L20" s="123"/>
      <c r="M20" s="123"/>
      <c r="N20" s="123"/>
      <c r="O20" s="123"/>
      <c r="P20" s="124" t="str">
        <f t="shared" si="0"/>
        <v/>
      </c>
      <c r="Q20" s="124" t="str">
        <f t="shared" si="1"/>
        <v/>
      </c>
      <c r="R20" s="125" t="str">
        <f t="shared" si="2"/>
        <v/>
      </c>
    </row>
    <row r="21" spans="1:18" ht="15" customHeight="1" x14ac:dyDescent="0.2">
      <c r="A21" s="122"/>
      <c r="B21" s="123"/>
      <c r="C21" s="123"/>
      <c r="D21" s="123"/>
      <c r="E21" s="123"/>
      <c r="F21" s="123"/>
      <c r="G21" s="123"/>
      <c r="H21" s="123"/>
      <c r="I21" s="123"/>
      <c r="J21" s="123"/>
      <c r="K21" s="123"/>
      <c r="L21" s="123"/>
      <c r="M21" s="123"/>
      <c r="N21" s="123"/>
      <c r="O21" s="123"/>
      <c r="P21" s="124" t="str">
        <f t="shared" si="0"/>
        <v/>
      </c>
      <c r="Q21" s="124" t="str">
        <f t="shared" si="1"/>
        <v/>
      </c>
      <c r="R21" s="125" t="str">
        <f t="shared" si="2"/>
        <v/>
      </c>
    </row>
    <row r="22" spans="1:18" ht="15" customHeight="1" x14ac:dyDescent="0.2">
      <c r="A22" s="122"/>
      <c r="B22" s="123"/>
      <c r="C22" s="123"/>
      <c r="D22" s="123"/>
      <c r="E22" s="123"/>
      <c r="F22" s="123"/>
      <c r="G22" s="123"/>
      <c r="H22" s="123"/>
      <c r="I22" s="123"/>
      <c r="J22" s="123"/>
      <c r="K22" s="123"/>
      <c r="L22" s="123"/>
      <c r="M22" s="123"/>
      <c r="N22" s="123"/>
      <c r="O22" s="123"/>
      <c r="P22" s="124" t="str">
        <f t="shared" si="0"/>
        <v/>
      </c>
      <c r="Q22" s="124" t="str">
        <f t="shared" si="1"/>
        <v/>
      </c>
      <c r="R22" s="125" t="str">
        <f t="shared" si="2"/>
        <v/>
      </c>
    </row>
    <row r="23" spans="1:18" ht="15" customHeight="1" x14ac:dyDescent="0.2">
      <c r="A23" s="122"/>
      <c r="B23" s="123"/>
      <c r="C23" s="123"/>
      <c r="D23" s="123"/>
      <c r="E23" s="123"/>
      <c r="F23" s="123"/>
      <c r="G23" s="123"/>
      <c r="H23" s="123"/>
      <c r="I23" s="123"/>
      <c r="J23" s="123"/>
      <c r="K23" s="123"/>
      <c r="L23" s="123"/>
      <c r="M23" s="123"/>
      <c r="N23" s="123"/>
      <c r="O23" s="123"/>
      <c r="P23" s="124" t="str">
        <f t="shared" si="0"/>
        <v/>
      </c>
      <c r="Q23" s="124" t="str">
        <f t="shared" si="1"/>
        <v/>
      </c>
      <c r="R23" s="125" t="str">
        <f t="shared" si="2"/>
        <v/>
      </c>
    </row>
    <row r="24" spans="1:18" ht="15" customHeight="1" x14ac:dyDescent="0.2">
      <c r="A24" s="122"/>
      <c r="B24" s="123"/>
      <c r="C24" s="123"/>
      <c r="D24" s="123"/>
      <c r="E24" s="123"/>
      <c r="F24" s="123"/>
      <c r="G24" s="123"/>
      <c r="H24" s="123"/>
      <c r="I24" s="123"/>
      <c r="J24" s="123"/>
      <c r="K24" s="123"/>
      <c r="L24" s="123"/>
      <c r="M24" s="123"/>
      <c r="N24" s="123"/>
      <c r="O24" s="123"/>
      <c r="P24" s="124" t="str">
        <f t="shared" si="0"/>
        <v/>
      </c>
      <c r="Q24" s="124" t="str">
        <f t="shared" si="1"/>
        <v/>
      </c>
      <c r="R24" s="125" t="str">
        <f t="shared" si="2"/>
        <v/>
      </c>
    </row>
    <row r="25" spans="1:18" ht="15" customHeight="1" x14ac:dyDescent="0.2">
      <c r="A25" s="122"/>
      <c r="B25" s="123"/>
      <c r="C25" s="123"/>
      <c r="D25" s="123"/>
      <c r="E25" s="123"/>
      <c r="F25" s="123"/>
      <c r="G25" s="123"/>
      <c r="H25" s="123"/>
      <c r="I25" s="123"/>
      <c r="J25" s="123"/>
      <c r="K25" s="123"/>
      <c r="L25" s="123"/>
      <c r="M25" s="123"/>
      <c r="N25" s="123"/>
      <c r="O25" s="123"/>
      <c r="P25" s="124" t="str">
        <f t="shared" si="0"/>
        <v/>
      </c>
      <c r="Q25" s="124" t="str">
        <f t="shared" si="1"/>
        <v/>
      </c>
      <c r="R25" s="125" t="str">
        <f t="shared" si="2"/>
        <v/>
      </c>
    </row>
    <row r="26" spans="1:18" ht="15" customHeight="1" x14ac:dyDescent="0.2">
      <c r="A26" s="122"/>
      <c r="B26" s="123"/>
      <c r="C26" s="123"/>
      <c r="D26" s="123"/>
      <c r="E26" s="123"/>
      <c r="F26" s="123"/>
      <c r="G26" s="123"/>
      <c r="H26" s="123"/>
      <c r="I26" s="123"/>
      <c r="J26" s="123"/>
      <c r="K26" s="123"/>
      <c r="L26" s="123"/>
      <c r="M26" s="123"/>
      <c r="N26" s="123"/>
      <c r="O26" s="123"/>
      <c r="P26" s="124" t="str">
        <f t="shared" si="0"/>
        <v/>
      </c>
      <c r="Q26" s="124" t="str">
        <f t="shared" si="1"/>
        <v/>
      </c>
      <c r="R26" s="125" t="str">
        <f t="shared" si="2"/>
        <v/>
      </c>
    </row>
    <row r="29" spans="1:18" ht="15" customHeight="1" x14ac:dyDescent="0.2">
      <c r="A29" s="157" t="s">
        <v>325</v>
      </c>
      <c r="B29" s="157"/>
      <c r="C29" s="157"/>
      <c r="D29" s="157"/>
      <c r="E29" s="157"/>
      <c r="F29" s="157"/>
      <c r="G29" s="157"/>
      <c r="H29" s="157"/>
      <c r="I29" s="157"/>
      <c r="J29" s="157"/>
      <c r="K29" s="157"/>
      <c r="L29" s="157"/>
      <c r="M29" s="157"/>
      <c r="N29" s="157"/>
      <c r="O29" s="157"/>
      <c r="P29" s="157"/>
      <c r="Q29" s="157"/>
      <c r="R29" s="157"/>
    </row>
    <row r="30" spans="1:18" ht="91.5" customHeight="1" x14ac:dyDescent="0.2">
      <c r="A30" s="74" t="s">
        <v>326</v>
      </c>
      <c r="B30" s="75" t="s">
        <v>138</v>
      </c>
      <c r="C30" s="75" t="s">
        <v>135</v>
      </c>
      <c r="D30" s="75" t="s">
        <v>173</v>
      </c>
      <c r="E30" s="75" t="s">
        <v>140</v>
      </c>
      <c r="F30" s="75" t="s">
        <v>137</v>
      </c>
      <c r="G30" s="75" t="s">
        <v>134</v>
      </c>
      <c r="H30" s="75" t="s">
        <v>168</v>
      </c>
      <c r="I30" s="75" t="s">
        <v>170</v>
      </c>
      <c r="J30" s="75" t="s">
        <v>167</v>
      </c>
      <c r="K30" s="75" t="s">
        <v>175</v>
      </c>
      <c r="L30" s="75" t="s">
        <v>169</v>
      </c>
      <c r="M30" s="75" t="s">
        <v>171</v>
      </c>
      <c r="N30" s="75" t="s">
        <v>172</v>
      </c>
      <c r="O30" s="75" t="s">
        <v>174</v>
      </c>
      <c r="P30" s="74" t="s">
        <v>327</v>
      </c>
      <c r="Q30" s="74" t="s">
        <v>319</v>
      </c>
      <c r="R30" s="74" t="s">
        <v>320</v>
      </c>
    </row>
    <row r="31" spans="1:18" ht="15" customHeight="1" x14ac:dyDescent="0.2">
      <c r="A31" s="122" t="str">
        <f>IF(Lists!$C$2="","",Lists!$C$2)</f>
        <v>Chess</v>
      </c>
      <c r="B31" s="123">
        <v>0</v>
      </c>
      <c r="C31" s="123"/>
      <c r="D31" s="123"/>
      <c r="E31" s="123"/>
      <c r="F31" s="123"/>
      <c r="G31" s="123">
        <v>0</v>
      </c>
      <c r="H31" s="123"/>
      <c r="I31" s="123"/>
      <c r="J31" s="123"/>
      <c r="K31" s="123"/>
      <c r="L31" s="123"/>
      <c r="M31" s="123"/>
      <c r="N31" s="123"/>
      <c r="O31" s="123"/>
      <c r="P31" s="124">
        <f t="shared" ref="P31:P49" si="3">IF($A31="","",SUM($B31:$O31))</f>
        <v>0</v>
      </c>
      <c r="Q31" s="124">
        <f t="shared" ref="Q31:Q49" si="4">IF($A31="","",COUNT($B31:$O31))</f>
        <v>2</v>
      </c>
      <c r="R31" s="125" t="str">
        <f t="shared" ref="R31:R49" si="5">IF($A31="","",IF($P31&gt;=$D$3,"REMOVED — voted out",IF($Q31&lt;$F$3,"Awaiting votes ("&amp;$Q31&amp;" of "&amp;$B$3&amp;")",IF($P31+($B$3-$Q31)&lt;$D$3,"Stays","Open ("&amp;$P31&amp;" in favour)"))))</f>
        <v>Awaiting votes (2 of 14)</v>
      </c>
    </row>
    <row r="32" spans="1:18" ht="15" customHeight="1" x14ac:dyDescent="0.2">
      <c r="A32" s="122" t="str">
        <f>IF(Lists!$C$3="","",Lists!$C$3)</f>
        <v>Darts</v>
      </c>
      <c r="B32" s="123">
        <v>0</v>
      </c>
      <c r="C32" s="123"/>
      <c r="D32" s="123"/>
      <c r="E32" s="123"/>
      <c r="F32" s="123"/>
      <c r="G32" s="123">
        <v>0</v>
      </c>
      <c r="H32" s="123"/>
      <c r="I32" s="123"/>
      <c r="J32" s="123"/>
      <c r="K32" s="123"/>
      <c r="L32" s="123"/>
      <c r="M32" s="123"/>
      <c r="N32" s="123"/>
      <c r="O32" s="123"/>
      <c r="P32" s="124">
        <f t="shared" si="3"/>
        <v>0</v>
      </c>
      <c r="Q32" s="124">
        <f t="shared" si="4"/>
        <v>2</v>
      </c>
      <c r="R32" s="125" t="str">
        <f t="shared" si="5"/>
        <v>Awaiting votes (2 of 14)</v>
      </c>
    </row>
    <row r="33" spans="1:18" ht="15" customHeight="1" x14ac:dyDescent="0.2">
      <c r="A33" s="122" t="str">
        <f>IF(Lists!$C$4="","",Lists!$C$4)</f>
        <v>FIFA</v>
      </c>
      <c r="B33" s="123">
        <v>0</v>
      </c>
      <c r="C33" s="123"/>
      <c r="D33" s="123"/>
      <c r="E33" s="123"/>
      <c r="F33" s="123"/>
      <c r="G33" s="123">
        <v>0</v>
      </c>
      <c r="H33" s="123"/>
      <c r="I33" s="123"/>
      <c r="J33" s="123"/>
      <c r="K33" s="123"/>
      <c r="L33" s="123"/>
      <c r="M33" s="123"/>
      <c r="N33" s="123"/>
      <c r="O33" s="123"/>
      <c r="P33" s="124">
        <f t="shared" si="3"/>
        <v>0</v>
      </c>
      <c r="Q33" s="124">
        <f t="shared" si="4"/>
        <v>2</v>
      </c>
      <c r="R33" s="125" t="str">
        <f t="shared" si="5"/>
        <v>Awaiting votes (2 of 14)</v>
      </c>
    </row>
    <row r="34" spans="1:18" ht="15" customHeight="1" x14ac:dyDescent="0.2">
      <c r="A34" s="122" t="str">
        <f>IF(Lists!$C$5="","",Lists!$C$5)</f>
        <v>Golf</v>
      </c>
      <c r="B34" s="123">
        <v>0</v>
      </c>
      <c r="C34" s="123"/>
      <c r="D34" s="123"/>
      <c r="E34" s="123"/>
      <c r="F34" s="123"/>
      <c r="G34" s="123">
        <v>0</v>
      </c>
      <c r="H34" s="123"/>
      <c r="I34" s="123"/>
      <c r="J34" s="123"/>
      <c r="K34" s="123"/>
      <c r="L34" s="123"/>
      <c r="M34" s="123"/>
      <c r="N34" s="123"/>
      <c r="O34" s="123"/>
      <c r="P34" s="124">
        <f t="shared" si="3"/>
        <v>0</v>
      </c>
      <c r="Q34" s="124">
        <f t="shared" si="4"/>
        <v>2</v>
      </c>
      <c r="R34" s="125" t="str">
        <f t="shared" si="5"/>
        <v>Awaiting votes (2 of 14)</v>
      </c>
    </row>
    <row r="35" spans="1:18" ht="15" customHeight="1" x14ac:dyDescent="0.2">
      <c r="A35" s="122" t="str">
        <f>IF(Lists!$C$6="","",Lists!$C$6)</f>
        <v>Pool</v>
      </c>
      <c r="B35" s="123">
        <v>0</v>
      </c>
      <c r="C35" s="123"/>
      <c r="D35" s="123"/>
      <c r="E35" s="123"/>
      <c r="F35" s="123"/>
      <c r="G35" s="123">
        <v>0</v>
      </c>
      <c r="H35" s="123"/>
      <c r="I35" s="123"/>
      <c r="J35" s="123"/>
      <c r="K35" s="123"/>
      <c r="L35" s="123"/>
      <c r="M35" s="123"/>
      <c r="N35" s="123"/>
      <c r="O35" s="123"/>
      <c r="P35" s="124">
        <f t="shared" si="3"/>
        <v>0</v>
      </c>
      <c r="Q35" s="124">
        <f t="shared" si="4"/>
        <v>2</v>
      </c>
      <c r="R35" s="125" t="str">
        <f t="shared" si="5"/>
        <v>Awaiting votes (2 of 14)</v>
      </c>
    </row>
    <row r="36" spans="1:18" ht="15" customHeight="1" x14ac:dyDescent="0.2">
      <c r="A36" s="122" t="str">
        <f>IF(Lists!$C$7="","",Lists!$C$7)</f>
        <v>Kelly Pool</v>
      </c>
      <c r="B36" s="123">
        <v>0</v>
      </c>
      <c r="C36" s="123"/>
      <c r="D36" s="123"/>
      <c r="E36" s="123"/>
      <c r="F36" s="123"/>
      <c r="G36" s="123">
        <v>0</v>
      </c>
      <c r="H36" s="123"/>
      <c r="I36" s="123"/>
      <c r="J36" s="123"/>
      <c r="K36" s="123"/>
      <c r="L36" s="123"/>
      <c r="M36" s="123"/>
      <c r="N36" s="123"/>
      <c r="O36" s="123"/>
      <c r="P36" s="124">
        <f t="shared" si="3"/>
        <v>0</v>
      </c>
      <c r="Q36" s="124">
        <f t="shared" si="4"/>
        <v>2</v>
      </c>
      <c r="R36" s="125" t="str">
        <f t="shared" si="5"/>
        <v>Awaiting votes (2 of 14)</v>
      </c>
    </row>
    <row r="37" spans="1:18" ht="15" customHeight="1" x14ac:dyDescent="0.2">
      <c r="A37" s="122" t="str">
        <f>IF(Lists!$C$8="","",Lists!$C$8)</f>
        <v>Target</v>
      </c>
      <c r="B37" s="123">
        <v>0</v>
      </c>
      <c r="C37" s="123"/>
      <c r="D37" s="123"/>
      <c r="E37" s="123"/>
      <c r="F37" s="123"/>
      <c r="G37" s="123">
        <v>0</v>
      </c>
      <c r="H37" s="123"/>
      <c r="I37" s="123"/>
      <c r="J37" s="123"/>
      <c r="K37" s="123"/>
      <c r="L37" s="123"/>
      <c r="M37" s="123"/>
      <c r="N37" s="123"/>
      <c r="O37" s="123"/>
      <c r="P37" s="124">
        <f t="shared" si="3"/>
        <v>0</v>
      </c>
      <c r="Q37" s="124">
        <f t="shared" si="4"/>
        <v>2</v>
      </c>
      <c r="R37" s="125" t="str">
        <f t="shared" si="5"/>
        <v>Awaiting votes (2 of 14)</v>
      </c>
    </row>
    <row r="38" spans="1:18" ht="15" customHeight="1" x14ac:dyDescent="0.2">
      <c r="A38" s="122" t="str">
        <f>IF(Lists!$C$9="","",Lists!$C$9)</f>
        <v>Snooker</v>
      </c>
      <c r="B38" s="123">
        <v>0</v>
      </c>
      <c r="C38" s="123"/>
      <c r="D38" s="123"/>
      <c r="E38" s="123"/>
      <c r="F38" s="123"/>
      <c r="G38" s="123">
        <v>0</v>
      </c>
      <c r="H38" s="123"/>
      <c r="I38" s="123"/>
      <c r="J38" s="123"/>
      <c r="K38" s="123"/>
      <c r="L38" s="123"/>
      <c r="M38" s="123"/>
      <c r="N38" s="123"/>
      <c r="O38" s="123"/>
      <c r="P38" s="124">
        <f t="shared" si="3"/>
        <v>0</v>
      </c>
      <c r="Q38" s="124">
        <f t="shared" si="4"/>
        <v>2</v>
      </c>
      <c r="R38" s="125" t="str">
        <f t="shared" si="5"/>
        <v>Awaiting votes (2 of 14)</v>
      </c>
    </row>
    <row r="39" spans="1:18" ht="15" customHeight="1" x14ac:dyDescent="0.2">
      <c r="A39" s="122" t="str">
        <f>IF(Lists!$C$10="","",Lists!$C$10)</f>
        <v>Putt Putt</v>
      </c>
      <c r="B39" s="123">
        <v>0</v>
      </c>
      <c r="C39" s="123"/>
      <c r="D39" s="123"/>
      <c r="E39" s="123"/>
      <c r="F39" s="123"/>
      <c r="G39" s="123">
        <v>0</v>
      </c>
      <c r="H39" s="123"/>
      <c r="I39" s="123"/>
      <c r="J39" s="123"/>
      <c r="K39" s="123"/>
      <c r="L39" s="123"/>
      <c r="M39" s="123"/>
      <c r="N39" s="123"/>
      <c r="O39" s="123"/>
      <c r="P39" s="124">
        <f t="shared" si="3"/>
        <v>0</v>
      </c>
      <c r="Q39" s="124">
        <f t="shared" si="4"/>
        <v>2</v>
      </c>
      <c r="R39" s="125" t="str">
        <f t="shared" si="5"/>
        <v>Awaiting votes (2 of 14)</v>
      </c>
    </row>
    <row r="40" spans="1:18" ht="15" customHeight="1" x14ac:dyDescent="0.2">
      <c r="A40" s="122" t="str">
        <f>IF(Lists!$C$11="","",Lists!$C$11)</f>
        <v>Back Yard Putt Putt</v>
      </c>
      <c r="B40" s="123">
        <v>1</v>
      </c>
      <c r="C40" s="123"/>
      <c r="D40" s="123"/>
      <c r="E40" s="123"/>
      <c r="F40" s="123"/>
      <c r="G40" s="123">
        <v>1</v>
      </c>
      <c r="H40" s="123"/>
      <c r="I40" s="123"/>
      <c r="J40" s="123"/>
      <c r="K40" s="123"/>
      <c r="L40" s="123"/>
      <c r="M40" s="123"/>
      <c r="N40" s="123"/>
      <c r="O40" s="123"/>
      <c r="P40" s="124">
        <f t="shared" si="3"/>
        <v>2</v>
      </c>
      <c r="Q40" s="124">
        <f t="shared" si="4"/>
        <v>2</v>
      </c>
      <c r="R40" s="125" t="str">
        <f t="shared" si="5"/>
        <v>Awaiting votes (2 of 14)</v>
      </c>
    </row>
    <row r="41" spans="1:18" ht="15" customHeight="1" x14ac:dyDescent="0.2">
      <c r="A41" s="122" t="str">
        <f>IF(Lists!$C$12="","",Lists!$C$12)</f>
        <v>Sting Pong</v>
      </c>
      <c r="B41" s="123">
        <v>0</v>
      </c>
      <c r="C41" s="123"/>
      <c r="D41" s="123"/>
      <c r="E41" s="123"/>
      <c r="F41" s="123"/>
      <c r="G41" s="123">
        <v>0</v>
      </c>
      <c r="H41" s="123"/>
      <c r="I41" s="123"/>
      <c r="J41" s="123"/>
      <c r="K41" s="123"/>
      <c r="L41" s="123"/>
      <c r="M41" s="123"/>
      <c r="N41" s="123"/>
      <c r="O41" s="123"/>
      <c r="P41" s="124">
        <f t="shared" si="3"/>
        <v>0</v>
      </c>
      <c r="Q41" s="124">
        <f t="shared" si="4"/>
        <v>2</v>
      </c>
      <c r="R41" s="125" t="str">
        <f t="shared" si="5"/>
        <v>Awaiting votes (2 of 14)</v>
      </c>
    </row>
    <row r="42" spans="1:18" ht="15" customHeight="1" x14ac:dyDescent="0.2">
      <c r="A42" s="122" t="str">
        <f>IF(Lists!$C$13="","",Lists!$C$13)</f>
        <v>Table Tennis</v>
      </c>
      <c r="B42" s="123">
        <v>0</v>
      </c>
      <c r="C42" s="123"/>
      <c r="D42" s="123"/>
      <c r="E42" s="123"/>
      <c r="F42" s="123"/>
      <c r="G42" s="123">
        <v>0</v>
      </c>
      <c r="H42" s="123"/>
      <c r="I42" s="123"/>
      <c r="J42" s="123"/>
      <c r="K42" s="123"/>
      <c r="L42" s="123"/>
      <c r="M42" s="123"/>
      <c r="N42" s="123"/>
      <c r="O42" s="123"/>
      <c r="P42" s="124">
        <f t="shared" si="3"/>
        <v>0</v>
      </c>
      <c r="Q42" s="124">
        <f t="shared" si="4"/>
        <v>2</v>
      </c>
      <c r="R42" s="125" t="str">
        <f t="shared" si="5"/>
        <v>Awaiting votes (2 of 14)</v>
      </c>
    </row>
    <row r="43" spans="1:18" ht="15" customHeight="1" x14ac:dyDescent="0.2">
      <c r="A43" s="122" t="str">
        <f>IF(Lists!$C$14="","",Lists!$C$14)</f>
        <v>Mario Party</v>
      </c>
      <c r="B43" s="123">
        <v>0</v>
      </c>
      <c r="C43" s="123"/>
      <c r="D43" s="123"/>
      <c r="E43" s="123"/>
      <c r="F43" s="123"/>
      <c r="G43" s="123">
        <v>0</v>
      </c>
      <c r="H43" s="123"/>
      <c r="I43" s="123"/>
      <c r="J43" s="123"/>
      <c r="K43" s="123"/>
      <c r="L43" s="123"/>
      <c r="M43" s="123"/>
      <c r="N43" s="123"/>
      <c r="O43" s="123"/>
      <c r="P43" s="124">
        <f t="shared" si="3"/>
        <v>0</v>
      </c>
      <c r="Q43" s="124">
        <f t="shared" si="4"/>
        <v>2</v>
      </c>
      <c r="R43" s="125" t="str">
        <f t="shared" si="5"/>
        <v>Awaiting votes (2 of 14)</v>
      </c>
    </row>
    <row r="44" spans="1:18" ht="15" customHeight="1" x14ac:dyDescent="0.2">
      <c r="A44" s="122" t="str">
        <f>IF(Lists!$C$15="","",Lists!$C$15)</f>
        <v>Mario Kart</v>
      </c>
      <c r="B44" s="123">
        <v>0</v>
      </c>
      <c r="C44" s="123"/>
      <c r="D44" s="123"/>
      <c r="E44" s="123"/>
      <c r="F44" s="123"/>
      <c r="G44" s="123">
        <v>0</v>
      </c>
      <c r="H44" s="123"/>
      <c r="I44" s="123"/>
      <c r="J44" s="123"/>
      <c r="K44" s="123"/>
      <c r="L44" s="123"/>
      <c r="M44" s="123"/>
      <c r="N44" s="123"/>
      <c r="O44" s="123"/>
      <c r="P44" s="124">
        <f t="shared" si="3"/>
        <v>0</v>
      </c>
      <c r="Q44" s="124">
        <f t="shared" si="4"/>
        <v>2</v>
      </c>
      <c r="R44" s="125" t="str">
        <f t="shared" si="5"/>
        <v>Awaiting votes (2 of 14)</v>
      </c>
    </row>
    <row r="45" spans="1:18" ht="15" customHeight="1" x14ac:dyDescent="0.2">
      <c r="A45" s="122" t="str">
        <f>IF(Lists!$C$16="","",Lists!$C$16)</f>
        <v>Go Karting</v>
      </c>
      <c r="B45" s="123">
        <v>0</v>
      </c>
      <c r="C45" s="123"/>
      <c r="D45" s="123"/>
      <c r="E45" s="123"/>
      <c r="F45" s="123"/>
      <c r="G45" s="123">
        <v>0</v>
      </c>
      <c r="H45" s="123"/>
      <c r="I45" s="123"/>
      <c r="J45" s="123"/>
      <c r="K45" s="123"/>
      <c r="L45" s="123"/>
      <c r="M45" s="123"/>
      <c r="N45" s="123"/>
      <c r="O45" s="123"/>
      <c r="P45" s="124">
        <f t="shared" si="3"/>
        <v>0</v>
      </c>
      <c r="Q45" s="124">
        <f t="shared" si="4"/>
        <v>2</v>
      </c>
      <c r="R45" s="125" t="str">
        <f t="shared" si="5"/>
        <v>Awaiting votes (2 of 14)</v>
      </c>
    </row>
    <row r="46" spans="1:18" ht="15" customHeight="1" x14ac:dyDescent="0.2">
      <c r="A46" s="122" t="str">
        <f>IF(Lists!$C$17="","",Lists!$C$17)</f>
        <v>Call of Duty</v>
      </c>
      <c r="B46" s="123">
        <v>0</v>
      </c>
      <c r="C46" s="123"/>
      <c r="D46" s="123"/>
      <c r="E46" s="123"/>
      <c r="F46" s="123"/>
      <c r="G46" s="123">
        <v>1</v>
      </c>
      <c r="H46" s="123"/>
      <c r="I46" s="123"/>
      <c r="J46" s="123"/>
      <c r="K46" s="123"/>
      <c r="L46" s="123"/>
      <c r="M46" s="123"/>
      <c r="N46" s="123"/>
      <c r="O46" s="123"/>
      <c r="P46" s="124">
        <f t="shared" si="3"/>
        <v>1</v>
      </c>
      <c r="Q46" s="124">
        <f t="shared" si="4"/>
        <v>2</v>
      </c>
      <c r="R46" s="125" t="str">
        <f t="shared" si="5"/>
        <v>Awaiting votes (2 of 14)</v>
      </c>
    </row>
    <row r="47" spans="1:18" ht="15" customHeight="1" x14ac:dyDescent="0.2">
      <c r="A47" s="122" t="str">
        <f>IF(Lists!$C$18="","",Lists!$C$18)</f>
        <v>Poker</v>
      </c>
      <c r="B47" s="123">
        <v>0</v>
      </c>
      <c r="C47" s="123"/>
      <c r="D47" s="123"/>
      <c r="E47" s="123"/>
      <c r="F47" s="123"/>
      <c r="G47" s="123">
        <v>0</v>
      </c>
      <c r="H47" s="123"/>
      <c r="I47" s="123"/>
      <c r="J47" s="123"/>
      <c r="K47" s="123"/>
      <c r="L47" s="123"/>
      <c r="M47" s="123"/>
      <c r="N47" s="123"/>
      <c r="O47" s="123"/>
      <c r="P47" s="124">
        <f t="shared" si="3"/>
        <v>0</v>
      </c>
      <c r="Q47" s="124">
        <f t="shared" si="4"/>
        <v>2</v>
      </c>
      <c r="R47" s="125" t="str">
        <f t="shared" si="5"/>
        <v>Awaiting votes (2 of 14)</v>
      </c>
    </row>
    <row r="48" spans="1:18" ht="15" customHeight="1" x14ac:dyDescent="0.2">
      <c r="A48" s="122" t="str">
        <f>IF(Lists!$C$19="","",Lists!$C$19)</f>
        <v>ShuffleBoard</v>
      </c>
      <c r="B48" s="123">
        <v>0</v>
      </c>
      <c r="C48" s="123"/>
      <c r="D48" s="123"/>
      <c r="E48" s="123"/>
      <c r="F48" s="123"/>
      <c r="G48" s="123">
        <v>0</v>
      </c>
      <c r="H48" s="123"/>
      <c r="I48" s="123"/>
      <c r="J48" s="123"/>
      <c r="K48" s="123"/>
      <c r="L48" s="123"/>
      <c r="M48" s="123"/>
      <c r="N48" s="123"/>
      <c r="O48" s="123"/>
      <c r="P48" s="124">
        <f t="shared" si="3"/>
        <v>0</v>
      </c>
      <c r="Q48" s="124">
        <f t="shared" si="4"/>
        <v>2</v>
      </c>
      <c r="R48" s="125" t="str">
        <f t="shared" si="5"/>
        <v>Awaiting votes (2 of 14)</v>
      </c>
    </row>
    <row r="49" spans="1:18" ht="15" customHeight="1" x14ac:dyDescent="0.2">
      <c r="A49" s="122" t="str">
        <f>IF(Lists!$C$20="","",Lists!$C$20)</f>
        <v>Mario Golf</v>
      </c>
      <c r="B49" s="123">
        <v>0</v>
      </c>
      <c r="C49" s="123"/>
      <c r="D49" s="123"/>
      <c r="E49" s="123"/>
      <c r="F49" s="123"/>
      <c r="G49" s="123">
        <v>0</v>
      </c>
      <c r="H49" s="123"/>
      <c r="I49" s="123"/>
      <c r="J49" s="123"/>
      <c r="K49" s="123"/>
      <c r="L49" s="123"/>
      <c r="M49" s="123"/>
      <c r="N49" s="123"/>
      <c r="O49" s="123"/>
      <c r="P49" s="124">
        <f t="shared" si="3"/>
        <v>0</v>
      </c>
      <c r="Q49" s="124">
        <f t="shared" si="4"/>
        <v>2</v>
      </c>
      <c r="R49" s="125" t="str">
        <f t="shared" si="5"/>
        <v>Awaiting votes (2 of 14)</v>
      </c>
    </row>
    <row r="50" spans="1:18" x14ac:dyDescent="0.2">
      <c r="A50" s="122" t="str">
        <f>IF(Lists!$C$21="","",Lists!$C$21)</f>
        <v>HORSE - Basketball</v>
      </c>
      <c r="B50" s="123"/>
      <c r="C50" s="123"/>
      <c r="D50" s="123"/>
      <c r="E50" s="123"/>
      <c r="F50" s="123"/>
      <c r="G50" s="123"/>
      <c r="H50" s="123"/>
      <c r="I50" s="123"/>
      <c r="J50" s="123"/>
      <c r="K50" s="123"/>
      <c r="L50" s="123"/>
      <c r="M50" s="123"/>
      <c r="N50" s="123"/>
      <c r="O50" s="123"/>
      <c r="P50" s="124">
        <f>IF($A50="","",SUM($B50:$O50))</f>
        <v>0</v>
      </c>
      <c r="Q50" s="124">
        <f>IF($A50="","",COUNT($B50:$O50))</f>
        <v>0</v>
      </c>
      <c r="R50" s="125" t="str">
        <f>IF($A50="","",IF($P50&gt;=$D$3,"REMOVED — voted out",IF($Q50&lt;$F$3,"Awaiting votes ("&amp;$Q50&amp;" of "&amp;$B$3&amp;")",IF($P50+($B$3-$Q50)&lt;$D$3,"Stays","Open ("&amp;$P50&amp;" in favour)"))))</f>
        <v>Awaiting votes (0 of 14)</v>
      </c>
    </row>
  </sheetData>
  <mergeCells count="4">
    <mergeCell ref="A2:R2"/>
    <mergeCell ref="H3:R3"/>
    <mergeCell ref="A5:R5"/>
    <mergeCell ref="A29:R29"/>
  </mergeCells>
  <conditionalFormatting sqref="R7:R26">
    <cfRule type="expression" dxfId="5" priority="2">
      <formula>OR(ISNUMBER(SEARCH("PASSED",$R7)),ISNUMBER(SEARCH("voted out",$R7)))</formula>
    </cfRule>
    <cfRule type="expression" dxfId="4" priority="3">
      <formula>OR(ISNUMBER(SEARCH("Rejected",$R7)),ISNUMBER(SEARCH("Stays",$R7)))</formula>
    </cfRule>
    <cfRule type="expression" dxfId="3" priority="4">
      <formula>OR(ISNUMBER(SEARCH("Awaiting",$R7)),ISNUMBER(SEARCH("Open",$R7)))</formula>
    </cfRule>
  </conditionalFormatting>
  <conditionalFormatting sqref="R31:R49">
    <cfRule type="expression" dxfId="2" priority="5">
      <formula>OR(ISNUMBER(SEARCH("PASSED",$R31)),ISNUMBER(SEARCH("voted out",$R31)))</formula>
    </cfRule>
    <cfRule type="expression" dxfId="1" priority="6">
      <formula>OR(ISNUMBER(SEARCH("Rejected",$R31)),ISNUMBER(SEARCH("Stays",$R31)))</formula>
    </cfRule>
    <cfRule type="expression" dxfId="0" priority="7">
      <formula>OR(ISNUMBER(SEARCH("Awaiting",$R31)),ISNUMBER(SEARCH("Open",$R31)))</formula>
    </cfRule>
  </conditionalFormatting>
  <dataValidations count="1">
    <dataValidation type="list" allowBlank="1" showErrorMessage="1" errorTitle="Vote" error="Enter 1 (in favour) or 0 (against)" sqref="B7:O26 B31:O49" xr:uid="{00000000-0002-0000-0900-000000000000}">
      <formula1>"0,1"</formula1>
      <formula2>0</formula2>
    </dataValidation>
  </dataValidations>
  <pageMargins left="0.75" right="0.75" top="1" bottom="1" header="0.511811023622047" footer="0.511811023622047"/>
  <pageSetup paperSize="9" orientation="portrait" horizontalDpi="300" verticalDpi="300"/>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137"/>
  <sheetViews>
    <sheetView zoomScale="147" zoomScaleNormal="147" workbookViewId="0">
      <pane ySplit="17" topLeftCell="A18" activePane="bottomLeft" state="frozen"/>
      <selection pane="bottomLeft" activeCell="I30" sqref="I30"/>
    </sheetView>
  </sheetViews>
  <sheetFormatPr baseColWidth="10" defaultColWidth="8.83203125" defaultRowHeight="15" x14ac:dyDescent="0.2"/>
  <cols>
    <col min="1" max="1" width="29.1640625" customWidth="1"/>
    <col min="2" max="2" width="12" customWidth="1"/>
    <col min="3" max="3" width="16" customWidth="1"/>
    <col min="4" max="12" width="11" customWidth="1"/>
    <col min="13" max="13" width="3" customWidth="1"/>
    <col min="14" max="14" width="16" customWidth="1"/>
    <col min="15" max="15" width="15" customWidth="1"/>
  </cols>
  <sheetData>
    <row r="1" spans="1:20" ht="20" x14ac:dyDescent="0.25">
      <c r="A1" s="163" t="s">
        <v>424</v>
      </c>
      <c r="B1" s="164"/>
      <c r="C1" s="164"/>
    </row>
    <row r="2" spans="1:20" ht="41" customHeight="1" x14ac:dyDescent="0.2">
      <c r="A2" s="167" t="s">
        <v>425</v>
      </c>
      <c r="B2" s="167"/>
      <c r="C2" s="167"/>
      <c r="D2" s="167"/>
      <c r="E2" s="167"/>
      <c r="F2" s="167"/>
      <c r="G2" s="167"/>
      <c r="H2" s="167"/>
      <c r="I2" s="167"/>
      <c r="J2" s="167"/>
      <c r="K2" s="167"/>
      <c r="L2" s="140"/>
      <c r="M2" s="140"/>
      <c r="N2" s="140"/>
      <c r="O2" s="140"/>
      <c r="P2" s="140"/>
      <c r="Q2" s="140"/>
      <c r="R2" s="140"/>
      <c r="S2" s="140"/>
      <c r="T2" s="140"/>
    </row>
    <row r="3" spans="1:20" x14ac:dyDescent="0.2">
      <c r="A3" s="133" t="s">
        <v>426</v>
      </c>
      <c r="D3" s="165" t="s">
        <v>427</v>
      </c>
      <c r="E3" s="166"/>
      <c r="F3" s="166"/>
      <c r="G3" s="166"/>
      <c r="H3" s="166"/>
      <c r="I3" s="166"/>
      <c r="J3" s="166"/>
      <c r="K3" s="166"/>
    </row>
    <row r="4" spans="1:20" x14ac:dyDescent="0.2">
      <c r="A4" s="133" t="s">
        <v>428</v>
      </c>
      <c r="B4">
        <v>15</v>
      </c>
      <c r="D4" s="134" t="s">
        <v>429</v>
      </c>
      <c r="E4" s="134">
        <v>4</v>
      </c>
      <c r="F4" s="134">
        <v>5</v>
      </c>
      <c r="G4" s="134">
        <v>6</v>
      </c>
      <c r="H4" s="134">
        <v>7</v>
      </c>
      <c r="I4" s="134">
        <v>8</v>
      </c>
      <c r="J4" s="134">
        <v>9</v>
      </c>
      <c r="K4" s="134">
        <v>10</v>
      </c>
    </row>
    <row r="5" spans="1:20" x14ac:dyDescent="0.2">
      <c r="A5" s="133" t="s">
        <v>430</v>
      </c>
      <c r="B5">
        <v>1</v>
      </c>
      <c r="D5" s="134">
        <v>1</v>
      </c>
      <c r="E5">
        <v>38</v>
      </c>
      <c r="F5">
        <v>35</v>
      </c>
      <c r="G5">
        <v>32</v>
      </c>
      <c r="H5">
        <v>30</v>
      </c>
      <c r="I5">
        <v>29</v>
      </c>
      <c r="J5">
        <v>28</v>
      </c>
      <c r="K5">
        <v>26</v>
      </c>
    </row>
    <row r="6" spans="1:20" x14ac:dyDescent="0.2">
      <c r="A6" s="133" t="s">
        <v>431</v>
      </c>
      <c r="B6">
        <v>4</v>
      </c>
      <c r="D6" s="134">
        <v>2</v>
      </c>
      <c r="E6">
        <v>27</v>
      </c>
      <c r="F6">
        <v>25</v>
      </c>
      <c r="G6">
        <v>23</v>
      </c>
      <c r="H6">
        <v>22</v>
      </c>
      <c r="I6">
        <v>21</v>
      </c>
      <c r="J6">
        <v>20</v>
      </c>
      <c r="K6">
        <v>19</v>
      </c>
    </row>
    <row r="7" spans="1:20" x14ac:dyDescent="0.2">
      <c r="A7" s="133" t="s">
        <v>432</v>
      </c>
      <c r="B7">
        <v>10</v>
      </c>
      <c r="D7" s="134">
        <v>3</v>
      </c>
      <c r="E7">
        <v>20</v>
      </c>
      <c r="F7">
        <v>18</v>
      </c>
      <c r="G7">
        <v>17</v>
      </c>
      <c r="H7">
        <v>16</v>
      </c>
      <c r="I7">
        <v>15</v>
      </c>
      <c r="J7">
        <v>14</v>
      </c>
      <c r="K7">
        <v>14</v>
      </c>
    </row>
    <row r="8" spans="1:20" x14ac:dyDescent="0.2">
      <c r="D8" s="134">
        <v>4</v>
      </c>
      <c r="E8">
        <v>15</v>
      </c>
      <c r="F8">
        <v>13</v>
      </c>
      <c r="G8">
        <v>12</v>
      </c>
      <c r="H8">
        <v>12</v>
      </c>
      <c r="I8">
        <v>11</v>
      </c>
      <c r="J8">
        <v>10</v>
      </c>
      <c r="K8">
        <v>10</v>
      </c>
    </row>
    <row r="9" spans="1:20" x14ac:dyDescent="0.2">
      <c r="D9" s="134">
        <v>5</v>
      </c>
      <c r="F9">
        <v>9</v>
      </c>
      <c r="G9">
        <v>9</v>
      </c>
      <c r="H9">
        <v>9</v>
      </c>
      <c r="I9">
        <v>8</v>
      </c>
      <c r="J9">
        <v>8</v>
      </c>
      <c r="K9">
        <v>8</v>
      </c>
    </row>
    <row r="10" spans="1:20" x14ac:dyDescent="0.2">
      <c r="D10" s="134">
        <v>6</v>
      </c>
      <c r="G10">
        <v>7</v>
      </c>
      <c r="H10">
        <v>6</v>
      </c>
      <c r="I10">
        <v>7</v>
      </c>
      <c r="J10">
        <v>7</v>
      </c>
      <c r="K10">
        <v>7</v>
      </c>
    </row>
    <row r="11" spans="1:20" x14ac:dyDescent="0.2">
      <c r="D11" s="134">
        <v>7</v>
      </c>
      <c r="H11">
        <v>5</v>
      </c>
      <c r="I11">
        <v>5</v>
      </c>
      <c r="J11">
        <v>5</v>
      </c>
      <c r="K11">
        <v>6</v>
      </c>
    </row>
    <row r="12" spans="1:20" x14ac:dyDescent="0.2">
      <c r="D12" s="134">
        <v>8</v>
      </c>
      <c r="I12">
        <v>4</v>
      </c>
      <c r="J12">
        <v>4</v>
      </c>
      <c r="K12">
        <v>4</v>
      </c>
    </row>
    <row r="13" spans="1:20" x14ac:dyDescent="0.2">
      <c r="D13" s="134">
        <v>9</v>
      </c>
      <c r="J13">
        <v>4</v>
      </c>
      <c r="K13">
        <v>3</v>
      </c>
    </row>
    <row r="14" spans="1:20" x14ac:dyDescent="0.2">
      <c r="D14" s="134">
        <v>10</v>
      </c>
      <c r="K14">
        <v>3</v>
      </c>
    </row>
    <row r="16" spans="1:20" x14ac:dyDescent="0.2">
      <c r="A16" s="133" t="s">
        <v>433</v>
      </c>
      <c r="N16" s="133" t="s">
        <v>434</v>
      </c>
    </row>
    <row r="17" spans="1:15" x14ac:dyDescent="0.2">
      <c r="A17" s="132" t="s">
        <v>435</v>
      </c>
      <c r="B17" s="132" t="s">
        <v>245</v>
      </c>
      <c r="C17" s="132" t="s">
        <v>156</v>
      </c>
      <c r="D17" s="141" t="s">
        <v>436</v>
      </c>
      <c r="E17" s="132" t="s">
        <v>437</v>
      </c>
      <c r="F17" s="132" t="s">
        <v>438</v>
      </c>
      <c r="G17" s="132" t="s">
        <v>439</v>
      </c>
      <c r="H17" s="132" t="s">
        <v>440</v>
      </c>
      <c r="I17" s="132" t="s">
        <v>441</v>
      </c>
      <c r="J17" s="132" t="s">
        <v>442</v>
      </c>
      <c r="K17" s="132" t="s">
        <v>443</v>
      </c>
      <c r="L17" s="132" t="s">
        <v>293</v>
      </c>
      <c r="N17" s="132" t="s">
        <v>229</v>
      </c>
      <c r="O17" s="132" t="s">
        <v>444</v>
      </c>
    </row>
    <row r="18" spans="1:15" x14ac:dyDescent="0.2">
      <c r="B18" s="131"/>
      <c r="F18" t="str">
        <f t="shared" ref="F18:F49" si="0">IF($A18="","",COUNTIF($A$18:$A$137,$A18))</f>
        <v/>
      </c>
      <c r="G18" t="str">
        <f t="shared" ref="G18:G49" si="1">IF($A18="","",$B$4*(1+IF(UPPER($E18)="Y",1,0)))</f>
        <v/>
      </c>
      <c r="H18" t="str">
        <f t="shared" ref="H18:H49" si="2">IF($A18="","",SUMIF($A$18:$A$137,$A18,$G$18:$G$137))</f>
        <v/>
      </c>
      <c r="I18" t="str">
        <f t="shared" ref="I18:I49" si="3">IF($A18="","",IF($F18&lt;$B$6,0,IFERROR(INDEX($E$5:$K$14,$D18,$F18-3),0)))</f>
        <v/>
      </c>
      <c r="J18" s="120" t="str">
        <f t="shared" ref="J18:J49" si="4">IF($A18="","",$H18*$I18/100)</f>
        <v/>
      </c>
      <c r="K18" s="120" t="str">
        <f t="shared" ref="K18:K49" si="5">IF($A18="","",IF($F18&lt;$B$6,0,$J18-$G18))</f>
        <v/>
      </c>
      <c r="L18" t="str">
        <f t="shared" ref="L18:L49" si="6">IF($A18="","",IF($F18&lt;$B$6,"NEED 4+ PLAYERS",IF($F18&gt;$B$7,"MAX 10 PLAYERS",IF($D18="","ADD FINISH",IF(COUNTIFS($A$18:$A$137,$A18,$D$18:$D$137,$D18)&gt;1,"DUPLICATE FINISH",IF(OR($D18&lt;1,$D18&gt;$F18),"BAD FINISH",IF(ABS(SUMIF($A$18:$A$137,$A18,$K$18:$K$137))&gt;0.6,"POT LEAK","OK")))))))</f>
        <v/>
      </c>
      <c r="N18" t="str">
        <f>Lists!$A2</f>
        <v>Aaron</v>
      </c>
      <c r="O18" s="120">
        <f t="shared" ref="O18:O31" si="7">ROUND(SUMIF($C$18:$C$137,$N18,$K$18:$K$137),1)</f>
        <v>0</v>
      </c>
    </row>
    <row r="19" spans="1:15" x14ac:dyDescent="0.2">
      <c r="B19" s="131"/>
      <c r="F19" t="str">
        <f t="shared" si="0"/>
        <v/>
      </c>
      <c r="G19" t="str">
        <f t="shared" si="1"/>
        <v/>
      </c>
      <c r="H19" t="str">
        <f t="shared" si="2"/>
        <v/>
      </c>
      <c r="I19" t="str">
        <f t="shared" si="3"/>
        <v/>
      </c>
      <c r="J19" s="120" t="str">
        <f t="shared" si="4"/>
        <v/>
      </c>
      <c r="K19" s="120" t="str">
        <f t="shared" si="5"/>
        <v/>
      </c>
      <c r="L19" t="str">
        <f t="shared" si="6"/>
        <v/>
      </c>
      <c r="N19" t="str">
        <f>Lists!$A3</f>
        <v>Beau</v>
      </c>
      <c r="O19" s="120">
        <f t="shared" si="7"/>
        <v>0</v>
      </c>
    </row>
    <row r="20" spans="1:15" x14ac:dyDescent="0.2">
      <c r="B20" s="131"/>
      <c r="F20" t="str">
        <f t="shared" si="0"/>
        <v/>
      </c>
      <c r="G20" t="str">
        <f t="shared" si="1"/>
        <v/>
      </c>
      <c r="H20" t="str">
        <f t="shared" si="2"/>
        <v/>
      </c>
      <c r="I20" t="str">
        <f t="shared" si="3"/>
        <v/>
      </c>
      <c r="J20" s="120" t="str">
        <f t="shared" si="4"/>
        <v/>
      </c>
      <c r="K20" s="120" t="str">
        <f t="shared" si="5"/>
        <v/>
      </c>
      <c r="L20" t="str">
        <f t="shared" si="6"/>
        <v/>
      </c>
      <c r="N20" t="str">
        <f>Lists!$A4</f>
        <v>Chase</v>
      </c>
      <c r="O20" s="120">
        <f t="shared" si="7"/>
        <v>0</v>
      </c>
    </row>
    <row r="21" spans="1:15" x14ac:dyDescent="0.2">
      <c r="B21" s="131"/>
      <c r="F21" t="str">
        <f t="shared" si="0"/>
        <v/>
      </c>
      <c r="G21" t="str">
        <f t="shared" si="1"/>
        <v/>
      </c>
      <c r="H21" t="str">
        <f t="shared" si="2"/>
        <v/>
      </c>
      <c r="I21" t="str">
        <f t="shared" si="3"/>
        <v/>
      </c>
      <c r="J21" s="120" t="str">
        <f t="shared" si="4"/>
        <v/>
      </c>
      <c r="K21" s="120" t="str">
        <f t="shared" si="5"/>
        <v/>
      </c>
      <c r="L21" t="str">
        <f t="shared" si="6"/>
        <v/>
      </c>
      <c r="N21" t="str">
        <f>Lists!$A5</f>
        <v>David</v>
      </c>
      <c r="O21" s="120">
        <f t="shared" si="7"/>
        <v>0</v>
      </c>
    </row>
    <row r="22" spans="1:15" x14ac:dyDescent="0.2">
      <c r="B22" s="131"/>
      <c r="F22" t="str">
        <f t="shared" si="0"/>
        <v/>
      </c>
      <c r="G22" t="str">
        <f t="shared" si="1"/>
        <v/>
      </c>
      <c r="H22" t="str">
        <f t="shared" si="2"/>
        <v/>
      </c>
      <c r="I22" t="str">
        <f t="shared" si="3"/>
        <v/>
      </c>
      <c r="J22" s="120" t="str">
        <f t="shared" si="4"/>
        <v/>
      </c>
      <c r="K22" s="120" t="str">
        <f t="shared" si="5"/>
        <v/>
      </c>
      <c r="L22" t="str">
        <f t="shared" si="6"/>
        <v/>
      </c>
      <c r="N22" t="str">
        <f>Lists!$A6</f>
        <v>Josh</v>
      </c>
      <c r="O22" s="120">
        <f t="shared" si="7"/>
        <v>0</v>
      </c>
    </row>
    <row r="23" spans="1:15" x14ac:dyDescent="0.2">
      <c r="B23" s="131"/>
      <c r="F23" t="str">
        <f t="shared" si="0"/>
        <v/>
      </c>
      <c r="G23" t="str">
        <f t="shared" si="1"/>
        <v/>
      </c>
      <c r="H23" t="str">
        <f t="shared" si="2"/>
        <v/>
      </c>
      <c r="I23" t="str">
        <f t="shared" si="3"/>
        <v/>
      </c>
      <c r="J23" s="120" t="str">
        <f t="shared" si="4"/>
        <v/>
      </c>
      <c r="K23" s="120" t="str">
        <f t="shared" si="5"/>
        <v/>
      </c>
      <c r="L23" t="str">
        <f t="shared" si="6"/>
        <v/>
      </c>
      <c r="N23" t="str">
        <f>Lists!$A7</f>
        <v>Shawn</v>
      </c>
      <c r="O23" s="120">
        <f t="shared" si="7"/>
        <v>0</v>
      </c>
    </row>
    <row r="24" spans="1:15" x14ac:dyDescent="0.2">
      <c r="B24" s="131"/>
      <c r="F24" t="str">
        <f t="shared" si="0"/>
        <v/>
      </c>
      <c r="G24" t="str">
        <f t="shared" si="1"/>
        <v/>
      </c>
      <c r="H24" t="str">
        <f t="shared" si="2"/>
        <v/>
      </c>
      <c r="I24" t="str">
        <f t="shared" si="3"/>
        <v/>
      </c>
      <c r="J24" s="120" t="str">
        <f t="shared" si="4"/>
        <v/>
      </c>
      <c r="K24" s="120" t="str">
        <f t="shared" si="5"/>
        <v/>
      </c>
      <c r="L24" t="str">
        <f t="shared" si="6"/>
        <v/>
      </c>
      <c r="N24" t="str">
        <f>Lists!$A8</f>
        <v>Simon</v>
      </c>
      <c r="O24" s="120">
        <f t="shared" si="7"/>
        <v>0</v>
      </c>
    </row>
    <row r="25" spans="1:15" x14ac:dyDescent="0.2">
      <c r="B25" s="131"/>
      <c r="F25" t="str">
        <f t="shared" si="0"/>
        <v/>
      </c>
      <c r="G25" t="str">
        <f t="shared" si="1"/>
        <v/>
      </c>
      <c r="H25" t="str">
        <f t="shared" si="2"/>
        <v/>
      </c>
      <c r="I25" t="str">
        <f t="shared" si="3"/>
        <v/>
      </c>
      <c r="J25" s="120" t="str">
        <f t="shared" si="4"/>
        <v/>
      </c>
      <c r="K25" s="120" t="str">
        <f t="shared" si="5"/>
        <v/>
      </c>
      <c r="L25" t="str">
        <f t="shared" si="6"/>
        <v/>
      </c>
      <c r="N25" t="str">
        <f>Lists!$A9</f>
        <v>Daniel (Ferret)</v>
      </c>
      <c r="O25" s="120">
        <f t="shared" si="7"/>
        <v>0</v>
      </c>
    </row>
    <row r="26" spans="1:15" x14ac:dyDescent="0.2">
      <c r="B26" s="131"/>
      <c r="F26" t="str">
        <f t="shared" si="0"/>
        <v/>
      </c>
      <c r="G26" t="str">
        <f t="shared" si="1"/>
        <v/>
      </c>
      <c r="H26" t="str">
        <f t="shared" si="2"/>
        <v/>
      </c>
      <c r="I26" t="str">
        <f t="shared" si="3"/>
        <v/>
      </c>
      <c r="J26" s="120" t="str">
        <f t="shared" si="4"/>
        <v/>
      </c>
      <c r="K26" s="120" t="str">
        <f t="shared" si="5"/>
        <v/>
      </c>
      <c r="L26" t="str">
        <f t="shared" si="6"/>
        <v/>
      </c>
      <c r="N26" t="str">
        <f>Lists!$A10</f>
        <v>Dean B</v>
      </c>
      <c r="O26" s="120">
        <f t="shared" si="7"/>
        <v>0</v>
      </c>
    </row>
    <row r="27" spans="1:15" x14ac:dyDescent="0.2">
      <c r="B27" s="131"/>
      <c r="F27" t="str">
        <f t="shared" si="0"/>
        <v/>
      </c>
      <c r="G27" t="str">
        <f t="shared" si="1"/>
        <v/>
      </c>
      <c r="H27" t="str">
        <f t="shared" si="2"/>
        <v/>
      </c>
      <c r="I27" t="str">
        <f t="shared" si="3"/>
        <v/>
      </c>
      <c r="J27" s="120" t="str">
        <f t="shared" si="4"/>
        <v/>
      </c>
      <c r="K27" s="120" t="str">
        <f t="shared" si="5"/>
        <v/>
      </c>
      <c r="L27" t="str">
        <f t="shared" si="6"/>
        <v/>
      </c>
      <c r="N27" t="str">
        <f>Lists!$A11</f>
        <v>Cody</v>
      </c>
      <c r="O27" s="120">
        <f t="shared" si="7"/>
        <v>0</v>
      </c>
    </row>
    <row r="28" spans="1:15" x14ac:dyDescent="0.2">
      <c r="F28" t="str">
        <f t="shared" si="0"/>
        <v/>
      </c>
      <c r="G28" t="str">
        <f t="shared" si="1"/>
        <v/>
      </c>
      <c r="H28" t="str">
        <f t="shared" si="2"/>
        <v/>
      </c>
      <c r="I28" t="str">
        <f t="shared" si="3"/>
        <v/>
      </c>
      <c r="J28" s="120" t="str">
        <f t="shared" si="4"/>
        <v/>
      </c>
      <c r="K28" s="120" t="str">
        <f t="shared" si="5"/>
        <v/>
      </c>
      <c r="L28" t="str">
        <f t="shared" si="6"/>
        <v/>
      </c>
      <c r="N28" t="str">
        <f>Lists!$A12</f>
        <v>Oscar</v>
      </c>
      <c r="O28" s="120">
        <f t="shared" si="7"/>
        <v>0</v>
      </c>
    </row>
    <row r="29" spans="1:15" x14ac:dyDescent="0.2">
      <c r="F29" t="str">
        <f t="shared" si="0"/>
        <v/>
      </c>
      <c r="G29" t="str">
        <f t="shared" si="1"/>
        <v/>
      </c>
      <c r="H29" t="str">
        <f t="shared" si="2"/>
        <v/>
      </c>
      <c r="I29" t="str">
        <f t="shared" si="3"/>
        <v/>
      </c>
      <c r="J29" s="120" t="str">
        <f t="shared" si="4"/>
        <v/>
      </c>
      <c r="K29" s="120" t="str">
        <f t="shared" si="5"/>
        <v/>
      </c>
      <c r="L29" t="str">
        <f t="shared" si="6"/>
        <v/>
      </c>
      <c r="N29" t="str">
        <f>Lists!$A13</f>
        <v>Dean M</v>
      </c>
      <c r="O29" s="120">
        <f t="shared" si="7"/>
        <v>0</v>
      </c>
    </row>
    <row r="30" spans="1:15" x14ac:dyDescent="0.2">
      <c r="F30" t="str">
        <f t="shared" si="0"/>
        <v/>
      </c>
      <c r="G30" t="str">
        <f t="shared" si="1"/>
        <v/>
      </c>
      <c r="H30" t="str">
        <f t="shared" si="2"/>
        <v/>
      </c>
      <c r="I30" t="str">
        <f t="shared" si="3"/>
        <v/>
      </c>
      <c r="J30" s="120" t="str">
        <f t="shared" si="4"/>
        <v/>
      </c>
      <c r="K30" s="120" t="str">
        <f t="shared" si="5"/>
        <v/>
      </c>
      <c r="L30" t="str">
        <f t="shared" si="6"/>
        <v/>
      </c>
      <c r="N30" t="str">
        <f>Lists!$A14</f>
        <v>Dylan A</v>
      </c>
      <c r="O30" s="120">
        <f t="shared" si="7"/>
        <v>0</v>
      </c>
    </row>
    <row r="31" spans="1:15" x14ac:dyDescent="0.2">
      <c r="F31" t="str">
        <f t="shared" si="0"/>
        <v/>
      </c>
      <c r="G31" t="str">
        <f t="shared" si="1"/>
        <v/>
      </c>
      <c r="H31" t="str">
        <f t="shared" si="2"/>
        <v/>
      </c>
      <c r="I31" t="str">
        <f t="shared" si="3"/>
        <v/>
      </c>
      <c r="J31" s="120" t="str">
        <f t="shared" si="4"/>
        <v/>
      </c>
      <c r="K31" s="120" t="str">
        <f t="shared" si="5"/>
        <v/>
      </c>
      <c r="L31" t="str">
        <f t="shared" si="6"/>
        <v/>
      </c>
      <c r="N31" t="str">
        <f>Lists!$A15</f>
        <v>Dylan S</v>
      </c>
      <c r="O31" s="120">
        <f t="shared" si="7"/>
        <v>0</v>
      </c>
    </row>
    <row r="32" spans="1:15" x14ac:dyDescent="0.2">
      <c r="F32" t="str">
        <f t="shared" si="0"/>
        <v/>
      </c>
      <c r="G32" t="str">
        <f t="shared" si="1"/>
        <v/>
      </c>
      <c r="H32" t="str">
        <f t="shared" si="2"/>
        <v/>
      </c>
      <c r="I32" t="str">
        <f t="shared" si="3"/>
        <v/>
      </c>
      <c r="J32" s="120" t="str">
        <f t="shared" si="4"/>
        <v/>
      </c>
      <c r="K32" s="120" t="str">
        <f t="shared" si="5"/>
        <v/>
      </c>
      <c r="L32" t="str">
        <f t="shared" si="6"/>
        <v/>
      </c>
    </row>
    <row r="33" spans="6:12" x14ac:dyDescent="0.2">
      <c r="F33" t="str">
        <f t="shared" si="0"/>
        <v/>
      </c>
      <c r="G33" t="str">
        <f t="shared" si="1"/>
        <v/>
      </c>
      <c r="H33" t="str">
        <f t="shared" si="2"/>
        <v/>
      </c>
      <c r="I33" t="str">
        <f t="shared" si="3"/>
        <v/>
      </c>
      <c r="J33" s="120" t="str">
        <f t="shared" si="4"/>
        <v/>
      </c>
      <c r="K33" s="120" t="str">
        <f t="shared" si="5"/>
        <v/>
      </c>
      <c r="L33" t="str">
        <f t="shared" si="6"/>
        <v/>
      </c>
    </row>
    <row r="34" spans="6:12" x14ac:dyDescent="0.2">
      <c r="F34" t="str">
        <f t="shared" si="0"/>
        <v/>
      </c>
      <c r="G34" t="str">
        <f t="shared" si="1"/>
        <v/>
      </c>
      <c r="H34" t="str">
        <f t="shared" si="2"/>
        <v/>
      </c>
      <c r="I34" t="str">
        <f t="shared" si="3"/>
        <v/>
      </c>
      <c r="J34" s="120" t="str">
        <f t="shared" si="4"/>
        <v/>
      </c>
      <c r="K34" s="120" t="str">
        <f t="shared" si="5"/>
        <v/>
      </c>
      <c r="L34" t="str">
        <f t="shared" si="6"/>
        <v/>
      </c>
    </row>
    <row r="35" spans="6:12" x14ac:dyDescent="0.2">
      <c r="F35" t="str">
        <f t="shared" si="0"/>
        <v/>
      </c>
      <c r="G35" t="str">
        <f t="shared" si="1"/>
        <v/>
      </c>
      <c r="H35" t="str">
        <f t="shared" si="2"/>
        <v/>
      </c>
      <c r="I35" t="str">
        <f t="shared" si="3"/>
        <v/>
      </c>
      <c r="J35" s="120" t="str">
        <f t="shared" si="4"/>
        <v/>
      </c>
      <c r="K35" s="120" t="str">
        <f t="shared" si="5"/>
        <v/>
      </c>
      <c r="L35" t="str">
        <f t="shared" si="6"/>
        <v/>
      </c>
    </row>
    <row r="36" spans="6:12" x14ac:dyDescent="0.2">
      <c r="F36" t="str">
        <f t="shared" si="0"/>
        <v/>
      </c>
      <c r="G36" t="str">
        <f t="shared" si="1"/>
        <v/>
      </c>
      <c r="H36" t="str">
        <f t="shared" si="2"/>
        <v/>
      </c>
      <c r="I36" t="str">
        <f t="shared" si="3"/>
        <v/>
      </c>
      <c r="J36" s="120" t="str">
        <f t="shared" si="4"/>
        <v/>
      </c>
      <c r="K36" s="120" t="str">
        <f t="shared" si="5"/>
        <v/>
      </c>
      <c r="L36" t="str">
        <f t="shared" si="6"/>
        <v/>
      </c>
    </row>
    <row r="37" spans="6:12" x14ac:dyDescent="0.2">
      <c r="F37" t="str">
        <f t="shared" si="0"/>
        <v/>
      </c>
      <c r="G37" t="str">
        <f t="shared" si="1"/>
        <v/>
      </c>
      <c r="H37" t="str">
        <f t="shared" si="2"/>
        <v/>
      </c>
      <c r="I37" t="str">
        <f t="shared" si="3"/>
        <v/>
      </c>
      <c r="J37" s="120" t="str">
        <f t="shared" si="4"/>
        <v/>
      </c>
      <c r="K37" s="120" t="str">
        <f t="shared" si="5"/>
        <v/>
      </c>
      <c r="L37" t="str">
        <f t="shared" si="6"/>
        <v/>
      </c>
    </row>
    <row r="38" spans="6:12" x14ac:dyDescent="0.2">
      <c r="F38" t="str">
        <f t="shared" si="0"/>
        <v/>
      </c>
      <c r="G38" t="str">
        <f t="shared" si="1"/>
        <v/>
      </c>
      <c r="H38" t="str">
        <f t="shared" si="2"/>
        <v/>
      </c>
      <c r="I38" t="str">
        <f t="shared" si="3"/>
        <v/>
      </c>
      <c r="J38" s="120" t="str">
        <f t="shared" si="4"/>
        <v/>
      </c>
      <c r="K38" s="120" t="str">
        <f t="shared" si="5"/>
        <v/>
      </c>
      <c r="L38" t="str">
        <f t="shared" si="6"/>
        <v/>
      </c>
    </row>
    <row r="39" spans="6:12" x14ac:dyDescent="0.2">
      <c r="F39" t="str">
        <f t="shared" si="0"/>
        <v/>
      </c>
      <c r="G39" t="str">
        <f t="shared" si="1"/>
        <v/>
      </c>
      <c r="H39" t="str">
        <f t="shared" si="2"/>
        <v/>
      </c>
      <c r="I39" t="str">
        <f t="shared" si="3"/>
        <v/>
      </c>
      <c r="J39" s="120" t="str">
        <f t="shared" si="4"/>
        <v/>
      </c>
      <c r="K39" s="120" t="str">
        <f t="shared" si="5"/>
        <v/>
      </c>
      <c r="L39" t="str">
        <f t="shared" si="6"/>
        <v/>
      </c>
    </row>
    <row r="40" spans="6:12" x14ac:dyDescent="0.2">
      <c r="F40" t="str">
        <f t="shared" si="0"/>
        <v/>
      </c>
      <c r="G40" t="str">
        <f t="shared" si="1"/>
        <v/>
      </c>
      <c r="H40" t="str">
        <f t="shared" si="2"/>
        <v/>
      </c>
      <c r="I40" t="str">
        <f t="shared" si="3"/>
        <v/>
      </c>
      <c r="J40" s="120" t="str">
        <f t="shared" si="4"/>
        <v/>
      </c>
      <c r="K40" s="120" t="str">
        <f t="shared" si="5"/>
        <v/>
      </c>
      <c r="L40" t="str">
        <f t="shared" si="6"/>
        <v/>
      </c>
    </row>
    <row r="41" spans="6:12" x14ac:dyDescent="0.2">
      <c r="F41" t="str">
        <f t="shared" si="0"/>
        <v/>
      </c>
      <c r="G41" t="str">
        <f t="shared" si="1"/>
        <v/>
      </c>
      <c r="H41" t="str">
        <f t="shared" si="2"/>
        <v/>
      </c>
      <c r="I41" t="str">
        <f t="shared" si="3"/>
        <v/>
      </c>
      <c r="J41" s="120" t="str">
        <f t="shared" si="4"/>
        <v/>
      </c>
      <c r="K41" s="120" t="str">
        <f t="shared" si="5"/>
        <v/>
      </c>
      <c r="L41" t="str">
        <f t="shared" si="6"/>
        <v/>
      </c>
    </row>
    <row r="42" spans="6:12" x14ac:dyDescent="0.2">
      <c r="F42" t="str">
        <f t="shared" si="0"/>
        <v/>
      </c>
      <c r="G42" t="str">
        <f t="shared" si="1"/>
        <v/>
      </c>
      <c r="H42" t="str">
        <f t="shared" si="2"/>
        <v/>
      </c>
      <c r="I42" t="str">
        <f t="shared" si="3"/>
        <v/>
      </c>
      <c r="J42" s="120" t="str">
        <f t="shared" si="4"/>
        <v/>
      </c>
      <c r="K42" s="120" t="str">
        <f t="shared" si="5"/>
        <v/>
      </c>
      <c r="L42" t="str">
        <f t="shared" si="6"/>
        <v/>
      </c>
    </row>
    <row r="43" spans="6:12" x14ac:dyDescent="0.2">
      <c r="F43" t="str">
        <f t="shared" si="0"/>
        <v/>
      </c>
      <c r="G43" t="str">
        <f t="shared" si="1"/>
        <v/>
      </c>
      <c r="H43" t="str">
        <f t="shared" si="2"/>
        <v/>
      </c>
      <c r="I43" t="str">
        <f t="shared" si="3"/>
        <v/>
      </c>
      <c r="J43" s="120" t="str">
        <f t="shared" si="4"/>
        <v/>
      </c>
      <c r="K43" s="120" t="str">
        <f t="shared" si="5"/>
        <v/>
      </c>
      <c r="L43" t="str">
        <f t="shared" si="6"/>
        <v/>
      </c>
    </row>
    <row r="44" spans="6:12" x14ac:dyDescent="0.2">
      <c r="F44" t="str">
        <f t="shared" si="0"/>
        <v/>
      </c>
      <c r="G44" t="str">
        <f t="shared" si="1"/>
        <v/>
      </c>
      <c r="H44" t="str">
        <f t="shared" si="2"/>
        <v/>
      </c>
      <c r="I44" t="str">
        <f t="shared" si="3"/>
        <v/>
      </c>
      <c r="J44" s="120" t="str">
        <f t="shared" si="4"/>
        <v/>
      </c>
      <c r="K44" s="120" t="str">
        <f t="shared" si="5"/>
        <v/>
      </c>
      <c r="L44" t="str">
        <f t="shared" si="6"/>
        <v/>
      </c>
    </row>
    <row r="45" spans="6:12" x14ac:dyDescent="0.2">
      <c r="F45" t="str">
        <f t="shared" si="0"/>
        <v/>
      </c>
      <c r="G45" t="str">
        <f t="shared" si="1"/>
        <v/>
      </c>
      <c r="H45" t="str">
        <f t="shared" si="2"/>
        <v/>
      </c>
      <c r="I45" t="str">
        <f t="shared" si="3"/>
        <v/>
      </c>
      <c r="J45" s="120" t="str">
        <f t="shared" si="4"/>
        <v/>
      </c>
      <c r="K45" s="120" t="str">
        <f t="shared" si="5"/>
        <v/>
      </c>
      <c r="L45" t="str">
        <f t="shared" si="6"/>
        <v/>
      </c>
    </row>
    <row r="46" spans="6:12" x14ac:dyDescent="0.2">
      <c r="F46" t="str">
        <f t="shared" si="0"/>
        <v/>
      </c>
      <c r="G46" t="str">
        <f t="shared" si="1"/>
        <v/>
      </c>
      <c r="H46" t="str">
        <f t="shared" si="2"/>
        <v/>
      </c>
      <c r="I46" t="str">
        <f t="shared" si="3"/>
        <v/>
      </c>
      <c r="J46" s="120" t="str">
        <f t="shared" si="4"/>
        <v/>
      </c>
      <c r="K46" s="120" t="str">
        <f t="shared" si="5"/>
        <v/>
      </c>
      <c r="L46" t="str">
        <f t="shared" si="6"/>
        <v/>
      </c>
    </row>
    <row r="47" spans="6:12" x14ac:dyDescent="0.2">
      <c r="F47" t="str">
        <f t="shared" si="0"/>
        <v/>
      </c>
      <c r="G47" t="str">
        <f t="shared" si="1"/>
        <v/>
      </c>
      <c r="H47" t="str">
        <f t="shared" si="2"/>
        <v/>
      </c>
      <c r="I47" t="str">
        <f t="shared" si="3"/>
        <v/>
      </c>
      <c r="J47" s="120" t="str">
        <f t="shared" si="4"/>
        <v/>
      </c>
      <c r="K47" s="120" t="str">
        <f t="shared" si="5"/>
        <v/>
      </c>
      <c r="L47" t="str">
        <f t="shared" si="6"/>
        <v/>
      </c>
    </row>
    <row r="48" spans="6:12" x14ac:dyDescent="0.2">
      <c r="F48" t="str">
        <f t="shared" si="0"/>
        <v/>
      </c>
      <c r="G48" t="str">
        <f t="shared" si="1"/>
        <v/>
      </c>
      <c r="H48" t="str">
        <f t="shared" si="2"/>
        <v/>
      </c>
      <c r="I48" t="str">
        <f t="shared" si="3"/>
        <v/>
      </c>
      <c r="J48" s="120" t="str">
        <f t="shared" si="4"/>
        <v/>
      </c>
      <c r="K48" s="120" t="str">
        <f t="shared" si="5"/>
        <v/>
      </c>
      <c r="L48" t="str">
        <f t="shared" si="6"/>
        <v/>
      </c>
    </row>
    <row r="49" spans="6:12" x14ac:dyDescent="0.2">
      <c r="F49" t="str">
        <f t="shared" si="0"/>
        <v/>
      </c>
      <c r="G49" t="str">
        <f t="shared" si="1"/>
        <v/>
      </c>
      <c r="H49" t="str">
        <f t="shared" si="2"/>
        <v/>
      </c>
      <c r="I49" t="str">
        <f t="shared" si="3"/>
        <v/>
      </c>
      <c r="J49" s="120" t="str">
        <f t="shared" si="4"/>
        <v/>
      </c>
      <c r="K49" s="120" t="str">
        <f t="shared" si="5"/>
        <v/>
      </c>
      <c r="L49" t="str">
        <f t="shared" si="6"/>
        <v/>
      </c>
    </row>
    <row r="50" spans="6:12" x14ac:dyDescent="0.2">
      <c r="F50" t="str">
        <f t="shared" ref="F50:F81" si="8">IF($A50="","",COUNTIF($A$18:$A$137,$A50))</f>
        <v/>
      </c>
      <c r="G50" t="str">
        <f t="shared" ref="G50:G81" si="9">IF($A50="","",$B$4*(1+IF(UPPER($E50)="Y",1,0)))</f>
        <v/>
      </c>
      <c r="H50" t="str">
        <f t="shared" ref="H50:H81" si="10">IF($A50="","",SUMIF($A$18:$A$137,$A50,$G$18:$G$137))</f>
        <v/>
      </c>
      <c r="I50" t="str">
        <f t="shared" ref="I50:I81" si="11">IF($A50="","",IF($F50&lt;$B$6,0,IFERROR(INDEX($E$5:$K$14,$D50,$F50-3),0)))</f>
        <v/>
      </c>
      <c r="J50" s="120" t="str">
        <f t="shared" ref="J50:J81" si="12">IF($A50="","",$H50*$I50/100)</f>
        <v/>
      </c>
      <c r="K50" s="120" t="str">
        <f t="shared" ref="K50:K81" si="13">IF($A50="","",IF($F50&lt;$B$6,0,$J50-$G50))</f>
        <v/>
      </c>
      <c r="L50" t="str">
        <f t="shared" ref="L50:L81" si="14">IF($A50="","",IF($F50&lt;$B$6,"NEED 4+ PLAYERS",IF($F50&gt;$B$7,"MAX 10 PLAYERS",IF($D50="","ADD FINISH",IF(COUNTIFS($A$18:$A$137,$A50,$D$18:$D$137,$D50)&gt;1,"DUPLICATE FINISH",IF(OR($D50&lt;1,$D50&gt;$F50),"BAD FINISH",IF(ABS(SUMIF($A$18:$A$137,$A50,$K$18:$K$137))&gt;0.6,"POT LEAK","OK")))))))</f>
        <v/>
      </c>
    </row>
    <row r="51" spans="6:12" x14ac:dyDescent="0.2">
      <c r="F51" t="str">
        <f t="shared" si="8"/>
        <v/>
      </c>
      <c r="G51" t="str">
        <f t="shared" si="9"/>
        <v/>
      </c>
      <c r="H51" t="str">
        <f t="shared" si="10"/>
        <v/>
      </c>
      <c r="I51" t="str">
        <f t="shared" si="11"/>
        <v/>
      </c>
      <c r="J51" s="120" t="str">
        <f t="shared" si="12"/>
        <v/>
      </c>
      <c r="K51" s="120" t="str">
        <f t="shared" si="13"/>
        <v/>
      </c>
      <c r="L51" t="str">
        <f t="shared" si="14"/>
        <v/>
      </c>
    </row>
    <row r="52" spans="6:12" x14ac:dyDescent="0.2">
      <c r="F52" t="str">
        <f t="shared" si="8"/>
        <v/>
      </c>
      <c r="G52" t="str">
        <f t="shared" si="9"/>
        <v/>
      </c>
      <c r="H52" t="str">
        <f t="shared" si="10"/>
        <v/>
      </c>
      <c r="I52" t="str">
        <f t="shared" si="11"/>
        <v/>
      </c>
      <c r="J52" s="120" t="str">
        <f t="shared" si="12"/>
        <v/>
      </c>
      <c r="K52" s="120" t="str">
        <f t="shared" si="13"/>
        <v/>
      </c>
      <c r="L52" t="str">
        <f t="shared" si="14"/>
        <v/>
      </c>
    </row>
    <row r="53" spans="6:12" x14ac:dyDescent="0.2">
      <c r="F53" t="str">
        <f t="shared" si="8"/>
        <v/>
      </c>
      <c r="G53" t="str">
        <f t="shared" si="9"/>
        <v/>
      </c>
      <c r="H53" t="str">
        <f t="shared" si="10"/>
        <v/>
      </c>
      <c r="I53" t="str">
        <f t="shared" si="11"/>
        <v/>
      </c>
      <c r="J53" s="120" t="str">
        <f t="shared" si="12"/>
        <v/>
      </c>
      <c r="K53" s="120" t="str">
        <f t="shared" si="13"/>
        <v/>
      </c>
      <c r="L53" t="str">
        <f t="shared" si="14"/>
        <v/>
      </c>
    </row>
    <row r="54" spans="6:12" x14ac:dyDescent="0.2">
      <c r="F54" t="str">
        <f t="shared" si="8"/>
        <v/>
      </c>
      <c r="G54" t="str">
        <f t="shared" si="9"/>
        <v/>
      </c>
      <c r="H54" t="str">
        <f t="shared" si="10"/>
        <v/>
      </c>
      <c r="I54" t="str">
        <f t="shared" si="11"/>
        <v/>
      </c>
      <c r="J54" s="120" t="str">
        <f t="shared" si="12"/>
        <v/>
      </c>
      <c r="K54" s="120" t="str">
        <f t="shared" si="13"/>
        <v/>
      </c>
      <c r="L54" t="str">
        <f t="shared" si="14"/>
        <v/>
      </c>
    </row>
    <row r="55" spans="6:12" x14ac:dyDescent="0.2">
      <c r="F55" t="str">
        <f t="shared" si="8"/>
        <v/>
      </c>
      <c r="G55" t="str">
        <f t="shared" si="9"/>
        <v/>
      </c>
      <c r="H55" t="str">
        <f t="shared" si="10"/>
        <v/>
      </c>
      <c r="I55" t="str">
        <f t="shared" si="11"/>
        <v/>
      </c>
      <c r="J55" s="120" t="str">
        <f t="shared" si="12"/>
        <v/>
      </c>
      <c r="K55" s="120" t="str">
        <f t="shared" si="13"/>
        <v/>
      </c>
      <c r="L55" t="str">
        <f t="shared" si="14"/>
        <v/>
      </c>
    </row>
    <row r="56" spans="6:12" x14ac:dyDescent="0.2">
      <c r="F56" t="str">
        <f t="shared" si="8"/>
        <v/>
      </c>
      <c r="G56" t="str">
        <f t="shared" si="9"/>
        <v/>
      </c>
      <c r="H56" t="str">
        <f t="shared" si="10"/>
        <v/>
      </c>
      <c r="I56" t="str">
        <f t="shared" si="11"/>
        <v/>
      </c>
      <c r="J56" s="120" t="str">
        <f t="shared" si="12"/>
        <v/>
      </c>
      <c r="K56" s="120" t="str">
        <f t="shared" si="13"/>
        <v/>
      </c>
      <c r="L56" t="str">
        <f t="shared" si="14"/>
        <v/>
      </c>
    </row>
    <row r="57" spans="6:12" x14ac:dyDescent="0.2">
      <c r="F57" t="str">
        <f t="shared" si="8"/>
        <v/>
      </c>
      <c r="G57" t="str">
        <f t="shared" si="9"/>
        <v/>
      </c>
      <c r="H57" t="str">
        <f t="shared" si="10"/>
        <v/>
      </c>
      <c r="I57" t="str">
        <f t="shared" si="11"/>
        <v/>
      </c>
      <c r="J57" s="120" t="str">
        <f t="shared" si="12"/>
        <v/>
      </c>
      <c r="K57" s="120" t="str">
        <f t="shared" si="13"/>
        <v/>
      </c>
      <c r="L57" t="str">
        <f t="shared" si="14"/>
        <v/>
      </c>
    </row>
    <row r="58" spans="6:12" x14ac:dyDescent="0.2">
      <c r="F58" t="str">
        <f t="shared" si="8"/>
        <v/>
      </c>
      <c r="G58" t="str">
        <f t="shared" si="9"/>
        <v/>
      </c>
      <c r="H58" t="str">
        <f t="shared" si="10"/>
        <v/>
      </c>
      <c r="I58" t="str">
        <f t="shared" si="11"/>
        <v/>
      </c>
      <c r="J58" s="120" t="str">
        <f t="shared" si="12"/>
        <v/>
      </c>
      <c r="K58" s="120" t="str">
        <f t="shared" si="13"/>
        <v/>
      </c>
      <c r="L58" t="str">
        <f t="shared" si="14"/>
        <v/>
      </c>
    </row>
    <row r="59" spans="6:12" x14ac:dyDescent="0.2">
      <c r="F59" t="str">
        <f t="shared" si="8"/>
        <v/>
      </c>
      <c r="G59" t="str">
        <f t="shared" si="9"/>
        <v/>
      </c>
      <c r="H59" t="str">
        <f t="shared" si="10"/>
        <v/>
      </c>
      <c r="I59" t="str">
        <f t="shared" si="11"/>
        <v/>
      </c>
      <c r="J59" s="120" t="str">
        <f t="shared" si="12"/>
        <v/>
      </c>
      <c r="K59" s="120" t="str">
        <f t="shared" si="13"/>
        <v/>
      </c>
      <c r="L59" t="str">
        <f t="shared" si="14"/>
        <v/>
      </c>
    </row>
    <row r="60" spans="6:12" x14ac:dyDescent="0.2">
      <c r="F60" t="str">
        <f t="shared" si="8"/>
        <v/>
      </c>
      <c r="G60" t="str">
        <f t="shared" si="9"/>
        <v/>
      </c>
      <c r="H60" t="str">
        <f t="shared" si="10"/>
        <v/>
      </c>
      <c r="I60" t="str">
        <f t="shared" si="11"/>
        <v/>
      </c>
      <c r="J60" s="120" t="str">
        <f t="shared" si="12"/>
        <v/>
      </c>
      <c r="K60" s="120" t="str">
        <f t="shared" si="13"/>
        <v/>
      </c>
      <c r="L60" t="str">
        <f t="shared" si="14"/>
        <v/>
      </c>
    </row>
    <row r="61" spans="6:12" x14ac:dyDescent="0.2">
      <c r="F61" t="str">
        <f t="shared" si="8"/>
        <v/>
      </c>
      <c r="G61" t="str">
        <f t="shared" si="9"/>
        <v/>
      </c>
      <c r="H61" t="str">
        <f t="shared" si="10"/>
        <v/>
      </c>
      <c r="I61" t="str">
        <f t="shared" si="11"/>
        <v/>
      </c>
      <c r="J61" s="120" t="str">
        <f t="shared" si="12"/>
        <v/>
      </c>
      <c r="K61" s="120" t="str">
        <f t="shared" si="13"/>
        <v/>
      </c>
      <c r="L61" t="str">
        <f t="shared" si="14"/>
        <v/>
      </c>
    </row>
    <row r="62" spans="6:12" x14ac:dyDescent="0.2">
      <c r="F62" t="str">
        <f t="shared" si="8"/>
        <v/>
      </c>
      <c r="G62" t="str">
        <f t="shared" si="9"/>
        <v/>
      </c>
      <c r="H62" t="str">
        <f t="shared" si="10"/>
        <v/>
      </c>
      <c r="I62" t="str">
        <f t="shared" si="11"/>
        <v/>
      </c>
      <c r="J62" s="120" t="str">
        <f t="shared" si="12"/>
        <v/>
      </c>
      <c r="K62" s="120" t="str">
        <f t="shared" si="13"/>
        <v/>
      </c>
      <c r="L62" t="str">
        <f t="shared" si="14"/>
        <v/>
      </c>
    </row>
    <row r="63" spans="6:12" x14ac:dyDescent="0.2">
      <c r="F63" t="str">
        <f t="shared" si="8"/>
        <v/>
      </c>
      <c r="G63" t="str">
        <f t="shared" si="9"/>
        <v/>
      </c>
      <c r="H63" t="str">
        <f t="shared" si="10"/>
        <v/>
      </c>
      <c r="I63" t="str">
        <f t="shared" si="11"/>
        <v/>
      </c>
      <c r="J63" s="120" t="str">
        <f t="shared" si="12"/>
        <v/>
      </c>
      <c r="K63" s="120" t="str">
        <f t="shared" si="13"/>
        <v/>
      </c>
      <c r="L63" t="str">
        <f t="shared" si="14"/>
        <v/>
      </c>
    </row>
    <row r="64" spans="6:12" x14ac:dyDescent="0.2">
      <c r="F64" t="str">
        <f t="shared" si="8"/>
        <v/>
      </c>
      <c r="G64" t="str">
        <f t="shared" si="9"/>
        <v/>
      </c>
      <c r="H64" t="str">
        <f t="shared" si="10"/>
        <v/>
      </c>
      <c r="I64" t="str">
        <f t="shared" si="11"/>
        <v/>
      </c>
      <c r="J64" s="120" t="str">
        <f t="shared" si="12"/>
        <v/>
      </c>
      <c r="K64" s="120" t="str">
        <f t="shared" si="13"/>
        <v/>
      </c>
      <c r="L64" t="str">
        <f t="shared" si="14"/>
        <v/>
      </c>
    </row>
    <row r="65" spans="6:12" x14ac:dyDescent="0.2">
      <c r="F65" t="str">
        <f t="shared" si="8"/>
        <v/>
      </c>
      <c r="G65" t="str">
        <f t="shared" si="9"/>
        <v/>
      </c>
      <c r="H65" t="str">
        <f t="shared" si="10"/>
        <v/>
      </c>
      <c r="I65" t="str">
        <f t="shared" si="11"/>
        <v/>
      </c>
      <c r="J65" s="120" t="str">
        <f t="shared" si="12"/>
        <v/>
      </c>
      <c r="K65" s="120" t="str">
        <f t="shared" si="13"/>
        <v/>
      </c>
      <c r="L65" t="str">
        <f t="shared" si="14"/>
        <v/>
      </c>
    </row>
    <row r="66" spans="6:12" x14ac:dyDescent="0.2">
      <c r="F66" t="str">
        <f t="shared" si="8"/>
        <v/>
      </c>
      <c r="G66" t="str">
        <f t="shared" si="9"/>
        <v/>
      </c>
      <c r="H66" t="str">
        <f t="shared" si="10"/>
        <v/>
      </c>
      <c r="I66" t="str">
        <f t="shared" si="11"/>
        <v/>
      </c>
      <c r="J66" s="120" t="str">
        <f t="shared" si="12"/>
        <v/>
      </c>
      <c r="K66" s="120" t="str">
        <f t="shared" si="13"/>
        <v/>
      </c>
      <c r="L66" t="str">
        <f t="shared" si="14"/>
        <v/>
      </c>
    </row>
    <row r="67" spans="6:12" x14ac:dyDescent="0.2">
      <c r="F67" t="str">
        <f t="shared" si="8"/>
        <v/>
      </c>
      <c r="G67" t="str">
        <f t="shared" si="9"/>
        <v/>
      </c>
      <c r="H67" t="str">
        <f t="shared" si="10"/>
        <v/>
      </c>
      <c r="I67" t="str">
        <f t="shared" si="11"/>
        <v/>
      </c>
      <c r="J67" s="120" t="str">
        <f t="shared" si="12"/>
        <v/>
      </c>
      <c r="K67" s="120" t="str">
        <f t="shared" si="13"/>
        <v/>
      </c>
      <c r="L67" t="str">
        <f t="shared" si="14"/>
        <v/>
      </c>
    </row>
    <row r="68" spans="6:12" x14ac:dyDescent="0.2">
      <c r="F68" t="str">
        <f t="shared" si="8"/>
        <v/>
      </c>
      <c r="G68" t="str">
        <f t="shared" si="9"/>
        <v/>
      </c>
      <c r="H68" t="str">
        <f t="shared" si="10"/>
        <v/>
      </c>
      <c r="I68" t="str">
        <f t="shared" si="11"/>
        <v/>
      </c>
      <c r="J68" s="120" t="str">
        <f t="shared" si="12"/>
        <v/>
      </c>
      <c r="K68" s="120" t="str">
        <f t="shared" si="13"/>
        <v/>
      </c>
      <c r="L68" t="str">
        <f t="shared" si="14"/>
        <v/>
      </c>
    </row>
    <row r="69" spans="6:12" x14ac:dyDescent="0.2">
      <c r="F69" t="str">
        <f t="shared" si="8"/>
        <v/>
      </c>
      <c r="G69" t="str">
        <f t="shared" si="9"/>
        <v/>
      </c>
      <c r="H69" t="str">
        <f t="shared" si="10"/>
        <v/>
      </c>
      <c r="I69" t="str">
        <f t="shared" si="11"/>
        <v/>
      </c>
      <c r="J69" s="120" t="str">
        <f t="shared" si="12"/>
        <v/>
      </c>
      <c r="K69" s="120" t="str">
        <f t="shared" si="13"/>
        <v/>
      </c>
      <c r="L69" t="str">
        <f t="shared" si="14"/>
        <v/>
      </c>
    </row>
    <row r="70" spans="6:12" x14ac:dyDescent="0.2">
      <c r="F70" t="str">
        <f t="shared" si="8"/>
        <v/>
      </c>
      <c r="G70" t="str">
        <f t="shared" si="9"/>
        <v/>
      </c>
      <c r="H70" t="str">
        <f t="shared" si="10"/>
        <v/>
      </c>
      <c r="I70" t="str">
        <f t="shared" si="11"/>
        <v/>
      </c>
      <c r="J70" s="120" t="str">
        <f t="shared" si="12"/>
        <v/>
      </c>
      <c r="K70" s="120" t="str">
        <f t="shared" si="13"/>
        <v/>
      </c>
      <c r="L70" t="str">
        <f t="shared" si="14"/>
        <v/>
      </c>
    </row>
    <row r="71" spans="6:12" x14ac:dyDescent="0.2">
      <c r="F71" t="str">
        <f t="shared" si="8"/>
        <v/>
      </c>
      <c r="G71" t="str">
        <f t="shared" si="9"/>
        <v/>
      </c>
      <c r="H71" t="str">
        <f t="shared" si="10"/>
        <v/>
      </c>
      <c r="I71" t="str">
        <f t="shared" si="11"/>
        <v/>
      </c>
      <c r="J71" s="120" t="str">
        <f t="shared" si="12"/>
        <v/>
      </c>
      <c r="K71" s="120" t="str">
        <f t="shared" si="13"/>
        <v/>
      </c>
      <c r="L71" t="str">
        <f t="shared" si="14"/>
        <v/>
      </c>
    </row>
    <row r="72" spans="6:12" x14ac:dyDescent="0.2">
      <c r="F72" t="str">
        <f t="shared" si="8"/>
        <v/>
      </c>
      <c r="G72" t="str">
        <f t="shared" si="9"/>
        <v/>
      </c>
      <c r="H72" t="str">
        <f t="shared" si="10"/>
        <v/>
      </c>
      <c r="I72" t="str">
        <f t="shared" si="11"/>
        <v/>
      </c>
      <c r="J72" s="120" t="str">
        <f t="shared" si="12"/>
        <v/>
      </c>
      <c r="K72" s="120" t="str">
        <f t="shared" si="13"/>
        <v/>
      </c>
      <c r="L72" t="str">
        <f t="shared" si="14"/>
        <v/>
      </c>
    </row>
    <row r="73" spans="6:12" x14ac:dyDescent="0.2">
      <c r="F73" t="str">
        <f t="shared" si="8"/>
        <v/>
      </c>
      <c r="G73" t="str">
        <f t="shared" si="9"/>
        <v/>
      </c>
      <c r="H73" t="str">
        <f t="shared" si="10"/>
        <v/>
      </c>
      <c r="I73" t="str">
        <f t="shared" si="11"/>
        <v/>
      </c>
      <c r="J73" s="120" t="str">
        <f t="shared" si="12"/>
        <v/>
      </c>
      <c r="K73" s="120" t="str">
        <f t="shared" si="13"/>
        <v/>
      </c>
      <c r="L73" t="str">
        <f t="shared" si="14"/>
        <v/>
      </c>
    </row>
    <row r="74" spans="6:12" x14ac:dyDescent="0.2">
      <c r="F74" t="str">
        <f t="shared" si="8"/>
        <v/>
      </c>
      <c r="G74" t="str">
        <f t="shared" si="9"/>
        <v/>
      </c>
      <c r="H74" t="str">
        <f t="shared" si="10"/>
        <v/>
      </c>
      <c r="I74" t="str">
        <f t="shared" si="11"/>
        <v/>
      </c>
      <c r="J74" s="120" t="str">
        <f t="shared" si="12"/>
        <v/>
      </c>
      <c r="K74" s="120" t="str">
        <f t="shared" si="13"/>
        <v/>
      </c>
      <c r="L74" t="str">
        <f t="shared" si="14"/>
        <v/>
      </c>
    </row>
    <row r="75" spans="6:12" x14ac:dyDescent="0.2">
      <c r="F75" t="str">
        <f t="shared" si="8"/>
        <v/>
      </c>
      <c r="G75" t="str">
        <f t="shared" si="9"/>
        <v/>
      </c>
      <c r="H75" t="str">
        <f t="shared" si="10"/>
        <v/>
      </c>
      <c r="I75" t="str">
        <f t="shared" si="11"/>
        <v/>
      </c>
      <c r="J75" s="120" t="str">
        <f t="shared" si="12"/>
        <v/>
      </c>
      <c r="K75" s="120" t="str">
        <f t="shared" si="13"/>
        <v/>
      </c>
      <c r="L75" t="str">
        <f t="shared" si="14"/>
        <v/>
      </c>
    </row>
    <row r="76" spans="6:12" x14ac:dyDescent="0.2">
      <c r="F76" t="str">
        <f t="shared" si="8"/>
        <v/>
      </c>
      <c r="G76" t="str">
        <f t="shared" si="9"/>
        <v/>
      </c>
      <c r="H76" t="str">
        <f t="shared" si="10"/>
        <v/>
      </c>
      <c r="I76" t="str">
        <f t="shared" si="11"/>
        <v/>
      </c>
      <c r="J76" s="120" t="str">
        <f t="shared" si="12"/>
        <v/>
      </c>
      <c r="K76" s="120" t="str">
        <f t="shared" si="13"/>
        <v/>
      </c>
      <c r="L76" t="str">
        <f t="shared" si="14"/>
        <v/>
      </c>
    </row>
    <row r="77" spans="6:12" x14ac:dyDescent="0.2">
      <c r="F77" t="str">
        <f t="shared" si="8"/>
        <v/>
      </c>
      <c r="G77" t="str">
        <f t="shared" si="9"/>
        <v/>
      </c>
      <c r="H77" t="str">
        <f t="shared" si="10"/>
        <v/>
      </c>
      <c r="I77" t="str">
        <f t="shared" si="11"/>
        <v/>
      </c>
      <c r="J77" s="120" t="str">
        <f t="shared" si="12"/>
        <v/>
      </c>
      <c r="K77" s="120" t="str">
        <f t="shared" si="13"/>
        <v/>
      </c>
      <c r="L77" t="str">
        <f t="shared" si="14"/>
        <v/>
      </c>
    </row>
    <row r="78" spans="6:12" x14ac:dyDescent="0.2">
      <c r="F78" t="str">
        <f t="shared" si="8"/>
        <v/>
      </c>
      <c r="G78" t="str">
        <f t="shared" si="9"/>
        <v/>
      </c>
      <c r="H78" t="str">
        <f t="shared" si="10"/>
        <v/>
      </c>
      <c r="I78" t="str">
        <f t="shared" si="11"/>
        <v/>
      </c>
      <c r="J78" s="120" t="str">
        <f t="shared" si="12"/>
        <v/>
      </c>
      <c r="K78" s="120" t="str">
        <f t="shared" si="13"/>
        <v/>
      </c>
      <c r="L78" t="str">
        <f t="shared" si="14"/>
        <v/>
      </c>
    </row>
    <row r="79" spans="6:12" x14ac:dyDescent="0.2">
      <c r="F79" t="str">
        <f t="shared" si="8"/>
        <v/>
      </c>
      <c r="G79" t="str">
        <f t="shared" si="9"/>
        <v/>
      </c>
      <c r="H79" t="str">
        <f t="shared" si="10"/>
        <v/>
      </c>
      <c r="I79" t="str">
        <f t="shared" si="11"/>
        <v/>
      </c>
      <c r="J79" s="120" t="str">
        <f t="shared" si="12"/>
        <v/>
      </c>
      <c r="K79" s="120" t="str">
        <f t="shared" si="13"/>
        <v/>
      </c>
      <c r="L79" t="str">
        <f t="shared" si="14"/>
        <v/>
      </c>
    </row>
    <row r="80" spans="6:12" x14ac:dyDescent="0.2">
      <c r="F80" t="str">
        <f t="shared" si="8"/>
        <v/>
      </c>
      <c r="G80" t="str">
        <f t="shared" si="9"/>
        <v/>
      </c>
      <c r="H80" t="str">
        <f t="shared" si="10"/>
        <v/>
      </c>
      <c r="I80" t="str">
        <f t="shared" si="11"/>
        <v/>
      </c>
      <c r="J80" s="120" t="str">
        <f t="shared" si="12"/>
        <v/>
      </c>
      <c r="K80" s="120" t="str">
        <f t="shared" si="13"/>
        <v/>
      </c>
      <c r="L80" t="str">
        <f t="shared" si="14"/>
        <v/>
      </c>
    </row>
    <row r="81" spans="6:12" x14ac:dyDescent="0.2">
      <c r="F81" t="str">
        <f t="shared" si="8"/>
        <v/>
      </c>
      <c r="G81" t="str">
        <f t="shared" si="9"/>
        <v/>
      </c>
      <c r="H81" t="str">
        <f t="shared" si="10"/>
        <v/>
      </c>
      <c r="I81" t="str">
        <f t="shared" si="11"/>
        <v/>
      </c>
      <c r="J81" s="120" t="str">
        <f t="shared" si="12"/>
        <v/>
      </c>
      <c r="K81" s="120" t="str">
        <f t="shared" si="13"/>
        <v/>
      </c>
      <c r="L81" t="str">
        <f t="shared" si="14"/>
        <v/>
      </c>
    </row>
    <row r="82" spans="6:12" x14ac:dyDescent="0.2">
      <c r="F82" t="str">
        <f t="shared" ref="F82:F113" si="15">IF($A82="","",COUNTIF($A$18:$A$137,$A82))</f>
        <v/>
      </c>
      <c r="G82" t="str">
        <f t="shared" ref="G82:G113" si="16">IF($A82="","",$B$4*(1+IF(UPPER($E82)="Y",1,0)))</f>
        <v/>
      </c>
      <c r="H82" t="str">
        <f t="shared" ref="H82:H113" si="17">IF($A82="","",SUMIF($A$18:$A$137,$A82,$G$18:$G$137))</f>
        <v/>
      </c>
      <c r="I82" t="str">
        <f t="shared" ref="I82:I113" si="18">IF($A82="","",IF($F82&lt;$B$6,0,IFERROR(INDEX($E$5:$K$14,$D82,$F82-3),0)))</f>
        <v/>
      </c>
      <c r="J82" s="120" t="str">
        <f t="shared" ref="J82:J113" si="19">IF($A82="","",$H82*$I82/100)</f>
        <v/>
      </c>
      <c r="K82" s="120" t="str">
        <f t="shared" ref="K82:K113" si="20">IF($A82="","",IF($F82&lt;$B$6,0,$J82-$G82))</f>
        <v/>
      </c>
      <c r="L82" t="str">
        <f t="shared" ref="L82:L113" si="21">IF($A82="","",IF($F82&lt;$B$6,"NEED 4+ PLAYERS",IF($F82&gt;$B$7,"MAX 10 PLAYERS",IF($D82="","ADD FINISH",IF(COUNTIFS($A$18:$A$137,$A82,$D$18:$D$137,$D82)&gt;1,"DUPLICATE FINISH",IF(OR($D82&lt;1,$D82&gt;$F82),"BAD FINISH",IF(ABS(SUMIF($A$18:$A$137,$A82,$K$18:$K$137))&gt;0.6,"POT LEAK","OK")))))))</f>
        <v/>
      </c>
    </row>
    <row r="83" spans="6:12" x14ac:dyDescent="0.2">
      <c r="F83" t="str">
        <f t="shared" si="15"/>
        <v/>
      </c>
      <c r="G83" t="str">
        <f t="shared" si="16"/>
        <v/>
      </c>
      <c r="H83" t="str">
        <f t="shared" si="17"/>
        <v/>
      </c>
      <c r="I83" t="str">
        <f t="shared" si="18"/>
        <v/>
      </c>
      <c r="J83" s="120" t="str">
        <f t="shared" si="19"/>
        <v/>
      </c>
      <c r="K83" s="120" t="str">
        <f t="shared" si="20"/>
        <v/>
      </c>
      <c r="L83" t="str">
        <f t="shared" si="21"/>
        <v/>
      </c>
    </row>
    <row r="84" spans="6:12" x14ac:dyDescent="0.2">
      <c r="F84" t="str">
        <f t="shared" si="15"/>
        <v/>
      </c>
      <c r="G84" t="str">
        <f t="shared" si="16"/>
        <v/>
      </c>
      <c r="H84" t="str">
        <f t="shared" si="17"/>
        <v/>
      </c>
      <c r="I84" t="str">
        <f t="shared" si="18"/>
        <v/>
      </c>
      <c r="J84" s="120" t="str">
        <f t="shared" si="19"/>
        <v/>
      </c>
      <c r="K84" s="120" t="str">
        <f t="shared" si="20"/>
        <v/>
      </c>
      <c r="L84" t="str">
        <f t="shared" si="21"/>
        <v/>
      </c>
    </row>
    <row r="85" spans="6:12" x14ac:dyDescent="0.2">
      <c r="F85" t="str">
        <f t="shared" si="15"/>
        <v/>
      </c>
      <c r="G85" t="str">
        <f t="shared" si="16"/>
        <v/>
      </c>
      <c r="H85" t="str">
        <f t="shared" si="17"/>
        <v/>
      </c>
      <c r="I85" t="str">
        <f t="shared" si="18"/>
        <v/>
      </c>
      <c r="J85" s="120" t="str">
        <f t="shared" si="19"/>
        <v/>
      </c>
      <c r="K85" s="120" t="str">
        <f t="shared" si="20"/>
        <v/>
      </c>
      <c r="L85" t="str">
        <f t="shared" si="21"/>
        <v/>
      </c>
    </row>
    <row r="86" spans="6:12" x14ac:dyDescent="0.2">
      <c r="F86" t="str">
        <f t="shared" si="15"/>
        <v/>
      </c>
      <c r="G86" t="str">
        <f t="shared" si="16"/>
        <v/>
      </c>
      <c r="H86" t="str">
        <f t="shared" si="17"/>
        <v/>
      </c>
      <c r="I86" t="str">
        <f t="shared" si="18"/>
        <v/>
      </c>
      <c r="J86" s="120" t="str">
        <f t="shared" si="19"/>
        <v/>
      </c>
      <c r="K86" s="120" t="str">
        <f t="shared" si="20"/>
        <v/>
      </c>
      <c r="L86" t="str">
        <f t="shared" si="21"/>
        <v/>
      </c>
    </row>
    <row r="87" spans="6:12" x14ac:dyDescent="0.2">
      <c r="F87" t="str">
        <f t="shared" si="15"/>
        <v/>
      </c>
      <c r="G87" t="str">
        <f t="shared" si="16"/>
        <v/>
      </c>
      <c r="H87" t="str">
        <f t="shared" si="17"/>
        <v/>
      </c>
      <c r="I87" t="str">
        <f t="shared" si="18"/>
        <v/>
      </c>
      <c r="J87" s="120" t="str">
        <f t="shared" si="19"/>
        <v/>
      </c>
      <c r="K87" s="120" t="str">
        <f t="shared" si="20"/>
        <v/>
      </c>
      <c r="L87" t="str">
        <f t="shared" si="21"/>
        <v/>
      </c>
    </row>
    <row r="88" spans="6:12" x14ac:dyDescent="0.2">
      <c r="F88" t="str">
        <f t="shared" si="15"/>
        <v/>
      </c>
      <c r="G88" t="str">
        <f t="shared" si="16"/>
        <v/>
      </c>
      <c r="H88" t="str">
        <f t="shared" si="17"/>
        <v/>
      </c>
      <c r="I88" t="str">
        <f t="shared" si="18"/>
        <v/>
      </c>
      <c r="J88" s="120" t="str">
        <f t="shared" si="19"/>
        <v/>
      </c>
      <c r="K88" s="120" t="str">
        <f t="shared" si="20"/>
        <v/>
      </c>
      <c r="L88" t="str">
        <f t="shared" si="21"/>
        <v/>
      </c>
    </row>
    <row r="89" spans="6:12" x14ac:dyDescent="0.2">
      <c r="F89" t="str">
        <f t="shared" si="15"/>
        <v/>
      </c>
      <c r="G89" t="str">
        <f t="shared" si="16"/>
        <v/>
      </c>
      <c r="H89" t="str">
        <f t="shared" si="17"/>
        <v/>
      </c>
      <c r="I89" t="str">
        <f t="shared" si="18"/>
        <v/>
      </c>
      <c r="J89" s="120" t="str">
        <f t="shared" si="19"/>
        <v/>
      </c>
      <c r="K89" s="120" t="str">
        <f t="shared" si="20"/>
        <v/>
      </c>
      <c r="L89" t="str">
        <f t="shared" si="21"/>
        <v/>
      </c>
    </row>
    <row r="90" spans="6:12" x14ac:dyDescent="0.2">
      <c r="F90" t="str">
        <f t="shared" si="15"/>
        <v/>
      </c>
      <c r="G90" t="str">
        <f t="shared" si="16"/>
        <v/>
      </c>
      <c r="H90" t="str">
        <f t="shared" si="17"/>
        <v/>
      </c>
      <c r="I90" t="str">
        <f t="shared" si="18"/>
        <v/>
      </c>
      <c r="J90" s="120" t="str">
        <f t="shared" si="19"/>
        <v/>
      </c>
      <c r="K90" s="120" t="str">
        <f t="shared" si="20"/>
        <v/>
      </c>
      <c r="L90" t="str">
        <f t="shared" si="21"/>
        <v/>
      </c>
    </row>
    <row r="91" spans="6:12" x14ac:dyDescent="0.2">
      <c r="F91" t="str">
        <f t="shared" si="15"/>
        <v/>
      </c>
      <c r="G91" t="str">
        <f t="shared" si="16"/>
        <v/>
      </c>
      <c r="H91" t="str">
        <f t="shared" si="17"/>
        <v/>
      </c>
      <c r="I91" t="str">
        <f t="shared" si="18"/>
        <v/>
      </c>
      <c r="J91" s="120" t="str">
        <f t="shared" si="19"/>
        <v/>
      </c>
      <c r="K91" s="120" t="str">
        <f t="shared" si="20"/>
        <v/>
      </c>
      <c r="L91" t="str">
        <f t="shared" si="21"/>
        <v/>
      </c>
    </row>
    <row r="92" spans="6:12" x14ac:dyDescent="0.2">
      <c r="F92" t="str">
        <f t="shared" si="15"/>
        <v/>
      </c>
      <c r="G92" t="str">
        <f t="shared" si="16"/>
        <v/>
      </c>
      <c r="H92" t="str">
        <f t="shared" si="17"/>
        <v/>
      </c>
      <c r="I92" t="str">
        <f t="shared" si="18"/>
        <v/>
      </c>
      <c r="J92" s="120" t="str">
        <f t="shared" si="19"/>
        <v/>
      </c>
      <c r="K92" s="120" t="str">
        <f t="shared" si="20"/>
        <v/>
      </c>
      <c r="L92" t="str">
        <f t="shared" si="21"/>
        <v/>
      </c>
    </row>
    <row r="93" spans="6:12" x14ac:dyDescent="0.2">
      <c r="F93" t="str">
        <f t="shared" si="15"/>
        <v/>
      </c>
      <c r="G93" t="str">
        <f t="shared" si="16"/>
        <v/>
      </c>
      <c r="H93" t="str">
        <f t="shared" si="17"/>
        <v/>
      </c>
      <c r="I93" t="str">
        <f t="shared" si="18"/>
        <v/>
      </c>
      <c r="J93" s="120" t="str">
        <f t="shared" si="19"/>
        <v/>
      </c>
      <c r="K93" s="120" t="str">
        <f t="shared" si="20"/>
        <v/>
      </c>
      <c r="L93" t="str">
        <f t="shared" si="21"/>
        <v/>
      </c>
    </row>
    <row r="94" spans="6:12" x14ac:dyDescent="0.2">
      <c r="F94" t="str">
        <f t="shared" si="15"/>
        <v/>
      </c>
      <c r="G94" t="str">
        <f t="shared" si="16"/>
        <v/>
      </c>
      <c r="H94" t="str">
        <f t="shared" si="17"/>
        <v/>
      </c>
      <c r="I94" t="str">
        <f t="shared" si="18"/>
        <v/>
      </c>
      <c r="J94" s="120" t="str">
        <f t="shared" si="19"/>
        <v/>
      </c>
      <c r="K94" s="120" t="str">
        <f t="shared" si="20"/>
        <v/>
      </c>
      <c r="L94" t="str">
        <f t="shared" si="21"/>
        <v/>
      </c>
    </row>
    <row r="95" spans="6:12" x14ac:dyDescent="0.2">
      <c r="F95" t="str">
        <f t="shared" si="15"/>
        <v/>
      </c>
      <c r="G95" t="str">
        <f t="shared" si="16"/>
        <v/>
      </c>
      <c r="H95" t="str">
        <f t="shared" si="17"/>
        <v/>
      </c>
      <c r="I95" t="str">
        <f t="shared" si="18"/>
        <v/>
      </c>
      <c r="J95" s="120" t="str">
        <f t="shared" si="19"/>
        <v/>
      </c>
      <c r="K95" s="120" t="str">
        <f t="shared" si="20"/>
        <v/>
      </c>
      <c r="L95" t="str">
        <f t="shared" si="21"/>
        <v/>
      </c>
    </row>
    <row r="96" spans="6:12" x14ac:dyDescent="0.2">
      <c r="F96" t="str">
        <f t="shared" si="15"/>
        <v/>
      </c>
      <c r="G96" t="str">
        <f t="shared" si="16"/>
        <v/>
      </c>
      <c r="H96" t="str">
        <f t="shared" si="17"/>
        <v/>
      </c>
      <c r="I96" t="str">
        <f t="shared" si="18"/>
        <v/>
      </c>
      <c r="J96" s="120" t="str">
        <f t="shared" si="19"/>
        <v/>
      </c>
      <c r="K96" s="120" t="str">
        <f t="shared" si="20"/>
        <v/>
      </c>
      <c r="L96" t="str">
        <f t="shared" si="21"/>
        <v/>
      </c>
    </row>
    <row r="97" spans="6:12" x14ac:dyDescent="0.2">
      <c r="F97" t="str">
        <f t="shared" si="15"/>
        <v/>
      </c>
      <c r="G97" t="str">
        <f t="shared" si="16"/>
        <v/>
      </c>
      <c r="H97" t="str">
        <f t="shared" si="17"/>
        <v/>
      </c>
      <c r="I97" t="str">
        <f t="shared" si="18"/>
        <v/>
      </c>
      <c r="J97" s="120" t="str">
        <f t="shared" si="19"/>
        <v/>
      </c>
      <c r="K97" s="120" t="str">
        <f t="shared" si="20"/>
        <v/>
      </c>
      <c r="L97" t="str">
        <f t="shared" si="21"/>
        <v/>
      </c>
    </row>
    <row r="98" spans="6:12" x14ac:dyDescent="0.2">
      <c r="F98" t="str">
        <f t="shared" si="15"/>
        <v/>
      </c>
      <c r="G98" t="str">
        <f t="shared" si="16"/>
        <v/>
      </c>
      <c r="H98" t="str">
        <f t="shared" si="17"/>
        <v/>
      </c>
      <c r="I98" t="str">
        <f t="shared" si="18"/>
        <v/>
      </c>
      <c r="J98" s="120" t="str">
        <f t="shared" si="19"/>
        <v/>
      </c>
      <c r="K98" s="120" t="str">
        <f t="shared" si="20"/>
        <v/>
      </c>
      <c r="L98" t="str">
        <f t="shared" si="21"/>
        <v/>
      </c>
    </row>
    <row r="99" spans="6:12" x14ac:dyDescent="0.2">
      <c r="F99" t="str">
        <f t="shared" si="15"/>
        <v/>
      </c>
      <c r="G99" t="str">
        <f t="shared" si="16"/>
        <v/>
      </c>
      <c r="H99" t="str">
        <f t="shared" si="17"/>
        <v/>
      </c>
      <c r="I99" t="str">
        <f t="shared" si="18"/>
        <v/>
      </c>
      <c r="J99" s="120" t="str">
        <f t="shared" si="19"/>
        <v/>
      </c>
      <c r="K99" s="120" t="str">
        <f t="shared" si="20"/>
        <v/>
      </c>
      <c r="L99" t="str">
        <f t="shared" si="21"/>
        <v/>
      </c>
    </row>
    <row r="100" spans="6:12" x14ac:dyDescent="0.2">
      <c r="F100" t="str">
        <f t="shared" si="15"/>
        <v/>
      </c>
      <c r="G100" t="str">
        <f t="shared" si="16"/>
        <v/>
      </c>
      <c r="H100" t="str">
        <f t="shared" si="17"/>
        <v/>
      </c>
      <c r="I100" t="str">
        <f t="shared" si="18"/>
        <v/>
      </c>
      <c r="J100" s="120" t="str">
        <f t="shared" si="19"/>
        <v/>
      </c>
      <c r="K100" s="120" t="str">
        <f t="shared" si="20"/>
        <v/>
      </c>
      <c r="L100" t="str">
        <f t="shared" si="21"/>
        <v/>
      </c>
    </row>
    <row r="101" spans="6:12" x14ac:dyDescent="0.2">
      <c r="F101" t="str">
        <f t="shared" si="15"/>
        <v/>
      </c>
      <c r="G101" t="str">
        <f t="shared" si="16"/>
        <v/>
      </c>
      <c r="H101" t="str">
        <f t="shared" si="17"/>
        <v/>
      </c>
      <c r="I101" t="str">
        <f t="shared" si="18"/>
        <v/>
      </c>
      <c r="J101" s="120" t="str">
        <f t="shared" si="19"/>
        <v/>
      </c>
      <c r="K101" s="120" t="str">
        <f t="shared" si="20"/>
        <v/>
      </c>
      <c r="L101" t="str">
        <f t="shared" si="21"/>
        <v/>
      </c>
    </row>
    <row r="102" spans="6:12" x14ac:dyDescent="0.2">
      <c r="F102" t="str">
        <f t="shared" si="15"/>
        <v/>
      </c>
      <c r="G102" t="str">
        <f t="shared" si="16"/>
        <v/>
      </c>
      <c r="H102" t="str">
        <f t="shared" si="17"/>
        <v/>
      </c>
      <c r="I102" t="str">
        <f t="shared" si="18"/>
        <v/>
      </c>
      <c r="J102" s="120" t="str">
        <f t="shared" si="19"/>
        <v/>
      </c>
      <c r="K102" s="120" t="str">
        <f t="shared" si="20"/>
        <v/>
      </c>
      <c r="L102" t="str">
        <f t="shared" si="21"/>
        <v/>
      </c>
    </row>
    <row r="103" spans="6:12" x14ac:dyDescent="0.2">
      <c r="F103" t="str">
        <f t="shared" si="15"/>
        <v/>
      </c>
      <c r="G103" t="str">
        <f t="shared" si="16"/>
        <v/>
      </c>
      <c r="H103" t="str">
        <f t="shared" si="17"/>
        <v/>
      </c>
      <c r="I103" t="str">
        <f t="shared" si="18"/>
        <v/>
      </c>
      <c r="J103" s="120" t="str">
        <f t="shared" si="19"/>
        <v/>
      </c>
      <c r="K103" s="120" t="str">
        <f t="shared" si="20"/>
        <v/>
      </c>
      <c r="L103" t="str">
        <f t="shared" si="21"/>
        <v/>
      </c>
    </row>
    <row r="104" spans="6:12" x14ac:dyDescent="0.2">
      <c r="F104" t="str">
        <f t="shared" si="15"/>
        <v/>
      </c>
      <c r="G104" t="str">
        <f t="shared" si="16"/>
        <v/>
      </c>
      <c r="H104" t="str">
        <f t="shared" si="17"/>
        <v/>
      </c>
      <c r="I104" t="str">
        <f t="shared" si="18"/>
        <v/>
      </c>
      <c r="J104" s="120" t="str">
        <f t="shared" si="19"/>
        <v/>
      </c>
      <c r="K104" s="120" t="str">
        <f t="shared" si="20"/>
        <v/>
      </c>
      <c r="L104" t="str">
        <f t="shared" si="21"/>
        <v/>
      </c>
    </row>
    <row r="105" spans="6:12" x14ac:dyDescent="0.2">
      <c r="F105" t="str">
        <f t="shared" si="15"/>
        <v/>
      </c>
      <c r="G105" t="str">
        <f t="shared" si="16"/>
        <v/>
      </c>
      <c r="H105" t="str">
        <f t="shared" si="17"/>
        <v/>
      </c>
      <c r="I105" t="str">
        <f t="shared" si="18"/>
        <v/>
      </c>
      <c r="J105" s="120" t="str">
        <f t="shared" si="19"/>
        <v/>
      </c>
      <c r="K105" s="120" t="str">
        <f t="shared" si="20"/>
        <v/>
      </c>
      <c r="L105" t="str">
        <f t="shared" si="21"/>
        <v/>
      </c>
    </row>
    <row r="106" spans="6:12" x14ac:dyDescent="0.2">
      <c r="F106" t="str">
        <f t="shared" si="15"/>
        <v/>
      </c>
      <c r="G106" t="str">
        <f t="shared" si="16"/>
        <v/>
      </c>
      <c r="H106" t="str">
        <f t="shared" si="17"/>
        <v/>
      </c>
      <c r="I106" t="str">
        <f t="shared" si="18"/>
        <v/>
      </c>
      <c r="J106" s="120" t="str">
        <f t="shared" si="19"/>
        <v/>
      </c>
      <c r="K106" s="120" t="str">
        <f t="shared" si="20"/>
        <v/>
      </c>
      <c r="L106" t="str">
        <f t="shared" si="21"/>
        <v/>
      </c>
    </row>
    <row r="107" spans="6:12" x14ac:dyDescent="0.2">
      <c r="F107" t="str">
        <f t="shared" si="15"/>
        <v/>
      </c>
      <c r="G107" t="str">
        <f t="shared" si="16"/>
        <v/>
      </c>
      <c r="H107" t="str">
        <f t="shared" si="17"/>
        <v/>
      </c>
      <c r="I107" t="str">
        <f t="shared" si="18"/>
        <v/>
      </c>
      <c r="J107" s="120" t="str">
        <f t="shared" si="19"/>
        <v/>
      </c>
      <c r="K107" s="120" t="str">
        <f t="shared" si="20"/>
        <v/>
      </c>
      <c r="L107" t="str">
        <f t="shared" si="21"/>
        <v/>
      </c>
    </row>
    <row r="108" spans="6:12" x14ac:dyDescent="0.2">
      <c r="F108" t="str">
        <f t="shared" si="15"/>
        <v/>
      </c>
      <c r="G108" t="str">
        <f t="shared" si="16"/>
        <v/>
      </c>
      <c r="H108" t="str">
        <f t="shared" si="17"/>
        <v/>
      </c>
      <c r="I108" t="str">
        <f t="shared" si="18"/>
        <v/>
      </c>
      <c r="J108" s="120" t="str">
        <f t="shared" si="19"/>
        <v/>
      </c>
      <c r="K108" s="120" t="str">
        <f t="shared" si="20"/>
        <v/>
      </c>
      <c r="L108" t="str">
        <f t="shared" si="21"/>
        <v/>
      </c>
    </row>
    <row r="109" spans="6:12" x14ac:dyDescent="0.2">
      <c r="F109" t="str">
        <f t="shared" si="15"/>
        <v/>
      </c>
      <c r="G109" t="str">
        <f t="shared" si="16"/>
        <v/>
      </c>
      <c r="H109" t="str">
        <f t="shared" si="17"/>
        <v/>
      </c>
      <c r="I109" t="str">
        <f t="shared" si="18"/>
        <v/>
      </c>
      <c r="J109" s="120" t="str">
        <f t="shared" si="19"/>
        <v/>
      </c>
      <c r="K109" s="120" t="str">
        <f t="shared" si="20"/>
        <v/>
      </c>
      <c r="L109" t="str">
        <f t="shared" si="21"/>
        <v/>
      </c>
    </row>
    <row r="110" spans="6:12" x14ac:dyDescent="0.2">
      <c r="F110" t="str">
        <f t="shared" si="15"/>
        <v/>
      </c>
      <c r="G110" t="str">
        <f t="shared" si="16"/>
        <v/>
      </c>
      <c r="H110" t="str">
        <f t="shared" si="17"/>
        <v/>
      </c>
      <c r="I110" t="str">
        <f t="shared" si="18"/>
        <v/>
      </c>
      <c r="J110" s="120" t="str">
        <f t="shared" si="19"/>
        <v/>
      </c>
      <c r="K110" s="120" t="str">
        <f t="shared" si="20"/>
        <v/>
      </c>
      <c r="L110" t="str">
        <f t="shared" si="21"/>
        <v/>
      </c>
    </row>
    <row r="111" spans="6:12" x14ac:dyDescent="0.2">
      <c r="F111" t="str">
        <f t="shared" si="15"/>
        <v/>
      </c>
      <c r="G111" t="str">
        <f t="shared" si="16"/>
        <v/>
      </c>
      <c r="H111" t="str">
        <f t="shared" si="17"/>
        <v/>
      </c>
      <c r="I111" t="str">
        <f t="shared" si="18"/>
        <v/>
      </c>
      <c r="J111" s="120" t="str">
        <f t="shared" si="19"/>
        <v/>
      </c>
      <c r="K111" s="120" t="str">
        <f t="shared" si="20"/>
        <v/>
      </c>
      <c r="L111" t="str">
        <f t="shared" si="21"/>
        <v/>
      </c>
    </row>
    <row r="112" spans="6:12" x14ac:dyDescent="0.2">
      <c r="F112" t="str">
        <f t="shared" si="15"/>
        <v/>
      </c>
      <c r="G112" t="str">
        <f t="shared" si="16"/>
        <v/>
      </c>
      <c r="H112" t="str">
        <f t="shared" si="17"/>
        <v/>
      </c>
      <c r="I112" t="str">
        <f t="shared" si="18"/>
        <v/>
      </c>
      <c r="J112" s="120" t="str">
        <f t="shared" si="19"/>
        <v/>
      </c>
      <c r="K112" s="120" t="str">
        <f t="shared" si="20"/>
        <v/>
      </c>
      <c r="L112" t="str">
        <f t="shared" si="21"/>
        <v/>
      </c>
    </row>
    <row r="113" spans="6:12" x14ac:dyDescent="0.2">
      <c r="F113" t="str">
        <f t="shared" si="15"/>
        <v/>
      </c>
      <c r="G113" t="str">
        <f t="shared" si="16"/>
        <v/>
      </c>
      <c r="H113" t="str">
        <f t="shared" si="17"/>
        <v/>
      </c>
      <c r="I113" t="str">
        <f t="shared" si="18"/>
        <v/>
      </c>
      <c r="J113" s="120" t="str">
        <f t="shared" si="19"/>
        <v/>
      </c>
      <c r="K113" s="120" t="str">
        <f t="shared" si="20"/>
        <v/>
      </c>
      <c r="L113" t="str">
        <f t="shared" si="21"/>
        <v/>
      </c>
    </row>
    <row r="114" spans="6:12" x14ac:dyDescent="0.2">
      <c r="F114" t="str">
        <f t="shared" ref="F114:F137" si="22">IF($A114="","",COUNTIF($A$18:$A$137,$A114))</f>
        <v/>
      </c>
      <c r="G114" t="str">
        <f t="shared" ref="G114:G137" si="23">IF($A114="","",$B$4*(1+IF(UPPER($E114)="Y",1,0)))</f>
        <v/>
      </c>
      <c r="H114" t="str">
        <f t="shared" ref="H114:H137" si="24">IF($A114="","",SUMIF($A$18:$A$137,$A114,$G$18:$G$137))</f>
        <v/>
      </c>
      <c r="I114" t="str">
        <f t="shared" ref="I114:I137" si="25">IF($A114="","",IF($F114&lt;$B$6,0,IFERROR(INDEX($E$5:$K$14,$D114,$F114-3),0)))</f>
        <v/>
      </c>
      <c r="J114" s="120" t="str">
        <f t="shared" ref="J114:J137" si="26">IF($A114="","",$H114*$I114/100)</f>
        <v/>
      </c>
      <c r="K114" s="120" t="str">
        <f t="shared" ref="K114:K137" si="27">IF($A114="","",IF($F114&lt;$B$6,0,$J114-$G114))</f>
        <v/>
      </c>
      <c r="L114" t="str">
        <f t="shared" ref="L114:L137" si="28">IF($A114="","",IF($F114&lt;$B$6,"NEED 4+ PLAYERS",IF($F114&gt;$B$7,"MAX 10 PLAYERS",IF($D114="","ADD FINISH",IF(COUNTIFS($A$18:$A$137,$A114,$D$18:$D$137,$D114)&gt;1,"DUPLICATE FINISH",IF(OR($D114&lt;1,$D114&gt;$F114),"BAD FINISH",IF(ABS(SUMIF($A$18:$A$137,$A114,$K$18:$K$137))&gt;0.6,"POT LEAK","OK")))))))</f>
        <v/>
      </c>
    </row>
    <row r="115" spans="6:12" x14ac:dyDescent="0.2">
      <c r="F115" t="str">
        <f t="shared" si="22"/>
        <v/>
      </c>
      <c r="G115" t="str">
        <f t="shared" si="23"/>
        <v/>
      </c>
      <c r="H115" t="str">
        <f t="shared" si="24"/>
        <v/>
      </c>
      <c r="I115" t="str">
        <f t="shared" si="25"/>
        <v/>
      </c>
      <c r="J115" s="120" t="str">
        <f t="shared" si="26"/>
        <v/>
      </c>
      <c r="K115" s="120" t="str">
        <f t="shared" si="27"/>
        <v/>
      </c>
      <c r="L115" t="str">
        <f t="shared" si="28"/>
        <v/>
      </c>
    </row>
    <row r="116" spans="6:12" x14ac:dyDescent="0.2">
      <c r="F116" t="str">
        <f t="shared" si="22"/>
        <v/>
      </c>
      <c r="G116" t="str">
        <f t="shared" si="23"/>
        <v/>
      </c>
      <c r="H116" t="str">
        <f t="shared" si="24"/>
        <v/>
      </c>
      <c r="I116" t="str">
        <f t="shared" si="25"/>
        <v/>
      </c>
      <c r="J116" s="120" t="str">
        <f t="shared" si="26"/>
        <v/>
      </c>
      <c r="K116" s="120" t="str">
        <f t="shared" si="27"/>
        <v/>
      </c>
      <c r="L116" t="str">
        <f t="shared" si="28"/>
        <v/>
      </c>
    </row>
    <row r="117" spans="6:12" x14ac:dyDescent="0.2">
      <c r="F117" t="str">
        <f t="shared" si="22"/>
        <v/>
      </c>
      <c r="G117" t="str">
        <f t="shared" si="23"/>
        <v/>
      </c>
      <c r="H117" t="str">
        <f t="shared" si="24"/>
        <v/>
      </c>
      <c r="I117" t="str">
        <f t="shared" si="25"/>
        <v/>
      </c>
      <c r="J117" s="120" t="str">
        <f t="shared" si="26"/>
        <v/>
      </c>
      <c r="K117" s="120" t="str">
        <f t="shared" si="27"/>
        <v/>
      </c>
      <c r="L117" t="str">
        <f t="shared" si="28"/>
        <v/>
      </c>
    </row>
    <row r="118" spans="6:12" x14ac:dyDescent="0.2">
      <c r="F118" t="str">
        <f t="shared" si="22"/>
        <v/>
      </c>
      <c r="G118" t="str">
        <f t="shared" si="23"/>
        <v/>
      </c>
      <c r="H118" t="str">
        <f t="shared" si="24"/>
        <v/>
      </c>
      <c r="I118" t="str">
        <f t="shared" si="25"/>
        <v/>
      </c>
      <c r="J118" s="120" t="str">
        <f t="shared" si="26"/>
        <v/>
      </c>
      <c r="K118" s="120" t="str">
        <f t="shared" si="27"/>
        <v/>
      </c>
      <c r="L118" t="str">
        <f t="shared" si="28"/>
        <v/>
      </c>
    </row>
    <row r="119" spans="6:12" x14ac:dyDescent="0.2">
      <c r="F119" t="str">
        <f t="shared" si="22"/>
        <v/>
      </c>
      <c r="G119" t="str">
        <f t="shared" si="23"/>
        <v/>
      </c>
      <c r="H119" t="str">
        <f t="shared" si="24"/>
        <v/>
      </c>
      <c r="I119" t="str">
        <f t="shared" si="25"/>
        <v/>
      </c>
      <c r="J119" s="120" t="str">
        <f t="shared" si="26"/>
        <v/>
      </c>
      <c r="K119" s="120" t="str">
        <f t="shared" si="27"/>
        <v/>
      </c>
      <c r="L119" t="str">
        <f t="shared" si="28"/>
        <v/>
      </c>
    </row>
    <row r="120" spans="6:12" x14ac:dyDescent="0.2">
      <c r="F120" t="str">
        <f t="shared" si="22"/>
        <v/>
      </c>
      <c r="G120" t="str">
        <f t="shared" si="23"/>
        <v/>
      </c>
      <c r="H120" t="str">
        <f t="shared" si="24"/>
        <v/>
      </c>
      <c r="I120" t="str">
        <f t="shared" si="25"/>
        <v/>
      </c>
      <c r="J120" s="120" t="str">
        <f t="shared" si="26"/>
        <v/>
      </c>
      <c r="K120" s="120" t="str">
        <f t="shared" si="27"/>
        <v/>
      </c>
      <c r="L120" t="str">
        <f t="shared" si="28"/>
        <v/>
      </c>
    </row>
    <row r="121" spans="6:12" x14ac:dyDescent="0.2">
      <c r="F121" t="str">
        <f t="shared" si="22"/>
        <v/>
      </c>
      <c r="G121" t="str">
        <f t="shared" si="23"/>
        <v/>
      </c>
      <c r="H121" t="str">
        <f t="shared" si="24"/>
        <v/>
      </c>
      <c r="I121" t="str">
        <f t="shared" si="25"/>
        <v/>
      </c>
      <c r="J121" s="120" t="str">
        <f t="shared" si="26"/>
        <v/>
      </c>
      <c r="K121" s="120" t="str">
        <f t="shared" si="27"/>
        <v/>
      </c>
      <c r="L121" t="str">
        <f t="shared" si="28"/>
        <v/>
      </c>
    </row>
    <row r="122" spans="6:12" x14ac:dyDescent="0.2">
      <c r="F122" t="str">
        <f t="shared" si="22"/>
        <v/>
      </c>
      <c r="G122" t="str">
        <f t="shared" si="23"/>
        <v/>
      </c>
      <c r="H122" t="str">
        <f t="shared" si="24"/>
        <v/>
      </c>
      <c r="I122" t="str">
        <f t="shared" si="25"/>
        <v/>
      </c>
      <c r="J122" s="120" t="str">
        <f t="shared" si="26"/>
        <v/>
      </c>
      <c r="K122" s="120" t="str">
        <f t="shared" si="27"/>
        <v/>
      </c>
      <c r="L122" t="str">
        <f t="shared" si="28"/>
        <v/>
      </c>
    </row>
    <row r="123" spans="6:12" x14ac:dyDescent="0.2">
      <c r="F123" t="str">
        <f t="shared" si="22"/>
        <v/>
      </c>
      <c r="G123" t="str">
        <f t="shared" si="23"/>
        <v/>
      </c>
      <c r="H123" t="str">
        <f t="shared" si="24"/>
        <v/>
      </c>
      <c r="I123" t="str">
        <f t="shared" si="25"/>
        <v/>
      </c>
      <c r="J123" s="120" t="str">
        <f t="shared" si="26"/>
        <v/>
      </c>
      <c r="K123" s="120" t="str">
        <f t="shared" si="27"/>
        <v/>
      </c>
      <c r="L123" t="str">
        <f t="shared" si="28"/>
        <v/>
      </c>
    </row>
    <row r="124" spans="6:12" x14ac:dyDescent="0.2">
      <c r="F124" t="str">
        <f t="shared" si="22"/>
        <v/>
      </c>
      <c r="G124" t="str">
        <f t="shared" si="23"/>
        <v/>
      </c>
      <c r="H124" t="str">
        <f t="shared" si="24"/>
        <v/>
      </c>
      <c r="I124" t="str">
        <f t="shared" si="25"/>
        <v/>
      </c>
      <c r="J124" s="120" t="str">
        <f t="shared" si="26"/>
        <v/>
      </c>
      <c r="K124" s="120" t="str">
        <f t="shared" si="27"/>
        <v/>
      </c>
      <c r="L124" t="str">
        <f t="shared" si="28"/>
        <v/>
      </c>
    </row>
    <row r="125" spans="6:12" x14ac:dyDescent="0.2">
      <c r="F125" t="str">
        <f t="shared" si="22"/>
        <v/>
      </c>
      <c r="G125" t="str">
        <f t="shared" si="23"/>
        <v/>
      </c>
      <c r="H125" t="str">
        <f t="shared" si="24"/>
        <v/>
      </c>
      <c r="I125" t="str">
        <f t="shared" si="25"/>
        <v/>
      </c>
      <c r="J125" s="120" t="str">
        <f t="shared" si="26"/>
        <v/>
      </c>
      <c r="K125" s="120" t="str">
        <f t="shared" si="27"/>
        <v/>
      </c>
      <c r="L125" t="str">
        <f t="shared" si="28"/>
        <v/>
      </c>
    </row>
    <row r="126" spans="6:12" x14ac:dyDescent="0.2">
      <c r="F126" t="str">
        <f t="shared" si="22"/>
        <v/>
      </c>
      <c r="G126" t="str">
        <f t="shared" si="23"/>
        <v/>
      </c>
      <c r="H126" t="str">
        <f t="shared" si="24"/>
        <v/>
      </c>
      <c r="I126" t="str">
        <f t="shared" si="25"/>
        <v/>
      </c>
      <c r="J126" s="120" t="str">
        <f t="shared" si="26"/>
        <v/>
      </c>
      <c r="K126" s="120" t="str">
        <f t="shared" si="27"/>
        <v/>
      </c>
      <c r="L126" t="str">
        <f t="shared" si="28"/>
        <v/>
      </c>
    </row>
    <row r="127" spans="6:12" x14ac:dyDescent="0.2">
      <c r="F127" t="str">
        <f t="shared" si="22"/>
        <v/>
      </c>
      <c r="G127" t="str">
        <f t="shared" si="23"/>
        <v/>
      </c>
      <c r="H127" t="str">
        <f t="shared" si="24"/>
        <v/>
      </c>
      <c r="I127" t="str">
        <f t="shared" si="25"/>
        <v/>
      </c>
      <c r="J127" s="120" t="str">
        <f t="shared" si="26"/>
        <v/>
      </c>
      <c r="K127" s="120" t="str">
        <f t="shared" si="27"/>
        <v/>
      </c>
      <c r="L127" t="str">
        <f t="shared" si="28"/>
        <v/>
      </c>
    </row>
    <row r="128" spans="6:12" x14ac:dyDescent="0.2">
      <c r="F128" t="str">
        <f t="shared" si="22"/>
        <v/>
      </c>
      <c r="G128" t="str">
        <f t="shared" si="23"/>
        <v/>
      </c>
      <c r="H128" t="str">
        <f t="shared" si="24"/>
        <v/>
      </c>
      <c r="I128" t="str">
        <f t="shared" si="25"/>
        <v/>
      </c>
      <c r="J128" s="120" t="str">
        <f t="shared" si="26"/>
        <v/>
      </c>
      <c r="K128" s="120" t="str">
        <f t="shared" si="27"/>
        <v/>
      </c>
      <c r="L128" t="str">
        <f t="shared" si="28"/>
        <v/>
      </c>
    </row>
    <row r="129" spans="6:12" x14ac:dyDescent="0.2">
      <c r="F129" t="str">
        <f t="shared" si="22"/>
        <v/>
      </c>
      <c r="G129" t="str">
        <f t="shared" si="23"/>
        <v/>
      </c>
      <c r="H129" t="str">
        <f t="shared" si="24"/>
        <v/>
      </c>
      <c r="I129" t="str">
        <f t="shared" si="25"/>
        <v/>
      </c>
      <c r="J129" s="120" t="str">
        <f t="shared" si="26"/>
        <v/>
      </c>
      <c r="K129" s="120" t="str">
        <f t="shared" si="27"/>
        <v/>
      </c>
      <c r="L129" t="str">
        <f t="shared" si="28"/>
        <v/>
      </c>
    </row>
    <row r="130" spans="6:12" x14ac:dyDescent="0.2">
      <c r="F130" t="str">
        <f t="shared" si="22"/>
        <v/>
      </c>
      <c r="G130" t="str">
        <f t="shared" si="23"/>
        <v/>
      </c>
      <c r="H130" t="str">
        <f t="shared" si="24"/>
        <v/>
      </c>
      <c r="I130" t="str">
        <f t="shared" si="25"/>
        <v/>
      </c>
      <c r="J130" s="120" t="str">
        <f t="shared" si="26"/>
        <v/>
      </c>
      <c r="K130" s="120" t="str">
        <f t="shared" si="27"/>
        <v/>
      </c>
      <c r="L130" t="str">
        <f t="shared" si="28"/>
        <v/>
      </c>
    </row>
    <row r="131" spans="6:12" x14ac:dyDescent="0.2">
      <c r="F131" t="str">
        <f t="shared" si="22"/>
        <v/>
      </c>
      <c r="G131" t="str">
        <f t="shared" si="23"/>
        <v/>
      </c>
      <c r="H131" t="str">
        <f t="shared" si="24"/>
        <v/>
      </c>
      <c r="I131" t="str">
        <f t="shared" si="25"/>
        <v/>
      </c>
      <c r="J131" s="120" t="str">
        <f t="shared" si="26"/>
        <v/>
      </c>
      <c r="K131" s="120" t="str">
        <f t="shared" si="27"/>
        <v/>
      </c>
      <c r="L131" t="str">
        <f t="shared" si="28"/>
        <v/>
      </c>
    </row>
    <row r="132" spans="6:12" x14ac:dyDescent="0.2">
      <c r="F132" t="str">
        <f t="shared" si="22"/>
        <v/>
      </c>
      <c r="G132" t="str">
        <f t="shared" si="23"/>
        <v/>
      </c>
      <c r="H132" t="str">
        <f t="shared" si="24"/>
        <v/>
      </c>
      <c r="I132" t="str">
        <f t="shared" si="25"/>
        <v/>
      </c>
      <c r="J132" s="120" t="str">
        <f t="shared" si="26"/>
        <v/>
      </c>
      <c r="K132" s="120" t="str">
        <f t="shared" si="27"/>
        <v/>
      </c>
      <c r="L132" t="str">
        <f t="shared" si="28"/>
        <v/>
      </c>
    </row>
    <row r="133" spans="6:12" x14ac:dyDescent="0.2">
      <c r="F133" t="str">
        <f t="shared" si="22"/>
        <v/>
      </c>
      <c r="G133" t="str">
        <f t="shared" si="23"/>
        <v/>
      </c>
      <c r="H133" t="str">
        <f t="shared" si="24"/>
        <v/>
      </c>
      <c r="I133" t="str">
        <f t="shared" si="25"/>
        <v/>
      </c>
      <c r="J133" s="120" t="str">
        <f t="shared" si="26"/>
        <v/>
      </c>
      <c r="K133" s="120" t="str">
        <f t="shared" si="27"/>
        <v/>
      </c>
      <c r="L133" t="str">
        <f t="shared" si="28"/>
        <v/>
      </c>
    </row>
    <row r="134" spans="6:12" x14ac:dyDescent="0.2">
      <c r="F134" t="str">
        <f t="shared" si="22"/>
        <v/>
      </c>
      <c r="G134" t="str">
        <f t="shared" si="23"/>
        <v/>
      </c>
      <c r="H134" t="str">
        <f t="shared" si="24"/>
        <v/>
      </c>
      <c r="I134" t="str">
        <f t="shared" si="25"/>
        <v/>
      </c>
      <c r="J134" s="120" t="str">
        <f t="shared" si="26"/>
        <v/>
      </c>
      <c r="K134" s="120" t="str">
        <f t="shared" si="27"/>
        <v/>
      </c>
      <c r="L134" t="str">
        <f t="shared" si="28"/>
        <v/>
      </c>
    </row>
    <row r="135" spans="6:12" x14ac:dyDescent="0.2">
      <c r="F135" t="str">
        <f t="shared" si="22"/>
        <v/>
      </c>
      <c r="G135" t="str">
        <f t="shared" si="23"/>
        <v/>
      </c>
      <c r="H135" t="str">
        <f t="shared" si="24"/>
        <v/>
      </c>
      <c r="I135" t="str">
        <f t="shared" si="25"/>
        <v/>
      </c>
      <c r="J135" s="120" t="str">
        <f t="shared" si="26"/>
        <v/>
      </c>
      <c r="K135" s="120" t="str">
        <f t="shared" si="27"/>
        <v/>
      </c>
      <c r="L135" t="str">
        <f t="shared" si="28"/>
        <v/>
      </c>
    </row>
    <row r="136" spans="6:12" x14ac:dyDescent="0.2">
      <c r="F136" t="str">
        <f t="shared" si="22"/>
        <v/>
      </c>
      <c r="G136" t="str">
        <f t="shared" si="23"/>
        <v/>
      </c>
      <c r="H136" t="str">
        <f t="shared" si="24"/>
        <v/>
      </c>
      <c r="I136" t="str">
        <f t="shared" si="25"/>
        <v/>
      </c>
      <c r="J136" s="120" t="str">
        <f t="shared" si="26"/>
        <v/>
      </c>
      <c r="K136" s="120" t="str">
        <f t="shared" si="27"/>
        <v/>
      </c>
      <c r="L136" t="str">
        <f t="shared" si="28"/>
        <v/>
      </c>
    </row>
    <row r="137" spans="6:12" x14ac:dyDescent="0.2">
      <c r="F137" t="str">
        <f t="shared" si="22"/>
        <v/>
      </c>
      <c r="G137" t="str">
        <f t="shared" si="23"/>
        <v/>
      </c>
      <c r="H137" t="str">
        <f t="shared" si="24"/>
        <v/>
      </c>
      <c r="I137" t="str">
        <f t="shared" si="25"/>
        <v/>
      </c>
      <c r="J137" s="120" t="str">
        <f t="shared" si="26"/>
        <v/>
      </c>
      <c r="K137" s="120" t="str">
        <f t="shared" si="27"/>
        <v/>
      </c>
      <c r="L137" t="str">
        <f t="shared" si="28"/>
        <v/>
      </c>
    </row>
  </sheetData>
  <mergeCells count="3">
    <mergeCell ref="A1:C1"/>
    <mergeCell ref="D3:K3"/>
    <mergeCell ref="A2:K2"/>
  </mergeCells>
  <conditionalFormatting sqref="D18:D137">
    <cfRule type="colorScale" priority="21">
      <colorScale>
        <cfvo type="min"/>
        <cfvo type="percentile" val="50"/>
        <cfvo type="max"/>
        <color rgb="FF63BE7B"/>
        <color rgb="FFFFEB84"/>
        <color rgb="FFF8696B"/>
      </colorScale>
    </cfRule>
  </conditionalFormatting>
  <conditionalFormatting sqref="K18:K137">
    <cfRule type="colorScale" priority="22">
      <colorScale>
        <cfvo type="min"/>
        <cfvo type="percentile" val="50"/>
        <cfvo type="max"/>
        <color rgb="FFF8696B"/>
        <color rgb="FFFFEB84"/>
        <color rgb="FF63BE7B"/>
      </colorScale>
    </cfRule>
  </conditionalFormatting>
  <conditionalFormatting sqref="O18:O31">
    <cfRule type="colorScale" priority="23">
      <colorScale>
        <cfvo type="min"/>
        <cfvo type="percentile" val="50"/>
        <cfvo type="max"/>
        <color rgb="FFF8696B"/>
        <color rgb="FFFFEB84"/>
        <color rgb="FF63BE7B"/>
      </colorScale>
    </cfRule>
  </conditionalFormatting>
  <dataValidations count="2">
    <dataValidation type="list" allowBlank="1" showInputMessage="1" showErrorMessage="1" sqref="E18:E137" xr:uid="{00000000-0002-0000-0B00-000001000000}">
      <formula1>"Y,N"</formula1>
    </dataValidation>
    <dataValidation type="whole" allowBlank="1" showInputMessage="1" showErrorMessage="1" sqref="D18:D137" xr:uid="{00000000-0002-0000-0B00-000002000000}">
      <formula1>1</formula1>
      <formula2>10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B00-000000000000}">
          <x14:formula1>
            <xm:f>Lists!$A$2:$A$15</xm:f>
          </x14:formula1>
          <xm:sqref>C18:C137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172EA-60A1-BC43-BF62-46C0A5B5320E}">
  <dimension ref="A1:AI444"/>
  <sheetViews>
    <sheetView zoomScaleNormal="100" workbookViewId="0"/>
  </sheetViews>
  <sheetFormatPr baseColWidth="10" defaultColWidth="8.6640625" defaultRowHeight="15" x14ac:dyDescent="0.2"/>
  <sheetData>
    <row r="1" spans="1:35" ht="15" customHeight="1" x14ac:dyDescent="0.2">
      <c r="A1" t="s">
        <v>328</v>
      </c>
    </row>
    <row r="3" spans="1:35" ht="15" customHeight="1" x14ac:dyDescent="0.2">
      <c r="A3" t="s">
        <v>329</v>
      </c>
      <c r="B3" s="126">
        <f>MAX('Match Log'!$B$4:$B$810)-7</f>
        <v>46207</v>
      </c>
    </row>
    <row r="4" spans="1:35" ht="15" customHeight="1" x14ac:dyDescent="0.2">
      <c r="A4" t="s">
        <v>330</v>
      </c>
      <c r="B4" s="127">
        <f>MAX('Match Log'!$B$4:$B$810)</f>
        <v>46214</v>
      </c>
    </row>
    <row r="5" spans="1:35" x14ac:dyDescent="0.2">
      <c r="B5">
        <f ca="1">TODAY()-7</f>
        <v>46207</v>
      </c>
    </row>
    <row r="6" spans="1:35" ht="15" customHeight="1" x14ac:dyDescent="0.2">
      <c r="A6" t="s">
        <v>156</v>
      </c>
      <c r="B6" t="s">
        <v>230</v>
      </c>
      <c r="C6" t="s">
        <v>160</v>
      </c>
      <c r="D6" t="s">
        <v>114</v>
      </c>
      <c r="E6" t="s">
        <v>331</v>
      </c>
      <c r="F6" t="s">
        <v>332</v>
      </c>
      <c r="G6" t="s">
        <v>333</v>
      </c>
      <c r="H6" t="s">
        <v>89</v>
      </c>
      <c r="I6" t="s">
        <v>334</v>
      </c>
      <c r="J6" t="s">
        <v>335</v>
      </c>
      <c r="K6" t="s">
        <v>336</v>
      </c>
      <c r="L6" t="s">
        <v>163</v>
      </c>
      <c r="P6" t="s">
        <v>337</v>
      </c>
      <c r="Q6" t="s">
        <v>338</v>
      </c>
      <c r="R6" t="s">
        <v>339</v>
      </c>
      <c r="S6" t="s">
        <v>340</v>
      </c>
      <c r="T6" t="s">
        <v>97</v>
      </c>
      <c r="U6" t="s">
        <v>341</v>
      </c>
      <c r="V6" t="s">
        <v>342</v>
      </c>
      <c r="W6" t="s">
        <v>343</v>
      </c>
      <c r="X6" t="s">
        <v>344</v>
      </c>
      <c r="Y6" t="s">
        <v>345</v>
      </c>
      <c r="Z6" t="s">
        <v>346</v>
      </c>
      <c r="AA6" t="s">
        <v>347</v>
      </c>
      <c r="AB6" t="s">
        <v>348</v>
      </c>
      <c r="AC6" t="s">
        <v>349</v>
      </c>
      <c r="AD6" t="s">
        <v>350</v>
      </c>
      <c r="AE6" t="s">
        <v>351</v>
      </c>
      <c r="AF6" t="s">
        <v>98</v>
      </c>
    </row>
    <row r="7" spans="1:35" ht="15" customHeight="1" x14ac:dyDescent="0.2">
      <c r="A7" t="s">
        <v>138</v>
      </c>
      <c r="B7">
        <f>IFERROR(INDEX(Engine!$B$2:$B$15,MATCH($A7,Engine!$A$2:$A$15,0)),1000)</f>
        <v>1109.2177733663168</v>
      </c>
      <c r="C7">
        <f>IFERROR(INDEX(Engine!$C$2:$C$15,MATCH($A7,Engine!$A$2:$A$15,0)),"")</f>
        <v>1033.2935723401292</v>
      </c>
      <c r="D7">
        <f t="shared" ref="D7:D20" si="0">RANK($B7,$B$7:$B$20)</f>
        <v>3</v>
      </c>
      <c r="E7">
        <f t="shared" ref="E7:E20" si="1">MAX($B$7:$B$20)-$B7</f>
        <v>58.993570234427352</v>
      </c>
      <c r="F7" t="str">
        <f>IFERROR(LOOKUP(2,1/('Match Log'!$D$4:$D$810=$A7),'Match Log'!$E$4:$E$810),"")</f>
        <v>Loss</v>
      </c>
      <c r="G7">
        <f>IF($F7="",0,SUMPRODUCT(('Match Log'!$D$4:$D$810=$A7)*(ROW('Match Log'!$A$4:$A$810)&gt;SUMPRODUCT(MAX(('Match Log'!$D$4:$D$810=$A7)*('Match Log'!$E$4:$E$810&lt;&gt;$F7)*ROW('Match Log'!$A$4:$A$810))))))</f>
        <v>1</v>
      </c>
      <c r="H7" t="str">
        <f t="shared" ref="H7:H20" si="2">IF($G7=0,"",LEFT($F7,1)&amp;$G7)</f>
        <v>L1</v>
      </c>
      <c r="I7" t="str">
        <f>IFERROR(IF(INDEX('Match Log'!$E$1:$E$810,_xlfn.AGGREGATE(14,6,ROW('Match Log'!$A$4:$A$810)/('Match Log'!$D$4:$D$810=$A7),5))="Win","W","L"),"")&amp;IFERROR(IF(INDEX('Match Log'!$E$1:$E$810,_xlfn.AGGREGATE(14,6,ROW('Match Log'!$A$4:$A$810)/('Match Log'!$D$4:$D$810=$A7),4))="Win","W","L"),"")&amp;IFERROR(IF(INDEX('Match Log'!$E$1:$E$810,_xlfn.AGGREGATE(14,6,ROW('Match Log'!$A$4:$A$810)/('Match Log'!$D$4:$D$810=$A7),3))="Win","W","L"),"")&amp;IFERROR(IF(INDEX('Match Log'!$E$1:$E$810,_xlfn.AGGREGATE(14,6,ROW('Match Log'!$A$4:$A$810)/('Match Log'!$D$4:$D$810=$A7),2))="Win","W","L"),"")&amp;IFERROR(IF(INDEX('Match Log'!$E$1:$E$810,_xlfn.AGGREGATE(14,6,ROW('Match Log'!$A$4:$A$810)/('Match Log'!$D$4:$D$810=$A7),1))="Win","W","L"),"")</f>
        <v>LWWWL</v>
      </c>
      <c r="J7">
        <f>IFERROR(LOOKUP(2,1/(('Match Log'!$D$4:$D$810=$A7)*('Match Log'!$B$4:$B$810&lt;=$B$3)),'Match Log'!$N$4:$N$810),1000)</f>
        <v>1112.3077761293196</v>
      </c>
      <c r="K7">
        <f t="shared" ref="K7:K20" si="3">RANK($J7,$J$7:$J$20)</f>
        <v>4</v>
      </c>
      <c r="L7">
        <f t="shared" ref="L7:L20" si="4">$K7-$D7</f>
        <v>1</v>
      </c>
      <c r="M7">
        <f t="shared" ref="M7:M20" si="5">SUMPRODUCT(($D$25:$D$444=$A7)*($G$25:$G$444&gt;0.25)*($D$25:$D$444&lt;&gt;""))</f>
        <v>2</v>
      </c>
      <c r="N7">
        <f t="shared" ref="N7:N20" si="6">LEN($I7)-LEN(SUBSTITUTE($I7,"W",""))</f>
        <v>3</v>
      </c>
      <c r="O7">
        <f t="shared" ref="O7:O20" si="7">IF($F7="Win",$G7,0)</f>
        <v>0</v>
      </c>
      <c r="P7">
        <f>IFERROR(SUMPRODUCT(MAX(('Match Log'!$D$4:$D$810=$A7)*'Match Log'!$B$4:$B$810)),0)</f>
        <v>46214</v>
      </c>
      <c r="Q7">
        <f t="shared" ref="Q7:Q20" si="8">IF($P7=0,"",($B$4-$P7)/7)</f>
        <v>0</v>
      </c>
      <c r="R7">
        <f>IF($P7=0,0,MAX($Q7-'Guide &amp; Settings'!$C$48,0)*'Guide &amp; Settings'!$C$49)</f>
        <v>0</v>
      </c>
      <c r="S7">
        <f>$B7-$R7-$U7+SUMIF('Poker Stake Ledger'!$C$18:$C$137,$A7,'Poker Stake Ledger'!$K$18:$K$137)</f>
        <v>1109.2177733663168</v>
      </c>
      <c r="T7" t="str">
        <f>IF($P7=0,"No games",IF($Q7&gt;='Guide &amp; Settings'!$C$48,"Inactive",IF($Q7&gt;='Guide &amp; Settings'!$C$47,"At risk","Active")))</f>
        <v>Active</v>
      </c>
      <c r="U7">
        <f>SUMIF('Match Log'!$D$4:$D$810,$A7,'Match Log'!$AC$4:$AC$810)</f>
        <v>0</v>
      </c>
      <c r="V7">
        <f t="shared" ref="V7:V20" si="9">IF($F7="Loss",$G7,0)</f>
        <v>1</v>
      </c>
      <c r="W7">
        <f t="shared" ref="W7:W20" si="10">MAX(0,MIN(100,50+($S7-1000)/4))</f>
        <v>77.304443341579201</v>
      </c>
      <c r="X7">
        <f>IFERROR(INDEX(Dashboard!$G$5:$G$18,MATCH($A7,Dashboard!$B$5:$B$18,0))*100,0)</f>
        <v>56.756756756756758</v>
      </c>
      <c r="Y7">
        <f>MIN(100,IFERROR(INDEX(Dashboard!$K$5:$K$18,MATCH($A7,Dashboard!$B$5:$B$18,0)),0)/5*50+$AC7/4*50)</f>
        <v>100</v>
      </c>
      <c r="Z7">
        <f t="shared" ref="Z7:Z20" si="11">IFERROR($N7/LEN($I7)*100,0)</f>
        <v>60</v>
      </c>
      <c r="AA7">
        <f t="shared" ref="AA7:AA20" si="12">IF($C7="",0,MAX(0,MIN(100,50+($C7-1000)/4)))</f>
        <v>58.323393085032308</v>
      </c>
      <c r="AB7">
        <f t="shared" ref="AB7:AB20" si="13">0.35*$W7+0.2*$X7+0.2*$Y7+0.15*$Z7+0.1*$AA7</f>
        <v>73.240245829407314</v>
      </c>
      <c r="AC7">
        <f>IFERROR(SUMPRODUCT((INDEX('Sport Records'!$B$8:$O$26,0,MATCH($A7,'Sport Records'!$B$7:$O$7,0))&gt;=2)*(INDEX('Sport Records'!$B$52:$O$70,0,MATCH($A7,'Sport Records'!$B$51:$O$51,0))&gt;=0.5)),0)</f>
        <v>5</v>
      </c>
      <c r="AD7">
        <f>IFERROR(INDEX(Dashboard!$D$5:$D$18,MATCH($A7,Dashboard!$B$5:$B$18,0)),0)</f>
        <v>37</v>
      </c>
      <c r="AE7">
        <f>IFERROR(INDEX(Dashboard!$K$5:$K$18,MATCH($A7,Dashboard!$B$5:$B$18,0)),0)</f>
        <v>8</v>
      </c>
      <c r="AF7" t="str">
        <f t="shared" ref="AF7:AF20" si="14">IF($AD7=0,"No games",IF(OR($AD7&lt;5,$AE7&lt;2),"Unranked",IF($AB7&gt;=72,IF(AND($AD7&gt;=8,$AE7&gt;=3),"Elite","Mid"),IF($AB7&gt;=58,IF(AND($AD7&gt;=8,$AE7&gt;=3),"Strong","Mid"),IF($AB7&gt;=44,"Mid","Developing")))))</f>
        <v>Elite</v>
      </c>
      <c r="AG7">
        <f ca="1">COUNTIFS('Match Log'!$D$4:$D$810,$A7,'Match Log'!$B$4:$B$810,"&gt;="&amp;$B$5)</f>
        <v>12</v>
      </c>
      <c r="AH7">
        <f ca="1">COUNTIFS('Match Log'!$D$4:$D$810,$A7,'Match Log'!$B$4:$B$810,"&gt;="&amp;$B$5,'Match Log'!$E$4:$E$810,"Win")</f>
        <v>6</v>
      </c>
      <c r="AI7">
        <f t="shared" ref="AI7:AI20" si="15">IF(ISNUMBER($S7),$S7,-1000000)+ROW()/10000000</f>
        <v>1109.2177740663169</v>
      </c>
    </row>
    <row r="8" spans="1:35" ht="15" customHeight="1" x14ac:dyDescent="0.2">
      <c r="A8" t="s">
        <v>135</v>
      </c>
      <c r="B8">
        <f>IFERROR(INDEX(Engine!$B$2:$B$15,MATCH($A8,Engine!$A$2:$A$15,0)),1000)</f>
        <v>1029.2201908859522</v>
      </c>
      <c r="C8">
        <f>IFERROR(INDEX(Engine!$C$2:$C$15,MATCH($A8,Engine!$A$2:$A$15,0)),"")</f>
        <v>1062.1289503841442</v>
      </c>
      <c r="D8">
        <f t="shared" si="0"/>
        <v>9</v>
      </c>
      <c r="E8">
        <f t="shared" si="1"/>
        <v>138.99115271479195</v>
      </c>
      <c r="F8" t="str">
        <f>IFERROR(LOOKUP(2,1/('Match Log'!$D$4:$D$810=$A8),'Match Log'!$E$4:$E$810),"")</f>
        <v>Loss</v>
      </c>
      <c r="G8">
        <f>IF($F8="",0,SUMPRODUCT(('Match Log'!$D$4:$D$810=$A8)*(ROW('Match Log'!$A$4:$A$810)&gt;SUMPRODUCT(MAX(('Match Log'!$D$4:$D$810=$A8)*('Match Log'!$E$4:$E$810&lt;&gt;$F8)*ROW('Match Log'!$A$4:$A$810))))))</f>
        <v>2</v>
      </c>
      <c r="H8" t="str">
        <f t="shared" si="2"/>
        <v>L2</v>
      </c>
      <c r="I8" t="str">
        <f>IFERROR(IF(INDEX('Match Log'!$E$1:$E$810,_xlfn.AGGREGATE(14,6,ROW('Match Log'!$A$4:$A$810)/('Match Log'!$D$4:$D$810=$A8),5))="Win","W","L"),"")&amp;IFERROR(IF(INDEX('Match Log'!$E$1:$E$810,_xlfn.AGGREGATE(14,6,ROW('Match Log'!$A$4:$A$810)/('Match Log'!$D$4:$D$810=$A8),4))="Win","W","L"),"")&amp;IFERROR(IF(INDEX('Match Log'!$E$1:$E$810,_xlfn.AGGREGATE(14,6,ROW('Match Log'!$A$4:$A$810)/('Match Log'!$D$4:$D$810=$A8),3))="Win","W","L"),"")&amp;IFERROR(IF(INDEX('Match Log'!$E$1:$E$810,_xlfn.AGGREGATE(14,6,ROW('Match Log'!$A$4:$A$810)/('Match Log'!$D$4:$D$810=$A8),2))="Win","W","L"),"")&amp;IFERROR(IF(INDEX('Match Log'!$E$1:$E$810,_xlfn.AGGREGATE(14,6,ROW('Match Log'!$A$4:$A$810)/('Match Log'!$D$4:$D$810=$A8),1))="Win","W","L"),"")</f>
        <v>LWWLL</v>
      </c>
      <c r="J8">
        <f>IFERROR(LOOKUP(2,1/(('Match Log'!$D$4:$D$810=$A8)*('Match Log'!$B$4:$B$810&lt;=$B$3)),'Match Log'!$N$4:$N$810),1000)</f>
        <v>1029.2201908859522</v>
      </c>
      <c r="K8">
        <f t="shared" si="3"/>
        <v>9</v>
      </c>
      <c r="L8">
        <f t="shared" si="4"/>
        <v>0</v>
      </c>
      <c r="M8">
        <f t="shared" si="5"/>
        <v>0</v>
      </c>
      <c r="N8">
        <f t="shared" si="6"/>
        <v>2</v>
      </c>
      <c r="O8">
        <f t="shared" si="7"/>
        <v>0</v>
      </c>
      <c r="P8">
        <f>IFERROR(SUMPRODUCT(MAX(('Match Log'!$D$4:$D$810=$A8)*'Match Log'!$B$4:$B$810)),0)</f>
        <v>46188</v>
      </c>
      <c r="Q8">
        <f t="shared" si="8"/>
        <v>3.7142857142857144</v>
      </c>
      <c r="R8">
        <f>IF($P8=0,0,MAX($Q8-'Guide &amp; Settings'!$C$48,0)*'Guide &amp; Settings'!$C$49)</f>
        <v>0</v>
      </c>
      <c r="S8">
        <f>$B8-$R8-$U8+SUMIF('Poker Stake Ledger'!$C$18:$C$137,$A8,'Poker Stake Ledger'!$K$18:$K$137)</f>
        <v>1029.2201908859522</v>
      </c>
      <c r="T8" t="str">
        <f>IF($P8=0,"No games",IF($Q8&gt;='Guide &amp; Settings'!$C$48,"Inactive",IF($Q8&gt;='Guide &amp; Settings'!$C$47,"At risk","Active")))</f>
        <v>At risk</v>
      </c>
      <c r="U8">
        <f>SUMIF('Match Log'!$D$4:$D$810,$A8,'Match Log'!$AC$4:$AC$810)</f>
        <v>0</v>
      </c>
      <c r="V8">
        <f t="shared" si="9"/>
        <v>2</v>
      </c>
      <c r="W8">
        <f t="shared" si="10"/>
        <v>57.305047721488052</v>
      </c>
      <c r="X8">
        <f>IFERROR(INDEX(Dashboard!$G$5:$G$18,MATCH($A8,Dashboard!$B$5:$B$18,0))*100,0)</f>
        <v>50</v>
      </c>
      <c r="Y8">
        <f>MIN(100,IFERROR(INDEX(Dashboard!$K$5:$K$18,MATCH($A8,Dashboard!$B$5:$B$18,0)),0)/5*50+$AC8/4*50)</f>
        <v>42.5</v>
      </c>
      <c r="Z8">
        <f t="shared" si="11"/>
        <v>40</v>
      </c>
      <c r="AA8">
        <f t="shared" si="12"/>
        <v>65.532237596036055</v>
      </c>
      <c r="AB8">
        <f t="shared" si="13"/>
        <v>51.109990462124422</v>
      </c>
      <c r="AC8">
        <f>IFERROR(SUMPRODUCT((INDEX('Sport Records'!$B$8:$O$26,0,MATCH($A8,'Sport Records'!$B$7:$O$7,0))&gt;=2)*(INDEX('Sport Records'!$B$52:$O$70,0,MATCH($A8,'Sport Records'!$B$51:$O$51,0))&gt;=0.5)),0)</f>
        <v>1</v>
      </c>
      <c r="AD8">
        <f>IFERROR(INDEX(Dashboard!$D$5:$D$18,MATCH($A8,Dashboard!$B$5:$B$18,0)),0)</f>
        <v>10</v>
      </c>
      <c r="AE8">
        <f>IFERROR(INDEX(Dashboard!$K$5:$K$18,MATCH($A8,Dashboard!$B$5:$B$18,0)),0)</f>
        <v>3</v>
      </c>
      <c r="AF8" t="str">
        <f t="shared" si="14"/>
        <v>Mid</v>
      </c>
      <c r="AG8">
        <f ca="1">COUNTIFS('Match Log'!$D$4:$D$810,$A8,'Match Log'!$B$4:$B$810,"&gt;="&amp;$B$5)</f>
        <v>0</v>
      </c>
      <c r="AH8">
        <f ca="1">COUNTIFS('Match Log'!$D$4:$D$810,$A8,'Match Log'!$B$4:$B$810,"&gt;="&amp;$B$5,'Match Log'!$E$4:$E$810,"Win")</f>
        <v>0</v>
      </c>
      <c r="AI8">
        <f t="shared" si="15"/>
        <v>1029.2201916859522</v>
      </c>
    </row>
    <row r="9" spans="1:35" ht="15" customHeight="1" x14ac:dyDescent="0.2">
      <c r="A9" t="s">
        <v>173</v>
      </c>
      <c r="B9">
        <f>IFERROR(INDEX(Engine!$B$2:$B$15,MATCH($A9,Engine!$A$2:$A$15,0)),1000)</f>
        <v>1016.7837867075796</v>
      </c>
      <c r="C9">
        <f>IFERROR(INDEX(Engine!$C$2:$C$15,MATCH($A9,Engine!$A$2:$A$15,0)),"")</f>
        <v>1057.7349845614535</v>
      </c>
      <c r="D9">
        <f t="shared" si="0"/>
        <v>11</v>
      </c>
      <c r="E9">
        <f t="shared" si="1"/>
        <v>151.42755689316459</v>
      </c>
      <c r="F9" t="str">
        <f>IFERROR(LOOKUP(2,1/('Match Log'!$D$4:$D$810=$A9),'Match Log'!$E$4:$E$810),"")</f>
        <v>Win</v>
      </c>
      <c r="G9">
        <f>IF($F9="",0,SUMPRODUCT(('Match Log'!$D$4:$D$810=$A9)*(ROW('Match Log'!$A$4:$A$810)&gt;SUMPRODUCT(MAX(('Match Log'!$D$4:$D$810=$A9)*('Match Log'!$E$4:$E$810&lt;&gt;$F9)*ROW('Match Log'!$A$4:$A$810))))))</f>
        <v>1</v>
      </c>
      <c r="H9" t="str">
        <f t="shared" si="2"/>
        <v>W1</v>
      </c>
      <c r="I9" t="str">
        <f>IFERROR(IF(INDEX('Match Log'!$E$1:$E$810,_xlfn.AGGREGATE(14,6,ROW('Match Log'!$A$4:$A$810)/('Match Log'!$D$4:$D$810=$A9),5))="Win","W","L"),"")&amp;IFERROR(IF(INDEX('Match Log'!$E$1:$E$810,_xlfn.AGGREGATE(14,6,ROW('Match Log'!$A$4:$A$810)/('Match Log'!$D$4:$D$810=$A9),4))="Win","W","L"),"")&amp;IFERROR(IF(INDEX('Match Log'!$E$1:$E$810,_xlfn.AGGREGATE(14,6,ROW('Match Log'!$A$4:$A$810)/('Match Log'!$D$4:$D$810=$A9),3))="Win","W","L"),"")&amp;IFERROR(IF(INDEX('Match Log'!$E$1:$E$810,_xlfn.AGGREGATE(14,6,ROW('Match Log'!$A$4:$A$810)/('Match Log'!$D$4:$D$810=$A9),2))="Win","W","L"),"")&amp;IFERROR(IF(INDEX('Match Log'!$E$1:$E$810,_xlfn.AGGREGATE(14,6,ROW('Match Log'!$A$4:$A$810)/('Match Log'!$D$4:$D$810=$A9),1))="Win","W","L"),"")</f>
        <v>WLLLW</v>
      </c>
      <c r="J9">
        <f>IFERROR(LOOKUP(2,1/(('Match Log'!$D$4:$D$810=$A9)*('Match Log'!$B$4:$B$810&lt;=$B$3)),'Match Log'!$N$4:$N$810),1000)</f>
        <v>1016.7837867075796</v>
      </c>
      <c r="K9">
        <f t="shared" si="3"/>
        <v>10</v>
      </c>
      <c r="L9">
        <f t="shared" si="4"/>
        <v>-1</v>
      </c>
      <c r="M9">
        <f t="shared" si="5"/>
        <v>0</v>
      </c>
      <c r="N9">
        <f t="shared" si="6"/>
        <v>2</v>
      </c>
      <c r="O9">
        <f t="shared" si="7"/>
        <v>1</v>
      </c>
      <c r="P9">
        <f>IFERROR(SUMPRODUCT(MAX(('Match Log'!$D$4:$D$810=$A9)*'Match Log'!$B$4:$B$810)),0)</f>
        <v>46188</v>
      </c>
      <c r="Q9">
        <f t="shared" si="8"/>
        <v>3.7142857142857144</v>
      </c>
      <c r="R9">
        <f>IF($P9=0,0,MAX($Q9-'Guide &amp; Settings'!$C$48,0)*'Guide &amp; Settings'!$C$49)</f>
        <v>0</v>
      </c>
      <c r="S9">
        <f>$B9-$R9-$U9+SUMIF('Poker Stake Ledger'!$C$18:$C$137,$A9,'Poker Stake Ledger'!$K$18:$K$137)</f>
        <v>1016.7837867075796</v>
      </c>
      <c r="T9" t="str">
        <f>IF($P9=0,"No games",IF($Q9&gt;='Guide &amp; Settings'!$C$48,"Inactive",IF($Q9&gt;='Guide &amp; Settings'!$C$47,"At risk","Active")))</f>
        <v>At risk</v>
      </c>
      <c r="U9">
        <f>SUMIF('Match Log'!$D$4:$D$810,$A9,'Match Log'!$AC$4:$AC$810)</f>
        <v>0</v>
      </c>
      <c r="V9">
        <f t="shared" si="9"/>
        <v>0</v>
      </c>
      <c r="W9">
        <f t="shared" si="10"/>
        <v>54.195946676894891</v>
      </c>
      <c r="X9">
        <f>IFERROR(INDEX(Dashboard!$G$5:$G$18,MATCH($A9,Dashboard!$B$5:$B$18,0))*100,0)</f>
        <v>50</v>
      </c>
      <c r="Y9">
        <f>MIN(100,IFERROR(INDEX(Dashboard!$K$5:$K$18,MATCH($A9,Dashboard!$B$5:$B$18,0)),0)/5*50+$AC9/4*50)</f>
        <v>72.5</v>
      </c>
      <c r="Z9">
        <f t="shared" si="11"/>
        <v>40</v>
      </c>
      <c r="AA9">
        <f t="shared" si="12"/>
        <v>64.433746140363382</v>
      </c>
      <c r="AB9">
        <f t="shared" si="13"/>
        <v>55.911955950949547</v>
      </c>
      <c r="AC9">
        <f>IFERROR(SUMPRODUCT((INDEX('Sport Records'!$B$8:$O$26,0,MATCH($A9,'Sport Records'!$B$7:$O$7,0))&gt;=2)*(INDEX('Sport Records'!$B$52:$O$70,0,MATCH($A9,'Sport Records'!$B$51:$O$51,0))&gt;=0.5)),0)</f>
        <v>1</v>
      </c>
      <c r="AD9">
        <f>IFERROR(INDEX(Dashboard!$D$5:$D$18,MATCH($A9,Dashboard!$B$5:$B$18,0)),0)</f>
        <v>10</v>
      </c>
      <c r="AE9">
        <f>IFERROR(INDEX(Dashboard!$K$5:$K$18,MATCH($A9,Dashboard!$B$5:$B$18,0)),0)</f>
        <v>6</v>
      </c>
      <c r="AF9" t="str">
        <f t="shared" si="14"/>
        <v>Mid</v>
      </c>
      <c r="AG9">
        <f ca="1">COUNTIFS('Match Log'!$D$4:$D$810,$A9,'Match Log'!$B$4:$B$810,"&gt;="&amp;$B$5)</f>
        <v>0</v>
      </c>
      <c r="AH9">
        <f ca="1">COUNTIFS('Match Log'!$D$4:$D$810,$A9,'Match Log'!$B$4:$B$810,"&gt;="&amp;$B$5,'Match Log'!$E$4:$E$810,"Win")</f>
        <v>0</v>
      </c>
      <c r="AI9">
        <f t="shared" si="15"/>
        <v>1016.7837876075796</v>
      </c>
    </row>
    <row r="10" spans="1:35" ht="15" customHeight="1" x14ac:dyDescent="0.2">
      <c r="A10" t="s">
        <v>140</v>
      </c>
      <c r="B10">
        <f>IFERROR(INDEX(Engine!$B$2:$B$15,MATCH($A10,Engine!$A$2:$A$15,0)),1000)</f>
        <v>981.92436608474441</v>
      </c>
      <c r="C10">
        <f>IFERROR(INDEX(Engine!$C$2:$C$15,MATCH($A10,Engine!$A$2:$A$15,0)),"")</f>
        <v>1073.8500791258082</v>
      </c>
      <c r="D10">
        <f t="shared" si="0"/>
        <v>13</v>
      </c>
      <c r="E10">
        <f t="shared" si="1"/>
        <v>186.28697751599975</v>
      </c>
      <c r="F10" t="str">
        <f>IFERROR(LOOKUP(2,1/('Match Log'!$D$4:$D$810=$A10),'Match Log'!$E$4:$E$810),"")</f>
        <v>Win</v>
      </c>
      <c r="G10">
        <f>IF($F10="",0,SUMPRODUCT(('Match Log'!$D$4:$D$810=$A10)*(ROW('Match Log'!$A$4:$A$810)&gt;SUMPRODUCT(MAX(('Match Log'!$D$4:$D$810=$A10)*('Match Log'!$E$4:$E$810&lt;&gt;$F10)*ROW('Match Log'!$A$4:$A$810))))))</f>
        <v>2</v>
      </c>
      <c r="H10" t="str">
        <f t="shared" si="2"/>
        <v>W2</v>
      </c>
      <c r="I10" t="str">
        <f>IFERROR(IF(INDEX('Match Log'!$E$1:$E$810,_xlfn.AGGREGATE(14,6,ROW('Match Log'!$A$4:$A$810)/('Match Log'!$D$4:$D$810=$A10),5))="Win","W","L"),"")&amp;IFERROR(IF(INDEX('Match Log'!$E$1:$E$810,_xlfn.AGGREGATE(14,6,ROW('Match Log'!$A$4:$A$810)/('Match Log'!$D$4:$D$810=$A10),4))="Win","W","L"),"")&amp;IFERROR(IF(INDEX('Match Log'!$E$1:$E$810,_xlfn.AGGREGATE(14,6,ROW('Match Log'!$A$4:$A$810)/('Match Log'!$D$4:$D$810=$A10),3))="Win","W","L"),"")&amp;IFERROR(IF(INDEX('Match Log'!$E$1:$E$810,_xlfn.AGGREGATE(14,6,ROW('Match Log'!$A$4:$A$810)/('Match Log'!$D$4:$D$810=$A10),2))="Win","W","L"),"")&amp;IFERROR(IF(INDEX('Match Log'!$E$1:$E$810,_xlfn.AGGREGATE(14,6,ROW('Match Log'!$A$4:$A$810)/('Match Log'!$D$4:$D$810=$A10),1))="Win","W","L"),"")</f>
        <v>LLLWW</v>
      </c>
      <c r="J10">
        <f>IFERROR(LOOKUP(2,1/(('Match Log'!$D$4:$D$810=$A10)*('Match Log'!$B$4:$B$810&lt;=$B$3)),'Match Log'!$N$4:$N$810),1000)</f>
        <v>981.92436608474441</v>
      </c>
      <c r="K10">
        <f t="shared" si="3"/>
        <v>12</v>
      </c>
      <c r="L10">
        <f t="shared" si="4"/>
        <v>-1</v>
      </c>
      <c r="M10">
        <f t="shared" si="5"/>
        <v>0</v>
      </c>
      <c r="N10">
        <f t="shared" si="6"/>
        <v>2</v>
      </c>
      <c r="O10">
        <f t="shared" si="7"/>
        <v>2</v>
      </c>
      <c r="P10">
        <f>IFERROR(SUMPRODUCT(MAX(('Match Log'!$D$4:$D$810=$A10)*'Match Log'!$B$4:$B$810)),0)</f>
        <v>46188</v>
      </c>
      <c r="Q10">
        <f t="shared" si="8"/>
        <v>3.7142857142857144</v>
      </c>
      <c r="R10">
        <f>IF($P10=0,0,MAX($Q10-'Guide &amp; Settings'!$C$48,0)*'Guide &amp; Settings'!$C$49)</f>
        <v>0</v>
      </c>
      <c r="S10">
        <f>$B10-$R10-$U10+SUMIF('Poker Stake Ledger'!$C$18:$C$137,$A10,'Poker Stake Ledger'!$K$18:$K$137)</f>
        <v>981.92436608474441</v>
      </c>
      <c r="T10" t="str">
        <f>IF($P10=0,"No games",IF($Q10&gt;='Guide &amp; Settings'!$C$48,"Inactive",IF($Q10&gt;='Guide &amp; Settings'!$C$47,"At risk","Active")))</f>
        <v>At risk</v>
      </c>
      <c r="U10">
        <f>SUMIF('Match Log'!$D$4:$D$810,$A10,'Match Log'!$AC$4:$AC$810)</f>
        <v>0</v>
      </c>
      <c r="V10">
        <f t="shared" si="9"/>
        <v>0</v>
      </c>
      <c r="W10">
        <f t="shared" si="10"/>
        <v>45.481091521186102</v>
      </c>
      <c r="X10">
        <f>IFERROR(INDEX(Dashboard!$G$5:$G$18,MATCH($A10,Dashboard!$B$5:$B$18,0))*100,0)</f>
        <v>28.571428571428569</v>
      </c>
      <c r="Y10">
        <f>MIN(100,IFERROR(INDEX(Dashboard!$K$5:$K$18,MATCH($A10,Dashboard!$B$5:$B$18,0)),0)/5*50+$AC10/4*50)</f>
        <v>30</v>
      </c>
      <c r="Z10">
        <f t="shared" si="11"/>
        <v>40</v>
      </c>
      <c r="AA10">
        <f t="shared" si="12"/>
        <v>68.462519781452045</v>
      </c>
      <c r="AB10">
        <f t="shared" si="13"/>
        <v>40.478919724846051</v>
      </c>
      <c r="AC10">
        <f>IFERROR(SUMPRODUCT((INDEX('Sport Records'!$B$8:$O$26,0,MATCH($A10,'Sport Records'!$B$7:$O$7,0))&gt;=2)*(INDEX('Sport Records'!$B$52:$O$70,0,MATCH($A10,'Sport Records'!$B$51:$O$51,0))&gt;=0.5)),0)</f>
        <v>0</v>
      </c>
      <c r="AD10">
        <f>IFERROR(INDEX(Dashboard!$D$5:$D$18,MATCH($A10,Dashboard!$B$5:$B$18,0)),0)</f>
        <v>14</v>
      </c>
      <c r="AE10">
        <f>IFERROR(INDEX(Dashboard!$K$5:$K$18,MATCH($A10,Dashboard!$B$5:$B$18,0)),0)</f>
        <v>3</v>
      </c>
      <c r="AF10" t="str">
        <f t="shared" si="14"/>
        <v>Developing</v>
      </c>
      <c r="AG10">
        <f ca="1">COUNTIFS('Match Log'!$D$4:$D$810,$A10,'Match Log'!$B$4:$B$810,"&gt;="&amp;$B$5)</f>
        <v>0</v>
      </c>
      <c r="AH10">
        <f ca="1">COUNTIFS('Match Log'!$D$4:$D$810,$A10,'Match Log'!$B$4:$B$810,"&gt;="&amp;$B$5,'Match Log'!$E$4:$E$810,"Win")</f>
        <v>0</v>
      </c>
      <c r="AI10">
        <f t="shared" si="15"/>
        <v>981.9243670847444</v>
      </c>
    </row>
    <row r="11" spans="1:35" ht="15" customHeight="1" x14ac:dyDescent="0.2">
      <c r="A11" t="s">
        <v>137</v>
      </c>
      <c r="B11">
        <f>IFERROR(INDEX(Engine!$B$2:$B$15,MATCH($A11,Engine!$A$2:$A$15,0)),1000)</f>
        <v>1129.7012289075892</v>
      </c>
      <c r="C11">
        <f>IFERROR(INDEX(Engine!$C$2:$C$15,MATCH($A11,Engine!$A$2:$A$15,0)),"")</f>
        <v>1040.5738512021542</v>
      </c>
      <c r="D11">
        <f t="shared" si="0"/>
        <v>2</v>
      </c>
      <c r="E11">
        <f t="shared" si="1"/>
        <v>38.510114693154947</v>
      </c>
      <c r="F11" t="str">
        <f>IFERROR(LOOKUP(2,1/('Match Log'!$D$4:$D$810=$A11),'Match Log'!$E$4:$E$810),"")</f>
        <v>Loss</v>
      </c>
      <c r="G11">
        <f>IF($F11="",0,SUMPRODUCT(('Match Log'!$D$4:$D$810=$A11)*(ROW('Match Log'!$A$4:$A$810)&gt;SUMPRODUCT(MAX(('Match Log'!$D$4:$D$810=$A11)*('Match Log'!$E$4:$E$810&lt;&gt;$F11)*ROW('Match Log'!$A$4:$A$810))))))</f>
        <v>1</v>
      </c>
      <c r="H11" t="str">
        <f t="shared" si="2"/>
        <v>L1</v>
      </c>
      <c r="I11" t="str">
        <f>IFERROR(IF(INDEX('Match Log'!$E$1:$E$810,_xlfn.AGGREGATE(14,6,ROW('Match Log'!$A$4:$A$810)/('Match Log'!$D$4:$D$810=$A11),5))="Win","W","L"),"")&amp;IFERROR(IF(INDEX('Match Log'!$E$1:$E$810,_xlfn.AGGREGATE(14,6,ROW('Match Log'!$A$4:$A$810)/('Match Log'!$D$4:$D$810=$A11),4))="Win","W","L"),"")&amp;IFERROR(IF(INDEX('Match Log'!$E$1:$E$810,_xlfn.AGGREGATE(14,6,ROW('Match Log'!$A$4:$A$810)/('Match Log'!$D$4:$D$810=$A11),3))="Win","W","L"),"")&amp;IFERROR(IF(INDEX('Match Log'!$E$1:$E$810,_xlfn.AGGREGATE(14,6,ROW('Match Log'!$A$4:$A$810)/('Match Log'!$D$4:$D$810=$A11),2))="Win","W","L"),"")&amp;IFERROR(IF(INDEX('Match Log'!$E$1:$E$810,_xlfn.AGGREGATE(14,6,ROW('Match Log'!$A$4:$A$810)/('Match Log'!$D$4:$D$810=$A11),1))="Win","W","L"),"")</f>
        <v>LLWWL</v>
      </c>
      <c r="J11">
        <f>IFERROR(LOOKUP(2,1/(('Match Log'!$D$4:$D$810=$A11)*('Match Log'!$B$4:$B$810&lt;=$B$3)),'Match Log'!$N$4:$N$810),1000)</f>
        <v>1129.7012289075892</v>
      </c>
      <c r="K11">
        <f t="shared" si="3"/>
        <v>3</v>
      </c>
      <c r="L11">
        <f t="shared" si="4"/>
        <v>1</v>
      </c>
      <c r="M11">
        <f t="shared" si="5"/>
        <v>1</v>
      </c>
      <c r="N11">
        <f t="shared" si="6"/>
        <v>2</v>
      </c>
      <c r="O11">
        <f t="shared" si="7"/>
        <v>0</v>
      </c>
      <c r="P11">
        <f>IFERROR(SUMPRODUCT(MAX(('Match Log'!$D$4:$D$810=$A11)*'Match Log'!$B$4:$B$810)),0)</f>
        <v>46199</v>
      </c>
      <c r="Q11">
        <f t="shared" si="8"/>
        <v>2.1428571428571428</v>
      </c>
      <c r="R11">
        <f>IF($P11=0,0,MAX($Q11-'Guide &amp; Settings'!$C$48,0)*'Guide &amp; Settings'!$C$49)</f>
        <v>0</v>
      </c>
      <c r="S11">
        <f>$B11-$R11-$U11+SUMIF('Poker Stake Ledger'!$C$18:$C$137,$A11,'Poker Stake Ledger'!$K$18:$K$137)</f>
        <v>1129.7012289075892</v>
      </c>
      <c r="T11" t="str">
        <f>IF($P11=0,"No games",IF($Q11&gt;='Guide &amp; Settings'!$C$48,"Inactive",IF($Q11&gt;='Guide &amp; Settings'!$C$47,"At risk","Active")))</f>
        <v>At risk</v>
      </c>
      <c r="U11">
        <f>SUMIF('Match Log'!$D$4:$D$810,$A11,'Match Log'!$AC$4:$AC$810)</f>
        <v>0</v>
      </c>
      <c r="V11">
        <f t="shared" si="9"/>
        <v>1</v>
      </c>
      <c r="W11">
        <f t="shared" si="10"/>
        <v>82.425307226897303</v>
      </c>
      <c r="X11">
        <f>IFERROR(INDEX(Dashboard!$G$5:$G$18,MATCH($A11,Dashboard!$B$5:$B$18,0))*100,0)</f>
        <v>62.5</v>
      </c>
      <c r="Y11">
        <f>MIN(100,IFERROR(INDEX(Dashboard!$K$5:$K$18,MATCH($A11,Dashboard!$B$5:$B$18,0)),0)/5*50+$AC11/4*50)</f>
        <v>100</v>
      </c>
      <c r="Z11">
        <f t="shared" si="11"/>
        <v>40</v>
      </c>
      <c r="AA11">
        <f t="shared" si="12"/>
        <v>60.143462800538543</v>
      </c>
      <c r="AB11">
        <f t="shared" si="13"/>
        <v>73.363203809467919</v>
      </c>
      <c r="AC11">
        <f>IFERROR(SUMPRODUCT((INDEX('Sport Records'!$B$8:$O$26,0,MATCH($A11,'Sport Records'!$B$7:$O$7,0))&gt;=2)*(INDEX('Sport Records'!$B$52:$O$70,0,MATCH($A11,'Sport Records'!$B$51:$O$51,0))&gt;=0.5)),0)</f>
        <v>2</v>
      </c>
      <c r="AD11">
        <f>IFERROR(INDEX(Dashboard!$D$5:$D$18,MATCH($A11,Dashboard!$B$5:$B$18,0)),0)</f>
        <v>32</v>
      </c>
      <c r="AE11">
        <f>IFERROR(INDEX(Dashboard!$K$5:$K$18,MATCH($A11,Dashboard!$B$5:$B$18,0)),0)</f>
        <v>8</v>
      </c>
      <c r="AF11" t="str">
        <f t="shared" si="14"/>
        <v>Elite</v>
      </c>
      <c r="AG11">
        <f ca="1">COUNTIFS('Match Log'!$D$4:$D$810,$A11,'Match Log'!$B$4:$B$810,"&gt;="&amp;$B$5)</f>
        <v>0</v>
      </c>
      <c r="AH11">
        <f ca="1">COUNTIFS('Match Log'!$D$4:$D$810,$A11,'Match Log'!$B$4:$B$810,"&gt;="&amp;$B$5,'Match Log'!$E$4:$E$810,"Win")</f>
        <v>0</v>
      </c>
      <c r="AI11">
        <f t="shared" si="15"/>
        <v>1129.7012300075892</v>
      </c>
    </row>
    <row r="12" spans="1:35" ht="15" customHeight="1" x14ac:dyDescent="0.2">
      <c r="A12" t="s">
        <v>134</v>
      </c>
      <c r="B12">
        <f>IFERROR(INDEX(Engine!$B$2:$B$15,MATCH($A12,Engine!$A$2:$A$15,0)),1000)</f>
        <v>1019.8775545971507</v>
      </c>
      <c r="C12">
        <f>IFERROR(INDEX(Engine!$C$2:$C$15,MATCH($A12,Engine!$A$2:$A$15,0)),"")</f>
        <v>1080.4297580146781</v>
      </c>
      <c r="D12">
        <f t="shared" si="0"/>
        <v>10</v>
      </c>
      <c r="E12">
        <f t="shared" si="1"/>
        <v>148.33378900359344</v>
      </c>
      <c r="F12" t="str">
        <f>IFERROR(LOOKUP(2,1/('Match Log'!$D$4:$D$810=$A12),'Match Log'!$E$4:$E$810),"")</f>
        <v>Win</v>
      </c>
      <c r="G12">
        <f>IF($F12="",0,SUMPRODUCT(('Match Log'!$D$4:$D$810=$A12)*(ROW('Match Log'!$A$4:$A$810)&gt;SUMPRODUCT(MAX(('Match Log'!$D$4:$D$810=$A12)*('Match Log'!$E$4:$E$810&lt;&gt;$F12)*ROW('Match Log'!$A$4:$A$810))))))</f>
        <v>1</v>
      </c>
      <c r="H12" t="str">
        <f t="shared" si="2"/>
        <v>W1</v>
      </c>
      <c r="I12" t="str">
        <f>IFERROR(IF(INDEX('Match Log'!$E$1:$E$810,_xlfn.AGGREGATE(14,6,ROW('Match Log'!$A$4:$A$810)/('Match Log'!$D$4:$D$810=$A12),5))="Win","W","L"),"")&amp;IFERROR(IF(INDEX('Match Log'!$E$1:$E$810,_xlfn.AGGREGATE(14,6,ROW('Match Log'!$A$4:$A$810)/('Match Log'!$D$4:$D$810=$A12),4))="Win","W","L"),"")&amp;IFERROR(IF(INDEX('Match Log'!$E$1:$E$810,_xlfn.AGGREGATE(14,6,ROW('Match Log'!$A$4:$A$810)/('Match Log'!$D$4:$D$810=$A12),3))="Win","W","L"),"")&amp;IFERROR(IF(INDEX('Match Log'!$E$1:$E$810,_xlfn.AGGREGATE(14,6,ROW('Match Log'!$A$4:$A$810)/('Match Log'!$D$4:$D$810=$A12),2))="Win","W","L"),"")&amp;IFERROR(IF(INDEX('Match Log'!$E$1:$E$810,_xlfn.AGGREGATE(14,6,ROW('Match Log'!$A$4:$A$810)/('Match Log'!$D$4:$D$810=$A12),1))="Win","W","L"),"")</f>
        <v>WLLLW</v>
      </c>
      <c r="J12">
        <f>IFERROR(LOOKUP(2,1/(('Match Log'!$D$4:$D$810=$A12)*('Match Log'!$B$4:$B$810&lt;=$B$3)),'Match Log'!$N$4:$N$810),1000)</f>
        <v>942.18333246120994</v>
      </c>
      <c r="K12">
        <f t="shared" si="3"/>
        <v>13</v>
      </c>
      <c r="L12">
        <f t="shared" si="4"/>
        <v>3</v>
      </c>
      <c r="M12">
        <f t="shared" si="5"/>
        <v>3</v>
      </c>
      <c r="N12">
        <f t="shared" si="6"/>
        <v>2</v>
      </c>
      <c r="O12">
        <f t="shared" si="7"/>
        <v>1</v>
      </c>
      <c r="P12">
        <f>IFERROR(SUMPRODUCT(MAX(('Match Log'!$D$4:$D$810=$A12)*'Match Log'!$B$4:$B$810)),0)</f>
        <v>46214</v>
      </c>
      <c r="Q12">
        <f t="shared" si="8"/>
        <v>0</v>
      </c>
      <c r="R12">
        <f>IF($P12=0,0,MAX($Q12-'Guide &amp; Settings'!$C$48,0)*'Guide &amp; Settings'!$C$49)</f>
        <v>0</v>
      </c>
      <c r="S12">
        <f>$B12-$R12-$U12+SUMIF('Poker Stake Ledger'!$C$18:$C$137,$A12,'Poker Stake Ledger'!$K$18:$K$137)</f>
        <v>1019.8775545971507</v>
      </c>
      <c r="T12" t="str">
        <f>IF($P12=0,"No games",IF($Q12&gt;='Guide &amp; Settings'!$C$48,"Inactive",IF($Q12&gt;='Guide &amp; Settings'!$C$47,"At risk","Active")))</f>
        <v>Active</v>
      </c>
      <c r="U12">
        <f>SUMIF('Match Log'!$D$4:$D$810,$A12,'Match Log'!$AC$4:$AC$810)</f>
        <v>0</v>
      </c>
      <c r="V12">
        <f t="shared" si="9"/>
        <v>0</v>
      </c>
      <c r="W12">
        <f t="shared" si="10"/>
        <v>54.96938864928768</v>
      </c>
      <c r="X12">
        <f>IFERROR(INDEX(Dashboard!$G$5:$G$18,MATCH($A12,Dashboard!$B$5:$B$18,0))*100,0)</f>
        <v>44.26229508196721</v>
      </c>
      <c r="Y12">
        <f>MIN(100,IFERROR(INDEX(Dashboard!$K$5:$K$18,MATCH($A12,Dashboard!$B$5:$B$18,0)),0)/5*50+$AC12/4*50)</f>
        <v>100</v>
      </c>
      <c r="Z12">
        <f t="shared" si="11"/>
        <v>40</v>
      </c>
      <c r="AA12">
        <f t="shared" si="12"/>
        <v>70.107439503669525</v>
      </c>
      <c r="AB12">
        <f t="shared" si="13"/>
        <v>61.102488994011075</v>
      </c>
      <c r="AC12">
        <f>IFERROR(SUMPRODUCT((INDEX('Sport Records'!$B$8:$O$26,0,MATCH($A12,'Sport Records'!$B$7:$O$7,0))&gt;=2)*(INDEX('Sport Records'!$B$52:$O$70,0,MATCH($A12,'Sport Records'!$B$51:$O$51,0))&gt;=0.5)),0)</f>
        <v>3</v>
      </c>
      <c r="AD12">
        <f>IFERROR(INDEX(Dashboard!$D$5:$D$18,MATCH($A12,Dashboard!$B$5:$B$18,0)),0)</f>
        <v>61</v>
      </c>
      <c r="AE12">
        <f>IFERROR(INDEX(Dashboard!$K$5:$K$18,MATCH($A12,Dashboard!$B$5:$B$18,0)),0)</f>
        <v>9</v>
      </c>
      <c r="AF12" t="str">
        <f t="shared" si="14"/>
        <v>Strong</v>
      </c>
      <c r="AG12">
        <f ca="1">COUNTIFS('Match Log'!$D$4:$D$810,$A12,'Match Log'!$B$4:$B$810,"&gt;="&amp;$B$5)</f>
        <v>24</v>
      </c>
      <c r="AH12">
        <f ca="1">COUNTIFS('Match Log'!$D$4:$D$810,$A12,'Match Log'!$B$4:$B$810,"&gt;="&amp;$B$5,'Match Log'!$E$4:$E$810,"Win")</f>
        <v>11</v>
      </c>
      <c r="AI12">
        <f t="shared" si="15"/>
        <v>1019.8775557971508</v>
      </c>
    </row>
    <row r="13" spans="1:35" ht="15" customHeight="1" x14ac:dyDescent="0.2">
      <c r="A13" t="s">
        <v>168</v>
      </c>
      <c r="B13">
        <f>IFERROR(INDEX(Engine!$B$2:$B$15,MATCH($A13,Engine!$A$2:$A$15,0)),1000)</f>
        <v>1084.8903813508514</v>
      </c>
      <c r="C13">
        <f>IFERROR(INDEX(Engine!$C$2:$C$15,MATCH($A13,Engine!$A$2:$A$15,0)),"")</f>
        <v>1053.5649621300804</v>
      </c>
      <c r="D13">
        <f t="shared" si="0"/>
        <v>4</v>
      </c>
      <c r="E13">
        <f t="shared" si="1"/>
        <v>83.320962249892773</v>
      </c>
      <c r="F13" t="str">
        <f>IFERROR(LOOKUP(2,1/('Match Log'!$D$4:$D$810=$A13),'Match Log'!$E$4:$E$810),"")</f>
        <v>Loss</v>
      </c>
      <c r="G13">
        <f>IF($F13="",0,SUMPRODUCT(('Match Log'!$D$4:$D$810=$A13)*(ROW('Match Log'!$A$4:$A$810)&gt;SUMPRODUCT(MAX(('Match Log'!$D$4:$D$810=$A13)*('Match Log'!$E$4:$E$810&lt;&gt;$F13)*ROW('Match Log'!$A$4:$A$810))))))</f>
        <v>3</v>
      </c>
      <c r="H13" t="str">
        <f t="shared" si="2"/>
        <v>L3</v>
      </c>
      <c r="I13" t="str">
        <f>IFERROR(IF(INDEX('Match Log'!$E$1:$E$810,_xlfn.AGGREGATE(14,6,ROW('Match Log'!$A$4:$A$810)/('Match Log'!$D$4:$D$810=$A13),5))="Win","W","L"),"")&amp;IFERROR(IF(INDEX('Match Log'!$E$1:$E$810,_xlfn.AGGREGATE(14,6,ROW('Match Log'!$A$4:$A$810)/('Match Log'!$D$4:$D$810=$A13),4))="Win","W","L"),"")&amp;IFERROR(IF(INDEX('Match Log'!$E$1:$E$810,_xlfn.AGGREGATE(14,6,ROW('Match Log'!$A$4:$A$810)/('Match Log'!$D$4:$D$810=$A13),3))="Win","W","L"),"")&amp;IFERROR(IF(INDEX('Match Log'!$E$1:$E$810,_xlfn.AGGREGATE(14,6,ROW('Match Log'!$A$4:$A$810)/('Match Log'!$D$4:$D$810=$A13),2))="Win","W","L"),"")&amp;IFERROR(IF(INDEX('Match Log'!$E$1:$E$810,_xlfn.AGGREGATE(14,6,ROW('Match Log'!$A$4:$A$810)/('Match Log'!$D$4:$D$810=$A13),1))="Win","W","L"),"")</f>
        <v>WWLLL</v>
      </c>
      <c r="J13">
        <f>IFERROR(LOOKUP(2,1/(('Match Log'!$D$4:$D$810=$A13)*('Match Log'!$B$4:$B$810&lt;=$B$3)),'Match Log'!$N$4:$N$810),1000)</f>
        <v>1084.8903813508514</v>
      </c>
      <c r="K13">
        <f t="shared" si="3"/>
        <v>5</v>
      </c>
      <c r="L13">
        <f t="shared" si="4"/>
        <v>1</v>
      </c>
      <c r="M13">
        <f t="shared" si="5"/>
        <v>0</v>
      </c>
      <c r="N13">
        <f t="shared" si="6"/>
        <v>2</v>
      </c>
      <c r="O13">
        <f t="shared" si="7"/>
        <v>0</v>
      </c>
      <c r="P13">
        <f>IFERROR(SUMPRODUCT(MAX(('Match Log'!$D$4:$D$810=$A13)*'Match Log'!$B$4:$B$810)),0)</f>
        <v>46188</v>
      </c>
      <c r="Q13">
        <f t="shared" si="8"/>
        <v>3.7142857142857144</v>
      </c>
      <c r="R13">
        <f>IF($P13=0,0,MAX($Q13-'Guide &amp; Settings'!$C$48,0)*'Guide &amp; Settings'!$C$49)</f>
        <v>0</v>
      </c>
      <c r="S13">
        <f>$B13-$R13-$U13+SUMIF('Poker Stake Ledger'!$C$18:$C$137,$A13,'Poker Stake Ledger'!$K$18:$K$137)</f>
        <v>1084.8903813508514</v>
      </c>
      <c r="T13" t="str">
        <f>IF($P13=0,"No games",IF($Q13&gt;='Guide &amp; Settings'!$C$48,"Inactive",IF($Q13&gt;='Guide &amp; Settings'!$C$47,"At risk","Active")))</f>
        <v>At risk</v>
      </c>
      <c r="U13">
        <f>SUMIF('Match Log'!$D$4:$D$810,$A13,'Match Log'!$AC$4:$AC$810)</f>
        <v>0</v>
      </c>
      <c r="V13">
        <f t="shared" si="9"/>
        <v>3</v>
      </c>
      <c r="W13">
        <f t="shared" si="10"/>
        <v>71.222595337712846</v>
      </c>
      <c r="X13">
        <f>IFERROR(INDEX(Dashboard!$G$5:$G$18,MATCH($A13,Dashboard!$B$5:$B$18,0))*100,0)</f>
        <v>58.82352941176471</v>
      </c>
      <c r="Y13">
        <f>MIN(100,IFERROR(INDEX(Dashboard!$K$5:$K$18,MATCH($A13,Dashboard!$B$5:$B$18,0)),0)/5*50+$AC13/4*50)</f>
        <v>65</v>
      </c>
      <c r="Z13">
        <f t="shared" si="11"/>
        <v>40</v>
      </c>
      <c r="AA13">
        <f t="shared" si="12"/>
        <v>63.391240532520101</v>
      </c>
      <c r="AB13">
        <f t="shared" si="13"/>
        <v>62.031738303804445</v>
      </c>
      <c r="AC13">
        <f>IFERROR(SUMPRODUCT((INDEX('Sport Records'!$B$8:$O$26,0,MATCH($A13,'Sport Records'!$B$7:$O$7,0))&gt;=2)*(INDEX('Sport Records'!$B$52:$O$70,0,MATCH($A13,'Sport Records'!$B$51:$O$51,0))&gt;=0.5)),0)</f>
        <v>2</v>
      </c>
      <c r="AD13">
        <f>IFERROR(INDEX(Dashboard!$D$5:$D$18,MATCH($A13,Dashboard!$B$5:$B$18,0)),0)</f>
        <v>17</v>
      </c>
      <c r="AE13">
        <f>IFERROR(INDEX(Dashboard!$K$5:$K$18,MATCH($A13,Dashboard!$B$5:$B$18,0)),0)</f>
        <v>4</v>
      </c>
      <c r="AF13" t="str">
        <f t="shared" si="14"/>
        <v>Strong</v>
      </c>
      <c r="AG13">
        <f ca="1">COUNTIFS('Match Log'!$D$4:$D$810,$A13,'Match Log'!$B$4:$B$810,"&gt;="&amp;$B$5)</f>
        <v>0</v>
      </c>
      <c r="AH13">
        <f ca="1">COUNTIFS('Match Log'!$D$4:$D$810,$A13,'Match Log'!$B$4:$B$810,"&gt;="&amp;$B$5,'Match Log'!$E$4:$E$810,"Win")</f>
        <v>0</v>
      </c>
      <c r="AI13">
        <f t="shared" si="15"/>
        <v>1084.8903826508513</v>
      </c>
    </row>
    <row r="14" spans="1:35" ht="15" customHeight="1" x14ac:dyDescent="0.2">
      <c r="A14" t="s">
        <v>170</v>
      </c>
      <c r="B14">
        <f>IFERROR(INDEX(Engine!$B$2:$B$15,MATCH($A14,Engine!$A$2:$A$15,0)),1000)</f>
        <v>1050.8634549674414</v>
      </c>
      <c r="C14">
        <f>IFERROR(INDEX(Engine!$C$2:$C$15,MATCH($A14,Engine!$A$2:$A$15,0)),"")</f>
        <v>1066.3306886481778</v>
      </c>
      <c r="D14">
        <f t="shared" si="0"/>
        <v>6</v>
      </c>
      <c r="E14">
        <f t="shared" si="1"/>
        <v>117.34788863330277</v>
      </c>
      <c r="F14" t="str">
        <f>IFERROR(LOOKUP(2,1/('Match Log'!$D$4:$D$810=$A14),'Match Log'!$E$4:$E$810),"")</f>
        <v>Win</v>
      </c>
      <c r="G14">
        <f>IF($F14="",0,SUMPRODUCT(('Match Log'!$D$4:$D$810=$A14)*(ROW('Match Log'!$A$4:$A$810)&gt;SUMPRODUCT(MAX(('Match Log'!$D$4:$D$810=$A14)*('Match Log'!$E$4:$E$810&lt;&gt;$F14)*ROW('Match Log'!$A$4:$A$810))))))</f>
        <v>1</v>
      </c>
      <c r="H14" t="str">
        <f t="shared" si="2"/>
        <v>W1</v>
      </c>
      <c r="I14" t="str">
        <f>IFERROR(IF(INDEX('Match Log'!$E$1:$E$810,_xlfn.AGGREGATE(14,6,ROW('Match Log'!$A$4:$A$810)/('Match Log'!$D$4:$D$810=$A14),5))="Win","W","L"),"")&amp;IFERROR(IF(INDEX('Match Log'!$E$1:$E$810,_xlfn.AGGREGATE(14,6,ROW('Match Log'!$A$4:$A$810)/('Match Log'!$D$4:$D$810=$A14),4))="Win","W","L"),"")&amp;IFERROR(IF(INDEX('Match Log'!$E$1:$E$810,_xlfn.AGGREGATE(14,6,ROW('Match Log'!$A$4:$A$810)/('Match Log'!$D$4:$D$810=$A14),3))="Win","W","L"),"")&amp;IFERROR(IF(INDEX('Match Log'!$E$1:$E$810,_xlfn.AGGREGATE(14,6,ROW('Match Log'!$A$4:$A$810)/('Match Log'!$D$4:$D$810=$A14),2))="Win","W","L"),"")&amp;IFERROR(IF(INDEX('Match Log'!$E$1:$E$810,_xlfn.AGGREGATE(14,6,ROW('Match Log'!$A$4:$A$810)/('Match Log'!$D$4:$D$810=$A14),1))="Win","W","L"),"")</f>
        <v>WLWLW</v>
      </c>
      <c r="J14">
        <f>IFERROR(LOOKUP(2,1/(('Match Log'!$D$4:$D$810=$A14)*('Match Log'!$B$4:$B$810&lt;=$B$3)),'Match Log'!$N$4:$N$810),1000)</f>
        <v>1046.7343560403631</v>
      </c>
      <c r="K14">
        <f t="shared" si="3"/>
        <v>6</v>
      </c>
      <c r="L14">
        <f t="shared" si="4"/>
        <v>0</v>
      </c>
      <c r="M14">
        <f t="shared" si="5"/>
        <v>4</v>
      </c>
      <c r="N14">
        <f t="shared" si="6"/>
        <v>3</v>
      </c>
      <c r="O14">
        <f t="shared" si="7"/>
        <v>1</v>
      </c>
      <c r="P14">
        <f>IFERROR(SUMPRODUCT(MAX(('Match Log'!$D$4:$D$810=$A14)*'Match Log'!$B$4:$B$810)),0)</f>
        <v>46208</v>
      </c>
      <c r="Q14">
        <f t="shared" si="8"/>
        <v>0.8571428571428571</v>
      </c>
      <c r="R14">
        <f>IF($P14=0,0,MAX($Q14-'Guide &amp; Settings'!$C$48,0)*'Guide &amp; Settings'!$C$49)</f>
        <v>0</v>
      </c>
      <c r="S14">
        <f>$B14-$R14-$U14+SUMIF('Poker Stake Ledger'!$C$18:$C$137,$A14,'Poker Stake Ledger'!$K$18:$K$137)</f>
        <v>1050.8634549674414</v>
      </c>
      <c r="T14" t="str">
        <f>IF($P14=0,"No games",IF($Q14&gt;='Guide &amp; Settings'!$C$48,"Inactive",IF($Q14&gt;='Guide &amp; Settings'!$C$47,"At risk","Active")))</f>
        <v>Active</v>
      </c>
      <c r="U14">
        <f>SUMIF('Match Log'!$D$4:$D$810,$A14,'Match Log'!$AC$4:$AC$810)</f>
        <v>0</v>
      </c>
      <c r="V14">
        <f t="shared" si="9"/>
        <v>0</v>
      </c>
      <c r="W14">
        <f t="shared" si="10"/>
        <v>62.715863741860346</v>
      </c>
      <c r="X14">
        <f>IFERROR(INDEX(Dashboard!$G$5:$G$18,MATCH($A14,Dashboard!$B$5:$B$18,0))*100,0)</f>
        <v>44.230769230769226</v>
      </c>
      <c r="Y14">
        <f>MIN(100,IFERROR(INDEX(Dashboard!$K$5:$K$18,MATCH($A14,Dashboard!$B$5:$B$18,0)),0)/5*50+$AC14/4*50)</f>
        <v>100</v>
      </c>
      <c r="Z14">
        <f t="shared" si="11"/>
        <v>60</v>
      </c>
      <c r="AA14">
        <f t="shared" si="12"/>
        <v>66.582672162044446</v>
      </c>
      <c r="AB14">
        <f t="shared" si="13"/>
        <v>66.454973372009405</v>
      </c>
      <c r="AC14">
        <f>IFERROR(SUMPRODUCT((INDEX('Sport Records'!$B$8:$O$26,0,MATCH($A14,'Sport Records'!$B$7:$O$7,0))&gt;=2)*(INDEX('Sport Records'!$B$52:$O$70,0,MATCH($A14,'Sport Records'!$B$51:$O$51,0))&gt;=0.5)),0)</f>
        <v>5</v>
      </c>
      <c r="AD14">
        <f>IFERROR(INDEX(Dashboard!$D$5:$D$18,MATCH($A14,Dashboard!$B$5:$B$18,0)),0)</f>
        <v>52</v>
      </c>
      <c r="AE14">
        <f>IFERROR(INDEX(Dashboard!$K$5:$K$18,MATCH($A14,Dashboard!$B$5:$B$18,0)),0)</f>
        <v>11</v>
      </c>
      <c r="AF14" t="str">
        <f t="shared" si="14"/>
        <v>Strong</v>
      </c>
      <c r="AG14">
        <f ca="1">COUNTIFS('Match Log'!$D$4:$D$810,$A14,'Match Log'!$B$4:$B$810,"&gt;="&amp;$B$5)</f>
        <v>3</v>
      </c>
      <c r="AH14">
        <f ca="1">COUNTIFS('Match Log'!$D$4:$D$810,$A14,'Match Log'!$B$4:$B$810,"&gt;="&amp;$B$5,'Match Log'!$E$4:$E$810,"Win")</f>
        <v>2</v>
      </c>
      <c r="AI14">
        <f t="shared" si="15"/>
        <v>1050.8634563674414</v>
      </c>
    </row>
    <row r="15" spans="1:35" ht="15" customHeight="1" x14ac:dyDescent="0.2">
      <c r="A15" t="s">
        <v>167</v>
      </c>
      <c r="B15">
        <f>IFERROR(INDEX(Engine!$B$2:$B$15,MATCH($A15,Engine!$A$2:$A$15,0)),1000)</f>
        <v>1168.2113436007442</v>
      </c>
      <c r="C15">
        <f>IFERROR(INDEX(Engine!$C$2:$C$15,MATCH($A15,Engine!$A$2:$A$15,0)),"")</f>
        <v>1052.5331905138544</v>
      </c>
      <c r="D15">
        <f t="shared" si="0"/>
        <v>1</v>
      </c>
      <c r="E15">
        <f t="shared" si="1"/>
        <v>0</v>
      </c>
      <c r="F15" t="str">
        <f>IFERROR(LOOKUP(2,1/('Match Log'!$D$4:$D$810=$A15),'Match Log'!$E$4:$E$810),"")</f>
        <v>Win</v>
      </c>
      <c r="G15">
        <f>IF($F15="",0,SUMPRODUCT(('Match Log'!$D$4:$D$810=$A15)*(ROW('Match Log'!$A$4:$A$810)&gt;SUMPRODUCT(MAX(('Match Log'!$D$4:$D$810=$A15)*('Match Log'!$E$4:$E$810&lt;&gt;$F15)*ROW('Match Log'!$A$4:$A$810))))))</f>
        <v>2</v>
      </c>
      <c r="H15" t="str">
        <f t="shared" si="2"/>
        <v>W2</v>
      </c>
      <c r="I15" t="str">
        <f>IFERROR(IF(INDEX('Match Log'!$E$1:$E$810,_xlfn.AGGREGATE(14,6,ROW('Match Log'!$A$4:$A$810)/('Match Log'!$D$4:$D$810=$A15),5))="Win","W","L"),"")&amp;IFERROR(IF(INDEX('Match Log'!$E$1:$E$810,_xlfn.AGGREGATE(14,6,ROW('Match Log'!$A$4:$A$810)/('Match Log'!$D$4:$D$810=$A15),4))="Win","W","L"),"")&amp;IFERROR(IF(INDEX('Match Log'!$E$1:$E$810,_xlfn.AGGREGATE(14,6,ROW('Match Log'!$A$4:$A$810)/('Match Log'!$D$4:$D$810=$A15),3))="Win","W","L"),"")&amp;IFERROR(IF(INDEX('Match Log'!$E$1:$E$810,_xlfn.AGGREGATE(14,6,ROW('Match Log'!$A$4:$A$810)/('Match Log'!$D$4:$D$810=$A15),2))="Win","W","L"),"")&amp;IFERROR(IF(INDEX('Match Log'!$E$1:$E$810,_xlfn.AGGREGATE(14,6,ROW('Match Log'!$A$4:$A$810)/('Match Log'!$D$4:$D$810=$A15),1))="Win","W","L"),"")</f>
        <v>LLLWW</v>
      </c>
      <c r="J15">
        <f>IFERROR(LOOKUP(2,1/(('Match Log'!$D$4:$D$810=$A15)*('Match Log'!$B$4:$B$810&lt;=$B$3)),'Match Log'!$N$4:$N$810),1000)</f>
        <v>1168.2113436007442</v>
      </c>
      <c r="K15">
        <f t="shared" si="3"/>
        <v>1</v>
      </c>
      <c r="L15">
        <f t="shared" si="4"/>
        <v>0</v>
      </c>
      <c r="M15">
        <f t="shared" si="5"/>
        <v>2</v>
      </c>
      <c r="N15">
        <f t="shared" si="6"/>
        <v>2</v>
      </c>
      <c r="O15">
        <f t="shared" si="7"/>
        <v>2</v>
      </c>
      <c r="P15">
        <f>IFERROR(SUMPRODUCT(MAX(('Match Log'!$D$4:$D$810=$A15)*'Match Log'!$B$4:$B$810)),0)</f>
        <v>46189</v>
      </c>
      <c r="Q15">
        <f t="shared" si="8"/>
        <v>3.5714285714285716</v>
      </c>
      <c r="R15">
        <f>IF($P15=0,0,MAX($Q15-'Guide &amp; Settings'!$C$48,0)*'Guide &amp; Settings'!$C$49)</f>
        <v>0</v>
      </c>
      <c r="S15">
        <f>$B15-$R15-$U15+SUMIF('Poker Stake Ledger'!$C$18:$C$137,$A15,'Poker Stake Ledger'!$K$18:$K$137)</f>
        <v>1168.2113436007442</v>
      </c>
      <c r="T15" t="str">
        <f>IF($P15=0,"No games",IF($Q15&gt;='Guide &amp; Settings'!$C$48,"Inactive",IF($Q15&gt;='Guide &amp; Settings'!$C$47,"At risk","Active")))</f>
        <v>At risk</v>
      </c>
      <c r="U15">
        <f>SUMIF('Match Log'!$D$4:$D$810,$A15,'Match Log'!$AC$4:$AC$810)</f>
        <v>0</v>
      </c>
      <c r="V15">
        <f t="shared" si="9"/>
        <v>0</v>
      </c>
      <c r="W15">
        <f t="shared" si="10"/>
        <v>92.052835900186039</v>
      </c>
      <c r="X15">
        <f>IFERROR(INDEX(Dashboard!$G$5:$G$18,MATCH($A15,Dashboard!$B$5:$B$18,0))*100,0)</f>
        <v>65.217391304347828</v>
      </c>
      <c r="Y15">
        <f>MIN(100,IFERROR(INDEX(Dashboard!$K$5:$K$18,MATCH($A15,Dashboard!$B$5:$B$18,0)),0)/5*50+$AC15/4*50)</f>
        <v>67.5</v>
      </c>
      <c r="Z15">
        <f t="shared" si="11"/>
        <v>40</v>
      </c>
      <c r="AA15">
        <f t="shared" si="12"/>
        <v>63.133297628463595</v>
      </c>
      <c r="AB15">
        <f t="shared" si="13"/>
        <v>71.075300588781047</v>
      </c>
      <c r="AC15">
        <f>IFERROR(SUMPRODUCT((INDEX('Sport Records'!$B$8:$O$26,0,MATCH($A15,'Sport Records'!$B$7:$O$7,0))&gt;=2)*(INDEX('Sport Records'!$B$52:$O$70,0,MATCH($A15,'Sport Records'!$B$51:$O$51,0))&gt;=0.5)),0)</f>
        <v>3</v>
      </c>
      <c r="AD15">
        <f>IFERROR(INDEX(Dashboard!$D$5:$D$18,MATCH($A15,Dashboard!$B$5:$B$18,0)),0)</f>
        <v>23</v>
      </c>
      <c r="AE15">
        <f>IFERROR(INDEX(Dashboard!$K$5:$K$18,MATCH($A15,Dashboard!$B$5:$B$18,0)),0)</f>
        <v>3</v>
      </c>
      <c r="AF15" t="str">
        <f t="shared" si="14"/>
        <v>Strong</v>
      </c>
      <c r="AG15">
        <f ca="1">COUNTIFS('Match Log'!$D$4:$D$810,$A15,'Match Log'!$B$4:$B$810,"&gt;="&amp;$B$5)</f>
        <v>0</v>
      </c>
      <c r="AH15">
        <f ca="1">COUNTIFS('Match Log'!$D$4:$D$810,$A15,'Match Log'!$B$4:$B$810,"&gt;="&amp;$B$5,'Match Log'!$E$4:$E$810,"Win")</f>
        <v>0</v>
      </c>
      <c r="AI15">
        <f t="shared" si="15"/>
        <v>1168.2113451007442</v>
      </c>
    </row>
    <row r="16" spans="1:35" ht="15" customHeight="1" x14ac:dyDescent="0.2">
      <c r="A16" t="s">
        <v>175</v>
      </c>
      <c r="B16">
        <f>IFERROR(INDEX(Engine!$B$2:$B$15,MATCH($A16,Engine!$A$2:$A$15,0)),1000)</f>
        <v>893.03675187725173</v>
      </c>
      <c r="C16">
        <f>IFERROR(INDEX(Engine!$C$2:$C$15,MATCH($A16,Engine!$A$2:$A$15,0)),"")</f>
        <v>1081.2285285367104</v>
      </c>
      <c r="D16">
        <f t="shared" si="0"/>
        <v>14</v>
      </c>
      <c r="E16">
        <f t="shared" si="1"/>
        <v>275.17459172349243</v>
      </c>
      <c r="F16" t="str">
        <f>IFERROR(LOOKUP(2,1/('Match Log'!$D$4:$D$810=$A16),'Match Log'!$E$4:$E$810),"")</f>
        <v>Loss</v>
      </c>
      <c r="G16">
        <f>IF($F16="",0,SUMPRODUCT(('Match Log'!$D$4:$D$810=$A16)*(ROW('Match Log'!$A$4:$A$810)&gt;SUMPRODUCT(MAX(('Match Log'!$D$4:$D$810=$A16)*('Match Log'!$E$4:$E$810&lt;&gt;$F16)*ROW('Match Log'!$A$4:$A$810))))))</f>
        <v>4</v>
      </c>
      <c r="H16" t="str">
        <f t="shared" si="2"/>
        <v>L4</v>
      </c>
      <c r="I16" t="str">
        <f>IFERROR(IF(INDEX('Match Log'!$E$1:$E$810,_xlfn.AGGREGATE(14,6,ROW('Match Log'!$A$4:$A$810)/('Match Log'!$D$4:$D$810=$A16),5))="Win","W","L"),"")&amp;IFERROR(IF(INDEX('Match Log'!$E$1:$E$810,_xlfn.AGGREGATE(14,6,ROW('Match Log'!$A$4:$A$810)/('Match Log'!$D$4:$D$810=$A16),4))="Win","W","L"),"")&amp;IFERROR(IF(INDEX('Match Log'!$E$1:$E$810,_xlfn.AGGREGATE(14,6,ROW('Match Log'!$A$4:$A$810)/('Match Log'!$D$4:$D$810=$A16),3))="Win","W","L"),"")&amp;IFERROR(IF(INDEX('Match Log'!$E$1:$E$810,_xlfn.AGGREGATE(14,6,ROW('Match Log'!$A$4:$A$810)/('Match Log'!$D$4:$D$810=$A16),2))="Win","W","L"),"")&amp;IFERROR(IF(INDEX('Match Log'!$E$1:$E$810,_xlfn.AGGREGATE(14,6,ROW('Match Log'!$A$4:$A$810)/('Match Log'!$D$4:$D$810=$A16),1))="Win","W","L"),"")</f>
        <v>WLLLL</v>
      </c>
      <c r="J16">
        <f>IFERROR(LOOKUP(2,1/(('Match Log'!$D$4:$D$810=$A16)*('Match Log'!$B$4:$B$810&lt;=$B$3)),'Match Log'!$N$4:$N$810),1000)</f>
        <v>893.03675187725173</v>
      </c>
      <c r="K16">
        <f t="shared" si="3"/>
        <v>14</v>
      </c>
      <c r="L16">
        <f t="shared" si="4"/>
        <v>0</v>
      </c>
      <c r="M16">
        <f t="shared" si="5"/>
        <v>1</v>
      </c>
      <c r="N16">
        <f t="shared" si="6"/>
        <v>1</v>
      </c>
      <c r="O16">
        <f t="shared" si="7"/>
        <v>0</v>
      </c>
      <c r="P16">
        <f>IFERROR(SUMPRODUCT(MAX(('Match Log'!$D$4:$D$810=$A16)*'Match Log'!$B$4:$B$810)),0)</f>
        <v>46188</v>
      </c>
      <c r="Q16">
        <f t="shared" si="8"/>
        <v>3.7142857142857144</v>
      </c>
      <c r="R16">
        <f>IF($P16=0,0,MAX($Q16-'Guide &amp; Settings'!$C$48,0)*'Guide &amp; Settings'!$C$49)</f>
        <v>0</v>
      </c>
      <c r="S16">
        <f>$B16-$R16-$U16+SUMIF('Poker Stake Ledger'!$C$18:$C$137,$A16,'Poker Stake Ledger'!$K$18:$K$137)</f>
        <v>893.03675187725173</v>
      </c>
      <c r="T16" t="str">
        <f>IF($P16=0,"No games",IF($Q16&gt;='Guide &amp; Settings'!$C$48,"Inactive",IF($Q16&gt;='Guide &amp; Settings'!$C$47,"At risk","Active")))</f>
        <v>At risk</v>
      </c>
      <c r="U16">
        <f>SUMIF('Match Log'!$D$4:$D$810,$A16,'Match Log'!$AC$4:$AC$810)</f>
        <v>0</v>
      </c>
      <c r="V16">
        <f t="shared" si="9"/>
        <v>4</v>
      </c>
      <c r="W16">
        <f t="shared" si="10"/>
        <v>23.259187969312933</v>
      </c>
      <c r="X16">
        <f>IFERROR(INDEX(Dashboard!$G$5:$G$18,MATCH($A16,Dashboard!$B$5:$B$18,0))*100,0)</f>
        <v>15.384615384615385</v>
      </c>
      <c r="Y16">
        <f>MIN(100,IFERROR(INDEX(Dashboard!$K$5:$K$18,MATCH($A16,Dashboard!$B$5:$B$18,0)),0)/5*50+$AC16/4*50)</f>
        <v>30</v>
      </c>
      <c r="Z16">
        <f t="shared" si="11"/>
        <v>20</v>
      </c>
      <c r="AA16">
        <f t="shared" si="12"/>
        <v>70.307132134177607</v>
      </c>
      <c r="AB16">
        <f t="shared" si="13"/>
        <v>27.248352079600366</v>
      </c>
      <c r="AC16">
        <f>IFERROR(SUMPRODUCT((INDEX('Sport Records'!$B$8:$O$26,0,MATCH($A16,'Sport Records'!$B$7:$O$7,0))&gt;=2)*(INDEX('Sport Records'!$B$52:$O$70,0,MATCH($A16,'Sport Records'!$B$51:$O$51,0))&gt;=0.5)),0)</f>
        <v>0</v>
      </c>
      <c r="AD16">
        <f>IFERROR(INDEX(Dashboard!$D$5:$D$18,MATCH($A16,Dashboard!$B$5:$B$18,0)),0)</f>
        <v>13</v>
      </c>
      <c r="AE16">
        <f>IFERROR(INDEX(Dashboard!$K$5:$K$18,MATCH($A16,Dashboard!$B$5:$B$18,0)),0)</f>
        <v>3</v>
      </c>
      <c r="AF16" t="str">
        <f t="shared" si="14"/>
        <v>Developing</v>
      </c>
      <c r="AG16">
        <f ca="1">COUNTIFS('Match Log'!$D$4:$D$810,$A16,'Match Log'!$B$4:$B$810,"&gt;="&amp;$B$5)</f>
        <v>0</v>
      </c>
      <c r="AH16">
        <f ca="1">COUNTIFS('Match Log'!$D$4:$D$810,$A16,'Match Log'!$B$4:$B$810,"&gt;="&amp;$B$5,'Match Log'!$E$4:$E$810,"Win")</f>
        <v>0</v>
      </c>
      <c r="AI16">
        <f t="shared" si="15"/>
        <v>893.03675347725175</v>
      </c>
    </row>
    <row r="17" spans="1:35" ht="15" customHeight="1" x14ac:dyDescent="0.2">
      <c r="A17" t="s">
        <v>169</v>
      </c>
      <c r="B17">
        <f>IFERROR(INDEX(Engine!$B$2:$B$15,MATCH($A17,Engine!$A$2:$A$15,0)),1000)</f>
        <v>1058.6657209484931</v>
      </c>
      <c r="C17">
        <f>IFERROR(INDEX(Engine!$C$2:$C$15,MATCH($A17,Engine!$A$2:$A$15,0)),"")</f>
        <v>1059.6799201033348</v>
      </c>
      <c r="D17">
        <f t="shared" si="0"/>
        <v>5</v>
      </c>
      <c r="E17">
        <f t="shared" si="1"/>
        <v>109.54562265225104</v>
      </c>
      <c r="F17" t="str">
        <f>IFERROR(LOOKUP(2,1/('Match Log'!$D$4:$D$810=$A17),'Match Log'!$E$4:$E$810),"")</f>
        <v>Loss</v>
      </c>
      <c r="G17">
        <f>IF($F17="",0,SUMPRODUCT(('Match Log'!$D$4:$D$810=$A17)*(ROW('Match Log'!$A$4:$A$810)&gt;SUMPRODUCT(MAX(('Match Log'!$D$4:$D$810=$A17)*('Match Log'!$E$4:$E$810&lt;&gt;$F17)*ROW('Match Log'!$A$4:$A$810))))))</f>
        <v>1</v>
      </c>
      <c r="H17" t="str">
        <f t="shared" si="2"/>
        <v>L1</v>
      </c>
      <c r="I17" t="str">
        <f>IFERROR(IF(INDEX('Match Log'!$E$1:$E$810,_xlfn.AGGREGATE(14,6,ROW('Match Log'!$A$4:$A$810)/('Match Log'!$D$4:$D$810=$A17),5))="Win","W","L"),"")&amp;IFERROR(IF(INDEX('Match Log'!$E$1:$E$810,_xlfn.AGGREGATE(14,6,ROW('Match Log'!$A$4:$A$810)/('Match Log'!$D$4:$D$810=$A17),4))="Win","W","L"),"")&amp;IFERROR(IF(INDEX('Match Log'!$E$1:$E$810,_xlfn.AGGREGATE(14,6,ROW('Match Log'!$A$4:$A$810)/('Match Log'!$D$4:$D$810=$A17),3))="Win","W","L"),"")&amp;IFERROR(IF(INDEX('Match Log'!$E$1:$E$810,_xlfn.AGGREGATE(14,6,ROW('Match Log'!$A$4:$A$810)/('Match Log'!$D$4:$D$810=$A17),2))="Win","W","L"),"")&amp;IFERROR(IF(INDEX('Match Log'!$E$1:$E$810,_xlfn.AGGREGATE(14,6,ROW('Match Log'!$A$4:$A$810)/('Match Log'!$D$4:$D$810=$A17),1))="Win","W","L"),"")</f>
        <v>LLLWL</v>
      </c>
      <c r="J17">
        <f>IFERROR(LOOKUP(2,1/(('Match Log'!$D$4:$D$810=$A17)*('Match Log'!$B$4:$B$810&lt;=$B$3)),'Match Log'!$N$4:$N$810),1000)</f>
        <v>1137.3990392485098</v>
      </c>
      <c r="K17">
        <f t="shared" si="3"/>
        <v>2</v>
      </c>
      <c r="L17">
        <f t="shared" si="4"/>
        <v>-3</v>
      </c>
      <c r="M17">
        <f t="shared" si="5"/>
        <v>2</v>
      </c>
      <c r="N17">
        <f t="shared" si="6"/>
        <v>1</v>
      </c>
      <c r="O17">
        <f t="shared" si="7"/>
        <v>0</v>
      </c>
      <c r="P17">
        <f>IFERROR(SUMPRODUCT(MAX(('Match Log'!$D$4:$D$810=$A17)*'Match Log'!$B$4:$B$810)),0)</f>
        <v>46209</v>
      </c>
      <c r="Q17">
        <f t="shared" si="8"/>
        <v>0.7142857142857143</v>
      </c>
      <c r="R17">
        <f>IF($P17=0,0,MAX($Q17-'Guide &amp; Settings'!$C$48,0)*'Guide &amp; Settings'!$C$49)</f>
        <v>0</v>
      </c>
      <c r="S17">
        <f>$B17-$R17-$U17+SUMIF('Poker Stake Ledger'!$C$18:$C$137,$A17,'Poker Stake Ledger'!$K$18:$K$137)</f>
        <v>1058.6657209484931</v>
      </c>
      <c r="T17" t="str">
        <f>IF($P17=0,"No games",IF($Q17&gt;='Guide &amp; Settings'!$C$48,"Inactive",IF($Q17&gt;='Guide &amp; Settings'!$C$47,"At risk","Active")))</f>
        <v>Active</v>
      </c>
      <c r="U17">
        <f>SUMIF('Match Log'!$D$4:$D$810,$A17,'Match Log'!$AC$4:$AC$810)</f>
        <v>0</v>
      </c>
      <c r="V17">
        <f t="shared" si="9"/>
        <v>1</v>
      </c>
      <c r="W17">
        <f t="shared" si="10"/>
        <v>64.666430237123279</v>
      </c>
      <c r="X17">
        <f>IFERROR(INDEX(Dashboard!$G$5:$G$18,MATCH($A17,Dashboard!$B$5:$B$18,0))*100,0)</f>
        <v>45.454545454545453</v>
      </c>
      <c r="Y17">
        <f>MIN(100,IFERROR(INDEX(Dashboard!$K$5:$K$18,MATCH($A17,Dashboard!$B$5:$B$18,0)),0)/5*50+$AC17/4*50)</f>
        <v>100</v>
      </c>
      <c r="Z17">
        <f t="shared" si="11"/>
        <v>20</v>
      </c>
      <c r="AA17">
        <f t="shared" si="12"/>
        <v>64.919980025833695</v>
      </c>
      <c r="AB17">
        <f t="shared" si="13"/>
        <v>61.216157676485608</v>
      </c>
      <c r="AC17">
        <f>IFERROR(SUMPRODUCT((INDEX('Sport Records'!$B$8:$O$26,0,MATCH($A17,'Sport Records'!$B$7:$O$7,0))&gt;=2)*(INDEX('Sport Records'!$B$52:$O$70,0,MATCH($A17,'Sport Records'!$B$51:$O$51,0))&gt;=0.5)),0)</f>
        <v>2</v>
      </c>
      <c r="AD17">
        <f>IFERROR(INDEX(Dashboard!$D$5:$D$18,MATCH($A17,Dashboard!$B$5:$B$18,0)),0)</f>
        <v>44</v>
      </c>
      <c r="AE17">
        <f>IFERROR(INDEX(Dashboard!$K$5:$K$18,MATCH($A17,Dashboard!$B$5:$B$18,0)),0)</f>
        <v>8</v>
      </c>
      <c r="AF17" t="str">
        <f t="shared" si="14"/>
        <v>Strong</v>
      </c>
      <c r="AG17">
        <f ca="1">COUNTIFS('Match Log'!$D$4:$D$810,$A17,'Match Log'!$B$4:$B$810,"&gt;="&amp;$B$5)</f>
        <v>9</v>
      </c>
      <c r="AH17">
        <f ca="1">COUNTIFS('Match Log'!$D$4:$D$810,$A17,'Match Log'!$B$4:$B$810,"&gt;="&amp;$B$5,'Match Log'!$E$4:$E$810,"Win")</f>
        <v>5</v>
      </c>
      <c r="AI17">
        <f t="shared" si="15"/>
        <v>1058.6657226484931</v>
      </c>
    </row>
    <row r="18" spans="1:35" ht="15" customHeight="1" x14ac:dyDescent="0.2">
      <c r="A18" t="s">
        <v>171</v>
      </c>
      <c r="B18">
        <f>IFERROR(INDEX(Engine!$B$2:$B$15,MATCH($A18,Engine!$A$2:$A$15,0)),1000)</f>
        <v>1031.225848367051</v>
      </c>
      <c r="C18">
        <f>IFERROR(INDEX(Engine!$C$2:$C$15,MATCH($A18,Engine!$A$2:$A$15,0)),"")</f>
        <v>1051.9562851744297</v>
      </c>
      <c r="D18">
        <f t="shared" si="0"/>
        <v>7</v>
      </c>
      <c r="E18">
        <f t="shared" si="1"/>
        <v>136.9854952336932</v>
      </c>
      <c r="F18" t="str">
        <f>IFERROR(LOOKUP(2,1/('Match Log'!$D$4:$D$810=$A18),'Match Log'!$E$4:$E$810),"")</f>
        <v>Win</v>
      </c>
      <c r="G18">
        <f>IF($F18="",0,SUMPRODUCT(('Match Log'!$D$4:$D$810=$A18)*(ROW('Match Log'!$A$4:$A$810)&gt;SUMPRODUCT(MAX(('Match Log'!$D$4:$D$810=$A18)*('Match Log'!$E$4:$E$810&lt;&gt;$F18)*ROW('Match Log'!$A$4:$A$810))))))</f>
        <v>2</v>
      </c>
      <c r="H18" t="str">
        <f t="shared" si="2"/>
        <v>W2</v>
      </c>
      <c r="I18" t="str">
        <f>IFERROR(IF(INDEX('Match Log'!$E$1:$E$810,_xlfn.AGGREGATE(14,6,ROW('Match Log'!$A$4:$A$810)/('Match Log'!$D$4:$D$810=$A18),5))="Win","W","L"),"")&amp;IFERROR(IF(INDEX('Match Log'!$E$1:$E$810,_xlfn.AGGREGATE(14,6,ROW('Match Log'!$A$4:$A$810)/('Match Log'!$D$4:$D$810=$A18),4))="Win","W","L"),"")&amp;IFERROR(IF(INDEX('Match Log'!$E$1:$E$810,_xlfn.AGGREGATE(14,6,ROW('Match Log'!$A$4:$A$810)/('Match Log'!$D$4:$D$810=$A18),3))="Win","W","L"),"")&amp;IFERROR(IF(INDEX('Match Log'!$E$1:$E$810,_xlfn.AGGREGATE(14,6,ROW('Match Log'!$A$4:$A$810)/('Match Log'!$D$4:$D$810=$A18),2))="Win","W","L"),"")&amp;IFERROR(IF(INDEX('Match Log'!$E$1:$E$810,_xlfn.AGGREGATE(14,6,ROW('Match Log'!$A$4:$A$810)/('Match Log'!$D$4:$D$810=$A18),1))="Win","W","L"),"")</f>
        <v>LLLWW</v>
      </c>
      <c r="J18">
        <f>IFERROR(LOOKUP(2,1/(('Match Log'!$D$4:$D$810=$A18)*('Match Log'!$B$4:$B$810&lt;=$B$3)),'Match Log'!$N$4:$N$810),1000)</f>
        <v>1031.225848367051</v>
      </c>
      <c r="K18">
        <f t="shared" si="3"/>
        <v>7</v>
      </c>
      <c r="L18">
        <f t="shared" si="4"/>
        <v>0</v>
      </c>
      <c r="M18">
        <f t="shared" si="5"/>
        <v>0</v>
      </c>
      <c r="N18">
        <f t="shared" si="6"/>
        <v>2</v>
      </c>
      <c r="O18">
        <f t="shared" si="7"/>
        <v>2</v>
      </c>
      <c r="P18">
        <f>IFERROR(SUMPRODUCT(MAX(('Match Log'!$D$4:$D$810=$A18)*'Match Log'!$B$4:$B$810)),0)</f>
        <v>46188</v>
      </c>
      <c r="Q18">
        <f t="shared" si="8"/>
        <v>3.7142857142857144</v>
      </c>
      <c r="R18">
        <f>IF($P18=0,0,MAX($Q18-'Guide &amp; Settings'!$C$48,0)*'Guide &amp; Settings'!$C$49)</f>
        <v>0</v>
      </c>
      <c r="S18">
        <f>$B18-$R18-$U18+SUMIF('Poker Stake Ledger'!$C$18:$C$137,$A18,'Poker Stake Ledger'!$K$18:$K$137)</f>
        <v>1031.225848367051</v>
      </c>
      <c r="T18" t="str">
        <f>IF($P18=0,"No games",IF($Q18&gt;='Guide &amp; Settings'!$C$48,"Inactive",IF($Q18&gt;='Guide &amp; Settings'!$C$47,"At risk","Active")))</f>
        <v>At risk</v>
      </c>
      <c r="U18">
        <f>SUMIF('Match Log'!$D$4:$D$810,$A18,'Match Log'!$AC$4:$AC$810)</f>
        <v>0</v>
      </c>
      <c r="V18">
        <f t="shared" si="9"/>
        <v>0</v>
      </c>
      <c r="W18">
        <f t="shared" si="10"/>
        <v>57.806462091762739</v>
      </c>
      <c r="X18">
        <f>IFERROR(INDEX(Dashboard!$G$5:$G$18,MATCH($A18,Dashboard!$B$5:$B$18,0))*100,0)</f>
        <v>40</v>
      </c>
      <c r="Y18">
        <f>MIN(100,IFERROR(INDEX(Dashboard!$K$5:$K$18,MATCH($A18,Dashboard!$B$5:$B$18,0)),0)/5*50+$AC18/4*50)</f>
        <v>10</v>
      </c>
      <c r="Z18">
        <f t="shared" si="11"/>
        <v>40</v>
      </c>
      <c r="AA18">
        <f t="shared" si="12"/>
        <v>62.989071293607424</v>
      </c>
      <c r="AB18">
        <f t="shared" si="13"/>
        <v>42.531168861477695</v>
      </c>
      <c r="AC18">
        <f>IFERROR(SUMPRODUCT((INDEX('Sport Records'!$B$8:$O$26,0,MATCH($A18,'Sport Records'!$B$7:$O$7,0))&gt;=2)*(INDEX('Sport Records'!$B$52:$O$70,0,MATCH($A18,'Sport Records'!$B$51:$O$51,0))&gt;=0.5)),0)</f>
        <v>0</v>
      </c>
      <c r="AD18">
        <f>IFERROR(INDEX(Dashboard!$D$5:$D$18,MATCH($A18,Dashboard!$B$5:$B$18,0)),0)</f>
        <v>5</v>
      </c>
      <c r="AE18">
        <f>IFERROR(INDEX(Dashboard!$K$5:$K$18,MATCH($A18,Dashboard!$B$5:$B$18,0)),0)</f>
        <v>1</v>
      </c>
      <c r="AF18" t="str">
        <f t="shared" si="14"/>
        <v>Unranked</v>
      </c>
      <c r="AG18">
        <f ca="1">COUNTIFS('Match Log'!$D$4:$D$810,$A18,'Match Log'!$B$4:$B$810,"&gt;="&amp;$B$5)</f>
        <v>0</v>
      </c>
      <c r="AH18">
        <f ca="1">COUNTIFS('Match Log'!$D$4:$D$810,$A18,'Match Log'!$B$4:$B$810,"&gt;="&amp;$B$5,'Match Log'!$E$4:$E$810,"Win")</f>
        <v>0</v>
      </c>
      <c r="AI18">
        <f t="shared" si="15"/>
        <v>1031.225850167051</v>
      </c>
    </row>
    <row r="19" spans="1:35" ht="15" customHeight="1" x14ac:dyDescent="0.2">
      <c r="A19" t="s">
        <v>172</v>
      </c>
      <c r="B19">
        <f>IFERROR(INDEX(Engine!$B$2:$B$15,MATCH($A19,Engine!$A$2:$A$15,0)),1000)</f>
        <v>1030.3815983388336</v>
      </c>
      <c r="C19">
        <f>IFERROR(INDEX(Engine!$C$2:$C$15,MATCH($A19,Engine!$A$2:$A$15,0)),"")</f>
        <v>1064.3872125179519</v>
      </c>
      <c r="D19">
        <f t="shared" si="0"/>
        <v>8</v>
      </c>
      <c r="E19">
        <f t="shared" si="1"/>
        <v>137.8297452619106</v>
      </c>
      <c r="F19" t="str">
        <f>IFERROR(LOOKUP(2,1/('Match Log'!$D$4:$D$810=$A19),'Match Log'!$E$4:$E$810),"")</f>
        <v>Loss</v>
      </c>
      <c r="G19">
        <f>IF($F19="",0,SUMPRODUCT(('Match Log'!$D$4:$D$810=$A19)*(ROW('Match Log'!$A$4:$A$810)&gt;SUMPRODUCT(MAX(('Match Log'!$D$4:$D$810=$A19)*('Match Log'!$E$4:$E$810&lt;&gt;$F19)*ROW('Match Log'!$A$4:$A$810))))))</f>
        <v>1</v>
      </c>
      <c r="H19" t="str">
        <f t="shared" si="2"/>
        <v>L1</v>
      </c>
      <c r="I19" t="str">
        <f>IFERROR(IF(INDEX('Match Log'!$E$1:$E$810,_xlfn.AGGREGATE(14,6,ROW('Match Log'!$A$4:$A$810)/('Match Log'!$D$4:$D$810=$A19),5))="Win","W","L"),"")&amp;IFERROR(IF(INDEX('Match Log'!$E$1:$E$810,_xlfn.AGGREGATE(14,6,ROW('Match Log'!$A$4:$A$810)/('Match Log'!$D$4:$D$810=$A19),4))="Win","W","L"),"")&amp;IFERROR(IF(INDEX('Match Log'!$E$1:$E$810,_xlfn.AGGREGATE(14,6,ROW('Match Log'!$A$4:$A$810)/('Match Log'!$D$4:$D$810=$A19),3))="Win","W","L"),"")&amp;IFERROR(IF(INDEX('Match Log'!$E$1:$E$810,_xlfn.AGGREGATE(14,6,ROW('Match Log'!$A$4:$A$810)/('Match Log'!$D$4:$D$810=$A19),2))="Win","W","L"),"")&amp;IFERROR(IF(INDEX('Match Log'!$E$1:$E$810,_xlfn.AGGREGATE(14,6,ROW('Match Log'!$A$4:$A$810)/('Match Log'!$D$4:$D$810=$A19),1))="Win","W","L"),"")</f>
        <v>WLWL</v>
      </c>
      <c r="J19">
        <f>IFERROR(LOOKUP(2,1/(('Match Log'!$D$4:$D$810=$A19)*('Match Log'!$B$4:$B$810&lt;=$B$3)),'Match Log'!$N$4:$N$810),1000)</f>
        <v>1030.3815983388336</v>
      </c>
      <c r="K19">
        <f t="shared" si="3"/>
        <v>8</v>
      </c>
      <c r="L19">
        <f t="shared" si="4"/>
        <v>0</v>
      </c>
      <c r="M19">
        <f t="shared" si="5"/>
        <v>0</v>
      </c>
      <c r="N19">
        <f t="shared" si="6"/>
        <v>2</v>
      </c>
      <c r="O19">
        <f t="shared" si="7"/>
        <v>0</v>
      </c>
      <c r="P19">
        <f>IFERROR(SUMPRODUCT(MAX(('Match Log'!$D$4:$D$810=$A19)*'Match Log'!$B$4:$B$810)),0)</f>
        <v>46188</v>
      </c>
      <c r="Q19">
        <f t="shared" si="8"/>
        <v>3.7142857142857144</v>
      </c>
      <c r="R19">
        <f>IF($P19=0,0,MAX($Q19-'Guide &amp; Settings'!$C$48,0)*'Guide &amp; Settings'!$C$49)</f>
        <v>0</v>
      </c>
      <c r="S19">
        <f>$B19-$R19-$U19+SUMIF('Poker Stake Ledger'!$C$18:$C$137,$A19,'Poker Stake Ledger'!$K$18:$K$137)</f>
        <v>1030.3815983388336</v>
      </c>
      <c r="T19" t="str">
        <f>IF($P19=0,"No games",IF($Q19&gt;='Guide &amp; Settings'!$C$48,"Inactive",IF($Q19&gt;='Guide &amp; Settings'!$C$47,"At risk","Active")))</f>
        <v>At risk</v>
      </c>
      <c r="U19">
        <f>SUMIF('Match Log'!$D$4:$D$810,$A19,'Match Log'!$AC$4:$AC$810)</f>
        <v>0</v>
      </c>
      <c r="V19">
        <f t="shared" si="9"/>
        <v>1</v>
      </c>
      <c r="W19">
        <f t="shared" si="10"/>
        <v>57.595399584708389</v>
      </c>
      <c r="X19">
        <f>IFERROR(INDEX(Dashboard!$G$5:$G$18,MATCH($A19,Dashboard!$B$5:$B$18,0))*100,0)</f>
        <v>50</v>
      </c>
      <c r="Y19">
        <f>MIN(100,IFERROR(INDEX(Dashboard!$K$5:$K$18,MATCH($A19,Dashboard!$B$5:$B$18,0)),0)/5*50+$AC19/4*50)</f>
        <v>22.5</v>
      </c>
      <c r="Z19">
        <f t="shared" si="11"/>
        <v>50</v>
      </c>
      <c r="AA19">
        <f t="shared" si="12"/>
        <v>66.096803129487967</v>
      </c>
      <c r="AB19">
        <f t="shared" si="13"/>
        <v>48.768070167596733</v>
      </c>
      <c r="AC19">
        <f>IFERROR(SUMPRODUCT((INDEX('Sport Records'!$B$8:$O$26,0,MATCH($A19,'Sport Records'!$B$7:$O$7,0))&gt;=2)*(INDEX('Sport Records'!$B$52:$O$70,0,MATCH($A19,'Sport Records'!$B$51:$O$51,0))&gt;=0.5)),0)</f>
        <v>1</v>
      </c>
      <c r="AD19">
        <f>IFERROR(INDEX(Dashboard!$D$5:$D$18,MATCH($A19,Dashboard!$B$5:$B$18,0)),0)</f>
        <v>4</v>
      </c>
      <c r="AE19">
        <f>IFERROR(INDEX(Dashboard!$K$5:$K$18,MATCH($A19,Dashboard!$B$5:$B$18,0)),0)</f>
        <v>1</v>
      </c>
      <c r="AF19" t="str">
        <f t="shared" si="14"/>
        <v>Unranked</v>
      </c>
      <c r="AG19">
        <f ca="1">COUNTIFS('Match Log'!$D$4:$D$810,$A19,'Match Log'!$B$4:$B$810,"&gt;="&amp;$B$5)</f>
        <v>0</v>
      </c>
      <c r="AH19">
        <f ca="1">COUNTIFS('Match Log'!$D$4:$D$810,$A19,'Match Log'!$B$4:$B$810,"&gt;="&amp;$B$5,'Match Log'!$E$4:$E$810,"Win")</f>
        <v>0</v>
      </c>
      <c r="AI19">
        <f t="shared" si="15"/>
        <v>1030.3816002388335</v>
      </c>
    </row>
    <row r="20" spans="1:35" ht="15" customHeight="1" x14ac:dyDescent="0.2">
      <c r="A20" t="s">
        <v>174</v>
      </c>
      <c r="B20">
        <f>IFERROR(INDEX(Engine!$B$2:$B$15,MATCH($A20,Engine!$A$2:$A$15,0)),1000)</f>
        <v>1000</v>
      </c>
      <c r="C20" t="str">
        <f>IFERROR(INDEX(Engine!$C$2:$C$15,MATCH($A20,Engine!$A$2:$A$15,0)),"")</f>
        <v/>
      </c>
      <c r="D20">
        <f t="shared" si="0"/>
        <v>12</v>
      </c>
      <c r="E20">
        <f t="shared" si="1"/>
        <v>168.21134360074416</v>
      </c>
      <c r="F20" t="str">
        <f>IFERROR(LOOKUP(2,1/('Match Log'!$D$4:$D$810=$A20),'Match Log'!$E$4:$E$810),"")</f>
        <v/>
      </c>
      <c r="G20">
        <f>IF($F20="",0,SUMPRODUCT(('Match Log'!$D$4:$D$810=$A20)*(ROW('Match Log'!$A$4:$A$810)&gt;SUMPRODUCT(MAX(('Match Log'!$D$4:$D$810=$A20)*('Match Log'!$E$4:$E$810&lt;&gt;$F20)*ROW('Match Log'!$A$4:$A$810))))))</f>
        <v>0</v>
      </c>
      <c r="H20" t="str">
        <f t="shared" si="2"/>
        <v/>
      </c>
      <c r="I20" t="str">
        <f>IFERROR(IF(INDEX('Match Log'!$E$1:$E$810,_xlfn.AGGREGATE(14,6,ROW('Match Log'!$A$4:$A$810)/('Match Log'!$D$4:$D$810=$A20),5))="Win","W","L"),"")&amp;IFERROR(IF(INDEX('Match Log'!$E$1:$E$810,_xlfn.AGGREGATE(14,6,ROW('Match Log'!$A$4:$A$810)/('Match Log'!$D$4:$D$810=$A20),4))="Win","W","L"),"")&amp;IFERROR(IF(INDEX('Match Log'!$E$1:$E$810,_xlfn.AGGREGATE(14,6,ROW('Match Log'!$A$4:$A$810)/('Match Log'!$D$4:$D$810=$A20),3))="Win","W","L"),"")&amp;IFERROR(IF(INDEX('Match Log'!$E$1:$E$810,_xlfn.AGGREGATE(14,6,ROW('Match Log'!$A$4:$A$810)/('Match Log'!$D$4:$D$810=$A20),2))="Win","W","L"),"")&amp;IFERROR(IF(INDEX('Match Log'!$E$1:$E$810,_xlfn.AGGREGATE(14,6,ROW('Match Log'!$A$4:$A$810)/('Match Log'!$D$4:$D$810=$A20),1))="Win","W","L"),"")</f>
        <v/>
      </c>
      <c r="J20">
        <f>IFERROR(LOOKUP(2,1/(('Match Log'!$D$4:$D$810=$A20)*('Match Log'!$B$4:$B$810&lt;=$B$3)),'Match Log'!$N$4:$N$810),1000)</f>
        <v>1000</v>
      </c>
      <c r="K20">
        <f t="shared" si="3"/>
        <v>11</v>
      </c>
      <c r="L20">
        <f t="shared" si="4"/>
        <v>-1</v>
      </c>
      <c r="M20">
        <f t="shared" si="5"/>
        <v>0</v>
      </c>
      <c r="N20">
        <f t="shared" si="6"/>
        <v>0</v>
      </c>
      <c r="O20">
        <f t="shared" si="7"/>
        <v>0</v>
      </c>
      <c r="P20">
        <f>IFERROR(SUMPRODUCT(MAX(('Match Log'!$D$4:$D$810=$A20)*'Match Log'!$B$4:$B$810)),0)</f>
        <v>0</v>
      </c>
      <c r="Q20" t="str">
        <f t="shared" si="8"/>
        <v/>
      </c>
      <c r="R20">
        <f>IF($P20=0,0,MAX($Q20-'Guide &amp; Settings'!$C$48,0)*'Guide &amp; Settings'!$C$49)</f>
        <v>0</v>
      </c>
      <c r="S20">
        <f>$B20-$R20-$U20+SUMIF('Poker Stake Ledger'!$C$18:$C$137,$A20,'Poker Stake Ledger'!$K$18:$K$137)</f>
        <v>1000</v>
      </c>
      <c r="T20" t="str">
        <f>IF($P20=0,"No games",IF($Q20&gt;='Guide &amp; Settings'!$C$48,"Inactive",IF($Q20&gt;='Guide &amp; Settings'!$C$47,"At risk","Active")))</f>
        <v>No games</v>
      </c>
      <c r="U20">
        <f>SUMIF('Match Log'!$D$4:$D$810,$A20,'Match Log'!$AC$4:$AC$810)</f>
        <v>0</v>
      </c>
      <c r="V20">
        <f t="shared" si="9"/>
        <v>0</v>
      </c>
      <c r="W20">
        <f t="shared" si="10"/>
        <v>50</v>
      </c>
      <c r="X20">
        <f>IFERROR(INDEX(Dashboard!$G$5:$G$18,MATCH($A20,Dashboard!$B$5:$B$18,0))*100,0)</f>
        <v>0</v>
      </c>
      <c r="Y20">
        <f>MIN(100,IFERROR(INDEX(Dashboard!$K$5:$K$18,MATCH($A20,Dashboard!$B$5:$B$18,0)),0)/5*50+$AC20/4*50)</f>
        <v>0</v>
      </c>
      <c r="Z20">
        <f t="shared" si="11"/>
        <v>0</v>
      </c>
      <c r="AA20">
        <f t="shared" si="12"/>
        <v>0</v>
      </c>
      <c r="AB20">
        <f t="shared" si="13"/>
        <v>17.5</v>
      </c>
      <c r="AC20">
        <f>IFERROR(SUMPRODUCT((INDEX('Sport Records'!$B$8:$O$26,0,MATCH($A20,'Sport Records'!$B$7:$O$7,0))&gt;=2)*(INDEX('Sport Records'!$B$52:$O$70,0,MATCH($A20,'Sport Records'!$B$51:$O$51,0))&gt;=0.5)),0)</f>
        <v>0</v>
      </c>
      <c r="AD20">
        <f>IFERROR(INDEX(Dashboard!$D$5:$D$18,MATCH($A20,Dashboard!$B$5:$B$18,0)),0)</f>
        <v>0</v>
      </c>
      <c r="AE20">
        <f>IFERROR(INDEX(Dashboard!$K$5:$K$18,MATCH($A20,Dashboard!$B$5:$B$18,0)),0)</f>
        <v>0</v>
      </c>
      <c r="AF20" t="str">
        <f t="shared" si="14"/>
        <v>No games</v>
      </c>
      <c r="AG20">
        <f ca="1">COUNTIFS('Match Log'!$D$4:$D$810,$A20,'Match Log'!$B$4:$B$810,"&gt;="&amp;$B$5)</f>
        <v>0</v>
      </c>
      <c r="AH20">
        <f ca="1">COUNTIFS('Match Log'!$D$4:$D$810,$A20,'Match Log'!$B$4:$B$810,"&gt;="&amp;$B$5,'Match Log'!$E$4:$E$810,"Win")</f>
        <v>0</v>
      </c>
      <c r="AI20">
        <f t="shared" si="15"/>
        <v>1000.000002</v>
      </c>
    </row>
    <row r="24" spans="1:35" ht="15" customHeight="1" x14ac:dyDescent="0.2">
      <c r="A24" t="s">
        <v>352</v>
      </c>
      <c r="B24" t="s">
        <v>245</v>
      </c>
      <c r="C24" t="s">
        <v>123</v>
      </c>
      <c r="D24" t="s">
        <v>353</v>
      </c>
      <c r="E24" t="s">
        <v>354</v>
      </c>
      <c r="F24" t="s">
        <v>355</v>
      </c>
      <c r="G24" t="s">
        <v>356</v>
      </c>
      <c r="H24" t="s">
        <v>357</v>
      </c>
      <c r="J24" t="s">
        <v>358</v>
      </c>
      <c r="K24" t="s">
        <v>138</v>
      </c>
      <c r="L24" t="s">
        <v>135</v>
      </c>
      <c r="M24" t="s">
        <v>173</v>
      </c>
      <c r="N24" t="s">
        <v>140</v>
      </c>
      <c r="O24" t="s">
        <v>137</v>
      </c>
      <c r="P24" t="s">
        <v>134</v>
      </c>
      <c r="Q24" t="s">
        <v>168</v>
      </c>
      <c r="R24" t="s">
        <v>170</v>
      </c>
      <c r="S24" t="s">
        <v>167</v>
      </c>
      <c r="T24" t="s">
        <v>175</v>
      </c>
      <c r="U24" t="s">
        <v>169</v>
      </c>
      <c r="V24" t="s">
        <v>171</v>
      </c>
      <c r="W24" t="s">
        <v>172</v>
      </c>
      <c r="X24" t="s">
        <v>174</v>
      </c>
    </row>
    <row r="25" spans="1:35" ht="15" customHeight="1" x14ac:dyDescent="0.2">
      <c r="A25">
        <v>1</v>
      </c>
      <c r="B25" s="127">
        <f>IFERROR(INDEX('Match Log'!$B$4:$B$810,MATCH(1,'Match Log'!$A$4:$A$810,0)),"")</f>
        <v>46145</v>
      </c>
      <c r="C25" t="str">
        <f>IFERROR(INDEX('Match Log'!$C$4:$C$810,MATCH(1,'Match Log'!$A$4:$A$810,0)),"")</f>
        <v>Putt Putt</v>
      </c>
      <c r="D25" t="str">
        <f t="array" ref="D25">IFERROR(_xlfn.TEXTJOIN(" + ",TRUE,IF(('Match Log'!$A$4:$A$810=$A25)*('Match Log'!$E$4:$E$810="Win"),'Match Log'!$D$4:$D$810,"")),IFERROR(LOOKUP(2,1/(('Match Log'!$A$4:$A$810=$A25)*('Match Log'!$E$4:$E$810="Win")),'Match Log'!$D$4:$D$810),""))</f>
        <v>Josh</v>
      </c>
      <c r="E25" s="128">
        <f>IFERROR(INDEX('Match Log'!$F$4:$F$810,MATCH(1,'Match Log'!$A$4:$A$810,0)),"")</f>
        <v>3</v>
      </c>
      <c r="F25">
        <f>IFERROR(SUMIFS('Match Log'!$I$4:$I$810,'Match Log'!$A$4:$A$810,1,'Match Log'!$E$4:$E$810,"Win"),"")</f>
        <v>0.33333333333333331</v>
      </c>
      <c r="G25">
        <f t="shared" ref="G25:G56" si="16">IF($D25="","",1-$F25*$E25)</f>
        <v>0</v>
      </c>
      <c r="H25" t="str">
        <f t="array" ref="H25">IFERROR(IF(COUNTIFS('Match Log'!$A$4:$A$810,$A25,'Match Log'!$E$4:$E$810,"Win")&gt;1,_xlfn.TEXTJOIN(" + ",TRUE,IF(('Match Log'!$A$4:$A$810=$A25)*('Match Log'!$E$4:$E$810="Loss"),'Match Log'!$D$4:$D$810,"")),IF($E25=2,LOOKUP(2,1/(('Match Log'!$A$4:$A$810=$A25)*('Match Log'!$E$4:$E$810="Loss")),'Match Log'!$D$4:$D$810),"the field")),"")</f>
        <v>the field</v>
      </c>
      <c r="I25">
        <f t="shared" ref="I25:I56" si="17">IF($G25="","",$G25-$A25/1000000)</f>
        <v>-9.9999999999999995E-7</v>
      </c>
      <c r="J25">
        <v>1</v>
      </c>
      <c r="K25" t="e">
        <f>IF($J25&gt;MAX('Match Log'!$A$4:$A$810),NA(),IFERROR(LOOKUP(2,1/(('Match Log'!$D$4:$D$810=$K$24)*('Match Log'!$A$4:$A$810&lt;=$J25)),'Match Log'!$N$4:$N$810),NA()))</f>
        <v>#N/A</v>
      </c>
      <c r="L25" t="e">
        <f>IF($J25&gt;MAX('Match Log'!$A$4:$A$810),NA(),IFERROR(LOOKUP(2,1/(('Match Log'!$D$4:$D$810=$L$24)*('Match Log'!$A$4:$A$810&lt;=$J25)),'Match Log'!$N$4:$N$810),NA()))</f>
        <v>#N/A</v>
      </c>
      <c r="M25" t="e">
        <f>IF($J25&gt;MAX('Match Log'!$A$4:$A$810),NA(),IFERROR(LOOKUP(2,1/(('Match Log'!$D$4:$D$810=$M$24)*('Match Log'!$A$4:$A$810&lt;=$J25)),'Match Log'!$N$4:$N$810),NA()))</f>
        <v>#N/A</v>
      </c>
      <c r="N25" t="e">
        <f>IF($J25&gt;MAX('Match Log'!$A$4:$A$810),NA(),IFERROR(LOOKUP(2,1/(('Match Log'!$D$4:$D$810=$N$24)*('Match Log'!$A$4:$A$810&lt;=$J25)),'Match Log'!$N$4:$N$810),NA()))</f>
        <v>#N/A</v>
      </c>
      <c r="O25">
        <f>IF($J25&gt;MAX('Match Log'!$A$4:$A$810),NA(),IFERROR(LOOKUP(2,1/(('Match Log'!$D$4:$D$810=$O$24)*('Match Log'!$A$4:$A$810&lt;=$J25)),'Match Log'!$N$4:$N$810),NA()))</f>
        <v>1027</v>
      </c>
      <c r="P25">
        <f>IF($J25&gt;MAX('Match Log'!$A$4:$A$810),NA(),IFERROR(LOOKUP(2,1/(('Match Log'!$D$4:$D$810=$P$24)*('Match Log'!$A$4:$A$810&lt;=$J25)),'Match Log'!$N$4:$N$810),NA()))</f>
        <v>991</v>
      </c>
      <c r="Q25" t="e">
        <f>IF($J25&gt;MAX('Match Log'!$A$4:$A$810),NA(),IFERROR(LOOKUP(2,1/(('Match Log'!$D$4:$D$810=$Q$24)*('Match Log'!$A$4:$A$810&lt;=$J25)),'Match Log'!$N$4:$N$810),NA()))</f>
        <v>#N/A</v>
      </c>
      <c r="R25" t="e">
        <f>IF($J25&gt;MAX('Match Log'!$A$4:$A$810),NA(),IFERROR(LOOKUP(2,1/(('Match Log'!$D$4:$D$810=$R$24)*('Match Log'!$A$4:$A$810&lt;=$J25)),'Match Log'!$N$4:$N$810),NA()))</f>
        <v>#N/A</v>
      </c>
      <c r="S25" t="e">
        <f>IF($J25&gt;MAX('Match Log'!$A$4:$A$810),NA(),IFERROR(LOOKUP(2,1/(('Match Log'!$D$4:$D$810=$S$24)*('Match Log'!$A$4:$A$810&lt;=$J25)),'Match Log'!$N$4:$N$810),NA()))</f>
        <v>#N/A</v>
      </c>
      <c r="T25" t="e">
        <f>IF($J25&gt;MAX('Match Log'!$A$4:$A$810),NA(),IFERROR(LOOKUP(2,1/(('Match Log'!$D$4:$D$810=$T$24)*('Match Log'!$A$4:$A$810&lt;=$J25)),'Match Log'!$N$4:$N$810),NA()))</f>
        <v>#N/A</v>
      </c>
      <c r="U25">
        <f>IF($J25&gt;MAX('Match Log'!$A$4:$A$810),NA(),IFERROR(LOOKUP(2,1/(('Match Log'!$D$4:$D$810=$U$24)*('Match Log'!$A$4:$A$810&lt;=$J25)),'Match Log'!$N$4:$N$810),NA()))</f>
        <v>991</v>
      </c>
      <c r="V25" t="e">
        <f>IF($J25&gt;MAX('Match Log'!$A$4:$A$810),NA(),IFERROR(LOOKUP(2,1/(('Match Log'!$D$4:$D$810=$V$24)*('Match Log'!$A$4:$A$810&lt;=$J25)),'Match Log'!$N$4:$N$810),NA()))</f>
        <v>#N/A</v>
      </c>
      <c r="W25" t="e">
        <f>IF($J25&gt;MAX('Match Log'!$A$4:$A$810),NA(),IFERROR(LOOKUP(2,1/(('Match Log'!$D$4:$D$810=$W$24)*('Match Log'!$A$4:$A$810&lt;=$J25)),'Match Log'!$N$4:$N$810),NA()))</f>
        <v>#N/A</v>
      </c>
      <c r="X25" t="e">
        <f>IF($J25&gt;MAX('Match Log'!$A$4:$A$810),NA(),IFERROR(LOOKUP(2,1/(('Match Log'!$D$4:$D$810=$X$24)*('Match Log'!$A$4:$A$810&lt;=$J25)),'Match Log'!$N$4:$N$810),NA()))</f>
        <v>#N/A</v>
      </c>
      <c r="Y25" t="str">
        <f t="shared" ref="Y25:Y56" ca="1" si="18">IF(AND($B25&lt;&gt;"",$B25&gt;=$B$5,$I25&lt;&gt;""),$I25,"")</f>
        <v/>
      </c>
    </row>
    <row r="26" spans="1:35" ht="15" customHeight="1" x14ac:dyDescent="0.2">
      <c r="A26">
        <v>2</v>
      </c>
      <c r="B26" s="127">
        <f>IFERROR(INDEX('Match Log'!$B$4:$B$810,MATCH(2,'Match Log'!$A$4:$A$810,0)),"")</f>
        <v>46175</v>
      </c>
      <c r="C26" t="str">
        <f>IFERROR(INDEX('Match Log'!$C$4:$C$810,MATCH(2,'Match Log'!$A$4:$A$810,0)),"")</f>
        <v>Kelly Pool</v>
      </c>
      <c r="D26" t="str">
        <f t="array" ref="D26">IFERROR(_xlfn.TEXTJOIN(" + ",TRUE,IF(('Match Log'!$A$4:$A$810=$A26)*('Match Log'!$E$4:$E$810="Win"),'Match Log'!$D$4:$D$810,"")),IFERROR(LOOKUP(2,1/(('Match Log'!$A$4:$A$810=$A26)*('Match Log'!$E$4:$E$810="Win")),'Match Log'!$D$4:$D$810),""))</f>
        <v>Aaron</v>
      </c>
      <c r="E26" s="128">
        <f>IFERROR(INDEX('Match Log'!$F$4:$F$810,MATCH(2,'Match Log'!$A$4:$A$810,0)),"")</f>
        <v>8</v>
      </c>
      <c r="F26">
        <f>IFERROR(SUMIFS('Match Log'!$I$4:$I$810,'Match Log'!$A$4:$A$810,2,'Match Log'!$E$4:$E$810,"Win"),"")</f>
        <v>0.125</v>
      </c>
      <c r="G26">
        <f t="shared" si="16"/>
        <v>0</v>
      </c>
      <c r="H26" t="str">
        <f t="array" ref="H26">IFERROR(IF(COUNTIFS('Match Log'!$A$4:$A$810,$A26,'Match Log'!$E$4:$E$810,"Win")&gt;1,_xlfn.TEXTJOIN(" + ",TRUE,IF(('Match Log'!$A$4:$A$810=$A26)*('Match Log'!$E$4:$E$810="Loss"),'Match Log'!$D$4:$D$810,"")),IF($E26=2,LOOKUP(2,1/(('Match Log'!$A$4:$A$810=$A26)*('Match Log'!$E$4:$E$810="Loss")),'Match Log'!$D$4:$D$810),"the field")),"")</f>
        <v>the field</v>
      </c>
      <c r="I26">
        <f t="shared" si="17"/>
        <v>-1.9999999999999999E-6</v>
      </c>
      <c r="J26">
        <v>2</v>
      </c>
      <c r="K26">
        <f>IF($J26&gt;MAX('Match Log'!$A$4:$A$810),NA(),IFERROR(LOOKUP(2,1/(('Match Log'!$D$4:$D$810=$K$24)*('Match Log'!$A$4:$A$810&lt;=$J26)),'Match Log'!$N$4:$N$810),NA()))</f>
        <v>1034.5588790960981</v>
      </c>
      <c r="L26" t="e">
        <f>IF($J26&gt;MAX('Match Log'!$A$4:$A$810),NA(),IFERROR(LOOKUP(2,1/(('Match Log'!$D$4:$D$810=$L$24)*('Match Log'!$A$4:$A$810&lt;=$J26)),'Match Log'!$N$4:$N$810),NA()))</f>
        <v>#N/A</v>
      </c>
      <c r="M26">
        <f>IF($J26&gt;MAX('Match Log'!$A$4:$A$810),NA(),IFERROR(LOOKUP(2,1/(('Match Log'!$D$4:$D$810=$M$24)*('Match Log'!$A$4:$A$810&lt;=$J26)),'Match Log'!$N$4:$N$810),NA()))</f>
        <v>1004.2142857142857</v>
      </c>
      <c r="N26">
        <f>IF($J26&gt;MAX('Match Log'!$A$4:$A$810),NA(),IFERROR(LOOKUP(2,1/(('Match Log'!$D$4:$D$810=$N$24)*('Match Log'!$A$4:$A$810&lt;=$J26)),'Match Log'!$N$4:$N$810),NA()))</f>
        <v>1004.2142857142857</v>
      </c>
      <c r="O26">
        <f>IF($J26&gt;MAX('Match Log'!$A$4:$A$810),NA(),IFERROR(LOOKUP(2,1/(('Match Log'!$D$4:$D$810=$O$24)*('Match Log'!$A$4:$A$810&lt;=$J26)),'Match Log'!$N$4:$N$810),NA()))</f>
        <v>1031.0370144363101</v>
      </c>
      <c r="P26">
        <f>IF($J26&gt;MAX('Match Log'!$A$4:$A$810),NA(),IFERROR(LOOKUP(2,1/(('Match Log'!$D$4:$D$810=$P$24)*('Match Log'!$A$4:$A$810&lt;=$J26)),'Match Log'!$N$4:$N$810),NA()))</f>
        <v>995.27348180522449</v>
      </c>
      <c r="Q26">
        <f>IF($J26&gt;MAX('Match Log'!$A$4:$A$810),NA(),IFERROR(LOOKUP(2,1/(('Match Log'!$D$4:$D$810=$Q$24)*('Match Log'!$A$4:$A$810&lt;=$J26)),'Match Log'!$N$4:$N$810),NA()))</f>
        <v>1004.2142857142857</v>
      </c>
      <c r="R26">
        <f>IF($J26&gt;MAX('Match Log'!$A$4:$A$810),NA(),IFERROR(LOOKUP(2,1/(('Match Log'!$D$4:$D$810=$R$24)*('Match Log'!$A$4:$A$810&lt;=$J26)),'Match Log'!$N$4:$N$810),NA()))</f>
        <v>1004.2142857142857</v>
      </c>
      <c r="S26" t="e">
        <f>IF($J26&gt;MAX('Match Log'!$A$4:$A$810),NA(),IFERROR(LOOKUP(2,1/(('Match Log'!$D$4:$D$810=$S$24)*('Match Log'!$A$4:$A$810&lt;=$J26)),'Match Log'!$N$4:$N$810),NA()))</f>
        <v>#N/A</v>
      </c>
      <c r="T26" t="e">
        <f>IF($J26&gt;MAX('Match Log'!$A$4:$A$810),NA(),IFERROR(LOOKUP(2,1/(('Match Log'!$D$4:$D$810=$T$24)*('Match Log'!$A$4:$A$810&lt;=$J26)),'Match Log'!$N$4:$N$810),NA()))</f>
        <v>#N/A</v>
      </c>
      <c r="U26">
        <f>IF($J26&gt;MAX('Match Log'!$A$4:$A$810),NA(),IFERROR(LOOKUP(2,1/(('Match Log'!$D$4:$D$810=$U$24)*('Match Log'!$A$4:$A$810&lt;=$J26)),'Match Log'!$N$4:$N$810),NA()))</f>
        <v>995.27348180522449</v>
      </c>
      <c r="V26" t="e">
        <f>IF($J26&gt;MAX('Match Log'!$A$4:$A$810),NA(),IFERROR(LOOKUP(2,1/(('Match Log'!$D$4:$D$810=$V$24)*('Match Log'!$A$4:$A$810&lt;=$J26)),'Match Log'!$N$4:$N$810),NA()))</f>
        <v>#N/A</v>
      </c>
      <c r="W26" t="e">
        <f>IF($J26&gt;MAX('Match Log'!$A$4:$A$810),NA(),IFERROR(LOOKUP(2,1/(('Match Log'!$D$4:$D$810=$W$24)*('Match Log'!$A$4:$A$810&lt;=$J26)),'Match Log'!$N$4:$N$810),NA()))</f>
        <v>#N/A</v>
      </c>
      <c r="X26" t="e">
        <f>IF($J26&gt;MAX('Match Log'!$A$4:$A$810),NA(),IFERROR(LOOKUP(2,1/(('Match Log'!$D$4:$D$810=$X$24)*('Match Log'!$A$4:$A$810&lt;=$J26)),'Match Log'!$N$4:$N$810),NA()))</f>
        <v>#N/A</v>
      </c>
      <c r="Y26" t="str">
        <f t="shared" ca="1" si="18"/>
        <v/>
      </c>
    </row>
    <row r="27" spans="1:35" ht="15" customHeight="1" x14ac:dyDescent="0.2">
      <c r="A27">
        <v>3</v>
      </c>
      <c r="B27" s="127">
        <f>IFERROR(INDEX('Match Log'!$B$4:$B$810,MATCH(3,'Match Log'!$A$4:$A$810,0)),"")</f>
        <v>46172</v>
      </c>
      <c r="C27" t="str">
        <f>IFERROR(INDEX('Match Log'!$C$4:$C$810,MATCH(3,'Match Log'!$A$4:$A$810,0)),"")</f>
        <v>FIFA</v>
      </c>
      <c r="D27" t="str">
        <f t="array" ref="D27">IFERROR(_xlfn.TEXTJOIN(" + ",TRUE,IF(('Match Log'!$A$4:$A$810=$A27)*('Match Log'!$E$4:$E$810="Win"),'Match Log'!$D$4:$D$810,"")),IFERROR(LOOKUP(2,1/(('Match Log'!$A$4:$A$810=$A27)*('Match Log'!$E$4:$E$810="Win")),'Match Log'!$D$4:$D$810),""))</f>
        <v>Shawn</v>
      </c>
      <c r="E27" s="128">
        <f>IFERROR(INDEX('Match Log'!$F$4:$F$810,MATCH(3,'Match Log'!$A$4:$A$810,0)),"")</f>
        <v>2</v>
      </c>
      <c r="F27">
        <f>IFERROR(SUMIFS('Match Log'!$I$4:$I$810,'Match Log'!$A$4:$A$810,3,'Match Log'!$E$4:$E$810,"Win"),"")</f>
        <v>0.5</v>
      </c>
      <c r="G27">
        <f t="shared" si="16"/>
        <v>0</v>
      </c>
      <c r="H27" t="str">
        <f t="array" ref="H27">IFERROR(IF(COUNTIFS('Match Log'!$A$4:$A$810,$A27,'Match Log'!$E$4:$E$810,"Win")&gt;1,_xlfn.TEXTJOIN(" + ",TRUE,IF(('Match Log'!$A$4:$A$810=$A27)*('Match Log'!$E$4:$E$810="Loss"),'Match Log'!$D$4:$D$810,"")),IF($E27=2,LOOKUP(2,1/(('Match Log'!$A$4:$A$810=$A27)*('Match Log'!$E$4:$E$810="Loss")),'Match Log'!$D$4:$D$810),"the field")),"")</f>
        <v>Daniel (Ferret)</v>
      </c>
      <c r="I27">
        <f t="shared" si="17"/>
        <v>-3.0000000000000001E-6</v>
      </c>
      <c r="J27">
        <v>3</v>
      </c>
      <c r="K27">
        <f>IF($J27&gt;MAX('Match Log'!$A$4:$A$810),NA(),IFERROR(LOOKUP(2,1/(('Match Log'!$D$4:$D$810=$K$24)*('Match Log'!$A$4:$A$810&lt;=$J27)),'Match Log'!$N$4:$N$810),NA()))</f>
        <v>1034.5588790960981</v>
      </c>
      <c r="L27" t="e">
        <f>IF($J27&gt;MAX('Match Log'!$A$4:$A$810),NA(),IFERROR(LOOKUP(2,1/(('Match Log'!$D$4:$D$810=$L$24)*('Match Log'!$A$4:$A$810&lt;=$J27)),'Match Log'!$N$4:$N$810),NA()))</f>
        <v>#N/A</v>
      </c>
      <c r="M27">
        <f>IF($J27&gt;MAX('Match Log'!$A$4:$A$810),NA(),IFERROR(LOOKUP(2,1/(('Match Log'!$D$4:$D$810=$M$24)*('Match Log'!$A$4:$A$810&lt;=$J27)),'Match Log'!$N$4:$N$810),NA()))</f>
        <v>1004.2142857142857</v>
      </c>
      <c r="N27">
        <f>IF($J27&gt;MAX('Match Log'!$A$4:$A$810),NA(),IFERROR(LOOKUP(2,1/(('Match Log'!$D$4:$D$810=$N$24)*('Match Log'!$A$4:$A$810&lt;=$J27)),'Match Log'!$N$4:$N$810),NA()))</f>
        <v>1004.2142857142857</v>
      </c>
      <c r="O27">
        <f>IF($J27&gt;MAX('Match Log'!$A$4:$A$810),NA(),IFERROR(LOOKUP(2,1/(('Match Log'!$D$4:$D$810=$O$24)*('Match Log'!$A$4:$A$810&lt;=$J27)),'Match Log'!$N$4:$N$810),NA()))</f>
        <v>1031.0370144363101</v>
      </c>
      <c r="P27">
        <f>IF($J27&gt;MAX('Match Log'!$A$4:$A$810),NA(),IFERROR(LOOKUP(2,1/(('Match Log'!$D$4:$D$810=$P$24)*('Match Log'!$A$4:$A$810&lt;=$J27)),'Match Log'!$N$4:$N$810),NA()))</f>
        <v>1017.685130177511</v>
      </c>
      <c r="Q27">
        <f>IF($J27&gt;MAX('Match Log'!$A$4:$A$810),NA(),IFERROR(LOOKUP(2,1/(('Match Log'!$D$4:$D$810=$Q$24)*('Match Log'!$A$4:$A$810&lt;=$J27)),'Match Log'!$N$4:$N$810),NA()))</f>
        <v>1004.2142857142857</v>
      </c>
      <c r="R27">
        <f>IF($J27&gt;MAX('Match Log'!$A$4:$A$810),NA(),IFERROR(LOOKUP(2,1/(('Match Log'!$D$4:$D$810=$R$24)*('Match Log'!$A$4:$A$810&lt;=$J27)),'Match Log'!$N$4:$N$810),NA()))</f>
        <v>981.80263734199912</v>
      </c>
      <c r="S27" t="e">
        <f>IF($J27&gt;MAX('Match Log'!$A$4:$A$810),NA(),IFERROR(LOOKUP(2,1/(('Match Log'!$D$4:$D$810=$S$24)*('Match Log'!$A$4:$A$810&lt;=$J27)),'Match Log'!$N$4:$N$810),NA()))</f>
        <v>#N/A</v>
      </c>
      <c r="T27" t="e">
        <f>IF($J27&gt;MAX('Match Log'!$A$4:$A$810),NA(),IFERROR(LOOKUP(2,1/(('Match Log'!$D$4:$D$810=$T$24)*('Match Log'!$A$4:$A$810&lt;=$J27)),'Match Log'!$N$4:$N$810),NA()))</f>
        <v>#N/A</v>
      </c>
      <c r="U27">
        <f>IF($J27&gt;MAX('Match Log'!$A$4:$A$810),NA(),IFERROR(LOOKUP(2,1/(('Match Log'!$D$4:$D$810=$U$24)*('Match Log'!$A$4:$A$810&lt;=$J27)),'Match Log'!$N$4:$N$810),NA()))</f>
        <v>995.27348180522449</v>
      </c>
      <c r="V27" t="e">
        <f>IF($J27&gt;MAX('Match Log'!$A$4:$A$810),NA(),IFERROR(LOOKUP(2,1/(('Match Log'!$D$4:$D$810=$V$24)*('Match Log'!$A$4:$A$810&lt;=$J27)),'Match Log'!$N$4:$N$810),NA()))</f>
        <v>#N/A</v>
      </c>
      <c r="W27" t="e">
        <f>IF($J27&gt;MAX('Match Log'!$A$4:$A$810),NA(),IFERROR(LOOKUP(2,1/(('Match Log'!$D$4:$D$810=$W$24)*('Match Log'!$A$4:$A$810&lt;=$J27)),'Match Log'!$N$4:$N$810),NA()))</f>
        <v>#N/A</v>
      </c>
      <c r="X27" t="e">
        <f>IF($J27&gt;MAX('Match Log'!$A$4:$A$810),NA(),IFERROR(LOOKUP(2,1/(('Match Log'!$D$4:$D$810=$X$24)*('Match Log'!$A$4:$A$810&lt;=$J27)),'Match Log'!$N$4:$N$810),NA()))</f>
        <v>#N/A</v>
      </c>
      <c r="Y27" t="str">
        <f t="shared" ca="1" si="18"/>
        <v/>
      </c>
    </row>
    <row r="28" spans="1:35" ht="15" customHeight="1" x14ac:dyDescent="0.2">
      <c r="A28">
        <v>4</v>
      </c>
      <c r="B28" s="127">
        <f>IFERROR(INDEX('Match Log'!$B$4:$B$810,MATCH(4,'Match Log'!$A$4:$A$810,0)),"")</f>
        <v>46172</v>
      </c>
      <c r="C28" t="str">
        <f>IFERROR(INDEX('Match Log'!$C$4:$C$810,MATCH(4,'Match Log'!$A$4:$A$810,0)),"")</f>
        <v>FIFA</v>
      </c>
      <c r="D28" t="str">
        <f t="array" ref="D28">IFERROR(_xlfn.TEXTJOIN(" + ",TRUE,IF(('Match Log'!$A$4:$A$810=$A28)*('Match Log'!$E$4:$E$810="Win"),'Match Log'!$D$4:$D$810,"")),IFERROR(LOOKUP(2,1/(('Match Log'!$A$4:$A$810=$A28)*('Match Log'!$E$4:$E$810="Win")),'Match Log'!$D$4:$D$810),""))</f>
        <v>Shawn</v>
      </c>
      <c r="E28" s="128">
        <f>IFERROR(INDEX('Match Log'!$F$4:$F$810,MATCH(4,'Match Log'!$A$4:$A$810,0)),"")</f>
        <v>2</v>
      </c>
      <c r="F28">
        <f>IFERROR(SUMIFS('Match Log'!$I$4:$I$810,'Match Log'!$A$4:$A$810,4,'Match Log'!$E$4:$E$810,"Win"),"")</f>
        <v>0.66666666666666663</v>
      </c>
      <c r="G28">
        <f t="shared" si="16"/>
        <v>-0.33333333333333326</v>
      </c>
      <c r="H28" t="str">
        <f t="array" ref="H28">IFERROR(IF(COUNTIFS('Match Log'!$A$4:$A$810,$A28,'Match Log'!$E$4:$E$810,"Win")&gt;1,_xlfn.TEXTJOIN(" + ",TRUE,IF(('Match Log'!$A$4:$A$810=$A28)*('Match Log'!$E$4:$E$810="Loss"),'Match Log'!$D$4:$D$810,"")),IF($E28=2,LOOKUP(2,1/(('Match Log'!$A$4:$A$810=$A28)*('Match Log'!$E$4:$E$810="Loss")),'Match Log'!$D$4:$D$810),"the field")),"")</f>
        <v>Daniel (Ferret)</v>
      </c>
      <c r="I28">
        <f t="shared" si="17"/>
        <v>-0.33333733333333326</v>
      </c>
      <c r="J28">
        <v>4</v>
      </c>
      <c r="K28">
        <f>IF($J28&gt;MAX('Match Log'!$A$4:$A$810),NA(),IFERROR(LOOKUP(2,1/(('Match Log'!$D$4:$D$810=$K$24)*('Match Log'!$A$4:$A$810&lt;=$J28)),'Match Log'!$N$4:$N$810),NA()))</f>
        <v>1034.5588790960981</v>
      </c>
      <c r="L28" t="e">
        <f>IF($J28&gt;MAX('Match Log'!$A$4:$A$810),NA(),IFERROR(LOOKUP(2,1/(('Match Log'!$D$4:$D$810=$L$24)*('Match Log'!$A$4:$A$810&lt;=$J28)),'Match Log'!$N$4:$N$810),NA()))</f>
        <v>#N/A</v>
      </c>
      <c r="M28">
        <f>IF($J28&gt;MAX('Match Log'!$A$4:$A$810),NA(),IFERROR(LOOKUP(2,1/(('Match Log'!$D$4:$D$810=$M$24)*('Match Log'!$A$4:$A$810&lt;=$J28)),'Match Log'!$N$4:$N$810),NA()))</f>
        <v>1004.2142857142857</v>
      </c>
      <c r="N28">
        <f>IF($J28&gt;MAX('Match Log'!$A$4:$A$810),NA(),IFERROR(LOOKUP(2,1/(('Match Log'!$D$4:$D$810=$N$24)*('Match Log'!$A$4:$A$810&lt;=$J28)),'Match Log'!$N$4:$N$810),NA()))</f>
        <v>1004.2142857142857</v>
      </c>
      <c r="O28">
        <f>IF($J28&gt;MAX('Match Log'!$A$4:$A$810),NA(),IFERROR(LOOKUP(2,1/(('Match Log'!$D$4:$D$810=$O$24)*('Match Log'!$A$4:$A$810&lt;=$J28)),'Match Log'!$N$4:$N$810),NA()))</f>
        <v>1031.0370144363101</v>
      </c>
      <c r="P28">
        <f>IF($J28&gt;MAX('Match Log'!$A$4:$A$810),NA(),IFERROR(LOOKUP(2,1/(('Match Log'!$D$4:$D$810=$P$24)*('Match Log'!$A$4:$A$810&lt;=$J28)),'Match Log'!$N$4:$N$810),NA()))</f>
        <v>1036.0680198186765</v>
      </c>
      <c r="Q28">
        <f>IF($J28&gt;MAX('Match Log'!$A$4:$A$810),NA(),IFERROR(LOOKUP(2,1/(('Match Log'!$D$4:$D$810=$Q$24)*('Match Log'!$A$4:$A$810&lt;=$J28)),'Match Log'!$N$4:$N$810),NA()))</f>
        <v>1004.2142857142857</v>
      </c>
      <c r="R28">
        <f>IF($J28&gt;MAX('Match Log'!$A$4:$A$810),NA(),IFERROR(LOOKUP(2,1/(('Match Log'!$D$4:$D$810=$R$24)*('Match Log'!$A$4:$A$810&lt;=$J28)),'Match Log'!$N$4:$N$810),NA()))</f>
        <v>963.4197477008338</v>
      </c>
      <c r="S28" t="e">
        <f>IF($J28&gt;MAX('Match Log'!$A$4:$A$810),NA(),IFERROR(LOOKUP(2,1/(('Match Log'!$D$4:$D$810=$S$24)*('Match Log'!$A$4:$A$810&lt;=$J28)),'Match Log'!$N$4:$N$810),NA()))</f>
        <v>#N/A</v>
      </c>
      <c r="T28" t="e">
        <f>IF($J28&gt;MAX('Match Log'!$A$4:$A$810),NA(),IFERROR(LOOKUP(2,1/(('Match Log'!$D$4:$D$810=$T$24)*('Match Log'!$A$4:$A$810&lt;=$J28)),'Match Log'!$N$4:$N$810),NA()))</f>
        <v>#N/A</v>
      </c>
      <c r="U28">
        <f>IF($J28&gt;MAX('Match Log'!$A$4:$A$810),NA(),IFERROR(LOOKUP(2,1/(('Match Log'!$D$4:$D$810=$U$24)*('Match Log'!$A$4:$A$810&lt;=$J28)),'Match Log'!$N$4:$N$810),NA()))</f>
        <v>995.27348180522449</v>
      </c>
      <c r="V28" t="e">
        <f>IF($J28&gt;MAX('Match Log'!$A$4:$A$810),NA(),IFERROR(LOOKUP(2,1/(('Match Log'!$D$4:$D$810=$V$24)*('Match Log'!$A$4:$A$810&lt;=$J28)),'Match Log'!$N$4:$N$810),NA()))</f>
        <v>#N/A</v>
      </c>
      <c r="W28" t="e">
        <f>IF($J28&gt;MAX('Match Log'!$A$4:$A$810),NA(),IFERROR(LOOKUP(2,1/(('Match Log'!$D$4:$D$810=$W$24)*('Match Log'!$A$4:$A$810&lt;=$J28)),'Match Log'!$N$4:$N$810),NA()))</f>
        <v>#N/A</v>
      </c>
      <c r="X28" t="e">
        <f>IF($J28&gt;MAX('Match Log'!$A$4:$A$810),NA(),IFERROR(LOOKUP(2,1/(('Match Log'!$D$4:$D$810=$X$24)*('Match Log'!$A$4:$A$810&lt;=$J28)),'Match Log'!$N$4:$N$810),NA()))</f>
        <v>#N/A</v>
      </c>
      <c r="Y28" t="str">
        <f t="shared" ca="1" si="18"/>
        <v/>
      </c>
    </row>
    <row r="29" spans="1:35" ht="15" customHeight="1" x14ac:dyDescent="0.2">
      <c r="A29">
        <v>5</v>
      </c>
      <c r="B29" s="127">
        <f>IFERROR(INDEX('Match Log'!$B$4:$B$810,MATCH(5,'Match Log'!$A$4:$A$810,0)),"")</f>
        <v>46172</v>
      </c>
      <c r="C29" t="str">
        <f>IFERROR(INDEX('Match Log'!$C$4:$C$810,MATCH(5,'Match Log'!$A$4:$A$810,0)),"")</f>
        <v>FIFA</v>
      </c>
      <c r="D29" t="str">
        <f t="array" ref="D29">IFERROR(_xlfn.TEXTJOIN(" + ",TRUE,IF(('Match Log'!$A$4:$A$810=$A29)*('Match Log'!$E$4:$E$810="Win"),'Match Log'!$D$4:$D$810,"")),IFERROR(LOOKUP(2,1/(('Match Log'!$A$4:$A$810=$A29)*('Match Log'!$E$4:$E$810="Win")),'Match Log'!$D$4:$D$810),""))</f>
        <v>Shawn</v>
      </c>
      <c r="E29" s="128">
        <f>IFERROR(INDEX('Match Log'!$F$4:$F$810,MATCH(5,'Match Log'!$A$4:$A$810,0)),"")</f>
        <v>2</v>
      </c>
      <c r="F29">
        <f>IFERROR(SUMIFS('Match Log'!$I$4:$I$810,'Match Log'!$A$4:$A$810,5,'Match Log'!$E$4:$E$810,"Win"),"")</f>
        <v>0.75</v>
      </c>
      <c r="G29">
        <f t="shared" si="16"/>
        <v>-0.5</v>
      </c>
      <c r="H29" t="str">
        <f t="array" ref="H29">IFERROR(IF(COUNTIFS('Match Log'!$A$4:$A$810,$A29,'Match Log'!$E$4:$E$810,"Win")&gt;1,_xlfn.TEXTJOIN(" + ",TRUE,IF(('Match Log'!$A$4:$A$810=$A29)*('Match Log'!$E$4:$E$810="Loss"),'Match Log'!$D$4:$D$810,"")),IF($E29=2,LOOKUP(2,1/(('Match Log'!$A$4:$A$810=$A29)*('Match Log'!$E$4:$E$810="Loss")),'Match Log'!$D$4:$D$810),"the field")),"")</f>
        <v>Daniel (Ferret)</v>
      </c>
      <c r="I29">
        <f t="shared" si="17"/>
        <v>-0.50000500000000003</v>
      </c>
      <c r="J29">
        <v>5</v>
      </c>
      <c r="K29">
        <f>IF($J29&gt;MAX('Match Log'!$A$4:$A$810),NA(),IFERROR(LOOKUP(2,1/(('Match Log'!$D$4:$D$810=$K$24)*('Match Log'!$A$4:$A$810&lt;=$J29)),'Match Log'!$N$4:$N$810),NA()))</f>
        <v>1034.5588790960981</v>
      </c>
      <c r="L29" t="e">
        <f>IF($J29&gt;MAX('Match Log'!$A$4:$A$810),NA(),IFERROR(LOOKUP(2,1/(('Match Log'!$D$4:$D$810=$L$24)*('Match Log'!$A$4:$A$810&lt;=$J29)),'Match Log'!$N$4:$N$810),NA()))</f>
        <v>#N/A</v>
      </c>
      <c r="M29">
        <f>IF($J29&gt;MAX('Match Log'!$A$4:$A$810),NA(),IFERROR(LOOKUP(2,1/(('Match Log'!$D$4:$D$810=$M$24)*('Match Log'!$A$4:$A$810&lt;=$J29)),'Match Log'!$N$4:$N$810),NA()))</f>
        <v>1004.2142857142857</v>
      </c>
      <c r="N29">
        <f>IF($J29&gt;MAX('Match Log'!$A$4:$A$810),NA(),IFERROR(LOOKUP(2,1/(('Match Log'!$D$4:$D$810=$N$24)*('Match Log'!$A$4:$A$810&lt;=$J29)),'Match Log'!$N$4:$N$810),NA()))</f>
        <v>1004.2142857142857</v>
      </c>
      <c r="O29">
        <f>IF($J29&gt;MAX('Match Log'!$A$4:$A$810),NA(),IFERROR(LOOKUP(2,1/(('Match Log'!$D$4:$D$810=$O$24)*('Match Log'!$A$4:$A$810&lt;=$J29)),'Match Log'!$N$4:$N$810),NA()))</f>
        <v>1031.0370144363101</v>
      </c>
      <c r="P29">
        <f>IF($J29&gt;MAX('Match Log'!$A$4:$A$810),NA(),IFERROR(LOOKUP(2,1/(('Match Log'!$D$4:$D$810=$P$24)*('Match Log'!$A$4:$A$810&lt;=$J29)),'Match Log'!$N$4:$N$810),NA()))</f>
        <v>1051.9166315578707</v>
      </c>
      <c r="Q29">
        <f>IF($J29&gt;MAX('Match Log'!$A$4:$A$810),NA(),IFERROR(LOOKUP(2,1/(('Match Log'!$D$4:$D$810=$Q$24)*('Match Log'!$A$4:$A$810&lt;=$J29)),'Match Log'!$N$4:$N$810),NA()))</f>
        <v>1004.2142857142857</v>
      </c>
      <c r="R29">
        <f>IF($J29&gt;MAX('Match Log'!$A$4:$A$810),NA(),IFERROR(LOOKUP(2,1/(('Match Log'!$D$4:$D$810=$R$24)*('Match Log'!$A$4:$A$810&lt;=$J29)),'Match Log'!$N$4:$N$810),NA()))</f>
        <v>947.57113596163947</v>
      </c>
      <c r="S29" t="e">
        <f>IF($J29&gt;MAX('Match Log'!$A$4:$A$810),NA(),IFERROR(LOOKUP(2,1/(('Match Log'!$D$4:$D$810=$S$24)*('Match Log'!$A$4:$A$810&lt;=$J29)),'Match Log'!$N$4:$N$810),NA()))</f>
        <v>#N/A</v>
      </c>
      <c r="T29" t="e">
        <f>IF($J29&gt;MAX('Match Log'!$A$4:$A$810),NA(),IFERROR(LOOKUP(2,1/(('Match Log'!$D$4:$D$810=$T$24)*('Match Log'!$A$4:$A$810&lt;=$J29)),'Match Log'!$N$4:$N$810),NA()))</f>
        <v>#N/A</v>
      </c>
      <c r="U29">
        <f>IF($J29&gt;MAX('Match Log'!$A$4:$A$810),NA(),IFERROR(LOOKUP(2,1/(('Match Log'!$D$4:$D$810=$U$24)*('Match Log'!$A$4:$A$810&lt;=$J29)),'Match Log'!$N$4:$N$810),NA()))</f>
        <v>995.27348180522449</v>
      </c>
      <c r="V29" t="e">
        <f>IF($J29&gt;MAX('Match Log'!$A$4:$A$810),NA(),IFERROR(LOOKUP(2,1/(('Match Log'!$D$4:$D$810=$V$24)*('Match Log'!$A$4:$A$810&lt;=$J29)),'Match Log'!$N$4:$N$810),NA()))</f>
        <v>#N/A</v>
      </c>
      <c r="W29" t="e">
        <f>IF($J29&gt;MAX('Match Log'!$A$4:$A$810),NA(),IFERROR(LOOKUP(2,1/(('Match Log'!$D$4:$D$810=$W$24)*('Match Log'!$A$4:$A$810&lt;=$J29)),'Match Log'!$N$4:$N$810),NA()))</f>
        <v>#N/A</v>
      </c>
      <c r="X29" t="e">
        <f>IF($J29&gt;MAX('Match Log'!$A$4:$A$810),NA(),IFERROR(LOOKUP(2,1/(('Match Log'!$D$4:$D$810=$X$24)*('Match Log'!$A$4:$A$810&lt;=$J29)),'Match Log'!$N$4:$N$810),NA()))</f>
        <v>#N/A</v>
      </c>
      <c r="Y29" t="str">
        <f t="shared" ca="1" si="18"/>
        <v/>
      </c>
    </row>
    <row r="30" spans="1:35" ht="15" customHeight="1" x14ac:dyDescent="0.2">
      <c r="A30">
        <v>6</v>
      </c>
      <c r="B30" s="127">
        <f>IFERROR(INDEX('Match Log'!$B$4:$B$810,MATCH(6,'Match Log'!$A$4:$A$810,0)),"")</f>
        <v>46172</v>
      </c>
      <c r="C30" t="str">
        <f>IFERROR(INDEX('Match Log'!$C$4:$C$810,MATCH(6,'Match Log'!$A$4:$A$810,0)),"")</f>
        <v>FIFA</v>
      </c>
      <c r="D30" t="str">
        <f t="array" ref="D30">IFERROR(_xlfn.TEXTJOIN(" + ",TRUE,IF(('Match Log'!$A$4:$A$810=$A30)*('Match Log'!$E$4:$E$810="Win"),'Match Log'!$D$4:$D$810,"")),IFERROR(LOOKUP(2,1/(('Match Log'!$A$4:$A$810=$A30)*('Match Log'!$E$4:$E$810="Win")),'Match Log'!$D$4:$D$810),""))</f>
        <v>Daniel (Ferret)</v>
      </c>
      <c r="E30" s="128">
        <f>IFERROR(INDEX('Match Log'!$F$4:$F$810,MATCH(6,'Match Log'!$A$4:$A$810,0)),"")</f>
        <v>2</v>
      </c>
      <c r="F30">
        <f>IFERROR(SUMIFS('Match Log'!$I$4:$I$810,'Match Log'!$A$4:$A$810,6,'Match Log'!$E$4:$E$810,"Win"),"")</f>
        <v>0.2</v>
      </c>
      <c r="G30">
        <f t="shared" si="16"/>
        <v>0.6</v>
      </c>
      <c r="H30" t="str">
        <f t="array" ref="H30">IFERROR(IF(COUNTIFS('Match Log'!$A$4:$A$810,$A30,'Match Log'!$E$4:$E$810,"Win")&gt;1,_xlfn.TEXTJOIN(" + ",TRUE,IF(('Match Log'!$A$4:$A$810=$A30)*('Match Log'!$E$4:$E$810="Loss"),'Match Log'!$D$4:$D$810,"")),IF($E30=2,LOOKUP(2,1/(('Match Log'!$A$4:$A$810=$A30)*('Match Log'!$E$4:$E$810="Loss")),'Match Log'!$D$4:$D$810),"the field")),"")</f>
        <v>Shawn</v>
      </c>
      <c r="I30">
        <f t="shared" si="17"/>
        <v>0.59999400000000003</v>
      </c>
      <c r="J30">
        <v>6</v>
      </c>
      <c r="K30">
        <f>IF($J30&gt;MAX('Match Log'!$A$4:$A$810),NA(),IFERROR(LOOKUP(2,1/(('Match Log'!$D$4:$D$810=$K$24)*('Match Log'!$A$4:$A$810&lt;=$J30)),'Match Log'!$N$4:$N$810),NA()))</f>
        <v>1034.5588790960981</v>
      </c>
      <c r="L30" t="e">
        <f>IF($J30&gt;MAX('Match Log'!$A$4:$A$810),NA(),IFERROR(LOOKUP(2,1/(('Match Log'!$D$4:$D$810=$L$24)*('Match Log'!$A$4:$A$810&lt;=$J30)),'Match Log'!$N$4:$N$810),NA()))</f>
        <v>#N/A</v>
      </c>
      <c r="M30">
        <f>IF($J30&gt;MAX('Match Log'!$A$4:$A$810),NA(),IFERROR(LOOKUP(2,1/(('Match Log'!$D$4:$D$810=$M$24)*('Match Log'!$A$4:$A$810&lt;=$J30)),'Match Log'!$N$4:$N$810),NA()))</f>
        <v>1004.2142857142857</v>
      </c>
      <c r="N30">
        <f>IF($J30&gt;MAX('Match Log'!$A$4:$A$810),NA(),IFERROR(LOOKUP(2,1/(('Match Log'!$D$4:$D$810=$N$24)*('Match Log'!$A$4:$A$810&lt;=$J30)),'Match Log'!$N$4:$N$810),NA()))</f>
        <v>1004.2142857142857</v>
      </c>
      <c r="O30">
        <f>IF($J30&gt;MAX('Match Log'!$A$4:$A$810),NA(),IFERROR(LOOKUP(2,1/(('Match Log'!$D$4:$D$810=$O$24)*('Match Log'!$A$4:$A$810&lt;=$J30)),'Match Log'!$N$4:$N$810),NA()))</f>
        <v>1031.0370144363101</v>
      </c>
      <c r="P30">
        <f>IF($J30&gt;MAX('Match Log'!$A$4:$A$810),NA(),IFERROR(LOOKUP(2,1/(('Match Log'!$D$4:$D$810=$P$24)*('Match Log'!$A$4:$A$810&lt;=$J30)),'Match Log'!$N$4:$N$810),NA()))</f>
        <v>1021.9184444772471</v>
      </c>
      <c r="Q30">
        <f>IF($J30&gt;MAX('Match Log'!$A$4:$A$810),NA(),IFERROR(LOOKUP(2,1/(('Match Log'!$D$4:$D$810=$Q$24)*('Match Log'!$A$4:$A$810&lt;=$J30)),'Match Log'!$N$4:$N$810),NA()))</f>
        <v>1004.2142857142857</v>
      </c>
      <c r="R30">
        <f>IF($J30&gt;MAX('Match Log'!$A$4:$A$810),NA(),IFERROR(LOOKUP(2,1/(('Match Log'!$D$4:$D$810=$R$24)*('Match Log'!$A$4:$A$810&lt;=$J30)),'Match Log'!$N$4:$N$810),NA()))</f>
        <v>977.56932304226302</v>
      </c>
      <c r="S30" t="e">
        <f>IF($J30&gt;MAX('Match Log'!$A$4:$A$810),NA(),IFERROR(LOOKUP(2,1/(('Match Log'!$D$4:$D$810=$S$24)*('Match Log'!$A$4:$A$810&lt;=$J30)),'Match Log'!$N$4:$N$810),NA()))</f>
        <v>#N/A</v>
      </c>
      <c r="T30" t="e">
        <f>IF($J30&gt;MAX('Match Log'!$A$4:$A$810),NA(),IFERROR(LOOKUP(2,1/(('Match Log'!$D$4:$D$810=$T$24)*('Match Log'!$A$4:$A$810&lt;=$J30)),'Match Log'!$N$4:$N$810),NA()))</f>
        <v>#N/A</v>
      </c>
      <c r="U30">
        <f>IF($J30&gt;MAX('Match Log'!$A$4:$A$810),NA(),IFERROR(LOOKUP(2,1/(('Match Log'!$D$4:$D$810=$U$24)*('Match Log'!$A$4:$A$810&lt;=$J30)),'Match Log'!$N$4:$N$810),NA()))</f>
        <v>995.27348180522449</v>
      </c>
      <c r="V30" t="e">
        <f>IF($J30&gt;MAX('Match Log'!$A$4:$A$810),NA(),IFERROR(LOOKUP(2,1/(('Match Log'!$D$4:$D$810=$V$24)*('Match Log'!$A$4:$A$810&lt;=$J30)),'Match Log'!$N$4:$N$810),NA()))</f>
        <v>#N/A</v>
      </c>
      <c r="W30" t="e">
        <f>IF($J30&gt;MAX('Match Log'!$A$4:$A$810),NA(),IFERROR(LOOKUP(2,1/(('Match Log'!$D$4:$D$810=$W$24)*('Match Log'!$A$4:$A$810&lt;=$J30)),'Match Log'!$N$4:$N$810),NA()))</f>
        <v>#N/A</v>
      </c>
      <c r="X30" t="e">
        <f>IF($J30&gt;MAX('Match Log'!$A$4:$A$810),NA(),IFERROR(LOOKUP(2,1/(('Match Log'!$D$4:$D$810=$X$24)*('Match Log'!$A$4:$A$810&lt;=$J30)),'Match Log'!$N$4:$N$810),NA()))</f>
        <v>#N/A</v>
      </c>
      <c r="Y30" t="str">
        <f t="shared" ca="1" si="18"/>
        <v/>
      </c>
    </row>
    <row r="31" spans="1:35" ht="15" customHeight="1" x14ac:dyDescent="0.2">
      <c r="A31">
        <v>7</v>
      </c>
      <c r="B31" s="127">
        <f>IFERROR(INDEX('Match Log'!$B$4:$B$810,MATCH(7,'Match Log'!$A$4:$A$810,0)),"")</f>
        <v>46172</v>
      </c>
      <c r="C31" t="str">
        <f>IFERROR(INDEX('Match Log'!$C$4:$C$810,MATCH(7,'Match Log'!$A$4:$A$810,0)),"")</f>
        <v>Table Tennis</v>
      </c>
      <c r="D31" t="str">
        <f t="array" ref="D31">IFERROR(_xlfn.TEXTJOIN(" + ",TRUE,IF(('Match Log'!$A$4:$A$810=$A31)*('Match Log'!$E$4:$E$810="Win"),'Match Log'!$D$4:$D$810,"")),IFERROR(LOOKUP(2,1/(('Match Log'!$A$4:$A$810=$A31)*('Match Log'!$E$4:$E$810="Win")),'Match Log'!$D$4:$D$810),""))</f>
        <v>Shawn</v>
      </c>
      <c r="E31" s="128">
        <f>IFERROR(INDEX('Match Log'!$F$4:$F$810,MATCH(7,'Match Log'!$A$4:$A$810,0)),"")</f>
        <v>2</v>
      </c>
      <c r="F31">
        <f>IFERROR(SUMIFS('Match Log'!$I$4:$I$810,'Match Log'!$A$4:$A$810,7,'Match Log'!$E$4:$E$810,"Win"),"")</f>
        <v>0.5</v>
      </c>
      <c r="G31">
        <f t="shared" si="16"/>
        <v>0</v>
      </c>
      <c r="H31" t="str">
        <f t="array" ref="H31">IFERROR(IF(COUNTIFS('Match Log'!$A$4:$A$810,$A31,'Match Log'!$E$4:$E$810,"Win")&gt;1,_xlfn.TEXTJOIN(" + ",TRUE,IF(('Match Log'!$A$4:$A$810=$A31)*('Match Log'!$E$4:$E$810="Loss"),'Match Log'!$D$4:$D$810,"")),IF($E31=2,LOOKUP(2,1/(('Match Log'!$A$4:$A$810=$A31)*('Match Log'!$E$4:$E$810="Loss")),'Match Log'!$D$4:$D$810),"the field")),"")</f>
        <v>Daniel (Ferret)</v>
      </c>
      <c r="I31">
        <f t="shared" si="17"/>
        <v>-6.9999999999999999E-6</v>
      </c>
      <c r="J31">
        <v>7</v>
      </c>
      <c r="K31">
        <f>IF($J31&gt;MAX('Match Log'!$A$4:$A$810),NA(),IFERROR(LOOKUP(2,1/(('Match Log'!$D$4:$D$810=$K$24)*('Match Log'!$A$4:$A$810&lt;=$J31)),'Match Log'!$N$4:$N$810),NA()))</f>
        <v>1034.5588790960981</v>
      </c>
      <c r="L31" t="e">
        <f>IF($J31&gt;MAX('Match Log'!$A$4:$A$810),NA(),IFERROR(LOOKUP(2,1/(('Match Log'!$D$4:$D$810=$L$24)*('Match Log'!$A$4:$A$810&lt;=$J31)),'Match Log'!$N$4:$N$810),NA()))</f>
        <v>#N/A</v>
      </c>
      <c r="M31">
        <f>IF($J31&gt;MAX('Match Log'!$A$4:$A$810),NA(),IFERROR(LOOKUP(2,1/(('Match Log'!$D$4:$D$810=$M$24)*('Match Log'!$A$4:$A$810&lt;=$J31)),'Match Log'!$N$4:$N$810),NA()))</f>
        <v>1004.2142857142857</v>
      </c>
      <c r="N31">
        <f>IF($J31&gt;MAX('Match Log'!$A$4:$A$810),NA(),IFERROR(LOOKUP(2,1/(('Match Log'!$D$4:$D$810=$N$24)*('Match Log'!$A$4:$A$810&lt;=$J31)),'Match Log'!$N$4:$N$810),NA()))</f>
        <v>1004.2142857142857</v>
      </c>
      <c r="O31">
        <f>IF($J31&gt;MAX('Match Log'!$A$4:$A$810),NA(),IFERROR(LOOKUP(2,1/(('Match Log'!$D$4:$D$810=$O$24)*('Match Log'!$A$4:$A$810&lt;=$J31)),'Match Log'!$N$4:$N$810),NA()))</f>
        <v>1031.0370144363101</v>
      </c>
      <c r="P31">
        <f>IF($J31&gt;MAX('Match Log'!$A$4:$A$810),NA(),IFERROR(LOOKUP(2,1/(('Match Log'!$D$4:$D$810=$P$24)*('Match Log'!$A$4:$A$810&lt;=$J31)),'Match Log'!$N$4:$N$810),NA()))</f>
        <v>1041.8871126744082</v>
      </c>
      <c r="Q31">
        <f>IF($J31&gt;MAX('Match Log'!$A$4:$A$810),NA(),IFERROR(LOOKUP(2,1/(('Match Log'!$D$4:$D$810=$Q$24)*('Match Log'!$A$4:$A$810&lt;=$J31)),'Match Log'!$N$4:$N$810),NA()))</f>
        <v>1004.2142857142857</v>
      </c>
      <c r="R31">
        <f>IF($J31&gt;MAX('Match Log'!$A$4:$A$810),NA(),IFERROR(LOOKUP(2,1/(('Match Log'!$D$4:$D$810=$R$24)*('Match Log'!$A$4:$A$810&lt;=$J31)),'Match Log'!$N$4:$N$810),NA()))</f>
        <v>957.60065484510199</v>
      </c>
      <c r="S31" t="e">
        <f>IF($J31&gt;MAX('Match Log'!$A$4:$A$810),NA(),IFERROR(LOOKUP(2,1/(('Match Log'!$D$4:$D$810=$S$24)*('Match Log'!$A$4:$A$810&lt;=$J31)),'Match Log'!$N$4:$N$810),NA()))</f>
        <v>#N/A</v>
      </c>
      <c r="T31" t="e">
        <f>IF($J31&gt;MAX('Match Log'!$A$4:$A$810),NA(),IFERROR(LOOKUP(2,1/(('Match Log'!$D$4:$D$810=$T$24)*('Match Log'!$A$4:$A$810&lt;=$J31)),'Match Log'!$N$4:$N$810),NA()))</f>
        <v>#N/A</v>
      </c>
      <c r="U31">
        <f>IF($J31&gt;MAX('Match Log'!$A$4:$A$810),NA(),IFERROR(LOOKUP(2,1/(('Match Log'!$D$4:$D$810=$U$24)*('Match Log'!$A$4:$A$810&lt;=$J31)),'Match Log'!$N$4:$N$810),NA()))</f>
        <v>995.27348180522449</v>
      </c>
      <c r="V31" t="e">
        <f>IF($J31&gt;MAX('Match Log'!$A$4:$A$810),NA(),IFERROR(LOOKUP(2,1/(('Match Log'!$D$4:$D$810=$V$24)*('Match Log'!$A$4:$A$810&lt;=$J31)),'Match Log'!$N$4:$N$810),NA()))</f>
        <v>#N/A</v>
      </c>
      <c r="W31" t="e">
        <f>IF($J31&gt;MAX('Match Log'!$A$4:$A$810),NA(),IFERROR(LOOKUP(2,1/(('Match Log'!$D$4:$D$810=$W$24)*('Match Log'!$A$4:$A$810&lt;=$J31)),'Match Log'!$N$4:$N$810),NA()))</f>
        <v>#N/A</v>
      </c>
      <c r="X31" t="e">
        <f>IF($J31&gt;MAX('Match Log'!$A$4:$A$810),NA(),IFERROR(LOOKUP(2,1/(('Match Log'!$D$4:$D$810=$X$24)*('Match Log'!$A$4:$A$810&lt;=$J31)),'Match Log'!$N$4:$N$810),NA()))</f>
        <v>#N/A</v>
      </c>
      <c r="Y31" t="str">
        <f t="shared" ca="1" si="18"/>
        <v/>
      </c>
    </row>
    <row r="32" spans="1:35" ht="15" customHeight="1" x14ac:dyDescent="0.2">
      <c r="A32">
        <v>8</v>
      </c>
      <c r="B32" s="127">
        <f>IFERROR(INDEX('Match Log'!$B$4:$B$810,MATCH(8,'Match Log'!$A$4:$A$810,0)),"")</f>
        <v>46172</v>
      </c>
      <c r="C32" t="str">
        <f>IFERROR(INDEX('Match Log'!$C$4:$C$810,MATCH(8,'Match Log'!$A$4:$A$810,0)),"")</f>
        <v>Table Tennis</v>
      </c>
      <c r="D32" t="str">
        <f t="array" ref="D32">IFERROR(_xlfn.TEXTJOIN(" + ",TRUE,IF(('Match Log'!$A$4:$A$810=$A32)*('Match Log'!$E$4:$E$810="Win"),'Match Log'!$D$4:$D$810,"")),IFERROR(LOOKUP(2,1/(('Match Log'!$A$4:$A$810=$A32)*('Match Log'!$E$4:$E$810="Win")),'Match Log'!$D$4:$D$810),""))</f>
        <v>Shawn</v>
      </c>
      <c r="E32" s="128">
        <f>IFERROR(INDEX('Match Log'!$F$4:$F$810,MATCH(8,'Match Log'!$A$4:$A$810,0)),"")</f>
        <v>2</v>
      </c>
      <c r="F32">
        <f>IFERROR(SUMIFS('Match Log'!$I$4:$I$810,'Match Log'!$A$4:$A$810,8,'Match Log'!$E$4:$E$810,"Win"),"")</f>
        <v>0.66666666666666663</v>
      </c>
      <c r="G32">
        <f t="shared" si="16"/>
        <v>-0.33333333333333326</v>
      </c>
      <c r="H32" t="str">
        <f t="array" ref="H32">IFERROR(IF(COUNTIFS('Match Log'!$A$4:$A$810,$A32,'Match Log'!$E$4:$E$810,"Win")&gt;1,_xlfn.TEXTJOIN(" + ",TRUE,IF(('Match Log'!$A$4:$A$810=$A32)*('Match Log'!$E$4:$E$810="Loss"),'Match Log'!$D$4:$D$810,"")),IF($E32=2,LOOKUP(2,1/(('Match Log'!$A$4:$A$810=$A32)*('Match Log'!$E$4:$E$810="Loss")),'Match Log'!$D$4:$D$810),"the field")),"")</f>
        <v>Daniel (Ferret)</v>
      </c>
      <c r="I32">
        <f t="shared" si="17"/>
        <v>-0.33334133333333327</v>
      </c>
      <c r="J32">
        <v>8</v>
      </c>
      <c r="K32">
        <f>IF($J32&gt;MAX('Match Log'!$A$4:$A$810),NA(),IFERROR(LOOKUP(2,1/(('Match Log'!$D$4:$D$810=$K$24)*('Match Log'!$A$4:$A$810&lt;=$J32)),'Match Log'!$N$4:$N$810),NA()))</f>
        <v>1034.5588790960981</v>
      </c>
      <c r="L32" t="e">
        <f>IF($J32&gt;MAX('Match Log'!$A$4:$A$810),NA(),IFERROR(LOOKUP(2,1/(('Match Log'!$D$4:$D$810=$L$24)*('Match Log'!$A$4:$A$810&lt;=$J32)),'Match Log'!$N$4:$N$810),NA()))</f>
        <v>#N/A</v>
      </c>
      <c r="M32">
        <f>IF($J32&gt;MAX('Match Log'!$A$4:$A$810),NA(),IFERROR(LOOKUP(2,1/(('Match Log'!$D$4:$D$810=$M$24)*('Match Log'!$A$4:$A$810&lt;=$J32)),'Match Log'!$N$4:$N$810),NA()))</f>
        <v>1004.2142857142857</v>
      </c>
      <c r="N32">
        <f>IF($J32&gt;MAX('Match Log'!$A$4:$A$810),NA(),IFERROR(LOOKUP(2,1/(('Match Log'!$D$4:$D$810=$N$24)*('Match Log'!$A$4:$A$810&lt;=$J32)),'Match Log'!$N$4:$N$810),NA()))</f>
        <v>1004.2142857142857</v>
      </c>
      <c r="O32">
        <f>IF($J32&gt;MAX('Match Log'!$A$4:$A$810),NA(),IFERROR(LOOKUP(2,1/(('Match Log'!$D$4:$D$810=$O$24)*('Match Log'!$A$4:$A$810&lt;=$J32)),'Match Log'!$N$4:$N$810),NA()))</f>
        <v>1031.0370144363101</v>
      </c>
      <c r="P32">
        <f>IF($J32&gt;MAX('Match Log'!$A$4:$A$810),NA(),IFERROR(LOOKUP(2,1/(('Match Log'!$D$4:$D$810=$P$24)*('Match Log'!$A$4:$A$810&lt;=$J32)),'Match Log'!$N$4:$N$810),NA()))</f>
        <v>1058.4607577779152</v>
      </c>
      <c r="Q32">
        <f>IF($J32&gt;MAX('Match Log'!$A$4:$A$810),NA(),IFERROR(LOOKUP(2,1/(('Match Log'!$D$4:$D$810=$Q$24)*('Match Log'!$A$4:$A$810&lt;=$J32)),'Match Log'!$N$4:$N$810),NA()))</f>
        <v>1004.2142857142857</v>
      </c>
      <c r="R32">
        <f>IF($J32&gt;MAX('Match Log'!$A$4:$A$810),NA(),IFERROR(LOOKUP(2,1/(('Match Log'!$D$4:$D$810=$R$24)*('Match Log'!$A$4:$A$810&lt;=$J32)),'Match Log'!$N$4:$N$810),NA()))</f>
        <v>941.02700974159495</v>
      </c>
      <c r="S32" t="e">
        <f>IF($J32&gt;MAX('Match Log'!$A$4:$A$810),NA(),IFERROR(LOOKUP(2,1/(('Match Log'!$D$4:$D$810=$S$24)*('Match Log'!$A$4:$A$810&lt;=$J32)),'Match Log'!$N$4:$N$810),NA()))</f>
        <v>#N/A</v>
      </c>
      <c r="T32" t="e">
        <f>IF($J32&gt;MAX('Match Log'!$A$4:$A$810),NA(),IFERROR(LOOKUP(2,1/(('Match Log'!$D$4:$D$810=$T$24)*('Match Log'!$A$4:$A$810&lt;=$J32)),'Match Log'!$N$4:$N$810),NA()))</f>
        <v>#N/A</v>
      </c>
      <c r="U32">
        <f>IF($J32&gt;MAX('Match Log'!$A$4:$A$810),NA(),IFERROR(LOOKUP(2,1/(('Match Log'!$D$4:$D$810=$U$24)*('Match Log'!$A$4:$A$810&lt;=$J32)),'Match Log'!$N$4:$N$810),NA()))</f>
        <v>995.27348180522449</v>
      </c>
      <c r="V32" t="e">
        <f>IF($J32&gt;MAX('Match Log'!$A$4:$A$810),NA(),IFERROR(LOOKUP(2,1/(('Match Log'!$D$4:$D$810=$V$24)*('Match Log'!$A$4:$A$810&lt;=$J32)),'Match Log'!$N$4:$N$810),NA()))</f>
        <v>#N/A</v>
      </c>
      <c r="W32" t="e">
        <f>IF($J32&gt;MAX('Match Log'!$A$4:$A$810),NA(),IFERROR(LOOKUP(2,1/(('Match Log'!$D$4:$D$810=$W$24)*('Match Log'!$A$4:$A$810&lt;=$J32)),'Match Log'!$N$4:$N$810),NA()))</f>
        <v>#N/A</v>
      </c>
      <c r="X32" t="e">
        <f>IF($J32&gt;MAX('Match Log'!$A$4:$A$810),NA(),IFERROR(LOOKUP(2,1/(('Match Log'!$D$4:$D$810=$X$24)*('Match Log'!$A$4:$A$810&lt;=$J32)),'Match Log'!$N$4:$N$810),NA()))</f>
        <v>#N/A</v>
      </c>
      <c r="Y32" t="str">
        <f t="shared" ca="1" si="18"/>
        <v/>
      </c>
    </row>
    <row r="33" spans="1:25" ht="15" customHeight="1" x14ac:dyDescent="0.2">
      <c r="A33">
        <v>9</v>
      </c>
      <c r="B33" s="127">
        <f>IFERROR(INDEX('Match Log'!$B$4:$B$810,MATCH(9,'Match Log'!$A$4:$A$810,0)),"")</f>
        <v>46172</v>
      </c>
      <c r="C33" t="str">
        <f>IFERROR(INDEX('Match Log'!$C$4:$C$810,MATCH(9,'Match Log'!$A$4:$A$810,0)),"")</f>
        <v>Table Tennis</v>
      </c>
      <c r="D33" t="str">
        <f t="array" ref="D33">IFERROR(_xlfn.TEXTJOIN(" + ",TRUE,IF(('Match Log'!$A$4:$A$810=$A33)*('Match Log'!$E$4:$E$810="Win"),'Match Log'!$D$4:$D$810,"")),IFERROR(LOOKUP(2,1/(('Match Log'!$A$4:$A$810=$A33)*('Match Log'!$E$4:$E$810="Win")),'Match Log'!$D$4:$D$810),""))</f>
        <v>Shawn</v>
      </c>
      <c r="E33" s="128">
        <f>IFERROR(INDEX('Match Log'!$F$4:$F$810,MATCH(9,'Match Log'!$A$4:$A$810,0)),"")</f>
        <v>2</v>
      </c>
      <c r="F33">
        <f>IFERROR(SUMIFS('Match Log'!$I$4:$I$810,'Match Log'!$A$4:$A$810,9,'Match Log'!$E$4:$E$810,"Win"),"")</f>
        <v>0.75</v>
      </c>
      <c r="G33">
        <f t="shared" si="16"/>
        <v>-0.5</v>
      </c>
      <c r="H33" t="str">
        <f t="array" ref="H33">IFERROR(IF(COUNTIFS('Match Log'!$A$4:$A$810,$A33,'Match Log'!$E$4:$E$810,"Win")&gt;1,_xlfn.TEXTJOIN(" + ",TRUE,IF(('Match Log'!$A$4:$A$810=$A33)*('Match Log'!$E$4:$E$810="Loss"),'Match Log'!$D$4:$D$810,"")),IF($E33=2,LOOKUP(2,1/(('Match Log'!$A$4:$A$810=$A33)*('Match Log'!$E$4:$E$810="Loss")),'Match Log'!$D$4:$D$810),"the field")),"")</f>
        <v>Daniel (Ferret)</v>
      </c>
      <c r="I33">
        <f t="shared" si="17"/>
        <v>-0.50000900000000004</v>
      </c>
      <c r="J33">
        <v>9</v>
      </c>
      <c r="K33">
        <f>IF($J33&gt;MAX('Match Log'!$A$4:$A$810),NA(),IFERROR(LOOKUP(2,1/(('Match Log'!$D$4:$D$810=$K$24)*('Match Log'!$A$4:$A$810&lt;=$J33)),'Match Log'!$N$4:$N$810),NA()))</f>
        <v>1034.5588790960981</v>
      </c>
      <c r="L33" t="e">
        <f>IF($J33&gt;MAX('Match Log'!$A$4:$A$810),NA(),IFERROR(LOOKUP(2,1/(('Match Log'!$D$4:$D$810=$L$24)*('Match Log'!$A$4:$A$810&lt;=$J33)),'Match Log'!$N$4:$N$810),NA()))</f>
        <v>#N/A</v>
      </c>
      <c r="M33">
        <f>IF($J33&gt;MAX('Match Log'!$A$4:$A$810),NA(),IFERROR(LOOKUP(2,1/(('Match Log'!$D$4:$D$810=$M$24)*('Match Log'!$A$4:$A$810&lt;=$J33)),'Match Log'!$N$4:$N$810),NA()))</f>
        <v>1004.2142857142857</v>
      </c>
      <c r="N33">
        <f>IF($J33&gt;MAX('Match Log'!$A$4:$A$810),NA(),IFERROR(LOOKUP(2,1/(('Match Log'!$D$4:$D$810=$N$24)*('Match Log'!$A$4:$A$810&lt;=$J33)),'Match Log'!$N$4:$N$810),NA()))</f>
        <v>1004.2142857142857</v>
      </c>
      <c r="O33">
        <f>IF($J33&gt;MAX('Match Log'!$A$4:$A$810),NA(),IFERROR(LOOKUP(2,1/(('Match Log'!$D$4:$D$810=$O$24)*('Match Log'!$A$4:$A$810&lt;=$J33)),'Match Log'!$N$4:$N$810),NA()))</f>
        <v>1031.0370144363101</v>
      </c>
      <c r="P33">
        <f>IF($J33&gt;MAX('Match Log'!$A$4:$A$810),NA(),IFERROR(LOOKUP(2,1/(('Match Log'!$D$4:$D$810=$P$24)*('Match Log'!$A$4:$A$810&lt;=$J33)),'Match Log'!$N$4:$N$810),NA()))</f>
        <v>1072.9224126693446</v>
      </c>
      <c r="Q33">
        <f>IF($J33&gt;MAX('Match Log'!$A$4:$A$810),NA(),IFERROR(LOOKUP(2,1/(('Match Log'!$D$4:$D$810=$Q$24)*('Match Log'!$A$4:$A$810&lt;=$J33)),'Match Log'!$N$4:$N$810),NA()))</f>
        <v>1004.2142857142857</v>
      </c>
      <c r="R33">
        <f>IF($J33&gt;MAX('Match Log'!$A$4:$A$810),NA(),IFERROR(LOOKUP(2,1/(('Match Log'!$D$4:$D$810=$R$24)*('Match Log'!$A$4:$A$810&lt;=$J33)),'Match Log'!$N$4:$N$810),NA()))</f>
        <v>926.56535485016559</v>
      </c>
      <c r="S33" t="e">
        <f>IF($J33&gt;MAX('Match Log'!$A$4:$A$810),NA(),IFERROR(LOOKUP(2,1/(('Match Log'!$D$4:$D$810=$S$24)*('Match Log'!$A$4:$A$810&lt;=$J33)),'Match Log'!$N$4:$N$810),NA()))</f>
        <v>#N/A</v>
      </c>
      <c r="T33" t="e">
        <f>IF($J33&gt;MAX('Match Log'!$A$4:$A$810),NA(),IFERROR(LOOKUP(2,1/(('Match Log'!$D$4:$D$810=$T$24)*('Match Log'!$A$4:$A$810&lt;=$J33)),'Match Log'!$N$4:$N$810),NA()))</f>
        <v>#N/A</v>
      </c>
      <c r="U33">
        <f>IF($J33&gt;MAX('Match Log'!$A$4:$A$810),NA(),IFERROR(LOOKUP(2,1/(('Match Log'!$D$4:$D$810=$U$24)*('Match Log'!$A$4:$A$810&lt;=$J33)),'Match Log'!$N$4:$N$810),NA()))</f>
        <v>995.27348180522449</v>
      </c>
      <c r="V33" t="e">
        <f>IF($J33&gt;MAX('Match Log'!$A$4:$A$810),NA(),IFERROR(LOOKUP(2,1/(('Match Log'!$D$4:$D$810=$V$24)*('Match Log'!$A$4:$A$810&lt;=$J33)),'Match Log'!$N$4:$N$810),NA()))</f>
        <v>#N/A</v>
      </c>
      <c r="W33" t="e">
        <f>IF($J33&gt;MAX('Match Log'!$A$4:$A$810),NA(),IFERROR(LOOKUP(2,1/(('Match Log'!$D$4:$D$810=$W$24)*('Match Log'!$A$4:$A$810&lt;=$J33)),'Match Log'!$N$4:$N$810),NA()))</f>
        <v>#N/A</v>
      </c>
      <c r="X33" t="e">
        <f>IF($J33&gt;MAX('Match Log'!$A$4:$A$810),NA(),IFERROR(LOOKUP(2,1/(('Match Log'!$D$4:$D$810=$X$24)*('Match Log'!$A$4:$A$810&lt;=$J33)),'Match Log'!$N$4:$N$810),NA()))</f>
        <v>#N/A</v>
      </c>
      <c r="Y33" t="str">
        <f t="shared" ca="1" si="18"/>
        <v/>
      </c>
    </row>
    <row r="34" spans="1:25" ht="15" customHeight="1" x14ac:dyDescent="0.2">
      <c r="A34">
        <v>10</v>
      </c>
      <c r="B34" s="127">
        <f>IFERROR(INDEX('Match Log'!$B$4:$B$810,MATCH(10,'Match Log'!$A$4:$A$810,0)),"")</f>
        <v>46172</v>
      </c>
      <c r="C34" t="str">
        <f>IFERROR(INDEX('Match Log'!$C$4:$C$810,MATCH(10,'Match Log'!$A$4:$A$810,0)),"")</f>
        <v>Table Tennis</v>
      </c>
      <c r="D34" t="str">
        <f t="array" ref="D34">IFERROR(_xlfn.TEXTJOIN(" + ",TRUE,IF(('Match Log'!$A$4:$A$810=$A34)*('Match Log'!$E$4:$E$810="Win"),'Match Log'!$D$4:$D$810,"")),IFERROR(LOOKUP(2,1/(('Match Log'!$A$4:$A$810=$A34)*('Match Log'!$E$4:$E$810="Win")),'Match Log'!$D$4:$D$810),""))</f>
        <v>Josh</v>
      </c>
      <c r="E34" s="128">
        <f>IFERROR(INDEX('Match Log'!$F$4:$F$810,MATCH(10,'Match Log'!$A$4:$A$810,0)),"")</f>
        <v>2</v>
      </c>
      <c r="F34">
        <f>IFERROR(SUMIFS('Match Log'!$I$4:$I$810,'Match Log'!$A$4:$A$810,10,'Match Log'!$E$4:$E$810,"Win"),"")</f>
        <v>0.5</v>
      </c>
      <c r="G34">
        <f t="shared" si="16"/>
        <v>0</v>
      </c>
      <c r="H34" t="str">
        <f t="array" ref="H34">IFERROR(IF(COUNTIFS('Match Log'!$A$4:$A$810,$A34,'Match Log'!$E$4:$E$810,"Win")&gt;1,_xlfn.TEXTJOIN(" + ",TRUE,IF(('Match Log'!$A$4:$A$810=$A34)*('Match Log'!$E$4:$E$810="Loss"),'Match Log'!$D$4:$D$810,"")),IF($E34=2,LOOKUP(2,1/(('Match Log'!$A$4:$A$810=$A34)*('Match Log'!$E$4:$E$810="Loss")),'Match Log'!$D$4:$D$810),"the field")),"")</f>
        <v>Cody</v>
      </c>
      <c r="I34">
        <f t="shared" si="17"/>
        <v>-1.0000000000000001E-5</v>
      </c>
      <c r="J34">
        <v>10</v>
      </c>
      <c r="K34">
        <f>IF($J34&gt;MAX('Match Log'!$A$4:$A$810),NA(),IFERROR(LOOKUP(2,1/(('Match Log'!$D$4:$D$810=$K$24)*('Match Log'!$A$4:$A$810&lt;=$J34)),'Match Log'!$N$4:$N$810),NA()))</f>
        <v>1034.5588790960981</v>
      </c>
      <c r="L34" t="e">
        <f>IF($J34&gt;MAX('Match Log'!$A$4:$A$810),NA(),IFERROR(LOOKUP(2,1/(('Match Log'!$D$4:$D$810=$L$24)*('Match Log'!$A$4:$A$810&lt;=$J34)),'Match Log'!$N$4:$N$810),NA()))</f>
        <v>#N/A</v>
      </c>
      <c r="M34">
        <f>IF($J34&gt;MAX('Match Log'!$A$4:$A$810),NA(),IFERROR(LOOKUP(2,1/(('Match Log'!$D$4:$D$810=$M$24)*('Match Log'!$A$4:$A$810&lt;=$J34)),'Match Log'!$N$4:$N$810),NA()))</f>
        <v>1004.2142857142857</v>
      </c>
      <c r="N34">
        <f>IF($J34&gt;MAX('Match Log'!$A$4:$A$810),NA(),IFERROR(LOOKUP(2,1/(('Match Log'!$D$4:$D$810=$N$24)*('Match Log'!$A$4:$A$810&lt;=$J34)),'Match Log'!$N$4:$N$810),NA()))</f>
        <v>1004.2142857142857</v>
      </c>
      <c r="O34">
        <f>IF($J34&gt;MAX('Match Log'!$A$4:$A$810),NA(),IFERROR(LOOKUP(2,1/(('Match Log'!$D$4:$D$810=$O$24)*('Match Log'!$A$4:$A$810&lt;=$J34)),'Match Log'!$N$4:$N$810),NA()))</f>
        <v>1051.6114970345745</v>
      </c>
      <c r="P34">
        <f>IF($J34&gt;MAX('Match Log'!$A$4:$A$810),NA(),IFERROR(LOOKUP(2,1/(('Match Log'!$D$4:$D$810=$P$24)*('Match Log'!$A$4:$A$810&lt;=$J34)),'Match Log'!$N$4:$N$810),NA()))</f>
        <v>1072.9224126693446</v>
      </c>
      <c r="Q34">
        <f>IF($J34&gt;MAX('Match Log'!$A$4:$A$810),NA(),IFERROR(LOOKUP(2,1/(('Match Log'!$D$4:$D$810=$Q$24)*('Match Log'!$A$4:$A$810&lt;=$J34)),'Match Log'!$N$4:$N$810),NA()))</f>
        <v>1004.2142857142857</v>
      </c>
      <c r="R34">
        <f>IF($J34&gt;MAX('Match Log'!$A$4:$A$810),NA(),IFERROR(LOOKUP(2,1/(('Match Log'!$D$4:$D$810=$R$24)*('Match Log'!$A$4:$A$810&lt;=$J34)),'Match Log'!$N$4:$N$810),NA()))</f>
        <v>926.56535485016559</v>
      </c>
      <c r="S34" t="e">
        <f>IF($J34&gt;MAX('Match Log'!$A$4:$A$810),NA(),IFERROR(LOOKUP(2,1/(('Match Log'!$D$4:$D$810=$S$24)*('Match Log'!$A$4:$A$810&lt;=$J34)),'Match Log'!$N$4:$N$810),NA()))</f>
        <v>#N/A</v>
      </c>
      <c r="T34">
        <f>IF($J34&gt;MAX('Match Log'!$A$4:$A$810),NA(),IFERROR(LOOKUP(2,1/(('Match Log'!$D$4:$D$810=$T$24)*('Match Log'!$A$4:$A$810&lt;=$J34)),'Match Log'!$N$4:$N$810),NA()))</f>
        <v>979.42551740173542</v>
      </c>
      <c r="U34">
        <f>IF($J34&gt;MAX('Match Log'!$A$4:$A$810),NA(),IFERROR(LOOKUP(2,1/(('Match Log'!$D$4:$D$810=$U$24)*('Match Log'!$A$4:$A$810&lt;=$J34)),'Match Log'!$N$4:$N$810),NA()))</f>
        <v>995.27348180522449</v>
      </c>
      <c r="V34" t="e">
        <f>IF($J34&gt;MAX('Match Log'!$A$4:$A$810),NA(),IFERROR(LOOKUP(2,1/(('Match Log'!$D$4:$D$810=$V$24)*('Match Log'!$A$4:$A$810&lt;=$J34)),'Match Log'!$N$4:$N$810),NA()))</f>
        <v>#N/A</v>
      </c>
      <c r="W34" t="e">
        <f>IF($J34&gt;MAX('Match Log'!$A$4:$A$810),NA(),IFERROR(LOOKUP(2,1/(('Match Log'!$D$4:$D$810=$W$24)*('Match Log'!$A$4:$A$810&lt;=$J34)),'Match Log'!$N$4:$N$810),NA()))</f>
        <v>#N/A</v>
      </c>
      <c r="X34" t="e">
        <f>IF($J34&gt;MAX('Match Log'!$A$4:$A$810),NA(),IFERROR(LOOKUP(2,1/(('Match Log'!$D$4:$D$810=$X$24)*('Match Log'!$A$4:$A$810&lt;=$J34)),'Match Log'!$N$4:$N$810),NA()))</f>
        <v>#N/A</v>
      </c>
      <c r="Y34" t="str">
        <f t="shared" ca="1" si="18"/>
        <v/>
      </c>
    </row>
    <row r="35" spans="1:25" ht="15" customHeight="1" x14ac:dyDescent="0.2">
      <c r="A35">
        <v>11</v>
      </c>
      <c r="B35" s="127">
        <f>IFERROR(INDEX('Match Log'!$B$4:$B$810,MATCH(11,'Match Log'!$A$4:$A$810,0)),"")</f>
        <v>46172</v>
      </c>
      <c r="C35" t="str">
        <f>IFERROR(INDEX('Match Log'!$C$4:$C$810,MATCH(11,'Match Log'!$A$4:$A$810,0)),"")</f>
        <v>Table Tennis</v>
      </c>
      <c r="D35" t="str">
        <f t="array" ref="D35">IFERROR(_xlfn.TEXTJOIN(" + ",TRUE,IF(('Match Log'!$A$4:$A$810=$A35)*('Match Log'!$E$4:$E$810="Win"),'Match Log'!$D$4:$D$810,"")),IFERROR(LOOKUP(2,1/(('Match Log'!$A$4:$A$810=$A35)*('Match Log'!$E$4:$E$810="Win")),'Match Log'!$D$4:$D$810),""))</f>
        <v>Josh</v>
      </c>
      <c r="E35" s="128">
        <f>IFERROR(INDEX('Match Log'!$F$4:$F$810,MATCH(11,'Match Log'!$A$4:$A$810,0)),"")</f>
        <v>2</v>
      </c>
      <c r="F35">
        <f>IFERROR(SUMIFS('Match Log'!$I$4:$I$810,'Match Log'!$A$4:$A$810,11,'Match Log'!$E$4:$E$810,"Win"),"")</f>
        <v>0.66666666666666663</v>
      </c>
      <c r="G35">
        <f t="shared" si="16"/>
        <v>-0.33333333333333326</v>
      </c>
      <c r="H35" t="str">
        <f t="array" ref="H35">IFERROR(IF(COUNTIFS('Match Log'!$A$4:$A$810,$A35,'Match Log'!$E$4:$E$810,"Win")&gt;1,_xlfn.TEXTJOIN(" + ",TRUE,IF(('Match Log'!$A$4:$A$810=$A35)*('Match Log'!$E$4:$E$810="Loss"),'Match Log'!$D$4:$D$810,"")),IF($E35=2,LOOKUP(2,1/(('Match Log'!$A$4:$A$810=$A35)*('Match Log'!$E$4:$E$810="Loss")),'Match Log'!$D$4:$D$810),"the field")),"")</f>
        <v>Cody</v>
      </c>
      <c r="I35">
        <f t="shared" si="17"/>
        <v>-0.33334433333333324</v>
      </c>
      <c r="J35">
        <v>11</v>
      </c>
      <c r="K35">
        <f>IF($J35&gt;MAX('Match Log'!$A$4:$A$810),NA(),IFERROR(LOOKUP(2,1/(('Match Log'!$D$4:$D$810=$K$24)*('Match Log'!$A$4:$A$810&lt;=$J35)),'Match Log'!$N$4:$N$810),NA()))</f>
        <v>1034.5588790960981</v>
      </c>
      <c r="L35" t="e">
        <f>IF($J35&gt;MAX('Match Log'!$A$4:$A$810),NA(),IFERROR(LOOKUP(2,1/(('Match Log'!$D$4:$D$810=$L$24)*('Match Log'!$A$4:$A$810&lt;=$J35)),'Match Log'!$N$4:$N$810),NA()))</f>
        <v>#N/A</v>
      </c>
      <c r="M35">
        <f>IF($J35&gt;MAX('Match Log'!$A$4:$A$810),NA(),IFERROR(LOOKUP(2,1/(('Match Log'!$D$4:$D$810=$M$24)*('Match Log'!$A$4:$A$810&lt;=$J35)),'Match Log'!$N$4:$N$810),NA()))</f>
        <v>1004.2142857142857</v>
      </c>
      <c r="N35">
        <f>IF($J35&gt;MAX('Match Log'!$A$4:$A$810),NA(),IFERROR(LOOKUP(2,1/(('Match Log'!$D$4:$D$810=$N$24)*('Match Log'!$A$4:$A$810&lt;=$J35)),'Match Log'!$N$4:$N$810),NA()))</f>
        <v>1004.2142857142857</v>
      </c>
      <c r="O35">
        <f>IF($J35&gt;MAX('Match Log'!$A$4:$A$810),NA(),IFERROR(LOOKUP(2,1/(('Match Log'!$D$4:$D$810=$O$24)*('Match Log'!$A$4:$A$810&lt;=$J35)),'Match Log'!$N$4:$N$810),NA()))</f>
        <v>1068.6308645974639</v>
      </c>
      <c r="P35">
        <f>IF($J35&gt;MAX('Match Log'!$A$4:$A$810),NA(),IFERROR(LOOKUP(2,1/(('Match Log'!$D$4:$D$810=$P$24)*('Match Log'!$A$4:$A$810&lt;=$J35)),'Match Log'!$N$4:$N$810),NA()))</f>
        <v>1072.9224126693446</v>
      </c>
      <c r="Q35">
        <f>IF($J35&gt;MAX('Match Log'!$A$4:$A$810),NA(),IFERROR(LOOKUP(2,1/(('Match Log'!$D$4:$D$810=$Q$24)*('Match Log'!$A$4:$A$810&lt;=$J35)),'Match Log'!$N$4:$N$810),NA()))</f>
        <v>1004.2142857142857</v>
      </c>
      <c r="R35">
        <f>IF($J35&gt;MAX('Match Log'!$A$4:$A$810),NA(),IFERROR(LOOKUP(2,1/(('Match Log'!$D$4:$D$810=$R$24)*('Match Log'!$A$4:$A$810&lt;=$J35)),'Match Log'!$N$4:$N$810),NA()))</f>
        <v>926.56535485016559</v>
      </c>
      <c r="S35" t="e">
        <f>IF($J35&gt;MAX('Match Log'!$A$4:$A$810),NA(),IFERROR(LOOKUP(2,1/(('Match Log'!$D$4:$D$810=$S$24)*('Match Log'!$A$4:$A$810&lt;=$J35)),'Match Log'!$N$4:$N$810),NA()))</f>
        <v>#N/A</v>
      </c>
      <c r="T35">
        <f>IF($J35&gt;MAX('Match Log'!$A$4:$A$810),NA(),IFERROR(LOOKUP(2,1/(('Match Log'!$D$4:$D$810=$T$24)*('Match Log'!$A$4:$A$810&lt;=$J35)),'Match Log'!$N$4:$N$810),NA()))</f>
        <v>962.4061498388462</v>
      </c>
      <c r="U35">
        <f>IF($J35&gt;MAX('Match Log'!$A$4:$A$810),NA(),IFERROR(LOOKUP(2,1/(('Match Log'!$D$4:$D$810=$U$24)*('Match Log'!$A$4:$A$810&lt;=$J35)),'Match Log'!$N$4:$N$810),NA()))</f>
        <v>995.27348180522449</v>
      </c>
      <c r="V35" t="e">
        <f>IF($J35&gt;MAX('Match Log'!$A$4:$A$810),NA(),IFERROR(LOOKUP(2,1/(('Match Log'!$D$4:$D$810=$V$24)*('Match Log'!$A$4:$A$810&lt;=$J35)),'Match Log'!$N$4:$N$810),NA()))</f>
        <v>#N/A</v>
      </c>
      <c r="W35" t="e">
        <f>IF($J35&gt;MAX('Match Log'!$A$4:$A$810),NA(),IFERROR(LOOKUP(2,1/(('Match Log'!$D$4:$D$810=$W$24)*('Match Log'!$A$4:$A$810&lt;=$J35)),'Match Log'!$N$4:$N$810),NA()))</f>
        <v>#N/A</v>
      </c>
      <c r="X35" t="e">
        <f>IF($J35&gt;MAX('Match Log'!$A$4:$A$810),NA(),IFERROR(LOOKUP(2,1/(('Match Log'!$D$4:$D$810=$X$24)*('Match Log'!$A$4:$A$810&lt;=$J35)),'Match Log'!$N$4:$N$810),NA()))</f>
        <v>#N/A</v>
      </c>
      <c r="Y35" t="str">
        <f t="shared" ca="1" si="18"/>
        <v/>
      </c>
    </row>
    <row r="36" spans="1:25" ht="15" customHeight="1" x14ac:dyDescent="0.2">
      <c r="A36">
        <v>12</v>
      </c>
      <c r="B36" s="127">
        <f>IFERROR(INDEX('Match Log'!$B$4:$B$810,MATCH(12,'Match Log'!$A$4:$A$810,0)),"")</f>
        <v>46172</v>
      </c>
      <c r="C36" t="str">
        <f>IFERROR(INDEX('Match Log'!$C$4:$C$810,MATCH(12,'Match Log'!$A$4:$A$810,0)),"")</f>
        <v>Table Tennis</v>
      </c>
      <c r="D36" t="str">
        <f t="array" ref="D36">IFERROR(_xlfn.TEXTJOIN(" + ",TRUE,IF(('Match Log'!$A$4:$A$810=$A36)*('Match Log'!$E$4:$E$810="Win"),'Match Log'!$D$4:$D$810,"")),IFERROR(LOOKUP(2,1/(('Match Log'!$A$4:$A$810=$A36)*('Match Log'!$E$4:$E$810="Win")),'Match Log'!$D$4:$D$810),""))</f>
        <v>Josh</v>
      </c>
      <c r="E36" s="128">
        <f>IFERROR(INDEX('Match Log'!$F$4:$F$810,MATCH(12,'Match Log'!$A$4:$A$810,0)),"")</f>
        <v>2</v>
      </c>
      <c r="F36">
        <f>IFERROR(SUMIFS('Match Log'!$I$4:$I$810,'Match Log'!$A$4:$A$810,12,'Match Log'!$E$4:$E$810,"Win"),"")</f>
        <v>0.75</v>
      </c>
      <c r="G36">
        <f t="shared" si="16"/>
        <v>-0.5</v>
      </c>
      <c r="H36" t="str">
        <f t="array" ref="H36">IFERROR(IF(COUNTIFS('Match Log'!$A$4:$A$810,$A36,'Match Log'!$E$4:$E$810,"Win")&gt;1,_xlfn.TEXTJOIN(" + ",TRUE,IF(('Match Log'!$A$4:$A$810=$A36)*('Match Log'!$E$4:$E$810="Loss"),'Match Log'!$D$4:$D$810,"")),IF($E36=2,LOOKUP(2,1/(('Match Log'!$A$4:$A$810=$A36)*('Match Log'!$E$4:$E$810="Loss")),'Match Log'!$D$4:$D$810),"the field")),"")</f>
        <v>Cody</v>
      </c>
      <c r="I36">
        <f t="shared" si="17"/>
        <v>-0.50001200000000001</v>
      </c>
      <c r="J36">
        <v>12</v>
      </c>
      <c r="K36">
        <f>IF($J36&gt;MAX('Match Log'!$A$4:$A$810),NA(),IFERROR(LOOKUP(2,1/(('Match Log'!$D$4:$D$810=$K$24)*('Match Log'!$A$4:$A$810&lt;=$J36)),'Match Log'!$N$4:$N$810),NA()))</f>
        <v>1034.5588790960981</v>
      </c>
      <c r="L36" t="e">
        <f>IF($J36&gt;MAX('Match Log'!$A$4:$A$810),NA(),IFERROR(LOOKUP(2,1/(('Match Log'!$D$4:$D$810=$L$24)*('Match Log'!$A$4:$A$810&lt;=$J36)),'Match Log'!$N$4:$N$810),NA()))</f>
        <v>#N/A</v>
      </c>
      <c r="M36">
        <f>IF($J36&gt;MAX('Match Log'!$A$4:$A$810),NA(),IFERROR(LOOKUP(2,1/(('Match Log'!$D$4:$D$810=$M$24)*('Match Log'!$A$4:$A$810&lt;=$J36)),'Match Log'!$N$4:$N$810),NA()))</f>
        <v>1004.2142857142857</v>
      </c>
      <c r="N36">
        <f>IF($J36&gt;MAX('Match Log'!$A$4:$A$810),NA(),IFERROR(LOOKUP(2,1/(('Match Log'!$D$4:$D$810=$N$24)*('Match Log'!$A$4:$A$810&lt;=$J36)),'Match Log'!$N$4:$N$810),NA()))</f>
        <v>1004.2142857142857</v>
      </c>
      <c r="O36">
        <f>IF($J36&gt;MAX('Match Log'!$A$4:$A$810),NA(),IFERROR(LOOKUP(2,1/(('Match Log'!$D$4:$D$810=$O$24)*('Match Log'!$A$4:$A$810&lt;=$J36)),'Match Log'!$N$4:$N$810),NA()))</f>
        <v>1083.4337354324246</v>
      </c>
      <c r="P36">
        <f>IF($J36&gt;MAX('Match Log'!$A$4:$A$810),NA(),IFERROR(LOOKUP(2,1/(('Match Log'!$D$4:$D$810=$P$24)*('Match Log'!$A$4:$A$810&lt;=$J36)),'Match Log'!$N$4:$N$810),NA()))</f>
        <v>1072.9224126693446</v>
      </c>
      <c r="Q36">
        <f>IF($J36&gt;MAX('Match Log'!$A$4:$A$810),NA(),IFERROR(LOOKUP(2,1/(('Match Log'!$D$4:$D$810=$Q$24)*('Match Log'!$A$4:$A$810&lt;=$J36)),'Match Log'!$N$4:$N$810),NA()))</f>
        <v>1004.2142857142857</v>
      </c>
      <c r="R36">
        <f>IF($J36&gt;MAX('Match Log'!$A$4:$A$810),NA(),IFERROR(LOOKUP(2,1/(('Match Log'!$D$4:$D$810=$R$24)*('Match Log'!$A$4:$A$810&lt;=$J36)),'Match Log'!$N$4:$N$810),NA()))</f>
        <v>926.56535485016559</v>
      </c>
      <c r="S36" t="e">
        <f>IF($J36&gt;MAX('Match Log'!$A$4:$A$810),NA(),IFERROR(LOOKUP(2,1/(('Match Log'!$D$4:$D$810=$S$24)*('Match Log'!$A$4:$A$810&lt;=$J36)),'Match Log'!$N$4:$N$810),NA()))</f>
        <v>#N/A</v>
      </c>
      <c r="T36">
        <f>IF($J36&gt;MAX('Match Log'!$A$4:$A$810),NA(),IFERROR(LOOKUP(2,1/(('Match Log'!$D$4:$D$810=$T$24)*('Match Log'!$A$4:$A$810&lt;=$J36)),'Match Log'!$N$4:$N$810),NA()))</f>
        <v>947.60327900388552</v>
      </c>
      <c r="U36">
        <f>IF($J36&gt;MAX('Match Log'!$A$4:$A$810),NA(),IFERROR(LOOKUP(2,1/(('Match Log'!$D$4:$D$810=$U$24)*('Match Log'!$A$4:$A$810&lt;=$J36)),'Match Log'!$N$4:$N$810),NA()))</f>
        <v>995.27348180522449</v>
      </c>
      <c r="V36" t="e">
        <f>IF($J36&gt;MAX('Match Log'!$A$4:$A$810),NA(),IFERROR(LOOKUP(2,1/(('Match Log'!$D$4:$D$810=$V$24)*('Match Log'!$A$4:$A$810&lt;=$J36)),'Match Log'!$N$4:$N$810),NA()))</f>
        <v>#N/A</v>
      </c>
      <c r="W36" t="e">
        <f>IF($J36&gt;MAX('Match Log'!$A$4:$A$810),NA(),IFERROR(LOOKUP(2,1/(('Match Log'!$D$4:$D$810=$W$24)*('Match Log'!$A$4:$A$810&lt;=$J36)),'Match Log'!$N$4:$N$810),NA()))</f>
        <v>#N/A</v>
      </c>
      <c r="X36" t="e">
        <f>IF($J36&gt;MAX('Match Log'!$A$4:$A$810),NA(),IFERROR(LOOKUP(2,1/(('Match Log'!$D$4:$D$810=$X$24)*('Match Log'!$A$4:$A$810&lt;=$J36)),'Match Log'!$N$4:$N$810),NA()))</f>
        <v>#N/A</v>
      </c>
      <c r="Y36" t="str">
        <f t="shared" ca="1" si="18"/>
        <v/>
      </c>
    </row>
    <row r="37" spans="1:25" ht="15" customHeight="1" x14ac:dyDescent="0.2">
      <c r="A37">
        <v>13</v>
      </c>
      <c r="B37" s="127">
        <f>IFERROR(INDEX('Match Log'!$B$4:$B$810,MATCH(13,'Match Log'!$A$4:$A$810,0)),"")</f>
        <v>46173</v>
      </c>
      <c r="C37" t="str">
        <f>IFERROR(INDEX('Match Log'!$C$4:$C$810,MATCH(13,'Match Log'!$A$4:$A$810,0)),"")</f>
        <v>FIFA</v>
      </c>
      <c r="D37" t="str">
        <f t="array" ref="D37">IFERROR(_xlfn.TEXTJOIN(" + ",TRUE,IF(('Match Log'!$A$4:$A$810=$A37)*('Match Log'!$E$4:$E$810="Win"),'Match Log'!$D$4:$D$810,"")),IFERROR(LOOKUP(2,1/(('Match Log'!$A$4:$A$810=$A37)*('Match Log'!$E$4:$E$810="Win")),'Match Log'!$D$4:$D$810),""))</f>
        <v>Shawn</v>
      </c>
      <c r="E37" s="128">
        <f>IFERROR(INDEX('Match Log'!$F$4:$F$810,MATCH(13,'Match Log'!$A$4:$A$810,0)),"")</f>
        <v>2</v>
      </c>
      <c r="F37">
        <f>IFERROR(SUMIFS('Match Log'!$I$4:$I$810,'Match Log'!$A$4:$A$810,13,'Match Log'!$E$4:$E$810,"Win"),"")</f>
        <v>0.66666666666666663</v>
      </c>
      <c r="G37">
        <f t="shared" si="16"/>
        <v>-0.33333333333333326</v>
      </c>
      <c r="H37" t="str">
        <f t="array" ref="H37">IFERROR(IF(COUNTIFS('Match Log'!$A$4:$A$810,$A37,'Match Log'!$E$4:$E$810,"Win")&gt;1,_xlfn.TEXTJOIN(" + ",TRUE,IF(('Match Log'!$A$4:$A$810=$A37)*('Match Log'!$E$4:$E$810="Loss"),'Match Log'!$D$4:$D$810,"")),IF($E37=2,LOOKUP(2,1/(('Match Log'!$A$4:$A$810=$A37)*('Match Log'!$E$4:$E$810="Loss")),'Match Log'!$D$4:$D$810),"the field")),"")</f>
        <v>Daniel (Ferret)</v>
      </c>
      <c r="I37">
        <f t="shared" si="17"/>
        <v>-0.33334633333333324</v>
      </c>
      <c r="J37">
        <v>13</v>
      </c>
      <c r="K37">
        <f>IF($J37&gt;MAX('Match Log'!$A$4:$A$810),NA(),IFERROR(LOOKUP(2,1/(('Match Log'!$D$4:$D$810=$K$24)*('Match Log'!$A$4:$A$810&lt;=$J37)),'Match Log'!$N$4:$N$810),NA()))</f>
        <v>1034.5588790960981</v>
      </c>
      <c r="L37" t="e">
        <f>IF($J37&gt;MAX('Match Log'!$A$4:$A$810),NA(),IFERROR(LOOKUP(2,1/(('Match Log'!$D$4:$D$810=$L$24)*('Match Log'!$A$4:$A$810&lt;=$J37)),'Match Log'!$N$4:$N$810),NA()))</f>
        <v>#N/A</v>
      </c>
      <c r="M37">
        <f>IF($J37&gt;MAX('Match Log'!$A$4:$A$810),NA(),IFERROR(LOOKUP(2,1/(('Match Log'!$D$4:$D$810=$M$24)*('Match Log'!$A$4:$A$810&lt;=$J37)),'Match Log'!$N$4:$N$810),NA()))</f>
        <v>1004.2142857142857</v>
      </c>
      <c r="N37">
        <f>IF($J37&gt;MAX('Match Log'!$A$4:$A$810),NA(),IFERROR(LOOKUP(2,1/(('Match Log'!$D$4:$D$810=$N$24)*('Match Log'!$A$4:$A$810&lt;=$J37)),'Match Log'!$N$4:$N$810),NA()))</f>
        <v>1004.2142857142857</v>
      </c>
      <c r="O37">
        <f>IF($J37&gt;MAX('Match Log'!$A$4:$A$810),NA(),IFERROR(LOOKUP(2,1/(('Match Log'!$D$4:$D$810=$O$24)*('Match Log'!$A$4:$A$810&lt;=$J37)),'Match Log'!$N$4:$N$810),NA()))</f>
        <v>1083.4337354324246</v>
      </c>
      <c r="P37">
        <f>IF($J37&gt;MAX('Match Log'!$A$4:$A$810),NA(),IFERROR(LOOKUP(2,1/(('Match Log'!$D$4:$D$810=$P$24)*('Match Log'!$A$4:$A$810&lt;=$J37)),'Match Log'!$N$4:$N$810),NA()))</f>
        <v>1088.3358957355647</v>
      </c>
      <c r="Q37">
        <f>IF($J37&gt;MAX('Match Log'!$A$4:$A$810),NA(),IFERROR(LOOKUP(2,1/(('Match Log'!$D$4:$D$810=$Q$24)*('Match Log'!$A$4:$A$810&lt;=$J37)),'Match Log'!$N$4:$N$810),NA()))</f>
        <v>1004.2142857142857</v>
      </c>
      <c r="R37">
        <f>IF($J37&gt;MAX('Match Log'!$A$4:$A$810),NA(),IFERROR(LOOKUP(2,1/(('Match Log'!$D$4:$D$810=$R$24)*('Match Log'!$A$4:$A$810&lt;=$J37)),'Match Log'!$N$4:$N$810),NA()))</f>
        <v>911.15187178394547</v>
      </c>
      <c r="S37" t="e">
        <f>IF($J37&gt;MAX('Match Log'!$A$4:$A$810),NA(),IFERROR(LOOKUP(2,1/(('Match Log'!$D$4:$D$810=$S$24)*('Match Log'!$A$4:$A$810&lt;=$J37)),'Match Log'!$N$4:$N$810),NA()))</f>
        <v>#N/A</v>
      </c>
      <c r="T37">
        <f>IF($J37&gt;MAX('Match Log'!$A$4:$A$810),NA(),IFERROR(LOOKUP(2,1/(('Match Log'!$D$4:$D$810=$T$24)*('Match Log'!$A$4:$A$810&lt;=$J37)),'Match Log'!$N$4:$N$810),NA()))</f>
        <v>947.60327900388552</v>
      </c>
      <c r="U37">
        <f>IF($J37&gt;MAX('Match Log'!$A$4:$A$810),NA(),IFERROR(LOOKUP(2,1/(('Match Log'!$D$4:$D$810=$U$24)*('Match Log'!$A$4:$A$810&lt;=$J37)),'Match Log'!$N$4:$N$810),NA()))</f>
        <v>995.27348180522449</v>
      </c>
      <c r="V37" t="e">
        <f>IF($J37&gt;MAX('Match Log'!$A$4:$A$810),NA(),IFERROR(LOOKUP(2,1/(('Match Log'!$D$4:$D$810=$V$24)*('Match Log'!$A$4:$A$810&lt;=$J37)),'Match Log'!$N$4:$N$810),NA()))</f>
        <v>#N/A</v>
      </c>
      <c r="W37" t="e">
        <f>IF($J37&gt;MAX('Match Log'!$A$4:$A$810),NA(),IFERROR(LOOKUP(2,1/(('Match Log'!$D$4:$D$810=$W$24)*('Match Log'!$A$4:$A$810&lt;=$J37)),'Match Log'!$N$4:$N$810),NA()))</f>
        <v>#N/A</v>
      </c>
      <c r="X37" t="e">
        <f>IF($J37&gt;MAX('Match Log'!$A$4:$A$810),NA(),IFERROR(LOOKUP(2,1/(('Match Log'!$D$4:$D$810=$X$24)*('Match Log'!$A$4:$A$810&lt;=$J37)),'Match Log'!$N$4:$N$810),NA()))</f>
        <v>#N/A</v>
      </c>
      <c r="Y37" t="str">
        <f t="shared" ca="1" si="18"/>
        <v/>
      </c>
    </row>
    <row r="38" spans="1:25" ht="15" customHeight="1" x14ac:dyDescent="0.2">
      <c r="A38">
        <v>14</v>
      </c>
      <c r="B38" s="127">
        <f>IFERROR(INDEX('Match Log'!$B$4:$B$810,MATCH(14,'Match Log'!$A$4:$A$810,0)),"")</f>
        <v>46173</v>
      </c>
      <c r="C38" t="str">
        <f>IFERROR(INDEX('Match Log'!$C$4:$C$810,MATCH(14,'Match Log'!$A$4:$A$810,0)),"")</f>
        <v>FIFA</v>
      </c>
      <c r="D38" t="str">
        <f t="array" ref="D38">IFERROR(_xlfn.TEXTJOIN(" + ",TRUE,IF(('Match Log'!$A$4:$A$810=$A38)*('Match Log'!$E$4:$E$810="Win"),'Match Log'!$D$4:$D$810,"")),IFERROR(LOOKUP(2,1/(('Match Log'!$A$4:$A$810=$A38)*('Match Log'!$E$4:$E$810="Win")),'Match Log'!$D$4:$D$810),""))</f>
        <v>Daniel (Ferret)</v>
      </c>
      <c r="E38" s="128">
        <f>IFERROR(INDEX('Match Log'!$F$4:$F$810,MATCH(14,'Match Log'!$A$4:$A$810,0)),"")</f>
        <v>2</v>
      </c>
      <c r="F38">
        <f>IFERROR(SUMIFS('Match Log'!$I$4:$I$810,'Match Log'!$A$4:$A$810,14,'Match Log'!$E$4:$E$810,"Win"),"")</f>
        <v>0.2857142857142857</v>
      </c>
      <c r="G38">
        <f t="shared" si="16"/>
        <v>0.4285714285714286</v>
      </c>
      <c r="H38" t="str">
        <f t="array" ref="H38">IFERROR(IF(COUNTIFS('Match Log'!$A$4:$A$810,$A38,'Match Log'!$E$4:$E$810,"Win")&gt;1,_xlfn.TEXTJOIN(" + ",TRUE,IF(('Match Log'!$A$4:$A$810=$A38)*('Match Log'!$E$4:$E$810="Loss"),'Match Log'!$D$4:$D$810,"")),IF($E38=2,LOOKUP(2,1/(('Match Log'!$A$4:$A$810=$A38)*('Match Log'!$E$4:$E$810="Loss")),'Match Log'!$D$4:$D$810),"the field")),"")</f>
        <v>Shawn</v>
      </c>
      <c r="I38">
        <f t="shared" si="17"/>
        <v>0.42855742857142859</v>
      </c>
      <c r="J38">
        <v>14</v>
      </c>
      <c r="K38">
        <f>IF($J38&gt;MAX('Match Log'!$A$4:$A$810),NA(),IFERROR(LOOKUP(2,1/(('Match Log'!$D$4:$D$810=$K$24)*('Match Log'!$A$4:$A$810&lt;=$J38)),'Match Log'!$N$4:$N$810),NA()))</f>
        <v>1034.5588790960981</v>
      </c>
      <c r="L38" t="e">
        <f>IF($J38&gt;MAX('Match Log'!$A$4:$A$810),NA(),IFERROR(LOOKUP(2,1/(('Match Log'!$D$4:$D$810=$L$24)*('Match Log'!$A$4:$A$810&lt;=$J38)),'Match Log'!$N$4:$N$810),NA()))</f>
        <v>#N/A</v>
      </c>
      <c r="M38">
        <f>IF($J38&gt;MAX('Match Log'!$A$4:$A$810),NA(),IFERROR(LOOKUP(2,1/(('Match Log'!$D$4:$D$810=$M$24)*('Match Log'!$A$4:$A$810&lt;=$J38)),'Match Log'!$N$4:$N$810),NA()))</f>
        <v>1004.2142857142857</v>
      </c>
      <c r="N38">
        <f>IF($J38&gt;MAX('Match Log'!$A$4:$A$810),NA(),IFERROR(LOOKUP(2,1/(('Match Log'!$D$4:$D$810=$N$24)*('Match Log'!$A$4:$A$810&lt;=$J38)),'Match Log'!$N$4:$N$810),NA()))</f>
        <v>1004.2142857142857</v>
      </c>
      <c r="O38">
        <f>IF($J38&gt;MAX('Match Log'!$A$4:$A$810),NA(),IFERROR(LOOKUP(2,1/(('Match Log'!$D$4:$D$810=$O$24)*('Match Log'!$A$4:$A$810&lt;=$J38)),'Match Log'!$N$4:$N$810),NA()))</f>
        <v>1083.4337354324246</v>
      </c>
      <c r="P38">
        <f>IF($J38&gt;MAX('Match Log'!$A$4:$A$810),NA(),IFERROR(LOOKUP(2,1/(('Match Log'!$D$4:$D$810=$P$24)*('Match Log'!$A$4:$A$810&lt;=$J38)),'Match Log'!$N$4:$N$810),NA()))</f>
        <v>1058.1949493150487</v>
      </c>
      <c r="Q38">
        <f>IF($J38&gt;MAX('Match Log'!$A$4:$A$810),NA(),IFERROR(LOOKUP(2,1/(('Match Log'!$D$4:$D$810=$Q$24)*('Match Log'!$A$4:$A$810&lt;=$J38)),'Match Log'!$N$4:$N$810),NA()))</f>
        <v>1004.2142857142857</v>
      </c>
      <c r="R38">
        <f>IF($J38&gt;MAX('Match Log'!$A$4:$A$810),NA(),IFERROR(LOOKUP(2,1/(('Match Log'!$D$4:$D$810=$R$24)*('Match Log'!$A$4:$A$810&lt;=$J38)),'Match Log'!$N$4:$N$810),NA()))</f>
        <v>941.29281820446158</v>
      </c>
      <c r="S38" t="e">
        <f>IF($J38&gt;MAX('Match Log'!$A$4:$A$810),NA(),IFERROR(LOOKUP(2,1/(('Match Log'!$D$4:$D$810=$S$24)*('Match Log'!$A$4:$A$810&lt;=$J38)),'Match Log'!$N$4:$N$810),NA()))</f>
        <v>#N/A</v>
      </c>
      <c r="T38">
        <f>IF($J38&gt;MAX('Match Log'!$A$4:$A$810),NA(),IFERROR(LOOKUP(2,1/(('Match Log'!$D$4:$D$810=$T$24)*('Match Log'!$A$4:$A$810&lt;=$J38)),'Match Log'!$N$4:$N$810),NA()))</f>
        <v>947.60327900388552</v>
      </c>
      <c r="U38">
        <f>IF($J38&gt;MAX('Match Log'!$A$4:$A$810),NA(),IFERROR(LOOKUP(2,1/(('Match Log'!$D$4:$D$810=$U$24)*('Match Log'!$A$4:$A$810&lt;=$J38)),'Match Log'!$N$4:$N$810),NA()))</f>
        <v>995.27348180522449</v>
      </c>
      <c r="V38" t="e">
        <f>IF($J38&gt;MAX('Match Log'!$A$4:$A$810),NA(),IFERROR(LOOKUP(2,1/(('Match Log'!$D$4:$D$810=$V$24)*('Match Log'!$A$4:$A$810&lt;=$J38)),'Match Log'!$N$4:$N$810),NA()))</f>
        <v>#N/A</v>
      </c>
      <c r="W38" t="e">
        <f>IF($J38&gt;MAX('Match Log'!$A$4:$A$810),NA(),IFERROR(LOOKUP(2,1/(('Match Log'!$D$4:$D$810=$W$24)*('Match Log'!$A$4:$A$810&lt;=$J38)),'Match Log'!$N$4:$N$810),NA()))</f>
        <v>#N/A</v>
      </c>
      <c r="X38" t="e">
        <f>IF($J38&gt;MAX('Match Log'!$A$4:$A$810),NA(),IFERROR(LOOKUP(2,1/(('Match Log'!$D$4:$D$810=$X$24)*('Match Log'!$A$4:$A$810&lt;=$J38)),'Match Log'!$N$4:$N$810),NA()))</f>
        <v>#N/A</v>
      </c>
      <c r="Y38" t="str">
        <f t="shared" ca="1" si="18"/>
        <v/>
      </c>
    </row>
    <row r="39" spans="1:25" ht="15" customHeight="1" x14ac:dyDescent="0.2">
      <c r="A39">
        <v>15</v>
      </c>
      <c r="B39" s="127">
        <f>IFERROR(INDEX('Match Log'!$B$4:$B$810,MATCH(15,'Match Log'!$A$4:$A$810,0)),"")</f>
        <v>46173</v>
      </c>
      <c r="C39" t="str">
        <f>IFERROR(INDEX('Match Log'!$C$4:$C$810,MATCH(15,'Match Log'!$A$4:$A$810,0)),"")</f>
        <v>FIFA</v>
      </c>
      <c r="D39" t="str">
        <f t="array" ref="D39">IFERROR(_xlfn.TEXTJOIN(" + ",TRUE,IF(('Match Log'!$A$4:$A$810=$A39)*('Match Log'!$E$4:$E$810="Win"),'Match Log'!$D$4:$D$810,"")),IFERROR(LOOKUP(2,1/(('Match Log'!$A$4:$A$810=$A39)*('Match Log'!$E$4:$E$810="Win")),'Match Log'!$D$4:$D$810),""))</f>
        <v>Daniel (Ferret)</v>
      </c>
      <c r="E39" s="128">
        <f>IFERROR(INDEX('Match Log'!$F$4:$F$810,MATCH(15,'Match Log'!$A$4:$A$810,0)),"")</f>
        <v>2</v>
      </c>
      <c r="F39">
        <f>IFERROR(SUMIFS('Match Log'!$I$4:$I$810,'Match Log'!$A$4:$A$810,15,'Match Log'!$E$4:$E$810,"Win"),"")</f>
        <v>0.375</v>
      </c>
      <c r="G39">
        <f t="shared" si="16"/>
        <v>0.25</v>
      </c>
      <c r="H39" t="str">
        <f t="array" ref="H39">IFERROR(IF(COUNTIFS('Match Log'!$A$4:$A$810,$A39,'Match Log'!$E$4:$E$810,"Win")&gt;1,_xlfn.TEXTJOIN(" + ",TRUE,IF(('Match Log'!$A$4:$A$810=$A39)*('Match Log'!$E$4:$E$810="Loss"),'Match Log'!$D$4:$D$810,"")),IF($E39=2,LOOKUP(2,1/(('Match Log'!$A$4:$A$810=$A39)*('Match Log'!$E$4:$E$810="Loss")),'Match Log'!$D$4:$D$810),"the field")),"")</f>
        <v>Shawn</v>
      </c>
      <c r="I39">
        <f t="shared" si="17"/>
        <v>0.24998500000000001</v>
      </c>
      <c r="J39">
        <v>15</v>
      </c>
      <c r="K39">
        <f>IF($J39&gt;MAX('Match Log'!$A$4:$A$810),NA(),IFERROR(LOOKUP(2,1/(('Match Log'!$D$4:$D$810=$K$24)*('Match Log'!$A$4:$A$810&lt;=$J39)),'Match Log'!$N$4:$N$810),NA()))</f>
        <v>1034.5588790960981</v>
      </c>
      <c r="L39" t="e">
        <f>IF($J39&gt;MAX('Match Log'!$A$4:$A$810),NA(),IFERROR(LOOKUP(2,1/(('Match Log'!$D$4:$D$810=$L$24)*('Match Log'!$A$4:$A$810&lt;=$J39)),'Match Log'!$N$4:$N$810),NA()))</f>
        <v>#N/A</v>
      </c>
      <c r="M39">
        <f>IF($J39&gt;MAX('Match Log'!$A$4:$A$810),NA(),IFERROR(LOOKUP(2,1/(('Match Log'!$D$4:$D$810=$M$24)*('Match Log'!$A$4:$A$810&lt;=$J39)),'Match Log'!$N$4:$N$810),NA()))</f>
        <v>1004.2142857142857</v>
      </c>
      <c r="N39">
        <f>IF($J39&gt;MAX('Match Log'!$A$4:$A$810),NA(),IFERROR(LOOKUP(2,1/(('Match Log'!$D$4:$D$810=$N$24)*('Match Log'!$A$4:$A$810&lt;=$J39)),'Match Log'!$N$4:$N$810),NA()))</f>
        <v>1004.2142857142857</v>
      </c>
      <c r="O39">
        <f>IF($J39&gt;MAX('Match Log'!$A$4:$A$810),NA(),IFERROR(LOOKUP(2,1/(('Match Log'!$D$4:$D$810=$O$24)*('Match Log'!$A$4:$A$810&lt;=$J39)),'Match Log'!$N$4:$N$810),NA()))</f>
        <v>1083.4337354324246</v>
      </c>
      <c r="P39">
        <f>IF($J39&gt;MAX('Match Log'!$A$4:$A$810),NA(),IFERROR(LOOKUP(2,1/(('Match Log'!$D$4:$D$810=$P$24)*('Match Log'!$A$4:$A$810&lt;=$J39)),'Match Log'!$N$4:$N$810),NA()))</f>
        <v>1031.3816433374927</v>
      </c>
      <c r="Q39">
        <f>IF($J39&gt;MAX('Match Log'!$A$4:$A$810),NA(),IFERROR(LOOKUP(2,1/(('Match Log'!$D$4:$D$810=$Q$24)*('Match Log'!$A$4:$A$810&lt;=$J39)),'Match Log'!$N$4:$N$810),NA()))</f>
        <v>1004.2142857142857</v>
      </c>
      <c r="R39">
        <f>IF($J39&gt;MAX('Match Log'!$A$4:$A$810),NA(),IFERROR(LOOKUP(2,1/(('Match Log'!$D$4:$D$810=$R$24)*('Match Log'!$A$4:$A$810&lt;=$J39)),'Match Log'!$N$4:$N$810),NA()))</f>
        <v>968.10612418201742</v>
      </c>
      <c r="S39" t="e">
        <f>IF($J39&gt;MAX('Match Log'!$A$4:$A$810),NA(),IFERROR(LOOKUP(2,1/(('Match Log'!$D$4:$D$810=$S$24)*('Match Log'!$A$4:$A$810&lt;=$J39)),'Match Log'!$N$4:$N$810),NA()))</f>
        <v>#N/A</v>
      </c>
      <c r="T39">
        <f>IF($J39&gt;MAX('Match Log'!$A$4:$A$810),NA(),IFERROR(LOOKUP(2,1/(('Match Log'!$D$4:$D$810=$T$24)*('Match Log'!$A$4:$A$810&lt;=$J39)),'Match Log'!$N$4:$N$810),NA()))</f>
        <v>947.60327900388552</v>
      </c>
      <c r="U39">
        <f>IF($J39&gt;MAX('Match Log'!$A$4:$A$810),NA(),IFERROR(LOOKUP(2,1/(('Match Log'!$D$4:$D$810=$U$24)*('Match Log'!$A$4:$A$810&lt;=$J39)),'Match Log'!$N$4:$N$810),NA()))</f>
        <v>995.27348180522449</v>
      </c>
      <c r="V39" t="e">
        <f>IF($J39&gt;MAX('Match Log'!$A$4:$A$810),NA(),IFERROR(LOOKUP(2,1/(('Match Log'!$D$4:$D$810=$V$24)*('Match Log'!$A$4:$A$810&lt;=$J39)),'Match Log'!$N$4:$N$810),NA()))</f>
        <v>#N/A</v>
      </c>
      <c r="W39" t="e">
        <f>IF($J39&gt;MAX('Match Log'!$A$4:$A$810),NA(),IFERROR(LOOKUP(2,1/(('Match Log'!$D$4:$D$810=$W$24)*('Match Log'!$A$4:$A$810&lt;=$J39)),'Match Log'!$N$4:$N$810),NA()))</f>
        <v>#N/A</v>
      </c>
      <c r="X39" t="e">
        <f>IF($J39&gt;MAX('Match Log'!$A$4:$A$810),NA(),IFERROR(LOOKUP(2,1/(('Match Log'!$D$4:$D$810=$X$24)*('Match Log'!$A$4:$A$810&lt;=$J39)),'Match Log'!$N$4:$N$810),NA()))</f>
        <v>#N/A</v>
      </c>
      <c r="Y39" t="str">
        <f t="shared" ca="1" si="18"/>
        <v/>
      </c>
    </row>
    <row r="40" spans="1:25" ht="15" customHeight="1" x14ac:dyDescent="0.2">
      <c r="A40">
        <v>16</v>
      </c>
      <c r="B40" s="127">
        <f>IFERROR(INDEX('Match Log'!$B$4:$B$810,MATCH(16,'Match Log'!$A$4:$A$810,0)),"")</f>
        <v>46173</v>
      </c>
      <c r="C40" t="str">
        <f>IFERROR(INDEX('Match Log'!$C$4:$C$810,MATCH(16,'Match Log'!$A$4:$A$810,0)),"")</f>
        <v>FIFA</v>
      </c>
      <c r="D40" t="str">
        <f t="array" ref="D40">IFERROR(_xlfn.TEXTJOIN(" + ",TRUE,IF(('Match Log'!$A$4:$A$810=$A40)*('Match Log'!$E$4:$E$810="Win"),'Match Log'!$D$4:$D$810,"")),IFERROR(LOOKUP(2,1/(('Match Log'!$A$4:$A$810=$A40)*('Match Log'!$E$4:$E$810="Win")),'Match Log'!$D$4:$D$810),""))</f>
        <v>Daniel (Ferret)</v>
      </c>
      <c r="E40" s="128">
        <f>IFERROR(INDEX('Match Log'!$F$4:$F$810,MATCH(16,'Match Log'!$A$4:$A$810,0)),"")</f>
        <v>2</v>
      </c>
      <c r="F40">
        <f>IFERROR(SUMIFS('Match Log'!$I$4:$I$810,'Match Log'!$A$4:$A$810,16,'Match Log'!$E$4:$E$810,"Win"),"")</f>
        <v>0.44444444444444442</v>
      </c>
      <c r="G40">
        <f t="shared" si="16"/>
        <v>0.11111111111111116</v>
      </c>
      <c r="H40" t="str">
        <f t="array" ref="H40">IFERROR(IF(COUNTIFS('Match Log'!$A$4:$A$810,$A40,'Match Log'!$E$4:$E$810,"Win")&gt;1,_xlfn.TEXTJOIN(" + ",TRUE,IF(('Match Log'!$A$4:$A$810=$A40)*('Match Log'!$E$4:$E$810="Loss"),'Match Log'!$D$4:$D$810,"")),IF($E40=2,LOOKUP(2,1/(('Match Log'!$A$4:$A$810=$A40)*('Match Log'!$E$4:$E$810="Loss")),'Match Log'!$D$4:$D$810),"the field")),"")</f>
        <v>Shawn</v>
      </c>
      <c r="I40">
        <f t="shared" si="17"/>
        <v>0.11109511111111116</v>
      </c>
      <c r="J40">
        <v>16</v>
      </c>
      <c r="K40">
        <f>IF($J40&gt;MAX('Match Log'!$A$4:$A$810),NA(),IFERROR(LOOKUP(2,1/(('Match Log'!$D$4:$D$810=$K$24)*('Match Log'!$A$4:$A$810&lt;=$J40)),'Match Log'!$N$4:$N$810),NA()))</f>
        <v>1034.5588790960981</v>
      </c>
      <c r="L40" t="e">
        <f>IF($J40&gt;MAX('Match Log'!$A$4:$A$810),NA(),IFERROR(LOOKUP(2,1/(('Match Log'!$D$4:$D$810=$L$24)*('Match Log'!$A$4:$A$810&lt;=$J40)),'Match Log'!$N$4:$N$810),NA()))</f>
        <v>#N/A</v>
      </c>
      <c r="M40">
        <f>IF($J40&gt;MAX('Match Log'!$A$4:$A$810),NA(),IFERROR(LOOKUP(2,1/(('Match Log'!$D$4:$D$810=$M$24)*('Match Log'!$A$4:$A$810&lt;=$J40)),'Match Log'!$N$4:$N$810),NA()))</f>
        <v>1004.2142857142857</v>
      </c>
      <c r="N40">
        <f>IF($J40&gt;MAX('Match Log'!$A$4:$A$810),NA(),IFERROR(LOOKUP(2,1/(('Match Log'!$D$4:$D$810=$N$24)*('Match Log'!$A$4:$A$810&lt;=$J40)),'Match Log'!$N$4:$N$810),NA()))</f>
        <v>1004.2142857142857</v>
      </c>
      <c r="O40">
        <f>IF($J40&gt;MAX('Match Log'!$A$4:$A$810),NA(),IFERROR(LOOKUP(2,1/(('Match Log'!$D$4:$D$810=$O$24)*('Match Log'!$A$4:$A$810&lt;=$J40)),'Match Log'!$N$4:$N$810),NA()))</f>
        <v>1083.4337354324246</v>
      </c>
      <c r="P40">
        <f>IF($J40&gt;MAX('Match Log'!$A$4:$A$810),NA(),IFERROR(LOOKUP(2,1/(('Match Log'!$D$4:$D$810=$P$24)*('Match Log'!$A$4:$A$810&lt;=$J40)),'Match Log'!$N$4:$N$810),NA()))</f>
        <v>1007.4743526549773</v>
      </c>
      <c r="Q40">
        <f>IF($J40&gt;MAX('Match Log'!$A$4:$A$810),NA(),IFERROR(LOOKUP(2,1/(('Match Log'!$D$4:$D$810=$Q$24)*('Match Log'!$A$4:$A$810&lt;=$J40)),'Match Log'!$N$4:$N$810),NA()))</f>
        <v>1004.2142857142857</v>
      </c>
      <c r="R40">
        <f>IF($J40&gt;MAX('Match Log'!$A$4:$A$810),NA(),IFERROR(LOOKUP(2,1/(('Match Log'!$D$4:$D$810=$R$24)*('Match Log'!$A$4:$A$810&lt;=$J40)),'Match Log'!$N$4:$N$810),NA()))</f>
        <v>992.01341486453282</v>
      </c>
      <c r="S40" t="e">
        <f>IF($J40&gt;MAX('Match Log'!$A$4:$A$810),NA(),IFERROR(LOOKUP(2,1/(('Match Log'!$D$4:$D$810=$S$24)*('Match Log'!$A$4:$A$810&lt;=$J40)),'Match Log'!$N$4:$N$810),NA()))</f>
        <v>#N/A</v>
      </c>
      <c r="T40">
        <f>IF($J40&gt;MAX('Match Log'!$A$4:$A$810),NA(),IFERROR(LOOKUP(2,1/(('Match Log'!$D$4:$D$810=$T$24)*('Match Log'!$A$4:$A$810&lt;=$J40)),'Match Log'!$N$4:$N$810),NA()))</f>
        <v>947.60327900388552</v>
      </c>
      <c r="U40">
        <f>IF($J40&gt;MAX('Match Log'!$A$4:$A$810),NA(),IFERROR(LOOKUP(2,1/(('Match Log'!$D$4:$D$810=$U$24)*('Match Log'!$A$4:$A$810&lt;=$J40)),'Match Log'!$N$4:$N$810),NA()))</f>
        <v>995.27348180522449</v>
      </c>
      <c r="V40" t="e">
        <f>IF($J40&gt;MAX('Match Log'!$A$4:$A$810),NA(),IFERROR(LOOKUP(2,1/(('Match Log'!$D$4:$D$810=$V$24)*('Match Log'!$A$4:$A$810&lt;=$J40)),'Match Log'!$N$4:$N$810),NA()))</f>
        <v>#N/A</v>
      </c>
      <c r="W40" t="e">
        <f>IF($J40&gt;MAX('Match Log'!$A$4:$A$810),NA(),IFERROR(LOOKUP(2,1/(('Match Log'!$D$4:$D$810=$W$24)*('Match Log'!$A$4:$A$810&lt;=$J40)),'Match Log'!$N$4:$N$810),NA()))</f>
        <v>#N/A</v>
      </c>
      <c r="X40" t="e">
        <f>IF($J40&gt;MAX('Match Log'!$A$4:$A$810),NA(),IFERROR(LOOKUP(2,1/(('Match Log'!$D$4:$D$810=$X$24)*('Match Log'!$A$4:$A$810&lt;=$J40)),'Match Log'!$N$4:$N$810),NA()))</f>
        <v>#N/A</v>
      </c>
      <c r="Y40" t="str">
        <f t="shared" ca="1" si="18"/>
        <v/>
      </c>
    </row>
    <row r="41" spans="1:25" ht="15" customHeight="1" x14ac:dyDescent="0.2">
      <c r="A41">
        <v>17</v>
      </c>
      <c r="B41" s="127">
        <f>IFERROR(INDEX('Match Log'!$B$4:$B$810,MATCH(17,'Match Log'!$A$4:$A$810,0)),"")</f>
        <v>46175</v>
      </c>
      <c r="C41" t="str">
        <f>IFERROR(INDEX('Match Log'!$C$4:$C$810,MATCH(17,'Match Log'!$A$4:$A$810,0)),"")</f>
        <v>FIFA</v>
      </c>
      <c r="D41" t="str">
        <f t="array" ref="D41">IFERROR(_xlfn.TEXTJOIN(" + ",TRUE,IF(('Match Log'!$A$4:$A$810=$A41)*('Match Log'!$E$4:$E$810="Win"),'Match Log'!$D$4:$D$810,"")),IFERROR(LOOKUP(2,1/(('Match Log'!$A$4:$A$810=$A41)*('Match Log'!$E$4:$E$810="Win")),'Match Log'!$D$4:$D$810),""))</f>
        <v>Aaron</v>
      </c>
      <c r="E41" s="128">
        <f>IFERROR(INDEX('Match Log'!$F$4:$F$810,MATCH(17,'Match Log'!$A$4:$A$810,0)),"")</f>
        <v>2</v>
      </c>
      <c r="F41">
        <f>IFERROR(SUMIFS('Match Log'!$I$4:$I$810,'Match Log'!$A$4:$A$810,17,'Match Log'!$E$4:$E$810,"Win"),"")</f>
        <v>0.5</v>
      </c>
      <c r="G41">
        <f t="shared" si="16"/>
        <v>0</v>
      </c>
      <c r="H41" t="str">
        <f t="array" ref="H41">IFERROR(IF(COUNTIFS('Match Log'!$A$4:$A$810,$A41,'Match Log'!$E$4:$E$810,"Win")&gt;1,_xlfn.TEXTJOIN(" + ",TRUE,IF(('Match Log'!$A$4:$A$810=$A41)*('Match Log'!$E$4:$E$810="Loss"),'Match Log'!$D$4:$D$810,"")),IF($E41=2,LOOKUP(2,1/(('Match Log'!$A$4:$A$810=$A41)*('Match Log'!$E$4:$E$810="Loss")),'Match Log'!$D$4:$D$810),"the field")),"")</f>
        <v>Josh</v>
      </c>
      <c r="I41">
        <f t="shared" si="17"/>
        <v>-1.7E-5</v>
      </c>
      <c r="J41">
        <v>17</v>
      </c>
      <c r="K41">
        <f>IF($J41&gt;MAX('Match Log'!$A$4:$A$810),NA(),IFERROR(LOOKUP(2,1/(('Match Log'!$D$4:$D$810=$K$24)*('Match Log'!$A$4:$A$810&lt;=$J41)),'Match Log'!$N$4:$N$810),NA()))</f>
        <v>1058.7949192140873</v>
      </c>
      <c r="L41" t="e">
        <f>IF($J41&gt;MAX('Match Log'!$A$4:$A$810),NA(),IFERROR(LOOKUP(2,1/(('Match Log'!$D$4:$D$810=$L$24)*('Match Log'!$A$4:$A$810&lt;=$J41)),'Match Log'!$N$4:$N$810),NA()))</f>
        <v>#N/A</v>
      </c>
      <c r="M41">
        <f>IF($J41&gt;MAX('Match Log'!$A$4:$A$810),NA(),IFERROR(LOOKUP(2,1/(('Match Log'!$D$4:$D$810=$M$24)*('Match Log'!$A$4:$A$810&lt;=$J41)),'Match Log'!$N$4:$N$810),NA()))</f>
        <v>1004.2142857142857</v>
      </c>
      <c r="N41">
        <f>IF($J41&gt;MAX('Match Log'!$A$4:$A$810),NA(),IFERROR(LOOKUP(2,1/(('Match Log'!$D$4:$D$810=$N$24)*('Match Log'!$A$4:$A$810&lt;=$J41)),'Match Log'!$N$4:$N$810),NA()))</f>
        <v>1004.2142857142857</v>
      </c>
      <c r="O41">
        <f>IF($J41&gt;MAX('Match Log'!$A$4:$A$810),NA(),IFERROR(LOOKUP(2,1/(('Match Log'!$D$4:$D$810=$O$24)*('Match Log'!$A$4:$A$810&lt;=$J41)),'Match Log'!$N$4:$N$810),NA()))</f>
        <v>1059.1976953144354</v>
      </c>
      <c r="P41">
        <f>IF($J41&gt;MAX('Match Log'!$A$4:$A$810),NA(),IFERROR(LOOKUP(2,1/(('Match Log'!$D$4:$D$810=$P$24)*('Match Log'!$A$4:$A$810&lt;=$J41)),'Match Log'!$N$4:$N$810),NA()))</f>
        <v>1007.4743526549773</v>
      </c>
      <c r="Q41">
        <f>IF($J41&gt;MAX('Match Log'!$A$4:$A$810),NA(),IFERROR(LOOKUP(2,1/(('Match Log'!$D$4:$D$810=$Q$24)*('Match Log'!$A$4:$A$810&lt;=$J41)),'Match Log'!$N$4:$N$810),NA()))</f>
        <v>1004.2142857142857</v>
      </c>
      <c r="R41">
        <f>IF($J41&gt;MAX('Match Log'!$A$4:$A$810),NA(),IFERROR(LOOKUP(2,1/(('Match Log'!$D$4:$D$810=$R$24)*('Match Log'!$A$4:$A$810&lt;=$J41)),'Match Log'!$N$4:$N$810),NA()))</f>
        <v>992.01341486453282</v>
      </c>
      <c r="S41" t="e">
        <f>IF($J41&gt;MAX('Match Log'!$A$4:$A$810),NA(),IFERROR(LOOKUP(2,1/(('Match Log'!$D$4:$D$810=$S$24)*('Match Log'!$A$4:$A$810&lt;=$J41)),'Match Log'!$N$4:$N$810),NA()))</f>
        <v>#N/A</v>
      </c>
      <c r="T41">
        <f>IF($J41&gt;MAX('Match Log'!$A$4:$A$810),NA(),IFERROR(LOOKUP(2,1/(('Match Log'!$D$4:$D$810=$T$24)*('Match Log'!$A$4:$A$810&lt;=$J41)),'Match Log'!$N$4:$N$810),NA()))</f>
        <v>947.60327900388552</v>
      </c>
      <c r="U41">
        <f>IF($J41&gt;MAX('Match Log'!$A$4:$A$810),NA(),IFERROR(LOOKUP(2,1/(('Match Log'!$D$4:$D$810=$U$24)*('Match Log'!$A$4:$A$810&lt;=$J41)),'Match Log'!$N$4:$N$810),NA()))</f>
        <v>995.27348180522449</v>
      </c>
      <c r="V41" t="e">
        <f>IF($J41&gt;MAX('Match Log'!$A$4:$A$810),NA(),IFERROR(LOOKUP(2,1/(('Match Log'!$D$4:$D$810=$V$24)*('Match Log'!$A$4:$A$810&lt;=$J41)),'Match Log'!$N$4:$N$810),NA()))</f>
        <v>#N/A</v>
      </c>
      <c r="W41" t="e">
        <f>IF($J41&gt;MAX('Match Log'!$A$4:$A$810),NA(),IFERROR(LOOKUP(2,1/(('Match Log'!$D$4:$D$810=$W$24)*('Match Log'!$A$4:$A$810&lt;=$J41)),'Match Log'!$N$4:$N$810),NA()))</f>
        <v>#N/A</v>
      </c>
      <c r="X41" t="e">
        <f>IF($J41&gt;MAX('Match Log'!$A$4:$A$810),NA(),IFERROR(LOOKUP(2,1/(('Match Log'!$D$4:$D$810=$X$24)*('Match Log'!$A$4:$A$810&lt;=$J41)),'Match Log'!$N$4:$N$810),NA()))</f>
        <v>#N/A</v>
      </c>
      <c r="Y41" t="str">
        <f t="shared" ca="1" si="18"/>
        <v/>
      </c>
    </row>
    <row r="42" spans="1:25" ht="15" customHeight="1" x14ac:dyDescent="0.2">
      <c r="A42">
        <v>18</v>
      </c>
      <c r="B42" s="127">
        <f>IFERROR(INDEX('Match Log'!$B$4:$B$810,MATCH(18,'Match Log'!$A$4:$A$810,0)),"")</f>
        <v>46175</v>
      </c>
      <c r="C42" t="str">
        <f>IFERROR(INDEX('Match Log'!$C$4:$C$810,MATCH(18,'Match Log'!$A$4:$A$810,0)),"")</f>
        <v>FIFA</v>
      </c>
      <c r="D42" t="str">
        <f t="array" ref="D42">IFERROR(_xlfn.TEXTJOIN(" + ",TRUE,IF(('Match Log'!$A$4:$A$810=$A42)*('Match Log'!$E$4:$E$810="Win"),'Match Log'!$D$4:$D$810,"")),IFERROR(LOOKUP(2,1/(('Match Log'!$A$4:$A$810=$A42)*('Match Log'!$E$4:$E$810="Win")),'Match Log'!$D$4:$D$810),""))</f>
        <v>Aaron</v>
      </c>
      <c r="E42" s="128">
        <f>IFERROR(INDEX('Match Log'!$F$4:$F$810,MATCH(18,'Match Log'!$A$4:$A$810,0)),"")</f>
        <v>2</v>
      </c>
      <c r="F42">
        <f>IFERROR(SUMIFS('Match Log'!$I$4:$I$810,'Match Log'!$A$4:$A$810,18,'Match Log'!$E$4:$E$810,"Win"),"")</f>
        <v>0.57142857142857151</v>
      </c>
      <c r="G42">
        <f t="shared" si="16"/>
        <v>-0.14285714285714302</v>
      </c>
      <c r="H42" t="str">
        <f t="array" ref="H42">IFERROR(IF(COUNTIFS('Match Log'!$A$4:$A$810,$A42,'Match Log'!$E$4:$E$810,"Win")&gt;1,_xlfn.TEXTJOIN(" + ",TRUE,IF(('Match Log'!$A$4:$A$810=$A42)*('Match Log'!$E$4:$E$810="Loss"),'Match Log'!$D$4:$D$810,"")),IF($E42=2,LOOKUP(2,1/(('Match Log'!$A$4:$A$810=$A42)*('Match Log'!$E$4:$E$810="Loss")),'Match Log'!$D$4:$D$810),"the field")),"")</f>
        <v>Chase</v>
      </c>
      <c r="I42">
        <f t="shared" si="17"/>
        <v>-0.14287514285714301</v>
      </c>
      <c r="J42">
        <v>18</v>
      </c>
      <c r="K42">
        <f>IF($J42&gt;MAX('Match Log'!$A$4:$A$810),NA(),IFERROR(LOOKUP(2,1/(('Match Log'!$D$4:$D$810=$K$24)*('Match Log'!$A$4:$A$810&lt;=$J42)),'Match Log'!$N$4:$N$810),NA()))</f>
        <v>1077.7661920432645</v>
      </c>
      <c r="L42" t="e">
        <f>IF($J42&gt;MAX('Match Log'!$A$4:$A$810),NA(),IFERROR(LOOKUP(2,1/(('Match Log'!$D$4:$D$810=$L$24)*('Match Log'!$A$4:$A$810&lt;=$J42)),'Match Log'!$N$4:$N$810),NA()))</f>
        <v>#N/A</v>
      </c>
      <c r="M42">
        <f>IF($J42&gt;MAX('Match Log'!$A$4:$A$810),NA(),IFERROR(LOOKUP(2,1/(('Match Log'!$D$4:$D$810=$M$24)*('Match Log'!$A$4:$A$810&lt;=$J42)),'Match Log'!$N$4:$N$810),NA()))</f>
        <v>985.24301288510833</v>
      </c>
      <c r="N42">
        <f>IF($J42&gt;MAX('Match Log'!$A$4:$A$810),NA(),IFERROR(LOOKUP(2,1/(('Match Log'!$D$4:$D$810=$N$24)*('Match Log'!$A$4:$A$810&lt;=$J42)),'Match Log'!$N$4:$N$810),NA()))</f>
        <v>1004.2142857142857</v>
      </c>
      <c r="O42">
        <f>IF($J42&gt;MAX('Match Log'!$A$4:$A$810),NA(),IFERROR(LOOKUP(2,1/(('Match Log'!$D$4:$D$810=$O$24)*('Match Log'!$A$4:$A$810&lt;=$J42)),'Match Log'!$N$4:$N$810),NA()))</f>
        <v>1059.1976953144354</v>
      </c>
      <c r="P42">
        <f>IF($J42&gt;MAX('Match Log'!$A$4:$A$810),NA(),IFERROR(LOOKUP(2,1/(('Match Log'!$D$4:$D$810=$P$24)*('Match Log'!$A$4:$A$810&lt;=$J42)),'Match Log'!$N$4:$N$810),NA()))</f>
        <v>1007.4743526549773</v>
      </c>
      <c r="Q42">
        <f>IF($J42&gt;MAX('Match Log'!$A$4:$A$810),NA(),IFERROR(LOOKUP(2,1/(('Match Log'!$D$4:$D$810=$Q$24)*('Match Log'!$A$4:$A$810&lt;=$J42)),'Match Log'!$N$4:$N$810),NA()))</f>
        <v>1004.2142857142857</v>
      </c>
      <c r="R42">
        <f>IF($J42&gt;MAX('Match Log'!$A$4:$A$810),NA(),IFERROR(LOOKUP(2,1/(('Match Log'!$D$4:$D$810=$R$24)*('Match Log'!$A$4:$A$810&lt;=$J42)),'Match Log'!$N$4:$N$810),NA()))</f>
        <v>992.01341486453282</v>
      </c>
      <c r="S42" t="e">
        <f>IF($J42&gt;MAX('Match Log'!$A$4:$A$810),NA(),IFERROR(LOOKUP(2,1/(('Match Log'!$D$4:$D$810=$S$24)*('Match Log'!$A$4:$A$810&lt;=$J42)),'Match Log'!$N$4:$N$810),NA()))</f>
        <v>#N/A</v>
      </c>
      <c r="T42">
        <f>IF($J42&gt;MAX('Match Log'!$A$4:$A$810),NA(),IFERROR(LOOKUP(2,1/(('Match Log'!$D$4:$D$810=$T$24)*('Match Log'!$A$4:$A$810&lt;=$J42)),'Match Log'!$N$4:$N$810),NA()))</f>
        <v>947.60327900388552</v>
      </c>
      <c r="U42">
        <f>IF($J42&gt;MAX('Match Log'!$A$4:$A$810),NA(),IFERROR(LOOKUP(2,1/(('Match Log'!$D$4:$D$810=$U$24)*('Match Log'!$A$4:$A$810&lt;=$J42)),'Match Log'!$N$4:$N$810),NA()))</f>
        <v>995.27348180522449</v>
      </c>
      <c r="V42" t="e">
        <f>IF($J42&gt;MAX('Match Log'!$A$4:$A$810),NA(),IFERROR(LOOKUP(2,1/(('Match Log'!$D$4:$D$810=$V$24)*('Match Log'!$A$4:$A$810&lt;=$J42)),'Match Log'!$N$4:$N$810),NA()))</f>
        <v>#N/A</v>
      </c>
      <c r="W42" t="e">
        <f>IF($J42&gt;MAX('Match Log'!$A$4:$A$810),NA(),IFERROR(LOOKUP(2,1/(('Match Log'!$D$4:$D$810=$W$24)*('Match Log'!$A$4:$A$810&lt;=$J42)),'Match Log'!$N$4:$N$810),NA()))</f>
        <v>#N/A</v>
      </c>
      <c r="X42" t="e">
        <f>IF($J42&gt;MAX('Match Log'!$A$4:$A$810),NA(),IFERROR(LOOKUP(2,1/(('Match Log'!$D$4:$D$810=$X$24)*('Match Log'!$A$4:$A$810&lt;=$J42)),'Match Log'!$N$4:$N$810),NA()))</f>
        <v>#N/A</v>
      </c>
      <c r="Y42" t="str">
        <f t="shared" ca="1" si="18"/>
        <v/>
      </c>
    </row>
    <row r="43" spans="1:25" ht="15" customHeight="1" x14ac:dyDescent="0.2">
      <c r="A43">
        <v>19</v>
      </c>
      <c r="B43" s="127">
        <f>IFERROR(INDEX('Match Log'!$B$4:$B$810,MATCH(19,'Match Log'!$A$4:$A$810,0)),"")</f>
        <v>46175</v>
      </c>
      <c r="C43" t="str">
        <f>IFERROR(INDEX('Match Log'!$C$4:$C$810,MATCH(19,'Match Log'!$A$4:$A$810,0)),"")</f>
        <v>FIFA</v>
      </c>
      <c r="D43" t="str">
        <f t="array" ref="D43">IFERROR(_xlfn.TEXTJOIN(" + ",TRUE,IF(('Match Log'!$A$4:$A$810=$A43)*('Match Log'!$E$4:$E$810="Win"),'Match Log'!$D$4:$D$810,"")),IFERROR(LOOKUP(2,1/(('Match Log'!$A$4:$A$810=$A43)*('Match Log'!$E$4:$E$810="Win")),'Match Log'!$D$4:$D$810),""))</f>
        <v>Aaron</v>
      </c>
      <c r="E43" s="128">
        <f>IFERROR(INDEX('Match Log'!$F$4:$F$810,MATCH(19,'Match Log'!$A$4:$A$810,0)),"")</f>
        <v>2</v>
      </c>
      <c r="F43">
        <f>IFERROR(SUMIFS('Match Log'!$I$4:$I$810,'Match Log'!$A$4:$A$810,19,'Match Log'!$E$4:$E$810,"Win"),"")</f>
        <v>0.6</v>
      </c>
      <c r="G43">
        <f t="shared" si="16"/>
        <v>-0.19999999999999996</v>
      </c>
      <c r="H43" t="str">
        <f t="array" ref="H43">IFERROR(IF(COUNTIFS('Match Log'!$A$4:$A$810,$A43,'Match Log'!$E$4:$E$810,"Win")&gt;1,_xlfn.TEXTJOIN(" + ",TRUE,IF(('Match Log'!$A$4:$A$810=$A43)*('Match Log'!$E$4:$E$810="Loss"),'Match Log'!$D$4:$D$810,"")),IF($E43=2,LOOKUP(2,1/(('Match Log'!$A$4:$A$810=$A43)*('Match Log'!$E$4:$E$810="Loss")),'Match Log'!$D$4:$D$810),"the field")),"")</f>
        <v>Daniel (Ferret)</v>
      </c>
      <c r="I43">
        <f t="shared" si="17"/>
        <v>-0.20001899999999995</v>
      </c>
      <c r="J43">
        <v>19</v>
      </c>
      <c r="K43">
        <f>IF($J43&gt;MAX('Match Log'!$A$4:$A$810),NA(),IFERROR(LOOKUP(2,1/(('Match Log'!$D$4:$D$810=$K$24)*('Match Log'!$A$4:$A$810&lt;=$J43)),'Match Log'!$N$4:$N$810),NA()))</f>
        <v>1095.9194321262312</v>
      </c>
      <c r="L43" t="e">
        <f>IF($J43&gt;MAX('Match Log'!$A$4:$A$810),NA(),IFERROR(LOOKUP(2,1/(('Match Log'!$D$4:$D$810=$L$24)*('Match Log'!$A$4:$A$810&lt;=$J43)),'Match Log'!$N$4:$N$810),NA()))</f>
        <v>#N/A</v>
      </c>
      <c r="M43">
        <f>IF($J43&gt;MAX('Match Log'!$A$4:$A$810),NA(),IFERROR(LOOKUP(2,1/(('Match Log'!$D$4:$D$810=$M$24)*('Match Log'!$A$4:$A$810&lt;=$J43)),'Match Log'!$N$4:$N$810),NA()))</f>
        <v>985.24301288510833</v>
      </c>
      <c r="N43">
        <f>IF($J43&gt;MAX('Match Log'!$A$4:$A$810),NA(),IFERROR(LOOKUP(2,1/(('Match Log'!$D$4:$D$810=$N$24)*('Match Log'!$A$4:$A$810&lt;=$J43)),'Match Log'!$N$4:$N$810),NA()))</f>
        <v>1004.2142857142857</v>
      </c>
      <c r="O43">
        <f>IF($J43&gt;MAX('Match Log'!$A$4:$A$810),NA(),IFERROR(LOOKUP(2,1/(('Match Log'!$D$4:$D$810=$O$24)*('Match Log'!$A$4:$A$810&lt;=$J43)),'Match Log'!$N$4:$N$810),NA()))</f>
        <v>1059.1976953144354</v>
      </c>
      <c r="P43">
        <f>IF($J43&gt;MAX('Match Log'!$A$4:$A$810),NA(),IFERROR(LOOKUP(2,1/(('Match Log'!$D$4:$D$810=$P$24)*('Match Log'!$A$4:$A$810&lt;=$J43)),'Match Log'!$N$4:$N$810),NA()))</f>
        <v>1007.4743526549773</v>
      </c>
      <c r="Q43">
        <f>IF($J43&gt;MAX('Match Log'!$A$4:$A$810),NA(),IFERROR(LOOKUP(2,1/(('Match Log'!$D$4:$D$810=$Q$24)*('Match Log'!$A$4:$A$810&lt;=$J43)),'Match Log'!$N$4:$N$810),NA()))</f>
        <v>1004.2142857142857</v>
      </c>
      <c r="R43">
        <f>IF($J43&gt;MAX('Match Log'!$A$4:$A$810),NA(),IFERROR(LOOKUP(2,1/(('Match Log'!$D$4:$D$810=$R$24)*('Match Log'!$A$4:$A$810&lt;=$J43)),'Match Log'!$N$4:$N$810),NA()))</f>
        <v>973.86017478156612</v>
      </c>
      <c r="S43" t="e">
        <f>IF($J43&gt;MAX('Match Log'!$A$4:$A$810),NA(),IFERROR(LOOKUP(2,1/(('Match Log'!$D$4:$D$810=$S$24)*('Match Log'!$A$4:$A$810&lt;=$J43)),'Match Log'!$N$4:$N$810),NA()))</f>
        <v>#N/A</v>
      </c>
      <c r="T43">
        <f>IF($J43&gt;MAX('Match Log'!$A$4:$A$810),NA(),IFERROR(LOOKUP(2,1/(('Match Log'!$D$4:$D$810=$T$24)*('Match Log'!$A$4:$A$810&lt;=$J43)),'Match Log'!$N$4:$N$810),NA()))</f>
        <v>947.60327900388552</v>
      </c>
      <c r="U43">
        <f>IF($J43&gt;MAX('Match Log'!$A$4:$A$810),NA(),IFERROR(LOOKUP(2,1/(('Match Log'!$D$4:$D$810=$U$24)*('Match Log'!$A$4:$A$810&lt;=$J43)),'Match Log'!$N$4:$N$810),NA()))</f>
        <v>995.27348180522449</v>
      </c>
      <c r="V43" t="e">
        <f>IF($J43&gt;MAX('Match Log'!$A$4:$A$810),NA(),IFERROR(LOOKUP(2,1/(('Match Log'!$D$4:$D$810=$V$24)*('Match Log'!$A$4:$A$810&lt;=$J43)),'Match Log'!$N$4:$N$810),NA()))</f>
        <v>#N/A</v>
      </c>
      <c r="W43" t="e">
        <f>IF($J43&gt;MAX('Match Log'!$A$4:$A$810),NA(),IFERROR(LOOKUP(2,1/(('Match Log'!$D$4:$D$810=$W$24)*('Match Log'!$A$4:$A$810&lt;=$J43)),'Match Log'!$N$4:$N$810),NA()))</f>
        <v>#N/A</v>
      </c>
      <c r="X43" t="e">
        <f>IF($J43&gt;MAX('Match Log'!$A$4:$A$810),NA(),IFERROR(LOOKUP(2,1/(('Match Log'!$D$4:$D$810=$X$24)*('Match Log'!$A$4:$A$810&lt;=$J43)),'Match Log'!$N$4:$N$810),NA()))</f>
        <v>#N/A</v>
      </c>
      <c r="Y43" t="str">
        <f t="shared" ca="1" si="18"/>
        <v/>
      </c>
    </row>
    <row r="44" spans="1:25" ht="15" customHeight="1" x14ac:dyDescent="0.2">
      <c r="A44">
        <v>20</v>
      </c>
      <c r="B44" s="127">
        <f>IFERROR(INDEX('Match Log'!$B$4:$B$810,MATCH(20,'Match Log'!$A$4:$A$810,0)),"")</f>
        <v>46175</v>
      </c>
      <c r="C44" t="str">
        <f>IFERROR(INDEX('Match Log'!$C$4:$C$810,MATCH(20,'Match Log'!$A$4:$A$810,0)),"")</f>
        <v>Mario Kart</v>
      </c>
      <c r="D44" t="str">
        <f t="array" ref="D44">IFERROR(_xlfn.TEXTJOIN(" + ",TRUE,IF(('Match Log'!$A$4:$A$810=$A44)*('Match Log'!$E$4:$E$810="Win"),'Match Log'!$D$4:$D$810,"")),IFERROR(LOOKUP(2,1/(('Match Log'!$A$4:$A$810=$A44)*('Match Log'!$E$4:$E$810="Win")),'Match Log'!$D$4:$D$810),""))</f>
        <v>Chase</v>
      </c>
      <c r="E44" s="128">
        <f>IFERROR(INDEX('Match Log'!$F$4:$F$810,MATCH(20,'Match Log'!$A$4:$A$810,0)),"")</f>
        <v>2</v>
      </c>
      <c r="F44">
        <f>IFERROR(SUMIFS('Match Log'!$I$4:$I$810,'Match Log'!$A$4:$A$810,20,'Match Log'!$E$4:$E$810,"Win"),"")</f>
        <v>0.5</v>
      </c>
      <c r="G44">
        <f t="shared" si="16"/>
        <v>0</v>
      </c>
      <c r="H44" t="str">
        <f t="array" ref="H44">IFERROR(IF(COUNTIFS('Match Log'!$A$4:$A$810,$A44,'Match Log'!$E$4:$E$810,"Win")&gt;1,_xlfn.TEXTJOIN(" + ",TRUE,IF(('Match Log'!$A$4:$A$810=$A44)*('Match Log'!$E$4:$E$810="Loss"),'Match Log'!$D$4:$D$810,"")),IF($E44=2,LOOKUP(2,1/(('Match Log'!$A$4:$A$810=$A44)*('Match Log'!$E$4:$E$810="Loss")),'Match Log'!$D$4:$D$810),"the field")),"")</f>
        <v>Daniel (Ferret)</v>
      </c>
      <c r="I44">
        <f t="shared" si="17"/>
        <v>-2.0000000000000002E-5</v>
      </c>
      <c r="J44">
        <v>20</v>
      </c>
      <c r="K44">
        <f>IF($J44&gt;MAX('Match Log'!$A$4:$A$810),NA(),IFERROR(LOOKUP(2,1/(('Match Log'!$D$4:$D$810=$K$24)*('Match Log'!$A$4:$A$810&lt;=$J44)),'Match Log'!$N$4:$N$810),NA()))</f>
        <v>1095.9194321262312</v>
      </c>
      <c r="L44" t="e">
        <f>IF($J44&gt;MAX('Match Log'!$A$4:$A$810),NA(),IFERROR(LOOKUP(2,1/(('Match Log'!$D$4:$D$810=$L$24)*('Match Log'!$A$4:$A$810&lt;=$J44)),'Match Log'!$N$4:$N$810),NA()))</f>
        <v>#N/A</v>
      </c>
      <c r="M44">
        <f>IF($J44&gt;MAX('Match Log'!$A$4:$A$810),NA(),IFERROR(LOOKUP(2,1/(('Match Log'!$D$4:$D$810=$M$24)*('Match Log'!$A$4:$A$810&lt;=$J44)),'Match Log'!$N$4:$N$810),NA()))</f>
        <v>1006.7190012924622</v>
      </c>
      <c r="N44">
        <f>IF($J44&gt;MAX('Match Log'!$A$4:$A$810),NA(),IFERROR(LOOKUP(2,1/(('Match Log'!$D$4:$D$810=$N$24)*('Match Log'!$A$4:$A$810&lt;=$J44)),'Match Log'!$N$4:$N$810),NA()))</f>
        <v>1004.2142857142857</v>
      </c>
      <c r="O44">
        <f>IF($J44&gt;MAX('Match Log'!$A$4:$A$810),NA(),IFERROR(LOOKUP(2,1/(('Match Log'!$D$4:$D$810=$O$24)*('Match Log'!$A$4:$A$810&lt;=$J44)),'Match Log'!$N$4:$N$810),NA()))</f>
        <v>1059.1976953144354</v>
      </c>
      <c r="P44">
        <f>IF($J44&gt;MAX('Match Log'!$A$4:$A$810),NA(),IFERROR(LOOKUP(2,1/(('Match Log'!$D$4:$D$810=$P$24)*('Match Log'!$A$4:$A$810&lt;=$J44)),'Match Log'!$N$4:$N$810),NA()))</f>
        <v>1007.4743526549773</v>
      </c>
      <c r="Q44">
        <f>IF($J44&gt;MAX('Match Log'!$A$4:$A$810),NA(),IFERROR(LOOKUP(2,1/(('Match Log'!$D$4:$D$810=$Q$24)*('Match Log'!$A$4:$A$810&lt;=$J44)),'Match Log'!$N$4:$N$810),NA()))</f>
        <v>1004.2142857142857</v>
      </c>
      <c r="R44">
        <f>IF($J44&gt;MAX('Match Log'!$A$4:$A$810),NA(),IFERROR(LOOKUP(2,1/(('Match Log'!$D$4:$D$810=$R$24)*('Match Log'!$A$4:$A$810&lt;=$J44)),'Match Log'!$N$4:$N$810),NA()))</f>
        <v>952.38418637421228</v>
      </c>
      <c r="S44" t="e">
        <f>IF($J44&gt;MAX('Match Log'!$A$4:$A$810),NA(),IFERROR(LOOKUP(2,1/(('Match Log'!$D$4:$D$810=$S$24)*('Match Log'!$A$4:$A$810&lt;=$J44)),'Match Log'!$N$4:$N$810),NA()))</f>
        <v>#N/A</v>
      </c>
      <c r="T44">
        <f>IF($J44&gt;MAX('Match Log'!$A$4:$A$810),NA(),IFERROR(LOOKUP(2,1/(('Match Log'!$D$4:$D$810=$T$24)*('Match Log'!$A$4:$A$810&lt;=$J44)),'Match Log'!$N$4:$N$810),NA()))</f>
        <v>947.60327900388552</v>
      </c>
      <c r="U44">
        <f>IF($J44&gt;MAX('Match Log'!$A$4:$A$810),NA(),IFERROR(LOOKUP(2,1/(('Match Log'!$D$4:$D$810=$U$24)*('Match Log'!$A$4:$A$810&lt;=$J44)),'Match Log'!$N$4:$N$810),NA()))</f>
        <v>995.27348180522449</v>
      </c>
      <c r="V44" t="e">
        <f>IF($J44&gt;MAX('Match Log'!$A$4:$A$810),NA(),IFERROR(LOOKUP(2,1/(('Match Log'!$D$4:$D$810=$V$24)*('Match Log'!$A$4:$A$810&lt;=$J44)),'Match Log'!$N$4:$N$810),NA()))</f>
        <v>#N/A</v>
      </c>
      <c r="W44" t="e">
        <f>IF($J44&gt;MAX('Match Log'!$A$4:$A$810),NA(),IFERROR(LOOKUP(2,1/(('Match Log'!$D$4:$D$810=$W$24)*('Match Log'!$A$4:$A$810&lt;=$J44)),'Match Log'!$N$4:$N$810),NA()))</f>
        <v>#N/A</v>
      </c>
      <c r="X44" t="e">
        <f>IF($J44&gt;MAX('Match Log'!$A$4:$A$810),NA(),IFERROR(LOOKUP(2,1/(('Match Log'!$D$4:$D$810=$X$24)*('Match Log'!$A$4:$A$810&lt;=$J44)),'Match Log'!$N$4:$N$810),NA()))</f>
        <v>#N/A</v>
      </c>
      <c r="Y44" t="str">
        <f t="shared" ca="1" si="18"/>
        <v/>
      </c>
    </row>
    <row r="45" spans="1:25" ht="15" customHeight="1" x14ac:dyDescent="0.2">
      <c r="A45">
        <v>21</v>
      </c>
      <c r="B45" s="127">
        <f>IFERROR(INDEX('Match Log'!$B$4:$B$810,MATCH(21,'Match Log'!$A$4:$A$810,0)),"")</f>
        <v>46175</v>
      </c>
      <c r="C45" t="str">
        <f>IFERROR(INDEX('Match Log'!$C$4:$C$810,MATCH(21,'Match Log'!$A$4:$A$810,0)),"")</f>
        <v>Mario Kart</v>
      </c>
      <c r="D45" t="str">
        <f t="array" ref="D45">IFERROR(_xlfn.TEXTJOIN(" + ",TRUE,IF(('Match Log'!$A$4:$A$810=$A45)*('Match Log'!$E$4:$E$810="Win"),'Match Log'!$D$4:$D$810,"")),IFERROR(LOOKUP(2,1/(('Match Log'!$A$4:$A$810=$A45)*('Match Log'!$E$4:$E$810="Win")),'Match Log'!$D$4:$D$810),""))</f>
        <v>Chase</v>
      </c>
      <c r="E45" s="128">
        <f>IFERROR(INDEX('Match Log'!$F$4:$F$810,MATCH(21,'Match Log'!$A$4:$A$810,0)),"")</f>
        <v>2</v>
      </c>
      <c r="F45">
        <f>IFERROR(SUMIFS('Match Log'!$I$4:$I$810,'Match Log'!$A$4:$A$810,21,'Match Log'!$E$4:$E$810,"Win"),"")</f>
        <v>0.66666666666666663</v>
      </c>
      <c r="G45">
        <f t="shared" si="16"/>
        <v>-0.33333333333333326</v>
      </c>
      <c r="H45" t="str">
        <f t="array" ref="H45">IFERROR(IF(COUNTIFS('Match Log'!$A$4:$A$810,$A45,'Match Log'!$E$4:$E$810,"Win")&gt;1,_xlfn.TEXTJOIN(" + ",TRUE,IF(('Match Log'!$A$4:$A$810=$A45)*('Match Log'!$E$4:$E$810="Loss"),'Match Log'!$D$4:$D$810,"")),IF($E45=2,LOOKUP(2,1/(('Match Log'!$A$4:$A$810=$A45)*('Match Log'!$E$4:$E$810="Loss")),'Match Log'!$D$4:$D$810),"the field")),"")</f>
        <v>Daniel (Ferret)</v>
      </c>
      <c r="I45">
        <f t="shared" si="17"/>
        <v>-0.33335433333333325</v>
      </c>
      <c r="J45">
        <v>21</v>
      </c>
      <c r="K45">
        <f>IF($J45&gt;MAX('Match Log'!$A$4:$A$810),NA(),IFERROR(LOOKUP(2,1/(('Match Log'!$D$4:$D$810=$K$24)*('Match Log'!$A$4:$A$810&lt;=$J45)),'Match Log'!$N$4:$N$810),NA()))</f>
        <v>1095.9194321262312</v>
      </c>
      <c r="L45" t="e">
        <f>IF($J45&gt;MAX('Match Log'!$A$4:$A$810),NA(),IFERROR(LOOKUP(2,1/(('Match Log'!$D$4:$D$810=$L$24)*('Match Log'!$A$4:$A$810&lt;=$J45)),'Match Log'!$N$4:$N$810),NA()))</f>
        <v>#N/A</v>
      </c>
      <c r="M45">
        <f>IF($J45&gt;MAX('Match Log'!$A$4:$A$810),NA(),IFERROR(LOOKUP(2,1/(('Match Log'!$D$4:$D$810=$M$24)*('Match Log'!$A$4:$A$810&lt;=$J45)),'Match Log'!$N$4:$N$810),NA()))</f>
        <v>1024.4045650142041</v>
      </c>
      <c r="N45">
        <f>IF($J45&gt;MAX('Match Log'!$A$4:$A$810),NA(),IFERROR(LOOKUP(2,1/(('Match Log'!$D$4:$D$810=$N$24)*('Match Log'!$A$4:$A$810&lt;=$J45)),'Match Log'!$N$4:$N$810),NA()))</f>
        <v>1004.2142857142857</v>
      </c>
      <c r="O45">
        <f>IF($J45&gt;MAX('Match Log'!$A$4:$A$810),NA(),IFERROR(LOOKUP(2,1/(('Match Log'!$D$4:$D$810=$O$24)*('Match Log'!$A$4:$A$810&lt;=$J45)),'Match Log'!$N$4:$N$810),NA()))</f>
        <v>1059.1976953144354</v>
      </c>
      <c r="P45">
        <f>IF($J45&gt;MAX('Match Log'!$A$4:$A$810),NA(),IFERROR(LOOKUP(2,1/(('Match Log'!$D$4:$D$810=$P$24)*('Match Log'!$A$4:$A$810&lt;=$J45)),'Match Log'!$N$4:$N$810),NA()))</f>
        <v>1007.4743526549773</v>
      </c>
      <c r="Q45">
        <f>IF($J45&gt;MAX('Match Log'!$A$4:$A$810),NA(),IFERROR(LOOKUP(2,1/(('Match Log'!$D$4:$D$810=$Q$24)*('Match Log'!$A$4:$A$810&lt;=$J45)),'Match Log'!$N$4:$N$810),NA()))</f>
        <v>1004.2142857142857</v>
      </c>
      <c r="R45">
        <f>IF($J45&gt;MAX('Match Log'!$A$4:$A$810),NA(),IFERROR(LOOKUP(2,1/(('Match Log'!$D$4:$D$810=$R$24)*('Match Log'!$A$4:$A$810&lt;=$J45)),'Match Log'!$N$4:$N$810),NA()))</f>
        <v>934.69862265247025</v>
      </c>
      <c r="S45" t="e">
        <f>IF($J45&gt;MAX('Match Log'!$A$4:$A$810),NA(),IFERROR(LOOKUP(2,1/(('Match Log'!$D$4:$D$810=$S$24)*('Match Log'!$A$4:$A$810&lt;=$J45)),'Match Log'!$N$4:$N$810),NA()))</f>
        <v>#N/A</v>
      </c>
      <c r="T45">
        <f>IF($J45&gt;MAX('Match Log'!$A$4:$A$810),NA(),IFERROR(LOOKUP(2,1/(('Match Log'!$D$4:$D$810=$T$24)*('Match Log'!$A$4:$A$810&lt;=$J45)),'Match Log'!$N$4:$N$810),NA()))</f>
        <v>947.60327900388552</v>
      </c>
      <c r="U45">
        <f>IF($J45&gt;MAX('Match Log'!$A$4:$A$810),NA(),IFERROR(LOOKUP(2,1/(('Match Log'!$D$4:$D$810=$U$24)*('Match Log'!$A$4:$A$810&lt;=$J45)),'Match Log'!$N$4:$N$810),NA()))</f>
        <v>995.27348180522449</v>
      </c>
      <c r="V45" t="e">
        <f>IF($J45&gt;MAX('Match Log'!$A$4:$A$810),NA(),IFERROR(LOOKUP(2,1/(('Match Log'!$D$4:$D$810=$V$24)*('Match Log'!$A$4:$A$810&lt;=$J45)),'Match Log'!$N$4:$N$810),NA()))</f>
        <v>#N/A</v>
      </c>
      <c r="W45" t="e">
        <f>IF($J45&gt;MAX('Match Log'!$A$4:$A$810),NA(),IFERROR(LOOKUP(2,1/(('Match Log'!$D$4:$D$810=$W$24)*('Match Log'!$A$4:$A$810&lt;=$J45)),'Match Log'!$N$4:$N$810),NA()))</f>
        <v>#N/A</v>
      </c>
      <c r="X45" t="e">
        <f>IF($J45&gt;MAX('Match Log'!$A$4:$A$810),NA(),IFERROR(LOOKUP(2,1/(('Match Log'!$D$4:$D$810=$X$24)*('Match Log'!$A$4:$A$810&lt;=$J45)),'Match Log'!$N$4:$N$810),NA()))</f>
        <v>#N/A</v>
      </c>
      <c r="Y45" t="str">
        <f t="shared" ca="1" si="18"/>
        <v/>
      </c>
    </row>
    <row r="46" spans="1:25" ht="15" customHeight="1" x14ac:dyDescent="0.2">
      <c r="A46">
        <v>22</v>
      </c>
      <c r="B46" s="127">
        <f>IFERROR(INDEX('Match Log'!$B$4:$B$810,MATCH(22,'Match Log'!$A$4:$A$810,0)),"")</f>
        <v>46175</v>
      </c>
      <c r="C46" t="str">
        <f>IFERROR(INDEX('Match Log'!$C$4:$C$810,MATCH(22,'Match Log'!$A$4:$A$810,0)),"")</f>
        <v>Mario Kart</v>
      </c>
      <c r="D46" t="str">
        <f t="array" ref="D46">IFERROR(_xlfn.TEXTJOIN(" + ",TRUE,IF(('Match Log'!$A$4:$A$810=$A46)*('Match Log'!$E$4:$E$810="Win"),'Match Log'!$D$4:$D$810,"")),IFERROR(LOOKUP(2,1/(('Match Log'!$A$4:$A$810=$A46)*('Match Log'!$E$4:$E$810="Win")),'Match Log'!$D$4:$D$810),""))</f>
        <v>Chase</v>
      </c>
      <c r="E46" s="128">
        <f>IFERROR(INDEX('Match Log'!$F$4:$F$810,MATCH(22,'Match Log'!$A$4:$A$810,0)),"")</f>
        <v>2</v>
      </c>
      <c r="F46">
        <f>IFERROR(SUMIFS('Match Log'!$I$4:$I$810,'Match Log'!$A$4:$A$810,22,'Match Log'!$E$4:$E$810,"Win"),"")</f>
        <v>0.75</v>
      </c>
      <c r="G46">
        <f t="shared" si="16"/>
        <v>-0.5</v>
      </c>
      <c r="H46" t="str">
        <f t="array" ref="H46">IFERROR(IF(COUNTIFS('Match Log'!$A$4:$A$810,$A46,'Match Log'!$E$4:$E$810,"Win")&gt;1,_xlfn.TEXTJOIN(" + ",TRUE,IF(('Match Log'!$A$4:$A$810=$A46)*('Match Log'!$E$4:$E$810="Loss"),'Match Log'!$D$4:$D$810,"")),IF($E46=2,LOOKUP(2,1/(('Match Log'!$A$4:$A$810=$A46)*('Match Log'!$E$4:$E$810="Loss")),'Match Log'!$D$4:$D$810),"the field")),"")</f>
        <v>Daniel (Ferret)</v>
      </c>
      <c r="I46">
        <f t="shared" si="17"/>
        <v>-0.50002199999999997</v>
      </c>
      <c r="J46">
        <v>22</v>
      </c>
      <c r="K46">
        <f>IF($J46&gt;MAX('Match Log'!$A$4:$A$810),NA(),IFERROR(LOOKUP(2,1/(('Match Log'!$D$4:$D$810=$K$24)*('Match Log'!$A$4:$A$810&lt;=$J46)),'Match Log'!$N$4:$N$810),NA()))</f>
        <v>1095.9194321262312</v>
      </c>
      <c r="L46" t="e">
        <f>IF($J46&gt;MAX('Match Log'!$A$4:$A$810),NA(),IFERROR(LOOKUP(2,1/(('Match Log'!$D$4:$D$810=$L$24)*('Match Log'!$A$4:$A$810&lt;=$J46)),'Match Log'!$N$4:$N$810),NA()))</f>
        <v>#N/A</v>
      </c>
      <c r="M46">
        <f>IF($J46&gt;MAX('Match Log'!$A$4:$A$810),NA(),IFERROR(LOOKUP(2,1/(('Match Log'!$D$4:$D$810=$M$24)*('Match Log'!$A$4:$A$810&lt;=$J46)),'Match Log'!$N$4:$N$810),NA()))</f>
        <v>1039.717765276112</v>
      </c>
      <c r="N46">
        <f>IF($J46&gt;MAX('Match Log'!$A$4:$A$810),NA(),IFERROR(LOOKUP(2,1/(('Match Log'!$D$4:$D$810=$N$24)*('Match Log'!$A$4:$A$810&lt;=$J46)),'Match Log'!$N$4:$N$810),NA()))</f>
        <v>1004.2142857142857</v>
      </c>
      <c r="O46">
        <f>IF($J46&gt;MAX('Match Log'!$A$4:$A$810),NA(),IFERROR(LOOKUP(2,1/(('Match Log'!$D$4:$D$810=$O$24)*('Match Log'!$A$4:$A$810&lt;=$J46)),'Match Log'!$N$4:$N$810),NA()))</f>
        <v>1059.1976953144354</v>
      </c>
      <c r="P46">
        <f>IF($J46&gt;MAX('Match Log'!$A$4:$A$810),NA(),IFERROR(LOOKUP(2,1/(('Match Log'!$D$4:$D$810=$P$24)*('Match Log'!$A$4:$A$810&lt;=$J46)),'Match Log'!$N$4:$N$810),NA()))</f>
        <v>1007.4743526549773</v>
      </c>
      <c r="Q46">
        <f>IF($J46&gt;MAX('Match Log'!$A$4:$A$810),NA(),IFERROR(LOOKUP(2,1/(('Match Log'!$D$4:$D$810=$Q$24)*('Match Log'!$A$4:$A$810&lt;=$J46)),'Match Log'!$N$4:$N$810),NA()))</f>
        <v>1004.2142857142857</v>
      </c>
      <c r="R46">
        <f>IF($J46&gt;MAX('Match Log'!$A$4:$A$810),NA(),IFERROR(LOOKUP(2,1/(('Match Log'!$D$4:$D$810=$R$24)*('Match Log'!$A$4:$A$810&lt;=$J46)),'Match Log'!$N$4:$N$810),NA()))</f>
        <v>919.38542239056233</v>
      </c>
      <c r="S46" t="e">
        <f>IF($J46&gt;MAX('Match Log'!$A$4:$A$810),NA(),IFERROR(LOOKUP(2,1/(('Match Log'!$D$4:$D$810=$S$24)*('Match Log'!$A$4:$A$810&lt;=$J46)),'Match Log'!$N$4:$N$810),NA()))</f>
        <v>#N/A</v>
      </c>
      <c r="T46">
        <f>IF($J46&gt;MAX('Match Log'!$A$4:$A$810),NA(),IFERROR(LOOKUP(2,1/(('Match Log'!$D$4:$D$810=$T$24)*('Match Log'!$A$4:$A$810&lt;=$J46)),'Match Log'!$N$4:$N$810),NA()))</f>
        <v>947.60327900388552</v>
      </c>
      <c r="U46">
        <f>IF($J46&gt;MAX('Match Log'!$A$4:$A$810),NA(),IFERROR(LOOKUP(2,1/(('Match Log'!$D$4:$D$810=$U$24)*('Match Log'!$A$4:$A$810&lt;=$J46)),'Match Log'!$N$4:$N$810),NA()))</f>
        <v>995.27348180522449</v>
      </c>
      <c r="V46" t="e">
        <f>IF($J46&gt;MAX('Match Log'!$A$4:$A$810),NA(),IFERROR(LOOKUP(2,1/(('Match Log'!$D$4:$D$810=$V$24)*('Match Log'!$A$4:$A$810&lt;=$J46)),'Match Log'!$N$4:$N$810),NA()))</f>
        <v>#N/A</v>
      </c>
      <c r="W46" t="e">
        <f>IF($J46&gt;MAX('Match Log'!$A$4:$A$810),NA(),IFERROR(LOOKUP(2,1/(('Match Log'!$D$4:$D$810=$W$24)*('Match Log'!$A$4:$A$810&lt;=$J46)),'Match Log'!$N$4:$N$810),NA()))</f>
        <v>#N/A</v>
      </c>
      <c r="X46" t="e">
        <f>IF($J46&gt;MAX('Match Log'!$A$4:$A$810),NA(),IFERROR(LOOKUP(2,1/(('Match Log'!$D$4:$D$810=$X$24)*('Match Log'!$A$4:$A$810&lt;=$J46)),'Match Log'!$N$4:$N$810),NA()))</f>
        <v>#N/A</v>
      </c>
      <c r="Y46" t="str">
        <f t="shared" ca="1" si="18"/>
        <v/>
      </c>
    </row>
    <row r="47" spans="1:25" ht="15" customHeight="1" x14ac:dyDescent="0.2">
      <c r="A47">
        <v>23</v>
      </c>
      <c r="B47" s="127">
        <f>IFERROR(INDEX('Match Log'!$B$4:$B$810,MATCH(23,'Match Log'!$A$4:$A$810,0)),"")</f>
        <v>46175</v>
      </c>
      <c r="C47" t="str">
        <f>IFERROR(INDEX('Match Log'!$C$4:$C$810,MATCH(23,'Match Log'!$A$4:$A$810,0)),"")</f>
        <v>Mario Kart</v>
      </c>
      <c r="D47" t="str">
        <f t="array" ref="D47">IFERROR(_xlfn.TEXTJOIN(" + ",TRUE,IF(('Match Log'!$A$4:$A$810=$A47)*('Match Log'!$E$4:$E$810="Win"),'Match Log'!$D$4:$D$810,"")),IFERROR(LOOKUP(2,1/(('Match Log'!$A$4:$A$810=$A47)*('Match Log'!$E$4:$E$810="Win")),'Match Log'!$D$4:$D$810),""))</f>
        <v>Chase</v>
      </c>
      <c r="E47" s="128">
        <f>IFERROR(INDEX('Match Log'!$F$4:$F$810,MATCH(23,'Match Log'!$A$4:$A$810,0)),"")</f>
        <v>2</v>
      </c>
      <c r="F47">
        <f>IFERROR(SUMIFS('Match Log'!$I$4:$I$810,'Match Log'!$A$4:$A$810,23,'Match Log'!$E$4:$E$810,"Win"),"")</f>
        <v>0.8</v>
      </c>
      <c r="G47">
        <f t="shared" si="16"/>
        <v>-0.60000000000000009</v>
      </c>
      <c r="H47" t="str">
        <f t="array" ref="H47">IFERROR(IF(COUNTIFS('Match Log'!$A$4:$A$810,$A47,'Match Log'!$E$4:$E$810,"Win")&gt;1,_xlfn.TEXTJOIN(" + ",TRUE,IF(('Match Log'!$A$4:$A$810=$A47)*('Match Log'!$E$4:$E$810="Loss"),'Match Log'!$D$4:$D$810,"")),IF($E47=2,LOOKUP(2,1/(('Match Log'!$A$4:$A$810=$A47)*('Match Log'!$E$4:$E$810="Loss")),'Match Log'!$D$4:$D$810),"the field")),"")</f>
        <v>Daniel (Ferret)</v>
      </c>
      <c r="I47">
        <f t="shared" si="17"/>
        <v>-0.60002300000000008</v>
      </c>
      <c r="J47">
        <v>23</v>
      </c>
      <c r="K47">
        <f>IF($J47&gt;MAX('Match Log'!$A$4:$A$810),NA(),IFERROR(LOOKUP(2,1/(('Match Log'!$D$4:$D$810=$K$24)*('Match Log'!$A$4:$A$810&lt;=$J47)),'Match Log'!$N$4:$N$810),NA()))</f>
        <v>1095.9194321262312</v>
      </c>
      <c r="L47" t="e">
        <f>IF($J47&gt;MAX('Match Log'!$A$4:$A$810),NA(),IFERROR(LOOKUP(2,1/(('Match Log'!$D$4:$D$810=$L$24)*('Match Log'!$A$4:$A$810&lt;=$J47)),'Match Log'!$N$4:$N$810),NA()))</f>
        <v>#N/A</v>
      </c>
      <c r="M47">
        <f>IF($J47&gt;MAX('Match Log'!$A$4:$A$810),NA(),IFERROR(LOOKUP(2,1/(('Match Log'!$D$4:$D$810=$M$24)*('Match Log'!$A$4:$A$810&lt;=$J47)),'Match Log'!$N$4:$N$810),NA()))</f>
        <v>1053.2976607677983</v>
      </c>
      <c r="N47">
        <f>IF($J47&gt;MAX('Match Log'!$A$4:$A$810),NA(),IFERROR(LOOKUP(2,1/(('Match Log'!$D$4:$D$810=$N$24)*('Match Log'!$A$4:$A$810&lt;=$J47)),'Match Log'!$N$4:$N$810),NA()))</f>
        <v>1004.2142857142857</v>
      </c>
      <c r="O47">
        <f>IF($J47&gt;MAX('Match Log'!$A$4:$A$810),NA(),IFERROR(LOOKUP(2,1/(('Match Log'!$D$4:$D$810=$O$24)*('Match Log'!$A$4:$A$810&lt;=$J47)),'Match Log'!$N$4:$N$810),NA()))</f>
        <v>1059.1976953144354</v>
      </c>
      <c r="P47">
        <f>IF($J47&gt;MAX('Match Log'!$A$4:$A$810),NA(),IFERROR(LOOKUP(2,1/(('Match Log'!$D$4:$D$810=$P$24)*('Match Log'!$A$4:$A$810&lt;=$J47)),'Match Log'!$N$4:$N$810),NA()))</f>
        <v>1007.4743526549773</v>
      </c>
      <c r="Q47">
        <f>IF($J47&gt;MAX('Match Log'!$A$4:$A$810),NA(),IFERROR(LOOKUP(2,1/(('Match Log'!$D$4:$D$810=$Q$24)*('Match Log'!$A$4:$A$810&lt;=$J47)),'Match Log'!$N$4:$N$810),NA()))</f>
        <v>1004.2142857142857</v>
      </c>
      <c r="R47">
        <f>IF($J47&gt;MAX('Match Log'!$A$4:$A$810),NA(),IFERROR(LOOKUP(2,1/(('Match Log'!$D$4:$D$810=$R$24)*('Match Log'!$A$4:$A$810&lt;=$J47)),'Match Log'!$N$4:$N$810),NA()))</f>
        <v>905.80552689887611</v>
      </c>
      <c r="S47" t="e">
        <f>IF($J47&gt;MAX('Match Log'!$A$4:$A$810),NA(),IFERROR(LOOKUP(2,1/(('Match Log'!$D$4:$D$810=$S$24)*('Match Log'!$A$4:$A$810&lt;=$J47)),'Match Log'!$N$4:$N$810),NA()))</f>
        <v>#N/A</v>
      </c>
      <c r="T47">
        <f>IF($J47&gt;MAX('Match Log'!$A$4:$A$810),NA(),IFERROR(LOOKUP(2,1/(('Match Log'!$D$4:$D$810=$T$24)*('Match Log'!$A$4:$A$810&lt;=$J47)),'Match Log'!$N$4:$N$810),NA()))</f>
        <v>947.60327900388552</v>
      </c>
      <c r="U47">
        <f>IF($J47&gt;MAX('Match Log'!$A$4:$A$810),NA(),IFERROR(LOOKUP(2,1/(('Match Log'!$D$4:$D$810=$U$24)*('Match Log'!$A$4:$A$810&lt;=$J47)),'Match Log'!$N$4:$N$810),NA()))</f>
        <v>995.27348180522449</v>
      </c>
      <c r="V47" t="e">
        <f>IF($J47&gt;MAX('Match Log'!$A$4:$A$810),NA(),IFERROR(LOOKUP(2,1/(('Match Log'!$D$4:$D$810=$V$24)*('Match Log'!$A$4:$A$810&lt;=$J47)),'Match Log'!$N$4:$N$810),NA()))</f>
        <v>#N/A</v>
      </c>
      <c r="W47" t="e">
        <f>IF($J47&gt;MAX('Match Log'!$A$4:$A$810),NA(),IFERROR(LOOKUP(2,1/(('Match Log'!$D$4:$D$810=$W$24)*('Match Log'!$A$4:$A$810&lt;=$J47)),'Match Log'!$N$4:$N$810),NA()))</f>
        <v>#N/A</v>
      </c>
      <c r="X47" t="e">
        <f>IF($J47&gt;MAX('Match Log'!$A$4:$A$810),NA(),IFERROR(LOOKUP(2,1/(('Match Log'!$D$4:$D$810=$X$24)*('Match Log'!$A$4:$A$810&lt;=$J47)),'Match Log'!$N$4:$N$810),NA()))</f>
        <v>#N/A</v>
      </c>
      <c r="Y47" t="str">
        <f t="shared" ca="1" si="18"/>
        <v/>
      </c>
    </row>
    <row r="48" spans="1:25" ht="15" customHeight="1" x14ac:dyDescent="0.2">
      <c r="A48">
        <v>24</v>
      </c>
      <c r="B48" s="127">
        <f>IFERROR(INDEX('Match Log'!$B$4:$B$810,MATCH(24,'Match Log'!$A$4:$A$810,0)),"")</f>
        <v>46175</v>
      </c>
      <c r="C48" t="str">
        <f>IFERROR(INDEX('Match Log'!$C$4:$C$810,MATCH(24,'Match Log'!$A$4:$A$810,0)),"")</f>
        <v>Table Tennis</v>
      </c>
      <c r="D48" t="str">
        <f t="array" ref="D48">IFERROR(_xlfn.TEXTJOIN(" + ",TRUE,IF(('Match Log'!$A$4:$A$810=$A48)*('Match Log'!$E$4:$E$810="Win"),'Match Log'!$D$4:$D$810,"")),IFERROR(LOOKUP(2,1/(('Match Log'!$A$4:$A$810=$A48)*('Match Log'!$E$4:$E$810="Win")),'Match Log'!$D$4:$D$810),""))</f>
        <v>Josh</v>
      </c>
      <c r="E48" s="128">
        <f>IFERROR(INDEX('Match Log'!$F$4:$F$810,MATCH(24,'Match Log'!$A$4:$A$810,0)),"")</f>
        <v>2</v>
      </c>
      <c r="F48">
        <f>IFERROR(SUMIFS('Match Log'!$I$4:$I$810,'Match Log'!$A$4:$A$810,24,'Match Log'!$E$4:$E$810,"Win"),"")</f>
        <v>0.8</v>
      </c>
      <c r="G48">
        <f t="shared" si="16"/>
        <v>-0.60000000000000009</v>
      </c>
      <c r="H48" t="str">
        <f t="array" ref="H48">IFERROR(IF(COUNTIFS('Match Log'!$A$4:$A$810,$A48,'Match Log'!$E$4:$E$810,"Win")&gt;1,_xlfn.TEXTJOIN(" + ",TRUE,IF(('Match Log'!$A$4:$A$810=$A48)*('Match Log'!$E$4:$E$810="Loss"),'Match Log'!$D$4:$D$810,"")),IF($E48=2,LOOKUP(2,1/(('Match Log'!$A$4:$A$810=$A48)*('Match Log'!$E$4:$E$810="Loss")),'Match Log'!$D$4:$D$810),"the field")),"")</f>
        <v>Daniel (Ferret)</v>
      </c>
      <c r="I48">
        <f t="shared" si="17"/>
        <v>-0.60002400000000011</v>
      </c>
      <c r="J48">
        <v>24</v>
      </c>
      <c r="K48">
        <f>IF($J48&gt;MAX('Match Log'!$A$4:$A$810),NA(),IFERROR(LOOKUP(2,1/(('Match Log'!$D$4:$D$810=$K$24)*('Match Log'!$A$4:$A$810&lt;=$J48)),'Match Log'!$N$4:$N$810),NA()))</f>
        <v>1095.9194321262312</v>
      </c>
      <c r="L48" t="e">
        <f>IF($J48&gt;MAX('Match Log'!$A$4:$A$810),NA(),IFERROR(LOOKUP(2,1/(('Match Log'!$D$4:$D$810=$L$24)*('Match Log'!$A$4:$A$810&lt;=$J48)),'Match Log'!$N$4:$N$810),NA()))</f>
        <v>#N/A</v>
      </c>
      <c r="M48">
        <f>IF($J48&gt;MAX('Match Log'!$A$4:$A$810),NA(),IFERROR(LOOKUP(2,1/(('Match Log'!$D$4:$D$810=$M$24)*('Match Log'!$A$4:$A$810&lt;=$J48)),'Match Log'!$N$4:$N$810),NA()))</f>
        <v>1053.2976607677983</v>
      </c>
      <c r="N48">
        <f>IF($J48&gt;MAX('Match Log'!$A$4:$A$810),NA(),IFERROR(LOOKUP(2,1/(('Match Log'!$D$4:$D$810=$N$24)*('Match Log'!$A$4:$A$810&lt;=$J48)),'Match Log'!$N$4:$N$810),NA()))</f>
        <v>1004.2142857142857</v>
      </c>
      <c r="O48">
        <f>IF($J48&gt;MAX('Match Log'!$A$4:$A$810),NA(),IFERROR(LOOKUP(2,1/(('Match Log'!$D$4:$D$810=$O$24)*('Match Log'!$A$4:$A$810&lt;=$J48)),'Match Log'!$N$4:$N$810),NA()))</f>
        <v>1071.9286207227112</v>
      </c>
      <c r="P48">
        <f>IF($J48&gt;MAX('Match Log'!$A$4:$A$810),NA(),IFERROR(LOOKUP(2,1/(('Match Log'!$D$4:$D$810=$P$24)*('Match Log'!$A$4:$A$810&lt;=$J48)),'Match Log'!$N$4:$N$810),NA()))</f>
        <v>1007.4743526549773</v>
      </c>
      <c r="Q48">
        <f>IF($J48&gt;MAX('Match Log'!$A$4:$A$810),NA(),IFERROR(LOOKUP(2,1/(('Match Log'!$D$4:$D$810=$Q$24)*('Match Log'!$A$4:$A$810&lt;=$J48)),'Match Log'!$N$4:$N$810),NA()))</f>
        <v>1004.2142857142857</v>
      </c>
      <c r="R48">
        <f>IF($J48&gt;MAX('Match Log'!$A$4:$A$810),NA(),IFERROR(LOOKUP(2,1/(('Match Log'!$D$4:$D$810=$R$24)*('Match Log'!$A$4:$A$810&lt;=$J48)),'Match Log'!$N$4:$N$810),NA()))</f>
        <v>893.07460149060034</v>
      </c>
      <c r="S48" t="e">
        <f>IF($J48&gt;MAX('Match Log'!$A$4:$A$810),NA(),IFERROR(LOOKUP(2,1/(('Match Log'!$D$4:$D$810=$S$24)*('Match Log'!$A$4:$A$810&lt;=$J48)),'Match Log'!$N$4:$N$810),NA()))</f>
        <v>#N/A</v>
      </c>
      <c r="T48">
        <f>IF($J48&gt;MAX('Match Log'!$A$4:$A$810),NA(),IFERROR(LOOKUP(2,1/(('Match Log'!$D$4:$D$810=$T$24)*('Match Log'!$A$4:$A$810&lt;=$J48)),'Match Log'!$N$4:$N$810),NA()))</f>
        <v>947.60327900388552</v>
      </c>
      <c r="U48">
        <f>IF($J48&gt;MAX('Match Log'!$A$4:$A$810),NA(),IFERROR(LOOKUP(2,1/(('Match Log'!$D$4:$D$810=$U$24)*('Match Log'!$A$4:$A$810&lt;=$J48)),'Match Log'!$N$4:$N$810),NA()))</f>
        <v>995.27348180522449</v>
      </c>
      <c r="V48" t="e">
        <f>IF($J48&gt;MAX('Match Log'!$A$4:$A$810),NA(),IFERROR(LOOKUP(2,1/(('Match Log'!$D$4:$D$810=$V$24)*('Match Log'!$A$4:$A$810&lt;=$J48)),'Match Log'!$N$4:$N$810),NA()))</f>
        <v>#N/A</v>
      </c>
      <c r="W48" t="e">
        <f>IF($J48&gt;MAX('Match Log'!$A$4:$A$810),NA(),IFERROR(LOOKUP(2,1/(('Match Log'!$D$4:$D$810=$W$24)*('Match Log'!$A$4:$A$810&lt;=$J48)),'Match Log'!$N$4:$N$810),NA()))</f>
        <v>#N/A</v>
      </c>
      <c r="X48" t="e">
        <f>IF($J48&gt;MAX('Match Log'!$A$4:$A$810),NA(),IFERROR(LOOKUP(2,1/(('Match Log'!$D$4:$D$810=$X$24)*('Match Log'!$A$4:$A$810&lt;=$J48)),'Match Log'!$N$4:$N$810),NA()))</f>
        <v>#N/A</v>
      </c>
      <c r="Y48" t="str">
        <f t="shared" ca="1" si="18"/>
        <v/>
      </c>
    </row>
    <row r="49" spans="1:25" ht="15" customHeight="1" x14ac:dyDescent="0.2">
      <c r="A49">
        <v>25</v>
      </c>
      <c r="B49" s="127">
        <f>IFERROR(INDEX('Match Log'!$B$4:$B$810,MATCH(25,'Match Log'!$A$4:$A$810,0)),"")</f>
        <v>46175</v>
      </c>
      <c r="C49" t="str">
        <f>IFERROR(INDEX('Match Log'!$C$4:$C$810,MATCH(25,'Match Log'!$A$4:$A$810,0)),"")</f>
        <v>Table Tennis</v>
      </c>
      <c r="D49" t="str">
        <f t="array" ref="D49">IFERROR(_xlfn.TEXTJOIN(" + ",TRUE,IF(('Match Log'!$A$4:$A$810=$A49)*('Match Log'!$E$4:$E$810="Win"),'Match Log'!$D$4:$D$810,"")),IFERROR(LOOKUP(2,1/(('Match Log'!$A$4:$A$810=$A49)*('Match Log'!$E$4:$E$810="Win")),'Match Log'!$D$4:$D$810),""))</f>
        <v>Josh</v>
      </c>
      <c r="E49" s="128">
        <f>IFERROR(INDEX('Match Log'!$F$4:$F$810,MATCH(25,'Match Log'!$A$4:$A$810,0)),"")</f>
        <v>2</v>
      </c>
      <c r="F49">
        <f>IFERROR(SUMIFS('Match Log'!$I$4:$I$810,'Match Log'!$A$4:$A$810,25,'Match Log'!$E$4:$E$810,"Win"),"")</f>
        <v>0.625</v>
      </c>
      <c r="G49">
        <f t="shared" si="16"/>
        <v>-0.25</v>
      </c>
      <c r="H49" t="str">
        <f t="array" ref="H49">IFERROR(IF(COUNTIFS('Match Log'!$A$4:$A$810,$A49,'Match Log'!$E$4:$E$810,"Win")&gt;1,_xlfn.TEXTJOIN(" + ",TRUE,IF(('Match Log'!$A$4:$A$810=$A49)*('Match Log'!$E$4:$E$810="Loss"),'Match Log'!$D$4:$D$810,"")),IF($E49=2,LOOKUP(2,1/(('Match Log'!$A$4:$A$810=$A49)*('Match Log'!$E$4:$E$810="Loss")),'Match Log'!$D$4:$D$810),"the field")),"")</f>
        <v>David</v>
      </c>
      <c r="I49">
        <f t="shared" si="17"/>
        <v>-0.250025</v>
      </c>
      <c r="J49">
        <v>25</v>
      </c>
      <c r="K49">
        <f>IF($J49&gt;MAX('Match Log'!$A$4:$A$810),NA(),IFERROR(LOOKUP(2,1/(('Match Log'!$D$4:$D$810=$K$24)*('Match Log'!$A$4:$A$810&lt;=$J49)),'Match Log'!$N$4:$N$810),NA()))</f>
        <v>1095.9194321262312</v>
      </c>
      <c r="L49" t="e">
        <f>IF($J49&gt;MAX('Match Log'!$A$4:$A$810),NA(),IFERROR(LOOKUP(2,1/(('Match Log'!$D$4:$D$810=$L$24)*('Match Log'!$A$4:$A$810&lt;=$J49)),'Match Log'!$N$4:$N$810),NA()))</f>
        <v>#N/A</v>
      </c>
      <c r="M49">
        <f>IF($J49&gt;MAX('Match Log'!$A$4:$A$810),NA(),IFERROR(LOOKUP(2,1/(('Match Log'!$D$4:$D$810=$M$24)*('Match Log'!$A$4:$A$810&lt;=$J49)),'Match Log'!$N$4:$N$810),NA()))</f>
        <v>1053.2976607677983</v>
      </c>
      <c r="N49">
        <f>IF($J49&gt;MAX('Match Log'!$A$4:$A$810),NA(),IFERROR(LOOKUP(2,1/(('Match Log'!$D$4:$D$810=$N$24)*('Match Log'!$A$4:$A$810&lt;=$J49)),'Match Log'!$N$4:$N$810),NA()))</f>
        <v>986.4746672246921</v>
      </c>
      <c r="O49">
        <f>IF($J49&gt;MAX('Match Log'!$A$4:$A$810),NA(),IFERROR(LOOKUP(2,1/(('Match Log'!$D$4:$D$810=$O$24)*('Match Log'!$A$4:$A$810&lt;=$J49)),'Match Log'!$N$4:$N$810),NA()))</f>
        <v>1089.6682392123048</v>
      </c>
      <c r="P49">
        <f>IF($J49&gt;MAX('Match Log'!$A$4:$A$810),NA(),IFERROR(LOOKUP(2,1/(('Match Log'!$D$4:$D$810=$P$24)*('Match Log'!$A$4:$A$810&lt;=$J49)),'Match Log'!$N$4:$N$810),NA()))</f>
        <v>1007.4743526549773</v>
      </c>
      <c r="Q49">
        <f>IF($J49&gt;MAX('Match Log'!$A$4:$A$810),NA(),IFERROR(LOOKUP(2,1/(('Match Log'!$D$4:$D$810=$Q$24)*('Match Log'!$A$4:$A$810&lt;=$J49)),'Match Log'!$N$4:$N$810),NA()))</f>
        <v>1004.2142857142857</v>
      </c>
      <c r="R49">
        <f>IF($J49&gt;MAX('Match Log'!$A$4:$A$810),NA(),IFERROR(LOOKUP(2,1/(('Match Log'!$D$4:$D$810=$R$24)*('Match Log'!$A$4:$A$810&lt;=$J49)),'Match Log'!$N$4:$N$810),NA()))</f>
        <v>893.07460149060034</v>
      </c>
      <c r="S49" t="e">
        <f>IF($J49&gt;MAX('Match Log'!$A$4:$A$810),NA(),IFERROR(LOOKUP(2,1/(('Match Log'!$D$4:$D$810=$S$24)*('Match Log'!$A$4:$A$810&lt;=$J49)),'Match Log'!$N$4:$N$810),NA()))</f>
        <v>#N/A</v>
      </c>
      <c r="T49">
        <f>IF($J49&gt;MAX('Match Log'!$A$4:$A$810),NA(),IFERROR(LOOKUP(2,1/(('Match Log'!$D$4:$D$810=$T$24)*('Match Log'!$A$4:$A$810&lt;=$J49)),'Match Log'!$N$4:$N$810),NA()))</f>
        <v>947.60327900388552</v>
      </c>
      <c r="U49">
        <f>IF($J49&gt;MAX('Match Log'!$A$4:$A$810),NA(),IFERROR(LOOKUP(2,1/(('Match Log'!$D$4:$D$810=$U$24)*('Match Log'!$A$4:$A$810&lt;=$J49)),'Match Log'!$N$4:$N$810),NA()))</f>
        <v>995.27348180522449</v>
      </c>
      <c r="V49" t="e">
        <f>IF($J49&gt;MAX('Match Log'!$A$4:$A$810),NA(),IFERROR(LOOKUP(2,1/(('Match Log'!$D$4:$D$810=$V$24)*('Match Log'!$A$4:$A$810&lt;=$J49)),'Match Log'!$N$4:$N$810),NA()))</f>
        <v>#N/A</v>
      </c>
      <c r="W49" t="e">
        <f>IF($J49&gt;MAX('Match Log'!$A$4:$A$810),NA(),IFERROR(LOOKUP(2,1/(('Match Log'!$D$4:$D$810=$W$24)*('Match Log'!$A$4:$A$810&lt;=$J49)),'Match Log'!$N$4:$N$810),NA()))</f>
        <v>#N/A</v>
      </c>
      <c r="X49" t="e">
        <f>IF($J49&gt;MAX('Match Log'!$A$4:$A$810),NA(),IFERROR(LOOKUP(2,1/(('Match Log'!$D$4:$D$810=$X$24)*('Match Log'!$A$4:$A$810&lt;=$J49)),'Match Log'!$N$4:$N$810),NA()))</f>
        <v>#N/A</v>
      </c>
      <c r="Y49" t="str">
        <f t="shared" ca="1" si="18"/>
        <v/>
      </c>
    </row>
    <row r="50" spans="1:25" ht="15" customHeight="1" x14ac:dyDescent="0.2">
      <c r="A50">
        <v>26</v>
      </c>
      <c r="B50" s="127">
        <f>IFERROR(INDEX('Match Log'!$B$4:$B$810,MATCH(26,'Match Log'!$A$4:$A$810,0)),"")</f>
        <v>46175</v>
      </c>
      <c r="C50" t="str">
        <f>IFERROR(INDEX('Match Log'!$C$4:$C$810,MATCH(26,'Match Log'!$A$4:$A$810,0)),"")</f>
        <v>Table Tennis</v>
      </c>
      <c r="D50" t="str">
        <f t="array" ref="D50">IFERROR(_xlfn.TEXTJOIN(" + ",TRUE,IF(('Match Log'!$A$4:$A$810=$A50)*('Match Log'!$E$4:$E$810="Win"),'Match Log'!$D$4:$D$810,"")),IFERROR(LOOKUP(2,1/(('Match Log'!$A$4:$A$810=$A50)*('Match Log'!$E$4:$E$810="Win")),'Match Log'!$D$4:$D$810),""))</f>
        <v>Daniel (Ferret)</v>
      </c>
      <c r="E50" s="128">
        <f>IFERROR(INDEX('Match Log'!$F$4:$F$810,MATCH(26,'Match Log'!$A$4:$A$810,0)),"")</f>
        <v>2</v>
      </c>
      <c r="F50">
        <f>IFERROR(SUMIFS('Match Log'!$I$4:$I$810,'Match Log'!$A$4:$A$810,26,'Match Log'!$E$4:$E$810,"Win"),"")</f>
        <v>0.33333333333333331</v>
      </c>
      <c r="G50">
        <f t="shared" si="16"/>
        <v>0.33333333333333337</v>
      </c>
      <c r="H50" t="str">
        <f t="array" ref="H50">IFERROR(IF(COUNTIFS('Match Log'!$A$4:$A$810,$A50,'Match Log'!$E$4:$E$810,"Win")&gt;1,_xlfn.TEXTJOIN(" + ",TRUE,IF(('Match Log'!$A$4:$A$810=$A50)*('Match Log'!$E$4:$E$810="Loss"),'Match Log'!$D$4:$D$810,"")),IF($E50=2,LOOKUP(2,1/(('Match Log'!$A$4:$A$810=$A50)*('Match Log'!$E$4:$E$810="Loss")),'Match Log'!$D$4:$D$810),"the field")),"")</f>
        <v>David</v>
      </c>
      <c r="I50">
        <f t="shared" si="17"/>
        <v>0.33330733333333334</v>
      </c>
      <c r="J50">
        <v>26</v>
      </c>
      <c r="K50">
        <f>IF($J50&gt;MAX('Match Log'!$A$4:$A$810),NA(),IFERROR(LOOKUP(2,1/(('Match Log'!$D$4:$D$810=$K$24)*('Match Log'!$A$4:$A$810&lt;=$J50)),'Match Log'!$N$4:$N$810),NA()))</f>
        <v>1095.9194321262312</v>
      </c>
      <c r="L50" t="e">
        <f>IF($J50&gt;MAX('Match Log'!$A$4:$A$810),NA(),IFERROR(LOOKUP(2,1/(('Match Log'!$D$4:$D$810=$L$24)*('Match Log'!$A$4:$A$810&lt;=$J50)),'Match Log'!$N$4:$N$810),NA()))</f>
        <v>#N/A</v>
      </c>
      <c r="M50">
        <f>IF($J50&gt;MAX('Match Log'!$A$4:$A$810),NA(),IFERROR(LOOKUP(2,1/(('Match Log'!$D$4:$D$810=$M$24)*('Match Log'!$A$4:$A$810&lt;=$J50)),'Match Log'!$N$4:$N$810),NA()))</f>
        <v>1053.2976607677983</v>
      </c>
      <c r="N50">
        <f>IF($J50&gt;MAX('Match Log'!$A$4:$A$810),NA(),IFERROR(LOOKUP(2,1/(('Match Log'!$D$4:$D$810=$N$24)*('Match Log'!$A$4:$A$810&lt;=$J50)),'Match Log'!$N$4:$N$810),NA()))</f>
        <v>959.26344933159396</v>
      </c>
      <c r="O50">
        <f>IF($J50&gt;MAX('Match Log'!$A$4:$A$810),NA(),IFERROR(LOOKUP(2,1/(('Match Log'!$D$4:$D$810=$O$24)*('Match Log'!$A$4:$A$810&lt;=$J50)),'Match Log'!$N$4:$N$810),NA()))</f>
        <v>1089.6682392123048</v>
      </c>
      <c r="P50">
        <f>IF($J50&gt;MAX('Match Log'!$A$4:$A$810),NA(),IFERROR(LOOKUP(2,1/(('Match Log'!$D$4:$D$810=$P$24)*('Match Log'!$A$4:$A$810&lt;=$J50)),'Match Log'!$N$4:$N$810),NA()))</f>
        <v>1007.4743526549773</v>
      </c>
      <c r="Q50">
        <f>IF($J50&gt;MAX('Match Log'!$A$4:$A$810),NA(),IFERROR(LOOKUP(2,1/(('Match Log'!$D$4:$D$810=$Q$24)*('Match Log'!$A$4:$A$810&lt;=$J50)),'Match Log'!$N$4:$N$810),NA()))</f>
        <v>1004.2142857142857</v>
      </c>
      <c r="R50">
        <f>IF($J50&gt;MAX('Match Log'!$A$4:$A$810),NA(),IFERROR(LOOKUP(2,1/(('Match Log'!$D$4:$D$810=$R$24)*('Match Log'!$A$4:$A$810&lt;=$J50)),'Match Log'!$N$4:$N$810),NA()))</f>
        <v>920.28581938369848</v>
      </c>
      <c r="S50" t="e">
        <f>IF($J50&gt;MAX('Match Log'!$A$4:$A$810),NA(),IFERROR(LOOKUP(2,1/(('Match Log'!$D$4:$D$810=$S$24)*('Match Log'!$A$4:$A$810&lt;=$J50)),'Match Log'!$N$4:$N$810),NA()))</f>
        <v>#N/A</v>
      </c>
      <c r="T50">
        <f>IF($J50&gt;MAX('Match Log'!$A$4:$A$810),NA(),IFERROR(LOOKUP(2,1/(('Match Log'!$D$4:$D$810=$T$24)*('Match Log'!$A$4:$A$810&lt;=$J50)),'Match Log'!$N$4:$N$810),NA()))</f>
        <v>947.60327900388552</v>
      </c>
      <c r="U50">
        <f>IF($J50&gt;MAX('Match Log'!$A$4:$A$810),NA(),IFERROR(LOOKUP(2,1/(('Match Log'!$D$4:$D$810=$U$24)*('Match Log'!$A$4:$A$810&lt;=$J50)),'Match Log'!$N$4:$N$810),NA()))</f>
        <v>995.27348180522449</v>
      </c>
      <c r="V50" t="e">
        <f>IF($J50&gt;MAX('Match Log'!$A$4:$A$810),NA(),IFERROR(LOOKUP(2,1/(('Match Log'!$D$4:$D$810=$V$24)*('Match Log'!$A$4:$A$810&lt;=$J50)),'Match Log'!$N$4:$N$810),NA()))</f>
        <v>#N/A</v>
      </c>
      <c r="W50" t="e">
        <f>IF($J50&gt;MAX('Match Log'!$A$4:$A$810),NA(),IFERROR(LOOKUP(2,1/(('Match Log'!$D$4:$D$810=$W$24)*('Match Log'!$A$4:$A$810&lt;=$J50)),'Match Log'!$N$4:$N$810),NA()))</f>
        <v>#N/A</v>
      </c>
      <c r="X50" t="e">
        <f>IF($J50&gt;MAX('Match Log'!$A$4:$A$810),NA(),IFERROR(LOOKUP(2,1/(('Match Log'!$D$4:$D$810=$X$24)*('Match Log'!$A$4:$A$810&lt;=$J50)),'Match Log'!$N$4:$N$810),NA()))</f>
        <v>#N/A</v>
      </c>
      <c r="Y50" t="str">
        <f t="shared" ca="1" si="18"/>
        <v/>
      </c>
    </row>
    <row r="51" spans="1:25" ht="15" customHeight="1" x14ac:dyDescent="0.2">
      <c r="A51">
        <v>27</v>
      </c>
      <c r="B51" s="127">
        <f>IFERROR(INDEX('Match Log'!$B$4:$B$810,MATCH(27,'Match Log'!$A$4:$A$810,0)),"")</f>
        <v>46175</v>
      </c>
      <c r="C51" t="str">
        <f>IFERROR(INDEX('Match Log'!$C$4:$C$810,MATCH(27,'Match Log'!$A$4:$A$810,0)),"")</f>
        <v>Table Tennis</v>
      </c>
      <c r="D51" t="str">
        <f t="array" ref="D51">IFERROR(_xlfn.TEXTJOIN(" + ",TRUE,IF(('Match Log'!$A$4:$A$810=$A51)*('Match Log'!$E$4:$E$810="Win"),'Match Log'!$D$4:$D$810,"")),IFERROR(LOOKUP(2,1/(('Match Log'!$A$4:$A$810=$A51)*('Match Log'!$E$4:$E$810="Win")),'Match Log'!$D$4:$D$810),""))</f>
        <v>Josh</v>
      </c>
      <c r="E51" s="128">
        <f>IFERROR(INDEX('Match Log'!$F$4:$F$810,MATCH(27,'Match Log'!$A$4:$A$810,0)),"")</f>
        <v>2</v>
      </c>
      <c r="F51">
        <f>IFERROR(SUMIFS('Match Log'!$I$4:$I$810,'Match Log'!$A$4:$A$810,27,'Match Log'!$E$4:$E$810,"Win"),"")</f>
        <v>0.75</v>
      </c>
      <c r="G51">
        <f t="shared" si="16"/>
        <v>-0.5</v>
      </c>
      <c r="H51" t="str">
        <f t="array" ref="H51">IFERROR(IF(COUNTIFS('Match Log'!$A$4:$A$810,$A51,'Match Log'!$E$4:$E$810,"Win")&gt;1,_xlfn.TEXTJOIN(" + ",TRUE,IF(('Match Log'!$A$4:$A$810=$A51)*('Match Log'!$E$4:$E$810="Loss"),'Match Log'!$D$4:$D$810,"")),IF($E51=2,LOOKUP(2,1/(('Match Log'!$A$4:$A$810=$A51)*('Match Log'!$E$4:$E$810="Loss")),'Match Log'!$D$4:$D$810),"the field")),"")</f>
        <v>Daniel (Ferret)</v>
      </c>
      <c r="I51">
        <f t="shared" si="17"/>
        <v>-0.500027</v>
      </c>
      <c r="J51">
        <v>27</v>
      </c>
      <c r="K51">
        <f>IF($J51&gt;MAX('Match Log'!$A$4:$A$810),NA(),IFERROR(LOOKUP(2,1/(('Match Log'!$D$4:$D$810=$K$24)*('Match Log'!$A$4:$A$810&lt;=$J51)),'Match Log'!$N$4:$N$810),NA()))</f>
        <v>1095.9194321262312</v>
      </c>
      <c r="L51" t="e">
        <f>IF($J51&gt;MAX('Match Log'!$A$4:$A$810),NA(),IFERROR(LOOKUP(2,1/(('Match Log'!$D$4:$D$810=$L$24)*('Match Log'!$A$4:$A$810&lt;=$J51)),'Match Log'!$N$4:$N$810),NA()))</f>
        <v>#N/A</v>
      </c>
      <c r="M51">
        <f>IF($J51&gt;MAX('Match Log'!$A$4:$A$810),NA(),IFERROR(LOOKUP(2,1/(('Match Log'!$D$4:$D$810=$M$24)*('Match Log'!$A$4:$A$810&lt;=$J51)),'Match Log'!$N$4:$N$810),NA()))</f>
        <v>1053.2976607677983</v>
      </c>
      <c r="N51">
        <f>IF($J51&gt;MAX('Match Log'!$A$4:$A$810),NA(),IFERROR(LOOKUP(2,1/(('Match Log'!$D$4:$D$810=$N$24)*('Match Log'!$A$4:$A$810&lt;=$J51)),'Match Log'!$N$4:$N$810),NA()))</f>
        <v>959.26344933159396</v>
      </c>
      <c r="O51">
        <f>IF($J51&gt;MAX('Match Log'!$A$4:$A$810),NA(),IFERROR(LOOKUP(2,1/(('Match Log'!$D$4:$D$810=$O$24)*('Match Log'!$A$4:$A$810&lt;=$J51)),'Match Log'!$N$4:$N$810),NA()))</f>
        <v>1102.6176984629064</v>
      </c>
      <c r="P51">
        <f>IF($J51&gt;MAX('Match Log'!$A$4:$A$810),NA(),IFERROR(LOOKUP(2,1/(('Match Log'!$D$4:$D$810=$P$24)*('Match Log'!$A$4:$A$810&lt;=$J51)),'Match Log'!$N$4:$N$810),NA()))</f>
        <v>1007.4743526549773</v>
      </c>
      <c r="Q51">
        <f>IF($J51&gt;MAX('Match Log'!$A$4:$A$810),NA(),IFERROR(LOOKUP(2,1/(('Match Log'!$D$4:$D$810=$Q$24)*('Match Log'!$A$4:$A$810&lt;=$J51)),'Match Log'!$N$4:$N$810),NA()))</f>
        <v>1004.2142857142857</v>
      </c>
      <c r="R51">
        <f>IF($J51&gt;MAX('Match Log'!$A$4:$A$810),NA(),IFERROR(LOOKUP(2,1/(('Match Log'!$D$4:$D$810=$R$24)*('Match Log'!$A$4:$A$810&lt;=$J51)),'Match Log'!$N$4:$N$810),NA()))</f>
        <v>907.33636013309672</v>
      </c>
      <c r="S51" t="e">
        <f>IF($J51&gt;MAX('Match Log'!$A$4:$A$810),NA(),IFERROR(LOOKUP(2,1/(('Match Log'!$D$4:$D$810=$S$24)*('Match Log'!$A$4:$A$810&lt;=$J51)),'Match Log'!$N$4:$N$810),NA()))</f>
        <v>#N/A</v>
      </c>
      <c r="T51">
        <f>IF($J51&gt;MAX('Match Log'!$A$4:$A$810),NA(),IFERROR(LOOKUP(2,1/(('Match Log'!$D$4:$D$810=$T$24)*('Match Log'!$A$4:$A$810&lt;=$J51)),'Match Log'!$N$4:$N$810),NA()))</f>
        <v>947.60327900388552</v>
      </c>
      <c r="U51">
        <f>IF($J51&gt;MAX('Match Log'!$A$4:$A$810),NA(),IFERROR(LOOKUP(2,1/(('Match Log'!$D$4:$D$810=$U$24)*('Match Log'!$A$4:$A$810&lt;=$J51)),'Match Log'!$N$4:$N$810),NA()))</f>
        <v>995.27348180522449</v>
      </c>
      <c r="V51" t="e">
        <f>IF($J51&gt;MAX('Match Log'!$A$4:$A$810),NA(),IFERROR(LOOKUP(2,1/(('Match Log'!$D$4:$D$810=$V$24)*('Match Log'!$A$4:$A$810&lt;=$J51)),'Match Log'!$N$4:$N$810),NA()))</f>
        <v>#N/A</v>
      </c>
      <c r="W51" t="e">
        <f>IF($J51&gt;MAX('Match Log'!$A$4:$A$810),NA(),IFERROR(LOOKUP(2,1/(('Match Log'!$D$4:$D$810=$W$24)*('Match Log'!$A$4:$A$810&lt;=$J51)),'Match Log'!$N$4:$N$810),NA()))</f>
        <v>#N/A</v>
      </c>
      <c r="X51" t="e">
        <f>IF($J51&gt;MAX('Match Log'!$A$4:$A$810),NA(),IFERROR(LOOKUP(2,1/(('Match Log'!$D$4:$D$810=$X$24)*('Match Log'!$A$4:$A$810&lt;=$J51)),'Match Log'!$N$4:$N$810),NA()))</f>
        <v>#N/A</v>
      </c>
      <c r="Y51" t="str">
        <f t="shared" ca="1" si="18"/>
        <v/>
      </c>
    </row>
    <row r="52" spans="1:25" ht="15" customHeight="1" x14ac:dyDescent="0.2">
      <c r="A52">
        <v>28</v>
      </c>
      <c r="B52" s="127">
        <f>IFERROR(INDEX('Match Log'!$B$4:$B$810,MATCH(28,'Match Log'!$A$4:$A$810,0)),"")</f>
        <v>46175</v>
      </c>
      <c r="C52" t="str">
        <f>IFERROR(INDEX('Match Log'!$C$4:$C$810,MATCH(28,'Match Log'!$A$4:$A$810,0)),"")</f>
        <v>Table Tennis</v>
      </c>
      <c r="D52" t="str">
        <f t="array" ref="D52">IFERROR(_xlfn.TEXTJOIN(" + ",TRUE,IF(('Match Log'!$A$4:$A$810=$A52)*('Match Log'!$E$4:$E$810="Win"),'Match Log'!$D$4:$D$810,"")),IFERROR(LOOKUP(2,1/(('Match Log'!$A$4:$A$810=$A52)*('Match Log'!$E$4:$E$810="Win")),'Match Log'!$D$4:$D$810),""))</f>
        <v>Josh</v>
      </c>
      <c r="E52" s="128">
        <f>IFERROR(INDEX('Match Log'!$F$4:$F$810,MATCH(28,'Match Log'!$A$4:$A$810,0)),"")</f>
        <v>2</v>
      </c>
      <c r="F52">
        <f>IFERROR(SUMIFS('Match Log'!$I$4:$I$810,'Match Log'!$A$4:$A$810,28,'Match Log'!$E$4:$E$810,"Win"),"")</f>
        <v>0.77777777777777779</v>
      </c>
      <c r="G52">
        <f t="shared" si="16"/>
        <v>-0.55555555555555558</v>
      </c>
      <c r="H52" t="str">
        <f t="array" ref="H52">IFERROR(IF(COUNTIFS('Match Log'!$A$4:$A$810,$A52,'Match Log'!$E$4:$E$810,"Win")&gt;1,_xlfn.TEXTJOIN(" + ",TRUE,IF(('Match Log'!$A$4:$A$810=$A52)*('Match Log'!$E$4:$E$810="Loss"),'Match Log'!$D$4:$D$810,"")),IF($E52=2,LOOKUP(2,1/(('Match Log'!$A$4:$A$810=$A52)*('Match Log'!$E$4:$E$810="Loss")),'Match Log'!$D$4:$D$810),"the field")),"")</f>
        <v>David</v>
      </c>
      <c r="I52">
        <f t="shared" si="17"/>
        <v>-0.55558355555555561</v>
      </c>
      <c r="J52">
        <v>28</v>
      </c>
      <c r="K52">
        <f>IF($J52&gt;MAX('Match Log'!$A$4:$A$810),NA(),IFERROR(LOOKUP(2,1/(('Match Log'!$D$4:$D$810=$K$24)*('Match Log'!$A$4:$A$810&lt;=$J52)),'Match Log'!$N$4:$N$810),NA()))</f>
        <v>1095.9194321262312</v>
      </c>
      <c r="L52" t="e">
        <f>IF($J52&gt;MAX('Match Log'!$A$4:$A$810),NA(),IFERROR(LOOKUP(2,1/(('Match Log'!$D$4:$D$810=$L$24)*('Match Log'!$A$4:$A$810&lt;=$J52)),'Match Log'!$N$4:$N$810),NA()))</f>
        <v>#N/A</v>
      </c>
      <c r="M52">
        <f>IF($J52&gt;MAX('Match Log'!$A$4:$A$810),NA(),IFERROR(LOOKUP(2,1/(('Match Log'!$D$4:$D$810=$M$24)*('Match Log'!$A$4:$A$810&lt;=$J52)),'Match Log'!$N$4:$N$810),NA()))</f>
        <v>1053.2976607677983</v>
      </c>
      <c r="N52">
        <f>IF($J52&gt;MAX('Match Log'!$A$4:$A$810),NA(),IFERROR(LOOKUP(2,1/(('Match Log'!$D$4:$D$810=$N$24)*('Match Log'!$A$4:$A$810&lt;=$J52)),'Match Log'!$N$4:$N$810),NA()))</f>
        <v>946.26279912436644</v>
      </c>
      <c r="O52">
        <f>IF($J52&gt;MAX('Match Log'!$A$4:$A$810),NA(),IFERROR(LOOKUP(2,1/(('Match Log'!$D$4:$D$810=$O$24)*('Match Log'!$A$4:$A$810&lt;=$J52)),'Match Log'!$N$4:$N$810),NA()))</f>
        <v>1115.6183486701341</v>
      </c>
      <c r="P52">
        <f>IF($J52&gt;MAX('Match Log'!$A$4:$A$810),NA(),IFERROR(LOOKUP(2,1/(('Match Log'!$D$4:$D$810=$P$24)*('Match Log'!$A$4:$A$810&lt;=$J52)),'Match Log'!$N$4:$N$810),NA()))</f>
        <v>1007.4743526549773</v>
      </c>
      <c r="Q52">
        <f>IF($J52&gt;MAX('Match Log'!$A$4:$A$810),NA(),IFERROR(LOOKUP(2,1/(('Match Log'!$D$4:$D$810=$Q$24)*('Match Log'!$A$4:$A$810&lt;=$J52)),'Match Log'!$N$4:$N$810),NA()))</f>
        <v>1004.2142857142857</v>
      </c>
      <c r="R52">
        <f>IF($J52&gt;MAX('Match Log'!$A$4:$A$810),NA(),IFERROR(LOOKUP(2,1/(('Match Log'!$D$4:$D$810=$R$24)*('Match Log'!$A$4:$A$810&lt;=$J52)),'Match Log'!$N$4:$N$810),NA()))</f>
        <v>907.33636013309672</v>
      </c>
      <c r="S52" t="e">
        <f>IF($J52&gt;MAX('Match Log'!$A$4:$A$810),NA(),IFERROR(LOOKUP(2,1/(('Match Log'!$D$4:$D$810=$S$24)*('Match Log'!$A$4:$A$810&lt;=$J52)),'Match Log'!$N$4:$N$810),NA()))</f>
        <v>#N/A</v>
      </c>
      <c r="T52">
        <f>IF($J52&gt;MAX('Match Log'!$A$4:$A$810),NA(),IFERROR(LOOKUP(2,1/(('Match Log'!$D$4:$D$810=$T$24)*('Match Log'!$A$4:$A$810&lt;=$J52)),'Match Log'!$N$4:$N$810),NA()))</f>
        <v>947.60327900388552</v>
      </c>
      <c r="U52">
        <f>IF($J52&gt;MAX('Match Log'!$A$4:$A$810),NA(),IFERROR(LOOKUP(2,1/(('Match Log'!$D$4:$D$810=$U$24)*('Match Log'!$A$4:$A$810&lt;=$J52)),'Match Log'!$N$4:$N$810),NA()))</f>
        <v>995.27348180522449</v>
      </c>
      <c r="V52" t="e">
        <f>IF($J52&gt;MAX('Match Log'!$A$4:$A$810),NA(),IFERROR(LOOKUP(2,1/(('Match Log'!$D$4:$D$810=$V$24)*('Match Log'!$A$4:$A$810&lt;=$J52)),'Match Log'!$N$4:$N$810),NA()))</f>
        <v>#N/A</v>
      </c>
      <c r="W52" t="e">
        <f>IF($J52&gt;MAX('Match Log'!$A$4:$A$810),NA(),IFERROR(LOOKUP(2,1/(('Match Log'!$D$4:$D$810=$W$24)*('Match Log'!$A$4:$A$810&lt;=$J52)),'Match Log'!$N$4:$N$810),NA()))</f>
        <v>#N/A</v>
      </c>
      <c r="X52" t="e">
        <f>IF($J52&gt;MAX('Match Log'!$A$4:$A$810),NA(),IFERROR(LOOKUP(2,1/(('Match Log'!$D$4:$D$810=$X$24)*('Match Log'!$A$4:$A$810&lt;=$J52)),'Match Log'!$N$4:$N$810),NA()))</f>
        <v>#N/A</v>
      </c>
      <c r="Y52" t="str">
        <f t="shared" ca="1" si="18"/>
        <v/>
      </c>
    </row>
    <row r="53" spans="1:25" ht="15" customHeight="1" x14ac:dyDescent="0.2">
      <c r="A53">
        <v>29</v>
      </c>
      <c r="B53" s="127">
        <f>IFERROR(INDEX('Match Log'!$B$4:$B$810,MATCH(29,'Match Log'!$A$4:$A$810,0)),"")</f>
        <v>46175</v>
      </c>
      <c r="C53" t="str">
        <f>IFERROR(INDEX('Match Log'!$C$4:$C$810,MATCH(29,'Match Log'!$A$4:$A$810,0)),"")</f>
        <v>Table Tennis</v>
      </c>
      <c r="D53" t="str">
        <f t="array" ref="D53">IFERROR(_xlfn.TEXTJOIN(" + ",TRUE,IF(('Match Log'!$A$4:$A$810=$A53)*('Match Log'!$E$4:$E$810="Win"),'Match Log'!$D$4:$D$810,"")),IFERROR(LOOKUP(2,1/(('Match Log'!$A$4:$A$810=$A53)*('Match Log'!$E$4:$E$810="Win")),'Match Log'!$D$4:$D$810),""))</f>
        <v>Oscar</v>
      </c>
      <c r="E53" s="128">
        <f>IFERROR(INDEX('Match Log'!$F$4:$F$810,MATCH(29,'Match Log'!$A$4:$A$810,0)),"")</f>
        <v>2</v>
      </c>
      <c r="F53">
        <f>IFERROR(SUMIFS('Match Log'!$I$4:$I$810,'Match Log'!$A$4:$A$810,29,'Match Log'!$E$4:$E$810,"Win"),"")</f>
        <v>0.5</v>
      </c>
      <c r="G53">
        <f t="shared" si="16"/>
        <v>0</v>
      </c>
      <c r="H53" t="str">
        <f t="array" ref="H53">IFERROR(IF(COUNTIFS('Match Log'!$A$4:$A$810,$A53,'Match Log'!$E$4:$E$810,"Win")&gt;1,_xlfn.TEXTJOIN(" + ",TRUE,IF(('Match Log'!$A$4:$A$810=$A53)*('Match Log'!$E$4:$E$810="Loss"),'Match Log'!$D$4:$D$810,"")),IF($E53=2,LOOKUP(2,1/(('Match Log'!$A$4:$A$810=$A53)*('Match Log'!$E$4:$E$810="Loss")),'Match Log'!$D$4:$D$810),"the field")),"")</f>
        <v>Aaron</v>
      </c>
      <c r="I53">
        <f t="shared" si="17"/>
        <v>-2.9E-5</v>
      </c>
      <c r="J53">
        <v>29</v>
      </c>
      <c r="K53">
        <f>IF($J53&gt;MAX('Match Log'!$A$4:$A$810),NA(),IFERROR(LOOKUP(2,1/(('Match Log'!$D$4:$D$810=$K$24)*('Match Log'!$A$4:$A$810&lt;=$J53)),'Match Log'!$N$4:$N$810),NA()))</f>
        <v>1069.4099536617093</v>
      </c>
      <c r="L53" t="e">
        <f>IF($J53&gt;MAX('Match Log'!$A$4:$A$810),NA(),IFERROR(LOOKUP(2,1/(('Match Log'!$D$4:$D$810=$L$24)*('Match Log'!$A$4:$A$810&lt;=$J53)),'Match Log'!$N$4:$N$810),NA()))</f>
        <v>#N/A</v>
      </c>
      <c r="M53">
        <f>IF($J53&gt;MAX('Match Log'!$A$4:$A$810),NA(),IFERROR(LOOKUP(2,1/(('Match Log'!$D$4:$D$810=$M$24)*('Match Log'!$A$4:$A$810&lt;=$J53)),'Match Log'!$N$4:$N$810),NA()))</f>
        <v>1053.2976607677983</v>
      </c>
      <c r="N53">
        <f>IF($J53&gt;MAX('Match Log'!$A$4:$A$810),NA(),IFERROR(LOOKUP(2,1/(('Match Log'!$D$4:$D$810=$N$24)*('Match Log'!$A$4:$A$810&lt;=$J53)),'Match Log'!$N$4:$N$810),NA()))</f>
        <v>946.26279912436644</v>
      </c>
      <c r="O53">
        <f>IF($J53&gt;MAX('Match Log'!$A$4:$A$810),NA(),IFERROR(LOOKUP(2,1/(('Match Log'!$D$4:$D$810=$O$24)*('Match Log'!$A$4:$A$810&lt;=$J53)),'Match Log'!$N$4:$N$810),NA()))</f>
        <v>1115.6183486701341</v>
      </c>
      <c r="P53">
        <f>IF($J53&gt;MAX('Match Log'!$A$4:$A$810),NA(),IFERROR(LOOKUP(2,1/(('Match Log'!$D$4:$D$810=$P$24)*('Match Log'!$A$4:$A$810&lt;=$J53)),'Match Log'!$N$4:$N$810),NA()))</f>
        <v>1007.4743526549773</v>
      </c>
      <c r="Q53">
        <f>IF($J53&gt;MAX('Match Log'!$A$4:$A$810),NA(),IFERROR(LOOKUP(2,1/(('Match Log'!$D$4:$D$810=$Q$24)*('Match Log'!$A$4:$A$810&lt;=$J53)),'Match Log'!$N$4:$N$810),NA()))</f>
        <v>1004.2142857142857</v>
      </c>
      <c r="R53">
        <f>IF($J53&gt;MAX('Match Log'!$A$4:$A$810),NA(),IFERROR(LOOKUP(2,1/(('Match Log'!$D$4:$D$810=$R$24)*('Match Log'!$A$4:$A$810&lt;=$J53)),'Match Log'!$N$4:$N$810),NA()))</f>
        <v>907.33636013309672</v>
      </c>
      <c r="S53" t="e">
        <f>IF($J53&gt;MAX('Match Log'!$A$4:$A$810),NA(),IFERROR(LOOKUP(2,1/(('Match Log'!$D$4:$D$810=$S$24)*('Match Log'!$A$4:$A$810&lt;=$J53)),'Match Log'!$N$4:$N$810),NA()))</f>
        <v>#N/A</v>
      </c>
      <c r="T53">
        <f>IF($J53&gt;MAX('Match Log'!$A$4:$A$810),NA(),IFERROR(LOOKUP(2,1/(('Match Log'!$D$4:$D$810=$T$24)*('Match Log'!$A$4:$A$810&lt;=$J53)),'Match Log'!$N$4:$N$810),NA()))</f>
        <v>947.60327900388552</v>
      </c>
      <c r="U53">
        <f>IF($J53&gt;MAX('Match Log'!$A$4:$A$810),NA(),IFERROR(LOOKUP(2,1/(('Match Log'!$D$4:$D$810=$U$24)*('Match Log'!$A$4:$A$810&lt;=$J53)),'Match Log'!$N$4:$N$810),NA()))</f>
        <v>1021.7829602697462</v>
      </c>
      <c r="V53" t="e">
        <f>IF($J53&gt;MAX('Match Log'!$A$4:$A$810),NA(),IFERROR(LOOKUP(2,1/(('Match Log'!$D$4:$D$810=$V$24)*('Match Log'!$A$4:$A$810&lt;=$J53)),'Match Log'!$N$4:$N$810),NA()))</f>
        <v>#N/A</v>
      </c>
      <c r="W53" t="e">
        <f>IF($J53&gt;MAX('Match Log'!$A$4:$A$810),NA(),IFERROR(LOOKUP(2,1/(('Match Log'!$D$4:$D$810=$W$24)*('Match Log'!$A$4:$A$810&lt;=$J53)),'Match Log'!$N$4:$N$810),NA()))</f>
        <v>#N/A</v>
      </c>
      <c r="X53" t="e">
        <f>IF($J53&gt;MAX('Match Log'!$A$4:$A$810),NA(),IFERROR(LOOKUP(2,1/(('Match Log'!$D$4:$D$810=$X$24)*('Match Log'!$A$4:$A$810&lt;=$J53)),'Match Log'!$N$4:$N$810),NA()))</f>
        <v>#N/A</v>
      </c>
      <c r="Y53" t="str">
        <f t="shared" ca="1" si="18"/>
        <v/>
      </c>
    </row>
    <row r="54" spans="1:25" ht="15" customHeight="1" x14ac:dyDescent="0.2">
      <c r="A54">
        <v>30</v>
      </c>
      <c r="B54" s="127">
        <f>IFERROR(INDEX('Match Log'!$B$4:$B$810,MATCH(30,'Match Log'!$A$4:$A$810,0)),"")</f>
        <v>46175</v>
      </c>
      <c r="C54" t="str">
        <f>IFERROR(INDEX('Match Log'!$C$4:$C$810,MATCH(30,'Match Log'!$A$4:$A$810,0)),"")</f>
        <v>Table Tennis</v>
      </c>
      <c r="D54" t="str">
        <f t="array" ref="D54">IFERROR(_xlfn.TEXTJOIN(" + ",TRUE,IF(('Match Log'!$A$4:$A$810=$A54)*('Match Log'!$E$4:$E$810="Win"),'Match Log'!$D$4:$D$810,"")),IFERROR(LOOKUP(2,1/(('Match Log'!$A$4:$A$810=$A54)*('Match Log'!$E$4:$E$810="Win")),'Match Log'!$D$4:$D$810),""))</f>
        <v>Aaron</v>
      </c>
      <c r="E54" s="128">
        <f>IFERROR(INDEX('Match Log'!$F$4:$F$810,MATCH(30,'Match Log'!$A$4:$A$810,0)),"")</f>
        <v>2</v>
      </c>
      <c r="F54">
        <f>IFERROR(SUMIFS('Match Log'!$I$4:$I$810,'Match Log'!$A$4:$A$810,30,'Match Log'!$E$4:$E$810,"Win"),"")</f>
        <v>0.625</v>
      </c>
      <c r="G54">
        <f t="shared" si="16"/>
        <v>-0.25</v>
      </c>
      <c r="H54" t="str">
        <f t="array" ref="H54">IFERROR(IF(COUNTIFS('Match Log'!$A$4:$A$810,$A54,'Match Log'!$E$4:$E$810,"Win")&gt;1,_xlfn.TEXTJOIN(" + ",TRUE,IF(('Match Log'!$A$4:$A$810=$A54)*('Match Log'!$E$4:$E$810="Loss"),'Match Log'!$D$4:$D$810,"")),IF($E54=2,LOOKUP(2,1/(('Match Log'!$A$4:$A$810=$A54)*('Match Log'!$E$4:$E$810="Loss")),'Match Log'!$D$4:$D$810),"the field")),"")</f>
        <v>David</v>
      </c>
      <c r="I54">
        <f t="shared" si="17"/>
        <v>-0.25002999999999997</v>
      </c>
      <c r="J54">
        <v>30</v>
      </c>
      <c r="K54">
        <f>IF($J54&gt;MAX('Match Log'!$A$4:$A$810),NA(),IFERROR(LOOKUP(2,1/(('Match Log'!$D$4:$D$810=$K$24)*('Match Log'!$A$4:$A$810&lt;=$J54)),'Match Log'!$N$4:$N$810),NA()))</f>
        <v>1085.2306426479727</v>
      </c>
      <c r="L54" t="e">
        <f>IF($J54&gt;MAX('Match Log'!$A$4:$A$810),NA(),IFERROR(LOOKUP(2,1/(('Match Log'!$D$4:$D$810=$L$24)*('Match Log'!$A$4:$A$810&lt;=$J54)),'Match Log'!$N$4:$N$810),NA()))</f>
        <v>#N/A</v>
      </c>
      <c r="M54">
        <f>IF($J54&gt;MAX('Match Log'!$A$4:$A$810),NA(),IFERROR(LOOKUP(2,1/(('Match Log'!$D$4:$D$810=$M$24)*('Match Log'!$A$4:$A$810&lt;=$J54)),'Match Log'!$N$4:$N$810),NA()))</f>
        <v>1053.2976607677983</v>
      </c>
      <c r="N54">
        <f>IF($J54&gt;MAX('Match Log'!$A$4:$A$810),NA(),IFERROR(LOOKUP(2,1/(('Match Log'!$D$4:$D$810=$N$24)*('Match Log'!$A$4:$A$810&lt;=$J54)),'Match Log'!$N$4:$N$810),NA()))</f>
        <v>930.4421101381032</v>
      </c>
      <c r="O54">
        <f>IF($J54&gt;MAX('Match Log'!$A$4:$A$810),NA(),IFERROR(LOOKUP(2,1/(('Match Log'!$D$4:$D$810=$O$24)*('Match Log'!$A$4:$A$810&lt;=$J54)),'Match Log'!$N$4:$N$810),NA()))</f>
        <v>1115.6183486701341</v>
      </c>
      <c r="P54">
        <f>IF($J54&gt;MAX('Match Log'!$A$4:$A$810),NA(),IFERROR(LOOKUP(2,1/(('Match Log'!$D$4:$D$810=$P$24)*('Match Log'!$A$4:$A$810&lt;=$J54)),'Match Log'!$N$4:$N$810),NA()))</f>
        <v>1007.4743526549773</v>
      </c>
      <c r="Q54">
        <f>IF($J54&gt;MAX('Match Log'!$A$4:$A$810),NA(),IFERROR(LOOKUP(2,1/(('Match Log'!$D$4:$D$810=$Q$24)*('Match Log'!$A$4:$A$810&lt;=$J54)),'Match Log'!$N$4:$N$810),NA()))</f>
        <v>1004.2142857142857</v>
      </c>
      <c r="R54">
        <f>IF($J54&gt;MAX('Match Log'!$A$4:$A$810),NA(),IFERROR(LOOKUP(2,1/(('Match Log'!$D$4:$D$810=$R$24)*('Match Log'!$A$4:$A$810&lt;=$J54)),'Match Log'!$N$4:$N$810),NA()))</f>
        <v>907.33636013309672</v>
      </c>
      <c r="S54" t="e">
        <f>IF($J54&gt;MAX('Match Log'!$A$4:$A$810),NA(),IFERROR(LOOKUP(2,1/(('Match Log'!$D$4:$D$810=$S$24)*('Match Log'!$A$4:$A$810&lt;=$J54)),'Match Log'!$N$4:$N$810),NA()))</f>
        <v>#N/A</v>
      </c>
      <c r="T54">
        <f>IF($J54&gt;MAX('Match Log'!$A$4:$A$810),NA(),IFERROR(LOOKUP(2,1/(('Match Log'!$D$4:$D$810=$T$24)*('Match Log'!$A$4:$A$810&lt;=$J54)),'Match Log'!$N$4:$N$810),NA()))</f>
        <v>947.60327900388552</v>
      </c>
      <c r="U54">
        <f>IF($J54&gt;MAX('Match Log'!$A$4:$A$810),NA(),IFERROR(LOOKUP(2,1/(('Match Log'!$D$4:$D$810=$U$24)*('Match Log'!$A$4:$A$810&lt;=$J54)),'Match Log'!$N$4:$N$810),NA()))</f>
        <v>1021.7829602697462</v>
      </c>
      <c r="V54" t="e">
        <f>IF($J54&gt;MAX('Match Log'!$A$4:$A$810),NA(),IFERROR(LOOKUP(2,1/(('Match Log'!$D$4:$D$810=$V$24)*('Match Log'!$A$4:$A$810&lt;=$J54)),'Match Log'!$N$4:$N$810),NA()))</f>
        <v>#N/A</v>
      </c>
      <c r="W54" t="e">
        <f>IF($J54&gt;MAX('Match Log'!$A$4:$A$810),NA(),IFERROR(LOOKUP(2,1/(('Match Log'!$D$4:$D$810=$W$24)*('Match Log'!$A$4:$A$810&lt;=$J54)),'Match Log'!$N$4:$N$810),NA()))</f>
        <v>#N/A</v>
      </c>
      <c r="X54" t="e">
        <f>IF($J54&gt;MAX('Match Log'!$A$4:$A$810),NA(),IFERROR(LOOKUP(2,1/(('Match Log'!$D$4:$D$810=$X$24)*('Match Log'!$A$4:$A$810&lt;=$J54)),'Match Log'!$N$4:$N$810),NA()))</f>
        <v>#N/A</v>
      </c>
      <c r="Y54" t="str">
        <f t="shared" ca="1" si="18"/>
        <v/>
      </c>
    </row>
    <row r="55" spans="1:25" ht="15" customHeight="1" x14ac:dyDescent="0.2">
      <c r="A55">
        <v>31</v>
      </c>
      <c r="B55" s="127">
        <f>IFERROR(INDEX('Match Log'!$B$4:$B$810,MATCH(31,'Match Log'!$A$4:$A$810,0)),"")</f>
        <v>46175</v>
      </c>
      <c r="C55" t="str">
        <f>IFERROR(INDEX('Match Log'!$C$4:$C$810,MATCH(31,'Match Log'!$A$4:$A$810,0)),"")</f>
        <v>Call of Duty</v>
      </c>
      <c r="D55" t="str">
        <f t="array" ref="D55">IFERROR(_xlfn.TEXTJOIN(" + ",TRUE,IF(('Match Log'!$A$4:$A$810=$A55)*('Match Log'!$E$4:$E$810="Win"),'Match Log'!$D$4:$D$810,"")),IFERROR(LOOKUP(2,1/(('Match Log'!$A$4:$A$810=$A55)*('Match Log'!$E$4:$E$810="Win")),'Match Log'!$D$4:$D$810),""))</f>
        <v>Daniel (Ferret)</v>
      </c>
      <c r="E55" s="128">
        <f>IFERROR(INDEX('Match Log'!$F$4:$F$810,MATCH(31,'Match Log'!$A$4:$A$810,0)),"")</f>
        <v>2</v>
      </c>
      <c r="F55">
        <f>IFERROR(SUMIFS('Match Log'!$I$4:$I$810,'Match Log'!$A$4:$A$810,31,'Match Log'!$E$4:$E$810,"Win"),"")</f>
        <v>0.5</v>
      </c>
      <c r="G55">
        <f t="shared" si="16"/>
        <v>0</v>
      </c>
      <c r="H55" t="str">
        <f t="array" ref="H55">IFERROR(IF(COUNTIFS('Match Log'!$A$4:$A$810,$A55,'Match Log'!$E$4:$E$810,"Win")&gt;1,_xlfn.TEXTJOIN(" + ",TRUE,IF(('Match Log'!$A$4:$A$810=$A55)*('Match Log'!$E$4:$E$810="Loss"),'Match Log'!$D$4:$D$810,"")),IF($E55=2,LOOKUP(2,1/(('Match Log'!$A$4:$A$810=$A55)*('Match Log'!$E$4:$E$810="Loss")),'Match Log'!$D$4:$D$810),"the field")),"")</f>
        <v>Aaron</v>
      </c>
      <c r="I55">
        <f t="shared" si="17"/>
        <v>-3.1000000000000001E-5</v>
      </c>
      <c r="J55">
        <v>31</v>
      </c>
      <c r="K55">
        <f>IF($J55&gt;MAX('Match Log'!$A$4:$A$810),NA(),IFERROR(LOOKUP(2,1/(('Match Log'!$D$4:$D$810=$K$24)*('Match Log'!$A$4:$A$810&lt;=$J55)),'Match Log'!$N$4:$N$810),NA()))</f>
        <v>1055.6863499590656</v>
      </c>
      <c r="L55" t="e">
        <f>IF($J55&gt;MAX('Match Log'!$A$4:$A$810),NA(),IFERROR(LOOKUP(2,1/(('Match Log'!$D$4:$D$810=$L$24)*('Match Log'!$A$4:$A$810&lt;=$J55)),'Match Log'!$N$4:$N$810),NA()))</f>
        <v>#N/A</v>
      </c>
      <c r="M55">
        <f>IF($J55&gt;MAX('Match Log'!$A$4:$A$810),NA(),IFERROR(LOOKUP(2,1/(('Match Log'!$D$4:$D$810=$M$24)*('Match Log'!$A$4:$A$810&lt;=$J55)),'Match Log'!$N$4:$N$810),NA()))</f>
        <v>1053.2976607677983</v>
      </c>
      <c r="N55">
        <f>IF($J55&gt;MAX('Match Log'!$A$4:$A$810),NA(),IFERROR(LOOKUP(2,1/(('Match Log'!$D$4:$D$810=$N$24)*('Match Log'!$A$4:$A$810&lt;=$J55)),'Match Log'!$N$4:$N$810),NA()))</f>
        <v>930.4421101381032</v>
      </c>
      <c r="O55">
        <f>IF($J55&gt;MAX('Match Log'!$A$4:$A$810),NA(),IFERROR(LOOKUP(2,1/(('Match Log'!$D$4:$D$810=$O$24)*('Match Log'!$A$4:$A$810&lt;=$J55)),'Match Log'!$N$4:$N$810),NA()))</f>
        <v>1115.6183486701341</v>
      </c>
      <c r="P55">
        <f>IF($J55&gt;MAX('Match Log'!$A$4:$A$810),NA(),IFERROR(LOOKUP(2,1/(('Match Log'!$D$4:$D$810=$P$24)*('Match Log'!$A$4:$A$810&lt;=$J55)),'Match Log'!$N$4:$N$810),NA()))</f>
        <v>1007.4743526549773</v>
      </c>
      <c r="Q55">
        <f>IF($J55&gt;MAX('Match Log'!$A$4:$A$810),NA(),IFERROR(LOOKUP(2,1/(('Match Log'!$D$4:$D$810=$Q$24)*('Match Log'!$A$4:$A$810&lt;=$J55)),'Match Log'!$N$4:$N$810),NA()))</f>
        <v>1004.2142857142857</v>
      </c>
      <c r="R55">
        <f>IF($J55&gt;MAX('Match Log'!$A$4:$A$810),NA(),IFERROR(LOOKUP(2,1/(('Match Log'!$D$4:$D$810=$R$24)*('Match Log'!$A$4:$A$810&lt;=$J55)),'Match Log'!$N$4:$N$810),NA()))</f>
        <v>936.88065282200364</v>
      </c>
      <c r="S55" t="e">
        <f>IF($J55&gt;MAX('Match Log'!$A$4:$A$810),NA(),IFERROR(LOOKUP(2,1/(('Match Log'!$D$4:$D$810=$S$24)*('Match Log'!$A$4:$A$810&lt;=$J55)),'Match Log'!$N$4:$N$810),NA()))</f>
        <v>#N/A</v>
      </c>
      <c r="T55">
        <f>IF($J55&gt;MAX('Match Log'!$A$4:$A$810),NA(),IFERROR(LOOKUP(2,1/(('Match Log'!$D$4:$D$810=$T$24)*('Match Log'!$A$4:$A$810&lt;=$J55)),'Match Log'!$N$4:$N$810),NA()))</f>
        <v>947.60327900388552</v>
      </c>
      <c r="U55">
        <f>IF($J55&gt;MAX('Match Log'!$A$4:$A$810),NA(),IFERROR(LOOKUP(2,1/(('Match Log'!$D$4:$D$810=$U$24)*('Match Log'!$A$4:$A$810&lt;=$J55)),'Match Log'!$N$4:$N$810),NA()))</f>
        <v>1021.7829602697462</v>
      </c>
      <c r="V55" t="e">
        <f>IF($J55&gt;MAX('Match Log'!$A$4:$A$810),NA(),IFERROR(LOOKUP(2,1/(('Match Log'!$D$4:$D$810=$V$24)*('Match Log'!$A$4:$A$810&lt;=$J55)),'Match Log'!$N$4:$N$810),NA()))</f>
        <v>#N/A</v>
      </c>
      <c r="W55" t="e">
        <f>IF($J55&gt;MAX('Match Log'!$A$4:$A$810),NA(),IFERROR(LOOKUP(2,1/(('Match Log'!$D$4:$D$810=$W$24)*('Match Log'!$A$4:$A$810&lt;=$J55)),'Match Log'!$N$4:$N$810),NA()))</f>
        <v>#N/A</v>
      </c>
      <c r="X55" t="e">
        <f>IF($J55&gt;MAX('Match Log'!$A$4:$A$810),NA(),IFERROR(LOOKUP(2,1/(('Match Log'!$D$4:$D$810=$X$24)*('Match Log'!$A$4:$A$810&lt;=$J55)),'Match Log'!$N$4:$N$810),NA()))</f>
        <v>#N/A</v>
      </c>
      <c r="Y55" t="str">
        <f t="shared" ca="1" si="18"/>
        <v/>
      </c>
    </row>
    <row r="56" spans="1:25" ht="15" customHeight="1" x14ac:dyDescent="0.2">
      <c r="A56">
        <v>32</v>
      </c>
      <c r="B56" s="127">
        <f>IFERROR(INDEX('Match Log'!$B$4:$B$810,MATCH(32,'Match Log'!$A$4:$A$810,0)),"")</f>
        <v>46175</v>
      </c>
      <c r="C56" t="str">
        <f>IFERROR(INDEX('Match Log'!$C$4:$C$810,MATCH(32,'Match Log'!$A$4:$A$810,0)),"")</f>
        <v>Call of Duty</v>
      </c>
      <c r="D56" t="str">
        <f t="array" ref="D56">IFERROR(_xlfn.TEXTJOIN(" + ",TRUE,IF(('Match Log'!$A$4:$A$810=$A56)*('Match Log'!$E$4:$E$810="Win"),'Match Log'!$D$4:$D$810,"")),IFERROR(LOOKUP(2,1/(('Match Log'!$A$4:$A$810=$A56)*('Match Log'!$E$4:$E$810="Win")),'Match Log'!$D$4:$D$810),""))</f>
        <v>Daniel (Ferret)</v>
      </c>
      <c r="E56" s="128">
        <f>IFERROR(INDEX('Match Log'!$F$4:$F$810,MATCH(32,'Match Log'!$A$4:$A$810,0)),"")</f>
        <v>2</v>
      </c>
      <c r="F56">
        <f>IFERROR(SUMIFS('Match Log'!$I$4:$I$810,'Match Log'!$A$4:$A$810,32,'Match Log'!$E$4:$E$810,"Win"),"")</f>
        <v>0.57142857142857151</v>
      </c>
      <c r="G56">
        <f t="shared" si="16"/>
        <v>-0.14285714285714302</v>
      </c>
      <c r="H56" t="str">
        <f t="array" ref="H56">IFERROR(IF(COUNTIFS('Match Log'!$A$4:$A$810,$A56,'Match Log'!$E$4:$E$810,"Win")&gt;1,_xlfn.TEXTJOIN(" + ",TRUE,IF(('Match Log'!$A$4:$A$810=$A56)*('Match Log'!$E$4:$E$810="Loss"),'Match Log'!$D$4:$D$810,"")),IF($E56=2,LOOKUP(2,1/(('Match Log'!$A$4:$A$810=$A56)*('Match Log'!$E$4:$E$810="Loss")),'Match Log'!$D$4:$D$810),"the field")),"")</f>
        <v>Chase</v>
      </c>
      <c r="I56">
        <f t="shared" si="17"/>
        <v>-0.14288914285714302</v>
      </c>
      <c r="J56">
        <v>32</v>
      </c>
      <c r="K56">
        <f>IF($J56&gt;MAX('Match Log'!$A$4:$A$810),NA(),IFERROR(LOOKUP(2,1/(('Match Log'!$D$4:$D$810=$K$24)*('Match Log'!$A$4:$A$810&lt;=$J56)),'Match Log'!$N$4:$N$810),NA()))</f>
        <v>1055.6863499590656</v>
      </c>
      <c r="L56" t="e">
        <f>IF($J56&gt;MAX('Match Log'!$A$4:$A$810),NA(),IFERROR(LOOKUP(2,1/(('Match Log'!$D$4:$D$810=$L$24)*('Match Log'!$A$4:$A$810&lt;=$J56)),'Match Log'!$N$4:$N$810),NA()))</f>
        <v>#N/A</v>
      </c>
      <c r="M56">
        <f>IF($J56&gt;MAX('Match Log'!$A$4:$A$810),NA(),IFERROR(LOOKUP(2,1/(('Match Log'!$D$4:$D$810=$M$24)*('Match Log'!$A$4:$A$810&lt;=$J56)),'Match Log'!$N$4:$N$810),NA()))</f>
        <v>1027.5359902116627</v>
      </c>
      <c r="N56">
        <f>IF($J56&gt;MAX('Match Log'!$A$4:$A$810),NA(),IFERROR(LOOKUP(2,1/(('Match Log'!$D$4:$D$810=$N$24)*('Match Log'!$A$4:$A$810&lt;=$J56)),'Match Log'!$N$4:$N$810),NA()))</f>
        <v>930.4421101381032</v>
      </c>
      <c r="O56">
        <f>IF($J56&gt;MAX('Match Log'!$A$4:$A$810),NA(),IFERROR(LOOKUP(2,1/(('Match Log'!$D$4:$D$810=$O$24)*('Match Log'!$A$4:$A$810&lt;=$J56)),'Match Log'!$N$4:$N$810),NA()))</f>
        <v>1115.6183486701341</v>
      </c>
      <c r="P56">
        <f>IF($J56&gt;MAX('Match Log'!$A$4:$A$810),NA(),IFERROR(LOOKUP(2,1/(('Match Log'!$D$4:$D$810=$P$24)*('Match Log'!$A$4:$A$810&lt;=$J56)),'Match Log'!$N$4:$N$810),NA()))</f>
        <v>1007.4743526549773</v>
      </c>
      <c r="Q56">
        <f>IF($J56&gt;MAX('Match Log'!$A$4:$A$810),NA(),IFERROR(LOOKUP(2,1/(('Match Log'!$D$4:$D$810=$Q$24)*('Match Log'!$A$4:$A$810&lt;=$J56)),'Match Log'!$N$4:$N$810),NA()))</f>
        <v>1004.2142857142857</v>
      </c>
      <c r="R56">
        <f>IF($J56&gt;MAX('Match Log'!$A$4:$A$810),NA(),IFERROR(LOOKUP(2,1/(('Match Log'!$D$4:$D$810=$R$24)*('Match Log'!$A$4:$A$810&lt;=$J56)),'Match Log'!$N$4:$N$810),NA()))</f>
        <v>962.64232337813939</v>
      </c>
      <c r="S56" t="e">
        <f>IF($J56&gt;MAX('Match Log'!$A$4:$A$810),NA(),IFERROR(LOOKUP(2,1/(('Match Log'!$D$4:$D$810=$S$24)*('Match Log'!$A$4:$A$810&lt;=$J56)),'Match Log'!$N$4:$N$810),NA()))</f>
        <v>#N/A</v>
      </c>
      <c r="T56">
        <f>IF($J56&gt;MAX('Match Log'!$A$4:$A$810),NA(),IFERROR(LOOKUP(2,1/(('Match Log'!$D$4:$D$810=$T$24)*('Match Log'!$A$4:$A$810&lt;=$J56)),'Match Log'!$N$4:$N$810),NA()))</f>
        <v>947.60327900388552</v>
      </c>
      <c r="U56">
        <f>IF($J56&gt;MAX('Match Log'!$A$4:$A$810),NA(),IFERROR(LOOKUP(2,1/(('Match Log'!$D$4:$D$810=$U$24)*('Match Log'!$A$4:$A$810&lt;=$J56)),'Match Log'!$N$4:$N$810),NA()))</f>
        <v>1021.7829602697462</v>
      </c>
      <c r="V56" t="e">
        <f>IF($J56&gt;MAX('Match Log'!$A$4:$A$810),NA(),IFERROR(LOOKUP(2,1/(('Match Log'!$D$4:$D$810=$V$24)*('Match Log'!$A$4:$A$810&lt;=$J56)),'Match Log'!$N$4:$N$810),NA()))</f>
        <v>#N/A</v>
      </c>
      <c r="W56" t="e">
        <f>IF($J56&gt;MAX('Match Log'!$A$4:$A$810),NA(),IFERROR(LOOKUP(2,1/(('Match Log'!$D$4:$D$810=$W$24)*('Match Log'!$A$4:$A$810&lt;=$J56)),'Match Log'!$N$4:$N$810),NA()))</f>
        <v>#N/A</v>
      </c>
      <c r="X56" t="e">
        <f>IF($J56&gt;MAX('Match Log'!$A$4:$A$810),NA(),IFERROR(LOOKUP(2,1/(('Match Log'!$D$4:$D$810=$X$24)*('Match Log'!$A$4:$A$810&lt;=$J56)),'Match Log'!$N$4:$N$810),NA()))</f>
        <v>#N/A</v>
      </c>
      <c r="Y56" t="str">
        <f t="shared" ca="1" si="18"/>
        <v/>
      </c>
    </row>
    <row r="57" spans="1:25" ht="15" customHeight="1" x14ac:dyDescent="0.2">
      <c r="A57">
        <v>33</v>
      </c>
      <c r="B57" s="127">
        <f>IFERROR(INDEX('Match Log'!$B$4:$B$810,MATCH(33,'Match Log'!$A$4:$A$810,0)),"")</f>
        <v>46175</v>
      </c>
      <c r="C57" t="str">
        <f>IFERROR(INDEX('Match Log'!$C$4:$C$810,MATCH(33,'Match Log'!$A$4:$A$810,0)),"")</f>
        <v>Call of Duty</v>
      </c>
      <c r="D57" t="str">
        <f t="array" ref="D57">IFERROR(_xlfn.TEXTJOIN(" + ",TRUE,IF(('Match Log'!$A$4:$A$810=$A57)*('Match Log'!$E$4:$E$810="Win"),'Match Log'!$D$4:$D$810,"")),IFERROR(LOOKUP(2,1/(('Match Log'!$A$4:$A$810=$A57)*('Match Log'!$E$4:$E$810="Win")),'Match Log'!$D$4:$D$810),""))</f>
        <v>Aaron</v>
      </c>
      <c r="E57" s="128">
        <f>IFERROR(INDEX('Match Log'!$F$4:$F$810,MATCH(33,'Match Log'!$A$4:$A$810,0)),"")</f>
        <v>2</v>
      </c>
      <c r="F57">
        <f>IFERROR(SUMIFS('Match Log'!$I$4:$I$810,'Match Log'!$A$4:$A$810,33,'Match Log'!$E$4:$E$810,"Win"),"")</f>
        <v>0.5</v>
      </c>
      <c r="G57">
        <f t="shared" ref="G57:G88" si="19">IF($D57="","",1-$F57*$E57)</f>
        <v>0</v>
      </c>
      <c r="H57" t="str">
        <f t="array" ref="H57">IFERROR(IF(COUNTIFS('Match Log'!$A$4:$A$810,$A57,'Match Log'!$E$4:$E$810,"Win")&gt;1,_xlfn.TEXTJOIN(" + ",TRUE,IF(('Match Log'!$A$4:$A$810=$A57)*('Match Log'!$E$4:$E$810="Loss"),'Match Log'!$D$4:$D$810,"")),IF($E57=2,LOOKUP(2,1/(('Match Log'!$A$4:$A$810=$A57)*('Match Log'!$E$4:$E$810="Loss")),'Match Log'!$D$4:$D$810),"the field")),"")</f>
        <v>Chase</v>
      </c>
      <c r="I57">
        <f t="shared" ref="I57:I88" si="20">IF($G57="","",$G57-$A57/1000000)</f>
        <v>-3.3000000000000003E-5</v>
      </c>
      <c r="J57">
        <v>33</v>
      </c>
      <c r="K57">
        <f>IF($J57&gt;MAX('Match Log'!$A$4:$A$810),NA(),IFERROR(LOOKUP(2,1/(('Match Log'!$D$4:$D$810=$K$24)*('Match Log'!$A$4:$A$810&lt;=$J57)),'Match Log'!$N$4:$N$810),NA()))</f>
        <v>1076.6133044665753</v>
      </c>
      <c r="L57" t="e">
        <f>IF($J57&gt;MAX('Match Log'!$A$4:$A$810),NA(),IFERROR(LOOKUP(2,1/(('Match Log'!$D$4:$D$810=$L$24)*('Match Log'!$A$4:$A$810&lt;=$J57)),'Match Log'!$N$4:$N$810),NA()))</f>
        <v>#N/A</v>
      </c>
      <c r="M57">
        <f>IF($J57&gt;MAX('Match Log'!$A$4:$A$810),NA(),IFERROR(LOOKUP(2,1/(('Match Log'!$D$4:$D$810=$M$24)*('Match Log'!$A$4:$A$810&lt;=$J57)),'Match Log'!$N$4:$N$810),NA()))</f>
        <v>1006.6090357041531</v>
      </c>
      <c r="N57">
        <f>IF($J57&gt;MAX('Match Log'!$A$4:$A$810),NA(),IFERROR(LOOKUP(2,1/(('Match Log'!$D$4:$D$810=$N$24)*('Match Log'!$A$4:$A$810&lt;=$J57)),'Match Log'!$N$4:$N$810),NA()))</f>
        <v>930.4421101381032</v>
      </c>
      <c r="O57">
        <f>IF($J57&gt;MAX('Match Log'!$A$4:$A$810),NA(),IFERROR(LOOKUP(2,1/(('Match Log'!$D$4:$D$810=$O$24)*('Match Log'!$A$4:$A$810&lt;=$J57)),'Match Log'!$N$4:$N$810),NA()))</f>
        <v>1115.6183486701341</v>
      </c>
      <c r="P57">
        <f>IF($J57&gt;MAX('Match Log'!$A$4:$A$810),NA(),IFERROR(LOOKUP(2,1/(('Match Log'!$D$4:$D$810=$P$24)*('Match Log'!$A$4:$A$810&lt;=$J57)),'Match Log'!$N$4:$N$810),NA()))</f>
        <v>1007.4743526549773</v>
      </c>
      <c r="Q57">
        <f>IF($J57&gt;MAX('Match Log'!$A$4:$A$810),NA(),IFERROR(LOOKUP(2,1/(('Match Log'!$D$4:$D$810=$Q$24)*('Match Log'!$A$4:$A$810&lt;=$J57)),'Match Log'!$N$4:$N$810),NA()))</f>
        <v>1004.2142857142857</v>
      </c>
      <c r="R57">
        <f>IF($J57&gt;MAX('Match Log'!$A$4:$A$810),NA(),IFERROR(LOOKUP(2,1/(('Match Log'!$D$4:$D$810=$R$24)*('Match Log'!$A$4:$A$810&lt;=$J57)),'Match Log'!$N$4:$N$810),NA()))</f>
        <v>962.64232337813939</v>
      </c>
      <c r="S57" t="e">
        <f>IF($J57&gt;MAX('Match Log'!$A$4:$A$810),NA(),IFERROR(LOOKUP(2,1/(('Match Log'!$D$4:$D$810=$S$24)*('Match Log'!$A$4:$A$810&lt;=$J57)),'Match Log'!$N$4:$N$810),NA()))</f>
        <v>#N/A</v>
      </c>
      <c r="T57">
        <f>IF($J57&gt;MAX('Match Log'!$A$4:$A$810),NA(),IFERROR(LOOKUP(2,1/(('Match Log'!$D$4:$D$810=$T$24)*('Match Log'!$A$4:$A$810&lt;=$J57)),'Match Log'!$N$4:$N$810),NA()))</f>
        <v>947.60327900388552</v>
      </c>
      <c r="U57">
        <f>IF($J57&gt;MAX('Match Log'!$A$4:$A$810),NA(),IFERROR(LOOKUP(2,1/(('Match Log'!$D$4:$D$810=$U$24)*('Match Log'!$A$4:$A$810&lt;=$J57)),'Match Log'!$N$4:$N$810),NA()))</f>
        <v>1021.7829602697462</v>
      </c>
      <c r="V57" t="e">
        <f>IF($J57&gt;MAX('Match Log'!$A$4:$A$810),NA(),IFERROR(LOOKUP(2,1/(('Match Log'!$D$4:$D$810=$V$24)*('Match Log'!$A$4:$A$810&lt;=$J57)),'Match Log'!$N$4:$N$810),NA()))</f>
        <v>#N/A</v>
      </c>
      <c r="W57" t="e">
        <f>IF($J57&gt;MAX('Match Log'!$A$4:$A$810),NA(),IFERROR(LOOKUP(2,1/(('Match Log'!$D$4:$D$810=$W$24)*('Match Log'!$A$4:$A$810&lt;=$J57)),'Match Log'!$N$4:$N$810),NA()))</f>
        <v>#N/A</v>
      </c>
      <c r="X57" t="e">
        <f>IF($J57&gt;MAX('Match Log'!$A$4:$A$810),NA(),IFERROR(LOOKUP(2,1/(('Match Log'!$D$4:$D$810=$X$24)*('Match Log'!$A$4:$A$810&lt;=$J57)),'Match Log'!$N$4:$N$810),NA()))</f>
        <v>#N/A</v>
      </c>
      <c r="Y57" t="str">
        <f t="shared" ref="Y57:Y88" ca="1" si="21">IF(AND($B57&lt;&gt;"",$B57&gt;=$B$5,$I57&lt;&gt;""),$I57,"")</f>
        <v/>
      </c>
    </row>
    <row r="58" spans="1:25" ht="15" customHeight="1" x14ac:dyDescent="0.2">
      <c r="A58">
        <v>34</v>
      </c>
      <c r="B58" s="127">
        <f>IFERROR(INDEX('Match Log'!$B$4:$B$810,MATCH(34,'Match Log'!$A$4:$A$810,0)),"")</f>
        <v>46175</v>
      </c>
      <c r="C58" t="str">
        <f>IFERROR(INDEX('Match Log'!$C$4:$C$810,MATCH(34,'Match Log'!$A$4:$A$810,0)),"")</f>
        <v>Poker</v>
      </c>
      <c r="D58" t="str">
        <f t="array" ref="D58">IFERROR(_xlfn.TEXTJOIN(" + ",TRUE,IF(('Match Log'!$A$4:$A$810=$A58)*('Match Log'!$E$4:$E$810="Win"),'Match Log'!$D$4:$D$810,"")),IFERROR(LOOKUP(2,1/(('Match Log'!$A$4:$A$810=$A58)*('Match Log'!$E$4:$E$810="Win")),'Match Log'!$D$4:$D$810),""))</f>
        <v>Josh</v>
      </c>
      <c r="E58" s="128">
        <f>IFERROR(INDEX('Match Log'!$F$4:$F$810,MATCH(34,'Match Log'!$A$4:$A$810,0)),"")</f>
        <v>3</v>
      </c>
      <c r="F58">
        <f>IFERROR(SUMIFS('Match Log'!$I$4:$I$810,'Match Log'!$A$4:$A$810,34,'Match Log'!$E$4:$E$810,"Win"),"")</f>
        <v>0.33333333333333331</v>
      </c>
      <c r="G58">
        <f t="shared" si="19"/>
        <v>0</v>
      </c>
      <c r="H58" t="str">
        <f t="array" ref="H58">IFERROR(IF(COUNTIFS('Match Log'!$A$4:$A$810,$A58,'Match Log'!$E$4:$E$810,"Win")&gt;1,_xlfn.TEXTJOIN(" + ",TRUE,IF(('Match Log'!$A$4:$A$810=$A58)*('Match Log'!$E$4:$E$810="Loss"),'Match Log'!$D$4:$D$810,"")),IF($E58=2,LOOKUP(2,1/(('Match Log'!$A$4:$A$810=$A58)*('Match Log'!$E$4:$E$810="Loss")),'Match Log'!$D$4:$D$810),"the field")),"")</f>
        <v>the field</v>
      </c>
      <c r="I58">
        <f t="shared" si="20"/>
        <v>-3.4E-5</v>
      </c>
      <c r="J58">
        <v>34</v>
      </c>
      <c r="K58">
        <f>IF($J58&gt;MAX('Match Log'!$A$4:$A$810),NA(),IFERROR(LOOKUP(2,1/(('Match Log'!$D$4:$D$810=$K$24)*('Match Log'!$A$4:$A$810&lt;=$J58)),'Match Log'!$N$4:$N$810),NA()))</f>
        <v>1076.6133044665753</v>
      </c>
      <c r="L58" t="e">
        <f>IF($J58&gt;MAX('Match Log'!$A$4:$A$810),NA(),IFERROR(LOOKUP(2,1/(('Match Log'!$D$4:$D$810=$L$24)*('Match Log'!$A$4:$A$810&lt;=$J58)),'Match Log'!$N$4:$N$810),NA()))</f>
        <v>#N/A</v>
      </c>
      <c r="M58">
        <f>IF($J58&gt;MAX('Match Log'!$A$4:$A$810),NA(),IFERROR(LOOKUP(2,1/(('Match Log'!$D$4:$D$810=$M$24)*('Match Log'!$A$4:$A$810&lt;=$J58)),'Match Log'!$N$4:$N$810),NA()))</f>
        <v>1000.0398229848671</v>
      </c>
      <c r="N58">
        <f>IF($J58&gt;MAX('Match Log'!$A$4:$A$810),NA(),IFERROR(LOOKUP(2,1/(('Match Log'!$D$4:$D$810=$N$24)*('Match Log'!$A$4:$A$810&lt;=$J58)),'Match Log'!$N$4:$N$810),NA()))</f>
        <v>930.4421101381032</v>
      </c>
      <c r="O58">
        <f>IF($J58&gt;MAX('Match Log'!$A$4:$A$810),NA(),IFERROR(LOOKUP(2,1/(('Match Log'!$D$4:$D$810=$O$24)*('Match Log'!$A$4:$A$810&lt;=$J58)),'Match Log'!$N$4:$N$810),NA()))</f>
        <v>1136.8764141290719</v>
      </c>
      <c r="P58">
        <f>IF($J58&gt;MAX('Match Log'!$A$4:$A$810),NA(),IFERROR(LOOKUP(2,1/(('Match Log'!$D$4:$D$810=$P$24)*('Match Log'!$A$4:$A$810&lt;=$J58)),'Match Log'!$N$4:$N$810),NA()))</f>
        <v>1007.4743526549773</v>
      </c>
      <c r="Q58">
        <f>IF($J58&gt;MAX('Match Log'!$A$4:$A$810),NA(),IFERROR(LOOKUP(2,1/(('Match Log'!$D$4:$D$810=$Q$24)*('Match Log'!$A$4:$A$810&lt;=$J58)),'Match Log'!$N$4:$N$810),NA()))</f>
        <v>1004.2142857142857</v>
      </c>
      <c r="R58">
        <f>IF($J58&gt;MAX('Match Log'!$A$4:$A$810),NA(),IFERROR(LOOKUP(2,1/(('Match Log'!$D$4:$D$810=$R$24)*('Match Log'!$A$4:$A$810&lt;=$J58)),'Match Log'!$N$4:$N$810),NA()))</f>
        <v>956.9534706384876</v>
      </c>
      <c r="S58" t="e">
        <f>IF($J58&gt;MAX('Match Log'!$A$4:$A$810),NA(),IFERROR(LOOKUP(2,1/(('Match Log'!$D$4:$D$810=$S$24)*('Match Log'!$A$4:$A$810&lt;=$J58)),'Match Log'!$N$4:$N$810),NA()))</f>
        <v>#N/A</v>
      </c>
      <c r="T58">
        <f>IF($J58&gt;MAX('Match Log'!$A$4:$A$810),NA(),IFERROR(LOOKUP(2,1/(('Match Log'!$D$4:$D$810=$T$24)*('Match Log'!$A$4:$A$810&lt;=$J58)),'Match Log'!$N$4:$N$810),NA()))</f>
        <v>947.60327900388552</v>
      </c>
      <c r="U58">
        <f>IF($J58&gt;MAX('Match Log'!$A$4:$A$810),NA(),IFERROR(LOOKUP(2,1/(('Match Log'!$D$4:$D$810=$U$24)*('Match Log'!$A$4:$A$810&lt;=$J58)),'Match Log'!$N$4:$N$810),NA()))</f>
        <v>1021.7829602697462</v>
      </c>
      <c r="V58" t="e">
        <f>IF($J58&gt;MAX('Match Log'!$A$4:$A$810),NA(),IFERROR(LOOKUP(2,1/(('Match Log'!$D$4:$D$810=$V$24)*('Match Log'!$A$4:$A$810&lt;=$J58)),'Match Log'!$N$4:$N$810),NA()))</f>
        <v>#N/A</v>
      </c>
      <c r="W58" t="e">
        <f>IF($J58&gt;MAX('Match Log'!$A$4:$A$810),NA(),IFERROR(LOOKUP(2,1/(('Match Log'!$D$4:$D$810=$W$24)*('Match Log'!$A$4:$A$810&lt;=$J58)),'Match Log'!$N$4:$N$810),NA()))</f>
        <v>#N/A</v>
      </c>
      <c r="X58" t="e">
        <f>IF($J58&gt;MAX('Match Log'!$A$4:$A$810),NA(),IFERROR(LOOKUP(2,1/(('Match Log'!$D$4:$D$810=$X$24)*('Match Log'!$A$4:$A$810&lt;=$J58)),'Match Log'!$N$4:$N$810),NA()))</f>
        <v>#N/A</v>
      </c>
      <c r="Y58" t="str">
        <f t="shared" ca="1" si="21"/>
        <v/>
      </c>
    </row>
    <row r="59" spans="1:25" ht="15" customHeight="1" x14ac:dyDescent="0.2">
      <c r="A59">
        <v>35</v>
      </c>
      <c r="B59" s="127">
        <f>IFERROR(INDEX('Match Log'!$B$4:$B$810,MATCH(35,'Match Log'!$A$4:$A$810,0)),"")</f>
        <v>46175</v>
      </c>
      <c r="C59" t="str">
        <f>IFERROR(INDEX('Match Log'!$C$4:$C$810,MATCH(35,'Match Log'!$A$4:$A$810,0)),"")</f>
        <v>Table Tennis</v>
      </c>
      <c r="D59" t="str">
        <f t="array" ref="D59">IFERROR(_xlfn.TEXTJOIN(" + ",TRUE,IF(('Match Log'!$A$4:$A$810=$A59)*('Match Log'!$E$4:$E$810="Win"),'Match Log'!$D$4:$D$810,"")),IFERROR(LOOKUP(2,1/(('Match Log'!$A$4:$A$810=$A59)*('Match Log'!$E$4:$E$810="Win")),'Match Log'!$D$4:$D$810),""))</f>
        <v>David</v>
      </c>
      <c r="E59" s="128">
        <f>IFERROR(INDEX('Match Log'!$F$4:$F$810,MATCH(35,'Match Log'!$A$4:$A$810,0)),"")</f>
        <v>2</v>
      </c>
      <c r="F59">
        <f>IFERROR(SUMIFS('Match Log'!$I$4:$I$810,'Match Log'!$A$4:$A$810,35,'Match Log'!$E$4:$E$810,"Win"),"")</f>
        <v>0.45454545454545447</v>
      </c>
      <c r="G59">
        <f t="shared" si="19"/>
        <v>9.090909090909105E-2</v>
      </c>
      <c r="H59" t="str">
        <f t="array" ref="H59">IFERROR(IF(COUNTIFS('Match Log'!$A$4:$A$810,$A59,'Match Log'!$E$4:$E$810,"Win")&gt;1,_xlfn.TEXTJOIN(" + ",TRUE,IF(('Match Log'!$A$4:$A$810=$A59)*('Match Log'!$E$4:$E$810="Loss"),'Match Log'!$D$4:$D$810,"")),IF($E59=2,LOOKUP(2,1/(('Match Log'!$A$4:$A$810=$A59)*('Match Log'!$E$4:$E$810="Loss")),'Match Log'!$D$4:$D$810),"the field")),"")</f>
        <v>Cody</v>
      </c>
      <c r="I59">
        <f t="shared" si="20"/>
        <v>9.0874090909091057E-2</v>
      </c>
      <c r="J59">
        <v>35</v>
      </c>
      <c r="K59">
        <f>IF($J59&gt;MAX('Match Log'!$A$4:$A$810),NA(),IFERROR(LOOKUP(2,1/(('Match Log'!$D$4:$D$810=$K$24)*('Match Log'!$A$4:$A$810&lt;=$J59)),'Match Log'!$N$4:$N$810),NA()))</f>
        <v>1076.6133044665753</v>
      </c>
      <c r="L59" t="e">
        <f>IF($J59&gt;MAX('Match Log'!$A$4:$A$810),NA(),IFERROR(LOOKUP(2,1/(('Match Log'!$D$4:$D$810=$L$24)*('Match Log'!$A$4:$A$810&lt;=$J59)),'Match Log'!$N$4:$N$810),NA()))</f>
        <v>#N/A</v>
      </c>
      <c r="M59">
        <f>IF($J59&gt;MAX('Match Log'!$A$4:$A$810),NA(),IFERROR(LOOKUP(2,1/(('Match Log'!$D$4:$D$810=$M$24)*('Match Log'!$A$4:$A$810&lt;=$J59)),'Match Log'!$N$4:$N$810),NA()))</f>
        <v>1000.0398229848671</v>
      </c>
      <c r="N59">
        <f>IF($J59&gt;MAX('Match Log'!$A$4:$A$810),NA(),IFERROR(LOOKUP(2,1/(('Match Log'!$D$4:$D$810=$N$24)*('Match Log'!$A$4:$A$810&lt;=$J59)),'Match Log'!$N$4:$N$810),NA()))</f>
        <v>953.67384644692447</v>
      </c>
      <c r="O59">
        <f>IF($J59&gt;MAX('Match Log'!$A$4:$A$810),NA(),IFERROR(LOOKUP(2,1/(('Match Log'!$D$4:$D$810=$O$24)*('Match Log'!$A$4:$A$810&lt;=$J59)),'Match Log'!$N$4:$N$810),NA()))</f>
        <v>1136.8764141290719</v>
      </c>
      <c r="P59">
        <f>IF($J59&gt;MAX('Match Log'!$A$4:$A$810),NA(),IFERROR(LOOKUP(2,1/(('Match Log'!$D$4:$D$810=$P$24)*('Match Log'!$A$4:$A$810&lt;=$J59)),'Match Log'!$N$4:$N$810),NA()))</f>
        <v>1007.4743526549773</v>
      </c>
      <c r="Q59">
        <f>IF($J59&gt;MAX('Match Log'!$A$4:$A$810),NA(),IFERROR(LOOKUP(2,1/(('Match Log'!$D$4:$D$810=$Q$24)*('Match Log'!$A$4:$A$810&lt;=$J59)),'Match Log'!$N$4:$N$810),NA()))</f>
        <v>1004.2142857142857</v>
      </c>
      <c r="R59">
        <f>IF($J59&gt;MAX('Match Log'!$A$4:$A$810),NA(),IFERROR(LOOKUP(2,1/(('Match Log'!$D$4:$D$810=$R$24)*('Match Log'!$A$4:$A$810&lt;=$J59)),'Match Log'!$N$4:$N$810),NA()))</f>
        <v>956.9534706384876</v>
      </c>
      <c r="S59" t="e">
        <f>IF($J59&gt;MAX('Match Log'!$A$4:$A$810),NA(),IFERROR(LOOKUP(2,1/(('Match Log'!$D$4:$D$810=$S$24)*('Match Log'!$A$4:$A$810&lt;=$J59)),'Match Log'!$N$4:$N$810),NA()))</f>
        <v>#N/A</v>
      </c>
      <c r="T59">
        <f>IF($J59&gt;MAX('Match Log'!$A$4:$A$810),NA(),IFERROR(LOOKUP(2,1/(('Match Log'!$D$4:$D$810=$T$24)*('Match Log'!$A$4:$A$810&lt;=$J59)),'Match Log'!$N$4:$N$810),NA()))</f>
        <v>924.37154269506425</v>
      </c>
      <c r="U59">
        <f>IF($J59&gt;MAX('Match Log'!$A$4:$A$810),NA(),IFERROR(LOOKUP(2,1/(('Match Log'!$D$4:$D$810=$U$24)*('Match Log'!$A$4:$A$810&lt;=$J59)),'Match Log'!$N$4:$N$810),NA()))</f>
        <v>1021.7829602697462</v>
      </c>
      <c r="V59" t="e">
        <f>IF($J59&gt;MAX('Match Log'!$A$4:$A$810),NA(),IFERROR(LOOKUP(2,1/(('Match Log'!$D$4:$D$810=$V$24)*('Match Log'!$A$4:$A$810&lt;=$J59)),'Match Log'!$N$4:$N$810),NA()))</f>
        <v>#N/A</v>
      </c>
      <c r="W59" t="e">
        <f>IF($J59&gt;MAX('Match Log'!$A$4:$A$810),NA(),IFERROR(LOOKUP(2,1/(('Match Log'!$D$4:$D$810=$W$24)*('Match Log'!$A$4:$A$810&lt;=$J59)),'Match Log'!$N$4:$N$810),NA()))</f>
        <v>#N/A</v>
      </c>
      <c r="X59" t="e">
        <f>IF($J59&gt;MAX('Match Log'!$A$4:$A$810),NA(),IFERROR(LOOKUP(2,1/(('Match Log'!$D$4:$D$810=$X$24)*('Match Log'!$A$4:$A$810&lt;=$J59)),'Match Log'!$N$4:$N$810),NA()))</f>
        <v>#N/A</v>
      </c>
      <c r="Y59" t="str">
        <f t="shared" ca="1" si="21"/>
        <v/>
      </c>
    </row>
    <row r="60" spans="1:25" ht="15" customHeight="1" x14ac:dyDescent="0.2">
      <c r="A60">
        <v>36</v>
      </c>
      <c r="B60" s="127">
        <f>IFERROR(INDEX('Match Log'!$B$4:$B$810,MATCH(36,'Match Log'!$A$4:$A$810,0)),"")</f>
        <v>46175</v>
      </c>
      <c r="C60" t="str">
        <f>IFERROR(INDEX('Match Log'!$C$4:$C$810,MATCH(36,'Match Log'!$A$4:$A$810,0)),"")</f>
        <v>Table Tennis</v>
      </c>
      <c r="D60" t="str">
        <f t="array" ref="D60">IFERROR(_xlfn.TEXTJOIN(" + ",TRUE,IF(('Match Log'!$A$4:$A$810=$A60)*('Match Log'!$E$4:$E$810="Win"),'Match Log'!$D$4:$D$810,"")),IFERROR(LOOKUP(2,1/(('Match Log'!$A$4:$A$810=$A60)*('Match Log'!$E$4:$E$810="Win")),'Match Log'!$D$4:$D$810),""))</f>
        <v>Josh</v>
      </c>
      <c r="E60" s="128">
        <f>IFERROR(INDEX('Match Log'!$F$4:$F$810,MATCH(36,'Match Log'!$A$4:$A$810,0)),"")</f>
        <v>2</v>
      </c>
      <c r="F60">
        <f>IFERROR(SUMIFS('Match Log'!$I$4:$I$810,'Match Log'!$A$4:$A$810,36,'Match Log'!$E$4:$E$810,"Win"),"")</f>
        <v>0.7567567567567568</v>
      </c>
      <c r="G60">
        <f t="shared" si="19"/>
        <v>-0.5135135135135136</v>
      </c>
      <c r="H60" t="str">
        <f t="array" ref="H60">IFERROR(IF(COUNTIFS('Match Log'!$A$4:$A$810,$A60,'Match Log'!$E$4:$E$810,"Win")&gt;1,_xlfn.TEXTJOIN(" + ",TRUE,IF(('Match Log'!$A$4:$A$810=$A60)*('Match Log'!$E$4:$E$810="Loss"),'Match Log'!$D$4:$D$810,"")),IF($E60=2,LOOKUP(2,1/(('Match Log'!$A$4:$A$810=$A60)*('Match Log'!$E$4:$E$810="Loss")),'Match Log'!$D$4:$D$810),"the field")),"")</f>
        <v>David</v>
      </c>
      <c r="I60">
        <f t="shared" si="20"/>
        <v>-0.51354951351351363</v>
      </c>
      <c r="J60">
        <v>36</v>
      </c>
      <c r="K60">
        <f>IF($J60&gt;MAX('Match Log'!$A$4:$A$810),NA(),IFERROR(LOOKUP(2,1/(('Match Log'!$D$4:$D$810=$K$24)*('Match Log'!$A$4:$A$810&lt;=$J60)),'Match Log'!$N$4:$N$810),NA()))</f>
        <v>1076.6133044665753</v>
      </c>
      <c r="L60" t="e">
        <f>IF($J60&gt;MAX('Match Log'!$A$4:$A$810),NA(),IFERROR(LOOKUP(2,1/(('Match Log'!$D$4:$D$810=$L$24)*('Match Log'!$A$4:$A$810&lt;=$J60)),'Match Log'!$N$4:$N$810),NA()))</f>
        <v>#N/A</v>
      </c>
      <c r="M60">
        <f>IF($J60&gt;MAX('Match Log'!$A$4:$A$810),NA(),IFERROR(LOOKUP(2,1/(('Match Log'!$D$4:$D$810=$M$24)*('Match Log'!$A$4:$A$810&lt;=$J60)),'Match Log'!$N$4:$N$810),NA()))</f>
        <v>1000.0398229848671</v>
      </c>
      <c r="N60">
        <f>IF($J60&gt;MAX('Match Log'!$A$4:$A$810),NA(),IFERROR(LOOKUP(2,1/(('Match Log'!$D$4:$D$810=$N$24)*('Match Log'!$A$4:$A$810&lt;=$J60)),'Match Log'!$N$4:$N$810),NA()))</f>
        <v>941.41068490146347</v>
      </c>
      <c r="O60">
        <f>IF($J60&gt;MAX('Match Log'!$A$4:$A$810),NA(),IFERROR(LOOKUP(2,1/(('Match Log'!$D$4:$D$810=$O$24)*('Match Log'!$A$4:$A$810&lt;=$J60)),'Match Log'!$N$4:$N$810),NA()))</f>
        <v>1149.139575674533</v>
      </c>
      <c r="P60">
        <f>IF($J60&gt;MAX('Match Log'!$A$4:$A$810),NA(),IFERROR(LOOKUP(2,1/(('Match Log'!$D$4:$D$810=$P$24)*('Match Log'!$A$4:$A$810&lt;=$J60)),'Match Log'!$N$4:$N$810),NA()))</f>
        <v>1007.4743526549773</v>
      </c>
      <c r="Q60">
        <f>IF($J60&gt;MAX('Match Log'!$A$4:$A$810),NA(),IFERROR(LOOKUP(2,1/(('Match Log'!$D$4:$D$810=$Q$24)*('Match Log'!$A$4:$A$810&lt;=$J60)),'Match Log'!$N$4:$N$810),NA()))</f>
        <v>1004.2142857142857</v>
      </c>
      <c r="R60">
        <f>IF($J60&gt;MAX('Match Log'!$A$4:$A$810),NA(),IFERROR(LOOKUP(2,1/(('Match Log'!$D$4:$D$810=$R$24)*('Match Log'!$A$4:$A$810&lt;=$J60)),'Match Log'!$N$4:$N$810),NA()))</f>
        <v>956.9534706384876</v>
      </c>
      <c r="S60" t="e">
        <f>IF($J60&gt;MAX('Match Log'!$A$4:$A$810),NA(),IFERROR(LOOKUP(2,1/(('Match Log'!$D$4:$D$810=$S$24)*('Match Log'!$A$4:$A$810&lt;=$J60)),'Match Log'!$N$4:$N$810),NA()))</f>
        <v>#N/A</v>
      </c>
      <c r="T60">
        <f>IF($J60&gt;MAX('Match Log'!$A$4:$A$810),NA(),IFERROR(LOOKUP(2,1/(('Match Log'!$D$4:$D$810=$T$24)*('Match Log'!$A$4:$A$810&lt;=$J60)),'Match Log'!$N$4:$N$810),NA()))</f>
        <v>924.37154269506425</v>
      </c>
      <c r="U60">
        <f>IF($J60&gt;MAX('Match Log'!$A$4:$A$810),NA(),IFERROR(LOOKUP(2,1/(('Match Log'!$D$4:$D$810=$U$24)*('Match Log'!$A$4:$A$810&lt;=$J60)),'Match Log'!$N$4:$N$810),NA()))</f>
        <v>1021.7829602697462</v>
      </c>
      <c r="V60" t="e">
        <f>IF($J60&gt;MAX('Match Log'!$A$4:$A$810),NA(),IFERROR(LOOKUP(2,1/(('Match Log'!$D$4:$D$810=$V$24)*('Match Log'!$A$4:$A$810&lt;=$J60)),'Match Log'!$N$4:$N$810),NA()))</f>
        <v>#N/A</v>
      </c>
      <c r="W60" t="e">
        <f>IF($J60&gt;MAX('Match Log'!$A$4:$A$810),NA(),IFERROR(LOOKUP(2,1/(('Match Log'!$D$4:$D$810=$W$24)*('Match Log'!$A$4:$A$810&lt;=$J60)),'Match Log'!$N$4:$N$810),NA()))</f>
        <v>#N/A</v>
      </c>
      <c r="X60" t="e">
        <f>IF($J60&gt;MAX('Match Log'!$A$4:$A$810),NA(),IFERROR(LOOKUP(2,1/(('Match Log'!$D$4:$D$810=$X$24)*('Match Log'!$A$4:$A$810&lt;=$J60)),'Match Log'!$N$4:$N$810),NA()))</f>
        <v>#N/A</v>
      </c>
      <c r="Y60" t="str">
        <f t="shared" ca="1" si="21"/>
        <v/>
      </c>
    </row>
    <row r="61" spans="1:25" ht="15" customHeight="1" x14ac:dyDescent="0.2">
      <c r="A61">
        <v>37</v>
      </c>
      <c r="B61" s="127">
        <f>IFERROR(INDEX('Match Log'!$B$4:$B$810,MATCH(37,'Match Log'!$A$4:$A$810,0)),"")</f>
        <v>46175</v>
      </c>
      <c r="C61" t="str">
        <f>IFERROR(INDEX('Match Log'!$C$4:$C$810,MATCH(37,'Match Log'!$A$4:$A$810,0)),"")</f>
        <v>Table Tennis</v>
      </c>
      <c r="D61" t="str">
        <f t="array" ref="D61">IFERROR(_xlfn.TEXTJOIN(" + ",TRUE,IF(('Match Log'!$A$4:$A$810=$A61)*('Match Log'!$E$4:$E$810="Win"),'Match Log'!$D$4:$D$810,"")),IFERROR(LOOKUP(2,1/(('Match Log'!$A$4:$A$810=$A61)*('Match Log'!$E$4:$E$810="Win")),'Match Log'!$D$4:$D$810),""))</f>
        <v>Josh</v>
      </c>
      <c r="E61" s="128">
        <f>IFERROR(INDEX('Match Log'!$F$4:$F$810,MATCH(37,'Match Log'!$A$4:$A$810,0)),"")</f>
        <v>2</v>
      </c>
      <c r="F61">
        <f>IFERROR(SUMIFS('Match Log'!$I$4:$I$810,'Match Log'!$A$4:$A$810,37,'Match Log'!$E$4:$E$810,"Win"),"")</f>
        <v>0.84375</v>
      </c>
      <c r="G61">
        <f t="shared" si="19"/>
        <v>-0.6875</v>
      </c>
      <c r="H61" t="str">
        <f t="array" ref="H61">IFERROR(IF(COUNTIFS('Match Log'!$A$4:$A$810,$A61,'Match Log'!$E$4:$E$810,"Win")&gt;1,_xlfn.TEXTJOIN(" + ",TRUE,IF(('Match Log'!$A$4:$A$810=$A61)*('Match Log'!$E$4:$E$810="Loss"),'Match Log'!$D$4:$D$810,"")),IF($E61=2,LOOKUP(2,1/(('Match Log'!$A$4:$A$810=$A61)*('Match Log'!$E$4:$E$810="Loss")),'Match Log'!$D$4:$D$810),"the field")),"")</f>
        <v>Cody</v>
      </c>
      <c r="I61">
        <f t="shared" si="20"/>
        <v>-0.68753699999999995</v>
      </c>
      <c r="J61">
        <v>37</v>
      </c>
      <c r="K61">
        <f>IF($J61&gt;MAX('Match Log'!$A$4:$A$810),NA(),IFERROR(LOOKUP(2,1/(('Match Log'!$D$4:$D$810=$K$24)*('Match Log'!$A$4:$A$810&lt;=$J61)),'Match Log'!$N$4:$N$810),NA()))</f>
        <v>1076.6133044665753</v>
      </c>
      <c r="L61" t="e">
        <f>IF($J61&gt;MAX('Match Log'!$A$4:$A$810),NA(),IFERROR(LOOKUP(2,1/(('Match Log'!$D$4:$D$810=$L$24)*('Match Log'!$A$4:$A$810&lt;=$J61)),'Match Log'!$N$4:$N$810),NA()))</f>
        <v>#N/A</v>
      </c>
      <c r="M61">
        <f>IF($J61&gt;MAX('Match Log'!$A$4:$A$810),NA(),IFERROR(LOOKUP(2,1/(('Match Log'!$D$4:$D$810=$M$24)*('Match Log'!$A$4:$A$810&lt;=$J61)),'Match Log'!$N$4:$N$810),NA()))</f>
        <v>1000.0398229848671</v>
      </c>
      <c r="N61">
        <f>IF($J61&gt;MAX('Match Log'!$A$4:$A$810),NA(),IFERROR(LOOKUP(2,1/(('Match Log'!$D$4:$D$810=$N$24)*('Match Log'!$A$4:$A$810&lt;=$J61)),'Match Log'!$N$4:$N$810),NA()))</f>
        <v>941.41068490146347</v>
      </c>
      <c r="O61">
        <f>IF($J61&gt;MAX('Match Log'!$A$4:$A$810),NA(),IFERROR(LOOKUP(2,1/(('Match Log'!$D$4:$D$810=$O$24)*('Match Log'!$A$4:$A$810&lt;=$J61)),'Match Log'!$N$4:$N$810),NA()))</f>
        <v>1159.0861564772949</v>
      </c>
      <c r="P61">
        <f>IF($J61&gt;MAX('Match Log'!$A$4:$A$810),NA(),IFERROR(LOOKUP(2,1/(('Match Log'!$D$4:$D$810=$P$24)*('Match Log'!$A$4:$A$810&lt;=$J61)),'Match Log'!$N$4:$N$810),NA()))</f>
        <v>1007.4743526549773</v>
      </c>
      <c r="Q61">
        <f>IF($J61&gt;MAX('Match Log'!$A$4:$A$810),NA(),IFERROR(LOOKUP(2,1/(('Match Log'!$D$4:$D$810=$Q$24)*('Match Log'!$A$4:$A$810&lt;=$J61)),'Match Log'!$N$4:$N$810),NA()))</f>
        <v>1004.2142857142857</v>
      </c>
      <c r="R61">
        <f>IF($J61&gt;MAX('Match Log'!$A$4:$A$810),NA(),IFERROR(LOOKUP(2,1/(('Match Log'!$D$4:$D$810=$R$24)*('Match Log'!$A$4:$A$810&lt;=$J61)),'Match Log'!$N$4:$N$810),NA()))</f>
        <v>956.9534706384876</v>
      </c>
      <c r="S61" t="e">
        <f>IF($J61&gt;MAX('Match Log'!$A$4:$A$810),NA(),IFERROR(LOOKUP(2,1/(('Match Log'!$D$4:$D$810=$S$24)*('Match Log'!$A$4:$A$810&lt;=$J61)),'Match Log'!$N$4:$N$810),NA()))</f>
        <v>#N/A</v>
      </c>
      <c r="T61">
        <f>IF($J61&gt;MAX('Match Log'!$A$4:$A$810),NA(),IFERROR(LOOKUP(2,1/(('Match Log'!$D$4:$D$810=$T$24)*('Match Log'!$A$4:$A$810&lt;=$J61)),'Match Log'!$N$4:$N$810),NA()))</f>
        <v>914.42496189230224</v>
      </c>
      <c r="U61">
        <f>IF($J61&gt;MAX('Match Log'!$A$4:$A$810),NA(),IFERROR(LOOKUP(2,1/(('Match Log'!$D$4:$D$810=$U$24)*('Match Log'!$A$4:$A$810&lt;=$J61)),'Match Log'!$N$4:$N$810),NA()))</f>
        <v>1021.7829602697462</v>
      </c>
      <c r="V61" t="e">
        <f>IF($J61&gt;MAX('Match Log'!$A$4:$A$810),NA(),IFERROR(LOOKUP(2,1/(('Match Log'!$D$4:$D$810=$V$24)*('Match Log'!$A$4:$A$810&lt;=$J61)),'Match Log'!$N$4:$N$810),NA()))</f>
        <v>#N/A</v>
      </c>
      <c r="W61" t="e">
        <f>IF($J61&gt;MAX('Match Log'!$A$4:$A$810),NA(),IFERROR(LOOKUP(2,1/(('Match Log'!$D$4:$D$810=$W$24)*('Match Log'!$A$4:$A$810&lt;=$J61)),'Match Log'!$N$4:$N$810),NA()))</f>
        <v>#N/A</v>
      </c>
      <c r="X61" t="e">
        <f>IF($J61&gt;MAX('Match Log'!$A$4:$A$810),NA(),IFERROR(LOOKUP(2,1/(('Match Log'!$D$4:$D$810=$X$24)*('Match Log'!$A$4:$A$810&lt;=$J61)),'Match Log'!$N$4:$N$810),NA()))</f>
        <v>#N/A</v>
      </c>
      <c r="Y61" t="str">
        <f t="shared" ca="1" si="21"/>
        <v/>
      </c>
    </row>
    <row r="62" spans="1:25" ht="15" customHeight="1" x14ac:dyDescent="0.2">
      <c r="A62">
        <v>38</v>
      </c>
      <c r="B62" s="127">
        <f>IFERROR(INDEX('Match Log'!$B$4:$B$810,MATCH(38,'Match Log'!$A$4:$A$810,0)),"")</f>
        <v>46176</v>
      </c>
      <c r="C62" t="str">
        <f>IFERROR(INDEX('Match Log'!$C$4:$C$810,MATCH(38,'Match Log'!$A$4:$A$810,0)),"")</f>
        <v>Pool</v>
      </c>
      <c r="D62" t="str">
        <f t="array" ref="D62">IFERROR(_xlfn.TEXTJOIN(" + ",TRUE,IF(('Match Log'!$A$4:$A$810=$A62)*('Match Log'!$E$4:$E$810="Win"),'Match Log'!$D$4:$D$810,"")),IFERROR(LOOKUP(2,1/(('Match Log'!$A$4:$A$810=$A62)*('Match Log'!$E$4:$E$810="Win")),'Match Log'!$D$4:$D$810),""))</f>
        <v>Dean B</v>
      </c>
      <c r="E62" s="128">
        <f>IFERROR(INDEX('Match Log'!$F$4:$F$810,MATCH(38,'Match Log'!$A$4:$A$810,0)),"")</f>
        <v>2</v>
      </c>
      <c r="F62">
        <f>IFERROR(SUMIFS('Match Log'!$I$4:$I$810,'Match Log'!$A$4:$A$810,38,'Match Log'!$E$4:$E$810,"Win"),"")</f>
        <v>0.5</v>
      </c>
      <c r="G62">
        <f t="shared" si="19"/>
        <v>0</v>
      </c>
      <c r="H62" t="str">
        <f t="array" ref="H62">IFERROR(IF(COUNTIFS('Match Log'!$A$4:$A$810,$A62,'Match Log'!$E$4:$E$810,"Win")&gt;1,_xlfn.TEXTJOIN(" + ",TRUE,IF(('Match Log'!$A$4:$A$810=$A62)*('Match Log'!$E$4:$E$810="Loss"),'Match Log'!$D$4:$D$810,"")),IF($E62=2,LOOKUP(2,1/(('Match Log'!$A$4:$A$810=$A62)*('Match Log'!$E$4:$E$810="Loss")),'Match Log'!$D$4:$D$810),"the field")),"")</f>
        <v>Oscar</v>
      </c>
      <c r="I62">
        <f t="shared" si="20"/>
        <v>-3.8000000000000002E-5</v>
      </c>
      <c r="J62">
        <v>38</v>
      </c>
      <c r="K62">
        <f>IF($J62&gt;MAX('Match Log'!$A$4:$A$810),NA(),IFERROR(LOOKUP(2,1/(('Match Log'!$D$4:$D$810=$K$24)*('Match Log'!$A$4:$A$810&lt;=$J62)),'Match Log'!$N$4:$N$810),NA()))</f>
        <v>1076.6133044665753</v>
      </c>
      <c r="L62" t="e">
        <f>IF($J62&gt;MAX('Match Log'!$A$4:$A$810),NA(),IFERROR(LOOKUP(2,1/(('Match Log'!$D$4:$D$810=$L$24)*('Match Log'!$A$4:$A$810&lt;=$J62)),'Match Log'!$N$4:$N$810),NA()))</f>
        <v>#N/A</v>
      </c>
      <c r="M62">
        <f>IF($J62&gt;MAX('Match Log'!$A$4:$A$810),NA(),IFERROR(LOOKUP(2,1/(('Match Log'!$D$4:$D$810=$M$24)*('Match Log'!$A$4:$A$810&lt;=$J62)),'Match Log'!$N$4:$N$810),NA()))</f>
        <v>1000.0398229848671</v>
      </c>
      <c r="N62">
        <f>IF($J62&gt;MAX('Match Log'!$A$4:$A$810),NA(),IFERROR(LOOKUP(2,1/(('Match Log'!$D$4:$D$810=$N$24)*('Match Log'!$A$4:$A$810&lt;=$J62)),'Match Log'!$N$4:$N$810),NA()))</f>
        <v>941.41068490146347</v>
      </c>
      <c r="O62">
        <f>IF($J62&gt;MAX('Match Log'!$A$4:$A$810),NA(),IFERROR(LOOKUP(2,1/(('Match Log'!$D$4:$D$810=$O$24)*('Match Log'!$A$4:$A$810&lt;=$J62)),'Match Log'!$N$4:$N$810),NA()))</f>
        <v>1159.0861564772949</v>
      </c>
      <c r="P62">
        <f>IF($J62&gt;MAX('Match Log'!$A$4:$A$810),NA(),IFERROR(LOOKUP(2,1/(('Match Log'!$D$4:$D$810=$P$24)*('Match Log'!$A$4:$A$810&lt;=$J62)),'Match Log'!$N$4:$N$810),NA()))</f>
        <v>1007.4743526549773</v>
      </c>
      <c r="Q62">
        <f>IF($J62&gt;MAX('Match Log'!$A$4:$A$810),NA(),IFERROR(LOOKUP(2,1/(('Match Log'!$D$4:$D$810=$Q$24)*('Match Log'!$A$4:$A$810&lt;=$J62)),'Match Log'!$N$4:$N$810),NA()))</f>
        <v>1004.2142857142857</v>
      </c>
      <c r="R62">
        <f>IF($J62&gt;MAX('Match Log'!$A$4:$A$810),NA(),IFERROR(LOOKUP(2,1/(('Match Log'!$D$4:$D$810=$R$24)*('Match Log'!$A$4:$A$810&lt;=$J62)),'Match Log'!$N$4:$N$810),NA()))</f>
        <v>956.9534706384876</v>
      </c>
      <c r="S62">
        <f>IF($J62&gt;MAX('Match Log'!$A$4:$A$810),NA(),IFERROR(LOOKUP(2,1/(('Match Log'!$D$4:$D$810=$S$24)*('Match Log'!$A$4:$A$810&lt;=$J62)),'Match Log'!$N$4:$N$810),NA()))</f>
        <v>1023.0018300584427</v>
      </c>
      <c r="T62">
        <f>IF($J62&gt;MAX('Match Log'!$A$4:$A$810),NA(),IFERROR(LOOKUP(2,1/(('Match Log'!$D$4:$D$810=$T$24)*('Match Log'!$A$4:$A$810&lt;=$J62)),'Match Log'!$N$4:$N$810),NA()))</f>
        <v>914.42496189230224</v>
      </c>
      <c r="U62">
        <f>IF($J62&gt;MAX('Match Log'!$A$4:$A$810),NA(),IFERROR(LOOKUP(2,1/(('Match Log'!$D$4:$D$810=$U$24)*('Match Log'!$A$4:$A$810&lt;=$J62)),'Match Log'!$N$4:$N$810),NA()))</f>
        <v>998.78113021130355</v>
      </c>
      <c r="V62" t="e">
        <f>IF($J62&gt;MAX('Match Log'!$A$4:$A$810),NA(),IFERROR(LOOKUP(2,1/(('Match Log'!$D$4:$D$810=$V$24)*('Match Log'!$A$4:$A$810&lt;=$J62)),'Match Log'!$N$4:$N$810),NA()))</f>
        <v>#N/A</v>
      </c>
      <c r="W62" t="e">
        <f>IF($J62&gt;MAX('Match Log'!$A$4:$A$810),NA(),IFERROR(LOOKUP(2,1/(('Match Log'!$D$4:$D$810=$W$24)*('Match Log'!$A$4:$A$810&lt;=$J62)),'Match Log'!$N$4:$N$810),NA()))</f>
        <v>#N/A</v>
      </c>
      <c r="X62" t="e">
        <f>IF($J62&gt;MAX('Match Log'!$A$4:$A$810),NA(),IFERROR(LOOKUP(2,1/(('Match Log'!$D$4:$D$810=$X$24)*('Match Log'!$A$4:$A$810&lt;=$J62)),'Match Log'!$N$4:$N$810),NA()))</f>
        <v>#N/A</v>
      </c>
      <c r="Y62" t="str">
        <f t="shared" ca="1" si="21"/>
        <v/>
      </c>
    </row>
    <row r="63" spans="1:25" ht="15" customHeight="1" x14ac:dyDescent="0.2">
      <c r="A63">
        <v>39</v>
      </c>
      <c r="B63" s="127">
        <f>IFERROR(INDEX('Match Log'!$B$4:$B$810,MATCH(39,'Match Log'!$A$4:$A$810,0)),"")</f>
        <v>46176</v>
      </c>
      <c r="C63" t="str">
        <f>IFERROR(INDEX('Match Log'!$C$4:$C$810,MATCH(39,'Match Log'!$A$4:$A$810,0)),"")</f>
        <v>Pool</v>
      </c>
      <c r="D63" t="str">
        <f t="array" ref="D63">IFERROR(_xlfn.TEXTJOIN(" + ",TRUE,IF(('Match Log'!$A$4:$A$810=$A63)*('Match Log'!$E$4:$E$810="Win"),'Match Log'!$D$4:$D$810,"")),IFERROR(LOOKUP(2,1/(('Match Log'!$A$4:$A$810=$A63)*('Match Log'!$E$4:$E$810="Win")),'Match Log'!$D$4:$D$810),""))</f>
        <v>Dean B</v>
      </c>
      <c r="E63" s="128">
        <f>IFERROR(INDEX('Match Log'!$F$4:$F$810,MATCH(39,'Match Log'!$A$4:$A$810,0)),"")</f>
        <v>2</v>
      </c>
      <c r="F63">
        <f>IFERROR(SUMIFS('Match Log'!$I$4:$I$810,'Match Log'!$A$4:$A$810,39,'Match Log'!$E$4:$E$810,"Win"),"")</f>
        <v>0.66666666666666663</v>
      </c>
      <c r="G63">
        <f t="shared" si="19"/>
        <v>-0.33333333333333326</v>
      </c>
      <c r="H63" t="str">
        <f t="array" ref="H63">IFERROR(IF(COUNTIFS('Match Log'!$A$4:$A$810,$A63,'Match Log'!$E$4:$E$810,"Win")&gt;1,_xlfn.TEXTJOIN(" + ",TRUE,IF(('Match Log'!$A$4:$A$810=$A63)*('Match Log'!$E$4:$E$810="Loss"),'Match Log'!$D$4:$D$810,"")),IF($E63=2,LOOKUP(2,1/(('Match Log'!$A$4:$A$810=$A63)*('Match Log'!$E$4:$E$810="Loss")),'Match Log'!$D$4:$D$810),"the field")),"")</f>
        <v>Oscar</v>
      </c>
      <c r="I63">
        <f t="shared" si="20"/>
        <v>-0.33337233333333327</v>
      </c>
      <c r="J63">
        <v>39</v>
      </c>
      <c r="K63">
        <f>IF($J63&gt;MAX('Match Log'!$A$4:$A$810),NA(),IFERROR(LOOKUP(2,1/(('Match Log'!$D$4:$D$810=$K$24)*('Match Log'!$A$4:$A$810&lt;=$J63)),'Match Log'!$N$4:$N$810),NA()))</f>
        <v>1076.6133044665753</v>
      </c>
      <c r="L63" t="e">
        <f>IF($J63&gt;MAX('Match Log'!$A$4:$A$810),NA(),IFERROR(LOOKUP(2,1/(('Match Log'!$D$4:$D$810=$L$24)*('Match Log'!$A$4:$A$810&lt;=$J63)),'Match Log'!$N$4:$N$810),NA()))</f>
        <v>#N/A</v>
      </c>
      <c r="M63">
        <f>IF($J63&gt;MAX('Match Log'!$A$4:$A$810),NA(),IFERROR(LOOKUP(2,1/(('Match Log'!$D$4:$D$810=$M$24)*('Match Log'!$A$4:$A$810&lt;=$J63)),'Match Log'!$N$4:$N$810),NA()))</f>
        <v>1000.0398229848671</v>
      </c>
      <c r="N63">
        <f>IF($J63&gt;MAX('Match Log'!$A$4:$A$810),NA(),IFERROR(LOOKUP(2,1/(('Match Log'!$D$4:$D$810=$N$24)*('Match Log'!$A$4:$A$810&lt;=$J63)),'Match Log'!$N$4:$N$810),NA()))</f>
        <v>941.41068490146347</v>
      </c>
      <c r="O63">
        <f>IF($J63&gt;MAX('Match Log'!$A$4:$A$810),NA(),IFERROR(LOOKUP(2,1/(('Match Log'!$D$4:$D$810=$O$24)*('Match Log'!$A$4:$A$810&lt;=$J63)),'Match Log'!$N$4:$N$810),NA()))</f>
        <v>1159.0861564772949</v>
      </c>
      <c r="P63">
        <f>IF($J63&gt;MAX('Match Log'!$A$4:$A$810),NA(),IFERROR(LOOKUP(2,1/(('Match Log'!$D$4:$D$810=$P$24)*('Match Log'!$A$4:$A$810&lt;=$J63)),'Match Log'!$N$4:$N$810),NA()))</f>
        <v>1007.4743526549773</v>
      </c>
      <c r="Q63">
        <f>IF($J63&gt;MAX('Match Log'!$A$4:$A$810),NA(),IFERROR(LOOKUP(2,1/(('Match Log'!$D$4:$D$810=$Q$24)*('Match Log'!$A$4:$A$810&lt;=$J63)),'Match Log'!$N$4:$N$810),NA()))</f>
        <v>1004.2142857142857</v>
      </c>
      <c r="R63">
        <f>IF($J63&gt;MAX('Match Log'!$A$4:$A$810),NA(),IFERROR(LOOKUP(2,1/(('Match Log'!$D$4:$D$810=$R$24)*('Match Log'!$A$4:$A$810&lt;=$J63)),'Match Log'!$N$4:$N$810),NA()))</f>
        <v>956.9534706384876</v>
      </c>
      <c r="S63">
        <f>IF($J63&gt;MAX('Match Log'!$A$4:$A$810),NA(),IFERROR(LOOKUP(2,1/(('Match Log'!$D$4:$D$810=$S$24)*('Match Log'!$A$4:$A$810&lt;=$J63)),'Match Log'!$N$4:$N$810),NA()))</f>
        <v>1041.8288256187427</v>
      </c>
      <c r="T63">
        <f>IF($J63&gt;MAX('Match Log'!$A$4:$A$810),NA(),IFERROR(LOOKUP(2,1/(('Match Log'!$D$4:$D$810=$T$24)*('Match Log'!$A$4:$A$810&lt;=$J63)),'Match Log'!$N$4:$N$810),NA()))</f>
        <v>914.42496189230224</v>
      </c>
      <c r="U63">
        <f>IF($J63&gt;MAX('Match Log'!$A$4:$A$810),NA(),IFERROR(LOOKUP(2,1/(('Match Log'!$D$4:$D$810=$U$24)*('Match Log'!$A$4:$A$810&lt;=$J63)),'Match Log'!$N$4:$N$810),NA()))</f>
        <v>979.95413465100341</v>
      </c>
      <c r="V63" t="e">
        <f>IF($J63&gt;MAX('Match Log'!$A$4:$A$810),NA(),IFERROR(LOOKUP(2,1/(('Match Log'!$D$4:$D$810=$V$24)*('Match Log'!$A$4:$A$810&lt;=$J63)),'Match Log'!$N$4:$N$810),NA()))</f>
        <v>#N/A</v>
      </c>
      <c r="W63" t="e">
        <f>IF($J63&gt;MAX('Match Log'!$A$4:$A$810),NA(),IFERROR(LOOKUP(2,1/(('Match Log'!$D$4:$D$810=$W$24)*('Match Log'!$A$4:$A$810&lt;=$J63)),'Match Log'!$N$4:$N$810),NA()))</f>
        <v>#N/A</v>
      </c>
      <c r="X63" t="e">
        <f>IF($J63&gt;MAX('Match Log'!$A$4:$A$810),NA(),IFERROR(LOOKUP(2,1/(('Match Log'!$D$4:$D$810=$X$24)*('Match Log'!$A$4:$A$810&lt;=$J63)),'Match Log'!$N$4:$N$810),NA()))</f>
        <v>#N/A</v>
      </c>
      <c r="Y63" t="str">
        <f t="shared" ca="1" si="21"/>
        <v/>
      </c>
    </row>
    <row r="64" spans="1:25" ht="15" customHeight="1" x14ac:dyDescent="0.2">
      <c r="A64">
        <v>40</v>
      </c>
      <c r="B64" s="127">
        <f>IFERROR(INDEX('Match Log'!$B$4:$B$810,MATCH(40,'Match Log'!$A$4:$A$810,0)),"")</f>
        <v>46176</v>
      </c>
      <c r="C64" t="str">
        <f>IFERROR(INDEX('Match Log'!$C$4:$C$810,MATCH(40,'Match Log'!$A$4:$A$810,0)),"")</f>
        <v>Pool</v>
      </c>
      <c r="D64" t="str">
        <f t="array" ref="D64">IFERROR(_xlfn.TEXTJOIN(" + ",TRUE,IF(('Match Log'!$A$4:$A$810=$A64)*('Match Log'!$E$4:$E$810="Win"),'Match Log'!$D$4:$D$810,"")),IFERROR(LOOKUP(2,1/(('Match Log'!$A$4:$A$810=$A64)*('Match Log'!$E$4:$E$810="Win")),'Match Log'!$D$4:$D$810),""))</f>
        <v>Daniel (Ferret)</v>
      </c>
      <c r="E64" s="128">
        <f>IFERROR(INDEX('Match Log'!$F$4:$F$810,MATCH(40,'Match Log'!$A$4:$A$810,0)),"")</f>
        <v>2</v>
      </c>
      <c r="F64">
        <f>IFERROR(SUMIFS('Match Log'!$I$4:$I$810,'Match Log'!$A$4:$A$810,40,'Match Log'!$E$4:$E$810,"Win"),"")</f>
        <v>0.4</v>
      </c>
      <c r="G64">
        <f t="shared" si="19"/>
        <v>0.19999999999999996</v>
      </c>
      <c r="H64" t="str">
        <f t="array" ref="H64">IFERROR(IF(COUNTIFS('Match Log'!$A$4:$A$810,$A64,'Match Log'!$E$4:$E$810,"Win")&gt;1,_xlfn.TEXTJOIN(" + ",TRUE,IF(('Match Log'!$A$4:$A$810=$A64)*('Match Log'!$E$4:$E$810="Loss"),'Match Log'!$D$4:$D$810,"")),IF($E64=2,LOOKUP(2,1/(('Match Log'!$A$4:$A$810=$A64)*('Match Log'!$E$4:$E$810="Loss")),'Match Log'!$D$4:$D$810),"the field")),"")</f>
        <v>Dean B</v>
      </c>
      <c r="I64">
        <f t="shared" si="20"/>
        <v>0.19995999999999994</v>
      </c>
      <c r="J64">
        <v>40</v>
      </c>
      <c r="K64">
        <f>IF($J64&gt;MAX('Match Log'!$A$4:$A$810),NA(),IFERROR(LOOKUP(2,1/(('Match Log'!$D$4:$D$810=$K$24)*('Match Log'!$A$4:$A$810&lt;=$J64)),'Match Log'!$N$4:$N$810),NA()))</f>
        <v>1076.6133044665753</v>
      </c>
      <c r="L64" t="e">
        <f>IF($J64&gt;MAX('Match Log'!$A$4:$A$810),NA(),IFERROR(LOOKUP(2,1/(('Match Log'!$D$4:$D$810=$L$24)*('Match Log'!$A$4:$A$810&lt;=$J64)),'Match Log'!$N$4:$N$810),NA()))</f>
        <v>#N/A</v>
      </c>
      <c r="M64">
        <f>IF($J64&gt;MAX('Match Log'!$A$4:$A$810),NA(),IFERROR(LOOKUP(2,1/(('Match Log'!$D$4:$D$810=$M$24)*('Match Log'!$A$4:$A$810&lt;=$J64)),'Match Log'!$N$4:$N$810),NA()))</f>
        <v>1000.0398229848671</v>
      </c>
      <c r="N64">
        <f>IF($J64&gt;MAX('Match Log'!$A$4:$A$810),NA(),IFERROR(LOOKUP(2,1/(('Match Log'!$D$4:$D$810=$N$24)*('Match Log'!$A$4:$A$810&lt;=$J64)),'Match Log'!$N$4:$N$810),NA()))</f>
        <v>941.41068490146347</v>
      </c>
      <c r="O64">
        <f>IF($J64&gt;MAX('Match Log'!$A$4:$A$810),NA(),IFERROR(LOOKUP(2,1/(('Match Log'!$D$4:$D$810=$O$24)*('Match Log'!$A$4:$A$810&lt;=$J64)),'Match Log'!$N$4:$N$810),NA()))</f>
        <v>1159.0861564772949</v>
      </c>
      <c r="P64">
        <f>IF($J64&gt;MAX('Match Log'!$A$4:$A$810),NA(),IFERROR(LOOKUP(2,1/(('Match Log'!$D$4:$D$810=$P$24)*('Match Log'!$A$4:$A$810&lt;=$J64)),'Match Log'!$N$4:$N$810),NA()))</f>
        <v>1007.4743526549773</v>
      </c>
      <c r="Q64">
        <f>IF($J64&gt;MAX('Match Log'!$A$4:$A$810),NA(),IFERROR(LOOKUP(2,1/(('Match Log'!$D$4:$D$810=$Q$24)*('Match Log'!$A$4:$A$810&lt;=$J64)),'Match Log'!$N$4:$N$810),NA()))</f>
        <v>1004.2142857142857</v>
      </c>
      <c r="R64">
        <f>IF($J64&gt;MAX('Match Log'!$A$4:$A$810),NA(),IFERROR(LOOKUP(2,1/(('Match Log'!$D$4:$D$810=$R$24)*('Match Log'!$A$4:$A$810&lt;=$J64)),'Match Log'!$N$4:$N$810),NA()))</f>
        <v>983.84574643562655</v>
      </c>
      <c r="S64">
        <f>IF($J64&gt;MAX('Match Log'!$A$4:$A$810),NA(),IFERROR(LOOKUP(2,1/(('Match Log'!$D$4:$D$810=$S$24)*('Match Log'!$A$4:$A$810&lt;=$J64)),'Match Log'!$N$4:$N$810),NA()))</f>
        <v>1014.9365498216038</v>
      </c>
      <c r="T64">
        <f>IF($J64&gt;MAX('Match Log'!$A$4:$A$810),NA(),IFERROR(LOOKUP(2,1/(('Match Log'!$D$4:$D$810=$T$24)*('Match Log'!$A$4:$A$810&lt;=$J64)),'Match Log'!$N$4:$N$810),NA()))</f>
        <v>914.42496189230224</v>
      </c>
      <c r="U64">
        <f>IF($J64&gt;MAX('Match Log'!$A$4:$A$810),NA(),IFERROR(LOOKUP(2,1/(('Match Log'!$D$4:$D$810=$U$24)*('Match Log'!$A$4:$A$810&lt;=$J64)),'Match Log'!$N$4:$N$810),NA()))</f>
        <v>979.95413465100341</v>
      </c>
      <c r="V64" t="e">
        <f>IF($J64&gt;MAX('Match Log'!$A$4:$A$810),NA(),IFERROR(LOOKUP(2,1/(('Match Log'!$D$4:$D$810=$V$24)*('Match Log'!$A$4:$A$810&lt;=$J64)),'Match Log'!$N$4:$N$810),NA()))</f>
        <v>#N/A</v>
      </c>
      <c r="W64" t="e">
        <f>IF($J64&gt;MAX('Match Log'!$A$4:$A$810),NA(),IFERROR(LOOKUP(2,1/(('Match Log'!$D$4:$D$810=$W$24)*('Match Log'!$A$4:$A$810&lt;=$J64)),'Match Log'!$N$4:$N$810),NA()))</f>
        <v>#N/A</v>
      </c>
      <c r="X64" t="e">
        <f>IF($J64&gt;MAX('Match Log'!$A$4:$A$810),NA(),IFERROR(LOOKUP(2,1/(('Match Log'!$D$4:$D$810=$X$24)*('Match Log'!$A$4:$A$810&lt;=$J64)),'Match Log'!$N$4:$N$810),NA()))</f>
        <v>#N/A</v>
      </c>
      <c r="Y64" t="str">
        <f t="shared" ca="1" si="21"/>
        <v/>
      </c>
    </row>
    <row r="65" spans="1:25" ht="15" customHeight="1" x14ac:dyDescent="0.2">
      <c r="A65">
        <v>41</v>
      </c>
      <c r="B65" s="127">
        <f>IFERROR(INDEX('Match Log'!$B$4:$B$810,MATCH(41,'Match Log'!$A$4:$A$810,0)),"")</f>
        <v>46176</v>
      </c>
      <c r="C65" t="str">
        <f>IFERROR(INDEX('Match Log'!$C$4:$C$810,MATCH(41,'Match Log'!$A$4:$A$810,0)),"")</f>
        <v>Table Tennis</v>
      </c>
      <c r="D65" t="str">
        <f t="array" ref="D65">IFERROR(_xlfn.TEXTJOIN(" + ",TRUE,IF(('Match Log'!$A$4:$A$810=$A65)*('Match Log'!$E$4:$E$810="Win"),'Match Log'!$D$4:$D$810,"")),IFERROR(LOOKUP(2,1/(('Match Log'!$A$4:$A$810=$A65)*('Match Log'!$E$4:$E$810="Win")),'Match Log'!$D$4:$D$810),""))</f>
        <v>Josh</v>
      </c>
      <c r="E65" s="128">
        <f>IFERROR(INDEX('Match Log'!$F$4:$F$810,MATCH(41,'Match Log'!$A$4:$A$810,0)),"")</f>
        <v>2</v>
      </c>
      <c r="F65">
        <f>IFERROR(SUMIFS('Match Log'!$I$4:$I$810,'Match Log'!$A$4:$A$810,41,'Match Log'!$E$4:$E$810,"Win"),"")</f>
        <v>0.78431372549019596</v>
      </c>
      <c r="G65">
        <f t="shared" si="19"/>
        <v>-0.56862745098039191</v>
      </c>
      <c r="H65" t="str">
        <f t="array" ref="H65">IFERROR(IF(COUNTIFS('Match Log'!$A$4:$A$810,$A65,'Match Log'!$E$4:$E$810,"Win")&gt;1,_xlfn.TEXTJOIN(" + ",TRUE,IF(('Match Log'!$A$4:$A$810=$A65)*('Match Log'!$E$4:$E$810="Loss"),'Match Log'!$D$4:$D$810,"")),IF($E65=2,LOOKUP(2,1/(('Match Log'!$A$4:$A$810=$A65)*('Match Log'!$E$4:$E$810="Loss")),'Match Log'!$D$4:$D$810),"the field")),"")</f>
        <v>Daniel (Ferret)</v>
      </c>
      <c r="I65">
        <f t="shared" si="20"/>
        <v>-0.56866845098039187</v>
      </c>
      <c r="J65">
        <v>41</v>
      </c>
      <c r="K65">
        <f>IF($J65&gt;MAX('Match Log'!$A$4:$A$810),NA(),IFERROR(LOOKUP(2,1/(('Match Log'!$D$4:$D$810=$K$24)*('Match Log'!$A$4:$A$810&lt;=$J65)),'Match Log'!$N$4:$N$810),NA()))</f>
        <v>1076.6133044665753</v>
      </c>
      <c r="L65" t="e">
        <f>IF($J65&gt;MAX('Match Log'!$A$4:$A$810),NA(),IFERROR(LOOKUP(2,1/(('Match Log'!$D$4:$D$810=$L$24)*('Match Log'!$A$4:$A$810&lt;=$J65)),'Match Log'!$N$4:$N$810),NA()))</f>
        <v>#N/A</v>
      </c>
      <c r="M65">
        <f>IF($J65&gt;MAX('Match Log'!$A$4:$A$810),NA(),IFERROR(LOOKUP(2,1/(('Match Log'!$D$4:$D$810=$M$24)*('Match Log'!$A$4:$A$810&lt;=$J65)),'Match Log'!$N$4:$N$810),NA()))</f>
        <v>1000.0398229848671</v>
      </c>
      <c r="N65">
        <f>IF($J65&gt;MAX('Match Log'!$A$4:$A$810),NA(),IFERROR(LOOKUP(2,1/(('Match Log'!$D$4:$D$810=$N$24)*('Match Log'!$A$4:$A$810&lt;=$J65)),'Match Log'!$N$4:$N$810),NA()))</f>
        <v>941.41068490146347</v>
      </c>
      <c r="O65">
        <f>IF($J65&gt;MAX('Match Log'!$A$4:$A$810),NA(),IFERROR(LOOKUP(2,1/(('Match Log'!$D$4:$D$810=$O$24)*('Match Log'!$A$4:$A$810&lt;=$J65)),'Match Log'!$N$4:$N$810),NA()))</f>
        <v>1170.7074781178401</v>
      </c>
      <c r="P65">
        <f>IF($J65&gt;MAX('Match Log'!$A$4:$A$810),NA(),IFERROR(LOOKUP(2,1/(('Match Log'!$D$4:$D$810=$P$24)*('Match Log'!$A$4:$A$810&lt;=$J65)),'Match Log'!$N$4:$N$810),NA()))</f>
        <v>1007.4743526549773</v>
      </c>
      <c r="Q65">
        <f>IF($J65&gt;MAX('Match Log'!$A$4:$A$810),NA(),IFERROR(LOOKUP(2,1/(('Match Log'!$D$4:$D$810=$Q$24)*('Match Log'!$A$4:$A$810&lt;=$J65)),'Match Log'!$N$4:$N$810),NA()))</f>
        <v>1004.2142857142857</v>
      </c>
      <c r="R65">
        <f>IF($J65&gt;MAX('Match Log'!$A$4:$A$810),NA(),IFERROR(LOOKUP(2,1/(('Match Log'!$D$4:$D$810=$R$24)*('Match Log'!$A$4:$A$810&lt;=$J65)),'Match Log'!$N$4:$N$810),NA()))</f>
        <v>972.22442479508152</v>
      </c>
      <c r="S65">
        <f>IF($J65&gt;MAX('Match Log'!$A$4:$A$810),NA(),IFERROR(LOOKUP(2,1/(('Match Log'!$D$4:$D$810=$S$24)*('Match Log'!$A$4:$A$810&lt;=$J65)),'Match Log'!$N$4:$N$810),NA()))</f>
        <v>1014.9365498216038</v>
      </c>
      <c r="T65">
        <f>IF($J65&gt;MAX('Match Log'!$A$4:$A$810),NA(),IFERROR(LOOKUP(2,1/(('Match Log'!$D$4:$D$810=$T$24)*('Match Log'!$A$4:$A$810&lt;=$J65)),'Match Log'!$N$4:$N$810),NA()))</f>
        <v>914.42496189230224</v>
      </c>
      <c r="U65">
        <f>IF($J65&gt;MAX('Match Log'!$A$4:$A$810),NA(),IFERROR(LOOKUP(2,1/(('Match Log'!$D$4:$D$810=$U$24)*('Match Log'!$A$4:$A$810&lt;=$J65)),'Match Log'!$N$4:$N$810),NA()))</f>
        <v>979.95413465100341</v>
      </c>
      <c r="V65" t="e">
        <f>IF($J65&gt;MAX('Match Log'!$A$4:$A$810),NA(),IFERROR(LOOKUP(2,1/(('Match Log'!$D$4:$D$810=$V$24)*('Match Log'!$A$4:$A$810&lt;=$J65)),'Match Log'!$N$4:$N$810),NA()))</f>
        <v>#N/A</v>
      </c>
      <c r="W65" t="e">
        <f>IF($J65&gt;MAX('Match Log'!$A$4:$A$810),NA(),IFERROR(LOOKUP(2,1/(('Match Log'!$D$4:$D$810=$W$24)*('Match Log'!$A$4:$A$810&lt;=$J65)),'Match Log'!$N$4:$N$810),NA()))</f>
        <v>#N/A</v>
      </c>
      <c r="X65" t="e">
        <f>IF($J65&gt;MAX('Match Log'!$A$4:$A$810),NA(),IFERROR(LOOKUP(2,1/(('Match Log'!$D$4:$D$810=$X$24)*('Match Log'!$A$4:$A$810&lt;=$J65)),'Match Log'!$N$4:$N$810),NA()))</f>
        <v>#N/A</v>
      </c>
      <c r="Y65" t="str">
        <f t="shared" ca="1" si="21"/>
        <v/>
      </c>
    </row>
    <row r="66" spans="1:25" ht="15" customHeight="1" x14ac:dyDescent="0.2">
      <c r="A66">
        <v>42</v>
      </c>
      <c r="B66" s="127">
        <f>IFERROR(INDEX('Match Log'!$B$4:$B$810,MATCH(42,'Match Log'!$A$4:$A$810,0)),"")</f>
        <v>46176</v>
      </c>
      <c r="C66" t="str">
        <f>IFERROR(INDEX('Match Log'!$C$4:$C$810,MATCH(42,'Match Log'!$A$4:$A$810,0)),"")</f>
        <v>Table Tennis</v>
      </c>
      <c r="D66" t="str">
        <f t="array" ref="D66">IFERROR(_xlfn.TEXTJOIN(" + ",TRUE,IF(('Match Log'!$A$4:$A$810=$A66)*('Match Log'!$E$4:$E$810="Win"),'Match Log'!$D$4:$D$810,"")),IFERROR(LOOKUP(2,1/(('Match Log'!$A$4:$A$810=$A66)*('Match Log'!$E$4:$E$810="Win")),'Match Log'!$D$4:$D$810),""))</f>
        <v>Josh</v>
      </c>
      <c r="E66" s="128">
        <f>IFERROR(INDEX('Match Log'!$F$4:$F$810,MATCH(42,'Match Log'!$A$4:$A$810,0)),"")</f>
        <v>2</v>
      </c>
      <c r="F66">
        <f>IFERROR(SUMIFS('Match Log'!$I$4:$I$810,'Match Log'!$A$4:$A$810,42,'Match Log'!$E$4:$E$810,"Win"),"")</f>
        <v>0.6470588235294118</v>
      </c>
      <c r="G66">
        <f t="shared" si="19"/>
        <v>-0.29411764705882359</v>
      </c>
      <c r="H66" t="str">
        <f t="array" ref="H66">IFERROR(IF(COUNTIFS('Match Log'!$A$4:$A$810,$A66,'Match Log'!$E$4:$E$810,"Win")&gt;1,_xlfn.TEXTJOIN(" + ",TRUE,IF(('Match Log'!$A$4:$A$810=$A66)*('Match Log'!$E$4:$E$810="Loss"),'Match Log'!$D$4:$D$810,"")),IF($E66=2,LOOKUP(2,1/(('Match Log'!$A$4:$A$810=$A66)*('Match Log'!$E$4:$E$810="Loss")),'Match Log'!$D$4:$D$810),"the field")),"")</f>
        <v>Dean B</v>
      </c>
      <c r="I66">
        <f t="shared" si="20"/>
        <v>-0.29415964705882358</v>
      </c>
      <c r="J66">
        <v>42</v>
      </c>
      <c r="K66">
        <f>IF($J66&gt;MAX('Match Log'!$A$4:$A$810),NA(),IFERROR(LOOKUP(2,1/(('Match Log'!$D$4:$D$810=$K$24)*('Match Log'!$A$4:$A$810&lt;=$J66)),'Match Log'!$N$4:$N$810),NA()))</f>
        <v>1076.6133044665753</v>
      </c>
      <c r="L66" t="e">
        <f>IF($J66&gt;MAX('Match Log'!$A$4:$A$810),NA(),IFERROR(LOOKUP(2,1/(('Match Log'!$D$4:$D$810=$L$24)*('Match Log'!$A$4:$A$810&lt;=$J66)),'Match Log'!$N$4:$N$810),NA()))</f>
        <v>#N/A</v>
      </c>
      <c r="M66">
        <f>IF($J66&gt;MAX('Match Log'!$A$4:$A$810),NA(),IFERROR(LOOKUP(2,1/(('Match Log'!$D$4:$D$810=$M$24)*('Match Log'!$A$4:$A$810&lt;=$J66)),'Match Log'!$N$4:$N$810),NA()))</f>
        <v>1000.0398229848671</v>
      </c>
      <c r="N66">
        <f>IF($J66&gt;MAX('Match Log'!$A$4:$A$810),NA(),IFERROR(LOOKUP(2,1/(('Match Log'!$D$4:$D$810=$N$24)*('Match Log'!$A$4:$A$810&lt;=$J66)),'Match Log'!$N$4:$N$810),NA()))</f>
        <v>941.41068490146347</v>
      </c>
      <c r="O66">
        <f>IF($J66&gt;MAX('Match Log'!$A$4:$A$810),NA(),IFERROR(LOOKUP(2,1/(('Match Log'!$D$4:$D$810=$O$24)*('Match Log'!$A$4:$A$810&lt;=$J66)),'Match Log'!$N$4:$N$810),NA()))</f>
        <v>1185.5502814689573</v>
      </c>
      <c r="P66">
        <f>IF($J66&gt;MAX('Match Log'!$A$4:$A$810),NA(),IFERROR(LOOKUP(2,1/(('Match Log'!$D$4:$D$810=$P$24)*('Match Log'!$A$4:$A$810&lt;=$J66)),'Match Log'!$N$4:$N$810),NA()))</f>
        <v>1007.4743526549773</v>
      </c>
      <c r="Q66">
        <f>IF($J66&gt;MAX('Match Log'!$A$4:$A$810),NA(),IFERROR(LOOKUP(2,1/(('Match Log'!$D$4:$D$810=$Q$24)*('Match Log'!$A$4:$A$810&lt;=$J66)),'Match Log'!$N$4:$N$810),NA()))</f>
        <v>1004.2142857142857</v>
      </c>
      <c r="R66">
        <f>IF($J66&gt;MAX('Match Log'!$A$4:$A$810),NA(),IFERROR(LOOKUP(2,1/(('Match Log'!$D$4:$D$810=$R$24)*('Match Log'!$A$4:$A$810&lt;=$J66)),'Match Log'!$N$4:$N$810),NA()))</f>
        <v>972.22442479508152</v>
      </c>
      <c r="S66">
        <f>IF($J66&gt;MAX('Match Log'!$A$4:$A$810),NA(),IFERROR(LOOKUP(2,1/(('Match Log'!$D$4:$D$810=$S$24)*('Match Log'!$A$4:$A$810&lt;=$J66)),'Match Log'!$N$4:$N$810),NA()))</f>
        <v>1000.0937464704864</v>
      </c>
      <c r="T66">
        <f>IF($J66&gt;MAX('Match Log'!$A$4:$A$810),NA(),IFERROR(LOOKUP(2,1/(('Match Log'!$D$4:$D$810=$T$24)*('Match Log'!$A$4:$A$810&lt;=$J66)),'Match Log'!$N$4:$N$810),NA()))</f>
        <v>914.42496189230224</v>
      </c>
      <c r="U66">
        <f>IF($J66&gt;MAX('Match Log'!$A$4:$A$810),NA(),IFERROR(LOOKUP(2,1/(('Match Log'!$D$4:$D$810=$U$24)*('Match Log'!$A$4:$A$810&lt;=$J66)),'Match Log'!$N$4:$N$810),NA()))</f>
        <v>979.95413465100341</v>
      </c>
      <c r="V66" t="e">
        <f>IF($J66&gt;MAX('Match Log'!$A$4:$A$810),NA(),IFERROR(LOOKUP(2,1/(('Match Log'!$D$4:$D$810=$V$24)*('Match Log'!$A$4:$A$810&lt;=$J66)),'Match Log'!$N$4:$N$810),NA()))</f>
        <v>#N/A</v>
      </c>
      <c r="W66" t="e">
        <f>IF($J66&gt;MAX('Match Log'!$A$4:$A$810),NA(),IFERROR(LOOKUP(2,1/(('Match Log'!$D$4:$D$810=$W$24)*('Match Log'!$A$4:$A$810&lt;=$J66)),'Match Log'!$N$4:$N$810),NA()))</f>
        <v>#N/A</v>
      </c>
      <c r="X66" t="e">
        <f>IF($J66&gt;MAX('Match Log'!$A$4:$A$810),NA(),IFERROR(LOOKUP(2,1/(('Match Log'!$D$4:$D$810=$X$24)*('Match Log'!$A$4:$A$810&lt;=$J66)),'Match Log'!$N$4:$N$810),NA()))</f>
        <v>#N/A</v>
      </c>
      <c r="Y66" t="str">
        <f t="shared" ca="1" si="21"/>
        <v/>
      </c>
    </row>
    <row r="67" spans="1:25" ht="15" customHeight="1" x14ac:dyDescent="0.2">
      <c r="A67">
        <v>43</v>
      </c>
      <c r="B67" s="127">
        <f>IFERROR(INDEX('Match Log'!$B$4:$B$810,MATCH(43,'Match Log'!$A$4:$A$810,0)),"")</f>
        <v>46176</v>
      </c>
      <c r="C67" t="str">
        <f>IFERROR(INDEX('Match Log'!$C$4:$C$810,MATCH(43,'Match Log'!$A$4:$A$810,0)),"")</f>
        <v>Table Tennis</v>
      </c>
      <c r="D67" t="str">
        <f t="array" ref="D67">IFERROR(_xlfn.TEXTJOIN(" + ",TRUE,IF(('Match Log'!$A$4:$A$810=$A67)*('Match Log'!$E$4:$E$810="Win"),'Match Log'!$D$4:$D$810,"")),IFERROR(LOOKUP(2,1/(('Match Log'!$A$4:$A$810=$A67)*('Match Log'!$E$4:$E$810="Win")),'Match Log'!$D$4:$D$810),""))</f>
        <v>Dean B</v>
      </c>
      <c r="E67" s="128">
        <f>IFERROR(INDEX('Match Log'!$F$4:$F$810,MATCH(43,'Match Log'!$A$4:$A$810,0)),"")</f>
        <v>2</v>
      </c>
      <c r="F67">
        <f>IFERROR(SUMIFS('Match Log'!$I$4:$I$810,'Match Log'!$A$4:$A$810,43,'Match Log'!$E$4:$E$810,"Win"),"")</f>
        <v>0.26530612244897961</v>
      </c>
      <c r="G67">
        <f t="shared" si="19"/>
        <v>0.46938775510204078</v>
      </c>
      <c r="H67" t="str">
        <f t="array" ref="H67">IFERROR(IF(COUNTIFS('Match Log'!$A$4:$A$810,$A67,'Match Log'!$E$4:$E$810,"Win")&gt;1,_xlfn.TEXTJOIN(" + ",TRUE,IF(('Match Log'!$A$4:$A$810=$A67)*('Match Log'!$E$4:$E$810="Loss"),'Match Log'!$D$4:$D$810,"")),IF($E67=2,LOOKUP(2,1/(('Match Log'!$A$4:$A$810=$A67)*('Match Log'!$E$4:$E$810="Loss")),'Match Log'!$D$4:$D$810),"the field")),"")</f>
        <v>Josh</v>
      </c>
      <c r="I67">
        <f t="shared" si="20"/>
        <v>0.46934475510204077</v>
      </c>
      <c r="J67">
        <v>43</v>
      </c>
      <c r="K67">
        <f>IF($J67&gt;MAX('Match Log'!$A$4:$A$810),NA(),IFERROR(LOOKUP(2,1/(('Match Log'!$D$4:$D$810=$K$24)*('Match Log'!$A$4:$A$810&lt;=$J67)),'Match Log'!$N$4:$N$810),NA()))</f>
        <v>1076.6133044665753</v>
      </c>
      <c r="L67" t="e">
        <f>IF($J67&gt;MAX('Match Log'!$A$4:$A$810),NA(),IFERROR(LOOKUP(2,1/(('Match Log'!$D$4:$D$810=$L$24)*('Match Log'!$A$4:$A$810&lt;=$J67)),'Match Log'!$N$4:$N$810),NA()))</f>
        <v>#N/A</v>
      </c>
      <c r="M67">
        <f>IF($J67&gt;MAX('Match Log'!$A$4:$A$810),NA(),IFERROR(LOOKUP(2,1/(('Match Log'!$D$4:$D$810=$M$24)*('Match Log'!$A$4:$A$810&lt;=$J67)),'Match Log'!$N$4:$N$810),NA()))</f>
        <v>1000.0398229848671</v>
      </c>
      <c r="N67">
        <f>IF($J67&gt;MAX('Match Log'!$A$4:$A$810),NA(),IFERROR(LOOKUP(2,1/(('Match Log'!$D$4:$D$810=$N$24)*('Match Log'!$A$4:$A$810&lt;=$J67)),'Match Log'!$N$4:$N$810),NA()))</f>
        <v>941.41068490146347</v>
      </c>
      <c r="O67">
        <f>IF($J67&gt;MAX('Match Log'!$A$4:$A$810),NA(),IFERROR(LOOKUP(2,1/(('Match Log'!$D$4:$D$810=$O$24)*('Match Log'!$A$4:$A$810&lt;=$J67)),'Match Log'!$N$4:$N$810),NA()))</f>
        <v>1154.2476571069622</v>
      </c>
      <c r="P67">
        <f>IF($J67&gt;MAX('Match Log'!$A$4:$A$810),NA(),IFERROR(LOOKUP(2,1/(('Match Log'!$D$4:$D$810=$P$24)*('Match Log'!$A$4:$A$810&lt;=$J67)),'Match Log'!$N$4:$N$810),NA()))</f>
        <v>1007.4743526549773</v>
      </c>
      <c r="Q67">
        <f>IF($J67&gt;MAX('Match Log'!$A$4:$A$810),NA(),IFERROR(LOOKUP(2,1/(('Match Log'!$D$4:$D$810=$Q$24)*('Match Log'!$A$4:$A$810&lt;=$J67)),'Match Log'!$N$4:$N$810),NA()))</f>
        <v>1004.2142857142857</v>
      </c>
      <c r="R67">
        <f>IF($J67&gt;MAX('Match Log'!$A$4:$A$810),NA(),IFERROR(LOOKUP(2,1/(('Match Log'!$D$4:$D$810=$R$24)*('Match Log'!$A$4:$A$810&lt;=$J67)),'Match Log'!$N$4:$N$810),NA()))</f>
        <v>972.22442479508152</v>
      </c>
      <c r="S67">
        <f>IF($J67&gt;MAX('Match Log'!$A$4:$A$810),NA(),IFERROR(LOOKUP(2,1/(('Match Log'!$D$4:$D$810=$S$24)*('Match Log'!$A$4:$A$810&lt;=$J67)),'Match Log'!$N$4:$N$810),NA()))</f>
        <v>1031.3963708324816</v>
      </c>
      <c r="T67">
        <f>IF($J67&gt;MAX('Match Log'!$A$4:$A$810),NA(),IFERROR(LOOKUP(2,1/(('Match Log'!$D$4:$D$810=$T$24)*('Match Log'!$A$4:$A$810&lt;=$J67)),'Match Log'!$N$4:$N$810),NA()))</f>
        <v>914.42496189230224</v>
      </c>
      <c r="U67">
        <f>IF($J67&gt;MAX('Match Log'!$A$4:$A$810),NA(),IFERROR(LOOKUP(2,1/(('Match Log'!$D$4:$D$810=$U$24)*('Match Log'!$A$4:$A$810&lt;=$J67)),'Match Log'!$N$4:$N$810),NA()))</f>
        <v>979.95413465100341</v>
      </c>
      <c r="V67" t="e">
        <f>IF($J67&gt;MAX('Match Log'!$A$4:$A$810),NA(),IFERROR(LOOKUP(2,1/(('Match Log'!$D$4:$D$810=$V$24)*('Match Log'!$A$4:$A$810&lt;=$J67)),'Match Log'!$N$4:$N$810),NA()))</f>
        <v>#N/A</v>
      </c>
      <c r="W67" t="e">
        <f>IF($J67&gt;MAX('Match Log'!$A$4:$A$810),NA(),IFERROR(LOOKUP(2,1/(('Match Log'!$D$4:$D$810=$W$24)*('Match Log'!$A$4:$A$810&lt;=$J67)),'Match Log'!$N$4:$N$810),NA()))</f>
        <v>#N/A</v>
      </c>
      <c r="X67" t="e">
        <f>IF($J67&gt;MAX('Match Log'!$A$4:$A$810),NA(),IFERROR(LOOKUP(2,1/(('Match Log'!$D$4:$D$810=$X$24)*('Match Log'!$A$4:$A$810&lt;=$J67)),'Match Log'!$N$4:$N$810),NA()))</f>
        <v>#N/A</v>
      </c>
      <c r="Y67" t="str">
        <f t="shared" ca="1" si="21"/>
        <v/>
      </c>
    </row>
    <row r="68" spans="1:25" ht="15" customHeight="1" x14ac:dyDescent="0.2">
      <c r="A68">
        <v>44</v>
      </c>
      <c r="B68" s="127">
        <f>IFERROR(INDEX('Match Log'!$B$4:$B$810,MATCH(44,'Match Log'!$A$4:$A$810,0)),"")</f>
        <v>46176</v>
      </c>
      <c r="C68" t="str">
        <f>IFERROR(INDEX('Match Log'!$C$4:$C$810,MATCH(44,'Match Log'!$A$4:$A$810,0)),"")</f>
        <v>Table Tennis</v>
      </c>
      <c r="D68" t="str">
        <f t="array" ref="D68">IFERROR(_xlfn.TEXTJOIN(" + ",TRUE,IF(('Match Log'!$A$4:$A$810=$A68)*('Match Log'!$E$4:$E$810="Win"),'Match Log'!$D$4:$D$810,"")),IFERROR(LOOKUP(2,1/(('Match Log'!$A$4:$A$810=$A68)*('Match Log'!$E$4:$E$810="Win")),'Match Log'!$D$4:$D$810),""))</f>
        <v>Josh</v>
      </c>
      <c r="E68" s="128">
        <f>IFERROR(INDEX('Match Log'!$F$4:$F$810,MATCH(44,'Match Log'!$A$4:$A$810,0)),"")</f>
        <v>2</v>
      </c>
      <c r="F68">
        <f>IFERROR(SUMIFS('Match Log'!$I$4:$I$810,'Match Log'!$A$4:$A$810,44,'Match Log'!$E$4:$E$810,"Win"),"")</f>
        <v>0.5625</v>
      </c>
      <c r="G68">
        <f t="shared" si="19"/>
        <v>-0.125</v>
      </c>
      <c r="H68" t="str">
        <f t="array" ref="H68">IFERROR(IF(COUNTIFS('Match Log'!$A$4:$A$810,$A68,'Match Log'!$E$4:$E$810,"Win")&gt;1,_xlfn.TEXTJOIN(" + ",TRUE,IF(('Match Log'!$A$4:$A$810=$A68)*('Match Log'!$E$4:$E$810="Loss"),'Match Log'!$D$4:$D$810,"")),IF($E68=2,LOOKUP(2,1/(('Match Log'!$A$4:$A$810=$A68)*('Match Log'!$E$4:$E$810="Loss")),'Match Log'!$D$4:$D$810),"the field")),"")</f>
        <v>Oscar</v>
      </c>
      <c r="I68">
        <f t="shared" si="20"/>
        <v>-0.12504399999999999</v>
      </c>
      <c r="J68">
        <v>44</v>
      </c>
      <c r="K68">
        <f>IF($J68&gt;MAX('Match Log'!$A$4:$A$810),NA(),IFERROR(LOOKUP(2,1/(('Match Log'!$D$4:$D$810=$K$24)*('Match Log'!$A$4:$A$810&lt;=$J68)),'Match Log'!$N$4:$N$810),NA()))</f>
        <v>1076.6133044665753</v>
      </c>
      <c r="L68" t="e">
        <f>IF($J68&gt;MAX('Match Log'!$A$4:$A$810),NA(),IFERROR(LOOKUP(2,1/(('Match Log'!$D$4:$D$810=$L$24)*('Match Log'!$A$4:$A$810&lt;=$J68)),'Match Log'!$N$4:$N$810),NA()))</f>
        <v>#N/A</v>
      </c>
      <c r="M68">
        <f>IF($J68&gt;MAX('Match Log'!$A$4:$A$810),NA(),IFERROR(LOOKUP(2,1/(('Match Log'!$D$4:$D$810=$M$24)*('Match Log'!$A$4:$A$810&lt;=$J68)),'Match Log'!$N$4:$N$810),NA()))</f>
        <v>1000.0398229848671</v>
      </c>
      <c r="N68">
        <f>IF($J68&gt;MAX('Match Log'!$A$4:$A$810),NA(),IFERROR(LOOKUP(2,1/(('Match Log'!$D$4:$D$810=$N$24)*('Match Log'!$A$4:$A$810&lt;=$J68)),'Match Log'!$N$4:$N$810),NA()))</f>
        <v>941.41068490146347</v>
      </c>
      <c r="O68">
        <f>IF($J68&gt;MAX('Match Log'!$A$4:$A$810),NA(),IFERROR(LOOKUP(2,1/(('Match Log'!$D$4:$D$810=$O$24)*('Match Log'!$A$4:$A$810&lt;=$J68)),'Match Log'!$N$4:$N$810),NA()))</f>
        <v>1169.5401600030823</v>
      </c>
      <c r="P68">
        <f>IF($J68&gt;MAX('Match Log'!$A$4:$A$810),NA(),IFERROR(LOOKUP(2,1/(('Match Log'!$D$4:$D$810=$P$24)*('Match Log'!$A$4:$A$810&lt;=$J68)),'Match Log'!$N$4:$N$810),NA()))</f>
        <v>1007.4743526549773</v>
      </c>
      <c r="Q68">
        <f>IF($J68&gt;MAX('Match Log'!$A$4:$A$810),NA(),IFERROR(LOOKUP(2,1/(('Match Log'!$D$4:$D$810=$Q$24)*('Match Log'!$A$4:$A$810&lt;=$J68)),'Match Log'!$N$4:$N$810),NA()))</f>
        <v>1004.2142857142857</v>
      </c>
      <c r="R68">
        <f>IF($J68&gt;MAX('Match Log'!$A$4:$A$810),NA(),IFERROR(LOOKUP(2,1/(('Match Log'!$D$4:$D$810=$R$24)*('Match Log'!$A$4:$A$810&lt;=$J68)),'Match Log'!$N$4:$N$810),NA()))</f>
        <v>972.22442479508152</v>
      </c>
      <c r="S68">
        <f>IF($J68&gt;MAX('Match Log'!$A$4:$A$810),NA(),IFERROR(LOOKUP(2,1/(('Match Log'!$D$4:$D$810=$S$24)*('Match Log'!$A$4:$A$810&lt;=$J68)),'Match Log'!$N$4:$N$810),NA()))</f>
        <v>1031.3963708324816</v>
      </c>
      <c r="T68">
        <f>IF($J68&gt;MAX('Match Log'!$A$4:$A$810),NA(),IFERROR(LOOKUP(2,1/(('Match Log'!$D$4:$D$810=$T$24)*('Match Log'!$A$4:$A$810&lt;=$J68)),'Match Log'!$N$4:$N$810),NA()))</f>
        <v>914.42496189230224</v>
      </c>
      <c r="U68">
        <f>IF($J68&gt;MAX('Match Log'!$A$4:$A$810),NA(),IFERROR(LOOKUP(2,1/(('Match Log'!$D$4:$D$810=$U$24)*('Match Log'!$A$4:$A$810&lt;=$J68)),'Match Log'!$N$4:$N$810),NA()))</f>
        <v>964.66163175488316</v>
      </c>
      <c r="V68" t="e">
        <f>IF($J68&gt;MAX('Match Log'!$A$4:$A$810),NA(),IFERROR(LOOKUP(2,1/(('Match Log'!$D$4:$D$810=$V$24)*('Match Log'!$A$4:$A$810&lt;=$J68)),'Match Log'!$N$4:$N$810),NA()))</f>
        <v>#N/A</v>
      </c>
      <c r="W68" t="e">
        <f>IF($J68&gt;MAX('Match Log'!$A$4:$A$810),NA(),IFERROR(LOOKUP(2,1/(('Match Log'!$D$4:$D$810=$W$24)*('Match Log'!$A$4:$A$810&lt;=$J68)),'Match Log'!$N$4:$N$810),NA()))</f>
        <v>#N/A</v>
      </c>
      <c r="X68" t="e">
        <f>IF($J68&gt;MAX('Match Log'!$A$4:$A$810),NA(),IFERROR(LOOKUP(2,1/(('Match Log'!$D$4:$D$810=$X$24)*('Match Log'!$A$4:$A$810&lt;=$J68)),'Match Log'!$N$4:$N$810),NA()))</f>
        <v>#N/A</v>
      </c>
      <c r="Y68" t="str">
        <f t="shared" ca="1" si="21"/>
        <v/>
      </c>
    </row>
    <row r="69" spans="1:25" ht="15" customHeight="1" x14ac:dyDescent="0.2">
      <c r="A69">
        <v>45</v>
      </c>
      <c r="B69" s="127">
        <f>IFERROR(INDEX('Match Log'!$B$4:$B$810,MATCH(45,'Match Log'!$A$4:$A$810,0)),"")</f>
        <v>46176</v>
      </c>
      <c r="C69" t="str">
        <f>IFERROR(INDEX('Match Log'!$C$4:$C$810,MATCH(45,'Match Log'!$A$4:$A$810,0)),"")</f>
        <v>Table Tennis</v>
      </c>
      <c r="D69" t="str">
        <f t="array" ref="D69">IFERROR(_xlfn.TEXTJOIN(" + ",TRUE,IF(('Match Log'!$A$4:$A$810=$A69)*('Match Log'!$E$4:$E$810="Win"),'Match Log'!$D$4:$D$810,"")),IFERROR(LOOKUP(2,1/(('Match Log'!$A$4:$A$810=$A69)*('Match Log'!$E$4:$E$810="Win")),'Match Log'!$D$4:$D$810),""))</f>
        <v>Josh</v>
      </c>
      <c r="E69" s="128">
        <f>IFERROR(INDEX('Match Log'!$F$4:$F$810,MATCH(45,'Match Log'!$A$4:$A$810,0)),"")</f>
        <v>2</v>
      </c>
      <c r="F69">
        <f>IFERROR(SUMIFS('Match Log'!$I$4:$I$810,'Match Log'!$A$4:$A$810,45,'Match Log'!$E$4:$E$810,"Win"),"")</f>
        <v>0.63414634146341464</v>
      </c>
      <c r="G69">
        <f t="shared" si="19"/>
        <v>-0.26829268292682928</v>
      </c>
      <c r="H69" t="str">
        <f t="array" ref="H69">IFERROR(IF(COUNTIFS('Match Log'!$A$4:$A$810,$A69,'Match Log'!$E$4:$E$810,"Win")&gt;1,_xlfn.TEXTJOIN(" + ",TRUE,IF(('Match Log'!$A$4:$A$810=$A69)*('Match Log'!$E$4:$E$810="Loss"),'Match Log'!$D$4:$D$810,"")),IF($E69=2,LOOKUP(2,1/(('Match Log'!$A$4:$A$810=$A69)*('Match Log'!$E$4:$E$810="Loss")),'Match Log'!$D$4:$D$810),"the field")),"")</f>
        <v>Oscar</v>
      </c>
      <c r="I69">
        <f t="shared" si="20"/>
        <v>-0.2683376829268293</v>
      </c>
      <c r="J69">
        <v>45</v>
      </c>
      <c r="K69">
        <f>IF($J69&gt;MAX('Match Log'!$A$4:$A$810),NA(),IFERROR(LOOKUP(2,1/(('Match Log'!$D$4:$D$810=$K$24)*('Match Log'!$A$4:$A$810&lt;=$J69)),'Match Log'!$N$4:$N$810),NA()))</f>
        <v>1076.6133044665753</v>
      </c>
      <c r="L69" t="e">
        <f>IF($J69&gt;MAX('Match Log'!$A$4:$A$810),NA(),IFERROR(LOOKUP(2,1/(('Match Log'!$D$4:$D$810=$L$24)*('Match Log'!$A$4:$A$810&lt;=$J69)),'Match Log'!$N$4:$N$810),NA()))</f>
        <v>#N/A</v>
      </c>
      <c r="M69">
        <f>IF($J69&gt;MAX('Match Log'!$A$4:$A$810),NA(),IFERROR(LOOKUP(2,1/(('Match Log'!$D$4:$D$810=$M$24)*('Match Log'!$A$4:$A$810&lt;=$J69)),'Match Log'!$N$4:$N$810),NA()))</f>
        <v>1000.0398229848671</v>
      </c>
      <c r="N69">
        <f>IF($J69&gt;MAX('Match Log'!$A$4:$A$810),NA(),IFERROR(LOOKUP(2,1/(('Match Log'!$D$4:$D$810=$N$24)*('Match Log'!$A$4:$A$810&lt;=$J69)),'Match Log'!$N$4:$N$810),NA()))</f>
        <v>941.41068490146347</v>
      </c>
      <c r="O69">
        <f>IF($J69&gt;MAX('Match Log'!$A$4:$A$810),NA(),IFERROR(LOOKUP(2,1/(('Match Log'!$D$4:$D$810=$O$24)*('Match Log'!$A$4:$A$810&lt;=$J69)),'Match Log'!$N$4:$N$810),NA()))</f>
        <v>1183.1188716755996</v>
      </c>
      <c r="P69">
        <f>IF($J69&gt;MAX('Match Log'!$A$4:$A$810),NA(),IFERROR(LOOKUP(2,1/(('Match Log'!$D$4:$D$810=$P$24)*('Match Log'!$A$4:$A$810&lt;=$J69)),'Match Log'!$N$4:$N$810),NA()))</f>
        <v>1007.4743526549773</v>
      </c>
      <c r="Q69">
        <f>IF($J69&gt;MAX('Match Log'!$A$4:$A$810),NA(),IFERROR(LOOKUP(2,1/(('Match Log'!$D$4:$D$810=$Q$24)*('Match Log'!$A$4:$A$810&lt;=$J69)),'Match Log'!$N$4:$N$810),NA()))</f>
        <v>1004.2142857142857</v>
      </c>
      <c r="R69">
        <f>IF($J69&gt;MAX('Match Log'!$A$4:$A$810),NA(),IFERROR(LOOKUP(2,1/(('Match Log'!$D$4:$D$810=$R$24)*('Match Log'!$A$4:$A$810&lt;=$J69)),'Match Log'!$N$4:$N$810),NA()))</f>
        <v>972.22442479508152</v>
      </c>
      <c r="S69">
        <f>IF($J69&gt;MAX('Match Log'!$A$4:$A$810),NA(),IFERROR(LOOKUP(2,1/(('Match Log'!$D$4:$D$810=$S$24)*('Match Log'!$A$4:$A$810&lt;=$J69)),'Match Log'!$N$4:$N$810),NA()))</f>
        <v>1031.3963708324816</v>
      </c>
      <c r="T69">
        <f>IF($J69&gt;MAX('Match Log'!$A$4:$A$810),NA(),IFERROR(LOOKUP(2,1/(('Match Log'!$D$4:$D$810=$T$24)*('Match Log'!$A$4:$A$810&lt;=$J69)),'Match Log'!$N$4:$N$810),NA()))</f>
        <v>914.42496189230224</v>
      </c>
      <c r="U69">
        <f>IF($J69&gt;MAX('Match Log'!$A$4:$A$810),NA(),IFERROR(LOOKUP(2,1/(('Match Log'!$D$4:$D$810=$U$24)*('Match Log'!$A$4:$A$810&lt;=$J69)),'Match Log'!$N$4:$N$810),NA()))</f>
        <v>951.08292008236583</v>
      </c>
      <c r="V69" t="e">
        <f>IF($J69&gt;MAX('Match Log'!$A$4:$A$810),NA(),IFERROR(LOOKUP(2,1/(('Match Log'!$D$4:$D$810=$V$24)*('Match Log'!$A$4:$A$810&lt;=$J69)),'Match Log'!$N$4:$N$810),NA()))</f>
        <v>#N/A</v>
      </c>
      <c r="W69" t="e">
        <f>IF($J69&gt;MAX('Match Log'!$A$4:$A$810),NA(),IFERROR(LOOKUP(2,1/(('Match Log'!$D$4:$D$810=$W$24)*('Match Log'!$A$4:$A$810&lt;=$J69)),'Match Log'!$N$4:$N$810),NA()))</f>
        <v>#N/A</v>
      </c>
      <c r="X69" t="e">
        <f>IF($J69&gt;MAX('Match Log'!$A$4:$A$810),NA(),IFERROR(LOOKUP(2,1/(('Match Log'!$D$4:$D$810=$X$24)*('Match Log'!$A$4:$A$810&lt;=$J69)),'Match Log'!$N$4:$N$810),NA()))</f>
        <v>#N/A</v>
      </c>
      <c r="Y69" t="str">
        <f t="shared" ca="1" si="21"/>
        <v/>
      </c>
    </row>
    <row r="70" spans="1:25" ht="15" customHeight="1" x14ac:dyDescent="0.2">
      <c r="A70">
        <v>46</v>
      </c>
      <c r="B70" s="127">
        <f>IFERROR(INDEX('Match Log'!$B$4:$B$810,MATCH(46,'Match Log'!$A$4:$A$810,0)),"")</f>
        <v>46176</v>
      </c>
      <c r="C70" t="str">
        <f>IFERROR(INDEX('Match Log'!$C$4:$C$810,MATCH(46,'Match Log'!$A$4:$A$810,0)),"")</f>
        <v>Table Tennis</v>
      </c>
      <c r="D70" t="str">
        <f t="array" ref="D70">IFERROR(_xlfn.TEXTJOIN(" + ",TRUE,IF(('Match Log'!$A$4:$A$810=$A70)*('Match Log'!$E$4:$E$810="Win"),'Match Log'!$D$4:$D$810,"")),IFERROR(LOOKUP(2,1/(('Match Log'!$A$4:$A$810=$A70)*('Match Log'!$E$4:$E$810="Win")),'Match Log'!$D$4:$D$810),""))</f>
        <v>Oscar</v>
      </c>
      <c r="E70" s="128">
        <f>IFERROR(INDEX('Match Log'!$F$4:$F$810,MATCH(46,'Match Log'!$A$4:$A$810,0)),"")</f>
        <v>2</v>
      </c>
      <c r="F70">
        <f>IFERROR(SUMIFS('Match Log'!$I$4:$I$810,'Match Log'!$A$4:$A$810,46,'Match Log'!$E$4:$E$810,"Win"),"")</f>
        <v>0.31372549019607848</v>
      </c>
      <c r="G70">
        <f t="shared" si="19"/>
        <v>0.37254901960784303</v>
      </c>
      <c r="H70" t="str">
        <f t="array" ref="H70">IFERROR(IF(COUNTIFS('Match Log'!$A$4:$A$810,$A70,'Match Log'!$E$4:$E$810,"Win")&gt;1,_xlfn.TEXTJOIN(" + ",TRUE,IF(('Match Log'!$A$4:$A$810=$A70)*('Match Log'!$E$4:$E$810="Loss"),'Match Log'!$D$4:$D$810,"")),IF($E70=2,LOOKUP(2,1/(('Match Log'!$A$4:$A$810=$A70)*('Match Log'!$E$4:$E$810="Loss")),'Match Log'!$D$4:$D$810),"the field")),"")</f>
        <v>Josh</v>
      </c>
      <c r="I70">
        <f t="shared" si="20"/>
        <v>0.37250301960784304</v>
      </c>
      <c r="J70">
        <v>46</v>
      </c>
      <c r="K70">
        <f>IF($J70&gt;MAX('Match Log'!$A$4:$A$810),NA(),IFERROR(LOOKUP(2,1/(('Match Log'!$D$4:$D$810=$K$24)*('Match Log'!$A$4:$A$810&lt;=$J70)),'Match Log'!$N$4:$N$810),NA()))</f>
        <v>1076.6133044665753</v>
      </c>
      <c r="L70" t="e">
        <f>IF($J70&gt;MAX('Match Log'!$A$4:$A$810),NA(),IFERROR(LOOKUP(2,1/(('Match Log'!$D$4:$D$810=$L$24)*('Match Log'!$A$4:$A$810&lt;=$J70)),'Match Log'!$N$4:$N$810),NA()))</f>
        <v>#N/A</v>
      </c>
      <c r="M70">
        <f>IF($J70&gt;MAX('Match Log'!$A$4:$A$810),NA(),IFERROR(LOOKUP(2,1/(('Match Log'!$D$4:$D$810=$M$24)*('Match Log'!$A$4:$A$810&lt;=$J70)),'Match Log'!$N$4:$N$810),NA()))</f>
        <v>1000.0398229848671</v>
      </c>
      <c r="N70">
        <f>IF($J70&gt;MAX('Match Log'!$A$4:$A$810),NA(),IFERROR(LOOKUP(2,1/(('Match Log'!$D$4:$D$810=$N$24)*('Match Log'!$A$4:$A$810&lt;=$J70)),'Match Log'!$N$4:$N$810),NA()))</f>
        <v>941.41068490146347</v>
      </c>
      <c r="O70">
        <f>IF($J70&gt;MAX('Match Log'!$A$4:$A$810),NA(),IFERROR(LOOKUP(2,1/(('Match Log'!$D$4:$D$810=$O$24)*('Match Log'!$A$4:$A$810&lt;=$J70)),'Match Log'!$N$4:$N$810),NA()))</f>
        <v>1151.3413713243715</v>
      </c>
      <c r="P70">
        <f>IF($J70&gt;MAX('Match Log'!$A$4:$A$810),NA(),IFERROR(LOOKUP(2,1/(('Match Log'!$D$4:$D$810=$P$24)*('Match Log'!$A$4:$A$810&lt;=$J70)),'Match Log'!$N$4:$N$810),NA()))</f>
        <v>1007.4743526549773</v>
      </c>
      <c r="Q70">
        <f>IF($J70&gt;MAX('Match Log'!$A$4:$A$810),NA(),IFERROR(LOOKUP(2,1/(('Match Log'!$D$4:$D$810=$Q$24)*('Match Log'!$A$4:$A$810&lt;=$J70)),'Match Log'!$N$4:$N$810),NA()))</f>
        <v>1004.2142857142857</v>
      </c>
      <c r="R70">
        <f>IF($J70&gt;MAX('Match Log'!$A$4:$A$810),NA(),IFERROR(LOOKUP(2,1/(('Match Log'!$D$4:$D$810=$R$24)*('Match Log'!$A$4:$A$810&lt;=$J70)),'Match Log'!$N$4:$N$810),NA()))</f>
        <v>972.22442479508152</v>
      </c>
      <c r="S70">
        <f>IF($J70&gt;MAX('Match Log'!$A$4:$A$810),NA(),IFERROR(LOOKUP(2,1/(('Match Log'!$D$4:$D$810=$S$24)*('Match Log'!$A$4:$A$810&lt;=$J70)),'Match Log'!$N$4:$N$810),NA()))</f>
        <v>1031.3963708324816</v>
      </c>
      <c r="T70">
        <f>IF($J70&gt;MAX('Match Log'!$A$4:$A$810),NA(),IFERROR(LOOKUP(2,1/(('Match Log'!$D$4:$D$810=$T$24)*('Match Log'!$A$4:$A$810&lt;=$J70)),'Match Log'!$N$4:$N$810),NA()))</f>
        <v>914.42496189230224</v>
      </c>
      <c r="U70">
        <f>IF($J70&gt;MAX('Match Log'!$A$4:$A$810),NA(),IFERROR(LOOKUP(2,1/(('Match Log'!$D$4:$D$810=$U$24)*('Match Log'!$A$4:$A$810&lt;=$J70)),'Match Log'!$N$4:$N$810),NA()))</f>
        <v>982.86042043359396</v>
      </c>
      <c r="V70" t="e">
        <f>IF($J70&gt;MAX('Match Log'!$A$4:$A$810),NA(),IFERROR(LOOKUP(2,1/(('Match Log'!$D$4:$D$810=$V$24)*('Match Log'!$A$4:$A$810&lt;=$J70)),'Match Log'!$N$4:$N$810),NA()))</f>
        <v>#N/A</v>
      </c>
      <c r="W70" t="e">
        <f>IF($J70&gt;MAX('Match Log'!$A$4:$A$810),NA(),IFERROR(LOOKUP(2,1/(('Match Log'!$D$4:$D$810=$W$24)*('Match Log'!$A$4:$A$810&lt;=$J70)),'Match Log'!$N$4:$N$810),NA()))</f>
        <v>#N/A</v>
      </c>
      <c r="X70" t="e">
        <f>IF($J70&gt;MAX('Match Log'!$A$4:$A$810),NA(),IFERROR(LOOKUP(2,1/(('Match Log'!$D$4:$D$810=$X$24)*('Match Log'!$A$4:$A$810&lt;=$J70)),'Match Log'!$N$4:$N$810),NA()))</f>
        <v>#N/A</v>
      </c>
      <c r="Y70" t="str">
        <f t="shared" ca="1" si="21"/>
        <v/>
      </c>
    </row>
    <row r="71" spans="1:25" ht="15" customHeight="1" x14ac:dyDescent="0.2">
      <c r="A71">
        <v>47</v>
      </c>
      <c r="B71" s="127">
        <f>IFERROR(INDEX('Match Log'!$B$4:$B$810,MATCH(47,'Match Log'!$A$4:$A$810,0)),"")</f>
        <v>46176</v>
      </c>
      <c r="C71" t="str">
        <f>IFERROR(INDEX('Match Log'!$C$4:$C$810,MATCH(47,'Match Log'!$A$4:$A$810,0)),"")</f>
        <v>Mario Kart</v>
      </c>
      <c r="D71" t="str">
        <f t="array" ref="D71">IFERROR(_xlfn.TEXTJOIN(" + ",TRUE,IF(('Match Log'!$A$4:$A$810=$A71)*('Match Log'!$E$4:$E$810="Win"),'Match Log'!$D$4:$D$810,"")),IFERROR(LOOKUP(2,1/(('Match Log'!$A$4:$A$810=$A71)*('Match Log'!$E$4:$E$810="Win")),'Match Log'!$D$4:$D$810),""))</f>
        <v>Daniel (Ferret)</v>
      </c>
      <c r="E71" s="128">
        <f>IFERROR(INDEX('Match Log'!$F$4:$F$810,MATCH(47,'Match Log'!$A$4:$A$810,0)),"")</f>
        <v>2</v>
      </c>
      <c r="F71">
        <f>IFERROR(SUMIFS('Match Log'!$I$4:$I$810,'Match Log'!$A$4:$A$810,47,'Match Log'!$E$4:$E$810,"Win"),"")</f>
        <v>0.25</v>
      </c>
      <c r="G71">
        <f t="shared" si="19"/>
        <v>0.5</v>
      </c>
      <c r="H71" t="str">
        <f t="array" ref="H71">IFERROR(IF(COUNTIFS('Match Log'!$A$4:$A$810,$A71,'Match Log'!$E$4:$E$810,"Win")&gt;1,_xlfn.TEXTJOIN(" + ",TRUE,IF(('Match Log'!$A$4:$A$810=$A71)*('Match Log'!$E$4:$E$810="Loss"),'Match Log'!$D$4:$D$810,"")),IF($E71=2,LOOKUP(2,1/(('Match Log'!$A$4:$A$810=$A71)*('Match Log'!$E$4:$E$810="Loss")),'Match Log'!$D$4:$D$810),"the field")),"")</f>
        <v>Oscar</v>
      </c>
      <c r="I71">
        <f t="shared" si="20"/>
        <v>0.49995299999999998</v>
      </c>
      <c r="J71">
        <v>47</v>
      </c>
      <c r="K71">
        <f>IF($J71&gt;MAX('Match Log'!$A$4:$A$810),NA(),IFERROR(LOOKUP(2,1/(('Match Log'!$D$4:$D$810=$K$24)*('Match Log'!$A$4:$A$810&lt;=$J71)),'Match Log'!$N$4:$N$810),NA()))</f>
        <v>1076.6133044665753</v>
      </c>
      <c r="L71" t="e">
        <f>IF($J71&gt;MAX('Match Log'!$A$4:$A$810),NA(),IFERROR(LOOKUP(2,1/(('Match Log'!$D$4:$D$810=$L$24)*('Match Log'!$A$4:$A$810&lt;=$J71)),'Match Log'!$N$4:$N$810),NA()))</f>
        <v>#N/A</v>
      </c>
      <c r="M71">
        <f>IF($J71&gt;MAX('Match Log'!$A$4:$A$810),NA(),IFERROR(LOOKUP(2,1/(('Match Log'!$D$4:$D$810=$M$24)*('Match Log'!$A$4:$A$810&lt;=$J71)),'Match Log'!$N$4:$N$810),NA()))</f>
        <v>1000.0398229848671</v>
      </c>
      <c r="N71">
        <f>IF($J71&gt;MAX('Match Log'!$A$4:$A$810),NA(),IFERROR(LOOKUP(2,1/(('Match Log'!$D$4:$D$810=$N$24)*('Match Log'!$A$4:$A$810&lt;=$J71)),'Match Log'!$N$4:$N$810),NA()))</f>
        <v>941.41068490146347</v>
      </c>
      <c r="O71">
        <f>IF($J71&gt;MAX('Match Log'!$A$4:$A$810),NA(),IFERROR(LOOKUP(2,1/(('Match Log'!$D$4:$D$810=$O$24)*('Match Log'!$A$4:$A$810&lt;=$J71)),'Match Log'!$N$4:$N$810),NA()))</f>
        <v>1151.3413713243715</v>
      </c>
      <c r="P71">
        <f>IF($J71&gt;MAX('Match Log'!$A$4:$A$810),NA(),IFERROR(LOOKUP(2,1/(('Match Log'!$D$4:$D$810=$P$24)*('Match Log'!$A$4:$A$810&lt;=$J71)),'Match Log'!$N$4:$N$810),NA()))</f>
        <v>1007.4743526549773</v>
      </c>
      <c r="Q71">
        <f>IF($J71&gt;MAX('Match Log'!$A$4:$A$810),NA(),IFERROR(LOOKUP(2,1/(('Match Log'!$D$4:$D$810=$Q$24)*('Match Log'!$A$4:$A$810&lt;=$J71)),'Match Log'!$N$4:$N$810),NA()))</f>
        <v>1004.2142857142857</v>
      </c>
      <c r="R71">
        <f>IF($J71&gt;MAX('Match Log'!$A$4:$A$810),NA(),IFERROR(LOOKUP(2,1/(('Match Log'!$D$4:$D$810=$R$24)*('Match Log'!$A$4:$A$810&lt;=$J71)),'Match Log'!$N$4:$N$810),NA()))</f>
        <v>998.28627447903841</v>
      </c>
      <c r="S71">
        <f>IF($J71&gt;MAX('Match Log'!$A$4:$A$810),NA(),IFERROR(LOOKUP(2,1/(('Match Log'!$D$4:$D$810=$S$24)*('Match Log'!$A$4:$A$810&lt;=$J71)),'Match Log'!$N$4:$N$810),NA()))</f>
        <v>1031.3963708324816</v>
      </c>
      <c r="T71">
        <f>IF($J71&gt;MAX('Match Log'!$A$4:$A$810),NA(),IFERROR(LOOKUP(2,1/(('Match Log'!$D$4:$D$810=$T$24)*('Match Log'!$A$4:$A$810&lt;=$J71)),'Match Log'!$N$4:$N$810),NA()))</f>
        <v>914.42496189230224</v>
      </c>
      <c r="U71">
        <f>IF($J71&gt;MAX('Match Log'!$A$4:$A$810),NA(),IFERROR(LOOKUP(2,1/(('Match Log'!$D$4:$D$810=$U$24)*('Match Log'!$A$4:$A$810&lt;=$J71)),'Match Log'!$N$4:$N$810),NA()))</f>
        <v>956.79857074963707</v>
      </c>
      <c r="V71" t="e">
        <f>IF($J71&gt;MAX('Match Log'!$A$4:$A$810),NA(),IFERROR(LOOKUP(2,1/(('Match Log'!$D$4:$D$810=$V$24)*('Match Log'!$A$4:$A$810&lt;=$J71)),'Match Log'!$N$4:$N$810),NA()))</f>
        <v>#N/A</v>
      </c>
      <c r="W71" t="e">
        <f>IF($J71&gt;MAX('Match Log'!$A$4:$A$810),NA(),IFERROR(LOOKUP(2,1/(('Match Log'!$D$4:$D$810=$W$24)*('Match Log'!$A$4:$A$810&lt;=$J71)),'Match Log'!$N$4:$N$810),NA()))</f>
        <v>#N/A</v>
      </c>
      <c r="X71" t="e">
        <f>IF($J71&gt;MAX('Match Log'!$A$4:$A$810),NA(),IFERROR(LOOKUP(2,1/(('Match Log'!$D$4:$D$810=$X$24)*('Match Log'!$A$4:$A$810&lt;=$J71)),'Match Log'!$N$4:$N$810),NA()))</f>
        <v>#N/A</v>
      </c>
      <c r="Y71" t="str">
        <f t="shared" ca="1" si="21"/>
        <v/>
      </c>
    </row>
    <row r="72" spans="1:25" ht="15" customHeight="1" x14ac:dyDescent="0.2">
      <c r="A72">
        <v>48</v>
      </c>
      <c r="B72" s="127">
        <f>IFERROR(INDEX('Match Log'!$B$4:$B$810,MATCH(48,'Match Log'!$A$4:$A$810,0)),"")</f>
        <v>46176</v>
      </c>
      <c r="C72" t="str">
        <f>IFERROR(INDEX('Match Log'!$C$4:$C$810,MATCH(48,'Match Log'!$A$4:$A$810,0)),"")</f>
        <v>Mario Kart</v>
      </c>
      <c r="D72" t="str">
        <f t="array" ref="D72">IFERROR(_xlfn.TEXTJOIN(" + ",TRUE,IF(('Match Log'!$A$4:$A$810=$A72)*('Match Log'!$E$4:$E$810="Win"),'Match Log'!$D$4:$D$810,"")),IFERROR(LOOKUP(2,1/(('Match Log'!$A$4:$A$810=$A72)*('Match Log'!$E$4:$E$810="Win")),'Match Log'!$D$4:$D$810),""))</f>
        <v>Daniel (Ferret)</v>
      </c>
      <c r="E72" s="128">
        <f>IFERROR(INDEX('Match Log'!$F$4:$F$810,MATCH(48,'Match Log'!$A$4:$A$810,0)),"")</f>
        <v>2</v>
      </c>
      <c r="F72">
        <f>IFERROR(SUMIFS('Match Log'!$I$4:$I$810,'Match Log'!$A$4:$A$810,48,'Match Log'!$E$4:$E$810,"Win"),"")</f>
        <v>0.46153846153846151</v>
      </c>
      <c r="G72">
        <f t="shared" si="19"/>
        <v>7.6923076923076983E-2</v>
      </c>
      <c r="H72" t="str">
        <f t="array" ref="H72">IFERROR(IF(COUNTIFS('Match Log'!$A$4:$A$810,$A72,'Match Log'!$E$4:$E$810,"Win")&gt;1,_xlfn.TEXTJOIN(" + ",TRUE,IF(('Match Log'!$A$4:$A$810=$A72)*('Match Log'!$E$4:$E$810="Loss"),'Match Log'!$D$4:$D$810,"")),IF($E72=2,LOOKUP(2,1/(('Match Log'!$A$4:$A$810=$A72)*('Match Log'!$E$4:$E$810="Loss")),'Match Log'!$D$4:$D$810),"the field")),"")</f>
        <v>Oscar</v>
      </c>
      <c r="I72">
        <f t="shared" si="20"/>
        <v>7.6875076923076976E-2</v>
      </c>
      <c r="J72">
        <v>48</v>
      </c>
      <c r="K72">
        <f>IF($J72&gt;MAX('Match Log'!$A$4:$A$810),NA(),IFERROR(LOOKUP(2,1/(('Match Log'!$D$4:$D$810=$K$24)*('Match Log'!$A$4:$A$810&lt;=$J72)),'Match Log'!$N$4:$N$810),NA()))</f>
        <v>1076.6133044665753</v>
      </c>
      <c r="L72" t="e">
        <f>IF($J72&gt;MAX('Match Log'!$A$4:$A$810),NA(),IFERROR(LOOKUP(2,1/(('Match Log'!$D$4:$D$810=$L$24)*('Match Log'!$A$4:$A$810&lt;=$J72)),'Match Log'!$N$4:$N$810),NA()))</f>
        <v>#N/A</v>
      </c>
      <c r="M72">
        <f>IF($J72&gt;MAX('Match Log'!$A$4:$A$810),NA(),IFERROR(LOOKUP(2,1/(('Match Log'!$D$4:$D$810=$M$24)*('Match Log'!$A$4:$A$810&lt;=$J72)),'Match Log'!$N$4:$N$810),NA()))</f>
        <v>1000.0398229848671</v>
      </c>
      <c r="N72">
        <f>IF($J72&gt;MAX('Match Log'!$A$4:$A$810),NA(),IFERROR(LOOKUP(2,1/(('Match Log'!$D$4:$D$810=$N$24)*('Match Log'!$A$4:$A$810&lt;=$J72)),'Match Log'!$N$4:$N$810),NA()))</f>
        <v>941.41068490146347</v>
      </c>
      <c r="O72">
        <f>IF($J72&gt;MAX('Match Log'!$A$4:$A$810),NA(),IFERROR(LOOKUP(2,1/(('Match Log'!$D$4:$D$810=$O$24)*('Match Log'!$A$4:$A$810&lt;=$J72)),'Match Log'!$N$4:$N$810),NA()))</f>
        <v>1151.3413713243715</v>
      </c>
      <c r="P72">
        <f>IF($J72&gt;MAX('Match Log'!$A$4:$A$810),NA(),IFERROR(LOOKUP(2,1/(('Match Log'!$D$4:$D$810=$P$24)*('Match Log'!$A$4:$A$810&lt;=$J72)),'Match Log'!$N$4:$N$810),NA()))</f>
        <v>1007.4743526549773</v>
      </c>
      <c r="Q72">
        <f>IF($J72&gt;MAX('Match Log'!$A$4:$A$810),NA(),IFERROR(LOOKUP(2,1/(('Match Log'!$D$4:$D$810=$Q$24)*('Match Log'!$A$4:$A$810&lt;=$J72)),'Match Log'!$N$4:$N$810),NA()))</f>
        <v>1004.2142857142857</v>
      </c>
      <c r="R72">
        <f>IF($J72&gt;MAX('Match Log'!$A$4:$A$810),NA(),IFERROR(LOOKUP(2,1/(('Match Log'!$D$4:$D$810=$R$24)*('Match Log'!$A$4:$A$810&lt;=$J72)),'Match Log'!$N$4:$N$810),NA()))</f>
        <v>1019.8457383193305</v>
      </c>
      <c r="S72">
        <f>IF($J72&gt;MAX('Match Log'!$A$4:$A$810),NA(),IFERROR(LOOKUP(2,1/(('Match Log'!$D$4:$D$810=$S$24)*('Match Log'!$A$4:$A$810&lt;=$J72)),'Match Log'!$N$4:$N$810),NA()))</f>
        <v>1031.3963708324816</v>
      </c>
      <c r="T72">
        <f>IF($J72&gt;MAX('Match Log'!$A$4:$A$810),NA(),IFERROR(LOOKUP(2,1/(('Match Log'!$D$4:$D$810=$T$24)*('Match Log'!$A$4:$A$810&lt;=$J72)),'Match Log'!$N$4:$N$810),NA()))</f>
        <v>914.42496189230224</v>
      </c>
      <c r="U72">
        <f>IF($J72&gt;MAX('Match Log'!$A$4:$A$810),NA(),IFERROR(LOOKUP(2,1/(('Match Log'!$D$4:$D$810=$U$24)*('Match Log'!$A$4:$A$810&lt;=$J72)),'Match Log'!$N$4:$N$810),NA()))</f>
        <v>935.23910690934497</v>
      </c>
      <c r="V72" t="e">
        <f>IF($J72&gt;MAX('Match Log'!$A$4:$A$810),NA(),IFERROR(LOOKUP(2,1/(('Match Log'!$D$4:$D$810=$V$24)*('Match Log'!$A$4:$A$810&lt;=$J72)),'Match Log'!$N$4:$N$810),NA()))</f>
        <v>#N/A</v>
      </c>
      <c r="W72" t="e">
        <f>IF($J72&gt;MAX('Match Log'!$A$4:$A$810),NA(),IFERROR(LOOKUP(2,1/(('Match Log'!$D$4:$D$810=$W$24)*('Match Log'!$A$4:$A$810&lt;=$J72)),'Match Log'!$N$4:$N$810),NA()))</f>
        <v>#N/A</v>
      </c>
      <c r="X72" t="e">
        <f>IF($J72&gt;MAX('Match Log'!$A$4:$A$810),NA(),IFERROR(LOOKUP(2,1/(('Match Log'!$D$4:$D$810=$X$24)*('Match Log'!$A$4:$A$810&lt;=$J72)),'Match Log'!$N$4:$N$810),NA()))</f>
        <v>#N/A</v>
      </c>
      <c r="Y72" t="str">
        <f t="shared" ca="1" si="21"/>
        <v/>
      </c>
    </row>
    <row r="73" spans="1:25" ht="15" customHeight="1" x14ac:dyDescent="0.2">
      <c r="A73">
        <v>49</v>
      </c>
      <c r="B73" s="127">
        <f>IFERROR(INDEX('Match Log'!$B$4:$B$810,MATCH(49,'Match Log'!$A$4:$A$810,0)),"")</f>
        <v>46176</v>
      </c>
      <c r="C73" t="str">
        <f>IFERROR(INDEX('Match Log'!$C$4:$C$810,MATCH(49,'Match Log'!$A$4:$A$810,0)),"")</f>
        <v>Mario Kart</v>
      </c>
      <c r="D73" t="str">
        <f t="array" ref="D73">IFERROR(_xlfn.TEXTJOIN(" + ",TRUE,IF(('Match Log'!$A$4:$A$810=$A73)*('Match Log'!$E$4:$E$810="Win"),'Match Log'!$D$4:$D$810,"")),IFERROR(LOOKUP(2,1/(('Match Log'!$A$4:$A$810=$A73)*('Match Log'!$E$4:$E$810="Win")),'Match Log'!$D$4:$D$810),""))</f>
        <v>Oscar</v>
      </c>
      <c r="E73" s="128">
        <f>IFERROR(INDEX('Match Log'!$F$4:$F$810,MATCH(49,'Match Log'!$A$4:$A$810,0)),"")</f>
        <v>2</v>
      </c>
      <c r="F73">
        <f>IFERROR(SUMIFS('Match Log'!$I$4:$I$810,'Match Log'!$A$4:$A$810,49,'Match Log'!$E$4:$E$810,"Win"),"")</f>
        <v>0.4</v>
      </c>
      <c r="G73">
        <f t="shared" si="19"/>
        <v>0.19999999999999996</v>
      </c>
      <c r="H73" t="str">
        <f t="array" ref="H73">IFERROR(IF(COUNTIFS('Match Log'!$A$4:$A$810,$A73,'Match Log'!$E$4:$E$810,"Win")&gt;1,_xlfn.TEXTJOIN(" + ",TRUE,IF(('Match Log'!$A$4:$A$810=$A73)*('Match Log'!$E$4:$E$810="Loss"),'Match Log'!$D$4:$D$810,"")),IF($E73=2,LOOKUP(2,1/(('Match Log'!$A$4:$A$810=$A73)*('Match Log'!$E$4:$E$810="Loss")),'Match Log'!$D$4:$D$810),"the field")),"")</f>
        <v>Daniel (Ferret)</v>
      </c>
      <c r="I73">
        <f t="shared" si="20"/>
        <v>0.19995099999999996</v>
      </c>
      <c r="J73">
        <v>49</v>
      </c>
      <c r="K73">
        <f>IF($J73&gt;MAX('Match Log'!$A$4:$A$810),NA(),IFERROR(LOOKUP(2,1/(('Match Log'!$D$4:$D$810=$K$24)*('Match Log'!$A$4:$A$810&lt;=$J73)),'Match Log'!$N$4:$N$810),NA()))</f>
        <v>1076.6133044665753</v>
      </c>
      <c r="L73" t="e">
        <f>IF($J73&gt;MAX('Match Log'!$A$4:$A$810),NA(),IFERROR(LOOKUP(2,1/(('Match Log'!$D$4:$D$810=$L$24)*('Match Log'!$A$4:$A$810&lt;=$J73)),'Match Log'!$N$4:$N$810),NA()))</f>
        <v>#N/A</v>
      </c>
      <c r="M73">
        <f>IF($J73&gt;MAX('Match Log'!$A$4:$A$810),NA(),IFERROR(LOOKUP(2,1/(('Match Log'!$D$4:$D$810=$M$24)*('Match Log'!$A$4:$A$810&lt;=$J73)),'Match Log'!$N$4:$N$810),NA()))</f>
        <v>1000.0398229848671</v>
      </c>
      <c r="N73">
        <f>IF($J73&gt;MAX('Match Log'!$A$4:$A$810),NA(),IFERROR(LOOKUP(2,1/(('Match Log'!$D$4:$D$810=$N$24)*('Match Log'!$A$4:$A$810&lt;=$J73)),'Match Log'!$N$4:$N$810),NA()))</f>
        <v>941.41068490146347</v>
      </c>
      <c r="O73">
        <f>IF($J73&gt;MAX('Match Log'!$A$4:$A$810),NA(),IFERROR(LOOKUP(2,1/(('Match Log'!$D$4:$D$810=$O$24)*('Match Log'!$A$4:$A$810&lt;=$J73)),'Match Log'!$N$4:$N$810),NA()))</f>
        <v>1151.3413713243715</v>
      </c>
      <c r="P73">
        <f>IF($J73&gt;MAX('Match Log'!$A$4:$A$810),NA(),IFERROR(LOOKUP(2,1/(('Match Log'!$D$4:$D$810=$P$24)*('Match Log'!$A$4:$A$810&lt;=$J73)),'Match Log'!$N$4:$N$810),NA()))</f>
        <v>1007.4743526549773</v>
      </c>
      <c r="Q73">
        <f>IF($J73&gt;MAX('Match Log'!$A$4:$A$810),NA(),IFERROR(LOOKUP(2,1/(('Match Log'!$D$4:$D$810=$Q$24)*('Match Log'!$A$4:$A$810&lt;=$J73)),'Match Log'!$N$4:$N$810),NA()))</f>
        <v>1004.2142857142857</v>
      </c>
      <c r="R73">
        <f>IF($J73&gt;MAX('Match Log'!$A$4:$A$810),NA(),IFERROR(LOOKUP(2,1/(('Match Log'!$D$4:$D$810=$R$24)*('Match Log'!$A$4:$A$810&lt;=$J73)),'Match Log'!$N$4:$N$810),NA()))</f>
        <v>994.16654867186321</v>
      </c>
      <c r="S73">
        <f>IF($J73&gt;MAX('Match Log'!$A$4:$A$810),NA(),IFERROR(LOOKUP(2,1/(('Match Log'!$D$4:$D$810=$S$24)*('Match Log'!$A$4:$A$810&lt;=$J73)),'Match Log'!$N$4:$N$810),NA()))</f>
        <v>1031.3963708324816</v>
      </c>
      <c r="T73">
        <f>IF($J73&gt;MAX('Match Log'!$A$4:$A$810),NA(),IFERROR(LOOKUP(2,1/(('Match Log'!$D$4:$D$810=$T$24)*('Match Log'!$A$4:$A$810&lt;=$J73)),'Match Log'!$N$4:$N$810),NA()))</f>
        <v>914.42496189230224</v>
      </c>
      <c r="U73">
        <f>IF($J73&gt;MAX('Match Log'!$A$4:$A$810),NA(),IFERROR(LOOKUP(2,1/(('Match Log'!$D$4:$D$810=$U$24)*('Match Log'!$A$4:$A$810&lt;=$J73)),'Match Log'!$N$4:$N$810),NA()))</f>
        <v>960.91829655681227</v>
      </c>
      <c r="V73" t="e">
        <f>IF($J73&gt;MAX('Match Log'!$A$4:$A$810),NA(),IFERROR(LOOKUP(2,1/(('Match Log'!$D$4:$D$810=$V$24)*('Match Log'!$A$4:$A$810&lt;=$J73)),'Match Log'!$N$4:$N$810),NA()))</f>
        <v>#N/A</v>
      </c>
      <c r="W73" t="e">
        <f>IF($J73&gt;MAX('Match Log'!$A$4:$A$810),NA(),IFERROR(LOOKUP(2,1/(('Match Log'!$D$4:$D$810=$W$24)*('Match Log'!$A$4:$A$810&lt;=$J73)),'Match Log'!$N$4:$N$810),NA()))</f>
        <v>#N/A</v>
      </c>
      <c r="X73" t="e">
        <f>IF($J73&gt;MAX('Match Log'!$A$4:$A$810),NA(),IFERROR(LOOKUP(2,1/(('Match Log'!$D$4:$D$810=$X$24)*('Match Log'!$A$4:$A$810&lt;=$J73)),'Match Log'!$N$4:$N$810),NA()))</f>
        <v>#N/A</v>
      </c>
      <c r="Y73" t="str">
        <f t="shared" ca="1" si="21"/>
        <v/>
      </c>
    </row>
    <row r="74" spans="1:25" ht="15" customHeight="1" x14ac:dyDescent="0.2">
      <c r="A74">
        <v>50</v>
      </c>
      <c r="B74" s="127">
        <f>IFERROR(INDEX('Match Log'!$B$4:$B$810,MATCH(50,'Match Log'!$A$4:$A$810,0)),"")</f>
        <v>46177</v>
      </c>
      <c r="C74" t="str">
        <f>IFERROR(INDEX('Match Log'!$C$4:$C$810,MATCH(50,'Match Log'!$A$4:$A$810,0)),"")</f>
        <v>Table Tennis</v>
      </c>
      <c r="D74" t="str">
        <f t="array" ref="D74">IFERROR(_xlfn.TEXTJOIN(" + ",TRUE,IF(('Match Log'!$A$4:$A$810=$A74)*('Match Log'!$E$4:$E$810="Win"),'Match Log'!$D$4:$D$810,"")),IFERROR(LOOKUP(2,1/(('Match Log'!$A$4:$A$810=$A74)*('Match Log'!$E$4:$E$810="Win")),'Match Log'!$D$4:$D$810),""))</f>
        <v>Dean B</v>
      </c>
      <c r="E74" s="128">
        <f>IFERROR(INDEX('Match Log'!$F$4:$F$810,MATCH(50,'Match Log'!$A$4:$A$810,0)),"")</f>
        <v>2</v>
      </c>
      <c r="F74">
        <f>IFERROR(SUMIFS('Match Log'!$I$4:$I$810,'Match Log'!$A$4:$A$810,50,'Match Log'!$E$4:$E$810,"Win"),"")</f>
        <v>0.5</v>
      </c>
      <c r="G74">
        <f t="shared" si="19"/>
        <v>0</v>
      </c>
      <c r="H74" t="str">
        <f t="array" ref="H74">IFERROR(IF(COUNTIFS('Match Log'!$A$4:$A$810,$A74,'Match Log'!$E$4:$E$810,"Win")&gt;1,_xlfn.TEXTJOIN(" + ",TRUE,IF(('Match Log'!$A$4:$A$810=$A74)*('Match Log'!$E$4:$E$810="Loss"),'Match Log'!$D$4:$D$810,"")),IF($E74=2,LOOKUP(2,1/(('Match Log'!$A$4:$A$810=$A74)*('Match Log'!$E$4:$E$810="Loss")),'Match Log'!$D$4:$D$810),"the field")),"")</f>
        <v>Oscar</v>
      </c>
      <c r="I74">
        <f t="shared" si="20"/>
        <v>-5.0000000000000002E-5</v>
      </c>
      <c r="J74">
        <v>50</v>
      </c>
      <c r="K74">
        <f>IF($J74&gt;MAX('Match Log'!$A$4:$A$810),NA(),IFERROR(LOOKUP(2,1/(('Match Log'!$D$4:$D$810=$K$24)*('Match Log'!$A$4:$A$810&lt;=$J74)),'Match Log'!$N$4:$N$810),NA()))</f>
        <v>1076.6133044665753</v>
      </c>
      <c r="L74" t="e">
        <f>IF($J74&gt;MAX('Match Log'!$A$4:$A$810),NA(),IFERROR(LOOKUP(2,1/(('Match Log'!$D$4:$D$810=$L$24)*('Match Log'!$A$4:$A$810&lt;=$J74)),'Match Log'!$N$4:$N$810),NA()))</f>
        <v>#N/A</v>
      </c>
      <c r="M74">
        <f>IF($J74&gt;MAX('Match Log'!$A$4:$A$810),NA(),IFERROR(LOOKUP(2,1/(('Match Log'!$D$4:$D$810=$M$24)*('Match Log'!$A$4:$A$810&lt;=$J74)),'Match Log'!$N$4:$N$810),NA()))</f>
        <v>1000.0398229848671</v>
      </c>
      <c r="N74">
        <f>IF($J74&gt;MAX('Match Log'!$A$4:$A$810),NA(),IFERROR(LOOKUP(2,1/(('Match Log'!$D$4:$D$810=$N$24)*('Match Log'!$A$4:$A$810&lt;=$J74)),'Match Log'!$N$4:$N$810),NA()))</f>
        <v>941.41068490146347</v>
      </c>
      <c r="O74">
        <f>IF($J74&gt;MAX('Match Log'!$A$4:$A$810),NA(),IFERROR(LOOKUP(2,1/(('Match Log'!$D$4:$D$810=$O$24)*('Match Log'!$A$4:$A$810&lt;=$J74)),'Match Log'!$N$4:$N$810),NA()))</f>
        <v>1151.3413713243715</v>
      </c>
      <c r="P74">
        <f>IF($J74&gt;MAX('Match Log'!$A$4:$A$810),NA(),IFERROR(LOOKUP(2,1/(('Match Log'!$D$4:$D$810=$P$24)*('Match Log'!$A$4:$A$810&lt;=$J74)),'Match Log'!$N$4:$N$810),NA()))</f>
        <v>1007.4743526549773</v>
      </c>
      <c r="Q74">
        <f>IF($J74&gt;MAX('Match Log'!$A$4:$A$810),NA(),IFERROR(LOOKUP(2,1/(('Match Log'!$D$4:$D$810=$Q$24)*('Match Log'!$A$4:$A$810&lt;=$J74)),'Match Log'!$N$4:$N$810),NA()))</f>
        <v>1004.2142857142857</v>
      </c>
      <c r="R74">
        <f>IF($J74&gt;MAX('Match Log'!$A$4:$A$810),NA(),IFERROR(LOOKUP(2,1/(('Match Log'!$D$4:$D$810=$R$24)*('Match Log'!$A$4:$A$810&lt;=$J74)),'Match Log'!$N$4:$N$810),NA()))</f>
        <v>994.16654867186321</v>
      </c>
      <c r="S74">
        <f>IF($J74&gt;MAX('Match Log'!$A$4:$A$810),NA(),IFERROR(LOOKUP(2,1/(('Match Log'!$D$4:$D$810=$S$24)*('Match Log'!$A$4:$A$810&lt;=$J74)),'Match Log'!$N$4:$N$810),NA()))</f>
        <v>1051.5351713835635</v>
      </c>
      <c r="T74">
        <f>IF($J74&gt;MAX('Match Log'!$A$4:$A$810),NA(),IFERROR(LOOKUP(2,1/(('Match Log'!$D$4:$D$810=$T$24)*('Match Log'!$A$4:$A$810&lt;=$J74)),'Match Log'!$N$4:$N$810),NA()))</f>
        <v>914.42496189230224</v>
      </c>
      <c r="U74">
        <f>IF($J74&gt;MAX('Match Log'!$A$4:$A$810),NA(),IFERROR(LOOKUP(2,1/(('Match Log'!$D$4:$D$810=$U$24)*('Match Log'!$A$4:$A$810&lt;=$J74)),'Match Log'!$N$4:$N$810),NA()))</f>
        <v>940.77949600573038</v>
      </c>
      <c r="V74" t="e">
        <f>IF($J74&gt;MAX('Match Log'!$A$4:$A$810),NA(),IFERROR(LOOKUP(2,1/(('Match Log'!$D$4:$D$810=$V$24)*('Match Log'!$A$4:$A$810&lt;=$J74)),'Match Log'!$N$4:$N$810),NA()))</f>
        <v>#N/A</v>
      </c>
      <c r="W74" t="e">
        <f>IF($J74&gt;MAX('Match Log'!$A$4:$A$810),NA(),IFERROR(LOOKUP(2,1/(('Match Log'!$D$4:$D$810=$W$24)*('Match Log'!$A$4:$A$810&lt;=$J74)),'Match Log'!$N$4:$N$810),NA()))</f>
        <v>#N/A</v>
      </c>
      <c r="X74" t="e">
        <f>IF($J74&gt;MAX('Match Log'!$A$4:$A$810),NA(),IFERROR(LOOKUP(2,1/(('Match Log'!$D$4:$D$810=$X$24)*('Match Log'!$A$4:$A$810&lt;=$J74)),'Match Log'!$N$4:$N$810),NA()))</f>
        <v>#N/A</v>
      </c>
      <c r="Y74" t="str">
        <f t="shared" ca="1" si="21"/>
        <v/>
      </c>
    </row>
    <row r="75" spans="1:25" ht="15" customHeight="1" x14ac:dyDescent="0.2">
      <c r="A75">
        <v>51</v>
      </c>
      <c r="B75" s="127">
        <f>IFERROR(INDEX('Match Log'!$B$4:$B$810,MATCH(51,'Match Log'!$A$4:$A$810,0)),"")</f>
        <v>46177</v>
      </c>
      <c r="C75" t="str">
        <f>IFERROR(INDEX('Match Log'!$C$4:$C$810,MATCH(51,'Match Log'!$A$4:$A$810,0)),"")</f>
        <v>Table Tennis</v>
      </c>
      <c r="D75" t="str">
        <f t="array" ref="D75">IFERROR(_xlfn.TEXTJOIN(" + ",TRUE,IF(('Match Log'!$A$4:$A$810=$A75)*('Match Log'!$E$4:$E$810="Win"),'Match Log'!$D$4:$D$810,"")),IFERROR(LOOKUP(2,1/(('Match Log'!$A$4:$A$810=$A75)*('Match Log'!$E$4:$E$810="Win")),'Match Log'!$D$4:$D$810),""))</f>
        <v>Dean B</v>
      </c>
      <c r="E75" s="128">
        <f>IFERROR(INDEX('Match Log'!$F$4:$F$810,MATCH(51,'Match Log'!$A$4:$A$810,0)),"")</f>
        <v>2</v>
      </c>
      <c r="F75">
        <f>IFERROR(SUMIFS('Match Log'!$I$4:$I$810,'Match Log'!$A$4:$A$810,51,'Match Log'!$E$4:$E$810,"Win"),"")</f>
        <v>0.58333333333333337</v>
      </c>
      <c r="G75">
        <f t="shared" si="19"/>
        <v>-0.16666666666666674</v>
      </c>
      <c r="H75" t="str">
        <f t="array" ref="H75">IFERROR(IF(COUNTIFS('Match Log'!$A$4:$A$810,$A75,'Match Log'!$E$4:$E$810,"Win")&gt;1,_xlfn.TEXTJOIN(" + ",TRUE,IF(('Match Log'!$A$4:$A$810=$A75)*('Match Log'!$E$4:$E$810="Loss"),'Match Log'!$D$4:$D$810,"")),IF($E75=2,LOOKUP(2,1/(('Match Log'!$A$4:$A$810=$A75)*('Match Log'!$E$4:$E$810="Loss")),'Match Log'!$D$4:$D$810),"the field")),"")</f>
        <v>Oscar</v>
      </c>
      <c r="I75">
        <f t="shared" si="20"/>
        <v>-0.16671766666666674</v>
      </c>
      <c r="J75">
        <v>51</v>
      </c>
      <c r="K75">
        <f>IF($J75&gt;MAX('Match Log'!$A$4:$A$810),NA(),IFERROR(LOOKUP(2,1/(('Match Log'!$D$4:$D$810=$K$24)*('Match Log'!$A$4:$A$810&lt;=$J75)),'Match Log'!$N$4:$N$810),NA()))</f>
        <v>1076.6133044665753</v>
      </c>
      <c r="L75" t="e">
        <f>IF($J75&gt;MAX('Match Log'!$A$4:$A$810),NA(),IFERROR(LOOKUP(2,1/(('Match Log'!$D$4:$D$810=$L$24)*('Match Log'!$A$4:$A$810&lt;=$J75)),'Match Log'!$N$4:$N$810),NA()))</f>
        <v>#N/A</v>
      </c>
      <c r="M75">
        <f>IF($J75&gt;MAX('Match Log'!$A$4:$A$810),NA(),IFERROR(LOOKUP(2,1/(('Match Log'!$D$4:$D$810=$M$24)*('Match Log'!$A$4:$A$810&lt;=$J75)),'Match Log'!$N$4:$N$810),NA()))</f>
        <v>1000.0398229848671</v>
      </c>
      <c r="N75">
        <f>IF($J75&gt;MAX('Match Log'!$A$4:$A$810),NA(),IFERROR(LOOKUP(2,1/(('Match Log'!$D$4:$D$810=$N$24)*('Match Log'!$A$4:$A$810&lt;=$J75)),'Match Log'!$N$4:$N$810),NA()))</f>
        <v>941.41068490146347</v>
      </c>
      <c r="O75">
        <f>IF($J75&gt;MAX('Match Log'!$A$4:$A$810),NA(),IFERROR(LOOKUP(2,1/(('Match Log'!$D$4:$D$810=$O$24)*('Match Log'!$A$4:$A$810&lt;=$J75)),'Match Log'!$N$4:$N$810),NA()))</f>
        <v>1151.3413713243715</v>
      </c>
      <c r="P75">
        <f>IF($J75&gt;MAX('Match Log'!$A$4:$A$810),NA(),IFERROR(LOOKUP(2,1/(('Match Log'!$D$4:$D$810=$P$24)*('Match Log'!$A$4:$A$810&lt;=$J75)),'Match Log'!$N$4:$N$810),NA()))</f>
        <v>1007.4743526549773</v>
      </c>
      <c r="Q75">
        <f>IF($J75&gt;MAX('Match Log'!$A$4:$A$810),NA(),IFERROR(LOOKUP(2,1/(('Match Log'!$D$4:$D$810=$Q$24)*('Match Log'!$A$4:$A$810&lt;=$J75)),'Match Log'!$N$4:$N$810),NA()))</f>
        <v>1004.2142857142857</v>
      </c>
      <c r="R75">
        <f>IF($J75&gt;MAX('Match Log'!$A$4:$A$810),NA(),IFERROR(LOOKUP(2,1/(('Match Log'!$D$4:$D$810=$R$24)*('Match Log'!$A$4:$A$810&lt;=$J75)),'Match Log'!$N$4:$N$810),NA()))</f>
        <v>994.16654867186321</v>
      </c>
      <c r="S75">
        <f>IF($J75&gt;MAX('Match Log'!$A$4:$A$810),NA(),IFERROR(LOOKUP(2,1/(('Match Log'!$D$4:$D$810=$S$24)*('Match Log'!$A$4:$A$810&lt;=$J75)),'Match Log'!$N$4:$N$810),NA()))</f>
        <v>1069.239243353531</v>
      </c>
      <c r="T75">
        <f>IF($J75&gt;MAX('Match Log'!$A$4:$A$810),NA(),IFERROR(LOOKUP(2,1/(('Match Log'!$D$4:$D$810=$T$24)*('Match Log'!$A$4:$A$810&lt;=$J75)),'Match Log'!$N$4:$N$810),NA()))</f>
        <v>914.42496189230224</v>
      </c>
      <c r="U75">
        <f>IF($J75&gt;MAX('Match Log'!$A$4:$A$810),NA(),IFERROR(LOOKUP(2,1/(('Match Log'!$D$4:$D$810=$U$24)*('Match Log'!$A$4:$A$810&lt;=$J75)),'Match Log'!$N$4:$N$810),NA()))</f>
        <v>923.07542403576281</v>
      </c>
      <c r="V75" t="e">
        <f>IF($J75&gt;MAX('Match Log'!$A$4:$A$810),NA(),IFERROR(LOOKUP(2,1/(('Match Log'!$D$4:$D$810=$V$24)*('Match Log'!$A$4:$A$810&lt;=$J75)),'Match Log'!$N$4:$N$810),NA()))</f>
        <v>#N/A</v>
      </c>
      <c r="W75" t="e">
        <f>IF($J75&gt;MAX('Match Log'!$A$4:$A$810),NA(),IFERROR(LOOKUP(2,1/(('Match Log'!$D$4:$D$810=$W$24)*('Match Log'!$A$4:$A$810&lt;=$J75)),'Match Log'!$N$4:$N$810),NA()))</f>
        <v>#N/A</v>
      </c>
      <c r="X75" t="e">
        <f>IF($J75&gt;MAX('Match Log'!$A$4:$A$810),NA(),IFERROR(LOOKUP(2,1/(('Match Log'!$D$4:$D$810=$X$24)*('Match Log'!$A$4:$A$810&lt;=$J75)),'Match Log'!$N$4:$N$810),NA()))</f>
        <v>#N/A</v>
      </c>
      <c r="Y75" t="str">
        <f t="shared" ca="1" si="21"/>
        <v/>
      </c>
    </row>
    <row r="76" spans="1:25" ht="15" customHeight="1" x14ac:dyDescent="0.2">
      <c r="A76">
        <v>52</v>
      </c>
      <c r="B76" s="127">
        <f>IFERROR(INDEX('Match Log'!$B$4:$B$810,MATCH(52,'Match Log'!$A$4:$A$810,0)),"")</f>
        <v>46177</v>
      </c>
      <c r="C76" t="str">
        <f>IFERROR(INDEX('Match Log'!$C$4:$C$810,MATCH(52,'Match Log'!$A$4:$A$810,0)),"")</f>
        <v>Table Tennis</v>
      </c>
      <c r="D76" t="str">
        <f t="array" ref="D76">IFERROR(_xlfn.TEXTJOIN(" + ",TRUE,IF(('Match Log'!$A$4:$A$810=$A76)*('Match Log'!$E$4:$E$810="Win"),'Match Log'!$D$4:$D$810,"")),IFERROR(LOOKUP(2,1/(('Match Log'!$A$4:$A$810=$A76)*('Match Log'!$E$4:$E$810="Win")),'Match Log'!$D$4:$D$810),""))</f>
        <v>Dean B</v>
      </c>
      <c r="E76" s="128">
        <f>IFERROR(INDEX('Match Log'!$F$4:$F$810,MATCH(52,'Match Log'!$A$4:$A$810,0)),"")</f>
        <v>2</v>
      </c>
      <c r="F76">
        <f>IFERROR(SUMIFS('Match Log'!$I$4:$I$810,'Match Log'!$A$4:$A$810,52,'Match Log'!$E$4:$E$810,"Win"),"")</f>
        <v>0.64</v>
      </c>
      <c r="G76">
        <f t="shared" si="19"/>
        <v>-0.28000000000000003</v>
      </c>
      <c r="H76" t="str">
        <f t="array" ref="H76">IFERROR(IF(COUNTIFS('Match Log'!$A$4:$A$810,$A76,'Match Log'!$E$4:$E$810,"Win")&gt;1,_xlfn.TEXTJOIN(" + ",TRUE,IF(('Match Log'!$A$4:$A$810=$A76)*('Match Log'!$E$4:$E$810="Loss"),'Match Log'!$D$4:$D$810,"")),IF($E76=2,LOOKUP(2,1/(('Match Log'!$A$4:$A$810=$A76)*('Match Log'!$E$4:$E$810="Loss")),'Match Log'!$D$4:$D$810),"the field")),"")</f>
        <v>Oscar</v>
      </c>
      <c r="I76">
        <f t="shared" si="20"/>
        <v>-0.28005200000000002</v>
      </c>
      <c r="J76">
        <v>52</v>
      </c>
      <c r="K76">
        <f>IF($J76&gt;MAX('Match Log'!$A$4:$A$810),NA(),IFERROR(LOOKUP(2,1/(('Match Log'!$D$4:$D$810=$K$24)*('Match Log'!$A$4:$A$810&lt;=$J76)),'Match Log'!$N$4:$N$810),NA()))</f>
        <v>1076.6133044665753</v>
      </c>
      <c r="L76" t="e">
        <f>IF($J76&gt;MAX('Match Log'!$A$4:$A$810),NA(),IFERROR(LOOKUP(2,1/(('Match Log'!$D$4:$D$810=$L$24)*('Match Log'!$A$4:$A$810&lt;=$J76)),'Match Log'!$N$4:$N$810),NA()))</f>
        <v>#N/A</v>
      </c>
      <c r="M76">
        <f>IF($J76&gt;MAX('Match Log'!$A$4:$A$810),NA(),IFERROR(LOOKUP(2,1/(('Match Log'!$D$4:$D$810=$M$24)*('Match Log'!$A$4:$A$810&lt;=$J76)),'Match Log'!$N$4:$N$810),NA()))</f>
        <v>1000.0398229848671</v>
      </c>
      <c r="N76">
        <f>IF($J76&gt;MAX('Match Log'!$A$4:$A$810),NA(),IFERROR(LOOKUP(2,1/(('Match Log'!$D$4:$D$810=$N$24)*('Match Log'!$A$4:$A$810&lt;=$J76)),'Match Log'!$N$4:$N$810),NA()))</f>
        <v>941.41068490146347</v>
      </c>
      <c r="O76">
        <f>IF($J76&gt;MAX('Match Log'!$A$4:$A$810),NA(),IFERROR(LOOKUP(2,1/(('Match Log'!$D$4:$D$810=$O$24)*('Match Log'!$A$4:$A$810&lt;=$J76)),'Match Log'!$N$4:$N$810),NA()))</f>
        <v>1151.3413713243715</v>
      </c>
      <c r="P76">
        <f>IF($J76&gt;MAX('Match Log'!$A$4:$A$810),NA(),IFERROR(LOOKUP(2,1/(('Match Log'!$D$4:$D$810=$P$24)*('Match Log'!$A$4:$A$810&lt;=$J76)),'Match Log'!$N$4:$N$810),NA()))</f>
        <v>1007.4743526549773</v>
      </c>
      <c r="Q76">
        <f>IF($J76&gt;MAX('Match Log'!$A$4:$A$810),NA(),IFERROR(LOOKUP(2,1/(('Match Log'!$D$4:$D$810=$Q$24)*('Match Log'!$A$4:$A$810&lt;=$J76)),'Match Log'!$N$4:$N$810),NA()))</f>
        <v>1004.2142857142857</v>
      </c>
      <c r="R76">
        <f>IF($J76&gt;MAX('Match Log'!$A$4:$A$810),NA(),IFERROR(LOOKUP(2,1/(('Match Log'!$D$4:$D$810=$R$24)*('Match Log'!$A$4:$A$810&lt;=$J76)),'Match Log'!$N$4:$N$810),NA()))</f>
        <v>994.16654867186321</v>
      </c>
      <c r="S76">
        <f>IF($J76&gt;MAX('Match Log'!$A$4:$A$810),NA(),IFERROR(LOOKUP(2,1/(('Match Log'!$D$4:$D$810=$S$24)*('Match Log'!$A$4:$A$810&lt;=$J76)),'Match Log'!$N$4:$N$810),NA()))</f>
        <v>1085.0465286626036</v>
      </c>
      <c r="T76">
        <f>IF($J76&gt;MAX('Match Log'!$A$4:$A$810),NA(),IFERROR(LOOKUP(2,1/(('Match Log'!$D$4:$D$810=$T$24)*('Match Log'!$A$4:$A$810&lt;=$J76)),'Match Log'!$N$4:$N$810),NA()))</f>
        <v>914.42496189230224</v>
      </c>
      <c r="U76">
        <f>IF($J76&gt;MAX('Match Log'!$A$4:$A$810),NA(),IFERROR(LOOKUP(2,1/(('Match Log'!$D$4:$D$810=$U$24)*('Match Log'!$A$4:$A$810&lt;=$J76)),'Match Log'!$N$4:$N$810),NA()))</f>
        <v>907.26813872669015</v>
      </c>
      <c r="V76" t="e">
        <f>IF($J76&gt;MAX('Match Log'!$A$4:$A$810),NA(),IFERROR(LOOKUP(2,1/(('Match Log'!$D$4:$D$810=$V$24)*('Match Log'!$A$4:$A$810&lt;=$J76)),'Match Log'!$N$4:$N$810),NA()))</f>
        <v>#N/A</v>
      </c>
      <c r="W76" t="e">
        <f>IF($J76&gt;MAX('Match Log'!$A$4:$A$810),NA(),IFERROR(LOOKUP(2,1/(('Match Log'!$D$4:$D$810=$W$24)*('Match Log'!$A$4:$A$810&lt;=$J76)),'Match Log'!$N$4:$N$810),NA()))</f>
        <v>#N/A</v>
      </c>
      <c r="X76" t="e">
        <f>IF($J76&gt;MAX('Match Log'!$A$4:$A$810),NA(),IFERROR(LOOKUP(2,1/(('Match Log'!$D$4:$D$810=$X$24)*('Match Log'!$A$4:$A$810&lt;=$J76)),'Match Log'!$N$4:$N$810),NA()))</f>
        <v>#N/A</v>
      </c>
      <c r="Y76" t="str">
        <f t="shared" ca="1" si="21"/>
        <v/>
      </c>
    </row>
    <row r="77" spans="1:25" ht="15" customHeight="1" x14ac:dyDescent="0.2">
      <c r="A77">
        <v>53</v>
      </c>
      <c r="B77" s="127">
        <f>IFERROR(INDEX('Match Log'!$B$4:$B$810,MATCH(53,'Match Log'!$A$4:$A$810,0)),"")</f>
        <v>46177</v>
      </c>
      <c r="C77" t="str">
        <f>IFERROR(INDEX('Match Log'!$C$4:$C$810,MATCH(53,'Match Log'!$A$4:$A$810,0)),"")</f>
        <v>Pool</v>
      </c>
      <c r="D77" t="str">
        <f t="array" ref="D77">IFERROR(_xlfn.TEXTJOIN(" + ",TRUE,IF(('Match Log'!$A$4:$A$810=$A77)*('Match Log'!$E$4:$E$810="Win"),'Match Log'!$D$4:$D$810,"")),IFERROR(LOOKUP(2,1/(('Match Log'!$A$4:$A$810=$A77)*('Match Log'!$E$4:$E$810="Win")),'Match Log'!$D$4:$D$810),""))</f>
        <v>Oscar</v>
      </c>
      <c r="E77" s="128">
        <f>IFERROR(INDEX('Match Log'!$F$4:$F$810,MATCH(53,'Match Log'!$A$4:$A$810,0)),"")</f>
        <v>2</v>
      </c>
      <c r="F77">
        <f>IFERROR(SUMIFS('Match Log'!$I$4:$I$810,'Match Log'!$A$4:$A$810,53,'Match Log'!$E$4:$E$810,"Win"),"")</f>
        <v>0.29411764705882354</v>
      </c>
      <c r="G77">
        <f t="shared" si="19"/>
        <v>0.41176470588235292</v>
      </c>
      <c r="H77" t="str">
        <f t="array" ref="H77">IFERROR(IF(COUNTIFS('Match Log'!$A$4:$A$810,$A77,'Match Log'!$E$4:$E$810,"Win")&gt;1,_xlfn.TEXTJOIN(" + ",TRUE,IF(('Match Log'!$A$4:$A$810=$A77)*('Match Log'!$E$4:$E$810="Loss"),'Match Log'!$D$4:$D$810,"")),IF($E77=2,LOOKUP(2,1/(('Match Log'!$A$4:$A$810=$A77)*('Match Log'!$E$4:$E$810="Loss")),'Match Log'!$D$4:$D$810),"the field")),"")</f>
        <v>Dean B</v>
      </c>
      <c r="I77">
        <f t="shared" si="20"/>
        <v>0.4117117058823529</v>
      </c>
      <c r="J77">
        <v>53</v>
      </c>
      <c r="K77">
        <f>IF($J77&gt;MAX('Match Log'!$A$4:$A$810),NA(),IFERROR(LOOKUP(2,1/(('Match Log'!$D$4:$D$810=$K$24)*('Match Log'!$A$4:$A$810&lt;=$J77)),'Match Log'!$N$4:$N$810),NA()))</f>
        <v>1076.6133044665753</v>
      </c>
      <c r="L77" t="e">
        <f>IF($J77&gt;MAX('Match Log'!$A$4:$A$810),NA(),IFERROR(LOOKUP(2,1/(('Match Log'!$D$4:$D$810=$L$24)*('Match Log'!$A$4:$A$810&lt;=$J77)),'Match Log'!$N$4:$N$810),NA()))</f>
        <v>#N/A</v>
      </c>
      <c r="M77">
        <f>IF($J77&gt;MAX('Match Log'!$A$4:$A$810),NA(),IFERROR(LOOKUP(2,1/(('Match Log'!$D$4:$D$810=$M$24)*('Match Log'!$A$4:$A$810&lt;=$J77)),'Match Log'!$N$4:$N$810),NA()))</f>
        <v>1000.0398229848671</v>
      </c>
      <c r="N77">
        <f>IF($J77&gt;MAX('Match Log'!$A$4:$A$810),NA(),IFERROR(LOOKUP(2,1/(('Match Log'!$D$4:$D$810=$N$24)*('Match Log'!$A$4:$A$810&lt;=$J77)),'Match Log'!$N$4:$N$810),NA()))</f>
        <v>941.41068490146347</v>
      </c>
      <c r="O77">
        <f>IF($J77&gt;MAX('Match Log'!$A$4:$A$810),NA(),IFERROR(LOOKUP(2,1/(('Match Log'!$D$4:$D$810=$O$24)*('Match Log'!$A$4:$A$810&lt;=$J77)),'Match Log'!$N$4:$N$810),NA()))</f>
        <v>1151.3413713243715</v>
      </c>
      <c r="P77">
        <f>IF($J77&gt;MAX('Match Log'!$A$4:$A$810),NA(),IFERROR(LOOKUP(2,1/(('Match Log'!$D$4:$D$810=$P$24)*('Match Log'!$A$4:$A$810&lt;=$J77)),'Match Log'!$N$4:$N$810),NA()))</f>
        <v>1007.4743526549773</v>
      </c>
      <c r="Q77">
        <f>IF($J77&gt;MAX('Match Log'!$A$4:$A$810),NA(),IFERROR(LOOKUP(2,1/(('Match Log'!$D$4:$D$810=$Q$24)*('Match Log'!$A$4:$A$810&lt;=$J77)),'Match Log'!$N$4:$N$810),NA()))</f>
        <v>1004.2142857142857</v>
      </c>
      <c r="R77">
        <f>IF($J77&gt;MAX('Match Log'!$A$4:$A$810),NA(),IFERROR(LOOKUP(2,1/(('Match Log'!$D$4:$D$810=$R$24)*('Match Log'!$A$4:$A$810&lt;=$J77)),'Match Log'!$N$4:$N$810),NA()))</f>
        <v>994.16654867186321</v>
      </c>
      <c r="S77">
        <f>IF($J77&gt;MAX('Match Log'!$A$4:$A$810),NA(),IFERROR(LOOKUP(2,1/(('Match Log'!$D$4:$D$810=$S$24)*('Match Log'!$A$4:$A$810&lt;=$J77)),'Match Log'!$N$4:$N$810),NA()))</f>
        <v>1054.7322046090017</v>
      </c>
      <c r="T77">
        <f>IF($J77&gt;MAX('Match Log'!$A$4:$A$810),NA(),IFERROR(LOOKUP(2,1/(('Match Log'!$D$4:$D$810=$T$24)*('Match Log'!$A$4:$A$810&lt;=$J77)),'Match Log'!$N$4:$N$810),NA()))</f>
        <v>914.42496189230224</v>
      </c>
      <c r="U77">
        <f>IF($J77&gt;MAX('Match Log'!$A$4:$A$810),NA(),IFERROR(LOOKUP(2,1/(('Match Log'!$D$4:$D$810=$U$24)*('Match Log'!$A$4:$A$810&lt;=$J77)),'Match Log'!$N$4:$N$810),NA()))</f>
        <v>937.58246278029208</v>
      </c>
      <c r="V77" t="e">
        <f>IF($J77&gt;MAX('Match Log'!$A$4:$A$810),NA(),IFERROR(LOOKUP(2,1/(('Match Log'!$D$4:$D$810=$V$24)*('Match Log'!$A$4:$A$810&lt;=$J77)),'Match Log'!$N$4:$N$810),NA()))</f>
        <v>#N/A</v>
      </c>
      <c r="W77" t="e">
        <f>IF($J77&gt;MAX('Match Log'!$A$4:$A$810),NA(),IFERROR(LOOKUP(2,1/(('Match Log'!$D$4:$D$810=$W$24)*('Match Log'!$A$4:$A$810&lt;=$J77)),'Match Log'!$N$4:$N$810),NA()))</f>
        <v>#N/A</v>
      </c>
      <c r="X77" t="e">
        <f>IF($J77&gt;MAX('Match Log'!$A$4:$A$810),NA(),IFERROR(LOOKUP(2,1/(('Match Log'!$D$4:$D$810=$X$24)*('Match Log'!$A$4:$A$810&lt;=$J77)),'Match Log'!$N$4:$N$810),NA()))</f>
        <v>#N/A</v>
      </c>
      <c r="Y77" t="str">
        <f t="shared" ca="1" si="21"/>
        <v/>
      </c>
    </row>
    <row r="78" spans="1:25" ht="15" customHeight="1" x14ac:dyDescent="0.2">
      <c r="A78">
        <v>54</v>
      </c>
      <c r="B78" s="127">
        <f>IFERROR(INDEX('Match Log'!$B$4:$B$810,MATCH(54,'Match Log'!$A$4:$A$810,0)),"")</f>
        <v>46177</v>
      </c>
      <c r="C78" t="str">
        <f>IFERROR(INDEX('Match Log'!$C$4:$C$810,MATCH(54,'Match Log'!$A$4:$A$810,0)),"")</f>
        <v>Pool</v>
      </c>
      <c r="D78" t="str">
        <f t="array" ref="D78">IFERROR(_xlfn.TEXTJOIN(" + ",TRUE,IF(('Match Log'!$A$4:$A$810=$A78)*('Match Log'!$E$4:$E$810="Win"),'Match Log'!$D$4:$D$810,"")),IFERROR(LOOKUP(2,1/(('Match Log'!$A$4:$A$810=$A78)*('Match Log'!$E$4:$E$810="Win")),'Match Log'!$D$4:$D$810),""))</f>
        <v>Oscar</v>
      </c>
      <c r="E78" s="128">
        <f>IFERROR(INDEX('Match Log'!$F$4:$F$810,MATCH(54,'Match Log'!$A$4:$A$810,0)),"")</f>
        <v>2</v>
      </c>
      <c r="F78">
        <f>IFERROR(SUMIFS('Match Log'!$I$4:$I$810,'Match Log'!$A$4:$A$810,54,'Match Log'!$E$4:$E$810,"Win"),"")</f>
        <v>0.44444444444444448</v>
      </c>
      <c r="G78">
        <f t="shared" si="19"/>
        <v>0.11111111111111105</v>
      </c>
      <c r="H78" t="str">
        <f t="array" ref="H78">IFERROR(IF(COUNTIFS('Match Log'!$A$4:$A$810,$A78,'Match Log'!$E$4:$E$810,"Win")&gt;1,_xlfn.TEXTJOIN(" + ",TRUE,IF(('Match Log'!$A$4:$A$810=$A78)*('Match Log'!$E$4:$E$810="Loss"),'Match Log'!$D$4:$D$810,"")),IF($E78=2,LOOKUP(2,1/(('Match Log'!$A$4:$A$810=$A78)*('Match Log'!$E$4:$E$810="Loss")),'Match Log'!$D$4:$D$810),"the field")),"")</f>
        <v>Beau</v>
      </c>
      <c r="I78">
        <f t="shared" si="20"/>
        <v>0.11105711111111105</v>
      </c>
      <c r="J78">
        <v>54</v>
      </c>
      <c r="K78">
        <f>IF($J78&gt;MAX('Match Log'!$A$4:$A$810),NA(),IFERROR(LOOKUP(2,1/(('Match Log'!$D$4:$D$810=$K$24)*('Match Log'!$A$4:$A$810&lt;=$J78)),'Match Log'!$N$4:$N$810),NA()))</f>
        <v>1076.6133044665753</v>
      </c>
      <c r="L78">
        <f>IF($J78&gt;MAX('Match Log'!$A$4:$A$810),NA(),IFERROR(LOOKUP(2,1/(('Match Log'!$D$4:$D$810=$L$24)*('Match Log'!$A$4:$A$810&lt;=$J78)),'Match Log'!$N$4:$N$810),NA()))</f>
        <v>975.33097176714045</v>
      </c>
      <c r="M78">
        <f>IF($J78&gt;MAX('Match Log'!$A$4:$A$810),NA(),IFERROR(LOOKUP(2,1/(('Match Log'!$D$4:$D$810=$M$24)*('Match Log'!$A$4:$A$810&lt;=$J78)),'Match Log'!$N$4:$N$810),NA()))</f>
        <v>1000.0398229848671</v>
      </c>
      <c r="N78">
        <f>IF($J78&gt;MAX('Match Log'!$A$4:$A$810),NA(),IFERROR(LOOKUP(2,1/(('Match Log'!$D$4:$D$810=$N$24)*('Match Log'!$A$4:$A$810&lt;=$J78)),'Match Log'!$N$4:$N$810),NA()))</f>
        <v>941.41068490146347</v>
      </c>
      <c r="O78">
        <f>IF($J78&gt;MAX('Match Log'!$A$4:$A$810),NA(),IFERROR(LOOKUP(2,1/(('Match Log'!$D$4:$D$810=$O$24)*('Match Log'!$A$4:$A$810&lt;=$J78)),'Match Log'!$N$4:$N$810),NA()))</f>
        <v>1151.3413713243715</v>
      </c>
      <c r="P78">
        <f>IF($J78&gt;MAX('Match Log'!$A$4:$A$810),NA(),IFERROR(LOOKUP(2,1/(('Match Log'!$D$4:$D$810=$P$24)*('Match Log'!$A$4:$A$810&lt;=$J78)),'Match Log'!$N$4:$N$810),NA()))</f>
        <v>1007.4743526549773</v>
      </c>
      <c r="Q78">
        <f>IF($J78&gt;MAX('Match Log'!$A$4:$A$810),NA(),IFERROR(LOOKUP(2,1/(('Match Log'!$D$4:$D$810=$Q$24)*('Match Log'!$A$4:$A$810&lt;=$J78)),'Match Log'!$N$4:$N$810),NA()))</f>
        <v>1004.2142857142857</v>
      </c>
      <c r="R78">
        <f>IF($J78&gt;MAX('Match Log'!$A$4:$A$810),NA(),IFERROR(LOOKUP(2,1/(('Match Log'!$D$4:$D$810=$R$24)*('Match Log'!$A$4:$A$810&lt;=$J78)),'Match Log'!$N$4:$N$810),NA()))</f>
        <v>994.16654867186321</v>
      </c>
      <c r="S78">
        <f>IF($J78&gt;MAX('Match Log'!$A$4:$A$810),NA(),IFERROR(LOOKUP(2,1/(('Match Log'!$D$4:$D$810=$S$24)*('Match Log'!$A$4:$A$810&lt;=$J78)),'Match Log'!$N$4:$N$810),NA()))</f>
        <v>1054.7322046090017</v>
      </c>
      <c r="T78">
        <f>IF($J78&gt;MAX('Match Log'!$A$4:$A$810),NA(),IFERROR(LOOKUP(2,1/(('Match Log'!$D$4:$D$810=$T$24)*('Match Log'!$A$4:$A$810&lt;=$J78)),'Match Log'!$N$4:$N$810),NA()))</f>
        <v>914.42496189230224</v>
      </c>
      <c r="U78">
        <f>IF($J78&gt;MAX('Match Log'!$A$4:$A$810),NA(),IFERROR(LOOKUP(2,1/(('Match Log'!$D$4:$D$810=$U$24)*('Match Log'!$A$4:$A$810&lt;=$J78)),'Match Log'!$N$4:$N$810),NA()))</f>
        <v>962.25149101315162</v>
      </c>
      <c r="V78" t="e">
        <f>IF($J78&gt;MAX('Match Log'!$A$4:$A$810),NA(),IFERROR(LOOKUP(2,1/(('Match Log'!$D$4:$D$810=$V$24)*('Match Log'!$A$4:$A$810&lt;=$J78)),'Match Log'!$N$4:$N$810),NA()))</f>
        <v>#N/A</v>
      </c>
      <c r="W78" t="e">
        <f>IF($J78&gt;MAX('Match Log'!$A$4:$A$810),NA(),IFERROR(LOOKUP(2,1/(('Match Log'!$D$4:$D$810=$W$24)*('Match Log'!$A$4:$A$810&lt;=$J78)),'Match Log'!$N$4:$N$810),NA()))</f>
        <v>#N/A</v>
      </c>
      <c r="X78" t="e">
        <f>IF($J78&gt;MAX('Match Log'!$A$4:$A$810),NA(),IFERROR(LOOKUP(2,1/(('Match Log'!$D$4:$D$810=$X$24)*('Match Log'!$A$4:$A$810&lt;=$J78)),'Match Log'!$N$4:$N$810),NA()))</f>
        <v>#N/A</v>
      </c>
      <c r="Y78" t="str">
        <f t="shared" ca="1" si="21"/>
        <v/>
      </c>
    </row>
    <row r="79" spans="1:25" ht="15" customHeight="1" x14ac:dyDescent="0.2">
      <c r="A79">
        <v>55</v>
      </c>
      <c r="B79" s="127">
        <f>IFERROR(INDEX('Match Log'!$B$4:$B$810,MATCH(55,'Match Log'!$A$4:$A$810,0)),"")</f>
        <v>46177</v>
      </c>
      <c r="C79" t="str">
        <f>IFERROR(INDEX('Match Log'!$C$4:$C$810,MATCH(55,'Match Log'!$A$4:$A$810,0)),"")</f>
        <v>Mario Kart</v>
      </c>
      <c r="D79" t="str">
        <f t="array" ref="D79">IFERROR(_xlfn.TEXTJOIN(" + ",TRUE,IF(('Match Log'!$A$4:$A$810=$A79)*('Match Log'!$E$4:$E$810="Win"),'Match Log'!$D$4:$D$810,"")),IFERROR(LOOKUP(2,1/(('Match Log'!$A$4:$A$810=$A79)*('Match Log'!$E$4:$E$810="Win")),'Match Log'!$D$4:$D$810),""))</f>
        <v>Oscar</v>
      </c>
      <c r="E79" s="128">
        <f>IFERROR(INDEX('Match Log'!$F$4:$F$810,MATCH(55,'Match Log'!$A$4:$A$810,0)),"")</f>
        <v>2</v>
      </c>
      <c r="F79">
        <f>IFERROR(SUMIFS('Match Log'!$I$4:$I$810,'Match Log'!$A$4:$A$810,55,'Match Log'!$E$4:$E$810,"Win"),"")</f>
        <v>0.44444444444444448</v>
      </c>
      <c r="G79">
        <f t="shared" si="19"/>
        <v>0.11111111111111105</v>
      </c>
      <c r="H79" t="str">
        <f t="array" ref="H79">IFERROR(IF(COUNTIFS('Match Log'!$A$4:$A$810,$A79,'Match Log'!$E$4:$E$810,"Win")&gt;1,_xlfn.TEXTJOIN(" + ",TRUE,IF(('Match Log'!$A$4:$A$810=$A79)*('Match Log'!$E$4:$E$810="Loss"),'Match Log'!$D$4:$D$810,"")),IF($E79=2,LOOKUP(2,1/(('Match Log'!$A$4:$A$810=$A79)*('Match Log'!$E$4:$E$810="Loss")),'Match Log'!$D$4:$D$810),"the field")),"")</f>
        <v>Shawn</v>
      </c>
      <c r="I79">
        <f t="shared" si="20"/>
        <v>0.11105611111111105</v>
      </c>
      <c r="J79">
        <v>55</v>
      </c>
      <c r="K79">
        <f>IF($J79&gt;MAX('Match Log'!$A$4:$A$810),NA(),IFERROR(LOOKUP(2,1/(('Match Log'!$D$4:$D$810=$K$24)*('Match Log'!$A$4:$A$810&lt;=$J79)),'Match Log'!$N$4:$N$810),NA()))</f>
        <v>1076.6133044665753</v>
      </c>
      <c r="L79">
        <f>IF($J79&gt;MAX('Match Log'!$A$4:$A$810),NA(),IFERROR(LOOKUP(2,1/(('Match Log'!$D$4:$D$810=$L$24)*('Match Log'!$A$4:$A$810&lt;=$J79)),'Match Log'!$N$4:$N$810),NA()))</f>
        <v>975.33097176714045</v>
      </c>
      <c r="M79">
        <f>IF($J79&gt;MAX('Match Log'!$A$4:$A$810),NA(),IFERROR(LOOKUP(2,1/(('Match Log'!$D$4:$D$810=$M$24)*('Match Log'!$A$4:$A$810&lt;=$J79)),'Match Log'!$N$4:$N$810),NA()))</f>
        <v>1000.0398229848671</v>
      </c>
      <c r="N79">
        <f>IF($J79&gt;MAX('Match Log'!$A$4:$A$810),NA(),IFERROR(LOOKUP(2,1/(('Match Log'!$D$4:$D$810=$N$24)*('Match Log'!$A$4:$A$810&lt;=$J79)),'Match Log'!$N$4:$N$810),NA()))</f>
        <v>941.41068490146347</v>
      </c>
      <c r="O79">
        <f>IF($J79&gt;MAX('Match Log'!$A$4:$A$810),NA(),IFERROR(LOOKUP(2,1/(('Match Log'!$D$4:$D$810=$O$24)*('Match Log'!$A$4:$A$810&lt;=$J79)),'Match Log'!$N$4:$N$810),NA()))</f>
        <v>1151.3413713243715</v>
      </c>
      <c r="P79">
        <f>IF($J79&gt;MAX('Match Log'!$A$4:$A$810),NA(),IFERROR(LOOKUP(2,1/(('Match Log'!$D$4:$D$810=$P$24)*('Match Log'!$A$4:$A$810&lt;=$J79)),'Match Log'!$N$4:$N$810),NA()))</f>
        <v>983.06074452161181</v>
      </c>
      <c r="Q79">
        <f>IF($J79&gt;MAX('Match Log'!$A$4:$A$810),NA(),IFERROR(LOOKUP(2,1/(('Match Log'!$D$4:$D$810=$Q$24)*('Match Log'!$A$4:$A$810&lt;=$J79)),'Match Log'!$N$4:$N$810),NA()))</f>
        <v>1004.2142857142857</v>
      </c>
      <c r="R79">
        <f>IF($J79&gt;MAX('Match Log'!$A$4:$A$810),NA(),IFERROR(LOOKUP(2,1/(('Match Log'!$D$4:$D$810=$R$24)*('Match Log'!$A$4:$A$810&lt;=$J79)),'Match Log'!$N$4:$N$810),NA()))</f>
        <v>994.16654867186321</v>
      </c>
      <c r="S79">
        <f>IF($J79&gt;MAX('Match Log'!$A$4:$A$810),NA(),IFERROR(LOOKUP(2,1/(('Match Log'!$D$4:$D$810=$S$24)*('Match Log'!$A$4:$A$810&lt;=$J79)),'Match Log'!$N$4:$N$810),NA()))</f>
        <v>1054.7322046090017</v>
      </c>
      <c r="T79">
        <f>IF($J79&gt;MAX('Match Log'!$A$4:$A$810),NA(),IFERROR(LOOKUP(2,1/(('Match Log'!$D$4:$D$810=$T$24)*('Match Log'!$A$4:$A$810&lt;=$J79)),'Match Log'!$N$4:$N$810),NA()))</f>
        <v>914.42496189230224</v>
      </c>
      <c r="U79">
        <f>IF($J79&gt;MAX('Match Log'!$A$4:$A$810),NA(),IFERROR(LOOKUP(2,1/(('Match Log'!$D$4:$D$810=$U$24)*('Match Log'!$A$4:$A$810&lt;=$J79)),'Match Log'!$N$4:$N$810),NA()))</f>
        <v>986.66509914651715</v>
      </c>
      <c r="V79" t="e">
        <f>IF($J79&gt;MAX('Match Log'!$A$4:$A$810),NA(),IFERROR(LOOKUP(2,1/(('Match Log'!$D$4:$D$810=$V$24)*('Match Log'!$A$4:$A$810&lt;=$J79)),'Match Log'!$N$4:$N$810),NA()))</f>
        <v>#N/A</v>
      </c>
      <c r="W79" t="e">
        <f>IF($J79&gt;MAX('Match Log'!$A$4:$A$810),NA(),IFERROR(LOOKUP(2,1/(('Match Log'!$D$4:$D$810=$W$24)*('Match Log'!$A$4:$A$810&lt;=$J79)),'Match Log'!$N$4:$N$810),NA()))</f>
        <v>#N/A</v>
      </c>
      <c r="X79" t="e">
        <f>IF($J79&gt;MAX('Match Log'!$A$4:$A$810),NA(),IFERROR(LOOKUP(2,1/(('Match Log'!$D$4:$D$810=$X$24)*('Match Log'!$A$4:$A$810&lt;=$J79)),'Match Log'!$N$4:$N$810),NA()))</f>
        <v>#N/A</v>
      </c>
      <c r="Y79" t="str">
        <f t="shared" ca="1" si="21"/>
        <v/>
      </c>
    </row>
    <row r="80" spans="1:25" ht="15" customHeight="1" x14ac:dyDescent="0.2">
      <c r="A80">
        <v>56</v>
      </c>
      <c r="B80" s="127">
        <f>IFERROR(INDEX('Match Log'!$B$4:$B$810,MATCH(56,'Match Log'!$A$4:$A$810,0)),"")</f>
        <v>46188</v>
      </c>
      <c r="C80" t="str">
        <f>IFERROR(INDEX('Match Log'!$C$4:$C$810,MATCH(56,'Match Log'!$A$4:$A$810,0)),"")</f>
        <v>ShuffleBoard</v>
      </c>
      <c r="D80" t="str">
        <f t="array" ref="D80">IFERROR(_xlfn.TEXTJOIN(" + ",TRUE,IF(('Match Log'!$A$4:$A$810=$A80)*('Match Log'!$E$4:$E$810="Win"),'Match Log'!$D$4:$D$810,"")),IFERROR(LOOKUP(2,1/(('Match Log'!$A$4:$A$810=$A80)*('Match Log'!$E$4:$E$810="Win")),'Match Log'!$D$4:$D$810),""))</f>
        <v>Shawn</v>
      </c>
      <c r="E80" s="128">
        <f>IFERROR(INDEX('Match Log'!$F$4:$F$810,MATCH(56,'Match Log'!$A$4:$A$810,0)),"")</f>
        <v>2</v>
      </c>
      <c r="F80">
        <f>IFERROR(SUMIFS('Match Log'!$I$4:$I$810,'Match Log'!$A$4:$A$810,56,'Match Log'!$E$4:$E$810,"Win"),"")</f>
        <v>0.5</v>
      </c>
      <c r="G80">
        <f t="shared" si="19"/>
        <v>0</v>
      </c>
      <c r="H80" t="str">
        <f t="array" ref="H80">IFERROR(IF(COUNTIFS('Match Log'!$A$4:$A$810,$A80,'Match Log'!$E$4:$E$810,"Win")&gt;1,_xlfn.TEXTJOIN(" + ",TRUE,IF(('Match Log'!$A$4:$A$810=$A80)*('Match Log'!$E$4:$E$810="Loss"),'Match Log'!$D$4:$D$810,"")),IF($E80=2,LOOKUP(2,1/(('Match Log'!$A$4:$A$810=$A80)*('Match Log'!$E$4:$E$810="Loss")),'Match Log'!$D$4:$D$810),"the field")),"")</f>
        <v>Josh</v>
      </c>
      <c r="I80">
        <f t="shared" si="20"/>
        <v>-5.5999999999999999E-5</v>
      </c>
      <c r="J80">
        <v>56</v>
      </c>
      <c r="K80">
        <f>IF($J80&gt;MAX('Match Log'!$A$4:$A$810),NA(),IFERROR(LOOKUP(2,1/(('Match Log'!$D$4:$D$810=$K$24)*('Match Log'!$A$4:$A$810&lt;=$J80)),'Match Log'!$N$4:$N$810),NA()))</f>
        <v>1076.6133044665753</v>
      </c>
      <c r="L80">
        <f>IF($J80&gt;MAX('Match Log'!$A$4:$A$810),NA(),IFERROR(LOOKUP(2,1/(('Match Log'!$D$4:$D$810=$L$24)*('Match Log'!$A$4:$A$810&lt;=$J80)),'Match Log'!$N$4:$N$810),NA()))</f>
        <v>975.33097176714045</v>
      </c>
      <c r="M80">
        <f>IF($J80&gt;MAX('Match Log'!$A$4:$A$810),NA(),IFERROR(LOOKUP(2,1/(('Match Log'!$D$4:$D$810=$M$24)*('Match Log'!$A$4:$A$810&lt;=$J80)),'Match Log'!$N$4:$N$810),NA()))</f>
        <v>1000.0398229848671</v>
      </c>
      <c r="N80">
        <f>IF($J80&gt;MAX('Match Log'!$A$4:$A$810),NA(),IFERROR(LOOKUP(2,1/(('Match Log'!$D$4:$D$810=$N$24)*('Match Log'!$A$4:$A$810&lt;=$J80)),'Match Log'!$N$4:$N$810),NA()))</f>
        <v>941.41068490146347</v>
      </c>
      <c r="O80">
        <f>IF($J80&gt;MAX('Match Log'!$A$4:$A$810),NA(),IFERROR(LOOKUP(2,1/(('Match Log'!$D$4:$D$810=$O$24)*('Match Log'!$A$4:$A$810&lt;=$J80)),'Match Log'!$N$4:$N$810),NA()))</f>
        <v>1122.1458342010349</v>
      </c>
      <c r="P80">
        <f>IF($J80&gt;MAX('Match Log'!$A$4:$A$810),NA(),IFERROR(LOOKUP(2,1/(('Match Log'!$D$4:$D$810=$P$24)*('Match Log'!$A$4:$A$810&lt;=$J80)),'Match Log'!$N$4:$N$810),NA()))</f>
        <v>1012.2562816449486</v>
      </c>
      <c r="Q80">
        <f>IF($J80&gt;MAX('Match Log'!$A$4:$A$810),NA(),IFERROR(LOOKUP(2,1/(('Match Log'!$D$4:$D$810=$Q$24)*('Match Log'!$A$4:$A$810&lt;=$J80)),'Match Log'!$N$4:$N$810),NA()))</f>
        <v>1004.2142857142857</v>
      </c>
      <c r="R80">
        <f>IF($J80&gt;MAX('Match Log'!$A$4:$A$810),NA(),IFERROR(LOOKUP(2,1/(('Match Log'!$D$4:$D$810=$R$24)*('Match Log'!$A$4:$A$810&lt;=$J80)),'Match Log'!$N$4:$N$810),NA()))</f>
        <v>994.16654867186321</v>
      </c>
      <c r="S80">
        <f>IF($J80&gt;MAX('Match Log'!$A$4:$A$810),NA(),IFERROR(LOOKUP(2,1/(('Match Log'!$D$4:$D$810=$S$24)*('Match Log'!$A$4:$A$810&lt;=$J80)),'Match Log'!$N$4:$N$810),NA()))</f>
        <v>1054.7322046090017</v>
      </c>
      <c r="T80">
        <f>IF($J80&gt;MAX('Match Log'!$A$4:$A$810),NA(),IFERROR(LOOKUP(2,1/(('Match Log'!$D$4:$D$810=$T$24)*('Match Log'!$A$4:$A$810&lt;=$J80)),'Match Log'!$N$4:$N$810),NA()))</f>
        <v>914.42496189230224</v>
      </c>
      <c r="U80">
        <f>IF($J80&gt;MAX('Match Log'!$A$4:$A$810),NA(),IFERROR(LOOKUP(2,1/(('Match Log'!$D$4:$D$810=$U$24)*('Match Log'!$A$4:$A$810&lt;=$J80)),'Match Log'!$N$4:$N$810),NA()))</f>
        <v>986.66509914651715</v>
      </c>
      <c r="V80" t="e">
        <f>IF($J80&gt;MAX('Match Log'!$A$4:$A$810),NA(),IFERROR(LOOKUP(2,1/(('Match Log'!$D$4:$D$810=$V$24)*('Match Log'!$A$4:$A$810&lt;=$J80)),'Match Log'!$N$4:$N$810),NA()))</f>
        <v>#N/A</v>
      </c>
      <c r="W80" t="e">
        <f>IF($J80&gt;MAX('Match Log'!$A$4:$A$810),NA(),IFERROR(LOOKUP(2,1/(('Match Log'!$D$4:$D$810=$W$24)*('Match Log'!$A$4:$A$810&lt;=$J80)),'Match Log'!$N$4:$N$810),NA()))</f>
        <v>#N/A</v>
      </c>
      <c r="X80" t="e">
        <f>IF($J80&gt;MAX('Match Log'!$A$4:$A$810),NA(),IFERROR(LOOKUP(2,1/(('Match Log'!$D$4:$D$810=$X$24)*('Match Log'!$A$4:$A$810&lt;=$J80)),'Match Log'!$N$4:$N$810),NA()))</f>
        <v>#N/A</v>
      </c>
      <c r="Y80" t="str">
        <f t="shared" ca="1" si="21"/>
        <v/>
      </c>
    </row>
    <row r="81" spans="1:25" ht="15" customHeight="1" x14ac:dyDescent="0.2">
      <c r="A81">
        <v>57</v>
      </c>
      <c r="B81" s="127">
        <f>IFERROR(INDEX('Match Log'!$B$4:$B$810,MATCH(57,'Match Log'!$A$4:$A$810,0)),"")</f>
        <v>46188</v>
      </c>
      <c r="C81" t="str">
        <f>IFERROR(INDEX('Match Log'!$C$4:$C$810,MATCH(57,'Match Log'!$A$4:$A$810,0)),"")</f>
        <v>ShuffleBoard</v>
      </c>
      <c r="D81" t="str">
        <f t="array" ref="D81">IFERROR(_xlfn.TEXTJOIN(" + ",TRUE,IF(('Match Log'!$A$4:$A$810=$A81)*('Match Log'!$E$4:$E$810="Win"),'Match Log'!$D$4:$D$810,"")),IFERROR(LOOKUP(2,1/(('Match Log'!$A$4:$A$810=$A81)*('Match Log'!$E$4:$E$810="Win")),'Match Log'!$D$4:$D$810),""))</f>
        <v>David</v>
      </c>
      <c r="E81" s="128">
        <f>IFERROR(INDEX('Match Log'!$F$4:$F$810,MATCH(57,'Match Log'!$A$4:$A$810,0)),"")</f>
        <v>2</v>
      </c>
      <c r="F81">
        <f>IFERROR(SUMIFS('Match Log'!$I$4:$I$810,'Match Log'!$A$4:$A$810,57,'Match Log'!$E$4:$E$810,"Win"),"")</f>
        <v>0.5</v>
      </c>
      <c r="G81">
        <f t="shared" si="19"/>
        <v>0</v>
      </c>
      <c r="H81" t="str">
        <f t="array" ref="H81">IFERROR(IF(COUNTIFS('Match Log'!$A$4:$A$810,$A81,'Match Log'!$E$4:$E$810,"Win")&gt;1,_xlfn.TEXTJOIN(" + ",TRUE,IF(('Match Log'!$A$4:$A$810=$A81)*('Match Log'!$E$4:$E$810="Loss"),'Match Log'!$D$4:$D$810,"")),IF($E81=2,LOOKUP(2,1/(('Match Log'!$A$4:$A$810=$A81)*('Match Log'!$E$4:$E$810="Loss")),'Match Log'!$D$4:$D$810),"the field")),"")</f>
        <v>Aaron</v>
      </c>
      <c r="I81">
        <f t="shared" si="20"/>
        <v>-5.7000000000000003E-5</v>
      </c>
      <c r="J81">
        <v>57</v>
      </c>
      <c r="K81">
        <f>IF($J81&gt;MAX('Match Log'!$A$4:$A$810),NA(),IFERROR(LOOKUP(2,1/(('Match Log'!$D$4:$D$810=$K$24)*('Match Log'!$A$4:$A$810&lt;=$J81)),'Match Log'!$N$4:$N$810),NA()))</f>
        <v>1048.683345975604</v>
      </c>
      <c r="L81">
        <f>IF($J81&gt;MAX('Match Log'!$A$4:$A$810),NA(),IFERROR(LOOKUP(2,1/(('Match Log'!$D$4:$D$810=$L$24)*('Match Log'!$A$4:$A$810&lt;=$J81)),'Match Log'!$N$4:$N$810),NA()))</f>
        <v>975.33097176714045</v>
      </c>
      <c r="M81">
        <f>IF($J81&gt;MAX('Match Log'!$A$4:$A$810),NA(),IFERROR(LOOKUP(2,1/(('Match Log'!$D$4:$D$810=$M$24)*('Match Log'!$A$4:$A$810&lt;=$J81)),'Match Log'!$N$4:$N$810),NA()))</f>
        <v>1000.0398229848671</v>
      </c>
      <c r="N81">
        <f>IF($J81&gt;MAX('Match Log'!$A$4:$A$810),NA(),IFERROR(LOOKUP(2,1/(('Match Log'!$D$4:$D$810=$N$24)*('Match Log'!$A$4:$A$810&lt;=$J81)),'Match Log'!$N$4:$N$810),NA()))</f>
        <v>969.34064339243469</v>
      </c>
      <c r="O81">
        <f>IF($J81&gt;MAX('Match Log'!$A$4:$A$810),NA(),IFERROR(LOOKUP(2,1/(('Match Log'!$D$4:$D$810=$O$24)*('Match Log'!$A$4:$A$810&lt;=$J81)),'Match Log'!$N$4:$N$810),NA()))</f>
        <v>1122.1458342010349</v>
      </c>
      <c r="P81">
        <f>IF($J81&gt;MAX('Match Log'!$A$4:$A$810),NA(),IFERROR(LOOKUP(2,1/(('Match Log'!$D$4:$D$810=$P$24)*('Match Log'!$A$4:$A$810&lt;=$J81)),'Match Log'!$N$4:$N$810),NA()))</f>
        <v>1012.2562816449486</v>
      </c>
      <c r="Q81">
        <f>IF($J81&gt;MAX('Match Log'!$A$4:$A$810),NA(),IFERROR(LOOKUP(2,1/(('Match Log'!$D$4:$D$810=$Q$24)*('Match Log'!$A$4:$A$810&lt;=$J81)),'Match Log'!$N$4:$N$810),NA()))</f>
        <v>1004.2142857142857</v>
      </c>
      <c r="R81">
        <f>IF($J81&gt;MAX('Match Log'!$A$4:$A$810),NA(),IFERROR(LOOKUP(2,1/(('Match Log'!$D$4:$D$810=$R$24)*('Match Log'!$A$4:$A$810&lt;=$J81)),'Match Log'!$N$4:$N$810),NA()))</f>
        <v>994.16654867186321</v>
      </c>
      <c r="S81">
        <f>IF($J81&gt;MAX('Match Log'!$A$4:$A$810),NA(),IFERROR(LOOKUP(2,1/(('Match Log'!$D$4:$D$810=$S$24)*('Match Log'!$A$4:$A$810&lt;=$J81)),'Match Log'!$N$4:$N$810),NA()))</f>
        <v>1054.7322046090017</v>
      </c>
      <c r="T81">
        <f>IF($J81&gt;MAX('Match Log'!$A$4:$A$810),NA(),IFERROR(LOOKUP(2,1/(('Match Log'!$D$4:$D$810=$T$24)*('Match Log'!$A$4:$A$810&lt;=$J81)),'Match Log'!$N$4:$N$810),NA()))</f>
        <v>914.42496189230224</v>
      </c>
      <c r="U81">
        <f>IF($J81&gt;MAX('Match Log'!$A$4:$A$810),NA(),IFERROR(LOOKUP(2,1/(('Match Log'!$D$4:$D$810=$U$24)*('Match Log'!$A$4:$A$810&lt;=$J81)),'Match Log'!$N$4:$N$810),NA()))</f>
        <v>986.66509914651715</v>
      </c>
      <c r="V81" t="e">
        <f>IF($J81&gt;MAX('Match Log'!$A$4:$A$810),NA(),IFERROR(LOOKUP(2,1/(('Match Log'!$D$4:$D$810=$V$24)*('Match Log'!$A$4:$A$810&lt;=$J81)),'Match Log'!$N$4:$N$810),NA()))</f>
        <v>#N/A</v>
      </c>
      <c r="W81" t="e">
        <f>IF($J81&gt;MAX('Match Log'!$A$4:$A$810),NA(),IFERROR(LOOKUP(2,1/(('Match Log'!$D$4:$D$810=$W$24)*('Match Log'!$A$4:$A$810&lt;=$J81)),'Match Log'!$N$4:$N$810),NA()))</f>
        <v>#N/A</v>
      </c>
      <c r="X81" t="e">
        <f>IF($J81&gt;MAX('Match Log'!$A$4:$A$810),NA(),IFERROR(LOOKUP(2,1/(('Match Log'!$D$4:$D$810=$X$24)*('Match Log'!$A$4:$A$810&lt;=$J81)),'Match Log'!$N$4:$N$810),NA()))</f>
        <v>#N/A</v>
      </c>
      <c r="Y81" t="str">
        <f t="shared" ca="1" si="21"/>
        <v/>
      </c>
    </row>
    <row r="82" spans="1:25" ht="15" customHeight="1" x14ac:dyDescent="0.2">
      <c r="A82">
        <v>58</v>
      </c>
      <c r="B82" s="127">
        <f>IFERROR(INDEX('Match Log'!$B$4:$B$810,MATCH(58,'Match Log'!$A$4:$A$810,0)),"")</f>
        <v>46188</v>
      </c>
      <c r="C82" t="str">
        <f>IFERROR(INDEX('Match Log'!$C$4:$C$810,MATCH(58,'Match Log'!$A$4:$A$810,0)),"")</f>
        <v>ShuffleBoard</v>
      </c>
      <c r="D82" t="str">
        <f t="array" ref="D82">IFERROR(_xlfn.TEXTJOIN(" + ",TRUE,IF(('Match Log'!$A$4:$A$810=$A82)*('Match Log'!$E$4:$E$810="Win"),'Match Log'!$D$4:$D$810,"")),IFERROR(LOOKUP(2,1/(('Match Log'!$A$4:$A$810=$A82)*('Match Log'!$E$4:$E$810="Win")),'Match Log'!$D$4:$D$810),""))</f>
        <v>Dean B</v>
      </c>
      <c r="E82" s="128">
        <f>IFERROR(INDEX('Match Log'!$F$4:$F$810,MATCH(58,'Match Log'!$A$4:$A$810,0)),"")</f>
        <v>2</v>
      </c>
      <c r="F82">
        <f>IFERROR(SUMIFS('Match Log'!$I$4:$I$810,'Match Log'!$A$4:$A$810,58,'Match Log'!$E$4:$E$810,"Win"),"")</f>
        <v>0.5</v>
      </c>
      <c r="G82">
        <f t="shared" si="19"/>
        <v>0</v>
      </c>
      <c r="H82" t="str">
        <f t="array" ref="H82">IFERROR(IF(COUNTIFS('Match Log'!$A$4:$A$810,$A82,'Match Log'!$E$4:$E$810,"Win")&gt;1,_xlfn.TEXTJOIN(" + ",TRUE,IF(('Match Log'!$A$4:$A$810=$A82)*('Match Log'!$E$4:$E$810="Loss"),'Match Log'!$D$4:$D$810,"")),IF($E82=2,LOOKUP(2,1/(('Match Log'!$A$4:$A$810=$A82)*('Match Log'!$E$4:$E$810="Loss")),'Match Log'!$D$4:$D$810),"the field")),"")</f>
        <v>Daniel (Ferret)</v>
      </c>
      <c r="I82">
        <f t="shared" si="20"/>
        <v>-5.8E-5</v>
      </c>
      <c r="J82">
        <v>58</v>
      </c>
      <c r="K82">
        <f>IF($J82&gt;MAX('Match Log'!$A$4:$A$810),NA(),IFERROR(LOOKUP(2,1/(('Match Log'!$D$4:$D$810=$K$24)*('Match Log'!$A$4:$A$810&lt;=$J82)),'Match Log'!$N$4:$N$810),NA()))</f>
        <v>1048.683345975604</v>
      </c>
      <c r="L82">
        <f>IF($J82&gt;MAX('Match Log'!$A$4:$A$810),NA(),IFERROR(LOOKUP(2,1/(('Match Log'!$D$4:$D$810=$L$24)*('Match Log'!$A$4:$A$810&lt;=$J82)),'Match Log'!$N$4:$N$810),NA()))</f>
        <v>975.33097176714045</v>
      </c>
      <c r="M82">
        <f>IF($J82&gt;MAX('Match Log'!$A$4:$A$810),NA(),IFERROR(LOOKUP(2,1/(('Match Log'!$D$4:$D$810=$M$24)*('Match Log'!$A$4:$A$810&lt;=$J82)),'Match Log'!$N$4:$N$810),NA()))</f>
        <v>1000.0398229848671</v>
      </c>
      <c r="N82">
        <f>IF($J82&gt;MAX('Match Log'!$A$4:$A$810),NA(),IFERROR(LOOKUP(2,1/(('Match Log'!$D$4:$D$810=$N$24)*('Match Log'!$A$4:$A$810&lt;=$J82)),'Match Log'!$N$4:$N$810),NA()))</f>
        <v>969.34064339243469</v>
      </c>
      <c r="O82">
        <f>IF($J82&gt;MAX('Match Log'!$A$4:$A$810),NA(),IFERROR(LOOKUP(2,1/(('Match Log'!$D$4:$D$810=$O$24)*('Match Log'!$A$4:$A$810&lt;=$J82)),'Match Log'!$N$4:$N$810),NA()))</f>
        <v>1122.1458342010349</v>
      </c>
      <c r="P82">
        <f>IF($J82&gt;MAX('Match Log'!$A$4:$A$810),NA(),IFERROR(LOOKUP(2,1/(('Match Log'!$D$4:$D$810=$P$24)*('Match Log'!$A$4:$A$810&lt;=$J82)),'Match Log'!$N$4:$N$810),NA()))</f>
        <v>1012.2562816449486</v>
      </c>
      <c r="Q82">
        <f>IF($J82&gt;MAX('Match Log'!$A$4:$A$810),NA(),IFERROR(LOOKUP(2,1/(('Match Log'!$D$4:$D$810=$Q$24)*('Match Log'!$A$4:$A$810&lt;=$J82)),'Match Log'!$N$4:$N$810),NA()))</f>
        <v>1004.2142857142857</v>
      </c>
      <c r="R82">
        <f>IF($J82&gt;MAX('Match Log'!$A$4:$A$810),NA(),IFERROR(LOOKUP(2,1/(('Match Log'!$D$4:$D$810=$R$24)*('Match Log'!$A$4:$A$810&lt;=$J82)),'Match Log'!$N$4:$N$810),NA()))</f>
        <v>974.92778705998126</v>
      </c>
      <c r="S82">
        <f>IF($J82&gt;MAX('Match Log'!$A$4:$A$810),NA(),IFERROR(LOOKUP(2,1/(('Match Log'!$D$4:$D$810=$S$24)*('Match Log'!$A$4:$A$810&lt;=$J82)),'Match Log'!$N$4:$N$810),NA()))</f>
        <v>1073.9709662208836</v>
      </c>
      <c r="T82">
        <f>IF($J82&gt;MAX('Match Log'!$A$4:$A$810),NA(),IFERROR(LOOKUP(2,1/(('Match Log'!$D$4:$D$810=$T$24)*('Match Log'!$A$4:$A$810&lt;=$J82)),'Match Log'!$N$4:$N$810),NA()))</f>
        <v>914.42496189230224</v>
      </c>
      <c r="U82">
        <f>IF($J82&gt;MAX('Match Log'!$A$4:$A$810),NA(),IFERROR(LOOKUP(2,1/(('Match Log'!$D$4:$D$810=$U$24)*('Match Log'!$A$4:$A$810&lt;=$J82)),'Match Log'!$N$4:$N$810),NA()))</f>
        <v>986.66509914651715</v>
      </c>
      <c r="V82" t="e">
        <f>IF($J82&gt;MAX('Match Log'!$A$4:$A$810),NA(),IFERROR(LOOKUP(2,1/(('Match Log'!$D$4:$D$810=$V$24)*('Match Log'!$A$4:$A$810&lt;=$J82)),'Match Log'!$N$4:$N$810),NA()))</f>
        <v>#N/A</v>
      </c>
      <c r="W82" t="e">
        <f>IF($J82&gt;MAX('Match Log'!$A$4:$A$810),NA(),IFERROR(LOOKUP(2,1/(('Match Log'!$D$4:$D$810=$W$24)*('Match Log'!$A$4:$A$810&lt;=$J82)),'Match Log'!$N$4:$N$810),NA()))</f>
        <v>#N/A</v>
      </c>
      <c r="X82" t="e">
        <f>IF($J82&gt;MAX('Match Log'!$A$4:$A$810),NA(),IFERROR(LOOKUP(2,1/(('Match Log'!$D$4:$D$810=$X$24)*('Match Log'!$A$4:$A$810&lt;=$J82)),'Match Log'!$N$4:$N$810),NA()))</f>
        <v>#N/A</v>
      </c>
      <c r="Y82" t="str">
        <f t="shared" ca="1" si="21"/>
        <v/>
      </c>
    </row>
    <row r="83" spans="1:25" ht="15" customHeight="1" x14ac:dyDescent="0.2">
      <c r="A83">
        <v>59</v>
      </c>
      <c r="B83" s="127">
        <f>IFERROR(INDEX('Match Log'!$B$4:$B$810,MATCH(59,'Match Log'!$A$4:$A$810,0)),"")</f>
        <v>46188</v>
      </c>
      <c r="C83" t="str">
        <f>IFERROR(INDEX('Match Log'!$C$4:$C$810,MATCH(59,'Match Log'!$A$4:$A$810,0)),"")</f>
        <v>ShuffleBoard</v>
      </c>
      <c r="D83" t="str">
        <f t="array" ref="D83">IFERROR(_xlfn.TEXTJOIN(" + ",TRUE,IF(('Match Log'!$A$4:$A$810=$A83)*('Match Log'!$E$4:$E$810="Win"),'Match Log'!$D$4:$D$810,"")),IFERROR(LOOKUP(2,1/(('Match Log'!$A$4:$A$810=$A83)*('Match Log'!$E$4:$E$810="Win")),'Match Log'!$D$4:$D$810),""))</f>
        <v>Simon</v>
      </c>
      <c r="E83" s="128">
        <f>IFERROR(INDEX('Match Log'!$F$4:$F$810,MATCH(59,'Match Log'!$A$4:$A$810,0)),"")</f>
        <v>2</v>
      </c>
      <c r="F83">
        <f>IFERROR(SUMIFS('Match Log'!$I$4:$I$810,'Match Log'!$A$4:$A$810,59,'Match Log'!$E$4:$E$810,"Win"),"")</f>
        <v>0.60000000000000009</v>
      </c>
      <c r="G83">
        <f t="shared" si="19"/>
        <v>-0.20000000000000018</v>
      </c>
      <c r="H83" t="str">
        <f t="array" ref="H83">IFERROR(IF(COUNTIFS('Match Log'!$A$4:$A$810,$A83,'Match Log'!$E$4:$E$810,"Win")&gt;1,_xlfn.TEXTJOIN(" + ",TRUE,IF(('Match Log'!$A$4:$A$810=$A83)*('Match Log'!$E$4:$E$810="Loss"),'Match Log'!$D$4:$D$810,"")),IF($E83=2,LOOKUP(2,1/(('Match Log'!$A$4:$A$810=$A83)*('Match Log'!$E$4:$E$810="Loss")),'Match Log'!$D$4:$D$810),"the field")),"")</f>
        <v>Aaron</v>
      </c>
      <c r="I83">
        <f t="shared" si="20"/>
        <v>-0.20005900000000018</v>
      </c>
      <c r="J83">
        <v>59</v>
      </c>
      <c r="K83">
        <f>IF($J83&gt;MAX('Match Log'!$A$4:$A$810),NA(),IFERROR(LOOKUP(2,1/(('Match Log'!$D$4:$D$810=$K$24)*('Match Log'!$A$4:$A$810&lt;=$J83)),'Match Log'!$N$4:$N$810),NA()))</f>
        <v>1026.3367769492982</v>
      </c>
      <c r="L83">
        <f>IF($J83&gt;MAX('Match Log'!$A$4:$A$810),NA(),IFERROR(LOOKUP(2,1/(('Match Log'!$D$4:$D$810=$L$24)*('Match Log'!$A$4:$A$810&lt;=$J83)),'Match Log'!$N$4:$N$810),NA()))</f>
        <v>975.33097176714045</v>
      </c>
      <c r="M83">
        <f>IF($J83&gt;MAX('Match Log'!$A$4:$A$810),NA(),IFERROR(LOOKUP(2,1/(('Match Log'!$D$4:$D$810=$M$24)*('Match Log'!$A$4:$A$810&lt;=$J83)),'Match Log'!$N$4:$N$810),NA()))</f>
        <v>1000.0398229848671</v>
      </c>
      <c r="N83">
        <f>IF($J83&gt;MAX('Match Log'!$A$4:$A$810),NA(),IFERROR(LOOKUP(2,1/(('Match Log'!$D$4:$D$810=$N$24)*('Match Log'!$A$4:$A$810&lt;=$J83)),'Match Log'!$N$4:$N$810),NA()))</f>
        <v>969.34064339243469</v>
      </c>
      <c r="O83">
        <f>IF($J83&gt;MAX('Match Log'!$A$4:$A$810),NA(),IFERROR(LOOKUP(2,1/(('Match Log'!$D$4:$D$810=$O$24)*('Match Log'!$A$4:$A$810&lt;=$J83)),'Match Log'!$N$4:$N$810),NA()))</f>
        <v>1122.1458342010349</v>
      </c>
      <c r="P83">
        <f>IF($J83&gt;MAX('Match Log'!$A$4:$A$810),NA(),IFERROR(LOOKUP(2,1/(('Match Log'!$D$4:$D$810=$P$24)*('Match Log'!$A$4:$A$810&lt;=$J83)),'Match Log'!$N$4:$N$810),NA()))</f>
        <v>1012.2562816449486</v>
      </c>
      <c r="Q83">
        <f>IF($J83&gt;MAX('Match Log'!$A$4:$A$810),NA(),IFERROR(LOOKUP(2,1/(('Match Log'!$D$4:$D$810=$Q$24)*('Match Log'!$A$4:$A$810&lt;=$J83)),'Match Log'!$N$4:$N$810),NA()))</f>
        <v>1026.5608547405914</v>
      </c>
      <c r="R83">
        <f>IF($J83&gt;MAX('Match Log'!$A$4:$A$810),NA(),IFERROR(LOOKUP(2,1/(('Match Log'!$D$4:$D$810=$R$24)*('Match Log'!$A$4:$A$810&lt;=$J83)),'Match Log'!$N$4:$N$810),NA()))</f>
        <v>974.92778705998126</v>
      </c>
      <c r="S83">
        <f>IF($J83&gt;MAX('Match Log'!$A$4:$A$810),NA(),IFERROR(LOOKUP(2,1/(('Match Log'!$D$4:$D$810=$S$24)*('Match Log'!$A$4:$A$810&lt;=$J83)),'Match Log'!$N$4:$N$810),NA()))</f>
        <v>1073.9709662208836</v>
      </c>
      <c r="T83">
        <f>IF($J83&gt;MAX('Match Log'!$A$4:$A$810),NA(),IFERROR(LOOKUP(2,1/(('Match Log'!$D$4:$D$810=$T$24)*('Match Log'!$A$4:$A$810&lt;=$J83)),'Match Log'!$N$4:$N$810),NA()))</f>
        <v>914.42496189230224</v>
      </c>
      <c r="U83">
        <f>IF($J83&gt;MAX('Match Log'!$A$4:$A$810),NA(),IFERROR(LOOKUP(2,1/(('Match Log'!$D$4:$D$810=$U$24)*('Match Log'!$A$4:$A$810&lt;=$J83)),'Match Log'!$N$4:$N$810),NA()))</f>
        <v>986.66509914651715</v>
      </c>
      <c r="V83" t="e">
        <f>IF($J83&gt;MAX('Match Log'!$A$4:$A$810),NA(),IFERROR(LOOKUP(2,1/(('Match Log'!$D$4:$D$810=$V$24)*('Match Log'!$A$4:$A$810&lt;=$J83)),'Match Log'!$N$4:$N$810),NA()))</f>
        <v>#N/A</v>
      </c>
      <c r="W83" t="e">
        <f>IF($J83&gt;MAX('Match Log'!$A$4:$A$810),NA(),IFERROR(LOOKUP(2,1/(('Match Log'!$D$4:$D$810=$W$24)*('Match Log'!$A$4:$A$810&lt;=$J83)),'Match Log'!$N$4:$N$810),NA()))</f>
        <v>#N/A</v>
      </c>
      <c r="X83" t="e">
        <f>IF($J83&gt;MAX('Match Log'!$A$4:$A$810),NA(),IFERROR(LOOKUP(2,1/(('Match Log'!$D$4:$D$810=$X$24)*('Match Log'!$A$4:$A$810&lt;=$J83)),'Match Log'!$N$4:$N$810),NA()))</f>
        <v>#N/A</v>
      </c>
      <c r="Y83" t="str">
        <f t="shared" ca="1" si="21"/>
        <v/>
      </c>
    </row>
    <row r="84" spans="1:25" ht="15" customHeight="1" x14ac:dyDescent="0.2">
      <c r="A84">
        <v>60</v>
      </c>
      <c r="B84" s="127">
        <f>IFERROR(INDEX('Match Log'!$B$4:$B$810,MATCH(60,'Match Log'!$A$4:$A$810,0)),"")</f>
        <v>46188</v>
      </c>
      <c r="C84" t="str">
        <f>IFERROR(INDEX('Match Log'!$C$4:$C$810,MATCH(60,'Match Log'!$A$4:$A$810,0)),"")</f>
        <v>ShuffleBoard</v>
      </c>
      <c r="D84" t="str">
        <f t="array" ref="D84">IFERROR(_xlfn.TEXTJOIN(" + ",TRUE,IF(('Match Log'!$A$4:$A$810=$A84)*('Match Log'!$E$4:$E$810="Win"),'Match Log'!$D$4:$D$810,"")),IFERROR(LOOKUP(2,1/(('Match Log'!$A$4:$A$810=$A84)*('Match Log'!$E$4:$E$810="Win")),'Match Log'!$D$4:$D$810),""))</f>
        <v>Beau</v>
      </c>
      <c r="E84" s="128">
        <f>IFERROR(INDEX('Match Log'!$F$4:$F$810,MATCH(60,'Match Log'!$A$4:$A$810,0)),"")</f>
        <v>2</v>
      </c>
      <c r="F84">
        <f>IFERROR(SUMIFS('Match Log'!$I$4:$I$810,'Match Log'!$A$4:$A$810,60,'Match Log'!$E$4:$E$810,"Win"),"")</f>
        <v>0.5</v>
      </c>
      <c r="G84">
        <f t="shared" si="19"/>
        <v>0</v>
      </c>
      <c r="H84" t="str">
        <f t="array" ref="H84">IFERROR(IF(COUNTIFS('Match Log'!$A$4:$A$810,$A84,'Match Log'!$E$4:$E$810,"Win")&gt;1,_xlfn.TEXTJOIN(" + ",TRUE,IF(('Match Log'!$A$4:$A$810=$A84)*('Match Log'!$E$4:$E$810="Loss"),'Match Log'!$D$4:$D$810,"")),IF($E84=2,LOOKUP(2,1/(('Match Log'!$A$4:$A$810=$A84)*('Match Log'!$E$4:$E$810="Loss")),'Match Log'!$D$4:$D$810),"the field")),"")</f>
        <v>Cody</v>
      </c>
      <c r="I84">
        <f t="shared" si="20"/>
        <v>-6.0000000000000002E-5</v>
      </c>
      <c r="J84">
        <v>60</v>
      </c>
      <c r="K84">
        <f>IF($J84&gt;MAX('Match Log'!$A$4:$A$810),NA(),IFERROR(LOOKUP(2,1/(('Match Log'!$D$4:$D$810=$K$24)*('Match Log'!$A$4:$A$810&lt;=$J84)),'Match Log'!$N$4:$N$810),NA()))</f>
        <v>1026.3367769492982</v>
      </c>
      <c r="L84">
        <f>IF($J84&gt;MAX('Match Log'!$A$4:$A$810),NA(),IFERROR(LOOKUP(2,1/(('Match Log'!$D$4:$D$810=$L$24)*('Match Log'!$A$4:$A$810&lt;=$J84)),'Match Log'!$N$4:$N$810),NA()))</f>
        <v>994.55452889075195</v>
      </c>
      <c r="M84">
        <f>IF($J84&gt;MAX('Match Log'!$A$4:$A$810),NA(),IFERROR(LOOKUP(2,1/(('Match Log'!$D$4:$D$810=$M$24)*('Match Log'!$A$4:$A$810&lt;=$J84)),'Match Log'!$N$4:$N$810),NA()))</f>
        <v>1000.0398229848671</v>
      </c>
      <c r="N84">
        <f>IF($J84&gt;MAX('Match Log'!$A$4:$A$810),NA(),IFERROR(LOOKUP(2,1/(('Match Log'!$D$4:$D$810=$N$24)*('Match Log'!$A$4:$A$810&lt;=$J84)),'Match Log'!$N$4:$N$810),NA()))</f>
        <v>969.34064339243469</v>
      </c>
      <c r="O84">
        <f>IF($J84&gt;MAX('Match Log'!$A$4:$A$810),NA(),IFERROR(LOOKUP(2,1/(('Match Log'!$D$4:$D$810=$O$24)*('Match Log'!$A$4:$A$810&lt;=$J84)),'Match Log'!$N$4:$N$810),NA()))</f>
        <v>1122.1458342010349</v>
      </c>
      <c r="P84">
        <f>IF($J84&gt;MAX('Match Log'!$A$4:$A$810),NA(),IFERROR(LOOKUP(2,1/(('Match Log'!$D$4:$D$810=$P$24)*('Match Log'!$A$4:$A$810&lt;=$J84)),'Match Log'!$N$4:$N$810),NA()))</f>
        <v>1012.2562816449486</v>
      </c>
      <c r="Q84">
        <f>IF($J84&gt;MAX('Match Log'!$A$4:$A$810),NA(),IFERROR(LOOKUP(2,1/(('Match Log'!$D$4:$D$810=$Q$24)*('Match Log'!$A$4:$A$810&lt;=$J84)),'Match Log'!$N$4:$N$810),NA()))</f>
        <v>1026.5608547405914</v>
      </c>
      <c r="R84">
        <f>IF($J84&gt;MAX('Match Log'!$A$4:$A$810),NA(),IFERROR(LOOKUP(2,1/(('Match Log'!$D$4:$D$810=$R$24)*('Match Log'!$A$4:$A$810&lt;=$J84)),'Match Log'!$N$4:$N$810),NA()))</f>
        <v>974.92778705998126</v>
      </c>
      <c r="S84">
        <f>IF($J84&gt;MAX('Match Log'!$A$4:$A$810),NA(),IFERROR(LOOKUP(2,1/(('Match Log'!$D$4:$D$810=$S$24)*('Match Log'!$A$4:$A$810&lt;=$J84)),'Match Log'!$N$4:$N$810),NA()))</f>
        <v>1073.9709662208836</v>
      </c>
      <c r="T84">
        <f>IF($J84&gt;MAX('Match Log'!$A$4:$A$810),NA(),IFERROR(LOOKUP(2,1/(('Match Log'!$D$4:$D$810=$T$24)*('Match Log'!$A$4:$A$810&lt;=$J84)),'Match Log'!$N$4:$N$810),NA()))</f>
        <v>895.20140476869074</v>
      </c>
      <c r="U84">
        <f>IF($J84&gt;MAX('Match Log'!$A$4:$A$810),NA(),IFERROR(LOOKUP(2,1/(('Match Log'!$D$4:$D$810=$U$24)*('Match Log'!$A$4:$A$810&lt;=$J84)),'Match Log'!$N$4:$N$810),NA()))</f>
        <v>986.66509914651715</v>
      </c>
      <c r="V84" t="e">
        <f>IF($J84&gt;MAX('Match Log'!$A$4:$A$810),NA(),IFERROR(LOOKUP(2,1/(('Match Log'!$D$4:$D$810=$V$24)*('Match Log'!$A$4:$A$810&lt;=$J84)),'Match Log'!$N$4:$N$810),NA()))</f>
        <v>#N/A</v>
      </c>
      <c r="W84" t="e">
        <f>IF($J84&gt;MAX('Match Log'!$A$4:$A$810),NA(),IFERROR(LOOKUP(2,1/(('Match Log'!$D$4:$D$810=$W$24)*('Match Log'!$A$4:$A$810&lt;=$J84)),'Match Log'!$N$4:$N$810),NA()))</f>
        <v>#N/A</v>
      </c>
      <c r="X84" t="e">
        <f>IF($J84&gt;MAX('Match Log'!$A$4:$A$810),NA(),IFERROR(LOOKUP(2,1/(('Match Log'!$D$4:$D$810=$X$24)*('Match Log'!$A$4:$A$810&lt;=$J84)),'Match Log'!$N$4:$N$810),NA()))</f>
        <v>#N/A</v>
      </c>
      <c r="Y84" t="str">
        <f t="shared" ca="1" si="21"/>
        <v/>
      </c>
    </row>
    <row r="85" spans="1:25" ht="15" customHeight="1" x14ac:dyDescent="0.2">
      <c r="A85">
        <v>61</v>
      </c>
      <c r="B85" s="127">
        <f>IFERROR(INDEX('Match Log'!$B$4:$B$810,MATCH(61,'Match Log'!$A$4:$A$810,0)),"")</f>
        <v>46188</v>
      </c>
      <c r="C85" t="str">
        <f>IFERROR(INDEX('Match Log'!$C$4:$C$810,MATCH(61,'Match Log'!$A$4:$A$810,0)),"")</f>
        <v>ShuffleBoard</v>
      </c>
      <c r="D85" t="str">
        <f t="array" ref="D85">IFERROR(_xlfn.TEXTJOIN(" + ",TRUE,IF(('Match Log'!$A$4:$A$810=$A85)*('Match Log'!$E$4:$E$810="Win"),'Match Log'!$D$4:$D$810,"")),IFERROR(LOOKUP(2,1/(('Match Log'!$A$4:$A$810=$A85)*('Match Log'!$E$4:$E$810="Win")),'Match Log'!$D$4:$D$810),""))</f>
        <v>Oscar</v>
      </c>
      <c r="E85" s="128">
        <f>IFERROR(INDEX('Match Log'!$F$4:$F$810,MATCH(61,'Match Log'!$A$4:$A$810,0)),"")</f>
        <v>2</v>
      </c>
      <c r="F85">
        <f>IFERROR(SUMIFS('Match Log'!$I$4:$I$810,'Match Log'!$A$4:$A$810,61,'Match Log'!$E$4:$E$810,"Win"),"")</f>
        <v>0.4285714285714286</v>
      </c>
      <c r="G85">
        <f t="shared" si="19"/>
        <v>0.14285714285714279</v>
      </c>
      <c r="H85" t="str">
        <f t="array" ref="H85">IFERROR(IF(COUNTIFS('Match Log'!$A$4:$A$810,$A85,'Match Log'!$E$4:$E$810,"Win")&gt;1,_xlfn.TEXTJOIN(" + ",TRUE,IF(('Match Log'!$A$4:$A$810=$A85)*('Match Log'!$E$4:$E$810="Loss"),'Match Log'!$D$4:$D$810,"")),IF($E85=2,LOOKUP(2,1/(('Match Log'!$A$4:$A$810=$A85)*('Match Log'!$E$4:$E$810="Loss")),'Match Log'!$D$4:$D$810),"the field")),"")</f>
        <v>Shawn</v>
      </c>
      <c r="I85">
        <f t="shared" si="20"/>
        <v>0.14279614285714279</v>
      </c>
      <c r="J85">
        <v>61</v>
      </c>
      <c r="K85">
        <f>IF($J85&gt;MAX('Match Log'!$A$4:$A$810),NA(),IFERROR(LOOKUP(2,1/(('Match Log'!$D$4:$D$810=$K$24)*('Match Log'!$A$4:$A$810&lt;=$J85)),'Match Log'!$N$4:$N$810),NA()))</f>
        <v>1026.3367769492982</v>
      </c>
      <c r="L85">
        <f>IF($J85&gt;MAX('Match Log'!$A$4:$A$810),NA(),IFERROR(LOOKUP(2,1/(('Match Log'!$D$4:$D$810=$L$24)*('Match Log'!$A$4:$A$810&lt;=$J85)),'Match Log'!$N$4:$N$810),NA()))</f>
        <v>994.55452889075195</v>
      </c>
      <c r="M85">
        <f>IF($J85&gt;MAX('Match Log'!$A$4:$A$810),NA(),IFERROR(LOOKUP(2,1/(('Match Log'!$D$4:$D$810=$M$24)*('Match Log'!$A$4:$A$810&lt;=$J85)),'Match Log'!$N$4:$N$810),NA()))</f>
        <v>1000.0398229848671</v>
      </c>
      <c r="N85">
        <f>IF($J85&gt;MAX('Match Log'!$A$4:$A$810),NA(),IFERROR(LOOKUP(2,1/(('Match Log'!$D$4:$D$810=$N$24)*('Match Log'!$A$4:$A$810&lt;=$J85)),'Match Log'!$N$4:$N$810),NA()))</f>
        <v>969.34064339243469</v>
      </c>
      <c r="O85">
        <f>IF($J85&gt;MAX('Match Log'!$A$4:$A$810),NA(),IFERROR(LOOKUP(2,1/(('Match Log'!$D$4:$D$810=$O$24)*('Match Log'!$A$4:$A$810&lt;=$J85)),'Match Log'!$N$4:$N$810),NA()))</f>
        <v>1122.1458342010349</v>
      </c>
      <c r="P85">
        <f>IF($J85&gt;MAX('Match Log'!$A$4:$A$810),NA(),IFERROR(LOOKUP(2,1/(('Match Log'!$D$4:$D$810=$P$24)*('Match Log'!$A$4:$A$810&lt;=$J85)),'Match Log'!$N$4:$N$810),NA()))</f>
        <v>988.19417301284341</v>
      </c>
      <c r="Q85">
        <f>IF($J85&gt;MAX('Match Log'!$A$4:$A$810),NA(),IFERROR(LOOKUP(2,1/(('Match Log'!$D$4:$D$810=$Q$24)*('Match Log'!$A$4:$A$810&lt;=$J85)),'Match Log'!$N$4:$N$810),NA()))</f>
        <v>1026.5608547405914</v>
      </c>
      <c r="R85">
        <f>IF($J85&gt;MAX('Match Log'!$A$4:$A$810),NA(),IFERROR(LOOKUP(2,1/(('Match Log'!$D$4:$D$810=$R$24)*('Match Log'!$A$4:$A$810&lt;=$J85)),'Match Log'!$N$4:$N$810),NA()))</f>
        <v>974.92778705998126</v>
      </c>
      <c r="S85">
        <f>IF($J85&gt;MAX('Match Log'!$A$4:$A$810),NA(),IFERROR(LOOKUP(2,1/(('Match Log'!$D$4:$D$810=$S$24)*('Match Log'!$A$4:$A$810&lt;=$J85)),'Match Log'!$N$4:$N$810),NA()))</f>
        <v>1073.9709662208836</v>
      </c>
      <c r="T85">
        <f>IF($J85&gt;MAX('Match Log'!$A$4:$A$810),NA(),IFERROR(LOOKUP(2,1/(('Match Log'!$D$4:$D$810=$T$24)*('Match Log'!$A$4:$A$810&lt;=$J85)),'Match Log'!$N$4:$N$810),NA()))</f>
        <v>895.20140476869074</v>
      </c>
      <c r="U85">
        <f>IF($J85&gt;MAX('Match Log'!$A$4:$A$810),NA(),IFERROR(LOOKUP(2,1/(('Match Log'!$D$4:$D$810=$U$24)*('Match Log'!$A$4:$A$810&lt;=$J85)),'Match Log'!$N$4:$N$810),NA()))</f>
        <v>1010.7272077786223</v>
      </c>
      <c r="V85" t="e">
        <f>IF($J85&gt;MAX('Match Log'!$A$4:$A$810),NA(),IFERROR(LOOKUP(2,1/(('Match Log'!$D$4:$D$810=$V$24)*('Match Log'!$A$4:$A$810&lt;=$J85)),'Match Log'!$N$4:$N$810),NA()))</f>
        <v>#N/A</v>
      </c>
      <c r="W85" t="e">
        <f>IF($J85&gt;MAX('Match Log'!$A$4:$A$810),NA(),IFERROR(LOOKUP(2,1/(('Match Log'!$D$4:$D$810=$W$24)*('Match Log'!$A$4:$A$810&lt;=$J85)),'Match Log'!$N$4:$N$810),NA()))</f>
        <v>#N/A</v>
      </c>
      <c r="X85" t="e">
        <f>IF($J85&gt;MAX('Match Log'!$A$4:$A$810),NA(),IFERROR(LOOKUP(2,1/(('Match Log'!$D$4:$D$810=$X$24)*('Match Log'!$A$4:$A$810&lt;=$J85)),'Match Log'!$N$4:$N$810),NA()))</f>
        <v>#N/A</v>
      </c>
      <c r="Y85" t="str">
        <f t="shared" ca="1" si="21"/>
        <v/>
      </c>
    </row>
    <row r="86" spans="1:25" ht="15" customHeight="1" x14ac:dyDescent="0.2">
      <c r="A86">
        <v>62</v>
      </c>
      <c r="B86" s="127">
        <f>IFERROR(INDEX('Match Log'!$B$4:$B$810,MATCH(62,'Match Log'!$A$4:$A$810,0)),"")</f>
        <v>46188</v>
      </c>
      <c r="C86" t="str">
        <f>IFERROR(INDEX('Match Log'!$C$4:$C$810,MATCH(62,'Match Log'!$A$4:$A$810,0)),"")</f>
        <v>ShuffleBoard</v>
      </c>
      <c r="D86" t="str">
        <f t="array" ref="D86">IFERROR(_xlfn.TEXTJOIN(" + ",TRUE,IF(('Match Log'!$A$4:$A$810=$A86)*('Match Log'!$E$4:$E$810="Win"),'Match Log'!$D$4:$D$810,"")),IFERROR(LOOKUP(2,1/(('Match Log'!$A$4:$A$810=$A86)*('Match Log'!$E$4:$E$810="Win")),'Match Log'!$D$4:$D$810),""))</f>
        <v>Dean B</v>
      </c>
      <c r="E86" s="128">
        <f>IFERROR(INDEX('Match Log'!$F$4:$F$810,MATCH(62,'Match Log'!$A$4:$A$810,0)),"")</f>
        <v>2</v>
      </c>
      <c r="F86">
        <f>IFERROR(SUMIFS('Match Log'!$I$4:$I$810,'Match Log'!$A$4:$A$810,62,'Match Log'!$E$4:$E$810,"Win"),"")</f>
        <v>0.5</v>
      </c>
      <c r="G86">
        <f t="shared" si="19"/>
        <v>0</v>
      </c>
      <c r="H86" t="str">
        <f t="array" ref="H86">IFERROR(IF(COUNTIFS('Match Log'!$A$4:$A$810,$A86,'Match Log'!$E$4:$E$810,"Win")&gt;1,_xlfn.TEXTJOIN(" + ",TRUE,IF(('Match Log'!$A$4:$A$810=$A86)*('Match Log'!$E$4:$E$810="Loss"),'Match Log'!$D$4:$D$810,"")),IF($E86=2,LOOKUP(2,1/(('Match Log'!$A$4:$A$810=$A86)*('Match Log'!$E$4:$E$810="Loss")),'Match Log'!$D$4:$D$810),"the field")),"")</f>
        <v>David</v>
      </c>
      <c r="I86">
        <f t="shared" si="20"/>
        <v>-6.2000000000000003E-5</v>
      </c>
      <c r="J86">
        <v>62</v>
      </c>
      <c r="K86">
        <f>IF($J86&gt;MAX('Match Log'!$A$4:$A$810),NA(),IFERROR(LOOKUP(2,1/(('Match Log'!$D$4:$D$810=$K$24)*('Match Log'!$A$4:$A$810&lt;=$J86)),'Match Log'!$N$4:$N$810),NA()))</f>
        <v>1026.3367769492982</v>
      </c>
      <c r="L86">
        <f>IF($J86&gt;MAX('Match Log'!$A$4:$A$810),NA(),IFERROR(LOOKUP(2,1/(('Match Log'!$D$4:$D$810=$L$24)*('Match Log'!$A$4:$A$810&lt;=$J86)),'Match Log'!$N$4:$N$810),NA()))</f>
        <v>994.55452889075195</v>
      </c>
      <c r="M86">
        <f>IF($J86&gt;MAX('Match Log'!$A$4:$A$810),NA(),IFERROR(LOOKUP(2,1/(('Match Log'!$D$4:$D$810=$M$24)*('Match Log'!$A$4:$A$810&lt;=$J86)),'Match Log'!$N$4:$N$810),NA()))</f>
        <v>1000.0398229848671</v>
      </c>
      <c r="N86">
        <f>IF($J86&gt;MAX('Match Log'!$A$4:$A$810),NA(),IFERROR(LOOKUP(2,1/(('Match Log'!$D$4:$D$810=$N$24)*('Match Log'!$A$4:$A$810&lt;=$J86)),'Match Log'!$N$4:$N$810),NA()))</f>
        <v>951.2737556356999</v>
      </c>
      <c r="O86">
        <f>IF($J86&gt;MAX('Match Log'!$A$4:$A$810),NA(),IFERROR(LOOKUP(2,1/(('Match Log'!$D$4:$D$810=$O$24)*('Match Log'!$A$4:$A$810&lt;=$J86)),'Match Log'!$N$4:$N$810),NA()))</f>
        <v>1122.1458342010349</v>
      </c>
      <c r="P86">
        <f>IF($J86&gt;MAX('Match Log'!$A$4:$A$810),NA(),IFERROR(LOOKUP(2,1/(('Match Log'!$D$4:$D$810=$P$24)*('Match Log'!$A$4:$A$810&lt;=$J86)),'Match Log'!$N$4:$N$810),NA()))</f>
        <v>988.19417301284341</v>
      </c>
      <c r="Q86">
        <f>IF($J86&gt;MAX('Match Log'!$A$4:$A$810),NA(),IFERROR(LOOKUP(2,1/(('Match Log'!$D$4:$D$810=$Q$24)*('Match Log'!$A$4:$A$810&lt;=$J86)),'Match Log'!$N$4:$N$810),NA()))</f>
        <v>1026.5608547405914</v>
      </c>
      <c r="R86">
        <f>IF($J86&gt;MAX('Match Log'!$A$4:$A$810),NA(),IFERROR(LOOKUP(2,1/(('Match Log'!$D$4:$D$810=$R$24)*('Match Log'!$A$4:$A$810&lt;=$J86)),'Match Log'!$N$4:$N$810),NA()))</f>
        <v>974.92778705998126</v>
      </c>
      <c r="S86">
        <f>IF($J86&gt;MAX('Match Log'!$A$4:$A$810),NA(),IFERROR(LOOKUP(2,1/(('Match Log'!$D$4:$D$810=$S$24)*('Match Log'!$A$4:$A$810&lt;=$J86)),'Match Log'!$N$4:$N$810),NA()))</f>
        <v>1092.0378539776184</v>
      </c>
      <c r="T86">
        <f>IF($J86&gt;MAX('Match Log'!$A$4:$A$810),NA(),IFERROR(LOOKUP(2,1/(('Match Log'!$D$4:$D$810=$T$24)*('Match Log'!$A$4:$A$810&lt;=$J86)),'Match Log'!$N$4:$N$810),NA()))</f>
        <v>895.20140476869074</v>
      </c>
      <c r="U86">
        <f>IF($J86&gt;MAX('Match Log'!$A$4:$A$810),NA(),IFERROR(LOOKUP(2,1/(('Match Log'!$D$4:$D$810=$U$24)*('Match Log'!$A$4:$A$810&lt;=$J86)),'Match Log'!$N$4:$N$810),NA()))</f>
        <v>1010.7272077786223</v>
      </c>
      <c r="V86" t="e">
        <f>IF($J86&gt;MAX('Match Log'!$A$4:$A$810),NA(),IFERROR(LOOKUP(2,1/(('Match Log'!$D$4:$D$810=$V$24)*('Match Log'!$A$4:$A$810&lt;=$J86)),'Match Log'!$N$4:$N$810),NA()))</f>
        <v>#N/A</v>
      </c>
      <c r="W86" t="e">
        <f>IF($J86&gt;MAX('Match Log'!$A$4:$A$810),NA(),IFERROR(LOOKUP(2,1/(('Match Log'!$D$4:$D$810=$W$24)*('Match Log'!$A$4:$A$810&lt;=$J86)),'Match Log'!$N$4:$N$810),NA()))</f>
        <v>#N/A</v>
      </c>
      <c r="X86" t="e">
        <f>IF($J86&gt;MAX('Match Log'!$A$4:$A$810),NA(),IFERROR(LOOKUP(2,1/(('Match Log'!$D$4:$D$810=$X$24)*('Match Log'!$A$4:$A$810&lt;=$J86)),'Match Log'!$N$4:$N$810),NA()))</f>
        <v>#N/A</v>
      </c>
      <c r="Y86" t="str">
        <f t="shared" ca="1" si="21"/>
        <v/>
      </c>
    </row>
    <row r="87" spans="1:25" ht="15" customHeight="1" x14ac:dyDescent="0.2">
      <c r="A87">
        <v>63</v>
      </c>
      <c r="B87" s="127">
        <f>IFERROR(INDEX('Match Log'!$B$4:$B$810,MATCH(63,'Match Log'!$A$4:$A$810,0)),"")</f>
        <v>46188</v>
      </c>
      <c r="C87" t="str">
        <f>IFERROR(INDEX('Match Log'!$C$4:$C$810,MATCH(63,'Match Log'!$A$4:$A$810,0)),"")</f>
        <v>ShuffleBoard</v>
      </c>
      <c r="D87" t="str">
        <f t="array" ref="D87">IFERROR(_xlfn.TEXTJOIN(" + ",TRUE,IF(('Match Log'!$A$4:$A$810=$A87)*('Match Log'!$E$4:$E$810="Win"),'Match Log'!$D$4:$D$810,"")),IFERROR(LOOKUP(2,1/(('Match Log'!$A$4:$A$810=$A87)*('Match Log'!$E$4:$E$810="Win")),'Match Log'!$D$4:$D$810),""))</f>
        <v>Simon</v>
      </c>
      <c r="E87" s="128">
        <f>IFERROR(INDEX('Match Log'!$F$4:$F$810,MATCH(63,'Match Log'!$A$4:$A$810,0)),"")</f>
        <v>2</v>
      </c>
      <c r="F87">
        <f>IFERROR(SUMIFS('Match Log'!$I$4:$I$810,'Match Log'!$A$4:$A$810,63,'Match Log'!$E$4:$E$810,"Win"),"")</f>
        <v>0.5</v>
      </c>
      <c r="G87">
        <f t="shared" si="19"/>
        <v>0</v>
      </c>
      <c r="H87" t="str">
        <f t="array" ref="H87">IFERROR(IF(COUNTIFS('Match Log'!$A$4:$A$810,$A87,'Match Log'!$E$4:$E$810,"Win")&gt;1,_xlfn.TEXTJOIN(" + ",TRUE,IF(('Match Log'!$A$4:$A$810=$A87)*('Match Log'!$E$4:$E$810="Loss"),'Match Log'!$D$4:$D$810,"")),IF($E87=2,LOOKUP(2,1/(('Match Log'!$A$4:$A$810=$A87)*('Match Log'!$E$4:$E$810="Loss")),'Match Log'!$D$4:$D$810),"the field")),"")</f>
        <v>Oscar</v>
      </c>
      <c r="I87">
        <f t="shared" si="20"/>
        <v>-6.3E-5</v>
      </c>
      <c r="J87">
        <v>63</v>
      </c>
      <c r="K87">
        <f>IF($J87&gt;MAX('Match Log'!$A$4:$A$810),NA(),IFERROR(LOOKUP(2,1/(('Match Log'!$D$4:$D$810=$K$24)*('Match Log'!$A$4:$A$810&lt;=$J87)),'Match Log'!$N$4:$N$810),NA()))</f>
        <v>1026.3367769492982</v>
      </c>
      <c r="L87">
        <f>IF($J87&gt;MAX('Match Log'!$A$4:$A$810),NA(),IFERROR(LOOKUP(2,1/(('Match Log'!$D$4:$D$810=$L$24)*('Match Log'!$A$4:$A$810&lt;=$J87)),'Match Log'!$N$4:$N$810),NA()))</f>
        <v>994.55452889075195</v>
      </c>
      <c r="M87">
        <f>IF($J87&gt;MAX('Match Log'!$A$4:$A$810),NA(),IFERROR(LOOKUP(2,1/(('Match Log'!$D$4:$D$810=$M$24)*('Match Log'!$A$4:$A$810&lt;=$J87)),'Match Log'!$N$4:$N$810),NA()))</f>
        <v>1000.0398229848671</v>
      </c>
      <c r="N87">
        <f>IF($J87&gt;MAX('Match Log'!$A$4:$A$810),NA(),IFERROR(LOOKUP(2,1/(('Match Log'!$D$4:$D$810=$N$24)*('Match Log'!$A$4:$A$810&lt;=$J87)),'Match Log'!$N$4:$N$810),NA()))</f>
        <v>951.2737556356999</v>
      </c>
      <c r="O87">
        <f>IF($J87&gt;MAX('Match Log'!$A$4:$A$810),NA(),IFERROR(LOOKUP(2,1/(('Match Log'!$D$4:$D$810=$O$24)*('Match Log'!$A$4:$A$810&lt;=$J87)),'Match Log'!$N$4:$N$810),NA()))</f>
        <v>1122.1458342010349</v>
      </c>
      <c r="P87">
        <f>IF($J87&gt;MAX('Match Log'!$A$4:$A$810),NA(),IFERROR(LOOKUP(2,1/(('Match Log'!$D$4:$D$810=$P$24)*('Match Log'!$A$4:$A$810&lt;=$J87)),'Match Log'!$N$4:$N$810),NA()))</f>
        <v>988.19417301284341</v>
      </c>
      <c r="Q87">
        <f>IF($J87&gt;MAX('Match Log'!$A$4:$A$810),NA(),IFERROR(LOOKUP(2,1/(('Match Log'!$D$4:$D$810=$Q$24)*('Match Log'!$A$4:$A$810&lt;=$J87)),'Match Log'!$N$4:$N$810),NA()))</f>
        <v>1047.9647947853223</v>
      </c>
      <c r="R87">
        <f>IF($J87&gt;MAX('Match Log'!$A$4:$A$810),NA(),IFERROR(LOOKUP(2,1/(('Match Log'!$D$4:$D$810=$R$24)*('Match Log'!$A$4:$A$810&lt;=$J87)),'Match Log'!$N$4:$N$810),NA()))</f>
        <v>974.92778705998126</v>
      </c>
      <c r="S87">
        <f>IF($J87&gt;MAX('Match Log'!$A$4:$A$810),NA(),IFERROR(LOOKUP(2,1/(('Match Log'!$D$4:$D$810=$S$24)*('Match Log'!$A$4:$A$810&lt;=$J87)),'Match Log'!$N$4:$N$810),NA()))</f>
        <v>1092.0378539776184</v>
      </c>
      <c r="T87">
        <f>IF($J87&gt;MAX('Match Log'!$A$4:$A$810),NA(),IFERROR(LOOKUP(2,1/(('Match Log'!$D$4:$D$810=$T$24)*('Match Log'!$A$4:$A$810&lt;=$J87)),'Match Log'!$N$4:$N$810),NA()))</f>
        <v>895.20140476869074</v>
      </c>
      <c r="U87">
        <f>IF($J87&gt;MAX('Match Log'!$A$4:$A$810),NA(),IFERROR(LOOKUP(2,1/(('Match Log'!$D$4:$D$810=$U$24)*('Match Log'!$A$4:$A$810&lt;=$J87)),'Match Log'!$N$4:$N$810),NA()))</f>
        <v>989.32326773389138</v>
      </c>
      <c r="V87" t="e">
        <f>IF($J87&gt;MAX('Match Log'!$A$4:$A$810),NA(),IFERROR(LOOKUP(2,1/(('Match Log'!$D$4:$D$810=$V$24)*('Match Log'!$A$4:$A$810&lt;=$J87)),'Match Log'!$N$4:$N$810),NA()))</f>
        <v>#N/A</v>
      </c>
      <c r="W87" t="e">
        <f>IF($J87&gt;MAX('Match Log'!$A$4:$A$810),NA(),IFERROR(LOOKUP(2,1/(('Match Log'!$D$4:$D$810=$W$24)*('Match Log'!$A$4:$A$810&lt;=$J87)),'Match Log'!$N$4:$N$810),NA()))</f>
        <v>#N/A</v>
      </c>
      <c r="X87" t="e">
        <f>IF($J87&gt;MAX('Match Log'!$A$4:$A$810),NA(),IFERROR(LOOKUP(2,1/(('Match Log'!$D$4:$D$810=$X$24)*('Match Log'!$A$4:$A$810&lt;=$J87)),'Match Log'!$N$4:$N$810),NA()))</f>
        <v>#N/A</v>
      </c>
      <c r="Y87" t="str">
        <f t="shared" ca="1" si="21"/>
        <v/>
      </c>
    </row>
    <row r="88" spans="1:25" ht="15" customHeight="1" x14ac:dyDescent="0.2">
      <c r="A88">
        <v>64</v>
      </c>
      <c r="B88" s="127">
        <f>IFERROR(INDEX('Match Log'!$B$4:$B$810,MATCH(64,'Match Log'!$A$4:$A$810,0)),"")</f>
        <v>46188</v>
      </c>
      <c r="C88" t="str">
        <f>IFERROR(INDEX('Match Log'!$C$4:$C$810,MATCH(64,'Match Log'!$A$4:$A$810,0)),"")</f>
        <v>ShuffleBoard</v>
      </c>
      <c r="D88" t="str">
        <f t="array" ref="D88">IFERROR(_xlfn.TEXTJOIN(" + ",TRUE,IF(('Match Log'!$A$4:$A$810=$A88)*('Match Log'!$E$4:$E$810="Win"),'Match Log'!$D$4:$D$810,"")),IFERROR(LOOKUP(2,1/(('Match Log'!$A$4:$A$810=$A88)*('Match Log'!$E$4:$E$810="Win")),'Match Log'!$D$4:$D$810),""))</f>
        <v>Chase</v>
      </c>
      <c r="E88" s="128">
        <f>IFERROR(INDEX('Match Log'!$F$4:$F$810,MATCH(64,'Match Log'!$A$4:$A$810,0)),"")</f>
        <v>2</v>
      </c>
      <c r="F88">
        <f>IFERROR(SUMIFS('Match Log'!$I$4:$I$810,'Match Log'!$A$4:$A$810,64,'Match Log'!$E$4:$E$810,"Win"),"")</f>
        <v>0.60000000000000009</v>
      </c>
      <c r="G88">
        <f t="shared" si="19"/>
        <v>-0.20000000000000018</v>
      </c>
      <c r="H88" t="str">
        <f t="array" ref="H88">IFERROR(IF(COUNTIFS('Match Log'!$A$4:$A$810,$A88,'Match Log'!$E$4:$E$810,"Win")&gt;1,_xlfn.TEXTJOIN(" + ",TRUE,IF(('Match Log'!$A$4:$A$810=$A88)*('Match Log'!$E$4:$E$810="Loss"),'Match Log'!$D$4:$D$810,"")),IF($E88=2,LOOKUP(2,1/(('Match Log'!$A$4:$A$810=$A88)*('Match Log'!$E$4:$E$810="Loss")),'Match Log'!$D$4:$D$810),"the field")),"")</f>
        <v>Cody</v>
      </c>
      <c r="I88">
        <f t="shared" si="20"/>
        <v>-0.20006400000000019</v>
      </c>
      <c r="J88">
        <v>64</v>
      </c>
      <c r="K88">
        <f>IF($J88&gt;MAX('Match Log'!$A$4:$A$810),NA(),IFERROR(LOOKUP(2,1/(('Match Log'!$D$4:$D$810=$K$24)*('Match Log'!$A$4:$A$810&lt;=$J88)),'Match Log'!$N$4:$N$810),NA()))</f>
        <v>1026.3367769492982</v>
      </c>
      <c r="L88">
        <f>IF($J88&gt;MAX('Match Log'!$A$4:$A$810),NA(),IFERROR(LOOKUP(2,1/(('Match Log'!$D$4:$D$810=$L$24)*('Match Log'!$A$4:$A$810&lt;=$J88)),'Match Log'!$N$4:$N$810),NA()))</f>
        <v>994.55452889075195</v>
      </c>
      <c r="M88">
        <f>IF($J88&gt;MAX('Match Log'!$A$4:$A$810),NA(),IFERROR(LOOKUP(2,1/(('Match Log'!$D$4:$D$810=$M$24)*('Match Log'!$A$4:$A$810&lt;=$J88)),'Match Log'!$N$4:$N$810),NA()))</f>
        <v>1016.7837867075796</v>
      </c>
      <c r="N88">
        <f>IF($J88&gt;MAX('Match Log'!$A$4:$A$810),NA(),IFERROR(LOOKUP(2,1/(('Match Log'!$D$4:$D$810=$N$24)*('Match Log'!$A$4:$A$810&lt;=$J88)),'Match Log'!$N$4:$N$810),NA()))</f>
        <v>951.2737556356999</v>
      </c>
      <c r="O88">
        <f>IF($J88&gt;MAX('Match Log'!$A$4:$A$810),NA(),IFERROR(LOOKUP(2,1/(('Match Log'!$D$4:$D$810=$O$24)*('Match Log'!$A$4:$A$810&lt;=$J88)),'Match Log'!$N$4:$N$810),NA()))</f>
        <v>1122.1458342010349</v>
      </c>
      <c r="P88">
        <f>IF($J88&gt;MAX('Match Log'!$A$4:$A$810),NA(),IFERROR(LOOKUP(2,1/(('Match Log'!$D$4:$D$810=$P$24)*('Match Log'!$A$4:$A$810&lt;=$J88)),'Match Log'!$N$4:$N$810),NA()))</f>
        <v>988.19417301284341</v>
      </c>
      <c r="Q88">
        <f>IF($J88&gt;MAX('Match Log'!$A$4:$A$810),NA(),IFERROR(LOOKUP(2,1/(('Match Log'!$D$4:$D$810=$Q$24)*('Match Log'!$A$4:$A$810&lt;=$J88)),'Match Log'!$N$4:$N$810),NA()))</f>
        <v>1047.9647947853223</v>
      </c>
      <c r="R88">
        <f>IF($J88&gt;MAX('Match Log'!$A$4:$A$810),NA(),IFERROR(LOOKUP(2,1/(('Match Log'!$D$4:$D$810=$R$24)*('Match Log'!$A$4:$A$810&lt;=$J88)),'Match Log'!$N$4:$N$810),NA()))</f>
        <v>974.92778705998126</v>
      </c>
      <c r="S88">
        <f>IF($J88&gt;MAX('Match Log'!$A$4:$A$810),NA(),IFERROR(LOOKUP(2,1/(('Match Log'!$D$4:$D$810=$S$24)*('Match Log'!$A$4:$A$810&lt;=$J88)),'Match Log'!$N$4:$N$810),NA()))</f>
        <v>1092.0378539776184</v>
      </c>
      <c r="T88">
        <f>IF($J88&gt;MAX('Match Log'!$A$4:$A$810),NA(),IFERROR(LOOKUP(2,1/(('Match Log'!$D$4:$D$810=$T$24)*('Match Log'!$A$4:$A$810&lt;=$J88)),'Match Log'!$N$4:$N$810),NA()))</f>
        <v>878.45744104597827</v>
      </c>
      <c r="U88">
        <f>IF($J88&gt;MAX('Match Log'!$A$4:$A$810),NA(),IFERROR(LOOKUP(2,1/(('Match Log'!$D$4:$D$810=$U$24)*('Match Log'!$A$4:$A$810&lt;=$J88)),'Match Log'!$N$4:$N$810),NA()))</f>
        <v>989.32326773389138</v>
      </c>
      <c r="V88" t="e">
        <f>IF($J88&gt;MAX('Match Log'!$A$4:$A$810),NA(),IFERROR(LOOKUP(2,1/(('Match Log'!$D$4:$D$810=$V$24)*('Match Log'!$A$4:$A$810&lt;=$J88)),'Match Log'!$N$4:$N$810),NA()))</f>
        <v>#N/A</v>
      </c>
      <c r="W88" t="e">
        <f>IF($J88&gt;MAX('Match Log'!$A$4:$A$810),NA(),IFERROR(LOOKUP(2,1/(('Match Log'!$D$4:$D$810=$W$24)*('Match Log'!$A$4:$A$810&lt;=$J88)),'Match Log'!$N$4:$N$810),NA()))</f>
        <v>#N/A</v>
      </c>
      <c r="X88" t="e">
        <f>IF($J88&gt;MAX('Match Log'!$A$4:$A$810),NA(),IFERROR(LOOKUP(2,1/(('Match Log'!$D$4:$D$810=$X$24)*('Match Log'!$A$4:$A$810&lt;=$J88)),'Match Log'!$N$4:$N$810),NA()))</f>
        <v>#N/A</v>
      </c>
      <c r="Y88" t="str">
        <f t="shared" ca="1" si="21"/>
        <v/>
      </c>
    </row>
    <row r="89" spans="1:25" ht="15" customHeight="1" x14ac:dyDescent="0.2">
      <c r="A89">
        <v>65</v>
      </c>
      <c r="B89" s="127">
        <f>IFERROR(INDEX('Match Log'!$B$4:$B$810,MATCH(65,'Match Log'!$A$4:$A$810,0)),"")</f>
        <v>46188</v>
      </c>
      <c r="C89" t="str">
        <f>IFERROR(INDEX('Match Log'!$C$4:$C$810,MATCH(65,'Match Log'!$A$4:$A$810,0)),"")</f>
        <v>ShuffleBoard</v>
      </c>
      <c r="D89" t="str">
        <f t="array" ref="D89">IFERROR(_xlfn.TEXTJOIN(" + ",TRUE,IF(('Match Log'!$A$4:$A$810=$A89)*('Match Log'!$E$4:$E$810="Win"),'Match Log'!$D$4:$D$810,"")),IFERROR(LOOKUP(2,1/(('Match Log'!$A$4:$A$810=$A89)*('Match Log'!$E$4:$E$810="Win")),'Match Log'!$D$4:$D$810),""))</f>
        <v>Cody</v>
      </c>
      <c r="E89" s="128">
        <f>IFERROR(INDEX('Match Log'!$F$4:$F$810,MATCH(65,'Match Log'!$A$4:$A$810,0)),"")</f>
        <v>2</v>
      </c>
      <c r="F89">
        <f>IFERROR(SUMIFS('Match Log'!$I$4:$I$810,'Match Log'!$A$4:$A$810,65,'Match Log'!$E$4:$E$810,"Win"),"")</f>
        <v>0.33333333333333331</v>
      </c>
      <c r="G89">
        <f t="shared" ref="G89:G120" si="22">IF($D89="","",1-$F89*$E89)</f>
        <v>0.33333333333333337</v>
      </c>
      <c r="H89" t="str">
        <f t="array" ref="H89">IFERROR(IF(COUNTIFS('Match Log'!$A$4:$A$810,$A89,'Match Log'!$E$4:$E$810,"Win")&gt;1,_xlfn.TEXTJOIN(" + ",TRUE,IF(('Match Log'!$A$4:$A$810=$A89)*('Match Log'!$E$4:$E$810="Loss"),'Match Log'!$D$4:$D$810,"")),IF($E89=2,LOOKUP(2,1/(('Match Log'!$A$4:$A$810=$A89)*('Match Log'!$E$4:$E$810="Loss")),'Match Log'!$D$4:$D$810),"the field")),"")</f>
        <v>Oscar</v>
      </c>
      <c r="I89">
        <f t="shared" ref="I89:I120" si="23">IF($G89="","",$G89-$A89/1000000)</f>
        <v>0.33326833333333339</v>
      </c>
      <c r="J89">
        <v>65</v>
      </c>
      <c r="K89">
        <f>IF($J89&gt;MAX('Match Log'!$A$4:$A$810),NA(),IFERROR(LOOKUP(2,1/(('Match Log'!$D$4:$D$810=$K$24)*('Match Log'!$A$4:$A$810&lt;=$J89)),'Match Log'!$N$4:$N$810),NA()))</f>
        <v>1026.3367769492982</v>
      </c>
      <c r="L89">
        <f>IF($J89&gt;MAX('Match Log'!$A$4:$A$810),NA(),IFERROR(LOOKUP(2,1/(('Match Log'!$D$4:$D$810=$L$24)*('Match Log'!$A$4:$A$810&lt;=$J89)),'Match Log'!$N$4:$N$810),NA()))</f>
        <v>994.55452889075195</v>
      </c>
      <c r="M89">
        <f>IF($J89&gt;MAX('Match Log'!$A$4:$A$810),NA(),IFERROR(LOOKUP(2,1/(('Match Log'!$D$4:$D$810=$M$24)*('Match Log'!$A$4:$A$810&lt;=$J89)),'Match Log'!$N$4:$N$810),NA()))</f>
        <v>1016.7837867075796</v>
      </c>
      <c r="N89">
        <f>IF($J89&gt;MAX('Match Log'!$A$4:$A$810),NA(),IFERROR(LOOKUP(2,1/(('Match Log'!$D$4:$D$810=$N$24)*('Match Log'!$A$4:$A$810&lt;=$J89)),'Match Log'!$N$4:$N$810),NA()))</f>
        <v>951.2737556356999</v>
      </c>
      <c r="O89">
        <f>IF($J89&gt;MAX('Match Log'!$A$4:$A$810),NA(),IFERROR(LOOKUP(2,1/(('Match Log'!$D$4:$D$810=$O$24)*('Match Log'!$A$4:$A$810&lt;=$J89)),'Match Log'!$N$4:$N$810),NA()))</f>
        <v>1122.1458342010349</v>
      </c>
      <c r="P89">
        <f>IF($J89&gt;MAX('Match Log'!$A$4:$A$810),NA(),IFERROR(LOOKUP(2,1/(('Match Log'!$D$4:$D$810=$P$24)*('Match Log'!$A$4:$A$810&lt;=$J89)),'Match Log'!$N$4:$N$810),NA()))</f>
        <v>988.19417301284341</v>
      </c>
      <c r="Q89">
        <f>IF($J89&gt;MAX('Match Log'!$A$4:$A$810),NA(),IFERROR(LOOKUP(2,1/(('Match Log'!$D$4:$D$810=$Q$24)*('Match Log'!$A$4:$A$810&lt;=$J89)),'Match Log'!$N$4:$N$810),NA()))</f>
        <v>1047.9647947853223</v>
      </c>
      <c r="R89">
        <f>IF($J89&gt;MAX('Match Log'!$A$4:$A$810),NA(),IFERROR(LOOKUP(2,1/(('Match Log'!$D$4:$D$810=$R$24)*('Match Log'!$A$4:$A$810&lt;=$J89)),'Match Log'!$N$4:$N$810),NA()))</f>
        <v>974.92778705998126</v>
      </c>
      <c r="S89">
        <f>IF($J89&gt;MAX('Match Log'!$A$4:$A$810),NA(),IFERROR(LOOKUP(2,1/(('Match Log'!$D$4:$D$810=$S$24)*('Match Log'!$A$4:$A$810&lt;=$J89)),'Match Log'!$N$4:$N$810),NA()))</f>
        <v>1092.0378539776184</v>
      </c>
      <c r="T89">
        <f>IF($J89&gt;MAX('Match Log'!$A$4:$A$810),NA(),IFERROR(LOOKUP(2,1/(('Match Log'!$D$4:$D$810=$T$24)*('Match Log'!$A$4:$A$810&lt;=$J89)),'Match Log'!$N$4:$N$810),NA()))</f>
        <v>906.43903736198956</v>
      </c>
      <c r="U89">
        <f>IF($J89&gt;MAX('Match Log'!$A$4:$A$810),NA(),IFERROR(LOOKUP(2,1/(('Match Log'!$D$4:$D$810=$U$24)*('Match Log'!$A$4:$A$810&lt;=$J89)),'Match Log'!$N$4:$N$810),NA()))</f>
        <v>961.34167141788009</v>
      </c>
      <c r="V89" t="e">
        <f>IF($J89&gt;MAX('Match Log'!$A$4:$A$810),NA(),IFERROR(LOOKUP(2,1/(('Match Log'!$D$4:$D$810=$V$24)*('Match Log'!$A$4:$A$810&lt;=$J89)),'Match Log'!$N$4:$N$810),NA()))</f>
        <v>#N/A</v>
      </c>
      <c r="W89" t="e">
        <f>IF($J89&gt;MAX('Match Log'!$A$4:$A$810),NA(),IFERROR(LOOKUP(2,1/(('Match Log'!$D$4:$D$810=$W$24)*('Match Log'!$A$4:$A$810&lt;=$J89)),'Match Log'!$N$4:$N$810),NA()))</f>
        <v>#N/A</v>
      </c>
      <c r="X89" t="e">
        <f>IF($J89&gt;MAX('Match Log'!$A$4:$A$810),NA(),IFERROR(LOOKUP(2,1/(('Match Log'!$D$4:$D$810=$X$24)*('Match Log'!$A$4:$A$810&lt;=$J89)),'Match Log'!$N$4:$N$810),NA()))</f>
        <v>#N/A</v>
      </c>
      <c r="Y89" t="str">
        <f t="shared" ref="Y89:Y120" ca="1" si="24">IF(AND($B89&lt;&gt;"",$B89&gt;=$B$5,$I89&lt;&gt;""),$I89,"")</f>
        <v/>
      </c>
    </row>
    <row r="90" spans="1:25" ht="15" customHeight="1" x14ac:dyDescent="0.2">
      <c r="A90">
        <v>66</v>
      </c>
      <c r="B90" s="127">
        <f>IFERROR(INDEX('Match Log'!$B$4:$B$810,MATCH(66,'Match Log'!$A$4:$A$810,0)),"")</f>
        <v>46188</v>
      </c>
      <c r="C90" t="str">
        <f>IFERROR(INDEX('Match Log'!$C$4:$C$810,MATCH(66,'Match Log'!$A$4:$A$810,0)),"")</f>
        <v>ShuffleBoard</v>
      </c>
      <c r="D90" t="str">
        <f t="array" ref="D90">IFERROR(_xlfn.TEXTJOIN(" + ",TRUE,IF(('Match Log'!$A$4:$A$810=$A90)*('Match Log'!$E$4:$E$810="Win"),'Match Log'!$D$4:$D$810,"")),IFERROR(LOOKUP(2,1/(('Match Log'!$A$4:$A$810=$A90)*('Match Log'!$E$4:$E$810="Win")),'Match Log'!$D$4:$D$810),""))</f>
        <v>Simon</v>
      </c>
      <c r="E90" s="128">
        <f>IFERROR(INDEX('Match Log'!$F$4:$F$810,MATCH(66,'Match Log'!$A$4:$A$810,0)),"")</f>
        <v>2</v>
      </c>
      <c r="F90">
        <f>IFERROR(SUMIFS('Match Log'!$I$4:$I$810,'Match Log'!$A$4:$A$810,66,'Match Log'!$E$4:$E$810,"Win"),"")</f>
        <v>0.65217391304347827</v>
      </c>
      <c r="G90">
        <f t="shared" si="22"/>
        <v>-0.30434782608695654</v>
      </c>
      <c r="H90" t="str">
        <f t="array" ref="H90">IFERROR(IF(COUNTIFS('Match Log'!$A$4:$A$810,$A90,'Match Log'!$E$4:$E$810,"Win")&gt;1,_xlfn.TEXTJOIN(" + ",TRUE,IF(('Match Log'!$A$4:$A$810=$A90)*('Match Log'!$E$4:$E$810="Loss"),'Match Log'!$D$4:$D$810,"")),IF($E90=2,LOOKUP(2,1/(('Match Log'!$A$4:$A$810=$A90)*('Match Log'!$E$4:$E$810="Loss")),'Match Log'!$D$4:$D$810),"the field")),"")</f>
        <v>Oscar</v>
      </c>
      <c r="I90">
        <f t="shared" si="23"/>
        <v>-0.30441382608695655</v>
      </c>
      <c r="J90">
        <v>66</v>
      </c>
      <c r="K90">
        <f>IF($J90&gt;MAX('Match Log'!$A$4:$A$810),NA(),IFERROR(LOOKUP(2,1/(('Match Log'!$D$4:$D$810=$K$24)*('Match Log'!$A$4:$A$810&lt;=$J90)),'Match Log'!$N$4:$N$810),NA()))</f>
        <v>1026.3367769492982</v>
      </c>
      <c r="L90">
        <f>IF($J90&gt;MAX('Match Log'!$A$4:$A$810),NA(),IFERROR(LOOKUP(2,1/(('Match Log'!$D$4:$D$810=$L$24)*('Match Log'!$A$4:$A$810&lt;=$J90)),'Match Log'!$N$4:$N$810),NA()))</f>
        <v>994.55452889075195</v>
      </c>
      <c r="M90">
        <f>IF($J90&gt;MAX('Match Log'!$A$4:$A$810),NA(),IFERROR(LOOKUP(2,1/(('Match Log'!$D$4:$D$810=$M$24)*('Match Log'!$A$4:$A$810&lt;=$J90)),'Match Log'!$N$4:$N$810),NA()))</f>
        <v>1016.7837867075796</v>
      </c>
      <c r="N90">
        <f>IF($J90&gt;MAX('Match Log'!$A$4:$A$810),NA(),IFERROR(LOOKUP(2,1/(('Match Log'!$D$4:$D$810=$N$24)*('Match Log'!$A$4:$A$810&lt;=$J90)),'Match Log'!$N$4:$N$810),NA()))</f>
        <v>951.2737556356999</v>
      </c>
      <c r="O90">
        <f>IF($J90&gt;MAX('Match Log'!$A$4:$A$810),NA(),IFERROR(LOOKUP(2,1/(('Match Log'!$D$4:$D$810=$O$24)*('Match Log'!$A$4:$A$810&lt;=$J90)),'Match Log'!$N$4:$N$810),NA()))</f>
        <v>1122.1458342010349</v>
      </c>
      <c r="P90">
        <f>IF($J90&gt;MAX('Match Log'!$A$4:$A$810),NA(),IFERROR(LOOKUP(2,1/(('Match Log'!$D$4:$D$810=$P$24)*('Match Log'!$A$4:$A$810&lt;=$J90)),'Match Log'!$N$4:$N$810),NA()))</f>
        <v>988.19417301284341</v>
      </c>
      <c r="Q90">
        <f>IF($J90&gt;MAX('Match Log'!$A$4:$A$810),NA(),IFERROR(LOOKUP(2,1/(('Match Log'!$D$4:$D$810=$Q$24)*('Match Log'!$A$4:$A$810&lt;=$J90)),'Match Log'!$N$4:$N$810),NA()))</f>
        <v>1064.7958892852189</v>
      </c>
      <c r="R90">
        <f>IF($J90&gt;MAX('Match Log'!$A$4:$A$810),NA(),IFERROR(LOOKUP(2,1/(('Match Log'!$D$4:$D$810=$R$24)*('Match Log'!$A$4:$A$810&lt;=$J90)),'Match Log'!$N$4:$N$810),NA()))</f>
        <v>974.92778705998126</v>
      </c>
      <c r="S90">
        <f>IF($J90&gt;MAX('Match Log'!$A$4:$A$810),NA(),IFERROR(LOOKUP(2,1/(('Match Log'!$D$4:$D$810=$S$24)*('Match Log'!$A$4:$A$810&lt;=$J90)),'Match Log'!$N$4:$N$810),NA()))</f>
        <v>1092.0378539776184</v>
      </c>
      <c r="T90">
        <f>IF($J90&gt;MAX('Match Log'!$A$4:$A$810),NA(),IFERROR(LOOKUP(2,1/(('Match Log'!$D$4:$D$810=$T$24)*('Match Log'!$A$4:$A$810&lt;=$J90)),'Match Log'!$N$4:$N$810),NA()))</f>
        <v>906.43903736198956</v>
      </c>
      <c r="U90">
        <f>IF($J90&gt;MAX('Match Log'!$A$4:$A$810),NA(),IFERROR(LOOKUP(2,1/(('Match Log'!$D$4:$D$810=$U$24)*('Match Log'!$A$4:$A$810&lt;=$J90)),'Match Log'!$N$4:$N$810),NA()))</f>
        <v>944.5105769179836</v>
      </c>
      <c r="V90" t="e">
        <f>IF($J90&gt;MAX('Match Log'!$A$4:$A$810),NA(),IFERROR(LOOKUP(2,1/(('Match Log'!$D$4:$D$810=$V$24)*('Match Log'!$A$4:$A$810&lt;=$J90)),'Match Log'!$N$4:$N$810),NA()))</f>
        <v>#N/A</v>
      </c>
      <c r="W90" t="e">
        <f>IF($J90&gt;MAX('Match Log'!$A$4:$A$810),NA(),IFERROR(LOOKUP(2,1/(('Match Log'!$D$4:$D$810=$W$24)*('Match Log'!$A$4:$A$810&lt;=$J90)),'Match Log'!$N$4:$N$810),NA()))</f>
        <v>#N/A</v>
      </c>
      <c r="X90" t="e">
        <f>IF($J90&gt;MAX('Match Log'!$A$4:$A$810),NA(),IFERROR(LOOKUP(2,1/(('Match Log'!$D$4:$D$810=$X$24)*('Match Log'!$A$4:$A$810&lt;=$J90)),'Match Log'!$N$4:$N$810),NA()))</f>
        <v>#N/A</v>
      </c>
      <c r="Y90" t="str">
        <f t="shared" ca="1" si="24"/>
        <v/>
      </c>
    </row>
    <row r="91" spans="1:25" ht="15" customHeight="1" x14ac:dyDescent="0.2">
      <c r="A91">
        <v>67</v>
      </c>
      <c r="B91" s="127">
        <f>IFERROR(INDEX('Match Log'!$B$4:$B$810,MATCH(67,'Match Log'!$A$4:$A$810,0)),"")</f>
        <v>46188</v>
      </c>
      <c r="C91" t="str">
        <f>IFERROR(INDEX('Match Log'!$C$4:$C$810,MATCH(67,'Match Log'!$A$4:$A$810,0)),"")</f>
        <v>ShuffleBoard</v>
      </c>
      <c r="D91" t="str">
        <f t="array" ref="D91">IFERROR(_xlfn.TEXTJOIN(" + ",TRUE,IF(('Match Log'!$A$4:$A$810=$A91)*('Match Log'!$E$4:$E$810="Win"),'Match Log'!$D$4:$D$810,"")),IFERROR(LOOKUP(2,1/(('Match Log'!$A$4:$A$810=$A91)*('Match Log'!$E$4:$E$810="Win")),'Match Log'!$D$4:$D$810),""))</f>
        <v>Cody</v>
      </c>
      <c r="E91" s="128">
        <f>IFERROR(INDEX('Match Log'!$F$4:$F$810,MATCH(67,'Match Log'!$A$4:$A$810,0)),"")</f>
        <v>2</v>
      </c>
      <c r="F91">
        <f>IFERROR(SUMIFS('Match Log'!$I$4:$I$810,'Match Log'!$A$4:$A$810,67,'Match Log'!$E$4:$E$810,"Win"),"")</f>
        <v>0.54545454545454541</v>
      </c>
      <c r="G91">
        <f t="shared" si="22"/>
        <v>-9.0909090909090828E-2</v>
      </c>
      <c r="H91" t="str">
        <f t="array" ref="H91">IFERROR(IF(COUNTIFS('Match Log'!$A$4:$A$810,$A91,'Match Log'!$E$4:$E$810,"Win")&gt;1,_xlfn.TEXTJOIN(" + ",TRUE,IF(('Match Log'!$A$4:$A$810=$A91)*('Match Log'!$E$4:$E$810="Loss"),'Match Log'!$D$4:$D$810,"")),IF($E91=2,LOOKUP(2,1/(('Match Log'!$A$4:$A$810=$A91)*('Match Log'!$E$4:$E$810="Loss")),'Match Log'!$D$4:$D$810),"the field")),"")</f>
        <v>Oscar</v>
      </c>
      <c r="I91">
        <f t="shared" si="23"/>
        <v>-9.0976090909090826E-2</v>
      </c>
      <c r="J91">
        <v>67</v>
      </c>
      <c r="K91">
        <f>IF($J91&gt;MAX('Match Log'!$A$4:$A$810),NA(),IFERROR(LOOKUP(2,1/(('Match Log'!$D$4:$D$810=$K$24)*('Match Log'!$A$4:$A$810&lt;=$J91)),'Match Log'!$N$4:$N$810),NA()))</f>
        <v>1026.3367769492982</v>
      </c>
      <c r="L91">
        <f>IF($J91&gt;MAX('Match Log'!$A$4:$A$810),NA(),IFERROR(LOOKUP(2,1/(('Match Log'!$D$4:$D$810=$L$24)*('Match Log'!$A$4:$A$810&lt;=$J91)),'Match Log'!$N$4:$N$810),NA()))</f>
        <v>994.55452889075195</v>
      </c>
      <c r="M91">
        <f>IF($J91&gt;MAX('Match Log'!$A$4:$A$810),NA(),IFERROR(LOOKUP(2,1/(('Match Log'!$D$4:$D$810=$M$24)*('Match Log'!$A$4:$A$810&lt;=$J91)),'Match Log'!$N$4:$N$810),NA()))</f>
        <v>1016.7837867075796</v>
      </c>
      <c r="N91">
        <f>IF($J91&gt;MAX('Match Log'!$A$4:$A$810),NA(),IFERROR(LOOKUP(2,1/(('Match Log'!$D$4:$D$810=$N$24)*('Match Log'!$A$4:$A$810&lt;=$J91)),'Match Log'!$N$4:$N$810),NA()))</f>
        <v>951.2737556356999</v>
      </c>
      <c r="O91">
        <f>IF($J91&gt;MAX('Match Log'!$A$4:$A$810),NA(),IFERROR(LOOKUP(2,1/(('Match Log'!$D$4:$D$810=$O$24)*('Match Log'!$A$4:$A$810&lt;=$J91)),'Match Log'!$N$4:$N$810),NA()))</f>
        <v>1122.1458342010349</v>
      </c>
      <c r="P91">
        <f>IF($J91&gt;MAX('Match Log'!$A$4:$A$810),NA(),IFERROR(LOOKUP(2,1/(('Match Log'!$D$4:$D$810=$P$24)*('Match Log'!$A$4:$A$810&lt;=$J91)),'Match Log'!$N$4:$N$810),NA()))</f>
        <v>988.19417301284341</v>
      </c>
      <c r="Q91">
        <f>IF($J91&gt;MAX('Match Log'!$A$4:$A$810),NA(),IFERROR(LOOKUP(2,1/(('Match Log'!$D$4:$D$810=$Q$24)*('Match Log'!$A$4:$A$810&lt;=$J91)),'Match Log'!$N$4:$N$810),NA()))</f>
        <v>1064.7958892852189</v>
      </c>
      <c r="R91">
        <f>IF($J91&gt;MAX('Match Log'!$A$4:$A$810),NA(),IFERROR(LOOKUP(2,1/(('Match Log'!$D$4:$D$810=$R$24)*('Match Log'!$A$4:$A$810&lt;=$J91)),'Match Log'!$N$4:$N$810),NA()))</f>
        <v>974.92778705998126</v>
      </c>
      <c r="S91">
        <f>IF($J91&gt;MAX('Match Log'!$A$4:$A$810),NA(),IFERROR(LOOKUP(2,1/(('Match Log'!$D$4:$D$810=$S$24)*('Match Log'!$A$4:$A$810&lt;=$J91)),'Match Log'!$N$4:$N$810),NA()))</f>
        <v>1092.0378539776184</v>
      </c>
      <c r="T91">
        <f>IF($J91&gt;MAX('Match Log'!$A$4:$A$810),NA(),IFERROR(LOOKUP(2,1/(('Match Log'!$D$4:$D$810=$T$24)*('Match Log'!$A$4:$A$810&lt;=$J91)),'Match Log'!$N$4:$N$810),NA()))</f>
        <v>928.77798338306945</v>
      </c>
      <c r="U91">
        <f>IF($J91&gt;MAX('Match Log'!$A$4:$A$810),NA(),IFERROR(LOOKUP(2,1/(('Match Log'!$D$4:$D$810=$U$24)*('Match Log'!$A$4:$A$810&lt;=$J91)),'Match Log'!$N$4:$N$810),NA()))</f>
        <v>922.17163089690371</v>
      </c>
      <c r="V91" t="e">
        <f>IF($J91&gt;MAX('Match Log'!$A$4:$A$810),NA(),IFERROR(LOOKUP(2,1/(('Match Log'!$D$4:$D$810=$V$24)*('Match Log'!$A$4:$A$810&lt;=$J91)),'Match Log'!$N$4:$N$810),NA()))</f>
        <v>#N/A</v>
      </c>
      <c r="W91" t="e">
        <f>IF($J91&gt;MAX('Match Log'!$A$4:$A$810),NA(),IFERROR(LOOKUP(2,1/(('Match Log'!$D$4:$D$810=$W$24)*('Match Log'!$A$4:$A$810&lt;=$J91)),'Match Log'!$N$4:$N$810),NA()))</f>
        <v>#N/A</v>
      </c>
      <c r="X91" t="e">
        <f>IF($J91&gt;MAX('Match Log'!$A$4:$A$810),NA(),IFERROR(LOOKUP(2,1/(('Match Log'!$D$4:$D$810=$X$24)*('Match Log'!$A$4:$A$810&lt;=$J91)),'Match Log'!$N$4:$N$810),NA()))</f>
        <v>#N/A</v>
      </c>
      <c r="Y91" t="str">
        <f t="shared" ca="1" si="24"/>
        <v/>
      </c>
    </row>
    <row r="92" spans="1:25" ht="15" customHeight="1" x14ac:dyDescent="0.2">
      <c r="A92">
        <v>68</v>
      </c>
      <c r="B92" s="127">
        <f>IFERROR(INDEX('Match Log'!$B$4:$B$810,MATCH(68,'Match Log'!$A$4:$A$810,0)),"")</f>
        <v>46188</v>
      </c>
      <c r="C92" t="str">
        <f>IFERROR(INDEX('Match Log'!$C$4:$C$810,MATCH(68,'Match Log'!$A$4:$A$810,0)),"")</f>
        <v>ShuffleBoard</v>
      </c>
      <c r="D92" t="str">
        <f t="array" ref="D92">IFERROR(_xlfn.TEXTJOIN(" + ",TRUE,IF(('Match Log'!$A$4:$A$810=$A92)*('Match Log'!$E$4:$E$810="Win"),'Match Log'!$D$4:$D$810,"")),IFERROR(LOOKUP(2,1/(('Match Log'!$A$4:$A$810=$A92)*('Match Log'!$E$4:$E$810="Win")),'Match Log'!$D$4:$D$810),""))</f>
        <v>Simon</v>
      </c>
      <c r="E92" s="128">
        <f>IFERROR(INDEX('Match Log'!$F$4:$F$810,MATCH(68,'Match Log'!$A$4:$A$810,0)),"")</f>
        <v>2</v>
      </c>
      <c r="F92">
        <f>IFERROR(SUMIFS('Match Log'!$I$4:$I$810,'Match Log'!$A$4:$A$810,68,'Match Log'!$E$4:$E$810,"Win"),"")</f>
        <v>0.61538461538461542</v>
      </c>
      <c r="G92">
        <f t="shared" si="22"/>
        <v>-0.23076923076923084</v>
      </c>
      <c r="H92" t="str">
        <f t="array" ref="H92">IFERROR(IF(COUNTIFS('Match Log'!$A$4:$A$810,$A92,'Match Log'!$E$4:$E$810,"Win")&gt;1,_xlfn.TEXTJOIN(" + ",TRUE,IF(('Match Log'!$A$4:$A$810=$A92)*('Match Log'!$E$4:$E$810="Loss"),'Match Log'!$D$4:$D$810,"")),IF($E92=2,LOOKUP(2,1/(('Match Log'!$A$4:$A$810=$A92)*('Match Log'!$E$4:$E$810="Loss")),'Match Log'!$D$4:$D$810),"the field")),"")</f>
        <v>Cody</v>
      </c>
      <c r="I92">
        <f t="shared" si="23"/>
        <v>-0.23083723076923085</v>
      </c>
      <c r="J92">
        <v>68</v>
      </c>
      <c r="K92">
        <f>IF($J92&gt;MAX('Match Log'!$A$4:$A$810),NA(),IFERROR(LOOKUP(2,1/(('Match Log'!$D$4:$D$810=$K$24)*('Match Log'!$A$4:$A$810&lt;=$J92)),'Match Log'!$N$4:$N$810),NA()))</f>
        <v>1026.3367769492982</v>
      </c>
      <c r="L92">
        <f>IF($J92&gt;MAX('Match Log'!$A$4:$A$810),NA(),IFERROR(LOOKUP(2,1/(('Match Log'!$D$4:$D$810=$L$24)*('Match Log'!$A$4:$A$810&lt;=$J92)),'Match Log'!$N$4:$N$810),NA()))</f>
        <v>994.55452889075195</v>
      </c>
      <c r="M92">
        <f>IF($J92&gt;MAX('Match Log'!$A$4:$A$810),NA(),IFERROR(LOOKUP(2,1/(('Match Log'!$D$4:$D$810=$M$24)*('Match Log'!$A$4:$A$810&lt;=$J92)),'Match Log'!$N$4:$N$810),NA()))</f>
        <v>1016.7837867075796</v>
      </c>
      <c r="N92">
        <f>IF($J92&gt;MAX('Match Log'!$A$4:$A$810),NA(),IFERROR(LOOKUP(2,1/(('Match Log'!$D$4:$D$810=$N$24)*('Match Log'!$A$4:$A$810&lt;=$J92)),'Match Log'!$N$4:$N$810),NA()))</f>
        <v>951.2737556356999</v>
      </c>
      <c r="O92">
        <f>IF($J92&gt;MAX('Match Log'!$A$4:$A$810),NA(),IFERROR(LOOKUP(2,1/(('Match Log'!$D$4:$D$810=$O$24)*('Match Log'!$A$4:$A$810&lt;=$J92)),'Match Log'!$N$4:$N$810),NA()))</f>
        <v>1122.1458342010349</v>
      </c>
      <c r="P92">
        <f>IF($J92&gt;MAX('Match Log'!$A$4:$A$810),NA(),IFERROR(LOOKUP(2,1/(('Match Log'!$D$4:$D$810=$P$24)*('Match Log'!$A$4:$A$810&lt;=$J92)),'Match Log'!$N$4:$N$810),NA()))</f>
        <v>988.19417301284341</v>
      </c>
      <c r="Q92">
        <f>IF($J92&gt;MAX('Match Log'!$A$4:$A$810),NA(),IFERROR(LOOKUP(2,1/(('Match Log'!$D$4:$D$810=$Q$24)*('Match Log'!$A$4:$A$810&lt;=$J92)),'Match Log'!$N$4:$N$810),NA()))</f>
        <v>1081.084406649305</v>
      </c>
      <c r="R92">
        <f>IF($J92&gt;MAX('Match Log'!$A$4:$A$810),NA(),IFERROR(LOOKUP(2,1/(('Match Log'!$D$4:$D$810=$R$24)*('Match Log'!$A$4:$A$810&lt;=$J92)),'Match Log'!$N$4:$N$810),NA()))</f>
        <v>974.92778705998126</v>
      </c>
      <c r="S92">
        <f>IF($J92&gt;MAX('Match Log'!$A$4:$A$810),NA(),IFERROR(LOOKUP(2,1/(('Match Log'!$D$4:$D$810=$S$24)*('Match Log'!$A$4:$A$810&lt;=$J92)),'Match Log'!$N$4:$N$810),NA()))</f>
        <v>1092.0378539776184</v>
      </c>
      <c r="T92">
        <f>IF($J92&gt;MAX('Match Log'!$A$4:$A$810),NA(),IFERROR(LOOKUP(2,1/(('Match Log'!$D$4:$D$810=$T$24)*('Match Log'!$A$4:$A$810&lt;=$J92)),'Match Log'!$N$4:$N$810),NA()))</f>
        <v>912.48946601898319</v>
      </c>
      <c r="U92">
        <f>IF($J92&gt;MAX('Match Log'!$A$4:$A$810),NA(),IFERROR(LOOKUP(2,1/(('Match Log'!$D$4:$D$810=$U$24)*('Match Log'!$A$4:$A$810&lt;=$J92)),'Match Log'!$N$4:$N$810),NA()))</f>
        <v>922.17163089690371</v>
      </c>
      <c r="V92" t="e">
        <f>IF($J92&gt;MAX('Match Log'!$A$4:$A$810),NA(),IFERROR(LOOKUP(2,1/(('Match Log'!$D$4:$D$810=$V$24)*('Match Log'!$A$4:$A$810&lt;=$J92)),'Match Log'!$N$4:$N$810),NA()))</f>
        <v>#N/A</v>
      </c>
      <c r="W92" t="e">
        <f>IF($J92&gt;MAX('Match Log'!$A$4:$A$810),NA(),IFERROR(LOOKUP(2,1/(('Match Log'!$D$4:$D$810=$W$24)*('Match Log'!$A$4:$A$810&lt;=$J92)),'Match Log'!$N$4:$N$810),NA()))</f>
        <v>#N/A</v>
      </c>
      <c r="X92" t="e">
        <f>IF($J92&gt;MAX('Match Log'!$A$4:$A$810),NA(),IFERROR(LOOKUP(2,1/(('Match Log'!$D$4:$D$810=$X$24)*('Match Log'!$A$4:$A$810&lt;=$J92)),'Match Log'!$N$4:$N$810),NA()))</f>
        <v>#N/A</v>
      </c>
      <c r="Y92" t="str">
        <f t="shared" ca="1" si="24"/>
        <v/>
      </c>
    </row>
    <row r="93" spans="1:25" ht="15" customHeight="1" x14ac:dyDescent="0.2">
      <c r="A93">
        <v>69</v>
      </c>
      <c r="B93" s="127">
        <f>IFERROR(INDEX('Match Log'!$B$4:$B$810,MATCH(69,'Match Log'!$A$4:$A$810,0)),"")</f>
        <v>46188</v>
      </c>
      <c r="C93" t="str">
        <f>IFERROR(INDEX('Match Log'!$C$4:$C$810,MATCH(69,'Match Log'!$A$4:$A$810,0)),"")</f>
        <v>ShuffleBoard</v>
      </c>
      <c r="D93" t="str">
        <f t="array" ref="D93">IFERROR(_xlfn.TEXTJOIN(" + ",TRUE,IF(('Match Log'!$A$4:$A$810=$A93)*('Match Log'!$E$4:$E$810="Win"),'Match Log'!$D$4:$D$810,"")),IFERROR(LOOKUP(2,1/(('Match Log'!$A$4:$A$810=$A93)*('Match Log'!$E$4:$E$810="Win")),'Match Log'!$D$4:$D$810),""))</f>
        <v>Shawn + Josh</v>
      </c>
      <c r="E93" s="128">
        <f>IFERROR(INDEX('Match Log'!$F$4:$F$810,MATCH(69,'Match Log'!$A$4:$A$810,0)),"")</f>
        <v>4</v>
      </c>
      <c r="F93">
        <f>IFERROR(SUMIFS('Match Log'!$I$4:$I$810,'Match Log'!$A$4:$A$810,69,'Match Log'!$E$4:$E$810,"Win"),"")</f>
        <v>0.43478260869565216</v>
      </c>
      <c r="G93">
        <f t="shared" si="22"/>
        <v>-0.73913043478260865</v>
      </c>
      <c r="H93" t="str">
        <f t="array" ref="H93">IFERROR(IF(COUNTIFS('Match Log'!$A$4:$A$810,$A93,'Match Log'!$E$4:$E$810,"Win")&gt;1,_xlfn.TEXTJOIN(" + ",TRUE,IF(('Match Log'!$A$4:$A$810=$A93)*('Match Log'!$E$4:$E$810="Loss"),'Match Log'!$D$4:$D$810,"")),IF($E93=2,LOOKUP(2,1/(('Match Log'!$A$4:$A$810=$A93)*('Match Log'!$E$4:$E$810="Loss")),'Match Log'!$D$4:$D$810),"the field")),"")</f>
        <v>Dean B + Daniel (Ferret)</v>
      </c>
      <c r="I93">
        <f t="shared" si="23"/>
        <v>-0.73919943478260863</v>
      </c>
      <c r="J93">
        <v>69</v>
      </c>
      <c r="K93">
        <f>IF($J93&gt;MAX('Match Log'!$A$4:$A$810),NA(),IFERROR(LOOKUP(2,1/(('Match Log'!$D$4:$D$810=$K$24)*('Match Log'!$A$4:$A$810&lt;=$J93)),'Match Log'!$N$4:$N$810),NA()))</f>
        <v>1026.3367769492982</v>
      </c>
      <c r="L93">
        <f>IF($J93&gt;MAX('Match Log'!$A$4:$A$810),NA(),IFERROR(LOOKUP(2,1/(('Match Log'!$D$4:$D$810=$L$24)*('Match Log'!$A$4:$A$810&lt;=$J93)),'Match Log'!$N$4:$N$810),NA()))</f>
        <v>994.55452889075195</v>
      </c>
      <c r="M93">
        <f>IF($J93&gt;MAX('Match Log'!$A$4:$A$810),NA(),IFERROR(LOOKUP(2,1/(('Match Log'!$D$4:$D$810=$M$24)*('Match Log'!$A$4:$A$810&lt;=$J93)),'Match Log'!$N$4:$N$810),NA()))</f>
        <v>1016.7837867075796</v>
      </c>
      <c r="N93">
        <f>IF($J93&gt;MAX('Match Log'!$A$4:$A$810),NA(),IFERROR(LOOKUP(2,1/(('Match Log'!$D$4:$D$810=$N$24)*('Match Log'!$A$4:$A$810&lt;=$J93)),'Match Log'!$N$4:$N$810),NA()))</f>
        <v>951.2737556356999</v>
      </c>
      <c r="O93">
        <f>IF($J93&gt;MAX('Match Log'!$A$4:$A$810),NA(),IFERROR(LOOKUP(2,1/(('Match Log'!$D$4:$D$810=$O$24)*('Match Log'!$A$4:$A$810&lt;=$J93)),'Match Log'!$N$4:$N$810),NA()))</f>
        <v>1141.0979346657248</v>
      </c>
      <c r="P93">
        <f>IF($J93&gt;MAX('Match Log'!$A$4:$A$810),NA(),IFERROR(LOOKUP(2,1/(('Match Log'!$D$4:$D$810=$P$24)*('Match Log'!$A$4:$A$810&lt;=$J93)),'Match Log'!$N$4:$N$810),NA()))</f>
        <v>1006.1027952166637</v>
      </c>
      <c r="Q93">
        <f>IF($J93&gt;MAX('Match Log'!$A$4:$A$810),NA(),IFERROR(LOOKUP(2,1/(('Match Log'!$D$4:$D$810=$Q$24)*('Match Log'!$A$4:$A$810&lt;=$J93)),'Match Log'!$N$4:$N$810),NA()))</f>
        <v>1081.084406649305</v>
      </c>
      <c r="R93">
        <f>IF($J93&gt;MAX('Match Log'!$A$4:$A$810),NA(),IFERROR(LOOKUP(2,1/(('Match Log'!$D$4:$D$810=$R$24)*('Match Log'!$A$4:$A$810&lt;=$J93)),'Match Log'!$N$4:$N$810),NA()))</f>
        <v>972.5500158693128</v>
      </c>
      <c r="S93">
        <f>IF($J93&gt;MAX('Match Log'!$A$4:$A$810),NA(),IFERROR(LOOKUP(2,1/(('Match Log'!$D$4:$D$810=$S$24)*('Match Log'!$A$4:$A$810&lt;=$J93)),'Match Log'!$N$4:$N$810),NA()))</f>
        <v>1085.5549024997767</v>
      </c>
      <c r="T93">
        <f>IF($J93&gt;MAX('Match Log'!$A$4:$A$810),NA(),IFERROR(LOOKUP(2,1/(('Match Log'!$D$4:$D$810=$T$24)*('Match Log'!$A$4:$A$810&lt;=$J93)),'Match Log'!$N$4:$N$810),NA()))</f>
        <v>912.48946601898319</v>
      </c>
      <c r="U93">
        <f>IF($J93&gt;MAX('Match Log'!$A$4:$A$810),NA(),IFERROR(LOOKUP(2,1/(('Match Log'!$D$4:$D$810=$U$24)*('Match Log'!$A$4:$A$810&lt;=$J93)),'Match Log'!$N$4:$N$810),NA()))</f>
        <v>922.17163089690371</v>
      </c>
      <c r="V93" t="e">
        <f>IF($J93&gt;MAX('Match Log'!$A$4:$A$810),NA(),IFERROR(LOOKUP(2,1/(('Match Log'!$D$4:$D$810=$V$24)*('Match Log'!$A$4:$A$810&lt;=$J93)),'Match Log'!$N$4:$N$810),NA()))</f>
        <v>#N/A</v>
      </c>
      <c r="W93" t="e">
        <f>IF($J93&gt;MAX('Match Log'!$A$4:$A$810),NA(),IFERROR(LOOKUP(2,1/(('Match Log'!$D$4:$D$810=$W$24)*('Match Log'!$A$4:$A$810&lt;=$J93)),'Match Log'!$N$4:$N$810),NA()))</f>
        <v>#N/A</v>
      </c>
      <c r="X93" t="e">
        <f>IF($J93&gt;MAX('Match Log'!$A$4:$A$810),NA(),IFERROR(LOOKUP(2,1/(('Match Log'!$D$4:$D$810=$X$24)*('Match Log'!$A$4:$A$810&lt;=$J93)),'Match Log'!$N$4:$N$810),NA()))</f>
        <v>#N/A</v>
      </c>
      <c r="Y93" t="str">
        <f t="shared" ca="1" si="24"/>
        <v/>
      </c>
    </row>
    <row r="94" spans="1:25" ht="15" customHeight="1" x14ac:dyDescent="0.2">
      <c r="A94">
        <v>70</v>
      </c>
      <c r="B94" s="127">
        <f>IFERROR(INDEX('Match Log'!$B$4:$B$810,MATCH(70,'Match Log'!$A$4:$A$810,0)),"")</f>
        <v>46188</v>
      </c>
      <c r="C94" t="str">
        <f>IFERROR(INDEX('Match Log'!$C$4:$C$810,MATCH(70,'Match Log'!$A$4:$A$810,0)),"")</f>
        <v>ShuffleBoard</v>
      </c>
      <c r="D94" t="str">
        <f t="array" ref="D94">IFERROR(_xlfn.TEXTJOIN(" + ",TRUE,IF(('Match Log'!$A$4:$A$810=$A94)*('Match Log'!$E$4:$E$810="Win"),'Match Log'!$D$4:$D$810,"")),IFERROR(LOOKUP(2,1/(('Match Log'!$A$4:$A$810=$A94)*('Match Log'!$E$4:$E$810="Win")),'Match Log'!$D$4:$D$810),""))</f>
        <v>Oscar + Simon</v>
      </c>
      <c r="E94" s="128">
        <f>IFERROR(INDEX('Match Log'!$F$4:$F$810,MATCH(70,'Match Log'!$A$4:$A$810,0)),"")</f>
        <v>4</v>
      </c>
      <c r="F94">
        <f>IFERROR(SUMIFS('Match Log'!$I$4:$I$810,'Match Log'!$A$4:$A$810,70,'Match Log'!$E$4:$E$810,"Win"),"")</f>
        <v>0.50429184549356221</v>
      </c>
      <c r="G94">
        <f t="shared" si="22"/>
        <v>-1.0171673819742488</v>
      </c>
      <c r="H94" t="str">
        <f t="array" ref="H94">IFERROR(IF(COUNTIFS('Match Log'!$A$4:$A$810,$A94,'Match Log'!$E$4:$E$810,"Win")&gt;1,_xlfn.TEXTJOIN(" + ",TRUE,IF(('Match Log'!$A$4:$A$810=$A94)*('Match Log'!$E$4:$E$810="Loss"),'Match Log'!$D$4:$D$810,"")),IF($E94=2,LOOKUP(2,1/(('Match Log'!$A$4:$A$810=$A94)*('Match Log'!$E$4:$E$810="Loss")),'Match Log'!$D$4:$D$810),"the field")),"")</f>
        <v>Shawn + Josh</v>
      </c>
      <c r="I94">
        <f t="shared" si="23"/>
        <v>-1.0172373819742488</v>
      </c>
      <c r="J94">
        <v>70</v>
      </c>
      <c r="K94">
        <f>IF($J94&gt;MAX('Match Log'!$A$4:$A$810),NA(),IFERROR(LOOKUP(2,1/(('Match Log'!$D$4:$D$810=$K$24)*('Match Log'!$A$4:$A$810&lt;=$J94)),'Match Log'!$N$4:$N$810),NA()))</f>
        <v>1026.3367769492982</v>
      </c>
      <c r="L94">
        <f>IF($J94&gt;MAX('Match Log'!$A$4:$A$810),NA(),IFERROR(LOOKUP(2,1/(('Match Log'!$D$4:$D$810=$L$24)*('Match Log'!$A$4:$A$810&lt;=$J94)),'Match Log'!$N$4:$N$810),NA()))</f>
        <v>994.55452889075195</v>
      </c>
      <c r="M94">
        <f>IF($J94&gt;MAX('Match Log'!$A$4:$A$810),NA(),IFERROR(LOOKUP(2,1/(('Match Log'!$D$4:$D$810=$M$24)*('Match Log'!$A$4:$A$810&lt;=$J94)),'Match Log'!$N$4:$N$810),NA()))</f>
        <v>1016.7837867075796</v>
      </c>
      <c r="N94">
        <f>IF($J94&gt;MAX('Match Log'!$A$4:$A$810),NA(),IFERROR(LOOKUP(2,1/(('Match Log'!$D$4:$D$810=$N$24)*('Match Log'!$A$4:$A$810&lt;=$J94)),'Match Log'!$N$4:$N$810),NA()))</f>
        <v>951.2737556356999</v>
      </c>
      <c r="O94">
        <f>IF($J94&gt;MAX('Match Log'!$A$4:$A$810),NA(),IFERROR(LOOKUP(2,1/(('Match Log'!$D$4:$D$810=$O$24)*('Match Log'!$A$4:$A$810&lt;=$J94)),'Match Log'!$N$4:$N$810),NA()))</f>
        <v>1135.6654540973088</v>
      </c>
      <c r="P94">
        <f>IF($J94&gt;MAX('Match Log'!$A$4:$A$810),NA(),IFERROR(LOOKUP(2,1/(('Match Log'!$D$4:$D$810=$P$24)*('Match Log'!$A$4:$A$810&lt;=$J94)),'Match Log'!$N$4:$N$810),NA()))</f>
        <v>1001.511291599808</v>
      </c>
      <c r="Q94">
        <f>IF($J94&gt;MAX('Match Log'!$A$4:$A$810),NA(),IFERROR(LOOKUP(2,1/(('Match Log'!$D$4:$D$810=$Q$24)*('Match Log'!$A$4:$A$810&lt;=$J94)),'Match Log'!$N$4:$N$810),NA()))</f>
        <v>1098.6157120466619</v>
      </c>
      <c r="R94">
        <f>IF($J94&gt;MAX('Match Log'!$A$4:$A$810),NA(),IFERROR(LOOKUP(2,1/(('Match Log'!$D$4:$D$810=$R$24)*('Match Log'!$A$4:$A$810&lt;=$J94)),'Match Log'!$N$4:$N$810),NA()))</f>
        <v>972.5500158693128</v>
      </c>
      <c r="S94">
        <f>IF($J94&gt;MAX('Match Log'!$A$4:$A$810),NA(),IFERROR(LOOKUP(2,1/(('Match Log'!$D$4:$D$810=$S$24)*('Match Log'!$A$4:$A$810&lt;=$J94)),'Match Log'!$N$4:$N$810),NA()))</f>
        <v>1085.5549024997767</v>
      </c>
      <c r="T94">
        <f>IF($J94&gt;MAX('Match Log'!$A$4:$A$810),NA(),IFERROR(LOOKUP(2,1/(('Match Log'!$D$4:$D$810=$T$24)*('Match Log'!$A$4:$A$810&lt;=$J94)),'Match Log'!$N$4:$N$810),NA()))</f>
        <v>912.48946601898319</v>
      </c>
      <c r="U94">
        <f>IF($J94&gt;MAX('Match Log'!$A$4:$A$810),NA(),IFERROR(LOOKUP(2,1/(('Match Log'!$D$4:$D$810=$U$24)*('Match Log'!$A$4:$A$810&lt;=$J94)),'Match Log'!$N$4:$N$810),NA()))</f>
        <v>942.66430968481859</v>
      </c>
      <c r="V94" t="e">
        <f>IF($J94&gt;MAX('Match Log'!$A$4:$A$810),NA(),IFERROR(LOOKUP(2,1/(('Match Log'!$D$4:$D$810=$V$24)*('Match Log'!$A$4:$A$810&lt;=$J94)),'Match Log'!$N$4:$N$810),NA()))</f>
        <v>#N/A</v>
      </c>
      <c r="W94" t="e">
        <f>IF($J94&gt;MAX('Match Log'!$A$4:$A$810),NA(),IFERROR(LOOKUP(2,1/(('Match Log'!$D$4:$D$810=$W$24)*('Match Log'!$A$4:$A$810&lt;=$J94)),'Match Log'!$N$4:$N$810),NA()))</f>
        <v>#N/A</v>
      </c>
      <c r="X94" t="e">
        <f>IF($J94&gt;MAX('Match Log'!$A$4:$A$810),NA(),IFERROR(LOOKUP(2,1/(('Match Log'!$D$4:$D$810=$X$24)*('Match Log'!$A$4:$A$810&lt;=$J94)),'Match Log'!$N$4:$N$810),NA()))</f>
        <v>#N/A</v>
      </c>
      <c r="Y94" t="str">
        <f t="shared" ca="1" si="24"/>
        <v/>
      </c>
    </row>
    <row r="95" spans="1:25" ht="15" customHeight="1" x14ac:dyDescent="0.2">
      <c r="A95">
        <v>71</v>
      </c>
      <c r="B95" s="127">
        <f>IFERROR(INDEX('Match Log'!$B$4:$B$810,MATCH(71,'Match Log'!$A$4:$A$810,0)),"")</f>
        <v>46188</v>
      </c>
      <c r="C95" t="str">
        <f>IFERROR(INDEX('Match Log'!$C$4:$C$810,MATCH(71,'Match Log'!$A$4:$A$810,0)),"")</f>
        <v>ShuffleBoard</v>
      </c>
      <c r="D95" t="str">
        <f t="array" ref="D95">IFERROR(_xlfn.TEXTJOIN(" + ",TRUE,IF(('Match Log'!$A$4:$A$810=$A95)*('Match Log'!$E$4:$E$810="Win"),'Match Log'!$D$4:$D$810,"")),IFERROR(LOOKUP(2,1/(('Match Log'!$A$4:$A$810=$A95)*('Match Log'!$E$4:$E$810="Win")),'Match Log'!$D$4:$D$810),""))</f>
        <v>Simon + Oscar</v>
      </c>
      <c r="E95" s="128">
        <f>IFERROR(INDEX('Match Log'!$F$4:$F$810,MATCH(71,'Match Log'!$A$4:$A$810,0)),"")</f>
        <v>4</v>
      </c>
      <c r="F95">
        <f>IFERROR(SUMIFS('Match Log'!$I$4:$I$810,'Match Log'!$A$4:$A$810,71,'Match Log'!$E$4:$E$810,"Win"),"")</f>
        <v>0.55199999999999994</v>
      </c>
      <c r="G95">
        <f t="shared" si="22"/>
        <v>-1.2079999999999997</v>
      </c>
      <c r="H95" t="str">
        <f t="array" ref="H95">IFERROR(IF(COUNTIFS('Match Log'!$A$4:$A$810,$A95,'Match Log'!$E$4:$E$810,"Win")&gt;1,_xlfn.TEXTJOIN(" + ",TRUE,IF(('Match Log'!$A$4:$A$810=$A95)*('Match Log'!$E$4:$E$810="Loss"),'Match Log'!$D$4:$D$810,"")),IF($E95=2,LOOKUP(2,1/(('Match Log'!$A$4:$A$810=$A95)*('Match Log'!$E$4:$E$810="Loss")),'Match Log'!$D$4:$D$810),"the field")),"")</f>
        <v>David + Dean M</v>
      </c>
      <c r="I95">
        <f t="shared" si="23"/>
        <v>-1.2080709999999997</v>
      </c>
      <c r="J95">
        <v>71</v>
      </c>
      <c r="K95">
        <f>IF($J95&gt;MAX('Match Log'!$A$4:$A$810),NA(),IFERROR(LOOKUP(2,1/(('Match Log'!$D$4:$D$810=$K$24)*('Match Log'!$A$4:$A$810&lt;=$J95)),'Match Log'!$N$4:$N$810),NA()))</f>
        <v>1026.3367769492982</v>
      </c>
      <c r="L95">
        <f>IF($J95&gt;MAX('Match Log'!$A$4:$A$810),NA(),IFERROR(LOOKUP(2,1/(('Match Log'!$D$4:$D$810=$L$24)*('Match Log'!$A$4:$A$810&lt;=$J95)),'Match Log'!$N$4:$N$810),NA()))</f>
        <v>994.55452889075195</v>
      </c>
      <c r="M95">
        <f>IF($J95&gt;MAX('Match Log'!$A$4:$A$810),NA(),IFERROR(LOOKUP(2,1/(('Match Log'!$D$4:$D$810=$M$24)*('Match Log'!$A$4:$A$810&lt;=$J95)),'Match Log'!$N$4:$N$810),NA()))</f>
        <v>1016.7837867075796</v>
      </c>
      <c r="N95">
        <f>IF($J95&gt;MAX('Match Log'!$A$4:$A$810),NA(),IFERROR(LOOKUP(2,1/(('Match Log'!$D$4:$D$810=$N$24)*('Match Log'!$A$4:$A$810&lt;=$J95)),'Match Log'!$N$4:$N$810),NA()))</f>
        <v>948.03610321390011</v>
      </c>
      <c r="O95">
        <f>IF($J95&gt;MAX('Match Log'!$A$4:$A$810),NA(),IFERROR(LOOKUP(2,1/(('Match Log'!$D$4:$D$810=$O$24)*('Match Log'!$A$4:$A$810&lt;=$J95)),'Match Log'!$N$4:$N$810),NA()))</f>
        <v>1135.6654540973088</v>
      </c>
      <c r="P95">
        <f>IF($J95&gt;MAX('Match Log'!$A$4:$A$810),NA(),IFERROR(LOOKUP(2,1/(('Match Log'!$D$4:$D$810=$P$24)*('Match Log'!$A$4:$A$810&lt;=$J95)),'Match Log'!$N$4:$N$810),NA()))</f>
        <v>1001.511291599808</v>
      </c>
      <c r="Q95">
        <f>IF($J95&gt;MAX('Match Log'!$A$4:$A$810),NA(),IFERROR(LOOKUP(2,1/(('Match Log'!$D$4:$D$810=$Q$24)*('Match Log'!$A$4:$A$810&lt;=$J95)),'Match Log'!$N$4:$N$810),NA()))</f>
        <v>1114.821738548716</v>
      </c>
      <c r="R95">
        <f>IF($J95&gt;MAX('Match Log'!$A$4:$A$810),NA(),IFERROR(LOOKUP(2,1/(('Match Log'!$D$4:$D$810=$R$24)*('Match Log'!$A$4:$A$810&lt;=$J95)),'Match Log'!$N$4:$N$810),NA()))</f>
        <v>972.5500158693128</v>
      </c>
      <c r="S95">
        <f>IF($J95&gt;MAX('Match Log'!$A$4:$A$810),NA(),IFERROR(LOOKUP(2,1/(('Match Log'!$D$4:$D$810=$S$24)*('Match Log'!$A$4:$A$810&lt;=$J95)),'Match Log'!$N$4:$N$810),NA()))</f>
        <v>1085.5549024997767</v>
      </c>
      <c r="T95">
        <f>IF($J95&gt;MAX('Match Log'!$A$4:$A$810),NA(),IFERROR(LOOKUP(2,1/(('Match Log'!$D$4:$D$810=$T$24)*('Match Log'!$A$4:$A$810&lt;=$J95)),'Match Log'!$N$4:$N$810),NA()))</f>
        <v>912.48946601898319</v>
      </c>
      <c r="U95">
        <f>IF($J95&gt;MAX('Match Log'!$A$4:$A$810),NA(),IFERROR(LOOKUP(2,1/(('Match Log'!$D$4:$D$810=$U$24)*('Match Log'!$A$4:$A$810&lt;=$J95)),'Match Log'!$N$4:$N$810),NA()))</f>
        <v>961.46233618687268</v>
      </c>
      <c r="V95">
        <f>IF($J95&gt;MAX('Match Log'!$A$4:$A$810),NA(),IFERROR(LOOKUP(2,1/(('Match Log'!$D$4:$D$810=$V$24)*('Match Log'!$A$4:$A$810&lt;=$J95)),'Match Log'!$N$4:$N$810),NA()))</f>
        <v>996.23359941769172</v>
      </c>
      <c r="W95" t="e">
        <f>IF($J95&gt;MAX('Match Log'!$A$4:$A$810),NA(),IFERROR(LOOKUP(2,1/(('Match Log'!$D$4:$D$810=$W$24)*('Match Log'!$A$4:$A$810&lt;=$J95)),'Match Log'!$N$4:$N$810),NA()))</f>
        <v>#N/A</v>
      </c>
      <c r="X95" t="e">
        <f>IF($J95&gt;MAX('Match Log'!$A$4:$A$810),NA(),IFERROR(LOOKUP(2,1/(('Match Log'!$D$4:$D$810=$X$24)*('Match Log'!$A$4:$A$810&lt;=$J95)),'Match Log'!$N$4:$N$810),NA()))</f>
        <v>#N/A</v>
      </c>
      <c r="Y95" t="str">
        <f t="shared" ca="1" si="24"/>
        <v/>
      </c>
    </row>
    <row r="96" spans="1:25" ht="15" customHeight="1" x14ac:dyDescent="0.2">
      <c r="A96">
        <v>72</v>
      </c>
      <c r="B96" s="127">
        <f>IFERROR(INDEX('Match Log'!$B$4:$B$810,MATCH(72,'Match Log'!$A$4:$A$810,0)),"")</f>
        <v>46188</v>
      </c>
      <c r="C96" t="str">
        <f>IFERROR(INDEX('Match Log'!$C$4:$C$810,MATCH(72,'Match Log'!$A$4:$A$810,0)),"")</f>
        <v>ShuffleBoard</v>
      </c>
      <c r="D96" t="str">
        <f t="array" ref="D96">IFERROR(_xlfn.TEXTJOIN(" + ",TRUE,IF(('Match Log'!$A$4:$A$810=$A96)*('Match Log'!$E$4:$E$810="Win"),'Match Log'!$D$4:$D$810,"")),IFERROR(LOOKUP(2,1/(('Match Log'!$A$4:$A$810=$A96)*('Match Log'!$E$4:$E$810="Win")),'Match Log'!$D$4:$D$810),""))</f>
        <v>Simon + Oscar</v>
      </c>
      <c r="E96" s="128">
        <f>IFERROR(INDEX('Match Log'!$F$4:$F$810,MATCH(72,'Match Log'!$A$4:$A$810,0)),"")</f>
        <v>4</v>
      </c>
      <c r="F96">
        <f>IFERROR(SUMIFS('Match Log'!$I$4:$I$810,'Match Log'!$A$4:$A$810,72,'Match Log'!$E$4:$E$810,"Win"),"")</f>
        <v>0.660377358490566</v>
      </c>
      <c r="G96">
        <f t="shared" si="22"/>
        <v>-1.641509433962264</v>
      </c>
      <c r="H96" t="str">
        <f t="array" ref="H96">IFERROR(IF(COUNTIFS('Match Log'!$A$4:$A$810,$A96,'Match Log'!$E$4:$E$810,"Win")&gt;1,_xlfn.TEXTJOIN(" + ",TRUE,IF(('Match Log'!$A$4:$A$810=$A96)*('Match Log'!$E$4:$E$810="Loss"),'Match Log'!$D$4:$D$810,"")),IF($E96=2,LOOKUP(2,1/(('Match Log'!$A$4:$A$810=$A96)*('Match Log'!$E$4:$E$810="Loss")),'Match Log'!$D$4:$D$810),"the field")),"")</f>
        <v>Cody + Aaron</v>
      </c>
      <c r="I96">
        <f t="shared" si="23"/>
        <v>-1.6415814339622641</v>
      </c>
      <c r="J96">
        <v>72</v>
      </c>
      <c r="K96">
        <f>IF($J96&gt;MAX('Match Log'!$A$4:$A$810),NA(),IFERROR(LOOKUP(2,1/(('Match Log'!$D$4:$D$810=$K$24)*('Match Log'!$A$4:$A$810&lt;=$J96)),'Match Log'!$N$4:$N$810),NA()))</f>
        <v>1023.7594026829813</v>
      </c>
      <c r="L96">
        <f>IF($J96&gt;MAX('Match Log'!$A$4:$A$810),NA(),IFERROR(LOOKUP(2,1/(('Match Log'!$D$4:$D$810=$L$24)*('Match Log'!$A$4:$A$810&lt;=$J96)),'Match Log'!$N$4:$N$810),NA()))</f>
        <v>994.55452889075195</v>
      </c>
      <c r="M96">
        <f>IF($J96&gt;MAX('Match Log'!$A$4:$A$810),NA(),IFERROR(LOOKUP(2,1/(('Match Log'!$D$4:$D$810=$M$24)*('Match Log'!$A$4:$A$810&lt;=$J96)),'Match Log'!$N$4:$N$810),NA()))</f>
        <v>1016.7837867075796</v>
      </c>
      <c r="N96">
        <f>IF($J96&gt;MAX('Match Log'!$A$4:$A$810),NA(),IFERROR(LOOKUP(2,1/(('Match Log'!$D$4:$D$810=$N$24)*('Match Log'!$A$4:$A$810&lt;=$J96)),'Match Log'!$N$4:$N$810),NA()))</f>
        <v>948.03610321390011</v>
      </c>
      <c r="O96">
        <f>IF($J96&gt;MAX('Match Log'!$A$4:$A$810),NA(),IFERROR(LOOKUP(2,1/(('Match Log'!$D$4:$D$810=$O$24)*('Match Log'!$A$4:$A$810&lt;=$J96)),'Match Log'!$N$4:$N$810),NA()))</f>
        <v>1135.6654540973088</v>
      </c>
      <c r="P96">
        <f>IF($J96&gt;MAX('Match Log'!$A$4:$A$810),NA(),IFERROR(LOOKUP(2,1/(('Match Log'!$D$4:$D$810=$P$24)*('Match Log'!$A$4:$A$810&lt;=$J96)),'Match Log'!$N$4:$N$810),NA()))</f>
        <v>1001.511291599808</v>
      </c>
      <c r="Q96">
        <f>IF($J96&gt;MAX('Match Log'!$A$4:$A$810),NA(),IFERROR(LOOKUP(2,1/(('Match Log'!$D$4:$D$810=$Q$24)*('Match Log'!$A$4:$A$810&lt;=$J96)),'Match Log'!$N$4:$N$810),NA()))</f>
        <v>1130.1917963276956</v>
      </c>
      <c r="R96">
        <f>IF($J96&gt;MAX('Match Log'!$A$4:$A$810),NA(),IFERROR(LOOKUP(2,1/(('Match Log'!$D$4:$D$810=$R$24)*('Match Log'!$A$4:$A$810&lt;=$J96)),'Match Log'!$N$4:$N$810),NA()))</f>
        <v>972.5500158693128</v>
      </c>
      <c r="S96">
        <f>IF($J96&gt;MAX('Match Log'!$A$4:$A$810),NA(),IFERROR(LOOKUP(2,1/(('Match Log'!$D$4:$D$810=$S$24)*('Match Log'!$A$4:$A$810&lt;=$J96)),'Match Log'!$N$4:$N$810),NA()))</f>
        <v>1085.5549024997767</v>
      </c>
      <c r="T96">
        <f>IF($J96&gt;MAX('Match Log'!$A$4:$A$810),NA(),IFERROR(LOOKUP(2,1/(('Match Log'!$D$4:$D$810=$T$24)*('Match Log'!$A$4:$A$810&lt;=$J96)),'Match Log'!$N$4:$N$810),NA()))</f>
        <v>909.74082601830435</v>
      </c>
      <c r="U96">
        <f>IF($J96&gt;MAX('Match Log'!$A$4:$A$810),NA(),IFERROR(LOOKUP(2,1/(('Match Log'!$D$4:$D$810=$U$24)*('Match Log'!$A$4:$A$810&lt;=$J96)),'Match Log'!$N$4:$N$810),NA()))</f>
        <v>979.4182926748889</v>
      </c>
      <c r="V96">
        <f>IF($J96&gt;MAX('Match Log'!$A$4:$A$810),NA(),IFERROR(LOOKUP(2,1/(('Match Log'!$D$4:$D$810=$V$24)*('Match Log'!$A$4:$A$810&lt;=$J96)),'Match Log'!$N$4:$N$810),NA()))</f>
        <v>996.23359941769172</v>
      </c>
      <c r="W96" t="e">
        <f>IF($J96&gt;MAX('Match Log'!$A$4:$A$810),NA(),IFERROR(LOOKUP(2,1/(('Match Log'!$D$4:$D$810=$W$24)*('Match Log'!$A$4:$A$810&lt;=$J96)),'Match Log'!$N$4:$N$810),NA()))</f>
        <v>#N/A</v>
      </c>
      <c r="X96" t="e">
        <f>IF($J96&gt;MAX('Match Log'!$A$4:$A$810),NA(),IFERROR(LOOKUP(2,1/(('Match Log'!$D$4:$D$810=$X$24)*('Match Log'!$A$4:$A$810&lt;=$J96)),'Match Log'!$N$4:$N$810),NA()))</f>
        <v>#N/A</v>
      </c>
      <c r="Y96" t="str">
        <f t="shared" ca="1" si="24"/>
        <v/>
      </c>
    </row>
    <row r="97" spans="1:25" ht="15" customHeight="1" x14ac:dyDescent="0.2">
      <c r="A97">
        <v>73</v>
      </c>
      <c r="B97" s="127">
        <f>IFERROR(INDEX('Match Log'!$B$4:$B$810,MATCH(73,'Match Log'!$A$4:$A$810,0)),"")</f>
        <v>46188</v>
      </c>
      <c r="C97" t="str">
        <f>IFERROR(INDEX('Match Log'!$C$4:$C$810,MATCH(73,'Match Log'!$A$4:$A$810,0)),"")</f>
        <v>ShuffleBoard</v>
      </c>
      <c r="D97" t="str">
        <f t="array" ref="D97">IFERROR(_xlfn.TEXTJOIN(" + ",TRUE,IF(('Match Log'!$A$4:$A$810=$A97)*('Match Log'!$E$4:$E$810="Win"),'Match Log'!$D$4:$D$810,"")),IFERROR(LOOKUP(2,1/(('Match Log'!$A$4:$A$810=$A97)*('Match Log'!$E$4:$E$810="Win")),'Match Log'!$D$4:$D$810),""))</f>
        <v>Beau + Dylan A</v>
      </c>
      <c r="E97" s="128">
        <f>IFERROR(INDEX('Match Log'!$F$4:$F$810,MATCH(73,'Match Log'!$A$4:$A$810,0)),"")</f>
        <v>4</v>
      </c>
      <c r="F97">
        <f>IFERROR(SUMIFS('Match Log'!$I$4:$I$810,'Match Log'!$A$4:$A$810,73,'Match Log'!$E$4:$E$810,"Win"),"")</f>
        <v>0.45652173913043481</v>
      </c>
      <c r="G97">
        <f t="shared" si="22"/>
        <v>-0.82608695652173925</v>
      </c>
      <c r="H97" t="str">
        <f t="array" ref="H97">IFERROR(IF(COUNTIFS('Match Log'!$A$4:$A$810,$A97,'Match Log'!$E$4:$E$810,"Win")&gt;1,_xlfn.TEXTJOIN(" + ",TRUE,IF(('Match Log'!$A$4:$A$810=$A97)*('Match Log'!$E$4:$E$810="Loss"),'Match Log'!$D$4:$D$810,"")),IF($E97=2,LOOKUP(2,1/(('Match Log'!$A$4:$A$810=$A97)*('Match Log'!$E$4:$E$810="Loss")),'Match Log'!$D$4:$D$810),"the field")),"")</f>
        <v>Oscar + Simon</v>
      </c>
      <c r="I97">
        <f t="shared" si="23"/>
        <v>-0.82615995652173924</v>
      </c>
      <c r="J97">
        <v>73</v>
      </c>
      <c r="K97">
        <f>IF($J97&gt;MAX('Match Log'!$A$4:$A$810),NA(),IFERROR(LOOKUP(2,1/(('Match Log'!$D$4:$D$810=$K$24)*('Match Log'!$A$4:$A$810&lt;=$J97)),'Match Log'!$N$4:$N$810),NA()))</f>
        <v>1023.7594026829813</v>
      </c>
      <c r="L97">
        <f>IF($J97&gt;MAX('Match Log'!$A$4:$A$810),NA(),IFERROR(LOOKUP(2,1/(('Match Log'!$D$4:$D$810=$L$24)*('Match Log'!$A$4:$A$810&lt;=$J97)),'Match Log'!$N$4:$N$810),NA()))</f>
        <v>1013.2951826648067</v>
      </c>
      <c r="M97">
        <f>IF($J97&gt;MAX('Match Log'!$A$4:$A$810),NA(),IFERROR(LOOKUP(2,1/(('Match Log'!$D$4:$D$810=$M$24)*('Match Log'!$A$4:$A$810&lt;=$J97)),'Match Log'!$N$4:$N$810),NA()))</f>
        <v>1016.7837867075796</v>
      </c>
      <c r="N97">
        <f>IF($J97&gt;MAX('Match Log'!$A$4:$A$810),NA(),IFERROR(LOOKUP(2,1/(('Match Log'!$D$4:$D$810=$N$24)*('Match Log'!$A$4:$A$810&lt;=$J97)),'Match Log'!$N$4:$N$810),NA()))</f>
        <v>948.03610321390011</v>
      </c>
      <c r="O97">
        <f>IF($J97&gt;MAX('Match Log'!$A$4:$A$810),NA(),IFERROR(LOOKUP(2,1/(('Match Log'!$D$4:$D$810=$O$24)*('Match Log'!$A$4:$A$810&lt;=$J97)),'Match Log'!$N$4:$N$810),NA()))</f>
        <v>1135.6654540973088</v>
      </c>
      <c r="P97">
        <f>IF($J97&gt;MAX('Match Log'!$A$4:$A$810),NA(),IFERROR(LOOKUP(2,1/(('Match Log'!$D$4:$D$810=$P$24)*('Match Log'!$A$4:$A$810&lt;=$J97)),'Match Log'!$N$4:$N$810),NA()))</f>
        <v>1001.511291599808</v>
      </c>
      <c r="Q97">
        <f>IF($J97&gt;MAX('Match Log'!$A$4:$A$810),NA(),IFERROR(LOOKUP(2,1/(('Match Log'!$D$4:$D$810=$Q$24)*('Match Log'!$A$4:$A$810&lt;=$J97)),'Match Log'!$N$4:$N$810),NA()))</f>
        <v>1123.212203398283</v>
      </c>
      <c r="R97">
        <f>IF($J97&gt;MAX('Match Log'!$A$4:$A$810),NA(),IFERROR(LOOKUP(2,1/(('Match Log'!$D$4:$D$810=$R$24)*('Match Log'!$A$4:$A$810&lt;=$J97)),'Match Log'!$N$4:$N$810),NA()))</f>
        <v>972.5500158693128</v>
      </c>
      <c r="S97">
        <f>IF($J97&gt;MAX('Match Log'!$A$4:$A$810),NA(),IFERROR(LOOKUP(2,1/(('Match Log'!$D$4:$D$810=$S$24)*('Match Log'!$A$4:$A$810&lt;=$J97)),'Match Log'!$N$4:$N$810),NA()))</f>
        <v>1085.5549024997767</v>
      </c>
      <c r="T97">
        <f>IF($J97&gt;MAX('Match Log'!$A$4:$A$810),NA(),IFERROR(LOOKUP(2,1/(('Match Log'!$D$4:$D$810=$T$24)*('Match Log'!$A$4:$A$810&lt;=$J97)),'Match Log'!$N$4:$N$810),NA()))</f>
        <v>909.74082601830435</v>
      </c>
      <c r="U97">
        <f>IF($J97&gt;MAX('Match Log'!$A$4:$A$810),NA(),IFERROR(LOOKUP(2,1/(('Match Log'!$D$4:$D$810=$U$24)*('Match Log'!$A$4:$A$810&lt;=$J97)),'Match Log'!$N$4:$N$810),NA()))</f>
        <v>976.13396936053971</v>
      </c>
      <c r="V97">
        <f>IF($J97&gt;MAX('Match Log'!$A$4:$A$810),NA(),IFERROR(LOOKUP(2,1/(('Match Log'!$D$4:$D$810=$V$24)*('Match Log'!$A$4:$A$810&lt;=$J97)),'Match Log'!$N$4:$N$810),NA()))</f>
        <v>996.23359941769172</v>
      </c>
      <c r="W97">
        <f>IF($J97&gt;MAX('Match Log'!$A$4:$A$810),NA(),IFERROR(LOOKUP(2,1/(('Match Log'!$D$4:$D$810=$W$24)*('Match Log'!$A$4:$A$810&lt;=$J97)),'Match Log'!$N$4:$N$810),NA()))</f>
        <v>1019.523262469707</v>
      </c>
      <c r="X97" t="e">
        <f>IF($J97&gt;MAX('Match Log'!$A$4:$A$810),NA(),IFERROR(LOOKUP(2,1/(('Match Log'!$D$4:$D$810=$X$24)*('Match Log'!$A$4:$A$810&lt;=$J97)),'Match Log'!$N$4:$N$810),NA()))</f>
        <v>#N/A</v>
      </c>
      <c r="Y97" t="str">
        <f t="shared" ca="1" si="24"/>
        <v/>
      </c>
    </row>
    <row r="98" spans="1:25" ht="15" customHeight="1" x14ac:dyDescent="0.2">
      <c r="A98">
        <v>74</v>
      </c>
      <c r="B98" s="127">
        <f>IFERROR(INDEX('Match Log'!$B$4:$B$810,MATCH(74,'Match Log'!$A$4:$A$810,0)),"")</f>
        <v>46188</v>
      </c>
      <c r="C98" t="str">
        <f>IFERROR(INDEX('Match Log'!$C$4:$C$810,MATCH(74,'Match Log'!$A$4:$A$810,0)),"")</f>
        <v>ShuffleBoard</v>
      </c>
      <c r="D98" t="str">
        <f t="array" ref="D98">IFERROR(_xlfn.TEXTJOIN(" + ",TRUE,IF(('Match Log'!$A$4:$A$810=$A98)*('Match Log'!$E$4:$E$810="Win"),'Match Log'!$D$4:$D$810,"")),IFERROR(LOOKUP(2,1/(('Match Log'!$A$4:$A$810=$A98)*('Match Log'!$E$4:$E$810="Win")),'Match Log'!$D$4:$D$810),""))</f>
        <v>Josh + Shawn</v>
      </c>
      <c r="E98" s="128">
        <f>IFERROR(INDEX('Match Log'!$F$4:$F$810,MATCH(74,'Match Log'!$A$4:$A$810,0)),"")</f>
        <v>4</v>
      </c>
      <c r="F98">
        <f>IFERROR(SUMIFS('Match Log'!$I$4:$I$810,'Match Log'!$A$4:$A$810,74,'Match Log'!$E$4:$E$810,"Win"),"")</f>
        <v>0.38848920863309355</v>
      </c>
      <c r="G98">
        <f t="shared" si="22"/>
        <v>-0.55395683453237421</v>
      </c>
      <c r="H98" t="str">
        <f t="array" ref="H98">IFERROR(IF(COUNTIFS('Match Log'!$A$4:$A$810,$A98,'Match Log'!$E$4:$E$810,"Win")&gt;1,_xlfn.TEXTJOIN(" + ",TRUE,IF(('Match Log'!$A$4:$A$810=$A98)*('Match Log'!$E$4:$E$810="Loss"),'Match Log'!$D$4:$D$810,"")),IF($E98=2,LOOKUP(2,1/(('Match Log'!$A$4:$A$810=$A98)*('Match Log'!$E$4:$E$810="Loss")),'Match Log'!$D$4:$D$810),"the field")),"")</f>
        <v>Dylan A + Beau</v>
      </c>
      <c r="I98">
        <f t="shared" si="23"/>
        <v>-0.55403083453237423</v>
      </c>
      <c r="J98">
        <v>74</v>
      </c>
      <c r="K98">
        <f>IF($J98&gt;MAX('Match Log'!$A$4:$A$810),NA(),IFERROR(LOOKUP(2,1/(('Match Log'!$D$4:$D$810=$K$24)*('Match Log'!$A$4:$A$810&lt;=$J98)),'Match Log'!$N$4:$N$810),NA()))</f>
        <v>1023.7594026829813</v>
      </c>
      <c r="L98">
        <f>IF($J98&gt;MAX('Match Log'!$A$4:$A$810),NA(),IFERROR(LOOKUP(2,1/(('Match Log'!$D$4:$D$810=$L$24)*('Match Log'!$A$4:$A$810&lt;=$J98)),'Match Log'!$N$4:$N$810),NA()))</f>
        <v>1008.4472093066528</v>
      </c>
      <c r="M98">
        <f>IF($J98&gt;MAX('Match Log'!$A$4:$A$810),NA(),IFERROR(LOOKUP(2,1/(('Match Log'!$D$4:$D$810=$M$24)*('Match Log'!$A$4:$A$810&lt;=$J98)),'Match Log'!$N$4:$N$810),NA()))</f>
        <v>1016.7837867075796</v>
      </c>
      <c r="N98">
        <f>IF($J98&gt;MAX('Match Log'!$A$4:$A$810),NA(),IFERROR(LOOKUP(2,1/(('Match Log'!$D$4:$D$810=$N$24)*('Match Log'!$A$4:$A$810&lt;=$J98)),'Match Log'!$N$4:$N$810),NA()))</f>
        <v>948.03610321390011</v>
      </c>
      <c r="O98">
        <f>IF($J98&gt;MAX('Match Log'!$A$4:$A$810),NA(),IFERROR(LOOKUP(2,1/(('Match Log'!$D$4:$D$810=$O$24)*('Match Log'!$A$4:$A$810&lt;=$J98)),'Match Log'!$N$4:$N$810),NA()))</f>
        <v>1154.5683744118867</v>
      </c>
      <c r="P98">
        <f>IF($J98&gt;MAX('Match Log'!$A$4:$A$810),NA(),IFERROR(LOOKUP(2,1/(('Match Log'!$D$4:$D$810=$P$24)*('Match Log'!$A$4:$A$810&lt;=$J98)),'Match Log'!$N$4:$N$810),NA()))</f>
        <v>1019.8962263028751</v>
      </c>
      <c r="Q98">
        <f>IF($J98&gt;MAX('Match Log'!$A$4:$A$810),NA(),IFERROR(LOOKUP(2,1/(('Match Log'!$D$4:$D$810=$Q$24)*('Match Log'!$A$4:$A$810&lt;=$J98)),'Match Log'!$N$4:$N$810),NA()))</f>
        <v>1123.212203398283</v>
      </c>
      <c r="R98">
        <f>IF($J98&gt;MAX('Match Log'!$A$4:$A$810),NA(),IFERROR(LOOKUP(2,1/(('Match Log'!$D$4:$D$810=$R$24)*('Match Log'!$A$4:$A$810&lt;=$J98)),'Match Log'!$N$4:$N$810),NA()))</f>
        <v>972.5500158693128</v>
      </c>
      <c r="S98">
        <f>IF($J98&gt;MAX('Match Log'!$A$4:$A$810),NA(),IFERROR(LOOKUP(2,1/(('Match Log'!$D$4:$D$810=$S$24)*('Match Log'!$A$4:$A$810&lt;=$J98)),'Match Log'!$N$4:$N$810),NA()))</f>
        <v>1085.5549024997767</v>
      </c>
      <c r="T98">
        <f>IF($J98&gt;MAX('Match Log'!$A$4:$A$810),NA(),IFERROR(LOOKUP(2,1/(('Match Log'!$D$4:$D$810=$T$24)*('Match Log'!$A$4:$A$810&lt;=$J98)),'Match Log'!$N$4:$N$810),NA()))</f>
        <v>909.74082601830435</v>
      </c>
      <c r="U98">
        <f>IF($J98&gt;MAX('Match Log'!$A$4:$A$810),NA(),IFERROR(LOOKUP(2,1/(('Match Log'!$D$4:$D$810=$U$24)*('Match Log'!$A$4:$A$810&lt;=$J98)),'Match Log'!$N$4:$N$810),NA()))</f>
        <v>976.13396936053971</v>
      </c>
      <c r="V98">
        <f>IF($J98&gt;MAX('Match Log'!$A$4:$A$810),NA(),IFERROR(LOOKUP(2,1/(('Match Log'!$D$4:$D$810=$V$24)*('Match Log'!$A$4:$A$810&lt;=$J98)),'Match Log'!$N$4:$N$810),NA()))</f>
        <v>996.23359941769172</v>
      </c>
      <c r="W98">
        <f>IF($J98&gt;MAX('Match Log'!$A$4:$A$810),NA(),IFERROR(LOOKUP(2,1/(('Match Log'!$D$4:$D$810=$W$24)*('Match Log'!$A$4:$A$810&lt;=$J98)),'Match Log'!$N$4:$N$810),NA()))</f>
        <v>1015.0833808102159</v>
      </c>
      <c r="X98" t="e">
        <f>IF($J98&gt;MAX('Match Log'!$A$4:$A$810),NA(),IFERROR(LOOKUP(2,1/(('Match Log'!$D$4:$D$810=$X$24)*('Match Log'!$A$4:$A$810&lt;=$J98)),'Match Log'!$N$4:$N$810),NA()))</f>
        <v>#N/A</v>
      </c>
      <c r="Y98" t="str">
        <f t="shared" ca="1" si="24"/>
        <v/>
      </c>
    </row>
    <row r="99" spans="1:25" ht="15" customHeight="1" x14ac:dyDescent="0.2">
      <c r="A99">
        <v>75</v>
      </c>
      <c r="B99" s="127">
        <f>IFERROR(INDEX('Match Log'!$B$4:$B$810,MATCH(75,'Match Log'!$A$4:$A$810,0)),"")</f>
        <v>46188</v>
      </c>
      <c r="C99" t="str">
        <f>IFERROR(INDEX('Match Log'!$C$4:$C$810,MATCH(75,'Match Log'!$A$4:$A$810,0)),"")</f>
        <v>ShuffleBoard</v>
      </c>
      <c r="D99" t="str">
        <f t="array" ref="D99">IFERROR(_xlfn.TEXTJOIN(" + ",TRUE,IF(('Match Log'!$A$4:$A$810=$A99)*('Match Log'!$E$4:$E$810="Win"),'Match Log'!$D$4:$D$810,"")),IFERROR(LOOKUP(2,1/(('Match Log'!$A$4:$A$810=$A99)*('Match Log'!$E$4:$E$810="Win")),'Match Log'!$D$4:$D$810),""))</f>
        <v>Dean B + Daniel (Ferret)</v>
      </c>
      <c r="E99" s="128">
        <f>IFERROR(INDEX('Match Log'!$F$4:$F$810,MATCH(75,'Match Log'!$A$4:$A$810,0)),"")</f>
        <v>4</v>
      </c>
      <c r="F99">
        <f>IFERROR(SUMIFS('Match Log'!$I$4:$I$810,'Match Log'!$A$4:$A$810,75,'Match Log'!$E$4:$E$810,"Win"),"")</f>
        <v>0.44237918215613381</v>
      </c>
      <c r="G99">
        <f t="shared" si="22"/>
        <v>-0.76951672862453524</v>
      </c>
      <c r="H99" t="str">
        <f t="array" ref="H99">IFERROR(IF(COUNTIFS('Match Log'!$A$4:$A$810,$A99,'Match Log'!$E$4:$E$810,"Win")&gt;1,_xlfn.TEXTJOIN(" + ",TRUE,IF(('Match Log'!$A$4:$A$810=$A99)*('Match Log'!$E$4:$E$810="Loss"),'Match Log'!$D$4:$D$810,"")),IF($E99=2,LOOKUP(2,1/(('Match Log'!$A$4:$A$810=$A99)*('Match Log'!$E$4:$E$810="Loss")),'Match Log'!$D$4:$D$810),"the field")),"")</f>
        <v>Josh + Shawn</v>
      </c>
      <c r="I99">
        <f t="shared" si="23"/>
        <v>-0.76959172862453529</v>
      </c>
      <c r="J99">
        <v>75</v>
      </c>
      <c r="K99">
        <f>IF($J99&gt;MAX('Match Log'!$A$4:$A$810),NA(),IFERROR(LOOKUP(2,1/(('Match Log'!$D$4:$D$810=$K$24)*('Match Log'!$A$4:$A$810&lt;=$J99)),'Match Log'!$N$4:$N$810),NA()))</f>
        <v>1023.7594026829813</v>
      </c>
      <c r="L99">
        <f>IF($J99&gt;MAX('Match Log'!$A$4:$A$810),NA(),IFERROR(LOOKUP(2,1/(('Match Log'!$D$4:$D$810=$L$24)*('Match Log'!$A$4:$A$810&lt;=$J99)),'Match Log'!$N$4:$N$810),NA()))</f>
        <v>1008.4472093066528</v>
      </c>
      <c r="M99">
        <f>IF($J99&gt;MAX('Match Log'!$A$4:$A$810),NA(),IFERROR(LOOKUP(2,1/(('Match Log'!$D$4:$D$810=$M$24)*('Match Log'!$A$4:$A$810&lt;=$J99)),'Match Log'!$N$4:$N$810),NA()))</f>
        <v>1016.7837867075796</v>
      </c>
      <c r="N99">
        <f>IF($J99&gt;MAX('Match Log'!$A$4:$A$810),NA(),IFERROR(LOOKUP(2,1/(('Match Log'!$D$4:$D$810=$N$24)*('Match Log'!$A$4:$A$810&lt;=$J99)),'Match Log'!$N$4:$N$810),NA()))</f>
        <v>948.03610321390011</v>
      </c>
      <c r="O99">
        <f>IF($J99&gt;MAX('Match Log'!$A$4:$A$810),NA(),IFERROR(LOOKUP(2,1/(('Match Log'!$D$4:$D$810=$O$24)*('Match Log'!$A$4:$A$810&lt;=$J99)),'Match Log'!$N$4:$N$810),NA()))</f>
        <v>1149.159920014753</v>
      </c>
      <c r="P99">
        <f>IF($J99&gt;MAX('Match Log'!$A$4:$A$810),NA(),IFERROR(LOOKUP(2,1/(('Match Log'!$D$4:$D$810=$P$24)*('Match Log'!$A$4:$A$810&lt;=$J99)),'Match Log'!$N$4:$N$810),NA()))</f>
        <v>1015.0898285777957</v>
      </c>
      <c r="Q99">
        <f>IF($J99&gt;MAX('Match Log'!$A$4:$A$810),NA(),IFERROR(LOOKUP(2,1/(('Match Log'!$D$4:$D$810=$Q$24)*('Match Log'!$A$4:$A$810&lt;=$J99)),'Match Log'!$N$4:$N$810),NA()))</f>
        <v>1123.212203398283</v>
      </c>
      <c r="R99">
        <f>IF($J99&gt;MAX('Match Log'!$A$4:$A$810),NA(),IFERROR(LOOKUP(2,1/(('Match Log'!$D$4:$D$810=$R$24)*('Match Log'!$A$4:$A$810&lt;=$J99)),'Match Log'!$N$4:$N$810),NA()))</f>
        <v>992.75037873339329</v>
      </c>
      <c r="S99">
        <f>IF($J99&gt;MAX('Match Log'!$A$4:$A$810),NA(),IFERROR(LOOKUP(2,1/(('Match Log'!$D$4:$D$810=$S$24)*('Match Log'!$A$4:$A$810&lt;=$J99)),'Match Log'!$N$4:$N$810),NA()))</f>
        <v>1103.5693917579094</v>
      </c>
      <c r="T99">
        <f>IF($J99&gt;MAX('Match Log'!$A$4:$A$810),NA(),IFERROR(LOOKUP(2,1/(('Match Log'!$D$4:$D$810=$T$24)*('Match Log'!$A$4:$A$810&lt;=$J99)),'Match Log'!$N$4:$N$810),NA()))</f>
        <v>909.74082601830435</v>
      </c>
      <c r="U99">
        <f>IF($J99&gt;MAX('Match Log'!$A$4:$A$810),NA(),IFERROR(LOOKUP(2,1/(('Match Log'!$D$4:$D$810=$U$24)*('Match Log'!$A$4:$A$810&lt;=$J99)),'Match Log'!$N$4:$N$810),NA()))</f>
        <v>976.13396936053971</v>
      </c>
      <c r="V99">
        <f>IF($J99&gt;MAX('Match Log'!$A$4:$A$810),NA(),IFERROR(LOOKUP(2,1/(('Match Log'!$D$4:$D$810=$V$24)*('Match Log'!$A$4:$A$810&lt;=$J99)),'Match Log'!$N$4:$N$810),NA()))</f>
        <v>996.23359941769172</v>
      </c>
      <c r="W99">
        <f>IF($J99&gt;MAX('Match Log'!$A$4:$A$810),NA(),IFERROR(LOOKUP(2,1/(('Match Log'!$D$4:$D$810=$W$24)*('Match Log'!$A$4:$A$810&lt;=$J99)),'Match Log'!$N$4:$N$810),NA()))</f>
        <v>1015.0833808102159</v>
      </c>
      <c r="X99" t="e">
        <f>IF($J99&gt;MAX('Match Log'!$A$4:$A$810),NA(),IFERROR(LOOKUP(2,1/(('Match Log'!$D$4:$D$810=$X$24)*('Match Log'!$A$4:$A$810&lt;=$J99)),'Match Log'!$N$4:$N$810),NA()))</f>
        <v>#N/A</v>
      </c>
      <c r="Y99" t="str">
        <f t="shared" ca="1" si="24"/>
        <v/>
      </c>
    </row>
    <row r="100" spans="1:25" ht="15" customHeight="1" x14ac:dyDescent="0.2">
      <c r="A100">
        <v>76</v>
      </c>
      <c r="B100" s="127">
        <f>IFERROR(INDEX('Match Log'!$B$4:$B$810,MATCH(76,'Match Log'!$A$4:$A$810,0)),"")</f>
        <v>46188</v>
      </c>
      <c r="C100" t="str">
        <f>IFERROR(INDEX('Match Log'!$C$4:$C$810,MATCH(76,'Match Log'!$A$4:$A$810,0)),"")</f>
        <v>ShuffleBoard</v>
      </c>
      <c r="D100" t="str">
        <f t="array" ref="D100">IFERROR(_xlfn.TEXTJOIN(" + ",TRUE,IF(('Match Log'!$A$4:$A$810=$A100)*('Match Log'!$E$4:$E$810="Win"),'Match Log'!$D$4:$D$810,"")),IFERROR(LOOKUP(2,1/(('Match Log'!$A$4:$A$810=$A100)*('Match Log'!$E$4:$E$810="Win")),'Match Log'!$D$4:$D$810),""))</f>
        <v>Dean B + Daniel (Ferret)</v>
      </c>
      <c r="E100" s="128">
        <f>IFERROR(INDEX('Match Log'!$F$4:$F$810,MATCH(76,'Match Log'!$A$4:$A$810,0)),"")</f>
        <v>4</v>
      </c>
      <c r="F100">
        <f>IFERROR(SUMIFS('Match Log'!$I$4:$I$810,'Match Log'!$A$4:$A$810,76,'Match Log'!$E$4:$E$810,"Win"),"")</f>
        <v>0.59259259259259256</v>
      </c>
      <c r="G100">
        <f t="shared" si="22"/>
        <v>-1.3703703703703702</v>
      </c>
      <c r="H100" t="str">
        <f t="array" ref="H100">IFERROR(IF(COUNTIFS('Match Log'!$A$4:$A$810,$A100,'Match Log'!$E$4:$E$810,"Win")&gt;1,_xlfn.TEXTJOIN(" + ",TRUE,IF(('Match Log'!$A$4:$A$810=$A100)*('Match Log'!$E$4:$E$810="Loss"),'Match Log'!$D$4:$D$810,"")),IF($E100=2,LOOKUP(2,1/(('Match Log'!$A$4:$A$810=$A100)*('Match Log'!$E$4:$E$810="Loss")),'Match Log'!$D$4:$D$810),"the field")),"")</f>
        <v>David + Dean M</v>
      </c>
      <c r="I100">
        <f t="shared" si="23"/>
        <v>-1.3704463703703702</v>
      </c>
      <c r="J100">
        <v>76</v>
      </c>
      <c r="K100">
        <f>IF($J100&gt;MAX('Match Log'!$A$4:$A$810),NA(),IFERROR(LOOKUP(2,1/(('Match Log'!$D$4:$D$810=$K$24)*('Match Log'!$A$4:$A$810&lt;=$J100)),'Match Log'!$N$4:$N$810),NA()))</f>
        <v>1023.7594026829813</v>
      </c>
      <c r="L100">
        <f>IF($J100&gt;MAX('Match Log'!$A$4:$A$810),NA(),IFERROR(LOOKUP(2,1/(('Match Log'!$D$4:$D$810=$L$24)*('Match Log'!$A$4:$A$810&lt;=$J100)),'Match Log'!$N$4:$N$810),NA()))</f>
        <v>1008.4472093066528</v>
      </c>
      <c r="M100">
        <f>IF($J100&gt;MAX('Match Log'!$A$4:$A$810),NA(),IFERROR(LOOKUP(2,1/(('Match Log'!$D$4:$D$810=$M$24)*('Match Log'!$A$4:$A$810&lt;=$J100)),'Match Log'!$N$4:$N$810),NA()))</f>
        <v>1016.7837867075796</v>
      </c>
      <c r="N100">
        <f>IF($J100&gt;MAX('Match Log'!$A$4:$A$810),NA(),IFERROR(LOOKUP(2,1/(('Match Log'!$D$4:$D$810=$N$24)*('Match Log'!$A$4:$A$810&lt;=$J100)),'Match Log'!$N$4:$N$810),NA()))</f>
        <v>945.02062066151154</v>
      </c>
      <c r="O100">
        <f>IF($J100&gt;MAX('Match Log'!$A$4:$A$810),NA(),IFERROR(LOOKUP(2,1/(('Match Log'!$D$4:$D$810=$O$24)*('Match Log'!$A$4:$A$810&lt;=$J100)),'Match Log'!$N$4:$N$810),NA()))</f>
        <v>1149.159920014753</v>
      </c>
      <c r="P100">
        <f>IF($J100&gt;MAX('Match Log'!$A$4:$A$810),NA(),IFERROR(LOOKUP(2,1/(('Match Log'!$D$4:$D$810=$P$24)*('Match Log'!$A$4:$A$810&lt;=$J100)),'Match Log'!$N$4:$N$810),NA()))</f>
        <v>1015.0898285777957</v>
      </c>
      <c r="Q100">
        <f>IF($J100&gt;MAX('Match Log'!$A$4:$A$810),NA(),IFERROR(LOOKUP(2,1/(('Match Log'!$D$4:$D$810=$Q$24)*('Match Log'!$A$4:$A$810&lt;=$J100)),'Match Log'!$N$4:$N$810),NA()))</f>
        <v>1123.212203398283</v>
      </c>
      <c r="R100">
        <f>IF($J100&gt;MAX('Match Log'!$A$4:$A$810),NA(),IFERROR(LOOKUP(2,1/(('Match Log'!$D$4:$D$810=$R$24)*('Match Log'!$A$4:$A$810&lt;=$J100)),'Match Log'!$N$4:$N$810),NA()))</f>
        <v>1010.6611047417879</v>
      </c>
      <c r="S100">
        <f>IF($J100&gt;MAX('Match Log'!$A$4:$A$810),NA(),IFERROR(LOOKUP(2,1/(('Match Log'!$D$4:$D$810=$S$24)*('Match Log'!$A$4:$A$810&lt;=$J100)),'Match Log'!$N$4:$N$810),NA()))</f>
        <v>1119.7023399885263</v>
      </c>
      <c r="T100">
        <f>IF($J100&gt;MAX('Match Log'!$A$4:$A$810),NA(),IFERROR(LOOKUP(2,1/(('Match Log'!$D$4:$D$810=$T$24)*('Match Log'!$A$4:$A$810&lt;=$J100)),'Match Log'!$N$4:$N$810),NA()))</f>
        <v>909.74082601830435</v>
      </c>
      <c r="U100">
        <f>IF($J100&gt;MAX('Match Log'!$A$4:$A$810),NA(),IFERROR(LOOKUP(2,1/(('Match Log'!$D$4:$D$810=$U$24)*('Match Log'!$A$4:$A$810&lt;=$J100)),'Match Log'!$N$4:$N$810),NA()))</f>
        <v>976.13396936053971</v>
      </c>
      <c r="V100">
        <f>IF($J100&gt;MAX('Match Log'!$A$4:$A$810),NA(),IFERROR(LOOKUP(2,1/(('Match Log'!$D$4:$D$810=$V$24)*('Match Log'!$A$4:$A$810&lt;=$J100)),'Match Log'!$N$4:$N$810),NA()))</f>
        <v>993.20540773106882</v>
      </c>
      <c r="W100">
        <f>IF($J100&gt;MAX('Match Log'!$A$4:$A$810),NA(),IFERROR(LOOKUP(2,1/(('Match Log'!$D$4:$D$810=$W$24)*('Match Log'!$A$4:$A$810&lt;=$J100)),'Match Log'!$N$4:$N$810),NA()))</f>
        <v>1015.0833808102159</v>
      </c>
      <c r="X100" t="e">
        <f>IF($J100&gt;MAX('Match Log'!$A$4:$A$810),NA(),IFERROR(LOOKUP(2,1/(('Match Log'!$D$4:$D$810=$X$24)*('Match Log'!$A$4:$A$810&lt;=$J100)),'Match Log'!$N$4:$N$810),NA()))</f>
        <v>#N/A</v>
      </c>
      <c r="Y100" t="str">
        <f t="shared" ca="1" si="24"/>
        <v/>
      </c>
    </row>
    <row r="101" spans="1:25" ht="15" customHeight="1" x14ac:dyDescent="0.2">
      <c r="A101">
        <v>77</v>
      </c>
      <c r="B101" s="127">
        <f>IFERROR(INDEX('Match Log'!$B$4:$B$810,MATCH(77,'Match Log'!$A$4:$A$810,0)),"")</f>
        <v>46188</v>
      </c>
      <c r="C101" t="str">
        <f>IFERROR(INDEX('Match Log'!$C$4:$C$810,MATCH(77,'Match Log'!$A$4:$A$810,0)),"")</f>
        <v>ShuffleBoard</v>
      </c>
      <c r="D101" t="str">
        <f t="array" ref="D101">IFERROR(_xlfn.TEXTJOIN(" + ",TRUE,IF(('Match Log'!$A$4:$A$810=$A101)*('Match Log'!$E$4:$E$810="Win"),'Match Log'!$D$4:$D$810,"")),IFERROR(LOOKUP(2,1/(('Match Log'!$A$4:$A$810=$A101)*('Match Log'!$E$4:$E$810="Win")),'Match Log'!$D$4:$D$810),""))</f>
        <v>Dean B + Daniel (Ferret)</v>
      </c>
      <c r="E101" s="128">
        <f>IFERROR(INDEX('Match Log'!$F$4:$F$810,MATCH(77,'Match Log'!$A$4:$A$810,0)),"")</f>
        <v>4</v>
      </c>
      <c r="F101">
        <f>IFERROR(SUMIFS('Match Log'!$I$4:$I$810,'Match Log'!$A$4:$A$810,77,'Match Log'!$E$4:$E$810,"Win"),"")</f>
        <v>0.67864271457085823</v>
      </c>
      <c r="G101">
        <f t="shared" si="22"/>
        <v>-1.7145708582834329</v>
      </c>
      <c r="H101" t="str">
        <f t="array" ref="H101">IFERROR(IF(COUNTIFS('Match Log'!$A$4:$A$810,$A101,'Match Log'!$E$4:$E$810,"Win")&gt;1,_xlfn.TEXTJOIN(" + ",TRUE,IF(('Match Log'!$A$4:$A$810=$A101)*('Match Log'!$E$4:$E$810="Loss"),'Match Log'!$D$4:$D$810,"")),IF($E101=2,LOOKUP(2,1/(('Match Log'!$A$4:$A$810=$A101)*('Match Log'!$E$4:$E$810="Loss")),'Match Log'!$D$4:$D$810),"the field")),"")</f>
        <v>Cody + Aaron</v>
      </c>
      <c r="I101">
        <f t="shared" si="23"/>
        <v>-1.714647858283433</v>
      </c>
      <c r="J101">
        <v>77</v>
      </c>
      <c r="K101">
        <f>IF($J101&gt;MAX('Match Log'!$A$4:$A$810),NA(),IFERROR(LOOKUP(2,1/(('Match Log'!$D$4:$D$810=$K$24)*('Match Log'!$A$4:$A$810&lt;=$J101)),'Match Log'!$N$4:$N$810),NA()))</f>
        <v>1021.6686831011822</v>
      </c>
      <c r="L101">
        <f>IF($J101&gt;MAX('Match Log'!$A$4:$A$810),NA(),IFERROR(LOOKUP(2,1/(('Match Log'!$D$4:$D$810=$L$24)*('Match Log'!$A$4:$A$810&lt;=$J101)),'Match Log'!$N$4:$N$810),NA()))</f>
        <v>1008.4472093066528</v>
      </c>
      <c r="M101">
        <f>IF($J101&gt;MAX('Match Log'!$A$4:$A$810),NA(),IFERROR(LOOKUP(2,1/(('Match Log'!$D$4:$D$810=$M$24)*('Match Log'!$A$4:$A$810&lt;=$J101)),'Match Log'!$N$4:$N$810),NA()))</f>
        <v>1016.7837867075796</v>
      </c>
      <c r="N101">
        <f>IF($J101&gt;MAX('Match Log'!$A$4:$A$810),NA(),IFERROR(LOOKUP(2,1/(('Match Log'!$D$4:$D$810=$N$24)*('Match Log'!$A$4:$A$810&lt;=$J101)),'Match Log'!$N$4:$N$810),NA()))</f>
        <v>945.02062066151154</v>
      </c>
      <c r="O101">
        <f>IF($J101&gt;MAX('Match Log'!$A$4:$A$810),NA(),IFERROR(LOOKUP(2,1/(('Match Log'!$D$4:$D$810=$O$24)*('Match Log'!$A$4:$A$810&lt;=$J101)),'Match Log'!$N$4:$N$810),NA()))</f>
        <v>1149.159920014753</v>
      </c>
      <c r="P101">
        <f>IF($J101&gt;MAX('Match Log'!$A$4:$A$810),NA(),IFERROR(LOOKUP(2,1/(('Match Log'!$D$4:$D$810=$P$24)*('Match Log'!$A$4:$A$810&lt;=$J101)),'Match Log'!$N$4:$N$810),NA()))</f>
        <v>1015.0898285777957</v>
      </c>
      <c r="Q101">
        <f>IF($J101&gt;MAX('Match Log'!$A$4:$A$810),NA(),IFERROR(LOOKUP(2,1/(('Match Log'!$D$4:$D$810=$Q$24)*('Match Log'!$A$4:$A$810&lt;=$J101)),'Match Log'!$N$4:$N$810),NA()))</f>
        <v>1123.212203398283</v>
      </c>
      <c r="R101">
        <f>IF($J101&gt;MAX('Match Log'!$A$4:$A$810),NA(),IFERROR(LOOKUP(2,1/(('Match Log'!$D$4:$D$810=$R$24)*('Match Log'!$A$4:$A$810&lt;=$J101)),'Match Log'!$N$4:$N$810),NA()))</f>
        <v>1027.6724515565552</v>
      </c>
      <c r="S101">
        <f>IF($J101&gt;MAX('Match Log'!$A$4:$A$810),NA(),IFERROR(LOOKUP(2,1/(('Match Log'!$D$4:$D$810=$S$24)*('Match Log'!$A$4:$A$810&lt;=$J101)),'Match Log'!$N$4:$N$810),NA()))</f>
        <v>1135.2765610547908</v>
      </c>
      <c r="T101">
        <f>IF($J101&gt;MAX('Match Log'!$A$4:$A$810),NA(),IFERROR(LOOKUP(2,1/(('Match Log'!$D$4:$D$810=$T$24)*('Match Log'!$A$4:$A$810&lt;=$J101)),'Match Log'!$N$4:$N$810),NA()))</f>
        <v>907.24597771907167</v>
      </c>
      <c r="U101">
        <f>IF($J101&gt;MAX('Match Log'!$A$4:$A$810),NA(),IFERROR(LOOKUP(2,1/(('Match Log'!$D$4:$D$810=$U$24)*('Match Log'!$A$4:$A$810&lt;=$J101)),'Match Log'!$N$4:$N$810),NA()))</f>
        <v>976.13396936053971</v>
      </c>
      <c r="V101">
        <f>IF($J101&gt;MAX('Match Log'!$A$4:$A$810),NA(),IFERROR(LOOKUP(2,1/(('Match Log'!$D$4:$D$810=$V$24)*('Match Log'!$A$4:$A$810&lt;=$J101)),'Match Log'!$N$4:$N$810),NA()))</f>
        <v>993.20540773106882</v>
      </c>
      <c r="W101">
        <f>IF($J101&gt;MAX('Match Log'!$A$4:$A$810),NA(),IFERROR(LOOKUP(2,1/(('Match Log'!$D$4:$D$810=$W$24)*('Match Log'!$A$4:$A$810&lt;=$J101)),'Match Log'!$N$4:$N$810),NA()))</f>
        <v>1015.0833808102159</v>
      </c>
      <c r="X101" t="e">
        <f>IF($J101&gt;MAX('Match Log'!$A$4:$A$810),NA(),IFERROR(LOOKUP(2,1/(('Match Log'!$D$4:$D$810=$X$24)*('Match Log'!$A$4:$A$810&lt;=$J101)),'Match Log'!$N$4:$N$810),NA()))</f>
        <v>#N/A</v>
      </c>
      <c r="Y101" t="str">
        <f t="shared" ca="1" si="24"/>
        <v/>
      </c>
    </row>
    <row r="102" spans="1:25" ht="15" customHeight="1" x14ac:dyDescent="0.2">
      <c r="A102">
        <v>78</v>
      </c>
      <c r="B102" s="127">
        <f>IFERROR(INDEX('Match Log'!$B$4:$B$810,MATCH(78,'Match Log'!$A$4:$A$810,0)),"")</f>
        <v>46188</v>
      </c>
      <c r="C102" t="str">
        <f>IFERROR(INDEX('Match Log'!$C$4:$C$810,MATCH(78,'Match Log'!$A$4:$A$810,0)),"")</f>
        <v>ShuffleBoard</v>
      </c>
      <c r="D102" t="str">
        <f t="array" ref="D102">IFERROR(_xlfn.TEXTJOIN(" + ",TRUE,IF(('Match Log'!$A$4:$A$810=$A102)*('Match Log'!$E$4:$E$810="Win"),'Match Log'!$D$4:$D$810,"")),IFERROR(LOOKUP(2,1/(('Match Log'!$A$4:$A$810=$A102)*('Match Log'!$E$4:$E$810="Win")),'Match Log'!$D$4:$D$810),""))</f>
        <v>Beau + Dylan A</v>
      </c>
      <c r="E102" s="128">
        <f>IFERROR(INDEX('Match Log'!$F$4:$F$810,MATCH(78,'Match Log'!$A$4:$A$810,0)),"")</f>
        <v>4</v>
      </c>
      <c r="F102">
        <f>IFERROR(SUMIFS('Match Log'!$I$4:$I$810,'Match Log'!$A$4:$A$810,78,'Match Log'!$E$4:$E$810,"Win"),"")</f>
        <v>0.45427728613569318</v>
      </c>
      <c r="G102">
        <f t="shared" si="22"/>
        <v>-0.81710914454277273</v>
      </c>
      <c r="H102" t="str">
        <f t="array" ref="H102">IFERROR(IF(COUNTIFS('Match Log'!$A$4:$A$810,$A102,'Match Log'!$E$4:$E$810,"Win")&gt;1,_xlfn.TEXTJOIN(" + ",TRUE,IF(('Match Log'!$A$4:$A$810=$A102)*('Match Log'!$E$4:$E$810="Loss"),'Match Log'!$D$4:$D$810,"")),IF($E102=2,LOOKUP(2,1/(('Match Log'!$A$4:$A$810=$A102)*('Match Log'!$E$4:$E$810="Loss")),'Match Log'!$D$4:$D$810),"the field")),"")</f>
        <v>Dean B + Daniel (Ferret)</v>
      </c>
      <c r="I102">
        <f t="shared" si="23"/>
        <v>-0.81718714454277275</v>
      </c>
      <c r="J102">
        <v>78</v>
      </c>
      <c r="K102">
        <f>IF($J102&gt;MAX('Match Log'!$A$4:$A$810),NA(),IFERROR(LOOKUP(2,1/(('Match Log'!$D$4:$D$810=$K$24)*('Match Log'!$A$4:$A$810&lt;=$J102)),'Match Log'!$N$4:$N$810),NA()))</f>
        <v>1021.6686831011822</v>
      </c>
      <c r="L102">
        <f>IF($J102&gt;MAX('Match Log'!$A$4:$A$810),NA(),IFERROR(LOOKUP(2,1/(('Match Log'!$D$4:$D$810=$L$24)*('Match Log'!$A$4:$A$810&lt;=$J102)),'Match Log'!$N$4:$N$810),NA()))</f>
        <v>1027.3576150733875</v>
      </c>
      <c r="M102">
        <f>IF($J102&gt;MAX('Match Log'!$A$4:$A$810),NA(),IFERROR(LOOKUP(2,1/(('Match Log'!$D$4:$D$810=$M$24)*('Match Log'!$A$4:$A$810&lt;=$J102)),'Match Log'!$N$4:$N$810),NA()))</f>
        <v>1016.7837867075796</v>
      </c>
      <c r="N102">
        <f>IF($J102&gt;MAX('Match Log'!$A$4:$A$810),NA(),IFERROR(LOOKUP(2,1/(('Match Log'!$D$4:$D$810=$N$24)*('Match Log'!$A$4:$A$810&lt;=$J102)),'Match Log'!$N$4:$N$810),NA()))</f>
        <v>945.02062066151154</v>
      </c>
      <c r="O102">
        <f>IF($J102&gt;MAX('Match Log'!$A$4:$A$810),NA(),IFERROR(LOOKUP(2,1/(('Match Log'!$D$4:$D$810=$O$24)*('Match Log'!$A$4:$A$810&lt;=$J102)),'Match Log'!$N$4:$N$810),NA()))</f>
        <v>1149.159920014753</v>
      </c>
      <c r="P102">
        <f>IF($J102&gt;MAX('Match Log'!$A$4:$A$810),NA(),IFERROR(LOOKUP(2,1/(('Match Log'!$D$4:$D$810=$P$24)*('Match Log'!$A$4:$A$810&lt;=$J102)),'Match Log'!$N$4:$N$810),NA()))</f>
        <v>1015.0898285777957</v>
      </c>
      <c r="Q102">
        <f>IF($J102&gt;MAX('Match Log'!$A$4:$A$810),NA(),IFERROR(LOOKUP(2,1/(('Match Log'!$D$4:$D$810=$Q$24)*('Match Log'!$A$4:$A$810&lt;=$J102)),'Match Log'!$N$4:$N$810),NA()))</f>
        <v>1123.212203398283</v>
      </c>
      <c r="R102">
        <f>IF($J102&gt;MAX('Match Log'!$A$4:$A$810),NA(),IFERROR(LOOKUP(2,1/(('Match Log'!$D$4:$D$810=$R$24)*('Match Log'!$A$4:$A$810&lt;=$J102)),'Match Log'!$N$4:$N$810),NA()))</f>
        <v>1023.5101510255264</v>
      </c>
      <c r="S102">
        <f>IF($J102&gt;MAX('Match Log'!$A$4:$A$810),NA(),IFERROR(LOOKUP(2,1/(('Match Log'!$D$4:$D$810=$S$24)*('Match Log'!$A$4:$A$810&lt;=$J102)),'Match Log'!$N$4:$N$810),NA()))</f>
        <v>1129.1224748311113</v>
      </c>
      <c r="T102">
        <f>IF($J102&gt;MAX('Match Log'!$A$4:$A$810),NA(),IFERROR(LOOKUP(2,1/(('Match Log'!$D$4:$D$810=$T$24)*('Match Log'!$A$4:$A$810&lt;=$J102)),'Match Log'!$N$4:$N$810),NA()))</f>
        <v>907.24597771907167</v>
      </c>
      <c r="U102">
        <f>IF($J102&gt;MAX('Match Log'!$A$4:$A$810),NA(),IFERROR(LOOKUP(2,1/(('Match Log'!$D$4:$D$810=$U$24)*('Match Log'!$A$4:$A$810&lt;=$J102)),'Match Log'!$N$4:$N$810),NA()))</f>
        <v>976.13396936053971</v>
      </c>
      <c r="V102">
        <f>IF($J102&gt;MAX('Match Log'!$A$4:$A$810),NA(),IFERROR(LOOKUP(2,1/(('Match Log'!$D$4:$D$810=$V$24)*('Match Log'!$A$4:$A$810&lt;=$J102)),'Match Log'!$N$4:$N$810),NA()))</f>
        <v>993.20540773106882</v>
      </c>
      <c r="W102">
        <f>IF($J102&gt;MAX('Match Log'!$A$4:$A$810),NA(),IFERROR(LOOKUP(2,1/(('Match Log'!$D$4:$D$810=$W$24)*('Match Log'!$A$4:$A$810&lt;=$J102)),'Match Log'!$N$4:$N$810),NA()))</f>
        <v>1034.4893617981895</v>
      </c>
      <c r="X102" t="e">
        <f>IF($J102&gt;MAX('Match Log'!$A$4:$A$810),NA(),IFERROR(LOOKUP(2,1/(('Match Log'!$D$4:$D$810=$X$24)*('Match Log'!$A$4:$A$810&lt;=$J102)),'Match Log'!$N$4:$N$810),NA()))</f>
        <v>#N/A</v>
      </c>
      <c r="Y102" t="str">
        <f t="shared" ca="1" si="24"/>
        <v/>
      </c>
    </row>
    <row r="103" spans="1:25" ht="15" customHeight="1" x14ac:dyDescent="0.2">
      <c r="A103">
        <v>79</v>
      </c>
      <c r="B103" s="127">
        <f>IFERROR(INDEX('Match Log'!$B$4:$B$810,MATCH(79,'Match Log'!$A$4:$A$810,0)),"")</f>
        <v>46188</v>
      </c>
      <c r="C103" t="str">
        <f>IFERROR(INDEX('Match Log'!$C$4:$C$810,MATCH(79,'Match Log'!$A$4:$A$810,0)),"")</f>
        <v>ShuffleBoard</v>
      </c>
      <c r="D103" t="str">
        <f t="array" ref="D103">IFERROR(_xlfn.TEXTJOIN(" + ",TRUE,IF(('Match Log'!$A$4:$A$810=$A103)*('Match Log'!$E$4:$E$810="Win"),'Match Log'!$D$4:$D$810,"")),IFERROR(LOOKUP(2,1/(('Match Log'!$A$4:$A$810=$A103)*('Match Log'!$E$4:$E$810="Win")),'Match Log'!$D$4:$D$810),""))</f>
        <v>Oscar + Simon</v>
      </c>
      <c r="E103" s="128">
        <f>IFERROR(INDEX('Match Log'!$F$4:$F$810,MATCH(79,'Match Log'!$A$4:$A$810,0)),"")</f>
        <v>4</v>
      </c>
      <c r="F103">
        <f>IFERROR(SUMIFS('Match Log'!$I$4:$I$810,'Match Log'!$A$4:$A$810,79,'Match Log'!$E$4:$E$810,"Win"),"")</f>
        <v>0.4975961538461538</v>
      </c>
      <c r="G103">
        <f t="shared" si="22"/>
        <v>-0.9903846153846152</v>
      </c>
      <c r="H103" t="str">
        <f t="array" ref="H103">IFERROR(IF(COUNTIFS('Match Log'!$A$4:$A$810,$A103,'Match Log'!$E$4:$E$810,"Win")&gt;1,_xlfn.TEXTJOIN(" + ",TRUE,IF(('Match Log'!$A$4:$A$810=$A103)*('Match Log'!$E$4:$E$810="Loss"),'Match Log'!$D$4:$D$810,"")),IF($E103=2,LOOKUP(2,1/(('Match Log'!$A$4:$A$810=$A103)*('Match Log'!$E$4:$E$810="Loss")),'Match Log'!$D$4:$D$810),"the field")),"")</f>
        <v>Beau + Dylan A</v>
      </c>
      <c r="I103">
        <f t="shared" si="23"/>
        <v>-0.99046361538461525</v>
      </c>
      <c r="J103">
        <v>79</v>
      </c>
      <c r="K103">
        <f>IF($J103&gt;MAX('Match Log'!$A$4:$A$810),NA(),IFERROR(LOOKUP(2,1/(('Match Log'!$D$4:$D$810=$K$24)*('Match Log'!$A$4:$A$810&lt;=$J103)),'Match Log'!$N$4:$N$810),NA()))</f>
        <v>1021.6686831011822</v>
      </c>
      <c r="L103">
        <f>IF($J103&gt;MAX('Match Log'!$A$4:$A$810),NA(),IFERROR(LOOKUP(2,1/(('Match Log'!$D$4:$D$810=$L$24)*('Match Log'!$A$4:$A$810&lt;=$J103)),'Match Log'!$N$4:$N$810),NA()))</f>
        <v>1022.9168011819886</v>
      </c>
      <c r="M103">
        <f>IF($J103&gt;MAX('Match Log'!$A$4:$A$810),NA(),IFERROR(LOOKUP(2,1/(('Match Log'!$D$4:$D$810=$M$24)*('Match Log'!$A$4:$A$810&lt;=$J103)),'Match Log'!$N$4:$N$810),NA()))</f>
        <v>1016.7837867075796</v>
      </c>
      <c r="N103">
        <f>IF($J103&gt;MAX('Match Log'!$A$4:$A$810),NA(),IFERROR(LOOKUP(2,1/(('Match Log'!$D$4:$D$810=$N$24)*('Match Log'!$A$4:$A$810&lt;=$J103)),'Match Log'!$N$4:$N$810),NA()))</f>
        <v>945.02062066151154</v>
      </c>
      <c r="O103">
        <f>IF($J103&gt;MAX('Match Log'!$A$4:$A$810),NA(),IFERROR(LOOKUP(2,1/(('Match Log'!$D$4:$D$810=$O$24)*('Match Log'!$A$4:$A$810&lt;=$J103)),'Match Log'!$N$4:$N$810),NA()))</f>
        <v>1149.159920014753</v>
      </c>
      <c r="P103">
        <f>IF($J103&gt;MAX('Match Log'!$A$4:$A$810),NA(),IFERROR(LOOKUP(2,1/(('Match Log'!$D$4:$D$810=$P$24)*('Match Log'!$A$4:$A$810&lt;=$J103)),'Match Log'!$N$4:$N$810),NA()))</f>
        <v>1015.0898285777957</v>
      </c>
      <c r="Q103">
        <f>IF($J103&gt;MAX('Match Log'!$A$4:$A$810),NA(),IFERROR(LOOKUP(2,1/(('Match Log'!$D$4:$D$810=$Q$24)*('Match Log'!$A$4:$A$810&lt;=$J103)),'Match Log'!$N$4:$N$810),NA()))</f>
        <v>1140.664376689045</v>
      </c>
      <c r="R103">
        <f>IF($J103&gt;MAX('Match Log'!$A$4:$A$810),NA(),IFERROR(LOOKUP(2,1/(('Match Log'!$D$4:$D$810=$R$24)*('Match Log'!$A$4:$A$810&lt;=$J103)),'Match Log'!$N$4:$N$810),NA()))</f>
        <v>1023.5101510255264</v>
      </c>
      <c r="S103">
        <f>IF($J103&gt;MAX('Match Log'!$A$4:$A$810),NA(),IFERROR(LOOKUP(2,1/(('Match Log'!$D$4:$D$810=$S$24)*('Match Log'!$A$4:$A$810&lt;=$J103)),'Match Log'!$N$4:$N$810),NA()))</f>
        <v>1129.1224748311113</v>
      </c>
      <c r="T103">
        <f>IF($J103&gt;MAX('Match Log'!$A$4:$A$810),NA(),IFERROR(LOOKUP(2,1/(('Match Log'!$D$4:$D$810=$T$24)*('Match Log'!$A$4:$A$810&lt;=$J103)),'Match Log'!$N$4:$N$810),NA()))</f>
        <v>907.24597771907167</v>
      </c>
      <c r="U103">
        <f>IF($J103&gt;MAX('Match Log'!$A$4:$A$810),NA(),IFERROR(LOOKUP(2,1/(('Match Log'!$D$4:$D$810=$U$24)*('Match Log'!$A$4:$A$810&lt;=$J103)),'Match Log'!$N$4:$N$810),NA()))</f>
        <v>995.23037342053249</v>
      </c>
      <c r="V103">
        <f>IF($J103&gt;MAX('Match Log'!$A$4:$A$810),NA(),IFERROR(LOOKUP(2,1/(('Match Log'!$D$4:$D$810=$V$24)*('Match Log'!$A$4:$A$810&lt;=$J103)),'Match Log'!$N$4:$N$810),NA()))</f>
        <v>993.20540773106882</v>
      </c>
      <c r="W103">
        <f>IF($J103&gt;MAX('Match Log'!$A$4:$A$810),NA(),IFERROR(LOOKUP(2,1/(('Match Log'!$D$4:$D$810=$W$24)*('Match Log'!$A$4:$A$810&lt;=$J103)),'Match Log'!$N$4:$N$810),NA()))</f>
        <v>1030.3815983388336</v>
      </c>
      <c r="X103" t="e">
        <f>IF($J103&gt;MAX('Match Log'!$A$4:$A$810),NA(),IFERROR(LOOKUP(2,1/(('Match Log'!$D$4:$D$810=$X$24)*('Match Log'!$A$4:$A$810&lt;=$J103)),'Match Log'!$N$4:$N$810),NA()))</f>
        <v>#N/A</v>
      </c>
      <c r="Y103" t="str">
        <f t="shared" ca="1" si="24"/>
        <v/>
      </c>
    </row>
    <row r="104" spans="1:25" ht="15" customHeight="1" x14ac:dyDescent="0.2">
      <c r="A104">
        <v>80</v>
      </c>
      <c r="B104" s="127">
        <f>IFERROR(INDEX('Match Log'!$B$4:$B$810,MATCH(80,'Match Log'!$A$4:$A$810,0)),"")</f>
        <v>46188</v>
      </c>
      <c r="C104" t="str">
        <f>IFERROR(INDEX('Match Log'!$C$4:$C$810,MATCH(80,'Match Log'!$A$4:$A$810,0)),"")</f>
        <v>ShuffleBoard</v>
      </c>
      <c r="D104" t="str">
        <f t="array" ref="D104">IFERROR(_xlfn.TEXTJOIN(" + ",TRUE,IF(('Match Log'!$A$4:$A$810=$A104)*('Match Log'!$E$4:$E$810="Win"),'Match Log'!$D$4:$D$810,"")),IFERROR(LOOKUP(2,1/(('Match Log'!$A$4:$A$810=$A104)*('Match Log'!$E$4:$E$810="Win")),'Match Log'!$D$4:$D$810),""))</f>
        <v>Josh + Shawn</v>
      </c>
      <c r="E104" s="128">
        <f>IFERROR(INDEX('Match Log'!$F$4:$F$810,MATCH(80,'Match Log'!$A$4:$A$810,0)),"")</f>
        <v>4</v>
      </c>
      <c r="F104">
        <f>IFERROR(SUMIFS('Match Log'!$I$4:$I$810,'Match Log'!$A$4:$A$810,80,'Match Log'!$E$4:$E$810,"Win"),"")</f>
        <v>0.41329479768786126</v>
      </c>
      <c r="G104">
        <f t="shared" si="22"/>
        <v>-0.65317919075144504</v>
      </c>
      <c r="H104" t="str">
        <f t="array" ref="H104">IFERROR(IF(COUNTIFS('Match Log'!$A$4:$A$810,$A104,'Match Log'!$E$4:$E$810,"Win")&gt;1,_xlfn.TEXTJOIN(" + ",TRUE,IF(('Match Log'!$A$4:$A$810=$A104)*('Match Log'!$E$4:$E$810="Loss"),'Match Log'!$D$4:$D$810,"")),IF($E104=2,LOOKUP(2,1/(('Match Log'!$A$4:$A$810=$A104)*('Match Log'!$E$4:$E$810="Loss")),'Match Log'!$D$4:$D$810),"the field")),"")</f>
        <v>Simon + Oscar</v>
      </c>
      <c r="I104">
        <f t="shared" si="23"/>
        <v>-0.65325919075144501</v>
      </c>
      <c r="J104">
        <v>80</v>
      </c>
      <c r="K104">
        <f>IF($J104&gt;MAX('Match Log'!$A$4:$A$810),NA(),IFERROR(LOOKUP(2,1/(('Match Log'!$D$4:$D$810=$K$24)*('Match Log'!$A$4:$A$810&lt;=$J104)),'Match Log'!$N$4:$N$810),NA()))</f>
        <v>1021.6686831011822</v>
      </c>
      <c r="L104">
        <f>IF($J104&gt;MAX('Match Log'!$A$4:$A$810),NA(),IFERROR(LOOKUP(2,1/(('Match Log'!$D$4:$D$810=$L$24)*('Match Log'!$A$4:$A$810&lt;=$J104)),'Match Log'!$N$4:$N$810),NA()))</f>
        <v>1022.9168011819886</v>
      </c>
      <c r="M104">
        <f>IF($J104&gt;MAX('Match Log'!$A$4:$A$810),NA(),IFERROR(LOOKUP(2,1/(('Match Log'!$D$4:$D$810=$M$24)*('Match Log'!$A$4:$A$810&lt;=$J104)),'Match Log'!$N$4:$N$810),NA()))</f>
        <v>1016.7837867075796</v>
      </c>
      <c r="N104">
        <f>IF($J104&gt;MAX('Match Log'!$A$4:$A$810),NA(),IFERROR(LOOKUP(2,1/(('Match Log'!$D$4:$D$810=$N$24)*('Match Log'!$A$4:$A$810&lt;=$J104)),'Match Log'!$N$4:$N$810),NA()))</f>
        <v>945.02062066151154</v>
      </c>
      <c r="O104">
        <f>IF($J104&gt;MAX('Match Log'!$A$4:$A$810),NA(),IFERROR(LOOKUP(2,1/(('Match Log'!$D$4:$D$810=$O$24)*('Match Log'!$A$4:$A$810&lt;=$J104)),'Match Log'!$N$4:$N$810),NA()))</f>
        <v>1168.2168229142774</v>
      </c>
      <c r="P104">
        <f>IF($J104&gt;MAX('Match Log'!$A$4:$A$810),NA(),IFERROR(LOOKUP(2,1/(('Match Log'!$D$4:$D$810=$P$24)*('Match Log'!$A$4:$A$810&lt;=$J104)),'Match Log'!$N$4:$N$810),NA()))</f>
        <v>1033.7652285871466</v>
      </c>
      <c r="Q104">
        <f>IF($J104&gt;MAX('Match Log'!$A$4:$A$810),NA(),IFERROR(LOOKUP(2,1/(('Match Log'!$D$4:$D$810=$Q$24)*('Match Log'!$A$4:$A$810&lt;=$J104)),'Match Log'!$N$4:$N$810),NA()))</f>
        <v>1134.0440793414489</v>
      </c>
      <c r="R104">
        <f>IF($J104&gt;MAX('Match Log'!$A$4:$A$810),NA(),IFERROR(LOOKUP(2,1/(('Match Log'!$D$4:$D$810=$R$24)*('Match Log'!$A$4:$A$810&lt;=$J104)),'Match Log'!$N$4:$N$810),NA()))</f>
        <v>1023.5101510255264</v>
      </c>
      <c r="S104">
        <f>IF($J104&gt;MAX('Match Log'!$A$4:$A$810),NA(),IFERROR(LOOKUP(2,1/(('Match Log'!$D$4:$D$810=$S$24)*('Match Log'!$A$4:$A$810&lt;=$J104)),'Match Log'!$N$4:$N$810),NA()))</f>
        <v>1129.1224748311113</v>
      </c>
      <c r="T104">
        <f>IF($J104&gt;MAX('Match Log'!$A$4:$A$810),NA(),IFERROR(LOOKUP(2,1/(('Match Log'!$D$4:$D$810=$T$24)*('Match Log'!$A$4:$A$810&lt;=$J104)),'Match Log'!$N$4:$N$810),NA()))</f>
        <v>907.24597771907167</v>
      </c>
      <c r="U104">
        <f>IF($J104&gt;MAX('Match Log'!$A$4:$A$810),NA(),IFERROR(LOOKUP(2,1/(('Match Log'!$D$4:$D$810=$U$24)*('Match Log'!$A$4:$A$810&lt;=$J104)),'Match Log'!$N$4:$N$810),NA()))</f>
        <v>992.11836785925334</v>
      </c>
      <c r="V104">
        <f>IF($J104&gt;MAX('Match Log'!$A$4:$A$810),NA(),IFERROR(LOOKUP(2,1/(('Match Log'!$D$4:$D$810=$V$24)*('Match Log'!$A$4:$A$810&lt;=$J104)),'Match Log'!$N$4:$N$810),NA()))</f>
        <v>993.20540773106882</v>
      </c>
      <c r="W104">
        <f>IF($J104&gt;MAX('Match Log'!$A$4:$A$810),NA(),IFERROR(LOOKUP(2,1/(('Match Log'!$D$4:$D$810=$W$24)*('Match Log'!$A$4:$A$810&lt;=$J104)),'Match Log'!$N$4:$N$810),NA()))</f>
        <v>1030.3815983388336</v>
      </c>
      <c r="X104" t="e">
        <f>IF($J104&gt;MAX('Match Log'!$A$4:$A$810),NA(),IFERROR(LOOKUP(2,1/(('Match Log'!$D$4:$D$810=$X$24)*('Match Log'!$A$4:$A$810&lt;=$J104)),'Match Log'!$N$4:$N$810),NA()))</f>
        <v>#N/A</v>
      </c>
      <c r="Y104" t="str">
        <f t="shared" ca="1" si="24"/>
        <v/>
      </c>
    </row>
    <row r="105" spans="1:25" ht="15" customHeight="1" x14ac:dyDescent="0.2">
      <c r="A105">
        <v>81</v>
      </c>
      <c r="B105" s="127">
        <f>IFERROR(INDEX('Match Log'!$B$4:$B$810,MATCH(81,'Match Log'!$A$4:$A$810,0)),"")</f>
        <v>46188</v>
      </c>
      <c r="C105" t="str">
        <f>IFERROR(INDEX('Match Log'!$C$4:$C$810,MATCH(81,'Match Log'!$A$4:$A$810,0)),"")</f>
        <v>ShuffleBoard</v>
      </c>
      <c r="D105" t="str">
        <f t="array" ref="D105">IFERROR(_xlfn.TEXTJOIN(" + ",TRUE,IF(('Match Log'!$A$4:$A$810=$A105)*('Match Log'!$E$4:$E$810="Win"),'Match Log'!$D$4:$D$810,"")),IFERROR(LOOKUP(2,1/(('Match Log'!$A$4:$A$810=$A105)*('Match Log'!$E$4:$E$810="Win")),'Match Log'!$D$4:$D$810),""))</f>
        <v>Dean B + Daniel (Ferret)</v>
      </c>
      <c r="E105" s="128">
        <f>IFERROR(INDEX('Match Log'!$F$4:$F$810,MATCH(81,'Match Log'!$A$4:$A$810,0)),"")</f>
        <v>4</v>
      </c>
      <c r="F105">
        <f>IFERROR(SUMIFS('Match Log'!$I$4:$I$810,'Match Log'!$A$4:$A$810,81,'Match Log'!$E$4:$E$810,"Win"),"")</f>
        <v>0.52499999999999991</v>
      </c>
      <c r="G105">
        <f t="shared" si="22"/>
        <v>-1.0999999999999996</v>
      </c>
      <c r="H105" t="str">
        <f t="array" ref="H105">IFERROR(IF(COUNTIFS('Match Log'!$A$4:$A$810,$A105,'Match Log'!$E$4:$E$810,"Win")&gt;1,_xlfn.TEXTJOIN(" + ",TRUE,IF(('Match Log'!$A$4:$A$810=$A105)*('Match Log'!$E$4:$E$810="Loss"),'Match Log'!$D$4:$D$810,"")),IF($E105=2,LOOKUP(2,1/(('Match Log'!$A$4:$A$810=$A105)*('Match Log'!$E$4:$E$810="Loss")),'Match Log'!$D$4:$D$810),"the field")),"")</f>
        <v>Josh + Shawn</v>
      </c>
      <c r="I105">
        <f t="shared" si="23"/>
        <v>-1.1000809999999996</v>
      </c>
      <c r="J105">
        <v>81</v>
      </c>
      <c r="K105">
        <f>IF($J105&gt;MAX('Match Log'!$A$4:$A$810),NA(),IFERROR(LOOKUP(2,1/(('Match Log'!$D$4:$D$810=$K$24)*('Match Log'!$A$4:$A$810&lt;=$J105)),'Match Log'!$N$4:$N$810),NA()))</f>
        <v>1021.6686831011822</v>
      </c>
      <c r="L105">
        <f>IF($J105&gt;MAX('Match Log'!$A$4:$A$810),NA(),IFERROR(LOOKUP(2,1/(('Match Log'!$D$4:$D$810=$L$24)*('Match Log'!$A$4:$A$810&lt;=$J105)),'Match Log'!$N$4:$N$810),NA()))</f>
        <v>1022.9168011819886</v>
      </c>
      <c r="M105">
        <f>IF($J105&gt;MAX('Match Log'!$A$4:$A$810),NA(),IFERROR(LOOKUP(2,1/(('Match Log'!$D$4:$D$810=$M$24)*('Match Log'!$A$4:$A$810&lt;=$J105)),'Match Log'!$N$4:$N$810),NA()))</f>
        <v>1016.7837867075796</v>
      </c>
      <c r="N105">
        <f>IF($J105&gt;MAX('Match Log'!$A$4:$A$810),NA(),IFERROR(LOOKUP(2,1/(('Match Log'!$D$4:$D$810=$N$24)*('Match Log'!$A$4:$A$810&lt;=$J105)),'Match Log'!$N$4:$N$810),NA()))</f>
        <v>945.02062066151154</v>
      </c>
      <c r="O105">
        <f>IF($J105&gt;MAX('Match Log'!$A$4:$A$810),NA(),IFERROR(LOOKUP(2,1/(('Match Log'!$D$4:$D$810=$O$24)*('Match Log'!$A$4:$A$810&lt;=$J105)),'Match Log'!$N$4:$N$810),NA()))</f>
        <v>1163.6944202317491</v>
      </c>
      <c r="P105">
        <f>IF($J105&gt;MAX('Match Log'!$A$4:$A$810),NA(),IFERROR(LOOKUP(2,1/(('Match Log'!$D$4:$D$810=$P$24)*('Match Log'!$A$4:$A$810&lt;=$J105)),'Match Log'!$N$4:$N$810),NA()))</f>
        <v>1029.7715942913092</v>
      </c>
      <c r="Q105">
        <f>IF($J105&gt;MAX('Match Log'!$A$4:$A$810),NA(),IFERROR(LOOKUP(2,1/(('Match Log'!$D$4:$D$810=$Q$24)*('Match Log'!$A$4:$A$810&lt;=$J105)),'Match Log'!$N$4:$N$810),NA()))</f>
        <v>1134.0440793414489</v>
      </c>
      <c r="R105">
        <f>IF($J105&gt;MAX('Match Log'!$A$4:$A$810),NA(),IFERROR(LOOKUP(2,1/(('Match Log'!$D$4:$D$810=$R$24)*('Match Log'!$A$4:$A$810&lt;=$J105)),'Match Log'!$N$4:$N$810),NA()))</f>
        <v>1042.2181695147092</v>
      </c>
      <c r="S105">
        <f>IF($J105&gt;MAX('Match Log'!$A$4:$A$810),NA(),IFERROR(LOOKUP(2,1/(('Match Log'!$D$4:$D$810=$S$24)*('Match Log'!$A$4:$A$810&lt;=$J105)),'Match Log'!$N$4:$N$810),NA()))</f>
        <v>1146.9304933202941</v>
      </c>
      <c r="T105">
        <f>IF($J105&gt;MAX('Match Log'!$A$4:$A$810),NA(),IFERROR(LOOKUP(2,1/(('Match Log'!$D$4:$D$810=$T$24)*('Match Log'!$A$4:$A$810&lt;=$J105)),'Match Log'!$N$4:$N$810),NA()))</f>
        <v>907.24597771907167</v>
      </c>
      <c r="U105">
        <f>IF($J105&gt;MAX('Match Log'!$A$4:$A$810),NA(),IFERROR(LOOKUP(2,1/(('Match Log'!$D$4:$D$810=$U$24)*('Match Log'!$A$4:$A$810&lt;=$J105)),'Match Log'!$N$4:$N$810),NA()))</f>
        <v>992.11836785925334</v>
      </c>
      <c r="V105">
        <f>IF($J105&gt;MAX('Match Log'!$A$4:$A$810),NA(),IFERROR(LOOKUP(2,1/(('Match Log'!$D$4:$D$810=$V$24)*('Match Log'!$A$4:$A$810&lt;=$J105)),'Match Log'!$N$4:$N$810),NA()))</f>
        <v>993.20540773106882</v>
      </c>
      <c r="W105">
        <f>IF($J105&gt;MAX('Match Log'!$A$4:$A$810),NA(),IFERROR(LOOKUP(2,1/(('Match Log'!$D$4:$D$810=$W$24)*('Match Log'!$A$4:$A$810&lt;=$J105)),'Match Log'!$N$4:$N$810),NA()))</f>
        <v>1030.3815983388336</v>
      </c>
      <c r="X105" t="e">
        <f>IF($J105&gt;MAX('Match Log'!$A$4:$A$810),NA(),IFERROR(LOOKUP(2,1/(('Match Log'!$D$4:$D$810=$X$24)*('Match Log'!$A$4:$A$810&lt;=$J105)),'Match Log'!$N$4:$N$810),NA()))</f>
        <v>#N/A</v>
      </c>
      <c r="Y105" t="str">
        <f t="shared" ca="1" si="24"/>
        <v/>
      </c>
    </row>
    <row r="106" spans="1:25" ht="15" customHeight="1" x14ac:dyDescent="0.2">
      <c r="A106">
        <v>82</v>
      </c>
      <c r="B106" s="127">
        <f>IFERROR(INDEX('Match Log'!$B$4:$B$810,MATCH(82,'Match Log'!$A$4:$A$810,0)),"")</f>
        <v>46188</v>
      </c>
      <c r="C106" t="str">
        <f>IFERROR(INDEX('Match Log'!$C$4:$C$810,MATCH(82,'Match Log'!$A$4:$A$810,0)),"")</f>
        <v>ShuffleBoard</v>
      </c>
      <c r="D106" t="str">
        <f t="array" ref="D106">IFERROR(_xlfn.TEXTJOIN(" + ",TRUE,IF(('Match Log'!$A$4:$A$810=$A106)*('Match Log'!$E$4:$E$810="Win"),'Match Log'!$D$4:$D$810,"")),IFERROR(LOOKUP(2,1/(('Match Log'!$A$4:$A$810=$A106)*('Match Log'!$E$4:$E$810="Win")),'Match Log'!$D$4:$D$810),""))</f>
        <v>Dean B + Daniel (Ferret)</v>
      </c>
      <c r="E106" s="128">
        <f>IFERROR(INDEX('Match Log'!$F$4:$F$810,MATCH(82,'Match Log'!$A$4:$A$810,0)),"")</f>
        <v>4</v>
      </c>
      <c r="F106">
        <f>IFERROR(SUMIFS('Match Log'!$I$4:$I$810,'Match Log'!$A$4:$A$810,82,'Match Log'!$E$4:$E$810,"Win"),"")</f>
        <v>0.68277945619335356</v>
      </c>
      <c r="G106">
        <f t="shared" si="22"/>
        <v>-1.7311178247734142</v>
      </c>
      <c r="H106" t="str">
        <f t="array" ref="H106">IFERROR(IF(COUNTIFS('Match Log'!$A$4:$A$810,$A106,'Match Log'!$E$4:$E$810,"Win")&gt;1,_xlfn.TEXTJOIN(" + ",TRUE,IF(('Match Log'!$A$4:$A$810=$A106)*('Match Log'!$E$4:$E$810="Loss"),'Match Log'!$D$4:$D$810,"")),IF($E106=2,LOOKUP(2,1/(('Match Log'!$A$4:$A$810=$A106)*('Match Log'!$E$4:$E$810="Loss")),'Match Log'!$D$4:$D$810),"the field")),"")</f>
        <v>David + Dean M</v>
      </c>
      <c r="I106">
        <f t="shared" si="23"/>
        <v>-1.7311998247734142</v>
      </c>
      <c r="J106">
        <v>82</v>
      </c>
      <c r="K106">
        <f>IF($J106&gt;MAX('Match Log'!$A$4:$A$810),NA(),IFERROR(LOOKUP(2,1/(('Match Log'!$D$4:$D$810=$K$24)*('Match Log'!$A$4:$A$810&lt;=$J106)),'Match Log'!$N$4:$N$810),NA()))</f>
        <v>1021.6686831011822</v>
      </c>
      <c r="L106">
        <f>IF($J106&gt;MAX('Match Log'!$A$4:$A$810),NA(),IFERROR(LOOKUP(2,1/(('Match Log'!$D$4:$D$810=$L$24)*('Match Log'!$A$4:$A$810&lt;=$J106)),'Match Log'!$N$4:$N$810),NA()))</f>
        <v>1022.9168011819886</v>
      </c>
      <c r="M106">
        <f>IF($J106&gt;MAX('Match Log'!$A$4:$A$810),NA(),IFERROR(LOOKUP(2,1/(('Match Log'!$D$4:$D$810=$M$24)*('Match Log'!$A$4:$A$810&lt;=$J106)),'Match Log'!$N$4:$N$810),NA()))</f>
        <v>1016.7837867075796</v>
      </c>
      <c r="N106">
        <f>IF($J106&gt;MAX('Match Log'!$A$4:$A$810),NA(),IFERROR(LOOKUP(2,1/(('Match Log'!$D$4:$D$810=$N$24)*('Match Log'!$A$4:$A$810&lt;=$J106)),'Match Log'!$N$4:$N$810),NA()))</f>
        <v>942.76014496190749</v>
      </c>
      <c r="O106">
        <f>IF($J106&gt;MAX('Match Log'!$A$4:$A$810),NA(),IFERROR(LOOKUP(2,1/(('Match Log'!$D$4:$D$810=$O$24)*('Match Log'!$A$4:$A$810&lt;=$J106)),'Match Log'!$N$4:$N$810),NA()))</f>
        <v>1163.6944202317491</v>
      </c>
      <c r="P106">
        <f>IF($J106&gt;MAX('Match Log'!$A$4:$A$810),NA(),IFERROR(LOOKUP(2,1/(('Match Log'!$D$4:$D$810=$P$24)*('Match Log'!$A$4:$A$810&lt;=$J106)),'Match Log'!$N$4:$N$810),NA()))</f>
        <v>1029.7715942913092</v>
      </c>
      <c r="Q106">
        <f>IF($J106&gt;MAX('Match Log'!$A$4:$A$810),NA(),IFERROR(LOOKUP(2,1/(('Match Log'!$D$4:$D$810=$Q$24)*('Match Log'!$A$4:$A$810&lt;=$J106)),'Match Log'!$N$4:$N$810),NA()))</f>
        <v>1134.0440793414489</v>
      </c>
      <c r="R106">
        <f>IF($J106&gt;MAX('Match Log'!$A$4:$A$810),NA(),IFERROR(LOOKUP(2,1/(('Match Log'!$D$4:$D$810=$R$24)*('Match Log'!$A$4:$A$810&lt;=$J106)),'Match Log'!$N$4:$N$810),NA()))</f>
        <v>1058.8795680397786</v>
      </c>
      <c r="S106">
        <f>IF($J106&gt;MAX('Match Log'!$A$4:$A$810),NA(),IFERROR(LOOKUP(2,1/(('Match Log'!$D$4:$D$810=$S$24)*('Match Log'!$A$4:$A$810&lt;=$J106)),'Match Log'!$N$4:$N$810),NA()))</f>
        <v>1162.6492936580523</v>
      </c>
      <c r="T106">
        <f>IF($J106&gt;MAX('Match Log'!$A$4:$A$810),NA(),IFERROR(LOOKUP(2,1/(('Match Log'!$D$4:$D$810=$T$24)*('Match Log'!$A$4:$A$810&lt;=$J106)),'Match Log'!$N$4:$N$810),NA()))</f>
        <v>907.24597771907167</v>
      </c>
      <c r="U106">
        <f>IF($J106&gt;MAX('Match Log'!$A$4:$A$810),NA(),IFERROR(LOOKUP(2,1/(('Match Log'!$D$4:$D$810=$U$24)*('Match Log'!$A$4:$A$810&lt;=$J106)),'Match Log'!$N$4:$N$810),NA()))</f>
        <v>992.11836785925334</v>
      </c>
      <c r="V106">
        <f>IF($J106&gt;MAX('Match Log'!$A$4:$A$810),NA(),IFERROR(LOOKUP(2,1/(('Match Log'!$D$4:$D$810=$V$24)*('Match Log'!$A$4:$A$810&lt;=$J106)),'Match Log'!$N$4:$N$810),NA()))</f>
        <v>991.08568456784496</v>
      </c>
      <c r="W106">
        <f>IF($J106&gt;MAX('Match Log'!$A$4:$A$810),NA(),IFERROR(LOOKUP(2,1/(('Match Log'!$D$4:$D$810=$W$24)*('Match Log'!$A$4:$A$810&lt;=$J106)),'Match Log'!$N$4:$N$810),NA()))</f>
        <v>1030.3815983388336</v>
      </c>
      <c r="X106" t="e">
        <f>IF($J106&gt;MAX('Match Log'!$A$4:$A$810),NA(),IFERROR(LOOKUP(2,1/(('Match Log'!$D$4:$D$810=$X$24)*('Match Log'!$A$4:$A$810&lt;=$J106)),'Match Log'!$N$4:$N$810),NA()))</f>
        <v>#N/A</v>
      </c>
      <c r="Y106" t="str">
        <f t="shared" ca="1" si="24"/>
        <v/>
      </c>
    </row>
    <row r="107" spans="1:25" ht="15" customHeight="1" x14ac:dyDescent="0.2">
      <c r="A107">
        <v>83</v>
      </c>
      <c r="B107" s="127">
        <f>IFERROR(INDEX('Match Log'!$B$4:$B$810,MATCH(83,'Match Log'!$A$4:$A$810,0)),"")</f>
        <v>46188</v>
      </c>
      <c r="C107" t="str">
        <f>IFERROR(INDEX('Match Log'!$C$4:$C$810,MATCH(83,'Match Log'!$A$4:$A$810,0)),"")</f>
        <v>ShuffleBoard</v>
      </c>
      <c r="D107" t="str">
        <f t="array" ref="D107">IFERROR(_xlfn.TEXTJOIN(" + ",TRUE,IF(('Match Log'!$A$4:$A$810=$A107)*('Match Log'!$E$4:$E$810="Win"),'Match Log'!$D$4:$D$810,"")),IFERROR(LOOKUP(2,1/(('Match Log'!$A$4:$A$810=$A107)*('Match Log'!$E$4:$E$810="Win")),'Match Log'!$D$4:$D$810),""))</f>
        <v>Aaron + Beau</v>
      </c>
      <c r="E107" s="128">
        <f>IFERROR(INDEX('Match Log'!$F$4:$F$810,MATCH(83,'Match Log'!$A$4:$A$810,0)),"")</f>
        <v>4</v>
      </c>
      <c r="F107">
        <f>IFERROR(SUMIFS('Match Log'!$I$4:$I$810,'Match Log'!$A$4:$A$810,83,'Match Log'!$E$4:$E$810,"Win"),"")</f>
        <v>0.35736742821211487</v>
      </c>
      <c r="G107">
        <f t="shared" si="22"/>
        <v>-0.42946971284845947</v>
      </c>
      <c r="H107" t="str">
        <f t="array" ref="H107">IFERROR(IF(COUNTIFS('Match Log'!$A$4:$A$810,$A107,'Match Log'!$E$4:$E$810,"Win")&gt;1,_xlfn.TEXTJOIN(" + ",TRUE,IF(('Match Log'!$A$4:$A$810=$A107)*('Match Log'!$E$4:$E$810="Loss"),'Match Log'!$D$4:$D$810,"")),IF($E107=2,LOOKUP(2,1/(('Match Log'!$A$4:$A$810=$A107)*('Match Log'!$E$4:$E$810="Loss")),'Match Log'!$D$4:$D$810),"the field")),"")</f>
        <v>Dean B + Daniel (Ferret)</v>
      </c>
      <c r="I107">
        <f t="shared" si="23"/>
        <v>-0.42955271284845947</v>
      </c>
      <c r="J107">
        <v>83</v>
      </c>
      <c r="K107">
        <f>IF($J107&gt;MAX('Match Log'!$A$4:$A$810),NA(),IFERROR(LOOKUP(2,1/(('Match Log'!$D$4:$D$810=$K$24)*('Match Log'!$A$4:$A$810&lt;=$J107)),'Match Log'!$N$4:$N$810),NA()))</f>
        <v>1042.7576396056772</v>
      </c>
      <c r="L107">
        <f>IF($J107&gt;MAX('Match Log'!$A$4:$A$810),NA(),IFERROR(LOOKUP(2,1/(('Match Log'!$D$4:$D$810=$L$24)*('Match Log'!$A$4:$A$810&lt;=$J107)),'Match Log'!$N$4:$N$810),NA()))</f>
        <v>1041.6540494492169</v>
      </c>
      <c r="M107">
        <f>IF($J107&gt;MAX('Match Log'!$A$4:$A$810),NA(),IFERROR(LOOKUP(2,1/(('Match Log'!$D$4:$D$810=$M$24)*('Match Log'!$A$4:$A$810&lt;=$J107)),'Match Log'!$N$4:$N$810),NA()))</f>
        <v>1016.7837867075796</v>
      </c>
      <c r="N107">
        <f>IF($J107&gt;MAX('Match Log'!$A$4:$A$810),NA(),IFERROR(LOOKUP(2,1/(('Match Log'!$D$4:$D$810=$N$24)*('Match Log'!$A$4:$A$810&lt;=$J107)),'Match Log'!$N$4:$N$810),NA()))</f>
        <v>942.76014496190749</v>
      </c>
      <c r="O107">
        <f>IF($J107&gt;MAX('Match Log'!$A$4:$A$810),NA(),IFERROR(LOOKUP(2,1/(('Match Log'!$D$4:$D$810=$O$24)*('Match Log'!$A$4:$A$810&lt;=$J107)),'Match Log'!$N$4:$N$810),NA()))</f>
        <v>1163.6944202317491</v>
      </c>
      <c r="P107">
        <f>IF($J107&gt;MAX('Match Log'!$A$4:$A$810),NA(),IFERROR(LOOKUP(2,1/(('Match Log'!$D$4:$D$810=$P$24)*('Match Log'!$A$4:$A$810&lt;=$J107)),'Match Log'!$N$4:$N$810),NA()))</f>
        <v>1029.7715942913092</v>
      </c>
      <c r="Q107">
        <f>IF($J107&gt;MAX('Match Log'!$A$4:$A$810),NA(),IFERROR(LOOKUP(2,1/(('Match Log'!$D$4:$D$810=$Q$24)*('Match Log'!$A$4:$A$810&lt;=$J107)),'Match Log'!$N$4:$N$810),NA()))</f>
        <v>1134.0440793414489</v>
      </c>
      <c r="R107">
        <f>IF($J107&gt;MAX('Match Log'!$A$4:$A$810),NA(),IFERROR(LOOKUP(2,1/(('Match Log'!$D$4:$D$810=$R$24)*('Match Log'!$A$4:$A$810&lt;=$J107)),'Match Log'!$N$4:$N$810),NA()))</f>
        <v>1053.8268660498134</v>
      </c>
      <c r="S107">
        <f>IF($J107&gt;MAX('Match Log'!$A$4:$A$810),NA(),IFERROR(LOOKUP(2,1/(('Match Log'!$D$4:$D$810=$S$24)*('Match Log'!$A$4:$A$810&lt;=$J107)),'Match Log'!$N$4:$N$810),NA()))</f>
        <v>1155.8757908762943</v>
      </c>
      <c r="T107">
        <f>IF($J107&gt;MAX('Match Log'!$A$4:$A$810),NA(),IFERROR(LOOKUP(2,1/(('Match Log'!$D$4:$D$810=$T$24)*('Match Log'!$A$4:$A$810&lt;=$J107)),'Match Log'!$N$4:$N$810),NA()))</f>
        <v>907.24597771907167</v>
      </c>
      <c r="U107">
        <f>IF($J107&gt;MAX('Match Log'!$A$4:$A$810),NA(),IFERROR(LOOKUP(2,1/(('Match Log'!$D$4:$D$810=$U$24)*('Match Log'!$A$4:$A$810&lt;=$J107)),'Match Log'!$N$4:$N$810),NA()))</f>
        <v>992.11836785925334</v>
      </c>
      <c r="V107">
        <f>IF($J107&gt;MAX('Match Log'!$A$4:$A$810),NA(),IFERROR(LOOKUP(2,1/(('Match Log'!$D$4:$D$810=$V$24)*('Match Log'!$A$4:$A$810&lt;=$J107)),'Match Log'!$N$4:$N$810),NA()))</f>
        <v>991.08568456784496</v>
      </c>
      <c r="W107">
        <f>IF($J107&gt;MAX('Match Log'!$A$4:$A$810),NA(),IFERROR(LOOKUP(2,1/(('Match Log'!$D$4:$D$810=$W$24)*('Match Log'!$A$4:$A$810&lt;=$J107)),'Match Log'!$N$4:$N$810),NA()))</f>
        <v>1030.3815983388336</v>
      </c>
      <c r="X107" t="e">
        <f>IF($J107&gt;MAX('Match Log'!$A$4:$A$810),NA(),IFERROR(LOOKUP(2,1/(('Match Log'!$D$4:$D$810=$X$24)*('Match Log'!$A$4:$A$810&lt;=$J107)),'Match Log'!$N$4:$N$810),NA()))</f>
        <v>#N/A</v>
      </c>
      <c r="Y107" t="str">
        <f t="shared" ca="1" si="24"/>
        <v/>
      </c>
    </row>
    <row r="108" spans="1:25" ht="15" customHeight="1" x14ac:dyDescent="0.2">
      <c r="A108">
        <v>84</v>
      </c>
      <c r="B108" s="127">
        <f>IFERROR(INDEX('Match Log'!$B$4:$B$810,MATCH(84,'Match Log'!$A$4:$A$810,0)),"")</f>
        <v>46188</v>
      </c>
      <c r="C108" t="str">
        <f>IFERROR(INDEX('Match Log'!$C$4:$C$810,MATCH(84,'Match Log'!$A$4:$A$810,0)),"")</f>
        <v>ShuffleBoard</v>
      </c>
      <c r="D108" t="str">
        <f t="array" ref="D108">IFERROR(_xlfn.TEXTJOIN(" + ",TRUE,IF(('Match Log'!$A$4:$A$810=$A108)*('Match Log'!$E$4:$E$810="Win"),'Match Log'!$D$4:$D$810,"")),IFERROR(LOOKUP(2,1/(('Match Log'!$A$4:$A$810=$A108)*('Match Log'!$E$4:$E$810="Win")),'Match Log'!$D$4:$D$810),""))</f>
        <v>Aaron + Beau</v>
      </c>
      <c r="E108" s="128">
        <f>IFERROR(INDEX('Match Log'!$F$4:$F$810,MATCH(84,'Match Log'!$A$4:$A$810,0)),"")</f>
        <v>4</v>
      </c>
      <c r="F108">
        <f>IFERROR(SUMIFS('Match Log'!$I$4:$I$810,'Match Log'!$A$4:$A$810,84,'Match Log'!$E$4:$E$810,"Win"),"")</f>
        <v>0.42912621359223302</v>
      </c>
      <c r="G108">
        <f t="shared" si="22"/>
        <v>-0.71650485436893208</v>
      </c>
      <c r="H108" t="str">
        <f t="array" ref="H108">IFERROR(IF(COUNTIFS('Match Log'!$A$4:$A$810,$A108,'Match Log'!$E$4:$E$810,"Win")&gt;1,_xlfn.TEXTJOIN(" + ",TRUE,IF(('Match Log'!$A$4:$A$810=$A108)*('Match Log'!$E$4:$E$810="Loss"),'Match Log'!$D$4:$D$810,"")),IF($E108=2,LOOKUP(2,1/(('Match Log'!$A$4:$A$810=$A108)*('Match Log'!$E$4:$E$810="Loss")),'Match Log'!$D$4:$D$810),"the field")),"")</f>
        <v>Simon + Oscar</v>
      </c>
      <c r="I108">
        <f t="shared" si="23"/>
        <v>-0.71658885436893205</v>
      </c>
      <c r="J108">
        <v>84</v>
      </c>
      <c r="K108">
        <f>IF($J108&gt;MAX('Match Log'!$A$4:$A$810),NA(),IFERROR(LOOKUP(2,1/(('Match Log'!$D$4:$D$810=$K$24)*('Match Log'!$A$4:$A$810&lt;=$J108)),'Match Log'!$N$4:$N$810),NA()))</f>
        <v>1062.6813702451004</v>
      </c>
      <c r="L108">
        <f>IF($J108&gt;MAX('Match Log'!$A$4:$A$810),NA(),IFERROR(LOOKUP(2,1/(('Match Log'!$D$4:$D$810=$L$24)*('Match Log'!$A$4:$A$810&lt;=$J108)),'Match Log'!$N$4:$N$810),NA()))</f>
        <v>1059.6593334866984</v>
      </c>
      <c r="M108">
        <f>IF($J108&gt;MAX('Match Log'!$A$4:$A$810),NA(),IFERROR(LOOKUP(2,1/(('Match Log'!$D$4:$D$810=$M$24)*('Match Log'!$A$4:$A$810&lt;=$J108)),'Match Log'!$N$4:$N$810),NA()))</f>
        <v>1016.7837867075796</v>
      </c>
      <c r="N108">
        <f>IF($J108&gt;MAX('Match Log'!$A$4:$A$810),NA(),IFERROR(LOOKUP(2,1/(('Match Log'!$D$4:$D$810=$N$24)*('Match Log'!$A$4:$A$810&lt;=$J108)),'Match Log'!$N$4:$N$810),NA()))</f>
        <v>942.76014496190749</v>
      </c>
      <c r="O108">
        <f>IF($J108&gt;MAX('Match Log'!$A$4:$A$810),NA(),IFERROR(LOOKUP(2,1/(('Match Log'!$D$4:$D$810=$O$24)*('Match Log'!$A$4:$A$810&lt;=$J108)),'Match Log'!$N$4:$N$810),NA()))</f>
        <v>1163.6944202317491</v>
      </c>
      <c r="P108">
        <f>IF($J108&gt;MAX('Match Log'!$A$4:$A$810),NA(),IFERROR(LOOKUP(2,1/(('Match Log'!$D$4:$D$810=$P$24)*('Match Log'!$A$4:$A$810&lt;=$J108)),'Match Log'!$N$4:$N$810),NA()))</f>
        <v>1029.7715942913092</v>
      </c>
      <c r="Q108">
        <f>IF($J108&gt;MAX('Match Log'!$A$4:$A$810),NA(),IFERROR(LOOKUP(2,1/(('Match Log'!$D$4:$D$810=$Q$24)*('Match Log'!$A$4:$A$810&lt;=$J108)),'Match Log'!$N$4:$N$810),NA()))</f>
        <v>1127.3851990259313</v>
      </c>
      <c r="R108">
        <f>IF($J108&gt;MAX('Match Log'!$A$4:$A$810),NA(),IFERROR(LOOKUP(2,1/(('Match Log'!$D$4:$D$810=$R$24)*('Match Log'!$A$4:$A$810&lt;=$J108)),'Match Log'!$N$4:$N$810),NA()))</f>
        <v>1053.8268660498134</v>
      </c>
      <c r="S108">
        <f>IF($J108&gt;MAX('Match Log'!$A$4:$A$810),NA(),IFERROR(LOOKUP(2,1/(('Match Log'!$D$4:$D$810=$S$24)*('Match Log'!$A$4:$A$810&lt;=$J108)),'Match Log'!$N$4:$N$810),NA()))</f>
        <v>1155.8757908762943</v>
      </c>
      <c r="T108">
        <f>IF($J108&gt;MAX('Match Log'!$A$4:$A$810),NA(),IFERROR(LOOKUP(2,1/(('Match Log'!$D$4:$D$810=$T$24)*('Match Log'!$A$4:$A$810&lt;=$J108)),'Match Log'!$N$4:$N$810),NA()))</f>
        <v>907.24597771907167</v>
      </c>
      <c r="U108">
        <f>IF($J108&gt;MAX('Match Log'!$A$4:$A$810),NA(),IFERROR(LOOKUP(2,1/(('Match Log'!$D$4:$D$810=$U$24)*('Match Log'!$A$4:$A$810&lt;=$J108)),'Match Log'!$N$4:$N$810),NA()))</f>
        <v>988.84823349786632</v>
      </c>
      <c r="V108">
        <f>IF($J108&gt;MAX('Match Log'!$A$4:$A$810),NA(),IFERROR(LOOKUP(2,1/(('Match Log'!$D$4:$D$810=$V$24)*('Match Log'!$A$4:$A$810&lt;=$J108)),'Match Log'!$N$4:$N$810),NA()))</f>
        <v>991.08568456784496</v>
      </c>
      <c r="W108">
        <f>IF($J108&gt;MAX('Match Log'!$A$4:$A$810),NA(),IFERROR(LOOKUP(2,1/(('Match Log'!$D$4:$D$810=$W$24)*('Match Log'!$A$4:$A$810&lt;=$J108)),'Match Log'!$N$4:$N$810),NA()))</f>
        <v>1030.3815983388336</v>
      </c>
      <c r="X108" t="e">
        <f>IF($J108&gt;MAX('Match Log'!$A$4:$A$810),NA(),IFERROR(LOOKUP(2,1/(('Match Log'!$D$4:$D$810=$X$24)*('Match Log'!$A$4:$A$810&lt;=$J108)),'Match Log'!$N$4:$N$810),NA()))</f>
        <v>#N/A</v>
      </c>
      <c r="Y108" t="str">
        <f t="shared" ca="1" si="24"/>
        <v/>
      </c>
    </row>
    <row r="109" spans="1:25" ht="15" customHeight="1" x14ac:dyDescent="0.2">
      <c r="A109">
        <v>85</v>
      </c>
      <c r="B109" s="127">
        <f>IFERROR(INDEX('Match Log'!$B$4:$B$810,MATCH(85,'Match Log'!$A$4:$A$810,0)),"")</f>
        <v>46188</v>
      </c>
      <c r="C109" t="str">
        <f>IFERROR(INDEX('Match Log'!$C$4:$C$810,MATCH(85,'Match Log'!$A$4:$A$810,0)),"")</f>
        <v>ShuffleBoard</v>
      </c>
      <c r="D109" t="str">
        <f t="array" ref="D109">IFERROR(_xlfn.TEXTJOIN(" + ",TRUE,IF(('Match Log'!$A$4:$A$810=$A109)*('Match Log'!$E$4:$E$810="Win"),'Match Log'!$D$4:$D$810,"")),IFERROR(LOOKUP(2,1/(('Match Log'!$A$4:$A$810=$A109)*('Match Log'!$E$4:$E$810="Win")),'Match Log'!$D$4:$D$810),""))</f>
        <v>Dean M + David</v>
      </c>
      <c r="E109" s="128">
        <f>IFERROR(INDEX('Match Log'!$F$4:$F$810,MATCH(85,'Match Log'!$A$4:$A$810,0)),"")</f>
        <v>4</v>
      </c>
      <c r="F109">
        <f>IFERROR(SUMIFS('Match Log'!$I$4:$I$810,'Match Log'!$A$4:$A$810,85,'Match Log'!$E$4:$E$810,"Win"),"")</f>
        <v>0.31800467653936093</v>
      </c>
      <c r="G109">
        <f t="shared" si="22"/>
        <v>-0.27201870615744372</v>
      </c>
      <c r="H109" t="str">
        <f t="array" ref="H109">IFERROR(IF(COUNTIFS('Match Log'!$A$4:$A$810,$A109,'Match Log'!$E$4:$E$810,"Win")&gt;1,_xlfn.TEXTJOIN(" + ",TRUE,IF(('Match Log'!$A$4:$A$810=$A109)*('Match Log'!$E$4:$E$810="Loss"),'Match Log'!$D$4:$D$810,"")),IF($E109=2,LOOKUP(2,1/(('Match Log'!$A$4:$A$810=$A109)*('Match Log'!$E$4:$E$810="Loss")),'Match Log'!$D$4:$D$810),"the field")),"")</f>
        <v>Aaron + Beau</v>
      </c>
      <c r="I109">
        <f t="shared" si="23"/>
        <v>-0.27210370615744373</v>
      </c>
      <c r="J109">
        <v>85</v>
      </c>
      <c r="K109">
        <f>IF($J109&gt;MAX('Match Log'!$A$4:$A$810),NA(),IFERROR(LOOKUP(2,1/(('Match Log'!$D$4:$D$810=$K$24)*('Match Log'!$A$4:$A$810&lt;=$J109)),'Match Log'!$N$4:$N$810),NA()))</f>
        <v>1057.8442062146762</v>
      </c>
      <c r="L109">
        <f>IF($J109&gt;MAX('Match Log'!$A$4:$A$810),NA(),IFERROR(LOOKUP(2,1/(('Match Log'!$D$4:$D$810=$L$24)*('Match Log'!$A$4:$A$810&lt;=$J109)),'Match Log'!$N$4:$N$810),NA()))</f>
        <v>1052.1085402518941</v>
      </c>
      <c r="M109">
        <f>IF($J109&gt;MAX('Match Log'!$A$4:$A$810),NA(),IFERROR(LOOKUP(2,1/(('Match Log'!$D$4:$D$810=$M$24)*('Match Log'!$A$4:$A$810&lt;=$J109)),'Match Log'!$N$4:$N$810),NA()))</f>
        <v>1016.7837867075796</v>
      </c>
      <c r="N109">
        <f>IF($J109&gt;MAX('Match Log'!$A$4:$A$810),NA(),IFERROR(LOOKUP(2,1/(('Match Log'!$D$4:$D$810=$N$24)*('Match Log'!$A$4:$A$810&lt;=$J109)),'Match Log'!$N$4:$N$810),NA()))</f>
        <v>962.61741276053897</v>
      </c>
      <c r="O109">
        <f>IF($J109&gt;MAX('Match Log'!$A$4:$A$810),NA(),IFERROR(LOOKUP(2,1/(('Match Log'!$D$4:$D$810=$O$24)*('Match Log'!$A$4:$A$810&lt;=$J109)),'Match Log'!$N$4:$N$810),NA()))</f>
        <v>1163.6944202317491</v>
      </c>
      <c r="P109">
        <f>IF($J109&gt;MAX('Match Log'!$A$4:$A$810),NA(),IFERROR(LOOKUP(2,1/(('Match Log'!$D$4:$D$810=$P$24)*('Match Log'!$A$4:$A$810&lt;=$J109)),'Match Log'!$N$4:$N$810),NA()))</f>
        <v>1029.7715942913092</v>
      </c>
      <c r="Q109">
        <f>IF($J109&gt;MAX('Match Log'!$A$4:$A$810),NA(),IFERROR(LOOKUP(2,1/(('Match Log'!$D$4:$D$810=$Q$24)*('Match Log'!$A$4:$A$810&lt;=$J109)),'Match Log'!$N$4:$N$810),NA()))</f>
        <v>1127.3851990259313</v>
      </c>
      <c r="R109">
        <f>IF($J109&gt;MAX('Match Log'!$A$4:$A$810),NA(),IFERROR(LOOKUP(2,1/(('Match Log'!$D$4:$D$810=$R$24)*('Match Log'!$A$4:$A$810&lt;=$J109)),'Match Log'!$N$4:$N$810),NA()))</f>
        <v>1053.8268660498134</v>
      </c>
      <c r="S109">
        <f>IF($J109&gt;MAX('Match Log'!$A$4:$A$810),NA(),IFERROR(LOOKUP(2,1/(('Match Log'!$D$4:$D$810=$S$24)*('Match Log'!$A$4:$A$810&lt;=$J109)),'Match Log'!$N$4:$N$810),NA()))</f>
        <v>1155.8757908762943</v>
      </c>
      <c r="T109">
        <f>IF($J109&gt;MAX('Match Log'!$A$4:$A$810),NA(),IFERROR(LOOKUP(2,1/(('Match Log'!$D$4:$D$810=$T$24)*('Match Log'!$A$4:$A$810&lt;=$J109)),'Match Log'!$N$4:$N$810),NA()))</f>
        <v>907.24597771907167</v>
      </c>
      <c r="U109">
        <f>IF($J109&gt;MAX('Match Log'!$A$4:$A$810),NA(),IFERROR(LOOKUP(2,1/(('Match Log'!$D$4:$D$810=$U$24)*('Match Log'!$A$4:$A$810&lt;=$J109)),'Match Log'!$N$4:$N$810),NA()))</f>
        <v>988.84823349786632</v>
      </c>
      <c r="V109">
        <f>IF($J109&gt;MAX('Match Log'!$A$4:$A$810),NA(),IFERROR(LOOKUP(2,1/(('Match Log'!$D$4:$D$810=$V$24)*('Match Log'!$A$4:$A$810&lt;=$J109)),'Match Log'!$N$4:$N$810),NA()))</f>
        <v>1011.6163740344422</v>
      </c>
      <c r="W109">
        <f>IF($J109&gt;MAX('Match Log'!$A$4:$A$810),NA(),IFERROR(LOOKUP(2,1/(('Match Log'!$D$4:$D$810=$W$24)*('Match Log'!$A$4:$A$810&lt;=$J109)),'Match Log'!$N$4:$N$810),NA()))</f>
        <v>1030.3815983388336</v>
      </c>
      <c r="X109" t="e">
        <f>IF($J109&gt;MAX('Match Log'!$A$4:$A$810),NA(),IFERROR(LOOKUP(2,1/(('Match Log'!$D$4:$D$810=$X$24)*('Match Log'!$A$4:$A$810&lt;=$J109)),'Match Log'!$N$4:$N$810),NA()))</f>
        <v>#N/A</v>
      </c>
      <c r="Y109" t="str">
        <f t="shared" ca="1" si="24"/>
        <v/>
      </c>
    </row>
    <row r="110" spans="1:25" ht="15" customHeight="1" x14ac:dyDescent="0.2">
      <c r="A110">
        <v>86</v>
      </c>
      <c r="B110" s="127">
        <f>IFERROR(INDEX('Match Log'!$B$4:$B$810,MATCH(86,'Match Log'!$A$4:$A$810,0)),"")</f>
        <v>46188</v>
      </c>
      <c r="C110" t="str">
        <f>IFERROR(INDEX('Match Log'!$C$4:$C$810,MATCH(86,'Match Log'!$A$4:$A$810,0)),"")</f>
        <v>ShuffleBoard</v>
      </c>
      <c r="D110" t="str">
        <f t="array" ref="D110">IFERROR(_xlfn.TEXTJOIN(" + ",TRUE,IF(('Match Log'!$A$4:$A$810=$A110)*('Match Log'!$E$4:$E$810="Win"),'Match Log'!$D$4:$D$810,"")),IFERROR(LOOKUP(2,1/(('Match Log'!$A$4:$A$810=$A110)*('Match Log'!$E$4:$E$810="Win")),'Match Log'!$D$4:$D$810),""))</f>
        <v>Dean M + David</v>
      </c>
      <c r="E110" s="128">
        <f>IFERROR(INDEX('Match Log'!$F$4:$F$810,MATCH(86,'Match Log'!$A$4:$A$810,0)),"")</f>
        <v>4</v>
      </c>
      <c r="F110">
        <f>IFERROR(SUMIFS('Match Log'!$I$4:$I$810,'Match Log'!$A$4:$A$810,86,'Match Log'!$E$4:$E$810,"Win"),"")</f>
        <v>0.4285714285714286</v>
      </c>
      <c r="G110">
        <f t="shared" si="22"/>
        <v>-0.71428571428571441</v>
      </c>
      <c r="H110" t="str">
        <f t="array" ref="H110">IFERROR(IF(COUNTIFS('Match Log'!$A$4:$A$810,$A110,'Match Log'!$E$4:$E$810,"Win")&gt;1,_xlfn.TEXTJOIN(" + ",TRUE,IF(('Match Log'!$A$4:$A$810=$A110)*('Match Log'!$E$4:$E$810="Loss"),'Match Log'!$D$4:$D$810,"")),IF($E110=2,LOOKUP(2,1/(('Match Log'!$A$4:$A$810=$A110)*('Match Log'!$E$4:$E$810="Loss")),'Match Log'!$D$4:$D$810),"the field")),"")</f>
        <v>Shawn + Josh</v>
      </c>
      <c r="I110">
        <f t="shared" si="23"/>
        <v>-0.71437171428571444</v>
      </c>
      <c r="J110">
        <v>86</v>
      </c>
      <c r="K110">
        <f>IF($J110&gt;MAX('Match Log'!$A$4:$A$810),NA(),IFERROR(LOOKUP(2,1/(('Match Log'!$D$4:$D$810=$K$24)*('Match Log'!$A$4:$A$810&lt;=$J110)),'Match Log'!$N$4:$N$810),NA()))</f>
        <v>1057.8442062146762</v>
      </c>
      <c r="L110">
        <f>IF($J110&gt;MAX('Match Log'!$A$4:$A$810),NA(),IFERROR(LOOKUP(2,1/(('Match Log'!$D$4:$D$810=$L$24)*('Match Log'!$A$4:$A$810&lt;=$J110)),'Match Log'!$N$4:$N$810),NA()))</f>
        <v>1052.1085402518941</v>
      </c>
      <c r="M110">
        <f>IF($J110&gt;MAX('Match Log'!$A$4:$A$810),NA(),IFERROR(LOOKUP(2,1/(('Match Log'!$D$4:$D$810=$M$24)*('Match Log'!$A$4:$A$810&lt;=$J110)),'Match Log'!$N$4:$N$810),NA()))</f>
        <v>1016.7837867075796</v>
      </c>
      <c r="N110">
        <f>IF($J110&gt;MAX('Match Log'!$A$4:$A$810),NA(),IFERROR(LOOKUP(2,1/(('Match Log'!$D$4:$D$810=$N$24)*('Match Log'!$A$4:$A$810&lt;=$J110)),'Match Log'!$N$4:$N$810),NA()))</f>
        <v>981.92436608474441</v>
      </c>
      <c r="O110">
        <f>IF($J110&gt;MAX('Match Log'!$A$4:$A$810),NA(),IFERROR(LOOKUP(2,1/(('Match Log'!$D$4:$D$810=$O$24)*('Match Log'!$A$4:$A$810&lt;=$J110)),'Match Log'!$N$4:$N$810),NA()))</f>
        <v>1158.0745310110758</v>
      </c>
      <c r="P110">
        <f>IF($J110&gt;MAX('Match Log'!$A$4:$A$810),NA(),IFERROR(LOOKUP(2,1/(('Match Log'!$D$4:$D$810=$P$24)*('Match Log'!$A$4:$A$810&lt;=$J110)),'Match Log'!$N$4:$N$810),NA()))</f>
        <v>1024.4750558551682</v>
      </c>
      <c r="Q110">
        <f>IF($J110&gt;MAX('Match Log'!$A$4:$A$810),NA(),IFERROR(LOOKUP(2,1/(('Match Log'!$D$4:$D$810=$Q$24)*('Match Log'!$A$4:$A$810&lt;=$J110)),'Match Log'!$N$4:$N$810),NA()))</f>
        <v>1127.3851990259313</v>
      </c>
      <c r="R110">
        <f>IF($J110&gt;MAX('Match Log'!$A$4:$A$810),NA(),IFERROR(LOOKUP(2,1/(('Match Log'!$D$4:$D$810=$R$24)*('Match Log'!$A$4:$A$810&lt;=$J110)),'Match Log'!$N$4:$N$810),NA()))</f>
        <v>1053.8268660498134</v>
      </c>
      <c r="S110">
        <f>IF($J110&gt;MAX('Match Log'!$A$4:$A$810),NA(),IFERROR(LOOKUP(2,1/(('Match Log'!$D$4:$D$810=$S$24)*('Match Log'!$A$4:$A$810&lt;=$J110)),'Match Log'!$N$4:$N$810),NA()))</f>
        <v>1155.8757908762943</v>
      </c>
      <c r="T110">
        <f>IF($J110&gt;MAX('Match Log'!$A$4:$A$810),NA(),IFERROR(LOOKUP(2,1/(('Match Log'!$D$4:$D$810=$T$24)*('Match Log'!$A$4:$A$810&lt;=$J110)),'Match Log'!$N$4:$N$810),NA()))</f>
        <v>907.24597771907167</v>
      </c>
      <c r="U110">
        <f>IF($J110&gt;MAX('Match Log'!$A$4:$A$810),NA(),IFERROR(LOOKUP(2,1/(('Match Log'!$D$4:$D$810=$U$24)*('Match Log'!$A$4:$A$810&lt;=$J110)),'Match Log'!$N$4:$N$810),NA()))</f>
        <v>988.84823349786632</v>
      </c>
      <c r="V110">
        <f>IF($J110&gt;MAX('Match Log'!$A$4:$A$810),NA(),IFERROR(LOOKUP(2,1/(('Match Log'!$D$4:$D$810=$V$24)*('Match Log'!$A$4:$A$810&lt;=$J110)),'Match Log'!$N$4:$N$810),NA()))</f>
        <v>1031.225848367051</v>
      </c>
      <c r="W110">
        <f>IF($J110&gt;MAX('Match Log'!$A$4:$A$810),NA(),IFERROR(LOOKUP(2,1/(('Match Log'!$D$4:$D$810=$W$24)*('Match Log'!$A$4:$A$810&lt;=$J110)),'Match Log'!$N$4:$N$810),NA()))</f>
        <v>1030.3815983388336</v>
      </c>
      <c r="X110" t="e">
        <f>IF($J110&gt;MAX('Match Log'!$A$4:$A$810),NA(),IFERROR(LOOKUP(2,1/(('Match Log'!$D$4:$D$810=$X$24)*('Match Log'!$A$4:$A$810&lt;=$J110)),'Match Log'!$N$4:$N$810),NA()))</f>
        <v>#N/A</v>
      </c>
      <c r="Y110" t="str">
        <f t="shared" ca="1" si="24"/>
        <v/>
      </c>
    </row>
    <row r="111" spans="1:25" ht="15" customHeight="1" x14ac:dyDescent="0.2">
      <c r="A111">
        <v>87</v>
      </c>
      <c r="B111" s="127">
        <f>IFERROR(INDEX('Match Log'!$B$4:$B$810,MATCH(87,'Match Log'!$A$4:$A$810,0)),"")</f>
        <v>46188</v>
      </c>
      <c r="C111" t="str">
        <f>IFERROR(INDEX('Match Log'!$C$4:$C$810,MATCH(87,'Match Log'!$A$4:$A$810,0)),"")</f>
        <v>Pool</v>
      </c>
      <c r="D111" t="str">
        <f t="array" ref="D111">IFERROR(_xlfn.TEXTJOIN(" + ",TRUE,IF(('Match Log'!$A$4:$A$810=$A111)*('Match Log'!$E$4:$E$810="Win"),'Match Log'!$D$4:$D$810,"")),IFERROR(LOOKUP(2,1/(('Match Log'!$A$4:$A$810=$A111)*('Match Log'!$E$4:$E$810="Win")),'Match Log'!$D$4:$D$810),""))</f>
        <v>Simon</v>
      </c>
      <c r="E111" s="128">
        <f>IFERROR(INDEX('Match Log'!$F$4:$F$810,MATCH(87,'Match Log'!$A$4:$A$810,0)),"")</f>
        <v>2</v>
      </c>
      <c r="F111">
        <f>IFERROR(SUMIFS('Match Log'!$I$4:$I$810,'Match Log'!$A$4:$A$810,87,'Match Log'!$E$4:$E$810,"Win"),"")</f>
        <v>0.5</v>
      </c>
      <c r="G111">
        <f t="shared" si="22"/>
        <v>0</v>
      </c>
      <c r="H111" t="str">
        <f t="array" ref="H111">IFERROR(IF(COUNTIFS('Match Log'!$A$4:$A$810,$A111,'Match Log'!$E$4:$E$810,"Win")&gt;1,_xlfn.TEXTJOIN(" + ",TRUE,IF(('Match Log'!$A$4:$A$810=$A111)*('Match Log'!$E$4:$E$810="Loss"),'Match Log'!$D$4:$D$810,"")),IF($E111=2,LOOKUP(2,1/(('Match Log'!$A$4:$A$810=$A111)*('Match Log'!$E$4:$E$810="Loss")),'Match Log'!$D$4:$D$810),"the field")),"")</f>
        <v>Dean B</v>
      </c>
      <c r="I111">
        <f t="shared" si="23"/>
        <v>-8.7000000000000001E-5</v>
      </c>
      <c r="J111">
        <v>87</v>
      </c>
      <c r="K111">
        <f>IF($J111&gt;MAX('Match Log'!$A$4:$A$810),NA(),IFERROR(LOOKUP(2,1/(('Match Log'!$D$4:$D$810=$K$24)*('Match Log'!$A$4:$A$810&lt;=$J111)),'Match Log'!$N$4:$N$810),NA()))</f>
        <v>1057.8442062146762</v>
      </c>
      <c r="L111">
        <f>IF($J111&gt;MAX('Match Log'!$A$4:$A$810),NA(),IFERROR(LOOKUP(2,1/(('Match Log'!$D$4:$D$810=$L$24)*('Match Log'!$A$4:$A$810&lt;=$J111)),'Match Log'!$N$4:$N$810),NA()))</f>
        <v>1052.1085402518941</v>
      </c>
      <c r="M111">
        <f>IF($J111&gt;MAX('Match Log'!$A$4:$A$810),NA(),IFERROR(LOOKUP(2,1/(('Match Log'!$D$4:$D$810=$M$24)*('Match Log'!$A$4:$A$810&lt;=$J111)),'Match Log'!$N$4:$N$810),NA()))</f>
        <v>1016.7837867075796</v>
      </c>
      <c r="N111">
        <f>IF($J111&gt;MAX('Match Log'!$A$4:$A$810),NA(),IFERROR(LOOKUP(2,1/(('Match Log'!$D$4:$D$810=$N$24)*('Match Log'!$A$4:$A$810&lt;=$J111)),'Match Log'!$N$4:$N$810),NA()))</f>
        <v>981.92436608474441</v>
      </c>
      <c r="O111">
        <f>IF($J111&gt;MAX('Match Log'!$A$4:$A$810),NA(),IFERROR(LOOKUP(2,1/(('Match Log'!$D$4:$D$810=$O$24)*('Match Log'!$A$4:$A$810&lt;=$J111)),'Match Log'!$N$4:$N$810),NA()))</f>
        <v>1158.0745310110758</v>
      </c>
      <c r="P111">
        <f>IF($J111&gt;MAX('Match Log'!$A$4:$A$810),NA(),IFERROR(LOOKUP(2,1/(('Match Log'!$D$4:$D$810=$P$24)*('Match Log'!$A$4:$A$810&lt;=$J111)),'Match Log'!$N$4:$N$810),NA()))</f>
        <v>1024.4750558551682</v>
      </c>
      <c r="Q111">
        <f>IF($J111&gt;MAX('Match Log'!$A$4:$A$810),NA(),IFERROR(LOOKUP(2,1/(('Match Log'!$D$4:$D$810=$Q$24)*('Match Log'!$A$4:$A$810&lt;=$J111)),'Match Log'!$N$4:$N$810),NA()))</f>
        <v>1147.4171642404699</v>
      </c>
      <c r="R111">
        <f>IF($J111&gt;MAX('Match Log'!$A$4:$A$810),NA(),IFERROR(LOOKUP(2,1/(('Match Log'!$D$4:$D$810=$R$24)*('Match Log'!$A$4:$A$810&lt;=$J111)),'Match Log'!$N$4:$N$810),NA()))</f>
        <v>1053.8268660498134</v>
      </c>
      <c r="S111">
        <f>IF($J111&gt;MAX('Match Log'!$A$4:$A$810),NA(),IFERROR(LOOKUP(2,1/(('Match Log'!$D$4:$D$810=$S$24)*('Match Log'!$A$4:$A$810&lt;=$J111)),'Match Log'!$N$4:$N$810),NA()))</f>
        <v>1135.8438256617558</v>
      </c>
      <c r="T111">
        <f>IF($J111&gt;MAX('Match Log'!$A$4:$A$810),NA(),IFERROR(LOOKUP(2,1/(('Match Log'!$D$4:$D$810=$T$24)*('Match Log'!$A$4:$A$810&lt;=$J111)),'Match Log'!$N$4:$N$810),NA()))</f>
        <v>907.24597771907167</v>
      </c>
      <c r="U111">
        <f>IF($J111&gt;MAX('Match Log'!$A$4:$A$810),NA(),IFERROR(LOOKUP(2,1/(('Match Log'!$D$4:$D$810=$U$24)*('Match Log'!$A$4:$A$810&lt;=$J111)),'Match Log'!$N$4:$N$810),NA()))</f>
        <v>988.84823349786632</v>
      </c>
      <c r="V111">
        <f>IF($J111&gt;MAX('Match Log'!$A$4:$A$810),NA(),IFERROR(LOOKUP(2,1/(('Match Log'!$D$4:$D$810=$V$24)*('Match Log'!$A$4:$A$810&lt;=$J111)),'Match Log'!$N$4:$N$810),NA()))</f>
        <v>1031.225848367051</v>
      </c>
      <c r="W111">
        <f>IF($J111&gt;MAX('Match Log'!$A$4:$A$810),NA(),IFERROR(LOOKUP(2,1/(('Match Log'!$D$4:$D$810=$W$24)*('Match Log'!$A$4:$A$810&lt;=$J111)),'Match Log'!$N$4:$N$810),NA()))</f>
        <v>1030.3815983388336</v>
      </c>
      <c r="X111" t="e">
        <f>IF($J111&gt;MAX('Match Log'!$A$4:$A$810),NA(),IFERROR(LOOKUP(2,1/(('Match Log'!$D$4:$D$810=$X$24)*('Match Log'!$A$4:$A$810&lt;=$J111)),'Match Log'!$N$4:$N$810),NA()))</f>
        <v>#N/A</v>
      </c>
      <c r="Y111" t="str">
        <f t="shared" ca="1" si="24"/>
        <v/>
      </c>
    </row>
    <row r="112" spans="1:25" ht="15" customHeight="1" x14ac:dyDescent="0.2">
      <c r="A112">
        <v>88</v>
      </c>
      <c r="B112" s="127">
        <f>IFERROR(INDEX('Match Log'!$B$4:$B$810,MATCH(88,'Match Log'!$A$4:$A$810,0)),"")</f>
        <v>46188</v>
      </c>
      <c r="C112" t="str">
        <f>IFERROR(INDEX('Match Log'!$C$4:$C$810,MATCH(88,'Match Log'!$A$4:$A$810,0)),"")</f>
        <v>Pool</v>
      </c>
      <c r="D112" t="str">
        <f t="array" ref="D112">IFERROR(_xlfn.TEXTJOIN(" + ",TRUE,IF(('Match Log'!$A$4:$A$810=$A112)*('Match Log'!$E$4:$E$810="Win"),'Match Log'!$D$4:$D$810,"")),IFERROR(LOOKUP(2,1/(('Match Log'!$A$4:$A$810=$A112)*('Match Log'!$E$4:$E$810="Win")),'Match Log'!$D$4:$D$810),""))</f>
        <v>Simon</v>
      </c>
      <c r="E112" s="128">
        <f>IFERROR(INDEX('Match Log'!$F$4:$F$810,MATCH(88,'Match Log'!$A$4:$A$810,0)),"")</f>
        <v>2</v>
      </c>
      <c r="F112">
        <f>IFERROR(SUMIFS('Match Log'!$I$4:$I$810,'Match Log'!$A$4:$A$810,88,'Match Log'!$E$4:$E$810,"Win"),"")</f>
        <v>0.60869565217391308</v>
      </c>
      <c r="G112">
        <f t="shared" si="22"/>
        <v>-0.21739130434782616</v>
      </c>
      <c r="H112" t="str">
        <f t="array" ref="H112">IFERROR(IF(COUNTIFS('Match Log'!$A$4:$A$810,$A112,'Match Log'!$E$4:$E$810,"Win")&gt;1,_xlfn.TEXTJOIN(" + ",TRUE,IF(('Match Log'!$A$4:$A$810=$A112)*('Match Log'!$E$4:$E$810="Loss"),'Match Log'!$D$4:$D$810,"")),IF($E112=2,LOOKUP(2,1/(('Match Log'!$A$4:$A$810=$A112)*('Match Log'!$E$4:$E$810="Loss")),'Match Log'!$D$4:$D$810),"the field")),"")</f>
        <v>Dean B</v>
      </c>
      <c r="I112">
        <f t="shared" si="23"/>
        <v>-0.21747930434782617</v>
      </c>
      <c r="J112">
        <v>88</v>
      </c>
      <c r="K112">
        <f>IF($J112&gt;MAX('Match Log'!$A$4:$A$810),NA(),IFERROR(LOOKUP(2,1/(('Match Log'!$D$4:$D$810=$K$24)*('Match Log'!$A$4:$A$810&lt;=$J112)),'Match Log'!$N$4:$N$810),NA()))</f>
        <v>1057.8442062146762</v>
      </c>
      <c r="L112">
        <f>IF($J112&gt;MAX('Match Log'!$A$4:$A$810),NA(),IFERROR(LOOKUP(2,1/(('Match Log'!$D$4:$D$810=$L$24)*('Match Log'!$A$4:$A$810&lt;=$J112)),'Match Log'!$N$4:$N$810),NA()))</f>
        <v>1052.1085402518941</v>
      </c>
      <c r="M112">
        <f>IF($J112&gt;MAX('Match Log'!$A$4:$A$810),NA(),IFERROR(LOOKUP(2,1/(('Match Log'!$D$4:$D$810=$M$24)*('Match Log'!$A$4:$A$810&lt;=$J112)),'Match Log'!$N$4:$N$810),NA()))</f>
        <v>1016.7837867075796</v>
      </c>
      <c r="N112">
        <f>IF($J112&gt;MAX('Match Log'!$A$4:$A$810),NA(),IFERROR(LOOKUP(2,1/(('Match Log'!$D$4:$D$810=$N$24)*('Match Log'!$A$4:$A$810&lt;=$J112)),'Match Log'!$N$4:$N$810),NA()))</f>
        <v>981.92436608474441</v>
      </c>
      <c r="O112">
        <f>IF($J112&gt;MAX('Match Log'!$A$4:$A$810),NA(),IFERROR(LOOKUP(2,1/(('Match Log'!$D$4:$D$810=$O$24)*('Match Log'!$A$4:$A$810&lt;=$J112)),'Match Log'!$N$4:$N$810),NA()))</f>
        <v>1158.0745310110758</v>
      </c>
      <c r="P112">
        <f>IF($J112&gt;MAX('Match Log'!$A$4:$A$810),NA(),IFERROR(LOOKUP(2,1/(('Match Log'!$D$4:$D$810=$P$24)*('Match Log'!$A$4:$A$810&lt;=$J112)),'Match Log'!$N$4:$N$810),NA()))</f>
        <v>1024.4750558551682</v>
      </c>
      <c r="Q112">
        <f>IF($J112&gt;MAX('Match Log'!$A$4:$A$810),NA(),IFERROR(LOOKUP(2,1/(('Match Log'!$D$4:$D$810=$Q$24)*('Match Log'!$A$4:$A$810&lt;=$J112)),'Match Log'!$N$4:$N$810),NA()))</f>
        <v>1165.026056955317</v>
      </c>
      <c r="R112">
        <f>IF($J112&gt;MAX('Match Log'!$A$4:$A$810),NA(),IFERROR(LOOKUP(2,1/(('Match Log'!$D$4:$D$810=$R$24)*('Match Log'!$A$4:$A$810&lt;=$J112)),'Match Log'!$N$4:$N$810),NA()))</f>
        <v>1053.8268660498134</v>
      </c>
      <c r="S112">
        <f>IF($J112&gt;MAX('Match Log'!$A$4:$A$810),NA(),IFERROR(LOOKUP(2,1/(('Match Log'!$D$4:$D$810=$S$24)*('Match Log'!$A$4:$A$810&lt;=$J112)),'Match Log'!$N$4:$N$810),NA()))</f>
        <v>1118.2349329469087</v>
      </c>
      <c r="T112">
        <f>IF($J112&gt;MAX('Match Log'!$A$4:$A$810),NA(),IFERROR(LOOKUP(2,1/(('Match Log'!$D$4:$D$810=$T$24)*('Match Log'!$A$4:$A$810&lt;=$J112)),'Match Log'!$N$4:$N$810),NA()))</f>
        <v>907.24597771907167</v>
      </c>
      <c r="U112">
        <f>IF($J112&gt;MAX('Match Log'!$A$4:$A$810),NA(),IFERROR(LOOKUP(2,1/(('Match Log'!$D$4:$D$810=$U$24)*('Match Log'!$A$4:$A$810&lt;=$J112)),'Match Log'!$N$4:$N$810),NA()))</f>
        <v>988.84823349786632</v>
      </c>
      <c r="V112">
        <f>IF($J112&gt;MAX('Match Log'!$A$4:$A$810),NA(),IFERROR(LOOKUP(2,1/(('Match Log'!$D$4:$D$810=$V$24)*('Match Log'!$A$4:$A$810&lt;=$J112)),'Match Log'!$N$4:$N$810),NA()))</f>
        <v>1031.225848367051</v>
      </c>
      <c r="W112">
        <f>IF($J112&gt;MAX('Match Log'!$A$4:$A$810),NA(),IFERROR(LOOKUP(2,1/(('Match Log'!$D$4:$D$810=$W$24)*('Match Log'!$A$4:$A$810&lt;=$J112)),'Match Log'!$N$4:$N$810),NA()))</f>
        <v>1030.3815983388336</v>
      </c>
      <c r="X112" t="e">
        <f>IF($J112&gt;MAX('Match Log'!$A$4:$A$810),NA(),IFERROR(LOOKUP(2,1/(('Match Log'!$D$4:$D$810=$X$24)*('Match Log'!$A$4:$A$810&lt;=$J112)),'Match Log'!$N$4:$N$810),NA()))</f>
        <v>#N/A</v>
      </c>
      <c r="Y112" t="str">
        <f t="shared" ca="1" si="24"/>
        <v/>
      </c>
    </row>
    <row r="113" spans="1:25" ht="15" customHeight="1" x14ac:dyDescent="0.2">
      <c r="A113">
        <v>89</v>
      </c>
      <c r="B113" s="127">
        <f>IFERROR(INDEX('Match Log'!$B$4:$B$810,MATCH(89,'Match Log'!$A$4:$A$810,0)),"")</f>
        <v>46188</v>
      </c>
      <c r="C113" t="str">
        <f>IFERROR(INDEX('Match Log'!$C$4:$C$810,MATCH(89,'Match Log'!$A$4:$A$810,0)),"")</f>
        <v>Mario Party</v>
      </c>
      <c r="D113" t="str">
        <f t="array" ref="D113">IFERROR(_xlfn.TEXTJOIN(" + ",TRUE,IF(('Match Log'!$A$4:$A$810=$A113)*('Match Log'!$E$4:$E$810="Win"),'Match Log'!$D$4:$D$810,"")),IFERROR(LOOKUP(2,1/(('Match Log'!$A$4:$A$810=$A113)*('Match Log'!$E$4:$E$810="Win")),'Match Log'!$D$4:$D$810),""))</f>
        <v>Daniel (Ferret)</v>
      </c>
      <c r="E113" s="128">
        <f>IFERROR(INDEX('Match Log'!$F$4:$F$810,MATCH(89,'Match Log'!$A$4:$A$810,0)),"")</f>
        <v>3</v>
      </c>
      <c r="F113">
        <f>IFERROR(SUMIFS('Match Log'!$I$4:$I$810,'Match Log'!$A$4:$A$810,89,'Match Log'!$E$4:$E$810,"Win"),"")</f>
        <v>0.33333333333333331</v>
      </c>
      <c r="G113">
        <f t="shared" si="22"/>
        <v>0</v>
      </c>
      <c r="H113" t="str">
        <f t="array" ref="H113">IFERROR(IF(COUNTIFS('Match Log'!$A$4:$A$810,$A113,'Match Log'!$E$4:$E$810,"Win")&gt;1,_xlfn.TEXTJOIN(" + ",TRUE,IF(('Match Log'!$A$4:$A$810=$A113)*('Match Log'!$E$4:$E$810="Loss"),'Match Log'!$D$4:$D$810,"")),IF($E113=2,LOOKUP(2,1/(('Match Log'!$A$4:$A$810=$A113)*('Match Log'!$E$4:$E$810="Loss")),'Match Log'!$D$4:$D$810),"the field")),"")</f>
        <v>the field</v>
      </c>
      <c r="I113">
        <f t="shared" si="23"/>
        <v>-8.8999999999999995E-5</v>
      </c>
      <c r="J113">
        <v>89</v>
      </c>
      <c r="K113">
        <f>IF($J113&gt;MAX('Match Log'!$A$4:$A$810),NA(),IFERROR(LOOKUP(2,1/(('Match Log'!$D$4:$D$810=$K$24)*('Match Log'!$A$4:$A$810&lt;=$J113)),'Match Log'!$N$4:$N$810),NA()))</f>
        <v>1057.8442062146762</v>
      </c>
      <c r="L113">
        <f>IF($J113&gt;MAX('Match Log'!$A$4:$A$810),NA(),IFERROR(LOOKUP(2,1/(('Match Log'!$D$4:$D$810=$L$24)*('Match Log'!$A$4:$A$810&lt;=$J113)),'Match Log'!$N$4:$N$810),NA()))</f>
        <v>1052.1085402518941</v>
      </c>
      <c r="M113">
        <f>IF($J113&gt;MAX('Match Log'!$A$4:$A$810),NA(),IFERROR(LOOKUP(2,1/(('Match Log'!$D$4:$D$810=$M$24)*('Match Log'!$A$4:$A$810&lt;=$J113)),'Match Log'!$N$4:$N$810),NA()))</f>
        <v>1016.7837867075796</v>
      </c>
      <c r="N113">
        <f>IF($J113&gt;MAX('Match Log'!$A$4:$A$810),NA(),IFERROR(LOOKUP(2,1/(('Match Log'!$D$4:$D$810=$N$24)*('Match Log'!$A$4:$A$810&lt;=$J113)),'Match Log'!$N$4:$N$810),NA()))</f>
        <v>981.92436608474441</v>
      </c>
      <c r="O113">
        <f>IF($J113&gt;MAX('Match Log'!$A$4:$A$810),NA(),IFERROR(LOOKUP(2,1/(('Match Log'!$D$4:$D$810=$O$24)*('Match Log'!$A$4:$A$810&lt;=$J113)),'Match Log'!$N$4:$N$810),NA()))</f>
        <v>1158.0745310110758</v>
      </c>
      <c r="P113">
        <f>IF($J113&gt;MAX('Match Log'!$A$4:$A$810),NA(),IFERROR(LOOKUP(2,1/(('Match Log'!$D$4:$D$810=$P$24)*('Match Log'!$A$4:$A$810&lt;=$J113)),'Match Log'!$N$4:$N$810),NA()))</f>
        <v>1016.1493029697812</v>
      </c>
      <c r="Q113">
        <f>IF($J113&gt;MAX('Match Log'!$A$4:$A$810),NA(),IFERROR(LOOKUP(2,1/(('Match Log'!$D$4:$D$810=$Q$24)*('Match Log'!$A$4:$A$810&lt;=$J113)),'Match Log'!$N$4:$N$810),NA()))</f>
        <v>1165.026056955317</v>
      </c>
      <c r="R113">
        <f>IF($J113&gt;MAX('Match Log'!$A$4:$A$810),NA(),IFERROR(LOOKUP(2,1/(('Match Log'!$D$4:$D$810=$R$24)*('Match Log'!$A$4:$A$810&lt;=$J113)),'Match Log'!$N$4:$N$810),NA()))</f>
        <v>1078.6736344283954</v>
      </c>
      <c r="S113">
        <f>IF($J113&gt;MAX('Match Log'!$A$4:$A$810),NA(),IFERROR(LOOKUP(2,1/(('Match Log'!$D$4:$D$810=$S$24)*('Match Log'!$A$4:$A$810&lt;=$J113)),'Match Log'!$N$4:$N$810),NA()))</f>
        <v>1118.2349329469087</v>
      </c>
      <c r="T113">
        <f>IF($J113&gt;MAX('Match Log'!$A$4:$A$810),NA(),IFERROR(LOOKUP(2,1/(('Match Log'!$D$4:$D$810=$T$24)*('Match Log'!$A$4:$A$810&lt;=$J113)),'Match Log'!$N$4:$N$810),NA()))</f>
        <v>907.24597771907167</v>
      </c>
      <c r="U113">
        <f>IF($J113&gt;MAX('Match Log'!$A$4:$A$810),NA(),IFERROR(LOOKUP(2,1/(('Match Log'!$D$4:$D$810=$U$24)*('Match Log'!$A$4:$A$810&lt;=$J113)),'Match Log'!$N$4:$N$810),NA()))</f>
        <v>981.32721800467129</v>
      </c>
      <c r="V113">
        <f>IF($J113&gt;MAX('Match Log'!$A$4:$A$810),NA(),IFERROR(LOOKUP(2,1/(('Match Log'!$D$4:$D$810=$V$24)*('Match Log'!$A$4:$A$810&lt;=$J113)),'Match Log'!$N$4:$N$810),NA()))</f>
        <v>1031.225848367051</v>
      </c>
      <c r="W113">
        <f>IF($J113&gt;MAX('Match Log'!$A$4:$A$810),NA(),IFERROR(LOOKUP(2,1/(('Match Log'!$D$4:$D$810=$W$24)*('Match Log'!$A$4:$A$810&lt;=$J113)),'Match Log'!$N$4:$N$810),NA()))</f>
        <v>1030.3815983388336</v>
      </c>
      <c r="X113" t="e">
        <f>IF($J113&gt;MAX('Match Log'!$A$4:$A$810),NA(),IFERROR(LOOKUP(2,1/(('Match Log'!$D$4:$D$810=$X$24)*('Match Log'!$A$4:$A$810&lt;=$J113)),'Match Log'!$N$4:$N$810),NA()))</f>
        <v>#N/A</v>
      </c>
      <c r="Y113" t="str">
        <f t="shared" ca="1" si="24"/>
        <v/>
      </c>
    </row>
    <row r="114" spans="1:25" ht="15" customHeight="1" x14ac:dyDescent="0.2">
      <c r="A114">
        <v>90</v>
      </c>
      <c r="B114" s="127">
        <f>IFERROR(INDEX('Match Log'!$B$4:$B$810,MATCH(90,'Match Log'!$A$4:$A$810,0)),"")</f>
        <v>46188</v>
      </c>
      <c r="C114" t="str">
        <f>IFERROR(INDEX('Match Log'!$C$4:$C$810,MATCH(90,'Match Log'!$A$4:$A$810,0)),"")</f>
        <v>Table Tennis</v>
      </c>
      <c r="D114" t="str">
        <f t="array" ref="D114">IFERROR(_xlfn.TEXTJOIN(" + ",TRUE,IF(('Match Log'!$A$4:$A$810=$A114)*('Match Log'!$E$4:$E$810="Win"),'Match Log'!$D$4:$D$810,"")),IFERROR(LOOKUP(2,1/(('Match Log'!$A$4:$A$810=$A114)*('Match Log'!$E$4:$E$810="Win")),'Match Log'!$D$4:$D$810),""))</f>
        <v>Oscar</v>
      </c>
      <c r="E114" s="128">
        <f>IFERROR(INDEX('Match Log'!$F$4:$F$810,MATCH(90,'Match Log'!$A$4:$A$810,0)),"")</f>
        <v>2</v>
      </c>
      <c r="F114">
        <f>IFERROR(SUMIFS('Match Log'!$I$4:$I$810,'Match Log'!$A$4:$A$810,90,'Match Log'!$E$4:$E$810,"Win"),"")</f>
        <v>0.4</v>
      </c>
      <c r="G114">
        <f t="shared" si="22"/>
        <v>0.19999999999999996</v>
      </c>
      <c r="H114" t="str">
        <f t="array" ref="H114">IFERROR(IF(COUNTIFS('Match Log'!$A$4:$A$810,$A114,'Match Log'!$E$4:$E$810,"Win")&gt;1,_xlfn.TEXTJOIN(" + ",TRUE,IF(('Match Log'!$A$4:$A$810=$A114)*('Match Log'!$E$4:$E$810="Loss"),'Match Log'!$D$4:$D$810,"")),IF($E114=2,LOOKUP(2,1/(('Match Log'!$A$4:$A$810=$A114)*('Match Log'!$E$4:$E$810="Loss")),'Match Log'!$D$4:$D$810),"the field")),"")</f>
        <v>Simon</v>
      </c>
      <c r="I114">
        <f t="shared" si="23"/>
        <v>0.19990999999999995</v>
      </c>
      <c r="J114">
        <v>90</v>
      </c>
      <c r="K114">
        <f>IF($J114&gt;MAX('Match Log'!$A$4:$A$810),NA(),IFERROR(LOOKUP(2,1/(('Match Log'!$D$4:$D$810=$K$24)*('Match Log'!$A$4:$A$810&lt;=$J114)),'Match Log'!$N$4:$N$810),NA()))</f>
        <v>1057.8442062146762</v>
      </c>
      <c r="L114">
        <f>IF($J114&gt;MAX('Match Log'!$A$4:$A$810),NA(),IFERROR(LOOKUP(2,1/(('Match Log'!$D$4:$D$810=$L$24)*('Match Log'!$A$4:$A$810&lt;=$J114)),'Match Log'!$N$4:$N$810),NA()))</f>
        <v>1052.1085402518941</v>
      </c>
      <c r="M114">
        <f>IF($J114&gt;MAX('Match Log'!$A$4:$A$810),NA(),IFERROR(LOOKUP(2,1/(('Match Log'!$D$4:$D$810=$M$24)*('Match Log'!$A$4:$A$810&lt;=$J114)),'Match Log'!$N$4:$N$810),NA()))</f>
        <v>1016.7837867075796</v>
      </c>
      <c r="N114">
        <f>IF($J114&gt;MAX('Match Log'!$A$4:$A$810),NA(),IFERROR(LOOKUP(2,1/(('Match Log'!$D$4:$D$810=$N$24)*('Match Log'!$A$4:$A$810&lt;=$J114)),'Match Log'!$N$4:$N$810),NA()))</f>
        <v>981.92436608474441</v>
      </c>
      <c r="O114">
        <f>IF($J114&gt;MAX('Match Log'!$A$4:$A$810),NA(),IFERROR(LOOKUP(2,1/(('Match Log'!$D$4:$D$810=$O$24)*('Match Log'!$A$4:$A$810&lt;=$J114)),'Match Log'!$N$4:$N$810),NA()))</f>
        <v>1158.0745310110758</v>
      </c>
      <c r="P114">
        <f>IF($J114&gt;MAX('Match Log'!$A$4:$A$810),NA(),IFERROR(LOOKUP(2,1/(('Match Log'!$D$4:$D$810=$P$24)*('Match Log'!$A$4:$A$810&lt;=$J114)),'Match Log'!$N$4:$N$810),NA()))</f>
        <v>1016.1493029697812</v>
      </c>
      <c r="Q114">
        <f>IF($J114&gt;MAX('Match Log'!$A$4:$A$810),NA(),IFERROR(LOOKUP(2,1/(('Match Log'!$D$4:$D$810=$Q$24)*('Match Log'!$A$4:$A$810&lt;=$J114)),'Match Log'!$N$4:$N$810),NA()))</f>
        <v>1133.8672708839456</v>
      </c>
      <c r="R114">
        <f>IF($J114&gt;MAX('Match Log'!$A$4:$A$810),NA(),IFERROR(LOOKUP(2,1/(('Match Log'!$D$4:$D$810=$R$24)*('Match Log'!$A$4:$A$810&lt;=$J114)),'Match Log'!$N$4:$N$810),NA()))</f>
        <v>1078.6736344283954</v>
      </c>
      <c r="S114">
        <f>IF($J114&gt;MAX('Match Log'!$A$4:$A$810),NA(),IFERROR(LOOKUP(2,1/(('Match Log'!$D$4:$D$810=$S$24)*('Match Log'!$A$4:$A$810&lt;=$J114)),'Match Log'!$N$4:$N$810),NA()))</f>
        <v>1118.2349329469087</v>
      </c>
      <c r="T114">
        <f>IF($J114&gt;MAX('Match Log'!$A$4:$A$810),NA(),IFERROR(LOOKUP(2,1/(('Match Log'!$D$4:$D$810=$T$24)*('Match Log'!$A$4:$A$810&lt;=$J114)),'Match Log'!$N$4:$N$810),NA()))</f>
        <v>907.24597771907167</v>
      </c>
      <c r="U114">
        <f>IF($J114&gt;MAX('Match Log'!$A$4:$A$810),NA(),IFERROR(LOOKUP(2,1/(('Match Log'!$D$4:$D$810=$U$24)*('Match Log'!$A$4:$A$810&lt;=$J114)),'Match Log'!$N$4:$N$810),NA()))</f>
        <v>1012.4860040760427</v>
      </c>
      <c r="V114">
        <f>IF($J114&gt;MAX('Match Log'!$A$4:$A$810),NA(),IFERROR(LOOKUP(2,1/(('Match Log'!$D$4:$D$810=$V$24)*('Match Log'!$A$4:$A$810&lt;=$J114)),'Match Log'!$N$4:$N$810),NA()))</f>
        <v>1031.225848367051</v>
      </c>
      <c r="W114">
        <f>IF($J114&gt;MAX('Match Log'!$A$4:$A$810),NA(),IFERROR(LOOKUP(2,1/(('Match Log'!$D$4:$D$810=$W$24)*('Match Log'!$A$4:$A$810&lt;=$J114)),'Match Log'!$N$4:$N$810),NA()))</f>
        <v>1030.3815983388336</v>
      </c>
      <c r="X114" t="e">
        <f>IF($J114&gt;MAX('Match Log'!$A$4:$A$810),NA(),IFERROR(LOOKUP(2,1/(('Match Log'!$D$4:$D$810=$X$24)*('Match Log'!$A$4:$A$810&lt;=$J114)),'Match Log'!$N$4:$N$810),NA()))</f>
        <v>#N/A</v>
      </c>
      <c r="Y114" t="str">
        <f t="shared" ca="1" si="24"/>
        <v/>
      </c>
    </row>
    <row r="115" spans="1:25" ht="15" customHeight="1" x14ac:dyDescent="0.2">
      <c r="A115">
        <v>91</v>
      </c>
      <c r="B115" s="127">
        <f>IFERROR(INDEX('Match Log'!$B$4:$B$810,MATCH(91,'Match Log'!$A$4:$A$810,0)),"")</f>
        <v>46188</v>
      </c>
      <c r="C115" t="str">
        <f>IFERROR(INDEX('Match Log'!$C$4:$C$810,MATCH(91,'Match Log'!$A$4:$A$810,0)),"")</f>
        <v>Table Tennis</v>
      </c>
      <c r="D115" t="str">
        <f t="array" ref="D115">IFERROR(_xlfn.TEXTJOIN(" + ",TRUE,IF(('Match Log'!$A$4:$A$810=$A115)*('Match Log'!$E$4:$E$810="Win"),'Match Log'!$D$4:$D$810,"")),IFERROR(LOOKUP(2,1/(('Match Log'!$A$4:$A$810=$A115)*('Match Log'!$E$4:$E$810="Win")),'Match Log'!$D$4:$D$810),""))</f>
        <v>Oscar</v>
      </c>
      <c r="E115" s="128">
        <f>IFERROR(INDEX('Match Log'!$F$4:$F$810,MATCH(91,'Match Log'!$A$4:$A$810,0)),"")</f>
        <v>2</v>
      </c>
      <c r="F115">
        <f>IFERROR(SUMIFS('Match Log'!$I$4:$I$810,'Match Log'!$A$4:$A$810,91,'Match Log'!$E$4:$E$810,"Win"),"")</f>
        <v>0.54545454545454541</v>
      </c>
      <c r="G115">
        <f t="shared" si="22"/>
        <v>-9.0909090909090828E-2</v>
      </c>
      <c r="H115" t="str">
        <f t="array" ref="H115">IFERROR(IF(COUNTIFS('Match Log'!$A$4:$A$810,$A115,'Match Log'!$E$4:$E$810,"Win")&gt;1,_xlfn.TEXTJOIN(" + ",TRUE,IF(('Match Log'!$A$4:$A$810=$A115)*('Match Log'!$E$4:$E$810="Loss"),'Match Log'!$D$4:$D$810,"")),IF($E115=2,LOOKUP(2,1/(('Match Log'!$A$4:$A$810=$A115)*('Match Log'!$E$4:$E$810="Loss")),'Match Log'!$D$4:$D$810),"the field")),"")</f>
        <v>Simon</v>
      </c>
      <c r="I115">
        <f t="shared" si="23"/>
        <v>-9.1000090909090822E-2</v>
      </c>
      <c r="J115">
        <v>91</v>
      </c>
      <c r="K115">
        <f>IF($J115&gt;MAX('Match Log'!$A$4:$A$810),NA(),IFERROR(LOOKUP(2,1/(('Match Log'!$D$4:$D$810=$K$24)*('Match Log'!$A$4:$A$810&lt;=$J115)),'Match Log'!$N$4:$N$810),NA()))</f>
        <v>1057.8442062146762</v>
      </c>
      <c r="L115">
        <f>IF($J115&gt;MAX('Match Log'!$A$4:$A$810),NA(),IFERROR(LOOKUP(2,1/(('Match Log'!$D$4:$D$810=$L$24)*('Match Log'!$A$4:$A$810&lt;=$J115)),'Match Log'!$N$4:$N$810),NA()))</f>
        <v>1052.1085402518941</v>
      </c>
      <c r="M115">
        <f>IF($J115&gt;MAX('Match Log'!$A$4:$A$810),NA(),IFERROR(LOOKUP(2,1/(('Match Log'!$D$4:$D$810=$M$24)*('Match Log'!$A$4:$A$810&lt;=$J115)),'Match Log'!$N$4:$N$810),NA()))</f>
        <v>1016.7837867075796</v>
      </c>
      <c r="N115">
        <f>IF($J115&gt;MAX('Match Log'!$A$4:$A$810),NA(),IFERROR(LOOKUP(2,1/(('Match Log'!$D$4:$D$810=$N$24)*('Match Log'!$A$4:$A$810&lt;=$J115)),'Match Log'!$N$4:$N$810),NA()))</f>
        <v>981.92436608474441</v>
      </c>
      <c r="O115">
        <f>IF($J115&gt;MAX('Match Log'!$A$4:$A$810),NA(),IFERROR(LOOKUP(2,1/(('Match Log'!$D$4:$D$810=$O$24)*('Match Log'!$A$4:$A$810&lt;=$J115)),'Match Log'!$N$4:$N$810),NA()))</f>
        <v>1158.0745310110758</v>
      </c>
      <c r="P115">
        <f>IF($J115&gt;MAX('Match Log'!$A$4:$A$810),NA(),IFERROR(LOOKUP(2,1/(('Match Log'!$D$4:$D$810=$P$24)*('Match Log'!$A$4:$A$810&lt;=$J115)),'Match Log'!$N$4:$N$810),NA()))</f>
        <v>1016.1493029697812</v>
      </c>
      <c r="Q115">
        <f>IF($J115&gt;MAX('Match Log'!$A$4:$A$810),NA(),IFERROR(LOOKUP(2,1/(('Match Log'!$D$4:$D$810=$Q$24)*('Match Log'!$A$4:$A$810&lt;=$J115)),'Match Log'!$N$4:$N$810),NA()))</f>
        <v>1107.4689303691496</v>
      </c>
      <c r="R115">
        <f>IF($J115&gt;MAX('Match Log'!$A$4:$A$810),NA(),IFERROR(LOOKUP(2,1/(('Match Log'!$D$4:$D$810=$R$24)*('Match Log'!$A$4:$A$810&lt;=$J115)),'Match Log'!$N$4:$N$810),NA()))</f>
        <v>1078.6736344283954</v>
      </c>
      <c r="S115">
        <f>IF($J115&gt;MAX('Match Log'!$A$4:$A$810),NA(),IFERROR(LOOKUP(2,1/(('Match Log'!$D$4:$D$810=$S$24)*('Match Log'!$A$4:$A$810&lt;=$J115)),'Match Log'!$N$4:$N$810),NA()))</f>
        <v>1118.2349329469087</v>
      </c>
      <c r="T115">
        <f>IF($J115&gt;MAX('Match Log'!$A$4:$A$810),NA(),IFERROR(LOOKUP(2,1/(('Match Log'!$D$4:$D$810=$T$24)*('Match Log'!$A$4:$A$810&lt;=$J115)),'Match Log'!$N$4:$N$810),NA()))</f>
        <v>907.24597771907167</v>
      </c>
      <c r="U115">
        <f>IF($J115&gt;MAX('Match Log'!$A$4:$A$810),NA(),IFERROR(LOOKUP(2,1/(('Match Log'!$D$4:$D$810=$U$24)*('Match Log'!$A$4:$A$810&lt;=$J115)),'Match Log'!$N$4:$N$810),NA()))</f>
        <v>1038.8843445908387</v>
      </c>
      <c r="V115">
        <f>IF($J115&gt;MAX('Match Log'!$A$4:$A$810),NA(),IFERROR(LOOKUP(2,1/(('Match Log'!$D$4:$D$810=$V$24)*('Match Log'!$A$4:$A$810&lt;=$J115)),'Match Log'!$N$4:$N$810),NA()))</f>
        <v>1031.225848367051</v>
      </c>
      <c r="W115">
        <f>IF($J115&gt;MAX('Match Log'!$A$4:$A$810),NA(),IFERROR(LOOKUP(2,1/(('Match Log'!$D$4:$D$810=$W$24)*('Match Log'!$A$4:$A$810&lt;=$J115)),'Match Log'!$N$4:$N$810),NA()))</f>
        <v>1030.3815983388336</v>
      </c>
      <c r="X115" t="e">
        <f>IF($J115&gt;MAX('Match Log'!$A$4:$A$810),NA(),IFERROR(LOOKUP(2,1/(('Match Log'!$D$4:$D$810=$X$24)*('Match Log'!$A$4:$A$810&lt;=$J115)),'Match Log'!$N$4:$N$810),NA()))</f>
        <v>#N/A</v>
      </c>
      <c r="Y115" t="str">
        <f t="shared" ca="1" si="24"/>
        <v/>
      </c>
    </row>
    <row r="116" spans="1:25" ht="15" customHeight="1" x14ac:dyDescent="0.2">
      <c r="A116">
        <v>92</v>
      </c>
      <c r="B116" s="127">
        <f>IFERROR(INDEX('Match Log'!$B$4:$B$810,MATCH(92,'Match Log'!$A$4:$A$810,0)),"")</f>
        <v>46188</v>
      </c>
      <c r="C116" t="str">
        <f>IFERROR(INDEX('Match Log'!$C$4:$C$810,MATCH(92,'Match Log'!$A$4:$A$810,0)),"")</f>
        <v>Table Tennis</v>
      </c>
      <c r="D116" t="str">
        <f t="array" ref="D116">IFERROR(_xlfn.TEXTJOIN(" + ",TRUE,IF(('Match Log'!$A$4:$A$810=$A116)*('Match Log'!$E$4:$E$810="Win"),'Match Log'!$D$4:$D$810,"")),IFERROR(LOOKUP(2,1/(('Match Log'!$A$4:$A$810=$A116)*('Match Log'!$E$4:$E$810="Win")),'Match Log'!$D$4:$D$810),""))</f>
        <v>Oscar</v>
      </c>
      <c r="E116" s="128">
        <f>IFERROR(INDEX('Match Log'!$F$4:$F$810,MATCH(92,'Match Log'!$A$4:$A$810,0)),"")</f>
        <v>2</v>
      </c>
      <c r="F116">
        <f>IFERROR(SUMIFS('Match Log'!$I$4:$I$810,'Match Log'!$A$4:$A$810,92,'Match Log'!$E$4:$E$810,"Win"),"")</f>
        <v>0.64516129032258063</v>
      </c>
      <c r="G116">
        <f t="shared" si="22"/>
        <v>-0.29032258064516125</v>
      </c>
      <c r="H116" t="str">
        <f t="array" ref="H116">IFERROR(IF(COUNTIFS('Match Log'!$A$4:$A$810,$A116,'Match Log'!$E$4:$E$810,"Win")&gt;1,_xlfn.TEXTJOIN(" + ",TRUE,IF(('Match Log'!$A$4:$A$810=$A116)*('Match Log'!$E$4:$E$810="Loss"),'Match Log'!$D$4:$D$810,"")),IF($E116=2,LOOKUP(2,1/(('Match Log'!$A$4:$A$810=$A116)*('Match Log'!$E$4:$E$810="Loss")),'Match Log'!$D$4:$D$810),"the field")),"")</f>
        <v>Simon</v>
      </c>
      <c r="I116">
        <f t="shared" si="23"/>
        <v>-0.29041458064516124</v>
      </c>
      <c r="J116">
        <v>92</v>
      </c>
      <c r="K116">
        <f>IF($J116&gt;MAX('Match Log'!$A$4:$A$810),NA(),IFERROR(LOOKUP(2,1/(('Match Log'!$D$4:$D$810=$K$24)*('Match Log'!$A$4:$A$810&lt;=$J116)),'Match Log'!$N$4:$N$810),NA()))</f>
        <v>1057.8442062146762</v>
      </c>
      <c r="L116">
        <f>IF($J116&gt;MAX('Match Log'!$A$4:$A$810),NA(),IFERROR(LOOKUP(2,1/(('Match Log'!$D$4:$D$810=$L$24)*('Match Log'!$A$4:$A$810&lt;=$J116)),'Match Log'!$N$4:$N$810),NA()))</f>
        <v>1052.1085402518941</v>
      </c>
      <c r="M116">
        <f>IF($J116&gt;MAX('Match Log'!$A$4:$A$810),NA(),IFERROR(LOOKUP(2,1/(('Match Log'!$D$4:$D$810=$M$24)*('Match Log'!$A$4:$A$810&lt;=$J116)),'Match Log'!$N$4:$N$810),NA()))</f>
        <v>1016.7837867075796</v>
      </c>
      <c r="N116">
        <f>IF($J116&gt;MAX('Match Log'!$A$4:$A$810),NA(),IFERROR(LOOKUP(2,1/(('Match Log'!$D$4:$D$810=$N$24)*('Match Log'!$A$4:$A$810&lt;=$J116)),'Match Log'!$N$4:$N$810),NA()))</f>
        <v>981.92436608474441</v>
      </c>
      <c r="O116">
        <f>IF($J116&gt;MAX('Match Log'!$A$4:$A$810),NA(),IFERROR(LOOKUP(2,1/(('Match Log'!$D$4:$D$810=$O$24)*('Match Log'!$A$4:$A$810&lt;=$J116)),'Match Log'!$N$4:$N$810),NA()))</f>
        <v>1158.0745310110758</v>
      </c>
      <c r="P116">
        <f>IF($J116&gt;MAX('Match Log'!$A$4:$A$810),NA(),IFERROR(LOOKUP(2,1/(('Match Log'!$D$4:$D$810=$P$24)*('Match Log'!$A$4:$A$810&lt;=$J116)),'Match Log'!$N$4:$N$810),NA()))</f>
        <v>1016.1493029697812</v>
      </c>
      <c r="Q116">
        <f>IF($J116&gt;MAX('Match Log'!$A$4:$A$810),NA(),IFERROR(LOOKUP(2,1/(('Match Log'!$D$4:$D$810=$Q$24)*('Match Log'!$A$4:$A$810&lt;=$J116)),'Match Log'!$N$4:$N$810),NA()))</f>
        <v>1084.8903813508514</v>
      </c>
      <c r="R116">
        <f>IF($J116&gt;MAX('Match Log'!$A$4:$A$810),NA(),IFERROR(LOOKUP(2,1/(('Match Log'!$D$4:$D$810=$R$24)*('Match Log'!$A$4:$A$810&lt;=$J116)),'Match Log'!$N$4:$N$810),NA()))</f>
        <v>1078.6736344283954</v>
      </c>
      <c r="S116">
        <f>IF($J116&gt;MAX('Match Log'!$A$4:$A$810),NA(),IFERROR(LOOKUP(2,1/(('Match Log'!$D$4:$D$810=$S$24)*('Match Log'!$A$4:$A$810&lt;=$J116)),'Match Log'!$N$4:$N$810),NA()))</f>
        <v>1118.2349329469087</v>
      </c>
      <c r="T116">
        <f>IF($J116&gt;MAX('Match Log'!$A$4:$A$810),NA(),IFERROR(LOOKUP(2,1/(('Match Log'!$D$4:$D$810=$T$24)*('Match Log'!$A$4:$A$810&lt;=$J116)),'Match Log'!$N$4:$N$810),NA()))</f>
        <v>907.24597771907167</v>
      </c>
      <c r="U116">
        <f>IF($J116&gt;MAX('Match Log'!$A$4:$A$810),NA(),IFERROR(LOOKUP(2,1/(('Match Log'!$D$4:$D$810=$U$24)*('Match Log'!$A$4:$A$810&lt;=$J116)),'Match Log'!$N$4:$N$810),NA()))</f>
        <v>1061.4628936091369</v>
      </c>
      <c r="V116">
        <f>IF($J116&gt;MAX('Match Log'!$A$4:$A$810),NA(),IFERROR(LOOKUP(2,1/(('Match Log'!$D$4:$D$810=$V$24)*('Match Log'!$A$4:$A$810&lt;=$J116)),'Match Log'!$N$4:$N$810),NA()))</f>
        <v>1031.225848367051</v>
      </c>
      <c r="W116">
        <f>IF($J116&gt;MAX('Match Log'!$A$4:$A$810),NA(),IFERROR(LOOKUP(2,1/(('Match Log'!$D$4:$D$810=$W$24)*('Match Log'!$A$4:$A$810&lt;=$J116)),'Match Log'!$N$4:$N$810),NA()))</f>
        <v>1030.3815983388336</v>
      </c>
      <c r="X116" t="e">
        <f>IF($J116&gt;MAX('Match Log'!$A$4:$A$810),NA(),IFERROR(LOOKUP(2,1/(('Match Log'!$D$4:$D$810=$X$24)*('Match Log'!$A$4:$A$810&lt;=$J116)),'Match Log'!$N$4:$N$810),NA()))</f>
        <v>#N/A</v>
      </c>
      <c r="Y116" t="str">
        <f t="shared" ca="1" si="24"/>
        <v/>
      </c>
    </row>
    <row r="117" spans="1:25" ht="15" customHeight="1" x14ac:dyDescent="0.2">
      <c r="A117">
        <v>93</v>
      </c>
      <c r="B117" s="127">
        <f>IFERROR(INDEX('Match Log'!$B$4:$B$810,MATCH(93,'Match Log'!$A$4:$A$810,0)),"")</f>
        <v>46188</v>
      </c>
      <c r="C117" t="str">
        <f>IFERROR(INDEX('Match Log'!$C$4:$C$810,MATCH(93,'Match Log'!$A$4:$A$810,0)),"")</f>
        <v>Table Tennis</v>
      </c>
      <c r="D117" t="str">
        <f t="array" ref="D117">IFERROR(_xlfn.TEXTJOIN(" + ",TRUE,IF(('Match Log'!$A$4:$A$810=$A117)*('Match Log'!$E$4:$E$810="Win"),'Match Log'!$D$4:$D$810,"")),IFERROR(LOOKUP(2,1/(('Match Log'!$A$4:$A$810=$A117)*('Match Log'!$E$4:$E$810="Win")),'Match Log'!$D$4:$D$810),""))</f>
        <v>Oscar</v>
      </c>
      <c r="E117" s="128">
        <f>IFERROR(INDEX('Match Log'!$F$4:$F$810,MATCH(93,'Match Log'!$A$4:$A$810,0)),"")</f>
        <v>2</v>
      </c>
      <c r="F117">
        <f>IFERROR(SUMIFS('Match Log'!$I$4:$I$810,'Match Log'!$A$4:$A$810,93,'Match Log'!$E$4:$E$810,"Win"),"")</f>
        <v>0.5</v>
      </c>
      <c r="G117">
        <f t="shared" si="22"/>
        <v>0</v>
      </c>
      <c r="H117" t="str">
        <f t="array" ref="H117">IFERROR(IF(COUNTIFS('Match Log'!$A$4:$A$810,$A117,'Match Log'!$E$4:$E$810,"Win")&gt;1,_xlfn.TEXTJOIN(" + ",TRUE,IF(('Match Log'!$A$4:$A$810=$A117)*('Match Log'!$E$4:$E$810="Loss"),'Match Log'!$D$4:$D$810,"")),IF($E117=2,LOOKUP(2,1/(('Match Log'!$A$4:$A$810=$A117)*('Match Log'!$E$4:$E$810="Loss")),'Match Log'!$D$4:$D$810),"the field")),"")</f>
        <v>Beau</v>
      </c>
      <c r="I117">
        <f t="shared" si="23"/>
        <v>-9.2999999999999997E-5</v>
      </c>
      <c r="J117">
        <v>93</v>
      </c>
      <c r="K117">
        <f>IF($J117&gt;MAX('Match Log'!$A$4:$A$810),NA(),IFERROR(LOOKUP(2,1/(('Match Log'!$D$4:$D$810=$K$24)*('Match Log'!$A$4:$A$810&lt;=$J117)),'Match Log'!$N$4:$N$810),NA()))</f>
        <v>1057.8442062146762</v>
      </c>
      <c r="L117">
        <f>IF($J117&gt;MAX('Match Log'!$A$4:$A$810),NA(),IFERROR(LOOKUP(2,1/(('Match Log'!$D$4:$D$810=$L$24)*('Match Log'!$A$4:$A$810&lt;=$J117)),'Match Log'!$N$4:$N$810),NA()))</f>
        <v>1029.2201908859522</v>
      </c>
      <c r="M117">
        <f>IF($J117&gt;MAX('Match Log'!$A$4:$A$810),NA(),IFERROR(LOOKUP(2,1/(('Match Log'!$D$4:$D$810=$M$24)*('Match Log'!$A$4:$A$810&lt;=$J117)),'Match Log'!$N$4:$N$810),NA()))</f>
        <v>1016.7837867075796</v>
      </c>
      <c r="N117">
        <f>IF($J117&gt;MAX('Match Log'!$A$4:$A$810),NA(),IFERROR(LOOKUP(2,1/(('Match Log'!$D$4:$D$810=$N$24)*('Match Log'!$A$4:$A$810&lt;=$J117)),'Match Log'!$N$4:$N$810),NA()))</f>
        <v>981.92436608474441</v>
      </c>
      <c r="O117">
        <f>IF($J117&gt;MAX('Match Log'!$A$4:$A$810),NA(),IFERROR(LOOKUP(2,1/(('Match Log'!$D$4:$D$810=$O$24)*('Match Log'!$A$4:$A$810&lt;=$J117)),'Match Log'!$N$4:$N$810),NA()))</f>
        <v>1158.0745310110758</v>
      </c>
      <c r="P117">
        <f>IF($J117&gt;MAX('Match Log'!$A$4:$A$810),NA(),IFERROR(LOOKUP(2,1/(('Match Log'!$D$4:$D$810=$P$24)*('Match Log'!$A$4:$A$810&lt;=$J117)),'Match Log'!$N$4:$N$810),NA()))</f>
        <v>1016.1493029697812</v>
      </c>
      <c r="Q117">
        <f>IF($J117&gt;MAX('Match Log'!$A$4:$A$810),NA(),IFERROR(LOOKUP(2,1/(('Match Log'!$D$4:$D$810=$Q$24)*('Match Log'!$A$4:$A$810&lt;=$J117)),'Match Log'!$N$4:$N$810),NA()))</f>
        <v>1084.8903813508514</v>
      </c>
      <c r="R117">
        <f>IF($J117&gt;MAX('Match Log'!$A$4:$A$810),NA(),IFERROR(LOOKUP(2,1/(('Match Log'!$D$4:$D$810=$R$24)*('Match Log'!$A$4:$A$810&lt;=$J117)),'Match Log'!$N$4:$N$810),NA()))</f>
        <v>1078.6736344283954</v>
      </c>
      <c r="S117">
        <f>IF($J117&gt;MAX('Match Log'!$A$4:$A$810),NA(),IFERROR(LOOKUP(2,1/(('Match Log'!$D$4:$D$810=$S$24)*('Match Log'!$A$4:$A$810&lt;=$J117)),'Match Log'!$N$4:$N$810),NA()))</f>
        <v>1118.2349329469087</v>
      </c>
      <c r="T117">
        <f>IF($J117&gt;MAX('Match Log'!$A$4:$A$810),NA(),IFERROR(LOOKUP(2,1/(('Match Log'!$D$4:$D$810=$T$24)*('Match Log'!$A$4:$A$810&lt;=$J117)),'Match Log'!$N$4:$N$810),NA()))</f>
        <v>907.24597771907167</v>
      </c>
      <c r="U117">
        <f>IF($J117&gt;MAX('Match Log'!$A$4:$A$810),NA(),IFERROR(LOOKUP(2,1/(('Match Log'!$D$4:$D$810=$U$24)*('Match Log'!$A$4:$A$810&lt;=$J117)),'Match Log'!$N$4:$N$810),NA()))</f>
        <v>1084.3512429750788</v>
      </c>
      <c r="V117">
        <f>IF($J117&gt;MAX('Match Log'!$A$4:$A$810),NA(),IFERROR(LOOKUP(2,1/(('Match Log'!$D$4:$D$810=$V$24)*('Match Log'!$A$4:$A$810&lt;=$J117)),'Match Log'!$N$4:$N$810),NA()))</f>
        <v>1031.225848367051</v>
      </c>
      <c r="W117">
        <f>IF($J117&gt;MAX('Match Log'!$A$4:$A$810),NA(),IFERROR(LOOKUP(2,1/(('Match Log'!$D$4:$D$810=$W$24)*('Match Log'!$A$4:$A$810&lt;=$J117)),'Match Log'!$N$4:$N$810),NA()))</f>
        <v>1030.3815983388336</v>
      </c>
      <c r="X117" t="e">
        <f>IF($J117&gt;MAX('Match Log'!$A$4:$A$810),NA(),IFERROR(LOOKUP(2,1/(('Match Log'!$D$4:$D$810=$X$24)*('Match Log'!$A$4:$A$810&lt;=$J117)),'Match Log'!$N$4:$N$810),NA()))</f>
        <v>#N/A</v>
      </c>
      <c r="Y117" t="str">
        <f t="shared" ca="1" si="24"/>
        <v/>
      </c>
    </row>
    <row r="118" spans="1:25" ht="15" customHeight="1" x14ac:dyDescent="0.2">
      <c r="A118">
        <v>94</v>
      </c>
      <c r="B118" s="127">
        <f>IFERROR(INDEX('Match Log'!$B$4:$B$810,MATCH(94,'Match Log'!$A$4:$A$810,0)),"")</f>
        <v>46188</v>
      </c>
      <c r="C118" t="str">
        <f>IFERROR(INDEX('Match Log'!$C$4:$C$810,MATCH(94,'Match Log'!$A$4:$A$810,0)),"")</f>
        <v>Pool</v>
      </c>
      <c r="D118" t="str">
        <f t="array" ref="D118">IFERROR(_xlfn.TEXTJOIN(" + ",TRUE,IF(('Match Log'!$A$4:$A$810=$A118)*('Match Log'!$E$4:$E$810="Win"),'Match Log'!$D$4:$D$810,"")),IFERROR(LOOKUP(2,1/(('Match Log'!$A$4:$A$810=$A118)*('Match Log'!$E$4:$E$810="Win")),'Match Log'!$D$4:$D$810),""))</f>
        <v>Daniel (Ferret)</v>
      </c>
      <c r="E118" s="128">
        <f>IFERROR(INDEX('Match Log'!$F$4:$F$810,MATCH(94,'Match Log'!$A$4:$A$810,0)),"")</f>
        <v>2</v>
      </c>
      <c r="F118">
        <f>IFERROR(SUMIFS('Match Log'!$I$4:$I$810,'Match Log'!$A$4:$A$810,94,'Match Log'!$E$4:$E$810,"Win"),"")</f>
        <v>0.57142857142857151</v>
      </c>
      <c r="G118">
        <f t="shared" si="22"/>
        <v>-0.14285714285714302</v>
      </c>
      <c r="H118" t="str">
        <f t="array" ref="H118">IFERROR(IF(COUNTIFS('Match Log'!$A$4:$A$810,$A118,'Match Log'!$E$4:$E$810,"Win")&gt;1,_xlfn.TEXTJOIN(" + ",TRUE,IF(('Match Log'!$A$4:$A$810=$A118)*('Match Log'!$E$4:$E$810="Loss"),'Match Log'!$D$4:$D$810,"")),IF($E118=2,LOOKUP(2,1/(('Match Log'!$A$4:$A$810=$A118)*('Match Log'!$E$4:$E$810="Loss")),'Match Log'!$D$4:$D$810),"the field")),"")</f>
        <v>Cody</v>
      </c>
      <c r="I118">
        <f t="shared" si="23"/>
        <v>-0.14295114285714303</v>
      </c>
      <c r="J118">
        <v>94</v>
      </c>
      <c r="K118">
        <f>IF($J118&gt;MAX('Match Log'!$A$4:$A$810),NA(),IFERROR(LOOKUP(2,1/(('Match Log'!$D$4:$D$810=$K$24)*('Match Log'!$A$4:$A$810&lt;=$J118)),'Match Log'!$N$4:$N$810),NA()))</f>
        <v>1057.8442062146762</v>
      </c>
      <c r="L118">
        <f>IF($J118&gt;MAX('Match Log'!$A$4:$A$810),NA(),IFERROR(LOOKUP(2,1/(('Match Log'!$D$4:$D$810=$L$24)*('Match Log'!$A$4:$A$810&lt;=$J118)),'Match Log'!$N$4:$N$810),NA()))</f>
        <v>1029.2201908859522</v>
      </c>
      <c r="M118">
        <f>IF($J118&gt;MAX('Match Log'!$A$4:$A$810),NA(),IFERROR(LOOKUP(2,1/(('Match Log'!$D$4:$D$810=$M$24)*('Match Log'!$A$4:$A$810&lt;=$J118)),'Match Log'!$N$4:$N$810),NA()))</f>
        <v>1016.7837867075796</v>
      </c>
      <c r="N118">
        <f>IF($J118&gt;MAX('Match Log'!$A$4:$A$810),NA(),IFERROR(LOOKUP(2,1/(('Match Log'!$D$4:$D$810=$N$24)*('Match Log'!$A$4:$A$810&lt;=$J118)),'Match Log'!$N$4:$N$810),NA()))</f>
        <v>981.92436608474441</v>
      </c>
      <c r="O118">
        <f>IF($J118&gt;MAX('Match Log'!$A$4:$A$810),NA(),IFERROR(LOOKUP(2,1/(('Match Log'!$D$4:$D$810=$O$24)*('Match Log'!$A$4:$A$810&lt;=$J118)),'Match Log'!$N$4:$N$810),NA()))</f>
        <v>1158.0745310110758</v>
      </c>
      <c r="P118">
        <f>IF($J118&gt;MAX('Match Log'!$A$4:$A$810),NA(),IFERROR(LOOKUP(2,1/(('Match Log'!$D$4:$D$810=$P$24)*('Match Log'!$A$4:$A$810&lt;=$J118)),'Match Log'!$N$4:$N$810),NA()))</f>
        <v>1016.1493029697812</v>
      </c>
      <c r="Q118">
        <f>IF($J118&gt;MAX('Match Log'!$A$4:$A$810),NA(),IFERROR(LOOKUP(2,1/(('Match Log'!$D$4:$D$810=$Q$24)*('Match Log'!$A$4:$A$810&lt;=$J118)),'Match Log'!$N$4:$N$810),NA()))</f>
        <v>1084.8903813508514</v>
      </c>
      <c r="R118">
        <f>IF($J118&gt;MAX('Match Log'!$A$4:$A$810),NA(),IFERROR(LOOKUP(2,1/(('Match Log'!$D$4:$D$810=$R$24)*('Match Log'!$A$4:$A$810&lt;=$J118)),'Match Log'!$N$4:$N$810),NA()))</f>
        <v>1092.8828602702154</v>
      </c>
      <c r="S118">
        <f>IF($J118&gt;MAX('Match Log'!$A$4:$A$810),NA(),IFERROR(LOOKUP(2,1/(('Match Log'!$D$4:$D$810=$S$24)*('Match Log'!$A$4:$A$810&lt;=$J118)),'Match Log'!$N$4:$N$810),NA()))</f>
        <v>1118.2349329469087</v>
      </c>
      <c r="T118">
        <f>IF($J118&gt;MAX('Match Log'!$A$4:$A$810),NA(),IFERROR(LOOKUP(2,1/(('Match Log'!$D$4:$D$810=$T$24)*('Match Log'!$A$4:$A$810&lt;=$J118)),'Match Log'!$N$4:$N$810),NA()))</f>
        <v>893.03675187725173</v>
      </c>
      <c r="U118">
        <f>IF($J118&gt;MAX('Match Log'!$A$4:$A$810),NA(),IFERROR(LOOKUP(2,1/(('Match Log'!$D$4:$D$810=$U$24)*('Match Log'!$A$4:$A$810&lt;=$J118)),'Match Log'!$N$4:$N$810),NA()))</f>
        <v>1084.3512429750788</v>
      </c>
      <c r="V118">
        <f>IF($J118&gt;MAX('Match Log'!$A$4:$A$810),NA(),IFERROR(LOOKUP(2,1/(('Match Log'!$D$4:$D$810=$V$24)*('Match Log'!$A$4:$A$810&lt;=$J118)),'Match Log'!$N$4:$N$810),NA()))</f>
        <v>1031.225848367051</v>
      </c>
      <c r="W118">
        <f>IF($J118&gt;MAX('Match Log'!$A$4:$A$810),NA(),IFERROR(LOOKUP(2,1/(('Match Log'!$D$4:$D$810=$W$24)*('Match Log'!$A$4:$A$810&lt;=$J118)),'Match Log'!$N$4:$N$810),NA()))</f>
        <v>1030.3815983388336</v>
      </c>
      <c r="X118" t="e">
        <f>IF($J118&gt;MAX('Match Log'!$A$4:$A$810),NA(),IFERROR(LOOKUP(2,1/(('Match Log'!$D$4:$D$810=$X$24)*('Match Log'!$A$4:$A$810&lt;=$J118)),'Match Log'!$N$4:$N$810),NA()))</f>
        <v>#N/A</v>
      </c>
      <c r="Y118" t="str">
        <f t="shared" ca="1" si="24"/>
        <v/>
      </c>
    </row>
    <row r="119" spans="1:25" ht="15" customHeight="1" x14ac:dyDescent="0.2">
      <c r="A119">
        <v>95</v>
      </c>
      <c r="B119" s="127">
        <f>IFERROR(INDEX('Match Log'!$B$4:$B$810,MATCH(95,'Match Log'!$A$4:$A$810,0)),"")</f>
        <v>46189</v>
      </c>
      <c r="C119" t="str">
        <f>IFERROR(INDEX('Match Log'!$C$4:$C$810,MATCH(95,'Match Log'!$A$4:$A$810,0)),"")</f>
        <v>Mario Party</v>
      </c>
      <c r="D119" t="str">
        <f t="array" ref="D119">IFERROR(_xlfn.TEXTJOIN(" + ",TRUE,IF(('Match Log'!$A$4:$A$810=$A119)*('Match Log'!$E$4:$E$810="Win"),'Match Log'!$D$4:$D$810,"")),IFERROR(LOOKUP(2,1/(('Match Log'!$A$4:$A$810=$A119)*('Match Log'!$E$4:$E$810="Win")),'Match Log'!$D$4:$D$810),""))</f>
        <v>Daniel (Ferret)</v>
      </c>
      <c r="E119" s="128">
        <f>IFERROR(INDEX('Match Log'!$F$4:$F$810,MATCH(95,'Match Log'!$A$4:$A$810,0)),"")</f>
        <v>3</v>
      </c>
      <c r="F119">
        <f>IFERROR(SUMIFS('Match Log'!$I$4:$I$810,'Match Log'!$A$4:$A$810,95,'Match Log'!$E$4:$E$810,"Win"),"")</f>
        <v>0.5</v>
      </c>
      <c r="G119">
        <f t="shared" si="22"/>
        <v>-0.5</v>
      </c>
      <c r="H119" t="str">
        <f t="array" ref="H119">IFERROR(IF(COUNTIFS('Match Log'!$A$4:$A$810,$A119,'Match Log'!$E$4:$E$810,"Win")&gt;1,_xlfn.TEXTJOIN(" + ",TRUE,IF(('Match Log'!$A$4:$A$810=$A119)*('Match Log'!$E$4:$E$810="Loss"),'Match Log'!$D$4:$D$810,"")),IF($E119=2,LOOKUP(2,1/(('Match Log'!$A$4:$A$810=$A119)*('Match Log'!$E$4:$E$810="Loss")),'Match Log'!$D$4:$D$810),"the field")),"")</f>
        <v>the field</v>
      </c>
      <c r="I119">
        <f t="shared" si="23"/>
        <v>-0.50009499999999996</v>
      </c>
      <c r="J119">
        <v>95</v>
      </c>
      <c r="K119">
        <f>IF($J119&gt;MAX('Match Log'!$A$4:$A$810),NA(),IFERROR(LOOKUP(2,1/(('Match Log'!$D$4:$D$810=$K$24)*('Match Log'!$A$4:$A$810&lt;=$J119)),'Match Log'!$N$4:$N$810),NA()))</f>
        <v>1057.8442062146762</v>
      </c>
      <c r="L119">
        <f>IF($J119&gt;MAX('Match Log'!$A$4:$A$810),NA(),IFERROR(LOOKUP(2,1/(('Match Log'!$D$4:$D$810=$L$24)*('Match Log'!$A$4:$A$810&lt;=$J119)),'Match Log'!$N$4:$N$810),NA()))</f>
        <v>1029.2201908859522</v>
      </c>
      <c r="M119">
        <f>IF($J119&gt;MAX('Match Log'!$A$4:$A$810),NA(),IFERROR(LOOKUP(2,1/(('Match Log'!$D$4:$D$810=$M$24)*('Match Log'!$A$4:$A$810&lt;=$J119)),'Match Log'!$N$4:$N$810),NA()))</f>
        <v>1016.7837867075796</v>
      </c>
      <c r="N119">
        <f>IF($J119&gt;MAX('Match Log'!$A$4:$A$810),NA(),IFERROR(LOOKUP(2,1/(('Match Log'!$D$4:$D$810=$N$24)*('Match Log'!$A$4:$A$810&lt;=$J119)),'Match Log'!$N$4:$N$810),NA()))</f>
        <v>981.92436608474441</v>
      </c>
      <c r="O119">
        <f>IF($J119&gt;MAX('Match Log'!$A$4:$A$810),NA(),IFERROR(LOOKUP(2,1/(('Match Log'!$D$4:$D$810=$O$24)*('Match Log'!$A$4:$A$810&lt;=$J119)),'Match Log'!$N$4:$N$810),NA()))</f>
        <v>1158.0745310110758</v>
      </c>
      <c r="P119">
        <f>IF($J119&gt;MAX('Match Log'!$A$4:$A$810),NA(),IFERROR(LOOKUP(2,1/(('Match Log'!$D$4:$D$810=$P$24)*('Match Log'!$A$4:$A$810&lt;=$J119)),'Match Log'!$N$4:$N$810),NA()))</f>
        <v>1009.6941424050542</v>
      </c>
      <c r="Q119">
        <f>IF($J119&gt;MAX('Match Log'!$A$4:$A$810),NA(),IFERROR(LOOKUP(2,1/(('Match Log'!$D$4:$D$810=$Q$24)*('Match Log'!$A$4:$A$810&lt;=$J119)),'Match Log'!$N$4:$N$810),NA()))</f>
        <v>1084.8903813508514</v>
      </c>
      <c r="R119">
        <f>IF($J119&gt;MAX('Match Log'!$A$4:$A$810),NA(),IFERROR(LOOKUP(2,1/(('Match Log'!$D$4:$D$810=$R$24)*('Match Log'!$A$4:$A$810&lt;=$J119)),'Match Log'!$N$4:$N$810),NA()))</f>
        <v>1116.0822981256626</v>
      </c>
      <c r="S119">
        <f>IF($J119&gt;MAX('Match Log'!$A$4:$A$810),NA(),IFERROR(LOOKUP(2,1/(('Match Log'!$D$4:$D$810=$S$24)*('Match Log'!$A$4:$A$810&lt;=$J119)),'Match Log'!$N$4:$N$810),NA()))</f>
        <v>1118.2349329469087</v>
      </c>
      <c r="T119">
        <f>IF($J119&gt;MAX('Match Log'!$A$4:$A$810),NA(),IFERROR(LOOKUP(2,1/(('Match Log'!$D$4:$D$810=$T$24)*('Match Log'!$A$4:$A$810&lt;=$J119)),'Match Log'!$N$4:$N$810),NA()))</f>
        <v>893.03675187725173</v>
      </c>
      <c r="U119">
        <f>IF($J119&gt;MAX('Match Log'!$A$4:$A$810),NA(),IFERROR(LOOKUP(2,1/(('Match Log'!$D$4:$D$810=$U$24)*('Match Log'!$A$4:$A$810&lt;=$J119)),'Match Log'!$N$4:$N$810),NA()))</f>
        <v>1076.6069656843583</v>
      </c>
      <c r="V119">
        <f>IF($J119&gt;MAX('Match Log'!$A$4:$A$810),NA(),IFERROR(LOOKUP(2,1/(('Match Log'!$D$4:$D$810=$V$24)*('Match Log'!$A$4:$A$810&lt;=$J119)),'Match Log'!$N$4:$N$810),NA()))</f>
        <v>1031.225848367051</v>
      </c>
      <c r="W119">
        <f>IF($J119&gt;MAX('Match Log'!$A$4:$A$810),NA(),IFERROR(LOOKUP(2,1/(('Match Log'!$D$4:$D$810=$W$24)*('Match Log'!$A$4:$A$810&lt;=$J119)),'Match Log'!$N$4:$N$810),NA()))</f>
        <v>1030.3815983388336</v>
      </c>
      <c r="X119" t="e">
        <f>IF($J119&gt;MAX('Match Log'!$A$4:$A$810),NA(),IFERROR(LOOKUP(2,1/(('Match Log'!$D$4:$D$810=$X$24)*('Match Log'!$A$4:$A$810&lt;=$J119)),'Match Log'!$N$4:$N$810),NA()))</f>
        <v>#N/A</v>
      </c>
      <c r="Y119" t="str">
        <f t="shared" ca="1" si="24"/>
        <v/>
      </c>
    </row>
    <row r="120" spans="1:25" ht="15" customHeight="1" x14ac:dyDescent="0.2">
      <c r="A120">
        <v>96</v>
      </c>
      <c r="B120" s="127">
        <f>IFERROR(INDEX('Match Log'!$B$4:$B$810,MATCH(96,'Match Log'!$A$4:$A$810,0)),"")</f>
        <v>46189</v>
      </c>
      <c r="C120" t="str">
        <f>IFERROR(INDEX('Match Log'!$C$4:$C$810,MATCH(96,'Match Log'!$A$4:$A$810,0)),"")</f>
        <v>Pool</v>
      </c>
      <c r="D120" t="str">
        <f t="array" ref="D120">IFERROR(_xlfn.TEXTJOIN(" + ",TRUE,IF(('Match Log'!$A$4:$A$810=$A120)*('Match Log'!$E$4:$E$810="Win"),'Match Log'!$D$4:$D$810,"")),IFERROR(LOOKUP(2,1/(('Match Log'!$A$4:$A$810=$A120)*('Match Log'!$E$4:$E$810="Win")),'Match Log'!$D$4:$D$810),""))</f>
        <v>Dean B</v>
      </c>
      <c r="E120" s="128">
        <f>IFERROR(INDEX('Match Log'!$F$4:$F$810,MATCH(96,'Match Log'!$A$4:$A$810,0)),"")</f>
        <v>2</v>
      </c>
      <c r="F120">
        <f>IFERROR(SUMIFS('Match Log'!$I$4:$I$810,'Match Log'!$A$4:$A$810,96,'Match Log'!$E$4:$E$810,"Win"),"")</f>
        <v>0.33333333333333331</v>
      </c>
      <c r="G120">
        <f t="shared" si="22"/>
        <v>0.33333333333333337</v>
      </c>
      <c r="H120" t="str">
        <f t="array" ref="H120">IFERROR(IF(COUNTIFS('Match Log'!$A$4:$A$810,$A120,'Match Log'!$E$4:$E$810,"Win")&gt;1,_xlfn.TEXTJOIN(" + ",TRUE,IF(('Match Log'!$A$4:$A$810=$A120)*('Match Log'!$E$4:$E$810="Loss"),'Match Log'!$D$4:$D$810,"")),IF($E120=2,LOOKUP(2,1/(('Match Log'!$A$4:$A$810=$A120)*('Match Log'!$E$4:$E$810="Loss")),'Match Log'!$D$4:$D$810),"the field")),"")</f>
        <v>Daniel (Ferret)</v>
      </c>
      <c r="I120">
        <f t="shared" si="23"/>
        <v>0.33323733333333339</v>
      </c>
      <c r="J120">
        <v>96</v>
      </c>
      <c r="K120">
        <f>IF($J120&gt;MAX('Match Log'!$A$4:$A$810),NA(),IFERROR(LOOKUP(2,1/(('Match Log'!$D$4:$D$810=$K$24)*('Match Log'!$A$4:$A$810&lt;=$J120)),'Match Log'!$N$4:$N$810),NA()))</f>
        <v>1057.8442062146762</v>
      </c>
      <c r="L120">
        <f>IF($J120&gt;MAX('Match Log'!$A$4:$A$810),NA(),IFERROR(LOOKUP(2,1/(('Match Log'!$D$4:$D$810=$L$24)*('Match Log'!$A$4:$A$810&lt;=$J120)),'Match Log'!$N$4:$N$810),NA()))</f>
        <v>1029.2201908859522</v>
      </c>
      <c r="M120">
        <f>IF($J120&gt;MAX('Match Log'!$A$4:$A$810),NA(),IFERROR(LOOKUP(2,1/(('Match Log'!$D$4:$D$810=$M$24)*('Match Log'!$A$4:$A$810&lt;=$J120)),'Match Log'!$N$4:$N$810),NA()))</f>
        <v>1016.7837867075796</v>
      </c>
      <c r="N120">
        <f>IF($J120&gt;MAX('Match Log'!$A$4:$A$810),NA(),IFERROR(LOOKUP(2,1/(('Match Log'!$D$4:$D$810=$N$24)*('Match Log'!$A$4:$A$810&lt;=$J120)),'Match Log'!$N$4:$N$810),NA()))</f>
        <v>981.92436608474441</v>
      </c>
      <c r="O120">
        <f>IF($J120&gt;MAX('Match Log'!$A$4:$A$810),NA(),IFERROR(LOOKUP(2,1/(('Match Log'!$D$4:$D$810=$O$24)*('Match Log'!$A$4:$A$810&lt;=$J120)),'Match Log'!$N$4:$N$810),NA()))</f>
        <v>1158.0745310110758</v>
      </c>
      <c r="P120">
        <f>IF($J120&gt;MAX('Match Log'!$A$4:$A$810),NA(),IFERROR(LOOKUP(2,1/(('Match Log'!$D$4:$D$810=$P$24)*('Match Log'!$A$4:$A$810&lt;=$J120)),'Match Log'!$N$4:$N$810),NA()))</f>
        <v>1009.6941424050542</v>
      </c>
      <c r="Q120">
        <f>IF($J120&gt;MAX('Match Log'!$A$4:$A$810),NA(),IFERROR(LOOKUP(2,1/(('Match Log'!$D$4:$D$810=$Q$24)*('Match Log'!$A$4:$A$810&lt;=$J120)),'Match Log'!$N$4:$N$810),NA()))</f>
        <v>1084.8903813508514</v>
      </c>
      <c r="R120">
        <f>IF($J120&gt;MAX('Match Log'!$A$4:$A$810),NA(),IFERROR(LOOKUP(2,1/(('Match Log'!$D$4:$D$810=$R$24)*('Match Log'!$A$4:$A$810&lt;=$J120)),'Match Log'!$N$4:$N$810),NA()))</f>
        <v>1089.455302555162</v>
      </c>
      <c r="S120">
        <f>IF($J120&gt;MAX('Match Log'!$A$4:$A$810),NA(),IFERROR(LOOKUP(2,1/(('Match Log'!$D$4:$D$810=$S$24)*('Match Log'!$A$4:$A$810&lt;=$J120)),'Match Log'!$N$4:$N$810),NA()))</f>
        <v>1144.8619285174093</v>
      </c>
      <c r="T120">
        <f>IF($J120&gt;MAX('Match Log'!$A$4:$A$810),NA(),IFERROR(LOOKUP(2,1/(('Match Log'!$D$4:$D$810=$T$24)*('Match Log'!$A$4:$A$810&lt;=$J120)),'Match Log'!$N$4:$N$810),NA()))</f>
        <v>893.03675187725173</v>
      </c>
      <c r="U120">
        <f>IF($J120&gt;MAX('Match Log'!$A$4:$A$810),NA(),IFERROR(LOOKUP(2,1/(('Match Log'!$D$4:$D$810=$U$24)*('Match Log'!$A$4:$A$810&lt;=$J120)),'Match Log'!$N$4:$N$810),NA()))</f>
        <v>1076.6069656843583</v>
      </c>
      <c r="V120">
        <f>IF($J120&gt;MAX('Match Log'!$A$4:$A$810),NA(),IFERROR(LOOKUP(2,1/(('Match Log'!$D$4:$D$810=$V$24)*('Match Log'!$A$4:$A$810&lt;=$J120)),'Match Log'!$N$4:$N$810),NA()))</f>
        <v>1031.225848367051</v>
      </c>
      <c r="W120">
        <f>IF($J120&gt;MAX('Match Log'!$A$4:$A$810),NA(),IFERROR(LOOKUP(2,1/(('Match Log'!$D$4:$D$810=$W$24)*('Match Log'!$A$4:$A$810&lt;=$J120)),'Match Log'!$N$4:$N$810),NA()))</f>
        <v>1030.3815983388336</v>
      </c>
      <c r="X120" t="e">
        <f>IF($J120&gt;MAX('Match Log'!$A$4:$A$810),NA(),IFERROR(LOOKUP(2,1/(('Match Log'!$D$4:$D$810=$X$24)*('Match Log'!$A$4:$A$810&lt;=$J120)),'Match Log'!$N$4:$N$810),NA()))</f>
        <v>#N/A</v>
      </c>
      <c r="Y120" t="str">
        <f t="shared" ca="1" si="24"/>
        <v/>
      </c>
    </row>
    <row r="121" spans="1:25" ht="15" customHeight="1" x14ac:dyDescent="0.2">
      <c r="A121">
        <v>97</v>
      </c>
      <c r="B121" s="127">
        <f>IFERROR(INDEX('Match Log'!$B$4:$B$810,MATCH(97,'Match Log'!$A$4:$A$810,0)),"")</f>
        <v>46189</v>
      </c>
      <c r="C121" t="str">
        <f>IFERROR(INDEX('Match Log'!$C$4:$C$810,MATCH(97,'Match Log'!$A$4:$A$810,0)),"")</f>
        <v>Pool</v>
      </c>
      <c r="D121" t="str">
        <f t="array" ref="D121">IFERROR(_xlfn.TEXTJOIN(" + ",TRUE,IF(('Match Log'!$A$4:$A$810=$A121)*('Match Log'!$E$4:$E$810="Win"),'Match Log'!$D$4:$D$810,"")),IFERROR(LOOKUP(2,1/(('Match Log'!$A$4:$A$810=$A121)*('Match Log'!$E$4:$E$810="Win")),'Match Log'!$D$4:$D$810),""))</f>
        <v>Dean B</v>
      </c>
      <c r="E121" s="128">
        <f>IFERROR(INDEX('Match Log'!$F$4:$F$810,MATCH(97,'Match Log'!$A$4:$A$810,0)),"")</f>
        <v>2</v>
      </c>
      <c r="F121">
        <f>IFERROR(SUMIFS('Match Log'!$I$4:$I$810,'Match Log'!$A$4:$A$810,97,'Match Log'!$E$4:$E$810,"Win"),"")</f>
        <v>0.42553191489361708</v>
      </c>
      <c r="G121">
        <f t="shared" ref="G121:G144" si="25">IF($D121="","",1-$F121*$E121)</f>
        <v>0.14893617021276584</v>
      </c>
      <c r="H121" t="str">
        <f t="array" ref="H121">IFERROR(IF(COUNTIFS('Match Log'!$A$4:$A$810,$A121,'Match Log'!$E$4:$E$810,"Win")&gt;1,_xlfn.TEXTJOIN(" + ",TRUE,IF(('Match Log'!$A$4:$A$810=$A121)*('Match Log'!$E$4:$E$810="Loss"),'Match Log'!$D$4:$D$810,"")),IF($E121=2,LOOKUP(2,1/(('Match Log'!$A$4:$A$810=$A121)*('Match Log'!$E$4:$E$810="Loss")),'Match Log'!$D$4:$D$810),"the field")),"")</f>
        <v>Daniel (Ferret)</v>
      </c>
      <c r="I121">
        <f t="shared" ref="I121:I144" si="26">IF($G121="","",$G121-$A121/1000000)</f>
        <v>0.14883917021276583</v>
      </c>
      <c r="J121">
        <v>97</v>
      </c>
      <c r="K121">
        <f>IF($J121&gt;MAX('Match Log'!$A$4:$A$810),NA(),IFERROR(LOOKUP(2,1/(('Match Log'!$D$4:$D$810=$K$24)*('Match Log'!$A$4:$A$810&lt;=$J121)),'Match Log'!$N$4:$N$810),NA()))</f>
        <v>1057.8442062146762</v>
      </c>
      <c r="L121">
        <f>IF($J121&gt;MAX('Match Log'!$A$4:$A$810),NA(),IFERROR(LOOKUP(2,1/(('Match Log'!$D$4:$D$810=$L$24)*('Match Log'!$A$4:$A$810&lt;=$J121)),'Match Log'!$N$4:$N$810),NA()))</f>
        <v>1029.2201908859522</v>
      </c>
      <c r="M121">
        <f>IF($J121&gt;MAX('Match Log'!$A$4:$A$810),NA(),IFERROR(LOOKUP(2,1/(('Match Log'!$D$4:$D$810=$M$24)*('Match Log'!$A$4:$A$810&lt;=$J121)),'Match Log'!$N$4:$N$810),NA()))</f>
        <v>1016.7837867075796</v>
      </c>
      <c r="N121">
        <f>IF($J121&gt;MAX('Match Log'!$A$4:$A$810),NA(),IFERROR(LOOKUP(2,1/(('Match Log'!$D$4:$D$810=$N$24)*('Match Log'!$A$4:$A$810&lt;=$J121)),'Match Log'!$N$4:$N$810),NA()))</f>
        <v>981.92436608474441</v>
      </c>
      <c r="O121">
        <f>IF($J121&gt;MAX('Match Log'!$A$4:$A$810),NA(),IFERROR(LOOKUP(2,1/(('Match Log'!$D$4:$D$810=$O$24)*('Match Log'!$A$4:$A$810&lt;=$J121)),'Match Log'!$N$4:$N$810),NA()))</f>
        <v>1158.0745310110758</v>
      </c>
      <c r="P121">
        <f>IF($J121&gt;MAX('Match Log'!$A$4:$A$810),NA(),IFERROR(LOOKUP(2,1/(('Match Log'!$D$4:$D$810=$P$24)*('Match Log'!$A$4:$A$810&lt;=$J121)),'Match Log'!$N$4:$N$810),NA()))</f>
        <v>1009.6941424050542</v>
      </c>
      <c r="Q121">
        <f>IF($J121&gt;MAX('Match Log'!$A$4:$A$810),NA(),IFERROR(LOOKUP(2,1/(('Match Log'!$D$4:$D$810=$Q$24)*('Match Log'!$A$4:$A$810&lt;=$J121)),'Match Log'!$N$4:$N$810),NA()))</f>
        <v>1084.8903813508514</v>
      </c>
      <c r="R121">
        <f>IF($J121&gt;MAX('Match Log'!$A$4:$A$810),NA(),IFERROR(LOOKUP(2,1/(('Match Log'!$D$4:$D$810=$R$24)*('Match Log'!$A$4:$A$810&lt;=$J121)),'Match Log'!$N$4:$N$810),NA()))</f>
        <v>1066.1058874718271</v>
      </c>
      <c r="S121">
        <f>IF($J121&gt;MAX('Match Log'!$A$4:$A$810),NA(),IFERROR(LOOKUP(2,1/(('Match Log'!$D$4:$D$810=$S$24)*('Match Log'!$A$4:$A$810&lt;=$J121)),'Match Log'!$N$4:$N$810),NA()))</f>
        <v>1168.2113436007442</v>
      </c>
      <c r="T121">
        <f>IF($J121&gt;MAX('Match Log'!$A$4:$A$810),NA(),IFERROR(LOOKUP(2,1/(('Match Log'!$D$4:$D$810=$T$24)*('Match Log'!$A$4:$A$810&lt;=$J121)),'Match Log'!$N$4:$N$810),NA()))</f>
        <v>893.03675187725173</v>
      </c>
      <c r="U121">
        <f>IF($J121&gt;MAX('Match Log'!$A$4:$A$810),NA(),IFERROR(LOOKUP(2,1/(('Match Log'!$D$4:$D$810=$U$24)*('Match Log'!$A$4:$A$810&lt;=$J121)),'Match Log'!$N$4:$N$810),NA()))</f>
        <v>1076.6069656843583</v>
      </c>
      <c r="V121">
        <f>IF($J121&gt;MAX('Match Log'!$A$4:$A$810),NA(),IFERROR(LOOKUP(2,1/(('Match Log'!$D$4:$D$810=$V$24)*('Match Log'!$A$4:$A$810&lt;=$J121)),'Match Log'!$N$4:$N$810),NA()))</f>
        <v>1031.225848367051</v>
      </c>
      <c r="W121">
        <f>IF($J121&gt;MAX('Match Log'!$A$4:$A$810),NA(),IFERROR(LOOKUP(2,1/(('Match Log'!$D$4:$D$810=$W$24)*('Match Log'!$A$4:$A$810&lt;=$J121)),'Match Log'!$N$4:$N$810),NA()))</f>
        <v>1030.3815983388336</v>
      </c>
      <c r="X121" t="e">
        <f>IF($J121&gt;MAX('Match Log'!$A$4:$A$810),NA(),IFERROR(LOOKUP(2,1/(('Match Log'!$D$4:$D$810=$X$24)*('Match Log'!$A$4:$A$810&lt;=$J121)),'Match Log'!$N$4:$N$810),NA()))</f>
        <v>#N/A</v>
      </c>
      <c r="Y121" t="str">
        <f t="shared" ref="Y121:Y144" ca="1" si="27">IF(AND($B121&lt;&gt;"",$B121&gt;=$B$5,$I121&lt;&gt;""),$I121,"")</f>
        <v/>
      </c>
    </row>
    <row r="122" spans="1:25" ht="15" customHeight="1" x14ac:dyDescent="0.2">
      <c r="A122">
        <v>98</v>
      </c>
      <c r="B122" s="127">
        <f>IFERROR(INDEX('Match Log'!$B$4:$B$810,MATCH(98,'Match Log'!$A$4:$A$810,0)),"")</f>
        <v>46190</v>
      </c>
      <c r="C122" t="str">
        <f>IFERROR(INDEX('Match Log'!$C$4:$C$810,MATCH(98,'Match Log'!$A$4:$A$810,0)),"")</f>
        <v>Chess</v>
      </c>
      <c r="D122" t="str">
        <f t="array" ref="D122">IFERROR(_xlfn.TEXTJOIN(" + ",TRUE,IF(('Match Log'!$A$4:$A$810=$A122)*('Match Log'!$E$4:$E$810="Win"),'Match Log'!$D$4:$D$810,"")),IFERROR(LOOKUP(2,1/(('Match Log'!$A$4:$A$810=$A122)*('Match Log'!$E$4:$E$810="Win")),'Match Log'!$D$4:$D$810),""))</f>
        <v>Shawn</v>
      </c>
      <c r="E122" s="128">
        <f>IFERROR(INDEX('Match Log'!$F$4:$F$810,MATCH(98,'Match Log'!$A$4:$A$810,0)),"")</f>
        <v>2</v>
      </c>
      <c r="F122">
        <f>IFERROR(SUMIFS('Match Log'!$I$4:$I$810,'Match Log'!$A$4:$A$810,98,'Match Log'!$E$4:$E$810,"Win"),"")</f>
        <v>0.5</v>
      </c>
      <c r="G122">
        <f t="shared" si="25"/>
        <v>0</v>
      </c>
      <c r="H122" t="str">
        <f t="array" ref="H122">IFERROR(IF(COUNTIFS('Match Log'!$A$4:$A$810,$A122,'Match Log'!$E$4:$E$810,"Win")&gt;1,_xlfn.TEXTJOIN(" + ",TRUE,IF(('Match Log'!$A$4:$A$810=$A122)*('Match Log'!$E$4:$E$810="Loss"),'Match Log'!$D$4:$D$810,"")),IF($E122=2,LOOKUP(2,1/(('Match Log'!$A$4:$A$810=$A122)*('Match Log'!$E$4:$E$810="Loss")),'Match Log'!$D$4:$D$810),"the field")),"")</f>
        <v>Daniel (Ferret)</v>
      </c>
      <c r="I122">
        <f t="shared" si="26"/>
        <v>-9.7999999999999997E-5</v>
      </c>
      <c r="J122">
        <v>98</v>
      </c>
      <c r="K122">
        <f>IF($J122&gt;MAX('Match Log'!$A$4:$A$810),NA(),IFERROR(LOOKUP(2,1/(('Match Log'!$D$4:$D$810=$K$24)*('Match Log'!$A$4:$A$810&lt;=$J122)),'Match Log'!$N$4:$N$810),NA()))</f>
        <v>1057.8442062146762</v>
      </c>
      <c r="L122">
        <f>IF($J122&gt;MAX('Match Log'!$A$4:$A$810),NA(),IFERROR(LOOKUP(2,1/(('Match Log'!$D$4:$D$810=$L$24)*('Match Log'!$A$4:$A$810&lt;=$J122)),'Match Log'!$N$4:$N$810),NA()))</f>
        <v>1029.2201908859522</v>
      </c>
      <c r="M122">
        <f>IF($J122&gt;MAX('Match Log'!$A$4:$A$810),NA(),IFERROR(LOOKUP(2,1/(('Match Log'!$D$4:$D$810=$M$24)*('Match Log'!$A$4:$A$810&lt;=$J122)),'Match Log'!$N$4:$N$810),NA()))</f>
        <v>1016.7837867075796</v>
      </c>
      <c r="N122">
        <f>IF($J122&gt;MAX('Match Log'!$A$4:$A$810),NA(),IFERROR(LOOKUP(2,1/(('Match Log'!$D$4:$D$810=$N$24)*('Match Log'!$A$4:$A$810&lt;=$J122)),'Match Log'!$N$4:$N$810),NA()))</f>
        <v>981.92436608474441</v>
      </c>
      <c r="O122">
        <f>IF($J122&gt;MAX('Match Log'!$A$4:$A$810),NA(),IFERROR(LOOKUP(2,1/(('Match Log'!$D$4:$D$810=$O$24)*('Match Log'!$A$4:$A$810&lt;=$J122)),'Match Log'!$N$4:$N$810),NA()))</f>
        <v>1158.0745310110758</v>
      </c>
      <c r="P122">
        <f>IF($J122&gt;MAX('Match Log'!$A$4:$A$810),NA(),IFERROR(LOOKUP(2,1/(('Match Log'!$D$4:$D$810=$P$24)*('Match Log'!$A$4:$A$810&lt;=$J122)),'Match Log'!$N$4:$N$810),NA()))</f>
        <v>1034.2694085900962</v>
      </c>
      <c r="Q122">
        <f>IF($J122&gt;MAX('Match Log'!$A$4:$A$810),NA(),IFERROR(LOOKUP(2,1/(('Match Log'!$D$4:$D$810=$Q$24)*('Match Log'!$A$4:$A$810&lt;=$J122)),'Match Log'!$N$4:$N$810),NA()))</f>
        <v>1084.8903813508514</v>
      </c>
      <c r="R122">
        <f>IF($J122&gt;MAX('Match Log'!$A$4:$A$810),NA(),IFERROR(LOOKUP(2,1/(('Match Log'!$D$4:$D$810=$R$24)*('Match Log'!$A$4:$A$810&lt;=$J122)),'Match Log'!$N$4:$N$810),NA()))</f>
        <v>1041.5306212867852</v>
      </c>
      <c r="S122">
        <f>IF($J122&gt;MAX('Match Log'!$A$4:$A$810),NA(),IFERROR(LOOKUP(2,1/(('Match Log'!$D$4:$D$810=$S$24)*('Match Log'!$A$4:$A$810&lt;=$J122)),'Match Log'!$N$4:$N$810),NA()))</f>
        <v>1168.2113436007442</v>
      </c>
      <c r="T122">
        <f>IF($J122&gt;MAX('Match Log'!$A$4:$A$810),NA(),IFERROR(LOOKUP(2,1/(('Match Log'!$D$4:$D$810=$T$24)*('Match Log'!$A$4:$A$810&lt;=$J122)),'Match Log'!$N$4:$N$810),NA()))</f>
        <v>893.03675187725173</v>
      </c>
      <c r="U122">
        <f>IF($J122&gt;MAX('Match Log'!$A$4:$A$810),NA(),IFERROR(LOOKUP(2,1/(('Match Log'!$D$4:$D$810=$U$24)*('Match Log'!$A$4:$A$810&lt;=$J122)),'Match Log'!$N$4:$N$810),NA()))</f>
        <v>1076.6069656843583</v>
      </c>
      <c r="V122">
        <f>IF($J122&gt;MAX('Match Log'!$A$4:$A$810),NA(),IFERROR(LOOKUP(2,1/(('Match Log'!$D$4:$D$810=$V$24)*('Match Log'!$A$4:$A$810&lt;=$J122)),'Match Log'!$N$4:$N$810),NA()))</f>
        <v>1031.225848367051</v>
      </c>
      <c r="W122">
        <f>IF($J122&gt;MAX('Match Log'!$A$4:$A$810),NA(),IFERROR(LOOKUP(2,1/(('Match Log'!$D$4:$D$810=$W$24)*('Match Log'!$A$4:$A$810&lt;=$J122)),'Match Log'!$N$4:$N$810),NA()))</f>
        <v>1030.3815983388336</v>
      </c>
      <c r="X122" t="e">
        <f>IF($J122&gt;MAX('Match Log'!$A$4:$A$810),NA(),IFERROR(LOOKUP(2,1/(('Match Log'!$D$4:$D$810=$X$24)*('Match Log'!$A$4:$A$810&lt;=$J122)),'Match Log'!$N$4:$N$810),NA()))</f>
        <v>#N/A</v>
      </c>
      <c r="Y122" t="str">
        <f t="shared" ca="1" si="27"/>
        <v/>
      </c>
    </row>
    <row r="123" spans="1:25" ht="15" customHeight="1" x14ac:dyDescent="0.2">
      <c r="A123">
        <v>99</v>
      </c>
      <c r="B123" s="127">
        <f>IFERROR(INDEX('Match Log'!$B$4:$B$810,MATCH(99,'Match Log'!$A$4:$A$810,0)),"")</f>
        <v>46199</v>
      </c>
      <c r="C123" t="str">
        <f>IFERROR(INDEX('Match Log'!$C$4:$C$810,MATCH(99,'Match Log'!$A$4:$A$810,0)),"")</f>
        <v>Mario Golf</v>
      </c>
      <c r="D123" t="str">
        <f t="array" ref="D123">IFERROR(_xlfn.TEXTJOIN(" + ",TRUE,IF(('Match Log'!$A$4:$A$810=$A123)*('Match Log'!$E$4:$E$810="Win"),'Match Log'!$D$4:$D$810,"")),IFERROR(LOOKUP(2,1/(('Match Log'!$A$4:$A$810=$A123)*('Match Log'!$E$4:$E$810="Win")),'Match Log'!$D$4:$D$810),""))</f>
        <v>Daniel (Ferret)</v>
      </c>
      <c r="E123" s="128">
        <f>IFERROR(INDEX('Match Log'!$F$4:$F$810,MATCH(99,'Match Log'!$A$4:$A$810,0)),"")</f>
        <v>2</v>
      </c>
      <c r="F123">
        <f>IFERROR(SUMIFS('Match Log'!$I$4:$I$810,'Match Log'!$A$4:$A$810,99,'Match Log'!$E$4:$E$810,"Win"),"")</f>
        <v>0.5</v>
      </c>
      <c r="G123">
        <f t="shared" si="25"/>
        <v>0</v>
      </c>
      <c r="H123" t="str">
        <f t="array" ref="H123">IFERROR(IF(COUNTIFS('Match Log'!$A$4:$A$810,$A123,'Match Log'!$E$4:$E$810,"Win")&gt;1,_xlfn.TEXTJOIN(" + ",TRUE,IF(('Match Log'!$A$4:$A$810=$A123)*('Match Log'!$E$4:$E$810="Loss"),'Match Log'!$D$4:$D$810,"")),IF($E123=2,LOOKUP(2,1/(('Match Log'!$A$4:$A$810=$A123)*('Match Log'!$E$4:$E$810="Loss")),'Match Log'!$D$4:$D$810),"the field")),"")</f>
        <v>Josh</v>
      </c>
      <c r="I123">
        <f t="shared" si="26"/>
        <v>-9.8999999999999994E-5</v>
      </c>
      <c r="J123">
        <v>99</v>
      </c>
      <c r="K123">
        <f>IF($J123&gt;MAX('Match Log'!$A$4:$A$810),NA(),IFERROR(LOOKUP(2,1/(('Match Log'!$D$4:$D$810=$K$24)*('Match Log'!$A$4:$A$810&lt;=$J123)),'Match Log'!$N$4:$N$810),NA()))</f>
        <v>1057.8442062146762</v>
      </c>
      <c r="L123">
        <f>IF($J123&gt;MAX('Match Log'!$A$4:$A$810),NA(),IFERROR(LOOKUP(2,1/(('Match Log'!$D$4:$D$810=$L$24)*('Match Log'!$A$4:$A$810&lt;=$J123)),'Match Log'!$N$4:$N$810),NA()))</f>
        <v>1029.2201908859522</v>
      </c>
      <c r="M123">
        <f>IF($J123&gt;MAX('Match Log'!$A$4:$A$810),NA(),IFERROR(LOOKUP(2,1/(('Match Log'!$D$4:$D$810=$M$24)*('Match Log'!$A$4:$A$810&lt;=$J123)),'Match Log'!$N$4:$N$810),NA()))</f>
        <v>1016.7837867075796</v>
      </c>
      <c r="N123">
        <f>IF($J123&gt;MAX('Match Log'!$A$4:$A$810),NA(),IFERROR(LOOKUP(2,1/(('Match Log'!$D$4:$D$810=$N$24)*('Match Log'!$A$4:$A$810&lt;=$J123)),'Match Log'!$N$4:$N$810),NA()))</f>
        <v>981.92436608474441</v>
      </c>
      <c r="O123">
        <f>IF($J123&gt;MAX('Match Log'!$A$4:$A$810),NA(),IFERROR(LOOKUP(2,1/(('Match Log'!$D$4:$D$810=$O$24)*('Match Log'!$A$4:$A$810&lt;=$J123)),'Match Log'!$N$4:$N$810),NA()))</f>
        <v>1130.9001204968256</v>
      </c>
      <c r="P123">
        <f>IF($J123&gt;MAX('Match Log'!$A$4:$A$810),NA(),IFERROR(LOOKUP(2,1/(('Match Log'!$D$4:$D$810=$P$24)*('Match Log'!$A$4:$A$810&lt;=$J123)),'Match Log'!$N$4:$N$810),NA()))</f>
        <v>1034.2694085900962</v>
      </c>
      <c r="Q123">
        <f>IF($J123&gt;MAX('Match Log'!$A$4:$A$810),NA(),IFERROR(LOOKUP(2,1/(('Match Log'!$D$4:$D$810=$Q$24)*('Match Log'!$A$4:$A$810&lt;=$J123)),'Match Log'!$N$4:$N$810),NA()))</f>
        <v>1084.8903813508514</v>
      </c>
      <c r="R123">
        <f>IF($J123&gt;MAX('Match Log'!$A$4:$A$810),NA(),IFERROR(LOOKUP(2,1/(('Match Log'!$D$4:$D$810=$R$24)*('Match Log'!$A$4:$A$810&lt;=$J123)),'Match Log'!$N$4:$N$810),NA()))</f>
        <v>1068.7050318010354</v>
      </c>
      <c r="S123">
        <f>IF($J123&gt;MAX('Match Log'!$A$4:$A$810),NA(),IFERROR(LOOKUP(2,1/(('Match Log'!$D$4:$D$810=$S$24)*('Match Log'!$A$4:$A$810&lt;=$J123)),'Match Log'!$N$4:$N$810),NA()))</f>
        <v>1168.2113436007442</v>
      </c>
      <c r="T123">
        <f>IF($J123&gt;MAX('Match Log'!$A$4:$A$810),NA(),IFERROR(LOOKUP(2,1/(('Match Log'!$D$4:$D$810=$T$24)*('Match Log'!$A$4:$A$810&lt;=$J123)),'Match Log'!$N$4:$N$810),NA()))</f>
        <v>893.03675187725173</v>
      </c>
      <c r="U123">
        <f>IF($J123&gt;MAX('Match Log'!$A$4:$A$810),NA(),IFERROR(LOOKUP(2,1/(('Match Log'!$D$4:$D$810=$U$24)*('Match Log'!$A$4:$A$810&lt;=$J123)),'Match Log'!$N$4:$N$810),NA()))</f>
        <v>1076.6069656843583</v>
      </c>
      <c r="V123">
        <f>IF($J123&gt;MAX('Match Log'!$A$4:$A$810),NA(),IFERROR(LOOKUP(2,1/(('Match Log'!$D$4:$D$810=$V$24)*('Match Log'!$A$4:$A$810&lt;=$J123)),'Match Log'!$N$4:$N$810),NA()))</f>
        <v>1031.225848367051</v>
      </c>
      <c r="W123">
        <f>IF($J123&gt;MAX('Match Log'!$A$4:$A$810),NA(),IFERROR(LOOKUP(2,1/(('Match Log'!$D$4:$D$810=$W$24)*('Match Log'!$A$4:$A$810&lt;=$J123)),'Match Log'!$N$4:$N$810),NA()))</f>
        <v>1030.3815983388336</v>
      </c>
      <c r="X123" t="e">
        <f>IF($J123&gt;MAX('Match Log'!$A$4:$A$810),NA(),IFERROR(LOOKUP(2,1/(('Match Log'!$D$4:$D$810=$X$24)*('Match Log'!$A$4:$A$810&lt;=$J123)),'Match Log'!$N$4:$N$810),NA()))</f>
        <v>#N/A</v>
      </c>
      <c r="Y123" t="str">
        <f t="shared" ca="1" si="27"/>
        <v/>
      </c>
    </row>
    <row r="124" spans="1:25" ht="15" customHeight="1" x14ac:dyDescent="0.2">
      <c r="A124">
        <v>100</v>
      </c>
      <c r="B124" s="127">
        <f>IFERROR(INDEX('Match Log'!$B$4:$B$810,MATCH(100,'Match Log'!$A$4:$A$810,0)),"")</f>
        <v>46199</v>
      </c>
      <c r="C124" t="str">
        <f>IFERROR(INDEX('Match Log'!$C$4:$C$810,MATCH(100,'Match Log'!$A$4:$A$810,0)),"")</f>
        <v>Mario Golf</v>
      </c>
      <c r="D124" t="str">
        <f t="array" ref="D124">IFERROR(_xlfn.TEXTJOIN(" + ",TRUE,IF(('Match Log'!$A$4:$A$810=$A124)*('Match Log'!$E$4:$E$810="Win"),'Match Log'!$D$4:$D$810,"")),IFERROR(LOOKUP(2,1/(('Match Log'!$A$4:$A$810=$A124)*('Match Log'!$E$4:$E$810="Win")),'Match Log'!$D$4:$D$810),""))</f>
        <v>Daniel (Ferret)</v>
      </c>
      <c r="E124" s="128">
        <f>IFERROR(INDEX('Match Log'!$F$4:$F$810,MATCH(100,'Match Log'!$A$4:$A$810,0)),"")</f>
        <v>2</v>
      </c>
      <c r="F124">
        <f>IFERROR(SUMIFS('Match Log'!$I$4:$I$810,'Match Log'!$A$4:$A$810,100,'Match Log'!$E$4:$E$810,"Win"),"")</f>
        <v>0.66666666666666663</v>
      </c>
      <c r="G124">
        <f t="shared" si="25"/>
        <v>-0.33333333333333326</v>
      </c>
      <c r="H124" t="str">
        <f t="array" ref="H124">IFERROR(IF(COUNTIFS('Match Log'!$A$4:$A$810,$A124,'Match Log'!$E$4:$E$810,"Win")&gt;1,_xlfn.TEXTJOIN(" + ",TRUE,IF(('Match Log'!$A$4:$A$810=$A124)*('Match Log'!$E$4:$E$810="Loss"),'Match Log'!$D$4:$D$810,"")),IF($E124=2,LOOKUP(2,1/(('Match Log'!$A$4:$A$810=$A124)*('Match Log'!$E$4:$E$810="Loss")),'Match Log'!$D$4:$D$810),"the field")),"")</f>
        <v>Josh</v>
      </c>
      <c r="I124">
        <f t="shared" si="26"/>
        <v>-0.33343333333333325</v>
      </c>
      <c r="J124">
        <v>100</v>
      </c>
      <c r="K124">
        <f>IF($J124&gt;MAX('Match Log'!$A$4:$A$810),NA(),IFERROR(LOOKUP(2,1/(('Match Log'!$D$4:$D$810=$K$24)*('Match Log'!$A$4:$A$810&lt;=$J124)),'Match Log'!$N$4:$N$810),NA()))</f>
        <v>1057.8442062146762</v>
      </c>
      <c r="L124">
        <f>IF($J124&gt;MAX('Match Log'!$A$4:$A$810),NA(),IFERROR(LOOKUP(2,1/(('Match Log'!$D$4:$D$810=$L$24)*('Match Log'!$A$4:$A$810&lt;=$J124)),'Match Log'!$N$4:$N$810),NA()))</f>
        <v>1029.2201908859522</v>
      </c>
      <c r="M124">
        <f>IF($J124&gt;MAX('Match Log'!$A$4:$A$810),NA(),IFERROR(LOOKUP(2,1/(('Match Log'!$D$4:$D$810=$M$24)*('Match Log'!$A$4:$A$810&lt;=$J124)),'Match Log'!$N$4:$N$810),NA()))</f>
        <v>1016.7837867075796</v>
      </c>
      <c r="N124">
        <f>IF($J124&gt;MAX('Match Log'!$A$4:$A$810),NA(),IFERROR(LOOKUP(2,1/(('Match Log'!$D$4:$D$810=$N$24)*('Match Log'!$A$4:$A$810&lt;=$J124)),'Match Log'!$N$4:$N$810),NA()))</f>
        <v>981.92436608474441</v>
      </c>
      <c r="O124">
        <f>IF($J124&gt;MAX('Match Log'!$A$4:$A$810),NA(),IFERROR(LOOKUP(2,1/(('Match Log'!$D$4:$D$810=$O$24)*('Match Log'!$A$4:$A$810&lt;=$J124)),'Match Log'!$N$4:$N$810),NA()))</f>
        <v>1108.7715965499422</v>
      </c>
      <c r="P124">
        <f>IF($J124&gt;MAX('Match Log'!$A$4:$A$810),NA(),IFERROR(LOOKUP(2,1/(('Match Log'!$D$4:$D$810=$P$24)*('Match Log'!$A$4:$A$810&lt;=$J124)),'Match Log'!$N$4:$N$810),NA()))</f>
        <v>1034.2694085900962</v>
      </c>
      <c r="Q124">
        <f>IF($J124&gt;MAX('Match Log'!$A$4:$A$810),NA(),IFERROR(LOOKUP(2,1/(('Match Log'!$D$4:$D$810=$Q$24)*('Match Log'!$A$4:$A$810&lt;=$J124)),'Match Log'!$N$4:$N$810),NA()))</f>
        <v>1084.8903813508514</v>
      </c>
      <c r="R124">
        <f>IF($J124&gt;MAX('Match Log'!$A$4:$A$810),NA(),IFERROR(LOOKUP(2,1/(('Match Log'!$D$4:$D$810=$R$24)*('Match Log'!$A$4:$A$810&lt;=$J124)),'Match Log'!$N$4:$N$810),NA()))</f>
        <v>1090.8335557479188</v>
      </c>
      <c r="S124">
        <f>IF($J124&gt;MAX('Match Log'!$A$4:$A$810),NA(),IFERROR(LOOKUP(2,1/(('Match Log'!$D$4:$D$810=$S$24)*('Match Log'!$A$4:$A$810&lt;=$J124)),'Match Log'!$N$4:$N$810),NA()))</f>
        <v>1168.2113436007442</v>
      </c>
      <c r="T124">
        <f>IF($J124&gt;MAX('Match Log'!$A$4:$A$810),NA(),IFERROR(LOOKUP(2,1/(('Match Log'!$D$4:$D$810=$T$24)*('Match Log'!$A$4:$A$810&lt;=$J124)),'Match Log'!$N$4:$N$810),NA()))</f>
        <v>893.03675187725173</v>
      </c>
      <c r="U124">
        <f>IF($J124&gt;MAX('Match Log'!$A$4:$A$810),NA(),IFERROR(LOOKUP(2,1/(('Match Log'!$D$4:$D$810=$U$24)*('Match Log'!$A$4:$A$810&lt;=$J124)),'Match Log'!$N$4:$N$810),NA()))</f>
        <v>1076.6069656843583</v>
      </c>
      <c r="V124">
        <f>IF($J124&gt;MAX('Match Log'!$A$4:$A$810),NA(),IFERROR(LOOKUP(2,1/(('Match Log'!$D$4:$D$810=$V$24)*('Match Log'!$A$4:$A$810&lt;=$J124)),'Match Log'!$N$4:$N$810),NA()))</f>
        <v>1031.225848367051</v>
      </c>
      <c r="W124">
        <f>IF($J124&gt;MAX('Match Log'!$A$4:$A$810),NA(),IFERROR(LOOKUP(2,1/(('Match Log'!$D$4:$D$810=$W$24)*('Match Log'!$A$4:$A$810&lt;=$J124)),'Match Log'!$N$4:$N$810),NA()))</f>
        <v>1030.3815983388336</v>
      </c>
      <c r="X124" t="e">
        <f>IF($J124&gt;MAX('Match Log'!$A$4:$A$810),NA(),IFERROR(LOOKUP(2,1/(('Match Log'!$D$4:$D$810=$X$24)*('Match Log'!$A$4:$A$810&lt;=$J124)),'Match Log'!$N$4:$N$810),NA()))</f>
        <v>#N/A</v>
      </c>
      <c r="Y124" t="str">
        <f t="shared" ca="1" si="27"/>
        <v/>
      </c>
    </row>
    <row r="125" spans="1:25" ht="15" customHeight="1" x14ac:dyDescent="0.2">
      <c r="A125">
        <v>101</v>
      </c>
      <c r="B125" s="127">
        <f>IFERROR(INDEX('Match Log'!$B$4:$B$810,MATCH(101,'Match Log'!$A$4:$A$810,0)),"")</f>
        <v>46199</v>
      </c>
      <c r="C125" t="str">
        <f>IFERROR(INDEX('Match Log'!$C$4:$C$810,MATCH(101,'Match Log'!$A$4:$A$810,0)),"")</f>
        <v>Mario Golf</v>
      </c>
      <c r="D125" t="str">
        <f t="array" ref="D125">IFERROR(_xlfn.TEXTJOIN(" + ",TRUE,IF(('Match Log'!$A$4:$A$810=$A125)*('Match Log'!$E$4:$E$810="Win"),'Match Log'!$D$4:$D$810,"")),IFERROR(LOOKUP(2,1/(('Match Log'!$A$4:$A$810=$A125)*('Match Log'!$E$4:$E$810="Win")),'Match Log'!$D$4:$D$810),""))</f>
        <v>Josh</v>
      </c>
      <c r="E125" s="128">
        <f>IFERROR(INDEX('Match Log'!$F$4:$F$810,MATCH(101,'Match Log'!$A$4:$A$810,0)),"")</f>
        <v>2</v>
      </c>
      <c r="F125">
        <f>IFERROR(SUMIFS('Match Log'!$I$4:$I$810,'Match Log'!$A$4:$A$810,101,'Match Log'!$E$4:$E$810,"Win"),"")</f>
        <v>0.25</v>
      </c>
      <c r="G125">
        <f t="shared" si="25"/>
        <v>0.5</v>
      </c>
      <c r="H125" t="str">
        <f t="array" ref="H125">IFERROR(IF(COUNTIFS('Match Log'!$A$4:$A$810,$A125,'Match Log'!$E$4:$E$810,"Win")&gt;1,_xlfn.TEXTJOIN(" + ",TRUE,IF(('Match Log'!$A$4:$A$810=$A125)*('Match Log'!$E$4:$E$810="Loss"),'Match Log'!$D$4:$D$810,"")),IF($E125=2,LOOKUP(2,1/(('Match Log'!$A$4:$A$810=$A125)*('Match Log'!$E$4:$E$810="Loss")),'Match Log'!$D$4:$D$810),"the field")),"")</f>
        <v>Daniel (Ferret)</v>
      </c>
      <c r="I125">
        <f t="shared" si="26"/>
        <v>0.49989899999999998</v>
      </c>
      <c r="J125">
        <v>101</v>
      </c>
      <c r="K125">
        <f>IF($J125&gt;MAX('Match Log'!$A$4:$A$810),NA(),IFERROR(LOOKUP(2,1/(('Match Log'!$D$4:$D$810=$K$24)*('Match Log'!$A$4:$A$810&lt;=$J125)),'Match Log'!$N$4:$N$810),NA()))</f>
        <v>1057.8442062146762</v>
      </c>
      <c r="L125">
        <f>IF($J125&gt;MAX('Match Log'!$A$4:$A$810),NA(),IFERROR(LOOKUP(2,1/(('Match Log'!$D$4:$D$810=$L$24)*('Match Log'!$A$4:$A$810&lt;=$J125)),'Match Log'!$N$4:$N$810),NA()))</f>
        <v>1029.2201908859522</v>
      </c>
      <c r="M125">
        <f>IF($J125&gt;MAX('Match Log'!$A$4:$A$810),NA(),IFERROR(LOOKUP(2,1/(('Match Log'!$D$4:$D$810=$M$24)*('Match Log'!$A$4:$A$810&lt;=$J125)),'Match Log'!$N$4:$N$810),NA()))</f>
        <v>1016.7837867075796</v>
      </c>
      <c r="N125">
        <f>IF($J125&gt;MAX('Match Log'!$A$4:$A$810),NA(),IFERROR(LOOKUP(2,1/(('Match Log'!$D$4:$D$810=$N$24)*('Match Log'!$A$4:$A$810&lt;=$J125)),'Match Log'!$N$4:$N$810),NA()))</f>
        <v>981.92436608474441</v>
      </c>
      <c r="O125">
        <f>IF($J125&gt;MAX('Match Log'!$A$4:$A$810),NA(),IFERROR(LOOKUP(2,1/(('Match Log'!$D$4:$D$810=$O$24)*('Match Log'!$A$4:$A$810&lt;=$J125)),'Match Log'!$N$4:$N$810),NA()))</f>
        <v>1133.9849466347907</v>
      </c>
      <c r="P125">
        <f>IF($J125&gt;MAX('Match Log'!$A$4:$A$810),NA(),IFERROR(LOOKUP(2,1/(('Match Log'!$D$4:$D$810=$P$24)*('Match Log'!$A$4:$A$810&lt;=$J125)),'Match Log'!$N$4:$N$810),NA()))</f>
        <v>1034.2694085900962</v>
      </c>
      <c r="Q125">
        <f>IF($J125&gt;MAX('Match Log'!$A$4:$A$810),NA(),IFERROR(LOOKUP(2,1/(('Match Log'!$D$4:$D$810=$Q$24)*('Match Log'!$A$4:$A$810&lt;=$J125)),'Match Log'!$N$4:$N$810),NA()))</f>
        <v>1084.8903813508514</v>
      </c>
      <c r="R125">
        <f>IF($J125&gt;MAX('Match Log'!$A$4:$A$810),NA(),IFERROR(LOOKUP(2,1/(('Match Log'!$D$4:$D$810=$R$24)*('Match Log'!$A$4:$A$810&lt;=$J125)),'Match Log'!$N$4:$N$810),NA()))</f>
        <v>1065.6202056630702</v>
      </c>
      <c r="S125">
        <f>IF($J125&gt;MAX('Match Log'!$A$4:$A$810),NA(),IFERROR(LOOKUP(2,1/(('Match Log'!$D$4:$D$810=$S$24)*('Match Log'!$A$4:$A$810&lt;=$J125)),'Match Log'!$N$4:$N$810),NA()))</f>
        <v>1168.2113436007442</v>
      </c>
      <c r="T125">
        <f>IF($J125&gt;MAX('Match Log'!$A$4:$A$810),NA(),IFERROR(LOOKUP(2,1/(('Match Log'!$D$4:$D$810=$T$24)*('Match Log'!$A$4:$A$810&lt;=$J125)),'Match Log'!$N$4:$N$810),NA()))</f>
        <v>893.03675187725173</v>
      </c>
      <c r="U125">
        <f>IF($J125&gt;MAX('Match Log'!$A$4:$A$810),NA(),IFERROR(LOOKUP(2,1/(('Match Log'!$D$4:$D$810=$U$24)*('Match Log'!$A$4:$A$810&lt;=$J125)),'Match Log'!$N$4:$N$810),NA()))</f>
        <v>1076.6069656843583</v>
      </c>
      <c r="V125">
        <f>IF($J125&gt;MAX('Match Log'!$A$4:$A$810),NA(),IFERROR(LOOKUP(2,1/(('Match Log'!$D$4:$D$810=$V$24)*('Match Log'!$A$4:$A$810&lt;=$J125)),'Match Log'!$N$4:$N$810),NA()))</f>
        <v>1031.225848367051</v>
      </c>
      <c r="W125">
        <f>IF($J125&gt;MAX('Match Log'!$A$4:$A$810),NA(),IFERROR(LOOKUP(2,1/(('Match Log'!$D$4:$D$810=$W$24)*('Match Log'!$A$4:$A$810&lt;=$J125)),'Match Log'!$N$4:$N$810),NA()))</f>
        <v>1030.3815983388336</v>
      </c>
      <c r="X125" t="e">
        <f>IF($J125&gt;MAX('Match Log'!$A$4:$A$810),NA(),IFERROR(LOOKUP(2,1/(('Match Log'!$D$4:$D$810=$X$24)*('Match Log'!$A$4:$A$810&lt;=$J125)),'Match Log'!$N$4:$N$810),NA()))</f>
        <v>#N/A</v>
      </c>
      <c r="Y125" t="str">
        <f t="shared" ca="1" si="27"/>
        <v/>
      </c>
    </row>
    <row r="126" spans="1:25" ht="15" customHeight="1" x14ac:dyDescent="0.2">
      <c r="A126">
        <v>102</v>
      </c>
      <c r="B126" s="127">
        <f>IFERROR(INDEX('Match Log'!$B$4:$B$810,MATCH(102,'Match Log'!$A$4:$A$810,0)),"")</f>
        <v>46199</v>
      </c>
      <c r="C126" t="str">
        <f>IFERROR(INDEX('Match Log'!$C$4:$C$810,MATCH(102,'Match Log'!$A$4:$A$810,0)),"")</f>
        <v>Mario Golf</v>
      </c>
      <c r="D126" t="str">
        <f t="array" ref="D126">IFERROR(_xlfn.TEXTJOIN(" + ",TRUE,IF(('Match Log'!$A$4:$A$810=$A126)*('Match Log'!$E$4:$E$810="Win"),'Match Log'!$D$4:$D$810,"")),IFERROR(LOOKUP(2,1/(('Match Log'!$A$4:$A$810=$A126)*('Match Log'!$E$4:$E$810="Win")),'Match Log'!$D$4:$D$810),""))</f>
        <v>Josh</v>
      </c>
      <c r="E126" s="128">
        <f>IFERROR(INDEX('Match Log'!$F$4:$F$810,MATCH(102,'Match Log'!$A$4:$A$810,0)),"")</f>
        <v>2</v>
      </c>
      <c r="F126">
        <f>IFERROR(SUMIFS('Match Log'!$I$4:$I$810,'Match Log'!$A$4:$A$810,102,'Match Log'!$E$4:$E$810,"Win"),"")</f>
        <v>0.4</v>
      </c>
      <c r="G126">
        <f t="shared" si="25"/>
        <v>0.19999999999999996</v>
      </c>
      <c r="H126" t="str">
        <f t="array" ref="H126">IFERROR(IF(COUNTIFS('Match Log'!$A$4:$A$810,$A126,'Match Log'!$E$4:$E$810,"Win")&gt;1,_xlfn.TEXTJOIN(" + ",TRUE,IF(('Match Log'!$A$4:$A$810=$A126)*('Match Log'!$E$4:$E$810="Loss"),'Match Log'!$D$4:$D$810,"")),IF($E126=2,LOOKUP(2,1/(('Match Log'!$A$4:$A$810=$A126)*('Match Log'!$E$4:$E$810="Loss")),'Match Log'!$D$4:$D$810),"the field")),"")</f>
        <v>Daniel (Ferret)</v>
      </c>
      <c r="I126">
        <f t="shared" si="26"/>
        <v>0.19989799999999996</v>
      </c>
      <c r="J126">
        <v>102</v>
      </c>
      <c r="K126">
        <f>IF($J126&gt;MAX('Match Log'!$A$4:$A$810),NA(),IFERROR(LOOKUP(2,1/(('Match Log'!$D$4:$D$810=$K$24)*('Match Log'!$A$4:$A$810&lt;=$J126)),'Match Log'!$N$4:$N$810),NA()))</f>
        <v>1057.8442062146762</v>
      </c>
      <c r="L126">
        <f>IF($J126&gt;MAX('Match Log'!$A$4:$A$810),NA(),IFERROR(LOOKUP(2,1/(('Match Log'!$D$4:$D$810=$L$24)*('Match Log'!$A$4:$A$810&lt;=$J126)),'Match Log'!$N$4:$N$810),NA()))</f>
        <v>1029.2201908859522</v>
      </c>
      <c r="M126">
        <f>IF($J126&gt;MAX('Match Log'!$A$4:$A$810),NA(),IFERROR(LOOKUP(2,1/(('Match Log'!$D$4:$D$810=$M$24)*('Match Log'!$A$4:$A$810&lt;=$J126)),'Match Log'!$N$4:$N$810),NA()))</f>
        <v>1016.7837867075796</v>
      </c>
      <c r="N126">
        <f>IF($J126&gt;MAX('Match Log'!$A$4:$A$810),NA(),IFERROR(LOOKUP(2,1/(('Match Log'!$D$4:$D$810=$N$24)*('Match Log'!$A$4:$A$810&lt;=$J126)),'Match Log'!$N$4:$N$810),NA()))</f>
        <v>981.92436608474441</v>
      </c>
      <c r="O126">
        <f>IF($J126&gt;MAX('Match Log'!$A$4:$A$810),NA(),IFERROR(LOOKUP(2,1/(('Match Log'!$D$4:$D$810=$O$24)*('Match Log'!$A$4:$A$810&lt;=$J126)),'Match Log'!$N$4:$N$810),NA()))</f>
        <v>1155.6279259377604</v>
      </c>
      <c r="P126">
        <f>IF($J126&gt;MAX('Match Log'!$A$4:$A$810),NA(),IFERROR(LOOKUP(2,1/(('Match Log'!$D$4:$D$810=$P$24)*('Match Log'!$A$4:$A$810&lt;=$J126)),'Match Log'!$N$4:$N$810),NA()))</f>
        <v>1034.2694085900962</v>
      </c>
      <c r="Q126">
        <f>IF($J126&gt;MAX('Match Log'!$A$4:$A$810),NA(),IFERROR(LOOKUP(2,1/(('Match Log'!$D$4:$D$810=$Q$24)*('Match Log'!$A$4:$A$810&lt;=$J126)),'Match Log'!$N$4:$N$810),NA()))</f>
        <v>1084.8903813508514</v>
      </c>
      <c r="R126">
        <f>IF($J126&gt;MAX('Match Log'!$A$4:$A$810),NA(),IFERROR(LOOKUP(2,1/(('Match Log'!$D$4:$D$810=$R$24)*('Match Log'!$A$4:$A$810&lt;=$J126)),'Match Log'!$N$4:$N$810),NA()))</f>
        <v>1043.9772263601005</v>
      </c>
      <c r="S126">
        <f>IF($J126&gt;MAX('Match Log'!$A$4:$A$810),NA(),IFERROR(LOOKUP(2,1/(('Match Log'!$D$4:$D$810=$S$24)*('Match Log'!$A$4:$A$810&lt;=$J126)),'Match Log'!$N$4:$N$810),NA()))</f>
        <v>1168.2113436007442</v>
      </c>
      <c r="T126">
        <f>IF($J126&gt;MAX('Match Log'!$A$4:$A$810),NA(),IFERROR(LOOKUP(2,1/(('Match Log'!$D$4:$D$810=$T$24)*('Match Log'!$A$4:$A$810&lt;=$J126)),'Match Log'!$N$4:$N$810),NA()))</f>
        <v>893.03675187725173</v>
      </c>
      <c r="U126">
        <f>IF($J126&gt;MAX('Match Log'!$A$4:$A$810),NA(),IFERROR(LOOKUP(2,1/(('Match Log'!$D$4:$D$810=$U$24)*('Match Log'!$A$4:$A$810&lt;=$J126)),'Match Log'!$N$4:$N$810),NA()))</f>
        <v>1076.6069656843583</v>
      </c>
      <c r="V126">
        <f>IF($J126&gt;MAX('Match Log'!$A$4:$A$810),NA(),IFERROR(LOOKUP(2,1/(('Match Log'!$D$4:$D$810=$V$24)*('Match Log'!$A$4:$A$810&lt;=$J126)),'Match Log'!$N$4:$N$810),NA()))</f>
        <v>1031.225848367051</v>
      </c>
      <c r="W126">
        <f>IF($J126&gt;MAX('Match Log'!$A$4:$A$810),NA(),IFERROR(LOOKUP(2,1/(('Match Log'!$D$4:$D$810=$W$24)*('Match Log'!$A$4:$A$810&lt;=$J126)),'Match Log'!$N$4:$N$810),NA()))</f>
        <v>1030.3815983388336</v>
      </c>
      <c r="X126" t="e">
        <f>IF($J126&gt;MAX('Match Log'!$A$4:$A$810),NA(),IFERROR(LOOKUP(2,1/(('Match Log'!$D$4:$D$810=$X$24)*('Match Log'!$A$4:$A$810&lt;=$J126)),'Match Log'!$N$4:$N$810),NA()))</f>
        <v>#N/A</v>
      </c>
      <c r="Y126" t="str">
        <f t="shared" ca="1" si="27"/>
        <v/>
      </c>
    </row>
    <row r="127" spans="1:25" ht="15" customHeight="1" x14ac:dyDescent="0.2">
      <c r="A127">
        <v>103</v>
      </c>
      <c r="B127" s="127">
        <f>IFERROR(INDEX('Match Log'!$B$4:$B$810,MATCH(103,'Match Log'!$A$4:$A$810,0)),"")</f>
        <v>46199</v>
      </c>
      <c r="C127" t="str">
        <f>IFERROR(INDEX('Match Log'!$C$4:$C$810,MATCH(103,'Match Log'!$A$4:$A$810,0)),"")</f>
        <v>Mario Party</v>
      </c>
      <c r="D127" t="str">
        <f t="array" ref="D127">IFERROR(_xlfn.TEXTJOIN(" + ",TRUE,IF(('Match Log'!$A$4:$A$810=$A127)*('Match Log'!$E$4:$E$810="Win"),'Match Log'!$D$4:$D$810,"")),IFERROR(LOOKUP(2,1/(('Match Log'!$A$4:$A$810=$A127)*('Match Log'!$E$4:$E$810="Win")),'Match Log'!$D$4:$D$810),""))</f>
        <v>Daniel (Ferret)</v>
      </c>
      <c r="E127" s="128">
        <f>IFERROR(INDEX('Match Log'!$F$4:$F$810,MATCH(103,'Match Log'!$A$4:$A$810,0)),"")</f>
        <v>2</v>
      </c>
      <c r="F127">
        <f>IFERROR(SUMIFS('Match Log'!$I$4:$I$810,'Match Log'!$A$4:$A$810,103,'Match Log'!$E$4:$E$810,"Win"),"")</f>
        <v>0.6</v>
      </c>
      <c r="G127">
        <f t="shared" si="25"/>
        <v>-0.19999999999999996</v>
      </c>
      <c r="H127" t="str">
        <f t="array" ref="H127">IFERROR(IF(COUNTIFS('Match Log'!$A$4:$A$810,$A127,'Match Log'!$E$4:$E$810,"Win")&gt;1,_xlfn.TEXTJOIN(" + ",TRUE,IF(('Match Log'!$A$4:$A$810=$A127)*('Match Log'!$E$4:$E$810="Loss"),'Match Log'!$D$4:$D$810,"")),IF($E127=2,LOOKUP(2,1/(('Match Log'!$A$4:$A$810=$A127)*('Match Log'!$E$4:$E$810="Loss")),'Match Log'!$D$4:$D$810),"the field")),"")</f>
        <v>Josh</v>
      </c>
      <c r="I127">
        <f t="shared" si="26"/>
        <v>-0.20010299999999995</v>
      </c>
      <c r="J127">
        <v>103</v>
      </c>
      <c r="K127">
        <f>IF($J127&gt;MAX('Match Log'!$A$4:$A$810),NA(),IFERROR(LOOKUP(2,1/(('Match Log'!$D$4:$D$810=$K$24)*('Match Log'!$A$4:$A$810&lt;=$J127)),'Match Log'!$N$4:$N$810),NA()))</f>
        <v>1057.8442062146762</v>
      </c>
      <c r="L127">
        <f>IF($J127&gt;MAX('Match Log'!$A$4:$A$810),NA(),IFERROR(LOOKUP(2,1/(('Match Log'!$D$4:$D$810=$L$24)*('Match Log'!$A$4:$A$810&lt;=$J127)),'Match Log'!$N$4:$N$810),NA()))</f>
        <v>1029.2201908859522</v>
      </c>
      <c r="M127">
        <f>IF($J127&gt;MAX('Match Log'!$A$4:$A$810),NA(),IFERROR(LOOKUP(2,1/(('Match Log'!$D$4:$D$810=$M$24)*('Match Log'!$A$4:$A$810&lt;=$J127)),'Match Log'!$N$4:$N$810),NA()))</f>
        <v>1016.7837867075796</v>
      </c>
      <c r="N127">
        <f>IF($J127&gt;MAX('Match Log'!$A$4:$A$810),NA(),IFERROR(LOOKUP(2,1/(('Match Log'!$D$4:$D$810=$N$24)*('Match Log'!$A$4:$A$810&lt;=$J127)),'Match Log'!$N$4:$N$810),NA()))</f>
        <v>981.92436608474441</v>
      </c>
      <c r="O127">
        <f>IF($J127&gt;MAX('Match Log'!$A$4:$A$810),NA(),IFERROR(LOOKUP(2,1/(('Match Log'!$D$4:$D$810=$O$24)*('Match Log'!$A$4:$A$810&lt;=$J127)),'Match Log'!$N$4:$N$810),NA()))</f>
        <v>1129.7012289075892</v>
      </c>
      <c r="P127">
        <f>IF($J127&gt;MAX('Match Log'!$A$4:$A$810),NA(),IFERROR(LOOKUP(2,1/(('Match Log'!$D$4:$D$810=$P$24)*('Match Log'!$A$4:$A$810&lt;=$J127)),'Match Log'!$N$4:$N$810),NA()))</f>
        <v>1034.2694085900962</v>
      </c>
      <c r="Q127">
        <f>IF($J127&gt;MAX('Match Log'!$A$4:$A$810),NA(),IFERROR(LOOKUP(2,1/(('Match Log'!$D$4:$D$810=$Q$24)*('Match Log'!$A$4:$A$810&lt;=$J127)),'Match Log'!$N$4:$N$810),NA()))</f>
        <v>1084.8903813508514</v>
      </c>
      <c r="R127">
        <f>IF($J127&gt;MAX('Match Log'!$A$4:$A$810),NA(),IFERROR(LOOKUP(2,1/(('Match Log'!$D$4:$D$810=$R$24)*('Match Log'!$A$4:$A$810&lt;=$J127)),'Match Log'!$N$4:$N$810),NA()))</f>
        <v>1069.9039233902718</v>
      </c>
      <c r="S127">
        <f>IF($J127&gt;MAX('Match Log'!$A$4:$A$810),NA(),IFERROR(LOOKUP(2,1/(('Match Log'!$D$4:$D$810=$S$24)*('Match Log'!$A$4:$A$810&lt;=$J127)),'Match Log'!$N$4:$N$810),NA()))</f>
        <v>1168.2113436007442</v>
      </c>
      <c r="T127">
        <f>IF($J127&gt;MAX('Match Log'!$A$4:$A$810),NA(),IFERROR(LOOKUP(2,1/(('Match Log'!$D$4:$D$810=$T$24)*('Match Log'!$A$4:$A$810&lt;=$J127)),'Match Log'!$N$4:$N$810),NA()))</f>
        <v>893.03675187725173</v>
      </c>
      <c r="U127">
        <f>IF($J127&gt;MAX('Match Log'!$A$4:$A$810),NA(),IFERROR(LOOKUP(2,1/(('Match Log'!$D$4:$D$810=$U$24)*('Match Log'!$A$4:$A$810&lt;=$J127)),'Match Log'!$N$4:$N$810),NA()))</f>
        <v>1076.6069656843583</v>
      </c>
      <c r="V127">
        <f>IF($J127&gt;MAX('Match Log'!$A$4:$A$810),NA(),IFERROR(LOOKUP(2,1/(('Match Log'!$D$4:$D$810=$V$24)*('Match Log'!$A$4:$A$810&lt;=$J127)),'Match Log'!$N$4:$N$810),NA()))</f>
        <v>1031.225848367051</v>
      </c>
      <c r="W127">
        <f>IF($J127&gt;MAX('Match Log'!$A$4:$A$810),NA(),IFERROR(LOOKUP(2,1/(('Match Log'!$D$4:$D$810=$W$24)*('Match Log'!$A$4:$A$810&lt;=$J127)),'Match Log'!$N$4:$N$810),NA()))</f>
        <v>1030.3815983388336</v>
      </c>
      <c r="X127" t="e">
        <f>IF($J127&gt;MAX('Match Log'!$A$4:$A$810),NA(),IFERROR(LOOKUP(2,1/(('Match Log'!$D$4:$D$810=$X$24)*('Match Log'!$A$4:$A$810&lt;=$J127)),'Match Log'!$N$4:$N$810),NA()))</f>
        <v>#N/A</v>
      </c>
      <c r="Y127" t="str">
        <f t="shared" ca="1" si="27"/>
        <v/>
      </c>
    </row>
    <row r="128" spans="1:25" ht="15" customHeight="1" x14ac:dyDescent="0.2">
      <c r="A128">
        <v>104</v>
      </c>
      <c r="B128" s="127">
        <f>IFERROR(INDEX('Match Log'!$B$4:$B$810,MATCH(104,'Match Log'!$A$4:$A$810,0)),"")</f>
        <v>46199</v>
      </c>
      <c r="C128" t="str">
        <f>IFERROR(INDEX('Match Log'!$C$4:$C$810,MATCH(104,'Match Log'!$A$4:$A$810,0)),"")</f>
        <v>Mario Party</v>
      </c>
      <c r="D128" t="str">
        <f t="array" ref="D128">IFERROR(_xlfn.TEXTJOIN(" + ",TRUE,IF(('Match Log'!$A$4:$A$810=$A128)*('Match Log'!$E$4:$E$810="Win"),'Match Log'!$D$4:$D$810,"")),IFERROR(LOOKUP(2,1/(('Match Log'!$A$4:$A$810=$A128)*('Match Log'!$E$4:$E$810="Win")),'Match Log'!$D$4:$D$810),""))</f>
        <v>Shawn</v>
      </c>
      <c r="E128" s="128">
        <f>IFERROR(INDEX('Match Log'!$F$4:$F$810,MATCH(104,'Match Log'!$A$4:$A$810,0)),"")</f>
        <v>2</v>
      </c>
      <c r="F128">
        <f>IFERROR(SUMIFS('Match Log'!$I$4:$I$810,'Match Log'!$A$4:$A$810,104,'Match Log'!$E$4:$E$810,"Win"),"")</f>
        <v>0.33333333333333331</v>
      </c>
      <c r="G128">
        <f t="shared" si="25"/>
        <v>0.33333333333333337</v>
      </c>
      <c r="H128" t="str">
        <f t="array" ref="H128">IFERROR(IF(COUNTIFS('Match Log'!$A$4:$A$810,$A128,'Match Log'!$E$4:$E$810,"Win")&gt;1,_xlfn.TEXTJOIN(" + ",TRUE,IF(('Match Log'!$A$4:$A$810=$A128)*('Match Log'!$E$4:$E$810="Loss"),'Match Log'!$D$4:$D$810,"")),IF($E128=2,LOOKUP(2,1/(('Match Log'!$A$4:$A$810=$A128)*('Match Log'!$E$4:$E$810="Loss")),'Match Log'!$D$4:$D$810),"the field")),"")</f>
        <v>Aaron</v>
      </c>
      <c r="I128">
        <f t="shared" si="26"/>
        <v>0.33322933333333338</v>
      </c>
      <c r="J128">
        <v>104</v>
      </c>
      <c r="K128">
        <f>IF($J128&gt;MAX('Match Log'!$A$4:$A$810),NA(),IFERROR(LOOKUP(2,1/(('Match Log'!$D$4:$D$810=$K$24)*('Match Log'!$A$4:$A$810&lt;=$J128)),'Match Log'!$N$4:$N$810),NA()))</f>
        <v>1032.1112051327555</v>
      </c>
      <c r="L128">
        <f>IF($J128&gt;MAX('Match Log'!$A$4:$A$810),NA(),IFERROR(LOOKUP(2,1/(('Match Log'!$D$4:$D$810=$L$24)*('Match Log'!$A$4:$A$810&lt;=$J128)),'Match Log'!$N$4:$N$810),NA()))</f>
        <v>1029.2201908859522</v>
      </c>
      <c r="M128">
        <f>IF($J128&gt;MAX('Match Log'!$A$4:$A$810),NA(),IFERROR(LOOKUP(2,1/(('Match Log'!$D$4:$D$810=$M$24)*('Match Log'!$A$4:$A$810&lt;=$J128)),'Match Log'!$N$4:$N$810),NA()))</f>
        <v>1016.7837867075796</v>
      </c>
      <c r="N128">
        <f>IF($J128&gt;MAX('Match Log'!$A$4:$A$810),NA(),IFERROR(LOOKUP(2,1/(('Match Log'!$D$4:$D$810=$N$24)*('Match Log'!$A$4:$A$810&lt;=$J128)),'Match Log'!$N$4:$N$810),NA()))</f>
        <v>981.92436608474441</v>
      </c>
      <c r="O128">
        <f>IF($J128&gt;MAX('Match Log'!$A$4:$A$810),NA(),IFERROR(LOOKUP(2,1/(('Match Log'!$D$4:$D$810=$O$24)*('Match Log'!$A$4:$A$810&lt;=$J128)),'Match Log'!$N$4:$N$810),NA()))</f>
        <v>1129.7012289075892</v>
      </c>
      <c r="P128">
        <f>IF($J128&gt;MAX('Match Log'!$A$4:$A$810),NA(),IFERROR(LOOKUP(2,1/(('Match Log'!$D$4:$D$810=$P$24)*('Match Log'!$A$4:$A$810&lt;=$J128)),'Match Log'!$N$4:$N$810),NA()))</f>
        <v>1060.0024096720169</v>
      </c>
      <c r="Q128">
        <f>IF($J128&gt;MAX('Match Log'!$A$4:$A$810),NA(),IFERROR(LOOKUP(2,1/(('Match Log'!$D$4:$D$810=$Q$24)*('Match Log'!$A$4:$A$810&lt;=$J128)),'Match Log'!$N$4:$N$810),NA()))</f>
        <v>1084.8903813508514</v>
      </c>
      <c r="R128">
        <f>IF($J128&gt;MAX('Match Log'!$A$4:$A$810),NA(),IFERROR(LOOKUP(2,1/(('Match Log'!$D$4:$D$810=$R$24)*('Match Log'!$A$4:$A$810&lt;=$J128)),'Match Log'!$N$4:$N$810),NA()))</f>
        <v>1069.9039233902718</v>
      </c>
      <c r="S128">
        <f>IF($J128&gt;MAX('Match Log'!$A$4:$A$810),NA(),IFERROR(LOOKUP(2,1/(('Match Log'!$D$4:$D$810=$S$24)*('Match Log'!$A$4:$A$810&lt;=$J128)),'Match Log'!$N$4:$N$810),NA()))</f>
        <v>1168.2113436007442</v>
      </c>
      <c r="T128">
        <f>IF($J128&gt;MAX('Match Log'!$A$4:$A$810),NA(),IFERROR(LOOKUP(2,1/(('Match Log'!$D$4:$D$810=$T$24)*('Match Log'!$A$4:$A$810&lt;=$J128)),'Match Log'!$N$4:$N$810),NA()))</f>
        <v>893.03675187725173</v>
      </c>
      <c r="U128">
        <f>IF($J128&gt;MAX('Match Log'!$A$4:$A$810),NA(),IFERROR(LOOKUP(2,1/(('Match Log'!$D$4:$D$810=$U$24)*('Match Log'!$A$4:$A$810&lt;=$J128)),'Match Log'!$N$4:$N$810),NA()))</f>
        <v>1076.6069656843583</v>
      </c>
      <c r="V128">
        <f>IF($J128&gt;MAX('Match Log'!$A$4:$A$810),NA(),IFERROR(LOOKUP(2,1/(('Match Log'!$D$4:$D$810=$V$24)*('Match Log'!$A$4:$A$810&lt;=$J128)),'Match Log'!$N$4:$N$810),NA()))</f>
        <v>1031.225848367051</v>
      </c>
      <c r="W128">
        <f>IF($J128&gt;MAX('Match Log'!$A$4:$A$810),NA(),IFERROR(LOOKUP(2,1/(('Match Log'!$D$4:$D$810=$W$24)*('Match Log'!$A$4:$A$810&lt;=$J128)),'Match Log'!$N$4:$N$810),NA()))</f>
        <v>1030.3815983388336</v>
      </c>
      <c r="X128" t="e">
        <f>IF($J128&gt;MAX('Match Log'!$A$4:$A$810),NA(),IFERROR(LOOKUP(2,1/(('Match Log'!$D$4:$D$810=$X$24)*('Match Log'!$A$4:$A$810&lt;=$J128)),'Match Log'!$N$4:$N$810),NA()))</f>
        <v>#N/A</v>
      </c>
      <c r="Y128" t="str">
        <f t="shared" ca="1" si="27"/>
        <v/>
      </c>
    </row>
    <row r="129" spans="1:25" ht="15" customHeight="1" x14ac:dyDescent="0.2">
      <c r="A129">
        <v>105</v>
      </c>
      <c r="B129" s="127">
        <f>IFERROR(INDEX('Match Log'!$B$4:$B$810,MATCH(105,'Match Log'!$A$4:$A$810,0)),"")</f>
        <v>46199</v>
      </c>
      <c r="C129" t="str">
        <f>IFERROR(INDEX('Match Log'!$C$4:$C$810,MATCH(105,'Match Log'!$A$4:$A$810,0)),"")</f>
        <v>Mario Party</v>
      </c>
      <c r="D129" t="str">
        <f t="array" ref="D129">IFERROR(_xlfn.TEXTJOIN(" + ",TRUE,IF(('Match Log'!$A$4:$A$810=$A129)*('Match Log'!$E$4:$E$810="Win"),'Match Log'!$D$4:$D$810,"")),IFERROR(LOOKUP(2,1/(('Match Log'!$A$4:$A$810=$A129)*('Match Log'!$E$4:$E$810="Win")),'Match Log'!$D$4:$D$810),""))</f>
        <v>Aaron</v>
      </c>
      <c r="E129" s="128">
        <f>IFERROR(INDEX('Match Log'!$F$4:$F$810,MATCH(105,'Match Log'!$A$4:$A$810,0)),"")</f>
        <v>2</v>
      </c>
      <c r="F129">
        <f>IFERROR(SUMIFS('Match Log'!$I$4:$I$810,'Match Log'!$A$4:$A$810,105,'Match Log'!$E$4:$E$810,"Win"),"")</f>
        <v>0.45454545454545447</v>
      </c>
      <c r="G129">
        <f t="shared" si="25"/>
        <v>9.090909090909105E-2</v>
      </c>
      <c r="H129" t="str">
        <f t="array" ref="H129">IFERROR(IF(COUNTIFS('Match Log'!$A$4:$A$810,$A129,'Match Log'!$E$4:$E$810,"Win")&gt;1,_xlfn.TEXTJOIN(" + ",TRUE,IF(('Match Log'!$A$4:$A$810=$A129)*('Match Log'!$E$4:$E$810="Loss"),'Match Log'!$D$4:$D$810,"")),IF($E129=2,LOOKUP(2,1/(('Match Log'!$A$4:$A$810=$A129)*('Match Log'!$E$4:$E$810="Loss")),'Match Log'!$D$4:$D$810),"the field")),"")</f>
        <v>Shawn</v>
      </c>
      <c r="I129">
        <f t="shared" si="26"/>
        <v>9.0804090909091056E-2</v>
      </c>
      <c r="J129">
        <v>105</v>
      </c>
      <c r="K129">
        <f>IF($J129&gt;MAX('Match Log'!$A$4:$A$810),NA(),IFERROR(LOOKUP(2,1/(('Match Log'!$D$4:$D$810=$K$24)*('Match Log'!$A$4:$A$810&lt;=$J129)),'Match Log'!$N$4:$N$810),NA()))</f>
        <v>1055.301073253218</v>
      </c>
      <c r="L129">
        <f>IF($J129&gt;MAX('Match Log'!$A$4:$A$810),NA(),IFERROR(LOOKUP(2,1/(('Match Log'!$D$4:$D$810=$L$24)*('Match Log'!$A$4:$A$810&lt;=$J129)),'Match Log'!$N$4:$N$810),NA()))</f>
        <v>1029.2201908859522</v>
      </c>
      <c r="M129">
        <f>IF($J129&gt;MAX('Match Log'!$A$4:$A$810),NA(),IFERROR(LOOKUP(2,1/(('Match Log'!$D$4:$D$810=$M$24)*('Match Log'!$A$4:$A$810&lt;=$J129)),'Match Log'!$N$4:$N$810),NA()))</f>
        <v>1016.7837867075796</v>
      </c>
      <c r="N129">
        <f>IF($J129&gt;MAX('Match Log'!$A$4:$A$810),NA(),IFERROR(LOOKUP(2,1/(('Match Log'!$D$4:$D$810=$N$24)*('Match Log'!$A$4:$A$810&lt;=$J129)),'Match Log'!$N$4:$N$810),NA()))</f>
        <v>981.92436608474441</v>
      </c>
      <c r="O129">
        <f>IF($J129&gt;MAX('Match Log'!$A$4:$A$810),NA(),IFERROR(LOOKUP(2,1/(('Match Log'!$D$4:$D$810=$O$24)*('Match Log'!$A$4:$A$810&lt;=$J129)),'Match Log'!$N$4:$N$810),NA()))</f>
        <v>1129.7012289075892</v>
      </c>
      <c r="P129">
        <f>IF($J129&gt;MAX('Match Log'!$A$4:$A$810),NA(),IFERROR(LOOKUP(2,1/(('Match Log'!$D$4:$D$810=$P$24)*('Match Log'!$A$4:$A$810&lt;=$J129)),'Match Log'!$N$4:$N$810),NA()))</f>
        <v>1036.8125415515544</v>
      </c>
      <c r="Q129">
        <f>IF($J129&gt;MAX('Match Log'!$A$4:$A$810),NA(),IFERROR(LOOKUP(2,1/(('Match Log'!$D$4:$D$810=$Q$24)*('Match Log'!$A$4:$A$810&lt;=$J129)),'Match Log'!$N$4:$N$810),NA()))</f>
        <v>1084.8903813508514</v>
      </c>
      <c r="R129">
        <f>IF($J129&gt;MAX('Match Log'!$A$4:$A$810),NA(),IFERROR(LOOKUP(2,1/(('Match Log'!$D$4:$D$810=$R$24)*('Match Log'!$A$4:$A$810&lt;=$J129)),'Match Log'!$N$4:$N$810),NA()))</f>
        <v>1069.9039233902718</v>
      </c>
      <c r="S129">
        <f>IF($J129&gt;MAX('Match Log'!$A$4:$A$810),NA(),IFERROR(LOOKUP(2,1/(('Match Log'!$D$4:$D$810=$S$24)*('Match Log'!$A$4:$A$810&lt;=$J129)),'Match Log'!$N$4:$N$810),NA()))</f>
        <v>1168.2113436007442</v>
      </c>
      <c r="T129">
        <f>IF($J129&gt;MAX('Match Log'!$A$4:$A$810),NA(),IFERROR(LOOKUP(2,1/(('Match Log'!$D$4:$D$810=$T$24)*('Match Log'!$A$4:$A$810&lt;=$J129)),'Match Log'!$N$4:$N$810),NA()))</f>
        <v>893.03675187725173</v>
      </c>
      <c r="U129">
        <f>IF($J129&gt;MAX('Match Log'!$A$4:$A$810),NA(),IFERROR(LOOKUP(2,1/(('Match Log'!$D$4:$D$810=$U$24)*('Match Log'!$A$4:$A$810&lt;=$J129)),'Match Log'!$N$4:$N$810),NA()))</f>
        <v>1076.6069656843583</v>
      </c>
      <c r="V129">
        <f>IF($J129&gt;MAX('Match Log'!$A$4:$A$810),NA(),IFERROR(LOOKUP(2,1/(('Match Log'!$D$4:$D$810=$V$24)*('Match Log'!$A$4:$A$810&lt;=$J129)),'Match Log'!$N$4:$N$810),NA()))</f>
        <v>1031.225848367051</v>
      </c>
      <c r="W129">
        <f>IF($J129&gt;MAX('Match Log'!$A$4:$A$810),NA(),IFERROR(LOOKUP(2,1/(('Match Log'!$D$4:$D$810=$W$24)*('Match Log'!$A$4:$A$810&lt;=$J129)),'Match Log'!$N$4:$N$810),NA()))</f>
        <v>1030.3815983388336</v>
      </c>
      <c r="X129" t="e">
        <f>IF($J129&gt;MAX('Match Log'!$A$4:$A$810),NA(),IFERROR(LOOKUP(2,1/(('Match Log'!$D$4:$D$810=$X$24)*('Match Log'!$A$4:$A$810&lt;=$J129)),'Match Log'!$N$4:$N$810),NA()))</f>
        <v>#N/A</v>
      </c>
      <c r="Y129" t="str">
        <f t="shared" ca="1" si="27"/>
        <v/>
      </c>
    </row>
    <row r="130" spans="1:25" ht="15" customHeight="1" x14ac:dyDescent="0.2">
      <c r="A130">
        <v>106</v>
      </c>
      <c r="B130" s="127">
        <f>IFERROR(INDEX('Match Log'!$B$4:$B$810,MATCH(106,'Match Log'!$A$4:$A$810,0)),"")</f>
        <v>46199</v>
      </c>
      <c r="C130" t="str">
        <f>IFERROR(INDEX('Match Log'!$C$4:$C$810,MATCH(106,'Match Log'!$A$4:$A$810,0)),"")</f>
        <v>FIFA</v>
      </c>
      <c r="D130" t="str">
        <f t="array" ref="D130">IFERROR(_xlfn.TEXTJOIN(" + ",TRUE,IF(('Match Log'!$A$4:$A$810=$A130)*('Match Log'!$E$4:$E$810="Win"),'Match Log'!$D$4:$D$810,"")),IFERROR(LOOKUP(2,1/(('Match Log'!$A$4:$A$810=$A130)*('Match Log'!$E$4:$E$810="Win")),'Match Log'!$D$4:$D$810),""))</f>
        <v>Aaron</v>
      </c>
      <c r="E130" s="128">
        <f>IFERROR(INDEX('Match Log'!$F$4:$F$810,MATCH(106,'Match Log'!$A$4:$A$810,0)),"")</f>
        <v>2</v>
      </c>
      <c r="F130">
        <f>IFERROR(SUMIFS('Match Log'!$I$4:$I$810,'Match Log'!$A$4:$A$810,106,'Match Log'!$E$4:$E$810,"Win"),"")</f>
        <v>0.61538461538461542</v>
      </c>
      <c r="G130">
        <f t="shared" si="25"/>
        <v>-0.23076923076923084</v>
      </c>
      <c r="H130" t="str">
        <f t="array" ref="H130">IFERROR(IF(COUNTIFS('Match Log'!$A$4:$A$810,$A130,'Match Log'!$E$4:$E$810,"Win")&gt;1,_xlfn.TEXTJOIN(" + ",TRUE,IF(('Match Log'!$A$4:$A$810=$A130)*('Match Log'!$E$4:$E$810="Loss"),'Match Log'!$D$4:$D$810,"")),IF($E130=2,LOOKUP(2,1/(('Match Log'!$A$4:$A$810=$A130)*('Match Log'!$E$4:$E$810="Loss")),'Match Log'!$D$4:$D$810),"the field")),"")</f>
        <v>Shawn</v>
      </c>
      <c r="I130">
        <f t="shared" si="26"/>
        <v>-0.23087523076923083</v>
      </c>
      <c r="J130">
        <v>106</v>
      </c>
      <c r="K130">
        <f>IF($J130&gt;MAX('Match Log'!$A$4:$A$810),NA(),IFERROR(LOOKUP(2,1/(('Match Log'!$D$4:$D$810=$K$24)*('Match Log'!$A$4:$A$810&lt;=$J130)),'Match Log'!$N$4:$N$810),NA()))</f>
        <v>1073.7469885035252</v>
      </c>
      <c r="L130">
        <f>IF($J130&gt;MAX('Match Log'!$A$4:$A$810),NA(),IFERROR(LOOKUP(2,1/(('Match Log'!$D$4:$D$810=$L$24)*('Match Log'!$A$4:$A$810&lt;=$J130)),'Match Log'!$N$4:$N$810),NA()))</f>
        <v>1029.2201908859522</v>
      </c>
      <c r="M130">
        <f>IF($J130&gt;MAX('Match Log'!$A$4:$A$810),NA(),IFERROR(LOOKUP(2,1/(('Match Log'!$D$4:$D$810=$M$24)*('Match Log'!$A$4:$A$810&lt;=$J130)),'Match Log'!$N$4:$N$810),NA()))</f>
        <v>1016.7837867075796</v>
      </c>
      <c r="N130">
        <f>IF($J130&gt;MAX('Match Log'!$A$4:$A$810),NA(),IFERROR(LOOKUP(2,1/(('Match Log'!$D$4:$D$810=$N$24)*('Match Log'!$A$4:$A$810&lt;=$J130)),'Match Log'!$N$4:$N$810),NA()))</f>
        <v>981.92436608474441</v>
      </c>
      <c r="O130">
        <f>IF($J130&gt;MAX('Match Log'!$A$4:$A$810),NA(),IFERROR(LOOKUP(2,1/(('Match Log'!$D$4:$D$810=$O$24)*('Match Log'!$A$4:$A$810&lt;=$J130)),'Match Log'!$N$4:$N$810),NA()))</f>
        <v>1129.7012289075892</v>
      </c>
      <c r="P130">
        <f>IF($J130&gt;MAX('Match Log'!$A$4:$A$810),NA(),IFERROR(LOOKUP(2,1/(('Match Log'!$D$4:$D$810=$P$24)*('Match Log'!$A$4:$A$810&lt;=$J130)),'Match Log'!$N$4:$N$810),NA()))</f>
        <v>1018.366626301247</v>
      </c>
      <c r="Q130">
        <f>IF($J130&gt;MAX('Match Log'!$A$4:$A$810),NA(),IFERROR(LOOKUP(2,1/(('Match Log'!$D$4:$D$810=$Q$24)*('Match Log'!$A$4:$A$810&lt;=$J130)),'Match Log'!$N$4:$N$810),NA()))</f>
        <v>1084.8903813508514</v>
      </c>
      <c r="R130">
        <f>IF($J130&gt;MAX('Match Log'!$A$4:$A$810),NA(),IFERROR(LOOKUP(2,1/(('Match Log'!$D$4:$D$810=$R$24)*('Match Log'!$A$4:$A$810&lt;=$J130)),'Match Log'!$N$4:$N$810),NA()))</f>
        <v>1069.9039233902718</v>
      </c>
      <c r="S130">
        <f>IF($J130&gt;MAX('Match Log'!$A$4:$A$810),NA(),IFERROR(LOOKUP(2,1/(('Match Log'!$D$4:$D$810=$S$24)*('Match Log'!$A$4:$A$810&lt;=$J130)),'Match Log'!$N$4:$N$810),NA()))</f>
        <v>1168.2113436007442</v>
      </c>
      <c r="T130">
        <f>IF($J130&gt;MAX('Match Log'!$A$4:$A$810),NA(),IFERROR(LOOKUP(2,1/(('Match Log'!$D$4:$D$810=$T$24)*('Match Log'!$A$4:$A$810&lt;=$J130)),'Match Log'!$N$4:$N$810),NA()))</f>
        <v>893.03675187725173</v>
      </c>
      <c r="U130">
        <f>IF($J130&gt;MAX('Match Log'!$A$4:$A$810),NA(),IFERROR(LOOKUP(2,1/(('Match Log'!$D$4:$D$810=$U$24)*('Match Log'!$A$4:$A$810&lt;=$J130)),'Match Log'!$N$4:$N$810),NA()))</f>
        <v>1076.6069656843583</v>
      </c>
      <c r="V130">
        <f>IF($J130&gt;MAX('Match Log'!$A$4:$A$810),NA(),IFERROR(LOOKUP(2,1/(('Match Log'!$D$4:$D$810=$V$24)*('Match Log'!$A$4:$A$810&lt;=$J130)),'Match Log'!$N$4:$N$810),NA()))</f>
        <v>1031.225848367051</v>
      </c>
      <c r="W130">
        <f>IF($J130&gt;MAX('Match Log'!$A$4:$A$810),NA(),IFERROR(LOOKUP(2,1/(('Match Log'!$D$4:$D$810=$W$24)*('Match Log'!$A$4:$A$810&lt;=$J130)),'Match Log'!$N$4:$N$810),NA()))</f>
        <v>1030.3815983388336</v>
      </c>
      <c r="X130" t="e">
        <f>IF($J130&gt;MAX('Match Log'!$A$4:$A$810),NA(),IFERROR(LOOKUP(2,1/(('Match Log'!$D$4:$D$810=$X$24)*('Match Log'!$A$4:$A$810&lt;=$J130)),'Match Log'!$N$4:$N$810),NA()))</f>
        <v>#N/A</v>
      </c>
      <c r="Y130" t="str">
        <f t="shared" ca="1" si="27"/>
        <v/>
      </c>
    </row>
    <row r="131" spans="1:25" ht="15" customHeight="1" x14ac:dyDescent="0.2">
      <c r="A131">
        <v>107</v>
      </c>
      <c r="B131" s="127">
        <f>IFERROR(INDEX('Match Log'!$B$4:$B$810,MATCH(107,'Match Log'!$A$4:$A$810,0)),"")</f>
        <v>46199</v>
      </c>
      <c r="C131" t="str">
        <f>IFERROR(INDEX('Match Log'!$C$4:$C$810,MATCH(107,'Match Log'!$A$4:$A$810,0)),"")</f>
        <v>FIFA</v>
      </c>
      <c r="D131" t="str">
        <f t="array" ref="D131">IFERROR(_xlfn.TEXTJOIN(" + ",TRUE,IF(('Match Log'!$A$4:$A$810=$A131)*('Match Log'!$E$4:$E$810="Win"),'Match Log'!$D$4:$D$810,"")),IFERROR(LOOKUP(2,1/(('Match Log'!$A$4:$A$810=$A131)*('Match Log'!$E$4:$E$810="Win")),'Match Log'!$D$4:$D$810),""))</f>
        <v>Shawn</v>
      </c>
      <c r="E131" s="128">
        <f>IFERROR(INDEX('Match Log'!$F$4:$F$810,MATCH(107,'Match Log'!$A$4:$A$810,0)),"")</f>
        <v>2</v>
      </c>
      <c r="F131">
        <f>IFERROR(SUMIFS('Match Log'!$I$4:$I$810,'Match Log'!$A$4:$A$810,107,'Match Log'!$E$4:$E$810,"Win"),"")</f>
        <v>0.35294117647058826</v>
      </c>
      <c r="G131">
        <f t="shared" si="25"/>
        <v>0.29411764705882348</v>
      </c>
      <c r="H131" t="str">
        <f t="array" ref="H131">IFERROR(IF(COUNTIFS('Match Log'!$A$4:$A$810,$A131,'Match Log'!$E$4:$E$810,"Win")&gt;1,_xlfn.TEXTJOIN(" + ",TRUE,IF(('Match Log'!$A$4:$A$810=$A131)*('Match Log'!$E$4:$E$810="Loss"),'Match Log'!$D$4:$D$810,"")),IF($E131=2,LOOKUP(2,1/(('Match Log'!$A$4:$A$810=$A131)*('Match Log'!$E$4:$E$810="Loss")),'Match Log'!$D$4:$D$810),"the field")),"")</f>
        <v>Aaron</v>
      </c>
      <c r="I131">
        <f t="shared" si="26"/>
        <v>0.29401064705882346</v>
      </c>
      <c r="J131">
        <v>107</v>
      </c>
      <c r="K131">
        <f>IF($J131&gt;MAX('Match Log'!$A$4:$A$810),NA(),IFERROR(LOOKUP(2,1/(('Match Log'!$D$4:$D$810=$K$24)*('Match Log'!$A$4:$A$810&lt;=$J131)),'Match Log'!$N$4:$N$810),NA()))</f>
        <v>1046.3886391417018</v>
      </c>
      <c r="L131">
        <f>IF($J131&gt;MAX('Match Log'!$A$4:$A$810),NA(),IFERROR(LOOKUP(2,1/(('Match Log'!$D$4:$D$810=$L$24)*('Match Log'!$A$4:$A$810&lt;=$J131)),'Match Log'!$N$4:$N$810),NA()))</f>
        <v>1029.2201908859522</v>
      </c>
      <c r="M131">
        <f>IF($J131&gt;MAX('Match Log'!$A$4:$A$810),NA(),IFERROR(LOOKUP(2,1/(('Match Log'!$D$4:$D$810=$M$24)*('Match Log'!$A$4:$A$810&lt;=$J131)),'Match Log'!$N$4:$N$810),NA()))</f>
        <v>1016.7837867075796</v>
      </c>
      <c r="N131">
        <f>IF($J131&gt;MAX('Match Log'!$A$4:$A$810),NA(),IFERROR(LOOKUP(2,1/(('Match Log'!$D$4:$D$810=$N$24)*('Match Log'!$A$4:$A$810&lt;=$J131)),'Match Log'!$N$4:$N$810),NA()))</f>
        <v>981.92436608474441</v>
      </c>
      <c r="O131">
        <f>IF($J131&gt;MAX('Match Log'!$A$4:$A$810),NA(),IFERROR(LOOKUP(2,1/(('Match Log'!$D$4:$D$810=$O$24)*('Match Log'!$A$4:$A$810&lt;=$J131)),'Match Log'!$N$4:$N$810),NA()))</f>
        <v>1129.7012289075892</v>
      </c>
      <c r="P131">
        <f>IF($J131&gt;MAX('Match Log'!$A$4:$A$810),NA(),IFERROR(LOOKUP(2,1/(('Match Log'!$D$4:$D$810=$P$24)*('Match Log'!$A$4:$A$810&lt;=$J131)),'Match Log'!$N$4:$N$810),NA()))</f>
        <v>1045.7249756630706</v>
      </c>
      <c r="Q131">
        <f>IF($J131&gt;MAX('Match Log'!$A$4:$A$810),NA(),IFERROR(LOOKUP(2,1/(('Match Log'!$D$4:$D$810=$Q$24)*('Match Log'!$A$4:$A$810&lt;=$J131)),'Match Log'!$N$4:$N$810),NA()))</f>
        <v>1084.8903813508514</v>
      </c>
      <c r="R131">
        <f>IF($J131&gt;MAX('Match Log'!$A$4:$A$810),NA(),IFERROR(LOOKUP(2,1/(('Match Log'!$D$4:$D$810=$R$24)*('Match Log'!$A$4:$A$810&lt;=$J131)),'Match Log'!$N$4:$N$810),NA()))</f>
        <v>1069.9039233902718</v>
      </c>
      <c r="S131">
        <f>IF($J131&gt;MAX('Match Log'!$A$4:$A$810),NA(),IFERROR(LOOKUP(2,1/(('Match Log'!$D$4:$D$810=$S$24)*('Match Log'!$A$4:$A$810&lt;=$J131)),'Match Log'!$N$4:$N$810),NA()))</f>
        <v>1168.2113436007442</v>
      </c>
      <c r="T131">
        <f>IF($J131&gt;MAX('Match Log'!$A$4:$A$810),NA(),IFERROR(LOOKUP(2,1/(('Match Log'!$D$4:$D$810=$T$24)*('Match Log'!$A$4:$A$810&lt;=$J131)),'Match Log'!$N$4:$N$810),NA()))</f>
        <v>893.03675187725173</v>
      </c>
      <c r="U131">
        <f>IF($J131&gt;MAX('Match Log'!$A$4:$A$810),NA(),IFERROR(LOOKUP(2,1/(('Match Log'!$D$4:$D$810=$U$24)*('Match Log'!$A$4:$A$810&lt;=$J131)),'Match Log'!$N$4:$N$810),NA()))</f>
        <v>1076.6069656843583</v>
      </c>
      <c r="V131">
        <f>IF($J131&gt;MAX('Match Log'!$A$4:$A$810),NA(),IFERROR(LOOKUP(2,1/(('Match Log'!$D$4:$D$810=$V$24)*('Match Log'!$A$4:$A$810&lt;=$J131)),'Match Log'!$N$4:$N$810),NA()))</f>
        <v>1031.225848367051</v>
      </c>
      <c r="W131">
        <f>IF($J131&gt;MAX('Match Log'!$A$4:$A$810),NA(),IFERROR(LOOKUP(2,1/(('Match Log'!$D$4:$D$810=$W$24)*('Match Log'!$A$4:$A$810&lt;=$J131)),'Match Log'!$N$4:$N$810),NA()))</f>
        <v>1030.3815983388336</v>
      </c>
      <c r="X131" t="e">
        <f>IF($J131&gt;MAX('Match Log'!$A$4:$A$810),NA(),IFERROR(LOOKUP(2,1/(('Match Log'!$D$4:$D$810=$X$24)*('Match Log'!$A$4:$A$810&lt;=$J131)),'Match Log'!$N$4:$N$810),NA()))</f>
        <v>#N/A</v>
      </c>
      <c r="Y131" t="str">
        <f t="shared" ca="1" si="27"/>
        <v/>
      </c>
    </row>
    <row r="132" spans="1:25" ht="15" customHeight="1" x14ac:dyDescent="0.2">
      <c r="A132">
        <v>108</v>
      </c>
      <c r="B132" s="127">
        <f>IFERROR(INDEX('Match Log'!$B$4:$B$810,MATCH(108,'Match Log'!$A$4:$A$810,0)),"")</f>
        <v>46200</v>
      </c>
      <c r="C132" t="str">
        <f>IFERROR(INDEX('Match Log'!$C$4:$C$810,MATCH(108,'Match Log'!$A$4:$A$810,0)),"")</f>
        <v>FIFA</v>
      </c>
      <c r="D132" t="str">
        <f t="array" ref="D132">IFERROR(_xlfn.TEXTJOIN(" + ",TRUE,IF(('Match Log'!$A$4:$A$810=$A132)*('Match Log'!$E$4:$E$810="Win"),'Match Log'!$D$4:$D$810,"")),IFERROR(LOOKUP(2,1/(('Match Log'!$A$4:$A$810=$A132)*('Match Log'!$E$4:$E$810="Win")),'Match Log'!$D$4:$D$810),""))</f>
        <v>Shawn</v>
      </c>
      <c r="E132" s="128">
        <f>IFERROR(INDEX('Match Log'!$F$4:$F$810,MATCH(108,'Match Log'!$A$4:$A$810,0)),"")</f>
        <v>2</v>
      </c>
      <c r="F132">
        <f>IFERROR(SUMIFS('Match Log'!$I$4:$I$810,'Match Log'!$A$4:$A$810,108,'Match Log'!$E$4:$E$810,"Win"),"")</f>
        <v>0.41176470588235292</v>
      </c>
      <c r="G132">
        <f t="shared" si="25"/>
        <v>0.17647058823529416</v>
      </c>
      <c r="H132" t="str">
        <f t="array" ref="H132">IFERROR(IF(COUNTIFS('Match Log'!$A$4:$A$810,$A132,'Match Log'!$E$4:$E$810,"Win")&gt;1,_xlfn.TEXTJOIN(" + ",TRUE,IF(('Match Log'!$A$4:$A$810=$A132)*('Match Log'!$E$4:$E$810="Loss"),'Match Log'!$D$4:$D$810,"")),IF($E132=2,LOOKUP(2,1/(('Match Log'!$A$4:$A$810=$A132)*('Match Log'!$E$4:$E$810="Loss")),'Match Log'!$D$4:$D$810),"the field")),"")</f>
        <v>Aaron</v>
      </c>
      <c r="I132">
        <f t="shared" si="26"/>
        <v>0.17636258823529416</v>
      </c>
      <c r="J132">
        <v>108</v>
      </c>
      <c r="K132">
        <f>IF($J132&gt;MAX('Match Log'!$A$4:$A$810),NA(),IFERROR(LOOKUP(2,1/(('Match Log'!$D$4:$D$810=$K$24)*('Match Log'!$A$4:$A$810&lt;=$J132)),'Match Log'!$N$4:$N$810),NA()))</f>
        <v>1021.7866326652597</v>
      </c>
      <c r="L132">
        <f>IF($J132&gt;MAX('Match Log'!$A$4:$A$810),NA(),IFERROR(LOOKUP(2,1/(('Match Log'!$D$4:$D$810=$L$24)*('Match Log'!$A$4:$A$810&lt;=$J132)),'Match Log'!$N$4:$N$810),NA()))</f>
        <v>1029.2201908859522</v>
      </c>
      <c r="M132">
        <f>IF($J132&gt;MAX('Match Log'!$A$4:$A$810),NA(),IFERROR(LOOKUP(2,1/(('Match Log'!$D$4:$D$810=$M$24)*('Match Log'!$A$4:$A$810&lt;=$J132)),'Match Log'!$N$4:$N$810),NA()))</f>
        <v>1016.7837867075796</v>
      </c>
      <c r="N132">
        <f>IF($J132&gt;MAX('Match Log'!$A$4:$A$810),NA(),IFERROR(LOOKUP(2,1/(('Match Log'!$D$4:$D$810=$N$24)*('Match Log'!$A$4:$A$810&lt;=$J132)),'Match Log'!$N$4:$N$810),NA()))</f>
        <v>981.92436608474441</v>
      </c>
      <c r="O132">
        <f>IF($J132&gt;MAX('Match Log'!$A$4:$A$810),NA(),IFERROR(LOOKUP(2,1/(('Match Log'!$D$4:$D$810=$O$24)*('Match Log'!$A$4:$A$810&lt;=$J132)),'Match Log'!$N$4:$N$810),NA()))</f>
        <v>1129.7012289075892</v>
      </c>
      <c r="P132">
        <f>IF($J132&gt;MAX('Match Log'!$A$4:$A$810),NA(),IFERROR(LOOKUP(2,1/(('Match Log'!$D$4:$D$810=$P$24)*('Match Log'!$A$4:$A$810&lt;=$J132)),'Match Log'!$N$4:$N$810),NA()))</f>
        <v>1070.3269821395127</v>
      </c>
      <c r="Q132">
        <f>IF($J132&gt;MAX('Match Log'!$A$4:$A$810),NA(),IFERROR(LOOKUP(2,1/(('Match Log'!$D$4:$D$810=$Q$24)*('Match Log'!$A$4:$A$810&lt;=$J132)),'Match Log'!$N$4:$N$810),NA()))</f>
        <v>1084.8903813508514</v>
      </c>
      <c r="R132">
        <f>IF($J132&gt;MAX('Match Log'!$A$4:$A$810),NA(),IFERROR(LOOKUP(2,1/(('Match Log'!$D$4:$D$810=$R$24)*('Match Log'!$A$4:$A$810&lt;=$J132)),'Match Log'!$N$4:$N$810),NA()))</f>
        <v>1069.9039233902718</v>
      </c>
      <c r="S132">
        <f>IF($J132&gt;MAX('Match Log'!$A$4:$A$810),NA(),IFERROR(LOOKUP(2,1/(('Match Log'!$D$4:$D$810=$S$24)*('Match Log'!$A$4:$A$810&lt;=$J132)),'Match Log'!$N$4:$N$810),NA()))</f>
        <v>1168.2113436007442</v>
      </c>
      <c r="T132">
        <f>IF($J132&gt;MAX('Match Log'!$A$4:$A$810),NA(),IFERROR(LOOKUP(2,1/(('Match Log'!$D$4:$D$810=$T$24)*('Match Log'!$A$4:$A$810&lt;=$J132)),'Match Log'!$N$4:$N$810),NA()))</f>
        <v>893.03675187725173</v>
      </c>
      <c r="U132">
        <f>IF($J132&gt;MAX('Match Log'!$A$4:$A$810),NA(),IFERROR(LOOKUP(2,1/(('Match Log'!$D$4:$D$810=$U$24)*('Match Log'!$A$4:$A$810&lt;=$J132)),'Match Log'!$N$4:$N$810),NA()))</f>
        <v>1076.6069656843583</v>
      </c>
      <c r="V132">
        <f>IF($J132&gt;MAX('Match Log'!$A$4:$A$810),NA(),IFERROR(LOOKUP(2,1/(('Match Log'!$D$4:$D$810=$V$24)*('Match Log'!$A$4:$A$810&lt;=$J132)),'Match Log'!$N$4:$N$810),NA()))</f>
        <v>1031.225848367051</v>
      </c>
      <c r="W132">
        <f>IF($J132&gt;MAX('Match Log'!$A$4:$A$810),NA(),IFERROR(LOOKUP(2,1/(('Match Log'!$D$4:$D$810=$W$24)*('Match Log'!$A$4:$A$810&lt;=$J132)),'Match Log'!$N$4:$N$810),NA()))</f>
        <v>1030.3815983388336</v>
      </c>
      <c r="X132" t="e">
        <f>IF($J132&gt;MAX('Match Log'!$A$4:$A$810),NA(),IFERROR(LOOKUP(2,1/(('Match Log'!$D$4:$D$810=$X$24)*('Match Log'!$A$4:$A$810&lt;=$J132)),'Match Log'!$N$4:$N$810),NA()))</f>
        <v>#N/A</v>
      </c>
      <c r="Y132" t="str">
        <f t="shared" ca="1" si="27"/>
        <v/>
      </c>
    </row>
    <row r="133" spans="1:25" ht="15" customHeight="1" x14ac:dyDescent="0.2">
      <c r="A133">
        <v>109</v>
      </c>
      <c r="B133" s="127">
        <f>IFERROR(INDEX('Match Log'!$B$4:$B$810,MATCH(109,'Match Log'!$A$4:$A$810,0)),"")</f>
        <v>46200</v>
      </c>
      <c r="C133" t="str">
        <f>IFERROR(INDEX('Match Log'!$C$4:$C$810,MATCH(109,'Match Log'!$A$4:$A$810,0)),"")</f>
        <v>FIFA</v>
      </c>
      <c r="D133" t="str">
        <f t="array" ref="D133">IFERROR(_xlfn.TEXTJOIN(" + ",TRUE,IF(('Match Log'!$A$4:$A$810=$A133)*('Match Log'!$E$4:$E$810="Win"),'Match Log'!$D$4:$D$810,"")),IFERROR(LOOKUP(2,1/(('Match Log'!$A$4:$A$810=$A133)*('Match Log'!$E$4:$E$810="Win")),'Match Log'!$D$4:$D$810),""))</f>
        <v>Aaron</v>
      </c>
      <c r="E133" s="128">
        <f>IFERROR(INDEX('Match Log'!$F$4:$F$810,MATCH(109,'Match Log'!$A$4:$A$810,0)),"")</f>
        <v>2</v>
      </c>
      <c r="F133">
        <f>IFERROR(SUMIFS('Match Log'!$I$4:$I$810,'Match Log'!$A$4:$A$810,109,'Match Log'!$E$4:$E$810,"Win"),"")</f>
        <v>0.5371900826446282</v>
      </c>
      <c r="G133">
        <f t="shared" si="25"/>
        <v>-7.4380165289256395E-2</v>
      </c>
      <c r="H133" t="str">
        <f t="array" ref="H133">IFERROR(IF(COUNTIFS('Match Log'!$A$4:$A$810,$A133,'Match Log'!$E$4:$E$810,"Win")&gt;1,_xlfn.TEXTJOIN(" + ",TRUE,IF(('Match Log'!$A$4:$A$810=$A133)*('Match Log'!$E$4:$E$810="Loss"),'Match Log'!$D$4:$D$810,"")),IF($E133=2,LOOKUP(2,1/(('Match Log'!$A$4:$A$810=$A133)*('Match Log'!$E$4:$E$810="Loss")),'Match Log'!$D$4:$D$810),"the field")),"")</f>
        <v>Shawn</v>
      </c>
      <c r="I133">
        <f t="shared" si="26"/>
        <v>-7.4489165289256393E-2</v>
      </c>
      <c r="J133">
        <v>109</v>
      </c>
      <c r="K133">
        <f>IF($J133&gt;MAX('Match Log'!$A$4:$A$810),NA(),IFERROR(LOOKUP(2,1/(('Match Log'!$D$4:$D$810=$K$24)*('Match Log'!$A$4:$A$810&lt;=$J133)),'Match Log'!$N$4:$N$810),NA()))</f>
        <v>1043.6573627534565</v>
      </c>
      <c r="L133">
        <f>IF($J133&gt;MAX('Match Log'!$A$4:$A$810),NA(),IFERROR(LOOKUP(2,1/(('Match Log'!$D$4:$D$810=$L$24)*('Match Log'!$A$4:$A$810&lt;=$J133)),'Match Log'!$N$4:$N$810),NA()))</f>
        <v>1029.2201908859522</v>
      </c>
      <c r="M133">
        <f>IF($J133&gt;MAX('Match Log'!$A$4:$A$810),NA(),IFERROR(LOOKUP(2,1/(('Match Log'!$D$4:$D$810=$M$24)*('Match Log'!$A$4:$A$810&lt;=$J133)),'Match Log'!$N$4:$N$810),NA()))</f>
        <v>1016.7837867075796</v>
      </c>
      <c r="N133">
        <f>IF($J133&gt;MAX('Match Log'!$A$4:$A$810),NA(),IFERROR(LOOKUP(2,1/(('Match Log'!$D$4:$D$810=$N$24)*('Match Log'!$A$4:$A$810&lt;=$J133)),'Match Log'!$N$4:$N$810),NA()))</f>
        <v>981.92436608474441</v>
      </c>
      <c r="O133">
        <f>IF($J133&gt;MAX('Match Log'!$A$4:$A$810),NA(),IFERROR(LOOKUP(2,1/(('Match Log'!$D$4:$D$810=$O$24)*('Match Log'!$A$4:$A$810&lt;=$J133)),'Match Log'!$N$4:$N$810),NA()))</f>
        <v>1129.7012289075892</v>
      </c>
      <c r="P133">
        <f>IF($J133&gt;MAX('Match Log'!$A$4:$A$810),NA(),IFERROR(LOOKUP(2,1/(('Match Log'!$D$4:$D$810=$P$24)*('Match Log'!$A$4:$A$810&lt;=$J133)),'Match Log'!$N$4:$N$810),NA()))</f>
        <v>1048.4562520513159</v>
      </c>
      <c r="Q133">
        <f>IF($J133&gt;MAX('Match Log'!$A$4:$A$810),NA(),IFERROR(LOOKUP(2,1/(('Match Log'!$D$4:$D$810=$Q$24)*('Match Log'!$A$4:$A$810&lt;=$J133)),'Match Log'!$N$4:$N$810),NA()))</f>
        <v>1084.8903813508514</v>
      </c>
      <c r="R133">
        <f>IF($J133&gt;MAX('Match Log'!$A$4:$A$810),NA(),IFERROR(LOOKUP(2,1/(('Match Log'!$D$4:$D$810=$R$24)*('Match Log'!$A$4:$A$810&lt;=$J133)),'Match Log'!$N$4:$N$810),NA()))</f>
        <v>1069.9039233902718</v>
      </c>
      <c r="S133">
        <f>IF($J133&gt;MAX('Match Log'!$A$4:$A$810),NA(),IFERROR(LOOKUP(2,1/(('Match Log'!$D$4:$D$810=$S$24)*('Match Log'!$A$4:$A$810&lt;=$J133)),'Match Log'!$N$4:$N$810),NA()))</f>
        <v>1168.2113436007442</v>
      </c>
      <c r="T133">
        <f>IF($J133&gt;MAX('Match Log'!$A$4:$A$810),NA(),IFERROR(LOOKUP(2,1/(('Match Log'!$D$4:$D$810=$T$24)*('Match Log'!$A$4:$A$810&lt;=$J133)),'Match Log'!$N$4:$N$810),NA()))</f>
        <v>893.03675187725173</v>
      </c>
      <c r="U133">
        <f>IF($J133&gt;MAX('Match Log'!$A$4:$A$810),NA(),IFERROR(LOOKUP(2,1/(('Match Log'!$D$4:$D$810=$U$24)*('Match Log'!$A$4:$A$810&lt;=$J133)),'Match Log'!$N$4:$N$810),NA()))</f>
        <v>1076.6069656843583</v>
      </c>
      <c r="V133">
        <f>IF($J133&gt;MAX('Match Log'!$A$4:$A$810),NA(),IFERROR(LOOKUP(2,1/(('Match Log'!$D$4:$D$810=$V$24)*('Match Log'!$A$4:$A$810&lt;=$J133)),'Match Log'!$N$4:$N$810),NA()))</f>
        <v>1031.225848367051</v>
      </c>
      <c r="W133">
        <f>IF($J133&gt;MAX('Match Log'!$A$4:$A$810),NA(),IFERROR(LOOKUP(2,1/(('Match Log'!$D$4:$D$810=$W$24)*('Match Log'!$A$4:$A$810&lt;=$J133)),'Match Log'!$N$4:$N$810),NA()))</f>
        <v>1030.3815983388336</v>
      </c>
      <c r="X133" t="e">
        <f>IF($J133&gt;MAX('Match Log'!$A$4:$A$810),NA(),IFERROR(LOOKUP(2,1/(('Match Log'!$D$4:$D$810=$X$24)*('Match Log'!$A$4:$A$810&lt;=$J133)),'Match Log'!$N$4:$N$810),NA()))</f>
        <v>#N/A</v>
      </c>
      <c r="Y133" t="str">
        <f t="shared" ca="1" si="27"/>
        <v/>
      </c>
    </row>
    <row r="134" spans="1:25" ht="15" customHeight="1" x14ac:dyDescent="0.2">
      <c r="A134">
        <v>110</v>
      </c>
      <c r="B134" s="127">
        <f>IFERROR(INDEX('Match Log'!$B$4:$B$810,MATCH(110,'Match Log'!$A$4:$A$810,0)),"")</f>
        <v>46200</v>
      </c>
      <c r="C134" t="str">
        <f>IFERROR(INDEX('Match Log'!$C$4:$C$810,MATCH(110,'Match Log'!$A$4:$A$810,0)),"")</f>
        <v>FIFA</v>
      </c>
      <c r="D134" t="str">
        <f t="array" ref="D134">IFERROR(_xlfn.TEXTJOIN(" + ",TRUE,IF(('Match Log'!$A$4:$A$810=$A134)*('Match Log'!$E$4:$E$810="Win"),'Match Log'!$D$4:$D$810,"")),IFERROR(LOOKUP(2,1/(('Match Log'!$A$4:$A$810=$A134)*('Match Log'!$E$4:$E$810="Win")),'Match Log'!$D$4:$D$810),""))</f>
        <v>Aaron</v>
      </c>
      <c r="E134" s="128">
        <f>IFERROR(INDEX('Match Log'!$F$4:$F$810,MATCH(110,'Match Log'!$A$4:$A$810,0)),"")</f>
        <v>2</v>
      </c>
      <c r="F134">
        <f>IFERROR(SUMIFS('Match Log'!$I$4:$I$810,'Match Log'!$A$4:$A$810,110,'Match Log'!$E$4:$E$810,"Win"),"")</f>
        <v>0.57142857142857151</v>
      </c>
      <c r="G134">
        <f t="shared" si="25"/>
        <v>-0.14285714285714302</v>
      </c>
      <c r="H134" t="str">
        <f t="array" ref="H134">IFERROR(IF(COUNTIFS('Match Log'!$A$4:$A$810,$A134,'Match Log'!$E$4:$E$810,"Win")&gt;1,_xlfn.TEXTJOIN(" + ",TRUE,IF(('Match Log'!$A$4:$A$810=$A134)*('Match Log'!$E$4:$E$810="Loss"),'Match Log'!$D$4:$D$810,"")),IF($E134=2,LOOKUP(2,1/(('Match Log'!$A$4:$A$810=$A134)*('Match Log'!$E$4:$E$810="Loss")),'Match Log'!$D$4:$D$810),"the field")),"")</f>
        <v>Shawn</v>
      </c>
      <c r="I134">
        <f t="shared" si="26"/>
        <v>-0.14296714285714301</v>
      </c>
      <c r="J134">
        <v>110</v>
      </c>
      <c r="K134">
        <f>IF($J134&gt;MAX('Match Log'!$A$4:$A$810),NA(),IFERROR(LOOKUP(2,1/(('Match Log'!$D$4:$D$810=$K$24)*('Match Log'!$A$4:$A$810&lt;=$J134)),'Match Log'!$N$4:$N$810),NA()))</f>
        <v>1063.4365494374706</v>
      </c>
      <c r="L134">
        <f>IF($J134&gt;MAX('Match Log'!$A$4:$A$810),NA(),IFERROR(LOOKUP(2,1/(('Match Log'!$D$4:$D$810=$L$24)*('Match Log'!$A$4:$A$810&lt;=$J134)),'Match Log'!$N$4:$N$810),NA()))</f>
        <v>1029.2201908859522</v>
      </c>
      <c r="M134">
        <f>IF($J134&gt;MAX('Match Log'!$A$4:$A$810),NA(),IFERROR(LOOKUP(2,1/(('Match Log'!$D$4:$D$810=$M$24)*('Match Log'!$A$4:$A$810&lt;=$J134)),'Match Log'!$N$4:$N$810),NA()))</f>
        <v>1016.7837867075796</v>
      </c>
      <c r="N134">
        <f>IF($J134&gt;MAX('Match Log'!$A$4:$A$810),NA(),IFERROR(LOOKUP(2,1/(('Match Log'!$D$4:$D$810=$N$24)*('Match Log'!$A$4:$A$810&lt;=$J134)),'Match Log'!$N$4:$N$810),NA()))</f>
        <v>981.92436608474441</v>
      </c>
      <c r="O134">
        <f>IF($J134&gt;MAX('Match Log'!$A$4:$A$810),NA(),IFERROR(LOOKUP(2,1/(('Match Log'!$D$4:$D$810=$O$24)*('Match Log'!$A$4:$A$810&lt;=$J134)),'Match Log'!$N$4:$N$810),NA()))</f>
        <v>1129.7012289075892</v>
      </c>
      <c r="P134">
        <f>IF($J134&gt;MAX('Match Log'!$A$4:$A$810),NA(),IFERROR(LOOKUP(2,1/(('Match Log'!$D$4:$D$810=$P$24)*('Match Log'!$A$4:$A$810&lt;=$J134)),'Match Log'!$N$4:$N$810),NA()))</f>
        <v>1028.6770653673018</v>
      </c>
      <c r="Q134">
        <f>IF($J134&gt;MAX('Match Log'!$A$4:$A$810),NA(),IFERROR(LOOKUP(2,1/(('Match Log'!$D$4:$D$810=$Q$24)*('Match Log'!$A$4:$A$810&lt;=$J134)),'Match Log'!$N$4:$N$810),NA()))</f>
        <v>1084.8903813508514</v>
      </c>
      <c r="R134">
        <f>IF($J134&gt;MAX('Match Log'!$A$4:$A$810),NA(),IFERROR(LOOKUP(2,1/(('Match Log'!$D$4:$D$810=$R$24)*('Match Log'!$A$4:$A$810&lt;=$J134)),'Match Log'!$N$4:$N$810),NA()))</f>
        <v>1069.9039233902718</v>
      </c>
      <c r="S134">
        <f>IF($J134&gt;MAX('Match Log'!$A$4:$A$810),NA(),IFERROR(LOOKUP(2,1/(('Match Log'!$D$4:$D$810=$S$24)*('Match Log'!$A$4:$A$810&lt;=$J134)),'Match Log'!$N$4:$N$810),NA()))</f>
        <v>1168.2113436007442</v>
      </c>
      <c r="T134">
        <f>IF($J134&gt;MAX('Match Log'!$A$4:$A$810),NA(),IFERROR(LOOKUP(2,1/(('Match Log'!$D$4:$D$810=$T$24)*('Match Log'!$A$4:$A$810&lt;=$J134)),'Match Log'!$N$4:$N$810),NA()))</f>
        <v>893.03675187725173</v>
      </c>
      <c r="U134">
        <f>IF($J134&gt;MAX('Match Log'!$A$4:$A$810),NA(),IFERROR(LOOKUP(2,1/(('Match Log'!$D$4:$D$810=$U$24)*('Match Log'!$A$4:$A$810&lt;=$J134)),'Match Log'!$N$4:$N$810),NA()))</f>
        <v>1076.6069656843583</v>
      </c>
      <c r="V134">
        <f>IF($J134&gt;MAX('Match Log'!$A$4:$A$810),NA(),IFERROR(LOOKUP(2,1/(('Match Log'!$D$4:$D$810=$V$24)*('Match Log'!$A$4:$A$810&lt;=$J134)),'Match Log'!$N$4:$N$810),NA()))</f>
        <v>1031.225848367051</v>
      </c>
      <c r="W134">
        <f>IF($J134&gt;MAX('Match Log'!$A$4:$A$810),NA(),IFERROR(LOOKUP(2,1/(('Match Log'!$D$4:$D$810=$W$24)*('Match Log'!$A$4:$A$810&lt;=$J134)),'Match Log'!$N$4:$N$810),NA()))</f>
        <v>1030.3815983388336</v>
      </c>
      <c r="X134" t="e">
        <f>IF($J134&gt;MAX('Match Log'!$A$4:$A$810),NA(),IFERROR(LOOKUP(2,1/(('Match Log'!$D$4:$D$810=$X$24)*('Match Log'!$A$4:$A$810&lt;=$J134)),'Match Log'!$N$4:$N$810),NA()))</f>
        <v>#N/A</v>
      </c>
      <c r="Y134" t="str">
        <f t="shared" ca="1" si="27"/>
        <v/>
      </c>
    </row>
    <row r="135" spans="1:25" ht="15" customHeight="1" x14ac:dyDescent="0.2">
      <c r="A135">
        <v>111</v>
      </c>
      <c r="B135" s="127">
        <f>IFERROR(INDEX('Match Log'!$B$4:$B$810,MATCH(111,'Match Log'!$A$4:$A$810,0)),"")</f>
        <v>46200</v>
      </c>
      <c r="C135" t="str">
        <f>IFERROR(INDEX('Match Log'!$C$4:$C$810,MATCH(111,'Match Log'!$A$4:$A$810,0)),"")</f>
        <v>Mario Kart</v>
      </c>
      <c r="D135" t="str">
        <f t="array" ref="D135">IFERROR(_xlfn.TEXTJOIN(" + ",TRUE,IF(('Match Log'!$A$4:$A$810=$A135)*('Match Log'!$E$4:$E$810="Win"),'Match Log'!$D$4:$D$810,"")),IFERROR(LOOKUP(2,1/(('Match Log'!$A$4:$A$810=$A135)*('Match Log'!$E$4:$E$810="Win")),'Match Log'!$D$4:$D$810),""))</f>
        <v>Aaron</v>
      </c>
      <c r="E135" s="128">
        <f>IFERROR(INDEX('Match Log'!$F$4:$F$810,MATCH(111,'Match Log'!$A$4:$A$810,0)),"")</f>
        <v>2</v>
      </c>
      <c r="F135">
        <f>IFERROR(SUMIFS('Match Log'!$I$4:$I$810,'Match Log'!$A$4:$A$810,111,'Match Log'!$E$4:$E$810,"Win"),"")</f>
        <v>0.60000000000000009</v>
      </c>
      <c r="G135">
        <f t="shared" si="25"/>
        <v>-0.20000000000000018</v>
      </c>
      <c r="H135" t="str">
        <f t="array" ref="H135">IFERROR(IF(COUNTIFS('Match Log'!$A$4:$A$810,$A135,'Match Log'!$E$4:$E$810,"Win")&gt;1,_xlfn.TEXTJOIN(" + ",TRUE,IF(('Match Log'!$A$4:$A$810=$A135)*('Match Log'!$E$4:$E$810="Loss"),'Match Log'!$D$4:$D$810,"")),IF($E135=2,LOOKUP(2,1/(('Match Log'!$A$4:$A$810=$A135)*('Match Log'!$E$4:$E$810="Loss")),'Match Log'!$D$4:$D$810),"the field")),"")</f>
        <v>Shawn</v>
      </c>
      <c r="I135">
        <f t="shared" si="26"/>
        <v>-0.20011100000000018</v>
      </c>
      <c r="J135">
        <v>111</v>
      </c>
      <c r="K135">
        <f>IF($J135&gt;MAX('Match Log'!$A$4:$A$810),NA(),IFERROR(LOOKUP(2,1/(('Match Log'!$D$4:$D$810=$K$24)*('Match Log'!$A$4:$A$810&lt;=$J135)),'Match Log'!$N$4:$N$810),NA()))</f>
        <v>1082.2958989214244</v>
      </c>
      <c r="L135">
        <f>IF($J135&gt;MAX('Match Log'!$A$4:$A$810),NA(),IFERROR(LOOKUP(2,1/(('Match Log'!$D$4:$D$810=$L$24)*('Match Log'!$A$4:$A$810&lt;=$J135)),'Match Log'!$N$4:$N$810),NA()))</f>
        <v>1029.2201908859522</v>
      </c>
      <c r="M135">
        <f>IF($J135&gt;MAX('Match Log'!$A$4:$A$810),NA(),IFERROR(LOOKUP(2,1/(('Match Log'!$D$4:$D$810=$M$24)*('Match Log'!$A$4:$A$810&lt;=$J135)),'Match Log'!$N$4:$N$810),NA()))</f>
        <v>1016.7837867075796</v>
      </c>
      <c r="N135">
        <f>IF($J135&gt;MAX('Match Log'!$A$4:$A$810),NA(),IFERROR(LOOKUP(2,1/(('Match Log'!$D$4:$D$810=$N$24)*('Match Log'!$A$4:$A$810&lt;=$J135)),'Match Log'!$N$4:$N$810),NA()))</f>
        <v>981.92436608474441</v>
      </c>
      <c r="O135">
        <f>IF($J135&gt;MAX('Match Log'!$A$4:$A$810),NA(),IFERROR(LOOKUP(2,1/(('Match Log'!$D$4:$D$810=$O$24)*('Match Log'!$A$4:$A$810&lt;=$J135)),'Match Log'!$N$4:$N$810),NA()))</f>
        <v>1129.7012289075892</v>
      </c>
      <c r="P135">
        <f>IF($J135&gt;MAX('Match Log'!$A$4:$A$810),NA(),IFERROR(LOOKUP(2,1/(('Match Log'!$D$4:$D$810=$P$24)*('Match Log'!$A$4:$A$810&lt;=$J135)),'Match Log'!$N$4:$N$810),NA()))</f>
        <v>1009.817715883348</v>
      </c>
      <c r="Q135">
        <f>IF($J135&gt;MAX('Match Log'!$A$4:$A$810),NA(),IFERROR(LOOKUP(2,1/(('Match Log'!$D$4:$D$810=$Q$24)*('Match Log'!$A$4:$A$810&lt;=$J135)),'Match Log'!$N$4:$N$810),NA()))</f>
        <v>1084.8903813508514</v>
      </c>
      <c r="R135">
        <f>IF($J135&gt;MAX('Match Log'!$A$4:$A$810),NA(),IFERROR(LOOKUP(2,1/(('Match Log'!$D$4:$D$810=$R$24)*('Match Log'!$A$4:$A$810&lt;=$J135)),'Match Log'!$N$4:$N$810),NA()))</f>
        <v>1069.9039233902718</v>
      </c>
      <c r="S135">
        <f>IF($J135&gt;MAX('Match Log'!$A$4:$A$810),NA(),IFERROR(LOOKUP(2,1/(('Match Log'!$D$4:$D$810=$S$24)*('Match Log'!$A$4:$A$810&lt;=$J135)),'Match Log'!$N$4:$N$810),NA()))</f>
        <v>1168.2113436007442</v>
      </c>
      <c r="T135">
        <f>IF($J135&gt;MAX('Match Log'!$A$4:$A$810),NA(),IFERROR(LOOKUP(2,1/(('Match Log'!$D$4:$D$810=$T$24)*('Match Log'!$A$4:$A$810&lt;=$J135)),'Match Log'!$N$4:$N$810),NA()))</f>
        <v>893.03675187725173</v>
      </c>
      <c r="U135">
        <f>IF($J135&gt;MAX('Match Log'!$A$4:$A$810),NA(),IFERROR(LOOKUP(2,1/(('Match Log'!$D$4:$D$810=$U$24)*('Match Log'!$A$4:$A$810&lt;=$J135)),'Match Log'!$N$4:$N$810),NA()))</f>
        <v>1076.6069656843583</v>
      </c>
      <c r="V135">
        <f>IF($J135&gt;MAX('Match Log'!$A$4:$A$810),NA(),IFERROR(LOOKUP(2,1/(('Match Log'!$D$4:$D$810=$V$24)*('Match Log'!$A$4:$A$810&lt;=$J135)),'Match Log'!$N$4:$N$810),NA()))</f>
        <v>1031.225848367051</v>
      </c>
      <c r="W135">
        <f>IF($J135&gt;MAX('Match Log'!$A$4:$A$810),NA(),IFERROR(LOOKUP(2,1/(('Match Log'!$D$4:$D$810=$W$24)*('Match Log'!$A$4:$A$810&lt;=$J135)),'Match Log'!$N$4:$N$810),NA()))</f>
        <v>1030.3815983388336</v>
      </c>
      <c r="X135" t="e">
        <f>IF($J135&gt;MAX('Match Log'!$A$4:$A$810),NA(),IFERROR(LOOKUP(2,1/(('Match Log'!$D$4:$D$810=$X$24)*('Match Log'!$A$4:$A$810&lt;=$J135)),'Match Log'!$N$4:$N$810),NA()))</f>
        <v>#N/A</v>
      </c>
      <c r="Y135" t="str">
        <f t="shared" ca="1" si="27"/>
        <v/>
      </c>
    </row>
    <row r="136" spans="1:25" ht="15" customHeight="1" x14ac:dyDescent="0.2">
      <c r="A136">
        <v>112</v>
      </c>
      <c r="B136" s="127">
        <f>IFERROR(INDEX('Match Log'!$B$4:$B$810,MATCH(112,'Match Log'!$A$4:$A$810,0)),"")</f>
        <v>46200</v>
      </c>
      <c r="C136" t="str">
        <f>IFERROR(INDEX('Match Log'!$C$4:$C$810,MATCH(112,'Match Log'!$A$4:$A$810,0)),"")</f>
        <v>Mario Kart</v>
      </c>
      <c r="D136" t="str">
        <f t="array" ref="D136">IFERROR(_xlfn.TEXTJOIN(" + ",TRUE,IF(('Match Log'!$A$4:$A$810=$A136)*('Match Log'!$E$4:$E$810="Win"),'Match Log'!$D$4:$D$810,"")),IFERROR(LOOKUP(2,1/(('Match Log'!$A$4:$A$810=$A136)*('Match Log'!$E$4:$E$810="Win")),'Match Log'!$D$4:$D$810),""))</f>
        <v>Aaron</v>
      </c>
      <c r="E136" s="128">
        <f>IFERROR(INDEX('Match Log'!$F$4:$F$810,MATCH(112,'Match Log'!$A$4:$A$810,0)),"")</f>
        <v>2</v>
      </c>
      <c r="F136">
        <f>IFERROR(SUMIFS('Match Log'!$I$4:$I$810,'Match Log'!$A$4:$A$810,112,'Match Log'!$E$4:$E$810,"Win"),"")</f>
        <v>0.72727272727272729</v>
      </c>
      <c r="G136">
        <f t="shared" si="25"/>
        <v>-0.45454545454545459</v>
      </c>
      <c r="H136" t="str">
        <f t="array" ref="H136">IFERROR(IF(COUNTIFS('Match Log'!$A$4:$A$810,$A136,'Match Log'!$E$4:$E$810,"Win")&gt;1,_xlfn.TEXTJOIN(" + ",TRUE,IF(('Match Log'!$A$4:$A$810=$A136)*('Match Log'!$E$4:$E$810="Loss"),'Match Log'!$D$4:$D$810,"")),IF($E136=2,LOOKUP(2,1/(('Match Log'!$A$4:$A$810=$A136)*('Match Log'!$E$4:$E$810="Loss")),'Match Log'!$D$4:$D$810),"the field")),"")</f>
        <v>Shawn</v>
      </c>
      <c r="I136">
        <f t="shared" si="26"/>
        <v>-0.45465745454545459</v>
      </c>
      <c r="J136">
        <v>112</v>
      </c>
      <c r="K136">
        <f>IF($J136&gt;MAX('Match Log'!$A$4:$A$810),NA(),IFERROR(LOOKUP(2,1/(('Match Log'!$D$4:$D$810=$K$24)*('Match Log'!$A$4:$A$810&lt;=$J136)),'Match Log'!$N$4:$N$810),NA()))</f>
        <v>1098.243484374352</v>
      </c>
      <c r="L136">
        <f>IF($J136&gt;MAX('Match Log'!$A$4:$A$810),NA(),IFERROR(LOOKUP(2,1/(('Match Log'!$D$4:$D$810=$L$24)*('Match Log'!$A$4:$A$810&lt;=$J136)),'Match Log'!$N$4:$N$810),NA()))</f>
        <v>1029.2201908859522</v>
      </c>
      <c r="M136">
        <f>IF($J136&gt;MAX('Match Log'!$A$4:$A$810),NA(),IFERROR(LOOKUP(2,1/(('Match Log'!$D$4:$D$810=$M$24)*('Match Log'!$A$4:$A$810&lt;=$J136)),'Match Log'!$N$4:$N$810),NA()))</f>
        <v>1016.7837867075796</v>
      </c>
      <c r="N136">
        <f>IF($J136&gt;MAX('Match Log'!$A$4:$A$810),NA(),IFERROR(LOOKUP(2,1/(('Match Log'!$D$4:$D$810=$N$24)*('Match Log'!$A$4:$A$810&lt;=$J136)),'Match Log'!$N$4:$N$810),NA()))</f>
        <v>981.92436608474441</v>
      </c>
      <c r="O136">
        <f>IF($J136&gt;MAX('Match Log'!$A$4:$A$810),NA(),IFERROR(LOOKUP(2,1/(('Match Log'!$D$4:$D$810=$O$24)*('Match Log'!$A$4:$A$810&lt;=$J136)),'Match Log'!$N$4:$N$810),NA()))</f>
        <v>1129.7012289075892</v>
      </c>
      <c r="P136">
        <f>IF($J136&gt;MAX('Match Log'!$A$4:$A$810),NA(),IFERROR(LOOKUP(2,1/(('Match Log'!$D$4:$D$810=$P$24)*('Match Log'!$A$4:$A$810&lt;=$J136)),'Match Log'!$N$4:$N$810),NA()))</f>
        <v>993.87013043042043</v>
      </c>
      <c r="Q136">
        <f>IF($J136&gt;MAX('Match Log'!$A$4:$A$810),NA(),IFERROR(LOOKUP(2,1/(('Match Log'!$D$4:$D$810=$Q$24)*('Match Log'!$A$4:$A$810&lt;=$J136)),'Match Log'!$N$4:$N$810),NA()))</f>
        <v>1084.8903813508514</v>
      </c>
      <c r="R136">
        <f>IF($J136&gt;MAX('Match Log'!$A$4:$A$810),NA(),IFERROR(LOOKUP(2,1/(('Match Log'!$D$4:$D$810=$R$24)*('Match Log'!$A$4:$A$810&lt;=$J136)),'Match Log'!$N$4:$N$810),NA()))</f>
        <v>1069.9039233902718</v>
      </c>
      <c r="S136">
        <f>IF($J136&gt;MAX('Match Log'!$A$4:$A$810),NA(),IFERROR(LOOKUP(2,1/(('Match Log'!$D$4:$D$810=$S$24)*('Match Log'!$A$4:$A$810&lt;=$J136)),'Match Log'!$N$4:$N$810),NA()))</f>
        <v>1168.2113436007442</v>
      </c>
      <c r="T136">
        <f>IF($J136&gt;MAX('Match Log'!$A$4:$A$810),NA(),IFERROR(LOOKUP(2,1/(('Match Log'!$D$4:$D$810=$T$24)*('Match Log'!$A$4:$A$810&lt;=$J136)),'Match Log'!$N$4:$N$810),NA()))</f>
        <v>893.03675187725173</v>
      </c>
      <c r="U136">
        <f>IF($J136&gt;MAX('Match Log'!$A$4:$A$810),NA(),IFERROR(LOOKUP(2,1/(('Match Log'!$D$4:$D$810=$U$24)*('Match Log'!$A$4:$A$810&lt;=$J136)),'Match Log'!$N$4:$N$810),NA()))</f>
        <v>1076.6069656843583</v>
      </c>
      <c r="V136">
        <f>IF($J136&gt;MAX('Match Log'!$A$4:$A$810),NA(),IFERROR(LOOKUP(2,1/(('Match Log'!$D$4:$D$810=$V$24)*('Match Log'!$A$4:$A$810&lt;=$J136)),'Match Log'!$N$4:$N$810),NA()))</f>
        <v>1031.225848367051</v>
      </c>
      <c r="W136">
        <f>IF($J136&gt;MAX('Match Log'!$A$4:$A$810),NA(),IFERROR(LOOKUP(2,1/(('Match Log'!$D$4:$D$810=$W$24)*('Match Log'!$A$4:$A$810&lt;=$J136)),'Match Log'!$N$4:$N$810),NA()))</f>
        <v>1030.3815983388336</v>
      </c>
      <c r="X136" t="e">
        <f>IF($J136&gt;MAX('Match Log'!$A$4:$A$810),NA(),IFERROR(LOOKUP(2,1/(('Match Log'!$D$4:$D$810=$X$24)*('Match Log'!$A$4:$A$810&lt;=$J136)),'Match Log'!$N$4:$N$810),NA()))</f>
        <v>#N/A</v>
      </c>
      <c r="Y136" t="str">
        <f t="shared" ca="1" si="27"/>
        <v/>
      </c>
    </row>
    <row r="137" spans="1:25" ht="15" customHeight="1" x14ac:dyDescent="0.2">
      <c r="A137">
        <v>113</v>
      </c>
      <c r="B137" s="127">
        <f>IFERROR(INDEX('Match Log'!$B$4:$B$810,MATCH(113,'Match Log'!$A$4:$A$810,0)),"")</f>
        <v>46200</v>
      </c>
      <c r="C137" t="str">
        <f>IFERROR(INDEX('Match Log'!$C$4:$C$810,MATCH(113,'Match Log'!$A$4:$A$810,0)),"")</f>
        <v>Mario Kart</v>
      </c>
      <c r="D137" t="str">
        <f t="array" ref="D137">IFERROR(_xlfn.TEXTJOIN(" + ",TRUE,IF(('Match Log'!$A$4:$A$810=$A137)*('Match Log'!$E$4:$E$810="Win"),'Match Log'!$D$4:$D$810,"")),IFERROR(LOOKUP(2,1/(('Match Log'!$A$4:$A$810=$A137)*('Match Log'!$E$4:$E$810="Win")),'Match Log'!$D$4:$D$810),""))</f>
        <v>Aaron</v>
      </c>
      <c r="E137" s="128">
        <f>IFERROR(INDEX('Match Log'!$F$4:$F$810,MATCH(113,'Match Log'!$A$4:$A$810,0)),"")</f>
        <v>2</v>
      </c>
      <c r="F137">
        <f>IFERROR(SUMIFS('Match Log'!$I$4:$I$810,'Match Log'!$A$4:$A$810,113,'Match Log'!$E$4:$E$810,"Win"),"")</f>
        <v>0.78947368421052633</v>
      </c>
      <c r="G137">
        <f t="shared" si="25"/>
        <v>-0.57894736842105265</v>
      </c>
      <c r="H137" t="str">
        <f t="array" ref="H137">IFERROR(IF(COUNTIFS('Match Log'!$A$4:$A$810,$A137,'Match Log'!$E$4:$E$810,"Win")&gt;1,_xlfn.TEXTJOIN(" + ",TRUE,IF(('Match Log'!$A$4:$A$810=$A137)*('Match Log'!$E$4:$E$810="Loss"),'Match Log'!$D$4:$D$810,"")),IF($E137=2,LOOKUP(2,1/(('Match Log'!$A$4:$A$810=$A137)*('Match Log'!$E$4:$E$810="Loss")),'Match Log'!$D$4:$D$810),"the field")),"")</f>
        <v>Shawn</v>
      </c>
      <c r="I137">
        <f t="shared" si="26"/>
        <v>-0.57906036842105268</v>
      </c>
      <c r="J137">
        <v>113</v>
      </c>
      <c r="K137">
        <f>IF($J137&gt;MAX('Match Log'!$A$4:$A$810),NA(),IFERROR(LOOKUP(2,1/(('Match Log'!$D$4:$D$810=$K$24)*('Match Log'!$A$4:$A$810&lt;=$J137)),'Match Log'!$N$4:$N$810),NA()))</f>
        <v>1112.3077761293196</v>
      </c>
      <c r="L137">
        <f>IF($J137&gt;MAX('Match Log'!$A$4:$A$810),NA(),IFERROR(LOOKUP(2,1/(('Match Log'!$D$4:$D$810=$L$24)*('Match Log'!$A$4:$A$810&lt;=$J137)),'Match Log'!$N$4:$N$810),NA()))</f>
        <v>1029.2201908859522</v>
      </c>
      <c r="M137">
        <f>IF($J137&gt;MAX('Match Log'!$A$4:$A$810),NA(),IFERROR(LOOKUP(2,1/(('Match Log'!$D$4:$D$810=$M$24)*('Match Log'!$A$4:$A$810&lt;=$J137)),'Match Log'!$N$4:$N$810),NA()))</f>
        <v>1016.7837867075796</v>
      </c>
      <c r="N137">
        <f>IF($J137&gt;MAX('Match Log'!$A$4:$A$810),NA(),IFERROR(LOOKUP(2,1/(('Match Log'!$D$4:$D$810=$N$24)*('Match Log'!$A$4:$A$810&lt;=$J137)),'Match Log'!$N$4:$N$810),NA()))</f>
        <v>981.92436608474441</v>
      </c>
      <c r="O137">
        <f>IF($J137&gt;MAX('Match Log'!$A$4:$A$810),NA(),IFERROR(LOOKUP(2,1/(('Match Log'!$D$4:$D$810=$O$24)*('Match Log'!$A$4:$A$810&lt;=$J137)),'Match Log'!$N$4:$N$810),NA()))</f>
        <v>1129.7012289075892</v>
      </c>
      <c r="P137">
        <f>IF($J137&gt;MAX('Match Log'!$A$4:$A$810),NA(),IFERROR(LOOKUP(2,1/(('Match Log'!$D$4:$D$810=$P$24)*('Match Log'!$A$4:$A$810&lt;=$J137)),'Match Log'!$N$4:$N$810),NA()))</f>
        <v>979.80583867545283</v>
      </c>
      <c r="Q137">
        <f>IF($J137&gt;MAX('Match Log'!$A$4:$A$810),NA(),IFERROR(LOOKUP(2,1/(('Match Log'!$D$4:$D$810=$Q$24)*('Match Log'!$A$4:$A$810&lt;=$J137)),'Match Log'!$N$4:$N$810),NA()))</f>
        <v>1084.8903813508514</v>
      </c>
      <c r="R137">
        <f>IF($J137&gt;MAX('Match Log'!$A$4:$A$810),NA(),IFERROR(LOOKUP(2,1/(('Match Log'!$D$4:$D$810=$R$24)*('Match Log'!$A$4:$A$810&lt;=$J137)),'Match Log'!$N$4:$N$810),NA()))</f>
        <v>1069.9039233902718</v>
      </c>
      <c r="S137">
        <f>IF($J137&gt;MAX('Match Log'!$A$4:$A$810),NA(),IFERROR(LOOKUP(2,1/(('Match Log'!$D$4:$D$810=$S$24)*('Match Log'!$A$4:$A$810&lt;=$J137)),'Match Log'!$N$4:$N$810),NA()))</f>
        <v>1168.2113436007442</v>
      </c>
      <c r="T137">
        <f>IF($J137&gt;MAX('Match Log'!$A$4:$A$810),NA(),IFERROR(LOOKUP(2,1/(('Match Log'!$D$4:$D$810=$T$24)*('Match Log'!$A$4:$A$810&lt;=$J137)),'Match Log'!$N$4:$N$810),NA()))</f>
        <v>893.03675187725173</v>
      </c>
      <c r="U137">
        <f>IF($J137&gt;MAX('Match Log'!$A$4:$A$810),NA(),IFERROR(LOOKUP(2,1/(('Match Log'!$D$4:$D$810=$U$24)*('Match Log'!$A$4:$A$810&lt;=$J137)),'Match Log'!$N$4:$N$810),NA()))</f>
        <v>1076.6069656843583</v>
      </c>
      <c r="V137">
        <f>IF($J137&gt;MAX('Match Log'!$A$4:$A$810),NA(),IFERROR(LOOKUP(2,1/(('Match Log'!$D$4:$D$810=$V$24)*('Match Log'!$A$4:$A$810&lt;=$J137)),'Match Log'!$N$4:$N$810),NA()))</f>
        <v>1031.225848367051</v>
      </c>
      <c r="W137">
        <f>IF($J137&gt;MAX('Match Log'!$A$4:$A$810),NA(),IFERROR(LOOKUP(2,1/(('Match Log'!$D$4:$D$810=$W$24)*('Match Log'!$A$4:$A$810&lt;=$J137)),'Match Log'!$N$4:$N$810),NA()))</f>
        <v>1030.3815983388336</v>
      </c>
      <c r="X137" t="e">
        <f>IF($J137&gt;MAX('Match Log'!$A$4:$A$810),NA(),IFERROR(LOOKUP(2,1/(('Match Log'!$D$4:$D$810=$X$24)*('Match Log'!$A$4:$A$810&lt;=$J137)),'Match Log'!$N$4:$N$810),NA()))</f>
        <v>#N/A</v>
      </c>
      <c r="Y137" t="str">
        <f t="shared" ca="1" si="27"/>
        <v/>
      </c>
    </row>
    <row r="138" spans="1:25" ht="15" customHeight="1" x14ac:dyDescent="0.2">
      <c r="A138">
        <v>114</v>
      </c>
      <c r="B138" s="127">
        <f>IFERROR(INDEX('Match Log'!$B$4:$B$810,MATCH(114,'Match Log'!$A$4:$A$810,0)),"")</f>
        <v>46202</v>
      </c>
      <c r="C138" t="str">
        <f>IFERROR(INDEX('Match Log'!$C$4:$C$810,MATCH(114,'Match Log'!$A$4:$A$810,0)),"")</f>
        <v>Chess</v>
      </c>
      <c r="D138" t="str">
        <f t="array" ref="D138">IFERROR(_xlfn.TEXTJOIN(" + ",TRUE,IF(('Match Log'!$A$4:$A$810=$A138)*('Match Log'!$E$4:$E$810="Win"),'Match Log'!$D$4:$D$810,"")),IFERROR(LOOKUP(2,1/(('Match Log'!$A$4:$A$810=$A138)*('Match Log'!$E$4:$E$810="Win")),'Match Log'!$D$4:$D$810),""))</f>
        <v>Shawn</v>
      </c>
      <c r="E138" s="128">
        <f>IFERROR(INDEX('Match Log'!$F$4:$F$810,MATCH(114,'Match Log'!$A$4:$A$810,0)),"")</f>
        <v>2</v>
      </c>
      <c r="F138">
        <f>IFERROR(SUMIFS('Match Log'!$I$4:$I$810,'Match Log'!$A$4:$A$810,114,'Match Log'!$E$4:$E$810,"Win"),"")</f>
        <v>0.66666666666666663</v>
      </c>
      <c r="G138">
        <f t="shared" si="25"/>
        <v>-0.33333333333333326</v>
      </c>
      <c r="H138" t="str">
        <f t="array" ref="H138">IFERROR(IF(COUNTIFS('Match Log'!$A$4:$A$810,$A138,'Match Log'!$E$4:$E$810,"Win")&gt;1,_xlfn.TEXTJOIN(" + ",TRUE,IF(('Match Log'!$A$4:$A$810=$A138)*('Match Log'!$E$4:$E$810="Loss"),'Match Log'!$D$4:$D$810,"")),IF($E138=2,LOOKUP(2,1/(('Match Log'!$A$4:$A$810=$A138)*('Match Log'!$E$4:$E$810="Loss")),'Match Log'!$D$4:$D$810),"the field")),"")</f>
        <v>Daniel (Ferret)</v>
      </c>
      <c r="I138">
        <f t="shared" si="26"/>
        <v>-0.33344733333333326</v>
      </c>
      <c r="J138">
        <v>114</v>
      </c>
      <c r="K138">
        <f>IF($J138&gt;MAX('Match Log'!$A$4:$A$810),NA(),IFERROR(LOOKUP(2,1/(('Match Log'!$D$4:$D$810=$K$24)*('Match Log'!$A$4:$A$810&lt;=$J138)),'Match Log'!$N$4:$N$810),NA()))</f>
        <v>1112.3077761293196</v>
      </c>
      <c r="L138">
        <f>IF($J138&gt;MAX('Match Log'!$A$4:$A$810),NA(),IFERROR(LOOKUP(2,1/(('Match Log'!$D$4:$D$810=$L$24)*('Match Log'!$A$4:$A$810&lt;=$J138)),'Match Log'!$N$4:$N$810),NA()))</f>
        <v>1029.2201908859522</v>
      </c>
      <c r="M138">
        <f>IF($J138&gt;MAX('Match Log'!$A$4:$A$810),NA(),IFERROR(LOOKUP(2,1/(('Match Log'!$D$4:$D$810=$M$24)*('Match Log'!$A$4:$A$810&lt;=$J138)),'Match Log'!$N$4:$N$810),NA()))</f>
        <v>1016.7837867075796</v>
      </c>
      <c r="N138">
        <f>IF($J138&gt;MAX('Match Log'!$A$4:$A$810),NA(),IFERROR(LOOKUP(2,1/(('Match Log'!$D$4:$D$810=$N$24)*('Match Log'!$A$4:$A$810&lt;=$J138)),'Match Log'!$N$4:$N$810),NA()))</f>
        <v>981.92436608474441</v>
      </c>
      <c r="O138">
        <f>IF($J138&gt;MAX('Match Log'!$A$4:$A$810),NA(),IFERROR(LOOKUP(2,1/(('Match Log'!$D$4:$D$810=$O$24)*('Match Log'!$A$4:$A$810&lt;=$J138)),'Match Log'!$N$4:$N$810),NA()))</f>
        <v>1129.7012289075892</v>
      </c>
      <c r="P138">
        <f>IF($J138&gt;MAX('Match Log'!$A$4:$A$810),NA(),IFERROR(LOOKUP(2,1/(('Match Log'!$D$4:$D$810=$P$24)*('Match Log'!$A$4:$A$810&lt;=$J138)),'Match Log'!$N$4:$N$810),NA()))</f>
        <v>1002.9754060253616</v>
      </c>
      <c r="Q138">
        <f>IF($J138&gt;MAX('Match Log'!$A$4:$A$810),NA(),IFERROR(LOOKUP(2,1/(('Match Log'!$D$4:$D$810=$Q$24)*('Match Log'!$A$4:$A$810&lt;=$J138)),'Match Log'!$N$4:$N$810),NA()))</f>
        <v>1084.8903813508514</v>
      </c>
      <c r="R138">
        <f>IF($J138&gt;MAX('Match Log'!$A$4:$A$810),NA(),IFERROR(LOOKUP(2,1/(('Match Log'!$D$4:$D$810=$R$24)*('Match Log'!$A$4:$A$810&lt;=$J138)),'Match Log'!$N$4:$N$810),NA()))</f>
        <v>1046.7343560403631</v>
      </c>
      <c r="S138">
        <f>IF($J138&gt;MAX('Match Log'!$A$4:$A$810),NA(),IFERROR(LOOKUP(2,1/(('Match Log'!$D$4:$D$810=$S$24)*('Match Log'!$A$4:$A$810&lt;=$J138)),'Match Log'!$N$4:$N$810),NA()))</f>
        <v>1168.2113436007442</v>
      </c>
      <c r="T138">
        <f>IF($J138&gt;MAX('Match Log'!$A$4:$A$810),NA(),IFERROR(LOOKUP(2,1/(('Match Log'!$D$4:$D$810=$T$24)*('Match Log'!$A$4:$A$810&lt;=$J138)),'Match Log'!$N$4:$N$810),NA()))</f>
        <v>893.03675187725173</v>
      </c>
      <c r="U138">
        <f>IF($J138&gt;MAX('Match Log'!$A$4:$A$810),NA(),IFERROR(LOOKUP(2,1/(('Match Log'!$D$4:$D$810=$U$24)*('Match Log'!$A$4:$A$810&lt;=$J138)),'Match Log'!$N$4:$N$810),NA()))</f>
        <v>1076.6069656843583</v>
      </c>
      <c r="V138">
        <f>IF($J138&gt;MAX('Match Log'!$A$4:$A$810),NA(),IFERROR(LOOKUP(2,1/(('Match Log'!$D$4:$D$810=$V$24)*('Match Log'!$A$4:$A$810&lt;=$J138)),'Match Log'!$N$4:$N$810),NA()))</f>
        <v>1031.225848367051</v>
      </c>
      <c r="W138">
        <f>IF($J138&gt;MAX('Match Log'!$A$4:$A$810),NA(),IFERROR(LOOKUP(2,1/(('Match Log'!$D$4:$D$810=$W$24)*('Match Log'!$A$4:$A$810&lt;=$J138)),'Match Log'!$N$4:$N$810),NA()))</f>
        <v>1030.3815983388336</v>
      </c>
      <c r="X138" t="e">
        <f>IF($J138&gt;MAX('Match Log'!$A$4:$A$810),NA(),IFERROR(LOOKUP(2,1/(('Match Log'!$D$4:$D$810=$X$24)*('Match Log'!$A$4:$A$810&lt;=$J138)),'Match Log'!$N$4:$N$810),NA()))</f>
        <v>#N/A</v>
      </c>
      <c r="Y138" t="str">
        <f t="shared" ca="1" si="27"/>
        <v/>
      </c>
    </row>
    <row r="139" spans="1:25" ht="15" customHeight="1" x14ac:dyDescent="0.2">
      <c r="A139">
        <v>115</v>
      </c>
      <c r="B139">
        <f>IFERROR(INDEX('Match Log'!$B$4:$B$810,MATCH(115,'Match Log'!$A$4:$A$810,0)),"")</f>
        <v>46207</v>
      </c>
      <c r="C139" t="str">
        <f>IFERROR(INDEX('Match Log'!$C$4:$C$810,MATCH(115,'Match Log'!$A$4:$A$810,0)),"")</f>
        <v>Mario Kart</v>
      </c>
      <c r="D139" t="str">
        <f t="array" ref="D139">IFERROR(_xlfn.TEXTJOIN(" + ",TRUE,IF(('Match Log'!$A$4:$A$810=$A139)*('Match Log'!$E$4:$E$810="Win"),'Match Log'!$D$4:$D$810,"")),IFERROR(LOOKUP(2,1/(('Match Log'!$A$4:$A$810=$A139)*('Match Log'!$E$4:$E$810="Win")),'Match Log'!$D$4:$D$810),""))</f>
        <v>Oscar</v>
      </c>
      <c r="E139">
        <f>IFERROR(INDEX('Match Log'!$F$4:$F$810,MATCH(115,'Match Log'!$A$4:$A$810,0)),"")</f>
        <v>2</v>
      </c>
      <c r="F139">
        <f>IFERROR(SUMIFS('Match Log'!$I$4:$I$810,'Match Log'!$A$4:$A$810,115,'Match Log'!$E$4:$E$810,"Win"),"")</f>
        <v>0.75</v>
      </c>
      <c r="G139">
        <f t="shared" si="25"/>
        <v>-0.5</v>
      </c>
      <c r="H139" t="str">
        <f t="array" ref="H139">IFERROR(IF(COUNTIFS('Match Log'!$A$4:$A$810,$A139,'Match Log'!$E$4:$E$810,"Win")&gt;1,_xlfn.TEXTJOIN(" + ",TRUE,IF(('Match Log'!$A$4:$A$810=$A139)*('Match Log'!$E$4:$E$810="Loss"),'Match Log'!$D$4:$D$810,"")),IF($E139=2,LOOKUP(2,1/(('Match Log'!$A$4:$A$810=$A139)*('Match Log'!$E$4:$E$810="Loss")),'Match Log'!$D$4:$D$810),"the field")),"")</f>
        <v>Shawn</v>
      </c>
      <c r="I139">
        <f t="shared" si="26"/>
        <v>-0.50011499999999998</v>
      </c>
      <c r="J139">
        <v>115</v>
      </c>
      <c r="K139">
        <f>IF($J139&gt;MAX('Match Log'!$A$4:$A$810),NA(),IFERROR(LOOKUP(2,1/(('Match Log'!$D$4:$D$810=$K$24)*('Match Log'!$A$4:$A$810&lt;=$J139)),'Match Log'!$N$4:$N$810),NA()))</f>
        <v>1112.3077761293196</v>
      </c>
      <c r="L139">
        <f>IF($J139&gt;MAX('Match Log'!$A$4:$A$810),NA(),IFERROR(LOOKUP(2,1/(('Match Log'!$D$4:$D$810=$L$24)*('Match Log'!$A$4:$A$810&lt;=$J139)),'Match Log'!$N$4:$N$810),NA()))</f>
        <v>1029.2201908859522</v>
      </c>
      <c r="M139">
        <f>IF($J139&gt;MAX('Match Log'!$A$4:$A$810),NA(),IFERROR(LOOKUP(2,1/(('Match Log'!$D$4:$D$810=$M$24)*('Match Log'!$A$4:$A$810&lt;=$J139)),'Match Log'!$N$4:$N$810),NA()))</f>
        <v>1016.7837867075796</v>
      </c>
      <c r="N139">
        <f>IF($J139&gt;MAX('Match Log'!$A$4:$A$810),NA(),IFERROR(LOOKUP(2,1/(('Match Log'!$D$4:$D$810=$N$24)*('Match Log'!$A$4:$A$810&lt;=$J139)),'Match Log'!$N$4:$N$810),NA()))</f>
        <v>981.92436608474441</v>
      </c>
      <c r="O139">
        <f>IF($J139&gt;MAX('Match Log'!$A$4:$A$810),NA(),IFERROR(LOOKUP(2,1/(('Match Log'!$D$4:$D$810=$O$24)*('Match Log'!$A$4:$A$810&lt;=$J139)),'Match Log'!$N$4:$N$810),NA()))</f>
        <v>1129.7012289075892</v>
      </c>
      <c r="P139">
        <f>IF($J139&gt;MAX('Match Log'!$A$4:$A$810),NA(),IFERROR(LOOKUP(2,1/(('Match Log'!$D$4:$D$810=$P$24)*('Match Log'!$A$4:$A$810&lt;=$J139)),'Match Log'!$N$4:$N$810),NA()))</f>
        <v>986.98278461509813</v>
      </c>
      <c r="Q139">
        <f>IF($J139&gt;MAX('Match Log'!$A$4:$A$810),NA(),IFERROR(LOOKUP(2,1/(('Match Log'!$D$4:$D$810=$Q$24)*('Match Log'!$A$4:$A$810&lt;=$J139)),'Match Log'!$N$4:$N$810),NA()))</f>
        <v>1084.8903813508514</v>
      </c>
      <c r="R139">
        <f>IF($J139&gt;MAX('Match Log'!$A$4:$A$810),NA(),IFERROR(LOOKUP(2,1/(('Match Log'!$D$4:$D$810=$R$24)*('Match Log'!$A$4:$A$810&lt;=$J139)),'Match Log'!$N$4:$N$810),NA()))</f>
        <v>1046.7343560403631</v>
      </c>
      <c r="S139">
        <f>IF($J139&gt;MAX('Match Log'!$A$4:$A$810),NA(),IFERROR(LOOKUP(2,1/(('Match Log'!$D$4:$D$810=$S$24)*('Match Log'!$A$4:$A$810&lt;=$J139)),'Match Log'!$N$4:$N$810),NA()))</f>
        <v>1168.2113436007442</v>
      </c>
      <c r="T139">
        <f>IF($J139&gt;MAX('Match Log'!$A$4:$A$810),NA(),IFERROR(LOOKUP(2,1/(('Match Log'!$D$4:$D$810=$T$24)*('Match Log'!$A$4:$A$810&lt;=$J139)),'Match Log'!$N$4:$N$810),NA()))</f>
        <v>893.03675187725173</v>
      </c>
      <c r="U139">
        <f>IF($J139&gt;MAX('Match Log'!$A$4:$A$810),NA(),IFERROR(LOOKUP(2,1/(('Match Log'!$D$4:$D$810=$U$24)*('Match Log'!$A$4:$A$810&lt;=$J139)),'Match Log'!$N$4:$N$810),NA()))</f>
        <v>1092.5995870946217</v>
      </c>
      <c r="V139">
        <f>IF($J139&gt;MAX('Match Log'!$A$4:$A$810),NA(),IFERROR(LOOKUP(2,1/(('Match Log'!$D$4:$D$810=$V$24)*('Match Log'!$A$4:$A$810&lt;=$J139)),'Match Log'!$N$4:$N$810),NA()))</f>
        <v>1031.225848367051</v>
      </c>
      <c r="W139">
        <f>IF($J139&gt;MAX('Match Log'!$A$4:$A$810),NA(),IFERROR(LOOKUP(2,1/(('Match Log'!$D$4:$D$810=$W$24)*('Match Log'!$A$4:$A$810&lt;=$J139)),'Match Log'!$N$4:$N$810),NA()))</f>
        <v>1030.3815983388336</v>
      </c>
      <c r="X139" t="e">
        <f>IF($J139&gt;MAX('Match Log'!$A$4:$A$810),NA(),IFERROR(LOOKUP(2,1/(('Match Log'!$D$4:$D$810=$X$24)*('Match Log'!$A$4:$A$810&lt;=$J139)),'Match Log'!$N$4:$N$810),NA()))</f>
        <v>#N/A</v>
      </c>
      <c r="Y139">
        <f t="shared" ca="1" si="27"/>
        <v>-0.50011499999999998</v>
      </c>
    </row>
    <row r="140" spans="1:25" ht="15" customHeight="1" x14ac:dyDescent="0.2">
      <c r="A140">
        <v>116</v>
      </c>
      <c r="B140">
        <f>IFERROR(INDEX('Match Log'!$B$4:$B$810,MATCH(116,'Match Log'!$A$4:$A$810,0)),"")</f>
        <v>46207</v>
      </c>
      <c r="C140" t="str">
        <f>IFERROR(INDEX('Match Log'!$C$4:$C$810,MATCH(116,'Match Log'!$A$4:$A$810,0)),"")</f>
        <v>Mario Kart</v>
      </c>
      <c r="D140" t="str">
        <f t="array" ref="D140">IFERROR(_xlfn.TEXTJOIN(" + ",TRUE,IF(('Match Log'!$A$4:$A$810=$A140)*('Match Log'!$E$4:$E$810="Win"),'Match Log'!$D$4:$D$810,"")),IFERROR(LOOKUP(2,1/(('Match Log'!$A$4:$A$810=$A140)*('Match Log'!$E$4:$E$810="Win")),'Match Log'!$D$4:$D$810),""))</f>
        <v>Oscar</v>
      </c>
      <c r="E140">
        <f>IFERROR(INDEX('Match Log'!$F$4:$F$810,MATCH(116,'Match Log'!$A$4:$A$810,0)),"")</f>
        <v>2</v>
      </c>
      <c r="F140">
        <f>IFERROR(SUMIFS('Match Log'!$I$4:$I$810,'Match Log'!$A$4:$A$810,116,'Match Log'!$E$4:$E$810,"Win"),"")</f>
        <v>0.8</v>
      </c>
      <c r="G140">
        <f t="shared" si="25"/>
        <v>-0.60000000000000009</v>
      </c>
      <c r="H140" t="str">
        <f t="array" ref="H140">IFERROR(IF(COUNTIFS('Match Log'!$A$4:$A$810,$A140,'Match Log'!$E$4:$E$810,"Win")&gt;1,_xlfn.TEXTJOIN(" + ",TRUE,IF(('Match Log'!$A$4:$A$810=$A140)*('Match Log'!$E$4:$E$810="Loss"),'Match Log'!$D$4:$D$810,"")),IF($E140=2,LOOKUP(2,1/(('Match Log'!$A$4:$A$810=$A140)*('Match Log'!$E$4:$E$810="Loss")),'Match Log'!$D$4:$D$810),"the field")),"")</f>
        <v>Shawn</v>
      </c>
      <c r="I140">
        <f t="shared" si="26"/>
        <v>-0.60011600000000009</v>
      </c>
      <c r="J140">
        <v>116</v>
      </c>
      <c r="K140">
        <f>IF($J140&gt;MAX('Match Log'!$A$4:$A$810),NA(),IFERROR(LOOKUP(2,1/(('Match Log'!$D$4:$D$810=$K$24)*('Match Log'!$A$4:$A$810&lt;=$J140)),'Match Log'!$N$4:$N$810),NA()))</f>
        <v>1112.3077761293196</v>
      </c>
      <c r="L140">
        <f>IF($J140&gt;MAX('Match Log'!$A$4:$A$810),NA(),IFERROR(LOOKUP(2,1/(('Match Log'!$D$4:$D$810=$L$24)*('Match Log'!$A$4:$A$810&lt;=$J140)),'Match Log'!$N$4:$N$810),NA()))</f>
        <v>1029.2201908859522</v>
      </c>
      <c r="M140">
        <f>IF($J140&gt;MAX('Match Log'!$A$4:$A$810),NA(),IFERROR(LOOKUP(2,1/(('Match Log'!$D$4:$D$810=$M$24)*('Match Log'!$A$4:$A$810&lt;=$J140)),'Match Log'!$N$4:$N$810),NA()))</f>
        <v>1016.7837867075796</v>
      </c>
      <c r="N140">
        <f>IF($J140&gt;MAX('Match Log'!$A$4:$A$810),NA(),IFERROR(LOOKUP(2,1/(('Match Log'!$D$4:$D$810=$N$24)*('Match Log'!$A$4:$A$810&lt;=$J140)),'Match Log'!$N$4:$N$810),NA()))</f>
        <v>981.92436608474441</v>
      </c>
      <c r="O140">
        <f>IF($J140&gt;MAX('Match Log'!$A$4:$A$810),NA(),IFERROR(LOOKUP(2,1/(('Match Log'!$D$4:$D$810=$O$24)*('Match Log'!$A$4:$A$810&lt;=$J140)),'Match Log'!$N$4:$N$810),NA()))</f>
        <v>1129.7012289075892</v>
      </c>
      <c r="P140">
        <f>IF($J140&gt;MAX('Match Log'!$A$4:$A$810),NA(),IFERROR(LOOKUP(2,1/(('Match Log'!$D$4:$D$810=$P$24)*('Match Log'!$A$4:$A$810&lt;=$J140)),'Match Log'!$N$4:$N$810),NA()))</f>
        <v>972.8327291751624</v>
      </c>
      <c r="Q140">
        <f>IF($J140&gt;MAX('Match Log'!$A$4:$A$810),NA(),IFERROR(LOOKUP(2,1/(('Match Log'!$D$4:$D$810=$Q$24)*('Match Log'!$A$4:$A$810&lt;=$J140)),'Match Log'!$N$4:$N$810),NA()))</f>
        <v>1084.8903813508514</v>
      </c>
      <c r="R140">
        <f>IF($J140&gt;MAX('Match Log'!$A$4:$A$810),NA(),IFERROR(LOOKUP(2,1/(('Match Log'!$D$4:$D$810=$R$24)*('Match Log'!$A$4:$A$810&lt;=$J140)),'Match Log'!$N$4:$N$810),NA()))</f>
        <v>1046.7343560403631</v>
      </c>
      <c r="S140">
        <f>IF($J140&gt;MAX('Match Log'!$A$4:$A$810),NA(),IFERROR(LOOKUP(2,1/(('Match Log'!$D$4:$D$810=$S$24)*('Match Log'!$A$4:$A$810&lt;=$J140)),'Match Log'!$N$4:$N$810),NA()))</f>
        <v>1168.2113436007442</v>
      </c>
      <c r="T140">
        <f>IF($J140&gt;MAX('Match Log'!$A$4:$A$810),NA(),IFERROR(LOOKUP(2,1/(('Match Log'!$D$4:$D$810=$T$24)*('Match Log'!$A$4:$A$810&lt;=$J140)),'Match Log'!$N$4:$N$810),NA()))</f>
        <v>893.03675187725173</v>
      </c>
      <c r="U140">
        <f>IF($J140&gt;MAX('Match Log'!$A$4:$A$810),NA(),IFERROR(LOOKUP(2,1/(('Match Log'!$D$4:$D$810=$U$24)*('Match Log'!$A$4:$A$810&lt;=$J140)),'Match Log'!$N$4:$N$810),NA()))</f>
        <v>1106.7496425345573</v>
      </c>
      <c r="V140">
        <f>IF($J140&gt;MAX('Match Log'!$A$4:$A$810),NA(),IFERROR(LOOKUP(2,1/(('Match Log'!$D$4:$D$810=$V$24)*('Match Log'!$A$4:$A$810&lt;=$J140)),'Match Log'!$N$4:$N$810),NA()))</f>
        <v>1031.225848367051</v>
      </c>
      <c r="W140">
        <f>IF($J140&gt;MAX('Match Log'!$A$4:$A$810),NA(),IFERROR(LOOKUP(2,1/(('Match Log'!$D$4:$D$810=$W$24)*('Match Log'!$A$4:$A$810&lt;=$J140)),'Match Log'!$N$4:$N$810),NA()))</f>
        <v>1030.3815983388336</v>
      </c>
      <c r="X140" t="e">
        <f>IF($J140&gt;MAX('Match Log'!$A$4:$A$810),NA(),IFERROR(LOOKUP(2,1/(('Match Log'!$D$4:$D$810=$X$24)*('Match Log'!$A$4:$A$810&lt;=$J140)),'Match Log'!$N$4:$N$810),NA()))</f>
        <v>#N/A</v>
      </c>
      <c r="Y140">
        <f t="shared" ca="1" si="27"/>
        <v>-0.60011600000000009</v>
      </c>
    </row>
    <row r="141" spans="1:25" ht="15" customHeight="1" x14ac:dyDescent="0.2">
      <c r="A141">
        <v>117</v>
      </c>
      <c r="B141">
        <f>IFERROR(INDEX('Match Log'!$B$4:$B$810,MATCH(117,'Match Log'!$A$4:$A$810,0)),"")</f>
        <v>46207</v>
      </c>
      <c r="C141" t="str">
        <f>IFERROR(INDEX('Match Log'!$C$4:$C$810,MATCH(117,'Match Log'!$A$4:$A$810,0)),"")</f>
        <v>Mario Kart</v>
      </c>
      <c r="D141" t="str">
        <f t="array" ref="D141">IFERROR(_xlfn.TEXTJOIN(" + ",TRUE,IF(('Match Log'!$A$4:$A$810=$A141)*('Match Log'!$E$4:$E$810="Win"),'Match Log'!$D$4:$D$810,"")),IFERROR(LOOKUP(2,1/(('Match Log'!$A$4:$A$810=$A141)*('Match Log'!$E$4:$E$810="Win")),'Match Log'!$D$4:$D$810),""))</f>
        <v>Oscar</v>
      </c>
      <c r="E141">
        <f>IFERROR(INDEX('Match Log'!$F$4:$F$810,MATCH(117,'Match Log'!$A$4:$A$810,0)),"")</f>
        <v>2</v>
      </c>
      <c r="F141">
        <f>IFERROR(SUMIFS('Match Log'!$I$4:$I$810,'Match Log'!$A$4:$A$810,117,'Match Log'!$E$4:$E$810,"Win"),"")</f>
        <v>0.83333333333333337</v>
      </c>
      <c r="G141">
        <f t="shared" si="25"/>
        <v>-0.66666666666666674</v>
      </c>
      <c r="H141" t="str">
        <f t="array" ref="H141">IFERROR(IF(COUNTIFS('Match Log'!$A$4:$A$810,$A141,'Match Log'!$E$4:$E$810,"Win")&gt;1,_xlfn.TEXTJOIN(" + ",TRUE,IF(('Match Log'!$A$4:$A$810=$A141)*('Match Log'!$E$4:$E$810="Loss"),'Match Log'!$D$4:$D$810,"")),IF($E141=2,LOOKUP(2,1/(('Match Log'!$A$4:$A$810=$A141)*('Match Log'!$E$4:$E$810="Loss")),'Match Log'!$D$4:$D$810),"the field")),"")</f>
        <v>Shawn</v>
      </c>
      <c r="I141">
        <f t="shared" si="26"/>
        <v>-0.66678366666666677</v>
      </c>
      <c r="J141">
        <v>117</v>
      </c>
      <c r="K141">
        <f>IF($J141&gt;MAX('Match Log'!$A$4:$A$810),NA(),IFERROR(LOOKUP(2,1/(('Match Log'!$D$4:$D$810=$K$24)*('Match Log'!$A$4:$A$810&lt;=$J141)),'Match Log'!$N$4:$N$810),NA()))</f>
        <v>1112.3077761293196</v>
      </c>
      <c r="L141">
        <f>IF($J141&gt;MAX('Match Log'!$A$4:$A$810),NA(),IFERROR(LOOKUP(2,1/(('Match Log'!$D$4:$D$810=$L$24)*('Match Log'!$A$4:$A$810&lt;=$J141)),'Match Log'!$N$4:$N$810),NA()))</f>
        <v>1029.2201908859522</v>
      </c>
      <c r="M141">
        <f>IF($J141&gt;MAX('Match Log'!$A$4:$A$810),NA(),IFERROR(LOOKUP(2,1/(('Match Log'!$D$4:$D$810=$M$24)*('Match Log'!$A$4:$A$810&lt;=$J141)),'Match Log'!$N$4:$N$810),NA()))</f>
        <v>1016.7837867075796</v>
      </c>
      <c r="N141">
        <f>IF($J141&gt;MAX('Match Log'!$A$4:$A$810),NA(),IFERROR(LOOKUP(2,1/(('Match Log'!$D$4:$D$810=$N$24)*('Match Log'!$A$4:$A$810&lt;=$J141)),'Match Log'!$N$4:$N$810),NA()))</f>
        <v>981.92436608474441</v>
      </c>
      <c r="O141">
        <f>IF($J141&gt;MAX('Match Log'!$A$4:$A$810),NA(),IFERROR(LOOKUP(2,1/(('Match Log'!$D$4:$D$810=$O$24)*('Match Log'!$A$4:$A$810&lt;=$J141)),'Match Log'!$N$4:$N$810),NA()))</f>
        <v>1129.7012289075892</v>
      </c>
      <c r="P141">
        <f>IF($J141&gt;MAX('Match Log'!$A$4:$A$810),NA(),IFERROR(LOOKUP(2,1/(('Match Log'!$D$4:$D$810=$P$24)*('Match Log'!$A$4:$A$810&lt;=$J141)),'Match Log'!$N$4:$N$810),NA()))</f>
        <v>960.13896954625932</v>
      </c>
      <c r="Q141">
        <f>IF($J141&gt;MAX('Match Log'!$A$4:$A$810),NA(),IFERROR(LOOKUP(2,1/(('Match Log'!$D$4:$D$810=$Q$24)*('Match Log'!$A$4:$A$810&lt;=$J141)),'Match Log'!$N$4:$N$810),NA()))</f>
        <v>1084.8903813508514</v>
      </c>
      <c r="R141">
        <f>IF($J141&gt;MAX('Match Log'!$A$4:$A$810),NA(),IFERROR(LOOKUP(2,1/(('Match Log'!$D$4:$D$810=$R$24)*('Match Log'!$A$4:$A$810&lt;=$J141)),'Match Log'!$N$4:$N$810),NA()))</f>
        <v>1046.7343560403631</v>
      </c>
      <c r="S141">
        <f>IF($J141&gt;MAX('Match Log'!$A$4:$A$810),NA(),IFERROR(LOOKUP(2,1/(('Match Log'!$D$4:$D$810=$S$24)*('Match Log'!$A$4:$A$810&lt;=$J141)),'Match Log'!$N$4:$N$810),NA()))</f>
        <v>1168.2113436007442</v>
      </c>
      <c r="T141">
        <f>IF($J141&gt;MAX('Match Log'!$A$4:$A$810),NA(),IFERROR(LOOKUP(2,1/(('Match Log'!$D$4:$D$810=$T$24)*('Match Log'!$A$4:$A$810&lt;=$J141)),'Match Log'!$N$4:$N$810),NA()))</f>
        <v>893.03675187725173</v>
      </c>
      <c r="U141">
        <f>IF($J141&gt;MAX('Match Log'!$A$4:$A$810),NA(),IFERROR(LOOKUP(2,1/(('Match Log'!$D$4:$D$810=$U$24)*('Match Log'!$A$4:$A$810&lt;=$J141)),'Match Log'!$N$4:$N$810),NA()))</f>
        <v>1119.4434021634604</v>
      </c>
      <c r="V141">
        <f>IF($J141&gt;MAX('Match Log'!$A$4:$A$810),NA(),IFERROR(LOOKUP(2,1/(('Match Log'!$D$4:$D$810=$V$24)*('Match Log'!$A$4:$A$810&lt;=$J141)),'Match Log'!$N$4:$N$810),NA()))</f>
        <v>1031.225848367051</v>
      </c>
      <c r="W141">
        <f>IF($J141&gt;MAX('Match Log'!$A$4:$A$810),NA(),IFERROR(LOOKUP(2,1/(('Match Log'!$D$4:$D$810=$W$24)*('Match Log'!$A$4:$A$810&lt;=$J141)),'Match Log'!$N$4:$N$810),NA()))</f>
        <v>1030.3815983388336</v>
      </c>
      <c r="X141" t="e">
        <f>IF($J141&gt;MAX('Match Log'!$A$4:$A$810),NA(),IFERROR(LOOKUP(2,1/(('Match Log'!$D$4:$D$810=$X$24)*('Match Log'!$A$4:$A$810&lt;=$J141)),'Match Log'!$N$4:$N$810),NA()))</f>
        <v>#N/A</v>
      </c>
      <c r="Y141">
        <f t="shared" ca="1" si="27"/>
        <v>-0.66678366666666677</v>
      </c>
    </row>
    <row r="142" spans="1:25" ht="15" customHeight="1" x14ac:dyDescent="0.2">
      <c r="A142">
        <v>118</v>
      </c>
      <c r="B142">
        <f>IFERROR(INDEX('Match Log'!$B$4:$B$810,MATCH(118,'Match Log'!$A$4:$A$810,0)),"")</f>
        <v>46207</v>
      </c>
      <c r="C142" t="str">
        <f>IFERROR(INDEX('Match Log'!$C$4:$C$810,MATCH(118,'Match Log'!$A$4:$A$810,0)),"")</f>
        <v>Mario Party</v>
      </c>
      <c r="D142" t="str">
        <f t="array" ref="D142">IFERROR(_xlfn.TEXTJOIN(" + ",TRUE,IF(('Match Log'!$A$4:$A$810=$A142)*('Match Log'!$E$4:$E$810="Win"),'Match Log'!$D$4:$D$810,"")),IFERROR(LOOKUP(2,1/(('Match Log'!$A$4:$A$810=$A142)*('Match Log'!$E$4:$E$810="Win")),'Match Log'!$D$4:$D$810),""))</f>
        <v>Oscar</v>
      </c>
      <c r="E142">
        <f>IFERROR(INDEX('Match Log'!$F$4:$F$810,MATCH(118,'Match Log'!$A$4:$A$810,0)),"")</f>
        <v>2</v>
      </c>
      <c r="F142">
        <f>IFERROR(SUMIFS('Match Log'!$I$4:$I$810,'Match Log'!$A$4:$A$810,118,'Match Log'!$E$4:$E$810,"Win"),"")</f>
        <v>0.4285714285714286</v>
      </c>
      <c r="G142">
        <f t="shared" si="25"/>
        <v>0.14285714285714279</v>
      </c>
      <c r="H142" t="str">
        <f t="array" ref="H142">IFERROR(IF(COUNTIFS('Match Log'!$A$4:$A$810,$A142,'Match Log'!$E$4:$E$810,"Win")&gt;1,_xlfn.TEXTJOIN(" + ",TRUE,IF(('Match Log'!$A$4:$A$810=$A142)*('Match Log'!$E$4:$E$810="Loss"),'Match Log'!$D$4:$D$810,"")),IF($E142=2,LOOKUP(2,1/(('Match Log'!$A$4:$A$810=$A142)*('Match Log'!$E$4:$E$810="Loss")),'Match Log'!$D$4:$D$810),"the field")),"")</f>
        <v>Shawn</v>
      </c>
      <c r="I142">
        <f t="shared" si="26"/>
        <v>0.14273914285714279</v>
      </c>
      <c r="J142">
        <v>118</v>
      </c>
      <c r="K142">
        <f>IF($J142&gt;MAX('Match Log'!$A$4:$A$810),NA(),IFERROR(LOOKUP(2,1/(('Match Log'!$D$4:$D$810=$K$24)*('Match Log'!$A$4:$A$810&lt;=$J142)),'Match Log'!$N$4:$N$810),NA()))</f>
        <v>1112.3077761293196</v>
      </c>
      <c r="L142">
        <f>IF($J142&gt;MAX('Match Log'!$A$4:$A$810),NA(),IFERROR(LOOKUP(2,1/(('Match Log'!$D$4:$D$810=$L$24)*('Match Log'!$A$4:$A$810&lt;=$J142)),'Match Log'!$N$4:$N$810),NA()))</f>
        <v>1029.2201908859522</v>
      </c>
      <c r="M142">
        <f>IF($J142&gt;MAX('Match Log'!$A$4:$A$810),NA(),IFERROR(LOOKUP(2,1/(('Match Log'!$D$4:$D$810=$M$24)*('Match Log'!$A$4:$A$810&lt;=$J142)),'Match Log'!$N$4:$N$810),NA()))</f>
        <v>1016.7837867075796</v>
      </c>
      <c r="N142">
        <f>IF($J142&gt;MAX('Match Log'!$A$4:$A$810),NA(),IFERROR(LOOKUP(2,1/(('Match Log'!$D$4:$D$810=$N$24)*('Match Log'!$A$4:$A$810&lt;=$J142)),'Match Log'!$N$4:$N$810),NA()))</f>
        <v>981.92436608474441</v>
      </c>
      <c r="O142">
        <f>IF($J142&gt;MAX('Match Log'!$A$4:$A$810),NA(),IFERROR(LOOKUP(2,1/(('Match Log'!$D$4:$D$810=$O$24)*('Match Log'!$A$4:$A$810&lt;=$J142)),'Match Log'!$N$4:$N$810),NA()))</f>
        <v>1129.7012289075892</v>
      </c>
      <c r="P142">
        <f>IF($J142&gt;MAX('Match Log'!$A$4:$A$810),NA(),IFERROR(LOOKUP(2,1/(('Match Log'!$D$4:$D$810=$P$24)*('Match Log'!$A$4:$A$810&lt;=$J142)),'Match Log'!$N$4:$N$810),NA()))</f>
        <v>942.18333246120994</v>
      </c>
      <c r="Q142">
        <f>IF($J142&gt;MAX('Match Log'!$A$4:$A$810),NA(),IFERROR(LOOKUP(2,1/(('Match Log'!$D$4:$D$810=$Q$24)*('Match Log'!$A$4:$A$810&lt;=$J142)),'Match Log'!$N$4:$N$810),NA()))</f>
        <v>1084.8903813508514</v>
      </c>
      <c r="R142">
        <f>IF($J142&gt;MAX('Match Log'!$A$4:$A$810),NA(),IFERROR(LOOKUP(2,1/(('Match Log'!$D$4:$D$810=$R$24)*('Match Log'!$A$4:$A$810&lt;=$J142)),'Match Log'!$N$4:$N$810),NA()))</f>
        <v>1046.7343560403631</v>
      </c>
      <c r="S142">
        <f>IF($J142&gt;MAX('Match Log'!$A$4:$A$810),NA(),IFERROR(LOOKUP(2,1/(('Match Log'!$D$4:$D$810=$S$24)*('Match Log'!$A$4:$A$810&lt;=$J142)),'Match Log'!$N$4:$N$810),NA()))</f>
        <v>1168.2113436007442</v>
      </c>
      <c r="T142">
        <f>IF($J142&gt;MAX('Match Log'!$A$4:$A$810),NA(),IFERROR(LOOKUP(2,1/(('Match Log'!$D$4:$D$810=$T$24)*('Match Log'!$A$4:$A$810&lt;=$J142)),'Match Log'!$N$4:$N$810),NA()))</f>
        <v>893.03675187725173</v>
      </c>
      <c r="U142">
        <f>IF($J142&gt;MAX('Match Log'!$A$4:$A$810),NA(),IFERROR(LOOKUP(2,1/(('Match Log'!$D$4:$D$810=$U$24)*('Match Log'!$A$4:$A$810&lt;=$J142)),'Match Log'!$N$4:$N$810),NA()))</f>
        <v>1137.3990392485098</v>
      </c>
      <c r="V142">
        <f>IF($J142&gt;MAX('Match Log'!$A$4:$A$810),NA(),IFERROR(LOOKUP(2,1/(('Match Log'!$D$4:$D$810=$V$24)*('Match Log'!$A$4:$A$810&lt;=$J142)),'Match Log'!$N$4:$N$810),NA()))</f>
        <v>1031.225848367051</v>
      </c>
      <c r="W142">
        <f>IF($J142&gt;MAX('Match Log'!$A$4:$A$810),NA(),IFERROR(LOOKUP(2,1/(('Match Log'!$D$4:$D$810=$W$24)*('Match Log'!$A$4:$A$810&lt;=$J142)),'Match Log'!$N$4:$N$810),NA()))</f>
        <v>1030.3815983388336</v>
      </c>
      <c r="X142" t="e">
        <f>IF($J142&gt;MAX('Match Log'!$A$4:$A$810),NA(),IFERROR(LOOKUP(2,1/(('Match Log'!$D$4:$D$810=$X$24)*('Match Log'!$A$4:$A$810&lt;=$J142)),'Match Log'!$N$4:$N$810),NA()))</f>
        <v>#N/A</v>
      </c>
      <c r="Y142">
        <f t="shared" ca="1" si="27"/>
        <v>0.14273914285714279</v>
      </c>
    </row>
    <row r="143" spans="1:25" ht="15" customHeight="1" x14ac:dyDescent="0.2">
      <c r="A143">
        <v>119</v>
      </c>
      <c r="B143">
        <f>IFERROR(INDEX('Match Log'!$B$4:$B$810,MATCH(119,'Match Log'!$A$4:$A$810,0)),"")</f>
        <v>46208</v>
      </c>
      <c r="C143" t="str">
        <f>IFERROR(INDEX('Match Log'!$C$4:$C$810,MATCH(119,'Match Log'!$A$4:$A$810,0)),"")</f>
        <v>Table Tennis</v>
      </c>
      <c r="D143" t="str">
        <f t="array" ref="D143">IFERROR(_xlfn.TEXTJOIN(" + ",TRUE,IF(('Match Log'!$A$4:$A$810=$A143)*('Match Log'!$E$4:$E$810="Win"),'Match Log'!$D$4:$D$810,"")),IFERROR(LOOKUP(2,1/(('Match Log'!$A$4:$A$810=$A143)*('Match Log'!$E$4:$E$810="Win")),'Match Log'!$D$4:$D$810),""))</f>
        <v>Shawn</v>
      </c>
      <c r="E143">
        <f>IFERROR(INDEX('Match Log'!$F$4:$F$810,MATCH(119,'Match Log'!$A$4:$A$810,0)),"")</f>
        <v>2</v>
      </c>
      <c r="F143">
        <f>IFERROR(SUMIFS('Match Log'!$I$4:$I$810,'Match Log'!$A$4:$A$810,119,'Match Log'!$E$4:$E$810,"Win"),"")</f>
        <v>0.59770114942528729</v>
      </c>
      <c r="G143">
        <f t="shared" si="25"/>
        <v>-0.19540229885057459</v>
      </c>
      <c r="H143" t="str">
        <f t="array" ref="H143">IFERROR(IF(COUNTIFS('Match Log'!$A$4:$A$810,$A143,'Match Log'!$E$4:$E$810,"Win")&gt;1,_xlfn.TEXTJOIN(" + ",TRUE,IF(('Match Log'!$A$4:$A$810=$A143)*('Match Log'!$E$4:$E$810="Loss"),'Match Log'!$D$4:$D$810,"")),IF($E143=2,LOOKUP(2,1/(('Match Log'!$A$4:$A$810=$A143)*('Match Log'!$E$4:$E$810="Loss")),'Match Log'!$D$4:$D$810),"the field")),"")</f>
        <v>Oscar</v>
      </c>
      <c r="I143">
        <f t="shared" si="26"/>
        <v>-0.19552129885057459</v>
      </c>
      <c r="J143">
        <v>119</v>
      </c>
      <c r="K143">
        <f>IF($J143&gt;MAX('Match Log'!$A$4:$A$810),NA(),IFERROR(LOOKUP(2,1/(('Match Log'!$D$4:$D$810=$K$24)*('Match Log'!$A$4:$A$810&lt;=$J143)),'Match Log'!$N$4:$N$810),NA()))</f>
        <v>1112.3077761293196</v>
      </c>
      <c r="L143">
        <f>IF($J143&gt;MAX('Match Log'!$A$4:$A$810),NA(),IFERROR(LOOKUP(2,1/(('Match Log'!$D$4:$D$810=$L$24)*('Match Log'!$A$4:$A$810&lt;=$J143)),'Match Log'!$N$4:$N$810),NA()))</f>
        <v>1029.2201908859522</v>
      </c>
      <c r="M143">
        <f>IF($J143&gt;MAX('Match Log'!$A$4:$A$810),NA(),IFERROR(LOOKUP(2,1/(('Match Log'!$D$4:$D$810=$M$24)*('Match Log'!$A$4:$A$810&lt;=$J143)),'Match Log'!$N$4:$N$810),NA()))</f>
        <v>1016.7837867075796</v>
      </c>
      <c r="N143">
        <f>IF($J143&gt;MAX('Match Log'!$A$4:$A$810),NA(),IFERROR(LOOKUP(2,1/(('Match Log'!$D$4:$D$810=$N$24)*('Match Log'!$A$4:$A$810&lt;=$J143)),'Match Log'!$N$4:$N$810),NA()))</f>
        <v>981.92436608474441</v>
      </c>
      <c r="O143">
        <f>IF($J143&gt;MAX('Match Log'!$A$4:$A$810),NA(),IFERROR(LOOKUP(2,1/(('Match Log'!$D$4:$D$810=$O$24)*('Match Log'!$A$4:$A$810&lt;=$J143)),'Match Log'!$N$4:$N$810),NA()))</f>
        <v>1129.7012289075892</v>
      </c>
      <c r="P143">
        <f>IF($J143&gt;MAX('Match Log'!$A$4:$A$810),NA(),IFERROR(LOOKUP(2,1/(('Match Log'!$D$4:$D$810=$P$24)*('Match Log'!$A$4:$A$810&lt;=$J143)),'Match Log'!$N$4:$N$810),NA()))</f>
        <v>966.88282707977726</v>
      </c>
      <c r="Q143">
        <f>IF($J143&gt;MAX('Match Log'!$A$4:$A$810),NA(),IFERROR(LOOKUP(2,1/(('Match Log'!$D$4:$D$810=$Q$24)*('Match Log'!$A$4:$A$810&lt;=$J143)),'Match Log'!$N$4:$N$810),NA()))</f>
        <v>1084.8903813508514</v>
      </c>
      <c r="R143">
        <f>IF($J143&gt;MAX('Match Log'!$A$4:$A$810),NA(),IFERROR(LOOKUP(2,1/(('Match Log'!$D$4:$D$810=$R$24)*('Match Log'!$A$4:$A$810&lt;=$J143)),'Match Log'!$N$4:$N$810),NA()))</f>
        <v>1046.7343560403631</v>
      </c>
      <c r="S143">
        <f>IF($J143&gt;MAX('Match Log'!$A$4:$A$810),NA(),IFERROR(LOOKUP(2,1/(('Match Log'!$D$4:$D$810=$S$24)*('Match Log'!$A$4:$A$810&lt;=$J143)),'Match Log'!$N$4:$N$810),NA()))</f>
        <v>1168.2113436007442</v>
      </c>
      <c r="T143">
        <f>IF($J143&gt;MAX('Match Log'!$A$4:$A$810),NA(),IFERROR(LOOKUP(2,1/(('Match Log'!$D$4:$D$810=$T$24)*('Match Log'!$A$4:$A$810&lt;=$J143)),'Match Log'!$N$4:$N$810),NA()))</f>
        <v>893.03675187725173</v>
      </c>
      <c r="U143">
        <f>IF($J143&gt;MAX('Match Log'!$A$4:$A$810),NA(),IFERROR(LOOKUP(2,1/(('Match Log'!$D$4:$D$810=$U$24)*('Match Log'!$A$4:$A$810&lt;=$J143)),'Match Log'!$N$4:$N$810),NA()))</f>
        <v>1112.6995446299425</v>
      </c>
      <c r="V143">
        <f>IF($J143&gt;MAX('Match Log'!$A$4:$A$810),NA(),IFERROR(LOOKUP(2,1/(('Match Log'!$D$4:$D$810=$V$24)*('Match Log'!$A$4:$A$810&lt;=$J143)),'Match Log'!$N$4:$N$810),NA()))</f>
        <v>1031.225848367051</v>
      </c>
      <c r="W143">
        <f>IF($J143&gt;MAX('Match Log'!$A$4:$A$810),NA(),IFERROR(LOOKUP(2,1/(('Match Log'!$D$4:$D$810=$W$24)*('Match Log'!$A$4:$A$810&lt;=$J143)),'Match Log'!$N$4:$N$810),NA()))</f>
        <v>1030.3815983388336</v>
      </c>
      <c r="X143" t="e">
        <f>IF($J143&gt;MAX('Match Log'!$A$4:$A$810),NA(),IFERROR(LOOKUP(2,1/(('Match Log'!$D$4:$D$810=$X$24)*('Match Log'!$A$4:$A$810&lt;=$J143)),'Match Log'!$N$4:$N$810),NA()))</f>
        <v>#N/A</v>
      </c>
      <c r="Y143">
        <f t="shared" ca="1" si="27"/>
        <v>-0.19552129885057459</v>
      </c>
    </row>
    <row r="144" spans="1:25" ht="15" customHeight="1" x14ac:dyDescent="0.2">
      <c r="A144">
        <v>120</v>
      </c>
      <c r="B144">
        <f>IFERROR(INDEX('Match Log'!$B$4:$B$810,MATCH(120,'Match Log'!$A$4:$A$810,0)),"")</f>
        <v>46208</v>
      </c>
      <c r="C144" t="str">
        <f>IFERROR(INDEX('Match Log'!$C$4:$C$810,MATCH(120,'Match Log'!$A$4:$A$810,0)),"")</f>
        <v>Table Tennis</v>
      </c>
      <c r="D144" t="str">
        <f t="array" ref="D144">IFERROR(_xlfn.TEXTJOIN(" + ",TRUE,IF(('Match Log'!$A$4:$A$810=$A144)*('Match Log'!$E$4:$E$810="Win"),'Match Log'!$D$4:$D$810,"")),IFERROR(LOOKUP(2,1/(('Match Log'!$A$4:$A$810=$A144)*('Match Log'!$E$4:$E$810="Win")),'Match Log'!$D$4:$D$810),""))</f>
        <v>Shawn</v>
      </c>
      <c r="E144">
        <f>IFERROR(INDEX('Match Log'!$F$4:$F$810,MATCH(120,'Match Log'!$A$4:$A$810,0)),"")</f>
        <v>2</v>
      </c>
      <c r="F144">
        <f>IFERROR(SUMIFS('Match Log'!$I$4:$I$810,'Match Log'!$A$4:$A$810,120,'Match Log'!$E$4:$E$810,"Win"),"")</f>
        <v>0.625</v>
      </c>
      <c r="G144">
        <f t="shared" si="25"/>
        <v>-0.25</v>
      </c>
      <c r="H144" t="str">
        <f t="array" ref="H144">IFERROR(IF(COUNTIFS('Match Log'!$A$4:$A$810,$A144,'Match Log'!$E$4:$E$810,"Win")&gt;1,_xlfn.TEXTJOIN(" + ",TRUE,IF(('Match Log'!$A$4:$A$810=$A144)*('Match Log'!$E$4:$E$810="Loss"),'Match Log'!$D$4:$D$810,"")),IF($E144=2,LOOKUP(2,1/(('Match Log'!$A$4:$A$810=$A144)*('Match Log'!$E$4:$E$810="Loss")),'Match Log'!$D$4:$D$810),"the field")),"")</f>
        <v>Oscar</v>
      </c>
      <c r="I144">
        <f t="shared" si="26"/>
        <v>-0.25012000000000001</v>
      </c>
      <c r="J144">
        <v>120</v>
      </c>
      <c r="K144">
        <f>IF($J144&gt;MAX('Match Log'!$A$4:$A$810),NA(),IFERROR(LOOKUP(2,1/(('Match Log'!$D$4:$D$810=$K$24)*('Match Log'!$A$4:$A$810&lt;=$J144)),'Match Log'!$N$4:$N$810),NA()))</f>
        <v>1112.3077761293196</v>
      </c>
      <c r="L144">
        <f>IF($J144&gt;MAX('Match Log'!$A$4:$A$810),NA(),IFERROR(LOOKUP(2,1/(('Match Log'!$D$4:$D$810=$L$24)*('Match Log'!$A$4:$A$810&lt;=$J144)),'Match Log'!$N$4:$N$810),NA()))</f>
        <v>1029.2201908859522</v>
      </c>
      <c r="M144">
        <f>IF($J144&gt;MAX('Match Log'!$A$4:$A$810),NA(),IFERROR(LOOKUP(2,1/(('Match Log'!$D$4:$D$810=$M$24)*('Match Log'!$A$4:$A$810&lt;=$J144)),'Match Log'!$N$4:$N$810),NA()))</f>
        <v>1016.7837867075796</v>
      </c>
      <c r="N144">
        <f>IF($J144&gt;MAX('Match Log'!$A$4:$A$810),NA(),IFERROR(LOOKUP(2,1/(('Match Log'!$D$4:$D$810=$N$24)*('Match Log'!$A$4:$A$810&lt;=$J144)),'Match Log'!$N$4:$N$810),NA()))</f>
        <v>981.92436608474441</v>
      </c>
      <c r="O144">
        <f>IF($J144&gt;MAX('Match Log'!$A$4:$A$810),NA(),IFERROR(LOOKUP(2,1/(('Match Log'!$D$4:$D$810=$O$24)*('Match Log'!$A$4:$A$810&lt;=$J144)),'Match Log'!$N$4:$N$810),NA()))</f>
        <v>1129.7012289075892</v>
      </c>
      <c r="P144">
        <f>IF($J144&gt;MAX('Match Log'!$A$4:$A$810),NA(),IFERROR(LOOKUP(2,1/(('Match Log'!$D$4:$D$810=$P$24)*('Match Log'!$A$4:$A$810&lt;=$J144)),'Match Log'!$N$4:$N$810),NA()))</f>
        <v>989.12415503039074</v>
      </c>
      <c r="Q144">
        <f>IF($J144&gt;MAX('Match Log'!$A$4:$A$810),NA(),IFERROR(LOOKUP(2,1/(('Match Log'!$D$4:$D$810=$Q$24)*('Match Log'!$A$4:$A$810&lt;=$J144)),'Match Log'!$N$4:$N$810),NA()))</f>
        <v>1084.8903813508514</v>
      </c>
      <c r="R144">
        <f>IF($J144&gt;MAX('Match Log'!$A$4:$A$810),NA(),IFERROR(LOOKUP(2,1/(('Match Log'!$D$4:$D$810=$R$24)*('Match Log'!$A$4:$A$810&lt;=$J144)),'Match Log'!$N$4:$N$810),NA()))</f>
        <v>1046.7343560403631</v>
      </c>
      <c r="S144">
        <f>IF($J144&gt;MAX('Match Log'!$A$4:$A$810),NA(),IFERROR(LOOKUP(2,1/(('Match Log'!$D$4:$D$810=$S$24)*('Match Log'!$A$4:$A$810&lt;=$J144)),'Match Log'!$N$4:$N$810),NA()))</f>
        <v>1168.2113436007442</v>
      </c>
      <c r="T144">
        <f>IF($J144&gt;MAX('Match Log'!$A$4:$A$810),NA(),IFERROR(LOOKUP(2,1/(('Match Log'!$D$4:$D$810=$T$24)*('Match Log'!$A$4:$A$810&lt;=$J144)),'Match Log'!$N$4:$N$810),NA()))</f>
        <v>893.03675187725173</v>
      </c>
      <c r="U144">
        <f>IF($J144&gt;MAX('Match Log'!$A$4:$A$810),NA(),IFERROR(LOOKUP(2,1/(('Match Log'!$D$4:$D$810=$U$24)*('Match Log'!$A$4:$A$810&lt;=$J144)),'Match Log'!$N$4:$N$810),NA()))</f>
        <v>1090.4582166793289</v>
      </c>
      <c r="V144">
        <f>IF($J144&gt;MAX('Match Log'!$A$4:$A$810),NA(),IFERROR(LOOKUP(2,1/(('Match Log'!$D$4:$D$810=$V$24)*('Match Log'!$A$4:$A$810&lt;=$J144)),'Match Log'!$N$4:$N$810),NA()))</f>
        <v>1031.225848367051</v>
      </c>
      <c r="W144">
        <f>IF($J144&gt;MAX('Match Log'!$A$4:$A$810),NA(),IFERROR(LOOKUP(2,1/(('Match Log'!$D$4:$D$810=$W$24)*('Match Log'!$A$4:$A$810&lt;=$J144)),'Match Log'!$N$4:$N$810),NA()))</f>
        <v>1030.3815983388336</v>
      </c>
      <c r="X144" t="e">
        <f>IF($J144&gt;MAX('Match Log'!$A$4:$A$810),NA(),IFERROR(LOOKUP(2,1/(('Match Log'!$D$4:$D$810=$X$24)*('Match Log'!$A$4:$A$810&lt;=$J144)),'Match Log'!$N$4:$N$810),NA()))</f>
        <v>#N/A</v>
      </c>
      <c r="Y144">
        <f t="shared" ca="1" si="27"/>
        <v>-0.25012000000000001</v>
      </c>
    </row>
    <row r="145" spans="1:25" x14ac:dyDescent="0.2">
      <c r="A145">
        <v>121</v>
      </c>
      <c r="B145">
        <f>IFERROR(INDEX('Match Log'!$B$4:$B$810,MATCH(121,'Match Log'!$A$4:$A$810,0)),"")</f>
        <v>46208</v>
      </c>
      <c r="C145" t="str">
        <f>IFERROR(INDEX('Match Log'!$C$4:$C$810,MATCH(121,'Match Log'!$A$4:$A$810,0)),"")</f>
        <v>Mario Party</v>
      </c>
      <c r="D145" t="str">
        <f t="array" ref="D145">IFERROR(_xlfn.TEXTJOIN(" + ",TRUE,IF(('Match Log'!$A$4:$A$810=$A145)*('Match Log'!$E$4:$E$810="Win"),'Match Log'!$D$4:$D$810,"")),IFERROR(LOOKUP(2,1/(('Match Log'!$A$4:$A$810=$A145)*('Match Log'!$E$4:$E$810="Win")),'Match Log'!$D$4:$D$810),""))</f>
        <v>Daniel (Ferret)</v>
      </c>
      <c r="E145">
        <f>IFERROR(INDEX('Match Log'!$F$4:$F$810,MATCH(121,'Match Log'!$A$4:$A$810,0)),"")</f>
        <v>2</v>
      </c>
      <c r="F145">
        <f>IFERROR(SUMIFS('Match Log'!$I$4:$I$810,'Match Log'!$A$4:$A$810,121,'Match Log'!$E$4:$E$810,"Win"),"")</f>
        <v>0.73684210526315785</v>
      </c>
      <c r="G145">
        <f t="shared" ref="G145:G208" si="28">IF($D145="","",1-$F145*$E145)</f>
        <v>-0.47368421052631571</v>
      </c>
      <c r="H145" t="str">
        <f t="array" ref="H145">IFERROR(IF(COUNTIFS('Match Log'!$A$4:$A$810,$A145,'Match Log'!$E$4:$E$810,"Win")&gt;1,_xlfn.TEXTJOIN(" + ",TRUE,IF(('Match Log'!$A$4:$A$810=$A145)*('Match Log'!$E$4:$E$810="Loss"),'Match Log'!$D$4:$D$810,"")),IF($E145=2,LOOKUP(2,1/(('Match Log'!$A$4:$A$810=$A145)*('Match Log'!$E$4:$E$810="Loss")),'Match Log'!$D$4:$D$810),"the field")),"")</f>
        <v>Shawn</v>
      </c>
      <c r="I145">
        <f t="shared" ref="I145:I208" si="29">IF($G145="","",$G145-$A145/1000000)</f>
        <v>-0.47380521052631569</v>
      </c>
      <c r="J145">
        <v>121</v>
      </c>
      <c r="K145">
        <f>IF($J145&gt;MAX('Match Log'!$A$4:$A$810),NA(),IFERROR(LOOKUP(2,1/(('Match Log'!$D$4:$D$810=$K$24)*('Match Log'!$A$4:$A$810&lt;=$J145)),'Match Log'!$N$4:$N$810),NA()))</f>
        <v>1112.3077761293196</v>
      </c>
      <c r="L145">
        <f>IF($J145&gt;MAX('Match Log'!$A$4:$A$810),NA(),IFERROR(LOOKUP(2,1/(('Match Log'!$D$4:$D$810=$L$24)*('Match Log'!$A$4:$A$810&lt;=$J145)),'Match Log'!$N$4:$N$810),NA()))</f>
        <v>1029.2201908859522</v>
      </c>
      <c r="M145">
        <f>IF($J145&gt;MAX('Match Log'!$A$4:$A$810),NA(),IFERROR(LOOKUP(2,1/(('Match Log'!$D$4:$D$810=$M$24)*('Match Log'!$A$4:$A$810&lt;=$J145)),'Match Log'!$N$4:$N$810),NA()))</f>
        <v>1016.7837867075796</v>
      </c>
      <c r="N145">
        <f>IF($J145&gt;MAX('Match Log'!$A$4:$A$810),NA(),IFERROR(LOOKUP(2,1/(('Match Log'!$D$4:$D$810=$N$24)*('Match Log'!$A$4:$A$810&lt;=$J145)),'Match Log'!$N$4:$N$810),NA()))</f>
        <v>981.92436608474441</v>
      </c>
      <c r="O145">
        <f>IF($J145&gt;MAX('Match Log'!$A$4:$A$810),NA(),IFERROR(LOOKUP(2,1/(('Match Log'!$D$4:$D$810=$O$24)*('Match Log'!$A$4:$A$810&lt;=$J145)),'Match Log'!$N$4:$N$810),NA()))</f>
        <v>1129.7012289075892</v>
      </c>
      <c r="P145">
        <f>IF($J145&gt;MAX('Match Log'!$A$4:$A$810),NA(),IFERROR(LOOKUP(2,1/(('Match Log'!$D$4:$D$810=$P$24)*('Match Log'!$A$4:$A$810&lt;=$J145)),'Match Log'!$N$4:$N$810),NA()))</f>
        <v>973.0353523079342</v>
      </c>
      <c r="Q145">
        <f>IF($J145&gt;MAX('Match Log'!$A$4:$A$810),NA(),IFERROR(LOOKUP(2,1/(('Match Log'!$D$4:$D$810=$Q$24)*('Match Log'!$A$4:$A$810&lt;=$J145)),'Match Log'!$N$4:$N$810),NA()))</f>
        <v>1084.8903813508514</v>
      </c>
      <c r="R145">
        <f>IF($J145&gt;MAX('Match Log'!$A$4:$A$810),NA(),IFERROR(LOOKUP(2,1/(('Match Log'!$D$4:$D$810=$R$24)*('Match Log'!$A$4:$A$810&lt;=$J145)),'Match Log'!$N$4:$N$810),NA()))</f>
        <v>1062.8231587628195</v>
      </c>
      <c r="S145">
        <f>IF($J145&gt;MAX('Match Log'!$A$4:$A$810),NA(),IFERROR(LOOKUP(2,1/(('Match Log'!$D$4:$D$810=$S$24)*('Match Log'!$A$4:$A$810&lt;=$J145)),'Match Log'!$N$4:$N$810),NA()))</f>
        <v>1168.2113436007442</v>
      </c>
      <c r="T145">
        <f>IF($J145&gt;MAX('Match Log'!$A$4:$A$810),NA(),IFERROR(LOOKUP(2,1/(('Match Log'!$D$4:$D$810=$T$24)*('Match Log'!$A$4:$A$810&lt;=$J145)),'Match Log'!$N$4:$N$810),NA()))</f>
        <v>893.03675187725173</v>
      </c>
      <c r="U145">
        <f>IF($J145&gt;MAX('Match Log'!$A$4:$A$810),NA(),IFERROR(LOOKUP(2,1/(('Match Log'!$D$4:$D$810=$U$24)*('Match Log'!$A$4:$A$810&lt;=$J145)),'Match Log'!$N$4:$N$810),NA()))</f>
        <v>1090.4582166793289</v>
      </c>
      <c r="V145">
        <f>IF($J145&gt;MAX('Match Log'!$A$4:$A$810),NA(),IFERROR(LOOKUP(2,1/(('Match Log'!$D$4:$D$810=$V$24)*('Match Log'!$A$4:$A$810&lt;=$J145)),'Match Log'!$N$4:$N$810),NA()))</f>
        <v>1031.225848367051</v>
      </c>
      <c r="W145">
        <f>IF($J145&gt;MAX('Match Log'!$A$4:$A$810),NA(),IFERROR(LOOKUP(2,1/(('Match Log'!$D$4:$D$810=$W$24)*('Match Log'!$A$4:$A$810&lt;=$J145)),'Match Log'!$N$4:$N$810),NA()))</f>
        <v>1030.3815983388336</v>
      </c>
      <c r="X145" t="e">
        <f>IF($J145&gt;MAX('Match Log'!$A$4:$A$810),NA(),IFERROR(LOOKUP(2,1/(('Match Log'!$D$4:$D$810=$X$24)*('Match Log'!$A$4:$A$810&lt;=$J145)),'Match Log'!$N$4:$N$810),NA()))</f>
        <v>#N/A</v>
      </c>
      <c r="Y145">
        <f t="shared" ref="Y145:Y208" ca="1" si="30">IF(AND($B145&lt;&gt;"",$B145&gt;=$B$5,$I145&lt;&gt;""),$I145,"")</f>
        <v>-0.47380521052631569</v>
      </c>
    </row>
    <row r="146" spans="1:25" x14ac:dyDescent="0.2">
      <c r="A146">
        <v>122</v>
      </c>
      <c r="B146">
        <f>IFERROR(INDEX('Match Log'!$B$4:$B$810,MATCH(122,'Match Log'!$A$4:$A$810,0)),"")</f>
        <v>46208</v>
      </c>
      <c r="C146" t="str">
        <f>IFERROR(INDEX('Match Log'!$C$4:$C$810,MATCH(122,'Match Log'!$A$4:$A$810,0)),"")</f>
        <v>Mario Party</v>
      </c>
      <c r="D146" t="str">
        <f t="array" ref="D146">IFERROR(_xlfn.TEXTJOIN(" + ",TRUE,IF(('Match Log'!$A$4:$A$810=$A146)*('Match Log'!$E$4:$E$810="Win"),'Match Log'!$D$4:$D$810,"")),IFERROR(LOOKUP(2,1/(('Match Log'!$A$4:$A$810=$A146)*('Match Log'!$E$4:$E$810="Win")),'Match Log'!$D$4:$D$810),""))</f>
        <v>Shawn</v>
      </c>
      <c r="E146">
        <f>IFERROR(INDEX('Match Log'!$F$4:$F$810,MATCH(122,'Match Log'!$A$4:$A$810,0)),"")</f>
        <v>2</v>
      </c>
      <c r="F146">
        <f>IFERROR(SUMIFS('Match Log'!$I$4:$I$810,'Match Log'!$A$4:$A$810,122,'Match Log'!$E$4:$E$810,"Win"),"")</f>
        <v>0.23076923076923073</v>
      </c>
      <c r="G146">
        <f t="shared" si="28"/>
        <v>0.53846153846153855</v>
      </c>
      <c r="H146" t="str">
        <f t="array" ref="H146">IFERROR(IF(COUNTIFS('Match Log'!$A$4:$A$810,$A146,'Match Log'!$E$4:$E$810,"Win")&gt;1,_xlfn.TEXTJOIN(" + ",TRUE,IF(('Match Log'!$A$4:$A$810=$A146)*('Match Log'!$E$4:$E$810="Loss"),'Match Log'!$D$4:$D$810,"")),IF($E146=2,LOOKUP(2,1/(('Match Log'!$A$4:$A$810=$A146)*('Match Log'!$E$4:$E$810="Loss")),'Match Log'!$D$4:$D$810),"the field")),"")</f>
        <v>Daniel (Ferret)</v>
      </c>
      <c r="I146">
        <f t="shared" si="29"/>
        <v>0.53833953846153859</v>
      </c>
      <c r="J146">
        <v>122</v>
      </c>
      <c r="K146">
        <f>IF($J146&gt;MAX('Match Log'!$A$4:$A$810),NA(),IFERROR(LOOKUP(2,1/(('Match Log'!$D$4:$D$810=$K$24)*('Match Log'!$A$4:$A$810&lt;=$J146)),'Match Log'!$N$4:$N$810),NA()))</f>
        <v>1112.3077761293196</v>
      </c>
      <c r="L146">
        <f>IF($J146&gt;MAX('Match Log'!$A$4:$A$810),NA(),IFERROR(LOOKUP(2,1/(('Match Log'!$D$4:$D$810=$L$24)*('Match Log'!$A$4:$A$810&lt;=$J146)),'Match Log'!$N$4:$N$810),NA()))</f>
        <v>1029.2201908859522</v>
      </c>
      <c r="M146">
        <f>IF($J146&gt;MAX('Match Log'!$A$4:$A$810),NA(),IFERROR(LOOKUP(2,1/(('Match Log'!$D$4:$D$810=$M$24)*('Match Log'!$A$4:$A$810&lt;=$J146)),'Match Log'!$N$4:$N$810),NA()))</f>
        <v>1016.7837867075796</v>
      </c>
      <c r="N146">
        <f>IF($J146&gt;MAX('Match Log'!$A$4:$A$810),NA(),IFERROR(LOOKUP(2,1/(('Match Log'!$D$4:$D$810=$N$24)*('Match Log'!$A$4:$A$810&lt;=$J146)),'Match Log'!$N$4:$N$810),NA()))</f>
        <v>981.92436608474441</v>
      </c>
      <c r="O146">
        <f>IF($J146&gt;MAX('Match Log'!$A$4:$A$810),NA(),IFERROR(LOOKUP(2,1/(('Match Log'!$D$4:$D$810=$O$24)*('Match Log'!$A$4:$A$810&lt;=$J146)),'Match Log'!$N$4:$N$810),NA()))</f>
        <v>1129.7012289075892</v>
      </c>
      <c r="P146">
        <f>IF($J146&gt;MAX('Match Log'!$A$4:$A$810),NA(),IFERROR(LOOKUP(2,1/(('Match Log'!$D$4:$D$810=$P$24)*('Match Log'!$A$4:$A$810&lt;=$J146)),'Match Log'!$N$4:$N$810),NA()))</f>
        <v>1002.6191995030379</v>
      </c>
      <c r="Q146">
        <f>IF($J146&gt;MAX('Match Log'!$A$4:$A$810),NA(),IFERROR(LOOKUP(2,1/(('Match Log'!$D$4:$D$810=$Q$24)*('Match Log'!$A$4:$A$810&lt;=$J146)),'Match Log'!$N$4:$N$810),NA()))</f>
        <v>1084.8903813508514</v>
      </c>
      <c r="R146">
        <f>IF($J146&gt;MAX('Match Log'!$A$4:$A$810),NA(),IFERROR(LOOKUP(2,1/(('Match Log'!$D$4:$D$810=$R$24)*('Match Log'!$A$4:$A$810&lt;=$J146)),'Match Log'!$N$4:$N$810),NA()))</f>
        <v>1033.2393115677157</v>
      </c>
      <c r="S146">
        <f>IF($J146&gt;MAX('Match Log'!$A$4:$A$810),NA(),IFERROR(LOOKUP(2,1/(('Match Log'!$D$4:$D$810=$S$24)*('Match Log'!$A$4:$A$810&lt;=$J146)),'Match Log'!$N$4:$N$810),NA()))</f>
        <v>1168.2113436007442</v>
      </c>
      <c r="T146">
        <f>IF($J146&gt;MAX('Match Log'!$A$4:$A$810),NA(),IFERROR(LOOKUP(2,1/(('Match Log'!$D$4:$D$810=$T$24)*('Match Log'!$A$4:$A$810&lt;=$J146)),'Match Log'!$N$4:$N$810),NA()))</f>
        <v>893.03675187725173</v>
      </c>
      <c r="U146">
        <f>IF($J146&gt;MAX('Match Log'!$A$4:$A$810),NA(),IFERROR(LOOKUP(2,1/(('Match Log'!$D$4:$D$810=$U$24)*('Match Log'!$A$4:$A$810&lt;=$J146)),'Match Log'!$N$4:$N$810),NA()))</f>
        <v>1090.4582166793289</v>
      </c>
      <c r="V146">
        <f>IF($J146&gt;MAX('Match Log'!$A$4:$A$810),NA(),IFERROR(LOOKUP(2,1/(('Match Log'!$D$4:$D$810=$V$24)*('Match Log'!$A$4:$A$810&lt;=$J146)),'Match Log'!$N$4:$N$810),NA()))</f>
        <v>1031.225848367051</v>
      </c>
      <c r="W146">
        <f>IF($J146&gt;MAX('Match Log'!$A$4:$A$810),NA(),IFERROR(LOOKUP(2,1/(('Match Log'!$D$4:$D$810=$W$24)*('Match Log'!$A$4:$A$810&lt;=$J146)),'Match Log'!$N$4:$N$810),NA()))</f>
        <v>1030.3815983388336</v>
      </c>
      <c r="X146" t="e">
        <f>IF($J146&gt;MAX('Match Log'!$A$4:$A$810),NA(),IFERROR(LOOKUP(2,1/(('Match Log'!$D$4:$D$810=$X$24)*('Match Log'!$A$4:$A$810&lt;=$J146)),'Match Log'!$N$4:$N$810),NA()))</f>
        <v>#N/A</v>
      </c>
      <c r="Y146">
        <f t="shared" ca="1" si="30"/>
        <v>0.53833953846153859</v>
      </c>
    </row>
    <row r="147" spans="1:25" x14ac:dyDescent="0.2">
      <c r="A147">
        <v>123</v>
      </c>
      <c r="B147">
        <f>IFERROR(INDEX('Match Log'!$B$4:$B$810,MATCH(123,'Match Log'!$A$4:$A$810,0)),"")</f>
        <v>46208</v>
      </c>
      <c r="C147" t="str">
        <f>IFERROR(INDEX('Match Log'!$C$4:$C$810,MATCH(123,'Match Log'!$A$4:$A$810,0)),"")</f>
        <v>Mario Party</v>
      </c>
      <c r="D147" t="str">
        <f t="array" ref="D147">IFERROR(_xlfn.TEXTJOIN(" + ",TRUE,IF(('Match Log'!$A$4:$A$810=$A147)*('Match Log'!$E$4:$E$810="Win"),'Match Log'!$D$4:$D$810,"")),IFERROR(LOOKUP(2,1/(('Match Log'!$A$4:$A$810=$A147)*('Match Log'!$E$4:$E$810="Win")),'Match Log'!$D$4:$D$810),""))</f>
        <v>Daniel (Ferret)</v>
      </c>
      <c r="E147">
        <f>IFERROR(INDEX('Match Log'!$F$4:$F$810,MATCH(123,'Match Log'!$A$4:$A$810,0)),"")</f>
        <v>2</v>
      </c>
      <c r="F147">
        <f>IFERROR(SUMIFS('Match Log'!$I$4:$I$810,'Match Log'!$A$4:$A$810,123,'Match Log'!$E$4:$E$810,"Win"),"")</f>
        <v>0.68181818181818177</v>
      </c>
      <c r="G147">
        <f t="shared" si="28"/>
        <v>-0.36363636363636354</v>
      </c>
      <c r="H147" t="str">
        <f t="array" ref="H147">IFERROR(IF(COUNTIFS('Match Log'!$A$4:$A$810,$A147,'Match Log'!$E$4:$E$810,"Win")&gt;1,_xlfn.TEXTJOIN(" + ",TRUE,IF(('Match Log'!$A$4:$A$810=$A147)*('Match Log'!$E$4:$E$810="Loss"),'Match Log'!$D$4:$D$810,"")),IF($E147=2,LOOKUP(2,1/(('Match Log'!$A$4:$A$810=$A147)*('Match Log'!$E$4:$E$810="Loss")),'Match Log'!$D$4:$D$810),"the field")),"")</f>
        <v>Shawn</v>
      </c>
      <c r="I147">
        <f t="shared" si="29"/>
        <v>-0.36375936363636352</v>
      </c>
      <c r="J147">
        <v>123</v>
      </c>
      <c r="K147">
        <f>IF($J147&gt;MAX('Match Log'!$A$4:$A$810),NA(),IFERROR(LOOKUP(2,1/(('Match Log'!$D$4:$D$810=$K$24)*('Match Log'!$A$4:$A$810&lt;=$J147)),'Match Log'!$N$4:$N$810),NA()))</f>
        <v>1112.3077761293196</v>
      </c>
      <c r="L147">
        <f>IF($J147&gt;MAX('Match Log'!$A$4:$A$810),NA(),IFERROR(LOOKUP(2,1/(('Match Log'!$D$4:$D$810=$L$24)*('Match Log'!$A$4:$A$810&lt;=$J147)),'Match Log'!$N$4:$N$810),NA()))</f>
        <v>1029.2201908859522</v>
      </c>
      <c r="M147">
        <f>IF($J147&gt;MAX('Match Log'!$A$4:$A$810),NA(),IFERROR(LOOKUP(2,1/(('Match Log'!$D$4:$D$810=$M$24)*('Match Log'!$A$4:$A$810&lt;=$J147)),'Match Log'!$N$4:$N$810),NA()))</f>
        <v>1016.7837867075796</v>
      </c>
      <c r="N147">
        <f>IF($J147&gt;MAX('Match Log'!$A$4:$A$810),NA(),IFERROR(LOOKUP(2,1/(('Match Log'!$D$4:$D$810=$N$24)*('Match Log'!$A$4:$A$810&lt;=$J147)),'Match Log'!$N$4:$N$810),NA()))</f>
        <v>981.92436608474441</v>
      </c>
      <c r="O147">
        <f>IF($J147&gt;MAX('Match Log'!$A$4:$A$810),NA(),IFERROR(LOOKUP(2,1/(('Match Log'!$D$4:$D$810=$O$24)*('Match Log'!$A$4:$A$810&lt;=$J147)),'Match Log'!$N$4:$N$810),NA()))</f>
        <v>1129.7012289075892</v>
      </c>
      <c r="P147">
        <f>IF($J147&gt;MAX('Match Log'!$A$4:$A$810),NA(),IFERROR(LOOKUP(2,1/(('Match Log'!$D$4:$D$810=$P$24)*('Match Log'!$A$4:$A$810&lt;=$J147)),'Match Log'!$N$4:$N$810),NA()))</f>
        <v>984.99505610331221</v>
      </c>
      <c r="Q147">
        <f>IF($J147&gt;MAX('Match Log'!$A$4:$A$810),NA(),IFERROR(LOOKUP(2,1/(('Match Log'!$D$4:$D$810=$Q$24)*('Match Log'!$A$4:$A$810&lt;=$J147)),'Match Log'!$N$4:$N$810),NA()))</f>
        <v>1084.8903813508514</v>
      </c>
      <c r="R147">
        <f>IF($J147&gt;MAX('Match Log'!$A$4:$A$810),NA(),IFERROR(LOOKUP(2,1/(('Match Log'!$D$4:$D$810=$R$24)*('Match Log'!$A$4:$A$810&lt;=$J147)),'Match Log'!$N$4:$N$810),NA()))</f>
        <v>1050.8634549674414</v>
      </c>
      <c r="S147">
        <f>IF($J147&gt;MAX('Match Log'!$A$4:$A$810),NA(),IFERROR(LOOKUP(2,1/(('Match Log'!$D$4:$D$810=$S$24)*('Match Log'!$A$4:$A$810&lt;=$J147)),'Match Log'!$N$4:$N$810),NA()))</f>
        <v>1168.2113436007442</v>
      </c>
      <c r="T147">
        <f>IF($J147&gt;MAX('Match Log'!$A$4:$A$810),NA(),IFERROR(LOOKUP(2,1/(('Match Log'!$D$4:$D$810=$T$24)*('Match Log'!$A$4:$A$810&lt;=$J147)),'Match Log'!$N$4:$N$810),NA()))</f>
        <v>893.03675187725173</v>
      </c>
      <c r="U147">
        <f>IF($J147&gt;MAX('Match Log'!$A$4:$A$810),NA(),IFERROR(LOOKUP(2,1/(('Match Log'!$D$4:$D$810=$U$24)*('Match Log'!$A$4:$A$810&lt;=$J147)),'Match Log'!$N$4:$N$810),NA()))</f>
        <v>1090.4582166793289</v>
      </c>
      <c r="V147">
        <f>IF($J147&gt;MAX('Match Log'!$A$4:$A$810),NA(),IFERROR(LOOKUP(2,1/(('Match Log'!$D$4:$D$810=$V$24)*('Match Log'!$A$4:$A$810&lt;=$J147)),'Match Log'!$N$4:$N$810),NA()))</f>
        <v>1031.225848367051</v>
      </c>
      <c r="W147">
        <f>IF($J147&gt;MAX('Match Log'!$A$4:$A$810),NA(),IFERROR(LOOKUP(2,1/(('Match Log'!$D$4:$D$810=$W$24)*('Match Log'!$A$4:$A$810&lt;=$J147)),'Match Log'!$N$4:$N$810),NA()))</f>
        <v>1030.3815983388336</v>
      </c>
      <c r="X147" t="e">
        <f>IF($J147&gt;MAX('Match Log'!$A$4:$A$810),NA(),IFERROR(LOOKUP(2,1/(('Match Log'!$D$4:$D$810=$X$24)*('Match Log'!$A$4:$A$810&lt;=$J147)),'Match Log'!$N$4:$N$810),NA()))</f>
        <v>#N/A</v>
      </c>
      <c r="Y147">
        <f t="shared" ca="1" si="30"/>
        <v>-0.36375936363636352</v>
      </c>
    </row>
    <row r="148" spans="1:25" x14ac:dyDescent="0.2">
      <c r="A148">
        <v>124</v>
      </c>
      <c r="B148">
        <f>IFERROR(INDEX('Match Log'!$B$4:$B$810,MATCH(124,'Match Log'!$A$4:$A$810,0)),"")</f>
        <v>46209</v>
      </c>
      <c r="C148" t="str">
        <f>IFERROR(INDEX('Match Log'!$C$4:$C$810,MATCH(124,'Match Log'!$A$4:$A$810,0)),"")</f>
        <v>FIFA</v>
      </c>
      <c r="D148" t="str">
        <f t="array" ref="D148">IFERROR(_xlfn.TEXTJOIN(" + ",TRUE,IF(('Match Log'!$A$4:$A$810=$A148)*('Match Log'!$E$4:$E$810="Win"),'Match Log'!$D$4:$D$810,"")),IFERROR(LOOKUP(2,1/(('Match Log'!$A$4:$A$810=$A148)*('Match Log'!$E$4:$E$810="Win")),'Match Log'!$D$4:$D$810),""))</f>
        <v>Shawn</v>
      </c>
      <c r="E148">
        <f>IFERROR(INDEX('Match Log'!$F$4:$F$810,MATCH(124,'Match Log'!$A$4:$A$810,0)),"")</f>
        <v>2</v>
      </c>
      <c r="F148">
        <f>IFERROR(SUMIFS('Match Log'!$I$4:$I$810,'Match Log'!$A$4:$A$810,124,'Match Log'!$E$4:$E$810,"Win"),"")</f>
        <v>0.48275862068965519</v>
      </c>
      <c r="G148">
        <f t="shared" si="28"/>
        <v>3.4482758620689613E-2</v>
      </c>
      <c r="H148" t="str">
        <f t="array" ref="H148">IFERROR(IF(COUNTIFS('Match Log'!$A$4:$A$810,$A148,'Match Log'!$E$4:$E$810,"Win")&gt;1,_xlfn.TEXTJOIN(" + ",TRUE,IF(('Match Log'!$A$4:$A$810=$A148)*('Match Log'!$E$4:$E$810="Loss"),'Match Log'!$D$4:$D$810,"")),IF($E148=2,LOOKUP(2,1/(('Match Log'!$A$4:$A$810=$A148)*('Match Log'!$E$4:$E$810="Loss")),'Match Log'!$D$4:$D$810),"the field")),"")</f>
        <v>Oscar</v>
      </c>
      <c r="I148">
        <f t="shared" si="29"/>
        <v>3.4358758620689614E-2</v>
      </c>
      <c r="J148">
        <v>124</v>
      </c>
      <c r="K148">
        <f>IF($J148&gt;MAX('Match Log'!$A$4:$A$810),NA(),IFERROR(LOOKUP(2,1/(('Match Log'!$D$4:$D$810=$K$24)*('Match Log'!$A$4:$A$810&lt;=$J148)),'Match Log'!$N$4:$N$810),NA()))</f>
        <v>1112.3077761293196</v>
      </c>
      <c r="L148">
        <f>IF($J148&gt;MAX('Match Log'!$A$4:$A$810),NA(),IFERROR(LOOKUP(2,1/(('Match Log'!$D$4:$D$810=$L$24)*('Match Log'!$A$4:$A$810&lt;=$J148)),'Match Log'!$N$4:$N$810),NA()))</f>
        <v>1029.2201908859522</v>
      </c>
      <c r="M148">
        <f>IF($J148&gt;MAX('Match Log'!$A$4:$A$810),NA(),IFERROR(LOOKUP(2,1/(('Match Log'!$D$4:$D$810=$M$24)*('Match Log'!$A$4:$A$810&lt;=$J148)),'Match Log'!$N$4:$N$810),NA()))</f>
        <v>1016.7837867075796</v>
      </c>
      <c r="N148">
        <f>IF($J148&gt;MAX('Match Log'!$A$4:$A$810),NA(),IFERROR(LOOKUP(2,1/(('Match Log'!$D$4:$D$810=$N$24)*('Match Log'!$A$4:$A$810&lt;=$J148)),'Match Log'!$N$4:$N$810),NA()))</f>
        <v>981.92436608474441</v>
      </c>
      <c r="O148">
        <f>IF($J148&gt;MAX('Match Log'!$A$4:$A$810),NA(),IFERROR(LOOKUP(2,1/(('Match Log'!$D$4:$D$810=$O$24)*('Match Log'!$A$4:$A$810&lt;=$J148)),'Match Log'!$N$4:$N$810),NA()))</f>
        <v>1129.7012289075892</v>
      </c>
      <c r="P148">
        <f>IF($J148&gt;MAX('Match Log'!$A$4:$A$810),NA(),IFERROR(LOOKUP(2,1/(('Match Log'!$D$4:$D$810=$P$24)*('Match Log'!$A$4:$A$810&lt;=$J148)),'Match Log'!$N$4:$N$810),NA()))</f>
        <v>1012.0650351160468</v>
      </c>
      <c r="Q148">
        <f>IF($J148&gt;MAX('Match Log'!$A$4:$A$810),NA(),IFERROR(LOOKUP(2,1/(('Match Log'!$D$4:$D$810=$Q$24)*('Match Log'!$A$4:$A$810&lt;=$J148)),'Match Log'!$N$4:$N$810),NA()))</f>
        <v>1084.8903813508514</v>
      </c>
      <c r="R148">
        <f>IF($J148&gt;MAX('Match Log'!$A$4:$A$810),NA(),IFERROR(LOOKUP(2,1/(('Match Log'!$D$4:$D$810=$R$24)*('Match Log'!$A$4:$A$810&lt;=$J148)),'Match Log'!$N$4:$N$810),NA()))</f>
        <v>1050.8634549674414</v>
      </c>
      <c r="S148">
        <f>IF($J148&gt;MAX('Match Log'!$A$4:$A$810),NA(),IFERROR(LOOKUP(2,1/(('Match Log'!$D$4:$D$810=$S$24)*('Match Log'!$A$4:$A$810&lt;=$J148)),'Match Log'!$N$4:$N$810),NA()))</f>
        <v>1168.2113436007442</v>
      </c>
      <c r="T148">
        <f>IF($J148&gt;MAX('Match Log'!$A$4:$A$810),NA(),IFERROR(LOOKUP(2,1/(('Match Log'!$D$4:$D$810=$T$24)*('Match Log'!$A$4:$A$810&lt;=$J148)),'Match Log'!$N$4:$N$810),NA()))</f>
        <v>893.03675187725173</v>
      </c>
      <c r="U148">
        <f>IF($J148&gt;MAX('Match Log'!$A$4:$A$810),NA(),IFERROR(LOOKUP(2,1/(('Match Log'!$D$4:$D$810=$U$24)*('Match Log'!$A$4:$A$810&lt;=$J148)),'Match Log'!$N$4:$N$810),NA()))</f>
        <v>1063.3882376665943</v>
      </c>
      <c r="V148">
        <f>IF($J148&gt;MAX('Match Log'!$A$4:$A$810),NA(),IFERROR(LOOKUP(2,1/(('Match Log'!$D$4:$D$810=$V$24)*('Match Log'!$A$4:$A$810&lt;=$J148)),'Match Log'!$N$4:$N$810),NA()))</f>
        <v>1031.225848367051</v>
      </c>
      <c r="W148">
        <f>IF($J148&gt;MAX('Match Log'!$A$4:$A$810),NA(),IFERROR(LOOKUP(2,1/(('Match Log'!$D$4:$D$810=$W$24)*('Match Log'!$A$4:$A$810&lt;=$J148)),'Match Log'!$N$4:$N$810),NA()))</f>
        <v>1030.3815983388336</v>
      </c>
      <c r="X148" t="e">
        <f>IF($J148&gt;MAX('Match Log'!$A$4:$A$810),NA(),IFERROR(LOOKUP(2,1/(('Match Log'!$D$4:$D$810=$X$24)*('Match Log'!$A$4:$A$810&lt;=$J148)),'Match Log'!$N$4:$N$810),NA()))</f>
        <v>#N/A</v>
      </c>
      <c r="Y148">
        <f t="shared" ca="1" si="30"/>
        <v>3.4358758620689614E-2</v>
      </c>
    </row>
    <row r="149" spans="1:25" x14ac:dyDescent="0.2">
      <c r="A149">
        <v>125</v>
      </c>
      <c r="B149">
        <f>IFERROR(INDEX('Match Log'!$B$4:$B$810,MATCH(125,'Match Log'!$A$4:$A$810,0)),"")</f>
        <v>46209</v>
      </c>
      <c r="C149" t="str">
        <f>IFERROR(INDEX('Match Log'!$C$4:$C$810,MATCH(125,'Match Log'!$A$4:$A$810,0)),"")</f>
        <v>FIFA</v>
      </c>
      <c r="D149" t="str">
        <f t="array" ref="D149">IFERROR(_xlfn.TEXTJOIN(" + ",TRUE,IF(('Match Log'!$A$4:$A$810=$A149)*('Match Log'!$E$4:$E$810="Win"),'Match Log'!$D$4:$D$810,"")),IFERROR(LOOKUP(2,1/(('Match Log'!$A$4:$A$810=$A149)*('Match Log'!$E$4:$E$810="Win")),'Match Log'!$D$4:$D$810),""))</f>
        <v>Oscar</v>
      </c>
      <c r="E149">
        <f>IFERROR(INDEX('Match Log'!$F$4:$F$810,MATCH(125,'Match Log'!$A$4:$A$810,0)),"")</f>
        <v>2</v>
      </c>
      <c r="F149">
        <f>IFERROR(SUMIFS('Match Log'!$I$4:$I$810,'Match Log'!$A$4:$A$810,125,'Match Log'!$E$4:$E$810,"Win"),"")</f>
        <v>0.4</v>
      </c>
      <c r="G149">
        <f t="shared" si="28"/>
        <v>0.19999999999999996</v>
      </c>
      <c r="H149" t="str">
        <f t="array" ref="H149">IFERROR(IF(COUNTIFS('Match Log'!$A$4:$A$810,$A149,'Match Log'!$E$4:$E$810,"Win")&gt;1,_xlfn.TEXTJOIN(" + ",TRUE,IF(('Match Log'!$A$4:$A$810=$A149)*('Match Log'!$E$4:$E$810="Loss"),'Match Log'!$D$4:$D$810,"")),IF($E149=2,LOOKUP(2,1/(('Match Log'!$A$4:$A$810=$A149)*('Match Log'!$E$4:$E$810="Loss")),'Match Log'!$D$4:$D$810),"the field")),"")</f>
        <v>Shawn</v>
      </c>
      <c r="I149">
        <f t="shared" si="29"/>
        <v>0.19987499999999997</v>
      </c>
      <c r="J149">
        <v>125</v>
      </c>
      <c r="K149">
        <f>IF($J149&gt;MAX('Match Log'!$A$4:$A$810),NA(),IFERROR(LOOKUP(2,1/(('Match Log'!$D$4:$D$810=$K$24)*('Match Log'!$A$4:$A$810&lt;=$J149)),'Match Log'!$N$4:$N$810),NA()))</f>
        <v>1112.3077761293196</v>
      </c>
      <c r="L149">
        <f>IF($J149&gt;MAX('Match Log'!$A$4:$A$810),NA(),IFERROR(LOOKUP(2,1/(('Match Log'!$D$4:$D$810=$L$24)*('Match Log'!$A$4:$A$810&lt;=$J149)),'Match Log'!$N$4:$N$810),NA()))</f>
        <v>1029.2201908859522</v>
      </c>
      <c r="M149">
        <f>IF($J149&gt;MAX('Match Log'!$A$4:$A$810),NA(),IFERROR(LOOKUP(2,1/(('Match Log'!$D$4:$D$810=$M$24)*('Match Log'!$A$4:$A$810&lt;=$J149)),'Match Log'!$N$4:$N$810),NA()))</f>
        <v>1016.7837867075796</v>
      </c>
      <c r="N149">
        <f>IF($J149&gt;MAX('Match Log'!$A$4:$A$810),NA(),IFERROR(LOOKUP(2,1/(('Match Log'!$D$4:$D$810=$N$24)*('Match Log'!$A$4:$A$810&lt;=$J149)),'Match Log'!$N$4:$N$810),NA()))</f>
        <v>981.92436608474441</v>
      </c>
      <c r="O149">
        <f>IF($J149&gt;MAX('Match Log'!$A$4:$A$810),NA(),IFERROR(LOOKUP(2,1/(('Match Log'!$D$4:$D$810=$O$24)*('Match Log'!$A$4:$A$810&lt;=$J149)),'Match Log'!$N$4:$N$810),NA()))</f>
        <v>1129.7012289075892</v>
      </c>
      <c r="P149">
        <f>IF($J149&gt;MAX('Match Log'!$A$4:$A$810),NA(),IFERROR(LOOKUP(2,1/(('Match Log'!$D$4:$D$810=$P$24)*('Match Log'!$A$4:$A$810&lt;=$J149)),'Match Log'!$N$4:$N$810),NA()))</f>
        <v>991.11004859453374</v>
      </c>
      <c r="Q149">
        <f>IF($J149&gt;MAX('Match Log'!$A$4:$A$810),NA(),IFERROR(LOOKUP(2,1/(('Match Log'!$D$4:$D$810=$Q$24)*('Match Log'!$A$4:$A$810&lt;=$J149)),'Match Log'!$N$4:$N$810),NA()))</f>
        <v>1084.8903813508514</v>
      </c>
      <c r="R149">
        <f>IF($J149&gt;MAX('Match Log'!$A$4:$A$810),NA(),IFERROR(LOOKUP(2,1/(('Match Log'!$D$4:$D$810=$R$24)*('Match Log'!$A$4:$A$810&lt;=$J149)),'Match Log'!$N$4:$N$810),NA()))</f>
        <v>1050.8634549674414</v>
      </c>
      <c r="S149">
        <f>IF($J149&gt;MAX('Match Log'!$A$4:$A$810),NA(),IFERROR(LOOKUP(2,1/(('Match Log'!$D$4:$D$810=$S$24)*('Match Log'!$A$4:$A$810&lt;=$J149)),'Match Log'!$N$4:$N$810),NA()))</f>
        <v>1168.2113436007442</v>
      </c>
      <c r="T149">
        <f>IF($J149&gt;MAX('Match Log'!$A$4:$A$810),NA(),IFERROR(LOOKUP(2,1/(('Match Log'!$D$4:$D$810=$T$24)*('Match Log'!$A$4:$A$810&lt;=$J149)),'Match Log'!$N$4:$N$810),NA()))</f>
        <v>893.03675187725173</v>
      </c>
      <c r="U149">
        <f>IF($J149&gt;MAX('Match Log'!$A$4:$A$810),NA(),IFERROR(LOOKUP(2,1/(('Match Log'!$D$4:$D$810=$U$24)*('Match Log'!$A$4:$A$810&lt;=$J149)),'Match Log'!$N$4:$N$810),NA()))</f>
        <v>1084.3432241881073</v>
      </c>
      <c r="V149">
        <f>IF($J149&gt;MAX('Match Log'!$A$4:$A$810),NA(),IFERROR(LOOKUP(2,1/(('Match Log'!$D$4:$D$810=$V$24)*('Match Log'!$A$4:$A$810&lt;=$J149)),'Match Log'!$N$4:$N$810),NA()))</f>
        <v>1031.225848367051</v>
      </c>
      <c r="W149">
        <f>IF($J149&gt;MAX('Match Log'!$A$4:$A$810),NA(),IFERROR(LOOKUP(2,1/(('Match Log'!$D$4:$D$810=$W$24)*('Match Log'!$A$4:$A$810&lt;=$J149)),'Match Log'!$N$4:$N$810),NA()))</f>
        <v>1030.3815983388336</v>
      </c>
      <c r="X149" t="e">
        <f>IF($J149&gt;MAX('Match Log'!$A$4:$A$810),NA(),IFERROR(LOOKUP(2,1/(('Match Log'!$D$4:$D$810=$X$24)*('Match Log'!$A$4:$A$810&lt;=$J149)),'Match Log'!$N$4:$N$810),NA()))</f>
        <v>#N/A</v>
      </c>
      <c r="Y149">
        <f t="shared" ca="1" si="30"/>
        <v>0.19987499999999997</v>
      </c>
    </row>
    <row r="150" spans="1:25" x14ac:dyDescent="0.2">
      <c r="A150">
        <v>126</v>
      </c>
      <c r="B150">
        <f>IFERROR(INDEX('Match Log'!$B$4:$B$810,MATCH(126,'Match Log'!$A$4:$A$810,0)),"")</f>
        <v>46209</v>
      </c>
      <c r="C150" t="str">
        <f>IFERROR(INDEX('Match Log'!$C$4:$C$810,MATCH(126,'Match Log'!$A$4:$A$810,0)),"")</f>
        <v>FIFA</v>
      </c>
      <c r="D150" t="str">
        <f t="array" ref="D150">IFERROR(_xlfn.TEXTJOIN(" + ",TRUE,IF(('Match Log'!$A$4:$A$810=$A150)*('Match Log'!$E$4:$E$810="Win"),'Match Log'!$D$4:$D$810,"")),IFERROR(LOOKUP(2,1/(('Match Log'!$A$4:$A$810=$A150)*('Match Log'!$E$4:$E$810="Win")),'Match Log'!$D$4:$D$810),""))</f>
        <v>Shawn</v>
      </c>
      <c r="E150">
        <f>IFERROR(INDEX('Match Log'!$F$4:$F$810,MATCH(126,'Match Log'!$A$4:$A$810,0)),"")</f>
        <v>2</v>
      </c>
      <c r="F150">
        <f>IFERROR(SUMIFS('Match Log'!$I$4:$I$810,'Match Log'!$A$4:$A$810,126,'Match Log'!$E$4:$E$810,"Win"),"")</f>
        <v>0.48484848484848486</v>
      </c>
      <c r="G150">
        <f t="shared" si="28"/>
        <v>3.0303030303030276E-2</v>
      </c>
      <c r="H150" t="str">
        <f t="array" ref="H150">IFERROR(IF(COUNTIFS('Match Log'!$A$4:$A$810,$A150,'Match Log'!$E$4:$E$810,"Win")&gt;1,_xlfn.TEXTJOIN(" + ",TRUE,IF(('Match Log'!$A$4:$A$810=$A150)*('Match Log'!$E$4:$E$810="Loss"),'Match Log'!$D$4:$D$810,"")),IF($E150=2,LOOKUP(2,1/(('Match Log'!$A$4:$A$810=$A150)*('Match Log'!$E$4:$E$810="Loss")),'Match Log'!$D$4:$D$810),"the field")),"")</f>
        <v>Oscar</v>
      </c>
      <c r="I150">
        <f t="shared" si="29"/>
        <v>3.0177030303030275E-2</v>
      </c>
      <c r="J150">
        <v>126</v>
      </c>
      <c r="K150">
        <f>IF($J150&gt;MAX('Match Log'!$A$4:$A$810),NA(),IFERROR(LOOKUP(2,1/(('Match Log'!$D$4:$D$810=$K$24)*('Match Log'!$A$4:$A$810&lt;=$J150)),'Match Log'!$N$4:$N$810),NA()))</f>
        <v>1112.3077761293196</v>
      </c>
      <c r="L150">
        <f>IF($J150&gt;MAX('Match Log'!$A$4:$A$810),NA(),IFERROR(LOOKUP(2,1/(('Match Log'!$D$4:$D$810=$L$24)*('Match Log'!$A$4:$A$810&lt;=$J150)),'Match Log'!$N$4:$N$810),NA()))</f>
        <v>1029.2201908859522</v>
      </c>
      <c r="M150">
        <f>IF($J150&gt;MAX('Match Log'!$A$4:$A$810),NA(),IFERROR(LOOKUP(2,1/(('Match Log'!$D$4:$D$810=$M$24)*('Match Log'!$A$4:$A$810&lt;=$J150)),'Match Log'!$N$4:$N$810),NA()))</f>
        <v>1016.7837867075796</v>
      </c>
      <c r="N150">
        <f>IF($J150&gt;MAX('Match Log'!$A$4:$A$810),NA(),IFERROR(LOOKUP(2,1/(('Match Log'!$D$4:$D$810=$N$24)*('Match Log'!$A$4:$A$810&lt;=$J150)),'Match Log'!$N$4:$N$810),NA()))</f>
        <v>981.92436608474441</v>
      </c>
      <c r="O150">
        <f>IF($J150&gt;MAX('Match Log'!$A$4:$A$810),NA(),IFERROR(LOOKUP(2,1/(('Match Log'!$D$4:$D$810=$O$24)*('Match Log'!$A$4:$A$810&lt;=$J150)),'Match Log'!$N$4:$N$810),NA()))</f>
        <v>1129.7012289075892</v>
      </c>
      <c r="P150">
        <f>IF($J150&gt;MAX('Match Log'!$A$4:$A$810),NA(),IFERROR(LOOKUP(2,1/(('Match Log'!$D$4:$D$810=$P$24)*('Match Log'!$A$4:$A$810&lt;=$J150)),'Match Log'!$N$4:$N$810),NA()))</f>
        <v>1016.787551834148</v>
      </c>
      <c r="Q150">
        <f>IF($J150&gt;MAX('Match Log'!$A$4:$A$810),NA(),IFERROR(LOOKUP(2,1/(('Match Log'!$D$4:$D$810=$Q$24)*('Match Log'!$A$4:$A$810&lt;=$J150)),'Match Log'!$N$4:$N$810),NA()))</f>
        <v>1084.8903813508514</v>
      </c>
      <c r="R150">
        <f>IF($J150&gt;MAX('Match Log'!$A$4:$A$810),NA(),IFERROR(LOOKUP(2,1/(('Match Log'!$D$4:$D$810=$R$24)*('Match Log'!$A$4:$A$810&lt;=$J150)),'Match Log'!$N$4:$N$810),NA()))</f>
        <v>1050.8634549674414</v>
      </c>
      <c r="S150">
        <f>IF($J150&gt;MAX('Match Log'!$A$4:$A$810),NA(),IFERROR(LOOKUP(2,1/(('Match Log'!$D$4:$D$810=$S$24)*('Match Log'!$A$4:$A$810&lt;=$J150)),'Match Log'!$N$4:$N$810),NA()))</f>
        <v>1168.2113436007442</v>
      </c>
      <c r="T150">
        <f>IF($J150&gt;MAX('Match Log'!$A$4:$A$810),NA(),IFERROR(LOOKUP(2,1/(('Match Log'!$D$4:$D$810=$T$24)*('Match Log'!$A$4:$A$810&lt;=$J150)),'Match Log'!$N$4:$N$810),NA()))</f>
        <v>893.03675187725173</v>
      </c>
      <c r="U150">
        <f>IF($J150&gt;MAX('Match Log'!$A$4:$A$810),NA(),IFERROR(LOOKUP(2,1/(('Match Log'!$D$4:$D$810=$U$24)*('Match Log'!$A$4:$A$810&lt;=$J150)),'Match Log'!$N$4:$N$810),NA()))</f>
        <v>1058.6657209484931</v>
      </c>
      <c r="V150">
        <f>IF($J150&gt;MAX('Match Log'!$A$4:$A$810),NA(),IFERROR(LOOKUP(2,1/(('Match Log'!$D$4:$D$810=$V$24)*('Match Log'!$A$4:$A$810&lt;=$J150)),'Match Log'!$N$4:$N$810),NA()))</f>
        <v>1031.225848367051</v>
      </c>
      <c r="W150">
        <f>IF($J150&gt;MAX('Match Log'!$A$4:$A$810),NA(),IFERROR(LOOKUP(2,1/(('Match Log'!$D$4:$D$810=$W$24)*('Match Log'!$A$4:$A$810&lt;=$J150)),'Match Log'!$N$4:$N$810),NA()))</f>
        <v>1030.3815983388336</v>
      </c>
      <c r="X150" t="e">
        <f>IF($J150&gt;MAX('Match Log'!$A$4:$A$810),NA(),IFERROR(LOOKUP(2,1/(('Match Log'!$D$4:$D$810=$X$24)*('Match Log'!$A$4:$A$810&lt;=$J150)),'Match Log'!$N$4:$N$810),NA()))</f>
        <v>#N/A</v>
      </c>
      <c r="Y150">
        <f t="shared" ca="1" si="30"/>
        <v>3.0177030303030275E-2</v>
      </c>
    </row>
    <row r="151" spans="1:25" x14ac:dyDescent="0.2">
      <c r="A151">
        <v>127</v>
      </c>
      <c r="B151">
        <f>IFERROR(INDEX('Match Log'!$B$4:$B$810,MATCH(127,'Match Log'!$A$4:$A$810,0)),"")</f>
        <v>46212</v>
      </c>
      <c r="C151" t="str">
        <f>IFERROR(INDEX('Match Log'!$C$4:$C$810,MATCH(127,'Match Log'!$A$4:$A$810,0)),"")</f>
        <v>FIFA</v>
      </c>
      <c r="D151" t="str">
        <f t="array" ref="D151">IFERROR(_xlfn.TEXTJOIN(" + ",TRUE,IF(('Match Log'!$A$4:$A$810=$A151)*('Match Log'!$E$4:$E$810="Win"),'Match Log'!$D$4:$D$810,"")),IFERROR(LOOKUP(2,1/(('Match Log'!$A$4:$A$810=$A151)*('Match Log'!$E$4:$E$810="Win")),'Match Log'!$D$4:$D$810),""))</f>
        <v>Shawn</v>
      </c>
      <c r="E151">
        <f>IFERROR(INDEX('Match Log'!$F$4:$F$810,MATCH(127,'Match Log'!$A$4:$A$810,0)),"")</f>
        <v>2</v>
      </c>
      <c r="F151">
        <f>IFERROR(SUMIFS('Match Log'!$I$4:$I$810,'Match Log'!$A$4:$A$810,127,'Match Log'!$E$4:$E$810,"Win"),"")</f>
        <v>0.41666666666666669</v>
      </c>
      <c r="G151">
        <f t="shared" si="28"/>
        <v>0.16666666666666663</v>
      </c>
      <c r="H151" t="str">
        <f t="array" ref="H151">IFERROR(IF(COUNTIFS('Match Log'!$A$4:$A$810,$A151,'Match Log'!$E$4:$E$810,"Win")&gt;1,_xlfn.TEXTJOIN(" + ",TRUE,IF(('Match Log'!$A$4:$A$810=$A151)*('Match Log'!$E$4:$E$810="Loss"),'Match Log'!$D$4:$D$810,"")),IF($E151=2,LOOKUP(2,1/(('Match Log'!$A$4:$A$810=$A151)*('Match Log'!$E$4:$E$810="Loss")),'Match Log'!$D$4:$D$810),"the field")),"")</f>
        <v>Aaron</v>
      </c>
      <c r="I151">
        <f t="shared" si="29"/>
        <v>0.16653966666666664</v>
      </c>
      <c r="J151">
        <v>127</v>
      </c>
      <c r="K151">
        <f>IF($J151&gt;MAX('Match Log'!$A$4:$A$810),NA(),IFERROR(LOOKUP(2,1/(('Match Log'!$D$4:$D$810=$K$24)*('Match Log'!$A$4:$A$810&lt;=$J151)),'Match Log'!$N$4:$N$810),NA()))</f>
        <v>1086.007564258605</v>
      </c>
      <c r="L151">
        <f>IF($J151&gt;MAX('Match Log'!$A$4:$A$810),NA(),IFERROR(LOOKUP(2,1/(('Match Log'!$D$4:$D$810=$L$24)*('Match Log'!$A$4:$A$810&lt;=$J151)),'Match Log'!$N$4:$N$810),NA()))</f>
        <v>1029.2201908859522</v>
      </c>
      <c r="M151">
        <f>IF($J151&gt;MAX('Match Log'!$A$4:$A$810),NA(),IFERROR(LOOKUP(2,1/(('Match Log'!$D$4:$D$810=$M$24)*('Match Log'!$A$4:$A$810&lt;=$J151)),'Match Log'!$N$4:$N$810),NA()))</f>
        <v>1016.7837867075796</v>
      </c>
      <c r="N151">
        <f>IF($J151&gt;MAX('Match Log'!$A$4:$A$810),NA(),IFERROR(LOOKUP(2,1/(('Match Log'!$D$4:$D$810=$N$24)*('Match Log'!$A$4:$A$810&lt;=$J151)),'Match Log'!$N$4:$N$810),NA()))</f>
        <v>981.92436608474441</v>
      </c>
      <c r="O151">
        <f>IF($J151&gt;MAX('Match Log'!$A$4:$A$810),NA(),IFERROR(LOOKUP(2,1/(('Match Log'!$D$4:$D$810=$O$24)*('Match Log'!$A$4:$A$810&lt;=$J151)),'Match Log'!$N$4:$N$810),NA()))</f>
        <v>1129.7012289075892</v>
      </c>
      <c r="P151">
        <f>IF($J151&gt;MAX('Match Log'!$A$4:$A$810),NA(),IFERROR(LOOKUP(2,1/(('Match Log'!$D$4:$D$810=$P$24)*('Match Log'!$A$4:$A$810&lt;=$J151)),'Match Log'!$N$4:$N$810),NA()))</f>
        <v>1043.0877637048625</v>
      </c>
      <c r="Q151">
        <f>IF($J151&gt;MAX('Match Log'!$A$4:$A$810),NA(),IFERROR(LOOKUP(2,1/(('Match Log'!$D$4:$D$810=$Q$24)*('Match Log'!$A$4:$A$810&lt;=$J151)),'Match Log'!$N$4:$N$810),NA()))</f>
        <v>1084.8903813508514</v>
      </c>
      <c r="R151">
        <f>IF($J151&gt;MAX('Match Log'!$A$4:$A$810),NA(),IFERROR(LOOKUP(2,1/(('Match Log'!$D$4:$D$810=$R$24)*('Match Log'!$A$4:$A$810&lt;=$J151)),'Match Log'!$N$4:$N$810),NA()))</f>
        <v>1050.8634549674414</v>
      </c>
      <c r="S151">
        <f>IF($J151&gt;MAX('Match Log'!$A$4:$A$810),NA(),IFERROR(LOOKUP(2,1/(('Match Log'!$D$4:$D$810=$S$24)*('Match Log'!$A$4:$A$810&lt;=$J151)),'Match Log'!$N$4:$N$810),NA()))</f>
        <v>1168.2113436007442</v>
      </c>
      <c r="T151">
        <f>IF($J151&gt;MAX('Match Log'!$A$4:$A$810),NA(),IFERROR(LOOKUP(2,1/(('Match Log'!$D$4:$D$810=$T$24)*('Match Log'!$A$4:$A$810&lt;=$J151)),'Match Log'!$N$4:$N$810),NA()))</f>
        <v>893.03675187725173</v>
      </c>
      <c r="U151">
        <f>IF($J151&gt;MAX('Match Log'!$A$4:$A$810),NA(),IFERROR(LOOKUP(2,1/(('Match Log'!$D$4:$D$810=$U$24)*('Match Log'!$A$4:$A$810&lt;=$J151)),'Match Log'!$N$4:$N$810),NA()))</f>
        <v>1058.6657209484931</v>
      </c>
      <c r="V151">
        <f>IF($J151&gt;MAX('Match Log'!$A$4:$A$810),NA(),IFERROR(LOOKUP(2,1/(('Match Log'!$D$4:$D$810=$V$24)*('Match Log'!$A$4:$A$810&lt;=$J151)),'Match Log'!$N$4:$N$810),NA()))</f>
        <v>1031.225848367051</v>
      </c>
      <c r="W151">
        <f>IF($J151&gt;MAX('Match Log'!$A$4:$A$810),NA(),IFERROR(LOOKUP(2,1/(('Match Log'!$D$4:$D$810=$W$24)*('Match Log'!$A$4:$A$810&lt;=$J151)),'Match Log'!$N$4:$N$810),NA()))</f>
        <v>1030.3815983388336</v>
      </c>
      <c r="X151" t="e">
        <f>IF($J151&gt;MAX('Match Log'!$A$4:$A$810),NA(),IFERROR(LOOKUP(2,1/(('Match Log'!$D$4:$D$810=$X$24)*('Match Log'!$A$4:$A$810&lt;=$J151)),'Match Log'!$N$4:$N$810),NA()))</f>
        <v>#N/A</v>
      </c>
      <c r="Y151">
        <f t="shared" ca="1" si="30"/>
        <v>0.16653966666666664</v>
      </c>
    </row>
    <row r="152" spans="1:25" x14ac:dyDescent="0.2">
      <c r="A152">
        <v>128</v>
      </c>
      <c r="B152">
        <f>IFERROR(INDEX('Match Log'!$B$4:$B$810,MATCH(128,'Match Log'!$A$4:$A$810,0)),"")</f>
        <v>46212</v>
      </c>
      <c r="C152" t="str">
        <f>IFERROR(INDEX('Match Log'!$C$4:$C$810,MATCH(128,'Match Log'!$A$4:$A$810,0)),"")</f>
        <v>FIFA</v>
      </c>
      <c r="D152" t="str">
        <f t="array" ref="D152">IFERROR(_xlfn.TEXTJOIN(" + ",TRUE,IF(('Match Log'!$A$4:$A$810=$A152)*('Match Log'!$E$4:$E$810="Win"),'Match Log'!$D$4:$D$810,"")),IFERROR(LOOKUP(2,1/(('Match Log'!$A$4:$A$810=$A152)*('Match Log'!$E$4:$E$810="Win")),'Match Log'!$D$4:$D$810),""))</f>
        <v>Aaron</v>
      </c>
      <c r="E152">
        <f>IFERROR(INDEX('Match Log'!$F$4:$F$810,MATCH(128,'Match Log'!$A$4:$A$810,0)),"")</f>
        <v>2</v>
      </c>
      <c r="F152">
        <f>IFERROR(SUMIFS('Match Log'!$I$4:$I$810,'Match Log'!$A$4:$A$810,128,'Match Log'!$E$4:$E$810,"Win"),"")</f>
        <v>0.5473251028806585</v>
      </c>
      <c r="G152">
        <f t="shared" si="28"/>
        <v>-9.4650205761316997E-2</v>
      </c>
      <c r="H152" t="str">
        <f t="array" ref="H152">IFERROR(IF(COUNTIFS('Match Log'!$A$4:$A$810,$A152,'Match Log'!$E$4:$E$810,"Win")&gt;1,_xlfn.TEXTJOIN(" + ",TRUE,IF(('Match Log'!$A$4:$A$810=$A152)*('Match Log'!$E$4:$E$810="Loss"),'Match Log'!$D$4:$D$810,"")),IF($E152=2,LOOKUP(2,1/(('Match Log'!$A$4:$A$810=$A152)*('Match Log'!$E$4:$E$810="Loss")),'Match Log'!$D$4:$D$810),"the field")),"")</f>
        <v>Shawn</v>
      </c>
      <c r="I152">
        <f t="shared" si="29"/>
        <v>-9.4778205761317E-2</v>
      </c>
      <c r="J152">
        <v>128</v>
      </c>
      <c r="K152">
        <f>IF($J152&gt;MAX('Match Log'!$A$4:$A$810),NA(),IFERROR(LOOKUP(2,1/(('Match Log'!$D$4:$D$810=$K$24)*('Match Log'!$A$4:$A$810&lt;=$J152)),'Match Log'!$N$4:$N$810),NA()))</f>
        <v>1106.0736249589231</v>
      </c>
      <c r="L152">
        <f>IF($J152&gt;MAX('Match Log'!$A$4:$A$810),NA(),IFERROR(LOOKUP(2,1/(('Match Log'!$D$4:$D$810=$L$24)*('Match Log'!$A$4:$A$810&lt;=$J152)),'Match Log'!$N$4:$N$810),NA()))</f>
        <v>1029.2201908859522</v>
      </c>
      <c r="M152">
        <f>IF($J152&gt;MAX('Match Log'!$A$4:$A$810),NA(),IFERROR(LOOKUP(2,1/(('Match Log'!$D$4:$D$810=$M$24)*('Match Log'!$A$4:$A$810&lt;=$J152)),'Match Log'!$N$4:$N$810),NA()))</f>
        <v>1016.7837867075796</v>
      </c>
      <c r="N152">
        <f>IF($J152&gt;MAX('Match Log'!$A$4:$A$810),NA(),IFERROR(LOOKUP(2,1/(('Match Log'!$D$4:$D$810=$N$24)*('Match Log'!$A$4:$A$810&lt;=$J152)),'Match Log'!$N$4:$N$810),NA()))</f>
        <v>981.92436608474441</v>
      </c>
      <c r="O152">
        <f>IF($J152&gt;MAX('Match Log'!$A$4:$A$810),NA(),IFERROR(LOOKUP(2,1/(('Match Log'!$D$4:$D$810=$O$24)*('Match Log'!$A$4:$A$810&lt;=$J152)),'Match Log'!$N$4:$N$810),NA()))</f>
        <v>1129.7012289075892</v>
      </c>
      <c r="P152">
        <f>IF($J152&gt;MAX('Match Log'!$A$4:$A$810),NA(),IFERROR(LOOKUP(2,1/(('Match Log'!$D$4:$D$810=$P$24)*('Match Log'!$A$4:$A$810&lt;=$J152)),'Match Log'!$N$4:$N$810),NA()))</f>
        <v>1023.0217030045443</v>
      </c>
      <c r="Q152">
        <f>IF($J152&gt;MAX('Match Log'!$A$4:$A$810),NA(),IFERROR(LOOKUP(2,1/(('Match Log'!$D$4:$D$810=$Q$24)*('Match Log'!$A$4:$A$810&lt;=$J152)),'Match Log'!$N$4:$N$810),NA()))</f>
        <v>1084.8903813508514</v>
      </c>
      <c r="R152">
        <f>IF($J152&gt;MAX('Match Log'!$A$4:$A$810),NA(),IFERROR(LOOKUP(2,1/(('Match Log'!$D$4:$D$810=$R$24)*('Match Log'!$A$4:$A$810&lt;=$J152)),'Match Log'!$N$4:$N$810),NA()))</f>
        <v>1050.8634549674414</v>
      </c>
      <c r="S152">
        <f>IF($J152&gt;MAX('Match Log'!$A$4:$A$810),NA(),IFERROR(LOOKUP(2,1/(('Match Log'!$D$4:$D$810=$S$24)*('Match Log'!$A$4:$A$810&lt;=$J152)),'Match Log'!$N$4:$N$810),NA()))</f>
        <v>1168.2113436007442</v>
      </c>
      <c r="T152">
        <f>IF($J152&gt;MAX('Match Log'!$A$4:$A$810),NA(),IFERROR(LOOKUP(2,1/(('Match Log'!$D$4:$D$810=$T$24)*('Match Log'!$A$4:$A$810&lt;=$J152)),'Match Log'!$N$4:$N$810),NA()))</f>
        <v>893.03675187725173</v>
      </c>
      <c r="U152">
        <f>IF($J152&gt;MAX('Match Log'!$A$4:$A$810),NA(),IFERROR(LOOKUP(2,1/(('Match Log'!$D$4:$D$810=$U$24)*('Match Log'!$A$4:$A$810&lt;=$J152)),'Match Log'!$N$4:$N$810),NA()))</f>
        <v>1058.6657209484931</v>
      </c>
      <c r="V152">
        <f>IF($J152&gt;MAX('Match Log'!$A$4:$A$810),NA(),IFERROR(LOOKUP(2,1/(('Match Log'!$D$4:$D$810=$V$24)*('Match Log'!$A$4:$A$810&lt;=$J152)),'Match Log'!$N$4:$N$810),NA()))</f>
        <v>1031.225848367051</v>
      </c>
      <c r="W152">
        <f>IF($J152&gt;MAX('Match Log'!$A$4:$A$810),NA(),IFERROR(LOOKUP(2,1/(('Match Log'!$D$4:$D$810=$W$24)*('Match Log'!$A$4:$A$810&lt;=$J152)),'Match Log'!$N$4:$N$810),NA()))</f>
        <v>1030.3815983388336</v>
      </c>
      <c r="X152" t="e">
        <f>IF($J152&gt;MAX('Match Log'!$A$4:$A$810),NA(),IFERROR(LOOKUP(2,1/(('Match Log'!$D$4:$D$810=$X$24)*('Match Log'!$A$4:$A$810&lt;=$J152)),'Match Log'!$N$4:$N$810),NA()))</f>
        <v>#N/A</v>
      </c>
      <c r="Y152">
        <f t="shared" ca="1" si="30"/>
        <v>-9.4778205761317E-2</v>
      </c>
    </row>
    <row r="153" spans="1:25" x14ac:dyDescent="0.2">
      <c r="A153">
        <v>129</v>
      </c>
      <c r="B153">
        <f>IFERROR(INDEX('Match Log'!$B$4:$B$810,MATCH(129,'Match Log'!$A$4:$A$810,0)),"")</f>
        <v>46212</v>
      </c>
      <c r="C153" t="str">
        <f>IFERROR(INDEX('Match Log'!$C$4:$C$810,MATCH(129,'Match Log'!$A$4:$A$810,0)),"")</f>
        <v>Mario Golf</v>
      </c>
      <c r="D153" t="str">
        <f t="array" ref="D153">IFERROR(_xlfn.TEXTJOIN(" + ",TRUE,IF(('Match Log'!$A$4:$A$810=$A153)*('Match Log'!$E$4:$E$810="Win"),'Match Log'!$D$4:$D$810,"")),IFERROR(LOOKUP(2,1/(('Match Log'!$A$4:$A$810=$A153)*('Match Log'!$E$4:$E$810="Win")),'Match Log'!$D$4:$D$810),""))</f>
        <v>Shawn</v>
      </c>
      <c r="E153">
        <f>IFERROR(INDEX('Match Log'!$F$4:$F$810,MATCH(129,'Match Log'!$A$4:$A$810,0)),"")</f>
        <v>2</v>
      </c>
      <c r="F153">
        <f>IFERROR(SUMIFS('Match Log'!$I$4:$I$810,'Match Log'!$A$4:$A$810,129,'Match Log'!$E$4:$E$810,"Win"),"")</f>
        <v>0.5</v>
      </c>
      <c r="G153">
        <f t="shared" si="28"/>
        <v>0</v>
      </c>
      <c r="H153" t="str">
        <f t="array" ref="H153">IFERROR(IF(COUNTIFS('Match Log'!$A$4:$A$810,$A153,'Match Log'!$E$4:$E$810,"Win")&gt;1,_xlfn.TEXTJOIN(" + ",TRUE,IF(('Match Log'!$A$4:$A$810=$A153)*('Match Log'!$E$4:$E$810="Loss"),'Match Log'!$D$4:$D$810,"")),IF($E153=2,LOOKUP(2,1/(('Match Log'!$A$4:$A$810=$A153)*('Match Log'!$E$4:$E$810="Loss")),'Match Log'!$D$4:$D$810),"the field")),"")</f>
        <v>Aaron</v>
      </c>
      <c r="I153">
        <f t="shared" si="29"/>
        <v>-1.2899999999999999E-4</v>
      </c>
      <c r="J153">
        <v>129</v>
      </c>
      <c r="K153">
        <f>IF($J153&gt;MAX('Match Log'!$A$4:$A$810),NA(),IFERROR(LOOKUP(2,1/(('Match Log'!$D$4:$D$810=$K$24)*('Match Log'!$A$4:$A$810&lt;=$J153)),'Match Log'!$N$4:$N$810),NA()))</f>
        <v>1080.3201643856687</v>
      </c>
      <c r="L153">
        <f>IF($J153&gt;MAX('Match Log'!$A$4:$A$810),NA(),IFERROR(LOOKUP(2,1/(('Match Log'!$D$4:$D$810=$L$24)*('Match Log'!$A$4:$A$810&lt;=$J153)),'Match Log'!$N$4:$N$810),NA()))</f>
        <v>1029.2201908859522</v>
      </c>
      <c r="M153">
        <f>IF($J153&gt;MAX('Match Log'!$A$4:$A$810),NA(),IFERROR(LOOKUP(2,1/(('Match Log'!$D$4:$D$810=$M$24)*('Match Log'!$A$4:$A$810&lt;=$J153)),'Match Log'!$N$4:$N$810),NA()))</f>
        <v>1016.7837867075796</v>
      </c>
      <c r="N153">
        <f>IF($J153&gt;MAX('Match Log'!$A$4:$A$810),NA(),IFERROR(LOOKUP(2,1/(('Match Log'!$D$4:$D$810=$N$24)*('Match Log'!$A$4:$A$810&lt;=$J153)),'Match Log'!$N$4:$N$810),NA()))</f>
        <v>981.92436608474441</v>
      </c>
      <c r="O153">
        <f>IF($J153&gt;MAX('Match Log'!$A$4:$A$810),NA(),IFERROR(LOOKUP(2,1/(('Match Log'!$D$4:$D$810=$O$24)*('Match Log'!$A$4:$A$810&lt;=$J153)),'Match Log'!$N$4:$N$810),NA()))</f>
        <v>1129.7012289075892</v>
      </c>
      <c r="P153">
        <f>IF($J153&gt;MAX('Match Log'!$A$4:$A$810),NA(),IFERROR(LOOKUP(2,1/(('Match Log'!$D$4:$D$810=$P$24)*('Match Log'!$A$4:$A$810&lt;=$J153)),'Match Log'!$N$4:$N$810),NA()))</f>
        <v>1048.7751635777988</v>
      </c>
      <c r="Q153">
        <f>IF($J153&gt;MAX('Match Log'!$A$4:$A$810),NA(),IFERROR(LOOKUP(2,1/(('Match Log'!$D$4:$D$810=$Q$24)*('Match Log'!$A$4:$A$810&lt;=$J153)),'Match Log'!$N$4:$N$810),NA()))</f>
        <v>1084.8903813508514</v>
      </c>
      <c r="R153">
        <f>IF($J153&gt;MAX('Match Log'!$A$4:$A$810),NA(),IFERROR(LOOKUP(2,1/(('Match Log'!$D$4:$D$810=$R$24)*('Match Log'!$A$4:$A$810&lt;=$J153)),'Match Log'!$N$4:$N$810),NA()))</f>
        <v>1050.8634549674414</v>
      </c>
      <c r="S153">
        <f>IF($J153&gt;MAX('Match Log'!$A$4:$A$810),NA(),IFERROR(LOOKUP(2,1/(('Match Log'!$D$4:$D$810=$S$24)*('Match Log'!$A$4:$A$810&lt;=$J153)),'Match Log'!$N$4:$N$810),NA()))</f>
        <v>1168.2113436007442</v>
      </c>
      <c r="T153">
        <f>IF($J153&gt;MAX('Match Log'!$A$4:$A$810),NA(),IFERROR(LOOKUP(2,1/(('Match Log'!$D$4:$D$810=$T$24)*('Match Log'!$A$4:$A$810&lt;=$J153)),'Match Log'!$N$4:$N$810),NA()))</f>
        <v>893.03675187725173</v>
      </c>
      <c r="U153">
        <f>IF($J153&gt;MAX('Match Log'!$A$4:$A$810),NA(),IFERROR(LOOKUP(2,1/(('Match Log'!$D$4:$D$810=$U$24)*('Match Log'!$A$4:$A$810&lt;=$J153)),'Match Log'!$N$4:$N$810),NA()))</f>
        <v>1058.6657209484931</v>
      </c>
      <c r="V153">
        <f>IF($J153&gt;MAX('Match Log'!$A$4:$A$810),NA(),IFERROR(LOOKUP(2,1/(('Match Log'!$D$4:$D$810=$V$24)*('Match Log'!$A$4:$A$810&lt;=$J153)),'Match Log'!$N$4:$N$810),NA()))</f>
        <v>1031.225848367051</v>
      </c>
      <c r="W153">
        <f>IF($J153&gt;MAX('Match Log'!$A$4:$A$810),NA(),IFERROR(LOOKUP(2,1/(('Match Log'!$D$4:$D$810=$W$24)*('Match Log'!$A$4:$A$810&lt;=$J153)),'Match Log'!$N$4:$N$810),NA()))</f>
        <v>1030.3815983388336</v>
      </c>
      <c r="X153" t="e">
        <f>IF($J153&gt;MAX('Match Log'!$A$4:$A$810),NA(),IFERROR(LOOKUP(2,1/(('Match Log'!$D$4:$D$810=$X$24)*('Match Log'!$A$4:$A$810&lt;=$J153)),'Match Log'!$N$4:$N$810),NA()))</f>
        <v>#N/A</v>
      </c>
      <c r="Y153">
        <f t="shared" ca="1" si="30"/>
        <v>-1.2899999999999999E-4</v>
      </c>
    </row>
    <row r="154" spans="1:25" x14ac:dyDescent="0.2">
      <c r="A154">
        <v>130</v>
      </c>
      <c r="B154">
        <f>IFERROR(INDEX('Match Log'!$B$4:$B$810,MATCH(130,'Match Log'!$A$4:$A$810,0)),"")</f>
        <v>46212</v>
      </c>
      <c r="C154" t="str">
        <f>IFERROR(INDEX('Match Log'!$C$4:$C$810,MATCH(130,'Match Log'!$A$4:$A$810,0)),"")</f>
        <v>Mario Golf</v>
      </c>
      <c r="D154" t="str">
        <f t="array" ref="D154">IFERROR(_xlfn.TEXTJOIN(" + ",TRUE,IF(('Match Log'!$A$4:$A$810=$A154)*('Match Log'!$E$4:$E$810="Win"),'Match Log'!$D$4:$D$810,"")),IFERROR(LOOKUP(2,1/(('Match Log'!$A$4:$A$810=$A154)*('Match Log'!$E$4:$E$810="Win")),'Match Log'!$D$4:$D$810),""))</f>
        <v>Shawn</v>
      </c>
      <c r="E154">
        <f>IFERROR(INDEX('Match Log'!$F$4:$F$810,MATCH(130,'Match Log'!$A$4:$A$810,0)),"")</f>
        <v>2</v>
      </c>
      <c r="F154">
        <f>IFERROR(SUMIFS('Match Log'!$I$4:$I$810,'Match Log'!$A$4:$A$810,130,'Match Log'!$E$4:$E$810,"Win"),"")</f>
        <v>0.66666666666666663</v>
      </c>
      <c r="G154">
        <f t="shared" si="28"/>
        <v>-0.33333333333333326</v>
      </c>
      <c r="H154" t="str">
        <f t="array" ref="H154">IFERROR(IF(COUNTIFS('Match Log'!$A$4:$A$810,$A154,'Match Log'!$E$4:$E$810,"Win")&gt;1,_xlfn.TEXTJOIN(" + ",TRUE,IF(('Match Log'!$A$4:$A$810=$A154)*('Match Log'!$E$4:$E$810="Loss"),'Match Log'!$D$4:$D$810,"")),IF($E154=2,LOOKUP(2,1/(('Match Log'!$A$4:$A$810=$A154)*('Match Log'!$E$4:$E$810="Loss")),'Match Log'!$D$4:$D$810),"the field")),"")</f>
        <v>Aaron</v>
      </c>
      <c r="I154">
        <f t="shared" si="29"/>
        <v>-0.33346333333333328</v>
      </c>
      <c r="J154">
        <v>130</v>
      </c>
      <c r="K154">
        <f>IF($J154&gt;MAX('Match Log'!$A$4:$A$810),NA(),IFERROR(LOOKUP(2,1/(('Match Log'!$D$4:$D$810=$K$24)*('Match Log'!$A$4:$A$810&lt;=$J154)),'Match Log'!$N$4:$N$810),NA()))</f>
        <v>1059.3563576220192</v>
      </c>
      <c r="L154">
        <f>IF($J154&gt;MAX('Match Log'!$A$4:$A$810),NA(),IFERROR(LOOKUP(2,1/(('Match Log'!$D$4:$D$810=$L$24)*('Match Log'!$A$4:$A$810&lt;=$J154)),'Match Log'!$N$4:$N$810),NA()))</f>
        <v>1029.2201908859522</v>
      </c>
      <c r="M154">
        <f>IF($J154&gt;MAX('Match Log'!$A$4:$A$810),NA(),IFERROR(LOOKUP(2,1/(('Match Log'!$D$4:$D$810=$M$24)*('Match Log'!$A$4:$A$810&lt;=$J154)),'Match Log'!$N$4:$N$810),NA()))</f>
        <v>1016.7837867075796</v>
      </c>
      <c r="N154">
        <f>IF($J154&gt;MAX('Match Log'!$A$4:$A$810),NA(),IFERROR(LOOKUP(2,1/(('Match Log'!$D$4:$D$810=$N$24)*('Match Log'!$A$4:$A$810&lt;=$J154)),'Match Log'!$N$4:$N$810),NA()))</f>
        <v>981.92436608474441</v>
      </c>
      <c r="O154">
        <f>IF($J154&gt;MAX('Match Log'!$A$4:$A$810),NA(),IFERROR(LOOKUP(2,1/(('Match Log'!$D$4:$D$810=$O$24)*('Match Log'!$A$4:$A$810&lt;=$J154)),'Match Log'!$N$4:$N$810),NA()))</f>
        <v>1129.7012289075892</v>
      </c>
      <c r="P154">
        <f>IF($J154&gt;MAX('Match Log'!$A$4:$A$810),NA(),IFERROR(LOOKUP(2,1/(('Match Log'!$D$4:$D$810=$P$24)*('Match Log'!$A$4:$A$810&lt;=$J154)),'Match Log'!$N$4:$N$810),NA()))</f>
        <v>1069.7389703414483</v>
      </c>
      <c r="Q154">
        <f>IF($J154&gt;MAX('Match Log'!$A$4:$A$810),NA(),IFERROR(LOOKUP(2,1/(('Match Log'!$D$4:$D$810=$Q$24)*('Match Log'!$A$4:$A$810&lt;=$J154)),'Match Log'!$N$4:$N$810),NA()))</f>
        <v>1084.8903813508514</v>
      </c>
      <c r="R154">
        <f>IF($J154&gt;MAX('Match Log'!$A$4:$A$810),NA(),IFERROR(LOOKUP(2,1/(('Match Log'!$D$4:$D$810=$R$24)*('Match Log'!$A$4:$A$810&lt;=$J154)),'Match Log'!$N$4:$N$810),NA()))</f>
        <v>1050.8634549674414</v>
      </c>
      <c r="S154">
        <f>IF($J154&gt;MAX('Match Log'!$A$4:$A$810),NA(),IFERROR(LOOKUP(2,1/(('Match Log'!$D$4:$D$810=$S$24)*('Match Log'!$A$4:$A$810&lt;=$J154)),'Match Log'!$N$4:$N$810),NA()))</f>
        <v>1168.2113436007442</v>
      </c>
      <c r="T154">
        <f>IF($J154&gt;MAX('Match Log'!$A$4:$A$810),NA(),IFERROR(LOOKUP(2,1/(('Match Log'!$D$4:$D$810=$T$24)*('Match Log'!$A$4:$A$810&lt;=$J154)),'Match Log'!$N$4:$N$810),NA()))</f>
        <v>893.03675187725173</v>
      </c>
      <c r="U154">
        <f>IF($J154&gt;MAX('Match Log'!$A$4:$A$810),NA(),IFERROR(LOOKUP(2,1/(('Match Log'!$D$4:$D$810=$U$24)*('Match Log'!$A$4:$A$810&lt;=$J154)),'Match Log'!$N$4:$N$810),NA()))</f>
        <v>1058.6657209484931</v>
      </c>
      <c r="V154">
        <f>IF($J154&gt;MAX('Match Log'!$A$4:$A$810),NA(),IFERROR(LOOKUP(2,1/(('Match Log'!$D$4:$D$810=$V$24)*('Match Log'!$A$4:$A$810&lt;=$J154)),'Match Log'!$N$4:$N$810),NA()))</f>
        <v>1031.225848367051</v>
      </c>
      <c r="W154">
        <f>IF($J154&gt;MAX('Match Log'!$A$4:$A$810),NA(),IFERROR(LOOKUP(2,1/(('Match Log'!$D$4:$D$810=$W$24)*('Match Log'!$A$4:$A$810&lt;=$J154)),'Match Log'!$N$4:$N$810),NA()))</f>
        <v>1030.3815983388336</v>
      </c>
      <c r="X154" t="e">
        <f>IF($J154&gt;MAX('Match Log'!$A$4:$A$810),NA(),IFERROR(LOOKUP(2,1/(('Match Log'!$D$4:$D$810=$X$24)*('Match Log'!$A$4:$A$810&lt;=$J154)),'Match Log'!$N$4:$N$810),NA()))</f>
        <v>#N/A</v>
      </c>
      <c r="Y154">
        <f t="shared" ca="1" si="30"/>
        <v>-0.33346333333333328</v>
      </c>
    </row>
    <row r="155" spans="1:25" x14ac:dyDescent="0.2">
      <c r="A155">
        <v>131</v>
      </c>
      <c r="B155">
        <f>IFERROR(INDEX('Match Log'!$B$4:$B$810,MATCH(131,'Match Log'!$A$4:$A$810,0)),"")</f>
        <v>46212</v>
      </c>
      <c r="C155" t="str">
        <f>IFERROR(INDEX('Match Log'!$C$4:$C$810,MATCH(131,'Match Log'!$A$4:$A$810,0)),"")</f>
        <v>Mario Golf</v>
      </c>
      <c r="D155" t="str">
        <f t="array" ref="D155">IFERROR(_xlfn.TEXTJOIN(" + ",TRUE,IF(('Match Log'!$A$4:$A$810=$A155)*('Match Log'!$E$4:$E$810="Win"),'Match Log'!$D$4:$D$810,"")),IFERROR(LOOKUP(2,1/(('Match Log'!$A$4:$A$810=$A155)*('Match Log'!$E$4:$E$810="Win")),'Match Log'!$D$4:$D$810),""))</f>
        <v>Shawn</v>
      </c>
      <c r="E155">
        <f>IFERROR(INDEX('Match Log'!$F$4:$F$810,MATCH(131,'Match Log'!$A$4:$A$810,0)),"")</f>
        <v>2</v>
      </c>
      <c r="F155">
        <f>IFERROR(SUMIFS('Match Log'!$I$4:$I$810,'Match Log'!$A$4:$A$810,131,'Match Log'!$E$4:$E$810,"Win"),"")</f>
        <v>0.75</v>
      </c>
      <c r="G155">
        <f t="shared" si="28"/>
        <v>-0.5</v>
      </c>
      <c r="H155" t="str">
        <f t="array" ref="H155">IFERROR(IF(COUNTIFS('Match Log'!$A$4:$A$810,$A155,'Match Log'!$E$4:$E$810,"Win")&gt;1,_xlfn.TEXTJOIN(" + ",TRUE,IF(('Match Log'!$A$4:$A$810=$A155)*('Match Log'!$E$4:$E$810="Loss"),'Match Log'!$D$4:$D$810,"")),IF($E155=2,LOOKUP(2,1/(('Match Log'!$A$4:$A$810=$A155)*('Match Log'!$E$4:$E$810="Loss")),'Match Log'!$D$4:$D$810),"the field")),"")</f>
        <v>Aaron</v>
      </c>
      <c r="I155">
        <f t="shared" si="29"/>
        <v>-0.50013099999999999</v>
      </c>
      <c r="J155">
        <v>131</v>
      </c>
      <c r="K155">
        <f>IF($J155&gt;MAX('Match Log'!$A$4:$A$810),NA(),IFERROR(LOOKUP(2,1/(('Match Log'!$D$4:$D$810=$K$24)*('Match Log'!$A$4:$A$810&lt;=$J155)),'Match Log'!$N$4:$N$810),NA()))</f>
        <v>1041.4993516821401</v>
      </c>
      <c r="L155">
        <f>IF($J155&gt;MAX('Match Log'!$A$4:$A$810),NA(),IFERROR(LOOKUP(2,1/(('Match Log'!$D$4:$D$810=$L$24)*('Match Log'!$A$4:$A$810&lt;=$J155)),'Match Log'!$N$4:$N$810),NA()))</f>
        <v>1029.2201908859522</v>
      </c>
      <c r="M155">
        <f>IF($J155&gt;MAX('Match Log'!$A$4:$A$810),NA(),IFERROR(LOOKUP(2,1/(('Match Log'!$D$4:$D$810=$M$24)*('Match Log'!$A$4:$A$810&lt;=$J155)),'Match Log'!$N$4:$N$810),NA()))</f>
        <v>1016.7837867075796</v>
      </c>
      <c r="N155">
        <f>IF($J155&gt;MAX('Match Log'!$A$4:$A$810),NA(),IFERROR(LOOKUP(2,1/(('Match Log'!$D$4:$D$810=$N$24)*('Match Log'!$A$4:$A$810&lt;=$J155)),'Match Log'!$N$4:$N$810),NA()))</f>
        <v>981.92436608474441</v>
      </c>
      <c r="O155">
        <f>IF($J155&gt;MAX('Match Log'!$A$4:$A$810),NA(),IFERROR(LOOKUP(2,1/(('Match Log'!$D$4:$D$810=$O$24)*('Match Log'!$A$4:$A$810&lt;=$J155)),'Match Log'!$N$4:$N$810),NA()))</f>
        <v>1129.7012289075892</v>
      </c>
      <c r="P155">
        <f>IF($J155&gt;MAX('Match Log'!$A$4:$A$810),NA(),IFERROR(LOOKUP(2,1/(('Match Log'!$D$4:$D$810=$P$24)*('Match Log'!$A$4:$A$810&lt;=$J155)),'Match Log'!$N$4:$N$810),NA()))</f>
        <v>1087.5959762813275</v>
      </c>
      <c r="Q155">
        <f>IF($J155&gt;MAX('Match Log'!$A$4:$A$810),NA(),IFERROR(LOOKUP(2,1/(('Match Log'!$D$4:$D$810=$Q$24)*('Match Log'!$A$4:$A$810&lt;=$J155)),'Match Log'!$N$4:$N$810),NA()))</f>
        <v>1084.8903813508514</v>
      </c>
      <c r="R155">
        <f>IF($J155&gt;MAX('Match Log'!$A$4:$A$810),NA(),IFERROR(LOOKUP(2,1/(('Match Log'!$D$4:$D$810=$R$24)*('Match Log'!$A$4:$A$810&lt;=$J155)),'Match Log'!$N$4:$N$810),NA()))</f>
        <v>1050.8634549674414</v>
      </c>
      <c r="S155">
        <f>IF($J155&gt;MAX('Match Log'!$A$4:$A$810),NA(),IFERROR(LOOKUP(2,1/(('Match Log'!$D$4:$D$810=$S$24)*('Match Log'!$A$4:$A$810&lt;=$J155)),'Match Log'!$N$4:$N$810),NA()))</f>
        <v>1168.2113436007442</v>
      </c>
      <c r="T155">
        <f>IF($J155&gt;MAX('Match Log'!$A$4:$A$810),NA(),IFERROR(LOOKUP(2,1/(('Match Log'!$D$4:$D$810=$T$24)*('Match Log'!$A$4:$A$810&lt;=$J155)),'Match Log'!$N$4:$N$810),NA()))</f>
        <v>893.03675187725173</v>
      </c>
      <c r="U155">
        <f>IF($J155&gt;MAX('Match Log'!$A$4:$A$810),NA(),IFERROR(LOOKUP(2,1/(('Match Log'!$D$4:$D$810=$U$24)*('Match Log'!$A$4:$A$810&lt;=$J155)),'Match Log'!$N$4:$N$810),NA()))</f>
        <v>1058.6657209484931</v>
      </c>
      <c r="V155">
        <f>IF($J155&gt;MAX('Match Log'!$A$4:$A$810),NA(),IFERROR(LOOKUP(2,1/(('Match Log'!$D$4:$D$810=$V$24)*('Match Log'!$A$4:$A$810&lt;=$J155)),'Match Log'!$N$4:$N$810),NA()))</f>
        <v>1031.225848367051</v>
      </c>
      <c r="W155">
        <f>IF($J155&gt;MAX('Match Log'!$A$4:$A$810),NA(),IFERROR(LOOKUP(2,1/(('Match Log'!$D$4:$D$810=$W$24)*('Match Log'!$A$4:$A$810&lt;=$J155)),'Match Log'!$N$4:$N$810),NA()))</f>
        <v>1030.3815983388336</v>
      </c>
      <c r="X155" t="e">
        <f>IF($J155&gt;MAX('Match Log'!$A$4:$A$810),NA(),IFERROR(LOOKUP(2,1/(('Match Log'!$D$4:$D$810=$X$24)*('Match Log'!$A$4:$A$810&lt;=$J155)),'Match Log'!$N$4:$N$810),NA()))</f>
        <v>#N/A</v>
      </c>
      <c r="Y155">
        <f t="shared" ca="1" si="30"/>
        <v>-0.50013099999999999</v>
      </c>
    </row>
    <row r="156" spans="1:25" x14ac:dyDescent="0.2">
      <c r="A156">
        <v>132</v>
      </c>
      <c r="B156">
        <f>IFERROR(INDEX('Match Log'!$B$4:$B$810,MATCH(132,'Match Log'!$A$4:$A$810,0)),"")</f>
        <v>46213</v>
      </c>
      <c r="C156" t="str">
        <f>IFERROR(INDEX('Match Log'!$C$4:$C$810,MATCH(132,'Match Log'!$A$4:$A$810,0)),"")</f>
        <v>FIFA</v>
      </c>
      <c r="D156" t="str">
        <f t="array" ref="D156">IFERROR(_xlfn.TEXTJOIN(" + ",TRUE,IF(('Match Log'!$A$4:$A$810=$A156)*('Match Log'!$E$4:$E$810="Win"),'Match Log'!$D$4:$D$810,"")),IFERROR(LOOKUP(2,1/(('Match Log'!$A$4:$A$810=$A156)*('Match Log'!$E$4:$E$810="Win")),'Match Log'!$D$4:$D$810),""))</f>
        <v>Aaron</v>
      </c>
      <c r="E156">
        <f>IFERROR(INDEX('Match Log'!$F$4:$F$810,MATCH(132,'Match Log'!$A$4:$A$810,0)),"")</f>
        <v>2</v>
      </c>
      <c r="F156">
        <f>IFERROR(SUMIFS('Match Log'!$I$4:$I$810,'Match Log'!$A$4:$A$810,132,'Match Log'!$E$4:$E$810,"Win"),"")</f>
        <v>0.57142857142857151</v>
      </c>
      <c r="G156">
        <f t="shared" si="28"/>
        <v>-0.14285714285714302</v>
      </c>
      <c r="H156" t="str">
        <f t="array" ref="H156">IFERROR(IF(COUNTIFS('Match Log'!$A$4:$A$810,$A156,'Match Log'!$E$4:$E$810,"Win")&gt;1,_xlfn.TEXTJOIN(" + ",TRUE,IF(('Match Log'!$A$4:$A$810=$A156)*('Match Log'!$E$4:$E$810="Loss"),'Match Log'!$D$4:$D$810,"")),IF($E156=2,LOOKUP(2,1/(('Match Log'!$A$4:$A$810=$A156)*('Match Log'!$E$4:$E$810="Loss")),'Match Log'!$D$4:$D$810),"the field")),"")</f>
        <v>Shawn</v>
      </c>
      <c r="I156">
        <f t="shared" si="29"/>
        <v>-0.14298914285714301</v>
      </c>
      <c r="J156">
        <v>132</v>
      </c>
      <c r="K156">
        <f>IF($J156&gt;MAX('Match Log'!$A$4:$A$810),NA(),IFERROR(LOOKUP(2,1/(('Match Log'!$D$4:$D$810=$K$24)*('Match Log'!$A$4:$A$810&lt;=$J156)),'Match Log'!$N$4:$N$810),NA()))</f>
        <v>1061.4340486214085</v>
      </c>
      <c r="L156">
        <f>IF($J156&gt;MAX('Match Log'!$A$4:$A$810),NA(),IFERROR(LOOKUP(2,1/(('Match Log'!$D$4:$D$810=$L$24)*('Match Log'!$A$4:$A$810&lt;=$J156)),'Match Log'!$N$4:$N$810),NA()))</f>
        <v>1029.2201908859522</v>
      </c>
      <c r="M156">
        <f>IF($J156&gt;MAX('Match Log'!$A$4:$A$810),NA(),IFERROR(LOOKUP(2,1/(('Match Log'!$D$4:$D$810=$M$24)*('Match Log'!$A$4:$A$810&lt;=$J156)),'Match Log'!$N$4:$N$810),NA()))</f>
        <v>1016.7837867075796</v>
      </c>
      <c r="N156">
        <f>IF($J156&gt;MAX('Match Log'!$A$4:$A$810),NA(),IFERROR(LOOKUP(2,1/(('Match Log'!$D$4:$D$810=$N$24)*('Match Log'!$A$4:$A$810&lt;=$J156)),'Match Log'!$N$4:$N$810),NA()))</f>
        <v>981.92436608474441</v>
      </c>
      <c r="O156">
        <f>IF($J156&gt;MAX('Match Log'!$A$4:$A$810),NA(),IFERROR(LOOKUP(2,1/(('Match Log'!$D$4:$D$810=$O$24)*('Match Log'!$A$4:$A$810&lt;=$J156)),'Match Log'!$N$4:$N$810),NA()))</f>
        <v>1129.7012289075892</v>
      </c>
      <c r="P156">
        <f>IF($J156&gt;MAX('Match Log'!$A$4:$A$810),NA(),IFERROR(LOOKUP(2,1/(('Match Log'!$D$4:$D$810=$P$24)*('Match Log'!$A$4:$A$810&lt;=$J156)),'Match Log'!$N$4:$N$810),NA()))</f>
        <v>1067.6612793420591</v>
      </c>
      <c r="Q156">
        <f>IF($J156&gt;MAX('Match Log'!$A$4:$A$810),NA(),IFERROR(LOOKUP(2,1/(('Match Log'!$D$4:$D$810=$Q$24)*('Match Log'!$A$4:$A$810&lt;=$J156)),'Match Log'!$N$4:$N$810),NA()))</f>
        <v>1084.8903813508514</v>
      </c>
      <c r="R156">
        <f>IF($J156&gt;MAX('Match Log'!$A$4:$A$810),NA(),IFERROR(LOOKUP(2,1/(('Match Log'!$D$4:$D$810=$R$24)*('Match Log'!$A$4:$A$810&lt;=$J156)),'Match Log'!$N$4:$N$810),NA()))</f>
        <v>1050.8634549674414</v>
      </c>
      <c r="S156">
        <f>IF($J156&gt;MAX('Match Log'!$A$4:$A$810),NA(),IFERROR(LOOKUP(2,1/(('Match Log'!$D$4:$D$810=$S$24)*('Match Log'!$A$4:$A$810&lt;=$J156)),'Match Log'!$N$4:$N$810),NA()))</f>
        <v>1168.2113436007442</v>
      </c>
      <c r="T156">
        <f>IF($J156&gt;MAX('Match Log'!$A$4:$A$810),NA(),IFERROR(LOOKUP(2,1/(('Match Log'!$D$4:$D$810=$T$24)*('Match Log'!$A$4:$A$810&lt;=$J156)),'Match Log'!$N$4:$N$810),NA()))</f>
        <v>893.03675187725173</v>
      </c>
      <c r="U156">
        <f>IF($J156&gt;MAX('Match Log'!$A$4:$A$810),NA(),IFERROR(LOOKUP(2,1/(('Match Log'!$D$4:$D$810=$U$24)*('Match Log'!$A$4:$A$810&lt;=$J156)),'Match Log'!$N$4:$N$810),NA()))</f>
        <v>1058.6657209484931</v>
      </c>
      <c r="V156">
        <f>IF($J156&gt;MAX('Match Log'!$A$4:$A$810),NA(),IFERROR(LOOKUP(2,1/(('Match Log'!$D$4:$D$810=$V$24)*('Match Log'!$A$4:$A$810&lt;=$J156)),'Match Log'!$N$4:$N$810),NA()))</f>
        <v>1031.225848367051</v>
      </c>
      <c r="W156">
        <f>IF($J156&gt;MAX('Match Log'!$A$4:$A$810),NA(),IFERROR(LOOKUP(2,1/(('Match Log'!$D$4:$D$810=$W$24)*('Match Log'!$A$4:$A$810&lt;=$J156)),'Match Log'!$N$4:$N$810),NA()))</f>
        <v>1030.3815983388336</v>
      </c>
      <c r="X156" t="e">
        <f>IF($J156&gt;MAX('Match Log'!$A$4:$A$810),NA(),IFERROR(LOOKUP(2,1/(('Match Log'!$D$4:$D$810=$X$24)*('Match Log'!$A$4:$A$810&lt;=$J156)),'Match Log'!$N$4:$N$810),NA()))</f>
        <v>#N/A</v>
      </c>
      <c r="Y156">
        <f t="shared" ca="1" si="30"/>
        <v>-0.14298914285714301</v>
      </c>
    </row>
    <row r="157" spans="1:25" x14ac:dyDescent="0.2">
      <c r="A157">
        <v>133</v>
      </c>
      <c r="B157">
        <f>IFERROR(INDEX('Match Log'!$B$4:$B$810,MATCH(133,'Match Log'!$A$4:$A$810,0)),"")</f>
        <v>46213</v>
      </c>
      <c r="C157" t="str">
        <f>IFERROR(INDEX('Match Log'!$C$4:$C$810,MATCH(133,'Match Log'!$A$4:$A$810,0)),"")</f>
        <v>FIFA</v>
      </c>
      <c r="D157" t="str">
        <f t="array" ref="D157">IFERROR(_xlfn.TEXTJOIN(" + ",TRUE,IF(('Match Log'!$A$4:$A$810=$A157)*('Match Log'!$E$4:$E$810="Win"),'Match Log'!$D$4:$D$810,"")),IFERROR(LOOKUP(2,1/(('Match Log'!$A$4:$A$810=$A157)*('Match Log'!$E$4:$E$810="Win")),'Match Log'!$D$4:$D$810),""))</f>
        <v>Aaron</v>
      </c>
      <c r="E157">
        <f>IFERROR(INDEX('Match Log'!$F$4:$F$810,MATCH(133,'Match Log'!$A$4:$A$810,0)),"")</f>
        <v>2</v>
      </c>
      <c r="F157">
        <f>IFERROR(SUMIFS('Match Log'!$I$4:$I$810,'Match Log'!$A$4:$A$810,133,'Match Log'!$E$4:$E$810,"Win"),"")</f>
        <v>0.59247648902821326</v>
      </c>
      <c r="G157">
        <f t="shared" si="28"/>
        <v>-0.18495297805642652</v>
      </c>
      <c r="H157" t="str">
        <f t="array" ref="H157">IFERROR(IF(COUNTIFS('Match Log'!$A$4:$A$810,$A157,'Match Log'!$E$4:$E$810,"Win")&gt;1,_xlfn.TEXTJOIN(" + ",TRUE,IF(('Match Log'!$A$4:$A$810=$A157)*('Match Log'!$E$4:$E$810="Loss"),'Match Log'!$D$4:$D$810,"")),IF($E157=2,LOOKUP(2,1/(('Match Log'!$A$4:$A$810=$A157)*('Match Log'!$E$4:$E$810="Loss")),'Match Log'!$D$4:$D$810),"the field")),"")</f>
        <v>Shawn</v>
      </c>
      <c r="I157">
        <f t="shared" si="29"/>
        <v>-0.18508597805642651</v>
      </c>
      <c r="J157">
        <v>133</v>
      </c>
      <c r="K157">
        <f>IF($J157&gt;MAX('Match Log'!$A$4:$A$810),NA(),IFERROR(LOOKUP(2,1/(('Match Log'!$D$4:$D$810=$K$24)*('Match Log'!$A$4:$A$810&lt;=$J157)),'Match Log'!$N$4:$N$810),NA()))</f>
        <v>1079.6756025728332</v>
      </c>
      <c r="L157">
        <f>IF($J157&gt;MAX('Match Log'!$A$4:$A$810),NA(),IFERROR(LOOKUP(2,1/(('Match Log'!$D$4:$D$810=$L$24)*('Match Log'!$A$4:$A$810&lt;=$J157)),'Match Log'!$N$4:$N$810),NA()))</f>
        <v>1029.2201908859522</v>
      </c>
      <c r="M157">
        <f>IF($J157&gt;MAX('Match Log'!$A$4:$A$810),NA(),IFERROR(LOOKUP(2,1/(('Match Log'!$D$4:$D$810=$M$24)*('Match Log'!$A$4:$A$810&lt;=$J157)),'Match Log'!$N$4:$N$810),NA()))</f>
        <v>1016.7837867075796</v>
      </c>
      <c r="N157">
        <f>IF($J157&gt;MAX('Match Log'!$A$4:$A$810),NA(),IFERROR(LOOKUP(2,1/(('Match Log'!$D$4:$D$810=$N$24)*('Match Log'!$A$4:$A$810&lt;=$J157)),'Match Log'!$N$4:$N$810),NA()))</f>
        <v>981.92436608474441</v>
      </c>
      <c r="O157">
        <f>IF($J157&gt;MAX('Match Log'!$A$4:$A$810),NA(),IFERROR(LOOKUP(2,1/(('Match Log'!$D$4:$D$810=$O$24)*('Match Log'!$A$4:$A$810&lt;=$J157)),'Match Log'!$N$4:$N$810),NA()))</f>
        <v>1129.7012289075892</v>
      </c>
      <c r="P157">
        <f>IF($J157&gt;MAX('Match Log'!$A$4:$A$810),NA(),IFERROR(LOOKUP(2,1/(('Match Log'!$D$4:$D$810=$P$24)*('Match Log'!$A$4:$A$810&lt;=$J157)),'Match Log'!$N$4:$N$810),NA()))</f>
        <v>1049.4197253906343</v>
      </c>
      <c r="Q157">
        <f>IF($J157&gt;MAX('Match Log'!$A$4:$A$810),NA(),IFERROR(LOOKUP(2,1/(('Match Log'!$D$4:$D$810=$Q$24)*('Match Log'!$A$4:$A$810&lt;=$J157)),'Match Log'!$N$4:$N$810),NA()))</f>
        <v>1084.8903813508514</v>
      </c>
      <c r="R157">
        <f>IF($J157&gt;MAX('Match Log'!$A$4:$A$810),NA(),IFERROR(LOOKUP(2,1/(('Match Log'!$D$4:$D$810=$R$24)*('Match Log'!$A$4:$A$810&lt;=$J157)),'Match Log'!$N$4:$N$810),NA()))</f>
        <v>1050.8634549674414</v>
      </c>
      <c r="S157">
        <f>IF($J157&gt;MAX('Match Log'!$A$4:$A$810),NA(),IFERROR(LOOKUP(2,1/(('Match Log'!$D$4:$D$810=$S$24)*('Match Log'!$A$4:$A$810&lt;=$J157)),'Match Log'!$N$4:$N$810),NA()))</f>
        <v>1168.2113436007442</v>
      </c>
      <c r="T157">
        <f>IF($J157&gt;MAX('Match Log'!$A$4:$A$810),NA(),IFERROR(LOOKUP(2,1/(('Match Log'!$D$4:$D$810=$T$24)*('Match Log'!$A$4:$A$810&lt;=$J157)),'Match Log'!$N$4:$N$810),NA()))</f>
        <v>893.03675187725173</v>
      </c>
      <c r="U157">
        <f>IF($J157&gt;MAX('Match Log'!$A$4:$A$810),NA(),IFERROR(LOOKUP(2,1/(('Match Log'!$D$4:$D$810=$U$24)*('Match Log'!$A$4:$A$810&lt;=$J157)),'Match Log'!$N$4:$N$810),NA()))</f>
        <v>1058.6657209484931</v>
      </c>
      <c r="V157">
        <f>IF($J157&gt;MAX('Match Log'!$A$4:$A$810),NA(),IFERROR(LOOKUP(2,1/(('Match Log'!$D$4:$D$810=$V$24)*('Match Log'!$A$4:$A$810&lt;=$J157)),'Match Log'!$N$4:$N$810),NA()))</f>
        <v>1031.225848367051</v>
      </c>
      <c r="W157">
        <f>IF($J157&gt;MAX('Match Log'!$A$4:$A$810),NA(),IFERROR(LOOKUP(2,1/(('Match Log'!$D$4:$D$810=$W$24)*('Match Log'!$A$4:$A$810&lt;=$J157)),'Match Log'!$N$4:$N$810),NA()))</f>
        <v>1030.3815983388336</v>
      </c>
      <c r="X157" t="e">
        <f>IF($J157&gt;MAX('Match Log'!$A$4:$A$810),NA(),IFERROR(LOOKUP(2,1/(('Match Log'!$D$4:$D$810=$X$24)*('Match Log'!$A$4:$A$810&lt;=$J157)),'Match Log'!$N$4:$N$810),NA()))</f>
        <v>#N/A</v>
      </c>
      <c r="Y157">
        <f t="shared" ca="1" si="30"/>
        <v>-0.18508597805642651</v>
      </c>
    </row>
    <row r="158" spans="1:25" x14ac:dyDescent="0.2">
      <c r="A158">
        <v>134</v>
      </c>
      <c r="B158">
        <f>IFERROR(INDEX('Match Log'!$B$4:$B$810,MATCH(134,'Match Log'!$A$4:$A$810,0)),"")</f>
        <v>46213</v>
      </c>
      <c r="C158" t="str">
        <f>IFERROR(INDEX('Match Log'!$C$4:$C$810,MATCH(134,'Match Log'!$A$4:$A$810,0)),"")</f>
        <v>Mario Golf</v>
      </c>
      <c r="D158" t="str">
        <f t="array" ref="D158">IFERROR(_xlfn.TEXTJOIN(" + ",TRUE,IF(('Match Log'!$A$4:$A$810=$A158)*('Match Log'!$E$4:$E$810="Win"),'Match Log'!$D$4:$D$810,"")),IFERROR(LOOKUP(2,1/(('Match Log'!$A$4:$A$810=$A158)*('Match Log'!$E$4:$E$810="Win")),'Match Log'!$D$4:$D$810),""))</f>
        <v>Shawn</v>
      </c>
      <c r="E158">
        <f>IFERROR(INDEX('Match Log'!$F$4:$F$810,MATCH(134,'Match Log'!$A$4:$A$810,0)),"")</f>
        <v>2</v>
      </c>
      <c r="F158">
        <f>IFERROR(SUMIFS('Match Log'!$I$4:$I$810,'Match Log'!$A$4:$A$810,134,'Match Log'!$E$4:$E$810,"Win"),"")</f>
        <v>0.8</v>
      </c>
      <c r="G158">
        <f t="shared" si="28"/>
        <v>-0.60000000000000009</v>
      </c>
      <c r="H158" t="str">
        <f t="array" ref="H158">IFERROR(IF(COUNTIFS('Match Log'!$A$4:$A$810,$A158,'Match Log'!$E$4:$E$810,"Win")&gt;1,_xlfn.TEXTJOIN(" + ",TRUE,IF(('Match Log'!$A$4:$A$810=$A158)*('Match Log'!$E$4:$E$810="Loss"),'Match Log'!$D$4:$D$810,"")),IF($E158=2,LOOKUP(2,1/(('Match Log'!$A$4:$A$810=$A158)*('Match Log'!$E$4:$E$810="Loss")),'Match Log'!$D$4:$D$810),"the field")),"")</f>
        <v>Aaron</v>
      </c>
      <c r="I158">
        <f t="shared" si="29"/>
        <v>-0.60013400000000006</v>
      </c>
      <c r="J158">
        <v>134</v>
      </c>
      <c r="K158">
        <f>IF($J158&gt;MAX('Match Log'!$A$4:$A$810),NA(),IFERROR(LOOKUP(2,1/(('Match Log'!$D$4:$D$810=$K$24)*('Match Log'!$A$4:$A$810&lt;=$J158)),'Match Log'!$N$4:$N$810),NA()))</f>
        <v>1061.9153995559886</v>
      </c>
      <c r="L158">
        <f>IF($J158&gt;MAX('Match Log'!$A$4:$A$810),NA(),IFERROR(LOOKUP(2,1/(('Match Log'!$D$4:$D$810=$L$24)*('Match Log'!$A$4:$A$810&lt;=$J158)),'Match Log'!$N$4:$N$810),NA()))</f>
        <v>1029.2201908859522</v>
      </c>
      <c r="M158">
        <f>IF($J158&gt;MAX('Match Log'!$A$4:$A$810),NA(),IFERROR(LOOKUP(2,1/(('Match Log'!$D$4:$D$810=$M$24)*('Match Log'!$A$4:$A$810&lt;=$J158)),'Match Log'!$N$4:$N$810),NA()))</f>
        <v>1016.7837867075796</v>
      </c>
      <c r="N158">
        <f>IF($J158&gt;MAX('Match Log'!$A$4:$A$810),NA(),IFERROR(LOOKUP(2,1/(('Match Log'!$D$4:$D$810=$N$24)*('Match Log'!$A$4:$A$810&lt;=$J158)),'Match Log'!$N$4:$N$810),NA()))</f>
        <v>981.92436608474441</v>
      </c>
      <c r="O158">
        <f>IF($J158&gt;MAX('Match Log'!$A$4:$A$810),NA(),IFERROR(LOOKUP(2,1/(('Match Log'!$D$4:$D$810=$O$24)*('Match Log'!$A$4:$A$810&lt;=$J158)),'Match Log'!$N$4:$N$810),NA()))</f>
        <v>1129.7012289075892</v>
      </c>
      <c r="P158">
        <f>IF($J158&gt;MAX('Match Log'!$A$4:$A$810),NA(),IFERROR(LOOKUP(2,1/(('Match Log'!$D$4:$D$810=$P$24)*('Match Log'!$A$4:$A$810&lt;=$J158)),'Match Log'!$N$4:$N$810),NA()))</f>
        <v>1067.1799284074789</v>
      </c>
      <c r="Q158">
        <f>IF($J158&gt;MAX('Match Log'!$A$4:$A$810),NA(),IFERROR(LOOKUP(2,1/(('Match Log'!$D$4:$D$810=$Q$24)*('Match Log'!$A$4:$A$810&lt;=$J158)),'Match Log'!$N$4:$N$810),NA()))</f>
        <v>1084.8903813508514</v>
      </c>
      <c r="R158">
        <f>IF($J158&gt;MAX('Match Log'!$A$4:$A$810),NA(),IFERROR(LOOKUP(2,1/(('Match Log'!$D$4:$D$810=$R$24)*('Match Log'!$A$4:$A$810&lt;=$J158)),'Match Log'!$N$4:$N$810),NA()))</f>
        <v>1050.8634549674414</v>
      </c>
      <c r="S158">
        <f>IF($J158&gt;MAX('Match Log'!$A$4:$A$810),NA(),IFERROR(LOOKUP(2,1/(('Match Log'!$D$4:$D$810=$S$24)*('Match Log'!$A$4:$A$810&lt;=$J158)),'Match Log'!$N$4:$N$810),NA()))</f>
        <v>1168.2113436007442</v>
      </c>
      <c r="T158">
        <f>IF($J158&gt;MAX('Match Log'!$A$4:$A$810),NA(),IFERROR(LOOKUP(2,1/(('Match Log'!$D$4:$D$810=$T$24)*('Match Log'!$A$4:$A$810&lt;=$J158)),'Match Log'!$N$4:$N$810),NA()))</f>
        <v>893.03675187725173</v>
      </c>
      <c r="U158">
        <f>IF($J158&gt;MAX('Match Log'!$A$4:$A$810),NA(),IFERROR(LOOKUP(2,1/(('Match Log'!$D$4:$D$810=$U$24)*('Match Log'!$A$4:$A$810&lt;=$J158)),'Match Log'!$N$4:$N$810),NA()))</f>
        <v>1058.6657209484931</v>
      </c>
      <c r="V158">
        <f>IF($J158&gt;MAX('Match Log'!$A$4:$A$810),NA(),IFERROR(LOOKUP(2,1/(('Match Log'!$D$4:$D$810=$V$24)*('Match Log'!$A$4:$A$810&lt;=$J158)),'Match Log'!$N$4:$N$810),NA()))</f>
        <v>1031.225848367051</v>
      </c>
      <c r="W158">
        <f>IF($J158&gt;MAX('Match Log'!$A$4:$A$810),NA(),IFERROR(LOOKUP(2,1/(('Match Log'!$D$4:$D$810=$W$24)*('Match Log'!$A$4:$A$810&lt;=$J158)),'Match Log'!$N$4:$N$810),NA()))</f>
        <v>1030.3815983388336</v>
      </c>
      <c r="X158" t="e">
        <f>IF($J158&gt;MAX('Match Log'!$A$4:$A$810),NA(),IFERROR(LOOKUP(2,1/(('Match Log'!$D$4:$D$810=$X$24)*('Match Log'!$A$4:$A$810&lt;=$J158)),'Match Log'!$N$4:$N$810),NA()))</f>
        <v>#N/A</v>
      </c>
      <c r="Y158">
        <f t="shared" ca="1" si="30"/>
        <v>-0.60013400000000006</v>
      </c>
    </row>
    <row r="159" spans="1:25" x14ac:dyDescent="0.2">
      <c r="A159">
        <v>135</v>
      </c>
      <c r="B159">
        <f>IFERROR(INDEX('Match Log'!$B$4:$B$810,MATCH(135,'Match Log'!$A$4:$A$810,0)),"")</f>
        <v>46213</v>
      </c>
      <c r="C159" t="str">
        <f>IFERROR(INDEX('Match Log'!$C$4:$C$810,MATCH(135,'Match Log'!$A$4:$A$810,0)),"")</f>
        <v>Mario Golf</v>
      </c>
      <c r="D159" t="str">
        <f t="array" ref="D159">IFERROR(_xlfn.TEXTJOIN(" + ",TRUE,IF(('Match Log'!$A$4:$A$810=$A159)*('Match Log'!$E$4:$E$810="Win"),'Match Log'!$D$4:$D$810,"")),IFERROR(LOOKUP(2,1/(('Match Log'!$A$4:$A$810=$A159)*('Match Log'!$E$4:$E$810="Win")),'Match Log'!$D$4:$D$810),""))</f>
        <v>Aaron</v>
      </c>
      <c r="E159">
        <f>IFERROR(INDEX('Match Log'!$F$4:$F$810,MATCH(135,'Match Log'!$A$4:$A$810,0)),"")</f>
        <v>2</v>
      </c>
      <c r="F159">
        <f>IFERROR(SUMIFS('Match Log'!$I$4:$I$810,'Match Log'!$A$4:$A$810,135,'Match Log'!$E$4:$E$810,"Win"),"")</f>
        <v>0.16666666666666666</v>
      </c>
      <c r="G159">
        <f t="shared" si="28"/>
        <v>0.66666666666666674</v>
      </c>
      <c r="H159" t="str">
        <f t="array" ref="H159">IFERROR(IF(COUNTIFS('Match Log'!$A$4:$A$810,$A159,'Match Log'!$E$4:$E$810,"Win")&gt;1,_xlfn.TEXTJOIN(" + ",TRUE,IF(('Match Log'!$A$4:$A$810=$A159)*('Match Log'!$E$4:$E$810="Loss"),'Match Log'!$D$4:$D$810,"")),IF($E159=2,LOOKUP(2,1/(('Match Log'!$A$4:$A$810=$A159)*('Match Log'!$E$4:$E$810="Loss")),'Match Log'!$D$4:$D$810),"the field")),"")</f>
        <v>Shawn</v>
      </c>
      <c r="I159">
        <f t="shared" si="29"/>
        <v>0.66653166666666674</v>
      </c>
      <c r="J159">
        <v>135</v>
      </c>
      <c r="K159">
        <f>IF($J159&gt;MAX('Match Log'!$A$4:$A$810),NA(),IFERROR(LOOKUP(2,1/(('Match Log'!$D$4:$D$810=$K$24)*('Match Log'!$A$4:$A$810&lt;=$J159)),'Match Log'!$N$4:$N$810),NA()))</f>
        <v>1090.3160302328126</v>
      </c>
      <c r="L159">
        <f>IF($J159&gt;MAX('Match Log'!$A$4:$A$810),NA(),IFERROR(LOOKUP(2,1/(('Match Log'!$D$4:$D$810=$L$24)*('Match Log'!$A$4:$A$810&lt;=$J159)),'Match Log'!$N$4:$N$810),NA()))</f>
        <v>1029.2201908859522</v>
      </c>
      <c r="M159">
        <f>IF($J159&gt;MAX('Match Log'!$A$4:$A$810),NA(),IFERROR(LOOKUP(2,1/(('Match Log'!$D$4:$D$810=$M$24)*('Match Log'!$A$4:$A$810&lt;=$J159)),'Match Log'!$N$4:$N$810),NA()))</f>
        <v>1016.7837867075796</v>
      </c>
      <c r="N159">
        <f>IF($J159&gt;MAX('Match Log'!$A$4:$A$810),NA(),IFERROR(LOOKUP(2,1/(('Match Log'!$D$4:$D$810=$N$24)*('Match Log'!$A$4:$A$810&lt;=$J159)),'Match Log'!$N$4:$N$810),NA()))</f>
        <v>981.92436608474441</v>
      </c>
      <c r="O159">
        <f>IF($J159&gt;MAX('Match Log'!$A$4:$A$810),NA(),IFERROR(LOOKUP(2,1/(('Match Log'!$D$4:$D$810=$O$24)*('Match Log'!$A$4:$A$810&lt;=$J159)),'Match Log'!$N$4:$N$810),NA()))</f>
        <v>1129.7012289075892</v>
      </c>
      <c r="P159">
        <f>IF($J159&gt;MAX('Match Log'!$A$4:$A$810),NA(),IFERROR(LOOKUP(2,1/(('Match Log'!$D$4:$D$810=$P$24)*('Match Log'!$A$4:$A$810&lt;=$J159)),'Match Log'!$N$4:$N$810),NA()))</f>
        <v>1038.7792977306549</v>
      </c>
      <c r="Q159">
        <f>IF($J159&gt;MAX('Match Log'!$A$4:$A$810),NA(),IFERROR(LOOKUP(2,1/(('Match Log'!$D$4:$D$810=$Q$24)*('Match Log'!$A$4:$A$810&lt;=$J159)),'Match Log'!$N$4:$N$810),NA()))</f>
        <v>1084.8903813508514</v>
      </c>
      <c r="R159">
        <f>IF($J159&gt;MAX('Match Log'!$A$4:$A$810),NA(),IFERROR(LOOKUP(2,1/(('Match Log'!$D$4:$D$810=$R$24)*('Match Log'!$A$4:$A$810&lt;=$J159)),'Match Log'!$N$4:$N$810),NA()))</f>
        <v>1050.8634549674414</v>
      </c>
      <c r="S159">
        <f>IF($J159&gt;MAX('Match Log'!$A$4:$A$810),NA(),IFERROR(LOOKUP(2,1/(('Match Log'!$D$4:$D$810=$S$24)*('Match Log'!$A$4:$A$810&lt;=$J159)),'Match Log'!$N$4:$N$810),NA()))</f>
        <v>1168.2113436007442</v>
      </c>
      <c r="T159">
        <f>IF($J159&gt;MAX('Match Log'!$A$4:$A$810),NA(),IFERROR(LOOKUP(2,1/(('Match Log'!$D$4:$D$810=$T$24)*('Match Log'!$A$4:$A$810&lt;=$J159)),'Match Log'!$N$4:$N$810),NA()))</f>
        <v>893.03675187725173</v>
      </c>
      <c r="U159">
        <f>IF($J159&gt;MAX('Match Log'!$A$4:$A$810),NA(),IFERROR(LOOKUP(2,1/(('Match Log'!$D$4:$D$810=$U$24)*('Match Log'!$A$4:$A$810&lt;=$J159)),'Match Log'!$N$4:$N$810),NA()))</f>
        <v>1058.6657209484931</v>
      </c>
      <c r="V159">
        <f>IF($J159&gt;MAX('Match Log'!$A$4:$A$810),NA(),IFERROR(LOOKUP(2,1/(('Match Log'!$D$4:$D$810=$V$24)*('Match Log'!$A$4:$A$810&lt;=$J159)),'Match Log'!$N$4:$N$810),NA()))</f>
        <v>1031.225848367051</v>
      </c>
      <c r="W159">
        <f>IF($J159&gt;MAX('Match Log'!$A$4:$A$810),NA(),IFERROR(LOOKUP(2,1/(('Match Log'!$D$4:$D$810=$W$24)*('Match Log'!$A$4:$A$810&lt;=$J159)),'Match Log'!$N$4:$N$810),NA()))</f>
        <v>1030.3815983388336</v>
      </c>
      <c r="X159" t="e">
        <f>IF($J159&gt;MAX('Match Log'!$A$4:$A$810),NA(),IFERROR(LOOKUP(2,1/(('Match Log'!$D$4:$D$810=$X$24)*('Match Log'!$A$4:$A$810&lt;=$J159)),'Match Log'!$N$4:$N$810),NA()))</f>
        <v>#N/A</v>
      </c>
      <c r="Y159">
        <f t="shared" ca="1" si="30"/>
        <v>0.66653166666666674</v>
      </c>
    </row>
    <row r="160" spans="1:25" x14ac:dyDescent="0.2">
      <c r="A160">
        <v>136</v>
      </c>
      <c r="B160">
        <f>IFERROR(INDEX('Match Log'!$B$4:$B$810,MATCH(136,'Match Log'!$A$4:$A$810,0)),"")</f>
        <v>46213</v>
      </c>
      <c r="C160" t="str">
        <f>IFERROR(INDEX('Match Log'!$C$4:$C$810,MATCH(136,'Match Log'!$A$4:$A$810,0)),"")</f>
        <v>Mario Party</v>
      </c>
      <c r="D160" t="str">
        <f t="array" ref="D160">IFERROR(_xlfn.TEXTJOIN(" + ",TRUE,IF(('Match Log'!$A$4:$A$810=$A160)*('Match Log'!$E$4:$E$810="Win"),'Match Log'!$D$4:$D$810,"")),IFERROR(LOOKUP(2,1/(('Match Log'!$A$4:$A$810=$A160)*('Match Log'!$E$4:$E$810="Win")),'Match Log'!$D$4:$D$810),""))</f>
        <v>Aaron</v>
      </c>
      <c r="E160">
        <f>IFERROR(INDEX('Match Log'!$F$4:$F$810,MATCH(136,'Match Log'!$A$4:$A$810,0)),"")</f>
        <v>2</v>
      </c>
      <c r="F160">
        <f>IFERROR(SUMIFS('Match Log'!$I$4:$I$810,'Match Log'!$A$4:$A$810,136,'Match Log'!$E$4:$E$810,"Win"),"")</f>
        <v>0.625</v>
      </c>
      <c r="G160">
        <f t="shared" si="28"/>
        <v>-0.25</v>
      </c>
      <c r="H160" t="str">
        <f t="array" ref="H160">IFERROR(IF(COUNTIFS('Match Log'!$A$4:$A$810,$A160,'Match Log'!$E$4:$E$810,"Win")&gt;1,_xlfn.TEXTJOIN(" + ",TRUE,IF(('Match Log'!$A$4:$A$810=$A160)*('Match Log'!$E$4:$E$810="Loss"),'Match Log'!$D$4:$D$810,"")),IF($E160=2,LOOKUP(2,1/(('Match Log'!$A$4:$A$810=$A160)*('Match Log'!$E$4:$E$810="Loss")),'Match Log'!$D$4:$D$810),"the field")),"")</f>
        <v>Shawn</v>
      </c>
      <c r="I160">
        <f t="shared" si="29"/>
        <v>-0.25013600000000002</v>
      </c>
      <c r="J160">
        <v>136</v>
      </c>
      <c r="K160">
        <f>IF($J160&gt;MAX('Match Log'!$A$4:$A$810),NA(),IFERROR(LOOKUP(2,1/(('Match Log'!$D$4:$D$810=$K$24)*('Match Log'!$A$4:$A$810&lt;=$J160)),'Match Log'!$N$4:$N$810),NA()))</f>
        <v>1107.5369206684595</v>
      </c>
      <c r="L160">
        <f>IF($J160&gt;MAX('Match Log'!$A$4:$A$810),NA(),IFERROR(LOOKUP(2,1/(('Match Log'!$D$4:$D$810=$L$24)*('Match Log'!$A$4:$A$810&lt;=$J160)),'Match Log'!$N$4:$N$810),NA()))</f>
        <v>1029.2201908859522</v>
      </c>
      <c r="M160">
        <f>IF($J160&gt;MAX('Match Log'!$A$4:$A$810),NA(),IFERROR(LOOKUP(2,1/(('Match Log'!$D$4:$D$810=$M$24)*('Match Log'!$A$4:$A$810&lt;=$J160)),'Match Log'!$N$4:$N$810),NA()))</f>
        <v>1016.7837867075796</v>
      </c>
      <c r="N160">
        <f>IF($J160&gt;MAX('Match Log'!$A$4:$A$810),NA(),IFERROR(LOOKUP(2,1/(('Match Log'!$D$4:$D$810=$N$24)*('Match Log'!$A$4:$A$810&lt;=$J160)),'Match Log'!$N$4:$N$810),NA()))</f>
        <v>981.92436608474441</v>
      </c>
      <c r="O160">
        <f>IF($J160&gt;MAX('Match Log'!$A$4:$A$810),NA(),IFERROR(LOOKUP(2,1/(('Match Log'!$D$4:$D$810=$O$24)*('Match Log'!$A$4:$A$810&lt;=$J160)),'Match Log'!$N$4:$N$810),NA()))</f>
        <v>1129.7012289075892</v>
      </c>
      <c r="P160">
        <f>IF($J160&gt;MAX('Match Log'!$A$4:$A$810),NA(),IFERROR(LOOKUP(2,1/(('Match Log'!$D$4:$D$810=$P$24)*('Match Log'!$A$4:$A$810&lt;=$J160)),'Match Log'!$N$4:$N$810),NA()))</f>
        <v>1021.558407295008</v>
      </c>
      <c r="Q160">
        <f>IF($J160&gt;MAX('Match Log'!$A$4:$A$810),NA(),IFERROR(LOOKUP(2,1/(('Match Log'!$D$4:$D$810=$Q$24)*('Match Log'!$A$4:$A$810&lt;=$J160)),'Match Log'!$N$4:$N$810),NA()))</f>
        <v>1084.8903813508514</v>
      </c>
      <c r="R160">
        <f>IF($J160&gt;MAX('Match Log'!$A$4:$A$810),NA(),IFERROR(LOOKUP(2,1/(('Match Log'!$D$4:$D$810=$R$24)*('Match Log'!$A$4:$A$810&lt;=$J160)),'Match Log'!$N$4:$N$810),NA()))</f>
        <v>1050.8634549674414</v>
      </c>
      <c r="S160">
        <f>IF($J160&gt;MAX('Match Log'!$A$4:$A$810),NA(),IFERROR(LOOKUP(2,1/(('Match Log'!$D$4:$D$810=$S$24)*('Match Log'!$A$4:$A$810&lt;=$J160)),'Match Log'!$N$4:$N$810),NA()))</f>
        <v>1168.2113436007442</v>
      </c>
      <c r="T160">
        <f>IF($J160&gt;MAX('Match Log'!$A$4:$A$810),NA(),IFERROR(LOOKUP(2,1/(('Match Log'!$D$4:$D$810=$T$24)*('Match Log'!$A$4:$A$810&lt;=$J160)),'Match Log'!$N$4:$N$810),NA()))</f>
        <v>893.03675187725173</v>
      </c>
      <c r="U160">
        <f>IF($J160&gt;MAX('Match Log'!$A$4:$A$810),NA(),IFERROR(LOOKUP(2,1/(('Match Log'!$D$4:$D$810=$U$24)*('Match Log'!$A$4:$A$810&lt;=$J160)),'Match Log'!$N$4:$N$810),NA()))</f>
        <v>1058.6657209484931</v>
      </c>
      <c r="V160">
        <f>IF($J160&gt;MAX('Match Log'!$A$4:$A$810),NA(),IFERROR(LOOKUP(2,1/(('Match Log'!$D$4:$D$810=$V$24)*('Match Log'!$A$4:$A$810&lt;=$J160)),'Match Log'!$N$4:$N$810),NA()))</f>
        <v>1031.225848367051</v>
      </c>
      <c r="W160">
        <f>IF($J160&gt;MAX('Match Log'!$A$4:$A$810),NA(),IFERROR(LOOKUP(2,1/(('Match Log'!$D$4:$D$810=$W$24)*('Match Log'!$A$4:$A$810&lt;=$J160)),'Match Log'!$N$4:$N$810),NA()))</f>
        <v>1030.3815983388336</v>
      </c>
      <c r="X160" t="e">
        <f>IF($J160&gt;MAX('Match Log'!$A$4:$A$810),NA(),IFERROR(LOOKUP(2,1/(('Match Log'!$D$4:$D$810=$X$24)*('Match Log'!$A$4:$A$810&lt;=$J160)),'Match Log'!$N$4:$N$810),NA()))</f>
        <v>#N/A</v>
      </c>
      <c r="Y160">
        <f t="shared" ca="1" si="30"/>
        <v>-0.25013600000000002</v>
      </c>
    </row>
    <row r="161" spans="1:25" x14ac:dyDescent="0.2">
      <c r="A161">
        <v>137</v>
      </c>
      <c r="B161">
        <f>IFERROR(INDEX('Match Log'!$B$4:$B$810,MATCH(137,'Match Log'!$A$4:$A$810,0)),"")</f>
        <v>46214</v>
      </c>
      <c r="C161" t="str">
        <f>IFERROR(INDEX('Match Log'!$C$4:$C$810,MATCH(137,'Match Log'!$A$4:$A$810,0)),"")</f>
        <v>Mario Golf</v>
      </c>
      <c r="D161" t="str">
        <f t="array" ref="D161">IFERROR(_xlfn.TEXTJOIN(" + ",TRUE,IF(('Match Log'!$A$4:$A$810=$A161)*('Match Log'!$E$4:$E$810="Win"),'Match Log'!$D$4:$D$810,"")),IFERROR(LOOKUP(2,1/(('Match Log'!$A$4:$A$810=$A161)*('Match Log'!$E$4:$E$810="Win")),'Match Log'!$D$4:$D$810),""))</f>
        <v>Aaron</v>
      </c>
      <c r="E161">
        <f>IFERROR(INDEX('Match Log'!$F$4:$F$810,MATCH(137,'Match Log'!$A$4:$A$810,0)),"")</f>
        <v>2</v>
      </c>
      <c r="F161">
        <f>IFERROR(SUMIFS('Match Log'!$I$4:$I$810,'Match Log'!$A$4:$A$810,137,'Match Log'!$E$4:$E$810,"Win"),"")</f>
        <v>0.2857142857142857</v>
      </c>
      <c r="G161">
        <f t="shared" si="28"/>
        <v>0.4285714285714286</v>
      </c>
      <c r="H161" t="str">
        <f t="array" ref="H161">IFERROR(IF(COUNTIFS('Match Log'!$A$4:$A$810,$A161,'Match Log'!$E$4:$E$810,"Win")&gt;1,_xlfn.TEXTJOIN(" + ",TRUE,IF(('Match Log'!$A$4:$A$810=$A161)*('Match Log'!$E$4:$E$810="Loss"),'Match Log'!$D$4:$D$810,"")),IF($E161=2,LOOKUP(2,1/(('Match Log'!$A$4:$A$810=$A161)*('Match Log'!$E$4:$E$810="Loss")),'Match Log'!$D$4:$D$810),"the field")),"")</f>
        <v>Shawn</v>
      </c>
      <c r="I161">
        <f t="shared" si="29"/>
        <v>0.4284344285714286</v>
      </c>
      <c r="J161">
        <v>137</v>
      </c>
      <c r="K161">
        <f>IF($J161&gt;MAX('Match Log'!$A$4:$A$810),NA(),IFERROR(LOOKUP(2,1/(('Match Log'!$D$4:$D$810=$K$24)*('Match Log'!$A$4:$A$810&lt;=$J161)),'Match Log'!$N$4:$N$810),NA()))</f>
        <v>1131.7327279757073</v>
      </c>
      <c r="L161">
        <f>IF($J161&gt;MAX('Match Log'!$A$4:$A$810),NA(),IFERROR(LOOKUP(2,1/(('Match Log'!$D$4:$D$810=$L$24)*('Match Log'!$A$4:$A$810&lt;=$J161)),'Match Log'!$N$4:$N$810),NA()))</f>
        <v>1029.2201908859522</v>
      </c>
      <c r="M161">
        <f>IF($J161&gt;MAX('Match Log'!$A$4:$A$810),NA(),IFERROR(LOOKUP(2,1/(('Match Log'!$D$4:$D$810=$M$24)*('Match Log'!$A$4:$A$810&lt;=$J161)),'Match Log'!$N$4:$N$810),NA()))</f>
        <v>1016.7837867075796</v>
      </c>
      <c r="N161">
        <f>IF($J161&gt;MAX('Match Log'!$A$4:$A$810),NA(),IFERROR(LOOKUP(2,1/(('Match Log'!$D$4:$D$810=$N$24)*('Match Log'!$A$4:$A$810&lt;=$J161)),'Match Log'!$N$4:$N$810),NA()))</f>
        <v>981.92436608474441</v>
      </c>
      <c r="O161">
        <f>IF($J161&gt;MAX('Match Log'!$A$4:$A$810),NA(),IFERROR(LOOKUP(2,1/(('Match Log'!$D$4:$D$810=$O$24)*('Match Log'!$A$4:$A$810&lt;=$J161)),'Match Log'!$N$4:$N$810),NA()))</f>
        <v>1129.7012289075892</v>
      </c>
      <c r="P161">
        <f>IF($J161&gt;MAX('Match Log'!$A$4:$A$810),NA(),IFERROR(LOOKUP(2,1/(('Match Log'!$D$4:$D$810=$P$24)*('Match Log'!$A$4:$A$810&lt;=$J161)),'Match Log'!$N$4:$N$810),NA()))</f>
        <v>997.36259998776018</v>
      </c>
      <c r="Q161">
        <f>IF($J161&gt;MAX('Match Log'!$A$4:$A$810),NA(),IFERROR(LOOKUP(2,1/(('Match Log'!$D$4:$D$810=$Q$24)*('Match Log'!$A$4:$A$810&lt;=$J161)),'Match Log'!$N$4:$N$810),NA()))</f>
        <v>1084.8903813508514</v>
      </c>
      <c r="R161">
        <f>IF($J161&gt;MAX('Match Log'!$A$4:$A$810),NA(),IFERROR(LOOKUP(2,1/(('Match Log'!$D$4:$D$810=$R$24)*('Match Log'!$A$4:$A$810&lt;=$J161)),'Match Log'!$N$4:$N$810),NA()))</f>
        <v>1050.8634549674414</v>
      </c>
      <c r="S161">
        <f>IF($J161&gt;MAX('Match Log'!$A$4:$A$810),NA(),IFERROR(LOOKUP(2,1/(('Match Log'!$D$4:$D$810=$S$24)*('Match Log'!$A$4:$A$810&lt;=$J161)),'Match Log'!$N$4:$N$810),NA()))</f>
        <v>1168.2113436007442</v>
      </c>
      <c r="T161">
        <f>IF($J161&gt;MAX('Match Log'!$A$4:$A$810),NA(),IFERROR(LOOKUP(2,1/(('Match Log'!$D$4:$D$810=$T$24)*('Match Log'!$A$4:$A$810&lt;=$J161)),'Match Log'!$N$4:$N$810),NA()))</f>
        <v>893.03675187725173</v>
      </c>
      <c r="U161">
        <f>IF($J161&gt;MAX('Match Log'!$A$4:$A$810),NA(),IFERROR(LOOKUP(2,1/(('Match Log'!$D$4:$D$810=$U$24)*('Match Log'!$A$4:$A$810&lt;=$J161)),'Match Log'!$N$4:$N$810),NA()))</f>
        <v>1058.6657209484931</v>
      </c>
      <c r="V161">
        <f>IF($J161&gt;MAX('Match Log'!$A$4:$A$810),NA(),IFERROR(LOOKUP(2,1/(('Match Log'!$D$4:$D$810=$V$24)*('Match Log'!$A$4:$A$810&lt;=$J161)),'Match Log'!$N$4:$N$810),NA()))</f>
        <v>1031.225848367051</v>
      </c>
      <c r="W161">
        <f>IF($J161&gt;MAX('Match Log'!$A$4:$A$810),NA(),IFERROR(LOOKUP(2,1/(('Match Log'!$D$4:$D$810=$W$24)*('Match Log'!$A$4:$A$810&lt;=$J161)),'Match Log'!$N$4:$N$810),NA()))</f>
        <v>1030.3815983388336</v>
      </c>
      <c r="X161" t="e">
        <f>IF($J161&gt;MAX('Match Log'!$A$4:$A$810),NA(),IFERROR(LOOKUP(2,1/(('Match Log'!$D$4:$D$810=$X$24)*('Match Log'!$A$4:$A$810&lt;=$J161)),'Match Log'!$N$4:$N$810),NA()))</f>
        <v>#N/A</v>
      </c>
      <c r="Y161">
        <f t="shared" ca="1" si="30"/>
        <v>0.4284344285714286</v>
      </c>
    </row>
    <row r="162" spans="1:25" x14ac:dyDescent="0.2">
      <c r="A162">
        <v>138</v>
      </c>
      <c r="B162">
        <f>IFERROR(INDEX('Match Log'!$B$4:$B$810,MATCH(138,'Match Log'!$A$4:$A$810,0)),"")</f>
        <v>46214</v>
      </c>
      <c r="C162" t="str">
        <f>IFERROR(INDEX('Match Log'!$C$4:$C$810,MATCH(138,'Match Log'!$A$4:$A$810,0)),"")</f>
        <v>Mario Golf</v>
      </c>
      <c r="D162" t="str">
        <f t="array" ref="D162">IFERROR(_xlfn.TEXTJOIN(" + ",TRUE,IF(('Match Log'!$A$4:$A$810=$A162)*('Match Log'!$E$4:$E$810="Win"),'Match Log'!$D$4:$D$810,"")),IFERROR(LOOKUP(2,1/(('Match Log'!$A$4:$A$810=$A162)*('Match Log'!$E$4:$E$810="Win")),'Match Log'!$D$4:$D$810),""))</f>
        <v>Shawn</v>
      </c>
      <c r="E162">
        <f>IFERROR(INDEX('Match Log'!$F$4:$F$810,MATCH(138,'Match Log'!$A$4:$A$810,0)),"")</f>
        <v>2</v>
      </c>
      <c r="F162">
        <f>IFERROR(SUMIFS('Match Log'!$I$4:$I$810,'Match Log'!$A$4:$A$810,138,'Match Log'!$E$4:$E$810,"Win"),"")</f>
        <v>0.625</v>
      </c>
      <c r="G162">
        <f t="shared" si="28"/>
        <v>-0.25</v>
      </c>
      <c r="H162" t="str">
        <f t="array" ref="H162">IFERROR(IF(COUNTIFS('Match Log'!$A$4:$A$810,$A162,'Match Log'!$E$4:$E$810,"Win")&gt;1,_xlfn.TEXTJOIN(" + ",TRUE,IF(('Match Log'!$A$4:$A$810=$A162)*('Match Log'!$E$4:$E$810="Loss"),'Match Log'!$D$4:$D$810,"")),IF($E162=2,LOOKUP(2,1/(('Match Log'!$A$4:$A$810=$A162)*('Match Log'!$E$4:$E$810="Loss")),'Match Log'!$D$4:$D$810),"the field")),"")</f>
        <v>Aaron</v>
      </c>
      <c r="I162">
        <f t="shared" si="29"/>
        <v>-0.25013800000000003</v>
      </c>
      <c r="J162">
        <v>138</v>
      </c>
      <c r="K162">
        <f>IF($J162&gt;MAX('Match Log'!$A$4:$A$810),NA(),IFERROR(LOOKUP(2,1/(('Match Log'!$D$4:$D$810=$K$24)*('Match Log'!$A$4:$A$810&lt;=$J162)),'Match Log'!$N$4:$N$810),NA()))</f>
        <v>1109.2177733663168</v>
      </c>
      <c r="L162">
        <f>IF($J162&gt;MAX('Match Log'!$A$4:$A$810),NA(),IFERROR(LOOKUP(2,1/(('Match Log'!$D$4:$D$810=$L$24)*('Match Log'!$A$4:$A$810&lt;=$J162)),'Match Log'!$N$4:$N$810),NA()))</f>
        <v>1029.2201908859522</v>
      </c>
      <c r="M162">
        <f>IF($J162&gt;MAX('Match Log'!$A$4:$A$810),NA(),IFERROR(LOOKUP(2,1/(('Match Log'!$D$4:$D$810=$M$24)*('Match Log'!$A$4:$A$810&lt;=$J162)),'Match Log'!$N$4:$N$810),NA()))</f>
        <v>1016.7837867075796</v>
      </c>
      <c r="N162">
        <f>IF($J162&gt;MAX('Match Log'!$A$4:$A$810),NA(),IFERROR(LOOKUP(2,1/(('Match Log'!$D$4:$D$810=$N$24)*('Match Log'!$A$4:$A$810&lt;=$J162)),'Match Log'!$N$4:$N$810),NA()))</f>
        <v>981.92436608474441</v>
      </c>
      <c r="O162">
        <f>IF($J162&gt;MAX('Match Log'!$A$4:$A$810),NA(),IFERROR(LOOKUP(2,1/(('Match Log'!$D$4:$D$810=$O$24)*('Match Log'!$A$4:$A$810&lt;=$J162)),'Match Log'!$N$4:$N$810),NA()))</f>
        <v>1129.7012289075892</v>
      </c>
      <c r="P162">
        <f>IF($J162&gt;MAX('Match Log'!$A$4:$A$810),NA(),IFERROR(LOOKUP(2,1/(('Match Log'!$D$4:$D$810=$P$24)*('Match Log'!$A$4:$A$810&lt;=$J162)),'Match Log'!$N$4:$N$810),NA()))</f>
        <v>1019.8775545971507</v>
      </c>
      <c r="Q162">
        <f>IF($J162&gt;MAX('Match Log'!$A$4:$A$810),NA(),IFERROR(LOOKUP(2,1/(('Match Log'!$D$4:$D$810=$Q$24)*('Match Log'!$A$4:$A$810&lt;=$J162)),'Match Log'!$N$4:$N$810),NA()))</f>
        <v>1084.8903813508514</v>
      </c>
      <c r="R162">
        <f>IF($J162&gt;MAX('Match Log'!$A$4:$A$810),NA(),IFERROR(LOOKUP(2,1/(('Match Log'!$D$4:$D$810=$R$24)*('Match Log'!$A$4:$A$810&lt;=$J162)),'Match Log'!$N$4:$N$810),NA()))</f>
        <v>1050.8634549674414</v>
      </c>
      <c r="S162">
        <f>IF($J162&gt;MAX('Match Log'!$A$4:$A$810),NA(),IFERROR(LOOKUP(2,1/(('Match Log'!$D$4:$D$810=$S$24)*('Match Log'!$A$4:$A$810&lt;=$J162)),'Match Log'!$N$4:$N$810),NA()))</f>
        <v>1168.2113436007442</v>
      </c>
      <c r="T162">
        <f>IF($J162&gt;MAX('Match Log'!$A$4:$A$810),NA(),IFERROR(LOOKUP(2,1/(('Match Log'!$D$4:$D$810=$T$24)*('Match Log'!$A$4:$A$810&lt;=$J162)),'Match Log'!$N$4:$N$810),NA()))</f>
        <v>893.03675187725173</v>
      </c>
      <c r="U162">
        <f>IF($J162&gt;MAX('Match Log'!$A$4:$A$810),NA(),IFERROR(LOOKUP(2,1/(('Match Log'!$D$4:$D$810=$U$24)*('Match Log'!$A$4:$A$810&lt;=$J162)),'Match Log'!$N$4:$N$810),NA()))</f>
        <v>1058.6657209484931</v>
      </c>
      <c r="V162">
        <f>IF($J162&gt;MAX('Match Log'!$A$4:$A$810),NA(),IFERROR(LOOKUP(2,1/(('Match Log'!$D$4:$D$810=$V$24)*('Match Log'!$A$4:$A$810&lt;=$J162)),'Match Log'!$N$4:$N$810),NA()))</f>
        <v>1031.225848367051</v>
      </c>
      <c r="W162">
        <f>IF($J162&gt;MAX('Match Log'!$A$4:$A$810),NA(),IFERROR(LOOKUP(2,1/(('Match Log'!$D$4:$D$810=$W$24)*('Match Log'!$A$4:$A$810&lt;=$J162)),'Match Log'!$N$4:$N$810),NA()))</f>
        <v>1030.3815983388336</v>
      </c>
      <c r="X162" t="e">
        <f>IF($J162&gt;MAX('Match Log'!$A$4:$A$810),NA(),IFERROR(LOOKUP(2,1/(('Match Log'!$D$4:$D$810=$X$24)*('Match Log'!$A$4:$A$810&lt;=$J162)),'Match Log'!$N$4:$N$810),NA()))</f>
        <v>#N/A</v>
      </c>
      <c r="Y162">
        <f t="shared" ca="1" si="30"/>
        <v>-0.25013800000000003</v>
      </c>
    </row>
    <row r="163" spans="1:25" x14ac:dyDescent="0.2">
      <c r="A163">
        <v>139</v>
      </c>
      <c r="B163" t="str">
        <f>IFERROR(INDEX('Match Log'!$B$4:$B$810,MATCH(139,'Match Log'!$A$4:$A$810,0)),"")</f>
        <v/>
      </c>
      <c r="C163" t="str">
        <f>IFERROR(INDEX('Match Log'!$C$4:$C$810,MATCH(139,'Match Log'!$A$4:$A$810,0)),"")</f>
        <v/>
      </c>
      <c r="D163" t="str">
        <f t="array" ref="D163">IFERROR(_xlfn.TEXTJOIN(" + ",TRUE,IF(('Match Log'!$A$4:$A$810=$A163)*('Match Log'!$E$4:$E$810="Win"),'Match Log'!$D$4:$D$810,"")),IFERROR(LOOKUP(2,1/(('Match Log'!$A$4:$A$810=$A163)*('Match Log'!$E$4:$E$810="Win")),'Match Log'!$D$4:$D$810),""))</f>
        <v/>
      </c>
      <c r="E163" t="str">
        <f>IFERROR(INDEX('Match Log'!$F$4:$F$810,MATCH(139,'Match Log'!$A$4:$A$810,0)),"")</f>
        <v/>
      </c>
      <c r="F163">
        <f>IFERROR(SUMIFS('Match Log'!$I$4:$I$810,'Match Log'!$A$4:$A$810,139,'Match Log'!$E$4:$E$810,"Win"),"")</f>
        <v>0</v>
      </c>
      <c r="G163" t="str">
        <f t="shared" si="28"/>
        <v/>
      </c>
      <c r="H163" t="str">
        <f t="array" ref="H163">IFERROR(IF(COUNTIFS('Match Log'!$A$4:$A$810,$A163,'Match Log'!$E$4:$E$810,"Win")&gt;1,_xlfn.TEXTJOIN(" + ",TRUE,IF(('Match Log'!$A$4:$A$810=$A163)*('Match Log'!$E$4:$E$810="Loss"),'Match Log'!$D$4:$D$810,"")),IF($E163=2,LOOKUP(2,1/(('Match Log'!$A$4:$A$810=$A163)*('Match Log'!$E$4:$E$810="Loss")),'Match Log'!$D$4:$D$810),"the field")),"")</f>
        <v>the field</v>
      </c>
      <c r="I163" t="str">
        <f t="shared" si="29"/>
        <v/>
      </c>
      <c r="J163">
        <v>139</v>
      </c>
      <c r="K163" t="e">
        <f>IF($J163&gt;MAX('Match Log'!$A$4:$A$810),NA(),IFERROR(LOOKUP(2,1/(('Match Log'!$D$4:$D$810=$K$24)*('Match Log'!$A$4:$A$810&lt;=$J163)),'Match Log'!$N$4:$N$810),NA()))</f>
        <v>#N/A</v>
      </c>
      <c r="L163" t="e">
        <f>IF($J163&gt;MAX('Match Log'!$A$4:$A$810),NA(),IFERROR(LOOKUP(2,1/(('Match Log'!$D$4:$D$810=$L$24)*('Match Log'!$A$4:$A$810&lt;=$J163)),'Match Log'!$N$4:$N$810),NA()))</f>
        <v>#N/A</v>
      </c>
      <c r="M163" t="e">
        <f>IF($J163&gt;MAX('Match Log'!$A$4:$A$810),NA(),IFERROR(LOOKUP(2,1/(('Match Log'!$D$4:$D$810=$M$24)*('Match Log'!$A$4:$A$810&lt;=$J163)),'Match Log'!$N$4:$N$810),NA()))</f>
        <v>#N/A</v>
      </c>
      <c r="N163" t="e">
        <f>IF($J163&gt;MAX('Match Log'!$A$4:$A$810),NA(),IFERROR(LOOKUP(2,1/(('Match Log'!$D$4:$D$810=$N$24)*('Match Log'!$A$4:$A$810&lt;=$J163)),'Match Log'!$N$4:$N$810),NA()))</f>
        <v>#N/A</v>
      </c>
      <c r="O163" t="e">
        <f>IF($J163&gt;MAX('Match Log'!$A$4:$A$810),NA(),IFERROR(LOOKUP(2,1/(('Match Log'!$D$4:$D$810=$O$24)*('Match Log'!$A$4:$A$810&lt;=$J163)),'Match Log'!$N$4:$N$810),NA()))</f>
        <v>#N/A</v>
      </c>
      <c r="P163" t="e">
        <f>IF($J163&gt;MAX('Match Log'!$A$4:$A$810),NA(),IFERROR(LOOKUP(2,1/(('Match Log'!$D$4:$D$810=$P$24)*('Match Log'!$A$4:$A$810&lt;=$J163)),'Match Log'!$N$4:$N$810),NA()))</f>
        <v>#N/A</v>
      </c>
      <c r="Q163" t="e">
        <f>IF($J163&gt;MAX('Match Log'!$A$4:$A$810),NA(),IFERROR(LOOKUP(2,1/(('Match Log'!$D$4:$D$810=$Q$24)*('Match Log'!$A$4:$A$810&lt;=$J163)),'Match Log'!$N$4:$N$810),NA()))</f>
        <v>#N/A</v>
      </c>
      <c r="R163" t="e">
        <f>IF($J163&gt;MAX('Match Log'!$A$4:$A$810),NA(),IFERROR(LOOKUP(2,1/(('Match Log'!$D$4:$D$810=$R$24)*('Match Log'!$A$4:$A$810&lt;=$J163)),'Match Log'!$N$4:$N$810),NA()))</f>
        <v>#N/A</v>
      </c>
      <c r="S163" t="e">
        <f>IF($J163&gt;MAX('Match Log'!$A$4:$A$810),NA(),IFERROR(LOOKUP(2,1/(('Match Log'!$D$4:$D$810=$S$24)*('Match Log'!$A$4:$A$810&lt;=$J163)),'Match Log'!$N$4:$N$810),NA()))</f>
        <v>#N/A</v>
      </c>
      <c r="T163" t="e">
        <f>IF($J163&gt;MAX('Match Log'!$A$4:$A$810),NA(),IFERROR(LOOKUP(2,1/(('Match Log'!$D$4:$D$810=$T$24)*('Match Log'!$A$4:$A$810&lt;=$J163)),'Match Log'!$N$4:$N$810),NA()))</f>
        <v>#N/A</v>
      </c>
      <c r="U163" t="e">
        <f>IF($J163&gt;MAX('Match Log'!$A$4:$A$810),NA(),IFERROR(LOOKUP(2,1/(('Match Log'!$D$4:$D$810=$U$24)*('Match Log'!$A$4:$A$810&lt;=$J163)),'Match Log'!$N$4:$N$810),NA()))</f>
        <v>#N/A</v>
      </c>
      <c r="V163" t="e">
        <f>IF($J163&gt;MAX('Match Log'!$A$4:$A$810),NA(),IFERROR(LOOKUP(2,1/(('Match Log'!$D$4:$D$810=$V$24)*('Match Log'!$A$4:$A$810&lt;=$J163)),'Match Log'!$N$4:$N$810),NA()))</f>
        <v>#N/A</v>
      </c>
      <c r="W163" t="e">
        <f>IF($J163&gt;MAX('Match Log'!$A$4:$A$810),NA(),IFERROR(LOOKUP(2,1/(('Match Log'!$D$4:$D$810=$W$24)*('Match Log'!$A$4:$A$810&lt;=$J163)),'Match Log'!$N$4:$N$810),NA()))</f>
        <v>#N/A</v>
      </c>
      <c r="X163" t="e">
        <f>IF($J163&gt;MAX('Match Log'!$A$4:$A$810),NA(),IFERROR(LOOKUP(2,1/(('Match Log'!$D$4:$D$810=$X$24)*('Match Log'!$A$4:$A$810&lt;=$J163)),'Match Log'!$N$4:$N$810),NA()))</f>
        <v>#N/A</v>
      </c>
      <c r="Y163" t="str">
        <f t="shared" ca="1" si="30"/>
        <v/>
      </c>
    </row>
    <row r="164" spans="1:25" x14ac:dyDescent="0.2">
      <c r="A164">
        <v>140</v>
      </c>
      <c r="B164" t="str">
        <f>IFERROR(INDEX('Match Log'!$B$4:$B$810,MATCH(140,'Match Log'!$A$4:$A$810,0)),"")</f>
        <v/>
      </c>
      <c r="C164" t="str">
        <f>IFERROR(INDEX('Match Log'!$C$4:$C$810,MATCH(140,'Match Log'!$A$4:$A$810,0)),"")</f>
        <v/>
      </c>
      <c r="D164" t="str">
        <f t="array" ref="D164">IFERROR(_xlfn.TEXTJOIN(" + ",TRUE,IF(('Match Log'!$A$4:$A$810=$A164)*('Match Log'!$E$4:$E$810="Win"),'Match Log'!$D$4:$D$810,"")),IFERROR(LOOKUP(2,1/(('Match Log'!$A$4:$A$810=$A164)*('Match Log'!$E$4:$E$810="Win")),'Match Log'!$D$4:$D$810),""))</f>
        <v/>
      </c>
      <c r="E164" t="str">
        <f>IFERROR(INDEX('Match Log'!$F$4:$F$810,MATCH(140,'Match Log'!$A$4:$A$810,0)),"")</f>
        <v/>
      </c>
      <c r="F164">
        <f>IFERROR(SUMIFS('Match Log'!$I$4:$I$810,'Match Log'!$A$4:$A$810,140,'Match Log'!$E$4:$E$810,"Win"),"")</f>
        <v>0</v>
      </c>
      <c r="G164" t="str">
        <f t="shared" si="28"/>
        <v/>
      </c>
      <c r="H164" t="str">
        <f t="array" ref="H164">IFERROR(IF(COUNTIFS('Match Log'!$A$4:$A$810,$A164,'Match Log'!$E$4:$E$810,"Win")&gt;1,_xlfn.TEXTJOIN(" + ",TRUE,IF(('Match Log'!$A$4:$A$810=$A164)*('Match Log'!$E$4:$E$810="Loss"),'Match Log'!$D$4:$D$810,"")),IF($E164=2,LOOKUP(2,1/(('Match Log'!$A$4:$A$810=$A164)*('Match Log'!$E$4:$E$810="Loss")),'Match Log'!$D$4:$D$810),"the field")),"")</f>
        <v>the field</v>
      </c>
      <c r="I164" t="str">
        <f t="shared" si="29"/>
        <v/>
      </c>
      <c r="J164">
        <v>140</v>
      </c>
      <c r="K164" t="e">
        <f>IF($J164&gt;MAX('Match Log'!$A$4:$A$810),NA(),IFERROR(LOOKUP(2,1/(('Match Log'!$D$4:$D$810=$K$24)*('Match Log'!$A$4:$A$810&lt;=$J164)),'Match Log'!$N$4:$N$810),NA()))</f>
        <v>#N/A</v>
      </c>
      <c r="L164" t="e">
        <f>IF($J164&gt;MAX('Match Log'!$A$4:$A$810),NA(),IFERROR(LOOKUP(2,1/(('Match Log'!$D$4:$D$810=$L$24)*('Match Log'!$A$4:$A$810&lt;=$J164)),'Match Log'!$N$4:$N$810),NA()))</f>
        <v>#N/A</v>
      </c>
      <c r="M164" t="e">
        <f>IF($J164&gt;MAX('Match Log'!$A$4:$A$810),NA(),IFERROR(LOOKUP(2,1/(('Match Log'!$D$4:$D$810=$M$24)*('Match Log'!$A$4:$A$810&lt;=$J164)),'Match Log'!$N$4:$N$810),NA()))</f>
        <v>#N/A</v>
      </c>
      <c r="N164" t="e">
        <f>IF($J164&gt;MAX('Match Log'!$A$4:$A$810),NA(),IFERROR(LOOKUP(2,1/(('Match Log'!$D$4:$D$810=$N$24)*('Match Log'!$A$4:$A$810&lt;=$J164)),'Match Log'!$N$4:$N$810),NA()))</f>
        <v>#N/A</v>
      </c>
      <c r="O164" t="e">
        <f>IF($J164&gt;MAX('Match Log'!$A$4:$A$810),NA(),IFERROR(LOOKUP(2,1/(('Match Log'!$D$4:$D$810=$O$24)*('Match Log'!$A$4:$A$810&lt;=$J164)),'Match Log'!$N$4:$N$810),NA()))</f>
        <v>#N/A</v>
      </c>
      <c r="P164" t="e">
        <f>IF($J164&gt;MAX('Match Log'!$A$4:$A$810),NA(),IFERROR(LOOKUP(2,1/(('Match Log'!$D$4:$D$810=$P$24)*('Match Log'!$A$4:$A$810&lt;=$J164)),'Match Log'!$N$4:$N$810),NA()))</f>
        <v>#N/A</v>
      </c>
      <c r="Q164" t="e">
        <f>IF($J164&gt;MAX('Match Log'!$A$4:$A$810),NA(),IFERROR(LOOKUP(2,1/(('Match Log'!$D$4:$D$810=$Q$24)*('Match Log'!$A$4:$A$810&lt;=$J164)),'Match Log'!$N$4:$N$810),NA()))</f>
        <v>#N/A</v>
      </c>
      <c r="R164" t="e">
        <f>IF($J164&gt;MAX('Match Log'!$A$4:$A$810),NA(),IFERROR(LOOKUP(2,1/(('Match Log'!$D$4:$D$810=$R$24)*('Match Log'!$A$4:$A$810&lt;=$J164)),'Match Log'!$N$4:$N$810),NA()))</f>
        <v>#N/A</v>
      </c>
      <c r="S164" t="e">
        <f>IF($J164&gt;MAX('Match Log'!$A$4:$A$810),NA(),IFERROR(LOOKUP(2,1/(('Match Log'!$D$4:$D$810=$S$24)*('Match Log'!$A$4:$A$810&lt;=$J164)),'Match Log'!$N$4:$N$810),NA()))</f>
        <v>#N/A</v>
      </c>
      <c r="T164" t="e">
        <f>IF($J164&gt;MAX('Match Log'!$A$4:$A$810),NA(),IFERROR(LOOKUP(2,1/(('Match Log'!$D$4:$D$810=$T$24)*('Match Log'!$A$4:$A$810&lt;=$J164)),'Match Log'!$N$4:$N$810),NA()))</f>
        <v>#N/A</v>
      </c>
      <c r="U164" t="e">
        <f>IF($J164&gt;MAX('Match Log'!$A$4:$A$810),NA(),IFERROR(LOOKUP(2,1/(('Match Log'!$D$4:$D$810=$U$24)*('Match Log'!$A$4:$A$810&lt;=$J164)),'Match Log'!$N$4:$N$810),NA()))</f>
        <v>#N/A</v>
      </c>
      <c r="V164" t="e">
        <f>IF($J164&gt;MAX('Match Log'!$A$4:$A$810),NA(),IFERROR(LOOKUP(2,1/(('Match Log'!$D$4:$D$810=$V$24)*('Match Log'!$A$4:$A$810&lt;=$J164)),'Match Log'!$N$4:$N$810),NA()))</f>
        <v>#N/A</v>
      </c>
      <c r="W164" t="e">
        <f>IF($J164&gt;MAX('Match Log'!$A$4:$A$810),NA(),IFERROR(LOOKUP(2,1/(('Match Log'!$D$4:$D$810=$W$24)*('Match Log'!$A$4:$A$810&lt;=$J164)),'Match Log'!$N$4:$N$810),NA()))</f>
        <v>#N/A</v>
      </c>
      <c r="X164" t="e">
        <f>IF($J164&gt;MAX('Match Log'!$A$4:$A$810),NA(),IFERROR(LOOKUP(2,1/(('Match Log'!$D$4:$D$810=$X$24)*('Match Log'!$A$4:$A$810&lt;=$J164)),'Match Log'!$N$4:$N$810),NA()))</f>
        <v>#N/A</v>
      </c>
      <c r="Y164" t="str">
        <f t="shared" ca="1" si="30"/>
        <v/>
      </c>
    </row>
    <row r="165" spans="1:25" x14ac:dyDescent="0.2">
      <c r="A165">
        <v>141</v>
      </c>
      <c r="B165" t="str">
        <f>IFERROR(INDEX('Match Log'!$B$4:$B$810,MATCH(141,'Match Log'!$A$4:$A$810,0)),"")</f>
        <v/>
      </c>
      <c r="C165" t="str">
        <f>IFERROR(INDEX('Match Log'!$C$4:$C$810,MATCH(141,'Match Log'!$A$4:$A$810,0)),"")</f>
        <v/>
      </c>
      <c r="D165" t="str">
        <f t="array" ref="D165">IFERROR(_xlfn.TEXTJOIN(" + ",TRUE,IF(('Match Log'!$A$4:$A$810=$A165)*('Match Log'!$E$4:$E$810="Win"),'Match Log'!$D$4:$D$810,"")),IFERROR(LOOKUP(2,1/(('Match Log'!$A$4:$A$810=$A165)*('Match Log'!$E$4:$E$810="Win")),'Match Log'!$D$4:$D$810),""))</f>
        <v/>
      </c>
      <c r="E165" t="str">
        <f>IFERROR(INDEX('Match Log'!$F$4:$F$810,MATCH(141,'Match Log'!$A$4:$A$810,0)),"")</f>
        <v/>
      </c>
      <c r="F165">
        <f>IFERROR(SUMIFS('Match Log'!$I$4:$I$810,'Match Log'!$A$4:$A$810,141,'Match Log'!$E$4:$E$810,"Win"),"")</f>
        <v>0</v>
      </c>
      <c r="G165" t="str">
        <f t="shared" si="28"/>
        <v/>
      </c>
      <c r="H165" t="str">
        <f t="array" ref="H165">IFERROR(IF(COUNTIFS('Match Log'!$A$4:$A$810,$A165,'Match Log'!$E$4:$E$810,"Win")&gt;1,_xlfn.TEXTJOIN(" + ",TRUE,IF(('Match Log'!$A$4:$A$810=$A165)*('Match Log'!$E$4:$E$810="Loss"),'Match Log'!$D$4:$D$810,"")),IF($E165=2,LOOKUP(2,1/(('Match Log'!$A$4:$A$810=$A165)*('Match Log'!$E$4:$E$810="Loss")),'Match Log'!$D$4:$D$810),"the field")),"")</f>
        <v>the field</v>
      </c>
      <c r="I165" t="str">
        <f t="shared" si="29"/>
        <v/>
      </c>
      <c r="J165">
        <v>141</v>
      </c>
      <c r="K165" t="e">
        <f>IF($J165&gt;MAX('Match Log'!$A$4:$A$810),NA(),IFERROR(LOOKUP(2,1/(('Match Log'!$D$4:$D$810=$K$24)*('Match Log'!$A$4:$A$810&lt;=$J165)),'Match Log'!$N$4:$N$810),NA()))</f>
        <v>#N/A</v>
      </c>
      <c r="L165" t="e">
        <f>IF($J165&gt;MAX('Match Log'!$A$4:$A$810),NA(),IFERROR(LOOKUP(2,1/(('Match Log'!$D$4:$D$810=$L$24)*('Match Log'!$A$4:$A$810&lt;=$J165)),'Match Log'!$N$4:$N$810),NA()))</f>
        <v>#N/A</v>
      </c>
      <c r="M165" t="e">
        <f>IF($J165&gt;MAX('Match Log'!$A$4:$A$810),NA(),IFERROR(LOOKUP(2,1/(('Match Log'!$D$4:$D$810=$M$24)*('Match Log'!$A$4:$A$810&lt;=$J165)),'Match Log'!$N$4:$N$810),NA()))</f>
        <v>#N/A</v>
      </c>
      <c r="N165" t="e">
        <f>IF($J165&gt;MAX('Match Log'!$A$4:$A$810),NA(),IFERROR(LOOKUP(2,1/(('Match Log'!$D$4:$D$810=$N$24)*('Match Log'!$A$4:$A$810&lt;=$J165)),'Match Log'!$N$4:$N$810),NA()))</f>
        <v>#N/A</v>
      </c>
      <c r="O165" t="e">
        <f>IF($J165&gt;MAX('Match Log'!$A$4:$A$810),NA(),IFERROR(LOOKUP(2,1/(('Match Log'!$D$4:$D$810=$O$24)*('Match Log'!$A$4:$A$810&lt;=$J165)),'Match Log'!$N$4:$N$810),NA()))</f>
        <v>#N/A</v>
      </c>
      <c r="P165" t="e">
        <f>IF($J165&gt;MAX('Match Log'!$A$4:$A$810),NA(),IFERROR(LOOKUP(2,1/(('Match Log'!$D$4:$D$810=$P$24)*('Match Log'!$A$4:$A$810&lt;=$J165)),'Match Log'!$N$4:$N$810),NA()))</f>
        <v>#N/A</v>
      </c>
      <c r="Q165" t="e">
        <f>IF($J165&gt;MAX('Match Log'!$A$4:$A$810),NA(),IFERROR(LOOKUP(2,1/(('Match Log'!$D$4:$D$810=$Q$24)*('Match Log'!$A$4:$A$810&lt;=$J165)),'Match Log'!$N$4:$N$810),NA()))</f>
        <v>#N/A</v>
      </c>
      <c r="R165" t="e">
        <f>IF($J165&gt;MAX('Match Log'!$A$4:$A$810),NA(),IFERROR(LOOKUP(2,1/(('Match Log'!$D$4:$D$810=$R$24)*('Match Log'!$A$4:$A$810&lt;=$J165)),'Match Log'!$N$4:$N$810),NA()))</f>
        <v>#N/A</v>
      </c>
      <c r="S165" t="e">
        <f>IF($J165&gt;MAX('Match Log'!$A$4:$A$810),NA(),IFERROR(LOOKUP(2,1/(('Match Log'!$D$4:$D$810=$S$24)*('Match Log'!$A$4:$A$810&lt;=$J165)),'Match Log'!$N$4:$N$810),NA()))</f>
        <v>#N/A</v>
      </c>
      <c r="T165" t="e">
        <f>IF($J165&gt;MAX('Match Log'!$A$4:$A$810),NA(),IFERROR(LOOKUP(2,1/(('Match Log'!$D$4:$D$810=$T$24)*('Match Log'!$A$4:$A$810&lt;=$J165)),'Match Log'!$N$4:$N$810),NA()))</f>
        <v>#N/A</v>
      </c>
      <c r="U165" t="e">
        <f>IF($J165&gt;MAX('Match Log'!$A$4:$A$810),NA(),IFERROR(LOOKUP(2,1/(('Match Log'!$D$4:$D$810=$U$24)*('Match Log'!$A$4:$A$810&lt;=$J165)),'Match Log'!$N$4:$N$810),NA()))</f>
        <v>#N/A</v>
      </c>
      <c r="V165" t="e">
        <f>IF($J165&gt;MAX('Match Log'!$A$4:$A$810),NA(),IFERROR(LOOKUP(2,1/(('Match Log'!$D$4:$D$810=$V$24)*('Match Log'!$A$4:$A$810&lt;=$J165)),'Match Log'!$N$4:$N$810),NA()))</f>
        <v>#N/A</v>
      </c>
      <c r="W165" t="e">
        <f>IF($J165&gt;MAX('Match Log'!$A$4:$A$810),NA(),IFERROR(LOOKUP(2,1/(('Match Log'!$D$4:$D$810=$W$24)*('Match Log'!$A$4:$A$810&lt;=$J165)),'Match Log'!$N$4:$N$810),NA()))</f>
        <v>#N/A</v>
      </c>
      <c r="X165" t="e">
        <f>IF($J165&gt;MAX('Match Log'!$A$4:$A$810),NA(),IFERROR(LOOKUP(2,1/(('Match Log'!$D$4:$D$810=$X$24)*('Match Log'!$A$4:$A$810&lt;=$J165)),'Match Log'!$N$4:$N$810),NA()))</f>
        <v>#N/A</v>
      </c>
      <c r="Y165" t="str">
        <f t="shared" ca="1" si="30"/>
        <v/>
      </c>
    </row>
    <row r="166" spans="1:25" x14ac:dyDescent="0.2">
      <c r="A166">
        <v>142</v>
      </c>
      <c r="B166" t="str">
        <f>IFERROR(INDEX('Match Log'!$B$4:$B$810,MATCH(142,'Match Log'!$A$4:$A$810,0)),"")</f>
        <v/>
      </c>
      <c r="C166" t="str">
        <f>IFERROR(INDEX('Match Log'!$C$4:$C$810,MATCH(142,'Match Log'!$A$4:$A$810,0)),"")</f>
        <v/>
      </c>
      <c r="D166" t="str">
        <f t="array" ref="D166">IFERROR(_xlfn.TEXTJOIN(" + ",TRUE,IF(('Match Log'!$A$4:$A$810=$A166)*('Match Log'!$E$4:$E$810="Win"),'Match Log'!$D$4:$D$810,"")),IFERROR(LOOKUP(2,1/(('Match Log'!$A$4:$A$810=$A166)*('Match Log'!$E$4:$E$810="Win")),'Match Log'!$D$4:$D$810),""))</f>
        <v/>
      </c>
      <c r="E166" t="str">
        <f>IFERROR(INDEX('Match Log'!$F$4:$F$810,MATCH(142,'Match Log'!$A$4:$A$810,0)),"")</f>
        <v/>
      </c>
      <c r="F166">
        <f>IFERROR(SUMIFS('Match Log'!$I$4:$I$810,'Match Log'!$A$4:$A$810,142,'Match Log'!$E$4:$E$810,"Win"),"")</f>
        <v>0</v>
      </c>
      <c r="G166" t="str">
        <f t="shared" si="28"/>
        <v/>
      </c>
      <c r="H166" t="str">
        <f t="array" ref="H166">IFERROR(IF(COUNTIFS('Match Log'!$A$4:$A$810,$A166,'Match Log'!$E$4:$E$810,"Win")&gt;1,_xlfn.TEXTJOIN(" + ",TRUE,IF(('Match Log'!$A$4:$A$810=$A166)*('Match Log'!$E$4:$E$810="Loss"),'Match Log'!$D$4:$D$810,"")),IF($E166=2,LOOKUP(2,1/(('Match Log'!$A$4:$A$810=$A166)*('Match Log'!$E$4:$E$810="Loss")),'Match Log'!$D$4:$D$810),"the field")),"")</f>
        <v>the field</v>
      </c>
      <c r="I166" t="str">
        <f t="shared" si="29"/>
        <v/>
      </c>
      <c r="J166">
        <v>142</v>
      </c>
      <c r="K166" t="e">
        <f>IF($J166&gt;MAX('Match Log'!$A$4:$A$810),NA(),IFERROR(LOOKUP(2,1/(('Match Log'!$D$4:$D$810=$K$24)*('Match Log'!$A$4:$A$810&lt;=$J166)),'Match Log'!$N$4:$N$810),NA()))</f>
        <v>#N/A</v>
      </c>
      <c r="L166" t="e">
        <f>IF($J166&gt;MAX('Match Log'!$A$4:$A$810),NA(),IFERROR(LOOKUP(2,1/(('Match Log'!$D$4:$D$810=$L$24)*('Match Log'!$A$4:$A$810&lt;=$J166)),'Match Log'!$N$4:$N$810),NA()))</f>
        <v>#N/A</v>
      </c>
      <c r="M166" t="e">
        <f>IF($J166&gt;MAX('Match Log'!$A$4:$A$810),NA(),IFERROR(LOOKUP(2,1/(('Match Log'!$D$4:$D$810=$M$24)*('Match Log'!$A$4:$A$810&lt;=$J166)),'Match Log'!$N$4:$N$810),NA()))</f>
        <v>#N/A</v>
      </c>
      <c r="N166" t="e">
        <f>IF($J166&gt;MAX('Match Log'!$A$4:$A$810),NA(),IFERROR(LOOKUP(2,1/(('Match Log'!$D$4:$D$810=$N$24)*('Match Log'!$A$4:$A$810&lt;=$J166)),'Match Log'!$N$4:$N$810),NA()))</f>
        <v>#N/A</v>
      </c>
      <c r="O166" t="e">
        <f>IF($J166&gt;MAX('Match Log'!$A$4:$A$810),NA(),IFERROR(LOOKUP(2,1/(('Match Log'!$D$4:$D$810=$O$24)*('Match Log'!$A$4:$A$810&lt;=$J166)),'Match Log'!$N$4:$N$810),NA()))</f>
        <v>#N/A</v>
      </c>
      <c r="P166" t="e">
        <f>IF($J166&gt;MAX('Match Log'!$A$4:$A$810),NA(),IFERROR(LOOKUP(2,1/(('Match Log'!$D$4:$D$810=$P$24)*('Match Log'!$A$4:$A$810&lt;=$J166)),'Match Log'!$N$4:$N$810),NA()))</f>
        <v>#N/A</v>
      </c>
      <c r="Q166" t="e">
        <f>IF($J166&gt;MAX('Match Log'!$A$4:$A$810),NA(),IFERROR(LOOKUP(2,1/(('Match Log'!$D$4:$D$810=$Q$24)*('Match Log'!$A$4:$A$810&lt;=$J166)),'Match Log'!$N$4:$N$810),NA()))</f>
        <v>#N/A</v>
      </c>
      <c r="R166" t="e">
        <f>IF($J166&gt;MAX('Match Log'!$A$4:$A$810),NA(),IFERROR(LOOKUP(2,1/(('Match Log'!$D$4:$D$810=$R$24)*('Match Log'!$A$4:$A$810&lt;=$J166)),'Match Log'!$N$4:$N$810),NA()))</f>
        <v>#N/A</v>
      </c>
      <c r="S166" t="e">
        <f>IF($J166&gt;MAX('Match Log'!$A$4:$A$810),NA(),IFERROR(LOOKUP(2,1/(('Match Log'!$D$4:$D$810=$S$24)*('Match Log'!$A$4:$A$810&lt;=$J166)),'Match Log'!$N$4:$N$810),NA()))</f>
        <v>#N/A</v>
      </c>
      <c r="T166" t="e">
        <f>IF($J166&gt;MAX('Match Log'!$A$4:$A$810),NA(),IFERROR(LOOKUP(2,1/(('Match Log'!$D$4:$D$810=$T$24)*('Match Log'!$A$4:$A$810&lt;=$J166)),'Match Log'!$N$4:$N$810),NA()))</f>
        <v>#N/A</v>
      </c>
      <c r="U166" t="e">
        <f>IF($J166&gt;MAX('Match Log'!$A$4:$A$810),NA(),IFERROR(LOOKUP(2,1/(('Match Log'!$D$4:$D$810=$U$24)*('Match Log'!$A$4:$A$810&lt;=$J166)),'Match Log'!$N$4:$N$810),NA()))</f>
        <v>#N/A</v>
      </c>
      <c r="V166" t="e">
        <f>IF($J166&gt;MAX('Match Log'!$A$4:$A$810),NA(),IFERROR(LOOKUP(2,1/(('Match Log'!$D$4:$D$810=$V$24)*('Match Log'!$A$4:$A$810&lt;=$J166)),'Match Log'!$N$4:$N$810),NA()))</f>
        <v>#N/A</v>
      </c>
      <c r="W166" t="e">
        <f>IF($J166&gt;MAX('Match Log'!$A$4:$A$810),NA(),IFERROR(LOOKUP(2,1/(('Match Log'!$D$4:$D$810=$W$24)*('Match Log'!$A$4:$A$810&lt;=$J166)),'Match Log'!$N$4:$N$810),NA()))</f>
        <v>#N/A</v>
      </c>
      <c r="X166" t="e">
        <f>IF($J166&gt;MAX('Match Log'!$A$4:$A$810),NA(),IFERROR(LOOKUP(2,1/(('Match Log'!$D$4:$D$810=$X$24)*('Match Log'!$A$4:$A$810&lt;=$J166)),'Match Log'!$N$4:$N$810),NA()))</f>
        <v>#N/A</v>
      </c>
      <c r="Y166" t="str">
        <f t="shared" ca="1" si="30"/>
        <v/>
      </c>
    </row>
    <row r="167" spans="1:25" x14ac:dyDescent="0.2">
      <c r="A167">
        <v>143</v>
      </c>
      <c r="B167" t="str">
        <f>IFERROR(INDEX('Match Log'!$B$4:$B$810,MATCH(143,'Match Log'!$A$4:$A$810,0)),"")</f>
        <v/>
      </c>
      <c r="C167" t="str">
        <f>IFERROR(INDEX('Match Log'!$C$4:$C$810,MATCH(143,'Match Log'!$A$4:$A$810,0)),"")</f>
        <v/>
      </c>
      <c r="D167" t="str">
        <f t="array" ref="D167">IFERROR(_xlfn.TEXTJOIN(" + ",TRUE,IF(('Match Log'!$A$4:$A$810=$A167)*('Match Log'!$E$4:$E$810="Win"),'Match Log'!$D$4:$D$810,"")),IFERROR(LOOKUP(2,1/(('Match Log'!$A$4:$A$810=$A167)*('Match Log'!$E$4:$E$810="Win")),'Match Log'!$D$4:$D$810),""))</f>
        <v/>
      </c>
      <c r="E167" t="str">
        <f>IFERROR(INDEX('Match Log'!$F$4:$F$810,MATCH(143,'Match Log'!$A$4:$A$810,0)),"")</f>
        <v/>
      </c>
      <c r="F167">
        <f>IFERROR(SUMIFS('Match Log'!$I$4:$I$810,'Match Log'!$A$4:$A$810,143,'Match Log'!$E$4:$E$810,"Win"),"")</f>
        <v>0</v>
      </c>
      <c r="G167" t="str">
        <f t="shared" si="28"/>
        <v/>
      </c>
      <c r="H167" t="str">
        <f t="array" ref="H167">IFERROR(IF(COUNTIFS('Match Log'!$A$4:$A$810,$A167,'Match Log'!$E$4:$E$810,"Win")&gt;1,_xlfn.TEXTJOIN(" + ",TRUE,IF(('Match Log'!$A$4:$A$810=$A167)*('Match Log'!$E$4:$E$810="Loss"),'Match Log'!$D$4:$D$810,"")),IF($E167=2,LOOKUP(2,1/(('Match Log'!$A$4:$A$810=$A167)*('Match Log'!$E$4:$E$810="Loss")),'Match Log'!$D$4:$D$810),"the field")),"")</f>
        <v>the field</v>
      </c>
      <c r="I167" t="str">
        <f t="shared" si="29"/>
        <v/>
      </c>
      <c r="J167">
        <v>143</v>
      </c>
      <c r="K167" t="e">
        <f>IF($J167&gt;MAX('Match Log'!$A$4:$A$810),NA(),IFERROR(LOOKUP(2,1/(('Match Log'!$D$4:$D$810=$K$24)*('Match Log'!$A$4:$A$810&lt;=$J167)),'Match Log'!$N$4:$N$810),NA()))</f>
        <v>#N/A</v>
      </c>
      <c r="L167" t="e">
        <f>IF($J167&gt;MAX('Match Log'!$A$4:$A$810),NA(),IFERROR(LOOKUP(2,1/(('Match Log'!$D$4:$D$810=$L$24)*('Match Log'!$A$4:$A$810&lt;=$J167)),'Match Log'!$N$4:$N$810),NA()))</f>
        <v>#N/A</v>
      </c>
      <c r="M167" t="e">
        <f>IF($J167&gt;MAX('Match Log'!$A$4:$A$810),NA(),IFERROR(LOOKUP(2,1/(('Match Log'!$D$4:$D$810=$M$24)*('Match Log'!$A$4:$A$810&lt;=$J167)),'Match Log'!$N$4:$N$810),NA()))</f>
        <v>#N/A</v>
      </c>
      <c r="N167" t="e">
        <f>IF($J167&gt;MAX('Match Log'!$A$4:$A$810),NA(),IFERROR(LOOKUP(2,1/(('Match Log'!$D$4:$D$810=$N$24)*('Match Log'!$A$4:$A$810&lt;=$J167)),'Match Log'!$N$4:$N$810),NA()))</f>
        <v>#N/A</v>
      </c>
      <c r="O167" t="e">
        <f>IF($J167&gt;MAX('Match Log'!$A$4:$A$810),NA(),IFERROR(LOOKUP(2,1/(('Match Log'!$D$4:$D$810=$O$24)*('Match Log'!$A$4:$A$810&lt;=$J167)),'Match Log'!$N$4:$N$810),NA()))</f>
        <v>#N/A</v>
      </c>
      <c r="P167" t="e">
        <f>IF($J167&gt;MAX('Match Log'!$A$4:$A$810),NA(),IFERROR(LOOKUP(2,1/(('Match Log'!$D$4:$D$810=$P$24)*('Match Log'!$A$4:$A$810&lt;=$J167)),'Match Log'!$N$4:$N$810),NA()))</f>
        <v>#N/A</v>
      </c>
      <c r="Q167" t="e">
        <f>IF($J167&gt;MAX('Match Log'!$A$4:$A$810),NA(),IFERROR(LOOKUP(2,1/(('Match Log'!$D$4:$D$810=$Q$24)*('Match Log'!$A$4:$A$810&lt;=$J167)),'Match Log'!$N$4:$N$810),NA()))</f>
        <v>#N/A</v>
      </c>
      <c r="R167" t="e">
        <f>IF($J167&gt;MAX('Match Log'!$A$4:$A$810),NA(),IFERROR(LOOKUP(2,1/(('Match Log'!$D$4:$D$810=$R$24)*('Match Log'!$A$4:$A$810&lt;=$J167)),'Match Log'!$N$4:$N$810),NA()))</f>
        <v>#N/A</v>
      </c>
      <c r="S167" t="e">
        <f>IF($J167&gt;MAX('Match Log'!$A$4:$A$810),NA(),IFERROR(LOOKUP(2,1/(('Match Log'!$D$4:$D$810=$S$24)*('Match Log'!$A$4:$A$810&lt;=$J167)),'Match Log'!$N$4:$N$810),NA()))</f>
        <v>#N/A</v>
      </c>
      <c r="T167" t="e">
        <f>IF($J167&gt;MAX('Match Log'!$A$4:$A$810),NA(),IFERROR(LOOKUP(2,1/(('Match Log'!$D$4:$D$810=$T$24)*('Match Log'!$A$4:$A$810&lt;=$J167)),'Match Log'!$N$4:$N$810),NA()))</f>
        <v>#N/A</v>
      </c>
      <c r="U167" t="e">
        <f>IF($J167&gt;MAX('Match Log'!$A$4:$A$810),NA(),IFERROR(LOOKUP(2,1/(('Match Log'!$D$4:$D$810=$U$24)*('Match Log'!$A$4:$A$810&lt;=$J167)),'Match Log'!$N$4:$N$810),NA()))</f>
        <v>#N/A</v>
      </c>
      <c r="V167" t="e">
        <f>IF($J167&gt;MAX('Match Log'!$A$4:$A$810),NA(),IFERROR(LOOKUP(2,1/(('Match Log'!$D$4:$D$810=$V$24)*('Match Log'!$A$4:$A$810&lt;=$J167)),'Match Log'!$N$4:$N$810),NA()))</f>
        <v>#N/A</v>
      </c>
      <c r="W167" t="e">
        <f>IF($J167&gt;MAX('Match Log'!$A$4:$A$810),NA(),IFERROR(LOOKUP(2,1/(('Match Log'!$D$4:$D$810=$W$24)*('Match Log'!$A$4:$A$810&lt;=$J167)),'Match Log'!$N$4:$N$810),NA()))</f>
        <v>#N/A</v>
      </c>
      <c r="X167" t="e">
        <f>IF($J167&gt;MAX('Match Log'!$A$4:$A$810),NA(),IFERROR(LOOKUP(2,1/(('Match Log'!$D$4:$D$810=$X$24)*('Match Log'!$A$4:$A$810&lt;=$J167)),'Match Log'!$N$4:$N$810),NA()))</f>
        <v>#N/A</v>
      </c>
      <c r="Y167" t="str">
        <f t="shared" ca="1" si="30"/>
        <v/>
      </c>
    </row>
    <row r="168" spans="1:25" x14ac:dyDescent="0.2">
      <c r="A168">
        <v>144</v>
      </c>
      <c r="B168" t="str">
        <f>IFERROR(INDEX('Match Log'!$B$4:$B$810,MATCH(144,'Match Log'!$A$4:$A$810,0)),"")</f>
        <v/>
      </c>
      <c r="C168" t="str">
        <f>IFERROR(INDEX('Match Log'!$C$4:$C$810,MATCH(144,'Match Log'!$A$4:$A$810,0)),"")</f>
        <v/>
      </c>
      <c r="D168" t="str">
        <f t="array" ref="D168">IFERROR(_xlfn.TEXTJOIN(" + ",TRUE,IF(('Match Log'!$A$4:$A$810=$A168)*('Match Log'!$E$4:$E$810="Win"),'Match Log'!$D$4:$D$810,"")),IFERROR(LOOKUP(2,1/(('Match Log'!$A$4:$A$810=$A168)*('Match Log'!$E$4:$E$810="Win")),'Match Log'!$D$4:$D$810),""))</f>
        <v/>
      </c>
      <c r="E168" t="str">
        <f>IFERROR(INDEX('Match Log'!$F$4:$F$810,MATCH(144,'Match Log'!$A$4:$A$810,0)),"")</f>
        <v/>
      </c>
      <c r="F168">
        <f>IFERROR(SUMIFS('Match Log'!$I$4:$I$810,'Match Log'!$A$4:$A$810,144,'Match Log'!$E$4:$E$810,"Win"),"")</f>
        <v>0</v>
      </c>
      <c r="G168" t="str">
        <f t="shared" si="28"/>
        <v/>
      </c>
      <c r="H168" t="str">
        <f t="array" ref="H168">IFERROR(IF(COUNTIFS('Match Log'!$A$4:$A$810,$A168,'Match Log'!$E$4:$E$810,"Win")&gt;1,_xlfn.TEXTJOIN(" + ",TRUE,IF(('Match Log'!$A$4:$A$810=$A168)*('Match Log'!$E$4:$E$810="Loss"),'Match Log'!$D$4:$D$810,"")),IF($E168=2,LOOKUP(2,1/(('Match Log'!$A$4:$A$810=$A168)*('Match Log'!$E$4:$E$810="Loss")),'Match Log'!$D$4:$D$810),"the field")),"")</f>
        <v>the field</v>
      </c>
      <c r="I168" t="str">
        <f t="shared" si="29"/>
        <v/>
      </c>
      <c r="J168">
        <v>144</v>
      </c>
      <c r="K168" t="e">
        <f>IF($J168&gt;MAX('Match Log'!$A$4:$A$810),NA(),IFERROR(LOOKUP(2,1/(('Match Log'!$D$4:$D$810=$K$24)*('Match Log'!$A$4:$A$810&lt;=$J168)),'Match Log'!$N$4:$N$810),NA()))</f>
        <v>#N/A</v>
      </c>
      <c r="L168" t="e">
        <f>IF($J168&gt;MAX('Match Log'!$A$4:$A$810),NA(),IFERROR(LOOKUP(2,1/(('Match Log'!$D$4:$D$810=$L$24)*('Match Log'!$A$4:$A$810&lt;=$J168)),'Match Log'!$N$4:$N$810),NA()))</f>
        <v>#N/A</v>
      </c>
      <c r="M168" t="e">
        <f>IF($J168&gt;MAX('Match Log'!$A$4:$A$810),NA(),IFERROR(LOOKUP(2,1/(('Match Log'!$D$4:$D$810=$M$24)*('Match Log'!$A$4:$A$810&lt;=$J168)),'Match Log'!$N$4:$N$810),NA()))</f>
        <v>#N/A</v>
      </c>
      <c r="N168" t="e">
        <f>IF($J168&gt;MAX('Match Log'!$A$4:$A$810),NA(),IFERROR(LOOKUP(2,1/(('Match Log'!$D$4:$D$810=$N$24)*('Match Log'!$A$4:$A$810&lt;=$J168)),'Match Log'!$N$4:$N$810),NA()))</f>
        <v>#N/A</v>
      </c>
      <c r="O168" t="e">
        <f>IF($J168&gt;MAX('Match Log'!$A$4:$A$810),NA(),IFERROR(LOOKUP(2,1/(('Match Log'!$D$4:$D$810=$O$24)*('Match Log'!$A$4:$A$810&lt;=$J168)),'Match Log'!$N$4:$N$810),NA()))</f>
        <v>#N/A</v>
      </c>
      <c r="P168" t="e">
        <f>IF($J168&gt;MAX('Match Log'!$A$4:$A$810),NA(),IFERROR(LOOKUP(2,1/(('Match Log'!$D$4:$D$810=$P$24)*('Match Log'!$A$4:$A$810&lt;=$J168)),'Match Log'!$N$4:$N$810),NA()))</f>
        <v>#N/A</v>
      </c>
      <c r="Q168" t="e">
        <f>IF($J168&gt;MAX('Match Log'!$A$4:$A$810),NA(),IFERROR(LOOKUP(2,1/(('Match Log'!$D$4:$D$810=$Q$24)*('Match Log'!$A$4:$A$810&lt;=$J168)),'Match Log'!$N$4:$N$810),NA()))</f>
        <v>#N/A</v>
      </c>
      <c r="R168" t="e">
        <f>IF($J168&gt;MAX('Match Log'!$A$4:$A$810),NA(),IFERROR(LOOKUP(2,1/(('Match Log'!$D$4:$D$810=$R$24)*('Match Log'!$A$4:$A$810&lt;=$J168)),'Match Log'!$N$4:$N$810),NA()))</f>
        <v>#N/A</v>
      </c>
      <c r="S168" t="e">
        <f>IF($J168&gt;MAX('Match Log'!$A$4:$A$810),NA(),IFERROR(LOOKUP(2,1/(('Match Log'!$D$4:$D$810=$S$24)*('Match Log'!$A$4:$A$810&lt;=$J168)),'Match Log'!$N$4:$N$810),NA()))</f>
        <v>#N/A</v>
      </c>
      <c r="T168" t="e">
        <f>IF($J168&gt;MAX('Match Log'!$A$4:$A$810),NA(),IFERROR(LOOKUP(2,1/(('Match Log'!$D$4:$D$810=$T$24)*('Match Log'!$A$4:$A$810&lt;=$J168)),'Match Log'!$N$4:$N$810),NA()))</f>
        <v>#N/A</v>
      </c>
      <c r="U168" t="e">
        <f>IF($J168&gt;MAX('Match Log'!$A$4:$A$810),NA(),IFERROR(LOOKUP(2,1/(('Match Log'!$D$4:$D$810=$U$24)*('Match Log'!$A$4:$A$810&lt;=$J168)),'Match Log'!$N$4:$N$810),NA()))</f>
        <v>#N/A</v>
      </c>
      <c r="V168" t="e">
        <f>IF($J168&gt;MAX('Match Log'!$A$4:$A$810),NA(),IFERROR(LOOKUP(2,1/(('Match Log'!$D$4:$D$810=$V$24)*('Match Log'!$A$4:$A$810&lt;=$J168)),'Match Log'!$N$4:$N$810),NA()))</f>
        <v>#N/A</v>
      </c>
      <c r="W168" t="e">
        <f>IF($J168&gt;MAX('Match Log'!$A$4:$A$810),NA(),IFERROR(LOOKUP(2,1/(('Match Log'!$D$4:$D$810=$W$24)*('Match Log'!$A$4:$A$810&lt;=$J168)),'Match Log'!$N$4:$N$810),NA()))</f>
        <v>#N/A</v>
      </c>
      <c r="X168" t="e">
        <f>IF($J168&gt;MAX('Match Log'!$A$4:$A$810),NA(),IFERROR(LOOKUP(2,1/(('Match Log'!$D$4:$D$810=$X$24)*('Match Log'!$A$4:$A$810&lt;=$J168)),'Match Log'!$N$4:$N$810),NA()))</f>
        <v>#N/A</v>
      </c>
      <c r="Y168" t="str">
        <f t="shared" ca="1" si="30"/>
        <v/>
      </c>
    </row>
    <row r="169" spans="1:25" x14ac:dyDescent="0.2">
      <c r="A169">
        <v>145</v>
      </c>
      <c r="B169" t="str">
        <f>IFERROR(INDEX('Match Log'!$B$4:$B$810,MATCH(145,'Match Log'!$A$4:$A$810,0)),"")</f>
        <v/>
      </c>
      <c r="C169" t="str">
        <f>IFERROR(INDEX('Match Log'!$C$4:$C$810,MATCH(145,'Match Log'!$A$4:$A$810,0)),"")</f>
        <v/>
      </c>
      <c r="D169" t="str">
        <f t="array" ref="D169">IFERROR(_xlfn.TEXTJOIN(" + ",TRUE,IF(('Match Log'!$A$4:$A$810=$A169)*('Match Log'!$E$4:$E$810="Win"),'Match Log'!$D$4:$D$810,"")),IFERROR(LOOKUP(2,1/(('Match Log'!$A$4:$A$810=$A169)*('Match Log'!$E$4:$E$810="Win")),'Match Log'!$D$4:$D$810),""))</f>
        <v/>
      </c>
      <c r="E169" t="str">
        <f>IFERROR(INDEX('Match Log'!$F$4:$F$810,MATCH(145,'Match Log'!$A$4:$A$810,0)),"")</f>
        <v/>
      </c>
      <c r="F169">
        <f>IFERROR(SUMIFS('Match Log'!$I$4:$I$810,'Match Log'!$A$4:$A$810,145,'Match Log'!$E$4:$E$810,"Win"),"")</f>
        <v>0</v>
      </c>
      <c r="G169" t="str">
        <f t="shared" si="28"/>
        <v/>
      </c>
      <c r="H169" t="str">
        <f t="array" ref="H169">IFERROR(IF(COUNTIFS('Match Log'!$A$4:$A$810,$A169,'Match Log'!$E$4:$E$810,"Win")&gt;1,_xlfn.TEXTJOIN(" + ",TRUE,IF(('Match Log'!$A$4:$A$810=$A169)*('Match Log'!$E$4:$E$810="Loss"),'Match Log'!$D$4:$D$810,"")),IF($E169=2,LOOKUP(2,1/(('Match Log'!$A$4:$A$810=$A169)*('Match Log'!$E$4:$E$810="Loss")),'Match Log'!$D$4:$D$810),"the field")),"")</f>
        <v>the field</v>
      </c>
      <c r="I169" t="str">
        <f t="shared" si="29"/>
        <v/>
      </c>
      <c r="J169">
        <v>145</v>
      </c>
      <c r="K169" t="e">
        <f>IF($J169&gt;MAX('Match Log'!$A$4:$A$810),NA(),IFERROR(LOOKUP(2,1/(('Match Log'!$D$4:$D$810=$K$24)*('Match Log'!$A$4:$A$810&lt;=$J169)),'Match Log'!$N$4:$N$810),NA()))</f>
        <v>#N/A</v>
      </c>
      <c r="L169" t="e">
        <f>IF($J169&gt;MAX('Match Log'!$A$4:$A$810),NA(),IFERROR(LOOKUP(2,1/(('Match Log'!$D$4:$D$810=$L$24)*('Match Log'!$A$4:$A$810&lt;=$J169)),'Match Log'!$N$4:$N$810),NA()))</f>
        <v>#N/A</v>
      </c>
      <c r="M169" t="e">
        <f>IF($J169&gt;MAX('Match Log'!$A$4:$A$810),NA(),IFERROR(LOOKUP(2,1/(('Match Log'!$D$4:$D$810=$M$24)*('Match Log'!$A$4:$A$810&lt;=$J169)),'Match Log'!$N$4:$N$810),NA()))</f>
        <v>#N/A</v>
      </c>
      <c r="N169" t="e">
        <f>IF($J169&gt;MAX('Match Log'!$A$4:$A$810),NA(),IFERROR(LOOKUP(2,1/(('Match Log'!$D$4:$D$810=$N$24)*('Match Log'!$A$4:$A$810&lt;=$J169)),'Match Log'!$N$4:$N$810),NA()))</f>
        <v>#N/A</v>
      </c>
      <c r="O169" t="e">
        <f>IF($J169&gt;MAX('Match Log'!$A$4:$A$810),NA(),IFERROR(LOOKUP(2,1/(('Match Log'!$D$4:$D$810=$O$24)*('Match Log'!$A$4:$A$810&lt;=$J169)),'Match Log'!$N$4:$N$810),NA()))</f>
        <v>#N/A</v>
      </c>
      <c r="P169" t="e">
        <f>IF($J169&gt;MAX('Match Log'!$A$4:$A$810),NA(),IFERROR(LOOKUP(2,1/(('Match Log'!$D$4:$D$810=$P$24)*('Match Log'!$A$4:$A$810&lt;=$J169)),'Match Log'!$N$4:$N$810),NA()))</f>
        <v>#N/A</v>
      </c>
      <c r="Q169" t="e">
        <f>IF($J169&gt;MAX('Match Log'!$A$4:$A$810),NA(),IFERROR(LOOKUP(2,1/(('Match Log'!$D$4:$D$810=$Q$24)*('Match Log'!$A$4:$A$810&lt;=$J169)),'Match Log'!$N$4:$N$810),NA()))</f>
        <v>#N/A</v>
      </c>
      <c r="R169" t="e">
        <f>IF($J169&gt;MAX('Match Log'!$A$4:$A$810),NA(),IFERROR(LOOKUP(2,1/(('Match Log'!$D$4:$D$810=$R$24)*('Match Log'!$A$4:$A$810&lt;=$J169)),'Match Log'!$N$4:$N$810),NA()))</f>
        <v>#N/A</v>
      </c>
      <c r="S169" t="e">
        <f>IF($J169&gt;MAX('Match Log'!$A$4:$A$810),NA(),IFERROR(LOOKUP(2,1/(('Match Log'!$D$4:$D$810=$S$24)*('Match Log'!$A$4:$A$810&lt;=$J169)),'Match Log'!$N$4:$N$810),NA()))</f>
        <v>#N/A</v>
      </c>
      <c r="T169" t="e">
        <f>IF($J169&gt;MAX('Match Log'!$A$4:$A$810),NA(),IFERROR(LOOKUP(2,1/(('Match Log'!$D$4:$D$810=$T$24)*('Match Log'!$A$4:$A$810&lt;=$J169)),'Match Log'!$N$4:$N$810),NA()))</f>
        <v>#N/A</v>
      </c>
      <c r="U169" t="e">
        <f>IF($J169&gt;MAX('Match Log'!$A$4:$A$810),NA(),IFERROR(LOOKUP(2,1/(('Match Log'!$D$4:$D$810=$U$24)*('Match Log'!$A$4:$A$810&lt;=$J169)),'Match Log'!$N$4:$N$810),NA()))</f>
        <v>#N/A</v>
      </c>
      <c r="V169" t="e">
        <f>IF($J169&gt;MAX('Match Log'!$A$4:$A$810),NA(),IFERROR(LOOKUP(2,1/(('Match Log'!$D$4:$D$810=$V$24)*('Match Log'!$A$4:$A$810&lt;=$J169)),'Match Log'!$N$4:$N$810),NA()))</f>
        <v>#N/A</v>
      </c>
      <c r="W169" t="e">
        <f>IF($J169&gt;MAX('Match Log'!$A$4:$A$810),NA(),IFERROR(LOOKUP(2,1/(('Match Log'!$D$4:$D$810=$W$24)*('Match Log'!$A$4:$A$810&lt;=$J169)),'Match Log'!$N$4:$N$810),NA()))</f>
        <v>#N/A</v>
      </c>
      <c r="X169" t="e">
        <f>IF($J169&gt;MAX('Match Log'!$A$4:$A$810),NA(),IFERROR(LOOKUP(2,1/(('Match Log'!$D$4:$D$810=$X$24)*('Match Log'!$A$4:$A$810&lt;=$J169)),'Match Log'!$N$4:$N$810),NA()))</f>
        <v>#N/A</v>
      </c>
      <c r="Y169" t="str">
        <f t="shared" ca="1" si="30"/>
        <v/>
      </c>
    </row>
    <row r="170" spans="1:25" x14ac:dyDescent="0.2">
      <c r="A170">
        <v>146</v>
      </c>
      <c r="B170" t="str">
        <f>IFERROR(INDEX('Match Log'!$B$4:$B$810,MATCH(146,'Match Log'!$A$4:$A$810,0)),"")</f>
        <v/>
      </c>
      <c r="C170" t="str">
        <f>IFERROR(INDEX('Match Log'!$C$4:$C$810,MATCH(146,'Match Log'!$A$4:$A$810,0)),"")</f>
        <v/>
      </c>
      <c r="D170" t="str">
        <f t="array" ref="D170">IFERROR(_xlfn.TEXTJOIN(" + ",TRUE,IF(('Match Log'!$A$4:$A$810=$A170)*('Match Log'!$E$4:$E$810="Win"),'Match Log'!$D$4:$D$810,"")),IFERROR(LOOKUP(2,1/(('Match Log'!$A$4:$A$810=$A170)*('Match Log'!$E$4:$E$810="Win")),'Match Log'!$D$4:$D$810),""))</f>
        <v/>
      </c>
      <c r="E170" t="str">
        <f>IFERROR(INDEX('Match Log'!$F$4:$F$810,MATCH(146,'Match Log'!$A$4:$A$810,0)),"")</f>
        <v/>
      </c>
      <c r="F170">
        <f>IFERROR(SUMIFS('Match Log'!$I$4:$I$810,'Match Log'!$A$4:$A$810,146,'Match Log'!$E$4:$E$810,"Win"),"")</f>
        <v>0</v>
      </c>
      <c r="G170" t="str">
        <f t="shared" si="28"/>
        <v/>
      </c>
      <c r="H170" t="str">
        <f t="array" ref="H170">IFERROR(IF(COUNTIFS('Match Log'!$A$4:$A$810,$A170,'Match Log'!$E$4:$E$810,"Win")&gt;1,_xlfn.TEXTJOIN(" + ",TRUE,IF(('Match Log'!$A$4:$A$810=$A170)*('Match Log'!$E$4:$E$810="Loss"),'Match Log'!$D$4:$D$810,"")),IF($E170=2,LOOKUP(2,1/(('Match Log'!$A$4:$A$810=$A170)*('Match Log'!$E$4:$E$810="Loss")),'Match Log'!$D$4:$D$810),"the field")),"")</f>
        <v>the field</v>
      </c>
      <c r="I170" t="str">
        <f t="shared" si="29"/>
        <v/>
      </c>
      <c r="J170">
        <v>146</v>
      </c>
      <c r="K170" t="e">
        <f>IF($J170&gt;MAX('Match Log'!$A$4:$A$810),NA(),IFERROR(LOOKUP(2,1/(('Match Log'!$D$4:$D$810=$K$24)*('Match Log'!$A$4:$A$810&lt;=$J170)),'Match Log'!$N$4:$N$810),NA()))</f>
        <v>#N/A</v>
      </c>
      <c r="L170" t="e">
        <f>IF($J170&gt;MAX('Match Log'!$A$4:$A$810),NA(),IFERROR(LOOKUP(2,1/(('Match Log'!$D$4:$D$810=$L$24)*('Match Log'!$A$4:$A$810&lt;=$J170)),'Match Log'!$N$4:$N$810),NA()))</f>
        <v>#N/A</v>
      </c>
      <c r="M170" t="e">
        <f>IF($J170&gt;MAX('Match Log'!$A$4:$A$810),NA(),IFERROR(LOOKUP(2,1/(('Match Log'!$D$4:$D$810=$M$24)*('Match Log'!$A$4:$A$810&lt;=$J170)),'Match Log'!$N$4:$N$810),NA()))</f>
        <v>#N/A</v>
      </c>
      <c r="N170" t="e">
        <f>IF($J170&gt;MAX('Match Log'!$A$4:$A$810),NA(),IFERROR(LOOKUP(2,1/(('Match Log'!$D$4:$D$810=$N$24)*('Match Log'!$A$4:$A$810&lt;=$J170)),'Match Log'!$N$4:$N$810),NA()))</f>
        <v>#N/A</v>
      </c>
      <c r="O170" t="e">
        <f>IF($J170&gt;MAX('Match Log'!$A$4:$A$810),NA(),IFERROR(LOOKUP(2,1/(('Match Log'!$D$4:$D$810=$O$24)*('Match Log'!$A$4:$A$810&lt;=$J170)),'Match Log'!$N$4:$N$810),NA()))</f>
        <v>#N/A</v>
      </c>
      <c r="P170" t="e">
        <f>IF($J170&gt;MAX('Match Log'!$A$4:$A$810),NA(),IFERROR(LOOKUP(2,1/(('Match Log'!$D$4:$D$810=$P$24)*('Match Log'!$A$4:$A$810&lt;=$J170)),'Match Log'!$N$4:$N$810),NA()))</f>
        <v>#N/A</v>
      </c>
      <c r="Q170" t="e">
        <f>IF($J170&gt;MAX('Match Log'!$A$4:$A$810),NA(),IFERROR(LOOKUP(2,1/(('Match Log'!$D$4:$D$810=$Q$24)*('Match Log'!$A$4:$A$810&lt;=$J170)),'Match Log'!$N$4:$N$810),NA()))</f>
        <v>#N/A</v>
      </c>
      <c r="R170" t="e">
        <f>IF($J170&gt;MAX('Match Log'!$A$4:$A$810),NA(),IFERROR(LOOKUP(2,1/(('Match Log'!$D$4:$D$810=$R$24)*('Match Log'!$A$4:$A$810&lt;=$J170)),'Match Log'!$N$4:$N$810),NA()))</f>
        <v>#N/A</v>
      </c>
      <c r="S170" t="e">
        <f>IF($J170&gt;MAX('Match Log'!$A$4:$A$810),NA(),IFERROR(LOOKUP(2,1/(('Match Log'!$D$4:$D$810=$S$24)*('Match Log'!$A$4:$A$810&lt;=$J170)),'Match Log'!$N$4:$N$810),NA()))</f>
        <v>#N/A</v>
      </c>
      <c r="T170" t="e">
        <f>IF($J170&gt;MAX('Match Log'!$A$4:$A$810),NA(),IFERROR(LOOKUP(2,1/(('Match Log'!$D$4:$D$810=$T$24)*('Match Log'!$A$4:$A$810&lt;=$J170)),'Match Log'!$N$4:$N$810),NA()))</f>
        <v>#N/A</v>
      </c>
      <c r="U170" t="e">
        <f>IF($J170&gt;MAX('Match Log'!$A$4:$A$810),NA(),IFERROR(LOOKUP(2,1/(('Match Log'!$D$4:$D$810=$U$24)*('Match Log'!$A$4:$A$810&lt;=$J170)),'Match Log'!$N$4:$N$810),NA()))</f>
        <v>#N/A</v>
      </c>
      <c r="V170" t="e">
        <f>IF($J170&gt;MAX('Match Log'!$A$4:$A$810),NA(),IFERROR(LOOKUP(2,1/(('Match Log'!$D$4:$D$810=$V$24)*('Match Log'!$A$4:$A$810&lt;=$J170)),'Match Log'!$N$4:$N$810),NA()))</f>
        <v>#N/A</v>
      </c>
      <c r="W170" t="e">
        <f>IF($J170&gt;MAX('Match Log'!$A$4:$A$810),NA(),IFERROR(LOOKUP(2,1/(('Match Log'!$D$4:$D$810=$W$24)*('Match Log'!$A$4:$A$810&lt;=$J170)),'Match Log'!$N$4:$N$810),NA()))</f>
        <v>#N/A</v>
      </c>
      <c r="X170" t="e">
        <f>IF($J170&gt;MAX('Match Log'!$A$4:$A$810),NA(),IFERROR(LOOKUP(2,1/(('Match Log'!$D$4:$D$810=$X$24)*('Match Log'!$A$4:$A$810&lt;=$J170)),'Match Log'!$N$4:$N$810),NA()))</f>
        <v>#N/A</v>
      </c>
      <c r="Y170" t="str">
        <f t="shared" ca="1" si="30"/>
        <v/>
      </c>
    </row>
    <row r="171" spans="1:25" x14ac:dyDescent="0.2">
      <c r="A171">
        <v>147</v>
      </c>
      <c r="B171" t="str">
        <f>IFERROR(INDEX('Match Log'!$B$4:$B$810,MATCH(147,'Match Log'!$A$4:$A$810,0)),"")</f>
        <v/>
      </c>
      <c r="C171" t="str">
        <f>IFERROR(INDEX('Match Log'!$C$4:$C$810,MATCH(147,'Match Log'!$A$4:$A$810,0)),"")</f>
        <v/>
      </c>
      <c r="D171" t="str">
        <f t="array" ref="D171">IFERROR(_xlfn.TEXTJOIN(" + ",TRUE,IF(('Match Log'!$A$4:$A$810=$A171)*('Match Log'!$E$4:$E$810="Win"),'Match Log'!$D$4:$D$810,"")),IFERROR(LOOKUP(2,1/(('Match Log'!$A$4:$A$810=$A171)*('Match Log'!$E$4:$E$810="Win")),'Match Log'!$D$4:$D$810),""))</f>
        <v/>
      </c>
      <c r="E171" t="str">
        <f>IFERROR(INDEX('Match Log'!$F$4:$F$810,MATCH(147,'Match Log'!$A$4:$A$810,0)),"")</f>
        <v/>
      </c>
      <c r="F171">
        <f>IFERROR(SUMIFS('Match Log'!$I$4:$I$810,'Match Log'!$A$4:$A$810,147,'Match Log'!$E$4:$E$810,"Win"),"")</f>
        <v>0</v>
      </c>
      <c r="G171" t="str">
        <f t="shared" si="28"/>
        <v/>
      </c>
      <c r="H171" t="str">
        <f t="array" ref="H171">IFERROR(IF(COUNTIFS('Match Log'!$A$4:$A$810,$A171,'Match Log'!$E$4:$E$810,"Win")&gt;1,_xlfn.TEXTJOIN(" + ",TRUE,IF(('Match Log'!$A$4:$A$810=$A171)*('Match Log'!$E$4:$E$810="Loss"),'Match Log'!$D$4:$D$810,"")),IF($E171=2,LOOKUP(2,1/(('Match Log'!$A$4:$A$810=$A171)*('Match Log'!$E$4:$E$810="Loss")),'Match Log'!$D$4:$D$810),"the field")),"")</f>
        <v>the field</v>
      </c>
      <c r="I171" t="str">
        <f t="shared" si="29"/>
        <v/>
      </c>
      <c r="J171">
        <v>147</v>
      </c>
      <c r="K171" t="e">
        <f>IF($J171&gt;MAX('Match Log'!$A$4:$A$810),NA(),IFERROR(LOOKUP(2,1/(('Match Log'!$D$4:$D$810=$K$24)*('Match Log'!$A$4:$A$810&lt;=$J171)),'Match Log'!$N$4:$N$810),NA()))</f>
        <v>#N/A</v>
      </c>
      <c r="L171" t="e">
        <f>IF($J171&gt;MAX('Match Log'!$A$4:$A$810),NA(),IFERROR(LOOKUP(2,1/(('Match Log'!$D$4:$D$810=$L$24)*('Match Log'!$A$4:$A$810&lt;=$J171)),'Match Log'!$N$4:$N$810),NA()))</f>
        <v>#N/A</v>
      </c>
      <c r="M171" t="e">
        <f>IF($J171&gt;MAX('Match Log'!$A$4:$A$810),NA(),IFERROR(LOOKUP(2,1/(('Match Log'!$D$4:$D$810=$M$24)*('Match Log'!$A$4:$A$810&lt;=$J171)),'Match Log'!$N$4:$N$810),NA()))</f>
        <v>#N/A</v>
      </c>
      <c r="N171" t="e">
        <f>IF($J171&gt;MAX('Match Log'!$A$4:$A$810),NA(),IFERROR(LOOKUP(2,1/(('Match Log'!$D$4:$D$810=$N$24)*('Match Log'!$A$4:$A$810&lt;=$J171)),'Match Log'!$N$4:$N$810),NA()))</f>
        <v>#N/A</v>
      </c>
      <c r="O171" t="e">
        <f>IF($J171&gt;MAX('Match Log'!$A$4:$A$810),NA(),IFERROR(LOOKUP(2,1/(('Match Log'!$D$4:$D$810=$O$24)*('Match Log'!$A$4:$A$810&lt;=$J171)),'Match Log'!$N$4:$N$810),NA()))</f>
        <v>#N/A</v>
      </c>
      <c r="P171" t="e">
        <f>IF($J171&gt;MAX('Match Log'!$A$4:$A$810),NA(),IFERROR(LOOKUP(2,1/(('Match Log'!$D$4:$D$810=$P$24)*('Match Log'!$A$4:$A$810&lt;=$J171)),'Match Log'!$N$4:$N$810),NA()))</f>
        <v>#N/A</v>
      </c>
      <c r="Q171" t="e">
        <f>IF($J171&gt;MAX('Match Log'!$A$4:$A$810),NA(),IFERROR(LOOKUP(2,1/(('Match Log'!$D$4:$D$810=$Q$24)*('Match Log'!$A$4:$A$810&lt;=$J171)),'Match Log'!$N$4:$N$810),NA()))</f>
        <v>#N/A</v>
      </c>
      <c r="R171" t="e">
        <f>IF($J171&gt;MAX('Match Log'!$A$4:$A$810),NA(),IFERROR(LOOKUP(2,1/(('Match Log'!$D$4:$D$810=$R$24)*('Match Log'!$A$4:$A$810&lt;=$J171)),'Match Log'!$N$4:$N$810),NA()))</f>
        <v>#N/A</v>
      </c>
      <c r="S171" t="e">
        <f>IF($J171&gt;MAX('Match Log'!$A$4:$A$810),NA(),IFERROR(LOOKUP(2,1/(('Match Log'!$D$4:$D$810=$S$24)*('Match Log'!$A$4:$A$810&lt;=$J171)),'Match Log'!$N$4:$N$810),NA()))</f>
        <v>#N/A</v>
      </c>
      <c r="T171" t="e">
        <f>IF($J171&gt;MAX('Match Log'!$A$4:$A$810),NA(),IFERROR(LOOKUP(2,1/(('Match Log'!$D$4:$D$810=$T$24)*('Match Log'!$A$4:$A$810&lt;=$J171)),'Match Log'!$N$4:$N$810),NA()))</f>
        <v>#N/A</v>
      </c>
      <c r="U171" t="e">
        <f>IF($J171&gt;MAX('Match Log'!$A$4:$A$810),NA(),IFERROR(LOOKUP(2,1/(('Match Log'!$D$4:$D$810=$U$24)*('Match Log'!$A$4:$A$810&lt;=$J171)),'Match Log'!$N$4:$N$810),NA()))</f>
        <v>#N/A</v>
      </c>
      <c r="V171" t="e">
        <f>IF($J171&gt;MAX('Match Log'!$A$4:$A$810),NA(),IFERROR(LOOKUP(2,1/(('Match Log'!$D$4:$D$810=$V$24)*('Match Log'!$A$4:$A$810&lt;=$J171)),'Match Log'!$N$4:$N$810),NA()))</f>
        <v>#N/A</v>
      </c>
      <c r="W171" t="e">
        <f>IF($J171&gt;MAX('Match Log'!$A$4:$A$810),NA(),IFERROR(LOOKUP(2,1/(('Match Log'!$D$4:$D$810=$W$24)*('Match Log'!$A$4:$A$810&lt;=$J171)),'Match Log'!$N$4:$N$810),NA()))</f>
        <v>#N/A</v>
      </c>
      <c r="X171" t="e">
        <f>IF($J171&gt;MAX('Match Log'!$A$4:$A$810),NA(),IFERROR(LOOKUP(2,1/(('Match Log'!$D$4:$D$810=$X$24)*('Match Log'!$A$4:$A$810&lt;=$J171)),'Match Log'!$N$4:$N$810),NA()))</f>
        <v>#N/A</v>
      </c>
      <c r="Y171" t="str">
        <f t="shared" ca="1" si="30"/>
        <v/>
      </c>
    </row>
    <row r="172" spans="1:25" x14ac:dyDescent="0.2">
      <c r="A172">
        <v>148</v>
      </c>
      <c r="B172" t="str">
        <f>IFERROR(INDEX('Match Log'!$B$4:$B$810,MATCH(148,'Match Log'!$A$4:$A$810,0)),"")</f>
        <v/>
      </c>
      <c r="C172" t="str">
        <f>IFERROR(INDEX('Match Log'!$C$4:$C$810,MATCH(148,'Match Log'!$A$4:$A$810,0)),"")</f>
        <v/>
      </c>
      <c r="D172" t="str">
        <f t="array" ref="D172">IFERROR(_xlfn.TEXTJOIN(" + ",TRUE,IF(('Match Log'!$A$4:$A$810=$A172)*('Match Log'!$E$4:$E$810="Win"),'Match Log'!$D$4:$D$810,"")),IFERROR(LOOKUP(2,1/(('Match Log'!$A$4:$A$810=$A172)*('Match Log'!$E$4:$E$810="Win")),'Match Log'!$D$4:$D$810),""))</f>
        <v/>
      </c>
      <c r="E172" t="str">
        <f>IFERROR(INDEX('Match Log'!$F$4:$F$810,MATCH(148,'Match Log'!$A$4:$A$810,0)),"")</f>
        <v/>
      </c>
      <c r="F172">
        <f>IFERROR(SUMIFS('Match Log'!$I$4:$I$810,'Match Log'!$A$4:$A$810,148,'Match Log'!$E$4:$E$810,"Win"),"")</f>
        <v>0</v>
      </c>
      <c r="G172" t="str">
        <f t="shared" si="28"/>
        <v/>
      </c>
      <c r="H172" t="str">
        <f t="array" ref="H172">IFERROR(IF(COUNTIFS('Match Log'!$A$4:$A$810,$A172,'Match Log'!$E$4:$E$810,"Win")&gt;1,_xlfn.TEXTJOIN(" + ",TRUE,IF(('Match Log'!$A$4:$A$810=$A172)*('Match Log'!$E$4:$E$810="Loss"),'Match Log'!$D$4:$D$810,"")),IF($E172=2,LOOKUP(2,1/(('Match Log'!$A$4:$A$810=$A172)*('Match Log'!$E$4:$E$810="Loss")),'Match Log'!$D$4:$D$810),"the field")),"")</f>
        <v>the field</v>
      </c>
      <c r="I172" t="str">
        <f t="shared" si="29"/>
        <v/>
      </c>
      <c r="J172">
        <v>148</v>
      </c>
      <c r="K172" t="e">
        <f>IF($J172&gt;MAX('Match Log'!$A$4:$A$810),NA(),IFERROR(LOOKUP(2,1/(('Match Log'!$D$4:$D$810=$K$24)*('Match Log'!$A$4:$A$810&lt;=$J172)),'Match Log'!$N$4:$N$810),NA()))</f>
        <v>#N/A</v>
      </c>
      <c r="L172" t="e">
        <f>IF($J172&gt;MAX('Match Log'!$A$4:$A$810),NA(),IFERROR(LOOKUP(2,1/(('Match Log'!$D$4:$D$810=$L$24)*('Match Log'!$A$4:$A$810&lt;=$J172)),'Match Log'!$N$4:$N$810),NA()))</f>
        <v>#N/A</v>
      </c>
      <c r="M172" t="e">
        <f>IF($J172&gt;MAX('Match Log'!$A$4:$A$810),NA(),IFERROR(LOOKUP(2,1/(('Match Log'!$D$4:$D$810=$M$24)*('Match Log'!$A$4:$A$810&lt;=$J172)),'Match Log'!$N$4:$N$810),NA()))</f>
        <v>#N/A</v>
      </c>
      <c r="N172" t="e">
        <f>IF($J172&gt;MAX('Match Log'!$A$4:$A$810),NA(),IFERROR(LOOKUP(2,1/(('Match Log'!$D$4:$D$810=$N$24)*('Match Log'!$A$4:$A$810&lt;=$J172)),'Match Log'!$N$4:$N$810),NA()))</f>
        <v>#N/A</v>
      </c>
      <c r="O172" t="e">
        <f>IF($J172&gt;MAX('Match Log'!$A$4:$A$810),NA(),IFERROR(LOOKUP(2,1/(('Match Log'!$D$4:$D$810=$O$24)*('Match Log'!$A$4:$A$810&lt;=$J172)),'Match Log'!$N$4:$N$810),NA()))</f>
        <v>#N/A</v>
      </c>
      <c r="P172" t="e">
        <f>IF($J172&gt;MAX('Match Log'!$A$4:$A$810),NA(),IFERROR(LOOKUP(2,1/(('Match Log'!$D$4:$D$810=$P$24)*('Match Log'!$A$4:$A$810&lt;=$J172)),'Match Log'!$N$4:$N$810),NA()))</f>
        <v>#N/A</v>
      </c>
      <c r="Q172" t="e">
        <f>IF($J172&gt;MAX('Match Log'!$A$4:$A$810),NA(),IFERROR(LOOKUP(2,1/(('Match Log'!$D$4:$D$810=$Q$24)*('Match Log'!$A$4:$A$810&lt;=$J172)),'Match Log'!$N$4:$N$810),NA()))</f>
        <v>#N/A</v>
      </c>
      <c r="R172" t="e">
        <f>IF($J172&gt;MAX('Match Log'!$A$4:$A$810),NA(),IFERROR(LOOKUP(2,1/(('Match Log'!$D$4:$D$810=$R$24)*('Match Log'!$A$4:$A$810&lt;=$J172)),'Match Log'!$N$4:$N$810),NA()))</f>
        <v>#N/A</v>
      </c>
      <c r="S172" t="e">
        <f>IF($J172&gt;MAX('Match Log'!$A$4:$A$810),NA(),IFERROR(LOOKUP(2,1/(('Match Log'!$D$4:$D$810=$S$24)*('Match Log'!$A$4:$A$810&lt;=$J172)),'Match Log'!$N$4:$N$810),NA()))</f>
        <v>#N/A</v>
      </c>
      <c r="T172" t="e">
        <f>IF($J172&gt;MAX('Match Log'!$A$4:$A$810),NA(),IFERROR(LOOKUP(2,1/(('Match Log'!$D$4:$D$810=$T$24)*('Match Log'!$A$4:$A$810&lt;=$J172)),'Match Log'!$N$4:$N$810),NA()))</f>
        <v>#N/A</v>
      </c>
      <c r="U172" t="e">
        <f>IF($J172&gt;MAX('Match Log'!$A$4:$A$810),NA(),IFERROR(LOOKUP(2,1/(('Match Log'!$D$4:$D$810=$U$24)*('Match Log'!$A$4:$A$810&lt;=$J172)),'Match Log'!$N$4:$N$810),NA()))</f>
        <v>#N/A</v>
      </c>
      <c r="V172" t="e">
        <f>IF($J172&gt;MAX('Match Log'!$A$4:$A$810),NA(),IFERROR(LOOKUP(2,1/(('Match Log'!$D$4:$D$810=$V$24)*('Match Log'!$A$4:$A$810&lt;=$J172)),'Match Log'!$N$4:$N$810),NA()))</f>
        <v>#N/A</v>
      </c>
      <c r="W172" t="e">
        <f>IF($J172&gt;MAX('Match Log'!$A$4:$A$810),NA(),IFERROR(LOOKUP(2,1/(('Match Log'!$D$4:$D$810=$W$24)*('Match Log'!$A$4:$A$810&lt;=$J172)),'Match Log'!$N$4:$N$810),NA()))</f>
        <v>#N/A</v>
      </c>
      <c r="X172" t="e">
        <f>IF($J172&gt;MAX('Match Log'!$A$4:$A$810),NA(),IFERROR(LOOKUP(2,1/(('Match Log'!$D$4:$D$810=$X$24)*('Match Log'!$A$4:$A$810&lt;=$J172)),'Match Log'!$N$4:$N$810),NA()))</f>
        <v>#N/A</v>
      </c>
      <c r="Y172" t="str">
        <f t="shared" ca="1" si="30"/>
        <v/>
      </c>
    </row>
    <row r="173" spans="1:25" x14ac:dyDescent="0.2">
      <c r="A173">
        <v>149</v>
      </c>
      <c r="B173" t="str">
        <f>IFERROR(INDEX('Match Log'!$B$4:$B$810,MATCH(149,'Match Log'!$A$4:$A$810,0)),"")</f>
        <v/>
      </c>
      <c r="C173" t="str">
        <f>IFERROR(INDEX('Match Log'!$C$4:$C$810,MATCH(149,'Match Log'!$A$4:$A$810,0)),"")</f>
        <v/>
      </c>
      <c r="D173" t="str">
        <f t="array" ref="D173">IFERROR(_xlfn.TEXTJOIN(" + ",TRUE,IF(('Match Log'!$A$4:$A$810=$A173)*('Match Log'!$E$4:$E$810="Win"),'Match Log'!$D$4:$D$810,"")),IFERROR(LOOKUP(2,1/(('Match Log'!$A$4:$A$810=$A173)*('Match Log'!$E$4:$E$810="Win")),'Match Log'!$D$4:$D$810),""))</f>
        <v/>
      </c>
      <c r="E173" t="str">
        <f>IFERROR(INDEX('Match Log'!$F$4:$F$810,MATCH(149,'Match Log'!$A$4:$A$810,0)),"")</f>
        <v/>
      </c>
      <c r="F173">
        <f>IFERROR(SUMIFS('Match Log'!$I$4:$I$810,'Match Log'!$A$4:$A$810,149,'Match Log'!$E$4:$E$810,"Win"),"")</f>
        <v>0</v>
      </c>
      <c r="G173" t="str">
        <f t="shared" si="28"/>
        <v/>
      </c>
      <c r="H173" t="str">
        <f t="array" ref="H173">IFERROR(IF(COUNTIFS('Match Log'!$A$4:$A$810,$A173,'Match Log'!$E$4:$E$810,"Win")&gt;1,_xlfn.TEXTJOIN(" + ",TRUE,IF(('Match Log'!$A$4:$A$810=$A173)*('Match Log'!$E$4:$E$810="Loss"),'Match Log'!$D$4:$D$810,"")),IF($E173=2,LOOKUP(2,1/(('Match Log'!$A$4:$A$810=$A173)*('Match Log'!$E$4:$E$810="Loss")),'Match Log'!$D$4:$D$810),"the field")),"")</f>
        <v>the field</v>
      </c>
      <c r="I173" t="str">
        <f t="shared" si="29"/>
        <v/>
      </c>
      <c r="J173">
        <v>149</v>
      </c>
      <c r="K173" t="e">
        <f>IF($J173&gt;MAX('Match Log'!$A$4:$A$810),NA(),IFERROR(LOOKUP(2,1/(('Match Log'!$D$4:$D$810=$K$24)*('Match Log'!$A$4:$A$810&lt;=$J173)),'Match Log'!$N$4:$N$810),NA()))</f>
        <v>#N/A</v>
      </c>
      <c r="L173" t="e">
        <f>IF($J173&gt;MAX('Match Log'!$A$4:$A$810),NA(),IFERROR(LOOKUP(2,1/(('Match Log'!$D$4:$D$810=$L$24)*('Match Log'!$A$4:$A$810&lt;=$J173)),'Match Log'!$N$4:$N$810),NA()))</f>
        <v>#N/A</v>
      </c>
      <c r="M173" t="e">
        <f>IF($J173&gt;MAX('Match Log'!$A$4:$A$810),NA(),IFERROR(LOOKUP(2,1/(('Match Log'!$D$4:$D$810=$M$24)*('Match Log'!$A$4:$A$810&lt;=$J173)),'Match Log'!$N$4:$N$810),NA()))</f>
        <v>#N/A</v>
      </c>
      <c r="N173" t="e">
        <f>IF($J173&gt;MAX('Match Log'!$A$4:$A$810),NA(),IFERROR(LOOKUP(2,1/(('Match Log'!$D$4:$D$810=$N$24)*('Match Log'!$A$4:$A$810&lt;=$J173)),'Match Log'!$N$4:$N$810),NA()))</f>
        <v>#N/A</v>
      </c>
      <c r="O173" t="e">
        <f>IF($J173&gt;MAX('Match Log'!$A$4:$A$810),NA(),IFERROR(LOOKUP(2,1/(('Match Log'!$D$4:$D$810=$O$24)*('Match Log'!$A$4:$A$810&lt;=$J173)),'Match Log'!$N$4:$N$810),NA()))</f>
        <v>#N/A</v>
      </c>
      <c r="P173" t="e">
        <f>IF($J173&gt;MAX('Match Log'!$A$4:$A$810),NA(),IFERROR(LOOKUP(2,1/(('Match Log'!$D$4:$D$810=$P$24)*('Match Log'!$A$4:$A$810&lt;=$J173)),'Match Log'!$N$4:$N$810),NA()))</f>
        <v>#N/A</v>
      </c>
      <c r="Q173" t="e">
        <f>IF($J173&gt;MAX('Match Log'!$A$4:$A$810),NA(),IFERROR(LOOKUP(2,1/(('Match Log'!$D$4:$D$810=$Q$24)*('Match Log'!$A$4:$A$810&lt;=$J173)),'Match Log'!$N$4:$N$810),NA()))</f>
        <v>#N/A</v>
      </c>
      <c r="R173" t="e">
        <f>IF($J173&gt;MAX('Match Log'!$A$4:$A$810),NA(),IFERROR(LOOKUP(2,1/(('Match Log'!$D$4:$D$810=$R$24)*('Match Log'!$A$4:$A$810&lt;=$J173)),'Match Log'!$N$4:$N$810),NA()))</f>
        <v>#N/A</v>
      </c>
      <c r="S173" t="e">
        <f>IF($J173&gt;MAX('Match Log'!$A$4:$A$810),NA(),IFERROR(LOOKUP(2,1/(('Match Log'!$D$4:$D$810=$S$24)*('Match Log'!$A$4:$A$810&lt;=$J173)),'Match Log'!$N$4:$N$810),NA()))</f>
        <v>#N/A</v>
      </c>
      <c r="T173" t="e">
        <f>IF($J173&gt;MAX('Match Log'!$A$4:$A$810),NA(),IFERROR(LOOKUP(2,1/(('Match Log'!$D$4:$D$810=$T$24)*('Match Log'!$A$4:$A$810&lt;=$J173)),'Match Log'!$N$4:$N$810),NA()))</f>
        <v>#N/A</v>
      </c>
      <c r="U173" t="e">
        <f>IF($J173&gt;MAX('Match Log'!$A$4:$A$810),NA(),IFERROR(LOOKUP(2,1/(('Match Log'!$D$4:$D$810=$U$24)*('Match Log'!$A$4:$A$810&lt;=$J173)),'Match Log'!$N$4:$N$810),NA()))</f>
        <v>#N/A</v>
      </c>
      <c r="V173" t="e">
        <f>IF($J173&gt;MAX('Match Log'!$A$4:$A$810),NA(),IFERROR(LOOKUP(2,1/(('Match Log'!$D$4:$D$810=$V$24)*('Match Log'!$A$4:$A$810&lt;=$J173)),'Match Log'!$N$4:$N$810),NA()))</f>
        <v>#N/A</v>
      </c>
      <c r="W173" t="e">
        <f>IF($J173&gt;MAX('Match Log'!$A$4:$A$810),NA(),IFERROR(LOOKUP(2,1/(('Match Log'!$D$4:$D$810=$W$24)*('Match Log'!$A$4:$A$810&lt;=$J173)),'Match Log'!$N$4:$N$810),NA()))</f>
        <v>#N/A</v>
      </c>
      <c r="X173" t="e">
        <f>IF($J173&gt;MAX('Match Log'!$A$4:$A$810),NA(),IFERROR(LOOKUP(2,1/(('Match Log'!$D$4:$D$810=$X$24)*('Match Log'!$A$4:$A$810&lt;=$J173)),'Match Log'!$N$4:$N$810),NA()))</f>
        <v>#N/A</v>
      </c>
      <c r="Y173" t="str">
        <f t="shared" ca="1" si="30"/>
        <v/>
      </c>
    </row>
    <row r="174" spans="1:25" x14ac:dyDescent="0.2">
      <c r="A174">
        <v>150</v>
      </c>
      <c r="B174" t="str">
        <f>IFERROR(INDEX('Match Log'!$B$4:$B$810,MATCH(150,'Match Log'!$A$4:$A$810,0)),"")</f>
        <v/>
      </c>
      <c r="C174" t="str">
        <f>IFERROR(INDEX('Match Log'!$C$4:$C$810,MATCH(150,'Match Log'!$A$4:$A$810,0)),"")</f>
        <v/>
      </c>
      <c r="D174" t="str">
        <f t="array" ref="D174">IFERROR(_xlfn.TEXTJOIN(" + ",TRUE,IF(('Match Log'!$A$4:$A$810=$A174)*('Match Log'!$E$4:$E$810="Win"),'Match Log'!$D$4:$D$810,"")),IFERROR(LOOKUP(2,1/(('Match Log'!$A$4:$A$810=$A174)*('Match Log'!$E$4:$E$810="Win")),'Match Log'!$D$4:$D$810),""))</f>
        <v/>
      </c>
      <c r="E174" t="str">
        <f>IFERROR(INDEX('Match Log'!$F$4:$F$810,MATCH(150,'Match Log'!$A$4:$A$810,0)),"")</f>
        <v/>
      </c>
      <c r="F174">
        <f>IFERROR(SUMIFS('Match Log'!$I$4:$I$810,'Match Log'!$A$4:$A$810,150,'Match Log'!$E$4:$E$810,"Win"),"")</f>
        <v>0</v>
      </c>
      <c r="G174" t="str">
        <f t="shared" si="28"/>
        <v/>
      </c>
      <c r="H174" t="str">
        <f t="array" ref="H174">IFERROR(IF(COUNTIFS('Match Log'!$A$4:$A$810,$A174,'Match Log'!$E$4:$E$810,"Win")&gt;1,_xlfn.TEXTJOIN(" + ",TRUE,IF(('Match Log'!$A$4:$A$810=$A174)*('Match Log'!$E$4:$E$810="Loss"),'Match Log'!$D$4:$D$810,"")),IF($E174=2,LOOKUP(2,1/(('Match Log'!$A$4:$A$810=$A174)*('Match Log'!$E$4:$E$810="Loss")),'Match Log'!$D$4:$D$810),"the field")),"")</f>
        <v>the field</v>
      </c>
      <c r="I174" t="str">
        <f t="shared" si="29"/>
        <v/>
      </c>
      <c r="J174">
        <v>150</v>
      </c>
      <c r="K174" t="e">
        <f>IF($J174&gt;MAX('Match Log'!$A$4:$A$810),NA(),IFERROR(LOOKUP(2,1/(('Match Log'!$D$4:$D$810=$K$24)*('Match Log'!$A$4:$A$810&lt;=$J174)),'Match Log'!$N$4:$N$810),NA()))</f>
        <v>#N/A</v>
      </c>
      <c r="L174" t="e">
        <f>IF($J174&gt;MAX('Match Log'!$A$4:$A$810),NA(),IFERROR(LOOKUP(2,1/(('Match Log'!$D$4:$D$810=$L$24)*('Match Log'!$A$4:$A$810&lt;=$J174)),'Match Log'!$N$4:$N$810),NA()))</f>
        <v>#N/A</v>
      </c>
      <c r="M174" t="e">
        <f>IF($J174&gt;MAX('Match Log'!$A$4:$A$810),NA(),IFERROR(LOOKUP(2,1/(('Match Log'!$D$4:$D$810=$M$24)*('Match Log'!$A$4:$A$810&lt;=$J174)),'Match Log'!$N$4:$N$810),NA()))</f>
        <v>#N/A</v>
      </c>
      <c r="N174" t="e">
        <f>IF($J174&gt;MAX('Match Log'!$A$4:$A$810),NA(),IFERROR(LOOKUP(2,1/(('Match Log'!$D$4:$D$810=$N$24)*('Match Log'!$A$4:$A$810&lt;=$J174)),'Match Log'!$N$4:$N$810),NA()))</f>
        <v>#N/A</v>
      </c>
      <c r="O174" t="e">
        <f>IF($J174&gt;MAX('Match Log'!$A$4:$A$810),NA(),IFERROR(LOOKUP(2,1/(('Match Log'!$D$4:$D$810=$O$24)*('Match Log'!$A$4:$A$810&lt;=$J174)),'Match Log'!$N$4:$N$810),NA()))</f>
        <v>#N/A</v>
      </c>
      <c r="P174" t="e">
        <f>IF($J174&gt;MAX('Match Log'!$A$4:$A$810),NA(),IFERROR(LOOKUP(2,1/(('Match Log'!$D$4:$D$810=$P$24)*('Match Log'!$A$4:$A$810&lt;=$J174)),'Match Log'!$N$4:$N$810),NA()))</f>
        <v>#N/A</v>
      </c>
      <c r="Q174" t="e">
        <f>IF($J174&gt;MAX('Match Log'!$A$4:$A$810),NA(),IFERROR(LOOKUP(2,1/(('Match Log'!$D$4:$D$810=$Q$24)*('Match Log'!$A$4:$A$810&lt;=$J174)),'Match Log'!$N$4:$N$810),NA()))</f>
        <v>#N/A</v>
      </c>
      <c r="R174" t="e">
        <f>IF($J174&gt;MAX('Match Log'!$A$4:$A$810),NA(),IFERROR(LOOKUP(2,1/(('Match Log'!$D$4:$D$810=$R$24)*('Match Log'!$A$4:$A$810&lt;=$J174)),'Match Log'!$N$4:$N$810),NA()))</f>
        <v>#N/A</v>
      </c>
      <c r="S174" t="e">
        <f>IF($J174&gt;MAX('Match Log'!$A$4:$A$810),NA(),IFERROR(LOOKUP(2,1/(('Match Log'!$D$4:$D$810=$S$24)*('Match Log'!$A$4:$A$810&lt;=$J174)),'Match Log'!$N$4:$N$810),NA()))</f>
        <v>#N/A</v>
      </c>
      <c r="T174" t="e">
        <f>IF($J174&gt;MAX('Match Log'!$A$4:$A$810),NA(),IFERROR(LOOKUP(2,1/(('Match Log'!$D$4:$D$810=$T$24)*('Match Log'!$A$4:$A$810&lt;=$J174)),'Match Log'!$N$4:$N$810),NA()))</f>
        <v>#N/A</v>
      </c>
      <c r="U174" t="e">
        <f>IF($J174&gt;MAX('Match Log'!$A$4:$A$810),NA(),IFERROR(LOOKUP(2,1/(('Match Log'!$D$4:$D$810=$U$24)*('Match Log'!$A$4:$A$810&lt;=$J174)),'Match Log'!$N$4:$N$810),NA()))</f>
        <v>#N/A</v>
      </c>
      <c r="V174" t="e">
        <f>IF($J174&gt;MAX('Match Log'!$A$4:$A$810),NA(),IFERROR(LOOKUP(2,1/(('Match Log'!$D$4:$D$810=$V$24)*('Match Log'!$A$4:$A$810&lt;=$J174)),'Match Log'!$N$4:$N$810),NA()))</f>
        <v>#N/A</v>
      </c>
      <c r="W174" t="e">
        <f>IF($J174&gt;MAX('Match Log'!$A$4:$A$810),NA(),IFERROR(LOOKUP(2,1/(('Match Log'!$D$4:$D$810=$W$24)*('Match Log'!$A$4:$A$810&lt;=$J174)),'Match Log'!$N$4:$N$810),NA()))</f>
        <v>#N/A</v>
      </c>
      <c r="X174" t="e">
        <f>IF($J174&gt;MAX('Match Log'!$A$4:$A$810),NA(),IFERROR(LOOKUP(2,1/(('Match Log'!$D$4:$D$810=$X$24)*('Match Log'!$A$4:$A$810&lt;=$J174)),'Match Log'!$N$4:$N$810),NA()))</f>
        <v>#N/A</v>
      </c>
      <c r="Y174" t="str">
        <f t="shared" ca="1" si="30"/>
        <v/>
      </c>
    </row>
    <row r="175" spans="1:25" x14ac:dyDescent="0.2">
      <c r="A175">
        <v>151</v>
      </c>
      <c r="B175" t="str">
        <f>IFERROR(INDEX('Match Log'!$B$4:$B$810,MATCH(151,'Match Log'!$A$4:$A$810,0)),"")</f>
        <v/>
      </c>
      <c r="C175" t="str">
        <f>IFERROR(INDEX('Match Log'!$C$4:$C$810,MATCH(151,'Match Log'!$A$4:$A$810,0)),"")</f>
        <v/>
      </c>
      <c r="D175" t="str">
        <f t="array" ref="D175">IFERROR(_xlfn.TEXTJOIN(" + ",TRUE,IF(('Match Log'!$A$4:$A$810=$A175)*('Match Log'!$E$4:$E$810="Win"),'Match Log'!$D$4:$D$810,"")),IFERROR(LOOKUP(2,1/(('Match Log'!$A$4:$A$810=$A175)*('Match Log'!$E$4:$E$810="Win")),'Match Log'!$D$4:$D$810),""))</f>
        <v/>
      </c>
      <c r="E175" t="str">
        <f>IFERROR(INDEX('Match Log'!$F$4:$F$810,MATCH(151,'Match Log'!$A$4:$A$810,0)),"")</f>
        <v/>
      </c>
      <c r="F175">
        <f>IFERROR(SUMIFS('Match Log'!$I$4:$I$810,'Match Log'!$A$4:$A$810,151,'Match Log'!$E$4:$E$810,"Win"),"")</f>
        <v>0</v>
      </c>
      <c r="G175" t="str">
        <f t="shared" si="28"/>
        <v/>
      </c>
      <c r="H175" t="str">
        <f t="array" ref="H175">IFERROR(IF(COUNTIFS('Match Log'!$A$4:$A$810,$A175,'Match Log'!$E$4:$E$810,"Win")&gt;1,_xlfn.TEXTJOIN(" + ",TRUE,IF(('Match Log'!$A$4:$A$810=$A175)*('Match Log'!$E$4:$E$810="Loss"),'Match Log'!$D$4:$D$810,"")),IF($E175=2,LOOKUP(2,1/(('Match Log'!$A$4:$A$810=$A175)*('Match Log'!$E$4:$E$810="Loss")),'Match Log'!$D$4:$D$810),"the field")),"")</f>
        <v>the field</v>
      </c>
      <c r="I175" t="str">
        <f t="shared" si="29"/>
        <v/>
      </c>
      <c r="J175">
        <v>151</v>
      </c>
      <c r="K175" t="e">
        <f>IF($J175&gt;MAX('Match Log'!$A$4:$A$810),NA(),IFERROR(LOOKUP(2,1/(('Match Log'!$D$4:$D$810=$K$24)*('Match Log'!$A$4:$A$810&lt;=$J175)),'Match Log'!$N$4:$N$810),NA()))</f>
        <v>#N/A</v>
      </c>
      <c r="L175" t="e">
        <f>IF($J175&gt;MAX('Match Log'!$A$4:$A$810),NA(),IFERROR(LOOKUP(2,1/(('Match Log'!$D$4:$D$810=$L$24)*('Match Log'!$A$4:$A$810&lt;=$J175)),'Match Log'!$N$4:$N$810),NA()))</f>
        <v>#N/A</v>
      </c>
      <c r="M175" t="e">
        <f>IF($J175&gt;MAX('Match Log'!$A$4:$A$810),NA(),IFERROR(LOOKUP(2,1/(('Match Log'!$D$4:$D$810=$M$24)*('Match Log'!$A$4:$A$810&lt;=$J175)),'Match Log'!$N$4:$N$810),NA()))</f>
        <v>#N/A</v>
      </c>
      <c r="N175" t="e">
        <f>IF($J175&gt;MAX('Match Log'!$A$4:$A$810),NA(),IFERROR(LOOKUP(2,1/(('Match Log'!$D$4:$D$810=$N$24)*('Match Log'!$A$4:$A$810&lt;=$J175)),'Match Log'!$N$4:$N$810),NA()))</f>
        <v>#N/A</v>
      </c>
      <c r="O175" t="e">
        <f>IF($J175&gt;MAX('Match Log'!$A$4:$A$810),NA(),IFERROR(LOOKUP(2,1/(('Match Log'!$D$4:$D$810=$O$24)*('Match Log'!$A$4:$A$810&lt;=$J175)),'Match Log'!$N$4:$N$810),NA()))</f>
        <v>#N/A</v>
      </c>
      <c r="P175" t="e">
        <f>IF($J175&gt;MAX('Match Log'!$A$4:$A$810),NA(),IFERROR(LOOKUP(2,1/(('Match Log'!$D$4:$D$810=$P$24)*('Match Log'!$A$4:$A$810&lt;=$J175)),'Match Log'!$N$4:$N$810),NA()))</f>
        <v>#N/A</v>
      </c>
      <c r="Q175" t="e">
        <f>IF($J175&gt;MAX('Match Log'!$A$4:$A$810),NA(),IFERROR(LOOKUP(2,1/(('Match Log'!$D$4:$D$810=$Q$24)*('Match Log'!$A$4:$A$810&lt;=$J175)),'Match Log'!$N$4:$N$810),NA()))</f>
        <v>#N/A</v>
      </c>
      <c r="R175" t="e">
        <f>IF($J175&gt;MAX('Match Log'!$A$4:$A$810),NA(),IFERROR(LOOKUP(2,1/(('Match Log'!$D$4:$D$810=$R$24)*('Match Log'!$A$4:$A$810&lt;=$J175)),'Match Log'!$N$4:$N$810),NA()))</f>
        <v>#N/A</v>
      </c>
      <c r="S175" t="e">
        <f>IF($J175&gt;MAX('Match Log'!$A$4:$A$810),NA(),IFERROR(LOOKUP(2,1/(('Match Log'!$D$4:$D$810=$S$24)*('Match Log'!$A$4:$A$810&lt;=$J175)),'Match Log'!$N$4:$N$810),NA()))</f>
        <v>#N/A</v>
      </c>
      <c r="T175" t="e">
        <f>IF($J175&gt;MAX('Match Log'!$A$4:$A$810),NA(),IFERROR(LOOKUP(2,1/(('Match Log'!$D$4:$D$810=$T$24)*('Match Log'!$A$4:$A$810&lt;=$J175)),'Match Log'!$N$4:$N$810),NA()))</f>
        <v>#N/A</v>
      </c>
      <c r="U175" t="e">
        <f>IF($J175&gt;MAX('Match Log'!$A$4:$A$810),NA(),IFERROR(LOOKUP(2,1/(('Match Log'!$D$4:$D$810=$U$24)*('Match Log'!$A$4:$A$810&lt;=$J175)),'Match Log'!$N$4:$N$810),NA()))</f>
        <v>#N/A</v>
      </c>
      <c r="V175" t="e">
        <f>IF($J175&gt;MAX('Match Log'!$A$4:$A$810),NA(),IFERROR(LOOKUP(2,1/(('Match Log'!$D$4:$D$810=$V$24)*('Match Log'!$A$4:$A$810&lt;=$J175)),'Match Log'!$N$4:$N$810),NA()))</f>
        <v>#N/A</v>
      </c>
      <c r="W175" t="e">
        <f>IF($J175&gt;MAX('Match Log'!$A$4:$A$810),NA(),IFERROR(LOOKUP(2,1/(('Match Log'!$D$4:$D$810=$W$24)*('Match Log'!$A$4:$A$810&lt;=$J175)),'Match Log'!$N$4:$N$810),NA()))</f>
        <v>#N/A</v>
      </c>
      <c r="X175" t="e">
        <f>IF($J175&gt;MAX('Match Log'!$A$4:$A$810),NA(),IFERROR(LOOKUP(2,1/(('Match Log'!$D$4:$D$810=$X$24)*('Match Log'!$A$4:$A$810&lt;=$J175)),'Match Log'!$N$4:$N$810),NA()))</f>
        <v>#N/A</v>
      </c>
      <c r="Y175" t="str">
        <f t="shared" ca="1" si="30"/>
        <v/>
      </c>
    </row>
    <row r="176" spans="1:25" x14ac:dyDescent="0.2">
      <c r="A176">
        <v>152</v>
      </c>
      <c r="B176" t="str">
        <f>IFERROR(INDEX('Match Log'!$B$4:$B$810,MATCH(152,'Match Log'!$A$4:$A$810,0)),"")</f>
        <v/>
      </c>
      <c r="C176" t="str">
        <f>IFERROR(INDEX('Match Log'!$C$4:$C$810,MATCH(152,'Match Log'!$A$4:$A$810,0)),"")</f>
        <v/>
      </c>
      <c r="D176" t="str">
        <f t="array" ref="D176">IFERROR(_xlfn.TEXTJOIN(" + ",TRUE,IF(('Match Log'!$A$4:$A$810=$A176)*('Match Log'!$E$4:$E$810="Win"),'Match Log'!$D$4:$D$810,"")),IFERROR(LOOKUP(2,1/(('Match Log'!$A$4:$A$810=$A176)*('Match Log'!$E$4:$E$810="Win")),'Match Log'!$D$4:$D$810),""))</f>
        <v/>
      </c>
      <c r="E176" t="str">
        <f>IFERROR(INDEX('Match Log'!$F$4:$F$810,MATCH(152,'Match Log'!$A$4:$A$810,0)),"")</f>
        <v/>
      </c>
      <c r="F176">
        <f>IFERROR(SUMIFS('Match Log'!$I$4:$I$810,'Match Log'!$A$4:$A$810,152,'Match Log'!$E$4:$E$810,"Win"),"")</f>
        <v>0</v>
      </c>
      <c r="G176" t="str">
        <f t="shared" si="28"/>
        <v/>
      </c>
      <c r="H176" t="str">
        <f t="array" ref="H176">IFERROR(IF(COUNTIFS('Match Log'!$A$4:$A$810,$A176,'Match Log'!$E$4:$E$810,"Win")&gt;1,_xlfn.TEXTJOIN(" + ",TRUE,IF(('Match Log'!$A$4:$A$810=$A176)*('Match Log'!$E$4:$E$810="Loss"),'Match Log'!$D$4:$D$810,"")),IF($E176=2,LOOKUP(2,1/(('Match Log'!$A$4:$A$810=$A176)*('Match Log'!$E$4:$E$810="Loss")),'Match Log'!$D$4:$D$810),"the field")),"")</f>
        <v>the field</v>
      </c>
      <c r="I176" t="str">
        <f t="shared" si="29"/>
        <v/>
      </c>
      <c r="J176">
        <v>152</v>
      </c>
      <c r="K176" t="e">
        <f>IF($J176&gt;MAX('Match Log'!$A$4:$A$810),NA(),IFERROR(LOOKUP(2,1/(('Match Log'!$D$4:$D$810=$K$24)*('Match Log'!$A$4:$A$810&lt;=$J176)),'Match Log'!$N$4:$N$810),NA()))</f>
        <v>#N/A</v>
      </c>
      <c r="L176" t="e">
        <f>IF($J176&gt;MAX('Match Log'!$A$4:$A$810),NA(),IFERROR(LOOKUP(2,1/(('Match Log'!$D$4:$D$810=$L$24)*('Match Log'!$A$4:$A$810&lt;=$J176)),'Match Log'!$N$4:$N$810),NA()))</f>
        <v>#N/A</v>
      </c>
      <c r="M176" t="e">
        <f>IF($J176&gt;MAX('Match Log'!$A$4:$A$810),NA(),IFERROR(LOOKUP(2,1/(('Match Log'!$D$4:$D$810=$M$24)*('Match Log'!$A$4:$A$810&lt;=$J176)),'Match Log'!$N$4:$N$810),NA()))</f>
        <v>#N/A</v>
      </c>
      <c r="N176" t="e">
        <f>IF($J176&gt;MAX('Match Log'!$A$4:$A$810),NA(),IFERROR(LOOKUP(2,1/(('Match Log'!$D$4:$D$810=$N$24)*('Match Log'!$A$4:$A$810&lt;=$J176)),'Match Log'!$N$4:$N$810),NA()))</f>
        <v>#N/A</v>
      </c>
      <c r="O176" t="e">
        <f>IF($J176&gt;MAX('Match Log'!$A$4:$A$810),NA(),IFERROR(LOOKUP(2,1/(('Match Log'!$D$4:$D$810=$O$24)*('Match Log'!$A$4:$A$810&lt;=$J176)),'Match Log'!$N$4:$N$810),NA()))</f>
        <v>#N/A</v>
      </c>
      <c r="P176" t="e">
        <f>IF($J176&gt;MAX('Match Log'!$A$4:$A$810),NA(),IFERROR(LOOKUP(2,1/(('Match Log'!$D$4:$D$810=$P$24)*('Match Log'!$A$4:$A$810&lt;=$J176)),'Match Log'!$N$4:$N$810),NA()))</f>
        <v>#N/A</v>
      </c>
      <c r="Q176" t="e">
        <f>IF($J176&gt;MAX('Match Log'!$A$4:$A$810),NA(),IFERROR(LOOKUP(2,1/(('Match Log'!$D$4:$D$810=$Q$24)*('Match Log'!$A$4:$A$810&lt;=$J176)),'Match Log'!$N$4:$N$810),NA()))</f>
        <v>#N/A</v>
      </c>
      <c r="R176" t="e">
        <f>IF($J176&gt;MAX('Match Log'!$A$4:$A$810),NA(),IFERROR(LOOKUP(2,1/(('Match Log'!$D$4:$D$810=$R$24)*('Match Log'!$A$4:$A$810&lt;=$J176)),'Match Log'!$N$4:$N$810),NA()))</f>
        <v>#N/A</v>
      </c>
      <c r="S176" t="e">
        <f>IF($J176&gt;MAX('Match Log'!$A$4:$A$810),NA(),IFERROR(LOOKUP(2,1/(('Match Log'!$D$4:$D$810=$S$24)*('Match Log'!$A$4:$A$810&lt;=$J176)),'Match Log'!$N$4:$N$810),NA()))</f>
        <v>#N/A</v>
      </c>
      <c r="T176" t="e">
        <f>IF($J176&gt;MAX('Match Log'!$A$4:$A$810),NA(),IFERROR(LOOKUP(2,1/(('Match Log'!$D$4:$D$810=$T$24)*('Match Log'!$A$4:$A$810&lt;=$J176)),'Match Log'!$N$4:$N$810),NA()))</f>
        <v>#N/A</v>
      </c>
      <c r="U176" t="e">
        <f>IF($J176&gt;MAX('Match Log'!$A$4:$A$810),NA(),IFERROR(LOOKUP(2,1/(('Match Log'!$D$4:$D$810=$U$24)*('Match Log'!$A$4:$A$810&lt;=$J176)),'Match Log'!$N$4:$N$810),NA()))</f>
        <v>#N/A</v>
      </c>
      <c r="V176" t="e">
        <f>IF($J176&gt;MAX('Match Log'!$A$4:$A$810),NA(),IFERROR(LOOKUP(2,1/(('Match Log'!$D$4:$D$810=$V$24)*('Match Log'!$A$4:$A$810&lt;=$J176)),'Match Log'!$N$4:$N$810),NA()))</f>
        <v>#N/A</v>
      </c>
      <c r="W176" t="e">
        <f>IF($J176&gt;MAX('Match Log'!$A$4:$A$810),NA(),IFERROR(LOOKUP(2,1/(('Match Log'!$D$4:$D$810=$W$24)*('Match Log'!$A$4:$A$810&lt;=$J176)),'Match Log'!$N$4:$N$810),NA()))</f>
        <v>#N/A</v>
      </c>
      <c r="X176" t="e">
        <f>IF($J176&gt;MAX('Match Log'!$A$4:$A$810),NA(),IFERROR(LOOKUP(2,1/(('Match Log'!$D$4:$D$810=$X$24)*('Match Log'!$A$4:$A$810&lt;=$J176)),'Match Log'!$N$4:$N$810),NA()))</f>
        <v>#N/A</v>
      </c>
      <c r="Y176" t="str">
        <f t="shared" ca="1" si="30"/>
        <v/>
      </c>
    </row>
    <row r="177" spans="1:25" x14ac:dyDescent="0.2">
      <c r="A177">
        <v>153</v>
      </c>
      <c r="B177" t="str">
        <f>IFERROR(INDEX('Match Log'!$B$4:$B$810,MATCH(153,'Match Log'!$A$4:$A$810,0)),"")</f>
        <v/>
      </c>
      <c r="C177" t="str">
        <f>IFERROR(INDEX('Match Log'!$C$4:$C$810,MATCH(153,'Match Log'!$A$4:$A$810,0)),"")</f>
        <v/>
      </c>
      <c r="D177" t="str">
        <f t="array" ref="D177">IFERROR(_xlfn.TEXTJOIN(" + ",TRUE,IF(('Match Log'!$A$4:$A$810=$A177)*('Match Log'!$E$4:$E$810="Win"),'Match Log'!$D$4:$D$810,"")),IFERROR(LOOKUP(2,1/(('Match Log'!$A$4:$A$810=$A177)*('Match Log'!$E$4:$E$810="Win")),'Match Log'!$D$4:$D$810),""))</f>
        <v/>
      </c>
      <c r="E177" t="str">
        <f>IFERROR(INDEX('Match Log'!$F$4:$F$810,MATCH(153,'Match Log'!$A$4:$A$810,0)),"")</f>
        <v/>
      </c>
      <c r="F177">
        <f>IFERROR(SUMIFS('Match Log'!$I$4:$I$810,'Match Log'!$A$4:$A$810,153,'Match Log'!$E$4:$E$810,"Win"),"")</f>
        <v>0</v>
      </c>
      <c r="G177" t="str">
        <f t="shared" si="28"/>
        <v/>
      </c>
      <c r="H177" t="str">
        <f t="array" ref="H177">IFERROR(IF(COUNTIFS('Match Log'!$A$4:$A$810,$A177,'Match Log'!$E$4:$E$810,"Win")&gt;1,_xlfn.TEXTJOIN(" + ",TRUE,IF(('Match Log'!$A$4:$A$810=$A177)*('Match Log'!$E$4:$E$810="Loss"),'Match Log'!$D$4:$D$810,"")),IF($E177=2,LOOKUP(2,1/(('Match Log'!$A$4:$A$810=$A177)*('Match Log'!$E$4:$E$810="Loss")),'Match Log'!$D$4:$D$810),"the field")),"")</f>
        <v>the field</v>
      </c>
      <c r="I177" t="str">
        <f t="shared" si="29"/>
        <v/>
      </c>
      <c r="J177">
        <v>153</v>
      </c>
      <c r="K177" t="e">
        <f>IF($J177&gt;MAX('Match Log'!$A$4:$A$810),NA(),IFERROR(LOOKUP(2,1/(('Match Log'!$D$4:$D$810=$K$24)*('Match Log'!$A$4:$A$810&lt;=$J177)),'Match Log'!$N$4:$N$810),NA()))</f>
        <v>#N/A</v>
      </c>
      <c r="L177" t="e">
        <f>IF($J177&gt;MAX('Match Log'!$A$4:$A$810),NA(),IFERROR(LOOKUP(2,1/(('Match Log'!$D$4:$D$810=$L$24)*('Match Log'!$A$4:$A$810&lt;=$J177)),'Match Log'!$N$4:$N$810),NA()))</f>
        <v>#N/A</v>
      </c>
      <c r="M177" t="e">
        <f>IF($J177&gt;MAX('Match Log'!$A$4:$A$810),NA(),IFERROR(LOOKUP(2,1/(('Match Log'!$D$4:$D$810=$M$24)*('Match Log'!$A$4:$A$810&lt;=$J177)),'Match Log'!$N$4:$N$810),NA()))</f>
        <v>#N/A</v>
      </c>
      <c r="N177" t="e">
        <f>IF($J177&gt;MAX('Match Log'!$A$4:$A$810),NA(),IFERROR(LOOKUP(2,1/(('Match Log'!$D$4:$D$810=$N$24)*('Match Log'!$A$4:$A$810&lt;=$J177)),'Match Log'!$N$4:$N$810),NA()))</f>
        <v>#N/A</v>
      </c>
      <c r="O177" t="e">
        <f>IF($J177&gt;MAX('Match Log'!$A$4:$A$810),NA(),IFERROR(LOOKUP(2,1/(('Match Log'!$D$4:$D$810=$O$24)*('Match Log'!$A$4:$A$810&lt;=$J177)),'Match Log'!$N$4:$N$810),NA()))</f>
        <v>#N/A</v>
      </c>
      <c r="P177" t="e">
        <f>IF($J177&gt;MAX('Match Log'!$A$4:$A$810),NA(),IFERROR(LOOKUP(2,1/(('Match Log'!$D$4:$D$810=$P$24)*('Match Log'!$A$4:$A$810&lt;=$J177)),'Match Log'!$N$4:$N$810),NA()))</f>
        <v>#N/A</v>
      </c>
      <c r="Q177" t="e">
        <f>IF($J177&gt;MAX('Match Log'!$A$4:$A$810),NA(),IFERROR(LOOKUP(2,1/(('Match Log'!$D$4:$D$810=$Q$24)*('Match Log'!$A$4:$A$810&lt;=$J177)),'Match Log'!$N$4:$N$810),NA()))</f>
        <v>#N/A</v>
      </c>
      <c r="R177" t="e">
        <f>IF($J177&gt;MAX('Match Log'!$A$4:$A$810),NA(),IFERROR(LOOKUP(2,1/(('Match Log'!$D$4:$D$810=$R$24)*('Match Log'!$A$4:$A$810&lt;=$J177)),'Match Log'!$N$4:$N$810),NA()))</f>
        <v>#N/A</v>
      </c>
      <c r="S177" t="e">
        <f>IF($J177&gt;MAX('Match Log'!$A$4:$A$810),NA(),IFERROR(LOOKUP(2,1/(('Match Log'!$D$4:$D$810=$S$24)*('Match Log'!$A$4:$A$810&lt;=$J177)),'Match Log'!$N$4:$N$810),NA()))</f>
        <v>#N/A</v>
      </c>
      <c r="T177" t="e">
        <f>IF($J177&gt;MAX('Match Log'!$A$4:$A$810),NA(),IFERROR(LOOKUP(2,1/(('Match Log'!$D$4:$D$810=$T$24)*('Match Log'!$A$4:$A$810&lt;=$J177)),'Match Log'!$N$4:$N$810),NA()))</f>
        <v>#N/A</v>
      </c>
      <c r="U177" t="e">
        <f>IF($J177&gt;MAX('Match Log'!$A$4:$A$810),NA(),IFERROR(LOOKUP(2,1/(('Match Log'!$D$4:$D$810=$U$24)*('Match Log'!$A$4:$A$810&lt;=$J177)),'Match Log'!$N$4:$N$810),NA()))</f>
        <v>#N/A</v>
      </c>
      <c r="V177" t="e">
        <f>IF($J177&gt;MAX('Match Log'!$A$4:$A$810),NA(),IFERROR(LOOKUP(2,1/(('Match Log'!$D$4:$D$810=$V$24)*('Match Log'!$A$4:$A$810&lt;=$J177)),'Match Log'!$N$4:$N$810),NA()))</f>
        <v>#N/A</v>
      </c>
      <c r="W177" t="e">
        <f>IF($J177&gt;MAX('Match Log'!$A$4:$A$810),NA(),IFERROR(LOOKUP(2,1/(('Match Log'!$D$4:$D$810=$W$24)*('Match Log'!$A$4:$A$810&lt;=$J177)),'Match Log'!$N$4:$N$810),NA()))</f>
        <v>#N/A</v>
      </c>
      <c r="X177" t="e">
        <f>IF($J177&gt;MAX('Match Log'!$A$4:$A$810),NA(),IFERROR(LOOKUP(2,1/(('Match Log'!$D$4:$D$810=$X$24)*('Match Log'!$A$4:$A$810&lt;=$J177)),'Match Log'!$N$4:$N$810),NA()))</f>
        <v>#N/A</v>
      </c>
      <c r="Y177" t="str">
        <f t="shared" ca="1" si="30"/>
        <v/>
      </c>
    </row>
    <row r="178" spans="1:25" x14ac:dyDescent="0.2">
      <c r="A178">
        <v>154</v>
      </c>
      <c r="B178" t="str">
        <f>IFERROR(INDEX('Match Log'!$B$4:$B$810,MATCH(154,'Match Log'!$A$4:$A$810,0)),"")</f>
        <v/>
      </c>
      <c r="C178" t="str">
        <f>IFERROR(INDEX('Match Log'!$C$4:$C$810,MATCH(154,'Match Log'!$A$4:$A$810,0)),"")</f>
        <v/>
      </c>
      <c r="D178" t="str">
        <f t="array" ref="D178">IFERROR(_xlfn.TEXTJOIN(" + ",TRUE,IF(('Match Log'!$A$4:$A$810=$A178)*('Match Log'!$E$4:$E$810="Win"),'Match Log'!$D$4:$D$810,"")),IFERROR(LOOKUP(2,1/(('Match Log'!$A$4:$A$810=$A178)*('Match Log'!$E$4:$E$810="Win")),'Match Log'!$D$4:$D$810),""))</f>
        <v/>
      </c>
      <c r="E178" t="str">
        <f>IFERROR(INDEX('Match Log'!$F$4:$F$810,MATCH(154,'Match Log'!$A$4:$A$810,0)),"")</f>
        <v/>
      </c>
      <c r="F178">
        <f>IFERROR(SUMIFS('Match Log'!$I$4:$I$810,'Match Log'!$A$4:$A$810,154,'Match Log'!$E$4:$E$810,"Win"),"")</f>
        <v>0</v>
      </c>
      <c r="G178" t="str">
        <f t="shared" si="28"/>
        <v/>
      </c>
      <c r="H178" t="str">
        <f t="array" ref="H178">IFERROR(IF(COUNTIFS('Match Log'!$A$4:$A$810,$A178,'Match Log'!$E$4:$E$810,"Win")&gt;1,_xlfn.TEXTJOIN(" + ",TRUE,IF(('Match Log'!$A$4:$A$810=$A178)*('Match Log'!$E$4:$E$810="Loss"),'Match Log'!$D$4:$D$810,"")),IF($E178=2,LOOKUP(2,1/(('Match Log'!$A$4:$A$810=$A178)*('Match Log'!$E$4:$E$810="Loss")),'Match Log'!$D$4:$D$810),"the field")),"")</f>
        <v>the field</v>
      </c>
      <c r="I178" t="str">
        <f t="shared" si="29"/>
        <v/>
      </c>
      <c r="J178">
        <v>154</v>
      </c>
      <c r="K178" t="e">
        <f>IF($J178&gt;MAX('Match Log'!$A$4:$A$810),NA(),IFERROR(LOOKUP(2,1/(('Match Log'!$D$4:$D$810=$K$24)*('Match Log'!$A$4:$A$810&lt;=$J178)),'Match Log'!$N$4:$N$810),NA()))</f>
        <v>#N/A</v>
      </c>
      <c r="L178" t="e">
        <f>IF($J178&gt;MAX('Match Log'!$A$4:$A$810),NA(),IFERROR(LOOKUP(2,1/(('Match Log'!$D$4:$D$810=$L$24)*('Match Log'!$A$4:$A$810&lt;=$J178)),'Match Log'!$N$4:$N$810),NA()))</f>
        <v>#N/A</v>
      </c>
      <c r="M178" t="e">
        <f>IF($J178&gt;MAX('Match Log'!$A$4:$A$810),NA(),IFERROR(LOOKUP(2,1/(('Match Log'!$D$4:$D$810=$M$24)*('Match Log'!$A$4:$A$810&lt;=$J178)),'Match Log'!$N$4:$N$810),NA()))</f>
        <v>#N/A</v>
      </c>
      <c r="N178" t="e">
        <f>IF($J178&gt;MAX('Match Log'!$A$4:$A$810),NA(),IFERROR(LOOKUP(2,1/(('Match Log'!$D$4:$D$810=$N$24)*('Match Log'!$A$4:$A$810&lt;=$J178)),'Match Log'!$N$4:$N$810),NA()))</f>
        <v>#N/A</v>
      </c>
      <c r="O178" t="e">
        <f>IF($J178&gt;MAX('Match Log'!$A$4:$A$810),NA(),IFERROR(LOOKUP(2,1/(('Match Log'!$D$4:$D$810=$O$24)*('Match Log'!$A$4:$A$810&lt;=$J178)),'Match Log'!$N$4:$N$810),NA()))</f>
        <v>#N/A</v>
      </c>
      <c r="P178" t="e">
        <f>IF($J178&gt;MAX('Match Log'!$A$4:$A$810),NA(),IFERROR(LOOKUP(2,1/(('Match Log'!$D$4:$D$810=$P$24)*('Match Log'!$A$4:$A$810&lt;=$J178)),'Match Log'!$N$4:$N$810),NA()))</f>
        <v>#N/A</v>
      </c>
      <c r="Q178" t="e">
        <f>IF($J178&gt;MAX('Match Log'!$A$4:$A$810),NA(),IFERROR(LOOKUP(2,1/(('Match Log'!$D$4:$D$810=$Q$24)*('Match Log'!$A$4:$A$810&lt;=$J178)),'Match Log'!$N$4:$N$810),NA()))</f>
        <v>#N/A</v>
      </c>
      <c r="R178" t="e">
        <f>IF($J178&gt;MAX('Match Log'!$A$4:$A$810),NA(),IFERROR(LOOKUP(2,1/(('Match Log'!$D$4:$D$810=$R$24)*('Match Log'!$A$4:$A$810&lt;=$J178)),'Match Log'!$N$4:$N$810),NA()))</f>
        <v>#N/A</v>
      </c>
      <c r="S178" t="e">
        <f>IF($J178&gt;MAX('Match Log'!$A$4:$A$810),NA(),IFERROR(LOOKUP(2,1/(('Match Log'!$D$4:$D$810=$S$24)*('Match Log'!$A$4:$A$810&lt;=$J178)),'Match Log'!$N$4:$N$810),NA()))</f>
        <v>#N/A</v>
      </c>
      <c r="T178" t="e">
        <f>IF($J178&gt;MAX('Match Log'!$A$4:$A$810),NA(),IFERROR(LOOKUP(2,1/(('Match Log'!$D$4:$D$810=$T$24)*('Match Log'!$A$4:$A$810&lt;=$J178)),'Match Log'!$N$4:$N$810),NA()))</f>
        <v>#N/A</v>
      </c>
      <c r="U178" t="e">
        <f>IF($J178&gt;MAX('Match Log'!$A$4:$A$810),NA(),IFERROR(LOOKUP(2,1/(('Match Log'!$D$4:$D$810=$U$24)*('Match Log'!$A$4:$A$810&lt;=$J178)),'Match Log'!$N$4:$N$810),NA()))</f>
        <v>#N/A</v>
      </c>
      <c r="V178" t="e">
        <f>IF($J178&gt;MAX('Match Log'!$A$4:$A$810),NA(),IFERROR(LOOKUP(2,1/(('Match Log'!$D$4:$D$810=$V$24)*('Match Log'!$A$4:$A$810&lt;=$J178)),'Match Log'!$N$4:$N$810),NA()))</f>
        <v>#N/A</v>
      </c>
      <c r="W178" t="e">
        <f>IF($J178&gt;MAX('Match Log'!$A$4:$A$810),NA(),IFERROR(LOOKUP(2,1/(('Match Log'!$D$4:$D$810=$W$24)*('Match Log'!$A$4:$A$810&lt;=$J178)),'Match Log'!$N$4:$N$810),NA()))</f>
        <v>#N/A</v>
      </c>
      <c r="X178" t="e">
        <f>IF($J178&gt;MAX('Match Log'!$A$4:$A$810),NA(),IFERROR(LOOKUP(2,1/(('Match Log'!$D$4:$D$810=$X$24)*('Match Log'!$A$4:$A$810&lt;=$J178)),'Match Log'!$N$4:$N$810),NA()))</f>
        <v>#N/A</v>
      </c>
      <c r="Y178" t="str">
        <f t="shared" ca="1" si="30"/>
        <v/>
      </c>
    </row>
    <row r="179" spans="1:25" x14ac:dyDescent="0.2">
      <c r="A179">
        <v>155</v>
      </c>
      <c r="B179" t="str">
        <f>IFERROR(INDEX('Match Log'!$B$4:$B$810,MATCH(155,'Match Log'!$A$4:$A$810,0)),"")</f>
        <v/>
      </c>
      <c r="C179" t="str">
        <f>IFERROR(INDEX('Match Log'!$C$4:$C$810,MATCH(155,'Match Log'!$A$4:$A$810,0)),"")</f>
        <v/>
      </c>
      <c r="D179" t="str">
        <f t="array" ref="D179">IFERROR(_xlfn.TEXTJOIN(" + ",TRUE,IF(('Match Log'!$A$4:$A$810=$A179)*('Match Log'!$E$4:$E$810="Win"),'Match Log'!$D$4:$D$810,"")),IFERROR(LOOKUP(2,1/(('Match Log'!$A$4:$A$810=$A179)*('Match Log'!$E$4:$E$810="Win")),'Match Log'!$D$4:$D$810),""))</f>
        <v/>
      </c>
      <c r="E179" t="str">
        <f>IFERROR(INDEX('Match Log'!$F$4:$F$810,MATCH(155,'Match Log'!$A$4:$A$810,0)),"")</f>
        <v/>
      </c>
      <c r="F179">
        <f>IFERROR(SUMIFS('Match Log'!$I$4:$I$810,'Match Log'!$A$4:$A$810,155,'Match Log'!$E$4:$E$810,"Win"),"")</f>
        <v>0</v>
      </c>
      <c r="G179" t="str">
        <f t="shared" si="28"/>
        <v/>
      </c>
      <c r="H179" t="str">
        <f t="array" ref="H179">IFERROR(IF(COUNTIFS('Match Log'!$A$4:$A$810,$A179,'Match Log'!$E$4:$E$810,"Win")&gt;1,_xlfn.TEXTJOIN(" + ",TRUE,IF(('Match Log'!$A$4:$A$810=$A179)*('Match Log'!$E$4:$E$810="Loss"),'Match Log'!$D$4:$D$810,"")),IF($E179=2,LOOKUP(2,1/(('Match Log'!$A$4:$A$810=$A179)*('Match Log'!$E$4:$E$810="Loss")),'Match Log'!$D$4:$D$810),"the field")),"")</f>
        <v>the field</v>
      </c>
      <c r="I179" t="str">
        <f t="shared" si="29"/>
        <v/>
      </c>
      <c r="J179">
        <v>155</v>
      </c>
      <c r="K179" t="e">
        <f>IF($J179&gt;MAX('Match Log'!$A$4:$A$810),NA(),IFERROR(LOOKUP(2,1/(('Match Log'!$D$4:$D$810=$K$24)*('Match Log'!$A$4:$A$810&lt;=$J179)),'Match Log'!$N$4:$N$810),NA()))</f>
        <v>#N/A</v>
      </c>
      <c r="L179" t="e">
        <f>IF($J179&gt;MAX('Match Log'!$A$4:$A$810),NA(),IFERROR(LOOKUP(2,1/(('Match Log'!$D$4:$D$810=$L$24)*('Match Log'!$A$4:$A$810&lt;=$J179)),'Match Log'!$N$4:$N$810),NA()))</f>
        <v>#N/A</v>
      </c>
      <c r="M179" t="e">
        <f>IF($J179&gt;MAX('Match Log'!$A$4:$A$810),NA(),IFERROR(LOOKUP(2,1/(('Match Log'!$D$4:$D$810=$M$24)*('Match Log'!$A$4:$A$810&lt;=$J179)),'Match Log'!$N$4:$N$810),NA()))</f>
        <v>#N/A</v>
      </c>
      <c r="N179" t="e">
        <f>IF($J179&gt;MAX('Match Log'!$A$4:$A$810),NA(),IFERROR(LOOKUP(2,1/(('Match Log'!$D$4:$D$810=$N$24)*('Match Log'!$A$4:$A$810&lt;=$J179)),'Match Log'!$N$4:$N$810),NA()))</f>
        <v>#N/A</v>
      </c>
      <c r="O179" t="e">
        <f>IF($J179&gt;MAX('Match Log'!$A$4:$A$810),NA(),IFERROR(LOOKUP(2,1/(('Match Log'!$D$4:$D$810=$O$24)*('Match Log'!$A$4:$A$810&lt;=$J179)),'Match Log'!$N$4:$N$810),NA()))</f>
        <v>#N/A</v>
      </c>
      <c r="P179" t="e">
        <f>IF($J179&gt;MAX('Match Log'!$A$4:$A$810),NA(),IFERROR(LOOKUP(2,1/(('Match Log'!$D$4:$D$810=$P$24)*('Match Log'!$A$4:$A$810&lt;=$J179)),'Match Log'!$N$4:$N$810),NA()))</f>
        <v>#N/A</v>
      </c>
      <c r="Q179" t="e">
        <f>IF($J179&gt;MAX('Match Log'!$A$4:$A$810),NA(),IFERROR(LOOKUP(2,1/(('Match Log'!$D$4:$D$810=$Q$24)*('Match Log'!$A$4:$A$810&lt;=$J179)),'Match Log'!$N$4:$N$810),NA()))</f>
        <v>#N/A</v>
      </c>
      <c r="R179" t="e">
        <f>IF($J179&gt;MAX('Match Log'!$A$4:$A$810),NA(),IFERROR(LOOKUP(2,1/(('Match Log'!$D$4:$D$810=$R$24)*('Match Log'!$A$4:$A$810&lt;=$J179)),'Match Log'!$N$4:$N$810),NA()))</f>
        <v>#N/A</v>
      </c>
      <c r="S179" t="e">
        <f>IF($J179&gt;MAX('Match Log'!$A$4:$A$810),NA(),IFERROR(LOOKUP(2,1/(('Match Log'!$D$4:$D$810=$S$24)*('Match Log'!$A$4:$A$810&lt;=$J179)),'Match Log'!$N$4:$N$810),NA()))</f>
        <v>#N/A</v>
      </c>
      <c r="T179" t="e">
        <f>IF($J179&gt;MAX('Match Log'!$A$4:$A$810),NA(),IFERROR(LOOKUP(2,1/(('Match Log'!$D$4:$D$810=$T$24)*('Match Log'!$A$4:$A$810&lt;=$J179)),'Match Log'!$N$4:$N$810),NA()))</f>
        <v>#N/A</v>
      </c>
      <c r="U179" t="e">
        <f>IF($J179&gt;MAX('Match Log'!$A$4:$A$810),NA(),IFERROR(LOOKUP(2,1/(('Match Log'!$D$4:$D$810=$U$24)*('Match Log'!$A$4:$A$810&lt;=$J179)),'Match Log'!$N$4:$N$810),NA()))</f>
        <v>#N/A</v>
      </c>
      <c r="V179" t="e">
        <f>IF($J179&gt;MAX('Match Log'!$A$4:$A$810),NA(),IFERROR(LOOKUP(2,1/(('Match Log'!$D$4:$D$810=$V$24)*('Match Log'!$A$4:$A$810&lt;=$J179)),'Match Log'!$N$4:$N$810),NA()))</f>
        <v>#N/A</v>
      </c>
      <c r="W179" t="e">
        <f>IF($J179&gt;MAX('Match Log'!$A$4:$A$810),NA(),IFERROR(LOOKUP(2,1/(('Match Log'!$D$4:$D$810=$W$24)*('Match Log'!$A$4:$A$810&lt;=$J179)),'Match Log'!$N$4:$N$810),NA()))</f>
        <v>#N/A</v>
      </c>
      <c r="X179" t="e">
        <f>IF($J179&gt;MAX('Match Log'!$A$4:$A$810),NA(),IFERROR(LOOKUP(2,1/(('Match Log'!$D$4:$D$810=$X$24)*('Match Log'!$A$4:$A$810&lt;=$J179)),'Match Log'!$N$4:$N$810),NA()))</f>
        <v>#N/A</v>
      </c>
      <c r="Y179" t="str">
        <f t="shared" ca="1" si="30"/>
        <v/>
      </c>
    </row>
    <row r="180" spans="1:25" x14ac:dyDescent="0.2">
      <c r="A180">
        <v>156</v>
      </c>
      <c r="B180" t="str">
        <f>IFERROR(INDEX('Match Log'!$B$4:$B$810,MATCH(156,'Match Log'!$A$4:$A$810,0)),"")</f>
        <v/>
      </c>
      <c r="C180" t="str">
        <f>IFERROR(INDEX('Match Log'!$C$4:$C$810,MATCH(156,'Match Log'!$A$4:$A$810,0)),"")</f>
        <v/>
      </c>
      <c r="D180" t="str">
        <f t="array" ref="D180">IFERROR(_xlfn.TEXTJOIN(" + ",TRUE,IF(('Match Log'!$A$4:$A$810=$A180)*('Match Log'!$E$4:$E$810="Win"),'Match Log'!$D$4:$D$810,"")),IFERROR(LOOKUP(2,1/(('Match Log'!$A$4:$A$810=$A180)*('Match Log'!$E$4:$E$810="Win")),'Match Log'!$D$4:$D$810),""))</f>
        <v/>
      </c>
      <c r="E180" t="str">
        <f>IFERROR(INDEX('Match Log'!$F$4:$F$810,MATCH(156,'Match Log'!$A$4:$A$810,0)),"")</f>
        <v/>
      </c>
      <c r="F180">
        <f>IFERROR(SUMIFS('Match Log'!$I$4:$I$810,'Match Log'!$A$4:$A$810,156,'Match Log'!$E$4:$E$810,"Win"),"")</f>
        <v>0</v>
      </c>
      <c r="G180" t="str">
        <f t="shared" si="28"/>
        <v/>
      </c>
      <c r="H180" t="str">
        <f t="array" ref="H180">IFERROR(IF(COUNTIFS('Match Log'!$A$4:$A$810,$A180,'Match Log'!$E$4:$E$810,"Win")&gt;1,_xlfn.TEXTJOIN(" + ",TRUE,IF(('Match Log'!$A$4:$A$810=$A180)*('Match Log'!$E$4:$E$810="Loss"),'Match Log'!$D$4:$D$810,"")),IF($E180=2,LOOKUP(2,1/(('Match Log'!$A$4:$A$810=$A180)*('Match Log'!$E$4:$E$810="Loss")),'Match Log'!$D$4:$D$810),"the field")),"")</f>
        <v>the field</v>
      </c>
      <c r="I180" t="str">
        <f t="shared" si="29"/>
        <v/>
      </c>
      <c r="J180">
        <v>156</v>
      </c>
      <c r="K180" t="e">
        <f>IF($J180&gt;MAX('Match Log'!$A$4:$A$810),NA(),IFERROR(LOOKUP(2,1/(('Match Log'!$D$4:$D$810=$K$24)*('Match Log'!$A$4:$A$810&lt;=$J180)),'Match Log'!$N$4:$N$810),NA()))</f>
        <v>#N/A</v>
      </c>
      <c r="L180" t="e">
        <f>IF($J180&gt;MAX('Match Log'!$A$4:$A$810),NA(),IFERROR(LOOKUP(2,1/(('Match Log'!$D$4:$D$810=$L$24)*('Match Log'!$A$4:$A$810&lt;=$J180)),'Match Log'!$N$4:$N$810),NA()))</f>
        <v>#N/A</v>
      </c>
      <c r="M180" t="e">
        <f>IF($J180&gt;MAX('Match Log'!$A$4:$A$810),NA(),IFERROR(LOOKUP(2,1/(('Match Log'!$D$4:$D$810=$M$24)*('Match Log'!$A$4:$A$810&lt;=$J180)),'Match Log'!$N$4:$N$810),NA()))</f>
        <v>#N/A</v>
      </c>
      <c r="N180" t="e">
        <f>IF($J180&gt;MAX('Match Log'!$A$4:$A$810),NA(),IFERROR(LOOKUP(2,1/(('Match Log'!$D$4:$D$810=$N$24)*('Match Log'!$A$4:$A$810&lt;=$J180)),'Match Log'!$N$4:$N$810),NA()))</f>
        <v>#N/A</v>
      </c>
      <c r="O180" t="e">
        <f>IF($J180&gt;MAX('Match Log'!$A$4:$A$810),NA(),IFERROR(LOOKUP(2,1/(('Match Log'!$D$4:$D$810=$O$24)*('Match Log'!$A$4:$A$810&lt;=$J180)),'Match Log'!$N$4:$N$810),NA()))</f>
        <v>#N/A</v>
      </c>
      <c r="P180" t="e">
        <f>IF($J180&gt;MAX('Match Log'!$A$4:$A$810),NA(),IFERROR(LOOKUP(2,1/(('Match Log'!$D$4:$D$810=$P$24)*('Match Log'!$A$4:$A$810&lt;=$J180)),'Match Log'!$N$4:$N$810),NA()))</f>
        <v>#N/A</v>
      </c>
      <c r="Q180" t="e">
        <f>IF($J180&gt;MAX('Match Log'!$A$4:$A$810),NA(),IFERROR(LOOKUP(2,1/(('Match Log'!$D$4:$D$810=$Q$24)*('Match Log'!$A$4:$A$810&lt;=$J180)),'Match Log'!$N$4:$N$810),NA()))</f>
        <v>#N/A</v>
      </c>
      <c r="R180" t="e">
        <f>IF($J180&gt;MAX('Match Log'!$A$4:$A$810),NA(),IFERROR(LOOKUP(2,1/(('Match Log'!$D$4:$D$810=$R$24)*('Match Log'!$A$4:$A$810&lt;=$J180)),'Match Log'!$N$4:$N$810),NA()))</f>
        <v>#N/A</v>
      </c>
      <c r="S180" t="e">
        <f>IF($J180&gt;MAX('Match Log'!$A$4:$A$810),NA(),IFERROR(LOOKUP(2,1/(('Match Log'!$D$4:$D$810=$S$24)*('Match Log'!$A$4:$A$810&lt;=$J180)),'Match Log'!$N$4:$N$810),NA()))</f>
        <v>#N/A</v>
      </c>
      <c r="T180" t="e">
        <f>IF($J180&gt;MAX('Match Log'!$A$4:$A$810),NA(),IFERROR(LOOKUP(2,1/(('Match Log'!$D$4:$D$810=$T$24)*('Match Log'!$A$4:$A$810&lt;=$J180)),'Match Log'!$N$4:$N$810),NA()))</f>
        <v>#N/A</v>
      </c>
      <c r="U180" t="e">
        <f>IF($J180&gt;MAX('Match Log'!$A$4:$A$810),NA(),IFERROR(LOOKUP(2,1/(('Match Log'!$D$4:$D$810=$U$24)*('Match Log'!$A$4:$A$810&lt;=$J180)),'Match Log'!$N$4:$N$810),NA()))</f>
        <v>#N/A</v>
      </c>
      <c r="V180" t="e">
        <f>IF($J180&gt;MAX('Match Log'!$A$4:$A$810),NA(),IFERROR(LOOKUP(2,1/(('Match Log'!$D$4:$D$810=$V$24)*('Match Log'!$A$4:$A$810&lt;=$J180)),'Match Log'!$N$4:$N$810),NA()))</f>
        <v>#N/A</v>
      </c>
      <c r="W180" t="e">
        <f>IF($J180&gt;MAX('Match Log'!$A$4:$A$810),NA(),IFERROR(LOOKUP(2,1/(('Match Log'!$D$4:$D$810=$W$24)*('Match Log'!$A$4:$A$810&lt;=$J180)),'Match Log'!$N$4:$N$810),NA()))</f>
        <v>#N/A</v>
      </c>
      <c r="X180" t="e">
        <f>IF($J180&gt;MAX('Match Log'!$A$4:$A$810),NA(),IFERROR(LOOKUP(2,1/(('Match Log'!$D$4:$D$810=$X$24)*('Match Log'!$A$4:$A$810&lt;=$J180)),'Match Log'!$N$4:$N$810),NA()))</f>
        <v>#N/A</v>
      </c>
      <c r="Y180" t="str">
        <f t="shared" ca="1" si="30"/>
        <v/>
      </c>
    </row>
    <row r="181" spans="1:25" x14ac:dyDescent="0.2">
      <c r="A181">
        <v>157</v>
      </c>
      <c r="B181" t="str">
        <f>IFERROR(INDEX('Match Log'!$B$4:$B$810,MATCH(157,'Match Log'!$A$4:$A$810,0)),"")</f>
        <v/>
      </c>
      <c r="C181" t="str">
        <f>IFERROR(INDEX('Match Log'!$C$4:$C$810,MATCH(157,'Match Log'!$A$4:$A$810,0)),"")</f>
        <v/>
      </c>
      <c r="D181" t="str">
        <f t="array" ref="D181">IFERROR(_xlfn.TEXTJOIN(" + ",TRUE,IF(('Match Log'!$A$4:$A$810=$A181)*('Match Log'!$E$4:$E$810="Win"),'Match Log'!$D$4:$D$810,"")),IFERROR(LOOKUP(2,1/(('Match Log'!$A$4:$A$810=$A181)*('Match Log'!$E$4:$E$810="Win")),'Match Log'!$D$4:$D$810),""))</f>
        <v/>
      </c>
      <c r="E181" t="str">
        <f>IFERROR(INDEX('Match Log'!$F$4:$F$810,MATCH(157,'Match Log'!$A$4:$A$810,0)),"")</f>
        <v/>
      </c>
      <c r="F181">
        <f>IFERROR(SUMIFS('Match Log'!$I$4:$I$810,'Match Log'!$A$4:$A$810,157,'Match Log'!$E$4:$E$810,"Win"),"")</f>
        <v>0</v>
      </c>
      <c r="G181" t="str">
        <f t="shared" si="28"/>
        <v/>
      </c>
      <c r="H181" t="str">
        <f t="array" ref="H181">IFERROR(IF(COUNTIFS('Match Log'!$A$4:$A$810,$A181,'Match Log'!$E$4:$E$810,"Win")&gt;1,_xlfn.TEXTJOIN(" + ",TRUE,IF(('Match Log'!$A$4:$A$810=$A181)*('Match Log'!$E$4:$E$810="Loss"),'Match Log'!$D$4:$D$810,"")),IF($E181=2,LOOKUP(2,1/(('Match Log'!$A$4:$A$810=$A181)*('Match Log'!$E$4:$E$810="Loss")),'Match Log'!$D$4:$D$810),"the field")),"")</f>
        <v>the field</v>
      </c>
      <c r="I181" t="str">
        <f t="shared" si="29"/>
        <v/>
      </c>
      <c r="J181">
        <v>157</v>
      </c>
      <c r="K181" t="e">
        <f>IF($J181&gt;MAX('Match Log'!$A$4:$A$810),NA(),IFERROR(LOOKUP(2,1/(('Match Log'!$D$4:$D$810=$K$24)*('Match Log'!$A$4:$A$810&lt;=$J181)),'Match Log'!$N$4:$N$810),NA()))</f>
        <v>#N/A</v>
      </c>
      <c r="L181" t="e">
        <f>IF($J181&gt;MAX('Match Log'!$A$4:$A$810),NA(),IFERROR(LOOKUP(2,1/(('Match Log'!$D$4:$D$810=$L$24)*('Match Log'!$A$4:$A$810&lt;=$J181)),'Match Log'!$N$4:$N$810),NA()))</f>
        <v>#N/A</v>
      </c>
      <c r="M181" t="e">
        <f>IF($J181&gt;MAX('Match Log'!$A$4:$A$810),NA(),IFERROR(LOOKUP(2,1/(('Match Log'!$D$4:$D$810=$M$24)*('Match Log'!$A$4:$A$810&lt;=$J181)),'Match Log'!$N$4:$N$810),NA()))</f>
        <v>#N/A</v>
      </c>
      <c r="N181" t="e">
        <f>IF($J181&gt;MAX('Match Log'!$A$4:$A$810),NA(),IFERROR(LOOKUP(2,1/(('Match Log'!$D$4:$D$810=$N$24)*('Match Log'!$A$4:$A$810&lt;=$J181)),'Match Log'!$N$4:$N$810),NA()))</f>
        <v>#N/A</v>
      </c>
      <c r="O181" t="e">
        <f>IF($J181&gt;MAX('Match Log'!$A$4:$A$810),NA(),IFERROR(LOOKUP(2,1/(('Match Log'!$D$4:$D$810=$O$24)*('Match Log'!$A$4:$A$810&lt;=$J181)),'Match Log'!$N$4:$N$810),NA()))</f>
        <v>#N/A</v>
      </c>
      <c r="P181" t="e">
        <f>IF($J181&gt;MAX('Match Log'!$A$4:$A$810),NA(),IFERROR(LOOKUP(2,1/(('Match Log'!$D$4:$D$810=$P$24)*('Match Log'!$A$4:$A$810&lt;=$J181)),'Match Log'!$N$4:$N$810),NA()))</f>
        <v>#N/A</v>
      </c>
      <c r="Q181" t="e">
        <f>IF($J181&gt;MAX('Match Log'!$A$4:$A$810),NA(),IFERROR(LOOKUP(2,1/(('Match Log'!$D$4:$D$810=$Q$24)*('Match Log'!$A$4:$A$810&lt;=$J181)),'Match Log'!$N$4:$N$810),NA()))</f>
        <v>#N/A</v>
      </c>
      <c r="R181" t="e">
        <f>IF($J181&gt;MAX('Match Log'!$A$4:$A$810),NA(),IFERROR(LOOKUP(2,1/(('Match Log'!$D$4:$D$810=$R$24)*('Match Log'!$A$4:$A$810&lt;=$J181)),'Match Log'!$N$4:$N$810),NA()))</f>
        <v>#N/A</v>
      </c>
      <c r="S181" t="e">
        <f>IF($J181&gt;MAX('Match Log'!$A$4:$A$810),NA(),IFERROR(LOOKUP(2,1/(('Match Log'!$D$4:$D$810=$S$24)*('Match Log'!$A$4:$A$810&lt;=$J181)),'Match Log'!$N$4:$N$810),NA()))</f>
        <v>#N/A</v>
      </c>
      <c r="T181" t="e">
        <f>IF($J181&gt;MAX('Match Log'!$A$4:$A$810),NA(),IFERROR(LOOKUP(2,1/(('Match Log'!$D$4:$D$810=$T$24)*('Match Log'!$A$4:$A$810&lt;=$J181)),'Match Log'!$N$4:$N$810),NA()))</f>
        <v>#N/A</v>
      </c>
      <c r="U181" t="e">
        <f>IF($J181&gt;MAX('Match Log'!$A$4:$A$810),NA(),IFERROR(LOOKUP(2,1/(('Match Log'!$D$4:$D$810=$U$24)*('Match Log'!$A$4:$A$810&lt;=$J181)),'Match Log'!$N$4:$N$810),NA()))</f>
        <v>#N/A</v>
      </c>
      <c r="V181" t="e">
        <f>IF($J181&gt;MAX('Match Log'!$A$4:$A$810),NA(),IFERROR(LOOKUP(2,1/(('Match Log'!$D$4:$D$810=$V$24)*('Match Log'!$A$4:$A$810&lt;=$J181)),'Match Log'!$N$4:$N$810),NA()))</f>
        <v>#N/A</v>
      </c>
      <c r="W181" t="e">
        <f>IF($J181&gt;MAX('Match Log'!$A$4:$A$810),NA(),IFERROR(LOOKUP(2,1/(('Match Log'!$D$4:$D$810=$W$24)*('Match Log'!$A$4:$A$810&lt;=$J181)),'Match Log'!$N$4:$N$810),NA()))</f>
        <v>#N/A</v>
      </c>
      <c r="X181" t="e">
        <f>IF($J181&gt;MAX('Match Log'!$A$4:$A$810),NA(),IFERROR(LOOKUP(2,1/(('Match Log'!$D$4:$D$810=$X$24)*('Match Log'!$A$4:$A$810&lt;=$J181)),'Match Log'!$N$4:$N$810),NA()))</f>
        <v>#N/A</v>
      </c>
      <c r="Y181" t="str">
        <f t="shared" ca="1" si="30"/>
        <v/>
      </c>
    </row>
    <row r="182" spans="1:25" x14ac:dyDescent="0.2">
      <c r="A182">
        <v>158</v>
      </c>
      <c r="B182" t="str">
        <f>IFERROR(INDEX('Match Log'!$B$4:$B$810,MATCH(158,'Match Log'!$A$4:$A$810,0)),"")</f>
        <v/>
      </c>
      <c r="C182" t="str">
        <f>IFERROR(INDEX('Match Log'!$C$4:$C$810,MATCH(158,'Match Log'!$A$4:$A$810,0)),"")</f>
        <v/>
      </c>
      <c r="D182" t="str">
        <f t="array" ref="D182">IFERROR(_xlfn.TEXTJOIN(" + ",TRUE,IF(('Match Log'!$A$4:$A$810=$A182)*('Match Log'!$E$4:$E$810="Win"),'Match Log'!$D$4:$D$810,"")),IFERROR(LOOKUP(2,1/(('Match Log'!$A$4:$A$810=$A182)*('Match Log'!$E$4:$E$810="Win")),'Match Log'!$D$4:$D$810),""))</f>
        <v/>
      </c>
      <c r="E182" t="str">
        <f>IFERROR(INDEX('Match Log'!$F$4:$F$810,MATCH(158,'Match Log'!$A$4:$A$810,0)),"")</f>
        <v/>
      </c>
      <c r="F182">
        <f>IFERROR(SUMIFS('Match Log'!$I$4:$I$810,'Match Log'!$A$4:$A$810,158,'Match Log'!$E$4:$E$810,"Win"),"")</f>
        <v>0</v>
      </c>
      <c r="G182" t="str">
        <f t="shared" si="28"/>
        <v/>
      </c>
      <c r="H182" t="str">
        <f t="array" ref="H182">IFERROR(IF(COUNTIFS('Match Log'!$A$4:$A$810,$A182,'Match Log'!$E$4:$E$810,"Win")&gt;1,_xlfn.TEXTJOIN(" + ",TRUE,IF(('Match Log'!$A$4:$A$810=$A182)*('Match Log'!$E$4:$E$810="Loss"),'Match Log'!$D$4:$D$810,"")),IF($E182=2,LOOKUP(2,1/(('Match Log'!$A$4:$A$810=$A182)*('Match Log'!$E$4:$E$810="Loss")),'Match Log'!$D$4:$D$810),"the field")),"")</f>
        <v>the field</v>
      </c>
      <c r="I182" t="str">
        <f t="shared" si="29"/>
        <v/>
      </c>
      <c r="J182">
        <v>158</v>
      </c>
      <c r="K182" t="e">
        <f>IF($J182&gt;MAX('Match Log'!$A$4:$A$810),NA(),IFERROR(LOOKUP(2,1/(('Match Log'!$D$4:$D$810=$K$24)*('Match Log'!$A$4:$A$810&lt;=$J182)),'Match Log'!$N$4:$N$810),NA()))</f>
        <v>#N/A</v>
      </c>
      <c r="L182" t="e">
        <f>IF($J182&gt;MAX('Match Log'!$A$4:$A$810),NA(),IFERROR(LOOKUP(2,1/(('Match Log'!$D$4:$D$810=$L$24)*('Match Log'!$A$4:$A$810&lt;=$J182)),'Match Log'!$N$4:$N$810),NA()))</f>
        <v>#N/A</v>
      </c>
      <c r="M182" t="e">
        <f>IF($J182&gt;MAX('Match Log'!$A$4:$A$810),NA(),IFERROR(LOOKUP(2,1/(('Match Log'!$D$4:$D$810=$M$24)*('Match Log'!$A$4:$A$810&lt;=$J182)),'Match Log'!$N$4:$N$810),NA()))</f>
        <v>#N/A</v>
      </c>
      <c r="N182" t="e">
        <f>IF($J182&gt;MAX('Match Log'!$A$4:$A$810),NA(),IFERROR(LOOKUP(2,1/(('Match Log'!$D$4:$D$810=$N$24)*('Match Log'!$A$4:$A$810&lt;=$J182)),'Match Log'!$N$4:$N$810),NA()))</f>
        <v>#N/A</v>
      </c>
      <c r="O182" t="e">
        <f>IF($J182&gt;MAX('Match Log'!$A$4:$A$810),NA(),IFERROR(LOOKUP(2,1/(('Match Log'!$D$4:$D$810=$O$24)*('Match Log'!$A$4:$A$810&lt;=$J182)),'Match Log'!$N$4:$N$810),NA()))</f>
        <v>#N/A</v>
      </c>
      <c r="P182" t="e">
        <f>IF($J182&gt;MAX('Match Log'!$A$4:$A$810),NA(),IFERROR(LOOKUP(2,1/(('Match Log'!$D$4:$D$810=$P$24)*('Match Log'!$A$4:$A$810&lt;=$J182)),'Match Log'!$N$4:$N$810),NA()))</f>
        <v>#N/A</v>
      </c>
      <c r="Q182" t="e">
        <f>IF($J182&gt;MAX('Match Log'!$A$4:$A$810),NA(),IFERROR(LOOKUP(2,1/(('Match Log'!$D$4:$D$810=$Q$24)*('Match Log'!$A$4:$A$810&lt;=$J182)),'Match Log'!$N$4:$N$810),NA()))</f>
        <v>#N/A</v>
      </c>
      <c r="R182" t="e">
        <f>IF($J182&gt;MAX('Match Log'!$A$4:$A$810),NA(),IFERROR(LOOKUP(2,1/(('Match Log'!$D$4:$D$810=$R$24)*('Match Log'!$A$4:$A$810&lt;=$J182)),'Match Log'!$N$4:$N$810),NA()))</f>
        <v>#N/A</v>
      </c>
      <c r="S182" t="e">
        <f>IF($J182&gt;MAX('Match Log'!$A$4:$A$810),NA(),IFERROR(LOOKUP(2,1/(('Match Log'!$D$4:$D$810=$S$24)*('Match Log'!$A$4:$A$810&lt;=$J182)),'Match Log'!$N$4:$N$810),NA()))</f>
        <v>#N/A</v>
      </c>
      <c r="T182" t="e">
        <f>IF($J182&gt;MAX('Match Log'!$A$4:$A$810),NA(),IFERROR(LOOKUP(2,1/(('Match Log'!$D$4:$D$810=$T$24)*('Match Log'!$A$4:$A$810&lt;=$J182)),'Match Log'!$N$4:$N$810),NA()))</f>
        <v>#N/A</v>
      </c>
      <c r="U182" t="e">
        <f>IF($J182&gt;MAX('Match Log'!$A$4:$A$810),NA(),IFERROR(LOOKUP(2,1/(('Match Log'!$D$4:$D$810=$U$24)*('Match Log'!$A$4:$A$810&lt;=$J182)),'Match Log'!$N$4:$N$810),NA()))</f>
        <v>#N/A</v>
      </c>
      <c r="V182" t="e">
        <f>IF($J182&gt;MAX('Match Log'!$A$4:$A$810),NA(),IFERROR(LOOKUP(2,1/(('Match Log'!$D$4:$D$810=$V$24)*('Match Log'!$A$4:$A$810&lt;=$J182)),'Match Log'!$N$4:$N$810),NA()))</f>
        <v>#N/A</v>
      </c>
      <c r="W182" t="e">
        <f>IF($J182&gt;MAX('Match Log'!$A$4:$A$810),NA(),IFERROR(LOOKUP(2,1/(('Match Log'!$D$4:$D$810=$W$24)*('Match Log'!$A$4:$A$810&lt;=$J182)),'Match Log'!$N$4:$N$810),NA()))</f>
        <v>#N/A</v>
      </c>
      <c r="X182" t="e">
        <f>IF($J182&gt;MAX('Match Log'!$A$4:$A$810),NA(),IFERROR(LOOKUP(2,1/(('Match Log'!$D$4:$D$810=$X$24)*('Match Log'!$A$4:$A$810&lt;=$J182)),'Match Log'!$N$4:$N$810),NA()))</f>
        <v>#N/A</v>
      </c>
      <c r="Y182" t="str">
        <f t="shared" ca="1" si="30"/>
        <v/>
      </c>
    </row>
    <row r="183" spans="1:25" x14ac:dyDescent="0.2">
      <c r="A183">
        <v>159</v>
      </c>
      <c r="B183" t="str">
        <f>IFERROR(INDEX('Match Log'!$B$4:$B$810,MATCH(159,'Match Log'!$A$4:$A$810,0)),"")</f>
        <v/>
      </c>
      <c r="C183" t="str">
        <f>IFERROR(INDEX('Match Log'!$C$4:$C$810,MATCH(159,'Match Log'!$A$4:$A$810,0)),"")</f>
        <v/>
      </c>
      <c r="D183" t="str">
        <f t="array" ref="D183">IFERROR(_xlfn.TEXTJOIN(" + ",TRUE,IF(('Match Log'!$A$4:$A$810=$A183)*('Match Log'!$E$4:$E$810="Win"),'Match Log'!$D$4:$D$810,"")),IFERROR(LOOKUP(2,1/(('Match Log'!$A$4:$A$810=$A183)*('Match Log'!$E$4:$E$810="Win")),'Match Log'!$D$4:$D$810),""))</f>
        <v/>
      </c>
      <c r="E183" t="str">
        <f>IFERROR(INDEX('Match Log'!$F$4:$F$810,MATCH(159,'Match Log'!$A$4:$A$810,0)),"")</f>
        <v/>
      </c>
      <c r="F183">
        <f>IFERROR(SUMIFS('Match Log'!$I$4:$I$810,'Match Log'!$A$4:$A$810,159,'Match Log'!$E$4:$E$810,"Win"),"")</f>
        <v>0</v>
      </c>
      <c r="G183" t="str">
        <f t="shared" si="28"/>
        <v/>
      </c>
      <c r="H183" t="str">
        <f t="array" ref="H183">IFERROR(IF(COUNTIFS('Match Log'!$A$4:$A$810,$A183,'Match Log'!$E$4:$E$810,"Win")&gt;1,_xlfn.TEXTJOIN(" + ",TRUE,IF(('Match Log'!$A$4:$A$810=$A183)*('Match Log'!$E$4:$E$810="Loss"),'Match Log'!$D$4:$D$810,"")),IF($E183=2,LOOKUP(2,1/(('Match Log'!$A$4:$A$810=$A183)*('Match Log'!$E$4:$E$810="Loss")),'Match Log'!$D$4:$D$810),"the field")),"")</f>
        <v>the field</v>
      </c>
      <c r="I183" t="str">
        <f t="shared" si="29"/>
        <v/>
      </c>
      <c r="J183">
        <v>159</v>
      </c>
      <c r="K183" t="e">
        <f>IF($J183&gt;MAX('Match Log'!$A$4:$A$810),NA(),IFERROR(LOOKUP(2,1/(('Match Log'!$D$4:$D$810=$K$24)*('Match Log'!$A$4:$A$810&lt;=$J183)),'Match Log'!$N$4:$N$810),NA()))</f>
        <v>#N/A</v>
      </c>
      <c r="L183" t="e">
        <f>IF($J183&gt;MAX('Match Log'!$A$4:$A$810),NA(),IFERROR(LOOKUP(2,1/(('Match Log'!$D$4:$D$810=$L$24)*('Match Log'!$A$4:$A$810&lt;=$J183)),'Match Log'!$N$4:$N$810),NA()))</f>
        <v>#N/A</v>
      </c>
      <c r="M183" t="e">
        <f>IF($J183&gt;MAX('Match Log'!$A$4:$A$810),NA(),IFERROR(LOOKUP(2,1/(('Match Log'!$D$4:$D$810=$M$24)*('Match Log'!$A$4:$A$810&lt;=$J183)),'Match Log'!$N$4:$N$810),NA()))</f>
        <v>#N/A</v>
      </c>
      <c r="N183" t="e">
        <f>IF($J183&gt;MAX('Match Log'!$A$4:$A$810),NA(),IFERROR(LOOKUP(2,1/(('Match Log'!$D$4:$D$810=$N$24)*('Match Log'!$A$4:$A$810&lt;=$J183)),'Match Log'!$N$4:$N$810),NA()))</f>
        <v>#N/A</v>
      </c>
      <c r="O183" t="e">
        <f>IF($J183&gt;MAX('Match Log'!$A$4:$A$810),NA(),IFERROR(LOOKUP(2,1/(('Match Log'!$D$4:$D$810=$O$24)*('Match Log'!$A$4:$A$810&lt;=$J183)),'Match Log'!$N$4:$N$810),NA()))</f>
        <v>#N/A</v>
      </c>
      <c r="P183" t="e">
        <f>IF($J183&gt;MAX('Match Log'!$A$4:$A$810),NA(),IFERROR(LOOKUP(2,1/(('Match Log'!$D$4:$D$810=$P$24)*('Match Log'!$A$4:$A$810&lt;=$J183)),'Match Log'!$N$4:$N$810),NA()))</f>
        <v>#N/A</v>
      </c>
      <c r="Q183" t="e">
        <f>IF($J183&gt;MAX('Match Log'!$A$4:$A$810),NA(),IFERROR(LOOKUP(2,1/(('Match Log'!$D$4:$D$810=$Q$24)*('Match Log'!$A$4:$A$810&lt;=$J183)),'Match Log'!$N$4:$N$810),NA()))</f>
        <v>#N/A</v>
      </c>
      <c r="R183" t="e">
        <f>IF($J183&gt;MAX('Match Log'!$A$4:$A$810),NA(),IFERROR(LOOKUP(2,1/(('Match Log'!$D$4:$D$810=$R$24)*('Match Log'!$A$4:$A$810&lt;=$J183)),'Match Log'!$N$4:$N$810),NA()))</f>
        <v>#N/A</v>
      </c>
      <c r="S183" t="e">
        <f>IF($J183&gt;MAX('Match Log'!$A$4:$A$810),NA(),IFERROR(LOOKUP(2,1/(('Match Log'!$D$4:$D$810=$S$24)*('Match Log'!$A$4:$A$810&lt;=$J183)),'Match Log'!$N$4:$N$810),NA()))</f>
        <v>#N/A</v>
      </c>
      <c r="T183" t="e">
        <f>IF($J183&gt;MAX('Match Log'!$A$4:$A$810),NA(),IFERROR(LOOKUP(2,1/(('Match Log'!$D$4:$D$810=$T$24)*('Match Log'!$A$4:$A$810&lt;=$J183)),'Match Log'!$N$4:$N$810),NA()))</f>
        <v>#N/A</v>
      </c>
      <c r="U183" t="e">
        <f>IF($J183&gt;MAX('Match Log'!$A$4:$A$810),NA(),IFERROR(LOOKUP(2,1/(('Match Log'!$D$4:$D$810=$U$24)*('Match Log'!$A$4:$A$810&lt;=$J183)),'Match Log'!$N$4:$N$810),NA()))</f>
        <v>#N/A</v>
      </c>
      <c r="V183" t="e">
        <f>IF($J183&gt;MAX('Match Log'!$A$4:$A$810),NA(),IFERROR(LOOKUP(2,1/(('Match Log'!$D$4:$D$810=$V$24)*('Match Log'!$A$4:$A$810&lt;=$J183)),'Match Log'!$N$4:$N$810),NA()))</f>
        <v>#N/A</v>
      </c>
      <c r="W183" t="e">
        <f>IF($J183&gt;MAX('Match Log'!$A$4:$A$810),NA(),IFERROR(LOOKUP(2,1/(('Match Log'!$D$4:$D$810=$W$24)*('Match Log'!$A$4:$A$810&lt;=$J183)),'Match Log'!$N$4:$N$810),NA()))</f>
        <v>#N/A</v>
      </c>
      <c r="X183" t="e">
        <f>IF($J183&gt;MAX('Match Log'!$A$4:$A$810),NA(),IFERROR(LOOKUP(2,1/(('Match Log'!$D$4:$D$810=$X$24)*('Match Log'!$A$4:$A$810&lt;=$J183)),'Match Log'!$N$4:$N$810),NA()))</f>
        <v>#N/A</v>
      </c>
      <c r="Y183" t="str">
        <f t="shared" ca="1" si="30"/>
        <v/>
      </c>
    </row>
    <row r="184" spans="1:25" x14ac:dyDescent="0.2">
      <c r="A184">
        <v>160</v>
      </c>
      <c r="B184" t="str">
        <f>IFERROR(INDEX('Match Log'!$B$4:$B$810,MATCH(160,'Match Log'!$A$4:$A$810,0)),"")</f>
        <v/>
      </c>
      <c r="C184" t="str">
        <f>IFERROR(INDEX('Match Log'!$C$4:$C$810,MATCH(160,'Match Log'!$A$4:$A$810,0)),"")</f>
        <v/>
      </c>
      <c r="D184" t="str">
        <f t="array" ref="D184">IFERROR(_xlfn.TEXTJOIN(" + ",TRUE,IF(('Match Log'!$A$4:$A$810=$A184)*('Match Log'!$E$4:$E$810="Win"),'Match Log'!$D$4:$D$810,"")),IFERROR(LOOKUP(2,1/(('Match Log'!$A$4:$A$810=$A184)*('Match Log'!$E$4:$E$810="Win")),'Match Log'!$D$4:$D$810),""))</f>
        <v/>
      </c>
      <c r="E184" t="str">
        <f>IFERROR(INDEX('Match Log'!$F$4:$F$810,MATCH(160,'Match Log'!$A$4:$A$810,0)),"")</f>
        <v/>
      </c>
      <c r="F184">
        <f>IFERROR(SUMIFS('Match Log'!$I$4:$I$810,'Match Log'!$A$4:$A$810,160,'Match Log'!$E$4:$E$810,"Win"),"")</f>
        <v>0</v>
      </c>
      <c r="G184" t="str">
        <f t="shared" si="28"/>
        <v/>
      </c>
      <c r="H184" t="str">
        <f t="array" ref="H184">IFERROR(IF(COUNTIFS('Match Log'!$A$4:$A$810,$A184,'Match Log'!$E$4:$E$810,"Win")&gt;1,_xlfn.TEXTJOIN(" + ",TRUE,IF(('Match Log'!$A$4:$A$810=$A184)*('Match Log'!$E$4:$E$810="Loss"),'Match Log'!$D$4:$D$810,"")),IF($E184=2,LOOKUP(2,1/(('Match Log'!$A$4:$A$810=$A184)*('Match Log'!$E$4:$E$810="Loss")),'Match Log'!$D$4:$D$810),"the field")),"")</f>
        <v>the field</v>
      </c>
      <c r="I184" t="str">
        <f t="shared" si="29"/>
        <v/>
      </c>
      <c r="J184">
        <v>160</v>
      </c>
      <c r="K184" t="e">
        <f>IF($J184&gt;MAX('Match Log'!$A$4:$A$810),NA(),IFERROR(LOOKUP(2,1/(('Match Log'!$D$4:$D$810=$K$24)*('Match Log'!$A$4:$A$810&lt;=$J184)),'Match Log'!$N$4:$N$810),NA()))</f>
        <v>#N/A</v>
      </c>
      <c r="L184" t="e">
        <f>IF($J184&gt;MAX('Match Log'!$A$4:$A$810),NA(),IFERROR(LOOKUP(2,1/(('Match Log'!$D$4:$D$810=$L$24)*('Match Log'!$A$4:$A$810&lt;=$J184)),'Match Log'!$N$4:$N$810),NA()))</f>
        <v>#N/A</v>
      </c>
      <c r="M184" t="e">
        <f>IF($J184&gt;MAX('Match Log'!$A$4:$A$810),NA(),IFERROR(LOOKUP(2,1/(('Match Log'!$D$4:$D$810=$M$24)*('Match Log'!$A$4:$A$810&lt;=$J184)),'Match Log'!$N$4:$N$810),NA()))</f>
        <v>#N/A</v>
      </c>
      <c r="N184" t="e">
        <f>IF($J184&gt;MAX('Match Log'!$A$4:$A$810),NA(),IFERROR(LOOKUP(2,1/(('Match Log'!$D$4:$D$810=$N$24)*('Match Log'!$A$4:$A$810&lt;=$J184)),'Match Log'!$N$4:$N$810),NA()))</f>
        <v>#N/A</v>
      </c>
      <c r="O184" t="e">
        <f>IF($J184&gt;MAX('Match Log'!$A$4:$A$810),NA(),IFERROR(LOOKUP(2,1/(('Match Log'!$D$4:$D$810=$O$24)*('Match Log'!$A$4:$A$810&lt;=$J184)),'Match Log'!$N$4:$N$810),NA()))</f>
        <v>#N/A</v>
      </c>
      <c r="P184" t="e">
        <f>IF($J184&gt;MAX('Match Log'!$A$4:$A$810),NA(),IFERROR(LOOKUP(2,1/(('Match Log'!$D$4:$D$810=$P$24)*('Match Log'!$A$4:$A$810&lt;=$J184)),'Match Log'!$N$4:$N$810),NA()))</f>
        <v>#N/A</v>
      </c>
      <c r="Q184" t="e">
        <f>IF($J184&gt;MAX('Match Log'!$A$4:$A$810),NA(),IFERROR(LOOKUP(2,1/(('Match Log'!$D$4:$D$810=$Q$24)*('Match Log'!$A$4:$A$810&lt;=$J184)),'Match Log'!$N$4:$N$810),NA()))</f>
        <v>#N/A</v>
      </c>
      <c r="R184" t="e">
        <f>IF($J184&gt;MAX('Match Log'!$A$4:$A$810),NA(),IFERROR(LOOKUP(2,1/(('Match Log'!$D$4:$D$810=$R$24)*('Match Log'!$A$4:$A$810&lt;=$J184)),'Match Log'!$N$4:$N$810),NA()))</f>
        <v>#N/A</v>
      </c>
      <c r="S184" t="e">
        <f>IF($J184&gt;MAX('Match Log'!$A$4:$A$810),NA(),IFERROR(LOOKUP(2,1/(('Match Log'!$D$4:$D$810=$S$24)*('Match Log'!$A$4:$A$810&lt;=$J184)),'Match Log'!$N$4:$N$810),NA()))</f>
        <v>#N/A</v>
      </c>
      <c r="T184" t="e">
        <f>IF($J184&gt;MAX('Match Log'!$A$4:$A$810),NA(),IFERROR(LOOKUP(2,1/(('Match Log'!$D$4:$D$810=$T$24)*('Match Log'!$A$4:$A$810&lt;=$J184)),'Match Log'!$N$4:$N$810),NA()))</f>
        <v>#N/A</v>
      </c>
      <c r="U184" t="e">
        <f>IF($J184&gt;MAX('Match Log'!$A$4:$A$810),NA(),IFERROR(LOOKUP(2,1/(('Match Log'!$D$4:$D$810=$U$24)*('Match Log'!$A$4:$A$810&lt;=$J184)),'Match Log'!$N$4:$N$810),NA()))</f>
        <v>#N/A</v>
      </c>
      <c r="V184" t="e">
        <f>IF($J184&gt;MAX('Match Log'!$A$4:$A$810),NA(),IFERROR(LOOKUP(2,1/(('Match Log'!$D$4:$D$810=$V$24)*('Match Log'!$A$4:$A$810&lt;=$J184)),'Match Log'!$N$4:$N$810),NA()))</f>
        <v>#N/A</v>
      </c>
      <c r="W184" t="e">
        <f>IF($J184&gt;MAX('Match Log'!$A$4:$A$810),NA(),IFERROR(LOOKUP(2,1/(('Match Log'!$D$4:$D$810=$W$24)*('Match Log'!$A$4:$A$810&lt;=$J184)),'Match Log'!$N$4:$N$810),NA()))</f>
        <v>#N/A</v>
      </c>
      <c r="X184" t="e">
        <f>IF($J184&gt;MAX('Match Log'!$A$4:$A$810),NA(),IFERROR(LOOKUP(2,1/(('Match Log'!$D$4:$D$810=$X$24)*('Match Log'!$A$4:$A$810&lt;=$J184)),'Match Log'!$N$4:$N$810),NA()))</f>
        <v>#N/A</v>
      </c>
      <c r="Y184" t="str">
        <f t="shared" ca="1" si="30"/>
        <v/>
      </c>
    </row>
    <row r="185" spans="1:25" x14ac:dyDescent="0.2">
      <c r="A185">
        <v>161</v>
      </c>
      <c r="B185" t="str">
        <f>IFERROR(INDEX('Match Log'!$B$4:$B$810,MATCH(161,'Match Log'!$A$4:$A$810,0)),"")</f>
        <v/>
      </c>
      <c r="C185" t="str">
        <f>IFERROR(INDEX('Match Log'!$C$4:$C$810,MATCH(161,'Match Log'!$A$4:$A$810,0)),"")</f>
        <v/>
      </c>
      <c r="D185" t="str">
        <f t="array" ref="D185">IFERROR(_xlfn.TEXTJOIN(" + ",TRUE,IF(('Match Log'!$A$4:$A$810=$A185)*('Match Log'!$E$4:$E$810="Win"),'Match Log'!$D$4:$D$810,"")),IFERROR(LOOKUP(2,1/(('Match Log'!$A$4:$A$810=$A185)*('Match Log'!$E$4:$E$810="Win")),'Match Log'!$D$4:$D$810),""))</f>
        <v/>
      </c>
      <c r="E185" t="str">
        <f>IFERROR(INDEX('Match Log'!$F$4:$F$810,MATCH(161,'Match Log'!$A$4:$A$810,0)),"")</f>
        <v/>
      </c>
      <c r="F185">
        <f>IFERROR(SUMIFS('Match Log'!$I$4:$I$810,'Match Log'!$A$4:$A$810,161,'Match Log'!$E$4:$E$810,"Win"),"")</f>
        <v>0</v>
      </c>
      <c r="G185" t="str">
        <f t="shared" si="28"/>
        <v/>
      </c>
      <c r="H185" t="str">
        <f t="array" ref="H185">IFERROR(IF(COUNTIFS('Match Log'!$A$4:$A$810,$A185,'Match Log'!$E$4:$E$810,"Win")&gt;1,_xlfn.TEXTJOIN(" + ",TRUE,IF(('Match Log'!$A$4:$A$810=$A185)*('Match Log'!$E$4:$E$810="Loss"),'Match Log'!$D$4:$D$810,"")),IF($E185=2,LOOKUP(2,1/(('Match Log'!$A$4:$A$810=$A185)*('Match Log'!$E$4:$E$810="Loss")),'Match Log'!$D$4:$D$810),"the field")),"")</f>
        <v>the field</v>
      </c>
      <c r="I185" t="str">
        <f t="shared" si="29"/>
        <v/>
      </c>
      <c r="J185">
        <v>161</v>
      </c>
      <c r="K185" t="e">
        <f>IF($J185&gt;MAX('Match Log'!$A$4:$A$810),NA(),IFERROR(LOOKUP(2,1/(('Match Log'!$D$4:$D$810=$K$24)*('Match Log'!$A$4:$A$810&lt;=$J185)),'Match Log'!$N$4:$N$810),NA()))</f>
        <v>#N/A</v>
      </c>
      <c r="L185" t="e">
        <f>IF($J185&gt;MAX('Match Log'!$A$4:$A$810),NA(),IFERROR(LOOKUP(2,1/(('Match Log'!$D$4:$D$810=$L$24)*('Match Log'!$A$4:$A$810&lt;=$J185)),'Match Log'!$N$4:$N$810),NA()))</f>
        <v>#N/A</v>
      </c>
      <c r="M185" t="e">
        <f>IF($J185&gt;MAX('Match Log'!$A$4:$A$810),NA(),IFERROR(LOOKUP(2,1/(('Match Log'!$D$4:$D$810=$M$24)*('Match Log'!$A$4:$A$810&lt;=$J185)),'Match Log'!$N$4:$N$810),NA()))</f>
        <v>#N/A</v>
      </c>
      <c r="N185" t="e">
        <f>IF($J185&gt;MAX('Match Log'!$A$4:$A$810),NA(),IFERROR(LOOKUP(2,1/(('Match Log'!$D$4:$D$810=$N$24)*('Match Log'!$A$4:$A$810&lt;=$J185)),'Match Log'!$N$4:$N$810),NA()))</f>
        <v>#N/A</v>
      </c>
      <c r="O185" t="e">
        <f>IF($J185&gt;MAX('Match Log'!$A$4:$A$810),NA(),IFERROR(LOOKUP(2,1/(('Match Log'!$D$4:$D$810=$O$24)*('Match Log'!$A$4:$A$810&lt;=$J185)),'Match Log'!$N$4:$N$810),NA()))</f>
        <v>#N/A</v>
      </c>
      <c r="P185" t="e">
        <f>IF($J185&gt;MAX('Match Log'!$A$4:$A$810),NA(),IFERROR(LOOKUP(2,1/(('Match Log'!$D$4:$D$810=$P$24)*('Match Log'!$A$4:$A$810&lt;=$J185)),'Match Log'!$N$4:$N$810),NA()))</f>
        <v>#N/A</v>
      </c>
      <c r="Q185" t="e">
        <f>IF($J185&gt;MAX('Match Log'!$A$4:$A$810),NA(),IFERROR(LOOKUP(2,1/(('Match Log'!$D$4:$D$810=$Q$24)*('Match Log'!$A$4:$A$810&lt;=$J185)),'Match Log'!$N$4:$N$810),NA()))</f>
        <v>#N/A</v>
      </c>
      <c r="R185" t="e">
        <f>IF($J185&gt;MAX('Match Log'!$A$4:$A$810),NA(),IFERROR(LOOKUP(2,1/(('Match Log'!$D$4:$D$810=$R$24)*('Match Log'!$A$4:$A$810&lt;=$J185)),'Match Log'!$N$4:$N$810),NA()))</f>
        <v>#N/A</v>
      </c>
      <c r="S185" t="e">
        <f>IF($J185&gt;MAX('Match Log'!$A$4:$A$810),NA(),IFERROR(LOOKUP(2,1/(('Match Log'!$D$4:$D$810=$S$24)*('Match Log'!$A$4:$A$810&lt;=$J185)),'Match Log'!$N$4:$N$810),NA()))</f>
        <v>#N/A</v>
      </c>
      <c r="T185" t="e">
        <f>IF($J185&gt;MAX('Match Log'!$A$4:$A$810),NA(),IFERROR(LOOKUP(2,1/(('Match Log'!$D$4:$D$810=$T$24)*('Match Log'!$A$4:$A$810&lt;=$J185)),'Match Log'!$N$4:$N$810),NA()))</f>
        <v>#N/A</v>
      </c>
      <c r="U185" t="e">
        <f>IF($J185&gt;MAX('Match Log'!$A$4:$A$810),NA(),IFERROR(LOOKUP(2,1/(('Match Log'!$D$4:$D$810=$U$24)*('Match Log'!$A$4:$A$810&lt;=$J185)),'Match Log'!$N$4:$N$810),NA()))</f>
        <v>#N/A</v>
      </c>
      <c r="V185" t="e">
        <f>IF($J185&gt;MAX('Match Log'!$A$4:$A$810),NA(),IFERROR(LOOKUP(2,1/(('Match Log'!$D$4:$D$810=$V$24)*('Match Log'!$A$4:$A$810&lt;=$J185)),'Match Log'!$N$4:$N$810),NA()))</f>
        <v>#N/A</v>
      </c>
      <c r="W185" t="e">
        <f>IF($J185&gt;MAX('Match Log'!$A$4:$A$810),NA(),IFERROR(LOOKUP(2,1/(('Match Log'!$D$4:$D$810=$W$24)*('Match Log'!$A$4:$A$810&lt;=$J185)),'Match Log'!$N$4:$N$810),NA()))</f>
        <v>#N/A</v>
      </c>
      <c r="X185" t="e">
        <f>IF($J185&gt;MAX('Match Log'!$A$4:$A$810),NA(),IFERROR(LOOKUP(2,1/(('Match Log'!$D$4:$D$810=$X$24)*('Match Log'!$A$4:$A$810&lt;=$J185)),'Match Log'!$N$4:$N$810),NA()))</f>
        <v>#N/A</v>
      </c>
      <c r="Y185" t="str">
        <f t="shared" ca="1" si="30"/>
        <v/>
      </c>
    </row>
    <row r="186" spans="1:25" x14ac:dyDescent="0.2">
      <c r="A186">
        <v>162</v>
      </c>
      <c r="B186" t="str">
        <f>IFERROR(INDEX('Match Log'!$B$4:$B$810,MATCH(162,'Match Log'!$A$4:$A$810,0)),"")</f>
        <v/>
      </c>
      <c r="C186" t="str">
        <f>IFERROR(INDEX('Match Log'!$C$4:$C$810,MATCH(162,'Match Log'!$A$4:$A$810,0)),"")</f>
        <v/>
      </c>
      <c r="D186" t="str">
        <f t="array" ref="D186">IFERROR(_xlfn.TEXTJOIN(" + ",TRUE,IF(('Match Log'!$A$4:$A$810=$A186)*('Match Log'!$E$4:$E$810="Win"),'Match Log'!$D$4:$D$810,"")),IFERROR(LOOKUP(2,1/(('Match Log'!$A$4:$A$810=$A186)*('Match Log'!$E$4:$E$810="Win")),'Match Log'!$D$4:$D$810),""))</f>
        <v/>
      </c>
      <c r="E186" t="str">
        <f>IFERROR(INDEX('Match Log'!$F$4:$F$810,MATCH(162,'Match Log'!$A$4:$A$810,0)),"")</f>
        <v/>
      </c>
      <c r="F186">
        <f>IFERROR(SUMIFS('Match Log'!$I$4:$I$810,'Match Log'!$A$4:$A$810,162,'Match Log'!$E$4:$E$810,"Win"),"")</f>
        <v>0</v>
      </c>
      <c r="G186" t="str">
        <f t="shared" si="28"/>
        <v/>
      </c>
      <c r="H186" t="str">
        <f t="array" ref="H186">IFERROR(IF(COUNTIFS('Match Log'!$A$4:$A$810,$A186,'Match Log'!$E$4:$E$810,"Win")&gt;1,_xlfn.TEXTJOIN(" + ",TRUE,IF(('Match Log'!$A$4:$A$810=$A186)*('Match Log'!$E$4:$E$810="Loss"),'Match Log'!$D$4:$D$810,"")),IF($E186=2,LOOKUP(2,1/(('Match Log'!$A$4:$A$810=$A186)*('Match Log'!$E$4:$E$810="Loss")),'Match Log'!$D$4:$D$810),"the field")),"")</f>
        <v>the field</v>
      </c>
      <c r="I186" t="str">
        <f t="shared" si="29"/>
        <v/>
      </c>
      <c r="J186">
        <v>162</v>
      </c>
      <c r="K186" t="e">
        <f>IF($J186&gt;MAX('Match Log'!$A$4:$A$810),NA(),IFERROR(LOOKUP(2,1/(('Match Log'!$D$4:$D$810=$K$24)*('Match Log'!$A$4:$A$810&lt;=$J186)),'Match Log'!$N$4:$N$810),NA()))</f>
        <v>#N/A</v>
      </c>
      <c r="L186" t="e">
        <f>IF($J186&gt;MAX('Match Log'!$A$4:$A$810),NA(),IFERROR(LOOKUP(2,1/(('Match Log'!$D$4:$D$810=$L$24)*('Match Log'!$A$4:$A$810&lt;=$J186)),'Match Log'!$N$4:$N$810),NA()))</f>
        <v>#N/A</v>
      </c>
      <c r="M186" t="e">
        <f>IF($J186&gt;MAX('Match Log'!$A$4:$A$810),NA(),IFERROR(LOOKUP(2,1/(('Match Log'!$D$4:$D$810=$M$24)*('Match Log'!$A$4:$A$810&lt;=$J186)),'Match Log'!$N$4:$N$810),NA()))</f>
        <v>#N/A</v>
      </c>
      <c r="N186" t="e">
        <f>IF($J186&gt;MAX('Match Log'!$A$4:$A$810),NA(),IFERROR(LOOKUP(2,1/(('Match Log'!$D$4:$D$810=$N$24)*('Match Log'!$A$4:$A$810&lt;=$J186)),'Match Log'!$N$4:$N$810),NA()))</f>
        <v>#N/A</v>
      </c>
      <c r="O186" t="e">
        <f>IF($J186&gt;MAX('Match Log'!$A$4:$A$810),NA(),IFERROR(LOOKUP(2,1/(('Match Log'!$D$4:$D$810=$O$24)*('Match Log'!$A$4:$A$810&lt;=$J186)),'Match Log'!$N$4:$N$810),NA()))</f>
        <v>#N/A</v>
      </c>
      <c r="P186" t="e">
        <f>IF($J186&gt;MAX('Match Log'!$A$4:$A$810),NA(),IFERROR(LOOKUP(2,1/(('Match Log'!$D$4:$D$810=$P$24)*('Match Log'!$A$4:$A$810&lt;=$J186)),'Match Log'!$N$4:$N$810),NA()))</f>
        <v>#N/A</v>
      </c>
      <c r="Q186" t="e">
        <f>IF($J186&gt;MAX('Match Log'!$A$4:$A$810),NA(),IFERROR(LOOKUP(2,1/(('Match Log'!$D$4:$D$810=$Q$24)*('Match Log'!$A$4:$A$810&lt;=$J186)),'Match Log'!$N$4:$N$810),NA()))</f>
        <v>#N/A</v>
      </c>
      <c r="R186" t="e">
        <f>IF($J186&gt;MAX('Match Log'!$A$4:$A$810),NA(),IFERROR(LOOKUP(2,1/(('Match Log'!$D$4:$D$810=$R$24)*('Match Log'!$A$4:$A$810&lt;=$J186)),'Match Log'!$N$4:$N$810),NA()))</f>
        <v>#N/A</v>
      </c>
      <c r="S186" t="e">
        <f>IF($J186&gt;MAX('Match Log'!$A$4:$A$810),NA(),IFERROR(LOOKUP(2,1/(('Match Log'!$D$4:$D$810=$S$24)*('Match Log'!$A$4:$A$810&lt;=$J186)),'Match Log'!$N$4:$N$810),NA()))</f>
        <v>#N/A</v>
      </c>
      <c r="T186" t="e">
        <f>IF($J186&gt;MAX('Match Log'!$A$4:$A$810),NA(),IFERROR(LOOKUP(2,1/(('Match Log'!$D$4:$D$810=$T$24)*('Match Log'!$A$4:$A$810&lt;=$J186)),'Match Log'!$N$4:$N$810),NA()))</f>
        <v>#N/A</v>
      </c>
      <c r="U186" t="e">
        <f>IF($J186&gt;MAX('Match Log'!$A$4:$A$810),NA(),IFERROR(LOOKUP(2,1/(('Match Log'!$D$4:$D$810=$U$24)*('Match Log'!$A$4:$A$810&lt;=$J186)),'Match Log'!$N$4:$N$810),NA()))</f>
        <v>#N/A</v>
      </c>
      <c r="V186" t="e">
        <f>IF($J186&gt;MAX('Match Log'!$A$4:$A$810),NA(),IFERROR(LOOKUP(2,1/(('Match Log'!$D$4:$D$810=$V$24)*('Match Log'!$A$4:$A$810&lt;=$J186)),'Match Log'!$N$4:$N$810),NA()))</f>
        <v>#N/A</v>
      </c>
      <c r="W186" t="e">
        <f>IF($J186&gt;MAX('Match Log'!$A$4:$A$810),NA(),IFERROR(LOOKUP(2,1/(('Match Log'!$D$4:$D$810=$W$24)*('Match Log'!$A$4:$A$810&lt;=$J186)),'Match Log'!$N$4:$N$810),NA()))</f>
        <v>#N/A</v>
      </c>
      <c r="X186" t="e">
        <f>IF($J186&gt;MAX('Match Log'!$A$4:$A$810),NA(),IFERROR(LOOKUP(2,1/(('Match Log'!$D$4:$D$810=$X$24)*('Match Log'!$A$4:$A$810&lt;=$J186)),'Match Log'!$N$4:$N$810),NA()))</f>
        <v>#N/A</v>
      </c>
      <c r="Y186" t="str">
        <f t="shared" ca="1" si="30"/>
        <v/>
      </c>
    </row>
    <row r="187" spans="1:25" x14ac:dyDescent="0.2">
      <c r="A187">
        <v>163</v>
      </c>
      <c r="B187" t="str">
        <f>IFERROR(INDEX('Match Log'!$B$4:$B$810,MATCH(163,'Match Log'!$A$4:$A$810,0)),"")</f>
        <v/>
      </c>
      <c r="C187" t="str">
        <f>IFERROR(INDEX('Match Log'!$C$4:$C$810,MATCH(163,'Match Log'!$A$4:$A$810,0)),"")</f>
        <v/>
      </c>
      <c r="D187" t="str">
        <f t="array" ref="D187">IFERROR(_xlfn.TEXTJOIN(" + ",TRUE,IF(('Match Log'!$A$4:$A$810=$A187)*('Match Log'!$E$4:$E$810="Win"),'Match Log'!$D$4:$D$810,"")),IFERROR(LOOKUP(2,1/(('Match Log'!$A$4:$A$810=$A187)*('Match Log'!$E$4:$E$810="Win")),'Match Log'!$D$4:$D$810),""))</f>
        <v/>
      </c>
      <c r="E187" t="str">
        <f>IFERROR(INDEX('Match Log'!$F$4:$F$810,MATCH(163,'Match Log'!$A$4:$A$810,0)),"")</f>
        <v/>
      </c>
      <c r="F187">
        <f>IFERROR(SUMIFS('Match Log'!$I$4:$I$810,'Match Log'!$A$4:$A$810,163,'Match Log'!$E$4:$E$810,"Win"),"")</f>
        <v>0</v>
      </c>
      <c r="G187" t="str">
        <f t="shared" si="28"/>
        <v/>
      </c>
      <c r="H187" t="str">
        <f t="array" ref="H187">IFERROR(IF(COUNTIFS('Match Log'!$A$4:$A$810,$A187,'Match Log'!$E$4:$E$810,"Win")&gt;1,_xlfn.TEXTJOIN(" + ",TRUE,IF(('Match Log'!$A$4:$A$810=$A187)*('Match Log'!$E$4:$E$810="Loss"),'Match Log'!$D$4:$D$810,"")),IF($E187=2,LOOKUP(2,1/(('Match Log'!$A$4:$A$810=$A187)*('Match Log'!$E$4:$E$810="Loss")),'Match Log'!$D$4:$D$810),"the field")),"")</f>
        <v>the field</v>
      </c>
      <c r="I187" t="str">
        <f t="shared" si="29"/>
        <v/>
      </c>
      <c r="J187">
        <v>163</v>
      </c>
      <c r="K187" t="e">
        <f>IF($J187&gt;MAX('Match Log'!$A$4:$A$810),NA(),IFERROR(LOOKUP(2,1/(('Match Log'!$D$4:$D$810=$K$24)*('Match Log'!$A$4:$A$810&lt;=$J187)),'Match Log'!$N$4:$N$810),NA()))</f>
        <v>#N/A</v>
      </c>
      <c r="L187" t="e">
        <f>IF($J187&gt;MAX('Match Log'!$A$4:$A$810),NA(),IFERROR(LOOKUP(2,1/(('Match Log'!$D$4:$D$810=$L$24)*('Match Log'!$A$4:$A$810&lt;=$J187)),'Match Log'!$N$4:$N$810),NA()))</f>
        <v>#N/A</v>
      </c>
      <c r="M187" t="e">
        <f>IF($J187&gt;MAX('Match Log'!$A$4:$A$810),NA(),IFERROR(LOOKUP(2,1/(('Match Log'!$D$4:$D$810=$M$24)*('Match Log'!$A$4:$A$810&lt;=$J187)),'Match Log'!$N$4:$N$810),NA()))</f>
        <v>#N/A</v>
      </c>
      <c r="N187" t="e">
        <f>IF($J187&gt;MAX('Match Log'!$A$4:$A$810),NA(),IFERROR(LOOKUP(2,1/(('Match Log'!$D$4:$D$810=$N$24)*('Match Log'!$A$4:$A$810&lt;=$J187)),'Match Log'!$N$4:$N$810),NA()))</f>
        <v>#N/A</v>
      </c>
      <c r="O187" t="e">
        <f>IF($J187&gt;MAX('Match Log'!$A$4:$A$810),NA(),IFERROR(LOOKUP(2,1/(('Match Log'!$D$4:$D$810=$O$24)*('Match Log'!$A$4:$A$810&lt;=$J187)),'Match Log'!$N$4:$N$810),NA()))</f>
        <v>#N/A</v>
      </c>
      <c r="P187" t="e">
        <f>IF($J187&gt;MAX('Match Log'!$A$4:$A$810),NA(),IFERROR(LOOKUP(2,1/(('Match Log'!$D$4:$D$810=$P$24)*('Match Log'!$A$4:$A$810&lt;=$J187)),'Match Log'!$N$4:$N$810),NA()))</f>
        <v>#N/A</v>
      </c>
      <c r="Q187" t="e">
        <f>IF($J187&gt;MAX('Match Log'!$A$4:$A$810),NA(),IFERROR(LOOKUP(2,1/(('Match Log'!$D$4:$D$810=$Q$24)*('Match Log'!$A$4:$A$810&lt;=$J187)),'Match Log'!$N$4:$N$810),NA()))</f>
        <v>#N/A</v>
      </c>
      <c r="R187" t="e">
        <f>IF($J187&gt;MAX('Match Log'!$A$4:$A$810),NA(),IFERROR(LOOKUP(2,1/(('Match Log'!$D$4:$D$810=$R$24)*('Match Log'!$A$4:$A$810&lt;=$J187)),'Match Log'!$N$4:$N$810),NA()))</f>
        <v>#N/A</v>
      </c>
      <c r="S187" t="e">
        <f>IF($J187&gt;MAX('Match Log'!$A$4:$A$810),NA(),IFERROR(LOOKUP(2,1/(('Match Log'!$D$4:$D$810=$S$24)*('Match Log'!$A$4:$A$810&lt;=$J187)),'Match Log'!$N$4:$N$810),NA()))</f>
        <v>#N/A</v>
      </c>
      <c r="T187" t="e">
        <f>IF($J187&gt;MAX('Match Log'!$A$4:$A$810),NA(),IFERROR(LOOKUP(2,1/(('Match Log'!$D$4:$D$810=$T$24)*('Match Log'!$A$4:$A$810&lt;=$J187)),'Match Log'!$N$4:$N$810),NA()))</f>
        <v>#N/A</v>
      </c>
      <c r="U187" t="e">
        <f>IF($J187&gt;MAX('Match Log'!$A$4:$A$810),NA(),IFERROR(LOOKUP(2,1/(('Match Log'!$D$4:$D$810=$U$24)*('Match Log'!$A$4:$A$810&lt;=$J187)),'Match Log'!$N$4:$N$810),NA()))</f>
        <v>#N/A</v>
      </c>
      <c r="V187" t="e">
        <f>IF($J187&gt;MAX('Match Log'!$A$4:$A$810),NA(),IFERROR(LOOKUP(2,1/(('Match Log'!$D$4:$D$810=$V$24)*('Match Log'!$A$4:$A$810&lt;=$J187)),'Match Log'!$N$4:$N$810),NA()))</f>
        <v>#N/A</v>
      </c>
      <c r="W187" t="e">
        <f>IF($J187&gt;MAX('Match Log'!$A$4:$A$810),NA(),IFERROR(LOOKUP(2,1/(('Match Log'!$D$4:$D$810=$W$24)*('Match Log'!$A$4:$A$810&lt;=$J187)),'Match Log'!$N$4:$N$810),NA()))</f>
        <v>#N/A</v>
      </c>
      <c r="X187" t="e">
        <f>IF($J187&gt;MAX('Match Log'!$A$4:$A$810),NA(),IFERROR(LOOKUP(2,1/(('Match Log'!$D$4:$D$810=$X$24)*('Match Log'!$A$4:$A$810&lt;=$J187)),'Match Log'!$N$4:$N$810),NA()))</f>
        <v>#N/A</v>
      </c>
      <c r="Y187" t="str">
        <f t="shared" ca="1" si="30"/>
        <v/>
      </c>
    </row>
    <row r="188" spans="1:25" x14ac:dyDescent="0.2">
      <c r="A188">
        <v>164</v>
      </c>
      <c r="B188" t="str">
        <f>IFERROR(INDEX('Match Log'!$B$4:$B$810,MATCH(164,'Match Log'!$A$4:$A$810,0)),"")</f>
        <v/>
      </c>
      <c r="C188" t="str">
        <f>IFERROR(INDEX('Match Log'!$C$4:$C$810,MATCH(164,'Match Log'!$A$4:$A$810,0)),"")</f>
        <v/>
      </c>
      <c r="D188" t="str">
        <f t="array" ref="D188">IFERROR(_xlfn.TEXTJOIN(" + ",TRUE,IF(('Match Log'!$A$4:$A$810=$A188)*('Match Log'!$E$4:$E$810="Win"),'Match Log'!$D$4:$D$810,"")),IFERROR(LOOKUP(2,1/(('Match Log'!$A$4:$A$810=$A188)*('Match Log'!$E$4:$E$810="Win")),'Match Log'!$D$4:$D$810),""))</f>
        <v/>
      </c>
      <c r="E188" t="str">
        <f>IFERROR(INDEX('Match Log'!$F$4:$F$810,MATCH(164,'Match Log'!$A$4:$A$810,0)),"")</f>
        <v/>
      </c>
      <c r="F188">
        <f>IFERROR(SUMIFS('Match Log'!$I$4:$I$810,'Match Log'!$A$4:$A$810,164,'Match Log'!$E$4:$E$810,"Win"),"")</f>
        <v>0</v>
      </c>
      <c r="G188" t="str">
        <f t="shared" si="28"/>
        <v/>
      </c>
      <c r="H188" t="str">
        <f t="array" ref="H188">IFERROR(IF(COUNTIFS('Match Log'!$A$4:$A$810,$A188,'Match Log'!$E$4:$E$810,"Win")&gt;1,_xlfn.TEXTJOIN(" + ",TRUE,IF(('Match Log'!$A$4:$A$810=$A188)*('Match Log'!$E$4:$E$810="Loss"),'Match Log'!$D$4:$D$810,"")),IF($E188=2,LOOKUP(2,1/(('Match Log'!$A$4:$A$810=$A188)*('Match Log'!$E$4:$E$810="Loss")),'Match Log'!$D$4:$D$810),"the field")),"")</f>
        <v>the field</v>
      </c>
      <c r="I188" t="str">
        <f t="shared" si="29"/>
        <v/>
      </c>
      <c r="J188">
        <v>164</v>
      </c>
      <c r="K188" t="e">
        <f>IF($J188&gt;MAX('Match Log'!$A$4:$A$810),NA(),IFERROR(LOOKUP(2,1/(('Match Log'!$D$4:$D$810=$K$24)*('Match Log'!$A$4:$A$810&lt;=$J188)),'Match Log'!$N$4:$N$810),NA()))</f>
        <v>#N/A</v>
      </c>
      <c r="L188" t="e">
        <f>IF($J188&gt;MAX('Match Log'!$A$4:$A$810),NA(),IFERROR(LOOKUP(2,1/(('Match Log'!$D$4:$D$810=$L$24)*('Match Log'!$A$4:$A$810&lt;=$J188)),'Match Log'!$N$4:$N$810),NA()))</f>
        <v>#N/A</v>
      </c>
      <c r="M188" t="e">
        <f>IF($J188&gt;MAX('Match Log'!$A$4:$A$810),NA(),IFERROR(LOOKUP(2,1/(('Match Log'!$D$4:$D$810=$M$24)*('Match Log'!$A$4:$A$810&lt;=$J188)),'Match Log'!$N$4:$N$810),NA()))</f>
        <v>#N/A</v>
      </c>
      <c r="N188" t="e">
        <f>IF($J188&gt;MAX('Match Log'!$A$4:$A$810),NA(),IFERROR(LOOKUP(2,1/(('Match Log'!$D$4:$D$810=$N$24)*('Match Log'!$A$4:$A$810&lt;=$J188)),'Match Log'!$N$4:$N$810),NA()))</f>
        <v>#N/A</v>
      </c>
      <c r="O188" t="e">
        <f>IF($J188&gt;MAX('Match Log'!$A$4:$A$810),NA(),IFERROR(LOOKUP(2,1/(('Match Log'!$D$4:$D$810=$O$24)*('Match Log'!$A$4:$A$810&lt;=$J188)),'Match Log'!$N$4:$N$810),NA()))</f>
        <v>#N/A</v>
      </c>
      <c r="P188" t="e">
        <f>IF($J188&gt;MAX('Match Log'!$A$4:$A$810),NA(),IFERROR(LOOKUP(2,1/(('Match Log'!$D$4:$D$810=$P$24)*('Match Log'!$A$4:$A$810&lt;=$J188)),'Match Log'!$N$4:$N$810),NA()))</f>
        <v>#N/A</v>
      </c>
      <c r="Q188" t="e">
        <f>IF($J188&gt;MAX('Match Log'!$A$4:$A$810),NA(),IFERROR(LOOKUP(2,1/(('Match Log'!$D$4:$D$810=$Q$24)*('Match Log'!$A$4:$A$810&lt;=$J188)),'Match Log'!$N$4:$N$810),NA()))</f>
        <v>#N/A</v>
      </c>
      <c r="R188" t="e">
        <f>IF($J188&gt;MAX('Match Log'!$A$4:$A$810),NA(),IFERROR(LOOKUP(2,1/(('Match Log'!$D$4:$D$810=$R$24)*('Match Log'!$A$4:$A$810&lt;=$J188)),'Match Log'!$N$4:$N$810),NA()))</f>
        <v>#N/A</v>
      </c>
      <c r="S188" t="e">
        <f>IF($J188&gt;MAX('Match Log'!$A$4:$A$810),NA(),IFERROR(LOOKUP(2,1/(('Match Log'!$D$4:$D$810=$S$24)*('Match Log'!$A$4:$A$810&lt;=$J188)),'Match Log'!$N$4:$N$810),NA()))</f>
        <v>#N/A</v>
      </c>
      <c r="T188" t="e">
        <f>IF($J188&gt;MAX('Match Log'!$A$4:$A$810),NA(),IFERROR(LOOKUP(2,1/(('Match Log'!$D$4:$D$810=$T$24)*('Match Log'!$A$4:$A$810&lt;=$J188)),'Match Log'!$N$4:$N$810),NA()))</f>
        <v>#N/A</v>
      </c>
      <c r="U188" t="e">
        <f>IF($J188&gt;MAX('Match Log'!$A$4:$A$810),NA(),IFERROR(LOOKUP(2,1/(('Match Log'!$D$4:$D$810=$U$24)*('Match Log'!$A$4:$A$810&lt;=$J188)),'Match Log'!$N$4:$N$810),NA()))</f>
        <v>#N/A</v>
      </c>
      <c r="V188" t="e">
        <f>IF($J188&gt;MAX('Match Log'!$A$4:$A$810),NA(),IFERROR(LOOKUP(2,1/(('Match Log'!$D$4:$D$810=$V$24)*('Match Log'!$A$4:$A$810&lt;=$J188)),'Match Log'!$N$4:$N$810),NA()))</f>
        <v>#N/A</v>
      </c>
      <c r="W188" t="e">
        <f>IF($J188&gt;MAX('Match Log'!$A$4:$A$810),NA(),IFERROR(LOOKUP(2,1/(('Match Log'!$D$4:$D$810=$W$24)*('Match Log'!$A$4:$A$810&lt;=$J188)),'Match Log'!$N$4:$N$810),NA()))</f>
        <v>#N/A</v>
      </c>
      <c r="X188" t="e">
        <f>IF($J188&gt;MAX('Match Log'!$A$4:$A$810),NA(),IFERROR(LOOKUP(2,1/(('Match Log'!$D$4:$D$810=$X$24)*('Match Log'!$A$4:$A$810&lt;=$J188)),'Match Log'!$N$4:$N$810),NA()))</f>
        <v>#N/A</v>
      </c>
      <c r="Y188" t="str">
        <f t="shared" ca="1" si="30"/>
        <v/>
      </c>
    </row>
    <row r="189" spans="1:25" x14ac:dyDescent="0.2">
      <c r="A189">
        <v>165</v>
      </c>
      <c r="B189" t="str">
        <f>IFERROR(INDEX('Match Log'!$B$4:$B$810,MATCH(165,'Match Log'!$A$4:$A$810,0)),"")</f>
        <v/>
      </c>
      <c r="C189" t="str">
        <f>IFERROR(INDEX('Match Log'!$C$4:$C$810,MATCH(165,'Match Log'!$A$4:$A$810,0)),"")</f>
        <v/>
      </c>
      <c r="D189" t="str">
        <f t="array" ref="D189">IFERROR(_xlfn.TEXTJOIN(" + ",TRUE,IF(('Match Log'!$A$4:$A$810=$A189)*('Match Log'!$E$4:$E$810="Win"),'Match Log'!$D$4:$D$810,"")),IFERROR(LOOKUP(2,1/(('Match Log'!$A$4:$A$810=$A189)*('Match Log'!$E$4:$E$810="Win")),'Match Log'!$D$4:$D$810),""))</f>
        <v/>
      </c>
      <c r="E189" t="str">
        <f>IFERROR(INDEX('Match Log'!$F$4:$F$810,MATCH(165,'Match Log'!$A$4:$A$810,0)),"")</f>
        <v/>
      </c>
      <c r="F189">
        <f>IFERROR(SUMIFS('Match Log'!$I$4:$I$810,'Match Log'!$A$4:$A$810,165,'Match Log'!$E$4:$E$810,"Win"),"")</f>
        <v>0</v>
      </c>
      <c r="G189" t="str">
        <f t="shared" si="28"/>
        <v/>
      </c>
      <c r="H189" t="str">
        <f t="array" ref="H189">IFERROR(IF(COUNTIFS('Match Log'!$A$4:$A$810,$A189,'Match Log'!$E$4:$E$810,"Win")&gt;1,_xlfn.TEXTJOIN(" + ",TRUE,IF(('Match Log'!$A$4:$A$810=$A189)*('Match Log'!$E$4:$E$810="Loss"),'Match Log'!$D$4:$D$810,"")),IF($E189=2,LOOKUP(2,1/(('Match Log'!$A$4:$A$810=$A189)*('Match Log'!$E$4:$E$810="Loss")),'Match Log'!$D$4:$D$810),"the field")),"")</f>
        <v>the field</v>
      </c>
      <c r="I189" t="str">
        <f t="shared" si="29"/>
        <v/>
      </c>
      <c r="J189">
        <v>165</v>
      </c>
      <c r="K189" t="e">
        <f>IF($J189&gt;MAX('Match Log'!$A$4:$A$810),NA(),IFERROR(LOOKUP(2,1/(('Match Log'!$D$4:$D$810=$K$24)*('Match Log'!$A$4:$A$810&lt;=$J189)),'Match Log'!$N$4:$N$810),NA()))</f>
        <v>#N/A</v>
      </c>
      <c r="L189" t="e">
        <f>IF($J189&gt;MAX('Match Log'!$A$4:$A$810),NA(),IFERROR(LOOKUP(2,1/(('Match Log'!$D$4:$D$810=$L$24)*('Match Log'!$A$4:$A$810&lt;=$J189)),'Match Log'!$N$4:$N$810),NA()))</f>
        <v>#N/A</v>
      </c>
      <c r="M189" t="e">
        <f>IF($J189&gt;MAX('Match Log'!$A$4:$A$810),NA(),IFERROR(LOOKUP(2,1/(('Match Log'!$D$4:$D$810=$M$24)*('Match Log'!$A$4:$A$810&lt;=$J189)),'Match Log'!$N$4:$N$810),NA()))</f>
        <v>#N/A</v>
      </c>
      <c r="N189" t="e">
        <f>IF($J189&gt;MAX('Match Log'!$A$4:$A$810),NA(),IFERROR(LOOKUP(2,1/(('Match Log'!$D$4:$D$810=$N$24)*('Match Log'!$A$4:$A$810&lt;=$J189)),'Match Log'!$N$4:$N$810),NA()))</f>
        <v>#N/A</v>
      </c>
      <c r="O189" t="e">
        <f>IF($J189&gt;MAX('Match Log'!$A$4:$A$810),NA(),IFERROR(LOOKUP(2,1/(('Match Log'!$D$4:$D$810=$O$24)*('Match Log'!$A$4:$A$810&lt;=$J189)),'Match Log'!$N$4:$N$810),NA()))</f>
        <v>#N/A</v>
      </c>
      <c r="P189" t="e">
        <f>IF($J189&gt;MAX('Match Log'!$A$4:$A$810),NA(),IFERROR(LOOKUP(2,1/(('Match Log'!$D$4:$D$810=$P$24)*('Match Log'!$A$4:$A$810&lt;=$J189)),'Match Log'!$N$4:$N$810),NA()))</f>
        <v>#N/A</v>
      </c>
      <c r="Q189" t="e">
        <f>IF($J189&gt;MAX('Match Log'!$A$4:$A$810),NA(),IFERROR(LOOKUP(2,1/(('Match Log'!$D$4:$D$810=$Q$24)*('Match Log'!$A$4:$A$810&lt;=$J189)),'Match Log'!$N$4:$N$810),NA()))</f>
        <v>#N/A</v>
      </c>
      <c r="R189" t="e">
        <f>IF($J189&gt;MAX('Match Log'!$A$4:$A$810),NA(),IFERROR(LOOKUP(2,1/(('Match Log'!$D$4:$D$810=$R$24)*('Match Log'!$A$4:$A$810&lt;=$J189)),'Match Log'!$N$4:$N$810),NA()))</f>
        <v>#N/A</v>
      </c>
      <c r="S189" t="e">
        <f>IF($J189&gt;MAX('Match Log'!$A$4:$A$810),NA(),IFERROR(LOOKUP(2,1/(('Match Log'!$D$4:$D$810=$S$24)*('Match Log'!$A$4:$A$810&lt;=$J189)),'Match Log'!$N$4:$N$810),NA()))</f>
        <v>#N/A</v>
      </c>
      <c r="T189" t="e">
        <f>IF($J189&gt;MAX('Match Log'!$A$4:$A$810),NA(),IFERROR(LOOKUP(2,1/(('Match Log'!$D$4:$D$810=$T$24)*('Match Log'!$A$4:$A$810&lt;=$J189)),'Match Log'!$N$4:$N$810),NA()))</f>
        <v>#N/A</v>
      </c>
      <c r="U189" t="e">
        <f>IF($J189&gt;MAX('Match Log'!$A$4:$A$810),NA(),IFERROR(LOOKUP(2,1/(('Match Log'!$D$4:$D$810=$U$24)*('Match Log'!$A$4:$A$810&lt;=$J189)),'Match Log'!$N$4:$N$810),NA()))</f>
        <v>#N/A</v>
      </c>
      <c r="V189" t="e">
        <f>IF($J189&gt;MAX('Match Log'!$A$4:$A$810),NA(),IFERROR(LOOKUP(2,1/(('Match Log'!$D$4:$D$810=$V$24)*('Match Log'!$A$4:$A$810&lt;=$J189)),'Match Log'!$N$4:$N$810),NA()))</f>
        <v>#N/A</v>
      </c>
      <c r="W189" t="e">
        <f>IF($J189&gt;MAX('Match Log'!$A$4:$A$810),NA(),IFERROR(LOOKUP(2,1/(('Match Log'!$D$4:$D$810=$W$24)*('Match Log'!$A$4:$A$810&lt;=$J189)),'Match Log'!$N$4:$N$810),NA()))</f>
        <v>#N/A</v>
      </c>
      <c r="X189" t="e">
        <f>IF($J189&gt;MAX('Match Log'!$A$4:$A$810),NA(),IFERROR(LOOKUP(2,1/(('Match Log'!$D$4:$D$810=$X$24)*('Match Log'!$A$4:$A$810&lt;=$J189)),'Match Log'!$N$4:$N$810),NA()))</f>
        <v>#N/A</v>
      </c>
      <c r="Y189" t="str">
        <f t="shared" ca="1" si="30"/>
        <v/>
      </c>
    </row>
    <row r="190" spans="1:25" x14ac:dyDescent="0.2">
      <c r="A190">
        <v>166</v>
      </c>
      <c r="B190" t="str">
        <f>IFERROR(INDEX('Match Log'!$B$4:$B$810,MATCH(166,'Match Log'!$A$4:$A$810,0)),"")</f>
        <v/>
      </c>
      <c r="C190" t="str">
        <f>IFERROR(INDEX('Match Log'!$C$4:$C$810,MATCH(166,'Match Log'!$A$4:$A$810,0)),"")</f>
        <v/>
      </c>
      <c r="D190" t="str">
        <f t="array" ref="D190">IFERROR(_xlfn.TEXTJOIN(" + ",TRUE,IF(('Match Log'!$A$4:$A$810=$A190)*('Match Log'!$E$4:$E$810="Win"),'Match Log'!$D$4:$D$810,"")),IFERROR(LOOKUP(2,1/(('Match Log'!$A$4:$A$810=$A190)*('Match Log'!$E$4:$E$810="Win")),'Match Log'!$D$4:$D$810),""))</f>
        <v/>
      </c>
      <c r="E190" t="str">
        <f>IFERROR(INDEX('Match Log'!$F$4:$F$810,MATCH(166,'Match Log'!$A$4:$A$810,0)),"")</f>
        <v/>
      </c>
      <c r="F190">
        <f>IFERROR(SUMIFS('Match Log'!$I$4:$I$810,'Match Log'!$A$4:$A$810,166,'Match Log'!$E$4:$E$810,"Win"),"")</f>
        <v>0</v>
      </c>
      <c r="G190" t="str">
        <f t="shared" si="28"/>
        <v/>
      </c>
      <c r="H190" t="str">
        <f t="array" ref="H190">IFERROR(IF(COUNTIFS('Match Log'!$A$4:$A$810,$A190,'Match Log'!$E$4:$E$810,"Win")&gt;1,_xlfn.TEXTJOIN(" + ",TRUE,IF(('Match Log'!$A$4:$A$810=$A190)*('Match Log'!$E$4:$E$810="Loss"),'Match Log'!$D$4:$D$810,"")),IF($E190=2,LOOKUP(2,1/(('Match Log'!$A$4:$A$810=$A190)*('Match Log'!$E$4:$E$810="Loss")),'Match Log'!$D$4:$D$810),"the field")),"")</f>
        <v>the field</v>
      </c>
      <c r="I190" t="str">
        <f t="shared" si="29"/>
        <v/>
      </c>
      <c r="J190">
        <v>166</v>
      </c>
      <c r="K190" t="e">
        <f>IF($J190&gt;MAX('Match Log'!$A$4:$A$810),NA(),IFERROR(LOOKUP(2,1/(('Match Log'!$D$4:$D$810=$K$24)*('Match Log'!$A$4:$A$810&lt;=$J190)),'Match Log'!$N$4:$N$810),NA()))</f>
        <v>#N/A</v>
      </c>
      <c r="L190" t="e">
        <f>IF($J190&gt;MAX('Match Log'!$A$4:$A$810),NA(),IFERROR(LOOKUP(2,1/(('Match Log'!$D$4:$D$810=$L$24)*('Match Log'!$A$4:$A$810&lt;=$J190)),'Match Log'!$N$4:$N$810),NA()))</f>
        <v>#N/A</v>
      </c>
      <c r="M190" t="e">
        <f>IF($J190&gt;MAX('Match Log'!$A$4:$A$810),NA(),IFERROR(LOOKUP(2,1/(('Match Log'!$D$4:$D$810=$M$24)*('Match Log'!$A$4:$A$810&lt;=$J190)),'Match Log'!$N$4:$N$810),NA()))</f>
        <v>#N/A</v>
      </c>
      <c r="N190" t="e">
        <f>IF($J190&gt;MAX('Match Log'!$A$4:$A$810),NA(),IFERROR(LOOKUP(2,1/(('Match Log'!$D$4:$D$810=$N$24)*('Match Log'!$A$4:$A$810&lt;=$J190)),'Match Log'!$N$4:$N$810),NA()))</f>
        <v>#N/A</v>
      </c>
      <c r="O190" t="e">
        <f>IF($J190&gt;MAX('Match Log'!$A$4:$A$810),NA(),IFERROR(LOOKUP(2,1/(('Match Log'!$D$4:$D$810=$O$24)*('Match Log'!$A$4:$A$810&lt;=$J190)),'Match Log'!$N$4:$N$810),NA()))</f>
        <v>#N/A</v>
      </c>
      <c r="P190" t="e">
        <f>IF($J190&gt;MAX('Match Log'!$A$4:$A$810),NA(),IFERROR(LOOKUP(2,1/(('Match Log'!$D$4:$D$810=$P$24)*('Match Log'!$A$4:$A$810&lt;=$J190)),'Match Log'!$N$4:$N$810),NA()))</f>
        <v>#N/A</v>
      </c>
      <c r="Q190" t="e">
        <f>IF($J190&gt;MAX('Match Log'!$A$4:$A$810),NA(),IFERROR(LOOKUP(2,1/(('Match Log'!$D$4:$D$810=$Q$24)*('Match Log'!$A$4:$A$810&lt;=$J190)),'Match Log'!$N$4:$N$810),NA()))</f>
        <v>#N/A</v>
      </c>
      <c r="R190" t="e">
        <f>IF($J190&gt;MAX('Match Log'!$A$4:$A$810),NA(),IFERROR(LOOKUP(2,1/(('Match Log'!$D$4:$D$810=$R$24)*('Match Log'!$A$4:$A$810&lt;=$J190)),'Match Log'!$N$4:$N$810),NA()))</f>
        <v>#N/A</v>
      </c>
      <c r="S190" t="e">
        <f>IF($J190&gt;MAX('Match Log'!$A$4:$A$810),NA(),IFERROR(LOOKUP(2,1/(('Match Log'!$D$4:$D$810=$S$24)*('Match Log'!$A$4:$A$810&lt;=$J190)),'Match Log'!$N$4:$N$810),NA()))</f>
        <v>#N/A</v>
      </c>
      <c r="T190" t="e">
        <f>IF($J190&gt;MAX('Match Log'!$A$4:$A$810),NA(),IFERROR(LOOKUP(2,1/(('Match Log'!$D$4:$D$810=$T$24)*('Match Log'!$A$4:$A$810&lt;=$J190)),'Match Log'!$N$4:$N$810),NA()))</f>
        <v>#N/A</v>
      </c>
      <c r="U190" t="e">
        <f>IF($J190&gt;MAX('Match Log'!$A$4:$A$810),NA(),IFERROR(LOOKUP(2,1/(('Match Log'!$D$4:$D$810=$U$24)*('Match Log'!$A$4:$A$810&lt;=$J190)),'Match Log'!$N$4:$N$810),NA()))</f>
        <v>#N/A</v>
      </c>
      <c r="V190" t="e">
        <f>IF($J190&gt;MAX('Match Log'!$A$4:$A$810),NA(),IFERROR(LOOKUP(2,1/(('Match Log'!$D$4:$D$810=$V$24)*('Match Log'!$A$4:$A$810&lt;=$J190)),'Match Log'!$N$4:$N$810),NA()))</f>
        <v>#N/A</v>
      </c>
      <c r="W190" t="e">
        <f>IF($J190&gt;MAX('Match Log'!$A$4:$A$810),NA(),IFERROR(LOOKUP(2,1/(('Match Log'!$D$4:$D$810=$W$24)*('Match Log'!$A$4:$A$810&lt;=$J190)),'Match Log'!$N$4:$N$810),NA()))</f>
        <v>#N/A</v>
      </c>
      <c r="X190" t="e">
        <f>IF($J190&gt;MAX('Match Log'!$A$4:$A$810),NA(),IFERROR(LOOKUP(2,1/(('Match Log'!$D$4:$D$810=$X$24)*('Match Log'!$A$4:$A$810&lt;=$J190)),'Match Log'!$N$4:$N$810),NA()))</f>
        <v>#N/A</v>
      </c>
      <c r="Y190" t="str">
        <f t="shared" ca="1" si="30"/>
        <v/>
      </c>
    </row>
    <row r="191" spans="1:25" x14ac:dyDescent="0.2">
      <c r="A191">
        <v>167</v>
      </c>
      <c r="B191" t="str">
        <f>IFERROR(INDEX('Match Log'!$B$4:$B$810,MATCH(167,'Match Log'!$A$4:$A$810,0)),"")</f>
        <v/>
      </c>
      <c r="C191" t="str">
        <f>IFERROR(INDEX('Match Log'!$C$4:$C$810,MATCH(167,'Match Log'!$A$4:$A$810,0)),"")</f>
        <v/>
      </c>
      <c r="D191" t="str">
        <f t="array" ref="D191">IFERROR(_xlfn.TEXTJOIN(" + ",TRUE,IF(('Match Log'!$A$4:$A$810=$A191)*('Match Log'!$E$4:$E$810="Win"),'Match Log'!$D$4:$D$810,"")),IFERROR(LOOKUP(2,1/(('Match Log'!$A$4:$A$810=$A191)*('Match Log'!$E$4:$E$810="Win")),'Match Log'!$D$4:$D$810),""))</f>
        <v/>
      </c>
      <c r="E191" t="str">
        <f>IFERROR(INDEX('Match Log'!$F$4:$F$810,MATCH(167,'Match Log'!$A$4:$A$810,0)),"")</f>
        <v/>
      </c>
      <c r="F191">
        <f>IFERROR(SUMIFS('Match Log'!$I$4:$I$810,'Match Log'!$A$4:$A$810,167,'Match Log'!$E$4:$E$810,"Win"),"")</f>
        <v>0</v>
      </c>
      <c r="G191" t="str">
        <f t="shared" si="28"/>
        <v/>
      </c>
      <c r="H191" t="str">
        <f t="array" ref="H191">IFERROR(IF(COUNTIFS('Match Log'!$A$4:$A$810,$A191,'Match Log'!$E$4:$E$810,"Win")&gt;1,_xlfn.TEXTJOIN(" + ",TRUE,IF(('Match Log'!$A$4:$A$810=$A191)*('Match Log'!$E$4:$E$810="Loss"),'Match Log'!$D$4:$D$810,"")),IF($E191=2,LOOKUP(2,1/(('Match Log'!$A$4:$A$810=$A191)*('Match Log'!$E$4:$E$810="Loss")),'Match Log'!$D$4:$D$810),"the field")),"")</f>
        <v>the field</v>
      </c>
      <c r="I191" t="str">
        <f t="shared" si="29"/>
        <v/>
      </c>
      <c r="J191">
        <v>167</v>
      </c>
      <c r="K191" t="e">
        <f>IF($J191&gt;MAX('Match Log'!$A$4:$A$810),NA(),IFERROR(LOOKUP(2,1/(('Match Log'!$D$4:$D$810=$K$24)*('Match Log'!$A$4:$A$810&lt;=$J191)),'Match Log'!$N$4:$N$810),NA()))</f>
        <v>#N/A</v>
      </c>
      <c r="L191" t="e">
        <f>IF($J191&gt;MAX('Match Log'!$A$4:$A$810),NA(),IFERROR(LOOKUP(2,1/(('Match Log'!$D$4:$D$810=$L$24)*('Match Log'!$A$4:$A$810&lt;=$J191)),'Match Log'!$N$4:$N$810),NA()))</f>
        <v>#N/A</v>
      </c>
      <c r="M191" t="e">
        <f>IF($J191&gt;MAX('Match Log'!$A$4:$A$810),NA(),IFERROR(LOOKUP(2,1/(('Match Log'!$D$4:$D$810=$M$24)*('Match Log'!$A$4:$A$810&lt;=$J191)),'Match Log'!$N$4:$N$810),NA()))</f>
        <v>#N/A</v>
      </c>
      <c r="N191" t="e">
        <f>IF($J191&gt;MAX('Match Log'!$A$4:$A$810),NA(),IFERROR(LOOKUP(2,1/(('Match Log'!$D$4:$D$810=$N$24)*('Match Log'!$A$4:$A$810&lt;=$J191)),'Match Log'!$N$4:$N$810),NA()))</f>
        <v>#N/A</v>
      </c>
      <c r="O191" t="e">
        <f>IF($J191&gt;MAX('Match Log'!$A$4:$A$810),NA(),IFERROR(LOOKUP(2,1/(('Match Log'!$D$4:$D$810=$O$24)*('Match Log'!$A$4:$A$810&lt;=$J191)),'Match Log'!$N$4:$N$810),NA()))</f>
        <v>#N/A</v>
      </c>
      <c r="P191" t="e">
        <f>IF($J191&gt;MAX('Match Log'!$A$4:$A$810),NA(),IFERROR(LOOKUP(2,1/(('Match Log'!$D$4:$D$810=$P$24)*('Match Log'!$A$4:$A$810&lt;=$J191)),'Match Log'!$N$4:$N$810),NA()))</f>
        <v>#N/A</v>
      </c>
      <c r="Q191" t="e">
        <f>IF($J191&gt;MAX('Match Log'!$A$4:$A$810),NA(),IFERROR(LOOKUP(2,1/(('Match Log'!$D$4:$D$810=$Q$24)*('Match Log'!$A$4:$A$810&lt;=$J191)),'Match Log'!$N$4:$N$810),NA()))</f>
        <v>#N/A</v>
      </c>
      <c r="R191" t="e">
        <f>IF($J191&gt;MAX('Match Log'!$A$4:$A$810),NA(),IFERROR(LOOKUP(2,1/(('Match Log'!$D$4:$D$810=$R$24)*('Match Log'!$A$4:$A$810&lt;=$J191)),'Match Log'!$N$4:$N$810),NA()))</f>
        <v>#N/A</v>
      </c>
      <c r="S191" t="e">
        <f>IF($J191&gt;MAX('Match Log'!$A$4:$A$810),NA(),IFERROR(LOOKUP(2,1/(('Match Log'!$D$4:$D$810=$S$24)*('Match Log'!$A$4:$A$810&lt;=$J191)),'Match Log'!$N$4:$N$810),NA()))</f>
        <v>#N/A</v>
      </c>
      <c r="T191" t="e">
        <f>IF($J191&gt;MAX('Match Log'!$A$4:$A$810),NA(),IFERROR(LOOKUP(2,1/(('Match Log'!$D$4:$D$810=$T$24)*('Match Log'!$A$4:$A$810&lt;=$J191)),'Match Log'!$N$4:$N$810),NA()))</f>
        <v>#N/A</v>
      </c>
      <c r="U191" t="e">
        <f>IF($J191&gt;MAX('Match Log'!$A$4:$A$810),NA(),IFERROR(LOOKUP(2,1/(('Match Log'!$D$4:$D$810=$U$24)*('Match Log'!$A$4:$A$810&lt;=$J191)),'Match Log'!$N$4:$N$810),NA()))</f>
        <v>#N/A</v>
      </c>
      <c r="V191" t="e">
        <f>IF($J191&gt;MAX('Match Log'!$A$4:$A$810),NA(),IFERROR(LOOKUP(2,1/(('Match Log'!$D$4:$D$810=$V$24)*('Match Log'!$A$4:$A$810&lt;=$J191)),'Match Log'!$N$4:$N$810),NA()))</f>
        <v>#N/A</v>
      </c>
      <c r="W191" t="e">
        <f>IF($J191&gt;MAX('Match Log'!$A$4:$A$810),NA(),IFERROR(LOOKUP(2,1/(('Match Log'!$D$4:$D$810=$W$24)*('Match Log'!$A$4:$A$810&lt;=$J191)),'Match Log'!$N$4:$N$810),NA()))</f>
        <v>#N/A</v>
      </c>
      <c r="X191" t="e">
        <f>IF($J191&gt;MAX('Match Log'!$A$4:$A$810),NA(),IFERROR(LOOKUP(2,1/(('Match Log'!$D$4:$D$810=$X$24)*('Match Log'!$A$4:$A$810&lt;=$J191)),'Match Log'!$N$4:$N$810),NA()))</f>
        <v>#N/A</v>
      </c>
      <c r="Y191" t="str">
        <f t="shared" ca="1" si="30"/>
        <v/>
      </c>
    </row>
    <row r="192" spans="1:25" x14ac:dyDescent="0.2">
      <c r="A192">
        <v>168</v>
      </c>
      <c r="B192" t="str">
        <f>IFERROR(INDEX('Match Log'!$B$4:$B$810,MATCH(168,'Match Log'!$A$4:$A$810,0)),"")</f>
        <v/>
      </c>
      <c r="C192" t="str">
        <f>IFERROR(INDEX('Match Log'!$C$4:$C$810,MATCH(168,'Match Log'!$A$4:$A$810,0)),"")</f>
        <v/>
      </c>
      <c r="D192" t="str">
        <f t="array" ref="D192">IFERROR(_xlfn.TEXTJOIN(" + ",TRUE,IF(('Match Log'!$A$4:$A$810=$A192)*('Match Log'!$E$4:$E$810="Win"),'Match Log'!$D$4:$D$810,"")),IFERROR(LOOKUP(2,1/(('Match Log'!$A$4:$A$810=$A192)*('Match Log'!$E$4:$E$810="Win")),'Match Log'!$D$4:$D$810),""))</f>
        <v/>
      </c>
      <c r="E192" t="str">
        <f>IFERROR(INDEX('Match Log'!$F$4:$F$810,MATCH(168,'Match Log'!$A$4:$A$810,0)),"")</f>
        <v/>
      </c>
      <c r="F192">
        <f>IFERROR(SUMIFS('Match Log'!$I$4:$I$810,'Match Log'!$A$4:$A$810,168,'Match Log'!$E$4:$E$810,"Win"),"")</f>
        <v>0</v>
      </c>
      <c r="G192" t="str">
        <f t="shared" si="28"/>
        <v/>
      </c>
      <c r="H192" t="str">
        <f t="array" ref="H192">IFERROR(IF(COUNTIFS('Match Log'!$A$4:$A$810,$A192,'Match Log'!$E$4:$E$810,"Win")&gt;1,_xlfn.TEXTJOIN(" + ",TRUE,IF(('Match Log'!$A$4:$A$810=$A192)*('Match Log'!$E$4:$E$810="Loss"),'Match Log'!$D$4:$D$810,"")),IF($E192=2,LOOKUP(2,1/(('Match Log'!$A$4:$A$810=$A192)*('Match Log'!$E$4:$E$810="Loss")),'Match Log'!$D$4:$D$810),"the field")),"")</f>
        <v>the field</v>
      </c>
      <c r="I192" t="str">
        <f t="shared" si="29"/>
        <v/>
      </c>
      <c r="J192">
        <v>168</v>
      </c>
      <c r="K192" t="e">
        <f>IF($J192&gt;MAX('Match Log'!$A$4:$A$810),NA(),IFERROR(LOOKUP(2,1/(('Match Log'!$D$4:$D$810=$K$24)*('Match Log'!$A$4:$A$810&lt;=$J192)),'Match Log'!$N$4:$N$810),NA()))</f>
        <v>#N/A</v>
      </c>
      <c r="L192" t="e">
        <f>IF($J192&gt;MAX('Match Log'!$A$4:$A$810),NA(),IFERROR(LOOKUP(2,1/(('Match Log'!$D$4:$D$810=$L$24)*('Match Log'!$A$4:$A$810&lt;=$J192)),'Match Log'!$N$4:$N$810),NA()))</f>
        <v>#N/A</v>
      </c>
      <c r="M192" t="e">
        <f>IF($J192&gt;MAX('Match Log'!$A$4:$A$810),NA(),IFERROR(LOOKUP(2,1/(('Match Log'!$D$4:$D$810=$M$24)*('Match Log'!$A$4:$A$810&lt;=$J192)),'Match Log'!$N$4:$N$810),NA()))</f>
        <v>#N/A</v>
      </c>
      <c r="N192" t="e">
        <f>IF($J192&gt;MAX('Match Log'!$A$4:$A$810),NA(),IFERROR(LOOKUP(2,1/(('Match Log'!$D$4:$D$810=$N$24)*('Match Log'!$A$4:$A$810&lt;=$J192)),'Match Log'!$N$4:$N$810),NA()))</f>
        <v>#N/A</v>
      </c>
      <c r="O192" t="e">
        <f>IF($J192&gt;MAX('Match Log'!$A$4:$A$810),NA(),IFERROR(LOOKUP(2,1/(('Match Log'!$D$4:$D$810=$O$24)*('Match Log'!$A$4:$A$810&lt;=$J192)),'Match Log'!$N$4:$N$810),NA()))</f>
        <v>#N/A</v>
      </c>
      <c r="P192" t="e">
        <f>IF($J192&gt;MAX('Match Log'!$A$4:$A$810),NA(),IFERROR(LOOKUP(2,1/(('Match Log'!$D$4:$D$810=$P$24)*('Match Log'!$A$4:$A$810&lt;=$J192)),'Match Log'!$N$4:$N$810),NA()))</f>
        <v>#N/A</v>
      </c>
      <c r="Q192" t="e">
        <f>IF($J192&gt;MAX('Match Log'!$A$4:$A$810),NA(),IFERROR(LOOKUP(2,1/(('Match Log'!$D$4:$D$810=$Q$24)*('Match Log'!$A$4:$A$810&lt;=$J192)),'Match Log'!$N$4:$N$810),NA()))</f>
        <v>#N/A</v>
      </c>
      <c r="R192" t="e">
        <f>IF($J192&gt;MAX('Match Log'!$A$4:$A$810),NA(),IFERROR(LOOKUP(2,1/(('Match Log'!$D$4:$D$810=$R$24)*('Match Log'!$A$4:$A$810&lt;=$J192)),'Match Log'!$N$4:$N$810),NA()))</f>
        <v>#N/A</v>
      </c>
      <c r="S192" t="e">
        <f>IF($J192&gt;MAX('Match Log'!$A$4:$A$810),NA(),IFERROR(LOOKUP(2,1/(('Match Log'!$D$4:$D$810=$S$24)*('Match Log'!$A$4:$A$810&lt;=$J192)),'Match Log'!$N$4:$N$810),NA()))</f>
        <v>#N/A</v>
      </c>
      <c r="T192" t="e">
        <f>IF($J192&gt;MAX('Match Log'!$A$4:$A$810),NA(),IFERROR(LOOKUP(2,1/(('Match Log'!$D$4:$D$810=$T$24)*('Match Log'!$A$4:$A$810&lt;=$J192)),'Match Log'!$N$4:$N$810),NA()))</f>
        <v>#N/A</v>
      </c>
      <c r="U192" t="e">
        <f>IF($J192&gt;MAX('Match Log'!$A$4:$A$810),NA(),IFERROR(LOOKUP(2,1/(('Match Log'!$D$4:$D$810=$U$24)*('Match Log'!$A$4:$A$810&lt;=$J192)),'Match Log'!$N$4:$N$810),NA()))</f>
        <v>#N/A</v>
      </c>
      <c r="V192" t="e">
        <f>IF($J192&gt;MAX('Match Log'!$A$4:$A$810),NA(),IFERROR(LOOKUP(2,1/(('Match Log'!$D$4:$D$810=$V$24)*('Match Log'!$A$4:$A$810&lt;=$J192)),'Match Log'!$N$4:$N$810),NA()))</f>
        <v>#N/A</v>
      </c>
      <c r="W192" t="e">
        <f>IF($J192&gt;MAX('Match Log'!$A$4:$A$810),NA(),IFERROR(LOOKUP(2,1/(('Match Log'!$D$4:$D$810=$W$24)*('Match Log'!$A$4:$A$810&lt;=$J192)),'Match Log'!$N$4:$N$810),NA()))</f>
        <v>#N/A</v>
      </c>
      <c r="X192" t="e">
        <f>IF($J192&gt;MAX('Match Log'!$A$4:$A$810),NA(),IFERROR(LOOKUP(2,1/(('Match Log'!$D$4:$D$810=$X$24)*('Match Log'!$A$4:$A$810&lt;=$J192)),'Match Log'!$N$4:$N$810),NA()))</f>
        <v>#N/A</v>
      </c>
      <c r="Y192" t="str">
        <f t="shared" ca="1" si="30"/>
        <v/>
      </c>
    </row>
    <row r="193" spans="1:25" x14ac:dyDescent="0.2">
      <c r="A193">
        <v>169</v>
      </c>
      <c r="B193" t="str">
        <f>IFERROR(INDEX('Match Log'!$B$4:$B$810,MATCH(169,'Match Log'!$A$4:$A$810,0)),"")</f>
        <v/>
      </c>
      <c r="C193" t="str">
        <f>IFERROR(INDEX('Match Log'!$C$4:$C$810,MATCH(169,'Match Log'!$A$4:$A$810,0)),"")</f>
        <v/>
      </c>
      <c r="D193" t="str">
        <f t="array" ref="D193">IFERROR(_xlfn.TEXTJOIN(" + ",TRUE,IF(('Match Log'!$A$4:$A$810=$A193)*('Match Log'!$E$4:$E$810="Win"),'Match Log'!$D$4:$D$810,"")),IFERROR(LOOKUP(2,1/(('Match Log'!$A$4:$A$810=$A193)*('Match Log'!$E$4:$E$810="Win")),'Match Log'!$D$4:$D$810),""))</f>
        <v/>
      </c>
      <c r="E193" t="str">
        <f>IFERROR(INDEX('Match Log'!$F$4:$F$810,MATCH(169,'Match Log'!$A$4:$A$810,0)),"")</f>
        <v/>
      </c>
      <c r="F193">
        <f>IFERROR(SUMIFS('Match Log'!$I$4:$I$810,'Match Log'!$A$4:$A$810,169,'Match Log'!$E$4:$E$810,"Win"),"")</f>
        <v>0</v>
      </c>
      <c r="G193" t="str">
        <f t="shared" si="28"/>
        <v/>
      </c>
      <c r="H193" t="str">
        <f t="array" ref="H193">IFERROR(IF(COUNTIFS('Match Log'!$A$4:$A$810,$A193,'Match Log'!$E$4:$E$810,"Win")&gt;1,_xlfn.TEXTJOIN(" + ",TRUE,IF(('Match Log'!$A$4:$A$810=$A193)*('Match Log'!$E$4:$E$810="Loss"),'Match Log'!$D$4:$D$810,"")),IF($E193=2,LOOKUP(2,1/(('Match Log'!$A$4:$A$810=$A193)*('Match Log'!$E$4:$E$810="Loss")),'Match Log'!$D$4:$D$810),"the field")),"")</f>
        <v>the field</v>
      </c>
      <c r="I193" t="str">
        <f t="shared" si="29"/>
        <v/>
      </c>
      <c r="J193">
        <v>169</v>
      </c>
      <c r="K193" t="e">
        <f>IF($J193&gt;MAX('Match Log'!$A$4:$A$810),NA(),IFERROR(LOOKUP(2,1/(('Match Log'!$D$4:$D$810=$K$24)*('Match Log'!$A$4:$A$810&lt;=$J193)),'Match Log'!$N$4:$N$810),NA()))</f>
        <v>#N/A</v>
      </c>
      <c r="L193" t="e">
        <f>IF($J193&gt;MAX('Match Log'!$A$4:$A$810),NA(),IFERROR(LOOKUP(2,1/(('Match Log'!$D$4:$D$810=$L$24)*('Match Log'!$A$4:$A$810&lt;=$J193)),'Match Log'!$N$4:$N$810),NA()))</f>
        <v>#N/A</v>
      </c>
      <c r="M193" t="e">
        <f>IF($J193&gt;MAX('Match Log'!$A$4:$A$810),NA(),IFERROR(LOOKUP(2,1/(('Match Log'!$D$4:$D$810=$M$24)*('Match Log'!$A$4:$A$810&lt;=$J193)),'Match Log'!$N$4:$N$810),NA()))</f>
        <v>#N/A</v>
      </c>
      <c r="N193" t="e">
        <f>IF($J193&gt;MAX('Match Log'!$A$4:$A$810),NA(),IFERROR(LOOKUP(2,1/(('Match Log'!$D$4:$D$810=$N$24)*('Match Log'!$A$4:$A$810&lt;=$J193)),'Match Log'!$N$4:$N$810),NA()))</f>
        <v>#N/A</v>
      </c>
      <c r="O193" t="e">
        <f>IF($J193&gt;MAX('Match Log'!$A$4:$A$810),NA(),IFERROR(LOOKUP(2,1/(('Match Log'!$D$4:$D$810=$O$24)*('Match Log'!$A$4:$A$810&lt;=$J193)),'Match Log'!$N$4:$N$810),NA()))</f>
        <v>#N/A</v>
      </c>
      <c r="P193" t="e">
        <f>IF($J193&gt;MAX('Match Log'!$A$4:$A$810),NA(),IFERROR(LOOKUP(2,1/(('Match Log'!$D$4:$D$810=$P$24)*('Match Log'!$A$4:$A$810&lt;=$J193)),'Match Log'!$N$4:$N$810),NA()))</f>
        <v>#N/A</v>
      </c>
      <c r="Q193" t="e">
        <f>IF($J193&gt;MAX('Match Log'!$A$4:$A$810),NA(),IFERROR(LOOKUP(2,1/(('Match Log'!$D$4:$D$810=$Q$24)*('Match Log'!$A$4:$A$810&lt;=$J193)),'Match Log'!$N$4:$N$810),NA()))</f>
        <v>#N/A</v>
      </c>
      <c r="R193" t="e">
        <f>IF($J193&gt;MAX('Match Log'!$A$4:$A$810),NA(),IFERROR(LOOKUP(2,1/(('Match Log'!$D$4:$D$810=$R$24)*('Match Log'!$A$4:$A$810&lt;=$J193)),'Match Log'!$N$4:$N$810),NA()))</f>
        <v>#N/A</v>
      </c>
      <c r="S193" t="e">
        <f>IF($J193&gt;MAX('Match Log'!$A$4:$A$810),NA(),IFERROR(LOOKUP(2,1/(('Match Log'!$D$4:$D$810=$S$24)*('Match Log'!$A$4:$A$810&lt;=$J193)),'Match Log'!$N$4:$N$810),NA()))</f>
        <v>#N/A</v>
      </c>
      <c r="T193" t="e">
        <f>IF($J193&gt;MAX('Match Log'!$A$4:$A$810),NA(),IFERROR(LOOKUP(2,1/(('Match Log'!$D$4:$D$810=$T$24)*('Match Log'!$A$4:$A$810&lt;=$J193)),'Match Log'!$N$4:$N$810),NA()))</f>
        <v>#N/A</v>
      </c>
      <c r="U193" t="e">
        <f>IF($J193&gt;MAX('Match Log'!$A$4:$A$810),NA(),IFERROR(LOOKUP(2,1/(('Match Log'!$D$4:$D$810=$U$24)*('Match Log'!$A$4:$A$810&lt;=$J193)),'Match Log'!$N$4:$N$810),NA()))</f>
        <v>#N/A</v>
      </c>
      <c r="V193" t="e">
        <f>IF($J193&gt;MAX('Match Log'!$A$4:$A$810),NA(),IFERROR(LOOKUP(2,1/(('Match Log'!$D$4:$D$810=$V$24)*('Match Log'!$A$4:$A$810&lt;=$J193)),'Match Log'!$N$4:$N$810),NA()))</f>
        <v>#N/A</v>
      </c>
      <c r="W193" t="e">
        <f>IF($J193&gt;MAX('Match Log'!$A$4:$A$810),NA(),IFERROR(LOOKUP(2,1/(('Match Log'!$D$4:$D$810=$W$24)*('Match Log'!$A$4:$A$810&lt;=$J193)),'Match Log'!$N$4:$N$810),NA()))</f>
        <v>#N/A</v>
      </c>
      <c r="X193" t="e">
        <f>IF($J193&gt;MAX('Match Log'!$A$4:$A$810),NA(),IFERROR(LOOKUP(2,1/(('Match Log'!$D$4:$D$810=$X$24)*('Match Log'!$A$4:$A$810&lt;=$J193)),'Match Log'!$N$4:$N$810),NA()))</f>
        <v>#N/A</v>
      </c>
      <c r="Y193" t="str">
        <f t="shared" ca="1" si="30"/>
        <v/>
      </c>
    </row>
    <row r="194" spans="1:25" x14ac:dyDescent="0.2">
      <c r="A194">
        <v>170</v>
      </c>
      <c r="B194" t="str">
        <f>IFERROR(INDEX('Match Log'!$B$4:$B$810,MATCH(170,'Match Log'!$A$4:$A$810,0)),"")</f>
        <v/>
      </c>
      <c r="C194" t="str">
        <f>IFERROR(INDEX('Match Log'!$C$4:$C$810,MATCH(170,'Match Log'!$A$4:$A$810,0)),"")</f>
        <v/>
      </c>
      <c r="D194" t="str">
        <f t="array" ref="D194">IFERROR(_xlfn.TEXTJOIN(" + ",TRUE,IF(('Match Log'!$A$4:$A$810=$A194)*('Match Log'!$E$4:$E$810="Win"),'Match Log'!$D$4:$D$810,"")),IFERROR(LOOKUP(2,1/(('Match Log'!$A$4:$A$810=$A194)*('Match Log'!$E$4:$E$810="Win")),'Match Log'!$D$4:$D$810),""))</f>
        <v/>
      </c>
      <c r="E194" t="str">
        <f>IFERROR(INDEX('Match Log'!$F$4:$F$810,MATCH(170,'Match Log'!$A$4:$A$810,0)),"")</f>
        <v/>
      </c>
      <c r="F194">
        <f>IFERROR(SUMIFS('Match Log'!$I$4:$I$810,'Match Log'!$A$4:$A$810,170,'Match Log'!$E$4:$E$810,"Win"),"")</f>
        <v>0</v>
      </c>
      <c r="G194" t="str">
        <f t="shared" si="28"/>
        <v/>
      </c>
      <c r="H194" t="str">
        <f t="array" ref="H194">IFERROR(IF(COUNTIFS('Match Log'!$A$4:$A$810,$A194,'Match Log'!$E$4:$E$810,"Win")&gt;1,_xlfn.TEXTJOIN(" + ",TRUE,IF(('Match Log'!$A$4:$A$810=$A194)*('Match Log'!$E$4:$E$810="Loss"),'Match Log'!$D$4:$D$810,"")),IF($E194=2,LOOKUP(2,1/(('Match Log'!$A$4:$A$810=$A194)*('Match Log'!$E$4:$E$810="Loss")),'Match Log'!$D$4:$D$810),"the field")),"")</f>
        <v>the field</v>
      </c>
      <c r="I194" t="str">
        <f t="shared" si="29"/>
        <v/>
      </c>
      <c r="J194">
        <v>170</v>
      </c>
      <c r="K194" t="e">
        <f>IF($J194&gt;MAX('Match Log'!$A$4:$A$810),NA(),IFERROR(LOOKUP(2,1/(('Match Log'!$D$4:$D$810=$K$24)*('Match Log'!$A$4:$A$810&lt;=$J194)),'Match Log'!$N$4:$N$810),NA()))</f>
        <v>#N/A</v>
      </c>
      <c r="L194" t="e">
        <f>IF($J194&gt;MAX('Match Log'!$A$4:$A$810),NA(),IFERROR(LOOKUP(2,1/(('Match Log'!$D$4:$D$810=$L$24)*('Match Log'!$A$4:$A$810&lt;=$J194)),'Match Log'!$N$4:$N$810),NA()))</f>
        <v>#N/A</v>
      </c>
      <c r="M194" t="e">
        <f>IF($J194&gt;MAX('Match Log'!$A$4:$A$810),NA(),IFERROR(LOOKUP(2,1/(('Match Log'!$D$4:$D$810=$M$24)*('Match Log'!$A$4:$A$810&lt;=$J194)),'Match Log'!$N$4:$N$810),NA()))</f>
        <v>#N/A</v>
      </c>
      <c r="N194" t="e">
        <f>IF($J194&gt;MAX('Match Log'!$A$4:$A$810),NA(),IFERROR(LOOKUP(2,1/(('Match Log'!$D$4:$D$810=$N$24)*('Match Log'!$A$4:$A$810&lt;=$J194)),'Match Log'!$N$4:$N$810),NA()))</f>
        <v>#N/A</v>
      </c>
      <c r="O194" t="e">
        <f>IF($J194&gt;MAX('Match Log'!$A$4:$A$810),NA(),IFERROR(LOOKUP(2,1/(('Match Log'!$D$4:$D$810=$O$24)*('Match Log'!$A$4:$A$810&lt;=$J194)),'Match Log'!$N$4:$N$810),NA()))</f>
        <v>#N/A</v>
      </c>
      <c r="P194" t="e">
        <f>IF($J194&gt;MAX('Match Log'!$A$4:$A$810),NA(),IFERROR(LOOKUP(2,1/(('Match Log'!$D$4:$D$810=$P$24)*('Match Log'!$A$4:$A$810&lt;=$J194)),'Match Log'!$N$4:$N$810),NA()))</f>
        <v>#N/A</v>
      </c>
      <c r="Q194" t="e">
        <f>IF($J194&gt;MAX('Match Log'!$A$4:$A$810),NA(),IFERROR(LOOKUP(2,1/(('Match Log'!$D$4:$D$810=$Q$24)*('Match Log'!$A$4:$A$810&lt;=$J194)),'Match Log'!$N$4:$N$810),NA()))</f>
        <v>#N/A</v>
      </c>
      <c r="R194" t="e">
        <f>IF($J194&gt;MAX('Match Log'!$A$4:$A$810),NA(),IFERROR(LOOKUP(2,1/(('Match Log'!$D$4:$D$810=$R$24)*('Match Log'!$A$4:$A$810&lt;=$J194)),'Match Log'!$N$4:$N$810),NA()))</f>
        <v>#N/A</v>
      </c>
      <c r="S194" t="e">
        <f>IF($J194&gt;MAX('Match Log'!$A$4:$A$810),NA(),IFERROR(LOOKUP(2,1/(('Match Log'!$D$4:$D$810=$S$24)*('Match Log'!$A$4:$A$810&lt;=$J194)),'Match Log'!$N$4:$N$810),NA()))</f>
        <v>#N/A</v>
      </c>
      <c r="T194" t="e">
        <f>IF($J194&gt;MAX('Match Log'!$A$4:$A$810),NA(),IFERROR(LOOKUP(2,1/(('Match Log'!$D$4:$D$810=$T$24)*('Match Log'!$A$4:$A$810&lt;=$J194)),'Match Log'!$N$4:$N$810),NA()))</f>
        <v>#N/A</v>
      </c>
      <c r="U194" t="e">
        <f>IF($J194&gt;MAX('Match Log'!$A$4:$A$810),NA(),IFERROR(LOOKUP(2,1/(('Match Log'!$D$4:$D$810=$U$24)*('Match Log'!$A$4:$A$810&lt;=$J194)),'Match Log'!$N$4:$N$810),NA()))</f>
        <v>#N/A</v>
      </c>
      <c r="V194" t="e">
        <f>IF($J194&gt;MAX('Match Log'!$A$4:$A$810),NA(),IFERROR(LOOKUP(2,1/(('Match Log'!$D$4:$D$810=$V$24)*('Match Log'!$A$4:$A$810&lt;=$J194)),'Match Log'!$N$4:$N$810),NA()))</f>
        <v>#N/A</v>
      </c>
      <c r="W194" t="e">
        <f>IF($J194&gt;MAX('Match Log'!$A$4:$A$810),NA(),IFERROR(LOOKUP(2,1/(('Match Log'!$D$4:$D$810=$W$24)*('Match Log'!$A$4:$A$810&lt;=$J194)),'Match Log'!$N$4:$N$810),NA()))</f>
        <v>#N/A</v>
      </c>
      <c r="X194" t="e">
        <f>IF($J194&gt;MAX('Match Log'!$A$4:$A$810),NA(),IFERROR(LOOKUP(2,1/(('Match Log'!$D$4:$D$810=$X$24)*('Match Log'!$A$4:$A$810&lt;=$J194)),'Match Log'!$N$4:$N$810),NA()))</f>
        <v>#N/A</v>
      </c>
      <c r="Y194" t="str">
        <f t="shared" ca="1" si="30"/>
        <v/>
      </c>
    </row>
    <row r="195" spans="1:25" x14ac:dyDescent="0.2">
      <c r="A195">
        <v>171</v>
      </c>
      <c r="B195" t="str">
        <f>IFERROR(INDEX('Match Log'!$B$4:$B$810,MATCH(171,'Match Log'!$A$4:$A$810,0)),"")</f>
        <v/>
      </c>
      <c r="C195" t="str">
        <f>IFERROR(INDEX('Match Log'!$C$4:$C$810,MATCH(171,'Match Log'!$A$4:$A$810,0)),"")</f>
        <v/>
      </c>
      <c r="D195" t="str">
        <f t="array" ref="D195">IFERROR(_xlfn.TEXTJOIN(" + ",TRUE,IF(('Match Log'!$A$4:$A$810=$A195)*('Match Log'!$E$4:$E$810="Win"),'Match Log'!$D$4:$D$810,"")),IFERROR(LOOKUP(2,1/(('Match Log'!$A$4:$A$810=$A195)*('Match Log'!$E$4:$E$810="Win")),'Match Log'!$D$4:$D$810),""))</f>
        <v/>
      </c>
      <c r="E195" t="str">
        <f>IFERROR(INDEX('Match Log'!$F$4:$F$810,MATCH(171,'Match Log'!$A$4:$A$810,0)),"")</f>
        <v/>
      </c>
      <c r="F195">
        <f>IFERROR(SUMIFS('Match Log'!$I$4:$I$810,'Match Log'!$A$4:$A$810,171,'Match Log'!$E$4:$E$810,"Win"),"")</f>
        <v>0</v>
      </c>
      <c r="G195" t="str">
        <f t="shared" si="28"/>
        <v/>
      </c>
      <c r="H195" t="str">
        <f t="array" ref="H195">IFERROR(IF(COUNTIFS('Match Log'!$A$4:$A$810,$A195,'Match Log'!$E$4:$E$810,"Win")&gt;1,_xlfn.TEXTJOIN(" + ",TRUE,IF(('Match Log'!$A$4:$A$810=$A195)*('Match Log'!$E$4:$E$810="Loss"),'Match Log'!$D$4:$D$810,"")),IF($E195=2,LOOKUP(2,1/(('Match Log'!$A$4:$A$810=$A195)*('Match Log'!$E$4:$E$810="Loss")),'Match Log'!$D$4:$D$810),"the field")),"")</f>
        <v>the field</v>
      </c>
      <c r="I195" t="str">
        <f t="shared" si="29"/>
        <v/>
      </c>
      <c r="J195">
        <v>171</v>
      </c>
      <c r="K195" t="e">
        <f>IF($J195&gt;MAX('Match Log'!$A$4:$A$810),NA(),IFERROR(LOOKUP(2,1/(('Match Log'!$D$4:$D$810=$K$24)*('Match Log'!$A$4:$A$810&lt;=$J195)),'Match Log'!$N$4:$N$810),NA()))</f>
        <v>#N/A</v>
      </c>
      <c r="L195" t="e">
        <f>IF($J195&gt;MAX('Match Log'!$A$4:$A$810),NA(),IFERROR(LOOKUP(2,1/(('Match Log'!$D$4:$D$810=$L$24)*('Match Log'!$A$4:$A$810&lt;=$J195)),'Match Log'!$N$4:$N$810),NA()))</f>
        <v>#N/A</v>
      </c>
      <c r="M195" t="e">
        <f>IF($J195&gt;MAX('Match Log'!$A$4:$A$810),NA(),IFERROR(LOOKUP(2,1/(('Match Log'!$D$4:$D$810=$M$24)*('Match Log'!$A$4:$A$810&lt;=$J195)),'Match Log'!$N$4:$N$810),NA()))</f>
        <v>#N/A</v>
      </c>
      <c r="N195" t="e">
        <f>IF($J195&gt;MAX('Match Log'!$A$4:$A$810),NA(),IFERROR(LOOKUP(2,1/(('Match Log'!$D$4:$D$810=$N$24)*('Match Log'!$A$4:$A$810&lt;=$J195)),'Match Log'!$N$4:$N$810),NA()))</f>
        <v>#N/A</v>
      </c>
      <c r="O195" t="e">
        <f>IF($J195&gt;MAX('Match Log'!$A$4:$A$810),NA(),IFERROR(LOOKUP(2,1/(('Match Log'!$D$4:$D$810=$O$24)*('Match Log'!$A$4:$A$810&lt;=$J195)),'Match Log'!$N$4:$N$810),NA()))</f>
        <v>#N/A</v>
      </c>
      <c r="P195" t="e">
        <f>IF($J195&gt;MAX('Match Log'!$A$4:$A$810),NA(),IFERROR(LOOKUP(2,1/(('Match Log'!$D$4:$D$810=$P$24)*('Match Log'!$A$4:$A$810&lt;=$J195)),'Match Log'!$N$4:$N$810),NA()))</f>
        <v>#N/A</v>
      </c>
      <c r="Q195" t="e">
        <f>IF($J195&gt;MAX('Match Log'!$A$4:$A$810),NA(),IFERROR(LOOKUP(2,1/(('Match Log'!$D$4:$D$810=$Q$24)*('Match Log'!$A$4:$A$810&lt;=$J195)),'Match Log'!$N$4:$N$810),NA()))</f>
        <v>#N/A</v>
      </c>
      <c r="R195" t="e">
        <f>IF($J195&gt;MAX('Match Log'!$A$4:$A$810),NA(),IFERROR(LOOKUP(2,1/(('Match Log'!$D$4:$D$810=$R$24)*('Match Log'!$A$4:$A$810&lt;=$J195)),'Match Log'!$N$4:$N$810),NA()))</f>
        <v>#N/A</v>
      </c>
      <c r="S195" t="e">
        <f>IF($J195&gt;MAX('Match Log'!$A$4:$A$810),NA(),IFERROR(LOOKUP(2,1/(('Match Log'!$D$4:$D$810=$S$24)*('Match Log'!$A$4:$A$810&lt;=$J195)),'Match Log'!$N$4:$N$810),NA()))</f>
        <v>#N/A</v>
      </c>
      <c r="T195" t="e">
        <f>IF($J195&gt;MAX('Match Log'!$A$4:$A$810),NA(),IFERROR(LOOKUP(2,1/(('Match Log'!$D$4:$D$810=$T$24)*('Match Log'!$A$4:$A$810&lt;=$J195)),'Match Log'!$N$4:$N$810),NA()))</f>
        <v>#N/A</v>
      </c>
      <c r="U195" t="e">
        <f>IF($J195&gt;MAX('Match Log'!$A$4:$A$810),NA(),IFERROR(LOOKUP(2,1/(('Match Log'!$D$4:$D$810=$U$24)*('Match Log'!$A$4:$A$810&lt;=$J195)),'Match Log'!$N$4:$N$810),NA()))</f>
        <v>#N/A</v>
      </c>
      <c r="V195" t="e">
        <f>IF($J195&gt;MAX('Match Log'!$A$4:$A$810),NA(),IFERROR(LOOKUP(2,1/(('Match Log'!$D$4:$D$810=$V$24)*('Match Log'!$A$4:$A$810&lt;=$J195)),'Match Log'!$N$4:$N$810),NA()))</f>
        <v>#N/A</v>
      </c>
      <c r="W195" t="e">
        <f>IF($J195&gt;MAX('Match Log'!$A$4:$A$810),NA(),IFERROR(LOOKUP(2,1/(('Match Log'!$D$4:$D$810=$W$24)*('Match Log'!$A$4:$A$810&lt;=$J195)),'Match Log'!$N$4:$N$810),NA()))</f>
        <v>#N/A</v>
      </c>
      <c r="X195" t="e">
        <f>IF($J195&gt;MAX('Match Log'!$A$4:$A$810),NA(),IFERROR(LOOKUP(2,1/(('Match Log'!$D$4:$D$810=$X$24)*('Match Log'!$A$4:$A$810&lt;=$J195)),'Match Log'!$N$4:$N$810),NA()))</f>
        <v>#N/A</v>
      </c>
      <c r="Y195" t="str">
        <f t="shared" ca="1" si="30"/>
        <v/>
      </c>
    </row>
    <row r="196" spans="1:25" x14ac:dyDescent="0.2">
      <c r="A196">
        <v>172</v>
      </c>
      <c r="B196" t="str">
        <f>IFERROR(INDEX('Match Log'!$B$4:$B$810,MATCH(172,'Match Log'!$A$4:$A$810,0)),"")</f>
        <v/>
      </c>
      <c r="C196" t="str">
        <f>IFERROR(INDEX('Match Log'!$C$4:$C$810,MATCH(172,'Match Log'!$A$4:$A$810,0)),"")</f>
        <v/>
      </c>
      <c r="D196" t="str">
        <f t="array" ref="D196">IFERROR(_xlfn.TEXTJOIN(" + ",TRUE,IF(('Match Log'!$A$4:$A$810=$A196)*('Match Log'!$E$4:$E$810="Win"),'Match Log'!$D$4:$D$810,"")),IFERROR(LOOKUP(2,1/(('Match Log'!$A$4:$A$810=$A196)*('Match Log'!$E$4:$E$810="Win")),'Match Log'!$D$4:$D$810),""))</f>
        <v/>
      </c>
      <c r="E196" t="str">
        <f>IFERROR(INDEX('Match Log'!$F$4:$F$810,MATCH(172,'Match Log'!$A$4:$A$810,0)),"")</f>
        <v/>
      </c>
      <c r="F196">
        <f>IFERROR(SUMIFS('Match Log'!$I$4:$I$810,'Match Log'!$A$4:$A$810,172,'Match Log'!$E$4:$E$810,"Win"),"")</f>
        <v>0</v>
      </c>
      <c r="G196" t="str">
        <f t="shared" si="28"/>
        <v/>
      </c>
      <c r="H196" t="str">
        <f t="array" ref="H196">IFERROR(IF(COUNTIFS('Match Log'!$A$4:$A$810,$A196,'Match Log'!$E$4:$E$810,"Win")&gt;1,_xlfn.TEXTJOIN(" + ",TRUE,IF(('Match Log'!$A$4:$A$810=$A196)*('Match Log'!$E$4:$E$810="Loss"),'Match Log'!$D$4:$D$810,"")),IF($E196=2,LOOKUP(2,1/(('Match Log'!$A$4:$A$810=$A196)*('Match Log'!$E$4:$E$810="Loss")),'Match Log'!$D$4:$D$810),"the field")),"")</f>
        <v>the field</v>
      </c>
      <c r="I196" t="str">
        <f t="shared" si="29"/>
        <v/>
      </c>
      <c r="J196">
        <v>172</v>
      </c>
      <c r="K196" t="e">
        <f>IF($J196&gt;MAX('Match Log'!$A$4:$A$810),NA(),IFERROR(LOOKUP(2,1/(('Match Log'!$D$4:$D$810=$K$24)*('Match Log'!$A$4:$A$810&lt;=$J196)),'Match Log'!$N$4:$N$810),NA()))</f>
        <v>#N/A</v>
      </c>
      <c r="L196" t="e">
        <f>IF($J196&gt;MAX('Match Log'!$A$4:$A$810),NA(),IFERROR(LOOKUP(2,1/(('Match Log'!$D$4:$D$810=$L$24)*('Match Log'!$A$4:$A$810&lt;=$J196)),'Match Log'!$N$4:$N$810),NA()))</f>
        <v>#N/A</v>
      </c>
      <c r="M196" t="e">
        <f>IF($J196&gt;MAX('Match Log'!$A$4:$A$810),NA(),IFERROR(LOOKUP(2,1/(('Match Log'!$D$4:$D$810=$M$24)*('Match Log'!$A$4:$A$810&lt;=$J196)),'Match Log'!$N$4:$N$810),NA()))</f>
        <v>#N/A</v>
      </c>
      <c r="N196" t="e">
        <f>IF($J196&gt;MAX('Match Log'!$A$4:$A$810),NA(),IFERROR(LOOKUP(2,1/(('Match Log'!$D$4:$D$810=$N$24)*('Match Log'!$A$4:$A$810&lt;=$J196)),'Match Log'!$N$4:$N$810),NA()))</f>
        <v>#N/A</v>
      </c>
      <c r="O196" t="e">
        <f>IF($J196&gt;MAX('Match Log'!$A$4:$A$810),NA(),IFERROR(LOOKUP(2,1/(('Match Log'!$D$4:$D$810=$O$24)*('Match Log'!$A$4:$A$810&lt;=$J196)),'Match Log'!$N$4:$N$810),NA()))</f>
        <v>#N/A</v>
      </c>
      <c r="P196" t="e">
        <f>IF($J196&gt;MAX('Match Log'!$A$4:$A$810),NA(),IFERROR(LOOKUP(2,1/(('Match Log'!$D$4:$D$810=$P$24)*('Match Log'!$A$4:$A$810&lt;=$J196)),'Match Log'!$N$4:$N$810),NA()))</f>
        <v>#N/A</v>
      </c>
      <c r="Q196" t="e">
        <f>IF($J196&gt;MAX('Match Log'!$A$4:$A$810),NA(),IFERROR(LOOKUP(2,1/(('Match Log'!$D$4:$D$810=$Q$24)*('Match Log'!$A$4:$A$810&lt;=$J196)),'Match Log'!$N$4:$N$810),NA()))</f>
        <v>#N/A</v>
      </c>
      <c r="R196" t="e">
        <f>IF($J196&gt;MAX('Match Log'!$A$4:$A$810),NA(),IFERROR(LOOKUP(2,1/(('Match Log'!$D$4:$D$810=$R$24)*('Match Log'!$A$4:$A$810&lt;=$J196)),'Match Log'!$N$4:$N$810),NA()))</f>
        <v>#N/A</v>
      </c>
      <c r="S196" t="e">
        <f>IF($J196&gt;MAX('Match Log'!$A$4:$A$810),NA(),IFERROR(LOOKUP(2,1/(('Match Log'!$D$4:$D$810=$S$24)*('Match Log'!$A$4:$A$810&lt;=$J196)),'Match Log'!$N$4:$N$810),NA()))</f>
        <v>#N/A</v>
      </c>
      <c r="T196" t="e">
        <f>IF($J196&gt;MAX('Match Log'!$A$4:$A$810),NA(),IFERROR(LOOKUP(2,1/(('Match Log'!$D$4:$D$810=$T$24)*('Match Log'!$A$4:$A$810&lt;=$J196)),'Match Log'!$N$4:$N$810),NA()))</f>
        <v>#N/A</v>
      </c>
      <c r="U196" t="e">
        <f>IF($J196&gt;MAX('Match Log'!$A$4:$A$810),NA(),IFERROR(LOOKUP(2,1/(('Match Log'!$D$4:$D$810=$U$24)*('Match Log'!$A$4:$A$810&lt;=$J196)),'Match Log'!$N$4:$N$810),NA()))</f>
        <v>#N/A</v>
      </c>
      <c r="V196" t="e">
        <f>IF($J196&gt;MAX('Match Log'!$A$4:$A$810),NA(),IFERROR(LOOKUP(2,1/(('Match Log'!$D$4:$D$810=$V$24)*('Match Log'!$A$4:$A$810&lt;=$J196)),'Match Log'!$N$4:$N$810),NA()))</f>
        <v>#N/A</v>
      </c>
      <c r="W196" t="e">
        <f>IF($J196&gt;MAX('Match Log'!$A$4:$A$810),NA(),IFERROR(LOOKUP(2,1/(('Match Log'!$D$4:$D$810=$W$24)*('Match Log'!$A$4:$A$810&lt;=$J196)),'Match Log'!$N$4:$N$810),NA()))</f>
        <v>#N/A</v>
      </c>
      <c r="X196" t="e">
        <f>IF($J196&gt;MAX('Match Log'!$A$4:$A$810),NA(),IFERROR(LOOKUP(2,1/(('Match Log'!$D$4:$D$810=$X$24)*('Match Log'!$A$4:$A$810&lt;=$J196)),'Match Log'!$N$4:$N$810),NA()))</f>
        <v>#N/A</v>
      </c>
      <c r="Y196" t="str">
        <f t="shared" ca="1" si="30"/>
        <v/>
      </c>
    </row>
    <row r="197" spans="1:25" x14ac:dyDescent="0.2">
      <c r="A197">
        <v>173</v>
      </c>
      <c r="B197" t="str">
        <f>IFERROR(INDEX('Match Log'!$B$4:$B$810,MATCH(173,'Match Log'!$A$4:$A$810,0)),"")</f>
        <v/>
      </c>
      <c r="C197" t="str">
        <f>IFERROR(INDEX('Match Log'!$C$4:$C$810,MATCH(173,'Match Log'!$A$4:$A$810,0)),"")</f>
        <v/>
      </c>
      <c r="D197" t="str">
        <f t="array" ref="D197">IFERROR(_xlfn.TEXTJOIN(" + ",TRUE,IF(('Match Log'!$A$4:$A$810=$A197)*('Match Log'!$E$4:$E$810="Win"),'Match Log'!$D$4:$D$810,"")),IFERROR(LOOKUP(2,1/(('Match Log'!$A$4:$A$810=$A197)*('Match Log'!$E$4:$E$810="Win")),'Match Log'!$D$4:$D$810),""))</f>
        <v/>
      </c>
      <c r="E197" t="str">
        <f>IFERROR(INDEX('Match Log'!$F$4:$F$810,MATCH(173,'Match Log'!$A$4:$A$810,0)),"")</f>
        <v/>
      </c>
      <c r="F197">
        <f>IFERROR(SUMIFS('Match Log'!$I$4:$I$810,'Match Log'!$A$4:$A$810,173,'Match Log'!$E$4:$E$810,"Win"),"")</f>
        <v>0</v>
      </c>
      <c r="G197" t="str">
        <f t="shared" si="28"/>
        <v/>
      </c>
      <c r="H197" t="str">
        <f t="array" ref="H197">IFERROR(IF(COUNTIFS('Match Log'!$A$4:$A$810,$A197,'Match Log'!$E$4:$E$810,"Win")&gt;1,_xlfn.TEXTJOIN(" + ",TRUE,IF(('Match Log'!$A$4:$A$810=$A197)*('Match Log'!$E$4:$E$810="Loss"),'Match Log'!$D$4:$D$810,"")),IF($E197=2,LOOKUP(2,1/(('Match Log'!$A$4:$A$810=$A197)*('Match Log'!$E$4:$E$810="Loss")),'Match Log'!$D$4:$D$810),"the field")),"")</f>
        <v>the field</v>
      </c>
      <c r="I197" t="str">
        <f t="shared" si="29"/>
        <v/>
      </c>
      <c r="J197">
        <v>173</v>
      </c>
      <c r="K197" t="e">
        <f>IF($J197&gt;MAX('Match Log'!$A$4:$A$810),NA(),IFERROR(LOOKUP(2,1/(('Match Log'!$D$4:$D$810=$K$24)*('Match Log'!$A$4:$A$810&lt;=$J197)),'Match Log'!$N$4:$N$810),NA()))</f>
        <v>#N/A</v>
      </c>
      <c r="L197" t="e">
        <f>IF($J197&gt;MAX('Match Log'!$A$4:$A$810),NA(),IFERROR(LOOKUP(2,1/(('Match Log'!$D$4:$D$810=$L$24)*('Match Log'!$A$4:$A$810&lt;=$J197)),'Match Log'!$N$4:$N$810),NA()))</f>
        <v>#N/A</v>
      </c>
      <c r="M197" t="e">
        <f>IF($J197&gt;MAX('Match Log'!$A$4:$A$810),NA(),IFERROR(LOOKUP(2,1/(('Match Log'!$D$4:$D$810=$M$24)*('Match Log'!$A$4:$A$810&lt;=$J197)),'Match Log'!$N$4:$N$810),NA()))</f>
        <v>#N/A</v>
      </c>
      <c r="N197" t="e">
        <f>IF($J197&gt;MAX('Match Log'!$A$4:$A$810),NA(),IFERROR(LOOKUP(2,1/(('Match Log'!$D$4:$D$810=$N$24)*('Match Log'!$A$4:$A$810&lt;=$J197)),'Match Log'!$N$4:$N$810),NA()))</f>
        <v>#N/A</v>
      </c>
      <c r="O197" t="e">
        <f>IF($J197&gt;MAX('Match Log'!$A$4:$A$810),NA(),IFERROR(LOOKUP(2,1/(('Match Log'!$D$4:$D$810=$O$24)*('Match Log'!$A$4:$A$810&lt;=$J197)),'Match Log'!$N$4:$N$810),NA()))</f>
        <v>#N/A</v>
      </c>
      <c r="P197" t="e">
        <f>IF($J197&gt;MAX('Match Log'!$A$4:$A$810),NA(),IFERROR(LOOKUP(2,1/(('Match Log'!$D$4:$D$810=$P$24)*('Match Log'!$A$4:$A$810&lt;=$J197)),'Match Log'!$N$4:$N$810),NA()))</f>
        <v>#N/A</v>
      </c>
      <c r="Q197" t="e">
        <f>IF($J197&gt;MAX('Match Log'!$A$4:$A$810),NA(),IFERROR(LOOKUP(2,1/(('Match Log'!$D$4:$D$810=$Q$24)*('Match Log'!$A$4:$A$810&lt;=$J197)),'Match Log'!$N$4:$N$810),NA()))</f>
        <v>#N/A</v>
      </c>
      <c r="R197" t="e">
        <f>IF($J197&gt;MAX('Match Log'!$A$4:$A$810),NA(),IFERROR(LOOKUP(2,1/(('Match Log'!$D$4:$D$810=$R$24)*('Match Log'!$A$4:$A$810&lt;=$J197)),'Match Log'!$N$4:$N$810),NA()))</f>
        <v>#N/A</v>
      </c>
      <c r="S197" t="e">
        <f>IF($J197&gt;MAX('Match Log'!$A$4:$A$810),NA(),IFERROR(LOOKUP(2,1/(('Match Log'!$D$4:$D$810=$S$24)*('Match Log'!$A$4:$A$810&lt;=$J197)),'Match Log'!$N$4:$N$810),NA()))</f>
        <v>#N/A</v>
      </c>
      <c r="T197" t="e">
        <f>IF($J197&gt;MAX('Match Log'!$A$4:$A$810),NA(),IFERROR(LOOKUP(2,1/(('Match Log'!$D$4:$D$810=$T$24)*('Match Log'!$A$4:$A$810&lt;=$J197)),'Match Log'!$N$4:$N$810),NA()))</f>
        <v>#N/A</v>
      </c>
      <c r="U197" t="e">
        <f>IF($J197&gt;MAX('Match Log'!$A$4:$A$810),NA(),IFERROR(LOOKUP(2,1/(('Match Log'!$D$4:$D$810=$U$24)*('Match Log'!$A$4:$A$810&lt;=$J197)),'Match Log'!$N$4:$N$810),NA()))</f>
        <v>#N/A</v>
      </c>
      <c r="V197" t="e">
        <f>IF($J197&gt;MAX('Match Log'!$A$4:$A$810),NA(),IFERROR(LOOKUP(2,1/(('Match Log'!$D$4:$D$810=$V$24)*('Match Log'!$A$4:$A$810&lt;=$J197)),'Match Log'!$N$4:$N$810),NA()))</f>
        <v>#N/A</v>
      </c>
      <c r="W197" t="e">
        <f>IF($J197&gt;MAX('Match Log'!$A$4:$A$810),NA(),IFERROR(LOOKUP(2,1/(('Match Log'!$D$4:$D$810=$W$24)*('Match Log'!$A$4:$A$810&lt;=$J197)),'Match Log'!$N$4:$N$810),NA()))</f>
        <v>#N/A</v>
      </c>
      <c r="X197" t="e">
        <f>IF($J197&gt;MAX('Match Log'!$A$4:$A$810),NA(),IFERROR(LOOKUP(2,1/(('Match Log'!$D$4:$D$810=$X$24)*('Match Log'!$A$4:$A$810&lt;=$J197)),'Match Log'!$N$4:$N$810),NA()))</f>
        <v>#N/A</v>
      </c>
      <c r="Y197" t="str">
        <f t="shared" ca="1" si="30"/>
        <v/>
      </c>
    </row>
    <row r="198" spans="1:25" x14ac:dyDescent="0.2">
      <c r="A198">
        <v>174</v>
      </c>
      <c r="B198" t="str">
        <f>IFERROR(INDEX('Match Log'!$B$4:$B$810,MATCH(174,'Match Log'!$A$4:$A$810,0)),"")</f>
        <v/>
      </c>
      <c r="C198" t="str">
        <f>IFERROR(INDEX('Match Log'!$C$4:$C$810,MATCH(174,'Match Log'!$A$4:$A$810,0)),"")</f>
        <v/>
      </c>
      <c r="D198" t="str">
        <f t="array" ref="D198">IFERROR(_xlfn.TEXTJOIN(" + ",TRUE,IF(('Match Log'!$A$4:$A$810=$A198)*('Match Log'!$E$4:$E$810="Win"),'Match Log'!$D$4:$D$810,"")),IFERROR(LOOKUP(2,1/(('Match Log'!$A$4:$A$810=$A198)*('Match Log'!$E$4:$E$810="Win")),'Match Log'!$D$4:$D$810),""))</f>
        <v/>
      </c>
      <c r="E198" t="str">
        <f>IFERROR(INDEX('Match Log'!$F$4:$F$810,MATCH(174,'Match Log'!$A$4:$A$810,0)),"")</f>
        <v/>
      </c>
      <c r="F198">
        <f>IFERROR(SUMIFS('Match Log'!$I$4:$I$810,'Match Log'!$A$4:$A$810,174,'Match Log'!$E$4:$E$810,"Win"),"")</f>
        <v>0</v>
      </c>
      <c r="G198" t="str">
        <f t="shared" si="28"/>
        <v/>
      </c>
      <c r="H198" t="str">
        <f t="array" ref="H198">IFERROR(IF(COUNTIFS('Match Log'!$A$4:$A$810,$A198,'Match Log'!$E$4:$E$810,"Win")&gt;1,_xlfn.TEXTJOIN(" + ",TRUE,IF(('Match Log'!$A$4:$A$810=$A198)*('Match Log'!$E$4:$E$810="Loss"),'Match Log'!$D$4:$D$810,"")),IF($E198=2,LOOKUP(2,1/(('Match Log'!$A$4:$A$810=$A198)*('Match Log'!$E$4:$E$810="Loss")),'Match Log'!$D$4:$D$810),"the field")),"")</f>
        <v>the field</v>
      </c>
      <c r="I198" t="str">
        <f t="shared" si="29"/>
        <v/>
      </c>
      <c r="J198">
        <v>174</v>
      </c>
      <c r="K198" t="e">
        <f>IF($J198&gt;MAX('Match Log'!$A$4:$A$810),NA(),IFERROR(LOOKUP(2,1/(('Match Log'!$D$4:$D$810=$K$24)*('Match Log'!$A$4:$A$810&lt;=$J198)),'Match Log'!$N$4:$N$810),NA()))</f>
        <v>#N/A</v>
      </c>
      <c r="L198" t="e">
        <f>IF($J198&gt;MAX('Match Log'!$A$4:$A$810),NA(),IFERROR(LOOKUP(2,1/(('Match Log'!$D$4:$D$810=$L$24)*('Match Log'!$A$4:$A$810&lt;=$J198)),'Match Log'!$N$4:$N$810),NA()))</f>
        <v>#N/A</v>
      </c>
      <c r="M198" t="e">
        <f>IF($J198&gt;MAX('Match Log'!$A$4:$A$810),NA(),IFERROR(LOOKUP(2,1/(('Match Log'!$D$4:$D$810=$M$24)*('Match Log'!$A$4:$A$810&lt;=$J198)),'Match Log'!$N$4:$N$810),NA()))</f>
        <v>#N/A</v>
      </c>
      <c r="N198" t="e">
        <f>IF($J198&gt;MAX('Match Log'!$A$4:$A$810),NA(),IFERROR(LOOKUP(2,1/(('Match Log'!$D$4:$D$810=$N$24)*('Match Log'!$A$4:$A$810&lt;=$J198)),'Match Log'!$N$4:$N$810),NA()))</f>
        <v>#N/A</v>
      </c>
      <c r="O198" t="e">
        <f>IF($J198&gt;MAX('Match Log'!$A$4:$A$810),NA(),IFERROR(LOOKUP(2,1/(('Match Log'!$D$4:$D$810=$O$24)*('Match Log'!$A$4:$A$810&lt;=$J198)),'Match Log'!$N$4:$N$810),NA()))</f>
        <v>#N/A</v>
      </c>
      <c r="P198" t="e">
        <f>IF($J198&gt;MAX('Match Log'!$A$4:$A$810),NA(),IFERROR(LOOKUP(2,1/(('Match Log'!$D$4:$D$810=$P$24)*('Match Log'!$A$4:$A$810&lt;=$J198)),'Match Log'!$N$4:$N$810),NA()))</f>
        <v>#N/A</v>
      </c>
      <c r="Q198" t="e">
        <f>IF($J198&gt;MAX('Match Log'!$A$4:$A$810),NA(),IFERROR(LOOKUP(2,1/(('Match Log'!$D$4:$D$810=$Q$24)*('Match Log'!$A$4:$A$810&lt;=$J198)),'Match Log'!$N$4:$N$810),NA()))</f>
        <v>#N/A</v>
      </c>
      <c r="R198" t="e">
        <f>IF($J198&gt;MAX('Match Log'!$A$4:$A$810),NA(),IFERROR(LOOKUP(2,1/(('Match Log'!$D$4:$D$810=$R$24)*('Match Log'!$A$4:$A$810&lt;=$J198)),'Match Log'!$N$4:$N$810),NA()))</f>
        <v>#N/A</v>
      </c>
      <c r="S198" t="e">
        <f>IF($J198&gt;MAX('Match Log'!$A$4:$A$810),NA(),IFERROR(LOOKUP(2,1/(('Match Log'!$D$4:$D$810=$S$24)*('Match Log'!$A$4:$A$810&lt;=$J198)),'Match Log'!$N$4:$N$810),NA()))</f>
        <v>#N/A</v>
      </c>
      <c r="T198" t="e">
        <f>IF($J198&gt;MAX('Match Log'!$A$4:$A$810),NA(),IFERROR(LOOKUP(2,1/(('Match Log'!$D$4:$D$810=$T$24)*('Match Log'!$A$4:$A$810&lt;=$J198)),'Match Log'!$N$4:$N$810),NA()))</f>
        <v>#N/A</v>
      </c>
      <c r="U198" t="e">
        <f>IF($J198&gt;MAX('Match Log'!$A$4:$A$810),NA(),IFERROR(LOOKUP(2,1/(('Match Log'!$D$4:$D$810=$U$24)*('Match Log'!$A$4:$A$810&lt;=$J198)),'Match Log'!$N$4:$N$810),NA()))</f>
        <v>#N/A</v>
      </c>
      <c r="V198" t="e">
        <f>IF($J198&gt;MAX('Match Log'!$A$4:$A$810),NA(),IFERROR(LOOKUP(2,1/(('Match Log'!$D$4:$D$810=$V$24)*('Match Log'!$A$4:$A$810&lt;=$J198)),'Match Log'!$N$4:$N$810),NA()))</f>
        <v>#N/A</v>
      </c>
      <c r="W198" t="e">
        <f>IF($J198&gt;MAX('Match Log'!$A$4:$A$810),NA(),IFERROR(LOOKUP(2,1/(('Match Log'!$D$4:$D$810=$W$24)*('Match Log'!$A$4:$A$810&lt;=$J198)),'Match Log'!$N$4:$N$810),NA()))</f>
        <v>#N/A</v>
      </c>
      <c r="X198" t="e">
        <f>IF($J198&gt;MAX('Match Log'!$A$4:$A$810),NA(),IFERROR(LOOKUP(2,1/(('Match Log'!$D$4:$D$810=$X$24)*('Match Log'!$A$4:$A$810&lt;=$J198)),'Match Log'!$N$4:$N$810),NA()))</f>
        <v>#N/A</v>
      </c>
      <c r="Y198" t="str">
        <f t="shared" ca="1" si="30"/>
        <v/>
      </c>
    </row>
    <row r="199" spans="1:25" x14ac:dyDescent="0.2">
      <c r="A199">
        <v>175</v>
      </c>
      <c r="B199" t="str">
        <f>IFERROR(INDEX('Match Log'!$B$4:$B$810,MATCH(175,'Match Log'!$A$4:$A$810,0)),"")</f>
        <v/>
      </c>
      <c r="C199" t="str">
        <f>IFERROR(INDEX('Match Log'!$C$4:$C$810,MATCH(175,'Match Log'!$A$4:$A$810,0)),"")</f>
        <v/>
      </c>
      <c r="D199" t="str">
        <f t="array" ref="D199">IFERROR(_xlfn.TEXTJOIN(" + ",TRUE,IF(('Match Log'!$A$4:$A$810=$A199)*('Match Log'!$E$4:$E$810="Win"),'Match Log'!$D$4:$D$810,"")),IFERROR(LOOKUP(2,1/(('Match Log'!$A$4:$A$810=$A199)*('Match Log'!$E$4:$E$810="Win")),'Match Log'!$D$4:$D$810),""))</f>
        <v/>
      </c>
      <c r="E199" t="str">
        <f>IFERROR(INDEX('Match Log'!$F$4:$F$810,MATCH(175,'Match Log'!$A$4:$A$810,0)),"")</f>
        <v/>
      </c>
      <c r="F199">
        <f>IFERROR(SUMIFS('Match Log'!$I$4:$I$810,'Match Log'!$A$4:$A$810,175,'Match Log'!$E$4:$E$810,"Win"),"")</f>
        <v>0</v>
      </c>
      <c r="G199" t="str">
        <f t="shared" si="28"/>
        <v/>
      </c>
      <c r="H199" t="str">
        <f t="array" ref="H199">IFERROR(IF(COUNTIFS('Match Log'!$A$4:$A$810,$A199,'Match Log'!$E$4:$E$810,"Win")&gt;1,_xlfn.TEXTJOIN(" + ",TRUE,IF(('Match Log'!$A$4:$A$810=$A199)*('Match Log'!$E$4:$E$810="Loss"),'Match Log'!$D$4:$D$810,"")),IF($E199=2,LOOKUP(2,1/(('Match Log'!$A$4:$A$810=$A199)*('Match Log'!$E$4:$E$810="Loss")),'Match Log'!$D$4:$D$810),"the field")),"")</f>
        <v>the field</v>
      </c>
      <c r="I199" t="str">
        <f t="shared" si="29"/>
        <v/>
      </c>
      <c r="J199">
        <v>175</v>
      </c>
      <c r="K199" t="e">
        <f>IF($J199&gt;MAX('Match Log'!$A$4:$A$810),NA(),IFERROR(LOOKUP(2,1/(('Match Log'!$D$4:$D$810=$K$24)*('Match Log'!$A$4:$A$810&lt;=$J199)),'Match Log'!$N$4:$N$810),NA()))</f>
        <v>#N/A</v>
      </c>
      <c r="L199" t="e">
        <f>IF($J199&gt;MAX('Match Log'!$A$4:$A$810),NA(),IFERROR(LOOKUP(2,1/(('Match Log'!$D$4:$D$810=$L$24)*('Match Log'!$A$4:$A$810&lt;=$J199)),'Match Log'!$N$4:$N$810),NA()))</f>
        <v>#N/A</v>
      </c>
      <c r="M199" t="e">
        <f>IF($J199&gt;MAX('Match Log'!$A$4:$A$810),NA(),IFERROR(LOOKUP(2,1/(('Match Log'!$D$4:$D$810=$M$24)*('Match Log'!$A$4:$A$810&lt;=$J199)),'Match Log'!$N$4:$N$810),NA()))</f>
        <v>#N/A</v>
      </c>
      <c r="N199" t="e">
        <f>IF($J199&gt;MAX('Match Log'!$A$4:$A$810),NA(),IFERROR(LOOKUP(2,1/(('Match Log'!$D$4:$D$810=$N$24)*('Match Log'!$A$4:$A$810&lt;=$J199)),'Match Log'!$N$4:$N$810),NA()))</f>
        <v>#N/A</v>
      </c>
      <c r="O199" t="e">
        <f>IF($J199&gt;MAX('Match Log'!$A$4:$A$810),NA(),IFERROR(LOOKUP(2,1/(('Match Log'!$D$4:$D$810=$O$24)*('Match Log'!$A$4:$A$810&lt;=$J199)),'Match Log'!$N$4:$N$810),NA()))</f>
        <v>#N/A</v>
      </c>
      <c r="P199" t="e">
        <f>IF($J199&gt;MAX('Match Log'!$A$4:$A$810),NA(),IFERROR(LOOKUP(2,1/(('Match Log'!$D$4:$D$810=$P$24)*('Match Log'!$A$4:$A$810&lt;=$J199)),'Match Log'!$N$4:$N$810),NA()))</f>
        <v>#N/A</v>
      </c>
      <c r="Q199" t="e">
        <f>IF($J199&gt;MAX('Match Log'!$A$4:$A$810),NA(),IFERROR(LOOKUP(2,1/(('Match Log'!$D$4:$D$810=$Q$24)*('Match Log'!$A$4:$A$810&lt;=$J199)),'Match Log'!$N$4:$N$810),NA()))</f>
        <v>#N/A</v>
      </c>
      <c r="R199" t="e">
        <f>IF($J199&gt;MAX('Match Log'!$A$4:$A$810),NA(),IFERROR(LOOKUP(2,1/(('Match Log'!$D$4:$D$810=$R$24)*('Match Log'!$A$4:$A$810&lt;=$J199)),'Match Log'!$N$4:$N$810),NA()))</f>
        <v>#N/A</v>
      </c>
      <c r="S199" t="e">
        <f>IF($J199&gt;MAX('Match Log'!$A$4:$A$810),NA(),IFERROR(LOOKUP(2,1/(('Match Log'!$D$4:$D$810=$S$24)*('Match Log'!$A$4:$A$810&lt;=$J199)),'Match Log'!$N$4:$N$810),NA()))</f>
        <v>#N/A</v>
      </c>
      <c r="T199" t="e">
        <f>IF($J199&gt;MAX('Match Log'!$A$4:$A$810),NA(),IFERROR(LOOKUP(2,1/(('Match Log'!$D$4:$D$810=$T$24)*('Match Log'!$A$4:$A$810&lt;=$J199)),'Match Log'!$N$4:$N$810),NA()))</f>
        <v>#N/A</v>
      </c>
      <c r="U199" t="e">
        <f>IF($J199&gt;MAX('Match Log'!$A$4:$A$810),NA(),IFERROR(LOOKUP(2,1/(('Match Log'!$D$4:$D$810=$U$24)*('Match Log'!$A$4:$A$810&lt;=$J199)),'Match Log'!$N$4:$N$810),NA()))</f>
        <v>#N/A</v>
      </c>
      <c r="V199" t="e">
        <f>IF($J199&gt;MAX('Match Log'!$A$4:$A$810),NA(),IFERROR(LOOKUP(2,1/(('Match Log'!$D$4:$D$810=$V$24)*('Match Log'!$A$4:$A$810&lt;=$J199)),'Match Log'!$N$4:$N$810),NA()))</f>
        <v>#N/A</v>
      </c>
      <c r="W199" t="e">
        <f>IF($J199&gt;MAX('Match Log'!$A$4:$A$810),NA(),IFERROR(LOOKUP(2,1/(('Match Log'!$D$4:$D$810=$W$24)*('Match Log'!$A$4:$A$810&lt;=$J199)),'Match Log'!$N$4:$N$810),NA()))</f>
        <v>#N/A</v>
      </c>
      <c r="X199" t="e">
        <f>IF($J199&gt;MAX('Match Log'!$A$4:$A$810),NA(),IFERROR(LOOKUP(2,1/(('Match Log'!$D$4:$D$810=$X$24)*('Match Log'!$A$4:$A$810&lt;=$J199)),'Match Log'!$N$4:$N$810),NA()))</f>
        <v>#N/A</v>
      </c>
      <c r="Y199" t="str">
        <f t="shared" ca="1" si="30"/>
        <v/>
      </c>
    </row>
    <row r="200" spans="1:25" x14ac:dyDescent="0.2">
      <c r="A200">
        <v>176</v>
      </c>
      <c r="B200" t="str">
        <f>IFERROR(INDEX('Match Log'!$B$4:$B$810,MATCH(176,'Match Log'!$A$4:$A$810,0)),"")</f>
        <v/>
      </c>
      <c r="C200" t="str">
        <f>IFERROR(INDEX('Match Log'!$C$4:$C$810,MATCH(176,'Match Log'!$A$4:$A$810,0)),"")</f>
        <v/>
      </c>
      <c r="D200" t="str">
        <f t="array" ref="D200">IFERROR(_xlfn.TEXTJOIN(" + ",TRUE,IF(('Match Log'!$A$4:$A$810=$A200)*('Match Log'!$E$4:$E$810="Win"),'Match Log'!$D$4:$D$810,"")),IFERROR(LOOKUP(2,1/(('Match Log'!$A$4:$A$810=$A200)*('Match Log'!$E$4:$E$810="Win")),'Match Log'!$D$4:$D$810),""))</f>
        <v/>
      </c>
      <c r="E200" t="str">
        <f>IFERROR(INDEX('Match Log'!$F$4:$F$810,MATCH(176,'Match Log'!$A$4:$A$810,0)),"")</f>
        <v/>
      </c>
      <c r="F200">
        <f>IFERROR(SUMIFS('Match Log'!$I$4:$I$810,'Match Log'!$A$4:$A$810,176,'Match Log'!$E$4:$E$810,"Win"),"")</f>
        <v>0</v>
      </c>
      <c r="G200" t="str">
        <f t="shared" si="28"/>
        <v/>
      </c>
      <c r="H200" t="str">
        <f t="array" ref="H200">IFERROR(IF(COUNTIFS('Match Log'!$A$4:$A$810,$A200,'Match Log'!$E$4:$E$810,"Win")&gt;1,_xlfn.TEXTJOIN(" + ",TRUE,IF(('Match Log'!$A$4:$A$810=$A200)*('Match Log'!$E$4:$E$810="Loss"),'Match Log'!$D$4:$D$810,"")),IF($E200=2,LOOKUP(2,1/(('Match Log'!$A$4:$A$810=$A200)*('Match Log'!$E$4:$E$810="Loss")),'Match Log'!$D$4:$D$810),"the field")),"")</f>
        <v>the field</v>
      </c>
      <c r="I200" t="str">
        <f t="shared" si="29"/>
        <v/>
      </c>
      <c r="J200">
        <v>176</v>
      </c>
      <c r="K200" t="e">
        <f>IF($J200&gt;MAX('Match Log'!$A$4:$A$810),NA(),IFERROR(LOOKUP(2,1/(('Match Log'!$D$4:$D$810=$K$24)*('Match Log'!$A$4:$A$810&lt;=$J200)),'Match Log'!$N$4:$N$810),NA()))</f>
        <v>#N/A</v>
      </c>
      <c r="L200" t="e">
        <f>IF($J200&gt;MAX('Match Log'!$A$4:$A$810),NA(),IFERROR(LOOKUP(2,1/(('Match Log'!$D$4:$D$810=$L$24)*('Match Log'!$A$4:$A$810&lt;=$J200)),'Match Log'!$N$4:$N$810),NA()))</f>
        <v>#N/A</v>
      </c>
      <c r="M200" t="e">
        <f>IF($J200&gt;MAX('Match Log'!$A$4:$A$810),NA(),IFERROR(LOOKUP(2,1/(('Match Log'!$D$4:$D$810=$M$24)*('Match Log'!$A$4:$A$810&lt;=$J200)),'Match Log'!$N$4:$N$810),NA()))</f>
        <v>#N/A</v>
      </c>
      <c r="N200" t="e">
        <f>IF($J200&gt;MAX('Match Log'!$A$4:$A$810),NA(),IFERROR(LOOKUP(2,1/(('Match Log'!$D$4:$D$810=$N$24)*('Match Log'!$A$4:$A$810&lt;=$J200)),'Match Log'!$N$4:$N$810),NA()))</f>
        <v>#N/A</v>
      </c>
      <c r="O200" t="e">
        <f>IF($J200&gt;MAX('Match Log'!$A$4:$A$810),NA(),IFERROR(LOOKUP(2,1/(('Match Log'!$D$4:$D$810=$O$24)*('Match Log'!$A$4:$A$810&lt;=$J200)),'Match Log'!$N$4:$N$810),NA()))</f>
        <v>#N/A</v>
      </c>
      <c r="P200" t="e">
        <f>IF($J200&gt;MAX('Match Log'!$A$4:$A$810),NA(),IFERROR(LOOKUP(2,1/(('Match Log'!$D$4:$D$810=$P$24)*('Match Log'!$A$4:$A$810&lt;=$J200)),'Match Log'!$N$4:$N$810),NA()))</f>
        <v>#N/A</v>
      </c>
      <c r="Q200" t="e">
        <f>IF($J200&gt;MAX('Match Log'!$A$4:$A$810),NA(),IFERROR(LOOKUP(2,1/(('Match Log'!$D$4:$D$810=$Q$24)*('Match Log'!$A$4:$A$810&lt;=$J200)),'Match Log'!$N$4:$N$810),NA()))</f>
        <v>#N/A</v>
      </c>
      <c r="R200" t="e">
        <f>IF($J200&gt;MAX('Match Log'!$A$4:$A$810),NA(),IFERROR(LOOKUP(2,1/(('Match Log'!$D$4:$D$810=$R$24)*('Match Log'!$A$4:$A$810&lt;=$J200)),'Match Log'!$N$4:$N$810),NA()))</f>
        <v>#N/A</v>
      </c>
      <c r="S200" t="e">
        <f>IF($J200&gt;MAX('Match Log'!$A$4:$A$810),NA(),IFERROR(LOOKUP(2,1/(('Match Log'!$D$4:$D$810=$S$24)*('Match Log'!$A$4:$A$810&lt;=$J200)),'Match Log'!$N$4:$N$810),NA()))</f>
        <v>#N/A</v>
      </c>
      <c r="T200" t="e">
        <f>IF($J200&gt;MAX('Match Log'!$A$4:$A$810),NA(),IFERROR(LOOKUP(2,1/(('Match Log'!$D$4:$D$810=$T$24)*('Match Log'!$A$4:$A$810&lt;=$J200)),'Match Log'!$N$4:$N$810),NA()))</f>
        <v>#N/A</v>
      </c>
      <c r="U200" t="e">
        <f>IF($J200&gt;MAX('Match Log'!$A$4:$A$810),NA(),IFERROR(LOOKUP(2,1/(('Match Log'!$D$4:$D$810=$U$24)*('Match Log'!$A$4:$A$810&lt;=$J200)),'Match Log'!$N$4:$N$810),NA()))</f>
        <v>#N/A</v>
      </c>
      <c r="V200" t="e">
        <f>IF($J200&gt;MAX('Match Log'!$A$4:$A$810),NA(),IFERROR(LOOKUP(2,1/(('Match Log'!$D$4:$D$810=$V$24)*('Match Log'!$A$4:$A$810&lt;=$J200)),'Match Log'!$N$4:$N$810),NA()))</f>
        <v>#N/A</v>
      </c>
      <c r="W200" t="e">
        <f>IF($J200&gt;MAX('Match Log'!$A$4:$A$810),NA(),IFERROR(LOOKUP(2,1/(('Match Log'!$D$4:$D$810=$W$24)*('Match Log'!$A$4:$A$810&lt;=$J200)),'Match Log'!$N$4:$N$810),NA()))</f>
        <v>#N/A</v>
      </c>
      <c r="X200" t="e">
        <f>IF($J200&gt;MAX('Match Log'!$A$4:$A$810),NA(),IFERROR(LOOKUP(2,1/(('Match Log'!$D$4:$D$810=$X$24)*('Match Log'!$A$4:$A$810&lt;=$J200)),'Match Log'!$N$4:$N$810),NA()))</f>
        <v>#N/A</v>
      </c>
      <c r="Y200" t="str">
        <f t="shared" ca="1" si="30"/>
        <v/>
      </c>
    </row>
    <row r="201" spans="1:25" x14ac:dyDescent="0.2">
      <c r="A201">
        <v>177</v>
      </c>
      <c r="B201" t="str">
        <f>IFERROR(INDEX('Match Log'!$B$4:$B$810,MATCH(177,'Match Log'!$A$4:$A$810,0)),"")</f>
        <v/>
      </c>
      <c r="C201" t="str">
        <f>IFERROR(INDEX('Match Log'!$C$4:$C$810,MATCH(177,'Match Log'!$A$4:$A$810,0)),"")</f>
        <v/>
      </c>
      <c r="D201" t="str">
        <f t="array" ref="D201">IFERROR(_xlfn.TEXTJOIN(" + ",TRUE,IF(('Match Log'!$A$4:$A$810=$A201)*('Match Log'!$E$4:$E$810="Win"),'Match Log'!$D$4:$D$810,"")),IFERROR(LOOKUP(2,1/(('Match Log'!$A$4:$A$810=$A201)*('Match Log'!$E$4:$E$810="Win")),'Match Log'!$D$4:$D$810),""))</f>
        <v/>
      </c>
      <c r="E201" t="str">
        <f>IFERROR(INDEX('Match Log'!$F$4:$F$810,MATCH(177,'Match Log'!$A$4:$A$810,0)),"")</f>
        <v/>
      </c>
      <c r="F201">
        <f>IFERROR(SUMIFS('Match Log'!$I$4:$I$810,'Match Log'!$A$4:$A$810,177,'Match Log'!$E$4:$E$810,"Win"),"")</f>
        <v>0</v>
      </c>
      <c r="G201" t="str">
        <f t="shared" si="28"/>
        <v/>
      </c>
      <c r="H201" t="str">
        <f t="array" ref="H201">IFERROR(IF(COUNTIFS('Match Log'!$A$4:$A$810,$A201,'Match Log'!$E$4:$E$810,"Win")&gt;1,_xlfn.TEXTJOIN(" + ",TRUE,IF(('Match Log'!$A$4:$A$810=$A201)*('Match Log'!$E$4:$E$810="Loss"),'Match Log'!$D$4:$D$810,"")),IF($E201=2,LOOKUP(2,1/(('Match Log'!$A$4:$A$810=$A201)*('Match Log'!$E$4:$E$810="Loss")),'Match Log'!$D$4:$D$810),"the field")),"")</f>
        <v>the field</v>
      </c>
      <c r="I201" t="str">
        <f t="shared" si="29"/>
        <v/>
      </c>
      <c r="J201">
        <v>177</v>
      </c>
      <c r="K201" t="e">
        <f>IF($J201&gt;MAX('Match Log'!$A$4:$A$810),NA(),IFERROR(LOOKUP(2,1/(('Match Log'!$D$4:$D$810=$K$24)*('Match Log'!$A$4:$A$810&lt;=$J201)),'Match Log'!$N$4:$N$810),NA()))</f>
        <v>#N/A</v>
      </c>
      <c r="L201" t="e">
        <f>IF($J201&gt;MAX('Match Log'!$A$4:$A$810),NA(),IFERROR(LOOKUP(2,1/(('Match Log'!$D$4:$D$810=$L$24)*('Match Log'!$A$4:$A$810&lt;=$J201)),'Match Log'!$N$4:$N$810),NA()))</f>
        <v>#N/A</v>
      </c>
      <c r="M201" t="e">
        <f>IF($J201&gt;MAX('Match Log'!$A$4:$A$810),NA(),IFERROR(LOOKUP(2,1/(('Match Log'!$D$4:$D$810=$M$24)*('Match Log'!$A$4:$A$810&lt;=$J201)),'Match Log'!$N$4:$N$810),NA()))</f>
        <v>#N/A</v>
      </c>
      <c r="N201" t="e">
        <f>IF($J201&gt;MAX('Match Log'!$A$4:$A$810),NA(),IFERROR(LOOKUP(2,1/(('Match Log'!$D$4:$D$810=$N$24)*('Match Log'!$A$4:$A$810&lt;=$J201)),'Match Log'!$N$4:$N$810),NA()))</f>
        <v>#N/A</v>
      </c>
      <c r="O201" t="e">
        <f>IF($J201&gt;MAX('Match Log'!$A$4:$A$810),NA(),IFERROR(LOOKUP(2,1/(('Match Log'!$D$4:$D$810=$O$24)*('Match Log'!$A$4:$A$810&lt;=$J201)),'Match Log'!$N$4:$N$810),NA()))</f>
        <v>#N/A</v>
      </c>
      <c r="P201" t="e">
        <f>IF($J201&gt;MAX('Match Log'!$A$4:$A$810),NA(),IFERROR(LOOKUP(2,1/(('Match Log'!$D$4:$D$810=$P$24)*('Match Log'!$A$4:$A$810&lt;=$J201)),'Match Log'!$N$4:$N$810),NA()))</f>
        <v>#N/A</v>
      </c>
      <c r="Q201" t="e">
        <f>IF($J201&gt;MAX('Match Log'!$A$4:$A$810),NA(),IFERROR(LOOKUP(2,1/(('Match Log'!$D$4:$D$810=$Q$24)*('Match Log'!$A$4:$A$810&lt;=$J201)),'Match Log'!$N$4:$N$810),NA()))</f>
        <v>#N/A</v>
      </c>
      <c r="R201" t="e">
        <f>IF($J201&gt;MAX('Match Log'!$A$4:$A$810),NA(),IFERROR(LOOKUP(2,1/(('Match Log'!$D$4:$D$810=$R$24)*('Match Log'!$A$4:$A$810&lt;=$J201)),'Match Log'!$N$4:$N$810),NA()))</f>
        <v>#N/A</v>
      </c>
      <c r="S201" t="e">
        <f>IF($J201&gt;MAX('Match Log'!$A$4:$A$810),NA(),IFERROR(LOOKUP(2,1/(('Match Log'!$D$4:$D$810=$S$24)*('Match Log'!$A$4:$A$810&lt;=$J201)),'Match Log'!$N$4:$N$810),NA()))</f>
        <v>#N/A</v>
      </c>
      <c r="T201" t="e">
        <f>IF($J201&gt;MAX('Match Log'!$A$4:$A$810),NA(),IFERROR(LOOKUP(2,1/(('Match Log'!$D$4:$D$810=$T$24)*('Match Log'!$A$4:$A$810&lt;=$J201)),'Match Log'!$N$4:$N$810),NA()))</f>
        <v>#N/A</v>
      </c>
      <c r="U201" t="e">
        <f>IF($J201&gt;MAX('Match Log'!$A$4:$A$810),NA(),IFERROR(LOOKUP(2,1/(('Match Log'!$D$4:$D$810=$U$24)*('Match Log'!$A$4:$A$810&lt;=$J201)),'Match Log'!$N$4:$N$810),NA()))</f>
        <v>#N/A</v>
      </c>
      <c r="V201" t="e">
        <f>IF($J201&gt;MAX('Match Log'!$A$4:$A$810),NA(),IFERROR(LOOKUP(2,1/(('Match Log'!$D$4:$D$810=$V$24)*('Match Log'!$A$4:$A$810&lt;=$J201)),'Match Log'!$N$4:$N$810),NA()))</f>
        <v>#N/A</v>
      </c>
      <c r="W201" t="e">
        <f>IF($J201&gt;MAX('Match Log'!$A$4:$A$810),NA(),IFERROR(LOOKUP(2,1/(('Match Log'!$D$4:$D$810=$W$24)*('Match Log'!$A$4:$A$810&lt;=$J201)),'Match Log'!$N$4:$N$810),NA()))</f>
        <v>#N/A</v>
      </c>
      <c r="X201" t="e">
        <f>IF($J201&gt;MAX('Match Log'!$A$4:$A$810),NA(),IFERROR(LOOKUP(2,1/(('Match Log'!$D$4:$D$810=$X$24)*('Match Log'!$A$4:$A$810&lt;=$J201)),'Match Log'!$N$4:$N$810),NA()))</f>
        <v>#N/A</v>
      </c>
      <c r="Y201" t="str">
        <f t="shared" ca="1" si="30"/>
        <v/>
      </c>
    </row>
    <row r="202" spans="1:25" x14ac:dyDescent="0.2">
      <c r="A202">
        <v>178</v>
      </c>
      <c r="B202" t="str">
        <f>IFERROR(INDEX('Match Log'!$B$4:$B$810,MATCH(178,'Match Log'!$A$4:$A$810,0)),"")</f>
        <v/>
      </c>
      <c r="C202" t="str">
        <f>IFERROR(INDEX('Match Log'!$C$4:$C$810,MATCH(178,'Match Log'!$A$4:$A$810,0)),"")</f>
        <v/>
      </c>
      <c r="D202" t="str">
        <f t="array" ref="D202">IFERROR(_xlfn.TEXTJOIN(" + ",TRUE,IF(('Match Log'!$A$4:$A$810=$A202)*('Match Log'!$E$4:$E$810="Win"),'Match Log'!$D$4:$D$810,"")),IFERROR(LOOKUP(2,1/(('Match Log'!$A$4:$A$810=$A202)*('Match Log'!$E$4:$E$810="Win")),'Match Log'!$D$4:$D$810),""))</f>
        <v/>
      </c>
      <c r="E202" t="str">
        <f>IFERROR(INDEX('Match Log'!$F$4:$F$810,MATCH(178,'Match Log'!$A$4:$A$810,0)),"")</f>
        <v/>
      </c>
      <c r="F202">
        <f>IFERROR(SUMIFS('Match Log'!$I$4:$I$810,'Match Log'!$A$4:$A$810,178,'Match Log'!$E$4:$E$810,"Win"),"")</f>
        <v>0</v>
      </c>
      <c r="G202" t="str">
        <f t="shared" si="28"/>
        <v/>
      </c>
      <c r="H202" t="str">
        <f t="array" ref="H202">IFERROR(IF(COUNTIFS('Match Log'!$A$4:$A$810,$A202,'Match Log'!$E$4:$E$810,"Win")&gt;1,_xlfn.TEXTJOIN(" + ",TRUE,IF(('Match Log'!$A$4:$A$810=$A202)*('Match Log'!$E$4:$E$810="Loss"),'Match Log'!$D$4:$D$810,"")),IF($E202=2,LOOKUP(2,1/(('Match Log'!$A$4:$A$810=$A202)*('Match Log'!$E$4:$E$810="Loss")),'Match Log'!$D$4:$D$810),"the field")),"")</f>
        <v>the field</v>
      </c>
      <c r="I202" t="str">
        <f t="shared" si="29"/>
        <v/>
      </c>
      <c r="J202">
        <v>178</v>
      </c>
      <c r="K202" t="e">
        <f>IF($J202&gt;MAX('Match Log'!$A$4:$A$810),NA(),IFERROR(LOOKUP(2,1/(('Match Log'!$D$4:$D$810=$K$24)*('Match Log'!$A$4:$A$810&lt;=$J202)),'Match Log'!$N$4:$N$810),NA()))</f>
        <v>#N/A</v>
      </c>
      <c r="L202" t="e">
        <f>IF($J202&gt;MAX('Match Log'!$A$4:$A$810),NA(),IFERROR(LOOKUP(2,1/(('Match Log'!$D$4:$D$810=$L$24)*('Match Log'!$A$4:$A$810&lt;=$J202)),'Match Log'!$N$4:$N$810),NA()))</f>
        <v>#N/A</v>
      </c>
      <c r="M202" t="e">
        <f>IF($J202&gt;MAX('Match Log'!$A$4:$A$810),NA(),IFERROR(LOOKUP(2,1/(('Match Log'!$D$4:$D$810=$M$24)*('Match Log'!$A$4:$A$810&lt;=$J202)),'Match Log'!$N$4:$N$810),NA()))</f>
        <v>#N/A</v>
      </c>
      <c r="N202" t="e">
        <f>IF($J202&gt;MAX('Match Log'!$A$4:$A$810),NA(),IFERROR(LOOKUP(2,1/(('Match Log'!$D$4:$D$810=$N$24)*('Match Log'!$A$4:$A$810&lt;=$J202)),'Match Log'!$N$4:$N$810),NA()))</f>
        <v>#N/A</v>
      </c>
      <c r="O202" t="e">
        <f>IF($J202&gt;MAX('Match Log'!$A$4:$A$810),NA(),IFERROR(LOOKUP(2,1/(('Match Log'!$D$4:$D$810=$O$24)*('Match Log'!$A$4:$A$810&lt;=$J202)),'Match Log'!$N$4:$N$810),NA()))</f>
        <v>#N/A</v>
      </c>
      <c r="P202" t="e">
        <f>IF($J202&gt;MAX('Match Log'!$A$4:$A$810),NA(),IFERROR(LOOKUP(2,1/(('Match Log'!$D$4:$D$810=$P$24)*('Match Log'!$A$4:$A$810&lt;=$J202)),'Match Log'!$N$4:$N$810),NA()))</f>
        <v>#N/A</v>
      </c>
      <c r="Q202" t="e">
        <f>IF($J202&gt;MAX('Match Log'!$A$4:$A$810),NA(),IFERROR(LOOKUP(2,1/(('Match Log'!$D$4:$D$810=$Q$24)*('Match Log'!$A$4:$A$810&lt;=$J202)),'Match Log'!$N$4:$N$810),NA()))</f>
        <v>#N/A</v>
      </c>
      <c r="R202" t="e">
        <f>IF($J202&gt;MAX('Match Log'!$A$4:$A$810),NA(),IFERROR(LOOKUP(2,1/(('Match Log'!$D$4:$D$810=$R$24)*('Match Log'!$A$4:$A$810&lt;=$J202)),'Match Log'!$N$4:$N$810),NA()))</f>
        <v>#N/A</v>
      </c>
      <c r="S202" t="e">
        <f>IF($J202&gt;MAX('Match Log'!$A$4:$A$810),NA(),IFERROR(LOOKUP(2,1/(('Match Log'!$D$4:$D$810=$S$24)*('Match Log'!$A$4:$A$810&lt;=$J202)),'Match Log'!$N$4:$N$810),NA()))</f>
        <v>#N/A</v>
      </c>
      <c r="T202" t="e">
        <f>IF($J202&gt;MAX('Match Log'!$A$4:$A$810),NA(),IFERROR(LOOKUP(2,1/(('Match Log'!$D$4:$D$810=$T$24)*('Match Log'!$A$4:$A$810&lt;=$J202)),'Match Log'!$N$4:$N$810),NA()))</f>
        <v>#N/A</v>
      </c>
      <c r="U202" t="e">
        <f>IF($J202&gt;MAX('Match Log'!$A$4:$A$810),NA(),IFERROR(LOOKUP(2,1/(('Match Log'!$D$4:$D$810=$U$24)*('Match Log'!$A$4:$A$810&lt;=$J202)),'Match Log'!$N$4:$N$810),NA()))</f>
        <v>#N/A</v>
      </c>
      <c r="V202" t="e">
        <f>IF($J202&gt;MAX('Match Log'!$A$4:$A$810),NA(),IFERROR(LOOKUP(2,1/(('Match Log'!$D$4:$D$810=$V$24)*('Match Log'!$A$4:$A$810&lt;=$J202)),'Match Log'!$N$4:$N$810),NA()))</f>
        <v>#N/A</v>
      </c>
      <c r="W202" t="e">
        <f>IF($J202&gt;MAX('Match Log'!$A$4:$A$810),NA(),IFERROR(LOOKUP(2,1/(('Match Log'!$D$4:$D$810=$W$24)*('Match Log'!$A$4:$A$810&lt;=$J202)),'Match Log'!$N$4:$N$810),NA()))</f>
        <v>#N/A</v>
      </c>
      <c r="X202" t="e">
        <f>IF($J202&gt;MAX('Match Log'!$A$4:$A$810),NA(),IFERROR(LOOKUP(2,1/(('Match Log'!$D$4:$D$810=$X$24)*('Match Log'!$A$4:$A$810&lt;=$J202)),'Match Log'!$N$4:$N$810),NA()))</f>
        <v>#N/A</v>
      </c>
      <c r="Y202" t="str">
        <f t="shared" ca="1" si="30"/>
        <v/>
      </c>
    </row>
    <row r="203" spans="1:25" x14ac:dyDescent="0.2">
      <c r="A203">
        <v>179</v>
      </c>
      <c r="B203" t="str">
        <f>IFERROR(INDEX('Match Log'!$B$4:$B$810,MATCH(179,'Match Log'!$A$4:$A$810,0)),"")</f>
        <v/>
      </c>
      <c r="C203" t="str">
        <f>IFERROR(INDEX('Match Log'!$C$4:$C$810,MATCH(179,'Match Log'!$A$4:$A$810,0)),"")</f>
        <v/>
      </c>
      <c r="D203" t="str">
        <f t="array" ref="D203">IFERROR(_xlfn.TEXTJOIN(" + ",TRUE,IF(('Match Log'!$A$4:$A$810=$A203)*('Match Log'!$E$4:$E$810="Win"),'Match Log'!$D$4:$D$810,"")),IFERROR(LOOKUP(2,1/(('Match Log'!$A$4:$A$810=$A203)*('Match Log'!$E$4:$E$810="Win")),'Match Log'!$D$4:$D$810),""))</f>
        <v/>
      </c>
      <c r="E203" t="str">
        <f>IFERROR(INDEX('Match Log'!$F$4:$F$810,MATCH(179,'Match Log'!$A$4:$A$810,0)),"")</f>
        <v/>
      </c>
      <c r="F203">
        <f>IFERROR(SUMIFS('Match Log'!$I$4:$I$810,'Match Log'!$A$4:$A$810,179,'Match Log'!$E$4:$E$810,"Win"),"")</f>
        <v>0</v>
      </c>
      <c r="G203" t="str">
        <f t="shared" si="28"/>
        <v/>
      </c>
      <c r="H203" t="str">
        <f t="array" ref="H203">IFERROR(IF(COUNTIFS('Match Log'!$A$4:$A$810,$A203,'Match Log'!$E$4:$E$810,"Win")&gt;1,_xlfn.TEXTJOIN(" + ",TRUE,IF(('Match Log'!$A$4:$A$810=$A203)*('Match Log'!$E$4:$E$810="Loss"),'Match Log'!$D$4:$D$810,"")),IF($E203=2,LOOKUP(2,1/(('Match Log'!$A$4:$A$810=$A203)*('Match Log'!$E$4:$E$810="Loss")),'Match Log'!$D$4:$D$810),"the field")),"")</f>
        <v>the field</v>
      </c>
      <c r="I203" t="str">
        <f t="shared" si="29"/>
        <v/>
      </c>
      <c r="J203">
        <v>179</v>
      </c>
      <c r="K203" t="e">
        <f>IF($J203&gt;MAX('Match Log'!$A$4:$A$810),NA(),IFERROR(LOOKUP(2,1/(('Match Log'!$D$4:$D$810=$K$24)*('Match Log'!$A$4:$A$810&lt;=$J203)),'Match Log'!$N$4:$N$810),NA()))</f>
        <v>#N/A</v>
      </c>
      <c r="L203" t="e">
        <f>IF($J203&gt;MAX('Match Log'!$A$4:$A$810),NA(),IFERROR(LOOKUP(2,1/(('Match Log'!$D$4:$D$810=$L$24)*('Match Log'!$A$4:$A$810&lt;=$J203)),'Match Log'!$N$4:$N$810),NA()))</f>
        <v>#N/A</v>
      </c>
      <c r="M203" t="e">
        <f>IF($J203&gt;MAX('Match Log'!$A$4:$A$810),NA(),IFERROR(LOOKUP(2,1/(('Match Log'!$D$4:$D$810=$M$24)*('Match Log'!$A$4:$A$810&lt;=$J203)),'Match Log'!$N$4:$N$810),NA()))</f>
        <v>#N/A</v>
      </c>
      <c r="N203" t="e">
        <f>IF($J203&gt;MAX('Match Log'!$A$4:$A$810),NA(),IFERROR(LOOKUP(2,1/(('Match Log'!$D$4:$D$810=$N$24)*('Match Log'!$A$4:$A$810&lt;=$J203)),'Match Log'!$N$4:$N$810),NA()))</f>
        <v>#N/A</v>
      </c>
      <c r="O203" t="e">
        <f>IF($J203&gt;MAX('Match Log'!$A$4:$A$810),NA(),IFERROR(LOOKUP(2,1/(('Match Log'!$D$4:$D$810=$O$24)*('Match Log'!$A$4:$A$810&lt;=$J203)),'Match Log'!$N$4:$N$810),NA()))</f>
        <v>#N/A</v>
      </c>
      <c r="P203" t="e">
        <f>IF($J203&gt;MAX('Match Log'!$A$4:$A$810),NA(),IFERROR(LOOKUP(2,1/(('Match Log'!$D$4:$D$810=$P$24)*('Match Log'!$A$4:$A$810&lt;=$J203)),'Match Log'!$N$4:$N$810),NA()))</f>
        <v>#N/A</v>
      </c>
      <c r="Q203" t="e">
        <f>IF($J203&gt;MAX('Match Log'!$A$4:$A$810),NA(),IFERROR(LOOKUP(2,1/(('Match Log'!$D$4:$D$810=$Q$24)*('Match Log'!$A$4:$A$810&lt;=$J203)),'Match Log'!$N$4:$N$810),NA()))</f>
        <v>#N/A</v>
      </c>
      <c r="R203" t="e">
        <f>IF($J203&gt;MAX('Match Log'!$A$4:$A$810),NA(),IFERROR(LOOKUP(2,1/(('Match Log'!$D$4:$D$810=$R$24)*('Match Log'!$A$4:$A$810&lt;=$J203)),'Match Log'!$N$4:$N$810),NA()))</f>
        <v>#N/A</v>
      </c>
      <c r="S203" t="e">
        <f>IF($J203&gt;MAX('Match Log'!$A$4:$A$810),NA(),IFERROR(LOOKUP(2,1/(('Match Log'!$D$4:$D$810=$S$24)*('Match Log'!$A$4:$A$810&lt;=$J203)),'Match Log'!$N$4:$N$810),NA()))</f>
        <v>#N/A</v>
      </c>
      <c r="T203" t="e">
        <f>IF($J203&gt;MAX('Match Log'!$A$4:$A$810),NA(),IFERROR(LOOKUP(2,1/(('Match Log'!$D$4:$D$810=$T$24)*('Match Log'!$A$4:$A$810&lt;=$J203)),'Match Log'!$N$4:$N$810),NA()))</f>
        <v>#N/A</v>
      </c>
      <c r="U203" t="e">
        <f>IF($J203&gt;MAX('Match Log'!$A$4:$A$810),NA(),IFERROR(LOOKUP(2,1/(('Match Log'!$D$4:$D$810=$U$24)*('Match Log'!$A$4:$A$810&lt;=$J203)),'Match Log'!$N$4:$N$810),NA()))</f>
        <v>#N/A</v>
      </c>
      <c r="V203" t="e">
        <f>IF($J203&gt;MAX('Match Log'!$A$4:$A$810),NA(),IFERROR(LOOKUP(2,1/(('Match Log'!$D$4:$D$810=$V$24)*('Match Log'!$A$4:$A$810&lt;=$J203)),'Match Log'!$N$4:$N$810),NA()))</f>
        <v>#N/A</v>
      </c>
      <c r="W203" t="e">
        <f>IF($J203&gt;MAX('Match Log'!$A$4:$A$810),NA(),IFERROR(LOOKUP(2,1/(('Match Log'!$D$4:$D$810=$W$24)*('Match Log'!$A$4:$A$810&lt;=$J203)),'Match Log'!$N$4:$N$810),NA()))</f>
        <v>#N/A</v>
      </c>
      <c r="X203" t="e">
        <f>IF($J203&gt;MAX('Match Log'!$A$4:$A$810),NA(),IFERROR(LOOKUP(2,1/(('Match Log'!$D$4:$D$810=$X$24)*('Match Log'!$A$4:$A$810&lt;=$J203)),'Match Log'!$N$4:$N$810),NA()))</f>
        <v>#N/A</v>
      </c>
      <c r="Y203" t="str">
        <f t="shared" ca="1" si="30"/>
        <v/>
      </c>
    </row>
    <row r="204" spans="1:25" x14ac:dyDescent="0.2">
      <c r="A204">
        <v>180</v>
      </c>
      <c r="B204" t="str">
        <f>IFERROR(INDEX('Match Log'!$B$4:$B$810,MATCH(180,'Match Log'!$A$4:$A$810,0)),"")</f>
        <v/>
      </c>
      <c r="C204" t="str">
        <f>IFERROR(INDEX('Match Log'!$C$4:$C$810,MATCH(180,'Match Log'!$A$4:$A$810,0)),"")</f>
        <v/>
      </c>
      <c r="D204" t="str">
        <f t="array" ref="D204">IFERROR(_xlfn.TEXTJOIN(" + ",TRUE,IF(('Match Log'!$A$4:$A$810=$A204)*('Match Log'!$E$4:$E$810="Win"),'Match Log'!$D$4:$D$810,"")),IFERROR(LOOKUP(2,1/(('Match Log'!$A$4:$A$810=$A204)*('Match Log'!$E$4:$E$810="Win")),'Match Log'!$D$4:$D$810),""))</f>
        <v/>
      </c>
      <c r="E204" t="str">
        <f>IFERROR(INDEX('Match Log'!$F$4:$F$810,MATCH(180,'Match Log'!$A$4:$A$810,0)),"")</f>
        <v/>
      </c>
      <c r="F204">
        <f>IFERROR(SUMIFS('Match Log'!$I$4:$I$810,'Match Log'!$A$4:$A$810,180,'Match Log'!$E$4:$E$810,"Win"),"")</f>
        <v>0</v>
      </c>
      <c r="G204" t="str">
        <f t="shared" si="28"/>
        <v/>
      </c>
      <c r="H204" t="str">
        <f t="array" ref="H204">IFERROR(IF(COUNTIFS('Match Log'!$A$4:$A$810,$A204,'Match Log'!$E$4:$E$810,"Win")&gt;1,_xlfn.TEXTJOIN(" + ",TRUE,IF(('Match Log'!$A$4:$A$810=$A204)*('Match Log'!$E$4:$E$810="Loss"),'Match Log'!$D$4:$D$810,"")),IF($E204=2,LOOKUP(2,1/(('Match Log'!$A$4:$A$810=$A204)*('Match Log'!$E$4:$E$810="Loss")),'Match Log'!$D$4:$D$810),"the field")),"")</f>
        <v>the field</v>
      </c>
      <c r="I204" t="str">
        <f t="shared" si="29"/>
        <v/>
      </c>
      <c r="J204">
        <v>180</v>
      </c>
      <c r="K204" t="e">
        <f>IF($J204&gt;MAX('Match Log'!$A$4:$A$810),NA(),IFERROR(LOOKUP(2,1/(('Match Log'!$D$4:$D$810=$K$24)*('Match Log'!$A$4:$A$810&lt;=$J204)),'Match Log'!$N$4:$N$810),NA()))</f>
        <v>#N/A</v>
      </c>
      <c r="L204" t="e">
        <f>IF($J204&gt;MAX('Match Log'!$A$4:$A$810),NA(),IFERROR(LOOKUP(2,1/(('Match Log'!$D$4:$D$810=$L$24)*('Match Log'!$A$4:$A$810&lt;=$J204)),'Match Log'!$N$4:$N$810),NA()))</f>
        <v>#N/A</v>
      </c>
      <c r="M204" t="e">
        <f>IF($J204&gt;MAX('Match Log'!$A$4:$A$810),NA(),IFERROR(LOOKUP(2,1/(('Match Log'!$D$4:$D$810=$M$24)*('Match Log'!$A$4:$A$810&lt;=$J204)),'Match Log'!$N$4:$N$810),NA()))</f>
        <v>#N/A</v>
      </c>
      <c r="N204" t="e">
        <f>IF($J204&gt;MAX('Match Log'!$A$4:$A$810),NA(),IFERROR(LOOKUP(2,1/(('Match Log'!$D$4:$D$810=$N$24)*('Match Log'!$A$4:$A$810&lt;=$J204)),'Match Log'!$N$4:$N$810),NA()))</f>
        <v>#N/A</v>
      </c>
      <c r="O204" t="e">
        <f>IF($J204&gt;MAX('Match Log'!$A$4:$A$810),NA(),IFERROR(LOOKUP(2,1/(('Match Log'!$D$4:$D$810=$O$24)*('Match Log'!$A$4:$A$810&lt;=$J204)),'Match Log'!$N$4:$N$810),NA()))</f>
        <v>#N/A</v>
      </c>
      <c r="P204" t="e">
        <f>IF($J204&gt;MAX('Match Log'!$A$4:$A$810),NA(),IFERROR(LOOKUP(2,1/(('Match Log'!$D$4:$D$810=$P$24)*('Match Log'!$A$4:$A$810&lt;=$J204)),'Match Log'!$N$4:$N$810),NA()))</f>
        <v>#N/A</v>
      </c>
      <c r="Q204" t="e">
        <f>IF($J204&gt;MAX('Match Log'!$A$4:$A$810),NA(),IFERROR(LOOKUP(2,1/(('Match Log'!$D$4:$D$810=$Q$24)*('Match Log'!$A$4:$A$810&lt;=$J204)),'Match Log'!$N$4:$N$810),NA()))</f>
        <v>#N/A</v>
      </c>
      <c r="R204" t="e">
        <f>IF($J204&gt;MAX('Match Log'!$A$4:$A$810),NA(),IFERROR(LOOKUP(2,1/(('Match Log'!$D$4:$D$810=$R$24)*('Match Log'!$A$4:$A$810&lt;=$J204)),'Match Log'!$N$4:$N$810),NA()))</f>
        <v>#N/A</v>
      </c>
      <c r="S204" t="e">
        <f>IF($J204&gt;MAX('Match Log'!$A$4:$A$810),NA(),IFERROR(LOOKUP(2,1/(('Match Log'!$D$4:$D$810=$S$24)*('Match Log'!$A$4:$A$810&lt;=$J204)),'Match Log'!$N$4:$N$810),NA()))</f>
        <v>#N/A</v>
      </c>
      <c r="T204" t="e">
        <f>IF($J204&gt;MAX('Match Log'!$A$4:$A$810),NA(),IFERROR(LOOKUP(2,1/(('Match Log'!$D$4:$D$810=$T$24)*('Match Log'!$A$4:$A$810&lt;=$J204)),'Match Log'!$N$4:$N$810),NA()))</f>
        <v>#N/A</v>
      </c>
      <c r="U204" t="e">
        <f>IF($J204&gt;MAX('Match Log'!$A$4:$A$810),NA(),IFERROR(LOOKUP(2,1/(('Match Log'!$D$4:$D$810=$U$24)*('Match Log'!$A$4:$A$810&lt;=$J204)),'Match Log'!$N$4:$N$810),NA()))</f>
        <v>#N/A</v>
      </c>
      <c r="V204" t="e">
        <f>IF($J204&gt;MAX('Match Log'!$A$4:$A$810),NA(),IFERROR(LOOKUP(2,1/(('Match Log'!$D$4:$D$810=$V$24)*('Match Log'!$A$4:$A$810&lt;=$J204)),'Match Log'!$N$4:$N$810),NA()))</f>
        <v>#N/A</v>
      </c>
      <c r="W204" t="e">
        <f>IF($J204&gt;MAX('Match Log'!$A$4:$A$810),NA(),IFERROR(LOOKUP(2,1/(('Match Log'!$D$4:$D$810=$W$24)*('Match Log'!$A$4:$A$810&lt;=$J204)),'Match Log'!$N$4:$N$810),NA()))</f>
        <v>#N/A</v>
      </c>
      <c r="X204" t="e">
        <f>IF($J204&gt;MAX('Match Log'!$A$4:$A$810),NA(),IFERROR(LOOKUP(2,1/(('Match Log'!$D$4:$D$810=$X$24)*('Match Log'!$A$4:$A$810&lt;=$J204)),'Match Log'!$N$4:$N$810),NA()))</f>
        <v>#N/A</v>
      </c>
      <c r="Y204" t="str">
        <f t="shared" ca="1" si="30"/>
        <v/>
      </c>
    </row>
    <row r="205" spans="1:25" x14ac:dyDescent="0.2">
      <c r="A205">
        <v>181</v>
      </c>
      <c r="B205" t="str">
        <f>IFERROR(INDEX('Match Log'!$B$4:$B$810,MATCH(181,'Match Log'!$A$4:$A$810,0)),"")</f>
        <v/>
      </c>
      <c r="C205" t="str">
        <f>IFERROR(INDEX('Match Log'!$C$4:$C$810,MATCH(181,'Match Log'!$A$4:$A$810,0)),"")</f>
        <v/>
      </c>
      <c r="D205" t="str">
        <f t="array" ref="D205">IFERROR(_xlfn.TEXTJOIN(" + ",TRUE,IF(('Match Log'!$A$4:$A$810=$A205)*('Match Log'!$E$4:$E$810="Win"),'Match Log'!$D$4:$D$810,"")),IFERROR(LOOKUP(2,1/(('Match Log'!$A$4:$A$810=$A205)*('Match Log'!$E$4:$E$810="Win")),'Match Log'!$D$4:$D$810),""))</f>
        <v/>
      </c>
      <c r="E205" t="str">
        <f>IFERROR(INDEX('Match Log'!$F$4:$F$810,MATCH(181,'Match Log'!$A$4:$A$810,0)),"")</f>
        <v/>
      </c>
      <c r="F205">
        <f>IFERROR(SUMIFS('Match Log'!$I$4:$I$810,'Match Log'!$A$4:$A$810,181,'Match Log'!$E$4:$E$810,"Win"),"")</f>
        <v>0</v>
      </c>
      <c r="G205" t="str">
        <f t="shared" si="28"/>
        <v/>
      </c>
      <c r="H205" t="str">
        <f t="array" ref="H205">IFERROR(IF(COUNTIFS('Match Log'!$A$4:$A$810,$A205,'Match Log'!$E$4:$E$810,"Win")&gt;1,_xlfn.TEXTJOIN(" + ",TRUE,IF(('Match Log'!$A$4:$A$810=$A205)*('Match Log'!$E$4:$E$810="Loss"),'Match Log'!$D$4:$D$810,"")),IF($E205=2,LOOKUP(2,1/(('Match Log'!$A$4:$A$810=$A205)*('Match Log'!$E$4:$E$810="Loss")),'Match Log'!$D$4:$D$810),"the field")),"")</f>
        <v>the field</v>
      </c>
      <c r="I205" t="str">
        <f t="shared" si="29"/>
        <v/>
      </c>
      <c r="J205">
        <v>181</v>
      </c>
      <c r="K205" t="e">
        <f>IF($J205&gt;MAX('Match Log'!$A$4:$A$810),NA(),IFERROR(LOOKUP(2,1/(('Match Log'!$D$4:$D$810=$K$24)*('Match Log'!$A$4:$A$810&lt;=$J205)),'Match Log'!$N$4:$N$810),NA()))</f>
        <v>#N/A</v>
      </c>
      <c r="L205" t="e">
        <f>IF($J205&gt;MAX('Match Log'!$A$4:$A$810),NA(),IFERROR(LOOKUP(2,1/(('Match Log'!$D$4:$D$810=$L$24)*('Match Log'!$A$4:$A$810&lt;=$J205)),'Match Log'!$N$4:$N$810),NA()))</f>
        <v>#N/A</v>
      </c>
      <c r="M205" t="e">
        <f>IF($J205&gt;MAX('Match Log'!$A$4:$A$810),NA(),IFERROR(LOOKUP(2,1/(('Match Log'!$D$4:$D$810=$M$24)*('Match Log'!$A$4:$A$810&lt;=$J205)),'Match Log'!$N$4:$N$810),NA()))</f>
        <v>#N/A</v>
      </c>
      <c r="N205" t="e">
        <f>IF($J205&gt;MAX('Match Log'!$A$4:$A$810),NA(),IFERROR(LOOKUP(2,1/(('Match Log'!$D$4:$D$810=$N$24)*('Match Log'!$A$4:$A$810&lt;=$J205)),'Match Log'!$N$4:$N$810),NA()))</f>
        <v>#N/A</v>
      </c>
      <c r="O205" t="e">
        <f>IF($J205&gt;MAX('Match Log'!$A$4:$A$810),NA(),IFERROR(LOOKUP(2,1/(('Match Log'!$D$4:$D$810=$O$24)*('Match Log'!$A$4:$A$810&lt;=$J205)),'Match Log'!$N$4:$N$810),NA()))</f>
        <v>#N/A</v>
      </c>
      <c r="P205" t="e">
        <f>IF($J205&gt;MAX('Match Log'!$A$4:$A$810),NA(),IFERROR(LOOKUP(2,1/(('Match Log'!$D$4:$D$810=$P$24)*('Match Log'!$A$4:$A$810&lt;=$J205)),'Match Log'!$N$4:$N$810),NA()))</f>
        <v>#N/A</v>
      </c>
      <c r="Q205" t="e">
        <f>IF($J205&gt;MAX('Match Log'!$A$4:$A$810),NA(),IFERROR(LOOKUP(2,1/(('Match Log'!$D$4:$D$810=$Q$24)*('Match Log'!$A$4:$A$810&lt;=$J205)),'Match Log'!$N$4:$N$810),NA()))</f>
        <v>#N/A</v>
      </c>
      <c r="R205" t="e">
        <f>IF($J205&gt;MAX('Match Log'!$A$4:$A$810),NA(),IFERROR(LOOKUP(2,1/(('Match Log'!$D$4:$D$810=$R$24)*('Match Log'!$A$4:$A$810&lt;=$J205)),'Match Log'!$N$4:$N$810),NA()))</f>
        <v>#N/A</v>
      </c>
      <c r="S205" t="e">
        <f>IF($J205&gt;MAX('Match Log'!$A$4:$A$810),NA(),IFERROR(LOOKUP(2,1/(('Match Log'!$D$4:$D$810=$S$24)*('Match Log'!$A$4:$A$810&lt;=$J205)),'Match Log'!$N$4:$N$810),NA()))</f>
        <v>#N/A</v>
      </c>
      <c r="T205" t="e">
        <f>IF($J205&gt;MAX('Match Log'!$A$4:$A$810),NA(),IFERROR(LOOKUP(2,1/(('Match Log'!$D$4:$D$810=$T$24)*('Match Log'!$A$4:$A$810&lt;=$J205)),'Match Log'!$N$4:$N$810),NA()))</f>
        <v>#N/A</v>
      </c>
      <c r="U205" t="e">
        <f>IF($J205&gt;MAX('Match Log'!$A$4:$A$810),NA(),IFERROR(LOOKUP(2,1/(('Match Log'!$D$4:$D$810=$U$24)*('Match Log'!$A$4:$A$810&lt;=$J205)),'Match Log'!$N$4:$N$810),NA()))</f>
        <v>#N/A</v>
      </c>
      <c r="V205" t="e">
        <f>IF($J205&gt;MAX('Match Log'!$A$4:$A$810),NA(),IFERROR(LOOKUP(2,1/(('Match Log'!$D$4:$D$810=$V$24)*('Match Log'!$A$4:$A$810&lt;=$J205)),'Match Log'!$N$4:$N$810),NA()))</f>
        <v>#N/A</v>
      </c>
      <c r="W205" t="e">
        <f>IF($J205&gt;MAX('Match Log'!$A$4:$A$810),NA(),IFERROR(LOOKUP(2,1/(('Match Log'!$D$4:$D$810=$W$24)*('Match Log'!$A$4:$A$810&lt;=$J205)),'Match Log'!$N$4:$N$810),NA()))</f>
        <v>#N/A</v>
      </c>
      <c r="X205" t="e">
        <f>IF($J205&gt;MAX('Match Log'!$A$4:$A$810),NA(),IFERROR(LOOKUP(2,1/(('Match Log'!$D$4:$D$810=$X$24)*('Match Log'!$A$4:$A$810&lt;=$J205)),'Match Log'!$N$4:$N$810),NA()))</f>
        <v>#N/A</v>
      </c>
      <c r="Y205" t="str">
        <f t="shared" ca="1" si="30"/>
        <v/>
      </c>
    </row>
    <row r="206" spans="1:25" x14ac:dyDescent="0.2">
      <c r="A206">
        <v>182</v>
      </c>
      <c r="B206" t="str">
        <f>IFERROR(INDEX('Match Log'!$B$4:$B$810,MATCH(182,'Match Log'!$A$4:$A$810,0)),"")</f>
        <v/>
      </c>
      <c r="C206" t="str">
        <f>IFERROR(INDEX('Match Log'!$C$4:$C$810,MATCH(182,'Match Log'!$A$4:$A$810,0)),"")</f>
        <v/>
      </c>
      <c r="D206" t="str">
        <f t="array" ref="D206">IFERROR(_xlfn.TEXTJOIN(" + ",TRUE,IF(('Match Log'!$A$4:$A$810=$A206)*('Match Log'!$E$4:$E$810="Win"),'Match Log'!$D$4:$D$810,"")),IFERROR(LOOKUP(2,1/(('Match Log'!$A$4:$A$810=$A206)*('Match Log'!$E$4:$E$810="Win")),'Match Log'!$D$4:$D$810),""))</f>
        <v/>
      </c>
      <c r="E206" t="str">
        <f>IFERROR(INDEX('Match Log'!$F$4:$F$810,MATCH(182,'Match Log'!$A$4:$A$810,0)),"")</f>
        <v/>
      </c>
      <c r="F206">
        <f>IFERROR(SUMIFS('Match Log'!$I$4:$I$810,'Match Log'!$A$4:$A$810,182,'Match Log'!$E$4:$E$810,"Win"),"")</f>
        <v>0</v>
      </c>
      <c r="G206" t="str">
        <f t="shared" si="28"/>
        <v/>
      </c>
      <c r="H206" t="str">
        <f t="array" ref="H206">IFERROR(IF(COUNTIFS('Match Log'!$A$4:$A$810,$A206,'Match Log'!$E$4:$E$810,"Win")&gt;1,_xlfn.TEXTJOIN(" + ",TRUE,IF(('Match Log'!$A$4:$A$810=$A206)*('Match Log'!$E$4:$E$810="Loss"),'Match Log'!$D$4:$D$810,"")),IF($E206=2,LOOKUP(2,1/(('Match Log'!$A$4:$A$810=$A206)*('Match Log'!$E$4:$E$810="Loss")),'Match Log'!$D$4:$D$810),"the field")),"")</f>
        <v>the field</v>
      </c>
      <c r="I206" t="str">
        <f t="shared" si="29"/>
        <v/>
      </c>
      <c r="J206">
        <v>182</v>
      </c>
      <c r="K206" t="e">
        <f>IF($J206&gt;MAX('Match Log'!$A$4:$A$810),NA(),IFERROR(LOOKUP(2,1/(('Match Log'!$D$4:$D$810=$K$24)*('Match Log'!$A$4:$A$810&lt;=$J206)),'Match Log'!$N$4:$N$810),NA()))</f>
        <v>#N/A</v>
      </c>
      <c r="L206" t="e">
        <f>IF($J206&gt;MAX('Match Log'!$A$4:$A$810),NA(),IFERROR(LOOKUP(2,1/(('Match Log'!$D$4:$D$810=$L$24)*('Match Log'!$A$4:$A$810&lt;=$J206)),'Match Log'!$N$4:$N$810),NA()))</f>
        <v>#N/A</v>
      </c>
      <c r="M206" t="e">
        <f>IF($J206&gt;MAX('Match Log'!$A$4:$A$810),NA(),IFERROR(LOOKUP(2,1/(('Match Log'!$D$4:$D$810=$M$24)*('Match Log'!$A$4:$A$810&lt;=$J206)),'Match Log'!$N$4:$N$810),NA()))</f>
        <v>#N/A</v>
      </c>
      <c r="N206" t="e">
        <f>IF($J206&gt;MAX('Match Log'!$A$4:$A$810),NA(),IFERROR(LOOKUP(2,1/(('Match Log'!$D$4:$D$810=$N$24)*('Match Log'!$A$4:$A$810&lt;=$J206)),'Match Log'!$N$4:$N$810),NA()))</f>
        <v>#N/A</v>
      </c>
      <c r="O206" t="e">
        <f>IF($J206&gt;MAX('Match Log'!$A$4:$A$810),NA(),IFERROR(LOOKUP(2,1/(('Match Log'!$D$4:$D$810=$O$24)*('Match Log'!$A$4:$A$810&lt;=$J206)),'Match Log'!$N$4:$N$810),NA()))</f>
        <v>#N/A</v>
      </c>
      <c r="P206" t="e">
        <f>IF($J206&gt;MAX('Match Log'!$A$4:$A$810),NA(),IFERROR(LOOKUP(2,1/(('Match Log'!$D$4:$D$810=$P$24)*('Match Log'!$A$4:$A$810&lt;=$J206)),'Match Log'!$N$4:$N$810),NA()))</f>
        <v>#N/A</v>
      </c>
      <c r="Q206" t="e">
        <f>IF($J206&gt;MAX('Match Log'!$A$4:$A$810),NA(),IFERROR(LOOKUP(2,1/(('Match Log'!$D$4:$D$810=$Q$24)*('Match Log'!$A$4:$A$810&lt;=$J206)),'Match Log'!$N$4:$N$810),NA()))</f>
        <v>#N/A</v>
      </c>
      <c r="R206" t="e">
        <f>IF($J206&gt;MAX('Match Log'!$A$4:$A$810),NA(),IFERROR(LOOKUP(2,1/(('Match Log'!$D$4:$D$810=$R$24)*('Match Log'!$A$4:$A$810&lt;=$J206)),'Match Log'!$N$4:$N$810),NA()))</f>
        <v>#N/A</v>
      </c>
      <c r="S206" t="e">
        <f>IF($J206&gt;MAX('Match Log'!$A$4:$A$810),NA(),IFERROR(LOOKUP(2,1/(('Match Log'!$D$4:$D$810=$S$24)*('Match Log'!$A$4:$A$810&lt;=$J206)),'Match Log'!$N$4:$N$810),NA()))</f>
        <v>#N/A</v>
      </c>
      <c r="T206" t="e">
        <f>IF($J206&gt;MAX('Match Log'!$A$4:$A$810),NA(),IFERROR(LOOKUP(2,1/(('Match Log'!$D$4:$D$810=$T$24)*('Match Log'!$A$4:$A$810&lt;=$J206)),'Match Log'!$N$4:$N$810),NA()))</f>
        <v>#N/A</v>
      </c>
      <c r="U206" t="e">
        <f>IF($J206&gt;MAX('Match Log'!$A$4:$A$810),NA(),IFERROR(LOOKUP(2,1/(('Match Log'!$D$4:$D$810=$U$24)*('Match Log'!$A$4:$A$810&lt;=$J206)),'Match Log'!$N$4:$N$810),NA()))</f>
        <v>#N/A</v>
      </c>
      <c r="V206" t="e">
        <f>IF($J206&gt;MAX('Match Log'!$A$4:$A$810),NA(),IFERROR(LOOKUP(2,1/(('Match Log'!$D$4:$D$810=$V$24)*('Match Log'!$A$4:$A$810&lt;=$J206)),'Match Log'!$N$4:$N$810),NA()))</f>
        <v>#N/A</v>
      </c>
      <c r="W206" t="e">
        <f>IF($J206&gt;MAX('Match Log'!$A$4:$A$810),NA(),IFERROR(LOOKUP(2,1/(('Match Log'!$D$4:$D$810=$W$24)*('Match Log'!$A$4:$A$810&lt;=$J206)),'Match Log'!$N$4:$N$810),NA()))</f>
        <v>#N/A</v>
      </c>
      <c r="X206" t="e">
        <f>IF($J206&gt;MAX('Match Log'!$A$4:$A$810),NA(),IFERROR(LOOKUP(2,1/(('Match Log'!$D$4:$D$810=$X$24)*('Match Log'!$A$4:$A$810&lt;=$J206)),'Match Log'!$N$4:$N$810),NA()))</f>
        <v>#N/A</v>
      </c>
      <c r="Y206" t="str">
        <f t="shared" ca="1" si="30"/>
        <v/>
      </c>
    </row>
    <row r="207" spans="1:25" x14ac:dyDescent="0.2">
      <c r="A207">
        <v>183</v>
      </c>
      <c r="B207" t="str">
        <f>IFERROR(INDEX('Match Log'!$B$4:$B$810,MATCH(183,'Match Log'!$A$4:$A$810,0)),"")</f>
        <v/>
      </c>
      <c r="C207" t="str">
        <f>IFERROR(INDEX('Match Log'!$C$4:$C$810,MATCH(183,'Match Log'!$A$4:$A$810,0)),"")</f>
        <v/>
      </c>
      <c r="D207" t="str">
        <f t="array" ref="D207">IFERROR(_xlfn.TEXTJOIN(" + ",TRUE,IF(('Match Log'!$A$4:$A$810=$A207)*('Match Log'!$E$4:$E$810="Win"),'Match Log'!$D$4:$D$810,"")),IFERROR(LOOKUP(2,1/(('Match Log'!$A$4:$A$810=$A207)*('Match Log'!$E$4:$E$810="Win")),'Match Log'!$D$4:$D$810),""))</f>
        <v/>
      </c>
      <c r="E207" t="str">
        <f>IFERROR(INDEX('Match Log'!$F$4:$F$810,MATCH(183,'Match Log'!$A$4:$A$810,0)),"")</f>
        <v/>
      </c>
      <c r="F207">
        <f>IFERROR(SUMIFS('Match Log'!$I$4:$I$810,'Match Log'!$A$4:$A$810,183,'Match Log'!$E$4:$E$810,"Win"),"")</f>
        <v>0</v>
      </c>
      <c r="G207" t="str">
        <f t="shared" si="28"/>
        <v/>
      </c>
      <c r="H207" t="str">
        <f t="array" ref="H207">IFERROR(IF(COUNTIFS('Match Log'!$A$4:$A$810,$A207,'Match Log'!$E$4:$E$810,"Win")&gt;1,_xlfn.TEXTJOIN(" + ",TRUE,IF(('Match Log'!$A$4:$A$810=$A207)*('Match Log'!$E$4:$E$810="Loss"),'Match Log'!$D$4:$D$810,"")),IF($E207=2,LOOKUP(2,1/(('Match Log'!$A$4:$A$810=$A207)*('Match Log'!$E$4:$E$810="Loss")),'Match Log'!$D$4:$D$810),"the field")),"")</f>
        <v>the field</v>
      </c>
      <c r="I207" t="str">
        <f t="shared" si="29"/>
        <v/>
      </c>
      <c r="J207">
        <v>183</v>
      </c>
      <c r="K207" t="e">
        <f>IF($J207&gt;MAX('Match Log'!$A$4:$A$810),NA(),IFERROR(LOOKUP(2,1/(('Match Log'!$D$4:$D$810=$K$24)*('Match Log'!$A$4:$A$810&lt;=$J207)),'Match Log'!$N$4:$N$810),NA()))</f>
        <v>#N/A</v>
      </c>
      <c r="L207" t="e">
        <f>IF($J207&gt;MAX('Match Log'!$A$4:$A$810),NA(),IFERROR(LOOKUP(2,1/(('Match Log'!$D$4:$D$810=$L$24)*('Match Log'!$A$4:$A$810&lt;=$J207)),'Match Log'!$N$4:$N$810),NA()))</f>
        <v>#N/A</v>
      </c>
      <c r="M207" t="e">
        <f>IF($J207&gt;MAX('Match Log'!$A$4:$A$810),NA(),IFERROR(LOOKUP(2,1/(('Match Log'!$D$4:$D$810=$M$24)*('Match Log'!$A$4:$A$810&lt;=$J207)),'Match Log'!$N$4:$N$810),NA()))</f>
        <v>#N/A</v>
      </c>
      <c r="N207" t="e">
        <f>IF($J207&gt;MAX('Match Log'!$A$4:$A$810),NA(),IFERROR(LOOKUP(2,1/(('Match Log'!$D$4:$D$810=$N$24)*('Match Log'!$A$4:$A$810&lt;=$J207)),'Match Log'!$N$4:$N$810),NA()))</f>
        <v>#N/A</v>
      </c>
      <c r="O207" t="e">
        <f>IF($J207&gt;MAX('Match Log'!$A$4:$A$810),NA(),IFERROR(LOOKUP(2,1/(('Match Log'!$D$4:$D$810=$O$24)*('Match Log'!$A$4:$A$810&lt;=$J207)),'Match Log'!$N$4:$N$810),NA()))</f>
        <v>#N/A</v>
      </c>
      <c r="P207" t="e">
        <f>IF($J207&gt;MAX('Match Log'!$A$4:$A$810),NA(),IFERROR(LOOKUP(2,1/(('Match Log'!$D$4:$D$810=$P$24)*('Match Log'!$A$4:$A$810&lt;=$J207)),'Match Log'!$N$4:$N$810),NA()))</f>
        <v>#N/A</v>
      </c>
      <c r="Q207" t="e">
        <f>IF($J207&gt;MAX('Match Log'!$A$4:$A$810),NA(),IFERROR(LOOKUP(2,1/(('Match Log'!$D$4:$D$810=$Q$24)*('Match Log'!$A$4:$A$810&lt;=$J207)),'Match Log'!$N$4:$N$810),NA()))</f>
        <v>#N/A</v>
      </c>
      <c r="R207" t="e">
        <f>IF($J207&gt;MAX('Match Log'!$A$4:$A$810),NA(),IFERROR(LOOKUP(2,1/(('Match Log'!$D$4:$D$810=$R$24)*('Match Log'!$A$4:$A$810&lt;=$J207)),'Match Log'!$N$4:$N$810),NA()))</f>
        <v>#N/A</v>
      </c>
      <c r="S207" t="e">
        <f>IF($J207&gt;MAX('Match Log'!$A$4:$A$810),NA(),IFERROR(LOOKUP(2,1/(('Match Log'!$D$4:$D$810=$S$24)*('Match Log'!$A$4:$A$810&lt;=$J207)),'Match Log'!$N$4:$N$810),NA()))</f>
        <v>#N/A</v>
      </c>
      <c r="T207" t="e">
        <f>IF($J207&gt;MAX('Match Log'!$A$4:$A$810),NA(),IFERROR(LOOKUP(2,1/(('Match Log'!$D$4:$D$810=$T$24)*('Match Log'!$A$4:$A$810&lt;=$J207)),'Match Log'!$N$4:$N$810),NA()))</f>
        <v>#N/A</v>
      </c>
      <c r="U207" t="e">
        <f>IF($J207&gt;MAX('Match Log'!$A$4:$A$810),NA(),IFERROR(LOOKUP(2,1/(('Match Log'!$D$4:$D$810=$U$24)*('Match Log'!$A$4:$A$810&lt;=$J207)),'Match Log'!$N$4:$N$810),NA()))</f>
        <v>#N/A</v>
      </c>
      <c r="V207" t="e">
        <f>IF($J207&gt;MAX('Match Log'!$A$4:$A$810),NA(),IFERROR(LOOKUP(2,1/(('Match Log'!$D$4:$D$810=$V$24)*('Match Log'!$A$4:$A$810&lt;=$J207)),'Match Log'!$N$4:$N$810),NA()))</f>
        <v>#N/A</v>
      </c>
      <c r="W207" t="e">
        <f>IF($J207&gt;MAX('Match Log'!$A$4:$A$810),NA(),IFERROR(LOOKUP(2,1/(('Match Log'!$D$4:$D$810=$W$24)*('Match Log'!$A$4:$A$810&lt;=$J207)),'Match Log'!$N$4:$N$810),NA()))</f>
        <v>#N/A</v>
      </c>
      <c r="X207" t="e">
        <f>IF($J207&gt;MAX('Match Log'!$A$4:$A$810),NA(),IFERROR(LOOKUP(2,1/(('Match Log'!$D$4:$D$810=$X$24)*('Match Log'!$A$4:$A$810&lt;=$J207)),'Match Log'!$N$4:$N$810),NA()))</f>
        <v>#N/A</v>
      </c>
      <c r="Y207" t="str">
        <f t="shared" ca="1" si="30"/>
        <v/>
      </c>
    </row>
    <row r="208" spans="1:25" x14ac:dyDescent="0.2">
      <c r="A208">
        <v>184</v>
      </c>
      <c r="B208" t="str">
        <f>IFERROR(INDEX('Match Log'!$B$4:$B$810,MATCH(184,'Match Log'!$A$4:$A$810,0)),"")</f>
        <v/>
      </c>
      <c r="C208" t="str">
        <f>IFERROR(INDEX('Match Log'!$C$4:$C$810,MATCH(184,'Match Log'!$A$4:$A$810,0)),"")</f>
        <v/>
      </c>
      <c r="D208" t="str">
        <f t="array" ref="D208">IFERROR(_xlfn.TEXTJOIN(" + ",TRUE,IF(('Match Log'!$A$4:$A$810=$A208)*('Match Log'!$E$4:$E$810="Win"),'Match Log'!$D$4:$D$810,"")),IFERROR(LOOKUP(2,1/(('Match Log'!$A$4:$A$810=$A208)*('Match Log'!$E$4:$E$810="Win")),'Match Log'!$D$4:$D$810),""))</f>
        <v/>
      </c>
      <c r="E208" t="str">
        <f>IFERROR(INDEX('Match Log'!$F$4:$F$810,MATCH(184,'Match Log'!$A$4:$A$810,0)),"")</f>
        <v/>
      </c>
      <c r="F208">
        <f>IFERROR(SUMIFS('Match Log'!$I$4:$I$810,'Match Log'!$A$4:$A$810,184,'Match Log'!$E$4:$E$810,"Win"),"")</f>
        <v>0</v>
      </c>
      <c r="G208" t="str">
        <f t="shared" si="28"/>
        <v/>
      </c>
      <c r="H208" t="str">
        <f t="array" ref="H208">IFERROR(IF(COUNTIFS('Match Log'!$A$4:$A$810,$A208,'Match Log'!$E$4:$E$810,"Win")&gt;1,_xlfn.TEXTJOIN(" + ",TRUE,IF(('Match Log'!$A$4:$A$810=$A208)*('Match Log'!$E$4:$E$810="Loss"),'Match Log'!$D$4:$D$810,"")),IF($E208=2,LOOKUP(2,1/(('Match Log'!$A$4:$A$810=$A208)*('Match Log'!$E$4:$E$810="Loss")),'Match Log'!$D$4:$D$810),"the field")),"")</f>
        <v>the field</v>
      </c>
      <c r="I208" t="str">
        <f t="shared" si="29"/>
        <v/>
      </c>
      <c r="J208">
        <v>184</v>
      </c>
      <c r="K208" t="e">
        <f>IF($J208&gt;MAX('Match Log'!$A$4:$A$810),NA(),IFERROR(LOOKUP(2,1/(('Match Log'!$D$4:$D$810=$K$24)*('Match Log'!$A$4:$A$810&lt;=$J208)),'Match Log'!$N$4:$N$810),NA()))</f>
        <v>#N/A</v>
      </c>
      <c r="L208" t="e">
        <f>IF($J208&gt;MAX('Match Log'!$A$4:$A$810),NA(),IFERROR(LOOKUP(2,1/(('Match Log'!$D$4:$D$810=$L$24)*('Match Log'!$A$4:$A$810&lt;=$J208)),'Match Log'!$N$4:$N$810),NA()))</f>
        <v>#N/A</v>
      </c>
      <c r="M208" t="e">
        <f>IF($J208&gt;MAX('Match Log'!$A$4:$A$810),NA(),IFERROR(LOOKUP(2,1/(('Match Log'!$D$4:$D$810=$M$24)*('Match Log'!$A$4:$A$810&lt;=$J208)),'Match Log'!$N$4:$N$810),NA()))</f>
        <v>#N/A</v>
      </c>
      <c r="N208" t="e">
        <f>IF($J208&gt;MAX('Match Log'!$A$4:$A$810),NA(),IFERROR(LOOKUP(2,1/(('Match Log'!$D$4:$D$810=$N$24)*('Match Log'!$A$4:$A$810&lt;=$J208)),'Match Log'!$N$4:$N$810),NA()))</f>
        <v>#N/A</v>
      </c>
      <c r="O208" t="e">
        <f>IF($J208&gt;MAX('Match Log'!$A$4:$A$810),NA(),IFERROR(LOOKUP(2,1/(('Match Log'!$D$4:$D$810=$O$24)*('Match Log'!$A$4:$A$810&lt;=$J208)),'Match Log'!$N$4:$N$810),NA()))</f>
        <v>#N/A</v>
      </c>
      <c r="P208" t="e">
        <f>IF($J208&gt;MAX('Match Log'!$A$4:$A$810),NA(),IFERROR(LOOKUP(2,1/(('Match Log'!$D$4:$D$810=$P$24)*('Match Log'!$A$4:$A$810&lt;=$J208)),'Match Log'!$N$4:$N$810),NA()))</f>
        <v>#N/A</v>
      </c>
      <c r="Q208" t="e">
        <f>IF($J208&gt;MAX('Match Log'!$A$4:$A$810),NA(),IFERROR(LOOKUP(2,1/(('Match Log'!$D$4:$D$810=$Q$24)*('Match Log'!$A$4:$A$810&lt;=$J208)),'Match Log'!$N$4:$N$810),NA()))</f>
        <v>#N/A</v>
      </c>
      <c r="R208" t="e">
        <f>IF($J208&gt;MAX('Match Log'!$A$4:$A$810),NA(),IFERROR(LOOKUP(2,1/(('Match Log'!$D$4:$D$810=$R$24)*('Match Log'!$A$4:$A$810&lt;=$J208)),'Match Log'!$N$4:$N$810),NA()))</f>
        <v>#N/A</v>
      </c>
      <c r="S208" t="e">
        <f>IF($J208&gt;MAX('Match Log'!$A$4:$A$810),NA(),IFERROR(LOOKUP(2,1/(('Match Log'!$D$4:$D$810=$S$24)*('Match Log'!$A$4:$A$810&lt;=$J208)),'Match Log'!$N$4:$N$810),NA()))</f>
        <v>#N/A</v>
      </c>
      <c r="T208" t="e">
        <f>IF($J208&gt;MAX('Match Log'!$A$4:$A$810),NA(),IFERROR(LOOKUP(2,1/(('Match Log'!$D$4:$D$810=$T$24)*('Match Log'!$A$4:$A$810&lt;=$J208)),'Match Log'!$N$4:$N$810),NA()))</f>
        <v>#N/A</v>
      </c>
      <c r="U208" t="e">
        <f>IF($J208&gt;MAX('Match Log'!$A$4:$A$810),NA(),IFERROR(LOOKUP(2,1/(('Match Log'!$D$4:$D$810=$U$24)*('Match Log'!$A$4:$A$810&lt;=$J208)),'Match Log'!$N$4:$N$810),NA()))</f>
        <v>#N/A</v>
      </c>
      <c r="V208" t="e">
        <f>IF($J208&gt;MAX('Match Log'!$A$4:$A$810),NA(),IFERROR(LOOKUP(2,1/(('Match Log'!$D$4:$D$810=$V$24)*('Match Log'!$A$4:$A$810&lt;=$J208)),'Match Log'!$N$4:$N$810),NA()))</f>
        <v>#N/A</v>
      </c>
      <c r="W208" t="e">
        <f>IF($J208&gt;MAX('Match Log'!$A$4:$A$810),NA(),IFERROR(LOOKUP(2,1/(('Match Log'!$D$4:$D$810=$W$24)*('Match Log'!$A$4:$A$810&lt;=$J208)),'Match Log'!$N$4:$N$810),NA()))</f>
        <v>#N/A</v>
      </c>
      <c r="X208" t="e">
        <f>IF($J208&gt;MAX('Match Log'!$A$4:$A$810),NA(),IFERROR(LOOKUP(2,1/(('Match Log'!$D$4:$D$810=$X$24)*('Match Log'!$A$4:$A$810&lt;=$J208)),'Match Log'!$N$4:$N$810),NA()))</f>
        <v>#N/A</v>
      </c>
      <c r="Y208" t="str">
        <f t="shared" ca="1" si="30"/>
        <v/>
      </c>
    </row>
    <row r="209" spans="1:25" x14ac:dyDescent="0.2">
      <c r="A209">
        <v>185</v>
      </c>
      <c r="B209" t="str">
        <f>IFERROR(INDEX('Match Log'!$B$4:$B$810,MATCH(185,'Match Log'!$A$4:$A$810,0)),"")</f>
        <v/>
      </c>
      <c r="C209" t="str">
        <f>IFERROR(INDEX('Match Log'!$C$4:$C$810,MATCH(185,'Match Log'!$A$4:$A$810,0)),"")</f>
        <v/>
      </c>
      <c r="D209" t="str">
        <f t="array" ref="D209">IFERROR(_xlfn.TEXTJOIN(" + ",TRUE,IF(('Match Log'!$A$4:$A$810=$A209)*('Match Log'!$E$4:$E$810="Win"),'Match Log'!$D$4:$D$810,"")),IFERROR(LOOKUP(2,1/(('Match Log'!$A$4:$A$810=$A209)*('Match Log'!$E$4:$E$810="Win")),'Match Log'!$D$4:$D$810),""))</f>
        <v/>
      </c>
      <c r="E209" t="str">
        <f>IFERROR(INDEX('Match Log'!$F$4:$F$810,MATCH(185,'Match Log'!$A$4:$A$810,0)),"")</f>
        <v/>
      </c>
      <c r="F209">
        <f>IFERROR(SUMIFS('Match Log'!$I$4:$I$810,'Match Log'!$A$4:$A$810,185,'Match Log'!$E$4:$E$810,"Win"),"")</f>
        <v>0</v>
      </c>
      <c r="G209" t="str">
        <f t="shared" ref="G209:G272" si="31">IF($D209="","",1-$F209*$E209)</f>
        <v/>
      </c>
      <c r="H209" t="str">
        <f t="array" ref="H209">IFERROR(IF(COUNTIFS('Match Log'!$A$4:$A$810,$A209,'Match Log'!$E$4:$E$810,"Win")&gt;1,_xlfn.TEXTJOIN(" + ",TRUE,IF(('Match Log'!$A$4:$A$810=$A209)*('Match Log'!$E$4:$E$810="Loss"),'Match Log'!$D$4:$D$810,"")),IF($E209=2,LOOKUP(2,1/(('Match Log'!$A$4:$A$810=$A209)*('Match Log'!$E$4:$E$810="Loss")),'Match Log'!$D$4:$D$810),"the field")),"")</f>
        <v>the field</v>
      </c>
      <c r="I209" t="str">
        <f t="shared" ref="I209:I272" si="32">IF($G209="","",$G209-$A209/1000000)</f>
        <v/>
      </c>
      <c r="J209">
        <v>185</v>
      </c>
      <c r="K209" t="e">
        <f>IF($J209&gt;MAX('Match Log'!$A$4:$A$810),NA(),IFERROR(LOOKUP(2,1/(('Match Log'!$D$4:$D$810=$K$24)*('Match Log'!$A$4:$A$810&lt;=$J209)),'Match Log'!$N$4:$N$810),NA()))</f>
        <v>#N/A</v>
      </c>
      <c r="L209" t="e">
        <f>IF($J209&gt;MAX('Match Log'!$A$4:$A$810),NA(),IFERROR(LOOKUP(2,1/(('Match Log'!$D$4:$D$810=$L$24)*('Match Log'!$A$4:$A$810&lt;=$J209)),'Match Log'!$N$4:$N$810),NA()))</f>
        <v>#N/A</v>
      </c>
      <c r="M209" t="e">
        <f>IF($J209&gt;MAX('Match Log'!$A$4:$A$810),NA(),IFERROR(LOOKUP(2,1/(('Match Log'!$D$4:$D$810=$M$24)*('Match Log'!$A$4:$A$810&lt;=$J209)),'Match Log'!$N$4:$N$810),NA()))</f>
        <v>#N/A</v>
      </c>
      <c r="N209" t="e">
        <f>IF($J209&gt;MAX('Match Log'!$A$4:$A$810),NA(),IFERROR(LOOKUP(2,1/(('Match Log'!$D$4:$D$810=$N$24)*('Match Log'!$A$4:$A$810&lt;=$J209)),'Match Log'!$N$4:$N$810),NA()))</f>
        <v>#N/A</v>
      </c>
      <c r="O209" t="e">
        <f>IF($J209&gt;MAX('Match Log'!$A$4:$A$810),NA(),IFERROR(LOOKUP(2,1/(('Match Log'!$D$4:$D$810=$O$24)*('Match Log'!$A$4:$A$810&lt;=$J209)),'Match Log'!$N$4:$N$810),NA()))</f>
        <v>#N/A</v>
      </c>
      <c r="P209" t="e">
        <f>IF($J209&gt;MAX('Match Log'!$A$4:$A$810),NA(),IFERROR(LOOKUP(2,1/(('Match Log'!$D$4:$D$810=$P$24)*('Match Log'!$A$4:$A$810&lt;=$J209)),'Match Log'!$N$4:$N$810),NA()))</f>
        <v>#N/A</v>
      </c>
      <c r="Q209" t="e">
        <f>IF($J209&gt;MAX('Match Log'!$A$4:$A$810),NA(),IFERROR(LOOKUP(2,1/(('Match Log'!$D$4:$D$810=$Q$24)*('Match Log'!$A$4:$A$810&lt;=$J209)),'Match Log'!$N$4:$N$810),NA()))</f>
        <v>#N/A</v>
      </c>
      <c r="R209" t="e">
        <f>IF($J209&gt;MAX('Match Log'!$A$4:$A$810),NA(),IFERROR(LOOKUP(2,1/(('Match Log'!$D$4:$D$810=$R$24)*('Match Log'!$A$4:$A$810&lt;=$J209)),'Match Log'!$N$4:$N$810),NA()))</f>
        <v>#N/A</v>
      </c>
      <c r="S209" t="e">
        <f>IF($J209&gt;MAX('Match Log'!$A$4:$A$810),NA(),IFERROR(LOOKUP(2,1/(('Match Log'!$D$4:$D$810=$S$24)*('Match Log'!$A$4:$A$810&lt;=$J209)),'Match Log'!$N$4:$N$810),NA()))</f>
        <v>#N/A</v>
      </c>
      <c r="T209" t="e">
        <f>IF($J209&gt;MAX('Match Log'!$A$4:$A$810),NA(),IFERROR(LOOKUP(2,1/(('Match Log'!$D$4:$D$810=$T$24)*('Match Log'!$A$4:$A$810&lt;=$J209)),'Match Log'!$N$4:$N$810),NA()))</f>
        <v>#N/A</v>
      </c>
      <c r="U209" t="e">
        <f>IF($J209&gt;MAX('Match Log'!$A$4:$A$810),NA(),IFERROR(LOOKUP(2,1/(('Match Log'!$D$4:$D$810=$U$24)*('Match Log'!$A$4:$A$810&lt;=$J209)),'Match Log'!$N$4:$N$810),NA()))</f>
        <v>#N/A</v>
      </c>
      <c r="V209" t="e">
        <f>IF($J209&gt;MAX('Match Log'!$A$4:$A$810),NA(),IFERROR(LOOKUP(2,1/(('Match Log'!$D$4:$D$810=$V$24)*('Match Log'!$A$4:$A$810&lt;=$J209)),'Match Log'!$N$4:$N$810),NA()))</f>
        <v>#N/A</v>
      </c>
      <c r="W209" t="e">
        <f>IF($J209&gt;MAX('Match Log'!$A$4:$A$810),NA(),IFERROR(LOOKUP(2,1/(('Match Log'!$D$4:$D$810=$W$24)*('Match Log'!$A$4:$A$810&lt;=$J209)),'Match Log'!$N$4:$N$810),NA()))</f>
        <v>#N/A</v>
      </c>
      <c r="X209" t="e">
        <f>IF($J209&gt;MAX('Match Log'!$A$4:$A$810),NA(),IFERROR(LOOKUP(2,1/(('Match Log'!$D$4:$D$810=$X$24)*('Match Log'!$A$4:$A$810&lt;=$J209)),'Match Log'!$N$4:$N$810),NA()))</f>
        <v>#N/A</v>
      </c>
      <c r="Y209" t="str">
        <f t="shared" ref="Y209:Y272" ca="1" si="33">IF(AND($B209&lt;&gt;"",$B209&gt;=$B$5,$I209&lt;&gt;""),$I209,"")</f>
        <v/>
      </c>
    </row>
    <row r="210" spans="1:25" x14ac:dyDescent="0.2">
      <c r="A210">
        <v>186</v>
      </c>
      <c r="B210" t="str">
        <f>IFERROR(INDEX('Match Log'!$B$4:$B$810,MATCH(186,'Match Log'!$A$4:$A$810,0)),"")</f>
        <v/>
      </c>
      <c r="C210" t="str">
        <f>IFERROR(INDEX('Match Log'!$C$4:$C$810,MATCH(186,'Match Log'!$A$4:$A$810,0)),"")</f>
        <v/>
      </c>
      <c r="D210" t="str">
        <f t="array" ref="D210">IFERROR(_xlfn.TEXTJOIN(" + ",TRUE,IF(('Match Log'!$A$4:$A$810=$A210)*('Match Log'!$E$4:$E$810="Win"),'Match Log'!$D$4:$D$810,"")),IFERROR(LOOKUP(2,1/(('Match Log'!$A$4:$A$810=$A210)*('Match Log'!$E$4:$E$810="Win")),'Match Log'!$D$4:$D$810),""))</f>
        <v/>
      </c>
      <c r="E210" t="str">
        <f>IFERROR(INDEX('Match Log'!$F$4:$F$810,MATCH(186,'Match Log'!$A$4:$A$810,0)),"")</f>
        <v/>
      </c>
      <c r="F210">
        <f>IFERROR(SUMIFS('Match Log'!$I$4:$I$810,'Match Log'!$A$4:$A$810,186,'Match Log'!$E$4:$E$810,"Win"),"")</f>
        <v>0</v>
      </c>
      <c r="G210" t="str">
        <f t="shared" si="31"/>
        <v/>
      </c>
      <c r="H210" t="str">
        <f t="array" ref="H210">IFERROR(IF(COUNTIFS('Match Log'!$A$4:$A$810,$A210,'Match Log'!$E$4:$E$810,"Win")&gt;1,_xlfn.TEXTJOIN(" + ",TRUE,IF(('Match Log'!$A$4:$A$810=$A210)*('Match Log'!$E$4:$E$810="Loss"),'Match Log'!$D$4:$D$810,"")),IF($E210=2,LOOKUP(2,1/(('Match Log'!$A$4:$A$810=$A210)*('Match Log'!$E$4:$E$810="Loss")),'Match Log'!$D$4:$D$810),"the field")),"")</f>
        <v>the field</v>
      </c>
      <c r="I210" t="str">
        <f t="shared" si="32"/>
        <v/>
      </c>
      <c r="J210">
        <v>186</v>
      </c>
      <c r="K210" t="e">
        <f>IF($J210&gt;MAX('Match Log'!$A$4:$A$810),NA(),IFERROR(LOOKUP(2,1/(('Match Log'!$D$4:$D$810=$K$24)*('Match Log'!$A$4:$A$810&lt;=$J210)),'Match Log'!$N$4:$N$810),NA()))</f>
        <v>#N/A</v>
      </c>
      <c r="L210" t="e">
        <f>IF($J210&gt;MAX('Match Log'!$A$4:$A$810),NA(),IFERROR(LOOKUP(2,1/(('Match Log'!$D$4:$D$810=$L$24)*('Match Log'!$A$4:$A$810&lt;=$J210)),'Match Log'!$N$4:$N$810),NA()))</f>
        <v>#N/A</v>
      </c>
      <c r="M210" t="e">
        <f>IF($J210&gt;MAX('Match Log'!$A$4:$A$810),NA(),IFERROR(LOOKUP(2,1/(('Match Log'!$D$4:$D$810=$M$24)*('Match Log'!$A$4:$A$810&lt;=$J210)),'Match Log'!$N$4:$N$810),NA()))</f>
        <v>#N/A</v>
      </c>
      <c r="N210" t="e">
        <f>IF($J210&gt;MAX('Match Log'!$A$4:$A$810),NA(),IFERROR(LOOKUP(2,1/(('Match Log'!$D$4:$D$810=$N$24)*('Match Log'!$A$4:$A$810&lt;=$J210)),'Match Log'!$N$4:$N$810),NA()))</f>
        <v>#N/A</v>
      </c>
      <c r="O210" t="e">
        <f>IF($J210&gt;MAX('Match Log'!$A$4:$A$810),NA(),IFERROR(LOOKUP(2,1/(('Match Log'!$D$4:$D$810=$O$24)*('Match Log'!$A$4:$A$810&lt;=$J210)),'Match Log'!$N$4:$N$810),NA()))</f>
        <v>#N/A</v>
      </c>
      <c r="P210" t="e">
        <f>IF($J210&gt;MAX('Match Log'!$A$4:$A$810),NA(),IFERROR(LOOKUP(2,1/(('Match Log'!$D$4:$D$810=$P$24)*('Match Log'!$A$4:$A$810&lt;=$J210)),'Match Log'!$N$4:$N$810),NA()))</f>
        <v>#N/A</v>
      </c>
      <c r="Q210" t="e">
        <f>IF($J210&gt;MAX('Match Log'!$A$4:$A$810),NA(),IFERROR(LOOKUP(2,1/(('Match Log'!$D$4:$D$810=$Q$24)*('Match Log'!$A$4:$A$810&lt;=$J210)),'Match Log'!$N$4:$N$810),NA()))</f>
        <v>#N/A</v>
      </c>
      <c r="R210" t="e">
        <f>IF($J210&gt;MAX('Match Log'!$A$4:$A$810),NA(),IFERROR(LOOKUP(2,1/(('Match Log'!$D$4:$D$810=$R$24)*('Match Log'!$A$4:$A$810&lt;=$J210)),'Match Log'!$N$4:$N$810),NA()))</f>
        <v>#N/A</v>
      </c>
      <c r="S210" t="e">
        <f>IF($J210&gt;MAX('Match Log'!$A$4:$A$810),NA(),IFERROR(LOOKUP(2,1/(('Match Log'!$D$4:$D$810=$S$24)*('Match Log'!$A$4:$A$810&lt;=$J210)),'Match Log'!$N$4:$N$810),NA()))</f>
        <v>#N/A</v>
      </c>
      <c r="T210" t="e">
        <f>IF($J210&gt;MAX('Match Log'!$A$4:$A$810),NA(),IFERROR(LOOKUP(2,1/(('Match Log'!$D$4:$D$810=$T$24)*('Match Log'!$A$4:$A$810&lt;=$J210)),'Match Log'!$N$4:$N$810),NA()))</f>
        <v>#N/A</v>
      </c>
      <c r="U210" t="e">
        <f>IF($J210&gt;MAX('Match Log'!$A$4:$A$810),NA(),IFERROR(LOOKUP(2,1/(('Match Log'!$D$4:$D$810=$U$24)*('Match Log'!$A$4:$A$810&lt;=$J210)),'Match Log'!$N$4:$N$810),NA()))</f>
        <v>#N/A</v>
      </c>
      <c r="V210" t="e">
        <f>IF($J210&gt;MAX('Match Log'!$A$4:$A$810),NA(),IFERROR(LOOKUP(2,1/(('Match Log'!$D$4:$D$810=$V$24)*('Match Log'!$A$4:$A$810&lt;=$J210)),'Match Log'!$N$4:$N$810),NA()))</f>
        <v>#N/A</v>
      </c>
      <c r="W210" t="e">
        <f>IF($J210&gt;MAX('Match Log'!$A$4:$A$810),NA(),IFERROR(LOOKUP(2,1/(('Match Log'!$D$4:$D$810=$W$24)*('Match Log'!$A$4:$A$810&lt;=$J210)),'Match Log'!$N$4:$N$810),NA()))</f>
        <v>#N/A</v>
      </c>
      <c r="X210" t="e">
        <f>IF($J210&gt;MAX('Match Log'!$A$4:$A$810),NA(),IFERROR(LOOKUP(2,1/(('Match Log'!$D$4:$D$810=$X$24)*('Match Log'!$A$4:$A$810&lt;=$J210)),'Match Log'!$N$4:$N$810),NA()))</f>
        <v>#N/A</v>
      </c>
      <c r="Y210" t="str">
        <f t="shared" ca="1" si="33"/>
        <v/>
      </c>
    </row>
    <row r="211" spans="1:25" x14ac:dyDescent="0.2">
      <c r="A211">
        <v>187</v>
      </c>
      <c r="B211" t="str">
        <f>IFERROR(INDEX('Match Log'!$B$4:$B$810,MATCH(187,'Match Log'!$A$4:$A$810,0)),"")</f>
        <v/>
      </c>
      <c r="C211" t="str">
        <f>IFERROR(INDEX('Match Log'!$C$4:$C$810,MATCH(187,'Match Log'!$A$4:$A$810,0)),"")</f>
        <v/>
      </c>
      <c r="D211" t="str">
        <f t="array" ref="D211">IFERROR(_xlfn.TEXTJOIN(" + ",TRUE,IF(('Match Log'!$A$4:$A$810=$A211)*('Match Log'!$E$4:$E$810="Win"),'Match Log'!$D$4:$D$810,"")),IFERROR(LOOKUP(2,1/(('Match Log'!$A$4:$A$810=$A211)*('Match Log'!$E$4:$E$810="Win")),'Match Log'!$D$4:$D$810),""))</f>
        <v/>
      </c>
      <c r="E211" t="str">
        <f>IFERROR(INDEX('Match Log'!$F$4:$F$810,MATCH(187,'Match Log'!$A$4:$A$810,0)),"")</f>
        <v/>
      </c>
      <c r="F211">
        <f>IFERROR(SUMIFS('Match Log'!$I$4:$I$810,'Match Log'!$A$4:$A$810,187,'Match Log'!$E$4:$E$810,"Win"),"")</f>
        <v>0</v>
      </c>
      <c r="G211" t="str">
        <f t="shared" si="31"/>
        <v/>
      </c>
      <c r="H211" t="str">
        <f t="array" ref="H211">IFERROR(IF(COUNTIFS('Match Log'!$A$4:$A$810,$A211,'Match Log'!$E$4:$E$810,"Win")&gt;1,_xlfn.TEXTJOIN(" + ",TRUE,IF(('Match Log'!$A$4:$A$810=$A211)*('Match Log'!$E$4:$E$810="Loss"),'Match Log'!$D$4:$D$810,"")),IF($E211=2,LOOKUP(2,1/(('Match Log'!$A$4:$A$810=$A211)*('Match Log'!$E$4:$E$810="Loss")),'Match Log'!$D$4:$D$810),"the field")),"")</f>
        <v>the field</v>
      </c>
      <c r="I211" t="str">
        <f t="shared" si="32"/>
        <v/>
      </c>
      <c r="J211">
        <v>187</v>
      </c>
      <c r="K211" t="e">
        <f>IF($J211&gt;MAX('Match Log'!$A$4:$A$810),NA(),IFERROR(LOOKUP(2,1/(('Match Log'!$D$4:$D$810=$K$24)*('Match Log'!$A$4:$A$810&lt;=$J211)),'Match Log'!$N$4:$N$810),NA()))</f>
        <v>#N/A</v>
      </c>
      <c r="L211" t="e">
        <f>IF($J211&gt;MAX('Match Log'!$A$4:$A$810),NA(),IFERROR(LOOKUP(2,1/(('Match Log'!$D$4:$D$810=$L$24)*('Match Log'!$A$4:$A$810&lt;=$J211)),'Match Log'!$N$4:$N$810),NA()))</f>
        <v>#N/A</v>
      </c>
      <c r="M211" t="e">
        <f>IF($J211&gt;MAX('Match Log'!$A$4:$A$810),NA(),IFERROR(LOOKUP(2,1/(('Match Log'!$D$4:$D$810=$M$24)*('Match Log'!$A$4:$A$810&lt;=$J211)),'Match Log'!$N$4:$N$810),NA()))</f>
        <v>#N/A</v>
      </c>
      <c r="N211" t="e">
        <f>IF($J211&gt;MAX('Match Log'!$A$4:$A$810),NA(),IFERROR(LOOKUP(2,1/(('Match Log'!$D$4:$D$810=$N$24)*('Match Log'!$A$4:$A$810&lt;=$J211)),'Match Log'!$N$4:$N$810),NA()))</f>
        <v>#N/A</v>
      </c>
      <c r="O211" t="e">
        <f>IF($J211&gt;MAX('Match Log'!$A$4:$A$810),NA(),IFERROR(LOOKUP(2,1/(('Match Log'!$D$4:$D$810=$O$24)*('Match Log'!$A$4:$A$810&lt;=$J211)),'Match Log'!$N$4:$N$810),NA()))</f>
        <v>#N/A</v>
      </c>
      <c r="P211" t="e">
        <f>IF($J211&gt;MAX('Match Log'!$A$4:$A$810),NA(),IFERROR(LOOKUP(2,1/(('Match Log'!$D$4:$D$810=$P$24)*('Match Log'!$A$4:$A$810&lt;=$J211)),'Match Log'!$N$4:$N$810),NA()))</f>
        <v>#N/A</v>
      </c>
      <c r="Q211" t="e">
        <f>IF($J211&gt;MAX('Match Log'!$A$4:$A$810),NA(),IFERROR(LOOKUP(2,1/(('Match Log'!$D$4:$D$810=$Q$24)*('Match Log'!$A$4:$A$810&lt;=$J211)),'Match Log'!$N$4:$N$810),NA()))</f>
        <v>#N/A</v>
      </c>
      <c r="R211" t="e">
        <f>IF($J211&gt;MAX('Match Log'!$A$4:$A$810),NA(),IFERROR(LOOKUP(2,1/(('Match Log'!$D$4:$D$810=$R$24)*('Match Log'!$A$4:$A$810&lt;=$J211)),'Match Log'!$N$4:$N$810),NA()))</f>
        <v>#N/A</v>
      </c>
      <c r="S211" t="e">
        <f>IF($J211&gt;MAX('Match Log'!$A$4:$A$810),NA(),IFERROR(LOOKUP(2,1/(('Match Log'!$D$4:$D$810=$S$24)*('Match Log'!$A$4:$A$810&lt;=$J211)),'Match Log'!$N$4:$N$810),NA()))</f>
        <v>#N/A</v>
      </c>
      <c r="T211" t="e">
        <f>IF($J211&gt;MAX('Match Log'!$A$4:$A$810),NA(),IFERROR(LOOKUP(2,1/(('Match Log'!$D$4:$D$810=$T$24)*('Match Log'!$A$4:$A$810&lt;=$J211)),'Match Log'!$N$4:$N$810),NA()))</f>
        <v>#N/A</v>
      </c>
      <c r="U211" t="e">
        <f>IF($J211&gt;MAX('Match Log'!$A$4:$A$810),NA(),IFERROR(LOOKUP(2,1/(('Match Log'!$D$4:$D$810=$U$24)*('Match Log'!$A$4:$A$810&lt;=$J211)),'Match Log'!$N$4:$N$810),NA()))</f>
        <v>#N/A</v>
      </c>
      <c r="V211" t="e">
        <f>IF($J211&gt;MAX('Match Log'!$A$4:$A$810),NA(),IFERROR(LOOKUP(2,1/(('Match Log'!$D$4:$D$810=$V$24)*('Match Log'!$A$4:$A$810&lt;=$J211)),'Match Log'!$N$4:$N$810),NA()))</f>
        <v>#N/A</v>
      </c>
      <c r="W211" t="e">
        <f>IF($J211&gt;MAX('Match Log'!$A$4:$A$810),NA(),IFERROR(LOOKUP(2,1/(('Match Log'!$D$4:$D$810=$W$24)*('Match Log'!$A$4:$A$810&lt;=$J211)),'Match Log'!$N$4:$N$810),NA()))</f>
        <v>#N/A</v>
      </c>
      <c r="X211" t="e">
        <f>IF($J211&gt;MAX('Match Log'!$A$4:$A$810),NA(),IFERROR(LOOKUP(2,1/(('Match Log'!$D$4:$D$810=$X$24)*('Match Log'!$A$4:$A$810&lt;=$J211)),'Match Log'!$N$4:$N$810),NA()))</f>
        <v>#N/A</v>
      </c>
      <c r="Y211" t="str">
        <f t="shared" ca="1" si="33"/>
        <v/>
      </c>
    </row>
    <row r="212" spans="1:25" x14ac:dyDescent="0.2">
      <c r="A212">
        <v>188</v>
      </c>
      <c r="B212" t="str">
        <f>IFERROR(INDEX('Match Log'!$B$4:$B$810,MATCH(188,'Match Log'!$A$4:$A$810,0)),"")</f>
        <v/>
      </c>
      <c r="C212" t="str">
        <f>IFERROR(INDEX('Match Log'!$C$4:$C$810,MATCH(188,'Match Log'!$A$4:$A$810,0)),"")</f>
        <v/>
      </c>
      <c r="D212" t="str">
        <f t="array" ref="D212">IFERROR(_xlfn.TEXTJOIN(" + ",TRUE,IF(('Match Log'!$A$4:$A$810=$A212)*('Match Log'!$E$4:$E$810="Win"),'Match Log'!$D$4:$D$810,"")),IFERROR(LOOKUP(2,1/(('Match Log'!$A$4:$A$810=$A212)*('Match Log'!$E$4:$E$810="Win")),'Match Log'!$D$4:$D$810),""))</f>
        <v/>
      </c>
      <c r="E212" t="str">
        <f>IFERROR(INDEX('Match Log'!$F$4:$F$810,MATCH(188,'Match Log'!$A$4:$A$810,0)),"")</f>
        <v/>
      </c>
      <c r="F212">
        <f>IFERROR(SUMIFS('Match Log'!$I$4:$I$810,'Match Log'!$A$4:$A$810,188,'Match Log'!$E$4:$E$810,"Win"),"")</f>
        <v>0</v>
      </c>
      <c r="G212" t="str">
        <f t="shared" si="31"/>
        <v/>
      </c>
      <c r="H212" t="str">
        <f t="array" ref="H212">IFERROR(IF(COUNTIFS('Match Log'!$A$4:$A$810,$A212,'Match Log'!$E$4:$E$810,"Win")&gt;1,_xlfn.TEXTJOIN(" + ",TRUE,IF(('Match Log'!$A$4:$A$810=$A212)*('Match Log'!$E$4:$E$810="Loss"),'Match Log'!$D$4:$D$810,"")),IF($E212=2,LOOKUP(2,1/(('Match Log'!$A$4:$A$810=$A212)*('Match Log'!$E$4:$E$810="Loss")),'Match Log'!$D$4:$D$810),"the field")),"")</f>
        <v>the field</v>
      </c>
      <c r="I212" t="str">
        <f t="shared" si="32"/>
        <v/>
      </c>
      <c r="J212">
        <v>188</v>
      </c>
      <c r="K212" t="e">
        <f>IF($J212&gt;MAX('Match Log'!$A$4:$A$810),NA(),IFERROR(LOOKUP(2,1/(('Match Log'!$D$4:$D$810=$K$24)*('Match Log'!$A$4:$A$810&lt;=$J212)),'Match Log'!$N$4:$N$810),NA()))</f>
        <v>#N/A</v>
      </c>
      <c r="L212" t="e">
        <f>IF($J212&gt;MAX('Match Log'!$A$4:$A$810),NA(),IFERROR(LOOKUP(2,1/(('Match Log'!$D$4:$D$810=$L$24)*('Match Log'!$A$4:$A$810&lt;=$J212)),'Match Log'!$N$4:$N$810),NA()))</f>
        <v>#N/A</v>
      </c>
      <c r="M212" t="e">
        <f>IF($J212&gt;MAX('Match Log'!$A$4:$A$810),NA(),IFERROR(LOOKUP(2,1/(('Match Log'!$D$4:$D$810=$M$24)*('Match Log'!$A$4:$A$810&lt;=$J212)),'Match Log'!$N$4:$N$810),NA()))</f>
        <v>#N/A</v>
      </c>
      <c r="N212" t="e">
        <f>IF($J212&gt;MAX('Match Log'!$A$4:$A$810),NA(),IFERROR(LOOKUP(2,1/(('Match Log'!$D$4:$D$810=$N$24)*('Match Log'!$A$4:$A$810&lt;=$J212)),'Match Log'!$N$4:$N$810),NA()))</f>
        <v>#N/A</v>
      </c>
      <c r="O212" t="e">
        <f>IF($J212&gt;MAX('Match Log'!$A$4:$A$810),NA(),IFERROR(LOOKUP(2,1/(('Match Log'!$D$4:$D$810=$O$24)*('Match Log'!$A$4:$A$810&lt;=$J212)),'Match Log'!$N$4:$N$810),NA()))</f>
        <v>#N/A</v>
      </c>
      <c r="P212" t="e">
        <f>IF($J212&gt;MAX('Match Log'!$A$4:$A$810),NA(),IFERROR(LOOKUP(2,1/(('Match Log'!$D$4:$D$810=$P$24)*('Match Log'!$A$4:$A$810&lt;=$J212)),'Match Log'!$N$4:$N$810),NA()))</f>
        <v>#N/A</v>
      </c>
      <c r="Q212" t="e">
        <f>IF($J212&gt;MAX('Match Log'!$A$4:$A$810),NA(),IFERROR(LOOKUP(2,1/(('Match Log'!$D$4:$D$810=$Q$24)*('Match Log'!$A$4:$A$810&lt;=$J212)),'Match Log'!$N$4:$N$810),NA()))</f>
        <v>#N/A</v>
      </c>
      <c r="R212" t="e">
        <f>IF($J212&gt;MAX('Match Log'!$A$4:$A$810),NA(),IFERROR(LOOKUP(2,1/(('Match Log'!$D$4:$D$810=$R$24)*('Match Log'!$A$4:$A$810&lt;=$J212)),'Match Log'!$N$4:$N$810),NA()))</f>
        <v>#N/A</v>
      </c>
      <c r="S212" t="e">
        <f>IF($J212&gt;MAX('Match Log'!$A$4:$A$810),NA(),IFERROR(LOOKUP(2,1/(('Match Log'!$D$4:$D$810=$S$24)*('Match Log'!$A$4:$A$810&lt;=$J212)),'Match Log'!$N$4:$N$810),NA()))</f>
        <v>#N/A</v>
      </c>
      <c r="T212" t="e">
        <f>IF($J212&gt;MAX('Match Log'!$A$4:$A$810),NA(),IFERROR(LOOKUP(2,1/(('Match Log'!$D$4:$D$810=$T$24)*('Match Log'!$A$4:$A$810&lt;=$J212)),'Match Log'!$N$4:$N$810),NA()))</f>
        <v>#N/A</v>
      </c>
      <c r="U212" t="e">
        <f>IF($J212&gt;MAX('Match Log'!$A$4:$A$810),NA(),IFERROR(LOOKUP(2,1/(('Match Log'!$D$4:$D$810=$U$24)*('Match Log'!$A$4:$A$810&lt;=$J212)),'Match Log'!$N$4:$N$810),NA()))</f>
        <v>#N/A</v>
      </c>
      <c r="V212" t="e">
        <f>IF($J212&gt;MAX('Match Log'!$A$4:$A$810),NA(),IFERROR(LOOKUP(2,1/(('Match Log'!$D$4:$D$810=$V$24)*('Match Log'!$A$4:$A$810&lt;=$J212)),'Match Log'!$N$4:$N$810),NA()))</f>
        <v>#N/A</v>
      </c>
      <c r="W212" t="e">
        <f>IF($J212&gt;MAX('Match Log'!$A$4:$A$810),NA(),IFERROR(LOOKUP(2,1/(('Match Log'!$D$4:$D$810=$W$24)*('Match Log'!$A$4:$A$810&lt;=$J212)),'Match Log'!$N$4:$N$810),NA()))</f>
        <v>#N/A</v>
      </c>
      <c r="X212" t="e">
        <f>IF($J212&gt;MAX('Match Log'!$A$4:$A$810),NA(),IFERROR(LOOKUP(2,1/(('Match Log'!$D$4:$D$810=$X$24)*('Match Log'!$A$4:$A$810&lt;=$J212)),'Match Log'!$N$4:$N$810),NA()))</f>
        <v>#N/A</v>
      </c>
      <c r="Y212" t="str">
        <f t="shared" ca="1" si="33"/>
        <v/>
      </c>
    </row>
    <row r="213" spans="1:25" x14ac:dyDescent="0.2">
      <c r="A213">
        <v>189</v>
      </c>
      <c r="B213" t="str">
        <f>IFERROR(INDEX('Match Log'!$B$4:$B$810,MATCH(189,'Match Log'!$A$4:$A$810,0)),"")</f>
        <v/>
      </c>
      <c r="C213" t="str">
        <f>IFERROR(INDEX('Match Log'!$C$4:$C$810,MATCH(189,'Match Log'!$A$4:$A$810,0)),"")</f>
        <v/>
      </c>
      <c r="D213" t="str">
        <f t="array" ref="D213">IFERROR(_xlfn.TEXTJOIN(" + ",TRUE,IF(('Match Log'!$A$4:$A$810=$A213)*('Match Log'!$E$4:$E$810="Win"),'Match Log'!$D$4:$D$810,"")),IFERROR(LOOKUP(2,1/(('Match Log'!$A$4:$A$810=$A213)*('Match Log'!$E$4:$E$810="Win")),'Match Log'!$D$4:$D$810),""))</f>
        <v/>
      </c>
      <c r="E213" t="str">
        <f>IFERROR(INDEX('Match Log'!$F$4:$F$810,MATCH(189,'Match Log'!$A$4:$A$810,0)),"")</f>
        <v/>
      </c>
      <c r="F213">
        <f>IFERROR(SUMIFS('Match Log'!$I$4:$I$810,'Match Log'!$A$4:$A$810,189,'Match Log'!$E$4:$E$810,"Win"),"")</f>
        <v>0</v>
      </c>
      <c r="G213" t="str">
        <f t="shared" si="31"/>
        <v/>
      </c>
      <c r="H213" t="str">
        <f t="array" ref="H213">IFERROR(IF(COUNTIFS('Match Log'!$A$4:$A$810,$A213,'Match Log'!$E$4:$E$810,"Win")&gt;1,_xlfn.TEXTJOIN(" + ",TRUE,IF(('Match Log'!$A$4:$A$810=$A213)*('Match Log'!$E$4:$E$810="Loss"),'Match Log'!$D$4:$D$810,"")),IF($E213=2,LOOKUP(2,1/(('Match Log'!$A$4:$A$810=$A213)*('Match Log'!$E$4:$E$810="Loss")),'Match Log'!$D$4:$D$810),"the field")),"")</f>
        <v>the field</v>
      </c>
      <c r="I213" t="str">
        <f t="shared" si="32"/>
        <v/>
      </c>
      <c r="J213">
        <v>189</v>
      </c>
      <c r="K213" t="e">
        <f>IF($J213&gt;MAX('Match Log'!$A$4:$A$810),NA(),IFERROR(LOOKUP(2,1/(('Match Log'!$D$4:$D$810=$K$24)*('Match Log'!$A$4:$A$810&lt;=$J213)),'Match Log'!$N$4:$N$810),NA()))</f>
        <v>#N/A</v>
      </c>
      <c r="L213" t="e">
        <f>IF($J213&gt;MAX('Match Log'!$A$4:$A$810),NA(),IFERROR(LOOKUP(2,1/(('Match Log'!$D$4:$D$810=$L$24)*('Match Log'!$A$4:$A$810&lt;=$J213)),'Match Log'!$N$4:$N$810),NA()))</f>
        <v>#N/A</v>
      </c>
      <c r="M213" t="e">
        <f>IF($J213&gt;MAX('Match Log'!$A$4:$A$810),NA(),IFERROR(LOOKUP(2,1/(('Match Log'!$D$4:$D$810=$M$24)*('Match Log'!$A$4:$A$810&lt;=$J213)),'Match Log'!$N$4:$N$810),NA()))</f>
        <v>#N/A</v>
      </c>
      <c r="N213" t="e">
        <f>IF($J213&gt;MAX('Match Log'!$A$4:$A$810),NA(),IFERROR(LOOKUP(2,1/(('Match Log'!$D$4:$D$810=$N$24)*('Match Log'!$A$4:$A$810&lt;=$J213)),'Match Log'!$N$4:$N$810),NA()))</f>
        <v>#N/A</v>
      </c>
      <c r="O213" t="e">
        <f>IF($J213&gt;MAX('Match Log'!$A$4:$A$810),NA(),IFERROR(LOOKUP(2,1/(('Match Log'!$D$4:$D$810=$O$24)*('Match Log'!$A$4:$A$810&lt;=$J213)),'Match Log'!$N$4:$N$810),NA()))</f>
        <v>#N/A</v>
      </c>
      <c r="P213" t="e">
        <f>IF($J213&gt;MAX('Match Log'!$A$4:$A$810),NA(),IFERROR(LOOKUP(2,1/(('Match Log'!$D$4:$D$810=$P$24)*('Match Log'!$A$4:$A$810&lt;=$J213)),'Match Log'!$N$4:$N$810),NA()))</f>
        <v>#N/A</v>
      </c>
      <c r="Q213" t="e">
        <f>IF($J213&gt;MAX('Match Log'!$A$4:$A$810),NA(),IFERROR(LOOKUP(2,1/(('Match Log'!$D$4:$D$810=$Q$24)*('Match Log'!$A$4:$A$810&lt;=$J213)),'Match Log'!$N$4:$N$810),NA()))</f>
        <v>#N/A</v>
      </c>
      <c r="R213" t="e">
        <f>IF($J213&gt;MAX('Match Log'!$A$4:$A$810),NA(),IFERROR(LOOKUP(2,1/(('Match Log'!$D$4:$D$810=$R$24)*('Match Log'!$A$4:$A$810&lt;=$J213)),'Match Log'!$N$4:$N$810),NA()))</f>
        <v>#N/A</v>
      </c>
      <c r="S213" t="e">
        <f>IF($J213&gt;MAX('Match Log'!$A$4:$A$810),NA(),IFERROR(LOOKUP(2,1/(('Match Log'!$D$4:$D$810=$S$24)*('Match Log'!$A$4:$A$810&lt;=$J213)),'Match Log'!$N$4:$N$810),NA()))</f>
        <v>#N/A</v>
      </c>
      <c r="T213" t="e">
        <f>IF($J213&gt;MAX('Match Log'!$A$4:$A$810),NA(),IFERROR(LOOKUP(2,1/(('Match Log'!$D$4:$D$810=$T$24)*('Match Log'!$A$4:$A$810&lt;=$J213)),'Match Log'!$N$4:$N$810),NA()))</f>
        <v>#N/A</v>
      </c>
      <c r="U213" t="e">
        <f>IF($J213&gt;MAX('Match Log'!$A$4:$A$810),NA(),IFERROR(LOOKUP(2,1/(('Match Log'!$D$4:$D$810=$U$24)*('Match Log'!$A$4:$A$810&lt;=$J213)),'Match Log'!$N$4:$N$810),NA()))</f>
        <v>#N/A</v>
      </c>
      <c r="V213" t="e">
        <f>IF($J213&gt;MAX('Match Log'!$A$4:$A$810),NA(),IFERROR(LOOKUP(2,1/(('Match Log'!$D$4:$D$810=$V$24)*('Match Log'!$A$4:$A$810&lt;=$J213)),'Match Log'!$N$4:$N$810),NA()))</f>
        <v>#N/A</v>
      </c>
      <c r="W213" t="e">
        <f>IF($J213&gt;MAX('Match Log'!$A$4:$A$810),NA(),IFERROR(LOOKUP(2,1/(('Match Log'!$D$4:$D$810=$W$24)*('Match Log'!$A$4:$A$810&lt;=$J213)),'Match Log'!$N$4:$N$810),NA()))</f>
        <v>#N/A</v>
      </c>
      <c r="X213" t="e">
        <f>IF($J213&gt;MAX('Match Log'!$A$4:$A$810),NA(),IFERROR(LOOKUP(2,1/(('Match Log'!$D$4:$D$810=$X$24)*('Match Log'!$A$4:$A$810&lt;=$J213)),'Match Log'!$N$4:$N$810),NA()))</f>
        <v>#N/A</v>
      </c>
      <c r="Y213" t="str">
        <f t="shared" ca="1" si="33"/>
        <v/>
      </c>
    </row>
    <row r="214" spans="1:25" x14ac:dyDescent="0.2">
      <c r="A214">
        <v>190</v>
      </c>
      <c r="B214" t="str">
        <f>IFERROR(INDEX('Match Log'!$B$4:$B$810,MATCH(190,'Match Log'!$A$4:$A$810,0)),"")</f>
        <v/>
      </c>
      <c r="C214" t="str">
        <f>IFERROR(INDEX('Match Log'!$C$4:$C$810,MATCH(190,'Match Log'!$A$4:$A$810,0)),"")</f>
        <v/>
      </c>
      <c r="D214" t="str">
        <f t="array" ref="D214">IFERROR(_xlfn.TEXTJOIN(" + ",TRUE,IF(('Match Log'!$A$4:$A$810=$A214)*('Match Log'!$E$4:$E$810="Win"),'Match Log'!$D$4:$D$810,"")),IFERROR(LOOKUP(2,1/(('Match Log'!$A$4:$A$810=$A214)*('Match Log'!$E$4:$E$810="Win")),'Match Log'!$D$4:$D$810),""))</f>
        <v/>
      </c>
      <c r="E214" t="str">
        <f>IFERROR(INDEX('Match Log'!$F$4:$F$810,MATCH(190,'Match Log'!$A$4:$A$810,0)),"")</f>
        <v/>
      </c>
      <c r="F214">
        <f>IFERROR(SUMIFS('Match Log'!$I$4:$I$810,'Match Log'!$A$4:$A$810,190,'Match Log'!$E$4:$E$810,"Win"),"")</f>
        <v>0</v>
      </c>
      <c r="G214" t="str">
        <f t="shared" si="31"/>
        <v/>
      </c>
      <c r="H214" t="str">
        <f t="array" ref="H214">IFERROR(IF(COUNTIFS('Match Log'!$A$4:$A$810,$A214,'Match Log'!$E$4:$E$810,"Win")&gt;1,_xlfn.TEXTJOIN(" + ",TRUE,IF(('Match Log'!$A$4:$A$810=$A214)*('Match Log'!$E$4:$E$810="Loss"),'Match Log'!$D$4:$D$810,"")),IF($E214=2,LOOKUP(2,1/(('Match Log'!$A$4:$A$810=$A214)*('Match Log'!$E$4:$E$810="Loss")),'Match Log'!$D$4:$D$810),"the field")),"")</f>
        <v>the field</v>
      </c>
      <c r="I214" t="str">
        <f t="shared" si="32"/>
        <v/>
      </c>
      <c r="J214">
        <v>190</v>
      </c>
      <c r="K214" t="e">
        <f>IF($J214&gt;MAX('Match Log'!$A$4:$A$810),NA(),IFERROR(LOOKUP(2,1/(('Match Log'!$D$4:$D$810=$K$24)*('Match Log'!$A$4:$A$810&lt;=$J214)),'Match Log'!$N$4:$N$810),NA()))</f>
        <v>#N/A</v>
      </c>
      <c r="L214" t="e">
        <f>IF($J214&gt;MAX('Match Log'!$A$4:$A$810),NA(),IFERROR(LOOKUP(2,1/(('Match Log'!$D$4:$D$810=$L$24)*('Match Log'!$A$4:$A$810&lt;=$J214)),'Match Log'!$N$4:$N$810),NA()))</f>
        <v>#N/A</v>
      </c>
      <c r="M214" t="e">
        <f>IF($J214&gt;MAX('Match Log'!$A$4:$A$810),NA(),IFERROR(LOOKUP(2,1/(('Match Log'!$D$4:$D$810=$M$24)*('Match Log'!$A$4:$A$810&lt;=$J214)),'Match Log'!$N$4:$N$810),NA()))</f>
        <v>#N/A</v>
      </c>
      <c r="N214" t="e">
        <f>IF($J214&gt;MAX('Match Log'!$A$4:$A$810),NA(),IFERROR(LOOKUP(2,1/(('Match Log'!$D$4:$D$810=$N$24)*('Match Log'!$A$4:$A$810&lt;=$J214)),'Match Log'!$N$4:$N$810),NA()))</f>
        <v>#N/A</v>
      </c>
      <c r="O214" t="e">
        <f>IF($J214&gt;MAX('Match Log'!$A$4:$A$810),NA(),IFERROR(LOOKUP(2,1/(('Match Log'!$D$4:$D$810=$O$24)*('Match Log'!$A$4:$A$810&lt;=$J214)),'Match Log'!$N$4:$N$810),NA()))</f>
        <v>#N/A</v>
      </c>
      <c r="P214" t="e">
        <f>IF($J214&gt;MAX('Match Log'!$A$4:$A$810),NA(),IFERROR(LOOKUP(2,1/(('Match Log'!$D$4:$D$810=$P$24)*('Match Log'!$A$4:$A$810&lt;=$J214)),'Match Log'!$N$4:$N$810),NA()))</f>
        <v>#N/A</v>
      </c>
      <c r="Q214" t="e">
        <f>IF($J214&gt;MAX('Match Log'!$A$4:$A$810),NA(),IFERROR(LOOKUP(2,1/(('Match Log'!$D$4:$D$810=$Q$24)*('Match Log'!$A$4:$A$810&lt;=$J214)),'Match Log'!$N$4:$N$810),NA()))</f>
        <v>#N/A</v>
      </c>
      <c r="R214" t="e">
        <f>IF($J214&gt;MAX('Match Log'!$A$4:$A$810),NA(),IFERROR(LOOKUP(2,1/(('Match Log'!$D$4:$D$810=$R$24)*('Match Log'!$A$4:$A$810&lt;=$J214)),'Match Log'!$N$4:$N$810),NA()))</f>
        <v>#N/A</v>
      </c>
      <c r="S214" t="e">
        <f>IF($J214&gt;MAX('Match Log'!$A$4:$A$810),NA(),IFERROR(LOOKUP(2,1/(('Match Log'!$D$4:$D$810=$S$24)*('Match Log'!$A$4:$A$810&lt;=$J214)),'Match Log'!$N$4:$N$810),NA()))</f>
        <v>#N/A</v>
      </c>
      <c r="T214" t="e">
        <f>IF($J214&gt;MAX('Match Log'!$A$4:$A$810),NA(),IFERROR(LOOKUP(2,1/(('Match Log'!$D$4:$D$810=$T$24)*('Match Log'!$A$4:$A$810&lt;=$J214)),'Match Log'!$N$4:$N$810),NA()))</f>
        <v>#N/A</v>
      </c>
      <c r="U214" t="e">
        <f>IF($J214&gt;MAX('Match Log'!$A$4:$A$810),NA(),IFERROR(LOOKUP(2,1/(('Match Log'!$D$4:$D$810=$U$24)*('Match Log'!$A$4:$A$810&lt;=$J214)),'Match Log'!$N$4:$N$810),NA()))</f>
        <v>#N/A</v>
      </c>
      <c r="V214" t="e">
        <f>IF($J214&gt;MAX('Match Log'!$A$4:$A$810),NA(),IFERROR(LOOKUP(2,1/(('Match Log'!$D$4:$D$810=$V$24)*('Match Log'!$A$4:$A$810&lt;=$J214)),'Match Log'!$N$4:$N$810),NA()))</f>
        <v>#N/A</v>
      </c>
      <c r="W214" t="e">
        <f>IF($J214&gt;MAX('Match Log'!$A$4:$A$810),NA(),IFERROR(LOOKUP(2,1/(('Match Log'!$D$4:$D$810=$W$24)*('Match Log'!$A$4:$A$810&lt;=$J214)),'Match Log'!$N$4:$N$810),NA()))</f>
        <v>#N/A</v>
      </c>
      <c r="X214" t="e">
        <f>IF($J214&gt;MAX('Match Log'!$A$4:$A$810),NA(),IFERROR(LOOKUP(2,1/(('Match Log'!$D$4:$D$810=$X$24)*('Match Log'!$A$4:$A$810&lt;=$J214)),'Match Log'!$N$4:$N$810),NA()))</f>
        <v>#N/A</v>
      </c>
      <c r="Y214" t="str">
        <f t="shared" ca="1" si="33"/>
        <v/>
      </c>
    </row>
    <row r="215" spans="1:25" x14ac:dyDescent="0.2">
      <c r="A215">
        <v>191</v>
      </c>
      <c r="B215" t="str">
        <f>IFERROR(INDEX('Match Log'!$B$4:$B$810,MATCH(191,'Match Log'!$A$4:$A$810,0)),"")</f>
        <v/>
      </c>
      <c r="C215" t="str">
        <f>IFERROR(INDEX('Match Log'!$C$4:$C$810,MATCH(191,'Match Log'!$A$4:$A$810,0)),"")</f>
        <v/>
      </c>
      <c r="D215" t="str">
        <f t="array" ref="D215">IFERROR(_xlfn.TEXTJOIN(" + ",TRUE,IF(('Match Log'!$A$4:$A$810=$A215)*('Match Log'!$E$4:$E$810="Win"),'Match Log'!$D$4:$D$810,"")),IFERROR(LOOKUP(2,1/(('Match Log'!$A$4:$A$810=$A215)*('Match Log'!$E$4:$E$810="Win")),'Match Log'!$D$4:$D$810),""))</f>
        <v/>
      </c>
      <c r="E215" t="str">
        <f>IFERROR(INDEX('Match Log'!$F$4:$F$810,MATCH(191,'Match Log'!$A$4:$A$810,0)),"")</f>
        <v/>
      </c>
      <c r="F215">
        <f>IFERROR(SUMIFS('Match Log'!$I$4:$I$810,'Match Log'!$A$4:$A$810,191,'Match Log'!$E$4:$E$810,"Win"),"")</f>
        <v>0</v>
      </c>
      <c r="G215" t="str">
        <f t="shared" si="31"/>
        <v/>
      </c>
      <c r="H215" t="str">
        <f t="array" ref="H215">IFERROR(IF(COUNTIFS('Match Log'!$A$4:$A$810,$A215,'Match Log'!$E$4:$E$810,"Win")&gt;1,_xlfn.TEXTJOIN(" + ",TRUE,IF(('Match Log'!$A$4:$A$810=$A215)*('Match Log'!$E$4:$E$810="Loss"),'Match Log'!$D$4:$D$810,"")),IF($E215=2,LOOKUP(2,1/(('Match Log'!$A$4:$A$810=$A215)*('Match Log'!$E$4:$E$810="Loss")),'Match Log'!$D$4:$D$810),"the field")),"")</f>
        <v>the field</v>
      </c>
      <c r="I215" t="str">
        <f t="shared" si="32"/>
        <v/>
      </c>
      <c r="J215">
        <v>191</v>
      </c>
      <c r="K215" t="e">
        <f>IF($J215&gt;MAX('Match Log'!$A$4:$A$810),NA(),IFERROR(LOOKUP(2,1/(('Match Log'!$D$4:$D$810=$K$24)*('Match Log'!$A$4:$A$810&lt;=$J215)),'Match Log'!$N$4:$N$810),NA()))</f>
        <v>#N/A</v>
      </c>
      <c r="L215" t="e">
        <f>IF($J215&gt;MAX('Match Log'!$A$4:$A$810),NA(),IFERROR(LOOKUP(2,1/(('Match Log'!$D$4:$D$810=$L$24)*('Match Log'!$A$4:$A$810&lt;=$J215)),'Match Log'!$N$4:$N$810),NA()))</f>
        <v>#N/A</v>
      </c>
      <c r="M215" t="e">
        <f>IF($J215&gt;MAX('Match Log'!$A$4:$A$810),NA(),IFERROR(LOOKUP(2,1/(('Match Log'!$D$4:$D$810=$M$24)*('Match Log'!$A$4:$A$810&lt;=$J215)),'Match Log'!$N$4:$N$810),NA()))</f>
        <v>#N/A</v>
      </c>
      <c r="N215" t="e">
        <f>IF($J215&gt;MAX('Match Log'!$A$4:$A$810),NA(),IFERROR(LOOKUP(2,1/(('Match Log'!$D$4:$D$810=$N$24)*('Match Log'!$A$4:$A$810&lt;=$J215)),'Match Log'!$N$4:$N$810),NA()))</f>
        <v>#N/A</v>
      </c>
      <c r="O215" t="e">
        <f>IF($J215&gt;MAX('Match Log'!$A$4:$A$810),NA(),IFERROR(LOOKUP(2,1/(('Match Log'!$D$4:$D$810=$O$24)*('Match Log'!$A$4:$A$810&lt;=$J215)),'Match Log'!$N$4:$N$810),NA()))</f>
        <v>#N/A</v>
      </c>
      <c r="P215" t="e">
        <f>IF($J215&gt;MAX('Match Log'!$A$4:$A$810),NA(),IFERROR(LOOKUP(2,1/(('Match Log'!$D$4:$D$810=$P$24)*('Match Log'!$A$4:$A$810&lt;=$J215)),'Match Log'!$N$4:$N$810),NA()))</f>
        <v>#N/A</v>
      </c>
      <c r="Q215" t="e">
        <f>IF($J215&gt;MAX('Match Log'!$A$4:$A$810),NA(),IFERROR(LOOKUP(2,1/(('Match Log'!$D$4:$D$810=$Q$24)*('Match Log'!$A$4:$A$810&lt;=$J215)),'Match Log'!$N$4:$N$810),NA()))</f>
        <v>#N/A</v>
      </c>
      <c r="R215" t="e">
        <f>IF($J215&gt;MAX('Match Log'!$A$4:$A$810),NA(),IFERROR(LOOKUP(2,1/(('Match Log'!$D$4:$D$810=$R$24)*('Match Log'!$A$4:$A$810&lt;=$J215)),'Match Log'!$N$4:$N$810),NA()))</f>
        <v>#N/A</v>
      </c>
      <c r="S215" t="e">
        <f>IF($J215&gt;MAX('Match Log'!$A$4:$A$810),NA(),IFERROR(LOOKUP(2,1/(('Match Log'!$D$4:$D$810=$S$24)*('Match Log'!$A$4:$A$810&lt;=$J215)),'Match Log'!$N$4:$N$810),NA()))</f>
        <v>#N/A</v>
      </c>
      <c r="T215" t="e">
        <f>IF($J215&gt;MAX('Match Log'!$A$4:$A$810),NA(),IFERROR(LOOKUP(2,1/(('Match Log'!$D$4:$D$810=$T$24)*('Match Log'!$A$4:$A$810&lt;=$J215)),'Match Log'!$N$4:$N$810),NA()))</f>
        <v>#N/A</v>
      </c>
      <c r="U215" t="e">
        <f>IF($J215&gt;MAX('Match Log'!$A$4:$A$810),NA(),IFERROR(LOOKUP(2,1/(('Match Log'!$D$4:$D$810=$U$24)*('Match Log'!$A$4:$A$810&lt;=$J215)),'Match Log'!$N$4:$N$810),NA()))</f>
        <v>#N/A</v>
      </c>
      <c r="V215" t="e">
        <f>IF($J215&gt;MAX('Match Log'!$A$4:$A$810),NA(),IFERROR(LOOKUP(2,1/(('Match Log'!$D$4:$D$810=$V$24)*('Match Log'!$A$4:$A$810&lt;=$J215)),'Match Log'!$N$4:$N$810),NA()))</f>
        <v>#N/A</v>
      </c>
      <c r="W215" t="e">
        <f>IF($J215&gt;MAX('Match Log'!$A$4:$A$810),NA(),IFERROR(LOOKUP(2,1/(('Match Log'!$D$4:$D$810=$W$24)*('Match Log'!$A$4:$A$810&lt;=$J215)),'Match Log'!$N$4:$N$810),NA()))</f>
        <v>#N/A</v>
      </c>
      <c r="X215" t="e">
        <f>IF($J215&gt;MAX('Match Log'!$A$4:$A$810),NA(),IFERROR(LOOKUP(2,1/(('Match Log'!$D$4:$D$810=$X$24)*('Match Log'!$A$4:$A$810&lt;=$J215)),'Match Log'!$N$4:$N$810),NA()))</f>
        <v>#N/A</v>
      </c>
      <c r="Y215" t="str">
        <f t="shared" ca="1" si="33"/>
        <v/>
      </c>
    </row>
    <row r="216" spans="1:25" x14ac:dyDescent="0.2">
      <c r="A216">
        <v>192</v>
      </c>
      <c r="B216" t="str">
        <f>IFERROR(INDEX('Match Log'!$B$4:$B$810,MATCH(192,'Match Log'!$A$4:$A$810,0)),"")</f>
        <v/>
      </c>
      <c r="C216" t="str">
        <f>IFERROR(INDEX('Match Log'!$C$4:$C$810,MATCH(192,'Match Log'!$A$4:$A$810,0)),"")</f>
        <v/>
      </c>
      <c r="D216" t="str">
        <f t="array" ref="D216">IFERROR(_xlfn.TEXTJOIN(" + ",TRUE,IF(('Match Log'!$A$4:$A$810=$A216)*('Match Log'!$E$4:$E$810="Win"),'Match Log'!$D$4:$D$810,"")),IFERROR(LOOKUP(2,1/(('Match Log'!$A$4:$A$810=$A216)*('Match Log'!$E$4:$E$810="Win")),'Match Log'!$D$4:$D$810),""))</f>
        <v/>
      </c>
      <c r="E216" t="str">
        <f>IFERROR(INDEX('Match Log'!$F$4:$F$810,MATCH(192,'Match Log'!$A$4:$A$810,0)),"")</f>
        <v/>
      </c>
      <c r="F216">
        <f>IFERROR(SUMIFS('Match Log'!$I$4:$I$810,'Match Log'!$A$4:$A$810,192,'Match Log'!$E$4:$E$810,"Win"),"")</f>
        <v>0</v>
      </c>
      <c r="G216" t="str">
        <f t="shared" si="31"/>
        <v/>
      </c>
      <c r="H216" t="str">
        <f t="array" ref="H216">IFERROR(IF(COUNTIFS('Match Log'!$A$4:$A$810,$A216,'Match Log'!$E$4:$E$810,"Win")&gt;1,_xlfn.TEXTJOIN(" + ",TRUE,IF(('Match Log'!$A$4:$A$810=$A216)*('Match Log'!$E$4:$E$810="Loss"),'Match Log'!$D$4:$D$810,"")),IF($E216=2,LOOKUP(2,1/(('Match Log'!$A$4:$A$810=$A216)*('Match Log'!$E$4:$E$810="Loss")),'Match Log'!$D$4:$D$810),"the field")),"")</f>
        <v>the field</v>
      </c>
      <c r="I216" t="str">
        <f t="shared" si="32"/>
        <v/>
      </c>
      <c r="J216">
        <v>192</v>
      </c>
      <c r="K216" t="e">
        <f>IF($J216&gt;MAX('Match Log'!$A$4:$A$810),NA(),IFERROR(LOOKUP(2,1/(('Match Log'!$D$4:$D$810=$K$24)*('Match Log'!$A$4:$A$810&lt;=$J216)),'Match Log'!$N$4:$N$810),NA()))</f>
        <v>#N/A</v>
      </c>
      <c r="L216" t="e">
        <f>IF($J216&gt;MAX('Match Log'!$A$4:$A$810),NA(),IFERROR(LOOKUP(2,1/(('Match Log'!$D$4:$D$810=$L$24)*('Match Log'!$A$4:$A$810&lt;=$J216)),'Match Log'!$N$4:$N$810),NA()))</f>
        <v>#N/A</v>
      </c>
      <c r="M216" t="e">
        <f>IF($J216&gt;MAX('Match Log'!$A$4:$A$810),NA(),IFERROR(LOOKUP(2,1/(('Match Log'!$D$4:$D$810=$M$24)*('Match Log'!$A$4:$A$810&lt;=$J216)),'Match Log'!$N$4:$N$810),NA()))</f>
        <v>#N/A</v>
      </c>
      <c r="N216" t="e">
        <f>IF($J216&gt;MAX('Match Log'!$A$4:$A$810),NA(),IFERROR(LOOKUP(2,1/(('Match Log'!$D$4:$D$810=$N$24)*('Match Log'!$A$4:$A$810&lt;=$J216)),'Match Log'!$N$4:$N$810),NA()))</f>
        <v>#N/A</v>
      </c>
      <c r="O216" t="e">
        <f>IF($J216&gt;MAX('Match Log'!$A$4:$A$810),NA(),IFERROR(LOOKUP(2,1/(('Match Log'!$D$4:$D$810=$O$24)*('Match Log'!$A$4:$A$810&lt;=$J216)),'Match Log'!$N$4:$N$810),NA()))</f>
        <v>#N/A</v>
      </c>
      <c r="P216" t="e">
        <f>IF($J216&gt;MAX('Match Log'!$A$4:$A$810),NA(),IFERROR(LOOKUP(2,1/(('Match Log'!$D$4:$D$810=$P$24)*('Match Log'!$A$4:$A$810&lt;=$J216)),'Match Log'!$N$4:$N$810),NA()))</f>
        <v>#N/A</v>
      </c>
      <c r="Q216" t="e">
        <f>IF($J216&gt;MAX('Match Log'!$A$4:$A$810),NA(),IFERROR(LOOKUP(2,1/(('Match Log'!$D$4:$D$810=$Q$24)*('Match Log'!$A$4:$A$810&lt;=$J216)),'Match Log'!$N$4:$N$810),NA()))</f>
        <v>#N/A</v>
      </c>
      <c r="R216" t="e">
        <f>IF($J216&gt;MAX('Match Log'!$A$4:$A$810),NA(),IFERROR(LOOKUP(2,1/(('Match Log'!$D$4:$D$810=$R$24)*('Match Log'!$A$4:$A$810&lt;=$J216)),'Match Log'!$N$4:$N$810),NA()))</f>
        <v>#N/A</v>
      </c>
      <c r="S216" t="e">
        <f>IF($J216&gt;MAX('Match Log'!$A$4:$A$810),NA(),IFERROR(LOOKUP(2,1/(('Match Log'!$D$4:$D$810=$S$24)*('Match Log'!$A$4:$A$810&lt;=$J216)),'Match Log'!$N$4:$N$810),NA()))</f>
        <v>#N/A</v>
      </c>
      <c r="T216" t="e">
        <f>IF($J216&gt;MAX('Match Log'!$A$4:$A$810),NA(),IFERROR(LOOKUP(2,1/(('Match Log'!$D$4:$D$810=$T$24)*('Match Log'!$A$4:$A$810&lt;=$J216)),'Match Log'!$N$4:$N$810),NA()))</f>
        <v>#N/A</v>
      </c>
      <c r="U216" t="e">
        <f>IF($J216&gt;MAX('Match Log'!$A$4:$A$810),NA(),IFERROR(LOOKUP(2,1/(('Match Log'!$D$4:$D$810=$U$24)*('Match Log'!$A$4:$A$810&lt;=$J216)),'Match Log'!$N$4:$N$810),NA()))</f>
        <v>#N/A</v>
      </c>
      <c r="V216" t="e">
        <f>IF($J216&gt;MAX('Match Log'!$A$4:$A$810),NA(),IFERROR(LOOKUP(2,1/(('Match Log'!$D$4:$D$810=$V$24)*('Match Log'!$A$4:$A$810&lt;=$J216)),'Match Log'!$N$4:$N$810),NA()))</f>
        <v>#N/A</v>
      </c>
      <c r="W216" t="e">
        <f>IF($J216&gt;MAX('Match Log'!$A$4:$A$810),NA(),IFERROR(LOOKUP(2,1/(('Match Log'!$D$4:$D$810=$W$24)*('Match Log'!$A$4:$A$810&lt;=$J216)),'Match Log'!$N$4:$N$810),NA()))</f>
        <v>#N/A</v>
      </c>
      <c r="X216" t="e">
        <f>IF($J216&gt;MAX('Match Log'!$A$4:$A$810),NA(),IFERROR(LOOKUP(2,1/(('Match Log'!$D$4:$D$810=$X$24)*('Match Log'!$A$4:$A$810&lt;=$J216)),'Match Log'!$N$4:$N$810),NA()))</f>
        <v>#N/A</v>
      </c>
      <c r="Y216" t="str">
        <f t="shared" ca="1" si="33"/>
        <v/>
      </c>
    </row>
    <row r="217" spans="1:25" x14ac:dyDescent="0.2">
      <c r="A217">
        <v>193</v>
      </c>
      <c r="B217" t="str">
        <f>IFERROR(INDEX('Match Log'!$B$4:$B$810,MATCH(193,'Match Log'!$A$4:$A$810,0)),"")</f>
        <v/>
      </c>
      <c r="C217" t="str">
        <f>IFERROR(INDEX('Match Log'!$C$4:$C$810,MATCH(193,'Match Log'!$A$4:$A$810,0)),"")</f>
        <v/>
      </c>
      <c r="D217" t="str">
        <f t="array" ref="D217">IFERROR(_xlfn.TEXTJOIN(" + ",TRUE,IF(('Match Log'!$A$4:$A$810=$A217)*('Match Log'!$E$4:$E$810="Win"),'Match Log'!$D$4:$D$810,"")),IFERROR(LOOKUP(2,1/(('Match Log'!$A$4:$A$810=$A217)*('Match Log'!$E$4:$E$810="Win")),'Match Log'!$D$4:$D$810),""))</f>
        <v/>
      </c>
      <c r="E217" t="str">
        <f>IFERROR(INDEX('Match Log'!$F$4:$F$810,MATCH(193,'Match Log'!$A$4:$A$810,0)),"")</f>
        <v/>
      </c>
      <c r="F217">
        <f>IFERROR(SUMIFS('Match Log'!$I$4:$I$810,'Match Log'!$A$4:$A$810,193,'Match Log'!$E$4:$E$810,"Win"),"")</f>
        <v>0</v>
      </c>
      <c r="G217" t="str">
        <f t="shared" si="31"/>
        <v/>
      </c>
      <c r="H217" t="str">
        <f t="array" ref="H217">IFERROR(IF(COUNTIFS('Match Log'!$A$4:$A$810,$A217,'Match Log'!$E$4:$E$810,"Win")&gt;1,_xlfn.TEXTJOIN(" + ",TRUE,IF(('Match Log'!$A$4:$A$810=$A217)*('Match Log'!$E$4:$E$810="Loss"),'Match Log'!$D$4:$D$810,"")),IF($E217=2,LOOKUP(2,1/(('Match Log'!$A$4:$A$810=$A217)*('Match Log'!$E$4:$E$810="Loss")),'Match Log'!$D$4:$D$810),"the field")),"")</f>
        <v>the field</v>
      </c>
      <c r="I217" t="str">
        <f t="shared" si="32"/>
        <v/>
      </c>
      <c r="J217">
        <v>193</v>
      </c>
      <c r="K217" t="e">
        <f>IF($J217&gt;MAX('Match Log'!$A$4:$A$810),NA(),IFERROR(LOOKUP(2,1/(('Match Log'!$D$4:$D$810=$K$24)*('Match Log'!$A$4:$A$810&lt;=$J217)),'Match Log'!$N$4:$N$810),NA()))</f>
        <v>#N/A</v>
      </c>
      <c r="L217" t="e">
        <f>IF($J217&gt;MAX('Match Log'!$A$4:$A$810),NA(),IFERROR(LOOKUP(2,1/(('Match Log'!$D$4:$D$810=$L$24)*('Match Log'!$A$4:$A$810&lt;=$J217)),'Match Log'!$N$4:$N$810),NA()))</f>
        <v>#N/A</v>
      </c>
      <c r="M217" t="e">
        <f>IF($J217&gt;MAX('Match Log'!$A$4:$A$810),NA(),IFERROR(LOOKUP(2,1/(('Match Log'!$D$4:$D$810=$M$24)*('Match Log'!$A$4:$A$810&lt;=$J217)),'Match Log'!$N$4:$N$810),NA()))</f>
        <v>#N/A</v>
      </c>
      <c r="N217" t="e">
        <f>IF($J217&gt;MAX('Match Log'!$A$4:$A$810),NA(),IFERROR(LOOKUP(2,1/(('Match Log'!$D$4:$D$810=$N$24)*('Match Log'!$A$4:$A$810&lt;=$J217)),'Match Log'!$N$4:$N$810),NA()))</f>
        <v>#N/A</v>
      </c>
      <c r="O217" t="e">
        <f>IF($J217&gt;MAX('Match Log'!$A$4:$A$810),NA(),IFERROR(LOOKUP(2,1/(('Match Log'!$D$4:$D$810=$O$24)*('Match Log'!$A$4:$A$810&lt;=$J217)),'Match Log'!$N$4:$N$810),NA()))</f>
        <v>#N/A</v>
      </c>
      <c r="P217" t="e">
        <f>IF($J217&gt;MAX('Match Log'!$A$4:$A$810),NA(),IFERROR(LOOKUP(2,1/(('Match Log'!$D$4:$D$810=$P$24)*('Match Log'!$A$4:$A$810&lt;=$J217)),'Match Log'!$N$4:$N$810),NA()))</f>
        <v>#N/A</v>
      </c>
      <c r="Q217" t="e">
        <f>IF($J217&gt;MAX('Match Log'!$A$4:$A$810),NA(),IFERROR(LOOKUP(2,1/(('Match Log'!$D$4:$D$810=$Q$24)*('Match Log'!$A$4:$A$810&lt;=$J217)),'Match Log'!$N$4:$N$810),NA()))</f>
        <v>#N/A</v>
      </c>
      <c r="R217" t="e">
        <f>IF($J217&gt;MAX('Match Log'!$A$4:$A$810),NA(),IFERROR(LOOKUP(2,1/(('Match Log'!$D$4:$D$810=$R$24)*('Match Log'!$A$4:$A$810&lt;=$J217)),'Match Log'!$N$4:$N$810),NA()))</f>
        <v>#N/A</v>
      </c>
      <c r="S217" t="e">
        <f>IF($J217&gt;MAX('Match Log'!$A$4:$A$810),NA(),IFERROR(LOOKUP(2,1/(('Match Log'!$D$4:$D$810=$S$24)*('Match Log'!$A$4:$A$810&lt;=$J217)),'Match Log'!$N$4:$N$810),NA()))</f>
        <v>#N/A</v>
      </c>
      <c r="T217" t="e">
        <f>IF($J217&gt;MAX('Match Log'!$A$4:$A$810),NA(),IFERROR(LOOKUP(2,1/(('Match Log'!$D$4:$D$810=$T$24)*('Match Log'!$A$4:$A$810&lt;=$J217)),'Match Log'!$N$4:$N$810),NA()))</f>
        <v>#N/A</v>
      </c>
      <c r="U217" t="e">
        <f>IF($J217&gt;MAX('Match Log'!$A$4:$A$810),NA(),IFERROR(LOOKUP(2,1/(('Match Log'!$D$4:$D$810=$U$24)*('Match Log'!$A$4:$A$810&lt;=$J217)),'Match Log'!$N$4:$N$810),NA()))</f>
        <v>#N/A</v>
      </c>
      <c r="V217" t="e">
        <f>IF($J217&gt;MAX('Match Log'!$A$4:$A$810),NA(),IFERROR(LOOKUP(2,1/(('Match Log'!$D$4:$D$810=$V$24)*('Match Log'!$A$4:$A$810&lt;=$J217)),'Match Log'!$N$4:$N$810),NA()))</f>
        <v>#N/A</v>
      </c>
      <c r="W217" t="e">
        <f>IF($J217&gt;MAX('Match Log'!$A$4:$A$810),NA(),IFERROR(LOOKUP(2,1/(('Match Log'!$D$4:$D$810=$W$24)*('Match Log'!$A$4:$A$810&lt;=$J217)),'Match Log'!$N$4:$N$810),NA()))</f>
        <v>#N/A</v>
      </c>
      <c r="X217" t="e">
        <f>IF($J217&gt;MAX('Match Log'!$A$4:$A$810),NA(),IFERROR(LOOKUP(2,1/(('Match Log'!$D$4:$D$810=$X$24)*('Match Log'!$A$4:$A$810&lt;=$J217)),'Match Log'!$N$4:$N$810),NA()))</f>
        <v>#N/A</v>
      </c>
      <c r="Y217" t="str">
        <f t="shared" ca="1" si="33"/>
        <v/>
      </c>
    </row>
    <row r="218" spans="1:25" x14ac:dyDescent="0.2">
      <c r="A218">
        <v>194</v>
      </c>
      <c r="B218" t="str">
        <f>IFERROR(INDEX('Match Log'!$B$4:$B$810,MATCH(194,'Match Log'!$A$4:$A$810,0)),"")</f>
        <v/>
      </c>
      <c r="C218" t="str">
        <f>IFERROR(INDEX('Match Log'!$C$4:$C$810,MATCH(194,'Match Log'!$A$4:$A$810,0)),"")</f>
        <v/>
      </c>
      <c r="D218" t="str">
        <f t="array" ref="D218">IFERROR(_xlfn.TEXTJOIN(" + ",TRUE,IF(('Match Log'!$A$4:$A$810=$A218)*('Match Log'!$E$4:$E$810="Win"),'Match Log'!$D$4:$D$810,"")),IFERROR(LOOKUP(2,1/(('Match Log'!$A$4:$A$810=$A218)*('Match Log'!$E$4:$E$810="Win")),'Match Log'!$D$4:$D$810),""))</f>
        <v/>
      </c>
      <c r="E218" t="str">
        <f>IFERROR(INDEX('Match Log'!$F$4:$F$810,MATCH(194,'Match Log'!$A$4:$A$810,0)),"")</f>
        <v/>
      </c>
      <c r="F218">
        <f>IFERROR(SUMIFS('Match Log'!$I$4:$I$810,'Match Log'!$A$4:$A$810,194,'Match Log'!$E$4:$E$810,"Win"),"")</f>
        <v>0</v>
      </c>
      <c r="G218" t="str">
        <f t="shared" si="31"/>
        <v/>
      </c>
      <c r="H218" t="str">
        <f t="array" ref="H218">IFERROR(IF(COUNTIFS('Match Log'!$A$4:$A$810,$A218,'Match Log'!$E$4:$E$810,"Win")&gt;1,_xlfn.TEXTJOIN(" + ",TRUE,IF(('Match Log'!$A$4:$A$810=$A218)*('Match Log'!$E$4:$E$810="Loss"),'Match Log'!$D$4:$D$810,"")),IF($E218=2,LOOKUP(2,1/(('Match Log'!$A$4:$A$810=$A218)*('Match Log'!$E$4:$E$810="Loss")),'Match Log'!$D$4:$D$810),"the field")),"")</f>
        <v>the field</v>
      </c>
      <c r="I218" t="str">
        <f t="shared" si="32"/>
        <v/>
      </c>
      <c r="J218">
        <v>194</v>
      </c>
      <c r="K218" t="e">
        <f>IF($J218&gt;MAX('Match Log'!$A$4:$A$810),NA(),IFERROR(LOOKUP(2,1/(('Match Log'!$D$4:$D$810=$K$24)*('Match Log'!$A$4:$A$810&lt;=$J218)),'Match Log'!$N$4:$N$810),NA()))</f>
        <v>#N/A</v>
      </c>
      <c r="L218" t="e">
        <f>IF($J218&gt;MAX('Match Log'!$A$4:$A$810),NA(),IFERROR(LOOKUP(2,1/(('Match Log'!$D$4:$D$810=$L$24)*('Match Log'!$A$4:$A$810&lt;=$J218)),'Match Log'!$N$4:$N$810),NA()))</f>
        <v>#N/A</v>
      </c>
      <c r="M218" t="e">
        <f>IF($J218&gt;MAX('Match Log'!$A$4:$A$810),NA(),IFERROR(LOOKUP(2,1/(('Match Log'!$D$4:$D$810=$M$24)*('Match Log'!$A$4:$A$810&lt;=$J218)),'Match Log'!$N$4:$N$810),NA()))</f>
        <v>#N/A</v>
      </c>
      <c r="N218" t="e">
        <f>IF($J218&gt;MAX('Match Log'!$A$4:$A$810),NA(),IFERROR(LOOKUP(2,1/(('Match Log'!$D$4:$D$810=$N$24)*('Match Log'!$A$4:$A$810&lt;=$J218)),'Match Log'!$N$4:$N$810),NA()))</f>
        <v>#N/A</v>
      </c>
      <c r="O218" t="e">
        <f>IF($J218&gt;MAX('Match Log'!$A$4:$A$810),NA(),IFERROR(LOOKUP(2,1/(('Match Log'!$D$4:$D$810=$O$24)*('Match Log'!$A$4:$A$810&lt;=$J218)),'Match Log'!$N$4:$N$810),NA()))</f>
        <v>#N/A</v>
      </c>
      <c r="P218" t="e">
        <f>IF($J218&gt;MAX('Match Log'!$A$4:$A$810),NA(),IFERROR(LOOKUP(2,1/(('Match Log'!$D$4:$D$810=$P$24)*('Match Log'!$A$4:$A$810&lt;=$J218)),'Match Log'!$N$4:$N$810),NA()))</f>
        <v>#N/A</v>
      </c>
      <c r="Q218" t="e">
        <f>IF($J218&gt;MAX('Match Log'!$A$4:$A$810),NA(),IFERROR(LOOKUP(2,1/(('Match Log'!$D$4:$D$810=$Q$24)*('Match Log'!$A$4:$A$810&lt;=$J218)),'Match Log'!$N$4:$N$810),NA()))</f>
        <v>#N/A</v>
      </c>
      <c r="R218" t="e">
        <f>IF($J218&gt;MAX('Match Log'!$A$4:$A$810),NA(),IFERROR(LOOKUP(2,1/(('Match Log'!$D$4:$D$810=$R$24)*('Match Log'!$A$4:$A$810&lt;=$J218)),'Match Log'!$N$4:$N$810),NA()))</f>
        <v>#N/A</v>
      </c>
      <c r="S218" t="e">
        <f>IF($J218&gt;MAX('Match Log'!$A$4:$A$810),NA(),IFERROR(LOOKUP(2,1/(('Match Log'!$D$4:$D$810=$S$24)*('Match Log'!$A$4:$A$810&lt;=$J218)),'Match Log'!$N$4:$N$810),NA()))</f>
        <v>#N/A</v>
      </c>
      <c r="T218" t="e">
        <f>IF($J218&gt;MAX('Match Log'!$A$4:$A$810),NA(),IFERROR(LOOKUP(2,1/(('Match Log'!$D$4:$D$810=$T$24)*('Match Log'!$A$4:$A$810&lt;=$J218)),'Match Log'!$N$4:$N$810),NA()))</f>
        <v>#N/A</v>
      </c>
      <c r="U218" t="e">
        <f>IF($J218&gt;MAX('Match Log'!$A$4:$A$810),NA(),IFERROR(LOOKUP(2,1/(('Match Log'!$D$4:$D$810=$U$24)*('Match Log'!$A$4:$A$810&lt;=$J218)),'Match Log'!$N$4:$N$810),NA()))</f>
        <v>#N/A</v>
      </c>
      <c r="V218" t="e">
        <f>IF($J218&gt;MAX('Match Log'!$A$4:$A$810),NA(),IFERROR(LOOKUP(2,1/(('Match Log'!$D$4:$D$810=$V$24)*('Match Log'!$A$4:$A$810&lt;=$J218)),'Match Log'!$N$4:$N$810),NA()))</f>
        <v>#N/A</v>
      </c>
      <c r="W218" t="e">
        <f>IF($J218&gt;MAX('Match Log'!$A$4:$A$810),NA(),IFERROR(LOOKUP(2,1/(('Match Log'!$D$4:$D$810=$W$24)*('Match Log'!$A$4:$A$810&lt;=$J218)),'Match Log'!$N$4:$N$810),NA()))</f>
        <v>#N/A</v>
      </c>
      <c r="X218" t="e">
        <f>IF($J218&gt;MAX('Match Log'!$A$4:$A$810),NA(),IFERROR(LOOKUP(2,1/(('Match Log'!$D$4:$D$810=$X$24)*('Match Log'!$A$4:$A$810&lt;=$J218)),'Match Log'!$N$4:$N$810),NA()))</f>
        <v>#N/A</v>
      </c>
      <c r="Y218" t="str">
        <f t="shared" ca="1" si="33"/>
        <v/>
      </c>
    </row>
    <row r="219" spans="1:25" x14ac:dyDescent="0.2">
      <c r="A219">
        <v>195</v>
      </c>
      <c r="B219" t="str">
        <f>IFERROR(INDEX('Match Log'!$B$4:$B$810,MATCH(195,'Match Log'!$A$4:$A$810,0)),"")</f>
        <v/>
      </c>
      <c r="C219" t="str">
        <f>IFERROR(INDEX('Match Log'!$C$4:$C$810,MATCH(195,'Match Log'!$A$4:$A$810,0)),"")</f>
        <v/>
      </c>
      <c r="D219" t="str">
        <f t="array" ref="D219">IFERROR(_xlfn.TEXTJOIN(" + ",TRUE,IF(('Match Log'!$A$4:$A$810=$A219)*('Match Log'!$E$4:$E$810="Win"),'Match Log'!$D$4:$D$810,"")),IFERROR(LOOKUP(2,1/(('Match Log'!$A$4:$A$810=$A219)*('Match Log'!$E$4:$E$810="Win")),'Match Log'!$D$4:$D$810),""))</f>
        <v/>
      </c>
      <c r="E219" t="str">
        <f>IFERROR(INDEX('Match Log'!$F$4:$F$810,MATCH(195,'Match Log'!$A$4:$A$810,0)),"")</f>
        <v/>
      </c>
      <c r="F219">
        <f>IFERROR(SUMIFS('Match Log'!$I$4:$I$810,'Match Log'!$A$4:$A$810,195,'Match Log'!$E$4:$E$810,"Win"),"")</f>
        <v>0</v>
      </c>
      <c r="G219" t="str">
        <f t="shared" si="31"/>
        <v/>
      </c>
      <c r="H219" t="str">
        <f t="array" ref="H219">IFERROR(IF(COUNTIFS('Match Log'!$A$4:$A$810,$A219,'Match Log'!$E$4:$E$810,"Win")&gt;1,_xlfn.TEXTJOIN(" + ",TRUE,IF(('Match Log'!$A$4:$A$810=$A219)*('Match Log'!$E$4:$E$810="Loss"),'Match Log'!$D$4:$D$810,"")),IF($E219=2,LOOKUP(2,1/(('Match Log'!$A$4:$A$810=$A219)*('Match Log'!$E$4:$E$810="Loss")),'Match Log'!$D$4:$D$810),"the field")),"")</f>
        <v>the field</v>
      </c>
      <c r="I219" t="str">
        <f t="shared" si="32"/>
        <v/>
      </c>
      <c r="J219">
        <v>195</v>
      </c>
      <c r="K219" t="e">
        <f>IF($J219&gt;MAX('Match Log'!$A$4:$A$810),NA(),IFERROR(LOOKUP(2,1/(('Match Log'!$D$4:$D$810=$K$24)*('Match Log'!$A$4:$A$810&lt;=$J219)),'Match Log'!$N$4:$N$810),NA()))</f>
        <v>#N/A</v>
      </c>
      <c r="L219" t="e">
        <f>IF($J219&gt;MAX('Match Log'!$A$4:$A$810),NA(),IFERROR(LOOKUP(2,1/(('Match Log'!$D$4:$D$810=$L$24)*('Match Log'!$A$4:$A$810&lt;=$J219)),'Match Log'!$N$4:$N$810),NA()))</f>
        <v>#N/A</v>
      </c>
      <c r="M219" t="e">
        <f>IF($J219&gt;MAX('Match Log'!$A$4:$A$810),NA(),IFERROR(LOOKUP(2,1/(('Match Log'!$D$4:$D$810=$M$24)*('Match Log'!$A$4:$A$810&lt;=$J219)),'Match Log'!$N$4:$N$810),NA()))</f>
        <v>#N/A</v>
      </c>
      <c r="N219" t="e">
        <f>IF($J219&gt;MAX('Match Log'!$A$4:$A$810),NA(),IFERROR(LOOKUP(2,1/(('Match Log'!$D$4:$D$810=$N$24)*('Match Log'!$A$4:$A$810&lt;=$J219)),'Match Log'!$N$4:$N$810),NA()))</f>
        <v>#N/A</v>
      </c>
      <c r="O219" t="e">
        <f>IF($J219&gt;MAX('Match Log'!$A$4:$A$810),NA(),IFERROR(LOOKUP(2,1/(('Match Log'!$D$4:$D$810=$O$24)*('Match Log'!$A$4:$A$810&lt;=$J219)),'Match Log'!$N$4:$N$810),NA()))</f>
        <v>#N/A</v>
      </c>
      <c r="P219" t="e">
        <f>IF($J219&gt;MAX('Match Log'!$A$4:$A$810),NA(),IFERROR(LOOKUP(2,1/(('Match Log'!$D$4:$D$810=$P$24)*('Match Log'!$A$4:$A$810&lt;=$J219)),'Match Log'!$N$4:$N$810),NA()))</f>
        <v>#N/A</v>
      </c>
      <c r="Q219" t="e">
        <f>IF($J219&gt;MAX('Match Log'!$A$4:$A$810),NA(),IFERROR(LOOKUP(2,1/(('Match Log'!$D$4:$D$810=$Q$24)*('Match Log'!$A$4:$A$810&lt;=$J219)),'Match Log'!$N$4:$N$810),NA()))</f>
        <v>#N/A</v>
      </c>
      <c r="R219" t="e">
        <f>IF($J219&gt;MAX('Match Log'!$A$4:$A$810),NA(),IFERROR(LOOKUP(2,1/(('Match Log'!$D$4:$D$810=$R$24)*('Match Log'!$A$4:$A$810&lt;=$J219)),'Match Log'!$N$4:$N$810),NA()))</f>
        <v>#N/A</v>
      </c>
      <c r="S219" t="e">
        <f>IF($J219&gt;MAX('Match Log'!$A$4:$A$810),NA(),IFERROR(LOOKUP(2,1/(('Match Log'!$D$4:$D$810=$S$24)*('Match Log'!$A$4:$A$810&lt;=$J219)),'Match Log'!$N$4:$N$810),NA()))</f>
        <v>#N/A</v>
      </c>
      <c r="T219" t="e">
        <f>IF($J219&gt;MAX('Match Log'!$A$4:$A$810),NA(),IFERROR(LOOKUP(2,1/(('Match Log'!$D$4:$D$810=$T$24)*('Match Log'!$A$4:$A$810&lt;=$J219)),'Match Log'!$N$4:$N$810),NA()))</f>
        <v>#N/A</v>
      </c>
      <c r="U219" t="e">
        <f>IF($J219&gt;MAX('Match Log'!$A$4:$A$810),NA(),IFERROR(LOOKUP(2,1/(('Match Log'!$D$4:$D$810=$U$24)*('Match Log'!$A$4:$A$810&lt;=$J219)),'Match Log'!$N$4:$N$810),NA()))</f>
        <v>#N/A</v>
      </c>
      <c r="V219" t="e">
        <f>IF($J219&gt;MAX('Match Log'!$A$4:$A$810),NA(),IFERROR(LOOKUP(2,1/(('Match Log'!$D$4:$D$810=$V$24)*('Match Log'!$A$4:$A$810&lt;=$J219)),'Match Log'!$N$4:$N$810),NA()))</f>
        <v>#N/A</v>
      </c>
      <c r="W219" t="e">
        <f>IF($J219&gt;MAX('Match Log'!$A$4:$A$810),NA(),IFERROR(LOOKUP(2,1/(('Match Log'!$D$4:$D$810=$W$24)*('Match Log'!$A$4:$A$810&lt;=$J219)),'Match Log'!$N$4:$N$810),NA()))</f>
        <v>#N/A</v>
      </c>
      <c r="X219" t="e">
        <f>IF($J219&gt;MAX('Match Log'!$A$4:$A$810),NA(),IFERROR(LOOKUP(2,1/(('Match Log'!$D$4:$D$810=$X$24)*('Match Log'!$A$4:$A$810&lt;=$J219)),'Match Log'!$N$4:$N$810),NA()))</f>
        <v>#N/A</v>
      </c>
      <c r="Y219" t="str">
        <f t="shared" ca="1" si="33"/>
        <v/>
      </c>
    </row>
    <row r="220" spans="1:25" x14ac:dyDescent="0.2">
      <c r="A220">
        <v>196</v>
      </c>
      <c r="B220" t="str">
        <f>IFERROR(INDEX('Match Log'!$B$4:$B$810,MATCH(196,'Match Log'!$A$4:$A$810,0)),"")</f>
        <v/>
      </c>
      <c r="C220" t="str">
        <f>IFERROR(INDEX('Match Log'!$C$4:$C$810,MATCH(196,'Match Log'!$A$4:$A$810,0)),"")</f>
        <v/>
      </c>
      <c r="D220" t="str">
        <f t="array" ref="D220">IFERROR(_xlfn.TEXTJOIN(" + ",TRUE,IF(('Match Log'!$A$4:$A$810=$A220)*('Match Log'!$E$4:$E$810="Win"),'Match Log'!$D$4:$D$810,"")),IFERROR(LOOKUP(2,1/(('Match Log'!$A$4:$A$810=$A220)*('Match Log'!$E$4:$E$810="Win")),'Match Log'!$D$4:$D$810),""))</f>
        <v/>
      </c>
      <c r="E220" t="str">
        <f>IFERROR(INDEX('Match Log'!$F$4:$F$810,MATCH(196,'Match Log'!$A$4:$A$810,0)),"")</f>
        <v/>
      </c>
      <c r="F220">
        <f>IFERROR(SUMIFS('Match Log'!$I$4:$I$810,'Match Log'!$A$4:$A$810,196,'Match Log'!$E$4:$E$810,"Win"),"")</f>
        <v>0</v>
      </c>
      <c r="G220" t="str">
        <f t="shared" si="31"/>
        <v/>
      </c>
      <c r="H220" t="str">
        <f t="array" ref="H220">IFERROR(IF(COUNTIFS('Match Log'!$A$4:$A$810,$A220,'Match Log'!$E$4:$E$810,"Win")&gt;1,_xlfn.TEXTJOIN(" + ",TRUE,IF(('Match Log'!$A$4:$A$810=$A220)*('Match Log'!$E$4:$E$810="Loss"),'Match Log'!$D$4:$D$810,"")),IF($E220=2,LOOKUP(2,1/(('Match Log'!$A$4:$A$810=$A220)*('Match Log'!$E$4:$E$810="Loss")),'Match Log'!$D$4:$D$810),"the field")),"")</f>
        <v>the field</v>
      </c>
      <c r="I220" t="str">
        <f t="shared" si="32"/>
        <v/>
      </c>
      <c r="J220">
        <v>196</v>
      </c>
      <c r="K220" t="e">
        <f>IF($J220&gt;MAX('Match Log'!$A$4:$A$810),NA(),IFERROR(LOOKUP(2,1/(('Match Log'!$D$4:$D$810=$K$24)*('Match Log'!$A$4:$A$810&lt;=$J220)),'Match Log'!$N$4:$N$810),NA()))</f>
        <v>#N/A</v>
      </c>
      <c r="L220" t="e">
        <f>IF($J220&gt;MAX('Match Log'!$A$4:$A$810),NA(),IFERROR(LOOKUP(2,1/(('Match Log'!$D$4:$D$810=$L$24)*('Match Log'!$A$4:$A$810&lt;=$J220)),'Match Log'!$N$4:$N$810),NA()))</f>
        <v>#N/A</v>
      </c>
      <c r="M220" t="e">
        <f>IF($J220&gt;MAX('Match Log'!$A$4:$A$810),NA(),IFERROR(LOOKUP(2,1/(('Match Log'!$D$4:$D$810=$M$24)*('Match Log'!$A$4:$A$810&lt;=$J220)),'Match Log'!$N$4:$N$810),NA()))</f>
        <v>#N/A</v>
      </c>
      <c r="N220" t="e">
        <f>IF($J220&gt;MAX('Match Log'!$A$4:$A$810),NA(),IFERROR(LOOKUP(2,1/(('Match Log'!$D$4:$D$810=$N$24)*('Match Log'!$A$4:$A$810&lt;=$J220)),'Match Log'!$N$4:$N$810),NA()))</f>
        <v>#N/A</v>
      </c>
      <c r="O220" t="e">
        <f>IF($J220&gt;MAX('Match Log'!$A$4:$A$810),NA(),IFERROR(LOOKUP(2,1/(('Match Log'!$D$4:$D$810=$O$24)*('Match Log'!$A$4:$A$810&lt;=$J220)),'Match Log'!$N$4:$N$810),NA()))</f>
        <v>#N/A</v>
      </c>
      <c r="P220" t="e">
        <f>IF($J220&gt;MAX('Match Log'!$A$4:$A$810),NA(),IFERROR(LOOKUP(2,1/(('Match Log'!$D$4:$D$810=$P$24)*('Match Log'!$A$4:$A$810&lt;=$J220)),'Match Log'!$N$4:$N$810),NA()))</f>
        <v>#N/A</v>
      </c>
      <c r="Q220" t="e">
        <f>IF($J220&gt;MAX('Match Log'!$A$4:$A$810),NA(),IFERROR(LOOKUP(2,1/(('Match Log'!$D$4:$D$810=$Q$24)*('Match Log'!$A$4:$A$810&lt;=$J220)),'Match Log'!$N$4:$N$810),NA()))</f>
        <v>#N/A</v>
      </c>
      <c r="R220" t="e">
        <f>IF($J220&gt;MAX('Match Log'!$A$4:$A$810),NA(),IFERROR(LOOKUP(2,1/(('Match Log'!$D$4:$D$810=$R$24)*('Match Log'!$A$4:$A$810&lt;=$J220)),'Match Log'!$N$4:$N$810),NA()))</f>
        <v>#N/A</v>
      </c>
      <c r="S220" t="e">
        <f>IF($J220&gt;MAX('Match Log'!$A$4:$A$810),NA(),IFERROR(LOOKUP(2,1/(('Match Log'!$D$4:$D$810=$S$24)*('Match Log'!$A$4:$A$810&lt;=$J220)),'Match Log'!$N$4:$N$810),NA()))</f>
        <v>#N/A</v>
      </c>
      <c r="T220" t="e">
        <f>IF($J220&gt;MAX('Match Log'!$A$4:$A$810),NA(),IFERROR(LOOKUP(2,1/(('Match Log'!$D$4:$D$810=$T$24)*('Match Log'!$A$4:$A$810&lt;=$J220)),'Match Log'!$N$4:$N$810),NA()))</f>
        <v>#N/A</v>
      </c>
      <c r="U220" t="e">
        <f>IF($J220&gt;MAX('Match Log'!$A$4:$A$810),NA(),IFERROR(LOOKUP(2,1/(('Match Log'!$D$4:$D$810=$U$24)*('Match Log'!$A$4:$A$810&lt;=$J220)),'Match Log'!$N$4:$N$810),NA()))</f>
        <v>#N/A</v>
      </c>
      <c r="V220" t="e">
        <f>IF($J220&gt;MAX('Match Log'!$A$4:$A$810),NA(),IFERROR(LOOKUP(2,1/(('Match Log'!$D$4:$D$810=$V$24)*('Match Log'!$A$4:$A$810&lt;=$J220)),'Match Log'!$N$4:$N$810),NA()))</f>
        <v>#N/A</v>
      </c>
      <c r="W220" t="e">
        <f>IF($J220&gt;MAX('Match Log'!$A$4:$A$810),NA(),IFERROR(LOOKUP(2,1/(('Match Log'!$D$4:$D$810=$W$24)*('Match Log'!$A$4:$A$810&lt;=$J220)),'Match Log'!$N$4:$N$810),NA()))</f>
        <v>#N/A</v>
      </c>
      <c r="X220" t="e">
        <f>IF($J220&gt;MAX('Match Log'!$A$4:$A$810),NA(),IFERROR(LOOKUP(2,1/(('Match Log'!$D$4:$D$810=$X$24)*('Match Log'!$A$4:$A$810&lt;=$J220)),'Match Log'!$N$4:$N$810),NA()))</f>
        <v>#N/A</v>
      </c>
      <c r="Y220" t="str">
        <f t="shared" ca="1" si="33"/>
        <v/>
      </c>
    </row>
    <row r="221" spans="1:25" x14ac:dyDescent="0.2">
      <c r="A221">
        <v>197</v>
      </c>
      <c r="B221" t="str">
        <f>IFERROR(INDEX('Match Log'!$B$4:$B$810,MATCH(197,'Match Log'!$A$4:$A$810,0)),"")</f>
        <v/>
      </c>
      <c r="C221" t="str">
        <f>IFERROR(INDEX('Match Log'!$C$4:$C$810,MATCH(197,'Match Log'!$A$4:$A$810,0)),"")</f>
        <v/>
      </c>
      <c r="D221" t="str">
        <f t="array" ref="D221">IFERROR(_xlfn.TEXTJOIN(" + ",TRUE,IF(('Match Log'!$A$4:$A$810=$A221)*('Match Log'!$E$4:$E$810="Win"),'Match Log'!$D$4:$D$810,"")),IFERROR(LOOKUP(2,1/(('Match Log'!$A$4:$A$810=$A221)*('Match Log'!$E$4:$E$810="Win")),'Match Log'!$D$4:$D$810),""))</f>
        <v/>
      </c>
      <c r="E221" t="str">
        <f>IFERROR(INDEX('Match Log'!$F$4:$F$810,MATCH(197,'Match Log'!$A$4:$A$810,0)),"")</f>
        <v/>
      </c>
      <c r="F221">
        <f>IFERROR(SUMIFS('Match Log'!$I$4:$I$810,'Match Log'!$A$4:$A$810,197,'Match Log'!$E$4:$E$810,"Win"),"")</f>
        <v>0</v>
      </c>
      <c r="G221" t="str">
        <f t="shared" si="31"/>
        <v/>
      </c>
      <c r="H221" t="str">
        <f t="array" ref="H221">IFERROR(IF(COUNTIFS('Match Log'!$A$4:$A$810,$A221,'Match Log'!$E$4:$E$810,"Win")&gt;1,_xlfn.TEXTJOIN(" + ",TRUE,IF(('Match Log'!$A$4:$A$810=$A221)*('Match Log'!$E$4:$E$810="Loss"),'Match Log'!$D$4:$D$810,"")),IF($E221=2,LOOKUP(2,1/(('Match Log'!$A$4:$A$810=$A221)*('Match Log'!$E$4:$E$810="Loss")),'Match Log'!$D$4:$D$810),"the field")),"")</f>
        <v>the field</v>
      </c>
      <c r="I221" t="str">
        <f t="shared" si="32"/>
        <v/>
      </c>
      <c r="J221">
        <v>197</v>
      </c>
      <c r="K221" t="e">
        <f>IF($J221&gt;MAX('Match Log'!$A$4:$A$810),NA(),IFERROR(LOOKUP(2,1/(('Match Log'!$D$4:$D$810=$K$24)*('Match Log'!$A$4:$A$810&lt;=$J221)),'Match Log'!$N$4:$N$810),NA()))</f>
        <v>#N/A</v>
      </c>
      <c r="L221" t="e">
        <f>IF($J221&gt;MAX('Match Log'!$A$4:$A$810),NA(),IFERROR(LOOKUP(2,1/(('Match Log'!$D$4:$D$810=$L$24)*('Match Log'!$A$4:$A$810&lt;=$J221)),'Match Log'!$N$4:$N$810),NA()))</f>
        <v>#N/A</v>
      </c>
      <c r="M221" t="e">
        <f>IF($J221&gt;MAX('Match Log'!$A$4:$A$810),NA(),IFERROR(LOOKUP(2,1/(('Match Log'!$D$4:$D$810=$M$24)*('Match Log'!$A$4:$A$810&lt;=$J221)),'Match Log'!$N$4:$N$810),NA()))</f>
        <v>#N/A</v>
      </c>
      <c r="N221" t="e">
        <f>IF($J221&gt;MAX('Match Log'!$A$4:$A$810),NA(),IFERROR(LOOKUP(2,1/(('Match Log'!$D$4:$D$810=$N$24)*('Match Log'!$A$4:$A$810&lt;=$J221)),'Match Log'!$N$4:$N$810),NA()))</f>
        <v>#N/A</v>
      </c>
      <c r="O221" t="e">
        <f>IF($J221&gt;MAX('Match Log'!$A$4:$A$810),NA(),IFERROR(LOOKUP(2,1/(('Match Log'!$D$4:$D$810=$O$24)*('Match Log'!$A$4:$A$810&lt;=$J221)),'Match Log'!$N$4:$N$810),NA()))</f>
        <v>#N/A</v>
      </c>
      <c r="P221" t="e">
        <f>IF($J221&gt;MAX('Match Log'!$A$4:$A$810),NA(),IFERROR(LOOKUP(2,1/(('Match Log'!$D$4:$D$810=$P$24)*('Match Log'!$A$4:$A$810&lt;=$J221)),'Match Log'!$N$4:$N$810),NA()))</f>
        <v>#N/A</v>
      </c>
      <c r="Q221" t="e">
        <f>IF($J221&gt;MAX('Match Log'!$A$4:$A$810),NA(),IFERROR(LOOKUP(2,1/(('Match Log'!$D$4:$D$810=$Q$24)*('Match Log'!$A$4:$A$810&lt;=$J221)),'Match Log'!$N$4:$N$810),NA()))</f>
        <v>#N/A</v>
      </c>
      <c r="R221" t="e">
        <f>IF($J221&gt;MAX('Match Log'!$A$4:$A$810),NA(),IFERROR(LOOKUP(2,1/(('Match Log'!$D$4:$D$810=$R$24)*('Match Log'!$A$4:$A$810&lt;=$J221)),'Match Log'!$N$4:$N$810),NA()))</f>
        <v>#N/A</v>
      </c>
      <c r="S221" t="e">
        <f>IF($J221&gt;MAX('Match Log'!$A$4:$A$810),NA(),IFERROR(LOOKUP(2,1/(('Match Log'!$D$4:$D$810=$S$24)*('Match Log'!$A$4:$A$810&lt;=$J221)),'Match Log'!$N$4:$N$810),NA()))</f>
        <v>#N/A</v>
      </c>
      <c r="T221" t="e">
        <f>IF($J221&gt;MAX('Match Log'!$A$4:$A$810),NA(),IFERROR(LOOKUP(2,1/(('Match Log'!$D$4:$D$810=$T$24)*('Match Log'!$A$4:$A$810&lt;=$J221)),'Match Log'!$N$4:$N$810),NA()))</f>
        <v>#N/A</v>
      </c>
      <c r="U221" t="e">
        <f>IF($J221&gt;MAX('Match Log'!$A$4:$A$810),NA(),IFERROR(LOOKUP(2,1/(('Match Log'!$D$4:$D$810=$U$24)*('Match Log'!$A$4:$A$810&lt;=$J221)),'Match Log'!$N$4:$N$810),NA()))</f>
        <v>#N/A</v>
      </c>
      <c r="V221" t="e">
        <f>IF($J221&gt;MAX('Match Log'!$A$4:$A$810),NA(),IFERROR(LOOKUP(2,1/(('Match Log'!$D$4:$D$810=$V$24)*('Match Log'!$A$4:$A$810&lt;=$J221)),'Match Log'!$N$4:$N$810),NA()))</f>
        <v>#N/A</v>
      </c>
      <c r="W221" t="e">
        <f>IF($J221&gt;MAX('Match Log'!$A$4:$A$810),NA(),IFERROR(LOOKUP(2,1/(('Match Log'!$D$4:$D$810=$W$24)*('Match Log'!$A$4:$A$810&lt;=$J221)),'Match Log'!$N$4:$N$810),NA()))</f>
        <v>#N/A</v>
      </c>
      <c r="X221" t="e">
        <f>IF($J221&gt;MAX('Match Log'!$A$4:$A$810),NA(),IFERROR(LOOKUP(2,1/(('Match Log'!$D$4:$D$810=$X$24)*('Match Log'!$A$4:$A$810&lt;=$J221)),'Match Log'!$N$4:$N$810),NA()))</f>
        <v>#N/A</v>
      </c>
      <c r="Y221" t="str">
        <f t="shared" ca="1" si="33"/>
        <v/>
      </c>
    </row>
    <row r="222" spans="1:25" x14ac:dyDescent="0.2">
      <c r="A222">
        <v>198</v>
      </c>
      <c r="B222" t="str">
        <f>IFERROR(INDEX('Match Log'!$B$4:$B$810,MATCH(198,'Match Log'!$A$4:$A$810,0)),"")</f>
        <v/>
      </c>
      <c r="C222" t="str">
        <f>IFERROR(INDEX('Match Log'!$C$4:$C$810,MATCH(198,'Match Log'!$A$4:$A$810,0)),"")</f>
        <v/>
      </c>
      <c r="D222" t="str">
        <f t="array" ref="D222">IFERROR(_xlfn.TEXTJOIN(" + ",TRUE,IF(('Match Log'!$A$4:$A$810=$A222)*('Match Log'!$E$4:$E$810="Win"),'Match Log'!$D$4:$D$810,"")),IFERROR(LOOKUP(2,1/(('Match Log'!$A$4:$A$810=$A222)*('Match Log'!$E$4:$E$810="Win")),'Match Log'!$D$4:$D$810),""))</f>
        <v/>
      </c>
      <c r="E222" t="str">
        <f>IFERROR(INDEX('Match Log'!$F$4:$F$810,MATCH(198,'Match Log'!$A$4:$A$810,0)),"")</f>
        <v/>
      </c>
      <c r="F222">
        <f>IFERROR(SUMIFS('Match Log'!$I$4:$I$810,'Match Log'!$A$4:$A$810,198,'Match Log'!$E$4:$E$810,"Win"),"")</f>
        <v>0</v>
      </c>
      <c r="G222" t="str">
        <f t="shared" si="31"/>
        <v/>
      </c>
      <c r="H222" t="str">
        <f t="array" ref="H222">IFERROR(IF(COUNTIFS('Match Log'!$A$4:$A$810,$A222,'Match Log'!$E$4:$E$810,"Win")&gt;1,_xlfn.TEXTJOIN(" + ",TRUE,IF(('Match Log'!$A$4:$A$810=$A222)*('Match Log'!$E$4:$E$810="Loss"),'Match Log'!$D$4:$D$810,"")),IF($E222=2,LOOKUP(2,1/(('Match Log'!$A$4:$A$810=$A222)*('Match Log'!$E$4:$E$810="Loss")),'Match Log'!$D$4:$D$810),"the field")),"")</f>
        <v>the field</v>
      </c>
      <c r="I222" t="str">
        <f t="shared" si="32"/>
        <v/>
      </c>
      <c r="J222">
        <v>198</v>
      </c>
      <c r="K222" t="e">
        <f>IF($J222&gt;MAX('Match Log'!$A$4:$A$810),NA(),IFERROR(LOOKUP(2,1/(('Match Log'!$D$4:$D$810=$K$24)*('Match Log'!$A$4:$A$810&lt;=$J222)),'Match Log'!$N$4:$N$810),NA()))</f>
        <v>#N/A</v>
      </c>
      <c r="L222" t="e">
        <f>IF($J222&gt;MAX('Match Log'!$A$4:$A$810),NA(),IFERROR(LOOKUP(2,1/(('Match Log'!$D$4:$D$810=$L$24)*('Match Log'!$A$4:$A$810&lt;=$J222)),'Match Log'!$N$4:$N$810),NA()))</f>
        <v>#N/A</v>
      </c>
      <c r="M222" t="e">
        <f>IF($J222&gt;MAX('Match Log'!$A$4:$A$810),NA(),IFERROR(LOOKUP(2,1/(('Match Log'!$D$4:$D$810=$M$24)*('Match Log'!$A$4:$A$810&lt;=$J222)),'Match Log'!$N$4:$N$810),NA()))</f>
        <v>#N/A</v>
      </c>
      <c r="N222" t="e">
        <f>IF($J222&gt;MAX('Match Log'!$A$4:$A$810),NA(),IFERROR(LOOKUP(2,1/(('Match Log'!$D$4:$D$810=$N$24)*('Match Log'!$A$4:$A$810&lt;=$J222)),'Match Log'!$N$4:$N$810),NA()))</f>
        <v>#N/A</v>
      </c>
      <c r="O222" t="e">
        <f>IF($J222&gt;MAX('Match Log'!$A$4:$A$810),NA(),IFERROR(LOOKUP(2,1/(('Match Log'!$D$4:$D$810=$O$24)*('Match Log'!$A$4:$A$810&lt;=$J222)),'Match Log'!$N$4:$N$810),NA()))</f>
        <v>#N/A</v>
      </c>
      <c r="P222" t="e">
        <f>IF($J222&gt;MAX('Match Log'!$A$4:$A$810),NA(),IFERROR(LOOKUP(2,1/(('Match Log'!$D$4:$D$810=$P$24)*('Match Log'!$A$4:$A$810&lt;=$J222)),'Match Log'!$N$4:$N$810),NA()))</f>
        <v>#N/A</v>
      </c>
      <c r="Q222" t="e">
        <f>IF($J222&gt;MAX('Match Log'!$A$4:$A$810),NA(),IFERROR(LOOKUP(2,1/(('Match Log'!$D$4:$D$810=$Q$24)*('Match Log'!$A$4:$A$810&lt;=$J222)),'Match Log'!$N$4:$N$810),NA()))</f>
        <v>#N/A</v>
      </c>
      <c r="R222" t="e">
        <f>IF($J222&gt;MAX('Match Log'!$A$4:$A$810),NA(),IFERROR(LOOKUP(2,1/(('Match Log'!$D$4:$D$810=$R$24)*('Match Log'!$A$4:$A$810&lt;=$J222)),'Match Log'!$N$4:$N$810),NA()))</f>
        <v>#N/A</v>
      </c>
      <c r="S222" t="e">
        <f>IF($J222&gt;MAX('Match Log'!$A$4:$A$810),NA(),IFERROR(LOOKUP(2,1/(('Match Log'!$D$4:$D$810=$S$24)*('Match Log'!$A$4:$A$810&lt;=$J222)),'Match Log'!$N$4:$N$810),NA()))</f>
        <v>#N/A</v>
      </c>
      <c r="T222" t="e">
        <f>IF($J222&gt;MAX('Match Log'!$A$4:$A$810),NA(),IFERROR(LOOKUP(2,1/(('Match Log'!$D$4:$D$810=$T$24)*('Match Log'!$A$4:$A$810&lt;=$J222)),'Match Log'!$N$4:$N$810),NA()))</f>
        <v>#N/A</v>
      </c>
      <c r="U222" t="e">
        <f>IF($J222&gt;MAX('Match Log'!$A$4:$A$810),NA(),IFERROR(LOOKUP(2,1/(('Match Log'!$D$4:$D$810=$U$24)*('Match Log'!$A$4:$A$810&lt;=$J222)),'Match Log'!$N$4:$N$810),NA()))</f>
        <v>#N/A</v>
      </c>
      <c r="V222" t="e">
        <f>IF($J222&gt;MAX('Match Log'!$A$4:$A$810),NA(),IFERROR(LOOKUP(2,1/(('Match Log'!$D$4:$D$810=$V$24)*('Match Log'!$A$4:$A$810&lt;=$J222)),'Match Log'!$N$4:$N$810),NA()))</f>
        <v>#N/A</v>
      </c>
      <c r="W222" t="e">
        <f>IF($J222&gt;MAX('Match Log'!$A$4:$A$810),NA(),IFERROR(LOOKUP(2,1/(('Match Log'!$D$4:$D$810=$W$24)*('Match Log'!$A$4:$A$810&lt;=$J222)),'Match Log'!$N$4:$N$810),NA()))</f>
        <v>#N/A</v>
      </c>
      <c r="X222" t="e">
        <f>IF($J222&gt;MAX('Match Log'!$A$4:$A$810),NA(),IFERROR(LOOKUP(2,1/(('Match Log'!$D$4:$D$810=$X$24)*('Match Log'!$A$4:$A$810&lt;=$J222)),'Match Log'!$N$4:$N$810),NA()))</f>
        <v>#N/A</v>
      </c>
      <c r="Y222" t="str">
        <f t="shared" ca="1" si="33"/>
        <v/>
      </c>
    </row>
    <row r="223" spans="1:25" x14ac:dyDescent="0.2">
      <c r="A223">
        <v>199</v>
      </c>
      <c r="B223" t="str">
        <f>IFERROR(INDEX('Match Log'!$B$4:$B$810,MATCH(199,'Match Log'!$A$4:$A$810,0)),"")</f>
        <v/>
      </c>
      <c r="C223" t="str">
        <f>IFERROR(INDEX('Match Log'!$C$4:$C$810,MATCH(199,'Match Log'!$A$4:$A$810,0)),"")</f>
        <v/>
      </c>
      <c r="D223" t="str">
        <f t="array" ref="D223">IFERROR(_xlfn.TEXTJOIN(" + ",TRUE,IF(('Match Log'!$A$4:$A$810=$A223)*('Match Log'!$E$4:$E$810="Win"),'Match Log'!$D$4:$D$810,"")),IFERROR(LOOKUP(2,1/(('Match Log'!$A$4:$A$810=$A223)*('Match Log'!$E$4:$E$810="Win")),'Match Log'!$D$4:$D$810),""))</f>
        <v/>
      </c>
      <c r="E223" t="str">
        <f>IFERROR(INDEX('Match Log'!$F$4:$F$810,MATCH(199,'Match Log'!$A$4:$A$810,0)),"")</f>
        <v/>
      </c>
      <c r="F223">
        <f>IFERROR(SUMIFS('Match Log'!$I$4:$I$810,'Match Log'!$A$4:$A$810,199,'Match Log'!$E$4:$E$810,"Win"),"")</f>
        <v>0</v>
      </c>
      <c r="G223" t="str">
        <f t="shared" si="31"/>
        <v/>
      </c>
      <c r="H223" t="str">
        <f t="array" ref="H223">IFERROR(IF(COUNTIFS('Match Log'!$A$4:$A$810,$A223,'Match Log'!$E$4:$E$810,"Win")&gt;1,_xlfn.TEXTJOIN(" + ",TRUE,IF(('Match Log'!$A$4:$A$810=$A223)*('Match Log'!$E$4:$E$810="Loss"),'Match Log'!$D$4:$D$810,"")),IF($E223=2,LOOKUP(2,1/(('Match Log'!$A$4:$A$810=$A223)*('Match Log'!$E$4:$E$810="Loss")),'Match Log'!$D$4:$D$810),"the field")),"")</f>
        <v>the field</v>
      </c>
      <c r="I223" t="str">
        <f t="shared" si="32"/>
        <v/>
      </c>
      <c r="J223">
        <v>199</v>
      </c>
      <c r="K223" t="e">
        <f>IF($J223&gt;MAX('Match Log'!$A$4:$A$810),NA(),IFERROR(LOOKUP(2,1/(('Match Log'!$D$4:$D$810=$K$24)*('Match Log'!$A$4:$A$810&lt;=$J223)),'Match Log'!$N$4:$N$810),NA()))</f>
        <v>#N/A</v>
      </c>
      <c r="L223" t="e">
        <f>IF($J223&gt;MAX('Match Log'!$A$4:$A$810),NA(),IFERROR(LOOKUP(2,1/(('Match Log'!$D$4:$D$810=$L$24)*('Match Log'!$A$4:$A$810&lt;=$J223)),'Match Log'!$N$4:$N$810),NA()))</f>
        <v>#N/A</v>
      </c>
      <c r="M223" t="e">
        <f>IF($J223&gt;MAX('Match Log'!$A$4:$A$810),NA(),IFERROR(LOOKUP(2,1/(('Match Log'!$D$4:$D$810=$M$24)*('Match Log'!$A$4:$A$810&lt;=$J223)),'Match Log'!$N$4:$N$810),NA()))</f>
        <v>#N/A</v>
      </c>
      <c r="N223" t="e">
        <f>IF($J223&gt;MAX('Match Log'!$A$4:$A$810),NA(),IFERROR(LOOKUP(2,1/(('Match Log'!$D$4:$D$810=$N$24)*('Match Log'!$A$4:$A$810&lt;=$J223)),'Match Log'!$N$4:$N$810),NA()))</f>
        <v>#N/A</v>
      </c>
      <c r="O223" t="e">
        <f>IF($J223&gt;MAX('Match Log'!$A$4:$A$810),NA(),IFERROR(LOOKUP(2,1/(('Match Log'!$D$4:$D$810=$O$24)*('Match Log'!$A$4:$A$810&lt;=$J223)),'Match Log'!$N$4:$N$810),NA()))</f>
        <v>#N/A</v>
      </c>
      <c r="P223" t="e">
        <f>IF($J223&gt;MAX('Match Log'!$A$4:$A$810),NA(),IFERROR(LOOKUP(2,1/(('Match Log'!$D$4:$D$810=$P$24)*('Match Log'!$A$4:$A$810&lt;=$J223)),'Match Log'!$N$4:$N$810),NA()))</f>
        <v>#N/A</v>
      </c>
      <c r="Q223" t="e">
        <f>IF($J223&gt;MAX('Match Log'!$A$4:$A$810),NA(),IFERROR(LOOKUP(2,1/(('Match Log'!$D$4:$D$810=$Q$24)*('Match Log'!$A$4:$A$810&lt;=$J223)),'Match Log'!$N$4:$N$810),NA()))</f>
        <v>#N/A</v>
      </c>
      <c r="R223" t="e">
        <f>IF($J223&gt;MAX('Match Log'!$A$4:$A$810),NA(),IFERROR(LOOKUP(2,1/(('Match Log'!$D$4:$D$810=$R$24)*('Match Log'!$A$4:$A$810&lt;=$J223)),'Match Log'!$N$4:$N$810),NA()))</f>
        <v>#N/A</v>
      </c>
      <c r="S223" t="e">
        <f>IF($J223&gt;MAX('Match Log'!$A$4:$A$810),NA(),IFERROR(LOOKUP(2,1/(('Match Log'!$D$4:$D$810=$S$24)*('Match Log'!$A$4:$A$810&lt;=$J223)),'Match Log'!$N$4:$N$810),NA()))</f>
        <v>#N/A</v>
      </c>
      <c r="T223" t="e">
        <f>IF($J223&gt;MAX('Match Log'!$A$4:$A$810),NA(),IFERROR(LOOKUP(2,1/(('Match Log'!$D$4:$D$810=$T$24)*('Match Log'!$A$4:$A$810&lt;=$J223)),'Match Log'!$N$4:$N$810),NA()))</f>
        <v>#N/A</v>
      </c>
      <c r="U223" t="e">
        <f>IF($J223&gt;MAX('Match Log'!$A$4:$A$810),NA(),IFERROR(LOOKUP(2,1/(('Match Log'!$D$4:$D$810=$U$24)*('Match Log'!$A$4:$A$810&lt;=$J223)),'Match Log'!$N$4:$N$810),NA()))</f>
        <v>#N/A</v>
      </c>
      <c r="V223" t="e">
        <f>IF($J223&gt;MAX('Match Log'!$A$4:$A$810),NA(),IFERROR(LOOKUP(2,1/(('Match Log'!$D$4:$D$810=$V$24)*('Match Log'!$A$4:$A$810&lt;=$J223)),'Match Log'!$N$4:$N$810),NA()))</f>
        <v>#N/A</v>
      </c>
      <c r="W223" t="e">
        <f>IF($J223&gt;MAX('Match Log'!$A$4:$A$810),NA(),IFERROR(LOOKUP(2,1/(('Match Log'!$D$4:$D$810=$W$24)*('Match Log'!$A$4:$A$810&lt;=$J223)),'Match Log'!$N$4:$N$810),NA()))</f>
        <v>#N/A</v>
      </c>
      <c r="X223" t="e">
        <f>IF($J223&gt;MAX('Match Log'!$A$4:$A$810),NA(),IFERROR(LOOKUP(2,1/(('Match Log'!$D$4:$D$810=$X$24)*('Match Log'!$A$4:$A$810&lt;=$J223)),'Match Log'!$N$4:$N$810),NA()))</f>
        <v>#N/A</v>
      </c>
      <c r="Y223" t="str">
        <f t="shared" ca="1" si="33"/>
        <v/>
      </c>
    </row>
    <row r="224" spans="1:25" x14ac:dyDescent="0.2">
      <c r="A224">
        <v>200</v>
      </c>
      <c r="B224" t="str">
        <f>IFERROR(INDEX('Match Log'!$B$4:$B$810,MATCH(200,'Match Log'!$A$4:$A$810,0)),"")</f>
        <v/>
      </c>
      <c r="C224" t="str">
        <f>IFERROR(INDEX('Match Log'!$C$4:$C$810,MATCH(200,'Match Log'!$A$4:$A$810,0)),"")</f>
        <v/>
      </c>
      <c r="D224" t="str">
        <f t="array" ref="D224">IFERROR(_xlfn.TEXTJOIN(" + ",TRUE,IF(('Match Log'!$A$4:$A$810=$A224)*('Match Log'!$E$4:$E$810="Win"),'Match Log'!$D$4:$D$810,"")),IFERROR(LOOKUP(2,1/(('Match Log'!$A$4:$A$810=$A224)*('Match Log'!$E$4:$E$810="Win")),'Match Log'!$D$4:$D$810),""))</f>
        <v/>
      </c>
      <c r="E224" t="str">
        <f>IFERROR(INDEX('Match Log'!$F$4:$F$810,MATCH(200,'Match Log'!$A$4:$A$810,0)),"")</f>
        <v/>
      </c>
      <c r="F224">
        <f>IFERROR(SUMIFS('Match Log'!$I$4:$I$810,'Match Log'!$A$4:$A$810,200,'Match Log'!$E$4:$E$810,"Win"),"")</f>
        <v>0</v>
      </c>
      <c r="G224" t="str">
        <f t="shared" si="31"/>
        <v/>
      </c>
      <c r="H224" t="str">
        <f t="array" ref="H224">IFERROR(IF(COUNTIFS('Match Log'!$A$4:$A$810,$A224,'Match Log'!$E$4:$E$810,"Win")&gt;1,_xlfn.TEXTJOIN(" + ",TRUE,IF(('Match Log'!$A$4:$A$810=$A224)*('Match Log'!$E$4:$E$810="Loss"),'Match Log'!$D$4:$D$810,"")),IF($E224=2,LOOKUP(2,1/(('Match Log'!$A$4:$A$810=$A224)*('Match Log'!$E$4:$E$810="Loss")),'Match Log'!$D$4:$D$810),"the field")),"")</f>
        <v>the field</v>
      </c>
      <c r="I224" t="str">
        <f t="shared" si="32"/>
        <v/>
      </c>
      <c r="J224">
        <v>200</v>
      </c>
      <c r="K224" t="e">
        <f>IF($J224&gt;MAX('Match Log'!$A$4:$A$810),NA(),IFERROR(LOOKUP(2,1/(('Match Log'!$D$4:$D$810=$K$24)*('Match Log'!$A$4:$A$810&lt;=$J224)),'Match Log'!$N$4:$N$810),NA()))</f>
        <v>#N/A</v>
      </c>
      <c r="L224" t="e">
        <f>IF($J224&gt;MAX('Match Log'!$A$4:$A$810),NA(),IFERROR(LOOKUP(2,1/(('Match Log'!$D$4:$D$810=$L$24)*('Match Log'!$A$4:$A$810&lt;=$J224)),'Match Log'!$N$4:$N$810),NA()))</f>
        <v>#N/A</v>
      </c>
      <c r="M224" t="e">
        <f>IF($J224&gt;MAX('Match Log'!$A$4:$A$810),NA(),IFERROR(LOOKUP(2,1/(('Match Log'!$D$4:$D$810=$M$24)*('Match Log'!$A$4:$A$810&lt;=$J224)),'Match Log'!$N$4:$N$810),NA()))</f>
        <v>#N/A</v>
      </c>
      <c r="N224" t="e">
        <f>IF($J224&gt;MAX('Match Log'!$A$4:$A$810),NA(),IFERROR(LOOKUP(2,1/(('Match Log'!$D$4:$D$810=$N$24)*('Match Log'!$A$4:$A$810&lt;=$J224)),'Match Log'!$N$4:$N$810),NA()))</f>
        <v>#N/A</v>
      </c>
      <c r="O224" t="e">
        <f>IF($J224&gt;MAX('Match Log'!$A$4:$A$810),NA(),IFERROR(LOOKUP(2,1/(('Match Log'!$D$4:$D$810=$O$24)*('Match Log'!$A$4:$A$810&lt;=$J224)),'Match Log'!$N$4:$N$810),NA()))</f>
        <v>#N/A</v>
      </c>
      <c r="P224" t="e">
        <f>IF($J224&gt;MAX('Match Log'!$A$4:$A$810),NA(),IFERROR(LOOKUP(2,1/(('Match Log'!$D$4:$D$810=$P$24)*('Match Log'!$A$4:$A$810&lt;=$J224)),'Match Log'!$N$4:$N$810),NA()))</f>
        <v>#N/A</v>
      </c>
      <c r="Q224" t="e">
        <f>IF($J224&gt;MAX('Match Log'!$A$4:$A$810),NA(),IFERROR(LOOKUP(2,1/(('Match Log'!$D$4:$D$810=$Q$24)*('Match Log'!$A$4:$A$810&lt;=$J224)),'Match Log'!$N$4:$N$810),NA()))</f>
        <v>#N/A</v>
      </c>
      <c r="R224" t="e">
        <f>IF($J224&gt;MAX('Match Log'!$A$4:$A$810),NA(),IFERROR(LOOKUP(2,1/(('Match Log'!$D$4:$D$810=$R$24)*('Match Log'!$A$4:$A$810&lt;=$J224)),'Match Log'!$N$4:$N$810),NA()))</f>
        <v>#N/A</v>
      </c>
      <c r="S224" t="e">
        <f>IF($J224&gt;MAX('Match Log'!$A$4:$A$810),NA(),IFERROR(LOOKUP(2,1/(('Match Log'!$D$4:$D$810=$S$24)*('Match Log'!$A$4:$A$810&lt;=$J224)),'Match Log'!$N$4:$N$810),NA()))</f>
        <v>#N/A</v>
      </c>
      <c r="T224" t="e">
        <f>IF($J224&gt;MAX('Match Log'!$A$4:$A$810),NA(),IFERROR(LOOKUP(2,1/(('Match Log'!$D$4:$D$810=$T$24)*('Match Log'!$A$4:$A$810&lt;=$J224)),'Match Log'!$N$4:$N$810),NA()))</f>
        <v>#N/A</v>
      </c>
      <c r="U224" t="e">
        <f>IF($J224&gt;MAX('Match Log'!$A$4:$A$810),NA(),IFERROR(LOOKUP(2,1/(('Match Log'!$D$4:$D$810=$U$24)*('Match Log'!$A$4:$A$810&lt;=$J224)),'Match Log'!$N$4:$N$810),NA()))</f>
        <v>#N/A</v>
      </c>
      <c r="V224" t="e">
        <f>IF($J224&gt;MAX('Match Log'!$A$4:$A$810),NA(),IFERROR(LOOKUP(2,1/(('Match Log'!$D$4:$D$810=$V$24)*('Match Log'!$A$4:$A$810&lt;=$J224)),'Match Log'!$N$4:$N$810),NA()))</f>
        <v>#N/A</v>
      </c>
      <c r="W224" t="e">
        <f>IF($J224&gt;MAX('Match Log'!$A$4:$A$810),NA(),IFERROR(LOOKUP(2,1/(('Match Log'!$D$4:$D$810=$W$24)*('Match Log'!$A$4:$A$810&lt;=$J224)),'Match Log'!$N$4:$N$810),NA()))</f>
        <v>#N/A</v>
      </c>
      <c r="X224" t="e">
        <f>IF($J224&gt;MAX('Match Log'!$A$4:$A$810),NA(),IFERROR(LOOKUP(2,1/(('Match Log'!$D$4:$D$810=$X$24)*('Match Log'!$A$4:$A$810&lt;=$J224)),'Match Log'!$N$4:$N$810),NA()))</f>
        <v>#N/A</v>
      </c>
      <c r="Y224" t="str">
        <f t="shared" ca="1" si="33"/>
        <v/>
      </c>
    </row>
    <row r="225" spans="1:25" x14ac:dyDescent="0.2">
      <c r="A225">
        <v>201</v>
      </c>
      <c r="B225" t="str">
        <f>IFERROR(INDEX('Match Log'!$B$4:$B$810,MATCH(201,'Match Log'!$A$4:$A$810,0)),"")</f>
        <v/>
      </c>
      <c r="C225" t="str">
        <f>IFERROR(INDEX('Match Log'!$C$4:$C$810,MATCH(201,'Match Log'!$A$4:$A$810,0)),"")</f>
        <v/>
      </c>
      <c r="D225" t="str">
        <f t="array" ref="D225">IFERROR(_xlfn.TEXTJOIN(" + ",TRUE,IF(('Match Log'!$A$4:$A$810=$A225)*('Match Log'!$E$4:$E$810="Win"),'Match Log'!$D$4:$D$810,"")),IFERROR(LOOKUP(2,1/(('Match Log'!$A$4:$A$810=$A225)*('Match Log'!$E$4:$E$810="Win")),'Match Log'!$D$4:$D$810),""))</f>
        <v/>
      </c>
      <c r="E225" t="str">
        <f>IFERROR(INDEX('Match Log'!$F$4:$F$810,MATCH(201,'Match Log'!$A$4:$A$810,0)),"")</f>
        <v/>
      </c>
      <c r="F225">
        <f>IFERROR(SUMIFS('Match Log'!$I$4:$I$810,'Match Log'!$A$4:$A$810,201,'Match Log'!$E$4:$E$810,"Win"),"")</f>
        <v>0</v>
      </c>
      <c r="G225" t="str">
        <f t="shared" si="31"/>
        <v/>
      </c>
      <c r="H225" t="str">
        <f t="array" ref="H225">IFERROR(IF(COUNTIFS('Match Log'!$A$4:$A$810,$A225,'Match Log'!$E$4:$E$810,"Win")&gt;1,_xlfn.TEXTJOIN(" + ",TRUE,IF(('Match Log'!$A$4:$A$810=$A225)*('Match Log'!$E$4:$E$810="Loss"),'Match Log'!$D$4:$D$810,"")),IF($E225=2,LOOKUP(2,1/(('Match Log'!$A$4:$A$810=$A225)*('Match Log'!$E$4:$E$810="Loss")),'Match Log'!$D$4:$D$810),"the field")),"")</f>
        <v>the field</v>
      </c>
      <c r="I225" t="str">
        <f t="shared" si="32"/>
        <v/>
      </c>
      <c r="J225">
        <v>201</v>
      </c>
      <c r="K225" t="e">
        <f>IF($J225&gt;MAX('Match Log'!$A$4:$A$810),NA(),IFERROR(LOOKUP(2,1/(('Match Log'!$D$4:$D$810=$K$24)*('Match Log'!$A$4:$A$810&lt;=$J225)),'Match Log'!$N$4:$N$810),NA()))</f>
        <v>#N/A</v>
      </c>
      <c r="L225" t="e">
        <f>IF($J225&gt;MAX('Match Log'!$A$4:$A$810),NA(),IFERROR(LOOKUP(2,1/(('Match Log'!$D$4:$D$810=$L$24)*('Match Log'!$A$4:$A$810&lt;=$J225)),'Match Log'!$N$4:$N$810),NA()))</f>
        <v>#N/A</v>
      </c>
      <c r="M225" t="e">
        <f>IF($J225&gt;MAX('Match Log'!$A$4:$A$810),NA(),IFERROR(LOOKUP(2,1/(('Match Log'!$D$4:$D$810=$M$24)*('Match Log'!$A$4:$A$810&lt;=$J225)),'Match Log'!$N$4:$N$810),NA()))</f>
        <v>#N/A</v>
      </c>
      <c r="N225" t="e">
        <f>IF($J225&gt;MAX('Match Log'!$A$4:$A$810),NA(),IFERROR(LOOKUP(2,1/(('Match Log'!$D$4:$D$810=$N$24)*('Match Log'!$A$4:$A$810&lt;=$J225)),'Match Log'!$N$4:$N$810),NA()))</f>
        <v>#N/A</v>
      </c>
      <c r="O225" t="e">
        <f>IF($J225&gt;MAX('Match Log'!$A$4:$A$810),NA(),IFERROR(LOOKUP(2,1/(('Match Log'!$D$4:$D$810=$O$24)*('Match Log'!$A$4:$A$810&lt;=$J225)),'Match Log'!$N$4:$N$810),NA()))</f>
        <v>#N/A</v>
      </c>
      <c r="P225" t="e">
        <f>IF($J225&gt;MAX('Match Log'!$A$4:$A$810),NA(),IFERROR(LOOKUP(2,1/(('Match Log'!$D$4:$D$810=$P$24)*('Match Log'!$A$4:$A$810&lt;=$J225)),'Match Log'!$N$4:$N$810),NA()))</f>
        <v>#N/A</v>
      </c>
      <c r="Q225" t="e">
        <f>IF($J225&gt;MAX('Match Log'!$A$4:$A$810),NA(),IFERROR(LOOKUP(2,1/(('Match Log'!$D$4:$D$810=$Q$24)*('Match Log'!$A$4:$A$810&lt;=$J225)),'Match Log'!$N$4:$N$810),NA()))</f>
        <v>#N/A</v>
      </c>
      <c r="R225" t="e">
        <f>IF($J225&gt;MAX('Match Log'!$A$4:$A$810),NA(),IFERROR(LOOKUP(2,1/(('Match Log'!$D$4:$D$810=$R$24)*('Match Log'!$A$4:$A$810&lt;=$J225)),'Match Log'!$N$4:$N$810),NA()))</f>
        <v>#N/A</v>
      </c>
      <c r="S225" t="e">
        <f>IF($J225&gt;MAX('Match Log'!$A$4:$A$810),NA(),IFERROR(LOOKUP(2,1/(('Match Log'!$D$4:$D$810=$S$24)*('Match Log'!$A$4:$A$810&lt;=$J225)),'Match Log'!$N$4:$N$810),NA()))</f>
        <v>#N/A</v>
      </c>
      <c r="T225" t="e">
        <f>IF($J225&gt;MAX('Match Log'!$A$4:$A$810),NA(),IFERROR(LOOKUP(2,1/(('Match Log'!$D$4:$D$810=$T$24)*('Match Log'!$A$4:$A$810&lt;=$J225)),'Match Log'!$N$4:$N$810),NA()))</f>
        <v>#N/A</v>
      </c>
      <c r="U225" t="e">
        <f>IF($J225&gt;MAX('Match Log'!$A$4:$A$810),NA(),IFERROR(LOOKUP(2,1/(('Match Log'!$D$4:$D$810=$U$24)*('Match Log'!$A$4:$A$810&lt;=$J225)),'Match Log'!$N$4:$N$810),NA()))</f>
        <v>#N/A</v>
      </c>
      <c r="V225" t="e">
        <f>IF($J225&gt;MAX('Match Log'!$A$4:$A$810),NA(),IFERROR(LOOKUP(2,1/(('Match Log'!$D$4:$D$810=$V$24)*('Match Log'!$A$4:$A$810&lt;=$J225)),'Match Log'!$N$4:$N$810),NA()))</f>
        <v>#N/A</v>
      </c>
      <c r="W225" t="e">
        <f>IF($J225&gt;MAX('Match Log'!$A$4:$A$810),NA(),IFERROR(LOOKUP(2,1/(('Match Log'!$D$4:$D$810=$W$24)*('Match Log'!$A$4:$A$810&lt;=$J225)),'Match Log'!$N$4:$N$810),NA()))</f>
        <v>#N/A</v>
      </c>
      <c r="X225" t="e">
        <f>IF($J225&gt;MAX('Match Log'!$A$4:$A$810),NA(),IFERROR(LOOKUP(2,1/(('Match Log'!$D$4:$D$810=$X$24)*('Match Log'!$A$4:$A$810&lt;=$J225)),'Match Log'!$N$4:$N$810),NA()))</f>
        <v>#N/A</v>
      </c>
      <c r="Y225" t="str">
        <f t="shared" ca="1" si="33"/>
        <v/>
      </c>
    </row>
    <row r="226" spans="1:25" x14ac:dyDescent="0.2">
      <c r="A226">
        <v>202</v>
      </c>
      <c r="B226" t="str">
        <f>IFERROR(INDEX('Match Log'!$B$4:$B$810,MATCH(202,'Match Log'!$A$4:$A$810,0)),"")</f>
        <v/>
      </c>
      <c r="C226" t="str">
        <f>IFERROR(INDEX('Match Log'!$C$4:$C$810,MATCH(202,'Match Log'!$A$4:$A$810,0)),"")</f>
        <v/>
      </c>
      <c r="D226" t="str">
        <f t="array" ref="D226">IFERROR(_xlfn.TEXTJOIN(" + ",TRUE,IF(('Match Log'!$A$4:$A$810=$A226)*('Match Log'!$E$4:$E$810="Win"),'Match Log'!$D$4:$D$810,"")),IFERROR(LOOKUP(2,1/(('Match Log'!$A$4:$A$810=$A226)*('Match Log'!$E$4:$E$810="Win")),'Match Log'!$D$4:$D$810),""))</f>
        <v/>
      </c>
      <c r="E226" t="str">
        <f>IFERROR(INDEX('Match Log'!$F$4:$F$810,MATCH(202,'Match Log'!$A$4:$A$810,0)),"")</f>
        <v/>
      </c>
      <c r="F226">
        <f>IFERROR(SUMIFS('Match Log'!$I$4:$I$810,'Match Log'!$A$4:$A$810,202,'Match Log'!$E$4:$E$810,"Win"),"")</f>
        <v>0</v>
      </c>
      <c r="G226" t="str">
        <f t="shared" si="31"/>
        <v/>
      </c>
      <c r="H226" t="str">
        <f t="array" ref="H226">IFERROR(IF(COUNTIFS('Match Log'!$A$4:$A$810,$A226,'Match Log'!$E$4:$E$810,"Win")&gt;1,_xlfn.TEXTJOIN(" + ",TRUE,IF(('Match Log'!$A$4:$A$810=$A226)*('Match Log'!$E$4:$E$810="Loss"),'Match Log'!$D$4:$D$810,"")),IF($E226=2,LOOKUP(2,1/(('Match Log'!$A$4:$A$810=$A226)*('Match Log'!$E$4:$E$810="Loss")),'Match Log'!$D$4:$D$810),"the field")),"")</f>
        <v>the field</v>
      </c>
      <c r="I226" t="str">
        <f t="shared" si="32"/>
        <v/>
      </c>
      <c r="J226">
        <v>202</v>
      </c>
      <c r="K226" t="e">
        <f>IF($J226&gt;MAX('Match Log'!$A$4:$A$810),NA(),IFERROR(LOOKUP(2,1/(('Match Log'!$D$4:$D$810=$K$24)*('Match Log'!$A$4:$A$810&lt;=$J226)),'Match Log'!$N$4:$N$810),NA()))</f>
        <v>#N/A</v>
      </c>
      <c r="L226" t="e">
        <f>IF($J226&gt;MAX('Match Log'!$A$4:$A$810),NA(),IFERROR(LOOKUP(2,1/(('Match Log'!$D$4:$D$810=$L$24)*('Match Log'!$A$4:$A$810&lt;=$J226)),'Match Log'!$N$4:$N$810),NA()))</f>
        <v>#N/A</v>
      </c>
      <c r="M226" t="e">
        <f>IF($J226&gt;MAX('Match Log'!$A$4:$A$810),NA(),IFERROR(LOOKUP(2,1/(('Match Log'!$D$4:$D$810=$M$24)*('Match Log'!$A$4:$A$810&lt;=$J226)),'Match Log'!$N$4:$N$810),NA()))</f>
        <v>#N/A</v>
      </c>
      <c r="N226" t="e">
        <f>IF($J226&gt;MAX('Match Log'!$A$4:$A$810),NA(),IFERROR(LOOKUP(2,1/(('Match Log'!$D$4:$D$810=$N$24)*('Match Log'!$A$4:$A$810&lt;=$J226)),'Match Log'!$N$4:$N$810),NA()))</f>
        <v>#N/A</v>
      </c>
      <c r="O226" t="e">
        <f>IF($J226&gt;MAX('Match Log'!$A$4:$A$810),NA(),IFERROR(LOOKUP(2,1/(('Match Log'!$D$4:$D$810=$O$24)*('Match Log'!$A$4:$A$810&lt;=$J226)),'Match Log'!$N$4:$N$810),NA()))</f>
        <v>#N/A</v>
      </c>
      <c r="P226" t="e">
        <f>IF($J226&gt;MAX('Match Log'!$A$4:$A$810),NA(),IFERROR(LOOKUP(2,1/(('Match Log'!$D$4:$D$810=$P$24)*('Match Log'!$A$4:$A$810&lt;=$J226)),'Match Log'!$N$4:$N$810),NA()))</f>
        <v>#N/A</v>
      </c>
      <c r="Q226" t="e">
        <f>IF($J226&gt;MAX('Match Log'!$A$4:$A$810),NA(),IFERROR(LOOKUP(2,1/(('Match Log'!$D$4:$D$810=$Q$24)*('Match Log'!$A$4:$A$810&lt;=$J226)),'Match Log'!$N$4:$N$810),NA()))</f>
        <v>#N/A</v>
      </c>
      <c r="R226" t="e">
        <f>IF($J226&gt;MAX('Match Log'!$A$4:$A$810),NA(),IFERROR(LOOKUP(2,1/(('Match Log'!$D$4:$D$810=$R$24)*('Match Log'!$A$4:$A$810&lt;=$J226)),'Match Log'!$N$4:$N$810),NA()))</f>
        <v>#N/A</v>
      </c>
      <c r="S226" t="e">
        <f>IF($J226&gt;MAX('Match Log'!$A$4:$A$810),NA(),IFERROR(LOOKUP(2,1/(('Match Log'!$D$4:$D$810=$S$24)*('Match Log'!$A$4:$A$810&lt;=$J226)),'Match Log'!$N$4:$N$810),NA()))</f>
        <v>#N/A</v>
      </c>
      <c r="T226" t="e">
        <f>IF($J226&gt;MAX('Match Log'!$A$4:$A$810),NA(),IFERROR(LOOKUP(2,1/(('Match Log'!$D$4:$D$810=$T$24)*('Match Log'!$A$4:$A$810&lt;=$J226)),'Match Log'!$N$4:$N$810),NA()))</f>
        <v>#N/A</v>
      </c>
      <c r="U226" t="e">
        <f>IF($J226&gt;MAX('Match Log'!$A$4:$A$810),NA(),IFERROR(LOOKUP(2,1/(('Match Log'!$D$4:$D$810=$U$24)*('Match Log'!$A$4:$A$810&lt;=$J226)),'Match Log'!$N$4:$N$810),NA()))</f>
        <v>#N/A</v>
      </c>
      <c r="V226" t="e">
        <f>IF($J226&gt;MAX('Match Log'!$A$4:$A$810),NA(),IFERROR(LOOKUP(2,1/(('Match Log'!$D$4:$D$810=$V$24)*('Match Log'!$A$4:$A$810&lt;=$J226)),'Match Log'!$N$4:$N$810),NA()))</f>
        <v>#N/A</v>
      </c>
      <c r="W226" t="e">
        <f>IF($J226&gt;MAX('Match Log'!$A$4:$A$810),NA(),IFERROR(LOOKUP(2,1/(('Match Log'!$D$4:$D$810=$W$24)*('Match Log'!$A$4:$A$810&lt;=$J226)),'Match Log'!$N$4:$N$810),NA()))</f>
        <v>#N/A</v>
      </c>
      <c r="X226" t="e">
        <f>IF($J226&gt;MAX('Match Log'!$A$4:$A$810),NA(),IFERROR(LOOKUP(2,1/(('Match Log'!$D$4:$D$810=$X$24)*('Match Log'!$A$4:$A$810&lt;=$J226)),'Match Log'!$N$4:$N$810),NA()))</f>
        <v>#N/A</v>
      </c>
      <c r="Y226" t="str">
        <f t="shared" ca="1" si="33"/>
        <v/>
      </c>
    </row>
    <row r="227" spans="1:25" x14ac:dyDescent="0.2">
      <c r="A227">
        <v>203</v>
      </c>
      <c r="B227" t="str">
        <f>IFERROR(INDEX('Match Log'!$B$4:$B$810,MATCH(203,'Match Log'!$A$4:$A$810,0)),"")</f>
        <v/>
      </c>
      <c r="C227" t="str">
        <f>IFERROR(INDEX('Match Log'!$C$4:$C$810,MATCH(203,'Match Log'!$A$4:$A$810,0)),"")</f>
        <v/>
      </c>
      <c r="D227" t="str">
        <f t="array" ref="D227">IFERROR(_xlfn.TEXTJOIN(" + ",TRUE,IF(('Match Log'!$A$4:$A$810=$A227)*('Match Log'!$E$4:$E$810="Win"),'Match Log'!$D$4:$D$810,"")),IFERROR(LOOKUP(2,1/(('Match Log'!$A$4:$A$810=$A227)*('Match Log'!$E$4:$E$810="Win")),'Match Log'!$D$4:$D$810),""))</f>
        <v/>
      </c>
      <c r="E227" t="str">
        <f>IFERROR(INDEX('Match Log'!$F$4:$F$810,MATCH(203,'Match Log'!$A$4:$A$810,0)),"")</f>
        <v/>
      </c>
      <c r="F227">
        <f>IFERROR(SUMIFS('Match Log'!$I$4:$I$810,'Match Log'!$A$4:$A$810,203,'Match Log'!$E$4:$E$810,"Win"),"")</f>
        <v>0</v>
      </c>
      <c r="G227" t="str">
        <f t="shared" si="31"/>
        <v/>
      </c>
      <c r="H227" t="str">
        <f t="array" ref="H227">IFERROR(IF(COUNTIFS('Match Log'!$A$4:$A$810,$A227,'Match Log'!$E$4:$E$810,"Win")&gt;1,_xlfn.TEXTJOIN(" + ",TRUE,IF(('Match Log'!$A$4:$A$810=$A227)*('Match Log'!$E$4:$E$810="Loss"),'Match Log'!$D$4:$D$810,"")),IF($E227=2,LOOKUP(2,1/(('Match Log'!$A$4:$A$810=$A227)*('Match Log'!$E$4:$E$810="Loss")),'Match Log'!$D$4:$D$810),"the field")),"")</f>
        <v>the field</v>
      </c>
      <c r="I227" t="str">
        <f t="shared" si="32"/>
        <v/>
      </c>
      <c r="J227">
        <v>203</v>
      </c>
      <c r="K227" t="e">
        <f>IF($J227&gt;MAX('Match Log'!$A$4:$A$810),NA(),IFERROR(LOOKUP(2,1/(('Match Log'!$D$4:$D$810=$K$24)*('Match Log'!$A$4:$A$810&lt;=$J227)),'Match Log'!$N$4:$N$810),NA()))</f>
        <v>#N/A</v>
      </c>
      <c r="L227" t="e">
        <f>IF($J227&gt;MAX('Match Log'!$A$4:$A$810),NA(),IFERROR(LOOKUP(2,1/(('Match Log'!$D$4:$D$810=$L$24)*('Match Log'!$A$4:$A$810&lt;=$J227)),'Match Log'!$N$4:$N$810),NA()))</f>
        <v>#N/A</v>
      </c>
      <c r="M227" t="e">
        <f>IF($J227&gt;MAX('Match Log'!$A$4:$A$810),NA(),IFERROR(LOOKUP(2,1/(('Match Log'!$D$4:$D$810=$M$24)*('Match Log'!$A$4:$A$810&lt;=$J227)),'Match Log'!$N$4:$N$810),NA()))</f>
        <v>#N/A</v>
      </c>
      <c r="N227" t="e">
        <f>IF($J227&gt;MAX('Match Log'!$A$4:$A$810),NA(),IFERROR(LOOKUP(2,1/(('Match Log'!$D$4:$D$810=$N$24)*('Match Log'!$A$4:$A$810&lt;=$J227)),'Match Log'!$N$4:$N$810),NA()))</f>
        <v>#N/A</v>
      </c>
      <c r="O227" t="e">
        <f>IF($J227&gt;MAX('Match Log'!$A$4:$A$810),NA(),IFERROR(LOOKUP(2,1/(('Match Log'!$D$4:$D$810=$O$24)*('Match Log'!$A$4:$A$810&lt;=$J227)),'Match Log'!$N$4:$N$810),NA()))</f>
        <v>#N/A</v>
      </c>
      <c r="P227" t="e">
        <f>IF($J227&gt;MAX('Match Log'!$A$4:$A$810),NA(),IFERROR(LOOKUP(2,1/(('Match Log'!$D$4:$D$810=$P$24)*('Match Log'!$A$4:$A$810&lt;=$J227)),'Match Log'!$N$4:$N$810),NA()))</f>
        <v>#N/A</v>
      </c>
      <c r="Q227" t="e">
        <f>IF($J227&gt;MAX('Match Log'!$A$4:$A$810),NA(),IFERROR(LOOKUP(2,1/(('Match Log'!$D$4:$D$810=$Q$24)*('Match Log'!$A$4:$A$810&lt;=$J227)),'Match Log'!$N$4:$N$810),NA()))</f>
        <v>#N/A</v>
      </c>
      <c r="R227" t="e">
        <f>IF($J227&gt;MAX('Match Log'!$A$4:$A$810),NA(),IFERROR(LOOKUP(2,1/(('Match Log'!$D$4:$D$810=$R$24)*('Match Log'!$A$4:$A$810&lt;=$J227)),'Match Log'!$N$4:$N$810),NA()))</f>
        <v>#N/A</v>
      </c>
      <c r="S227" t="e">
        <f>IF($J227&gt;MAX('Match Log'!$A$4:$A$810),NA(),IFERROR(LOOKUP(2,1/(('Match Log'!$D$4:$D$810=$S$24)*('Match Log'!$A$4:$A$810&lt;=$J227)),'Match Log'!$N$4:$N$810),NA()))</f>
        <v>#N/A</v>
      </c>
      <c r="T227" t="e">
        <f>IF($J227&gt;MAX('Match Log'!$A$4:$A$810),NA(),IFERROR(LOOKUP(2,1/(('Match Log'!$D$4:$D$810=$T$24)*('Match Log'!$A$4:$A$810&lt;=$J227)),'Match Log'!$N$4:$N$810),NA()))</f>
        <v>#N/A</v>
      </c>
      <c r="U227" t="e">
        <f>IF($J227&gt;MAX('Match Log'!$A$4:$A$810),NA(),IFERROR(LOOKUP(2,1/(('Match Log'!$D$4:$D$810=$U$24)*('Match Log'!$A$4:$A$810&lt;=$J227)),'Match Log'!$N$4:$N$810),NA()))</f>
        <v>#N/A</v>
      </c>
      <c r="V227" t="e">
        <f>IF($J227&gt;MAX('Match Log'!$A$4:$A$810),NA(),IFERROR(LOOKUP(2,1/(('Match Log'!$D$4:$D$810=$V$24)*('Match Log'!$A$4:$A$810&lt;=$J227)),'Match Log'!$N$4:$N$810),NA()))</f>
        <v>#N/A</v>
      </c>
      <c r="W227" t="e">
        <f>IF($J227&gt;MAX('Match Log'!$A$4:$A$810),NA(),IFERROR(LOOKUP(2,1/(('Match Log'!$D$4:$D$810=$W$24)*('Match Log'!$A$4:$A$810&lt;=$J227)),'Match Log'!$N$4:$N$810),NA()))</f>
        <v>#N/A</v>
      </c>
      <c r="X227" t="e">
        <f>IF($J227&gt;MAX('Match Log'!$A$4:$A$810),NA(),IFERROR(LOOKUP(2,1/(('Match Log'!$D$4:$D$810=$X$24)*('Match Log'!$A$4:$A$810&lt;=$J227)),'Match Log'!$N$4:$N$810),NA()))</f>
        <v>#N/A</v>
      </c>
      <c r="Y227" t="str">
        <f t="shared" ca="1" si="33"/>
        <v/>
      </c>
    </row>
    <row r="228" spans="1:25" x14ac:dyDescent="0.2">
      <c r="A228">
        <v>204</v>
      </c>
      <c r="B228" t="str">
        <f>IFERROR(INDEX('Match Log'!$B$4:$B$810,MATCH(204,'Match Log'!$A$4:$A$810,0)),"")</f>
        <v/>
      </c>
      <c r="C228" t="str">
        <f>IFERROR(INDEX('Match Log'!$C$4:$C$810,MATCH(204,'Match Log'!$A$4:$A$810,0)),"")</f>
        <v/>
      </c>
      <c r="D228" t="str">
        <f t="array" ref="D228">IFERROR(_xlfn.TEXTJOIN(" + ",TRUE,IF(('Match Log'!$A$4:$A$810=$A228)*('Match Log'!$E$4:$E$810="Win"),'Match Log'!$D$4:$D$810,"")),IFERROR(LOOKUP(2,1/(('Match Log'!$A$4:$A$810=$A228)*('Match Log'!$E$4:$E$810="Win")),'Match Log'!$D$4:$D$810),""))</f>
        <v/>
      </c>
      <c r="E228" t="str">
        <f>IFERROR(INDEX('Match Log'!$F$4:$F$810,MATCH(204,'Match Log'!$A$4:$A$810,0)),"")</f>
        <v/>
      </c>
      <c r="F228">
        <f>IFERROR(SUMIFS('Match Log'!$I$4:$I$810,'Match Log'!$A$4:$A$810,204,'Match Log'!$E$4:$E$810,"Win"),"")</f>
        <v>0</v>
      </c>
      <c r="G228" t="str">
        <f t="shared" si="31"/>
        <v/>
      </c>
      <c r="H228" t="str">
        <f t="array" ref="H228">IFERROR(IF(COUNTIFS('Match Log'!$A$4:$A$810,$A228,'Match Log'!$E$4:$E$810,"Win")&gt;1,_xlfn.TEXTJOIN(" + ",TRUE,IF(('Match Log'!$A$4:$A$810=$A228)*('Match Log'!$E$4:$E$810="Loss"),'Match Log'!$D$4:$D$810,"")),IF($E228=2,LOOKUP(2,1/(('Match Log'!$A$4:$A$810=$A228)*('Match Log'!$E$4:$E$810="Loss")),'Match Log'!$D$4:$D$810),"the field")),"")</f>
        <v>the field</v>
      </c>
      <c r="I228" t="str">
        <f t="shared" si="32"/>
        <v/>
      </c>
      <c r="J228">
        <v>204</v>
      </c>
      <c r="K228" t="e">
        <f>IF($J228&gt;MAX('Match Log'!$A$4:$A$810),NA(),IFERROR(LOOKUP(2,1/(('Match Log'!$D$4:$D$810=$K$24)*('Match Log'!$A$4:$A$810&lt;=$J228)),'Match Log'!$N$4:$N$810),NA()))</f>
        <v>#N/A</v>
      </c>
      <c r="L228" t="e">
        <f>IF($J228&gt;MAX('Match Log'!$A$4:$A$810),NA(),IFERROR(LOOKUP(2,1/(('Match Log'!$D$4:$D$810=$L$24)*('Match Log'!$A$4:$A$810&lt;=$J228)),'Match Log'!$N$4:$N$810),NA()))</f>
        <v>#N/A</v>
      </c>
      <c r="M228" t="e">
        <f>IF($J228&gt;MAX('Match Log'!$A$4:$A$810),NA(),IFERROR(LOOKUP(2,1/(('Match Log'!$D$4:$D$810=$M$24)*('Match Log'!$A$4:$A$810&lt;=$J228)),'Match Log'!$N$4:$N$810),NA()))</f>
        <v>#N/A</v>
      </c>
      <c r="N228" t="e">
        <f>IF($J228&gt;MAX('Match Log'!$A$4:$A$810),NA(),IFERROR(LOOKUP(2,1/(('Match Log'!$D$4:$D$810=$N$24)*('Match Log'!$A$4:$A$810&lt;=$J228)),'Match Log'!$N$4:$N$810),NA()))</f>
        <v>#N/A</v>
      </c>
      <c r="O228" t="e">
        <f>IF($J228&gt;MAX('Match Log'!$A$4:$A$810),NA(),IFERROR(LOOKUP(2,1/(('Match Log'!$D$4:$D$810=$O$24)*('Match Log'!$A$4:$A$810&lt;=$J228)),'Match Log'!$N$4:$N$810),NA()))</f>
        <v>#N/A</v>
      </c>
      <c r="P228" t="e">
        <f>IF($J228&gt;MAX('Match Log'!$A$4:$A$810),NA(),IFERROR(LOOKUP(2,1/(('Match Log'!$D$4:$D$810=$P$24)*('Match Log'!$A$4:$A$810&lt;=$J228)),'Match Log'!$N$4:$N$810),NA()))</f>
        <v>#N/A</v>
      </c>
      <c r="Q228" t="e">
        <f>IF($J228&gt;MAX('Match Log'!$A$4:$A$810),NA(),IFERROR(LOOKUP(2,1/(('Match Log'!$D$4:$D$810=$Q$24)*('Match Log'!$A$4:$A$810&lt;=$J228)),'Match Log'!$N$4:$N$810),NA()))</f>
        <v>#N/A</v>
      </c>
      <c r="R228" t="e">
        <f>IF($J228&gt;MAX('Match Log'!$A$4:$A$810),NA(),IFERROR(LOOKUP(2,1/(('Match Log'!$D$4:$D$810=$R$24)*('Match Log'!$A$4:$A$810&lt;=$J228)),'Match Log'!$N$4:$N$810),NA()))</f>
        <v>#N/A</v>
      </c>
      <c r="S228" t="e">
        <f>IF($J228&gt;MAX('Match Log'!$A$4:$A$810),NA(),IFERROR(LOOKUP(2,1/(('Match Log'!$D$4:$D$810=$S$24)*('Match Log'!$A$4:$A$810&lt;=$J228)),'Match Log'!$N$4:$N$810),NA()))</f>
        <v>#N/A</v>
      </c>
      <c r="T228" t="e">
        <f>IF($J228&gt;MAX('Match Log'!$A$4:$A$810),NA(),IFERROR(LOOKUP(2,1/(('Match Log'!$D$4:$D$810=$T$24)*('Match Log'!$A$4:$A$810&lt;=$J228)),'Match Log'!$N$4:$N$810),NA()))</f>
        <v>#N/A</v>
      </c>
      <c r="U228" t="e">
        <f>IF($J228&gt;MAX('Match Log'!$A$4:$A$810),NA(),IFERROR(LOOKUP(2,1/(('Match Log'!$D$4:$D$810=$U$24)*('Match Log'!$A$4:$A$810&lt;=$J228)),'Match Log'!$N$4:$N$810),NA()))</f>
        <v>#N/A</v>
      </c>
      <c r="V228" t="e">
        <f>IF($J228&gt;MAX('Match Log'!$A$4:$A$810),NA(),IFERROR(LOOKUP(2,1/(('Match Log'!$D$4:$D$810=$V$24)*('Match Log'!$A$4:$A$810&lt;=$J228)),'Match Log'!$N$4:$N$810),NA()))</f>
        <v>#N/A</v>
      </c>
      <c r="W228" t="e">
        <f>IF($J228&gt;MAX('Match Log'!$A$4:$A$810),NA(),IFERROR(LOOKUP(2,1/(('Match Log'!$D$4:$D$810=$W$24)*('Match Log'!$A$4:$A$810&lt;=$J228)),'Match Log'!$N$4:$N$810),NA()))</f>
        <v>#N/A</v>
      </c>
      <c r="X228" t="e">
        <f>IF($J228&gt;MAX('Match Log'!$A$4:$A$810),NA(),IFERROR(LOOKUP(2,1/(('Match Log'!$D$4:$D$810=$X$24)*('Match Log'!$A$4:$A$810&lt;=$J228)),'Match Log'!$N$4:$N$810),NA()))</f>
        <v>#N/A</v>
      </c>
      <c r="Y228" t="str">
        <f t="shared" ca="1" si="33"/>
        <v/>
      </c>
    </row>
    <row r="229" spans="1:25" x14ac:dyDescent="0.2">
      <c r="A229">
        <v>205</v>
      </c>
      <c r="B229" t="str">
        <f>IFERROR(INDEX('Match Log'!$B$4:$B$810,MATCH(205,'Match Log'!$A$4:$A$810,0)),"")</f>
        <v/>
      </c>
      <c r="C229" t="str">
        <f>IFERROR(INDEX('Match Log'!$C$4:$C$810,MATCH(205,'Match Log'!$A$4:$A$810,0)),"")</f>
        <v/>
      </c>
      <c r="D229" t="str">
        <f t="array" ref="D229">IFERROR(_xlfn.TEXTJOIN(" + ",TRUE,IF(('Match Log'!$A$4:$A$810=$A229)*('Match Log'!$E$4:$E$810="Win"),'Match Log'!$D$4:$D$810,"")),IFERROR(LOOKUP(2,1/(('Match Log'!$A$4:$A$810=$A229)*('Match Log'!$E$4:$E$810="Win")),'Match Log'!$D$4:$D$810),""))</f>
        <v/>
      </c>
      <c r="E229" t="str">
        <f>IFERROR(INDEX('Match Log'!$F$4:$F$810,MATCH(205,'Match Log'!$A$4:$A$810,0)),"")</f>
        <v/>
      </c>
      <c r="F229">
        <f>IFERROR(SUMIFS('Match Log'!$I$4:$I$810,'Match Log'!$A$4:$A$810,205,'Match Log'!$E$4:$E$810,"Win"),"")</f>
        <v>0</v>
      </c>
      <c r="G229" t="str">
        <f t="shared" si="31"/>
        <v/>
      </c>
      <c r="H229" t="str">
        <f t="array" ref="H229">IFERROR(IF(COUNTIFS('Match Log'!$A$4:$A$810,$A229,'Match Log'!$E$4:$E$810,"Win")&gt;1,_xlfn.TEXTJOIN(" + ",TRUE,IF(('Match Log'!$A$4:$A$810=$A229)*('Match Log'!$E$4:$E$810="Loss"),'Match Log'!$D$4:$D$810,"")),IF($E229=2,LOOKUP(2,1/(('Match Log'!$A$4:$A$810=$A229)*('Match Log'!$E$4:$E$810="Loss")),'Match Log'!$D$4:$D$810),"the field")),"")</f>
        <v>the field</v>
      </c>
      <c r="I229" t="str">
        <f t="shared" si="32"/>
        <v/>
      </c>
      <c r="J229">
        <v>205</v>
      </c>
      <c r="K229" t="e">
        <f>IF($J229&gt;MAX('Match Log'!$A$4:$A$810),NA(),IFERROR(LOOKUP(2,1/(('Match Log'!$D$4:$D$810=$K$24)*('Match Log'!$A$4:$A$810&lt;=$J229)),'Match Log'!$N$4:$N$810),NA()))</f>
        <v>#N/A</v>
      </c>
      <c r="L229" t="e">
        <f>IF($J229&gt;MAX('Match Log'!$A$4:$A$810),NA(),IFERROR(LOOKUP(2,1/(('Match Log'!$D$4:$D$810=$L$24)*('Match Log'!$A$4:$A$810&lt;=$J229)),'Match Log'!$N$4:$N$810),NA()))</f>
        <v>#N/A</v>
      </c>
      <c r="M229" t="e">
        <f>IF($J229&gt;MAX('Match Log'!$A$4:$A$810),NA(),IFERROR(LOOKUP(2,1/(('Match Log'!$D$4:$D$810=$M$24)*('Match Log'!$A$4:$A$810&lt;=$J229)),'Match Log'!$N$4:$N$810),NA()))</f>
        <v>#N/A</v>
      </c>
      <c r="N229" t="e">
        <f>IF($J229&gt;MAX('Match Log'!$A$4:$A$810),NA(),IFERROR(LOOKUP(2,1/(('Match Log'!$D$4:$D$810=$N$24)*('Match Log'!$A$4:$A$810&lt;=$J229)),'Match Log'!$N$4:$N$810),NA()))</f>
        <v>#N/A</v>
      </c>
      <c r="O229" t="e">
        <f>IF($J229&gt;MAX('Match Log'!$A$4:$A$810),NA(),IFERROR(LOOKUP(2,1/(('Match Log'!$D$4:$D$810=$O$24)*('Match Log'!$A$4:$A$810&lt;=$J229)),'Match Log'!$N$4:$N$810),NA()))</f>
        <v>#N/A</v>
      </c>
      <c r="P229" t="e">
        <f>IF($J229&gt;MAX('Match Log'!$A$4:$A$810),NA(),IFERROR(LOOKUP(2,1/(('Match Log'!$D$4:$D$810=$P$24)*('Match Log'!$A$4:$A$810&lt;=$J229)),'Match Log'!$N$4:$N$810),NA()))</f>
        <v>#N/A</v>
      </c>
      <c r="Q229" t="e">
        <f>IF($J229&gt;MAX('Match Log'!$A$4:$A$810),NA(),IFERROR(LOOKUP(2,1/(('Match Log'!$D$4:$D$810=$Q$24)*('Match Log'!$A$4:$A$810&lt;=$J229)),'Match Log'!$N$4:$N$810),NA()))</f>
        <v>#N/A</v>
      </c>
      <c r="R229" t="e">
        <f>IF($J229&gt;MAX('Match Log'!$A$4:$A$810),NA(),IFERROR(LOOKUP(2,1/(('Match Log'!$D$4:$D$810=$R$24)*('Match Log'!$A$4:$A$810&lt;=$J229)),'Match Log'!$N$4:$N$810),NA()))</f>
        <v>#N/A</v>
      </c>
      <c r="S229" t="e">
        <f>IF($J229&gt;MAX('Match Log'!$A$4:$A$810),NA(),IFERROR(LOOKUP(2,1/(('Match Log'!$D$4:$D$810=$S$24)*('Match Log'!$A$4:$A$810&lt;=$J229)),'Match Log'!$N$4:$N$810),NA()))</f>
        <v>#N/A</v>
      </c>
      <c r="T229" t="e">
        <f>IF($J229&gt;MAX('Match Log'!$A$4:$A$810),NA(),IFERROR(LOOKUP(2,1/(('Match Log'!$D$4:$D$810=$T$24)*('Match Log'!$A$4:$A$810&lt;=$J229)),'Match Log'!$N$4:$N$810),NA()))</f>
        <v>#N/A</v>
      </c>
      <c r="U229" t="e">
        <f>IF($J229&gt;MAX('Match Log'!$A$4:$A$810),NA(),IFERROR(LOOKUP(2,1/(('Match Log'!$D$4:$D$810=$U$24)*('Match Log'!$A$4:$A$810&lt;=$J229)),'Match Log'!$N$4:$N$810),NA()))</f>
        <v>#N/A</v>
      </c>
      <c r="V229" t="e">
        <f>IF($J229&gt;MAX('Match Log'!$A$4:$A$810),NA(),IFERROR(LOOKUP(2,1/(('Match Log'!$D$4:$D$810=$V$24)*('Match Log'!$A$4:$A$810&lt;=$J229)),'Match Log'!$N$4:$N$810),NA()))</f>
        <v>#N/A</v>
      </c>
      <c r="W229" t="e">
        <f>IF($J229&gt;MAX('Match Log'!$A$4:$A$810),NA(),IFERROR(LOOKUP(2,1/(('Match Log'!$D$4:$D$810=$W$24)*('Match Log'!$A$4:$A$810&lt;=$J229)),'Match Log'!$N$4:$N$810),NA()))</f>
        <v>#N/A</v>
      </c>
      <c r="X229" t="e">
        <f>IF($J229&gt;MAX('Match Log'!$A$4:$A$810),NA(),IFERROR(LOOKUP(2,1/(('Match Log'!$D$4:$D$810=$X$24)*('Match Log'!$A$4:$A$810&lt;=$J229)),'Match Log'!$N$4:$N$810),NA()))</f>
        <v>#N/A</v>
      </c>
      <c r="Y229" t="str">
        <f t="shared" ca="1" si="33"/>
        <v/>
      </c>
    </row>
    <row r="230" spans="1:25" x14ac:dyDescent="0.2">
      <c r="A230">
        <v>206</v>
      </c>
      <c r="B230" t="str">
        <f>IFERROR(INDEX('Match Log'!$B$4:$B$810,MATCH(206,'Match Log'!$A$4:$A$810,0)),"")</f>
        <v/>
      </c>
      <c r="C230" t="str">
        <f>IFERROR(INDEX('Match Log'!$C$4:$C$810,MATCH(206,'Match Log'!$A$4:$A$810,0)),"")</f>
        <v/>
      </c>
      <c r="D230" t="str">
        <f t="array" ref="D230">IFERROR(_xlfn.TEXTJOIN(" + ",TRUE,IF(('Match Log'!$A$4:$A$810=$A230)*('Match Log'!$E$4:$E$810="Win"),'Match Log'!$D$4:$D$810,"")),IFERROR(LOOKUP(2,1/(('Match Log'!$A$4:$A$810=$A230)*('Match Log'!$E$4:$E$810="Win")),'Match Log'!$D$4:$D$810),""))</f>
        <v/>
      </c>
      <c r="E230" t="str">
        <f>IFERROR(INDEX('Match Log'!$F$4:$F$810,MATCH(206,'Match Log'!$A$4:$A$810,0)),"")</f>
        <v/>
      </c>
      <c r="F230">
        <f>IFERROR(SUMIFS('Match Log'!$I$4:$I$810,'Match Log'!$A$4:$A$810,206,'Match Log'!$E$4:$E$810,"Win"),"")</f>
        <v>0</v>
      </c>
      <c r="G230" t="str">
        <f t="shared" si="31"/>
        <v/>
      </c>
      <c r="H230" t="str">
        <f t="array" ref="H230">IFERROR(IF(COUNTIFS('Match Log'!$A$4:$A$810,$A230,'Match Log'!$E$4:$E$810,"Win")&gt;1,_xlfn.TEXTJOIN(" + ",TRUE,IF(('Match Log'!$A$4:$A$810=$A230)*('Match Log'!$E$4:$E$810="Loss"),'Match Log'!$D$4:$D$810,"")),IF($E230=2,LOOKUP(2,1/(('Match Log'!$A$4:$A$810=$A230)*('Match Log'!$E$4:$E$810="Loss")),'Match Log'!$D$4:$D$810),"the field")),"")</f>
        <v>the field</v>
      </c>
      <c r="I230" t="str">
        <f t="shared" si="32"/>
        <v/>
      </c>
      <c r="J230">
        <v>206</v>
      </c>
      <c r="K230" t="e">
        <f>IF($J230&gt;MAX('Match Log'!$A$4:$A$810),NA(),IFERROR(LOOKUP(2,1/(('Match Log'!$D$4:$D$810=$K$24)*('Match Log'!$A$4:$A$810&lt;=$J230)),'Match Log'!$N$4:$N$810),NA()))</f>
        <v>#N/A</v>
      </c>
      <c r="L230" t="e">
        <f>IF($J230&gt;MAX('Match Log'!$A$4:$A$810),NA(),IFERROR(LOOKUP(2,1/(('Match Log'!$D$4:$D$810=$L$24)*('Match Log'!$A$4:$A$810&lt;=$J230)),'Match Log'!$N$4:$N$810),NA()))</f>
        <v>#N/A</v>
      </c>
      <c r="M230" t="e">
        <f>IF($J230&gt;MAX('Match Log'!$A$4:$A$810),NA(),IFERROR(LOOKUP(2,1/(('Match Log'!$D$4:$D$810=$M$24)*('Match Log'!$A$4:$A$810&lt;=$J230)),'Match Log'!$N$4:$N$810),NA()))</f>
        <v>#N/A</v>
      </c>
      <c r="N230" t="e">
        <f>IF($J230&gt;MAX('Match Log'!$A$4:$A$810),NA(),IFERROR(LOOKUP(2,1/(('Match Log'!$D$4:$D$810=$N$24)*('Match Log'!$A$4:$A$810&lt;=$J230)),'Match Log'!$N$4:$N$810),NA()))</f>
        <v>#N/A</v>
      </c>
      <c r="O230" t="e">
        <f>IF($J230&gt;MAX('Match Log'!$A$4:$A$810),NA(),IFERROR(LOOKUP(2,1/(('Match Log'!$D$4:$D$810=$O$24)*('Match Log'!$A$4:$A$810&lt;=$J230)),'Match Log'!$N$4:$N$810),NA()))</f>
        <v>#N/A</v>
      </c>
      <c r="P230" t="e">
        <f>IF($J230&gt;MAX('Match Log'!$A$4:$A$810),NA(),IFERROR(LOOKUP(2,1/(('Match Log'!$D$4:$D$810=$P$24)*('Match Log'!$A$4:$A$810&lt;=$J230)),'Match Log'!$N$4:$N$810),NA()))</f>
        <v>#N/A</v>
      </c>
      <c r="Q230" t="e">
        <f>IF($J230&gt;MAX('Match Log'!$A$4:$A$810),NA(),IFERROR(LOOKUP(2,1/(('Match Log'!$D$4:$D$810=$Q$24)*('Match Log'!$A$4:$A$810&lt;=$J230)),'Match Log'!$N$4:$N$810),NA()))</f>
        <v>#N/A</v>
      </c>
      <c r="R230" t="e">
        <f>IF($J230&gt;MAX('Match Log'!$A$4:$A$810),NA(),IFERROR(LOOKUP(2,1/(('Match Log'!$D$4:$D$810=$R$24)*('Match Log'!$A$4:$A$810&lt;=$J230)),'Match Log'!$N$4:$N$810),NA()))</f>
        <v>#N/A</v>
      </c>
      <c r="S230" t="e">
        <f>IF($J230&gt;MAX('Match Log'!$A$4:$A$810),NA(),IFERROR(LOOKUP(2,1/(('Match Log'!$D$4:$D$810=$S$24)*('Match Log'!$A$4:$A$810&lt;=$J230)),'Match Log'!$N$4:$N$810),NA()))</f>
        <v>#N/A</v>
      </c>
      <c r="T230" t="e">
        <f>IF($J230&gt;MAX('Match Log'!$A$4:$A$810),NA(),IFERROR(LOOKUP(2,1/(('Match Log'!$D$4:$D$810=$T$24)*('Match Log'!$A$4:$A$810&lt;=$J230)),'Match Log'!$N$4:$N$810),NA()))</f>
        <v>#N/A</v>
      </c>
      <c r="U230" t="e">
        <f>IF($J230&gt;MAX('Match Log'!$A$4:$A$810),NA(),IFERROR(LOOKUP(2,1/(('Match Log'!$D$4:$D$810=$U$24)*('Match Log'!$A$4:$A$810&lt;=$J230)),'Match Log'!$N$4:$N$810),NA()))</f>
        <v>#N/A</v>
      </c>
      <c r="V230" t="e">
        <f>IF($J230&gt;MAX('Match Log'!$A$4:$A$810),NA(),IFERROR(LOOKUP(2,1/(('Match Log'!$D$4:$D$810=$V$24)*('Match Log'!$A$4:$A$810&lt;=$J230)),'Match Log'!$N$4:$N$810),NA()))</f>
        <v>#N/A</v>
      </c>
      <c r="W230" t="e">
        <f>IF($J230&gt;MAX('Match Log'!$A$4:$A$810),NA(),IFERROR(LOOKUP(2,1/(('Match Log'!$D$4:$D$810=$W$24)*('Match Log'!$A$4:$A$810&lt;=$J230)),'Match Log'!$N$4:$N$810),NA()))</f>
        <v>#N/A</v>
      </c>
      <c r="X230" t="e">
        <f>IF($J230&gt;MAX('Match Log'!$A$4:$A$810),NA(),IFERROR(LOOKUP(2,1/(('Match Log'!$D$4:$D$810=$X$24)*('Match Log'!$A$4:$A$810&lt;=$J230)),'Match Log'!$N$4:$N$810),NA()))</f>
        <v>#N/A</v>
      </c>
      <c r="Y230" t="str">
        <f t="shared" ca="1" si="33"/>
        <v/>
      </c>
    </row>
    <row r="231" spans="1:25" x14ac:dyDescent="0.2">
      <c r="A231">
        <v>207</v>
      </c>
      <c r="B231" t="str">
        <f>IFERROR(INDEX('Match Log'!$B$4:$B$810,MATCH(207,'Match Log'!$A$4:$A$810,0)),"")</f>
        <v/>
      </c>
      <c r="C231" t="str">
        <f>IFERROR(INDEX('Match Log'!$C$4:$C$810,MATCH(207,'Match Log'!$A$4:$A$810,0)),"")</f>
        <v/>
      </c>
      <c r="D231" t="str">
        <f t="array" ref="D231">IFERROR(_xlfn.TEXTJOIN(" + ",TRUE,IF(('Match Log'!$A$4:$A$810=$A231)*('Match Log'!$E$4:$E$810="Win"),'Match Log'!$D$4:$D$810,"")),IFERROR(LOOKUP(2,1/(('Match Log'!$A$4:$A$810=$A231)*('Match Log'!$E$4:$E$810="Win")),'Match Log'!$D$4:$D$810),""))</f>
        <v/>
      </c>
      <c r="E231" t="str">
        <f>IFERROR(INDEX('Match Log'!$F$4:$F$810,MATCH(207,'Match Log'!$A$4:$A$810,0)),"")</f>
        <v/>
      </c>
      <c r="F231">
        <f>IFERROR(SUMIFS('Match Log'!$I$4:$I$810,'Match Log'!$A$4:$A$810,207,'Match Log'!$E$4:$E$810,"Win"),"")</f>
        <v>0</v>
      </c>
      <c r="G231" t="str">
        <f t="shared" si="31"/>
        <v/>
      </c>
      <c r="H231" t="str">
        <f t="array" ref="H231">IFERROR(IF(COUNTIFS('Match Log'!$A$4:$A$810,$A231,'Match Log'!$E$4:$E$810,"Win")&gt;1,_xlfn.TEXTJOIN(" + ",TRUE,IF(('Match Log'!$A$4:$A$810=$A231)*('Match Log'!$E$4:$E$810="Loss"),'Match Log'!$D$4:$D$810,"")),IF($E231=2,LOOKUP(2,1/(('Match Log'!$A$4:$A$810=$A231)*('Match Log'!$E$4:$E$810="Loss")),'Match Log'!$D$4:$D$810),"the field")),"")</f>
        <v>the field</v>
      </c>
      <c r="I231" t="str">
        <f t="shared" si="32"/>
        <v/>
      </c>
      <c r="J231">
        <v>207</v>
      </c>
      <c r="K231" t="e">
        <f>IF($J231&gt;MAX('Match Log'!$A$4:$A$810),NA(),IFERROR(LOOKUP(2,1/(('Match Log'!$D$4:$D$810=$K$24)*('Match Log'!$A$4:$A$810&lt;=$J231)),'Match Log'!$N$4:$N$810),NA()))</f>
        <v>#N/A</v>
      </c>
      <c r="L231" t="e">
        <f>IF($J231&gt;MAX('Match Log'!$A$4:$A$810),NA(),IFERROR(LOOKUP(2,1/(('Match Log'!$D$4:$D$810=$L$24)*('Match Log'!$A$4:$A$810&lt;=$J231)),'Match Log'!$N$4:$N$810),NA()))</f>
        <v>#N/A</v>
      </c>
      <c r="M231" t="e">
        <f>IF($J231&gt;MAX('Match Log'!$A$4:$A$810),NA(),IFERROR(LOOKUP(2,1/(('Match Log'!$D$4:$D$810=$M$24)*('Match Log'!$A$4:$A$810&lt;=$J231)),'Match Log'!$N$4:$N$810),NA()))</f>
        <v>#N/A</v>
      </c>
      <c r="N231" t="e">
        <f>IF($J231&gt;MAX('Match Log'!$A$4:$A$810),NA(),IFERROR(LOOKUP(2,1/(('Match Log'!$D$4:$D$810=$N$24)*('Match Log'!$A$4:$A$810&lt;=$J231)),'Match Log'!$N$4:$N$810),NA()))</f>
        <v>#N/A</v>
      </c>
      <c r="O231" t="e">
        <f>IF($J231&gt;MAX('Match Log'!$A$4:$A$810),NA(),IFERROR(LOOKUP(2,1/(('Match Log'!$D$4:$D$810=$O$24)*('Match Log'!$A$4:$A$810&lt;=$J231)),'Match Log'!$N$4:$N$810),NA()))</f>
        <v>#N/A</v>
      </c>
      <c r="P231" t="e">
        <f>IF($J231&gt;MAX('Match Log'!$A$4:$A$810),NA(),IFERROR(LOOKUP(2,1/(('Match Log'!$D$4:$D$810=$P$24)*('Match Log'!$A$4:$A$810&lt;=$J231)),'Match Log'!$N$4:$N$810),NA()))</f>
        <v>#N/A</v>
      </c>
      <c r="Q231" t="e">
        <f>IF($J231&gt;MAX('Match Log'!$A$4:$A$810),NA(),IFERROR(LOOKUP(2,1/(('Match Log'!$D$4:$D$810=$Q$24)*('Match Log'!$A$4:$A$810&lt;=$J231)),'Match Log'!$N$4:$N$810),NA()))</f>
        <v>#N/A</v>
      </c>
      <c r="R231" t="e">
        <f>IF($J231&gt;MAX('Match Log'!$A$4:$A$810),NA(),IFERROR(LOOKUP(2,1/(('Match Log'!$D$4:$D$810=$R$24)*('Match Log'!$A$4:$A$810&lt;=$J231)),'Match Log'!$N$4:$N$810),NA()))</f>
        <v>#N/A</v>
      </c>
      <c r="S231" t="e">
        <f>IF($J231&gt;MAX('Match Log'!$A$4:$A$810),NA(),IFERROR(LOOKUP(2,1/(('Match Log'!$D$4:$D$810=$S$24)*('Match Log'!$A$4:$A$810&lt;=$J231)),'Match Log'!$N$4:$N$810),NA()))</f>
        <v>#N/A</v>
      </c>
      <c r="T231" t="e">
        <f>IF($J231&gt;MAX('Match Log'!$A$4:$A$810),NA(),IFERROR(LOOKUP(2,1/(('Match Log'!$D$4:$D$810=$T$24)*('Match Log'!$A$4:$A$810&lt;=$J231)),'Match Log'!$N$4:$N$810),NA()))</f>
        <v>#N/A</v>
      </c>
      <c r="U231" t="e">
        <f>IF($J231&gt;MAX('Match Log'!$A$4:$A$810),NA(),IFERROR(LOOKUP(2,1/(('Match Log'!$D$4:$D$810=$U$24)*('Match Log'!$A$4:$A$810&lt;=$J231)),'Match Log'!$N$4:$N$810),NA()))</f>
        <v>#N/A</v>
      </c>
      <c r="V231" t="e">
        <f>IF($J231&gt;MAX('Match Log'!$A$4:$A$810),NA(),IFERROR(LOOKUP(2,1/(('Match Log'!$D$4:$D$810=$V$24)*('Match Log'!$A$4:$A$810&lt;=$J231)),'Match Log'!$N$4:$N$810),NA()))</f>
        <v>#N/A</v>
      </c>
      <c r="W231" t="e">
        <f>IF($J231&gt;MAX('Match Log'!$A$4:$A$810),NA(),IFERROR(LOOKUP(2,1/(('Match Log'!$D$4:$D$810=$W$24)*('Match Log'!$A$4:$A$810&lt;=$J231)),'Match Log'!$N$4:$N$810),NA()))</f>
        <v>#N/A</v>
      </c>
      <c r="X231" t="e">
        <f>IF($J231&gt;MAX('Match Log'!$A$4:$A$810),NA(),IFERROR(LOOKUP(2,1/(('Match Log'!$D$4:$D$810=$X$24)*('Match Log'!$A$4:$A$810&lt;=$J231)),'Match Log'!$N$4:$N$810),NA()))</f>
        <v>#N/A</v>
      </c>
      <c r="Y231" t="str">
        <f t="shared" ca="1" si="33"/>
        <v/>
      </c>
    </row>
    <row r="232" spans="1:25" x14ac:dyDescent="0.2">
      <c r="A232">
        <v>208</v>
      </c>
      <c r="B232" t="str">
        <f>IFERROR(INDEX('Match Log'!$B$4:$B$810,MATCH(208,'Match Log'!$A$4:$A$810,0)),"")</f>
        <v/>
      </c>
      <c r="C232" t="str">
        <f>IFERROR(INDEX('Match Log'!$C$4:$C$810,MATCH(208,'Match Log'!$A$4:$A$810,0)),"")</f>
        <v/>
      </c>
      <c r="D232" t="str">
        <f t="array" ref="D232">IFERROR(_xlfn.TEXTJOIN(" + ",TRUE,IF(('Match Log'!$A$4:$A$810=$A232)*('Match Log'!$E$4:$E$810="Win"),'Match Log'!$D$4:$D$810,"")),IFERROR(LOOKUP(2,1/(('Match Log'!$A$4:$A$810=$A232)*('Match Log'!$E$4:$E$810="Win")),'Match Log'!$D$4:$D$810),""))</f>
        <v/>
      </c>
      <c r="E232" t="str">
        <f>IFERROR(INDEX('Match Log'!$F$4:$F$810,MATCH(208,'Match Log'!$A$4:$A$810,0)),"")</f>
        <v/>
      </c>
      <c r="F232">
        <f>IFERROR(SUMIFS('Match Log'!$I$4:$I$810,'Match Log'!$A$4:$A$810,208,'Match Log'!$E$4:$E$810,"Win"),"")</f>
        <v>0</v>
      </c>
      <c r="G232" t="str">
        <f t="shared" si="31"/>
        <v/>
      </c>
      <c r="H232" t="str">
        <f t="array" ref="H232">IFERROR(IF(COUNTIFS('Match Log'!$A$4:$A$810,$A232,'Match Log'!$E$4:$E$810,"Win")&gt;1,_xlfn.TEXTJOIN(" + ",TRUE,IF(('Match Log'!$A$4:$A$810=$A232)*('Match Log'!$E$4:$E$810="Loss"),'Match Log'!$D$4:$D$810,"")),IF($E232=2,LOOKUP(2,1/(('Match Log'!$A$4:$A$810=$A232)*('Match Log'!$E$4:$E$810="Loss")),'Match Log'!$D$4:$D$810),"the field")),"")</f>
        <v>the field</v>
      </c>
      <c r="I232" t="str">
        <f t="shared" si="32"/>
        <v/>
      </c>
      <c r="J232">
        <v>208</v>
      </c>
      <c r="K232" t="e">
        <f>IF($J232&gt;MAX('Match Log'!$A$4:$A$810),NA(),IFERROR(LOOKUP(2,1/(('Match Log'!$D$4:$D$810=$K$24)*('Match Log'!$A$4:$A$810&lt;=$J232)),'Match Log'!$N$4:$N$810),NA()))</f>
        <v>#N/A</v>
      </c>
      <c r="L232" t="e">
        <f>IF($J232&gt;MAX('Match Log'!$A$4:$A$810),NA(),IFERROR(LOOKUP(2,1/(('Match Log'!$D$4:$D$810=$L$24)*('Match Log'!$A$4:$A$810&lt;=$J232)),'Match Log'!$N$4:$N$810),NA()))</f>
        <v>#N/A</v>
      </c>
      <c r="M232" t="e">
        <f>IF($J232&gt;MAX('Match Log'!$A$4:$A$810),NA(),IFERROR(LOOKUP(2,1/(('Match Log'!$D$4:$D$810=$M$24)*('Match Log'!$A$4:$A$810&lt;=$J232)),'Match Log'!$N$4:$N$810),NA()))</f>
        <v>#N/A</v>
      </c>
      <c r="N232" t="e">
        <f>IF($J232&gt;MAX('Match Log'!$A$4:$A$810),NA(),IFERROR(LOOKUP(2,1/(('Match Log'!$D$4:$D$810=$N$24)*('Match Log'!$A$4:$A$810&lt;=$J232)),'Match Log'!$N$4:$N$810),NA()))</f>
        <v>#N/A</v>
      </c>
      <c r="O232" t="e">
        <f>IF($J232&gt;MAX('Match Log'!$A$4:$A$810),NA(),IFERROR(LOOKUP(2,1/(('Match Log'!$D$4:$D$810=$O$24)*('Match Log'!$A$4:$A$810&lt;=$J232)),'Match Log'!$N$4:$N$810),NA()))</f>
        <v>#N/A</v>
      </c>
      <c r="P232" t="e">
        <f>IF($J232&gt;MAX('Match Log'!$A$4:$A$810),NA(),IFERROR(LOOKUP(2,1/(('Match Log'!$D$4:$D$810=$P$24)*('Match Log'!$A$4:$A$810&lt;=$J232)),'Match Log'!$N$4:$N$810),NA()))</f>
        <v>#N/A</v>
      </c>
      <c r="Q232" t="e">
        <f>IF($J232&gt;MAX('Match Log'!$A$4:$A$810),NA(),IFERROR(LOOKUP(2,1/(('Match Log'!$D$4:$D$810=$Q$24)*('Match Log'!$A$4:$A$810&lt;=$J232)),'Match Log'!$N$4:$N$810),NA()))</f>
        <v>#N/A</v>
      </c>
      <c r="R232" t="e">
        <f>IF($J232&gt;MAX('Match Log'!$A$4:$A$810),NA(),IFERROR(LOOKUP(2,1/(('Match Log'!$D$4:$D$810=$R$24)*('Match Log'!$A$4:$A$810&lt;=$J232)),'Match Log'!$N$4:$N$810),NA()))</f>
        <v>#N/A</v>
      </c>
      <c r="S232" t="e">
        <f>IF($J232&gt;MAX('Match Log'!$A$4:$A$810),NA(),IFERROR(LOOKUP(2,1/(('Match Log'!$D$4:$D$810=$S$24)*('Match Log'!$A$4:$A$810&lt;=$J232)),'Match Log'!$N$4:$N$810),NA()))</f>
        <v>#N/A</v>
      </c>
      <c r="T232" t="e">
        <f>IF($J232&gt;MAX('Match Log'!$A$4:$A$810),NA(),IFERROR(LOOKUP(2,1/(('Match Log'!$D$4:$D$810=$T$24)*('Match Log'!$A$4:$A$810&lt;=$J232)),'Match Log'!$N$4:$N$810),NA()))</f>
        <v>#N/A</v>
      </c>
      <c r="U232" t="e">
        <f>IF($J232&gt;MAX('Match Log'!$A$4:$A$810),NA(),IFERROR(LOOKUP(2,1/(('Match Log'!$D$4:$D$810=$U$24)*('Match Log'!$A$4:$A$810&lt;=$J232)),'Match Log'!$N$4:$N$810),NA()))</f>
        <v>#N/A</v>
      </c>
      <c r="V232" t="e">
        <f>IF($J232&gt;MAX('Match Log'!$A$4:$A$810),NA(),IFERROR(LOOKUP(2,1/(('Match Log'!$D$4:$D$810=$V$24)*('Match Log'!$A$4:$A$810&lt;=$J232)),'Match Log'!$N$4:$N$810),NA()))</f>
        <v>#N/A</v>
      </c>
      <c r="W232" t="e">
        <f>IF($J232&gt;MAX('Match Log'!$A$4:$A$810),NA(),IFERROR(LOOKUP(2,1/(('Match Log'!$D$4:$D$810=$W$24)*('Match Log'!$A$4:$A$810&lt;=$J232)),'Match Log'!$N$4:$N$810),NA()))</f>
        <v>#N/A</v>
      </c>
      <c r="X232" t="e">
        <f>IF($J232&gt;MAX('Match Log'!$A$4:$A$810),NA(),IFERROR(LOOKUP(2,1/(('Match Log'!$D$4:$D$810=$X$24)*('Match Log'!$A$4:$A$810&lt;=$J232)),'Match Log'!$N$4:$N$810),NA()))</f>
        <v>#N/A</v>
      </c>
      <c r="Y232" t="str">
        <f t="shared" ca="1" si="33"/>
        <v/>
      </c>
    </row>
    <row r="233" spans="1:25" x14ac:dyDescent="0.2">
      <c r="A233">
        <v>209</v>
      </c>
      <c r="B233" t="str">
        <f>IFERROR(INDEX('Match Log'!$B$4:$B$810,MATCH(209,'Match Log'!$A$4:$A$810,0)),"")</f>
        <v/>
      </c>
      <c r="C233" t="str">
        <f>IFERROR(INDEX('Match Log'!$C$4:$C$810,MATCH(209,'Match Log'!$A$4:$A$810,0)),"")</f>
        <v/>
      </c>
      <c r="D233" t="str">
        <f t="array" ref="D233">IFERROR(_xlfn.TEXTJOIN(" + ",TRUE,IF(('Match Log'!$A$4:$A$810=$A233)*('Match Log'!$E$4:$E$810="Win"),'Match Log'!$D$4:$D$810,"")),IFERROR(LOOKUP(2,1/(('Match Log'!$A$4:$A$810=$A233)*('Match Log'!$E$4:$E$810="Win")),'Match Log'!$D$4:$D$810),""))</f>
        <v/>
      </c>
      <c r="E233" t="str">
        <f>IFERROR(INDEX('Match Log'!$F$4:$F$810,MATCH(209,'Match Log'!$A$4:$A$810,0)),"")</f>
        <v/>
      </c>
      <c r="F233">
        <f>IFERROR(SUMIFS('Match Log'!$I$4:$I$810,'Match Log'!$A$4:$A$810,209,'Match Log'!$E$4:$E$810,"Win"),"")</f>
        <v>0</v>
      </c>
      <c r="G233" t="str">
        <f t="shared" si="31"/>
        <v/>
      </c>
      <c r="H233" t="str">
        <f t="array" ref="H233">IFERROR(IF(COUNTIFS('Match Log'!$A$4:$A$810,$A233,'Match Log'!$E$4:$E$810,"Win")&gt;1,_xlfn.TEXTJOIN(" + ",TRUE,IF(('Match Log'!$A$4:$A$810=$A233)*('Match Log'!$E$4:$E$810="Loss"),'Match Log'!$D$4:$D$810,"")),IF($E233=2,LOOKUP(2,1/(('Match Log'!$A$4:$A$810=$A233)*('Match Log'!$E$4:$E$810="Loss")),'Match Log'!$D$4:$D$810),"the field")),"")</f>
        <v>the field</v>
      </c>
      <c r="I233" t="str">
        <f t="shared" si="32"/>
        <v/>
      </c>
      <c r="J233">
        <v>209</v>
      </c>
      <c r="K233" t="e">
        <f>IF($J233&gt;MAX('Match Log'!$A$4:$A$810),NA(),IFERROR(LOOKUP(2,1/(('Match Log'!$D$4:$D$810=$K$24)*('Match Log'!$A$4:$A$810&lt;=$J233)),'Match Log'!$N$4:$N$810),NA()))</f>
        <v>#N/A</v>
      </c>
      <c r="L233" t="e">
        <f>IF($J233&gt;MAX('Match Log'!$A$4:$A$810),NA(),IFERROR(LOOKUP(2,1/(('Match Log'!$D$4:$D$810=$L$24)*('Match Log'!$A$4:$A$810&lt;=$J233)),'Match Log'!$N$4:$N$810),NA()))</f>
        <v>#N/A</v>
      </c>
      <c r="M233" t="e">
        <f>IF($J233&gt;MAX('Match Log'!$A$4:$A$810),NA(),IFERROR(LOOKUP(2,1/(('Match Log'!$D$4:$D$810=$M$24)*('Match Log'!$A$4:$A$810&lt;=$J233)),'Match Log'!$N$4:$N$810),NA()))</f>
        <v>#N/A</v>
      </c>
      <c r="N233" t="e">
        <f>IF($J233&gt;MAX('Match Log'!$A$4:$A$810),NA(),IFERROR(LOOKUP(2,1/(('Match Log'!$D$4:$D$810=$N$24)*('Match Log'!$A$4:$A$810&lt;=$J233)),'Match Log'!$N$4:$N$810),NA()))</f>
        <v>#N/A</v>
      </c>
      <c r="O233" t="e">
        <f>IF($J233&gt;MAX('Match Log'!$A$4:$A$810),NA(),IFERROR(LOOKUP(2,1/(('Match Log'!$D$4:$D$810=$O$24)*('Match Log'!$A$4:$A$810&lt;=$J233)),'Match Log'!$N$4:$N$810),NA()))</f>
        <v>#N/A</v>
      </c>
      <c r="P233" t="e">
        <f>IF($J233&gt;MAX('Match Log'!$A$4:$A$810),NA(),IFERROR(LOOKUP(2,1/(('Match Log'!$D$4:$D$810=$P$24)*('Match Log'!$A$4:$A$810&lt;=$J233)),'Match Log'!$N$4:$N$810),NA()))</f>
        <v>#N/A</v>
      </c>
      <c r="Q233" t="e">
        <f>IF($J233&gt;MAX('Match Log'!$A$4:$A$810),NA(),IFERROR(LOOKUP(2,1/(('Match Log'!$D$4:$D$810=$Q$24)*('Match Log'!$A$4:$A$810&lt;=$J233)),'Match Log'!$N$4:$N$810),NA()))</f>
        <v>#N/A</v>
      </c>
      <c r="R233" t="e">
        <f>IF($J233&gt;MAX('Match Log'!$A$4:$A$810),NA(),IFERROR(LOOKUP(2,1/(('Match Log'!$D$4:$D$810=$R$24)*('Match Log'!$A$4:$A$810&lt;=$J233)),'Match Log'!$N$4:$N$810),NA()))</f>
        <v>#N/A</v>
      </c>
      <c r="S233" t="e">
        <f>IF($J233&gt;MAX('Match Log'!$A$4:$A$810),NA(),IFERROR(LOOKUP(2,1/(('Match Log'!$D$4:$D$810=$S$24)*('Match Log'!$A$4:$A$810&lt;=$J233)),'Match Log'!$N$4:$N$810),NA()))</f>
        <v>#N/A</v>
      </c>
      <c r="T233" t="e">
        <f>IF($J233&gt;MAX('Match Log'!$A$4:$A$810),NA(),IFERROR(LOOKUP(2,1/(('Match Log'!$D$4:$D$810=$T$24)*('Match Log'!$A$4:$A$810&lt;=$J233)),'Match Log'!$N$4:$N$810),NA()))</f>
        <v>#N/A</v>
      </c>
      <c r="U233" t="e">
        <f>IF($J233&gt;MAX('Match Log'!$A$4:$A$810),NA(),IFERROR(LOOKUP(2,1/(('Match Log'!$D$4:$D$810=$U$24)*('Match Log'!$A$4:$A$810&lt;=$J233)),'Match Log'!$N$4:$N$810),NA()))</f>
        <v>#N/A</v>
      </c>
      <c r="V233" t="e">
        <f>IF($J233&gt;MAX('Match Log'!$A$4:$A$810),NA(),IFERROR(LOOKUP(2,1/(('Match Log'!$D$4:$D$810=$V$24)*('Match Log'!$A$4:$A$810&lt;=$J233)),'Match Log'!$N$4:$N$810),NA()))</f>
        <v>#N/A</v>
      </c>
      <c r="W233" t="e">
        <f>IF($J233&gt;MAX('Match Log'!$A$4:$A$810),NA(),IFERROR(LOOKUP(2,1/(('Match Log'!$D$4:$D$810=$W$24)*('Match Log'!$A$4:$A$810&lt;=$J233)),'Match Log'!$N$4:$N$810),NA()))</f>
        <v>#N/A</v>
      </c>
      <c r="X233" t="e">
        <f>IF($J233&gt;MAX('Match Log'!$A$4:$A$810),NA(),IFERROR(LOOKUP(2,1/(('Match Log'!$D$4:$D$810=$X$24)*('Match Log'!$A$4:$A$810&lt;=$J233)),'Match Log'!$N$4:$N$810),NA()))</f>
        <v>#N/A</v>
      </c>
      <c r="Y233" t="str">
        <f t="shared" ca="1" si="33"/>
        <v/>
      </c>
    </row>
    <row r="234" spans="1:25" x14ac:dyDescent="0.2">
      <c r="A234">
        <v>210</v>
      </c>
      <c r="B234" t="str">
        <f>IFERROR(INDEX('Match Log'!$B$4:$B$810,MATCH(210,'Match Log'!$A$4:$A$810,0)),"")</f>
        <v/>
      </c>
      <c r="C234" t="str">
        <f>IFERROR(INDEX('Match Log'!$C$4:$C$810,MATCH(210,'Match Log'!$A$4:$A$810,0)),"")</f>
        <v/>
      </c>
      <c r="D234" t="str">
        <f t="array" ref="D234">IFERROR(_xlfn.TEXTJOIN(" + ",TRUE,IF(('Match Log'!$A$4:$A$810=$A234)*('Match Log'!$E$4:$E$810="Win"),'Match Log'!$D$4:$D$810,"")),IFERROR(LOOKUP(2,1/(('Match Log'!$A$4:$A$810=$A234)*('Match Log'!$E$4:$E$810="Win")),'Match Log'!$D$4:$D$810),""))</f>
        <v/>
      </c>
      <c r="E234" t="str">
        <f>IFERROR(INDEX('Match Log'!$F$4:$F$810,MATCH(210,'Match Log'!$A$4:$A$810,0)),"")</f>
        <v/>
      </c>
      <c r="F234">
        <f>IFERROR(SUMIFS('Match Log'!$I$4:$I$810,'Match Log'!$A$4:$A$810,210,'Match Log'!$E$4:$E$810,"Win"),"")</f>
        <v>0</v>
      </c>
      <c r="G234" t="str">
        <f t="shared" si="31"/>
        <v/>
      </c>
      <c r="H234" t="str">
        <f t="array" ref="H234">IFERROR(IF(COUNTIFS('Match Log'!$A$4:$A$810,$A234,'Match Log'!$E$4:$E$810,"Win")&gt;1,_xlfn.TEXTJOIN(" + ",TRUE,IF(('Match Log'!$A$4:$A$810=$A234)*('Match Log'!$E$4:$E$810="Loss"),'Match Log'!$D$4:$D$810,"")),IF($E234=2,LOOKUP(2,1/(('Match Log'!$A$4:$A$810=$A234)*('Match Log'!$E$4:$E$810="Loss")),'Match Log'!$D$4:$D$810),"the field")),"")</f>
        <v>the field</v>
      </c>
      <c r="I234" t="str">
        <f t="shared" si="32"/>
        <v/>
      </c>
      <c r="J234">
        <v>210</v>
      </c>
      <c r="K234" t="e">
        <f>IF($J234&gt;MAX('Match Log'!$A$4:$A$810),NA(),IFERROR(LOOKUP(2,1/(('Match Log'!$D$4:$D$810=$K$24)*('Match Log'!$A$4:$A$810&lt;=$J234)),'Match Log'!$N$4:$N$810),NA()))</f>
        <v>#N/A</v>
      </c>
      <c r="L234" t="e">
        <f>IF($J234&gt;MAX('Match Log'!$A$4:$A$810),NA(),IFERROR(LOOKUP(2,1/(('Match Log'!$D$4:$D$810=$L$24)*('Match Log'!$A$4:$A$810&lt;=$J234)),'Match Log'!$N$4:$N$810),NA()))</f>
        <v>#N/A</v>
      </c>
      <c r="M234" t="e">
        <f>IF($J234&gt;MAX('Match Log'!$A$4:$A$810),NA(),IFERROR(LOOKUP(2,1/(('Match Log'!$D$4:$D$810=$M$24)*('Match Log'!$A$4:$A$810&lt;=$J234)),'Match Log'!$N$4:$N$810),NA()))</f>
        <v>#N/A</v>
      </c>
      <c r="N234" t="e">
        <f>IF($J234&gt;MAX('Match Log'!$A$4:$A$810),NA(),IFERROR(LOOKUP(2,1/(('Match Log'!$D$4:$D$810=$N$24)*('Match Log'!$A$4:$A$810&lt;=$J234)),'Match Log'!$N$4:$N$810),NA()))</f>
        <v>#N/A</v>
      </c>
      <c r="O234" t="e">
        <f>IF($J234&gt;MAX('Match Log'!$A$4:$A$810),NA(),IFERROR(LOOKUP(2,1/(('Match Log'!$D$4:$D$810=$O$24)*('Match Log'!$A$4:$A$810&lt;=$J234)),'Match Log'!$N$4:$N$810),NA()))</f>
        <v>#N/A</v>
      </c>
      <c r="P234" t="e">
        <f>IF($J234&gt;MAX('Match Log'!$A$4:$A$810),NA(),IFERROR(LOOKUP(2,1/(('Match Log'!$D$4:$D$810=$P$24)*('Match Log'!$A$4:$A$810&lt;=$J234)),'Match Log'!$N$4:$N$810),NA()))</f>
        <v>#N/A</v>
      </c>
      <c r="Q234" t="e">
        <f>IF($J234&gt;MAX('Match Log'!$A$4:$A$810),NA(),IFERROR(LOOKUP(2,1/(('Match Log'!$D$4:$D$810=$Q$24)*('Match Log'!$A$4:$A$810&lt;=$J234)),'Match Log'!$N$4:$N$810),NA()))</f>
        <v>#N/A</v>
      </c>
      <c r="R234" t="e">
        <f>IF($J234&gt;MAX('Match Log'!$A$4:$A$810),NA(),IFERROR(LOOKUP(2,1/(('Match Log'!$D$4:$D$810=$R$24)*('Match Log'!$A$4:$A$810&lt;=$J234)),'Match Log'!$N$4:$N$810),NA()))</f>
        <v>#N/A</v>
      </c>
      <c r="S234" t="e">
        <f>IF($J234&gt;MAX('Match Log'!$A$4:$A$810),NA(),IFERROR(LOOKUP(2,1/(('Match Log'!$D$4:$D$810=$S$24)*('Match Log'!$A$4:$A$810&lt;=$J234)),'Match Log'!$N$4:$N$810),NA()))</f>
        <v>#N/A</v>
      </c>
      <c r="T234" t="e">
        <f>IF($J234&gt;MAX('Match Log'!$A$4:$A$810),NA(),IFERROR(LOOKUP(2,1/(('Match Log'!$D$4:$D$810=$T$24)*('Match Log'!$A$4:$A$810&lt;=$J234)),'Match Log'!$N$4:$N$810),NA()))</f>
        <v>#N/A</v>
      </c>
      <c r="U234" t="e">
        <f>IF($J234&gt;MAX('Match Log'!$A$4:$A$810),NA(),IFERROR(LOOKUP(2,1/(('Match Log'!$D$4:$D$810=$U$24)*('Match Log'!$A$4:$A$810&lt;=$J234)),'Match Log'!$N$4:$N$810),NA()))</f>
        <v>#N/A</v>
      </c>
      <c r="V234" t="e">
        <f>IF($J234&gt;MAX('Match Log'!$A$4:$A$810),NA(),IFERROR(LOOKUP(2,1/(('Match Log'!$D$4:$D$810=$V$24)*('Match Log'!$A$4:$A$810&lt;=$J234)),'Match Log'!$N$4:$N$810),NA()))</f>
        <v>#N/A</v>
      </c>
      <c r="W234" t="e">
        <f>IF($J234&gt;MAX('Match Log'!$A$4:$A$810),NA(),IFERROR(LOOKUP(2,1/(('Match Log'!$D$4:$D$810=$W$24)*('Match Log'!$A$4:$A$810&lt;=$J234)),'Match Log'!$N$4:$N$810),NA()))</f>
        <v>#N/A</v>
      </c>
      <c r="X234" t="e">
        <f>IF($J234&gt;MAX('Match Log'!$A$4:$A$810),NA(),IFERROR(LOOKUP(2,1/(('Match Log'!$D$4:$D$810=$X$24)*('Match Log'!$A$4:$A$810&lt;=$J234)),'Match Log'!$N$4:$N$810),NA()))</f>
        <v>#N/A</v>
      </c>
      <c r="Y234" t="str">
        <f t="shared" ca="1" si="33"/>
        <v/>
      </c>
    </row>
    <row r="235" spans="1:25" x14ac:dyDescent="0.2">
      <c r="A235">
        <v>211</v>
      </c>
      <c r="B235" t="str">
        <f>IFERROR(INDEX('Match Log'!$B$4:$B$810,MATCH(211,'Match Log'!$A$4:$A$810,0)),"")</f>
        <v/>
      </c>
      <c r="C235" t="str">
        <f>IFERROR(INDEX('Match Log'!$C$4:$C$810,MATCH(211,'Match Log'!$A$4:$A$810,0)),"")</f>
        <v/>
      </c>
      <c r="D235" t="str">
        <f t="array" ref="D235">IFERROR(_xlfn.TEXTJOIN(" + ",TRUE,IF(('Match Log'!$A$4:$A$810=$A235)*('Match Log'!$E$4:$E$810="Win"),'Match Log'!$D$4:$D$810,"")),IFERROR(LOOKUP(2,1/(('Match Log'!$A$4:$A$810=$A235)*('Match Log'!$E$4:$E$810="Win")),'Match Log'!$D$4:$D$810),""))</f>
        <v/>
      </c>
      <c r="E235" t="str">
        <f>IFERROR(INDEX('Match Log'!$F$4:$F$810,MATCH(211,'Match Log'!$A$4:$A$810,0)),"")</f>
        <v/>
      </c>
      <c r="F235">
        <f>IFERROR(SUMIFS('Match Log'!$I$4:$I$810,'Match Log'!$A$4:$A$810,211,'Match Log'!$E$4:$E$810,"Win"),"")</f>
        <v>0</v>
      </c>
      <c r="G235" t="str">
        <f t="shared" si="31"/>
        <v/>
      </c>
      <c r="H235" t="str">
        <f t="array" ref="H235">IFERROR(IF(COUNTIFS('Match Log'!$A$4:$A$810,$A235,'Match Log'!$E$4:$E$810,"Win")&gt;1,_xlfn.TEXTJOIN(" + ",TRUE,IF(('Match Log'!$A$4:$A$810=$A235)*('Match Log'!$E$4:$E$810="Loss"),'Match Log'!$D$4:$D$810,"")),IF($E235=2,LOOKUP(2,1/(('Match Log'!$A$4:$A$810=$A235)*('Match Log'!$E$4:$E$810="Loss")),'Match Log'!$D$4:$D$810),"the field")),"")</f>
        <v>the field</v>
      </c>
      <c r="I235" t="str">
        <f t="shared" si="32"/>
        <v/>
      </c>
      <c r="J235">
        <v>211</v>
      </c>
      <c r="K235" t="e">
        <f>IF($J235&gt;MAX('Match Log'!$A$4:$A$810),NA(),IFERROR(LOOKUP(2,1/(('Match Log'!$D$4:$D$810=$K$24)*('Match Log'!$A$4:$A$810&lt;=$J235)),'Match Log'!$N$4:$N$810),NA()))</f>
        <v>#N/A</v>
      </c>
      <c r="L235" t="e">
        <f>IF($J235&gt;MAX('Match Log'!$A$4:$A$810),NA(),IFERROR(LOOKUP(2,1/(('Match Log'!$D$4:$D$810=$L$24)*('Match Log'!$A$4:$A$810&lt;=$J235)),'Match Log'!$N$4:$N$810),NA()))</f>
        <v>#N/A</v>
      </c>
      <c r="M235" t="e">
        <f>IF($J235&gt;MAX('Match Log'!$A$4:$A$810),NA(),IFERROR(LOOKUP(2,1/(('Match Log'!$D$4:$D$810=$M$24)*('Match Log'!$A$4:$A$810&lt;=$J235)),'Match Log'!$N$4:$N$810),NA()))</f>
        <v>#N/A</v>
      </c>
      <c r="N235" t="e">
        <f>IF($J235&gt;MAX('Match Log'!$A$4:$A$810),NA(),IFERROR(LOOKUP(2,1/(('Match Log'!$D$4:$D$810=$N$24)*('Match Log'!$A$4:$A$810&lt;=$J235)),'Match Log'!$N$4:$N$810),NA()))</f>
        <v>#N/A</v>
      </c>
      <c r="O235" t="e">
        <f>IF($J235&gt;MAX('Match Log'!$A$4:$A$810),NA(),IFERROR(LOOKUP(2,1/(('Match Log'!$D$4:$D$810=$O$24)*('Match Log'!$A$4:$A$810&lt;=$J235)),'Match Log'!$N$4:$N$810),NA()))</f>
        <v>#N/A</v>
      </c>
      <c r="P235" t="e">
        <f>IF($J235&gt;MAX('Match Log'!$A$4:$A$810),NA(),IFERROR(LOOKUP(2,1/(('Match Log'!$D$4:$D$810=$P$24)*('Match Log'!$A$4:$A$810&lt;=$J235)),'Match Log'!$N$4:$N$810),NA()))</f>
        <v>#N/A</v>
      </c>
      <c r="Q235" t="e">
        <f>IF($J235&gt;MAX('Match Log'!$A$4:$A$810),NA(),IFERROR(LOOKUP(2,1/(('Match Log'!$D$4:$D$810=$Q$24)*('Match Log'!$A$4:$A$810&lt;=$J235)),'Match Log'!$N$4:$N$810),NA()))</f>
        <v>#N/A</v>
      </c>
      <c r="R235" t="e">
        <f>IF($J235&gt;MAX('Match Log'!$A$4:$A$810),NA(),IFERROR(LOOKUP(2,1/(('Match Log'!$D$4:$D$810=$R$24)*('Match Log'!$A$4:$A$810&lt;=$J235)),'Match Log'!$N$4:$N$810),NA()))</f>
        <v>#N/A</v>
      </c>
      <c r="S235" t="e">
        <f>IF($J235&gt;MAX('Match Log'!$A$4:$A$810),NA(),IFERROR(LOOKUP(2,1/(('Match Log'!$D$4:$D$810=$S$24)*('Match Log'!$A$4:$A$810&lt;=$J235)),'Match Log'!$N$4:$N$810),NA()))</f>
        <v>#N/A</v>
      </c>
      <c r="T235" t="e">
        <f>IF($J235&gt;MAX('Match Log'!$A$4:$A$810),NA(),IFERROR(LOOKUP(2,1/(('Match Log'!$D$4:$D$810=$T$24)*('Match Log'!$A$4:$A$810&lt;=$J235)),'Match Log'!$N$4:$N$810),NA()))</f>
        <v>#N/A</v>
      </c>
      <c r="U235" t="e">
        <f>IF($J235&gt;MAX('Match Log'!$A$4:$A$810),NA(),IFERROR(LOOKUP(2,1/(('Match Log'!$D$4:$D$810=$U$24)*('Match Log'!$A$4:$A$810&lt;=$J235)),'Match Log'!$N$4:$N$810),NA()))</f>
        <v>#N/A</v>
      </c>
      <c r="V235" t="e">
        <f>IF($J235&gt;MAX('Match Log'!$A$4:$A$810),NA(),IFERROR(LOOKUP(2,1/(('Match Log'!$D$4:$D$810=$V$24)*('Match Log'!$A$4:$A$810&lt;=$J235)),'Match Log'!$N$4:$N$810),NA()))</f>
        <v>#N/A</v>
      </c>
      <c r="W235" t="e">
        <f>IF($J235&gt;MAX('Match Log'!$A$4:$A$810),NA(),IFERROR(LOOKUP(2,1/(('Match Log'!$D$4:$D$810=$W$24)*('Match Log'!$A$4:$A$810&lt;=$J235)),'Match Log'!$N$4:$N$810),NA()))</f>
        <v>#N/A</v>
      </c>
      <c r="X235" t="e">
        <f>IF($J235&gt;MAX('Match Log'!$A$4:$A$810),NA(),IFERROR(LOOKUP(2,1/(('Match Log'!$D$4:$D$810=$X$24)*('Match Log'!$A$4:$A$810&lt;=$J235)),'Match Log'!$N$4:$N$810),NA()))</f>
        <v>#N/A</v>
      </c>
      <c r="Y235" t="str">
        <f t="shared" ca="1" si="33"/>
        <v/>
      </c>
    </row>
    <row r="236" spans="1:25" x14ac:dyDescent="0.2">
      <c r="A236">
        <v>212</v>
      </c>
      <c r="B236" t="str">
        <f>IFERROR(INDEX('Match Log'!$B$4:$B$810,MATCH(212,'Match Log'!$A$4:$A$810,0)),"")</f>
        <v/>
      </c>
      <c r="C236" t="str">
        <f>IFERROR(INDEX('Match Log'!$C$4:$C$810,MATCH(212,'Match Log'!$A$4:$A$810,0)),"")</f>
        <v/>
      </c>
      <c r="D236" t="str">
        <f t="array" ref="D236">IFERROR(_xlfn.TEXTJOIN(" + ",TRUE,IF(('Match Log'!$A$4:$A$810=$A236)*('Match Log'!$E$4:$E$810="Win"),'Match Log'!$D$4:$D$810,"")),IFERROR(LOOKUP(2,1/(('Match Log'!$A$4:$A$810=$A236)*('Match Log'!$E$4:$E$810="Win")),'Match Log'!$D$4:$D$810),""))</f>
        <v/>
      </c>
      <c r="E236" t="str">
        <f>IFERROR(INDEX('Match Log'!$F$4:$F$810,MATCH(212,'Match Log'!$A$4:$A$810,0)),"")</f>
        <v/>
      </c>
      <c r="F236">
        <f>IFERROR(SUMIFS('Match Log'!$I$4:$I$810,'Match Log'!$A$4:$A$810,212,'Match Log'!$E$4:$E$810,"Win"),"")</f>
        <v>0</v>
      </c>
      <c r="G236" t="str">
        <f t="shared" si="31"/>
        <v/>
      </c>
      <c r="H236" t="str">
        <f t="array" ref="H236">IFERROR(IF(COUNTIFS('Match Log'!$A$4:$A$810,$A236,'Match Log'!$E$4:$E$810,"Win")&gt;1,_xlfn.TEXTJOIN(" + ",TRUE,IF(('Match Log'!$A$4:$A$810=$A236)*('Match Log'!$E$4:$E$810="Loss"),'Match Log'!$D$4:$D$810,"")),IF($E236=2,LOOKUP(2,1/(('Match Log'!$A$4:$A$810=$A236)*('Match Log'!$E$4:$E$810="Loss")),'Match Log'!$D$4:$D$810),"the field")),"")</f>
        <v>the field</v>
      </c>
      <c r="I236" t="str">
        <f t="shared" si="32"/>
        <v/>
      </c>
      <c r="J236">
        <v>212</v>
      </c>
      <c r="K236" t="e">
        <f>IF($J236&gt;MAX('Match Log'!$A$4:$A$810),NA(),IFERROR(LOOKUP(2,1/(('Match Log'!$D$4:$D$810=$K$24)*('Match Log'!$A$4:$A$810&lt;=$J236)),'Match Log'!$N$4:$N$810),NA()))</f>
        <v>#N/A</v>
      </c>
      <c r="L236" t="e">
        <f>IF($J236&gt;MAX('Match Log'!$A$4:$A$810),NA(),IFERROR(LOOKUP(2,1/(('Match Log'!$D$4:$D$810=$L$24)*('Match Log'!$A$4:$A$810&lt;=$J236)),'Match Log'!$N$4:$N$810),NA()))</f>
        <v>#N/A</v>
      </c>
      <c r="M236" t="e">
        <f>IF($J236&gt;MAX('Match Log'!$A$4:$A$810),NA(),IFERROR(LOOKUP(2,1/(('Match Log'!$D$4:$D$810=$M$24)*('Match Log'!$A$4:$A$810&lt;=$J236)),'Match Log'!$N$4:$N$810),NA()))</f>
        <v>#N/A</v>
      </c>
      <c r="N236" t="e">
        <f>IF($J236&gt;MAX('Match Log'!$A$4:$A$810),NA(),IFERROR(LOOKUP(2,1/(('Match Log'!$D$4:$D$810=$N$24)*('Match Log'!$A$4:$A$810&lt;=$J236)),'Match Log'!$N$4:$N$810),NA()))</f>
        <v>#N/A</v>
      </c>
      <c r="O236" t="e">
        <f>IF($J236&gt;MAX('Match Log'!$A$4:$A$810),NA(),IFERROR(LOOKUP(2,1/(('Match Log'!$D$4:$D$810=$O$24)*('Match Log'!$A$4:$A$810&lt;=$J236)),'Match Log'!$N$4:$N$810),NA()))</f>
        <v>#N/A</v>
      </c>
      <c r="P236" t="e">
        <f>IF($J236&gt;MAX('Match Log'!$A$4:$A$810),NA(),IFERROR(LOOKUP(2,1/(('Match Log'!$D$4:$D$810=$P$24)*('Match Log'!$A$4:$A$810&lt;=$J236)),'Match Log'!$N$4:$N$810),NA()))</f>
        <v>#N/A</v>
      </c>
      <c r="Q236" t="e">
        <f>IF($J236&gt;MAX('Match Log'!$A$4:$A$810),NA(),IFERROR(LOOKUP(2,1/(('Match Log'!$D$4:$D$810=$Q$24)*('Match Log'!$A$4:$A$810&lt;=$J236)),'Match Log'!$N$4:$N$810),NA()))</f>
        <v>#N/A</v>
      </c>
      <c r="R236" t="e">
        <f>IF($J236&gt;MAX('Match Log'!$A$4:$A$810),NA(),IFERROR(LOOKUP(2,1/(('Match Log'!$D$4:$D$810=$R$24)*('Match Log'!$A$4:$A$810&lt;=$J236)),'Match Log'!$N$4:$N$810),NA()))</f>
        <v>#N/A</v>
      </c>
      <c r="S236" t="e">
        <f>IF($J236&gt;MAX('Match Log'!$A$4:$A$810),NA(),IFERROR(LOOKUP(2,1/(('Match Log'!$D$4:$D$810=$S$24)*('Match Log'!$A$4:$A$810&lt;=$J236)),'Match Log'!$N$4:$N$810),NA()))</f>
        <v>#N/A</v>
      </c>
      <c r="T236" t="e">
        <f>IF($J236&gt;MAX('Match Log'!$A$4:$A$810),NA(),IFERROR(LOOKUP(2,1/(('Match Log'!$D$4:$D$810=$T$24)*('Match Log'!$A$4:$A$810&lt;=$J236)),'Match Log'!$N$4:$N$810),NA()))</f>
        <v>#N/A</v>
      </c>
      <c r="U236" t="e">
        <f>IF($J236&gt;MAX('Match Log'!$A$4:$A$810),NA(),IFERROR(LOOKUP(2,1/(('Match Log'!$D$4:$D$810=$U$24)*('Match Log'!$A$4:$A$810&lt;=$J236)),'Match Log'!$N$4:$N$810),NA()))</f>
        <v>#N/A</v>
      </c>
      <c r="V236" t="e">
        <f>IF($J236&gt;MAX('Match Log'!$A$4:$A$810),NA(),IFERROR(LOOKUP(2,1/(('Match Log'!$D$4:$D$810=$V$24)*('Match Log'!$A$4:$A$810&lt;=$J236)),'Match Log'!$N$4:$N$810),NA()))</f>
        <v>#N/A</v>
      </c>
      <c r="W236" t="e">
        <f>IF($J236&gt;MAX('Match Log'!$A$4:$A$810),NA(),IFERROR(LOOKUP(2,1/(('Match Log'!$D$4:$D$810=$W$24)*('Match Log'!$A$4:$A$810&lt;=$J236)),'Match Log'!$N$4:$N$810),NA()))</f>
        <v>#N/A</v>
      </c>
      <c r="X236" t="e">
        <f>IF($J236&gt;MAX('Match Log'!$A$4:$A$810),NA(),IFERROR(LOOKUP(2,1/(('Match Log'!$D$4:$D$810=$X$24)*('Match Log'!$A$4:$A$810&lt;=$J236)),'Match Log'!$N$4:$N$810),NA()))</f>
        <v>#N/A</v>
      </c>
      <c r="Y236" t="str">
        <f t="shared" ca="1" si="33"/>
        <v/>
      </c>
    </row>
    <row r="237" spans="1:25" x14ac:dyDescent="0.2">
      <c r="A237">
        <v>213</v>
      </c>
      <c r="B237" t="str">
        <f>IFERROR(INDEX('Match Log'!$B$4:$B$810,MATCH(213,'Match Log'!$A$4:$A$810,0)),"")</f>
        <v/>
      </c>
      <c r="C237" t="str">
        <f>IFERROR(INDEX('Match Log'!$C$4:$C$810,MATCH(213,'Match Log'!$A$4:$A$810,0)),"")</f>
        <v/>
      </c>
      <c r="D237" t="str">
        <f t="array" ref="D237">IFERROR(_xlfn.TEXTJOIN(" + ",TRUE,IF(('Match Log'!$A$4:$A$810=$A237)*('Match Log'!$E$4:$E$810="Win"),'Match Log'!$D$4:$D$810,"")),IFERROR(LOOKUP(2,1/(('Match Log'!$A$4:$A$810=$A237)*('Match Log'!$E$4:$E$810="Win")),'Match Log'!$D$4:$D$810),""))</f>
        <v/>
      </c>
      <c r="E237" t="str">
        <f>IFERROR(INDEX('Match Log'!$F$4:$F$810,MATCH(213,'Match Log'!$A$4:$A$810,0)),"")</f>
        <v/>
      </c>
      <c r="F237">
        <f>IFERROR(SUMIFS('Match Log'!$I$4:$I$810,'Match Log'!$A$4:$A$810,213,'Match Log'!$E$4:$E$810,"Win"),"")</f>
        <v>0</v>
      </c>
      <c r="G237" t="str">
        <f t="shared" si="31"/>
        <v/>
      </c>
      <c r="H237" t="str">
        <f t="array" ref="H237">IFERROR(IF(COUNTIFS('Match Log'!$A$4:$A$810,$A237,'Match Log'!$E$4:$E$810,"Win")&gt;1,_xlfn.TEXTJOIN(" + ",TRUE,IF(('Match Log'!$A$4:$A$810=$A237)*('Match Log'!$E$4:$E$810="Loss"),'Match Log'!$D$4:$D$810,"")),IF($E237=2,LOOKUP(2,1/(('Match Log'!$A$4:$A$810=$A237)*('Match Log'!$E$4:$E$810="Loss")),'Match Log'!$D$4:$D$810),"the field")),"")</f>
        <v>the field</v>
      </c>
      <c r="I237" t="str">
        <f t="shared" si="32"/>
        <v/>
      </c>
      <c r="J237">
        <v>213</v>
      </c>
      <c r="K237" t="e">
        <f>IF($J237&gt;MAX('Match Log'!$A$4:$A$810),NA(),IFERROR(LOOKUP(2,1/(('Match Log'!$D$4:$D$810=$K$24)*('Match Log'!$A$4:$A$810&lt;=$J237)),'Match Log'!$N$4:$N$810),NA()))</f>
        <v>#N/A</v>
      </c>
      <c r="L237" t="e">
        <f>IF($J237&gt;MAX('Match Log'!$A$4:$A$810),NA(),IFERROR(LOOKUP(2,1/(('Match Log'!$D$4:$D$810=$L$24)*('Match Log'!$A$4:$A$810&lt;=$J237)),'Match Log'!$N$4:$N$810),NA()))</f>
        <v>#N/A</v>
      </c>
      <c r="M237" t="e">
        <f>IF($J237&gt;MAX('Match Log'!$A$4:$A$810),NA(),IFERROR(LOOKUP(2,1/(('Match Log'!$D$4:$D$810=$M$24)*('Match Log'!$A$4:$A$810&lt;=$J237)),'Match Log'!$N$4:$N$810),NA()))</f>
        <v>#N/A</v>
      </c>
      <c r="N237" t="e">
        <f>IF($J237&gt;MAX('Match Log'!$A$4:$A$810),NA(),IFERROR(LOOKUP(2,1/(('Match Log'!$D$4:$D$810=$N$24)*('Match Log'!$A$4:$A$810&lt;=$J237)),'Match Log'!$N$4:$N$810),NA()))</f>
        <v>#N/A</v>
      </c>
      <c r="O237" t="e">
        <f>IF($J237&gt;MAX('Match Log'!$A$4:$A$810),NA(),IFERROR(LOOKUP(2,1/(('Match Log'!$D$4:$D$810=$O$24)*('Match Log'!$A$4:$A$810&lt;=$J237)),'Match Log'!$N$4:$N$810),NA()))</f>
        <v>#N/A</v>
      </c>
      <c r="P237" t="e">
        <f>IF($J237&gt;MAX('Match Log'!$A$4:$A$810),NA(),IFERROR(LOOKUP(2,1/(('Match Log'!$D$4:$D$810=$P$24)*('Match Log'!$A$4:$A$810&lt;=$J237)),'Match Log'!$N$4:$N$810),NA()))</f>
        <v>#N/A</v>
      </c>
      <c r="Q237" t="e">
        <f>IF($J237&gt;MAX('Match Log'!$A$4:$A$810),NA(),IFERROR(LOOKUP(2,1/(('Match Log'!$D$4:$D$810=$Q$24)*('Match Log'!$A$4:$A$810&lt;=$J237)),'Match Log'!$N$4:$N$810),NA()))</f>
        <v>#N/A</v>
      </c>
      <c r="R237" t="e">
        <f>IF($J237&gt;MAX('Match Log'!$A$4:$A$810),NA(),IFERROR(LOOKUP(2,1/(('Match Log'!$D$4:$D$810=$R$24)*('Match Log'!$A$4:$A$810&lt;=$J237)),'Match Log'!$N$4:$N$810),NA()))</f>
        <v>#N/A</v>
      </c>
      <c r="S237" t="e">
        <f>IF($J237&gt;MAX('Match Log'!$A$4:$A$810),NA(),IFERROR(LOOKUP(2,1/(('Match Log'!$D$4:$D$810=$S$24)*('Match Log'!$A$4:$A$810&lt;=$J237)),'Match Log'!$N$4:$N$810),NA()))</f>
        <v>#N/A</v>
      </c>
      <c r="T237" t="e">
        <f>IF($J237&gt;MAX('Match Log'!$A$4:$A$810),NA(),IFERROR(LOOKUP(2,1/(('Match Log'!$D$4:$D$810=$T$24)*('Match Log'!$A$4:$A$810&lt;=$J237)),'Match Log'!$N$4:$N$810),NA()))</f>
        <v>#N/A</v>
      </c>
      <c r="U237" t="e">
        <f>IF($J237&gt;MAX('Match Log'!$A$4:$A$810),NA(),IFERROR(LOOKUP(2,1/(('Match Log'!$D$4:$D$810=$U$24)*('Match Log'!$A$4:$A$810&lt;=$J237)),'Match Log'!$N$4:$N$810),NA()))</f>
        <v>#N/A</v>
      </c>
      <c r="V237" t="e">
        <f>IF($J237&gt;MAX('Match Log'!$A$4:$A$810),NA(),IFERROR(LOOKUP(2,1/(('Match Log'!$D$4:$D$810=$V$24)*('Match Log'!$A$4:$A$810&lt;=$J237)),'Match Log'!$N$4:$N$810),NA()))</f>
        <v>#N/A</v>
      </c>
      <c r="W237" t="e">
        <f>IF($J237&gt;MAX('Match Log'!$A$4:$A$810),NA(),IFERROR(LOOKUP(2,1/(('Match Log'!$D$4:$D$810=$W$24)*('Match Log'!$A$4:$A$810&lt;=$J237)),'Match Log'!$N$4:$N$810),NA()))</f>
        <v>#N/A</v>
      </c>
      <c r="X237" t="e">
        <f>IF($J237&gt;MAX('Match Log'!$A$4:$A$810),NA(),IFERROR(LOOKUP(2,1/(('Match Log'!$D$4:$D$810=$X$24)*('Match Log'!$A$4:$A$810&lt;=$J237)),'Match Log'!$N$4:$N$810),NA()))</f>
        <v>#N/A</v>
      </c>
      <c r="Y237" t="str">
        <f t="shared" ca="1" si="33"/>
        <v/>
      </c>
    </row>
    <row r="238" spans="1:25" x14ac:dyDescent="0.2">
      <c r="A238">
        <v>214</v>
      </c>
      <c r="B238" t="str">
        <f>IFERROR(INDEX('Match Log'!$B$4:$B$810,MATCH(214,'Match Log'!$A$4:$A$810,0)),"")</f>
        <v/>
      </c>
      <c r="C238" t="str">
        <f>IFERROR(INDEX('Match Log'!$C$4:$C$810,MATCH(214,'Match Log'!$A$4:$A$810,0)),"")</f>
        <v/>
      </c>
      <c r="D238" t="str">
        <f t="array" ref="D238">IFERROR(_xlfn.TEXTJOIN(" + ",TRUE,IF(('Match Log'!$A$4:$A$810=$A238)*('Match Log'!$E$4:$E$810="Win"),'Match Log'!$D$4:$D$810,"")),IFERROR(LOOKUP(2,1/(('Match Log'!$A$4:$A$810=$A238)*('Match Log'!$E$4:$E$810="Win")),'Match Log'!$D$4:$D$810),""))</f>
        <v/>
      </c>
      <c r="E238" t="str">
        <f>IFERROR(INDEX('Match Log'!$F$4:$F$810,MATCH(214,'Match Log'!$A$4:$A$810,0)),"")</f>
        <v/>
      </c>
      <c r="F238">
        <f>IFERROR(SUMIFS('Match Log'!$I$4:$I$810,'Match Log'!$A$4:$A$810,214,'Match Log'!$E$4:$E$810,"Win"),"")</f>
        <v>0</v>
      </c>
      <c r="G238" t="str">
        <f t="shared" si="31"/>
        <v/>
      </c>
      <c r="H238" t="str">
        <f t="array" ref="H238">IFERROR(IF(COUNTIFS('Match Log'!$A$4:$A$810,$A238,'Match Log'!$E$4:$E$810,"Win")&gt;1,_xlfn.TEXTJOIN(" + ",TRUE,IF(('Match Log'!$A$4:$A$810=$A238)*('Match Log'!$E$4:$E$810="Loss"),'Match Log'!$D$4:$D$810,"")),IF($E238=2,LOOKUP(2,1/(('Match Log'!$A$4:$A$810=$A238)*('Match Log'!$E$4:$E$810="Loss")),'Match Log'!$D$4:$D$810),"the field")),"")</f>
        <v>the field</v>
      </c>
      <c r="I238" t="str">
        <f t="shared" si="32"/>
        <v/>
      </c>
      <c r="J238">
        <v>214</v>
      </c>
      <c r="K238" t="e">
        <f>IF($J238&gt;MAX('Match Log'!$A$4:$A$810),NA(),IFERROR(LOOKUP(2,1/(('Match Log'!$D$4:$D$810=$K$24)*('Match Log'!$A$4:$A$810&lt;=$J238)),'Match Log'!$N$4:$N$810),NA()))</f>
        <v>#N/A</v>
      </c>
      <c r="L238" t="e">
        <f>IF($J238&gt;MAX('Match Log'!$A$4:$A$810),NA(),IFERROR(LOOKUP(2,1/(('Match Log'!$D$4:$D$810=$L$24)*('Match Log'!$A$4:$A$810&lt;=$J238)),'Match Log'!$N$4:$N$810),NA()))</f>
        <v>#N/A</v>
      </c>
      <c r="M238" t="e">
        <f>IF($J238&gt;MAX('Match Log'!$A$4:$A$810),NA(),IFERROR(LOOKUP(2,1/(('Match Log'!$D$4:$D$810=$M$24)*('Match Log'!$A$4:$A$810&lt;=$J238)),'Match Log'!$N$4:$N$810),NA()))</f>
        <v>#N/A</v>
      </c>
      <c r="N238" t="e">
        <f>IF($J238&gt;MAX('Match Log'!$A$4:$A$810),NA(),IFERROR(LOOKUP(2,1/(('Match Log'!$D$4:$D$810=$N$24)*('Match Log'!$A$4:$A$810&lt;=$J238)),'Match Log'!$N$4:$N$810),NA()))</f>
        <v>#N/A</v>
      </c>
      <c r="O238" t="e">
        <f>IF($J238&gt;MAX('Match Log'!$A$4:$A$810),NA(),IFERROR(LOOKUP(2,1/(('Match Log'!$D$4:$D$810=$O$24)*('Match Log'!$A$4:$A$810&lt;=$J238)),'Match Log'!$N$4:$N$810),NA()))</f>
        <v>#N/A</v>
      </c>
      <c r="P238" t="e">
        <f>IF($J238&gt;MAX('Match Log'!$A$4:$A$810),NA(),IFERROR(LOOKUP(2,1/(('Match Log'!$D$4:$D$810=$P$24)*('Match Log'!$A$4:$A$810&lt;=$J238)),'Match Log'!$N$4:$N$810),NA()))</f>
        <v>#N/A</v>
      </c>
      <c r="Q238" t="e">
        <f>IF($J238&gt;MAX('Match Log'!$A$4:$A$810),NA(),IFERROR(LOOKUP(2,1/(('Match Log'!$D$4:$D$810=$Q$24)*('Match Log'!$A$4:$A$810&lt;=$J238)),'Match Log'!$N$4:$N$810),NA()))</f>
        <v>#N/A</v>
      </c>
      <c r="R238" t="e">
        <f>IF($J238&gt;MAX('Match Log'!$A$4:$A$810),NA(),IFERROR(LOOKUP(2,1/(('Match Log'!$D$4:$D$810=$R$24)*('Match Log'!$A$4:$A$810&lt;=$J238)),'Match Log'!$N$4:$N$810),NA()))</f>
        <v>#N/A</v>
      </c>
      <c r="S238" t="e">
        <f>IF($J238&gt;MAX('Match Log'!$A$4:$A$810),NA(),IFERROR(LOOKUP(2,1/(('Match Log'!$D$4:$D$810=$S$24)*('Match Log'!$A$4:$A$810&lt;=$J238)),'Match Log'!$N$4:$N$810),NA()))</f>
        <v>#N/A</v>
      </c>
      <c r="T238" t="e">
        <f>IF($J238&gt;MAX('Match Log'!$A$4:$A$810),NA(),IFERROR(LOOKUP(2,1/(('Match Log'!$D$4:$D$810=$T$24)*('Match Log'!$A$4:$A$810&lt;=$J238)),'Match Log'!$N$4:$N$810),NA()))</f>
        <v>#N/A</v>
      </c>
      <c r="U238" t="e">
        <f>IF($J238&gt;MAX('Match Log'!$A$4:$A$810),NA(),IFERROR(LOOKUP(2,1/(('Match Log'!$D$4:$D$810=$U$24)*('Match Log'!$A$4:$A$810&lt;=$J238)),'Match Log'!$N$4:$N$810),NA()))</f>
        <v>#N/A</v>
      </c>
      <c r="V238" t="e">
        <f>IF($J238&gt;MAX('Match Log'!$A$4:$A$810),NA(),IFERROR(LOOKUP(2,1/(('Match Log'!$D$4:$D$810=$V$24)*('Match Log'!$A$4:$A$810&lt;=$J238)),'Match Log'!$N$4:$N$810),NA()))</f>
        <v>#N/A</v>
      </c>
      <c r="W238" t="e">
        <f>IF($J238&gt;MAX('Match Log'!$A$4:$A$810),NA(),IFERROR(LOOKUP(2,1/(('Match Log'!$D$4:$D$810=$W$24)*('Match Log'!$A$4:$A$810&lt;=$J238)),'Match Log'!$N$4:$N$810),NA()))</f>
        <v>#N/A</v>
      </c>
      <c r="X238" t="e">
        <f>IF($J238&gt;MAX('Match Log'!$A$4:$A$810),NA(),IFERROR(LOOKUP(2,1/(('Match Log'!$D$4:$D$810=$X$24)*('Match Log'!$A$4:$A$810&lt;=$J238)),'Match Log'!$N$4:$N$810),NA()))</f>
        <v>#N/A</v>
      </c>
      <c r="Y238" t="str">
        <f t="shared" ca="1" si="33"/>
        <v/>
      </c>
    </row>
    <row r="239" spans="1:25" x14ac:dyDescent="0.2">
      <c r="A239">
        <v>215</v>
      </c>
      <c r="B239" t="str">
        <f>IFERROR(INDEX('Match Log'!$B$4:$B$810,MATCH(215,'Match Log'!$A$4:$A$810,0)),"")</f>
        <v/>
      </c>
      <c r="C239" t="str">
        <f>IFERROR(INDEX('Match Log'!$C$4:$C$810,MATCH(215,'Match Log'!$A$4:$A$810,0)),"")</f>
        <v/>
      </c>
      <c r="D239" t="str">
        <f t="array" ref="D239">IFERROR(_xlfn.TEXTJOIN(" + ",TRUE,IF(('Match Log'!$A$4:$A$810=$A239)*('Match Log'!$E$4:$E$810="Win"),'Match Log'!$D$4:$D$810,"")),IFERROR(LOOKUP(2,1/(('Match Log'!$A$4:$A$810=$A239)*('Match Log'!$E$4:$E$810="Win")),'Match Log'!$D$4:$D$810),""))</f>
        <v/>
      </c>
      <c r="E239" t="str">
        <f>IFERROR(INDEX('Match Log'!$F$4:$F$810,MATCH(215,'Match Log'!$A$4:$A$810,0)),"")</f>
        <v/>
      </c>
      <c r="F239">
        <f>IFERROR(SUMIFS('Match Log'!$I$4:$I$810,'Match Log'!$A$4:$A$810,215,'Match Log'!$E$4:$E$810,"Win"),"")</f>
        <v>0</v>
      </c>
      <c r="G239" t="str">
        <f t="shared" si="31"/>
        <v/>
      </c>
      <c r="H239" t="str">
        <f t="array" ref="H239">IFERROR(IF(COUNTIFS('Match Log'!$A$4:$A$810,$A239,'Match Log'!$E$4:$E$810,"Win")&gt;1,_xlfn.TEXTJOIN(" + ",TRUE,IF(('Match Log'!$A$4:$A$810=$A239)*('Match Log'!$E$4:$E$810="Loss"),'Match Log'!$D$4:$D$810,"")),IF($E239=2,LOOKUP(2,1/(('Match Log'!$A$4:$A$810=$A239)*('Match Log'!$E$4:$E$810="Loss")),'Match Log'!$D$4:$D$810),"the field")),"")</f>
        <v>the field</v>
      </c>
      <c r="I239" t="str">
        <f t="shared" si="32"/>
        <v/>
      </c>
      <c r="J239">
        <v>215</v>
      </c>
      <c r="K239" t="e">
        <f>IF($J239&gt;MAX('Match Log'!$A$4:$A$810),NA(),IFERROR(LOOKUP(2,1/(('Match Log'!$D$4:$D$810=$K$24)*('Match Log'!$A$4:$A$810&lt;=$J239)),'Match Log'!$N$4:$N$810),NA()))</f>
        <v>#N/A</v>
      </c>
      <c r="L239" t="e">
        <f>IF($J239&gt;MAX('Match Log'!$A$4:$A$810),NA(),IFERROR(LOOKUP(2,1/(('Match Log'!$D$4:$D$810=$L$24)*('Match Log'!$A$4:$A$810&lt;=$J239)),'Match Log'!$N$4:$N$810),NA()))</f>
        <v>#N/A</v>
      </c>
      <c r="M239" t="e">
        <f>IF($J239&gt;MAX('Match Log'!$A$4:$A$810),NA(),IFERROR(LOOKUP(2,1/(('Match Log'!$D$4:$D$810=$M$24)*('Match Log'!$A$4:$A$810&lt;=$J239)),'Match Log'!$N$4:$N$810),NA()))</f>
        <v>#N/A</v>
      </c>
      <c r="N239" t="e">
        <f>IF($J239&gt;MAX('Match Log'!$A$4:$A$810),NA(),IFERROR(LOOKUP(2,1/(('Match Log'!$D$4:$D$810=$N$24)*('Match Log'!$A$4:$A$810&lt;=$J239)),'Match Log'!$N$4:$N$810),NA()))</f>
        <v>#N/A</v>
      </c>
      <c r="O239" t="e">
        <f>IF($J239&gt;MAX('Match Log'!$A$4:$A$810),NA(),IFERROR(LOOKUP(2,1/(('Match Log'!$D$4:$D$810=$O$24)*('Match Log'!$A$4:$A$810&lt;=$J239)),'Match Log'!$N$4:$N$810),NA()))</f>
        <v>#N/A</v>
      </c>
      <c r="P239" t="e">
        <f>IF($J239&gt;MAX('Match Log'!$A$4:$A$810),NA(),IFERROR(LOOKUP(2,1/(('Match Log'!$D$4:$D$810=$P$24)*('Match Log'!$A$4:$A$810&lt;=$J239)),'Match Log'!$N$4:$N$810),NA()))</f>
        <v>#N/A</v>
      </c>
      <c r="Q239" t="e">
        <f>IF($J239&gt;MAX('Match Log'!$A$4:$A$810),NA(),IFERROR(LOOKUP(2,1/(('Match Log'!$D$4:$D$810=$Q$24)*('Match Log'!$A$4:$A$810&lt;=$J239)),'Match Log'!$N$4:$N$810),NA()))</f>
        <v>#N/A</v>
      </c>
      <c r="R239" t="e">
        <f>IF($J239&gt;MAX('Match Log'!$A$4:$A$810),NA(),IFERROR(LOOKUP(2,1/(('Match Log'!$D$4:$D$810=$R$24)*('Match Log'!$A$4:$A$810&lt;=$J239)),'Match Log'!$N$4:$N$810),NA()))</f>
        <v>#N/A</v>
      </c>
      <c r="S239" t="e">
        <f>IF($J239&gt;MAX('Match Log'!$A$4:$A$810),NA(),IFERROR(LOOKUP(2,1/(('Match Log'!$D$4:$D$810=$S$24)*('Match Log'!$A$4:$A$810&lt;=$J239)),'Match Log'!$N$4:$N$810),NA()))</f>
        <v>#N/A</v>
      </c>
      <c r="T239" t="e">
        <f>IF($J239&gt;MAX('Match Log'!$A$4:$A$810),NA(),IFERROR(LOOKUP(2,1/(('Match Log'!$D$4:$D$810=$T$24)*('Match Log'!$A$4:$A$810&lt;=$J239)),'Match Log'!$N$4:$N$810),NA()))</f>
        <v>#N/A</v>
      </c>
      <c r="U239" t="e">
        <f>IF($J239&gt;MAX('Match Log'!$A$4:$A$810),NA(),IFERROR(LOOKUP(2,1/(('Match Log'!$D$4:$D$810=$U$24)*('Match Log'!$A$4:$A$810&lt;=$J239)),'Match Log'!$N$4:$N$810),NA()))</f>
        <v>#N/A</v>
      </c>
      <c r="V239" t="e">
        <f>IF($J239&gt;MAX('Match Log'!$A$4:$A$810),NA(),IFERROR(LOOKUP(2,1/(('Match Log'!$D$4:$D$810=$V$24)*('Match Log'!$A$4:$A$810&lt;=$J239)),'Match Log'!$N$4:$N$810),NA()))</f>
        <v>#N/A</v>
      </c>
      <c r="W239" t="e">
        <f>IF($J239&gt;MAX('Match Log'!$A$4:$A$810),NA(),IFERROR(LOOKUP(2,1/(('Match Log'!$D$4:$D$810=$W$24)*('Match Log'!$A$4:$A$810&lt;=$J239)),'Match Log'!$N$4:$N$810),NA()))</f>
        <v>#N/A</v>
      </c>
      <c r="X239" t="e">
        <f>IF($J239&gt;MAX('Match Log'!$A$4:$A$810),NA(),IFERROR(LOOKUP(2,1/(('Match Log'!$D$4:$D$810=$X$24)*('Match Log'!$A$4:$A$810&lt;=$J239)),'Match Log'!$N$4:$N$810),NA()))</f>
        <v>#N/A</v>
      </c>
      <c r="Y239" t="str">
        <f t="shared" ca="1" si="33"/>
        <v/>
      </c>
    </row>
    <row r="240" spans="1:25" x14ac:dyDescent="0.2">
      <c r="A240">
        <v>216</v>
      </c>
      <c r="B240" t="str">
        <f>IFERROR(INDEX('Match Log'!$B$4:$B$810,MATCH(216,'Match Log'!$A$4:$A$810,0)),"")</f>
        <v/>
      </c>
      <c r="C240" t="str">
        <f>IFERROR(INDEX('Match Log'!$C$4:$C$810,MATCH(216,'Match Log'!$A$4:$A$810,0)),"")</f>
        <v/>
      </c>
      <c r="D240" t="str">
        <f t="array" ref="D240">IFERROR(_xlfn.TEXTJOIN(" + ",TRUE,IF(('Match Log'!$A$4:$A$810=$A240)*('Match Log'!$E$4:$E$810="Win"),'Match Log'!$D$4:$D$810,"")),IFERROR(LOOKUP(2,1/(('Match Log'!$A$4:$A$810=$A240)*('Match Log'!$E$4:$E$810="Win")),'Match Log'!$D$4:$D$810),""))</f>
        <v/>
      </c>
      <c r="E240" t="str">
        <f>IFERROR(INDEX('Match Log'!$F$4:$F$810,MATCH(216,'Match Log'!$A$4:$A$810,0)),"")</f>
        <v/>
      </c>
      <c r="F240">
        <f>IFERROR(SUMIFS('Match Log'!$I$4:$I$810,'Match Log'!$A$4:$A$810,216,'Match Log'!$E$4:$E$810,"Win"),"")</f>
        <v>0</v>
      </c>
      <c r="G240" t="str">
        <f t="shared" si="31"/>
        <v/>
      </c>
      <c r="H240" t="str">
        <f t="array" ref="H240">IFERROR(IF(COUNTIFS('Match Log'!$A$4:$A$810,$A240,'Match Log'!$E$4:$E$810,"Win")&gt;1,_xlfn.TEXTJOIN(" + ",TRUE,IF(('Match Log'!$A$4:$A$810=$A240)*('Match Log'!$E$4:$E$810="Loss"),'Match Log'!$D$4:$D$810,"")),IF($E240=2,LOOKUP(2,1/(('Match Log'!$A$4:$A$810=$A240)*('Match Log'!$E$4:$E$810="Loss")),'Match Log'!$D$4:$D$810),"the field")),"")</f>
        <v>the field</v>
      </c>
      <c r="I240" t="str">
        <f t="shared" si="32"/>
        <v/>
      </c>
      <c r="J240">
        <v>216</v>
      </c>
      <c r="K240" t="e">
        <f>IF($J240&gt;MAX('Match Log'!$A$4:$A$810),NA(),IFERROR(LOOKUP(2,1/(('Match Log'!$D$4:$D$810=$K$24)*('Match Log'!$A$4:$A$810&lt;=$J240)),'Match Log'!$N$4:$N$810),NA()))</f>
        <v>#N/A</v>
      </c>
      <c r="L240" t="e">
        <f>IF($J240&gt;MAX('Match Log'!$A$4:$A$810),NA(),IFERROR(LOOKUP(2,1/(('Match Log'!$D$4:$D$810=$L$24)*('Match Log'!$A$4:$A$810&lt;=$J240)),'Match Log'!$N$4:$N$810),NA()))</f>
        <v>#N/A</v>
      </c>
      <c r="M240" t="e">
        <f>IF($J240&gt;MAX('Match Log'!$A$4:$A$810),NA(),IFERROR(LOOKUP(2,1/(('Match Log'!$D$4:$D$810=$M$24)*('Match Log'!$A$4:$A$810&lt;=$J240)),'Match Log'!$N$4:$N$810),NA()))</f>
        <v>#N/A</v>
      </c>
      <c r="N240" t="e">
        <f>IF($J240&gt;MAX('Match Log'!$A$4:$A$810),NA(),IFERROR(LOOKUP(2,1/(('Match Log'!$D$4:$D$810=$N$24)*('Match Log'!$A$4:$A$810&lt;=$J240)),'Match Log'!$N$4:$N$810),NA()))</f>
        <v>#N/A</v>
      </c>
      <c r="O240" t="e">
        <f>IF($J240&gt;MAX('Match Log'!$A$4:$A$810),NA(),IFERROR(LOOKUP(2,1/(('Match Log'!$D$4:$D$810=$O$24)*('Match Log'!$A$4:$A$810&lt;=$J240)),'Match Log'!$N$4:$N$810),NA()))</f>
        <v>#N/A</v>
      </c>
      <c r="P240" t="e">
        <f>IF($J240&gt;MAX('Match Log'!$A$4:$A$810),NA(),IFERROR(LOOKUP(2,1/(('Match Log'!$D$4:$D$810=$P$24)*('Match Log'!$A$4:$A$810&lt;=$J240)),'Match Log'!$N$4:$N$810),NA()))</f>
        <v>#N/A</v>
      </c>
      <c r="Q240" t="e">
        <f>IF($J240&gt;MAX('Match Log'!$A$4:$A$810),NA(),IFERROR(LOOKUP(2,1/(('Match Log'!$D$4:$D$810=$Q$24)*('Match Log'!$A$4:$A$810&lt;=$J240)),'Match Log'!$N$4:$N$810),NA()))</f>
        <v>#N/A</v>
      </c>
      <c r="R240" t="e">
        <f>IF($J240&gt;MAX('Match Log'!$A$4:$A$810),NA(),IFERROR(LOOKUP(2,1/(('Match Log'!$D$4:$D$810=$R$24)*('Match Log'!$A$4:$A$810&lt;=$J240)),'Match Log'!$N$4:$N$810),NA()))</f>
        <v>#N/A</v>
      </c>
      <c r="S240" t="e">
        <f>IF($J240&gt;MAX('Match Log'!$A$4:$A$810),NA(),IFERROR(LOOKUP(2,1/(('Match Log'!$D$4:$D$810=$S$24)*('Match Log'!$A$4:$A$810&lt;=$J240)),'Match Log'!$N$4:$N$810),NA()))</f>
        <v>#N/A</v>
      </c>
      <c r="T240" t="e">
        <f>IF($J240&gt;MAX('Match Log'!$A$4:$A$810),NA(),IFERROR(LOOKUP(2,1/(('Match Log'!$D$4:$D$810=$T$24)*('Match Log'!$A$4:$A$810&lt;=$J240)),'Match Log'!$N$4:$N$810),NA()))</f>
        <v>#N/A</v>
      </c>
      <c r="U240" t="e">
        <f>IF($J240&gt;MAX('Match Log'!$A$4:$A$810),NA(),IFERROR(LOOKUP(2,1/(('Match Log'!$D$4:$D$810=$U$24)*('Match Log'!$A$4:$A$810&lt;=$J240)),'Match Log'!$N$4:$N$810),NA()))</f>
        <v>#N/A</v>
      </c>
      <c r="V240" t="e">
        <f>IF($J240&gt;MAX('Match Log'!$A$4:$A$810),NA(),IFERROR(LOOKUP(2,1/(('Match Log'!$D$4:$D$810=$V$24)*('Match Log'!$A$4:$A$810&lt;=$J240)),'Match Log'!$N$4:$N$810),NA()))</f>
        <v>#N/A</v>
      </c>
      <c r="W240" t="e">
        <f>IF($J240&gt;MAX('Match Log'!$A$4:$A$810),NA(),IFERROR(LOOKUP(2,1/(('Match Log'!$D$4:$D$810=$W$24)*('Match Log'!$A$4:$A$810&lt;=$J240)),'Match Log'!$N$4:$N$810),NA()))</f>
        <v>#N/A</v>
      </c>
      <c r="X240" t="e">
        <f>IF($J240&gt;MAX('Match Log'!$A$4:$A$810),NA(),IFERROR(LOOKUP(2,1/(('Match Log'!$D$4:$D$810=$X$24)*('Match Log'!$A$4:$A$810&lt;=$J240)),'Match Log'!$N$4:$N$810),NA()))</f>
        <v>#N/A</v>
      </c>
      <c r="Y240" t="str">
        <f t="shared" ca="1" si="33"/>
        <v/>
      </c>
    </row>
    <row r="241" spans="1:25" x14ac:dyDescent="0.2">
      <c r="A241">
        <v>217</v>
      </c>
      <c r="B241" t="str">
        <f>IFERROR(INDEX('Match Log'!$B$4:$B$810,MATCH(217,'Match Log'!$A$4:$A$810,0)),"")</f>
        <v/>
      </c>
      <c r="C241" t="str">
        <f>IFERROR(INDEX('Match Log'!$C$4:$C$810,MATCH(217,'Match Log'!$A$4:$A$810,0)),"")</f>
        <v/>
      </c>
      <c r="D241" t="str">
        <f t="array" ref="D241">IFERROR(_xlfn.TEXTJOIN(" + ",TRUE,IF(('Match Log'!$A$4:$A$810=$A241)*('Match Log'!$E$4:$E$810="Win"),'Match Log'!$D$4:$D$810,"")),IFERROR(LOOKUP(2,1/(('Match Log'!$A$4:$A$810=$A241)*('Match Log'!$E$4:$E$810="Win")),'Match Log'!$D$4:$D$810),""))</f>
        <v/>
      </c>
      <c r="E241" t="str">
        <f>IFERROR(INDEX('Match Log'!$F$4:$F$810,MATCH(217,'Match Log'!$A$4:$A$810,0)),"")</f>
        <v/>
      </c>
      <c r="F241">
        <f>IFERROR(SUMIFS('Match Log'!$I$4:$I$810,'Match Log'!$A$4:$A$810,217,'Match Log'!$E$4:$E$810,"Win"),"")</f>
        <v>0</v>
      </c>
      <c r="G241" t="str">
        <f t="shared" si="31"/>
        <v/>
      </c>
      <c r="H241" t="str">
        <f t="array" ref="H241">IFERROR(IF(COUNTIFS('Match Log'!$A$4:$A$810,$A241,'Match Log'!$E$4:$E$810,"Win")&gt;1,_xlfn.TEXTJOIN(" + ",TRUE,IF(('Match Log'!$A$4:$A$810=$A241)*('Match Log'!$E$4:$E$810="Loss"),'Match Log'!$D$4:$D$810,"")),IF($E241=2,LOOKUP(2,1/(('Match Log'!$A$4:$A$810=$A241)*('Match Log'!$E$4:$E$810="Loss")),'Match Log'!$D$4:$D$810),"the field")),"")</f>
        <v>the field</v>
      </c>
      <c r="I241" t="str">
        <f t="shared" si="32"/>
        <v/>
      </c>
      <c r="J241">
        <v>217</v>
      </c>
      <c r="K241" t="e">
        <f>IF($J241&gt;MAX('Match Log'!$A$4:$A$810),NA(),IFERROR(LOOKUP(2,1/(('Match Log'!$D$4:$D$810=$K$24)*('Match Log'!$A$4:$A$810&lt;=$J241)),'Match Log'!$N$4:$N$810),NA()))</f>
        <v>#N/A</v>
      </c>
      <c r="L241" t="e">
        <f>IF($J241&gt;MAX('Match Log'!$A$4:$A$810),NA(),IFERROR(LOOKUP(2,1/(('Match Log'!$D$4:$D$810=$L$24)*('Match Log'!$A$4:$A$810&lt;=$J241)),'Match Log'!$N$4:$N$810),NA()))</f>
        <v>#N/A</v>
      </c>
      <c r="M241" t="e">
        <f>IF($J241&gt;MAX('Match Log'!$A$4:$A$810),NA(),IFERROR(LOOKUP(2,1/(('Match Log'!$D$4:$D$810=$M$24)*('Match Log'!$A$4:$A$810&lt;=$J241)),'Match Log'!$N$4:$N$810),NA()))</f>
        <v>#N/A</v>
      </c>
      <c r="N241" t="e">
        <f>IF($J241&gt;MAX('Match Log'!$A$4:$A$810),NA(),IFERROR(LOOKUP(2,1/(('Match Log'!$D$4:$D$810=$N$24)*('Match Log'!$A$4:$A$810&lt;=$J241)),'Match Log'!$N$4:$N$810),NA()))</f>
        <v>#N/A</v>
      </c>
      <c r="O241" t="e">
        <f>IF($J241&gt;MAX('Match Log'!$A$4:$A$810),NA(),IFERROR(LOOKUP(2,1/(('Match Log'!$D$4:$D$810=$O$24)*('Match Log'!$A$4:$A$810&lt;=$J241)),'Match Log'!$N$4:$N$810),NA()))</f>
        <v>#N/A</v>
      </c>
      <c r="P241" t="e">
        <f>IF($J241&gt;MAX('Match Log'!$A$4:$A$810),NA(),IFERROR(LOOKUP(2,1/(('Match Log'!$D$4:$D$810=$P$24)*('Match Log'!$A$4:$A$810&lt;=$J241)),'Match Log'!$N$4:$N$810),NA()))</f>
        <v>#N/A</v>
      </c>
      <c r="Q241" t="e">
        <f>IF($J241&gt;MAX('Match Log'!$A$4:$A$810),NA(),IFERROR(LOOKUP(2,1/(('Match Log'!$D$4:$D$810=$Q$24)*('Match Log'!$A$4:$A$810&lt;=$J241)),'Match Log'!$N$4:$N$810),NA()))</f>
        <v>#N/A</v>
      </c>
      <c r="R241" t="e">
        <f>IF($J241&gt;MAX('Match Log'!$A$4:$A$810),NA(),IFERROR(LOOKUP(2,1/(('Match Log'!$D$4:$D$810=$R$24)*('Match Log'!$A$4:$A$810&lt;=$J241)),'Match Log'!$N$4:$N$810),NA()))</f>
        <v>#N/A</v>
      </c>
      <c r="S241" t="e">
        <f>IF($J241&gt;MAX('Match Log'!$A$4:$A$810),NA(),IFERROR(LOOKUP(2,1/(('Match Log'!$D$4:$D$810=$S$24)*('Match Log'!$A$4:$A$810&lt;=$J241)),'Match Log'!$N$4:$N$810),NA()))</f>
        <v>#N/A</v>
      </c>
      <c r="T241" t="e">
        <f>IF($J241&gt;MAX('Match Log'!$A$4:$A$810),NA(),IFERROR(LOOKUP(2,1/(('Match Log'!$D$4:$D$810=$T$24)*('Match Log'!$A$4:$A$810&lt;=$J241)),'Match Log'!$N$4:$N$810),NA()))</f>
        <v>#N/A</v>
      </c>
      <c r="U241" t="e">
        <f>IF($J241&gt;MAX('Match Log'!$A$4:$A$810),NA(),IFERROR(LOOKUP(2,1/(('Match Log'!$D$4:$D$810=$U$24)*('Match Log'!$A$4:$A$810&lt;=$J241)),'Match Log'!$N$4:$N$810),NA()))</f>
        <v>#N/A</v>
      </c>
      <c r="V241" t="e">
        <f>IF($J241&gt;MAX('Match Log'!$A$4:$A$810),NA(),IFERROR(LOOKUP(2,1/(('Match Log'!$D$4:$D$810=$V$24)*('Match Log'!$A$4:$A$810&lt;=$J241)),'Match Log'!$N$4:$N$810),NA()))</f>
        <v>#N/A</v>
      </c>
      <c r="W241" t="e">
        <f>IF($J241&gt;MAX('Match Log'!$A$4:$A$810),NA(),IFERROR(LOOKUP(2,1/(('Match Log'!$D$4:$D$810=$W$24)*('Match Log'!$A$4:$A$810&lt;=$J241)),'Match Log'!$N$4:$N$810),NA()))</f>
        <v>#N/A</v>
      </c>
      <c r="X241" t="e">
        <f>IF($J241&gt;MAX('Match Log'!$A$4:$A$810),NA(),IFERROR(LOOKUP(2,1/(('Match Log'!$D$4:$D$810=$X$24)*('Match Log'!$A$4:$A$810&lt;=$J241)),'Match Log'!$N$4:$N$810),NA()))</f>
        <v>#N/A</v>
      </c>
      <c r="Y241" t="str">
        <f t="shared" ca="1" si="33"/>
        <v/>
      </c>
    </row>
    <row r="242" spans="1:25" x14ac:dyDescent="0.2">
      <c r="A242">
        <v>218</v>
      </c>
      <c r="B242" t="str">
        <f>IFERROR(INDEX('Match Log'!$B$4:$B$810,MATCH(218,'Match Log'!$A$4:$A$810,0)),"")</f>
        <v/>
      </c>
      <c r="C242" t="str">
        <f>IFERROR(INDEX('Match Log'!$C$4:$C$810,MATCH(218,'Match Log'!$A$4:$A$810,0)),"")</f>
        <v/>
      </c>
      <c r="D242" t="str">
        <f t="array" ref="D242">IFERROR(_xlfn.TEXTJOIN(" + ",TRUE,IF(('Match Log'!$A$4:$A$810=$A242)*('Match Log'!$E$4:$E$810="Win"),'Match Log'!$D$4:$D$810,"")),IFERROR(LOOKUP(2,1/(('Match Log'!$A$4:$A$810=$A242)*('Match Log'!$E$4:$E$810="Win")),'Match Log'!$D$4:$D$810),""))</f>
        <v/>
      </c>
      <c r="E242" t="str">
        <f>IFERROR(INDEX('Match Log'!$F$4:$F$810,MATCH(218,'Match Log'!$A$4:$A$810,0)),"")</f>
        <v/>
      </c>
      <c r="F242">
        <f>IFERROR(SUMIFS('Match Log'!$I$4:$I$810,'Match Log'!$A$4:$A$810,218,'Match Log'!$E$4:$E$810,"Win"),"")</f>
        <v>0</v>
      </c>
      <c r="G242" t="str">
        <f t="shared" si="31"/>
        <v/>
      </c>
      <c r="H242" t="str">
        <f t="array" ref="H242">IFERROR(IF(COUNTIFS('Match Log'!$A$4:$A$810,$A242,'Match Log'!$E$4:$E$810,"Win")&gt;1,_xlfn.TEXTJOIN(" + ",TRUE,IF(('Match Log'!$A$4:$A$810=$A242)*('Match Log'!$E$4:$E$810="Loss"),'Match Log'!$D$4:$D$810,"")),IF($E242=2,LOOKUP(2,1/(('Match Log'!$A$4:$A$810=$A242)*('Match Log'!$E$4:$E$810="Loss")),'Match Log'!$D$4:$D$810),"the field")),"")</f>
        <v>the field</v>
      </c>
      <c r="I242" t="str">
        <f t="shared" si="32"/>
        <v/>
      </c>
      <c r="J242">
        <v>218</v>
      </c>
      <c r="K242" t="e">
        <f>IF($J242&gt;MAX('Match Log'!$A$4:$A$810),NA(),IFERROR(LOOKUP(2,1/(('Match Log'!$D$4:$D$810=$K$24)*('Match Log'!$A$4:$A$810&lt;=$J242)),'Match Log'!$N$4:$N$810),NA()))</f>
        <v>#N/A</v>
      </c>
      <c r="L242" t="e">
        <f>IF($J242&gt;MAX('Match Log'!$A$4:$A$810),NA(),IFERROR(LOOKUP(2,1/(('Match Log'!$D$4:$D$810=$L$24)*('Match Log'!$A$4:$A$810&lt;=$J242)),'Match Log'!$N$4:$N$810),NA()))</f>
        <v>#N/A</v>
      </c>
      <c r="M242" t="e">
        <f>IF($J242&gt;MAX('Match Log'!$A$4:$A$810),NA(),IFERROR(LOOKUP(2,1/(('Match Log'!$D$4:$D$810=$M$24)*('Match Log'!$A$4:$A$810&lt;=$J242)),'Match Log'!$N$4:$N$810),NA()))</f>
        <v>#N/A</v>
      </c>
      <c r="N242" t="e">
        <f>IF($J242&gt;MAX('Match Log'!$A$4:$A$810),NA(),IFERROR(LOOKUP(2,1/(('Match Log'!$D$4:$D$810=$N$24)*('Match Log'!$A$4:$A$810&lt;=$J242)),'Match Log'!$N$4:$N$810),NA()))</f>
        <v>#N/A</v>
      </c>
      <c r="O242" t="e">
        <f>IF($J242&gt;MAX('Match Log'!$A$4:$A$810),NA(),IFERROR(LOOKUP(2,1/(('Match Log'!$D$4:$D$810=$O$24)*('Match Log'!$A$4:$A$810&lt;=$J242)),'Match Log'!$N$4:$N$810),NA()))</f>
        <v>#N/A</v>
      </c>
      <c r="P242" t="e">
        <f>IF($J242&gt;MAX('Match Log'!$A$4:$A$810),NA(),IFERROR(LOOKUP(2,1/(('Match Log'!$D$4:$D$810=$P$24)*('Match Log'!$A$4:$A$810&lt;=$J242)),'Match Log'!$N$4:$N$810),NA()))</f>
        <v>#N/A</v>
      </c>
      <c r="Q242" t="e">
        <f>IF($J242&gt;MAX('Match Log'!$A$4:$A$810),NA(),IFERROR(LOOKUP(2,1/(('Match Log'!$D$4:$D$810=$Q$24)*('Match Log'!$A$4:$A$810&lt;=$J242)),'Match Log'!$N$4:$N$810),NA()))</f>
        <v>#N/A</v>
      </c>
      <c r="R242" t="e">
        <f>IF($J242&gt;MAX('Match Log'!$A$4:$A$810),NA(),IFERROR(LOOKUP(2,1/(('Match Log'!$D$4:$D$810=$R$24)*('Match Log'!$A$4:$A$810&lt;=$J242)),'Match Log'!$N$4:$N$810),NA()))</f>
        <v>#N/A</v>
      </c>
      <c r="S242" t="e">
        <f>IF($J242&gt;MAX('Match Log'!$A$4:$A$810),NA(),IFERROR(LOOKUP(2,1/(('Match Log'!$D$4:$D$810=$S$24)*('Match Log'!$A$4:$A$810&lt;=$J242)),'Match Log'!$N$4:$N$810),NA()))</f>
        <v>#N/A</v>
      </c>
      <c r="T242" t="e">
        <f>IF($J242&gt;MAX('Match Log'!$A$4:$A$810),NA(),IFERROR(LOOKUP(2,1/(('Match Log'!$D$4:$D$810=$T$24)*('Match Log'!$A$4:$A$810&lt;=$J242)),'Match Log'!$N$4:$N$810),NA()))</f>
        <v>#N/A</v>
      </c>
      <c r="U242" t="e">
        <f>IF($J242&gt;MAX('Match Log'!$A$4:$A$810),NA(),IFERROR(LOOKUP(2,1/(('Match Log'!$D$4:$D$810=$U$24)*('Match Log'!$A$4:$A$810&lt;=$J242)),'Match Log'!$N$4:$N$810),NA()))</f>
        <v>#N/A</v>
      </c>
      <c r="V242" t="e">
        <f>IF($J242&gt;MAX('Match Log'!$A$4:$A$810),NA(),IFERROR(LOOKUP(2,1/(('Match Log'!$D$4:$D$810=$V$24)*('Match Log'!$A$4:$A$810&lt;=$J242)),'Match Log'!$N$4:$N$810),NA()))</f>
        <v>#N/A</v>
      </c>
      <c r="W242" t="e">
        <f>IF($J242&gt;MAX('Match Log'!$A$4:$A$810),NA(),IFERROR(LOOKUP(2,1/(('Match Log'!$D$4:$D$810=$W$24)*('Match Log'!$A$4:$A$810&lt;=$J242)),'Match Log'!$N$4:$N$810),NA()))</f>
        <v>#N/A</v>
      </c>
      <c r="X242" t="e">
        <f>IF($J242&gt;MAX('Match Log'!$A$4:$A$810),NA(),IFERROR(LOOKUP(2,1/(('Match Log'!$D$4:$D$810=$X$24)*('Match Log'!$A$4:$A$810&lt;=$J242)),'Match Log'!$N$4:$N$810),NA()))</f>
        <v>#N/A</v>
      </c>
      <c r="Y242" t="str">
        <f t="shared" ca="1" si="33"/>
        <v/>
      </c>
    </row>
    <row r="243" spans="1:25" x14ac:dyDescent="0.2">
      <c r="A243">
        <v>219</v>
      </c>
      <c r="B243" t="str">
        <f>IFERROR(INDEX('Match Log'!$B$4:$B$810,MATCH(219,'Match Log'!$A$4:$A$810,0)),"")</f>
        <v/>
      </c>
      <c r="C243" t="str">
        <f>IFERROR(INDEX('Match Log'!$C$4:$C$810,MATCH(219,'Match Log'!$A$4:$A$810,0)),"")</f>
        <v/>
      </c>
      <c r="D243" t="str">
        <f t="array" ref="D243">IFERROR(_xlfn.TEXTJOIN(" + ",TRUE,IF(('Match Log'!$A$4:$A$810=$A243)*('Match Log'!$E$4:$E$810="Win"),'Match Log'!$D$4:$D$810,"")),IFERROR(LOOKUP(2,1/(('Match Log'!$A$4:$A$810=$A243)*('Match Log'!$E$4:$E$810="Win")),'Match Log'!$D$4:$D$810),""))</f>
        <v/>
      </c>
      <c r="E243" t="str">
        <f>IFERROR(INDEX('Match Log'!$F$4:$F$810,MATCH(219,'Match Log'!$A$4:$A$810,0)),"")</f>
        <v/>
      </c>
      <c r="F243">
        <f>IFERROR(SUMIFS('Match Log'!$I$4:$I$810,'Match Log'!$A$4:$A$810,219,'Match Log'!$E$4:$E$810,"Win"),"")</f>
        <v>0</v>
      </c>
      <c r="G243" t="str">
        <f t="shared" si="31"/>
        <v/>
      </c>
      <c r="H243" t="str">
        <f t="array" ref="H243">IFERROR(IF(COUNTIFS('Match Log'!$A$4:$A$810,$A243,'Match Log'!$E$4:$E$810,"Win")&gt;1,_xlfn.TEXTJOIN(" + ",TRUE,IF(('Match Log'!$A$4:$A$810=$A243)*('Match Log'!$E$4:$E$810="Loss"),'Match Log'!$D$4:$D$810,"")),IF($E243=2,LOOKUP(2,1/(('Match Log'!$A$4:$A$810=$A243)*('Match Log'!$E$4:$E$810="Loss")),'Match Log'!$D$4:$D$810),"the field")),"")</f>
        <v>the field</v>
      </c>
      <c r="I243" t="str">
        <f t="shared" si="32"/>
        <v/>
      </c>
      <c r="J243">
        <v>219</v>
      </c>
      <c r="K243" t="e">
        <f>IF($J243&gt;MAX('Match Log'!$A$4:$A$810),NA(),IFERROR(LOOKUP(2,1/(('Match Log'!$D$4:$D$810=$K$24)*('Match Log'!$A$4:$A$810&lt;=$J243)),'Match Log'!$N$4:$N$810),NA()))</f>
        <v>#N/A</v>
      </c>
      <c r="L243" t="e">
        <f>IF($J243&gt;MAX('Match Log'!$A$4:$A$810),NA(),IFERROR(LOOKUP(2,1/(('Match Log'!$D$4:$D$810=$L$24)*('Match Log'!$A$4:$A$810&lt;=$J243)),'Match Log'!$N$4:$N$810),NA()))</f>
        <v>#N/A</v>
      </c>
      <c r="M243" t="e">
        <f>IF($J243&gt;MAX('Match Log'!$A$4:$A$810),NA(),IFERROR(LOOKUP(2,1/(('Match Log'!$D$4:$D$810=$M$24)*('Match Log'!$A$4:$A$810&lt;=$J243)),'Match Log'!$N$4:$N$810),NA()))</f>
        <v>#N/A</v>
      </c>
      <c r="N243" t="e">
        <f>IF($J243&gt;MAX('Match Log'!$A$4:$A$810),NA(),IFERROR(LOOKUP(2,1/(('Match Log'!$D$4:$D$810=$N$24)*('Match Log'!$A$4:$A$810&lt;=$J243)),'Match Log'!$N$4:$N$810),NA()))</f>
        <v>#N/A</v>
      </c>
      <c r="O243" t="e">
        <f>IF($J243&gt;MAX('Match Log'!$A$4:$A$810),NA(),IFERROR(LOOKUP(2,1/(('Match Log'!$D$4:$D$810=$O$24)*('Match Log'!$A$4:$A$810&lt;=$J243)),'Match Log'!$N$4:$N$810),NA()))</f>
        <v>#N/A</v>
      </c>
      <c r="P243" t="e">
        <f>IF($J243&gt;MAX('Match Log'!$A$4:$A$810),NA(),IFERROR(LOOKUP(2,1/(('Match Log'!$D$4:$D$810=$P$24)*('Match Log'!$A$4:$A$810&lt;=$J243)),'Match Log'!$N$4:$N$810),NA()))</f>
        <v>#N/A</v>
      </c>
      <c r="Q243" t="e">
        <f>IF($J243&gt;MAX('Match Log'!$A$4:$A$810),NA(),IFERROR(LOOKUP(2,1/(('Match Log'!$D$4:$D$810=$Q$24)*('Match Log'!$A$4:$A$810&lt;=$J243)),'Match Log'!$N$4:$N$810),NA()))</f>
        <v>#N/A</v>
      </c>
      <c r="R243" t="e">
        <f>IF($J243&gt;MAX('Match Log'!$A$4:$A$810),NA(),IFERROR(LOOKUP(2,1/(('Match Log'!$D$4:$D$810=$R$24)*('Match Log'!$A$4:$A$810&lt;=$J243)),'Match Log'!$N$4:$N$810),NA()))</f>
        <v>#N/A</v>
      </c>
      <c r="S243" t="e">
        <f>IF($J243&gt;MAX('Match Log'!$A$4:$A$810),NA(),IFERROR(LOOKUP(2,1/(('Match Log'!$D$4:$D$810=$S$24)*('Match Log'!$A$4:$A$810&lt;=$J243)),'Match Log'!$N$4:$N$810),NA()))</f>
        <v>#N/A</v>
      </c>
      <c r="T243" t="e">
        <f>IF($J243&gt;MAX('Match Log'!$A$4:$A$810),NA(),IFERROR(LOOKUP(2,1/(('Match Log'!$D$4:$D$810=$T$24)*('Match Log'!$A$4:$A$810&lt;=$J243)),'Match Log'!$N$4:$N$810),NA()))</f>
        <v>#N/A</v>
      </c>
      <c r="U243" t="e">
        <f>IF($J243&gt;MAX('Match Log'!$A$4:$A$810),NA(),IFERROR(LOOKUP(2,1/(('Match Log'!$D$4:$D$810=$U$24)*('Match Log'!$A$4:$A$810&lt;=$J243)),'Match Log'!$N$4:$N$810),NA()))</f>
        <v>#N/A</v>
      </c>
      <c r="V243" t="e">
        <f>IF($J243&gt;MAX('Match Log'!$A$4:$A$810),NA(),IFERROR(LOOKUP(2,1/(('Match Log'!$D$4:$D$810=$V$24)*('Match Log'!$A$4:$A$810&lt;=$J243)),'Match Log'!$N$4:$N$810),NA()))</f>
        <v>#N/A</v>
      </c>
      <c r="W243" t="e">
        <f>IF($J243&gt;MAX('Match Log'!$A$4:$A$810),NA(),IFERROR(LOOKUP(2,1/(('Match Log'!$D$4:$D$810=$W$24)*('Match Log'!$A$4:$A$810&lt;=$J243)),'Match Log'!$N$4:$N$810),NA()))</f>
        <v>#N/A</v>
      </c>
      <c r="X243" t="e">
        <f>IF($J243&gt;MAX('Match Log'!$A$4:$A$810),NA(),IFERROR(LOOKUP(2,1/(('Match Log'!$D$4:$D$810=$X$24)*('Match Log'!$A$4:$A$810&lt;=$J243)),'Match Log'!$N$4:$N$810),NA()))</f>
        <v>#N/A</v>
      </c>
      <c r="Y243" t="str">
        <f t="shared" ca="1" si="33"/>
        <v/>
      </c>
    </row>
    <row r="244" spans="1:25" x14ac:dyDescent="0.2">
      <c r="A244">
        <v>220</v>
      </c>
      <c r="B244" t="str">
        <f>IFERROR(INDEX('Match Log'!$B$4:$B$810,MATCH(220,'Match Log'!$A$4:$A$810,0)),"")</f>
        <v/>
      </c>
      <c r="C244" t="str">
        <f>IFERROR(INDEX('Match Log'!$C$4:$C$810,MATCH(220,'Match Log'!$A$4:$A$810,0)),"")</f>
        <v/>
      </c>
      <c r="D244" t="str">
        <f t="array" ref="D244">IFERROR(_xlfn.TEXTJOIN(" + ",TRUE,IF(('Match Log'!$A$4:$A$810=$A244)*('Match Log'!$E$4:$E$810="Win"),'Match Log'!$D$4:$D$810,"")),IFERROR(LOOKUP(2,1/(('Match Log'!$A$4:$A$810=$A244)*('Match Log'!$E$4:$E$810="Win")),'Match Log'!$D$4:$D$810),""))</f>
        <v/>
      </c>
      <c r="E244" t="str">
        <f>IFERROR(INDEX('Match Log'!$F$4:$F$810,MATCH(220,'Match Log'!$A$4:$A$810,0)),"")</f>
        <v/>
      </c>
      <c r="F244">
        <f>IFERROR(SUMIFS('Match Log'!$I$4:$I$810,'Match Log'!$A$4:$A$810,220,'Match Log'!$E$4:$E$810,"Win"),"")</f>
        <v>0</v>
      </c>
      <c r="G244" t="str">
        <f t="shared" si="31"/>
        <v/>
      </c>
      <c r="H244" t="str">
        <f t="array" ref="H244">IFERROR(IF(COUNTIFS('Match Log'!$A$4:$A$810,$A244,'Match Log'!$E$4:$E$810,"Win")&gt;1,_xlfn.TEXTJOIN(" + ",TRUE,IF(('Match Log'!$A$4:$A$810=$A244)*('Match Log'!$E$4:$E$810="Loss"),'Match Log'!$D$4:$D$810,"")),IF($E244=2,LOOKUP(2,1/(('Match Log'!$A$4:$A$810=$A244)*('Match Log'!$E$4:$E$810="Loss")),'Match Log'!$D$4:$D$810),"the field")),"")</f>
        <v>the field</v>
      </c>
      <c r="I244" t="str">
        <f t="shared" si="32"/>
        <v/>
      </c>
      <c r="J244">
        <v>220</v>
      </c>
      <c r="K244" t="e">
        <f>IF($J244&gt;MAX('Match Log'!$A$4:$A$810),NA(),IFERROR(LOOKUP(2,1/(('Match Log'!$D$4:$D$810=$K$24)*('Match Log'!$A$4:$A$810&lt;=$J244)),'Match Log'!$N$4:$N$810),NA()))</f>
        <v>#N/A</v>
      </c>
      <c r="L244" t="e">
        <f>IF($J244&gt;MAX('Match Log'!$A$4:$A$810),NA(),IFERROR(LOOKUP(2,1/(('Match Log'!$D$4:$D$810=$L$24)*('Match Log'!$A$4:$A$810&lt;=$J244)),'Match Log'!$N$4:$N$810),NA()))</f>
        <v>#N/A</v>
      </c>
      <c r="M244" t="e">
        <f>IF($J244&gt;MAX('Match Log'!$A$4:$A$810),NA(),IFERROR(LOOKUP(2,1/(('Match Log'!$D$4:$D$810=$M$24)*('Match Log'!$A$4:$A$810&lt;=$J244)),'Match Log'!$N$4:$N$810),NA()))</f>
        <v>#N/A</v>
      </c>
      <c r="N244" t="e">
        <f>IF($J244&gt;MAX('Match Log'!$A$4:$A$810),NA(),IFERROR(LOOKUP(2,1/(('Match Log'!$D$4:$D$810=$N$24)*('Match Log'!$A$4:$A$810&lt;=$J244)),'Match Log'!$N$4:$N$810),NA()))</f>
        <v>#N/A</v>
      </c>
      <c r="O244" t="e">
        <f>IF($J244&gt;MAX('Match Log'!$A$4:$A$810),NA(),IFERROR(LOOKUP(2,1/(('Match Log'!$D$4:$D$810=$O$24)*('Match Log'!$A$4:$A$810&lt;=$J244)),'Match Log'!$N$4:$N$810),NA()))</f>
        <v>#N/A</v>
      </c>
      <c r="P244" t="e">
        <f>IF($J244&gt;MAX('Match Log'!$A$4:$A$810),NA(),IFERROR(LOOKUP(2,1/(('Match Log'!$D$4:$D$810=$P$24)*('Match Log'!$A$4:$A$810&lt;=$J244)),'Match Log'!$N$4:$N$810),NA()))</f>
        <v>#N/A</v>
      </c>
      <c r="Q244" t="e">
        <f>IF($J244&gt;MAX('Match Log'!$A$4:$A$810),NA(),IFERROR(LOOKUP(2,1/(('Match Log'!$D$4:$D$810=$Q$24)*('Match Log'!$A$4:$A$810&lt;=$J244)),'Match Log'!$N$4:$N$810),NA()))</f>
        <v>#N/A</v>
      </c>
      <c r="R244" t="e">
        <f>IF($J244&gt;MAX('Match Log'!$A$4:$A$810),NA(),IFERROR(LOOKUP(2,1/(('Match Log'!$D$4:$D$810=$R$24)*('Match Log'!$A$4:$A$810&lt;=$J244)),'Match Log'!$N$4:$N$810),NA()))</f>
        <v>#N/A</v>
      </c>
      <c r="S244" t="e">
        <f>IF($J244&gt;MAX('Match Log'!$A$4:$A$810),NA(),IFERROR(LOOKUP(2,1/(('Match Log'!$D$4:$D$810=$S$24)*('Match Log'!$A$4:$A$810&lt;=$J244)),'Match Log'!$N$4:$N$810),NA()))</f>
        <v>#N/A</v>
      </c>
      <c r="T244" t="e">
        <f>IF($J244&gt;MAX('Match Log'!$A$4:$A$810),NA(),IFERROR(LOOKUP(2,1/(('Match Log'!$D$4:$D$810=$T$24)*('Match Log'!$A$4:$A$810&lt;=$J244)),'Match Log'!$N$4:$N$810),NA()))</f>
        <v>#N/A</v>
      </c>
      <c r="U244" t="e">
        <f>IF($J244&gt;MAX('Match Log'!$A$4:$A$810),NA(),IFERROR(LOOKUP(2,1/(('Match Log'!$D$4:$D$810=$U$24)*('Match Log'!$A$4:$A$810&lt;=$J244)),'Match Log'!$N$4:$N$810),NA()))</f>
        <v>#N/A</v>
      </c>
      <c r="V244" t="e">
        <f>IF($J244&gt;MAX('Match Log'!$A$4:$A$810),NA(),IFERROR(LOOKUP(2,1/(('Match Log'!$D$4:$D$810=$V$24)*('Match Log'!$A$4:$A$810&lt;=$J244)),'Match Log'!$N$4:$N$810),NA()))</f>
        <v>#N/A</v>
      </c>
      <c r="W244" t="e">
        <f>IF($J244&gt;MAX('Match Log'!$A$4:$A$810),NA(),IFERROR(LOOKUP(2,1/(('Match Log'!$D$4:$D$810=$W$24)*('Match Log'!$A$4:$A$810&lt;=$J244)),'Match Log'!$N$4:$N$810),NA()))</f>
        <v>#N/A</v>
      </c>
      <c r="X244" t="e">
        <f>IF($J244&gt;MAX('Match Log'!$A$4:$A$810),NA(),IFERROR(LOOKUP(2,1/(('Match Log'!$D$4:$D$810=$X$24)*('Match Log'!$A$4:$A$810&lt;=$J244)),'Match Log'!$N$4:$N$810),NA()))</f>
        <v>#N/A</v>
      </c>
      <c r="Y244" t="str">
        <f t="shared" ca="1" si="33"/>
        <v/>
      </c>
    </row>
    <row r="245" spans="1:25" x14ac:dyDescent="0.2">
      <c r="A245">
        <v>221</v>
      </c>
      <c r="B245" t="str">
        <f>IFERROR(INDEX('Match Log'!$B$4:$B$810,MATCH(221,'Match Log'!$A$4:$A$810,0)),"")</f>
        <v/>
      </c>
      <c r="C245" t="str">
        <f>IFERROR(INDEX('Match Log'!$C$4:$C$810,MATCH(221,'Match Log'!$A$4:$A$810,0)),"")</f>
        <v/>
      </c>
      <c r="D245" t="str">
        <f t="array" ref="D245">IFERROR(_xlfn.TEXTJOIN(" + ",TRUE,IF(('Match Log'!$A$4:$A$810=$A245)*('Match Log'!$E$4:$E$810="Win"),'Match Log'!$D$4:$D$810,"")),IFERROR(LOOKUP(2,1/(('Match Log'!$A$4:$A$810=$A245)*('Match Log'!$E$4:$E$810="Win")),'Match Log'!$D$4:$D$810),""))</f>
        <v/>
      </c>
      <c r="E245" t="str">
        <f>IFERROR(INDEX('Match Log'!$F$4:$F$810,MATCH(221,'Match Log'!$A$4:$A$810,0)),"")</f>
        <v/>
      </c>
      <c r="F245">
        <f>IFERROR(SUMIFS('Match Log'!$I$4:$I$810,'Match Log'!$A$4:$A$810,221,'Match Log'!$E$4:$E$810,"Win"),"")</f>
        <v>0</v>
      </c>
      <c r="G245" t="str">
        <f t="shared" si="31"/>
        <v/>
      </c>
      <c r="H245" t="str">
        <f t="array" ref="H245">IFERROR(IF(COUNTIFS('Match Log'!$A$4:$A$810,$A245,'Match Log'!$E$4:$E$810,"Win")&gt;1,_xlfn.TEXTJOIN(" + ",TRUE,IF(('Match Log'!$A$4:$A$810=$A245)*('Match Log'!$E$4:$E$810="Loss"),'Match Log'!$D$4:$D$810,"")),IF($E245=2,LOOKUP(2,1/(('Match Log'!$A$4:$A$810=$A245)*('Match Log'!$E$4:$E$810="Loss")),'Match Log'!$D$4:$D$810),"the field")),"")</f>
        <v>the field</v>
      </c>
      <c r="I245" t="str">
        <f t="shared" si="32"/>
        <v/>
      </c>
      <c r="J245">
        <v>221</v>
      </c>
      <c r="K245" t="e">
        <f>IF($J245&gt;MAX('Match Log'!$A$4:$A$810),NA(),IFERROR(LOOKUP(2,1/(('Match Log'!$D$4:$D$810=$K$24)*('Match Log'!$A$4:$A$810&lt;=$J245)),'Match Log'!$N$4:$N$810),NA()))</f>
        <v>#N/A</v>
      </c>
      <c r="L245" t="e">
        <f>IF($J245&gt;MAX('Match Log'!$A$4:$A$810),NA(),IFERROR(LOOKUP(2,1/(('Match Log'!$D$4:$D$810=$L$24)*('Match Log'!$A$4:$A$810&lt;=$J245)),'Match Log'!$N$4:$N$810),NA()))</f>
        <v>#N/A</v>
      </c>
      <c r="M245" t="e">
        <f>IF($J245&gt;MAX('Match Log'!$A$4:$A$810),NA(),IFERROR(LOOKUP(2,1/(('Match Log'!$D$4:$D$810=$M$24)*('Match Log'!$A$4:$A$810&lt;=$J245)),'Match Log'!$N$4:$N$810),NA()))</f>
        <v>#N/A</v>
      </c>
      <c r="N245" t="e">
        <f>IF($J245&gt;MAX('Match Log'!$A$4:$A$810),NA(),IFERROR(LOOKUP(2,1/(('Match Log'!$D$4:$D$810=$N$24)*('Match Log'!$A$4:$A$810&lt;=$J245)),'Match Log'!$N$4:$N$810),NA()))</f>
        <v>#N/A</v>
      </c>
      <c r="O245" t="e">
        <f>IF($J245&gt;MAX('Match Log'!$A$4:$A$810),NA(),IFERROR(LOOKUP(2,1/(('Match Log'!$D$4:$D$810=$O$24)*('Match Log'!$A$4:$A$810&lt;=$J245)),'Match Log'!$N$4:$N$810),NA()))</f>
        <v>#N/A</v>
      </c>
      <c r="P245" t="e">
        <f>IF($J245&gt;MAX('Match Log'!$A$4:$A$810),NA(),IFERROR(LOOKUP(2,1/(('Match Log'!$D$4:$D$810=$P$24)*('Match Log'!$A$4:$A$810&lt;=$J245)),'Match Log'!$N$4:$N$810),NA()))</f>
        <v>#N/A</v>
      </c>
      <c r="Q245" t="e">
        <f>IF($J245&gt;MAX('Match Log'!$A$4:$A$810),NA(),IFERROR(LOOKUP(2,1/(('Match Log'!$D$4:$D$810=$Q$24)*('Match Log'!$A$4:$A$810&lt;=$J245)),'Match Log'!$N$4:$N$810),NA()))</f>
        <v>#N/A</v>
      </c>
      <c r="R245" t="e">
        <f>IF($J245&gt;MAX('Match Log'!$A$4:$A$810),NA(),IFERROR(LOOKUP(2,1/(('Match Log'!$D$4:$D$810=$R$24)*('Match Log'!$A$4:$A$810&lt;=$J245)),'Match Log'!$N$4:$N$810),NA()))</f>
        <v>#N/A</v>
      </c>
      <c r="S245" t="e">
        <f>IF($J245&gt;MAX('Match Log'!$A$4:$A$810),NA(),IFERROR(LOOKUP(2,1/(('Match Log'!$D$4:$D$810=$S$24)*('Match Log'!$A$4:$A$810&lt;=$J245)),'Match Log'!$N$4:$N$810),NA()))</f>
        <v>#N/A</v>
      </c>
      <c r="T245" t="e">
        <f>IF($J245&gt;MAX('Match Log'!$A$4:$A$810),NA(),IFERROR(LOOKUP(2,1/(('Match Log'!$D$4:$D$810=$T$24)*('Match Log'!$A$4:$A$810&lt;=$J245)),'Match Log'!$N$4:$N$810),NA()))</f>
        <v>#N/A</v>
      </c>
      <c r="U245" t="e">
        <f>IF($J245&gt;MAX('Match Log'!$A$4:$A$810),NA(),IFERROR(LOOKUP(2,1/(('Match Log'!$D$4:$D$810=$U$24)*('Match Log'!$A$4:$A$810&lt;=$J245)),'Match Log'!$N$4:$N$810),NA()))</f>
        <v>#N/A</v>
      </c>
      <c r="V245" t="e">
        <f>IF($J245&gt;MAX('Match Log'!$A$4:$A$810),NA(),IFERROR(LOOKUP(2,1/(('Match Log'!$D$4:$D$810=$V$24)*('Match Log'!$A$4:$A$810&lt;=$J245)),'Match Log'!$N$4:$N$810),NA()))</f>
        <v>#N/A</v>
      </c>
      <c r="W245" t="e">
        <f>IF($J245&gt;MAX('Match Log'!$A$4:$A$810),NA(),IFERROR(LOOKUP(2,1/(('Match Log'!$D$4:$D$810=$W$24)*('Match Log'!$A$4:$A$810&lt;=$J245)),'Match Log'!$N$4:$N$810),NA()))</f>
        <v>#N/A</v>
      </c>
      <c r="X245" t="e">
        <f>IF($J245&gt;MAX('Match Log'!$A$4:$A$810),NA(),IFERROR(LOOKUP(2,1/(('Match Log'!$D$4:$D$810=$X$24)*('Match Log'!$A$4:$A$810&lt;=$J245)),'Match Log'!$N$4:$N$810),NA()))</f>
        <v>#N/A</v>
      </c>
      <c r="Y245" t="str">
        <f t="shared" ca="1" si="33"/>
        <v/>
      </c>
    </row>
    <row r="246" spans="1:25" x14ac:dyDescent="0.2">
      <c r="A246">
        <v>222</v>
      </c>
      <c r="B246" t="str">
        <f>IFERROR(INDEX('Match Log'!$B$4:$B$810,MATCH(222,'Match Log'!$A$4:$A$810,0)),"")</f>
        <v/>
      </c>
      <c r="C246" t="str">
        <f>IFERROR(INDEX('Match Log'!$C$4:$C$810,MATCH(222,'Match Log'!$A$4:$A$810,0)),"")</f>
        <v/>
      </c>
      <c r="D246" t="str">
        <f t="array" ref="D246">IFERROR(_xlfn.TEXTJOIN(" + ",TRUE,IF(('Match Log'!$A$4:$A$810=$A246)*('Match Log'!$E$4:$E$810="Win"),'Match Log'!$D$4:$D$810,"")),IFERROR(LOOKUP(2,1/(('Match Log'!$A$4:$A$810=$A246)*('Match Log'!$E$4:$E$810="Win")),'Match Log'!$D$4:$D$810),""))</f>
        <v/>
      </c>
      <c r="E246" t="str">
        <f>IFERROR(INDEX('Match Log'!$F$4:$F$810,MATCH(222,'Match Log'!$A$4:$A$810,0)),"")</f>
        <v/>
      </c>
      <c r="F246">
        <f>IFERROR(SUMIFS('Match Log'!$I$4:$I$810,'Match Log'!$A$4:$A$810,222,'Match Log'!$E$4:$E$810,"Win"),"")</f>
        <v>0</v>
      </c>
      <c r="G246" t="str">
        <f t="shared" si="31"/>
        <v/>
      </c>
      <c r="H246" t="str">
        <f t="array" ref="H246">IFERROR(IF(COUNTIFS('Match Log'!$A$4:$A$810,$A246,'Match Log'!$E$4:$E$810,"Win")&gt;1,_xlfn.TEXTJOIN(" + ",TRUE,IF(('Match Log'!$A$4:$A$810=$A246)*('Match Log'!$E$4:$E$810="Loss"),'Match Log'!$D$4:$D$810,"")),IF($E246=2,LOOKUP(2,1/(('Match Log'!$A$4:$A$810=$A246)*('Match Log'!$E$4:$E$810="Loss")),'Match Log'!$D$4:$D$810),"the field")),"")</f>
        <v>the field</v>
      </c>
      <c r="I246" t="str">
        <f t="shared" si="32"/>
        <v/>
      </c>
      <c r="J246">
        <v>222</v>
      </c>
      <c r="K246" t="e">
        <f>IF($J246&gt;MAX('Match Log'!$A$4:$A$810),NA(),IFERROR(LOOKUP(2,1/(('Match Log'!$D$4:$D$810=$K$24)*('Match Log'!$A$4:$A$810&lt;=$J246)),'Match Log'!$N$4:$N$810),NA()))</f>
        <v>#N/A</v>
      </c>
      <c r="L246" t="e">
        <f>IF($J246&gt;MAX('Match Log'!$A$4:$A$810),NA(),IFERROR(LOOKUP(2,1/(('Match Log'!$D$4:$D$810=$L$24)*('Match Log'!$A$4:$A$810&lt;=$J246)),'Match Log'!$N$4:$N$810),NA()))</f>
        <v>#N/A</v>
      </c>
      <c r="M246" t="e">
        <f>IF($J246&gt;MAX('Match Log'!$A$4:$A$810),NA(),IFERROR(LOOKUP(2,1/(('Match Log'!$D$4:$D$810=$M$24)*('Match Log'!$A$4:$A$810&lt;=$J246)),'Match Log'!$N$4:$N$810),NA()))</f>
        <v>#N/A</v>
      </c>
      <c r="N246" t="e">
        <f>IF($J246&gt;MAX('Match Log'!$A$4:$A$810),NA(),IFERROR(LOOKUP(2,1/(('Match Log'!$D$4:$D$810=$N$24)*('Match Log'!$A$4:$A$810&lt;=$J246)),'Match Log'!$N$4:$N$810),NA()))</f>
        <v>#N/A</v>
      </c>
      <c r="O246" t="e">
        <f>IF($J246&gt;MAX('Match Log'!$A$4:$A$810),NA(),IFERROR(LOOKUP(2,1/(('Match Log'!$D$4:$D$810=$O$24)*('Match Log'!$A$4:$A$810&lt;=$J246)),'Match Log'!$N$4:$N$810),NA()))</f>
        <v>#N/A</v>
      </c>
      <c r="P246" t="e">
        <f>IF($J246&gt;MAX('Match Log'!$A$4:$A$810),NA(),IFERROR(LOOKUP(2,1/(('Match Log'!$D$4:$D$810=$P$24)*('Match Log'!$A$4:$A$810&lt;=$J246)),'Match Log'!$N$4:$N$810),NA()))</f>
        <v>#N/A</v>
      </c>
      <c r="Q246" t="e">
        <f>IF($J246&gt;MAX('Match Log'!$A$4:$A$810),NA(),IFERROR(LOOKUP(2,1/(('Match Log'!$D$4:$D$810=$Q$24)*('Match Log'!$A$4:$A$810&lt;=$J246)),'Match Log'!$N$4:$N$810),NA()))</f>
        <v>#N/A</v>
      </c>
      <c r="R246" t="e">
        <f>IF($J246&gt;MAX('Match Log'!$A$4:$A$810),NA(),IFERROR(LOOKUP(2,1/(('Match Log'!$D$4:$D$810=$R$24)*('Match Log'!$A$4:$A$810&lt;=$J246)),'Match Log'!$N$4:$N$810),NA()))</f>
        <v>#N/A</v>
      </c>
      <c r="S246" t="e">
        <f>IF($J246&gt;MAX('Match Log'!$A$4:$A$810),NA(),IFERROR(LOOKUP(2,1/(('Match Log'!$D$4:$D$810=$S$24)*('Match Log'!$A$4:$A$810&lt;=$J246)),'Match Log'!$N$4:$N$810),NA()))</f>
        <v>#N/A</v>
      </c>
      <c r="T246" t="e">
        <f>IF($J246&gt;MAX('Match Log'!$A$4:$A$810),NA(),IFERROR(LOOKUP(2,1/(('Match Log'!$D$4:$D$810=$T$24)*('Match Log'!$A$4:$A$810&lt;=$J246)),'Match Log'!$N$4:$N$810),NA()))</f>
        <v>#N/A</v>
      </c>
      <c r="U246" t="e">
        <f>IF($J246&gt;MAX('Match Log'!$A$4:$A$810),NA(),IFERROR(LOOKUP(2,1/(('Match Log'!$D$4:$D$810=$U$24)*('Match Log'!$A$4:$A$810&lt;=$J246)),'Match Log'!$N$4:$N$810),NA()))</f>
        <v>#N/A</v>
      </c>
      <c r="V246" t="e">
        <f>IF($J246&gt;MAX('Match Log'!$A$4:$A$810),NA(),IFERROR(LOOKUP(2,1/(('Match Log'!$D$4:$D$810=$V$24)*('Match Log'!$A$4:$A$810&lt;=$J246)),'Match Log'!$N$4:$N$810),NA()))</f>
        <v>#N/A</v>
      </c>
      <c r="W246" t="e">
        <f>IF($J246&gt;MAX('Match Log'!$A$4:$A$810),NA(),IFERROR(LOOKUP(2,1/(('Match Log'!$D$4:$D$810=$W$24)*('Match Log'!$A$4:$A$810&lt;=$J246)),'Match Log'!$N$4:$N$810),NA()))</f>
        <v>#N/A</v>
      </c>
      <c r="X246" t="e">
        <f>IF($J246&gt;MAX('Match Log'!$A$4:$A$810),NA(),IFERROR(LOOKUP(2,1/(('Match Log'!$D$4:$D$810=$X$24)*('Match Log'!$A$4:$A$810&lt;=$J246)),'Match Log'!$N$4:$N$810),NA()))</f>
        <v>#N/A</v>
      </c>
      <c r="Y246" t="str">
        <f t="shared" ca="1" si="33"/>
        <v/>
      </c>
    </row>
    <row r="247" spans="1:25" x14ac:dyDescent="0.2">
      <c r="A247">
        <v>223</v>
      </c>
      <c r="B247" t="str">
        <f>IFERROR(INDEX('Match Log'!$B$4:$B$810,MATCH(223,'Match Log'!$A$4:$A$810,0)),"")</f>
        <v/>
      </c>
      <c r="C247" t="str">
        <f>IFERROR(INDEX('Match Log'!$C$4:$C$810,MATCH(223,'Match Log'!$A$4:$A$810,0)),"")</f>
        <v/>
      </c>
      <c r="D247" t="str">
        <f t="array" ref="D247">IFERROR(_xlfn.TEXTJOIN(" + ",TRUE,IF(('Match Log'!$A$4:$A$810=$A247)*('Match Log'!$E$4:$E$810="Win"),'Match Log'!$D$4:$D$810,"")),IFERROR(LOOKUP(2,1/(('Match Log'!$A$4:$A$810=$A247)*('Match Log'!$E$4:$E$810="Win")),'Match Log'!$D$4:$D$810),""))</f>
        <v/>
      </c>
      <c r="E247" t="str">
        <f>IFERROR(INDEX('Match Log'!$F$4:$F$810,MATCH(223,'Match Log'!$A$4:$A$810,0)),"")</f>
        <v/>
      </c>
      <c r="F247">
        <f>IFERROR(SUMIFS('Match Log'!$I$4:$I$810,'Match Log'!$A$4:$A$810,223,'Match Log'!$E$4:$E$810,"Win"),"")</f>
        <v>0</v>
      </c>
      <c r="G247" t="str">
        <f t="shared" si="31"/>
        <v/>
      </c>
      <c r="H247" t="str">
        <f t="array" ref="H247">IFERROR(IF(COUNTIFS('Match Log'!$A$4:$A$810,$A247,'Match Log'!$E$4:$E$810,"Win")&gt;1,_xlfn.TEXTJOIN(" + ",TRUE,IF(('Match Log'!$A$4:$A$810=$A247)*('Match Log'!$E$4:$E$810="Loss"),'Match Log'!$D$4:$D$810,"")),IF($E247=2,LOOKUP(2,1/(('Match Log'!$A$4:$A$810=$A247)*('Match Log'!$E$4:$E$810="Loss")),'Match Log'!$D$4:$D$810),"the field")),"")</f>
        <v>the field</v>
      </c>
      <c r="I247" t="str">
        <f t="shared" si="32"/>
        <v/>
      </c>
      <c r="J247">
        <v>223</v>
      </c>
      <c r="K247" t="e">
        <f>IF($J247&gt;MAX('Match Log'!$A$4:$A$810),NA(),IFERROR(LOOKUP(2,1/(('Match Log'!$D$4:$D$810=$K$24)*('Match Log'!$A$4:$A$810&lt;=$J247)),'Match Log'!$N$4:$N$810),NA()))</f>
        <v>#N/A</v>
      </c>
      <c r="L247" t="e">
        <f>IF($J247&gt;MAX('Match Log'!$A$4:$A$810),NA(),IFERROR(LOOKUP(2,1/(('Match Log'!$D$4:$D$810=$L$24)*('Match Log'!$A$4:$A$810&lt;=$J247)),'Match Log'!$N$4:$N$810),NA()))</f>
        <v>#N/A</v>
      </c>
      <c r="M247" t="e">
        <f>IF($J247&gt;MAX('Match Log'!$A$4:$A$810),NA(),IFERROR(LOOKUP(2,1/(('Match Log'!$D$4:$D$810=$M$24)*('Match Log'!$A$4:$A$810&lt;=$J247)),'Match Log'!$N$4:$N$810),NA()))</f>
        <v>#N/A</v>
      </c>
      <c r="N247" t="e">
        <f>IF($J247&gt;MAX('Match Log'!$A$4:$A$810),NA(),IFERROR(LOOKUP(2,1/(('Match Log'!$D$4:$D$810=$N$24)*('Match Log'!$A$4:$A$810&lt;=$J247)),'Match Log'!$N$4:$N$810),NA()))</f>
        <v>#N/A</v>
      </c>
      <c r="O247" t="e">
        <f>IF($J247&gt;MAX('Match Log'!$A$4:$A$810),NA(),IFERROR(LOOKUP(2,1/(('Match Log'!$D$4:$D$810=$O$24)*('Match Log'!$A$4:$A$810&lt;=$J247)),'Match Log'!$N$4:$N$810),NA()))</f>
        <v>#N/A</v>
      </c>
      <c r="P247" t="e">
        <f>IF($J247&gt;MAX('Match Log'!$A$4:$A$810),NA(),IFERROR(LOOKUP(2,1/(('Match Log'!$D$4:$D$810=$P$24)*('Match Log'!$A$4:$A$810&lt;=$J247)),'Match Log'!$N$4:$N$810),NA()))</f>
        <v>#N/A</v>
      </c>
      <c r="Q247" t="e">
        <f>IF($J247&gt;MAX('Match Log'!$A$4:$A$810),NA(),IFERROR(LOOKUP(2,1/(('Match Log'!$D$4:$D$810=$Q$24)*('Match Log'!$A$4:$A$810&lt;=$J247)),'Match Log'!$N$4:$N$810),NA()))</f>
        <v>#N/A</v>
      </c>
      <c r="R247" t="e">
        <f>IF($J247&gt;MAX('Match Log'!$A$4:$A$810),NA(),IFERROR(LOOKUP(2,1/(('Match Log'!$D$4:$D$810=$R$24)*('Match Log'!$A$4:$A$810&lt;=$J247)),'Match Log'!$N$4:$N$810),NA()))</f>
        <v>#N/A</v>
      </c>
      <c r="S247" t="e">
        <f>IF($J247&gt;MAX('Match Log'!$A$4:$A$810),NA(),IFERROR(LOOKUP(2,1/(('Match Log'!$D$4:$D$810=$S$24)*('Match Log'!$A$4:$A$810&lt;=$J247)),'Match Log'!$N$4:$N$810),NA()))</f>
        <v>#N/A</v>
      </c>
      <c r="T247" t="e">
        <f>IF($J247&gt;MAX('Match Log'!$A$4:$A$810),NA(),IFERROR(LOOKUP(2,1/(('Match Log'!$D$4:$D$810=$T$24)*('Match Log'!$A$4:$A$810&lt;=$J247)),'Match Log'!$N$4:$N$810),NA()))</f>
        <v>#N/A</v>
      </c>
      <c r="U247" t="e">
        <f>IF($J247&gt;MAX('Match Log'!$A$4:$A$810),NA(),IFERROR(LOOKUP(2,1/(('Match Log'!$D$4:$D$810=$U$24)*('Match Log'!$A$4:$A$810&lt;=$J247)),'Match Log'!$N$4:$N$810),NA()))</f>
        <v>#N/A</v>
      </c>
      <c r="V247" t="e">
        <f>IF($J247&gt;MAX('Match Log'!$A$4:$A$810),NA(),IFERROR(LOOKUP(2,1/(('Match Log'!$D$4:$D$810=$V$24)*('Match Log'!$A$4:$A$810&lt;=$J247)),'Match Log'!$N$4:$N$810),NA()))</f>
        <v>#N/A</v>
      </c>
      <c r="W247" t="e">
        <f>IF($J247&gt;MAX('Match Log'!$A$4:$A$810),NA(),IFERROR(LOOKUP(2,1/(('Match Log'!$D$4:$D$810=$W$24)*('Match Log'!$A$4:$A$810&lt;=$J247)),'Match Log'!$N$4:$N$810),NA()))</f>
        <v>#N/A</v>
      </c>
      <c r="X247" t="e">
        <f>IF($J247&gt;MAX('Match Log'!$A$4:$A$810),NA(),IFERROR(LOOKUP(2,1/(('Match Log'!$D$4:$D$810=$X$24)*('Match Log'!$A$4:$A$810&lt;=$J247)),'Match Log'!$N$4:$N$810),NA()))</f>
        <v>#N/A</v>
      </c>
      <c r="Y247" t="str">
        <f t="shared" ca="1" si="33"/>
        <v/>
      </c>
    </row>
    <row r="248" spans="1:25" x14ac:dyDescent="0.2">
      <c r="A248">
        <v>224</v>
      </c>
      <c r="B248" t="str">
        <f>IFERROR(INDEX('Match Log'!$B$4:$B$810,MATCH(224,'Match Log'!$A$4:$A$810,0)),"")</f>
        <v/>
      </c>
      <c r="C248" t="str">
        <f>IFERROR(INDEX('Match Log'!$C$4:$C$810,MATCH(224,'Match Log'!$A$4:$A$810,0)),"")</f>
        <v/>
      </c>
      <c r="D248" t="str">
        <f t="array" ref="D248">IFERROR(_xlfn.TEXTJOIN(" + ",TRUE,IF(('Match Log'!$A$4:$A$810=$A248)*('Match Log'!$E$4:$E$810="Win"),'Match Log'!$D$4:$D$810,"")),IFERROR(LOOKUP(2,1/(('Match Log'!$A$4:$A$810=$A248)*('Match Log'!$E$4:$E$810="Win")),'Match Log'!$D$4:$D$810),""))</f>
        <v/>
      </c>
      <c r="E248" t="str">
        <f>IFERROR(INDEX('Match Log'!$F$4:$F$810,MATCH(224,'Match Log'!$A$4:$A$810,0)),"")</f>
        <v/>
      </c>
      <c r="F248">
        <f>IFERROR(SUMIFS('Match Log'!$I$4:$I$810,'Match Log'!$A$4:$A$810,224,'Match Log'!$E$4:$E$810,"Win"),"")</f>
        <v>0</v>
      </c>
      <c r="G248" t="str">
        <f t="shared" si="31"/>
        <v/>
      </c>
      <c r="H248" t="str">
        <f t="array" ref="H248">IFERROR(IF(COUNTIFS('Match Log'!$A$4:$A$810,$A248,'Match Log'!$E$4:$E$810,"Win")&gt;1,_xlfn.TEXTJOIN(" + ",TRUE,IF(('Match Log'!$A$4:$A$810=$A248)*('Match Log'!$E$4:$E$810="Loss"),'Match Log'!$D$4:$D$810,"")),IF($E248=2,LOOKUP(2,1/(('Match Log'!$A$4:$A$810=$A248)*('Match Log'!$E$4:$E$810="Loss")),'Match Log'!$D$4:$D$810),"the field")),"")</f>
        <v>the field</v>
      </c>
      <c r="I248" t="str">
        <f t="shared" si="32"/>
        <v/>
      </c>
      <c r="J248">
        <v>224</v>
      </c>
      <c r="K248" t="e">
        <f>IF($J248&gt;MAX('Match Log'!$A$4:$A$810),NA(),IFERROR(LOOKUP(2,1/(('Match Log'!$D$4:$D$810=$K$24)*('Match Log'!$A$4:$A$810&lt;=$J248)),'Match Log'!$N$4:$N$810),NA()))</f>
        <v>#N/A</v>
      </c>
      <c r="L248" t="e">
        <f>IF($J248&gt;MAX('Match Log'!$A$4:$A$810),NA(),IFERROR(LOOKUP(2,1/(('Match Log'!$D$4:$D$810=$L$24)*('Match Log'!$A$4:$A$810&lt;=$J248)),'Match Log'!$N$4:$N$810),NA()))</f>
        <v>#N/A</v>
      </c>
      <c r="M248" t="e">
        <f>IF($J248&gt;MAX('Match Log'!$A$4:$A$810),NA(),IFERROR(LOOKUP(2,1/(('Match Log'!$D$4:$D$810=$M$24)*('Match Log'!$A$4:$A$810&lt;=$J248)),'Match Log'!$N$4:$N$810),NA()))</f>
        <v>#N/A</v>
      </c>
      <c r="N248" t="e">
        <f>IF($J248&gt;MAX('Match Log'!$A$4:$A$810),NA(),IFERROR(LOOKUP(2,1/(('Match Log'!$D$4:$D$810=$N$24)*('Match Log'!$A$4:$A$810&lt;=$J248)),'Match Log'!$N$4:$N$810),NA()))</f>
        <v>#N/A</v>
      </c>
      <c r="O248" t="e">
        <f>IF($J248&gt;MAX('Match Log'!$A$4:$A$810),NA(),IFERROR(LOOKUP(2,1/(('Match Log'!$D$4:$D$810=$O$24)*('Match Log'!$A$4:$A$810&lt;=$J248)),'Match Log'!$N$4:$N$810),NA()))</f>
        <v>#N/A</v>
      </c>
      <c r="P248" t="e">
        <f>IF($J248&gt;MAX('Match Log'!$A$4:$A$810),NA(),IFERROR(LOOKUP(2,1/(('Match Log'!$D$4:$D$810=$P$24)*('Match Log'!$A$4:$A$810&lt;=$J248)),'Match Log'!$N$4:$N$810),NA()))</f>
        <v>#N/A</v>
      </c>
      <c r="Q248" t="e">
        <f>IF($J248&gt;MAX('Match Log'!$A$4:$A$810),NA(),IFERROR(LOOKUP(2,1/(('Match Log'!$D$4:$D$810=$Q$24)*('Match Log'!$A$4:$A$810&lt;=$J248)),'Match Log'!$N$4:$N$810),NA()))</f>
        <v>#N/A</v>
      </c>
      <c r="R248" t="e">
        <f>IF($J248&gt;MAX('Match Log'!$A$4:$A$810),NA(),IFERROR(LOOKUP(2,1/(('Match Log'!$D$4:$D$810=$R$24)*('Match Log'!$A$4:$A$810&lt;=$J248)),'Match Log'!$N$4:$N$810),NA()))</f>
        <v>#N/A</v>
      </c>
      <c r="S248" t="e">
        <f>IF($J248&gt;MAX('Match Log'!$A$4:$A$810),NA(),IFERROR(LOOKUP(2,1/(('Match Log'!$D$4:$D$810=$S$24)*('Match Log'!$A$4:$A$810&lt;=$J248)),'Match Log'!$N$4:$N$810),NA()))</f>
        <v>#N/A</v>
      </c>
      <c r="T248" t="e">
        <f>IF($J248&gt;MAX('Match Log'!$A$4:$A$810),NA(),IFERROR(LOOKUP(2,1/(('Match Log'!$D$4:$D$810=$T$24)*('Match Log'!$A$4:$A$810&lt;=$J248)),'Match Log'!$N$4:$N$810),NA()))</f>
        <v>#N/A</v>
      </c>
      <c r="U248" t="e">
        <f>IF($J248&gt;MAX('Match Log'!$A$4:$A$810),NA(),IFERROR(LOOKUP(2,1/(('Match Log'!$D$4:$D$810=$U$24)*('Match Log'!$A$4:$A$810&lt;=$J248)),'Match Log'!$N$4:$N$810),NA()))</f>
        <v>#N/A</v>
      </c>
      <c r="V248" t="e">
        <f>IF($J248&gt;MAX('Match Log'!$A$4:$A$810),NA(),IFERROR(LOOKUP(2,1/(('Match Log'!$D$4:$D$810=$V$24)*('Match Log'!$A$4:$A$810&lt;=$J248)),'Match Log'!$N$4:$N$810),NA()))</f>
        <v>#N/A</v>
      </c>
      <c r="W248" t="e">
        <f>IF($J248&gt;MAX('Match Log'!$A$4:$A$810),NA(),IFERROR(LOOKUP(2,1/(('Match Log'!$D$4:$D$810=$W$24)*('Match Log'!$A$4:$A$810&lt;=$J248)),'Match Log'!$N$4:$N$810),NA()))</f>
        <v>#N/A</v>
      </c>
      <c r="X248" t="e">
        <f>IF($J248&gt;MAX('Match Log'!$A$4:$A$810),NA(),IFERROR(LOOKUP(2,1/(('Match Log'!$D$4:$D$810=$X$24)*('Match Log'!$A$4:$A$810&lt;=$J248)),'Match Log'!$N$4:$N$810),NA()))</f>
        <v>#N/A</v>
      </c>
      <c r="Y248" t="str">
        <f t="shared" ca="1" si="33"/>
        <v/>
      </c>
    </row>
    <row r="249" spans="1:25" x14ac:dyDescent="0.2">
      <c r="A249">
        <v>225</v>
      </c>
      <c r="B249" t="str">
        <f>IFERROR(INDEX('Match Log'!$B$4:$B$810,MATCH(225,'Match Log'!$A$4:$A$810,0)),"")</f>
        <v/>
      </c>
      <c r="C249" t="str">
        <f>IFERROR(INDEX('Match Log'!$C$4:$C$810,MATCH(225,'Match Log'!$A$4:$A$810,0)),"")</f>
        <v/>
      </c>
      <c r="D249" t="str">
        <f t="array" ref="D249">IFERROR(_xlfn.TEXTJOIN(" + ",TRUE,IF(('Match Log'!$A$4:$A$810=$A249)*('Match Log'!$E$4:$E$810="Win"),'Match Log'!$D$4:$D$810,"")),IFERROR(LOOKUP(2,1/(('Match Log'!$A$4:$A$810=$A249)*('Match Log'!$E$4:$E$810="Win")),'Match Log'!$D$4:$D$810),""))</f>
        <v/>
      </c>
      <c r="E249" t="str">
        <f>IFERROR(INDEX('Match Log'!$F$4:$F$810,MATCH(225,'Match Log'!$A$4:$A$810,0)),"")</f>
        <v/>
      </c>
      <c r="F249">
        <f>IFERROR(SUMIFS('Match Log'!$I$4:$I$810,'Match Log'!$A$4:$A$810,225,'Match Log'!$E$4:$E$810,"Win"),"")</f>
        <v>0</v>
      </c>
      <c r="G249" t="str">
        <f t="shared" si="31"/>
        <v/>
      </c>
      <c r="H249" t="str">
        <f t="array" ref="H249">IFERROR(IF(COUNTIFS('Match Log'!$A$4:$A$810,$A249,'Match Log'!$E$4:$E$810,"Win")&gt;1,_xlfn.TEXTJOIN(" + ",TRUE,IF(('Match Log'!$A$4:$A$810=$A249)*('Match Log'!$E$4:$E$810="Loss"),'Match Log'!$D$4:$D$810,"")),IF($E249=2,LOOKUP(2,1/(('Match Log'!$A$4:$A$810=$A249)*('Match Log'!$E$4:$E$810="Loss")),'Match Log'!$D$4:$D$810),"the field")),"")</f>
        <v>the field</v>
      </c>
      <c r="I249" t="str">
        <f t="shared" si="32"/>
        <v/>
      </c>
      <c r="J249">
        <v>225</v>
      </c>
      <c r="K249" t="e">
        <f>IF($J249&gt;MAX('Match Log'!$A$4:$A$810),NA(),IFERROR(LOOKUP(2,1/(('Match Log'!$D$4:$D$810=$K$24)*('Match Log'!$A$4:$A$810&lt;=$J249)),'Match Log'!$N$4:$N$810),NA()))</f>
        <v>#N/A</v>
      </c>
      <c r="L249" t="e">
        <f>IF($J249&gt;MAX('Match Log'!$A$4:$A$810),NA(),IFERROR(LOOKUP(2,1/(('Match Log'!$D$4:$D$810=$L$24)*('Match Log'!$A$4:$A$810&lt;=$J249)),'Match Log'!$N$4:$N$810),NA()))</f>
        <v>#N/A</v>
      </c>
      <c r="M249" t="e">
        <f>IF($J249&gt;MAX('Match Log'!$A$4:$A$810),NA(),IFERROR(LOOKUP(2,1/(('Match Log'!$D$4:$D$810=$M$24)*('Match Log'!$A$4:$A$810&lt;=$J249)),'Match Log'!$N$4:$N$810),NA()))</f>
        <v>#N/A</v>
      </c>
      <c r="N249" t="e">
        <f>IF($J249&gt;MAX('Match Log'!$A$4:$A$810),NA(),IFERROR(LOOKUP(2,1/(('Match Log'!$D$4:$D$810=$N$24)*('Match Log'!$A$4:$A$810&lt;=$J249)),'Match Log'!$N$4:$N$810),NA()))</f>
        <v>#N/A</v>
      </c>
      <c r="O249" t="e">
        <f>IF($J249&gt;MAX('Match Log'!$A$4:$A$810),NA(),IFERROR(LOOKUP(2,1/(('Match Log'!$D$4:$D$810=$O$24)*('Match Log'!$A$4:$A$810&lt;=$J249)),'Match Log'!$N$4:$N$810),NA()))</f>
        <v>#N/A</v>
      </c>
      <c r="P249" t="e">
        <f>IF($J249&gt;MAX('Match Log'!$A$4:$A$810),NA(),IFERROR(LOOKUP(2,1/(('Match Log'!$D$4:$D$810=$P$24)*('Match Log'!$A$4:$A$810&lt;=$J249)),'Match Log'!$N$4:$N$810),NA()))</f>
        <v>#N/A</v>
      </c>
      <c r="Q249" t="e">
        <f>IF($J249&gt;MAX('Match Log'!$A$4:$A$810),NA(),IFERROR(LOOKUP(2,1/(('Match Log'!$D$4:$D$810=$Q$24)*('Match Log'!$A$4:$A$810&lt;=$J249)),'Match Log'!$N$4:$N$810),NA()))</f>
        <v>#N/A</v>
      </c>
      <c r="R249" t="e">
        <f>IF($J249&gt;MAX('Match Log'!$A$4:$A$810),NA(),IFERROR(LOOKUP(2,1/(('Match Log'!$D$4:$D$810=$R$24)*('Match Log'!$A$4:$A$810&lt;=$J249)),'Match Log'!$N$4:$N$810),NA()))</f>
        <v>#N/A</v>
      </c>
      <c r="S249" t="e">
        <f>IF($J249&gt;MAX('Match Log'!$A$4:$A$810),NA(),IFERROR(LOOKUP(2,1/(('Match Log'!$D$4:$D$810=$S$24)*('Match Log'!$A$4:$A$810&lt;=$J249)),'Match Log'!$N$4:$N$810),NA()))</f>
        <v>#N/A</v>
      </c>
      <c r="T249" t="e">
        <f>IF($J249&gt;MAX('Match Log'!$A$4:$A$810),NA(),IFERROR(LOOKUP(2,1/(('Match Log'!$D$4:$D$810=$T$24)*('Match Log'!$A$4:$A$810&lt;=$J249)),'Match Log'!$N$4:$N$810),NA()))</f>
        <v>#N/A</v>
      </c>
      <c r="U249" t="e">
        <f>IF($J249&gt;MAX('Match Log'!$A$4:$A$810),NA(),IFERROR(LOOKUP(2,1/(('Match Log'!$D$4:$D$810=$U$24)*('Match Log'!$A$4:$A$810&lt;=$J249)),'Match Log'!$N$4:$N$810),NA()))</f>
        <v>#N/A</v>
      </c>
      <c r="V249" t="e">
        <f>IF($J249&gt;MAX('Match Log'!$A$4:$A$810),NA(),IFERROR(LOOKUP(2,1/(('Match Log'!$D$4:$D$810=$V$24)*('Match Log'!$A$4:$A$810&lt;=$J249)),'Match Log'!$N$4:$N$810),NA()))</f>
        <v>#N/A</v>
      </c>
      <c r="W249" t="e">
        <f>IF($J249&gt;MAX('Match Log'!$A$4:$A$810),NA(),IFERROR(LOOKUP(2,1/(('Match Log'!$D$4:$D$810=$W$24)*('Match Log'!$A$4:$A$810&lt;=$J249)),'Match Log'!$N$4:$N$810),NA()))</f>
        <v>#N/A</v>
      </c>
      <c r="X249" t="e">
        <f>IF($J249&gt;MAX('Match Log'!$A$4:$A$810),NA(),IFERROR(LOOKUP(2,1/(('Match Log'!$D$4:$D$810=$X$24)*('Match Log'!$A$4:$A$810&lt;=$J249)),'Match Log'!$N$4:$N$810),NA()))</f>
        <v>#N/A</v>
      </c>
      <c r="Y249" t="str">
        <f t="shared" ca="1" si="33"/>
        <v/>
      </c>
    </row>
    <row r="250" spans="1:25" x14ac:dyDescent="0.2">
      <c r="A250">
        <v>226</v>
      </c>
      <c r="B250" t="str">
        <f>IFERROR(INDEX('Match Log'!$B$4:$B$810,MATCH(226,'Match Log'!$A$4:$A$810,0)),"")</f>
        <v/>
      </c>
      <c r="C250" t="str">
        <f>IFERROR(INDEX('Match Log'!$C$4:$C$810,MATCH(226,'Match Log'!$A$4:$A$810,0)),"")</f>
        <v/>
      </c>
      <c r="D250" t="str">
        <f t="array" ref="D250">IFERROR(_xlfn.TEXTJOIN(" + ",TRUE,IF(('Match Log'!$A$4:$A$810=$A250)*('Match Log'!$E$4:$E$810="Win"),'Match Log'!$D$4:$D$810,"")),IFERROR(LOOKUP(2,1/(('Match Log'!$A$4:$A$810=$A250)*('Match Log'!$E$4:$E$810="Win")),'Match Log'!$D$4:$D$810),""))</f>
        <v/>
      </c>
      <c r="E250" t="str">
        <f>IFERROR(INDEX('Match Log'!$F$4:$F$810,MATCH(226,'Match Log'!$A$4:$A$810,0)),"")</f>
        <v/>
      </c>
      <c r="F250">
        <f>IFERROR(SUMIFS('Match Log'!$I$4:$I$810,'Match Log'!$A$4:$A$810,226,'Match Log'!$E$4:$E$810,"Win"),"")</f>
        <v>0</v>
      </c>
      <c r="G250" t="str">
        <f t="shared" si="31"/>
        <v/>
      </c>
      <c r="H250" t="str">
        <f t="array" ref="H250">IFERROR(IF(COUNTIFS('Match Log'!$A$4:$A$810,$A250,'Match Log'!$E$4:$E$810,"Win")&gt;1,_xlfn.TEXTJOIN(" + ",TRUE,IF(('Match Log'!$A$4:$A$810=$A250)*('Match Log'!$E$4:$E$810="Loss"),'Match Log'!$D$4:$D$810,"")),IF($E250=2,LOOKUP(2,1/(('Match Log'!$A$4:$A$810=$A250)*('Match Log'!$E$4:$E$810="Loss")),'Match Log'!$D$4:$D$810),"the field")),"")</f>
        <v>the field</v>
      </c>
      <c r="I250" t="str">
        <f t="shared" si="32"/>
        <v/>
      </c>
      <c r="J250">
        <v>226</v>
      </c>
      <c r="K250" t="e">
        <f>IF($J250&gt;MAX('Match Log'!$A$4:$A$810),NA(),IFERROR(LOOKUP(2,1/(('Match Log'!$D$4:$D$810=$K$24)*('Match Log'!$A$4:$A$810&lt;=$J250)),'Match Log'!$N$4:$N$810),NA()))</f>
        <v>#N/A</v>
      </c>
      <c r="L250" t="e">
        <f>IF($J250&gt;MAX('Match Log'!$A$4:$A$810),NA(),IFERROR(LOOKUP(2,1/(('Match Log'!$D$4:$D$810=$L$24)*('Match Log'!$A$4:$A$810&lt;=$J250)),'Match Log'!$N$4:$N$810),NA()))</f>
        <v>#N/A</v>
      </c>
      <c r="M250" t="e">
        <f>IF($J250&gt;MAX('Match Log'!$A$4:$A$810),NA(),IFERROR(LOOKUP(2,1/(('Match Log'!$D$4:$D$810=$M$24)*('Match Log'!$A$4:$A$810&lt;=$J250)),'Match Log'!$N$4:$N$810),NA()))</f>
        <v>#N/A</v>
      </c>
      <c r="N250" t="e">
        <f>IF($J250&gt;MAX('Match Log'!$A$4:$A$810),NA(),IFERROR(LOOKUP(2,1/(('Match Log'!$D$4:$D$810=$N$24)*('Match Log'!$A$4:$A$810&lt;=$J250)),'Match Log'!$N$4:$N$810),NA()))</f>
        <v>#N/A</v>
      </c>
      <c r="O250" t="e">
        <f>IF($J250&gt;MAX('Match Log'!$A$4:$A$810),NA(),IFERROR(LOOKUP(2,1/(('Match Log'!$D$4:$D$810=$O$24)*('Match Log'!$A$4:$A$810&lt;=$J250)),'Match Log'!$N$4:$N$810),NA()))</f>
        <v>#N/A</v>
      </c>
      <c r="P250" t="e">
        <f>IF($J250&gt;MAX('Match Log'!$A$4:$A$810),NA(),IFERROR(LOOKUP(2,1/(('Match Log'!$D$4:$D$810=$P$24)*('Match Log'!$A$4:$A$810&lt;=$J250)),'Match Log'!$N$4:$N$810),NA()))</f>
        <v>#N/A</v>
      </c>
      <c r="Q250" t="e">
        <f>IF($J250&gt;MAX('Match Log'!$A$4:$A$810),NA(),IFERROR(LOOKUP(2,1/(('Match Log'!$D$4:$D$810=$Q$24)*('Match Log'!$A$4:$A$810&lt;=$J250)),'Match Log'!$N$4:$N$810),NA()))</f>
        <v>#N/A</v>
      </c>
      <c r="R250" t="e">
        <f>IF($J250&gt;MAX('Match Log'!$A$4:$A$810),NA(),IFERROR(LOOKUP(2,1/(('Match Log'!$D$4:$D$810=$R$24)*('Match Log'!$A$4:$A$810&lt;=$J250)),'Match Log'!$N$4:$N$810),NA()))</f>
        <v>#N/A</v>
      </c>
      <c r="S250" t="e">
        <f>IF($J250&gt;MAX('Match Log'!$A$4:$A$810),NA(),IFERROR(LOOKUP(2,1/(('Match Log'!$D$4:$D$810=$S$24)*('Match Log'!$A$4:$A$810&lt;=$J250)),'Match Log'!$N$4:$N$810),NA()))</f>
        <v>#N/A</v>
      </c>
      <c r="T250" t="e">
        <f>IF($J250&gt;MAX('Match Log'!$A$4:$A$810),NA(),IFERROR(LOOKUP(2,1/(('Match Log'!$D$4:$D$810=$T$24)*('Match Log'!$A$4:$A$810&lt;=$J250)),'Match Log'!$N$4:$N$810),NA()))</f>
        <v>#N/A</v>
      </c>
      <c r="U250" t="e">
        <f>IF($J250&gt;MAX('Match Log'!$A$4:$A$810),NA(),IFERROR(LOOKUP(2,1/(('Match Log'!$D$4:$D$810=$U$24)*('Match Log'!$A$4:$A$810&lt;=$J250)),'Match Log'!$N$4:$N$810),NA()))</f>
        <v>#N/A</v>
      </c>
      <c r="V250" t="e">
        <f>IF($J250&gt;MAX('Match Log'!$A$4:$A$810),NA(),IFERROR(LOOKUP(2,1/(('Match Log'!$D$4:$D$810=$V$24)*('Match Log'!$A$4:$A$810&lt;=$J250)),'Match Log'!$N$4:$N$810),NA()))</f>
        <v>#N/A</v>
      </c>
      <c r="W250" t="e">
        <f>IF($J250&gt;MAX('Match Log'!$A$4:$A$810),NA(),IFERROR(LOOKUP(2,1/(('Match Log'!$D$4:$D$810=$W$24)*('Match Log'!$A$4:$A$810&lt;=$J250)),'Match Log'!$N$4:$N$810),NA()))</f>
        <v>#N/A</v>
      </c>
      <c r="X250" t="e">
        <f>IF($J250&gt;MAX('Match Log'!$A$4:$A$810),NA(),IFERROR(LOOKUP(2,1/(('Match Log'!$D$4:$D$810=$X$24)*('Match Log'!$A$4:$A$810&lt;=$J250)),'Match Log'!$N$4:$N$810),NA()))</f>
        <v>#N/A</v>
      </c>
      <c r="Y250" t="str">
        <f t="shared" ca="1" si="33"/>
        <v/>
      </c>
    </row>
    <row r="251" spans="1:25" x14ac:dyDescent="0.2">
      <c r="A251">
        <v>227</v>
      </c>
      <c r="B251" t="str">
        <f>IFERROR(INDEX('Match Log'!$B$4:$B$810,MATCH(227,'Match Log'!$A$4:$A$810,0)),"")</f>
        <v/>
      </c>
      <c r="C251" t="str">
        <f>IFERROR(INDEX('Match Log'!$C$4:$C$810,MATCH(227,'Match Log'!$A$4:$A$810,0)),"")</f>
        <v/>
      </c>
      <c r="D251" t="str">
        <f t="array" ref="D251">IFERROR(_xlfn.TEXTJOIN(" + ",TRUE,IF(('Match Log'!$A$4:$A$810=$A251)*('Match Log'!$E$4:$E$810="Win"),'Match Log'!$D$4:$D$810,"")),IFERROR(LOOKUP(2,1/(('Match Log'!$A$4:$A$810=$A251)*('Match Log'!$E$4:$E$810="Win")),'Match Log'!$D$4:$D$810),""))</f>
        <v/>
      </c>
      <c r="E251" t="str">
        <f>IFERROR(INDEX('Match Log'!$F$4:$F$810,MATCH(227,'Match Log'!$A$4:$A$810,0)),"")</f>
        <v/>
      </c>
      <c r="F251">
        <f>IFERROR(SUMIFS('Match Log'!$I$4:$I$810,'Match Log'!$A$4:$A$810,227,'Match Log'!$E$4:$E$810,"Win"),"")</f>
        <v>0</v>
      </c>
      <c r="G251" t="str">
        <f t="shared" si="31"/>
        <v/>
      </c>
      <c r="H251" t="str">
        <f t="array" ref="H251">IFERROR(IF(COUNTIFS('Match Log'!$A$4:$A$810,$A251,'Match Log'!$E$4:$E$810,"Win")&gt;1,_xlfn.TEXTJOIN(" + ",TRUE,IF(('Match Log'!$A$4:$A$810=$A251)*('Match Log'!$E$4:$E$810="Loss"),'Match Log'!$D$4:$D$810,"")),IF($E251=2,LOOKUP(2,1/(('Match Log'!$A$4:$A$810=$A251)*('Match Log'!$E$4:$E$810="Loss")),'Match Log'!$D$4:$D$810),"the field")),"")</f>
        <v>the field</v>
      </c>
      <c r="I251" t="str">
        <f t="shared" si="32"/>
        <v/>
      </c>
      <c r="J251">
        <v>227</v>
      </c>
      <c r="K251" t="e">
        <f>IF($J251&gt;MAX('Match Log'!$A$4:$A$810),NA(),IFERROR(LOOKUP(2,1/(('Match Log'!$D$4:$D$810=$K$24)*('Match Log'!$A$4:$A$810&lt;=$J251)),'Match Log'!$N$4:$N$810),NA()))</f>
        <v>#N/A</v>
      </c>
      <c r="L251" t="e">
        <f>IF($J251&gt;MAX('Match Log'!$A$4:$A$810),NA(),IFERROR(LOOKUP(2,1/(('Match Log'!$D$4:$D$810=$L$24)*('Match Log'!$A$4:$A$810&lt;=$J251)),'Match Log'!$N$4:$N$810),NA()))</f>
        <v>#N/A</v>
      </c>
      <c r="M251" t="e">
        <f>IF($J251&gt;MAX('Match Log'!$A$4:$A$810),NA(),IFERROR(LOOKUP(2,1/(('Match Log'!$D$4:$D$810=$M$24)*('Match Log'!$A$4:$A$810&lt;=$J251)),'Match Log'!$N$4:$N$810),NA()))</f>
        <v>#N/A</v>
      </c>
      <c r="N251" t="e">
        <f>IF($J251&gt;MAX('Match Log'!$A$4:$A$810),NA(),IFERROR(LOOKUP(2,1/(('Match Log'!$D$4:$D$810=$N$24)*('Match Log'!$A$4:$A$810&lt;=$J251)),'Match Log'!$N$4:$N$810),NA()))</f>
        <v>#N/A</v>
      </c>
      <c r="O251" t="e">
        <f>IF($J251&gt;MAX('Match Log'!$A$4:$A$810),NA(),IFERROR(LOOKUP(2,1/(('Match Log'!$D$4:$D$810=$O$24)*('Match Log'!$A$4:$A$810&lt;=$J251)),'Match Log'!$N$4:$N$810),NA()))</f>
        <v>#N/A</v>
      </c>
      <c r="P251" t="e">
        <f>IF($J251&gt;MAX('Match Log'!$A$4:$A$810),NA(),IFERROR(LOOKUP(2,1/(('Match Log'!$D$4:$D$810=$P$24)*('Match Log'!$A$4:$A$810&lt;=$J251)),'Match Log'!$N$4:$N$810),NA()))</f>
        <v>#N/A</v>
      </c>
      <c r="Q251" t="e">
        <f>IF($J251&gt;MAX('Match Log'!$A$4:$A$810),NA(),IFERROR(LOOKUP(2,1/(('Match Log'!$D$4:$D$810=$Q$24)*('Match Log'!$A$4:$A$810&lt;=$J251)),'Match Log'!$N$4:$N$810),NA()))</f>
        <v>#N/A</v>
      </c>
      <c r="R251" t="e">
        <f>IF($J251&gt;MAX('Match Log'!$A$4:$A$810),NA(),IFERROR(LOOKUP(2,1/(('Match Log'!$D$4:$D$810=$R$24)*('Match Log'!$A$4:$A$810&lt;=$J251)),'Match Log'!$N$4:$N$810),NA()))</f>
        <v>#N/A</v>
      </c>
      <c r="S251" t="e">
        <f>IF($J251&gt;MAX('Match Log'!$A$4:$A$810),NA(),IFERROR(LOOKUP(2,1/(('Match Log'!$D$4:$D$810=$S$24)*('Match Log'!$A$4:$A$810&lt;=$J251)),'Match Log'!$N$4:$N$810),NA()))</f>
        <v>#N/A</v>
      </c>
      <c r="T251" t="e">
        <f>IF($J251&gt;MAX('Match Log'!$A$4:$A$810),NA(),IFERROR(LOOKUP(2,1/(('Match Log'!$D$4:$D$810=$T$24)*('Match Log'!$A$4:$A$810&lt;=$J251)),'Match Log'!$N$4:$N$810),NA()))</f>
        <v>#N/A</v>
      </c>
      <c r="U251" t="e">
        <f>IF($J251&gt;MAX('Match Log'!$A$4:$A$810),NA(),IFERROR(LOOKUP(2,1/(('Match Log'!$D$4:$D$810=$U$24)*('Match Log'!$A$4:$A$810&lt;=$J251)),'Match Log'!$N$4:$N$810),NA()))</f>
        <v>#N/A</v>
      </c>
      <c r="V251" t="e">
        <f>IF($J251&gt;MAX('Match Log'!$A$4:$A$810),NA(),IFERROR(LOOKUP(2,1/(('Match Log'!$D$4:$D$810=$V$24)*('Match Log'!$A$4:$A$810&lt;=$J251)),'Match Log'!$N$4:$N$810),NA()))</f>
        <v>#N/A</v>
      </c>
      <c r="W251" t="e">
        <f>IF($J251&gt;MAX('Match Log'!$A$4:$A$810),NA(),IFERROR(LOOKUP(2,1/(('Match Log'!$D$4:$D$810=$W$24)*('Match Log'!$A$4:$A$810&lt;=$J251)),'Match Log'!$N$4:$N$810),NA()))</f>
        <v>#N/A</v>
      </c>
      <c r="X251" t="e">
        <f>IF($J251&gt;MAX('Match Log'!$A$4:$A$810),NA(),IFERROR(LOOKUP(2,1/(('Match Log'!$D$4:$D$810=$X$24)*('Match Log'!$A$4:$A$810&lt;=$J251)),'Match Log'!$N$4:$N$810),NA()))</f>
        <v>#N/A</v>
      </c>
      <c r="Y251" t="str">
        <f t="shared" ca="1" si="33"/>
        <v/>
      </c>
    </row>
    <row r="252" spans="1:25" x14ac:dyDescent="0.2">
      <c r="A252">
        <v>228</v>
      </c>
      <c r="B252" t="str">
        <f>IFERROR(INDEX('Match Log'!$B$4:$B$810,MATCH(228,'Match Log'!$A$4:$A$810,0)),"")</f>
        <v/>
      </c>
      <c r="C252" t="str">
        <f>IFERROR(INDEX('Match Log'!$C$4:$C$810,MATCH(228,'Match Log'!$A$4:$A$810,0)),"")</f>
        <v/>
      </c>
      <c r="D252" t="str">
        <f t="array" ref="D252">IFERROR(_xlfn.TEXTJOIN(" + ",TRUE,IF(('Match Log'!$A$4:$A$810=$A252)*('Match Log'!$E$4:$E$810="Win"),'Match Log'!$D$4:$D$810,"")),IFERROR(LOOKUP(2,1/(('Match Log'!$A$4:$A$810=$A252)*('Match Log'!$E$4:$E$810="Win")),'Match Log'!$D$4:$D$810),""))</f>
        <v/>
      </c>
      <c r="E252" t="str">
        <f>IFERROR(INDEX('Match Log'!$F$4:$F$810,MATCH(228,'Match Log'!$A$4:$A$810,0)),"")</f>
        <v/>
      </c>
      <c r="F252">
        <f>IFERROR(SUMIFS('Match Log'!$I$4:$I$810,'Match Log'!$A$4:$A$810,228,'Match Log'!$E$4:$E$810,"Win"),"")</f>
        <v>0</v>
      </c>
      <c r="G252" t="str">
        <f t="shared" si="31"/>
        <v/>
      </c>
      <c r="H252" t="str">
        <f t="array" ref="H252">IFERROR(IF(COUNTIFS('Match Log'!$A$4:$A$810,$A252,'Match Log'!$E$4:$E$810,"Win")&gt;1,_xlfn.TEXTJOIN(" + ",TRUE,IF(('Match Log'!$A$4:$A$810=$A252)*('Match Log'!$E$4:$E$810="Loss"),'Match Log'!$D$4:$D$810,"")),IF($E252=2,LOOKUP(2,1/(('Match Log'!$A$4:$A$810=$A252)*('Match Log'!$E$4:$E$810="Loss")),'Match Log'!$D$4:$D$810),"the field")),"")</f>
        <v>the field</v>
      </c>
      <c r="I252" t="str">
        <f t="shared" si="32"/>
        <v/>
      </c>
      <c r="J252">
        <v>228</v>
      </c>
      <c r="K252" t="e">
        <f>IF($J252&gt;MAX('Match Log'!$A$4:$A$810),NA(),IFERROR(LOOKUP(2,1/(('Match Log'!$D$4:$D$810=$K$24)*('Match Log'!$A$4:$A$810&lt;=$J252)),'Match Log'!$N$4:$N$810),NA()))</f>
        <v>#N/A</v>
      </c>
      <c r="L252" t="e">
        <f>IF($J252&gt;MAX('Match Log'!$A$4:$A$810),NA(),IFERROR(LOOKUP(2,1/(('Match Log'!$D$4:$D$810=$L$24)*('Match Log'!$A$4:$A$810&lt;=$J252)),'Match Log'!$N$4:$N$810),NA()))</f>
        <v>#N/A</v>
      </c>
      <c r="M252" t="e">
        <f>IF($J252&gt;MAX('Match Log'!$A$4:$A$810),NA(),IFERROR(LOOKUP(2,1/(('Match Log'!$D$4:$D$810=$M$24)*('Match Log'!$A$4:$A$810&lt;=$J252)),'Match Log'!$N$4:$N$810),NA()))</f>
        <v>#N/A</v>
      </c>
      <c r="N252" t="e">
        <f>IF($J252&gt;MAX('Match Log'!$A$4:$A$810),NA(),IFERROR(LOOKUP(2,1/(('Match Log'!$D$4:$D$810=$N$24)*('Match Log'!$A$4:$A$810&lt;=$J252)),'Match Log'!$N$4:$N$810),NA()))</f>
        <v>#N/A</v>
      </c>
      <c r="O252" t="e">
        <f>IF($J252&gt;MAX('Match Log'!$A$4:$A$810),NA(),IFERROR(LOOKUP(2,1/(('Match Log'!$D$4:$D$810=$O$24)*('Match Log'!$A$4:$A$810&lt;=$J252)),'Match Log'!$N$4:$N$810),NA()))</f>
        <v>#N/A</v>
      </c>
      <c r="P252" t="e">
        <f>IF($J252&gt;MAX('Match Log'!$A$4:$A$810),NA(),IFERROR(LOOKUP(2,1/(('Match Log'!$D$4:$D$810=$P$24)*('Match Log'!$A$4:$A$810&lt;=$J252)),'Match Log'!$N$4:$N$810),NA()))</f>
        <v>#N/A</v>
      </c>
      <c r="Q252" t="e">
        <f>IF($J252&gt;MAX('Match Log'!$A$4:$A$810),NA(),IFERROR(LOOKUP(2,1/(('Match Log'!$D$4:$D$810=$Q$24)*('Match Log'!$A$4:$A$810&lt;=$J252)),'Match Log'!$N$4:$N$810),NA()))</f>
        <v>#N/A</v>
      </c>
      <c r="R252" t="e">
        <f>IF($J252&gt;MAX('Match Log'!$A$4:$A$810),NA(),IFERROR(LOOKUP(2,1/(('Match Log'!$D$4:$D$810=$R$24)*('Match Log'!$A$4:$A$810&lt;=$J252)),'Match Log'!$N$4:$N$810),NA()))</f>
        <v>#N/A</v>
      </c>
      <c r="S252" t="e">
        <f>IF($J252&gt;MAX('Match Log'!$A$4:$A$810),NA(),IFERROR(LOOKUP(2,1/(('Match Log'!$D$4:$D$810=$S$24)*('Match Log'!$A$4:$A$810&lt;=$J252)),'Match Log'!$N$4:$N$810),NA()))</f>
        <v>#N/A</v>
      </c>
      <c r="T252" t="e">
        <f>IF($J252&gt;MAX('Match Log'!$A$4:$A$810),NA(),IFERROR(LOOKUP(2,1/(('Match Log'!$D$4:$D$810=$T$24)*('Match Log'!$A$4:$A$810&lt;=$J252)),'Match Log'!$N$4:$N$810),NA()))</f>
        <v>#N/A</v>
      </c>
      <c r="U252" t="e">
        <f>IF($J252&gt;MAX('Match Log'!$A$4:$A$810),NA(),IFERROR(LOOKUP(2,1/(('Match Log'!$D$4:$D$810=$U$24)*('Match Log'!$A$4:$A$810&lt;=$J252)),'Match Log'!$N$4:$N$810),NA()))</f>
        <v>#N/A</v>
      </c>
      <c r="V252" t="e">
        <f>IF($J252&gt;MAX('Match Log'!$A$4:$A$810),NA(),IFERROR(LOOKUP(2,1/(('Match Log'!$D$4:$D$810=$V$24)*('Match Log'!$A$4:$A$810&lt;=$J252)),'Match Log'!$N$4:$N$810),NA()))</f>
        <v>#N/A</v>
      </c>
      <c r="W252" t="e">
        <f>IF($J252&gt;MAX('Match Log'!$A$4:$A$810),NA(),IFERROR(LOOKUP(2,1/(('Match Log'!$D$4:$D$810=$W$24)*('Match Log'!$A$4:$A$810&lt;=$J252)),'Match Log'!$N$4:$N$810),NA()))</f>
        <v>#N/A</v>
      </c>
      <c r="X252" t="e">
        <f>IF($J252&gt;MAX('Match Log'!$A$4:$A$810),NA(),IFERROR(LOOKUP(2,1/(('Match Log'!$D$4:$D$810=$X$24)*('Match Log'!$A$4:$A$810&lt;=$J252)),'Match Log'!$N$4:$N$810),NA()))</f>
        <v>#N/A</v>
      </c>
      <c r="Y252" t="str">
        <f t="shared" ca="1" si="33"/>
        <v/>
      </c>
    </row>
    <row r="253" spans="1:25" x14ac:dyDescent="0.2">
      <c r="A253">
        <v>229</v>
      </c>
      <c r="B253" t="str">
        <f>IFERROR(INDEX('Match Log'!$B$4:$B$810,MATCH(229,'Match Log'!$A$4:$A$810,0)),"")</f>
        <v/>
      </c>
      <c r="C253" t="str">
        <f>IFERROR(INDEX('Match Log'!$C$4:$C$810,MATCH(229,'Match Log'!$A$4:$A$810,0)),"")</f>
        <v/>
      </c>
      <c r="D253" t="str">
        <f t="array" ref="D253">IFERROR(_xlfn.TEXTJOIN(" + ",TRUE,IF(('Match Log'!$A$4:$A$810=$A253)*('Match Log'!$E$4:$E$810="Win"),'Match Log'!$D$4:$D$810,"")),IFERROR(LOOKUP(2,1/(('Match Log'!$A$4:$A$810=$A253)*('Match Log'!$E$4:$E$810="Win")),'Match Log'!$D$4:$D$810),""))</f>
        <v/>
      </c>
      <c r="E253" t="str">
        <f>IFERROR(INDEX('Match Log'!$F$4:$F$810,MATCH(229,'Match Log'!$A$4:$A$810,0)),"")</f>
        <v/>
      </c>
      <c r="F253">
        <f>IFERROR(SUMIFS('Match Log'!$I$4:$I$810,'Match Log'!$A$4:$A$810,229,'Match Log'!$E$4:$E$810,"Win"),"")</f>
        <v>0</v>
      </c>
      <c r="G253" t="str">
        <f t="shared" si="31"/>
        <v/>
      </c>
      <c r="H253" t="str">
        <f t="array" ref="H253">IFERROR(IF(COUNTIFS('Match Log'!$A$4:$A$810,$A253,'Match Log'!$E$4:$E$810,"Win")&gt;1,_xlfn.TEXTJOIN(" + ",TRUE,IF(('Match Log'!$A$4:$A$810=$A253)*('Match Log'!$E$4:$E$810="Loss"),'Match Log'!$D$4:$D$810,"")),IF($E253=2,LOOKUP(2,1/(('Match Log'!$A$4:$A$810=$A253)*('Match Log'!$E$4:$E$810="Loss")),'Match Log'!$D$4:$D$810),"the field")),"")</f>
        <v>the field</v>
      </c>
      <c r="I253" t="str">
        <f t="shared" si="32"/>
        <v/>
      </c>
      <c r="J253">
        <v>229</v>
      </c>
      <c r="K253" t="e">
        <f>IF($J253&gt;MAX('Match Log'!$A$4:$A$810),NA(),IFERROR(LOOKUP(2,1/(('Match Log'!$D$4:$D$810=$K$24)*('Match Log'!$A$4:$A$810&lt;=$J253)),'Match Log'!$N$4:$N$810),NA()))</f>
        <v>#N/A</v>
      </c>
      <c r="L253" t="e">
        <f>IF($J253&gt;MAX('Match Log'!$A$4:$A$810),NA(),IFERROR(LOOKUP(2,1/(('Match Log'!$D$4:$D$810=$L$24)*('Match Log'!$A$4:$A$810&lt;=$J253)),'Match Log'!$N$4:$N$810),NA()))</f>
        <v>#N/A</v>
      </c>
      <c r="M253" t="e">
        <f>IF($J253&gt;MAX('Match Log'!$A$4:$A$810),NA(),IFERROR(LOOKUP(2,1/(('Match Log'!$D$4:$D$810=$M$24)*('Match Log'!$A$4:$A$810&lt;=$J253)),'Match Log'!$N$4:$N$810),NA()))</f>
        <v>#N/A</v>
      </c>
      <c r="N253" t="e">
        <f>IF($J253&gt;MAX('Match Log'!$A$4:$A$810),NA(),IFERROR(LOOKUP(2,1/(('Match Log'!$D$4:$D$810=$N$24)*('Match Log'!$A$4:$A$810&lt;=$J253)),'Match Log'!$N$4:$N$810),NA()))</f>
        <v>#N/A</v>
      </c>
      <c r="O253" t="e">
        <f>IF($J253&gt;MAX('Match Log'!$A$4:$A$810),NA(),IFERROR(LOOKUP(2,1/(('Match Log'!$D$4:$D$810=$O$24)*('Match Log'!$A$4:$A$810&lt;=$J253)),'Match Log'!$N$4:$N$810),NA()))</f>
        <v>#N/A</v>
      </c>
      <c r="P253" t="e">
        <f>IF($J253&gt;MAX('Match Log'!$A$4:$A$810),NA(),IFERROR(LOOKUP(2,1/(('Match Log'!$D$4:$D$810=$P$24)*('Match Log'!$A$4:$A$810&lt;=$J253)),'Match Log'!$N$4:$N$810),NA()))</f>
        <v>#N/A</v>
      </c>
      <c r="Q253" t="e">
        <f>IF($J253&gt;MAX('Match Log'!$A$4:$A$810),NA(),IFERROR(LOOKUP(2,1/(('Match Log'!$D$4:$D$810=$Q$24)*('Match Log'!$A$4:$A$810&lt;=$J253)),'Match Log'!$N$4:$N$810),NA()))</f>
        <v>#N/A</v>
      </c>
      <c r="R253" t="e">
        <f>IF($J253&gt;MAX('Match Log'!$A$4:$A$810),NA(),IFERROR(LOOKUP(2,1/(('Match Log'!$D$4:$D$810=$R$24)*('Match Log'!$A$4:$A$810&lt;=$J253)),'Match Log'!$N$4:$N$810),NA()))</f>
        <v>#N/A</v>
      </c>
      <c r="S253" t="e">
        <f>IF($J253&gt;MAX('Match Log'!$A$4:$A$810),NA(),IFERROR(LOOKUP(2,1/(('Match Log'!$D$4:$D$810=$S$24)*('Match Log'!$A$4:$A$810&lt;=$J253)),'Match Log'!$N$4:$N$810),NA()))</f>
        <v>#N/A</v>
      </c>
      <c r="T253" t="e">
        <f>IF($J253&gt;MAX('Match Log'!$A$4:$A$810),NA(),IFERROR(LOOKUP(2,1/(('Match Log'!$D$4:$D$810=$T$24)*('Match Log'!$A$4:$A$810&lt;=$J253)),'Match Log'!$N$4:$N$810),NA()))</f>
        <v>#N/A</v>
      </c>
      <c r="U253" t="e">
        <f>IF($J253&gt;MAX('Match Log'!$A$4:$A$810),NA(),IFERROR(LOOKUP(2,1/(('Match Log'!$D$4:$D$810=$U$24)*('Match Log'!$A$4:$A$810&lt;=$J253)),'Match Log'!$N$4:$N$810),NA()))</f>
        <v>#N/A</v>
      </c>
      <c r="V253" t="e">
        <f>IF($J253&gt;MAX('Match Log'!$A$4:$A$810),NA(),IFERROR(LOOKUP(2,1/(('Match Log'!$D$4:$D$810=$V$24)*('Match Log'!$A$4:$A$810&lt;=$J253)),'Match Log'!$N$4:$N$810),NA()))</f>
        <v>#N/A</v>
      </c>
      <c r="W253" t="e">
        <f>IF($J253&gt;MAX('Match Log'!$A$4:$A$810),NA(),IFERROR(LOOKUP(2,1/(('Match Log'!$D$4:$D$810=$W$24)*('Match Log'!$A$4:$A$810&lt;=$J253)),'Match Log'!$N$4:$N$810),NA()))</f>
        <v>#N/A</v>
      </c>
      <c r="X253" t="e">
        <f>IF($J253&gt;MAX('Match Log'!$A$4:$A$810),NA(),IFERROR(LOOKUP(2,1/(('Match Log'!$D$4:$D$810=$X$24)*('Match Log'!$A$4:$A$810&lt;=$J253)),'Match Log'!$N$4:$N$810),NA()))</f>
        <v>#N/A</v>
      </c>
      <c r="Y253" t="str">
        <f t="shared" ca="1" si="33"/>
        <v/>
      </c>
    </row>
    <row r="254" spans="1:25" x14ac:dyDescent="0.2">
      <c r="A254">
        <v>230</v>
      </c>
      <c r="B254" t="str">
        <f>IFERROR(INDEX('Match Log'!$B$4:$B$810,MATCH(230,'Match Log'!$A$4:$A$810,0)),"")</f>
        <v/>
      </c>
      <c r="C254" t="str">
        <f>IFERROR(INDEX('Match Log'!$C$4:$C$810,MATCH(230,'Match Log'!$A$4:$A$810,0)),"")</f>
        <v/>
      </c>
      <c r="D254" t="str">
        <f t="array" ref="D254">IFERROR(_xlfn.TEXTJOIN(" + ",TRUE,IF(('Match Log'!$A$4:$A$810=$A254)*('Match Log'!$E$4:$E$810="Win"),'Match Log'!$D$4:$D$810,"")),IFERROR(LOOKUP(2,1/(('Match Log'!$A$4:$A$810=$A254)*('Match Log'!$E$4:$E$810="Win")),'Match Log'!$D$4:$D$810),""))</f>
        <v/>
      </c>
      <c r="E254" t="str">
        <f>IFERROR(INDEX('Match Log'!$F$4:$F$810,MATCH(230,'Match Log'!$A$4:$A$810,0)),"")</f>
        <v/>
      </c>
      <c r="F254">
        <f>IFERROR(SUMIFS('Match Log'!$I$4:$I$810,'Match Log'!$A$4:$A$810,230,'Match Log'!$E$4:$E$810,"Win"),"")</f>
        <v>0</v>
      </c>
      <c r="G254" t="str">
        <f t="shared" si="31"/>
        <v/>
      </c>
      <c r="H254" t="str">
        <f t="array" ref="H254">IFERROR(IF(COUNTIFS('Match Log'!$A$4:$A$810,$A254,'Match Log'!$E$4:$E$810,"Win")&gt;1,_xlfn.TEXTJOIN(" + ",TRUE,IF(('Match Log'!$A$4:$A$810=$A254)*('Match Log'!$E$4:$E$810="Loss"),'Match Log'!$D$4:$D$810,"")),IF($E254=2,LOOKUP(2,1/(('Match Log'!$A$4:$A$810=$A254)*('Match Log'!$E$4:$E$810="Loss")),'Match Log'!$D$4:$D$810),"the field")),"")</f>
        <v>the field</v>
      </c>
      <c r="I254" t="str">
        <f t="shared" si="32"/>
        <v/>
      </c>
      <c r="J254">
        <v>230</v>
      </c>
      <c r="K254" t="e">
        <f>IF($J254&gt;MAX('Match Log'!$A$4:$A$810),NA(),IFERROR(LOOKUP(2,1/(('Match Log'!$D$4:$D$810=$K$24)*('Match Log'!$A$4:$A$810&lt;=$J254)),'Match Log'!$N$4:$N$810),NA()))</f>
        <v>#N/A</v>
      </c>
      <c r="L254" t="e">
        <f>IF($J254&gt;MAX('Match Log'!$A$4:$A$810),NA(),IFERROR(LOOKUP(2,1/(('Match Log'!$D$4:$D$810=$L$24)*('Match Log'!$A$4:$A$810&lt;=$J254)),'Match Log'!$N$4:$N$810),NA()))</f>
        <v>#N/A</v>
      </c>
      <c r="M254" t="e">
        <f>IF($J254&gt;MAX('Match Log'!$A$4:$A$810),NA(),IFERROR(LOOKUP(2,1/(('Match Log'!$D$4:$D$810=$M$24)*('Match Log'!$A$4:$A$810&lt;=$J254)),'Match Log'!$N$4:$N$810),NA()))</f>
        <v>#N/A</v>
      </c>
      <c r="N254" t="e">
        <f>IF($J254&gt;MAX('Match Log'!$A$4:$A$810),NA(),IFERROR(LOOKUP(2,1/(('Match Log'!$D$4:$D$810=$N$24)*('Match Log'!$A$4:$A$810&lt;=$J254)),'Match Log'!$N$4:$N$810),NA()))</f>
        <v>#N/A</v>
      </c>
      <c r="O254" t="e">
        <f>IF($J254&gt;MAX('Match Log'!$A$4:$A$810),NA(),IFERROR(LOOKUP(2,1/(('Match Log'!$D$4:$D$810=$O$24)*('Match Log'!$A$4:$A$810&lt;=$J254)),'Match Log'!$N$4:$N$810),NA()))</f>
        <v>#N/A</v>
      </c>
      <c r="P254" t="e">
        <f>IF($J254&gt;MAX('Match Log'!$A$4:$A$810),NA(),IFERROR(LOOKUP(2,1/(('Match Log'!$D$4:$D$810=$P$24)*('Match Log'!$A$4:$A$810&lt;=$J254)),'Match Log'!$N$4:$N$810),NA()))</f>
        <v>#N/A</v>
      </c>
      <c r="Q254" t="e">
        <f>IF($J254&gt;MAX('Match Log'!$A$4:$A$810),NA(),IFERROR(LOOKUP(2,1/(('Match Log'!$D$4:$D$810=$Q$24)*('Match Log'!$A$4:$A$810&lt;=$J254)),'Match Log'!$N$4:$N$810),NA()))</f>
        <v>#N/A</v>
      </c>
      <c r="R254" t="e">
        <f>IF($J254&gt;MAX('Match Log'!$A$4:$A$810),NA(),IFERROR(LOOKUP(2,1/(('Match Log'!$D$4:$D$810=$R$24)*('Match Log'!$A$4:$A$810&lt;=$J254)),'Match Log'!$N$4:$N$810),NA()))</f>
        <v>#N/A</v>
      </c>
      <c r="S254" t="e">
        <f>IF($J254&gt;MAX('Match Log'!$A$4:$A$810),NA(),IFERROR(LOOKUP(2,1/(('Match Log'!$D$4:$D$810=$S$24)*('Match Log'!$A$4:$A$810&lt;=$J254)),'Match Log'!$N$4:$N$810),NA()))</f>
        <v>#N/A</v>
      </c>
      <c r="T254" t="e">
        <f>IF($J254&gt;MAX('Match Log'!$A$4:$A$810),NA(),IFERROR(LOOKUP(2,1/(('Match Log'!$D$4:$D$810=$T$24)*('Match Log'!$A$4:$A$810&lt;=$J254)),'Match Log'!$N$4:$N$810),NA()))</f>
        <v>#N/A</v>
      </c>
      <c r="U254" t="e">
        <f>IF($J254&gt;MAX('Match Log'!$A$4:$A$810),NA(),IFERROR(LOOKUP(2,1/(('Match Log'!$D$4:$D$810=$U$24)*('Match Log'!$A$4:$A$810&lt;=$J254)),'Match Log'!$N$4:$N$810),NA()))</f>
        <v>#N/A</v>
      </c>
      <c r="V254" t="e">
        <f>IF($J254&gt;MAX('Match Log'!$A$4:$A$810),NA(),IFERROR(LOOKUP(2,1/(('Match Log'!$D$4:$D$810=$V$24)*('Match Log'!$A$4:$A$810&lt;=$J254)),'Match Log'!$N$4:$N$810),NA()))</f>
        <v>#N/A</v>
      </c>
      <c r="W254" t="e">
        <f>IF($J254&gt;MAX('Match Log'!$A$4:$A$810),NA(),IFERROR(LOOKUP(2,1/(('Match Log'!$D$4:$D$810=$W$24)*('Match Log'!$A$4:$A$810&lt;=$J254)),'Match Log'!$N$4:$N$810),NA()))</f>
        <v>#N/A</v>
      </c>
      <c r="X254" t="e">
        <f>IF($J254&gt;MAX('Match Log'!$A$4:$A$810),NA(),IFERROR(LOOKUP(2,1/(('Match Log'!$D$4:$D$810=$X$24)*('Match Log'!$A$4:$A$810&lt;=$J254)),'Match Log'!$N$4:$N$810),NA()))</f>
        <v>#N/A</v>
      </c>
      <c r="Y254" t="str">
        <f t="shared" ca="1" si="33"/>
        <v/>
      </c>
    </row>
    <row r="255" spans="1:25" x14ac:dyDescent="0.2">
      <c r="A255">
        <v>231</v>
      </c>
      <c r="B255" t="str">
        <f>IFERROR(INDEX('Match Log'!$B$4:$B$810,MATCH(231,'Match Log'!$A$4:$A$810,0)),"")</f>
        <v/>
      </c>
      <c r="C255" t="str">
        <f>IFERROR(INDEX('Match Log'!$C$4:$C$810,MATCH(231,'Match Log'!$A$4:$A$810,0)),"")</f>
        <v/>
      </c>
      <c r="D255" t="str">
        <f t="array" ref="D255">IFERROR(_xlfn.TEXTJOIN(" + ",TRUE,IF(('Match Log'!$A$4:$A$810=$A255)*('Match Log'!$E$4:$E$810="Win"),'Match Log'!$D$4:$D$810,"")),IFERROR(LOOKUP(2,1/(('Match Log'!$A$4:$A$810=$A255)*('Match Log'!$E$4:$E$810="Win")),'Match Log'!$D$4:$D$810),""))</f>
        <v/>
      </c>
      <c r="E255" t="str">
        <f>IFERROR(INDEX('Match Log'!$F$4:$F$810,MATCH(231,'Match Log'!$A$4:$A$810,0)),"")</f>
        <v/>
      </c>
      <c r="F255">
        <f>IFERROR(SUMIFS('Match Log'!$I$4:$I$810,'Match Log'!$A$4:$A$810,231,'Match Log'!$E$4:$E$810,"Win"),"")</f>
        <v>0</v>
      </c>
      <c r="G255" t="str">
        <f t="shared" si="31"/>
        <v/>
      </c>
      <c r="H255" t="str">
        <f t="array" ref="H255">IFERROR(IF(COUNTIFS('Match Log'!$A$4:$A$810,$A255,'Match Log'!$E$4:$E$810,"Win")&gt;1,_xlfn.TEXTJOIN(" + ",TRUE,IF(('Match Log'!$A$4:$A$810=$A255)*('Match Log'!$E$4:$E$810="Loss"),'Match Log'!$D$4:$D$810,"")),IF($E255=2,LOOKUP(2,1/(('Match Log'!$A$4:$A$810=$A255)*('Match Log'!$E$4:$E$810="Loss")),'Match Log'!$D$4:$D$810),"the field")),"")</f>
        <v>the field</v>
      </c>
      <c r="I255" t="str">
        <f t="shared" si="32"/>
        <v/>
      </c>
      <c r="J255">
        <v>231</v>
      </c>
      <c r="K255" t="e">
        <f>IF($J255&gt;MAX('Match Log'!$A$4:$A$810),NA(),IFERROR(LOOKUP(2,1/(('Match Log'!$D$4:$D$810=$K$24)*('Match Log'!$A$4:$A$810&lt;=$J255)),'Match Log'!$N$4:$N$810),NA()))</f>
        <v>#N/A</v>
      </c>
      <c r="L255" t="e">
        <f>IF($J255&gt;MAX('Match Log'!$A$4:$A$810),NA(),IFERROR(LOOKUP(2,1/(('Match Log'!$D$4:$D$810=$L$24)*('Match Log'!$A$4:$A$810&lt;=$J255)),'Match Log'!$N$4:$N$810),NA()))</f>
        <v>#N/A</v>
      </c>
      <c r="M255" t="e">
        <f>IF($J255&gt;MAX('Match Log'!$A$4:$A$810),NA(),IFERROR(LOOKUP(2,1/(('Match Log'!$D$4:$D$810=$M$24)*('Match Log'!$A$4:$A$810&lt;=$J255)),'Match Log'!$N$4:$N$810),NA()))</f>
        <v>#N/A</v>
      </c>
      <c r="N255" t="e">
        <f>IF($J255&gt;MAX('Match Log'!$A$4:$A$810),NA(),IFERROR(LOOKUP(2,1/(('Match Log'!$D$4:$D$810=$N$24)*('Match Log'!$A$4:$A$810&lt;=$J255)),'Match Log'!$N$4:$N$810),NA()))</f>
        <v>#N/A</v>
      </c>
      <c r="O255" t="e">
        <f>IF($J255&gt;MAX('Match Log'!$A$4:$A$810),NA(),IFERROR(LOOKUP(2,1/(('Match Log'!$D$4:$D$810=$O$24)*('Match Log'!$A$4:$A$810&lt;=$J255)),'Match Log'!$N$4:$N$810),NA()))</f>
        <v>#N/A</v>
      </c>
      <c r="P255" t="e">
        <f>IF($J255&gt;MAX('Match Log'!$A$4:$A$810),NA(),IFERROR(LOOKUP(2,1/(('Match Log'!$D$4:$D$810=$P$24)*('Match Log'!$A$4:$A$810&lt;=$J255)),'Match Log'!$N$4:$N$810),NA()))</f>
        <v>#N/A</v>
      </c>
      <c r="Q255" t="e">
        <f>IF($J255&gt;MAX('Match Log'!$A$4:$A$810),NA(),IFERROR(LOOKUP(2,1/(('Match Log'!$D$4:$D$810=$Q$24)*('Match Log'!$A$4:$A$810&lt;=$J255)),'Match Log'!$N$4:$N$810),NA()))</f>
        <v>#N/A</v>
      </c>
      <c r="R255" t="e">
        <f>IF($J255&gt;MAX('Match Log'!$A$4:$A$810),NA(),IFERROR(LOOKUP(2,1/(('Match Log'!$D$4:$D$810=$R$24)*('Match Log'!$A$4:$A$810&lt;=$J255)),'Match Log'!$N$4:$N$810),NA()))</f>
        <v>#N/A</v>
      </c>
      <c r="S255" t="e">
        <f>IF($J255&gt;MAX('Match Log'!$A$4:$A$810),NA(),IFERROR(LOOKUP(2,1/(('Match Log'!$D$4:$D$810=$S$24)*('Match Log'!$A$4:$A$810&lt;=$J255)),'Match Log'!$N$4:$N$810),NA()))</f>
        <v>#N/A</v>
      </c>
      <c r="T255" t="e">
        <f>IF($J255&gt;MAX('Match Log'!$A$4:$A$810),NA(),IFERROR(LOOKUP(2,1/(('Match Log'!$D$4:$D$810=$T$24)*('Match Log'!$A$4:$A$810&lt;=$J255)),'Match Log'!$N$4:$N$810),NA()))</f>
        <v>#N/A</v>
      </c>
      <c r="U255" t="e">
        <f>IF($J255&gt;MAX('Match Log'!$A$4:$A$810),NA(),IFERROR(LOOKUP(2,1/(('Match Log'!$D$4:$D$810=$U$24)*('Match Log'!$A$4:$A$810&lt;=$J255)),'Match Log'!$N$4:$N$810),NA()))</f>
        <v>#N/A</v>
      </c>
      <c r="V255" t="e">
        <f>IF($J255&gt;MAX('Match Log'!$A$4:$A$810),NA(),IFERROR(LOOKUP(2,1/(('Match Log'!$D$4:$D$810=$V$24)*('Match Log'!$A$4:$A$810&lt;=$J255)),'Match Log'!$N$4:$N$810),NA()))</f>
        <v>#N/A</v>
      </c>
      <c r="W255" t="e">
        <f>IF($J255&gt;MAX('Match Log'!$A$4:$A$810),NA(),IFERROR(LOOKUP(2,1/(('Match Log'!$D$4:$D$810=$W$24)*('Match Log'!$A$4:$A$810&lt;=$J255)),'Match Log'!$N$4:$N$810),NA()))</f>
        <v>#N/A</v>
      </c>
      <c r="X255" t="e">
        <f>IF($J255&gt;MAX('Match Log'!$A$4:$A$810),NA(),IFERROR(LOOKUP(2,1/(('Match Log'!$D$4:$D$810=$X$24)*('Match Log'!$A$4:$A$810&lt;=$J255)),'Match Log'!$N$4:$N$810),NA()))</f>
        <v>#N/A</v>
      </c>
      <c r="Y255" t="str">
        <f t="shared" ca="1" si="33"/>
        <v/>
      </c>
    </row>
    <row r="256" spans="1:25" x14ac:dyDescent="0.2">
      <c r="A256">
        <v>232</v>
      </c>
      <c r="B256" t="str">
        <f>IFERROR(INDEX('Match Log'!$B$4:$B$810,MATCH(232,'Match Log'!$A$4:$A$810,0)),"")</f>
        <v/>
      </c>
      <c r="C256" t="str">
        <f>IFERROR(INDEX('Match Log'!$C$4:$C$810,MATCH(232,'Match Log'!$A$4:$A$810,0)),"")</f>
        <v/>
      </c>
      <c r="D256" t="str">
        <f t="array" ref="D256">IFERROR(_xlfn.TEXTJOIN(" + ",TRUE,IF(('Match Log'!$A$4:$A$810=$A256)*('Match Log'!$E$4:$E$810="Win"),'Match Log'!$D$4:$D$810,"")),IFERROR(LOOKUP(2,1/(('Match Log'!$A$4:$A$810=$A256)*('Match Log'!$E$4:$E$810="Win")),'Match Log'!$D$4:$D$810),""))</f>
        <v/>
      </c>
      <c r="E256" t="str">
        <f>IFERROR(INDEX('Match Log'!$F$4:$F$810,MATCH(232,'Match Log'!$A$4:$A$810,0)),"")</f>
        <v/>
      </c>
      <c r="F256">
        <f>IFERROR(SUMIFS('Match Log'!$I$4:$I$810,'Match Log'!$A$4:$A$810,232,'Match Log'!$E$4:$E$810,"Win"),"")</f>
        <v>0</v>
      </c>
      <c r="G256" t="str">
        <f t="shared" si="31"/>
        <v/>
      </c>
      <c r="H256" t="str">
        <f t="array" ref="H256">IFERROR(IF(COUNTIFS('Match Log'!$A$4:$A$810,$A256,'Match Log'!$E$4:$E$810,"Win")&gt;1,_xlfn.TEXTJOIN(" + ",TRUE,IF(('Match Log'!$A$4:$A$810=$A256)*('Match Log'!$E$4:$E$810="Loss"),'Match Log'!$D$4:$D$810,"")),IF($E256=2,LOOKUP(2,1/(('Match Log'!$A$4:$A$810=$A256)*('Match Log'!$E$4:$E$810="Loss")),'Match Log'!$D$4:$D$810),"the field")),"")</f>
        <v>the field</v>
      </c>
      <c r="I256" t="str">
        <f t="shared" si="32"/>
        <v/>
      </c>
      <c r="J256">
        <v>232</v>
      </c>
      <c r="K256" t="e">
        <f>IF($J256&gt;MAX('Match Log'!$A$4:$A$810),NA(),IFERROR(LOOKUP(2,1/(('Match Log'!$D$4:$D$810=$K$24)*('Match Log'!$A$4:$A$810&lt;=$J256)),'Match Log'!$N$4:$N$810),NA()))</f>
        <v>#N/A</v>
      </c>
      <c r="L256" t="e">
        <f>IF($J256&gt;MAX('Match Log'!$A$4:$A$810),NA(),IFERROR(LOOKUP(2,1/(('Match Log'!$D$4:$D$810=$L$24)*('Match Log'!$A$4:$A$810&lt;=$J256)),'Match Log'!$N$4:$N$810),NA()))</f>
        <v>#N/A</v>
      </c>
      <c r="M256" t="e">
        <f>IF($J256&gt;MAX('Match Log'!$A$4:$A$810),NA(),IFERROR(LOOKUP(2,1/(('Match Log'!$D$4:$D$810=$M$24)*('Match Log'!$A$4:$A$810&lt;=$J256)),'Match Log'!$N$4:$N$810),NA()))</f>
        <v>#N/A</v>
      </c>
      <c r="N256" t="e">
        <f>IF($J256&gt;MAX('Match Log'!$A$4:$A$810),NA(),IFERROR(LOOKUP(2,1/(('Match Log'!$D$4:$D$810=$N$24)*('Match Log'!$A$4:$A$810&lt;=$J256)),'Match Log'!$N$4:$N$810),NA()))</f>
        <v>#N/A</v>
      </c>
      <c r="O256" t="e">
        <f>IF($J256&gt;MAX('Match Log'!$A$4:$A$810),NA(),IFERROR(LOOKUP(2,1/(('Match Log'!$D$4:$D$810=$O$24)*('Match Log'!$A$4:$A$810&lt;=$J256)),'Match Log'!$N$4:$N$810),NA()))</f>
        <v>#N/A</v>
      </c>
      <c r="P256" t="e">
        <f>IF($J256&gt;MAX('Match Log'!$A$4:$A$810),NA(),IFERROR(LOOKUP(2,1/(('Match Log'!$D$4:$D$810=$P$24)*('Match Log'!$A$4:$A$810&lt;=$J256)),'Match Log'!$N$4:$N$810),NA()))</f>
        <v>#N/A</v>
      </c>
      <c r="Q256" t="e">
        <f>IF($J256&gt;MAX('Match Log'!$A$4:$A$810),NA(),IFERROR(LOOKUP(2,1/(('Match Log'!$D$4:$D$810=$Q$24)*('Match Log'!$A$4:$A$810&lt;=$J256)),'Match Log'!$N$4:$N$810),NA()))</f>
        <v>#N/A</v>
      </c>
      <c r="R256" t="e">
        <f>IF($J256&gt;MAX('Match Log'!$A$4:$A$810),NA(),IFERROR(LOOKUP(2,1/(('Match Log'!$D$4:$D$810=$R$24)*('Match Log'!$A$4:$A$810&lt;=$J256)),'Match Log'!$N$4:$N$810),NA()))</f>
        <v>#N/A</v>
      </c>
      <c r="S256" t="e">
        <f>IF($J256&gt;MAX('Match Log'!$A$4:$A$810),NA(),IFERROR(LOOKUP(2,1/(('Match Log'!$D$4:$D$810=$S$24)*('Match Log'!$A$4:$A$810&lt;=$J256)),'Match Log'!$N$4:$N$810),NA()))</f>
        <v>#N/A</v>
      </c>
      <c r="T256" t="e">
        <f>IF($J256&gt;MAX('Match Log'!$A$4:$A$810),NA(),IFERROR(LOOKUP(2,1/(('Match Log'!$D$4:$D$810=$T$24)*('Match Log'!$A$4:$A$810&lt;=$J256)),'Match Log'!$N$4:$N$810),NA()))</f>
        <v>#N/A</v>
      </c>
      <c r="U256" t="e">
        <f>IF($J256&gt;MAX('Match Log'!$A$4:$A$810),NA(),IFERROR(LOOKUP(2,1/(('Match Log'!$D$4:$D$810=$U$24)*('Match Log'!$A$4:$A$810&lt;=$J256)),'Match Log'!$N$4:$N$810),NA()))</f>
        <v>#N/A</v>
      </c>
      <c r="V256" t="e">
        <f>IF($J256&gt;MAX('Match Log'!$A$4:$A$810),NA(),IFERROR(LOOKUP(2,1/(('Match Log'!$D$4:$D$810=$V$24)*('Match Log'!$A$4:$A$810&lt;=$J256)),'Match Log'!$N$4:$N$810),NA()))</f>
        <v>#N/A</v>
      </c>
      <c r="W256" t="e">
        <f>IF($J256&gt;MAX('Match Log'!$A$4:$A$810),NA(),IFERROR(LOOKUP(2,1/(('Match Log'!$D$4:$D$810=$W$24)*('Match Log'!$A$4:$A$810&lt;=$J256)),'Match Log'!$N$4:$N$810),NA()))</f>
        <v>#N/A</v>
      </c>
      <c r="X256" t="e">
        <f>IF($J256&gt;MAX('Match Log'!$A$4:$A$810),NA(),IFERROR(LOOKUP(2,1/(('Match Log'!$D$4:$D$810=$X$24)*('Match Log'!$A$4:$A$810&lt;=$J256)),'Match Log'!$N$4:$N$810),NA()))</f>
        <v>#N/A</v>
      </c>
      <c r="Y256" t="str">
        <f t="shared" ca="1" si="33"/>
        <v/>
      </c>
    </row>
    <row r="257" spans="1:25" x14ac:dyDescent="0.2">
      <c r="A257">
        <v>233</v>
      </c>
      <c r="B257" t="str">
        <f>IFERROR(INDEX('Match Log'!$B$4:$B$810,MATCH(233,'Match Log'!$A$4:$A$810,0)),"")</f>
        <v/>
      </c>
      <c r="C257" t="str">
        <f>IFERROR(INDEX('Match Log'!$C$4:$C$810,MATCH(233,'Match Log'!$A$4:$A$810,0)),"")</f>
        <v/>
      </c>
      <c r="D257" t="str">
        <f t="array" ref="D257">IFERROR(_xlfn.TEXTJOIN(" + ",TRUE,IF(('Match Log'!$A$4:$A$810=$A257)*('Match Log'!$E$4:$E$810="Win"),'Match Log'!$D$4:$D$810,"")),IFERROR(LOOKUP(2,1/(('Match Log'!$A$4:$A$810=$A257)*('Match Log'!$E$4:$E$810="Win")),'Match Log'!$D$4:$D$810),""))</f>
        <v/>
      </c>
      <c r="E257" t="str">
        <f>IFERROR(INDEX('Match Log'!$F$4:$F$810,MATCH(233,'Match Log'!$A$4:$A$810,0)),"")</f>
        <v/>
      </c>
      <c r="F257">
        <f>IFERROR(SUMIFS('Match Log'!$I$4:$I$810,'Match Log'!$A$4:$A$810,233,'Match Log'!$E$4:$E$810,"Win"),"")</f>
        <v>0</v>
      </c>
      <c r="G257" t="str">
        <f t="shared" si="31"/>
        <v/>
      </c>
      <c r="H257" t="str">
        <f t="array" ref="H257">IFERROR(IF(COUNTIFS('Match Log'!$A$4:$A$810,$A257,'Match Log'!$E$4:$E$810,"Win")&gt;1,_xlfn.TEXTJOIN(" + ",TRUE,IF(('Match Log'!$A$4:$A$810=$A257)*('Match Log'!$E$4:$E$810="Loss"),'Match Log'!$D$4:$D$810,"")),IF($E257=2,LOOKUP(2,1/(('Match Log'!$A$4:$A$810=$A257)*('Match Log'!$E$4:$E$810="Loss")),'Match Log'!$D$4:$D$810),"the field")),"")</f>
        <v>the field</v>
      </c>
      <c r="I257" t="str">
        <f t="shared" si="32"/>
        <v/>
      </c>
      <c r="J257">
        <v>233</v>
      </c>
      <c r="K257" t="e">
        <f>IF($J257&gt;MAX('Match Log'!$A$4:$A$810),NA(),IFERROR(LOOKUP(2,1/(('Match Log'!$D$4:$D$810=$K$24)*('Match Log'!$A$4:$A$810&lt;=$J257)),'Match Log'!$N$4:$N$810),NA()))</f>
        <v>#N/A</v>
      </c>
      <c r="L257" t="e">
        <f>IF($J257&gt;MAX('Match Log'!$A$4:$A$810),NA(),IFERROR(LOOKUP(2,1/(('Match Log'!$D$4:$D$810=$L$24)*('Match Log'!$A$4:$A$810&lt;=$J257)),'Match Log'!$N$4:$N$810),NA()))</f>
        <v>#N/A</v>
      </c>
      <c r="M257" t="e">
        <f>IF($J257&gt;MAX('Match Log'!$A$4:$A$810),NA(),IFERROR(LOOKUP(2,1/(('Match Log'!$D$4:$D$810=$M$24)*('Match Log'!$A$4:$A$810&lt;=$J257)),'Match Log'!$N$4:$N$810),NA()))</f>
        <v>#N/A</v>
      </c>
      <c r="N257" t="e">
        <f>IF($J257&gt;MAX('Match Log'!$A$4:$A$810),NA(),IFERROR(LOOKUP(2,1/(('Match Log'!$D$4:$D$810=$N$24)*('Match Log'!$A$4:$A$810&lt;=$J257)),'Match Log'!$N$4:$N$810),NA()))</f>
        <v>#N/A</v>
      </c>
      <c r="O257" t="e">
        <f>IF($J257&gt;MAX('Match Log'!$A$4:$A$810),NA(),IFERROR(LOOKUP(2,1/(('Match Log'!$D$4:$D$810=$O$24)*('Match Log'!$A$4:$A$810&lt;=$J257)),'Match Log'!$N$4:$N$810),NA()))</f>
        <v>#N/A</v>
      </c>
      <c r="P257" t="e">
        <f>IF($J257&gt;MAX('Match Log'!$A$4:$A$810),NA(),IFERROR(LOOKUP(2,1/(('Match Log'!$D$4:$D$810=$P$24)*('Match Log'!$A$4:$A$810&lt;=$J257)),'Match Log'!$N$4:$N$810),NA()))</f>
        <v>#N/A</v>
      </c>
      <c r="Q257" t="e">
        <f>IF($J257&gt;MAX('Match Log'!$A$4:$A$810),NA(),IFERROR(LOOKUP(2,1/(('Match Log'!$D$4:$D$810=$Q$24)*('Match Log'!$A$4:$A$810&lt;=$J257)),'Match Log'!$N$4:$N$810),NA()))</f>
        <v>#N/A</v>
      </c>
      <c r="R257" t="e">
        <f>IF($J257&gt;MAX('Match Log'!$A$4:$A$810),NA(),IFERROR(LOOKUP(2,1/(('Match Log'!$D$4:$D$810=$R$24)*('Match Log'!$A$4:$A$810&lt;=$J257)),'Match Log'!$N$4:$N$810),NA()))</f>
        <v>#N/A</v>
      </c>
      <c r="S257" t="e">
        <f>IF($J257&gt;MAX('Match Log'!$A$4:$A$810),NA(),IFERROR(LOOKUP(2,1/(('Match Log'!$D$4:$D$810=$S$24)*('Match Log'!$A$4:$A$810&lt;=$J257)),'Match Log'!$N$4:$N$810),NA()))</f>
        <v>#N/A</v>
      </c>
      <c r="T257" t="e">
        <f>IF($J257&gt;MAX('Match Log'!$A$4:$A$810),NA(),IFERROR(LOOKUP(2,1/(('Match Log'!$D$4:$D$810=$T$24)*('Match Log'!$A$4:$A$810&lt;=$J257)),'Match Log'!$N$4:$N$810),NA()))</f>
        <v>#N/A</v>
      </c>
      <c r="U257" t="e">
        <f>IF($J257&gt;MAX('Match Log'!$A$4:$A$810),NA(),IFERROR(LOOKUP(2,1/(('Match Log'!$D$4:$D$810=$U$24)*('Match Log'!$A$4:$A$810&lt;=$J257)),'Match Log'!$N$4:$N$810),NA()))</f>
        <v>#N/A</v>
      </c>
      <c r="V257" t="e">
        <f>IF($J257&gt;MAX('Match Log'!$A$4:$A$810),NA(),IFERROR(LOOKUP(2,1/(('Match Log'!$D$4:$D$810=$V$24)*('Match Log'!$A$4:$A$810&lt;=$J257)),'Match Log'!$N$4:$N$810),NA()))</f>
        <v>#N/A</v>
      </c>
      <c r="W257" t="e">
        <f>IF($J257&gt;MAX('Match Log'!$A$4:$A$810),NA(),IFERROR(LOOKUP(2,1/(('Match Log'!$D$4:$D$810=$W$24)*('Match Log'!$A$4:$A$810&lt;=$J257)),'Match Log'!$N$4:$N$810),NA()))</f>
        <v>#N/A</v>
      </c>
      <c r="X257" t="e">
        <f>IF($J257&gt;MAX('Match Log'!$A$4:$A$810),NA(),IFERROR(LOOKUP(2,1/(('Match Log'!$D$4:$D$810=$X$24)*('Match Log'!$A$4:$A$810&lt;=$J257)),'Match Log'!$N$4:$N$810),NA()))</f>
        <v>#N/A</v>
      </c>
      <c r="Y257" t="str">
        <f t="shared" ca="1" si="33"/>
        <v/>
      </c>
    </row>
    <row r="258" spans="1:25" x14ac:dyDescent="0.2">
      <c r="A258">
        <v>234</v>
      </c>
      <c r="B258" t="str">
        <f>IFERROR(INDEX('Match Log'!$B$4:$B$810,MATCH(234,'Match Log'!$A$4:$A$810,0)),"")</f>
        <v/>
      </c>
      <c r="C258" t="str">
        <f>IFERROR(INDEX('Match Log'!$C$4:$C$810,MATCH(234,'Match Log'!$A$4:$A$810,0)),"")</f>
        <v/>
      </c>
      <c r="D258" t="str">
        <f t="array" ref="D258">IFERROR(_xlfn.TEXTJOIN(" + ",TRUE,IF(('Match Log'!$A$4:$A$810=$A258)*('Match Log'!$E$4:$E$810="Win"),'Match Log'!$D$4:$D$810,"")),IFERROR(LOOKUP(2,1/(('Match Log'!$A$4:$A$810=$A258)*('Match Log'!$E$4:$E$810="Win")),'Match Log'!$D$4:$D$810),""))</f>
        <v/>
      </c>
      <c r="E258" t="str">
        <f>IFERROR(INDEX('Match Log'!$F$4:$F$810,MATCH(234,'Match Log'!$A$4:$A$810,0)),"")</f>
        <v/>
      </c>
      <c r="F258">
        <f>IFERROR(SUMIFS('Match Log'!$I$4:$I$810,'Match Log'!$A$4:$A$810,234,'Match Log'!$E$4:$E$810,"Win"),"")</f>
        <v>0</v>
      </c>
      <c r="G258" t="str">
        <f t="shared" si="31"/>
        <v/>
      </c>
      <c r="H258" t="str">
        <f t="array" ref="H258">IFERROR(IF(COUNTIFS('Match Log'!$A$4:$A$810,$A258,'Match Log'!$E$4:$E$810,"Win")&gt;1,_xlfn.TEXTJOIN(" + ",TRUE,IF(('Match Log'!$A$4:$A$810=$A258)*('Match Log'!$E$4:$E$810="Loss"),'Match Log'!$D$4:$D$810,"")),IF($E258=2,LOOKUP(2,1/(('Match Log'!$A$4:$A$810=$A258)*('Match Log'!$E$4:$E$810="Loss")),'Match Log'!$D$4:$D$810),"the field")),"")</f>
        <v>the field</v>
      </c>
      <c r="I258" t="str">
        <f t="shared" si="32"/>
        <v/>
      </c>
      <c r="J258">
        <v>234</v>
      </c>
      <c r="K258" t="e">
        <f>IF($J258&gt;MAX('Match Log'!$A$4:$A$810),NA(),IFERROR(LOOKUP(2,1/(('Match Log'!$D$4:$D$810=$K$24)*('Match Log'!$A$4:$A$810&lt;=$J258)),'Match Log'!$N$4:$N$810),NA()))</f>
        <v>#N/A</v>
      </c>
      <c r="L258" t="e">
        <f>IF($J258&gt;MAX('Match Log'!$A$4:$A$810),NA(),IFERROR(LOOKUP(2,1/(('Match Log'!$D$4:$D$810=$L$24)*('Match Log'!$A$4:$A$810&lt;=$J258)),'Match Log'!$N$4:$N$810),NA()))</f>
        <v>#N/A</v>
      </c>
      <c r="M258" t="e">
        <f>IF($J258&gt;MAX('Match Log'!$A$4:$A$810),NA(),IFERROR(LOOKUP(2,1/(('Match Log'!$D$4:$D$810=$M$24)*('Match Log'!$A$4:$A$810&lt;=$J258)),'Match Log'!$N$4:$N$810),NA()))</f>
        <v>#N/A</v>
      </c>
      <c r="N258" t="e">
        <f>IF($J258&gt;MAX('Match Log'!$A$4:$A$810),NA(),IFERROR(LOOKUP(2,1/(('Match Log'!$D$4:$D$810=$N$24)*('Match Log'!$A$4:$A$810&lt;=$J258)),'Match Log'!$N$4:$N$810),NA()))</f>
        <v>#N/A</v>
      </c>
      <c r="O258" t="e">
        <f>IF($J258&gt;MAX('Match Log'!$A$4:$A$810),NA(),IFERROR(LOOKUP(2,1/(('Match Log'!$D$4:$D$810=$O$24)*('Match Log'!$A$4:$A$810&lt;=$J258)),'Match Log'!$N$4:$N$810),NA()))</f>
        <v>#N/A</v>
      </c>
      <c r="P258" t="e">
        <f>IF($J258&gt;MAX('Match Log'!$A$4:$A$810),NA(),IFERROR(LOOKUP(2,1/(('Match Log'!$D$4:$D$810=$P$24)*('Match Log'!$A$4:$A$810&lt;=$J258)),'Match Log'!$N$4:$N$810),NA()))</f>
        <v>#N/A</v>
      </c>
      <c r="Q258" t="e">
        <f>IF($J258&gt;MAX('Match Log'!$A$4:$A$810),NA(),IFERROR(LOOKUP(2,1/(('Match Log'!$D$4:$D$810=$Q$24)*('Match Log'!$A$4:$A$810&lt;=$J258)),'Match Log'!$N$4:$N$810),NA()))</f>
        <v>#N/A</v>
      </c>
      <c r="R258" t="e">
        <f>IF($J258&gt;MAX('Match Log'!$A$4:$A$810),NA(),IFERROR(LOOKUP(2,1/(('Match Log'!$D$4:$D$810=$R$24)*('Match Log'!$A$4:$A$810&lt;=$J258)),'Match Log'!$N$4:$N$810),NA()))</f>
        <v>#N/A</v>
      </c>
      <c r="S258" t="e">
        <f>IF($J258&gt;MAX('Match Log'!$A$4:$A$810),NA(),IFERROR(LOOKUP(2,1/(('Match Log'!$D$4:$D$810=$S$24)*('Match Log'!$A$4:$A$810&lt;=$J258)),'Match Log'!$N$4:$N$810),NA()))</f>
        <v>#N/A</v>
      </c>
      <c r="T258" t="e">
        <f>IF($J258&gt;MAX('Match Log'!$A$4:$A$810),NA(),IFERROR(LOOKUP(2,1/(('Match Log'!$D$4:$D$810=$T$24)*('Match Log'!$A$4:$A$810&lt;=$J258)),'Match Log'!$N$4:$N$810),NA()))</f>
        <v>#N/A</v>
      </c>
      <c r="U258" t="e">
        <f>IF($J258&gt;MAX('Match Log'!$A$4:$A$810),NA(),IFERROR(LOOKUP(2,1/(('Match Log'!$D$4:$D$810=$U$24)*('Match Log'!$A$4:$A$810&lt;=$J258)),'Match Log'!$N$4:$N$810),NA()))</f>
        <v>#N/A</v>
      </c>
      <c r="V258" t="e">
        <f>IF($J258&gt;MAX('Match Log'!$A$4:$A$810),NA(),IFERROR(LOOKUP(2,1/(('Match Log'!$D$4:$D$810=$V$24)*('Match Log'!$A$4:$A$810&lt;=$J258)),'Match Log'!$N$4:$N$810),NA()))</f>
        <v>#N/A</v>
      </c>
      <c r="W258" t="e">
        <f>IF($J258&gt;MAX('Match Log'!$A$4:$A$810),NA(),IFERROR(LOOKUP(2,1/(('Match Log'!$D$4:$D$810=$W$24)*('Match Log'!$A$4:$A$810&lt;=$J258)),'Match Log'!$N$4:$N$810),NA()))</f>
        <v>#N/A</v>
      </c>
      <c r="X258" t="e">
        <f>IF($J258&gt;MAX('Match Log'!$A$4:$A$810),NA(),IFERROR(LOOKUP(2,1/(('Match Log'!$D$4:$D$810=$X$24)*('Match Log'!$A$4:$A$810&lt;=$J258)),'Match Log'!$N$4:$N$810),NA()))</f>
        <v>#N/A</v>
      </c>
      <c r="Y258" t="str">
        <f t="shared" ca="1" si="33"/>
        <v/>
      </c>
    </row>
    <row r="259" spans="1:25" x14ac:dyDescent="0.2">
      <c r="A259">
        <v>235</v>
      </c>
      <c r="B259" t="str">
        <f>IFERROR(INDEX('Match Log'!$B$4:$B$810,MATCH(235,'Match Log'!$A$4:$A$810,0)),"")</f>
        <v/>
      </c>
      <c r="C259" t="str">
        <f>IFERROR(INDEX('Match Log'!$C$4:$C$810,MATCH(235,'Match Log'!$A$4:$A$810,0)),"")</f>
        <v/>
      </c>
      <c r="D259" t="str">
        <f t="array" ref="D259">IFERROR(_xlfn.TEXTJOIN(" + ",TRUE,IF(('Match Log'!$A$4:$A$810=$A259)*('Match Log'!$E$4:$E$810="Win"),'Match Log'!$D$4:$D$810,"")),IFERROR(LOOKUP(2,1/(('Match Log'!$A$4:$A$810=$A259)*('Match Log'!$E$4:$E$810="Win")),'Match Log'!$D$4:$D$810),""))</f>
        <v/>
      </c>
      <c r="E259" t="str">
        <f>IFERROR(INDEX('Match Log'!$F$4:$F$810,MATCH(235,'Match Log'!$A$4:$A$810,0)),"")</f>
        <v/>
      </c>
      <c r="F259">
        <f>IFERROR(SUMIFS('Match Log'!$I$4:$I$810,'Match Log'!$A$4:$A$810,235,'Match Log'!$E$4:$E$810,"Win"),"")</f>
        <v>0</v>
      </c>
      <c r="G259" t="str">
        <f t="shared" si="31"/>
        <v/>
      </c>
      <c r="H259" t="str">
        <f t="array" ref="H259">IFERROR(IF(COUNTIFS('Match Log'!$A$4:$A$810,$A259,'Match Log'!$E$4:$E$810,"Win")&gt;1,_xlfn.TEXTJOIN(" + ",TRUE,IF(('Match Log'!$A$4:$A$810=$A259)*('Match Log'!$E$4:$E$810="Loss"),'Match Log'!$D$4:$D$810,"")),IF($E259=2,LOOKUP(2,1/(('Match Log'!$A$4:$A$810=$A259)*('Match Log'!$E$4:$E$810="Loss")),'Match Log'!$D$4:$D$810),"the field")),"")</f>
        <v>the field</v>
      </c>
      <c r="I259" t="str">
        <f t="shared" si="32"/>
        <v/>
      </c>
      <c r="J259">
        <v>235</v>
      </c>
      <c r="K259" t="e">
        <f>IF($J259&gt;MAX('Match Log'!$A$4:$A$810),NA(),IFERROR(LOOKUP(2,1/(('Match Log'!$D$4:$D$810=$K$24)*('Match Log'!$A$4:$A$810&lt;=$J259)),'Match Log'!$N$4:$N$810),NA()))</f>
        <v>#N/A</v>
      </c>
      <c r="L259" t="e">
        <f>IF($J259&gt;MAX('Match Log'!$A$4:$A$810),NA(),IFERROR(LOOKUP(2,1/(('Match Log'!$D$4:$D$810=$L$24)*('Match Log'!$A$4:$A$810&lt;=$J259)),'Match Log'!$N$4:$N$810),NA()))</f>
        <v>#N/A</v>
      </c>
      <c r="M259" t="e">
        <f>IF($J259&gt;MAX('Match Log'!$A$4:$A$810),NA(),IFERROR(LOOKUP(2,1/(('Match Log'!$D$4:$D$810=$M$24)*('Match Log'!$A$4:$A$810&lt;=$J259)),'Match Log'!$N$4:$N$810),NA()))</f>
        <v>#N/A</v>
      </c>
      <c r="N259" t="e">
        <f>IF($J259&gt;MAX('Match Log'!$A$4:$A$810),NA(),IFERROR(LOOKUP(2,1/(('Match Log'!$D$4:$D$810=$N$24)*('Match Log'!$A$4:$A$810&lt;=$J259)),'Match Log'!$N$4:$N$810),NA()))</f>
        <v>#N/A</v>
      </c>
      <c r="O259" t="e">
        <f>IF($J259&gt;MAX('Match Log'!$A$4:$A$810),NA(),IFERROR(LOOKUP(2,1/(('Match Log'!$D$4:$D$810=$O$24)*('Match Log'!$A$4:$A$810&lt;=$J259)),'Match Log'!$N$4:$N$810),NA()))</f>
        <v>#N/A</v>
      </c>
      <c r="P259" t="e">
        <f>IF($J259&gt;MAX('Match Log'!$A$4:$A$810),NA(),IFERROR(LOOKUP(2,1/(('Match Log'!$D$4:$D$810=$P$24)*('Match Log'!$A$4:$A$810&lt;=$J259)),'Match Log'!$N$4:$N$810),NA()))</f>
        <v>#N/A</v>
      </c>
      <c r="Q259" t="e">
        <f>IF($J259&gt;MAX('Match Log'!$A$4:$A$810),NA(),IFERROR(LOOKUP(2,1/(('Match Log'!$D$4:$D$810=$Q$24)*('Match Log'!$A$4:$A$810&lt;=$J259)),'Match Log'!$N$4:$N$810),NA()))</f>
        <v>#N/A</v>
      </c>
      <c r="R259" t="e">
        <f>IF($J259&gt;MAX('Match Log'!$A$4:$A$810),NA(),IFERROR(LOOKUP(2,1/(('Match Log'!$D$4:$D$810=$R$24)*('Match Log'!$A$4:$A$810&lt;=$J259)),'Match Log'!$N$4:$N$810),NA()))</f>
        <v>#N/A</v>
      </c>
      <c r="S259" t="e">
        <f>IF($J259&gt;MAX('Match Log'!$A$4:$A$810),NA(),IFERROR(LOOKUP(2,1/(('Match Log'!$D$4:$D$810=$S$24)*('Match Log'!$A$4:$A$810&lt;=$J259)),'Match Log'!$N$4:$N$810),NA()))</f>
        <v>#N/A</v>
      </c>
      <c r="T259" t="e">
        <f>IF($J259&gt;MAX('Match Log'!$A$4:$A$810),NA(),IFERROR(LOOKUP(2,1/(('Match Log'!$D$4:$D$810=$T$24)*('Match Log'!$A$4:$A$810&lt;=$J259)),'Match Log'!$N$4:$N$810),NA()))</f>
        <v>#N/A</v>
      </c>
      <c r="U259" t="e">
        <f>IF($J259&gt;MAX('Match Log'!$A$4:$A$810),NA(),IFERROR(LOOKUP(2,1/(('Match Log'!$D$4:$D$810=$U$24)*('Match Log'!$A$4:$A$810&lt;=$J259)),'Match Log'!$N$4:$N$810),NA()))</f>
        <v>#N/A</v>
      </c>
      <c r="V259" t="e">
        <f>IF($J259&gt;MAX('Match Log'!$A$4:$A$810),NA(),IFERROR(LOOKUP(2,1/(('Match Log'!$D$4:$D$810=$V$24)*('Match Log'!$A$4:$A$810&lt;=$J259)),'Match Log'!$N$4:$N$810),NA()))</f>
        <v>#N/A</v>
      </c>
      <c r="W259" t="e">
        <f>IF($J259&gt;MAX('Match Log'!$A$4:$A$810),NA(),IFERROR(LOOKUP(2,1/(('Match Log'!$D$4:$D$810=$W$24)*('Match Log'!$A$4:$A$810&lt;=$J259)),'Match Log'!$N$4:$N$810),NA()))</f>
        <v>#N/A</v>
      </c>
      <c r="X259" t="e">
        <f>IF($J259&gt;MAX('Match Log'!$A$4:$A$810),NA(),IFERROR(LOOKUP(2,1/(('Match Log'!$D$4:$D$810=$X$24)*('Match Log'!$A$4:$A$810&lt;=$J259)),'Match Log'!$N$4:$N$810),NA()))</f>
        <v>#N/A</v>
      </c>
      <c r="Y259" t="str">
        <f t="shared" ca="1" si="33"/>
        <v/>
      </c>
    </row>
    <row r="260" spans="1:25" x14ac:dyDescent="0.2">
      <c r="A260">
        <v>236</v>
      </c>
      <c r="B260" t="str">
        <f>IFERROR(INDEX('Match Log'!$B$4:$B$810,MATCH(236,'Match Log'!$A$4:$A$810,0)),"")</f>
        <v/>
      </c>
      <c r="C260" t="str">
        <f>IFERROR(INDEX('Match Log'!$C$4:$C$810,MATCH(236,'Match Log'!$A$4:$A$810,0)),"")</f>
        <v/>
      </c>
      <c r="D260" t="str">
        <f t="array" ref="D260">IFERROR(_xlfn.TEXTJOIN(" + ",TRUE,IF(('Match Log'!$A$4:$A$810=$A260)*('Match Log'!$E$4:$E$810="Win"),'Match Log'!$D$4:$D$810,"")),IFERROR(LOOKUP(2,1/(('Match Log'!$A$4:$A$810=$A260)*('Match Log'!$E$4:$E$810="Win")),'Match Log'!$D$4:$D$810),""))</f>
        <v/>
      </c>
      <c r="E260" t="str">
        <f>IFERROR(INDEX('Match Log'!$F$4:$F$810,MATCH(236,'Match Log'!$A$4:$A$810,0)),"")</f>
        <v/>
      </c>
      <c r="F260">
        <f>IFERROR(SUMIFS('Match Log'!$I$4:$I$810,'Match Log'!$A$4:$A$810,236,'Match Log'!$E$4:$E$810,"Win"),"")</f>
        <v>0</v>
      </c>
      <c r="G260" t="str">
        <f t="shared" si="31"/>
        <v/>
      </c>
      <c r="H260" t="str">
        <f t="array" ref="H260">IFERROR(IF(COUNTIFS('Match Log'!$A$4:$A$810,$A260,'Match Log'!$E$4:$E$810,"Win")&gt;1,_xlfn.TEXTJOIN(" + ",TRUE,IF(('Match Log'!$A$4:$A$810=$A260)*('Match Log'!$E$4:$E$810="Loss"),'Match Log'!$D$4:$D$810,"")),IF($E260=2,LOOKUP(2,1/(('Match Log'!$A$4:$A$810=$A260)*('Match Log'!$E$4:$E$810="Loss")),'Match Log'!$D$4:$D$810),"the field")),"")</f>
        <v>the field</v>
      </c>
      <c r="I260" t="str">
        <f t="shared" si="32"/>
        <v/>
      </c>
      <c r="J260">
        <v>236</v>
      </c>
      <c r="K260" t="e">
        <f>IF($J260&gt;MAX('Match Log'!$A$4:$A$810),NA(),IFERROR(LOOKUP(2,1/(('Match Log'!$D$4:$D$810=$K$24)*('Match Log'!$A$4:$A$810&lt;=$J260)),'Match Log'!$N$4:$N$810),NA()))</f>
        <v>#N/A</v>
      </c>
      <c r="L260" t="e">
        <f>IF($J260&gt;MAX('Match Log'!$A$4:$A$810),NA(),IFERROR(LOOKUP(2,1/(('Match Log'!$D$4:$D$810=$L$24)*('Match Log'!$A$4:$A$810&lt;=$J260)),'Match Log'!$N$4:$N$810),NA()))</f>
        <v>#N/A</v>
      </c>
      <c r="M260" t="e">
        <f>IF($J260&gt;MAX('Match Log'!$A$4:$A$810),NA(),IFERROR(LOOKUP(2,1/(('Match Log'!$D$4:$D$810=$M$24)*('Match Log'!$A$4:$A$810&lt;=$J260)),'Match Log'!$N$4:$N$810),NA()))</f>
        <v>#N/A</v>
      </c>
      <c r="N260" t="e">
        <f>IF($J260&gt;MAX('Match Log'!$A$4:$A$810),NA(),IFERROR(LOOKUP(2,1/(('Match Log'!$D$4:$D$810=$N$24)*('Match Log'!$A$4:$A$810&lt;=$J260)),'Match Log'!$N$4:$N$810),NA()))</f>
        <v>#N/A</v>
      </c>
      <c r="O260" t="e">
        <f>IF($J260&gt;MAX('Match Log'!$A$4:$A$810),NA(),IFERROR(LOOKUP(2,1/(('Match Log'!$D$4:$D$810=$O$24)*('Match Log'!$A$4:$A$810&lt;=$J260)),'Match Log'!$N$4:$N$810),NA()))</f>
        <v>#N/A</v>
      </c>
      <c r="P260" t="e">
        <f>IF($J260&gt;MAX('Match Log'!$A$4:$A$810),NA(),IFERROR(LOOKUP(2,1/(('Match Log'!$D$4:$D$810=$P$24)*('Match Log'!$A$4:$A$810&lt;=$J260)),'Match Log'!$N$4:$N$810),NA()))</f>
        <v>#N/A</v>
      </c>
      <c r="Q260" t="e">
        <f>IF($J260&gt;MAX('Match Log'!$A$4:$A$810),NA(),IFERROR(LOOKUP(2,1/(('Match Log'!$D$4:$D$810=$Q$24)*('Match Log'!$A$4:$A$810&lt;=$J260)),'Match Log'!$N$4:$N$810),NA()))</f>
        <v>#N/A</v>
      </c>
      <c r="R260" t="e">
        <f>IF($J260&gt;MAX('Match Log'!$A$4:$A$810),NA(),IFERROR(LOOKUP(2,1/(('Match Log'!$D$4:$D$810=$R$24)*('Match Log'!$A$4:$A$810&lt;=$J260)),'Match Log'!$N$4:$N$810),NA()))</f>
        <v>#N/A</v>
      </c>
      <c r="S260" t="e">
        <f>IF($J260&gt;MAX('Match Log'!$A$4:$A$810),NA(),IFERROR(LOOKUP(2,1/(('Match Log'!$D$4:$D$810=$S$24)*('Match Log'!$A$4:$A$810&lt;=$J260)),'Match Log'!$N$4:$N$810),NA()))</f>
        <v>#N/A</v>
      </c>
      <c r="T260" t="e">
        <f>IF($J260&gt;MAX('Match Log'!$A$4:$A$810),NA(),IFERROR(LOOKUP(2,1/(('Match Log'!$D$4:$D$810=$T$24)*('Match Log'!$A$4:$A$810&lt;=$J260)),'Match Log'!$N$4:$N$810),NA()))</f>
        <v>#N/A</v>
      </c>
      <c r="U260" t="e">
        <f>IF($J260&gt;MAX('Match Log'!$A$4:$A$810),NA(),IFERROR(LOOKUP(2,1/(('Match Log'!$D$4:$D$810=$U$24)*('Match Log'!$A$4:$A$810&lt;=$J260)),'Match Log'!$N$4:$N$810),NA()))</f>
        <v>#N/A</v>
      </c>
      <c r="V260" t="e">
        <f>IF($J260&gt;MAX('Match Log'!$A$4:$A$810),NA(),IFERROR(LOOKUP(2,1/(('Match Log'!$D$4:$D$810=$V$24)*('Match Log'!$A$4:$A$810&lt;=$J260)),'Match Log'!$N$4:$N$810),NA()))</f>
        <v>#N/A</v>
      </c>
      <c r="W260" t="e">
        <f>IF($J260&gt;MAX('Match Log'!$A$4:$A$810),NA(),IFERROR(LOOKUP(2,1/(('Match Log'!$D$4:$D$810=$W$24)*('Match Log'!$A$4:$A$810&lt;=$J260)),'Match Log'!$N$4:$N$810),NA()))</f>
        <v>#N/A</v>
      </c>
      <c r="X260" t="e">
        <f>IF($J260&gt;MAX('Match Log'!$A$4:$A$810),NA(),IFERROR(LOOKUP(2,1/(('Match Log'!$D$4:$D$810=$X$24)*('Match Log'!$A$4:$A$810&lt;=$J260)),'Match Log'!$N$4:$N$810),NA()))</f>
        <v>#N/A</v>
      </c>
      <c r="Y260" t="str">
        <f t="shared" ca="1" si="33"/>
        <v/>
      </c>
    </row>
    <row r="261" spans="1:25" x14ac:dyDescent="0.2">
      <c r="A261">
        <v>237</v>
      </c>
      <c r="B261" t="str">
        <f>IFERROR(INDEX('Match Log'!$B$4:$B$810,MATCH(237,'Match Log'!$A$4:$A$810,0)),"")</f>
        <v/>
      </c>
      <c r="C261" t="str">
        <f>IFERROR(INDEX('Match Log'!$C$4:$C$810,MATCH(237,'Match Log'!$A$4:$A$810,0)),"")</f>
        <v/>
      </c>
      <c r="D261" t="str">
        <f t="array" ref="D261">IFERROR(_xlfn.TEXTJOIN(" + ",TRUE,IF(('Match Log'!$A$4:$A$810=$A261)*('Match Log'!$E$4:$E$810="Win"),'Match Log'!$D$4:$D$810,"")),IFERROR(LOOKUP(2,1/(('Match Log'!$A$4:$A$810=$A261)*('Match Log'!$E$4:$E$810="Win")),'Match Log'!$D$4:$D$810),""))</f>
        <v/>
      </c>
      <c r="E261" t="str">
        <f>IFERROR(INDEX('Match Log'!$F$4:$F$810,MATCH(237,'Match Log'!$A$4:$A$810,0)),"")</f>
        <v/>
      </c>
      <c r="F261">
        <f>IFERROR(SUMIFS('Match Log'!$I$4:$I$810,'Match Log'!$A$4:$A$810,237,'Match Log'!$E$4:$E$810,"Win"),"")</f>
        <v>0</v>
      </c>
      <c r="G261" t="str">
        <f t="shared" si="31"/>
        <v/>
      </c>
      <c r="H261" t="str">
        <f t="array" ref="H261">IFERROR(IF(COUNTIFS('Match Log'!$A$4:$A$810,$A261,'Match Log'!$E$4:$E$810,"Win")&gt;1,_xlfn.TEXTJOIN(" + ",TRUE,IF(('Match Log'!$A$4:$A$810=$A261)*('Match Log'!$E$4:$E$810="Loss"),'Match Log'!$D$4:$D$810,"")),IF($E261=2,LOOKUP(2,1/(('Match Log'!$A$4:$A$810=$A261)*('Match Log'!$E$4:$E$810="Loss")),'Match Log'!$D$4:$D$810),"the field")),"")</f>
        <v>the field</v>
      </c>
      <c r="I261" t="str">
        <f t="shared" si="32"/>
        <v/>
      </c>
      <c r="J261">
        <v>237</v>
      </c>
      <c r="K261" t="e">
        <f>IF($J261&gt;MAX('Match Log'!$A$4:$A$810),NA(),IFERROR(LOOKUP(2,1/(('Match Log'!$D$4:$D$810=$K$24)*('Match Log'!$A$4:$A$810&lt;=$J261)),'Match Log'!$N$4:$N$810),NA()))</f>
        <v>#N/A</v>
      </c>
      <c r="L261" t="e">
        <f>IF($J261&gt;MAX('Match Log'!$A$4:$A$810),NA(),IFERROR(LOOKUP(2,1/(('Match Log'!$D$4:$D$810=$L$24)*('Match Log'!$A$4:$A$810&lt;=$J261)),'Match Log'!$N$4:$N$810),NA()))</f>
        <v>#N/A</v>
      </c>
      <c r="M261" t="e">
        <f>IF($J261&gt;MAX('Match Log'!$A$4:$A$810),NA(),IFERROR(LOOKUP(2,1/(('Match Log'!$D$4:$D$810=$M$24)*('Match Log'!$A$4:$A$810&lt;=$J261)),'Match Log'!$N$4:$N$810),NA()))</f>
        <v>#N/A</v>
      </c>
      <c r="N261" t="e">
        <f>IF($J261&gt;MAX('Match Log'!$A$4:$A$810),NA(),IFERROR(LOOKUP(2,1/(('Match Log'!$D$4:$D$810=$N$24)*('Match Log'!$A$4:$A$810&lt;=$J261)),'Match Log'!$N$4:$N$810),NA()))</f>
        <v>#N/A</v>
      </c>
      <c r="O261" t="e">
        <f>IF($J261&gt;MAX('Match Log'!$A$4:$A$810),NA(),IFERROR(LOOKUP(2,1/(('Match Log'!$D$4:$D$810=$O$24)*('Match Log'!$A$4:$A$810&lt;=$J261)),'Match Log'!$N$4:$N$810),NA()))</f>
        <v>#N/A</v>
      </c>
      <c r="P261" t="e">
        <f>IF($J261&gt;MAX('Match Log'!$A$4:$A$810),NA(),IFERROR(LOOKUP(2,1/(('Match Log'!$D$4:$D$810=$P$24)*('Match Log'!$A$4:$A$810&lt;=$J261)),'Match Log'!$N$4:$N$810),NA()))</f>
        <v>#N/A</v>
      </c>
      <c r="Q261" t="e">
        <f>IF($J261&gt;MAX('Match Log'!$A$4:$A$810),NA(),IFERROR(LOOKUP(2,1/(('Match Log'!$D$4:$D$810=$Q$24)*('Match Log'!$A$4:$A$810&lt;=$J261)),'Match Log'!$N$4:$N$810),NA()))</f>
        <v>#N/A</v>
      </c>
      <c r="R261" t="e">
        <f>IF($J261&gt;MAX('Match Log'!$A$4:$A$810),NA(),IFERROR(LOOKUP(2,1/(('Match Log'!$D$4:$D$810=$R$24)*('Match Log'!$A$4:$A$810&lt;=$J261)),'Match Log'!$N$4:$N$810),NA()))</f>
        <v>#N/A</v>
      </c>
      <c r="S261" t="e">
        <f>IF($J261&gt;MAX('Match Log'!$A$4:$A$810),NA(),IFERROR(LOOKUP(2,1/(('Match Log'!$D$4:$D$810=$S$24)*('Match Log'!$A$4:$A$810&lt;=$J261)),'Match Log'!$N$4:$N$810),NA()))</f>
        <v>#N/A</v>
      </c>
      <c r="T261" t="e">
        <f>IF($J261&gt;MAX('Match Log'!$A$4:$A$810),NA(),IFERROR(LOOKUP(2,1/(('Match Log'!$D$4:$D$810=$T$24)*('Match Log'!$A$4:$A$810&lt;=$J261)),'Match Log'!$N$4:$N$810),NA()))</f>
        <v>#N/A</v>
      </c>
      <c r="U261" t="e">
        <f>IF($J261&gt;MAX('Match Log'!$A$4:$A$810),NA(),IFERROR(LOOKUP(2,1/(('Match Log'!$D$4:$D$810=$U$24)*('Match Log'!$A$4:$A$810&lt;=$J261)),'Match Log'!$N$4:$N$810),NA()))</f>
        <v>#N/A</v>
      </c>
      <c r="V261" t="e">
        <f>IF($J261&gt;MAX('Match Log'!$A$4:$A$810),NA(),IFERROR(LOOKUP(2,1/(('Match Log'!$D$4:$D$810=$V$24)*('Match Log'!$A$4:$A$810&lt;=$J261)),'Match Log'!$N$4:$N$810),NA()))</f>
        <v>#N/A</v>
      </c>
      <c r="W261" t="e">
        <f>IF($J261&gt;MAX('Match Log'!$A$4:$A$810),NA(),IFERROR(LOOKUP(2,1/(('Match Log'!$D$4:$D$810=$W$24)*('Match Log'!$A$4:$A$810&lt;=$J261)),'Match Log'!$N$4:$N$810),NA()))</f>
        <v>#N/A</v>
      </c>
      <c r="X261" t="e">
        <f>IF($J261&gt;MAX('Match Log'!$A$4:$A$810),NA(),IFERROR(LOOKUP(2,1/(('Match Log'!$D$4:$D$810=$X$24)*('Match Log'!$A$4:$A$810&lt;=$J261)),'Match Log'!$N$4:$N$810),NA()))</f>
        <v>#N/A</v>
      </c>
      <c r="Y261" t="str">
        <f t="shared" ca="1" si="33"/>
        <v/>
      </c>
    </row>
    <row r="262" spans="1:25" x14ac:dyDescent="0.2">
      <c r="A262">
        <v>238</v>
      </c>
      <c r="B262" t="str">
        <f>IFERROR(INDEX('Match Log'!$B$4:$B$810,MATCH(238,'Match Log'!$A$4:$A$810,0)),"")</f>
        <v/>
      </c>
      <c r="C262" t="str">
        <f>IFERROR(INDEX('Match Log'!$C$4:$C$810,MATCH(238,'Match Log'!$A$4:$A$810,0)),"")</f>
        <v/>
      </c>
      <c r="D262" t="str">
        <f t="array" ref="D262">IFERROR(_xlfn.TEXTJOIN(" + ",TRUE,IF(('Match Log'!$A$4:$A$810=$A262)*('Match Log'!$E$4:$E$810="Win"),'Match Log'!$D$4:$D$810,"")),IFERROR(LOOKUP(2,1/(('Match Log'!$A$4:$A$810=$A262)*('Match Log'!$E$4:$E$810="Win")),'Match Log'!$D$4:$D$810),""))</f>
        <v/>
      </c>
      <c r="E262" t="str">
        <f>IFERROR(INDEX('Match Log'!$F$4:$F$810,MATCH(238,'Match Log'!$A$4:$A$810,0)),"")</f>
        <v/>
      </c>
      <c r="F262">
        <f>IFERROR(SUMIFS('Match Log'!$I$4:$I$810,'Match Log'!$A$4:$A$810,238,'Match Log'!$E$4:$E$810,"Win"),"")</f>
        <v>0</v>
      </c>
      <c r="G262" t="str">
        <f t="shared" si="31"/>
        <v/>
      </c>
      <c r="H262" t="str">
        <f t="array" ref="H262">IFERROR(IF(COUNTIFS('Match Log'!$A$4:$A$810,$A262,'Match Log'!$E$4:$E$810,"Win")&gt;1,_xlfn.TEXTJOIN(" + ",TRUE,IF(('Match Log'!$A$4:$A$810=$A262)*('Match Log'!$E$4:$E$810="Loss"),'Match Log'!$D$4:$D$810,"")),IF($E262=2,LOOKUP(2,1/(('Match Log'!$A$4:$A$810=$A262)*('Match Log'!$E$4:$E$810="Loss")),'Match Log'!$D$4:$D$810),"the field")),"")</f>
        <v>the field</v>
      </c>
      <c r="I262" t="str">
        <f t="shared" si="32"/>
        <v/>
      </c>
      <c r="J262">
        <v>238</v>
      </c>
      <c r="K262" t="e">
        <f>IF($J262&gt;MAX('Match Log'!$A$4:$A$810),NA(),IFERROR(LOOKUP(2,1/(('Match Log'!$D$4:$D$810=$K$24)*('Match Log'!$A$4:$A$810&lt;=$J262)),'Match Log'!$N$4:$N$810),NA()))</f>
        <v>#N/A</v>
      </c>
      <c r="L262" t="e">
        <f>IF($J262&gt;MAX('Match Log'!$A$4:$A$810),NA(),IFERROR(LOOKUP(2,1/(('Match Log'!$D$4:$D$810=$L$24)*('Match Log'!$A$4:$A$810&lt;=$J262)),'Match Log'!$N$4:$N$810),NA()))</f>
        <v>#N/A</v>
      </c>
      <c r="M262" t="e">
        <f>IF($J262&gt;MAX('Match Log'!$A$4:$A$810),NA(),IFERROR(LOOKUP(2,1/(('Match Log'!$D$4:$D$810=$M$24)*('Match Log'!$A$4:$A$810&lt;=$J262)),'Match Log'!$N$4:$N$810),NA()))</f>
        <v>#N/A</v>
      </c>
      <c r="N262" t="e">
        <f>IF($J262&gt;MAX('Match Log'!$A$4:$A$810),NA(),IFERROR(LOOKUP(2,1/(('Match Log'!$D$4:$D$810=$N$24)*('Match Log'!$A$4:$A$810&lt;=$J262)),'Match Log'!$N$4:$N$810),NA()))</f>
        <v>#N/A</v>
      </c>
      <c r="O262" t="e">
        <f>IF($J262&gt;MAX('Match Log'!$A$4:$A$810),NA(),IFERROR(LOOKUP(2,1/(('Match Log'!$D$4:$D$810=$O$24)*('Match Log'!$A$4:$A$810&lt;=$J262)),'Match Log'!$N$4:$N$810),NA()))</f>
        <v>#N/A</v>
      </c>
      <c r="P262" t="e">
        <f>IF($J262&gt;MAX('Match Log'!$A$4:$A$810),NA(),IFERROR(LOOKUP(2,1/(('Match Log'!$D$4:$D$810=$P$24)*('Match Log'!$A$4:$A$810&lt;=$J262)),'Match Log'!$N$4:$N$810),NA()))</f>
        <v>#N/A</v>
      </c>
      <c r="Q262" t="e">
        <f>IF($J262&gt;MAX('Match Log'!$A$4:$A$810),NA(),IFERROR(LOOKUP(2,1/(('Match Log'!$D$4:$D$810=$Q$24)*('Match Log'!$A$4:$A$810&lt;=$J262)),'Match Log'!$N$4:$N$810),NA()))</f>
        <v>#N/A</v>
      </c>
      <c r="R262" t="e">
        <f>IF($J262&gt;MAX('Match Log'!$A$4:$A$810),NA(),IFERROR(LOOKUP(2,1/(('Match Log'!$D$4:$D$810=$R$24)*('Match Log'!$A$4:$A$810&lt;=$J262)),'Match Log'!$N$4:$N$810),NA()))</f>
        <v>#N/A</v>
      </c>
      <c r="S262" t="e">
        <f>IF($J262&gt;MAX('Match Log'!$A$4:$A$810),NA(),IFERROR(LOOKUP(2,1/(('Match Log'!$D$4:$D$810=$S$24)*('Match Log'!$A$4:$A$810&lt;=$J262)),'Match Log'!$N$4:$N$810),NA()))</f>
        <v>#N/A</v>
      </c>
      <c r="T262" t="e">
        <f>IF($J262&gt;MAX('Match Log'!$A$4:$A$810),NA(),IFERROR(LOOKUP(2,1/(('Match Log'!$D$4:$D$810=$T$24)*('Match Log'!$A$4:$A$810&lt;=$J262)),'Match Log'!$N$4:$N$810),NA()))</f>
        <v>#N/A</v>
      </c>
      <c r="U262" t="e">
        <f>IF($J262&gt;MAX('Match Log'!$A$4:$A$810),NA(),IFERROR(LOOKUP(2,1/(('Match Log'!$D$4:$D$810=$U$24)*('Match Log'!$A$4:$A$810&lt;=$J262)),'Match Log'!$N$4:$N$810),NA()))</f>
        <v>#N/A</v>
      </c>
      <c r="V262" t="e">
        <f>IF($J262&gt;MAX('Match Log'!$A$4:$A$810),NA(),IFERROR(LOOKUP(2,1/(('Match Log'!$D$4:$D$810=$V$24)*('Match Log'!$A$4:$A$810&lt;=$J262)),'Match Log'!$N$4:$N$810),NA()))</f>
        <v>#N/A</v>
      </c>
      <c r="W262" t="e">
        <f>IF($J262&gt;MAX('Match Log'!$A$4:$A$810),NA(),IFERROR(LOOKUP(2,1/(('Match Log'!$D$4:$D$810=$W$24)*('Match Log'!$A$4:$A$810&lt;=$J262)),'Match Log'!$N$4:$N$810),NA()))</f>
        <v>#N/A</v>
      </c>
      <c r="X262" t="e">
        <f>IF($J262&gt;MAX('Match Log'!$A$4:$A$810),NA(),IFERROR(LOOKUP(2,1/(('Match Log'!$D$4:$D$810=$X$24)*('Match Log'!$A$4:$A$810&lt;=$J262)),'Match Log'!$N$4:$N$810),NA()))</f>
        <v>#N/A</v>
      </c>
      <c r="Y262" t="str">
        <f t="shared" ca="1" si="33"/>
        <v/>
      </c>
    </row>
    <row r="263" spans="1:25" x14ac:dyDescent="0.2">
      <c r="A263">
        <v>239</v>
      </c>
      <c r="B263" t="str">
        <f>IFERROR(INDEX('Match Log'!$B$4:$B$810,MATCH(239,'Match Log'!$A$4:$A$810,0)),"")</f>
        <v/>
      </c>
      <c r="C263" t="str">
        <f>IFERROR(INDEX('Match Log'!$C$4:$C$810,MATCH(239,'Match Log'!$A$4:$A$810,0)),"")</f>
        <v/>
      </c>
      <c r="D263" t="str">
        <f t="array" ref="D263">IFERROR(_xlfn.TEXTJOIN(" + ",TRUE,IF(('Match Log'!$A$4:$A$810=$A263)*('Match Log'!$E$4:$E$810="Win"),'Match Log'!$D$4:$D$810,"")),IFERROR(LOOKUP(2,1/(('Match Log'!$A$4:$A$810=$A263)*('Match Log'!$E$4:$E$810="Win")),'Match Log'!$D$4:$D$810),""))</f>
        <v/>
      </c>
      <c r="E263" t="str">
        <f>IFERROR(INDEX('Match Log'!$F$4:$F$810,MATCH(239,'Match Log'!$A$4:$A$810,0)),"")</f>
        <v/>
      </c>
      <c r="F263">
        <f>IFERROR(SUMIFS('Match Log'!$I$4:$I$810,'Match Log'!$A$4:$A$810,239,'Match Log'!$E$4:$E$810,"Win"),"")</f>
        <v>0</v>
      </c>
      <c r="G263" t="str">
        <f t="shared" si="31"/>
        <v/>
      </c>
      <c r="H263" t="str">
        <f t="array" ref="H263">IFERROR(IF(COUNTIFS('Match Log'!$A$4:$A$810,$A263,'Match Log'!$E$4:$E$810,"Win")&gt;1,_xlfn.TEXTJOIN(" + ",TRUE,IF(('Match Log'!$A$4:$A$810=$A263)*('Match Log'!$E$4:$E$810="Loss"),'Match Log'!$D$4:$D$810,"")),IF($E263=2,LOOKUP(2,1/(('Match Log'!$A$4:$A$810=$A263)*('Match Log'!$E$4:$E$810="Loss")),'Match Log'!$D$4:$D$810),"the field")),"")</f>
        <v>the field</v>
      </c>
      <c r="I263" t="str">
        <f t="shared" si="32"/>
        <v/>
      </c>
      <c r="J263">
        <v>239</v>
      </c>
      <c r="K263" t="e">
        <f>IF($J263&gt;MAX('Match Log'!$A$4:$A$810),NA(),IFERROR(LOOKUP(2,1/(('Match Log'!$D$4:$D$810=$K$24)*('Match Log'!$A$4:$A$810&lt;=$J263)),'Match Log'!$N$4:$N$810),NA()))</f>
        <v>#N/A</v>
      </c>
      <c r="L263" t="e">
        <f>IF($J263&gt;MAX('Match Log'!$A$4:$A$810),NA(),IFERROR(LOOKUP(2,1/(('Match Log'!$D$4:$D$810=$L$24)*('Match Log'!$A$4:$A$810&lt;=$J263)),'Match Log'!$N$4:$N$810),NA()))</f>
        <v>#N/A</v>
      </c>
      <c r="M263" t="e">
        <f>IF($J263&gt;MAX('Match Log'!$A$4:$A$810),NA(),IFERROR(LOOKUP(2,1/(('Match Log'!$D$4:$D$810=$M$24)*('Match Log'!$A$4:$A$810&lt;=$J263)),'Match Log'!$N$4:$N$810),NA()))</f>
        <v>#N/A</v>
      </c>
      <c r="N263" t="e">
        <f>IF($J263&gt;MAX('Match Log'!$A$4:$A$810),NA(),IFERROR(LOOKUP(2,1/(('Match Log'!$D$4:$D$810=$N$24)*('Match Log'!$A$4:$A$810&lt;=$J263)),'Match Log'!$N$4:$N$810),NA()))</f>
        <v>#N/A</v>
      </c>
      <c r="O263" t="e">
        <f>IF($J263&gt;MAX('Match Log'!$A$4:$A$810),NA(),IFERROR(LOOKUP(2,1/(('Match Log'!$D$4:$D$810=$O$24)*('Match Log'!$A$4:$A$810&lt;=$J263)),'Match Log'!$N$4:$N$810),NA()))</f>
        <v>#N/A</v>
      </c>
      <c r="P263" t="e">
        <f>IF($J263&gt;MAX('Match Log'!$A$4:$A$810),NA(),IFERROR(LOOKUP(2,1/(('Match Log'!$D$4:$D$810=$P$24)*('Match Log'!$A$4:$A$810&lt;=$J263)),'Match Log'!$N$4:$N$810),NA()))</f>
        <v>#N/A</v>
      </c>
      <c r="Q263" t="e">
        <f>IF($J263&gt;MAX('Match Log'!$A$4:$A$810),NA(),IFERROR(LOOKUP(2,1/(('Match Log'!$D$4:$D$810=$Q$24)*('Match Log'!$A$4:$A$810&lt;=$J263)),'Match Log'!$N$4:$N$810),NA()))</f>
        <v>#N/A</v>
      </c>
      <c r="R263" t="e">
        <f>IF($J263&gt;MAX('Match Log'!$A$4:$A$810),NA(),IFERROR(LOOKUP(2,1/(('Match Log'!$D$4:$D$810=$R$24)*('Match Log'!$A$4:$A$810&lt;=$J263)),'Match Log'!$N$4:$N$810),NA()))</f>
        <v>#N/A</v>
      </c>
      <c r="S263" t="e">
        <f>IF($J263&gt;MAX('Match Log'!$A$4:$A$810),NA(),IFERROR(LOOKUP(2,1/(('Match Log'!$D$4:$D$810=$S$24)*('Match Log'!$A$4:$A$810&lt;=$J263)),'Match Log'!$N$4:$N$810),NA()))</f>
        <v>#N/A</v>
      </c>
      <c r="T263" t="e">
        <f>IF($J263&gt;MAX('Match Log'!$A$4:$A$810),NA(),IFERROR(LOOKUP(2,1/(('Match Log'!$D$4:$D$810=$T$24)*('Match Log'!$A$4:$A$810&lt;=$J263)),'Match Log'!$N$4:$N$810),NA()))</f>
        <v>#N/A</v>
      </c>
      <c r="U263" t="e">
        <f>IF($J263&gt;MAX('Match Log'!$A$4:$A$810),NA(),IFERROR(LOOKUP(2,1/(('Match Log'!$D$4:$D$810=$U$24)*('Match Log'!$A$4:$A$810&lt;=$J263)),'Match Log'!$N$4:$N$810),NA()))</f>
        <v>#N/A</v>
      </c>
      <c r="V263" t="e">
        <f>IF($J263&gt;MAX('Match Log'!$A$4:$A$810),NA(),IFERROR(LOOKUP(2,1/(('Match Log'!$D$4:$D$810=$V$24)*('Match Log'!$A$4:$A$810&lt;=$J263)),'Match Log'!$N$4:$N$810),NA()))</f>
        <v>#N/A</v>
      </c>
      <c r="W263" t="e">
        <f>IF($J263&gt;MAX('Match Log'!$A$4:$A$810),NA(),IFERROR(LOOKUP(2,1/(('Match Log'!$D$4:$D$810=$W$24)*('Match Log'!$A$4:$A$810&lt;=$J263)),'Match Log'!$N$4:$N$810),NA()))</f>
        <v>#N/A</v>
      </c>
      <c r="X263" t="e">
        <f>IF($J263&gt;MAX('Match Log'!$A$4:$A$810),NA(),IFERROR(LOOKUP(2,1/(('Match Log'!$D$4:$D$810=$X$24)*('Match Log'!$A$4:$A$810&lt;=$J263)),'Match Log'!$N$4:$N$810),NA()))</f>
        <v>#N/A</v>
      </c>
      <c r="Y263" t="str">
        <f t="shared" ca="1" si="33"/>
        <v/>
      </c>
    </row>
    <row r="264" spans="1:25" x14ac:dyDescent="0.2">
      <c r="A264">
        <v>240</v>
      </c>
      <c r="B264" t="str">
        <f>IFERROR(INDEX('Match Log'!$B$4:$B$810,MATCH(240,'Match Log'!$A$4:$A$810,0)),"")</f>
        <v/>
      </c>
      <c r="C264" t="str">
        <f>IFERROR(INDEX('Match Log'!$C$4:$C$810,MATCH(240,'Match Log'!$A$4:$A$810,0)),"")</f>
        <v/>
      </c>
      <c r="D264" t="str">
        <f t="array" ref="D264">IFERROR(_xlfn.TEXTJOIN(" + ",TRUE,IF(('Match Log'!$A$4:$A$810=$A264)*('Match Log'!$E$4:$E$810="Win"),'Match Log'!$D$4:$D$810,"")),IFERROR(LOOKUP(2,1/(('Match Log'!$A$4:$A$810=$A264)*('Match Log'!$E$4:$E$810="Win")),'Match Log'!$D$4:$D$810),""))</f>
        <v/>
      </c>
      <c r="E264" t="str">
        <f>IFERROR(INDEX('Match Log'!$F$4:$F$810,MATCH(240,'Match Log'!$A$4:$A$810,0)),"")</f>
        <v/>
      </c>
      <c r="F264">
        <f>IFERROR(SUMIFS('Match Log'!$I$4:$I$810,'Match Log'!$A$4:$A$810,240,'Match Log'!$E$4:$E$810,"Win"),"")</f>
        <v>0</v>
      </c>
      <c r="G264" t="str">
        <f t="shared" si="31"/>
        <v/>
      </c>
      <c r="H264" t="str">
        <f t="array" ref="H264">IFERROR(IF(COUNTIFS('Match Log'!$A$4:$A$810,$A264,'Match Log'!$E$4:$E$810,"Win")&gt;1,_xlfn.TEXTJOIN(" + ",TRUE,IF(('Match Log'!$A$4:$A$810=$A264)*('Match Log'!$E$4:$E$810="Loss"),'Match Log'!$D$4:$D$810,"")),IF($E264=2,LOOKUP(2,1/(('Match Log'!$A$4:$A$810=$A264)*('Match Log'!$E$4:$E$810="Loss")),'Match Log'!$D$4:$D$810),"the field")),"")</f>
        <v>the field</v>
      </c>
      <c r="I264" t="str">
        <f t="shared" si="32"/>
        <v/>
      </c>
      <c r="J264">
        <v>240</v>
      </c>
      <c r="K264" t="e">
        <f>IF($J264&gt;MAX('Match Log'!$A$4:$A$810),NA(),IFERROR(LOOKUP(2,1/(('Match Log'!$D$4:$D$810=$K$24)*('Match Log'!$A$4:$A$810&lt;=$J264)),'Match Log'!$N$4:$N$810),NA()))</f>
        <v>#N/A</v>
      </c>
      <c r="L264" t="e">
        <f>IF($J264&gt;MAX('Match Log'!$A$4:$A$810),NA(),IFERROR(LOOKUP(2,1/(('Match Log'!$D$4:$D$810=$L$24)*('Match Log'!$A$4:$A$810&lt;=$J264)),'Match Log'!$N$4:$N$810),NA()))</f>
        <v>#N/A</v>
      </c>
      <c r="M264" t="e">
        <f>IF($J264&gt;MAX('Match Log'!$A$4:$A$810),NA(),IFERROR(LOOKUP(2,1/(('Match Log'!$D$4:$D$810=$M$24)*('Match Log'!$A$4:$A$810&lt;=$J264)),'Match Log'!$N$4:$N$810),NA()))</f>
        <v>#N/A</v>
      </c>
      <c r="N264" t="e">
        <f>IF($J264&gt;MAX('Match Log'!$A$4:$A$810),NA(),IFERROR(LOOKUP(2,1/(('Match Log'!$D$4:$D$810=$N$24)*('Match Log'!$A$4:$A$810&lt;=$J264)),'Match Log'!$N$4:$N$810),NA()))</f>
        <v>#N/A</v>
      </c>
      <c r="O264" t="e">
        <f>IF($J264&gt;MAX('Match Log'!$A$4:$A$810),NA(),IFERROR(LOOKUP(2,1/(('Match Log'!$D$4:$D$810=$O$24)*('Match Log'!$A$4:$A$810&lt;=$J264)),'Match Log'!$N$4:$N$810),NA()))</f>
        <v>#N/A</v>
      </c>
      <c r="P264" t="e">
        <f>IF($J264&gt;MAX('Match Log'!$A$4:$A$810),NA(),IFERROR(LOOKUP(2,1/(('Match Log'!$D$4:$D$810=$P$24)*('Match Log'!$A$4:$A$810&lt;=$J264)),'Match Log'!$N$4:$N$810),NA()))</f>
        <v>#N/A</v>
      </c>
      <c r="Q264" t="e">
        <f>IF($J264&gt;MAX('Match Log'!$A$4:$A$810),NA(),IFERROR(LOOKUP(2,1/(('Match Log'!$D$4:$D$810=$Q$24)*('Match Log'!$A$4:$A$810&lt;=$J264)),'Match Log'!$N$4:$N$810),NA()))</f>
        <v>#N/A</v>
      </c>
      <c r="R264" t="e">
        <f>IF($J264&gt;MAX('Match Log'!$A$4:$A$810),NA(),IFERROR(LOOKUP(2,1/(('Match Log'!$D$4:$D$810=$R$24)*('Match Log'!$A$4:$A$810&lt;=$J264)),'Match Log'!$N$4:$N$810),NA()))</f>
        <v>#N/A</v>
      </c>
      <c r="S264" t="e">
        <f>IF($J264&gt;MAX('Match Log'!$A$4:$A$810),NA(),IFERROR(LOOKUP(2,1/(('Match Log'!$D$4:$D$810=$S$24)*('Match Log'!$A$4:$A$810&lt;=$J264)),'Match Log'!$N$4:$N$810),NA()))</f>
        <v>#N/A</v>
      </c>
      <c r="T264" t="e">
        <f>IF($J264&gt;MAX('Match Log'!$A$4:$A$810),NA(),IFERROR(LOOKUP(2,1/(('Match Log'!$D$4:$D$810=$T$24)*('Match Log'!$A$4:$A$810&lt;=$J264)),'Match Log'!$N$4:$N$810),NA()))</f>
        <v>#N/A</v>
      </c>
      <c r="U264" t="e">
        <f>IF($J264&gt;MAX('Match Log'!$A$4:$A$810),NA(),IFERROR(LOOKUP(2,1/(('Match Log'!$D$4:$D$810=$U$24)*('Match Log'!$A$4:$A$810&lt;=$J264)),'Match Log'!$N$4:$N$810),NA()))</f>
        <v>#N/A</v>
      </c>
      <c r="V264" t="e">
        <f>IF($J264&gt;MAX('Match Log'!$A$4:$A$810),NA(),IFERROR(LOOKUP(2,1/(('Match Log'!$D$4:$D$810=$V$24)*('Match Log'!$A$4:$A$810&lt;=$J264)),'Match Log'!$N$4:$N$810),NA()))</f>
        <v>#N/A</v>
      </c>
      <c r="W264" t="e">
        <f>IF($J264&gt;MAX('Match Log'!$A$4:$A$810),NA(),IFERROR(LOOKUP(2,1/(('Match Log'!$D$4:$D$810=$W$24)*('Match Log'!$A$4:$A$810&lt;=$J264)),'Match Log'!$N$4:$N$810),NA()))</f>
        <v>#N/A</v>
      </c>
      <c r="X264" t="e">
        <f>IF($J264&gt;MAX('Match Log'!$A$4:$A$810),NA(),IFERROR(LOOKUP(2,1/(('Match Log'!$D$4:$D$810=$X$24)*('Match Log'!$A$4:$A$810&lt;=$J264)),'Match Log'!$N$4:$N$810),NA()))</f>
        <v>#N/A</v>
      </c>
      <c r="Y264" t="str">
        <f t="shared" ca="1" si="33"/>
        <v/>
      </c>
    </row>
    <row r="265" spans="1:25" x14ac:dyDescent="0.2">
      <c r="A265">
        <v>241</v>
      </c>
      <c r="B265" t="str">
        <f>IFERROR(INDEX('Match Log'!$B$4:$B$810,MATCH(241,'Match Log'!$A$4:$A$810,0)),"")</f>
        <v/>
      </c>
      <c r="C265" t="str">
        <f>IFERROR(INDEX('Match Log'!$C$4:$C$810,MATCH(241,'Match Log'!$A$4:$A$810,0)),"")</f>
        <v/>
      </c>
      <c r="D265" t="str">
        <f t="array" ref="D265">IFERROR(_xlfn.TEXTJOIN(" + ",TRUE,IF(('Match Log'!$A$4:$A$810=$A265)*('Match Log'!$E$4:$E$810="Win"),'Match Log'!$D$4:$D$810,"")),IFERROR(LOOKUP(2,1/(('Match Log'!$A$4:$A$810=$A265)*('Match Log'!$E$4:$E$810="Win")),'Match Log'!$D$4:$D$810),""))</f>
        <v/>
      </c>
      <c r="E265" t="str">
        <f>IFERROR(INDEX('Match Log'!$F$4:$F$810,MATCH(241,'Match Log'!$A$4:$A$810,0)),"")</f>
        <v/>
      </c>
      <c r="F265">
        <f>IFERROR(SUMIFS('Match Log'!$I$4:$I$810,'Match Log'!$A$4:$A$810,241,'Match Log'!$E$4:$E$810,"Win"),"")</f>
        <v>0</v>
      </c>
      <c r="G265" t="str">
        <f t="shared" si="31"/>
        <v/>
      </c>
      <c r="H265" t="str">
        <f t="array" ref="H265">IFERROR(IF(COUNTIFS('Match Log'!$A$4:$A$810,$A265,'Match Log'!$E$4:$E$810,"Win")&gt;1,_xlfn.TEXTJOIN(" + ",TRUE,IF(('Match Log'!$A$4:$A$810=$A265)*('Match Log'!$E$4:$E$810="Loss"),'Match Log'!$D$4:$D$810,"")),IF($E265=2,LOOKUP(2,1/(('Match Log'!$A$4:$A$810=$A265)*('Match Log'!$E$4:$E$810="Loss")),'Match Log'!$D$4:$D$810),"the field")),"")</f>
        <v>the field</v>
      </c>
      <c r="I265" t="str">
        <f t="shared" si="32"/>
        <v/>
      </c>
      <c r="J265">
        <v>241</v>
      </c>
      <c r="K265" t="e">
        <f>IF($J265&gt;MAX('Match Log'!$A$4:$A$810),NA(),IFERROR(LOOKUP(2,1/(('Match Log'!$D$4:$D$810=$K$24)*('Match Log'!$A$4:$A$810&lt;=$J265)),'Match Log'!$N$4:$N$810),NA()))</f>
        <v>#N/A</v>
      </c>
      <c r="L265" t="e">
        <f>IF($J265&gt;MAX('Match Log'!$A$4:$A$810),NA(),IFERROR(LOOKUP(2,1/(('Match Log'!$D$4:$D$810=$L$24)*('Match Log'!$A$4:$A$810&lt;=$J265)),'Match Log'!$N$4:$N$810),NA()))</f>
        <v>#N/A</v>
      </c>
      <c r="M265" t="e">
        <f>IF($J265&gt;MAX('Match Log'!$A$4:$A$810),NA(),IFERROR(LOOKUP(2,1/(('Match Log'!$D$4:$D$810=$M$24)*('Match Log'!$A$4:$A$810&lt;=$J265)),'Match Log'!$N$4:$N$810),NA()))</f>
        <v>#N/A</v>
      </c>
      <c r="N265" t="e">
        <f>IF($J265&gt;MAX('Match Log'!$A$4:$A$810),NA(),IFERROR(LOOKUP(2,1/(('Match Log'!$D$4:$D$810=$N$24)*('Match Log'!$A$4:$A$810&lt;=$J265)),'Match Log'!$N$4:$N$810),NA()))</f>
        <v>#N/A</v>
      </c>
      <c r="O265" t="e">
        <f>IF($J265&gt;MAX('Match Log'!$A$4:$A$810),NA(),IFERROR(LOOKUP(2,1/(('Match Log'!$D$4:$D$810=$O$24)*('Match Log'!$A$4:$A$810&lt;=$J265)),'Match Log'!$N$4:$N$810),NA()))</f>
        <v>#N/A</v>
      </c>
      <c r="P265" t="e">
        <f>IF($J265&gt;MAX('Match Log'!$A$4:$A$810),NA(),IFERROR(LOOKUP(2,1/(('Match Log'!$D$4:$D$810=$P$24)*('Match Log'!$A$4:$A$810&lt;=$J265)),'Match Log'!$N$4:$N$810),NA()))</f>
        <v>#N/A</v>
      </c>
      <c r="Q265" t="e">
        <f>IF($J265&gt;MAX('Match Log'!$A$4:$A$810),NA(),IFERROR(LOOKUP(2,1/(('Match Log'!$D$4:$D$810=$Q$24)*('Match Log'!$A$4:$A$810&lt;=$J265)),'Match Log'!$N$4:$N$810),NA()))</f>
        <v>#N/A</v>
      </c>
      <c r="R265" t="e">
        <f>IF($J265&gt;MAX('Match Log'!$A$4:$A$810),NA(),IFERROR(LOOKUP(2,1/(('Match Log'!$D$4:$D$810=$R$24)*('Match Log'!$A$4:$A$810&lt;=$J265)),'Match Log'!$N$4:$N$810),NA()))</f>
        <v>#N/A</v>
      </c>
      <c r="S265" t="e">
        <f>IF($J265&gt;MAX('Match Log'!$A$4:$A$810),NA(),IFERROR(LOOKUP(2,1/(('Match Log'!$D$4:$D$810=$S$24)*('Match Log'!$A$4:$A$810&lt;=$J265)),'Match Log'!$N$4:$N$810),NA()))</f>
        <v>#N/A</v>
      </c>
      <c r="T265" t="e">
        <f>IF($J265&gt;MAX('Match Log'!$A$4:$A$810),NA(),IFERROR(LOOKUP(2,1/(('Match Log'!$D$4:$D$810=$T$24)*('Match Log'!$A$4:$A$810&lt;=$J265)),'Match Log'!$N$4:$N$810),NA()))</f>
        <v>#N/A</v>
      </c>
      <c r="U265" t="e">
        <f>IF($J265&gt;MAX('Match Log'!$A$4:$A$810),NA(),IFERROR(LOOKUP(2,1/(('Match Log'!$D$4:$D$810=$U$24)*('Match Log'!$A$4:$A$810&lt;=$J265)),'Match Log'!$N$4:$N$810),NA()))</f>
        <v>#N/A</v>
      </c>
      <c r="V265" t="e">
        <f>IF($J265&gt;MAX('Match Log'!$A$4:$A$810),NA(),IFERROR(LOOKUP(2,1/(('Match Log'!$D$4:$D$810=$V$24)*('Match Log'!$A$4:$A$810&lt;=$J265)),'Match Log'!$N$4:$N$810),NA()))</f>
        <v>#N/A</v>
      </c>
      <c r="W265" t="e">
        <f>IF($J265&gt;MAX('Match Log'!$A$4:$A$810),NA(),IFERROR(LOOKUP(2,1/(('Match Log'!$D$4:$D$810=$W$24)*('Match Log'!$A$4:$A$810&lt;=$J265)),'Match Log'!$N$4:$N$810),NA()))</f>
        <v>#N/A</v>
      </c>
      <c r="X265" t="e">
        <f>IF($J265&gt;MAX('Match Log'!$A$4:$A$810),NA(),IFERROR(LOOKUP(2,1/(('Match Log'!$D$4:$D$810=$X$24)*('Match Log'!$A$4:$A$810&lt;=$J265)),'Match Log'!$N$4:$N$810),NA()))</f>
        <v>#N/A</v>
      </c>
      <c r="Y265" t="str">
        <f t="shared" ca="1" si="33"/>
        <v/>
      </c>
    </row>
    <row r="266" spans="1:25" x14ac:dyDescent="0.2">
      <c r="A266">
        <v>242</v>
      </c>
      <c r="B266" t="str">
        <f>IFERROR(INDEX('Match Log'!$B$4:$B$810,MATCH(242,'Match Log'!$A$4:$A$810,0)),"")</f>
        <v/>
      </c>
      <c r="C266" t="str">
        <f>IFERROR(INDEX('Match Log'!$C$4:$C$810,MATCH(242,'Match Log'!$A$4:$A$810,0)),"")</f>
        <v/>
      </c>
      <c r="D266" t="str">
        <f t="array" ref="D266">IFERROR(_xlfn.TEXTJOIN(" + ",TRUE,IF(('Match Log'!$A$4:$A$810=$A266)*('Match Log'!$E$4:$E$810="Win"),'Match Log'!$D$4:$D$810,"")),IFERROR(LOOKUP(2,1/(('Match Log'!$A$4:$A$810=$A266)*('Match Log'!$E$4:$E$810="Win")),'Match Log'!$D$4:$D$810),""))</f>
        <v/>
      </c>
      <c r="E266" t="str">
        <f>IFERROR(INDEX('Match Log'!$F$4:$F$810,MATCH(242,'Match Log'!$A$4:$A$810,0)),"")</f>
        <v/>
      </c>
      <c r="F266">
        <f>IFERROR(SUMIFS('Match Log'!$I$4:$I$810,'Match Log'!$A$4:$A$810,242,'Match Log'!$E$4:$E$810,"Win"),"")</f>
        <v>0</v>
      </c>
      <c r="G266" t="str">
        <f t="shared" si="31"/>
        <v/>
      </c>
      <c r="H266" t="str">
        <f t="array" ref="H266">IFERROR(IF(COUNTIFS('Match Log'!$A$4:$A$810,$A266,'Match Log'!$E$4:$E$810,"Win")&gt;1,_xlfn.TEXTJOIN(" + ",TRUE,IF(('Match Log'!$A$4:$A$810=$A266)*('Match Log'!$E$4:$E$810="Loss"),'Match Log'!$D$4:$D$810,"")),IF($E266=2,LOOKUP(2,1/(('Match Log'!$A$4:$A$810=$A266)*('Match Log'!$E$4:$E$810="Loss")),'Match Log'!$D$4:$D$810),"the field")),"")</f>
        <v>the field</v>
      </c>
      <c r="I266" t="str">
        <f t="shared" si="32"/>
        <v/>
      </c>
      <c r="J266">
        <v>242</v>
      </c>
      <c r="K266" t="e">
        <f>IF($J266&gt;MAX('Match Log'!$A$4:$A$810),NA(),IFERROR(LOOKUP(2,1/(('Match Log'!$D$4:$D$810=$K$24)*('Match Log'!$A$4:$A$810&lt;=$J266)),'Match Log'!$N$4:$N$810),NA()))</f>
        <v>#N/A</v>
      </c>
      <c r="L266" t="e">
        <f>IF($J266&gt;MAX('Match Log'!$A$4:$A$810),NA(),IFERROR(LOOKUP(2,1/(('Match Log'!$D$4:$D$810=$L$24)*('Match Log'!$A$4:$A$810&lt;=$J266)),'Match Log'!$N$4:$N$810),NA()))</f>
        <v>#N/A</v>
      </c>
      <c r="M266" t="e">
        <f>IF($J266&gt;MAX('Match Log'!$A$4:$A$810),NA(),IFERROR(LOOKUP(2,1/(('Match Log'!$D$4:$D$810=$M$24)*('Match Log'!$A$4:$A$810&lt;=$J266)),'Match Log'!$N$4:$N$810),NA()))</f>
        <v>#N/A</v>
      </c>
      <c r="N266" t="e">
        <f>IF($J266&gt;MAX('Match Log'!$A$4:$A$810),NA(),IFERROR(LOOKUP(2,1/(('Match Log'!$D$4:$D$810=$N$24)*('Match Log'!$A$4:$A$810&lt;=$J266)),'Match Log'!$N$4:$N$810),NA()))</f>
        <v>#N/A</v>
      </c>
      <c r="O266" t="e">
        <f>IF($J266&gt;MAX('Match Log'!$A$4:$A$810),NA(),IFERROR(LOOKUP(2,1/(('Match Log'!$D$4:$D$810=$O$24)*('Match Log'!$A$4:$A$810&lt;=$J266)),'Match Log'!$N$4:$N$810),NA()))</f>
        <v>#N/A</v>
      </c>
      <c r="P266" t="e">
        <f>IF($J266&gt;MAX('Match Log'!$A$4:$A$810),NA(),IFERROR(LOOKUP(2,1/(('Match Log'!$D$4:$D$810=$P$24)*('Match Log'!$A$4:$A$810&lt;=$J266)),'Match Log'!$N$4:$N$810),NA()))</f>
        <v>#N/A</v>
      </c>
      <c r="Q266" t="e">
        <f>IF($J266&gt;MAX('Match Log'!$A$4:$A$810),NA(),IFERROR(LOOKUP(2,1/(('Match Log'!$D$4:$D$810=$Q$24)*('Match Log'!$A$4:$A$810&lt;=$J266)),'Match Log'!$N$4:$N$810),NA()))</f>
        <v>#N/A</v>
      </c>
      <c r="R266" t="e">
        <f>IF($J266&gt;MAX('Match Log'!$A$4:$A$810),NA(),IFERROR(LOOKUP(2,1/(('Match Log'!$D$4:$D$810=$R$24)*('Match Log'!$A$4:$A$810&lt;=$J266)),'Match Log'!$N$4:$N$810),NA()))</f>
        <v>#N/A</v>
      </c>
      <c r="S266" t="e">
        <f>IF($J266&gt;MAX('Match Log'!$A$4:$A$810),NA(),IFERROR(LOOKUP(2,1/(('Match Log'!$D$4:$D$810=$S$24)*('Match Log'!$A$4:$A$810&lt;=$J266)),'Match Log'!$N$4:$N$810),NA()))</f>
        <v>#N/A</v>
      </c>
      <c r="T266" t="e">
        <f>IF($J266&gt;MAX('Match Log'!$A$4:$A$810),NA(),IFERROR(LOOKUP(2,1/(('Match Log'!$D$4:$D$810=$T$24)*('Match Log'!$A$4:$A$810&lt;=$J266)),'Match Log'!$N$4:$N$810),NA()))</f>
        <v>#N/A</v>
      </c>
      <c r="U266" t="e">
        <f>IF($J266&gt;MAX('Match Log'!$A$4:$A$810),NA(),IFERROR(LOOKUP(2,1/(('Match Log'!$D$4:$D$810=$U$24)*('Match Log'!$A$4:$A$810&lt;=$J266)),'Match Log'!$N$4:$N$810),NA()))</f>
        <v>#N/A</v>
      </c>
      <c r="V266" t="e">
        <f>IF($J266&gt;MAX('Match Log'!$A$4:$A$810),NA(),IFERROR(LOOKUP(2,1/(('Match Log'!$D$4:$D$810=$V$24)*('Match Log'!$A$4:$A$810&lt;=$J266)),'Match Log'!$N$4:$N$810),NA()))</f>
        <v>#N/A</v>
      </c>
      <c r="W266" t="e">
        <f>IF($J266&gt;MAX('Match Log'!$A$4:$A$810),NA(),IFERROR(LOOKUP(2,1/(('Match Log'!$D$4:$D$810=$W$24)*('Match Log'!$A$4:$A$810&lt;=$J266)),'Match Log'!$N$4:$N$810),NA()))</f>
        <v>#N/A</v>
      </c>
      <c r="X266" t="e">
        <f>IF($J266&gt;MAX('Match Log'!$A$4:$A$810),NA(),IFERROR(LOOKUP(2,1/(('Match Log'!$D$4:$D$810=$X$24)*('Match Log'!$A$4:$A$810&lt;=$J266)),'Match Log'!$N$4:$N$810),NA()))</f>
        <v>#N/A</v>
      </c>
      <c r="Y266" t="str">
        <f t="shared" ca="1" si="33"/>
        <v/>
      </c>
    </row>
    <row r="267" spans="1:25" x14ac:dyDescent="0.2">
      <c r="A267">
        <v>243</v>
      </c>
      <c r="B267" t="str">
        <f>IFERROR(INDEX('Match Log'!$B$4:$B$810,MATCH(243,'Match Log'!$A$4:$A$810,0)),"")</f>
        <v/>
      </c>
      <c r="C267" t="str">
        <f>IFERROR(INDEX('Match Log'!$C$4:$C$810,MATCH(243,'Match Log'!$A$4:$A$810,0)),"")</f>
        <v/>
      </c>
      <c r="D267" t="str">
        <f t="array" ref="D267">IFERROR(_xlfn.TEXTJOIN(" + ",TRUE,IF(('Match Log'!$A$4:$A$810=$A267)*('Match Log'!$E$4:$E$810="Win"),'Match Log'!$D$4:$D$810,"")),IFERROR(LOOKUP(2,1/(('Match Log'!$A$4:$A$810=$A267)*('Match Log'!$E$4:$E$810="Win")),'Match Log'!$D$4:$D$810),""))</f>
        <v/>
      </c>
      <c r="E267" t="str">
        <f>IFERROR(INDEX('Match Log'!$F$4:$F$810,MATCH(243,'Match Log'!$A$4:$A$810,0)),"")</f>
        <v/>
      </c>
      <c r="F267">
        <f>IFERROR(SUMIFS('Match Log'!$I$4:$I$810,'Match Log'!$A$4:$A$810,243,'Match Log'!$E$4:$E$810,"Win"),"")</f>
        <v>0</v>
      </c>
      <c r="G267" t="str">
        <f t="shared" si="31"/>
        <v/>
      </c>
      <c r="H267" t="str">
        <f t="array" ref="H267">IFERROR(IF(COUNTIFS('Match Log'!$A$4:$A$810,$A267,'Match Log'!$E$4:$E$810,"Win")&gt;1,_xlfn.TEXTJOIN(" + ",TRUE,IF(('Match Log'!$A$4:$A$810=$A267)*('Match Log'!$E$4:$E$810="Loss"),'Match Log'!$D$4:$D$810,"")),IF($E267=2,LOOKUP(2,1/(('Match Log'!$A$4:$A$810=$A267)*('Match Log'!$E$4:$E$810="Loss")),'Match Log'!$D$4:$D$810),"the field")),"")</f>
        <v>the field</v>
      </c>
      <c r="I267" t="str">
        <f t="shared" si="32"/>
        <v/>
      </c>
      <c r="J267">
        <v>243</v>
      </c>
      <c r="K267" t="e">
        <f>IF($J267&gt;MAX('Match Log'!$A$4:$A$810),NA(),IFERROR(LOOKUP(2,1/(('Match Log'!$D$4:$D$810=$K$24)*('Match Log'!$A$4:$A$810&lt;=$J267)),'Match Log'!$N$4:$N$810),NA()))</f>
        <v>#N/A</v>
      </c>
      <c r="L267" t="e">
        <f>IF($J267&gt;MAX('Match Log'!$A$4:$A$810),NA(),IFERROR(LOOKUP(2,1/(('Match Log'!$D$4:$D$810=$L$24)*('Match Log'!$A$4:$A$810&lt;=$J267)),'Match Log'!$N$4:$N$810),NA()))</f>
        <v>#N/A</v>
      </c>
      <c r="M267" t="e">
        <f>IF($J267&gt;MAX('Match Log'!$A$4:$A$810),NA(),IFERROR(LOOKUP(2,1/(('Match Log'!$D$4:$D$810=$M$24)*('Match Log'!$A$4:$A$810&lt;=$J267)),'Match Log'!$N$4:$N$810),NA()))</f>
        <v>#N/A</v>
      </c>
      <c r="N267" t="e">
        <f>IF($J267&gt;MAX('Match Log'!$A$4:$A$810),NA(),IFERROR(LOOKUP(2,1/(('Match Log'!$D$4:$D$810=$N$24)*('Match Log'!$A$4:$A$810&lt;=$J267)),'Match Log'!$N$4:$N$810),NA()))</f>
        <v>#N/A</v>
      </c>
      <c r="O267" t="e">
        <f>IF($J267&gt;MAX('Match Log'!$A$4:$A$810),NA(),IFERROR(LOOKUP(2,1/(('Match Log'!$D$4:$D$810=$O$24)*('Match Log'!$A$4:$A$810&lt;=$J267)),'Match Log'!$N$4:$N$810),NA()))</f>
        <v>#N/A</v>
      </c>
      <c r="P267" t="e">
        <f>IF($J267&gt;MAX('Match Log'!$A$4:$A$810),NA(),IFERROR(LOOKUP(2,1/(('Match Log'!$D$4:$D$810=$P$24)*('Match Log'!$A$4:$A$810&lt;=$J267)),'Match Log'!$N$4:$N$810),NA()))</f>
        <v>#N/A</v>
      </c>
      <c r="Q267" t="e">
        <f>IF($J267&gt;MAX('Match Log'!$A$4:$A$810),NA(),IFERROR(LOOKUP(2,1/(('Match Log'!$D$4:$D$810=$Q$24)*('Match Log'!$A$4:$A$810&lt;=$J267)),'Match Log'!$N$4:$N$810),NA()))</f>
        <v>#N/A</v>
      </c>
      <c r="R267" t="e">
        <f>IF($J267&gt;MAX('Match Log'!$A$4:$A$810),NA(),IFERROR(LOOKUP(2,1/(('Match Log'!$D$4:$D$810=$R$24)*('Match Log'!$A$4:$A$810&lt;=$J267)),'Match Log'!$N$4:$N$810),NA()))</f>
        <v>#N/A</v>
      </c>
      <c r="S267" t="e">
        <f>IF($J267&gt;MAX('Match Log'!$A$4:$A$810),NA(),IFERROR(LOOKUP(2,1/(('Match Log'!$D$4:$D$810=$S$24)*('Match Log'!$A$4:$A$810&lt;=$J267)),'Match Log'!$N$4:$N$810),NA()))</f>
        <v>#N/A</v>
      </c>
      <c r="T267" t="e">
        <f>IF($J267&gt;MAX('Match Log'!$A$4:$A$810),NA(),IFERROR(LOOKUP(2,1/(('Match Log'!$D$4:$D$810=$T$24)*('Match Log'!$A$4:$A$810&lt;=$J267)),'Match Log'!$N$4:$N$810),NA()))</f>
        <v>#N/A</v>
      </c>
      <c r="U267" t="e">
        <f>IF($J267&gt;MAX('Match Log'!$A$4:$A$810),NA(),IFERROR(LOOKUP(2,1/(('Match Log'!$D$4:$D$810=$U$24)*('Match Log'!$A$4:$A$810&lt;=$J267)),'Match Log'!$N$4:$N$810),NA()))</f>
        <v>#N/A</v>
      </c>
      <c r="V267" t="e">
        <f>IF($J267&gt;MAX('Match Log'!$A$4:$A$810),NA(),IFERROR(LOOKUP(2,1/(('Match Log'!$D$4:$D$810=$V$24)*('Match Log'!$A$4:$A$810&lt;=$J267)),'Match Log'!$N$4:$N$810),NA()))</f>
        <v>#N/A</v>
      </c>
      <c r="W267" t="e">
        <f>IF($J267&gt;MAX('Match Log'!$A$4:$A$810),NA(),IFERROR(LOOKUP(2,1/(('Match Log'!$D$4:$D$810=$W$24)*('Match Log'!$A$4:$A$810&lt;=$J267)),'Match Log'!$N$4:$N$810),NA()))</f>
        <v>#N/A</v>
      </c>
      <c r="X267" t="e">
        <f>IF($J267&gt;MAX('Match Log'!$A$4:$A$810),NA(),IFERROR(LOOKUP(2,1/(('Match Log'!$D$4:$D$810=$X$24)*('Match Log'!$A$4:$A$810&lt;=$J267)),'Match Log'!$N$4:$N$810),NA()))</f>
        <v>#N/A</v>
      </c>
      <c r="Y267" t="str">
        <f t="shared" ca="1" si="33"/>
        <v/>
      </c>
    </row>
    <row r="268" spans="1:25" x14ac:dyDescent="0.2">
      <c r="A268">
        <v>244</v>
      </c>
      <c r="B268" t="str">
        <f>IFERROR(INDEX('Match Log'!$B$4:$B$810,MATCH(244,'Match Log'!$A$4:$A$810,0)),"")</f>
        <v/>
      </c>
      <c r="C268" t="str">
        <f>IFERROR(INDEX('Match Log'!$C$4:$C$810,MATCH(244,'Match Log'!$A$4:$A$810,0)),"")</f>
        <v/>
      </c>
      <c r="D268" t="str">
        <f t="array" ref="D268">IFERROR(_xlfn.TEXTJOIN(" + ",TRUE,IF(('Match Log'!$A$4:$A$810=$A268)*('Match Log'!$E$4:$E$810="Win"),'Match Log'!$D$4:$D$810,"")),IFERROR(LOOKUP(2,1/(('Match Log'!$A$4:$A$810=$A268)*('Match Log'!$E$4:$E$810="Win")),'Match Log'!$D$4:$D$810),""))</f>
        <v/>
      </c>
      <c r="E268" t="str">
        <f>IFERROR(INDEX('Match Log'!$F$4:$F$810,MATCH(244,'Match Log'!$A$4:$A$810,0)),"")</f>
        <v/>
      </c>
      <c r="F268">
        <f>IFERROR(SUMIFS('Match Log'!$I$4:$I$810,'Match Log'!$A$4:$A$810,244,'Match Log'!$E$4:$E$810,"Win"),"")</f>
        <v>0</v>
      </c>
      <c r="G268" t="str">
        <f t="shared" si="31"/>
        <v/>
      </c>
      <c r="H268" t="str">
        <f t="array" ref="H268">IFERROR(IF(COUNTIFS('Match Log'!$A$4:$A$810,$A268,'Match Log'!$E$4:$E$810,"Win")&gt;1,_xlfn.TEXTJOIN(" + ",TRUE,IF(('Match Log'!$A$4:$A$810=$A268)*('Match Log'!$E$4:$E$810="Loss"),'Match Log'!$D$4:$D$810,"")),IF($E268=2,LOOKUP(2,1/(('Match Log'!$A$4:$A$810=$A268)*('Match Log'!$E$4:$E$810="Loss")),'Match Log'!$D$4:$D$810),"the field")),"")</f>
        <v>the field</v>
      </c>
      <c r="I268" t="str">
        <f t="shared" si="32"/>
        <v/>
      </c>
      <c r="J268">
        <v>244</v>
      </c>
      <c r="K268" t="e">
        <f>IF($J268&gt;MAX('Match Log'!$A$4:$A$810),NA(),IFERROR(LOOKUP(2,1/(('Match Log'!$D$4:$D$810=$K$24)*('Match Log'!$A$4:$A$810&lt;=$J268)),'Match Log'!$N$4:$N$810),NA()))</f>
        <v>#N/A</v>
      </c>
      <c r="L268" t="e">
        <f>IF($J268&gt;MAX('Match Log'!$A$4:$A$810),NA(),IFERROR(LOOKUP(2,1/(('Match Log'!$D$4:$D$810=$L$24)*('Match Log'!$A$4:$A$810&lt;=$J268)),'Match Log'!$N$4:$N$810),NA()))</f>
        <v>#N/A</v>
      </c>
      <c r="M268" t="e">
        <f>IF($J268&gt;MAX('Match Log'!$A$4:$A$810),NA(),IFERROR(LOOKUP(2,1/(('Match Log'!$D$4:$D$810=$M$24)*('Match Log'!$A$4:$A$810&lt;=$J268)),'Match Log'!$N$4:$N$810),NA()))</f>
        <v>#N/A</v>
      </c>
      <c r="N268" t="e">
        <f>IF($J268&gt;MAX('Match Log'!$A$4:$A$810),NA(),IFERROR(LOOKUP(2,1/(('Match Log'!$D$4:$D$810=$N$24)*('Match Log'!$A$4:$A$810&lt;=$J268)),'Match Log'!$N$4:$N$810),NA()))</f>
        <v>#N/A</v>
      </c>
      <c r="O268" t="e">
        <f>IF($J268&gt;MAX('Match Log'!$A$4:$A$810),NA(),IFERROR(LOOKUP(2,1/(('Match Log'!$D$4:$D$810=$O$24)*('Match Log'!$A$4:$A$810&lt;=$J268)),'Match Log'!$N$4:$N$810),NA()))</f>
        <v>#N/A</v>
      </c>
      <c r="P268" t="e">
        <f>IF($J268&gt;MAX('Match Log'!$A$4:$A$810),NA(),IFERROR(LOOKUP(2,1/(('Match Log'!$D$4:$D$810=$P$24)*('Match Log'!$A$4:$A$810&lt;=$J268)),'Match Log'!$N$4:$N$810),NA()))</f>
        <v>#N/A</v>
      </c>
      <c r="Q268" t="e">
        <f>IF($J268&gt;MAX('Match Log'!$A$4:$A$810),NA(),IFERROR(LOOKUP(2,1/(('Match Log'!$D$4:$D$810=$Q$24)*('Match Log'!$A$4:$A$810&lt;=$J268)),'Match Log'!$N$4:$N$810),NA()))</f>
        <v>#N/A</v>
      </c>
      <c r="R268" t="e">
        <f>IF($J268&gt;MAX('Match Log'!$A$4:$A$810),NA(),IFERROR(LOOKUP(2,1/(('Match Log'!$D$4:$D$810=$R$24)*('Match Log'!$A$4:$A$810&lt;=$J268)),'Match Log'!$N$4:$N$810),NA()))</f>
        <v>#N/A</v>
      </c>
      <c r="S268" t="e">
        <f>IF($J268&gt;MAX('Match Log'!$A$4:$A$810),NA(),IFERROR(LOOKUP(2,1/(('Match Log'!$D$4:$D$810=$S$24)*('Match Log'!$A$4:$A$810&lt;=$J268)),'Match Log'!$N$4:$N$810),NA()))</f>
        <v>#N/A</v>
      </c>
      <c r="T268" t="e">
        <f>IF($J268&gt;MAX('Match Log'!$A$4:$A$810),NA(),IFERROR(LOOKUP(2,1/(('Match Log'!$D$4:$D$810=$T$24)*('Match Log'!$A$4:$A$810&lt;=$J268)),'Match Log'!$N$4:$N$810),NA()))</f>
        <v>#N/A</v>
      </c>
      <c r="U268" t="e">
        <f>IF($J268&gt;MAX('Match Log'!$A$4:$A$810),NA(),IFERROR(LOOKUP(2,1/(('Match Log'!$D$4:$D$810=$U$24)*('Match Log'!$A$4:$A$810&lt;=$J268)),'Match Log'!$N$4:$N$810),NA()))</f>
        <v>#N/A</v>
      </c>
      <c r="V268" t="e">
        <f>IF($J268&gt;MAX('Match Log'!$A$4:$A$810),NA(),IFERROR(LOOKUP(2,1/(('Match Log'!$D$4:$D$810=$V$24)*('Match Log'!$A$4:$A$810&lt;=$J268)),'Match Log'!$N$4:$N$810),NA()))</f>
        <v>#N/A</v>
      </c>
      <c r="W268" t="e">
        <f>IF($J268&gt;MAX('Match Log'!$A$4:$A$810),NA(),IFERROR(LOOKUP(2,1/(('Match Log'!$D$4:$D$810=$W$24)*('Match Log'!$A$4:$A$810&lt;=$J268)),'Match Log'!$N$4:$N$810),NA()))</f>
        <v>#N/A</v>
      </c>
      <c r="X268" t="e">
        <f>IF($J268&gt;MAX('Match Log'!$A$4:$A$810),NA(),IFERROR(LOOKUP(2,1/(('Match Log'!$D$4:$D$810=$X$24)*('Match Log'!$A$4:$A$810&lt;=$J268)),'Match Log'!$N$4:$N$810),NA()))</f>
        <v>#N/A</v>
      </c>
      <c r="Y268" t="str">
        <f t="shared" ca="1" si="33"/>
        <v/>
      </c>
    </row>
    <row r="269" spans="1:25" x14ac:dyDescent="0.2">
      <c r="A269">
        <v>245</v>
      </c>
      <c r="B269" t="str">
        <f>IFERROR(INDEX('Match Log'!$B$4:$B$810,MATCH(245,'Match Log'!$A$4:$A$810,0)),"")</f>
        <v/>
      </c>
      <c r="C269" t="str">
        <f>IFERROR(INDEX('Match Log'!$C$4:$C$810,MATCH(245,'Match Log'!$A$4:$A$810,0)),"")</f>
        <v/>
      </c>
      <c r="D269" t="str">
        <f t="array" ref="D269">IFERROR(_xlfn.TEXTJOIN(" + ",TRUE,IF(('Match Log'!$A$4:$A$810=$A269)*('Match Log'!$E$4:$E$810="Win"),'Match Log'!$D$4:$D$810,"")),IFERROR(LOOKUP(2,1/(('Match Log'!$A$4:$A$810=$A269)*('Match Log'!$E$4:$E$810="Win")),'Match Log'!$D$4:$D$810),""))</f>
        <v/>
      </c>
      <c r="E269" t="str">
        <f>IFERROR(INDEX('Match Log'!$F$4:$F$810,MATCH(245,'Match Log'!$A$4:$A$810,0)),"")</f>
        <v/>
      </c>
      <c r="F269">
        <f>IFERROR(SUMIFS('Match Log'!$I$4:$I$810,'Match Log'!$A$4:$A$810,245,'Match Log'!$E$4:$E$810,"Win"),"")</f>
        <v>0</v>
      </c>
      <c r="G269" t="str">
        <f t="shared" si="31"/>
        <v/>
      </c>
      <c r="H269" t="str">
        <f t="array" ref="H269">IFERROR(IF(COUNTIFS('Match Log'!$A$4:$A$810,$A269,'Match Log'!$E$4:$E$810,"Win")&gt;1,_xlfn.TEXTJOIN(" + ",TRUE,IF(('Match Log'!$A$4:$A$810=$A269)*('Match Log'!$E$4:$E$810="Loss"),'Match Log'!$D$4:$D$810,"")),IF($E269=2,LOOKUP(2,1/(('Match Log'!$A$4:$A$810=$A269)*('Match Log'!$E$4:$E$810="Loss")),'Match Log'!$D$4:$D$810),"the field")),"")</f>
        <v>the field</v>
      </c>
      <c r="I269" t="str">
        <f t="shared" si="32"/>
        <v/>
      </c>
      <c r="J269">
        <v>245</v>
      </c>
      <c r="K269" t="e">
        <f>IF($J269&gt;MAX('Match Log'!$A$4:$A$810),NA(),IFERROR(LOOKUP(2,1/(('Match Log'!$D$4:$D$810=$K$24)*('Match Log'!$A$4:$A$810&lt;=$J269)),'Match Log'!$N$4:$N$810),NA()))</f>
        <v>#N/A</v>
      </c>
      <c r="L269" t="e">
        <f>IF($J269&gt;MAX('Match Log'!$A$4:$A$810),NA(),IFERROR(LOOKUP(2,1/(('Match Log'!$D$4:$D$810=$L$24)*('Match Log'!$A$4:$A$810&lt;=$J269)),'Match Log'!$N$4:$N$810),NA()))</f>
        <v>#N/A</v>
      </c>
      <c r="M269" t="e">
        <f>IF($J269&gt;MAX('Match Log'!$A$4:$A$810),NA(),IFERROR(LOOKUP(2,1/(('Match Log'!$D$4:$D$810=$M$24)*('Match Log'!$A$4:$A$810&lt;=$J269)),'Match Log'!$N$4:$N$810),NA()))</f>
        <v>#N/A</v>
      </c>
      <c r="N269" t="e">
        <f>IF($J269&gt;MAX('Match Log'!$A$4:$A$810),NA(),IFERROR(LOOKUP(2,1/(('Match Log'!$D$4:$D$810=$N$24)*('Match Log'!$A$4:$A$810&lt;=$J269)),'Match Log'!$N$4:$N$810),NA()))</f>
        <v>#N/A</v>
      </c>
      <c r="O269" t="e">
        <f>IF($J269&gt;MAX('Match Log'!$A$4:$A$810),NA(),IFERROR(LOOKUP(2,1/(('Match Log'!$D$4:$D$810=$O$24)*('Match Log'!$A$4:$A$810&lt;=$J269)),'Match Log'!$N$4:$N$810),NA()))</f>
        <v>#N/A</v>
      </c>
      <c r="P269" t="e">
        <f>IF($J269&gt;MAX('Match Log'!$A$4:$A$810),NA(),IFERROR(LOOKUP(2,1/(('Match Log'!$D$4:$D$810=$P$24)*('Match Log'!$A$4:$A$810&lt;=$J269)),'Match Log'!$N$4:$N$810),NA()))</f>
        <v>#N/A</v>
      </c>
      <c r="Q269" t="e">
        <f>IF($J269&gt;MAX('Match Log'!$A$4:$A$810),NA(),IFERROR(LOOKUP(2,1/(('Match Log'!$D$4:$D$810=$Q$24)*('Match Log'!$A$4:$A$810&lt;=$J269)),'Match Log'!$N$4:$N$810),NA()))</f>
        <v>#N/A</v>
      </c>
      <c r="R269" t="e">
        <f>IF($J269&gt;MAX('Match Log'!$A$4:$A$810),NA(),IFERROR(LOOKUP(2,1/(('Match Log'!$D$4:$D$810=$R$24)*('Match Log'!$A$4:$A$810&lt;=$J269)),'Match Log'!$N$4:$N$810),NA()))</f>
        <v>#N/A</v>
      </c>
      <c r="S269" t="e">
        <f>IF($J269&gt;MAX('Match Log'!$A$4:$A$810),NA(),IFERROR(LOOKUP(2,1/(('Match Log'!$D$4:$D$810=$S$24)*('Match Log'!$A$4:$A$810&lt;=$J269)),'Match Log'!$N$4:$N$810),NA()))</f>
        <v>#N/A</v>
      </c>
      <c r="T269" t="e">
        <f>IF($J269&gt;MAX('Match Log'!$A$4:$A$810),NA(),IFERROR(LOOKUP(2,1/(('Match Log'!$D$4:$D$810=$T$24)*('Match Log'!$A$4:$A$810&lt;=$J269)),'Match Log'!$N$4:$N$810),NA()))</f>
        <v>#N/A</v>
      </c>
      <c r="U269" t="e">
        <f>IF($J269&gt;MAX('Match Log'!$A$4:$A$810),NA(),IFERROR(LOOKUP(2,1/(('Match Log'!$D$4:$D$810=$U$24)*('Match Log'!$A$4:$A$810&lt;=$J269)),'Match Log'!$N$4:$N$810),NA()))</f>
        <v>#N/A</v>
      </c>
      <c r="V269" t="e">
        <f>IF($J269&gt;MAX('Match Log'!$A$4:$A$810),NA(),IFERROR(LOOKUP(2,1/(('Match Log'!$D$4:$D$810=$V$24)*('Match Log'!$A$4:$A$810&lt;=$J269)),'Match Log'!$N$4:$N$810),NA()))</f>
        <v>#N/A</v>
      </c>
      <c r="W269" t="e">
        <f>IF($J269&gt;MAX('Match Log'!$A$4:$A$810),NA(),IFERROR(LOOKUP(2,1/(('Match Log'!$D$4:$D$810=$W$24)*('Match Log'!$A$4:$A$810&lt;=$J269)),'Match Log'!$N$4:$N$810),NA()))</f>
        <v>#N/A</v>
      </c>
      <c r="X269" t="e">
        <f>IF($J269&gt;MAX('Match Log'!$A$4:$A$810),NA(),IFERROR(LOOKUP(2,1/(('Match Log'!$D$4:$D$810=$X$24)*('Match Log'!$A$4:$A$810&lt;=$J269)),'Match Log'!$N$4:$N$810),NA()))</f>
        <v>#N/A</v>
      </c>
      <c r="Y269" t="str">
        <f t="shared" ca="1" si="33"/>
        <v/>
      </c>
    </row>
    <row r="270" spans="1:25" x14ac:dyDescent="0.2">
      <c r="A270">
        <v>246</v>
      </c>
      <c r="B270" t="str">
        <f>IFERROR(INDEX('Match Log'!$B$4:$B$810,MATCH(246,'Match Log'!$A$4:$A$810,0)),"")</f>
        <v/>
      </c>
      <c r="C270" t="str">
        <f>IFERROR(INDEX('Match Log'!$C$4:$C$810,MATCH(246,'Match Log'!$A$4:$A$810,0)),"")</f>
        <v/>
      </c>
      <c r="D270" t="str">
        <f t="array" ref="D270">IFERROR(_xlfn.TEXTJOIN(" + ",TRUE,IF(('Match Log'!$A$4:$A$810=$A270)*('Match Log'!$E$4:$E$810="Win"),'Match Log'!$D$4:$D$810,"")),IFERROR(LOOKUP(2,1/(('Match Log'!$A$4:$A$810=$A270)*('Match Log'!$E$4:$E$810="Win")),'Match Log'!$D$4:$D$810),""))</f>
        <v/>
      </c>
      <c r="E270" t="str">
        <f>IFERROR(INDEX('Match Log'!$F$4:$F$810,MATCH(246,'Match Log'!$A$4:$A$810,0)),"")</f>
        <v/>
      </c>
      <c r="F270">
        <f>IFERROR(SUMIFS('Match Log'!$I$4:$I$810,'Match Log'!$A$4:$A$810,246,'Match Log'!$E$4:$E$810,"Win"),"")</f>
        <v>0</v>
      </c>
      <c r="G270" t="str">
        <f t="shared" si="31"/>
        <v/>
      </c>
      <c r="H270" t="str">
        <f t="array" ref="H270">IFERROR(IF(COUNTIFS('Match Log'!$A$4:$A$810,$A270,'Match Log'!$E$4:$E$810,"Win")&gt;1,_xlfn.TEXTJOIN(" + ",TRUE,IF(('Match Log'!$A$4:$A$810=$A270)*('Match Log'!$E$4:$E$810="Loss"),'Match Log'!$D$4:$D$810,"")),IF($E270=2,LOOKUP(2,1/(('Match Log'!$A$4:$A$810=$A270)*('Match Log'!$E$4:$E$810="Loss")),'Match Log'!$D$4:$D$810),"the field")),"")</f>
        <v>the field</v>
      </c>
      <c r="I270" t="str">
        <f t="shared" si="32"/>
        <v/>
      </c>
      <c r="J270">
        <v>246</v>
      </c>
      <c r="K270" t="e">
        <f>IF($J270&gt;MAX('Match Log'!$A$4:$A$810),NA(),IFERROR(LOOKUP(2,1/(('Match Log'!$D$4:$D$810=$K$24)*('Match Log'!$A$4:$A$810&lt;=$J270)),'Match Log'!$N$4:$N$810),NA()))</f>
        <v>#N/A</v>
      </c>
      <c r="L270" t="e">
        <f>IF($J270&gt;MAX('Match Log'!$A$4:$A$810),NA(),IFERROR(LOOKUP(2,1/(('Match Log'!$D$4:$D$810=$L$24)*('Match Log'!$A$4:$A$810&lt;=$J270)),'Match Log'!$N$4:$N$810),NA()))</f>
        <v>#N/A</v>
      </c>
      <c r="M270" t="e">
        <f>IF($J270&gt;MAX('Match Log'!$A$4:$A$810),NA(),IFERROR(LOOKUP(2,1/(('Match Log'!$D$4:$D$810=$M$24)*('Match Log'!$A$4:$A$810&lt;=$J270)),'Match Log'!$N$4:$N$810),NA()))</f>
        <v>#N/A</v>
      </c>
      <c r="N270" t="e">
        <f>IF($J270&gt;MAX('Match Log'!$A$4:$A$810),NA(),IFERROR(LOOKUP(2,1/(('Match Log'!$D$4:$D$810=$N$24)*('Match Log'!$A$4:$A$810&lt;=$J270)),'Match Log'!$N$4:$N$810),NA()))</f>
        <v>#N/A</v>
      </c>
      <c r="O270" t="e">
        <f>IF($J270&gt;MAX('Match Log'!$A$4:$A$810),NA(),IFERROR(LOOKUP(2,1/(('Match Log'!$D$4:$D$810=$O$24)*('Match Log'!$A$4:$A$810&lt;=$J270)),'Match Log'!$N$4:$N$810),NA()))</f>
        <v>#N/A</v>
      </c>
      <c r="P270" t="e">
        <f>IF($J270&gt;MAX('Match Log'!$A$4:$A$810),NA(),IFERROR(LOOKUP(2,1/(('Match Log'!$D$4:$D$810=$P$24)*('Match Log'!$A$4:$A$810&lt;=$J270)),'Match Log'!$N$4:$N$810),NA()))</f>
        <v>#N/A</v>
      </c>
      <c r="Q270" t="e">
        <f>IF($J270&gt;MAX('Match Log'!$A$4:$A$810),NA(),IFERROR(LOOKUP(2,1/(('Match Log'!$D$4:$D$810=$Q$24)*('Match Log'!$A$4:$A$810&lt;=$J270)),'Match Log'!$N$4:$N$810),NA()))</f>
        <v>#N/A</v>
      </c>
      <c r="R270" t="e">
        <f>IF($J270&gt;MAX('Match Log'!$A$4:$A$810),NA(),IFERROR(LOOKUP(2,1/(('Match Log'!$D$4:$D$810=$R$24)*('Match Log'!$A$4:$A$810&lt;=$J270)),'Match Log'!$N$4:$N$810),NA()))</f>
        <v>#N/A</v>
      </c>
      <c r="S270" t="e">
        <f>IF($J270&gt;MAX('Match Log'!$A$4:$A$810),NA(),IFERROR(LOOKUP(2,1/(('Match Log'!$D$4:$D$810=$S$24)*('Match Log'!$A$4:$A$810&lt;=$J270)),'Match Log'!$N$4:$N$810),NA()))</f>
        <v>#N/A</v>
      </c>
      <c r="T270" t="e">
        <f>IF($J270&gt;MAX('Match Log'!$A$4:$A$810),NA(),IFERROR(LOOKUP(2,1/(('Match Log'!$D$4:$D$810=$T$24)*('Match Log'!$A$4:$A$810&lt;=$J270)),'Match Log'!$N$4:$N$810),NA()))</f>
        <v>#N/A</v>
      </c>
      <c r="U270" t="e">
        <f>IF($J270&gt;MAX('Match Log'!$A$4:$A$810),NA(),IFERROR(LOOKUP(2,1/(('Match Log'!$D$4:$D$810=$U$24)*('Match Log'!$A$4:$A$810&lt;=$J270)),'Match Log'!$N$4:$N$810),NA()))</f>
        <v>#N/A</v>
      </c>
      <c r="V270" t="e">
        <f>IF($J270&gt;MAX('Match Log'!$A$4:$A$810),NA(),IFERROR(LOOKUP(2,1/(('Match Log'!$D$4:$D$810=$V$24)*('Match Log'!$A$4:$A$810&lt;=$J270)),'Match Log'!$N$4:$N$810),NA()))</f>
        <v>#N/A</v>
      </c>
      <c r="W270" t="e">
        <f>IF($J270&gt;MAX('Match Log'!$A$4:$A$810),NA(),IFERROR(LOOKUP(2,1/(('Match Log'!$D$4:$D$810=$W$24)*('Match Log'!$A$4:$A$810&lt;=$J270)),'Match Log'!$N$4:$N$810),NA()))</f>
        <v>#N/A</v>
      </c>
      <c r="X270" t="e">
        <f>IF($J270&gt;MAX('Match Log'!$A$4:$A$810),NA(),IFERROR(LOOKUP(2,1/(('Match Log'!$D$4:$D$810=$X$24)*('Match Log'!$A$4:$A$810&lt;=$J270)),'Match Log'!$N$4:$N$810),NA()))</f>
        <v>#N/A</v>
      </c>
      <c r="Y270" t="str">
        <f t="shared" ca="1" si="33"/>
        <v/>
      </c>
    </row>
    <row r="271" spans="1:25" x14ac:dyDescent="0.2">
      <c r="A271">
        <v>247</v>
      </c>
      <c r="B271" t="str">
        <f>IFERROR(INDEX('Match Log'!$B$4:$B$810,MATCH(247,'Match Log'!$A$4:$A$810,0)),"")</f>
        <v/>
      </c>
      <c r="C271" t="str">
        <f>IFERROR(INDEX('Match Log'!$C$4:$C$810,MATCH(247,'Match Log'!$A$4:$A$810,0)),"")</f>
        <v/>
      </c>
      <c r="D271" t="str">
        <f t="array" ref="D271">IFERROR(_xlfn.TEXTJOIN(" + ",TRUE,IF(('Match Log'!$A$4:$A$810=$A271)*('Match Log'!$E$4:$E$810="Win"),'Match Log'!$D$4:$D$810,"")),IFERROR(LOOKUP(2,1/(('Match Log'!$A$4:$A$810=$A271)*('Match Log'!$E$4:$E$810="Win")),'Match Log'!$D$4:$D$810),""))</f>
        <v/>
      </c>
      <c r="E271" t="str">
        <f>IFERROR(INDEX('Match Log'!$F$4:$F$810,MATCH(247,'Match Log'!$A$4:$A$810,0)),"")</f>
        <v/>
      </c>
      <c r="F271">
        <f>IFERROR(SUMIFS('Match Log'!$I$4:$I$810,'Match Log'!$A$4:$A$810,247,'Match Log'!$E$4:$E$810,"Win"),"")</f>
        <v>0</v>
      </c>
      <c r="G271" t="str">
        <f t="shared" si="31"/>
        <v/>
      </c>
      <c r="H271" t="str">
        <f t="array" ref="H271">IFERROR(IF(COUNTIFS('Match Log'!$A$4:$A$810,$A271,'Match Log'!$E$4:$E$810,"Win")&gt;1,_xlfn.TEXTJOIN(" + ",TRUE,IF(('Match Log'!$A$4:$A$810=$A271)*('Match Log'!$E$4:$E$810="Loss"),'Match Log'!$D$4:$D$810,"")),IF($E271=2,LOOKUP(2,1/(('Match Log'!$A$4:$A$810=$A271)*('Match Log'!$E$4:$E$810="Loss")),'Match Log'!$D$4:$D$810),"the field")),"")</f>
        <v>the field</v>
      </c>
      <c r="I271" t="str">
        <f t="shared" si="32"/>
        <v/>
      </c>
      <c r="J271">
        <v>247</v>
      </c>
      <c r="K271" t="e">
        <f>IF($J271&gt;MAX('Match Log'!$A$4:$A$810),NA(),IFERROR(LOOKUP(2,1/(('Match Log'!$D$4:$D$810=$K$24)*('Match Log'!$A$4:$A$810&lt;=$J271)),'Match Log'!$N$4:$N$810),NA()))</f>
        <v>#N/A</v>
      </c>
      <c r="L271" t="e">
        <f>IF($J271&gt;MAX('Match Log'!$A$4:$A$810),NA(),IFERROR(LOOKUP(2,1/(('Match Log'!$D$4:$D$810=$L$24)*('Match Log'!$A$4:$A$810&lt;=$J271)),'Match Log'!$N$4:$N$810),NA()))</f>
        <v>#N/A</v>
      </c>
      <c r="M271" t="e">
        <f>IF($J271&gt;MAX('Match Log'!$A$4:$A$810),NA(),IFERROR(LOOKUP(2,1/(('Match Log'!$D$4:$D$810=$M$24)*('Match Log'!$A$4:$A$810&lt;=$J271)),'Match Log'!$N$4:$N$810),NA()))</f>
        <v>#N/A</v>
      </c>
      <c r="N271" t="e">
        <f>IF($J271&gt;MAX('Match Log'!$A$4:$A$810),NA(),IFERROR(LOOKUP(2,1/(('Match Log'!$D$4:$D$810=$N$24)*('Match Log'!$A$4:$A$810&lt;=$J271)),'Match Log'!$N$4:$N$810),NA()))</f>
        <v>#N/A</v>
      </c>
      <c r="O271" t="e">
        <f>IF($J271&gt;MAX('Match Log'!$A$4:$A$810),NA(),IFERROR(LOOKUP(2,1/(('Match Log'!$D$4:$D$810=$O$24)*('Match Log'!$A$4:$A$810&lt;=$J271)),'Match Log'!$N$4:$N$810),NA()))</f>
        <v>#N/A</v>
      </c>
      <c r="P271" t="e">
        <f>IF($J271&gt;MAX('Match Log'!$A$4:$A$810),NA(),IFERROR(LOOKUP(2,1/(('Match Log'!$D$4:$D$810=$P$24)*('Match Log'!$A$4:$A$810&lt;=$J271)),'Match Log'!$N$4:$N$810),NA()))</f>
        <v>#N/A</v>
      </c>
      <c r="Q271" t="e">
        <f>IF($J271&gt;MAX('Match Log'!$A$4:$A$810),NA(),IFERROR(LOOKUP(2,1/(('Match Log'!$D$4:$D$810=$Q$24)*('Match Log'!$A$4:$A$810&lt;=$J271)),'Match Log'!$N$4:$N$810),NA()))</f>
        <v>#N/A</v>
      </c>
      <c r="R271" t="e">
        <f>IF($J271&gt;MAX('Match Log'!$A$4:$A$810),NA(),IFERROR(LOOKUP(2,1/(('Match Log'!$D$4:$D$810=$R$24)*('Match Log'!$A$4:$A$810&lt;=$J271)),'Match Log'!$N$4:$N$810),NA()))</f>
        <v>#N/A</v>
      </c>
      <c r="S271" t="e">
        <f>IF($J271&gt;MAX('Match Log'!$A$4:$A$810),NA(),IFERROR(LOOKUP(2,1/(('Match Log'!$D$4:$D$810=$S$24)*('Match Log'!$A$4:$A$810&lt;=$J271)),'Match Log'!$N$4:$N$810),NA()))</f>
        <v>#N/A</v>
      </c>
      <c r="T271" t="e">
        <f>IF($J271&gt;MAX('Match Log'!$A$4:$A$810),NA(),IFERROR(LOOKUP(2,1/(('Match Log'!$D$4:$D$810=$T$24)*('Match Log'!$A$4:$A$810&lt;=$J271)),'Match Log'!$N$4:$N$810),NA()))</f>
        <v>#N/A</v>
      </c>
      <c r="U271" t="e">
        <f>IF($J271&gt;MAX('Match Log'!$A$4:$A$810),NA(),IFERROR(LOOKUP(2,1/(('Match Log'!$D$4:$D$810=$U$24)*('Match Log'!$A$4:$A$810&lt;=$J271)),'Match Log'!$N$4:$N$810),NA()))</f>
        <v>#N/A</v>
      </c>
      <c r="V271" t="e">
        <f>IF($J271&gt;MAX('Match Log'!$A$4:$A$810),NA(),IFERROR(LOOKUP(2,1/(('Match Log'!$D$4:$D$810=$V$24)*('Match Log'!$A$4:$A$810&lt;=$J271)),'Match Log'!$N$4:$N$810),NA()))</f>
        <v>#N/A</v>
      </c>
      <c r="W271" t="e">
        <f>IF($J271&gt;MAX('Match Log'!$A$4:$A$810),NA(),IFERROR(LOOKUP(2,1/(('Match Log'!$D$4:$D$810=$W$24)*('Match Log'!$A$4:$A$810&lt;=$J271)),'Match Log'!$N$4:$N$810),NA()))</f>
        <v>#N/A</v>
      </c>
      <c r="X271" t="e">
        <f>IF($J271&gt;MAX('Match Log'!$A$4:$A$810),NA(),IFERROR(LOOKUP(2,1/(('Match Log'!$D$4:$D$810=$X$24)*('Match Log'!$A$4:$A$810&lt;=$J271)),'Match Log'!$N$4:$N$810),NA()))</f>
        <v>#N/A</v>
      </c>
      <c r="Y271" t="str">
        <f t="shared" ca="1" si="33"/>
        <v/>
      </c>
    </row>
    <row r="272" spans="1:25" x14ac:dyDescent="0.2">
      <c r="A272">
        <v>248</v>
      </c>
      <c r="B272" t="str">
        <f>IFERROR(INDEX('Match Log'!$B$4:$B$810,MATCH(248,'Match Log'!$A$4:$A$810,0)),"")</f>
        <v/>
      </c>
      <c r="C272" t="str">
        <f>IFERROR(INDEX('Match Log'!$C$4:$C$810,MATCH(248,'Match Log'!$A$4:$A$810,0)),"")</f>
        <v/>
      </c>
      <c r="D272" t="str">
        <f t="array" ref="D272">IFERROR(_xlfn.TEXTJOIN(" + ",TRUE,IF(('Match Log'!$A$4:$A$810=$A272)*('Match Log'!$E$4:$E$810="Win"),'Match Log'!$D$4:$D$810,"")),IFERROR(LOOKUP(2,1/(('Match Log'!$A$4:$A$810=$A272)*('Match Log'!$E$4:$E$810="Win")),'Match Log'!$D$4:$D$810),""))</f>
        <v/>
      </c>
      <c r="E272" t="str">
        <f>IFERROR(INDEX('Match Log'!$F$4:$F$810,MATCH(248,'Match Log'!$A$4:$A$810,0)),"")</f>
        <v/>
      </c>
      <c r="F272">
        <f>IFERROR(SUMIFS('Match Log'!$I$4:$I$810,'Match Log'!$A$4:$A$810,248,'Match Log'!$E$4:$E$810,"Win"),"")</f>
        <v>0</v>
      </c>
      <c r="G272" t="str">
        <f t="shared" si="31"/>
        <v/>
      </c>
      <c r="H272" t="str">
        <f t="array" ref="H272">IFERROR(IF(COUNTIFS('Match Log'!$A$4:$A$810,$A272,'Match Log'!$E$4:$E$810,"Win")&gt;1,_xlfn.TEXTJOIN(" + ",TRUE,IF(('Match Log'!$A$4:$A$810=$A272)*('Match Log'!$E$4:$E$810="Loss"),'Match Log'!$D$4:$D$810,"")),IF($E272=2,LOOKUP(2,1/(('Match Log'!$A$4:$A$810=$A272)*('Match Log'!$E$4:$E$810="Loss")),'Match Log'!$D$4:$D$810),"the field")),"")</f>
        <v>the field</v>
      </c>
      <c r="I272" t="str">
        <f t="shared" si="32"/>
        <v/>
      </c>
      <c r="J272">
        <v>248</v>
      </c>
      <c r="K272" t="e">
        <f>IF($J272&gt;MAX('Match Log'!$A$4:$A$810),NA(),IFERROR(LOOKUP(2,1/(('Match Log'!$D$4:$D$810=$K$24)*('Match Log'!$A$4:$A$810&lt;=$J272)),'Match Log'!$N$4:$N$810),NA()))</f>
        <v>#N/A</v>
      </c>
      <c r="L272" t="e">
        <f>IF($J272&gt;MAX('Match Log'!$A$4:$A$810),NA(),IFERROR(LOOKUP(2,1/(('Match Log'!$D$4:$D$810=$L$24)*('Match Log'!$A$4:$A$810&lt;=$J272)),'Match Log'!$N$4:$N$810),NA()))</f>
        <v>#N/A</v>
      </c>
      <c r="M272" t="e">
        <f>IF($J272&gt;MAX('Match Log'!$A$4:$A$810),NA(),IFERROR(LOOKUP(2,1/(('Match Log'!$D$4:$D$810=$M$24)*('Match Log'!$A$4:$A$810&lt;=$J272)),'Match Log'!$N$4:$N$810),NA()))</f>
        <v>#N/A</v>
      </c>
      <c r="N272" t="e">
        <f>IF($J272&gt;MAX('Match Log'!$A$4:$A$810),NA(),IFERROR(LOOKUP(2,1/(('Match Log'!$D$4:$D$810=$N$24)*('Match Log'!$A$4:$A$810&lt;=$J272)),'Match Log'!$N$4:$N$810),NA()))</f>
        <v>#N/A</v>
      </c>
      <c r="O272" t="e">
        <f>IF($J272&gt;MAX('Match Log'!$A$4:$A$810),NA(),IFERROR(LOOKUP(2,1/(('Match Log'!$D$4:$D$810=$O$24)*('Match Log'!$A$4:$A$810&lt;=$J272)),'Match Log'!$N$4:$N$810),NA()))</f>
        <v>#N/A</v>
      </c>
      <c r="P272" t="e">
        <f>IF($J272&gt;MAX('Match Log'!$A$4:$A$810),NA(),IFERROR(LOOKUP(2,1/(('Match Log'!$D$4:$D$810=$P$24)*('Match Log'!$A$4:$A$810&lt;=$J272)),'Match Log'!$N$4:$N$810),NA()))</f>
        <v>#N/A</v>
      </c>
      <c r="Q272" t="e">
        <f>IF($J272&gt;MAX('Match Log'!$A$4:$A$810),NA(),IFERROR(LOOKUP(2,1/(('Match Log'!$D$4:$D$810=$Q$24)*('Match Log'!$A$4:$A$810&lt;=$J272)),'Match Log'!$N$4:$N$810),NA()))</f>
        <v>#N/A</v>
      </c>
      <c r="R272" t="e">
        <f>IF($J272&gt;MAX('Match Log'!$A$4:$A$810),NA(),IFERROR(LOOKUP(2,1/(('Match Log'!$D$4:$D$810=$R$24)*('Match Log'!$A$4:$A$810&lt;=$J272)),'Match Log'!$N$4:$N$810),NA()))</f>
        <v>#N/A</v>
      </c>
      <c r="S272" t="e">
        <f>IF($J272&gt;MAX('Match Log'!$A$4:$A$810),NA(),IFERROR(LOOKUP(2,1/(('Match Log'!$D$4:$D$810=$S$24)*('Match Log'!$A$4:$A$810&lt;=$J272)),'Match Log'!$N$4:$N$810),NA()))</f>
        <v>#N/A</v>
      </c>
      <c r="T272" t="e">
        <f>IF($J272&gt;MAX('Match Log'!$A$4:$A$810),NA(),IFERROR(LOOKUP(2,1/(('Match Log'!$D$4:$D$810=$T$24)*('Match Log'!$A$4:$A$810&lt;=$J272)),'Match Log'!$N$4:$N$810),NA()))</f>
        <v>#N/A</v>
      </c>
      <c r="U272" t="e">
        <f>IF($J272&gt;MAX('Match Log'!$A$4:$A$810),NA(),IFERROR(LOOKUP(2,1/(('Match Log'!$D$4:$D$810=$U$24)*('Match Log'!$A$4:$A$810&lt;=$J272)),'Match Log'!$N$4:$N$810),NA()))</f>
        <v>#N/A</v>
      </c>
      <c r="V272" t="e">
        <f>IF($J272&gt;MAX('Match Log'!$A$4:$A$810),NA(),IFERROR(LOOKUP(2,1/(('Match Log'!$D$4:$D$810=$V$24)*('Match Log'!$A$4:$A$810&lt;=$J272)),'Match Log'!$N$4:$N$810),NA()))</f>
        <v>#N/A</v>
      </c>
      <c r="W272" t="e">
        <f>IF($J272&gt;MAX('Match Log'!$A$4:$A$810),NA(),IFERROR(LOOKUP(2,1/(('Match Log'!$D$4:$D$810=$W$24)*('Match Log'!$A$4:$A$810&lt;=$J272)),'Match Log'!$N$4:$N$810),NA()))</f>
        <v>#N/A</v>
      </c>
      <c r="X272" t="e">
        <f>IF($J272&gt;MAX('Match Log'!$A$4:$A$810),NA(),IFERROR(LOOKUP(2,1/(('Match Log'!$D$4:$D$810=$X$24)*('Match Log'!$A$4:$A$810&lt;=$J272)),'Match Log'!$N$4:$N$810),NA()))</f>
        <v>#N/A</v>
      </c>
      <c r="Y272" t="str">
        <f t="shared" ca="1" si="33"/>
        <v/>
      </c>
    </row>
    <row r="273" spans="1:25" x14ac:dyDescent="0.2">
      <c r="A273">
        <v>249</v>
      </c>
      <c r="B273" t="str">
        <f>IFERROR(INDEX('Match Log'!$B$4:$B$810,MATCH(249,'Match Log'!$A$4:$A$810,0)),"")</f>
        <v/>
      </c>
      <c r="C273" t="str">
        <f>IFERROR(INDEX('Match Log'!$C$4:$C$810,MATCH(249,'Match Log'!$A$4:$A$810,0)),"")</f>
        <v/>
      </c>
      <c r="D273" t="str">
        <f t="array" ref="D273">IFERROR(_xlfn.TEXTJOIN(" + ",TRUE,IF(('Match Log'!$A$4:$A$810=$A273)*('Match Log'!$E$4:$E$810="Win"),'Match Log'!$D$4:$D$810,"")),IFERROR(LOOKUP(2,1/(('Match Log'!$A$4:$A$810=$A273)*('Match Log'!$E$4:$E$810="Win")),'Match Log'!$D$4:$D$810),""))</f>
        <v/>
      </c>
      <c r="E273" t="str">
        <f>IFERROR(INDEX('Match Log'!$F$4:$F$810,MATCH(249,'Match Log'!$A$4:$A$810,0)),"")</f>
        <v/>
      </c>
      <c r="F273">
        <f>IFERROR(SUMIFS('Match Log'!$I$4:$I$810,'Match Log'!$A$4:$A$810,249,'Match Log'!$E$4:$E$810,"Win"),"")</f>
        <v>0</v>
      </c>
      <c r="G273" t="str">
        <f t="shared" ref="G273:G336" si="34">IF($D273="","",1-$F273*$E273)</f>
        <v/>
      </c>
      <c r="H273" t="str">
        <f t="array" ref="H273">IFERROR(IF(COUNTIFS('Match Log'!$A$4:$A$810,$A273,'Match Log'!$E$4:$E$810,"Win")&gt;1,_xlfn.TEXTJOIN(" + ",TRUE,IF(('Match Log'!$A$4:$A$810=$A273)*('Match Log'!$E$4:$E$810="Loss"),'Match Log'!$D$4:$D$810,"")),IF($E273=2,LOOKUP(2,1/(('Match Log'!$A$4:$A$810=$A273)*('Match Log'!$E$4:$E$810="Loss")),'Match Log'!$D$4:$D$810),"the field")),"")</f>
        <v>the field</v>
      </c>
      <c r="I273" t="str">
        <f t="shared" ref="I273:I336" si="35">IF($G273="","",$G273-$A273/1000000)</f>
        <v/>
      </c>
      <c r="J273">
        <v>249</v>
      </c>
      <c r="K273" t="e">
        <f>IF($J273&gt;MAX('Match Log'!$A$4:$A$810),NA(),IFERROR(LOOKUP(2,1/(('Match Log'!$D$4:$D$810=$K$24)*('Match Log'!$A$4:$A$810&lt;=$J273)),'Match Log'!$N$4:$N$810),NA()))</f>
        <v>#N/A</v>
      </c>
      <c r="L273" t="e">
        <f>IF($J273&gt;MAX('Match Log'!$A$4:$A$810),NA(),IFERROR(LOOKUP(2,1/(('Match Log'!$D$4:$D$810=$L$24)*('Match Log'!$A$4:$A$810&lt;=$J273)),'Match Log'!$N$4:$N$810),NA()))</f>
        <v>#N/A</v>
      </c>
      <c r="M273" t="e">
        <f>IF($J273&gt;MAX('Match Log'!$A$4:$A$810),NA(),IFERROR(LOOKUP(2,1/(('Match Log'!$D$4:$D$810=$M$24)*('Match Log'!$A$4:$A$810&lt;=$J273)),'Match Log'!$N$4:$N$810),NA()))</f>
        <v>#N/A</v>
      </c>
      <c r="N273" t="e">
        <f>IF($J273&gt;MAX('Match Log'!$A$4:$A$810),NA(),IFERROR(LOOKUP(2,1/(('Match Log'!$D$4:$D$810=$N$24)*('Match Log'!$A$4:$A$810&lt;=$J273)),'Match Log'!$N$4:$N$810),NA()))</f>
        <v>#N/A</v>
      </c>
      <c r="O273" t="e">
        <f>IF($J273&gt;MAX('Match Log'!$A$4:$A$810),NA(),IFERROR(LOOKUP(2,1/(('Match Log'!$D$4:$D$810=$O$24)*('Match Log'!$A$4:$A$810&lt;=$J273)),'Match Log'!$N$4:$N$810),NA()))</f>
        <v>#N/A</v>
      </c>
      <c r="P273" t="e">
        <f>IF($J273&gt;MAX('Match Log'!$A$4:$A$810),NA(),IFERROR(LOOKUP(2,1/(('Match Log'!$D$4:$D$810=$P$24)*('Match Log'!$A$4:$A$810&lt;=$J273)),'Match Log'!$N$4:$N$810),NA()))</f>
        <v>#N/A</v>
      </c>
      <c r="Q273" t="e">
        <f>IF($J273&gt;MAX('Match Log'!$A$4:$A$810),NA(),IFERROR(LOOKUP(2,1/(('Match Log'!$D$4:$D$810=$Q$24)*('Match Log'!$A$4:$A$810&lt;=$J273)),'Match Log'!$N$4:$N$810),NA()))</f>
        <v>#N/A</v>
      </c>
      <c r="R273" t="e">
        <f>IF($J273&gt;MAX('Match Log'!$A$4:$A$810),NA(),IFERROR(LOOKUP(2,1/(('Match Log'!$D$4:$D$810=$R$24)*('Match Log'!$A$4:$A$810&lt;=$J273)),'Match Log'!$N$4:$N$810),NA()))</f>
        <v>#N/A</v>
      </c>
      <c r="S273" t="e">
        <f>IF($J273&gt;MAX('Match Log'!$A$4:$A$810),NA(),IFERROR(LOOKUP(2,1/(('Match Log'!$D$4:$D$810=$S$24)*('Match Log'!$A$4:$A$810&lt;=$J273)),'Match Log'!$N$4:$N$810),NA()))</f>
        <v>#N/A</v>
      </c>
      <c r="T273" t="e">
        <f>IF($J273&gt;MAX('Match Log'!$A$4:$A$810),NA(),IFERROR(LOOKUP(2,1/(('Match Log'!$D$4:$D$810=$T$24)*('Match Log'!$A$4:$A$810&lt;=$J273)),'Match Log'!$N$4:$N$810),NA()))</f>
        <v>#N/A</v>
      </c>
      <c r="U273" t="e">
        <f>IF($J273&gt;MAX('Match Log'!$A$4:$A$810),NA(),IFERROR(LOOKUP(2,1/(('Match Log'!$D$4:$D$810=$U$24)*('Match Log'!$A$4:$A$810&lt;=$J273)),'Match Log'!$N$4:$N$810),NA()))</f>
        <v>#N/A</v>
      </c>
      <c r="V273" t="e">
        <f>IF($J273&gt;MAX('Match Log'!$A$4:$A$810),NA(),IFERROR(LOOKUP(2,1/(('Match Log'!$D$4:$D$810=$V$24)*('Match Log'!$A$4:$A$810&lt;=$J273)),'Match Log'!$N$4:$N$810),NA()))</f>
        <v>#N/A</v>
      </c>
      <c r="W273" t="e">
        <f>IF($J273&gt;MAX('Match Log'!$A$4:$A$810),NA(),IFERROR(LOOKUP(2,1/(('Match Log'!$D$4:$D$810=$W$24)*('Match Log'!$A$4:$A$810&lt;=$J273)),'Match Log'!$N$4:$N$810),NA()))</f>
        <v>#N/A</v>
      </c>
      <c r="X273" t="e">
        <f>IF($J273&gt;MAX('Match Log'!$A$4:$A$810),NA(),IFERROR(LOOKUP(2,1/(('Match Log'!$D$4:$D$810=$X$24)*('Match Log'!$A$4:$A$810&lt;=$J273)),'Match Log'!$N$4:$N$810),NA()))</f>
        <v>#N/A</v>
      </c>
      <c r="Y273" t="str">
        <f t="shared" ref="Y273:Y336" ca="1" si="36">IF(AND($B273&lt;&gt;"",$B273&gt;=$B$5,$I273&lt;&gt;""),$I273,"")</f>
        <v/>
      </c>
    </row>
    <row r="274" spans="1:25" x14ac:dyDescent="0.2">
      <c r="A274">
        <v>250</v>
      </c>
      <c r="B274" t="str">
        <f>IFERROR(INDEX('Match Log'!$B$4:$B$810,MATCH(250,'Match Log'!$A$4:$A$810,0)),"")</f>
        <v/>
      </c>
      <c r="C274" t="str">
        <f>IFERROR(INDEX('Match Log'!$C$4:$C$810,MATCH(250,'Match Log'!$A$4:$A$810,0)),"")</f>
        <v/>
      </c>
      <c r="D274" t="str">
        <f t="array" ref="D274">IFERROR(_xlfn.TEXTJOIN(" + ",TRUE,IF(('Match Log'!$A$4:$A$810=$A274)*('Match Log'!$E$4:$E$810="Win"),'Match Log'!$D$4:$D$810,"")),IFERROR(LOOKUP(2,1/(('Match Log'!$A$4:$A$810=$A274)*('Match Log'!$E$4:$E$810="Win")),'Match Log'!$D$4:$D$810),""))</f>
        <v/>
      </c>
      <c r="E274" t="str">
        <f>IFERROR(INDEX('Match Log'!$F$4:$F$810,MATCH(250,'Match Log'!$A$4:$A$810,0)),"")</f>
        <v/>
      </c>
      <c r="F274">
        <f>IFERROR(SUMIFS('Match Log'!$I$4:$I$810,'Match Log'!$A$4:$A$810,250,'Match Log'!$E$4:$E$810,"Win"),"")</f>
        <v>0</v>
      </c>
      <c r="G274" t="str">
        <f t="shared" si="34"/>
        <v/>
      </c>
      <c r="H274" t="str">
        <f t="array" ref="H274">IFERROR(IF(COUNTIFS('Match Log'!$A$4:$A$810,$A274,'Match Log'!$E$4:$E$810,"Win")&gt;1,_xlfn.TEXTJOIN(" + ",TRUE,IF(('Match Log'!$A$4:$A$810=$A274)*('Match Log'!$E$4:$E$810="Loss"),'Match Log'!$D$4:$D$810,"")),IF($E274=2,LOOKUP(2,1/(('Match Log'!$A$4:$A$810=$A274)*('Match Log'!$E$4:$E$810="Loss")),'Match Log'!$D$4:$D$810),"the field")),"")</f>
        <v>the field</v>
      </c>
      <c r="I274" t="str">
        <f t="shared" si="35"/>
        <v/>
      </c>
      <c r="J274">
        <v>250</v>
      </c>
      <c r="K274" t="e">
        <f>IF($J274&gt;MAX('Match Log'!$A$4:$A$810),NA(),IFERROR(LOOKUP(2,1/(('Match Log'!$D$4:$D$810=$K$24)*('Match Log'!$A$4:$A$810&lt;=$J274)),'Match Log'!$N$4:$N$810),NA()))</f>
        <v>#N/A</v>
      </c>
      <c r="L274" t="e">
        <f>IF($J274&gt;MAX('Match Log'!$A$4:$A$810),NA(),IFERROR(LOOKUP(2,1/(('Match Log'!$D$4:$D$810=$L$24)*('Match Log'!$A$4:$A$810&lt;=$J274)),'Match Log'!$N$4:$N$810),NA()))</f>
        <v>#N/A</v>
      </c>
      <c r="M274" t="e">
        <f>IF($J274&gt;MAX('Match Log'!$A$4:$A$810),NA(),IFERROR(LOOKUP(2,1/(('Match Log'!$D$4:$D$810=$M$24)*('Match Log'!$A$4:$A$810&lt;=$J274)),'Match Log'!$N$4:$N$810),NA()))</f>
        <v>#N/A</v>
      </c>
      <c r="N274" t="e">
        <f>IF($J274&gt;MAX('Match Log'!$A$4:$A$810),NA(),IFERROR(LOOKUP(2,1/(('Match Log'!$D$4:$D$810=$N$24)*('Match Log'!$A$4:$A$810&lt;=$J274)),'Match Log'!$N$4:$N$810),NA()))</f>
        <v>#N/A</v>
      </c>
      <c r="O274" t="e">
        <f>IF($J274&gt;MAX('Match Log'!$A$4:$A$810),NA(),IFERROR(LOOKUP(2,1/(('Match Log'!$D$4:$D$810=$O$24)*('Match Log'!$A$4:$A$810&lt;=$J274)),'Match Log'!$N$4:$N$810),NA()))</f>
        <v>#N/A</v>
      </c>
      <c r="P274" t="e">
        <f>IF($J274&gt;MAX('Match Log'!$A$4:$A$810),NA(),IFERROR(LOOKUP(2,1/(('Match Log'!$D$4:$D$810=$P$24)*('Match Log'!$A$4:$A$810&lt;=$J274)),'Match Log'!$N$4:$N$810),NA()))</f>
        <v>#N/A</v>
      </c>
      <c r="Q274" t="e">
        <f>IF($J274&gt;MAX('Match Log'!$A$4:$A$810),NA(),IFERROR(LOOKUP(2,1/(('Match Log'!$D$4:$D$810=$Q$24)*('Match Log'!$A$4:$A$810&lt;=$J274)),'Match Log'!$N$4:$N$810),NA()))</f>
        <v>#N/A</v>
      </c>
      <c r="R274" t="e">
        <f>IF($J274&gt;MAX('Match Log'!$A$4:$A$810),NA(),IFERROR(LOOKUP(2,1/(('Match Log'!$D$4:$D$810=$R$24)*('Match Log'!$A$4:$A$810&lt;=$J274)),'Match Log'!$N$4:$N$810),NA()))</f>
        <v>#N/A</v>
      </c>
      <c r="S274" t="e">
        <f>IF($J274&gt;MAX('Match Log'!$A$4:$A$810),NA(),IFERROR(LOOKUP(2,1/(('Match Log'!$D$4:$D$810=$S$24)*('Match Log'!$A$4:$A$810&lt;=$J274)),'Match Log'!$N$4:$N$810),NA()))</f>
        <v>#N/A</v>
      </c>
      <c r="T274" t="e">
        <f>IF($J274&gt;MAX('Match Log'!$A$4:$A$810),NA(),IFERROR(LOOKUP(2,1/(('Match Log'!$D$4:$D$810=$T$24)*('Match Log'!$A$4:$A$810&lt;=$J274)),'Match Log'!$N$4:$N$810),NA()))</f>
        <v>#N/A</v>
      </c>
      <c r="U274" t="e">
        <f>IF($J274&gt;MAX('Match Log'!$A$4:$A$810),NA(),IFERROR(LOOKUP(2,1/(('Match Log'!$D$4:$D$810=$U$24)*('Match Log'!$A$4:$A$810&lt;=$J274)),'Match Log'!$N$4:$N$810),NA()))</f>
        <v>#N/A</v>
      </c>
      <c r="V274" t="e">
        <f>IF($J274&gt;MAX('Match Log'!$A$4:$A$810),NA(),IFERROR(LOOKUP(2,1/(('Match Log'!$D$4:$D$810=$V$24)*('Match Log'!$A$4:$A$810&lt;=$J274)),'Match Log'!$N$4:$N$810),NA()))</f>
        <v>#N/A</v>
      </c>
      <c r="W274" t="e">
        <f>IF($J274&gt;MAX('Match Log'!$A$4:$A$810),NA(),IFERROR(LOOKUP(2,1/(('Match Log'!$D$4:$D$810=$W$24)*('Match Log'!$A$4:$A$810&lt;=$J274)),'Match Log'!$N$4:$N$810),NA()))</f>
        <v>#N/A</v>
      </c>
      <c r="X274" t="e">
        <f>IF($J274&gt;MAX('Match Log'!$A$4:$A$810),NA(),IFERROR(LOOKUP(2,1/(('Match Log'!$D$4:$D$810=$X$24)*('Match Log'!$A$4:$A$810&lt;=$J274)),'Match Log'!$N$4:$N$810),NA()))</f>
        <v>#N/A</v>
      </c>
      <c r="Y274" t="str">
        <f t="shared" ca="1" si="36"/>
        <v/>
      </c>
    </row>
    <row r="275" spans="1:25" x14ac:dyDescent="0.2">
      <c r="A275">
        <v>251</v>
      </c>
      <c r="B275" t="str">
        <f>IFERROR(INDEX('Match Log'!$B$4:$B$810,MATCH(251,'Match Log'!$A$4:$A$810,0)),"")</f>
        <v/>
      </c>
      <c r="C275" t="str">
        <f>IFERROR(INDEX('Match Log'!$C$4:$C$810,MATCH(251,'Match Log'!$A$4:$A$810,0)),"")</f>
        <v/>
      </c>
      <c r="D275" t="str">
        <f t="array" ref="D275">IFERROR(_xlfn.TEXTJOIN(" + ",TRUE,IF(('Match Log'!$A$4:$A$810=$A275)*('Match Log'!$E$4:$E$810="Win"),'Match Log'!$D$4:$D$810,"")),IFERROR(LOOKUP(2,1/(('Match Log'!$A$4:$A$810=$A275)*('Match Log'!$E$4:$E$810="Win")),'Match Log'!$D$4:$D$810),""))</f>
        <v/>
      </c>
      <c r="E275" t="str">
        <f>IFERROR(INDEX('Match Log'!$F$4:$F$810,MATCH(251,'Match Log'!$A$4:$A$810,0)),"")</f>
        <v/>
      </c>
      <c r="F275">
        <f>IFERROR(SUMIFS('Match Log'!$I$4:$I$810,'Match Log'!$A$4:$A$810,251,'Match Log'!$E$4:$E$810,"Win"),"")</f>
        <v>0</v>
      </c>
      <c r="G275" t="str">
        <f t="shared" si="34"/>
        <v/>
      </c>
      <c r="H275" t="str">
        <f t="array" ref="H275">IFERROR(IF(COUNTIFS('Match Log'!$A$4:$A$810,$A275,'Match Log'!$E$4:$E$810,"Win")&gt;1,_xlfn.TEXTJOIN(" + ",TRUE,IF(('Match Log'!$A$4:$A$810=$A275)*('Match Log'!$E$4:$E$810="Loss"),'Match Log'!$D$4:$D$810,"")),IF($E275=2,LOOKUP(2,1/(('Match Log'!$A$4:$A$810=$A275)*('Match Log'!$E$4:$E$810="Loss")),'Match Log'!$D$4:$D$810),"the field")),"")</f>
        <v>the field</v>
      </c>
      <c r="I275" t="str">
        <f t="shared" si="35"/>
        <v/>
      </c>
      <c r="J275">
        <v>251</v>
      </c>
      <c r="K275" t="e">
        <f>IF($J275&gt;MAX('Match Log'!$A$4:$A$810),NA(),IFERROR(LOOKUP(2,1/(('Match Log'!$D$4:$D$810=$K$24)*('Match Log'!$A$4:$A$810&lt;=$J275)),'Match Log'!$N$4:$N$810),NA()))</f>
        <v>#N/A</v>
      </c>
      <c r="L275" t="e">
        <f>IF($J275&gt;MAX('Match Log'!$A$4:$A$810),NA(),IFERROR(LOOKUP(2,1/(('Match Log'!$D$4:$D$810=$L$24)*('Match Log'!$A$4:$A$810&lt;=$J275)),'Match Log'!$N$4:$N$810),NA()))</f>
        <v>#N/A</v>
      </c>
      <c r="M275" t="e">
        <f>IF($J275&gt;MAX('Match Log'!$A$4:$A$810),NA(),IFERROR(LOOKUP(2,1/(('Match Log'!$D$4:$D$810=$M$24)*('Match Log'!$A$4:$A$810&lt;=$J275)),'Match Log'!$N$4:$N$810),NA()))</f>
        <v>#N/A</v>
      </c>
      <c r="N275" t="e">
        <f>IF($J275&gt;MAX('Match Log'!$A$4:$A$810),NA(),IFERROR(LOOKUP(2,1/(('Match Log'!$D$4:$D$810=$N$24)*('Match Log'!$A$4:$A$810&lt;=$J275)),'Match Log'!$N$4:$N$810),NA()))</f>
        <v>#N/A</v>
      </c>
      <c r="O275" t="e">
        <f>IF($J275&gt;MAX('Match Log'!$A$4:$A$810),NA(),IFERROR(LOOKUP(2,1/(('Match Log'!$D$4:$D$810=$O$24)*('Match Log'!$A$4:$A$810&lt;=$J275)),'Match Log'!$N$4:$N$810),NA()))</f>
        <v>#N/A</v>
      </c>
      <c r="P275" t="e">
        <f>IF($J275&gt;MAX('Match Log'!$A$4:$A$810),NA(),IFERROR(LOOKUP(2,1/(('Match Log'!$D$4:$D$810=$P$24)*('Match Log'!$A$4:$A$810&lt;=$J275)),'Match Log'!$N$4:$N$810),NA()))</f>
        <v>#N/A</v>
      </c>
      <c r="Q275" t="e">
        <f>IF($J275&gt;MAX('Match Log'!$A$4:$A$810),NA(),IFERROR(LOOKUP(2,1/(('Match Log'!$D$4:$D$810=$Q$24)*('Match Log'!$A$4:$A$810&lt;=$J275)),'Match Log'!$N$4:$N$810),NA()))</f>
        <v>#N/A</v>
      </c>
      <c r="R275" t="e">
        <f>IF($J275&gt;MAX('Match Log'!$A$4:$A$810),NA(),IFERROR(LOOKUP(2,1/(('Match Log'!$D$4:$D$810=$R$24)*('Match Log'!$A$4:$A$810&lt;=$J275)),'Match Log'!$N$4:$N$810),NA()))</f>
        <v>#N/A</v>
      </c>
      <c r="S275" t="e">
        <f>IF($J275&gt;MAX('Match Log'!$A$4:$A$810),NA(),IFERROR(LOOKUP(2,1/(('Match Log'!$D$4:$D$810=$S$24)*('Match Log'!$A$4:$A$810&lt;=$J275)),'Match Log'!$N$4:$N$810),NA()))</f>
        <v>#N/A</v>
      </c>
      <c r="T275" t="e">
        <f>IF($J275&gt;MAX('Match Log'!$A$4:$A$810),NA(),IFERROR(LOOKUP(2,1/(('Match Log'!$D$4:$D$810=$T$24)*('Match Log'!$A$4:$A$810&lt;=$J275)),'Match Log'!$N$4:$N$810),NA()))</f>
        <v>#N/A</v>
      </c>
      <c r="U275" t="e">
        <f>IF($J275&gt;MAX('Match Log'!$A$4:$A$810),NA(),IFERROR(LOOKUP(2,1/(('Match Log'!$D$4:$D$810=$U$24)*('Match Log'!$A$4:$A$810&lt;=$J275)),'Match Log'!$N$4:$N$810),NA()))</f>
        <v>#N/A</v>
      </c>
      <c r="V275" t="e">
        <f>IF($J275&gt;MAX('Match Log'!$A$4:$A$810),NA(),IFERROR(LOOKUP(2,1/(('Match Log'!$D$4:$D$810=$V$24)*('Match Log'!$A$4:$A$810&lt;=$J275)),'Match Log'!$N$4:$N$810),NA()))</f>
        <v>#N/A</v>
      </c>
      <c r="W275" t="e">
        <f>IF($J275&gt;MAX('Match Log'!$A$4:$A$810),NA(),IFERROR(LOOKUP(2,1/(('Match Log'!$D$4:$D$810=$W$24)*('Match Log'!$A$4:$A$810&lt;=$J275)),'Match Log'!$N$4:$N$810),NA()))</f>
        <v>#N/A</v>
      </c>
      <c r="X275" t="e">
        <f>IF($J275&gt;MAX('Match Log'!$A$4:$A$810),NA(),IFERROR(LOOKUP(2,1/(('Match Log'!$D$4:$D$810=$X$24)*('Match Log'!$A$4:$A$810&lt;=$J275)),'Match Log'!$N$4:$N$810),NA()))</f>
        <v>#N/A</v>
      </c>
      <c r="Y275" t="str">
        <f t="shared" ca="1" si="36"/>
        <v/>
      </c>
    </row>
    <row r="276" spans="1:25" x14ac:dyDescent="0.2">
      <c r="A276">
        <v>252</v>
      </c>
      <c r="B276" t="str">
        <f>IFERROR(INDEX('Match Log'!$B$4:$B$810,MATCH(252,'Match Log'!$A$4:$A$810,0)),"")</f>
        <v/>
      </c>
      <c r="C276" t="str">
        <f>IFERROR(INDEX('Match Log'!$C$4:$C$810,MATCH(252,'Match Log'!$A$4:$A$810,0)),"")</f>
        <v/>
      </c>
      <c r="D276" t="str">
        <f t="array" ref="D276">IFERROR(_xlfn.TEXTJOIN(" + ",TRUE,IF(('Match Log'!$A$4:$A$810=$A276)*('Match Log'!$E$4:$E$810="Win"),'Match Log'!$D$4:$D$810,"")),IFERROR(LOOKUP(2,1/(('Match Log'!$A$4:$A$810=$A276)*('Match Log'!$E$4:$E$810="Win")),'Match Log'!$D$4:$D$810),""))</f>
        <v/>
      </c>
      <c r="E276" t="str">
        <f>IFERROR(INDEX('Match Log'!$F$4:$F$810,MATCH(252,'Match Log'!$A$4:$A$810,0)),"")</f>
        <v/>
      </c>
      <c r="F276">
        <f>IFERROR(SUMIFS('Match Log'!$I$4:$I$810,'Match Log'!$A$4:$A$810,252,'Match Log'!$E$4:$E$810,"Win"),"")</f>
        <v>0</v>
      </c>
      <c r="G276" t="str">
        <f t="shared" si="34"/>
        <v/>
      </c>
      <c r="H276" t="str">
        <f t="array" ref="H276">IFERROR(IF(COUNTIFS('Match Log'!$A$4:$A$810,$A276,'Match Log'!$E$4:$E$810,"Win")&gt;1,_xlfn.TEXTJOIN(" + ",TRUE,IF(('Match Log'!$A$4:$A$810=$A276)*('Match Log'!$E$4:$E$810="Loss"),'Match Log'!$D$4:$D$810,"")),IF($E276=2,LOOKUP(2,1/(('Match Log'!$A$4:$A$810=$A276)*('Match Log'!$E$4:$E$810="Loss")),'Match Log'!$D$4:$D$810),"the field")),"")</f>
        <v>the field</v>
      </c>
      <c r="I276" t="str">
        <f t="shared" si="35"/>
        <v/>
      </c>
      <c r="J276">
        <v>252</v>
      </c>
      <c r="K276" t="e">
        <f>IF($J276&gt;MAX('Match Log'!$A$4:$A$810),NA(),IFERROR(LOOKUP(2,1/(('Match Log'!$D$4:$D$810=$K$24)*('Match Log'!$A$4:$A$810&lt;=$J276)),'Match Log'!$N$4:$N$810),NA()))</f>
        <v>#N/A</v>
      </c>
      <c r="L276" t="e">
        <f>IF($J276&gt;MAX('Match Log'!$A$4:$A$810),NA(),IFERROR(LOOKUP(2,1/(('Match Log'!$D$4:$D$810=$L$24)*('Match Log'!$A$4:$A$810&lt;=$J276)),'Match Log'!$N$4:$N$810),NA()))</f>
        <v>#N/A</v>
      </c>
      <c r="M276" t="e">
        <f>IF($J276&gt;MAX('Match Log'!$A$4:$A$810),NA(),IFERROR(LOOKUP(2,1/(('Match Log'!$D$4:$D$810=$M$24)*('Match Log'!$A$4:$A$810&lt;=$J276)),'Match Log'!$N$4:$N$810),NA()))</f>
        <v>#N/A</v>
      </c>
      <c r="N276" t="e">
        <f>IF($J276&gt;MAX('Match Log'!$A$4:$A$810),NA(),IFERROR(LOOKUP(2,1/(('Match Log'!$D$4:$D$810=$N$24)*('Match Log'!$A$4:$A$810&lt;=$J276)),'Match Log'!$N$4:$N$810),NA()))</f>
        <v>#N/A</v>
      </c>
      <c r="O276" t="e">
        <f>IF($J276&gt;MAX('Match Log'!$A$4:$A$810),NA(),IFERROR(LOOKUP(2,1/(('Match Log'!$D$4:$D$810=$O$24)*('Match Log'!$A$4:$A$810&lt;=$J276)),'Match Log'!$N$4:$N$810),NA()))</f>
        <v>#N/A</v>
      </c>
      <c r="P276" t="e">
        <f>IF($J276&gt;MAX('Match Log'!$A$4:$A$810),NA(),IFERROR(LOOKUP(2,1/(('Match Log'!$D$4:$D$810=$P$24)*('Match Log'!$A$4:$A$810&lt;=$J276)),'Match Log'!$N$4:$N$810),NA()))</f>
        <v>#N/A</v>
      </c>
      <c r="Q276" t="e">
        <f>IF($J276&gt;MAX('Match Log'!$A$4:$A$810),NA(),IFERROR(LOOKUP(2,1/(('Match Log'!$D$4:$D$810=$Q$24)*('Match Log'!$A$4:$A$810&lt;=$J276)),'Match Log'!$N$4:$N$810),NA()))</f>
        <v>#N/A</v>
      </c>
      <c r="R276" t="e">
        <f>IF($J276&gt;MAX('Match Log'!$A$4:$A$810),NA(),IFERROR(LOOKUP(2,1/(('Match Log'!$D$4:$D$810=$R$24)*('Match Log'!$A$4:$A$810&lt;=$J276)),'Match Log'!$N$4:$N$810),NA()))</f>
        <v>#N/A</v>
      </c>
      <c r="S276" t="e">
        <f>IF($J276&gt;MAX('Match Log'!$A$4:$A$810),NA(),IFERROR(LOOKUP(2,1/(('Match Log'!$D$4:$D$810=$S$24)*('Match Log'!$A$4:$A$810&lt;=$J276)),'Match Log'!$N$4:$N$810),NA()))</f>
        <v>#N/A</v>
      </c>
      <c r="T276" t="e">
        <f>IF($J276&gt;MAX('Match Log'!$A$4:$A$810),NA(),IFERROR(LOOKUP(2,1/(('Match Log'!$D$4:$D$810=$T$24)*('Match Log'!$A$4:$A$810&lt;=$J276)),'Match Log'!$N$4:$N$810),NA()))</f>
        <v>#N/A</v>
      </c>
      <c r="U276" t="e">
        <f>IF($J276&gt;MAX('Match Log'!$A$4:$A$810),NA(),IFERROR(LOOKUP(2,1/(('Match Log'!$D$4:$D$810=$U$24)*('Match Log'!$A$4:$A$810&lt;=$J276)),'Match Log'!$N$4:$N$810),NA()))</f>
        <v>#N/A</v>
      </c>
      <c r="V276" t="e">
        <f>IF($J276&gt;MAX('Match Log'!$A$4:$A$810),NA(),IFERROR(LOOKUP(2,1/(('Match Log'!$D$4:$D$810=$V$24)*('Match Log'!$A$4:$A$810&lt;=$J276)),'Match Log'!$N$4:$N$810),NA()))</f>
        <v>#N/A</v>
      </c>
      <c r="W276" t="e">
        <f>IF($J276&gt;MAX('Match Log'!$A$4:$A$810),NA(),IFERROR(LOOKUP(2,1/(('Match Log'!$D$4:$D$810=$W$24)*('Match Log'!$A$4:$A$810&lt;=$J276)),'Match Log'!$N$4:$N$810),NA()))</f>
        <v>#N/A</v>
      </c>
      <c r="X276" t="e">
        <f>IF($J276&gt;MAX('Match Log'!$A$4:$A$810),NA(),IFERROR(LOOKUP(2,1/(('Match Log'!$D$4:$D$810=$X$24)*('Match Log'!$A$4:$A$810&lt;=$J276)),'Match Log'!$N$4:$N$810),NA()))</f>
        <v>#N/A</v>
      </c>
      <c r="Y276" t="str">
        <f t="shared" ca="1" si="36"/>
        <v/>
      </c>
    </row>
    <row r="277" spans="1:25" x14ac:dyDescent="0.2">
      <c r="A277">
        <v>253</v>
      </c>
      <c r="B277" t="str">
        <f>IFERROR(INDEX('Match Log'!$B$4:$B$810,MATCH(253,'Match Log'!$A$4:$A$810,0)),"")</f>
        <v/>
      </c>
      <c r="C277" t="str">
        <f>IFERROR(INDEX('Match Log'!$C$4:$C$810,MATCH(253,'Match Log'!$A$4:$A$810,0)),"")</f>
        <v/>
      </c>
      <c r="D277" t="str">
        <f t="array" ref="D277">IFERROR(_xlfn.TEXTJOIN(" + ",TRUE,IF(('Match Log'!$A$4:$A$810=$A277)*('Match Log'!$E$4:$E$810="Win"),'Match Log'!$D$4:$D$810,"")),IFERROR(LOOKUP(2,1/(('Match Log'!$A$4:$A$810=$A277)*('Match Log'!$E$4:$E$810="Win")),'Match Log'!$D$4:$D$810),""))</f>
        <v/>
      </c>
      <c r="E277" t="str">
        <f>IFERROR(INDEX('Match Log'!$F$4:$F$810,MATCH(253,'Match Log'!$A$4:$A$810,0)),"")</f>
        <v/>
      </c>
      <c r="F277">
        <f>IFERROR(SUMIFS('Match Log'!$I$4:$I$810,'Match Log'!$A$4:$A$810,253,'Match Log'!$E$4:$E$810,"Win"),"")</f>
        <v>0</v>
      </c>
      <c r="G277" t="str">
        <f t="shared" si="34"/>
        <v/>
      </c>
      <c r="H277" t="str">
        <f t="array" ref="H277">IFERROR(IF(COUNTIFS('Match Log'!$A$4:$A$810,$A277,'Match Log'!$E$4:$E$810,"Win")&gt;1,_xlfn.TEXTJOIN(" + ",TRUE,IF(('Match Log'!$A$4:$A$810=$A277)*('Match Log'!$E$4:$E$810="Loss"),'Match Log'!$D$4:$D$810,"")),IF($E277=2,LOOKUP(2,1/(('Match Log'!$A$4:$A$810=$A277)*('Match Log'!$E$4:$E$810="Loss")),'Match Log'!$D$4:$D$810),"the field")),"")</f>
        <v>the field</v>
      </c>
      <c r="I277" t="str">
        <f t="shared" si="35"/>
        <v/>
      </c>
      <c r="J277">
        <v>253</v>
      </c>
      <c r="K277" t="e">
        <f>IF($J277&gt;MAX('Match Log'!$A$4:$A$810),NA(),IFERROR(LOOKUP(2,1/(('Match Log'!$D$4:$D$810=$K$24)*('Match Log'!$A$4:$A$810&lt;=$J277)),'Match Log'!$N$4:$N$810),NA()))</f>
        <v>#N/A</v>
      </c>
      <c r="L277" t="e">
        <f>IF($J277&gt;MAX('Match Log'!$A$4:$A$810),NA(),IFERROR(LOOKUP(2,1/(('Match Log'!$D$4:$D$810=$L$24)*('Match Log'!$A$4:$A$810&lt;=$J277)),'Match Log'!$N$4:$N$810),NA()))</f>
        <v>#N/A</v>
      </c>
      <c r="M277" t="e">
        <f>IF($J277&gt;MAX('Match Log'!$A$4:$A$810),NA(),IFERROR(LOOKUP(2,1/(('Match Log'!$D$4:$D$810=$M$24)*('Match Log'!$A$4:$A$810&lt;=$J277)),'Match Log'!$N$4:$N$810),NA()))</f>
        <v>#N/A</v>
      </c>
      <c r="N277" t="e">
        <f>IF($J277&gt;MAX('Match Log'!$A$4:$A$810),NA(),IFERROR(LOOKUP(2,1/(('Match Log'!$D$4:$D$810=$N$24)*('Match Log'!$A$4:$A$810&lt;=$J277)),'Match Log'!$N$4:$N$810),NA()))</f>
        <v>#N/A</v>
      </c>
      <c r="O277" t="e">
        <f>IF($J277&gt;MAX('Match Log'!$A$4:$A$810),NA(),IFERROR(LOOKUP(2,1/(('Match Log'!$D$4:$D$810=$O$24)*('Match Log'!$A$4:$A$810&lt;=$J277)),'Match Log'!$N$4:$N$810),NA()))</f>
        <v>#N/A</v>
      </c>
      <c r="P277" t="e">
        <f>IF($J277&gt;MAX('Match Log'!$A$4:$A$810),NA(),IFERROR(LOOKUP(2,1/(('Match Log'!$D$4:$D$810=$P$24)*('Match Log'!$A$4:$A$810&lt;=$J277)),'Match Log'!$N$4:$N$810),NA()))</f>
        <v>#N/A</v>
      </c>
      <c r="Q277" t="e">
        <f>IF($J277&gt;MAX('Match Log'!$A$4:$A$810),NA(),IFERROR(LOOKUP(2,1/(('Match Log'!$D$4:$D$810=$Q$24)*('Match Log'!$A$4:$A$810&lt;=$J277)),'Match Log'!$N$4:$N$810),NA()))</f>
        <v>#N/A</v>
      </c>
      <c r="R277" t="e">
        <f>IF($J277&gt;MAX('Match Log'!$A$4:$A$810),NA(),IFERROR(LOOKUP(2,1/(('Match Log'!$D$4:$D$810=$R$24)*('Match Log'!$A$4:$A$810&lt;=$J277)),'Match Log'!$N$4:$N$810),NA()))</f>
        <v>#N/A</v>
      </c>
      <c r="S277" t="e">
        <f>IF($J277&gt;MAX('Match Log'!$A$4:$A$810),NA(),IFERROR(LOOKUP(2,1/(('Match Log'!$D$4:$D$810=$S$24)*('Match Log'!$A$4:$A$810&lt;=$J277)),'Match Log'!$N$4:$N$810),NA()))</f>
        <v>#N/A</v>
      </c>
      <c r="T277" t="e">
        <f>IF($J277&gt;MAX('Match Log'!$A$4:$A$810),NA(),IFERROR(LOOKUP(2,1/(('Match Log'!$D$4:$D$810=$T$24)*('Match Log'!$A$4:$A$810&lt;=$J277)),'Match Log'!$N$4:$N$810),NA()))</f>
        <v>#N/A</v>
      </c>
      <c r="U277" t="e">
        <f>IF($J277&gt;MAX('Match Log'!$A$4:$A$810),NA(),IFERROR(LOOKUP(2,1/(('Match Log'!$D$4:$D$810=$U$24)*('Match Log'!$A$4:$A$810&lt;=$J277)),'Match Log'!$N$4:$N$810),NA()))</f>
        <v>#N/A</v>
      </c>
      <c r="V277" t="e">
        <f>IF($J277&gt;MAX('Match Log'!$A$4:$A$810),NA(),IFERROR(LOOKUP(2,1/(('Match Log'!$D$4:$D$810=$V$24)*('Match Log'!$A$4:$A$810&lt;=$J277)),'Match Log'!$N$4:$N$810),NA()))</f>
        <v>#N/A</v>
      </c>
      <c r="W277" t="e">
        <f>IF($J277&gt;MAX('Match Log'!$A$4:$A$810),NA(),IFERROR(LOOKUP(2,1/(('Match Log'!$D$4:$D$810=$W$24)*('Match Log'!$A$4:$A$810&lt;=$J277)),'Match Log'!$N$4:$N$810),NA()))</f>
        <v>#N/A</v>
      </c>
      <c r="X277" t="e">
        <f>IF($J277&gt;MAX('Match Log'!$A$4:$A$810),NA(),IFERROR(LOOKUP(2,1/(('Match Log'!$D$4:$D$810=$X$24)*('Match Log'!$A$4:$A$810&lt;=$J277)),'Match Log'!$N$4:$N$810),NA()))</f>
        <v>#N/A</v>
      </c>
      <c r="Y277" t="str">
        <f t="shared" ca="1" si="36"/>
        <v/>
      </c>
    </row>
    <row r="278" spans="1:25" x14ac:dyDescent="0.2">
      <c r="A278">
        <v>254</v>
      </c>
      <c r="B278" t="str">
        <f>IFERROR(INDEX('Match Log'!$B$4:$B$810,MATCH(254,'Match Log'!$A$4:$A$810,0)),"")</f>
        <v/>
      </c>
      <c r="C278" t="str">
        <f>IFERROR(INDEX('Match Log'!$C$4:$C$810,MATCH(254,'Match Log'!$A$4:$A$810,0)),"")</f>
        <v/>
      </c>
      <c r="D278" t="str">
        <f t="array" ref="D278">IFERROR(_xlfn.TEXTJOIN(" + ",TRUE,IF(('Match Log'!$A$4:$A$810=$A278)*('Match Log'!$E$4:$E$810="Win"),'Match Log'!$D$4:$D$810,"")),IFERROR(LOOKUP(2,1/(('Match Log'!$A$4:$A$810=$A278)*('Match Log'!$E$4:$E$810="Win")),'Match Log'!$D$4:$D$810),""))</f>
        <v/>
      </c>
      <c r="E278" t="str">
        <f>IFERROR(INDEX('Match Log'!$F$4:$F$810,MATCH(254,'Match Log'!$A$4:$A$810,0)),"")</f>
        <v/>
      </c>
      <c r="F278">
        <f>IFERROR(SUMIFS('Match Log'!$I$4:$I$810,'Match Log'!$A$4:$A$810,254,'Match Log'!$E$4:$E$810,"Win"),"")</f>
        <v>0</v>
      </c>
      <c r="G278" t="str">
        <f t="shared" si="34"/>
        <v/>
      </c>
      <c r="H278" t="str">
        <f t="array" ref="H278">IFERROR(IF(COUNTIFS('Match Log'!$A$4:$A$810,$A278,'Match Log'!$E$4:$E$810,"Win")&gt;1,_xlfn.TEXTJOIN(" + ",TRUE,IF(('Match Log'!$A$4:$A$810=$A278)*('Match Log'!$E$4:$E$810="Loss"),'Match Log'!$D$4:$D$810,"")),IF($E278=2,LOOKUP(2,1/(('Match Log'!$A$4:$A$810=$A278)*('Match Log'!$E$4:$E$810="Loss")),'Match Log'!$D$4:$D$810),"the field")),"")</f>
        <v>the field</v>
      </c>
      <c r="I278" t="str">
        <f t="shared" si="35"/>
        <v/>
      </c>
      <c r="J278">
        <v>254</v>
      </c>
      <c r="K278" t="e">
        <f>IF($J278&gt;MAX('Match Log'!$A$4:$A$810),NA(),IFERROR(LOOKUP(2,1/(('Match Log'!$D$4:$D$810=$K$24)*('Match Log'!$A$4:$A$810&lt;=$J278)),'Match Log'!$N$4:$N$810),NA()))</f>
        <v>#N/A</v>
      </c>
      <c r="L278" t="e">
        <f>IF($J278&gt;MAX('Match Log'!$A$4:$A$810),NA(),IFERROR(LOOKUP(2,1/(('Match Log'!$D$4:$D$810=$L$24)*('Match Log'!$A$4:$A$810&lt;=$J278)),'Match Log'!$N$4:$N$810),NA()))</f>
        <v>#N/A</v>
      </c>
      <c r="M278" t="e">
        <f>IF($J278&gt;MAX('Match Log'!$A$4:$A$810),NA(),IFERROR(LOOKUP(2,1/(('Match Log'!$D$4:$D$810=$M$24)*('Match Log'!$A$4:$A$810&lt;=$J278)),'Match Log'!$N$4:$N$810),NA()))</f>
        <v>#N/A</v>
      </c>
      <c r="N278" t="e">
        <f>IF($J278&gt;MAX('Match Log'!$A$4:$A$810),NA(),IFERROR(LOOKUP(2,1/(('Match Log'!$D$4:$D$810=$N$24)*('Match Log'!$A$4:$A$810&lt;=$J278)),'Match Log'!$N$4:$N$810),NA()))</f>
        <v>#N/A</v>
      </c>
      <c r="O278" t="e">
        <f>IF($J278&gt;MAX('Match Log'!$A$4:$A$810),NA(),IFERROR(LOOKUP(2,1/(('Match Log'!$D$4:$D$810=$O$24)*('Match Log'!$A$4:$A$810&lt;=$J278)),'Match Log'!$N$4:$N$810),NA()))</f>
        <v>#N/A</v>
      </c>
      <c r="P278" t="e">
        <f>IF($J278&gt;MAX('Match Log'!$A$4:$A$810),NA(),IFERROR(LOOKUP(2,1/(('Match Log'!$D$4:$D$810=$P$24)*('Match Log'!$A$4:$A$810&lt;=$J278)),'Match Log'!$N$4:$N$810),NA()))</f>
        <v>#N/A</v>
      </c>
      <c r="Q278" t="e">
        <f>IF($J278&gt;MAX('Match Log'!$A$4:$A$810),NA(),IFERROR(LOOKUP(2,1/(('Match Log'!$D$4:$D$810=$Q$24)*('Match Log'!$A$4:$A$810&lt;=$J278)),'Match Log'!$N$4:$N$810),NA()))</f>
        <v>#N/A</v>
      </c>
      <c r="R278" t="e">
        <f>IF($J278&gt;MAX('Match Log'!$A$4:$A$810),NA(),IFERROR(LOOKUP(2,1/(('Match Log'!$D$4:$D$810=$R$24)*('Match Log'!$A$4:$A$810&lt;=$J278)),'Match Log'!$N$4:$N$810),NA()))</f>
        <v>#N/A</v>
      </c>
      <c r="S278" t="e">
        <f>IF($J278&gt;MAX('Match Log'!$A$4:$A$810),NA(),IFERROR(LOOKUP(2,1/(('Match Log'!$D$4:$D$810=$S$24)*('Match Log'!$A$4:$A$810&lt;=$J278)),'Match Log'!$N$4:$N$810),NA()))</f>
        <v>#N/A</v>
      </c>
      <c r="T278" t="e">
        <f>IF($J278&gt;MAX('Match Log'!$A$4:$A$810),NA(),IFERROR(LOOKUP(2,1/(('Match Log'!$D$4:$D$810=$T$24)*('Match Log'!$A$4:$A$810&lt;=$J278)),'Match Log'!$N$4:$N$810),NA()))</f>
        <v>#N/A</v>
      </c>
      <c r="U278" t="e">
        <f>IF($J278&gt;MAX('Match Log'!$A$4:$A$810),NA(),IFERROR(LOOKUP(2,1/(('Match Log'!$D$4:$D$810=$U$24)*('Match Log'!$A$4:$A$810&lt;=$J278)),'Match Log'!$N$4:$N$810),NA()))</f>
        <v>#N/A</v>
      </c>
      <c r="V278" t="e">
        <f>IF($J278&gt;MAX('Match Log'!$A$4:$A$810),NA(),IFERROR(LOOKUP(2,1/(('Match Log'!$D$4:$D$810=$V$24)*('Match Log'!$A$4:$A$810&lt;=$J278)),'Match Log'!$N$4:$N$810),NA()))</f>
        <v>#N/A</v>
      </c>
      <c r="W278" t="e">
        <f>IF($J278&gt;MAX('Match Log'!$A$4:$A$810),NA(),IFERROR(LOOKUP(2,1/(('Match Log'!$D$4:$D$810=$W$24)*('Match Log'!$A$4:$A$810&lt;=$J278)),'Match Log'!$N$4:$N$810),NA()))</f>
        <v>#N/A</v>
      </c>
      <c r="X278" t="e">
        <f>IF($J278&gt;MAX('Match Log'!$A$4:$A$810),NA(),IFERROR(LOOKUP(2,1/(('Match Log'!$D$4:$D$810=$X$24)*('Match Log'!$A$4:$A$810&lt;=$J278)),'Match Log'!$N$4:$N$810),NA()))</f>
        <v>#N/A</v>
      </c>
      <c r="Y278" t="str">
        <f t="shared" ca="1" si="36"/>
        <v/>
      </c>
    </row>
    <row r="279" spans="1:25" x14ac:dyDescent="0.2">
      <c r="A279">
        <v>255</v>
      </c>
      <c r="B279" t="str">
        <f>IFERROR(INDEX('Match Log'!$B$4:$B$810,MATCH(255,'Match Log'!$A$4:$A$810,0)),"")</f>
        <v/>
      </c>
      <c r="C279" t="str">
        <f>IFERROR(INDEX('Match Log'!$C$4:$C$810,MATCH(255,'Match Log'!$A$4:$A$810,0)),"")</f>
        <v/>
      </c>
      <c r="D279" t="str">
        <f t="array" ref="D279">IFERROR(_xlfn.TEXTJOIN(" + ",TRUE,IF(('Match Log'!$A$4:$A$810=$A279)*('Match Log'!$E$4:$E$810="Win"),'Match Log'!$D$4:$D$810,"")),IFERROR(LOOKUP(2,1/(('Match Log'!$A$4:$A$810=$A279)*('Match Log'!$E$4:$E$810="Win")),'Match Log'!$D$4:$D$810),""))</f>
        <v/>
      </c>
      <c r="E279" t="str">
        <f>IFERROR(INDEX('Match Log'!$F$4:$F$810,MATCH(255,'Match Log'!$A$4:$A$810,0)),"")</f>
        <v/>
      </c>
      <c r="F279">
        <f>IFERROR(SUMIFS('Match Log'!$I$4:$I$810,'Match Log'!$A$4:$A$810,255,'Match Log'!$E$4:$E$810,"Win"),"")</f>
        <v>0</v>
      </c>
      <c r="G279" t="str">
        <f t="shared" si="34"/>
        <v/>
      </c>
      <c r="H279" t="str">
        <f t="array" ref="H279">IFERROR(IF(COUNTIFS('Match Log'!$A$4:$A$810,$A279,'Match Log'!$E$4:$E$810,"Win")&gt;1,_xlfn.TEXTJOIN(" + ",TRUE,IF(('Match Log'!$A$4:$A$810=$A279)*('Match Log'!$E$4:$E$810="Loss"),'Match Log'!$D$4:$D$810,"")),IF($E279=2,LOOKUP(2,1/(('Match Log'!$A$4:$A$810=$A279)*('Match Log'!$E$4:$E$810="Loss")),'Match Log'!$D$4:$D$810),"the field")),"")</f>
        <v>the field</v>
      </c>
      <c r="I279" t="str">
        <f t="shared" si="35"/>
        <v/>
      </c>
      <c r="J279">
        <v>255</v>
      </c>
      <c r="K279" t="e">
        <f>IF($J279&gt;MAX('Match Log'!$A$4:$A$810),NA(),IFERROR(LOOKUP(2,1/(('Match Log'!$D$4:$D$810=$K$24)*('Match Log'!$A$4:$A$810&lt;=$J279)),'Match Log'!$N$4:$N$810),NA()))</f>
        <v>#N/A</v>
      </c>
      <c r="L279" t="e">
        <f>IF($J279&gt;MAX('Match Log'!$A$4:$A$810),NA(),IFERROR(LOOKUP(2,1/(('Match Log'!$D$4:$D$810=$L$24)*('Match Log'!$A$4:$A$810&lt;=$J279)),'Match Log'!$N$4:$N$810),NA()))</f>
        <v>#N/A</v>
      </c>
      <c r="M279" t="e">
        <f>IF($J279&gt;MAX('Match Log'!$A$4:$A$810),NA(),IFERROR(LOOKUP(2,1/(('Match Log'!$D$4:$D$810=$M$24)*('Match Log'!$A$4:$A$810&lt;=$J279)),'Match Log'!$N$4:$N$810),NA()))</f>
        <v>#N/A</v>
      </c>
      <c r="N279" t="e">
        <f>IF($J279&gt;MAX('Match Log'!$A$4:$A$810),NA(),IFERROR(LOOKUP(2,1/(('Match Log'!$D$4:$D$810=$N$24)*('Match Log'!$A$4:$A$810&lt;=$J279)),'Match Log'!$N$4:$N$810),NA()))</f>
        <v>#N/A</v>
      </c>
      <c r="O279" t="e">
        <f>IF($J279&gt;MAX('Match Log'!$A$4:$A$810),NA(),IFERROR(LOOKUP(2,1/(('Match Log'!$D$4:$D$810=$O$24)*('Match Log'!$A$4:$A$810&lt;=$J279)),'Match Log'!$N$4:$N$810),NA()))</f>
        <v>#N/A</v>
      </c>
      <c r="P279" t="e">
        <f>IF($J279&gt;MAX('Match Log'!$A$4:$A$810),NA(),IFERROR(LOOKUP(2,1/(('Match Log'!$D$4:$D$810=$P$24)*('Match Log'!$A$4:$A$810&lt;=$J279)),'Match Log'!$N$4:$N$810),NA()))</f>
        <v>#N/A</v>
      </c>
      <c r="Q279" t="e">
        <f>IF($J279&gt;MAX('Match Log'!$A$4:$A$810),NA(),IFERROR(LOOKUP(2,1/(('Match Log'!$D$4:$D$810=$Q$24)*('Match Log'!$A$4:$A$810&lt;=$J279)),'Match Log'!$N$4:$N$810),NA()))</f>
        <v>#N/A</v>
      </c>
      <c r="R279" t="e">
        <f>IF($J279&gt;MAX('Match Log'!$A$4:$A$810),NA(),IFERROR(LOOKUP(2,1/(('Match Log'!$D$4:$D$810=$R$24)*('Match Log'!$A$4:$A$810&lt;=$J279)),'Match Log'!$N$4:$N$810),NA()))</f>
        <v>#N/A</v>
      </c>
      <c r="S279" t="e">
        <f>IF($J279&gt;MAX('Match Log'!$A$4:$A$810),NA(),IFERROR(LOOKUP(2,1/(('Match Log'!$D$4:$D$810=$S$24)*('Match Log'!$A$4:$A$810&lt;=$J279)),'Match Log'!$N$4:$N$810),NA()))</f>
        <v>#N/A</v>
      </c>
      <c r="T279" t="e">
        <f>IF($J279&gt;MAX('Match Log'!$A$4:$A$810),NA(),IFERROR(LOOKUP(2,1/(('Match Log'!$D$4:$D$810=$T$24)*('Match Log'!$A$4:$A$810&lt;=$J279)),'Match Log'!$N$4:$N$810),NA()))</f>
        <v>#N/A</v>
      </c>
      <c r="U279" t="e">
        <f>IF($J279&gt;MAX('Match Log'!$A$4:$A$810),NA(),IFERROR(LOOKUP(2,1/(('Match Log'!$D$4:$D$810=$U$24)*('Match Log'!$A$4:$A$810&lt;=$J279)),'Match Log'!$N$4:$N$810),NA()))</f>
        <v>#N/A</v>
      </c>
      <c r="V279" t="e">
        <f>IF($J279&gt;MAX('Match Log'!$A$4:$A$810),NA(),IFERROR(LOOKUP(2,1/(('Match Log'!$D$4:$D$810=$V$24)*('Match Log'!$A$4:$A$810&lt;=$J279)),'Match Log'!$N$4:$N$810),NA()))</f>
        <v>#N/A</v>
      </c>
      <c r="W279" t="e">
        <f>IF($J279&gt;MAX('Match Log'!$A$4:$A$810),NA(),IFERROR(LOOKUP(2,1/(('Match Log'!$D$4:$D$810=$W$24)*('Match Log'!$A$4:$A$810&lt;=$J279)),'Match Log'!$N$4:$N$810),NA()))</f>
        <v>#N/A</v>
      </c>
      <c r="X279" t="e">
        <f>IF($J279&gt;MAX('Match Log'!$A$4:$A$810),NA(),IFERROR(LOOKUP(2,1/(('Match Log'!$D$4:$D$810=$X$24)*('Match Log'!$A$4:$A$810&lt;=$J279)),'Match Log'!$N$4:$N$810),NA()))</f>
        <v>#N/A</v>
      </c>
      <c r="Y279" t="str">
        <f t="shared" ca="1" si="36"/>
        <v/>
      </c>
    </row>
    <row r="280" spans="1:25" x14ac:dyDescent="0.2">
      <c r="A280">
        <v>256</v>
      </c>
      <c r="B280" t="str">
        <f>IFERROR(INDEX('Match Log'!$B$4:$B$810,MATCH(256,'Match Log'!$A$4:$A$810,0)),"")</f>
        <v/>
      </c>
      <c r="C280" t="str">
        <f>IFERROR(INDEX('Match Log'!$C$4:$C$810,MATCH(256,'Match Log'!$A$4:$A$810,0)),"")</f>
        <v/>
      </c>
      <c r="D280" t="str">
        <f t="array" ref="D280">IFERROR(_xlfn.TEXTJOIN(" + ",TRUE,IF(('Match Log'!$A$4:$A$810=$A280)*('Match Log'!$E$4:$E$810="Win"),'Match Log'!$D$4:$D$810,"")),IFERROR(LOOKUP(2,1/(('Match Log'!$A$4:$A$810=$A280)*('Match Log'!$E$4:$E$810="Win")),'Match Log'!$D$4:$D$810),""))</f>
        <v/>
      </c>
      <c r="E280" t="str">
        <f>IFERROR(INDEX('Match Log'!$F$4:$F$810,MATCH(256,'Match Log'!$A$4:$A$810,0)),"")</f>
        <v/>
      </c>
      <c r="F280">
        <f>IFERROR(SUMIFS('Match Log'!$I$4:$I$810,'Match Log'!$A$4:$A$810,256,'Match Log'!$E$4:$E$810,"Win"),"")</f>
        <v>0</v>
      </c>
      <c r="G280" t="str">
        <f t="shared" si="34"/>
        <v/>
      </c>
      <c r="H280" t="str">
        <f t="array" ref="H280">IFERROR(IF(COUNTIFS('Match Log'!$A$4:$A$810,$A280,'Match Log'!$E$4:$E$810,"Win")&gt;1,_xlfn.TEXTJOIN(" + ",TRUE,IF(('Match Log'!$A$4:$A$810=$A280)*('Match Log'!$E$4:$E$810="Loss"),'Match Log'!$D$4:$D$810,"")),IF($E280=2,LOOKUP(2,1/(('Match Log'!$A$4:$A$810=$A280)*('Match Log'!$E$4:$E$810="Loss")),'Match Log'!$D$4:$D$810),"the field")),"")</f>
        <v>the field</v>
      </c>
      <c r="I280" t="str">
        <f t="shared" si="35"/>
        <v/>
      </c>
      <c r="J280">
        <v>256</v>
      </c>
      <c r="K280" t="e">
        <f>IF($J280&gt;MAX('Match Log'!$A$4:$A$810),NA(),IFERROR(LOOKUP(2,1/(('Match Log'!$D$4:$D$810=$K$24)*('Match Log'!$A$4:$A$810&lt;=$J280)),'Match Log'!$N$4:$N$810),NA()))</f>
        <v>#N/A</v>
      </c>
      <c r="L280" t="e">
        <f>IF($J280&gt;MAX('Match Log'!$A$4:$A$810),NA(),IFERROR(LOOKUP(2,1/(('Match Log'!$D$4:$D$810=$L$24)*('Match Log'!$A$4:$A$810&lt;=$J280)),'Match Log'!$N$4:$N$810),NA()))</f>
        <v>#N/A</v>
      </c>
      <c r="M280" t="e">
        <f>IF($J280&gt;MAX('Match Log'!$A$4:$A$810),NA(),IFERROR(LOOKUP(2,1/(('Match Log'!$D$4:$D$810=$M$24)*('Match Log'!$A$4:$A$810&lt;=$J280)),'Match Log'!$N$4:$N$810),NA()))</f>
        <v>#N/A</v>
      </c>
      <c r="N280" t="e">
        <f>IF($J280&gt;MAX('Match Log'!$A$4:$A$810),NA(),IFERROR(LOOKUP(2,1/(('Match Log'!$D$4:$D$810=$N$24)*('Match Log'!$A$4:$A$810&lt;=$J280)),'Match Log'!$N$4:$N$810),NA()))</f>
        <v>#N/A</v>
      </c>
      <c r="O280" t="e">
        <f>IF($J280&gt;MAX('Match Log'!$A$4:$A$810),NA(),IFERROR(LOOKUP(2,1/(('Match Log'!$D$4:$D$810=$O$24)*('Match Log'!$A$4:$A$810&lt;=$J280)),'Match Log'!$N$4:$N$810),NA()))</f>
        <v>#N/A</v>
      </c>
      <c r="P280" t="e">
        <f>IF($J280&gt;MAX('Match Log'!$A$4:$A$810),NA(),IFERROR(LOOKUP(2,1/(('Match Log'!$D$4:$D$810=$P$24)*('Match Log'!$A$4:$A$810&lt;=$J280)),'Match Log'!$N$4:$N$810),NA()))</f>
        <v>#N/A</v>
      </c>
      <c r="Q280" t="e">
        <f>IF($J280&gt;MAX('Match Log'!$A$4:$A$810),NA(),IFERROR(LOOKUP(2,1/(('Match Log'!$D$4:$D$810=$Q$24)*('Match Log'!$A$4:$A$810&lt;=$J280)),'Match Log'!$N$4:$N$810),NA()))</f>
        <v>#N/A</v>
      </c>
      <c r="R280" t="e">
        <f>IF($J280&gt;MAX('Match Log'!$A$4:$A$810),NA(),IFERROR(LOOKUP(2,1/(('Match Log'!$D$4:$D$810=$R$24)*('Match Log'!$A$4:$A$810&lt;=$J280)),'Match Log'!$N$4:$N$810),NA()))</f>
        <v>#N/A</v>
      </c>
      <c r="S280" t="e">
        <f>IF($J280&gt;MAX('Match Log'!$A$4:$A$810),NA(),IFERROR(LOOKUP(2,1/(('Match Log'!$D$4:$D$810=$S$24)*('Match Log'!$A$4:$A$810&lt;=$J280)),'Match Log'!$N$4:$N$810),NA()))</f>
        <v>#N/A</v>
      </c>
      <c r="T280" t="e">
        <f>IF($J280&gt;MAX('Match Log'!$A$4:$A$810),NA(),IFERROR(LOOKUP(2,1/(('Match Log'!$D$4:$D$810=$T$24)*('Match Log'!$A$4:$A$810&lt;=$J280)),'Match Log'!$N$4:$N$810),NA()))</f>
        <v>#N/A</v>
      </c>
      <c r="U280" t="e">
        <f>IF($J280&gt;MAX('Match Log'!$A$4:$A$810),NA(),IFERROR(LOOKUP(2,1/(('Match Log'!$D$4:$D$810=$U$24)*('Match Log'!$A$4:$A$810&lt;=$J280)),'Match Log'!$N$4:$N$810),NA()))</f>
        <v>#N/A</v>
      </c>
      <c r="V280" t="e">
        <f>IF($J280&gt;MAX('Match Log'!$A$4:$A$810),NA(),IFERROR(LOOKUP(2,1/(('Match Log'!$D$4:$D$810=$V$24)*('Match Log'!$A$4:$A$810&lt;=$J280)),'Match Log'!$N$4:$N$810),NA()))</f>
        <v>#N/A</v>
      </c>
      <c r="W280" t="e">
        <f>IF($J280&gt;MAX('Match Log'!$A$4:$A$810),NA(),IFERROR(LOOKUP(2,1/(('Match Log'!$D$4:$D$810=$W$24)*('Match Log'!$A$4:$A$810&lt;=$J280)),'Match Log'!$N$4:$N$810),NA()))</f>
        <v>#N/A</v>
      </c>
      <c r="X280" t="e">
        <f>IF($J280&gt;MAX('Match Log'!$A$4:$A$810),NA(),IFERROR(LOOKUP(2,1/(('Match Log'!$D$4:$D$810=$X$24)*('Match Log'!$A$4:$A$810&lt;=$J280)),'Match Log'!$N$4:$N$810),NA()))</f>
        <v>#N/A</v>
      </c>
      <c r="Y280" t="str">
        <f t="shared" ca="1" si="36"/>
        <v/>
      </c>
    </row>
    <row r="281" spans="1:25" x14ac:dyDescent="0.2">
      <c r="A281">
        <v>257</v>
      </c>
      <c r="B281" t="str">
        <f>IFERROR(INDEX('Match Log'!$B$4:$B$810,MATCH(257,'Match Log'!$A$4:$A$810,0)),"")</f>
        <v/>
      </c>
      <c r="C281" t="str">
        <f>IFERROR(INDEX('Match Log'!$C$4:$C$810,MATCH(257,'Match Log'!$A$4:$A$810,0)),"")</f>
        <v/>
      </c>
      <c r="D281" t="str">
        <f t="array" ref="D281">IFERROR(_xlfn.TEXTJOIN(" + ",TRUE,IF(('Match Log'!$A$4:$A$810=$A281)*('Match Log'!$E$4:$E$810="Win"),'Match Log'!$D$4:$D$810,"")),IFERROR(LOOKUP(2,1/(('Match Log'!$A$4:$A$810=$A281)*('Match Log'!$E$4:$E$810="Win")),'Match Log'!$D$4:$D$810),""))</f>
        <v/>
      </c>
      <c r="E281" t="str">
        <f>IFERROR(INDEX('Match Log'!$F$4:$F$810,MATCH(257,'Match Log'!$A$4:$A$810,0)),"")</f>
        <v/>
      </c>
      <c r="F281">
        <f>IFERROR(SUMIFS('Match Log'!$I$4:$I$810,'Match Log'!$A$4:$A$810,257,'Match Log'!$E$4:$E$810,"Win"),"")</f>
        <v>0</v>
      </c>
      <c r="G281" t="str">
        <f t="shared" si="34"/>
        <v/>
      </c>
      <c r="H281" t="str">
        <f t="array" ref="H281">IFERROR(IF(COUNTIFS('Match Log'!$A$4:$A$810,$A281,'Match Log'!$E$4:$E$810,"Win")&gt;1,_xlfn.TEXTJOIN(" + ",TRUE,IF(('Match Log'!$A$4:$A$810=$A281)*('Match Log'!$E$4:$E$810="Loss"),'Match Log'!$D$4:$D$810,"")),IF($E281=2,LOOKUP(2,1/(('Match Log'!$A$4:$A$810=$A281)*('Match Log'!$E$4:$E$810="Loss")),'Match Log'!$D$4:$D$810),"the field")),"")</f>
        <v>the field</v>
      </c>
      <c r="I281" t="str">
        <f t="shared" si="35"/>
        <v/>
      </c>
      <c r="J281">
        <v>257</v>
      </c>
      <c r="K281" t="e">
        <f>IF($J281&gt;MAX('Match Log'!$A$4:$A$810),NA(),IFERROR(LOOKUP(2,1/(('Match Log'!$D$4:$D$810=$K$24)*('Match Log'!$A$4:$A$810&lt;=$J281)),'Match Log'!$N$4:$N$810),NA()))</f>
        <v>#N/A</v>
      </c>
      <c r="L281" t="e">
        <f>IF($J281&gt;MAX('Match Log'!$A$4:$A$810),NA(),IFERROR(LOOKUP(2,1/(('Match Log'!$D$4:$D$810=$L$24)*('Match Log'!$A$4:$A$810&lt;=$J281)),'Match Log'!$N$4:$N$810),NA()))</f>
        <v>#N/A</v>
      </c>
      <c r="M281" t="e">
        <f>IF($J281&gt;MAX('Match Log'!$A$4:$A$810),NA(),IFERROR(LOOKUP(2,1/(('Match Log'!$D$4:$D$810=$M$24)*('Match Log'!$A$4:$A$810&lt;=$J281)),'Match Log'!$N$4:$N$810),NA()))</f>
        <v>#N/A</v>
      </c>
      <c r="N281" t="e">
        <f>IF($J281&gt;MAX('Match Log'!$A$4:$A$810),NA(),IFERROR(LOOKUP(2,1/(('Match Log'!$D$4:$D$810=$N$24)*('Match Log'!$A$4:$A$810&lt;=$J281)),'Match Log'!$N$4:$N$810),NA()))</f>
        <v>#N/A</v>
      </c>
      <c r="O281" t="e">
        <f>IF($J281&gt;MAX('Match Log'!$A$4:$A$810),NA(),IFERROR(LOOKUP(2,1/(('Match Log'!$D$4:$D$810=$O$24)*('Match Log'!$A$4:$A$810&lt;=$J281)),'Match Log'!$N$4:$N$810),NA()))</f>
        <v>#N/A</v>
      </c>
      <c r="P281" t="e">
        <f>IF($J281&gt;MAX('Match Log'!$A$4:$A$810),NA(),IFERROR(LOOKUP(2,1/(('Match Log'!$D$4:$D$810=$P$24)*('Match Log'!$A$4:$A$810&lt;=$J281)),'Match Log'!$N$4:$N$810),NA()))</f>
        <v>#N/A</v>
      </c>
      <c r="Q281" t="e">
        <f>IF($J281&gt;MAX('Match Log'!$A$4:$A$810),NA(),IFERROR(LOOKUP(2,1/(('Match Log'!$D$4:$D$810=$Q$24)*('Match Log'!$A$4:$A$810&lt;=$J281)),'Match Log'!$N$4:$N$810),NA()))</f>
        <v>#N/A</v>
      </c>
      <c r="R281" t="e">
        <f>IF($J281&gt;MAX('Match Log'!$A$4:$A$810),NA(),IFERROR(LOOKUP(2,1/(('Match Log'!$D$4:$D$810=$R$24)*('Match Log'!$A$4:$A$810&lt;=$J281)),'Match Log'!$N$4:$N$810),NA()))</f>
        <v>#N/A</v>
      </c>
      <c r="S281" t="e">
        <f>IF($J281&gt;MAX('Match Log'!$A$4:$A$810),NA(),IFERROR(LOOKUP(2,1/(('Match Log'!$D$4:$D$810=$S$24)*('Match Log'!$A$4:$A$810&lt;=$J281)),'Match Log'!$N$4:$N$810),NA()))</f>
        <v>#N/A</v>
      </c>
      <c r="T281" t="e">
        <f>IF($J281&gt;MAX('Match Log'!$A$4:$A$810),NA(),IFERROR(LOOKUP(2,1/(('Match Log'!$D$4:$D$810=$T$24)*('Match Log'!$A$4:$A$810&lt;=$J281)),'Match Log'!$N$4:$N$810),NA()))</f>
        <v>#N/A</v>
      </c>
      <c r="U281" t="e">
        <f>IF($J281&gt;MAX('Match Log'!$A$4:$A$810),NA(),IFERROR(LOOKUP(2,1/(('Match Log'!$D$4:$D$810=$U$24)*('Match Log'!$A$4:$A$810&lt;=$J281)),'Match Log'!$N$4:$N$810),NA()))</f>
        <v>#N/A</v>
      </c>
      <c r="V281" t="e">
        <f>IF($J281&gt;MAX('Match Log'!$A$4:$A$810),NA(),IFERROR(LOOKUP(2,1/(('Match Log'!$D$4:$D$810=$V$24)*('Match Log'!$A$4:$A$810&lt;=$J281)),'Match Log'!$N$4:$N$810),NA()))</f>
        <v>#N/A</v>
      </c>
      <c r="W281" t="e">
        <f>IF($J281&gt;MAX('Match Log'!$A$4:$A$810),NA(),IFERROR(LOOKUP(2,1/(('Match Log'!$D$4:$D$810=$W$24)*('Match Log'!$A$4:$A$810&lt;=$J281)),'Match Log'!$N$4:$N$810),NA()))</f>
        <v>#N/A</v>
      </c>
      <c r="X281" t="e">
        <f>IF($J281&gt;MAX('Match Log'!$A$4:$A$810),NA(),IFERROR(LOOKUP(2,1/(('Match Log'!$D$4:$D$810=$X$24)*('Match Log'!$A$4:$A$810&lt;=$J281)),'Match Log'!$N$4:$N$810),NA()))</f>
        <v>#N/A</v>
      </c>
      <c r="Y281" t="str">
        <f t="shared" ca="1" si="36"/>
        <v/>
      </c>
    </row>
    <row r="282" spans="1:25" x14ac:dyDescent="0.2">
      <c r="A282">
        <v>258</v>
      </c>
      <c r="B282" t="str">
        <f>IFERROR(INDEX('Match Log'!$B$4:$B$810,MATCH(258,'Match Log'!$A$4:$A$810,0)),"")</f>
        <v/>
      </c>
      <c r="C282" t="str">
        <f>IFERROR(INDEX('Match Log'!$C$4:$C$810,MATCH(258,'Match Log'!$A$4:$A$810,0)),"")</f>
        <v/>
      </c>
      <c r="D282" t="str">
        <f t="array" ref="D282">IFERROR(_xlfn.TEXTJOIN(" + ",TRUE,IF(('Match Log'!$A$4:$A$810=$A282)*('Match Log'!$E$4:$E$810="Win"),'Match Log'!$D$4:$D$810,"")),IFERROR(LOOKUP(2,1/(('Match Log'!$A$4:$A$810=$A282)*('Match Log'!$E$4:$E$810="Win")),'Match Log'!$D$4:$D$810),""))</f>
        <v/>
      </c>
      <c r="E282" t="str">
        <f>IFERROR(INDEX('Match Log'!$F$4:$F$810,MATCH(258,'Match Log'!$A$4:$A$810,0)),"")</f>
        <v/>
      </c>
      <c r="F282">
        <f>IFERROR(SUMIFS('Match Log'!$I$4:$I$810,'Match Log'!$A$4:$A$810,258,'Match Log'!$E$4:$E$810,"Win"),"")</f>
        <v>0</v>
      </c>
      <c r="G282" t="str">
        <f t="shared" si="34"/>
        <v/>
      </c>
      <c r="H282" t="str">
        <f t="array" ref="H282">IFERROR(IF(COUNTIFS('Match Log'!$A$4:$A$810,$A282,'Match Log'!$E$4:$E$810,"Win")&gt;1,_xlfn.TEXTJOIN(" + ",TRUE,IF(('Match Log'!$A$4:$A$810=$A282)*('Match Log'!$E$4:$E$810="Loss"),'Match Log'!$D$4:$D$810,"")),IF($E282=2,LOOKUP(2,1/(('Match Log'!$A$4:$A$810=$A282)*('Match Log'!$E$4:$E$810="Loss")),'Match Log'!$D$4:$D$810),"the field")),"")</f>
        <v>the field</v>
      </c>
      <c r="I282" t="str">
        <f t="shared" si="35"/>
        <v/>
      </c>
      <c r="J282">
        <v>258</v>
      </c>
      <c r="K282" t="e">
        <f>IF($J282&gt;MAX('Match Log'!$A$4:$A$810),NA(),IFERROR(LOOKUP(2,1/(('Match Log'!$D$4:$D$810=$K$24)*('Match Log'!$A$4:$A$810&lt;=$J282)),'Match Log'!$N$4:$N$810),NA()))</f>
        <v>#N/A</v>
      </c>
      <c r="L282" t="e">
        <f>IF($J282&gt;MAX('Match Log'!$A$4:$A$810),NA(),IFERROR(LOOKUP(2,1/(('Match Log'!$D$4:$D$810=$L$24)*('Match Log'!$A$4:$A$810&lt;=$J282)),'Match Log'!$N$4:$N$810),NA()))</f>
        <v>#N/A</v>
      </c>
      <c r="M282" t="e">
        <f>IF($J282&gt;MAX('Match Log'!$A$4:$A$810),NA(),IFERROR(LOOKUP(2,1/(('Match Log'!$D$4:$D$810=$M$24)*('Match Log'!$A$4:$A$810&lt;=$J282)),'Match Log'!$N$4:$N$810),NA()))</f>
        <v>#N/A</v>
      </c>
      <c r="N282" t="e">
        <f>IF($J282&gt;MAX('Match Log'!$A$4:$A$810),NA(),IFERROR(LOOKUP(2,1/(('Match Log'!$D$4:$D$810=$N$24)*('Match Log'!$A$4:$A$810&lt;=$J282)),'Match Log'!$N$4:$N$810),NA()))</f>
        <v>#N/A</v>
      </c>
      <c r="O282" t="e">
        <f>IF($J282&gt;MAX('Match Log'!$A$4:$A$810),NA(),IFERROR(LOOKUP(2,1/(('Match Log'!$D$4:$D$810=$O$24)*('Match Log'!$A$4:$A$810&lt;=$J282)),'Match Log'!$N$4:$N$810),NA()))</f>
        <v>#N/A</v>
      </c>
      <c r="P282" t="e">
        <f>IF($J282&gt;MAX('Match Log'!$A$4:$A$810),NA(),IFERROR(LOOKUP(2,1/(('Match Log'!$D$4:$D$810=$P$24)*('Match Log'!$A$4:$A$810&lt;=$J282)),'Match Log'!$N$4:$N$810),NA()))</f>
        <v>#N/A</v>
      </c>
      <c r="Q282" t="e">
        <f>IF($J282&gt;MAX('Match Log'!$A$4:$A$810),NA(),IFERROR(LOOKUP(2,1/(('Match Log'!$D$4:$D$810=$Q$24)*('Match Log'!$A$4:$A$810&lt;=$J282)),'Match Log'!$N$4:$N$810),NA()))</f>
        <v>#N/A</v>
      </c>
      <c r="R282" t="e">
        <f>IF($J282&gt;MAX('Match Log'!$A$4:$A$810),NA(),IFERROR(LOOKUP(2,1/(('Match Log'!$D$4:$D$810=$R$24)*('Match Log'!$A$4:$A$810&lt;=$J282)),'Match Log'!$N$4:$N$810),NA()))</f>
        <v>#N/A</v>
      </c>
      <c r="S282" t="e">
        <f>IF($J282&gt;MAX('Match Log'!$A$4:$A$810),NA(),IFERROR(LOOKUP(2,1/(('Match Log'!$D$4:$D$810=$S$24)*('Match Log'!$A$4:$A$810&lt;=$J282)),'Match Log'!$N$4:$N$810),NA()))</f>
        <v>#N/A</v>
      </c>
      <c r="T282" t="e">
        <f>IF($J282&gt;MAX('Match Log'!$A$4:$A$810),NA(),IFERROR(LOOKUP(2,1/(('Match Log'!$D$4:$D$810=$T$24)*('Match Log'!$A$4:$A$810&lt;=$J282)),'Match Log'!$N$4:$N$810),NA()))</f>
        <v>#N/A</v>
      </c>
      <c r="U282" t="e">
        <f>IF($J282&gt;MAX('Match Log'!$A$4:$A$810),NA(),IFERROR(LOOKUP(2,1/(('Match Log'!$D$4:$D$810=$U$24)*('Match Log'!$A$4:$A$810&lt;=$J282)),'Match Log'!$N$4:$N$810),NA()))</f>
        <v>#N/A</v>
      </c>
      <c r="V282" t="e">
        <f>IF($J282&gt;MAX('Match Log'!$A$4:$A$810),NA(),IFERROR(LOOKUP(2,1/(('Match Log'!$D$4:$D$810=$V$24)*('Match Log'!$A$4:$A$810&lt;=$J282)),'Match Log'!$N$4:$N$810),NA()))</f>
        <v>#N/A</v>
      </c>
      <c r="W282" t="e">
        <f>IF($J282&gt;MAX('Match Log'!$A$4:$A$810),NA(),IFERROR(LOOKUP(2,1/(('Match Log'!$D$4:$D$810=$W$24)*('Match Log'!$A$4:$A$810&lt;=$J282)),'Match Log'!$N$4:$N$810),NA()))</f>
        <v>#N/A</v>
      </c>
      <c r="X282" t="e">
        <f>IF($J282&gt;MAX('Match Log'!$A$4:$A$810),NA(),IFERROR(LOOKUP(2,1/(('Match Log'!$D$4:$D$810=$X$24)*('Match Log'!$A$4:$A$810&lt;=$J282)),'Match Log'!$N$4:$N$810),NA()))</f>
        <v>#N/A</v>
      </c>
      <c r="Y282" t="str">
        <f t="shared" ca="1" si="36"/>
        <v/>
      </c>
    </row>
    <row r="283" spans="1:25" x14ac:dyDescent="0.2">
      <c r="A283">
        <v>259</v>
      </c>
      <c r="B283" t="str">
        <f>IFERROR(INDEX('Match Log'!$B$4:$B$810,MATCH(259,'Match Log'!$A$4:$A$810,0)),"")</f>
        <v/>
      </c>
      <c r="C283" t="str">
        <f>IFERROR(INDEX('Match Log'!$C$4:$C$810,MATCH(259,'Match Log'!$A$4:$A$810,0)),"")</f>
        <v/>
      </c>
      <c r="D283" t="str">
        <f t="array" ref="D283">IFERROR(_xlfn.TEXTJOIN(" + ",TRUE,IF(('Match Log'!$A$4:$A$810=$A283)*('Match Log'!$E$4:$E$810="Win"),'Match Log'!$D$4:$D$810,"")),IFERROR(LOOKUP(2,1/(('Match Log'!$A$4:$A$810=$A283)*('Match Log'!$E$4:$E$810="Win")),'Match Log'!$D$4:$D$810),""))</f>
        <v/>
      </c>
      <c r="E283" t="str">
        <f>IFERROR(INDEX('Match Log'!$F$4:$F$810,MATCH(259,'Match Log'!$A$4:$A$810,0)),"")</f>
        <v/>
      </c>
      <c r="F283">
        <f>IFERROR(SUMIFS('Match Log'!$I$4:$I$810,'Match Log'!$A$4:$A$810,259,'Match Log'!$E$4:$E$810,"Win"),"")</f>
        <v>0</v>
      </c>
      <c r="G283" t="str">
        <f t="shared" si="34"/>
        <v/>
      </c>
      <c r="H283" t="str">
        <f t="array" ref="H283">IFERROR(IF(COUNTIFS('Match Log'!$A$4:$A$810,$A283,'Match Log'!$E$4:$E$810,"Win")&gt;1,_xlfn.TEXTJOIN(" + ",TRUE,IF(('Match Log'!$A$4:$A$810=$A283)*('Match Log'!$E$4:$E$810="Loss"),'Match Log'!$D$4:$D$810,"")),IF($E283=2,LOOKUP(2,1/(('Match Log'!$A$4:$A$810=$A283)*('Match Log'!$E$4:$E$810="Loss")),'Match Log'!$D$4:$D$810),"the field")),"")</f>
        <v>the field</v>
      </c>
      <c r="I283" t="str">
        <f t="shared" si="35"/>
        <v/>
      </c>
      <c r="J283">
        <v>259</v>
      </c>
      <c r="K283" t="e">
        <f>IF($J283&gt;MAX('Match Log'!$A$4:$A$810),NA(),IFERROR(LOOKUP(2,1/(('Match Log'!$D$4:$D$810=$K$24)*('Match Log'!$A$4:$A$810&lt;=$J283)),'Match Log'!$N$4:$N$810),NA()))</f>
        <v>#N/A</v>
      </c>
      <c r="L283" t="e">
        <f>IF($J283&gt;MAX('Match Log'!$A$4:$A$810),NA(),IFERROR(LOOKUP(2,1/(('Match Log'!$D$4:$D$810=$L$24)*('Match Log'!$A$4:$A$810&lt;=$J283)),'Match Log'!$N$4:$N$810),NA()))</f>
        <v>#N/A</v>
      </c>
      <c r="M283" t="e">
        <f>IF($J283&gt;MAX('Match Log'!$A$4:$A$810),NA(),IFERROR(LOOKUP(2,1/(('Match Log'!$D$4:$D$810=$M$24)*('Match Log'!$A$4:$A$810&lt;=$J283)),'Match Log'!$N$4:$N$810),NA()))</f>
        <v>#N/A</v>
      </c>
      <c r="N283" t="e">
        <f>IF($J283&gt;MAX('Match Log'!$A$4:$A$810),NA(),IFERROR(LOOKUP(2,1/(('Match Log'!$D$4:$D$810=$N$24)*('Match Log'!$A$4:$A$810&lt;=$J283)),'Match Log'!$N$4:$N$810),NA()))</f>
        <v>#N/A</v>
      </c>
      <c r="O283" t="e">
        <f>IF($J283&gt;MAX('Match Log'!$A$4:$A$810),NA(),IFERROR(LOOKUP(2,1/(('Match Log'!$D$4:$D$810=$O$24)*('Match Log'!$A$4:$A$810&lt;=$J283)),'Match Log'!$N$4:$N$810),NA()))</f>
        <v>#N/A</v>
      </c>
      <c r="P283" t="e">
        <f>IF($J283&gt;MAX('Match Log'!$A$4:$A$810),NA(),IFERROR(LOOKUP(2,1/(('Match Log'!$D$4:$D$810=$P$24)*('Match Log'!$A$4:$A$810&lt;=$J283)),'Match Log'!$N$4:$N$810),NA()))</f>
        <v>#N/A</v>
      </c>
      <c r="Q283" t="e">
        <f>IF($J283&gt;MAX('Match Log'!$A$4:$A$810),NA(),IFERROR(LOOKUP(2,1/(('Match Log'!$D$4:$D$810=$Q$24)*('Match Log'!$A$4:$A$810&lt;=$J283)),'Match Log'!$N$4:$N$810),NA()))</f>
        <v>#N/A</v>
      </c>
      <c r="R283" t="e">
        <f>IF($J283&gt;MAX('Match Log'!$A$4:$A$810),NA(),IFERROR(LOOKUP(2,1/(('Match Log'!$D$4:$D$810=$R$24)*('Match Log'!$A$4:$A$810&lt;=$J283)),'Match Log'!$N$4:$N$810),NA()))</f>
        <v>#N/A</v>
      </c>
      <c r="S283" t="e">
        <f>IF($J283&gt;MAX('Match Log'!$A$4:$A$810),NA(),IFERROR(LOOKUP(2,1/(('Match Log'!$D$4:$D$810=$S$24)*('Match Log'!$A$4:$A$810&lt;=$J283)),'Match Log'!$N$4:$N$810),NA()))</f>
        <v>#N/A</v>
      </c>
      <c r="T283" t="e">
        <f>IF($J283&gt;MAX('Match Log'!$A$4:$A$810),NA(),IFERROR(LOOKUP(2,1/(('Match Log'!$D$4:$D$810=$T$24)*('Match Log'!$A$4:$A$810&lt;=$J283)),'Match Log'!$N$4:$N$810),NA()))</f>
        <v>#N/A</v>
      </c>
      <c r="U283" t="e">
        <f>IF($J283&gt;MAX('Match Log'!$A$4:$A$810),NA(),IFERROR(LOOKUP(2,1/(('Match Log'!$D$4:$D$810=$U$24)*('Match Log'!$A$4:$A$810&lt;=$J283)),'Match Log'!$N$4:$N$810),NA()))</f>
        <v>#N/A</v>
      </c>
      <c r="V283" t="e">
        <f>IF($J283&gt;MAX('Match Log'!$A$4:$A$810),NA(),IFERROR(LOOKUP(2,1/(('Match Log'!$D$4:$D$810=$V$24)*('Match Log'!$A$4:$A$810&lt;=$J283)),'Match Log'!$N$4:$N$810),NA()))</f>
        <v>#N/A</v>
      </c>
      <c r="W283" t="e">
        <f>IF($J283&gt;MAX('Match Log'!$A$4:$A$810),NA(),IFERROR(LOOKUP(2,1/(('Match Log'!$D$4:$D$810=$W$24)*('Match Log'!$A$4:$A$810&lt;=$J283)),'Match Log'!$N$4:$N$810),NA()))</f>
        <v>#N/A</v>
      </c>
      <c r="X283" t="e">
        <f>IF($J283&gt;MAX('Match Log'!$A$4:$A$810),NA(),IFERROR(LOOKUP(2,1/(('Match Log'!$D$4:$D$810=$X$24)*('Match Log'!$A$4:$A$810&lt;=$J283)),'Match Log'!$N$4:$N$810),NA()))</f>
        <v>#N/A</v>
      </c>
      <c r="Y283" t="str">
        <f t="shared" ca="1" si="36"/>
        <v/>
      </c>
    </row>
    <row r="284" spans="1:25" x14ac:dyDescent="0.2">
      <c r="A284">
        <v>260</v>
      </c>
      <c r="B284" t="str">
        <f>IFERROR(INDEX('Match Log'!$B$4:$B$810,MATCH(260,'Match Log'!$A$4:$A$810,0)),"")</f>
        <v/>
      </c>
      <c r="C284" t="str">
        <f>IFERROR(INDEX('Match Log'!$C$4:$C$810,MATCH(260,'Match Log'!$A$4:$A$810,0)),"")</f>
        <v/>
      </c>
      <c r="D284" t="str">
        <f t="array" ref="D284">IFERROR(_xlfn.TEXTJOIN(" + ",TRUE,IF(('Match Log'!$A$4:$A$810=$A284)*('Match Log'!$E$4:$E$810="Win"),'Match Log'!$D$4:$D$810,"")),IFERROR(LOOKUP(2,1/(('Match Log'!$A$4:$A$810=$A284)*('Match Log'!$E$4:$E$810="Win")),'Match Log'!$D$4:$D$810),""))</f>
        <v/>
      </c>
      <c r="E284" t="str">
        <f>IFERROR(INDEX('Match Log'!$F$4:$F$810,MATCH(260,'Match Log'!$A$4:$A$810,0)),"")</f>
        <v/>
      </c>
      <c r="F284">
        <f>IFERROR(SUMIFS('Match Log'!$I$4:$I$810,'Match Log'!$A$4:$A$810,260,'Match Log'!$E$4:$E$810,"Win"),"")</f>
        <v>0</v>
      </c>
      <c r="G284" t="str">
        <f t="shared" si="34"/>
        <v/>
      </c>
      <c r="H284" t="str">
        <f t="array" ref="H284">IFERROR(IF(COUNTIFS('Match Log'!$A$4:$A$810,$A284,'Match Log'!$E$4:$E$810,"Win")&gt;1,_xlfn.TEXTJOIN(" + ",TRUE,IF(('Match Log'!$A$4:$A$810=$A284)*('Match Log'!$E$4:$E$810="Loss"),'Match Log'!$D$4:$D$810,"")),IF($E284=2,LOOKUP(2,1/(('Match Log'!$A$4:$A$810=$A284)*('Match Log'!$E$4:$E$810="Loss")),'Match Log'!$D$4:$D$810),"the field")),"")</f>
        <v>the field</v>
      </c>
      <c r="I284" t="str">
        <f t="shared" si="35"/>
        <v/>
      </c>
      <c r="J284">
        <v>260</v>
      </c>
      <c r="K284" t="e">
        <f>IF($J284&gt;MAX('Match Log'!$A$4:$A$810),NA(),IFERROR(LOOKUP(2,1/(('Match Log'!$D$4:$D$810=$K$24)*('Match Log'!$A$4:$A$810&lt;=$J284)),'Match Log'!$N$4:$N$810),NA()))</f>
        <v>#N/A</v>
      </c>
      <c r="L284" t="e">
        <f>IF($J284&gt;MAX('Match Log'!$A$4:$A$810),NA(),IFERROR(LOOKUP(2,1/(('Match Log'!$D$4:$D$810=$L$24)*('Match Log'!$A$4:$A$810&lt;=$J284)),'Match Log'!$N$4:$N$810),NA()))</f>
        <v>#N/A</v>
      </c>
      <c r="M284" t="e">
        <f>IF($J284&gt;MAX('Match Log'!$A$4:$A$810),NA(),IFERROR(LOOKUP(2,1/(('Match Log'!$D$4:$D$810=$M$24)*('Match Log'!$A$4:$A$810&lt;=$J284)),'Match Log'!$N$4:$N$810),NA()))</f>
        <v>#N/A</v>
      </c>
      <c r="N284" t="e">
        <f>IF($J284&gt;MAX('Match Log'!$A$4:$A$810),NA(),IFERROR(LOOKUP(2,1/(('Match Log'!$D$4:$D$810=$N$24)*('Match Log'!$A$4:$A$810&lt;=$J284)),'Match Log'!$N$4:$N$810),NA()))</f>
        <v>#N/A</v>
      </c>
      <c r="O284" t="e">
        <f>IF($J284&gt;MAX('Match Log'!$A$4:$A$810),NA(),IFERROR(LOOKUP(2,1/(('Match Log'!$D$4:$D$810=$O$24)*('Match Log'!$A$4:$A$810&lt;=$J284)),'Match Log'!$N$4:$N$810),NA()))</f>
        <v>#N/A</v>
      </c>
      <c r="P284" t="e">
        <f>IF($J284&gt;MAX('Match Log'!$A$4:$A$810),NA(),IFERROR(LOOKUP(2,1/(('Match Log'!$D$4:$D$810=$P$24)*('Match Log'!$A$4:$A$810&lt;=$J284)),'Match Log'!$N$4:$N$810),NA()))</f>
        <v>#N/A</v>
      </c>
      <c r="Q284" t="e">
        <f>IF($J284&gt;MAX('Match Log'!$A$4:$A$810),NA(),IFERROR(LOOKUP(2,1/(('Match Log'!$D$4:$D$810=$Q$24)*('Match Log'!$A$4:$A$810&lt;=$J284)),'Match Log'!$N$4:$N$810),NA()))</f>
        <v>#N/A</v>
      </c>
      <c r="R284" t="e">
        <f>IF($J284&gt;MAX('Match Log'!$A$4:$A$810),NA(),IFERROR(LOOKUP(2,1/(('Match Log'!$D$4:$D$810=$R$24)*('Match Log'!$A$4:$A$810&lt;=$J284)),'Match Log'!$N$4:$N$810),NA()))</f>
        <v>#N/A</v>
      </c>
      <c r="S284" t="e">
        <f>IF($J284&gt;MAX('Match Log'!$A$4:$A$810),NA(),IFERROR(LOOKUP(2,1/(('Match Log'!$D$4:$D$810=$S$24)*('Match Log'!$A$4:$A$810&lt;=$J284)),'Match Log'!$N$4:$N$810),NA()))</f>
        <v>#N/A</v>
      </c>
      <c r="T284" t="e">
        <f>IF($J284&gt;MAX('Match Log'!$A$4:$A$810),NA(),IFERROR(LOOKUP(2,1/(('Match Log'!$D$4:$D$810=$T$24)*('Match Log'!$A$4:$A$810&lt;=$J284)),'Match Log'!$N$4:$N$810),NA()))</f>
        <v>#N/A</v>
      </c>
      <c r="U284" t="e">
        <f>IF($J284&gt;MAX('Match Log'!$A$4:$A$810),NA(),IFERROR(LOOKUP(2,1/(('Match Log'!$D$4:$D$810=$U$24)*('Match Log'!$A$4:$A$810&lt;=$J284)),'Match Log'!$N$4:$N$810),NA()))</f>
        <v>#N/A</v>
      </c>
      <c r="V284" t="e">
        <f>IF($J284&gt;MAX('Match Log'!$A$4:$A$810),NA(),IFERROR(LOOKUP(2,1/(('Match Log'!$D$4:$D$810=$V$24)*('Match Log'!$A$4:$A$810&lt;=$J284)),'Match Log'!$N$4:$N$810),NA()))</f>
        <v>#N/A</v>
      </c>
      <c r="W284" t="e">
        <f>IF($J284&gt;MAX('Match Log'!$A$4:$A$810),NA(),IFERROR(LOOKUP(2,1/(('Match Log'!$D$4:$D$810=$W$24)*('Match Log'!$A$4:$A$810&lt;=$J284)),'Match Log'!$N$4:$N$810),NA()))</f>
        <v>#N/A</v>
      </c>
      <c r="X284" t="e">
        <f>IF($J284&gt;MAX('Match Log'!$A$4:$A$810),NA(),IFERROR(LOOKUP(2,1/(('Match Log'!$D$4:$D$810=$X$24)*('Match Log'!$A$4:$A$810&lt;=$J284)),'Match Log'!$N$4:$N$810),NA()))</f>
        <v>#N/A</v>
      </c>
      <c r="Y284" t="str">
        <f t="shared" ca="1" si="36"/>
        <v/>
      </c>
    </row>
    <row r="285" spans="1:25" x14ac:dyDescent="0.2">
      <c r="A285">
        <v>261</v>
      </c>
      <c r="B285" t="str">
        <f>IFERROR(INDEX('Match Log'!$B$4:$B$810,MATCH(261,'Match Log'!$A$4:$A$810,0)),"")</f>
        <v/>
      </c>
      <c r="C285" t="str">
        <f>IFERROR(INDEX('Match Log'!$C$4:$C$810,MATCH(261,'Match Log'!$A$4:$A$810,0)),"")</f>
        <v/>
      </c>
      <c r="D285" t="str">
        <f t="array" ref="D285">IFERROR(_xlfn.TEXTJOIN(" + ",TRUE,IF(('Match Log'!$A$4:$A$810=$A285)*('Match Log'!$E$4:$E$810="Win"),'Match Log'!$D$4:$D$810,"")),IFERROR(LOOKUP(2,1/(('Match Log'!$A$4:$A$810=$A285)*('Match Log'!$E$4:$E$810="Win")),'Match Log'!$D$4:$D$810),""))</f>
        <v/>
      </c>
      <c r="E285" t="str">
        <f>IFERROR(INDEX('Match Log'!$F$4:$F$810,MATCH(261,'Match Log'!$A$4:$A$810,0)),"")</f>
        <v/>
      </c>
      <c r="F285">
        <f>IFERROR(SUMIFS('Match Log'!$I$4:$I$810,'Match Log'!$A$4:$A$810,261,'Match Log'!$E$4:$E$810,"Win"),"")</f>
        <v>0</v>
      </c>
      <c r="G285" t="str">
        <f t="shared" si="34"/>
        <v/>
      </c>
      <c r="H285" t="str">
        <f t="array" ref="H285">IFERROR(IF(COUNTIFS('Match Log'!$A$4:$A$810,$A285,'Match Log'!$E$4:$E$810,"Win")&gt;1,_xlfn.TEXTJOIN(" + ",TRUE,IF(('Match Log'!$A$4:$A$810=$A285)*('Match Log'!$E$4:$E$810="Loss"),'Match Log'!$D$4:$D$810,"")),IF($E285=2,LOOKUP(2,1/(('Match Log'!$A$4:$A$810=$A285)*('Match Log'!$E$4:$E$810="Loss")),'Match Log'!$D$4:$D$810),"the field")),"")</f>
        <v>the field</v>
      </c>
      <c r="I285" t="str">
        <f t="shared" si="35"/>
        <v/>
      </c>
      <c r="J285">
        <v>261</v>
      </c>
      <c r="K285" t="e">
        <f>IF($J285&gt;MAX('Match Log'!$A$4:$A$810),NA(),IFERROR(LOOKUP(2,1/(('Match Log'!$D$4:$D$810=$K$24)*('Match Log'!$A$4:$A$810&lt;=$J285)),'Match Log'!$N$4:$N$810),NA()))</f>
        <v>#N/A</v>
      </c>
      <c r="L285" t="e">
        <f>IF($J285&gt;MAX('Match Log'!$A$4:$A$810),NA(),IFERROR(LOOKUP(2,1/(('Match Log'!$D$4:$D$810=$L$24)*('Match Log'!$A$4:$A$810&lt;=$J285)),'Match Log'!$N$4:$N$810),NA()))</f>
        <v>#N/A</v>
      </c>
      <c r="M285" t="e">
        <f>IF($J285&gt;MAX('Match Log'!$A$4:$A$810),NA(),IFERROR(LOOKUP(2,1/(('Match Log'!$D$4:$D$810=$M$24)*('Match Log'!$A$4:$A$810&lt;=$J285)),'Match Log'!$N$4:$N$810),NA()))</f>
        <v>#N/A</v>
      </c>
      <c r="N285" t="e">
        <f>IF($J285&gt;MAX('Match Log'!$A$4:$A$810),NA(),IFERROR(LOOKUP(2,1/(('Match Log'!$D$4:$D$810=$N$24)*('Match Log'!$A$4:$A$810&lt;=$J285)),'Match Log'!$N$4:$N$810),NA()))</f>
        <v>#N/A</v>
      </c>
      <c r="O285" t="e">
        <f>IF($J285&gt;MAX('Match Log'!$A$4:$A$810),NA(),IFERROR(LOOKUP(2,1/(('Match Log'!$D$4:$D$810=$O$24)*('Match Log'!$A$4:$A$810&lt;=$J285)),'Match Log'!$N$4:$N$810),NA()))</f>
        <v>#N/A</v>
      </c>
      <c r="P285" t="e">
        <f>IF($J285&gt;MAX('Match Log'!$A$4:$A$810),NA(),IFERROR(LOOKUP(2,1/(('Match Log'!$D$4:$D$810=$P$24)*('Match Log'!$A$4:$A$810&lt;=$J285)),'Match Log'!$N$4:$N$810),NA()))</f>
        <v>#N/A</v>
      </c>
      <c r="Q285" t="e">
        <f>IF($J285&gt;MAX('Match Log'!$A$4:$A$810),NA(),IFERROR(LOOKUP(2,1/(('Match Log'!$D$4:$D$810=$Q$24)*('Match Log'!$A$4:$A$810&lt;=$J285)),'Match Log'!$N$4:$N$810),NA()))</f>
        <v>#N/A</v>
      </c>
      <c r="R285" t="e">
        <f>IF($J285&gt;MAX('Match Log'!$A$4:$A$810),NA(),IFERROR(LOOKUP(2,1/(('Match Log'!$D$4:$D$810=$R$24)*('Match Log'!$A$4:$A$810&lt;=$J285)),'Match Log'!$N$4:$N$810),NA()))</f>
        <v>#N/A</v>
      </c>
      <c r="S285" t="e">
        <f>IF($J285&gt;MAX('Match Log'!$A$4:$A$810),NA(),IFERROR(LOOKUP(2,1/(('Match Log'!$D$4:$D$810=$S$24)*('Match Log'!$A$4:$A$810&lt;=$J285)),'Match Log'!$N$4:$N$810),NA()))</f>
        <v>#N/A</v>
      </c>
      <c r="T285" t="e">
        <f>IF($J285&gt;MAX('Match Log'!$A$4:$A$810),NA(),IFERROR(LOOKUP(2,1/(('Match Log'!$D$4:$D$810=$T$24)*('Match Log'!$A$4:$A$810&lt;=$J285)),'Match Log'!$N$4:$N$810),NA()))</f>
        <v>#N/A</v>
      </c>
      <c r="U285" t="e">
        <f>IF($J285&gt;MAX('Match Log'!$A$4:$A$810),NA(),IFERROR(LOOKUP(2,1/(('Match Log'!$D$4:$D$810=$U$24)*('Match Log'!$A$4:$A$810&lt;=$J285)),'Match Log'!$N$4:$N$810),NA()))</f>
        <v>#N/A</v>
      </c>
      <c r="V285" t="e">
        <f>IF($J285&gt;MAX('Match Log'!$A$4:$A$810),NA(),IFERROR(LOOKUP(2,1/(('Match Log'!$D$4:$D$810=$V$24)*('Match Log'!$A$4:$A$810&lt;=$J285)),'Match Log'!$N$4:$N$810),NA()))</f>
        <v>#N/A</v>
      </c>
      <c r="W285" t="e">
        <f>IF($J285&gt;MAX('Match Log'!$A$4:$A$810),NA(),IFERROR(LOOKUP(2,1/(('Match Log'!$D$4:$D$810=$W$24)*('Match Log'!$A$4:$A$810&lt;=$J285)),'Match Log'!$N$4:$N$810),NA()))</f>
        <v>#N/A</v>
      </c>
      <c r="X285" t="e">
        <f>IF($J285&gt;MAX('Match Log'!$A$4:$A$810),NA(),IFERROR(LOOKUP(2,1/(('Match Log'!$D$4:$D$810=$X$24)*('Match Log'!$A$4:$A$810&lt;=$J285)),'Match Log'!$N$4:$N$810),NA()))</f>
        <v>#N/A</v>
      </c>
      <c r="Y285" t="str">
        <f t="shared" ca="1" si="36"/>
        <v/>
      </c>
    </row>
    <row r="286" spans="1:25" x14ac:dyDescent="0.2">
      <c r="A286">
        <v>262</v>
      </c>
      <c r="B286" t="str">
        <f>IFERROR(INDEX('Match Log'!$B$4:$B$810,MATCH(262,'Match Log'!$A$4:$A$810,0)),"")</f>
        <v/>
      </c>
      <c r="C286" t="str">
        <f>IFERROR(INDEX('Match Log'!$C$4:$C$810,MATCH(262,'Match Log'!$A$4:$A$810,0)),"")</f>
        <v/>
      </c>
      <c r="D286" t="str">
        <f t="array" ref="D286">IFERROR(_xlfn.TEXTJOIN(" + ",TRUE,IF(('Match Log'!$A$4:$A$810=$A286)*('Match Log'!$E$4:$E$810="Win"),'Match Log'!$D$4:$D$810,"")),IFERROR(LOOKUP(2,1/(('Match Log'!$A$4:$A$810=$A286)*('Match Log'!$E$4:$E$810="Win")),'Match Log'!$D$4:$D$810),""))</f>
        <v/>
      </c>
      <c r="E286" t="str">
        <f>IFERROR(INDEX('Match Log'!$F$4:$F$810,MATCH(262,'Match Log'!$A$4:$A$810,0)),"")</f>
        <v/>
      </c>
      <c r="F286">
        <f>IFERROR(SUMIFS('Match Log'!$I$4:$I$810,'Match Log'!$A$4:$A$810,262,'Match Log'!$E$4:$E$810,"Win"),"")</f>
        <v>0</v>
      </c>
      <c r="G286" t="str">
        <f t="shared" si="34"/>
        <v/>
      </c>
      <c r="H286" t="str">
        <f t="array" ref="H286">IFERROR(IF(COUNTIFS('Match Log'!$A$4:$A$810,$A286,'Match Log'!$E$4:$E$810,"Win")&gt;1,_xlfn.TEXTJOIN(" + ",TRUE,IF(('Match Log'!$A$4:$A$810=$A286)*('Match Log'!$E$4:$E$810="Loss"),'Match Log'!$D$4:$D$810,"")),IF($E286=2,LOOKUP(2,1/(('Match Log'!$A$4:$A$810=$A286)*('Match Log'!$E$4:$E$810="Loss")),'Match Log'!$D$4:$D$810),"the field")),"")</f>
        <v>the field</v>
      </c>
      <c r="I286" t="str">
        <f t="shared" si="35"/>
        <v/>
      </c>
      <c r="J286">
        <v>262</v>
      </c>
      <c r="K286" t="e">
        <f>IF($J286&gt;MAX('Match Log'!$A$4:$A$810),NA(),IFERROR(LOOKUP(2,1/(('Match Log'!$D$4:$D$810=$K$24)*('Match Log'!$A$4:$A$810&lt;=$J286)),'Match Log'!$N$4:$N$810),NA()))</f>
        <v>#N/A</v>
      </c>
      <c r="L286" t="e">
        <f>IF($J286&gt;MAX('Match Log'!$A$4:$A$810),NA(),IFERROR(LOOKUP(2,1/(('Match Log'!$D$4:$D$810=$L$24)*('Match Log'!$A$4:$A$810&lt;=$J286)),'Match Log'!$N$4:$N$810),NA()))</f>
        <v>#N/A</v>
      </c>
      <c r="M286" t="e">
        <f>IF($J286&gt;MAX('Match Log'!$A$4:$A$810),NA(),IFERROR(LOOKUP(2,1/(('Match Log'!$D$4:$D$810=$M$24)*('Match Log'!$A$4:$A$810&lt;=$J286)),'Match Log'!$N$4:$N$810),NA()))</f>
        <v>#N/A</v>
      </c>
      <c r="N286" t="e">
        <f>IF($J286&gt;MAX('Match Log'!$A$4:$A$810),NA(),IFERROR(LOOKUP(2,1/(('Match Log'!$D$4:$D$810=$N$24)*('Match Log'!$A$4:$A$810&lt;=$J286)),'Match Log'!$N$4:$N$810),NA()))</f>
        <v>#N/A</v>
      </c>
      <c r="O286" t="e">
        <f>IF($J286&gt;MAX('Match Log'!$A$4:$A$810),NA(),IFERROR(LOOKUP(2,1/(('Match Log'!$D$4:$D$810=$O$24)*('Match Log'!$A$4:$A$810&lt;=$J286)),'Match Log'!$N$4:$N$810),NA()))</f>
        <v>#N/A</v>
      </c>
      <c r="P286" t="e">
        <f>IF($J286&gt;MAX('Match Log'!$A$4:$A$810),NA(),IFERROR(LOOKUP(2,1/(('Match Log'!$D$4:$D$810=$P$24)*('Match Log'!$A$4:$A$810&lt;=$J286)),'Match Log'!$N$4:$N$810),NA()))</f>
        <v>#N/A</v>
      </c>
      <c r="Q286" t="e">
        <f>IF($J286&gt;MAX('Match Log'!$A$4:$A$810),NA(),IFERROR(LOOKUP(2,1/(('Match Log'!$D$4:$D$810=$Q$24)*('Match Log'!$A$4:$A$810&lt;=$J286)),'Match Log'!$N$4:$N$810),NA()))</f>
        <v>#N/A</v>
      </c>
      <c r="R286" t="e">
        <f>IF($J286&gt;MAX('Match Log'!$A$4:$A$810),NA(),IFERROR(LOOKUP(2,1/(('Match Log'!$D$4:$D$810=$R$24)*('Match Log'!$A$4:$A$810&lt;=$J286)),'Match Log'!$N$4:$N$810),NA()))</f>
        <v>#N/A</v>
      </c>
      <c r="S286" t="e">
        <f>IF($J286&gt;MAX('Match Log'!$A$4:$A$810),NA(),IFERROR(LOOKUP(2,1/(('Match Log'!$D$4:$D$810=$S$24)*('Match Log'!$A$4:$A$810&lt;=$J286)),'Match Log'!$N$4:$N$810),NA()))</f>
        <v>#N/A</v>
      </c>
      <c r="T286" t="e">
        <f>IF($J286&gt;MAX('Match Log'!$A$4:$A$810),NA(),IFERROR(LOOKUP(2,1/(('Match Log'!$D$4:$D$810=$T$24)*('Match Log'!$A$4:$A$810&lt;=$J286)),'Match Log'!$N$4:$N$810),NA()))</f>
        <v>#N/A</v>
      </c>
      <c r="U286" t="e">
        <f>IF($J286&gt;MAX('Match Log'!$A$4:$A$810),NA(),IFERROR(LOOKUP(2,1/(('Match Log'!$D$4:$D$810=$U$24)*('Match Log'!$A$4:$A$810&lt;=$J286)),'Match Log'!$N$4:$N$810),NA()))</f>
        <v>#N/A</v>
      </c>
      <c r="V286" t="e">
        <f>IF($J286&gt;MAX('Match Log'!$A$4:$A$810),NA(),IFERROR(LOOKUP(2,1/(('Match Log'!$D$4:$D$810=$V$24)*('Match Log'!$A$4:$A$810&lt;=$J286)),'Match Log'!$N$4:$N$810),NA()))</f>
        <v>#N/A</v>
      </c>
      <c r="W286" t="e">
        <f>IF($J286&gt;MAX('Match Log'!$A$4:$A$810),NA(),IFERROR(LOOKUP(2,1/(('Match Log'!$D$4:$D$810=$W$24)*('Match Log'!$A$4:$A$810&lt;=$J286)),'Match Log'!$N$4:$N$810),NA()))</f>
        <v>#N/A</v>
      </c>
      <c r="X286" t="e">
        <f>IF($J286&gt;MAX('Match Log'!$A$4:$A$810),NA(),IFERROR(LOOKUP(2,1/(('Match Log'!$D$4:$D$810=$X$24)*('Match Log'!$A$4:$A$810&lt;=$J286)),'Match Log'!$N$4:$N$810),NA()))</f>
        <v>#N/A</v>
      </c>
      <c r="Y286" t="str">
        <f t="shared" ca="1" si="36"/>
        <v/>
      </c>
    </row>
    <row r="287" spans="1:25" x14ac:dyDescent="0.2">
      <c r="A287">
        <v>263</v>
      </c>
      <c r="B287" t="str">
        <f>IFERROR(INDEX('Match Log'!$B$4:$B$810,MATCH(263,'Match Log'!$A$4:$A$810,0)),"")</f>
        <v/>
      </c>
      <c r="C287" t="str">
        <f>IFERROR(INDEX('Match Log'!$C$4:$C$810,MATCH(263,'Match Log'!$A$4:$A$810,0)),"")</f>
        <v/>
      </c>
      <c r="D287" t="str">
        <f t="array" ref="D287">IFERROR(_xlfn.TEXTJOIN(" + ",TRUE,IF(('Match Log'!$A$4:$A$810=$A287)*('Match Log'!$E$4:$E$810="Win"),'Match Log'!$D$4:$D$810,"")),IFERROR(LOOKUP(2,1/(('Match Log'!$A$4:$A$810=$A287)*('Match Log'!$E$4:$E$810="Win")),'Match Log'!$D$4:$D$810),""))</f>
        <v/>
      </c>
      <c r="E287" t="str">
        <f>IFERROR(INDEX('Match Log'!$F$4:$F$810,MATCH(263,'Match Log'!$A$4:$A$810,0)),"")</f>
        <v/>
      </c>
      <c r="F287">
        <f>IFERROR(SUMIFS('Match Log'!$I$4:$I$810,'Match Log'!$A$4:$A$810,263,'Match Log'!$E$4:$E$810,"Win"),"")</f>
        <v>0</v>
      </c>
      <c r="G287" t="str">
        <f t="shared" si="34"/>
        <v/>
      </c>
      <c r="H287" t="str">
        <f t="array" ref="H287">IFERROR(IF(COUNTIFS('Match Log'!$A$4:$A$810,$A287,'Match Log'!$E$4:$E$810,"Win")&gt;1,_xlfn.TEXTJOIN(" + ",TRUE,IF(('Match Log'!$A$4:$A$810=$A287)*('Match Log'!$E$4:$E$810="Loss"),'Match Log'!$D$4:$D$810,"")),IF($E287=2,LOOKUP(2,1/(('Match Log'!$A$4:$A$810=$A287)*('Match Log'!$E$4:$E$810="Loss")),'Match Log'!$D$4:$D$810),"the field")),"")</f>
        <v>the field</v>
      </c>
      <c r="I287" t="str">
        <f t="shared" si="35"/>
        <v/>
      </c>
      <c r="J287">
        <v>263</v>
      </c>
      <c r="K287" t="e">
        <f>IF($J287&gt;MAX('Match Log'!$A$4:$A$810),NA(),IFERROR(LOOKUP(2,1/(('Match Log'!$D$4:$D$810=$K$24)*('Match Log'!$A$4:$A$810&lt;=$J287)),'Match Log'!$N$4:$N$810),NA()))</f>
        <v>#N/A</v>
      </c>
      <c r="L287" t="e">
        <f>IF($J287&gt;MAX('Match Log'!$A$4:$A$810),NA(),IFERROR(LOOKUP(2,1/(('Match Log'!$D$4:$D$810=$L$24)*('Match Log'!$A$4:$A$810&lt;=$J287)),'Match Log'!$N$4:$N$810),NA()))</f>
        <v>#N/A</v>
      </c>
      <c r="M287" t="e">
        <f>IF($J287&gt;MAX('Match Log'!$A$4:$A$810),NA(),IFERROR(LOOKUP(2,1/(('Match Log'!$D$4:$D$810=$M$24)*('Match Log'!$A$4:$A$810&lt;=$J287)),'Match Log'!$N$4:$N$810),NA()))</f>
        <v>#N/A</v>
      </c>
      <c r="N287" t="e">
        <f>IF($J287&gt;MAX('Match Log'!$A$4:$A$810),NA(),IFERROR(LOOKUP(2,1/(('Match Log'!$D$4:$D$810=$N$24)*('Match Log'!$A$4:$A$810&lt;=$J287)),'Match Log'!$N$4:$N$810),NA()))</f>
        <v>#N/A</v>
      </c>
      <c r="O287" t="e">
        <f>IF($J287&gt;MAX('Match Log'!$A$4:$A$810),NA(),IFERROR(LOOKUP(2,1/(('Match Log'!$D$4:$D$810=$O$24)*('Match Log'!$A$4:$A$810&lt;=$J287)),'Match Log'!$N$4:$N$810),NA()))</f>
        <v>#N/A</v>
      </c>
      <c r="P287" t="e">
        <f>IF($J287&gt;MAX('Match Log'!$A$4:$A$810),NA(),IFERROR(LOOKUP(2,1/(('Match Log'!$D$4:$D$810=$P$24)*('Match Log'!$A$4:$A$810&lt;=$J287)),'Match Log'!$N$4:$N$810),NA()))</f>
        <v>#N/A</v>
      </c>
      <c r="Q287" t="e">
        <f>IF($J287&gt;MAX('Match Log'!$A$4:$A$810),NA(),IFERROR(LOOKUP(2,1/(('Match Log'!$D$4:$D$810=$Q$24)*('Match Log'!$A$4:$A$810&lt;=$J287)),'Match Log'!$N$4:$N$810),NA()))</f>
        <v>#N/A</v>
      </c>
      <c r="R287" t="e">
        <f>IF($J287&gt;MAX('Match Log'!$A$4:$A$810),NA(),IFERROR(LOOKUP(2,1/(('Match Log'!$D$4:$D$810=$R$24)*('Match Log'!$A$4:$A$810&lt;=$J287)),'Match Log'!$N$4:$N$810),NA()))</f>
        <v>#N/A</v>
      </c>
      <c r="S287" t="e">
        <f>IF($J287&gt;MAX('Match Log'!$A$4:$A$810),NA(),IFERROR(LOOKUP(2,1/(('Match Log'!$D$4:$D$810=$S$24)*('Match Log'!$A$4:$A$810&lt;=$J287)),'Match Log'!$N$4:$N$810),NA()))</f>
        <v>#N/A</v>
      </c>
      <c r="T287" t="e">
        <f>IF($J287&gt;MAX('Match Log'!$A$4:$A$810),NA(),IFERROR(LOOKUP(2,1/(('Match Log'!$D$4:$D$810=$T$24)*('Match Log'!$A$4:$A$810&lt;=$J287)),'Match Log'!$N$4:$N$810),NA()))</f>
        <v>#N/A</v>
      </c>
      <c r="U287" t="e">
        <f>IF($J287&gt;MAX('Match Log'!$A$4:$A$810),NA(),IFERROR(LOOKUP(2,1/(('Match Log'!$D$4:$D$810=$U$24)*('Match Log'!$A$4:$A$810&lt;=$J287)),'Match Log'!$N$4:$N$810),NA()))</f>
        <v>#N/A</v>
      </c>
      <c r="V287" t="e">
        <f>IF($J287&gt;MAX('Match Log'!$A$4:$A$810),NA(),IFERROR(LOOKUP(2,1/(('Match Log'!$D$4:$D$810=$V$24)*('Match Log'!$A$4:$A$810&lt;=$J287)),'Match Log'!$N$4:$N$810),NA()))</f>
        <v>#N/A</v>
      </c>
      <c r="W287" t="e">
        <f>IF($J287&gt;MAX('Match Log'!$A$4:$A$810),NA(),IFERROR(LOOKUP(2,1/(('Match Log'!$D$4:$D$810=$W$24)*('Match Log'!$A$4:$A$810&lt;=$J287)),'Match Log'!$N$4:$N$810),NA()))</f>
        <v>#N/A</v>
      </c>
      <c r="X287" t="e">
        <f>IF($J287&gt;MAX('Match Log'!$A$4:$A$810),NA(),IFERROR(LOOKUP(2,1/(('Match Log'!$D$4:$D$810=$X$24)*('Match Log'!$A$4:$A$810&lt;=$J287)),'Match Log'!$N$4:$N$810),NA()))</f>
        <v>#N/A</v>
      </c>
      <c r="Y287" t="str">
        <f t="shared" ca="1" si="36"/>
        <v/>
      </c>
    </row>
    <row r="288" spans="1:25" x14ac:dyDescent="0.2">
      <c r="A288">
        <v>264</v>
      </c>
      <c r="B288" t="str">
        <f>IFERROR(INDEX('Match Log'!$B$4:$B$810,MATCH(264,'Match Log'!$A$4:$A$810,0)),"")</f>
        <v/>
      </c>
      <c r="C288" t="str">
        <f>IFERROR(INDEX('Match Log'!$C$4:$C$810,MATCH(264,'Match Log'!$A$4:$A$810,0)),"")</f>
        <v/>
      </c>
      <c r="D288" t="str">
        <f t="array" ref="D288">IFERROR(_xlfn.TEXTJOIN(" + ",TRUE,IF(('Match Log'!$A$4:$A$810=$A288)*('Match Log'!$E$4:$E$810="Win"),'Match Log'!$D$4:$D$810,"")),IFERROR(LOOKUP(2,1/(('Match Log'!$A$4:$A$810=$A288)*('Match Log'!$E$4:$E$810="Win")),'Match Log'!$D$4:$D$810),""))</f>
        <v/>
      </c>
      <c r="E288" t="str">
        <f>IFERROR(INDEX('Match Log'!$F$4:$F$810,MATCH(264,'Match Log'!$A$4:$A$810,0)),"")</f>
        <v/>
      </c>
      <c r="F288">
        <f>IFERROR(SUMIFS('Match Log'!$I$4:$I$810,'Match Log'!$A$4:$A$810,264,'Match Log'!$E$4:$E$810,"Win"),"")</f>
        <v>0</v>
      </c>
      <c r="G288" t="str">
        <f t="shared" si="34"/>
        <v/>
      </c>
      <c r="H288" t="str">
        <f t="array" ref="H288">IFERROR(IF(COUNTIFS('Match Log'!$A$4:$A$810,$A288,'Match Log'!$E$4:$E$810,"Win")&gt;1,_xlfn.TEXTJOIN(" + ",TRUE,IF(('Match Log'!$A$4:$A$810=$A288)*('Match Log'!$E$4:$E$810="Loss"),'Match Log'!$D$4:$D$810,"")),IF($E288=2,LOOKUP(2,1/(('Match Log'!$A$4:$A$810=$A288)*('Match Log'!$E$4:$E$810="Loss")),'Match Log'!$D$4:$D$810),"the field")),"")</f>
        <v>the field</v>
      </c>
      <c r="I288" t="str">
        <f t="shared" si="35"/>
        <v/>
      </c>
      <c r="J288">
        <v>264</v>
      </c>
      <c r="K288" t="e">
        <f>IF($J288&gt;MAX('Match Log'!$A$4:$A$810),NA(),IFERROR(LOOKUP(2,1/(('Match Log'!$D$4:$D$810=$K$24)*('Match Log'!$A$4:$A$810&lt;=$J288)),'Match Log'!$N$4:$N$810),NA()))</f>
        <v>#N/A</v>
      </c>
      <c r="L288" t="e">
        <f>IF($J288&gt;MAX('Match Log'!$A$4:$A$810),NA(),IFERROR(LOOKUP(2,1/(('Match Log'!$D$4:$D$810=$L$24)*('Match Log'!$A$4:$A$810&lt;=$J288)),'Match Log'!$N$4:$N$810),NA()))</f>
        <v>#N/A</v>
      </c>
      <c r="M288" t="e">
        <f>IF($J288&gt;MAX('Match Log'!$A$4:$A$810),NA(),IFERROR(LOOKUP(2,1/(('Match Log'!$D$4:$D$810=$M$24)*('Match Log'!$A$4:$A$810&lt;=$J288)),'Match Log'!$N$4:$N$810),NA()))</f>
        <v>#N/A</v>
      </c>
      <c r="N288" t="e">
        <f>IF($J288&gt;MAX('Match Log'!$A$4:$A$810),NA(),IFERROR(LOOKUP(2,1/(('Match Log'!$D$4:$D$810=$N$24)*('Match Log'!$A$4:$A$810&lt;=$J288)),'Match Log'!$N$4:$N$810),NA()))</f>
        <v>#N/A</v>
      </c>
      <c r="O288" t="e">
        <f>IF($J288&gt;MAX('Match Log'!$A$4:$A$810),NA(),IFERROR(LOOKUP(2,1/(('Match Log'!$D$4:$D$810=$O$24)*('Match Log'!$A$4:$A$810&lt;=$J288)),'Match Log'!$N$4:$N$810),NA()))</f>
        <v>#N/A</v>
      </c>
      <c r="P288" t="e">
        <f>IF($J288&gt;MAX('Match Log'!$A$4:$A$810),NA(),IFERROR(LOOKUP(2,1/(('Match Log'!$D$4:$D$810=$P$24)*('Match Log'!$A$4:$A$810&lt;=$J288)),'Match Log'!$N$4:$N$810),NA()))</f>
        <v>#N/A</v>
      </c>
      <c r="Q288" t="e">
        <f>IF($J288&gt;MAX('Match Log'!$A$4:$A$810),NA(),IFERROR(LOOKUP(2,1/(('Match Log'!$D$4:$D$810=$Q$24)*('Match Log'!$A$4:$A$810&lt;=$J288)),'Match Log'!$N$4:$N$810),NA()))</f>
        <v>#N/A</v>
      </c>
      <c r="R288" t="e">
        <f>IF($J288&gt;MAX('Match Log'!$A$4:$A$810),NA(),IFERROR(LOOKUP(2,1/(('Match Log'!$D$4:$D$810=$R$24)*('Match Log'!$A$4:$A$810&lt;=$J288)),'Match Log'!$N$4:$N$810),NA()))</f>
        <v>#N/A</v>
      </c>
      <c r="S288" t="e">
        <f>IF($J288&gt;MAX('Match Log'!$A$4:$A$810),NA(),IFERROR(LOOKUP(2,1/(('Match Log'!$D$4:$D$810=$S$24)*('Match Log'!$A$4:$A$810&lt;=$J288)),'Match Log'!$N$4:$N$810),NA()))</f>
        <v>#N/A</v>
      </c>
      <c r="T288" t="e">
        <f>IF($J288&gt;MAX('Match Log'!$A$4:$A$810),NA(),IFERROR(LOOKUP(2,1/(('Match Log'!$D$4:$D$810=$T$24)*('Match Log'!$A$4:$A$810&lt;=$J288)),'Match Log'!$N$4:$N$810),NA()))</f>
        <v>#N/A</v>
      </c>
      <c r="U288" t="e">
        <f>IF($J288&gt;MAX('Match Log'!$A$4:$A$810),NA(),IFERROR(LOOKUP(2,1/(('Match Log'!$D$4:$D$810=$U$24)*('Match Log'!$A$4:$A$810&lt;=$J288)),'Match Log'!$N$4:$N$810),NA()))</f>
        <v>#N/A</v>
      </c>
      <c r="V288" t="e">
        <f>IF($J288&gt;MAX('Match Log'!$A$4:$A$810),NA(),IFERROR(LOOKUP(2,1/(('Match Log'!$D$4:$D$810=$V$24)*('Match Log'!$A$4:$A$810&lt;=$J288)),'Match Log'!$N$4:$N$810),NA()))</f>
        <v>#N/A</v>
      </c>
      <c r="W288" t="e">
        <f>IF($J288&gt;MAX('Match Log'!$A$4:$A$810),NA(),IFERROR(LOOKUP(2,1/(('Match Log'!$D$4:$D$810=$W$24)*('Match Log'!$A$4:$A$810&lt;=$J288)),'Match Log'!$N$4:$N$810),NA()))</f>
        <v>#N/A</v>
      </c>
      <c r="X288" t="e">
        <f>IF($J288&gt;MAX('Match Log'!$A$4:$A$810),NA(),IFERROR(LOOKUP(2,1/(('Match Log'!$D$4:$D$810=$X$24)*('Match Log'!$A$4:$A$810&lt;=$J288)),'Match Log'!$N$4:$N$810),NA()))</f>
        <v>#N/A</v>
      </c>
      <c r="Y288" t="str">
        <f t="shared" ca="1" si="36"/>
        <v/>
      </c>
    </row>
    <row r="289" spans="1:25" x14ac:dyDescent="0.2">
      <c r="A289">
        <v>265</v>
      </c>
      <c r="B289" t="str">
        <f>IFERROR(INDEX('Match Log'!$B$4:$B$810,MATCH(265,'Match Log'!$A$4:$A$810,0)),"")</f>
        <v/>
      </c>
      <c r="C289" t="str">
        <f>IFERROR(INDEX('Match Log'!$C$4:$C$810,MATCH(265,'Match Log'!$A$4:$A$810,0)),"")</f>
        <v/>
      </c>
      <c r="D289" t="str">
        <f t="array" ref="D289">IFERROR(_xlfn.TEXTJOIN(" + ",TRUE,IF(('Match Log'!$A$4:$A$810=$A289)*('Match Log'!$E$4:$E$810="Win"),'Match Log'!$D$4:$D$810,"")),IFERROR(LOOKUP(2,1/(('Match Log'!$A$4:$A$810=$A289)*('Match Log'!$E$4:$E$810="Win")),'Match Log'!$D$4:$D$810),""))</f>
        <v/>
      </c>
      <c r="E289" t="str">
        <f>IFERROR(INDEX('Match Log'!$F$4:$F$810,MATCH(265,'Match Log'!$A$4:$A$810,0)),"")</f>
        <v/>
      </c>
      <c r="F289">
        <f>IFERROR(SUMIFS('Match Log'!$I$4:$I$810,'Match Log'!$A$4:$A$810,265,'Match Log'!$E$4:$E$810,"Win"),"")</f>
        <v>0</v>
      </c>
      <c r="G289" t="str">
        <f t="shared" si="34"/>
        <v/>
      </c>
      <c r="H289" t="str">
        <f t="array" ref="H289">IFERROR(IF(COUNTIFS('Match Log'!$A$4:$A$810,$A289,'Match Log'!$E$4:$E$810,"Win")&gt;1,_xlfn.TEXTJOIN(" + ",TRUE,IF(('Match Log'!$A$4:$A$810=$A289)*('Match Log'!$E$4:$E$810="Loss"),'Match Log'!$D$4:$D$810,"")),IF($E289=2,LOOKUP(2,1/(('Match Log'!$A$4:$A$810=$A289)*('Match Log'!$E$4:$E$810="Loss")),'Match Log'!$D$4:$D$810),"the field")),"")</f>
        <v>the field</v>
      </c>
      <c r="I289" t="str">
        <f t="shared" si="35"/>
        <v/>
      </c>
      <c r="J289">
        <v>265</v>
      </c>
      <c r="K289" t="e">
        <f>IF($J289&gt;MAX('Match Log'!$A$4:$A$810),NA(),IFERROR(LOOKUP(2,1/(('Match Log'!$D$4:$D$810=$K$24)*('Match Log'!$A$4:$A$810&lt;=$J289)),'Match Log'!$N$4:$N$810),NA()))</f>
        <v>#N/A</v>
      </c>
      <c r="L289" t="e">
        <f>IF($J289&gt;MAX('Match Log'!$A$4:$A$810),NA(),IFERROR(LOOKUP(2,1/(('Match Log'!$D$4:$D$810=$L$24)*('Match Log'!$A$4:$A$810&lt;=$J289)),'Match Log'!$N$4:$N$810),NA()))</f>
        <v>#N/A</v>
      </c>
      <c r="M289" t="e">
        <f>IF($J289&gt;MAX('Match Log'!$A$4:$A$810),NA(),IFERROR(LOOKUP(2,1/(('Match Log'!$D$4:$D$810=$M$24)*('Match Log'!$A$4:$A$810&lt;=$J289)),'Match Log'!$N$4:$N$810),NA()))</f>
        <v>#N/A</v>
      </c>
      <c r="N289" t="e">
        <f>IF($J289&gt;MAX('Match Log'!$A$4:$A$810),NA(),IFERROR(LOOKUP(2,1/(('Match Log'!$D$4:$D$810=$N$24)*('Match Log'!$A$4:$A$810&lt;=$J289)),'Match Log'!$N$4:$N$810),NA()))</f>
        <v>#N/A</v>
      </c>
      <c r="O289" t="e">
        <f>IF($J289&gt;MAX('Match Log'!$A$4:$A$810),NA(),IFERROR(LOOKUP(2,1/(('Match Log'!$D$4:$D$810=$O$24)*('Match Log'!$A$4:$A$810&lt;=$J289)),'Match Log'!$N$4:$N$810),NA()))</f>
        <v>#N/A</v>
      </c>
      <c r="P289" t="e">
        <f>IF($J289&gt;MAX('Match Log'!$A$4:$A$810),NA(),IFERROR(LOOKUP(2,1/(('Match Log'!$D$4:$D$810=$P$24)*('Match Log'!$A$4:$A$810&lt;=$J289)),'Match Log'!$N$4:$N$810),NA()))</f>
        <v>#N/A</v>
      </c>
      <c r="Q289" t="e">
        <f>IF($J289&gt;MAX('Match Log'!$A$4:$A$810),NA(),IFERROR(LOOKUP(2,1/(('Match Log'!$D$4:$D$810=$Q$24)*('Match Log'!$A$4:$A$810&lt;=$J289)),'Match Log'!$N$4:$N$810),NA()))</f>
        <v>#N/A</v>
      </c>
      <c r="R289" t="e">
        <f>IF($J289&gt;MAX('Match Log'!$A$4:$A$810),NA(),IFERROR(LOOKUP(2,1/(('Match Log'!$D$4:$D$810=$R$24)*('Match Log'!$A$4:$A$810&lt;=$J289)),'Match Log'!$N$4:$N$810),NA()))</f>
        <v>#N/A</v>
      </c>
      <c r="S289" t="e">
        <f>IF($J289&gt;MAX('Match Log'!$A$4:$A$810),NA(),IFERROR(LOOKUP(2,1/(('Match Log'!$D$4:$D$810=$S$24)*('Match Log'!$A$4:$A$810&lt;=$J289)),'Match Log'!$N$4:$N$810),NA()))</f>
        <v>#N/A</v>
      </c>
      <c r="T289" t="e">
        <f>IF($J289&gt;MAX('Match Log'!$A$4:$A$810),NA(),IFERROR(LOOKUP(2,1/(('Match Log'!$D$4:$D$810=$T$24)*('Match Log'!$A$4:$A$810&lt;=$J289)),'Match Log'!$N$4:$N$810),NA()))</f>
        <v>#N/A</v>
      </c>
      <c r="U289" t="e">
        <f>IF($J289&gt;MAX('Match Log'!$A$4:$A$810),NA(),IFERROR(LOOKUP(2,1/(('Match Log'!$D$4:$D$810=$U$24)*('Match Log'!$A$4:$A$810&lt;=$J289)),'Match Log'!$N$4:$N$810),NA()))</f>
        <v>#N/A</v>
      </c>
      <c r="V289" t="e">
        <f>IF($J289&gt;MAX('Match Log'!$A$4:$A$810),NA(),IFERROR(LOOKUP(2,1/(('Match Log'!$D$4:$D$810=$V$24)*('Match Log'!$A$4:$A$810&lt;=$J289)),'Match Log'!$N$4:$N$810),NA()))</f>
        <v>#N/A</v>
      </c>
      <c r="W289" t="e">
        <f>IF($J289&gt;MAX('Match Log'!$A$4:$A$810),NA(),IFERROR(LOOKUP(2,1/(('Match Log'!$D$4:$D$810=$W$24)*('Match Log'!$A$4:$A$810&lt;=$J289)),'Match Log'!$N$4:$N$810),NA()))</f>
        <v>#N/A</v>
      </c>
      <c r="X289" t="e">
        <f>IF($J289&gt;MAX('Match Log'!$A$4:$A$810),NA(),IFERROR(LOOKUP(2,1/(('Match Log'!$D$4:$D$810=$X$24)*('Match Log'!$A$4:$A$810&lt;=$J289)),'Match Log'!$N$4:$N$810),NA()))</f>
        <v>#N/A</v>
      </c>
      <c r="Y289" t="str">
        <f t="shared" ca="1" si="36"/>
        <v/>
      </c>
    </row>
    <row r="290" spans="1:25" x14ac:dyDescent="0.2">
      <c r="A290">
        <v>266</v>
      </c>
      <c r="B290" t="str">
        <f>IFERROR(INDEX('Match Log'!$B$4:$B$810,MATCH(266,'Match Log'!$A$4:$A$810,0)),"")</f>
        <v/>
      </c>
      <c r="C290" t="str">
        <f>IFERROR(INDEX('Match Log'!$C$4:$C$810,MATCH(266,'Match Log'!$A$4:$A$810,0)),"")</f>
        <v/>
      </c>
      <c r="D290" t="str">
        <f t="array" ref="D290">IFERROR(_xlfn.TEXTJOIN(" + ",TRUE,IF(('Match Log'!$A$4:$A$810=$A290)*('Match Log'!$E$4:$E$810="Win"),'Match Log'!$D$4:$D$810,"")),IFERROR(LOOKUP(2,1/(('Match Log'!$A$4:$A$810=$A290)*('Match Log'!$E$4:$E$810="Win")),'Match Log'!$D$4:$D$810),""))</f>
        <v/>
      </c>
      <c r="E290" t="str">
        <f>IFERROR(INDEX('Match Log'!$F$4:$F$810,MATCH(266,'Match Log'!$A$4:$A$810,0)),"")</f>
        <v/>
      </c>
      <c r="F290">
        <f>IFERROR(SUMIFS('Match Log'!$I$4:$I$810,'Match Log'!$A$4:$A$810,266,'Match Log'!$E$4:$E$810,"Win"),"")</f>
        <v>0</v>
      </c>
      <c r="G290" t="str">
        <f t="shared" si="34"/>
        <v/>
      </c>
      <c r="H290" t="str">
        <f t="array" ref="H290">IFERROR(IF(COUNTIFS('Match Log'!$A$4:$A$810,$A290,'Match Log'!$E$4:$E$810,"Win")&gt;1,_xlfn.TEXTJOIN(" + ",TRUE,IF(('Match Log'!$A$4:$A$810=$A290)*('Match Log'!$E$4:$E$810="Loss"),'Match Log'!$D$4:$D$810,"")),IF($E290=2,LOOKUP(2,1/(('Match Log'!$A$4:$A$810=$A290)*('Match Log'!$E$4:$E$810="Loss")),'Match Log'!$D$4:$D$810),"the field")),"")</f>
        <v>the field</v>
      </c>
      <c r="I290" t="str">
        <f t="shared" si="35"/>
        <v/>
      </c>
      <c r="J290">
        <v>266</v>
      </c>
      <c r="K290" t="e">
        <f>IF($J290&gt;MAX('Match Log'!$A$4:$A$810),NA(),IFERROR(LOOKUP(2,1/(('Match Log'!$D$4:$D$810=$K$24)*('Match Log'!$A$4:$A$810&lt;=$J290)),'Match Log'!$N$4:$N$810),NA()))</f>
        <v>#N/A</v>
      </c>
      <c r="L290" t="e">
        <f>IF($J290&gt;MAX('Match Log'!$A$4:$A$810),NA(),IFERROR(LOOKUP(2,1/(('Match Log'!$D$4:$D$810=$L$24)*('Match Log'!$A$4:$A$810&lt;=$J290)),'Match Log'!$N$4:$N$810),NA()))</f>
        <v>#N/A</v>
      </c>
      <c r="M290" t="e">
        <f>IF($J290&gt;MAX('Match Log'!$A$4:$A$810),NA(),IFERROR(LOOKUP(2,1/(('Match Log'!$D$4:$D$810=$M$24)*('Match Log'!$A$4:$A$810&lt;=$J290)),'Match Log'!$N$4:$N$810),NA()))</f>
        <v>#N/A</v>
      </c>
      <c r="N290" t="e">
        <f>IF($J290&gt;MAX('Match Log'!$A$4:$A$810),NA(),IFERROR(LOOKUP(2,1/(('Match Log'!$D$4:$D$810=$N$24)*('Match Log'!$A$4:$A$810&lt;=$J290)),'Match Log'!$N$4:$N$810),NA()))</f>
        <v>#N/A</v>
      </c>
      <c r="O290" t="e">
        <f>IF($J290&gt;MAX('Match Log'!$A$4:$A$810),NA(),IFERROR(LOOKUP(2,1/(('Match Log'!$D$4:$D$810=$O$24)*('Match Log'!$A$4:$A$810&lt;=$J290)),'Match Log'!$N$4:$N$810),NA()))</f>
        <v>#N/A</v>
      </c>
      <c r="P290" t="e">
        <f>IF($J290&gt;MAX('Match Log'!$A$4:$A$810),NA(),IFERROR(LOOKUP(2,1/(('Match Log'!$D$4:$D$810=$P$24)*('Match Log'!$A$4:$A$810&lt;=$J290)),'Match Log'!$N$4:$N$810),NA()))</f>
        <v>#N/A</v>
      </c>
      <c r="Q290" t="e">
        <f>IF($J290&gt;MAX('Match Log'!$A$4:$A$810),NA(),IFERROR(LOOKUP(2,1/(('Match Log'!$D$4:$D$810=$Q$24)*('Match Log'!$A$4:$A$810&lt;=$J290)),'Match Log'!$N$4:$N$810),NA()))</f>
        <v>#N/A</v>
      </c>
      <c r="R290" t="e">
        <f>IF($J290&gt;MAX('Match Log'!$A$4:$A$810),NA(),IFERROR(LOOKUP(2,1/(('Match Log'!$D$4:$D$810=$R$24)*('Match Log'!$A$4:$A$810&lt;=$J290)),'Match Log'!$N$4:$N$810),NA()))</f>
        <v>#N/A</v>
      </c>
      <c r="S290" t="e">
        <f>IF($J290&gt;MAX('Match Log'!$A$4:$A$810),NA(),IFERROR(LOOKUP(2,1/(('Match Log'!$D$4:$D$810=$S$24)*('Match Log'!$A$4:$A$810&lt;=$J290)),'Match Log'!$N$4:$N$810),NA()))</f>
        <v>#N/A</v>
      </c>
      <c r="T290" t="e">
        <f>IF($J290&gt;MAX('Match Log'!$A$4:$A$810),NA(),IFERROR(LOOKUP(2,1/(('Match Log'!$D$4:$D$810=$T$24)*('Match Log'!$A$4:$A$810&lt;=$J290)),'Match Log'!$N$4:$N$810),NA()))</f>
        <v>#N/A</v>
      </c>
      <c r="U290" t="e">
        <f>IF($J290&gt;MAX('Match Log'!$A$4:$A$810),NA(),IFERROR(LOOKUP(2,1/(('Match Log'!$D$4:$D$810=$U$24)*('Match Log'!$A$4:$A$810&lt;=$J290)),'Match Log'!$N$4:$N$810),NA()))</f>
        <v>#N/A</v>
      </c>
      <c r="V290" t="e">
        <f>IF($J290&gt;MAX('Match Log'!$A$4:$A$810),NA(),IFERROR(LOOKUP(2,1/(('Match Log'!$D$4:$D$810=$V$24)*('Match Log'!$A$4:$A$810&lt;=$J290)),'Match Log'!$N$4:$N$810),NA()))</f>
        <v>#N/A</v>
      </c>
      <c r="W290" t="e">
        <f>IF($J290&gt;MAX('Match Log'!$A$4:$A$810),NA(),IFERROR(LOOKUP(2,1/(('Match Log'!$D$4:$D$810=$W$24)*('Match Log'!$A$4:$A$810&lt;=$J290)),'Match Log'!$N$4:$N$810),NA()))</f>
        <v>#N/A</v>
      </c>
      <c r="X290" t="e">
        <f>IF($J290&gt;MAX('Match Log'!$A$4:$A$810),NA(),IFERROR(LOOKUP(2,1/(('Match Log'!$D$4:$D$810=$X$24)*('Match Log'!$A$4:$A$810&lt;=$J290)),'Match Log'!$N$4:$N$810),NA()))</f>
        <v>#N/A</v>
      </c>
      <c r="Y290" t="str">
        <f t="shared" ca="1" si="36"/>
        <v/>
      </c>
    </row>
    <row r="291" spans="1:25" x14ac:dyDescent="0.2">
      <c r="A291">
        <v>267</v>
      </c>
      <c r="B291" t="str">
        <f>IFERROR(INDEX('Match Log'!$B$4:$B$810,MATCH(267,'Match Log'!$A$4:$A$810,0)),"")</f>
        <v/>
      </c>
      <c r="C291" t="str">
        <f>IFERROR(INDEX('Match Log'!$C$4:$C$810,MATCH(267,'Match Log'!$A$4:$A$810,0)),"")</f>
        <v/>
      </c>
      <c r="D291" t="str">
        <f t="array" ref="D291">IFERROR(_xlfn.TEXTJOIN(" + ",TRUE,IF(('Match Log'!$A$4:$A$810=$A291)*('Match Log'!$E$4:$E$810="Win"),'Match Log'!$D$4:$D$810,"")),IFERROR(LOOKUP(2,1/(('Match Log'!$A$4:$A$810=$A291)*('Match Log'!$E$4:$E$810="Win")),'Match Log'!$D$4:$D$810),""))</f>
        <v/>
      </c>
      <c r="E291" t="str">
        <f>IFERROR(INDEX('Match Log'!$F$4:$F$810,MATCH(267,'Match Log'!$A$4:$A$810,0)),"")</f>
        <v/>
      </c>
      <c r="F291">
        <f>IFERROR(SUMIFS('Match Log'!$I$4:$I$810,'Match Log'!$A$4:$A$810,267,'Match Log'!$E$4:$E$810,"Win"),"")</f>
        <v>0</v>
      </c>
      <c r="G291" t="str">
        <f t="shared" si="34"/>
        <v/>
      </c>
      <c r="H291" t="str">
        <f t="array" ref="H291">IFERROR(IF(COUNTIFS('Match Log'!$A$4:$A$810,$A291,'Match Log'!$E$4:$E$810,"Win")&gt;1,_xlfn.TEXTJOIN(" + ",TRUE,IF(('Match Log'!$A$4:$A$810=$A291)*('Match Log'!$E$4:$E$810="Loss"),'Match Log'!$D$4:$D$810,"")),IF($E291=2,LOOKUP(2,1/(('Match Log'!$A$4:$A$810=$A291)*('Match Log'!$E$4:$E$810="Loss")),'Match Log'!$D$4:$D$810),"the field")),"")</f>
        <v>the field</v>
      </c>
      <c r="I291" t="str">
        <f t="shared" si="35"/>
        <v/>
      </c>
      <c r="J291">
        <v>267</v>
      </c>
      <c r="K291" t="e">
        <f>IF($J291&gt;MAX('Match Log'!$A$4:$A$810),NA(),IFERROR(LOOKUP(2,1/(('Match Log'!$D$4:$D$810=$K$24)*('Match Log'!$A$4:$A$810&lt;=$J291)),'Match Log'!$N$4:$N$810),NA()))</f>
        <v>#N/A</v>
      </c>
      <c r="L291" t="e">
        <f>IF($J291&gt;MAX('Match Log'!$A$4:$A$810),NA(),IFERROR(LOOKUP(2,1/(('Match Log'!$D$4:$D$810=$L$24)*('Match Log'!$A$4:$A$810&lt;=$J291)),'Match Log'!$N$4:$N$810),NA()))</f>
        <v>#N/A</v>
      </c>
      <c r="M291" t="e">
        <f>IF($J291&gt;MAX('Match Log'!$A$4:$A$810),NA(),IFERROR(LOOKUP(2,1/(('Match Log'!$D$4:$D$810=$M$24)*('Match Log'!$A$4:$A$810&lt;=$J291)),'Match Log'!$N$4:$N$810),NA()))</f>
        <v>#N/A</v>
      </c>
      <c r="N291" t="e">
        <f>IF($J291&gt;MAX('Match Log'!$A$4:$A$810),NA(),IFERROR(LOOKUP(2,1/(('Match Log'!$D$4:$D$810=$N$24)*('Match Log'!$A$4:$A$810&lt;=$J291)),'Match Log'!$N$4:$N$810),NA()))</f>
        <v>#N/A</v>
      </c>
      <c r="O291" t="e">
        <f>IF($J291&gt;MAX('Match Log'!$A$4:$A$810),NA(),IFERROR(LOOKUP(2,1/(('Match Log'!$D$4:$D$810=$O$24)*('Match Log'!$A$4:$A$810&lt;=$J291)),'Match Log'!$N$4:$N$810),NA()))</f>
        <v>#N/A</v>
      </c>
      <c r="P291" t="e">
        <f>IF($J291&gt;MAX('Match Log'!$A$4:$A$810),NA(),IFERROR(LOOKUP(2,1/(('Match Log'!$D$4:$D$810=$P$24)*('Match Log'!$A$4:$A$810&lt;=$J291)),'Match Log'!$N$4:$N$810),NA()))</f>
        <v>#N/A</v>
      </c>
      <c r="Q291" t="e">
        <f>IF($J291&gt;MAX('Match Log'!$A$4:$A$810),NA(),IFERROR(LOOKUP(2,1/(('Match Log'!$D$4:$D$810=$Q$24)*('Match Log'!$A$4:$A$810&lt;=$J291)),'Match Log'!$N$4:$N$810),NA()))</f>
        <v>#N/A</v>
      </c>
      <c r="R291" t="e">
        <f>IF($J291&gt;MAX('Match Log'!$A$4:$A$810),NA(),IFERROR(LOOKUP(2,1/(('Match Log'!$D$4:$D$810=$R$24)*('Match Log'!$A$4:$A$810&lt;=$J291)),'Match Log'!$N$4:$N$810),NA()))</f>
        <v>#N/A</v>
      </c>
      <c r="S291" t="e">
        <f>IF($J291&gt;MAX('Match Log'!$A$4:$A$810),NA(),IFERROR(LOOKUP(2,1/(('Match Log'!$D$4:$D$810=$S$24)*('Match Log'!$A$4:$A$810&lt;=$J291)),'Match Log'!$N$4:$N$810),NA()))</f>
        <v>#N/A</v>
      </c>
      <c r="T291" t="e">
        <f>IF($J291&gt;MAX('Match Log'!$A$4:$A$810),NA(),IFERROR(LOOKUP(2,1/(('Match Log'!$D$4:$D$810=$T$24)*('Match Log'!$A$4:$A$810&lt;=$J291)),'Match Log'!$N$4:$N$810),NA()))</f>
        <v>#N/A</v>
      </c>
      <c r="U291" t="e">
        <f>IF($J291&gt;MAX('Match Log'!$A$4:$A$810),NA(),IFERROR(LOOKUP(2,1/(('Match Log'!$D$4:$D$810=$U$24)*('Match Log'!$A$4:$A$810&lt;=$J291)),'Match Log'!$N$4:$N$810),NA()))</f>
        <v>#N/A</v>
      </c>
      <c r="V291" t="e">
        <f>IF($J291&gt;MAX('Match Log'!$A$4:$A$810),NA(),IFERROR(LOOKUP(2,1/(('Match Log'!$D$4:$D$810=$V$24)*('Match Log'!$A$4:$A$810&lt;=$J291)),'Match Log'!$N$4:$N$810),NA()))</f>
        <v>#N/A</v>
      </c>
      <c r="W291" t="e">
        <f>IF($J291&gt;MAX('Match Log'!$A$4:$A$810),NA(),IFERROR(LOOKUP(2,1/(('Match Log'!$D$4:$D$810=$W$24)*('Match Log'!$A$4:$A$810&lt;=$J291)),'Match Log'!$N$4:$N$810),NA()))</f>
        <v>#N/A</v>
      </c>
      <c r="X291" t="e">
        <f>IF($J291&gt;MAX('Match Log'!$A$4:$A$810),NA(),IFERROR(LOOKUP(2,1/(('Match Log'!$D$4:$D$810=$X$24)*('Match Log'!$A$4:$A$810&lt;=$J291)),'Match Log'!$N$4:$N$810),NA()))</f>
        <v>#N/A</v>
      </c>
      <c r="Y291" t="str">
        <f t="shared" ca="1" si="36"/>
        <v/>
      </c>
    </row>
    <row r="292" spans="1:25" x14ac:dyDescent="0.2">
      <c r="A292">
        <v>268</v>
      </c>
      <c r="B292" t="str">
        <f>IFERROR(INDEX('Match Log'!$B$4:$B$810,MATCH(268,'Match Log'!$A$4:$A$810,0)),"")</f>
        <v/>
      </c>
      <c r="C292" t="str">
        <f>IFERROR(INDEX('Match Log'!$C$4:$C$810,MATCH(268,'Match Log'!$A$4:$A$810,0)),"")</f>
        <v/>
      </c>
      <c r="D292" t="str">
        <f t="array" ref="D292">IFERROR(_xlfn.TEXTJOIN(" + ",TRUE,IF(('Match Log'!$A$4:$A$810=$A292)*('Match Log'!$E$4:$E$810="Win"),'Match Log'!$D$4:$D$810,"")),IFERROR(LOOKUP(2,1/(('Match Log'!$A$4:$A$810=$A292)*('Match Log'!$E$4:$E$810="Win")),'Match Log'!$D$4:$D$810),""))</f>
        <v/>
      </c>
      <c r="E292" t="str">
        <f>IFERROR(INDEX('Match Log'!$F$4:$F$810,MATCH(268,'Match Log'!$A$4:$A$810,0)),"")</f>
        <v/>
      </c>
      <c r="F292">
        <f>IFERROR(SUMIFS('Match Log'!$I$4:$I$810,'Match Log'!$A$4:$A$810,268,'Match Log'!$E$4:$E$810,"Win"),"")</f>
        <v>0</v>
      </c>
      <c r="G292" t="str">
        <f t="shared" si="34"/>
        <v/>
      </c>
      <c r="H292" t="str">
        <f t="array" ref="H292">IFERROR(IF(COUNTIFS('Match Log'!$A$4:$A$810,$A292,'Match Log'!$E$4:$E$810,"Win")&gt;1,_xlfn.TEXTJOIN(" + ",TRUE,IF(('Match Log'!$A$4:$A$810=$A292)*('Match Log'!$E$4:$E$810="Loss"),'Match Log'!$D$4:$D$810,"")),IF($E292=2,LOOKUP(2,1/(('Match Log'!$A$4:$A$810=$A292)*('Match Log'!$E$4:$E$810="Loss")),'Match Log'!$D$4:$D$810),"the field")),"")</f>
        <v>the field</v>
      </c>
      <c r="I292" t="str">
        <f t="shared" si="35"/>
        <v/>
      </c>
      <c r="J292">
        <v>268</v>
      </c>
      <c r="K292" t="e">
        <f>IF($J292&gt;MAX('Match Log'!$A$4:$A$810),NA(),IFERROR(LOOKUP(2,1/(('Match Log'!$D$4:$D$810=$K$24)*('Match Log'!$A$4:$A$810&lt;=$J292)),'Match Log'!$N$4:$N$810),NA()))</f>
        <v>#N/A</v>
      </c>
      <c r="L292" t="e">
        <f>IF($J292&gt;MAX('Match Log'!$A$4:$A$810),NA(),IFERROR(LOOKUP(2,1/(('Match Log'!$D$4:$D$810=$L$24)*('Match Log'!$A$4:$A$810&lt;=$J292)),'Match Log'!$N$4:$N$810),NA()))</f>
        <v>#N/A</v>
      </c>
      <c r="M292" t="e">
        <f>IF($J292&gt;MAX('Match Log'!$A$4:$A$810),NA(),IFERROR(LOOKUP(2,1/(('Match Log'!$D$4:$D$810=$M$24)*('Match Log'!$A$4:$A$810&lt;=$J292)),'Match Log'!$N$4:$N$810),NA()))</f>
        <v>#N/A</v>
      </c>
      <c r="N292" t="e">
        <f>IF($J292&gt;MAX('Match Log'!$A$4:$A$810),NA(),IFERROR(LOOKUP(2,1/(('Match Log'!$D$4:$D$810=$N$24)*('Match Log'!$A$4:$A$810&lt;=$J292)),'Match Log'!$N$4:$N$810),NA()))</f>
        <v>#N/A</v>
      </c>
      <c r="O292" t="e">
        <f>IF($J292&gt;MAX('Match Log'!$A$4:$A$810),NA(),IFERROR(LOOKUP(2,1/(('Match Log'!$D$4:$D$810=$O$24)*('Match Log'!$A$4:$A$810&lt;=$J292)),'Match Log'!$N$4:$N$810),NA()))</f>
        <v>#N/A</v>
      </c>
      <c r="P292" t="e">
        <f>IF($J292&gt;MAX('Match Log'!$A$4:$A$810),NA(),IFERROR(LOOKUP(2,1/(('Match Log'!$D$4:$D$810=$P$24)*('Match Log'!$A$4:$A$810&lt;=$J292)),'Match Log'!$N$4:$N$810),NA()))</f>
        <v>#N/A</v>
      </c>
      <c r="Q292" t="e">
        <f>IF($J292&gt;MAX('Match Log'!$A$4:$A$810),NA(),IFERROR(LOOKUP(2,1/(('Match Log'!$D$4:$D$810=$Q$24)*('Match Log'!$A$4:$A$810&lt;=$J292)),'Match Log'!$N$4:$N$810),NA()))</f>
        <v>#N/A</v>
      </c>
      <c r="R292" t="e">
        <f>IF($J292&gt;MAX('Match Log'!$A$4:$A$810),NA(),IFERROR(LOOKUP(2,1/(('Match Log'!$D$4:$D$810=$R$24)*('Match Log'!$A$4:$A$810&lt;=$J292)),'Match Log'!$N$4:$N$810),NA()))</f>
        <v>#N/A</v>
      </c>
      <c r="S292" t="e">
        <f>IF($J292&gt;MAX('Match Log'!$A$4:$A$810),NA(),IFERROR(LOOKUP(2,1/(('Match Log'!$D$4:$D$810=$S$24)*('Match Log'!$A$4:$A$810&lt;=$J292)),'Match Log'!$N$4:$N$810),NA()))</f>
        <v>#N/A</v>
      </c>
      <c r="T292" t="e">
        <f>IF($J292&gt;MAX('Match Log'!$A$4:$A$810),NA(),IFERROR(LOOKUP(2,1/(('Match Log'!$D$4:$D$810=$T$24)*('Match Log'!$A$4:$A$810&lt;=$J292)),'Match Log'!$N$4:$N$810),NA()))</f>
        <v>#N/A</v>
      </c>
      <c r="U292" t="e">
        <f>IF($J292&gt;MAX('Match Log'!$A$4:$A$810),NA(),IFERROR(LOOKUP(2,1/(('Match Log'!$D$4:$D$810=$U$24)*('Match Log'!$A$4:$A$810&lt;=$J292)),'Match Log'!$N$4:$N$810),NA()))</f>
        <v>#N/A</v>
      </c>
      <c r="V292" t="e">
        <f>IF($J292&gt;MAX('Match Log'!$A$4:$A$810),NA(),IFERROR(LOOKUP(2,1/(('Match Log'!$D$4:$D$810=$V$24)*('Match Log'!$A$4:$A$810&lt;=$J292)),'Match Log'!$N$4:$N$810),NA()))</f>
        <v>#N/A</v>
      </c>
      <c r="W292" t="e">
        <f>IF($J292&gt;MAX('Match Log'!$A$4:$A$810),NA(),IFERROR(LOOKUP(2,1/(('Match Log'!$D$4:$D$810=$W$24)*('Match Log'!$A$4:$A$810&lt;=$J292)),'Match Log'!$N$4:$N$810),NA()))</f>
        <v>#N/A</v>
      </c>
      <c r="X292" t="e">
        <f>IF($J292&gt;MAX('Match Log'!$A$4:$A$810),NA(),IFERROR(LOOKUP(2,1/(('Match Log'!$D$4:$D$810=$X$24)*('Match Log'!$A$4:$A$810&lt;=$J292)),'Match Log'!$N$4:$N$810),NA()))</f>
        <v>#N/A</v>
      </c>
      <c r="Y292" t="str">
        <f t="shared" ca="1" si="36"/>
        <v/>
      </c>
    </row>
    <row r="293" spans="1:25" x14ac:dyDescent="0.2">
      <c r="A293">
        <v>269</v>
      </c>
      <c r="B293" t="str">
        <f>IFERROR(INDEX('Match Log'!$B$4:$B$810,MATCH(269,'Match Log'!$A$4:$A$810,0)),"")</f>
        <v/>
      </c>
      <c r="C293" t="str">
        <f>IFERROR(INDEX('Match Log'!$C$4:$C$810,MATCH(269,'Match Log'!$A$4:$A$810,0)),"")</f>
        <v/>
      </c>
      <c r="D293" t="str">
        <f t="array" ref="D293">IFERROR(_xlfn.TEXTJOIN(" + ",TRUE,IF(('Match Log'!$A$4:$A$810=$A293)*('Match Log'!$E$4:$E$810="Win"),'Match Log'!$D$4:$D$810,"")),IFERROR(LOOKUP(2,1/(('Match Log'!$A$4:$A$810=$A293)*('Match Log'!$E$4:$E$810="Win")),'Match Log'!$D$4:$D$810),""))</f>
        <v/>
      </c>
      <c r="E293" t="str">
        <f>IFERROR(INDEX('Match Log'!$F$4:$F$810,MATCH(269,'Match Log'!$A$4:$A$810,0)),"")</f>
        <v/>
      </c>
      <c r="F293">
        <f>IFERROR(SUMIFS('Match Log'!$I$4:$I$810,'Match Log'!$A$4:$A$810,269,'Match Log'!$E$4:$E$810,"Win"),"")</f>
        <v>0</v>
      </c>
      <c r="G293" t="str">
        <f t="shared" si="34"/>
        <v/>
      </c>
      <c r="H293" t="str">
        <f t="array" ref="H293">IFERROR(IF(COUNTIFS('Match Log'!$A$4:$A$810,$A293,'Match Log'!$E$4:$E$810,"Win")&gt;1,_xlfn.TEXTJOIN(" + ",TRUE,IF(('Match Log'!$A$4:$A$810=$A293)*('Match Log'!$E$4:$E$810="Loss"),'Match Log'!$D$4:$D$810,"")),IF($E293=2,LOOKUP(2,1/(('Match Log'!$A$4:$A$810=$A293)*('Match Log'!$E$4:$E$810="Loss")),'Match Log'!$D$4:$D$810),"the field")),"")</f>
        <v>the field</v>
      </c>
      <c r="I293" t="str">
        <f t="shared" si="35"/>
        <v/>
      </c>
      <c r="J293">
        <v>269</v>
      </c>
      <c r="K293" t="e">
        <f>IF($J293&gt;MAX('Match Log'!$A$4:$A$810),NA(),IFERROR(LOOKUP(2,1/(('Match Log'!$D$4:$D$810=$K$24)*('Match Log'!$A$4:$A$810&lt;=$J293)),'Match Log'!$N$4:$N$810),NA()))</f>
        <v>#N/A</v>
      </c>
      <c r="L293" t="e">
        <f>IF($J293&gt;MAX('Match Log'!$A$4:$A$810),NA(),IFERROR(LOOKUP(2,1/(('Match Log'!$D$4:$D$810=$L$24)*('Match Log'!$A$4:$A$810&lt;=$J293)),'Match Log'!$N$4:$N$810),NA()))</f>
        <v>#N/A</v>
      </c>
      <c r="M293" t="e">
        <f>IF($J293&gt;MAX('Match Log'!$A$4:$A$810),NA(),IFERROR(LOOKUP(2,1/(('Match Log'!$D$4:$D$810=$M$24)*('Match Log'!$A$4:$A$810&lt;=$J293)),'Match Log'!$N$4:$N$810),NA()))</f>
        <v>#N/A</v>
      </c>
      <c r="N293" t="e">
        <f>IF($J293&gt;MAX('Match Log'!$A$4:$A$810),NA(),IFERROR(LOOKUP(2,1/(('Match Log'!$D$4:$D$810=$N$24)*('Match Log'!$A$4:$A$810&lt;=$J293)),'Match Log'!$N$4:$N$810),NA()))</f>
        <v>#N/A</v>
      </c>
      <c r="O293" t="e">
        <f>IF($J293&gt;MAX('Match Log'!$A$4:$A$810),NA(),IFERROR(LOOKUP(2,1/(('Match Log'!$D$4:$D$810=$O$24)*('Match Log'!$A$4:$A$810&lt;=$J293)),'Match Log'!$N$4:$N$810),NA()))</f>
        <v>#N/A</v>
      </c>
      <c r="P293" t="e">
        <f>IF($J293&gt;MAX('Match Log'!$A$4:$A$810),NA(),IFERROR(LOOKUP(2,1/(('Match Log'!$D$4:$D$810=$P$24)*('Match Log'!$A$4:$A$810&lt;=$J293)),'Match Log'!$N$4:$N$810),NA()))</f>
        <v>#N/A</v>
      </c>
      <c r="Q293" t="e">
        <f>IF($J293&gt;MAX('Match Log'!$A$4:$A$810),NA(),IFERROR(LOOKUP(2,1/(('Match Log'!$D$4:$D$810=$Q$24)*('Match Log'!$A$4:$A$810&lt;=$J293)),'Match Log'!$N$4:$N$810),NA()))</f>
        <v>#N/A</v>
      </c>
      <c r="R293" t="e">
        <f>IF($J293&gt;MAX('Match Log'!$A$4:$A$810),NA(),IFERROR(LOOKUP(2,1/(('Match Log'!$D$4:$D$810=$R$24)*('Match Log'!$A$4:$A$810&lt;=$J293)),'Match Log'!$N$4:$N$810),NA()))</f>
        <v>#N/A</v>
      </c>
      <c r="S293" t="e">
        <f>IF($J293&gt;MAX('Match Log'!$A$4:$A$810),NA(),IFERROR(LOOKUP(2,1/(('Match Log'!$D$4:$D$810=$S$24)*('Match Log'!$A$4:$A$810&lt;=$J293)),'Match Log'!$N$4:$N$810),NA()))</f>
        <v>#N/A</v>
      </c>
      <c r="T293" t="e">
        <f>IF($J293&gt;MAX('Match Log'!$A$4:$A$810),NA(),IFERROR(LOOKUP(2,1/(('Match Log'!$D$4:$D$810=$T$24)*('Match Log'!$A$4:$A$810&lt;=$J293)),'Match Log'!$N$4:$N$810),NA()))</f>
        <v>#N/A</v>
      </c>
      <c r="U293" t="e">
        <f>IF($J293&gt;MAX('Match Log'!$A$4:$A$810),NA(),IFERROR(LOOKUP(2,1/(('Match Log'!$D$4:$D$810=$U$24)*('Match Log'!$A$4:$A$810&lt;=$J293)),'Match Log'!$N$4:$N$810),NA()))</f>
        <v>#N/A</v>
      </c>
      <c r="V293" t="e">
        <f>IF($J293&gt;MAX('Match Log'!$A$4:$A$810),NA(),IFERROR(LOOKUP(2,1/(('Match Log'!$D$4:$D$810=$V$24)*('Match Log'!$A$4:$A$810&lt;=$J293)),'Match Log'!$N$4:$N$810),NA()))</f>
        <v>#N/A</v>
      </c>
      <c r="W293" t="e">
        <f>IF($J293&gt;MAX('Match Log'!$A$4:$A$810),NA(),IFERROR(LOOKUP(2,1/(('Match Log'!$D$4:$D$810=$W$24)*('Match Log'!$A$4:$A$810&lt;=$J293)),'Match Log'!$N$4:$N$810),NA()))</f>
        <v>#N/A</v>
      </c>
      <c r="X293" t="e">
        <f>IF($J293&gt;MAX('Match Log'!$A$4:$A$810),NA(),IFERROR(LOOKUP(2,1/(('Match Log'!$D$4:$D$810=$X$24)*('Match Log'!$A$4:$A$810&lt;=$J293)),'Match Log'!$N$4:$N$810),NA()))</f>
        <v>#N/A</v>
      </c>
      <c r="Y293" t="str">
        <f t="shared" ca="1" si="36"/>
        <v/>
      </c>
    </row>
    <row r="294" spans="1:25" x14ac:dyDescent="0.2">
      <c r="A294">
        <v>270</v>
      </c>
      <c r="B294" t="str">
        <f>IFERROR(INDEX('Match Log'!$B$4:$B$810,MATCH(270,'Match Log'!$A$4:$A$810,0)),"")</f>
        <v/>
      </c>
      <c r="C294" t="str">
        <f>IFERROR(INDEX('Match Log'!$C$4:$C$810,MATCH(270,'Match Log'!$A$4:$A$810,0)),"")</f>
        <v/>
      </c>
      <c r="D294" t="str">
        <f t="array" ref="D294">IFERROR(_xlfn.TEXTJOIN(" + ",TRUE,IF(('Match Log'!$A$4:$A$810=$A294)*('Match Log'!$E$4:$E$810="Win"),'Match Log'!$D$4:$D$810,"")),IFERROR(LOOKUP(2,1/(('Match Log'!$A$4:$A$810=$A294)*('Match Log'!$E$4:$E$810="Win")),'Match Log'!$D$4:$D$810),""))</f>
        <v/>
      </c>
      <c r="E294" t="str">
        <f>IFERROR(INDEX('Match Log'!$F$4:$F$810,MATCH(270,'Match Log'!$A$4:$A$810,0)),"")</f>
        <v/>
      </c>
      <c r="F294">
        <f>IFERROR(SUMIFS('Match Log'!$I$4:$I$810,'Match Log'!$A$4:$A$810,270,'Match Log'!$E$4:$E$810,"Win"),"")</f>
        <v>0</v>
      </c>
      <c r="G294" t="str">
        <f t="shared" si="34"/>
        <v/>
      </c>
      <c r="H294" t="str">
        <f t="array" ref="H294">IFERROR(IF(COUNTIFS('Match Log'!$A$4:$A$810,$A294,'Match Log'!$E$4:$E$810,"Win")&gt;1,_xlfn.TEXTJOIN(" + ",TRUE,IF(('Match Log'!$A$4:$A$810=$A294)*('Match Log'!$E$4:$E$810="Loss"),'Match Log'!$D$4:$D$810,"")),IF($E294=2,LOOKUP(2,1/(('Match Log'!$A$4:$A$810=$A294)*('Match Log'!$E$4:$E$810="Loss")),'Match Log'!$D$4:$D$810),"the field")),"")</f>
        <v>the field</v>
      </c>
      <c r="I294" t="str">
        <f t="shared" si="35"/>
        <v/>
      </c>
      <c r="J294">
        <v>270</v>
      </c>
      <c r="K294" t="e">
        <f>IF($J294&gt;MAX('Match Log'!$A$4:$A$810),NA(),IFERROR(LOOKUP(2,1/(('Match Log'!$D$4:$D$810=$K$24)*('Match Log'!$A$4:$A$810&lt;=$J294)),'Match Log'!$N$4:$N$810),NA()))</f>
        <v>#N/A</v>
      </c>
      <c r="L294" t="e">
        <f>IF($J294&gt;MAX('Match Log'!$A$4:$A$810),NA(),IFERROR(LOOKUP(2,1/(('Match Log'!$D$4:$D$810=$L$24)*('Match Log'!$A$4:$A$810&lt;=$J294)),'Match Log'!$N$4:$N$810),NA()))</f>
        <v>#N/A</v>
      </c>
      <c r="M294" t="e">
        <f>IF($J294&gt;MAX('Match Log'!$A$4:$A$810),NA(),IFERROR(LOOKUP(2,1/(('Match Log'!$D$4:$D$810=$M$24)*('Match Log'!$A$4:$A$810&lt;=$J294)),'Match Log'!$N$4:$N$810),NA()))</f>
        <v>#N/A</v>
      </c>
      <c r="N294" t="e">
        <f>IF($J294&gt;MAX('Match Log'!$A$4:$A$810),NA(),IFERROR(LOOKUP(2,1/(('Match Log'!$D$4:$D$810=$N$24)*('Match Log'!$A$4:$A$810&lt;=$J294)),'Match Log'!$N$4:$N$810),NA()))</f>
        <v>#N/A</v>
      </c>
      <c r="O294" t="e">
        <f>IF($J294&gt;MAX('Match Log'!$A$4:$A$810),NA(),IFERROR(LOOKUP(2,1/(('Match Log'!$D$4:$D$810=$O$24)*('Match Log'!$A$4:$A$810&lt;=$J294)),'Match Log'!$N$4:$N$810),NA()))</f>
        <v>#N/A</v>
      </c>
      <c r="P294" t="e">
        <f>IF($J294&gt;MAX('Match Log'!$A$4:$A$810),NA(),IFERROR(LOOKUP(2,1/(('Match Log'!$D$4:$D$810=$P$24)*('Match Log'!$A$4:$A$810&lt;=$J294)),'Match Log'!$N$4:$N$810),NA()))</f>
        <v>#N/A</v>
      </c>
      <c r="Q294" t="e">
        <f>IF($J294&gt;MAX('Match Log'!$A$4:$A$810),NA(),IFERROR(LOOKUP(2,1/(('Match Log'!$D$4:$D$810=$Q$24)*('Match Log'!$A$4:$A$810&lt;=$J294)),'Match Log'!$N$4:$N$810),NA()))</f>
        <v>#N/A</v>
      </c>
      <c r="R294" t="e">
        <f>IF($J294&gt;MAX('Match Log'!$A$4:$A$810),NA(),IFERROR(LOOKUP(2,1/(('Match Log'!$D$4:$D$810=$R$24)*('Match Log'!$A$4:$A$810&lt;=$J294)),'Match Log'!$N$4:$N$810),NA()))</f>
        <v>#N/A</v>
      </c>
      <c r="S294" t="e">
        <f>IF($J294&gt;MAX('Match Log'!$A$4:$A$810),NA(),IFERROR(LOOKUP(2,1/(('Match Log'!$D$4:$D$810=$S$24)*('Match Log'!$A$4:$A$810&lt;=$J294)),'Match Log'!$N$4:$N$810),NA()))</f>
        <v>#N/A</v>
      </c>
      <c r="T294" t="e">
        <f>IF($J294&gt;MAX('Match Log'!$A$4:$A$810),NA(),IFERROR(LOOKUP(2,1/(('Match Log'!$D$4:$D$810=$T$24)*('Match Log'!$A$4:$A$810&lt;=$J294)),'Match Log'!$N$4:$N$810),NA()))</f>
        <v>#N/A</v>
      </c>
      <c r="U294" t="e">
        <f>IF($J294&gt;MAX('Match Log'!$A$4:$A$810),NA(),IFERROR(LOOKUP(2,1/(('Match Log'!$D$4:$D$810=$U$24)*('Match Log'!$A$4:$A$810&lt;=$J294)),'Match Log'!$N$4:$N$810),NA()))</f>
        <v>#N/A</v>
      </c>
      <c r="V294" t="e">
        <f>IF($J294&gt;MAX('Match Log'!$A$4:$A$810),NA(),IFERROR(LOOKUP(2,1/(('Match Log'!$D$4:$D$810=$V$24)*('Match Log'!$A$4:$A$810&lt;=$J294)),'Match Log'!$N$4:$N$810),NA()))</f>
        <v>#N/A</v>
      </c>
      <c r="W294" t="e">
        <f>IF($J294&gt;MAX('Match Log'!$A$4:$A$810),NA(),IFERROR(LOOKUP(2,1/(('Match Log'!$D$4:$D$810=$W$24)*('Match Log'!$A$4:$A$810&lt;=$J294)),'Match Log'!$N$4:$N$810),NA()))</f>
        <v>#N/A</v>
      </c>
      <c r="X294" t="e">
        <f>IF($J294&gt;MAX('Match Log'!$A$4:$A$810),NA(),IFERROR(LOOKUP(2,1/(('Match Log'!$D$4:$D$810=$X$24)*('Match Log'!$A$4:$A$810&lt;=$J294)),'Match Log'!$N$4:$N$810),NA()))</f>
        <v>#N/A</v>
      </c>
      <c r="Y294" t="str">
        <f t="shared" ca="1" si="36"/>
        <v/>
      </c>
    </row>
    <row r="295" spans="1:25" x14ac:dyDescent="0.2">
      <c r="A295">
        <v>271</v>
      </c>
      <c r="B295" t="str">
        <f>IFERROR(INDEX('Match Log'!$B$4:$B$810,MATCH(271,'Match Log'!$A$4:$A$810,0)),"")</f>
        <v/>
      </c>
      <c r="C295" t="str">
        <f>IFERROR(INDEX('Match Log'!$C$4:$C$810,MATCH(271,'Match Log'!$A$4:$A$810,0)),"")</f>
        <v/>
      </c>
      <c r="D295" t="str">
        <f t="array" ref="D295">IFERROR(_xlfn.TEXTJOIN(" + ",TRUE,IF(('Match Log'!$A$4:$A$810=$A295)*('Match Log'!$E$4:$E$810="Win"),'Match Log'!$D$4:$D$810,"")),IFERROR(LOOKUP(2,1/(('Match Log'!$A$4:$A$810=$A295)*('Match Log'!$E$4:$E$810="Win")),'Match Log'!$D$4:$D$810),""))</f>
        <v/>
      </c>
      <c r="E295" t="str">
        <f>IFERROR(INDEX('Match Log'!$F$4:$F$810,MATCH(271,'Match Log'!$A$4:$A$810,0)),"")</f>
        <v/>
      </c>
      <c r="F295">
        <f>IFERROR(SUMIFS('Match Log'!$I$4:$I$810,'Match Log'!$A$4:$A$810,271,'Match Log'!$E$4:$E$810,"Win"),"")</f>
        <v>0</v>
      </c>
      <c r="G295" t="str">
        <f t="shared" si="34"/>
        <v/>
      </c>
      <c r="H295" t="str">
        <f t="array" ref="H295">IFERROR(IF(COUNTIFS('Match Log'!$A$4:$A$810,$A295,'Match Log'!$E$4:$E$810,"Win")&gt;1,_xlfn.TEXTJOIN(" + ",TRUE,IF(('Match Log'!$A$4:$A$810=$A295)*('Match Log'!$E$4:$E$810="Loss"),'Match Log'!$D$4:$D$810,"")),IF($E295=2,LOOKUP(2,1/(('Match Log'!$A$4:$A$810=$A295)*('Match Log'!$E$4:$E$810="Loss")),'Match Log'!$D$4:$D$810),"the field")),"")</f>
        <v>the field</v>
      </c>
      <c r="I295" t="str">
        <f t="shared" si="35"/>
        <v/>
      </c>
      <c r="J295">
        <v>271</v>
      </c>
      <c r="K295" t="e">
        <f>IF($J295&gt;MAX('Match Log'!$A$4:$A$810),NA(),IFERROR(LOOKUP(2,1/(('Match Log'!$D$4:$D$810=$K$24)*('Match Log'!$A$4:$A$810&lt;=$J295)),'Match Log'!$N$4:$N$810),NA()))</f>
        <v>#N/A</v>
      </c>
      <c r="L295" t="e">
        <f>IF($J295&gt;MAX('Match Log'!$A$4:$A$810),NA(),IFERROR(LOOKUP(2,1/(('Match Log'!$D$4:$D$810=$L$24)*('Match Log'!$A$4:$A$810&lt;=$J295)),'Match Log'!$N$4:$N$810),NA()))</f>
        <v>#N/A</v>
      </c>
      <c r="M295" t="e">
        <f>IF($J295&gt;MAX('Match Log'!$A$4:$A$810),NA(),IFERROR(LOOKUP(2,1/(('Match Log'!$D$4:$D$810=$M$24)*('Match Log'!$A$4:$A$810&lt;=$J295)),'Match Log'!$N$4:$N$810),NA()))</f>
        <v>#N/A</v>
      </c>
      <c r="N295" t="e">
        <f>IF($J295&gt;MAX('Match Log'!$A$4:$A$810),NA(),IFERROR(LOOKUP(2,1/(('Match Log'!$D$4:$D$810=$N$24)*('Match Log'!$A$4:$A$810&lt;=$J295)),'Match Log'!$N$4:$N$810),NA()))</f>
        <v>#N/A</v>
      </c>
      <c r="O295" t="e">
        <f>IF($J295&gt;MAX('Match Log'!$A$4:$A$810),NA(),IFERROR(LOOKUP(2,1/(('Match Log'!$D$4:$D$810=$O$24)*('Match Log'!$A$4:$A$810&lt;=$J295)),'Match Log'!$N$4:$N$810),NA()))</f>
        <v>#N/A</v>
      </c>
      <c r="P295" t="e">
        <f>IF($J295&gt;MAX('Match Log'!$A$4:$A$810),NA(),IFERROR(LOOKUP(2,1/(('Match Log'!$D$4:$D$810=$P$24)*('Match Log'!$A$4:$A$810&lt;=$J295)),'Match Log'!$N$4:$N$810),NA()))</f>
        <v>#N/A</v>
      </c>
      <c r="Q295" t="e">
        <f>IF($J295&gt;MAX('Match Log'!$A$4:$A$810),NA(),IFERROR(LOOKUP(2,1/(('Match Log'!$D$4:$D$810=$Q$24)*('Match Log'!$A$4:$A$810&lt;=$J295)),'Match Log'!$N$4:$N$810),NA()))</f>
        <v>#N/A</v>
      </c>
      <c r="R295" t="e">
        <f>IF($J295&gt;MAX('Match Log'!$A$4:$A$810),NA(),IFERROR(LOOKUP(2,1/(('Match Log'!$D$4:$D$810=$R$24)*('Match Log'!$A$4:$A$810&lt;=$J295)),'Match Log'!$N$4:$N$810),NA()))</f>
        <v>#N/A</v>
      </c>
      <c r="S295" t="e">
        <f>IF($J295&gt;MAX('Match Log'!$A$4:$A$810),NA(),IFERROR(LOOKUP(2,1/(('Match Log'!$D$4:$D$810=$S$24)*('Match Log'!$A$4:$A$810&lt;=$J295)),'Match Log'!$N$4:$N$810),NA()))</f>
        <v>#N/A</v>
      </c>
      <c r="T295" t="e">
        <f>IF($J295&gt;MAX('Match Log'!$A$4:$A$810),NA(),IFERROR(LOOKUP(2,1/(('Match Log'!$D$4:$D$810=$T$24)*('Match Log'!$A$4:$A$810&lt;=$J295)),'Match Log'!$N$4:$N$810),NA()))</f>
        <v>#N/A</v>
      </c>
      <c r="U295" t="e">
        <f>IF($J295&gt;MAX('Match Log'!$A$4:$A$810),NA(),IFERROR(LOOKUP(2,1/(('Match Log'!$D$4:$D$810=$U$24)*('Match Log'!$A$4:$A$810&lt;=$J295)),'Match Log'!$N$4:$N$810),NA()))</f>
        <v>#N/A</v>
      </c>
      <c r="V295" t="e">
        <f>IF($J295&gt;MAX('Match Log'!$A$4:$A$810),NA(),IFERROR(LOOKUP(2,1/(('Match Log'!$D$4:$D$810=$V$24)*('Match Log'!$A$4:$A$810&lt;=$J295)),'Match Log'!$N$4:$N$810),NA()))</f>
        <v>#N/A</v>
      </c>
      <c r="W295" t="e">
        <f>IF($J295&gt;MAX('Match Log'!$A$4:$A$810),NA(),IFERROR(LOOKUP(2,1/(('Match Log'!$D$4:$D$810=$W$24)*('Match Log'!$A$4:$A$810&lt;=$J295)),'Match Log'!$N$4:$N$810),NA()))</f>
        <v>#N/A</v>
      </c>
      <c r="X295" t="e">
        <f>IF($J295&gt;MAX('Match Log'!$A$4:$A$810),NA(),IFERROR(LOOKUP(2,1/(('Match Log'!$D$4:$D$810=$X$24)*('Match Log'!$A$4:$A$810&lt;=$J295)),'Match Log'!$N$4:$N$810),NA()))</f>
        <v>#N/A</v>
      </c>
      <c r="Y295" t="str">
        <f t="shared" ca="1" si="36"/>
        <v/>
      </c>
    </row>
    <row r="296" spans="1:25" x14ac:dyDescent="0.2">
      <c r="A296">
        <v>272</v>
      </c>
      <c r="B296" t="str">
        <f>IFERROR(INDEX('Match Log'!$B$4:$B$810,MATCH(272,'Match Log'!$A$4:$A$810,0)),"")</f>
        <v/>
      </c>
      <c r="C296" t="str">
        <f>IFERROR(INDEX('Match Log'!$C$4:$C$810,MATCH(272,'Match Log'!$A$4:$A$810,0)),"")</f>
        <v/>
      </c>
      <c r="D296" t="str">
        <f t="array" ref="D296">IFERROR(_xlfn.TEXTJOIN(" + ",TRUE,IF(('Match Log'!$A$4:$A$810=$A296)*('Match Log'!$E$4:$E$810="Win"),'Match Log'!$D$4:$D$810,"")),IFERROR(LOOKUP(2,1/(('Match Log'!$A$4:$A$810=$A296)*('Match Log'!$E$4:$E$810="Win")),'Match Log'!$D$4:$D$810),""))</f>
        <v/>
      </c>
      <c r="E296" t="str">
        <f>IFERROR(INDEX('Match Log'!$F$4:$F$810,MATCH(272,'Match Log'!$A$4:$A$810,0)),"")</f>
        <v/>
      </c>
      <c r="F296">
        <f>IFERROR(SUMIFS('Match Log'!$I$4:$I$810,'Match Log'!$A$4:$A$810,272,'Match Log'!$E$4:$E$810,"Win"),"")</f>
        <v>0</v>
      </c>
      <c r="G296" t="str">
        <f t="shared" si="34"/>
        <v/>
      </c>
      <c r="H296" t="str">
        <f t="array" ref="H296">IFERROR(IF(COUNTIFS('Match Log'!$A$4:$A$810,$A296,'Match Log'!$E$4:$E$810,"Win")&gt;1,_xlfn.TEXTJOIN(" + ",TRUE,IF(('Match Log'!$A$4:$A$810=$A296)*('Match Log'!$E$4:$E$810="Loss"),'Match Log'!$D$4:$D$810,"")),IF($E296=2,LOOKUP(2,1/(('Match Log'!$A$4:$A$810=$A296)*('Match Log'!$E$4:$E$810="Loss")),'Match Log'!$D$4:$D$810),"the field")),"")</f>
        <v>the field</v>
      </c>
      <c r="I296" t="str">
        <f t="shared" si="35"/>
        <v/>
      </c>
      <c r="J296">
        <v>272</v>
      </c>
      <c r="K296" t="e">
        <f>IF($J296&gt;MAX('Match Log'!$A$4:$A$810),NA(),IFERROR(LOOKUP(2,1/(('Match Log'!$D$4:$D$810=$K$24)*('Match Log'!$A$4:$A$810&lt;=$J296)),'Match Log'!$N$4:$N$810),NA()))</f>
        <v>#N/A</v>
      </c>
      <c r="L296" t="e">
        <f>IF($J296&gt;MAX('Match Log'!$A$4:$A$810),NA(),IFERROR(LOOKUP(2,1/(('Match Log'!$D$4:$D$810=$L$24)*('Match Log'!$A$4:$A$810&lt;=$J296)),'Match Log'!$N$4:$N$810),NA()))</f>
        <v>#N/A</v>
      </c>
      <c r="M296" t="e">
        <f>IF($J296&gt;MAX('Match Log'!$A$4:$A$810),NA(),IFERROR(LOOKUP(2,1/(('Match Log'!$D$4:$D$810=$M$24)*('Match Log'!$A$4:$A$810&lt;=$J296)),'Match Log'!$N$4:$N$810),NA()))</f>
        <v>#N/A</v>
      </c>
      <c r="N296" t="e">
        <f>IF($J296&gt;MAX('Match Log'!$A$4:$A$810),NA(),IFERROR(LOOKUP(2,1/(('Match Log'!$D$4:$D$810=$N$24)*('Match Log'!$A$4:$A$810&lt;=$J296)),'Match Log'!$N$4:$N$810),NA()))</f>
        <v>#N/A</v>
      </c>
      <c r="O296" t="e">
        <f>IF($J296&gt;MAX('Match Log'!$A$4:$A$810),NA(),IFERROR(LOOKUP(2,1/(('Match Log'!$D$4:$D$810=$O$24)*('Match Log'!$A$4:$A$810&lt;=$J296)),'Match Log'!$N$4:$N$810),NA()))</f>
        <v>#N/A</v>
      </c>
      <c r="P296" t="e">
        <f>IF($J296&gt;MAX('Match Log'!$A$4:$A$810),NA(),IFERROR(LOOKUP(2,1/(('Match Log'!$D$4:$D$810=$P$24)*('Match Log'!$A$4:$A$810&lt;=$J296)),'Match Log'!$N$4:$N$810),NA()))</f>
        <v>#N/A</v>
      </c>
      <c r="Q296" t="e">
        <f>IF($J296&gt;MAX('Match Log'!$A$4:$A$810),NA(),IFERROR(LOOKUP(2,1/(('Match Log'!$D$4:$D$810=$Q$24)*('Match Log'!$A$4:$A$810&lt;=$J296)),'Match Log'!$N$4:$N$810),NA()))</f>
        <v>#N/A</v>
      </c>
      <c r="R296" t="e">
        <f>IF($J296&gt;MAX('Match Log'!$A$4:$A$810),NA(),IFERROR(LOOKUP(2,1/(('Match Log'!$D$4:$D$810=$R$24)*('Match Log'!$A$4:$A$810&lt;=$J296)),'Match Log'!$N$4:$N$810),NA()))</f>
        <v>#N/A</v>
      </c>
      <c r="S296" t="e">
        <f>IF($J296&gt;MAX('Match Log'!$A$4:$A$810),NA(),IFERROR(LOOKUP(2,1/(('Match Log'!$D$4:$D$810=$S$24)*('Match Log'!$A$4:$A$810&lt;=$J296)),'Match Log'!$N$4:$N$810),NA()))</f>
        <v>#N/A</v>
      </c>
      <c r="T296" t="e">
        <f>IF($J296&gt;MAX('Match Log'!$A$4:$A$810),NA(),IFERROR(LOOKUP(2,1/(('Match Log'!$D$4:$D$810=$T$24)*('Match Log'!$A$4:$A$810&lt;=$J296)),'Match Log'!$N$4:$N$810),NA()))</f>
        <v>#N/A</v>
      </c>
      <c r="U296" t="e">
        <f>IF($J296&gt;MAX('Match Log'!$A$4:$A$810),NA(),IFERROR(LOOKUP(2,1/(('Match Log'!$D$4:$D$810=$U$24)*('Match Log'!$A$4:$A$810&lt;=$J296)),'Match Log'!$N$4:$N$810),NA()))</f>
        <v>#N/A</v>
      </c>
      <c r="V296" t="e">
        <f>IF($J296&gt;MAX('Match Log'!$A$4:$A$810),NA(),IFERROR(LOOKUP(2,1/(('Match Log'!$D$4:$D$810=$V$24)*('Match Log'!$A$4:$A$810&lt;=$J296)),'Match Log'!$N$4:$N$810),NA()))</f>
        <v>#N/A</v>
      </c>
      <c r="W296" t="e">
        <f>IF($J296&gt;MAX('Match Log'!$A$4:$A$810),NA(),IFERROR(LOOKUP(2,1/(('Match Log'!$D$4:$D$810=$W$24)*('Match Log'!$A$4:$A$810&lt;=$J296)),'Match Log'!$N$4:$N$810),NA()))</f>
        <v>#N/A</v>
      </c>
      <c r="X296" t="e">
        <f>IF($J296&gt;MAX('Match Log'!$A$4:$A$810),NA(),IFERROR(LOOKUP(2,1/(('Match Log'!$D$4:$D$810=$X$24)*('Match Log'!$A$4:$A$810&lt;=$J296)),'Match Log'!$N$4:$N$810),NA()))</f>
        <v>#N/A</v>
      </c>
      <c r="Y296" t="str">
        <f t="shared" ca="1" si="36"/>
        <v/>
      </c>
    </row>
    <row r="297" spans="1:25" x14ac:dyDescent="0.2">
      <c r="A297">
        <v>273</v>
      </c>
      <c r="B297" t="str">
        <f>IFERROR(INDEX('Match Log'!$B$4:$B$810,MATCH(273,'Match Log'!$A$4:$A$810,0)),"")</f>
        <v/>
      </c>
      <c r="C297" t="str">
        <f>IFERROR(INDEX('Match Log'!$C$4:$C$810,MATCH(273,'Match Log'!$A$4:$A$810,0)),"")</f>
        <v/>
      </c>
      <c r="D297" t="str">
        <f t="array" ref="D297">IFERROR(_xlfn.TEXTJOIN(" + ",TRUE,IF(('Match Log'!$A$4:$A$810=$A297)*('Match Log'!$E$4:$E$810="Win"),'Match Log'!$D$4:$D$810,"")),IFERROR(LOOKUP(2,1/(('Match Log'!$A$4:$A$810=$A297)*('Match Log'!$E$4:$E$810="Win")),'Match Log'!$D$4:$D$810),""))</f>
        <v/>
      </c>
      <c r="E297" t="str">
        <f>IFERROR(INDEX('Match Log'!$F$4:$F$810,MATCH(273,'Match Log'!$A$4:$A$810,0)),"")</f>
        <v/>
      </c>
      <c r="F297">
        <f>IFERROR(SUMIFS('Match Log'!$I$4:$I$810,'Match Log'!$A$4:$A$810,273,'Match Log'!$E$4:$E$810,"Win"),"")</f>
        <v>0</v>
      </c>
      <c r="G297" t="str">
        <f t="shared" si="34"/>
        <v/>
      </c>
      <c r="H297" t="str">
        <f t="array" ref="H297">IFERROR(IF(COUNTIFS('Match Log'!$A$4:$A$810,$A297,'Match Log'!$E$4:$E$810,"Win")&gt;1,_xlfn.TEXTJOIN(" + ",TRUE,IF(('Match Log'!$A$4:$A$810=$A297)*('Match Log'!$E$4:$E$810="Loss"),'Match Log'!$D$4:$D$810,"")),IF($E297=2,LOOKUP(2,1/(('Match Log'!$A$4:$A$810=$A297)*('Match Log'!$E$4:$E$810="Loss")),'Match Log'!$D$4:$D$810),"the field")),"")</f>
        <v>the field</v>
      </c>
      <c r="I297" t="str">
        <f t="shared" si="35"/>
        <v/>
      </c>
      <c r="J297">
        <v>273</v>
      </c>
      <c r="K297" t="e">
        <f>IF($J297&gt;MAX('Match Log'!$A$4:$A$810),NA(),IFERROR(LOOKUP(2,1/(('Match Log'!$D$4:$D$810=$K$24)*('Match Log'!$A$4:$A$810&lt;=$J297)),'Match Log'!$N$4:$N$810),NA()))</f>
        <v>#N/A</v>
      </c>
      <c r="L297" t="e">
        <f>IF($J297&gt;MAX('Match Log'!$A$4:$A$810),NA(),IFERROR(LOOKUP(2,1/(('Match Log'!$D$4:$D$810=$L$24)*('Match Log'!$A$4:$A$810&lt;=$J297)),'Match Log'!$N$4:$N$810),NA()))</f>
        <v>#N/A</v>
      </c>
      <c r="M297" t="e">
        <f>IF($J297&gt;MAX('Match Log'!$A$4:$A$810),NA(),IFERROR(LOOKUP(2,1/(('Match Log'!$D$4:$D$810=$M$24)*('Match Log'!$A$4:$A$810&lt;=$J297)),'Match Log'!$N$4:$N$810),NA()))</f>
        <v>#N/A</v>
      </c>
      <c r="N297" t="e">
        <f>IF($J297&gt;MAX('Match Log'!$A$4:$A$810),NA(),IFERROR(LOOKUP(2,1/(('Match Log'!$D$4:$D$810=$N$24)*('Match Log'!$A$4:$A$810&lt;=$J297)),'Match Log'!$N$4:$N$810),NA()))</f>
        <v>#N/A</v>
      </c>
      <c r="O297" t="e">
        <f>IF($J297&gt;MAX('Match Log'!$A$4:$A$810),NA(),IFERROR(LOOKUP(2,1/(('Match Log'!$D$4:$D$810=$O$24)*('Match Log'!$A$4:$A$810&lt;=$J297)),'Match Log'!$N$4:$N$810),NA()))</f>
        <v>#N/A</v>
      </c>
      <c r="P297" t="e">
        <f>IF($J297&gt;MAX('Match Log'!$A$4:$A$810),NA(),IFERROR(LOOKUP(2,1/(('Match Log'!$D$4:$D$810=$P$24)*('Match Log'!$A$4:$A$810&lt;=$J297)),'Match Log'!$N$4:$N$810),NA()))</f>
        <v>#N/A</v>
      </c>
      <c r="Q297" t="e">
        <f>IF($J297&gt;MAX('Match Log'!$A$4:$A$810),NA(),IFERROR(LOOKUP(2,1/(('Match Log'!$D$4:$D$810=$Q$24)*('Match Log'!$A$4:$A$810&lt;=$J297)),'Match Log'!$N$4:$N$810),NA()))</f>
        <v>#N/A</v>
      </c>
      <c r="R297" t="e">
        <f>IF($J297&gt;MAX('Match Log'!$A$4:$A$810),NA(),IFERROR(LOOKUP(2,1/(('Match Log'!$D$4:$D$810=$R$24)*('Match Log'!$A$4:$A$810&lt;=$J297)),'Match Log'!$N$4:$N$810),NA()))</f>
        <v>#N/A</v>
      </c>
      <c r="S297" t="e">
        <f>IF($J297&gt;MAX('Match Log'!$A$4:$A$810),NA(),IFERROR(LOOKUP(2,1/(('Match Log'!$D$4:$D$810=$S$24)*('Match Log'!$A$4:$A$810&lt;=$J297)),'Match Log'!$N$4:$N$810),NA()))</f>
        <v>#N/A</v>
      </c>
      <c r="T297" t="e">
        <f>IF($J297&gt;MAX('Match Log'!$A$4:$A$810),NA(),IFERROR(LOOKUP(2,1/(('Match Log'!$D$4:$D$810=$T$24)*('Match Log'!$A$4:$A$810&lt;=$J297)),'Match Log'!$N$4:$N$810),NA()))</f>
        <v>#N/A</v>
      </c>
      <c r="U297" t="e">
        <f>IF($J297&gt;MAX('Match Log'!$A$4:$A$810),NA(),IFERROR(LOOKUP(2,1/(('Match Log'!$D$4:$D$810=$U$24)*('Match Log'!$A$4:$A$810&lt;=$J297)),'Match Log'!$N$4:$N$810),NA()))</f>
        <v>#N/A</v>
      </c>
      <c r="V297" t="e">
        <f>IF($J297&gt;MAX('Match Log'!$A$4:$A$810),NA(),IFERROR(LOOKUP(2,1/(('Match Log'!$D$4:$D$810=$V$24)*('Match Log'!$A$4:$A$810&lt;=$J297)),'Match Log'!$N$4:$N$810),NA()))</f>
        <v>#N/A</v>
      </c>
      <c r="W297" t="e">
        <f>IF($J297&gt;MAX('Match Log'!$A$4:$A$810),NA(),IFERROR(LOOKUP(2,1/(('Match Log'!$D$4:$D$810=$W$24)*('Match Log'!$A$4:$A$810&lt;=$J297)),'Match Log'!$N$4:$N$810),NA()))</f>
        <v>#N/A</v>
      </c>
      <c r="X297" t="e">
        <f>IF($J297&gt;MAX('Match Log'!$A$4:$A$810),NA(),IFERROR(LOOKUP(2,1/(('Match Log'!$D$4:$D$810=$X$24)*('Match Log'!$A$4:$A$810&lt;=$J297)),'Match Log'!$N$4:$N$810),NA()))</f>
        <v>#N/A</v>
      </c>
      <c r="Y297" t="str">
        <f t="shared" ca="1" si="36"/>
        <v/>
      </c>
    </row>
    <row r="298" spans="1:25" x14ac:dyDescent="0.2">
      <c r="A298">
        <v>274</v>
      </c>
      <c r="B298" t="str">
        <f>IFERROR(INDEX('Match Log'!$B$4:$B$810,MATCH(274,'Match Log'!$A$4:$A$810,0)),"")</f>
        <v/>
      </c>
      <c r="C298" t="str">
        <f>IFERROR(INDEX('Match Log'!$C$4:$C$810,MATCH(274,'Match Log'!$A$4:$A$810,0)),"")</f>
        <v/>
      </c>
      <c r="D298" t="str">
        <f t="array" ref="D298">IFERROR(_xlfn.TEXTJOIN(" + ",TRUE,IF(('Match Log'!$A$4:$A$810=$A298)*('Match Log'!$E$4:$E$810="Win"),'Match Log'!$D$4:$D$810,"")),IFERROR(LOOKUP(2,1/(('Match Log'!$A$4:$A$810=$A298)*('Match Log'!$E$4:$E$810="Win")),'Match Log'!$D$4:$D$810),""))</f>
        <v/>
      </c>
      <c r="E298" t="str">
        <f>IFERROR(INDEX('Match Log'!$F$4:$F$810,MATCH(274,'Match Log'!$A$4:$A$810,0)),"")</f>
        <v/>
      </c>
      <c r="F298">
        <f>IFERROR(SUMIFS('Match Log'!$I$4:$I$810,'Match Log'!$A$4:$A$810,274,'Match Log'!$E$4:$E$810,"Win"),"")</f>
        <v>0</v>
      </c>
      <c r="G298" t="str">
        <f t="shared" si="34"/>
        <v/>
      </c>
      <c r="H298" t="str">
        <f t="array" ref="H298">IFERROR(IF(COUNTIFS('Match Log'!$A$4:$A$810,$A298,'Match Log'!$E$4:$E$810,"Win")&gt;1,_xlfn.TEXTJOIN(" + ",TRUE,IF(('Match Log'!$A$4:$A$810=$A298)*('Match Log'!$E$4:$E$810="Loss"),'Match Log'!$D$4:$D$810,"")),IF($E298=2,LOOKUP(2,1/(('Match Log'!$A$4:$A$810=$A298)*('Match Log'!$E$4:$E$810="Loss")),'Match Log'!$D$4:$D$810),"the field")),"")</f>
        <v>the field</v>
      </c>
      <c r="I298" t="str">
        <f t="shared" si="35"/>
        <v/>
      </c>
      <c r="J298">
        <v>274</v>
      </c>
      <c r="K298" t="e">
        <f>IF($J298&gt;MAX('Match Log'!$A$4:$A$810),NA(),IFERROR(LOOKUP(2,1/(('Match Log'!$D$4:$D$810=$K$24)*('Match Log'!$A$4:$A$810&lt;=$J298)),'Match Log'!$N$4:$N$810),NA()))</f>
        <v>#N/A</v>
      </c>
      <c r="L298" t="e">
        <f>IF($J298&gt;MAX('Match Log'!$A$4:$A$810),NA(),IFERROR(LOOKUP(2,1/(('Match Log'!$D$4:$D$810=$L$24)*('Match Log'!$A$4:$A$810&lt;=$J298)),'Match Log'!$N$4:$N$810),NA()))</f>
        <v>#N/A</v>
      </c>
      <c r="M298" t="e">
        <f>IF($J298&gt;MAX('Match Log'!$A$4:$A$810),NA(),IFERROR(LOOKUP(2,1/(('Match Log'!$D$4:$D$810=$M$24)*('Match Log'!$A$4:$A$810&lt;=$J298)),'Match Log'!$N$4:$N$810),NA()))</f>
        <v>#N/A</v>
      </c>
      <c r="N298" t="e">
        <f>IF($J298&gt;MAX('Match Log'!$A$4:$A$810),NA(),IFERROR(LOOKUP(2,1/(('Match Log'!$D$4:$D$810=$N$24)*('Match Log'!$A$4:$A$810&lt;=$J298)),'Match Log'!$N$4:$N$810),NA()))</f>
        <v>#N/A</v>
      </c>
      <c r="O298" t="e">
        <f>IF($J298&gt;MAX('Match Log'!$A$4:$A$810),NA(),IFERROR(LOOKUP(2,1/(('Match Log'!$D$4:$D$810=$O$24)*('Match Log'!$A$4:$A$810&lt;=$J298)),'Match Log'!$N$4:$N$810),NA()))</f>
        <v>#N/A</v>
      </c>
      <c r="P298" t="e">
        <f>IF($J298&gt;MAX('Match Log'!$A$4:$A$810),NA(),IFERROR(LOOKUP(2,1/(('Match Log'!$D$4:$D$810=$P$24)*('Match Log'!$A$4:$A$810&lt;=$J298)),'Match Log'!$N$4:$N$810),NA()))</f>
        <v>#N/A</v>
      </c>
      <c r="Q298" t="e">
        <f>IF($J298&gt;MAX('Match Log'!$A$4:$A$810),NA(),IFERROR(LOOKUP(2,1/(('Match Log'!$D$4:$D$810=$Q$24)*('Match Log'!$A$4:$A$810&lt;=$J298)),'Match Log'!$N$4:$N$810),NA()))</f>
        <v>#N/A</v>
      </c>
      <c r="R298" t="e">
        <f>IF($J298&gt;MAX('Match Log'!$A$4:$A$810),NA(),IFERROR(LOOKUP(2,1/(('Match Log'!$D$4:$D$810=$R$24)*('Match Log'!$A$4:$A$810&lt;=$J298)),'Match Log'!$N$4:$N$810),NA()))</f>
        <v>#N/A</v>
      </c>
      <c r="S298" t="e">
        <f>IF($J298&gt;MAX('Match Log'!$A$4:$A$810),NA(),IFERROR(LOOKUP(2,1/(('Match Log'!$D$4:$D$810=$S$24)*('Match Log'!$A$4:$A$810&lt;=$J298)),'Match Log'!$N$4:$N$810),NA()))</f>
        <v>#N/A</v>
      </c>
      <c r="T298" t="e">
        <f>IF($J298&gt;MAX('Match Log'!$A$4:$A$810),NA(),IFERROR(LOOKUP(2,1/(('Match Log'!$D$4:$D$810=$T$24)*('Match Log'!$A$4:$A$810&lt;=$J298)),'Match Log'!$N$4:$N$810),NA()))</f>
        <v>#N/A</v>
      </c>
      <c r="U298" t="e">
        <f>IF($J298&gt;MAX('Match Log'!$A$4:$A$810),NA(),IFERROR(LOOKUP(2,1/(('Match Log'!$D$4:$D$810=$U$24)*('Match Log'!$A$4:$A$810&lt;=$J298)),'Match Log'!$N$4:$N$810),NA()))</f>
        <v>#N/A</v>
      </c>
      <c r="V298" t="e">
        <f>IF($J298&gt;MAX('Match Log'!$A$4:$A$810),NA(),IFERROR(LOOKUP(2,1/(('Match Log'!$D$4:$D$810=$V$24)*('Match Log'!$A$4:$A$810&lt;=$J298)),'Match Log'!$N$4:$N$810),NA()))</f>
        <v>#N/A</v>
      </c>
      <c r="W298" t="e">
        <f>IF($J298&gt;MAX('Match Log'!$A$4:$A$810),NA(),IFERROR(LOOKUP(2,1/(('Match Log'!$D$4:$D$810=$W$24)*('Match Log'!$A$4:$A$810&lt;=$J298)),'Match Log'!$N$4:$N$810),NA()))</f>
        <v>#N/A</v>
      </c>
      <c r="X298" t="e">
        <f>IF($J298&gt;MAX('Match Log'!$A$4:$A$810),NA(),IFERROR(LOOKUP(2,1/(('Match Log'!$D$4:$D$810=$X$24)*('Match Log'!$A$4:$A$810&lt;=$J298)),'Match Log'!$N$4:$N$810),NA()))</f>
        <v>#N/A</v>
      </c>
      <c r="Y298" t="str">
        <f t="shared" ca="1" si="36"/>
        <v/>
      </c>
    </row>
    <row r="299" spans="1:25" x14ac:dyDescent="0.2">
      <c r="A299">
        <v>275</v>
      </c>
      <c r="B299" t="str">
        <f>IFERROR(INDEX('Match Log'!$B$4:$B$810,MATCH(275,'Match Log'!$A$4:$A$810,0)),"")</f>
        <v/>
      </c>
      <c r="C299" t="str">
        <f>IFERROR(INDEX('Match Log'!$C$4:$C$810,MATCH(275,'Match Log'!$A$4:$A$810,0)),"")</f>
        <v/>
      </c>
      <c r="D299" t="str">
        <f t="array" ref="D299">IFERROR(_xlfn.TEXTJOIN(" + ",TRUE,IF(('Match Log'!$A$4:$A$810=$A299)*('Match Log'!$E$4:$E$810="Win"),'Match Log'!$D$4:$D$810,"")),IFERROR(LOOKUP(2,1/(('Match Log'!$A$4:$A$810=$A299)*('Match Log'!$E$4:$E$810="Win")),'Match Log'!$D$4:$D$810),""))</f>
        <v/>
      </c>
      <c r="E299" t="str">
        <f>IFERROR(INDEX('Match Log'!$F$4:$F$810,MATCH(275,'Match Log'!$A$4:$A$810,0)),"")</f>
        <v/>
      </c>
      <c r="F299">
        <f>IFERROR(SUMIFS('Match Log'!$I$4:$I$810,'Match Log'!$A$4:$A$810,275,'Match Log'!$E$4:$E$810,"Win"),"")</f>
        <v>0</v>
      </c>
      <c r="G299" t="str">
        <f t="shared" si="34"/>
        <v/>
      </c>
      <c r="H299" t="str">
        <f t="array" ref="H299">IFERROR(IF(COUNTIFS('Match Log'!$A$4:$A$810,$A299,'Match Log'!$E$4:$E$810,"Win")&gt;1,_xlfn.TEXTJOIN(" + ",TRUE,IF(('Match Log'!$A$4:$A$810=$A299)*('Match Log'!$E$4:$E$810="Loss"),'Match Log'!$D$4:$D$810,"")),IF($E299=2,LOOKUP(2,1/(('Match Log'!$A$4:$A$810=$A299)*('Match Log'!$E$4:$E$810="Loss")),'Match Log'!$D$4:$D$810),"the field")),"")</f>
        <v>the field</v>
      </c>
      <c r="I299" t="str">
        <f t="shared" si="35"/>
        <v/>
      </c>
      <c r="J299">
        <v>275</v>
      </c>
      <c r="K299" t="e">
        <f>IF($J299&gt;MAX('Match Log'!$A$4:$A$810),NA(),IFERROR(LOOKUP(2,1/(('Match Log'!$D$4:$D$810=$K$24)*('Match Log'!$A$4:$A$810&lt;=$J299)),'Match Log'!$N$4:$N$810),NA()))</f>
        <v>#N/A</v>
      </c>
      <c r="L299" t="e">
        <f>IF($J299&gt;MAX('Match Log'!$A$4:$A$810),NA(),IFERROR(LOOKUP(2,1/(('Match Log'!$D$4:$D$810=$L$24)*('Match Log'!$A$4:$A$810&lt;=$J299)),'Match Log'!$N$4:$N$810),NA()))</f>
        <v>#N/A</v>
      </c>
      <c r="M299" t="e">
        <f>IF($J299&gt;MAX('Match Log'!$A$4:$A$810),NA(),IFERROR(LOOKUP(2,1/(('Match Log'!$D$4:$D$810=$M$24)*('Match Log'!$A$4:$A$810&lt;=$J299)),'Match Log'!$N$4:$N$810),NA()))</f>
        <v>#N/A</v>
      </c>
      <c r="N299" t="e">
        <f>IF($J299&gt;MAX('Match Log'!$A$4:$A$810),NA(),IFERROR(LOOKUP(2,1/(('Match Log'!$D$4:$D$810=$N$24)*('Match Log'!$A$4:$A$810&lt;=$J299)),'Match Log'!$N$4:$N$810),NA()))</f>
        <v>#N/A</v>
      </c>
      <c r="O299" t="e">
        <f>IF($J299&gt;MAX('Match Log'!$A$4:$A$810),NA(),IFERROR(LOOKUP(2,1/(('Match Log'!$D$4:$D$810=$O$24)*('Match Log'!$A$4:$A$810&lt;=$J299)),'Match Log'!$N$4:$N$810),NA()))</f>
        <v>#N/A</v>
      </c>
      <c r="P299" t="e">
        <f>IF($J299&gt;MAX('Match Log'!$A$4:$A$810),NA(),IFERROR(LOOKUP(2,1/(('Match Log'!$D$4:$D$810=$P$24)*('Match Log'!$A$4:$A$810&lt;=$J299)),'Match Log'!$N$4:$N$810),NA()))</f>
        <v>#N/A</v>
      </c>
      <c r="Q299" t="e">
        <f>IF($J299&gt;MAX('Match Log'!$A$4:$A$810),NA(),IFERROR(LOOKUP(2,1/(('Match Log'!$D$4:$D$810=$Q$24)*('Match Log'!$A$4:$A$810&lt;=$J299)),'Match Log'!$N$4:$N$810),NA()))</f>
        <v>#N/A</v>
      </c>
      <c r="R299" t="e">
        <f>IF($J299&gt;MAX('Match Log'!$A$4:$A$810),NA(),IFERROR(LOOKUP(2,1/(('Match Log'!$D$4:$D$810=$R$24)*('Match Log'!$A$4:$A$810&lt;=$J299)),'Match Log'!$N$4:$N$810),NA()))</f>
        <v>#N/A</v>
      </c>
      <c r="S299" t="e">
        <f>IF($J299&gt;MAX('Match Log'!$A$4:$A$810),NA(),IFERROR(LOOKUP(2,1/(('Match Log'!$D$4:$D$810=$S$24)*('Match Log'!$A$4:$A$810&lt;=$J299)),'Match Log'!$N$4:$N$810),NA()))</f>
        <v>#N/A</v>
      </c>
      <c r="T299" t="e">
        <f>IF($J299&gt;MAX('Match Log'!$A$4:$A$810),NA(),IFERROR(LOOKUP(2,1/(('Match Log'!$D$4:$D$810=$T$24)*('Match Log'!$A$4:$A$810&lt;=$J299)),'Match Log'!$N$4:$N$810),NA()))</f>
        <v>#N/A</v>
      </c>
      <c r="U299" t="e">
        <f>IF($J299&gt;MAX('Match Log'!$A$4:$A$810),NA(),IFERROR(LOOKUP(2,1/(('Match Log'!$D$4:$D$810=$U$24)*('Match Log'!$A$4:$A$810&lt;=$J299)),'Match Log'!$N$4:$N$810),NA()))</f>
        <v>#N/A</v>
      </c>
      <c r="V299" t="e">
        <f>IF($J299&gt;MAX('Match Log'!$A$4:$A$810),NA(),IFERROR(LOOKUP(2,1/(('Match Log'!$D$4:$D$810=$V$24)*('Match Log'!$A$4:$A$810&lt;=$J299)),'Match Log'!$N$4:$N$810),NA()))</f>
        <v>#N/A</v>
      </c>
      <c r="W299" t="e">
        <f>IF($J299&gt;MAX('Match Log'!$A$4:$A$810),NA(),IFERROR(LOOKUP(2,1/(('Match Log'!$D$4:$D$810=$W$24)*('Match Log'!$A$4:$A$810&lt;=$J299)),'Match Log'!$N$4:$N$810),NA()))</f>
        <v>#N/A</v>
      </c>
      <c r="X299" t="e">
        <f>IF($J299&gt;MAX('Match Log'!$A$4:$A$810),NA(),IFERROR(LOOKUP(2,1/(('Match Log'!$D$4:$D$810=$X$24)*('Match Log'!$A$4:$A$810&lt;=$J299)),'Match Log'!$N$4:$N$810),NA()))</f>
        <v>#N/A</v>
      </c>
      <c r="Y299" t="str">
        <f t="shared" ca="1" si="36"/>
        <v/>
      </c>
    </row>
    <row r="300" spans="1:25" x14ac:dyDescent="0.2">
      <c r="A300">
        <v>276</v>
      </c>
      <c r="B300" t="str">
        <f>IFERROR(INDEX('Match Log'!$B$4:$B$810,MATCH(276,'Match Log'!$A$4:$A$810,0)),"")</f>
        <v/>
      </c>
      <c r="C300" t="str">
        <f>IFERROR(INDEX('Match Log'!$C$4:$C$810,MATCH(276,'Match Log'!$A$4:$A$810,0)),"")</f>
        <v/>
      </c>
      <c r="D300" t="str">
        <f t="array" ref="D300">IFERROR(_xlfn.TEXTJOIN(" + ",TRUE,IF(('Match Log'!$A$4:$A$810=$A300)*('Match Log'!$E$4:$E$810="Win"),'Match Log'!$D$4:$D$810,"")),IFERROR(LOOKUP(2,1/(('Match Log'!$A$4:$A$810=$A300)*('Match Log'!$E$4:$E$810="Win")),'Match Log'!$D$4:$D$810),""))</f>
        <v/>
      </c>
      <c r="E300" t="str">
        <f>IFERROR(INDEX('Match Log'!$F$4:$F$810,MATCH(276,'Match Log'!$A$4:$A$810,0)),"")</f>
        <v/>
      </c>
      <c r="F300">
        <f>IFERROR(SUMIFS('Match Log'!$I$4:$I$810,'Match Log'!$A$4:$A$810,276,'Match Log'!$E$4:$E$810,"Win"),"")</f>
        <v>0</v>
      </c>
      <c r="G300" t="str">
        <f t="shared" si="34"/>
        <v/>
      </c>
      <c r="H300" t="str">
        <f t="array" ref="H300">IFERROR(IF(COUNTIFS('Match Log'!$A$4:$A$810,$A300,'Match Log'!$E$4:$E$810,"Win")&gt;1,_xlfn.TEXTJOIN(" + ",TRUE,IF(('Match Log'!$A$4:$A$810=$A300)*('Match Log'!$E$4:$E$810="Loss"),'Match Log'!$D$4:$D$810,"")),IF($E300=2,LOOKUP(2,1/(('Match Log'!$A$4:$A$810=$A300)*('Match Log'!$E$4:$E$810="Loss")),'Match Log'!$D$4:$D$810),"the field")),"")</f>
        <v>the field</v>
      </c>
      <c r="I300" t="str">
        <f t="shared" si="35"/>
        <v/>
      </c>
      <c r="J300">
        <v>276</v>
      </c>
      <c r="K300" t="e">
        <f>IF($J300&gt;MAX('Match Log'!$A$4:$A$810),NA(),IFERROR(LOOKUP(2,1/(('Match Log'!$D$4:$D$810=$K$24)*('Match Log'!$A$4:$A$810&lt;=$J300)),'Match Log'!$N$4:$N$810),NA()))</f>
        <v>#N/A</v>
      </c>
      <c r="L300" t="e">
        <f>IF($J300&gt;MAX('Match Log'!$A$4:$A$810),NA(),IFERROR(LOOKUP(2,1/(('Match Log'!$D$4:$D$810=$L$24)*('Match Log'!$A$4:$A$810&lt;=$J300)),'Match Log'!$N$4:$N$810),NA()))</f>
        <v>#N/A</v>
      </c>
      <c r="M300" t="e">
        <f>IF($J300&gt;MAX('Match Log'!$A$4:$A$810),NA(),IFERROR(LOOKUP(2,1/(('Match Log'!$D$4:$D$810=$M$24)*('Match Log'!$A$4:$A$810&lt;=$J300)),'Match Log'!$N$4:$N$810),NA()))</f>
        <v>#N/A</v>
      </c>
      <c r="N300" t="e">
        <f>IF($J300&gt;MAX('Match Log'!$A$4:$A$810),NA(),IFERROR(LOOKUP(2,1/(('Match Log'!$D$4:$D$810=$N$24)*('Match Log'!$A$4:$A$810&lt;=$J300)),'Match Log'!$N$4:$N$810),NA()))</f>
        <v>#N/A</v>
      </c>
      <c r="O300" t="e">
        <f>IF($J300&gt;MAX('Match Log'!$A$4:$A$810),NA(),IFERROR(LOOKUP(2,1/(('Match Log'!$D$4:$D$810=$O$24)*('Match Log'!$A$4:$A$810&lt;=$J300)),'Match Log'!$N$4:$N$810),NA()))</f>
        <v>#N/A</v>
      </c>
      <c r="P300" t="e">
        <f>IF($J300&gt;MAX('Match Log'!$A$4:$A$810),NA(),IFERROR(LOOKUP(2,1/(('Match Log'!$D$4:$D$810=$P$24)*('Match Log'!$A$4:$A$810&lt;=$J300)),'Match Log'!$N$4:$N$810),NA()))</f>
        <v>#N/A</v>
      </c>
      <c r="Q300" t="e">
        <f>IF($J300&gt;MAX('Match Log'!$A$4:$A$810),NA(),IFERROR(LOOKUP(2,1/(('Match Log'!$D$4:$D$810=$Q$24)*('Match Log'!$A$4:$A$810&lt;=$J300)),'Match Log'!$N$4:$N$810),NA()))</f>
        <v>#N/A</v>
      </c>
      <c r="R300" t="e">
        <f>IF($J300&gt;MAX('Match Log'!$A$4:$A$810),NA(),IFERROR(LOOKUP(2,1/(('Match Log'!$D$4:$D$810=$R$24)*('Match Log'!$A$4:$A$810&lt;=$J300)),'Match Log'!$N$4:$N$810),NA()))</f>
        <v>#N/A</v>
      </c>
      <c r="S300" t="e">
        <f>IF($J300&gt;MAX('Match Log'!$A$4:$A$810),NA(),IFERROR(LOOKUP(2,1/(('Match Log'!$D$4:$D$810=$S$24)*('Match Log'!$A$4:$A$810&lt;=$J300)),'Match Log'!$N$4:$N$810),NA()))</f>
        <v>#N/A</v>
      </c>
      <c r="T300" t="e">
        <f>IF($J300&gt;MAX('Match Log'!$A$4:$A$810),NA(),IFERROR(LOOKUP(2,1/(('Match Log'!$D$4:$D$810=$T$24)*('Match Log'!$A$4:$A$810&lt;=$J300)),'Match Log'!$N$4:$N$810),NA()))</f>
        <v>#N/A</v>
      </c>
      <c r="U300" t="e">
        <f>IF($J300&gt;MAX('Match Log'!$A$4:$A$810),NA(),IFERROR(LOOKUP(2,1/(('Match Log'!$D$4:$D$810=$U$24)*('Match Log'!$A$4:$A$810&lt;=$J300)),'Match Log'!$N$4:$N$810),NA()))</f>
        <v>#N/A</v>
      </c>
      <c r="V300" t="e">
        <f>IF($J300&gt;MAX('Match Log'!$A$4:$A$810),NA(),IFERROR(LOOKUP(2,1/(('Match Log'!$D$4:$D$810=$V$24)*('Match Log'!$A$4:$A$810&lt;=$J300)),'Match Log'!$N$4:$N$810),NA()))</f>
        <v>#N/A</v>
      </c>
      <c r="W300" t="e">
        <f>IF($J300&gt;MAX('Match Log'!$A$4:$A$810),NA(),IFERROR(LOOKUP(2,1/(('Match Log'!$D$4:$D$810=$W$24)*('Match Log'!$A$4:$A$810&lt;=$J300)),'Match Log'!$N$4:$N$810),NA()))</f>
        <v>#N/A</v>
      </c>
      <c r="X300" t="e">
        <f>IF($J300&gt;MAX('Match Log'!$A$4:$A$810),NA(),IFERROR(LOOKUP(2,1/(('Match Log'!$D$4:$D$810=$X$24)*('Match Log'!$A$4:$A$810&lt;=$J300)),'Match Log'!$N$4:$N$810),NA()))</f>
        <v>#N/A</v>
      </c>
      <c r="Y300" t="str">
        <f t="shared" ca="1" si="36"/>
        <v/>
      </c>
    </row>
    <row r="301" spans="1:25" x14ac:dyDescent="0.2">
      <c r="A301">
        <v>277</v>
      </c>
      <c r="B301" t="str">
        <f>IFERROR(INDEX('Match Log'!$B$4:$B$810,MATCH(277,'Match Log'!$A$4:$A$810,0)),"")</f>
        <v/>
      </c>
      <c r="C301" t="str">
        <f>IFERROR(INDEX('Match Log'!$C$4:$C$810,MATCH(277,'Match Log'!$A$4:$A$810,0)),"")</f>
        <v/>
      </c>
      <c r="D301" t="str">
        <f t="array" ref="D301">IFERROR(_xlfn.TEXTJOIN(" + ",TRUE,IF(('Match Log'!$A$4:$A$810=$A301)*('Match Log'!$E$4:$E$810="Win"),'Match Log'!$D$4:$D$810,"")),IFERROR(LOOKUP(2,1/(('Match Log'!$A$4:$A$810=$A301)*('Match Log'!$E$4:$E$810="Win")),'Match Log'!$D$4:$D$810),""))</f>
        <v/>
      </c>
      <c r="E301" t="str">
        <f>IFERROR(INDEX('Match Log'!$F$4:$F$810,MATCH(277,'Match Log'!$A$4:$A$810,0)),"")</f>
        <v/>
      </c>
      <c r="F301">
        <f>IFERROR(SUMIFS('Match Log'!$I$4:$I$810,'Match Log'!$A$4:$A$810,277,'Match Log'!$E$4:$E$810,"Win"),"")</f>
        <v>0</v>
      </c>
      <c r="G301" t="str">
        <f t="shared" si="34"/>
        <v/>
      </c>
      <c r="H301" t="str">
        <f t="array" ref="H301">IFERROR(IF(COUNTIFS('Match Log'!$A$4:$A$810,$A301,'Match Log'!$E$4:$E$810,"Win")&gt;1,_xlfn.TEXTJOIN(" + ",TRUE,IF(('Match Log'!$A$4:$A$810=$A301)*('Match Log'!$E$4:$E$810="Loss"),'Match Log'!$D$4:$D$810,"")),IF($E301=2,LOOKUP(2,1/(('Match Log'!$A$4:$A$810=$A301)*('Match Log'!$E$4:$E$810="Loss")),'Match Log'!$D$4:$D$810),"the field")),"")</f>
        <v>the field</v>
      </c>
      <c r="I301" t="str">
        <f t="shared" si="35"/>
        <v/>
      </c>
      <c r="J301">
        <v>277</v>
      </c>
      <c r="K301" t="e">
        <f>IF($J301&gt;MAX('Match Log'!$A$4:$A$810),NA(),IFERROR(LOOKUP(2,1/(('Match Log'!$D$4:$D$810=$K$24)*('Match Log'!$A$4:$A$810&lt;=$J301)),'Match Log'!$N$4:$N$810),NA()))</f>
        <v>#N/A</v>
      </c>
      <c r="L301" t="e">
        <f>IF($J301&gt;MAX('Match Log'!$A$4:$A$810),NA(),IFERROR(LOOKUP(2,1/(('Match Log'!$D$4:$D$810=$L$24)*('Match Log'!$A$4:$A$810&lt;=$J301)),'Match Log'!$N$4:$N$810),NA()))</f>
        <v>#N/A</v>
      </c>
      <c r="M301" t="e">
        <f>IF($J301&gt;MAX('Match Log'!$A$4:$A$810),NA(),IFERROR(LOOKUP(2,1/(('Match Log'!$D$4:$D$810=$M$24)*('Match Log'!$A$4:$A$810&lt;=$J301)),'Match Log'!$N$4:$N$810),NA()))</f>
        <v>#N/A</v>
      </c>
      <c r="N301" t="e">
        <f>IF($J301&gt;MAX('Match Log'!$A$4:$A$810),NA(),IFERROR(LOOKUP(2,1/(('Match Log'!$D$4:$D$810=$N$24)*('Match Log'!$A$4:$A$810&lt;=$J301)),'Match Log'!$N$4:$N$810),NA()))</f>
        <v>#N/A</v>
      </c>
      <c r="O301" t="e">
        <f>IF($J301&gt;MAX('Match Log'!$A$4:$A$810),NA(),IFERROR(LOOKUP(2,1/(('Match Log'!$D$4:$D$810=$O$24)*('Match Log'!$A$4:$A$810&lt;=$J301)),'Match Log'!$N$4:$N$810),NA()))</f>
        <v>#N/A</v>
      </c>
      <c r="P301" t="e">
        <f>IF($J301&gt;MAX('Match Log'!$A$4:$A$810),NA(),IFERROR(LOOKUP(2,1/(('Match Log'!$D$4:$D$810=$P$24)*('Match Log'!$A$4:$A$810&lt;=$J301)),'Match Log'!$N$4:$N$810),NA()))</f>
        <v>#N/A</v>
      </c>
      <c r="Q301" t="e">
        <f>IF($J301&gt;MAX('Match Log'!$A$4:$A$810),NA(),IFERROR(LOOKUP(2,1/(('Match Log'!$D$4:$D$810=$Q$24)*('Match Log'!$A$4:$A$810&lt;=$J301)),'Match Log'!$N$4:$N$810),NA()))</f>
        <v>#N/A</v>
      </c>
      <c r="R301" t="e">
        <f>IF($J301&gt;MAX('Match Log'!$A$4:$A$810),NA(),IFERROR(LOOKUP(2,1/(('Match Log'!$D$4:$D$810=$R$24)*('Match Log'!$A$4:$A$810&lt;=$J301)),'Match Log'!$N$4:$N$810),NA()))</f>
        <v>#N/A</v>
      </c>
      <c r="S301" t="e">
        <f>IF($J301&gt;MAX('Match Log'!$A$4:$A$810),NA(),IFERROR(LOOKUP(2,1/(('Match Log'!$D$4:$D$810=$S$24)*('Match Log'!$A$4:$A$810&lt;=$J301)),'Match Log'!$N$4:$N$810),NA()))</f>
        <v>#N/A</v>
      </c>
      <c r="T301" t="e">
        <f>IF($J301&gt;MAX('Match Log'!$A$4:$A$810),NA(),IFERROR(LOOKUP(2,1/(('Match Log'!$D$4:$D$810=$T$24)*('Match Log'!$A$4:$A$810&lt;=$J301)),'Match Log'!$N$4:$N$810),NA()))</f>
        <v>#N/A</v>
      </c>
      <c r="U301" t="e">
        <f>IF($J301&gt;MAX('Match Log'!$A$4:$A$810),NA(),IFERROR(LOOKUP(2,1/(('Match Log'!$D$4:$D$810=$U$24)*('Match Log'!$A$4:$A$810&lt;=$J301)),'Match Log'!$N$4:$N$810),NA()))</f>
        <v>#N/A</v>
      </c>
      <c r="V301" t="e">
        <f>IF($J301&gt;MAX('Match Log'!$A$4:$A$810),NA(),IFERROR(LOOKUP(2,1/(('Match Log'!$D$4:$D$810=$V$24)*('Match Log'!$A$4:$A$810&lt;=$J301)),'Match Log'!$N$4:$N$810),NA()))</f>
        <v>#N/A</v>
      </c>
      <c r="W301" t="e">
        <f>IF($J301&gt;MAX('Match Log'!$A$4:$A$810),NA(),IFERROR(LOOKUP(2,1/(('Match Log'!$D$4:$D$810=$W$24)*('Match Log'!$A$4:$A$810&lt;=$J301)),'Match Log'!$N$4:$N$810),NA()))</f>
        <v>#N/A</v>
      </c>
      <c r="X301" t="e">
        <f>IF($J301&gt;MAX('Match Log'!$A$4:$A$810),NA(),IFERROR(LOOKUP(2,1/(('Match Log'!$D$4:$D$810=$X$24)*('Match Log'!$A$4:$A$810&lt;=$J301)),'Match Log'!$N$4:$N$810),NA()))</f>
        <v>#N/A</v>
      </c>
      <c r="Y301" t="str">
        <f t="shared" ca="1" si="36"/>
        <v/>
      </c>
    </row>
    <row r="302" spans="1:25" x14ac:dyDescent="0.2">
      <c r="A302">
        <v>278</v>
      </c>
      <c r="B302" t="str">
        <f>IFERROR(INDEX('Match Log'!$B$4:$B$810,MATCH(278,'Match Log'!$A$4:$A$810,0)),"")</f>
        <v/>
      </c>
      <c r="C302" t="str">
        <f>IFERROR(INDEX('Match Log'!$C$4:$C$810,MATCH(278,'Match Log'!$A$4:$A$810,0)),"")</f>
        <v/>
      </c>
      <c r="D302" t="str">
        <f t="array" ref="D302">IFERROR(_xlfn.TEXTJOIN(" + ",TRUE,IF(('Match Log'!$A$4:$A$810=$A302)*('Match Log'!$E$4:$E$810="Win"),'Match Log'!$D$4:$D$810,"")),IFERROR(LOOKUP(2,1/(('Match Log'!$A$4:$A$810=$A302)*('Match Log'!$E$4:$E$810="Win")),'Match Log'!$D$4:$D$810),""))</f>
        <v/>
      </c>
      <c r="E302" t="str">
        <f>IFERROR(INDEX('Match Log'!$F$4:$F$810,MATCH(278,'Match Log'!$A$4:$A$810,0)),"")</f>
        <v/>
      </c>
      <c r="F302">
        <f>IFERROR(SUMIFS('Match Log'!$I$4:$I$810,'Match Log'!$A$4:$A$810,278,'Match Log'!$E$4:$E$810,"Win"),"")</f>
        <v>0</v>
      </c>
      <c r="G302" t="str">
        <f t="shared" si="34"/>
        <v/>
      </c>
      <c r="H302" t="str">
        <f t="array" ref="H302">IFERROR(IF(COUNTIFS('Match Log'!$A$4:$A$810,$A302,'Match Log'!$E$4:$E$810,"Win")&gt;1,_xlfn.TEXTJOIN(" + ",TRUE,IF(('Match Log'!$A$4:$A$810=$A302)*('Match Log'!$E$4:$E$810="Loss"),'Match Log'!$D$4:$D$810,"")),IF($E302=2,LOOKUP(2,1/(('Match Log'!$A$4:$A$810=$A302)*('Match Log'!$E$4:$E$810="Loss")),'Match Log'!$D$4:$D$810),"the field")),"")</f>
        <v>the field</v>
      </c>
      <c r="I302" t="str">
        <f t="shared" si="35"/>
        <v/>
      </c>
      <c r="J302">
        <v>278</v>
      </c>
      <c r="K302" t="e">
        <f>IF($J302&gt;MAX('Match Log'!$A$4:$A$810),NA(),IFERROR(LOOKUP(2,1/(('Match Log'!$D$4:$D$810=$K$24)*('Match Log'!$A$4:$A$810&lt;=$J302)),'Match Log'!$N$4:$N$810),NA()))</f>
        <v>#N/A</v>
      </c>
      <c r="L302" t="e">
        <f>IF($J302&gt;MAX('Match Log'!$A$4:$A$810),NA(),IFERROR(LOOKUP(2,1/(('Match Log'!$D$4:$D$810=$L$24)*('Match Log'!$A$4:$A$810&lt;=$J302)),'Match Log'!$N$4:$N$810),NA()))</f>
        <v>#N/A</v>
      </c>
      <c r="M302" t="e">
        <f>IF($J302&gt;MAX('Match Log'!$A$4:$A$810),NA(),IFERROR(LOOKUP(2,1/(('Match Log'!$D$4:$D$810=$M$24)*('Match Log'!$A$4:$A$810&lt;=$J302)),'Match Log'!$N$4:$N$810),NA()))</f>
        <v>#N/A</v>
      </c>
      <c r="N302" t="e">
        <f>IF($J302&gt;MAX('Match Log'!$A$4:$A$810),NA(),IFERROR(LOOKUP(2,1/(('Match Log'!$D$4:$D$810=$N$24)*('Match Log'!$A$4:$A$810&lt;=$J302)),'Match Log'!$N$4:$N$810),NA()))</f>
        <v>#N/A</v>
      </c>
      <c r="O302" t="e">
        <f>IF($J302&gt;MAX('Match Log'!$A$4:$A$810),NA(),IFERROR(LOOKUP(2,1/(('Match Log'!$D$4:$D$810=$O$24)*('Match Log'!$A$4:$A$810&lt;=$J302)),'Match Log'!$N$4:$N$810),NA()))</f>
        <v>#N/A</v>
      </c>
      <c r="P302" t="e">
        <f>IF($J302&gt;MAX('Match Log'!$A$4:$A$810),NA(),IFERROR(LOOKUP(2,1/(('Match Log'!$D$4:$D$810=$P$24)*('Match Log'!$A$4:$A$810&lt;=$J302)),'Match Log'!$N$4:$N$810),NA()))</f>
        <v>#N/A</v>
      </c>
      <c r="Q302" t="e">
        <f>IF($J302&gt;MAX('Match Log'!$A$4:$A$810),NA(),IFERROR(LOOKUP(2,1/(('Match Log'!$D$4:$D$810=$Q$24)*('Match Log'!$A$4:$A$810&lt;=$J302)),'Match Log'!$N$4:$N$810),NA()))</f>
        <v>#N/A</v>
      </c>
      <c r="R302" t="e">
        <f>IF($J302&gt;MAX('Match Log'!$A$4:$A$810),NA(),IFERROR(LOOKUP(2,1/(('Match Log'!$D$4:$D$810=$R$24)*('Match Log'!$A$4:$A$810&lt;=$J302)),'Match Log'!$N$4:$N$810),NA()))</f>
        <v>#N/A</v>
      </c>
      <c r="S302" t="e">
        <f>IF($J302&gt;MAX('Match Log'!$A$4:$A$810),NA(),IFERROR(LOOKUP(2,1/(('Match Log'!$D$4:$D$810=$S$24)*('Match Log'!$A$4:$A$810&lt;=$J302)),'Match Log'!$N$4:$N$810),NA()))</f>
        <v>#N/A</v>
      </c>
      <c r="T302" t="e">
        <f>IF($J302&gt;MAX('Match Log'!$A$4:$A$810),NA(),IFERROR(LOOKUP(2,1/(('Match Log'!$D$4:$D$810=$T$24)*('Match Log'!$A$4:$A$810&lt;=$J302)),'Match Log'!$N$4:$N$810),NA()))</f>
        <v>#N/A</v>
      </c>
      <c r="U302" t="e">
        <f>IF($J302&gt;MAX('Match Log'!$A$4:$A$810),NA(),IFERROR(LOOKUP(2,1/(('Match Log'!$D$4:$D$810=$U$24)*('Match Log'!$A$4:$A$810&lt;=$J302)),'Match Log'!$N$4:$N$810),NA()))</f>
        <v>#N/A</v>
      </c>
      <c r="V302" t="e">
        <f>IF($J302&gt;MAX('Match Log'!$A$4:$A$810),NA(),IFERROR(LOOKUP(2,1/(('Match Log'!$D$4:$D$810=$V$24)*('Match Log'!$A$4:$A$810&lt;=$J302)),'Match Log'!$N$4:$N$810),NA()))</f>
        <v>#N/A</v>
      </c>
      <c r="W302" t="e">
        <f>IF($J302&gt;MAX('Match Log'!$A$4:$A$810),NA(),IFERROR(LOOKUP(2,1/(('Match Log'!$D$4:$D$810=$W$24)*('Match Log'!$A$4:$A$810&lt;=$J302)),'Match Log'!$N$4:$N$810),NA()))</f>
        <v>#N/A</v>
      </c>
      <c r="X302" t="e">
        <f>IF($J302&gt;MAX('Match Log'!$A$4:$A$810),NA(),IFERROR(LOOKUP(2,1/(('Match Log'!$D$4:$D$810=$X$24)*('Match Log'!$A$4:$A$810&lt;=$J302)),'Match Log'!$N$4:$N$810),NA()))</f>
        <v>#N/A</v>
      </c>
      <c r="Y302" t="str">
        <f t="shared" ca="1" si="36"/>
        <v/>
      </c>
    </row>
    <row r="303" spans="1:25" x14ac:dyDescent="0.2">
      <c r="A303">
        <v>279</v>
      </c>
      <c r="B303" t="str">
        <f>IFERROR(INDEX('Match Log'!$B$4:$B$810,MATCH(279,'Match Log'!$A$4:$A$810,0)),"")</f>
        <v/>
      </c>
      <c r="C303" t="str">
        <f>IFERROR(INDEX('Match Log'!$C$4:$C$810,MATCH(279,'Match Log'!$A$4:$A$810,0)),"")</f>
        <v/>
      </c>
      <c r="D303" t="str">
        <f t="array" ref="D303">IFERROR(_xlfn.TEXTJOIN(" + ",TRUE,IF(('Match Log'!$A$4:$A$810=$A303)*('Match Log'!$E$4:$E$810="Win"),'Match Log'!$D$4:$D$810,"")),IFERROR(LOOKUP(2,1/(('Match Log'!$A$4:$A$810=$A303)*('Match Log'!$E$4:$E$810="Win")),'Match Log'!$D$4:$D$810),""))</f>
        <v/>
      </c>
      <c r="E303" t="str">
        <f>IFERROR(INDEX('Match Log'!$F$4:$F$810,MATCH(279,'Match Log'!$A$4:$A$810,0)),"")</f>
        <v/>
      </c>
      <c r="F303">
        <f>IFERROR(SUMIFS('Match Log'!$I$4:$I$810,'Match Log'!$A$4:$A$810,279,'Match Log'!$E$4:$E$810,"Win"),"")</f>
        <v>0</v>
      </c>
      <c r="G303" t="str">
        <f t="shared" si="34"/>
        <v/>
      </c>
      <c r="H303" t="str">
        <f t="array" ref="H303">IFERROR(IF(COUNTIFS('Match Log'!$A$4:$A$810,$A303,'Match Log'!$E$4:$E$810,"Win")&gt;1,_xlfn.TEXTJOIN(" + ",TRUE,IF(('Match Log'!$A$4:$A$810=$A303)*('Match Log'!$E$4:$E$810="Loss"),'Match Log'!$D$4:$D$810,"")),IF($E303=2,LOOKUP(2,1/(('Match Log'!$A$4:$A$810=$A303)*('Match Log'!$E$4:$E$810="Loss")),'Match Log'!$D$4:$D$810),"the field")),"")</f>
        <v>the field</v>
      </c>
      <c r="I303" t="str">
        <f t="shared" si="35"/>
        <v/>
      </c>
      <c r="J303">
        <v>279</v>
      </c>
      <c r="K303" t="e">
        <f>IF($J303&gt;MAX('Match Log'!$A$4:$A$810),NA(),IFERROR(LOOKUP(2,1/(('Match Log'!$D$4:$D$810=$K$24)*('Match Log'!$A$4:$A$810&lt;=$J303)),'Match Log'!$N$4:$N$810),NA()))</f>
        <v>#N/A</v>
      </c>
      <c r="L303" t="e">
        <f>IF($J303&gt;MAX('Match Log'!$A$4:$A$810),NA(),IFERROR(LOOKUP(2,1/(('Match Log'!$D$4:$D$810=$L$24)*('Match Log'!$A$4:$A$810&lt;=$J303)),'Match Log'!$N$4:$N$810),NA()))</f>
        <v>#N/A</v>
      </c>
      <c r="M303" t="e">
        <f>IF($J303&gt;MAX('Match Log'!$A$4:$A$810),NA(),IFERROR(LOOKUP(2,1/(('Match Log'!$D$4:$D$810=$M$24)*('Match Log'!$A$4:$A$810&lt;=$J303)),'Match Log'!$N$4:$N$810),NA()))</f>
        <v>#N/A</v>
      </c>
      <c r="N303" t="e">
        <f>IF($J303&gt;MAX('Match Log'!$A$4:$A$810),NA(),IFERROR(LOOKUP(2,1/(('Match Log'!$D$4:$D$810=$N$24)*('Match Log'!$A$4:$A$810&lt;=$J303)),'Match Log'!$N$4:$N$810),NA()))</f>
        <v>#N/A</v>
      </c>
      <c r="O303" t="e">
        <f>IF($J303&gt;MAX('Match Log'!$A$4:$A$810),NA(),IFERROR(LOOKUP(2,1/(('Match Log'!$D$4:$D$810=$O$24)*('Match Log'!$A$4:$A$810&lt;=$J303)),'Match Log'!$N$4:$N$810),NA()))</f>
        <v>#N/A</v>
      </c>
      <c r="P303" t="e">
        <f>IF($J303&gt;MAX('Match Log'!$A$4:$A$810),NA(),IFERROR(LOOKUP(2,1/(('Match Log'!$D$4:$D$810=$P$24)*('Match Log'!$A$4:$A$810&lt;=$J303)),'Match Log'!$N$4:$N$810),NA()))</f>
        <v>#N/A</v>
      </c>
      <c r="Q303" t="e">
        <f>IF($J303&gt;MAX('Match Log'!$A$4:$A$810),NA(),IFERROR(LOOKUP(2,1/(('Match Log'!$D$4:$D$810=$Q$24)*('Match Log'!$A$4:$A$810&lt;=$J303)),'Match Log'!$N$4:$N$810),NA()))</f>
        <v>#N/A</v>
      </c>
      <c r="R303" t="e">
        <f>IF($J303&gt;MAX('Match Log'!$A$4:$A$810),NA(),IFERROR(LOOKUP(2,1/(('Match Log'!$D$4:$D$810=$R$24)*('Match Log'!$A$4:$A$810&lt;=$J303)),'Match Log'!$N$4:$N$810),NA()))</f>
        <v>#N/A</v>
      </c>
      <c r="S303" t="e">
        <f>IF($J303&gt;MAX('Match Log'!$A$4:$A$810),NA(),IFERROR(LOOKUP(2,1/(('Match Log'!$D$4:$D$810=$S$24)*('Match Log'!$A$4:$A$810&lt;=$J303)),'Match Log'!$N$4:$N$810),NA()))</f>
        <v>#N/A</v>
      </c>
      <c r="T303" t="e">
        <f>IF($J303&gt;MAX('Match Log'!$A$4:$A$810),NA(),IFERROR(LOOKUP(2,1/(('Match Log'!$D$4:$D$810=$T$24)*('Match Log'!$A$4:$A$810&lt;=$J303)),'Match Log'!$N$4:$N$810),NA()))</f>
        <v>#N/A</v>
      </c>
      <c r="U303" t="e">
        <f>IF($J303&gt;MAX('Match Log'!$A$4:$A$810),NA(),IFERROR(LOOKUP(2,1/(('Match Log'!$D$4:$D$810=$U$24)*('Match Log'!$A$4:$A$810&lt;=$J303)),'Match Log'!$N$4:$N$810),NA()))</f>
        <v>#N/A</v>
      </c>
      <c r="V303" t="e">
        <f>IF($J303&gt;MAX('Match Log'!$A$4:$A$810),NA(),IFERROR(LOOKUP(2,1/(('Match Log'!$D$4:$D$810=$V$24)*('Match Log'!$A$4:$A$810&lt;=$J303)),'Match Log'!$N$4:$N$810),NA()))</f>
        <v>#N/A</v>
      </c>
      <c r="W303" t="e">
        <f>IF($J303&gt;MAX('Match Log'!$A$4:$A$810),NA(),IFERROR(LOOKUP(2,1/(('Match Log'!$D$4:$D$810=$W$24)*('Match Log'!$A$4:$A$810&lt;=$J303)),'Match Log'!$N$4:$N$810),NA()))</f>
        <v>#N/A</v>
      </c>
      <c r="X303" t="e">
        <f>IF($J303&gt;MAX('Match Log'!$A$4:$A$810),NA(),IFERROR(LOOKUP(2,1/(('Match Log'!$D$4:$D$810=$X$24)*('Match Log'!$A$4:$A$810&lt;=$J303)),'Match Log'!$N$4:$N$810),NA()))</f>
        <v>#N/A</v>
      </c>
      <c r="Y303" t="str">
        <f t="shared" ca="1" si="36"/>
        <v/>
      </c>
    </row>
    <row r="304" spans="1:25" x14ac:dyDescent="0.2">
      <c r="A304">
        <v>280</v>
      </c>
      <c r="B304" t="str">
        <f>IFERROR(INDEX('Match Log'!$B$4:$B$810,MATCH(280,'Match Log'!$A$4:$A$810,0)),"")</f>
        <v/>
      </c>
      <c r="C304" t="str">
        <f>IFERROR(INDEX('Match Log'!$C$4:$C$810,MATCH(280,'Match Log'!$A$4:$A$810,0)),"")</f>
        <v/>
      </c>
      <c r="D304" t="str">
        <f t="array" ref="D304">IFERROR(_xlfn.TEXTJOIN(" + ",TRUE,IF(('Match Log'!$A$4:$A$810=$A304)*('Match Log'!$E$4:$E$810="Win"),'Match Log'!$D$4:$D$810,"")),IFERROR(LOOKUP(2,1/(('Match Log'!$A$4:$A$810=$A304)*('Match Log'!$E$4:$E$810="Win")),'Match Log'!$D$4:$D$810),""))</f>
        <v/>
      </c>
      <c r="E304" t="str">
        <f>IFERROR(INDEX('Match Log'!$F$4:$F$810,MATCH(280,'Match Log'!$A$4:$A$810,0)),"")</f>
        <v/>
      </c>
      <c r="F304">
        <f>IFERROR(SUMIFS('Match Log'!$I$4:$I$810,'Match Log'!$A$4:$A$810,280,'Match Log'!$E$4:$E$810,"Win"),"")</f>
        <v>0</v>
      </c>
      <c r="G304" t="str">
        <f t="shared" si="34"/>
        <v/>
      </c>
      <c r="H304" t="str">
        <f t="array" ref="H304">IFERROR(IF(COUNTIFS('Match Log'!$A$4:$A$810,$A304,'Match Log'!$E$4:$E$810,"Win")&gt;1,_xlfn.TEXTJOIN(" + ",TRUE,IF(('Match Log'!$A$4:$A$810=$A304)*('Match Log'!$E$4:$E$810="Loss"),'Match Log'!$D$4:$D$810,"")),IF($E304=2,LOOKUP(2,1/(('Match Log'!$A$4:$A$810=$A304)*('Match Log'!$E$4:$E$810="Loss")),'Match Log'!$D$4:$D$810),"the field")),"")</f>
        <v>the field</v>
      </c>
      <c r="I304" t="str">
        <f t="shared" si="35"/>
        <v/>
      </c>
      <c r="J304">
        <v>280</v>
      </c>
      <c r="K304" t="e">
        <f>IF($J304&gt;MAX('Match Log'!$A$4:$A$810),NA(),IFERROR(LOOKUP(2,1/(('Match Log'!$D$4:$D$810=$K$24)*('Match Log'!$A$4:$A$810&lt;=$J304)),'Match Log'!$N$4:$N$810),NA()))</f>
        <v>#N/A</v>
      </c>
      <c r="L304" t="e">
        <f>IF($J304&gt;MAX('Match Log'!$A$4:$A$810),NA(),IFERROR(LOOKUP(2,1/(('Match Log'!$D$4:$D$810=$L$24)*('Match Log'!$A$4:$A$810&lt;=$J304)),'Match Log'!$N$4:$N$810),NA()))</f>
        <v>#N/A</v>
      </c>
      <c r="M304" t="e">
        <f>IF($J304&gt;MAX('Match Log'!$A$4:$A$810),NA(),IFERROR(LOOKUP(2,1/(('Match Log'!$D$4:$D$810=$M$24)*('Match Log'!$A$4:$A$810&lt;=$J304)),'Match Log'!$N$4:$N$810),NA()))</f>
        <v>#N/A</v>
      </c>
      <c r="N304" t="e">
        <f>IF($J304&gt;MAX('Match Log'!$A$4:$A$810),NA(),IFERROR(LOOKUP(2,1/(('Match Log'!$D$4:$D$810=$N$24)*('Match Log'!$A$4:$A$810&lt;=$J304)),'Match Log'!$N$4:$N$810),NA()))</f>
        <v>#N/A</v>
      </c>
      <c r="O304" t="e">
        <f>IF($J304&gt;MAX('Match Log'!$A$4:$A$810),NA(),IFERROR(LOOKUP(2,1/(('Match Log'!$D$4:$D$810=$O$24)*('Match Log'!$A$4:$A$810&lt;=$J304)),'Match Log'!$N$4:$N$810),NA()))</f>
        <v>#N/A</v>
      </c>
      <c r="P304" t="e">
        <f>IF($J304&gt;MAX('Match Log'!$A$4:$A$810),NA(),IFERROR(LOOKUP(2,1/(('Match Log'!$D$4:$D$810=$P$24)*('Match Log'!$A$4:$A$810&lt;=$J304)),'Match Log'!$N$4:$N$810),NA()))</f>
        <v>#N/A</v>
      </c>
      <c r="Q304" t="e">
        <f>IF($J304&gt;MAX('Match Log'!$A$4:$A$810),NA(),IFERROR(LOOKUP(2,1/(('Match Log'!$D$4:$D$810=$Q$24)*('Match Log'!$A$4:$A$810&lt;=$J304)),'Match Log'!$N$4:$N$810),NA()))</f>
        <v>#N/A</v>
      </c>
      <c r="R304" t="e">
        <f>IF($J304&gt;MAX('Match Log'!$A$4:$A$810),NA(),IFERROR(LOOKUP(2,1/(('Match Log'!$D$4:$D$810=$R$24)*('Match Log'!$A$4:$A$810&lt;=$J304)),'Match Log'!$N$4:$N$810),NA()))</f>
        <v>#N/A</v>
      </c>
      <c r="S304" t="e">
        <f>IF($J304&gt;MAX('Match Log'!$A$4:$A$810),NA(),IFERROR(LOOKUP(2,1/(('Match Log'!$D$4:$D$810=$S$24)*('Match Log'!$A$4:$A$810&lt;=$J304)),'Match Log'!$N$4:$N$810),NA()))</f>
        <v>#N/A</v>
      </c>
      <c r="T304" t="e">
        <f>IF($J304&gt;MAX('Match Log'!$A$4:$A$810),NA(),IFERROR(LOOKUP(2,1/(('Match Log'!$D$4:$D$810=$T$24)*('Match Log'!$A$4:$A$810&lt;=$J304)),'Match Log'!$N$4:$N$810),NA()))</f>
        <v>#N/A</v>
      </c>
      <c r="U304" t="e">
        <f>IF($J304&gt;MAX('Match Log'!$A$4:$A$810),NA(),IFERROR(LOOKUP(2,1/(('Match Log'!$D$4:$D$810=$U$24)*('Match Log'!$A$4:$A$810&lt;=$J304)),'Match Log'!$N$4:$N$810),NA()))</f>
        <v>#N/A</v>
      </c>
      <c r="V304" t="e">
        <f>IF($J304&gt;MAX('Match Log'!$A$4:$A$810),NA(),IFERROR(LOOKUP(2,1/(('Match Log'!$D$4:$D$810=$V$24)*('Match Log'!$A$4:$A$810&lt;=$J304)),'Match Log'!$N$4:$N$810),NA()))</f>
        <v>#N/A</v>
      </c>
      <c r="W304" t="e">
        <f>IF($J304&gt;MAX('Match Log'!$A$4:$A$810),NA(),IFERROR(LOOKUP(2,1/(('Match Log'!$D$4:$D$810=$W$24)*('Match Log'!$A$4:$A$810&lt;=$J304)),'Match Log'!$N$4:$N$810),NA()))</f>
        <v>#N/A</v>
      </c>
      <c r="X304" t="e">
        <f>IF($J304&gt;MAX('Match Log'!$A$4:$A$810),NA(),IFERROR(LOOKUP(2,1/(('Match Log'!$D$4:$D$810=$X$24)*('Match Log'!$A$4:$A$810&lt;=$J304)),'Match Log'!$N$4:$N$810),NA()))</f>
        <v>#N/A</v>
      </c>
      <c r="Y304" t="str">
        <f t="shared" ca="1" si="36"/>
        <v/>
      </c>
    </row>
    <row r="305" spans="1:25" x14ac:dyDescent="0.2">
      <c r="A305">
        <v>281</v>
      </c>
      <c r="B305" t="str">
        <f>IFERROR(INDEX('Match Log'!$B$4:$B$810,MATCH(281,'Match Log'!$A$4:$A$810,0)),"")</f>
        <v/>
      </c>
      <c r="C305" t="str">
        <f>IFERROR(INDEX('Match Log'!$C$4:$C$810,MATCH(281,'Match Log'!$A$4:$A$810,0)),"")</f>
        <v/>
      </c>
      <c r="D305" t="str">
        <f t="array" ref="D305">IFERROR(_xlfn.TEXTJOIN(" + ",TRUE,IF(('Match Log'!$A$4:$A$810=$A305)*('Match Log'!$E$4:$E$810="Win"),'Match Log'!$D$4:$D$810,"")),IFERROR(LOOKUP(2,1/(('Match Log'!$A$4:$A$810=$A305)*('Match Log'!$E$4:$E$810="Win")),'Match Log'!$D$4:$D$810),""))</f>
        <v/>
      </c>
      <c r="E305" t="str">
        <f>IFERROR(INDEX('Match Log'!$F$4:$F$810,MATCH(281,'Match Log'!$A$4:$A$810,0)),"")</f>
        <v/>
      </c>
      <c r="F305">
        <f>IFERROR(SUMIFS('Match Log'!$I$4:$I$810,'Match Log'!$A$4:$A$810,281,'Match Log'!$E$4:$E$810,"Win"),"")</f>
        <v>0</v>
      </c>
      <c r="G305" t="str">
        <f t="shared" si="34"/>
        <v/>
      </c>
      <c r="H305" t="str">
        <f t="array" ref="H305">IFERROR(IF(COUNTIFS('Match Log'!$A$4:$A$810,$A305,'Match Log'!$E$4:$E$810,"Win")&gt;1,_xlfn.TEXTJOIN(" + ",TRUE,IF(('Match Log'!$A$4:$A$810=$A305)*('Match Log'!$E$4:$E$810="Loss"),'Match Log'!$D$4:$D$810,"")),IF($E305=2,LOOKUP(2,1/(('Match Log'!$A$4:$A$810=$A305)*('Match Log'!$E$4:$E$810="Loss")),'Match Log'!$D$4:$D$810),"the field")),"")</f>
        <v>the field</v>
      </c>
      <c r="I305" t="str">
        <f t="shared" si="35"/>
        <v/>
      </c>
      <c r="J305">
        <v>281</v>
      </c>
      <c r="K305" t="e">
        <f>IF($J305&gt;MAX('Match Log'!$A$4:$A$810),NA(),IFERROR(LOOKUP(2,1/(('Match Log'!$D$4:$D$810=$K$24)*('Match Log'!$A$4:$A$810&lt;=$J305)),'Match Log'!$N$4:$N$810),NA()))</f>
        <v>#N/A</v>
      </c>
      <c r="L305" t="e">
        <f>IF($J305&gt;MAX('Match Log'!$A$4:$A$810),NA(),IFERROR(LOOKUP(2,1/(('Match Log'!$D$4:$D$810=$L$24)*('Match Log'!$A$4:$A$810&lt;=$J305)),'Match Log'!$N$4:$N$810),NA()))</f>
        <v>#N/A</v>
      </c>
      <c r="M305" t="e">
        <f>IF($J305&gt;MAX('Match Log'!$A$4:$A$810),NA(),IFERROR(LOOKUP(2,1/(('Match Log'!$D$4:$D$810=$M$24)*('Match Log'!$A$4:$A$810&lt;=$J305)),'Match Log'!$N$4:$N$810),NA()))</f>
        <v>#N/A</v>
      </c>
      <c r="N305" t="e">
        <f>IF($J305&gt;MAX('Match Log'!$A$4:$A$810),NA(),IFERROR(LOOKUP(2,1/(('Match Log'!$D$4:$D$810=$N$24)*('Match Log'!$A$4:$A$810&lt;=$J305)),'Match Log'!$N$4:$N$810),NA()))</f>
        <v>#N/A</v>
      </c>
      <c r="O305" t="e">
        <f>IF($J305&gt;MAX('Match Log'!$A$4:$A$810),NA(),IFERROR(LOOKUP(2,1/(('Match Log'!$D$4:$D$810=$O$24)*('Match Log'!$A$4:$A$810&lt;=$J305)),'Match Log'!$N$4:$N$810),NA()))</f>
        <v>#N/A</v>
      </c>
      <c r="P305" t="e">
        <f>IF($J305&gt;MAX('Match Log'!$A$4:$A$810),NA(),IFERROR(LOOKUP(2,1/(('Match Log'!$D$4:$D$810=$P$24)*('Match Log'!$A$4:$A$810&lt;=$J305)),'Match Log'!$N$4:$N$810),NA()))</f>
        <v>#N/A</v>
      </c>
      <c r="Q305" t="e">
        <f>IF($J305&gt;MAX('Match Log'!$A$4:$A$810),NA(),IFERROR(LOOKUP(2,1/(('Match Log'!$D$4:$D$810=$Q$24)*('Match Log'!$A$4:$A$810&lt;=$J305)),'Match Log'!$N$4:$N$810),NA()))</f>
        <v>#N/A</v>
      </c>
      <c r="R305" t="e">
        <f>IF($J305&gt;MAX('Match Log'!$A$4:$A$810),NA(),IFERROR(LOOKUP(2,1/(('Match Log'!$D$4:$D$810=$R$24)*('Match Log'!$A$4:$A$810&lt;=$J305)),'Match Log'!$N$4:$N$810),NA()))</f>
        <v>#N/A</v>
      </c>
      <c r="S305" t="e">
        <f>IF($J305&gt;MAX('Match Log'!$A$4:$A$810),NA(),IFERROR(LOOKUP(2,1/(('Match Log'!$D$4:$D$810=$S$24)*('Match Log'!$A$4:$A$810&lt;=$J305)),'Match Log'!$N$4:$N$810),NA()))</f>
        <v>#N/A</v>
      </c>
      <c r="T305" t="e">
        <f>IF($J305&gt;MAX('Match Log'!$A$4:$A$810),NA(),IFERROR(LOOKUP(2,1/(('Match Log'!$D$4:$D$810=$T$24)*('Match Log'!$A$4:$A$810&lt;=$J305)),'Match Log'!$N$4:$N$810),NA()))</f>
        <v>#N/A</v>
      </c>
      <c r="U305" t="e">
        <f>IF($J305&gt;MAX('Match Log'!$A$4:$A$810),NA(),IFERROR(LOOKUP(2,1/(('Match Log'!$D$4:$D$810=$U$24)*('Match Log'!$A$4:$A$810&lt;=$J305)),'Match Log'!$N$4:$N$810),NA()))</f>
        <v>#N/A</v>
      </c>
      <c r="V305" t="e">
        <f>IF($J305&gt;MAX('Match Log'!$A$4:$A$810),NA(),IFERROR(LOOKUP(2,1/(('Match Log'!$D$4:$D$810=$V$24)*('Match Log'!$A$4:$A$810&lt;=$J305)),'Match Log'!$N$4:$N$810),NA()))</f>
        <v>#N/A</v>
      </c>
      <c r="W305" t="e">
        <f>IF($J305&gt;MAX('Match Log'!$A$4:$A$810),NA(),IFERROR(LOOKUP(2,1/(('Match Log'!$D$4:$D$810=$W$24)*('Match Log'!$A$4:$A$810&lt;=$J305)),'Match Log'!$N$4:$N$810),NA()))</f>
        <v>#N/A</v>
      </c>
      <c r="X305" t="e">
        <f>IF($J305&gt;MAX('Match Log'!$A$4:$A$810),NA(),IFERROR(LOOKUP(2,1/(('Match Log'!$D$4:$D$810=$X$24)*('Match Log'!$A$4:$A$810&lt;=$J305)),'Match Log'!$N$4:$N$810),NA()))</f>
        <v>#N/A</v>
      </c>
      <c r="Y305" t="str">
        <f t="shared" ca="1" si="36"/>
        <v/>
      </c>
    </row>
    <row r="306" spans="1:25" x14ac:dyDescent="0.2">
      <c r="A306">
        <v>282</v>
      </c>
      <c r="B306" t="str">
        <f>IFERROR(INDEX('Match Log'!$B$4:$B$810,MATCH(282,'Match Log'!$A$4:$A$810,0)),"")</f>
        <v/>
      </c>
      <c r="C306" t="str">
        <f>IFERROR(INDEX('Match Log'!$C$4:$C$810,MATCH(282,'Match Log'!$A$4:$A$810,0)),"")</f>
        <v/>
      </c>
      <c r="D306" t="str">
        <f t="array" ref="D306">IFERROR(_xlfn.TEXTJOIN(" + ",TRUE,IF(('Match Log'!$A$4:$A$810=$A306)*('Match Log'!$E$4:$E$810="Win"),'Match Log'!$D$4:$D$810,"")),IFERROR(LOOKUP(2,1/(('Match Log'!$A$4:$A$810=$A306)*('Match Log'!$E$4:$E$810="Win")),'Match Log'!$D$4:$D$810),""))</f>
        <v/>
      </c>
      <c r="E306" t="str">
        <f>IFERROR(INDEX('Match Log'!$F$4:$F$810,MATCH(282,'Match Log'!$A$4:$A$810,0)),"")</f>
        <v/>
      </c>
      <c r="F306">
        <f>IFERROR(SUMIFS('Match Log'!$I$4:$I$810,'Match Log'!$A$4:$A$810,282,'Match Log'!$E$4:$E$810,"Win"),"")</f>
        <v>0</v>
      </c>
      <c r="G306" t="str">
        <f t="shared" si="34"/>
        <v/>
      </c>
      <c r="H306" t="str">
        <f t="array" ref="H306">IFERROR(IF(COUNTIFS('Match Log'!$A$4:$A$810,$A306,'Match Log'!$E$4:$E$810,"Win")&gt;1,_xlfn.TEXTJOIN(" + ",TRUE,IF(('Match Log'!$A$4:$A$810=$A306)*('Match Log'!$E$4:$E$810="Loss"),'Match Log'!$D$4:$D$810,"")),IF($E306=2,LOOKUP(2,1/(('Match Log'!$A$4:$A$810=$A306)*('Match Log'!$E$4:$E$810="Loss")),'Match Log'!$D$4:$D$810),"the field")),"")</f>
        <v>the field</v>
      </c>
      <c r="I306" t="str">
        <f t="shared" si="35"/>
        <v/>
      </c>
      <c r="J306">
        <v>282</v>
      </c>
      <c r="K306" t="e">
        <f>IF($J306&gt;MAX('Match Log'!$A$4:$A$810),NA(),IFERROR(LOOKUP(2,1/(('Match Log'!$D$4:$D$810=$K$24)*('Match Log'!$A$4:$A$810&lt;=$J306)),'Match Log'!$N$4:$N$810),NA()))</f>
        <v>#N/A</v>
      </c>
      <c r="L306" t="e">
        <f>IF($J306&gt;MAX('Match Log'!$A$4:$A$810),NA(),IFERROR(LOOKUP(2,1/(('Match Log'!$D$4:$D$810=$L$24)*('Match Log'!$A$4:$A$810&lt;=$J306)),'Match Log'!$N$4:$N$810),NA()))</f>
        <v>#N/A</v>
      </c>
      <c r="M306" t="e">
        <f>IF($J306&gt;MAX('Match Log'!$A$4:$A$810),NA(),IFERROR(LOOKUP(2,1/(('Match Log'!$D$4:$D$810=$M$24)*('Match Log'!$A$4:$A$810&lt;=$J306)),'Match Log'!$N$4:$N$810),NA()))</f>
        <v>#N/A</v>
      </c>
      <c r="N306" t="e">
        <f>IF($J306&gt;MAX('Match Log'!$A$4:$A$810),NA(),IFERROR(LOOKUP(2,1/(('Match Log'!$D$4:$D$810=$N$24)*('Match Log'!$A$4:$A$810&lt;=$J306)),'Match Log'!$N$4:$N$810),NA()))</f>
        <v>#N/A</v>
      </c>
      <c r="O306" t="e">
        <f>IF($J306&gt;MAX('Match Log'!$A$4:$A$810),NA(),IFERROR(LOOKUP(2,1/(('Match Log'!$D$4:$D$810=$O$24)*('Match Log'!$A$4:$A$810&lt;=$J306)),'Match Log'!$N$4:$N$810),NA()))</f>
        <v>#N/A</v>
      </c>
      <c r="P306" t="e">
        <f>IF($J306&gt;MAX('Match Log'!$A$4:$A$810),NA(),IFERROR(LOOKUP(2,1/(('Match Log'!$D$4:$D$810=$P$24)*('Match Log'!$A$4:$A$810&lt;=$J306)),'Match Log'!$N$4:$N$810),NA()))</f>
        <v>#N/A</v>
      </c>
      <c r="Q306" t="e">
        <f>IF($J306&gt;MAX('Match Log'!$A$4:$A$810),NA(),IFERROR(LOOKUP(2,1/(('Match Log'!$D$4:$D$810=$Q$24)*('Match Log'!$A$4:$A$810&lt;=$J306)),'Match Log'!$N$4:$N$810),NA()))</f>
        <v>#N/A</v>
      </c>
      <c r="R306" t="e">
        <f>IF($J306&gt;MAX('Match Log'!$A$4:$A$810),NA(),IFERROR(LOOKUP(2,1/(('Match Log'!$D$4:$D$810=$R$24)*('Match Log'!$A$4:$A$810&lt;=$J306)),'Match Log'!$N$4:$N$810),NA()))</f>
        <v>#N/A</v>
      </c>
      <c r="S306" t="e">
        <f>IF($J306&gt;MAX('Match Log'!$A$4:$A$810),NA(),IFERROR(LOOKUP(2,1/(('Match Log'!$D$4:$D$810=$S$24)*('Match Log'!$A$4:$A$810&lt;=$J306)),'Match Log'!$N$4:$N$810),NA()))</f>
        <v>#N/A</v>
      </c>
      <c r="T306" t="e">
        <f>IF($J306&gt;MAX('Match Log'!$A$4:$A$810),NA(),IFERROR(LOOKUP(2,1/(('Match Log'!$D$4:$D$810=$T$24)*('Match Log'!$A$4:$A$810&lt;=$J306)),'Match Log'!$N$4:$N$810),NA()))</f>
        <v>#N/A</v>
      </c>
      <c r="U306" t="e">
        <f>IF($J306&gt;MAX('Match Log'!$A$4:$A$810),NA(),IFERROR(LOOKUP(2,1/(('Match Log'!$D$4:$D$810=$U$24)*('Match Log'!$A$4:$A$810&lt;=$J306)),'Match Log'!$N$4:$N$810),NA()))</f>
        <v>#N/A</v>
      </c>
      <c r="V306" t="e">
        <f>IF($J306&gt;MAX('Match Log'!$A$4:$A$810),NA(),IFERROR(LOOKUP(2,1/(('Match Log'!$D$4:$D$810=$V$24)*('Match Log'!$A$4:$A$810&lt;=$J306)),'Match Log'!$N$4:$N$810),NA()))</f>
        <v>#N/A</v>
      </c>
      <c r="W306" t="e">
        <f>IF($J306&gt;MAX('Match Log'!$A$4:$A$810),NA(),IFERROR(LOOKUP(2,1/(('Match Log'!$D$4:$D$810=$W$24)*('Match Log'!$A$4:$A$810&lt;=$J306)),'Match Log'!$N$4:$N$810),NA()))</f>
        <v>#N/A</v>
      </c>
      <c r="X306" t="e">
        <f>IF($J306&gt;MAX('Match Log'!$A$4:$A$810),NA(),IFERROR(LOOKUP(2,1/(('Match Log'!$D$4:$D$810=$X$24)*('Match Log'!$A$4:$A$810&lt;=$J306)),'Match Log'!$N$4:$N$810),NA()))</f>
        <v>#N/A</v>
      </c>
      <c r="Y306" t="str">
        <f t="shared" ca="1" si="36"/>
        <v/>
      </c>
    </row>
    <row r="307" spans="1:25" x14ac:dyDescent="0.2">
      <c r="A307">
        <v>283</v>
      </c>
      <c r="B307" t="str">
        <f>IFERROR(INDEX('Match Log'!$B$4:$B$810,MATCH(283,'Match Log'!$A$4:$A$810,0)),"")</f>
        <v/>
      </c>
      <c r="C307" t="str">
        <f>IFERROR(INDEX('Match Log'!$C$4:$C$810,MATCH(283,'Match Log'!$A$4:$A$810,0)),"")</f>
        <v/>
      </c>
      <c r="D307" t="str">
        <f t="array" ref="D307">IFERROR(_xlfn.TEXTJOIN(" + ",TRUE,IF(('Match Log'!$A$4:$A$810=$A307)*('Match Log'!$E$4:$E$810="Win"),'Match Log'!$D$4:$D$810,"")),IFERROR(LOOKUP(2,1/(('Match Log'!$A$4:$A$810=$A307)*('Match Log'!$E$4:$E$810="Win")),'Match Log'!$D$4:$D$810),""))</f>
        <v/>
      </c>
      <c r="E307" t="str">
        <f>IFERROR(INDEX('Match Log'!$F$4:$F$810,MATCH(283,'Match Log'!$A$4:$A$810,0)),"")</f>
        <v/>
      </c>
      <c r="F307">
        <f>IFERROR(SUMIFS('Match Log'!$I$4:$I$810,'Match Log'!$A$4:$A$810,283,'Match Log'!$E$4:$E$810,"Win"),"")</f>
        <v>0</v>
      </c>
      <c r="G307" t="str">
        <f t="shared" si="34"/>
        <v/>
      </c>
      <c r="H307" t="str">
        <f t="array" ref="H307">IFERROR(IF(COUNTIFS('Match Log'!$A$4:$A$810,$A307,'Match Log'!$E$4:$E$810,"Win")&gt;1,_xlfn.TEXTJOIN(" + ",TRUE,IF(('Match Log'!$A$4:$A$810=$A307)*('Match Log'!$E$4:$E$810="Loss"),'Match Log'!$D$4:$D$810,"")),IF($E307=2,LOOKUP(2,1/(('Match Log'!$A$4:$A$810=$A307)*('Match Log'!$E$4:$E$810="Loss")),'Match Log'!$D$4:$D$810),"the field")),"")</f>
        <v>the field</v>
      </c>
      <c r="I307" t="str">
        <f t="shared" si="35"/>
        <v/>
      </c>
      <c r="J307">
        <v>283</v>
      </c>
      <c r="K307" t="e">
        <f>IF($J307&gt;MAX('Match Log'!$A$4:$A$810),NA(),IFERROR(LOOKUP(2,1/(('Match Log'!$D$4:$D$810=$K$24)*('Match Log'!$A$4:$A$810&lt;=$J307)),'Match Log'!$N$4:$N$810),NA()))</f>
        <v>#N/A</v>
      </c>
      <c r="L307" t="e">
        <f>IF($J307&gt;MAX('Match Log'!$A$4:$A$810),NA(),IFERROR(LOOKUP(2,1/(('Match Log'!$D$4:$D$810=$L$24)*('Match Log'!$A$4:$A$810&lt;=$J307)),'Match Log'!$N$4:$N$810),NA()))</f>
        <v>#N/A</v>
      </c>
      <c r="M307" t="e">
        <f>IF($J307&gt;MAX('Match Log'!$A$4:$A$810),NA(),IFERROR(LOOKUP(2,1/(('Match Log'!$D$4:$D$810=$M$24)*('Match Log'!$A$4:$A$810&lt;=$J307)),'Match Log'!$N$4:$N$810),NA()))</f>
        <v>#N/A</v>
      </c>
      <c r="N307" t="e">
        <f>IF($J307&gt;MAX('Match Log'!$A$4:$A$810),NA(),IFERROR(LOOKUP(2,1/(('Match Log'!$D$4:$D$810=$N$24)*('Match Log'!$A$4:$A$810&lt;=$J307)),'Match Log'!$N$4:$N$810),NA()))</f>
        <v>#N/A</v>
      </c>
      <c r="O307" t="e">
        <f>IF($J307&gt;MAX('Match Log'!$A$4:$A$810),NA(),IFERROR(LOOKUP(2,1/(('Match Log'!$D$4:$D$810=$O$24)*('Match Log'!$A$4:$A$810&lt;=$J307)),'Match Log'!$N$4:$N$810),NA()))</f>
        <v>#N/A</v>
      </c>
      <c r="P307" t="e">
        <f>IF($J307&gt;MAX('Match Log'!$A$4:$A$810),NA(),IFERROR(LOOKUP(2,1/(('Match Log'!$D$4:$D$810=$P$24)*('Match Log'!$A$4:$A$810&lt;=$J307)),'Match Log'!$N$4:$N$810),NA()))</f>
        <v>#N/A</v>
      </c>
      <c r="Q307" t="e">
        <f>IF($J307&gt;MAX('Match Log'!$A$4:$A$810),NA(),IFERROR(LOOKUP(2,1/(('Match Log'!$D$4:$D$810=$Q$24)*('Match Log'!$A$4:$A$810&lt;=$J307)),'Match Log'!$N$4:$N$810),NA()))</f>
        <v>#N/A</v>
      </c>
      <c r="R307" t="e">
        <f>IF($J307&gt;MAX('Match Log'!$A$4:$A$810),NA(),IFERROR(LOOKUP(2,1/(('Match Log'!$D$4:$D$810=$R$24)*('Match Log'!$A$4:$A$810&lt;=$J307)),'Match Log'!$N$4:$N$810),NA()))</f>
        <v>#N/A</v>
      </c>
      <c r="S307" t="e">
        <f>IF($J307&gt;MAX('Match Log'!$A$4:$A$810),NA(),IFERROR(LOOKUP(2,1/(('Match Log'!$D$4:$D$810=$S$24)*('Match Log'!$A$4:$A$810&lt;=$J307)),'Match Log'!$N$4:$N$810),NA()))</f>
        <v>#N/A</v>
      </c>
      <c r="T307" t="e">
        <f>IF($J307&gt;MAX('Match Log'!$A$4:$A$810),NA(),IFERROR(LOOKUP(2,1/(('Match Log'!$D$4:$D$810=$T$24)*('Match Log'!$A$4:$A$810&lt;=$J307)),'Match Log'!$N$4:$N$810),NA()))</f>
        <v>#N/A</v>
      </c>
      <c r="U307" t="e">
        <f>IF($J307&gt;MAX('Match Log'!$A$4:$A$810),NA(),IFERROR(LOOKUP(2,1/(('Match Log'!$D$4:$D$810=$U$24)*('Match Log'!$A$4:$A$810&lt;=$J307)),'Match Log'!$N$4:$N$810),NA()))</f>
        <v>#N/A</v>
      </c>
      <c r="V307" t="e">
        <f>IF($J307&gt;MAX('Match Log'!$A$4:$A$810),NA(),IFERROR(LOOKUP(2,1/(('Match Log'!$D$4:$D$810=$V$24)*('Match Log'!$A$4:$A$810&lt;=$J307)),'Match Log'!$N$4:$N$810),NA()))</f>
        <v>#N/A</v>
      </c>
      <c r="W307" t="e">
        <f>IF($J307&gt;MAX('Match Log'!$A$4:$A$810),NA(),IFERROR(LOOKUP(2,1/(('Match Log'!$D$4:$D$810=$W$24)*('Match Log'!$A$4:$A$810&lt;=$J307)),'Match Log'!$N$4:$N$810),NA()))</f>
        <v>#N/A</v>
      </c>
      <c r="X307" t="e">
        <f>IF($J307&gt;MAX('Match Log'!$A$4:$A$810),NA(),IFERROR(LOOKUP(2,1/(('Match Log'!$D$4:$D$810=$X$24)*('Match Log'!$A$4:$A$810&lt;=$J307)),'Match Log'!$N$4:$N$810),NA()))</f>
        <v>#N/A</v>
      </c>
      <c r="Y307" t="str">
        <f t="shared" ca="1" si="36"/>
        <v/>
      </c>
    </row>
    <row r="308" spans="1:25" x14ac:dyDescent="0.2">
      <c r="A308">
        <v>284</v>
      </c>
      <c r="B308" t="str">
        <f>IFERROR(INDEX('Match Log'!$B$4:$B$810,MATCH(284,'Match Log'!$A$4:$A$810,0)),"")</f>
        <v/>
      </c>
      <c r="C308" t="str">
        <f>IFERROR(INDEX('Match Log'!$C$4:$C$810,MATCH(284,'Match Log'!$A$4:$A$810,0)),"")</f>
        <v/>
      </c>
      <c r="D308" t="str">
        <f t="array" ref="D308">IFERROR(_xlfn.TEXTJOIN(" + ",TRUE,IF(('Match Log'!$A$4:$A$810=$A308)*('Match Log'!$E$4:$E$810="Win"),'Match Log'!$D$4:$D$810,"")),IFERROR(LOOKUP(2,1/(('Match Log'!$A$4:$A$810=$A308)*('Match Log'!$E$4:$E$810="Win")),'Match Log'!$D$4:$D$810),""))</f>
        <v/>
      </c>
      <c r="E308" t="str">
        <f>IFERROR(INDEX('Match Log'!$F$4:$F$810,MATCH(284,'Match Log'!$A$4:$A$810,0)),"")</f>
        <v/>
      </c>
      <c r="F308">
        <f>IFERROR(SUMIFS('Match Log'!$I$4:$I$810,'Match Log'!$A$4:$A$810,284,'Match Log'!$E$4:$E$810,"Win"),"")</f>
        <v>0</v>
      </c>
      <c r="G308" t="str">
        <f t="shared" si="34"/>
        <v/>
      </c>
      <c r="H308" t="str">
        <f t="array" ref="H308">IFERROR(IF(COUNTIFS('Match Log'!$A$4:$A$810,$A308,'Match Log'!$E$4:$E$810,"Win")&gt;1,_xlfn.TEXTJOIN(" + ",TRUE,IF(('Match Log'!$A$4:$A$810=$A308)*('Match Log'!$E$4:$E$810="Loss"),'Match Log'!$D$4:$D$810,"")),IF($E308=2,LOOKUP(2,1/(('Match Log'!$A$4:$A$810=$A308)*('Match Log'!$E$4:$E$810="Loss")),'Match Log'!$D$4:$D$810),"the field")),"")</f>
        <v>the field</v>
      </c>
      <c r="I308" t="str">
        <f t="shared" si="35"/>
        <v/>
      </c>
      <c r="J308">
        <v>284</v>
      </c>
      <c r="K308" t="e">
        <f>IF($J308&gt;MAX('Match Log'!$A$4:$A$810),NA(),IFERROR(LOOKUP(2,1/(('Match Log'!$D$4:$D$810=$K$24)*('Match Log'!$A$4:$A$810&lt;=$J308)),'Match Log'!$N$4:$N$810),NA()))</f>
        <v>#N/A</v>
      </c>
      <c r="L308" t="e">
        <f>IF($J308&gt;MAX('Match Log'!$A$4:$A$810),NA(),IFERROR(LOOKUP(2,1/(('Match Log'!$D$4:$D$810=$L$24)*('Match Log'!$A$4:$A$810&lt;=$J308)),'Match Log'!$N$4:$N$810),NA()))</f>
        <v>#N/A</v>
      </c>
      <c r="M308" t="e">
        <f>IF($J308&gt;MAX('Match Log'!$A$4:$A$810),NA(),IFERROR(LOOKUP(2,1/(('Match Log'!$D$4:$D$810=$M$24)*('Match Log'!$A$4:$A$810&lt;=$J308)),'Match Log'!$N$4:$N$810),NA()))</f>
        <v>#N/A</v>
      </c>
      <c r="N308" t="e">
        <f>IF($J308&gt;MAX('Match Log'!$A$4:$A$810),NA(),IFERROR(LOOKUP(2,1/(('Match Log'!$D$4:$D$810=$N$24)*('Match Log'!$A$4:$A$810&lt;=$J308)),'Match Log'!$N$4:$N$810),NA()))</f>
        <v>#N/A</v>
      </c>
      <c r="O308" t="e">
        <f>IF($J308&gt;MAX('Match Log'!$A$4:$A$810),NA(),IFERROR(LOOKUP(2,1/(('Match Log'!$D$4:$D$810=$O$24)*('Match Log'!$A$4:$A$810&lt;=$J308)),'Match Log'!$N$4:$N$810),NA()))</f>
        <v>#N/A</v>
      </c>
      <c r="P308" t="e">
        <f>IF($J308&gt;MAX('Match Log'!$A$4:$A$810),NA(),IFERROR(LOOKUP(2,1/(('Match Log'!$D$4:$D$810=$P$24)*('Match Log'!$A$4:$A$810&lt;=$J308)),'Match Log'!$N$4:$N$810),NA()))</f>
        <v>#N/A</v>
      </c>
      <c r="Q308" t="e">
        <f>IF($J308&gt;MAX('Match Log'!$A$4:$A$810),NA(),IFERROR(LOOKUP(2,1/(('Match Log'!$D$4:$D$810=$Q$24)*('Match Log'!$A$4:$A$810&lt;=$J308)),'Match Log'!$N$4:$N$810),NA()))</f>
        <v>#N/A</v>
      </c>
      <c r="R308" t="e">
        <f>IF($J308&gt;MAX('Match Log'!$A$4:$A$810),NA(),IFERROR(LOOKUP(2,1/(('Match Log'!$D$4:$D$810=$R$24)*('Match Log'!$A$4:$A$810&lt;=$J308)),'Match Log'!$N$4:$N$810),NA()))</f>
        <v>#N/A</v>
      </c>
      <c r="S308" t="e">
        <f>IF($J308&gt;MAX('Match Log'!$A$4:$A$810),NA(),IFERROR(LOOKUP(2,1/(('Match Log'!$D$4:$D$810=$S$24)*('Match Log'!$A$4:$A$810&lt;=$J308)),'Match Log'!$N$4:$N$810),NA()))</f>
        <v>#N/A</v>
      </c>
      <c r="T308" t="e">
        <f>IF($J308&gt;MAX('Match Log'!$A$4:$A$810),NA(),IFERROR(LOOKUP(2,1/(('Match Log'!$D$4:$D$810=$T$24)*('Match Log'!$A$4:$A$810&lt;=$J308)),'Match Log'!$N$4:$N$810),NA()))</f>
        <v>#N/A</v>
      </c>
      <c r="U308" t="e">
        <f>IF($J308&gt;MAX('Match Log'!$A$4:$A$810),NA(),IFERROR(LOOKUP(2,1/(('Match Log'!$D$4:$D$810=$U$24)*('Match Log'!$A$4:$A$810&lt;=$J308)),'Match Log'!$N$4:$N$810),NA()))</f>
        <v>#N/A</v>
      </c>
      <c r="V308" t="e">
        <f>IF($J308&gt;MAX('Match Log'!$A$4:$A$810),NA(),IFERROR(LOOKUP(2,1/(('Match Log'!$D$4:$D$810=$V$24)*('Match Log'!$A$4:$A$810&lt;=$J308)),'Match Log'!$N$4:$N$810),NA()))</f>
        <v>#N/A</v>
      </c>
      <c r="W308" t="e">
        <f>IF($J308&gt;MAX('Match Log'!$A$4:$A$810),NA(),IFERROR(LOOKUP(2,1/(('Match Log'!$D$4:$D$810=$W$24)*('Match Log'!$A$4:$A$810&lt;=$J308)),'Match Log'!$N$4:$N$810),NA()))</f>
        <v>#N/A</v>
      </c>
      <c r="X308" t="e">
        <f>IF($J308&gt;MAX('Match Log'!$A$4:$A$810),NA(),IFERROR(LOOKUP(2,1/(('Match Log'!$D$4:$D$810=$X$24)*('Match Log'!$A$4:$A$810&lt;=$J308)),'Match Log'!$N$4:$N$810),NA()))</f>
        <v>#N/A</v>
      </c>
      <c r="Y308" t="str">
        <f t="shared" ca="1" si="36"/>
        <v/>
      </c>
    </row>
    <row r="309" spans="1:25" x14ac:dyDescent="0.2">
      <c r="A309">
        <v>285</v>
      </c>
      <c r="B309" t="str">
        <f>IFERROR(INDEX('Match Log'!$B$4:$B$810,MATCH(285,'Match Log'!$A$4:$A$810,0)),"")</f>
        <v/>
      </c>
      <c r="C309" t="str">
        <f>IFERROR(INDEX('Match Log'!$C$4:$C$810,MATCH(285,'Match Log'!$A$4:$A$810,0)),"")</f>
        <v/>
      </c>
      <c r="D309" t="str">
        <f t="array" ref="D309">IFERROR(_xlfn.TEXTJOIN(" + ",TRUE,IF(('Match Log'!$A$4:$A$810=$A309)*('Match Log'!$E$4:$E$810="Win"),'Match Log'!$D$4:$D$810,"")),IFERROR(LOOKUP(2,1/(('Match Log'!$A$4:$A$810=$A309)*('Match Log'!$E$4:$E$810="Win")),'Match Log'!$D$4:$D$810),""))</f>
        <v/>
      </c>
      <c r="E309" t="str">
        <f>IFERROR(INDEX('Match Log'!$F$4:$F$810,MATCH(285,'Match Log'!$A$4:$A$810,0)),"")</f>
        <v/>
      </c>
      <c r="F309">
        <f>IFERROR(SUMIFS('Match Log'!$I$4:$I$810,'Match Log'!$A$4:$A$810,285,'Match Log'!$E$4:$E$810,"Win"),"")</f>
        <v>0</v>
      </c>
      <c r="G309" t="str">
        <f t="shared" si="34"/>
        <v/>
      </c>
      <c r="H309" t="str">
        <f t="array" ref="H309">IFERROR(IF(COUNTIFS('Match Log'!$A$4:$A$810,$A309,'Match Log'!$E$4:$E$810,"Win")&gt;1,_xlfn.TEXTJOIN(" + ",TRUE,IF(('Match Log'!$A$4:$A$810=$A309)*('Match Log'!$E$4:$E$810="Loss"),'Match Log'!$D$4:$D$810,"")),IF($E309=2,LOOKUP(2,1/(('Match Log'!$A$4:$A$810=$A309)*('Match Log'!$E$4:$E$810="Loss")),'Match Log'!$D$4:$D$810),"the field")),"")</f>
        <v>the field</v>
      </c>
      <c r="I309" t="str">
        <f t="shared" si="35"/>
        <v/>
      </c>
      <c r="J309">
        <v>285</v>
      </c>
      <c r="K309" t="e">
        <f>IF($J309&gt;MAX('Match Log'!$A$4:$A$810),NA(),IFERROR(LOOKUP(2,1/(('Match Log'!$D$4:$D$810=$K$24)*('Match Log'!$A$4:$A$810&lt;=$J309)),'Match Log'!$N$4:$N$810),NA()))</f>
        <v>#N/A</v>
      </c>
      <c r="L309" t="e">
        <f>IF($J309&gt;MAX('Match Log'!$A$4:$A$810),NA(),IFERROR(LOOKUP(2,1/(('Match Log'!$D$4:$D$810=$L$24)*('Match Log'!$A$4:$A$810&lt;=$J309)),'Match Log'!$N$4:$N$810),NA()))</f>
        <v>#N/A</v>
      </c>
      <c r="M309" t="e">
        <f>IF($J309&gt;MAX('Match Log'!$A$4:$A$810),NA(),IFERROR(LOOKUP(2,1/(('Match Log'!$D$4:$D$810=$M$24)*('Match Log'!$A$4:$A$810&lt;=$J309)),'Match Log'!$N$4:$N$810),NA()))</f>
        <v>#N/A</v>
      </c>
      <c r="N309" t="e">
        <f>IF($J309&gt;MAX('Match Log'!$A$4:$A$810),NA(),IFERROR(LOOKUP(2,1/(('Match Log'!$D$4:$D$810=$N$24)*('Match Log'!$A$4:$A$810&lt;=$J309)),'Match Log'!$N$4:$N$810),NA()))</f>
        <v>#N/A</v>
      </c>
      <c r="O309" t="e">
        <f>IF($J309&gt;MAX('Match Log'!$A$4:$A$810),NA(),IFERROR(LOOKUP(2,1/(('Match Log'!$D$4:$D$810=$O$24)*('Match Log'!$A$4:$A$810&lt;=$J309)),'Match Log'!$N$4:$N$810),NA()))</f>
        <v>#N/A</v>
      </c>
      <c r="P309" t="e">
        <f>IF($J309&gt;MAX('Match Log'!$A$4:$A$810),NA(),IFERROR(LOOKUP(2,1/(('Match Log'!$D$4:$D$810=$P$24)*('Match Log'!$A$4:$A$810&lt;=$J309)),'Match Log'!$N$4:$N$810),NA()))</f>
        <v>#N/A</v>
      </c>
      <c r="Q309" t="e">
        <f>IF($J309&gt;MAX('Match Log'!$A$4:$A$810),NA(),IFERROR(LOOKUP(2,1/(('Match Log'!$D$4:$D$810=$Q$24)*('Match Log'!$A$4:$A$810&lt;=$J309)),'Match Log'!$N$4:$N$810),NA()))</f>
        <v>#N/A</v>
      </c>
      <c r="R309" t="e">
        <f>IF($J309&gt;MAX('Match Log'!$A$4:$A$810),NA(),IFERROR(LOOKUP(2,1/(('Match Log'!$D$4:$D$810=$R$24)*('Match Log'!$A$4:$A$810&lt;=$J309)),'Match Log'!$N$4:$N$810),NA()))</f>
        <v>#N/A</v>
      </c>
      <c r="S309" t="e">
        <f>IF($J309&gt;MAX('Match Log'!$A$4:$A$810),NA(),IFERROR(LOOKUP(2,1/(('Match Log'!$D$4:$D$810=$S$24)*('Match Log'!$A$4:$A$810&lt;=$J309)),'Match Log'!$N$4:$N$810),NA()))</f>
        <v>#N/A</v>
      </c>
      <c r="T309" t="e">
        <f>IF($J309&gt;MAX('Match Log'!$A$4:$A$810),NA(),IFERROR(LOOKUP(2,1/(('Match Log'!$D$4:$D$810=$T$24)*('Match Log'!$A$4:$A$810&lt;=$J309)),'Match Log'!$N$4:$N$810),NA()))</f>
        <v>#N/A</v>
      </c>
      <c r="U309" t="e">
        <f>IF($J309&gt;MAX('Match Log'!$A$4:$A$810),NA(),IFERROR(LOOKUP(2,1/(('Match Log'!$D$4:$D$810=$U$24)*('Match Log'!$A$4:$A$810&lt;=$J309)),'Match Log'!$N$4:$N$810),NA()))</f>
        <v>#N/A</v>
      </c>
      <c r="V309" t="e">
        <f>IF($J309&gt;MAX('Match Log'!$A$4:$A$810),NA(),IFERROR(LOOKUP(2,1/(('Match Log'!$D$4:$D$810=$V$24)*('Match Log'!$A$4:$A$810&lt;=$J309)),'Match Log'!$N$4:$N$810),NA()))</f>
        <v>#N/A</v>
      </c>
      <c r="W309" t="e">
        <f>IF($J309&gt;MAX('Match Log'!$A$4:$A$810),NA(),IFERROR(LOOKUP(2,1/(('Match Log'!$D$4:$D$810=$W$24)*('Match Log'!$A$4:$A$810&lt;=$J309)),'Match Log'!$N$4:$N$810),NA()))</f>
        <v>#N/A</v>
      </c>
      <c r="X309" t="e">
        <f>IF($J309&gt;MAX('Match Log'!$A$4:$A$810),NA(),IFERROR(LOOKUP(2,1/(('Match Log'!$D$4:$D$810=$X$24)*('Match Log'!$A$4:$A$810&lt;=$J309)),'Match Log'!$N$4:$N$810),NA()))</f>
        <v>#N/A</v>
      </c>
      <c r="Y309" t="str">
        <f t="shared" ca="1" si="36"/>
        <v/>
      </c>
    </row>
    <row r="310" spans="1:25" x14ac:dyDescent="0.2">
      <c r="A310">
        <v>286</v>
      </c>
      <c r="B310" t="str">
        <f>IFERROR(INDEX('Match Log'!$B$4:$B$810,MATCH(286,'Match Log'!$A$4:$A$810,0)),"")</f>
        <v/>
      </c>
      <c r="C310" t="str">
        <f>IFERROR(INDEX('Match Log'!$C$4:$C$810,MATCH(286,'Match Log'!$A$4:$A$810,0)),"")</f>
        <v/>
      </c>
      <c r="D310" t="str">
        <f t="array" ref="D310">IFERROR(_xlfn.TEXTJOIN(" + ",TRUE,IF(('Match Log'!$A$4:$A$810=$A310)*('Match Log'!$E$4:$E$810="Win"),'Match Log'!$D$4:$D$810,"")),IFERROR(LOOKUP(2,1/(('Match Log'!$A$4:$A$810=$A310)*('Match Log'!$E$4:$E$810="Win")),'Match Log'!$D$4:$D$810),""))</f>
        <v/>
      </c>
      <c r="E310" t="str">
        <f>IFERROR(INDEX('Match Log'!$F$4:$F$810,MATCH(286,'Match Log'!$A$4:$A$810,0)),"")</f>
        <v/>
      </c>
      <c r="F310">
        <f>IFERROR(SUMIFS('Match Log'!$I$4:$I$810,'Match Log'!$A$4:$A$810,286,'Match Log'!$E$4:$E$810,"Win"),"")</f>
        <v>0</v>
      </c>
      <c r="G310" t="str">
        <f t="shared" si="34"/>
        <v/>
      </c>
      <c r="H310" t="str">
        <f t="array" ref="H310">IFERROR(IF(COUNTIFS('Match Log'!$A$4:$A$810,$A310,'Match Log'!$E$4:$E$810,"Win")&gt;1,_xlfn.TEXTJOIN(" + ",TRUE,IF(('Match Log'!$A$4:$A$810=$A310)*('Match Log'!$E$4:$E$810="Loss"),'Match Log'!$D$4:$D$810,"")),IF($E310=2,LOOKUP(2,1/(('Match Log'!$A$4:$A$810=$A310)*('Match Log'!$E$4:$E$810="Loss")),'Match Log'!$D$4:$D$810),"the field")),"")</f>
        <v>the field</v>
      </c>
      <c r="I310" t="str">
        <f t="shared" si="35"/>
        <v/>
      </c>
      <c r="J310">
        <v>286</v>
      </c>
      <c r="K310" t="e">
        <f>IF($J310&gt;MAX('Match Log'!$A$4:$A$810),NA(),IFERROR(LOOKUP(2,1/(('Match Log'!$D$4:$D$810=$K$24)*('Match Log'!$A$4:$A$810&lt;=$J310)),'Match Log'!$N$4:$N$810),NA()))</f>
        <v>#N/A</v>
      </c>
      <c r="L310" t="e">
        <f>IF($J310&gt;MAX('Match Log'!$A$4:$A$810),NA(),IFERROR(LOOKUP(2,1/(('Match Log'!$D$4:$D$810=$L$24)*('Match Log'!$A$4:$A$810&lt;=$J310)),'Match Log'!$N$4:$N$810),NA()))</f>
        <v>#N/A</v>
      </c>
      <c r="M310" t="e">
        <f>IF($J310&gt;MAX('Match Log'!$A$4:$A$810),NA(),IFERROR(LOOKUP(2,1/(('Match Log'!$D$4:$D$810=$M$24)*('Match Log'!$A$4:$A$810&lt;=$J310)),'Match Log'!$N$4:$N$810),NA()))</f>
        <v>#N/A</v>
      </c>
      <c r="N310" t="e">
        <f>IF($J310&gt;MAX('Match Log'!$A$4:$A$810),NA(),IFERROR(LOOKUP(2,1/(('Match Log'!$D$4:$D$810=$N$24)*('Match Log'!$A$4:$A$810&lt;=$J310)),'Match Log'!$N$4:$N$810),NA()))</f>
        <v>#N/A</v>
      </c>
      <c r="O310" t="e">
        <f>IF($J310&gt;MAX('Match Log'!$A$4:$A$810),NA(),IFERROR(LOOKUP(2,1/(('Match Log'!$D$4:$D$810=$O$24)*('Match Log'!$A$4:$A$810&lt;=$J310)),'Match Log'!$N$4:$N$810),NA()))</f>
        <v>#N/A</v>
      </c>
      <c r="P310" t="e">
        <f>IF($J310&gt;MAX('Match Log'!$A$4:$A$810),NA(),IFERROR(LOOKUP(2,1/(('Match Log'!$D$4:$D$810=$P$24)*('Match Log'!$A$4:$A$810&lt;=$J310)),'Match Log'!$N$4:$N$810),NA()))</f>
        <v>#N/A</v>
      </c>
      <c r="Q310" t="e">
        <f>IF($J310&gt;MAX('Match Log'!$A$4:$A$810),NA(),IFERROR(LOOKUP(2,1/(('Match Log'!$D$4:$D$810=$Q$24)*('Match Log'!$A$4:$A$810&lt;=$J310)),'Match Log'!$N$4:$N$810),NA()))</f>
        <v>#N/A</v>
      </c>
      <c r="R310" t="e">
        <f>IF($J310&gt;MAX('Match Log'!$A$4:$A$810),NA(),IFERROR(LOOKUP(2,1/(('Match Log'!$D$4:$D$810=$R$24)*('Match Log'!$A$4:$A$810&lt;=$J310)),'Match Log'!$N$4:$N$810),NA()))</f>
        <v>#N/A</v>
      </c>
      <c r="S310" t="e">
        <f>IF($J310&gt;MAX('Match Log'!$A$4:$A$810),NA(),IFERROR(LOOKUP(2,1/(('Match Log'!$D$4:$D$810=$S$24)*('Match Log'!$A$4:$A$810&lt;=$J310)),'Match Log'!$N$4:$N$810),NA()))</f>
        <v>#N/A</v>
      </c>
      <c r="T310" t="e">
        <f>IF($J310&gt;MAX('Match Log'!$A$4:$A$810),NA(),IFERROR(LOOKUP(2,1/(('Match Log'!$D$4:$D$810=$T$24)*('Match Log'!$A$4:$A$810&lt;=$J310)),'Match Log'!$N$4:$N$810),NA()))</f>
        <v>#N/A</v>
      </c>
      <c r="U310" t="e">
        <f>IF($J310&gt;MAX('Match Log'!$A$4:$A$810),NA(),IFERROR(LOOKUP(2,1/(('Match Log'!$D$4:$D$810=$U$24)*('Match Log'!$A$4:$A$810&lt;=$J310)),'Match Log'!$N$4:$N$810),NA()))</f>
        <v>#N/A</v>
      </c>
      <c r="V310" t="e">
        <f>IF($J310&gt;MAX('Match Log'!$A$4:$A$810),NA(),IFERROR(LOOKUP(2,1/(('Match Log'!$D$4:$D$810=$V$24)*('Match Log'!$A$4:$A$810&lt;=$J310)),'Match Log'!$N$4:$N$810),NA()))</f>
        <v>#N/A</v>
      </c>
      <c r="W310" t="e">
        <f>IF($J310&gt;MAX('Match Log'!$A$4:$A$810),NA(),IFERROR(LOOKUP(2,1/(('Match Log'!$D$4:$D$810=$W$24)*('Match Log'!$A$4:$A$810&lt;=$J310)),'Match Log'!$N$4:$N$810),NA()))</f>
        <v>#N/A</v>
      </c>
      <c r="X310" t="e">
        <f>IF($J310&gt;MAX('Match Log'!$A$4:$A$810),NA(),IFERROR(LOOKUP(2,1/(('Match Log'!$D$4:$D$810=$X$24)*('Match Log'!$A$4:$A$810&lt;=$J310)),'Match Log'!$N$4:$N$810),NA()))</f>
        <v>#N/A</v>
      </c>
      <c r="Y310" t="str">
        <f t="shared" ca="1" si="36"/>
        <v/>
      </c>
    </row>
    <row r="311" spans="1:25" x14ac:dyDescent="0.2">
      <c r="A311">
        <v>287</v>
      </c>
      <c r="B311" t="str">
        <f>IFERROR(INDEX('Match Log'!$B$4:$B$810,MATCH(287,'Match Log'!$A$4:$A$810,0)),"")</f>
        <v/>
      </c>
      <c r="C311" t="str">
        <f>IFERROR(INDEX('Match Log'!$C$4:$C$810,MATCH(287,'Match Log'!$A$4:$A$810,0)),"")</f>
        <v/>
      </c>
      <c r="D311" t="str">
        <f t="array" ref="D311">IFERROR(_xlfn.TEXTJOIN(" + ",TRUE,IF(('Match Log'!$A$4:$A$810=$A311)*('Match Log'!$E$4:$E$810="Win"),'Match Log'!$D$4:$D$810,"")),IFERROR(LOOKUP(2,1/(('Match Log'!$A$4:$A$810=$A311)*('Match Log'!$E$4:$E$810="Win")),'Match Log'!$D$4:$D$810),""))</f>
        <v/>
      </c>
      <c r="E311" t="str">
        <f>IFERROR(INDEX('Match Log'!$F$4:$F$810,MATCH(287,'Match Log'!$A$4:$A$810,0)),"")</f>
        <v/>
      </c>
      <c r="F311">
        <f>IFERROR(SUMIFS('Match Log'!$I$4:$I$810,'Match Log'!$A$4:$A$810,287,'Match Log'!$E$4:$E$810,"Win"),"")</f>
        <v>0</v>
      </c>
      <c r="G311" t="str">
        <f t="shared" si="34"/>
        <v/>
      </c>
      <c r="H311" t="str">
        <f t="array" ref="H311">IFERROR(IF(COUNTIFS('Match Log'!$A$4:$A$810,$A311,'Match Log'!$E$4:$E$810,"Win")&gt;1,_xlfn.TEXTJOIN(" + ",TRUE,IF(('Match Log'!$A$4:$A$810=$A311)*('Match Log'!$E$4:$E$810="Loss"),'Match Log'!$D$4:$D$810,"")),IF($E311=2,LOOKUP(2,1/(('Match Log'!$A$4:$A$810=$A311)*('Match Log'!$E$4:$E$810="Loss")),'Match Log'!$D$4:$D$810),"the field")),"")</f>
        <v>the field</v>
      </c>
      <c r="I311" t="str">
        <f t="shared" si="35"/>
        <v/>
      </c>
      <c r="J311">
        <v>287</v>
      </c>
      <c r="K311" t="e">
        <f>IF($J311&gt;MAX('Match Log'!$A$4:$A$810),NA(),IFERROR(LOOKUP(2,1/(('Match Log'!$D$4:$D$810=$K$24)*('Match Log'!$A$4:$A$810&lt;=$J311)),'Match Log'!$N$4:$N$810),NA()))</f>
        <v>#N/A</v>
      </c>
      <c r="L311" t="e">
        <f>IF($J311&gt;MAX('Match Log'!$A$4:$A$810),NA(),IFERROR(LOOKUP(2,1/(('Match Log'!$D$4:$D$810=$L$24)*('Match Log'!$A$4:$A$810&lt;=$J311)),'Match Log'!$N$4:$N$810),NA()))</f>
        <v>#N/A</v>
      </c>
      <c r="M311" t="e">
        <f>IF($J311&gt;MAX('Match Log'!$A$4:$A$810),NA(),IFERROR(LOOKUP(2,1/(('Match Log'!$D$4:$D$810=$M$24)*('Match Log'!$A$4:$A$810&lt;=$J311)),'Match Log'!$N$4:$N$810),NA()))</f>
        <v>#N/A</v>
      </c>
      <c r="N311" t="e">
        <f>IF($J311&gt;MAX('Match Log'!$A$4:$A$810),NA(),IFERROR(LOOKUP(2,1/(('Match Log'!$D$4:$D$810=$N$24)*('Match Log'!$A$4:$A$810&lt;=$J311)),'Match Log'!$N$4:$N$810),NA()))</f>
        <v>#N/A</v>
      </c>
      <c r="O311" t="e">
        <f>IF($J311&gt;MAX('Match Log'!$A$4:$A$810),NA(),IFERROR(LOOKUP(2,1/(('Match Log'!$D$4:$D$810=$O$24)*('Match Log'!$A$4:$A$810&lt;=$J311)),'Match Log'!$N$4:$N$810),NA()))</f>
        <v>#N/A</v>
      </c>
      <c r="P311" t="e">
        <f>IF($J311&gt;MAX('Match Log'!$A$4:$A$810),NA(),IFERROR(LOOKUP(2,1/(('Match Log'!$D$4:$D$810=$P$24)*('Match Log'!$A$4:$A$810&lt;=$J311)),'Match Log'!$N$4:$N$810),NA()))</f>
        <v>#N/A</v>
      </c>
      <c r="Q311" t="e">
        <f>IF($J311&gt;MAX('Match Log'!$A$4:$A$810),NA(),IFERROR(LOOKUP(2,1/(('Match Log'!$D$4:$D$810=$Q$24)*('Match Log'!$A$4:$A$810&lt;=$J311)),'Match Log'!$N$4:$N$810),NA()))</f>
        <v>#N/A</v>
      </c>
      <c r="R311" t="e">
        <f>IF($J311&gt;MAX('Match Log'!$A$4:$A$810),NA(),IFERROR(LOOKUP(2,1/(('Match Log'!$D$4:$D$810=$R$24)*('Match Log'!$A$4:$A$810&lt;=$J311)),'Match Log'!$N$4:$N$810),NA()))</f>
        <v>#N/A</v>
      </c>
      <c r="S311" t="e">
        <f>IF($J311&gt;MAX('Match Log'!$A$4:$A$810),NA(),IFERROR(LOOKUP(2,1/(('Match Log'!$D$4:$D$810=$S$24)*('Match Log'!$A$4:$A$810&lt;=$J311)),'Match Log'!$N$4:$N$810),NA()))</f>
        <v>#N/A</v>
      </c>
      <c r="T311" t="e">
        <f>IF($J311&gt;MAX('Match Log'!$A$4:$A$810),NA(),IFERROR(LOOKUP(2,1/(('Match Log'!$D$4:$D$810=$T$24)*('Match Log'!$A$4:$A$810&lt;=$J311)),'Match Log'!$N$4:$N$810),NA()))</f>
        <v>#N/A</v>
      </c>
      <c r="U311" t="e">
        <f>IF($J311&gt;MAX('Match Log'!$A$4:$A$810),NA(),IFERROR(LOOKUP(2,1/(('Match Log'!$D$4:$D$810=$U$24)*('Match Log'!$A$4:$A$810&lt;=$J311)),'Match Log'!$N$4:$N$810),NA()))</f>
        <v>#N/A</v>
      </c>
      <c r="V311" t="e">
        <f>IF($J311&gt;MAX('Match Log'!$A$4:$A$810),NA(),IFERROR(LOOKUP(2,1/(('Match Log'!$D$4:$D$810=$V$24)*('Match Log'!$A$4:$A$810&lt;=$J311)),'Match Log'!$N$4:$N$810),NA()))</f>
        <v>#N/A</v>
      </c>
      <c r="W311" t="e">
        <f>IF($J311&gt;MAX('Match Log'!$A$4:$A$810),NA(),IFERROR(LOOKUP(2,1/(('Match Log'!$D$4:$D$810=$W$24)*('Match Log'!$A$4:$A$810&lt;=$J311)),'Match Log'!$N$4:$N$810),NA()))</f>
        <v>#N/A</v>
      </c>
      <c r="X311" t="e">
        <f>IF($J311&gt;MAX('Match Log'!$A$4:$A$810),NA(),IFERROR(LOOKUP(2,1/(('Match Log'!$D$4:$D$810=$X$24)*('Match Log'!$A$4:$A$810&lt;=$J311)),'Match Log'!$N$4:$N$810),NA()))</f>
        <v>#N/A</v>
      </c>
      <c r="Y311" t="str">
        <f t="shared" ca="1" si="36"/>
        <v/>
      </c>
    </row>
    <row r="312" spans="1:25" x14ac:dyDescent="0.2">
      <c r="A312">
        <v>288</v>
      </c>
      <c r="B312" t="str">
        <f>IFERROR(INDEX('Match Log'!$B$4:$B$810,MATCH(288,'Match Log'!$A$4:$A$810,0)),"")</f>
        <v/>
      </c>
      <c r="C312" t="str">
        <f>IFERROR(INDEX('Match Log'!$C$4:$C$810,MATCH(288,'Match Log'!$A$4:$A$810,0)),"")</f>
        <v/>
      </c>
      <c r="D312" t="str">
        <f t="array" ref="D312">IFERROR(_xlfn.TEXTJOIN(" + ",TRUE,IF(('Match Log'!$A$4:$A$810=$A312)*('Match Log'!$E$4:$E$810="Win"),'Match Log'!$D$4:$D$810,"")),IFERROR(LOOKUP(2,1/(('Match Log'!$A$4:$A$810=$A312)*('Match Log'!$E$4:$E$810="Win")),'Match Log'!$D$4:$D$810),""))</f>
        <v/>
      </c>
      <c r="E312" t="str">
        <f>IFERROR(INDEX('Match Log'!$F$4:$F$810,MATCH(288,'Match Log'!$A$4:$A$810,0)),"")</f>
        <v/>
      </c>
      <c r="F312">
        <f>IFERROR(SUMIFS('Match Log'!$I$4:$I$810,'Match Log'!$A$4:$A$810,288,'Match Log'!$E$4:$E$810,"Win"),"")</f>
        <v>0</v>
      </c>
      <c r="G312" t="str">
        <f t="shared" si="34"/>
        <v/>
      </c>
      <c r="H312" t="str">
        <f t="array" ref="H312">IFERROR(IF(COUNTIFS('Match Log'!$A$4:$A$810,$A312,'Match Log'!$E$4:$E$810,"Win")&gt;1,_xlfn.TEXTJOIN(" + ",TRUE,IF(('Match Log'!$A$4:$A$810=$A312)*('Match Log'!$E$4:$E$810="Loss"),'Match Log'!$D$4:$D$810,"")),IF($E312=2,LOOKUP(2,1/(('Match Log'!$A$4:$A$810=$A312)*('Match Log'!$E$4:$E$810="Loss")),'Match Log'!$D$4:$D$810),"the field")),"")</f>
        <v>the field</v>
      </c>
      <c r="I312" t="str">
        <f t="shared" si="35"/>
        <v/>
      </c>
      <c r="J312">
        <v>288</v>
      </c>
      <c r="K312" t="e">
        <f>IF($J312&gt;MAX('Match Log'!$A$4:$A$810),NA(),IFERROR(LOOKUP(2,1/(('Match Log'!$D$4:$D$810=$K$24)*('Match Log'!$A$4:$A$810&lt;=$J312)),'Match Log'!$N$4:$N$810),NA()))</f>
        <v>#N/A</v>
      </c>
      <c r="L312" t="e">
        <f>IF($J312&gt;MAX('Match Log'!$A$4:$A$810),NA(),IFERROR(LOOKUP(2,1/(('Match Log'!$D$4:$D$810=$L$24)*('Match Log'!$A$4:$A$810&lt;=$J312)),'Match Log'!$N$4:$N$810),NA()))</f>
        <v>#N/A</v>
      </c>
      <c r="M312" t="e">
        <f>IF($J312&gt;MAX('Match Log'!$A$4:$A$810),NA(),IFERROR(LOOKUP(2,1/(('Match Log'!$D$4:$D$810=$M$24)*('Match Log'!$A$4:$A$810&lt;=$J312)),'Match Log'!$N$4:$N$810),NA()))</f>
        <v>#N/A</v>
      </c>
      <c r="N312" t="e">
        <f>IF($J312&gt;MAX('Match Log'!$A$4:$A$810),NA(),IFERROR(LOOKUP(2,1/(('Match Log'!$D$4:$D$810=$N$24)*('Match Log'!$A$4:$A$810&lt;=$J312)),'Match Log'!$N$4:$N$810),NA()))</f>
        <v>#N/A</v>
      </c>
      <c r="O312" t="e">
        <f>IF($J312&gt;MAX('Match Log'!$A$4:$A$810),NA(),IFERROR(LOOKUP(2,1/(('Match Log'!$D$4:$D$810=$O$24)*('Match Log'!$A$4:$A$810&lt;=$J312)),'Match Log'!$N$4:$N$810),NA()))</f>
        <v>#N/A</v>
      </c>
      <c r="P312" t="e">
        <f>IF($J312&gt;MAX('Match Log'!$A$4:$A$810),NA(),IFERROR(LOOKUP(2,1/(('Match Log'!$D$4:$D$810=$P$24)*('Match Log'!$A$4:$A$810&lt;=$J312)),'Match Log'!$N$4:$N$810),NA()))</f>
        <v>#N/A</v>
      </c>
      <c r="Q312" t="e">
        <f>IF($J312&gt;MAX('Match Log'!$A$4:$A$810),NA(),IFERROR(LOOKUP(2,1/(('Match Log'!$D$4:$D$810=$Q$24)*('Match Log'!$A$4:$A$810&lt;=$J312)),'Match Log'!$N$4:$N$810),NA()))</f>
        <v>#N/A</v>
      </c>
      <c r="R312" t="e">
        <f>IF($J312&gt;MAX('Match Log'!$A$4:$A$810),NA(),IFERROR(LOOKUP(2,1/(('Match Log'!$D$4:$D$810=$R$24)*('Match Log'!$A$4:$A$810&lt;=$J312)),'Match Log'!$N$4:$N$810),NA()))</f>
        <v>#N/A</v>
      </c>
      <c r="S312" t="e">
        <f>IF($J312&gt;MAX('Match Log'!$A$4:$A$810),NA(),IFERROR(LOOKUP(2,1/(('Match Log'!$D$4:$D$810=$S$24)*('Match Log'!$A$4:$A$810&lt;=$J312)),'Match Log'!$N$4:$N$810),NA()))</f>
        <v>#N/A</v>
      </c>
      <c r="T312" t="e">
        <f>IF($J312&gt;MAX('Match Log'!$A$4:$A$810),NA(),IFERROR(LOOKUP(2,1/(('Match Log'!$D$4:$D$810=$T$24)*('Match Log'!$A$4:$A$810&lt;=$J312)),'Match Log'!$N$4:$N$810),NA()))</f>
        <v>#N/A</v>
      </c>
      <c r="U312" t="e">
        <f>IF($J312&gt;MAX('Match Log'!$A$4:$A$810),NA(),IFERROR(LOOKUP(2,1/(('Match Log'!$D$4:$D$810=$U$24)*('Match Log'!$A$4:$A$810&lt;=$J312)),'Match Log'!$N$4:$N$810),NA()))</f>
        <v>#N/A</v>
      </c>
      <c r="V312" t="e">
        <f>IF($J312&gt;MAX('Match Log'!$A$4:$A$810),NA(),IFERROR(LOOKUP(2,1/(('Match Log'!$D$4:$D$810=$V$24)*('Match Log'!$A$4:$A$810&lt;=$J312)),'Match Log'!$N$4:$N$810),NA()))</f>
        <v>#N/A</v>
      </c>
      <c r="W312" t="e">
        <f>IF($J312&gt;MAX('Match Log'!$A$4:$A$810),NA(),IFERROR(LOOKUP(2,1/(('Match Log'!$D$4:$D$810=$W$24)*('Match Log'!$A$4:$A$810&lt;=$J312)),'Match Log'!$N$4:$N$810),NA()))</f>
        <v>#N/A</v>
      </c>
      <c r="X312" t="e">
        <f>IF($J312&gt;MAX('Match Log'!$A$4:$A$810),NA(),IFERROR(LOOKUP(2,1/(('Match Log'!$D$4:$D$810=$X$24)*('Match Log'!$A$4:$A$810&lt;=$J312)),'Match Log'!$N$4:$N$810),NA()))</f>
        <v>#N/A</v>
      </c>
      <c r="Y312" t="str">
        <f t="shared" ca="1" si="36"/>
        <v/>
      </c>
    </row>
    <row r="313" spans="1:25" x14ac:dyDescent="0.2">
      <c r="A313">
        <v>289</v>
      </c>
      <c r="B313" t="str">
        <f>IFERROR(INDEX('Match Log'!$B$4:$B$810,MATCH(289,'Match Log'!$A$4:$A$810,0)),"")</f>
        <v/>
      </c>
      <c r="C313" t="str">
        <f>IFERROR(INDEX('Match Log'!$C$4:$C$810,MATCH(289,'Match Log'!$A$4:$A$810,0)),"")</f>
        <v/>
      </c>
      <c r="D313" t="str">
        <f t="array" ref="D313">IFERROR(_xlfn.TEXTJOIN(" + ",TRUE,IF(('Match Log'!$A$4:$A$810=$A313)*('Match Log'!$E$4:$E$810="Win"),'Match Log'!$D$4:$D$810,"")),IFERROR(LOOKUP(2,1/(('Match Log'!$A$4:$A$810=$A313)*('Match Log'!$E$4:$E$810="Win")),'Match Log'!$D$4:$D$810),""))</f>
        <v/>
      </c>
      <c r="E313" t="str">
        <f>IFERROR(INDEX('Match Log'!$F$4:$F$810,MATCH(289,'Match Log'!$A$4:$A$810,0)),"")</f>
        <v/>
      </c>
      <c r="F313">
        <f>IFERROR(SUMIFS('Match Log'!$I$4:$I$810,'Match Log'!$A$4:$A$810,289,'Match Log'!$E$4:$E$810,"Win"),"")</f>
        <v>0</v>
      </c>
      <c r="G313" t="str">
        <f t="shared" si="34"/>
        <v/>
      </c>
      <c r="H313" t="str">
        <f t="array" ref="H313">IFERROR(IF(COUNTIFS('Match Log'!$A$4:$A$810,$A313,'Match Log'!$E$4:$E$810,"Win")&gt;1,_xlfn.TEXTJOIN(" + ",TRUE,IF(('Match Log'!$A$4:$A$810=$A313)*('Match Log'!$E$4:$E$810="Loss"),'Match Log'!$D$4:$D$810,"")),IF($E313=2,LOOKUP(2,1/(('Match Log'!$A$4:$A$810=$A313)*('Match Log'!$E$4:$E$810="Loss")),'Match Log'!$D$4:$D$810),"the field")),"")</f>
        <v>the field</v>
      </c>
      <c r="I313" t="str">
        <f t="shared" si="35"/>
        <v/>
      </c>
      <c r="J313">
        <v>289</v>
      </c>
      <c r="K313" t="e">
        <f>IF($J313&gt;MAX('Match Log'!$A$4:$A$810),NA(),IFERROR(LOOKUP(2,1/(('Match Log'!$D$4:$D$810=$K$24)*('Match Log'!$A$4:$A$810&lt;=$J313)),'Match Log'!$N$4:$N$810),NA()))</f>
        <v>#N/A</v>
      </c>
      <c r="L313" t="e">
        <f>IF($J313&gt;MAX('Match Log'!$A$4:$A$810),NA(),IFERROR(LOOKUP(2,1/(('Match Log'!$D$4:$D$810=$L$24)*('Match Log'!$A$4:$A$810&lt;=$J313)),'Match Log'!$N$4:$N$810),NA()))</f>
        <v>#N/A</v>
      </c>
      <c r="M313" t="e">
        <f>IF($J313&gt;MAX('Match Log'!$A$4:$A$810),NA(),IFERROR(LOOKUP(2,1/(('Match Log'!$D$4:$D$810=$M$24)*('Match Log'!$A$4:$A$810&lt;=$J313)),'Match Log'!$N$4:$N$810),NA()))</f>
        <v>#N/A</v>
      </c>
      <c r="N313" t="e">
        <f>IF($J313&gt;MAX('Match Log'!$A$4:$A$810),NA(),IFERROR(LOOKUP(2,1/(('Match Log'!$D$4:$D$810=$N$24)*('Match Log'!$A$4:$A$810&lt;=$J313)),'Match Log'!$N$4:$N$810),NA()))</f>
        <v>#N/A</v>
      </c>
      <c r="O313" t="e">
        <f>IF($J313&gt;MAX('Match Log'!$A$4:$A$810),NA(),IFERROR(LOOKUP(2,1/(('Match Log'!$D$4:$D$810=$O$24)*('Match Log'!$A$4:$A$810&lt;=$J313)),'Match Log'!$N$4:$N$810),NA()))</f>
        <v>#N/A</v>
      </c>
      <c r="P313" t="e">
        <f>IF($J313&gt;MAX('Match Log'!$A$4:$A$810),NA(),IFERROR(LOOKUP(2,1/(('Match Log'!$D$4:$D$810=$P$24)*('Match Log'!$A$4:$A$810&lt;=$J313)),'Match Log'!$N$4:$N$810),NA()))</f>
        <v>#N/A</v>
      </c>
      <c r="Q313" t="e">
        <f>IF($J313&gt;MAX('Match Log'!$A$4:$A$810),NA(),IFERROR(LOOKUP(2,1/(('Match Log'!$D$4:$D$810=$Q$24)*('Match Log'!$A$4:$A$810&lt;=$J313)),'Match Log'!$N$4:$N$810),NA()))</f>
        <v>#N/A</v>
      </c>
      <c r="R313" t="e">
        <f>IF($J313&gt;MAX('Match Log'!$A$4:$A$810),NA(),IFERROR(LOOKUP(2,1/(('Match Log'!$D$4:$D$810=$R$24)*('Match Log'!$A$4:$A$810&lt;=$J313)),'Match Log'!$N$4:$N$810),NA()))</f>
        <v>#N/A</v>
      </c>
      <c r="S313" t="e">
        <f>IF($J313&gt;MAX('Match Log'!$A$4:$A$810),NA(),IFERROR(LOOKUP(2,1/(('Match Log'!$D$4:$D$810=$S$24)*('Match Log'!$A$4:$A$810&lt;=$J313)),'Match Log'!$N$4:$N$810),NA()))</f>
        <v>#N/A</v>
      </c>
      <c r="T313" t="e">
        <f>IF($J313&gt;MAX('Match Log'!$A$4:$A$810),NA(),IFERROR(LOOKUP(2,1/(('Match Log'!$D$4:$D$810=$T$24)*('Match Log'!$A$4:$A$810&lt;=$J313)),'Match Log'!$N$4:$N$810),NA()))</f>
        <v>#N/A</v>
      </c>
      <c r="U313" t="e">
        <f>IF($J313&gt;MAX('Match Log'!$A$4:$A$810),NA(),IFERROR(LOOKUP(2,1/(('Match Log'!$D$4:$D$810=$U$24)*('Match Log'!$A$4:$A$810&lt;=$J313)),'Match Log'!$N$4:$N$810),NA()))</f>
        <v>#N/A</v>
      </c>
      <c r="V313" t="e">
        <f>IF($J313&gt;MAX('Match Log'!$A$4:$A$810),NA(),IFERROR(LOOKUP(2,1/(('Match Log'!$D$4:$D$810=$V$24)*('Match Log'!$A$4:$A$810&lt;=$J313)),'Match Log'!$N$4:$N$810),NA()))</f>
        <v>#N/A</v>
      </c>
      <c r="W313" t="e">
        <f>IF($J313&gt;MAX('Match Log'!$A$4:$A$810),NA(),IFERROR(LOOKUP(2,1/(('Match Log'!$D$4:$D$810=$W$24)*('Match Log'!$A$4:$A$810&lt;=$J313)),'Match Log'!$N$4:$N$810),NA()))</f>
        <v>#N/A</v>
      </c>
      <c r="X313" t="e">
        <f>IF($J313&gt;MAX('Match Log'!$A$4:$A$810),NA(),IFERROR(LOOKUP(2,1/(('Match Log'!$D$4:$D$810=$X$24)*('Match Log'!$A$4:$A$810&lt;=$J313)),'Match Log'!$N$4:$N$810),NA()))</f>
        <v>#N/A</v>
      </c>
      <c r="Y313" t="str">
        <f t="shared" ca="1" si="36"/>
        <v/>
      </c>
    </row>
    <row r="314" spans="1:25" x14ac:dyDescent="0.2">
      <c r="A314">
        <v>290</v>
      </c>
      <c r="B314" t="str">
        <f>IFERROR(INDEX('Match Log'!$B$4:$B$810,MATCH(290,'Match Log'!$A$4:$A$810,0)),"")</f>
        <v/>
      </c>
      <c r="C314" t="str">
        <f>IFERROR(INDEX('Match Log'!$C$4:$C$810,MATCH(290,'Match Log'!$A$4:$A$810,0)),"")</f>
        <v/>
      </c>
      <c r="D314" t="str">
        <f t="array" ref="D314">IFERROR(_xlfn.TEXTJOIN(" + ",TRUE,IF(('Match Log'!$A$4:$A$810=$A314)*('Match Log'!$E$4:$E$810="Win"),'Match Log'!$D$4:$D$810,"")),IFERROR(LOOKUP(2,1/(('Match Log'!$A$4:$A$810=$A314)*('Match Log'!$E$4:$E$810="Win")),'Match Log'!$D$4:$D$810),""))</f>
        <v/>
      </c>
      <c r="E314" t="str">
        <f>IFERROR(INDEX('Match Log'!$F$4:$F$810,MATCH(290,'Match Log'!$A$4:$A$810,0)),"")</f>
        <v/>
      </c>
      <c r="F314">
        <f>IFERROR(SUMIFS('Match Log'!$I$4:$I$810,'Match Log'!$A$4:$A$810,290,'Match Log'!$E$4:$E$810,"Win"),"")</f>
        <v>0</v>
      </c>
      <c r="G314" t="str">
        <f t="shared" si="34"/>
        <v/>
      </c>
      <c r="H314" t="str">
        <f t="array" ref="H314">IFERROR(IF(COUNTIFS('Match Log'!$A$4:$A$810,$A314,'Match Log'!$E$4:$E$810,"Win")&gt;1,_xlfn.TEXTJOIN(" + ",TRUE,IF(('Match Log'!$A$4:$A$810=$A314)*('Match Log'!$E$4:$E$810="Loss"),'Match Log'!$D$4:$D$810,"")),IF($E314=2,LOOKUP(2,1/(('Match Log'!$A$4:$A$810=$A314)*('Match Log'!$E$4:$E$810="Loss")),'Match Log'!$D$4:$D$810),"the field")),"")</f>
        <v>the field</v>
      </c>
      <c r="I314" t="str">
        <f t="shared" si="35"/>
        <v/>
      </c>
      <c r="J314">
        <v>290</v>
      </c>
      <c r="K314" t="e">
        <f>IF($J314&gt;MAX('Match Log'!$A$4:$A$810),NA(),IFERROR(LOOKUP(2,1/(('Match Log'!$D$4:$D$810=$K$24)*('Match Log'!$A$4:$A$810&lt;=$J314)),'Match Log'!$N$4:$N$810),NA()))</f>
        <v>#N/A</v>
      </c>
      <c r="L314" t="e">
        <f>IF($J314&gt;MAX('Match Log'!$A$4:$A$810),NA(),IFERROR(LOOKUP(2,1/(('Match Log'!$D$4:$D$810=$L$24)*('Match Log'!$A$4:$A$810&lt;=$J314)),'Match Log'!$N$4:$N$810),NA()))</f>
        <v>#N/A</v>
      </c>
      <c r="M314" t="e">
        <f>IF($J314&gt;MAX('Match Log'!$A$4:$A$810),NA(),IFERROR(LOOKUP(2,1/(('Match Log'!$D$4:$D$810=$M$24)*('Match Log'!$A$4:$A$810&lt;=$J314)),'Match Log'!$N$4:$N$810),NA()))</f>
        <v>#N/A</v>
      </c>
      <c r="N314" t="e">
        <f>IF($J314&gt;MAX('Match Log'!$A$4:$A$810),NA(),IFERROR(LOOKUP(2,1/(('Match Log'!$D$4:$D$810=$N$24)*('Match Log'!$A$4:$A$810&lt;=$J314)),'Match Log'!$N$4:$N$810),NA()))</f>
        <v>#N/A</v>
      </c>
      <c r="O314" t="e">
        <f>IF($J314&gt;MAX('Match Log'!$A$4:$A$810),NA(),IFERROR(LOOKUP(2,1/(('Match Log'!$D$4:$D$810=$O$24)*('Match Log'!$A$4:$A$810&lt;=$J314)),'Match Log'!$N$4:$N$810),NA()))</f>
        <v>#N/A</v>
      </c>
      <c r="P314" t="e">
        <f>IF($J314&gt;MAX('Match Log'!$A$4:$A$810),NA(),IFERROR(LOOKUP(2,1/(('Match Log'!$D$4:$D$810=$P$24)*('Match Log'!$A$4:$A$810&lt;=$J314)),'Match Log'!$N$4:$N$810),NA()))</f>
        <v>#N/A</v>
      </c>
      <c r="Q314" t="e">
        <f>IF($J314&gt;MAX('Match Log'!$A$4:$A$810),NA(),IFERROR(LOOKUP(2,1/(('Match Log'!$D$4:$D$810=$Q$24)*('Match Log'!$A$4:$A$810&lt;=$J314)),'Match Log'!$N$4:$N$810),NA()))</f>
        <v>#N/A</v>
      </c>
      <c r="R314" t="e">
        <f>IF($J314&gt;MAX('Match Log'!$A$4:$A$810),NA(),IFERROR(LOOKUP(2,1/(('Match Log'!$D$4:$D$810=$R$24)*('Match Log'!$A$4:$A$810&lt;=$J314)),'Match Log'!$N$4:$N$810),NA()))</f>
        <v>#N/A</v>
      </c>
      <c r="S314" t="e">
        <f>IF($J314&gt;MAX('Match Log'!$A$4:$A$810),NA(),IFERROR(LOOKUP(2,1/(('Match Log'!$D$4:$D$810=$S$24)*('Match Log'!$A$4:$A$810&lt;=$J314)),'Match Log'!$N$4:$N$810),NA()))</f>
        <v>#N/A</v>
      </c>
      <c r="T314" t="e">
        <f>IF($J314&gt;MAX('Match Log'!$A$4:$A$810),NA(),IFERROR(LOOKUP(2,1/(('Match Log'!$D$4:$D$810=$T$24)*('Match Log'!$A$4:$A$810&lt;=$J314)),'Match Log'!$N$4:$N$810),NA()))</f>
        <v>#N/A</v>
      </c>
      <c r="U314" t="e">
        <f>IF($J314&gt;MAX('Match Log'!$A$4:$A$810),NA(),IFERROR(LOOKUP(2,1/(('Match Log'!$D$4:$D$810=$U$24)*('Match Log'!$A$4:$A$810&lt;=$J314)),'Match Log'!$N$4:$N$810),NA()))</f>
        <v>#N/A</v>
      </c>
      <c r="V314" t="e">
        <f>IF($J314&gt;MAX('Match Log'!$A$4:$A$810),NA(),IFERROR(LOOKUP(2,1/(('Match Log'!$D$4:$D$810=$V$24)*('Match Log'!$A$4:$A$810&lt;=$J314)),'Match Log'!$N$4:$N$810),NA()))</f>
        <v>#N/A</v>
      </c>
      <c r="W314" t="e">
        <f>IF($J314&gt;MAX('Match Log'!$A$4:$A$810),NA(),IFERROR(LOOKUP(2,1/(('Match Log'!$D$4:$D$810=$W$24)*('Match Log'!$A$4:$A$810&lt;=$J314)),'Match Log'!$N$4:$N$810),NA()))</f>
        <v>#N/A</v>
      </c>
      <c r="X314" t="e">
        <f>IF($J314&gt;MAX('Match Log'!$A$4:$A$810),NA(),IFERROR(LOOKUP(2,1/(('Match Log'!$D$4:$D$810=$X$24)*('Match Log'!$A$4:$A$810&lt;=$J314)),'Match Log'!$N$4:$N$810),NA()))</f>
        <v>#N/A</v>
      </c>
      <c r="Y314" t="str">
        <f t="shared" ca="1" si="36"/>
        <v/>
      </c>
    </row>
    <row r="315" spans="1:25" x14ac:dyDescent="0.2">
      <c r="A315">
        <v>291</v>
      </c>
      <c r="B315" t="str">
        <f>IFERROR(INDEX('Match Log'!$B$4:$B$810,MATCH(291,'Match Log'!$A$4:$A$810,0)),"")</f>
        <v/>
      </c>
      <c r="C315" t="str">
        <f>IFERROR(INDEX('Match Log'!$C$4:$C$810,MATCH(291,'Match Log'!$A$4:$A$810,0)),"")</f>
        <v/>
      </c>
      <c r="D315" t="str">
        <f t="array" ref="D315">IFERROR(_xlfn.TEXTJOIN(" + ",TRUE,IF(('Match Log'!$A$4:$A$810=$A315)*('Match Log'!$E$4:$E$810="Win"),'Match Log'!$D$4:$D$810,"")),IFERROR(LOOKUP(2,1/(('Match Log'!$A$4:$A$810=$A315)*('Match Log'!$E$4:$E$810="Win")),'Match Log'!$D$4:$D$810),""))</f>
        <v/>
      </c>
      <c r="E315" t="str">
        <f>IFERROR(INDEX('Match Log'!$F$4:$F$810,MATCH(291,'Match Log'!$A$4:$A$810,0)),"")</f>
        <v/>
      </c>
      <c r="F315">
        <f>IFERROR(SUMIFS('Match Log'!$I$4:$I$810,'Match Log'!$A$4:$A$810,291,'Match Log'!$E$4:$E$810,"Win"),"")</f>
        <v>0</v>
      </c>
      <c r="G315" t="str">
        <f t="shared" si="34"/>
        <v/>
      </c>
      <c r="H315" t="str">
        <f t="array" ref="H315">IFERROR(IF(COUNTIFS('Match Log'!$A$4:$A$810,$A315,'Match Log'!$E$4:$E$810,"Win")&gt;1,_xlfn.TEXTJOIN(" + ",TRUE,IF(('Match Log'!$A$4:$A$810=$A315)*('Match Log'!$E$4:$E$810="Loss"),'Match Log'!$D$4:$D$810,"")),IF($E315=2,LOOKUP(2,1/(('Match Log'!$A$4:$A$810=$A315)*('Match Log'!$E$4:$E$810="Loss")),'Match Log'!$D$4:$D$810),"the field")),"")</f>
        <v>the field</v>
      </c>
      <c r="I315" t="str">
        <f t="shared" si="35"/>
        <v/>
      </c>
      <c r="J315">
        <v>291</v>
      </c>
      <c r="K315" t="e">
        <f>IF($J315&gt;MAX('Match Log'!$A$4:$A$810),NA(),IFERROR(LOOKUP(2,1/(('Match Log'!$D$4:$D$810=$K$24)*('Match Log'!$A$4:$A$810&lt;=$J315)),'Match Log'!$N$4:$N$810),NA()))</f>
        <v>#N/A</v>
      </c>
      <c r="L315" t="e">
        <f>IF($J315&gt;MAX('Match Log'!$A$4:$A$810),NA(),IFERROR(LOOKUP(2,1/(('Match Log'!$D$4:$D$810=$L$24)*('Match Log'!$A$4:$A$810&lt;=$J315)),'Match Log'!$N$4:$N$810),NA()))</f>
        <v>#N/A</v>
      </c>
      <c r="M315" t="e">
        <f>IF($J315&gt;MAX('Match Log'!$A$4:$A$810),NA(),IFERROR(LOOKUP(2,1/(('Match Log'!$D$4:$D$810=$M$24)*('Match Log'!$A$4:$A$810&lt;=$J315)),'Match Log'!$N$4:$N$810),NA()))</f>
        <v>#N/A</v>
      </c>
      <c r="N315" t="e">
        <f>IF($J315&gt;MAX('Match Log'!$A$4:$A$810),NA(),IFERROR(LOOKUP(2,1/(('Match Log'!$D$4:$D$810=$N$24)*('Match Log'!$A$4:$A$810&lt;=$J315)),'Match Log'!$N$4:$N$810),NA()))</f>
        <v>#N/A</v>
      </c>
      <c r="O315" t="e">
        <f>IF($J315&gt;MAX('Match Log'!$A$4:$A$810),NA(),IFERROR(LOOKUP(2,1/(('Match Log'!$D$4:$D$810=$O$24)*('Match Log'!$A$4:$A$810&lt;=$J315)),'Match Log'!$N$4:$N$810),NA()))</f>
        <v>#N/A</v>
      </c>
      <c r="P315" t="e">
        <f>IF($J315&gt;MAX('Match Log'!$A$4:$A$810),NA(),IFERROR(LOOKUP(2,1/(('Match Log'!$D$4:$D$810=$P$24)*('Match Log'!$A$4:$A$810&lt;=$J315)),'Match Log'!$N$4:$N$810),NA()))</f>
        <v>#N/A</v>
      </c>
      <c r="Q315" t="e">
        <f>IF($J315&gt;MAX('Match Log'!$A$4:$A$810),NA(),IFERROR(LOOKUP(2,1/(('Match Log'!$D$4:$D$810=$Q$24)*('Match Log'!$A$4:$A$810&lt;=$J315)),'Match Log'!$N$4:$N$810),NA()))</f>
        <v>#N/A</v>
      </c>
      <c r="R315" t="e">
        <f>IF($J315&gt;MAX('Match Log'!$A$4:$A$810),NA(),IFERROR(LOOKUP(2,1/(('Match Log'!$D$4:$D$810=$R$24)*('Match Log'!$A$4:$A$810&lt;=$J315)),'Match Log'!$N$4:$N$810),NA()))</f>
        <v>#N/A</v>
      </c>
      <c r="S315" t="e">
        <f>IF($J315&gt;MAX('Match Log'!$A$4:$A$810),NA(),IFERROR(LOOKUP(2,1/(('Match Log'!$D$4:$D$810=$S$24)*('Match Log'!$A$4:$A$810&lt;=$J315)),'Match Log'!$N$4:$N$810),NA()))</f>
        <v>#N/A</v>
      </c>
      <c r="T315" t="e">
        <f>IF($J315&gt;MAX('Match Log'!$A$4:$A$810),NA(),IFERROR(LOOKUP(2,1/(('Match Log'!$D$4:$D$810=$T$24)*('Match Log'!$A$4:$A$810&lt;=$J315)),'Match Log'!$N$4:$N$810),NA()))</f>
        <v>#N/A</v>
      </c>
      <c r="U315" t="e">
        <f>IF($J315&gt;MAX('Match Log'!$A$4:$A$810),NA(),IFERROR(LOOKUP(2,1/(('Match Log'!$D$4:$D$810=$U$24)*('Match Log'!$A$4:$A$810&lt;=$J315)),'Match Log'!$N$4:$N$810),NA()))</f>
        <v>#N/A</v>
      </c>
      <c r="V315" t="e">
        <f>IF($J315&gt;MAX('Match Log'!$A$4:$A$810),NA(),IFERROR(LOOKUP(2,1/(('Match Log'!$D$4:$D$810=$V$24)*('Match Log'!$A$4:$A$810&lt;=$J315)),'Match Log'!$N$4:$N$810),NA()))</f>
        <v>#N/A</v>
      </c>
      <c r="W315" t="e">
        <f>IF($J315&gt;MAX('Match Log'!$A$4:$A$810),NA(),IFERROR(LOOKUP(2,1/(('Match Log'!$D$4:$D$810=$W$24)*('Match Log'!$A$4:$A$810&lt;=$J315)),'Match Log'!$N$4:$N$810),NA()))</f>
        <v>#N/A</v>
      </c>
      <c r="X315" t="e">
        <f>IF($J315&gt;MAX('Match Log'!$A$4:$A$810),NA(),IFERROR(LOOKUP(2,1/(('Match Log'!$D$4:$D$810=$X$24)*('Match Log'!$A$4:$A$810&lt;=$J315)),'Match Log'!$N$4:$N$810),NA()))</f>
        <v>#N/A</v>
      </c>
      <c r="Y315" t="str">
        <f t="shared" ca="1" si="36"/>
        <v/>
      </c>
    </row>
    <row r="316" spans="1:25" x14ac:dyDescent="0.2">
      <c r="A316">
        <v>292</v>
      </c>
      <c r="B316" t="str">
        <f>IFERROR(INDEX('Match Log'!$B$4:$B$810,MATCH(292,'Match Log'!$A$4:$A$810,0)),"")</f>
        <v/>
      </c>
      <c r="C316" t="str">
        <f>IFERROR(INDEX('Match Log'!$C$4:$C$810,MATCH(292,'Match Log'!$A$4:$A$810,0)),"")</f>
        <v/>
      </c>
      <c r="D316" t="str">
        <f t="array" ref="D316">IFERROR(_xlfn.TEXTJOIN(" + ",TRUE,IF(('Match Log'!$A$4:$A$810=$A316)*('Match Log'!$E$4:$E$810="Win"),'Match Log'!$D$4:$D$810,"")),IFERROR(LOOKUP(2,1/(('Match Log'!$A$4:$A$810=$A316)*('Match Log'!$E$4:$E$810="Win")),'Match Log'!$D$4:$D$810),""))</f>
        <v/>
      </c>
      <c r="E316" t="str">
        <f>IFERROR(INDEX('Match Log'!$F$4:$F$810,MATCH(292,'Match Log'!$A$4:$A$810,0)),"")</f>
        <v/>
      </c>
      <c r="F316">
        <f>IFERROR(SUMIFS('Match Log'!$I$4:$I$810,'Match Log'!$A$4:$A$810,292,'Match Log'!$E$4:$E$810,"Win"),"")</f>
        <v>0</v>
      </c>
      <c r="G316" t="str">
        <f t="shared" si="34"/>
        <v/>
      </c>
      <c r="H316" t="str">
        <f t="array" ref="H316">IFERROR(IF(COUNTIFS('Match Log'!$A$4:$A$810,$A316,'Match Log'!$E$4:$E$810,"Win")&gt;1,_xlfn.TEXTJOIN(" + ",TRUE,IF(('Match Log'!$A$4:$A$810=$A316)*('Match Log'!$E$4:$E$810="Loss"),'Match Log'!$D$4:$D$810,"")),IF($E316=2,LOOKUP(2,1/(('Match Log'!$A$4:$A$810=$A316)*('Match Log'!$E$4:$E$810="Loss")),'Match Log'!$D$4:$D$810),"the field")),"")</f>
        <v>the field</v>
      </c>
      <c r="I316" t="str">
        <f t="shared" si="35"/>
        <v/>
      </c>
      <c r="J316">
        <v>292</v>
      </c>
      <c r="K316" t="e">
        <f>IF($J316&gt;MAX('Match Log'!$A$4:$A$810),NA(),IFERROR(LOOKUP(2,1/(('Match Log'!$D$4:$D$810=$K$24)*('Match Log'!$A$4:$A$810&lt;=$J316)),'Match Log'!$N$4:$N$810),NA()))</f>
        <v>#N/A</v>
      </c>
      <c r="L316" t="e">
        <f>IF($J316&gt;MAX('Match Log'!$A$4:$A$810),NA(),IFERROR(LOOKUP(2,1/(('Match Log'!$D$4:$D$810=$L$24)*('Match Log'!$A$4:$A$810&lt;=$J316)),'Match Log'!$N$4:$N$810),NA()))</f>
        <v>#N/A</v>
      </c>
      <c r="M316" t="e">
        <f>IF($J316&gt;MAX('Match Log'!$A$4:$A$810),NA(),IFERROR(LOOKUP(2,1/(('Match Log'!$D$4:$D$810=$M$24)*('Match Log'!$A$4:$A$810&lt;=$J316)),'Match Log'!$N$4:$N$810),NA()))</f>
        <v>#N/A</v>
      </c>
      <c r="N316" t="e">
        <f>IF($J316&gt;MAX('Match Log'!$A$4:$A$810),NA(),IFERROR(LOOKUP(2,1/(('Match Log'!$D$4:$D$810=$N$24)*('Match Log'!$A$4:$A$810&lt;=$J316)),'Match Log'!$N$4:$N$810),NA()))</f>
        <v>#N/A</v>
      </c>
      <c r="O316" t="e">
        <f>IF($J316&gt;MAX('Match Log'!$A$4:$A$810),NA(),IFERROR(LOOKUP(2,1/(('Match Log'!$D$4:$D$810=$O$24)*('Match Log'!$A$4:$A$810&lt;=$J316)),'Match Log'!$N$4:$N$810),NA()))</f>
        <v>#N/A</v>
      </c>
      <c r="P316" t="e">
        <f>IF($J316&gt;MAX('Match Log'!$A$4:$A$810),NA(),IFERROR(LOOKUP(2,1/(('Match Log'!$D$4:$D$810=$P$24)*('Match Log'!$A$4:$A$810&lt;=$J316)),'Match Log'!$N$4:$N$810),NA()))</f>
        <v>#N/A</v>
      </c>
      <c r="Q316" t="e">
        <f>IF($J316&gt;MAX('Match Log'!$A$4:$A$810),NA(),IFERROR(LOOKUP(2,1/(('Match Log'!$D$4:$D$810=$Q$24)*('Match Log'!$A$4:$A$810&lt;=$J316)),'Match Log'!$N$4:$N$810),NA()))</f>
        <v>#N/A</v>
      </c>
      <c r="R316" t="e">
        <f>IF($J316&gt;MAX('Match Log'!$A$4:$A$810),NA(),IFERROR(LOOKUP(2,1/(('Match Log'!$D$4:$D$810=$R$24)*('Match Log'!$A$4:$A$810&lt;=$J316)),'Match Log'!$N$4:$N$810),NA()))</f>
        <v>#N/A</v>
      </c>
      <c r="S316" t="e">
        <f>IF($J316&gt;MAX('Match Log'!$A$4:$A$810),NA(),IFERROR(LOOKUP(2,1/(('Match Log'!$D$4:$D$810=$S$24)*('Match Log'!$A$4:$A$810&lt;=$J316)),'Match Log'!$N$4:$N$810),NA()))</f>
        <v>#N/A</v>
      </c>
      <c r="T316" t="e">
        <f>IF($J316&gt;MAX('Match Log'!$A$4:$A$810),NA(),IFERROR(LOOKUP(2,1/(('Match Log'!$D$4:$D$810=$T$24)*('Match Log'!$A$4:$A$810&lt;=$J316)),'Match Log'!$N$4:$N$810),NA()))</f>
        <v>#N/A</v>
      </c>
      <c r="U316" t="e">
        <f>IF($J316&gt;MAX('Match Log'!$A$4:$A$810),NA(),IFERROR(LOOKUP(2,1/(('Match Log'!$D$4:$D$810=$U$24)*('Match Log'!$A$4:$A$810&lt;=$J316)),'Match Log'!$N$4:$N$810),NA()))</f>
        <v>#N/A</v>
      </c>
      <c r="V316" t="e">
        <f>IF($J316&gt;MAX('Match Log'!$A$4:$A$810),NA(),IFERROR(LOOKUP(2,1/(('Match Log'!$D$4:$D$810=$V$24)*('Match Log'!$A$4:$A$810&lt;=$J316)),'Match Log'!$N$4:$N$810),NA()))</f>
        <v>#N/A</v>
      </c>
      <c r="W316" t="e">
        <f>IF($J316&gt;MAX('Match Log'!$A$4:$A$810),NA(),IFERROR(LOOKUP(2,1/(('Match Log'!$D$4:$D$810=$W$24)*('Match Log'!$A$4:$A$810&lt;=$J316)),'Match Log'!$N$4:$N$810),NA()))</f>
        <v>#N/A</v>
      </c>
      <c r="X316" t="e">
        <f>IF($J316&gt;MAX('Match Log'!$A$4:$A$810),NA(),IFERROR(LOOKUP(2,1/(('Match Log'!$D$4:$D$810=$X$24)*('Match Log'!$A$4:$A$810&lt;=$J316)),'Match Log'!$N$4:$N$810),NA()))</f>
        <v>#N/A</v>
      </c>
      <c r="Y316" t="str">
        <f t="shared" ca="1" si="36"/>
        <v/>
      </c>
    </row>
    <row r="317" spans="1:25" x14ac:dyDescent="0.2">
      <c r="A317">
        <v>293</v>
      </c>
      <c r="B317" t="str">
        <f>IFERROR(INDEX('Match Log'!$B$4:$B$810,MATCH(293,'Match Log'!$A$4:$A$810,0)),"")</f>
        <v/>
      </c>
      <c r="C317" t="str">
        <f>IFERROR(INDEX('Match Log'!$C$4:$C$810,MATCH(293,'Match Log'!$A$4:$A$810,0)),"")</f>
        <v/>
      </c>
      <c r="D317" t="str">
        <f t="array" ref="D317">IFERROR(_xlfn.TEXTJOIN(" + ",TRUE,IF(('Match Log'!$A$4:$A$810=$A317)*('Match Log'!$E$4:$E$810="Win"),'Match Log'!$D$4:$D$810,"")),IFERROR(LOOKUP(2,1/(('Match Log'!$A$4:$A$810=$A317)*('Match Log'!$E$4:$E$810="Win")),'Match Log'!$D$4:$D$810),""))</f>
        <v/>
      </c>
      <c r="E317" t="str">
        <f>IFERROR(INDEX('Match Log'!$F$4:$F$810,MATCH(293,'Match Log'!$A$4:$A$810,0)),"")</f>
        <v/>
      </c>
      <c r="F317">
        <f>IFERROR(SUMIFS('Match Log'!$I$4:$I$810,'Match Log'!$A$4:$A$810,293,'Match Log'!$E$4:$E$810,"Win"),"")</f>
        <v>0</v>
      </c>
      <c r="G317" t="str">
        <f t="shared" si="34"/>
        <v/>
      </c>
      <c r="H317" t="str">
        <f t="array" ref="H317">IFERROR(IF(COUNTIFS('Match Log'!$A$4:$A$810,$A317,'Match Log'!$E$4:$E$810,"Win")&gt;1,_xlfn.TEXTJOIN(" + ",TRUE,IF(('Match Log'!$A$4:$A$810=$A317)*('Match Log'!$E$4:$E$810="Loss"),'Match Log'!$D$4:$D$810,"")),IF($E317=2,LOOKUP(2,1/(('Match Log'!$A$4:$A$810=$A317)*('Match Log'!$E$4:$E$810="Loss")),'Match Log'!$D$4:$D$810),"the field")),"")</f>
        <v>the field</v>
      </c>
      <c r="I317" t="str">
        <f t="shared" si="35"/>
        <v/>
      </c>
      <c r="J317">
        <v>293</v>
      </c>
      <c r="K317" t="e">
        <f>IF($J317&gt;MAX('Match Log'!$A$4:$A$810),NA(),IFERROR(LOOKUP(2,1/(('Match Log'!$D$4:$D$810=$K$24)*('Match Log'!$A$4:$A$810&lt;=$J317)),'Match Log'!$N$4:$N$810),NA()))</f>
        <v>#N/A</v>
      </c>
      <c r="L317" t="e">
        <f>IF($J317&gt;MAX('Match Log'!$A$4:$A$810),NA(),IFERROR(LOOKUP(2,1/(('Match Log'!$D$4:$D$810=$L$24)*('Match Log'!$A$4:$A$810&lt;=$J317)),'Match Log'!$N$4:$N$810),NA()))</f>
        <v>#N/A</v>
      </c>
      <c r="M317" t="e">
        <f>IF($J317&gt;MAX('Match Log'!$A$4:$A$810),NA(),IFERROR(LOOKUP(2,1/(('Match Log'!$D$4:$D$810=$M$24)*('Match Log'!$A$4:$A$810&lt;=$J317)),'Match Log'!$N$4:$N$810),NA()))</f>
        <v>#N/A</v>
      </c>
      <c r="N317" t="e">
        <f>IF($J317&gt;MAX('Match Log'!$A$4:$A$810),NA(),IFERROR(LOOKUP(2,1/(('Match Log'!$D$4:$D$810=$N$24)*('Match Log'!$A$4:$A$810&lt;=$J317)),'Match Log'!$N$4:$N$810),NA()))</f>
        <v>#N/A</v>
      </c>
      <c r="O317" t="e">
        <f>IF($J317&gt;MAX('Match Log'!$A$4:$A$810),NA(),IFERROR(LOOKUP(2,1/(('Match Log'!$D$4:$D$810=$O$24)*('Match Log'!$A$4:$A$810&lt;=$J317)),'Match Log'!$N$4:$N$810),NA()))</f>
        <v>#N/A</v>
      </c>
      <c r="P317" t="e">
        <f>IF($J317&gt;MAX('Match Log'!$A$4:$A$810),NA(),IFERROR(LOOKUP(2,1/(('Match Log'!$D$4:$D$810=$P$24)*('Match Log'!$A$4:$A$810&lt;=$J317)),'Match Log'!$N$4:$N$810),NA()))</f>
        <v>#N/A</v>
      </c>
      <c r="Q317" t="e">
        <f>IF($J317&gt;MAX('Match Log'!$A$4:$A$810),NA(),IFERROR(LOOKUP(2,1/(('Match Log'!$D$4:$D$810=$Q$24)*('Match Log'!$A$4:$A$810&lt;=$J317)),'Match Log'!$N$4:$N$810),NA()))</f>
        <v>#N/A</v>
      </c>
      <c r="R317" t="e">
        <f>IF($J317&gt;MAX('Match Log'!$A$4:$A$810),NA(),IFERROR(LOOKUP(2,1/(('Match Log'!$D$4:$D$810=$R$24)*('Match Log'!$A$4:$A$810&lt;=$J317)),'Match Log'!$N$4:$N$810),NA()))</f>
        <v>#N/A</v>
      </c>
      <c r="S317" t="e">
        <f>IF($J317&gt;MAX('Match Log'!$A$4:$A$810),NA(),IFERROR(LOOKUP(2,1/(('Match Log'!$D$4:$D$810=$S$24)*('Match Log'!$A$4:$A$810&lt;=$J317)),'Match Log'!$N$4:$N$810),NA()))</f>
        <v>#N/A</v>
      </c>
      <c r="T317" t="e">
        <f>IF($J317&gt;MAX('Match Log'!$A$4:$A$810),NA(),IFERROR(LOOKUP(2,1/(('Match Log'!$D$4:$D$810=$T$24)*('Match Log'!$A$4:$A$810&lt;=$J317)),'Match Log'!$N$4:$N$810),NA()))</f>
        <v>#N/A</v>
      </c>
      <c r="U317" t="e">
        <f>IF($J317&gt;MAX('Match Log'!$A$4:$A$810),NA(),IFERROR(LOOKUP(2,1/(('Match Log'!$D$4:$D$810=$U$24)*('Match Log'!$A$4:$A$810&lt;=$J317)),'Match Log'!$N$4:$N$810),NA()))</f>
        <v>#N/A</v>
      </c>
      <c r="V317" t="e">
        <f>IF($J317&gt;MAX('Match Log'!$A$4:$A$810),NA(),IFERROR(LOOKUP(2,1/(('Match Log'!$D$4:$D$810=$V$24)*('Match Log'!$A$4:$A$810&lt;=$J317)),'Match Log'!$N$4:$N$810),NA()))</f>
        <v>#N/A</v>
      </c>
      <c r="W317" t="e">
        <f>IF($J317&gt;MAX('Match Log'!$A$4:$A$810),NA(),IFERROR(LOOKUP(2,1/(('Match Log'!$D$4:$D$810=$W$24)*('Match Log'!$A$4:$A$810&lt;=$J317)),'Match Log'!$N$4:$N$810),NA()))</f>
        <v>#N/A</v>
      </c>
      <c r="X317" t="e">
        <f>IF($J317&gt;MAX('Match Log'!$A$4:$A$810),NA(),IFERROR(LOOKUP(2,1/(('Match Log'!$D$4:$D$810=$X$24)*('Match Log'!$A$4:$A$810&lt;=$J317)),'Match Log'!$N$4:$N$810),NA()))</f>
        <v>#N/A</v>
      </c>
      <c r="Y317" t="str">
        <f t="shared" ca="1" si="36"/>
        <v/>
      </c>
    </row>
    <row r="318" spans="1:25" x14ac:dyDescent="0.2">
      <c r="A318">
        <v>294</v>
      </c>
      <c r="B318" t="str">
        <f>IFERROR(INDEX('Match Log'!$B$4:$B$810,MATCH(294,'Match Log'!$A$4:$A$810,0)),"")</f>
        <v/>
      </c>
      <c r="C318" t="str">
        <f>IFERROR(INDEX('Match Log'!$C$4:$C$810,MATCH(294,'Match Log'!$A$4:$A$810,0)),"")</f>
        <v/>
      </c>
      <c r="D318" t="str">
        <f t="array" ref="D318">IFERROR(_xlfn.TEXTJOIN(" + ",TRUE,IF(('Match Log'!$A$4:$A$810=$A318)*('Match Log'!$E$4:$E$810="Win"),'Match Log'!$D$4:$D$810,"")),IFERROR(LOOKUP(2,1/(('Match Log'!$A$4:$A$810=$A318)*('Match Log'!$E$4:$E$810="Win")),'Match Log'!$D$4:$D$810),""))</f>
        <v/>
      </c>
      <c r="E318" t="str">
        <f>IFERROR(INDEX('Match Log'!$F$4:$F$810,MATCH(294,'Match Log'!$A$4:$A$810,0)),"")</f>
        <v/>
      </c>
      <c r="F318">
        <f>IFERROR(SUMIFS('Match Log'!$I$4:$I$810,'Match Log'!$A$4:$A$810,294,'Match Log'!$E$4:$E$810,"Win"),"")</f>
        <v>0</v>
      </c>
      <c r="G318" t="str">
        <f t="shared" si="34"/>
        <v/>
      </c>
      <c r="H318" t="str">
        <f t="array" ref="H318">IFERROR(IF(COUNTIFS('Match Log'!$A$4:$A$810,$A318,'Match Log'!$E$4:$E$810,"Win")&gt;1,_xlfn.TEXTJOIN(" + ",TRUE,IF(('Match Log'!$A$4:$A$810=$A318)*('Match Log'!$E$4:$E$810="Loss"),'Match Log'!$D$4:$D$810,"")),IF($E318=2,LOOKUP(2,1/(('Match Log'!$A$4:$A$810=$A318)*('Match Log'!$E$4:$E$810="Loss")),'Match Log'!$D$4:$D$810),"the field")),"")</f>
        <v>the field</v>
      </c>
      <c r="I318" t="str">
        <f t="shared" si="35"/>
        <v/>
      </c>
      <c r="J318">
        <v>294</v>
      </c>
      <c r="K318" t="e">
        <f>IF($J318&gt;MAX('Match Log'!$A$4:$A$810),NA(),IFERROR(LOOKUP(2,1/(('Match Log'!$D$4:$D$810=$K$24)*('Match Log'!$A$4:$A$810&lt;=$J318)),'Match Log'!$N$4:$N$810),NA()))</f>
        <v>#N/A</v>
      </c>
      <c r="L318" t="e">
        <f>IF($J318&gt;MAX('Match Log'!$A$4:$A$810),NA(),IFERROR(LOOKUP(2,1/(('Match Log'!$D$4:$D$810=$L$24)*('Match Log'!$A$4:$A$810&lt;=$J318)),'Match Log'!$N$4:$N$810),NA()))</f>
        <v>#N/A</v>
      </c>
      <c r="M318" t="e">
        <f>IF($J318&gt;MAX('Match Log'!$A$4:$A$810),NA(),IFERROR(LOOKUP(2,1/(('Match Log'!$D$4:$D$810=$M$24)*('Match Log'!$A$4:$A$810&lt;=$J318)),'Match Log'!$N$4:$N$810),NA()))</f>
        <v>#N/A</v>
      </c>
      <c r="N318" t="e">
        <f>IF($J318&gt;MAX('Match Log'!$A$4:$A$810),NA(),IFERROR(LOOKUP(2,1/(('Match Log'!$D$4:$D$810=$N$24)*('Match Log'!$A$4:$A$810&lt;=$J318)),'Match Log'!$N$4:$N$810),NA()))</f>
        <v>#N/A</v>
      </c>
      <c r="O318" t="e">
        <f>IF($J318&gt;MAX('Match Log'!$A$4:$A$810),NA(),IFERROR(LOOKUP(2,1/(('Match Log'!$D$4:$D$810=$O$24)*('Match Log'!$A$4:$A$810&lt;=$J318)),'Match Log'!$N$4:$N$810),NA()))</f>
        <v>#N/A</v>
      </c>
      <c r="P318" t="e">
        <f>IF($J318&gt;MAX('Match Log'!$A$4:$A$810),NA(),IFERROR(LOOKUP(2,1/(('Match Log'!$D$4:$D$810=$P$24)*('Match Log'!$A$4:$A$810&lt;=$J318)),'Match Log'!$N$4:$N$810),NA()))</f>
        <v>#N/A</v>
      </c>
      <c r="Q318" t="e">
        <f>IF($J318&gt;MAX('Match Log'!$A$4:$A$810),NA(),IFERROR(LOOKUP(2,1/(('Match Log'!$D$4:$D$810=$Q$24)*('Match Log'!$A$4:$A$810&lt;=$J318)),'Match Log'!$N$4:$N$810),NA()))</f>
        <v>#N/A</v>
      </c>
      <c r="R318" t="e">
        <f>IF($J318&gt;MAX('Match Log'!$A$4:$A$810),NA(),IFERROR(LOOKUP(2,1/(('Match Log'!$D$4:$D$810=$R$24)*('Match Log'!$A$4:$A$810&lt;=$J318)),'Match Log'!$N$4:$N$810),NA()))</f>
        <v>#N/A</v>
      </c>
      <c r="S318" t="e">
        <f>IF($J318&gt;MAX('Match Log'!$A$4:$A$810),NA(),IFERROR(LOOKUP(2,1/(('Match Log'!$D$4:$D$810=$S$24)*('Match Log'!$A$4:$A$810&lt;=$J318)),'Match Log'!$N$4:$N$810),NA()))</f>
        <v>#N/A</v>
      </c>
      <c r="T318" t="e">
        <f>IF($J318&gt;MAX('Match Log'!$A$4:$A$810),NA(),IFERROR(LOOKUP(2,1/(('Match Log'!$D$4:$D$810=$T$24)*('Match Log'!$A$4:$A$810&lt;=$J318)),'Match Log'!$N$4:$N$810),NA()))</f>
        <v>#N/A</v>
      </c>
      <c r="U318" t="e">
        <f>IF($J318&gt;MAX('Match Log'!$A$4:$A$810),NA(),IFERROR(LOOKUP(2,1/(('Match Log'!$D$4:$D$810=$U$24)*('Match Log'!$A$4:$A$810&lt;=$J318)),'Match Log'!$N$4:$N$810),NA()))</f>
        <v>#N/A</v>
      </c>
      <c r="V318" t="e">
        <f>IF($J318&gt;MAX('Match Log'!$A$4:$A$810),NA(),IFERROR(LOOKUP(2,1/(('Match Log'!$D$4:$D$810=$V$24)*('Match Log'!$A$4:$A$810&lt;=$J318)),'Match Log'!$N$4:$N$810),NA()))</f>
        <v>#N/A</v>
      </c>
      <c r="W318" t="e">
        <f>IF($J318&gt;MAX('Match Log'!$A$4:$A$810),NA(),IFERROR(LOOKUP(2,1/(('Match Log'!$D$4:$D$810=$W$24)*('Match Log'!$A$4:$A$810&lt;=$J318)),'Match Log'!$N$4:$N$810),NA()))</f>
        <v>#N/A</v>
      </c>
      <c r="X318" t="e">
        <f>IF($J318&gt;MAX('Match Log'!$A$4:$A$810),NA(),IFERROR(LOOKUP(2,1/(('Match Log'!$D$4:$D$810=$X$24)*('Match Log'!$A$4:$A$810&lt;=$J318)),'Match Log'!$N$4:$N$810),NA()))</f>
        <v>#N/A</v>
      </c>
      <c r="Y318" t="str">
        <f t="shared" ca="1" si="36"/>
        <v/>
      </c>
    </row>
    <row r="319" spans="1:25" x14ac:dyDescent="0.2">
      <c r="A319">
        <v>295</v>
      </c>
      <c r="B319" t="str">
        <f>IFERROR(INDEX('Match Log'!$B$4:$B$810,MATCH(295,'Match Log'!$A$4:$A$810,0)),"")</f>
        <v/>
      </c>
      <c r="C319" t="str">
        <f>IFERROR(INDEX('Match Log'!$C$4:$C$810,MATCH(295,'Match Log'!$A$4:$A$810,0)),"")</f>
        <v/>
      </c>
      <c r="D319" t="str">
        <f t="array" ref="D319">IFERROR(_xlfn.TEXTJOIN(" + ",TRUE,IF(('Match Log'!$A$4:$A$810=$A319)*('Match Log'!$E$4:$E$810="Win"),'Match Log'!$D$4:$D$810,"")),IFERROR(LOOKUP(2,1/(('Match Log'!$A$4:$A$810=$A319)*('Match Log'!$E$4:$E$810="Win")),'Match Log'!$D$4:$D$810),""))</f>
        <v/>
      </c>
      <c r="E319" t="str">
        <f>IFERROR(INDEX('Match Log'!$F$4:$F$810,MATCH(295,'Match Log'!$A$4:$A$810,0)),"")</f>
        <v/>
      </c>
      <c r="F319">
        <f>IFERROR(SUMIFS('Match Log'!$I$4:$I$810,'Match Log'!$A$4:$A$810,295,'Match Log'!$E$4:$E$810,"Win"),"")</f>
        <v>0</v>
      </c>
      <c r="G319" t="str">
        <f t="shared" si="34"/>
        <v/>
      </c>
      <c r="H319" t="str">
        <f t="array" ref="H319">IFERROR(IF(COUNTIFS('Match Log'!$A$4:$A$810,$A319,'Match Log'!$E$4:$E$810,"Win")&gt;1,_xlfn.TEXTJOIN(" + ",TRUE,IF(('Match Log'!$A$4:$A$810=$A319)*('Match Log'!$E$4:$E$810="Loss"),'Match Log'!$D$4:$D$810,"")),IF($E319=2,LOOKUP(2,1/(('Match Log'!$A$4:$A$810=$A319)*('Match Log'!$E$4:$E$810="Loss")),'Match Log'!$D$4:$D$810),"the field")),"")</f>
        <v>the field</v>
      </c>
      <c r="I319" t="str">
        <f t="shared" si="35"/>
        <v/>
      </c>
      <c r="J319">
        <v>295</v>
      </c>
      <c r="K319" t="e">
        <f>IF($J319&gt;MAX('Match Log'!$A$4:$A$810),NA(),IFERROR(LOOKUP(2,1/(('Match Log'!$D$4:$D$810=$K$24)*('Match Log'!$A$4:$A$810&lt;=$J319)),'Match Log'!$N$4:$N$810),NA()))</f>
        <v>#N/A</v>
      </c>
      <c r="L319" t="e">
        <f>IF($J319&gt;MAX('Match Log'!$A$4:$A$810),NA(),IFERROR(LOOKUP(2,1/(('Match Log'!$D$4:$D$810=$L$24)*('Match Log'!$A$4:$A$810&lt;=$J319)),'Match Log'!$N$4:$N$810),NA()))</f>
        <v>#N/A</v>
      </c>
      <c r="M319" t="e">
        <f>IF($J319&gt;MAX('Match Log'!$A$4:$A$810),NA(),IFERROR(LOOKUP(2,1/(('Match Log'!$D$4:$D$810=$M$24)*('Match Log'!$A$4:$A$810&lt;=$J319)),'Match Log'!$N$4:$N$810),NA()))</f>
        <v>#N/A</v>
      </c>
      <c r="N319" t="e">
        <f>IF($J319&gt;MAX('Match Log'!$A$4:$A$810),NA(),IFERROR(LOOKUP(2,1/(('Match Log'!$D$4:$D$810=$N$24)*('Match Log'!$A$4:$A$810&lt;=$J319)),'Match Log'!$N$4:$N$810),NA()))</f>
        <v>#N/A</v>
      </c>
      <c r="O319" t="e">
        <f>IF($J319&gt;MAX('Match Log'!$A$4:$A$810),NA(),IFERROR(LOOKUP(2,1/(('Match Log'!$D$4:$D$810=$O$24)*('Match Log'!$A$4:$A$810&lt;=$J319)),'Match Log'!$N$4:$N$810),NA()))</f>
        <v>#N/A</v>
      </c>
      <c r="P319" t="e">
        <f>IF($J319&gt;MAX('Match Log'!$A$4:$A$810),NA(),IFERROR(LOOKUP(2,1/(('Match Log'!$D$4:$D$810=$P$24)*('Match Log'!$A$4:$A$810&lt;=$J319)),'Match Log'!$N$4:$N$810),NA()))</f>
        <v>#N/A</v>
      </c>
      <c r="Q319" t="e">
        <f>IF($J319&gt;MAX('Match Log'!$A$4:$A$810),NA(),IFERROR(LOOKUP(2,1/(('Match Log'!$D$4:$D$810=$Q$24)*('Match Log'!$A$4:$A$810&lt;=$J319)),'Match Log'!$N$4:$N$810),NA()))</f>
        <v>#N/A</v>
      </c>
      <c r="R319" t="e">
        <f>IF($J319&gt;MAX('Match Log'!$A$4:$A$810),NA(),IFERROR(LOOKUP(2,1/(('Match Log'!$D$4:$D$810=$R$24)*('Match Log'!$A$4:$A$810&lt;=$J319)),'Match Log'!$N$4:$N$810),NA()))</f>
        <v>#N/A</v>
      </c>
      <c r="S319" t="e">
        <f>IF($J319&gt;MAX('Match Log'!$A$4:$A$810),NA(),IFERROR(LOOKUP(2,1/(('Match Log'!$D$4:$D$810=$S$24)*('Match Log'!$A$4:$A$810&lt;=$J319)),'Match Log'!$N$4:$N$810),NA()))</f>
        <v>#N/A</v>
      </c>
      <c r="T319" t="e">
        <f>IF($J319&gt;MAX('Match Log'!$A$4:$A$810),NA(),IFERROR(LOOKUP(2,1/(('Match Log'!$D$4:$D$810=$T$24)*('Match Log'!$A$4:$A$810&lt;=$J319)),'Match Log'!$N$4:$N$810),NA()))</f>
        <v>#N/A</v>
      </c>
      <c r="U319" t="e">
        <f>IF($J319&gt;MAX('Match Log'!$A$4:$A$810),NA(),IFERROR(LOOKUP(2,1/(('Match Log'!$D$4:$D$810=$U$24)*('Match Log'!$A$4:$A$810&lt;=$J319)),'Match Log'!$N$4:$N$810),NA()))</f>
        <v>#N/A</v>
      </c>
      <c r="V319" t="e">
        <f>IF($J319&gt;MAX('Match Log'!$A$4:$A$810),NA(),IFERROR(LOOKUP(2,1/(('Match Log'!$D$4:$D$810=$V$24)*('Match Log'!$A$4:$A$810&lt;=$J319)),'Match Log'!$N$4:$N$810),NA()))</f>
        <v>#N/A</v>
      </c>
      <c r="W319" t="e">
        <f>IF($J319&gt;MAX('Match Log'!$A$4:$A$810),NA(),IFERROR(LOOKUP(2,1/(('Match Log'!$D$4:$D$810=$W$24)*('Match Log'!$A$4:$A$810&lt;=$J319)),'Match Log'!$N$4:$N$810),NA()))</f>
        <v>#N/A</v>
      </c>
      <c r="X319" t="e">
        <f>IF($J319&gt;MAX('Match Log'!$A$4:$A$810),NA(),IFERROR(LOOKUP(2,1/(('Match Log'!$D$4:$D$810=$X$24)*('Match Log'!$A$4:$A$810&lt;=$J319)),'Match Log'!$N$4:$N$810),NA()))</f>
        <v>#N/A</v>
      </c>
      <c r="Y319" t="str">
        <f t="shared" ca="1" si="36"/>
        <v/>
      </c>
    </row>
    <row r="320" spans="1:25" x14ac:dyDescent="0.2">
      <c r="A320">
        <v>296</v>
      </c>
      <c r="B320" t="str">
        <f>IFERROR(INDEX('Match Log'!$B$4:$B$810,MATCH(296,'Match Log'!$A$4:$A$810,0)),"")</f>
        <v/>
      </c>
      <c r="C320" t="str">
        <f>IFERROR(INDEX('Match Log'!$C$4:$C$810,MATCH(296,'Match Log'!$A$4:$A$810,0)),"")</f>
        <v/>
      </c>
      <c r="D320" t="str">
        <f t="array" ref="D320">IFERROR(_xlfn.TEXTJOIN(" + ",TRUE,IF(('Match Log'!$A$4:$A$810=$A320)*('Match Log'!$E$4:$E$810="Win"),'Match Log'!$D$4:$D$810,"")),IFERROR(LOOKUP(2,1/(('Match Log'!$A$4:$A$810=$A320)*('Match Log'!$E$4:$E$810="Win")),'Match Log'!$D$4:$D$810),""))</f>
        <v/>
      </c>
      <c r="E320" t="str">
        <f>IFERROR(INDEX('Match Log'!$F$4:$F$810,MATCH(296,'Match Log'!$A$4:$A$810,0)),"")</f>
        <v/>
      </c>
      <c r="F320">
        <f>IFERROR(SUMIFS('Match Log'!$I$4:$I$810,'Match Log'!$A$4:$A$810,296,'Match Log'!$E$4:$E$810,"Win"),"")</f>
        <v>0</v>
      </c>
      <c r="G320" t="str">
        <f t="shared" si="34"/>
        <v/>
      </c>
      <c r="H320" t="str">
        <f t="array" ref="H320">IFERROR(IF(COUNTIFS('Match Log'!$A$4:$A$810,$A320,'Match Log'!$E$4:$E$810,"Win")&gt;1,_xlfn.TEXTJOIN(" + ",TRUE,IF(('Match Log'!$A$4:$A$810=$A320)*('Match Log'!$E$4:$E$810="Loss"),'Match Log'!$D$4:$D$810,"")),IF($E320=2,LOOKUP(2,1/(('Match Log'!$A$4:$A$810=$A320)*('Match Log'!$E$4:$E$810="Loss")),'Match Log'!$D$4:$D$810),"the field")),"")</f>
        <v>the field</v>
      </c>
      <c r="I320" t="str">
        <f t="shared" si="35"/>
        <v/>
      </c>
      <c r="J320">
        <v>296</v>
      </c>
      <c r="K320" t="e">
        <f>IF($J320&gt;MAX('Match Log'!$A$4:$A$810),NA(),IFERROR(LOOKUP(2,1/(('Match Log'!$D$4:$D$810=$K$24)*('Match Log'!$A$4:$A$810&lt;=$J320)),'Match Log'!$N$4:$N$810),NA()))</f>
        <v>#N/A</v>
      </c>
      <c r="L320" t="e">
        <f>IF($J320&gt;MAX('Match Log'!$A$4:$A$810),NA(),IFERROR(LOOKUP(2,1/(('Match Log'!$D$4:$D$810=$L$24)*('Match Log'!$A$4:$A$810&lt;=$J320)),'Match Log'!$N$4:$N$810),NA()))</f>
        <v>#N/A</v>
      </c>
      <c r="M320" t="e">
        <f>IF($J320&gt;MAX('Match Log'!$A$4:$A$810),NA(),IFERROR(LOOKUP(2,1/(('Match Log'!$D$4:$D$810=$M$24)*('Match Log'!$A$4:$A$810&lt;=$J320)),'Match Log'!$N$4:$N$810),NA()))</f>
        <v>#N/A</v>
      </c>
      <c r="N320" t="e">
        <f>IF($J320&gt;MAX('Match Log'!$A$4:$A$810),NA(),IFERROR(LOOKUP(2,1/(('Match Log'!$D$4:$D$810=$N$24)*('Match Log'!$A$4:$A$810&lt;=$J320)),'Match Log'!$N$4:$N$810),NA()))</f>
        <v>#N/A</v>
      </c>
      <c r="O320" t="e">
        <f>IF($J320&gt;MAX('Match Log'!$A$4:$A$810),NA(),IFERROR(LOOKUP(2,1/(('Match Log'!$D$4:$D$810=$O$24)*('Match Log'!$A$4:$A$810&lt;=$J320)),'Match Log'!$N$4:$N$810),NA()))</f>
        <v>#N/A</v>
      </c>
      <c r="P320" t="e">
        <f>IF($J320&gt;MAX('Match Log'!$A$4:$A$810),NA(),IFERROR(LOOKUP(2,1/(('Match Log'!$D$4:$D$810=$P$24)*('Match Log'!$A$4:$A$810&lt;=$J320)),'Match Log'!$N$4:$N$810),NA()))</f>
        <v>#N/A</v>
      </c>
      <c r="Q320" t="e">
        <f>IF($J320&gt;MAX('Match Log'!$A$4:$A$810),NA(),IFERROR(LOOKUP(2,1/(('Match Log'!$D$4:$D$810=$Q$24)*('Match Log'!$A$4:$A$810&lt;=$J320)),'Match Log'!$N$4:$N$810),NA()))</f>
        <v>#N/A</v>
      </c>
      <c r="R320" t="e">
        <f>IF($J320&gt;MAX('Match Log'!$A$4:$A$810),NA(),IFERROR(LOOKUP(2,1/(('Match Log'!$D$4:$D$810=$R$24)*('Match Log'!$A$4:$A$810&lt;=$J320)),'Match Log'!$N$4:$N$810),NA()))</f>
        <v>#N/A</v>
      </c>
      <c r="S320" t="e">
        <f>IF($J320&gt;MAX('Match Log'!$A$4:$A$810),NA(),IFERROR(LOOKUP(2,1/(('Match Log'!$D$4:$D$810=$S$24)*('Match Log'!$A$4:$A$810&lt;=$J320)),'Match Log'!$N$4:$N$810),NA()))</f>
        <v>#N/A</v>
      </c>
      <c r="T320" t="e">
        <f>IF($J320&gt;MAX('Match Log'!$A$4:$A$810),NA(),IFERROR(LOOKUP(2,1/(('Match Log'!$D$4:$D$810=$T$24)*('Match Log'!$A$4:$A$810&lt;=$J320)),'Match Log'!$N$4:$N$810),NA()))</f>
        <v>#N/A</v>
      </c>
      <c r="U320" t="e">
        <f>IF($J320&gt;MAX('Match Log'!$A$4:$A$810),NA(),IFERROR(LOOKUP(2,1/(('Match Log'!$D$4:$D$810=$U$24)*('Match Log'!$A$4:$A$810&lt;=$J320)),'Match Log'!$N$4:$N$810),NA()))</f>
        <v>#N/A</v>
      </c>
      <c r="V320" t="e">
        <f>IF($J320&gt;MAX('Match Log'!$A$4:$A$810),NA(),IFERROR(LOOKUP(2,1/(('Match Log'!$D$4:$D$810=$V$24)*('Match Log'!$A$4:$A$810&lt;=$J320)),'Match Log'!$N$4:$N$810),NA()))</f>
        <v>#N/A</v>
      </c>
      <c r="W320" t="e">
        <f>IF($J320&gt;MAX('Match Log'!$A$4:$A$810),NA(),IFERROR(LOOKUP(2,1/(('Match Log'!$D$4:$D$810=$W$24)*('Match Log'!$A$4:$A$810&lt;=$J320)),'Match Log'!$N$4:$N$810),NA()))</f>
        <v>#N/A</v>
      </c>
      <c r="X320" t="e">
        <f>IF($J320&gt;MAX('Match Log'!$A$4:$A$810),NA(),IFERROR(LOOKUP(2,1/(('Match Log'!$D$4:$D$810=$X$24)*('Match Log'!$A$4:$A$810&lt;=$J320)),'Match Log'!$N$4:$N$810),NA()))</f>
        <v>#N/A</v>
      </c>
      <c r="Y320" t="str">
        <f t="shared" ca="1" si="36"/>
        <v/>
      </c>
    </row>
    <row r="321" spans="1:25" x14ac:dyDescent="0.2">
      <c r="A321">
        <v>297</v>
      </c>
      <c r="B321" t="str">
        <f>IFERROR(INDEX('Match Log'!$B$4:$B$810,MATCH(297,'Match Log'!$A$4:$A$810,0)),"")</f>
        <v/>
      </c>
      <c r="C321" t="str">
        <f>IFERROR(INDEX('Match Log'!$C$4:$C$810,MATCH(297,'Match Log'!$A$4:$A$810,0)),"")</f>
        <v/>
      </c>
      <c r="D321" t="str">
        <f t="array" ref="D321">IFERROR(_xlfn.TEXTJOIN(" + ",TRUE,IF(('Match Log'!$A$4:$A$810=$A321)*('Match Log'!$E$4:$E$810="Win"),'Match Log'!$D$4:$D$810,"")),IFERROR(LOOKUP(2,1/(('Match Log'!$A$4:$A$810=$A321)*('Match Log'!$E$4:$E$810="Win")),'Match Log'!$D$4:$D$810),""))</f>
        <v/>
      </c>
      <c r="E321" t="str">
        <f>IFERROR(INDEX('Match Log'!$F$4:$F$810,MATCH(297,'Match Log'!$A$4:$A$810,0)),"")</f>
        <v/>
      </c>
      <c r="F321">
        <f>IFERROR(SUMIFS('Match Log'!$I$4:$I$810,'Match Log'!$A$4:$A$810,297,'Match Log'!$E$4:$E$810,"Win"),"")</f>
        <v>0</v>
      </c>
      <c r="G321" t="str">
        <f t="shared" si="34"/>
        <v/>
      </c>
      <c r="H321" t="str">
        <f t="array" ref="H321">IFERROR(IF(COUNTIFS('Match Log'!$A$4:$A$810,$A321,'Match Log'!$E$4:$E$810,"Win")&gt;1,_xlfn.TEXTJOIN(" + ",TRUE,IF(('Match Log'!$A$4:$A$810=$A321)*('Match Log'!$E$4:$E$810="Loss"),'Match Log'!$D$4:$D$810,"")),IF($E321=2,LOOKUP(2,1/(('Match Log'!$A$4:$A$810=$A321)*('Match Log'!$E$4:$E$810="Loss")),'Match Log'!$D$4:$D$810),"the field")),"")</f>
        <v>the field</v>
      </c>
      <c r="I321" t="str">
        <f t="shared" si="35"/>
        <v/>
      </c>
      <c r="J321">
        <v>297</v>
      </c>
      <c r="K321" t="e">
        <f>IF($J321&gt;MAX('Match Log'!$A$4:$A$810),NA(),IFERROR(LOOKUP(2,1/(('Match Log'!$D$4:$D$810=$K$24)*('Match Log'!$A$4:$A$810&lt;=$J321)),'Match Log'!$N$4:$N$810),NA()))</f>
        <v>#N/A</v>
      </c>
      <c r="L321" t="e">
        <f>IF($J321&gt;MAX('Match Log'!$A$4:$A$810),NA(),IFERROR(LOOKUP(2,1/(('Match Log'!$D$4:$D$810=$L$24)*('Match Log'!$A$4:$A$810&lt;=$J321)),'Match Log'!$N$4:$N$810),NA()))</f>
        <v>#N/A</v>
      </c>
      <c r="M321" t="e">
        <f>IF($J321&gt;MAX('Match Log'!$A$4:$A$810),NA(),IFERROR(LOOKUP(2,1/(('Match Log'!$D$4:$D$810=$M$24)*('Match Log'!$A$4:$A$810&lt;=$J321)),'Match Log'!$N$4:$N$810),NA()))</f>
        <v>#N/A</v>
      </c>
      <c r="N321" t="e">
        <f>IF($J321&gt;MAX('Match Log'!$A$4:$A$810),NA(),IFERROR(LOOKUP(2,1/(('Match Log'!$D$4:$D$810=$N$24)*('Match Log'!$A$4:$A$810&lt;=$J321)),'Match Log'!$N$4:$N$810),NA()))</f>
        <v>#N/A</v>
      </c>
      <c r="O321" t="e">
        <f>IF($J321&gt;MAX('Match Log'!$A$4:$A$810),NA(),IFERROR(LOOKUP(2,1/(('Match Log'!$D$4:$D$810=$O$24)*('Match Log'!$A$4:$A$810&lt;=$J321)),'Match Log'!$N$4:$N$810),NA()))</f>
        <v>#N/A</v>
      </c>
      <c r="P321" t="e">
        <f>IF($J321&gt;MAX('Match Log'!$A$4:$A$810),NA(),IFERROR(LOOKUP(2,1/(('Match Log'!$D$4:$D$810=$P$24)*('Match Log'!$A$4:$A$810&lt;=$J321)),'Match Log'!$N$4:$N$810),NA()))</f>
        <v>#N/A</v>
      </c>
      <c r="Q321" t="e">
        <f>IF($J321&gt;MAX('Match Log'!$A$4:$A$810),NA(),IFERROR(LOOKUP(2,1/(('Match Log'!$D$4:$D$810=$Q$24)*('Match Log'!$A$4:$A$810&lt;=$J321)),'Match Log'!$N$4:$N$810),NA()))</f>
        <v>#N/A</v>
      </c>
      <c r="R321" t="e">
        <f>IF($J321&gt;MAX('Match Log'!$A$4:$A$810),NA(),IFERROR(LOOKUP(2,1/(('Match Log'!$D$4:$D$810=$R$24)*('Match Log'!$A$4:$A$810&lt;=$J321)),'Match Log'!$N$4:$N$810),NA()))</f>
        <v>#N/A</v>
      </c>
      <c r="S321" t="e">
        <f>IF($J321&gt;MAX('Match Log'!$A$4:$A$810),NA(),IFERROR(LOOKUP(2,1/(('Match Log'!$D$4:$D$810=$S$24)*('Match Log'!$A$4:$A$810&lt;=$J321)),'Match Log'!$N$4:$N$810),NA()))</f>
        <v>#N/A</v>
      </c>
      <c r="T321" t="e">
        <f>IF($J321&gt;MAX('Match Log'!$A$4:$A$810),NA(),IFERROR(LOOKUP(2,1/(('Match Log'!$D$4:$D$810=$T$24)*('Match Log'!$A$4:$A$810&lt;=$J321)),'Match Log'!$N$4:$N$810),NA()))</f>
        <v>#N/A</v>
      </c>
      <c r="U321" t="e">
        <f>IF($J321&gt;MAX('Match Log'!$A$4:$A$810),NA(),IFERROR(LOOKUP(2,1/(('Match Log'!$D$4:$D$810=$U$24)*('Match Log'!$A$4:$A$810&lt;=$J321)),'Match Log'!$N$4:$N$810),NA()))</f>
        <v>#N/A</v>
      </c>
      <c r="V321" t="e">
        <f>IF($J321&gt;MAX('Match Log'!$A$4:$A$810),NA(),IFERROR(LOOKUP(2,1/(('Match Log'!$D$4:$D$810=$V$24)*('Match Log'!$A$4:$A$810&lt;=$J321)),'Match Log'!$N$4:$N$810),NA()))</f>
        <v>#N/A</v>
      </c>
      <c r="W321" t="e">
        <f>IF($J321&gt;MAX('Match Log'!$A$4:$A$810),NA(),IFERROR(LOOKUP(2,1/(('Match Log'!$D$4:$D$810=$W$24)*('Match Log'!$A$4:$A$810&lt;=$J321)),'Match Log'!$N$4:$N$810),NA()))</f>
        <v>#N/A</v>
      </c>
      <c r="X321" t="e">
        <f>IF($J321&gt;MAX('Match Log'!$A$4:$A$810),NA(),IFERROR(LOOKUP(2,1/(('Match Log'!$D$4:$D$810=$X$24)*('Match Log'!$A$4:$A$810&lt;=$J321)),'Match Log'!$N$4:$N$810),NA()))</f>
        <v>#N/A</v>
      </c>
      <c r="Y321" t="str">
        <f t="shared" ca="1" si="36"/>
        <v/>
      </c>
    </row>
    <row r="322" spans="1:25" x14ac:dyDescent="0.2">
      <c r="A322">
        <v>298</v>
      </c>
      <c r="B322" t="str">
        <f>IFERROR(INDEX('Match Log'!$B$4:$B$810,MATCH(298,'Match Log'!$A$4:$A$810,0)),"")</f>
        <v/>
      </c>
      <c r="C322" t="str">
        <f>IFERROR(INDEX('Match Log'!$C$4:$C$810,MATCH(298,'Match Log'!$A$4:$A$810,0)),"")</f>
        <v/>
      </c>
      <c r="D322" t="str">
        <f t="array" ref="D322">IFERROR(_xlfn.TEXTJOIN(" + ",TRUE,IF(('Match Log'!$A$4:$A$810=$A322)*('Match Log'!$E$4:$E$810="Win"),'Match Log'!$D$4:$D$810,"")),IFERROR(LOOKUP(2,1/(('Match Log'!$A$4:$A$810=$A322)*('Match Log'!$E$4:$E$810="Win")),'Match Log'!$D$4:$D$810),""))</f>
        <v/>
      </c>
      <c r="E322" t="str">
        <f>IFERROR(INDEX('Match Log'!$F$4:$F$810,MATCH(298,'Match Log'!$A$4:$A$810,0)),"")</f>
        <v/>
      </c>
      <c r="F322">
        <f>IFERROR(SUMIFS('Match Log'!$I$4:$I$810,'Match Log'!$A$4:$A$810,298,'Match Log'!$E$4:$E$810,"Win"),"")</f>
        <v>0</v>
      </c>
      <c r="G322" t="str">
        <f t="shared" si="34"/>
        <v/>
      </c>
      <c r="H322" t="str">
        <f t="array" ref="H322">IFERROR(IF(COUNTIFS('Match Log'!$A$4:$A$810,$A322,'Match Log'!$E$4:$E$810,"Win")&gt;1,_xlfn.TEXTJOIN(" + ",TRUE,IF(('Match Log'!$A$4:$A$810=$A322)*('Match Log'!$E$4:$E$810="Loss"),'Match Log'!$D$4:$D$810,"")),IF($E322=2,LOOKUP(2,1/(('Match Log'!$A$4:$A$810=$A322)*('Match Log'!$E$4:$E$810="Loss")),'Match Log'!$D$4:$D$810),"the field")),"")</f>
        <v>the field</v>
      </c>
      <c r="I322" t="str">
        <f t="shared" si="35"/>
        <v/>
      </c>
      <c r="J322">
        <v>298</v>
      </c>
      <c r="K322" t="e">
        <f>IF($J322&gt;MAX('Match Log'!$A$4:$A$810),NA(),IFERROR(LOOKUP(2,1/(('Match Log'!$D$4:$D$810=$K$24)*('Match Log'!$A$4:$A$810&lt;=$J322)),'Match Log'!$N$4:$N$810),NA()))</f>
        <v>#N/A</v>
      </c>
      <c r="L322" t="e">
        <f>IF($J322&gt;MAX('Match Log'!$A$4:$A$810),NA(),IFERROR(LOOKUP(2,1/(('Match Log'!$D$4:$D$810=$L$24)*('Match Log'!$A$4:$A$810&lt;=$J322)),'Match Log'!$N$4:$N$810),NA()))</f>
        <v>#N/A</v>
      </c>
      <c r="M322" t="e">
        <f>IF($J322&gt;MAX('Match Log'!$A$4:$A$810),NA(),IFERROR(LOOKUP(2,1/(('Match Log'!$D$4:$D$810=$M$24)*('Match Log'!$A$4:$A$810&lt;=$J322)),'Match Log'!$N$4:$N$810),NA()))</f>
        <v>#N/A</v>
      </c>
      <c r="N322" t="e">
        <f>IF($J322&gt;MAX('Match Log'!$A$4:$A$810),NA(),IFERROR(LOOKUP(2,1/(('Match Log'!$D$4:$D$810=$N$24)*('Match Log'!$A$4:$A$810&lt;=$J322)),'Match Log'!$N$4:$N$810),NA()))</f>
        <v>#N/A</v>
      </c>
      <c r="O322" t="e">
        <f>IF($J322&gt;MAX('Match Log'!$A$4:$A$810),NA(),IFERROR(LOOKUP(2,1/(('Match Log'!$D$4:$D$810=$O$24)*('Match Log'!$A$4:$A$810&lt;=$J322)),'Match Log'!$N$4:$N$810),NA()))</f>
        <v>#N/A</v>
      </c>
      <c r="P322" t="e">
        <f>IF($J322&gt;MAX('Match Log'!$A$4:$A$810),NA(),IFERROR(LOOKUP(2,1/(('Match Log'!$D$4:$D$810=$P$24)*('Match Log'!$A$4:$A$810&lt;=$J322)),'Match Log'!$N$4:$N$810),NA()))</f>
        <v>#N/A</v>
      </c>
      <c r="Q322" t="e">
        <f>IF($J322&gt;MAX('Match Log'!$A$4:$A$810),NA(),IFERROR(LOOKUP(2,1/(('Match Log'!$D$4:$D$810=$Q$24)*('Match Log'!$A$4:$A$810&lt;=$J322)),'Match Log'!$N$4:$N$810),NA()))</f>
        <v>#N/A</v>
      </c>
      <c r="R322" t="e">
        <f>IF($J322&gt;MAX('Match Log'!$A$4:$A$810),NA(),IFERROR(LOOKUP(2,1/(('Match Log'!$D$4:$D$810=$R$24)*('Match Log'!$A$4:$A$810&lt;=$J322)),'Match Log'!$N$4:$N$810),NA()))</f>
        <v>#N/A</v>
      </c>
      <c r="S322" t="e">
        <f>IF($J322&gt;MAX('Match Log'!$A$4:$A$810),NA(),IFERROR(LOOKUP(2,1/(('Match Log'!$D$4:$D$810=$S$24)*('Match Log'!$A$4:$A$810&lt;=$J322)),'Match Log'!$N$4:$N$810),NA()))</f>
        <v>#N/A</v>
      </c>
      <c r="T322" t="e">
        <f>IF($J322&gt;MAX('Match Log'!$A$4:$A$810),NA(),IFERROR(LOOKUP(2,1/(('Match Log'!$D$4:$D$810=$T$24)*('Match Log'!$A$4:$A$810&lt;=$J322)),'Match Log'!$N$4:$N$810),NA()))</f>
        <v>#N/A</v>
      </c>
      <c r="U322" t="e">
        <f>IF($J322&gt;MAX('Match Log'!$A$4:$A$810),NA(),IFERROR(LOOKUP(2,1/(('Match Log'!$D$4:$D$810=$U$24)*('Match Log'!$A$4:$A$810&lt;=$J322)),'Match Log'!$N$4:$N$810),NA()))</f>
        <v>#N/A</v>
      </c>
      <c r="V322" t="e">
        <f>IF($J322&gt;MAX('Match Log'!$A$4:$A$810),NA(),IFERROR(LOOKUP(2,1/(('Match Log'!$D$4:$D$810=$V$24)*('Match Log'!$A$4:$A$810&lt;=$J322)),'Match Log'!$N$4:$N$810),NA()))</f>
        <v>#N/A</v>
      </c>
      <c r="W322" t="e">
        <f>IF($J322&gt;MAX('Match Log'!$A$4:$A$810),NA(),IFERROR(LOOKUP(2,1/(('Match Log'!$D$4:$D$810=$W$24)*('Match Log'!$A$4:$A$810&lt;=$J322)),'Match Log'!$N$4:$N$810),NA()))</f>
        <v>#N/A</v>
      </c>
      <c r="X322" t="e">
        <f>IF($J322&gt;MAX('Match Log'!$A$4:$A$810),NA(),IFERROR(LOOKUP(2,1/(('Match Log'!$D$4:$D$810=$X$24)*('Match Log'!$A$4:$A$810&lt;=$J322)),'Match Log'!$N$4:$N$810),NA()))</f>
        <v>#N/A</v>
      </c>
      <c r="Y322" t="str">
        <f t="shared" ca="1" si="36"/>
        <v/>
      </c>
    </row>
    <row r="323" spans="1:25" x14ac:dyDescent="0.2">
      <c r="A323">
        <v>299</v>
      </c>
      <c r="B323" t="str">
        <f>IFERROR(INDEX('Match Log'!$B$4:$B$810,MATCH(299,'Match Log'!$A$4:$A$810,0)),"")</f>
        <v/>
      </c>
      <c r="C323" t="str">
        <f>IFERROR(INDEX('Match Log'!$C$4:$C$810,MATCH(299,'Match Log'!$A$4:$A$810,0)),"")</f>
        <v/>
      </c>
      <c r="D323" t="str">
        <f t="array" ref="D323">IFERROR(_xlfn.TEXTJOIN(" + ",TRUE,IF(('Match Log'!$A$4:$A$810=$A323)*('Match Log'!$E$4:$E$810="Win"),'Match Log'!$D$4:$D$810,"")),IFERROR(LOOKUP(2,1/(('Match Log'!$A$4:$A$810=$A323)*('Match Log'!$E$4:$E$810="Win")),'Match Log'!$D$4:$D$810),""))</f>
        <v/>
      </c>
      <c r="E323" t="str">
        <f>IFERROR(INDEX('Match Log'!$F$4:$F$810,MATCH(299,'Match Log'!$A$4:$A$810,0)),"")</f>
        <v/>
      </c>
      <c r="F323">
        <f>IFERROR(SUMIFS('Match Log'!$I$4:$I$810,'Match Log'!$A$4:$A$810,299,'Match Log'!$E$4:$E$810,"Win"),"")</f>
        <v>0</v>
      </c>
      <c r="G323" t="str">
        <f t="shared" si="34"/>
        <v/>
      </c>
      <c r="H323" t="str">
        <f t="array" ref="H323">IFERROR(IF(COUNTIFS('Match Log'!$A$4:$A$810,$A323,'Match Log'!$E$4:$E$810,"Win")&gt;1,_xlfn.TEXTJOIN(" + ",TRUE,IF(('Match Log'!$A$4:$A$810=$A323)*('Match Log'!$E$4:$E$810="Loss"),'Match Log'!$D$4:$D$810,"")),IF($E323=2,LOOKUP(2,1/(('Match Log'!$A$4:$A$810=$A323)*('Match Log'!$E$4:$E$810="Loss")),'Match Log'!$D$4:$D$810),"the field")),"")</f>
        <v>the field</v>
      </c>
      <c r="I323" t="str">
        <f t="shared" si="35"/>
        <v/>
      </c>
      <c r="J323">
        <v>299</v>
      </c>
      <c r="K323" t="e">
        <f>IF($J323&gt;MAX('Match Log'!$A$4:$A$810),NA(),IFERROR(LOOKUP(2,1/(('Match Log'!$D$4:$D$810=$K$24)*('Match Log'!$A$4:$A$810&lt;=$J323)),'Match Log'!$N$4:$N$810),NA()))</f>
        <v>#N/A</v>
      </c>
      <c r="L323" t="e">
        <f>IF($J323&gt;MAX('Match Log'!$A$4:$A$810),NA(),IFERROR(LOOKUP(2,1/(('Match Log'!$D$4:$D$810=$L$24)*('Match Log'!$A$4:$A$810&lt;=$J323)),'Match Log'!$N$4:$N$810),NA()))</f>
        <v>#N/A</v>
      </c>
      <c r="M323" t="e">
        <f>IF($J323&gt;MAX('Match Log'!$A$4:$A$810),NA(),IFERROR(LOOKUP(2,1/(('Match Log'!$D$4:$D$810=$M$24)*('Match Log'!$A$4:$A$810&lt;=$J323)),'Match Log'!$N$4:$N$810),NA()))</f>
        <v>#N/A</v>
      </c>
      <c r="N323" t="e">
        <f>IF($J323&gt;MAX('Match Log'!$A$4:$A$810),NA(),IFERROR(LOOKUP(2,1/(('Match Log'!$D$4:$D$810=$N$24)*('Match Log'!$A$4:$A$810&lt;=$J323)),'Match Log'!$N$4:$N$810),NA()))</f>
        <v>#N/A</v>
      </c>
      <c r="O323" t="e">
        <f>IF($J323&gt;MAX('Match Log'!$A$4:$A$810),NA(),IFERROR(LOOKUP(2,1/(('Match Log'!$D$4:$D$810=$O$24)*('Match Log'!$A$4:$A$810&lt;=$J323)),'Match Log'!$N$4:$N$810),NA()))</f>
        <v>#N/A</v>
      </c>
      <c r="P323" t="e">
        <f>IF($J323&gt;MAX('Match Log'!$A$4:$A$810),NA(),IFERROR(LOOKUP(2,1/(('Match Log'!$D$4:$D$810=$P$24)*('Match Log'!$A$4:$A$810&lt;=$J323)),'Match Log'!$N$4:$N$810),NA()))</f>
        <v>#N/A</v>
      </c>
      <c r="Q323" t="e">
        <f>IF($J323&gt;MAX('Match Log'!$A$4:$A$810),NA(),IFERROR(LOOKUP(2,1/(('Match Log'!$D$4:$D$810=$Q$24)*('Match Log'!$A$4:$A$810&lt;=$J323)),'Match Log'!$N$4:$N$810),NA()))</f>
        <v>#N/A</v>
      </c>
      <c r="R323" t="e">
        <f>IF($J323&gt;MAX('Match Log'!$A$4:$A$810),NA(),IFERROR(LOOKUP(2,1/(('Match Log'!$D$4:$D$810=$R$24)*('Match Log'!$A$4:$A$810&lt;=$J323)),'Match Log'!$N$4:$N$810),NA()))</f>
        <v>#N/A</v>
      </c>
      <c r="S323" t="e">
        <f>IF($J323&gt;MAX('Match Log'!$A$4:$A$810),NA(),IFERROR(LOOKUP(2,1/(('Match Log'!$D$4:$D$810=$S$24)*('Match Log'!$A$4:$A$810&lt;=$J323)),'Match Log'!$N$4:$N$810),NA()))</f>
        <v>#N/A</v>
      </c>
      <c r="T323" t="e">
        <f>IF($J323&gt;MAX('Match Log'!$A$4:$A$810),NA(),IFERROR(LOOKUP(2,1/(('Match Log'!$D$4:$D$810=$T$24)*('Match Log'!$A$4:$A$810&lt;=$J323)),'Match Log'!$N$4:$N$810),NA()))</f>
        <v>#N/A</v>
      </c>
      <c r="U323" t="e">
        <f>IF($J323&gt;MAX('Match Log'!$A$4:$A$810),NA(),IFERROR(LOOKUP(2,1/(('Match Log'!$D$4:$D$810=$U$24)*('Match Log'!$A$4:$A$810&lt;=$J323)),'Match Log'!$N$4:$N$810),NA()))</f>
        <v>#N/A</v>
      </c>
      <c r="V323" t="e">
        <f>IF($J323&gt;MAX('Match Log'!$A$4:$A$810),NA(),IFERROR(LOOKUP(2,1/(('Match Log'!$D$4:$D$810=$V$24)*('Match Log'!$A$4:$A$810&lt;=$J323)),'Match Log'!$N$4:$N$810),NA()))</f>
        <v>#N/A</v>
      </c>
      <c r="W323" t="e">
        <f>IF($J323&gt;MAX('Match Log'!$A$4:$A$810),NA(),IFERROR(LOOKUP(2,1/(('Match Log'!$D$4:$D$810=$W$24)*('Match Log'!$A$4:$A$810&lt;=$J323)),'Match Log'!$N$4:$N$810),NA()))</f>
        <v>#N/A</v>
      </c>
      <c r="X323" t="e">
        <f>IF($J323&gt;MAX('Match Log'!$A$4:$A$810),NA(),IFERROR(LOOKUP(2,1/(('Match Log'!$D$4:$D$810=$X$24)*('Match Log'!$A$4:$A$810&lt;=$J323)),'Match Log'!$N$4:$N$810),NA()))</f>
        <v>#N/A</v>
      </c>
      <c r="Y323" t="str">
        <f t="shared" ca="1" si="36"/>
        <v/>
      </c>
    </row>
    <row r="324" spans="1:25" x14ac:dyDescent="0.2">
      <c r="A324">
        <v>300</v>
      </c>
      <c r="B324" t="str">
        <f>IFERROR(INDEX('Match Log'!$B$4:$B$810,MATCH(300,'Match Log'!$A$4:$A$810,0)),"")</f>
        <v/>
      </c>
      <c r="C324" t="str">
        <f>IFERROR(INDEX('Match Log'!$C$4:$C$810,MATCH(300,'Match Log'!$A$4:$A$810,0)),"")</f>
        <v/>
      </c>
      <c r="D324" t="str">
        <f t="array" ref="D324">IFERROR(_xlfn.TEXTJOIN(" + ",TRUE,IF(('Match Log'!$A$4:$A$810=$A324)*('Match Log'!$E$4:$E$810="Win"),'Match Log'!$D$4:$D$810,"")),IFERROR(LOOKUP(2,1/(('Match Log'!$A$4:$A$810=$A324)*('Match Log'!$E$4:$E$810="Win")),'Match Log'!$D$4:$D$810),""))</f>
        <v/>
      </c>
      <c r="E324" t="str">
        <f>IFERROR(INDEX('Match Log'!$F$4:$F$810,MATCH(300,'Match Log'!$A$4:$A$810,0)),"")</f>
        <v/>
      </c>
      <c r="F324">
        <f>IFERROR(SUMIFS('Match Log'!$I$4:$I$810,'Match Log'!$A$4:$A$810,300,'Match Log'!$E$4:$E$810,"Win"),"")</f>
        <v>0</v>
      </c>
      <c r="G324" t="str">
        <f t="shared" si="34"/>
        <v/>
      </c>
      <c r="H324" t="str">
        <f t="array" ref="H324">IFERROR(IF(COUNTIFS('Match Log'!$A$4:$A$810,$A324,'Match Log'!$E$4:$E$810,"Win")&gt;1,_xlfn.TEXTJOIN(" + ",TRUE,IF(('Match Log'!$A$4:$A$810=$A324)*('Match Log'!$E$4:$E$810="Loss"),'Match Log'!$D$4:$D$810,"")),IF($E324=2,LOOKUP(2,1/(('Match Log'!$A$4:$A$810=$A324)*('Match Log'!$E$4:$E$810="Loss")),'Match Log'!$D$4:$D$810),"the field")),"")</f>
        <v>the field</v>
      </c>
      <c r="I324" t="str">
        <f t="shared" si="35"/>
        <v/>
      </c>
      <c r="J324">
        <v>300</v>
      </c>
      <c r="K324" t="e">
        <f>IF($J324&gt;MAX('Match Log'!$A$4:$A$810),NA(),IFERROR(LOOKUP(2,1/(('Match Log'!$D$4:$D$810=$K$24)*('Match Log'!$A$4:$A$810&lt;=$J324)),'Match Log'!$N$4:$N$810),NA()))</f>
        <v>#N/A</v>
      </c>
      <c r="L324" t="e">
        <f>IF($J324&gt;MAX('Match Log'!$A$4:$A$810),NA(),IFERROR(LOOKUP(2,1/(('Match Log'!$D$4:$D$810=$L$24)*('Match Log'!$A$4:$A$810&lt;=$J324)),'Match Log'!$N$4:$N$810),NA()))</f>
        <v>#N/A</v>
      </c>
      <c r="M324" t="e">
        <f>IF($J324&gt;MAX('Match Log'!$A$4:$A$810),NA(),IFERROR(LOOKUP(2,1/(('Match Log'!$D$4:$D$810=$M$24)*('Match Log'!$A$4:$A$810&lt;=$J324)),'Match Log'!$N$4:$N$810),NA()))</f>
        <v>#N/A</v>
      </c>
      <c r="N324" t="e">
        <f>IF($J324&gt;MAX('Match Log'!$A$4:$A$810),NA(),IFERROR(LOOKUP(2,1/(('Match Log'!$D$4:$D$810=$N$24)*('Match Log'!$A$4:$A$810&lt;=$J324)),'Match Log'!$N$4:$N$810),NA()))</f>
        <v>#N/A</v>
      </c>
      <c r="O324" t="e">
        <f>IF($J324&gt;MAX('Match Log'!$A$4:$A$810),NA(),IFERROR(LOOKUP(2,1/(('Match Log'!$D$4:$D$810=$O$24)*('Match Log'!$A$4:$A$810&lt;=$J324)),'Match Log'!$N$4:$N$810),NA()))</f>
        <v>#N/A</v>
      </c>
      <c r="P324" t="e">
        <f>IF($J324&gt;MAX('Match Log'!$A$4:$A$810),NA(),IFERROR(LOOKUP(2,1/(('Match Log'!$D$4:$D$810=$P$24)*('Match Log'!$A$4:$A$810&lt;=$J324)),'Match Log'!$N$4:$N$810),NA()))</f>
        <v>#N/A</v>
      </c>
      <c r="Q324" t="e">
        <f>IF($J324&gt;MAX('Match Log'!$A$4:$A$810),NA(),IFERROR(LOOKUP(2,1/(('Match Log'!$D$4:$D$810=$Q$24)*('Match Log'!$A$4:$A$810&lt;=$J324)),'Match Log'!$N$4:$N$810),NA()))</f>
        <v>#N/A</v>
      </c>
      <c r="R324" t="e">
        <f>IF($J324&gt;MAX('Match Log'!$A$4:$A$810),NA(),IFERROR(LOOKUP(2,1/(('Match Log'!$D$4:$D$810=$R$24)*('Match Log'!$A$4:$A$810&lt;=$J324)),'Match Log'!$N$4:$N$810),NA()))</f>
        <v>#N/A</v>
      </c>
      <c r="S324" t="e">
        <f>IF($J324&gt;MAX('Match Log'!$A$4:$A$810),NA(),IFERROR(LOOKUP(2,1/(('Match Log'!$D$4:$D$810=$S$24)*('Match Log'!$A$4:$A$810&lt;=$J324)),'Match Log'!$N$4:$N$810),NA()))</f>
        <v>#N/A</v>
      </c>
      <c r="T324" t="e">
        <f>IF($J324&gt;MAX('Match Log'!$A$4:$A$810),NA(),IFERROR(LOOKUP(2,1/(('Match Log'!$D$4:$D$810=$T$24)*('Match Log'!$A$4:$A$810&lt;=$J324)),'Match Log'!$N$4:$N$810),NA()))</f>
        <v>#N/A</v>
      </c>
      <c r="U324" t="e">
        <f>IF($J324&gt;MAX('Match Log'!$A$4:$A$810),NA(),IFERROR(LOOKUP(2,1/(('Match Log'!$D$4:$D$810=$U$24)*('Match Log'!$A$4:$A$810&lt;=$J324)),'Match Log'!$N$4:$N$810),NA()))</f>
        <v>#N/A</v>
      </c>
      <c r="V324" t="e">
        <f>IF($J324&gt;MAX('Match Log'!$A$4:$A$810),NA(),IFERROR(LOOKUP(2,1/(('Match Log'!$D$4:$D$810=$V$24)*('Match Log'!$A$4:$A$810&lt;=$J324)),'Match Log'!$N$4:$N$810),NA()))</f>
        <v>#N/A</v>
      </c>
      <c r="W324" t="e">
        <f>IF($J324&gt;MAX('Match Log'!$A$4:$A$810),NA(),IFERROR(LOOKUP(2,1/(('Match Log'!$D$4:$D$810=$W$24)*('Match Log'!$A$4:$A$810&lt;=$J324)),'Match Log'!$N$4:$N$810),NA()))</f>
        <v>#N/A</v>
      </c>
      <c r="X324" t="e">
        <f>IF($J324&gt;MAX('Match Log'!$A$4:$A$810),NA(),IFERROR(LOOKUP(2,1/(('Match Log'!$D$4:$D$810=$X$24)*('Match Log'!$A$4:$A$810&lt;=$J324)),'Match Log'!$N$4:$N$810),NA()))</f>
        <v>#N/A</v>
      </c>
      <c r="Y324" t="str">
        <f t="shared" ca="1" si="36"/>
        <v/>
      </c>
    </row>
    <row r="325" spans="1:25" x14ac:dyDescent="0.2">
      <c r="A325">
        <v>301</v>
      </c>
      <c r="B325" t="str">
        <f>IFERROR(INDEX('Match Log'!$B$4:$B$810,MATCH(301,'Match Log'!$A$4:$A$810,0)),"")</f>
        <v/>
      </c>
      <c r="C325" t="str">
        <f>IFERROR(INDEX('Match Log'!$C$4:$C$810,MATCH(301,'Match Log'!$A$4:$A$810,0)),"")</f>
        <v/>
      </c>
      <c r="D325" t="str">
        <f t="array" ref="D325">IFERROR(_xlfn.TEXTJOIN(" + ",TRUE,IF(('Match Log'!$A$4:$A$810=$A325)*('Match Log'!$E$4:$E$810="Win"),'Match Log'!$D$4:$D$810,"")),IFERROR(LOOKUP(2,1/(('Match Log'!$A$4:$A$810=$A325)*('Match Log'!$E$4:$E$810="Win")),'Match Log'!$D$4:$D$810),""))</f>
        <v/>
      </c>
      <c r="E325" t="str">
        <f>IFERROR(INDEX('Match Log'!$F$4:$F$810,MATCH(301,'Match Log'!$A$4:$A$810,0)),"")</f>
        <v/>
      </c>
      <c r="F325">
        <f>IFERROR(SUMIFS('Match Log'!$I$4:$I$810,'Match Log'!$A$4:$A$810,301,'Match Log'!$E$4:$E$810,"Win"),"")</f>
        <v>0</v>
      </c>
      <c r="G325" t="str">
        <f t="shared" si="34"/>
        <v/>
      </c>
      <c r="H325" t="str">
        <f t="array" ref="H325">IFERROR(IF(COUNTIFS('Match Log'!$A$4:$A$810,$A325,'Match Log'!$E$4:$E$810,"Win")&gt;1,_xlfn.TEXTJOIN(" + ",TRUE,IF(('Match Log'!$A$4:$A$810=$A325)*('Match Log'!$E$4:$E$810="Loss"),'Match Log'!$D$4:$D$810,"")),IF($E325=2,LOOKUP(2,1/(('Match Log'!$A$4:$A$810=$A325)*('Match Log'!$E$4:$E$810="Loss")),'Match Log'!$D$4:$D$810),"the field")),"")</f>
        <v>the field</v>
      </c>
      <c r="I325" t="str">
        <f t="shared" si="35"/>
        <v/>
      </c>
      <c r="J325">
        <v>301</v>
      </c>
      <c r="K325" t="e">
        <f>IF($J325&gt;MAX('Match Log'!$A$4:$A$810),NA(),IFERROR(LOOKUP(2,1/(('Match Log'!$D$4:$D$810=$K$24)*('Match Log'!$A$4:$A$810&lt;=$J325)),'Match Log'!$N$4:$N$810),NA()))</f>
        <v>#N/A</v>
      </c>
      <c r="L325" t="e">
        <f>IF($J325&gt;MAX('Match Log'!$A$4:$A$810),NA(),IFERROR(LOOKUP(2,1/(('Match Log'!$D$4:$D$810=$L$24)*('Match Log'!$A$4:$A$810&lt;=$J325)),'Match Log'!$N$4:$N$810),NA()))</f>
        <v>#N/A</v>
      </c>
      <c r="M325" t="e">
        <f>IF($J325&gt;MAX('Match Log'!$A$4:$A$810),NA(),IFERROR(LOOKUP(2,1/(('Match Log'!$D$4:$D$810=$M$24)*('Match Log'!$A$4:$A$810&lt;=$J325)),'Match Log'!$N$4:$N$810),NA()))</f>
        <v>#N/A</v>
      </c>
      <c r="N325" t="e">
        <f>IF($J325&gt;MAX('Match Log'!$A$4:$A$810),NA(),IFERROR(LOOKUP(2,1/(('Match Log'!$D$4:$D$810=$N$24)*('Match Log'!$A$4:$A$810&lt;=$J325)),'Match Log'!$N$4:$N$810),NA()))</f>
        <v>#N/A</v>
      </c>
      <c r="O325" t="e">
        <f>IF($J325&gt;MAX('Match Log'!$A$4:$A$810),NA(),IFERROR(LOOKUP(2,1/(('Match Log'!$D$4:$D$810=$O$24)*('Match Log'!$A$4:$A$810&lt;=$J325)),'Match Log'!$N$4:$N$810),NA()))</f>
        <v>#N/A</v>
      </c>
      <c r="P325" t="e">
        <f>IF($J325&gt;MAX('Match Log'!$A$4:$A$810),NA(),IFERROR(LOOKUP(2,1/(('Match Log'!$D$4:$D$810=$P$24)*('Match Log'!$A$4:$A$810&lt;=$J325)),'Match Log'!$N$4:$N$810),NA()))</f>
        <v>#N/A</v>
      </c>
      <c r="Q325" t="e">
        <f>IF($J325&gt;MAX('Match Log'!$A$4:$A$810),NA(),IFERROR(LOOKUP(2,1/(('Match Log'!$D$4:$D$810=$Q$24)*('Match Log'!$A$4:$A$810&lt;=$J325)),'Match Log'!$N$4:$N$810),NA()))</f>
        <v>#N/A</v>
      </c>
      <c r="R325" t="e">
        <f>IF($J325&gt;MAX('Match Log'!$A$4:$A$810),NA(),IFERROR(LOOKUP(2,1/(('Match Log'!$D$4:$D$810=$R$24)*('Match Log'!$A$4:$A$810&lt;=$J325)),'Match Log'!$N$4:$N$810),NA()))</f>
        <v>#N/A</v>
      </c>
      <c r="S325" t="e">
        <f>IF($J325&gt;MAX('Match Log'!$A$4:$A$810),NA(),IFERROR(LOOKUP(2,1/(('Match Log'!$D$4:$D$810=$S$24)*('Match Log'!$A$4:$A$810&lt;=$J325)),'Match Log'!$N$4:$N$810),NA()))</f>
        <v>#N/A</v>
      </c>
      <c r="T325" t="e">
        <f>IF($J325&gt;MAX('Match Log'!$A$4:$A$810),NA(),IFERROR(LOOKUP(2,1/(('Match Log'!$D$4:$D$810=$T$24)*('Match Log'!$A$4:$A$810&lt;=$J325)),'Match Log'!$N$4:$N$810),NA()))</f>
        <v>#N/A</v>
      </c>
      <c r="U325" t="e">
        <f>IF($J325&gt;MAX('Match Log'!$A$4:$A$810),NA(),IFERROR(LOOKUP(2,1/(('Match Log'!$D$4:$D$810=$U$24)*('Match Log'!$A$4:$A$810&lt;=$J325)),'Match Log'!$N$4:$N$810),NA()))</f>
        <v>#N/A</v>
      </c>
      <c r="V325" t="e">
        <f>IF($J325&gt;MAX('Match Log'!$A$4:$A$810),NA(),IFERROR(LOOKUP(2,1/(('Match Log'!$D$4:$D$810=$V$24)*('Match Log'!$A$4:$A$810&lt;=$J325)),'Match Log'!$N$4:$N$810),NA()))</f>
        <v>#N/A</v>
      </c>
      <c r="W325" t="e">
        <f>IF($J325&gt;MAX('Match Log'!$A$4:$A$810),NA(),IFERROR(LOOKUP(2,1/(('Match Log'!$D$4:$D$810=$W$24)*('Match Log'!$A$4:$A$810&lt;=$J325)),'Match Log'!$N$4:$N$810),NA()))</f>
        <v>#N/A</v>
      </c>
      <c r="X325" t="e">
        <f>IF($J325&gt;MAX('Match Log'!$A$4:$A$810),NA(),IFERROR(LOOKUP(2,1/(('Match Log'!$D$4:$D$810=$X$24)*('Match Log'!$A$4:$A$810&lt;=$J325)),'Match Log'!$N$4:$N$810),NA()))</f>
        <v>#N/A</v>
      </c>
      <c r="Y325" t="str">
        <f t="shared" ca="1" si="36"/>
        <v/>
      </c>
    </row>
    <row r="326" spans="1:25" x14ac:dyDescent="0.2">
      <c r="A326">
        <v>302</v>
      </c>
      <c r="B326" t="str">
        <f>IFERROR(INDEX('Match Log'!$B$4:$B$810,MATCH(302,'Match Log'!$A$4:$A$810,0)),"")</f>
        <v/>
      </c>
      <c r="C326" t="str">
        <f>IFERROR(INDEX('Match Log'!$C$4:$C$810,MATCH(302,'Match Log'!$A$4:$A$810,0)),"")</f>
        <v/>
      </c>
      <c r="D326" t="str">
        <f t="array" ref="D326">IFERROR(_xlfn.TEXTJOIN(" + ",TRUE,IF(('Match Log'!$A$4:$A$810=$A326)*('Match Log'!$E$4:$E$810="Win"),'Match Log'!$D$4:$D$810,"")),IFERROR(LOOKUP(2,1/(('Match Log'!$A$4:$A$810=$A326)*('Match Log'!$E$4:$E$810="Win")),'Match Log'!$D$4:$D$810),""))</f>
        <v/>
      </c>
      <c r="E326" t="str">
        <f>IFERROR(INDEX('Match Log'!$F$4:$F$810,MATCH(302,'Match Log'!$A$4:$A$810,0)),"")</f>
        <v/>
      </c>
      <c r="F326">
        <f>IFERROR(SUMIFS('Match Log'!$I$4:$I$810,'Match Log'!$A$4:$A$810,302,'Match Log'!$E$4:$E$810,"Win"),"")</f>
        <v>0</v>
      </c>
      <c r="G326" t="str">
        <f t="shared" si="34"/>
        <v/>
      </c>
      <c r="H326" t="str">
        <f t="array" ref="H326">IFERROR(IF(COUNTIFS('Match Log'!$A$4:$A$810,$A326,'Match Log'!$E$4:$E$810,"Win")&gt;1,_xlfn.TEXTJOIN(" + ",TRUE,IF(('Match Log'!$A$4:$A$810=$A326)*('Match Log'!$E$4:$E$810="Loss"),'Match Log'!$D$4:$D$810,"")),IF($E326=2,LOOKUP(2,1/(('Match Log'!$A$4:$A$810=$A326)*('Match Log'!$E$4:$E$810="Loss")),'Match Log'!$D$4:$D$810),"the field")),"")</f>
        <v>the field</v>
      </c>
      <c r="I326" t="str">
        <f t="shared" si="35"/>
        <v/>
      </c>
      <c r="J326">
        <v>302</v>
      </c>
      <c r="K326" t="e">
        <f>IF($J326&gt;MAX('Match Log'!$A$4:$A$810),NA(),IFERROR(LOOKUP(2,1/(('Match Log'!$D$4:$D$810=$K$24)*('Match Log'!$A$4:$A$810&lt;=$J326)),'Match Log'!$N$4:$N$810),NA()))</f>
        <v>#N/A</v>
      </c>
      <c r="L326" t="e">
        <f>IF($J326&gt;MAX('Match Log'!$A$4:$A$810),NA(),IFERROR(LOOKUP(2,1/(('Match Log'!$D$4:$D$810=$L$24)*('Match Log'!$A$4:$A$810&lt;=$J326)),'Match Log'!$N$4:$N$810),NA()))</f>
        <v>#N/A</v>
      </c>
      <c r="M326" t="e">
        <f>IF($J326&gt;MAX('Match Log'!$A$4:$A$810),NA(),IFERROR(LOOKUP(2,1/(('Match Log'!$D$4:$D$810=$M$24)*('Match Log'!$A$4:$A$810&lt;=$J326)),'Match Log'!$N$4:$N$810),NA()))</f>
        <v>#N/A</v>
      </c>
      <c r="N326" t="e">
        <f>IF($J326&gt;MAX('Match Log'!$A$4:$A$810),NA(),IFERROR(LOOKUP(2,1/(('Match Log'!$D$4:$D$810=$N$24)*('Match Log'!$A$4:$A$810&lt;=$J326)),'Match Log'!$N$4:$N$810),NA()))</f>
        <v>#N/A</v>
      </c>
      <c r="O326" t="e">
        <f>IF($J326&gt;MAX('Match Log'!$A$4:$A$810),NA(),IFERROR(LOOKUP(2,1/(('Match Log'!$D$4:$D$810=$O$24)*('Match Log'!$A$4:$A$810&lt;=$J326)),'Match Log'!$N$4:$N$810),NA()))</f>
        <v>#N/A</v>
      </c>
      <c r="P326" t="e">
        <f>IF($J326&gt;MAX('Match Log'!$A$4:$A$810),NA(),IFERROR(LOOKUP(2,1/(('Match Log'!$D$4:$D$810=$P$24)*('Match Log'!$A$4:$A$810&lt;=$J326)),'Match Log'!$N$4:$N$810),NA()))</f>
        <v>#N/A</v>
      </c>
      <c r="Q326" t="e">
        <f>IF($J326&gt;MAX('Match Log'!$A$4:$A$810),NA(),IFERROR(LOOKUP(2,1/(('Match Log'!$D$4:$D$810=$Q$24)*('Match Log'!$A$4:$A$810&lt;=$J326)),'Match Log'!$N$4:$N$810),NA()))</f>
        <v>#N/A</v>
      </c>
      <c r="R326" t="e">
        <f>IF($J326&gt;MAX('Match Log'!$A$4:$A$810),NA(),IFERROR(LOOKUP(2,1/(('Match Log'!$D$4:$D$810=$R$24)*('Match Log'!$A$4:$A$810&lt;=$J326)),'Match Log'!$N$4:$N$810),NA()))</f>
        <v>#N/A</v>
      </c>
      <c r="S326" t="e">
        <f>IF($J326&gt;MAX('Match Log'!$A$4:$A$810),NA(),IFERROR(LOOKUP(2,1/(('Match Log'!$D$4:$D$810=$S$24)*('Match Log'!$A$4:$A$810&lt;=$J326)),'Match Log'!$N$4:$N$810),NA()))</f>
        <v>#N/A</v>
      </c>
      <c r="T326" t="e">
        <f>IF($J326&gt;MAX('Match Log'!$A$4:$A$810),NA(),IFERROR(LOOKUP(2,1/(('Match Log'!$D$4:$D$810=$T$24)*('Match Log'!$A$4:$A$810&lt;=$J326)),'Match Log'!$N$4:$N$810),NA()))</f>
        <v>#N/A</v>
      </c>
      <c r="U326" t="e">
        <f>IF($J326&gt;MAX('Match Log'!$A$4:$A$810),NA(),IFERROR(LOOKUP(2,1/(('Match Log'!$D$4:$D$810=$U$24)*('Match Log'!$A$4:$A$810&lt;=$J326)),'Match Log'!$N$4:$N$810),NA()))</f>
        <v>#N/A</v>
      </c>
      <c r="V326" t="e">
        <f>IF($J326&gt;MAX('Match Log'!$A$4:$A$810),NA(),IFERROR(LOOKUP(2,1/(('Match Log'!$D$4:$D$810=$V$24)*('Match Log'!$A$4:$A$810&lt;=$J326)),'Match Log'!$N$4:$N$810),NA()))</f>
        <v>#N/A</v>
      </c>
      <c r="W326" t="e">
        <f>IF($J326&gt;MAX('Match Log'!$A$4:$A$810),NA(),IFERROR(LOOKUP(2,1/(('Match Log'!$D$4:$D$810=$W$24)*('Match Log'!$A$4:$A$810&lt;=$J326)),'Match Log'!$N$4:$N$810),NA()))</f>
        <v>#N/A</v>
      </c>
      <c r="X326" t="e">
        <f>IF($J326&gt;MAX('Match Log'!$A$4:$A$810),NA(),IFERROR(LOOKUP(2,1/(('Match Log'!$D$4:$D$810=$X$24)*('Match Log'!$A$4:$A$810&lt;=$J326)),'Match Log'!$N$4:$N$810),NA()))</f>
        <v>#N/A</v>
      </c>
      <c r="Y326" t="str">
        <f t="shared" ca="1" si="36"/>
        <v/>
      </c>
    </row>
    <row r="327" spans="1:25" x14ac:dyDescent="0.2">
      <c r="A327">
        <v>303</v>
      </c>
      <c r="B327" t="str">
        <f>IFERROR(INDEX('Match Log'!$B$4:$B$810,MATCH(303,'Match Log'!$A$4:$A$810,0)),"")</f>
        <v/>
      </c>
      <c r="C327" t="str">
        <f>IFERROR(INDEX('Match Log'!$C$4:$C$810,MATCH(303,'Match Log'!$A$4:$A$810,0)),"")</f>
        <v/>
      </c>
      <c r="D327" t="str">
        <f t="array" ref="D327">IFERROR(_xlfn.TEXTJOIN(" + ",TRUE,IF(('Match Log'!$A$4:$A$810=$A327)*('Match Log'!$E$4:$E$810="Win"),'Match Log'!$D$4:$D$810,"")),IFERROR(LOOKUP(2,1/(('Match Log'!$A$4:$A$810=$A327)*('Match Log'!$E$4:$E$810="Win")),'Match Log'!$D$4:$D$810),""))</f>
        <v/>
      </c>
      <c r="E327" t="str">
        <f>IFERROR(INDEX('Match Log'!$F$4:$F$810,MATCH(303,'Match Log'!$A$4:$A$810,0)),"")</f>
        <v/>
      </c>
      <c r="F327">
        <f>IFERROR(SUMIFS('Match Log'!$I$4:$I$810,'Match Log'!$A$4:$A$810,303,'Match Log'!$E$4:$E$810,"Win"),"")</f>
        <v>0</v>
      </c>
      <c r="G327" t="str">
        <f t="shared" si="34"/>
        <v/>
      </c>
      <c r="H327" t="str">
        <f t="array" ref="H327">IFERROR(IF(COUNTIFS('Match Log'!$A$4:$A$810,$A327,'Match Log'!$E$4:$E$810,"Win")&gt;1,_xlfn.TEXTJOIN(" + ",TRUE,IF(('Match Log'!$A$4:$A$810=$A327)*('Match Log'!$E$4:$E$810="Loss"),'Match Log'!$D$4:$D$810,"")),IF($E327=2,LOOKUP(2,1/(('Match Log'!$A$4:$A$810=$A327)*('Match Log'!$E$4:$E$810="Loss")),'Match Log'!$D$4:$D$810),"the field")),"")</f>
        <v>the field</v>
      </c>
      <c r="I327" t="str">
        <f t="shared" si="35"/>
        <v/>
      </c>
      <c r="J327">
        <v>303</v>
      </c>
      <c r="K327" t="e">
        <f>IF($J327&gt;MAX('Match Log'!$A$4:$A$810),NA(),IFERROR(LOOKUP(2,1/(('Match Log'!$D$4:$D$810=$K$24)*('Match Log'!$A$4:$A$810&lt;=$J327)),'Match Log'!$N$4:$N$810),NA()))</f>
        <v>#N/A</v>
      </c>
      <c r="L327" t="e">
        <f>IF($J327&gt;MAX('Match Log'!$A$4:$A$810),NA(),IFERROR(LOOKUP(2,1/(('Match Log'!$D$4:$D$810=$L$24)*('Match Log'!$A$4:$A$810&lt;=$J327)),'Match Log'!$N$4:$N$810),NA()))</f>
        <v>#N/A</v>
      </c>
      <c r="M327" t="e">
        <f>IF($J327&gt;MAX('Match Log'!$A$4:$A$810),NA(),IFERROR(LOOKUP(2,1/(('Match Log'!$D$4:$D$810=$M$24)*('Match Log'!$A$4:$A$810&lt;=$J327)),'Match Log'!$N$4:$N$810),NA()))</f>
        <v>#N/A</v>
      </c>
      <c r="N327" t="e">
        <f>IF($J327&gt;MAX('Match Log'!$A$4:$A$810),NA(),IFERROR(LOOKUP(2,1/(('Match Log'!$D$4:$D$810=$N$24)*('Match Log'!$A$4:$A$810&lt;=$J327)),'Match Log'!$N$4:$N$810),NA()))</f>
        <v>#N/A</v>
      </c>
      <c r="O327" t="e">
        <f>IF($J327&gt;MAX('Match Log'!$A$4:$A$810),NA(),IFERROR(LOOKUP(2,1/(('Match Log'!$D$4:$D$810=$O$24)*('Match Log'!$A$4:$A$810&lt;=$J327)),'Match Log'!$N$4:$N$810),NA()))</f>
        <v>#N/A</v>
      </c>
      <c r="P327" t="e">
        <f>IF($J327&gt;MAX('Match Log'!$A$4:$A$810),NA(),IFERROR(LOOKUP(2,1/(('Match Log'!$D$4:$D$810=$P$24)*('Match Log'!$A$4:$A$810&lt;=$J327)),'Match Log'!$N$4:$N$810),NA()))</f>
        <v>#N/A</v>
      </c>
      <c r="Q327" t="e">
        <f>IF($J327&gt;MAX('Match Log'!$A$4:$A$810),NA(),IFERROR(LOOKUP(2,1/(('Match Log'!$D$4:$D$810=$Q$24)*('Match Log'!$A$4:$A$810&lt;=$J327)),'Match Log'!$N$4:$N$810),NA()))</f>
        <v>#N/A</v>
      </c>
      <c r="R327" t="e">
        <f>IF($J327&gt;MAX('Match Log'!$A$4:$A$810),NA(),IFERROR(LOOKUP(2,1/(('Match Log'!$D$4:$D$810=$R$24)*('Match Log'!$A$4:$A$810&lt;=$J327)),'Match Log'!$N$4:$N$810),NA()))</f>
        <v>#N/A</v>
      </c>
      <c r="S327" t="e">
        <f>IF($J327&gt;MAX('Match Log'!$A$4:$A$810),NA(),IFERROR(LOOKUP(2,1/(('Match Log'!$D$4:$D$810=$S$24)*('Match Log'!$A$4:$A$810&lt;=$J327)),'Match Log'!$N$4:$N$810),NA()))</f>
        <v>#N/A</v>
      </c>
      <c r="T327" t="e">
        <f>IF($J327&gt;MAX('Match Log'!$A$4:$A$810),NA(),IFERROR(LOOKUP(2,1/(('Match Log'!$D$4:$D$810=$T$24)*('Match Log'!$A$4:$A$810&lt;=$J327)),'Match Log'!$N$4:$N$810),NA()))</f>
        <v>#N/A</v>
      </c>
      <c r="U327" t="e">
        <f>IF($J327&gt;MAX('Match Log'!$A$4:$A$810),NA(),IFERROR(LOOKUP(2,1/(('Match Log'!$D$4:$D$810=$U$24)*('Match Log'!$A$4:$A$810&lt;=$J327)),'Match Log'!$N$4:$N$810),NA()))</f>
        <v>#N/A</v>
      </c>
      <c r="V327" t="e">
        <f>IF($J327&gt;MAX('Match Log'!$A$4:$A$810),NA(),IFERROR(LOOKUP(2,1/(('Match Log'!$D$4:$D$810=$V$24)*('Match Log'!$A$4:$A$810&lt;=$J327)),'Match Log'!$N$4:$N$810),NA()))</f>
        <v>#N/A</v>
      </c>
      <c r="W327" t="e">
        <f>IF($J327&gt;MAX('Match Log'!$A$4:$A$810),NA(),IFERROR(LOOKUP(2,1/(('Match Log'!$D$4:$D$810=$W$24)*('Match Log'!$A$4:$A$810&lt;=$J327)),'Match Log'!$N$4:$N$810),NA()))</f>
        <v>#N/A</v>
      </c>
      <c r="X327" t="e">
        <f>IF($J327&gt;MAX('Match Log'!$A$4:$A$810),NA(),IFERROR(LOOKUP(2,1/(('Match Log'!$D$4:$D$810=$X$24)*('Match Log'!$A$4:$A$810&lt;=$J327)),'Match Log'!$N$4:$N$810),NA()))</f>
        <v>#N/A</v>
      </c>
      <c r="Y327" t="str">
        <f t="shared" ca="1" si="36"/>
        <v/>
      </c>
    </row>
    <row r="328" spans="1:25" x14ac:dyDescent="0.2">
      <c r="A328">
        <v>304</v>
      </c>
      <c r="B328" t="str">
        <f>IFERROR(INDEX('Match Log'!$B$4:$B$810,MATCH(304,'Match Log'!$A$4:$A$810,0)),"")</f>
        <v/>
      </c>
      <c r="C328" t="str">
        <f>IFERROR(INDEX('Match Log'!$C$4:$C$810,MATCH(304,'Match Log'!$A$4:$A$810,0)),"")</f>
        <v/>
      </c>
      <c r="D328" t="str">
        <f t="array" ref="D328">IFERROR(_xlfn.TEXTJOIN(" + ",TRUE,IF(('Match Log'!$A$4:$A$810=$A328)*('Match Log'!$E$4:$E$810="Win"),'Match Log'!$D$4:$D$810,"")),IFERROR(LOOKUP(2,1/(('Match Log'!$A$4:$A$810=$A328)*('Match Log'!$E$4:$E$810="Win")),'Match Log'!$D$4:$D$810),""))</f>
        <v/>
      </c>
      <c r="E328" t="str">
        <f>IFERROR(INDEX('Match Log'!$F$4:$F$810,MATCH(304,'Match Log'!$A$4:$A$810,0)),"")</f>
        <v/>
      </c>
      <c r="F328">
        <f>IFERROR(SUMIFS('Match Log'!$I$4:$I$810,'Match Log'!$A$4:$A$810,304,'Match Log'!$E$4:$E$810,"Win"),"")</f>
        <v>0</v>
      </c>
      <c r="G328" t="str">
        <f t="shared" si="34"/>
        <v/>
      </c>
      <c r="H328" t="str">
        <f t="array" ref="H328">IFERROR(IF(COUNTIFS('Match Log'!$A$4:$A$810,$A328,'Match Log'!$E$4:$E$810,"Win")&gt;1,_xlfn.TEXTJOIN(" + ",TRUE,IF(('Match Log'!$A$4:$A$810=$A328)*('Match Log'!$E$4:$E$810="Loss"),'Match Log'!$D$4:$D$810,"")),IF($E328=2,LOOKUP(2,1/(('Match Log'!$A$4:$A$810=$A328)*('Match Log'!$E$4:$E$810="Loss")),'Match Log'!$D$4:$D$810),"the field")),"")</f>
        <v>the field</v>
      </c>
      <c r="I328" t="str">
        <f t="shared" si="35"/>
        <v/>
      </c>
      <c r="J328">
        <v>304</v>
      </c>
      <c r="K328" t="e">
        <f>IF($J328&gt;MAX('Match Log'!$A$4:$A$810),NA(),IFERROR(LOOKUP(2,1/(('Match Log'!$D$4:$D$810=$K$24)*('Match Log'!$A$4:$A$810&lt;=$J328)),'Match Log'!$N$4:$N$810),NA()))</f>
        <v>#N/A</v>
      </c>
      <c r="L328" t="e">
        <f>IF($J328&gt;MAX('Match Log'!$A$4:$A$810),NA(),IFERROR(LOOKUP(2,1/(('Match Log'!$D$4:$D$810=$L$24)*('Match Log'!$A$4:$A$810&lt;=$J328)),'Match Log'!$N$4:$N$810),NA()))</f>
        <v>#N/A</v>
      </c>
      <c r="M328" t="e">
        <f>IF($J328&gt;MAX('Match Log'!$A$4:$A$810),NA(),IFERROR(LOOKUP(2,1/(('Match Log'!$D$4:$D$810=$M$24)*('Match Log'!$A$4:$A$810&lt;=$J328)),'Match Log'!$N$4:$N$810),NA()))</f>
        <v>#N/A</v>
      </c>
      <c r="N328" t="e">
        <f>IF($J328&gt;MAX('Match Log'!$A$4:$A$810),NA(),IFERROR(LOOKUP(2,1/(('Match Log'!$D$4:$D$810=$N$24)*('Match Log'!$A$4:$A$810&lt;=$J328)),'Match Log'!$N$4:$N$810),NA()))</f>
        <v>#N/A</v>
      </c>
      <c r="O328" t="e">
        <f>IF($J328&gt;MAX('Match Log'!$A$4:$A$810),NA(),IFERROR(LOOKUP(2,1/(('Match Log'!$D$4:$D$810=$O$24)*('Match Log'!$A$4:$A$810&lt;=$J328)),'Match Log'!$N$4:$N$810),NA()))</f>
        <v>#N/A</v>
      </c>
      <c r="P328" t="e">
        <f>IF($J328&gt;MAX('Match Log'!$A$4:$A$810),NA(),IFERROR(LOOKUP(2,1/(('Match Log'!$D$4:$D$810=$P$24)*('Match Log'!$A$4:$A$810&lt;=$J328)),'Match Log'!$N$4:$N$810),NA()))</f>
        <v>#N/A</v>
      </c>
      <c r="Q328" t="e">
        <f>IF($J328&gt;MAX('Match Log'!$A$4:$A$810),NA(),IFERROR(LOOKUP(2,1/(('Match Log'!$D$4:$D$810=$Q$24)*('Match Log'!$A$4:$A$810&lt;=$J328)),'Match Log'!$N$4:$N$810),NA()))</f>
        <v>#N/A</v>
      </c>
      <c r="R328" t="e">
        <f>IF($J328&gt;MAX('Match Log'!$A$4:$A$810),NA(),IFERROR(LOOKUP(2,1/(('Match Log'!$D$4:$D$810=$R$24)*('Match Log'!$A$4:$A$810&lt;=$J328)),'Match Log'!$N$4:$N$810),NA()))</f>
        <v>#N/A</v>
      </c>
      <c r="S328" t="e">
        <f>IF($J328&gt;MAX('Match Log'!$A$4:$A$810),NA(),IFERROR(LOOKUP(2,1/(('Match Log'!$D$4:$D$810=$S$24)*('Match Log'!$A$4:$A$810&lt;=$J328)),'Match Log'!$N$4:$N$810),NA()))</f>
        <v>#N/A</v>
      </c>
      <c r="T328" t="e">
        <f>IF($J328&gt;MAX('Match Log'!$A$4:$A$810),NA(),IFERROR(LOOKUP(2,1/(('Match Log'!$D$4:$D$810=$T$24)*('Match Log'!$A$4:$A$810&lt;=$J328)),'Match Log'!$N$4:$N$810),NA()))</f>
        <v>#N/A</v>
      </c>
      <c r="U328" t="e">
        <f>IF($J328&gt;MAX('Match Log'!$A$4:$A$810),NA(),IFERROR(LOOKUP(2,1/(('Match Log'!$D$4:$D$810=$U$24)*('Match Log'!$A$4:$A$810&lt;=$J328)),'Match Log'!$N$4:$N$810),NA()))</f>
        <v>#N/A</v>
      </c>
      <c r="V328" t="e">
        <f>IF($J328&gt;MAX('Match Log'!$A$4:$A$810),NA(),IFERROR(LOOKUP(2,1/(('Match Log'!$D$4:$D$810=$V$24)*('Match Log'!$A$4:$A$810&lt;=$J328)),'Match Log'!$N$4:$N$810),NA()))</f>
        <v>#N/A</v>
      </c>
      <c r="W328" t="e">
        <f>IF($J328&gt;MAX('Match Log'!$A$4:$A$810),NA(),IFERROR(LOOKUP(2,1/(('Match Log'!$D$4:$D$810=$W$24)*('Match Log'!$A$4:$A$810&lt;=$J328)),'Match Log'!$N$4:$N$810),NA()))</f>
        <v>#N/A</v>
      </c>
      <c r="X328" t="e">
        <f>IF($J328&gt;MAX('Match Log'!$A$4:$A$810),NA(),IFERROR(LOOKUP(2,1/(('Match Log'!$D$4:$D$810=$X$24)*('Match Log'!$A$4:$A$810&lt;=$J328)),'Match Log'!$N$4:$N$810),NA()))</f>
        <v>#N/A</v>
      </c>
      <c r="Y328" t="str">
        <f t="shared" ca="1" si="36"/>
        <v/>
      </c>
    </row>
    <row r="329" spans="1:25" x14ac:dyDescent="0.2">
      <c r="A329">
        <v>305</v>
      </c>
      <c r="B329" t="str">
        <f>IFERROR(INDEX('Match Log'!$B$4:$B$810,MATCH(305,'Match Log'!$A$4:$A$810,0)),"")</f>
        <v/>
      </c>
      <c r="C329" t="str">
        <f>IFERROR(INDEX('Match Log'!$C$4:$C$810,MATCH(305,'Match Log'!$A$4:$A$810,0)),"")</f>
        <v/>
      </c>
      <c r="D329" t="str">
        <f t="array" ref="D329">IFERROR(_xlfn.TEXTJOIN(" + ",TRUE,IF(('Match Log'!$A$4:$A$810=$A329)*('Match Log'!$E$4:$E$810="Win"),'Match Log'!$D$4:$D$810,"")),IFERROR(LOOKUP(2,1/(('Match Log'!$A$4:$A$810=$A329)*('Match Log'!$E$4:$E$810="Win")),'Match Log'!$D$4:$D$810),""))</f>
        <v/>
      </c>
      <c r="E329" t="str">
        <f>IFERROR(INDEX('Match Log'!$F$4:$F$810,MATCH(305,'Match Log'!$A$4:$A$810,0)),"")</f>
        <v/>
      </c>
      <c r="F329">
        <f>IFERROR(SUMIFS('Match Log'!$I$4:$I$810,'Match Log'!$A$4:$A$810,305,'Match Log'!$E$4:$E$810,"Win"),"")</f>
        <v>0</v>
      </c>
      <c r="G329" t="str">
        <f t="shared" si="34"/>
        <v/>
      </c>
      <c r="H329" t="str">
        <f t="array" ref="H329">IFERROR(IF(COUNTIFS('Match Log'!$A$4:$A$810,$A329,'Match Log'!$E$4:$E$810,"Win")&gt;1,_xlfn.TEXTJOIN(" + ",TRUE,IF(('Match Log'!$A$4:$A$810=$A329)*('Match Log'!$E$4:$E$810="Loss"),'Match Log'!$D$4:$D$810,"")),IF($E329=2,LOOKUP(2,1/(('Match Log'!$A$4:$A$810=$A329)*('Match Log'!$E$4:$E$810="Loss")),'Match Log'!$D$4:$D$810),"the field")),"")</f>
        <v>the field</v>
      </c>
      <c r="I329" t="str">
        <f t="shared" si="35"/>
        <v/>
      </c>
      <c r="J329">
        <v>305</v>
      </c>
      <c r="K329" t="e">
        <f>IF($J329&gt;MAX('Match Log'!$A$4:$A$810),NA(),IFERROR(LOOKUP(2,1/(('Match Log'!$D$4:$D$810=$K$24)*('Match Log'!$A$4:$A$810&lt;=$J329)),'Match Log'!$N$4:$N$810),NA()))</f>
        <v>#N/A</v>
      </c>
      <c r="L329" t="e">
        <f>IF($J329&gt;MAX('Match Log'!$A$4:$A$810),NA(),IFERROR(LOOKUP(2,1/(('Match Log'!$D$4:$D$810=$L$24)*('Match Log'!$A$4:$A$810&lt;=$J329)),'Match Log'!$N$4:$N$810),NA()))</f>
        <v>#N/A</v>
      </c>
      <c r="M329" t="e">
        <f>IF($J329&gt;MAX('Match Log'!$A$4:$A$810),NA(),IFERROR(LOOKUP(2,1/(('Match Log'!$D$4:$D$810=$M$24)*('Match Log'!$A$4:$A$810&lt;=$J329)),'Match Log'!$N$4:$N$810),NA()))</f>
        <v>#N/A</v>
      </c>
      <c r="N329" t="e">
        <f>IF($J329&gt;MAX('Match Log'!$A$4:$A$810),NA(),IFERROR(LOOKUP(2,1/(('Match Log'!$D$4:$D$810=$N$24)*('Match Log'!$A$4:$A$810&lt;=$J329)),'Match Log'!$N$4:$N$810),NA()))</f>
        <v>#N/A</v>
      </c>
      <c r="O329" t="e">
        <f>IF($J329&gt;MAX('Match Log'!$A$4:$A$810),NA(),IFERROR(LOOKUP(2,1/(('Match Log'!$D$4:$D$810=$O$24)*('Match Log'!$A$4:$A$810&lt;=$J329)),'Match Log'!$N$4:$N$810),NA()))</f>
        <v>#N/A</v>
      </c>
      <c r="P329" t="e">
        <f>IF($J329&gt;MAX('Match Log'!$A$4:$A$810),NA(),IFERROR(LOOKUP(2,1/(('Match Log'!$D$4:$D$810=$P$24)*('Match Log'!$A$4:$A$810&lt;=$J329)),'Match Log'!$N$4:$N$810),NA()))</f>
        <v>#N/A</v>
      </c>
      <c r="Q329" t="e">
        <f>IF($J329&gt;MAX('Match Log'!$A$4:$A$810),NA(),IFERROR(LOOKUP(2,1/(('Match Log'!$D$4:$D$810=$Q$24)*('Match Log'!$A$4:$A$810&lt;=$J329)),'Match Log'!$N$4:$N$810),NA()))</f>
        <v>#N/A</v>
      </c>
      <c r="R329" t="e">
        <f>IF($J329&gt;MAX('Match Log'!$A$4:$A$810),NA(),IFERROR(LOOKUP(2,1/(('Match Log'!$D$4:$D$810=$R$24)*('Match Log'!$A$4:$A$810&lt;=$J329)),'Match Log'!$N$4:$N$810),NA()))</f>
        <v>#N/A</v>
      </c>
      <c r="S329" t="e">
        <f>IF($J329&gt;MAX('Match Log'!$A$4:$A$810),NA(),IFERROR(LOOKUP(2,1/(('Match Log'!$D$4:$D$810=$S$24)*('Match Log'!$A$4:$A$810&lt;=$J329)),'Match Log'!$N$4:$N$810),NA()))</f>
        <v>#N/A</v>
      </c>
      <c r="T329" t="e">
        <f>IF($J329&gt;MAX('Match Log'!$A$4:$A$810),NA(),IFERROR(LOOKUP(2,1/(('Match Log'!$D$4:$D$810=$T$24)*('Match Log'!$A$4:$A$810&lt;=$J329)),'Match Log'!$N$4:$N$810),NA()))</f>
        <v>#N/A</v>
      </c>
      <c r="U329" t="e">
        <f>IF($J329&gt;MAX('Match Log'!$A$4:$A$810),NA(),IFERROR(LOOKUP(2,1/(('Match Log'!$D$4:$D$810=$U$24)*('Match Log'!$A$4:$A$810&lt;=$J329)),'Match Log'!$N$4:$N$810),NA()))</f>
        <v>#N/A</v>
      </c>
      <c r="V329" t="e">
        <f>IF($J329&gt;MAX('Match Log'!$A$4:$A$810),NA(),IFERROR(LOOKUP(2,1/(('Match Log'!$D$4:$D$810=$V$24)*('Match Log'!$A$4:$A$810&lt;=$J329)),'Match Log'!$N$4:$N$810),NA()))</f>
        <v>#N/A</v>
      </c>
      <c r="W329" t="e">
        <f>IF($J329&gt;MAX('Match Log'!$A$4:$A$810),NA(),IFERROR(LOOKUP(2,1/(('Match Log'!$D$4:$D$810=$W$24)*('Match Log'!$A$4:$A$810&lt;=$J329)),'Match Log'!$N$4:$N$810),NA()))</f>
        <v>#N/A</v>
      </c>
      <c r="X329" t="e">
        <f>IF($J329&gt;MAX('Match Log'!$A$4:$A$810),NA(),IFERROR(LOOKUP(2,1/(('Match Log'!$D$4:$D$810=$X$24)*('Match Log'!$A$4:$A$810&lt;=$J329)),'Match Log'!$N$4:$N$810),NA()))</f>
        <v>#N/A</v>
      </c>
      <c r="Y329" t="str">
        <f t="shared" ca="1" si="36"/>
        <v/>
      </c>
    </row>
    <row r="330" spans="1:25" x14ac:dyDescent="0.2">
      <c r="A330">
        <v>306</v>
      </c>
      <c r="B330" t="str">
        <f>IFERROR(INDEX('Match Log'!$B$4:$B$810,MATCH(306,'Match Log'!$A$4:$A$810,0)),"")</f>
        <v/>
      </c>
      <c r="C330" t="str">
        <f>IFERROR(INDEX('Match Log'!$C$4:$C$810,MATCH(306,'Match Log'!$A$4:$A$810,0)),"")</f>
        <v/>
      </c>
      <c r="D330" t="str">
        <f t="array" ref="D330">IFERROR(_xlfn.TEXTJOIN(" + ",TRUE,IF(('Match Log'!$A$4:$A$810=$A330)*('Match Log'!$E$4:$E$810="Win"),'Match Log'!$D$4:$D$810,"")),IFERROR(LOOKUP(2,1/(('Match Log'!$A$4:$A$810=$A330)*('Match Log'!$E$4:$E$810="Win")),'Match Log'!$D$4:$D$810),""))</f>
        <v/>
      </c>
      <c r="E330" t="str">
        <f>IFERROR(INDEX('Match Log'!$F$4:$F$810,MATCH(306,'Match Log'!$A$4:$A$810,0)),"")</f>
        <v/>
      </c>
      <c r="F330">
        <f>IFERROR(SUMIFS('Match Log'!$I$4:$I$810,'Match Log'!$A$4:$A$810,306,'Match Log'!$E$4:$E$810,"Win"),"")</f>
        <v>0</v>
      </c>
      <c r="G330" t="str">
        <f t="shared" si="34"/>
        <v/>
      </c>
      <c r="H330" t="str">
        <f t="array" ref="H330">IFERROR(IF(COUNTIFS('Match Log'!$A$4:$A$810,$A330,'Match Log'!$E$4:$E$810,"Win")&gt;1,_xlfn.TEXTJOIN(" + ",TRUE,IF(('Match Log'!$A$4:$A$810=$A330)*('Match Log'!$E$4:$E$810="Loss"),'Match Log'!$D$4:$D$810,"")),IF($E330=2,LOOKUP(2,1/(('Match Log'!$A$4:$A$810=$A330)*('Match Log'!$E$4:$E$810="Loss")),'Match Log'!$D$4:$D$810),"the field")),"")</f>
        <v>the field</v>
      </c>
      <c r="I330" t="str">
        <f t="shared" si="35"/>
        <v/>
      </c>
      <c r="J330">
        <v>306</v>
      </c>
      <c r="K330" t="e">
        <f>IF($J330&gt;MAX('Match Log'!$A$4:$A$810),NA(),IFERROR(LOOKUP(2,1/(('Match Log'!$D$4:$D$810=$K$24)*('Match Log'!$A$4:$A$810&lt;=$J330)),'Match Log'!$N$4:$N$810),NA()))</f>
        <v>#N/A</v>
      </c>
      <c r="L330" t="e">
        <f>IF($J330&gt;MAX('Match Log'!$A$4:$A$810),NA(),IFERROR(LOOKUP(2,1/(('Match Log'!$D$4:$D$810=$L$24)*('Match Log'!$A$4:$A$810&lt;=$J330)),'Match Log'!$N$4:$N$810),NA()))</f>
        <v>#N/A</v>
      </c>
      <c r="M330" t="e">
        <f>IF($J330&gt;MAX('Match Log'!$A$4:$A$810),NA(),IFERROR(LOOKUP(2,1/(('Match Log'!$D$4:$D$810=$M$24)*('Match Log'!$A$4:$A$810&lt;=$J330)),'Match Log'!$N$4:$N$810),NA()))</f>
        <v>#N/A</v>
      </c>
      <c r="N330" t="e">
        <f>IF($J330&gt;MAX('Match Log'!$A$4:$A$810),NA(),IFERROR(LOOKUP(2,1/(('Match Log'!$D$4:$D$810=$N$24)*('Match Log'!$A$4:$A$810&lt;=$J330)),'Match Log'!$N$4:$N$810),NA()))</f>
        <v>#N/A</v>
      </c>
      <c r="O330" t="e">
        <f>IF($J330&gt;MAX('Match Log'!$A$4:$A$810),NA(),IFERROR(LOOKUP(2,1/(('Match Log'!$D$4:$D$810=$O$24)*('Match Log'!$A$4:$A$810&lt;=$J330)),'Match Log'!$N$4:$N$810),NA()))</f>
        <v>#N/A</v>
      </c>
      <c r="P330" t="e">
        <f>IF($J330&gt;MAX('Match Log'!$A$4:$A$810),NA(),IFERROR(LOOKUP(2,1/(('Match Log'!$D$4:$D$810=$P$24)*('Match Log'!$A$4:$A$810&lt;=$J330)),'Match Log'!$N$4:$N$810),NA()))</f>
        <v>#N/A</v>
      </c>
      <c r="Q330" t="e">
        <f>IF($J330&gt;MAX('Match Log'!$A$4:$A$810),NA(),IFERROR(LOOKUP(2,1/(('Match Log'!$D$4:$D$810=$Q$24)*('Match Log'!$A$4:$A$810&lt;=$J330)),'Match Log'!$N$4:$N$810),NA()))</f>
        <v>#N/A</v>
      </c>
      <c r="R330" t="e">
        <f>IF($J330&gt;MAX('Match Log'!$A$4:$A$810),NA(),IFERROR(LOOKUP(2,1/(('Match Log'!$D$4:$D$810=$R$24)*('Match Log'!$A$4:$A$810&lt;=$J330)),'Match Log'!$N$4:$N$810),NA()))</f>
        <v>#N/A</v>
      </c>
      <c r="S330" t="e">
        <f>IF($J330&gt;MAX('Match Log'!$A$4:$A$810),NA(),IFERROR(LOOKUP(2,1/(('Match Log'!$D$4:$D$810=$S$24)*('Match Log'!$A$4:$A$810&lt;=$J330)),'Match Log'!$N$4:$N$810),NA()))</f>
        <v>#N/A</v>
      </c>
      <c r="T330" t="e">
        <f>IF($J330&gt;MAX('Match Log'!$A$4:$A$810),NA(),IFERROR(LOOKUP(2,1/(('Match Log'!$D$4:$D$810=$T$24)*('Match Log'!$A$4:$A$810&lt;=$J330)),'Match Log'!$N$4:$N$810),NA()))</f>
        <v>#N/A</v>
      </c>
      <c r="U330" t="e">
        <f>IF($J330&gt;MAX('Match Log'!$A$4:$A$810),NA(),IFERROR(LOOKUP(2,1/(('Match Log'!$D$4:$D$810=$U$24)*('Match Log'!$A$4:$A$810&lt;=$J330)),'Match Log'!$N$4:$N$810),NA()))</f>
        <v>#N/A</v>
      </c>
      <c r="V330" t="e">
        <f>IF($J330&gt;MAX('Match Log'!$A$4:$A$810),NA(),IFERROR(LOOKUP(2,1/(('Match Log'!$D$4:$D$810=$V$24)*('Match Log'!$A$4:$A$810&lt;=$J330)),'Match Log'!$N$4:$N$810),NA()))</f>
        <v>#N/A</v>
      </c>
      <c r="W330" t="e">
        <f>IF($J330&gt;MAX('Match Log'!$A$4:$A$810),NA(),IFERROR(LOOKUP(2,1/(('Match Log'!$D$4:$D$810=$W$24)*('Match Log'!$A$4:$A$810&lt;=$J330)),'Match Log'!$N$4:$N$810),NA()))</f>
        <v>#N/A</v>
      </c>
      <c r="X330" t="e">
        <f>IF($J330&gt;MAX('Match Log'!$A$4:$A$810),NA(),IFERROR(LOOKUP(2,1/(('Match Log'!$D$4:$D$810=$X$24)*('Match Log'!$A$4:$A$810&lt;=$J330)),'Match Log'!$N$4:$N$810),NA()))</f>
        <v>#N/A</v>
      </c>
      <c r="Y330" t="str">
        <f t="shared" ca="1" si="36"/>
        <v/>
      </c>
    </row>
    <row r="331" spans="1:25" x14ac:dyDescent="0.2">
      <c r="A331">
        <v>307</v>
      </c>
      <c r="B331" t="str">
        <f>IFERROR(INDEX('Match Log'!$B$4:$B$810,MATCH(307,'Match Log'!$A$4:$A$810,0)),"")</f>
        <v/>
      </c>
      <c r="C331" t="str">
        <f>IFERROR(INDEX('Match Log'!$C$4:$C$810,MATCH(307,'Match Log'!$A$4:$A$810,0)),"")</f>
        <v/>
      </c>
      <c r="D331" t="str">
        <f t="array" ref="D331">IFERROR(_xlfn.TEXTJOIN(" + ",TRUE,IF(('Match Log'!$A$4:$A$810=$A331)*('Match Log'!$E$4:$E$810="Win"),'Match Log'!$D$4:$D$810,"")),IFERROR(LOOKUP(2,1/(('Match Log'!$A$4:$A$810=$A331)*('Match Log'!$E$4:$E$810="Win")),'Match Log'!$D$4:$D$810),""))</f>
        <v/>
      </c>
      <c r="E331" t="str">
        <f>IFERROR(INDEX('Match Log'!$F$4:$F$810,MATCH(307,'Match Log'!$A$4:$A$810,0)),"")</f>
        <v/>
      </c>
      <c r="F331">
        <f>IFERROR(SUMIFS('Match Log'!$I$4:$I$810,'Match Log'!$A$4:$A$810,307,'Match Log'!$E$4:$E$810,"Win"),"")</f>
        <v>0</v>
      </c>
      <c r="G331" t="str">
        <f t="shared" si="34"/>
        <v/>
      </c>
      <c r="H331" t="str">
        <f t="array" ref="H331">IFERROR(IF(COUNTIFS('Match Log'!$A$4:$A$810,$A331,'Match Log'!$E$4:$E$810,"Win")&gt;1,_xlfn.TEXTJOIN(" + ",TRUE,IF(('Match Log'!$A$4:$A$810=$A331)*('Match Log'!$E$4:$E$810="Loss"),'Match Log'!$D$4:$D$810,"")),IF($E331=2,LOOKUP(2,1/(('Match Log'!$A$4:$A$810=$A331)*('Match Log'!$E$4:$E$810="Loss")),'Match Log'!$D$4:$D$810),"the field")),"")</f>
        <v>the field</v>
      </c>
      <c r="I331" t="str">
        <f t="shared" si="35"/>
        <v/>
      </c>
      <c r="J331">
        <v>307</v>
      </c>
      <c r="K331" t="e">
        <f>IF($J331&gt;MAX('Match Log'!$A$4:$A$810),NA(),IFERROR(LOOKUP(2,1/(('Match Log'!$D$4:$D$810=$K$24)*('Match Log'!$A$4:$A$810&lt;=$J331)),'Match Log'!$N$4:$N$810),NA()))</f>
        <v>#N/A</v>
      </c>
      <c r="L331" t="e">
        <f>IF($J331&gt;MAX('Match Log'!$A$4:$A$810),NA(),IFERROR(LOOKUP(2,1/(('Match Log'!$D$4:$D$810=$L$24)*('Match Log'!$A$4:$A$810&lt;=$J331)),'Match Log'!$N$4:$N$810),NA()))</f>
        <v>#N/A</v>
      </c>
      <c r="M331" t="e">
        <f>IF($J331&gt;MAX('Match Log'!$A$4:$A$810),NA(),IFERROR(LOOKUP(2,1/(('Match Log'!$D$4:$D$810=$M$24)*('Match Log'!$A$4:$A$810&lt;=$J331)),'Match Log'!$N$4:$N$810),NA()))</f>
        <v>#N/A</v>
      </c>
      <c r="N331" t="e">
        <f>IF($J331&gt;MAX('Match Log'!$A$4:$A$810),NA(),IFERROR(LOOKUP(2,1/(('Match Log'!$D$4:$D$810=$N$24)*('Match Log'!$A$4:$A$810&lt;=$J331)),'Match Log'!$N$4:$N$810),NA()))</f>
        <v>#N/A</v>
      </c>
      <c r="O331" t="e">
        <f>IF($J331&gt;MAX('Match Log'!$A$4:$A$810),NA(),IFERROR(LOOKUP(2,1/(('Match Log'!$D$4:$D$810=$O$24)*('Match Log'!$A$4:$A$810&lt;=$J331)),'Match Log'!$N$4:$N$810),NA()))</f>
        <v>#N/A</v>
      </c>
      <c r="P331" t="e">
        <f>IF($J331&gt;MAX('Match Log'!$A$4:$A$810),NA(),IFERROR(LOOKUP(2,1/(('Match Log'!$D$4:$D$810=$P$24)*('Match Log'!$A$4:$A$810&lt;=$J331)),'Match Log'!$N$4:$N$810),NA()))</f>
        <v>#N/A</v>
      </c>
      <c r="Q331" t="e">
        <f>IF($J331&gt;MAX('Match Log'!$A$4:$A$810),NA(),IFERROR(LOOKUP(2,1/(('Match Log'!$D$4:$D$810=$Q$24)*('Match Log'!$A$4:$A$810&lt;=$J331)),'Match Log'!$N$4:$N$810),NA()))</f>
        <v>#N/A</v>
      </c>
      <c r="R331" t="e">
        <f>IF($J331&gt;MAX('Match Log'!$A$4:$A$810),NA(),IFERROR(LOOKUP(2,1/(('Match Log'!$D$4:$D$810=$R$24)*('Match Log'!$A$4:$A$810&lt;=$J331)),'Match Log'!$N$4:$N$810),NA()))</f>
        <v>#N/A</v>
      </c>
      <c r="S331" t="e">
        <f>IF($J331&gt;MAX('Match Log'!$A$4:$A$810),NA(),IFERROR(LOOKUP(2,1/(('Match Log'!$D$4:$D$810=$S$24)*('Match Log'!$A$4:$A$810&lt;=$J331)),'Match Log'!$N$4:$N$810),NA()))</f>
        <v>#N/A</v>
      </c>
      <c r="T331" t="e">
        <f>IF($J331&gt;MAX('Match Log'!$A$4:$A$810),NA(),IFERROR(LOOKUP(2,1/(('Match Log'!$D$4:$D$810=$T$24)*('Match Log'!$A$4:$A$810&lt;=$J331)),'Match Log'!$N$4:$N$810),NA()))</f>
        <v>#N/A</v>
      </c>
      <c r="U331" t="e">
        <f>IF($J331&gt;MAX('Match Log'!$A$4:$A$810),NA(),IFERROR(LOOKUP(2,1/(('Match Log'!$D$4:$D$810=$U$24)*('Match Log'!$A$4:$A$810&lt;=$J331)),'Match Log'!$N$4:$N$810),NA()))</f>
        <v>#N/A</v>
      </c>
      <c r="V331" t="e">
        <f>IF($J331&gt;MAX('Match Log'!$A$4:$A$810),NA(),IFERROR(LOOKUP(2,1/(('Match Log'!$D$4:$D$810=$V$24)*('Match Log'!$A$4:$A$810&lt;=$J331)),'Match Log'!$N$4:$N$810),NA()))</f>
        <v>#N/A</v>
      </c>
      <c r="W331" t="e">
        <f>IF($J331&gt;MAX('Match Log'!$A$4:$A$810),NA(),IFERROR(LOOKUP(2,1/(('Match Log'!$D$4:$D$810=$W$24)*('Match Log'!$A$4:$A$810&lt;=$J331)),'Match Log'!$N$4:$N$810),NA()))</f>
        <v>#N/A</v>
      </c>
      <c r="X331" t="e">
        <f>IF($J331&gt;MAX('Match Log'!$A$4:$A$810),NA(),IFERROR(LOOKUP(2,1/(('Match Log'!$D$4:$D$810=$X$24)*('Match Log'!$A$4:$A$810&lt;=$J331)),'Match Log'!$N$4:$N$810),NA()))</f>
        <v>#N/A</v>
      </c>
      <c r="Y331" t="str">
        <f t="shared" ca="1" si="36"/>
        <v/>
      </c>
    </row>
    <row r="332" spans="1:25" x14ac:dyDescent="0.2">
      <c r="A332">
        <v>308</v>
      </c>
      <c r="B332" t="str">
        <f>IFERROR(INDEX('Match Log'!$B$4:$B$810,MATCH(308,'Match Log'!$A$4:$A$810,0)),"")</f>
        <v/>
      </c>
      <c r="C332" t="str">
        <f>IFERROR(INDEX('Match Log'!$C$4:$C$810,MATCH(308,'Match Log'!$A$4:$A$810,0)),"")</f>
        <v/>
      </c>
      <c r="D332" t="str">
        <f t="array" ref="D332">IFERROR(_xlfn.TEXTJOIN(" + ",TRUE,IF(('Match Log'!$A$4:$A$810=$A332)*('Match Log'!$E$4:$E$810="Win"),'Match Log'!$D$4:$D$810,"")),IFERROR(LOOKUP(2,1/(('Match Log'!$A$4:$A$810=$A332)*('Match Log'!$E$4:$E$810="Win")),'Match Log'!$D$4:$D$810),""))</f>
        <v/>
      </c>
      <c r="E332" t="str">
        <f>IFERROR(INDEX('Match Log'!$F$4:$F$810,MATCH(308,'Match Log'!$A$4:$A$810,0)),"")</f>
        <v/>
      </c>
      <c r="F332">
        <f>IFERROR(SUMIFS('Match Log'!$I$4:$I$810,'Match Log'!$A$4:$A$810,308,'Match Log'!$E$4:$E$810,"Win"),"")</f>
        <v>0</v>
      </c>
      <c r="G332" t="str">
        <f t="shared" si="34"/>
        <v/>
      </c>
      <c r="H332" t="str">
        <f t="array" ref="H332">IFERROR(IF(COUNTIFS('Match Log'!$A$4:$A$810,$A332,'Match Log'!$E$4:$E$810,"Win")&gt;1,_xlfn.TEXTJOIN(" + ",TRUE,IF(('Match Log'!$A$4:$A$810=$A332)*('Match Log'!$E$4:$E$810="Loss"),'Match Log'!$D$4:$D$810,"")),IF($E332=2,LOOKUP(2,1/(('Match Log'!$A$4:$A$810=$A332)*('Match Log'!$E$4:$E$810="Loss")),'Match Log'!$D$4:$D$810),"the field")),"")</f>
        <v>the field</v>
      </c>
      <c r="I332" t="str">
        <f t="shared" si="35"/>
        <v/>
      </c>
      <c r="J332">
        <v>308</v>
      </c>
      <c r="K332" t="e">
        <f>IF($J332&gt;MAX('Match Log'!$A$4:$A$810),NA(),IFERROR(LOOKUP(2,1/(('Match Log'!$D$4:$D$810=$K$24)*('Match Log'!$A$4:$A$810&lt;=$J332)),'Match Log'!$N$4:$N$810),NA()))</f>
        <v>#N/A</v>
      </c>
      <c r="L332" t="e">
        <f>IF($J332&gt;MAX('Match Log'!$A$4:$A$810),NA(),IFERROR(LOOKUP(2,1/(('Match Log'!$D$4:$D$810=$L$24)*('Match Log'!$A$4:$A$810&lt;=$J332)),'Match Log'!$N$4:$N$810),NA()))</f>
        <v>#N/A</v>
      </c>
      <c r="M332" t="e">
        <f>IF($J332&gt;MAX('Match Log'!$A$4:$A$810),NA(),IFERROR(LOOKUP(2,1/(('Match Log'!$D$4:$D$810=$M$24)*('Match Log'!$A$4:$A$810&lt;=$J332)),'Match Log'!$N$4:$N$810),NA()))</f>
        <v>#N/A</v>
      </c>
      <c r="N332" t="e">
        <f>IF($J332&gt;MAX('Match Log'!$A$4:$A$810),NA(),IFERROR(LOOKUP(2,1/(('Match Log'!$D$4:$D$810=$N$24)*('Match Log'!$A$4:$A$810&lt;=$J332)),'Match Log'!$N$4:$N$810),NA()))</f>
        <v>#N/A</v>
      </c>
      <c r="O332" t="e">
        <f>IF($J332&gt;MAX('Match Log'!$A$4:$A$810),NA(),IFERROR(LOOKUP(2,1/(('Match Log'!$D$4:$D$810=$O$24)*('Match Log'!$A$4:$A$810&lt;=$J332)),'Match Log'!$N$4:$N$810),NA()))</f>
        <v>#N/A</v>
      </c>
      <c r="P332" t="e">
        <f>IF($J332&gt;MAX('Match Log'!$A$4:$A$810),NA(),IFERROR(LOOKUP(2,1/(('Match Log'!$D$4:$D$810=$P$24)*('Match Log'!$A$4:$A$810&lt;=$J332)),'Match Log'!$N$4:$N$810),NA()))</f>
        <v>#N/A</v>
      </c>
      <c r="Q332" t="e">
        <f>IF($J332&gt;MAX('Match Log'!$A$4:$A$810),NA(),IFERROR(LOOKUP(2,1/(('Match Log'!$D$4:$D$810=$Q$24)*('Match Log'!$A$4:$A$810&lt;=$J332)),'Match Log'!$N$4:$N$810),NA()))</f>
        <v>#N/A</v>
      </c>
      <c r="R332" t="e">
        <f>IF($J332&gt;MAX('Match Log'!$A$4:$A$810),NA(),IFERROR(LOOKUP(2,1/(('Match Log'!$D$4:$D$810=$R$24)*('Match Log'!$A$4:$A$810&lt;=$J332)),'Match Log'!$N$4:$N$810),NA()))</f>
        <v>#N/A</v>
      </c>
      <c r="S332" t="e">
        <f>IF($J332&gt;MAX('Match Log'!$A$4:$A$810),NA(),IFERROR(LOOKUP(2,1/(('Match Log'!$D$4:$D$810=$S$24)*('Match Log'!$A$4:$A$810&lt;=$J332)),'Match Log'!$N$4:$N$810),NA()))</f>
        <v>#N/A</v>
      </c>
      <c r="T332" t="e">
        <f>IF($J332&gt;MAX('Match Log'!$A$4:$A$810),NA(),IFERROR(LOOKUP(2,1/(('Match Log'!$D$4:$D$810=$T$24)*('Match Log'!$A$4:$A$810&lt;=$J332)),'Match Log'!$N$4:$N$810),NA()))</f>
        <v>#N/A</v>
      </c>
      <c r="U332" t="e">
        <f>IF($J332&gt;MAX('Match Log'!$A$4:$A$810),NA(),IFERROR(LOOKUP(2,1/(('Match Log'!$D$4:$D$810=$U$24)*('Match Log'!$A$4:$A$810&lt;=$J332)),'Match Log'!$N$4:$N$810),NA()))</f>
        <v>#N/A</v>
      </c>
      <c r="V332" t="e">
        <f>IF($J332&gt;MAX('Match Log'!$A$4:$A$810),NA(),IFERROR(LOOKUP(2,1/(('Match Log'!$D$4:$D$810=$V$24)*('Match Log'!$A$4:$A$810&lt;=$J332)),'Match Log'!$N$4:$N$810),NA()))</f>
        <v>#N/A</v>
      </c>
      <c r="W332" t="e">
        <f>IF($J332&gt;MAX('Match Log'!$A$4:$A$810),NA(),IFERROR(LOOKUP(2,1/(('Match Log'!$D$4:$D$810=$W$24)*('Match Log'!$A$4:$A$810&lt;=$J332)),'Match Log'!$N$4:$N$810),NA()))</f>
        <v>#N/A</v>
      </c>
      <c r="X332" t="e">
        <f>IF($J332&gt;MAX('Match Log'!$A$4:$A$810),NA(),IFERROR(LOOKUP(2,1/(('Match Log'!$D$4:$D$810=$X$24)*('Match Log'!$A$4:$A$810&lt;=$J332)),'Match Log'!$N$4:$N$810),NA()))</f>
        <v>#N/A</v>
      </c>
      <c r="Y332" t="str">
        <f t="shared" ca="1" si="36"/>
        <v/>
      </c>
    </row>
    <row r="333" spans="1:25" x14ac:dyDescent="0.2">
      <c r="A333">
        <v>309</v>
      </c>
      <c r="B333" t="str">
        <f>IFERROR(INDEX('Match Log'!$B$4:$B$810,MATCH(309,'Match Log'!$A$4:$A$810,0)),"")</f>
        <v/>
      </c>
      <c r="C333" t="str">
        <f>IFERROR(INDEX('Match Log'!$C$4:$C$810,MATCH(309,'Match Log'!$A$4:$A$810,0)),"")</f>
        <v/>
      </c>
      <c r="D333" t="str">
        <f t="array" ref="D333">IFERROR(_xlfn.TEXTJOIN(" + ",TRUE,IF(('Match Log'!$A$4:$A$810=$A333)*('Match Log'!$E$4:$E$810="Win"),'Match Log'!$D$4:$D$810,"")),IFERROR(LOOKUP(2,1/(('Match Log'!$A$4:$A$810=$A333)*('Match Log'!$E$4:$E$810="Win")),'Match Log'!$D$4:$D$810),""))</f>
        <v/>
      </c>
      <c r="E333" t="str">
        <f>IFERROR(INDEX('Match Log'!$F$4:$F$810,MATCH(309,'Match Log'!$A$4:$A$810,0)),"")</f>
        <v/>
      </c>
      <c r="F333">
        <f>IFERROR(SUMIFS('Match Log'!$I$4:$I$810,'Match Log'!$A$4:$A$810,309,'Match Log'!$E$4:$E$810,"Win"),"")</f>
        <v>0</v>
      </c>
      <c r="G333" t="str">
        <f t="shared" si="34"/>
        <v/>
      </c>
      <c r="H333" t="str">
        <f t="array" ref="H333">IFERROR(IF(COUNTIFS('Match Log'!$A$4:$A$810,$A333,'Match Log'!$E$4:$E$810,"Win")&gt;1,_xlfn.TEXTJOIN(" + ",TRUE,IF(('Match Log'!$A$4:$A$810=$A333)*('Match Log'!$E$4:$E$810="Loss"),'Match Log'!$D$4:$D$810,"")),IF($E333=2,LOOKUP(2,1/(('Match Log'!$A$4:$A$810=$A333)*('Match Log'!$E$4:$E$810="Loss")),'Match Log'!$D$4:$D$810),"the field")),"")</f>
        <v>the field</v>
      </c>
      <c r="I333" t="str">
        <f t="shared" si="35"/>
        <v/>
      </c>
      <c r="J333">
        <v>309</v>
      </c>
      <c r="K333" t="e">
        <f>IF($J333&gt;MAX('Match Log'!$A$4:$A$810),NA(),IFERROR(LOOKUP(2,1/(('Match Log'!$D$4:$D$810=$K$24)*('Match Log'!$A$4:$A$810&lt;=$J333)),'Match Log'!$N$4:$N$810),NA()))</f>
        <v>#N/A</v>
      </c>
      <c r="L333" t="e">
        <f>IF($J333&gt;MAX('Match Log'!$A$4:$A$810),NA(),IFERROR(LOOKUP(2,1/(('Match Log'!$D$4:$D$810=$L$24)*('Match Log'!$A$4:$A$810&lt;=$J333)),'Match Log'!$N$4:$N$810),NA()))</f>
        <v>#N/A</v>
      </c>
      <c r="M333" t="e">
        <f>IF($J333&gt;MAX('Match Log'!$A$4:$A$810),NA(),IFERROR(LOOKUP(2,1/(('Match Log'!$D$4:$D$810=$M$24)*('Match Log'!$A$4:$A$810&lt;=$J333)),'Match Log'!$N$4:$N$810),NA()))</f>
        <v>#N/A</v>
      </c>
      <c r="N333" t="e">
        <f>IF($J333&gt;MAX('Match Log'!$A$4:$A$810),NA(),IFERROR(LOOKUP(2,1/(('Match Log'!$D$4:$D$810=$N$24)*('Match Log'!$A$4:$A$810&lt;=$J333)),'Match Log'!$N$4:$N$810),NA()))</f>
        <v>#N/A</v>
      </c>
      <c r="O333" t="e">
        <f>IF($J333&gt;MAX('Match Log'!$A$4:$A$810),NA(),IFERROR(LOOKUP(2,1/(('Match Log'!$D$4:$D$810=$O$24)*('Match Log'!$A$4:$A$810&lt;=$J333)),'Match Log'!$N$4:$N$810),NA()))</f>
        <v>#N/A</v>
      </c>
      <c r="P333" t="e">
        <f>IF($J333&gt;MAX('Match Log'!$A$4:$A$810),NA(),IFERROR(LOOKUP(2,1/(('Match Log'!$D$4:$D$810=$P$24)*('Match Log'!$A$4:$A$810&lt;=$J333)),'Match Log'!$N$4:$N$810),NA()))</f>
        <v>#N/A</v>
      </c>
      <c r="Q333" t="e">
        <f>IF($J333&gt;MAX('Match Log'!$A$4:$A$810),NA(),IFERROR(LOOKUP(2,1/(('Match Log'!$D$4:$D$810=$Q$24)*('Match Log'!$A$4:$A$810&lt;=$J333)),'Match Log'!$N$4:$N$810),NA()))</f>
        <v>#N/A</v>
      </c>
      <c r="R333" t="e">
        <f>IF($J333&gt;MAX('Match Log'!$A$4:$A$810),NA(),IFERROR(LOOKUP(2,1/(('Match Log'!$D$4:$D$810=$R$24)*('Match Log'!$A$4:$A$810&lt;=$J333)),'Match Log'!$N$4:$N$810),NA()))</f>
        <v>#N/A</v>
      </c>
      <c r="S333" t="e">
        <f>IF($J333&gt;MAX('Match Log'!$A$4:$A$810),NA(),IFERROR(LOOKUP(2,1/(('Match Log'!$D$4:$D$810=$S$24)*('Match Log'!$A$4:$A$810&lt;=$J333)),'Match Log'!$N$4:$N$810),NA()))</f>
        <v>#N/A</v>
      </c>
      <c r="T333" t="e">
        <f>IF($J333&gt;MAX('Match Log'!$A$4:$A$810),NA(),IFERROR(LOOKUP(2,1/(('Match Log'!$D$4:$D$810=$T$24)*('Match Log'!$A$4:$A$810&lt;=$J333)),'Match Log'!$N$4:$N$810),NA()))</f>
        <v>#N/A</v>
      </c>
      <c r="U333" t="e">
        <f>IF($J333&gt;MAX('Match Log'!$A$4:$A$810),NA(),IFERROR(LOOKUP(2,1/(('Match Log'!$D$4:$D$810=$U$24)*('Match Log'!$A$4:$A$810&lt;=$J333)),'Match Log'!$N$4:$N$810),NA()))</f>
        <v>#N/A</v>
      </c>
      <c r="V333" t="e">
        <f>IF($J333&gt;MAX('Match Log'!$A$4:$A$810),NA(),IFERROR(LOOKUP(2,1/(('Match Log'!$D$4:$D$810=$V$24)*('Match Log'!$A$4:$A$810&lt;=$J333)),'Match Log'!$N$4:$N$810),NA()))</f>
        <v>#N/A</v>
      </c>
      <c r="W333" t="e">
        <f>IF($J333&gt;MAX('Match Log'!$A$4:$A$810),NA(),IFERROR(LOOKUP(2,1/(('Match Log'!$D$4:$D$810=$W$24)*('Match Log'!$A$4:$A$810&lt;=$J333)),'Match Log'!$N$4:$N$810),NA()))</f>
        <v>#N/A</v>
      </c>
      <c r="X333" t="e">
        <f>IF($J333&gt;MAX('Match Log'!$A$4:$A$810),NA(),IFERROR(LOOKUP(2,1/(('Match Log'!$D$4:$D$810=$X$24)*('Match Log'!$A$4:$A$810&lt;=$J333)),'Match Log'!$N$4:$N$810),NA()))</f>
        <v>#N/A</v>
      </c>
      <c r="Y333" t="str">
        <f t="shared" ca="1" si="36"/>
        <v/>
      </c>
    </row>
    <row r="334" spans="1:25" x14ac:dyDescent="0.2">
      <c r="A334">
        <v>310</v>
      </c>
      <c r="B334" t="str">
        <f>IFERROR(INDEX('Match Log'!$B$4:$B$810,MATCH(310,'Match Log'!$A$4:$A$810,0)),"")</f>
        <v/>
      </c>
      <c r="C334" t="str">
        <f>IFERROR(INDEX('Match Log'!$C$4:$C$810,MATCH(310,'Match Log'!$A$4:$A$810,0)),"")</f>
        <v/>
      </c>
      <c r="D334" t="str">
        <f t="array" ref="D334">IFERROR(_xlfn.TEXTJOIN(" + ",TRUE,IF(('Match Log'!$A$4:$A$810=$A334)*('Match Log'!$E$4:$E$810="Win"),'Match Log'!$D$4:$D$810,"")),IFERROR(LOOKUP(2,1/(('Match Log'!$A$4:$A$810=$A334)*('Match Log'!$E$4:$E$810="Win")),'Match Log'!$D$4:$D$810),""))</f>
        <v/>
      </c>
      <c r="E334" t="str">
        <f>IFERROR(INDEX('Match Log'!$F$4:$F$810,MATCH(310,'Match Log'!$A$4:$A$810,0)),"")</f>
        <v/>
      </c>
      <c r="F334">
        <f>IFERROR(SUMIFS('Match Log'!$I$4:$I$810,'Match Log'!$A$4:$A$810,310,'Match Log'!$E$4:$E$810,"Win"),"")</f>
        <v>0</v>
      </c>
      <c r="G334" t="str">
        <f t="shared" si="34"/>
        <v/>
      </c>
      <c r="H334" t="str">
        <f t="array" ref="H334">IFERROR(IF(COUNTIFS('Match Log'!$A$4:$A$810,$A334,'Match Log'!$E$4:$E$810,"Win")&gt;1,_xlfn.TEXTJOIN(" + ",TRUE,IF(('Match Log'!$A$4:$A$810=$A334)*('Match Log'!$E$4:$E$810="Loss"),'Match Log'!$D$4:$D$810,"")),IF($E334=2,LOOKUP(2,1/(('Match Log'!$A$4:$A$810=$A334)*('Match Log'!$E$4:$E$810="Loss")),'Match Log'!$D$4:$D$810),"the field")),"")</f>
        <v>the field</v>
      </c>
      <c r="I334" t="str">
        <f t="shared" si="35"/>
        <v/>
      </c>
      <c r="J334">
        <v>310</v>
      </c>
      <c r="K334" t="e">
        <f>IF($J334&gt;MAX('Match Log'!$A$4:$A$810),NA(),IFERROR(LOOKUP(2,1/(('Match Log'!$D$4:$D$810=$K$24)*('Match Log'!$A$4:$A$810&lt;=$J334)),'Match Log'!$N$4:$N$810),NA()))</f>
        <v>#N/A</v>
      </c>
      <c r="L334" t="e">
        <f>IF($J334&gt;MAX('Match Log'!$A$4:$A$810),NA(),IFERROR(LOOKUP(2,1/(('Match Log'!$D$4:$D$810=$L$24)*('Match Log'!$A$4:$A$810&lt;=$J334)),'Match Log'!$N$4:$N$810),NA()))</f>
        <v>#N/A</v>
      </c>
      <c r="M334" t="e">
        <f>IF($J334&gt;MAX('Match Log'!$A$4:$A$810),NA(),IFERROR(LOOKUP(2,1/(('Match Log'!$D$4:$D$810=$M$24)*('Match Log'!$A$4:$A$810&lt;=$J334)),'Match Log'!$N$4:$N$810),NA()))</f>
        <v>#N/A</v>
      </c>
      <c r="N334" t="e">
        <f>IF($J334&gt;MAX('Match Log'!$A$4:$A$810),NA(),IFERROR(LOOKUP(2,1/(('Match Log'!$D$4:$D$810=$N$24)*('Match Log'!$A$4:$A$810&lt;=$J334)),'Match Log'!$N$4:$N$810),NA()))</f>
        <v>#N/A</v>
      </c>
      <c r="O334" t="e">
        <f>IF($J334&gt;MAX('Match Log'!$A$4:$A$810),NA(),IFERROR(LOOKUP(2,1/(('Match Log'!$D$4:$D$810=$O$24)*('Match Log'!$A$4:$A$810&lt;=$J334)),'Match Log'!$N$4:$N$810),NA()))</f>
        <v>#N/A</v>
      </c>
      <c r="P334" t="e">
        <f>IF($J334&gt;MAX('Match Log'!$A$4:$A$810),NA(),IFERROR(LOOKUP(2,1/(('Match Log'!$D$4:$D$810=$P$24)*('Match Log'!$A$4:$A$810&lt;=$J334)),'Match Log'!$N$4:$N$810),NA()))</f>
        <v>#N/A</v>
      </c>
      <c r="Q334" t="e">
        <f>IF($J334&gt;MAX('Match Log'!$A$4:$A$810),NA(),IFERROR(LOOKUP(2,1/(('Match Log'!$D$4:$D$810=$Q$24)*('Match Log'!$A$4:$A$810&lt;=$J334)),'Match Log'!$N$4:$N$810),NA()))</f>
        <v>#N/A</v>
      </c>
      <c r="R334" t="e">
        <f>IF($J334&gt;MAX('Match Log'!$A$4:$A$810),NA(),IFERROR(LOOKUP(2,1/(('Match Log'!$D$4:$D$810=$R$24)*('Match Log'!$A$4:$A$810&lt;=$J334)),'Match Log'!$N$4:$N$810),NA()))</f>
        <v>#N/A</v>
      </c>
      <c r="S334" t="e">
        <f>IF($J334&gt;MAX('Match Log'!$A$4:$A$810),NA(),IFERROR(LOOKUP(2,1/(('Match Log'!$D$4:$D$810=$S$24)*('Match Log'!$A$4:$A$810&lt;=$J334)),'Match Log'!$N$4:$N$810),NA()))</f>
        <v>#N/A</v>
      </c>
      <c r="T334" t="e">
        <f>IF($J334&gt;MAX('Match Log'!$A$4:$A$810),NA(),IFERROR(LOOKUP(2,1/(('Match Log'!$D$4:$D$810=$T$24)*('Match Log'!$A$4:$A$810&lt;=$J334)),'Match Log'!$N$4:$N$810),NA()))</f>
        <v>#N/A</v>
      </c>
      <c r="U334" t="e">
        <f>IF($J334&gt;MAX('Match Log'!$A$4:$A$810),NA(),IFERROR(LOOKUP(2,1/(('Match Log'!$D$4:$D$810=$U$24)*('Match Log'!$A$4:$A$810&lt;=$J334)),'Match Log'!$N$4:$N$810),NA()))</f>
        <v>#N/A</v>
      </c>
      <c r="V334" t="e">
        <f>IF($J334&gt;MAX('Match Log'!$A$4:$A$810),NA(),IFERROR(LOOKUP(2,1/(('Match Log'!$D$4:$D$810=$V$24)*('Match Log'!$A$4:$A$810&lt;=$J334)),'Match Log'!$N$4:$N$810),NA()))</f>
        <v>#N/A</v>
      </c>
      <c r="W334" t="e">
        <f>IF($J334&gt;MAX('Match Log'!$A$4:$A$810),NA(),IFERROR(LOOKUP(2,1/(('Match Log'!$D$4:$D$810=$W$24)*('Match Log'!$A$4:$A$810&lt;=$J334)),'Match Log'!$N$4:$N$810),NA()))</f>
        <v>#N/A</v>
      </c>
      <c r="X334" t="e">
        <f>IF($J334&gt;MAX('Match Log'!$A$4:$A$810),NA(),IFERROR(LOOKUP(2,1/(('Match Log'!$D$4:$D$810=$X$24)*('Match Log'!$A$4:$A$810&lt;=$J334)),'Match Log'!$N$4:$N$810),NA()))</f>
        <v>#N/A</v>
      </c>
      <c r="Y334" t="str">
        <f t="shared" ca="1" si="36"/>
        <v/>
      </c>
    </row>
    <row r="335" spans="1:25" x14ac:dyDescent="0.2">
      <c r="A335">
        <v>311</v>
      </c>
      <c r="B335" t="str">
        <f>IFERROR(INDEX('Match Log'!$B$4:$B$810,MATCH(311,'Match Log'!$A$4:$A$810,0)),"")</f>
        <v/>
      </c>
      <c r="C335" t="str">
        <f>IFERROR(INDEX('Match Log'!$C$4:$C$810,MATCH(311,'Match Log'!$A$4:$A$810,0)),"")</f>
        <v/>
      </c>
      <c r="D335" t="str">
        <f t="array" ref="D335">IFERROR(_xlfn.TEXTJOIN(" + ",TRUE,IF(('Match Log'!$A$4:$A$810=$A335)*('Match Log'!$E$4:$E$810="Win"),'Match Log'!$D$4:$D$810,"")),IFERROR(LOOKUP(2,1/(('Match Log'!$A$4:$A$810=$A335)*('Match Log'!$E$4:$E$810="Win")),'Match Log'!$D$4:$D$810),""))</f>
        <v/>
      </c>
      <c r="E335" t="str">
        <f>IFERROR(INDEX('Match Log'!$F$4:$F$810,MATCH(311,'Match Log'!$A$4:$A$810,0)),"")</f>
        <v/>
      </c>
      <c r="F335">
        <f>IFERROR(SUMIFS('Match Log'!$I$4:$I$810,'Match Log'!$A$4:$A$810,311,'Match Log'!$E$4:$E$810,"Win"),"")</f>
        <v>0</v>
      </c>
      <c r="G335" t="str">
        <f t="shared" si="34"/>
        <v/>
      </c>
      <c r="H335" t="str">
        <f t="array" ref="H335">IFERROR(IF(COUNTIFS('Match Log'!$A$4:$A$810,$A335,'Match Log'!$E$4:$E$810,"Win")&gt;1,_xlfn.TEXTJOIN(" + ",TRUE,IF(('Match Log'!$A$4:$A$810=$A335)*('Match Log'!$E$4:$E$810="Loss"),'Match Log'!$D$4:$D$810,"")),IF($E335=2,LOOKUP(2,1/(('Match Log'!$A$4:$A$810=$A335)*('Match Log'!$E$4:$E$810="Loss")),'Match Log'!$D$4:$D$810),"the field")),"")</f>
        <v>the field</v>
      </c>
      <c r="I335" t="str">
        <f t="shared" si="35"/>
        <v/>
      </c>
      <c r="J335">
        <v>311</v>
      </c>
      <c r="K335" t="e">
        <f>IF($J335&gt;MAX('Match Log'!$A$4:$A$810),NA(),IFERROR(LOOKUP(2,1/(('Match Log'!$D$4:$D$810=$K$24)*('Match Log'!$A$4:$A$810&lt;=$J335)),'Match Log'!$N$4:$N$810),NA()))</f>
        <v>#N/A</v>
      </c>
      <c r="L335" t="e">
        <f>IF($J335&gt;MAX('Match Log'!$A$4:$A$810),NA(),IFERROR(LOOKUP(2,1/(('Match Log'!$D$4:$D$810=$L$24)*('Match Log'!$A$4:$A$810&lt;=$J335)),'Match Log'!$N$4:$N$810),NA()))</f>
        <v>#N/A</v>
      </c>
      <c r="M335" t="e">
        <f>IF($J335&gt;MAX('Match Log'!$A$4:$A$810),NA(),IFERROR(LOOKUP(2,1/(('Match Log'!$D$4:$D$810=$M$24)*('Match Log'!$A$4:$A$810&lt;=$J335)),'Match Log'!$N$4:$N$810),NA()))</f>
        <v>#N/A</v>
      </c>
      <c r="N335" t="e">
        <f>IF($J335&gt;MAX('Match Log'!$A$4:$A$810),NA(),IFERROR(LOOKUP(2,1/(('Match Log'!$D$4:$D$810=$N$24)*('Match Log'!$A$4:$A$810&lt;=$J335)),'Match Log'!$N$4:$N$810),NA()))</f>
        <v>#N/A</v>
      </c>
      <c r="O335" t="e">
        <f>IF($J335&gt;MAX('Match Log'!$A$4:$A$810),NA(),IFERROR(LOOKUP(2,1/(('Match Log'!$D$4:$D$810=$O$24)*('Match Log'!$A$4:$A$810&lt;=$J335)),'Match Log'!$N$4:$N$810),NA()))</f>
        <v>#N/A</v>
      </c>
      <c r="P335" t="e">
        <f>IF($J335&gt;MAX('Match Log'!$A$4:$A$810),NA(),IFERROR(LOOKUP(2,1/(('Match Log'!$D$4:$D$810=$P$24)*('Match Log'!$A$4:$A$810&lt;=$J335)),'Match Log'!$N$4:$N$810),NA()))</f>
        <v>#N/A</v>
      </c>
      <c r="Q335" t="e">
        <f>IF($J335&gt;MAX('Match Log'!$A$4:$A$810),NA(),IFERROR(LOOKUP(2,1/(('Match Log'!$D$4:$D$810=$Q$24)*('Match Log'!$A$4:$A$810&lt;=$J335)),'Match Log'!$N$4:$N$810),NA()))</f>
        <v>#N/A</v>
      </c>
      <c r="R335" t="e">
        <f>IF($J335&gt;MAX('Match Log'!$A$4:$A$810),NA(),IFERROR(LOOKUP(2,1/(('Match Log'!$D$4:$D$810=$R$24)*('Match Log'!$A$4:$A$810&lt;=$J335)),'Match Log'!$N$4:$N$810),NA()))</f>
        <v>#N/A</v>
      </c>
      <c r="S335" t="e">
        <f>IF($J335&gt;MAX('Match Log'!$A$4:$A$810),NA(),IFERROR(LOOKUP(2,1/(('Match Log'!$D$4:$D$810=$S$24)*('Match Log'!$A$4:$A$810&lt;=$J335)),'Match Log'!$N$4:$N$810),NA()))</f>
        <v>#N/A</v>
      </c>
      <c r="T335" t="e">
        <f>IF($J335&gt;MAX('Match Log'!$A$4:$A$810),NA(),IFERROR(LOOKUP(2,1/(('Match Log'!$D$4:$D$810=$T$24)*('Match Log'!$A$4:$A$810&lt;=$J335)),'Match Log'!$N$4:$N$810),NA()))</f>
        <v>#N/A</v>
      </c>
      <c r="U335" t="e">
        <f>IF($J335&gt;MAX('Match Log'!$A$4:$A$810),NA(),IFERROR(LOOKUP(2,1/(('Match Log'!$D$4:$D$810=$U$24)*('Match Log'!$A$4:$A$810&lt;=$J335)),'Match Log'!$N$4:$N$810),NA()))</f>
        <v>#N/A</v>
      </c>
      <c r="V335" t="e">
        <f>IF($J335&gt;MAX('Match Log'!$A$4:$A$810),NA(),IFERROR(LOOKUP(2,1/(('Match Log'!$D$4:$D$810=$V$24)*('Match Log'!$A$4:$A$810&lt;=$J335)),'Match Log'!$N$4:$N$810),NA()))</f>
        <v>#N/A</v>
      </c>
      <c r="W335" t="e">
        <f>IF($J335&gt;MAX('Match Log'!$A$4:$A$810),NA(),IFERROR(LOOKUP(2,1/(('Match Log'!$D$4:$D$810=$W$24)*('Match Log'!$A$4:$A$810&lt;=$J335)),'Match Log'!$N$4:$N$810),NA()))</f>
        <v>#N/A</v>
      </c>
      <c r="X335" t="e">
        <f>IF($J335&gt;MAX('Match Log'!$A$4:$A$810),NA(),IFERROR(LOOKUP(2,1/(('Match Log'!$D$4:$D$810=$X$24)*('Match Log'!$A$4:$A$810&lt;=$J335)),'Match Log'!$N$4:$N$810),NA()))</f>
        <v>#N/A</v>
      </c>
      <c r="Y335" t="str">
        <f t="shared" ca="1" si="36"/>
        <v/>
      </c>
    </row>
    <row r="336" spans="1:25" x14ac:dyDescent="0.2">
      <c r="A336">
        <v>312</v>
      </c>
      <c r="B336" t="str">
        <f>IFERROR(INDEX('Match Log'!$B$4:$B$810,MATCH(312,'Match Log'!$A$4:$A$810,0)),"")</f>
        <v/>
      </c>
      <c r="C336" t="str">
        <f>IFERROR(INDEX('Match Log'!$C$4:$C$810,MATCH(312,'Match Log'!$A$4:$A$810,0)),"")</f>
        <v/>
      </c>
      <c r="D336" t="str">
        <f t="array" ref="D336">IFERROR(_xlfn.TEXTJOIN(" + ",TRUE,IF(('Match Log'!$A$4:$A$810=$A336)*('Match Log'!$E$4:$E$810="Win"),'Match Log'!$D$4:$D$810,"")),IFERROR(LOOKUP(2,1/(('Match Log'!$A$4:$A$810=$A336)*('Match Log'!$E$4:$E$810="Win")),'Match Log'!$D$4:$D$810),""))</f>
        <v/>
      </c>
      <c r="E336" t="str">
        <f>IFERROR(INDEX('Match Log'!$F$4:$F$810,MATCH(312,'Match Log'!$A$4:$A$810,0)),"")</f>
        <v/>
      </c>
      <c r="F336">
        <f>IFERROR(SUMIFS('Match Log'!$I$4:$I$810,'Match Log'!$A$4:$A$810,312,'Match Log'!$E$4:$E$810,"Win"),"")</f>
        <v>0</v>
      </c>
      <c r="G336" t="str">
        <f t="shared" si="34"/>
        <v/>
      </c>
      <c r="H336" t="str">
        <f t="array" ref="H336">IFERROR(IF(COUNTIFS('Match Log'!$A$4:$A$810,$A336,'Match Log'!$E$4:$E$810,"Win")&gt;1,_xlfn.TEXTJOIN(" + ",TRUE,IF(('Match Log'!$A$4:$A$810=$A336)*('Match Log'!$E$4:$E$810="Loss"),'Match Log'!$D$4:$D$810,"")),IF($E336=2,LOOKUP(2,1/(('Match Log'!$A$4:$A$810=$A336)*('Match Log'!$E$4:$E$810="Loss")),'Match Log'!$D$4:$D$810),"the field")),"")</f>
        <v>the field</v>
      </c>
      <c r="I336" t="str">
        <f t="shared" si="35"/>
        <v/>
      </c>
      <c r="J336">
        <v>312</v>
      </c>
      <c r="K336" t="e">
        <f>IF($J336&gt;MAX('Match Log'!$A$4:$A$810),NA(),IFERROR(LOOKUP(2,1/(('Match Log'!$D$4:$D$810=$K$24)*('Match Log'!$A$4:$A$810&lt;=$J336)),'Match Log'!$N$4:$N$810),NA()))</f>
        <v>#N/A</v>
      </c>
      <c r="L336" t="e">
        <f>IF($J336&gt;MAX('Match Log'!$A$4:$A$810),NA(),IFERROR(LOOKUP(2,1/(('Match Log'!$D$4:$D$810=$L$24)*('Match Log'!$A$4:$A$810&lt;=$J336)),'Match Log'!$N$4:$N$810),NA()))</f>
        <v>#N/A</v>
      </c>
      <c r="M336" t="e">
        <f>IF($J336&gt;MAX('Match Log'!$A$4:$A$810),NA(),IFERROR(LOOKUP(2,1/(('Match Log'!$D$4:$D$810=$M$24)*('Match Log'!$A$4:$A$810&lt;=$J336)),'Match Log'!$N$4:$N$810),NA()))</f>
        <v>#N/A</v>
      </c>
      <c r="N336" t="e">
        <f>IF($J336&gt;MAX('Match Log'!$A$4:$A$810),NA(),IFERROR(LOOKUP(2,1/(('Match Log'!$D$4:$D$810=$N$24)*('Match Log'!$A$4:$A$810&lt;=$J336)),'Match Log'!$N$4:$N$810),NA()))</f>
        <v>#N/A</v>
      </c>
      <c r="O336" t="e">
        <f>IF($J336&gt;MAX('Match Log'!$A$4:$A$810),NA(),IFERROR(LOOKUP(2,1/(('Match Log'!$D$4:$D$810=$O$24)*('Match Log'!$A$4:$A$810&lt;=$J336)),'Match Log'!$N$4:$N$810),NA()))</f>
        <v>#N/A</v>
      </c>
      <c r="P336" t="e">
        <f>IF($J336&gt;MAX('Match Log'!$A$4:$A$810),NA(),IFERROR(LOOKUP(2,1/(('Match Log'!$D$4:$D$810=$P$24)*('Match Log'!$A$4:$A$810&lt;=$J336)),'Match Log'!$N$4:$N$810),NA()))</f>
        <v>#N/A</v>
      </c>
      <c r="Q336" t="e">
        <f>IF($J336&gt;MAX('Match Log'!$A$4:$A$810),NA(),IFERROR(LOOKUP(2,1/(('Match Log'!$D$4:$D$810=$Q$24)*('Match Log'!$A$4:$A$810&lt;=$J336)),'Match Log'!$N$4:$N$810),NA()))</f>
        <v>#N/A</v>
      </c>
      <c r="R336" t="e">
        <f>IF($J336&gt;MAX('Match Log'!$A$4:$A$810),NA(),IFERROR(LOOKUP(2,1/(('Match Log'!$D$4:$D$810=$R$24)*('Match Log'!$A$4:$A$810&lt;=$J336)),'Match Log'!$N$4:$N$810),NA()))</f>
        <v>#N/A</v>
      </c>
      <c r="S336" t="e">
        <f>IF($J336&gt;MAX('Match Log'!$A$4:$A$810),NA(),IFERROR(LOOKUP(2,1/(('Match Log'!$D$4:$D$810=$S$24)*('Match Log'!$A$4:$A$810&lt;=$J336)),'Match Log'!$N$4:$N$810),NA()))</f>
        <v>#N/A</v>
      </c>
      <c r="T336" t="e">
        <f>IF($J336&gt;MAX('Match Log'!$A$4:$A$810),NA(),IFERROR(LOOKUP(2,1/(('Match Log'!$D$4:$D$810=$T$24)*('Match Log'!$A$4:$A$810&lt;=$J336)),'Match Log'!$N$4:$N$810),NA()))</f>
        <v>#N/A</v>
      </c>
      <c r="U336" t="e">
        <f>IF($J336&gt;MAX('Match Log'!$A$4:$A$810),NA(),IFERROR(LOOKUP(2,1/(('Match Log'!$D$4:$D$810=$U$24)*('Match Log'!$A$4:$A$810&lt;=$J336)),'Match Log'!$N$4:$N$810),NA()))</f>
        <v>#N/A</v>
      </c>
      <c r="V336" t="e">
        <f>IF($J336&gt;MAX('Match Log'!$A$4:$A$810),NA(),IFERROR(LOOKUP(2,1/(('Match Log'!$D$4:$D$810=$V$24)*('Match Log'!$A$4:$A$810&lt;=$J336)),'Match Log'!$N$4:$N$810),NA()))</f>
        <v>#N/A</v>
      </c>
      <c r="W336" t="e">
        <f>IF($J336&gt;MAX('Match Log'!$A$4:$A$810),NA(),IFERROR(LOOKUP(2,1/(('Match Log'!$D$4:$D$810=$W$24)*('Match Log'!$A$4:$A$810&lt;=$J336)),'Match Log'!$N$4:$N$810),NA()))</f>
        <v>#N/A</v>
      </c>
      <c r="X336" t="e">
        <f>IF($J336&gt;MAX('Match Log'!$A$4:$A$810),NA(),IFERROR(LOOKUP(2,1/(('Match Log'!$D$4:$D$810=$X$24)*('Match Log'!$A$4:$A$810&lt;=$J336)),'Match Log'!$N$4:$N$810),NA()))</f>
        <v>#N/A</v>
      </c>
      <c r="Y336" t="str">
        <f t="shared" ca="1" si="36"/>
        <v/>
      </c>
    </row>
    <row r="337" spans="1:25" x14ac:dyDescent="0.2">
      <c r="A337">
        <v>313</v>
      </c>
      <c r="B337" t="str">
        <f>IFERROR(INDEX('Match Log'!$B$4:$B$810,MATCH(313,'Match Log'!$A$4:$A$810,0)),"")</f>
        <v/>
      </c>
      <c r="C337" t="str">
        <f>IFERROR(INDEX('Match Log'!$C$4:$C$810,MATCH(313,'Match Log'!$A$4:$A$810,0)),"")</f>
        <v/>
      </c>
      <c r="D337" t="str">
        <f t="array" ref="D337">IFERROR(_xlfn.TEXTJOIN(" + ",TRUE,IF(('Match Log'!$A$4:$A$810=$A337)*('Match Log'!$E$4:$E$810="Win"),'Match Log'!$D$4:$D$810,"")),IFERROR(LOOKUP(2,1/(('Match Log'!$A$4:$A$810=$A337)*('Match Log'!$E$4:$E$810="Win")),'Match Log'!$D$4:$D$810),""))</f>
        <v/>
      </c>
      <c r="E337" t="str">
        <f>IFERROR(INDEX('Match Log'!$F$4:$F$810,MATCH(313,'Match Log'!$A$4:$A$810,0)),"")</f>
        <v/>
      </c>
      <c r="F337">
        <f>IFERROR(SUMIFS('Match Log'!$I$4:$I$810,'Match Log'!$A$4:$A$810,313,'Match Log'!$E$4:$E$810,"Win"),"")</f>
        <v>0</v>
      </c>
      <c r="G337" t="str">
        <f t="shared" ref="G337:G400" si="37">IF($D337="","",1-$F337*$E337)</f>
        <v/>
      </c>
      <c r="H337" t="str">
        <f t="array" ref="H337">IFERROR(IF(COUNTIFS('Match Log'!$A$4:$A$810,$A337,'Match Log'!$E$4:$E$810,"Win")&gt;1,_xlfn.TEXTJOIN(" + ",TRUE,IF(('Match Log'!$A$4:$A$810=$A337)*('Match Log'!$E$4:$E$810="Loss"),'Match Log'!$D$4:$D$810,"")),IF($E337=2,LOOKUP(2,1/(('Match Log'!$A$4:$A$810=$A337)*('Match Log'!$E$4:$E$810="Loss")),'Match Log'!$D$4:$D$810),"the field")),"")</f>
        <v>the field</v>
      </c>
      <c r="I337" t="str">
        <f t="shared" ref="I337:I400" si="38">IF($G337="","",$G337-$A337/1000000)</f>
        <v/>
      </c>
      <c r="J337">
        <v>313</v>
      </c>
      <c r="K337" t="e">
        <f>IF($J337&gt;MAX('Match Log'!$A$4:$A$810),NA(),IFERROR(LOOKUP(2,1/(('Match Log'!$D$4:$D$810=$K$24)*('Match Log'!$A$4:$A$810&lt;=$J337)),'Match Log'!$N$4:$N$810),NA()))</f>
        <v>#N/A</v>
      </c>
      <c r="L337" t="e">
        <f>IF($J337&gt;MAX('Match Log'!$A$4:$A$810),NA(),IFERROR(LOOKUP(2,1/(('Match Log'!$D$4:$D$810=$L$24)*('Match Log'!$A$4:$A$810&lt;=$J337)),'Match Log'!$N$4:$N$810),NA()))</f>
        <v>#N/A</v>
      </c>
      <c r="M337" t="e">
        <f>IF($J337&gt;MAX('Match Log'!$A$4:$A$810),NA(),IFERROR(LOOKUP(2,1/(('Match Log'!$D$4:$D$810=$M$24)*('Match Log'!$A$4:$A$810&lt;=$J337)),'Match Log'!$N$4:$N$810),NA()))</f>
        <v>#N/A</v>
      </c>
      <c r="N337" t="e">
        <f>IF($J337&gt;MAX('Match Log'!$A$4:$A$810),NA(),IFERROR(LOOKUP(2,1/(('Match Log'!$D$4:$D$810=$N$24)*('Match Log'!$A$4:$A$810&lt;=$J337)),'Match Log'!$N$4:$N$810),NA()))</f>
        <v>#N/A</v>
      </c>
      <c r="O337" t="e">
        <f>IF($J337&gt;MAX('Match Log'!$A$4:$A$810),NA(),IFERROR(LOOKUP(2,1/(('Match Log'!$D$4:$D$810=$O$24)*('Match Log'!$A$4:$A$810&lt;=$J337)),'Match Log'!$N$4:$N$810),NA()))</f>
        <v>#N/A</v>
      </c>
      <c r="P337" t="e">
        <f>IF($J337&gt;MAX('Match Log'!$A$4:$A$810),NA(),IFERROR(LOOKUP(2,1/(('Match Log'!$D$4:$D$810=$P$24)*('Match Log'!$A$4:$A$810&lt;=$J337)),'Match Log'!$N$4:$N$810),NA()))</f>
        <v>#N/A</v>
      </c>
      <c r="Q337" t="e">
        <f>IF($J337&gt;MAX('Match Log'!$A$4:$A$810),NA(),IFERROR(LOOKUP(2,1/(('Match Log'!$D$4:$D$810=$Q$24)*('Match Log'!$A$4:$A$810&lt;=$J337)),'Match Log'!$N$4:$N$810),NA()))</f>
        <v>#N/A</v>
      </c>
      <c r="R337" t="e">
        <f>IF($J337&gt;MAX('Match Log'!$A$4:$A$810),NA(),IFERROR(LOOKUP(2,1/(('Match Log'!$D$4:$D$810=$R$24)*('Match Log'!$A$4:$A$810&lt;=$J337)),'Match Log'!$N$4:$N$810),NA()))</f>
        <v>#N/A</v>
      </c>
      <c r="S337" t="e">
        <f>IF($J337&gt;MAX('Match Log'!$A$4:$A$810),NA(),IFERROR(LOOKUP(2,1/(('Match Log'!$D$4:$D$810=$S$24)*('Match Log'!$A$4:$A$810&lt;=$J337)),'Match Log'!$N$4:$N$810),NA()))</f>
        <v>#N/A</v>
      </c>
      <c r="T337" t="e">
        <f>IF($J337&gt;MAX('Match Log'!$A$4:$A$810),NA(),IFERROR(LOOKUP(2,1/(('Match Log'!$D$4:$D$810=$T$24)*('Match Log'!$A$4:$A$810&lt;=$J337)),'Match Log'!$N$4:$N$810),NA()))</f>
        <v>#N/A</v>
      </c>
      <c r="U337" t="e">
        <f>IF($J337&gt;MAX('Match Log'!$A$4:$A$810),NA(),IFERROR(LOOKUP(2,1/(('Match Log'!$D$4:$D$810=$U$24)*('Match Log'!$A$4:$A$810&lt;=$J337)),'Match Log'!$N$4:$N$810),NA()))</f>
        <v>#N/A</v>
      </c>
      <c r="V337" t="e">
        <f>IF($J337&gt;MAX('Match Log'!$A$4:$A$810),NA(),IFERROR(LOOKUP(2,1/(('Match Log'!$D$4:$D$810=$V$24)*('Match Log'!$A$4:$A$810&lt;=$J337)),'Match Log'!$N$4:$N$810),NA()))</f>
        <v>#N/A</v>
      </c>
      <c r="W337" t="e">
        <f>IF($J337&gt;MAX('Match Log'!$A$4:$A$810),NA(),IFERROR(LOOKUP(2,1/(('Match Log'!$D$4:$D$810=$W$24)*('Match Log'!$A$4:$A$810&lt;=$J337)),'Match Log'!$N$4:$N$810),NA()))</f>
        <v>#N/A</v>
      </c>
      <c r="X337" t="e">
        <f>IF($J337&gt;MAX('Match Log'!$A$4:$A$810),NA(),IFERROR(LOOKUP(2,1/(('Match Log'!$D$4:$D$810=$X$24)*('Match Log'!$A$4:$A$810&lt;=$J337)),'Match Log'!$N$4:$N$810),NA()))</f>
        <v>#N/A</v>
      </c>
      <c r="Y337" t="str">
        <f t="shared" ref="Y337:Y400" ca="1" si="39">IF(AND($B337&lt;&gt;"",$B337&gt;=$B$5,$I337&lt;&gt;""),$I337,"")</f>
        <v/>
      </c>
    </row>
    <row r="338" spans="1:25" x14ac:dyDescent="0.2">
      <c r="A338">
        <v>314</v>
      </c>
      <c r="B338" t="str">
        <f>IFERROR(INDEX('Match Log'!$B$4:$B$810,MATCH(314,'Match Log'!$A$4:$A$810,0)),"")</f>
        <v/>
      </c>
      <c r="C338" t="str">
        <f>IFERROR(INDEX('Match Log'!$C$4:$C$810,MATCH(314,'Match Log'!$A$4:$A$810,0)),"")</f>
        <v/>
      </c>
      <c r="D338" t="str">
        <f t="array" ref="D338">IFERROR(_xlfn.TEXTJOIN(" + ",TRUE,IF(('Match Log'!$A$4:$A$810=$A338)*('Match Log'!$E$4:$E$810="Win"),'Match Log'!$D$4:$D$810,"")),IFERROR(LOOKUP(2,1/(('Match Log'!$A$4:$A$810=$A338)*('Match Log'!$E$4:$E$810="Win")),'Match Log'!$D$4:$D$810),""))</f>
        <v/>
      </c>
      <c r="E338" t="str">
        <f>IFERROR(INDEX('Match Log'!$F$4:$F$810,MATCH(314,'Match Log'!$A$4:$A$810,0)),"")</f>
        <v/>
      </c>
      <c r="F338">
        <f>IFERROR(SUMIFS('Match Log'!$I$4:$I$810,'Match Log'!$A$4:$A$810,314,'Match Log'!$E$4:$E$810,"Win"),"")</f>
        <v>0</v>
      </c>
      <c r="G338" t="str">
        <f t="shared" si="37"/>
        <v/>
      </c>
      <c r="H338" t="str">
        <f t="array" ref="H338">IFERROR(IF(COUNTIFS('Match Log'!$A$4:$A$810,$A338,'Match Log'!$E$4:$E$810,"Win")&gt;1,_xlfn.TEXTJOIN(" + ",TRUE,IF(('Match Log'!$A$4:$A$810=$A338)*('Match Log'!$E$4:$E$810="Loss"),'Match Log'!$D$4:$D$810,"")),IF($E338=2,LOOKUP(2,1/(('Match Log'!$A$4:$A$810=$A338)*('Match Log'!$E$4:$E$810="Loss")),'Match Log'!$D$4:$D$810),"the field")),"")</f>
        <v>the field</v>
      </c>
      <c r="I338" t="str">
        <f t="shared" si="38"/>
        <v/>
      </c>
      <c r="J338">
        <v>314</v>
      </c>
      <c r="K338" t="e">
        <f>IF($J338&gt;MAX('Match Log'!$A$4:$A$810),NA(),IFERROR(LOOKUP(2,1/(('Match Log'!$D$4:$D$810=$K$24)*('Match Log'!$A$4:$A$810&lt;=$J338)),'Match Log'!$N$4:$N$810),NA()))</f>
        <v>#N/A</v>
      </c>
      <c r="L338" t="e">
        <f>IF($J338&gt;MAX('Match Log'!$A$4:$A$810),NA(),IFERROR(LOOKUP(2,1/(('Match Log'!$D$4:$D$810=$L$24)*('Match Log'!$A$4:$A$810&lt;=$J338)),'Match Log'!$N$4:$N$810),NA()))</f>
        <v>#N/A</v>
      </c>
      <c r="M338" t="e">
        <f>IF($J338&gt;MAX('Match Log'!$A$4:$A$810),NA(),IFERROR(LOOKUP(2,1/(('Match Log'!$D$4:$D$810=$M$24)*('Match Log'!$A$4:$A$810&lt;=$J338)),'Match Log'!$N$4:$N$810),NA()))</f>
        <v>#N/A</v>
      </c>
      <c r="N338" t="e">
        <f>IF($J338&gt;MAX('Match Log'!$A$4:$A$810),NA(),IFERROR(LOOKUP(2,1/(('Match Log'!$D$4:$D$810=$N$24)*('Match Log'!$A$4:$A$810&lt;=$J338)),'Match Log'!$N$4:$N$810),NA()))</f>
        <v>#N/A</v>
      </c>
      <c r="O338" t="e">
        <f>IF($J338&gt;MAX('Match Log'!$A$4:$A$810),NA(),IFERROR(LOOKUP(2,1/(('Match Log'!$D$4:$D$810=$O$24)*('Match Log'!$A$4:$A$810&lt;=$J338)),'Match Log'!$N$4:$N$810),NA()))</f>
        <v>#N/A</v>
      </c>
      <c r="P338" t="e">
        <f>IF($J338&gt;MAX('Match Log'!$A$4:$A$810),NA(),IFERROR(LOOKUP(2,1/(('Match Log'!$D$4:$D$810=$P$24)*('Match Log'!$A$4:$A$810&lt;=$J338)),'Match Log'!$N$4:$N$810),NA()))</f>
        <v>#N/A</v>
      </c>
      <c r="Q338" t="e">
        <f>IF($J338&gt;MAX('Match Log'!$A$4:$A$810),NA(),IFERROR(LOOKUP(2,1/(('Match Log'!$D$4:$D$810=$Q$24)*('Match Log'!$A$4:$A$810&lt;=$J338)),'Match Log'!$N$4:$N$810),NA()))</f>
        <v>#N/A</v>
      </c>
      <c r="R338" t="e">
        <f>IF($J338&gt;MAX('Match Log'!$A$4:$A$810),NA(),IFERROR(LOOKUP(2,1/(('Match Log'!$D$4:$D$810=$R$24)*('Match Log'!$A$4:$A$810&lt;=$J338)),'Match Log'!$N$4:$N$810),NA()))</f>
        <v>#N/A</v>
      </c>
      <c r="S338" t="e">
        <f>IF($J338&gt;MAX('Match Log'!$A$4:$A$810),NA(),IFERROR(LOOKUP(2,1/(('Match Log'!$D$4:$D$810=$S$24)*('Match Log'!$A$4:$A$810&lt;=$J338)),'Match Log'!$N$4:$N$810),NA()))</f>
        <v>#N/A</v>
      </c>
      <c r="T338" t="e">
        <f>IF($J338&gt;MAX('Match Log'!$A$4:$A$810),NA(),IFERROR(LOOKUP(2,1/(('Match Log'!$D$4:$D$810=$T$24)*('Match Log'!$A$4:$A$810&lt;=$J338)),'Match Log'!$N$4:$N$810),NA()))</f>
        <v>#N/A</v>
      </c>
      <c r="U338" t="e">
        <f>IF($J338&gt;MAX('Match Log'!$A$4:$A$810),NA(),IFERROR(LOOKUP(2,1/(('Match Log'!$D$4:$D$810=$U$24)*('Match Log'!$A$4:$A$810&lt;=$J338)),'Match Log'!$N$4:$N$810),NA()))</f>
        <v>#N/A</v>
      </c>
      <c r="V338" t="e">
        <f>IF($J338&gt;MAX('Match Log'!$A$4:$A$810),NA(),IFERROR(LOOKUP(2,1/(('Match Log'!$D$4:$D$810=$V$24)*('Match Log'!$A$4:$A$810&lt;=$J338)),'Match Log'!$N$4:$N$810),NA()))</f>
        <v>#N/A</v>
      </c>
      <c r="W338" t="e">
        <f>IF($J338&gt;MAX('Match Log'!$A$4:$A$810),NA(),IFERROR(LOOKUP(2,1/(('Match Log'!$D$4:$D$810=$W$24)*('Match Log'!$A$4:$A$810&lt;=$J338)),'Match Log'!$N$4:$N$810),NA()))</f>
        <v>#N/A</v>
      </c>
      <c r="X338" t="e">
        <f>IF($J338&gt;MAX('Match Log'!$A$4:$A$810),NA(),IFERROR(LOOKUP(2,1/(('Match Log'!$D$4:$D$810=$X$24)*('Match Log'!$A$4:$A$810&lt;=$J338)),'Match Log'!$N$4:$N$810),NA()))</f>
        <v>#N/A</v>
      </c>
      <c r="Y338" t="str">
        <f t="shared" ca="1" si="39"/>
        <v/>
      </c>
    </row>
    <row r="339" spans="1:25" x14ac:dyDescent="0.2">
      <c r="A339">
        <v>315</v>
      </c>
      <c r="B339" t="str">
        <f>IFERROR(INDEX('Match Log'!$B$4:$B$810,MATCH(315,'Match Log'!$A$4:$A$810,0)),"")</f>
        <v/>
      </c>
      <c r="C339" t="str">
        <f>IFERROR(INDEX('Match Log'!$C$4:$C$810,MATCH(315,'Match Log'!$A$4:$A$810,0)),"")</f>
        <v/>
      </c>
      <c r="D339" t="str">
        <f t="array" ref="D339">IFERROR(_xlfn.TEXTJOIN(" + ",TRUE,IF(('Match Log'!$A$4:$A$810=$A339)*('Match Log'!$E$4:$E$810="Win"),'Match Log'!$D$4:$D$810,"")),IFERROR(LOOKUP(2,1/(('Match Log'!$A$4:$A$810=$A339)*('Match Log'!$E$4:$E$810="Win")),'Match Log'!$D$4:$D$810),""))</f>
        <v/>
      </c>
      <c r="E339" t="str">
        <f>IFERROR(INDEX('Match Log'!$F$4:$F$810,MATCH(315,'Match Log'!$A$4:$A$810,0)),"")</f>
        <v/>
      </c>
      <c r="F339">
        <f>IFERROR(SUMIFS('Match Log'!$I$4:$I$810,'Match Log'!$A$4:$A$810,315,'Match Log'!$E$4:$E$810,"Win"),"")</f>
        <v>0</v>
      </c>
      <c r="G339" t="str">
        <f t="shared" si="37"/>
        <v/>
      </c>
      <c r="H339" t="str">
        <f t="array" ref="H339">IFERROR(IF(COUNTIFS('Match Log'!$A$4:$A$810,$A339,'Match Log'!$E$4:$E$810,"Win")&gt;1,_xlfn.TEXTJOIN(" + ",TRUE,IF(('Match Log'!$A$4:$A$810=$A339)*('Match Log'!$E$4:$E$810="Loss"),'Match Log'!$D$4:$D$810,"")),IF($E339=2,LOOKUP(2,1/(('Match Log'!$A$4:$A$810=$A339)*('Match Log'!$E$4:$E$810="Loss")),'Match Log'!$D$4:$D$810),"the field")),"")</f>
        <v>the field</v>
      </c>
      <c r="I339" t="str">
        <f t="shared" si="38"/>
        <v/>
      </c>
      <c r="J339">
        <v>315</v>
      </c>
      <c r="K339" t="e">
        <f>IF($J339&gt;MAX('Match Log'!$A$4:$A$810),NA(),IFERROR(LOOKUP(2,1/(('Match Log'!$D$4:$D$810=$K$24)*('Match Log'!$A$4:$A$810&lt;=$J339)),'Match Log'!$N$4:$N$810),NA()))</f>
        <v>#N/A</v>
      </c>
      <c r="L339" t="e">
        <f>IF($J339&gt;MAX('Match Log'!$A$4:$A$810),NA(),IFERROR(LOOKUP(2,1/(('Match Log'!$D$4:$D$810=$L$24)*('Match Log'!$A$4:$A$810&lt;=$J339)),'Match Log'!$N$4:$N$810),NA()))</f>
        <v>#N/A</v>
      </c>
      <c r="M339" t="e">
        <f>IF($J339&gt;MAX('Match Log'!$A$4:$A$810),NA(),IFERROR(LOOKUP(2,1/(('Match Log'!$D$4:$D$810=$M$24)*('Match Log'!$A$4:$A$810&lt;=$J339)),'Match Log'!$N$4:$N$810),NA()))</f>
        <v>#N/A</v>
      </c>
      <c r="N339" t="e">
        <f>IF($J339&gt;MAX('Match Log'!$A$4:$A$810),NA(),IFERROR(LOOKUP(2,1/(('Match Log'!$D$4:$D$810=$N$24)*('Match Log'!$A$4:$A$810&lt;=$J339)),'Match Log'!$N$4:$N$810),NA()))</f>
        <v>#N/A</v>
      </c>
      <c r="O339" t="e">
        <f>IF($J339&gt;MAX('Match Log'!$A$4:$A$810),NA(),IFERROR(LOOKUP(2,1/(('Match Log'!$D$4:$D$810=$O$24)*('Match Log'!$A$4:$A$810&lt;=$J339)),'Match Log'!$N$4:$N$810),NA()))</f>
        <v>#N/A</v>
      </c>
      <c r="P339" t="e">
        <f>IF($J339&gt;MAX('Match Log'!$A$4:$A$810),NA(),IFERROR(LOOKUP(2,1/(('Match Log'!$D$4:$D$810=$P$24)*('Match Log'!$A$4:$A$810&lt;=$J339)),'Match Log'!$N$4:$N$810),NA()))</f>
        <v>#N/A</v>
      </c>
      <c r="Q339" t="e">
        <f>IF($J339&gt;MAX('Match Log'!$A$4:$A$810),NA(),IFERROR(LOOKUP(2,1/(('Match Log'!$D$4:$D$810=$Q$24)*('Match Log'!$A$4:$A$810&lt;=$J339)),'Match Log'!$N$4:$N$810),NA()))</f>
        <v>#N/A</v>
      </c>
      <c r="R339" t="e">
        <f>IF($J339&gt;MAX('Match Log'!$A$4:$A$810),NA(),IFERROR(LOOKUP(2,1/(('Match Log'!$D$4:$D$810=$R$24)*('Match Log'!$A$4:$A$810&lt;=$J339)),'Match Log'!$N$4:$N$810),NA()))</f>
        <v>#N/A</v>
      </c>
      <c r="S339" t="e">
        <f>IF($J339&gt;MAX('Match Log'!$A$4:$A$810),NA(),IFERROR(LOOKUP(2,1/(('Match Log'!$D$4:$D$810=$S$24)*('Match Log'!$A$4:$A$810&lt;=$J339)),'Match Log'!$N$4:$N$810),NA()))</f>
        <v>#N/A</v>
      </c>
      <c r="T339" t="e">
        <f>IF($J339&gt;MAX('Match Log'!$A$4:$A$810),NA(),IFERROR(LOOKUP(2,1/(('Match Log'!$D$4:$D$810=$T$24)*('Match Log'!$A$4:$A$810&lt;=$J339)),'Match Log'!$N$4:$N$810),NA()))</f>
        <v>#N/A</v>
      </c>
      <c r="U339" t="e">
        <f>IF($J339&gt;MAX('Match Log'!$A$4:$A$810),NA(),IFERROR(LOOKUP(2,1/(('Match Log'!$D$4:$D$810=$U$24)*('Match Log'!$A$4:$A$810&lt;=$J339)),'Match Log'!$N$4:$N$810),NA()))</f>
        <v>#N/A</v>
      </c>
      <c r="V339" t="e">
        <f>IF($J339&gt;MAX('Match Log'!$A$4:$A$810),NA(),IFERROR(LOOKUP(2,1/(('Match Log'!$D$4:$D$810=$V$24)*('Match Log'!$A$4:$A$810&lt;=$J339)),'Match Log'!$N$4:$N$810),NA()))</f>
        <v>#N/A</v>
      </c>
      <c r="W339" t="e">
        <f>IF($J339&gt;MAX('Match Log'!$A$4:$A$810),NA(),IFERROR(LOOKUP(2,1/(('Match Log'!$D$4:$D$810=$W$24)*('Match Log'!$A$4:$A$810&lt;=$J339)),'Match Log'!$N$4:$N$810),NA()))</f>
        <v>#N/A</v>
      </c>
      <c r="X339" t="e">
        <f>IF($J339&gt;MAX('Match Log'!$A$4:$A$810),NA(),IFERROR(LOOKUP(2,1/(('Match Log'!$D$4:$D$810=$X$24)*('Match Log'!$A$4:$A$810&lt;=$J339)),'Match Log'!$N$4:$N$810),NA()))</f>
        <v>#N/A</v>
      </c>
      <c r="Y339" t="str">
        <f t="shared" ca="1" si="39"/>
        <v/>
      </c>
    </row>
    <row r="340" spans="1:25" x14ac:dyDescent="0.2">
      <c r="A340">
        <v>316</v>
      </c>
      <c r="B340" t="str">
        <f>IFERROR(INDEX('Match Log'!$B$4:$B$810,MATCH(316,'Match Log'!$A$4:$A$810,0)),"")</f>
        <v/>
      </c>
      <c r="C340" t="str">
        <f>IFERROR(INDEX('Match Log'!$C$4:$C$810,MATCH(316,'Match Log'!$A$4:$A$810,0)),"")</f>
        <v/>
      </c>
      <c r="D340" t="str">
        <f t="array" ref="D340">IFERROR(_xlfn.TEXTJOIN(" + ",TRUE,IF(('Match Log'!$A$4:$A$810=$A340)*('Match Log'!$E$4:$E$810="Win"),'Match Log'!$D$4:$D$810,"")),IFERROR(LOOKUP(2,1/(('Match Log'!$A$4:$A$810=$A340)*('Match Log'!$E$4:$E$810="Win")),'Match Log'!$D$4:$D$810),""))</f>
        <v/>
      </c>
      <c r="E340" t="str">
        <f>IFERROR(INDEX('Match Log'!$F$4:$F$810,MATCH(316,'Match Log'!$A$4:$A$810,0)),"")</f>
        <v/>
      </c>
      <c r="F340">
        <f>IFERROR(SUMIFS('Match Log'!$I$4:$I$810,'Match Log'!$A$4:$A$810,316,'Match Log'!$E$4:$E$810,"Win"),"")</f>
        <v>0</v>
      </c>
      <c r="G340" t="str">
        <f t="shared" si="37"/>
        <v/>
      </c>
      <c r="H340" t="str">
        <f t="array" ref="H340">IFERROR(IF(COUNTIFS('Match Log'!$A$4:$A$810,$A340,'Match Log'!$E$4:$E$810,"Win")&gt;1,_xlfn.TEXTJOIN(" + ",TRUE,IF(('Match Log'!$A$4:$A$810=$A340)*('Match Log'!$E$4:$E$810="Loss"),'Match Log'!$D$4:$D$810,"")),IF($E340=2,LOOKUP(2,1/(('Match Log'!$A$4:$A$810=$A340)*('Match Log'!$E$4:$E$810="Loss")),'Match Log'!$D$4:$D$810),"the field")),"")</f>
        <v>the field</v>
      </c>
      <c r="I340" t="str">
        <f t="shared" si="38"/>
        <v/>
      </c>
      <c r="J340">
        <v>316</v>
      </c>
      <c r="K340" t="e">
        <f>IF($J340&gt;MAX('Match Log'!$A$4:$A$810),NA(),IFERROR(LOOKUP(2,1/(('Match Log'!$D$4:$D$810=$K$24)*('Match Log'!$A$4:$A$810&lt;=$J340)),'Match Log'!$N$4:$N$810),NA()))</f>
        <v>#N/A</v>
      </c>
      <c r="L340" t="e">
        <f>IF($J340&gt;MAX('Match Log'!$A$4:$A$810),NA(),IFERROR(LOOKUP(2,1/(('Match Log'!$D$4:$D$810=$L$24)*('Match Log'!$A$4:$A$810&lt;=$J340)),'Match Log'!$N$4:$N$810),NA()))</f>
        <v>#N/A</v>
      </c>
      <c r="M340" t="e">
        <f>IF($J340&gt;MAX('Match Log'!$A$4:$A$810),NA(),IFERROR(LOOKUP(2,1/(('Match Log'!$D$4:$D$810=$M$24)*('Match Log'!$A$4:$A$810&lt;=$J340)),'Match Log'!$N$4:$N$810),NA()))</f>
        <v>#N/A</v>
      </c>
      <c r="N340" t="e">
        <f>IF($J340&gt;MAX('Match Log'!$A$4:$A$810),NA(),IFERROR(LOOKUP(2,1/(('Match Log'!$D$4:$D$810=$N$24)*('Match Log'!$A$4:$A$810&lt;=$J340)),'Match Log'!$N$4:$N$810),NA()))</f>
        <v>#N/A</v>
      </c>
      <c r="O340" t="e">
        <f>IF($J340&gt;MAX('Match Log'!$A$4:$A$810),NA(),IFERROR(LOOKUP(2,1/(('Match Log'!$D$4:$D$810=$O$24)*('Match Log'!$A$4:$A$810&lt;=$J340)),'Match Log'!$N$4:$N$810),NA()))</f>
        <v>#N/A</v>
      </c>
      <c r="P340" t="e">
        <f>IF($J340&gt;MAX('Match Log'!$A$4:$A$810),NA(),IFERROR(LOOKUP(2,1/(('Match Log'!$D$4:$D$810=$P$24)*('Match Log'!$A$4:$A$810&lt;=$J340)),'Match Log'!$N$4:$N$810),NA()))</f>
        <v>#N/A</v>
      </c>
      <c r="Q340" t="e">
        <f>IF($J340&gt;MAX('Match Log'!$A$4:$A$810),NA(),IFERROR(LOOKUP(2,1/(('Match Log'!$D$4:$D$810=$Q$24)*('Match Log'!$A$4:$A$810&lt;=$J340)),'Match Log'!$N$4:$N$810),NA()))</f>
        <v>#N/A</v>
      </c>
      <c r="R340" t="e">
        <f>IF($J340&gt;MAX('Match Log'!$A$4:$A$810),NA(),IFERROR(LOOKUP(2,1/(('Match Log'!$D$4:$D$810=$R$24)*('Match Log'!$A$4:$A$810&lt;=$J340)),'Match Log'!$N$4:$N$810),NA()))</f>
        <v>#N/A</v>
      </c>
      <c r="S340" t="e">
        <f>IF($J340&gt;MAX('Match Log'!$A$4:$A$810),NA(),IFERROR(LOOKUP(2,1/(('Match Log'!$D$4:$D$810=$S$24)*('Match Log'!$A$4:$A$810&lt;=$J340)),'Match Log'!$N$4:$N$810),NA()))</f>
        <v>#N/A</v>
      </c>
      <c r="T340" t="e">
        <f>IF($J340&gt;MAX('Match Log'!$A$4:$A$810),NA(),IFERROR(LOOKUP(2,1/(('Match Log'!$D$4:$D$810=$T$24)*('Match Log'!$A$4:$A$810&lt;=$J340)),'Match Log'!$N$4:$N$810),NA()))</f>
        <v>#N/A</v>
      </c>
      <c r="U340" t="e">
        <f>IF($J340&gt;MAX('Match Log'!$A$4:$A$810),NA(),IFERROR(LOOKUP(2,1/(('Match Log'!$D$4:$D$810=$U$24)*('Match Log'!$A$4:$A$810&lt;=$J340)),'Match Log'!$N$4:$N$810),NA()))</f>
        <v>#N/A</v>
      </c>
      <c r="V340" t="e">
        <f>IF($J340&gt;MAX('Match Log'!$A$4:$A$810),NA(),IFERROR(LOOKUP(2,1/(('Match Log'!$D$4:$D$810=$V$24)*('Match Log'!$A$4:$A$810&lt;=$J340)),'Match Log'!$N$4:$N$810),NA()))</f>
        <v>#N/A</v>
      </c>
      <c r="W340" t="e">
        <f>IF($J340&gt;MAX('Match Log'!$A$4:$A$810),NA(),IFERROR(LOOKUP(2,1/(('Match Log'!$D$4:$D$810=$W$24)*('Match Log'!$A$4:$A$810&lt;=$J340)),'Match Log'!$N$4:$N$810),NA()))</f>
        <v>#N/A</v>
      </c>
      <c r="X340" t="e">
        <f>IF($J340&gt;MAX('Match Log'!$A$4:$A$810),NA(),IFERROR(LOOKUP(2,1/(('Match Log'!$D$4:$D$810=$X$24)*('Match Log'!$A$4:$A$810&lt;=$J340)),'Match Log'!$N$4:$N$810),NA()))</f>
        <v>#N/A</v>
      </c>
      <c r="Y340" t="str">
        <f t="shared" ca="1" si="39"/>
        <v/>
      </c>
    </row>
    <row r="341" spans="1:25" x14ac:dyDescent="0.2">
      <c r="A341">
        <v>317</v>
      </c>
      <c r="B341" t="str">
        <f>IFERROR(INDEX('Match Log'!$B$4:$B$810,MATCH(317,'Match Log'!$A$4:$A$810,0)),"")</f>
        <v/>
      </c>
      <c r="C341" t="str">
        <f>IFERROR(INDEX('Match Log'!$C$4:$C$810,MATCH(317,'Match Log'!$A$4:$A$810,0)),"")</f>
        <v/>
      </c>
      <c r="D341" t="str">
        <f t="array" ref="D341">IFERROR(_xlfn.TEXTJOIN(" + ",TRUE,IF(('Match Log'!$A$4:$A$810=$A341)*('Match Log'!$E$4:$E$810="Win"),'Match Log'!$D$4:$D$810,"")),IFERROR(LOOKUP(2,1/(('Match Log'!$A$4:$A$810=$A341)*('Match Log'!$E$4:$E$810="Win")),'Match Log'!$D$4:$D$810),""))</f>
        <v/>
      </c>
      <c r="E341" t="str">
        <f>IFERROR(INDEX('Match Log'!$F$4:$F$810,MATCH(317,'Match Log'!$A$4:$A$810,0)),"")</f>
        <v/>
      </c>
      <c r="F341">
        <f>IFERROR(SUMIFS('Match Log'!$I$4:$I$810,'Match Log'!$A$4:$A$810,317,'Match Log'!$E$4:$E$810,"Win"),"")</f>
        <v>0</v>
      </c>
      <c r="G341" t="str">
        <f t="shared" si="37"/>
        <v/>
      </c>
      <c r="H341" t="str">
        <f t="array" ref="H341">IFERROR(IF(COUNTIFS('Match Log'!$A$4:$A$810,$A341,'Match Log'!$E$4:$E$810,"Win")&gt;1,_xlfn.TEXTJOIN(" + ",TRUE,IF(('Match Log'!$A$4:$A$810=$A341)*('Match Log'!$E$4:$E$810="Loss"),'Match Log'!$D$4:$D$810,"")),IF($E341=2,LOOKUP(2,1/(('Match Log'!$A$4:$A$810=$A341)*('Match Log'!$E$4:$E$810="Loss")),'Match Log'!$D$4:$D$810),"the field")),"")</f>
        <v>the field</v>
      </c>
      <c r="I341" t="str">
        <f t="shared" si="38"/>
        <v/>
      </c>
      <c r="J341">
        <v>317</v>
      </c>
      <c r="K341" t="e">
        <f>IF($J341&gt;MAX('Match Log'!$A$4:$A$810),NA(),IFERROR(LOOKUP(2,1/(('Match Log'!$D$4:$D$810=$K$24)*('Match Log'!$A$4:$A$810&lt;=$J341)),'Match Log'!$N$4:$N$810),NA()))</f>
        <v>#N/A</v>
      </c>
      <c r="L341" t="e">
        <f>IF($J341&gt;MAX('Match Log'!$A$4:$A$810),NA(),IFERROR(LOOKUP(2,1/(('Match Log'!$D$4:$D$810=$L$24)*('Match Log'!$A$4:$A$810&lt;=$J341)),'Match Log'!$N$4:$N$810),NA()))</f>
        <v>#N/A</v>
      </c>
      <c r="M341" t="e">
        <f>IF($J341&gt;MAX('Match Log'!$A$4:$A$810),NA(),IFERROR(LOOKUP(2,1/(('Match Log'!$D$4:$D$810=$M$24)*('Match Log'!$A$4:$A$810&lt;=$J341)),'Match Log'!$N$4:$N$810),NA()))</f>
        <v>#N/A</v>
      </c>
      <c r="N341" t="e">
        <f>IF($J341&gt;MAX('Match Log'!$A$4:$A$810),NA(),IFERROR(LOOKUP(2,1/(('Match Log'!$D$4:$D$810=$N$24)*('Match Log'!$A$4:$A$810&lt;=$J341)),'Match Log'!$N$4:$N$810),NA()))</f>
        <v>#N/A</v>
      </c>
      <c r="O341" t="e">
        <f>IF($J341&gt;MAX('Match Log'!$A$4:$A$810),NA(),IFERROR(LOOKUP(2,1/(('Match Log'!$D$4:$D$810=$O$24)*('Match Log'!$A$4:$A$810&lt;=$J341)),'Match Log'!$N$4:$N$810),NA()))</f>
        <v>#N/A</v>
      </c>
      <c r="P341" t="e">
        <f>IF($J341&gt;MAX('Match Log'!$A$4:$A$810),NA(),IFERROR(LOOKUP(2,1/(('Match Log'!$D$4:$D$810=$P$24)*('Match Log'!$A$4:$A$810&lt;=$J341)),'Match Log'!$N$4:$N$810),NA()))</f>
        <v>#N/A</v>
      </c>
      <c r="Q341" t="e">
        <f>IF($J341&gt;MAX('Match Log'!$A$4:$A$810),NA(),IFERROR(LOOKUP(2,1/(('Match Log'!$D$4:$D$810=$Q$24)*('Match Log'!$A$4:$A$810&lt;=$J341)),'Match Log'!$N$4:$N$810),NA()))</f>
        <v>#N/A</v>
      </c>
      <c r="R341" t="e">
        <f>IF($J341&gt;MAX('Match Log'!$A$4:$A$810),NA(),IFERROR(LOOKUP(2,1/(('Match Log'!$D$4:$D$810=$R$24)*('Match Log'!$A$4:$A$810&lt;=$J341)),'Match Log'!$N$4:$N$810),NA()))</f>
        <v>#N/A</v>
      </c>
      <c r="S341" t="e">
        <f>IF($J341&gt;MAX('Match Log'!$A$4:$A$810),NA(),IFERROR(LOOKUP(2,1/(('Match Log'!$D$4:$D$810=$S$24)*('Match Log'!$A$4:$A$810&lt;=$J341)),'Match Log'!$N$4:$N$810),NA()))</f>
        <v>#N/A</v>
      </c>
      <c r="T341" t="e">
        <f>IF($J341&gt;MAX('Match Log'!$A$4:$A$810),NA(),IFERROR(LOOKUP(2,1/(('Match Log'!$D$4:$D$810=$T$24)*('Match Log'!$A$4:$A$810&lt;=$J341)),'Match Log'!$N$4:$N$810),NA()))</f>
        <v>#N/A</v>
      </c>
      <c r="U341" t="e">
        <f>IF($J341&gt;MAX('Match Log'!$A$4:$A$810),NA(),IFERROR(LOOKUP(2,1/(('Match Log'!$D$4:$D$810=$U$24)*('Match Log'!$A$4:$A$810&lt;=$J341)),'Match Log'!$N$4:$N$810),NA()))</f>
        <v>#N/A</v>
      </c>
      <c r="V341" t="e">
        <f>IF($J341&gt;MAX('Match Log'!$A$4:$A$810),NA(),IFERROR(LOOKUP(2,1/(('Match Log'!$D$4:$D$810=$V$24)*('Match Log'!$A$4:$A$810&lt;=$J341)),'Match Log'!$N$4:$N$810),NA()))</f>
        <v>#N/A</v>
      </c>
      <c r="W341" t="e">
        <f>IF($J341&gt;MAX('Match Log'!$A$4:$A$810),NA(),IFERROR(LOOKUP(2,1/(('Match Log'!$D$4:$D$810=$W$24)*('Match Log'!$A$4:$A$810&lt;=$J341)),'Match Log'!$N$4:$N$810),NA()))</f>
        <v>#N/A</v>
      </c>
      <c r="X341" t="e">
        <f>IF($J341&gt;MAX('Match Log'!$A$4:$A$810),NA(),IFERROR(LOOKUP(2,1/(('Match Log'!$D$4:$D$810=$X$24)*('Match Log'!$A$4:$A$810&lt;=$J341)),'Match Log'!$N$4:$N$810),NA()))</f>
        <v>#N/A</v>
      </c>
      <c r="Y341" t="str">
        <f t="shared" ca="1" si="39"/>
        <v/>
      </c>
    </row>
    <row r="342" spans="1:25" x14ac:dyDescent="0.2">
      <c r="A342">
        <v>318</v>
      </c>
      <c r="B342" t="str">
        <f>IFERROR(INDEX('Match Log'!$B$4:$B$810,MATCH(318,'Match Log'!$A$4:$A$810,0)),"")</f>
        <v/>
      </c>
      <c r="C342" t="str">
        <f>IFERROR(INDEX('Match Log'!$C$4:$C$810,MATCH(318,'Match Log'!$A$4:$A$810,0)),"")</f>
        <v/>
      </c>
      <c r="D342" t="str">
        <f t="array" ref="D342">IFERROR(_xlfn.TEXTJOIN(" + ",TRUE,IF(('Match Log'!$A$4:$A$810=$A342)*('Match Log'!$E$4:$E$810="Win"),'Match Log'!$D$4:$D$810,"")),IFERROR(LOOKUP(2,1/(('Match Log'!$A$4:$A$810=$A342)*('Match Log'!$E$4:$E$810="Win")),'Match Log'!$D$4:$D$810),""))</f>
        <v/>
      </c>
      <c r="E342" t="str">
        <f>IFERROR(INDEX('Match Log'!$F$4:$F$810,MATCH(318,'Match Log'!$A$4:$A$810,0)),"")</f>
        <v/>
      </c>
      <c r="F342">
        <f>IFERROR(SUMIFS('Match Log'!$I$4:$I$810,'Match Log'!$A$4:$A$810,318,'Match Log'!$E$4:$E$810,"Win"),"")</f>
        <v>0</v>
      </c>
      <c r="G342" t="str">
        <f t="shared" si="37"/>
        <v/>
      </c>
      <c r="H342" t="str">
        <f t="array" ref="H342">IFERROR(IF(COUNTIFS('Match Log'!$A$4:$A$810,$A342,'Match Log'!$E$4:$E$810,"Win")&gt;1,_xlfn.TEXTJOIN(" + ",TRUE,IF(('Match Log'!$A$4:$A$810=$A342)*('Match Log'!$E$4:$E$810="Loss"),'Match Log'!$D$4:$D$810,"")),IF($E342=2,LOOKUP(2,1/(('Match Log'!$A$4:$A$810=$A342)*('Match Log'!$E$4:$E$810="Loss")),'Match Log'!$D$4:$D$810),"the field")),"")</f>
        <v>the field</v>
      </c>
      <c r="I342" t="str">
        <f t="shared" si="38"/>
        <v/>
      </c>
      <c r="J342">
        <v>318</v>
      </c>
      <c r="K342" t="e">
        <f>IF($J342&gt;MAX('Match Log'!$A$4:$A$810),NA(),IFERROR(LOOKUP(2,1/(('Match Log'!$D$4:$D$810=$K$24)*('Match Log'!$A$4:$A$810&lt;=$J342)),'Match Log'!$N$4:$N$810),NA()))</f>
        <v>#N/A</v>
      </c>
      <c r="L342" t="e">
        <f>IF($J342&gt;MAX('Match Log'!$A$4:$A$810),NA(),IFERROR(LOOKUP(2,1/(('Match Log'!$D$4:$D$810=$L$24)*('Match Log'!$A$4:$A$810&lt;=$J342)),'Match Log'!$N$4:$N$810),NA()))</f>
        <v>#N/A</v>
      </c>
      <c r="M342" t="e">
        <f>IF($J342&gt;MAX('Match Log'!$A$4:$A$810),NA(),IFERROR(LOOKUP(2,1/(('Match Log'!$D$4:$D$810=$M$24)*('Match Log'!$A$4:$A$810&lt;=$J342)),'Match Log'!$N$4:$N$810),NA()))</f>
        <v>#N/A</v>
      </c>
      <c r="N342" t="e">
        <f>IF($J342&gt;MAX('Match Log'!$A$4:$A$810),NA(),IFERROR(LOOKUP(2,1/(('Match Log'!$D$4:$D$810=$N$24)*('Match Log'!$A$4:$A$810&lt;=$J342)),'Match Log'!$N$4:$N$810),NA()))</f>
        <v>#N/A</v>
      </c>
      <c r="O342" t="e">
        <f>IF($J342&gt;MAX('Match Log'!$A$4:$A$810),NA(),IFERROR(LOOKUP(2,1/(('Match Log'!$D$4:$D$810=$O$24)*('Match Log'!$A$4:$A$810&lt;=$J342)),'Match Log'!$N$4:$N$810),NA()))</f>
        <v>#N/A</v>
      </c>
      <c r="P342" t="e">
        <f>IF($J342&gt;MAX('Match Log'!$A$4:$A$810),NA(),IFERROR(LOOKUP(2,1/(('Match Log'!$D$4:$D$810=$P$24)*('Match Log'!$A$4:$A$810&lt;=$J342)),'Match Log'!$N$4:$N$810),NA()))</f>
        <v>#N/A</v>
      </c>
      <c r="Q342" t="e">
        <f>IF($J342&gt;MAX('Match Log'!$A$4:$A$810),NA(),IFERROR(LOOKUP(2,1/(('Match Log'!$D$4:$D$810=$Q$24)*('Match Log'!$A$4:$A$810&lt;=$J342)),'Match Log'!$N$4:$N$810),NA()))</f>
        <v>#N/A</v>
      </c>
      <c r="R342" t="e">
        <f>IF($J342&gt;MAX('Match Log'!$A$4:$A$810),NA(),IFERROR(LOOKUP(2,1/(('Match Log'!$D$4:$D$810=$R$24)*('Match Log'!$A$4:$A$810&lt;=$J342)),'Match Log'!$N$4:$N$810),NA()))</f>
        <v>#N/A</v>
      </c>
      <c r="S342" t="e">
        <f>IF($J342&gt;MAX('Match Log'!$A$4:$A$810),NA(),IFERROR(LOOKUP(2,1/(('Match Log'!$D$4:$D$810=$S$24)*('Match Log'!$A$4:$A$810&lt;=$J342)),'Match Log'!$N$4:$N$810),NA()))</f>
        <v>#N/A</v>
      </c>
      <c r="T342" t="e">
        <f>IF($J342&gt;MAX('Match Log'!$A$4:$A$810),NA(),IFERROR(LOOKUP(2,1/(('Match Log'!$D$4:$D$810=$T$24)*('Match Log'!$A$4:$A$810&lt;=$J342)),'Match Log'!$N$4:$N$810),NA()))</f>
        <v>#N/A</v>
      </c>
      <c r="U342" t="e">
        <f>IF($J342&gt;MAX('Match Log'!$A$4:$A$810),NA(),IFERROR(LOOKUP(2,1/(('Match Log'!$D$4:$D$810=$U$24)*('Match Log'!$A$4:$A$810&lt;=$J342)),'Match Log'!$N$4:$N$810),NA()))</f>
        <v>#N/A</v>
      </c>
      <c r="V342" t="e">
        <f>IF($J342&gt;MAX('Match Log'!$A$4:$A$810),NA(),IFERROR(LOOKUP(2,1/(('Match Log'!$D$4:$D$810=$V$24)*('Match Log'!$A$4:$A$810&lt;=$J342)),'Match Log'!$N$4:$N$810),NA()))</f>
        <v>#N/A</v>
      </c>
      <c r="W342" t="e">
        <f>IF($J342&gt;MAX('Match Log'!$A$4:$A$810),NA(),IFERROR(LOOKUP(2,1/(('Match Log'!$D$4:$D$810=$W$24)*('Match Log'!$A$4:$A$810&lt;=$J342)),'Match Log'!$N$4:$N$810),NA()))</f>
        <v>#N/A</v>
      </c>
      <c r="X342" t="e">
        <f>IF($J342&gt;MAX('Match Log'!$A$4:$A$810),NA(),IFERROR(LOOKUP(2,1/(('Match Log'!$D$4:$D$810=$X$24)*('Match Log'!$A$4:$A$810&lt;=$J342)),'Match Log'!$N$4:$N$810),NA()))</f>
        <v>#N/A</v>
      </c>
      <c r="Y342" t="str">
        <f t="shared" ca="1" si="39"/>
        <v/>
      </c>
    </row>
    <row r="343" spans="1:25" x14ac:dyDescent="0.2">
      <c r="A343">
        <v>319</v>
      </c>
      <c r="B343" t="str">
        <f>IFERROR(INDEX('Match Log'!$B$4:$B$810,MATCH(319,'Match Log'!$A$4:$A$810,0)),"")</f>
        <v/>
      </c>
      <c r="C343" t="str">
        <f>IFERROR(INDEX('Match Log'!$C$4:$C$810,MATCH(319,'Match Log'!$A$4:$A$810,0)),"")</f>
        <v/>
      </c>
      <c r="D343" t="str">
        <f t="array" ref="D343">IFERROR(_xlfn.TEXTJOIN(" + ",TRUE,IF(('Match Log'!$A$4:$A$810=$A343)*('Match Log'!$E$4:$E$810="Win"),'Match Log'!$D$4:$D$810,"")),IFERROR(LOOKUP(2,1/(('Match Log'!$A$4:$A$810=$A343)*('Match Log'!$E$4:$E$810="Win")),'Match Log'!$D$4:$D$810),""))</f>
        <v/>
      </c>
      <c r="E343" t="str">
        <f>IFERROR(INDEX('Match Log'!$F$4:$F$810,MATCH(319,'Match Log'!$A$4:$A$810,0)),"")</f>
        <v/>
      </c>
      <c r="F343">
        <f>IFERROR(SUMIFS('Match Log'!$I$4:$I$810,'Match Log'!$A$4:$A$810,319,'Match Log'!$E$4:$E$810,"Win"),"")</f>
        <v>0</v>
      </c>
      <c r="G343" t="str">
        <f t="shared" si="37"/>
        <v/>
      </c>
      <c r="H343" t="str">
        <f t="array" ref="H343">IFERROR(IF(COUNTIFS('Match Log'!$A$4:$A$810,$A343,'Match Log'!$E$4:$E$810,"Win")&gt;1,_xlfn.TEXTJOIN(" + ",TRUE,IF(('Match Log'!$A$4:$A$810=$A343)*('Match Log'!$E$4:$E$810="Loss"),'Match Log'!$D$4:$D$810,"")),IF($E343=2,LOOKUP(2,1/(('Match Log'!$A$4:$A$810=$A343)*('Match Log'!$E$4:$E$810="Loss")),'Match Log'!$D$4:$D$810),"the field")),"")</f>
        <v>the field</v>
      </c>
      <c r="I343" t="str">
        <f t="shared" si="38"/>
        <v/>
      </c>
      <c r="J343">
        <v>319</v>
      </c>
      <c r="K343" t="e">
        <f>IF($J343&gt;MAX('Match Log'!$A$4:$A$810),NA(),IFERROR(LOOKUP(2,1/(('Match Log'!$D$4:$D$810=$K$24)*('Match Log'!$A$4:$A$810&lt;=$J343)),'Match Log'!$N$4:$N$810),NA()))</f>
        <v>#N/A</v>
      </c>
      <c r="L343" t="e">
        <f>IF($J343&gt;MAX('Match Log'!$A$4:$A$810),NA(),IFERROR(LOOKUP(2,1/(('Match Log'!$D$4:$D$810=$L$24)*('Match Log'!$A$4:$A$810&lt;=$J343)),'Match Log'!$N$4:$N$810),NA()))</f>
        <v>#N/A</v>
      </c>
      <c r="M343" t="e">
        <f>IF($J343&gt;MAX('Match Log'!$A$4:$A$810),NA(),IFERROR(LOOKUP(2,1/(('Match Log'!$D$4:$D$810=$M$24)*('Match Log'!$A$4:$A$810&lt;=$J343)),'Match Log'!$N$4:$N$810),NA()))</f>
        <v>#N/A</v>
      </c>
      <c r="N343" t="e">
        <f>IF($J343&gt;MAX('Match Log'!$A$4:$A$810),NA(),IFERROR(LOOKUP(2,1/(('Match Log'!$D$4:$D$810=$N$24)*('Match Log'!$A$4:$A$810&lt;=$J343)),'Match Log'!$N$4:$N$810),NA()))</f>
        <v>#N/A</v>
      </c>
      <c r="O343" t="e">
        <f>IF($J343&gt;MAX('Match Log'!$A$4:$A$810),NA(),IFERROR(LOOKUP(2,1/(('Match Log'!$D$4:$D$810=$O$24)*('Match Log'!$A$4:$A$810&lt;=$J343)),'Match Log'!$N$4:$N$810),NA()))</f>
        <v>#N/A</v>
      </c>
      <c r="P343" t="e">
        <f>IF($J343&gt;MAX('Match Log'!$A$4:$A$810),NA(),IFERROR(LOOKUP(2,1/(('Match Log'!$D$4:$D$810=$P$24)*('Match Log'!$A$4:$A$810&lt;=$J343)),'Match Log'!$N$4:$N$810),NA()))</f>
        <v>#N/A</v>
      </c>
      <c r="Q343" t="e">
        <f>IF($J343&gt;MAX('Match Log'!$A$4:$A$810),NA(),IFERROR(LOOKUP(2,1/(('Match Log'!$D$4:$D$810=$Q$24)*('Match Log'!$A$4:$A$810&lt;=$J343)),'Match Log'!$N$4:$N$810),NA()))</f>
        <v>#N/A</v>
      </c>
      <c r="R343" t="e">
        <f>IF($J343&gt;MAX('Match Log'!$A$4:$A$810),NA(),IFERROR(LOOKUP(2,1/(('Match Log'!$D$4:$D$810=$R$24)*('Match Log'!$A$4:$A$810&lt;=$J343)),'Match Log'!$N$4:$N$810),NA()))</f>
        <v>#N/A</v>
      </c>
      <c r="S343" t="e">
        <f>IF($J343&gt;MAX('Match Log'!$A$4:$A$810),NA(),IFERROR(LOOKUP(2,1/(('Match Log'!$D$4:$D$810=$S$24)*('Match Log'!$A$4:$A$810&lt;=$J343)),'Match Log'!$N$4:$N$810),NA()))</f>
        <v>#N/A</v>
      </c>
      <c r="T343" t="e">
        <f>IF($J343&gt;MAX('Match Log'!$A$4:$A$810),NA(),IFERROR(LOOKUP(2,1/(('Match Log'!$D$4:$D$810=$T$24)*('Match Log'!$A$4:$A$810&lt;=$J343)),'Match Log'!$N$4:$N$810),NA()))</f>
        <v>#N/A</v>
      </c>
      <c r="U343" t="e">
        <f>IF($J343&gt;MAX('Match Log'!$A$4:$A$810),NA(),IFERROR(LOOKUP(2,1/(('Match Log'!$D$4:$D$810=$U$24)*('Match Log'!$A$4:$A$810&lt;=$J343)),'Match Log'!$N$4:$N$810),NA()))</f>
        <v>#N/A</v>
      </c>
      <c r="V343" t="e">
        <f>IF($J343&gt;MAX('Match Log'!$A$4:$A$810),NA(),IFERROR(LOOKUP(2,1/(('Match Log'!$D$4:$D$810=$V$24)*('Match Log'!$A$4:$A$810&lt;=$J343)),'Match Log'!$N$4:$N$810),NA()))</f>
        <v>#N/A</v>
      </c>
      <c r="W343" t="e">
        <f>IF($J343&gt;MAX('Match Log'!$A$4:$A$810),NA(),IFERROR(LOOKUP(2,1/(('Match Log'!$D$4:$D$810=$W$24)*('Match Log'!$A$4:$A$810&lt;=$J343)),'Match Log'!$N$4:$N$810),NA()))</f>
        <v>#N/A</v>
      </c>
      <c r="X343" t="e">
        <f>IF($J343&gt;MAX('Match Log'!$A$4:$A$810),NA(),IFERROR(LOOKUP(2,1/(('Match Log'!$D$4:$D$810=$X$24)*('Match Log'!$A$4:$A$810&lt;=$J343)),'Match Log'!$N$4:$N$810),NA()))</f>
        <v>#N/A</v>
      </c>
      <c r="Y343" t="str">
        <f t="shared" ca="1" si="39"/>
        <v/>
      </c>
    </row>
    <row r="344" spans="1:25" x14ac:dyDescent="0.2">
      <c r="A344">
        <v>320</v>
      </c>
      <c r="B344" t="str">
        <f>IFERROR(INDEX('Match Log'!$B$4:$B$810,MATCH(320,'Match Log'!$A$4:$A$810,0)),"")</f>
        <v/>
      </c>
      <c r="C344" t="str">
        <f>IFERROR(INDEX('Match Log'!$C$4:$C$810,MATCH(320,'Match Log'!$A$4:$A$810,0)),"")</f>
        <v/>
      </c>
      <c r="D344" t="str">
        <f t="array" ref="D344">IFERROR(_xlfn.TEXTJOIN(" + ",TRUE,IF(('Match Log'!$A$4:$A$810=$A344)*('Match Log'!$E$4:$E$810="Win"),'Match Log'!$D$4:$D$810,"")),IFERROR(LOOKUP(2,1/(('Match Log'!$A$4:$A$810=$A344)*('Match Log'!$E$4:$E$810="Win")),'Match Log'!$D$4:$D$810),""))</f>
        <v/>
      </c>
      <c r="E344" t="str">
        <f>IFERROR(INDEX('Match Log'!$F$4:$F$810,MATCH(320,'Match Log'!$A$4:$A$810,0)),"")</f>
        <v/>
      </c>
      <c r="F344">
        <f>IFERROR(SUMIFS('Match Log'!$I$4:$I$810,'Match Log'!$A$4:$A$810,320,'Match Log'!$E$4:$E$810,"Win"),"")</f>
        <v>0</v>
      </c>
      <c r="G344" t="str">
        <f t="shared" si="37"/>
        <v/>
      </c>
      <c r="H344" t="str">
        <f t="array" ref="H344">IFERROR(IF(COUNTIFS('Match Log'!$A$4:$A$810,$A344,'Match Log'!$E$4:$E$810,"Win")&gt;1,_xlfn.TEXTJOIN(" + ",TRUE,IF(('Match Log'!$A$4:$A$810=$A344)*('Match Log'!$E$4:$E$810="Loss"),'Match Log'!$D$4:$D$810,"")),IF($E344=2,LOOKUP(2,1/(('Match Log'!$A$4:$A$810=$A344)*('Match Log'!$E$4:$E$810="Loss")),'Match Log'!$D$4:$D$810),"the field")),"")</f>
        <v>the field</v>
      </c>
      <c r="I344" t="str">
        <f t="shared" si="38"/>
        <v/>
      </c>
      <c r="J344">
        <v>320</v>
      </c>
      <c r="K344" t="e">
        <f>IF($J344&gt;MAX('Match Log'!$A$4:$A$810),NA(),IFERROR(LOOKUP(2,1/(('Match Log'!$D$4:$D$810=$K$24)*('Match Log'!$A$4:$A$810&lt;=$J344)),'Match Log'!$N$4:$N$810),NA()))</f>
        <v>#N/A</v>
      </c>
      <c r="L344" t="e">
        <f>IF($J344&gt;MAX('Match Log'!$A$4:$A$810),NA(),IFERROR(LOOKUP(2,1/(('Match Log'!$D$4:$D$810=$L$24)*('Match Log'!$A$4:$A$810&lt;=$J344)),'Match Log'!$N$4:$N$810),NA()))</f>
        <v>#N/A</v>
      </c>
      <c r="M344" t="e">
        <f>IF($J344&gt;MAX('Match Log'!$A$4:$A$810),NA(),IFERROR(LOOKUP(2,1/(('Match Log'!$D$4:$D$810=$M$24)*('Match Log'!$A$4:$A$810&lt;=$J344)),'Match Log'!$N$4:$N$810),NA()))</f>
        <v>#N/A</v>
      </c>
      <c r="N344" t="e">
        <f>IF($J344&gt;MAX('Match Log'!$A$4:$A$810),NA(),IFERROR(LOOKUP(2,1/(('Match Log'!$D$4:$D$810=$N$24)*('Match Log'!$A$4:$A$810&lt;=$J344)),'Match Log'!$N$4:$N$810),NA()))</f>
        <v>#N/A</v>
      </c>
      <c r="O344" t="e">
        <f>IF($J344&gt;MAX('Match Log'!$A$4:$A$810),NA(),IFERROR(LOOKUP(2,1/(('Match Log'!$D$4:$D$810=$O$24)*('Match Log'!$A$4:$A$810&lt;=$J344)),'Match Log'!$N$4:$N$810),NA()))</f>
        <v>#N/A</v>
      </c>
      <c r="P344" t="e">
        <f>IF($J344&gt;MAX('Match Log'!$A$4:$A$810),NA(),IFERROR(LOOKUP(2,1/(('Match Log'!$D$4:$D$810=$P$24)*('Match Log'!$A$4:$A$810&lt;=$J344)),'Match Log'!$N$4:$N$810),NA()))</f>
        <v>#N/A</v>
      </c>
      <c r="Q344" t="e">
        <f>IF($J344&gt;MAX('Match Log'!$A$4:$A$810),NA(),IFERROR(LOOKUP(2,1/(('Match Log'!$D$4:$D$810=$Q$24)*('Match Log'!$A$4:$A$810&lt;=$J344)),'Match Log'!$N$4:$N$810),NA()))</f>
        <v>#N/A</v>
      </c>
      <c r="R344" t="e">
        <f>IF($J344&gt;MAX('Match Log'!$A$4:$A$810),NA(),IFERROR(LOOKUP(2,1/(('Match Log'!$D$4:$D$810=$R$24)*('Match Log'!$A$4:$A$810&lt;=$J344)),'Match Log'!$N$4:$N$810),NA()))</f>
        <v>#N/A</v>
      </c>
      <c r="S344" t="e">
        <f>IF($J344&gt;MAX('Match Log'!$A$4:$A$810),NA(),IFERROR(LOOKUP(2,1/(('Match Log'!$D$4:$D$810=$S$24)*('Match Log'!$A$4:$A$810&lt;=$J344)),'Match Log'!$N$4:$N$810),NA()))</f>
        <v>#N/A</v>
      </c>
      <c r="T344" t="e">
        <f>IF($J344&gt;MAX('Match Log'!$A$4:$A$810),NA(),IFERROR(LOOKUP(2,1/(('Match Log'!$D$4:$D$810=$T$24)*('Match Log'!$A$4:$A$810&lt;=$J344)),'Match Log'!$N$4:$N$810),NA()))</f>
        <v>#N/A</v>
      </c>
      <c r="U344" t="e">
        <f>IF($J344&gt;MAX('Match Log'!$A$4:$A$810),NA(),IFERROR(LOOKUP(2,1/(('Match Log'!$D$4:$D$810=$U$24)*('Match Log'!$A$4:$A$810&lt;=$J344)),'Match Log'!$N$4:$N$810),NA()))</f>
        <v>#N/A</v>
      </c>
      <c r="V344" t="e">
        <f>IF($J344&gt;MAX('Match Log'!$A$4:$A$810),NA(),IFERROR(LOOKUP(2,1/(('Match Log'!$D$4:$D$810=$V$24)*('Match Log'!$A$4:$A$810&lt;=$J344)),'Match Log'!$N$4:$N$810),NA()))</f>
        <v>#N/A</v>
      </c>
      <c r="W344" t="e">
        <f>IF($J344&gt;MAX('Match Log'!$A$4:$A$810),NA(),IFERROR(LOOKUP(2,1/(('Match Log'!$D$4:$D$810=$W$24)*('Match Log'!$A$4:$A$810&lt;=$J344)),'Match Log'!$N$4:$N$810),NA()))</f>
        <v>#N/A</v>
      </c>
      <c r="X344" t="e">
        <f>IF($J344&gt;MAX('Match Log'!$A$4:$A$810),NA(),IFERROR(LOOKUP(2,1/(('Match Log'!$D$4:$D$810=$X$24)*('Match Log'!$A$4:$A$810&lt;=$J344)),'Match Log'!$N$4:$N$810),NA()))</f>
        <v>#N/A</v>
      </c>
      <c r="Y344" t="str">
        <f t="shared" ca="1" si="39"/>
        <v/>
      </c>
    </row>
    <row r="345" spans="1:25" x14ac:dyDescent="0.2">
      <c r="A345">
        <v>321</v>
      </c>
      <c r="B345" t="str">
        <f>IFERROR(INDEX('Match Log'!$B$4:$B$810,MATCH(321,'Match Log'!$A$4:$A$810,0)),"")</f>
        <v/>
      </c>
      <c r="C345" t="str">
        <f>IFERROR(INDEX('Match Log'!$C$4:$C$810,MATCH(321,'Match Log'!$A$4:$A$810,0)),"")</f>
        <v/>
      </c>
      <c r="D345" t="str">
        <f t="array" ref="D345">IFERROR(_xlfn.TEXTJOIN(" + ",TRUE,IF(('Match Log'!$A$4:$A$810=$A345)*('Match Log'!$E$4:$E$810="Win"),'Match Log'!$D$4:$D$810,"")),IFERROR(LOOKUP(2,1/(('Match Log'!$A$4:$A$810=$A345)*('Match Log'!$E$4:$E$810="Win")),'Match Log'!$D$4:$D$810),""))</f>
        <v/>
      </c>
      <c r="E345" t="str">
        <f>IFERROR(INDEX('Match Log'!$F$4:$F$810,MATCH(321,'Match Log'!$A$4:$A$810,0)),"")</f>
        <v/>
      </c>
      <c r="F345">
        <f>IFERROR(SUMIFS('Match Log'!$I$4:$I$810,'Match Log'!$A$4:$A$810,321,'Match Log'!$E$4:$E$810,"Win"),"")</f>
        <v>0</v>
      </c>
      <c r="G345" t="str">
        <f t="shared" si="37"/>
        <v/>
      </c>
      <c r="H345" t="str">
        <f t="array" ref="H345">IFERROR(IF(COUNTIFS('Match Log'!$A$4:$A$810,$A345,'Match Log'!$E$4:$E$810,"Win")&gt;1,_xlfn.TEXTJOIN(" + ",TRUE,IF(('Match Log'!$A$4:$A$810=$A345)*('Match Log'!$E$4:$E$810="Loss"),'Match Log'!$D$4:$D$810,"")),IF($E345=2,LOOKUP(2,1/(('Match Log'!$A$4:$A$810=$A345)*('Match Log'!$E$4:$E$810="Loss")),'Match Log'!$D$4:$D$810),"the field")),"")</f>
        <v>the field</v>
      </c>
      <c r="I345" t="str">
        <f t="shared" si="38"/>
        <v/>
      </c>
      <c r="J345">
        <v>321</v>
      </c>
      <c r="K345" t="e">
        <f>IF($J345&gt;MAX('Match Log'!$A$4:$A$810),NA(),IFERROR(LOOKUP(2,1/(('Match Log'!$D$4:$D$810=$K$24)*('Match Log'!$A$4:$A$810&lt;=$J345)),'Match Log'!$N$4:$N$810),NA()))</f>
        <v>#N/A</v>
      </c>
      <c r="L345" t="e">
        <f>IF($J345&gt;MAX('Match Log'!$A$4:$A$810),NA(),IFERROR(LOOKUP(2,1/(('Match Log'!$D$4:$D$810=$L$24)*('Match Log'!$A$4:$A$810&lt;=$J345)),'Match Log'!$N$4:$N$810),NA()))</f>
        <v>#N/A</v>
      </c>
      <c r="M345" t="e">
        <f>IF($J345&gt;MAX('Match Log'!$A$4:$A$810),NA(),IFERROR(LOOKUP(2,1/(('Match Log'!$D$4:$D$810=$M$24)*('Match Log'!$A$4:$A$810&lt;=$J345)),'Match Log'!$N$4:$N$810),NA()))</f>
        <v>#N/A</v>
      </c>
      <c r="N345" t="e">
        <f>IF($J345&gt;MAX('Match Log'!$A$4:$A$810),NA(),IFERROR(LOOKUP(2,1/(('Match Log'!$D$4:$D$810=$N$24)*('Match Log'!$A$4:$A$810&lt;=$J345)),'Match Log'!$N$4:$N$810),NA()))</f>
        <v>#N/A</v>
      </c>
      <c r="O345" t="e">
        <f>IF($J345&gt;MAX('Match Log'!$A$4:$A$810),NA(),IFERROR(LOOKUP(2,1/(('Match Log'!$D$4:$D$810=$O$24)*('Match Log'!$A$4:$A$810&lt;=$J345)),'Match Log'!$N$4:$N$810),NA()))</f>
        <v>#N/A</v>
      </c>
      <c r="P345" t="e">
        <f>IF($J345&gt;MAX('Match Log'!$A$4:$A$810),NA(),IFERROR(LOOKUP(2,1/(('Match Log'!$D$4:$D$810=$P$24)*('Match Log'!$A$4:$A$810&lt;=$J345)),'Match Log'!$N$4:$N$810),NA()))</f>
        <v>#N/A</v>
      </c>
      <c r="Q345" t="e">
        <f>IF($J345&gt;MAX('Match Log'!$A$4:$A$810),NA(),IFERROR(LOOKUP(2,1/(('Match Log'!$D$4:$D$810=$Q$24)*('Match Log'!$A$4:$A$810&lt;=$J345)),'Match Log'!$N$4:$N$810),NA()))</f>
        <v>#N/A</v>
      </c>
      <c r="R345" t="e">
        <f>IF($J345&gt;MAX('Match Log'!$A$4:$A$810),NA(),IFERROR(LOOKUP(2,1/(('Match Log'!$D$4:$D$810=$R$24)*('Match Log'!$A$4:$A$810&lt;=$J345)),'Match Log'!$N$4:$N$810),NA()))</f>
        <v>#N/A</v>
      </c>
      <c r="S345" t="e">
        <f>IF($J345&gt;MAX('Match Log'!$A$4:$A$810),NA(),IFERROR(LOOKUP(2,1/(('Match Log'!$D$4:$D$810=$S$24)*('Match Log'!$A$4:$A$810&lt;=$J345)),'Match Log'!$N$4:$N$810),NA()))</f>
        <v>#N/A</v>
      </c>
      <c r="T345" t="e">
        <f>IF($J345&gt;MAX('Match Log'!$A$4:$A$810),NA(),IFERROR(LOOKUP(2,1/(('Match Log'!$D$4:$D$810=$T$24)*('Match Log'!$A$4:$A$810&lt;=$J345)),'Match Log'!$N$4:$N$810),NA()))</f>
        <v>#N/A</v>
      </c>
      <c r="U345" t="e">
        <f>IF($J345&gt;MAX('Match Log'!$A$4:$A$810),NA(),IFERROR(LOOKUP(2,1/(('Match Log'!$D$4:$D$810=$U$24)*('Match Log'!$A$4:$A$810&lt;=$J345)),'Match Log'!$N$4:$N$810),NA()))</f>
        <v>#N/A</v>
      </c>
      <c r="V345" t="e">
        <f>IF($J345&gt;MAX('Match Log'!$A$4:$A$810),NA(),IFERROR(LOOKUP(2,1/(('Match Log'!$D$4:$D$810=$V$24)*('Match Log'!$A$4:$A$810&lt;=$J345)),'Match Log'!$N$4:$N$810),NA()))</f>
        <v>#N/A</v>
      </c>
      <c r="W345" t="e">
        <f>IF($J345&gt;MAX('Match Log'!$A$4:$A$810),NA(),IFERROR(LOOKUP(2,1/(('Match Log'!$D$4:$D$810=$W$24)*('Match Log'!$A$4:$A$810&lt;=$J345)),'Match Log'!$N$4:$N$810),NA()))</f>
        <v>#N/A</v>
      </c>
      <c r="X345" t="e">
        <f>IF($J345&gt;MAX('Match Log'!$A$4:$A$810),NA(),IFERROR(LOOKUP(2,1/(('Match Log'!$D$4:$D$810=$X$24)*('Match Log'!$A$4:$A$810&lt;=$J345)),'Match Log'!$N$4:$N$810),NA()))</f>
        <v>#N/A</v>
      </c>
      <c r="Y345" t="str">
        <f t="shared" ca="1" si="39"/>
        <v/>
      </c>
    </row>
    <row r="346" spans="1:25" x14ac:dyDescent="0.2">
      <c r="A346">
        <v>322</v>
      </c>
      <c r="B346" t="str">
        <f>IFERROR(INDEX('Match Log'!$B$4:$B$810,MATCH(322,'Match Log'!$A$4:$A$810,0)),"")</f>
        <v/>
      </c>
      <c r="C346" t="str">
        <f>IFERROR(INDEX('Match Log'!$C$4:$C$810,MATCH(322,'Match Log'!$A$4:$A$810,0)),"")</f>
        <v/>
      </c>
      <c r="D346" t="str">
        <f t="array" ref="D346">IFERROR(_xlfn.TEXTJOIN(" + ",TRUE,IF(('Match Log'!$A$4:$A$810=$A346)*('Match Log'!$E$4:$E$810="Win"),'Match Log'!$D$4:$D$810,"")),IFERROR(LOOKUP(2,1/(('Match Log'!$A$4:$A$810=$A346)*('Match Log'!$E$4:$E$810="Win")),'Match Log'!$D$4:$D$810),""))</f>
        <v/>
      </c>
      <c r="E346" t="str">
        <f>IFERROR(INDEX('Match Log'!$F$4:$F$810,MATCH(322,'Match Log'!$A$4:$A$810,0)),"")</f>
        <v/>
      </c>
      <c r="F346">
        <f>IFERROR(SUMIFS('Match Log'!$I$4:$I$810,'Match Log'!$A$4:$A$810,322,'Match Log'!$E$4:$E$810,"Win"),"")</f>
        <v>0</v>
      </c>
      <c r="G346" t="str">
        <f t="shared" si="37"/>
        <v/>
      </c>
      <c r="H346" t="str">
        <f t="array" ref="H346">IFERROR(IF(COUNTIFS('Match Log'!$A$4:$A$810,$A346,'Match Log'!$E$4:$E$810,"Win")&gt;1,_xlfn.TEXTJOIN(" + ",TRUE,IF(('Match Log'!$A$4:$A$810=$A346)*('Match Log'!$E$4:$E$810="Loss"),'Match Log'!$D$4:$D$810,"")),IF($E346=2,LOOKUP(2,1/(('Match Log'!$A$4:$A$810=$A346)*('Match Log'!$E$4:$E$810="Loss")),'Match Log'!$D$4:$D$810),"the field")),"")</f>
        <v>the field</v>
      </c>
      <c r="I346" t="str">
        <f t="shared" si="38"/>
        <v/>
      </c>
      <c r="J346">
        <v>322</v>
      </c>
      <c r="K346" t="e">
        <f>IF($J346&gt;MAX('Match Log'!$A$4:$A$810),NA(),IFERROR(LOOKUP(2,1/(('Match Log'!$D$4:$D$810=$K$24)*('Match Log'!$A$4:$A$810&lt;=$J346)),'Match Log'!$N$4:$N$810),NA()))</f>
        <v>#N/A</v>
      </c>
      <c r="L346" t="e">
        <f>IF($J346&gt;MAX('Match Log'!$A$4:$A$810),NA(),IFERROR(LOOKUP(2,1/(('Match Log'!$D$4:$D$810=$L$24)*('Match Log'!$A$4:$A$810&lt;=$J346)),'Match Log'!$N$4:$N$810),NA()))</f>
        <v>#N/A</v>
      </c>
      <c r="M346" t="e">
        <f>IF($J346&gt;MAX('Match Log'!$A$4:$A$810),NA(),IFERROR(LOOKUP(2,1/(('Match Log'!$D$4:$D$810=$M$24)*('Match Log'!$A$4:$A$810&lt;=$J346)),'Match Log'!$N$4:$N$810),NA()))</f>
        <v>#N/A</v>
      </c>
      <c r="N346" t="e">
        <f>IF($J346&gt;MAX('Match Log'!$A$4:$A$810),NA(),IFERROR(LOOKUP(2,1/(('Match Log'!$D$4:$D$810=$N$24)*('Match Log'!$A$4:$A$810&lt;=$J346)),'Match Log'!$N$4:$N$810),NA()))</f>
        <v>#N/A</v>
      </c>
      <c r="O346" t="e">
        <f>IF($J346&gt;MAX('Match Log'!$A$4:$A$810),NA(),IFERROR(LOOKUP(2,1/(('Match Log'!$D$4:$D$810=$O$24)*('Match Log'!$A$4:$A$810&lt;=$J346)),'Match Log'!$N$4:$N$810),NA()))</f>
        <v>#N/A</v>
      </c>
      <c r="P346" t="e">
        <f>IF($J346&gt;MAX('Match Log'!$A$4:$A$810),NA(),IFERROR(LOOKUP(2,1/(('Match Log'!$D$4:$D$810=$P$24)*('Match Log'!$A$4:$A$810&lt;=$J346)),'Match Log'!$N$4:$N$810),NA()))</f>
        <v>#N/A</v>
      </c>
      <c r="Q346" t="e">
        <f>IF($J346&gt;MAX('Match Log'!$A$4:$A$810),NA(),IFERROR(LOOKUP(2,1/(('Match Log'!$D$4:$D$810=$Q$24)*('Match Log'!$A$4:$A$810&lt;=$J346)),'Match Log'!$N$4:$N$810),NA()))</f>
        <v>#N/A</v>
      </c>
      <c r="R346" t="e">
        <f>IF($J346&gt;MAX('Match Log'!$A$4:$A$810),NA(),IFERROR(LOOKUP(2,1/(('Match Log'!$D$4:$D$810=$R$24)*('Match Log'!$A$4:$A$810&lt;=$J346)),'Match Log'!$N$4:$N$810),NA()))</f>
        <v>#N/A</v>
      </c>
      <c r="S346" t="e">
        <f>IF($J346&gt;MAX('Match Log'!$A$4:$A$810),NA(),IFERROR(LOOKUP(2,1/(('Match Log'!$D$4:$D$810=$S$24)*('Match Log'!$A$4:$A$810&lt;=$J346)),'Match Log'!$N$4:$N$810),NA()))</f>
        <v>#N/A</v>
      </c>
      <c r="T346" t="e">
        <f>IF($J346&gt;MAX('Match Log'!$A$4:$A$810),NA(),IFERROR(LOOKUP(2,1/(('Match Log'!$D$4:$D$810=$T$24)*('Match Log'!$A$4:$A$810&lt;=$J346)),'Match Log'!$N$4:$N$810),NA()))</f>
        <v>#N/A</v>
      </c>
      <c r="U346" t="e">
        <f>IF($J346&gt;MAX('Match Log'!$A$4:$A$810),NA(),IFERROR(LOOKUP(2,1/(('Match Log'!$D$4:$D$810=$U$24)*('Match Log'!$A$4:$A$810&lt;=$J346)),'Match Log'!$N$4:$N$810),NA()))</f>
        <v>#N/A</v>
      </c>
      <c r="V346" t="e">
        <f>IF($J346&gt;MAX('Match Log'!$A$4:$A$810),NA(),IFERROR(LOOKUP(2,1/(('Match Log'!$D$4:$D$810=$V$24)*('Match Log'!$A$4:$A$810&lt;=$J346)),'Match Log'!$N$4:$N$810),NA()))</f>
        <v>#N/A</v>
      </c>
      <c r="W346" t="e">
        <f>IF($J346&gt;MAX('Match Log'!$A$4:$A$810),NA(),IFERROR(LOOKUP(2,1/(('Match Log'!$D$4:$D$810=$W$24)*('Match Log'!$A$4:$A$810&lt;=$J346)),'Match Log'!$N$4:$N$810),NA()))</f>
        <v>#N/A</v>
      </c>
      <c r="X346" t="e">
        <f>IF($J346&gt;MAX('Match Log'!$A$4:$A$810),NA(),IFERROR(LOOKUP(2,1/(('Match Log'!$D$4:$D$810=$X$24)*('Match Log'!$A$4:$A$810&lt;=$J346)),'Match Log'!$N$4:$N$810),NA()))</f>
        <v>#N/A</v>
      </c>
      <c r="Y346" t="str">
        <f t="shared" ca="1" si="39"/>
        <v/>
      </c>
    </row>
    <row r="347" spans="1:25" x14ac:dyDescent="0.2">
      <c r="A347">
        <v>323</v>
      </c>
      <c r="B347" t="str">
        <f>IFERROR(INDEX('Match Log'!$B$4:$B$810,MATCH(323,'Match Log'!$A$4:$A$810,0)),"")</f>
        <v/>
      </c>
      <c r="C347" t="str">
        <f>IFERROR(INDEX('Match Log'!$C$4:$C$810,MATCH(323,'Match Log'!$A$4:$A$810,0)),"")</f>
        <v/>
      </c>
      <c r="D347" t="str">
        <f t="array" ref="D347">IFERROR(_xlfn.TEXTJOIN(" + ",TRUE,IF(('Match Log'!$A$4:$A$810=$A347)*('Match Log'!$E$4:$E$810="Win"),'Match Log'!$D$4:$D$810,"")),IFERROR(LOOKUP(2,1/(('Match Log'!$A$4:$A$810=$A347)*('Match Log'!$E$4:$E$810="Win")),'Match Log'!$D$4:$D$810),""))</f>
        <v/>
      </c>
      <c r="E347" t="str">
        <f>IFERROR(INDEX('Match Log'!$F$4:$F$810,MATCH(323,'Match Log'!$A$4:$A$810,0)),"")</f>
        <v/>
      </c>
      <c r="F347">
        <f>IFERROR(SUMIFS('Match Log'!$I$4:$I$810,'Match Log'!$A$4:$A$810,323,'Match Log'!$E$4:$E$810,"Win"),"")</f>
        <v>0</v>
      </c>
      <c r="G347" t="str">
        <f t="shared" si="37"/>
        <v/>
      </c>
      <c r="H347" t="str">
        <f t="array" ref="H347">IFERROR(IF(COUNTIFS('Match Log'!$A$4:$A$810,$A347,'Match Log'!$E$4:$E$810,"Win")&gt;1,_xlfn.TEXTJOIN(" + ",TRUE,IF(('Match Log'!$A$4:$A$810=$A347)*('Match Log'!$E$4:$E$810="Loss"),'Match Log'!$D$4:$D$810,"")),IF($E347=2,LOOKUP(2,1/(('Match Log'!$A$4:$A$810=$A347)*('Match Log'!$E$4:$E$810="Loss")),'Match Log'!$D$4:$D$810),"the field")),"")</f>
        <v>the field</v>
      </c>
      <c r="I347" t="str">
        <f t="shared" si="38"/>
        <v/>
      </c>
      <c r="J347">
        <v>323</v>
      </c>
      <c r="K347" t="e">
        <f>IF($J347&gt;MAX('Match Log'!$A$4:$A$810),NA(),IFERROR(LOOKUP(2,1/(('Match Log'!$D$4:$D$810=$K$24)*('Match Log'!$A$4:$A$810&lt;=$J347)),'Match Log'!$N$4:$N$810),NA()))</f>
        <v>#N/A</v>
      </c>
      <c r="L347" t="e">
        <f>IF($J347&gt;MAX('Match Log'!$A$4:$A$810),NA(),IFERROR(LOOKUP(2,1/(('Match Log'!$D$4:$D$810=$L$24)*('Match Log'!$A$4:$A$810&lt;=$J347)),'Match Log'!$N$4:$N$810),NA()))</f>
        <v>#N/A</v>
      </c>
      <c r="M347" t="e">
        <f>IF($J347&gt;MAX('Match Log'!$A$4:$A$810),NA(),IFERROR(LOOKUP(2,1/(('Match Log'!$D$4:$D$810=$M$24)*('Match Log'!$A$4:$A$810&lt;=$J347)),'Match Log'!$N$4:$N$810),NA()))</f>
        <v>#N/A</v>
      </c>
      <c r="N347" t="e">
        <f>IF($J347&gt;MAX('Match Log'!$A$4:$A$810),NA(),IFERROR(LOOKUP(2,1/(('Match Log'!$D$4:$D$810=$N$24)*('Match Log'!$A$4:$A$810&lt;=$J347)),'Match Log'!$N$4:$N$810),NA()))</f>
        <v>#N/A</v>
      </c>
      <c r="O347" t="e">
        <f>IF($J347&gt;MAX('Match Log'!$A$4:$A$810),NA(),IFERROR(LOOKUP(2,1/(('Match Log'!$D$4:$D$810=$O$24)*('Match Log'!$A$4:$A$810&lt;=$J347)),'Match Log'!$N$4:$N$810),NA()))</f>
        <v>#N/A</v>
      </c>
      <c r="P347" t="e">
        <f>IF($J347&gt;MAX('Match Log'!$A$4:$A$810),NA(),IFERROR(LOOKUP(2,1/(('Match Log'!$D$4:$D$810=$P$24)*('Match Log'!$A$4:$A$810&lt;=$J347)),'Match Log'!$N$4:$N$810),NA()))</f>
        <v>#N/A</v>
      </c>
      <c r="Q347" t="e">
        <f>IF($J347&gt;MAX('Match Log'!$A$4:$A$810),NA(),IFERROR(LOOKUP(2,1/(('Match Log'!$D$4:$D$810=$Q$24)*('Match Log'!$A$4:$A$810&lt;=$J347)),'Match Log'!$N$4:$N$810),NA()))</f>
        <v>#N/A</v>
      </c>
      <c r="R347" t="e">
        <f>IF($J347&gt;MAX('Match Log'!$A$4:$A$810),NA(),IFERROR(LOOKUP(2,1/(('Match Log'!$D$4:$D$810=$R$24)*('Match Log'!$A$4:$A$810&lt;=$J347)),'Match Log'!$N$4:$N$810),NA()))</f>
        <v>#N/A</v>
      </c>
      <c r="S347" t="e">
        <f>IF($J347&gt;MAX('Match Log'!$A$4:$A$810),NA(),IFERROR(LOOKUP(2,1/(('Match Log'!$D$4:$D$810=$S$24)*('Match Log'!$A$4:$A$810&lt;=$J347)),'Match Log'!$N$4:$N$810),NA()))</f>
        <v>#N/A</v>
      </c>
      <c r="T347" t="e">
        <f>IF($J347&gt;MAX('Match Log'!$A$4:$A$810),NA(),IFERROR(LOOKUP(2,1/(('Match Log'!$D$4:$D$810=$T$24)*('Match Log'!$A$4:$A$810&lt;=$J347)),'Match Log'!$N$4:$N$810),NA()))</f>
        <v>#N/A</v>
      </c>
      <c r="U347" t="e">
        <f>IF($J347&gt;MAX('Match Log'!$A$4:$A$810),NA(),IFERROR(LOOKUP(2,1/(('Match Log'!$D$4:$D$810=$U$24)*('Match Log'!$A$4:$A$810&lt;=$J347)),'Match Log'!$N$4:$N$810),NA()))</f>
        <v>#N/A</v>
      </c>
      <c r="V347" t="e">
        <f>IF($J347&gt;MAX('Match Log'!$A$4:$A$810),NA(),IFERROR(LOOKUP(2,1/(('Match Log'!$D$4:$D$810=$V$24)*('Match Log'!$A$4:$A$810&lt;=$J347)),'Match Log'!$N$4:$N$810),NA()))</f>
        <v>#N/A</v>
      </c>
      <c r="W347" t="e">
        <f>IF($J347&gt;MAX('Match Log'!$A$4:$A$810),NA(),IFERROR(LOOKUP(2,1/(('Match Log'!$D$4:$D$810=$W$24)*('Match Log'!$A$4:$A$810&lt;=$J347)),'Match Log'!$N$4:$N$810),NA()))</f>
        <v>#N/A</v>
      </c>
      <c r="X347" t="e">
        <f>IF($J347&gt;MAX('Match Log'!$A$4:$A$810),NA(),IFERROR(LOOKUP(2,1/(('Match Log'!$D$4:$D$810=$X$24)*('Match Log'!$A$4:$A$810&lt;=$J347)),'Match Log'!$N$4:$N$810),NA()))</f>
        <v>#N/A</v>
      </c>
      <c r="Y347" t="str">
        <f t="shared" ca="1" si="39"/>
        <v/>
      </c>
    </row>
    <row r="348" spans="1:25" x14ac:dyDescent="0.2">
      <c r="A348">
        <v>324</v>
      </c>
      <c r="B348" t="str">
        <f>IFERROR(INDEX('Match Log'!$B$4:$B$810,MATCH(324,'Match Log'!$A$4:$A$810,0)),"")</f>
        <v/>
      </c>
      <c r="C348" t="str">
        <f>IFERROR(INDEX('Match Log'!$C$4:$C$810,MATCH(324,'Match Log'!$A$4:$A$810,0)),"")</f>
        <v/>
      </c>
      <c r="D348" t="str">
        <f t="array" ref="D348">IFERROR(_xlfn.TEXTJOIN(" + ",TRUE,IF(('Match Log'!$A$4:$A$810=$A348)*('Match Log'!$E$4:$E$810="Win"),'Match Log'!$D$4:$D$810,"")),IFERROR(LOOKUP(2,1/(('Match Log'!$A$4:$A$810=$A348)*('Match Log'!$E$4:$E$810="Win")),'Match Log'!$D$4:$D$810),""))</f>
        <v/>
      </c>
      <c r="E348" t="str">
        <f>IFERROR(INDEX('Match Log'!$F$4:$F$810,MATCH(324,'Match Log'!$A$4:$A$810,0)),"")</f>
        <v/>
      </c>
      <c r="F348">
        <f>IFERROR(SUMIFS('Match Log'!$I$4:$I$810,'Match Log'!$A$4:$A$810,324,'Match Log'!$E$4:$E$810,"Win"),"")</f>
        <v>0</v>
      </c>
      <c r="G348" t="str">
        <f t="shared" si="37"/>
        <v/>
      </c>
      <c r="H348" t="str">
        <f t="array" ref="H348">IFERROR(IF(COUNTIFS('Match Log'!$A$4:$A$810,$A348,'Match Log'!$E$4:$E$810,"Win")&gt;1,_xlfn.TEXTJOIN(" + ",TRUE,IF(('Match Log'!$A$4:$A$810=$A348)*('Match Log'!$E$4:$E$810="Loss"),'Match Log'!$D$4:$D$810,"")),IF($E348=2,LOOKUP(2,1/(('Match Log'!$A$4:$A$810=$A348)*('Match Log'!$E$4:$E$810="Loss")),'Match Log'!$D$4:$D$810),"the field")),"")</f>
        <v>the field</v>
      </c>
      <c r="I348" t="str">
        <f t="shared" si="38"/>
        <v/>
      </c>
      <c r="J348">
        <v>324</v>
      </c>
      <c r="K348" t="e">
        <f>IF($J348&gt;MAX('Match Log'!$A$4:$A$810),NA(),IFERROR(LOOKUP(2,1/(('Match Log'!$D$4:$D$810=$K$24)*('Match Log'!$A$4:$A$810&lt;=$J348)),'Match Log'!$N$4:$N$810),NA()))</f>
        <v>#N/A</v>
      </c>
      <c r="L348" t="e">
        <f>IF($J348&gt;MAX('Match Log'!$A$4:$A$810),NA(),IFERROR(LOOKUP(2,1/(('Match Log'!$D$4:$D$810=$L$24)*('Match Log'!$A$4:$A$810&lt;=$J348)),'Match Log'!$N$4:$N$810),NA()))</f>
        <v>#N/A</v>
      </c>
      <c r="M348" t="e">
        <f>IF($J348&gt;MAX('Match Log'!$A$4:$A$810),NA(),IFERROR(LOOKUP(2,1/(('Match Log'!$D$4:$D$810=$M$24)*('Match Log'!$A$4:$A$810&lt;=$J348)),'Match Log'!$N$4:$N$810),NA()))</f>
        <v>#N/A</v>
      </c>
      <c r="N348" t="e">
        <f>IF($J348&gt;MAX('Match Log'!$A$4:$A$810),NA(),IFERROR(LOOKUP(2,1/(('Match Log'!$D$4:$D$810=$N$24)*('Match Log'!$A$4:$A$810&lt;=$J348)),'Match Log'!$N$4:$N$810),NA()))</f>
        <v>#N/A</v>
      </c>
      <c r="O348" t="e">
        <f>IF($J348&gt;MAX('Match Log'!$A$4:$A$810),NA(),IFERROR(LOOKUP(2,1/(('Match Log'!$D$4:$D$810=$O$24)*('Match Log'!$A$4:$A$810&lt;=$J348)),'Match Log'!$N$4:$N$810),NA()))</f>
        <v>#N/A</v>
      </c>
      <c r="P348" t="e">
        <f>IF($J348&gt;MAX('Match Log'!$A$4:$A$810),NA(),IFERROR(LOOKUP(2,1/(('Match Log'!$D$4:$D$810=$P$24)*('Match Log'!$A$4:$A$810&lt;=$J348)),'Match Log'!$N$4:$N$810),NA()))</f>
        <v>#N/A</v>
      </c>
      <c r="Q348" t="e">
        <f>IF($J348&gt;MAX('Match Log'!$A$4:$A$810),NA(),IFERROR(LOOKUP(2,1/(('Match Log'!$D$4:$D$810=$Q$24)*('Match Log'!$A$4:$A$810&lt;=$J348)),'Match Log'!$N$4:$N$810),NA()))</f>
        <v>#N/A</v>
      </c>
      <c r="R348" t="e">
        <f>IF($J348&gt;MAX('Match Log'!$A$4:$A$810),NA(),IFERROR(LOOKUP(2,1/(('Match Log'!$D$4:$D$810=$R$24)*('Match Log'!$A$4:$A$810&lt;=$J348)),'Match Log'!$N$4:$N$810),NA()))</f>
        <v>#N/A</v>
      </c>
      <c r="S348" t="e">
        <f>IF($J348&gt;MAX('Match Log'!$A$4:$A$810),NA(),IFERROR(LOOKUP(2,1/(('Match Log'!$D$4:$D$810=$S$24)*('Match Log'!$A$4:$A$810&lt;=$J348)),'Match Log'!$N$4:$N$810),NA()))</f>
        <v>#N/A</v>
      </c>
      <c r="T348" t="e">
        <f>IF($J348&gt;MAX('Match Log'!$A$4:$A$810),NA(),IFERROR(LOOKUP(2,1/(('Match Log'!$D$4:$D$810=$T$24)*('Match Log'!$A$4:$A$810&lt;=$J348)),'Match Log'!$N$4:$N$810),NA()))</f>
        <v>#N/A</v>
      </c>
      <c r="U348" t="e">
        <f>IF($J348&gt;MAX('Match Log'!$A$4:$A$810),NA(),IFERROR(LOOKUP(2,1/(('Match Log'!$D$4:$D$810=$U$24)*('Match Log'!$A$4:$A$810&lt;=$J348)),'Match Log'!$N$4:$N$810),NA()))</f>
        <v>#N/A</v>
      </c>
      <c r="V348" t="e">
        <f>IF($J348&gt;MAX('Match Log'!$A$4:$A$810),NA(),IFERROR(LOOKUP(2,1/(('Match Log'!$D$4:$D$810=$V$24)*('Match Log'!$A$4:$A$810&lt;=$J348)),'Match Log'!$N$4:$N$810),NA()))</f>
        <v>#N/A</v>
      </c>
      <c r="W348" t="e">
        <f>IF($J348&gt;MAX('Match Log'!$A$4:$A$810),NA(),IFERROR(LOOKUP(2,1/(('Match Log'!$D$4:$D$810=$W$24)*('Match Log'!$A$4:$A$810&lt;=$J348)),'Match Log'!$N$4:$N$810),NA()))</f>
        <v>#N/A</v>
      </c>
      <c r="X348" t="e">
        <f>IF($J348&gt;MAX('Match Log'!$A$4:$A$810),NA(),IFERROR(LOOKUP(2,1/(('Match Log'!$D$4:$D$810=$X$24)*('Match Log'!$A$4:$A$810&lt;=$J348)),'Match Log'!$N$4:$N$810),NA()))</f>
        <v>#N/A</v>
      </c>
      <c r="Y348" t="str">
        <f t="shared" ca="1" si="39"/>
        <v/>
      </c>
    </row>
    <row r="349" spans="1:25" x14ac:dyDescent="0.2">
      <c r="A349">
        <v>325</v>
      </c>
      <c r="B349" t="str">
        <f>IFERROR(INDEX('Match Log'!$B$4:$B$810,MATCH(325,'Match Log'!$A$4:$A$810,0)),"")</f>
        <v/>
      </c>
      <c r="C349" t="str">
        <f>IFERROR(INDEX('Match Log'!$C$4:$C$810,MATCH(325,'Match Log'!$A$4:$A$810,0)),"")</f>
        <v/>
      </c>
      <c r="D349" t="str">
        <f t="array" ref="D349">IFERROR(_xlfn.TEXTJOIN(" + ",TRUE,IF(('Match Log'!$A$4:$A$810=$A349)*('Match Log'!$E$4:$E$810="Win"),'Match Log'!$D$4:$D$810,"")),IFERROR(LOOKUP(2,1/(('Match Log'!$A$4:$A$810=$A349)*('Match Log'!$E$4:$E$810="Win")),'Match Log'!$D$4:$D$810),""))</f>
        <v/>
      </c>
      <c r="E349" t="str">
        <f>IFERROR(INDEX('Match Log'!$F$4:$F$810,MATCH(325,'Match Log'!$A$4:$A$810,0)),"")</f>
        <v/>
      </c>
      <c r="F349">
        <f>IFERROR(SUMIFS('Match Log'!$I$4:$I$810,'Match Log'!$A$4:$A$810,325,'Match Log'!$E$4:$E$810,"Win"),"")</f>
        <v>0</v>
      </c>
      <c r="G349" t="str">
        <f t="shared" si="37"/>
        <v/>
      </c>
      <c r="H349" t="str">
        <f t="array" ref="H349">IFERROR(IF(COUNTIFS('Match Log'!$A$4:$A$810,$A349,'Match Log'!$E$4:$E$810,"Win")&gt;1,_xlfn.TEXTJOIN(" + ",TRUE,IF(('Match Log'!$A$4:$A$810=$A349)*('Match Log'!$E$4:$E$810="Loss"),'Match Log'!$D$4:$D$810,"")),IF($E349=2,LOOKUP(2,1/(('Match Log'!$A$4:$A$810=$A349)*('Match Log'!$E$4:$E$810="Loss")),'Match Log'!$D$4:$D$810),"the field")),"")</f>
        <v>the field</v>
      </c>
      <c r="I349" t="str">
        <f t="shared" si="38"/>
        <v/>
      </c>
      <c r="J349">
        <v>325</v>
      </c>
      <c r="K349" t="e">
        <f>IF($J349&gt;MAX('Match Log'!$A$4:$A$810),NA(),IFERROR(LOOKUP(2,1/(('Match Log'!$D$4:$D$810=$K$24)*('Match Log'!$A$4:$A$810&lt;=$J349)),'Match Log'!$N$4:$N$810),NA()))</f>
        <v>#N/A</v>
      </c>
      <c r="L349" t="e">
        <f>IF($J349&gt;MAX('Match Log'!$A$4:$A$810),NA(),IFERROR(LOOKUP(2,1/(('Match Log'!$D$4:$D$810=$L$24)*('Match Log'!$A$4:$A$810&lt;=$J349)),'Match Log'!$N$4:$N$810),NA()))</f>
        <v>#N/A</v>
      </c>
      <c r="M349" t="e">
        <f>IF($J349&gt;MAX('Match Log'!$A$4:$A$810),NA(),IFERROR(LOOKUP(2,1/(('Match Log'!$D$4:$D$810=$M$24)*('Match Log'!$A$4:$A$810&lt;=$J349)),'Match Log'!$N$4:$N$810),NA()))</f>
        <v>#N/A</v>
      </c>
      <c r="N349" t="e">
        <f>IF($J349&gt;MAX('Match Log'!$A$4:$A$810),NA(),IFERROR(LOOKUP(2,1/(('Match Log'!$D$4:$D$810=$N$24)*('Match Log'!$A$4:$A$810&lt;=$J349)),'Match Log'!$N$4:$N$810),NA()))</f>
        <v>#N/A</v>
      </c>
      <c r="O349" t="e">
        <f>IF($J349&gt;MAX('Match Log'!$A$4:$A$810),NA(),IFERROR(LOOKUP(2,1/(('Match Log'!$D$4:$D$810=$O$24)*('Match Log'!$A$4:$A$810&lt;=$J349)),'Match Log'!$N$4:$N$810),NA()))</f>
        <v>#N/A</v>
      </c>
      <c r="P349" t="e">
        <f>IF($J349&gt;MAX('Match Log'!$A$4:$A$810),NA(),IFERROR(LOOKUP(2,1/(('Match Log'!$D$4:$D$810=$P$24)*('Match Log'!$A$4:$A$810&lt;=$J349)),'Match Log'!$N$4:$N$810),NA()))</f>
        <v>#N/A</v>
      </c>
      <c r="Q349" t="e">
        <f>IF($J349&gt;MAX('Match Log'!$A$4:$A$810),NA(),IFERROR(LOOKUP(2,1/(('Match Log'!$D$4:$D$810=$Q$24)*('Match Log'!$A$4:$A$810&lt;=$J349)),'Match Log'!$N$4:$N$810),NA()))</f>
        <v>#N/A</v>
      </c>
      <c r="R349" t="e">
        <f>IF($J349&gt;MAX('Match Log'!$A$4:$A$810),NA(),IFERROR(LOOKUP(2,1/(('Match Log'!$D$4:$D$810=$R$24)*('Match Log'!$A$4:$A$810&lt;=$J349)),'Match Log'!$N$4:$N$810),NA()))</f>
        <v>#N/A</v>
      </c>
      <c r="S349" t="e">
        <f>IF($J349&gt;MAX('Match Log'!$A$4:$A$810),NA(),IFERROR(LOOKUP(2,1/(('Match Log'!$D$4:$D$810=$S$24)*('Match Log'!$A$4:$A$810&lt;=$J349)),'Match Log'!$N$4:$N$810),NA()))</f>
        <v>#N/A</v>
      </c>
      <c r="T349" t="e">
        <f>IF($J349&gt;MAX('Match Log'!$A$4:$A$810),NA(),IFERROR(LOOKUP(2,1/(('Match Log'!$D$4:$D$810=$T$24)*('Match Log'!$A$4:$A$810&lt;=$J349)),'Match Log'!$N$4:$N$810),NA()))</f>
        <v>#N/A</v>
      </c>
      <c r="U349" t="e">
        <f>IF($J349&gt;MAX('Match Log'!$A$4:$A$810),NA(),IFERROR(LOOKUP(2,1/(('Match Log'!$D$4:$D$810=$U$24)*('Match Log'!$A$4:$A$810&lt;=$J349)),'Match Log'!$N$4:$N$810),NA()))</f>
        <v>#N/A</v>
      </c>
      <c r="V349" t="e">
        <f>IF($J349&gt;MAX('Match Log'!$A$4:$A$810),NA(),IFERROR(LOOKUP(2,1/(('Match Log'!$D$4:$D$810=$V$24)*('Match Log'!$A$4:$A$810&lt;=$J349)),'Match Log'!$N$4:$N$810),NA()))</f>
        <v>#N/A</v>
      </c>
      <c r="W349" t="e">
        <f>IF($J349&gt;MAX('Match Log'!$A$4:$A$810),NA(),IFERROR(LOOKUP(2,1/(('Match Log'!$D$4:$D$810=$W$24)*('Match Log'!$A$4:$A$810&lt;=$J349)),'Match Log'!$N$4:$N$810),NA()))</f>
        <v>#N/A</v>
      </c>
      <c r="X349" t="e">
        <f>IF($J349&gt;MAX('Match Log'!$A$4:$A$810),NA(),IFERROR(LOOKUP(2,1/(('Match Log'!$D$4:$D$810=$X$24)*('Match Log'!$A$4:$A$810&lt;=$J349)),'Match Log'!$N$4:$N$810),NA()))</f>
        <v>#N/A</v>
      </c>
      <c r="Y349" t="str">
        <f t="shared" ca="1" si="39"/>
        <v/>
      </c>
    </row>
    <row r="350" spans="1:25" x14ac:dyDescent="0.2">
      <c r="A350">
        <v>326</v>
      </c>
      <c r="B350" t="str">
        <f>IFERROR(INDEX('Match Log'!$B$4:$B$810,MATCH(326,'Match Log'!$A$4:$A$810,0)),"")</f>
        <v/>
      </c>
      <c r="C350" t="str">
        <f>IFERROR(INDEX('Match Log'!$C$4:$C$810,MATCH(326,'Match Log'!$A$4:$A$810,0)),"")</f>
        <v/>
      </c>
      <c r="D350" t="str">
        <f t="array" ref="D350">IFERROR(_xlfn.TEXTJOIN(" + ",TRUE,IF(('Match Log'!$A$4:$A$810=$A350)*('Match Log'!$E$4:$E$810="Win"),'Match Log'!$D$4:$D$810,"")),IFERROR(LOOKUP(2,1/(('Match Log'!$A$4:$A$810=$A350)*('Match Log'!$E$4:$E$810="Win")),'Match Log'!$D$4:$D$810),""))</f>
        <v/>
      </c>
      <c r="E350" t="str">
        <f>IFERROR(INDEX('Match Log'!$F$4:$F$810,MATCH(326,'Match Log'!$A$4:$A$810,0)),"")</f>
        <v/>
      </c>
      <c r="F350">
        <f>IFERROR(SUMIFS('Match Log'!$I$4:$I$810,'Match Log'!$A$4:$A$810,326,'Match Log'!$E$4:$E$810,"Win"),"")</f>
        <v>0</v>
      </c>
      <c r="G350" t="str">
        <f t="shared" si="37"/>
        <v/>
      </c>
      <c r="H350" t="str">
        <f t="array" ref="H350">IFERROR(IF(COUNTIFS('Match Log'!$A$4:$A$810,$A350,'Match Log'!$E$4:$E$810,"Win")&gt;1,_xlfn.TEXTJOIN(" + ",TRUE,IF(('Match Log'!$A$4:$A$810=$A350)*('Match Log'!$E$4:$E$810="Loss"),'Match Log'!$D$4:$D$810,"")),IF($E350=2,LOOKUP(2,1/(('Match Log'!$A$4:$A$810=$A350)*('Match Log'!$E$4:$E$810="Loss")),'Match Log'!$D$4:$D$810),"the field")),"")</f>
        <v>the field</v>
      </c>
      <c r="I350" t="str">
        <f t="shared" si="38"/>
        <v/>
      </c>
      <c r="J350">
        <v>326</v>
      </c>
      <c r="K350" t="e">
        <f>IF($J350&gt;MAX('Match Log'!$A$4:$A$810),NA(),IFERROR(LOOKUP(2,1/(('Match Log'!$D$4:$D$810=$K$24)*('Match Log'!$A$4:$A$810&lt;=$J350)),'Match Log'!$N$4:$N$810),NA()))</f>
        <v>#N/A</v>
      </c>
      <c r="L350" t="e">
        <f>IF($J350&gt;MAX('Match Log'!$A$4:$A$810),NA(),IFERROR(LOOKUP(2,1/(('Match Log'!$D$4:$D$810=$L$24)*('Match Log'!$A$4:$A$810&lt;=$J350)),'Match Log'!$N$4:$N$810),NA()))</f>
        <v>#N/A</v>
      </c>
      <c r="M350" t="e">
        <f>IF($J350&gt;MAX('Match Log'!$A$4:$A$810),NA(),IFERROR(LOOKUP(2,1/(('Match Log'!$D$4:$D$810=$M$24)*('Match Log'!$A$4:$A$810&lt;=$J350)),'Match Log'!$N$4:$N$810),NA()))</f>
        <v>#N/A</v>
      </c>
      <c r="N350" t="e">
        <f>IF($J350&gt;MAX('Match Log'!$A$4:$A$810),NA(),IFERROR(LOOKUP(2,1/(('Match Log'!$D$4:$D$810=$N$24)*('Match Log'!$A$4:$A$810&lt;=$J350)),'Match Log'!$N$4:$N$810),NA()))</f>
        <v>#N/A</v>
      </c>
      <c r="O350" t="e">
        <f>IF($J350&gt;MAX('Match Log'!$A$4:$A$810),NA(),IFERROR(LOOKUP(2,1/(('Match Log'!$D$4:$D$810=$O$24)*('Match Log'!$A$4:$A$810&lt;=$J350)),'Match Log'!$N$4:$N$810),NA()))</f>
        <v>#N/A</v>
      </c>
      <c r="P350" t="e">
        <f>IF($J350&gt;MAX('Match Log'!$A$4:$A$810),NA(),IFERROR(LOOKUP(2,1/(('Match Log'!$D$4:$D$810=$P$24)*('Match Log'!$A$4:$A$810&lt;=$J350)),'Match Log'!$N$4:$N$810),NA()))</f>
        <v>#N/A</v>
      </c>
      <c r="Q350" t="e">
        <f>IF($J350&gt;MAX('Match Log'!$A$4:$A$810),NA(),IFERROR(LOOKUP(2,1/(('Match Log'!$D$4:$D$810=$Q$24)*('Match Log'!$A$4:$A$810&lt;=$J350)),'Match Log'!$N$4:$N$810),NA()))</f>
        <v>#N/A</v>
      </c>
      <c r="R350" t="e">
        <f>IF($J350&gt;MAX('Match Log'!$A$4:$A$810),NA(),IFERROR(LOOKUP(2,1/(('Match Log'!$D$4:$D$810=$R$24)*('Match Log'!$A$4:$A$810&lt;=$J350)),'Match Log'!$N$4:$N$810),NA()))</f>
        <v>#N/A</v>
      </c>
      <c r="S350" t="e">
        <f>IF($J350&gt;MAX('Match Log'!$A$4:$A$810),NA(),IFERROR(LOOKUP(2,1/(('Match Log'!$D$4:$D$810=$S$24)*('Match Log'!$A$4:$A$810&lt;=$J350)),'Match Log'!$N$4:$N$810),NA()))</f>
        <v>#N/A</v>
      </c>
      <c r="T350" t="e">
        <f>IF($J350&gt;MAX('Match Log'!$A$4:$A$810),NA(),IFERROR(LOOKUP(2,1/(('Match Log'!$D$4:$D$810=$T$24)*('Match Log'!$A$4:$A$810&lt;=$J350)),'Match Log'!$N$4:$N$810),NA()))</f>
        <v>#N/A</v>
      </c>
      <c r="U350" t="e">
        <f>IF($J350&gt;MAX('Match Log'!$A$4:$A$810),NA(),IFERROR(LOOKUP(2,1/(('Match Log'!$D$4:$D$810=$U$24)*('Match Log'!$A$4:$A$810&lt;=$J350)),'Match Log'!$N$4:$N$810),NA()))</f>
        <v>#N/A</v>
      </c>
      <c r="V350" t="e">
        <f>IF($J350&gt;MAX('Match Log'!$A$4:$A$810),NA(),IFERROR(LOOKUP(2,1/(('Match Log'!$D$4:$D$810=$V$24)*('Match Log'!$A$4:$A$810&lt;=$J350)),'Match Log'!$N$4:$N$810),NA()))</f>
        <v>#N/A</v>
      </c>
      <c r="W350" t="e">
        <f>IF($J350&gt;MAX('Match Log'!$A$4:$A$810),NA(),IFERROR(LOOKUP(2,1/(('Match Log'!$D$4:$D$810=$W$24)*('Match Log'!$A$4:$A$810&lt;=$J350)),'Match Log'!$N$4:$N$810),NA()))</f>
        <v>#N/A</v>
      </c>
      <c r="X350" t="e">
        <f>IF($J350&gt;MAX('Match Log'!$A$4:$A$810),NA(),IFERROR(LOOKUP(2,1/(('Match Log'!$D$4:$D$810=$X$24)*('Match Log'!$A$4:$A$810&lt;=$J350)),'Match Log'!$N$4:$N$810),NA()))</f>
        <v>#N/A</v>
      </c>
      <c r="Y350" t="str">
        <f t="shared" ca="1" si="39"/>
        <v/>
      </c>
    </row>
    <row r="351" spans="1:25" x14ac:dyDescent="0.2">
      <c r="A351">
        <v>327</v>
      </c>
      <c r="B351" t="str">
        <f>IFERROR(INDEX('Match Log'!$B$4:$B$810,MATCH(327,'Match Log'!$A$4:$A$810,0)),"")</f>
        <v/>
      </c>
      <c r="C351" t="str">
        <f>IFERROR(INDEX('Match Log'!$C$4:$C$810,MATCH(327,'Match Log'!$A$4:$A$810,0)),"")</f>
        <v/>
      </c>
      <c r="D351" t="str">
        <f t="array" ref="D351">IFERROR(_xlfn.TEXTJOIN(" + ",TRUE,IF(('Match Log'!$A$4:$A$810=$A351)*('Match Log'!$E$4:$E$810="Win"),'Match Log'!$D$4:$D$810,"")),IFERROR(LOOKUP(2,1/(('Match Log'!$A$4:$A$810=$A351)*('Match Log'!$E$4:$E$810="Win")),'Match Log'!$D$4:$D$810),""))</f>
        <v/>
      </c>
      <c r="E351" t="str">
        <f>IFERROR(INDEX('Match Log'!$F$4:$F$810,MATCH(327,'Match Log'!$A$4:$A$810,0)),"")</f>
        <v/>
      </c>
      <c r="F351">
        <f>IFERROR(SUMIFS('Match Log'!$I$4:$I$810,'Match Log'!$A$4:$A$810,327,'Match Log'!$E$4:$E$810,"Win"),"")</f>
        <v>0</v>
      </c>
      <c r="G351" t="str">
        <f t="shared" si="37"/>
        <v/>
      </c>
      <c r="H351" t="str">
        <f t="array" ref="H351">IFERROR(IF(COUNTIFS('Match Log'!$A$4:$A$810,$A351,'Match Log'!$E$4:$E$810,"Win")&gt;1,_xlfn.TEXTJOIN(" + ",TRUE,IF(('Match Log'!$A$4:$A$810=$A351)*('Match Log'!$E$4:$E$810="Loss"),'Match Log'!$D$4:$D$810,"")),IF($E351=2,LOOKUP(2,1/(('Match Log'!$A$4:$A$810=$A351)*('Match Log'!$E$4:$E$810="Loss")),'Match Log'!$D$4:$D$810),"the field")),"")</f>
        <v>the field</v>
      </c>
      <c r="I351" t="str">
        <f t="shared" si="38"/>
        <v/>
      </c>
      <c r="J351">
        <v>327</v>
      </c>
      <c r="K351" t="e">
        <f>IF($J351&gt;MAX('Match Log'!$A$4:$A$810),NA(),IFERROR(LOOKUP(2,1/(('Match Log'!$D$4:$D$810=$K$24)*('Match Log'!$A$4:$A$810&lt;=$J351)),'Match Log'!$N$4:$N$810),NA()))</f>
        <v>#N/A</v>
      </c>
      <c r="L351" t="e">
        <f>IF($J351&gt;MAX('Match Log'!$A$4:$A$810),NA(),IFERROR(LOOKUP(2,1/(('Match Log'!$D$4:$D$810=$L$24)*('Match Log'!$A$4:$A$810&lt;=$J351)),'Match Log'!$N$4:$N$810),NA()))</f>
        <v>#N/A</v>
      </c>
      <c r="M351" t="e">
        <f>IF($J351&gt;MAX('Match Log'!$A$4:$A$810),NA(),IFERROR(LOOKUP(2,1/(('Match Log'!$D$4:$D$810=$M$24)*('Match Log'!$A$4:$A$810&lt;=$J351)),'Match Log'!$N$4:$N$810),NA()))</f>
        <v>#N/A</v>
      </c>
      <c r="N351" t="e">
        <f>IF($J351&gt;MAX('Match Log'!$A$4:$A$810),NA(),IFERROR(LOOKUP(2,1/(('Match Log'!$D$4:$D$810=$N$24)*('Match Log'!$A$4:$A$810&lt;=$J351)),'Match Log'!$N$4:$N$810),NA()))</f>
        <v>#N/A</v>
      </c>
      <c r="O351" t="e">
        <f>IF($J351&gt;MAX('Match Log'!$A$4:$A$810),NA(),IFERROR(LOOKUP(2,1/(('Match Log'!$D$4:$D$810=$O$24)*('Match Log'!$A$4:$A$810&lt;=$J351)),'Match Log'!$N$4:$N$810),NA()))</f>
        <v>#N/A</v>
      </c>
      <c r="P351" t="e">
        <f>IF($J351&gt;MAX('Match Log'!$A$4:$A$810),NA(),IFERROR(LOOKUP(2,1/(('Match Log'!$D$4:$D$810=$P$24)*('Match Log'!$A$4:$A$810&lt;=$J351)),'Match Log'!$N$4:$N$810),NA()))</f>
        <v>#N/A</v>
      </c>
      <c r="Q351" t="e">
        <f>IF($J351&gt;MAX('Match Log'!$A$4:$A$810),NA(),IFERROR(LOOKUP(2,1/(('Match Log'!$D$4:$D$810=$Q$24)*('Match Log'!$A$4:$A$810&lt;=$J351)),'Match Log'!$N$4:$N$810),NA()))</f>
        <v>#N/A</v>
      </c>
      <c r="R351" t="e">
        <f>IF($J351&gt;MAX('Match Log'!$A$4:$A$810),NA(),IFERROR(LOOKUP(2,1/(('Match Log'!$D$4:$D$810=$R$24)*('Match Log'!$A$4:$A$810&lt;=$J351)),'Match Log'!$N$4:$N$810),NA()))</f>
        <v>#N/A</v>
      </c>
      <c r="S351" t="e">
        <f>IF($J351&gt;MAX('Match Log'!$A$4:$A$810),NA(),IFERROR(LOOKUP(2,1/(('Match Log'!$D$4:$D$810=$S$24)*('Match Log'!$A$4:$A$810&lt;=$J351)),'Match Log'!$N$4:$N$810),NA()))</f>
        <v>#N/A</v>
      </c>
      <c r="T351" t="e">
        <f>IF($J351&gt;MAX('Match Log'!$A$4:$A$810),NA(),IFERROR(LOOKUP(2,1/(('Match Log'!$D$4:$D$810=$T$24)*('Match Log'!$A$4:$A$810&lt;=$J351)),'Match Log'!$N$4:$N$810),NA()))</f>
        <v>#N/A</v>
      </c>
      <c r="U351" t="e">
        <f>IF($J351&gt;MAX('Match Log'!$A$4:$A$810),NA(),IFERROR(LOOKUP(2,1/(('Match Log'!$D$4:$D$810=$U$24)*('Match Log'!$A$4:$A$810&lt;=$J351)),'Match Log'!$N$4:$N$810),NA()))</f>
        <v>#N/A</v>
      </c>
      <c r="V351" t="e">
        <f>IF($J351&gt;MAX('Match Log'!$A$4:$A$810),NA(),IFERROR(LOOKUP(2,1/(('Match Log'!$D$4:$D$810=$V$24)*('Match Log'!$A$4:$A$810&lt;=$J351)),'Match Log'!$N$4:$N$810),NA()))</f>
        <v>#N/A</v>
      </c>
      <c r="W351" t="e">
        <f>IF($J351&gt;MAX('Match Log'!$A$4:$A$810),NA(),IFERROR(LOOKUP(2,1/(('Match Log'!$D$4:$D$810=$W$24)*('Match Log'!$A$4:$A$810&lt;=$J351)),'Match Log'!$N$4:$N$810),NA()))</f>
        <v>#N/A</v>
      </c>
      <c r="X351" t="e">
        <f>IF($J351&gt;MAX('Match Log'!$A$4:$A$810),NA(),IFERROR(LOOKUP(2,1/(('Match Log'!$D$4:$D$810=$X$24)*('Match Log'!$A$4:$A$810&lt;=$J351)),'Match Log'!$N$4:$N$810),NA()))</f>
        <v>#N/A</v>
      </c>
      <c r="Y351" t="str">
        <f t="shared" ca="1" si="39"/>
        <v/>
      </c>
    </row>
    <row r="352" spans="1:25" x14ac:dyDescent="0.2">
      <c r="A352">
        <v>328</v>
      </c>
      <c r="B352" t="str">
        <f>IFERROR(INDEX('Match Log'!$B$4:$B$810,MATCH(328,'Match Log'!$A$4:$A$810,0)),"")</f>
        <v/>
      </c>
      <c r="C352" t="str">
        <f>IFERROR(INDEX('Match Log'!$C$4:$C$810,MATCH(328,'Match Log'!$A$4:$A$810,0)),"")</f>
        <v/>
      </c>
      <c r="D352" t="str">
        <f t="array" ref="D352">IFERROR(_xlfn.TEXTJOIN(" + ",TRUE,IF(('Match Log'!$A$4:$A$810=$A352)*('Match Log'!$E$4:$E$810="Win"),'Match Log'!$D$4:$D$810,"")),IFERROR(LOOKUP(2,1/(('Match Log'!$A$4:$A$810=$A352)*('Match Log'!$E$4:$E$810="Win")),'Match Log'!$D$4:$D$810),""))</f>
        <v/>
      </c>
      <c r="E352" t="str">
        <f>IFERROR(INDEX('Match Log'!$F$4:$F$810,MATCH(328,'Match Log'!$A$4:$A$810,0)),"")</f>
        <v/>
      </c>
      <c r="F352">
        <f>IFERROR(SUMIFS('Match Log'!$I$4:$I$810,'Match Log'!$A$4:$A$810,328,'Match Log'!$E$4:$E$810,"Win"),"")</f>
        <v>0</v>
      </c>
      <c r="G352" t="str">
        <f t="shared" si="37"/>
        <v/>
      </c>
      <c r="H352" t="str">
        <f t="array" ref="H352">IFERROR(IF(COUNTIFS('Match Log'!$A$4:$A$810,$A352,'Match Log'!$E$4:$E$810,"Win")&gt;1,_xlfn.TEXTJOIN(" + ",TRUE,IF(('Match Log'!$A$4:$A$810=$A352)*('Match Log'!$E$4:$E$810="Loss"),'Match Log'!$D$4:$D$810,"")),IF($E352=2,LOOKUP(2,1/(('Match Log'!$A$4:$A$810=$A352)*('Match Log'!$E$4:$E$810="Loss")),'Match Log'!$D$4:$D$810),"the field")),"")</f>
        <v>the field</v>
      </c>
      <c r="I352" t="str">
        <f t="shared" si="38"/>
        <v/>
      </c>
      <c r="J352">
        <v>328</v>
      </c>
      <c r="K352" t="e">
        <f>IF($J352&gt;MAX('Match Log'!$A$4:$A$810),NA(),IFERROR(LOOKUP(2,1/(('Match Log'!$D$4:$D$810=$K$24)*('Match Log'!$A$4:$A$810&lt;=$J352)),'Match Log'!$N$4:$N$810),NA()))</f>
        <v>#N/A</v>
      </c>
      <c r="L352" t="e">
        <f>IF($J352&gt;MAX('Match Log'!$A$4:$A$810),NA(),IFERROR(LOOKUP(2,1/(('Match Log'!$D$4:$D$810=$L$24)*('Match Log'!$A$4:$A$810&lt;=$J352)),'Match Log'!$N$4:$N$810),NA()))</f>
        <v>#N/A</v>
      </c>
      <c r="M352" t="e">
        <f>IF($J352&gt;MAX('Match Log'!$A$4:$A$810),NA(),IFERROR(LOOKUP(2,1/(('Match Log'!$D$4:$D$810=$M$24)*('Match Log'!$A$4:$A$810&lt;=$J352)),'Match Log'!$N$4:$N$810),NA()))</f>
        <v>#N/A</v>
      </c>
      <c r="N352" t="e">
        <f>IF($J352&gt;MAX('Match Log'!$A$4:$A$810),NA(),IFERROR(LOOKUP(2,1/(('Match Log'!$D$4:$D$810=$N$24)*('Match Log'!$A$4:$A$810&lt;=$J352)),'Match Log'!$N$4:$N$810),NA()))</f>
        <v>#N/A</v>
      </c>
      <c r="O352" t="e">
        <f>IF($J352&gt;MAX('Match Log'!$A$4:$A$810),NA(),IFERROR(LOOKUP(2,1/(('Match Log'!$D$4:$D$810=$O$24)*('Match Log'!$A$4:$A$810&lt;=$J352)),'Match Log'!$N$4:$N$810),NA()))</f>
        <v>#N/A</v>
      </c>
      <c r="P352" t="e">
        <f>IF($J352&gt;MAX('Match Log'!$A$4:$A$810),NA(),IFERROR(LOOKUP(2,1/(('Match Log'!$D$4:$D$810=$P$24)*('Match Log'!$A$4:$A$810&lt;=$J352)),'Match Log'!$N$4:$N$810),NA()))</f>
        <v>#N/A</v>
      </c>
      <c r="Q352" t="e">
        <f>IF($J352&gt;MAX('Match Log'!$A$4:$A$810),NA(),IFERROR(LOOKUP(2,1/(('Match Log'!$D$4:$D$810=$Q$24)*('Match Log'!$A$4:$A$810&lt;=$J352)),'Match Log'!$N$4:$N$810),NA()))</f>
        <v>#N/A</v>
      </c>
      <c r="R352" t="e">
        <f>IF($J352&gt;MAX('Match Log'!$A$4:$A$810),NA(),IFERROR(LOOKUP(2,1/(('Match Log'!$D$4:$D$810=$R$24)*('Match Log'!$A$4:$A$810&lt;=$J352)),'Match Log'!$N$4:$N$810),NA()))</f>
        <v>#N/A</v>
      </c>
      <c r="S352" t="e">
        <f>IF($J352&gt;MAX('Match Log'!$A$4:$A$810),NA(),IFERROR(LOOKUP(2,1/(('Match Log'!$D$4:$D$810=$S$24)*('Match Log'!$A$4:$A$810&lt;=$J352)),'Match Log'!$N$4:$N$810),NA()))</f>
        <v>#N/A</v>
      </c>
      <c r="T352" t="e">
        <f>IF($J352&gt;MAX('Match Log'!$A$4:$A$810),NA(),IFERROR(LOOKUP(2,1/(('Match Log'!$D$4:$D$810=$T$24)*('Match Log'!$A$4:$A$810&lt;=$J352)),'Match Log'!$N$4:$N$810),NA()))</f>
        <v>#N/A</v>
      </c>
      <c r="U352" t="e">
        <f>IF($J352&gt;MAX('Match Log'!$A$4:$A$810),NA(),IFERROR(LOOKUP(2,1/(('Match Log'!$D$4:$D$810=$U$24)*('Match Log'!$A$4:$A$810&lt;=$J352)),'Match Log'!$N$4:$N$810),NA()))</f>
        <v>#N/A</v>
      </c>
      <c r="V352" t="e">
        <f>IF($J352&gt;MAX('Match Log'!$A$4:$A$810),NA(),IFERROR(LOOKUP(2,1/(('Match Log'!$D$4:$D$810=$V$24)*('Match Log'!$A$4:$A$810&lt;=$J352)),'Match Log'!$N$4:$N$810),NA()))</f>
        <v>#N/A</v>
      </c>
      <c r="W352" t="e">
        <f>IF($J352&gt;MAX('Match Log'!$A$4:$A$810),NA(),IFERROR(LOOKUP(2,1/(('Match Log'!$D$4:$D$810=$W$24)*('Match Log'!$A$4:$A$810&lt;=$J352)),'Match Log'!$N$4:$N$810),NA()))</f>
        <v>#N/A</v>
      </c>
      <c r="X352" t="e">
        <f>IF($J352&gt;MAX('Match Log'!$A$4:$A$810),NA(),IFERROR(LOOKUP(2,1/(('Match Log'!$D$4:$D$810=$X$24)*('Match Log'!$A$4:$A$810&lt;=$J352)),'Match Log'!$N$4:$N$810),NA()))</f>
        <v>#N/A</v>
      </c>
      <c r="Y352" t="str">
        <f t="shared" ca="1" si="39"/>
        <v/>
      </c>
    </row>
    <row r="353" spans="1:25" x14ac:dyDescent="0.2">
      <c r="A353">
        <v>329</v>
      </c>
      <c r="B353" t="str">
        <f>IFERROR(INDEX('Match Log'!$B$4:$B$810,MATCH(329,'Match Log'!$A$4:$A$810,0)),"")</f>
        <v/>
      </c>
      <c r="C353" t="str">
        <f>IFERROR(INDEX('Match Log'!$C$4:$C$810,MATCH(329,'Match Log'!$A$4:$A$810,0)),"")</f>
        <v/>
      </c>
      <c r="D353" t="str">
        <f t="array" ref="D353">IFERROR(_xlfn.TEXTJOIN(" + ",TRUE,IF(('Match Log'!$A$4:$A$810=$A353)*('Match Log'!$E$4:$E$810="Win"),'Match Log'!$D$4:$D$810,"")),IFERROR(LOOKUP(2,1/(('Match Log'!$A$4:$A$810=$A353)*('Match Log'!$E$4:$E$810="Win")),'Match Log'!$D$4:$D$810),""))</f>
        <v/>
      </c>
      <c r="E353" t="str">
        <f>IFERROR(INDEX('Match Log'!$F$4:$F$810,MATCH(329,'Match Log'!$A$4:$A$810,0)),"")</f>
        <v/>
      </c>
      <c r="F353">
        <f>IFERROR(SUMIFS('Match Log'!$I$4:$I$810,'Match Log'!$A$4:$A$810,329,'Match Log'!$E$4:$E$810,"Win"),"")</f>
        <v>0</v>
      </c>
      <c r="G353" t="str">
        <f t="shared" si="37"/>
        <v/>
      </c>
      <c r="H353" t="str">
        <f t="array" ref="H353">IFERROR(IF(COUNTIFS('Match Log'!$A$4:$A$810,$A353,'Match Log'!$E$4:$E$810,"Win")&gt;1,_xlfn.TEXTJOIN(" + ",TRUE,IF(('Match Log'!$A$4:$A$810=$A353)*('Match Log'!$E$4:$E$810="Loss"),'Match Log'!$D$4:$D$810,"")),IF($E353=2,LOOKUP(2,1/(('Match Log'!$A$4:$A$810=$A353)*('Match Log'!$E$4:$E$810="Loss")),'Match Log'!$D$4:$D$810),"the field")),"")</f>
        <v>the field</v>
      </c>
      <c r="I353" t="str">
        <f t="shared" si="38"/>
        <v/>
      </c>
      <c r="J353">
        <v>329</v>
      </c>
      <c r="K353" t="e">
        <f>IF($J353&gt;MAX('Match Log'!$A$4:$A$810),NA(),IFERROR(LOOKUP(2,1/(('Match Log'!$D$4:$D$810=$K$24)*('Match Log'!$A$4:$A$810&lt;=$J353)),'Match Log'!$N$4:$N$810),NA()))</f>
        <v>#N/A</v>
      </c>
      <c r="L353" t="e">
        <f>IF($J353&gt;MAX('Match Log'!$A$4:$A$810),NA(),IFERROR(LOOKUP(2,1/(('Match Log'!$D$4:$D$810=$L$24)*('Match Log'!$A$4:$A$810&lt;=$J353)),'Match Log'!$N$4:$N$810),NA()))</f>
        <v>#N/A</v>
      </c>
      <c r="M353" t="e">
        <f>IF($J353&gt;MAX('Match Log'!$A$4:$A$810),NA(),IFERROR(LOOKUP(2,1/(('Match Log'!$D$4:$D$810=$M$24)*('Match Log'!$A$4:$A$810&lt;=$J353)),'Match Log'!$N$4:$N$810),NA()))</f>
        <v>#N/A</v>
      </c>
      <c r="N353" t="e">
        <f>IF($J353&gt;MAX('Match Log'!$A$4:$A$810),NA(),IFERROR(LOOKUP(2,1/(('Match Log'!$D$4:$D$810=$N$24)*('Match Log'!$A$4:$A$810&lt;=$J353)),'Match Log'!$N$4:$N$810),NA()))</f>
        <v>#N/A</v>
      </c>
      <c r="O353" t="e">
        <f>IF($J353&gt;MAX('Match Log'!$A$4:$A$810),NA(),IFERROR(LOOKUP(2,1/(('Match Log'!$D$4:$D$810=$O$24)*('Match Log'!$A$4:$A$810&lt;=$J353)),'Match Log'!$N$4:$N$810),NA()))</f>
        <v>#N/A</v>
      </c>
      <c r="P353" t="e">
        <f>IF($J353&gt;MAX('Match Log'!$A$4:$A$810),NA(),IFERROR(LOOKUP(2,1/(('Match Log'!$D$4:$D$810=$P$24)*('Match Log'!$A$4:$A$810&lt;=$J353)),'Match Log'!$N$4:$N$810),NA()))</f>
        <v>#N/A</v>
      </c>
      <c r="Q353" t="e">
        <f>IF($J353&gt;MAX('Match Log'!$A$4:$A$810),NA(),IFERROR(LOOKUP(2,1/(('Match Log'!$D$4:$D$810=$Q$24)*('Match Log'!$A$4:$A$810&lt;=$J353)),'Match Log'!$N$4:$N$810),NA()))</f>
        <v>#N/A</v>
      </c>
      <c r="R353" t="e">
        <f>IF($J353&gt;MAX('Match Log'!$A$4:$A$810),NA(),IFERROR(LOOKUP(2,1/(('Match Log'!$D$4:$D$810=$R$24)*('Match Log'!$A$4:$A$810&lt;=$J353)),'Match Log'!$N$4:$N$810),NA()))</f>
        <v>#N/A</v>
      </c>
      <c r="S353" t="e">
        <f>IF($J353&gt;MAX('Match Log'!$A$4:$A$810),NA(),IFERROR(LOOKUP(2,1/(('Match Log'!$D$4:$D$810=$S$24)*('Match Log'!$A$4:$A$810&lt;=$J353)),'Match Log'!$N$4:$N$810),NA()))</f>
        <v>#N/A</v>
      </c>
      <c r="T353" t="e">
        <f>IF($J353&gt;MAX('Match Log'!$A$4:$A$810),NA(),IFERROR(LOOKUP(2,1/(('Match Log'!$D$4:$D$810=$T$24)*('Match Log'!$A$4:$A$810&lt;=$J353)),'Match Log'!$N$4:$N$810),NA()))</f>
        <v>#N/A</v>
      </c>
      <c r="U353" t="e">
        <f>IF($J353&gt;MAX('Match Log'!$A$4:$A$810),NA(),IFERROR(LOOKUP(2,1/(('Match Log'!$D$4:$D$810=$U$24)*('Match Log'!$A$4:$A$810&lt;=$J353)),'Match Log'!$N$4:$N$810),NA()))</f>
        <v>#N/A</v>
      </c>
      <c r="V353" t="e">
        <f>IF($J353&gt;MAX('Match Log'!$A$4:$A$810),NA(),IFERROR(LOOKUP(2,1/(('Match Log'!$D$4:$D$810=$V$24)*('Match Log'!$A$4:$A$810&lt;=$J353)),'Match Log'!$N$4:$N$810),NA()))</f>
        <v>#N/A</v>
      </c>
      <c r="W353" t="e">
        <f>IF($J353&gt;MAX('Match Log'!$A$4:$A$810),NA(),IFERROR(LOOKUP(2,1/(('Match Log'!$D$4:$D$810=$W$24)*('Match Log'!$A$4:$A$810&lt;=$J353)),'Match Log'!$N$4:$N$810),NA()))</f>
        <v>#N/A</v>
      </c>
      <c r="X353" t="e">
        <f>IF($J353&gt;MAX('Match Log'!$A$4:$A$810),NA(),IFERROR(LOOKUP(2,1/(('Match Log'!$D$4:$D$810=$X$24)*('Match Log'!$A$4:$A$810&lt;=$J353)),'Match Log'!$N$4:$N$810),NA()))</f>
        <v>#N/A</v>
      </c>
      <c r="Y353" t="str">
        <f t="shared" ca="1" si="39"/>
        <v/>
      </c>
    </row>
    <row r="354" spans="1:25" x14ac:dyDescent="0.2">
      <c r="A354">
        <v>330</v>
      </c>
      <c r="B354" t="str">
        <f>IFERROR(INDEX('Match Log'!$B$4:$B$810,MATCH(330,'Match Log'!$A$4:$A$810,0)),"")</f>
        <v/>
      </c>
      <c r="C354" t="str">
        <f>IFERROR(INDEX('Match Log'!$C$4:$C$810,MATCH(330,'Match Log'!$A$4:$A$810,0)),"")</f>
        <v/>
      </c>
      <c r="D354" t="str">
        <f t="array" ref="D354">IFERROR(_xlfn.TEXTJOIN(" + ",TRUE,IF(('Match Log'!$A$4:$A$810=$A354)*('Match Log'!$E$4:$E$810="Win"),'Match Log'!$D$4:$D$810,"")),IFERROR(LOOKUP(2,1/(('Match Log'!$A$4:$A$810=$A354)*('Match Log'!$E$4:$E$810="Win")),'Match Log'!$D$4:$D$810),""))</f>
        <v/>
      </c>
      <c r="E354" t="str">
        <f>IFERROR(INDEX('Match Log'!$F$4:$F$810,MATCH(330,'Match Log'!$A$4:$A$810,0)),"")</f>
        <v/>
      </c>
      <c r="F354">
        <f>IFERROR(SUMIFS('Match Log'!$I$4:$I$810,'Match Log'!$A$4:$A$810,330,'Match Log'!$E$4:$E$810,"Win"),"")</f>
        <v>0</v>
      </c>
      <c r="G354" t="str">
        <f t="shared" si="37"/>
        <v/>
      </c>
      <c r="H354" t="str">
        <f t="array" ref="H354">IFERROR(IF(COUNTIFS('Match Log'!$A$4:$A$810,$A354,'Match Log'!$E$4:$E$810,"Win")&gt;1,_xlfn.TEXTJOIN(" + ",TRUE,IF(('Match Log'!$A$4:$A$810=$A354)*('Match Log'!$E$4:$E$810="Loss"),'Match Log'!$D$4:$D$810,"")),IF($E354=2,LOOKUP(2,1/(('Match Log'!$A$4:$A$810=$A354)*('Match Log'!$E$4:$E$810="Loss")),'Match Log'!$D$4:$D$810),"the field")),"")</f>
        <v>the field</v>
      </c>
      <c r="I354" t="str">
        <f t="shared" si="38"/>
        <v/>
      </c>
      <c r="J354">
        <v>330</v>
      </c>
      <c r="K354" t="e">
        <f>IF($J354&gt;MAX('Match Log'!$A$4:$A$810),NA(),IFERROR(LOOKUP(2,1/(('Match Log'!$D$4:$D$810=$K$24)*('Match Log'!$A$4:$A$810&lt;=$J354)),'Match Log'!$N$4:$N$810),NA()))</f>
        <v>#N/A</v>
      </c>
      <c r="L354" t="e">
        <f>IF($J354&gt;MAX('Match Log'!$A$4:$A$810),NA(),IFERROR(LOOKUP(2,1/(('Match Log'!$D$4:$D$810=$L$24)*('Match Log'!$A$4:$A$810&lt;=$J354)),'Match Log'!$N$4:$N$810),NA()))</f>
        <v>#N/A</v>
      </c>
      <c r="M354" t="e">
        <f>IF($J354&gt;MAX('Match Log'!$A$4:$A$810),NA(),IFERROR(LOOKUP(2,1/(('Match Log'!$D$4:$D$810=$M$24)*('Match Log'!$A$4:$A$810&lt;=$J354)),'Match Log'!$N$4:$N$810),NA()))</f>
        <v>#N/A</v>
      </c>
      <c r="N354" t="e">
        <f>IF($J354&gt;MAX('Match Log'!$A$4:$A$810),NA(),IFERROR(LOOKUP(2,1/(('Match Log'!$D$4:$D$810=$N$24)*('Match Log'!$A$4:$A$810&lt;=$J354)),'Match Log'!$N$4:$N$810),NA()))</f>
        <v>#N/A</v>
      </c>
      <c r="O354" t="e">
        <f>IF($J354&gt;MAX('Match Log'!$A$4:$A$810),NA(),IFERROR(LOOKUP(2,1/(('Match Log'!$D$4:$D$810=$O$24)*('Match Log'!$A$4:$A$810&lt;=$J354)),'Match Log'!$N$4:$N$810),NA()))</f>
        <v>#N/A</v>
      </c>
      <c r="P354" t="e">
        <f>IF($J354&gt;MAX('Match Log'!$A$4:$A$810),NA(),IFERROR(LOOKUP(2,1/(('Match Log'!$D$4:$D$810=$P$24)*('Match Log'!$A$4:$A$810&lt;=$J354)),'Match Log'!$N$4:$N$810),NA()))</f>
        <v>#N/A</v>
      </c>
      <c r="Q354" t="e">
        <f>IF($J354&gt;MAX('Match Log'!$A$4:$A$810),NA(),IFERROR(LOOKUP(2,1/(('Match Log'!$D$4:$D$810=$Q$24)*('Match Log'!$A$4:$A$810&lt;=$J354)),'Match Log'!$N$4:$N$810),NA()))</f>
        <v>#N/A</v>
      </c>
      <c r="R354" t="e">
        <f>IF($J354&gt;MAX('Match Log'!$A$4:$A$810),NA(),IFERROR(LOOKUP(2,1/(('Match Log'!$D$4:$D$810=$R$24)*('Match Log'!$A$4:$A$810&lt;=$J354)),'Match Log'!$N$4:$N$810),NA()))</f>
        <v>#N/A</v>
      </c>
      <c r="S354" t="e">
        <f>IF($J354&gt;MAX('Match Log'!$A$4:$A$810),NA(),IFERROR(LOOKUP(2,1/(('Match Log'!$D$4:$D$810=$S$24)*('Match Log'!$A$4:$A$810&lt;=$J354)),'Match Log'!$N$4:$N$810),NA()))</f>
        <v>#N/A</v>
      </c>
      <c r="T354" t="e">
        <f>IF($J354&gt;MAX('Match Log'!$A$4:$A$810),NA(),IFERROR(LOOKUP(2,1/(('Match Log'!$D$4:$D$810=$T$24)*('Match Log'!$A$4:$A$810&lt;=$J354)),'Match Log'!$N$4:$N$810),NA()))</f>
        <v>#N/A</v>
      </c>
      <c r="U354" t="e">
        <f>IF($J354&gt;MAX('Match Log'!$A$4:$A$810),NA(),IFERROR(LOOKUP(2,1/(('Match Log'!$D$4:$D$810=$U$24)*('Match Log'!$A$4:$A$810&lt;=$J354)),'Match Log'!$N$4:$N$810),NA()))</f>
        <v>#N/A</v>
      </c>
      <c r="V354" t="e">
        <f>IF($J354&gt;MAX('Match Log'!$A$4:$A$810),NA(),IFERROR(LOOKUP(2,1/(('Match Log'!$D$4:$D$810=$V$24)*('Match Log'!$A$4:$A$810&lt;=$J354)),'Match Log'!$N$4:$N$810),NA()))</f>
        <v>#N/A</v>
      </c>
      <c r="W354" t="e">
        <f>IF($J354&gt;MAX('Match Log'!$A$4:$A$810),NA(),IFERROR(LOOKUP(2,1/(('Match Log'!$D$4:$D$810=$W$24)*('Match Log'!$A$4:$A$810&lt;=$J354)),'Match Log'!$N$4:$N$810),NA()))</f>
        <v>#N/A</v>
      </c>
      <c r="X354" t="e">
        <f>IF($J354&gt;MAX('Match Log'!$A$4:$A$810),NA(),IFERROR(LOOKUP(2,1/(('Match Log'!$D$4:$D$810=$X$24)*('Match Log'!$A$4:$A$810&lt;=$J354)),'Match Log'!$N$4:$N$810),NA()))</f>
        <v>#N/A</v>
      </c>
      <c r="Y354" t="str">
        <f t="shared" ca="1" si="39"/>
        <v/>
      </c>
    </row>
    <row r="355" spans="1:25" x14ac:dyDescent="0.2">
      <c r="A355">
        <v>331</v>
      </c>
      <c r="B355" t="str">
        <f>IFERROR(INDEX('Match Log'!$B$4:$B$810,MATCH(331,'Match Log'!$A$4:$A$810,0)),"")</f>
        <v/>
      </c>
      <c r="C355" t="str">
        <f>IFERROR(INDEX('Match Log'!$C$4:$C$810,MATCH(331,'Match Log'!$A$4:$A$810,0)),"")</f>
        <v/>
      </c>
      <c r="D355" t="str">
        <f t="array" ref="D355">IFERROR(_xlfn.TEXTJOIN(" + ",TRUE,IF(('Match Log'!$A$4:$A$810=$A355)*('Match Log'!$E$4:$E$810="Win"),'Match Log'!$D$4:$D$810,"")),IFERROR(LOOKUP(2,1/(('Match Log'!$A$4:$A$810=$A355)*('Match Log'!$E$4:$E$810="Win")),'Match Log'!$D$4:$D$810),""))</f>
        <v/>
      </c>
      <c r="E355" t="str">
        <f>IFERROR(INDEX('Match Log'!$F$4:$F$810,MATCH(331,'Match Log'!$A$4:$A$810,0)),"")</f>
        <v/>
      </c>
      <c r="F355">
        <f>IFERROR(SUMIFS('Match Log'!$I$4:$I$810,'Match Log'!$A$4:$A$810,331,'Match Log'!$E$4:$E$810,"Win"),"")</f>
        <v>0</v>
      </c>
      <c r="G355" t="str">
        <f t="shared" si="37"/>
        <v/>
      </c>
      <c r="H355" t="str">
        <f t="array" ref="H355">IFERROR(IF(COUNTIFS('Match Log'!$A$4:$A$810,$A355,'Match Log'!$E$4:$E$810,"Win")&gt;1,_xlfn.TEXTJOIN(" + ",TRUE,IF(('Match Log'!$A$4:$A$810=$A355)*('Match Log'!$E$4:$E$810="Loss"),'Match Log'!$D$4:$D$810,"")),IF($E355=2,LOOKUP(2,1/(('Match Log'!$A$4:$A$810=$A355)*('Match Log'!$E$4:$E$810="Loss")),'Match Log'!$D$4:$D$810),"the field")),"")</f>
        <v>the field</v>
      </c>
      <c r="I355" t="str">
        <f t="shared" si="38"/>
        <v/>
      </c>
      <c r="J355">
        <v>331</v>
      </c>
      <c r="K355" t="e">
        <f>IF($J355&gt;MAX('Match Log'!$A$4:$A$810),NA(),IFERROR(LOOKUP(2,1/(('Match Log'!$D$4:$D$810=$K$24)*('Match Log'!$A$4:$A$810&lt;=$J355)),'Match Log'!$N$4:$N$810),NA()))</f>
        <v>#N/A</v>
      </c>
      <c r="L355" t="e">
        <f>IF($J355&gt;MAX('Match Log'!$A$4:$A$810),NA(),IFERROR(LOOKUP(2,1/(('Match Log'!$D$4:$D$810=$L$24)*('Match Log'!$A$4:$A$810&lt;=$J355)),'Match Log'!$N$4:$N$810),NA()))</f>
        <v>#N/A</v>
      </c>
      <c r="M355" t="e">
        <f>IF($J355&gt;MAX('Match Log'!$A$4:$A$810),NA(),IFERROR(LOOKUP(2,1/(('Match Log'!$D$4:$D$810=$M$24)*('Match Log'!$A$4:$A$810&lt;=$J355)),'Match Log'!$N$4:$N$810),NA()))</f>
        <v>#N/A</v>
      </c>
      <c r="N355" t="e">
        <f>IF($J355&gt;MAX('Match Log'!$A$4:$A$810),NA(),IFERROR(LOOKUP(2,1/(('Match Log'!$D$4:$D$810=$N$24)*('Match Log'!$A$4:$A$810&lt;=$J355)),'Match Log'!$N$4:$N$810),NA()))</f>
        <v>#N/A</v>
      </c>
      <c r="O355" t="e">
        <f>IF($J355&gt;MAX('Match Log'!$A$4:$A$810),NA(),IFERROR(LOOKUP(2,1/(('Match Log'!$D$4:$D$810=$O$24)*('Match Log'!$A$4:$A$810&lt;=$J355)),'Match Log'!$N$4:$N$810),NA()))</f>
        <v>#N/A</v>
      </c>
      <c r="P355" t="e">
        <f>IF($J355&gt;MAX('Match Log'!$A$4:$A$810),NA(),IFERROR(LOOKUP(2,1/(('Match Log'!$D$4:$D$810=$P$24)*('Match Log'!$A$4:$A$810&lt;=$J355)),'Match Log'!$N$4:$N$810),NA()))</f>
        <v>#N/A</v>
      </c>
      <c r="Q355" t="e">
        <f>IF($J355&gt;MAX('Match Log'!$A$4:$A$810),NA(),IFERROR(LOOKUP(2,1/(('Match Log'!$D$4:$D$810=$Q$24)*('Match Log'!$A$4:$A$810&lt;=$J355)),'Match Log'!$N$4:$N$810),NA()))</f>
        <v>#N/A</v>
      </c>
      <c r="R355" t="e">
        <f>IF($J355&gt;MAX('Match Log'!$A$4:$A$810),NA(),IFERROR(LOOKUP(2,1/(('Match Log'!$D$4:$D$810=$R$24)*('Match Log'!$A$4:$A$810&lt;=$J355)),'Match Log'!$N$4:$N$810),NA()))</f>
        <v>#N/A</v>
      </c>
      <c r="S355" t="e">
        <f>IF($J355&gt;MAX('Match Log'!$A$4:$A$810),NA(),IFERROR(LOOKUP(2,1/(('Match Log'!$D$4:$D$810=$S$24)*('Match Log'!$A$4:$A$810&lt;=$J355)),'Match Log'!$N$4:$N$810),NA()))</f>
        <v>#N/A</v>
      </c>
      <c r="T355" t="e">
        <f>IF($J355&gt;MAX('Match Log'!$A$4:$A$810),NA(),IFERROR(LOOKUP(2,1/(('Match Log'!$D$4:$D$810=$T$24)*('Match Log'!$A$4:$A$810&lt;=$J355)),'Match Log'!$N$4:$N$810),NA()))</f>
        <v>#N/A</v>
      </c>
      <c r="U355" t="e">
        <f>IF($J355&gt;MAX('Match Log'!$A$4:$A$810),NA(),IFERROR(LOOKUP(2,1/(('Match Log'!$D$4:$D$810=$U$24)*('Match Log'!$A$4:$A$810&lt;=$J355)),'Match Log'!$N$4:$N$810),NA()))</f>
        <v>#N/A</v>
      </c>
      <c r="V355" t="e">
        <f>IF($J355&gt;MAX('Match Log'!$A$4:$A$810),NA(),IFERROR(LOOKUP(2,1/(('Match Log'!$D$4:$D$810=$V$24)*('Match Log'!$A$4:$A$810&lt;=$J355)),'Match Log'!$N$4:$N$810),NA()))</f>
        <v>#N/A</v>
      </c>
      <c r="W355" t="e">
        <f>IF($J355&gt;MAX('Match Log'!$A$4:$A$810),NA(),IFERROR(LOOKUP(2,1/(('Match Log'!$D$4:$D$810=$W$24)*('Match Log'!$A$4:$A$810&lt;=$J355)),'Match Log'!$N$4:$N$810),NA()))</f>
        <v>#N/A</v>
      </c>
      <c r="X355" t="e">
        <f>IF($J355&gt;MAX('Match Log'!$A$4:$A$810),NA(),IFERROR(LOOKUP(2,1/(('Match Log'!$D$4:$D$810=$X$24)*('Match Log'!$A$4:$A$810&lt;=$J355)),'Match Log'!$N$4:$N$810),NA()))</f>
        <v>#N/A</v>
      </c>
      <c r="Y355" t="str">
        <f t="shared" ca="1" si="39"/>
        <v/>
      </c>
    </row>
    <row r="356" spans="1:25" x14ac:dyDescent="0.2">
      <c r="A356">
        <v>332</v>
      </c>
      <c r="B356" t="str">
        <f>IFERROR(INDEX('Match Log'!$B$4:$B$810,MATCH(332,'Match Log'!$A$4:$A$810,0)),"")</f>
        <v/>
      </c>
      <c r="C356" t="str">
        <f>IFERROR(INDEX('Match Log'!$C$4:$C$810,MATCH(332,'Match Log'!$A$4:$A$810,0)),"")</f>
        <v/>
      </c>
      <c r="D356" t="str">
        <f t="array" ref="D356">IFERROR(_xlfn.TEXTJOIN(" + ",TRUE,IF(('Match Log'!$A$4:$A$810=$A356)*('Match Log'!$E$4:$E$810="Win"),'Match Log'!$D$4:$D$810,"")),IFERROR(LOOKUP(2,1/(('Match Log'!$A$4:$A$810=$A356)*('Match Log'!$E$4:$E$810="Win")),'Match Log'!$D$4:$D$810),""))</f>
        <v/>
      </c>
      <c r="E356" t="str">
        <f>IFERROR(INDEX('Match Log'!$F$4:$F$810,MATCH(332,'Match Log'!$A$4:$A$810,0)),"")</f>
        <v/>
      </c>
      <c r="F356">
        <f>IFERROR(SUMIFS('Match Log'!$I$4:$I$810,'Match Log'!$A$4:$A$810,332,'Match Log'!$E$4:$E$810,"Win"),"")</f>
        <v>0</v>
      </c>
      <c r="G356" t="str">
        <f t="shared" si="37"/>
        <v/>
      </c>
      <c r="H356" t="str">
        <f t="array" ref="H356">IFERROR(IF(COUNTIFS('Match Log'!$A$4:$A$810,$A356,'Match Log'!$E$4:$E$810,"Win")&gt;1,_xlfn.TEXTJOIN(" + ",TRUE,IF(('Match Log'!$A$4:$A$810=$A356)*('Match Log'!$E$4:$E$810="Loss"),'Match Log'!$D$4:$D$810,"")),IF($E356=2,LOOKUP(2,1/(('Match Log'!$A$4:$A$810=$A356)*('Match Log'!$E$4:$E$810="Loss")),'Match Log'!$D$4:$D$810),"the field")),"")</f>
        <v>the field</v>
      </c>
      <c r="I356" t="str">
        <f t="shared" si="38"/>
        <v/>
      </c>
      <c r="J356">
        <v>332</v>
      </c>
      <c r="K356" t="e">
        <f>IF($J356&gt;MAX('Match Log'!$A$4:$A$810),NA(),IFERROR(LOOKUP(2,1/(('Match Log'!$D$4:$D$810=$K$24)*('Match Log'!$A$4:$A$810&lt;=$J356)),'Match Log'!$N$4:$N$810),NA()))</f>
        <v>#N/A</v>
      </c>
      <c r="L356" t="e">
        <f>IF($J356&gt;MAX('Match Log'!$A$4:$A$810),NA(),IFERROR(LOOKUP(2,1/(('Match Log'!$D$4:$D$810=$L$24)*('Match Log'!$A$4:$A$810&lt;=$J356)),'Match Log'!$N$4:$N$810),NA()))</f>
        <v>#N/A</v>
      </c>
      <c r="M356" t="e">
        <f>IF($J356&gt;MAX('Match Log'!$A$4:$A$810),NA(),IFERROR(LOOKUP(2,1/(('Match Log'!$D$4:$D$810=$M$24)*('Match Log'!$A$4:$A$810&lt;=$J356)),'Match Log'!$N$4:$N$810),NA()))</f>
        <v>#N/A</v>
      </c>
      <c r="N356" t="e">
        <f>IF($J356&gt;MAX('Match Log'!$A$4:$A$810),NA(),IFERROR(LOOKUP(2,1/(('Match Log'!$D$4:$D$810=$N$24)*('Match Log'!$A$4:$A$810&lt;=$J356)),'Match Log'!$N$4:$N$810),NA()))</f>
        <v>#N/A</v>
      </c>
      <c r="O356" t="e">
        <f>IF($J356&gt;MAX('Match Log'!$A$4:$A$810),NA(),IFERROR(LOOKUP(2,1/(('Match Log'!$D$4:$D$810=$O$24)*('Match Log'!$A$4:$A$810&lt;=$J356)),'Match Log'!$N$4:$N$810),NA()))</f>
        <v>#N/A</v>
      </c>
      <c r="P356" t="e">
        <f>IF($J356&gt;MAX('Match Log'!$A$4:$A$810),NA(),IFERROR(LOOKUP(2,1/(('Match Log'!$D$4:$D$810=$P$24)*('Match Log'!$A$4:$A$810&lt;=$J356)),'Match Log'!$N$4:$N$810),NA()))</f>
        <v>#N/A</v>
      </c>
      <c r="Q356" t="e">
        <f>IF($J356&gt;MAX('Match Log'!$A$4:$A$810),NA(),IFERROR(LOOKUP(2,1/(('Match Log'!$D$4:$D$810=$Q$24)*('Match Log'!$A$4:$A$810&lt;=$J356)),'Match Log'!$N$4:$N$810),NA()))</f>
        <v>#N/A</v>
      </c>
      <c r="R356" t="e">
        <f>IF($J356&gt;MAX('Match Log'!$A$4:$A$810),NA(),IFERROR(LOOKUP(2,1/(('Match Log'!$D$4:$D$810=$R$24)*('Match Log'!$A$4:$A$810&lt;=$J356)),'Match Log'!$N$4:$N$810),NA()))</f>
        <v>#N/A</v>
      </c>
      <c r="S356" t="e">
        <f>IF($J356&gt;MAX('Match Log'!$A$4:$A$810),NA(),IFERROR(LOOKUP(2,1/(('Match Log'!$D$4:$D$810=$S$24)*('Match Log'!$A$4:$A$810&lt;=$J356)),'Match Log'!$N$4:$N$810),NA()))</f>
        <v>#N/A</v>
      </c>
      <c r="T356" t="e">
        <f>IF($J356&gt;MAX('Match Log'!$A$4:$A$810),NA(),IFERROR(LOOKUP(2,1/(('Match Log'!$D$4:$D$810=$T$24)*('Match Log'!$A$4:$A$810&lt;=$J356)),'Match Log'!$N$4:$N$810),NA()))</f>
        <v>#N/A</v>
      </c>
      <c r="U356" t="e">
        <f>IF($J356&gt;MAX('Match Log'!$A$4:$A$810),NA(),IFERROR(LOOKUP(2,1/(('Match Log'!$D$4:$D$810=$U$24)*('Match Log'!$A$4:$A$810&lt;=$J356)),'Match Log'!$N$4:$N$810),NA()))</f>
        <v>#N/A</v>
      </c>
      <c r="V356" t="e">
        <f>IF($J356&gt;MAX('Match Log'!$A$4:$A$810),NA(),IFERROR(LOOKUP(2,1/(('Match Log'!$D$4:$D$810=$V$24)*('Match Log'!$A$4:$A$810&lt;=$J356)),'Match Log'!$N$4:$N$810),NA()))</f>
        <v>#N/A</v>
      </c>
      <c r="W356" t="e">
        <f>IF($J356&gt;MAX('Match Log'!$A$4:$A$810),NA(),IFERROR(LOOKUP(2,1/(('Match Log'!$D$4:$D$810=$W$24)*('Match Log'!$A$4:$A$810&lt;=$J356)),'Match Log'!$N$4:$N$810),NA()))</f>
        <v>#N/A</v>
      </c>
      <c r="X356" t="e">
        <f>IF($J356&gt;MAX('Match Log'!$A$4:$A$810),NA(),IFERROR(LOOKUP(2,1/(('Match Log'!$D$4:$D$810=$X$24)*('Match Log'!$A$4:$A$810&lt;=$J356)),'Match Log'!$N$4:$N$810),NA()))</f>
        <v>#N/A</v>
      </c>
      <c r="Y356" t="str">
        <f t="shared" ca="1" si="39"/>
        <v/>
      </c>
    </row>
    <row r="357" spans="1:25" x14ac:dyDescent="0.2">
      <c r="A357">
        <v>333</v>
      </c>
      <c r="B357" t="str">
        <f>IFERROR(INDEX('Match Log'!$B$4:$B$810,MATCH(333,'Match Log'!$A$4:$A$810,0)),"")</f>
        <v/>
      </c>
      <c r="C357" t="str">
        <f>IFERROR(INDEX('Match Log'!$C$4:$C$810,MATCH(333,'Match Log'!$A$4:$A$810,0)),"")</f>
        <v/>
      </c>
      <c r="D357" t="str">
        <f t="array" ref="D357">IFERROR(_xlfn.TEXTJOIN(" + ",TRUE,IF(('Match Log'!$A$4:$A$810=$A357)*('Match Log'!$E$4:$E$810="Win"),'Match Log'!$D$4:$D$810,"")),IFERROR(LOOKUP(2,1/(('Match Log'!$A$4:$A$810=$A357)*('Match Log'!$E$4:$E$810="Win")),'Match Log'!$D$4:$D$810),""))</f>
        <v/>
      </c>
      <c r="E357" t="str">
        <f>IFERROR(INDEX('Match Log'!$F$4:$F$810,MATCH(333,'Match Log'!$A$4:$A$810,0)),"")</f>
        <v/>
      </c>
      <c r="F357">
        <f>IFERROR(SUMIFS('Match Log'!$I$4:$I$810,'Match Log'!$A$4:$A$810,333,'Match Log'!$E$4:$E$810,"Win"),"")</f>
        <v>0</v>
      </c>
      <c r="G357" t="str">
        <f t="shared" si="37"/>
        <v/>
      </c>
      <c r="H357" t="str">
        <f t="array" ref="H357">IFERROR(IF(COUNTIFS('Match Log'!$A$4:$A$810,$A357,'Match Log'!$E$4:$E$810,"Win")&gt;1,_xlfn.TEXTJOIN(" + ",TRUE,IF(('Match Log'!$A$4:$A$810=$A357)*('Match Log'!$E$4:$E$810="Loss"),'Match Log'!$D$4:$D$810,"")),IF($E357=2,LOOKUP(2,1/(('Match Log'!$A$4:$A$810=$A357)*('Match Log'!$E$4:$E$810="Loss")),'Match Log'!$D$4:$D$810),"the field")),"")</f>
        <v>the field</v>
      </c>
      <c r="I357" t="str">
        <f t="shared" si="38"/>
        <v/>
      </c>
      <c r="J357">
        <v>333</v>
      </c>
      <c r="K357" t="e">
        <f>IF($J357&gt;MAX('Match Log'!$A$4:$A$810),NA(),IFERROR(LOOKUP(2,1/(('Match Log'!$D$4:$D$810=$K$24)*('Match Log'!$A$4:$A$810&lt;=$J357)),'Match Log'!$N$4:$N$810),NA()))</f>
        <v>#N/A</v>
      </c>
      <c r="L357" t="e">
        <f>IF($J357&gt;MAX('Match Log'!$A$4:$A$810),NA(),IFERROR(LOOKUP(2,1/(('Match Log'!$D$4:$D$810=$L$24)*('Match Log'!$A$4:$A$810&lt;=$J357)),'Match Log'!$N$4:$N$810),NA()))</f>
        <v>#N/A</v>
      </c>
      <c r="M357" t="e">
        <f>IF($J357&gt;MAX('Match Log'!$A$4:$A$810),NA(),IFERROR(LOOKUP(2,1/(('Match Log'!$D$4:$D$810=$M$24)*('Match Log'!$A$4:$A$810&lt;=$J357)),'Match Log'!$N$4:$N$810),NA()))</f>
        <v>#N/A</v>
      </c>
      <c r="N357" t="e">
        <f>IF($J357&gt;MAX('Match Log'!$A$4:$A$810),NA(),IFERROR(LOOKUP(2,1/(('Match Log'!$D$4:$D$810=$N$24)*('Match Log'!$A$4:$A$810&lt;=$J357)),'Match Log'!$N$4:$N$810),NA()))</f>
        <v>#N/A</v>
      </c>
      <c r="O357" t="e">
        <f>IF($J357&gt;MAX('Match Log'!$A$4:$A$810),NA(),IFERROR(LOOKUP(2,1/(('Match Log'!$D$4:$D$810=$O$24)*('Match Log'!$A$4:$A$810&lt;=$J357)),'Match Log'!$N$4:$N$810),NA()))</f>
        <v>#N/A</v>
      </c>
      <c r="P357" t="e">
        <f>IF($J357&gt;MAX('Match Log'!$A$4:$A$810),NA(),IFERROR(LOOKUP(2,1/(('Match Log'!$D$4:$D$810=$P$24)*('Match Log'!$A$4:$A$810&lt;=$J357)),'Match Log'!$N$4:$N$810),NA()))</f>
        <v>#N/A</v>
      </c>
      <c r="Q357" t="e">
        <f>IF($J357&gt;MAX('Match Log'!$A$4:$A$810),NA(),IFERROR(LOOKUP(2,1/(('Match Log'!$D$4:$D$810=$Q$24)*('Match Log'!$A$4:$A$810&lt;=$J357)),'Match Log'!$N$4:$N$810),NA()))</f>
        <v>#N/A</v>
      </c>
      <c r="R357" t="e">
        <f>IF($J357&gt;MAX('Match Log'!$A$4:$A$810),NA(),IFERROR(LOOKUP(2,1/(('Match Log'!$D$4:$D$810=$R$24)*('Match Log'!$A$4:$A$810&lt;=$J357)),'Match Log'!$N$4:$N$810),NA()))</f>
        <v>#N/A</v>
      </c>
      <c r="S357" t="e">
        <f>IF($J357&gt;MAX('Match Log'!$A$4:$A$810),NA(),IFERROR(LOOKUP(2,1/(('Match Log'!$D$4:$D$810=$S$24)*('Match Log'!$A$4:$A$810&lt;=$J357)),'Match Log'!$N$4:$N$810),NA()))</f>
        <v>#N/A</v>
      </c>
      <c r="T357" t="e">
        <f>IF($J357&gt;MAX('Match Log'!$A$4:$A$810),NA(),IFERROR(LOOKUP(2,1/(('Match Log'!$D$4:$D$810=$T$24)*('Match Log'!$A$4:$A$810&lt;=$J357)),'Match Log'!$N$4:$N$810),NA()))</f>
        <v>#N/A</v>
      </c>
      <c r="U357" t="e">
        <f>IF($J357&gt;MAX('Match Log'!$A$4:$A$810),NA(),IFERROR(LOOKUP(2,1/(('Match Log'!$D$4:$D$810=$U$24)*('Match Log'!$A$4:$A$810&lt;=$J357)),'Match Log'!$N$4:$N$810),NA()))</f>
        <v>#N/A</v>
      </c>
      <c r="V357" t="e">
        <f>IF($J357&gt;MAX('Match Log'!$A$4:$A$810),NA(),IFERROR(LOOKUP(2,1/(('Match Log'!$D$4:$D$810=$V$24)*('Match Log'!$A$4:$A$810&lt;=$J357)),'Match Log'!$N$4:$N$810),NA()))</f>
        <v>#N/A</v>
      </c>
      <c r="W357" t="e">
        <f>IF($J357&gt;MAX('Match Log'!$A$4:$A$810),NA(),IFERROR(LOOKUP(2,1/(('Match Log'!$D$4:$D$810=$W$24)*('Match Log'!$A$4:$A$810&lt;=$J357)),'Match Log'!$N$4:$N$810),NA()))</f>
        <v>#N/A</v>
      </c>
      <c r="X357" t="e">
        <f>IF($J357&gt;MAX('Match Log'!$A$4:$A$810),NA(),IFERROR(LOOKUP(2,1/(('Match Log'!$D$4:$D$810=$X$24)*('Match Log'!$A$4:$A$810&lt;=$J357)),'Match Log'!$N$4:$N$810),NA()))</f>
        <v>#N/A</v>
      </c>
      <c r="Y357" t="str">
        <f t="shared" ca="1" si="39"/>
        <v/>
      </c>
    </row>
    <row r="358" spans="1:25" x14ac:dyDescent="0.2">
      <c r="A358">
        <v>334</v>
      </c>
      <c r="B358" t="str">
        <f>IFERROR(INDEX('Match Log'!$B$4:$B$810,MATCH(334,'Match Log'!$A$4:$A$810,0)),"")</f>
        <v/>
      </c>
      <c r="C358" t="str">
        <f>IFERROR(INDEX('Match Log'!$C$4:$C$810,MATCH(334,'Match Log'!$A$4:$A$810,0)),"")</f>
        <v/>
      </c>
      <c r="D358" t="str">
        <f t="array" ref="D358">IFERROR(_xlfn.TEXTJOIN(" + ",TRUE,IF(('Match Log'!$A$4:$A$810=$A358)*('Match Log'!$E$4:$E$810="Win"),'Match Log'!$D$4:$D$810,"")),IFERROR(LOOKUP(2,1/(('Match Log'!$A$4:$A$810=$A358)*('Match Log'!$E$4:$E$810="Win")),'Match Log'!$D$4:$D$810),""))</f>
        <v/>
      </c>
      <c r="E358" t="str">
        <f>IFERROR(INDEX('Match Log'!$F$4:$F$810,MATCH(334,'Match Log'!$A$4:$A$810,0)),"")</f>
        <v/>
      </c>
      <c r="F358">
        <f>IFERROR(SUMIFS('Match Log'!$I$4:$I$810,'Match Log'!$A$4:$A$810,334,'Match Log'!$E$4:$E$810,"Win"),"")</f>
        <v>0</v>
      </c>
      <c r="G358" t="str">
        <f t="shared" si="37"/>
        <v/>
      </c>
      <c r="H358" t="str">
        <f t="array" ref="H358">IFERROR(IF(COUNTIFS('Match Log'!$A$4:$A$810,$A358,'Match Log'!$E$4:$E$810,"Win")&gt;1,_xlfn.TEXTJOIN(" + ",TRUE,IF(('Match Log'!$A$4:$A$810=$A358)*('Match Log'!$E$4:$E$810="Loss"),'Match Log'!$D$4:$D$810,"")),IF($E358=2,LOOKUP(2,1/(('Match Log'!$A$4:$A$810=$A358)*('Match Log'!$E$4:$E$810="Loss")),'Match Log'!$D$4:$D$810),"the field")),"")</f>
        <v>the field</v>
      </c>
      <c r="I358" t="str">
        <f t="shared" si="38"/>
        <v/>
      </c>
      <c r="J358">
        <v>334</v>
      </c>
      <c r="K358" t="e">
        <f>IF($J358&gt;MAX('Match Log'!$A$4:$A$810),NA(),IFERROR(LOOKUP(2,1/(('Match Log'!$D$4:$D$810=$K$24)*('Match Log'!$A$4:$A$810&lt;=$J358)),'Match Log'!$N$4:$N$810),NA()))</f>
        <v>#N/A</v>
      </c>
      <c r="L358" t="e">
        <f>IF($J358&gt;MAX('Match Log'!$A$4:$A$810),NA(),IFERROR(LOOKUP(2,1/(('Match Log'!$D$4:$D$810=$L$24)*('Match Log'!$A$4:$A$810&lt;=$J358)),'Match Log'!$N$4:$N$810),NA()))</f>
        <v>#N/A</v>
      </c>
      <c r="M358" t="e">
        <f>IF($J358&gt;MAX('Match Log'!$A$4:$A$810),NA(),IFERROR(LOOKUP(2,1/(('Match Log'!$D$4:$D$810=$M$24)*('Match Log'!$A$4:$A$810&lt;=$J358)),'Match Log'!$N$4:$N$810),NA()))</f>
        <v>#N/A</v>
      </c>
      <c r="N358" t="e">
        <f>IF($J358&gt;MAX('Match Log'!$A$4:$A$810),NA(),IFERROR(LOOKUP(2,1/(('Match Log'!$D$4:$D$810=$N$24)*('Match Log'!$A$4:$A$810&lt;=$J358)),'Match Log'!$N$4:$N$810),NA()))</f>
        <v>#N/A</v>
      </c>
      <c r="O358" t="e">
        <f>IF($J358&gt;MAX('Match Log'!$A$4:$A$810),NA(),IFERROR(LOOKUP(2,1/(('Match Log'!$D$4:$D$810=$O$24)*('Match Log'!$A$4:$A$810&lt;=$J358)),'Match Log'!$N$4:$N$810),NA()))</f>
        <v>#N/A</v>
      </c>
      <c r="P358" t="e">
        <f>IF($J358&gt;MAX('Match Log'!$A$4:$A$810),NA(),IFERROR(LOOKUP(2,1/(('Match Log'!$D$4:$D$810=$P$24)*('Match Log'!$A$4:$A$810&lt;=$J358)),'Match Log'!$N$4:$N$810),NA()))</f>
        <v>#N/A</v>
      </c>
      <c r="Q358" t="e">
        <f>IF($J358&gt;MAX('Match Log'!$A$4:$A$810),NA(),IFERROR(LOOKUP(2,1/(('Match Log'!$D$4:$D$810=$Q$24)*('Match Log'!$A$4:$A$810&lt;=$J358)),'Match Log'!$N$4:$N$810),NA()))</f>
        <v>#N/A</v>
      </c>
      <c r="R358" t="e">
        <f>IF($J358&gt;MAX('Match Log'!$A$4:$A$810),NA(),IFERROR(LOOKUP(2,1/(('Match Log'!$D$4:$D$810=$R$24)*('Match Log'!$A$4:$A$810&lt;=$J358)),'Match Log'!$N$4:$N$810),NA()))</f>
        <v>#N/A</v>
      </c>
      <c r="S358" t="e">
        <f>IF($J358&gt;MAX('Match Log'!$A$4:$A$810),NA(),IFERROR(LOOKUP(2,1/(('Match Log'!$D$4:$D$810=$S$24)*('Match Log'!$A$4:$A$810&lt;=$J358)),'Match Log'!$N$4:$N$810),NA()))</f>
        <v>#N/A</v>
      </c>
      <c r="T358" t="e">
        <f>IF($J358&gt;MAX('Match Log'!$A$4:$A$810),NA(),IFERROR(LOOKUP(2,1/(('Match Log'!$D$4:$D$810=$T$24)*('Match Log'!$A$4:$A$810&lt;=$J358)),'Match Log'!$N$4:$N$810),NA()))</f>
        <v>#N/A</v>
      </c>
      <c r="U358" t="e">
        <f>IF($J358&gt;MAX('Match Log'!$A$4:$A$810),NA(),IFERROR(LOOKUP(2,1/(('Match Log'!$D$4:$D$810=$U$24)*('Match Log'!$A$4:$A$810&lt;=$J358)),'Match Log'!$N$4:$N$810),NA()))</f>
        <v>#N/A</v>
      </c>
      <c r="V358" t="e">
        <f>IF($J358&gt;MAX('Match Log'!$A$4:$A$810),NA(),IFERROR(LOOKUP(2,1/(('Match Log'!$D$4:$D$810=$V$24)*('Match Log'!$A$4:$A$810&lt;=$J358)),'Match Log'!$N$4:$N$810),NA()))</f>
        <v>#N/A</v>
      </c>
      <c r="W358" t="e">
        <f>IF($J358&gt;MAX('Match Log'!$A$4:$A$810),NA(),IFERROR(LOOKUP(2,1/(('Match Log'!$D$4:$D$810=$W$24)*('Match Log'!$A$4:$A$810&lt;=$J358)),'Match Log'!$N$4:$N$810),NA()))</f>
        <v>#N/A</v>
      </c>
      <c r="X358" t="e">
        <f>IF($J358&gt;MAX('Match Log'!$A$4:$A$810),NA(),IFERROR(LOOKUP(2,1/(('Match Log'!$D$4:$D$810=$X$24)*('Match Log'!$A$4:$A$810&lt;=$J358)),'Match Log'!$N$4:$N$810),NA()))</f>
        <v>#N/A</v>
      </c>
      <c r="Y358" t="str">
        <f t="shared" ca="1" si="39"/>
        <v/>
      </c>
    </row>
    <row r="359" spans="1:25" x14ac:dyDescent="0.2">
      <c r="A359">
        <v>335</v>
      </c>
      <c r="B359" t="str">
        <f>IFERROR(INDEX('Match Log'!$B$4:$B$810,MATCH(335,'Match Log'!$A$4:$A$810,0)),"")</f>
        <v/>
      </c>
      <c r="C359" t="str">
        <f>IFERROR(INDEX('Match Log'!$C$4:$C$810,MATCH(335,'Match Log'!$A$4:$A$810,0)),"")</f>
        <v/>
      </c>
      <c r="D359" t="str">
        <f t="array" ref="D359">IFERROR(_xlfn.TEXTJOIN(" + ",TRUE,IF(('Match Log'!$A$4:$A$810=$A359)*('Match Log'!$E$4:$E$810="Win"),'Match Log'!$D$4:$D$810,"")),IFERROR(LOOKUP(2,1/(('Match Log'!$A$4:$A$810=$A359)*('Match Log'!$E$4:$E$810="Win")),'Match Log'!$D$4:$D$810),""))</f>
        <v/>
      </c>
      <c r="E359" t="str">
        <f>IFERROR(INDEX('Match Log'!$F$4:$F$810,MATCH(335,'Match Log'!$A$4:$A$810,0)),"")</f>
        <v/>
      </c>
      <c r="F359">
        <f>IFERROR(SUMIFS('Match Log'!$I$4:$I$810,'Match Log'!$A$4:$A$810,335,'Match Log'!$E$4:$E$810,"Win"),"")</f>
        <v>0</v>
      </c>
      <c r="G359" t="str">
        <f t="shared" si="37"/>
        <v/>
      </c>
      <c r="H359" t="str">
        <f t="array" ref="H359">IFERROR(IF(COUNTIFS('Match Log'!$A$4:$A$810,$A359,'Match Log'!$E$4:$E$810,"Win")&gt;1,_xlfn.TEXTJOIN(" + ",TRUE,IF(('Match Log'!$A$4:$A$810=$A359)*('Match Log'!$E$4:$E$810="Loss"),'Match Log'!$D$4:$D$810,"")),IF($E359=2,LOOKUP(2,1/(('Match Log'!$A$4:$A$810=$A359)*('Match Log'!$E$4:$E$810="Loss")),'Match Log'!$D$4:$D$810),"the field")),"")</f>
        <v>the field</v>
      </c>
      <c r="I359" t="str">
        <f t="shared" si="38"/>
        <v/>
      </c>
      <c r="J359">
        <v>335</v>
      </c>
      <c r="K359" t="e">
        <f>IF($J359&gt;MAX('Match Log'!$A$4:$A$810),NA(),IFERROR(LOOKUP(2,1/(('Match Log'!$D$4:$D$810=$K$24)*('Match Log'!$A$4:$A$810&lt;=$J359)),'Match Log'!$N$4:$N$810),NA()))</f>
        <v>#N/A</v>
      </c>
      <c r="L359" t="e">
        <f>IF($J359&gt;MAX('Match Log'!$A$4:$A$810),NA(),IFERROR(LOOKUP(2,1/(('Match Log'!$D$4:$D$810=$L$24)*('Match Log'!$A$4:$A$810&lt;=$J359)),'Match Log'!$N$4:$N$810),NA()))</f>
        <v>#N/A</v>
      </c>
      <c r="M359" t="e">
        <f>IF($J359&gt;MAX('Match Log'!$A$4:$A$810),NA(),IFERROR(LOOKUP(2,1/(('Match Log'!$D$4:$D$810=$M$24)*('Match Log'!$A$4:$A$810&lt;=$J359)),'Match Log'!$N$4:$N$810),NA()))</f>
        <v>#N/A</v>
      </c>
      <c r="N359" t="e">
        <f>IF($J359&gt;MAX('Match Log'!$A$4:$A$810),NA(),IFERROR(LOOKUP(2,1/(('Match Log'!$D$4:$D$810=$N$24)*('Match Log'!$A$4:$A$810&lt;=$J359)),'Match Log'!$N$4:$N$810),NA()))</f>
        <v>#N/A</v>
      </c>
      <c r="O359" t="e">
        <f>IF($J359&gt;MAX('Match Log'!$A$4:$A$810),NA(),IFERROR(LOOKUP(2,1/(('Match Log'!$D$4:$D$810=$O$24)*('Match Log'!$A$4:$A$810&lt;=$J359)),'Match Log'!$N$4:$N$810),NA()))</f>
        <v>#N/A</v>
      </c>
      <c r="P359" t="e">
        <f>IF($J359&gt;MAX('Match Log'!$A$4:$A$810),NA(),IFERROR(LOOKUP(2,1/(('Match Log'!$D$4:$D$810=$P$24)*('Match Log'!$A$4:$A$810&lt;=$J359)),'Match Log'!$N$4:$N$810),NA()))</f>
        <v>#N/A</v>
      </c>
      <c r="Q359" t="e">
        <f>IF($J359&gt;MAX('Match Log'!$A$4:$A$810),NA(),IFERROR(LOOKUP(2,1/(('Match Log'!$D$4:$D$810=$Q$24)*('Match Log'!$A$4:$A$810&lt;=$J359)),'Match Log'!$N$4:$N$810),NA()))</f>
        <v>#N/A</v>
      </c>
      <c r="R359" t="e">
        <f>IF($J359&gt;MAX('Match Log'!$A$4:$A$810),NA(),IFERROR(LOOKUP(2,1/(('Match Log'!$D$4:$D$810=$R$24)*('Match Log'!$A$4:$A$810&lt;=$J359)),'Match Log'!$N$4:$N$810),NA()))</f>
        <v>#N/A</v>
      </c>
      <c r="S359" t="e">
        <f>IF($J359&gt;MAX('Match Log'!$A$4:$A$810),NA(),IFERROR(LOOKUP(2,1/(('Match Log'!$D$4:$D$810=$S$24)*('Match Log'!$A$4:$A$810&lt;=$J359)),'Match Log'!$N$4:$N$810),NA()))</f>
        <v>#N/A</v>
      </c>
      <c r="T359" t="e">
        <f>IF($J359&gt;MAX('Match Log'!$A$4:$A$810),NA(),IFERROR(LOOKUP(2,1/(('Match Log'!$D$4:$D$810=$T$24)*('Match Log'!$A$4:$A$810&lt;=$J359)),'Match Log'!$N$4:$N$810),NA()))</f>
        <v>#N/A</v>
      </c>
      <c r="U359" t="e">
        <f>IF($J359&gt;MAX('Match Log'!$A$4:$A$810),NA(),IFERROR(LOOKUP(2,1/(('Match Log'!$D$4:$D$810=$U$24)*('Match Log'!$A$4:$A$810&lt;=$J359)),'Match Log'!$N$4:$N$810),NA()))</f>
        <v>#N/A</v>
      </c>
      <c r="V359" t="e">
        <f>IF($J359&gt;MAX('Match Log'!$A$4:$A$810),NA(),IFERROR(LOOKUP(2,1/(('Match Log'!$D$4:$D$810=$V$24)*('Match Log'!$A$4:$A$810&lt;=$J359)),'Match Log'!$N$4:$N$810),NA()))</f>
        <v>#N/A</v>
      </c>
      <c r="W359" t="e">
        <f>IF($J359&gt;MAX('Match Log'!$A$4:$A$810),NA(),IFERROR(LOOKUP(2,1/(('Match Log'!$D$4:$D$810=$W$24)*('Match Log'!$A$4:$A$810&lt;=$J359)),'Match Log'!$N$4:$N$810),NA()))</f>
        <v>#N/A</v>
      </c>
      <c r="X359" t="e">
        <f>IF($J359&gt;MAX('Match Log'!$A$4:$A$810),NA(),IFERROR(LOOKUP(2,1/(('Match Log'!$D$4:$D$810=$X$24)*('Match Log'!$A$4:$A$810&lt;=$J359)),'Match Log'!$N$4:$N$810),NA()))</f>
        <v>#N/A</v>
      </c>
      <c r="Y359" t="str">
        <f t="shared" ca="1" si="39"/>
        <v/>
      </c>
    </row>
    <row r="360" spans="1:25" x14ac:dyDescent="0.2">
      <c r="A360">
        <v>336</v>
      </c>
      <c r="B360" t="str">
        <f>IFERROR(INDEX('Match Log'!$B$4:$B$810,MATCH(336,'Match Log'!$A$4:$A$810,0)),"")</f>
        <v/>
      </c>
      <c r="C360" t="str">
        <f>IFERROR(INDEX('Match Log'!$C$4:$C$810,MATCH(336,'Match Log'!$A$4:$A$810,0)),"")</f>
        <v/>
      </c>
      <c r="D360" t="str">
        <f t="array" ref="D360">IFERROR(_xlfn.TEXTJOIN(" + ",TRUE,IF(('Match Log'!$A$4:$A$810=$A360)*('Match Log'!$E$4:$E$810="Win"),'Match Log'!$D$4:$D$810,"")),IFERROR(LOOKUP(2,1/(('Match Log'!$A$4:$A$810=$A360)*('Match Log'!$E$4:$E$810="Win")),'Match Log'!$D$4:$D$810),""))</f>
        <v/>
      </c>
      <c r="E360" t="str">
        <f>IFERROR(INDEX('Match Log'!$F$4:$F$810,MATCH(336,'Match Log'!$A$4:$A$810,0)),"")</f>
        <v/>
      </c>
      <c r="F360">
        <f>IFERROR(SUMIFS('Match Log'!$I$4:$I$810,'Match Log'!$A$4:$A$810,336,'Match Log'!$E$4:$E$810,"Win"),"")</f>
        <v>0</v>
      </c>
      <c r="G360" t="str">
        <f t="shared" si="37"/>
        <v/>
      </c>
      <c r="H360" t="str">
        <f t="array" ref="H360">IFERROR(IF(COUNTIFS('Match Log'!$A$4:$A$810,$A360,'Match Log'!$E$4:$E$810,"Win")&gt;1,_xlfn.TEXTJOIN(" + ",TRUE,IF(('Match Log'!$A$4:$A$810=$A360)*('Match Log'!$E$4:$E$810="Loss"),'Match Log'!$D$4:$D$810,"")),IF($E360=2,LOOKUP(2,1/(('Match Log'!$A$4:$A$810=$A360)*('Match Log'!$E$4:$E$810="Loss")),'Match Log'!$D$4:$D$810),"the field")),"")</f>
        <v>the field</v>
      </c>
      <c r="I360" t="str">
        <f t="shared" si="38"/>
        <v/>
      </c>
      <c r="J360">
        <v>336</v>
      </c>
      <c r="K360" t="e">
        <f>IF($J360&gt;MAX('Match Log'!$A$4:$A$810),NA(),IFERROR(LOOKUP(2,1/(('Match Log'!$D$4:$D$810=$K$24)*('Match Log'!$A$4:$A$810&lt;=$J360)),'Match Log'!$N$4:$N$810),NA()))</f>
        <v>#N/A</v>
      </c>
      <c r="L360" t="e">
        <f>IF($J360&gt;MAX('Match Log'!$A$4:$A$810),NA(),IFERROR(LOOKUP(2,1/(('Match Log'!$D$4:$D$810=$L$24)*('Match Log'!$A$4:$A$810&lt;=$J360)),'Match Log'!$N$4:$N$810),NA()))</f>
        <v>#N/A</v>
      </c>
      <c r="M360" t="e">
        <f>IF($J360&gt;MAX('Match Log'!$A$4:$A$810),NA(),IFERROR(LOOKUP(2,1/(('Match Log'!$D$4:$D$810=$M$24)*('Match Log'!$A$4:$A$810&lt;=$J360)),'Match Log'!$N$4:$N$810),NA()))</f>
        <v>#N/A</v>
      </c>
      <c r="N360" t="e">
        <f>IF($J360&gt;MAX('Match Log'!$A$4:$A$810),NA(),IFERROR(LOOKUP(2,1/(('Match Log'!$D$4:$D$810=$N$24)*('Match Log'!$A$4:$A$810&lt;=$J360)),'Match Log'!$N$4:$N$810),NA()))</f>
        <v>#N/A</v>
      </c>
      <c r="O360" t="e">
        <f>IF($J360&gt;MAX('Match Log'!$A$4:$A$810),NA(),IFERROR(LOOKUP(2,1/(('Match Log'!$D$4:$D$810=$O$24)*('Match Log'!$A$4:$A$810&lt;=$J360)),'Match Log'!$N$4:$N$810),NA()))</f>
        <v>#N/A</v>
      </c>
      <c r="P360" t="e">
        <f>IF($J360&gt;MAX('Match Log'!$A$4:$A$810),NA(),IFERROR(LOOKUP(2,1/(('Match Log'!$D$4:$D$810=$P$24)*('Match Log'!$A$4:$A$810&lt;=$J360)),'Match Log'!$N$4:$N$810),NA()))</f>
        <v>#N/A</v>
      </c>
      <c r="Q360" t="e">
        <f>IF($J360&gt;MAX('Match Log'!$A$4:$A$810),NA(),IFERROR(LOOKUP(2,1/(('Match Log'!$D$4:$D$810=$Q$24)*('Match Log'!$A$4:$A$810&lt;=$J360)),'Match Log'!$N$4:$N$810),NA()))</f>
        <v>#N/A</v>
      </c>
      <c r="R360" t="e">
        <f>IF($J360&gt;MAX('Match Log'!$A$4:$A$810),NA(),IFERROR(LOOKUP(2,1/(('Match Log'!$D$4:$D$810=$R$24)*('Match Log'!$A$4:$A$810&lt;=$J360)),'Match Log'!$N$4:$N$810),NA()))</f>
        <v>#N/A</v>
      </c>
      <c r="S360" t="e">
        <f>IF($J360&gt;MAX('Match Log'!$A$4:$A$810),NA(),IFERROR(LOOKUP(2,1/(('Match Log'!$D$4:$D$810=$S$24)*('Match Log'!$A$4:$A$810&lt;=$J360)),'Match Log'!$N$4:$N$810),NA()))</f>
        <v>#N/A</v>
      </c>
      <c r="T360" t="e">
        <f>IF($J360&gt;MAX('Match Log'!$A$4:$A$810),NA(),IFERROR(LOOKUP(2,1/(('Match Log'!$D$4:$D$810=$T$24)*('Match Log'!$A$4:$A$810&lt;=$J360)),'Match Log'!$N$4:$N$810),NA()))</f>
        <v>#N/A</v>
      </c>
      <c r="U360" t="e">
        <f>IF($J360&gt;MAX('Match Log'!$A$4:$A$810),NA(),IFERROR(LOOKUP(2,1/(('Match Log'!$D$4:$D$810=$U$24)*('Match Log'!$A$4:$A$810&lt;=$J360)),'Match Log'!$N$4:$N$810),NA()))</f>
        <v>#N/A</v>
      </c>
      <c r="V360" t="e">
        <f>IF($J360&gt;MAX('Match Log'!$A$4:$A$810),NA(),IFERROR(LOOKUP(2,1/(('Match Log'!$D$4:$D$810=$V$24)*('Match Log'!$A$4:$A$810&lt;=$J360)),'Match Log'!$N$4:$N$810),NA()))</f>
        <v>#N/A</v>
      </c>
      <c r="W360" t="e">
        <f>IF($J360&gt;MAX('Match Log'!$A$4:$A$810),NA(),IFERROR(LOOKUP(2,1/(('Match Log'!$D$4:$D$810=$W$24)*('Match Log'!$A$4:$A$810&lt;=$J360)),'Match Log'!$N$4:$N$810),NA()))</f>
        <v>#N/A</v>
      </c>
      <c r="X360" t="e">
        <f>IF($J360&gt;MAX('Match Log'!$A$4:$A$810),NA(),IFERROR(LOOKUP(2,1/(('Match Log'!$D$4:$D$810=$X$24)*('Match Log'!$A$4:$A$810&lt;=$J360)),'Match Log'!$N$4:$N$810),NA()))</f>
        <v>#N/A</v>
      </c>
      <c r="Y360" t="str">
        <f t="shared" ca="1" si="39"/>
        <v/>
      </c>
    </row>
    <row r="361" spans="1:25" x14ac:dyDescent="0.2">
      <c r="A361">
        <v>337</v>
      </c>
      <c r="B361" t="str">
        <f>IFERROR(INDEX('Match Log'!$B$4:$B$810,MATCH(337,'Match Log'!$A$4:$A$810,0)),"")</f>
        <v/>
      </c>
      <c r="C361" t="str">
        <f>IFERROR(INDEX('Match Log'!$C$4:$C$810,MATCH(337,'Match Log'!$A$4:$A$810,0)),"")</f>
        <v/>
      </c>
      <c r="D361" t="str">
        <f t="array" ref="D361">IFERROR(_xlfn.TEXTJOIN(" + ",TRUE,IF(('Match Log'!$A$4:$A$810=$A361)*('Match Log'!$E$4:$E$810="Win"),'Match Log'!$D$4:$D$810,"")),IFERROR(LOOKUP(2,1/(('Match Log'!$A$4:$A$810=$A361)*('Match Log'!$E$4:$E$810="Win")),'Match Log'!$D$4:$D$810),""))</f>
        <v/>
      </c>
      <c r="E361" t="str">
        <f>IFERROR(INDEX('Match Log'!$F$4:$F$810,MATCH(337,'Match Log'!$A$4:$A$810,0)),"")</f>
        <v/>
      </c>
      <c r="F361">
        <f>IFERROR(SUMIFS('Match Log'!$I$4:$I$810,'Match Log'!$A$4:$A$810,337,'Match Log'!$E$4:$E$810,"Win"),"")</f>
        <v>0</v>
      </c>
      <c r="G361" t="str">
        <f t="shared" si="37"/>
        <v/>
      </c>
      <c r="H361" t="str">
        <f t="array" ref="H361">IFERROR(IF(COUNTIFS('Match Log'!$A$4:$A$810,$A361,'Match Log'!$E$4:$E$810,"Win")&gt;1,_xlfn.TEXTJOIN(" + ",TRUE,IF(('Match Log'!$A$4:$A$810=$A361)*('Match Log'!$E$4:$E$810="Loss"),'Match Log'!$D$4:$D$810,"")),IF($E361=2,LOOKUP(2,1/(('Match Log'!$A$4:$A$810=$A361)*('Match Log'!$E$4:$E$810="Loss")),'Match Log'!$D$4:$D$810),"the field")),"")</f>
        <v>the field</v>
      </c>
      <c r="I361" t="str">
        <f t="shared" si="38"/>
        <v/>
      </c>
      <c r="J361">
        <v>337</v>
      </c>
      <c r="K361" t="e">
        <f>IF($J361&gt;MAX('Match Log'!$A$4:$A$810),NA(),IFERROR(LOOKUP(2,1/(('Match Log'!$D$4:$D$810=$K$24)*('Match Log'!$A$4:$A$810&lt;=$J361)),'Match Log'!$N$4:$N$810),NA()))</f>
        <v>#N/A</v>
      </c>
      <c r="L361" t="e">
        <f>IF($J361&gt;MAX('Match Log'!$A$4:$A$810),NA(),IFERROR(LOOKUP(2,1/(('Match Log'!$D$4:$D$810=$L$24)*('Match Log'!$A$4:$A$810&lt;=$J361)),'Match Log'!$N$4:$N$810),NA()))</f>
        <v>#N/A</v>
      </c>
      <c r="M361" t="e">
        <f>IF($J361&gt;MAX('Match Log'!$A$4:$A$810),NA(),IFERROR(LOOKUP(2,1/(('Match Log'!$D$4:$D$810=$M$24)*('Match Log'!$A$4:$A$810&lt;=$J361)),'Match Log'!$N$4:$N$810),NA()))</f>
        <v>#N/A</v>
      </c>
      <c r="N361" t="e">
        <f>IF($J361&gt;MAX('Match Log'!$A$4:$A$810),NA(),IFERROR(LOOKUP(2,1/(('Match Log'!$D$4:$D$810=$N$24)*('Match Log'!$A$4:$A$810&lt;=$J361)),'Match Log'!$N$4:$N$810),NA()))</f>
        <v>#N/A</v>
      </c>
      <c r="O361" t="e">
        <f>IF($J361&gt;MAX('Match Log'!$A$4:$A$810),NA(),IFERROR(LOOKUP(2,1/(('Match Log'!$D$4:$D$810=$O$24)*('Match Log'!$A$4:$A$810&lt;=$J361)),'Match Log'!$N$4:$N$810),NA()))</f>
        <v>#N/A</v>
      </c>
      <c r="P361" t="e">
        <f>IF($J361&gt;MAX('Match Log'!$A$4:$A$810),NA(),IFERROR(LOOKUP(2,1/(('Match Log'!$D$4:$D$810=$P$24)*('Match Log'!$A$4:$A$810&lt;=$J361)),'Match Log'!$N$4:$N$810),NA()))</f>
        <v>#N/A</v>
      </c>
      <c r="Q361" t="e">
        <f>IF($J361&gt;MAX('Match Log'!$A$4:$A$810),NA(),IFERROR(LOOKUP(2,1/(('Match Log'!$D$4:$D$810=$Q$24)*('Match Log'!$A$4:$A$810&lt;=$J361)),'Match Log'!$N$4:$N$810),NA()))</f>
        <v>#N/A</v>
      </c>
      <c r="R361" t="e">
        <f>IF($J361&gt;MAX('Match Log'!$A$4:$A$810),NA(),IFERROR(LOOKUP(2,1/(('Match Log'!$D$4:$D$810=$R$24)*('Match Log'!$A$4:$A$810&lt;=$J361)),'Match Log'!$N$4:$N$810),NA()))</f>
        <v>#N/A</v>
      </c>
      <c r="S361" t="e">
        <f>IF($J361&gt;MAX('Match Log'!$A$4:$A$810),NA(),IFERROR(LOOKUP(2,1/(('Match Log'!$D$4:$D$810=$S$24)*('Match Log'!$A$4:$A$810&lt;=$J361)),'Match Log'!$N$4:$N$810),NA()))</f>
        <v>#N/A</v>
      </c>
      <c r="T361" t="e">
        <f>IF($J361&gt;MAX('Match Log'!$A$4:$A$810),NA(),IFERROR(LOOKUP(2,1/(('Match Log'!$D$4:$D$810=$T$24)*('Match Log'!$A$4:$A$810&lt;=$J361)),'Match Log'!$N$4:$N$810),NA()))</f>
        <v>#N/A</v>
      </c>
      <c r="U361" t="e">
        <f>IF($J361&gt;MAX('Match Log'!$A$4:$A$810),NA(),IFERROR(LOOKUP(2,1/(('Match Log'!$D$4:$D$810=$U$24)*('Match Log'!$A$4:$A$810&lt;=$J361)),'Match Log'!$N$4:$N$810),NA()))</f>
        <v>#N/A</v>
      </c>
      <c r="V361" t="e">
        <f>IF($J361&gt;MAX('Match Log'!$A$4:$A$810),NA(),IFERROR(LOOKUP(2,1/(('Match Log'!$D$4:$D$810=$V$24)*('Match Log'!$A$4:$A$810&lt;=$J361)),'Match Log'!$N$4:$N$810),NA()))</f>
        <v>#N/A</v>
      </c>
      <c r="W361" t="e">
        <f>IF($J361&gt;MAX('Match Log'!$A$4:$A$810),NA(),IFERROR(LOOKUP(2,1/(('Match Log'!$D$4:$D$810=$W$24)*('Match Log'!$A$4:$A$810&lt;=$J361)),'Match Log'!$N$4:$N$810),NA()))</f>
        <v>#N/A</v>
      </c>
      <c r="X361" t="e">
        <f>IF($J361&gt;MAX('Match Log'!$A$4:$A$810),NA(),IFERROR(LOOKUP(2,1/(('Match Log'!$D$4:$D$810=$X$24)*('Match Log'!$A$4:$A$810&lt;=$J361)),'Match Log'!$N$4:$N$810),NA()))</f>
        <v>#N/A</v>
      </c>
      <c r="Y361" t="str">
        <f t="shared" ca="1" si="39"/>
        <v/>
      </c>
    </row>
    <row r="362" spans="1:25" x14ac:dyDescent="0.2">
      <c r="A362">
        <v>338</v>
      </c>
      <c r="B362" t="str">
        <f>IFERROR(INDEX('Match Log'!$B$4:$B$810,MATCH(338,'Match Log'!$A$4:$A$810,0)),"")</f>
        <v/>
      </c>
      <c r="C362" t="str">
        <f>IFERROR(INDEX('Match Log'!$C$4:$C$810,MATCH(338,'Match Log'!$A$4:$A$810,0)),"")</f>
        <v/>
      </c>
      <c r="D362" t="str">
        <f t="array" ref="D362">IFERROR(_xlfn.TEXTJOIN(" + ",TRUE,IF(('Match Log'!$A$4:$A$810=$A362)*('Match Log'!$E$4:$E$810="Win"),'Match Log'!$D$4:$D$810,"")),IFERROR(LOOKUP(2,1/(('Match Log'!$A$4:$A$810=$A362)*('Match Log'!$E$4:$E$810="Win")),'Match Log'!$D$4:$D$810),""))</f>
        <v/>
      </c>
      <c r="E362" t="str">
        <f>IFERROR(INDEX('Match Log'!$F$4:$F$810,MATCH(338,'Match Log'!$A$4:$A$810,0)),"")</f>
        <v/>
      </c>
      <c r="F362">
        <f>IFERROR(SUMIFS('Match Log'!$I$4:$I$810,'Match Log'!$A$4:$A$810,338,'Match Log'!$E$4:$E$810,"Win"),"")</f>
        <v>0</v>
      </c>
      <c r="G362" t="str">
        <f t="shared" si="37"/>
        <v/>
      </c>
      <c r="H362" t="str">
        <f t="array" ref="H362">IFERROR(IF(COUNTIFS('Match Log'!$A$4:$A$810,$A362,'Match Log'!$E$4:$E$810,"Win")&gt;1,_xlfn.TEXTJOIN(" + ",TRUE,IF(('Match Log'!$A$4:$A$810=$A362)*('Match Log'!$E$4:$E$810="Loss"),'Match Log'!$D$4:$D$810,"")),IF($E362=2,LOOKUP(2,1/(('Match Log'!$A$4:$A$810=$A362)*('Match Log'!$E$4:$E$810="Loss")),'Match Log'!$D$4:$D$810),"the field")),"")</f>
        <v>the field</v>
      </c>
      <c r="I362" t="str">
        <f t="shared" si="38"/>
        <v/>
      </c>
      <c r="J362">
        <v>338</v>
      </c>
      <c r="K362" t="e">
        <f>IF($J362&gt;MAX('Match Log'!$A$4:$A$810),NA(),IFERROR(LOOKUP(2,1/(('Match Log'!$D$4:$D$810=$K$24)*('Match Log'!$A$4:$A$810&lt;=$J362)),'Match Log'!$N$4:$N$810),NA()))</f>
        <v>#N/A</v>
      </c>
      <c r="L362" t="e">
        <f>IF($J362&gt;MAX('Match Log'!$A$4:$A$810),NA(),IFERROR(LOOKUP(2,1/(('Match Log'!$D$4:$D$810=$L$24)*('Match Log'!$A$4:$A$810&lt;=$J362)),'Match Log'!$N$4:$N$810),NA()))</f>
        <v>#N/A</v>
      </c>
      <c r="M362" t="e">
        <f>IF($J362&gt;MAX('Match Log'!$A$4:$A$810),NA(),IFERROR(LOOKUP(2,1/(('Match Log'!$D$4:$D$810=$M$24)*('Match Log'!$A$4:$A$810&lt;=$J362)),'Match Log'!$N$4:$N$810),NA()))</f>
        <v>#N/A</v>
      </c>
      <c r="N362" t="e">
        <f>IF($J362&gt;MAX('Match Log'!$A$4:$A$810),NA(),IFERROR(LOOKUP(2,1/(('Match Log'!$D$4:$D$810=$N$24)*('Match Log'!$A$4:$A$810&lt;=$J362)),'Match Log'!$N$4:$N$810),NA()))</f>
        <v>#N/A</v>
      </c>
      <c r="O362" t="e">
        <f>IF($J362&gt;MAX('Match Log'!$A$4:$A$810),NA(),IFERROR(LOOKUP(2,1/(('Match Log'!$D$4:$D$810=$O$24)*('Match Log'!$A$4:$A$810&lt;=$J362)),'Match Log'!$N$4:$N$810),NA()))</f>
        <v>#N/A</v>
      </c>
      <c r="P362" t="e">
        <f>IF($J362&gt;MAX('Match Log'!$A$4:$A$810),NA(),IFERROR(LOOKUP(2,1/(('Match Log'!$D$4:$D$810=$P$24)*('Match Log'!$A$4:$A$810&lt;=$J362)),'Match Log'!$N$4:$N$810),NA()))</f>
        <v>#N/A</v>
      </c>
      <c r="Q362" t="e">
        <f>IF($J362&gt;MAX('Match Log'!$A$4:$A$810),NA(),IFERROR(LOOKUP(2,1/(('Match Log'!$D$4:$D$810=$Q$24)*('Match Log'!$A$4:$A$810&lt;=$J362)),'Match Log'!$N$4:$N$810),NA()))</f>
        <v>#N/A</v>
      </c>
      <c r="R362" t="e">
        <f>IF($J362&gt;MAX('Match Log'!$A$4:$A$810),NA(),IFERROR(LOOKUP(2,1/(('Match Log'!$D$4:$D$810=$R$24)*('Match Log'!$A$4:$A$810&lt;=$J362)),'Match Log'!$N$4:$N$810),NA()))</f>
        <v>#N/A</v>
      </c>
      <c r="S362" t="e">
        <f>IF($J362&gt;MAX('Match Log'!$A$4:$A$810),NA(),IFERROR(LOOKUP(2,1/(('Match Log'!$D$4:$D$810=$S$24)*('Match Log'!$A$4:$A$810&lt;=$J362)),'Match Log'!$N$4:$N$810),NA()))</f>
        <v>#N/A</v>
      </c>
      <c r="T362" t="e">
        <f>IF($J362&gt;MAX('Match Log'!$A$4:$A$810),NA(),IFERROR(LOOKUP(2,1/(('Match Log'!$D$4:$D$810=$T$24)*('Match Log'!$A$4:$A$810&lt;=$J362)),'Match Log'!$N$4:$N$810),NA()))</f>
        <v>#N/A</v>
      </c>
      <c r="U362" t="e">
        <f>IF($J362&gt;MAX('Match Log'!$A$4:$A$810),NA(),IFERROR(LOOKUP(2,1/(('Match Log'!$D$4:$D$810=$U$24)*('Match Log'!$A$4:$A$810&lt;=$J362)),'Match Log'!$N$4:$N$810),NA()))</f>
        <v>#N/A</v>
      </c>
      <c r="V362" t="e">
        <f>IF($J362&gt;MAX('Match Log'!$A$4:$A$810),NA(),IFERROR(LOOKUP(2,1/(('Match Log'!$D$4:$D$810=$V$24)*('Match Log'!$A$4:$A$810&lt;=$J362)),'Match Log'!$N$4:$N$810),NA()))</f>
        <v>#N/A</v>
      </c>
      <c r="W362" t="e">
        <f>IF($J362&gt;MAX('Match Log'!$A$4:$A$810),NA(),IFERROR(LOOKUP(2,1/(('Match Log'!$D$4:$D$810=$W$24)*('Match Log'!$A$4:$A$810&lt;=$J362)),'Match Log'!$N$4:$N$810),NA()))</f>
        <v>#N/A</v>
      </c>
      <c r="X362" t="e">
        <f>IF($J362&gt;MAX('Match Log'!$A$4:$A$810),NA(),IFERROR(LOOKUP(2,1/(('Match Log'!$D$4:$D$810=$X$24)*('Match Log'!$A$4:$A$810&lt;=$J362)),'Match Log'!$N$4:$N$810),NA()))</f>
        <v>#N/A</v>
      </c>
      <c r="Y362" t="str">
        <f t="shared" ca="1" si="39"/>
        <v/>
      </c>
    </row>
    <row r="363" spans="1:25" x14ac:dyDescent="0.2">
      <c r="A363">
        <v>339</v>
      </c>
      <c r="B363" t="str">
        <f>IFERROR(INDEX('Match Log'!$B$4:$B$810,MATCH(339,'Match Log'!$A$4:$A$810,0)),"")</f>
        <v/>
      </c>
      <c r="C363" t="str">
        <f>IFERROR(INDEX('Match Log'!$C$4:$C$810,MATCH(339,'Match Log'!$A$4:$A$810,0)),"")</f>
        <v/>
      </c>
      <c r="D363" t="str">
        <f t="array" ref="D363">IFERROR(_xlfn.TEXTJOIN(" + ",TRUE,IF(('Match Log'!$A$4:$A$810=$A363)*('Match Log'!$E$4:$E$810="Win"),'Match Log'!$D$4:$D$810,"")),IFERROR(LOOKUP(2,1/(('Match Log'!$A$4:$A$810=$A363)*('Match Log'!$E$4:$E$810="Win")),'Match Log'!$D$4:$D$810),""))</f>
        <v/>
      </c>
      <c r="E363" t="str">
        <f>IFERROR(INDEX('Match Log'!$F$4:$F$810,MATCH(339,'Match Log'!$A$4:$A$810,0)),"")</f>
        <v/>
      </c>
      <c r="F363">
        <f>IFERROR(SUMIFS('Match Log'!$I$4:$I$810,'Match Log'!$A$4:$A$810,339,'Match Log'!$E$4:$E$810,"Win"),"")</f>
        <v>0</v>
      </c>
      <c r="G363" t="str">
        <f t="shared" si="37"/>
        <v/>
      </c>
      <c r="H363" t="str">
        <f t="array" ref="H363">IFERROR(IF(COUNTIFS('Match Log'!$A$4:$A$810,$A363,'Match Log'!$E$4:$E$810,"Win")&gt;1,_xlfn.TEXTJOIN(" + ",TRUE,IF(('Match Log'!$A$4:$A$810=$A363)*('Match Log'!$E$4:$E$810="Loss"),'Match Log'!$D$4:$D$810,"")),IF($E363=2,LOOKUP(2,1/(('Match Log'!$A$4:$A$810=$A363)*('Match Log'!$E$4:$E$810="Loss")),'Match Log'!$D$4:$D$810),"the field")),"")</f>
        <v>the field</v>
      </c>
      <c r="I363" t="str">
        <f t="shared" si="38"/>
        <v/>
      </c>
      <c r="J363">
        <v>339</v>
      </c>
      <c r="K363" t="e">
        <f>IF($J363&gt;MAX('Match Log'!$A$4:$A$810),NA(),IFERROR(LOOKUP(2,1/(('Match Log'!$D$4:$D$810=$K$24)*('Match Log'!$A$4:$A$810&lt;=$J363)),'Match Log'!$N$4:$N$810),NA()))</f>
        <v>#N/A</v>
      </c>
      <c r="L363" t="e">
        <f>IF($J363&gt;MAX('Match Log'!$A$4:$A$810),NA(),IFERROR(LOOKUP(2,1/(('Match Log'!$D$4:$D$810=$L$24)*('Match Log'!$A$4:$A$810&lt;=$J363)),'Match Log'!$N$4:$N$810),NA()))</f>
        <v>#N/A</v>
      </c>
      <c r="M363" t="e">
        <f>IF($J363&gt;MAX('Match Log'!$A$4:$A$810),NA(),IFERROR(LOOKUP(2,1/(('Match Log'!$D$4:$D$810=$M$24)*('Match Log'!$A$4:$A$810&lt;=$J363)),'Match Log'!$N$4:$N$810),NA()))</f>
        <v>#N/A</v>
      </c>
      <c r="N363" t="e">
        <f>IF($J363&gt;MAX('Match Log'!$A$4:$A$810),NA(),IFERROR(LOOKUP(2,1/(('Match Log'!$D$4:$D$810=$N$24)*('Match Log'!$A$4:$A$810&lt;=$J363)),'Match Log'!$N$4:$N$810),NA()))</f>
        <v>#N/A</v>
      </c>
      <c r="O363" t="e">
        <f>IF($J363&gt;MAX('Match Log'!$A$4:$A$810),NA(),IFERROR(LOOKUP(2,1/(('Match Log'!$D$4:$D$810=$O$24)*('Match Log'!$A$4:$A$810&lt;=$J363)),'Match Log'!$N$4:$N$810),NA()))</f>
        <v>#N/A</v>
      </c>
      <c r="P363" t="e">
        <f>IF($J363&gt;MAX('Match Log'!$A$4:$A$810),NA(),IFERROR(LOOKUP(2,1/(('Match Log'!$D$4:$D$810=$P$24)*('Match Log'!$A$4:$A$810&lt;=$J363)),'Match Log'!$N$4:$N$810),NA()))</f>
        <v>#N/A</v>
      </c>
      <c r="Q363" t="e">
        <f>IF($J363&gt;MAX('Match Log'!$A$4:$A$810),NA(),IFERROR(LOOKUP(2,1/(('Match Log'!$D$4:$D$810=$Q$24)*('Match Log'!$A$4:$A$810&lt;=$J363)),'Match Log'!$N$4:$N$810),NA()))</f>
        <v>#N/A</v>
      </c>
      <c r="R363" t="e">
        <f>IF($J363&gt;MAX('Match Log'!$A$4:$A$810),NA(),IFERROR(LOOKUP(2,1/(('Match Log'!$D$4:$D$810=$R$24)*('Match Log'!$A$4:$A$810&lt;=$J363)),'Match Log'!$N$4:$N$810),NA()))</f>
        <v>#N/A</v>
      </c>
      <c r="S363" t="e">
        <f>IF($J363&gt;MAX('Match Log'!$A$4:$A$810),NA(),IFERROR(LOOKUP(2,1/(('Match Log'!$D$4:$D$810=$S$24)*('Match Log'!$A$4:$A$810&lt;=$J363)),'Match Log'!$N$4:$N$810),NA()))</f>
        <v>#N/A</v>
      </c>
      <c r="T363" t="e">
        <f>IF($J363&gt;MAX('Match Log'!$A$4:$A$810),NA(),IFERROR(LOOKUP(2,1/(('Match Log'!$D$4:$D$810=$T$24)*('Match Log'!$A$4:$A$810&lt;=$J363)),'Match Log'!$N$4:$N$810),NA()))</f>
        <v>#N/A</v>
      </c>
      <c r="U363" t="e">
        <f>IF($J363&gt;MAX('Match Log'!$A$4:$A$810),NA(),IFERROR(LOOKUP(2,1/(('Match Log'!$D$4:$D$810=$U$24)*('Match Log'!$A$4:$A$810&lt;=$J363)),'Match Log'!$N$4:$N$810),NA()))</f>
        <v>#N/A</v>
      </c>
      <c r="V363" t="e">
        <f>IF($J363&gt;MAX('Match Log'!$A$4:$A$810),NA(),IFERROR(LOOKUP(2,1/(('Match Log'!$D$4:$D$810=$V$24)*('Match Log'!$A$4:$A$810&lt;=$J363)),'Match Log'!$N$4:$N$810),NA()))</f>
        <v>#N/A</v>
      </c>
      <c r="W363" t="e">
        <f>IF($J363&gt;MAX('Match Log'!$A$4:$A$810),NA(),IFERROR(LOOKUP(2,1/(('Match Log'!$D$4:$D$810=$W$24)*('Match Log'!$A$4:$A$810&lt;=$J363)),'Match Log'!$N$4:$N$810),NA()))</f>
        <v>#N/A</v>
      </c>
      <c r="X363" t="e">
        <f>IF($J363&gt;MAX('Match Log'!$A$4:$A$810),NA(),IFERROR(LOOKUP(2,1/(('Match Log'!$D$4:$D$810=$X$24)*('Match Log'!$A$4:$A$810&lt;=$J363)),'Match Log'!$N$4:$N$810),NA()))</f>
        <v>#N/A</v>
      </c>
      <c r="Y363" t="str">
        <f t="shared" ca="1" si="39"/>
        <v/>
      </c>
    </row>
    <row r="364" spans="1:25" x14ac:dyDescent="0.2">
      <c r="A364">
        <v>340</v>
      </c>
      <c r="B364" t="str">
        <f>IFERROR(INDEX('Match Log'!$B$4:$B$810,MATCH(340,'Match Log'!$A$4:$A$810,0)),"")</f>
        <v/>
      </c>
      <c r="C364" t="str">
        <f>IFERROR(INDEX('Match Log'!$C$4:$C$810,MATCH(340,'Match Log'!$A$4:$A$810,0)),"")</f>
        <v/>
      </c>
      <c r="D364" t="str">
        <f t="array" ref="D364">IFERROR(_xlfn.TEXTJOIN(" + ",TRUE,IF(('Match Log'!$A$4:$A$810=$A364)*('Match Log'!$E$4:$E$810="Win"),'Match Log'!$D$4:$D$810,"")),IFERROR(LOOKUP(2,1/(('Match Log'!$A$4:$A$810=$A364)*('Match Log'!$E$4:$E$810="Win")),'Match Log'!$D$4:$D$810),""))</f>
        <v/>
      </c>
      <c r="E364" t="str">
        <f>IFERROR(INDEX('Match Log'!$F$4:$F$810,MATCH(340,'Match Log'!$A$4:$A$810,0)),"")</f>
        <v/>
      </c>
      <c r="F364">
        <f>IFERROR(SUMIFS('Match Log'!$I$4:$I$810,'Match Log'!$A$4:$A$810,340,'Match Log'!$E$4:$E$810,"Win"),"")</f>
        <v>0</v>
      </c>
      <c r="G364" t="str">
        <f t="shared" si="37"/>
        <v/>
      </c>
      <c r="H364" t="str">
        <f t="array" ref="H364">IFERROR(IF(COUNTIFS('Match Log'!$A$4:$A$810,$A364,'Match Log'!$E$4:$E$810,"Win")&gt;1,_xlfn.TEXTJOIN(" + ",TRUE,IF(('Match Log'!$A$4:$A$810=$A364)*('Match Log'!$E$4:$E$810="Loss"),'Match Log'!$D$4:$D$810,"")),IF($E364=2,LOOKUP(2,1/(('Match Log'!$A$4:$A$810=$A364)*('Match Log'!$E$4:$E$810="Loss")),'Match Log'!$D$4:$D$810),"the field")),"")</f>
        <v>the field</v>
      </c>
      <c r="I364" t="str">
        <f t="shared" si="38"/>
        <v/>
      </c>
      <c r="J364">
        <v>340</v>
      </c>
      <c r="K364" t="e">
        <f>IF($J364&gt;MAX('Match Log'!$A$4:$A$810),NA(),IFERROR(LOOKUP(2,1/(('Match Log'!$D$4:$D$810=$K$24)*('Match Log'!$A$4:$A$810&lt;=$J364)),'Match Log'!$N$4:$N$810),NA()))</f>
        <v>#N/A</v>
      </c>
      <c r="L364" t="e">
        <f>IF($J364&gt;MAX('Match Log'!$A$4:$A$810),NA(),IFERROR(LOOKUP(2,1/(('Match Log'!$D$4:$D$810=$L$24)*('Match Log'!$A$4:$A$810&lt;=$J364)),'Match Log'!$N$4:$N$810),NA()))</f>
        <v>#N/A</v>
      </c>
      <c r="M364" t="e">
        <f>IF($J364&gt;MAX('Match Log'!$A$4:$A$810),NA(),IFERROR(LOOKUP(2,1/(('Match Log'!$D$4:$D$810=$M$24)*('Match Log'!$A$4:$A$810&lt;=$J364)),'Match Log'!$N$4:$N$810),NA()))</f>
        <v>#N/A</v>
      </c>
      <c r="N364" t="e">
        <f>IF($J364&gt;MAX('Match Log'!$A$4:$A$810),NA(),IFERROR(LOOKUP(2,1/(('Match Log'!$D$4:$D$810=$N$24)*('Match Log'!$A$4:$A$810&lt;=$J364)),'Match Log'!$N$4:$N$810),NA()))</f>
        <v>#N/A</v>
      </c>
      <c r="O364" t="e">
        <f>IF($J364&gt;MAX('Match Log'!$A$4:$A$810),NA(),IFERROR(LOOKUP(2,1/(('Match Log'!$D$4:$D$810=$O$24)*('Match Log'!$A$4:$A$810&lt;=$J364)),'Match Log'!$N$4:$N$810),NA()))</f>
        <v>#N/A</v>
      </c>
      <c r="P364" t="e">
        <f>IF($J364&gt;MAX('Match Log'!$A$4:$A$810),NA(),IFERROR(LOOKUP(2,1/(('Match Log'!$D$4:$D$810=$P$24)*('Match Log'!$A$4:$A$810&lt;=$J364)),'Match Log'!$N$4:$N$810),NA()))</f>
        <v>#N/A</v>
      </c>
      <c r="Q364" t="e">
        <f>IF($J364&gt;MAX('Match Log'!$A$4:$A$810),NA(),IFERROR(LOOKUP(2,1/(('Match Log'!$D$4:$D$810=$Q$24)*('Match Log'!$A$4:$A$810&lt;=$J364)),'Match Log'!$N$4:$N$810),NA()))</f>
        <v>#N/A</v>
      </c>
      <c r="R364" t="e">
        <f>IF($J364&gt;MAX('Match Log'!$A$4:$A$810),NA(),IFERROR(LOOKUP(2,1/(('Match Log'!$D$4:$D$810=$R$24)*('Match Log'!$A$4:$A$810&lt;=$J364)),'Match Log'!$N$4:$N$810),NA()))</f>
        <v>#N/A</v>
      </c>
      <c r="S364" t="e">
        <f>IF($J364&gt;MAX('Match Log'!$A$4:$A$810),NA(),IFERROR(LOOKUP(2,1/(('Match Log'!$D$4:$D$810=$S$24)*('Match Log'!$A$4:$A$810&lt;=$J364)),'Match Log'!$N$4:$N$810),NA()))</f>
        <v>#N/A</v>
      </c>
      <c r="T364" t="e">
        <f>IF($J364&gt;MAX('Match Log'!$A$4:$A$810),NA(),IFERROR(LOOKUP(2,1/(('Match Log'!$D$4:$D$810=$T$24)*('Match Log'!$A$4:$A$810&lt;=$J364)),'Match Log'!$N$4:$N$810),NA()))</f>
        <v>#N/A</v>
      </c>
      <c r="U364" t="e">
        <f>IF($J364&gt;MAX('Match Log'!$A$4:$A$810),NA(),IFERROR(LOOKUP(2,1/(('Match Log'!$D$4:$D$810=$U$24)*('Match Log'!$A$4:$A$810&lt;=$J364)),'Match Log'!$N$4:$N$810),NA()))</f>
        <v>#N/A</v>
      </c>
      <c r="V364" t="e">
        <f>IF($J364&gt;MAX('Match Log'!$A$4:$A$810),NA(),IFERROR(LOOKUP(2,1/(('Match Log'!$D$4:$D$810=$V$24)*('Match Log'!$A$4:$A$810&lt;=$J364)),'Match Log'!$N$4:$N$810),NA()))</f>
        <v>#N/A</v>
      </c>
      <c r="W364" t="e">
        <f>IF($J364&gt;MAX('Match Log'!$A$4:$A$810),NA(),IFERROR(LOOKUP(2,1/(('Match Log'!$D$4:$D$810=$W$24)*('Match Log'!$A$4:$A$810&lt;=$J364)),'Match Log'!$N$4:$N$810),NA()))</f>
        <v>#N/A</v>
      </c>
      <c r="X364" t="e">
        <f>IF($J364&gt;MAX('Match Log'!$A$4:$A$810),NA(),IFERROR(LOOKUP(2,1/(('Match Log'!$D$4:$D$810=$X$24)*('Match Log'!$A$4:$A$810&lt;=$J364)),'Match Log'!$N$4:$N$810),NA()))</f>
        <v>#N/A</v>
      </c>
      <c r="Y364" t="str">
        <f t="shared" ca="1" si="39"/>
        <v/>
      </c>
    </row>
    <row r="365" spans="1:25" x14ac:dyDescent="0.2">
      <c r="A365">
        <v>341</v>
      </c>
      <c r="B365" t="str">
        <f>IFERROR(INDEX('Match Log'!$B$4:$B$810,MATCH(341,'Match Log'!$A$4:$A$810,0)),"")</f>
        <v/>
      </c>
      <c r="C365" t="str">
        <f>IFERROR(INDEX('Match Log'!$C$4:$C$810,MATCH(341,'Match Log'!$A$4:$A$810,0)),"")</f>
        <v/>
      </c>
      <c r="D365" t="str">
        <f t="array" ref="D365">IFERROR(_xlfn.TEXTJOIN(" + ",TRUE,IF(('Match Log'!$A$4:$A$810=$A365)*('Match Log'!$E$4:$E$810="Win"),'Match Log'!$D$4:$D$810,"")),IFERROR(LOOKUP(2,1/(('Match Log'!$A$4:$A$810=$A365)*('Match Log'!$E$4:$E$810="Win")),'Match Log'!$D$4:$D$810),""))</f>
        <v/>
      </c>
      <c r="E365" t="str">
        <f>IFERROR(INDEX('Match Log'!$F$4:$F$810,MATCH(341,'Match Log'!$A$4:$A$810,0)),"")</f>
        <v/>
      </c>
      <c r="F365">
        <f>IFERROR(SUMIFS('Match Log'!$I$4:$I$810,'Match Log'!$A$4:$A$810,341,'Match Log'!$E$4:$E$810,"Win"),"")</f>
        <v>0</v>
      </c>
      <c r="G365" t="str">
        <f t="shared" si="37"/>
        <v/>
      </c>
      <c r="H365" t="str">
        <f t="array" ref="H365">IFERROR(IF(COUNTIFS('Match Log'!$A$4:$A$810,$A365,'Match Log'!$E$4:$E$810,"Win")&gt;1,_xlfn.TEXTJOIN(" + ",TRUE,IF(('Match Log'!$A$4:$A$810=$A365)*('Match Log'!$E$4:$E$810="Loss"),'Match Log'!$D$4:$D$810,"")),IF($E365=2,LOOKUP(2,1/(('Match Log'!$A$4:$A$810=$A365)*('Match Log'!$E$4:$E$810="Loss")),'Match Log'!$D$4:$D$810),"the field")),"")</f>
        <v>the field</v>
      </c>
      <c r="I365" t="str">
        <f t="shared" si="38"/>
        <v/>
      </c>
      <c r="J365">
        <v>341</v>
      </c>
      <c r="K365" t="e">
        <f>IF($J365&gt;MAX('Match Log'!$A$4:$A$810),NA(),IFERROR(LOOKUP(2,1/(('Match Log'!$D$4:$D$810=$K$24)*('Match Log'!$A$4:$A$810&lt;=$J365)),'Match Log'!$N$4:$N$810),NA()))</f>
        <v>#N/A</v>
      </c>
      <c r="L365" t="e">
        <f>IF($J365&gt;MAX('Match Log'!$A$4:$A$810),NA(),IFERROR(LOOKUP(2,1/(('Match Log'!$D$4:$D$810=$L$24)*('Match Log'!$A$4:$A$810&lt;=$J365)),'Match Log'!$N$4:$N$810),NA()))</f>
        <v>#N/A</v>
      </c>
      <c r="M365" t="e">
        <f>IF($J365&gt;MAX('Match Log'!$A$4:$A$810),NA(),IFERROR(LOOKUP(2,1/(('Match Log'!$D$4:$D$810=$M$24)*('Match Log'!$A$4:$A$810&lt;=$J365)),'Match Log'!$N$4:$N$810),NA()))</f>
        <v>#N/A</v>
      </c>
      <c r="N365" t="e">
        <f>IF($J365&gt;MAX('Match Log'!$A$4:$A$810),NA(),IFERROR(LOOKUP(2,1/(('Match Log'!$D$4:$D$810=$N$24)*('Match Log'!$A$4:$A$810&lt;=$J365)),'Match Log'!$N$4:$N$810),NA()))</f>
        <v>#N/A</v>
      </c>
      <c r="O365" t="e">
        <f>IF($J365&gt;MAX('Match Log'!$A$4:$A$810),NA(),IFERROR(LOOKUP(2,1/(('Match Log'!$D$4:$D$810=$O$24)*('Match Log'!$A$4:$A$810&lt;=$J365)),'Match Log'!$N$4:$N$810),NA()))</f>
        <v>#N/A</v>
      </c>
      <c r="P365" t="e">
        <f>IF($J365&gt;MAX('Match Log'!$A$4:$A$810),NA(),IFERROR(LOOKUP(2,1/(('Match Log'!$D$4:$D$810=$P$24)*('Match Log'!$A$4:$A$810&lt;=$J365)),'Match Log'!$N$4:$N$810),NA()))</f>
        <v>#N/A</v>
      </c>
      <c r="Q365" t="e">
        <f>IF($J365&gt;MAX('Match Log'!$A$4:$A$810),NA(),IFERROR(LOOKUP(2,1/(('Match Log'!$D$4:$D$810=$Q$24)*('Match Log'!$A$4:$A$810&lt;=$J365)),'Match Log'!$N$4:$N$810),NA()))</f>
        <v>#N/A</v>
      </c>
      <c r="R365" t="e">
        <f>IF($J365&gt;MAX('Match Log'!$A$4:$A$810),NA(),IFERROR(LOOKUP(2,1/(('Match Log'!$D$4:$D$810=$R$24)*('Match Log'!$A$4:$A$810&lt;=$J365)),'Match Log'!$N$4:$N$810),NA()))</f>
        <v>#N/A</v>
      </c>
      <c r="S365" t="e">
        <f>IF($J365&gt;MAX('Match Log'!$A$4:$A$810),NA(),IFERROR(LOOKUP(2,1/(('Match Log'!$D$4:$D$810=$S$24)*('Match Log'!$A$4:$A$810&lt;=$J365)),'Match Log'!$N$4:$N$810),NA()))</f>
        <v>#N/A</v>
      </c>
      <c r="T365" t="e">
        <f>IF($J365&gt;MAX('Match Log'!$A$4:$A$810),NA(),IFERROR(LOOKUP(2,1/(('Match Log'!$D$4:$D$810=$T$24)*('Match Log'!$A$4:$A$810&lt;=$J365)),'Match Log'!$N$4:$N$810),NA()))</f>
        <v>#N/A</v>
      </c>
      <c r="U365" t="e">
        <f>IF($J365&gt;MAX('Match Log'!$A$4:$A$810),NA(),IFERROR(LOOKUP(2,1/(('Match Log'!$D$4:$D$810=$U$24)*('Match Log'!$A$4:$A$810&lt;=$J365)),'Match Log'!$N$4:$N$810),NA()))</f>
        <v>#N/A</v>
      </c>
      <c r="V365" t="e">
        <f>IF($J365&gt;MAX('Match Log'!$A$4:$A$810),NA(),IFERROR(LOOKUP(2,1/(('Match Log'!$D$4:$D$810=$V$24)*('Match Log'!$A$4:$A$810&lt;=$J365)),'Match Log'!$N$4:$N$810),NA()))</f>
        <v>#N/A</v>
      </c>
      <c r="W365" t="e">
        <f>IF($J365&gt;MAX('Match Log'!$A$4:$A$810),NA(),IFERROR(LOOKUP(2,1/(('Match Log'!$D$4:$D$810=$W$24)*('Match Log'!$A$4:$A$810&lt;=$J365)),'Match Log'!$N$4:$N$810),NA()))</f>
        <v>#N/A</v>
      </c>
      <c r="X365" t="e">
        <f>IF($J365&gt;MAX('Match Log'!$A$4:$A$810),NA(),IFERROR(LOOKUP(2,1/(('Match Log'!$D$4:$D$810=$X$24)*('Match Log'!$A$4:$A$810&lt;=$J365)),'Match Log'!$N$4:$N$810),NA()))</f>
        <v>#N/A</v>
      </c>
      <c r="Y365" t="str">
        <f t="shared" ca="1" si="39"/>
        <v/>
      </c>
    </row>
    <row r="366" spans="1:25" x14ac:dyDescent="0.2">
      <c r="A366">
        <v>342</v>
      </c>
      <c r="B366" t="str">
        <f>IFERROR(INDEX('Match Log'!$B$4:$B$810,MATCH(342,'Match Log'!$A$4:$A$810,0)),"")</f>
        <v/>
      </c>
      <c r="C366" t="str">
        <f>IFERROR(INDEX('Match Log'!$C$4:$C$810,MATCH(342,'Match Log'!$A$4:$A$810,0)),"")</f>
        <v/>
      </c>
      <c r="D366" t="str">
        <f t="array" ref="D366">IFERROR(_xlfn.TEXTJOIN(" + ",TRUE,IF(('Match Log'!$A$4:$A$810=$A366)*('Match Log'!$E$4:$E$810="Win"),'Match Log'!$D$4:$D$810,"")),IFERROR(LOOKUP(2,1/(('Match Log'!$A$4:$A$810=$A366)*('Match Log'!$E$4:$E$810="Win")),'Match Log'!$D$4:$D$810),""))</f>
        <v/>
      </c>
      <c r="E366" t="str">
        <f>IFERROR(INDEX('Match Log'!$F$4:$F$810,MATCH(342,'Match Log'!$A$4:$A$810,0)),"")</f>
        <v/>
      </c>
      <c r="F366">
        <f>IFERROR(SUMIFS('Match Log'!$I$4:$I$810,'Match Log'!$A$4:$A$810,342,'Match Log'!$E$4:$E$810,"Win"),"")</f>
        <v>0</v>
      </c>
      <c r="G366" t="str">
        <f t="shared" si="37"/>
        <v/>
      </c>
      <c r="H366" t="str">
        <f t="array" ref="H366">IFERROR(IF(COUNTIFS('Match Log'!$A$4:$A$810,$A366,'Match Log'!$E$4:$E$810,"Win")&gt;1,_xlfn.TEXTJOIN(" + ",TRUE,IF(('Match Log'!$A$4:$A$810=$A366)*('Match Log'!$E$4:$E$810="Loss"),'Match Log'!$D$4:$D$810,"")),IF($E366=2,LOOKUP(2,1/(('Match Log'!$A$4:$A$810=$A366)*('Match Log'!$E$4:$E$810="Loss")),'Match Log'!$D$4:$D$810),"the field")),"")</f>
        <v>the field</v>
      </c>
      <c r="I366" t="str">
        <f t="shared" si="38"/>
        <v/>
      </c>
      <c r="J366">
        <v>342</v>
      </c>
      <c r="K366" t="e">
        <f>IF($J366&gt;MAX('Match Log'!$A$4:$A$810),NA(),IFERROR(LOOKUP(2,1/(('Match Log'!$D$4:$D$810=$K$24)*('Match Log'!$A$4:$A$810&lt;=$J366)),'Match Log'!$N$4:$N$810),NA()))</f>
        <v>#N/A</v>
      </c>
      <c r="L366" t="e">
        <f>IF($J366&gt;MAX('Match Log'!$A$4:$A$810),NA(),IFERROR(LOOKUP(2,1/(('Match Log'!$D$4:$D$810=$L$24)*('Match Log'!$A$4:$A$810&lt;=$J366)),'Match Log'!$N$4:$N$810),NA()))</f>
        <v>#N/A</v>
      </c>
      <c r="M366" t="e">
        <f>IF($J366&gt;MAX('Match Log'!$A$4:$A$810),NA(),IFERROR(LOOKUP(2,1/(('Match Log'!$D$4:$D$810=$M$24)*('Match Log'!$A$4:$A$810&lt;=$J366)),'Match Log'!$N$4:$N$810),NA()))</f>
        <v>#N/A</v>
      </c>
      <c r="N366" t="e">
        <f>IF($J366&gt;MAX('Match Log'!$A$4:$A$810),NA(),IFERROR(LOOKUP(2,1/(('Match Log'!$D$4:$D$810=$N$24)*('Match Log'!$A$4:$A$810&lt;=$J366)),'Match Log'!$N$4:$N$810),NA()))</f>
        <v>#N/A</v>
      </c>
      <c r="O366" t="e">
        <f>IF($J366&gt;MAX('Match Log'!$A$4:$A$810),NA(),IFERROR(LOOKUP(2,1/(('Match Log'!$D$4:$D$810=$O$24)*('Match Log'!$A$4:$A$810&lt;=$J366)),'Match Log'!$N$4:$N$810),NA()))</f>
        <v>#N/A</v>
      </c>
      <c r="P366" t="e">
        <f>IF($J366&gt;MAX('Match Log'!$A$4:$A$810),NA(),IFERROR(LOOKUP(2,1/(('Match Log'!$D$4:$D$810=$P$24)*('Match Log'!$A$4:$A$810&lt;=$J366)),'Match Log'!$N$4:$N$810),NA()))</f>
        <v>#N/A</v>
      </c>
      <c r="Q366" t="e">
        <f>IF($J366&gt;MAX('Match Log'!$A$4:$A$810),NA(),IFERROR(LOOKUP(2,1/(('Match Log'!$D$4:$D$810=$Q$24)*('Match Log'!$A$4:$A$810&lt;=$J366)),'Match Log'!$N$4:$N$810),NA()))</f>
        <v>#N/A</v>
      </c>
      <c r="R366" t="e">
        <f>IF($J366&gt;MAX('Match Log'!$A$4:$A$810),NA(),IFERROR(LOOKUP(2,1/(('Match Log'!$D$4:$D$810=$R$24)*('Match Log'!$A$4:$A$810&lt;=$J366)),'Match Log'!$N$4:$N$810),NA()))</f>
        <v>#N/A</v>
      </c>
      <c r="S366" t="e">
        <f>IF($J366&gt;MAX('Match Log'!$A$4:$A$810),NA(),IFERROR(LOOKUP(2,1/(('Match Log'!$D$4:$D$810=$S$24)*('Match Log'!$A$4:$A$810&lt;=$J366)),'Match Log'!$N$4:$N$810),NA()))</f>
        <v>#N/A</v>
      </c>
      <c r="T366" t="e">
        <f>IF($J366&gt;MAX('Match Log'!$A$4:$A$810),NA(),IFERROR(LOOKUP(2,1/(('Match Log'!$D$4:$D$810=$T$24)*('Match Log'!$A$4:$A$810&lt;=$J366)),'Match Log'!$N$4:$N$810),NA()))</f>
        <v>#N/A</v>
      </c>
      <c r="U366" t="e">
        <f>IF($J366&gt;MAX('Match Log'!$A$4:$A$810),NA(),IFERROR(LOOKUP(2,1/(('Match Log'!$D$4:$D$810=$U$24)*('Match Log'!$A$4:$A$810&lt;=$J366)),'Match Log'!$N$4:$N$810),NA()))</f>
        <v>#N/A</v>
      </c>
      <c r="V366" t="e">
        <f>IF($J366&gt;MAX('Match Log'!$A$4:$A$810),NA(),IFERROR(LOOKUP(2,1/(('Match Log'!$D$4:$D$810=$V$24)*('Match Log'!$A$4:$A$810&lt;=$J366)),'Match Log'!$N$4:$N$810),NA()))</f>
        <v>#N/A</v>
      </c>
      <c r="W366" t="e">
        <f>IF($J366&gt;MAX('Match Log'!$A$4:$A$810),NA(),IFERROR(LOOKUP(2,1/(('Match Log'!$D$4:$D$810=$W$24)*('Match Log'!$A$4:$A$810&lt;=$J366)),'Match Log'!$N$4:$N$810),NA()))</f>
        <v>#N/A</v>
      </c>
      <c r="X366" t="e">
        <f>IF($J366&gt;MAX('Match Log'!$A$4:$A$810),NA(),IFERROR(LOOKUP(2,1/(('Match Log'!$D$4:$D$810=$X$24)*('Match Log'!$A$4:$A$810&lt;=$J366)),'Match Log'!$N$4:$N$810),NA()))</f>
        <v>#N/A</v>
      </c>
      <c r="Y366" t="str">
        <f t="shared" ca="1" si="39"/>
        <v/>
      </c>
    </row>
    <row r="367" spans="1:25" x14ac:dyDescent="0.2">
      <c r="A367">
        <v>343</v>
      </c>
      <c r="B367" t="str">
        <f>IFERROR(INDEX('Match Log'!$B$4:$B$810,MATCH(343,'Match Log'!$A$4:$A$810,0)),"")</f>
        <v/>
      </c>
      <c r="C367" t="str">
        <f>IFERROR(INDEX('Match Log'!$C$4:$C$810,MATCH(343,'Match Log'!$A$4:$A$810,0)),"")</f>
        <v/>
      </c>
      <c r="D367" t="str">
        <f t="array" ref="D367">IFERROR(_xlfn.TEXTJOIN(" + ",TRUE,IF(('Match Log'!$A$4:$A$810=$A367)*('Match Log'!$E$4:$E$810="Win"),'Match Log'!$D$4:$D$810,"")),IFERROR(LOOKUP(2,1/(('Match Log'!$A$4:$A$810=$A367)*('Match Log'!$E$4:$E$810="Win")),'Match Log'!$D$4:$D$810),""))</f>
        <v/>
      </c>
      <c r="E367" t="str">
        <f>IFERROR(INDEX('Match Log'!$F$4:$F$810,MATCH(343,'Match Log'!$A$4:$A$810,0)),"")</f>
        <v/>
      </c>
      <c r="F367">
        <f>IFERROR(SUMIFS('Match Log'!$I$4:$I$810,'Match Log'!$A$4:$A$810,343,'Match Log'!$E$4:$E$810,"Win"),"")</f>
        <v>0</v>
      </c>
      <c r="G367" t="str">
        <f t="shared" si="37"/>
        <v/>
      </c>
      <c r="H367" t="str">
        <f t="array" ref="H367">IFERROR(IF(COUNTIFS('Match Log'!$A$4:$A$810,$A367,'Match Log'!$E$4:$E$810,"Win")&gt;1,_xlfn.TEXTJOIN(" + ",TRUE,IF(('Match Log'!$A$4:$A$810=$A367)*('Match Log'!$E$4:$E$810="Loss"),'Match Log'!$D$4:$D$810,"")),IF($E367=2,LOOKUP(2,1/(('Match Log'!$A$4:$A$810=$A367)*('Match Log'!$E$4:$E$810="Loss")),'Match Log'!$D$4:$D$810),"the field")),"")</f>
        <v>the field</v>
      </c>
      <c r="I367" t="str">
        <f t="shared" si="38"/>
        <v/>
      </c>
      <c r="J367">
        <v>343</v>
      </c>
      <c r="K367" t="e">
        <f>IF($J367&gt;MAX('Match Log'!$A$4:$A$810),NA(),IFERROR(LOOKUP(2,1/(('Match Log'!$D$4:$D$810=$K$24)*('Match Log'!$A$4:$A$810&lt;=$J367)),'Match Log'!$N$4:$N$810),NA()))</f>
        <v>#N/A</v>
      </c>
      <c r="L367" t="e">
        <f>IF($J367&gt;MAX('Match Log'!$A$4:$A$810),NA(),IFERROR(LOOKUP(2,1/(('Match Log'!$D$4:$D$810=$L$24)*('Match Log'!$A$4:$A$810&lt;=$J367)),'Match Log'!$N$4:$N$810),NA()))</f>
        <v>#N/A</v>
      </c>
      <c r="M367" t="e">
        <f>IF($J367&gt;MAX('Match Log'!$A$4:$A$810),NA(),IFERROR(LOOKUP(2,1/(('Match Log'!$D$4:$D$810=$M$24)*('Match Log'!$A$4:$A$810&lt;=$J367)),'Match Log'!$N$4:$N$810),NA()))</f>
        <v>#N/A</v>
      </c>
      <c r="N367" t="e">
        <f>IF($J367&gt;MAX('Match Log'!$A$4:$A$810),NA(),IFERROR(LOOKUP(2,1/(('Match Log'!$D$4:$D$810=$N$24)*('Match Log'!$A$4:$A$810&lt;=$J367)),'Match Log'!$N$4:$N$810),NA()))</f>
        <v>#N/A</v>
      </c>
      <c r="O367" t="e">
        <f>IF($J367&gt;MAX('Match Log'!$A$4:$A$810),NA(),IFERROR(LOOKUP(2,1/(('Match Log'!$D$4:$D$810=$O$24)*('Match Log'!$A$4:$A$810&lt;=$J367)),'Match Log'!$N$4:$N$810),NA()))</f>
        <v>#N/A</v>
      </c>
      <c r="P367" t="e">
        <f>IF($J367&gt;MAX('Match Log'!$A$4:$A$810),NA(),IFERROR(LOOKUP(2,1/(('Match Log'!$D$4:$D$810=$P$24)*('Match Log'!$A$4:$A$810&lt;=$J367)),'Match Log'!$N$4:$N$810),NA()))</f>
        <v>#N/A</v>
      </c>
      <c r="Q367" t="e">
        <f>IF($J367&gt;MAX('Match Log'!$A$4:$A$810),NA(),IFERROR(LOOKUP(2,1/(('Match Log'!$D$4:$D$810=$Q$24)*('Match Log'!$A$4:$A$810&lt;=$J367)),'Match Log'!$N$4:$N$810),NA()))</f>
        <v>#N/A</v>
      </c>
      <c r="R367" t="e">
        <f>IF($J367&gt;MAX('Match Log'!$A$4:$A$810),NA(),IFERROR(LOOKUP(2,1/(('Match Log'!$D$4:$D$810=$R$24)*('Match Log'!$A$4:$A$810&lt;=$J367)),'Match Log'!$N$4:$N$810),NA()))</f>
        <v>#N/A</v>
      </c>
      <c r="S367" t="e">
        <f>IF($J367&gt;MAX('Match Log'!$A$4:$A$810),NA(),IFERROR(LOOKUP(2,1/(('Match Log'!$D$4:$D$810=$S$24)*('Match Log'!$A$4:$A$810&lt;=$J367)),'Match Log'!$N$4:$N$810),NA()))</f>
        <v>#N/A</v>
      </c>
      <c r="T367" t="e">
        <f>IF($J367&gt;MAX('Match Log'!$A$4:$A$810),NA(),IFERROR(LOOKUP(2,1/(('Match Log'!$D$4:$D$810=$T$24)*('Match Log'!$A$4:$A$810&lt;=$J367)),'Match Log'!$N$4:$N$810),NA()))</f>
        <v>#N/A</v>
      </c>
      <c r="U367" t="e">
        <f>IF($J367&gt;MAX('Match Log'!$A$4:$A$810),NA(),IFERROR(LOOKUP(2,1/(('Match Log'!$D$4:$D$810=$U$24)*('Match Log'!$A$4:$A$810&lt;=$J367)),'Match Log'!$N$4:$N$810),NA()))</f>
        <v>#N/A</v>
      </c>
      <c r="V367" t="e">
        <f>IF($J367&gt;MAX('Match Log'!$A$4:$A$810),NA(),IFERROR(LOOKUP(2,1/(('Match Log'!$D$4:$D$810=$V$24)*('Match Log'!$A$4:$A$810&lt;=$J367)),'Match Log'!$N$4:$N$810),NA()))</f>
        <v>#N/A</v>
      </c>
      <c r="W367" t="e">
        <f>IF($J367&gt;MAX('Match Log'!$A$4:$A$810),NA(),IFERROR(LOOKUP(2,1/(('Match Log'!$D$4:$D$810=$W$24)*('Match Log'!$A$4:$A$810&lt;=$J367)),'Match Log'!$N$4:$N$810),NA()))</f>
        <v>#N/A</v>
      </c>
      <c r="X367" t="e">
        <f>IF($J367&gt;MAX('Match Log'!$A$4:$A$810),NA(),IFERROR(LOOKUP(2,1/(('Match Log'!$D$4:$D$810=$X$24)*('Match Log'!$A$4:$A$810&lt;=$J367)),'Match Log'!$N$4:$N$810),NA()))</f>
        <v>#N/A</v>
      </c>
      <c r="Y367" t="str">
        <f t="shared" ca="1" si="39"/>
        <v/>
      </c>
    </row>
    <row r="368" spans="1:25" x14ac:dyDescent="0.2">
      <c r="A368">
        <v>344</v>
      </c>
      <c r="B368" t="str">
        <f>IFERROR(INDEX('Match Log'!$B$4:$B$810,MATCH(344,'Match Log'!$A$4:$A$810,0)),"")</f>
        <v/>
      </c>
      <c r="C368" t="str">
        <f>IFERROR(INDEX('Match Log'!$C$4:$C$810,MATCH(344,'Match Log'!$A$4:$A$810,0)),"")</f>
        <v/>
      </c>
      <c r="D368" t="str">
        <f t="array" ref="D368">IFERROR(_xlfn.TEXTJOIN(" + ",TRUE,IF(('Match Log'!$A$4:$A$810=$A368)*('Match Log'!$E$4:$E$810="Win"),'Match Log'!$D$4:$D$810,"")),IFERROR(LOOKUP(2,1/(('Match Log'!$A$4:$A$810=$A368)*('Match Log'!$E$4:$E$810="Win")),'Match Log'!$D$4:$D$810),""))</f>
        <v/>
      </c>
      <c r="E368" t="str">
        <f>IFERROR(INDEX('Match Log'!$F$4:$F$810,MATCH(344,'Match Log'!$A$4:$A$810,0)),"")</f>
        <v/>
      </c>
      <c r="F368">
        <f>IFERROR(SUMIFS('Match Log'!$I$4:$I$810,'Match Log'!$A$4:$A$810,344,'Match Log'!$E$4:$E$810,"Win"),"")</f>
        <v>0</v>
      </c>
      <c r="G368" t="str">
        <f t="shared" si="37"/>
        <v/>
      </c>
      <c r="H368" t="str">
        <f t="array" ref="H368">IFERROR(IF(COUNTIFS('Match Log'!$A$4:$A$810,$A368,'Match Log'!$E$4:$E$810,"Win")&gt;1,_xlfn.TEXTJOIN(" + ",TRUE,IF(('Match Log'!$A$4:$A$810=$A368)*('Match Log'!$E$4:$E$810="Loss"),'Match Log'!$D$4:$D$810,"")),IF($E368=2,LOOKUP(2,1/(('Match Log'!$A$4:$A$810=$A368)*('Match Log'!$E$4:$E$810="Loss")),'Match Log'!$D$4:$D$810),"the field")),"")</f>
        <v>the field</v>
      </c>
      <c r="I368" t="str">
        <f t="shared" si="38"/>
        <v/>
      </c>
      <c r="J368">
        <v>344</v>
      </c>
      <c r="K368" t="e">
        <f>IF($J368&gt;MAX('Match Log'!$A$4:$A$810),NA(),IFERROR(LOOKUP(2,1/(('Match Log'!$D$4:$D$810=$K$24)*('Match Log'!$A$4:$A$810&lt;=$J368)),'Match Log'!$N$4:$N$810),NA()))</f>
        <v>#N/A</v>
      </c>
      <c r="L368" t="e">
        <f>IF($J368&gt;MAX('Match Log'!$A$4:$A$810),NA(),IFERROR(LOOKUP(2,1/(('Match Log'!$D$4:$D$810=$L$24)*('Match Log'!$A$4:$A$810&lt;=$J368)),'Match Log'!$N$4:$N$810),NA()))</f>
        <v>#N/A</v>
      </c>
      <c r="M368" t="e">
        <f>IF($J368&gt;MAX('Match Log'!$A$4:$A$810),NA(),IFERROR(LOOKUP(2,1/(('Match Log'!$D$4:$D$810=$M$24)*('Match Log'!$A$4:$A$810&lt;=$J368)),'Match Log'!$N$4:$N$810),NA()))</f>
        <v>#N/A</v>
      </c>
      <c r="N368" t="e">
        <f>IF($J368&gt;MAX('Match Log'!$A$4:$A$810),NA(),IFERROR(LOOKUP(2,1/(('Match Log'!$D$4:$D$810=$N$24)*('Match Log'!$A$4:$A$810&lt;=$J368)),'Match Log'!$N$4:$N$810),NA()))</f>
        <v>#N/A</v>
      </c>
      <c r="O368" t="e">
        <f>IF($J368&gt;MAX('Match Log'!$A$4:$A$810),NA(),IFERROR(LOOKUP(2,1/(('Match Log'!$D$4:$D$810=$O$24)*('Match Log'!$A$4:$A$810&lt;=$J368)),'Match Log'!$N$4:$N$810),NA()))</f>
        <v>#N/A</v>
      </c>
      <c r="P368" t="e">
        <f>IF($J368&gt;MAX('Match Log'!$A$4:$A$810),NA(),IFERROR(LOOKUP(2,1/(('Match Log'!$D$4:$D$810=$P$24)*('Match Log'!$A$4:$A$810&lt;=$J368)),'Match Log'!$N$4:$N$810),NA()))</f>
        <v>#N/A</v>
      </c>
      <c r="Q368" t="e">
        <f>IF($J368&gt;MAX('Match Log'!$A$4:$A$810),NA(),IFERROR(LOOKUP(2,1/(('Match Log'!$D$4:$D$810=$Q$24)*('Match Log'!$A$4:$A$810&lt;=$J368)),'Match Log'!$N$4:$N$810),NA()))</f>
        <v>#N/A</v>
      </c>
      <c r="R368" t="e">
        <f>IF($J368&gt;MAX('Match Log'!$A$4:$A$810),NA(),IFERROR(LOOKUP(2,1/(('Match Log'!$D$4:$D$810=$R$24)*('Match Log'!$A$4:$A$810&lt;=$J368)),'Match Log'!$N$4:$N$810),NA()))</f>
        <v>#N/A</v>
      </c>
      <c r="S368" t="e">
        <f>IF($J368&gt;MAX('Match Log'!$A$4:$A$810),NA(),IFERROR(LOOKUP(2,1/(('Match Log'!$D$4:$D$810=$S$24)*('Match Log'!$A$4:$A$810&lt;=$J368)),'Match Log'!$N$4:$N$810),NA()))</f>
        <v>#N/A</v>
      </c>
      <c r="T368" t="e">
        <f>IF($J368&gt;MAX('Match Log'!$A$4:$A$810),NA(),IFERROR(LOOKUP(2,1/(('Match Log'!$D$4:$D$810=$T$24)*('Match Log'!$A$4:$A$810&lt;=$J368)),'Match Log'!$N$4:$N$810),NA()))</f>
        <v>#N/A</v>
      </c>
      <c r="U368" t="e">
        <f>IF($J368&gt;MAX('Match Log'!$A$4:$A$810),NA(),IFERROR(LOOKUP(2,1/(('Match Log'!$D$4:$D$810=$U$24)*('Match Log'!$A$4:$A$810&lt;=$J368)),'Match Log'!$N$4:$N$810),NA()))</f>
        <v>#N/A</v>
      </c>
      <c r="V368" t="e">
        <f>IF($J368&gt;MAX('Match Log'!$A$4:$A$810),NA(),IFERROR(LOOKUP(2,1/(('Match Log'!$D$4:$D$810=$V$24)*('Match Log'!$A$4:$A$810&lt;=$J368)),'Match Log'!$N$4:$N$810),NA()))</f>
        <v>#N/A</v>
      </c>
      <c r="W368" t="e">
        <f>IF($J368&gt;MAX('Match Log'!$A$4:$A$810),NA(),IFERROR(LOOKUP(2,1/(('Match Log'!$D$4:$D$810=$W$24)*('Match Log'!$A$4:$A$810&lt;=$J368)),'Match Log'!$N$4:$N$810),NA()))</f>
        <v>#N/A</v>
      </c>
      <c r="X368" t="e">
        <f>IF($J368&gt;MAX('Match Log'!$A$4:$A$810),NA(),IFERROR(LOOKUP(2,1/(('Match Log'!$D$4:$D$810=$X$24)*('Match Log'!$A$4:$A$810&lt;=$J368)),'Match Log'!$N$4:$N$810),NA()))</f>
        <v>#N/A</v>
      </c>
      <c r="Y368" t="str">
        <f t="shared" ca="1" si="39"/>
        <v/>
      </c>
    </row>
    <row r="369" spans="1:25" x14ac:dyDescent="0.2">
      <c r="A369">
        <v>345</v>
      </c>
      <c r="B369" t="str">
        <f>IFERROR(INDEX('Match Log'!$B$4:$B$810,MATCH(345,'Match Log'!$A$4:$A$810,0)),"")</f>
        <v/>
      </c>
      <c r="C369" t="str">
        <f>IFERROR(INDEX('Match Log'!$C$4:$C$810,MATCH(345,'Match Log'!$A$4:$A$810,0)),"")</f>
        <v/>
      </c>
      <c r="D369" t="str">
        <f t="array" ref="D369">IFERROR(_xlfn.TEXTJOIN(" + ",TRUE,IF(('Match Log'!$A$4:$A$810=$A369)*('Match Log'!$E$4:$E$810="Win"),'Match Log'!$D$4:$D$810,"")),IFERROR(LOOKUP(2,1/(('Match Log'!$A$4:$A$810=$A369)*('Match Log'!$E$4:$E$810="Win")),'Match Log'!$D$4:$D$810),""))</f>
        <v/>
      </c>
      <c r="E369" t="str">
        <f>IFERROR(INDEX('Match Log'!$F$4:$F$810,MATCH(345,'Match Log'!$A$4:$A$810,0)),"")</f>
        <v/>
      </c>
      <c r="F369">
        <f>IFERROR(SUMIFS('Match Log'!$I$4:$I$810,'Match Log'!$A$4:$A$810,345,'Match Log'!$E$4:$E$810,"Win"),"")</f>
        <v>0</v>
      </c>
      <c r="G369" t="str">
        <f t="shared" si="37"/>
        <v/>
      </c>
      <c r="H369" t="str">
        <f t="array" ref="H369">IFERROR(IF(COUNTIFS('Match Log'!$A$4:$A$810,$A369,'Match Log'!$E$4:$E$810,"Win")&gt;1,_xlfn.TEXTJOIN(" + ",TRUE,IF(('Match Log'!$A$4:$A$810=$A369)*('Match Log'!$E$4:$E$810="Loss"),'Match Log'!$D$4:$D$810,"")),IF($E369=2,LOOKUP(2,1/(('Match Log'!$A$4:$A$810=$A369)*('Match Log'!$E$4:$E$810="Loss")),'Match Log'!$D$4:$D$810),"the field")),"")</f>
        <v>the field</v>
      </c>
      <c r="I369" t="str">
        <f t="shared" si="38"/>
        <v/>
      </c>
      <c r="J369">
        <v>345</v>
      </c>
      <c r="K369" t="e">
        <f>IF($J369&gt;MAX('Match Log'!$A$4:$A$810),NA(),IFERROR(LOOKUP(2,1/(('Match Log'!$D$4:$D$810=$K$24)*('Match Log'!$A$4:$A$810&lt;=$J369)),'Match Log'!$N$4:$N$810),NA()))</f>
        <v>#N/A</v>
      </c>
      <c r="L369" t="e">
        <f>IF($J369&gt;MAX('Match Log'!$A$4:$A$810),NA(),IFERROR(LOOKUP(2,1/(('Match Log'!$D$4:$D$810=$L$24)*('Match Log'!$A$4:$A$810&lt;=$J369)),'Match Log'!$N$4:$N$810),NA()))</f>
        <v>#N/A</v>
      </c>
      <c r="M369" t="e">
        <f>IF($J369&gt;MAX('Match Log'!$A$4:$A$810),NA(),IFERROR(LOOKUP(2,1/(('Match Log'!$D$4:$D$810=$M$24)*('Match Log'!$A$4:$A$810&lt;=$J369)),'Match Log'!$N$4:$N$810),NA()))</f>
        <v>#N/A</v>
      </c>
      <c r="N369" t="e">
        <f>IF($J369&gt;MAX('Match Log'!$A$4:$A$810),NA(),IFERROR(LOOKUP(2,1/(('Match Log'!$D$4:$D$810=$N$24)*('Match Log'!$A$4:$A$810&lt;=$J369)),'Match Log'!$N$4:$N$810),NA()))</f>
        <v>#N/A</v>
      </c>
      <c r="O369" t="e">
        <f>IF($J369&gt;MAX('Match Log'!$A$4:$A$810),NA(),IFERROR(LOOKUP(2,1/(('Match Log'!$D$4:$D$810=$O$24)*('Match Log'!$A$4:$A$810&lt;=$J369)),'Match Log'!$N$4:$N$810),NA()))</f>
        <v>#N/A</v>
      </c>
      <c r="P369" t="e">
        <f>IF($J369&gt;MAX('Match Log'!$A$4:$A$810),NA(),IFERROR(LOOKUP(2,1/(('Match Log'!$D$4:$D$810=$P$24)*('Match Log'!$A$4:$A$810&lt;=$J369)),'Match Log'!$N$4:$N$810),NA()))</f>
        <v>#N/A</v>
      </c>
      <c r="Q369" t="e">
        <f>IF($J369&gt;MAX('Match Log'!$A$4:$A$810),NA(),IFERROR(LOOKUP(2,1/(('Match Log'!$D$4:$D$810=$Q$24)*('Match Log'!$A$4:$A$810&lt;=$J369)),'Match Log'!$N$4:$N$810),NA()))</f>
        <v>#N/A</v>
      </c>
      <c r="R369" t="e">
        <f>IF($J369&gt;MAX('Match Log'!$A$4:$A$810),NA(),IFERROR(LOOKUP(2,1/(('Match Log'!$D$4:$D$810=$R$24)*('Match Log'!$A$4:$A$810&lt;=$J369)),'Match Log'!$N$4:$N$810),NA()))</f>
        <v>#N/A</v>
      </c>
      <c r="S369" t="e">
        <f>IF($J369&gt;MAX('Match Log'!$A$4:$A$810),NA(),IFERROR(LOOKUP(2,1/(('Match Log'!$D$4:$D$810=$S$24)*('Match Log'!$A$4:$A$810&lt;=$J369)),'Match Log'!$N$4:$N$810),NA()))</f>
        <v>#N/A</v>
      </c>
      <c r="T369" t="e">
        <f>IF($J369&gt;MAX('Match Log'!$A$4:$A$810),NA(),IFERROR(LOOKUP(2,1/(('Match Log'!$D$4:$D$810=$T$24)*('Match Log'!$A$4:$A$810&lt;=$J369)),'Match Log'!$N$4:$N$810),NA()))</f>
        <v>#N/A</v>
      </c>
      <c r="U369" t="e">
        <f>IF($J369&gt;MAX('Match Log'!$A$4:$A$810),NA(),IFERROR(LOOKUP(2,1/(('Match Log'!$D$4:$D$810=$U$24)*('Match Log'!$A$4:$A$810&lt;=$J369)),'Match Log'!$N$4:$N$810),NA()))</f>
        <v>#N/A</v>
      </c>
      <c r="V369" t="e">
        <f>IF($J369&gt;MAX('Match Log'!$A$4:$A$810),NA(),IFERROR(LOOKUP(2,1/(('Match Log'!$D$4:$D$810=$V$24)*('Match Log'!$A$4:$A$810&lt;=$J369)),'Match Log'!$N$4:$N$810),NA()))</f>
        <v>#N/A</v>
      </c>
      <c r="W369" t="e">
        <f>IF($J369&gt;MAX('Match Log'!$A$4:$A$810),NA(),IFERROR(LOOKUP(2,1/(('Match Log'!$D$4:$D$810=$W$24)*('Match Log'!$A$4:$A$810&lt;=$J369)),'Match Log'!$N$4:$N$810),NA()))</f>
        <v>#N/A</v>
      </c>
      <c r="X369" t="e">
        <f>IF($J369&gt;MAX('Match Log'!$A$4:$A$810),NA(),IFERROR(LOOKUP(2,1/(('Match Log'!$D$4:$D$810=$X$24)*('Match Log'!$A$4:$A$810&lt;=$J369)),'Match Log'!$N$4:$N$810),NA()))</f>
        <v>#N/A</v>
      </c>
      <c r="Y369" t="str">
        <f t="shared" ca="1" si="39"/>
        <v/>
      </c>
    </row>
    <row r="370" spans="1:25" x14ac:dyDescent="0.2">
      <c r="A370">
        <v>346</v>
      </c>
      <c r="B370" t="str">
        <f>IFERROR(INDEX('Match Log'!$B$4:$B$810,MATCH(346,'Match Log'!$A$4:$A$810,0)),"")</f>
        <v/>
      </c>
      <c r="C370" t="str">
        <f>IFERROR(INDEX('Match Log'!$C$4:$C$810,MATCH(346,'Match Log'!$A$4:$A$810,0)),"")</f>
        <v/>
      </c>
      <c r="D370" t="str">
        <f t="array" ref="D370">IFERROR(_xlfn.TEXTJOIN(" + ",TRUE,IF(('Match Log'!$A$4:$A$810=$A370)*('Match Log'!$E$4:$E$810="Win"),'Match Log'!$D$4:$D$810,"")),IFERROR(LOOKUP(2,1/(('Match Log'!$A$4:$A$810=$A370)*('Match Log'!$E$4:$E$810="Win")),'Match Log'!$D$4:$D$810),""))</f>
        <v/>
      </c>
      <c r="E370" t="str">
        <f>IFERROR(INDEX('Match Log'!$F$4:$F$810,MATCH(346,'Match Log'!$A$4:$A$810,0)),"")</f>
        <v/>
      </c>
      <c r="F370">
        <f>IFERROR(SUMIFS('Match Log'!$I$4:$I$810,'Match Log'!$A$4:$A$810,346,'Match Log'!$E$4:$E$810,"Win"),"")</f>
        <v>0</v>
      </c>
      <c r="G370" t="str">
        <f t="shared" si="37"/>
        <v/>
      </c>
      <c r="H370" t="str">
        <f t="array" ref="H370">IFERROR(IF(COUNTIFS('Match Log'!$A$4:$A$810,$A370,'Match Log'!$E$4:$E$810,"Win")&gt;1,_xlfn.TEXTJOIN(" + ",TRUE,IF(('Match Log'!$A$4:$A$810=$A370)*('Match Log'!$E$4:$E$810="Loss"),'Match Log'!$D$4:$D$810,"")),IF($E370=2,LOOKUP(2,1/(('Match Log'!$A$4:$A$810=$A370)*('Match Log'!$E$4:$E$810="Loss")),'Match Log'!$D$4:$D$810),"the field")),"")</f>
        <v>the field</v>
      </c>
      <c r="I370" t="str">
        <f t="shared" si="38"/>
        <v/>
      </c>
      <c r="J370">
        <v>346</v>
      </c>
      <c r="K370" t="e">
        <f>IF($J370&gt;MAX('Match Log'!$A$4:$A$810),NA(),IFERROR(LOOKUP(2,1/(('Match Log'!$D$4:$D$810=$K$24)*('Match Log'!$A$4:$A$810&lt;=$J370)),'Match Log'!$N$4:$N$810),NA()))</f>
        <v>#N/A</v>
      </c>
      <c r="L370" t="e">
        <f>IF($J370&gt;MAX('Match Log'!$A$4:$A$810),NA(),IFERROR(LOOKUP(2,1/(('Match Log'!$D$4:$D$810=$L$24)*('Match Log'!$A$4:$A$810&lt;=$J370)),'Match Log'!$N$4:$N$810),NA()))</f>
        <v>#N/A</v>
      </c>
      <c r="M370" t="e">
        <f>IF($J370&gt;MAX('Match Log'!$A$4:$A$810),NA(),IFERROR(LOOKUP(2,1/(('Match Log'!$D$4:$D$810=$M$24)*('Match Log'!$A$4:$A$810&lt;=$J370)),'Match Log'!$N$4:$N$810),NA()))</f>
        <v>#N/A</v>
      </c>
      <c r="N370" t="e">
        <f>IF($J370&gt;MAX('Match Log'!$A$4:$A$810),NA(),IFERROR(LOOKUP(2,1/(('Match Log'!$D$4:$D$810=$N$24)*('Match Log'!$A$4:$A$810&lt;=$J370)),'Match Log'!$N$4:$N$810),NA()))</f>
        <v>#N/A</v>
      </c>
      <c r="O370" t="e">
        <f>IF($J370&gt;MAX('Match Log'!$A$4:$A$810),NA(),IFERROR(LOOKUP(2,1/(('Match Log'!$D$4:$D$810=$O$24)*('Match Log'!$A$4:$A$810&lt;=$J370)),'Match Log'!$N$4:$N$810),NA()))</f>
        <v>#N/A</v>
      </c>
      <c r="P370" t="e">
        <f>IF($J370&gt;MAX('Match Log'!$A$4:$A$810),NA(),IFERROR(LOOKUP(2,1/(('Match Log'!$D$4:$D$810=$P$24)*('Match Log'!$A$4:$A$810&lt;=$J370)),'Match Log'!$N$4:$N$810),NA()))</f>
        <v>#N/A</v>
      </c>
      <c r="Q370" t="e">
        <f>IF($J370&gt;MAX('Match Log'!$A$4:$A$810),NA(),IFERROR(LOOKUP(2,1/(('Match Log'!$D$4:$D$810=$Q$24)*('Match Log'!$A$4:$A$810&lt;=$J370)),'Match Log'!$N$4:$N$810),NA()))</f>
        <v>#N/A</v>
      </c>
      <c r="R370" t="e">
        <f>IF($J370&gt;MAX('Match Log'!$A$4:$A$810),NA(),IFERROR(LOOKUP(2,1/(('Match Log'!$D$4:$D$810=$R$24)*('Match Log'!$A$4:$A$810&lt;=$J370)),'Match Log'!$N$4:$N$810),NA()))</f>
        <v>#N/A</v>
      </c>
      <c r="S370" t="e">
        <f>IF($J370&gt;MAX('Match Log'!$A$4:$A$810),NA(),IFERROR(LOOKUP(2,1/(('Match Log'!$D$4:$D$810=$S$24)*('Match Log'!$A$4:$A$810&lt;=$J370)),'Match Log'!$N$4:$N$810),NA()))</f>
        <v>#N/A</v>
      </c>
      <c r="T370" t="e">
        <f>IF($J370&gt;MAX('Match Log'!$A$4:$A$810),NA(),IFERROR(LOOKUP(2,1/(('Match Log'!$D$4:$D$810=$T$24)*('Match Log'!$A$4:$A$810&lt;=$J370)),'Match Log'!$N$4:$N$810),NA()))</f>
        <v>#N/A</v>
      </c>
      <c r="U370" t="e">
        <f>IF($J370&gt;MAX('Match Log'!$A$4:$A$810),NA(),IFERROR(LOOKUP(2,1/(('Match Log'!$D$4:$D$810=$U$24)*('Match Log'!$A$4:$A$810&lt;=$J370)),'Match Log'!$N$4:$N$810),NA()))</f>
        <v>#N/A</v>
      </c>
      <c r="V370" t="e">
        <f>IF($J370&gt;MAX('Match Log'!$A$4:$A$810),NA(),IFERROR(LOOKUP(2,1/(('Match Log'!$D$4:$D$810=$V$24)*('Match Log'!$A$4:$A$810&lt;=$J370)),'Match Log'!$N$4:$N$810),NA()))</f>
        <v>#N/A</v>
      </c>
      <c r="W370" t="e">
        <f>IF($J370&gt;MAX('Match Log'!$A$4:$A$810),NA(),IFERROR(LOOKUP(2,1/(('Match Log'!$D$4:$D$810=$W$24)*('Match Log'!$A$4:$A$810&lt;=$J370)),'Match Log'!$N$4:$N$810),NA()))</f>
        <v>#N/A</v>
      </c>
      <c r="X370" t="e">
        <f>IF($J370&gt;MAX('Match Log'!$A$4:$A$810),NA(),IFERROR(LOOKUP(2,1/(('Match Log'!$D$4:$D$810=$X$24)*('Match Log'!$A$4:$A$810&lt;=$J370)),'Match Log'!$N$4:$N$810),NA()))</f>
        <v>#N/A</v>
      </c>
      <c r="Y370" t="str">
        <f t="shared" ca="1" si="39"/>
        <v/>
      </c>
    </row>
    <row r="371" spans="1:25" x14ac:dyDescent="0.2">
      <c r="A371">
        <v>347</v>
      </c>
      <c r="B371" t="str">
        <f>IFERROR(INDEX('Match Log'!$B$4:$B$810,MATCH(347,'Match Log'!$A$4:$A$810,0)),"")</f>
        <v/>
      </c>
      <c r="C371" t="str">
        <f>IFERROR(INDEX('Match Log'!$C$4:$C$810,MATCH(347,'Match Log'!$A$4:$A$810,0)),"")</f>
        <v/>
      </c>
      <c r="D371" t="str">
        <f t="array" ref="D371">IFERROR(_xlfn.TEXTJOIN(" + ",TRUE,IF(('Match Log'!$A$4:$A$810=$A371)*('Match Log'!$E$4:$E$810="Win"),'Match Log'!$D$4:$D$810,"")),IFERROR(LOOKUP(2,1/(('Match Log'!$A$4:$A$810=$A371)*('Match Log'!$E$4:$E$810="Win")),'Match Log'!$D$4:$D$810),""))</f>
        <v/>
      </c>
      <c r="E371" t="str">
        <f>IFERROR(INDEX('Match Log'!$F$4:$F$810,MATCH(347,'Match Log'!$A$4:$A$810,0)),"")</f>
        <v/>
      </c>
      <c r="F371">
        <f>IFERROR(SUMIFS('Match Log'!$I$4:$I$810,'Match Log'!$A$4:$A$810,347,'Match Log'!$E$4:$E$810,"Win"),"")</f>
        <v>0</v>
      </c>
      <c r="G371" t="str">
        <f t="shared" si="37"/>
        <v/>
      </c>
      <c r="H371" t="str">
        <f t="array" ref="H371">IFERROR(IF(COUNTIFS('Match Log'!$A$4:$A$810,$A371,'Match Log'!$E$4:$E$810,"Win")&gt;1,_xlfn.TEXTJOIN(" + ",TRUE,IF(('Match Log'!$A$4:$A$810=$A371)*('Match Log'!$E$4:$E$810="Loss"),'Match Log'!$D$4:$D$810,"")),IF($E371=2,LOOKUP(2,1/(('Match Log'!$A$4:$A$810=$A371)*('Match Log'!$E$4:$E$810="Loss")),'Match Log'!$D$4:$D$810),"the field")),"")</f>
        <v>the field</v>
      </c>
      <c r="I371" t="str">
        <f t="shared" si="38"/>
        <v/>
      </c>
      <c r="J371">
        <v>347</v>
      </c>
      <c r="K371" t="e">
        <f>IF($J371&gt;MAX('Match Log'!$A$4:$A$810),NA(),IFERROR(LOOKUP(2,1/(('Match Log'!$D$4:$D$810=$K$24)*('Match Log'!$A$4:$A$810&lt;=$J371)),'Match Log'!$N$4:$N$810),NA()))</f>
        <v>#N/A</v>
      </c>
      <c r="L371" t="e">
        <f>IF($J371&gt;MAX('Match Log'!$A$4:$A$810),NA(),IFERROR(LOOKUP(2,1/(('Match Log'!$D$4:$D$810=$L$24)*('Match Log'!$A$4:$A$810&lt;=$J371)),'Match Log'!$N$4:$N$810),NA()))</f>
        <v>#N/A</v>
      </c>
      <c r="M371" t="e">
        <f>IF($J371&gt;MAX('Match Log'!$A$4:$A$810),NA(),IFERROR(LOOKUP(2,1/(('Match Log'!$D$4:$D$810=$M$24)*('Match Log'!$A$4:$A$810&lt;=$J371)),'Match Log'!$N$4:$N$810),NA()))</f>
        <v>#N/A</v>
      </c>
      <c r="N371" t="e">
        <f>IF($J371&gt;MAX('Match Log'!$A$4:$A$810),NA(),IFERROR(LOOKUP(2,1/(('Match Log'!$D$4:$D$810=$N$24)*('Match Log'!$A$4:$A$810&lt;=$J371)),'Match Log'!$N$4:$N$810),NA()))</f>
        <v>#N/A</v>
      </c>
      <c r="O371" t="e">
        <f>IF($J371&gt;MAX('Match Log'!$A$4:$A$810),NA(),IFERROR(LOOKUP(2,1/(('Match Log'!$D$4:$D$810=$O$24)*('Match Log'!$A$4:$A$810&lt;=$J371)),'Match Log'!$N$4:$N$810),NA()))</f>
        <v>#N/A</v>
      </c>
      <c r="P371" t="e">
        <f>IF($J371&gt;MAX('Match Log'!$A$4:$A$810),NA(),IFERROR(LOOKUP(2,1/(('Match Log'!$D$4:$D$810=$P$24)*('Match Log'!$A$4:$A$810&lt;=$J371)),'Match Log'!$N$4:$N$810),NA()))</f>
        <v>#N/A</v>
      </c>
      <c r="Q371" t="e">
        <f>IF($J371&gt;MAX('Match Log'!$A$4:$A$810),NA(),IFERROR(LOOKUP(2,1/(('Match Log'!$D$4:$D$810=$Q$24)*('Match Log'!$A$4:$A$810&lt;=$J371)),'Match Log'!$N$4:$N$810),NA()))</f>
        <v>#N/A</v>
      </c>
      <c r="R371" t="e">
        <f>IF($J371&gt;MAX('Match Log'!$A$4:$A$810),NA(),IFERROR(LOOKUP(2,1/(('Match Log'!$D$4:$D$810=$R$24)*('Match Log'!$A$4:$A$810&lt;=$J371)),'Match Log'!$N$4:$N$810),NA()))</f>
        <v>#N/A</v>
      </c>
      <c r="S371" t="e">
        <f>IF($J371&gt;MAX('Match Log'!$A$4:$A$810),NA(),IFERROR(LOOKUP(2,1/(('Match Log'!$D$4:$D$810=$S$24)*('Match Log'!$A$4:$A$810&lt;=$J371)),'Match Log'!$N$4:$N$810),NA()))</f>
        <v>#N/A</v>
      </c>
      <c r="T371" t="e">
        <f>IF($J371&gt;MAX('Match Log'!$A$4:$A$810),NA(),IFERROR(LOOKUP(2,1/(('Match Log'!$D$4:$D$810=$T$24)*('Match Log'!$A$4:$A$810&lt;=$J371)),'Match Log'!$N$4:$N$810),NA()))</f>
        <v>#N/A</v>
      </c>
      <c r="U371" t="e">
        <f>IF($J371&gt;MAX('Match Log'!$A$4:$A$810),NA(),IFERROR(LOOKUP(2,1/(('Match Log'!$D$4:$D$810=$U$24)*('Match Log'!$A$4:$A$810&lt;=$J371)),'Match Log'!$N$4:$N$810),NA()))</f>
        <v>#N/A</v>
      </c>
      <c r="V371" t="e">
        <f>IF($J371&gt;MAX('Match Log'!$A$4:$A$810),NA(),IFERROR(LOOKUP(2,1/(('Match Log'!$D$4:$D$810=$V$24)*('Match Log'!$A$4:$A$810&lt;=$J371)),'Match Log'!$N$4:$N$810),NA()))</f>
        <v>#N/A</v>
      </c>
      <c r="W371" t="e">
        <f>IF($J371&gt;MAX('Match Log'!$A$4:$A$810),NA(),IFERROR(LOOKUP(2,1/(('Match Log'!$D$4:$D$810=$W$24)*('Match Log'!$A$4:$A$810&lt;=$J371)),'Match Log'!$N$4:$N$810),NA()))</f>
        <v>#N/A</v>
      </c>
      <c r="X371" t="e">
        <f>IF($J371&gt;MAX('Match Log'!$A$4:$A$810),NA(),IFERROR(LOOKUP(2,1/(('Match Log'!$D$4:$D$810=$X$24)*('Match Log'!$A$4:$A$810&lt;=$J371)),'Match Log'!$N$4:$N$810),NA()))</f>
        <v>#N/A</v>
      </c>
      <c r="Y371" t="str">
        <f t="shared" ca="1" si="39"/>
        <v/>
      </c>
    </row>
    <row r="372" spans="1:25" x14ac:dyDescent="0.2">
      <c r="A372">
        <v>348</v>
      </c>
      <c r="B372" t="str">
        <f>IFERROR(INDEX('Match Log'!$B$4:$B$810,MATCH(348,'Match Log'!$A$4:$A$810,0)),"")</f>
        <v/>
      </c>
      <c r="C372" t="str">
        <f>IFERROR(INDEX('Match Log'!$C$4:$C$810,MATCH(348,'Match Log'!$A$4:$A$810,0)),"")</f>
        <v/>
      </c>
      <c r="D372" t="str">
        <f t="array" ref="D372">IFERROR(_xlfn.TEXTJOIN(" + ",TRUE,IF(('Match Log'!$A$4:$A$810=$A372)*('Match Log'!$E$4:$E$810="Win"),'Match Log'!$D$4:$D$810,"")),IFERROR(LOOKUP(2,1/(('Match Log'!$A$4:$A$810=$A372)*('Match Log'!$E$4:$E$810="Win")),'Match Log'!$D$4:$D$810),""))</f>
        <v/>
      </c>
      <c r="E372" t="str">
        <f>IFERROR(INDEX('Match Log'!$F$4:$F$810,MATCH(348,'Match Log'!$A$4:$A$810,0)),"")</f>
        <v/>
      </c>
      <c r="F372">
        <f>IFERROR(SUMIFS('Match Log'!$I$4:$I$810,'Match Log'!$A$4:$A$810,348,'Match Log'!$E$4:$E$810,"Win"),"")</f>
        <v>0</v>
      </c>
      <c r="G372" t="str">
        <f t="shared" si="37"/>
        <v/>
      </c>
      <c r="H372" t="str">
        <f t="array" ref="H372">IFERROR(IF(COUNTIFS('Match Log'!$A$4:$A$810,$A372,'Match Log'!$E$4:$E$810,"Win")&gt;1,_xlfn.TEXTJOIN(" + ",TRUE,IF(('Match Log'!$A$4:$A$810=$A372)*('Match Log'!$E$4:$E$810="Loss"),'Match Log'!$D$4:$D$810,"")),IF($E372=2,LOOKUP(2,1/(('Match Log'!$A$4:$A$810=$A372)*('Match Log'!$E$4:$E$810="Loss")),'Match Log'!$D$4:$D$810),"the field")),"")</f>
        <v>the field</v>
      </c>
      <c r="I372" t="str">
        <f t="shared" si="38"/>
        <v/>
      </c>
      <c r="J372">
        <v>348</v>
      </c>
      <c r="K372" t="e">
        <f>IF($J372&gt;MAX('Match Log'!$A$4:$A$810),NA(),IFERROR(LOOKUP(2,1/(('Match Log'!$D$4:$D$810=$K$24)*('Match Log'!$A$4:$A$810&lt;=$J372)),'Match Log'!$N$4:$N$810),NA()))</f>
        <v>#N/A</v>
      </c>
      <c r="L372" t="e">
        <f>IF($J372&gt;MAX('Match Log'!$A$4:$A$810),NA(),IFERROR(LOOKUP(2,1/(('Match Log'!$D$4:$D$810=$L$24)*('Match Log'!$A$4:$A$810&lt;=$J372)),'Match Log'!$N$4:$N$810),NA()))</f>
        <v>#N/A</v>
      </c>
      <c r="M372" t="e">
        <f>IF($J372&gt;MAX('Match Log'!$A$4:$A$810),NA(),IFERROR(LOOKUP(2,1/(('Match Log'!$D$4:$D$810=$M$24)*('Match Log'!$A$4:$A$810&lt;=$J372)),'Match Log'!$N$4:$N$810),NA()))</f>
        <v>#N/A</v>
      </c>
      <c r="N372" t="e">
        <f>IF($J372&gt;MAX('Match Log'!$A$4:$A$810),NA(),IFERROR(LOOKUP(2,1/(('Match Log'!$D$4:$D$810=$N$24)*('Match Log'!$A$4:$A$810&lt;=$J372)),'Match Log'!$N$4:$N$810),NA()))</f>
        <v>#N/A</v>
      </c>
      <c r="O372" t="e">
        <f>IF($J372&gt;MAX('Match Log'!$A$4:$A$810),NA(),IFERROR(LOOKUP(2,1/(('Match Log'!$D$4:$D$810=$O$24)*('Match Log'!$A$4:$A$810&lt;=$J372)),'Match Log'!$N$4:$N$810),NA()))</f>
        <v>#N/A</v>
      </c>
      <c r="P372" t="e">
        <f>IF($J372&gt;MAX('Match Log'!$A$4:$A$810),NA(),IFERROR(LOOKUP(2,1/(('Match Log'!$D$4:$D$810=$P$24)*('Match Log'!$A$4:$A$810&lt;=$J372)),'Match Log'!$N$4:$N$810),NA()))</f>
        <v>#N/A</v>
      </c>
      <c r="Q372" t="e">
        <f>IF($J372&gt;MAX('Match Log'!$A$4:$A$810),NA(),IFERROR(LOOKUP(2,1/(('Match Log'!$D$4:$D$810=$Q$24)*('Match Log'!$A$4:$A$810&lt;=$J372)),'Match Log'!$N$4:$N$810),NA()))</f>
        <v>#N/A</v>
      </c>
      <c r="R372" t="e">
        <f>IF($J372&gt;MAX('Match Log'!$A$4:$A$810),NA(),IFERROR(LOOKUP(2,1/(('Match Log'!$D$4:$D$810=$R$24)*('Match Log'!$A$4:$A$810&lt;=$J372)),'Match Log'!$N$4:$N$810),NA()))</f>
        <v>#N/A</v>
      </c>
      <c r="S372" t="e">
        <f>IF($J372&gt;MAX('Match Log'!$A$4:$A$810),NA(),IFERROR(LOOKUP(2,1/(('Match Log'!$D$4:$D$810=$S$24)*('Match Log'!$A$4:$A$810&lt;=$J372)),'Match Log'!$N$4:$N$810),NA()))</f>
        <v>#N/A</v>
      </c>
      <c r="T372" t="e">
        <f>IF($J372&gt;MAX('Match Log'!$A$4:$A$810),NA(),IFERROR(LOOKUP(2,1/(('Match Log'!$D$4:$D$810=$T$24)*('Match Log'!$A$4:$A$810&lt;=$J372)),'Match Log'!$N$4:$N$810),NA()))</f>
        <v>#N/A</v>
      </c>
      <c r="U372" t="e">
        <f>IF($J372&gt;MAX('Match Log'!$A$4:$A$810),NA(),IFERROR(LOOKUP(2,1/(('Match Log'!$D$4:$D$810=$U$24)*('Match Log'!$A$4:$A$810&lt;=$J372)),'Match Log'!$N$4:$N$810),NA()))</f>
        <v>#N/A</v>
      </c>
      <c r="V372" t="e">
        <f>IF($J372&gt;MAX('Match Log'!$A$4:$A$810),NA(),IFERROR(LOOKUP(2,1/(('Match Log'!$D$4:$D$810=$V$24)*('Match Log'!$A$4:$A$810&lt;=$J372)),'Match Log'!$N$4:$N$810),NA()))</f>
        <v>#N/A</v>
      </c>
      <c r="W372" t="e">
        <f>IF($J372&gt;MAX('Match Log'!$A$4:$A$810),NA(),IFERROR(LOOKUP(2,1/(('Match Log'!$D$4:$D$810=$W$24)*('Match Log'!$A$4:$A$810&lt;=$J372)),'Match Log'!$N$4:$N$810),NA()))</f>
        <v>#N/A</v>
      </c>
      <c r="X372" t="e">
        <f>IF($J372&gt;MAX('Match Log'!$A$4:$A$810),NA(),IFERROR(LOOKUP(2,1/(('Match Log'!$D$4:$D$810=$X$24)*('Match Log'!$A$4:$A$810&lt;=$J372)),'Match Log'!$N$4:$N$810),NA()))</f>
        <v>#N/A</v>
      </c>
      <c r="Y372" t="str">
        <f t="shared" ca="1" si="39"/>
        <v/>
      </c>
    </row>
    <row r="373" spans="1:25" x14ac:dyDescent="0.2">
      <c r="A373">
        <v>349</v>
      </c>
      <c r="B373" t="str">
        <f>IFERROR(INDEX('Match Log'!$B$4:$B$810,MATCH(349,'Match Log'!$A$4:$A$810,0)),"")</f>
        <v/>
      </c>
      <c r="C373" t="str">
        <f>IFERROR(INDEX('Match Log'!$C$4:$C$810,MATCH(349,'Match Log'!$A$4:$A$810,0)),"")</f>
        <v/>
      </c>
      <c r="D373" t="str">
        <f t="array" ref="D373">IFERROR(_xlfn.TEXTJOIN(" + ",TRUE,IF(('Match Log'!$A$4:$A$810=$A373)*('Match Log'!$E$4:$E$810="Win"),'Match Log'!$D$4:$D$810,"")),IFERROR(LOOKUP(2,1/(('Match Log'!$A$4:$A$810=$A373)*('Match Log'!$E$4:$E$810="Win")),'Match Log'!$D$4:$D$810),""))</f>
        <v/>
      </c>
      <c r="E373" t="str">
        <f>IFERROR(INDEX('Match Log'!$F$4:$F$810,MATCH(349,'Match Log'!$A$4:$A$810,0)),"")</f>
        <v/>
      </c>
      <c r="F373">
        <f>IFERROR(SUMIFS('Match Log'!$I$4:$I$810,'Match Log'!$A$4:$A$810,349,'Match Log'!$E$4:$E$810,"Win"),"")</f>
        <v>0</v>
      </c>
      <c r="G373" t="str">
        <f t="shared" si="37"/>
        <v/>
      </c>
      <c r="H373" t="str">
        <f t="array" ref="H373">IFERROR(IF(COUNTIFS('Match Log'!$A$4:$A$810,$A373,'Match Log'!$E$4:$E$810,"Win")&gt;1,_xlfn.TEXTJOIN(" + ",TRUE,IF(('Match Log'!$A$4:$A$810=$A373)*('Match Log'!$E$4:$E$810="Loss"),'Match Log'!$D$4:$D$810,"")),IF($E373=2,LOOKUP(2,1/(('Match Log'!$A$4:$A$810=$A373)*('Match Log'!$E$4:$E$810="Loss")),'Match Log'!$D$4:$D$810),"the field")),"")</f>
        <v>the field</v>
      </c>
      <c r="I373" t="str">
        <f t="shared" si="38"/>
        <v/>
      </c>
      <c r="J373">
        <v>349</v>
      </c>
      <c r="K373" t="e">
        <f>IF($J373&gt;MAX('Match Log'!$A$4:$A$810),NA(),IFERROR(LOOKUP(2,1/(('Match Log'!$D$4:$D$810=$K$24)*('Match Log'!$A$4:$A$810&lt;=$J373)),'Match Log'!$N$4:$N$810),NA()))</f>
        <v>#N/A</v>
      </c>
      <c r="L373" t="e">
        <f>IF($J373&gt;MAX('Match Log'!$A$4:$A$810),NA(),IFERROR(LOOKUP(2,1/(('Match Log'!$D$4:$D$810=$L$24)*('Match Log'!$A$4:$A$810&lt;=$J373)),'Match Log'!$N$4:$N$810),NA()))</f>
        <v>#N/A</v>
      </c>
      <c r="M373" t="e">
        <f>IF($J373&gt;MAX('Match Log'!$A$4:$A$810),NA(),IFERROR(LOOKUP(2,1/(('Match Log'!$D$4:$D$810=$M$24)*('Match Log'!$A$4:$A$810&lt;=$J373)),'Match Log'!$N$4:$N$810),NA()))</f>
        <v>#N/A</v>
      </c>
      <c r="N373" t="e">
        <f>IF($J373&gt;MAX('Match Log'!$A$4:$A$810),NA(),IFERROR(LOOKUP(2,1/(('Match Log'!$D$4:$D$810=$N$24)*('Match Log'!$A$4:$A$810&lt;=$J373)),'Match Log'!$N$4:$N$810),NA()))</f>
        <v>#N/A</v>
      </c>
      <c r="O373" t="e">
        <f>IF($J373&gt;MAX('Match Log'!$A$4:$A$810),NA(),IFERROR(LOOKUP(2,1/(('Match Log'!$D$4:$D$810=$O$24)*('Match Log'!$A$4:$A$810&lt;=$J373)),'Match Log'!$N$4:$N$810),NA()))</f>
        <v>#N/A</v>
      </c>
      <c r="P373" t="e">
        <f>IF($J373&gt;MAX('Match Log'!$A$4:$A$810),NA(),IFERROR(LOOKUP(2,1/(('Match Log'!$D$4:$D$810=$P$24)*('Match Log'!$A$4:$A$810&lt;=$J373)),'Match Log'!$N$4:$N$810),NA()))</f>
        <v>#N/A</v>
      </c>
      <c r="Q373" t="e">
        <f>IF($J373&gt;MAX('Match Log'!$A$4:$A$810),NA(),IFERROR(LOOKUP(2,1/(('Match Log'!$D$4:$D$810=$Q$24)*('Match Log'!$A$4:$A$810&lt;=$J373)),'Match Log'!$N$4:$N$810),NA()))</f>
        <v>#N/A</v>
      </c>
      <c r="R373" t="e">
        <f>IF($J373&gt;MAX('Match Log'!$A$4:$A$810),NA(),IFERROR(LOOKUP(2,1/(('Match Log'!$D$4:$D$810=$R$24)*('Match Log'!$A$4:$A$810&lt;=$J373)),'Match Log'!$N$4:$N$810),NA()))</f>
        <v>#N/A</v>
      </c>
      <c r="S373" t="e">
        <f>IF($J373&gt;MAX('Match Log'!$A$4:$A$810),NA(),IFERROR(LOOKUP(2,1/(('Match Log'!$D$4:$D$810=$S$24)*('Match Log'!$A$4:$A$810&lt;=$J373)),'Match Log'!$N$4:$N$810),NA()))</f>
        <v>#N/A</v>
      </c>
      <c r="T373" t="e">
        <f>IF($J373&gt;MAX('Match Log'!$A$4:$A$810),NA(),IFERROR(LOOKUP(2,1/(('Match Log'!$D$4:$D$810=$T$24)*('Match Log'!$A$4:$A$810&lt;=$J373)),'Match Log'!$N$4:$N$810),NA()))</f>
        <v>#N/A</v>
      </c>
      <c r="U373" t="e">
        <f>IF($J373&gt;MAX('Match Log'!$A$4:$A$810),NA(),IFERROR(LOOKUP(2,1/(('Match Log'!$D$4:$D$810=$U$24)*('Match Log'!$A$4:$A$810&lt;=$J373)),'Match Log'!$N$4:$N$810),NA()))</f>
        <v>#N/A</v>
      </c>
      <c r="V373" t="e">
        <f>IF($J373&gt;MAX('Match Log'!$A$4:$A$810),NA(),IFERROR(LOOKUP(2,1/(('Match Log'!$D$4:$D$810=$V$24)*('Match Log'!$A$4:$A$810&lt;=$J373)),'Match Log'!$N$4:$N$810),NA()))</f>
        <v>#N/A</v>
      </c>
      <c r="W373" t="e">
        <f>IF($J373&gt;MAX('Match Log'!$A$4:$A$810),NA(),IFERROR(LOOKUP(2,1/(('Match Log'!$D$4:$D$810=$W$24)*('Match Log'!$A$4:$A$810&lt;=$J373)),'Match Log'!$N$4:$N$810),NA()))</f>
        <v>#N/A</v>
      </c>
      <c r="X373" t="e">
        <f>IF($J373&gt;MAX('Match Log'!$A$4:$A$810),NA(),IFERROR(LOOKUP(2,1/(('Match Log'!$D$4:$D$810=$X$24)*('Match Log'!$A$4:$A$810&lt;=$J373)),'Match Log'!$N$4:$N$810),NA()))</f>
        <v>#N/A</v>
      </c>
      <c r="Y373" t="str">
        <f t="shared" ca="1" si="39"/>
        <v/>
      </c>
    </row>
    <row r="374" spans="1:25" x14ac:dyDescent="0.2">
      <c r="A374">
        <v>350</v>
      </c>
      <c r="B374" t="str">
        <f>IFERROR(INDEX('Match Log'!$B$4:$B$810,MATCH(350,'Match Log'!$A$4:$A$810,0)),"")</f>
        <v/>
      </c>
      <c r="C374" t="str">
        <f>IFERROR(INDEX('Match Log'!$C$4:$C$810,MATCH(350,'Match Log'!$A$4:$A$810,0)),"")</f>
        <v/>
      </c>
      <c r="D374" t="str">
        <f t="array" ref="D374">IFERROR(_xlfn.TEXTJOIN(" + ",TRUE,IF(('Match Log'!$A$4:$A$810=$A374)*('Match Log'!$E$4:$E$810="Win"),'Match Log'!$D$4:$D$810,"")),IFERROR(LOOKUP(2,1/(('Match Log'!$A$4:$A$810=$A374)*('Match Log'!$E$4:$E$810="Win")),'Match Log'!$D$4:$D$810),""))</f>
        <v/>
      </c>
      <c r="E374" t="str">
        <f>IFERROR(INDEX('Match Log'!$F$4:$F$810,MATCH(350,'Match Log'!$A$4:$A$810,0)),"")</f>
        <v/>
      </c>
      <c r="F374">
        <f>IFERROR(SUMIFS('Match Log'!$I$4:$I$810,'Match Log'!$A$4:$A$810,350,'Match Log'!$E$4:$E$810,"Win"),"")</f>
        <v>0</v>
      </c>
      <c r="G374" t="str">
        <f t="shared" si="37"/>
        <v/>
      </c>
      <c r="H374" t="str">
        <f t="array" ref="H374">IFERROR(IF(COUNTIFS('Match Log'!$A$4:$A$810,$A374,'Match Log'!$E$4:$E$810,"Win")&gt;1,_xlfn.TEXTJOIN(" + ",TRUE,IF(('Match Log'!$A$4:$A$810=$A374)*('Match Log'!$E$4:$E$810="Loss"),'Match Log'!$D$4:$D$810,"")),IF($E374=2,LOOKUP(2,1/(('Match Log'!$A$4:$A$810=$A374)*('Match Log'!$E$4:$E$810="Loss")),'Match Log'!$D$4:$D$810),"the field")),"")</f>
        <v>the field</v>
      </c>
      <c r="I374" t="str">
        <f t="shared" si="38"/>
        <v/>
      </c>
      <c r="J374">
        <v>350</v>
      </c>
      <c r="K374" t="e">
        <f>IF($J374&gt;MAX('Match Log'!$A$4:$A$810),NA(),IFERROR(LOOKUP(2,1/(('Match Log'!$D$4:$D$810=$K$24)*('Match Log'!$A$4:$A$810&lt;=$J374)),'Match Log'!$N$4:$N$810),NA()))</f>
        <v>#N/A</v>
      </c>
      <c r="L374" t="e">
        <f>IF($J374&gt;MAX('Match Log'!$A$4:$A$810),NA(),IFERROR(LOOKUP(2,1/(('Match Log'!$D$4:$D$810=$L$24)*('Match Log'!$A$4:$A$810&lt;=$J374)),'Match Log'!$N$4:$N$810),NA()))</f>
        <v>#N/A</v>
      </c>
      <c r="M374" t="e">
        <f>IF($J374&gt;MAX('Match Log'!$A$4:$A$810),NA(),IFERROR(LOOKUP(2,1/(('Match Log'!$D$4:$D$810=$M$24)*('Match Log'!$A$4:$A$810&lt;=$J374)),'Match Log'!$N$4:$N$810),NA()))</f>
        <v>#N/A</v>
      </c>
      <c r="N374" t="e">
        <f>IF($J374&gt;MAX('Match Log'!$A$4:$A$810),NA(),IFERROR(LOOKUP(2,1/(('Match Log'!$D$4:$D$810=$N$24)*('Match Log'!$A$4:$A$810&lt;=$J374)),'Match Log'!$N$4:$N$810),NA()))</f>
        <v>#N/A</v>
      </c>
      <c r="O374" t="e">
        <f>IF($J374&gt;MAX('Match Log'!$A$4:$A$810),NA(),IFERROR(LOOKUP(2,1/(('Match Log'!$D$4:$D$810=$O$24)*('Match Log'!$A$4:$A$810&lt;=$J374)),'Match Log'!$N$4:$N$810),NA()))</f>
        <v>#N/A</v>
      </c>
      <c r="P374" t="e">
        <f>IF($J374&gt;MAX('Match Log'!$A$4:$A$810),NA(),IFERROR(LOOKUP(2,1/(('Match Log'!$D$4:$D$810=$P$24)*('Match Log'!$A$4:$A$810&lt;=$J374)),'Match Log'!$N$4:$N$810),NA()))</f>
        <v>#N/A</v>
      </c>
      <c r="Q374" t="e">
        <f>IF($J374&gt;MAX('Match Log'!$A$4:$A$810),NA(),IFERROR(LOOKUP(2,1/(('Match Log'!$D$4:$D$810=$Q$24)*('Match Log'!$A$4:$A$810&lt;=$J374)),'Match Log'!$N$4:$N$810),NA()))</f>
        <v>#N/A</v>
      </c>
      <c r="R374" t="e">
        <f>IF($J374&gt;MAX('Match Log'!$A$4:$A$810),NA(),IFERROR(LOOKUP(2,1/(('Match Log'!$D$4:$D$810=$R$24)*('Match Log'!$A$4:$A$810&lt;=$J374)),'Match Log'!$N$4:$N$810),NA()))</f>
        <v>#N/A</v>
      </c>
      <c r="S374" t="e">
        <f>IF($J374&gt;MAX('Match Log'!$A$4:$A$810),NA(),IFERROR(LOOKUP(2,1/(('Match Log'!$D$4:$D$810=$S$24)*('Match Log'!$A$4:$A$810&lt;=$J374)),'Match Log'!$N$4:$N$810),NA()))</f>
        <v>#N/A</v>
      </c>
      <c r="T374" t="e">
        <f>IF($J374&gt;MAX('Match Log'!$A$4:$A$810),NA(),IFERROR(LOOKUP(2,1/(('Match Log'!$D$4:$D$810=$T$24)*('Match Log'!$A$4:$A$810&lt;=$J374)),'Match Log'!$N$4:$N$810),NA()))</f>
        <v>#N/A</v>
      </c>
      <c r="U374" t="e">
        <f>IF($J374&gt;MAX('Match Log'!$A$4:$A$810),NA(),IFERROR(LOOKUP(2,1/(('Match Log'!$D$4:$D$810=$U$24)*('Match Log'!$A$4:$A$810&lt;=$J374)),'Match Log'!$N$4:$N$810),NA()))</f>
        <v>#N/A</v>
      </c>
      <c r="V374" t="e">
        <f>IF($J374&gt;MAX('Match Log'!$A$4:$A$810),NA(),IFERROR(LOOKUP(2,1/(('Match Log'!$D$4:$D$810=$V$24)*('Match Log'!$A$4:$A$810&lt;=$J374)),'Match Log'!$N$4:$N$810),NA()))</f>
        <v>#N/A</v>
      </c>
      <c r="W374" t="e">
        <f>IF($J374&gt;MAX('Match Log'!$A$4:$A$810),NA(),IFERROR(LOOKUP(2,1/(('Match Log'!$D$4:$D$810=$W$24)*('Match Log'!$A$4:$A$810&lt;=$J374)),'Match Log'!$N$4:$N$810),NA()))</f>
        <v>#N/A</v>
      </c>
      <c r="X374" t="e">
        <f>IF($J374&gt;MAX('Match Log'!$A$4:$A$810),NA(),IFERROR(LOOKUP(2,1/(('Match Log'!$D$4:$D$810=$X$24)*('Match Log'!$A$4:$A$810&lt;=$J374)),'Match Log'!$N$4:$N$810),NA()))</f>
        <v>#N/A</v>
      </c>
      <c r="Y374" t="str">
        <f t="shared" ca="1" si="39"/>
        <v/>
      </c>
    </row>
    <row r="375" spans="1:25" x14ac:dyDescent="0.2">
      <c r="A375">
        <v>351</v>
      </c>
      <c r="B375" t="str">
        <f>IFERROR(INDEX('Match Log'!$B$4:$B$810,MATCH(351,'Match Log'!$A$4:$A$810,0)),"")</f>
        <v/>
      </c>
      <c r="C375" t="str">
        <f>IFERROR(INDEX('Match Log'!$C$4:$C$810,MATCH(351,'Match Log'!$A$4:$A$810,0)),"")</f>
        <v/>
      </c>
      <c r="D375" t="str">
        <f t="array" ref="D375">IFERROR(_xlfn.TEXTJOIN(" + ",TRUE,IF(('Match Log'!$A$4:$A$810=$A375)*('Match Log'!$E$4:$E$810="Win"),'Match Log'!$D$4:$D$810,"")),IFERROR(LOOKUP(2,1/(('Match Log'!$A$4:$A$810=$A375)*('Match Log'!$E$4:$E$810="Win")),'Match Log'!$D$4:$D$810),""))</f>
        <v/>
      </c>
      <c r="E375" t="str">
        <f>IFERROR(INDEX('Match Log'!$F$4:$F$810,MATCH(351,'Match Log'!$A$4:$A$810,0)),"")</f>
        <v/>
      </c>
      <c r="F375">
        <f>IFERROR(SUMIFS('Match Log'!$I$4:$I$810,'Match Log'!$A$4:$A$810,351,'Match Log'!$E$4:$E$810,"Win"),"")</f>
        <v>0</v>
      </c>
      <c r="G375" t="str">
        <f t="shared" si="37"/>
        <v/>
      </c>
      <c r="H375" t="str">
        <f t="array" ref="H375">IFERROR(IF(COUNTIFS('Match Log'!$A$4:$A$810,$A375,'Match Log'!$E$4:$E$810,"Win")&gt;1,_xlfn.TEXTJOIN(" + ",TRUE,IF(('Match Log'!$A$4:$A$810=$A375)*('Match Log'!$E$4:$E$810="Loss"),'Match Log'!$D$4:$D$810,"")),IF($E375=2,LOOKUP(2,1/(('Match Log'!$A$4:$A$810=$A375)*('Match Log'!$E$4:$E$810="Loss")),'Match Log'!$D$4:$D$810),"the field")),"")</f>
        <v>the field</v>
      </c>
      <c r="I375" t="str">
        <f t="shared" si="38"/>
        <v/>
      </c>
      <c r="J375">
        <v>351</v>
      </c>
      <c r="K375" t="e">
        <f>IF($J375&gt;MAX('Match Log'!$A$4:$A$810),NA(),IFERROR(LOOKUP(2,1/(('Match Log'!$D$4:$D$810=$K$24)*('Match Log'!$A$4:$A$810&lt;=$J375)),'Match Log'!$N$4:$N$810),NA()))</f>
        <v>#N/A</v>
      </c>
      <c r="L375" t="e">
        <f>IF($J375&gt;MAX('Match Log'!$A$4:$A$810),NA(),IFERROR(LOOKUP(2,1/(('Match Log'!$D$4:$D$810=$L$24)*('Match Log'!$A$4:$A$810&lt;=$J375)),'Match Log'!$N$4:$N$810),NA()))</f>
        <v>#N/A</v>
      </c>
      <c r="M375" t="e">
        <f>IF($J375&gt;MAX('Match Log'!$A$4:$A$810),NA(),IFERROR(LOOKUP(2,1/(('Match Log'!$D$4:$D$810=$M$24)*('Match Log'!$A$4:$A$810&lt;=$J375)),'Match Log'!$N$4:$N$810),NA()))</f>
        <v>#N/A</v>
      </c>
      <c r="N375" t="e">
        <f>IF($J375&gt;MAX('Match Log'!$A$4:$A$810),NA(),IFERROR(LOOKUP(2,1/(('Match Log'!$D$4:$D$810=$N$24)*('Match Log'!$A$4:$A$810&lt;=$J375)),'Match Log'!$N$4:$N$810),NA()))</f>
        <v>#N/A</v>
      </c>
      <c r="O375" t="e">
        <f>IF($J375&gt;MAX('Match Log'!$A$4:$A$810),NA(),IFERROR(LOOKUP(2,1/(('Match Log'!$D$4:$D$810=$O$24)*('Match Log'!$A$4:$A$810&lt;=$J375)),'Match Log'!$N$4:$N$810),NA()))</f>
        <v>#N/A</v>
      </c>
      <c r="P375" t="e">
        <f>IF($J375&gt;MAX('Match Log'!$A$4:$A$810),NA(),IFERROR(LOOKUP(2,1/(('Match Log'!$D$4:$D$810=$P$24)*('Match Log'!$A$4:$A$810&lt;=$J375)),'Match Log'!$N$4:$N$810),NA()))</f>
        <v>#N/A</v>
      </c>
      <c r="Q375" t="e">
        <f>IF($J375&gt;MAX('Match Log'!$A$4:$A$810),NA(),IFERROR(LOOKUP(2,1/(('Match Log'!$D$4:$D$810=$Q$24)*('Match Log'!$A$4:$A$810&lt;=$J375)),'Match Log'!$N$4:$N$810),NA()))</f>
        <v>#N/A</v>
      </c>
      <c r="R375" t="e">
        <f>IF($J375&gt;MAX('Match Log'!$A$4:$A$810),NA(),IFERROR(LOOKUP(2,1/(('Match Log'!$D$4:$D$810=$R$24)*('Match Log'!$A$4:$A$810&lt;=$J375)),'Match Log'!$N$4:$N$810),NA()))</f>
        <v>#N/A</v>
      </c>
      <c r="S375" t="e">
        <f>IF($J375&gt;MAX('Match Log'!$A$4:$A$810),NA(),IFERROR(LOOKUP(2,1/(('Match Log'!$D$4:$D$810=$S$24)*('Match Log'!$A$4:$A$810&lt;=$J375)),'Match Log'!$N$4:$N$810),NA()))</f>
        <v>#N/A</v>
      </c>
      <c r="T375" t="e">
        <f>IF($J375&gt;MAX('Match Log'!$A$4:$A$810),NA(),IFERROR(LOOKUP(2,1/(('Match Log'!$D$4:$D$810=$T$24)*('Match Log'!$A$4:$A$810&lt;=$J375)),'Match Log'!$N$4:$N$810),NA()))</f>
        <v>#N/A</v>
      </c>
      <c r="U375" t="e">
        <f>IF($J375&gt;MAX('Match Log'!$A$4:$A$810),NA(),IFERROR(LOOKUP(2,1/(('Match Log'!$D$4:$D$810=$U$24)*('Match Log'!$A$4:$A$810&lt;=$J375)),'Match Log'!$N$4:$N$810),NA()))</f>
        <v>#N/A</v>
      </c>
      <c r="V375" t="e">
        <f>IF($J375&gt;MAX('Match Log'!$A$4:$A$810),NA(),IFERROR(LOOKUP(2,1/(('Match Log'!$D$4:$D$810=$V$24)*('Match Log'!$A$4:$A$810&lt;=$J375)),'Match Log'!$N$4:$N$810),NA()))</f>
        <v>#N/A</v>
      </c>
      <c r="W375" t="e">
        <f>IF($J375&gt;MAX('Match Log'!$A$4:$A$810),NA(),IFERROR(LOOKUP(2,1/(('Match Log'!$D$4:$D$810=$W$24)*('Match Log'!$A$4:$A$810&lt;=$J375)),'Match Log'!$N$4:$N$810),NA()))</f>
        <v>#N/A</v>
      </c>
      <c r="X375" t="e">
        <f>IF($J375&gt;MAX('Match Log'!$A$4:$A$810),NA(),IFERROR(LOOKUP(2,1/(('Match Log'!$D$4:$D$810=$X$24)*('Match Log'!$A$4:$A$810&lt;=$J375)),'Match Log'!$N$4:$N$810),NA()))</f>
        <v>#N/A</v>
      </c>
      <c r="Y375" t="str">
        <f t="shared" ca="1" si="39"/>
        <v/>
      </c>
    </row>
    <row r="376" spans="1:25" x14ac:dyDescent="0.2">
      <c r="A376">
        <v>352</v>
      </c>
      <c r="B376" t="str">
        <f>IFERROR(INDEX('Match Log'!$B$4:$B$810,MATCH(352,'Match Log'!$A$4:$A$810,0)),"")</f>
        <v/>
      </c>
      <c r="C376" t="str">
        <f>IFERROR(INDEX('Match Log'!$C$4:$C$810,MATCH(352,'Match Log'!$A$4:$A$810,0)),"")</f>
        <v/>
      </c>
      <c r="D376" t="str">
        <f t="array" ref="D376">IFERROR(_xlfn.TEXTJOIN(" + ",TRUE,IF(('Match Log'!$A$4:$A$810=$A376)*('Match Log'!$E$4:$E$810="Win"),'Match Log'!$D$4:$D$810,"")),IFERROR(LOOKUP(2,1/(('Match Log'!$A$4:$A$810=$A376)*('Match Log'!$E$4:$E$810="Win")),'Match Log'!$D$4:$D$810),""))</f>
        <v/>
      </c>
      <c r="E376" t="str">
        <f>IFERROR(INDEX('Match Log'!$F$4:$F$810,MATCH(352,'Match Log'!$A$4:$A$810,0)),"")</f>
        <v/>
      </c>
      <c r="F376">
        <f>IFERROR(SUMIFS('Match Log'!$I$4:$I$810,'Match Log'!$A$4:$A$810,352,'Match Log'!$E$4:$E$810,"Win"),"")</f>
        <v>0</v>
      </c>
      <c r="G376" t="str">
        <f t="shared" si="37"/>
        <v/>
      </c>
      <c r="H376" t="str">
        <f t="array" ref="H376">IFERROR(IF(COUNTIFS('Match Log'!$A$4:$A$810,$A376,'Match Log'!$E$4:$E$810,"Win")&gt;1,_xlfn.TEXTJOIN(" + ",TRUE,IF(('Match Log'!$A$4:$A$810=$A376)*('Match Log'!$E$4:$E$810="Loss"),'Match Log'!$D$4:$D$810,"")),IF($E376=2,LOOKUP(2,1/(('Match Log'!$A$4:$A$810=$A376)*('Match Log'!$E$4:$E$810="Loss")),'Match Log'!$D$4:$D$810),"the field")),"")</f>
        <v>the field</v>
      </c>
      <c r="I376" t="str">
        <f t="shared" si="38"/>
        <v/>
      </c>
      <c r="J376">
        <v>352</v>
      </c>
      <c r="K376" t="e">
        <f>IF($J376&gt;MAX('Match Log'!$A$4:$A$810),NA(),IFERROR(LOOKUP(2,1/(('Match Log'!$D$4:$D$810=$K$24)*('Match Log'!$A$4:$A$810&lt;=$J376)),'Match Log'!$N$4:$N$810),NA()))</f>
        <v>#N/A</v>
      </c>
      <c r="L376" t="e">
        <f>IF($J376&gt;MAX('Match Log'!$A$4:$A$810),NA(),IFERROR(LOOKUP(2,1/(('Match Log'!$D$4:$D$810=$L$24)*('Match Log'!$A$4:$A$810&lt;=$J376)),'Match Log'!$N$4:$N$810),NA()))</f>
        <v>#N/A</v>
      </c>
      <c r="M376" t="e">
        <f>IF($J376&gt;MAX('Match Log'!$A$4:$A$810),NA(),IFERROR(LOOKUP(2,1/(('Match Log'!$D$4:$D$810=$M$24)*('Match Log'!$A$4:$A$810&lt;=$J376)),'Match Log'!$N$4:$N$810),NA()))</f>
        <v>#N/A</v>
      </c>
      <c r="N376" t="e">
        <f>IF($J376&gt;MAX('Match Log'!$A$4:$A$810),NA(),IFERROR(LOOKUP(2,1/(('Match Log'!$D$4:$D$810=$N$24)*('Match Log'!$A$4:$A$810&lt;=$J376)),'Match Log'!$N$4:$N$810),NA()))</f>
        <v>#N/A</v>
      </c>
      <c r="O376" t="e">
        <f>IF($J376&gt;MAX('Match Log'!$A$4:$A$810),NA(),IFERROR(LOOKUP(2,1/(('Match Log'!$D$4:$D$810=$O$24)*('Match Log'!$A$4:$A$810&lt;=$J376)),'Match Log'!$N$4:$N$810),NA()))</f>
        <v>#N/A</v>
      </c>
      <c r="P376" t="e">
        <f>IF($J376&gt;MAX('Match Log'!$A$4:$A$810),NA(),IFERROR(LOOKUP(2,1/(('Match Log'!$D$4:$D$810=$P$24)*('Match Log'!$A$4:$A$810&lt;=$J376)),'Match Log'!$N$4:$N$810),NA()))</f>
        <v>#N/A</v>
      </c>
      <c r="Q376" t="e">
        <f>IF($J376&gt;MAX('Match Log'!$A$4:$A$810),NA(),IFERROR(LOOKUP(2,1/(('Match Log'!$D$4:$D$810=$Q$24)*('Match Log'!$A$4:$A$810&lt;=$J376)),'Match Log'!$N$4:$N$810),NA()))</f>
        <v>#N/A</v>
      </c>
      <c r="R376" t="e">
        <f>IF($J376&gt;MAX('Match Log'!$A$4:$A$810),NA(),IFERROR(LOOKUP(2,1/(('Match Log'!$D$4:$D$810=$R$24)*('Match Log'!$A$4:$A$810&lt;=$J376)),'Match Log'!$N$4:$N$810),NA()))</f>
        <v>#N/A</v>
      </c>
      <c r="S376" t="e">
        <f>IF($J376&gt;MAX('Match Log'!$A$4:$A$810),NA(),IFERROR(LOOKUP(2,1/(('Match Log'!$D$4:$D$810=$S$24)*('Match Log'!$A$4:$A$810&lt;=$J376)),'Match Log'!$N$4:$N$810),NA()))</f>
        <v>#N/A</v>
      </c>
      <c r="T376" t="e">
        <f>IF($J376&gt;MAX('Match Log'!$A$4:$A$810),NA(),IFERROR(LOOKUP(2,1/(('Match Log'!$D$4:$D$810=$T$24)*('Match Log'!$A$4:$A$810&lt;=$J376)),'Match Log'!$N$4:$N$810),NA()))</f>
        <v>#N/A</v>
      </c>
      <c r="U376" t="e">
        <f>IF($J376&gt;MAX('Match Log'!$A$4:$A$810),NA(),IFERROR(LOOKUP(2,1/(('Match Log'!$D$4:$D$810=$U$24)*('Match Log'!$A$4:$A$810&lt;=$J376)),'Match Log'!$N$4:$N$810),NA()))</f>
        <v>#N/A</v>
      </c>
      <c r="V376" t="e">
        <f>IF($J376&gt;MAX('Match Log'!$A$4:$A$810),NA(),IFERROR(LOOKUP(2,1/(('Match Log'!$D$4:$D$810=$V$24)*('Match Log'!$A$4:$A$810&lt;=$J376)),'Match Log'!$N$4:$N$810),NA()))</f>
        <v>#N/A</v>
      </c>
      <c r="W376" t="e">
        <f>IF($J376&gt;MAX('Match Log'!$A$4:$A$810),NA(),IFERROR(LOOKUP(2,1/(('Match Log'!$D$4:$D$810=$W$24)*('Match Log'!$A$4:$A$810&lt;=$J376)),'Match Log'!$N$4:$N$810),NA()))</f>
        <v>#N/A</v>
      </c>
      <c r="X376" t="e">
        <f>IF($J376&gt;MAX('Match Log'!$A$4:$A$810),NA(),IFERROR(LOOKUP(2,1/(('Match Log'!$D$4:$D$810=$X$24)*('Match Log'!$A$4:$A$810&lt;=$J376)),'Match Log'!$N$4:$N$810),NA()))</f>
        <v>#N/A</v>
      </c>
      <c r="Y376" t="str">
        <f t="shared" ca="1" si="39"/>
        <v/>
      </c>
    </row>
    <row r="377" spans="1:25" x14ac:dyDescent="0.2">
      <c r="A377">
        <v>353</v>
      </c>
      <c r="B377" t="str">
        <f>IFERROR(INDEX('Match Log'!$B$4:$B$810,MATCH(353,'Match Log'!$A$4:$A$810,0)),"")</f>
        <v/>
      </c>
      <c r="C377" t="str">
        <f>IFERROR(INDEX('Match Log'!$C$4:$C$810,MATCH(353,'Match Log'!$A$4:$A$810,0)),"")</f>
        <v/>
      </c>
      <c r="D377" t="str">
        <f t="array" ref="D377">IFERROR(_xlfn.TEXTJOIN(" + ",TRUE,IF(('Match Log'!$A$4:$A$810=$A377)*('Match Log'!$E$4:$E$810="Win"),'Match Log'!$D$4:$D$810,"")),IFERROR(LOOKUP(2,1/(('Match Log'!$A$4:$A$810=$A377)*('Match Log'!$E$4:$E$810="Win")),'Match Log'!$D$4:$D$810),""))</f>
        <v/>
      </c>
      <c r="E377" t="str">
        <f>IFERROR(INDEX('Match Log'!$F$4:$F$810,MATCH(353,'Match Log'!$A$4:$A$810,0)),"")</f>
        <v/>
      </c>
      <c r="F377">
        <f>IFERROR(SUMIFS('Match Log'!$I$4:$I$810,'Match Log'!$A$4:$A$810,353,'Match Log'!$E$4:$E$810,"Win"),"")</f>
        <v>0</v>
      </c>
      <c r="G377" t="str">
        <f t="shared" si="37"/>
        <v/>
      </c>
      <c r="H377" t="str">
        <f t="array" ref="H377">IFERROR(IF(COUNTIFS('Match Log'!$A$4:$A$810,$A377,'Match Log'!$E$4:$E$810,"Win")&gt;1,_xlfn.TEXTJOIN(" + ",TRUE,IF(('Match Log'!$A$4:$A$810=$A377)*('Match Log'!$E$4:$E$810="Loss"),'Match Log'!$D$4:$D$810,"")),IF($E377=2,LOOKUP(2,1/(('Match Log'!$A$4:$A$810=$A377)*('Match Log'!$E$4:$E$810="Loss")),'Match Log'!$D$4:$D$810),"the field")),"")</f>
        <v>the field</v>
      </c>
      <c r="I377" t="str">
        <f t="shared" si="38"/>
        <v/>
      </c>
      <c r="J377">
        <v>353</v>
      </c>
      <c r="K377" t="e">
        <f>IF($J377&gt;MAX('Match Log'!$A$4:$A$810),NA(),IFERROR(LOOKUP(2,1/(('Match Log'!$D$4:$D$810=$K$24)*('Match Log'!$A$4:$A$810&lt;=$J377)),'Match Log'!$N$4:$N$810),NA()))</f>
        <v>#N/A</v>
      </c>
      <c r="L377" t="e">
        <f>IF($J377&gt;MAX('Match Log'!$A$4:$A$810),NA(),IFERROR(LOOKUP(2,1/(('Match Log'!$D$4:$D$810=$L$24)*('Match Log'!$A$4:$A$810&lt;=$J377)),'Match Log'!$N$4:$N$810),NA()))</f>
        <v>#N/A</v>
      </c>
      <c r="M377" t="e">
        <f>IF($J377&gt;MAX('Match Log'!$A$4:$A$810),NA(),IFERROR(LOOKUP(2,1/(('Match Log'!$D$4:$D$810=$M$24)*('Match Log'!$A$4:$A$810&lt;=$J377)),'Match Log'!$N$4:$N$810),NA()))</f>
        <v>#N/A</v>
      </c>
      <c r="N377" t="e">
        <f>IF($J377&gt;MAX('Match Log'!$A$4:$A$810),NA(),IFERROR(LOOKUP(2,1/(('Match Log'!$D$4:$D$810=$N$24)*('Match Log'!$A$4:$A$810&lt;=$J377)),'Match Log'!$N$4:$N$810),NA()))</f>
        <v>#N/A</v>
      </c>
      <c r="O377" t="e">
        <f>IF($J377&gt;MAX('Match Log'!$A$4:$A$810),NA(),IFERROR(LOOKUP(2,1/(('Match Log'!$D$4:$D$810=$O$24)*('Match Log'!$A$4:$A$810&lt;=$J377)),'Match Log'!$N$4:$N$810),NA()))</f>
        <v>#N/A</v>
      </c>
      <c r="P377" t="e">
        <f>IF($J377&gt;MAX('Match Log'!$A$4:$A$810),NA(),IFERROR(LOOKUP(2,1/(('Match Log'!$D$4:$D$810=$P$24)*('Match Log'!$A$4:$A$810&lt;=$J377)),'Match Log'!$N$4:$N$810),NA()))</f>
        <v>#N/A</v>
      </c>
      <c r="Q377" t="e">
        <f>IF($J377&gt;MAX('Match Log'!$A$4:$A$810),NA(),IFERROR(LOOKUP(2,1/(('Match Log'!$D$4:$D$810=$Q$24)*('Match Log'!$A$4:$A$810&lt;=$J377)),'Match Log'!$N$4:$N$810),NA()))</f>
        <v>#N/A</v>
      </c>
      <c r="R377" t="e">
        <f>IF($J377&gt;MAX('Match Log'!$A$4:$A$810),NA(),IFERROR(LOOKUP(2,1/(('Match Log'!$D$4:$D$810=$R$24)*('Match Log'!$A$4:$A$810&lt;=$J377)),'Match Log'!$N$4:$N$810),NA()))</f>
        <v>#N/A</v>
      </c>
      <c r="S377" t="e">
        <f>IF($J377&gt;MAX('Match Log'!$A$4:$A$810),NA(),IFERROR(LOOKUP(2,1/(('Match Log'!$D$4:$D$810=$S$24)*('Match Log'!$A$4:$A$810&lt;=$J377)),'Match Log'!$N$4:$N$810),NA()))</f>
        <v>#N/A</v>
      </c>
      <c r="T377" t="e">
        <f>IF($J377&gt;MAX('Match Log'!$A$4:$A$810),NA(),IFERROR(LOOKUP(2,1/(('Match Log'!$D$4:$D$810=$T$24)*('Match Log'!$A$4:$A$810&lt;=$J377)),'Match Log'!$N$4:$N$810),NA()))</f>
        <v>#N/A</v>
      </c>
      <c r="U377" t="e">
        <f>IF($J377&gt;MAX('Match Log'!$A$4:$A$810),NA(),IFERROR(LOOKUP(2,1/(('Match Log'!$D$4:$D$810=$U$24)*('Match Log'!$A$4:$A$810&lt;=$J377)),'Match Log'!$N$4:$N$810),NA()))</f>
        <v>#N/A</v>
      </c>
      <c r="V377" t="e">
        <f>IF($J377&gt;MAX('Match Log'!$A$4:$A$810),NA(),IFERROR(LOOKUP(2,1/(('Match Log'!$D$4:$D$810=$V$24)*('Match Log'!$A$4:$A$810&lt;=$J377)),'Match Log'!$N$4:$N$810),NA()))</f>
        <v>#N/A</v>
      </c>
      <c r="W377" t="e">
        <f>IF($J377&gt;MAX('Match Log'!$A$4:$A$810),NA(),IFERROR(LOOKUP(2,1/(('Match Log'!$D$4:$D$810=$W$24)*('Match Log'!$A$4:$A$810&lt;=$J377)),'Match Log'!$N$4:$N$810),NA()))</f>
        <v>#N/A</v>
      </c>
      <c r="X377" t="e">
        <f>IF($J377&gt;MAX('Match Log'!$A$4:$A$810),NA(),IFERROR(LOOKUP(2,1/(('Match Log'!$D$4:$D$810=$X$24)*('Match Log'!$A$4:$A$810&lt;=$J377)),'Match Log'!$N$4:$N$810),NA()))</f>
        <v>#N/A</v>
      </c>
      <c r="Y377" t="str">
        <f t="shared" ca="1" si="39"/>
        <v/>
      </c>
    </row>
    <row r="378" spans="1:25" x14ac:dyDescent="0.2">
      <c r="A378">
        <v>354</v>
      </c>
      <c r="B378" t="str">
        <f>IFERROR(INDEX('Match Log'!$B$4:$B$810,MATCH(354,'Match Log'!$A$4:$A$810,0)),"")</f>
        <v/>
      </c>
      <c r="C378" t="str">
        <f>IFERROR(INDEX('Match Log'!$C$4:$C$810,MATCH(354,'Match Log'!$A$4:$A$810,0)),"")</f>
        <v/>
      </c>
      <c r="D378" t="str">
        <f t="array" ref="D378">IFERROR(_xlfn.TEXTJOIN(" + ",TRUE,IF(('Match Log'!$A$4:$A$810=$A378)*('Match Log'!$E$4:$E$810="Win"),'Match Log'!$D$4:$D$810,"")),IFERROR(LOOKUP(2,1/(('Match Log'!$A$4:$A$810=$A378)*('Match Log'!$E$4:$E$810="Win")),'Match Log'!$D$4:$D$810),""))</f>
        <v/>
      </c>
      <c r="E378" t="str">
        <f>IFERROR(INDEX('Match Log'!$F$4:$F$810,MATCH(354,'Match Log'!$A$4:$A$810,0)),"")</f>
        <v/>
      </c>
      <c r="F378">
        <f>IFERROR(SUMIFS('Match Log'!$I$4:$I$810,'Match Log'!$A$4:$A$810,354,'Match Log'!$E$4:$E$810,"Win"),"")</f>
        <v>0</v>
      </c>
      <c r="G378" t="str">
        <f t="shared" si="37"/>
        <v/>
      </c>
      <c r="H378" t="str">
        <f t="array" ref="H378">IFERROR(IF(COUNTIFS('Match Log'!$A$4:$A$810,$A378,'Match Log'!$E$4:$E$810,"Win")&gt;1,_xlfn.TEXTJOIN(" + ",TRUE,IF(('Match Log'!$A$4:$A$810=$A378)*('Match Log'!$E$4:$E$810="Loss"),'Match Log'!$D$4:$D$810,"")),IF($E378=2,LOOKUP(2,1/(('Match Log'!$A$4:$A$810=$A378)*('Match Log'!$E$4:$E$810="Loss")),'Match Log'!$D$4:$D$810),"the field")),"")</f>
        <v>the field</v>
      </c>
      <c r="I378" t="str">
        <f t="shared" si="38"/>
        <v/>
      </c>
      <c r="J378">
        <v>354</v>
      </c>
      <c r="K378" t="e">
        <f>IF($J378&gt;MAX('Match Log'!$A$4:$A$810),NA(),IFERROR(LOOKUP(2,1/(('Match Log'!$D$4:$D$810=$K$24)*('Match Log'!$A$4:$A$810&lt;=$J378)),'Match Log'!$N$4:$N$810),NA()))</f>
        <v>#N/A</v>
      </c>
      <c r="L378" t="e">
        <f>IF($J378&gt;MAX('Match Log'!$A$4:$A$810),NA(),IFERROR(LOOKUP(2,1/(('Match Log'!$D$4:$D$810=$L$24)*('Match Log'!$A$4:$A$810&lt;=$J378)),'Match Log'!$N$4:$N$810),NA()))</f>
        <v>#N/A</v>
      </c>
      <c r="M378" t="e">
        <f>IF($J378&gt;MAX('Match Log'!$A$4:$A$810),NA(),IFERROR(LOOKUP(2,1/(('Match Log'!$D$4:$D$810=$M$24)*('Match Log'!$A$4:$A$810&lt;=$J378)),'Match Log'!$N$4:$N$810),NA()))</f>
        <v>#N/A</v>
      </c>
      <c r="N378" t="e">
        <f>IF($J378&gt;MAX('Match Log'!$A$4:$A$810),NA(),IFERROR(LOOKUP(2,1/(('Match Log'!$D$4:$D$810=$N$24)*('Match Log'!$A$4:$A$810&lt;=$J378)),'Match Log'!$N$4:$N$810),NA()))</f>
        <v>#N/A</v>
      </c>
      <c r="O378" t="e">
        <f>IF($J378&gt;MAX('Match Log'!$A$4:$A$810),NA(),IFERROR(LOOKUP(2,1/(('Match Log'!$D$4:$D$810=$O$24)*('Match Log'!$A$4:$A$810&lt;=$J378)),'Match Log'!$N$4:$N$810),NA()))</f>
        <v>#N/A</v>
      </c>
      <c r="P378" t="e">
        <f>IF($J378&gt;MAX('Match Log'!$A$4:$A$810),NA(),IFERROR(LOOKUP(2,1/(('Match Log'!$D$4:$D$810=$P$24)*('Match Log'!$A$4:$A$810&lt;=$J378)),'Match Log'!$N$4:$N$810),NA()))</f>
        <v>#N/A</v>
      </c>
      <c r="Q378" t="e">
        <f>IF($J378&gt;MAX('Match Log'!$A$4:$A$810),NA(),IFERROR(LOOKUP(2,1/(('Match Log'!$D$4:$D$810=$Q$24)*('Match Log'!$A$4:$A$810&lt;=$J378)),'Match Log'!$N$4:$N$810),NA()))</f>
        <v>#N/A</v>
      </c>
      <c r="R378" t="e">
        <f>IF($J378&gt;MAX('Match Log'!$A$4:$A$810),NA(),IFERROR(LOOKUP(2,1/(('Match Log'!$D$4:$D$810=$R$24)*('Match Log'!$A$4:$A$810&lt;=$J378)),'Match Log'!$N$4:$N$810),NA()))</f>
        <v>#N/A</v>
      </c>
      <c r="S378" t="e">
        <f>IF($J378&gt;MAX('Match Log'!$A$4:$A$810),NA(),IFERROR(LOOKUP(2,1/(('Match Log'!$D$4:$D$810=$S$24)*('Match Log'!$A$4:$A$810&lt;=$J378)),'Match Log'!$N$4:$N$810),NA()))</f>
        <v>#N/A</v>
      </c>
      <c r="T378" t="e">
        <f>IF($J378&gt;MAX('Match Log'!$A$4:$A$810),NA(),IFERROR(LOOKUP(2,1/(('Match Log'!$D$4:$D$810=$T$24)*('Match Log'!$A$4:$A$810&lt;=$J378)),'Match Log'!$N$4:$N$810),NA()))</f>
        <v>#N/A</v>
      </c>
      <c r="U378" t="e">
        <f>IF($J378&gt;MAX('Match Log'!$A$4:$A$810),NA(),IFERROR(LOOKUP(2,1/(('Match Log'!$D$4:$D$810=$U$24)*('Match Log'!$A$4:$A$810&lt;=$J378)),'Match Log'!$N$4:$N$810),NA()))</f>
        <v>#N/A</v>
      </c>
      <c r="V378" t="e">
        <f>IF($J378&gt;MAX('Match Log'!$A$4:$A$810),NA(),IFERROR(LOOKUP(2,1/(('Match Log'!$D$4:$D$810=$V$24)*('Match Log'!$A$4:$A$810&lt;=$J378)),'Match Log'!$N$4:$N$810),NA()))</f>
        <v>#N/A</v>
      </c>
      <c r="W378" t="e">
        <f>IF($J378&gt;MAX('Match Log'!$A$4:$A$810),NA(),IFERROR(LOOKUP(2,1/(('Match Log'!$D$4:$D$810=$W$24)*('Match Log'!$A$4:$A$810&lt;=$J378)),'Match Log'!$N$4:$N$810),NA()))</f>
        <v>#N/A</v>
      </c>
      <c r="X378" t="e">
        <f>IF($J378&gt;MAX('Match Log'!$A$4:$A$810),NA(),IFERROR(LOOKUP(2,1/(('Match Log'!$D$4:$D$810=$X$24)*('Match Log'!$A$4:$A$810&lt;=$J378)),'Match Log'!$N$4:$N$810),NA()))</f>
        <v>#N/A</v>
      </c>
      <c r="Y378" t="str">
        <f t="shared" ca="1" si="39"/>
        <v/>
      </c>
    </row>
    <row r="379" spans="1:25" x14ac:dyDescent="0.2">
      <c r="A379">
        <v>355</v>
      </c>
      <c r="B379" t="str">
        <f>IFERROR(INDEX('Match Log'!$B$4:$B$810,MATCH(355,'Match Log'!$A$4:$A$810,0)),"")</f>
        <v/>
      </c>
      <c r="C379" t="str">
        <f>IFERROR(INDEX('Match Log'!$C$4:$C$810,MATCH(355,'Match Log'!$A$4:$A$810,0)),"")</f>
        <v/>
      </c>
      <c r="D379" t="str">
        <f t="array" ref="D379">IFERROR(_xlfn.TEXTJOIN(" + ",TRUE,IF(('Match Log'!$A$4:$A$810=$A379)*('Match Log'!$E$4:$E$810="Win"),'Match Log'!$D$4:$D$810,"")),IFERROR(LOOKUP(2,1/(('Match Log'!$A$4:$A$810=$A379)*('Match Log'!$E$4:$E$810="Win")),'Match Log'!$D$4:$D$810),""))</f>
        <v/>
      </c>
      <c r="E379" t="str">
        <f>IFERROR(INDEX('Match Log'!$F$4:$F$810,MATCH(355,'Match Log'!$A$4:$A$810,0)),"")</f>
        <v/>
      </c>
      <c r="F379">
        <f>IFERROR(SUMIFS('Match Log'!$I$4:$I$810,'Match Log'!$A$4:$A$810,355,'Match Log'!$E$4:$E$810,"Win"),"")</f>
        <v>0</v>
      </c>
      <c r="G379" t="str">
        <f t="shared" si="37"/>
        <v/>
      </c>
      <c r="H379" t="str">
        <f t="array" ref="H379">IFERROR(IF(COUNTIFS('Match Log'!$A$4:$A$810,$A379,'Match Log'!$E$4:$E$810,"Win")&gt;1,_xlfn.TEXTJOIN(" + ",TRUE,IF(('Match Log'!$A$4:$A$810=$A379)*('Match Log'!$E$4:$E$810="Loss"),'Match Log'!$D$4:$D$810,"")),IF($E379=2,LOOKUP(2,1/(('Match Log'!$A$4:$A$810=$A379)*('Match Log'!$E$4:$E$810="Loss")),'Match Log'!$D$4:$D$810),"the field")),"")</f>
        <v>the field</v>
      </c>
      <c r="I379" t="str">
        <f t="shared" si="38"/>
        <v/>
      </c>
      <c r="J379">
        <v>355</v>
      </c>
      <c r="K379" t="e">
        <f>IF($J379&gt;MAX('Match Log'!$A$4:$A$810),NA(),IFERROR(LOOKUP(2,1/(('Match Log'!$D$4:$D$810=$K$24)*('Match Log'!$A$4:$A$810&lt;=$J379)),'Match Log'!$N$4:$N$810),NA()))</f>
        <v>#N/A</v>
      </c>
      <c r="L379" t="e">
        <f>IF($J379&gt;MAX('Match Log'!$A$4:$A$810),NA(),IFERROR(LOOKUP(2,1/(('Match Log'!$D$4:$D$810=$L$24)*('Match Log'!$A$4:$A$810&lt;=$J379)),'Match Log'!$N$4:$N$810),NA()))</f>
        <v>#N/A</v>
      </c>
      <c r="M379" t="e">
        <f>IF($J379&gt;MAX('Match Log'!$A$4:$A$810),NA(),IFERROR(LOOKUP(2,1/(('Match Log'!$D$4:$D$810=$M$24)*('Match Log'!$A$4:$A$810&lt;=$J379)),'Match Log'!$N$4:$N$810),NA()))</f>
        <v>#N/A</v>
      </c>
      <c r="N379" t="e">
        <f>IF($J379&gt;MAX('Match Log'!$A$4:$A$810),NA(),IFERROR(LOOKUP(2,1/(('Match Log'!$D$4:$D$810=$N$24)*('Match Log'!$A$4:$A$810&lt;=$J379)),'Match Log'!$N$4:$N$810),NA()))</f>
        <v>#N/A</v>
      </c>
      <c r="O379" t="e">
        <f>IF($J379&gt;MAX('Match Log'!$A$4:$A$810),NA(),IFERROR(LOOKUP(2,1/(('Match Log'!$D$4:$D$810=$O$24)*('Match Log'!$A$4:$A$810&lt;=$J379)),'Match Log'!$N$4:$N$810),NA()))</f>
        <v>#N/A</v>
      </c>
      <c r="P379" t="e">
        <f>IF($J379&gt;MAX('Match Log'!$A$4:$A$810),NA(),IFERROR(LOOKUP(2,1/(('Match Log'!$D$4:$D$810=$P$24)*('Match Log'!$A$4:$A$810&lt;=$J379)),'Match Log'!$N$4:$N$810),NA()))</f>
        <v>#N/A</v>
      </c>
      <c r="Q379" t="e">
        <f>IF($J379&gt;MAX('Match Log'!$A$4:$A$810),NA(),IFERROR(LOOKUP(2,1/(('Match Log'!$D$4:$D$810=$Q$24)*('Match Log'!$A$4:$A$810&lt;=$J379)),'Match Log'!$N$4:$N$810),NA()))</f>
        <v>#N/A</v>
      </c>
      <c r="R379" t="e">
        <f>IF($J379&gt;MAX('Match Log'!$A$4:$A$810),NA(),IFERROR(LOOKUP(2,1/(('Match Log'!$D$4:$D$810=$R$24)*('Match Log'!$A$4:$A$810&lt;=$J379)),'Match Log'!$N$4:$N$810),NA()))</f>
        <v>#N/A</v>
      </c>
      <c r="S379" t="e">
        <f>IF($J379&gt;MAX('Match Log'!$A$4:$A$810),NA(),IFERROR(LOOKUP(2,1/(('Match Log'!$D$4:$D$810=$S$24)*('Match Log'!$A$4:$A$810&lt;=$J379)),'Match Log'!$N$4:$N$810),NA()))</f>
        <v>#N/A</v>
      </c>
      <c r="T379" t="e">
        <f>IF($J379&gt;MAX('Match Log'!$A$4:$A$810),NA(),IFERROR(LOOKUP(2,1/(('Match Log'!$D$4:$D$810=$T$24)*('Match Log'!$A$4:$A$810&lt;=$J379)),'Match Log'!$N$4:$N$810),NA()))</f>
        <v>#N/A</v>
      </c>
      <c r="U379" t="e">
        <f>IF($J379&gt;MAX('Match Log'!$A$4:$A$810),NA(),IFERROR(LOOKUP(2,1/(('Match Log'!$D$4:$D$810=$U$24)*('Match Log'!$A$4:$A$810&lt;=$J379)),'Match Log'!$N$4:$N$810),NA()))</f>
        <v>#N/A</v>
      </c>
      <c r="V379" t="e">
        <f>IF($J379&gt;MAX('Match Log'!$A$4:$A$810),NA(),IFERROR(LOOKUP(2,1/(('Match Log'!$D$4:$D$810=$V$24)*('Match Log'!$A$4:$A$810&lt;=$J379)),'Match Log'!$N$4:$N$810),NA()))</f>
        <v>#N/A</v>
      </c>
      <c r="W379" t="e">
        <f>IF($J379&gt;MAX('Match Log'!$A$4:$A$810),NA(),IFERROR(LOOKUP(2,1/(('Match Log'!$D$4:$D$810=$W$24)*('Match Log'!$A$4:$A$810&lt;=$J379)),'Match Log'!$N$4:$N$810),NA()))</f>
        <v>#N/A</v>
      </c>
      <c r="X379" t="e">
        <f>IF($J379&gt;MAX('Match Log'!$A$4:$A$810),NA(),IFERROR(LOOKUP(2,1/(('Match Log'!$D$4:$D$810=$X$24)*('Match Log'!$A$4:$A$810&lt;=$J379)),'Match Log'!$N$4:$N$810),NA()))</f>
        <v>#N/A</v>
      </c>
      <c r="Y379" t="str">
        <f t="shared" ca="1" si="39"/>
        <v/>
      </c>
    </row>
    <row r="380" spans="1:25" x14ac:dyDescent="0.2">
      <c r="A380">
        <v>356</v>
      </c>
      <c r="B380" t="str">
        <f>IFERROR(INDEX('Match Log'!$B$4:$B$810,MATCH(356,'Match Log'!$A$4:$A$810,0)),"")</f>
        <v/>
      </c>
      <c r="C380" t="str">
        <f>IFERROR(INDEX('Match Log'!$C$4:$C$810,MATCH(356,'Match Log'!$A$4:$A$810,0)),"")</f>
        <v/>
      </c>
      <c r="D380" t="str">
        <f t="array" ref="D380">IFERROR(_xlfn.TEXTJOIN(" + ",TRUE,IF(('Match Log'!$A$4:$A$810=$A380)*('Match Log'!$E$4:$E$810="Win"),'Match Log'!$D$4:$D$810,"")),IFERROR(LOOKUP(2,1/(('Match Log'!$A$4:$A$810=$A380)*('Match Log'!$E$4:$E$810="Win")),'Match Log'!$D$4:$D$810),""))</f>
        <v/>
      </c>
      <c r="E380" t="str">
        <f>IFERROR(INDEX('Match Log'!$F$4:$F$810,MATCH(356,'Match Log'!$A$4:$A$810,0)),"")</f>
        <v/>
      </c>
      <c r="F380">
        <f>IFERROR(SUMIFS('Match Log'!$I$4:$I$810,'Match Log'!$A$4:$A$810,356,'Match Log'!$E$4:$E$810,"Win"),"")</f>
        <v>0</v>
      </c>
      <c r="G380" t="str">
        <f t="shared" si="37"/>
        <v/>
      </c>
      <c r="H380" t="str">
        <f t="array" ref="H380">IFERROR(IF(COUNTIFS('Match Log'!$A$4:$A$810,$A380,'Match Log'!$E$4:$E$810,"Win")&gt;1,_xlfn.TEXTJOIN(" + ",TRUE,IF(('Match Log'!$A$4:$A$810=$A380)*('Match Log'!$E$4:$E$810="Loss"),'Match Log'!$D$4:$D$810,"")),IF($E380=2,LOOKUP(2,1/(('Match Log'!$A$4:$A$810=$A380)*('Match Log'!$E$4:$E$810="Loss")),'Match Log'!$D$4:$D$810),"the field")),"")</f>
        <v>the field</v>
      </c>
      <c r="I380" t="str">
        <f t="shared" si="38"/>
        <v/>
      </c>
      <c r="J380">
        <v>356</v>
      </c>
      <c r="K380" t="e">
        <f>IF($J380&gt;MAX('Match Log'!$A$4:$A$810),NA(),IFERROR(LOOKUP(2,1/(('Match Log'!$D$4:$D$810=$K$24)*('Match Log'!$A$4:$A$810&lt;=$J380)),'Match Log'!$N$4:$N$810),NA()))</f>
        <v>#N/A</v>
      </c>
      <c r="L380" t="e">
        <f>IF($J380&gt;MAX('Match Log'!$A$4:$A$810),NA(),IFERROR(LOOKUP(2,1/(('Match Log'!$D$4:$D$810=$L$24)*('Match Log'!$A$4:$A$810&lt;=$J380)),'Match Log'!$N$4:$N$810),NA()))</f>
        <v>#N/A</v>
      </c>
      <c r="M380" t="e">
        <f>IF($J380&gt;MAX('Match Log'!$A$4:$A$810),NA(),IFERROR(LOOKUP(2,1/(('Match Log'!$D$4:$D$810=$M$24)*('Match Log'!$A$4:$A$810&lt;=$J380)),'Match Log'!$N$4:$N$810),NA()))</f>
        <v>#N/A</v>
      </c>
      <c r="N380" t="e">
        <f>IF($J380&gt;MAX('Match Log'!$A$4:$A$810),NA(),IFERROR(LOOKUP(2,1/(('Match Log'!$D$4:$D$810=$N$24)*('Match Log'!$A$4:$A$810&lt;=$J380)),'Match Log'!$N$4:$N$810),NA()))</f>
        <v>#N/A</v>
      </c>
      <c r="O380" t="e">
        <f>IF($J380&gt;MAX('Match Log'!$A$4:$A$810),NA(),IFERROR(LOOKUP(2,1/(('Match Log'!$D$4:$D$810=$O$24)*('Match Log'!$A$4:$A$810&lt;=$J380)),'Match Log'!$N$4:$N$810),NA()))</f>
        <v>#N/A</v>
      </c>
      <c r="P380" t="e">
        <f>IF($J380&gt;MAX('Match Log'!$A$4:$A$810),NA(),IFERROR(LOOKUP(2,1/(('Match Log'!$D$4:$D$810=$P$24)*('Match Log'!$A$4:$A$810&lt;=$J380)),'Match Log'!$N$4:$N$810),NA()))</f>
        <v>#N/A</v>
      </c>
      <c r="Q380" t="e">
        <f>IF($J380&gt;MAX('Match Log'!$A$4:$A$810),NA(),IFERROR(LOOKUP(2,1/(('Match Log'!$D$4:$D$810=$Q$24)*('Match Log'!$A$4:$A$810&lt;=$J380)),'Match Log'!$N$4:$N$810),NA()))</f>
        <v>#N/A</v>
      </c>
      <c r="R380" t="e">
        <f>IF($J380&gt;MAX('Match Log'!$A$4:$A$810),NA(),IFERROR(LOOKUP(2,1/(('Match Log'!$D$4:$D$810=$R$24)*('Match Log'!$A$4:$A$810&lt;=$J380)),'Match Log'!$N$4:$N$810),NA()))</f>
        <v>#N/A</v>
      </c>
      <c r="S380" t="e">
        <f>IF($J380&gt;MAX('Match Log'!$A$4:$A$810),NA(),IFERROR(LOOKUP(2,1/(('Match Log'!$D$4:$D$810=$S$24)*('Match Log'!$A$4:$A$810&lt;=$J380)),'Match Log'!$N$4:$N$810),NA()))</f>
        <v>#N/A</v>
      </c>
      <c r="T380" t="e">
        <f>IF($J380&gt;MAX('Match Log'!$A$4:$A$810),NA(),IFERROR(LOOKUP(2,1/(('Match Log'!$D$4:$D$810=$T$24)*('Match Log'!$A$4:$A$810&lt;=$J380)),'Match Log'!$N$4:$N$810),NA()))</f>
        <v>#N/A</v>
      </c>
      <c r="U380" t="e">
        <f>IF($J380&gt;MAX('Match Log'!$A$4:$A$810),NA(),IFERROR(LOOKUP(2,1/(('Match Log'!$D$4:$D$810=$U$24)*('Match Log'!$A$4:$A$810&lt;=$J380)),'Match Log'!$N$4:$N$810),NA()))</f>
        <v>#N/A</v>
      </c>
      <c r="V380" t="e">
        <f>IF($J380&gt;MAX('Match Log'!$A$4:$A$810),NA(),IFERROR(LOOKUP(2,1/(('Match Log'!$D$4:$D$810=$V$24)*('Match Log'!$A$4:$A$810&lt;=$J380)),'Match Log'!$N$4:$N$810),NA()))</f>
        <v>#N/A</v>
      </c>
      <c r="W380" t="e">
        <f>IF($J380&gt;MAX('Match Log'!$A$4:$A$810),NA(),IFERROR(LOOKUP(2,1/(('Match Log'!$D$4:$D$810=$W$24)*('Match Log'!$A$4:$A$810&lt;=$J380)),'Match Log'!$N$4:$N$810),NA()))</f>
        <v>#N/A</v>
      </c>
      <c r="X380" t="e">
        <f>IF($J380&gt;MAX('Match Log'!$A$4:$A$810),NA(),IFERROR(LOOKUP(2,1/(('Match Log'!$D$4:$D$810=$X$24)*('Match Log'!$A$4:$A$810&lt;=$J380)),'Match Log'!$N$4:$N$810),NA()))</f>
        <v>#N/A</v>
      </c>
      <c r="Y380" t="str">
        <f t="shared" ca="1" si="39"/>
        <v/>
      </c>
    </row>
    <row r="381" spans="1:25" x14ac:dyDescent="0.2">
      <c r="A381">
        <v>357</v>
      </c>
      <c r="B381" t="str">
        <f>IFERROR(INDEX('Match Log'!$B$4:$B$810,MATCH(357,'Match Log'!$A$4:$A$810,0)),"")</f>
        <v/>
      </c>
      <c r="C381" t="str">
        <f>IFERROR(INDEX('Match Log'!$C$4:$C$810,MATCH(357,'Match Log'!$A$4:$A$810,0)),"")</f>
        <v/>
      </c>
      <c r="D381" t="str">
        <f t="array" ref="D381">IFERROR(_xlfn.TEXTJOIN(" + ",TRUE,IF(('Match Log'!$A$4:$A$810=$A381)*('Match Log'!$E$4:$E$810="Win"),'Match Log'!$D$4:$D$810,"")),IFERROR(LOOKUP(2,1/(('Match Log'!$A$4:$A$810=$A381)*('Match Log'!$E$4:$E$810="Win")),'Match Log'!$D$4:$D$810),""))</f>
        <v/>
      </c>
      <c r="E381" t="str">
        <f>IFERROR(INDEX('Match Log'!$F$4:$F$810,MATCH(357,'Match Log'!$A$4:$A$810,0)),"")</f>
        <v/>
      </c>
      <c r="F381">
        <f>IFERROR(SUMIFS('Match Log'!$I$4:$I$810,'Match Log'!$A$4:$A$810,357,'Match Log'!$E$4:$E$810,"Win"),"")</f>
        <v>0</v>
      </c>
      <c r="G381" t="str">
        <f t="shared" si="37"/>
        <v/>
      </c>
      <c r="H381" t="str">
        <f t="array" ref="H381">IFERROR(IF(COUNTIFS('Match Log'!$A$4:$A$810,$A381,'Match Log'!$E$4:$E$810,"Win")&gt;1,_xlfn.TEXTJOIN(" + ",TRUE,IF(('Match Log'!$A$4:$A$810=$A381)*('Match Log'!$E$4:$E$810="Loss"),'Match Log'!$D$4:$D$810,"")),IF($E381=2,LOOKUP(2,1/(('Match Log'!$A$4:$A$810=$A381)*('Match Log'!$E$4:$E$810="Loss")),'Match Log'!$D$4:$D$810),"the field")),"")</f>
        <v>the field</v>
      </c>
      <c r="I381" t="str">
        <f t="shared" si="38"/>
        <v/>
      </c>
      <c r="J381">
        <v>357</v>
      </c>
      <c r="K381" t="e">
        <f>IF($J381&gt;MAX('Match Log'!$A$4:$A$810),NA(),IFERROR(LOOKUP(2,1/(('Match Log'!$D$4:$D$810=$K$24)*('Match Log'!$A$4:$A$810&lt;=$J381)),'Match Log'!$N$4:$N$810),NA()))</f>
        <v>#N/A</v>
      </c>
      <c r="L381" t="e">
        <f>IF($J381&gt;MAX('Match Log'!$A$4:$A$810),NA(),IFERROR(LOOKUP(2,1/(('Match Log'!$D$4:$D$810=$L$24)*('Match Log'!$A$4:$A$810&lt;=$J381)),'Match Log'!$N$4:$N$810),NA()))</f>
        <v>#N/A</v>
      </c>
      <c r="M381" t="e">
        <f>IF($J381&gt;MAX('Match Log'!$A$4:$A$810),NA(),IFERROR(LOOKUP(2,1/(('Match Log'!$D$4:$D$810=$M$24)*('Match Log'!$A$4:$A$810&lt;=$J381)),'Match Log'!$N$4:$N$810),NA()))</f>
        <v>#N/A</v>
      </c>
      <c r="N381" t="e">
        <f>IF($J381&gt;MAX('Match Log'!$A$4:$A$810),NA(),IFERROR(LOOKUP(2,1/(('Match Log'!$D$4:$D$810=$N$24)*('Match Log'!$A$4:$A$810&lt;=$J381)),'Match Log'!$N$4:$N$810),NA()))</f>
        <v>#N/A</v>
      </c>
      <c r="O381" t="e">
        <f>IF($J381&gt;MAX('Match Log'!$A$4:$A$810),NA(),IFERROR(LOOKUP(2,1/(('Match Log'!$D$4:$D$810=$O$24)*('Match Log'!$A$4:$A$810&lt;=$J381)),'Match Log'!$N$4:$N$810),NA()))</f>
        <v>#N/A</v>
      </c>
      <c r="P381" t="e">
        <f>IF($J381&gt;MAX('Match Log'!$A$4:$A$810),NA(),IFERROR(LOOKUP(2,1/(('Match Log'!$D$4:$D$810=$P$24)*('Match Log'!$A$4:$A$810&lt;=$J381)),'Match Log'!$N$4:$N$810),NA()))</f>
        <v>#N/A</v>
      </c>
      <c r="Q381" t="e">
        <f>IF($J381&gt;MAX('Match Log'!$A$4:$A$810),NA(),IFERROR(LOOKUP(2,1/(('Match Log'!$D$4:$D$810=$Q$24)*('Match Log'!$A$4:$A$810&lt;=$J381)),'Match Log'!$N$4:$N$810),NA()))</f>
        <v>#N/A</v>
      </c>
      <c r="R381" t="e">
        <f>IF($J381&gt;MAX('Match Log'!$A$4:$A$810),NA(),IFERROR(LOOKUP(2,1/(('Match Log'!$D$4:$D$810=$R$24)*('Match Log'!$A$4:$A$810&lt;=$J381)),'Match Log'!$N$4:$N$810),NA()))</f>
        <v>#N/A</v>
      </c>
      <c r="S381" t="e">
        <f>IF($J381&gt;MAX('Match Log'!$A$4:$A$810),NA(),IFERROR(LOOKUP(2,1/(('Match Log'!$D$4:$D$810=$S$24)*('Match Log'!$A$4:$A$810&lt;=$J381)),'Match Log'!$N$4:$N$810),NA()))</f>
        <v>#N/A</v>
      </c>
      <c r="T381" t="e">
        <f>IF($J381&gt;MAX('Match Log'!$A$4:$A$810),NA(),IFERROR(LOOKUP(2,1/(('Match Log'!$D$4:$D$810=$T$24)*('Match Log'!$A$4:$A$810&lt;=$J381)),'Match Log'!$N$4:$N$810),NA()))</f>
        <v>#N/A</v>
      </c>
      <c r="U381" t="e">
        <f>IF($J381&gt;MAX('Match Log'!$A$4:$A$810),NA(),IFERROR(LOOKUP(2,1/(('Match Log'!$D$4:$D$810=$U$24)*('Match Log'!$A$4:$A$810&lt;=$J381)),'Match Log'!$N$4:$N$810),NA()))</f>
        <v>#N/A</v>
      </c>
      <c r="V381" t="e">
        <f>IF($J381&gt;MAX('Match Log'!$A$4:$A$810),NA(),IFERROR(LOOKUP(2,1/(('Match Log'!$D$4:$D$810=$V$24)*('Match Log'!$A$4:$A$810&lt;=$J381)),'Match Log'!$N$4:$N$810),NA()))</f>
        <v>#N/A</v>
      </c>
      <c r="W381" t="e">
        <f>IF($J381&gt;MAX('Match Log'!$A$4:$A$810),NA(),IFERROR(LOOKUP(2,1/(('Match Log'!$D$4:$D$810=$W$24)*('Match Log'!$A$4:$A$810&lt;=$J381)),'Match Log'!$N$4:$N$810),NA()))</f>
        <v>#N/A</v>
      </c>
      <c r="X381" t="e">
        <f>IF($J381&gt;MAX('Match Log'!$A$4:$A$810),NA(),IFERROR(LOOKUP(2,1/(('Match Log'!$D$4:$D$810=$X$24)*('Match Log'!$A$4:$A$810&lt;=$J381)),'Match Log'!$N$4:$N$810),NA()))</f>
        <v>#N/A</v>
      </c>
      <c r="Y381" t="str">
        <f t="shared" ca="1" si="39"/>
        <v/>
      </c>
    </row>
    <row r="382" spans="1:25" x14ac:dyDescent="0.2">
      <c r="A382">
        <v>358</v>
      </c>
      <c r="B382" t="str">
        <f>IFERROR(INDEX('Match Log'!$B$4:$B$810,MATCH(358,'Match Log'!$A$4:$A$810,0)),"")</f>
        <v/>
      </c>
      <c r="C382" t="str">
        <f>IFERROR(INDEX('Match Log'!$C$4:$C$810,MATCH(358,'Match Log'!$A$4:$A$810,0)),"")</f>
        <v/>
      </c>
      <c r="D382" t="str">
        <f t="array" ref="D382">IFERROR(_xlfn.TEXTJOIN(" + ",TRUE,IF(('Match Log'!$A$4:$A$810=$A382)*('Match Log'!$E$4:$E$810="Win"),'Match Log'!$D$4:$D$810,"")),IFERROR(LOOKUP(2,1/(('Match Log'!$A$4:$A$810=$A382)*('Match Log'!$E$4:$E$810="Win")),'Match Log'!$D$4:$D$810),""))</f>
        <v/>
      </c>
      <c r="E382" t="str">
        <f>IFERROR(INDEX('Match Log'!$F$4:$F$810,MATCH(358,'Match Log'!$A$4:$A$810,0)),"")</f>
        <v/>
      </c>
      <c r="F382">
        <f>IFERROR(SUMIFS('Match Log'!$I$4:$I$810,'Match Log'!$A$4:$A$810,358,'Match Log'!$E$4:$E$810,"Win"),"")</f>
        <v>0</v>
      </c>
      <c r="G382" t="str">
        <f t="shared" si="37"/>
        <v/>
      </c>
      <c r="H382" t="str">
        <f t="array" ref="H382">IFERROR(IF(COUNTIFS('Match Log'!$A$4:$A$810,$A382,'Match Log'!$E$4:$E$810,"Win")&gt;1,_xlfn.TEXTJOIN(" + ",TRUE,IF(('Match Log'!$A$4:$A$810=$A382)*('Match Log'!$E$4:$E$810="Loss"),'Match Log'!$D$4:$D$810,"")),IF($E382=2,LOOKUP(2,1/(('Match Log'!$A$4:$A$810=$A382)*('Match Log'!$E$4:$E$810="Loss")),'Match Log'!$D$4:$D$810),"the field")),"")</f>
        <v>the field</v>
      </c>
      <c r="I382" t="str">
        <f t="shared" si="38"/>
        <v/>
      </c>
      <c r="J382">
        <v>358</v>
      </c>
      <c r="K382" t="e">
        <f>IF($J382&gt;MAX('Match Log'!$A$4:$A$810),NA(),IFERROR(LOOKUP(2,1/(('Match Log'!$D$4:$D$810=$K$24)*('Match Log'!$A$4:$A$810&lt;=$J382)),'Match Log'!$N$4:$N$810),NA()))</f>
        <v>#N/A</v>
      </c>
      <c r="L382" t="e">
        <f>IF($J382&gt;MAX('Match Log'!$A$4:$A$810),NA(),IFERROR(LOOKUP(2,1/(('Match Log'!$D$4:$D$810=$L$24)*('Match Log'!$A$4:$A$810&lt;=$J382)),'Match Log'!$N$4:$N$810),NA()))</f>
        <v>#N/A</v>
      </c>
      <c r="M382" t="e">
        <f>IF($J382&gt;MAX('Match Log'!$A$4:$A$810),NA(),IFERROR(LOOKUP(2,1/(('Match Log'!$D$4:$D$810=$M$24)*('Match Log'!$A$4:$A$810&lt;=$J382)),'Match Log'!$N$4:$N$810),NA()))</f>
        <v>#N/A</v>
      </c>
      <c r="N382" t="e">
        <f>IF($J382&gt;MAX('Match Log'!$A$4:$A$810),NA(),IFERROR(LOOKUP(2,1/(('Match Log'!$D$4:$D$810=$N$24)*('Match Log'!$A$4:$A$810&lt;=$J382)),'Match Log'!$N$4:$N$810),NA()))</f>
        <v>#N/A</v>
      </c>
      <c r="O382" t="e">
        <f>IF($J382&gt;MAX('Match Log'!$A$4:$A$810),NA(),IFERROR(LOOKUP(2,1/(('Match Log'!$D$4:$D$810=$O$24)*('Match Log'!$A$4:$A$810&lt;=$J382)),'Match Log'!$N$4:$N$810),NA()))</f>
        <v>#N/A</v>
      </c>
      <c r="P382" t="e">
        <f>IF($J382&gt;MAX('Match Log'!$A$4:$A$810),NA(),IFERROR(LOOKUP(2,1/(('Match Log'!$D$4:$D$810=$P$24)*('Match Log'!$A$4:$A$810&lt;=$J382)),'Match Log'!$N$4:$N$810),NA()))</f>
        <v>#N/A</v>
      </c>
      <c r="Q382" t="e">
        <f>IF($J382&gt;MAX('Match Log'!$A$4:$A$810),NA(),IFERROR(LOOKUP(2,1/(('Match Log'!$D$4:$D$810=$Q$24)*('Match Log'!$A$4:$A$810&lt;=$J382)),'Match Log'!$N$4:$N$810),NA()))</f>
        <v>#N/A</v>
      </c>
      <c r="R382" t="e">
        <f>IF($J382&gt;MAX('Match Log'!$A$4:$A$810),NA(),IFERROR(LOOKUP(2,1/(('Match Log'!$D$4:$D$810=$R$24)*('Match Log'!$A$4:$A$810&lt;=$J382)),'Match Log'!$N$4:$N$810),NA()))</f>
        <v>#N/A</v>
      </c>
      <c r="S382" t="e">
        <f>IF($J382&gt;MAX('Match Log'!$A$4:$A$810),NA(),IFERROR(LOOKUP(2,1/(('Match Log'!$D$4:$D$810=$S$24)*('Match Log'!$A$4:$A$810&lt;=$J382)),'Match Log'!$N$4:$N$810),NA()))</f>
        <v>#N/A</v>
      </c>
      <c r="T382" t="e">
        <f>IF($J382&gt;MAX('Match Log'!$A$4:$A$810),NA(),IFERROR(LOOKUP(2,1/(('Match Log'!$D$4:$D$810=$T$24)*('Match Log'!$A$4:$A$810&lt;=$J382)),'Match Log'!$N$4:$N$810),NA()))</f>
        <v>#N/A</v>
      </c>
      <c r="U382" t="e">
        <f>IF($J382&gt;MAX('Match Log'!$A$4:$A$810),NA(),IFERROR(LOOKUP(2,1/(('Match Log'!$D$4:$D$810=$U$24)*('Match Log'!$A$4:$A$810&lt;=$J382)),'Match Log'!$N$4:$N$810),NA()))</f>
        <v>#N/A</v>
      </c>
      <c r="V382" t="e">
        <f>IF($J382&gt;MAX('Match Log'!$A$4:$A$810),NA(),IFERROR(LOOKUP(2,1/(('Match Log'!$D$4:$D$810=$V$24)*('Match Log'!$A$4:$A$810&lt;=$J382)),'Match Log'!$N$4:$N$810),NA()))</f>
        <v>#N/A</v>
      </c>
      <c r="W382" t="e">
        <f>IF($J382&gt;MAX('Match Log'!$A$4:$A$810),NA(),IFERROR(LOOKUP(2,1/(('Match Log'!$D$4:$D$810=$W$24)*('Match Log'!$A$4:$A$810&lt;=$J382)),'Match Log'!$N$4:$N$810),NA()))</f>
        <v>#N/A</v>
      </c>
      <c r="X382" t="e">
        <f>IF($J382&gt;MAX('Match Log'!$A$4:$A$810),NA(),IFERROR(LOOKUP(2,1/(('Match Log'!$D$4:$D$810=$X$24)*('Match Log'!$A$4:$A$810&lt;=$J382)),'Match Log'!$N$4:$N$810),NA()))</f>
        <v>#N/A</v>
      </c>
      <c r="Y382" t="str">
        <f t="shared" ca="1" si="39"/>
        <v/>
      </c>
    </row>
    <row r="383" spans="1:25" x14ac:dyDescent="0.2">
      <c r="A383">
        <v>359</v>
      </c>
      <c r="B383" t="str">
        <f>IFERROR(INDEX('Match Log'!$B$4:$B$810,MATCH(359,'Match Log'!$A$4:$A$810,0)),"")</f>
        <v/>
      </c>
      <c r="C383" t="str">
        <f>IFERROR(INDEX('Match Log'!$C$4:$C$810,MATCH(359,'Match Log'!$A$4:$A$810,0)),"")</f>
        <v/>
      </c>
      <c r="D383" t="str">
        <f t="array" ref="D383">IFERROR(_xlfn.TEXTJOIN(" + ",TRUE,IF(('Match Log'!$A$4:$A$810=$A383)*('Match Log'!$E$4:$E$810="Win"),'Match Log'!$D$4:$D$810,"")),IFERROR(LOOKUP(2,1/(('Match Log'!$A$4:$A$810=$A383)*('Match Log'!$E$4:$E$810="Win")),'Match Log'!$D$4:$D$810),""))</f>
        <v/>
      </c>
      <c r="E383" t="str">
        <f>IFERROR(INDEX('Match Log'!$F$4:$F$810,MATCH(359,'Match Log'!$A$4:$A$810,0)),"")</f>
        <v/>
      </c>
      <c r="F383">
        <f>IFERROR(SUMIFS('Match Log'!$I$4:$I$810,'Match Log'!$A$4:$A$810,359,'Match Log'!$E$4:$E$810,"Win"),"")</f>
        <v>0</v>
      </c>
      <c r="G383" t="str">
        <f t="shared" si="37"/>
        <v/>
      </c>
      <c r="H383" t="str">
        <f t="array" ref="H383">IFERROR(IF(COUNTIFS('Match Log'!$A$4:$A$810,$A383,'Match Log'!$E$4:$E$810,"Win")&gt;1,_xlfn.TEXTJOIN(" + ",TRUE,IF(('Match Log'!$A$4:$A$810=$A383)*('Match Log'!$E$4:$E$810="Loss"),'Match Log'!$D$4:$D$810,"")),IF($E383=2,LOOKUP(2,1/(('Match Log'!$A$4:$A$810=$A383)*('Match Log'!$E$4:$E$810="Loss")),'Match Log'!$D$4:$D$810),"the field")),"")</f>
        <v>the field</v>
      </c>
      <c r="I383" t="str">
        <f t="shared" si="38"/>
        <v/>
      </c>
      <c r="J383">
        <v>359</v>
      </c>
      <c r="K383" t="e">
        <f>IF($J383&gt;MAX('Match Log'!$A$4:$A$810),NA(),IFERROR(LOOKUP(2,1/(('Match Log'!$D$4:$D$810=$K$24)*('Match Log'!$A$4:$A$810&lt;=$J383)),'Match Log'!$N$4:$N$810),NA()))</f>
        <v>#N/A</v>
      </c>
      <c r="L383" t="e">
        <f>IF($J383&gt;MAX('Match Log'!$A$4:$A$810),NA(),IFERROR(LOOKUP(2,1/(('Match Log'!$D$4:$D$810=$L$24)*('Match Log'!$A$4:$A$810&lt;=$J383)),'Match Log'!$N$4:$N$810),NA()))</f>
        <v>#N/A</v>
      </c>
      <c r="M383" t="e">
        <f>IF($J383&gt;MAX('Match Log'!$A$4:$A$810),NA(),IFERROR(LOOKUP(2,1/(('Match Log'!$D$4:$D$810=$M$24)*('Match Log'!$A$4:$A$810&lt;=$J383)),'Match Log'!$N$4:$N$810),NA()))</f>
        <v>#N/A</v>
      </c>
      <c r="N383" t="e">
        <f>IF($J383&gt;MAX('Match Log'!$A$4:$A$810),NA(),IFERROR(LOOKUP(2,1/(('Match Log'!$D$4:$D$810=$N$24)*('Match Log'!$A$4:$A$810&lt;=$J383)),'Match Log'!$N$4:$N$810),NA()))</f>
        <v>#N/A</v>
      </c>
      <c r="O383" t="e">
        <f>IF($J383&gt;MAX('Match Log'!$A$4:$A$810),NA(),IFERROR(LOOKUP(2,1/(('Match Log'!$D$4:$D$810=$O$24)*('Match Log'!$A$4:$A$810&lt;=$J383)),'Match Log'!$N$4:$N$810),NA()))</f>
        <v>#N/A</v>
      </c>
      <c r="P383" t="e">
        <f>IF($J383&gt;MAX('Match Log'!$A$4:$A$810),NA(),IFERROR(LOOKUP(2,1/(('Match Log'!$D$4:$D$810=$P$24)*('Match Log'!$A$4:$A$810&lt;=$J383)),'Match Log'!$N$4:$N$810),NA()))</f>
        <v>#N/A</v>
      </c>
      <c r="Q383" t="e">
        <f>IF($J383&gt;MAX('Match Log'!$A$4:$A$810),NA(),IFERROR(LOOKUP(2,1/(('Match Log'!$D$4:$D$810=$Q$24)*('Match Log'!$A$4:$A$810&lt;=$J383)),'Match Log'!$N$4:$N$810),NA()))</f>
        <v>#N/A</v>
      </c>
      <c r="R383" t="e">
        <f>IF($J383&gt;MAX('Match Log'!$A$4:$A$810),NA(),IFERROR(LOOKUP(2,1/(('Match Log'!$D$4:$D$810=$R$24)*('Match Log'!$A$4:$A$810&lt;=$J383)),'Match Log'!$N$4:$N$810),NA()))</f>
        <v>#N/A</v>
      </c>
      <c r="S383" t="e">
        <f>IF($J383&gt;MAX('Match Log'!$A$4:$A$810),NA(),IFERROR(LOOKUP(2,1/(('Match Log'!$D$4:$D$810=$S$24)*('Match Log'!$A$4:$A$810&lt;=$J383)),'Match Log'!$N$4:$N$810),NA()))</f>
        <v>#N/A</v>
      </c>
      <c r="T383" t="e">
        <f>IF($J383&gt;MAX('Match Log'!$A$4:$A$810),NA(),IFERROR(LOOKUP(2,1/(('Match Log'!$D$4:$D$810=$T$24)*('Match Log'!$A$4:$A$810&lt;=$J383)),'Match Log'!$N$4:$N$810),NA()))</f>
        <v>#N/A</v>
      </c>
      <c r="U383" t="e">
        <f>IF($J383&gt;MAX('Match Log'!$A$4:$A$810),NA(),IFERROR(LOOKUP(2,1/(('Match Log'!$D$4:$D$810=$U$24)*('Match Log'!$A$4:$A$810&lt;=$J383)),'Match Log'!$N$4:$N$810),NA()))</f>
        <v>#N/A</v>
      </c>
      <c r="V383" t="e">
        <f>IF($J383&gt;MAX('Match Log'!$A$4:$A$810),NA(),IFERROR(LOOKUP(2,1/(('Match Log'!$D$4:$D$810=$V$24)*('Match Log'!$A$4:$A$810&lt;=$J383)),'Match Log'!$N$4:$N$810),NA()))</f>
        <v>#N/A</v>
      </c>
      <c r="W383" t="e">
        <f>IF($J383&gt;MAX('Match Log'!$A$4:$A$810),NA(),IFERROR(LOOKUP(2,1/(('Match Log'!$D$4:$D$810=$W$24)*('Match Log'!$A$4:$A$810&lt;=$J383)),'Match Log'!$N$4:$N$810),NA()))</f>
        <v>#N/A</v>
      </c>
      <c r="X383" t="e">
        <f>IF($J383&gt;MAX('Match Log'!$A$4:$A$810),NA(),IFERROR(LOOKUP(2,1/(('Match Log'!$D$4:$D$810=$X$24)*('Match Log'!$A$4:$A$810&lt;=$J383)),'Match Log'!$N$4:$N$810),NA()))</f>
        <v>#N/A</v>
      </c>
      <c r="Y383" t="str">
        <f t="shared" ca="1" si="39"/>
        <v/>
      </c>
    </row>
    <row r="384" spans="1:25" x14ac:dyDescent="0.2">
      <c r="A384">
        <v>360</v>
      </c>
      <c r="B384" t="str">
        <f>IFERROR(INDEX('Match Log'!$B$4:$B$810,MATCH(360,'Match Log'!$A$4:$A$810,0)),"")</f>
        <v/>
      </c>
      <c r="C384" t="str">
        <f>IFERROR(INDEX('Match Log'!$C$4:$C$810,MATCH(360,'Match Log'!$A$4:$A$810,0)),"")</f>
        <v/>
      </c>
      <c r="D384" t="str">
        <f t="array" ref="D384">IFERROR(_xlfn.TEXTJOIN(" + ",TRUE,IF(('Match Log'!$A$4:$A$810=$A384)*('Match Log'!$E$4:$E$810="Win"),'Match Log'!$D$4:$D$810,"")),IFERROR(LOOKUP(2,1/(('Match Log'!$A$4:$A$810=$A384)*('Match Log'!$E$4:$E$810="Win")),'Match Log'!$D$4:$D$810),""))</f>
        <v/>
      </c>
      <c r="E384" t="str">
        <f>IFERROR(INDEX('Match Log'!$F$4:$F$810,MATCH(360,'Match Log'!$A$4:$A$810,0)),"")</f>
        <v/>
      </c>
      <c r="F384">
        <f>IFERROR(SUMIFS('Match Log'!$I$4:$I$810,'Match Log'!$A$4:$A$810,360,'Match Log'!$E$4:$E$810,"Win"),"")</f>
        <v>0</v>
      </c>
      <c r="G384" t="str">
        <f t="shared" si="37"/>
        <v/>
      </c>
      <c r="H384" t="str">
        <f t="array" ref="H384">IFERROR(IF(COUNTIFS('Match Log'!$A$4:$A$810,$A384,'Match Log'!$E$4:$E$810,"Win")&gt;1,_xlfn.TEXTJOIN(" + ",TRUE,IF(('Match Log'!$A$4:$A$810=$A384)*('Match Log'!$E$4:$E$810="Loss"),'Match Log'!$D$4:$D$810,"")),IF($E384=2,LOOKUP(2,1/(('Match Log'!$A$4:$A$810=$A384)*('Match Log'!$E$4:$E$810="Loss")),'Match Log'!$D$4:$D$810),"the field")),"")</f>
        <v>the field</v>
      </c>
      <c r="I384" t="str">
        <f t="shared" si="38"/>
        <v/>
      </c>
      <c r="J384">
        <v>360</v>
      </c>
      <c r="K384" t="e">
        <f>IF($J384&gt;MAX('Match Log'!$A$4:$A$810),NA(),IFERROR(LOOKUP(2,1/(('Match Log'!$D$4:$D$810=$K$24)*('Match Log'!$A$4:$A$810&lt;=$J384)),'Match Log'!$N$4:$N$810),NA()))</f>
        <v>#N/A</v>
      </c>
      <c r="L384" t="e">
        <f>IF($J384&gt;MAX('Match Log'!$A$4:$A$810),NA(),IFERROR(LOOKUP(2,1/(('Match Log'!$D$4:$D$810=$L$24)*('Match Log'!$A$4:$A$810&lt;=$J384)),'Match Log'!$N$4:$N$810),NA()))</f>
        <v>#N/A</v>
      </c>
      <c r="M384" t="e">
        <f>IF($J384&gt;MAX('Match Log'!$A$4:$A$810),NA(),IFERROR(LOOKUP(2,1/(('Match Log'!$D$4:$D$810=$M$24)*('Match Log'!$A$4:$A$810&lt;=$J384)),'Match Log'!$N$4:$N$810),NA()))</f>
        <v>#N/A</v>
      </c>
      <c r="N384" t="e">
        <f>IF($J384&gt;MAX('Match Log'!$A$4:$A$810),NA(),IFERROR(LOOKUP(2,1/(('Match Log'!$D$4:$D$810=$N$24)*('Match Log'!$A$4:$A$810&lt;=$J384)),'Match Log'!$N$4:$N$810),NA()))</f>
        <v>#N/A</v>
      </c>
      <c r="O384" t="e">
        <f>IF($J384&gt;MAX('Match Log'!$A$4:$A$810),NA(),IFERROR(LOOKUP(2,1/(('Match Log'!$D$4:$D$810=$O$24)*('Match Log'!$A$4:$A$810&lt;=$J384)),'Match Log'!$N$4:$N$810),NA()))</f>
        <v>#N/A</v>
      </c>
      <c r="P384" t="e">
        <f>IF($J384&gt;MAX('Match Log'!$A$4:$A$810),NA(),IFERROR(LOOKUP(2,1/(('Match Log'!$D$4:$D$810=$P$24)*('Match Log'!$A$4:$A$810&lt;=$J384)),'Match Log'!$N$4:$N$810),NA()))</f>
        <v>#N/A</v>
      </c>
      <c r="Q384" t="e">
        <f>IF($J384&gt;MAX('Match Log'!$A$4:$A$810),NA(),IFERROR(LOOKUP(2,1/(('Match Log'!$D$4:$D$810=$Q$24)*('Match Log'!$A$4:$A$810&lt;=$J384)),'Match Log'!$N$4:$N$810),NA()))</f>
        <v>#N/A</v>
      </c>
      <c r="R384" t="e">
        <f>IF($J384&gt;MAX('Match Log'!$A$4:$A$810),NA(),IFERROR(LOOKUP(2,1/(('Match Log'!$D$4:$D$810=$R$24)*('Match Log'!$A$4:$A$810&lt;=$J384)),'Match Log'!$N$4:$N$810),NA()))</f>
        <v>#N/A</v>
      </c>
      <c r="S384" t="e">
        <f>IF($J384&gt;MAX('Match Log'!$A$4:$A$810),NA(),IFERROR(LOOKUP(2,1/(('Match Log'!$D$4:$D$810=$S$24)*('Match Log'!$A$4:$A$810&lt;=$J384)),'Match Log'!$N$4:$N$810),NA()))</f>
        <v>#N/A</v>
      </c>
      <c r="T384" t="e">
        <f>IF($J384&gt;MAX('Match Log'!$A$4:$A$810),NA(),IFERROR(LOOKUP(2,1/(('Match Log'!$D$4:$D$810=$T$24)*('Match Log'!$A$4:$A$810&lt;=$J384)),'Match Log'!$N$4:$N$810),NA()))</f>
        <v>#N/A</v>
      </c>
      <c r="U384" t="e">
        <f>IF($J384&gt;MAX('Match Log'!$A$4:$A$810),NA(),IFERROR(LOOKUP(2,1/(('Match Log'!$D$4:$D$810=$U$24)*('Match Log'!$A$4:$A$810&lt;=$J384)),'Match Log'!$N$4:$N$810),NA()))</f>
        <v>#N/A</v>
      </c>
      <c r="V384" t="e">
        <f>IF($J384&gt;MAX('Match Log'!$A$4:$A$810),NA(),IFERROR(LOOKUP(2,1/(('Match Log'!$D$4:$D$810=$V$24)*('Match Log'!$A$4:$A$810&lt;=$J384)),'Match Log'!$N$4:$N$810),NA()))</f>
        <v>#N/A</v>
      </c>
      <c r="W384" t="e">
        <f>IF($J384&gt;MAX('Match Log'!$A$4:$A$810),NA(),IFERROR(LOOKUP(2,1/(('Match Log'!$D$4:$D$810=$W$24)*('Match Log'!$A$4:$A$810&lt;=$J384)),'Match Log'!$N$4:$N$810),NA()))</f>
        <v>#N/A</v>
      </c>
      <c r="X384" t="e">
        <f>IF($J384&gt;MAX('Match Log'!$A$4:$A$810),NA(),IFERROR(LOOKUP(2,1/(('Match Log'!$D$4:$D$810=$X$24)*('Match Log'!$A$4:$A$810&lt;=$J384)),'Match Log'!$N$4:$N$810),NA()))</f>
        <v>#N/A</v>
      </c>
      <c r="Y384" t="str">
        <f t="shared" ca="1" si="39"/>
        <v/>
      </c>
    </row>
    <row r="385" spans="1:25" x14ac:dyDescent="0.2">
      <c r="A385">
        <v>361</v>
      </c>
      <c r="B385" t="str">
        <f>IFERROR(INDEX('Match Log'!$B$4:$B$810,MATCH(361,'Match Log'!$A$4:$A$810,0)),"")</f>
        <v/>
      </c>
      <c r="C385" t="str">
        <f>IFERROR(INDEX('Match Log'!$C$4:$C$810,MATCH(361,'Match Log'!$A$4:$A$810,0)),"")</f>
        <v/>
      </c>
      <c r="D385" t="str">
        <f t="array" ref="D385">IFERROR(_xlfn.TEXTJOIN(" + ",TRUE,IF(('Match Log'!$A$4:$A$810=$A385)*('Match Log'!$E$4:$E$810="Win"),'Match Log'!$D$4:$D$810,"")),IFERROR(LOOKUP(2,1/(('Match Log'!$A$4:$A$810=$A385)*('Match Log'!$E$4:$E$810="Win")),'Match Log'!$D$4:$D$810),""))</f>
        <v/>
      </c>
      <c r="E385" t="str">
        <f>IFERROR(INDEX('Match Log'!$F$4:$F$810,MATCH(361,'Match Log'!$A$4:$A$810,0)),"")</f>
        <v/>
      </c>
      <c r="F385">
        <f>IFERROR(SUMIFS('Match Log'!$I$4:$I$810,'Match Log'!$A$4:$A$810,361,'Match Log'!$E$4:$E$810,"Win"),"")</f>
        <v>0</v>
      </c>
      <c r="G385" t="str">
        <f t="shared" si="37"/>
        <v/>
      </c>
      <c r="H385" t="str">
        <f t="array" ref="H385">IFERROR(IF(COUNTIFS('Match Log'!$A$4:$A$810,$A385,'Match Log'!$E$4:$E$810,"Win")&gt;1,_xlfn.TEXTJOIN(" + ",TRUE,IF(('Match Log'!$A$4:$A$810=$A385)*('Match Log'!$E$4:$E$810="Loss"),'Match Log'!$D$4:$D$810,"")),IF($E385=2,LOOKUP(2,1/(('Match Log'!$A$4:$A$810=$A385)*('Match Log'!$E$4:$E$810="Loss")),'Match Log'!$D$4:$D$810),"the field")),"")</f>
        <v>the field</v>
      </c>
      <c r="I385" t="str">
        <f t="shared" si="38"/>
        <v/>
      </c>
      <c r="J385">
        <v>361</v>
      </c>
      <c r="K385" t="e">
        <f>IF($J385&gt;MAX('Match Log'!$A$4:$A$810),NA(),IFERROR(LOOKUP(2,1/(('Match Log'!$D$4:$D$810=$K$24)*('Match Log'!$A$4:$A$810&lt;=$J385)),'Match Log'!$N$4:$N$810),NA()))</f>
        <v>#N/A</v>
      </c>
      <c r="L385" t="e">
        <f>IF($J385&gt;MAX('Match Log'!$A$4:$A$810),NA(),IFERROR(LOOKUP(2,1/(('Match Log'!$D$4:$D$810=$L$24)*('Match Log'!$A$4:$A$810&lt;=$J385)),'Match Log'!$N$4:$N$810),NA()))</f>
        <v>#N/A</v>
      </c>
      <c r="M385" t="e">
        <f>IF($J385&gt;MAX('Match Log'!$A$4:$A$810),NA(),IFERROR(LOOKUP(2,1/(('Match Log'!$D$4:$D$810=$M$24)*('Match Log'!$A$4:$A$810&lt;=$J385)),'Match Log'!$N$4:$N$810),NA()))</f>
        <v>#N/A</v>
      </c>
      <c r="N385" t="e">
        <f>IF($J385&gt;MAX('Match Log'!$A$4:$A$810),NA(),IFERROR(LOOKUP(2,1/(('Match Log'!$D$4:$D$810=$N$24)*('Match Log'!$A$4:$A$810&lt;=$J385)),'Match Log'!$N$4:$N$810),NA()))</f>
        <v>#N/A</v>
      </c>
      <c r="O385" t="e">
        <f>IF($J385&gt;MAX('Match Log'!$A$4:$A$810),NA(),IFERROR(LOOKUP(2,1/(('Match Log'!$D$4:$D$810=$O$24)*('Match Log'!$A$4:$A$810&lt;=$J385)),'Match Log'!$N$4:$N$810),NA()))</f>
        <v>#N/A</v>
      </c>
      <c r="P385" t="e">
        <f>IF($J385&gt;MAX('Match Log'!$A$4:$A$810),NA(),IFERROR(LOOKUP(2,1/(('Match Log'!$D$4:$D$810=$P$24)*('Match Log'!$A$4:$A$810&lt;=$J385)),'Match Log'!$N$4:$N$810),NA()))</f>
        <v>#N/A</v>
      </c>
      <c r="Q385" t="e">
        <f>IF($J385&gt;MAX('Match Log'!$A$4:$A$810),NA(),IFERROR(LOOKUP(2,1/(('Match Log'!$D$4:$D$810=$Q$24)*('Match Log'!$A$4:$A$810&lt;=$J385)),'Match Log'!$N$4:$N$810),NA()))</f>
        <v>#N/A</v>
      </c>
      <c r="R385" t="e">
        <f>IF($J385&gt;MAX('Match Log'!$A$4:$A$810),NA(),IFERROR(LOOKUP(2,1/(('Match Log'!$D$4:$D$810=$R$24)*('Match Log'!$A$4:$A$810&lt;=$J385)),'Match Log'!$N$4:$N$810),NA()))</f>
        <v>#N/A</v>
      </c>
      <c r="S385" t="e">
        <f>IF($J385&gt;MAX('Match Log'!$A$4:$A$810),NA(),IFERROR(LOOKUP(2,1/(('Match Log'!$D$4:$D$810=$S$24)*('Match Log'!$A$4:$A$810&lt;=$J385)),'Match Log'!$N$4:$N$810),NA()))</f>
        <v>#N/A</v>
      </c>
      <c r="T385" t="e">
        <f>IF($J385&gt;MAX('Match Log'!$A$4:$A$810),NA(),IFERROR(LOOKUP(2,1/(('Match Log'!$D$4:$D$810=$T$24)*('Match Log'!$A$4:$A$810&lt;=$J385)),'Match Log'!$N$4:$N$810),NA()))</f>
        <v>#N/A</v>
      </c>
      <c r="U385" t="e">
        <f>IF($J385&gt;MAX('Match Log'!$A$4:$A$810),NA(),IFERROR(LOOKUP(2,1/(('Match Log'!$D$4:$D$810=$U$24)*('Match Log'!$A$4:$A$810&lt;=$J385)),'Match Log'!$N$4:$N$810),NA()))</f>
        <v>#N/A</v>
      </c>
      <c r="V385" t="e">
        <f>IF($J385&gt;MAX('Match Log'!$A$4:$A$810),NA(),IFERROR(LOOKUP(2,1/(('Match Log'!$D$4:$D$810=$V$24)*('Match Log'!$A$4:$A$810&lt;=$J385)),'Match Log'!$N$4:$N$810),NA()))</f>
        <v>#N/A</v>
      </c>
      <c r="W385" t="e">
        <f>IF($J385&gt;MAX('Match Log'!$A$4:$A$810),NA(),IFERROR(LOOKUP(2,1/(('Match Log'!$D$4:$D$810=$W$24)*('Match Log'!$A$4:$A$810&lt;=$J385)),'Match Log'!$N$4:$N$810),NA()))</f>
        <v>#N/A</v>
      </c>
      <c r="X385" t="e">
        <f>IF($J385&gt;MAX('Match Log'!$A$4:$A$810),NA(),IFERROR(LOOKUP(2,1/(('Match Log'!$D$4:$D$810=$X$24)*('Match Log'!$A$4:$A$810&lt;=$J385)),'Match Log'!$N$4:$N$810),NA()))</f>
        <v>#N/A</v>
      </c>
      <c r="Y385" t="str">
        <f t="shared" ca="1" si="39"/>
        <v/>
      </c>
    </row>
    <row r="386" spans="1:25" x14ac:dyDescent="0.2">
      <c r="A386">
        <v>362</v>
      </c>
      <c r="B386" t="str">
        <f>IFERROR(INDEX('Match Log'!$B$4:$B$810,MATCH(362,'Match Log'!$A$4:$A$810,0)),"")</f>
        <v/>
      </c>
      <c r="C386" t="str">
        <f>IFERROR(INDEX('Match Log'!$C$4:$C$810,MATCH(362,'Match Log'!$A$4:$A$810,0)),"")</f>
        <v/>
      </c>
      <c r="D386" t="str">
        <f t="array" ref="D386">IFERROR(_xlfn.TEXTJOIN(" + ",TRUE,IF(('Match Log'!$A$4:$A$810=$A386)*('Match Log'!$E$4:$E$810="Win"),'Match Log'!$D$4:$D$810,"")),IFERROR(LOOKUP(2,1/(('Match Log'!$A$4:$A$810=$A386)*('Match Log'!$E$4:$E$810="Win")),'Match Log'!$D$4:$D$810),""))</f>
        <v/>
      </c>
      <c r="E386" t="str">
        <f>IFERROR(INDEX('Match Log'!$F$4:$F$810,MATCH(362,'Match Log'!$A$4:$A$810,0)),"")</f>
        <v/>
      </c>
      <c r="F386">
        <f>IFERROR(SUMIFS('Match Log'!$I$4:$I$810,'Match Log'!$A$4:$A$810,362,'Match Log'!$E$4:$E$810,"Win"),"")</f>
        <v>0</v>
      </c>
      <c r="G386" t="str">
        <f t="shared" si="37"/>
        <v/>
      </c>
      <c r="H386" t="str">
        <f t="array" ref="H386">IFERROR(IF(COUNTIFS('Match Log'!$A$4:$A$810,$A386,'Match Log'!$E$4:$E$810,"Win")&gt;1,_xlfn.TEXTJOIN(" + ",TRUE,IF(('Match Log'!$A$4:$A$810=$A386)*('Match Log'!$E$4:$E$810="Loss"),'Match Log'!$D$4:$D$810,"")),IF($E386=2,LOOKUP(2,1/(('Match Log'!$A$4:$A$810=$A386)*('Match Log'!$E$4:$E$810="Loss")),'Match Log'!$D$4:$D$810),"the field")),"")</f>
        <v>the field</v>
      </c>
      <c r="I386" t="str">
        <f t="shared" si="38"/>
        <v/>
      </c>
      <c r="J386">
        <v>362</v>
      </c>
      <c r="K386" t="e">
        <f>IF($J386&gt;MAX('Match Log'!$A$4:$A$810),NA(),IFERROR(LOOKUP(2,1/(('Match Log'!$D$4:$D$810=$K$24)*('Match Log'!$A$4:$A$810&lt;=$J386)),'Match Log'!$N$4:$N$810),NA()))</f>
        <v>#N/A</v>
      </c>
      <c r="L386" t="e">
        <f>IF($J386&gt;MAX('Match Log'!$A$4:$A$810),NA(),IFERROR(LOOKUP(2,1/(('Match Log'!$D$4:$D$810=$L$24)*('Match Log'!$A$4:$A$810&lt;=$J386)),'Match Log'!$N$4:$N$810),NA()))</f>
        <v>#N/A</v>
      </c>
      <c r="M386" t="e">
        <f>IF($J386&gt;MAX('Match Log'!$A$4:$A$810),NA(),IFERROR(LOOKUP(2,1/(('Match Log'!$D$4:$D$810=$M$24)*('Match Log'!$A$4:$A$810&lt;=$J386)),'Match Log'!$N$4:$N$810),NA()))</f>
        <v>#N/A</v>
      </c>
      <c r="N386" t="e">
        <f>IF($J386&gt;MAX('Match Log'!$A$4:$A$810),NA(),IFERROR(LOOKUP(2,1/(('Match Log'!$D$4:$D$810=$N$24)*('Match Log'!$A$4:$A$810&lt;=$J386)),'Match Log'!$N$4:$N$810),NA()))</f>
        <v>#N/A</v>
      </c>
      <c r="O386" t="e">
        <f>IF($J386&gt;MAX('Match Log'!$A$4:$A$810),NA(),IFERROR(LOOKUP(2,1/(('Match Log'!$D$4:$D$810=$O$24)*('Match Log'!$A$4:$A$810&lt;=$J386)),'Match Log'!$N$4:$N$810),NA()))</f>
        <v>#N/A</v>
      </c>
      <c r="P386" t="e">
        <f>IF($J386&gt;MAX('Match Log'!$A$4:$A$810),NA(),IFERROR(LOOKUP(2,1/(('Match Log'!$D$4:$D$810=$P$24)*('Match Log'!$A$4:$A$810&lt;=$J386)),'Match Log'!$N$4:$N$810),NA()))</f>
        <v>#N/A</v>
      </c>
      <c r="Q386" t="e">
        <f>IF($J386&gt;MAX('Match Log'!$A$4:$A$810),NA(),IFERROR(LOOKUP(2,1/(('Match Log'!$D$4:$D$810=$Q$24)*('Match Log'!$A$4:$A$810&lt;=$J386)),'Match Log'!$N$4:$N$810),NA()))</f>
        <v>#N/A</v>
      </c>
      <c r="R386" t="e">
        <f>IF($J386&gt;MAX('Match Log'!$A$4:$A$810),NA(),IFERROR(LOOKUP(2,1/(('Match Log'!$D$4:$D$810=$R$24)*('Match Log'!$A$4:$A$810&lt;=$J386)),'Match Log'!$N$4:$N$810),NA()))</f>
        <v>#N/A</v>
      </c>
      <c r="S386" t="e">
        <f>IF($J386&gt;MAX('Match Log'!$A$4:$A$810),NA(),IFERROR(LOOKUP(2,1/(('Match Log'!$D$4:$D$810=$S$24)*('Match Log'!$A$4:$A$810&lt;=$J386)),'Match Log'!$N$4:$N$810),NA()))</f>
        <v>#N/A</v>
      </c>
      <c r="T386" t="e">
        <f>IF($J386&gt;MAX('Match Log'!$A$4:$A$810),NA(),IFERROR(LOOKUP(2,1/(('Match Log'!$D$4:$D$810=$T$24)*('Match Log'!$A$4:$A$810&lt;=$J386)),'Match Log'!$N$4:$N$810),NA()))</f>
        <v>#N/A</v>
      </c>
      <c r="U386" t="e">
        <f>IF($J386&gt;MAX('Match Log'!$A$4:$A$810),NA(),IFERROR(LOOKUP(2,1/(('Match Log'!$D$4:$D$810=$U$24)*('Match Log'!$A$4:$A$810&lt;=$J386)),'Match Log'!$N$4:$N$810),NA()))</f>
        <v>#N/A</v>
      </c>
      <c r="V386" t="e">
        <f>IF($J386&gt;MAX('Match Log'!$A$4:$A$810),NA(),IFERROR(LOOKUP(2,1/(('Match Log'!$D$4:$D$810=$V$24)*('Match Log'!$A$4:$A$810&lt;=$J386)),'Match Log'!$N$4:$N$810),NA()))</f>
        <v>#N/A</v>
      </c>
      <c r="W386" t="e">
        <f>IF($J386&gt;MAX('Match Log'!$A$4:$A$810),NA(),IFERROR(LOOKUP(2,1/(('Match Log'!$D$4:$D$810=$W$24)*('Match Log'!$A$4:$A$810&lt;=$J386)),'Match Log'!$N$4:$N$810),NA()))</f>
        <v>#N/A</v>
      </c>
      <c r="X386" t="e">
        <f>IF($J386&gt;MAX('Match Log'!$A$4:$A$810),NA(),IFERROR(LOOKUP(2,1/(('Match Log'!$D$4:$D$810=$X$24)*('Match Log'!$A$4:$A$810&lt;=$J386)),'Match Log'!$N$4:$N$810),NA()))</f>
        <v>#N/A</v>
      </c>
      <c r="Y386" t="str">
        <f t="shared" ca="1" si="39"/>
        <v/>
      </c>
    </row>
    <row r="387" spans="1:25" x14ac:dyDescent="0.2">
      <c r="A387">
        <v>363</v>
      </c>
      <c r="B387" t="str">
        <f>IFERROR(INDEX('Match Log'!$B$4:$B$810,MATCH(363,'Match Log'!$A$4:$A$810,0)),"")</f>
        <v/>
      </c>
      <c r="C387" t="str">
        <f>IFERROR(INDEX('Match Log'!$C$4:$C$810,MATCH(363,'Match Log'!$A$4:$A$810,0)),"")</f>
        <v/>
      </c>
      <c r="D387" t="str">
        <f t="array" ref="D387">IFERROR(_xlfn.TEXTJOIN(" + ",TRUE,IF(('Match Log'!$A$4:$A$810=$A387)*('Match Log'!$E$4:$E$810="Win"),'Match Log'!$D$4:$D$810,"")),IFERROR(LOOKUP(2,1/(('Match Log'!$A$4:$A$810=$A387)*('Match Log'!$E$4:$E$810="Win")),'Match Log'!$D$4:$D$810),""))</f>
        <v/>
      </c>
      <c r="E387" t="str">
        <f>IFERROR(INDEX('Match Log'!$F$4:$F$810,MATCH(363,'Match Log'!$A$4:$A$810,0)),"")</f>
        <v/>
      </c>
      <c r="F387">
        <f>IFERROR(SUMIFS('Match Log'!$I$4:$I$810,'Match Log'!$A$4:$A$810,363,'Match Log'!$E$4:$E$810,"Win"),"")</f>
        <v>0</v>
      </c>
      <c r="G387" t="str">
        <f t="shared" si="37"/>
        <v/>
      </c>
      <c r="H387" t="str">
        <f t="array" ref="H387">IFERROR(IF(COUNTIFS('Match Log'!$A$4:$A$810,$A387,'Match Log'!$E$4:$E$810,"Win")&gt;1,_xlfn.TEXTJOIN(" + ",TRUE,IF(('Match Log'!$A$4:$A$810=$A387)*('Match Log'!$E$4:$E$810="Loss"),'Match Log'!$D$4:$D$810,"")),IF($E387=2,LOOKUP(2,1/(('Match Log'!$A$4:$A$810=$A387)*('Match Log'!$E$4:$E$810="Loss")),'Match Log'!$D$4:$D$810),"the field")),"")</f>
        <v>the field</v>
      </c>
      <c r="I387" t="str">
        <f t="shared" si="38"/>
        <v/>
      </c>
      <c r="J387">
        <v>363</v>
      </c>
      <c r="K387" t="e">
        <f>IF($J387&gt;MAX('Match Log'!$A$4:$A$810),NA(),IFERROR(LOOKUP(2,1/(('Match Log'!$D$4:$D$810=$K$24)*('Match Log'!$A$4:$A$810&lt;=$J387)),'Match Log'!$N$4:$N$810),NA()))</f>
        <v>#N/A</v>
      </c>
      <c r="L387" t="e">
        <f>IF($J387&gt;MAX('Match Log'!$A$4:$A$810),NA(),IFERROR(LOOKUP(2,1/(('Match Log'!$D$4:$D$810=$L$24)*('Match Log'!$A$4:$A$810&lt;=$J387)),'Match Log'!$N$4:$N$810),NA()))</f>
        <v>#N/A</v>
      </c>
      <c r="M387" t="e">
        <f>IF($J387&gt;MAX('Match Log'!$A$4:$A$810),NA(),IFERROR(LOOKUP(2,1/(('Match Log'!$D$4:$D$810=$M$24)*('Match Log'!$A$4:$A$810&lt;=$J387)),'Match Log'!$N$4:$N$810),NA()))</f>
        <v>#N/A</v>
      </c>
      <c r="N387" t="e">
        <f>IF($J387&gt;MAX('Match Log'!$A$4:$A$810),NA(),IFERROR(LOOKUP(2,1/(('Match Log'!$D$4:$D$810=$N$24)*('Match Log'!$A$4:$A$810&lt;=$J387)),'Match Log'!$N$4:$N$810),NA()))</f>
        <v>#N/A</v>
      </c>
      <c r="O387" t="e">
        <f>IF($J387&gt;MAX('Match Log'!$A$4:$A$810),NA(),IFERROR(LOOKUP(2,1/(('Match Log'!$D$4:$D$810=$O$24)*('Match Log'!$A$4:$A$810&lt;=$J387)),'Match Log'!$N$4:$N$810),NA()))</f>
        <v>#N/A</v>
      </c>
      <c r="P387" t="e">
        <f>IF($J387&gt;MAX('Match Log'!$A$4:$A$810),NA(),IFERROR(LOOKUP(2,1/(('Match Log'!$D$4:$D$810=$P$24)*('Match Log'!$A$4:$A$810&lt;=$J387)),'Match Log'!$N$4:$N$810),NA()))</f>
        <v>#N/A</v>
      </c>
      <c r="Q387" t="e">
        <f>IF($J387&gt;MAX('Match Log'!$A$4:$A$810),NA(),IFERROR(LOOKUP(2,1/(('Match Log'!$D$4:$D$810=$Q$24)*('Match Log'!$A$4:$A$810&lt;=$J387)),'Match Log'!$N$4:$N$810),NA()))</f>
        <v>#N/A</v>
      </c>
      <c r="R387" t="e">
        <f>IF($J387&gt;MAX('Match Log'!$A$4:$A$810),NA(),IFERROR(LOOKUP(2,1/(('Match Log'!$D$4:$D$810=$R$24)*('Match Log'!$A$4:$A$810&lt;=$J387)),'Match Log'!$N$4:$N$810),NA()))</f>
        <v>#N/A</v>
      </c>
      <c r="S387" t="e">
        <f>IF($J387&gt;MAX('Match Log'!$A$4:$A$810),NA(),IFERROR(LOOKUP(2,1/(('Match Log'!$D$4:$D$810=$S$24)*('Match Log'!$A$4:$A$810&lt;=$J387)),'Match Log'!$N$4:$N$810),NA()))</f>
        <v>#N/A</v>
      </c>
      <c r="T387" t="e">
        <f>IF($J387&gt;MAX('Match Log'!$A$4:$A$810),NA(),IFERROR(LOOKUP(2,1/(('Match Log'!$D$4:$D$810=$T$24)*('Match Log'!$A$4:$A$810&lt;=$J387)),'Match Log'!$N$4:$N$810),NA()))</f>
        <v>#N/A</v>
      </c>
      <c r="U387" t="e">
        <f>IF($J387&gt;MAX('Match Log'!$A$4:$A$810),NA(),IFERROR(LOOKUP(2,1/(('Match Log'!$D$4:$D$810=$U$24)*('Match Log'!$A$4:$A$810&lt;=$J387)),'Match Log'!$N$4:$N$810),NA()))</f>
        <v>#N/A</v>
      </c>
      <c r="V387" t="e">
        <f>IF($J387&gt;MAX('Match Log'!$A$4:$A$810),NA(),IFERROR(LOOKUP(2,1/(('Match Log'!$D$4:$D$810=$V$24)*('Match Log'!$A$4:$A$810&lt;=$J387)),'Match Log'!$N$4:$N$810),NA()))</f>
        <v>#N/A</v>
      </c>
      <c r="W387" t="e">
        <f>IF($J387&gt;MAX('Match Log'!$A$4:$A$810),NA(),IFERROR(LOOKUP(2,1/(('Match Log'!$D$4:$D$810=$W$24)*('Match Log'!$A$4:$A$810&lt;=$J387)),'Match Log'!$N$4:$N$810),NA()))</f>
        <v>#N/A</v>
      </c>
      <c r="X387" t="e">
        <f>IF($J387&gt;MAX('Match Log'!$A$4:$A$810),NA(),IFERROR(LOOKUP(2,1/(('Match Log'!$D$4:$D$810=$X$24)*('Match Log'!$A$4:$A$810&lt;=$J387)),'Match Log'!$N$4:$N$810),NA()))</f>
        <v>#N/A</v>
      </c>
      <c r="Y387" t="str">
        <f t="shared" ca="1" si="39"/>
        <v/>
      </c>
    </row>
    <row r="388" spans="1:25" x14ac:dyDescent="0.2">
      <c r="A388">
        <v>364</v>
      </c>
      <c r="B388" t="str">
        <f>IFERROR(INDEX('Match Log'!$B$4:$B$810,MATCH(364,'Match Log'!$A$4:$A$810,0)),"")</f>
        <v/>
      </c>
      <c r="C388" t="str">
        <f>IFERROR(INDEX('Match Log'!$C$4:$C$810,MATCH(364,'Match Log'!$A$4:$A$810,0)),"")</f>
        <v/>
      </c>
      <c r="D388" t="str">
        <f t="array" ref="D388">IFERROR(_xlfn.TEXTJOIN(" + ",TRUE,IF(('Match Log'!$A$4:$A$810=$A388)*('Match Log'!$E$4:$E$810="Win"),'Match Log'!$D$4:$D$810,"")),IFERROR(LOOKUP(2,1/(('Match Log'!$A$4:$A$810=$A388)*('Match Log'!$E$4:$E$810="Win")),'Match Log'!$D$4:$D$810),""))</f>
        <v/>
      </c>
      <c r="E388" t="str">
        <f>IFERROR(INDEX('Match Log'!$F$4:$F$810,MATCH(364,'Match Log'!$A$4:$A$810,0)),"")</f>
        <v/>
      </c>
      <c r="F388">
        <f>IFERROR(SUMIFS('Match Log'!$I$4:$I$810,'Match Log'!$A$4:$A$810,364,'Match Log'!$E$4:$E$810,"Win"),"")</f>
        <v>0</v>
      </c>
      <c r="G388" t="str">
        <f t="shared" si="37"/>
        <v/>
      </c>
      <c r="H388" t="str">
        <f t="array" ref="H388">IFERROR(IF(COUNTIFS('Match Log'!$A$4:$A$810,$A388,'Match Log'!$E$4:$E$810,"Win")&gt;1,_xlfn.TEXTJOIN(" + ",TRUE,IF(('Match Log'!$A$4:$A$810=$A388)*('Match Log'!$E$4:$E$810="Loss"),'Match Log'!$D$4:$D$810,"")),IF($E388=2,LOOKUP(2,1/(('Match Log'!$A$4:$A$810=$A388)*('Match Log'!$E$4:$E$810="Loss")),'Match Log'!$D$4:$D$810),"the field")),"")</f>
        <v>the field</v>
      </c>
      <c r="I388" t="str">
        <f t="shared" si="38"/>
        <v/>
      </c>
      <c r="J388">
        <v>364</v>
      </c>
      <c r="K388" t="e">
        <f>IF($J388&gt;MAX('Match Log'!$A$4:$A$810),NA(),IFERROR(LOOKUP(2,1/(('Match Log'!$D$4:$D$810=$K$24)*('Match Log'!$A$4:$A$810&lt;=$J388)),'Match Log'!$N$4:$N$810),NA()))</f>
        <v>#N/A</v>
      </c>
      <c r="L388" t="e">
        <f>IF($J388&gt;MAX('Match Log'!$A$4:$A$810),NA(),IFERROR(LOOKUP(2,1/(('Match Log'!$D$4:$D$810=$L$24)*('Match Log'!$A$4:$A$810&lt;=$J388)),'Match Log'!$N$4:$N$810),NA()))</f>
        <v>#N/A</v>
      </c>
      <c r="M388" t="e">
        <f>IF($J388&gt;MAX('Match Log'!$A$4:$A$810),NA(),IFERROR(LOOKUP(2,1/(('Match Log'!$D$4:$D$810=$M$24)*('Match Log'!$A$4:$A$810&lt;=$J388)),'Match Log'!$N$4:$N$810),NA()))</f>
        <v>#N/A</v>
      </c>
      <c r="N388" t="e">
        <f>IF($J388&gt;MAX('Match Log'!$A$4:$A$810),NA(),IFERROR(LOOKUP(2,1/(('Match Log'!$D$4:$D$810=$N$24)*('Match Log'!$A$4:$A$810&lt;=$J388)),'Match Log'!$N$4:$N$810),NA()))</f>
        <v>#N/A</v>
      </c>
      <c r="O388" t="e">
        <f>IF($J388&gt;MAX('Match Log'!$A$4:$A$810),NA(),IFERROR(LOOKUP(2,1/(('Match Log'!$D$4:$D$810=$O$24)*('Match Log'!$A$4:$A$810&lt;=$J388)),'Match Log'!$N$4:$N$810),NA()))</f>
        <v>#N/A</v>
      </c>
      <c r="P388" t="e">
        <f>IF($J388&gt;MAX('Match Log'!$A$4:$A$810),NA(),IFERROR(LOOKUP(2,1/(('Match Log'!$D$4:$D$810=$P$24)*('Match Log'!$A$4:$A$810&lt;=$J388)),'Match Log'!$N$4:$N$810),NA()))</f>
        <v>#N/A</v>
      </c>
      <c r="Q388" t="e">
        <f>IF($J388&gt;MAX('Match Log'!$A$4:$A$810),NA(),IFERROR(LOOKUP(2,1/(('Match Log'!$D$4:$D$810=$Q$24)*('Match Log'!$A$4:$A$810&lt;=$J388)),'Match Log'!$N$4:$N$810),NA()))</f>
        <v>#N/A</v>
      </c>
      <c r="R388" t="e">
        <f>IF($J388&gt;MAX('Match Log'!$A$4:$A$810),NA(),IFERROR(LOOKUP(2,1/(('Match Log'!$D$4:$D$810=$R$24)*('Match Log'!$A$4:$A$810&lt;=$J388)),'Match Log'!$N$4:$N$810),NA()))</f>
        <v>#N/A</v>
      </c>
      <c r="S388" t="e">
        <f>IF($J388&gt;MAX('Match Log'!$A$4:$A$810),NA(),IFERROR(LOOKUP(2,1/(('Match Log'!$D$4:$D$810=$S$24)*('Match Log'!$A$4:$A$810&lt;=$J388)),'Match Log'!$N$4:$N$810),NA()))</f>
        <v>#N/A</v>
      </c>
      <c r="T388" t="e">
        <f>IF($J388&gt;MAX('Match Log'!$A$4:$A$810),NA(),IFERROR(LOOKUP(2,1/(('Match Log'!$D$4:$D$810=$T$24)*('Match Log'!$A$4:$A$810&lt;=$J388)),'Match Log'!$N$4:$N$810),NA()))</f>
        <v>#N/A</v>
      </c>
      <c r="U388" t="e">
        <f>IF($J388&gt;MAX('Match Log'!$A$4:$A$810),NA(),IFERROR(LOOKUP(2,1/(('Match Log'!$D$4:$D$810=$U$24)*('Match Log'!$A$4:$A$810&lt;=$J388)),'Match Log'!$N$4:$N$810),NA()))</f>
        <v>#N/A</v>
      </c>
      <c r="V388" t="e">
        <f>IF($J388&gt;MAX('Match Log'!$A$4:$A$810),NA(),IFERROR(LOOKUP(2,1/(('Match Log'!$D$4:$D$810=$V$24)*('Match Log'!$A$4:$A$810&lt;=$J388)),'Match Log'!$N$4:$N$810),NA()))</f>
        <v>#N/A</v>
      </c>
      <c r="W388" t="e">
        <f>IF($J388&gt;MAX('Match Log'!$A$4:$A$810),NA(),IFERROR(LOOKUP(2,1/(('Match Log'!$D$4:$D$810=$W$24)*('Match Log'!$A$4:$A$810&lt;=$J388)),'Match Log'!$N$4:$N$810),NA()))</f>
        <v>#N/A</v>
      </c>
      <c r="X388" t="e">
        <f>IF($J388&gt;MAX('Match Log'!$A$4:$A$810),NA(),IFERROR(LOOKUP(2,1/(('Match Log'!$D$4:$D$810=$X$24)*('Match Log'!$A$4:$A$810&lt;=$J388)),'Match Log'!$N$4:$N$810),NA()))</f>
        <v>#N/A</v>
      </c>
      <c r="Y388" t="str">
        <f t="shared" ca="1" si="39"/>
        <v/>
      </c>
    </row>
    <row r="389" spans="1:25" x14ac:dyDescent="0.2">
      <c r="A389">
        <v>365</v>
      </c>
      <c r="B389" t="str">
        <f>IFERROR(INDEX('Match Log'!$B$4:$B$810,MATCH(365,'Match Log'!$A$4:$A$810,0)),"")</f>
        <v/>
      </c>
      <c r="C389" t="str">
        <f>IFERROR(INDEX('Match Log'!$C$4:$C$810,MATCH(365,'Match Log'!$A$4:$A$810,0)),"")</f>
        <v/>
      </c>
      <c r="D389" t="str">
        <f t="array" ref="D389">IFERROR(_xlfn.TEXTJOIN(" + ",TRUE,IF(('Match Log'!$A$4:$A$810=$A389)*('Match Log'!$E$4:$E$810="Win"),'Match Log'!$D$4:$D$810,"")),IFERROR(LOOKUP(2,1/(('Match Log'!$A$4:$A$810=$A389)*('Match Log'!$E$4:$E$810="Win")),'Match Log'!$D$4:$D$810),""))</f>
        <v/>
      </c>
      <c r="E389" t="str">
        <f>IFERROR(INDEX('Match Log'!$F$4:$F$810,MATCH(365,'Match Log'!$A$4:$A$810,0)),"")</f>
        <v/>
      </c>
      <c r="F389">
        <f>IFERROR(SUMIFS('Match Log'!$I$4:$I$810,'Match Log'!$A$4:$A$810,365,'Match Log'!$E$4:$E$810,"Win"),"")</f>
        <v>0</v>
      </c>
      <c r="G389" t="str">
        <f t="shared" si="37"/>
        <v/>
      </c>
      <c r="H389" t="str">
        <f t="array" ref="H389">IFERROR(IF(COUNTIFS('Match Log'!$A$4:$A$810,$A389,'Match Log'!$E$4:$E$810,"Win")&gt;1,_xlfn.TEXTJOIN(" + ",TRUE,IF(('Match Log'!$A$4:$A$810=$A389)*('Match Log'!$E$4:$E$810="Loss"),'Match Log'!$D$4:$D$810,"")),IF($E389=2,LOOKUP(2,1/(('Match Log'!$A$4:$A$810=$A389)*('Match Log'!$E$4:$E$810="Loss")),'Match Log'!$D$4:$D$810),"the field")),"")</f>
        <v>the field</v>
      </c>
      <c r="I389" t="str">
        <f t="shared" si="38"/>
        <v/>
      </c>
      <c r="J389">
        <v>365</v>
      </c>
      <c r="K389" t="e">
        <f>IF($J389&gt;MAX('Match Log'!$A$4:$A$810),NA(),IFERROR(LOOKUP(2,1/(('Match Log'!$D$4:$D$810=$K$24)*('Match Log'!$A$4:$A$810&lt;=$J389)),'Match Log'!$N$4:$N$810),NA()))</f>
        <v>#N/A</v>
      </c>
      <c r="L389" t="e">
        <f>IF($J389&gt;MAX('Match Log'!$A$4:$A$810),NA(),IFERROR(LOOKUP(2,1/(('Match Log'!$D$4:$D$810=$L$24)*('Match Log'!$A$4:$A$810&lt;=$J389)),'Match Log'!$N$4:$N$810),NA()))</f>
        <v>#N/A</v>
      </c>
      <c r="M389" t="e">
        <f>IF($J389&gt;MAX('Match Log'!$A$4:$A$810),NA(),IFERROR(LOOKUP(2,1/(('Match Log'!$D$4:$D$810=$M$24)*('Match Log'!$A$4:$A$810&lt;=$J389)),'Match Log'!$N$4:$N$810),NA()))</f>
        <v>#N/A</v>
      </c>
      <c r="N389" t="e">
        <f>IF($J389&gt;MAX('Match Log'!$A$4:$A$810),NA(),IFERROR(LOOKUP(2,1/(('Match Log'!$D$4:$D$810=$N$24)*('Match Log'!$A$4:$A$810&lt;=$J389)),'Match Log'!$N$4:$N$810),NA()))</f>
        <v>#N/A</v>
      </c>
      <c r="O389" t="e">
        <f>IF($J389&gt;MAX('Match Log'!$A$4:$A$810),NA(),IFERROR(LOOKUP(2,1/(('Match Log'!$D$4:$D$810=$O$24)*('Match Log'!$A$4:$A$810&lt;=$J389)),'Match Log'!$N$4:$N$810),NA()))</f>
        <v>#N/A</v>
      </c>
      <c r="P389" t="e">
        <f>IF($J389&gt;MAX('Match Log'!$A$4:$A$810),NA(),IFERROR(LOOKUP(2,1/(('Match Log'!$D$4:$D$810=$P$24)*('Match Log'!$A$4:$A$810&lt;=$J389)),'Match Log'!$N$4:$N$810),NA()))</f>
        <v>#N/A</v>
      </c>
      <c r="Q389" t="e">
        <f>IF($J389&gt;MAX('Match Log'!$A$4:$A$810),NA(),IFERROR(LOOKUP(2,1/(('Match Log'!$D$4:$D$810=$Q$24)*('Match Log'!$A$4:$A$810&lt;=$J389)),'Match Log'!$N$4:$N$810),NA()))</f>
        <v>#N/A</v>
      </c>
      <c r="R389" t="e">
        <f>IF($J389&gt;MAX('Match Log'!$A$4:$A$810),NA(),IFERROR(LOOKUP(2,1/(('Match Log'!$D$4:$D$810=$R$24)*('Match Log'!$A$4:$A$810&lt;=$J389)),'Match Log'!$N$4:$N$810),NA()))</f>
        <v>#N/A</v>
      </c>
      <c r="S389" t="e">
        <f>IF($J389&gt;MAX('Match Log'!$A$4:$A$810),NA(),IFERROR(LOOKUP(2,1/(('Match Log'!$D$4:$D$810=$S$24)*('Match Log'!$A$4:$A$810&lt;=$J389)),'Match Log'!$N$4:$N$810),NA()))</f>
        <v>#N/A</v>
      </c>
      <c r="T389" t="e">
        <f>IF($J389&gt;MAX('Match Log'!$A$4:$A$810),NA(),IFERROR(LOOKUP(2,1/(('Match Log'!$D$4:$D$810=$T$24)*('Match Log'!$A$4:$A$810&lt;=$J389)),'Match Log'!$N$4:$N$810),NA()))</f>
        <v>#N/A</v>
      </c>
      <c r="U389" t="e">
        <f>IF($J389&gt;MAX('Match Log'!$A$4:$A$810),NA(),IFERROR(LOOKUP(2,1/(('Match Log'!$D$4:$D$810=$U$24)*('Match Log'!$A$4:$A$810&lt;=$J389)),'Match Log'!$N$4:$N$810),NA()))</f>
        <v>#N/A</v>
      </c>
      <c r="V389" t="e">
        <f>IF($J389&gt;MAX('Match Log'!$A$4:$A$810),NA(),IFERROR(LOOKUP(2,1/(('Match Log'!$D$4:$D$810=$V$24)*('Match Log'!$A$4:$A$810&lt;=$J389)),'Match Log'!$N$4:$N$810),NA()))</f>
        <v>#N/A</v>
      </c>
      <c r="W389" t="e">
        <f>IF($J389&gt;MAX('Match Log'!$A$4:$A$810),NA(),IFERROR(LOOKUP(2,1/(('Match Log'!$D$4:$D$810=$W$24)*('Match Log'!$A$4:$A$810&lt;=$J389)),'Match Log'!$N$4:$N$810),NA()))</f>
        <v>#N/A</v>
      </c>
      <c r="X389" t="e">
        <f>IF($J389&gt;MAX('Match Log'!$A$4:$A$810),NA(),IFERROR(LOOKUP(2,1/(('Match Log'!$D$4:$D$810=$X$24)*('Match Log'!$A$4:$A$810&lt;=$J389)),'Match Log'!$N$4:$N$810),NA()))</f>
        <v>#N/A</v>
      </c>
      <c r="Y389" t="str">
        <f t="shared" ca="1" si="39"/>
        <v/>
      </c>
    </row>
    <row r="390" spans="1:25" x14ac:dyDescent="0.2">
      <c r="A390">
        <v>366</v>
      </c>
      <c r="B390" t="str">
        <f>IFERROR(INDEX('Match Log'!$B$4:$B$810,MATCH(366,'Match Log'!$A$4:$A$810,0)),"")</f>
        <v/>
      </c>
      <c r="C390" t="str">
        <f>IFERROR(INDEX('Match Log'!$C$4:$C$810,MATCH(366,'Match Log'!$A$4:$A$810,0)),"")</f>
        <v/>
      </c>
      <c r="D390" t="str">
        <f t="array" ref="D390">IFERROR(_xlfn.TEXTJOIN(" + ",TRUE,IF(('Match Log'!$A$4:$A$810=$A390)*('Match Log'!$E$4:$E$810="Win"),'Match Log'!$D$4:$D$810,"")),IFERROR(LOOKUP(2,1/(('Match Log'!$A$4:$A$810=$A390)*('Match Log'!$E$4:$E$810="Win")),'Match Log'!$D$4:$D$810),""))</f>
        <v/>
      </c>
      <c r="E390" t="str">
        <f>IFERROR(INDEX('Match Log'!$F$4:$F$810,MATCH(366,'Match Log'!$A$4:$A$810,0)),"")</f>
        <v/>
      </c>
      <c r="F390">
        <f>IFERROR(SUMIFS('Match Log'!$I$4:$I$810,'Match Log'!$A$4:$A$810,366,'Match Log'!$E$4:$E$810,"Win"),"")</f>
        <v>0</v>
      </c>
      <c r="G390" t="str">
        <f t="shared" si="37"/>
        <v/>
      </c>
      <c r="H390" t="str">
        <f t="array" ref="H390">IFERROR(IF(COUNTIFS('Match Log'!$A$4:$A$810,$A390,'Match Log'!$E$4:$E$810,"Win")&gt;1,_xlfn.TEXTJOIN(" + ",TRUE,IF(('Match Log'!$A$4:$A$810=$A390)*('Match Log'!$E$4:$E$810="Loss"),'Match Log'!$D$4:$D$810,"")),IF($E390=2,LOOKUP(2,1/(('Match Log'!$A$4:$A$810=$A390)*('Match Log'!$E$4:$E$810="Loss")),'Match Log'!$D$4:$D$810),"the field")),"")</f>
        <v>the field</v>
      </c>
      <c r="I390" t="str">
        <f t="shared" si="38"/>
        <v/>
      </c>
      <c r="J390">
        <v>366</v>
      </c>
      <c r="K390" t="e">
        <f>IF($J390&gt;MAX('Match Log'!$A$4:$A$810),NA(),IFERROR(LOOKUP(2,1/(('Match Log'!$D$4:$D$810=$K$24)*('Match Log'!$A$4:$A$810&lt;=$J390)),'Match Log'!$N$4:$N$810),NA()))</f>
        <v>#N/A</v>
      </c>
      <c r="L390" t="e">
        <f>IF($J390&gt;MAX('Match Log'!$A$4:$A$810),NA(),IFERROR(LOOKUP(2,1/(('Match Log'!$D$4:$D$810=$L$24)*('Match Log'!$A$4:$A$810&lt;=$J390)),'Match Log'!$N$4:$N$810),NA()))</f>
        <v>#N/A</v>
      </c>
      <c r="M390" t="e">
        <f>IF($J390&gt;MAX('Match Log'!$A$4:$A$810),NA(),IFERROR(LOOKUP(2,1/(('Match Log'!$D$4:$D$810=$M$24)*('Match Log'!$A$4:$A$810&lt;=$J390)),'Match Log'!$N$4:$N$810),NA()))</f>
        <v>#N/A</v>
      </c>
      <c r="N390" t="e">
        <f>IF($J390&gt;MAX('Match Log'!$A$4:$A$810),NA(),IFERROR(LOOKUP(2,1/(('Match Log'!$D$4:$D$810=$N$24)*('Match Log'!$A$4:$A$810&lt;=$J390)),'Match Log'!$N$4:$N$810),NA()))</f>
        <v>#N/A</v>
      </c>
      <c r="O390" t="e">
        <f>IF($J390&gt;MAX('Match Log'!$A$4:$A$810),NA(),IFERROR(LOOKUP(2,1/(('Match Log'!$D$4:$D$810=$O$24)*('Match Log'!$A$4:$A$810&lt;=$J390)),'Match Log'!$N$4:$N$810),NA()))</f>
        <v>#N/A</v>
      </c>
      <c r="P390" t="e">
        <f>IF($J390&gt;MAX('Match Log'!$A$4:$A$810),NA(),IFERROR(LOOKUP(2,1/(('Match Log'!$D$4:$D$810=$P$24)*('Match Log'!$A$4:$A$810&lt;=$J390)),'Match Log'!$N$4:$N$810),NA()))</f>
        <v>#N/A</v>
      </c>
      <c r="Q390" t="e">
        <f>IF($J390&gt;MAX('Match Log'!$A$4:$A$810),NA(),IFERROR(LOOKUP(2,1/(('Match Log'!$D$4:$D$810=$Q$24)*('Match Log'!$A$4:$A$810&lt;=$J390)),'Match Log'!$N$4:$N$810),NA()))</f>
        <v>#N/A</v>
      </c>
      <c r="R390" t="e">
        <f>IF($J390&gt;MAX('Match Log'!$A$4:$A$810),NA(),IFERROR(LOOKUP(2,1/(('Match Log'!$D$4:$D$810=$R$24)*('Match Log'!$A$4:$A$810&lt;=$J390)),'Match Log'!$N$4:$N$810),NA()))</f>
        <v>#N/A</v>
      </c>
      <c r="S390" t="e">
        <f>IF($J390&gt;MAX('Match Log'!$A$4:$A$810),NA(),IFERROR(LOOKUP(2,1/(('Match Log'!$D$4:$D$810=$S$24)*('Match Log'!$A$4:$A$810&lt;=$J390)),'Match Log'!$N$4:$N$810),NA()))</f>
        <v>#N/A</v>
      </c>
      <c r="T390" t="e">
        <f>IF($J390&gt;MAX('Match Log'!$A$4:$A$810),NA(),IFERROR(LOOKUP(2,1/(('Match Log'!$D$4:$D$810=$T$24)*('Match Log'!$A$4:$A$810&lt;=$J390)),'Match Log'!$N$4:$N$810),NA()))</f>
        <v>#N/A</v>
      </c>
      <c r="U390" t="e">
        <f>IF($J390&gt;MAX('Match Log'!$A$4:$A$810),NA(),IFERROR(LOOKUP(2,1/(('Match Log'!$D$4:$D$810=$U$24)*('Match Log'!$A$4:$A$810&lt;=$J390)),'Match Log'!$N$4:$N$810),NA()))</f>
        <v>#N/A</v>
      </c>
      <c r="V390" t="e">
        <f>IF($J390&gt;MAX('Match Log'!$A$4:$A$810),NA(),IFERROR(LOOKUP(2,1/(('Match Log'!$D$4:$D$810=$V$24)*('Match Log'!$A$4:$A$810&lt;=$J390)),'Match Log'!$N$4:$N$810),NA()))</f>
        <v>#N/A</v>
      </c>
      <c r="W390" t="e">
        <f>IF($J390&gt;MAX('Match Log'!$A$4:$A$810),NA(),IFERROR(LOOKUP(2,1/(('Match Log'!$D$4:$D$810=$W$24)*('Match Log'!$A$4:$A$810&lt;=$J390)),'Match Log'!$N$4:$N$810),NA()))</f>
        <v>#N/A</v>
      </c>
      <c r="X390" t="e">
        <f>IF($J390&gt;MAX('Match Log'!$A$4:$A$810),NA(),IFERROR(LOOKUP(2,1/(('Match Log'!$D$4:$D$810=$X$24)*('Match Log'!$A$4:$A$810&lt;=$J390)),'Match Log'!$N$4:$N$810),NA()))</f>
        <v>#N/A</v>
      </c>
      <c r="Y390" t="str">
        <f t="shared" ca="1" si="39"/>
        <v/>
      </c>
    </row>
    <row r="391" spans="1:25" x14ac:dyDescent="0.2">
      <c r="A391">
        <v>367</v>
      </c>
      <c r="B391" t="str">
        <f>IFERROR(INDEX('Match Log'!$B$4:$B$810,MATCH(367,'Match Log'!$A$4:$A$810,0)),"")</f>
        <v/>
      </c>
      <c r="C391" t="str">
        <f>IFERROR(INDEX('Match Log'!$C$4:$C$810,MATCH(367,'Match Log'!$A$4:$A$810,0)),"")</f>
        <v/>
      </c>
      <c r="D391" t="str">
        <f t="array" ref="D391">IFERROR(_xlfn.TEXTJOIN(" + ",TRUE,IF(('Match Log'!$A$4:$A$810=$A391)*('Match Log'!$E$4:$E$810="Win"),'Match Log'!$D$4:$D$810,"")),IFERROR(LOOKUP(2,1/(('Match Log'!$A$4:$A$810=$A391)*('Match Log'!$E$4:$E$810="Win")),'Match Log'!$D$4:$D$810),""))</f>
        <v/>
      </c>
      <c r="E391" t="str">
        <f>IFERROR(INDEX('Match Log'!$F$4:$F$810,MATCH(367,'Match Log'!$A$4:$A$810,0)),"")</f>
        <v/>
      </c>
      <c r="F391">
        <f>IFERROR(SUMIFS('Match Log'!$I$4:$I$810,'Match Log'!$A$4:$A$810,367,'Match Log'!$E$4:$E$810,"Win"),"")</f>
        <v>0</v>
      </c>
      <c r="G391" t="str">
        <f t="shared" si="37"/>
        <v/>
      </c>
      <c r="H391" t="str">
        <f t="array" ref="H391">IFERROR(IF(COUNTIFS('Match Log'!$A$4:$A$810,$A391,'Match Log'!$E$4:$E$810,"Win")&gt;1,_xlfn.TEXTJOIN(" + ",TRUE,IF(('Match Log'!$A$4:$A$810=$A391)*('Match Log'!$E$4:$E$810="Loss"),'Match Log'!$D$4:$D$810,"")),IF($E391=2,LOOKUP(2,1/(('Match Log'!$A$4:$A$810=$A391)*('Match Log'!$E$4:$E$810="Loss")),'Match Log'!$D$4:$D$810),"the field")),"")</f>
        <v>the field</v>
      </c>
      <c r="I391" t="str">
        <f t="shared" si="38"/>
        <v/>
      </c>
      <c r="J391">
        <v>367</v>
      </c>
      <c r="K391" t="e">
        <f>IF($J391&gt;MAX('Match Log'!$A$4:$A$810),NA(),IFERROR(LOOKUP(2,1/(('Match Log'!$D$4:$D$810=$K$24)*('Match Log'!$A$4:$A$810&lt;=$J391)),'Match Log'!$N$4:$N$810),NA()))</f>
        <v>#N/A</v>
      </c>
      <c r="L391" t="e">
        <f>IF($J391&gt;MAX('Match Log'!$A$4:$A$810),NA(),IFERROR(LOOKUP(2,1/(('Match Log'!$D$4:$D$810=$L$24)*('Match Log'!$A$4:$A$810&lt;=$J391)),'Match Log'!$N$4:$N$810),NA()))</f>
        <v>#N/A</v>
      </c>
      <c r="M391" t="e">
        <f>IF($J391&gt;MAX('Match Log'!$A$4:$A$810),NA(),IFERROR(LOOKUP(2,1/(('Match Log'!$D$4:$D$810=$M$24)*('Match Log'!$A$4:$A$810&lt;=$J391)),'Match Log'!$N$4:$N$810),NA()))</f>
        <v>#N/A</v>
      </c>
      <c r="N391" t="e">
        <f>IF($J391&gt;MAX('Match Log'!$A$4:$A$810),NA(),IFERROR(LOOKUP(2,1/(('Match Log'!$D$4:$D$810=$N$24)*('Match Log'!$A$4:$A$810&lt;=$J391)),'Match Log'!$N$4:$N$810),NA()))</f>
        <v>#N/A</v>
      </c>
      <c r="O391" t="e">
        <f>IF($J391&gt;MAX('Match Log'!$A$4:$A$810),NA(),IFERROR(LOOKUP(2,1/(('Match Log'!$D$4:$D$810=$O$24)*('Match Log'!$A$4:$A$810&lt;=$J391)),'Match Log'!$N$4:$N$810),NA()))</f>
        <v>#N/A</v>
      </c>
      <c r="P391" t="e">
        <f>IF($J391&gt;MAX('Match Log'!$A$4:$A$810),NA(),IFERROR(LOOKUP(2,1/(('Match Log'!$D$4:$D$810=$P$24)*('Match Log'!$A$4:$A$810&lt;=$J391)),'Match Log'!$N$4:$N$810),NA()))</f>
        <v>#N/A</v>
      </c>
      <c r="Q391" t="e">
        <f>IF($J391&gt;MAX('Match Log'!$A$4:$A$810),NA(),IFERROR(LOOKUP(2,1/(('Match Log'!$D$4:$D$810=$Q$24)*('Match Log'!$A$4:$A$810&lt;=$J391)),'Match Log'!$N$4:$N$810),NA()))</f>
        <v>#N/A</v>
      </c>
      <c r="R391" t="e">
        <f>IF($J391&gt;MAX('Match Log'!$A$4:$A$810),NA(),IFERROR(LOOKUP(2,1/(('Match Log'!$D$4:$D$810=$R$24)*('Match Log'!$A$4:$A$810&lt;=$J391)),'Match Log'!$N$4:$N$810),NA()))</f>
        <v>#N/A</v>
      </c>
      <c r="S391" t="e">
        <f>IF($J391&gt;MAX('Match Log'!$A$4:$A$810),NA(),IFERROR(LOOKUP(2,1/(('Match Log'!$D$4:$D$810=$S$24)*('Match Log'!$A$4:$A$810&lt;=$J391)),'Match Log'!$N$4:$N$810),NA()))</f>
        <v>#N/A</v>
      </c>
      <c r="T391" t="e">
        <f>IF($J391&gt;MAX('Match Log'!$A$4:$A$810),NA(),IFERROR(LOOKUP(2,1/(('Match Log'!$D$4:$D$810=$T$24)*('Match Log'!$A$4:$A$810&lt;=$J391)),'Match Log'!$N$4:$N$810),NA()))</f>
        <v>#N/A</v>
      </c>
      <c r="U391" t="e">
        <f>IF($J391&gt;MAX('Match Log'!$A$4:$A$810),NA(),IFERROR(LOOKUP(2,1/(('Match Log'!$D$4:$D$810=$U$24)*('Match Log'!$A$4:$A$810&lt;=$J391)),'Match Log'!$N$4:$N$810),NA()))</f>
        <v>#N/A</v>
      </c>
      <c r="V391" t="e">
        <f>IF($J391&gt;MAX('Match Log'!$A$4:$A$810),NA(),IFERROR(LOOKUP(2,1/(('Match Log'!$D$4:$D$810=$V$24)*('Match Log'!$A$4:$A$810&lt;=$J391)),'Match Log'!$N$4:$N$810),NA()))</f>
        <v>#N/A</v>
      </c>
      <c r="W391" t="e">
        <f>IF($J391&gt;MAX('Match Log'!$A$4:$A$810),NA(),IFERROR(LOOKUP(2,1/(('Match Log'!$D$4:$D$810=$W$24)*('Match Log'!$A$4:$A$810&lt;=$J391)),'Match Log'!$N$4:$N$810),NA()))</f>
        <v>#N/A</v>
      </c>
      <c r="X391" t="e">
        <f>IF($J391&gt;MAX('Match Log'!$A$4:$A$810),NA(),IFERROR(LOOKUP(2,1/(('Match Log'!$D$4:$D$810=$X$24)*('Match Log'!$A$4:$A$810&lt;=$J391)),'Match Log'!$N$4:$N$810),NA()))</f>
        <v>#N/A</v>
      </c>
      <c r="Y391" t="str">
        <f t="shared" ca="1" si="39"/>
        <v/>
      </c>
    </row>
    <row r="392" spans="1:25" x14ac:dyDescent="0.2">
      <c r="A392">
        <v>368</v>
      </c>
      <c r="B392" t="str">
        <f>IFERROR(INDEX('Match Log'!$B$4:$B$810,MATCH(368,'Match Log'!$A$4:$A$810,0)),"")</f>
        <v/>
      </c>
      <c r="C392" t="str">
        <f>IFERROR(INDEX('Match Log'!$C$4:$C$810,MATCH(368,'Match Log'!$A$4:$A$810,0)),"")</f>
        <v/>
      </c>
      <c r="D392" t="str">
        <f t="array" ref="D392">IFERROR(_xlfn.TEXTJOIN(" + ",TRUE,IF(('Match Log'!$A$4:$A$810=$A392)*('Match Log'!$E$4:$E$810="Win"),'Match Log'!$D$4:$D$810,"")),IFERROR(LOOKUP(2,1/(('Match Log'!$A$4:$A$810=$A392)*('Match Log'!$E$4:$E$810="Win")),'Match Log'!$D$4:$D$810),""))</f>
        <v/>
      </c>
      <c r="E392" t="str">
        <f>IFERROR(INDEX('Match Log'!$F$4:$F$810,MATCH(368,'Match Log'!$A$4:$A$810,0)),"")</f>
        <v/>
      </c>
      <c r="F392">
        <f>IFERROR(SUMIFS('Match Log'!$I$4:$I$810,'Match Log'!$A$4:$A$810,368,'Match Log'!$E$4:$E$810,"Win"),"")</f>
        <v>0</v>
      </c>
      <c r="G392" t="str">
        <f t="shared" si="37"/>
        <v/>
      </c>
      <c r="H392" t="str">
        <f t="array" ref="H392">IFERROR(IF(COUNTIFS('Match Log'!$A$4:$A$810,$A392,'Match Log'!$E$4:$E$810,"Win")&gt;1,_xlfn.TEXTJOIN(" + ",TRUE,IF(('Match Log'!$A$4:$A$810=$A392)*('Match Log'!$E$4:$E$810="Loss"),'Match Log'!$D$4:$D$810,"")),IF($E392=2,LOOKUP(2,1/(('Match Log'!$A$4:$A$810=$A392)*('Match Log'!$E$4:$E$810="Loss")),'Match Log'!$D$4:$D$810),"the field")),"")</f>
        <v>the field</v>
      </c>
      <c r="I392" t="str">
        <f t="shared" si="38"/>
        <v/>
      </c>
      <c r="J392">
        <v>368</v>
      </c>
      <c r="K392" t="e">
        <f>IF($J392&gt;MAX('Match Log'!$A$4:$A$810),NA(),IFERROR(LOOKUP(2,1/(('Match Log'!$D$4:$D$810=$K$24)*('Match Log'!$A$4:$A$810&lt;=$J392)),'Match Log'!$N$4:$N$810),NA()))</f>
        <v>#N/A</v>
      </c>
      <c r="L392" t="e">
        <f>IF($J392&gt;MAX('Match Log'!$A$4:$A$810),NA(),IFERROR(LOOKUP(2,1/(('Match Log'!$D$4:$D$810=$L$24)*('Match Log'!$A$4:$A$810&lt;=$J392)),'Match Log'!$N$4:$N$810),NA()))</f>
        <v>#N/A</v>
      </c>
      <c r="M392" t="e">
        <f>IF($J392&gt;MAX('Match Log'!$A$4:$A$810),NA(),IFERROR(LOOKUP(2,1/(('Match Log'!$D$4:$D$810=$M$24)*('Match Log'!$A$4:$A$810&lt;=$J392)),'Match Log'!$N$4:$N$810),NA()))</f>
        <v>#N/A</v>
      </c>
      <c r="N392" t="e">
        <f>IF($J392&gt;MAX('Match Log'!$A$4:$A$810),NA(),IFERROR(LOOKUP(2,1/(('Match Log'!$D$4:$D$810=$N$24)*('Match Log'!$A$4:$A$810&lt;=$J392)),'Match Log'!$N$4:$N$810),NA()))</f>
        <v>#N/A</v>
      </c>
      <c r="O392" t="e">
        <f>IF($J392&gt;MAX('Match Log'!$A$4:$A$810),NA(),IFERROR(LOOKUP(2,1/(('Match Log'!$D$4:$D$810=$O$24)*('Match Log'!$A$4:$A$810&lt;=$J392)),'Match Log'!$N$4:$N$810),NA()))</f>
        <v>#N/A</v>
      </c>
      <c r="P392" t="e">
        <f>IF($J392&gt;MAX('Match Log'!$A$4:$A$810),NA(),IFERROR(LOOKUP(2,1/(('Match Log'!$D$4:$D$810=$P$24)*('Match Log'!$A$4:$A$810&lt;=$J392)),'Match Log'!$N$4:$N$810),NA()))</f>
        <v>#N/A</v>
      </c>
      <c r="Q392" t="e">
        <f>IF($J392&gt;MAX('Match Log'!$A$4:$A$810),NA(),IFERROR(LOOKUP(2,1/(('Match Log'!$D$4:$D$810=$Q$24)*('Match Log'!$A$4:$A$810&lt;=$J392)),'Match Log'!$N$4:$N$810),NA()))</f>
        <v>#N/A</v>
      </c>
      <c r="R392" t="e">
        <f>IF($J392&gt;MAX('Match Log'!$A$4:$A$810),NA(),IFERROR(LOOKUP(2,1/(('Match Log'!$D$4:$D$810=$R$24)*('Match Log'!$A$4:$A$810&lt;=$J392)),'Match Log'!$N$4:$N$810),NA()))</f>
        <v>#N/A</v>
      </c>
      <c r="S392" t="e">
        <f>IF($J392&gt;MAX('Match Log'!$A$4:$A$810),NA(),IFERROR(LOOKUP(2,1/(('Match Log'!$D$4:$D$810=$S$24)*('Match Log'!$A$4:$A$810&lt;=$J392)),'Match Log'!$N$4:$N$810),NA()))</f>
        <v>#N/A</v>
      </c>
      <c r="T392" t="e">
        <f>IF($J392&gt;MAX('Match Log'!$A$4:$A$810),NA(),IFERROR(LOOKUP(2,1/(('Match Log'!$D$4:$D$810=$T$24)*('Match Log'!$A$4:$A$810&lt;=$J392)),'Match Log'!$N$4:$N$810),NA()))</f>
        <v>#N/A</v>
      </c>
      <c r="U392" t="e">
        <f>IF($J392&gt;MAX('Match Log'!$A$4:$A$810),NA(),IFERROR(LOOKUP(2,1/(('Match Log'!$D$4:$D$810=$U$24)*('Match Log'!$A$4:$A$810&lt;=$J392)),'Match Log'!$N$4:$N$810),NA()))</f>
        <v>#N/A</v>
      </c>
      <c r="V392" t="e">
        <f>IF($J392&gt;MAX('Match Log'!$A$4:$A$810),NA(),IFERROR(LOOKUP(2,1/(('Match Log'!$D$4:$D$810=$V$24)*('Match Log'!$A$4:$A$810&lt;=$J392)),'Match Log'!$N$4:$N$810),NA()))</f>
        <v>#N/A</v>
      </c>
      <c r="W392" t="e">
        <f>IF($J392&gt;MAX('Match Log'!$A$4:$A$810),NA(),IFERROR(LOOKUP(2,1/(('Match Log'!$D$4:$D$810=$W$24)*('Match Log'!$A$4:$A$810&lt;=$J392)),'Match Log'!$N$4:$N$810),NA()))</f>
        <v>#N/A</v>
      </c>
      <c r="X392" t="e">
        <f>IF($J392&gt;MAX('Match Log'!$A$4:$A$810),NA(),IFERROR(LOOKUP(2,1/(('Match Log'!$D$4:$D$810=$X$24)*('Match Log'!$A$4:$A$810&lt;=$J392)),'Match Log'!$N$4:$N$810),NA()))</f>
        <v>#N/A</v>
      </c>
      <c r="Y392" t="str">
        <f t="shared" ca="1" si="39"/>
        <v/>
      </c>
    </row>
    <row r="393" spans="1:25" x14ac:dyDescent="0.2">
      <c r="A393">
        <v>369</v>
      </c>
      <c r="B393" t="str">
        <f>IFERROR(INDEX('Match Log'!$B$4:$B$810,MATCH(369,'Match Log'!$A$4:$A$810,0)),"")</f>
        <v/>
      </c>
      <c r="C393" t="str">
        <f>IFERROR(INDEX('Match Log'!$C$4:$C$810,MATCH(369,'Match Log'!$A$4:$A$810,0)),"")</f>
        <v/>
      </c>
      <c r="D393" t="str">
        <f t="array" ref="D393">IFERROR(_xlfn.TEXTJOIN(" + ",TRUE,IF(('Match Log'!$A$4:$A$810=$A393)*('Match Log'!$E$4:$E$810="Win"),'Match Log'!$D$4:$D$810,"")),IFERROR(LOOKUP(2,1/(('Match Log'!$A$4:$A$810=$A393)*('Match Log'!$E$4:$E$810="Win")),'Match Log'!$D$4:$D$810),""))</f>
        <v/>
      </c>
      <c r="E393" t="str">
        <f>IFERROR(INDEX('Match Log'!$F$4:$F$810,MATCH(369,'Match Log'!$A$4:$A$810,0)),"")</f>
        <v/>
      </c>
      <c r="F393">
        <f>IFERROR(SUMIFS('Match Log'!$I$4:$I$810,'Match Log'!$A$4:$A$810,369,'Match Log'!$E$4:$E$810,"Win"),"")</f>
        <v>0</v>
      </c>
      <c r="G393" t="str">
        <f t="shared" si="37"/>
        <v/>
      </c>
      <c r="H393" t="str">
        <f t="array" ref="H393">IFERROR(IF(COUNTIFS('Match Log'!$A$4:$A$810,$A393,'Match Log'!$E$4:$E$810,"Win")&gt;1,_xlfn.TEXTJOIN(" + ",TRUE,IF(('Match Log'!$A$4:$A$810=$A393)*('Match Log'!$E$4:$E$810="Loss"),'Match Log'!$D$4:$D$810,"")),IF($E393=2,LOOKUP(2,1/(('Match Log'!$A$4:$A$810=$A393)*('Match Log'!$E$4:$E$810="Loss")),'Match Log'!$D$4:$D$810),"the field")),"")</f>
        <v>the field</v>
      </c>
      <c r="I393" t="str">
        <f t="shared" si="38"/>
        <v/>
      </c>
      <c r="J393">
        <v>369</v>
      </c>
      <c r="K393" t="e">
        <f>IF($J393&gt;MAX('Match Log'!$A$4:$A$810),NA(),IFERROR(LOOKUP(2,1/(('Match Log'!$D$4:$D$810=$K$24)*('Match Log'!$A$4:$A$810&lt;=$J393)),'Match Log'!$N$4:$N$810),NA()))</f>
        <v>#N/A</v>
      </c>
      <c r="L393" t="e">
        <f>IF($J393&gt;MAX('Match Log'!$A$4:$A$810),NA(),IFERROR(LOOKUP(2,1/(('Match Log'!$D$4:$D$810=$L$24)*('Match Log'!$A$4:$A$810&lt;=$J393)),'Match Log'!$N$4:$N$810),NA()))</f>
        <v>#N/A</v>
      </c>
      <c r="M393" t="e">
        <f>IF($J393&gt;MAX('Match Log'!$A$4:$A$810),NA(),IFERROR(LOOKUP(2,1/(('Match Log'!$D$4:$D$810=$M$24)*('Match Log'!$A$4:$A$810&lt;=$J393)),'Match Log'!$N$4:$N$810),NA()))</f>
        <v>#N/A</v>
      </c>
      <c r="N393" t="e">
        <f>IF($J393&gt;MAX('Match Log'!$A$4:$A$810),NA(),IFERROR(LOOKUP(2,1/(('Match Log'!$D$4:$D$810=$N$24)*('Match Log'!$A$4:$A$810&lt;=$J393)),'Match Log'!$N$4:$N$810),NA()))</f>
        <v>#N/A</v>
      </c>
      <c r="O393" t="e">
        <f>IF($J393&gt;MAX('Match Log'!$A$4:$A$810),NA(),IFERROR(LOOKUP(2,1/(('Match Log'!$D$4:$D$810=$O$24)*('Match Log'!$A$4:$A$810&lt;=$J393)),'Match Log'!$N$4:$N$810),NA()))</f>
        <v>#N/A</v>
      </c>
      <c r="P393" t="e">
        <f>IF($J393&gt;MAX('Match Log'!$A$4:$A$810),NA(),IFERROR(LOOKUP(2,1/(('Match Log'!$D$4:$D$810=$P$24)*('Match Log'!$A$4:$A$810&lt;=$J393)),'Match Log'!$N$4:$N$810),NA()))</f>
        <v>#N/A</v>
      </c>
      <c r="Q393" t="e">
        <f>IF($J393&gt;MAX('Match Log'!$A$4:$A$810),NA(),IFERROR(LOOKUP(2,1/(('Match Log'!$D$4:$D$810=$Q$24)*('Match Log'!$A$4:$A$810&lt;=$J393)),'Match Log'!$N$4:$N$810),NA()))</f>
        <v>#N/A</v>
      </c>
      <c r="R393" t="e">
        <f>IF($J393&gt;MAX('Match Log'!$A$4:$A$810),NA(),IFERROR(LOOKUP(2,1/(('Match Log'!$D$4:$D$810=$R$24)*('Match Log'!$A$4:$A$810&lt;=$J393)),'Match Log'!$N$4:$N$810),NA()))</f>
        <v>#N/A</v>
      </c>
      <c r="S393" t="e">
        <f>IF($J393&gt;MAX('Match Log'!$A$4:$A$810),NA(),IFERROR(LOOKUP(2,1/(('Match Log'!$D$4:$D$810=$S$24)*('Match Log'!$A$4:$A$810&lt;=$J393)),'Match Log'!$N$4:$N$810),NA()))</f>
        <v>#N/A</v>
      </c>
      <c r="T393" t="e">
        <f>IF($J393&gt;MAX('Match Log'!$A$4:$A$810),NA(),IFERROR(LOOKUP(2,1/(('Match Log'!$D$4:$D$810=$T$24)*('Match Log'!$A$4:$A$810&lt;=$J393)),'Match Log'!$N$4:$N$810),NA()))</f>
        <v>#N/A</v>
      </c>
      <c r="U393" t="e">
        <f>IF($J393&gt;MAX('Match Log'!$A$4:$A$810),NA(),IFERROR(LOOKUP(2,1/(('Match Log'!$D$4:$D$810=$U$24)*('Match Log'!$A$4:$A$810&lt;=$J393)),'Match Log'!$N$4:$N$810),NA()))</f>
        <v>#N/A</v>
      </c>
      <c r="V393" t="e">
        <f>IF($J393&gt;MAX('Match Log'!$A$4:$A$810),NA(),IFERROR(LOOKUP(2,1/(('Match Log'!$D$4:$D$810=$V$24)*('Match Log'!$A$4:$A$810&lt;=$J393)),'Match Log'!$N$4:$N$810),NA()))</f>
        <v>#N/A</v>
      </c>
      <c r="W393" t="e">
        <f>IF($J393&gt;MAX('Match Log'!$A$4:$A$810),NA(),IFERROR(LOOKUP(2,1/(('Match Log'!$D$4:$D$810=$W$24)*('Match Log'!$A$4:$A$810&lt;=$J393)),'Match Log'!$N$4:$N$810),NA()))</f>
        <v>#N/A</v>
      </c>
      <c r="X393" t="e">
        <f>IF($J393&gt;MAX('Match Log'!$A$4:$A$810),NA(),IFERROR(LOOKUP(2,1/(('Match Log'!$D$4:$D$810=$X$24)*('Match Log'!$A$4:$A$810&lt;=$J393)),'Match Log'!$N$4:$N$810),NA()))</f>
        <v>#N/A</v>
      </c>
      <c r="Y393" t="str">
        <f t="shared" ca="1" si="39"/>
        <v/>
      </c>
    </row>
    <row r="394" spans="1:25" x14ac:dyDescent="0.2">
      <c r="A394">
        <v>370</v>
      </c>
      <c r="B394" t="str">
        <f>IFERROR(INDEX('Match Log'!$B$4:$B$810,MATCH(370,'Match Log'!$A$4:$A$810,0)),"")</f>
        <v/>
      </c>
      <c r="C394" t="str">
        <f>IFERROR(INDEX('Match Log'!$C$4:$C$810,MATCH(370,'Match Log'!$A$4:$A$810,0)),"")</f>
        <v/>
      </c>
      <c r="D394" t="str">
        <f t="array" ref="D394">IFERROR(_xlfn.TEXTJOIN(" + ",TRUE,IF(('Match Log'!$A$4:$A$810=$A394)*('Match Log'!$E$4:$E$810="Win"),'Match Log'!$D$4:$D$810,"")),IFERROR(LOOKUP(2,1/(('Match Log'!$A$4:$A$810=$A394)*('Match Log'!$E$4:$E$810="Win")),'Match Log'!$D$4:$D$810),""))</f>
        <v/>
      </c>
      <c r="E394" t="str">
        <f>IFERROR(INDEX('Match Log'!$F$4:$F$810,MATCH(370,'Match Log'!$A$4:$A$810,0)),"")</f>
        <v/>
      </c>
      <c r="F394">
        <f>IFERROR(SUMIFS('Match Log'!$I$4:$I$810,'Match Log'!$A$4:$A$810,370,'Match Log'!$E$4:$E$810,"Win"),"")</f>
        <v>0</v>
      </c>
      <c r="G394" t="str">
        <f t="shared" si="37"/>
        <v/>
      </c>
      <c r="H394" t="str">
        <f t="array" ref="H394">IFERROR(IF(COUNTIFS('Match Log'!$A$4:$A$810,$A394,'Match Log'!$E$4:$E$810,"Win")&gt;1,_xlfn.TEXTJOIN(" + ",TRUE,IF(('Match Log'!$A$4:$A$810=$A394)*('Match Log'!$E$4:$E$810="Loss"),'Match Log'!$D$4:$D$810,"")),IF($E394=2,LOOKUP(2,1/(('Match Log'!$A$4:$A$810=$A394)*('Match Log'!$E$4:$E$810="Loss")),'Match Log'!$D$4:$D$810),"the field")),"")</f>
        <v>the field</v>
      </c>
      <c r="I394" t="str">
        <f t="shared" si="38"/>
        <v/>
      </c>
      <c r="J394">
        <v>370</v>
      </c>
      <c r="K394" t="e">
        <f>IF($J394&gt;MAX('Match Log'!$A$4:$A$810),NA(),IFERROR(LOOKUP(2,1/(('Match Log'!$D$4:$D$810=$K$24)*('Match Log'!$A$4:$A$810&lt;=$J394)),'Match Log'!$N$4:$N$810),NA()))</f>
        <v>#N/A</v>
      </c>
      <c r="L394" t="e">
        <f>IF($J394&gt;MAX('Match Log'!$A$4:$A$810),NA(),IFERROR(LOOKUP(2,1/(('Match Log'!$D$4:$D$810=$L$24)*('Match Log'!$A$4:$A$810&lt;=$J394)),'Match Log'!$N$4:$N$810),NA()))</f>
        <v>#N/A</v>
      </c>
      <c r="M394" t="e">
        <f>IF($J394&gt;MAX('Match Log'!$A$4:$A$810),NA(),IFERROR(LOOKUP(2,1/(('Match Log'!$D$4:$D$810=$M$24)*('Match Log'!$A$4:$A$810&lt;=$J394)),'Match Log'!$N$4:$N$810),NA()))</f>
        <v>#N/A</v>
      </c>
      <c r="N394" t="e">
        <f>IF($J394&gt;MAX('Match Log'!$A$4:$A$810),NA(),IFERROR(LOOKUP(2,1/(('Match Log'!$D$4:$D$810=$N$24)*('Match Log'!$A$4:$A$810&lt;=$J394)),'Match Log'!$N$4:$N$810),NA()))</f>
        <v>#N/A</v>
      </c>
      <c r="O394" t="e">
        <f>IF($J394&gt;MAX('Match Log'!$A$4:$A$810),NA(),IFERROR(LOOKUP(2,1/(('Match Log'!$D$4:$D$810=$O$24)*('Match Log'!$A$4:$A$810&lt;=$J394)),'Match Log'!$N$4:$N$810),NA()))</f>
        <v>#N/A</v>
      </c>
      <c r="P394" t="e">
        <f>IF($J394&gt;MAX('Match Log'!$A$4:$A$810),NA(),IFERROR(LOOKUP(2,1/(('Match Log'!$D$4:$D$810=$P$24)*('Match Log'!$A$4:$A$810&lt;=$J394)),'Match Log'!$N$4:$N$810),NA()))</f>
        <v>#N/A</v>
      </c>
      <c r="Q394" t="e">
        <f>IF($J394&gt;MAX('Match Log'!$A$4:$A$810),NA(),IFERROR(LOOKUP(2,1/(('Match Log'!$D$4:$D$810=$Q$24)*('Match Log'!$A$4:$A$810&lt;=$J394)),'Match Log'!$N$4:$N$810),NA()))</f>
        <v>#N/A</v>
      </c>
      <c r="R394" t="e">
        <f>IF($J394&gt;MAX('Match Log'!$A$4:$A$810),NA(),IFERROR(LOOKUP(2,1/(('Match Log'!$D$4:$D$810=$R$24)*('Match Log'!$A$4:$A$810&lt;=$J394)),'Match Log'!$N$4:$N$810),NA()))</f>
        <v>#N/A</v>
      </c>
      <c r="S394" t="e">
        <f>IF($J394&gt;MAX('Match Log'!$A$4:$A$810),NA(),IFERROR(LOOKUP(2,1/(('Match Log'!$D$4:$D$810=$S$24)*('Match Log'!$A$4:$A$810&lt;=$J394)),'Match Log'!$N$4:$N$810),NA()))</f>
        <v>#N/A</v>
      </c>
      <c r="T394" t="e">
        <f>IF($J394&gt;MAX('Match Log'!$A$4:$A$810),NA(),IFERROR(LOOKUP(2,1/(('Match Log'!$D$4:$D$810=$T$24)*('Match Log'!$A$4:$A$810&lt;=$J394)),'Match Log'!$N$4:$N$810),NA()))</f>
        <v>#N/A</v>
      </c>
      <c r="U394" t="e">
        <f>IF($J394&gt;MAX('Match Log'!$A$4:$A$810),NA(),IFERROR(LOOKUP(2,1/(('Match Log'!$D$4:$D$810=$U$24)*('Match Log'!$A$4:$A$810&lt;=$J394)),'Match Log'!$N$4:$N$810),NA()))</f>
        <v>#N/A</v>
      </c>
      <c r="V394" t="e">
        <f>IF($J394&gt;MAX('Match Log'!$A$4:$A$810),NA(),IFERROR(LOOKUP(2,1/(('Match Log'!$D$4:$D$810=$V$24)*('Match Log'!$A$4:$A$810&lt;=$J394)),'Match Log'!$N$4:$N$810),NA()))</f>
        <v>#N/A</v>
      </c>
      <c r="W394" t="e">
        <f>IF($J394&gt;MAX('Match Log'!$A$4:$A$810),NA(),IFERROR(LOOKUP(2,1/(('Match Log'!$D$4:$D$810=$W$24)*('Match Log'!$A$4:$A$810&lt;=$J394)),'Match Log'!$N$4:$N$810),NA()))</f>
        <v>#N/A</v>
      </c>
      <c r="X394" t="e">
        <f>IF($J394&gt;MAX('Match Log'!$A$4:$A$810),NA(),IFERROR(LOOKUP(2,1/(('Match Log'!$D$4:$D$810=$X$24)*('Match Log'!$A$4:$A$810&lt;=$J394)),'Match Log'!$N$4:$N$810),NA()))</f>
        <v>#N/A</v>
      </c>
      <c r="Y394" t="str">
        <f t="shared" ca="1" si="39"/>
        <v/>
      </c>
    </row>
    <row r="395" spans="1:25" x14ac:dyDescent="0.2">
      <c r="A395">
        <v>371</v>
      </c>
      <c r="B395" t="str">
        <f>IFERROR(INDEX('Match Log'!$B$4:$B$810,MATCH(371,'Match Log'!$A$4:$A$810,0)),"")</f>
        <v/>
      </c>
      <c r="C395" t="str">
        <f>IFERROR(INDEX('Match Log'!$C$4:$C$810,MATCH(371,'Match Log'!$A$4:$A$810,0)),"")</f>
        <v/>
      </c>
      <c r="D395" t="str">
        <f t="array" ref="D395">IFERROR(_xlfn.TEXTJOIN(" + ",TRUE,IF(('Match Log'!$A$4:$A$810=$A395)*('Match Log'!$E$4:$E$810="Win"),'Match Log'!$D$4:$D$810,"")),IFERROR(LOOKUP(2,1/(('Match Log'!$A$4:$A$810=$A395)*('Match Log'!$E$4:$E$810="Win")),'Match Log'!$D$4:$D$810),""))</f>
        <v/>
      </c>
      <c r="E395" t="str">
        <f>IFERROR(INDEX('Match Log'!$F$4:$F$810,MATCH(371,'Match Log'!$A$4:$A$810,0)),"")</f>
        <v/>
      </c>
      <c r="F395">
        <f>IFERROR(SUMIFS('Match Log'!$I$4:$I$810,'Match Log'!$A$4:$A$810,371,'Match Log'!$E$4:$E$810,"Win"),"")</f>
        <v>0</v>
      </c>
      <c r="G395" t="str">
        <f t="shared" si="37"/>
        <v/>
      </c>
      <c r="H395" t="str">
        <f t="array" ref="H395">IFERROR(IF(COUNTIFS('Match Log'!$A$4:$A$810,$A395,'Match Log'!$E$4:$E$810,"Win")&gt;1,_xlfn.TEXTJOIN(" + ",TRUE,IF(('Match Log'!$A$4:$A$810=$A395)*('Match Log'!$E$4:$E$810="Loss"),'Match Log'!$D$4:$D$810,"")),IF($E395=2,LOOKUP(2,1/(('Match Log'!$A$4:$A$810=$A395)*('Match Log'!$E$4:$E$810="Loss")),'Match Log'!$D$4:$D$810),"the field")),"")</f>
        <v>the field</v>
      </c>
      <c r="I395" t="str">
        <f t="shared" si="38"/>
        <v/>
      </c>
      <c r="J395">
        <v>371</v>
      </c>
      <c r="K395" t="e">
        <f>IF($J395&gt;MAX('Match Log'!$A$4:$A$810),NA(),IFERROR(LOOKUP(2,1/(('Match Log'!$D$4:$D$810=$K$24)*('Match Log'!$A$4:$A$810&lt;=$J395)),'Match Log'!$N$4:$N$810),NA()))</f>
        <v>#N/A</v>
      </c>
      <c r="L395" t="e">
        <f>IF($J395&gt;MAX('Match Log'!$A$4:$A$810),NA(),IFERROR(LOOKUP(2,1/(('Match Log'!$D$4:$D$810=$L$24)*('Match Log'!$A$4:$A$810&lt;=$J395)),'Match Log'!$N$4:$N$810),NA()))</f>
        <v>#N/A</v>
      </c>
      <c r="M395" t="e">
        <f>IF($J395&gt;MAX('Match Log'!$A$4:$A$810),NA(),IFERROR(LOOKUP(2,1/(('Match Log'!$D$4:$D$810=$M$24)*('Match Log'!$A$4:$A$810&lt;=$J395)),'Match Log'!$N$4:$N$810),NA()))</f>
        <v>#N/A</v>
      </c>
      <c r="N395" t="e">
        <f>IF($J395&gt;MAX('Match Log'!$A$4:$A$810),NA(),IFERROR(LOOKUP(2,1/(('Match Log'!$D$4:$D$810=$N$24)*('Match Log'!$A$4:$A$810&lt;=$J395)),'Match Log'!$N$4:$N$810),NA()))</f>
        <v>#N/A</v>
      </c>
      <c r="O395" t="e">
        <f>IF($J395&gt;MAX('Match Log'!$A$4:$A$810),NA(),IFERROR(LOOKUP(2,1/(('Match Log'!$D$4:$D$810=$O$24)*('Match Log'!$A$4:$A$810&lt;=$J395)),'Match Log'!$N$4:$N$810),NA()))</f>
        <v>#N/A</v>
      </c>
      <c r="P395" t="e">
        <f>IF($J395&gt;MAX('Match Log'!$A$4:$A$810),NA(),IFERROR(LOOKUP(2,1/(('Match Log'!$D$4:$D$810=$P$24)*('Match Log'!$A$4:$A$810&lt;=$J395)),'Match Log'!$N$4:$N$810),NA()))</f>
        <v>#N/A</v>
      </c>
      <c r="Q395" t="e">
        <f>IF($J395&gt;MAX('Match Log'!$A$4:$A$810),NA(),IFERROR(LOOKUP(2,1/(('Match Log'!$D$4:$D$810=$Q$24)*('Match Log'!$A$4:$A$810&lt;=$J395)),'Match Log'!$N$4:$N$810),NA()))</f>
        <v>#N/A</v>
      </c>
      <c r="R395" t="e">
        <f>IF($J395&gt;MAX('Match Log'!$A$4:$A$810),NA(),IFERROR(LOOKUP(2,1/(('Match Log'!$D$4:$D$810=$R$24)*('Match Log'!$A$4:$A$810&lt;=$J395)),'Match Log'!$N$4:$N$810),NA()))</f>
        <v>#N/A</v>
      </c>
      <c r="S395" t="e">
        <f>IF($J395&gt;MAX('Match Log'!$A$4:$A$810),NA(),IFERROR(LOOKUP(2,1/(('Match Log'!$D$4:$D$810=$S$24)*('Match Log'!$A$4:$A$810&lt;=$J395)),'Match Log'!$N$4:$N$810),NA()))</f>
        <v>#N/A</v>
      </c>
      <c r="T395" t="e">
        <f>IF($J395&gt;MAX('Match Log'!$A$4:$A$810),NA(),IFERROR(LOOKUP(2,1/(('Match Log'!$D$4:$D$810=$T$24)*('Match Log'!$A$4:$A$810&lt;=$J395)),'Match Log'!$N$4:$N$810),NA()))</f>
        <v>#N/A</v>
      </c>
      <c r="U395" t="e">
        <f>IF($J395&gt;MAX('Match Log'!$A$4:$A$810),NA(),IFERROR(LOOKUP(2,1/(('Match Log'!$D$4:$D$810=$U$24)*('Match Log'!$A$4:$A$810&lt;=$J395)),'Match Log'!$N$4:$N$810),NA()))</f>
        <v>#N/A</v>
      </c>
      <c r="V395" t="e">
        <f>IF($J395&gt;MAX('Match Log'!$A$4:$A$810),NA(),IFERROR(LOOKUP(2,1/(('Match Log'!$D$4:$D$810=$V$24)*('Match Log'!$A$4:$A$810&lt;=$J395)),'Match Log'!$N$4:$N$810),NA()))</f>
        <v>#N/A</v>
      </c>
      <c r="W395" t="e">
        <f>IF($J395&gt;MAX('Match Log'!$A$4:$A$810),NA(),IFERROR(LOOKUP(2,1/(('Match Log'!$D$4:$D$810=$W$24)*('Match Log'!$A$4:$A$810&lt;=$J395)),'Match Log'!$N$4:$N$810),NA()))</f>
        <v>#N/A</v>
      </c>
      <c r="X395" t="e">
        <f>IF($J395&gt;MAX('Match Log'!$A$4:$A$810),NA(),IFERROR(LOOKUP(2,1/(('Match Log'!$D$4:$D$810=$X$24)*('Match Log'!$A$4:$A$810&lt;=$J395)),'Match Log'!$N$4:$N$810),NA()))</f>
        <v>#N/A</v>
      </c>
      <c r="Y395" t="str">
        <f t="shared" ca="1" si="39"/>
        <v/>
      </c>
    </row>
    <row r="396" spans="1:25" x14ac:dyDescent="0.2">
      <c r="A396">
        <v>372</v>
      </c>
      <c r="B396" t="str">
        <f>IFERROR(INDEX('Match Log'!$B$4:$B$810,MATCH(372,'Match Log'!$A$4:$A$810,0)),"")</f>
        <v/>
      </c>
      <c r="C396" t="str">
        <f>IFERROR(INDEX('Match Log'!$C$4:$C$810,MATCH(372,'Match Log'!$A$4:$A$810,0)),"")</f>
        <v/>
      </c>
      <c r="D396" t="str">
        <f t="array" ref="D396">IFERROR(_xlfn.TEXTJOIN(" + ",TRUE,IF(('Match Log'!$A$4:$A$810=$A396)*('Match Log'!$E$4:$E$810="Win"),'Match Log'!$D$4:$D$810,"")),IFERROR(LOOKUP(2,1/(('Match Log'!$A$4:$A$810=$A396)*('Match Log'!$E$4:$E$810="Win")),'Match Log'!$D$4:$D$810),""))</f>
        <v/>
      </c>
      <c r="E396" t="str">
        <f>IFERROR(INDEX('Match Log'!$F$4:$F$810,MATCH(372,'Match Log'!$A$4:$A$810,0)),"")</f>
        <v/>
      </c>
      <c r="F396">
        <f>IFERROR(SUMIFS('Match Log'!$I$4:$I$810,'Match Log'!$A$4:$A$810,372,'Match Log'!$E$4:$E$810,"Win"),"")</f>
        <v>0</v>
      </c>
      <c r="G396" t="str">
        <f t="shared" si="37"/>
        <v/>
      </c>
      <c r="H396" t="str">
        <f t="array" ref="H396">IFERROR(IF(COUNTIFS('Match Log'!$A$4:$A$810,$A396,'Match Log'!$E$4:$E$810,"Win")&gt;1,_xlfn.TEXTJOIN(" + ",TRUE,IF(('Match Log'!$A$4:$A$810=$A396)*('Match Log'!$E$4:$E$810="Loss"),'Match Log'!$D$4:$D$810,"")),IF($E396=2,LOOKUP(2,1/(('Match Log'!$A$4:$A$810=$A396)*('Match Log'!$E$4:$E$810="Loss")),'Match Log'!$D$4:$D$810),"the field")),"")</f>
        <v>the field</v>
      </c>
      <c r="I396" t="str">
        <f t="shared" si="38"/>
        <v/>
      </c>
      <c r="J396">
        <v>372</v>
      </c>
      <c r="K396" t="e">
        <f>IF($J396&gt;MAX('Match Log'!$A$4:$A$810),NA(),IFERROR(LOOKUP(2,1/(('Match Log'!$D$4:$D$810=$K$24)*('Match Log'!$A$4:$A$810&lt;=$J396)),'Match Log'!$N$4:$N$810),NA()))</f>
        <v>#N/A</v>
      </c>
      <c r="L396" t="e">
        <f>IF($J396&gt;MAX('Match Log'!$A$4:$A$810),NA(),IFERROR(LOOKUP(2,1/(('Match Log'!$D$4:$D$810=$L$24)*('Match Log'!$A$4:$A$810&lt;=$J396)),'Match Log'!$N$4:$N$810),NA()))</f>
        <v>#N/A</v>
      </c>
      <c r="M396" t="e">
        <f>IF($J396&gt;MAX('Match Log'!$A$4:$A$810),NA(),IFERROR(LOOKUP(2,1/(('Match Log'!$D$4:$D$810=$M$24)*('Match Log'!$A$4:$A$810&lt;=$J396)),'Match Log'!$N$4:$N$810),NA()))</f>
        <v>#N/A</v>
      </c>
      <c r="N396" t="e">
        <f>IF($J396&gt;MAX('Match Log'!$A$4:$A$810),NA(),IFERROR(LOOKUP(2,1/(('Match Log'!$D$4:$D$810=$N$24)*('Match Log'!$A$4:$A$810&lt;=$J396)),'Match Log'!$N$4:$N$810),NA()))</f>
        <v>#N/A</v>
      </c>
      <c r="O396" t="e">
        <f>IF($J396&gt;MAX('Match Log'!$A$4:$A$810),NA(),IFERROR(LOOKUP(2,1/(('Match Log'!$D$4:$D$810=$O$24)*('Match Log'!$A$4:$A$810&lt;=$J396)),'Match Log'!$N$4:$N$810),NA()))</f>
        <v>#N/A</v>
      </c>
      <c r="P396" t="e">
        <f>IF($J396&gt;MAX('Match Log'!$A$4:$A$810),NA(),IFERROR(LOOKUP(2,1/(('Match Log'!$D$4:$D$810=$P$24)*('Match Log'!$A$4:$A$810&lt;=$J396)),'Match Log'!$N$4:$N$810),NA()))</f>
        <v>#N/A</v>
      </c>
      <c r="Q396" t="e">
        <f>IF($J396&gt;MAX('Match Log'!$A$4:$A$810),NA(),IFERROR(LOOKUP(2,1/(('Match Log'!$D$4:$D$810=$Q$24)*('Match Log'!$A$4:$A$810&lt;=$J396)),'Match Log'!$N$4:$N$810),NA()))</f>
        <v>#N/A</v>
      </c>
      <c r="R396" t="e">
        <f>IF($J396&gt;MAX('Match Log'!$A$4:$A$810),NA(),IFERROR(LOOKUP(2,1/(('Match Log'!$D$4:$D$810=$R$24)*('Match Log'!$A$4:$A$810&lt;=$J396)),'Match Log'!$N$4:$N$810),NA()))</f>
        <v>#N/A</v>
      </c>
      <c r="S396" t="e">
        <f>IF($J396&gt;MAX('Match Log'!$A$4:$A$810),NA(),IFERROR(LOOKUP(2,1/(('Match Log'!$D$4:$D$810=$S$24)*('Match Log'!$A$4:$A$810&lt;=$J396)),'Match Log'!$N$4:$N$810),NA()))</f>
        <v>#N/A</v>
      </c>
      <c r="T396" t="e">
        <f>IF($J396&gt;MAX('Match Log'!$A$4:$A$810),NA(),IFERROR(LOOKUP(2,1/(('Match Log'!$D$4:$D$810=$T$24)*('Match Log'!$A$4:$A$810&lt;=$J396)),'Match Log'!$N$4:$N$810),NA()))</f>
        <v>#N/A</v>
      </c>
      <c r="U396" t="e">
        <f>IF($J396&gt;MAX('Match Log'!$A$4:$A$810),NA(),IFERROR(LOOKUP(2,1/(('Match Log'!$D$4:$D$810=$U$24)*('Match Log'!$A$4:$A$810&lt;=$J396)),'Match Log'!$N$4:$N$810),NA()))</f>
        <v>#N/A</v>
      </c>
      <c r="V396" t="e">
        <f>IF($J396&gt;MAX('Match Log'!$A$4:$A$810),NA(),IFERROR(LOOKUP(2,1/(('Match Log'!$D$4:$D$810=$V$24)*('Match Log'!$A$4:$A$810&lt;=$J396)),'Match Log'!$N$4:$N$810),NA()))</f>
        <v>#N/A</v>
      </c>
      <c r="W396" t="e">
        <f>IF($J396&gt;MAX('Match Log'!$A$4:$A$810),NA(),IFERROR(LOOKUP(2,1/(('Match Log'!$D$4:$D$810=$W$24)*('Match Log'!$A$4:$A$810&lt;=$J396)),'Match Log'!$N$4:$N$810),NA()))</f>
        <v>#N/A</v>
      </c>
      <c r="X396" t="e">
        <f>IF($J396&gt;MAX('Match Log'!$A$4:$A$810),NA(),IFERROR(LOOKUP(2,1/(('Match Log'!$D$4:$D$810=$X$24)*('Match Log'!$A$4:$A$810&lt;=$J396)),'Match Log'!$N$4:$N$810),NA()))</f>
        <v>#N/A</v>
      </c>
      <c r="Y396" t="str">
        <f t="shared" ca="1" si="39"/>
        <v/>
      </c>
    </row>
    <row r="397" spans="1:25" x14ac:dyDescent="0.2">
      <c r="A397">
        <v>373</v>
      </c>
      <c r="B397" t="str">
        <f>IFERROR(INDEX('Match Log'!$B$4:$B$810,MATCH(373,'Match Log'!$A$4:$A$810,0)),"")</f>
        <v/>
      </c>
      <c r="C397" t="str">
        <f>IFERROR(INDEX('Match Log'!$C$4:$C$810,MATCH(373,'Match Log'!$A$4:$A$810,0)),"")</f>
        <v/>
      </c>
      <c r="D397" t="str">
        <f t="array" ref="D397">IFERROR(_xlfn.TEXTJOIN(" + ",TRUE,IF(('Match Log'!$A$4:$A$810=$A397)*('Match Log'!$E$4:$E$810="Win"),'Match Log'!$D$4:$D$810,"")),IFERROR(LOOKUP(2,1/(('Match Log'!$A$4:$A$810=$A397)*('Match Log'!$E$4:$E$810="Win")),'Match Log'!$D$4:$D$810),""))</f>
        <v/>
      </c>
      <c r="E397" t="str">
        <f>IFERROR(INDEX('Match Log'!$F$4:$F$810,MATCH(373,'Match Log'!$A$4:$A$810,0)),"")</f>
        <v/>
      </c>
      <c r="F397">
        <f>IFERROR(SUMIFS('Match Log'!$I$4:$I$810,'Match Log'!$A$4:$A$810,373,'Match Log'!$E$4:$E$810,"Win"),"")</f>
        <v>0</v>
      </c>
      <c r="G397" t="str">
        <f t="shared" si="37"/>
        <v/>
      </c>
      <c r="H397" t="str">
        <f t="array" ref="H397">IFERROR(IF(COUNTIFS('Match Log'!$A$4:$A$810,$A397,'Match Log'!$E$4:$E$810,"Win")&gt;1,_xlfn.TEXTJOIN(" + ",TRUE,IF(('Match Log'!$A$4:$A$810=$A397)*('Match Log'!$E$4:$E$810="Loss"),'Match Log'!$D$4:$D$810,"")),IF($E397=2,LOOKUP(2,1/(('Match Log'!$A$4:$A$810=$A397)*('Match Log'!$E$4:$E$810="Loss")),'Match Log'!$D$4:$D$810),"the field")),"")</f>
        <v>the field</v>
      </c>
      <c r="I397" t="str">
        <f t="shared" si="38"/>
        <v/>
      </c>
      <c r="J397">
        <v>373</v>
      </c>
      <c r="K397" t="e">
        <f>IF($J397&gt;MAX('Match Log'!$A$4:$A$810),NA(),IFERROR(LOOKUP(2,1/(('Match Log'!$D$4:$D$810=$K$24)*('Match Log'!$A$4:$A$810&lt;=$J397)),'Match Log'!$N$4:$N$810),NA()))</f>
        <v>#N/A</v>
      </c>
      <c r="L397" t="e">
        <f>IF($J397&gt;MAX('Match Log'!$A$4:$A$810),NA(),IFERROR(LOOKUP(2,1/(('Match Log'!$D$4:$D$810=$L$24)*('Match Log'!$A$4:$A$810&lt;=$J397)),'Match Log'!$N$4:$N$810),NA()))</f>
        <v>#N/A</v>
      </c>
      <c r="M397" t="e">
        <f>IF($J397&gt;MAX('Match Log'!$A$4:$A$810),NA(),IFERROR(LOOKUP(2,1/(('Match Log'!$D$4:$D$810=$M$24)*('Match Log'!$A$4:$A$810&lt;=$J397)),'Match Log'!$N$4:$N$810),NA()))</f>
        <v>#N/A</v>
      </c>
      <c r="N397" t="e">
        <f>IF($J397&gt;MAX('Match Log'!$A$4:$A$810),NA(),IFERROR(LOOKUP(2,1/(('Match Log'!$D$4:$D$810=$N$24)*('Match Log'!$A$4:$A$810&lt;=$J397)),'Match Log'!$N$4:$N$810),NA()))</f>
        <v>#N/A</v>
      </c>
      <c r="O397" t="e">
        <f>IF($J397&gt;MAX('Match Log'!$A$4:$A$810),NA(),IFERROR(LOOKUP(2,1/(('Match Log'!$D$4:$D$810=$O$24)*('Match Log'!$A$4:$A$810&lt;=$J397)),'Match Log'!$N$4:$N$810),NA()))</f>
        <v>#N/A</v>
      </c>
      <c r="P397" t="e">
        <f>IF($J397&gt;MAX('Match Log'!$A$4:$A$810),NA(),IFERROR(LOOKUP(2,1/(('Match Log'!$D$4:$D$810=$P$24)*('Match Log'!$A$4:$A$810&lt;=$J397)),'Match Log'!$N$4:$N$810),NA()))</f>
        <v>#N/A</v>
      </c>
      <c r="Q397" t="e">
        <f>IF($J397&gt;MAX('Match Log'!$A$4:$A$810),NA(),IFERROR(LOOKUP(2,1/(('Match Log'!$D$4:$D$810=$Q$24)*('Match Log'!$A$4:$A$810&lt;=$J397)),'Match Log'!$N$4:$N$810),NA()))</f>
        <v>#N/A</v>
      </c>
      <c r="R397" t="e">
        <f>IF($J397&gt;MAX('Match Log'!$A$4:$A$810),NA(),IFERROR(LOOKUP(2,1/(('Match Log'!$D$4:$D$810=$R$24)*('Match Log'!$A$4:$A$810&lt;=$J397)),'Match Log'!$N$4:$N$810),NA()))</f>
        <v>#N/A</v>
      </c>
      <c r="S397" t="e">
        <f>IF($J397&gt;MAX('Match Log'!$A$4:$A$810),NA(),IFERROR(LOOKUP(2,1/(('Match Log'!$D$4:$D$810=$S$24)*('Match Log'!$A$4:$A$810&lt;=$J397)),'Match Log'!$N$4:$N$810),NA()))</f>
        <v>#N/A</v>
      </c>
      <c r="T397" t="e">
        <f>IF($J397&gt;MAX('Match Log'!$A$4:$A$810),NA(),IFERROR(LOOKUP(2,1/(('Match Log'!$D$4:$D$810=$T$24)*('Match Log'!$A$4:$A$810&lt;=$J397)),'Match Log'!$N$4:$N$810),NA()))</f>
        <v>#N/A</v>
      </c>
      <c r="U397" t="e">
        <f>IF($J397&gt;MAX('Match Log'!$A$4:$A$810),NA(),IFERROR(LOOKUP(2,1/(('Match Log'!$D$4:$D$810=$U$24)*('Match Log'!$A$4:$A$810&lt;=$J397)),'Match Log'!$N$4:$N$810),NA()))</f>
        <v>#N/A</v>
      </c>
      <c r="V397" t="e">
        <f>IF($J397&gt;MAX('Match Log'!$A$4:$A$810),NA(),IFERROR(LOOKUP(2,1/(('Match Log'!$D$4:$D$810=$V$24)*('Match Log'!$A$4:$A$810&lt;=$J397)),'Match Log'!$N$4:$N$810),NA()))</f>
        <v>#N/A</v>
      </c>
      <c r="W397" t="e">
        <f>IF($J397&gt;MAX('Match Log'!$A$4:$A$810),NA(),IFERROR(LOOKUP(2,1/(('Match Log'!$D$4:$D$810=$W$24)*('Match Log'!$A$4:$A$810&lt;=$J397)),'Match Log'!$N$4:$N$810),NA()))</f>
        <v>#N/A</v>
      </c>
      <c r="X397" t="e">
        <f>IF($J397&gt;MAX('Match Log'!$A$4:$A$810),NA(),IFERROR(LOOKUP(2,1/(('Match Log'!$D$4:$D$810=$X$24)*('Match Log'!$A$4:$A$810&lt;=$J397)),'Match Log'!$N$4:$N$810),NA()))</f>
        <v>#N/A</v>
      </c>
      <c r="Y397" t="str">
        <f t="shared" ca="1" si="39"/>
        <v/>
      </c>
    </row>
    <row r="398" spans="1:25" x14ac:dyDescent="0.2">
      <c r="A398">
        <v>374</v>
      </c>
      <c r="B398" t="str">
        <f>IFERROR(INDEX('Match Log'!$B$4:$B$810,MATCH(374,'Match Log'!$A$4:$A$810,0)),"")</f>
        <v/>
      </c>
      <c r="C398" t="str">
        <f>IFERROR(INDEX('Match Log'!$C$4:$C$810,MATCH(374,'Match Log'!$A$4:$A$810,0)),"")</f>
        <v/>
      </c>
      <c r="D398" t="str">
        <f t="array" ref="D398">IFERROR(_xlfn.TEXTJOIN(" + ",TRUE,IF(('Match Log'!$A$4:$A$810=$A398)*('Match Log'!$E$4:$E$810="Win"),'Match Log'!$D$4:$D$810,"")),IFERROR(LOOKUP(2,1/(('Match Log'!$A$4:$A$810=$A398)*('Match Log'!$E$4:$E$810="Win")),'Match Log'!$D$4:$D$810),""))</f>
        <v/>
      </c>
      <c r="E398" t="str">
        <f>IFERROR(INDEX('Match Log'!$F$4:$F$810,MATCH(374,'Match Log'!$A$4:$A$810,0)),"")</f>
        <v/>
      </c>
      <c r="F398">
        <f>IFERROR(SUMIFS('Match Log'!$I$4:$I$810,'Match Log'!$A$4:$A$810,374,'Match Log'!$E$4:$E$810,"Win"),"")</f>
        <v>0</v>
      </c>
      <c r="G398" t="str">
        <f t="shared" si="37"/>
        <v/>
      </c>
      <c r="H398" t="str">
        <f t="array" ref="H398">IFERROR(IF(COUNTIFS('Match Log'!$A$4:$A$810,$A398,'Match Log'!$E$4:$E$810,"Win")&gt;1,_xlfn.TEXTJOIN(" + ",TRUE,IF(('Match Log'!$A$4:$A$810=$A398)*('Match Log'!$E$4:$E$810="Loss"),'Match Log'!$D$4:$D$810,"")),IF($E398=2,LOOKUP(2,1/(('Match Log'!$A$4:$A$810=$A398)*('Match Log'!$E$4:$E$810="Loss")),'Match Log'!$D$4:$D$810),"the field")),"")</f>
        <v>the field</v>
      </c>
      <c r="I398" t="str">
        <f t="shared" si="38"/>
        <v/>
      </c>
      <c r="J398">
        <v>374</v>
      </c>
      <c r="K398" t="e">
        <f>IF($J398&gt;MAX('Match Log'!$A$4:$A$810),NA(),IFERROR(LOOKUP(2,1/(('Match Log'!$D$4:$D$810=$K$24)*('Match Log'!$A$4:$A$810&lt;=$J398)),'Match Log'!$N$4:$N$810),NA()))</f>
        <v>#N/A</v>
      </c>
      <c r="L398" t="e">
        <f>IF($J398&gt;MAX('Match Log'!$A$4:$A$810),NA(),IFERROR(LOOKUP(2,1/(('Match Log'!$D$4:$D$810=$L$24)*('Match Log'!$A$4:$A$810&lt;=$J398)),'Match Log'!$N$4:$N$810),NA()))</f>
        <v>#N/A</v>
      </c>
      <c r="M398" t="e">
        <f>IF($J398&gt;MAX('Match Log'!$A$4:$A$810),NA(),IFERROR(LOOKUP(2,1/(('Match Log'!$D$4:$D$810=$M$24)*('Match Log'!$A$4:$A$810&lt;=$J398)),'Match Log'!$N$4:$N$810),NA()))</f>
        <v>#N/A</v>
      </c>
      <c r="N398" t="e">
        <f>IF($J398&gt;MAX('Match Log'!$A$4:$A$810),NA(),IFERROR(LOOKUP(2,1/(('Match Log'!$D$4:$D$810=$N$24)*('Match Log'!$A$4:$A$810&lt;=$J398)),'Match Log'!$N$4:$N$810),NA()))</f>
        <v>#N/A</v>
      </c>
      <c r="O398" t="e">
        <f>IF($J398&gt;MAX('Match Log'!$A$4:$A$810),NA(),IFERROR(LOOKUP(2,1/(('Match Log'!$D$4:$D$810=$O$24)*('Match Log'!$A$4:$A$810&lt;=$J398)),'Match Log'!$N$4:$N$810),NA()))</f>
        <v>#N/A</v>
      </c>
      <c r="P398" t="e">
        <f>IF($J398&gt;MAX('Match Log'!$A$4:$A$810),NA(),IFERROR(LOOKUP(2,1/(('Match Log'!$D$4:$D$810=$P$24)*('Match Log'!$A$4:$A$810&lt;=$J398)),'Match Log'!$N$4:$N$810),NA()))</f>
        <v>#N/A</v>
      </c>
      <c r="Q398" t="e">
        <f>IF($J398&gt;MAX('Match Log'!$A$4:$A$810),NA(),IFERROR(LOOKUP(2,1/(('Match Log'!$D$4:$D$810=$Q$24)*('Match Log'!$A$4:$A$810&lt;=$J398)),'Match Log'!$N$4:$N$810),NA()))</f>
        <v>#N/A</v>
      </c>
      <c r="R398" t="e">
        <f>IF($J398&gt;MAX('Match Log'!$A$4:$A$810),NA(),IFERROR(LOOKUP(2,1/(('Match Log'!$D$4:$D$810=$R$24)*('Match Log'!$A$4:$A$810&lt;=$J398)),'Match Log'!$N$4:$N$810),NA()))</f>
        <v>#N/A</v>
      </c>
      <c r="S398" t="e">
        <f>IF($J398&gt;MAX('Match Log'!$A$4:$A$810),NA(),IFERROR(LOOKUP(2,1/(('Match Log'!$D$4:$D$810=$S$24)*('Match Log'!$A$4:$A$810&lt;=$J398)),'Match Log'!$N$4:$N$810),NA()))</f>
        <v>#N/A</v>
      </c>
      <c r="T398" t="e">
        <f>IF($J398&gt;MAX('Match Log'!$A$4:$A$810),NA(),IFERROR(LOOKUP(2,1/(('Match Log'!$D$4:$D$810=$T$24)*('Match Log'!$A$4:$A$810&lt;=$J398)),'Match Log'!$N$4:$N$810),NA()))</f>
        <v>#N/A</v>
      </c>
      <c r="U398" t="e">
        <f>IF($J398&gt;MAX('Match Log'!$A$4:$A$810),NA(),IFERROR(LOOKUP(2,1/(('Match Log'!$D$4:$D$810=$U$24)*('Match Log'!$A$4:$A$810&lt;=$J398)),'Match Log'!$N$4:$N$810),NA()))</f>
        <v>#N/A</v>
      </c>
      <c r="V398" t="e">
        <f>IF($J398&gt;MAX('Match Log'!$A$4:$A$810),NA(),IFERROR(LOOKUP(2,1/(('Match Log'!$D$4:$D$810=$V$24)*('Match Log'!$A$4:$A$810&lt;=$J398)),'Match Log'!$N$4:$N$810),NA()))</f>
        <v>#N/A</v>
      </c>
      <c r="W398" t="e">
        <f>IF($J398&gt;MAX('Match Log'!$A$4:$A$810),NA(),IFERROR(LOOKUP(2,1/(('Match Log'!$D$4:$D$810=$W$24)*('Match Log'!$A$4:$A$810&lt;=$J398)),'Match Log'!$N$4:$N$810),NA()))</f>
        <v>#N/A</v>
      </c>
      <c r="X398" t="e">
        <f>IF($J398&gt;MAX('Match Log'!$A$4:$A$810),NA(),IFERROR(LOOKUP(2,1/(('Match Log'!$D$4:$D$810=$X$24)*('Match Log'!$A$4:$A$810&lt;=$J398)),'Match Log'!$N$4:$N$810),NA()))</f>
        <v>#N/A</v>
      </c>
      <c r="Y398" t="str">
        <f t="shared" ca="1" si="39"/>
        <v/>
      </c>
    </row>
    <row r="399" spans="1:25" x14ac:dyDescent="0.2">
      <c r="A399">
        <v>375</v>
      </c>
      <c r="B399" t="str">
        <f>IFERROR(INDEX('Match Log'!$B$4:$B$810,MATCH(375,'Match Log'!$A$4:$A$810,0)),"")</f>
        <v/>
      </c>
      <c r="C399" t="str">
        <f>IFERROR(INDEX('Match Log'!$C$4:$C$810,MATCH(375,'Match Log'!$A$4:$A$810,0)),"")</f>
        <v/>
      </c>
      <c r="D399" t="str">
        <f t="array" ref="D399">IFERROR(_xlfn.TEXTJOIN(" + ",TRUE,IF(('Match Log'!$A$4:$A$810=$A399)*('Match Log'!$E$4:$E$810="Win"),'Match Log'!$D$4:$D$810,"")),IFERROR(LOOKUP(2,1/(('Match Log'!$A$4:$A$810=$A399)*('Match Log'!$E$4:$E$810="Win")),'Match Log'!$D$4:$D$810),""))</f>
        <v/>
      </c>
      <c r="E399" t="str">
        <f>IFERROR(INDEX('Match Log'!$F$4:$F$810,MATCH(375,'Match Log'!$A$4:$A$810,0)),"")</f>
        <v/>
      </c>
      <c r="F399">
        <f>IFERROR(SUMIFS('Match Log'!$I$4:$I$810,'Match Log'!$A$4:$A$810,375,'Match Log'!$E$4:$E$810,"Win"),"")</f>
        <v>0</v>
      </c>
      <c r="G399" t="str">
        <f t="shared" si="37"/>
        <v/>
      </c>
      <c r="H399" t="str">
        <f t="array" ref="H399">IFERROR(IF(COUNTIFS('Match Log'!$A$4:$A$810,$A399,'Match Log'!$E$4:$E$810,"Win")&gt;1,_xlfn.TEXTJOIN(" + ",TRUE,IF(('Match Log'!$A$4:$A$810=$A399)*('Match Log'!$E$4:$E$810="Loss"),'Match Log'!$D$4:$D$810,"")),IF($E399=2,LOOKUP(2,1/(('Match Log'!$A$4:$A$810=$A399)*('Match Log'!$E$4:$E$810="Loss")),'Match Log'!$D$4:$D$810),"the field")),"")</f>
        <v>the field</v>
      </c>
      <c r="I399" t="str">
        <f t="shared" si="38"/>
        <v/>
      </c>
      <c r="J399">
        <v>375</v>
      </c>
      <c r="K399" t="e">
        <f>IF($J399&gt;MAX('Match Log'!$A$4:$A$810),NA(),IFERROR(LOOKUP(2,1/(('Match Log'!$D$4:$D$810=$K$24)*('Match Log'!$A$4:$A$810&lt;=$J399)),'Match Log'!$N$4:$N$810),NA()))</f>
        <v>#N/A</v>
      </c>
      <c r="L399" t="e">
        <f>IF($J399&gt;MAX('Match Log'!$A$4:$A$810),NA(),IFERROR(LOOKUP(2,1/(('Match Log'!$D$4:$D$810=$L$24)*('Match Log'!$A$4:$A$810&lt;=$J399)),'Match Log'!$N$4:$N$810),NA()))</f>
        <v>#N/A</v>
      </c>
      <c r="M399" t="e">
        <f>IF($J399&gt;MAX('Match Log'!$A$4:$A$810),NA(),IFERROR(LOOKUP(2,1/(('Match Log'!$D$4:$D$810=$M$24)*('Match Log'!$A$4:$A$810&lt;=$J399)),'Match Log'!$N$4:$N$810),NA()))</f>
        <v>#N/A</v>
      </c>
      <c r="N399" t="e">
        <f>IF($J399&gt;MAX('Match Log'!$A$4:$A$810),NA(),IFERROR(LOOKUP(2,1/(('Match Log'!$D$4:$D$810=$N$24)*('Match Log'!$A$4:$A$810&lt;=$J399)),'Match Log'!$N$4:$N$810),NA()))</f>
        <v>#N/A</v>
      </c>
      <c r="O399" t="e">
        <f>IF($J399&gt;MAX('Match Log'!$A$4:$A$810),NA(),IFERROR(LOOKUP(2,1/(('Match Log'!$D$4:$D$810=$O$24)*('Match Log'!$A$4:$A$810&lt;=$J399)),'Match Log'!$N$4:$N$810),NA()))</f>
        <v>#N/A</v>
      </c>
      <c r="P399" t="e">
        <f>IF($J399&gt;MAX('Match Log'!$A$4:$A$810),NA(),IFERROR(LOOKUP(2,1/(('Match Log'!$D$4:$D$810=$P$24)*('Match Log'!$A$4:$A$810&lt;=$J399)),'Match Log'!$N$4:$N$810),NA()))</f>
        <v>#N/A</v>
      </c>
      <c r="Q399" t="e">
        <f>IF($J399&gt;MAX('Match Log'!$A$4:$A$810),NA(),IFERROR(LOOKUP(2,1/(('Match Log'!$D$4:$D$810=$Q$24)*('Match Log'!$A$4:$A$810&lt;=$J399)),'Match Log'!$N$4:$N$810),NA()))</f>
        <v>#N/A</v>
      </c>
      <c r="R399" t="e">
        <f>IF($J399&gt;MAX('Match Log'!$A$4:$A$810),NA(),IFERROR(LOOKUP(2,1/(('Match Log'!$D$4:$D$810=$R$24)*('Match Log'!$A$4:$A$810&lt;=$J399)),'Match Log'!$N$4:$N$810),NA()))</f>
        <v>#N/A</v>
      </c>
      <c r="S399" t="e">
        <f>IF($J399&gt;MAX('Match Log'!$A$4:$A$810),NA(),IFERROR(LOOKUP(2,1/(('Match Log'!$D$4:$D$810=$S$24)*('Match Log'!$A$4:$A$810&lt;=$J399)),'Match Log'!$N$4:$N$810),NA()))</f>
        <v>#N/A</v>
      </c>
      <c r="T399" t="e">
        <f>IF($J399&gt;MAX('Match Log'!$A$4:$A$810),NA(),IFERROR(LOOKUP(2,1/(('Match Log'!$D$4:$D$810=$T$24)*('Match Log'!$A$4:$A$810&lt;=$J399)),'Match Log'!$N$4:$N$810),NA()))</f>
        <v>#N/A</v>
      </c>
      <c r="U399" t="e">
        <f>IF($J399&gt;MAX('Match Log'!$A$4:$A$810),NA(),IFERROR(LOOKUP(2,1/(('Match Log'!$D$4:$D$810=$U$24)*('Match Log'!$A$4:$A$810&lt;=$J399)),'Match Log'!$N$4:$N$810),NA()))</f>
        <v>#N/A</v>
      </c>
      <c r="V399" t="e">
        <f>IF($J399&gt;MAX('Match Log'!$A$4:$A$810),NA(),IFERROR(LOOKUP(2,1/(('Match Log'!$D$4:$D$810=$V$24)*('Match Log'!$A$4:$A$810&lt;=$J399)),'Match Log'!$N$4:$N$810),NA()))</f>
        <v>#N/A</v>
      </c>
      <c r="W399" t="e">
        <f>IF($J399&gt;MAX('Match Log'!$A$4:$A$810),NA(),IFERROR(LOOKUP(2,1/(('Match Log'!$D$4:$D$810=$W$24)*('Match Log'!$A$4:$A$810&lt;=$J399)),'Match Log'!$N$4:$N$810),NA()))</f>
        <v>#N/A</v>
      </c>
      <c r="X399" t="e">
        <f>IF($J399&gt;MAX('Match Log'!$A$4:$A$810),NA(),IFERROR(LOOKUP(2,1/(('Match Log'!$D$4:$D$810=$X$24)*('Match Log'!$A$4:$A$810&lt;=$J399)),'Match Log'!$N$4:$N$810),NA()))</f>
        <v>#N/A</v>
      </c>
      <c r="Y399" t="str">
        <f t="shared" ca="1" si="39"/>
        <v/>
      </c>
    </row>
    <row r="400" spans="1:25" x14ac:dyDescent="0.2">
      <c r="A400">
        <v>376</v>
      </c>
      <c r="B400" t="str">
        <f>IFERROR(INDEX('Match Log'!$B$4:$B$810,MATCH(376,'Match Log'!$A$4:$A$810,0)),"")</f>
        <v/>
      </c>
      <c r="C400" t="str">
        <f>IFERROR(INDEX('Match Log'!$C$4:$C$810,MATCH(376,'Match Log'!$A$4:$A$810,0)),"")</f>
        <v/>
      </c>
      <c r="D400" t="str">
        <f t="array" ref="D400">IFERROR(_xlfn.TEXTJOIN(" + ",TRUE,IF(('Match Log'!$A$4:$A$810=$A400)*('Match Log'!$E$4:$E$810="Win"),'Match Log'!$D$4:$D$810,"")),IFERROR(LOOKUP(2,1/(('Match Log'!$A$4:$A$810=$A400)*('Match Log'!$E$4:$E$810="Win")),'Match Log'!$D$4:$D$810),""))</f>
        <v/>
      </c>
      <c r="E400" t="str">
        <f>IFERROR(INDEX('Match Log'!$F$4:$F$810,MATCH(376,'Match Log'!$A$4:$A$810,0)),"")</f>
        <v/>
      </c>
      <c r="F400">
        <f>IFERROR(SUMIFS('Match Log'!$I$4:$I$810,'Match Log'!$A$4:$A$810,376,'Match Log'!$E$4:$E$810,"Win"),"")</f>
        <v>0</v>
      </c>
      <c r="G400" t="str">
        <f t="shared" si="37"/>
        <v/>
      </c>
      <c r="H400" t="str">
        <f t="array" ref="H400">IFERROR(IF(COUNTIFS('Match Log'!$A$4:$A$810,$A400,'Match Log'!$E$4:$E$810,"Win")&gt;1,_xlfn.TEXTJOIN(" + ",TRUE,IF(('Match Log'!$A$4:$A$810=$A400)*('Match Log'!$E$4:$E$810="Loss"),'Match Log'!$D$4:$D$810,"")),IF($E400=2,LOOKUP(2,1/(('Match Log'!$A$4:$A$810=$A400)*('Match Log'!$E$4:$E$810="Loss")),'Match Log'!$D$4:$D$810),"the field")),"")</f>
        <v>the field</v>
      </c>
      <c r="I400" t="str">
        <f t="shared" si="38"/>
        <v/>
      </c>
      <c r="J400">
        <v>376</v>
      </c>
      <c r="K400" t="e">
        <f>IF($J400&gt;MAX('Match Log'!$A$4:$A$810),NA(),IFERROR(LOOKUP(2,1/(('Match Log'!$D$4:$D$810=$K$24)*('Match Log'!$A$4:$A$810&lt;=$J400)),'Match Log'!$N$4:$N$810),NA()))</f>
        <v>#N/A</v>
      </c>
      <c r="L400" t="e">
        <f>IF($J400&gt;MAX('Match Log'!$A$4:$A$810),NA(),IFERROR(LOOKUP(2,1/(('Match Log'!$D$4:$D$810=$L$24)*('Match Log'!$A$4:$A$810&lt;=$J400)),'Match Log'!$N$4:$N$810),NA()))</f>
        <v>#N/A</v>
      </c>
      <c r="M400" t="e">
        <f>IF($J400&gt;MAX('Match Log'!$A$4:$A$810),NA(),IFERROR(LOOKUP(2,1/(('Match Log'!$D$4:$D$810=$M$24)*('Match Log'!$A$4:$A$810&lt;=$J400)),'Match Log'!$N$4:$N$810),NA()))</f>
        <v>#N/A</v>
      </c>
      <c r="N400" t="e">
        <f>IF($J400&gt;MAX('Match Log'!$A$4:$A$810),NA(),IFERROR(LOOKUP(2,1/(('Match Log'!$D$4:$D$810=$N$24)*('Match Log'!$A$4:$A$810&lt;=$J400)),'Match Log'!$N$4:$N$810),NA()))</f>
        <v>#N/A</v>
      </c>
      <c r="O400" t="e">
        <f>IF($J400&gt;MAX('Match Log'!$A$4:$A$810),NA(),IFERROR(LOOKUP(2,1/(('Match Log'!$D$4:$D$810=$O$24)*('Match Log'!$A$4:$A$810&lt;=$J400)),'Match Log'!$N$4:$N$810),NA()))</f>
        <v>#N/A</v>
      </c>
      <c r="P400" t="e">
        <f>IF($J400&gt;MAX('Match Log'!$A$4:$A$810),NA(),IFERROR(LOOKUP(2,1/(('Match Log'!$D$4:$D$810=$P$24)*('Match Log'!$A$4:$A$810&lt;=$J400)),'Match Log'!$N$4:$N$810),NA()))</f>
        <v>#N/A</v>
      </c>
      <c r="Q400" t="e">
        <f>IF($J400&gt;MAX('Match Log'!$A$4:$A$810),NA(),IFERROR(LOOKUP(2,1/(('Match Log'!$D$4:$D$810=$Q$24)*('Match Log'!$A$4:$A$810&lt;=$J400)),'Match Log'!$N$4:$N$810),NA()))</f>
        <v>#N/A</v>
      </c>
      <c r="R400" t="e">
        <f>IF($J400&gt;MAX('Match Log'!$A$4:$A$810),NA(),IFERROR(LOOKUP(2,1/(('Match Log'!$D$4:$D$810=$R$24)*('Match Log'!$A$4:$A$810&lt;=$J400)),'Match Log'!$N$4:$N$810),NA()))</f>
        <v>#N/A</v>
      </c>
      <c r="S400" t="e">
        <f>IF($J400&gt;MAX('Match Log'!$A$4:$A$810),NA(),IFERROR(LOOKUP(2,1/(('Match Log'!$D$4:$D$810=$S$24)*('Match Log'!$A$4:$A$810&lt;=$J400)),'Match Log'!$N$4:$N$810),NA()))</f>
        <v>#N/A</v>
      </c>
      <c r="T400" t="e">
        <f>IF($J400&gt;MAX('Match Log'!$A$4:$A$810),NA(),IFERROR(LOOKUP(2,1/(('Match Log'!$D$4:$D$810=$T$24)*('Match Log'!$A$4:$A$810&lt;=$J400)),'Match Log'!$N$4:$N$810),NA()))</f>
        <v>#N/A</v>
      </c>
      <c r="U400" t="e">
        <f>IF($J400&gt;MAX('Match Log'!$A$4:$A$810),NA(),IFERROR(LOOKUP(2,1/(('Match Log'!$D$4:$D$810=$U$24)*('Match Log'!$A$4:$A$810&lt;=$J400)),'Match Log'!$N$4:$N$810),NA()))</f>
        <v>#N/A</v>
      </c>
      <c r="V400" t="e">
        <f>IF($J400&gt;MAX('Match Log'!$A$4:$A$810),NA(),IFERROR(LOOKUP(2,1/(('Match Log'!$D$4:$D$810=$V$24)*('Match Log'!$A$4:$A$810&lt;=$J400)),'Match Log'!$N$4:$N$810),NA()))</f>
        <v>#N/A</v>
      </c>
      <c r="W400" t="e">
        <f>IF($J400&gt;MAX('Match Log'!$A$4:$A$810),NA(),IFERROR(LOOKUP(2,1/(('Match Log'!$D$4:$D$810=$W$24)*('Match Log'!$A$4:$A$810&lt;=$J400)),'Match Log'!$N$4:$N$810),NA()))</f>
        <v>#N/A</v>
      </c>
      <c r="X400" t="e">
        <f>IF($J400&gt;MAX('Match Log'!$A$4:$A$810),NA(),IFERROR(LOOKUP(2,1/(('Match Log'!$D$4:$D$810=$X$24)*('Match Log'!$A$4:$A$810&lt;=$J400)),'Match Log'!$N$4:$N$810),NA()))</f>
        <v>#N/A</v>
      </c>
      <c r="Y400" t="str">
        <f t="shared" ca="1" si="39"/>
        <v/>
      </c>
    </row>
    <row r="401" spans="1:25" x14ac:dyDescent="0.2">
      <c r="A401">
        <v>377</v>
      </c>
      <c r="B401" t="str">
        <f>IFERROR(INDEX('Match Log'!$B$4:$B$810,MATCH(377,'Match Log'!$A$4:$A$810,0)),"")</f>
        <v/>
      </c>
      <c r="C401" t="str">
        <f>IFERROR(INDEX('Match Log'!$C$4:$C$810,MATCH(377,'Match Log'!$A$4:$A$810,0)),"")</f>
        <v/>
      </c>
      <c r="D401" t="str">
        <f t="array" ref="D401">IFERROR(_xlfn.TEXTJOIN(" + ",TRUE,IF(('Match Log'!$A$4:$A$810=$A401)*('Match Log'!$E$4:$E$810="Win"),'Match Log'!$D$4:$D$810,"")),IFERROR(LOOKUP(2,1/(('Match Log'!$A$4:$A$810=$A401)*('Match Log'!$E$4:$E$810="Win")),'Match Log'!$D$4:$D$810),""))</f>
        <v/>
      </c>
      <c r="E401" t="str">
        <f>IFERROR(INDEX('Match Log'!$F$4:$F$810,MATCH(377,'Match Log'!$A$4:$A$810,0)),"")</f>
        <v/>
      </c>
      <c r="F401">
        <f>IFERROR(SUMIFS('Match Log'!$I$4:$I$810,'Match Log'!$A$4:$A$810,377,'Match Log'!$E$4:$E$810,"Win"),"")</f>
        <v>0</v>
      </c>
      <c r="G401" t="str">
        <f t="shared" ref="G401:G444" si="40">IF($D401="","",1-$F401*$E401)</f>
        <v/>
      </c>
      <c r="H401" t="str">
        <f t="array" ref="H401">IFERROR(IF(COUNTIFS('Match Log'!$A$4:$A$810,$A401,'Match Log'!$E$4:$E$810,"Win")&gt;1,_xlfn.TEXTJOIN(" + ",TRUE,IF(('Match Log'!$A$4:$A$810=$A401)*('Match Log'!$E$4:$E$810="Loss"),'Match Log'!$D$4:$D$810,"")),IF($E401=2,LOOKUP(2,1/(('Match Log'!$A$4:$A$810=$A401)*('Match Log'!$E$4:$E$810="Loss")),'Match Log'!$D$4:$D$810),"the field")),"")</f>
        <v>the field</v>
      </c>
      <c r="I401" t="str">
        <f t="shared" ref="I401:I444" si="41">IF($G401="","",$G401-$A401/1000000)</f>
        <v/>
      </c>
      <c r="J401">
        <v>377</v>
      </c>
      <c r="K401" t="e">
        <f>IF($J401&gt;MAX('Match Log'!$A$4:$A$810),NA(),IFERROR(LOOKUP(2,1/(('Match Log'!$D$4:$D$810=$K$24)*('Match Log'!$A$4:$A$810&lt;=$J401)),'Match Log'!$N$4:$N$810),NA()))</f>
        <v>#N/A</v>
      </c>
      <c r="L401" t="e">
        <f>IF($J401&gt;MAX('Match Log'!$A$4:$A$810),NA(),IFERROR(LOOKUP(2,1/(('Match Log'!$D$4:$D$810=$L$24)*('Match Log'!$A$4:$A$810&lt;=$J401)),'Match Log'!$N$4:$N$810),NA()))</f>
        <v>#N/A</v>
      </c>
      <c r="M401" t="e">
        <f>IF($J401&gt;MAX('Match Log'!$A$4:$A$810),NA(),IFERROR(LOOKUP(2,1/(('Match Log'!$D$4:$D$810=$M$24)*('Match Log'!$A$4:$A$810&lt;=$J401)),'Match Log'!$N$4:$N$810),NA()))</f>
        <v>#N/A</v>
      </c>
      <c r="N401" t="e">
        <f>IF($J401&gt;MAX('Match Log'!$A$4:$A$810),NA(),IFERROR(LOOKUP(2,1/(('Match Log'!$D$4:$D$810=$N$24)*('Match Log'!$A$4:$A$810&lt;=$J401)),'Match Log'!$N$4:$N$810),NA()))</f>
        <v>#N/A</v>
      </c>
      <c r="O401" t="e">
        <f>IF($J401&gt;MAX('Match Log'!$A$4:$A$810),NA(),IFERROR(LOOKUP(2,1/(('Match Log'!$D$4:$D$810=$O$24)*('Match Log'!$A$4:$A$810&lt;=$J401)),'Match Log'!$N$4:$N$810),NA()))</f>
        <v>#N/A</v>
      </c>
      <c r="P401" t="e">
        <f>IF($J401&gt;MAX('Match Log'!$A$4:$A$810),NA(),IFERROR(LOOKUP(2,1/(('Match Log'!$D$4:$D$810=$P$24)*('Match Log'!$A$4:$A$810&lt;=$J401)),'Match Log'!$N$4:$N$810),NA()))</f>
        <v>#N/A</v>
      </c>
      <c r="Q401" t="e">
        <f>IF($J401&gt;MAX('Match Log'!$A$4:$A$810),NA(),IFERROR(LOOKUP(2,1/(('Match Log'!$D$4:$D$810=$Q$24)*('Match Log'!$A$4:$A$810&lt;=$J401)),'Match Log'!$N$4:$N$810),NA()))</f>
        <v>#N/A</v>
      </c>
      <c r="R401" t="e">
        <f>IF($J401&gt;MAX('Match Log'!$A$4:$A$810),NA(),IFERROR(LOOKUP(2,1/(('Match Log'!$D$4:$D$810=$R$24)*('Match Log'!$A$4:$A$810&lt;=$J401)),'Match Log'!$N$4:$N$810),NA()))</f>
        <v>#N/A</v>
      </c>
      <c r="S401" t="e">
        <f>IF($J401&gt;MAX('Match Log'!$A$4:$A$810),NA(),IFERROR(LOOKUP(2,1/(('Match Log'!$D$4:$D$810=$S$24)*('Match Log'!$A$4:$A$810&lt;=$J401)),'Match Log'!$N$4:$N$810),NA()))</f>
        <v>#N/A</v>
      </c>
      <c r="T401" t="e">
        <f>IF($J401&gt;MAX('Match Log'!$A$4:$A$810),NA(),IFERROR(LOOKUP(2,1/(('Match Log'!$D$4:$D$810=$T$24)*('Match Log'!$A$4:$A$810&lt;=$J401)),'Match Log'!$N$4:$N$810),NA()))</f>
        <v>#N/A</v>
      </c>
      <c r="U401" t="e">
        <f>IF($J401&gt;MAX('Match Log'!$A$4:$A$810),NA(),IFERROR(LOOKUP(2,1/(('Match Log'!$D$4:$D$810=$U$24)*('Match Log'!$A$4:$A$810&lt;=$J401)),'Match Log'!$N$4:$N$810),NA()))</f>
        <v>#N/A</v>
      </c>
      <c r="V401" t="e">
        <f>IF($J401&gt;MAX('Match Log'!$A$4:$A$810),NA(),IFERROR(LOOKUP(2,1/(('Match Log'!$D$4:$D$810=$V$24)*('Match Log'!$A$4:$A$810&lt;=$J401)),'Match Log'!$N$4:$N$810),NA()))</f>
        <v>#N/A</v>
      </c>
      <c r="W401" t="e">
        <f>IF($J401&gt;MAX('Match Log'!$A$4:$A$810),NA(),IFERROR(LOOKUP(2,1/(('Match Log'!$D$4:$D$810=$W$24)*('Match Log'!$A$4:$A$810&lt;=$J401)),'Match Log'!$N$4:$N$810),NA()))</f>
        <v>#N/A</v>
      </c>
      <c r="X401" t="e">
        <f>IF($J401&gt;MAX('Match Log'!$A$4:$A$810),NA(),IFERROR(LOOKUP(2,1/(('Match Log'!$D$4:$D$810=$X$24)*('Match Log'!$A$4:$A$810&lt;=$J401)),'Match Log'!$N$4:$N$810),NA()))</f>
        <v>#N/A</v>
      </c>
      <c r="Y401" t="str">
        <f t="shared" ref="Y401:Y444" ca="1" si="42">IF(AND($B401&lt;&gt;"",$B401&gt;=$B$5,$I401&lt;&gt;""),$I401,"")</f>
        <v/>
      </c>
    </row>
    <row r="402" spans="1:25" x14ac:dyDescent="0.2">
      <c r="A402">
        <v>378</v>
      </c>
      <c r="B402" t="str">
        <f>IFERROR(INDEX('Match Log'!$B$4:$B$810,MATCH(378,'Match Log'!$A$4:$A$810,0)),"")</f>
        <v/>
      </c>
      <c r="C402" t="str">
        <f>IFERROR(INDEX('Match Log'!$C$4:$C$810,MATCH(378,'Match Log'!$A$4:$A$810,0)),"")</f>
        <v/>
      </c>
      <c r="D402" t="str">
        <f t="array" ref="D402">IFERROR(_xlfn.TEXTJOIN(" + ",TRUE,IF(('Match Log'!$A$4:$A$810=$A402)*('Match Log'!$E$4:$E$810="Win"),'Match Log'!$D$4:$D$810,"")),IFERROR(LOOKUP(2,1/(('Match Log'!$A$4:$A$810=$A402)*('Match Log'!$E$4:$E$810="Win")),'Match Log'!$D$4:$D$810),""))</f>
        <v/>
      </c>
      <c r="E402" t="str">
        <f>IFERROR(INDEX('Match Log'!$F$4:$F$810,MATCH(378,'Match Log'!$A$4:$A$810,0)),"")</f>
        <v/>
      </c>
      <c r="F402">
        <f>IFERROR(SUMIFS('Match Log'!$I$4:$I$810,'Match Log'!$A$4:$A$810,378,'Match Log'!$E$4:$E$810,"Win"),"")</f>
        <v>0</v>
      </c>
      <c r="G402" t="str">
        <f t="shared" si="40"/>
        <v/>
      </c>
      <c r="H402" t="str">
        <f t="array" ref="H402">IFERROR(IF(COUNTIFS('Match Log'!$A$4:$A$810,$A402,'Match Log'!$E$4:$E$810,"Win")&gt;1,_xlfn.TEXTJOIN(" + ",TRUE,IF(('Match Log'!$A$4:$A$810=$A402)*('Match Log'!$E$4:$E$810="Loss"),'Match Log'!$D$4:$D$810,"")),IF($E402=2,LOOKUP(2,1/(('Match Log'!$A$4:$A$810=$A402)*('Match Log'!$E$4:$E$810="Loss")),'Match Log'!$D$4:$D$810),"the field")),"")</f>
        <v>the field</v>
      </c>
      <c r="I402" t="str">
        <f t="shared" si="41"/>
        <v/>
      </c>
      <c r="J402">
        <v>378</v>
      </c>
      <c r="K402" t="e">
        <f>IF($J402&gt;MAX('Match Log'!$A$4:$A$810),NA(),IFERROR(LOOKUP(2,1/(('Match Log'!$D$4:$D$810=$K$24)*('Match Log'!$A$4:$A$810&lt;=$J402)),'Match Log'!$N$4:$N$810),NA()))</f>
        <v>#N/A</v>
      </c>
      <c r="L402" t="e">
        <f>IF($J402&gt;MAX('Match Log'!$A$4:$A$810),NA(),IFERROR(LOOKUP(2,1/(('Match Log'!$D$4:$D$810=$L$24)*('Match Log'!$A$4:$A$810&lt;=$J402)),'Match Log'!$N$4:$N$810),NA()))</f>
        <v>#N/A</v>
      </c>
      <c r="M402" t="e">
        <f>IF($J402&gt;MAX('Match Log'!$A$4:$A$810),NA(),IFERROR(LOOKUP(2,1/(('Match Log'!$D$4:$D$810=$M$24)*('Match Log'!$A$4:$A$810&lt;=$J402)),'Match Log'!$N$4:$N$810),NA()))</f>
        <v>#N/A</v>
      </c>
      <c r="N402" t="e">
        <f>IF($J402&gt;MAX('Match Log'!$A$4:$A$810),NA(),IFERROR(LOOKUP(2,1/(('Match Log'!$D$4:$D$810=$N$24)*('Match Log'!$A$4:$A$810&lt;=$J402)),'Match Log'!$N$4:$N$810),NA()))</f>
        <v>#N/A</v>
      </c>
      <c r="O402" t="e">
        <f>IF($J402&gt;MAX('Match Log'!$A$4:$A$810),NA(),IFERROR(LOOKUP(2,1/(('Match Log'!$D$4:$D$810=$O$24)*('Match Log'!$A$4:$A$810&lt;=$J402)),'Match Log'!$N$4:$N$810),NA()))</f>
        <v>#N/A</v>
      </c>
      <c r="P402" t="e">
        <f>IF($J402&gt;MAX('Match Log'!$A$4:$A$810),NA(),IFERROR(LOOKUP(2,1/(('Match Log'!$D$4:$D$810=$P$24)*('Match Log'!$A$4:$A$810&lt;=$J402)),'Match Log'!$N$4:$N$810),NA()))</f>
        <v>#N/A</v>
      </c>
      <c r="Q402" t="e">
        <f>IF($J402&gt;MAX('Match Log'!$A$4:$A$810),NA(),IFERROR(LOOKUP(2,1/(('Match Log'!$D$4:$D$810=$Q$24)*('Match Log'!$A$4:$A$810&lt;=$J402)),'Match Log'!$N$4:$N$810),NA()))</f>
        <v>#N/A</v>
      </c>
      <c r="R402" t="e">
        <f>IF($J402&gt;MAX('Match Log'!$A$4:$A$810),NA(),IFERROR(LOOKUP(2,1/(('Match Log'!$D$4:$D$810=$R$24)*('Match Log'!$A$4:$A$810&lt;=$J402)),'Match Log'!$N$4:$N$810),NA()))</f>
        <v>#N/A</v>
      </c>
      <c r="S402" t="e">
        <f>IF($J402&gt;MAX('Match Log'!$A$4:$A$810),NA(),IFERROR(LOOKUP(2,1/(('Match Log'!$D$4:$D$810=$S$24)*('Match Log'!$A$4:$A$810&lt;=$J402)),'Match Log'!$N$4:$N$810),NA()))</f>
        <v>#N/A</v>
      </c>
      <c r="T402" t="e">
        <f>IF($J402&gt;MAX('Match Log'!$A$4:$A$810),NA(),IFERROR(LOOKUP(2,1/(('Match Log'!$D$4:$D$810=$T$24)*('Match Log'!$A$4:$A$810&lt;=$J402)),'Match Log'!$N$4:$N$810),NA()))</f>
        <v>#N/A</v>
      </c>
      <c r="U402" t="e">
        <f>IF($J402&gt;MAX('Match Log'!$A$4:$A$810),NA(),IFERROR(LOOKUP(2,1/(('Match Log'!$D$4:$D$810=$U$24)*('Match Log'!$A$4:$A$810&lt;=$J402)),'Match Log'!$N$4:$N$810),NA()))</f>
        <v>#N/A</v>
      </c>
      <c r="V402" t="e">
        <f>IF($J402&gt;MAX('Match Log'!$A$4:$A$810),NA(),IFERROR(LOOKUP(2,1/(('Match Log'!$D$4:$D$810=$V$24)*('Match Log'!$A$4:$A$810&lt;=$J402)),'Match Log'!$N$4:$N$810),NA()))</f>
        <v>#N/A</v>
      </c>
      <c r="W402" t="e">
        <f>IF($J402&gt;MAX('Match Log'!$A$4:$A$810),NA(),IFERROR(LOOKUP(2,1/(('Match Log'!$D$4:$D$810=$W$24)*('Match Log'!$A$4:$A$810&lt;=$J402)),'Match Log'!$N$4:$N$810),NA()))</f>
        <v>#N/A</v>
      </c>
      <c r="X402" t="e">
        <f>IF($J402&gt;MAX('Match Log'!$A$4:$A$810),NA(),IFERROR(LOOKUP(2,1/(('Match Log'!$D$4:$D$810=$X$24)*('Match Log'!$A$4:$A$810&lt;=$J402)),'Match Log'!$N$4:$N$810),NA()))</f>
        <v>#N/A</v>
      </c>
      <c r="Y402" t="str">
        <f t="shared" ca="1" si="42"/>
        <v/>
      </c>
    </row>
    <row r="403" spans="1:25" x14ac:dyDescent="0.2">
      <c r="A403">
        <v>379</v>
      </c>
      <c r="B403" t="str">
        <f>IFERROR(INDEX('Match Log'!$B$4:$B$810,MATCH(379,'Match Log'!$A$4:$A$810,0)),"")</f>
        <v/>
      </c>
      <c r="C403" t="str">
        <f>IFERROR(INDEX('Match Log'!$C$4:$C$810,MATCH(379,'Match Log'!$A$4:$A$810,0)),"")</f>
        <v/>
      </c>
      <c r="D403" t="str">
        <f t="array" ref="D403">IFERROR(_xlfn.TEXTJOIN(" + ",TRUE,IF(('Match Log'!$A$4:$A$810=$A403)*('Match Log'!$E$4:$E$810="Win"),'Match Log'!$D$4:$D$810,"")),IFERROR(LOOKUP(2,1/(('Match Log'!$A$4:$A$810=$A403)*('Match Log'!$E$4:$E$810="Win")),'Match Log'!$D$4:$D$810),""))</f>
        <v/>
      </c>
      <c r="E403" t="str">
        <f>IFERROR(INDEX('Match Log'!$F$4:$F$810,MATCH(379,'Match Log'!$A$4:$A$810,0)),"")</f>
        <v/>
      </c>
      <c r="F403">
        <f>IFERROR(SUMIFS('Match Log'!$I$4:$I$810,'Match Log'!$A$4:$A$810,379,'Match Log'!$E$4:$E$810,"Win"),"")</f>
        <v>0</v>
      </c>
      <c r="G403" t="str">
        <f t="shared" si="40"/>
        <v/>
      </c>
      <c r="H403" t="str">
        <f t="array" ref="H403">IFERROR(IF(COUNTIFS('Match Log'!$A$4:$A$810,$A403,'Match Log'!$E$4:$E$810,"Win")&gt;1,_xlfn.TEXTJOIN(" + ",TRUE,IF(('Match Log'!$A$4:$A$810=$A403)*('Match Log'!$E$4:$E$810="Loss"),'Match Log'!$D$4:$D$810,"")),IF($E403=2,LOOKUP(2,1/(('Match Log'!$A$4:$A$810=$A403)*('Match Log'!$E$4:$E$810="Loss")),'Match Log'!$D$4:$D$810),"the field")),"")</f>
        <v>the field</v>
      </c>
      <c r="I403" t="str">
        <f t="shared" si="41"/>
        <v/>
      </c>
      <c r="J403">
        <v>379</v>
      </c>
      <c r="K403" t="e">
        <f>IF($J403&gt;MAX('Match Log'!$A$4:$A$810),NA(),IFERROR(LOOKUP(2,1/(('Match Log'!$D$4:$D$810=$K$24)*('Match Log'!$A$4:$A$810&lt;=$J403)),'Match Log'!$N$4:$N$810),NA()))</f>
        <v>#N/A</v>
      </c>
      <c r="L403" t="e">
        <f>IF($J403&gt;MAX('Match Log'!$A$4:$A$810),NA(),IFERROR(LOOKUP(2,1/(('Match Log'!$D$4:$D$810=$L$24)*('Match Log'!$A$4:$A$810&lt;=$J403)),'Match Log'!$N$4:$N$810),NA()))</f>
        <v>#N/A</v>
      </c>
      <c r="M403" t="e">
        <f>IF($J403&gt;MAX('Match Log'!$A$4:$A$810),NA(),IFERROR(LOOKUP(2,1/(('Match Log'!$D$4:$D$810=$M$24)*('Match Log'!$A$4:$A$810&lt;=$J403)),'Match Log'!$N$4:$N$810),NA()))</f>
        <v>#N/A</v>
      </c>
      <c r="N403" t="e">
        <f>IF($J403&gt;MAX('Match Log'!$A$4:$A$810),NA(),IFERROR(LOOKUP(2,1/(('Match Log'!$D$4:$D$810=$N$24)*('Match Log'!$A$4:$A$810&lt;=$J403)),'Match Log'!$N$4:$N$810),NA()))</f>
        <v>#N/A</v>
      </c>
      <c r="O403" t="e">
        <f>IF($J403&gt;MAX('Match Log'!$A$4:$A$810),NA(),IFERROR(LOOKUP(2,1/(('Match Log'!$D$4:$D$810=$O$24)*('Match Log'!$A$4:$A$810&lt;=$J403)),'Match Log'!$N$4:$N$810),NA()))</f>
        <v>#N/A</v>
      </c>
      <c r="P403" t="e">
        <f>IF($J403&gt;MAX('Match Log'!$A$4:$A$810),NA(),IFERROR(LOOKUP(2,1/(('Match Log'!$D$4:$D$810=$P$24)*('Match Log'!$A$4:$A$810&lt;=$J403)),'Match Log'!$N$4:$N$810),NA()))</f>
        <v>#N/A</v>
      </c>
      <c r="Q403" t="e">
        <f>IF($J403&gt;MAX('Match Log'!$A$4:$A$810),NA(),IFERROR(LOOKUP(2,1/(('Match Log'!$D$4:$D$810=$Q$24)*('Match Log'!$A$4:$A$810&lt;=$J403)),'Match Log'!$N$4:$N$810),NA()))</f>
        <v>#N/A</v>
      </c>
      <c r="R403" t="e">
        <f>IF($J403&gt;MAX('Match Log'!$A$4:$A$810),NA(),IFERROR(LOOKUP(2,1/(('Match Log'!$D$4:$D$810=$R$24)*('Match Log'!$A$4:$A$810&lt;=$J403)),'Match Log'!$N$4:$N$810),NA()))</f>
        <v>#N/A</v>
      </c>
      <c r="S403" t="e">
        <f>IF($J403&gt;MAX('Match Log'!$A$4:$A$810),NA(),IFERROR(LOOKUP(2,1/(('Match Log'!$D$4:$D$810=$S$24)*('Match Log'!$A$4:$A$810&lt;=$J403)),'Match Log'!$N$4:$N$810),NA()))</f>
        <v>#N/A</v>
      </c>
      <c r="T403" t="e">
        <f>IF($J403&gt;MAX('Match Log'!$A$4:$A$810),NA(),IFERROR(LOOKUP(2,1/(('Match Log'!$D$4:$D$810=$T$24)*('Match Log'!$A$4:$A$810&lt;=$J403)),'Match Log'!$N$4:$N$810),NA()))</f>
        <v>#N/A</v>
      </c>
      <c r="U403" t="e">
        <f>IF($J403&gt;MAX('Match Log'!$A$4:$A$810),NA(),IFERROR(LOOKUP(2,1/(('Match Log'!$D$4:$D$810=$U$24)*('Match Log'!$A$4:$A$810&lt;=$J403)),'Match Log'!$N$4:$N$810),NA()))</f>
        <v>#N/A</v>
      </c>
      <c r="V403" t="e">
        <f>IF($J403&gt;MAX('Match Log'!$A$4:$A$810),NA(),IFERROR(LOOKUP(2,1/(('Match Log'!$D$4:$D$810=$V$24)*('Match Log'!$A$4:$A$810&lt;=$J403)),'Match Log'!$N$4:$N$810),NA()))</f>
        <v>#N/A</v>
      </c>
      <c r="W403" t="e">
        <f>IF($J403&gt;MAX('Match Log'!$A$4:$A$810),NA(),IFERROR(LOOKUP(2,1/(('Match Log'!$D$4:$D$810=$W$24)*('Match Log'!$A$4:$A$810&lt;=$J403)),'Match Log'!$N$4:$N$810),NA()))</f>
        <v>#N/A</v>
      </c>
      <c r="X403" t="e">
        <f>IF($J403&gt;MAX('Match Log'!$A$4:$A$810),NA(),IFERROR(LOOKUP(2,1/(('Match Log'!$D$4:$D$810=$X$24)*('Match Log'!$A$4:$A$810&lt;=$J403)),'Match Log'!$N$4:$N$810),NA()))</f>
        <v>#N/A</v>
      </c>
      <c r="Y403" t="str">
        <f t="shared" ca="1" si="42"/>
        <v/>
      </c>
    </row>
    <row r="404" spans="1:25" x14ac:dyDescent="0.2">
      <c r="A404">
        <v>380</v>
      </c>
      <c r="B404" t="str">
        <f>IFERROR(INDEX('Match Log'!$B$4:$B$810,MATCH(380,'Match Log'!$A$4:$A$810,0)),"")</f>
        <v/>
      </c>
      <c r="C404" t="str">
        <f>IFERROR(INDEX('Match Log'!$C$4:$C$810,MATCH(380,'Match Log'!$A$4:$A$810,0)),"")</f>
        <v/>
      </c>
      <c r="D404" t="str">
        <f t="array" ref="D404">IFERROR(_xlfn.TEXTJOIN(" + ",TRUE,IF(('Match Log'!$A$4:$A$810=$A404)*('Match Log'!$E$4:$E$810="Win"),'Match Log'!$D$4:$D$810,"")),IFERROR(LOOKUP(2,1/(('Match Log'!$A$4:$A$810=$A404)*('Match Log'!$E$4:$E$810="Win")),'Match Log'!$D$4:$D$810),""))</f>
        <v/>
      </c>
      <c r="E404" t="str">
        <f>IFERROR(INDEX('Match Log'!$F$4:$F$810,MATCH(380,'Match Log'!$A$4:$A$810,0)),"")</f>
        <v/>
      </c>
      <c r="F404">
        <f>IFERROR(SUMIFS('Match Log'!$I$4:$I$810,'Match Log'!$A$4:$A$810,380,'Match Log'!$E$4:$E$810,"Win"),"")</f>
        <v>0</v>
      </c>
      <c r="G404" t="str">
        <f t="shared" si="40"/>
        <v/>
      </c>
      <c r="H404" t="str">
        <f t="array" ref="H404">IFERROR(IF(COUNTIFS('Match Log'!$A$4:$A$810,$A404,'Match Log'!$E$4:$E$810,"Win")&gt;1,_xlfn.TEXTJOIN(" + ",TRUE,IF(('Match Log'!$A$4:$A$810=$A404)*('Match Log'!$E$4:$E$810="Loss"),'Match Log'!$D$4:$D$810,"")),IF($E404=2,LOOKUP(2,1/(('Match Log'!$A$4:$A$810=$A404)*('Match Log'!$E$4:$E$810="Loss")),'Match Log'!$D$4:$D$810),"the field")),"")</f>
        <v>the field</v>
      </c>
      <c r="I404" t="str">
        <f t="shared" si="41"/>
        <v/>
      </c>
      <c r="J404">
        <v>380</v>
      </c>
      <c r="K404" t="e">
        <f>IF($J404&gt;MAX('Match Log'!$A$4:$A$810),NA(),IFERROR(LOOKUP(2,1/(('Match Log'!$D$4:$D$810=$K$24)*('Match Log'!$A$4:$A$810&lt;=$J404)),'Match Log'!$N$4:$N$810),NA()))</f>
        <v>#N/A</v>
      </c>
      <c r="L404" t="e">
        <f>IF($J404&gt;MAX('Match Log'!$A$4:$A$810),NA(),IFERROR(LOOKUP(2,1/(('Match Log'!$D$4:$D$810=$L$24)*('Match Log'!$A$4:$A$810&lt;=$J404)),'Match Log'!$N$4:$N$810),NA()))</f>
        <v>#N/A</v>
      </c>
      <c r="M404" t="e">
        <f>IF($J404&gt;MAX('Match Log'!$A$4:$A$810),NA(),IFERROR(LOOKUP(2,1/(('Match Log'!$D$4:$D$810=$M$24)*('Match Log'!$A$4:$A$810&lt;=$J404)),'Match Log'!$N$4:$N$810),NA()))</f>
        <v>#N/A</v>
      </c>
      <c r="N404" t="e">
        <f>IF($J404&gt;MAX('Match Log'!$A$4:$A$810),NA(),IFERROR(LOOKUP(2,1/(('Match Log'!$D$4:$D$810=$N$24)*('Match Log'!$A$4:$A$810&lt;=$J404)),'Match Log'!$N$4:$N$810),NA()))</f>
        <v>#N/A</v>
      </c>
      <c r="O404" t="e">
        <f>IF($J404&gt;MAX('Match Log'!$A$4:$A$810),NA(),IFERROR(LOOKUP(2,1/(('Match Log'!$D$4:$D$810=$O$24)*('Match Log'!$A$4:$A$810&lt;=$J404)),'Match Log'!$N$4:$N$810),NA()))</f>
        <v>#N/A</v>
      </c>
      <c r="P404" t="e">
        <f>IF($J404&gt;MAX('Match Log'!$A$4:$A$810),NA(),IFERROR(LOOKUP(2,1/(('Match Log'!$D$4:$D$810=$P$24)*('Match Log'!$A$4:$A$810&lt;=$J404)),'Match Log'!$N$4:$N$810),NA()))</f>
        <v>#N/A</v>
      </c>
      <c r="Q404" t="e">
        <f>IF($J404&gt;MAX('Match Log'!$A$4:$A$810),NA(),IFERROR(LOOKUP(2,1/(('Match Log'!$D$4:$D$810=$Q$24)*('Match Log'!$A$4:$A$810&lt;=$J404)),'Match Log'!$N$4:$N$810),NA()))</f>
        <v>#N/A</v>
      </c>
      <c r="R404" t="e">
        <f>IF($J404&gt;MAX('Match Log'!$A$4:$A$810),NA(),IFERROR(LOOKUP(2,1/(('Match Log'!$D$4:$D$810=$R$24)*('Match Log'!$A$4:$A$810&lt;=$J404)),'Match Log'!$N$4:$N$810),NA()))</f>
        <v>#N/A</v>
      </c>
      <c r="S404" t="e">
        <f>IF($J404&gt;MAX('Match Log'!$A$4:$A$810),NA(),IFERROR(LOOKUP(2,1/(('Match Log'!$D$4:$D$810=$S$24)*('Match Log'!$A$4:$A$810&lt;=$J404)),'Match Log'!$N$4:$N$810),NA()))</f>
        <v>#N/A</v>
      </c>
      <c r="T404" t="e">
        <f>IF($J404&gt;MAX('Match Log'!$A$4:$A$810),NA(),IFERROR(LOOKUP(2,1/(('Match Log'!$D$4:$D$810=$T$24)*('Match Log'!$A$4:$A$810&lt;=$J404)),'Match Log'!$N$4:$N$810),NA()))</f>
        <v>#N/A</v>
      </c>
      <c r="U404" t="e">
        <f>IF($J404&gt;MAX('Match Log'!$A$4:$A$810),NA(),IFERROR(LOOKUP(2,1/(('Match Log'!$D$4:$D$810=$U$24)*('Match Log'!$A$4:$A$810&lt;=$J404)),'Match Log'!$N$4:$N$810),NA()))</f>
        <v>#N/A</v>
      </c>
      <c r="V404" t="e">
        <f>IF($J404&gt;MAX('Match Log'!$A$4:$A$810),NA(),IFERROR(LOOKUP(2,1/(('Match Log'!$D$4:$D$810=$V$24)*('Match Log'!$A$4:$A$810&lt;=$J404)),'Match Log'!$N$4:$N$810),NA()))</f>
        <v>#N/A</v>
      </c>
      <c r="W404" t="e">
        <f>IF($J404&gt;MAX('Match Log'!$A$4:$A$810),NA(),IFERROR(LOOKUP(2,1/(('Match Log'!$D$4:$D$810=$W$24)*('Match Log'!$A$4:$A$810&lt;=$J404)),'Match Log'!$N$4:$N$810),NA()))</f>
        <v>#N/A</v>
      </c>
      <c r="X404" t="e">
        <f>IF($J404&gt;MAX('Match Log'!$A$4:$A$810),NA(),IFERROR(LOOKUP(2,1/(('Match Log'!$D$4:$D$810=$X$24)*('Match Log'!$A$4:$A$810&lt;=$J404)),'Match Log'!$N$4:$N$810),NA()))</f>
        <v>#N/A</v>
      </c>
      <c r="Y404" t="str">
        <f t="shared" ca="1" si="42"/>
        <v/>
      </c>
    </row>
    <row r="405" spans="1:25" x14ac:dyDescent="0.2">
      <c r="A405">
        <v>381</v>
      </c>
      <c r="B405" t="str">
        <f>IFERROR(INDEX('Match Log'!$B$4:$B$810,MATCH(381,'Match Log'!$A$4:$A$810,0)),"")</f>
        <v/>
      </c>
      <c r="C405" t="str">
        <f>IFERROR(INDEX('Match Log'!$C$4:$C$810,MATCH(381,'Match Log'!$A$4:$A$810,0)),"")</f>
        <v/>
      </c>
      <c r="D405" t="str">
        <f t="array" ref="D405">IFERROR(_xlfn.TEXTJOIN(" + ",TRUE,IF(('Match Log'!$A$4:$A$810=$A405)*('Match Log'!$E$4:$E$810="Win"),'Match Log'!$D$4:$D$810,"")),IFERROR(LOOKUP(2,1/(('Match Log'!$A$4:$A$810=$A405)*('Match Log'!$E$4:$E$810="Win")),'Match Log'!$D$4:$D$810),""))</f>
        <v/>
      </c>
      <c r="E405" t="str">
        <f>IFERROR(INDEX('Match Log'!$F$4:$F$810,MATCH(381,'Match Log'!$A$4:$A$810,0)),"")</f>
        <v/>
      </c>
      <c r="F405">
        <f>IFERROR(SUMIFS('Match Log'!$I$4:$I$810,'Match Log'!$A$4:$A$810,381,'Match Log'!$E$4:$E$810,"Win"),"")</f>
        <v>0</v>
      </c>
      <c r="G405" t="str">
        <f t="shared" si="40"/>
        <v/>
      </c>
      <c r="H405" t="str">
        <f t="array" ref="H405">IFERROR(IF(COUNTIFS('Match Log'!$A$4:$A$810,$A405,'Match Log'!$E$4:$E$810,"Win")&gt;1,_xlfn.TEXTJOIN(" + ",TRUE,IF(('Match Log'!$A$4:$A$810=$A405)*('Match Log'!$E$4:$E$810="Loss"),'Match Log'!$D$4:$D$810,"")),IF($E405=2,LOOKUP(2,1/(('Match Log'!$A$4:$A$810=$A405)*('Match Log'!$E$4:$E$810="Loss")),'Match Log'!$D$4:$D$810),"the field")),"")</f>
        <v>the field</v>
      </c>
      <c r="I405" t="str">
        <f t="shared" si="41"/>
        <v/>
      </c>
      <c r="J405">
        <v>381</v>
      </c>
      <c r="K405" t="e">
        <f>IF($J405&gt;MAX('Match Log'!$A$4:$A$810),NA(),IFERROR(LOOKUP(2,1/(('Match Log'!$D$4:$D$810=$K$24)*('Match Log'!$A$4:$A$810&lt;=$J405)),'Match Log'!$N$4:$N$810),NA()))</f>
        <v>#N/A</v>
      </c>
      <c r="L405" t="e">
        <f>IF($J405&gt;MAX('Match Log'!$A$4:$A$810),NA(),IFERROR(LOOKUP(2,1/(('Match Log'!$D$4:$D$810=$L$24)*('Match Log'!$A$4:$A$810&lt;=$J405)),'Match Log'!$N$4:$N$810),NA()))</f>
        <v>#N/A</v>
      </c>
      <c r="M405" t="e">
        <f>IF($J405&gt;MAX('Match Log'!$A$4:$A$810),NA(),IFERROR(LOOKUP(2,1/(('Match Log'!$D$4:$D$810=$M$24)*('Match Log'!$A$4:$A$810&lt;=$J405)),'Match Log'!$N$4:$N$810),NA()))</f>
        <v>#N/A</v>
      </c>
      <c r="N405" t="e">
        <f>IF($J405&gt;MAX('Match Log'!$A$4:$A$810),NA(),IFERROR(LOOKUP(2,1/(('Match Log'!$D$4:$D$810=$N$24)*('Match Log'!$A$4:$A$810&lt;=$J405)),'Match Log'!$N$4:$N$810),NA()))</f>
        <v>#N/A</v>
      </c>
      <c r="O405" t="e">
        <f>IF($J405&gt;MAX('Match Log'!$A$4:$A$810),NA(),IFERROR(LOOKUP(2,1/(('Match Log'!$D$4:$D$810=$O$24)*('Match Log'!$A$4:$A$810&lt;=$J405)),'Match Log'!$N$4:$N$810),NA()))</f>
        <v>#N/A</v>
      </c>
      <c r="P405" t="e">
        <f>IF($J405&gt;MAX('Match Log'!$A$4:$A$810),NA(),IFERROR(LOOKUP(2,1/(('Match Log'!$D$4:$D$810=$P$24)*('Match Log'!$A$4:$A$810&lt;=$J405)),'Match Log'!$N$4:$N$810),NA()))</f>
        <v>#N/A</v>
      </c>
      <c r="Q405" t="e">
        <f>IF($J405&gt;MAX('Match Log'!$A$4:$A$810),NA(),IFERROR(LOOKUP(2,1/(('Match Log'!$D$4:$D$810=$Q$24)*('Match Log'!$A$4:$A$810&lt;=$J405)),'Match Log'!$N$4:$N$810),NA()))</f>
        <v>#N/A</v>
      </c>
      <c r="R405" t="e">
        <f>IF($J405&gt;MAX('Match Log'!$A$4:$A$810),NA(),IFERROR(LOOKUP(2,1/(('Match Log'!$D$4:$D$810=$R$24)*('Match Log'!$A$4:$A$810&lt;=$J405)),'Match Log'!$N$4:$N$810),NA()))</f>
        <v>#N/A</v>
      </c>
      <c r="S405" t="e">
        <f>IF($J405&gt;MAX('Match Log'!$A$4:$A$810),NA(),IFERROR(LOOKUP(2,1/(('Match Log'!$D$4:$D$810=$S$24)*('Match Log'!$A$4:$A$810&lt;=$J405)),'Match Log'!$N$4:$N$810),NA()))</f>
        <v>#N/A</v>
      </c>
      <c r="T405" t="e">
        <f>IF($J405&gt;MAX('Match Log'!$A$4:$A$810),NA(),IFERROR(LOOKUP(2,1/(('Match Log'!$D$4:$D$810=$T$24)*('Match Log'!$A$4:$A$810&lt;=$J405)),'Match Log'!$N$4:$N$810),NA()))</f>
        <v>#N/A</v>
      </c>
      <c r="U405" t="e">
        <f>IF($J405&gt;MAX('Match Log'!$A$4:$A$810),NA(),IFERROR(LOOKUP(2,1/(('Match Log'!$D$4:$D$810=$U$24)*('Match Log'!$A$4:$A$810&lt;=$J405)),'Match Log'!$N$4:$N$810),NA()))</f>
        <v>#N/A</v>
      </c>
      <c r="V405" t="e">
        <f>IF($J405&gt;MAX('Match Log'!$A$4:$A$810),NA(),IFERROR(LOOKUP(2,1/(('Match Log'!$D$4:$D$810=$V$24)*('Match Log'!$A$4:$A$810&lt;=$J405)),'Match Log'!$N$4:$N$810),NA()))</f>
        <v>#N/A</v>
      </c>
      <c r="W405" t="e">
        <f>IF($J405&gt;MAX('Match Log'!$A$4:$A$810),NA(),IFERROR(LOOKUP(2,1/(('Match Log'!$D$4:$D$810=$W$24)*('Match Log'!$A$4:$A$810&lt;=$J405)),'Match Log'!$N$4:$N$810),NA()))</f>
        <v>#N/A</v>
      </c>
      <c r="X405" t="e">
        <f>IF($J405&gt;MAX('Match Log'!$A$4:$A$810),NA(),IFERROR(LOOKUP(2,1/(('Match Log'!$D$4:$D$810=$X$24)*('Match Log'!$A$4:$A$810&lt;=$J405)),'Match Log'!$N$4:$N$810),NA()))</f>
        <v>#N/A</v>
      </c>
      <c r="Y405" t="str">
        <f t="shared" ca="1" si="42"/>
        <v/>
      </c>
    </row>
    <row r="406" spans="1:25" x14ac:dyDescent="0.2">
      <c r="A406">
        <v>382</v>
      </c>
      <c r="B406" t="str">
        <f>IFERROR(INDEX('Match Log'!$B$4:$B$810,MATCH(382,'Match Log'!$A$4:$A$810,0)),"")</f>
        <v/>
      </c>
      <c r="C406" t="str">
        <f>IFERROR(INDEX('Match Log'!$C$4:$C$810,MATCH(382,'Match Log'!$A$4:$A$810,0)),"")</f>
        <v/>
      </c>
      <c r="D406" t="str">
        <f t="array" ref="D406">IFERROR(_xlfn.TEXTJOIN(" + ",TRUE,IF(('Match Log'!$A$4:$A$810=$A406)*('Match Log'!$E$4:$E$810="Win"),'Match Log'!$D$4:$D$810,"")),IFERROR(LOOKUP(2,1/(('Match Log'!$A$4:$A$810=$A406)*('Match Log'!$E$4:$E$810="Win")),'Match Log'!$D$4:$D$810),""))</f>
        <v/>
      </c>
      <c r="E406" t="str">
        <f>IFERROR(INDEX('Match Log'!$F$4:$F$810,MATCH(382,'Match Log'!$A$4:$A$810,0)),"")</f>
        <v/>
      </c>
      <c r="F406">
        <f>IFERROR(SUMIFS('Match Log'!$I$4:$I$810,'Match Log'!$A$4:$A$810,382,'Match Log'!$E$4:$E$810,"Win"),"")</f>
        <v>0</v>
      </c>
      <c r="G406" t="str">
        <f t="shared" si="40"/>
        <v/>
      </c>
      <c r="H406" t="str">
        <f t="array" ref="H406">IFERROR(IF(COUNTIFS('Match Log'!$A$4:$A$810,$A406,'Match Log'!$E$4:$E$810,"Win")&gt;1,_xlfn.TEXTJOIN(" + ",TRUE,IF(('Match Log'!$A$4:$A$810=$A406)*('Match Log'!$E$4:$E$810="Loss"),'Match Log'!$D$4:$D$810,"")),IF($E406=2,LOOKUP(2,1/(('Match Log'!$A$4:$A$810=$A406)*('Match Log'!$E$4:$E$810="Loss")),'Match Log'!$D$4:$D$810),"the field")),"")</f>
        <v>the field</v>
      </c>
      <c r="I406" t="str">
        <f t="shared" si="41"/>
        <v/>
      </c>
      <c r="J406">
        <v>382</v>
      </c>
      <c r="K406" t="e">
        <f>IF($J406&gt;MAX('Match Log'!$A$4:$A$810),NA(),IFERROR(LOOKUP(2,1/(('Match Log'!$D$4:$D$810=$K$24)*('Match Log'!$A$4:$A$810&lt;=$J406)),'Match Log'!$N$4:$N$810),NA()))</f>
        <v>#N/A</v>
      </c>
      <c r="L406" t="e">
        <f>IF($J406&gt;MAX('Match Log'!$A$4:$A$810),NA(),IFERROR(LOOKUP(2,1/(('Match Log'!$D$4:$D$810=$L$24)*('Match Log'!$A$4:$A$810&lt;=$J406)),'Match Log'!$N$4:$N$810),NA()))</f>
        <v>#N/A</v>
      </c>
      <c r="M406" t="e">
        <f>IF($J406&gt;MAX('Match Log'!$A$4:$A$810),NA(),IFERROR(LOOKUP(2,1/(('Match Log'!$D$4:$D$810=$M$24)*('Match Log'!$A$4:$A$810&lt;=$J406)),'Match Log'!$N$4:$N$810),NA()))</f>
        <v>#N/A</v>
      </c>
      <c r="N406" t="e">
        <f>IF($J406&gt;MAX('Match Log'!$A$4:$A$810),NA(),IFERROR(LOOKUP(2,1/(('Match Log'!$D$4:$D$810=$N$24)*('Match Log'!$A$4:$A$810&lt;=$J406)),'Match Log'!$N$4:$N$810),NA()))</f>
        <v>#N/A</v>
      </c>
      <c r="O406" t="e">
        <f>IF($J406&gt;MAX('Match Log'!$A$4:$A$810),NA(),IFERROR(LOOKUP(2,1/(('Match Log'!$D$4:$D$810=$O$24)*('Match Log'!$A$4:$A$810&lt;=$J406)),'Match Log'!$N$4:$N$810),NA()))</f>
        <v>#N/A</v>
      </c>
      <c r="P406" t="e">
        <f>IF($J406&gt;MAX('Match Log'!$A$4:$A$810),NA(),IFERROR(LOOKUP(2,1/(('Match Log'!$D$4:$D$810=$P$24)*('Match Log'!$A$4:$A$810&lt;=$J406)),'Match Log'!$N$4:$N$810),NA()))</f>
        <v>#N/A</v>
      </c>
      <c r="Q406" t="e">
        <f>IF($J406&gt;MAX('Match Log'!$A$4:$A$810),NA(),IFERROR(LOOKUP(2,1/(('Match Log'!$D$4:$D$810=$Q$24)*('Match Log'!$A$4:$A$810&lt;=$J406)),'Match Log'!$N$4:$N$810),NA()))</f>
        <v>#N/A</v>
      </c>
      <c r="R406" t="e">
        <f>IF($J406&gt;MAX('Match Log'!$A$4:$A$810),NA(),IFERROR(LOOKUP(2,1/(('Match Log'!$D$4:$D$810=$R$24)*('Match Log'!$A$4:$A$810&lt;=$J406)),'Match Log'!$N$4:$N$810),NA()))</f>
        <v>#N/A</v>
      </c>
      <c r="S406" t="e">
        <f>IF($J406&gt;MAX('Match Log'!$A$4:$A$810),NA(),IFERROR(LOOKUP(2,1/(('Match Log'!$D$4:$D$810=$S$24)*('Match Log'!$A$4:$A$810&lt;=$J406)),'Match Log'!$N$4:$N$810),NA()))</f>
        <v>#N/A</v>
      </c>
      <c r="T406" t="e">
        <f>IF($J406&gt;MAX('Match Log'!$A$4:$A$810),NA(),IFERROR(LOOKUP(2,1/(('Match Log'!$D$4:$D$810=$T$24)*('Match Log'!$A$4:$A$810&lt;=$J406)),'Match Log'!$N$4:$N$810),NA()))</f>
        <v>#N/A</v>
      </c>
      <c r="U406" t="e">
        <f>IF($J406&gt;MAX('Match Log'!$A$4:$A$810),NA(),IFERROR(LOOKUP(2,1/(('Match Log'!$D$4:$D$810=$U$24)*('Match Log'!$A$4:$A$810&lt;=$J406)),'Match Log'!$N$4:$N$810),NA()))</f>
        <v>#N/A</v>
      </c>
      <c r="V406" t="e">
        <f>IF($J406&gt;MAX('Match Log'!$A$4:$A$810),NA(),IFERROR(LOOKUP(2,1/(('Match Log'!$D$4:$D$810=$V$24)*('Match Log'!$A$4:$A$810&lt;=$J406)),'Match Log'!$N$4:$N$810),NA()))</f>
        <v>#N/A</v>
      </c>
      <c r="W406" t="e">
        <f>IF($J406&gt;MAX('Match Log'!$A$4:$A$810),NA(),IFERROR(LOOKUP(2,1/(('Match Log'!$D$4:$D$810=$W$24)*('Match Log'!$A$4:$A$810&lt;=$J406)),'Match Log'!$N$4:$N$810),NA()))</f>
        <v>#N/A</v>
      </c>
      <c r="X406" t="e">
        <f>IF($J406&gt;MAX('Match Log'!$A$4:$A$810),NA(),IFERROR(LOOKUP(2,1/(('Match Log'!$D$4:$D$810=$X$24)*('Match Log'!$A$4:$A$810&lt;=$J406)),'Match Log'!$N$4:$N$810),NA()))</f>
        <v>#N/A</v>
      </c>
      <c r="Y406" t="str">
        <f t="shared" ca="1" si="42"/>
        <v/>
      </c>
    </row>
    <row r="407" spans="1:25" x14ac:dyDescent="0.2">
      <c r="A407">
        <v>383</v>
      </c>
      <c r="B407" t="str">
        <f>IFERROR(INDEX('Match Log'!$B$4:$B$810,MATCH(383,'Match Log'!$A$4:$A$810,0)),"")</f>
        <v/>
      </c>
      <c r="C407" t="str">
        <f>IFERROR(INDEX('Match Log'!$C$4:$C$810,MATCH(383,'Match Log'!$A$4:$A$810,0)),"")</f>
        <v/>
      </c>
      <c r="D407" t="str">
        <f t="array" ref="D407">IFERROR(_xlfn.TEXTJOIN(" + ",TRUE,IF(('Match Log'!$A$4:$A$810=$A407)*('Match Log'!$E$4:$E$810="Win"),'Match Log'!$D$4:$D$810,"")),IFERROR(LOOKUP(2,1/(('Match Log'!$A$4:$A$810=$A407)*('Match Log'!$E$4:$E$810="Win")),'Match Log'!$D$4:$D$810),""))</f>
        <v/>
      </c>
      <c r="E407" t="str">
        <f>IFERROR(INDEX('Match Log'!$F$4:$F$810,MATCH(383,'Match Log'!$A$4:$A$810,0)),"")</f>
        <v/>
      </c>
      <c r="F407">
        <f>IFERROR(SUMIFS('Match Log'!$I$4:$I$810,'Match Log'!$A$4:$A$810,383,'Match Log'!$E$4:$E$810,"Win"),"")</f>
        <v>0</v>
      </c>
      <c r="G407" t="str">
        <f t="shared" si="40"/>
        <v/>
      </c>
      <c r="H407" t="str">
        <f t="array" ref="H407">IFERROR(IF(COUNTIFS('Match Log'!$A$4:$A$810,$A407,'Match Log'!$E$4:$E$810,"Win")&gt;1,_xlfn.TEXTJOIN(" + ",TRUE,IF(('Match Log'!$A$4:$A$810=$A407)*('Match Log'!$E$4:$E$810="Loss"),'Match Log'!$D$4:$D$810,"")),IF($E407=2,LOOKUP(2,1/(('Match Log'!$A$4:$A$810=$A407)*('Match Log'!$E$4:$E$810="Loss")),'Match Log'!$D$4:$D$810),"the field")),"")</f>
        <v>the field</v>
      </c>
      <c r="I407" t="str">
        <f t="shared" si="41"/>
        <v/>
      </c>
      <c r="J407">
        <v>383</v>
      </c>
      <c r="K407" t="e">
        <f>IF($J407&gt;MAX('Match Log'!$A$4:$A$810),NA(),IFERROR(LOOKUP(2,1/(('Match Log'!$D$4:$D$810=$K$24)*('Match Log'!$A$4:$A$810&lt;=$J407)),'Match Log'!$N$4:$N$810),NA()))</f>
        <v>#N/A</v>
      </c>
      <c r="L407" t="e">
        <f>IF($J407&gt;MAX('Match Log'!$A$4:$A$810),NA(),IFERROR(LOOKUP(2,1/(('Match Log'!$D$4:$D$810=$L$24)*('Match Log'!$A$4:$A$810&lt;=$J407)),'Match Log'!$N$4:$N$810),NA()))</f>
        <v>#N/A</v>
      </c>
      <c r="M407" t="e">
        <f>IF($J407&gt;MAX('Match Log'!$A$4:$A$810),NA(),IFERROR(LOOKUP(2,1/(('Match Log'!$D$4:$D$810=$M$24)*('Match Log'!$A$4:$A$810&lt;=$J407)),'Match Log'!$N$4:$N$810),NA()))</f>
        <v>#N/A</v>
      </c>
      <c r="N407" t="e">
        <f>IF($J407&gt;MAX('Match Log'!$A$4:$A$810),NA(),IFERROR(LOOKUP(2,1/(('Match Log'!$D$4:$D$810=$N$24)*('Match Log'!$A$4:$A$810&lt;=$J407)),'Match Log'!$N$4:$N$810),NA()))</f>
        <v>#N/A</v>
      </c>
      <c r="O407" t="e">
        <f>IF($J407&gt;MAX('Match Log'!$A$4:$A$810),NA(),IFERROR(LOOKUP(2,1/(('Match Log'!$D$4:$D$810=$O$24)*('Match Log'!$A$4:$A$810&lt;=$J407)),'Match Log'!$N$4:$N$810),NA()))</f>
        <v>#N/A</v>
      </c>
      <c r="P407" t="e">
        <f>IF($J407&gt;MAX('Match Log'!$A$4:$A$810),NA(),IFERROR(LOOKUP(2,1/(('Match Log'!$D$4:$D$810=$P$24)*('Match Log'!$A$4:$A$810&lt;=$J407)),'Match Log'!$N$4:$N$810),NA()))</f>
        <v>#N/A</v>
      </c>
      <c r="Q407" t="e">
        <f>IF($J407&gt;MAX('Match Log'!$A$4:$A$810),NA(),IFERROR(LOOKUP(2,1/(('Match Log'!$D$4:$D$810=$Q$24)*('Match Log'!$A$4:$A$810&lt;=$J407)),'Match Log'!$N$4:$N$810),NA()))</f>
        <v>#N/A</v>
      </c>
      <c r="R407" t="e">
        <f>IF($J407&gt;MAX('Match Log'!$A$4:$A$810),NA(),IFERROR(LOOKUP(2,1/(('Match Log'!$D$4:$D$810=$R$24)*('Match Log'!$A$4:$A$810&lt;=$J407)),'Match Log'!$N$4:$N$810),NA()))</f>
        <v>#N/A</v>
      </c>
      <c r="S407" t="e">
        <f>IF($J407&gt;MAX('Match Log'!$A$4:$A$810),NA(),IFERROR(LOOKUP(2,1/(('Match Log'!$D$4:$D$810=$S$24)*('Match Log'!$A$4:$A$810&lt;=$J407)),'Match Log'!$N$4:$N$810),NA()))</f>
        <v>#N/A</v>
      </c>
      <c r="T407" t="e">
        <f>IF($J407&gt;MAX('Match Log'!$A$4:$A$810),NA(),IFERROR(LOOKUP(2,1/(('Match Log'!$D$4:$D$810=$T$24)*('Match Log'!$A$4:$A$810&lt;=$J407)),'Match Log'!$N$4:$N$810),NA()))</f>
        <v>#N/A</v>
      </c>
      <c r="U407" t="e">
        <f>IF($J407&gt;MAX('Match Log'!$A$4:$A$810),NA(),IFERROR(LOOKUP(2,1/(('Match Log'!$D$4:$D$810=$U$24)*('Match Log'!$A$4:$A$810&lt;=$J407)),'Match Log'!$N$4:$N$810),NA()))</f>
        <v>#N/A</v>
      </c>
      <c r="V407" t="e">
        <f>IF($J407&gt;MAX('Match Log'!$A$4:$A$810),NA(),IFERROR(LOOKUP(2,1/(('Match Log'!$D$4:$D$810=$V$24)*('Match Log'!$A$4:$A$810&lt;=$J407)),'Match Log'!$N$4:$N$810),NA()))</f>
        <v>#N/A</v>
      </c>
      <c r="W407" t="e">
        <f>IF($J407&gt;MAX('Match Log'!$A$4:$A$810),NA(),IFERROR(LOOKUP(2,1/(('Match Log'!$D$4:$D$810=$W$24)*('Match Log'!$A$4:$A$810&lt;=$J407)),'Match Log'!$N$4:$N$810),NA()))</f>
        <v>#N/A</v>
      </c>
      <c r="X407" t="e">
        <f>IF($J407&gt;MAX('Match Log'!$A$4:$A$810),NA(),IFERROR(LOOKUP(2,1/(('Match Log'!$D$4:$D$810=$X$24)*('Match Log'!$A$4:$A$810&lt;=$J407)),'Match Log'!$N$4:$N$810),NA()))</f>
        <v>#N/A</v>
      </c>
      <c r="Y407" t="str">
        <f t="shared" ca="1" si="42"/>
        <v/>
      </c>
    </row>
    <row r="408" spans="1:25" x14ac:dyDescent="0.2">
      <c r="A408">
        <v>384</v>
      </c>
      <c r="B408" t="str">
        <f>IFERROR(INDEX('Match Log'!$B$4:$B$810,MATCH(384,'Match Log'!$A$4:$A$810,0)),"")</f>
        <v/>
      </c>
      <c r="C408" t="str">
        <f>IFERROR(INDEX('Match Log'!$C$4:$C$810,MATCH(384,'Match Log'!$A$4:$A$810,0)),"")</f>
        <v/>
      </c>
      <c r="D408" t="str">
        <f t="array" ref="D408">IFERROR(_xlfn.TEXTJOIN(" + ",TRUE,IF(('Match Log'!$A$4:$A$810=$A408)*('Match Log'!$E$4:$E$810="Win"),'Match Log'!$D$4:$D$810,"")),IFERROR(LOOKUP(2,1/(('Match Log'!$A$4:$A$810=$A408)*('Match Log'!$E$4:$E$810="Win")),'Match Log'!$D$4:$D$810),""))</f>
        <v/>
      </c>
      <c r="E408" t="str">
        <f>IFERROR(INDEX('Match Log'!$F$4:$F$810,MATCH(384,'Match Log'!$A$4:$A$810,0)),"")</f>
        <v/>
      </c>
      <c r="F408">
        <f>IFERROR(SUMIFS('Match Log'!$I$4:$I$810,'Match Log'!$A$4:$A$810,384,'Match Log'!$E$4:$E$810,"Win"),"")</f>
        <v>0</v>
      </c>
      <c r="G408" t="str">
        <f t="shared" si="40"/>
        <v/>
      </c>
      <c r="H408" t="str">
        <f t="array" ref="H408">IFERROR(IF(COUNTIFS('Match Log'!$A$4:$A$810,$A408,'Match Log'!$E$4:$E$810,"Win")&gt;1,_xlfn.TEXTJOIN(" + ",TRUE,IF(('Match Log'!$A$4:$A$810=$A408)*('Match Log'!$E$4:$E$810="Loss"),'Match Log'!$D$4:$D$810,"")),IF($E408=2,LOOKUP(2,1/(('Match Log'!$A$4:$A$810=$A408)*('Match Log'!$E$4:$E$810="Loss")),'Match Log'!$D$4:$D$810),"the field")),"")</f>
        <v>the field</v>
      </c>
      <c r="I408" t="str">
        <f t="shared" si="41"/>
        <v/>
      </c>
      <c r="J408">
        <v>384</v>
      </c>
      <c r="K408" t="e">
        <f>IF($J408&gt;MAX('Match Log'!$A$4:$A$810),NA(),IFERROR(LOOKUP(2,1/(('Match Log'!$D$4:$D$810=$K$24)*('Match Log'!$A$4:$A$810&lt;=$J408)),'Match Log'!$N$4:$N$810),NA()))</f>
        <v>#N/A</v>
      </c>
      <c r="L408" t="e">
        <f>IF($J408&gt;MAX('Match Log'!$A$4:$A$810),NA(),IFERROR(LOOKUP(2,1/(('Match Log'!$D$4:$D$810=$L$24)*('Match Log'!$A$4:$A$810&lt;=$J408)),'Match Log'!$N$4:$N$810),NA()))</f>
        <v>#N/A</v>
      </c>
      <c r="M408" t="e">
        <f>IF($J408&gt;MAX('Match Log'!$A$4:$A$810),NA(),IFERROR(LOOKUP(2,1/(('Match Log'!$D$4:$D$810=$M$24)*('Match Log'!$A$4:$A$810&lt;=$J408)),'Match Log'!$N$4:$N$810),NA()))</f>
        <v>#N/A</v>
      </c>
      <c r="N408" t="e">
        <f>IF($J408&gt;MAX('Match Log'!$A$4:$A$810),NA(),IFERROR(LOOKUP(2,1/(('Match Log'!$D$4:$D$810=$N$24)*('Match Log'!$A$4:$A$810&lt;=$J408)),'Match Log'!$N$4:$N$810),NA()))</f>
        <v>#N/A</v>
      </c>
      <c r="O408" t="e">
        <f>IF($J408&gt;MAX('Match Log'!$A$4:$A$810),NA(),IFERROR(LOOKUP(2,1/(('Match Log'!$D$4:$D$810=$O$24)*('Match Log'!$A$4:$A$810&lt;=$J408)),'Match Log'!$N$4:$N$810),NA()))</f>
        <v>#N/A</v>
      </c>
      <c r="P408" t="e">
        <f>IF($J408&gt;MAX('Match Log'!$A$4:$A$810),NA(),IFERROR(LOOKUP(2,1/(('Match Log'!$D$4:$D$810=$P$24)*('Match Log'!$A$4:$A$810&lt;=$J408)),'Match Log'!$N$4:$N$810),NA()))</f>
        <v>#N/A</v>
      </c>
      <c r="Q408" t="e">
        <f>IF($J408&gt;MAX('Match Log'!$A$4:$A$810),NA(),IFERROR(LOOKUP(2,1/(('Match Log'!$D$4:$D$810=$Q$24)*('Match Log'!$A$4:$A$810&lt;=$J408)),'Match Log'!$N$4:$N$810),NA()))</f>
        <v>#N/A</v>
      </c>
      <c r="R408" t="e">
        <f>IF($J408&gt;MAX('Match Log'!$A$4:$A$810),NA(),IFERROR(LOOKUP(2,1/(('Match Log'!$D$4:$D$810=$R$24)*('Match Log'!$A$4:$A$810&lt;=$J408)),'Match Log'!$N$4:$N$810),NA()))</f>
        <v>#N/A</v>
      </c>
      <c r="S408" t="e">
        <f>IF($J408&gt;MAX('Match Log'!$A$4:$A$810),NA(),IFERROR(LOOKUP(2,1/(('Match Log'!$D$4:$D$810=$S$24)*('Match Log'!$A$4:$A$810&lt;=$J408)),'Match Log'!$N$4:$N$810),NA()))</f>
        <v>#N/A</v>
      </c>
      <c r="T408" t="e">
        <f>IF($J408&gt;MAX('Match Log'!$A$4:$A$810),NA(),IFERROR(LOOKUP(2,1/(('Match Log'!$D$4:$D$810=$T$24)*('Match Log'!$A$4:$A$810&lt;=$J408)),'Match Log'!$N$4:$N$810),NA()))</f>
        <v>#N/A</v>
      </c>
      <c r="U408" t="e">
        <f>IF($J408&gt;MAX('Match Log'!$A$4:$A$810),NA(),IFERROR(LOOKUP(2,1/(('Match Log'!$D$4:$D$810=$U$24)*('Match Log'!$A$4:$A$810&lt;=$J408)),'Match Log'!$N$4:$N$810),NA()))</f>
        <v>#N/A</v>
      </c>
      <c r="V408" t="e">
        <f>IF($J408&gt;MAX('Match Log'!$A$4:$A$810),NA(),IFERROR(LOOKUP(2,1/(('Match Log'!$D$4:$D$810=$V$24)*('Match Log'!$A$4:$A$810&lt;=$J408)),'Match Log'!$N$4:$N$810),NA()))</f>
        <v>#N/A</v>
      </c>
      <c r="W408" t="e">
        <f>IF($J408&gt;MAX('Match Log'!$A$4:$A$810),NA(),IFERROR(LOOKUP(2,1/(('Match Log'!$D$4:$D$810=$W$24)*('Match Log'!$A$4:$A$810&lt;=$J408)),'Match Log'!$N$4:$N$810),NA()))</f>
        <v>#N/A</v>
      </c>
      <c r="X408" t="e">
        <f>IF($J408&gt;MAX('Match Log'!$A$4:$A$810),NA(),IFERROR(LOOKUP(2,1/(('Match Log'!$D$4:$D$810=$X$24)*('Match Log'!$A$4:$A$810&lt;=$J408)),'Match Log'!$N$4:$N$810),NA()))</f>
        <v>#N/A</v>
      </c>
      <c r="Y408" t="str">
        <f t="shared" ca="1" si="42"/>
        <v/>
      </c>
    </row>
    <row r="409" spans="1:25" x14ac:dyDescent="0.2">
      <c r="A409">
        <v>385</v>
      </c>
      <c r="B409" t="str">
        <f>IFERROR(INDEX('Match Log'!$B$4:$B$810,MATCH(385,'Match Log'!$A$4:$A$810,0)),"")</f>
        <v/>
      </c>
      <c r="C409" t="str">
        <f>IFERROR(INDEX('Match Log'!$C$4:$C$810,MATCH(385,'Match Log'!$A$4:$A$810,0)),"")</f>
        <v/>
      </c>
      <c r="D409" t="str">
        <f t="array" ref="D409">IFERROR(_xlfn.TEXTJOIN(" + ",TRUE,IF(('Match Log'!$A$4:$A$810=$A409)*('Match Log'!$E$4:$E$810="Win"),'Match Log'!$D$4:$D$810,"")),IFERROR(LOOKUP(2,1/(('Match Log'!$A$4:$A$810=$A409)*('Match Log'!$E$4:$E$810="Win")),'Match Log'!$D$4:$D$810),""))</f>
        <v/>
      </c>
      <c r="E409" t="str">
        <f>IFERROR(INDEX('Match Log'!$F$4:$F$810,MATCH(385,'Match Log'!$A$4:$A$810,0)),"")</f>
        <v/>
      </c>
      <c r="F409">
        <f>IFERROR(SUMIFS('Match Log'!$I$4:$I$810,'Match Log'!$A$4:$A$810,385,'Match Log'!$E$4:$E$810,"Win"),"")</f>
        <v>0</v>
      </c>
      <c r="G409" t="str">
        <f t="shared" si="40"/>
        <v/>
      </c>
      <c r="H409" t="str">
        <f t="array" ref="H409">IFERROR(IF(COUNTIFS('Match Log'!$A$4:$A$810,$A409,'Match Log'!$E$4:$E$810,"Win")&gt;1,_xlfn.TEXTJOIN(" + ",TRUE,IF(('Match Log'!$A$4:$A$810=$A409)*('Match Log'!$E$4:$E$810="Loss"),'Match Log'!$D$4:$D$810,"")),IF($E409=2,LOOKUP(2,1/(('Match Log'!$A$4:$A$810=$A409)*('Match Log'!$E$4:$E$810="Loss")),'Match Log'!$D$4:$D$810),"the field")),"")</f>
        <v>the field</v>
      </c>
      <c r="I409" t="str">
        <f t="shared" si="41"/>
        <v/>
      </c>
      <c r="J409">
        <v>385</v>
      </c>
      <c r="K409" t="e">
        <f>IF($J409&gt;MAX('Match Log'!$A$4:$A$810),NA(),IFERROR(LOOKUP(2,1/(('Match Log'!$D$4:$D$810=$K$24)*('Match Log'!$A$4:$A$810&lt;=$J409)),'Match Log'!$N$4:$N$810),NA()))</f>
        <v>#N/A</v>
      </c>
      <c r="L409" t="e">
        <f>IF($J409&gt;MAX('Match Log'!$A$4:$A$810),NA(),IFERROR(LOOKUP(2,1/(('Match Log'!$D$4:$D$810=$L$24)*('Match Log'!$A$4:$A$810&lt;=$J409)),'Match Log'!$N$4:$N$810),NA()))</f>
        <v>#N/A</v>
      </c>
      <c r="M409" t="e">
        <f>IF($J409&gt;MAX('Match Log'!$A$4:$A$810),NA(),IFERROR(LOOKUP(2,1/(('Match Log'!$D$4:$D$810=$M$24)*('Match Log'!$A$4:$A$810&lt;=$J409)),'Match Log'!$N$4:$N$810),NA()))</f>
        <v>#N/A</v>
      </c>
      <c r="N409" t="e">
        <f>IF($J409&gt;MAX('Match Log'!$A$4:$A$810),NA(),IFERROR(LOOKUP(2,1/(('Match Log'!$D$4:$D$810=$N$24)*('Match Log'!$A$4:$A$810&lt;=$J409)),'Match Log'!$N$4:$N$810),NA()))</f>
        <v>#N/A</v>
      </c>
      <c r="O409" t="e">
        <f>IF($J409&gt;MAX('Match Log'!$A$4:$A$810),NA(),IFERROR(LOOKUP(2,1/(('Match Log'!$D$4:$D$810=$O$24)*('Match Log'!$A$4:$A$810&lt;=$J409)),'Match Log'!$N$4:$N$810),NA()))</f>
        <v>#N/A</v>
      </c>
      <c r="P409" t="e">
        <f>IF($J409&gt;MAX('Match Log'!$A$4:$A$810),NA(),IFERROR(LOOKUP(2,1/(('Match Log'!$D$4:$D$810=$P$24)*('Match Log'!$A$4:$A$810&lt;=$J409)),'Match Log'!$N$4:$N$810),NA()))</f>
        <v>#N/A</v>
      </c>
      <c r="Q409" t="e">
        <f>IF($J409&gt;MAX('Match Log'!$A$4:$A$810),NA(),IFERROR(LOOKUP(2,1/(('Match Log'!$D$4:$D$810=$Q$24)*('Match Log'!$A$4:$A$810&lt;=$J409)),'Match Log'!$N$4:$N$810),NA()))</f>
        <v>#N/A</v>
      </c>
      <c r="R409" t="e">
        <f>IF($J409&gt;MAX('Match Log'!$A$4:$A$810),NA(),IFERROR(LOOKUP(2,1/(('Match Log'!$D$4:$D$810=$R$24)*('Match Log'!$A$4:$A$810&lt;=$J409)),'Match Log'!$N$4:$N$810),NA()))</f>
        <v>#N/A</v>
      </c>
      <c r="S409" t="e">
        <f>IF($J409&gt;MAX('Match Log'!$A$4:$A$810),NA(),IFERROR(LOOKUP(2,1/(('Match Log'!$D$4:$D$810=$S$24)*('Match Log'!$A$4:$A$810&lt;=$J409)),'Match Log'!$N$4:$N$810),NA()))</f>
        <v>#N/A</v>
      </c>
      <c r="T409" t="e">
        <f>IF($J409&gt;MAX('Match Log'!$A$4:$A$810),NA(),IFERROR(LOOKUP(2,1/(('Match Log'!$D$4:$D$810=$T$24)*('Match Log'!$A$4:$A$810&lt;=$J409)),'Match Log'!$N$4:$N$810),NA()))</f>
        <v>#N/A</v>
      </c>
      <c r="U409" t="e">
        <f>IF($J409&gt;MAX('Match Log'!$A$4:$A$810),NA(),IFERROR(LOOKUP(2,1/(('Match Log'!$D$4:$D$810=$U$24)*('Match Log'!$A$4:$A$810&lt;=$J409)),'Match Log'!$N$4:$N$810),NA()))</f>
        <v>#N/A</v>
      </c>
      <c r="V409" t="e">
        <f>IF($J409&gt;MAX('Match Log'!$A$4:$A$810),NA(),IFERROR(LOOKUP(2,1/(('Match Log'!$D$4:$D$810=$V$24)*('Match Log'!$A$4:$A$810&lt;=$J409)),'Match Log'!$N$4:$N$810),NA()))</f>
        <v>#N/A</v>
      </c>
      <c r="W409" t="e">
        <f>IF($J409&gt;MAX('Match Log'!$A$4:$A$810),NA(),IFERROR(LOOKUP(2,1/(('Match Log'!$D$4:$D$810=$W$24)*('Match Log'!$A$4:$A$810&lt;=$J409)),'Match Log'!$N$4:$N$810),NA()))</f>
        <v>#N/A</v>
      </c>
      <c r="X409" t="e">
        <f>IF($J409&gt;MAX('Match Log'!$A$4:$A$810),NA(),IFERROR(LOOKUP(2,1/(('Match Log'!$D$4:$D$810=$X$24)*('Match Log'!$A$4:$A$810&lt;=$J409)),'Match Log'!$N$4:$N$810),NA()))</f>
        <v>#N/A</v>
      </c>
      <c r="Y409" t="str">
        <f t="shared" ca="1" si="42"/>
        <v/>
      </c>
    </row>
    <row r="410" spans="1:25" x14ac:dyDescent="0.2">
      <c r="A410">
        <v>386</v>
      </c>
      <c r="B410" t="str">
        <f>IFERROR(INDEX('Match Log'!$B$4:$B$810,MATCH(386,'Match Log'!$A$4:$A$810,0)),"")</f>
        <v/>
      </c>
      <c r="C410" t="str">
        <f>IFERROR(INDEX('Match Log'!$C$4:$C$810,MATCH(386,'Match Log'!$A$4:$A$810,0)),"")</f>
        <v/>
      </c>
      <c r="D410" t="str">
        <f t="array" ref="D410">IFERROR(_xlfn.TEXTJOIN(" + ",TRUE,IF(('Match Log'!$A$4:$A$810=$A410)*('Match Log'!$E$4:$E$810="Win"),'Match Log'!$D$4:$D$810,"")),IFERROR(LOOKUP(2,1/(('Match Log'!$A$4:$A$810=$A410)*('Match Log'!$E$4:$E$810="Win")),'Match Log'!$D$4:$D$810),""))</f>
        <v/>
      </c>
      <c r="E410" t="str">
        <f>IFERROR(INDEX('Match Log'!$F$4:$F$810,MATCH(386,'Match Log'!$A$4:$A$810,0)),"")</f>
        <v/>
      </c>
      <c r="F410">
        <f>IFERROR(SUMIFS('Match Log'!$I$4:$I$810,'Match Log'!$A$4:$A$810,386,'Match Log'!$E$4:$E$810,"Win"),"")</f>
        <v>0</v>
      </c>
      <c r="G410" t="str">
        <f t="shared" si="40"/>
        <v/>
      </c>
      <c r="H410" t="str">
        <f t="array" ref="H410">IFERROR(IF(COUNTIFS('Match Log'!$A$4:$A$810,$A410,'Match Log'!$E$4:$E$810,"Win")&gt;1,_xlfn.TEXTJOIN(" + ",TRUE,IF(('Match Log'!$A$4:$A$810=$A410)*('Match Log'!$E$4:$E$810="Loss"),'Match Log'!$D$4:$D$810,"")),IF($E410=2,LOOKUP(2,1/(('Match Log'!$A$4:$A$810=$A410)*('Match Log'!$E$4:$E$810="Loss")),'Match Log'!$D$4:$D$810),"the field")),"")</f>
        <v>the field</v>
      </c>
      <c r="I410" t="str">
        <f t="shared" si="41"/>
        <v/>
      </c>
      <c r="J410">
        <v>386</v>
      </c>
      <c r="K410" t="e">
        <f>IF($J410&gt;MAX('Match Log'!$A$4:$A$810),NA(),IFERROR(LOOKUP(2,1/(('Match Log'!$D$4:$D$810=$K$24)*('Match Log'!$A$4:$A$810&lt;=$J410)),'Match Log'!$N$4:$N$810),NA()))</f>
        <v>#N/A</v>
      </c>
      <c r="L410" t="e">
        <f>IF($J410&gt;MAX('Match Log'!$A$4:$A$810),NA(),IFERROR(LOOKUP(2,1/(('Match Log'!$D$4:$D$810=$L$24)*('Match Log'!$A$4:$A$810&lt;=$J410)),'Match Log'!$N$4:$N$810),NA()))</f>
        <v>#N/A</v>
      </c>
      <c r="M410" t="e">
        <f>IF($J410&gt;MAX('Match Log'!$A$4:$A$810),NA(),IFERROR(LOOKUP(2,1/(('Match Log'!$D$4:$D$810=$M$24)*('Match Log'!$A$4:$A$810&lt;=$J410)),'Match Log'!$N$4:$N$810),NA()))</f>
        <v>#N/A</v>
      </c>
      <c r="N410" t="e">
        <f>IF($J410&gt;MAX('Match Log'!$A$4:$A$810),NA(),IFERROR(LOOKUP(2,1/(('Match Log'!$D$4:$D$810=$N$24)*('Match Log'!$A$4:$A$810&lt;=$J410)),'Match Log'!$N$4:$N$810),NA()))</f>
        <v>#N/A</v>
      </c>
      <c r="O410" t="e">
        <f>IF($J410&gt;MAX('Match Log'!$A$4:$A$810),NA(),IFERROR(LOOKUP(2,1/(('Match Log'!$D$4:$D$810=$O$24)*('Match Log'!$A$4:$A$810&lt;=$J410)),'Match Log'!$N$4:$N$810),NA()))</f>
        <v>#N/A</v>
      </c>
      <c r="P410" t="e">
        <f>IF($J410&gt;MAX('Match Log'!$A$4:$A$810),NA(),IFERROR(LOOKUP(2,1/(('Match Log'!$D$4:$D$810=$P$24)*('Match Log'!$A$4:$A$810&lt;=$J410)),'Match Log'!$N$4:$N$810),NA()))</f>
        <v>#N/A</v>
      </c>
      <c r="Q410" t="e">
        <f>IF($J410&gt;MAX('Match Log'!$A$4:$A$810),NA(),IFERROR(LOOKUP(2,1/(('Match Log'!$D$4:$D$810=$Q$24)*('Match Log'!$A$4:$A$810&lt;=$J410)),'Match Log'!$N$4:$N$810),NA()))</f>
        <v>#N/A</v>
      </c>
      <c r="R410" t="e">
        <f>IF($J410&gt;MAX('Match Log'!$A$4:$A$810),NA(),IFERROR(LOOKUP(2,1/(('Match Log'!$D$4:$D$810=$R$24)*('Match Log'!$A$4:$A$810&lt;=$J410)),'Match Log'!$N$4:$N$810),NA()))</f>
        <v>#N/A</v>
      </c>
      <c r="S410" t="e">
        <f>IF($J410&gt;MAX('Match Log'!$A$4:$A$810),NA(),IFERROR(LOOKUP(2,1/(('Match Log'!$D$4:$D$810=$S$24)*('Match Log'!$A$4:$A$810&lt;=$J410)),'Match Log'!$N$4:$N$810),NA()))</f>
        <v>#N/A</v>
      </c>
      <c r="T410" t="e">
        <f>IF($J410&gt;MAX('Match Log'!$A$4:$A$810),NA(),IFERROR(LOOKUP(2,1/(('Match Log'!$D$4:$D$810=$T$24)*('Match Log'!$A$4:$A$810&lt;=$J410)),'Match Log'!$N$4:$N$810),NA()))</f>
        <v>#N/A</v>
      </c>
      <c r="U410" t="e">
        <f>IF($J410&gt;MAX('Match Log'!$A$4:$A$810),NA(),IFERROR(LOOKUP(2,1/(('Match Log'!$D$4:$D$810=$U$24)*('Match Log'!$A$4:$A$810&lt;=$J410)),'Match Log'!$N$4:$N$810),NA()))</f>
        <v>#N/A</v>
      </c>
      <c r="V410" t="e">
        <f>IF($J410&gt;MAX('Match Log'!$A$4:$A$810),NA(),IFERROR(LOOKUP(2,1/(('Match Log'!$D$4:$D$810=$V$24)*('Match Log'!$A$4:$A$810&lt;=$J410)),'Match Log'!$N$4:$N$810),NA()))</f>
        <v>#N/A</v>
      </c>
      <c r="W410" t="e">
        <f>IF($J410&gt;MAX('Match Log'!$A$4:$A$810),NA(),IFERROR(LOOKUP(2,1/(('Match Log'!$D$4:$D$810=$W$24)*('Match Log'!$A$4:$A$810&lt;=$J410)),'Match Log'!$N$4:$N$810),NA()))</f>
        <v>#N/A</v>
      </c>
      <c r="X410" t="e">
        <f>IF($J410&gt;MAX('Match Log'!$A$4:$A$810),NA(),IFERROR(LOOKUP(2,1/(('Match Log'!$D$4:$D$810=$X$24)*('Match Log'!$A$4:$A$810&lt;=$J410)),'Match Log'!$N$4:$N$810),NA()))</f>
        <v>#N/A</v>
      </c>
      <c r="Y410" t="str">
        <f t="shared" ca="1" si="42"/>
        <v/>
      </c>
    </row>
    <row r="411" spans="1:25" x14ac:dyDescent="0.2">
      <c r="A411">
        <v>387</v>
      </c>
      <c r="B411" t="str">
        <f>IFERROR(INDEX('Match Log'!$B$4:$B$810,MATCH(387,'Match Log'!$A$4:$A$810,0)),"")</f>
        <v/>
      </c>
      <c r="C411" t="str">
        <f>IFERROR(INDEX('Match Log'!$C$4:$C$810,MATCH(387,'Match Log'!$A$4:$A$810,0)),"")</f>
        <v/>
      </c>
      <c r="D411" t="str">
        <f t="array" ref="D411">IFERROR(_xlfn.TEXTJOIN(" + ",TRUE,IF(('Match Log'!$A$4:$A$810=$A411)*('Match Log'!$E$4:$E$810="Win"),'Match Log'!$D$4:$D$810,"")),IFERROR(LOOKUP(2,1/(('Match Log'!$A$4:$A$810=$A411)*('Match Log'!$E$4:$E$810="Win")),'Match Log'!$D$4:$D$810),""))</f>
        <v/>
      </c>
      <c r="E411" t="str">
        <f>IFERROR(INDEX('Match Log'!$F$4:$F$810,MATCH(387,'Match Log'!$A$4:$A$810,0)),"")</f>
        <v/>
      </c>
      <c r="F411">
        <f>IFERROR(SUMIFS('Match Log'!$I$4:$I$810,'Match Log'!$A$4:$A$810,387,'Match Log'!$E$4:$E$810,"Win"),"")</f>
        <v>0</v>
      </c>
      <c r="G411" t="str">
        <f t="shared" si="40"/>
        <v/>
      </c>
      <c r="H411" t="str">
        <f t="array" ref="H411">IFERROR(IF(COUNTIFS('Match Log'!$A$4:$A$810,$A411,'Match Log'!$E$4:$E$810,"Win")&gt;1,_xlfn.TEXTJOIN(" + ",TRUE,IF(('Match Log'!$A$4:$A$810=$A411)*('Match Log'!$E$4:$E$810="Loss"),'Match Log'!$D$4:$D$810,"")),IF($E411=2,LOOKUP(2,1/(('Match Log'!$A$4:$A$810=$A411)*('Match Log'!$E$4:$E$810="Loss")),'Match Log'!$D$4:$D$810),"the field")),"")</f>
        <v>the field</v>
      </c>
      <c r="I411" t="str">
        <f t="shared" si="41"/>
        <v/>
      </c>
      <c r="J411">
        <v>387</v>
      </c>
      <c r="K411" t="e">
        <f>IF($J411&gt;MAX('Match Log'!$A$4:$A$810),NA(),IFERROR(LOOKUP(2,1/(('Match Log'!$D$4:$D$810=$K$24)*('Match Log'!$A$4:$A$810&lt;=$J411)),'Match Log'!$N$4:$N$810),NA()))</f>
        <v>#N/A</v>
      </c>
      <c r="L411" t="e">
        <f>IF($J411&gt;MAX('Match Log'!$A$4:$A$810),NA(),IFERROR(LOOKUP(2,1/(('Match Log'!$D$4:$D$810=$L$24)*('Match Log'!$A$4:$A$810&lt;=$J411)),'Match Log'!$N$4:$N$810),NA()))</f>
        <v>#N/A</v>
      </c>
      <c r="M411" t="e">
        <f>IF($J411&gt;MAX('Match Log'!$A$4:$A$810),NA(),IFERROR(LOOKUP(2,1/(('Match Log'!$D$4:$D$810=$M$24)*('Match Log'!$A$4:$A$810&lt;=$J411)),'Match Log'!$N$4:$N$810),NA()))</f>
        <v>#N/A</v>
      </c>
      <c r="N411" t="e">
        <f>IF($J411&gt;MAX('Match Log'!$A$4:$A$810),NA(),IFERROR(LOOKUP(2,1/(('Match Log'!$D$4:$D$810=$N$24)*('Match Log'!$A$4:$A$810&lt;=$J411)),'Match Log'!$N$4:$N$810),NA()))</f>
        <v>#N/A</v>
      </c>
      <c r="O411" t="e">
        <f>IF($J411&gt;MAX('Match Log'!$A$4:$A$810),NA(),IFERROR(LOOKUP(2,1/(('Match Log'!$D$4:$D$810=$O$24)*('Match Log'!$A$4:$A$810&lt;=$J411)),'Match Log'!$N$4:$N$810),NA()))</f>
        <v>#N/A</v>
      </c>
      <c r="P411" t="e">
        <f>IF($J411&gt;MAX('Match Log'!$A$4:$A$810),NA(),IFERROR(LOOKUP(2,1/(('Match Log'!$D$4:$D$810=$P$24)*('Match Log'!$A$4:$A$810&lt;=$J411)),'Match Log'!$N$4:$N$810),NA()))</f>
        <v>#N/A</v>
      </c>
      <c r="Q411" t="e">
        <f>IF($J411&gt;MAX('Match Log'!$A$4:$A$810),NA(),IFERROR(LOOKUP(2,1/(('Match Log'!$D$4:$D$810=$Q$24)*('Match Log'!$A$4:$A$810&lt;=$J411)),'Match Log'!$N$4:$N$810),NA()))</f>
        <v>#N/A</v>
      </c>
      <c r="R411" t="e">
        <f>IF($J411&gt;MAX('Match Log'!$A$4:$A$810),NA(),IFERROR(LOOKUP(2,1/(('Match Log'!$D$4:$D$810=$R$24)*('Match Log'!$A$4:$A$810&lt;=$J411)),'Match Log'!$N$4:$N$810),NA()))</f>
        <v>#N/A</v>
      </c>
      <c r="S411" t="e">
        <f>IF($J411&gt;MAX('Match Log'!$A$4:$A$810),NA(),IFERROR(LOOKUP(2,1/(('Match Log'!$D$4:$D$810=$S$24)*('Match Log'!$A$4:$A$810&lt;=$J411)),'Match Log'!$N$4:$N$810),NA()))</f>
        <v>#N/A</v>
      </c>
      <c r="T411" t="e">
        <f>IF($J411&gt;MAX('Match Log'!$A$4:$A$810),NA(),IFERROR(LOOKUP(2,1/(('Match Log'!$D$4:$D$810=$T$24)*('Match Log'!$A$4:$A$810&lt;=$J411)),'Match Log'!$N$4:$N$810),NA()))</f>
        <v>#N/A</v>
      </c>
      <c r="U411" t="e">
        <f>IF($J411&gt;MAX('Match Log'!$A$4:$A$810),NA(),IFERROR(LOOKUP(2,1/(('Match Log'!$D$4:$D$810=$U$24)*('Match Log'!$A$4:$A$810&lt;=$J411)),'Match Log'!$N$4:$N$810),NA()))</f>
        <v>#N/A</v>
      </c>
      <c r="V411" t="e">
        <f>IF($J411&gt;MAX('Match Log'!$A$4:$A$810),NA(),IFERROR(LOOKUP(2,1/(('Match Log'!$D$4:$D$810=$V$24)*('Match Log'!$A$4:$A$810&lt;=$J411)),'Match Log'!$N$4:$N$810),NA()))</f>
        <v>#N/A</v>
      </c>
      <c r="W411" t="e">
        <f>IF($J411&gt;MAX('Match Log'!$A$4:$A$810),NA(),IFERROR(LOOKUP(2,1/(('Match Log'!$D$4:$D$810=$W$24)*('Match Log'!$A$4:$A$810&lt;=$J411)),'Match Log'!$N$4:$N$810),NA()))</f>
        <v>#N/A</v>
      </c>
      <c r="X411" t="e">
        <f>IF($J411&gt;MAX('Match Log'!$A$4:$A$810),NA(),IFERROR(LOOKUP(2,1/(('Match Log'!$D$4:$D$810=$X$24)*('Match Log'!$A$4:$A$810&lt;=$J411)),'Match Log'!$N$4:$N$810),NA()))</f>
        <v>#N/A</v>
      </c>
      <c r="Y411" t="str">
        <f t="shared" ca="1" si="42"/>
        <v/>
      </c>
    </row>
    <row r="412" spans="1:25" x14ac:dyDescent="0.2">
      <c r="A412">
        <v>388</v>
      </c>
      <c r="B412" t="str">
        <f>IFERROR(INDEX('Match Log'!$B$4:$B$810,MATCH(388,'Match Log'!$A$4:$A$810,0)),"")</f>
        <v/>
      </c>
      <c r="C412" t="str">
        <f>IFERROR(INDEX('Match Log'!$C$4:$C$810,MATCH(388,'Match Log'!$A$4:$A$810,0)),"")</f>
        <v/>
      </c>
      <c r="D412" t="str">
        <f t="array" ref="D412">IFERROR(_xlfn.TEXTJOIN(" + ",TRUE,IF(('Match Log'!$A$4:$A$810=$A412)*('Match Log'!$E$4:$E$810="Win"),'Match Log'!$D$4:$D$810,"")),IFERROR(LOOKUP(2,1/(('Match Log'!$A$4:$A$810=$A412)*('Match Log'!$E$4:$E$810="Win")),'Match Log'!$D$4:$D$810),""))</f>
        <v/>
      </c>
      <c r="E412" t="str">
        <f>IFERROR(INDEX('Match Log'!$F$4:$F$810,MATCH(388,'Match Log'!$A$4:$A$810,0)),"")</f>
        <v/>
      </c>
      <c r="F412">
        <f>IFERROR(SUMIFS('Match Log'!$I$4:$I$810,'Match Log'!$A$4:$A$810,388,'Match Log'!$E$4:$E$810,"Win"),"")</f>
        <v>0</v>
      </c>
      <c r="G412" t="str">
        <f t="shared" si="40"/>
        <v/>
      </c>
      <c r="H412" t="str">
        <f t="array" ref="H412">IFERROR(IF(COUNTIFS('Match Log'!$A$4:$A$810,$A412,'Match Log'!$E$4:$E$810,"Win")&gt;1,_xlfn.TEXTJOIN(" + ",TRUE,IF(('Match Log'!$A$4:$A$810=$A412)*('Match Log'!$E$4:$E$810="Loss"),'Match Log'!$D$4:$D$810,"")),IF($E412=2,LOOKUP(2,1/(('Match Log'!$A$4:$A$810=$A412)*('Match Log'!$E$4:$E$810="Loss")),'Match Log'!$D$4:$D$810),"the field")),"")</f>
        <v>the field</v>
      </c>
      <c r="I412" t="str">
        <f t="shared" si="41"/>
        <v/>
      </c>
      <c r="J412">
        <v>388</v>
      </c>
      <c r="K412" t="e">
        <f>IF($J412&gt;MAX('Match Log'!$A$4:$A$810),NA(),IFERROR(LOOKUP(2,1/(('Match Log'!$D$4:$D$810=$K$24)*('Match Log'!$A$4:$A$810&lt;=$J412)),'Match Log'!$N$4:$N$810),NA()))</f>
        <v>#N/A</v>
      </c>
      <c r="L412" t="e">
        <f>IF($J412&gt;MAX('Match Log'!$A$4:$A$810),NA(),IFERROR(LOOKUP(2,1/(('Match Log'!$D$4:$D$810=$L$24)*('Match Log'!$A$4:$A$810&lt;=$J412)),'Match Log'!$N$4:$N$810),NA()))</f>
        <v>#N/A</v>
      </c>
      <c r="M412" t="e">
        <f>IF($J412&gt;MAX('Match Log'!$A$4:$A$810),NA(),IFERROR(LOOKUP(2,1/(('Match Log'!$D$4:$D$810=$M$24)*('Match Log'!$A$4:$A$810&lt;=$J412)),'Match Log'!$N$4:$N$810),NA()))</f>
        <v>#N/A</v>
      </c>
      <c r="N412" t="e">
        <f>IF($J412&gt;MAX('Match Log'!$A$4:$A$810),NA(),IFERROR(LOOKUP(2,1/(('Match Log'!$D$4:$D$810=$N$24)*('Match Log'!$A$4:$A$810&lt;=$J412)),'Match Log'!$N$4:$N$810),NA()))</f>
        <v>#N/A</v>
      </c>
      <c r="O412" t="e">
        <f>IF($J412&gt;MAX('Match Log'!$A$4:$A$810),NA(),IFERROR(LOOKUP(2,1/(('Match Log'!$D$4:$D$810=$O$24)*('Match Log'!$A$4:$A$810&lt;=$J412)),'Match Log'!$N$4:$N$810),NA()))</f>
        <v>#N/A</v>
      </c>
      <c r="P412" t="e">
        <f>IF($J412&gt;MAX('Match Log'!$A$4:$A$810),NA(),IFERROR(LOOKUP(2,1/(('Match Log'!$D$4:$D$810=$P$24)*('Match Log'!$A$4:$A$810&lt;=$J412)),'Match Log'!$N$4:$N$810),NA()))</f>
        <v>#N/A</v>
      </c>
      <c r="Q412" t="e">
        <f>IF($J412&gt;MAX('Match Log'!$A$4:$A$810),NA(),IFERROR(LOOKUP(2,1/(('Match Log'!$D$4:$D$810=$Q$24)*('Match Log'!$A$4:$A$810&lt;=$J412)),'Match Log'!$N$4:$N$810),NA()))</f>
        <v>#N/A</v>
      </c>
      <c r="R412" t="e">
        <f>IF($J412&gt;MAX('Match Log'!$A$4:$A$810),NA(),IFERROR(LOOKUP(2,1/(('Match Log'!$D$4:$D$810=$R$24)*('Match Log'!$A$4:$A$810&lt;=$J412)),'Match Log'!$N$4:$N$810),NA()))</f>
        <v>#N/A</v>
      </c>
      <c r="S412" t="e">
        <f>IF($J412&gt;MAX('Match Log'!$A$4:$A$810),NA(),IFERROR(LOOKUP(2,1/(('Match Log'!$D$4:$D$810=$S$24)*('Match Log'!$A$4:$A$810&lt;=$J412)),'Match Log'!$N$4:$N$810),NA()))</f>
        <v>#N/A</v>
      </c>
      <c r="T412" t="e">
        <f>IF($J412&gt;MAX('Match Log'!$A$4:$A$810),NA(),IFERROR(LOOKUP(2,1/(('Match Log'!$D$4:$D$810=$T$24)*('Match Log'!$A$4:$A$810&lt;=$J412)),'Match Log'!$N$4:$N$810),NA()))</f>
        <v>#N/A</v>
      </c>
      <c r="U412" t="e">
        <f>IF($J412&gt;MAX('Match Log'!$A$4:$A$810),NA(),IFERROR(LOOKUP(2,1/(('Match Log'!$D$4:$D$810=$U$24)*('Match Log'!$A$4:$A$810&lt;=$J412)),'Match Log'!$N$4:$N$810),NA()))</f>
        <v>#N/A</v>
      </c>
      <c r="V412" t="e">
        <f>IF($J412&gt;MAX('Match Log'!$A$4:$A$810),NA(),IFERROR(LOOKUP(2,1/(('Match Log'!$D$4:$D$810=$V$24)*('Match Log'!$A$4:$A$810&lt;=$J412)),'Match Log'!$N$4:$N$810),NA()))</f>
        <v>#N/A</v>
      </c>
      <c r="W412" t="e">
        <f>IF($J412&gt;MAX('Match Log'!$A$4:$A$810),NA(),IFERROR(LOOKUP(2,1/(('Match Log'!$D$4:$D$810=$W$24)*('Match Log'!$A$4:$A$810&lt;=$J412)),'Match Log'!$N$4:$N$810),NA()))</f>
        <v>#N/A</v>
      </c>
      <c r="X412" t="e">
        <f>IF($J412&gt;MAX('Match Log'!$A$4:$A$810),NA(),IFERROR(LOOKUP(2,1/(('Match Log'!$D$4:$D$810=$X$24)*('Match Log'!$A$4:$A$810&lt;=$J412)),'Match Log'!$N$4:$N$810),NA()))</f>
        <v>#N/A</v>
      </c>
      <c r="Y412" t="str">
        <f t="shared" ca="1" si="42"/>
        <v/>
      </c>
    </row>
    <row r="413" spans="1:25" x14ac:dyDescent="0.2">
      <c r="A413">
        <v>389</v>
      </c>
      <c r="B413" t="str">
        <f>IFERROR(INDEX('Match Log'!$B$4:$B$810,MATCH(389,'Match Log'!$A$4:$A$810,0)),"")</f>
        <v/>
      </c>
      <c r="C413" t="str">
        <f>IFERROR(INDEX('Match Log'!$C$4:$C$810,MATCH(389,'Match Log'!$A$4:$A$810,0)),"")</f>
        <v/>
      </c>
      <c r="D413" t="str">
        <f t="array" ref="D413">IFERROR(_xlfn.TEXTJOIN(" + ",TRUE,IF(('Match Log'!$A$4:$A$810=$A413)*('Match Log'!$E$4:$E$810="Win"),'Match Log'!$D$4:$D$810,"")),IFERROR(LOOKUP(2,1/(('Match Log'!$A$4:$A$810=$A413)*('Match Log'!$E$4:$E$810="Win")),'Match Log'!$D$4:$D$810),""))</f>
        <v/>
      </c>
      <c r="E413" t="str">
        <f>IFERROR(INDEX('Match Log'!$F$4:$F$810,MATCH(389,'Match Log'!$A$4:$A$810,0)),"")</f>
        <v/>
      </c>
      <c r="F413">
        <f>IFERROR(SUMIFS('Match Log'!$I$4:$I$810,'Match Log'!$A$4:$A$810,389,'Match Log'!$E$4:$E$810,"Win"),"")</f>
        <v>0</v>
      </c>
      <c r="G413" t="str">
        <f t="shared" si="40"/>
        <v/>
      </c>
      <c r="H413" t="str">
        <f t="array" ref="H413">IFERROR(IF(COUNTIFS('Match Log'!$A$4:$A$810,$A413,'Match Log'!$E$4:$E$810,"Win")&gt;1,_xlfn.TEXTJOIN(" + ",TRUE,IF(('Match Log'!$A$4:$A$810=$A413)*('Match Log'!$E$4:$E$810="Loss"),'Match Log'!$D$4:$D$810,"")),IF($E413=2,LOOKUP(2,1/(('Match Log'!$A$4:$A$810=$A413)*('Match Log'!$E$4:$E$810="Loss")),'Match Log'!$D$4:$D$810),"the field")),"")</f>
        <v>the field</v>
      </c>
      <c r="I413" t="str">
        <f t="shared" si="41"/>
        <v/>
      </c>
      <c r="J413">
        <v>389</v>
      </c>
      <c r="K413" t="e">
        <f>IF($J413&gt;MAX('Match Log'!$A$4:$A$810),NA(),IFERROR(LOOKUP(2,1/(('Match Log'!$D$4:$D$810=$K$24)*('Match Log'!$A$4:$A$810&lt;=$J413)),'Match Log'!$N$4:$N$810),NA()))</f>
        <v>#N/A</v>
      </c>
      <c r="L413" t="e">
        <f>IF($J413&gt;MAX('Match Log'!$A$4:$A$810),NA(),IFERROR(LOOKUP(2,1/(('Match Log'!$D$4:$D$810=$L$24)*('Match Log'!$A$4:$A$810&lt;=$J413)),'Match Log'!$N$4:$N$810),NA()))</f>
        <v>#N/A</v>
      </c>
      <c r="M413" t="e">
        <f>IF($J413&gt;MAX('Match Log'!$A$4:$A$810),NA(),IFERROR(LOOKUP(2,1/(('Match Log'!$D$4:$D$810=$M$24)*('Match Log'!$A$4:$A$810&lt;=$J413)),'Match Log'!$N$4:$N$810),NA()))</f>
        <v>#N/A</v>
      </c>
      <c r="N413" t="e">
        <f>IF($J413&gt;MAX('Match Log'!$A$4:$A$810),NA(),IFERROR(LOOKUP(2,1/(('Match Log'!$D$4:$D$810=$N$24)*('Match Log'!$A$4:$A$810&lt;=$J413)),'Match Log'!$N$4:$N$810),NA()))</f>
        <v>#N/A</v>
      </c>
      <c r="O413" t="e">
        <f>IF($J413&gt;MAX('Match Log'!$A$4:$A$810),NA(),IFERROR(LOOKUP(2,1/(('Match Log'!$D$4:$D$810=$O$24)*('Match Log'!$A$4:$A$810&lt;=$J413)),'Match Log'!$N$4:$N$810),NA()))</f>
        <v>#N/A</v>
      </c>
      <c r="P413" t="e">
        <f>IF($J413&gt;MAX('Match Log'!$A$4:$A$810),NA(),IFERROR(LOOKUP(2,1/(('Match Log'!$D$4:$D$810=$P$24)*('Match Log'!$A$4:$A$810&lt;=$J413)),'Match Log'!$N$4:$N$810),NA()))</f>
        <v>#N/A</v>
      </c>
      <c r="Q413" t="e">
        <f>IF($J413&gt;MAX('Match Log'!$A$4:$A$810),NA(),IFERROR(LOOKUP(2,1/(('Match Log'!$D$4:$D$810=$Q$24)*('Match Log'!$A$4:$A$810&lt;=$J413)),'Match Log'!$N$4:$N$810),NA()))</f>
        <v>#N/A</v>
      </c>
      <c r="R413" t="e">
        <f>IF($J413&gt;MAX('Match Log'!$A$4:$A$810),NA(),IFERROR(LOOKUP(2,1/(('Match Log'!$D$4:$D$810=$R$24)*('Match Log'!$A$4:$A$810&lt;=$J413)),'Match Log'!$N$4:$N$810),NA()))</f>
        <v>#N/A</v>
      </c>
      <c r="S413" t="e">
        <f>IF($J413&gt;MAX('Match Log'!$A$4:$A$810),NA(),IFERROR(LOOKUP(2,1/(('Match Log'!$D$4:$D$810=$S$24)*('Match Log'!$A$4:$A$810&lt;=$J413)),'Match Log'!$N$4:$N$810),NA()))</f>
        <v>#N/A</v>
      </c>
      <c r="T413" t="e">
        <f>IF($J413&gt;MAX('Match Log'!$A$4:$A$810),NA(),IFERROR(LOOKUP(2,1/(('Match Log'!$D$4:$D$810=$T$24)*('Match Log'!$A$4:$A$810&lt;=$J413)),'Match Log'!$N$4:$N$810),NA()))</f>
        <v>#N/A</v>
      </c>
      <c r="U413" t="e">
        <f>IF($J413&gt;MAX('Match Log'!$A$4:$A$810),NA(),IFERROR(LOOKUP(2,1/(('Match Log'!$D$4:$D$810=$U$24)*('Match Log'!$A$4:$A$810&lt;=$J413)),'Match Log'!$N$4:$N$810),NA()))</f>
        <v>#N/A</v>
      </c>
      <c r="V413" t="e">
        <f>IF($J413&gt;MAX('Match Log'!$A$4:$A$810),NA(),IFERROR(LOOKUP(2,1/(('Match Log'!$D$4:$D$810=$V$24)*('Match Log'!$A$4:$A$810&lt;=$J413)),'Match Log'!$N$4:$N$810),NA()))</f>
        <v>#N/A</v>
      </c>
      <c r="W413" t="e">
        <f>IF($J413&gt;MAX('Match Log'!$A$4:$A$810),NA(),IFERROR(LOOKUP(2,1/(('Match Log'!$D$4:$D$810=$W$24)*('Match Log'!$A$4:$A$810&lt;=$J413)),'Match Log'!$N$4:$N$810),NA()))</f>
        <v>#N/A</v>
      </c>
      <c r="X413" t="e">
        <f>IF($J413&gt;MAX('Match Log'!$A$4:$A$810),NA(),IFERROR(LOOKUP(2,1/(('Match Log'!$D$4:$D$810=$X$24)*('Match Log'!$A$4:$A$810&lt;=$J413)),'Match Log'!$N$4:$N$810),NA()))</f>
        <v>#N/A</v>
      </c>
      <c r="Y413" t="str">
        <f t="shared" ca="1" si="42"/>
        <v/>
      </c>
    </row>
    <row r="414" spans="1:25" x14ac:dyDescent="0.2">
      <c r="A414">
        <v>390</v>
      </c>
      <c r="B414" t="str">
        <f>IFERROR(INDEX('Match Log'!$B$4:$B$810,MATCH(390,'Match Log'!$A$4:$A$810,0)),"")</f>
        <v/>
      </c>
      <c r="C414" t="str">
        <f>IFERROR(INDEX('Match Log'!$C$4:$C$810,MATCH(390,'Match Log'!$A$4:$A$810,0)),"")</f>
        <v/>
      </c>
      <c r="D414" t="str">
        <f t="array" ref="D414">IFERROR(_xlfn.TEXTJOIN(" + ",TRUE,IF(('Match Log'!$A$4:$A$810=$A414)*('Match Log'!$E$4:$E$810="Win"),'Match Log'!$D$4:$D$810,"")),IFERROR(LOOKUP(2,1/(('Match Log'!$A$4:$A$810=$A414)*('Match Log'!$E$4:$E$810="Win")),'Match Log'!$D$4:$D$810),""))</f>
        <v/>
      </c>
      <c r="E414" t="str">
        <f>IFERROR(INDEX('Match Log'!$F$4:$F$810,MATCH(390,'Match Log'!$A$4:$A$810,0)),"")</f>
        <v/>
      </c>
      <c r="F414">
        <f>IFERROR(SUMIFS('Match Log'!$I$4:$I$810,'Match Log'!$A$4:$A$810,390,'Match Log'!$E$4:$E$810,"Win"),"")</f>
        <v>0</v>
      </c>
      <c r="G414" t="str">
        <f t="shared" si="40"/>
        <v/>
      </c>
      <c r="H414" t="str">
        <f t="array" ref="H414">IFERROR(IF(COUNTIFS('Match Log'!$A$4:$A$810,$A414,'Match Log'!$E$4:$E$810,"Win")&gt;1,_xlfn.TEXTJOIN(" + ",TRUE,IF(('Match Log'!$A$4:$A$810=$A414)*('Match Log'!$E$4:$E$810="Loss"),'Match Log'!$D$4:$D$810,"")),IF($E414=2,LOOKUP(2,1/(('Match Log'!$A$4:$A$810=$A414)*('Match Log'!$E$4:$E$810="Loss")),'Match Log'!$D$4:$D$810),"the field")),"")</f>
        <v>the field</v>
      </c>
      <c r="I414" t="str">
        <f t="shared" si="41"/>
        <v/>
      </c>
      <c r="J414">
        <v>390</v>
      </c>
      <c r="K414" t="e">
        <f>IF($J414&gt;MAX('Match Log'!$A$4:$A$810),NA(),IFERROR(LOOKUP(2,1/(('Match Log'!$D$4:$D$810=$K$24)*('Match Log'!$A$4:$A$810&lt;=$J414)),'Match Log'!$N$4:$N$810),NA()))</f>
        <v>#N/A</v>
      </c>
      <c r="L414" t="e">
        <f>IF($J414&gt;MAX('Match Log'!$A$4:$A$810),NA(),IFERROR(LOOKUP(2,1/(('Match Log'!$D$4:$D$810=$L$24)*('Match Log'!$A$4:$A$810&lt;=$J414)),'Match Log'!$N$4:$N$810),NA()))</f>
        <v>#N/A</v>
      </c>
      <c r="M414" t="e">
        <f>IF($J414&gt;MAX('Match Log'!$A$4:$A$810),NA(),IFERROR(LOOKUP(2,1/(('Match Log'!$D$4:$D$810=$M$24)*('Match Log'!$A$4:$A$810&lt;=$J414)),'Match Log'!$N$4:$N$810),NA()))</f>
        <v>#N/A</v>
      </c>
      <c r="N414" t="e">
        <f>IF($J414&gt;MAX('Match Log'!$A$4:$A$810),NA(),IFERROR(LOOKUP(2,1/(('Match Log'!$D$4:$D$810=$N$24)*('Match Log'!$A$4:$A$810&lt;=$J414)),'Match Log'!$N$4:$N$810),NA()))</f>
        <v>#N/A</v>
      </c>
      <c r="O414" t="e">
        <f>IF($J414&gt;MAX('Match Log'!$A$4:$A$810),NA(),IFERROR(LOOKUP(2,1/(('Match Log'!$D$4:$D$810=$O$24)*('Match Log'!$A$4:$A$810&lt;=$J414)),'Match Log'!$N$4:$N$810),NA()))</f>
        <v>#N/A</v>
      </c>
      <c r="P414" t="e">
        <f>IF($J414&gt;MAX('Match Log'!$A$4:$A$810),NA(),IFERROR(LOOKUP(2,1/(('Match Log'!$D$4:$D$810=$P$24)*('Match Log'!$A$4:$A$810&lt;=$J414)),'Match Log'!$N$4:$N$810),NA()))</f>
        <v>#N/A</v>
      </c>
      <c r="Q414" t="e">
        <f>IF($J414&gt;MAX('Match Log'!$A$4:$A$810),NA(),IFERROR(LOOKUP(2,1/(('Match Log'!$D$4:$D$810=$Q$24)*('Match Log'!$A$4:$A$810&lt;=$J414)),'Match Log'!$N$4:$N$810),NA()))</f>
        <v>#N/A</v>
      </c>
      <c r="R414" t="e">
        <f>IF($J414&gt;MAX('Match Log'!$A$4:$A$810),NA(),IFERROR(LOOKUP(2,1/(('Match Log'!$D$4:$D$810=$R$24)*('Match Log'!$A$4:$A$810&lt;=$J414)),'Match Log'!$N$4:$N$810),NA()))</f>
        <v>#N/A</v>
      </c>
      <c r="S414" t="e">
        <f>IF($J414&gt;MAX('Match Log'!$A$4:$A$810),NA(),IFERROR(LOOKUP(2,1/(('Match Log'!$D$4:$D$810=$S$24)*('Match Log'!$A$4:$A$810&lt;=$J414)),'Match Log'!$N$4:$N$810),NA()))</f>
        <v>#N/A</v>
      </c>
      <c r="T414" t="e">
        <f>IF($J414&gt;MAX('Match Log'!$A$4:$A$810),NA(),IFERROR(LOOKUP(2,1/(('Match Log'!$D$4:$D$810=$T$24)*('Match Log'!$A$4:$A$810&lt;=$J414)),'Match Log'!$N$4:$N$810),NA()))</f>
        <v>#N/A</v>
      </c>
      <c r="U414" t="e">
        <f>IF($J414&gt;MAX('Match Log'!$A$4:$A$810),NA(),IFERROR(LOOKUP(2,1/(('Match Log'!$D$4:$D$810=$U$24)*('Match Log'!$A$4:$A$810&lt;=$J414)),'Match Log'!$N$4:$N$810),NA()))</f>
        <v>#N/A</v>
      </c>
      <c r="V414" t="e">
        <f>IF($J414&gt;MAX('Match Log'!$A$4:$A$810),NA(),IFERROR(LOOKUP(2,1/(('Match Log'!$D$4:$D$810=$V$24)*('Match Log'!$A$4:$A$810&lt;=$J414)),'Match Log'!$N$4:$N$810),NA()))</f>
        <v>#N/A</v>
      </c>
      <c r="W414" t="e">
        <f>IF($J414&gt;MAX('Match Log'!$A$4:$A$810),NA(),IFERROR(LOOKUP(2,1/(('Match Log'!$D$4:$D$810=$W$24)*('Match Log'!$A$4:$A$810&lt;=$J414)),'Match Log'!$N$4:$N$810),NA()))</f>
        <v>#N/A</v>
      </c>
      <c r="X414" t="e">
        <f>IF($J414&gt;MAX('Match Log'!$A$4:$A$810),NA(),IFERROR(LOOKUP(2,1/(('Match Log'!$D$4:$D$810=$X$24)*('Match Log'!$A$4:$A$810&lt;=$J414)),'Match Log'!$N$4:$N$810),NA()))</f>
        <v>#N/A</v>
      </c>
      <c r="Y414" t="str">
        <f t="shared" ca="1" si="42"/>
        <v/>
      </c>
    </row>
    <row r="415" spans="1:25" x14ac:dyDescent="0.2">
      <c r="A415">
        <v>391</v>
      </c>
      <c r="B415" t="str">
        <f>IFERROR(INDEX('Match Log'!$B$4:$B$810,MATCH(391,'Match Log'!$A$4:$A$810,0)),"")</f>
        <v/>
      </c>
      <c r="C415" t="str">
        <f>IFERROR(INDEX('Match Log'!$C$4:$C$810,MATCH(391,'Match Log'!$A$4:$A$810,0)),"")</f>
        <v/>
      </c>
      <c r="D415" t="str">
        <f t="array" ref="D415">IFERROR(_xlfn.TEXTJOIN(" + ",TRUE,IF(('Match Log'!$A$4:$A$810=$A415)*('Match Log'!$E$4:$E$810="Win"),'Match Log'!$D$4:$D$810,"")),IFERROR(LOOKUP(2,1/(('Match Log'!$A$4:$A$810=$A415)*('Match Log'!$E$4:$E$810="Win")),'Match Log'!$D$4:$D$810),""))</f>
        <v/>
      </c>
      <c r="E415" t="str">
        <f>IFERROR(INDEX('Match Log'!$F$4:$F$810,MATCH(391,'Match Log'!$A$4:$A$810,0)),"")</f>
        <v/>
      </c>
      <c r="F415">
        <f>IFERROR(SUMIFS('Match Log'!$I$4:$I$810,'Match Log'!$A$4:$A$810,391,'Match Log'!$E$4:$E$810,"Win"),"")</f>
        <v>0</v>
      </c>
      <c r="G415" t="str">
        <f t="shared" si="40"/>
        <v/>
      </c>
      <c r="H415" t="str">
        <f t="array" ref="H415">IFERROR(IF(COUNTIFS('Match Log'!$A$4:$A$810,$A415,'Match Log'!$E$4:$E$810,"Win")&gt;1,_xlfn.TEXTJOIN(" + ",TRUE,IF(('Match Log'!$A$4:$A$810=$A415)*('Match Log'!$E$4:$E$810="Loss"),'Match Log'!$D$4:$D$810,"")),IF($E415=2,LOOKUP(2,1/(('Match Log'!$A$4:$A$810=$A415)*('Match Log'!$E$4:$E$810="Loss")),'Match Log'!$D$4:$D$810),"the field")),"")</f>
        <v>the field</v>
      </c>
      <c r="I415" t="str">
        <f t="shared" si="41"/>
        <v/>
      </c>
      <c r="J415">
        <v>391</v>
      </c>
      <c r="K415" t="e">
        <f>IF($J415&gt;MAX('Match Log'!$A$4:$A$810),NA(),IFERROR(LOOKUP(2,1/(('Match Log'!$D$4:$D$810=$K$24)*('Match Log'!$A$4:$A$810&lt;=$J415)),'Match Log'!$N$4:$N$810),NA()))</f>
        <v>#N/A</v>
      </c>
      <c r="L415" t="e">
        <f>IF($J415&gt;MAX('Match Log'!$A$4:$A$810),NA(),IFERROR(LOOKUP(2,1/(('Match Log'!$D$4:$D$810=$L$24)*('Match Log'!$A$4:$A$810&lt;=$J415)),'Match Log'!$N$4:$N$810),NA()))</f>
        <v>#N/A</v>
      </c>
      <c r="M415" t="e">
        <f>IF($J415&gt;MAX('Match Log'!$A$4:$A$810),NA(),IFERROR(LOOKUP(2,1/(('Match Log'!$D$4:$D$810=$M$24)*('Match Log'!$A$4:$A$810&lt;=$J415)),'Match Log'!$N$4:$N$810),NA()))</f>
        <v>#N/A</v>
      </c>
      <c r="N415" t="e">
        <f>IF($J415&gt;MAX('Match Log'!$A$4:$A$810),NA(),IFERROR(LOOKUP(2,1/(('Match Log'!$D$4:$D$810=$N$24)*('Match Log'!$A$4:$A$810&lt;=$J415)),'Match Log'!$N$4:$N$810),NA()))</f>
        <v>#N/A</v>
      </c>
      <c r="O415" t="e">
        <f>IF($J415&gt;MAX('Match Log'!$A$4:$A$810),NA(),IFERROR(LOOKUP(2,1/(('Match Log'!$D$4:$D$810=$O$24)*('Match Log'!$A$4:$A$810&lt;=$J415)),'Match Log'!$N$4:$N$810),NA()))</f>
        <v>#N/A</v>
      </c>
      <c r="P415" t="e">
        <f>IF($J415&gt;MAX('Match Log'!$A$4:$A$810),NA(),IFERROR(LOOKUP(2,1/(('Match Log'!$D$4:$D$810=$P$24)*('Match Log'!$A$4:$A$810&lt;=$J415)),'Match Log'!$N$4:$N$810),NA()))</f>
        <v>#N/A</v>
      </c>
      <c r="Q415" t="e">
        <f>IF($J415&gt;MAX('Match Log'!$A$4:$A$810),NA(),IFERROR(LOOKUP(2,1/(('Match Log'!$D$4:$D$810=$Q$24)*('Match Log'!$A$4:$A$810&lt;=$J415)),'Match Log'!$N$4:$N$810),NA()))</f>
        <v>#N/A</v>
      </c>
      <c r="R415" t="e">
        <f>IF($J415&gt;MAX('Match Log'!$A$4:$A$810),NA(),IFERROR(LOOKUP(2,1/(('Match Log'!$D$4:$D$810=$R$24)*('Match Log'!$A$4:$A$810&lt;=$J415)),'Match Log'!$N$4:$N$810),NA()))</f>
        <v>#N/A</v>
      </c>
      <c r="S415" t="e">
        <f>IF($J415&gt;MAX('Match Log'!$A$4:$A$810),NA(),IFERROR(LOOKUP(2,1/(('Match Log'!$D$4:$D$810=$S$24)*('Match Log'!$A$4:$A$810&lt;=$J415)),'Match Log'!$N$4:$N$810),NA()))</f>
        <v>#N/A</v>
      </c>
      <c r="T415" t="e">
        <f>IF($J415&gt;MAX('Match Log'!$A$4:$A$810),NA(),IFERROR(LOOKUP(2,1/(('Match Log'!$D$4:$D$810=$T$24)*('Match Log'!$A$4:$A$810&lt;=$J415)),'Match Log'!$N$4:$N$810),NA()))</f>
        <v>#N/A</v>
      </c>
      <c r="U415" t="e">
        <f>IF($J415&gt;MAX('Match Log'!$A$4:$A$810),NA(),IFERROR(LOOKUP(2,1/(('Match Log'!$D$4:$D$810=$U$24)*('Match Log'!$A$4:$A$810&lt;=$J415)),'Match Log'!$N$4:$N$810),NA()))</f>
        <v>#N/A</v>
      </c>
      <c r="V415" t="e">
        <f>IF($J415&gt;MAX('Match Log'!$A$4:$A$810),NA(),IFERROR(LOOKUP(2,1/(('Match Log'!$D$4:$D$810=$V$24)*('Match Log'!$A$4:$A$810&lt;=$J415)),'Match Log'!$N$4:$N$810),NA()))</f>
        <v>#N/A</v>
      </c>
      <c r="W415" t="e">
        <f>IF($J415&gt;MAX('Match Log'!$A$4:$A$810),NA(),IFERROR(LOOKUP(2,1/(('Match Log'!$D$4:$D$810=$W$24)*('Match Log'!$A$4:$A$810&lt;=$J415)),'Match Log'!$N$4:$N$810),NA()))</f>
        <v>#N/A</v>
      </c>
      <c r="X415" t="e">
        <f>IF($J415&gt;MAX('Match Log'!$A$4:$A$810),NA(),IFERROR(LOOKUP(2,1/(('Match Log'!$D$4:$D$810=$X$24)*('Match Log'!$A$4:$A$810&lt;=$J415)),'Match Log'!$N$4:$N$810),NA()))</f>
        <v>#N/A</v>
      </c>
      <c r="Y415" t="str">
        <f t="shared" ca="1" si="42"/>
        <v/>
      </c>
    </row>
    <row r="416" spans="1:25" x14ac:dyDescent="0.2">
      <c r="A416">
        <v>392</v>
      </c>
      <c r="B416" t="str">
        <f>IFERROR(INDEX('Match Log'!$B$4:$B$810,MATCH(392,'Match Log'!$A$4:$A$810,0)),"")</f>
        <v/>
      </c>
      <c r="C416" t="str">
        <f>IFERROR(INDEX('Match Log'!$C$4:$C$810,MATCH(392,'Match Log'!$A$4:$A$810,0)),"")</f>
        <v/>
      </c>
      <c r="D416" t="str">
        <f t="array" ref="D416">IFERROR(_xlfn.TEXTJOIN(" + ",TRUE,IF(('Match Log'!$A$4:$A$810=$A416)*('Match Log'!$E$4:$E$810="Win"),'Match Log'!$D$4:$D$810,"")),IFERROR(LOOKUP(2,1/(('Match Log'!$A$4:$A$810=$A416)*('Match Log'!$E$4:$E$810="Win")),'Match Log'!$D$4:$D$810),""))</f>
        <v/>
      </c>
      <c r="E416" t="str">
        <f>IFERROR(INDEX('Match Log'!$F$4:$F$810,MATCH(392,'Match Log'!$A$4:$A$810,0)),"")</f>
        <v/>
      </c>
      <c r="F416">
        <f>IFERROR(SUMIFS('Match Log'!$I$4:$I$810,'Match Log'!$A$4:$A$810,392,'Match Log'!$E$4:$E$810,"Win"),"")</f>
        <v>0</v>
      </c>
      <c r="G416" t="str">
        <f t="shared" si="40"/>
        <v/>
      </c>
      <c r="H416" t="str">
        <f t="array" ref="H416">IFERROR(IF(COUNTIFS('Match Log'!$A$4:$A$810,$A416,'Match Log'!$E$4:$E$810,"Win")&gt;1,_xlfn.TEXTJOIN(" + ",TRUE,IF(('Match Log'!$A$4:$A$810=$A416)*('Match Log'!$E$4:$E$810="Loss"),'Match Log'!$D$4:$D$810,"")),IF($E416=2,LOOKUP(2,1/(('Match Log'!$A$4:$A$810=$A416)*('Match Log'!$E$4:$E$810="Loss")),'Match Log'!$D$4:$D$810),"the field")),"")</f>
        <v>the field</v>
      </c>
      <c r="I416" t="str">
        <f t="shared" si="41"/>
        <v/>
      </c>
      <c r="J416">
        <v>392</v>
      </c>
      <c r="K416" t="e">
        <f>IF($J416&gt;MAX('Match Log'!$A$4:$A$810),NA(),IFERROR(LOOKUP(2,1/(('Match Log'!$D$4:$D$810=$K$24)*('Match Log'!$A$4:$A$810&lt;=$J416)),'Match Log'!$N$4:$N$810),NA()))</f>
        <v>#N/A</v>
      </c>
      <c r="L416" t="e">
        <f>IF($J416&gt;MAX('Match Log'!$A$4:$A$810),NA(),IFERROR(LOOKUP(2,1/(('Match Log'!$D$4:$D$810=$L$24)*('Match Log'!$A$4:$A$810&lt;=$J416)),'Match Log'!$N$4:$N$810),NA()))</f>
        <v>#N/A</v>
      </c>
      <c r="M416" t="e">
        <f>IF($J416&gt;MAX('Match Log'!$A$4:$A$810),NA(),IFERROR(LOOKUP(2,1/(('Match Log'!$D$4:$D$810=$M$24)*('Match Log'!$A$4:$A$810&lt;=$J416)),'Match Log'!$N$4:$N$810),NA()))</f>
        <v>#N/A</v>
      </c>
      <c r="N416" t="e">
        <f>IF($J416&gt;MAX('Match Log'!$A$4:$A$810),NA(),IFERROR(LOOKUP(2,1/(('Match Log'!$D$4:$D$810=$N$24)*('Match Log'!$A$4:$A$810&lt;=$J416)),'Match Log'!$N$4:$N$810),NA()))</f>
        <v>#N/A</v>
      </c>
      <c r="O416" t="e">
        <f>IF($J416&gt;MAX('Match Log'!$A$4:$A$810),NA(),IFERROR(LOOKUP(2,1/(('Match Log'!$D$4:$D$810=$O$24)*('Match Log'!$A$4:$A$810&lt;=$J416)),'Match Log'!$N$4:$N$810),NA()))</f>
        <v>#N/A</v>
      </c>
      <c r="P416" t="e">
        <f>IF($J416&gt;MAX('Match Log'!$A$4:$A$810),NA(),IFERROR(LOOKUP(2,1/(('Match Log'!$D$4:$D$810=$P$24)*('Match Log'!$A$4:$A$810&lt;=$J416)),'Match Log'!$N$4:$N$810),NA()))</f>
        <v>#N/A</v>
      </c>
      <c r="Q416" t="e">
        <f>IF($J416&gt;MAX('Match Log'!$A$4:$A$810),NA(),IFERROR(LOOKUP(2,1/(('Match Log'!$D$4:$D$810=$Q$24)*('Match Log'!$A$4:$A$810&lt;=$J416)),'Match Log'!$N$4:$N$810),NA()))</f>
        <v>#N/A</v>
      </c>
      <c r="R416" t="e">
        <f>IF($J416&gt;MAX('Match Log'!$A$4:$A$810),NA(),IFERROR(LOOKUP(2,1/(('Match Log'!$D$4:$D$810=$R$24)*('Match Log'!$A$4:$A$810&lt;=$J416)),'Match Log'!$N$4:$N$810),NA()))</f>
        <v>#N/A</v>
      </c>
      <c r="S416" t="e">
        <f>IF($J416&gt;MAX('Match Log'!$A$4:$A$810),NA(),IFERROR(LOOKUP(2,1/(('Match Log'!$D$4:$D$810=$S$24)*('Match Log'!$A$4:$A$810&lt;=$J416)),'Match Log'!$N$4:$N$810),NA()))</f>
        <v>#N/A</v>
      </c>
      <c r="T416" t="e">
        <f>IF($J416&gt;MAX('Match Log'!$A$4:$A$810),NA(),IFERROR(LOOKUP(2,1/(('Match Log'!$D$4:$D$810=$T$24)*('Match Log'!$A$4:$A$810&lt;=$J416)),'Match Log'!$N$4:$N$810),NA()))</f>
        <v>#N/A</v>
      </c>
      <c r="U416" t="e">
        <f>IF($J416&gt;MAX('Match Log'!$A$4:$A$810),NA(),IFERROR(LOOKUP(2,1/(('Match Log'!$D$4:$D$810=$U$24)*('Match Log'!$A$4:$A$810&lt;=$J416)),'Match Log'!$N$4:$N$810),NA()))</f>
        <v>#N/A</v>
      </c>
      <c r="V416" t="e">
        <f>IF($J416&gt;MAX('Match Log'!$A$4:$A$810),NA(),IFERROR(LOOKUP(2,1/(('Match Log'!$D$4:$D$810=$V$24)*('Match Log'!$A$4:$A$810&lt;=$J416)),'Match Log'!$N$4:$N$810),NA()))</f>
        <v>#N/A</v>
      </c>
      <c r="W416" t="e">
        <f>IF($J416&gt;MAX('Match Log'!$A$4:$A$810),NA(),IFERROR(LOOKUP(2,1/(('Match Log'!$D$4:$D$810=$W$24)*('Match Log'!$A$4:$A$810&lt;=$J416)),'Match Log'!$N$4:$N$810),NA()))</f>
        <v>#N/A</v>
      </c>
      <c r="X416" t="e">
        <f>IF($J416&gt;MAX('Match Log'!$A$4:$A$810),NA(),IFERROR(LOOKUP(2,1/(('Match Log'!$D$4:$D$810=$X$24)*('Match Log'!$A$4:$A$810&lt;=$J416)),'Match Log'!$N$4:$N$810),NA()))</f>
        <v>#N/A</v>
      </c>
      <c r="Y416" t="str">
        <f t="shared" ca="1" si="42"/>
        <v/>
      </c>
    </row>
    <row r="417" spans="1:25" x14ac:dyDescent="0.2">
      <c r="A417">
        <v>393</v>
      </c>
      <c r="B417" t="str">
        <f>IFERROR(INDEX('Match Log'!$B$4:$B$810,MATCH(393,'Match Log'!$A$4:$A$810,0)),"")</f>
        <v/>
      </c>
      <c r="C417" t="str">
        <f>IFERROR(INDEX('Match Log'!$C$4:$C$810,MATCH(393,'Match Log'!$A$4:$A$810,0)),"")</f>
        <v/>
      </c>
      <c r="D417" t="str">
        <f t="array" ref="D417">IFERROR(_xlfn.TEXTJOIN(" + ",TRUE,IF(('Match Log'!$A$4:$A$810=$A417)*('Match Log'!$E$4:$E$810="Win"),'Match Log'!$D$4:$D$810,"")),IFERROR(LOOKUP(2,1/(('Match Log'!$A$4:$A$810=$A417)*('Match Log'!$E$4:$E$810="Win")),'Match Log'!$D$4:$D$810),""))</f>
        <v/>
      </c>
      <c r="E417" t="str">
        <f>IFERROR(INDEX('Match Log'!$F$4:$F$810,MATCH(393,'Match Log'!$A$4:$A$810,0)),"")</f>
        <v/>
      </c>
      <c r="F417">
        <f>IFERROR(SUMIFS('Match Log'!$I$4:$I$810,'Match Log'!$A$4:$A$810,393,'Match Log'!$E$4:$E$810,"Win"),"")</f>
        <v>0</v>
      </c>
      <c r="G417" t="str">
        <f t="shared" si="40"/>
        <v/>
      </c>
      <c r="H417" t="str">
        <f t="array" ref="H417">IFERROR(IF(COUNTIFS('Match Log'!$A$4:$A$810,$A417,'Match Log'!$E$4:$E$810,"Win")&gt;1,_xlfn.TEXTJOIN(" + ",TRUE,IF(('Match Log'!$A$4:$A$810=$A417)*('Match Log'!$E$4:$E$810="Loss"),'Match Log'!$D$4:$D$810,"")),IF($E417=2,LOOKUP(2,1/(('Match Log'!$A$4:$A$810=$A417)*('Match Log'!$E$4:$E$810="Loss")),'Match Log'!$D$4:$D$810),"the field")),"")</f>
        <v>the field</v>
      </c>
      <c r="I417" t="str">
        <f t="shared" si="41"/>
        <v/>
      </c>
      <c r="J417">
        <v>393</v>
      </c>
      <c r="K417" t="e">
        <f>IF($J417&gt;MAX('Match Log'!$A$4:$A$810),NA(),IFERROR(LOOKUP(2,1/(('Match Log'!$D$4:$D$810=$K$24)*('Match Log'!$A$4:$A$810&lt;=$J417)),'Match Log'!$N$4:$N$810),NA()))</f>
        <v>#N/A</v>
      </c>
      <c r="L417" t="e">
        <f>IF($J417&gt;MAX('Match Log'!$A$4:$A$810),NA(),IFERROR(LOOKUP(2,1/(('Match Log'!$D$4:$D$810=$L$24)*('Match Log'!$A$4:$A$810&lt;=$J417)),'Match Log'!$N$4:$N$810),NA()))</f>
        <v>#N/A</v>
      </c>
      <c r="M417" t="e">
        <f>IF($J417&gt;MAX('Match Log'!$A$4:$A$810),NA(),IFERROR(LOOKUP(2,1/(('Match Log'!$D$4:$D$810=$M$24)*('Match Log'!$A$4:$A$810&lt;=$J417)),'Match Log'!$N$4:$N$810),NA()))</f>
        <v>#N/A</v>
      </c>
      <c r="N417" t="e">
        <f>IF($J417&gt;MAX('Match Log'!$A$4:$A$810),NA(),IFERROR(LOOKUP(2,1/(('Match Log'!$D$4:$D$810=$N$24)*('Match Log'!$A$4:$A$810&lt;=$J417)),'Match Log'!$N$4:$N$810),NA()))</f>
        <v>#N/A</v>
      </c>
      <c r="O417" t="e">
        <f>IF($J417&gt;MAX('Match Log'!$A$4:$A$810),NA(),IFERROR(LOOKUP(2,1/(('Match Log'!$D$4:$D$810=$O$24)*('Match Log'!$A$4:$A$810&lt;=$J417)),'Match Log'!$N$4:$N$810),NA()))</f>
        <v>#N/A</v>
      </c>
      <c r="P417" t="e">
        <f>IF($J417&gt;MAX('Match Log'!$A$4:$A$810),NA(),IFERROR(LOOKUP(2,1/(('Match Log'!$D$4:$D$810=$P$24)*('Match Log'!$A$4:$A$810&lt;=$J417)),'Match Log'!$N$4:$N$810),NA()))</f>
        <v>#N/A</v>
      </c>
      <c r="Q417" t="e">
        <f>IF($J417&gt;MAX('Match Log'!$A$4:$A$810),NA(),IFERROR(LOOKUP(2,1/(('Match Log'!$D$4:$D$810=$Q$24)*('Match Log'!$A$4:$A$810&lt;=$J417)),'Match Log'!$N$4:$N$810),NA()))</f>
        <v>#N/A</v>
      </c>
      <c r="R417" t="e">
        <f>IF($J417&gt;MAX('Match Log'!$A$4:$A$810),NA(),IFERROR(LOOKUP(2,1/(('Match Log'!$D$4:$D$810=$R$24)*('Match Log'!$A$4:$A$810&lt;=$J417)),'Match Log'!$N$4:$N$810),NA()))</f>
        <v>#N/A</v>
      </c>
      <c r="S417" t="e">
        <f>IF($J417&gt;MAX('Match Log'!$A$4:$A$810),NA(),IFERROR(LOOKUP(2,1/(('Match Log'!$D$4:$D$810=$S$24)*('Match Log'!$A$4:$A$810&lt;=$J417)),'Match Log'!$N$4:$N$810),NA()))</f>
        <v>#N/A</v>
      </c>
      <c r="T417" t="e">
        <f>IF($J417&gt;MAX('Match Log'!$A$4:$A$810),NA(),IFERROR(LOOKUP(2,1/(('Match Log'!$D$4:$D$810=$T$24)*('Match Log'!$A$4:$A$810&lt;=$J417)),'Match Log'!$N$4:$N$810),NA()))</f>
        <v>#N/A</v>
      </c>
      <c r="U417" t="e">
        <f>IF($J417&gt;MAX('Match Log'!$A$4:$A$810),NA(),IFERROR(LOOKUP(2,1/(('Match Log'!$D$4:$D$810=$U$24)*('Match Log'!$A$4:$A$810&lt;=$J417)),'Match Log'!$N$4:$N$810),NA()))</f>
        <v>#N/A</v>
      </c>
      <c r="V417" t="e">
        <f>IF($J417&gt;MAX('Match Log'!$A$4:$A$810),NA(),IFERROR(LOOKUP(2,1/(('Match Log'!$D$4:$D$810=$V$24)*('Match Log'!$A$4:$A$810&lt;=$J417)),'Match Log'!$N$4:$N$810),NA()))</f>
        <v>#N/A</v>
      </c>
      <c r="W417" t="e">
        <f>IF($J417&gt;MAX('Match Log'!$A$4:$A$810),NA(),IFERROR(LOOKUP(2,1/(('Match Log'!$D$4:$D$810=$W$24)*('Match Log'!$A$4:$A$810&lt;=$J417)),'Match Log'!$N$4:$N$810),NA()))</f>
        <v>#N/A</v>
      </c>
      <c r="X417" t="e">
        <f>IF($J417&gt;MAX('Match Log'!$A$4:$A$810),NA(),IFERROR(LOOKUP(2,1/(('Match Log'!$D$4:$D$810=$X$24)*('Match Log'!$A$4:$A$810&lt;=$J417)),'Match Log'!$N$4:$N$810),NA()))</f>
        <v>#N/A</v>
      </c>
      <c r="Y417" t="str">
        <f t="shared" ca="1" si="42"/>
        <v/>
      </c>
    </row>
    <row r="418" spans="1:25" x14ac:dyDescent="0.2">
      <c r="A418">
        <v>394</v>
      </c>
      <c r="B418" t="str">
        <f>IFERROR(INDEX('Match Log'!$B$4:$B$810,MATCH(394,'Match Log'!$A$4:$A$810,0)),"")</f>
        <v/>
      </c>
      <c r="C418" t="str">
        <f>IFERROR(INDEX('Match Log'!$C$4:$C$810,MATCH(394,'Match Log'!$A$4:$A$810,0)),"")</f>
        <v/>
      </c>
      <c r="D418" t="str">
        <f t="array" ref="D418">IFERROR(_xlfn.TEXTJOIN(" + ",TRUE,IF(('Match Log'!$A$4:$A$810=$A418)*('Match Log'!$E$4:$E$810="Win"),'Match Log'!$D$4:$D$810,"")),IFERROR(LOOKUP(2,1/(('Match Log'!$A$4:$A$810=$A418)*('Match Log'!$E$4:$E$810="Win")),'Match Log'!$D$4:$D$810),""))</f>
        <v/>
      </c>
      <c r="E418" t="str">
        <f>IFERROR(INDEX('Match Log'!$F$4:$F$810,MATCH(394,'Match Log'!$A$4:$A$810,0)),"")</f>
        <v/>
      </c>
      <c r="F418">
        <f>IFERROR(SUMIFS('Match Log'!$I$4:$I$810,'Match Log'!$A$4:$A$810,394,'Match Log'!$E$4:$E$810,"Win"),"")</f>
        <v>0</v>
      </c>
      <c r="G418" t="str">
        <f t="shared" si="40"/>
        <v/>
      </c>
      <c r="H418" t="str">
        <f t="array" ref="H418">IFERROR(IF(COUNTIFS('Match Log'!$A$4:$A$810,$A418,'Match Log'!$E$4:$E$810,"Win")&gt;1,_xlfn.TEXTJOIN(" + ",TRUE,IF(('Match Log'!$A$4:$A$810=$A418)*('Match Log'!$E$4:$E$810="Loss"),'Match Log'!$D$4:$D$810,"")),IF($E418=2,LOOKUP(2,1/(('Match Log'!$A$4:$A$810=$A418)*('Match Log'!$E$4:$E$810="Loss")),'Match Log'!$D$4:$D$810),"the field")),"")</f>
        <v>the field</v>
      </c>
      <c r="I418" t="str">
        <f t="shared" si="41"/>
        <v/>
      </c>
      <c r="J418">
        <v>394</v>
      </c>
      <c r="K418" t="e">
        <f>IF($J418&gt;MAX('Match Log'!$A$4:$A$810),NA(),IFERROR(LOOKUP(2,1/(('Match Log'!$D$4:$D$810=$K$24)*('Match Log'!$A$4:$A$810&lt;=$J418)),'Match Log'!$N$4:$N$810),NA()))</f>
        <v>#N/A</v>
      </c>
      <c r="L418" t="e">
        <f>IF($J418&gt;MAX('Match Log'!$A$4:$A$810),NA(),IFERROR(LOOKUP(2,1/(('Match Log'!$D$4:$D$810=$L$24)*('Match Log'!$A$4:$A$810&lt;=$J418)),'Match Log'!$N$4:$N$810),NA()))</f>
        <v>#N/A</v>
      </c>
      <c r="M418" t="e">
        <f>IF($J418&gt;MAX('Match Log'!$A$4:$A$810),NA(),IFERROR(LOOKUP(2,1/(('Match Log'!$D$4:$D$810=$M$24)*('Match Log'!$A$4:$A$810&lt;=$J418)),'Match Log'!$N$4:$N$810),NA()))</f>
        <v>#N/A</v>
      </c>
      <c r="N418" t="e">
        <f>IF($J418&gt;MAX('Match Log'!$A$4:$A$810),NA(),IFERROR(LOOKUP(2,1/(('Match Log'!$D$4:$D$810=$N$24)*('Match Log'!$A$4:$A$810&lt;=$J418)),'Match Log'!$N$4:$N$810),NA()))</f>
        <v>#N/A</v>
      </c>
      <c r="O418" t="e">
        <f>IF($J418&gt;MAX('Match Log'!$A$4:$A$810),NA(),IFERROR(LOOKUP(2,1/(('Match Log'!$D$4:$D$810=$O$24)*('Match Log'!$A$4:$A$810&lt;=$J418)),'Match Log'!$N$4:$N$810),NA()))</f>
        <v>#N/A</v>
      </c>
      <c r="P418" t="e">
        <f>IF($J418&gt;MAX('Match Log'!$A$4:$A$810),NA(),IFERROR(LOOKUP(2,1/(('Match Log'!$D$4:$D$810=$P$24)*('Match Log'!$A$4:$A$810&lt;=$J418)),'Match Log'!$N$4:$N$810),NA()))</f>
        <v>#N/A</v>
      </c>
      <c r="Q418" t="e">
        <f>IF($J418&gt;MAX('Match Log'!$A$4:$A$810),NA(),IFERROR(LOOKUP(2,1/(('Match Log'!$D$4:$D$810=$Q$24)*('Match Log'!$A$4:$A$810&lt;=$J418)),'Match Log'!$N$4:$N$810),NA()))</f>
        <v>#N/A</v>
      </c>
      <c r="R418" t="e">
        <f>IF($J418&gt;MAX('Match Log'!$A$4:$A$810),NA(),IFERROR(LOOKUP(2,1/(('Match Log'!$D$4:$D$810=$R$24)*('Match Log'!$A$4:$A$810&lt;=$J418)),'Match Log'!$N$4:$N$810),NA()))</f>
        <v>#N/A</v>
      </c>
      <c r="S418" t="e">
        <f>IF($J418&gt;MAX('Match Log'!$A$4:$A$810),NA(),IFERROR(LOOKUP(2,1/(('Match Log'!$D$4:$D$810=$S$24)*('Match Log'!$A$4:$A$810&lt;=$J418)),'Match Log'!$N$4:$N$810),NA()))</f>
        <v>#N/A</v>
      </c>
      <c r="T418" t="e">
        <f>IF($J418&gt;MAX('Match Log'!$A$4:$A$810),NA(),IFERROR(LOOKUP(2,1/(('Match Log'!$D$4:$D$810=$T$24)*('Match Log'!$A$4:$A$810&lt;=$J418)),'Match Log'!$N$4:$N$810),NA()))</f>
        <v>#N/A</v>
      </c>
      <c r="U418" t="e">
        <f>IF($J418&gt;MAX('Match Log'!$A$4:$A$810),NA(),IFERROR(LOOKUP(2,1/(('Match Log'!$D$4:$D$810=$U$24)*('Match Log'!$A$4:$A$810&lt;=$J418)),'Match Log'!$N$4:$N$810),NA()))</f>
        <v>#N/A</v>
      </c>
      <c r="V418" t="e">
        <f>IF($J418&gt;MAX('Match Log'!$A$4:$A$810),NA(),IFERROR(LOOKUP(2,1/(('Match Log'!$D$4:$D$810=$V$24)*('Match Log'!$A$4:$A$810&lt;=$J418)),'Match Log'!$N$4:$N$810),NA()))</f>
        <v>#N/A</v>
      </c>
      <c r="W418" t="e">
        <f>IF($J418&gt;MAX('Match Log'!$A$4:$A$810),NA(),IFERROR(LOOKUP(2,1/(('Match Log'!$D$4:$D$810=$W$24)*('Match Log'!$A$4:$A$810&lt;=$J418)),'Match Log'!$N$4:$N$810),NA()))</f>
        <v>#N/A</v>
      </c>
      <c r="X418" t="e">
        <f>IF($J418&gt;MAX('Match Log'!$A$4:$A$810),NA(),IFERROR(LOOKUP(2,1/(('Match Log'!$D$4:$D$810=$X$24)*('Match Log'!$A$4:$A$810&lt;=$J418)),'Match Log'!$N$4:$N$810),NA()))</f>
        <v>#N/A</v>
      </c>
      <c r="Y418" t="str">
        <f t="shared" ca="1" si="42"/>
        <v/>
      </c>
    </row>
    <row r="419" spans="1:25" x14ac:dyDescent="0.2">
      <c r="A419">
        <v>395</v>
      </c>
      <c r="B419" t="str">
        <f>IFERROR(INDEX('Match Log'!$B$4:$B$810,MATCH(395,'Match Log'!$A$4:$A$810,0)),"")</f>
        <v/>
      </c>
      <c r="C419" t="str">
        <f>IFERROR(INDEX('Match Log'!$C$4:$C$810,MATCH(395,'Match Log'!$A$4:$A$810,0)),"")</f>
        <v/>
      </c>
      <c r="D419" t="str">
        <f t="array" ref="D419">IFERROR(_xlfn.TEXTJOIN(" + ",TRUE,IF(('Match Log'!$A$4:$A$810=$A419)*('Match Log'!$E$4:$E$810="Win"),'Match Log'!$D$4:$D$810,"")),IFERROR(LOOKUP(2,1/(('Match Log'!$A$4:$A$810=$A419)*('Match Log'!$E$4:$E$810="Win")),'Match Log'!$D$4:$D$810),""))</f>
        <v/>
      </c>
      <c r="E419" t="str">
        <f>IFERROR(INDEX('Match Log'!$F$4:$F$810,MATCH(395,'Match Log'!$A$4:$A$810,0)),"")</f>
        <v/>
      </c>
      <c r="F419">
        <f>IFERROR(SUMIFS('Match Log'!$I$4:$I$810,'Match Log'!$A$4:$A$810,395,'Match Log'!$E$4:$E$810,"Win"),"")</f>
        <v>0</v>
      </c>
      <c r="G419" t="str">
        <f t="shared" si="40"/>
        <v/>
      </c>
      <c r="H419" t="str">
        <f t="array" ref="H419">IFERROR(IF(COUNTIFS('Match Log'!$A$4:$A$810,$A419,'Match Log'!$E$4:$E$810,"Win")&gt;1,_xlfn.TEXTJOIN(" + ",TRUE,IF(('Match Log'!$A$4:$A$810=$A419)*('Match Log'!$E$4:$E$810="Loss"),'Match Log'!$D$4:$D$810,"")),IF($E419=2,LOOKUP(2,1/(('Match Log'!$A$4:$A$810=$A419)*('Match Log'!$E$4:$E$810="Loss")),'Match Log'!$D$4:$D$810),"the field")),"")</f>
        <v>the field</v>
      </c>
      <c r="I419" t="str">
        <f t="shared" si="41"/>
        <v/>
      </c>
      <c r="J419">
        <v>395</v>
      </c>
      <c r="K419" t="e">
        <f>IF($J419&gt;MAX('Match Log'!$A$4:$A$810),NA(),IFERROR(LOOKUP(2,1/(('Match Log'!$D$4:$D$810=$K$24)*('Match Log'!$A$4:$A$810&lt;=$J419)),'Match Log'!$N$4:$N$810),NA()))</f>
        <v>#N/A</v>
      </c>
      <c r="L419" t="e">
        <f>IF($J419&gt;MAX('Match Log'!$A$4:$A$810),NA(),IFERROR(LOOKUP(2,1/(('Match Log'!$D$4:$D$810=$L$24)*('Match Log'!$A$4:$A$810&lt;=$J419)),'Match Log'!$N$4:$N$810),NA()))</f>
        <v>#N/A</v>
      </c>
      <c r="M419" t="e">
        <f>IF($J419&gt;MAX('Match Log'!$A$4:$A$810),NA(),IFERROR(LOOKUP(2,1/(('Match Log'!$D$4:$D$810=$M$24)*('Match Log'!$A$4:$A$810&lt;=$J419)),'Match Log'!$N$4:$N$810),NA()))</f>
        <v>#N/A</v>
      </c>
      <c r="N419" t="e">
        <f>IF($J419&gt;MAX('Match Log'!$A$4:$A$810),NA(),IFERROR(LOOKUP(2,1/(('Match Log'!$D$4:$D$810=$N$24)*('Match Log'!$A$4:$A$810&lt;=$J419)),'Match Log'!$N$4:$N$810),NA()))</f>
        <v>#N/A</v>
      </c>
      <c r="O419" t="e">
        <f>IF($J419&gt;MAX('Match Log'!$A$4:$A$810),NA(),IFERROR(LOOKUP(2,1/(('Match Log'!$D$4:$D$810=$O$24)*('Match Log'!$A$4:$A$810&lt;=$J419)),'Match Log'!$N$4:$N$810),NA()))</f>
        <v>#N/A</v>
      </c>
      <c r="P419" t="e">
        <f>IF($J419&gt;MAX('Match Log'!$A$4:$A$810),NA(),IFERROR(LOOKUP(2,1/(('Match Log'!$D$4:$D$810=$P$24)*('Match Log'!$A$4:$A$810&lt;=$J419)),'Match Log'!$N$4:$N$810),NA()))</f>
        <v>#N/A</v>
      </c>
      <c r="Q419" t="e">
        <f>IF($J419&gt;MAX('Match Log'!$A$4:$A$810),NA(),IFERROR(LOOKUP(2,1/(('Match Log'!$D$4:$D$810=$Q$24)*('Match Log'!$A$4:$A$810&lt;=$J419)),'Match Log'!$N$4:$N$810),NA()))</f>
        <v>#N/A</v>
      </c>
      <c r="R419" t="e">
        <f>IF($J419&gt;MAX('Match Log'!$A$4:$A$810),NA(),IFERROR(LOOKUP(2,1/(('Match Log'!$D$4:$D$810=$R$24)*('Match Log'!$A$4:$A$810&lt;=$J419)),'Match Log'!$N$4:$N$810),NA()))</f>
        <v>#N/A</v>
      </c>
      <c r="S419" t="e">
        <f>IF($J419&gt;MAX('Match Log'!$A$4:$A$810),NA(),IFERROR(LOOKUP(2,1/(('Match Log'!$D$4:$D$810=$S$24)*('Match Log'!$A$4:$A$810&lt;=$J419)),'Match Log'!$N$4:$N$810),NA()))</f>
        <v>#N/A</v>
      </c>
      <c r="T419" t="e">
        <f>IF($J419&gt;MAX('Match Log'!$A$4:$A$810),NA(),IFERROR(LOOKUP(2,1/(('Match Log'!$D$4:$D$810=$T$24)*('Match Log'!$A$4:$A$810&lt;=$J419)),'Match Log'!$N$4:$N$810),NA()))</f>
        <v>#N/A</v>
      </c>
      <c r="U419" t="e">
        <f>IF($J419&gt;MAX('Match Log'!$A$4:$A$810),NA(),IFERROR(LOOKUP(2,1/(('Match Log'!$D$4:$D$810=$U$24)*('Match Log'!$A$4:$A$810&lt;=$J419)),'Match Log'!$N$4:$N$810),NA()))</f>
        <v>#N/A</v>
      </c>
      <c r="V419" t="e">
        <f>IF($J419&gt;MAX('Match Log'!$A$4:$A$810),NA(),IFERROR(LOOKUP(2,1/(('Match Log'!$D$4:$D$810=$V$24)*('Match Log'!$A$4:$A$810&lt;=$J419)),'Match Log'!$N$4:$N$810),NA()))</f>
        <v>#N/A</v>
      </c>
      <c r="W419" t="e">
        <f>IF($J419&gt;MAX('Match Log'!$A$4:$A$810),NA(),IFERROR(LOOKUP(2,1/(('Match Log'!$D$4:$D$810=$W$24)*('Match Log'!$A$4:$A$810&lt;=$J419)),'Match Log'!$N$4:$N$810),NA()))</f>
        <v>#N/A</v>
      </c>
      <c r="X419" t="e">
        <f>IF($J419&gt;MAX('Match Log'!$A$4:$A$810),NA(),IFERROR(LOOKUP(2,1/(('Match Log'!$D$4:$D$810=$X$24)*('Match Log'!$A$4:$A$810&lt;=$J419)),'Match Log'!$N$4:$N$810),NA()))</f>
        <v>#N/A</v>
      </c>
      <c r="Y419" t="str">
        <f t="shared" ca="1" si="42"/>
        <v/>
      </c>
    </row>
    <row r="420" spans="1:25" x14ac:dyDescent="0.2">
      <c r="A420">
        <v>396</v>
      </c>
      <c r="B420" t="str">
        <f>IFERROR(INDEX('Match Log'!$B$4:$B$810,MATCH(396,'Match Log'!$A$4:$A$810,0)),"")</f>
        <v/>
      </c>
      <c r="C420" t="str">
        <f>IFERROR(INDEX('Match Log'!$C$4:$C$810,MATCH(396,'Match Log'!$A$4:$A$810,0)),"")</f>
        <v/>
      </c>
      <c r="D420" t="str">
        <f t="array" ref="D420">IFERROR(_xlfn.TEXTJOIN(" + ",TRUE,IF(('Match Log'!$A$4:$A$810=$A420)*('Match Log'!$E$4:$E$810="Win"),'Match Log'!$D$4:$D$810,"")),IFERROR(LOOKUP(2,1/(('Match Log'!$A$4:$A$810=$A420)*('Match Log'!$E$4:$E$810="Win")),'Match Log'!$D$4:$D$810),""))</f>
        <v/>
      </c>
      <c r="E420" t="str">
        <f>IFERROR(INDEX('Match Log'!$F$4:$F$810,MATCH(396,'Match Log'!$A$4:$A$810,0)),"")</f>
        <v/>
      </c>
      <c r="F420">
        <f>IFERROR(SUMIFS('Match Log'!$I$4:$I$810,'Match Log'!$A$4:$A$810,396,'Match Log'!$E$4:$E$810,"Win"),"")</f>
        <v>0</v>
      </c>
      <c r="G420" t="str">
        <f t="shared" si="40"/>
        <v/>
      </c>
      <c r="H420" t="str">
        <f t="array" ref="H420">IFERROR(IF(COUNTIFS('Match Log'!$A$4:$A$810,$A420,'Match Log'!$E$4:$E$810,"Win")&gt;1,_xlfn.TEXTJOIN(" + ",TRUE,IF(('Match Log'!$A$4:$A$810=$A420)*('Match Log'!$E$4:$E$810="Loss"),'Match Log'!$D$4:$D$810,"")),IF($E420=2,LOOKUP(2,1/(('Match Log'!$A$4:$A$810=$A420)*('Match Log'!$E$4:$E$810="Loss")),'Match Log'!$D$4:$D$810),"the field")),"")</f>
        <v>the field</v>
      </c>
      <c r="I420" t="str">
        <f t="shared" si="41"/>
        <v/>
      </c>
      <c r="J420">
        <v>396</v>
      </c>
      <c r="K420" t="e">
        <f>IF($J420&gt;MAX('Match Log'!$A$4:$A$810),NA(),IFERROR(LOOKUP(2,1/(('Match Log'!$D$4:$D$810=$K$24)*('Match Log'!$A$4:$A$810&lt;=$J420)),'Match Log'!$N$4:$N$810),NA()))</f>
        <v>#N/A</v>
      </c>
      <c r="L420" t="e">
        <f>IF($J420&gt;MAX('Match Log'!$A$4:$A$810),NA(),IFERROR(LOOKUP(2,1/(('Match Log'!$D$4:$D$810=$L$24)*('Match Log'!$A$4:$A$810&lt;=$J420)),'Match Log'!$N$4:$N$810),NA()))</f>
        <v>#N/A</v>
      </c>
      <c r="M420" t="e">
        <f>IF($J420&gt;MAX('Match Log'!$A$4:$A$810),NA(),IFERROR(LOOKUP(2,1/(('Match Log'!$D$4:$D$810=$M$24)*('Match Log'!$A$4:$A$810&lt;=$J420)),'Match Log'!$N$4:$N$810),NA()))</f>
        <v>#N/A</v>
      </c>
      <c r="N420" t="e">
        <f>IF($J420&gt;MAX('Match Log'!$A$4:$A$810),NA(),IFERROR(LOOKUP(2,1/(('Match Log'!$D$4:$D$810=$N$24)*('Match Log'!$A$4:$A$810&lt;=$J420)),'Match Log'!$N$4:$N$810),NA()))</f>
        <v>#N/A</v>
      </c>
      <c r="O420" t="e">
        <f>IF($J420&gt;MAX('Match Log'!$A$4:$A$810),NA(),IFERROR(LOOKUP(2,1/(('Match Log'!$D$4:$D$810=$O$24)*('Match Log'!$A$4:$A$810&lt;=$J420)),'Match Log'!$N$4:$N$810),NA()))</f>
        <v>#N/A</v>
      </c>
      <c r="P420" t="e">
        <f>IF($J420&gt;MAX('Match Log'!$A$4:$A$810),NA(),IFERROR(LOOKUP(2,1/(('Match Log'!$D$4:$D$810=$P$24)*('Match Log'!$A$4:$A$810&lt;=$J420)),'Match Log'!$N$4:$N$810),NA()))</f>
        <v>#N/A</v>
      </c>
      <c r="Q420" t="e">
        <f>IF($J420&gt;MAX('Match Log'!$A$4:$A$810),NA(),IFERROR(LOOKUP(2,1/(('Match Log'!$D$4:$D$810=$Q$24)*('Match Log'!$A$4:$A$810&lt;=$J420)),'Match Log'!$N$4:$N$810),NA()))</f>
        <v>#N/A</v>
      </c>
      <c r="R420" t="e">
        <f>IF($J420&gt;MAX('Match Log'!$A$4:$A$810),NA(),IFERROR(LOOKUP(2,1/(('Match Log'!$D$4:$D$810=$R$24)*('Match Log'!$A$4:$A$810&lt;=$J420)),'Match Log'!$N$4:$N$810),NA()))</f>
        <v>#N/A</v>
      </c>
      <c r="S420" t="e">
        <f>IF($J420&gt;MAX('Match Log'!$A$4:$A$810),NA(),IFERROR(LOOKUP(2,1/(('Match Log'!$D$4:$D$810=$S$24)*('Match Log'!$A$4:$A$810&lt;=$J420)),'Match Log'!$N$4:$N$810),NA()))</f>
        <v>#N/A</v>
      </c>
      <c r="T420" t="e">
        <f>IF($J420&gt;MAX('Match Log'!$A$4:$A$810),NA(),IFERROR(LOOKUP(2,1/(('Match Log'!$D$4:$D$810=$T$24)*('Match Log'!$A$4:$A$810&lt;=$J420)),'Match Log'!$N$4:$N$810),NA()))</f>
        <v>#N/A</v>
      </c>
      <c r="U420" t="e">
        <f>IF($J420&gt;MAX('Match Log'!$A$4:$A$810),NA(),IFERROR(LOOKUP(2,1/(('Match Log'!$D$4:$D$810=$U$24)*('Match Log'!$A$4:$A$810&lt;=$J420)),'Match Log'!$N$4:$N$810),NA()))</f>
        <v>#N/A</v>
      </c>
      <c r="V420" t="e">
        <f>IF($J420&gt;MAX('Match Log'!$A$4:$A$810),NA(),IFERROR(LOOKUP(2,1/(('Match Log'!$D$4:$D$810=$V$24)*('Match Log'!$A$4:$A$810&lt;=$J420)),'Match Log'!$N$4:$N$810),NA()))</f>
        <v>#N/A</v>
      </c>
      <c r="W420" t="e">
        <f>IF($J420&gt;MAX('Match Log'!$A$4:$A$810),NA(),IFERROR(LOOKUP(2,1/(('Match Log'!$D$4:$D$810=$W$24)*('Match Log'!$A$4:$A$810&lt;=$J420)),'Match Log'!$N$4:$N$810),NA()))</f>
        <v>#N/A</v>
      </c>
      <c r="X420" t="e">
        <f>IF($J420&gt;MAX('Match Log'!$A$4:$A$810),NA(),IFERROR(LOOKUP(2,1/(('Match Log'!$D$4:$D$810=$X$24)*('Match Log'!$A$4:$A$810&lt;=$J420)),'Match Log'!$N$4:$N$810),NA()))</f>
        <v>#N/A</v>
      </c>
      <c r="Y420" t="str">
        <f t="shared" ca="1" si="42"/>
        <v/>
      </c>
    </row>
    <row r="421" spans="1:25" x14ac:dyDescent="0.2">
      <c r="A421">
        <v>397</v>
      </c>
      <c r="B421" t="str">
        <f>IFERROR(INDEX('Match Log'!$B$4:$B$810,MATCH(397,'Match Log'!$A$4:$A$810,0)),"")</f>
        <v/>
      </c>
      <c r="C421" t="str">
        <f>IFERROR(INDEX('Match Log'!$C$4:$C$810,MATCH(397,'Match Log'!$A$4:$A$810,0)),"")</f>
        <v/>
      </c>
      <c r="D421" t="str">
        <f t="array" ref="D421">IFERROR(_xlfn.TEXTJOIN(" + ",TRUE,IF(('Match Log'!$A$4:$A$810=$A421)*('Match Log'!$E$4:$E$810="Win"),'Match Log'!$D$4:$D$810,"")),IFERROR(LOOKUP(2,1/(('Match Log'!$A$4:$A$810=$A421)*('Match Log'!$E$4:$E$810="Win")),'Match Log'!$D$4:$D$810),""))</f>
        <v/>
      </c>
      <c r="E421" t="str">
        <f>IFERROR(INDEX('Match Log'!$F$4:$F$810,MATCH(397,'Match Log'!$A$4:$A$810,0)),"")</f>
        <v/>
      </c>
      <c r="F421">
        <f>IFERROR(SUMIFS('Match Log'!$I$4:$I$810,'Match Log'!$A$4:$A$810,397,'Match Log'!$E$4:$E$810,"Win"),"")</f>
        <v>0</v>
      </c>
      <c r="G421" t="str">
        <f t="shared" si="40"/>
        <v/>
      </c>
      <c r="H421" t="str">
        <f t="array" ref="H421">IFERROR(IF(COUNTIFS('Match Log'!$A$4:$A$810,$A421,'Match Log'!$E$4:$E$810,"Win")&gt;1,_xlfn.TEXTJOIN(" + ",TRUE,IF(('Match Log'!$A$4:$A$810=$A421)*('Match Log'!$E$4:$E$810="Loss"),'Match Log'!$D$4:$D$810,"")),IF($E421=2,LOOKUP(2,1/(('Match Log'!$A$4:$A$810=$A421)*('Match Log'!$E$4:$E$810="Loss")),'Match Log'!$D$4:$D$810),"the field")),"")</f>
        <v>the field</v>
      </c>
      <c r="I421" t="str">
        <f t="shared" si="41"/>
        <v/>
      </c>
      <c r="J421">
        <v>397</v>
      </c>
      <c r="K421" t="e">
        <f>IF($J421&gt;MAX('Match Log'!$A$4:$A$810),NA(),IFERROR(LOOKUP(2,1/(('Match Log'!$D$4:$D$810=$K$24)*('Match Log'!$A$4:$A$810&lt;=$J421)),'Match Log'!$N$4:$N$810),NA()))</f>
        <v>#N/A</v>
      </c>
      <c r="L421" t="e">
        <f>IF($J421&gt;MAX('Match Log'!$A$4:$A$810),NA(),IFERROR(LOOKUP(2,1/(('Match Log'!$D$4:$D$810=$L$24)*('Match Log'!$A$4:$A$810&lt;=$J421)),'Match Log'!$N$4:$N$810),NA()))</f>
        <v>#N/A</v>
      </c>
      <c r="M421" t="e">
        <f>IF($J421&gt;MAX('Match Log'!$A$4:$A$810),NA(),IFERROR(LOOKUP(2,1/(('Match Log'!$D$4:$D$810=$M$24)*('Match Log'!$A$4:$A$810&lt;=$J421)),'Match Log'!$N$4:$N$810),NA()))</f>
        <v>#N/A</v>
      </c>
      <c r="N421" t="e">
        <f>IF($J421&gt;MAX('Match Log'!$A$4:$A$810),NA(),IFERROR(LOOKUP(2,1/(('Match Log'!$D$4:$D$810=$N$24)*('Match Log'!$A$4:$A$810&lt;=$J421)),'Match Log'!$N$4:$N$810),NA()))</f>
        <v>#N/A</v>
      </c>
      <c r="O421" t="e">
        <f>IF($J421&gt;MAX('Match Log'!$A$4:$A$810),NA(),IFERROR(LOOKUP(2,1/(('Match Log'!$D$4:$D$810=$O$24)*('Match Log'!$A$4:$A$810&lt;=$J421)),'Match Log'!$N$4:$N$810),NA()))</f>
        <v>#N/A</v>
      </c>
      <c r="P421" t="e">
        <f>IF($J421&gt;MAX('Match Log'!$A$4:$A$810),NA(),IFERROR(LOOKUP(2,1/(('Match Log'!$D$4:$D$810=$P$24)*('Match Log'!$A$4:$A$810&lt;=$J421)),'Match Log'!$N$4:$N$810),NA()))</f>
        <v>#N/A</v>
      </c>
      <c r="Q421" t="e">
        <f>IF($J421&gt;MAX('Match Log'!$A$4:$A$810),NA(),IFERROR(LOOKUP(2,1/(('Match Log'!$D$4:$D$810=$Q$24)*('Match Log'!$A$4:$A$810&lt;=$J421)),'Match Log'!$N$4:$N$810),NA()))</f>
        <v>#N/A</v>
      </c>
      <c r="R421" t="e">
        <f>IF($J421&gt;MAX('Match Log'!$A$4:$A$810),NA(),IFERROR(LOOKUP(2,1/(('Match Log'!$D$4:$D$810=$R$24)*('Match Log'!$A$4:$A$810&lt;=$J421)),'Match Log'!$N$4:$N$810),NA()))</f>
        <v>#N/A</v>
      </c>
      <c r="S421" t="e">
        <f>IF($J421&gt;MAX('Match Log'!$A$4:$A$810),NA(),IFERROR(LOOKUP(2,1/(('Match Log'!$D$4:$D$810=$S$24)*('Match Log'!$A$4:$A$810&lt;=$J421)),'Match Log'!$N$4:$N$810),NA()))</f>
        <v>#N/A</v>
      </c>
      <c r="T421" t="e">
        <f>IF($J421&gt;MAX('Match Log'!$A$4:$A$810),NA(),IFERROR(LOOKUP(2,1/(('Match Log'!$D$4:$D$810=$T$24)*('Match Log'!$A$4:$A$810&lt;=$J421)),'Match Log'!$N$4:$N$810),NA()))</f>
        <v>#N/A</v>
      </c>
      <c r="U421" t="e">
        <f>IF($J421&gt;MAX('Match Log'!$A$4:$A$810),NA(),IFERROR(LOOKUP(2,1/(('Match Log'!$D$4:$D$810=$U$24)*('Match Log'!$A$4:$A$810&lt;=$J421)),'Match Log'!$N$4:$N$810),NA()))</f>
        <v>#N/A</v>
      </c>
      <c r="V421" t="e">
        <f>IF($J421&gt;MAX('Match Log'!$A$4:$A$810),NA(),IFERROR(LOOKUP(2,1/(('Match Log'!$D$4:$D$810=$V$24)*('Match Log'!$A$4:$A$810&lt;=$J421)),'Match Log'!$N$4:$N$810),NA()))</f>
        <v>#N/A</v>
      </c>
      <c r="W421" t="e">
        <f>IF($J421&gt;MAX('Match Log'!$A$4:$A$810),NA(),IFERROR(LOOKUP(2,1/(('Match Log'!$D$4:$D$810=$W$24)*('Match Log'!$A$4:$A$810&lt;=$J421)),'Match Log'!$N$4:$N$810),NA()))</f>
        <v>#N/A</v>
      </c>
      <c r="X421" t="e">
        <f>IF($J421&gt;MAX('Match Log'!$A$4:$A$810),NA(),IFERROR(LOOKUP(2,1/(('Match Log'!$D$4:$D$810=$X$24)*('Match Log'!$A$4:$A$810&lt;=$J421)),'Match Log'!$N$4:$N$810),NA()))</f>
        <v>#N/A</v>
      </c>
      <c r="Y421" t="str">
        <f t="shared" ca="1" si="42"/>
        <v/>
      </c>
    </row>
    <row r="422" spans="1:25" x14ac:dyDescent="0.2">
      <c r="A422">
        <v>398</v>
      </c>
      <c r="B422" t="str">
        <f>IFERROR(INDEX('Match Log'!$B$4:$B$810,MATCH(398,'Match Log'!$A$4:$A$810,0)),"")</f>
        <v/>
      </c>
      <c r="C422" t="str">
        <f>IFERROR(INDEX('Match Log'!$C$4:$C$810,MATCH(398,'Match Log'!$A$4:$A$810,0)),"")</f>
        <v/>
      </c>
      <c r="D422" t="str">
        <f t="array" ref="D422">IFERROR(_xlfn.TEXTJOIN(" + ",TRUE,IF(('Match Log'!$A$4:$A$810=$A422)*('Match Log'!$E$4:$E$810="Win"),'Match Log'!$D$4:$D$810,"")),IFERROR(LOOKUP(2,1/(('Match Log'!$A$4:$A$810=$A422)*('Match Log'!$E$4:$E$810="Win")),'Match Log'!$D$4:$D$810),""))</f>
        <v/>
      </c>
      <c r="E422" t="str">
        <f>IFERROR(INDEX('Match Log'!$F$4:$F$810,MATCH(398,'Match Log'!$A$4:$A$810,0)),"")</f>
        <v/>
      </c>
      <c r="F422">
        <f>IFERROR(SUMIFS('Match Log'!$I$4:$I$810,'Match Log'!$A$4:$A$810,398,'Match Log'!$E$4:$E$810,"Win"),"")</f>
        <v>0</v>
      </c>
      <c r="G422" t="str">
        <f t="shared" si="40"/>
        <v/>
      </c>
      <c r="H422" t="str">
        <f t="array" ref="H422">IFERROR(IF(COUNTIFS('Match Log'!$A$4:$A$810,$A422,'Match Log'!$E$4:$E$810,"Win")&gt;1,_xlfn.TEXTJOIN(" + ",TRUE,IF(('Match Log'!$A$4:$A$810=$A422)*('Match Log'!$E$4:$E$810="Loss"),'Match Log'!$D$4:$D$810,"")),IF($E422=2,LOOKUP(2,1/(('Match Log'!$A$4:$A$810=$A422)*('Match Log'!$E$4:$E$810="Loss")),'Match Log'!$D$4:$D$810),"the field")),"")</f>
        <v>the field</v>
      </c>
      <c r="I422" t="str">
        <f t="shared" si="41"/>
        <v/>
      </c>
      <c r="J422">
        <v>398</v>
      </c>
      <c r="K422" t="e">
        <f>IF($J422&gt;MAX('Match Log'!$A$4:$A$810),NA(),IFERROR(LOOKUP(2,1/(('Match Log'!$D$4:$D$810=$K$24)*('Match Log'!$A$4:$A$810&lt;=$J422)),'Match Log'!$N$4:$N$810),NA()))</f>
        <v>#N/A</v>
      </c>
      <c r="L422" t="e">
        <f>IF($J422&gt;MAX('Match Log'!$A$4:$A$810),NA(),IFERROR(LOOKUP(2,1/(('Match Log'!$D$4:$D$810=$L$24)*('Match Log'!$A$4:$A$810&lt;=$J422)),'Match Log'!$N$4:$N$810),NA()))</f>
        <v>#N/A</v>
      </c>
      <c r="M422" t="e">
        <f>IF($J422&gt;MAX('Match Log'!$A$4:$A$810),NA(),IFERROR(LOOKUP(2,1/(('Match Log'!$D$4:$D$810=$M$24)*('Match Log'!$A$4:$A$810&lt;=$J422)),'Match Log'!$N$4:$N$810),NA()))</f>
        <v>#N/A</v>
      </c>
      <c r="N422" t="e">
        <f>IF($J422&gt;MAX('Match Log'!$A$4:$A$810),NA(),IFERROR(LOOKUP(2,1/(('Match Log'!$D$4:$D$810=$N$24)*('Match Log'!$A$4:$A$810&lt;=$J422)),'Match Log'!$N$4:$N$810),NA()))</f>
        <v>#N/A</v>
      </c>
      <c r="O422" t="e">
        <f>IF($J422&gt;MAX('Match Log'!$A$4:$A$810),NA(),IFERROR(LOOKUP(2,1/(('Match Log'!$D$4:$D$810=$O$24)*('Match Log'!$A$4:$A$810&lt;=$J422)),'Match Log'!$N$4:$N$810),NA()))</f>
        <v>#N/A</v>
      </c>
      <c r="P422" t="e">
        <f>IF($J422&gt;MAX('Match Log'!$A$4:$A$810),NA(),IFERROR(LOOKUP(2,1/(('Match Log'!$D$4:$D$810=$P$24)*('Match Log'!$A$4:$A$810&lt;=$J422)),'Match Log'!$N$4:$N$810),NA()))</f>
        <v>#N/A</v>
      </c>
      <c r="Q422" t="e">
        <f>IF($J422&gt;MAX('Match Log'!$A$4:$A$810),NA(),IFERROR(LOOKUP(2,1/(('Match Log'!$D$4:$D$810=$Q$24)*('Match Log'!$A$4:$A$810&lt;=$J422)),'Match Log'!$N$4:$N$810),NA()))</f>
        <v>#N/A</v>
      </c>
      <c r="R422" t="e">
        <f>IF($J422&gt;MAX('Match Log'!$A$4:$A$810),NA(),IFERROR(LOOKUP(2,1/(('Match Log'!$D$4:$D$810=$R$24)*('Match Log'!$A$4:$A$810&lt;=$J422)),'Match Log'!$N$4:$N$810),NA()))</f>
        <v>#N/A</v>
      </c>
      <c r="S422" t="e">
        <f>IF($J422&gt;MAX('Match Log'!$A$4:$A$810),NA(),IFERROR(LOOKUP(2,1/(('Match Log'!$D$4:$D$810=$S$24)*('Match Log'!$A$4:$A$810&lt;=$J422)),'Match Log'!$N$4:$N$810),NA()))</f>
        <v>#N/A</v>
      </c>
      <c r="T422" t="e">
        <f>IF($J422&gt;MAX('Match Log'!$A$4:$A$810),NA(),IFERROR(LOOKUP(2,1/(('Match Log'!$D$4:$D$810=$T$24)*('Match Log'!$A$4:$A$810&lt;=$J422)),'Match Log'!$N$4:$N$810),NA()))</f>
        <v>#N/A</v>
      </c>
      <c r="U422" t="e">
        <f>IF($J422&gt;MAX('Match Log'!$A$4:$A$810),NA(),IFERROR(LOOKUP(2,1/(('Match Log'!$D$4:$D$810=$U$24)*('Match Log'!$A$4:$A$810&lt;=$J422)),'Match Log'!$N$4:$N$810),NA()))</f>
        <v>#N/A</v>
      </c>
      <c r="V422" t="e">
        <f>IF($J422&gt;MAX('Match Log'!$A$4:$A$810),NA(),IFERROR(LOOKUP(2,1/(('Match Log'!$D$4:$D$810=$V$24)*('Match Log'!$A$4:$A$810&lt;=$J422)),'Match Log'!$N$4:$N$810),NA()))</f>
        <v>#N/A</v>
      </c>
      <c r="W422" t="e">
        <f>IF($J422&gt;MAX('Match Log'!$A$4:$A$810),NA(),IFERROR(LOOKUP(2,1/(('Match Log'!$D$4:$D$810=$W$24)*('Match Log'!$A$4:$A$810&lt;=$J422)),'Match Log'!$N$4:$N$810),NA()))</f>
        <v>#N/A</v>
      </c>
      <c r="X422" t="e">
        <f>IF($J422&gt;MAX('Match Log'!$A$4:$A$810),NA(),IFERROR(LOOKUP(2,1/(('Match Log'!$D$4:$D$810=$X$24)*('Match Log'!$A$4:$A$810&lt;=$J422)),'Match Log'!$N$4:$N$810),NA()))</f>
        <v>#N/A</v>
      </c>
      <c r="Y422" t="str">
        <f t="shared" ca="1" si="42"/>
        <v/>
      </c>
    </row>
    <row r="423" spans="1:25" x14ac:dyDescent="0.2">
      <c r="A423">
        <v>399</v>
      </c>
      <c r="B423" t="str">
        <f>IFERROR(INDEX('Match Log'!$B$4:$B$810,MATCH(399,'Match Log'!$A$4:$A$810,0)),"")</f>
        <v/>
      </c>
      <c r="C423" t="str">
        <f>IFERROR(INDEX('Match Log'!$C$4:$C$810,MATCH(399,'Match Log'!$A$4:$A$810,0)),"")</f>
        <v/>
      </c>
      <c r="D423" t="str">
        <f t="array" ref="D423">IFERROR(_xlfn.TEXTJOIN(" + ",TRUE,IF(('Match Log'!$A$4:$A$810=$A423)*('Match Log'!$E$4:$E$810="Win"),'Match Log'!$D$4:$D$810,"")),IFERROR(LOOKUP(2,1/(('Match Log'!$A$4:$A$810=$A423)*('Match Log'!$E$4:$E$810="Win")),'Match Log'!$D$4:$D$810),""))</f>
        <v/>
      </c>
      <c r="E423" t="str">
        <f>IFERROR(INDEX('Match Log'!$F$4:$F$810,MATCH(399,'Match Log'!$A$4:$A$810,0)),"")</f>
        <v/>
      </c>
      <c r="F423">
        <f>IFERROR(SUMIFS('Match Log'!$I$4:$I$810,'Match Log'!$A$4:$A$810,399,'Match Log'!$E$4:$E$810,"Win"),"")</f>
        <v>0</v>
      </c>
      <c r="G423" t="str">
        <f t="shared" si="40"/>
        <v/>
      </c>
      <c r="H423" t="str">
        <f t="array" ref="H423">IFERROR(IF(COUNTIFS('Match Log'!$A$4:$A$810,$A423,'Match Log'!$E$4:$E$810,"Win")&gt;1,_xlfn.TEXTJOIN(" + ",TRUE,IF(('Match Log'!$A$4:$A$810=$A423)*('Match Log'!$E$4:$E$810="Loss"),'Match Log'!$D$4:$D$810,"")),IF($E423=2,LOOKUP(2,1/(('Match Log'!$A$4:$A$810=$A423)*('Match Log'!$E$4:$E$810="Loss")),'Match Log'!$D$4:$D$810),"the field")),"")</f>
        <v>the field</v>
      </c>
      <c r="I423" t="str">
        <f t="shared" si="41"/>
        <v/>
      </c>
      <c r="J423">
        <v>399</v>
      </c>
      <c r="K423" t="e">
        <f>IF($J423&gt;MAX('Match Log'!$A$4:$A$810),NA(),IFERROR(LOOKUP(2,1/(('Match Log'!$D$4:$D$810=$K$24)*('Match Log'!$A$4:$A$810&lt;=$J423)),'Match Log'!$N$4:$N$810),NA()))</f>
        <v>#N/A</v>
      </c>
      <c r="L423" t="e">
        <f>IF($J423&gt;MAX('Match Log'!$A$4:$A$810),NA(),IFERROR(LOOKUP(2,1/(('Match Log'!$D$4:$D$810=$L$24)*('Match Log'!$A$4:$A$810&lt;=$J423)),'Match Log'!$N$4:$N$810),NA()))</f>
        <v>#N/A</v>
      </c>
      <c r="M423" t="e">
        <f>IF($J423&gt;MAX('Match Log'!$A$4:$A$810),NA(),IFERROR(LOOKUP(2,1/(('Match Log'!$D$4:$D$810=$M$24)*('Match Log'!$A$4:$A$810&lt;=$J423)),'Match Log'!$N$4:$N$810),NA()))</f>
        <v>#N/A</v>
      </c>
      <c r="N423" t="e">
        <f>IF($J423&gt;MAX('Match Log'!$A$4:$A$810),NA(),IFERROR(LOOKUP(2,1/(('Match Log'!$D$4:$D$810=$N$24)*('Match Log'!$A$4:$A$810&lt;=$J423)),'Match Log'!$N$4:$N$810),NA()))</f>
        <v>#N/A</v>
      </c>
      <c r="O423" t="e">
        <f>IF($J423&gt;MAX('Match Log'!$A$4:$A$810),NA(),IFERROR(LOOKUP(2,1/(('Match Log'!$D$4:$D$810=$O$24)*('Match Log'!$A$4:$A$810&lt;=$J423)),'Match Log'!$N$4:$N$810),NA()))</f>
        <v>#N/A</v>
      </c>
      <c r="P423" t="e">
        <f>IF($J423&gt;MAX('Match Log'!$A$4:$A$810),NA(),IFERROR(LOOKUP(2,1/(('Match Log'!$D$4:$D$810=$P$24)*('Match Log'!$A$4:$A$810&lt;=$J423)),'Match Log'!$N$4:$N$810),NA()))</f>
        <v>#N/A</v>
      </c>
      <c r="Q423" t="e">
        <f>IF($J423&gt;MAX('Match Log'!$A$4:$A$810),NA(),IFERROR(LOOKUP(2,1/(('Match Log'!$D$4:$D$810=$Q$24)*('Match Log'!$A$4:$A$810&lt;=$J423)),'Match Log'!$N$4:$N$810),NA()))</f>
        <v>#N/A</v>
      </c>
      <c r="R423" t="e">
        <f>IF($J423&gt;MAX('Match Log'!$A$4:$A$810),NA(),IFERROR(LOOKUP(2,1/(('Match Log'!$D$4:$D$810=$R$24)*('Match Log'!$A$4:$A$810&lt;=$J423)),'Match Log'!$N$4:$N$810),NA()))</f>
        <v>#N/A</v>
      </c>
      <c r="S423" t="e">
        <f>IF($J423&gt;MAX('Match Log'!$A$4:$A$810),NA(),IFERROR(LOOKUP(2,1/(('Match Log'!$D$4:$D$810=$S$24)*('Match Log'!$A$4:$A$810&lt;=$J423)),'Match Log'!$N$4:$N$810),NA()))</f>
        <v>#N/A</v>
      </c>
      <c r="T423" t="e">
        <f>IF($J423&gt;MAX('Match Log'!$A$4:$A$810),NA(),IFERROR(LOOKUP(2,1/(('Match Log'!$D$4:$D$810=$T$24)*('Match Log'!$A$4:$A$810&lt;=$J423)),'Match Log'!$N$4:$N$810),NA()))</f>
        <v>#N/A</v>
      </c>
      <c r="U423" t="e">
        <f>IF($J423&gt;MAX('Match Log'!$A$4:$A$810),NA(),IFERROR(LOOKUP(2,1/(('Match Log'!$D$4:$D$810=$U$24)*('Match Log'!$A$4:$A$810&lt;=$J423)),'Match Log'!$N$4:$N$810),NA()))</f>
        <v>#N/A</v>
      </c>
      <c r="V423" t="e">
        <f>IF($J423&gt;MAX('Match Log'!$A$4:$A$810),NA(),IFERROR(LOOKUP(2,1/(('Match Log'!$D$4:$D$810=$V$24)*('Match Log'!$A$4:$A$810&lt;=$J423)),'Match Log'!$N$4:$N$810),NA()))</f>
        <v>#N/A</v>
      </c>
      <c r="W423" t="e">
        <f>IF($J423&gt;MAX('Match Log'!$A$4:$A$810),NA(),IFERROR(LOOKUP(2,1/(('Match Log'!$D$4:$D$810=$W$24)*('Match Log'!$A$4:$A$810&lt;=$J423)),'Match Log'!$N$4:$N$810),NA()))</f>
        <v>#N/A</v>
      </c>
      <c r="X423" t="e">
        <f>IF($J423&gt;MAX('Match Log'!$A$4:$A$810),NA(),IFERROR(LOOKUP(2,1/(('Match Log'!$D$4:$D$810=$X$24)*('Match Log'!$A$4:$A$810&lt;=$J423)),'Match Log'!$N$4:$N$810),NA()))</f>
        <v>#N/A</v>
      </c>
      <c r="Y423" t="str">
        <f t="shared" ca="1" si="42"/>
        <v/>
      </c>
    </row>
    <row r="424" spans="1:25" x14ac:dyDescent="0.2">
      <c r="A424">
        <v>400</v>
      </c>
      <c r="B424" t="str">
        <f>IFERROR(INDEX('Match Log'!$B$4:$B$810,MATCH(400,'Match Log'!$A$4:$A$810,0)),"")</f>
        <v/>
      </c>
      <c r="C424" t="str">
        <f>IFERROR(INDEX('Match Log'!$C$4:$C$810,MATCH(400,'Match Log'!$A$4:$A$810,0)),"")</f>
        <v/>
      </c>
      <c r="D424" t="str">
        <f t="array" ref="D424">IFERROR(_xlfn.TEXTJOIN(" + ",TRUE,IF(('Match Log'!$A$4:$A$810=$A424)*('Match Log'!$E$4:$E$810="Win"),'Match Log'!$D$4:$D$810,"")),IFERROR(LOOKUP(2,1/(('Match Log'!$A$4:$A$810=$A424)*('Match Log'!$E$4:$E$810="Win")),'Match Log'!$D$4:$D$810),""))</f>
        <v/>
      </c>
      <c r="E424" t="str">
        <f>IFERROR(INDEX('Match Log'!$F$4:$F$810,MATCH(400,'Match Log'!$A$4:$A$810,0)),"")</f>
        <v/>
      </c>
      <c r="F424">
        <f>IFERROR(SUMIFS('Match Log'!$I$4:$I$810,'Match Log'!$A$4:$A$810,400,'Match Log'!$E$4:$E$810,"Win"),"")</f>
        <v>0</v>
      </c>
      <c r="G424" t="str">
        <f t="shared" si="40"/>
        <v/>
      </c>
      <c r="H424" t="str">
        <f t="array" ref="H424">IFERROR(IF(COUNTIFS('Match Log'!$A$4:$A$810,$A424,'Match Log'!$E$4:$E$810,"Win")&gt;1,_xlfn.TEXTJOIN(" + ",TRUE,IF(('Match Log'!$A$4:$A$810=$A424)*('Match Log'!$E$4:$E$810="Loss"),'Match Log'!$D$4:$D$810,"")),IF($E424=2,LOOKUP(2,1/(('Match Log'!$A$4:$A$810=$A424)*('Match Log'!$E$4:$E$810="Loss")),'Match Log'!$D$4:$D$810),"the field")),"")</f>
        <v>the field</v>
      </c>
      <c r="I424" t="str">
        <f t="shared" si="41"/>
        <v/>
      </c>
      <c r="J424">
        <v>400</v>
      </c>
      <c r="K424" t="e">
        <f>IF($J424&gt;MAX('Match Log'!$A$4:$A$810),NA(),IFERROR(LOOKUP(2,1/(('Match Log'!$D$4:$D$810=$K$24)*('Match Log'!$A$4:$A$810&lt;=$J424)),'Match Log'!$N$4:$N$810),NA()))</f>
        <v>#N/A</v>
      </c>
      <c r="L424" t="e">
        <f>IF($J424&gt;MAX('Match Log'!$A$4:$A$810),NA(),IFERROR(LOOKUP(2,1/(('Match Log'!$D$4:$D$810=$L$24)*('Match Log'!$A$4:$A$810&lt;=$J424)),'Match Log'!$N$4:$N$810),NA()))</f>
        <v>#N/A</v>
      </c>
      <c r="M424" t="e">
        <f>IF($J424&gt;MAX('Match Log'!$A$4:$A$810),NA(),IFERROR(LOOKUP(2,1/(('Match Log'!$D$4:$D$810=$M$24)*('Match Log'!$A$4:$A$810&lt;=$J424)),'Match Log'!$N$4:$N$810),NA()))</f>
        <v>#N/A</v>
      </c>
      <c r="N424" t="e">
        <f>IF($J424&gt;MAX('Match Log'!$A$4:$A$810),NA(),IFERROR(LOOKUP(2,1/(('Match Log'!$D$4:$D$810=$N$24)*('Match Log'!$A$4:$A$810&lt;=$J424)),'Match Log'!$N$4:$N$810),NA()))</f>
        <v>#N/A</v>
      </c>
      <c r="O424" t="e">
        <f>IF($J424&gt;MAX('Match Log'!$A$4:$A$810),NA(),IFERROR(LOOKUP(2,1/(('Match Log'!$D$4:$D$810=$O$24)*('Match Log'!$A$4:$A$810&lt;=$J424)),'Match Log'!$N$4:$N$810),NA()))</f>
        <v>#N/A</v>
      </c>
      <c r="P424" t="e">
        <f>IF($J424&gt;MAX('Match Log'!$A$4:$A$810),NA(),IFERROR(LOOKUP(2,1/(('Match Log'!$D$4:$D$810=$P$24)*('Match Log'!$A$4:$A$810&lt;=$J424)),'Match Log'!$N$4:$N$810),NA()))</f>
        <v>#N/A</v>
      </c>
      <c r="Q424" t="e">
        <f>IF($J424&gt;MAX('Match Log'!$A$4:$A$810),NA(),IFERROR(LOOKUP(2,1/(('Match Log'!$D$4:$D$810=$Q$24)*('Match Log'!$A$4:$A$810&lt;=$J424)),'Match Log'!$N$4:$N$810),NA()))</f>
        <v>#N/A</v>
      </c>
      <c r="R424" t="e">
        <f>IF($J424&gt;MAX('Match Log'!$A$4:$A$810),NA(),IFERROR(LOOKUP(2,1/(('Match Log'!$D$4:$D$810=$R$24)*('Match Log'!$A$4:$A$810&lt;=$J424)),'Match Log'!$N$4:$N$810),NA()))</f>
        <v>#N/A</v>
      </c>
      <c r="S424" t="e">
        <f>IF($J424&gt;MAX('Match Log'!$A$4:$A$810),NA(),IFERROR(LOOKUP(2,1/(('Match Log'!$D$4:$D$810=$S$24)*('Match Log'!$A$4:$A$810&lt;=$J424)),'Match Log'!$N$4:$N$810),NA()))</f>
        <v>#N/A</v>
      </c>
      <c r="T424" t="e">
        <f>IF($J424&gt;MAX('Match Log'!$A$4:$A$810),NA(),IFERROR(LOOKUP(2,1/(('Match Log'!$D$4:$D$810=$T$24)*('Match Log'!$A$4:$A$810&lt;=$J424)),'Match Log'!$N$4:$N$810),NA()))</f>
        <v>#N/A</v>
      </c>
      <c r="U424" t="e">
        <f>IF($J424&gt;MAX('Match Log'!$A$4:$A$810),NA(),IFERROR(LOOKUP(2,1/(('Match Log'!$D$4:$D$810=$U$24)*('Match Log'!$A$4:$A$810&lt;=$J424)),'Match Log'!$N$4:$N$810),NA()))</f>
        <v>#N/A</v>
      </c>
      <c r="V424" t="e">
        <f>IF($J424&gt;MAX('Match Log'!$A$4:$A$810),NA(),IFERROR(LOOKUP(2,1/(('Match Log'!$D$4:$D$810=$V$24)*('Match Log'!$A$4:$A$810&lt;=$J424)),'Match Log'!$N$4:$N$810),NA()))</f>
        <v>#N/A</v>
      </c>
      <c r="W424" t="e">
        <f>IF($J424&gt;MAX('Match Log'!$A$4:$A$810),NA(),IFERROR(LOOKUP(2,1/(('Match Log'!$D$4:$D$810=$W$24)*('Match Log'!$A$4:$A$810&lt;=$J424)),'Match Log'!$N$4:$N$810),NA()))</f>
        <v>#N/A</v>
      </c>
      <c r="X424" t="e">
        <f>IF($J424&gt;MAX('Match Log'!$A$4:$A$810),NA(),IFERROR(LOOKUP(2,1/(('Match Log'!$D$4:$D$810=$X$24)*('Match Log'!$A$4:$A$810&lt;=$J424)),'Match Log'!$N$4:$N$810),NA()))</f>
        <v>#N/A</v>
      </c>
      <c r="Y424" t="str">
        <f t="shared" ca="1" si="42"/>
        <v/>
      </c>
    </row>
    <row r="425" spans="1:25" x14ac:dyDescent="0.2">
      <c r="A425">
        <v>401</v>
      </c>
      <c r="B425" t="str">
        <f>IFERROR(INDEX('Match Log'!$B$4:$B$810,MATCH(401,'Match Log'!$A$4:$A$810,0)),"")</f>
        <v/>
      </c>
      <c r="C425" t="str">
        <f>IFERROR(INDEX('Match Log'!$C$4:$C$810,MATCH(401,'Match Log'!$A$4:$A$810,0)),"")</f>
        <v/>
      </c>
      <c r="D425" t="str">
        <f t="array" ref="D425">IFERROR(_xlfn.TEXTJOIN(" + ",TRUE,IF(('Match Log'!$A$4:$A$810=$A425)*('Match Log'!$E$4:$E$810="Win"),'Match Log'!$D$4:$D$810,"")),IFERROR(LOOKUP(2,1/(('Match Log'!$A$4:$A$810=$A425)*('Match Log'!$E$4:$E$810="Win")),'Match Log'!$D$4:$D$810),""))</f>
        <v/>
      </c>
      <c r="E425" t="str">
        <f>IFERROR(INDEX('Match Log'!$F$4:$F$810,MATCH(401,'Match Log'!$A$4:$A$810,0)),"")</f>
        <v/>
      </c>
      <c r="F425">
        <f>IFERROR(SUMIFS('Match Log'!$I$4:$I$810,'Match Log'!$A$4:$A$810,401,'Match Log'!$E$4:$E$810,"Win"),"")</f>
        <v>0</v>
      </c>
      <c r="G425" t="str">
        <f t="shared" si="40"/>
        <v/>
      </c>
      <c r="H425" t="str">
        <f t="array" ref="H425">IFERROR(IF(COUNTIFS('Match Log'!$A$4:$A$810,$A425,'Match Log'!$E$4:$E$810,"Win")&gt;1,_xlfn.TEXTJOIN(" + ",TRUE,IF(('Match Log'!$A$4:$A$810=$A425)*('Match Log'!$E$4:$E$810="Loss"),'Match Log'!$D$4:$D$810,"")),IF($E425=2,LOOKUP(2,1/(('Match Log'!$A$4:$A$810=$A425)*('Match Log'!$E$4:$E$810="Loss")),'Match Log'!$D$4:$D$810),"the field")),"")</f>
        <v>the field</v>
      </c>
      <c r="I425" t="str">
        <f t="shared" si="41"/>
        <v/>
      </c>
      <c r="J425">
        <v>401</v>
      </c>
      <c r="K425" t="e">
        <f>IF($J425&gt;MAX('Match Log'!$A$4:$A$810),NA(),IFERROR(LOOKUP(2,1/(('Match Log'!$D$4:$D$810=$K$24)*('Match Log'!$A$4:$A$810&lt;=$J425)),'Match Log'!$N$4:$N$810),NA()))</f>
        <v>#N/A</v>
      </c>
      <c r="L425" t="e">
        <f>IF($J425&gt;MAX('Match Log'!$A$4:$A$810),NA(),IFERROR(LOOKUP(2,1/(('Match Log'!$D$4:$D$810=$L$24)*('Match Log'!$A$4:$A$810&lt;=$J425)),'Match Log'!$N$4:$N$810),NA()))</f>
        <v>#N/A</v>
      </c>
      <c r="M425" t="e">
        <f>IF($J425&gt;MAX('Match Log'!$A$4:$A$810),NA(),IFERROR(LOOKUP(2,1/(('Match Log'!$D$4:$D$810=$M$24)*('Match Log'!$A$4:$A$810&lt;=$J425)),'Match Log'!$N$4:$N$810),NA()))</f>
        <v>#N/A</v>
      </c>
      <c r="N425" t="e">
        <f>IF($J425&gt;MAX('Match Log'!$A$4:$A$810),NA(),IFERROR(LOOKUP(2,1/(('Match Log'!$D$4:$D$810=$N$24)*('Match Log'!$A$4:$A$810&lt;=$J425)),'Match Log'!$N$4:$N$810),NA()))</f>
        <v>#N/A</v>
      </c>
      <c r="O425" t="e">
        <f>IF($J425&gt;MAX('Match Log'!$A$4:$A$810),NA(),IFERROR(LOOKUP(2,1/(('Match Log'!$D$4:$D$810=$O$24)*('Match Log'!$A$4:$A$810&lt;=$J425)),'Match Log'!$N$4:$N$810),NA()))</f>
        <v>#N/A</v>
      </c>
      <c r="P425" t="e">
        <f>IF($J425&gt;MAX('Match Log'!$A$4:$A$810),NA(),IFERROR(LOOKUP(2,1/(('Match Log'!$D$4:$D$810=$P$24)*('Match Log'!$A$4:$A$810&lt;=$J425)),'Match Log'!$N$4:$N$810),NA()))</f>
        <v>#N/A</v>
      </c>
      <c r="Q425" t="e">
        <f>IF($J425&gt;MAX('Match Log'!$A$4:$A$810),NA(),IFERROR(LOOKUP(2,1/(('Match Log'!$D$4:$D$810=$Q$24)*('Match Log'!$A$4:$A$810&lt;=$J425)),'Match Log'!$N$4:$N$810),NA()))</f>
        <v>#N/A</v>
      </c>
      <c r="R425" t="e">
        <f>IF($J425&gt;MAX('Match Log'!$A$4:$A$810),NA(),IFERROR(LOOKUP(2,1/(('Match Log'!$D$4:$D$810=$R$24)*('Match Log'!$A$4:$A$810&lt;=$J425)),'Match Log'!$N$4:$N$810),NA()))</f>
        <v>#N/A</v>
      </c>
      <c r="S425" t="e">
        <f>IF($J425&gt;MAX('Match Log'!$A$4:$A$810),NA(),IFERROR(LOOKUP(2,1/(('Match Log'!$D$4:$D$810=$S$24)*('Match Log'!$A$4:$A$810&lt;=$J425)),'Match Log'!$N$4:$N$810),NA()))</f>
        <v>#N/A</v>
      </c>
      <c r="T425" t="e">
        <f>IF($J425&gt;MAX('Match Log'!$A$4:$A$810),NA(),IFERROR(LOOKUP(2,1/(('Match Log'!$D$4:$D$810=$T$24)*('Match Log'!$A$4:$A$810&lt;=$J425)),'Match Log'!$N$4:$N$810),NA()))</f>
        <v>#N/A</v>
      </c>
      <c r="U425" t="e">
        <f>IF($J425&gt;MAX('Match Log'!$A$4:$A$810),NA(),IFERROR(LOOKUP(2,1/(('Match Log'!$D$4:$D$810=$U$24)*('Match Log'!$A$4:$A$810&lt;=$J425)),'Match Log'!$N$4:$N$810),NA()))</f>
        <v>#N/A</v>
      </c>
      <c r="V425" t="e">
        <f>IF($J425&gt;MAX('Match Log'!$A$4:$A$810),NA(),IFERROR(LOOKUP(2,1/(('Match Log'!$D$4:$D$810=$V$24)*('Match Log'!$A$4:$A$810&lt;=$J425)),'Match Log'!$N$4:$N$810),NA()))</f>
        <v>#N/A</v>
      </c>
      <c r="W425" t="e">
        <f>IF($J425&gt;MAX('Match Log'!$A$4:$A$810),NA(),IFERROR(LOOKUP(2,1/(('Match Log'!$D$4:$D$810=$W$24)*('Match Log'!$A$4:$A$810&lt;=$J425)),'Match Log'!$N$4:$N$810),NA()))</f>
        <v>#N/A</v>
      </c>
      <c r="X425" t="e">
        <f>IF($J425&gt;MAX('Match Log'!$A$4:$A$810),NA(),IFERROR(LOOKUP(2,1/(('Match Log'!$D$4:$D$810=$X$24)*('Match Log'!$A$4:$A$810&lt;=$J425)),'Match Log'!$N$4:$N$810),NA()))</f>
        <v>#N/A</v>
      </c>
      <c r="Y425" t="str">
        <f t="shared" ca="1" si="42"/>
        <v/>
      </c>
    </row>
    <row r="426" spans="1:25" x14ac:dyDescent="0.2">
      <c r="A426">
        <v>402</v>
      </c>
      <c r="B426" t="str">
        <f>IFERROR(INDEX('Match Log'!$B$4:$B$810,MATCH(402,'Match Log'!$A$4:$A$810,0)),"")</f>
        <v/>
      </c>
      <c r="C426" t="str">
        <f>IFERROR(INDEX('Match Log'!$C$4:$C$810,MATCH(402,'Match Log'!$A$4:$A$810,0)),"")</f>
        <v/>
      </c>
      <c r="D426" t="str">
        <f t="array" ref="D426">IFERROR(_xlfn.TEXTJOIN(" + ",TRUE,IF(('Match Log'!$A$4:$A$810=$A426)*('Match Log'!$E$4:$E$810="Win"),'Match Log'!$D$4:$D$810,"")),IFERROR(LOOKUP(2,1/(('Match Log'!$A$4:$A$810=$A426)*('Match Log'!$E$4:$E$810="Win")),'Match Log'!$D$4:$D$810),""))</f>
        <v/>
      </c>
      <c r="E426" t="str">
        <f>IFERROR(INDEX('Match Log'!$F$4:$F$810,MATCH(402,'Match Log'!$A$4:$A$810,0)),"")</f>
        <v/>
      </c>
      <c r="F426">
        <f>IFERROR(SUMIFS('Match Log'!$I$4:$I$810,'Match Log'!$A$4:$A$810,402,'Match Log'!$E$4:$E$810,"Win"),"")</f>
        <v>0</v>
      </c>
      <c r="G426" t="str">
        <f t="shared" si="40"/>
        <v/>
      </c>
      <c r="H426" t="str">
        <f t="array" ref="H426">IFERROR(IF(COUNTIFS('Match Log'!$A$4:$A$810,$A426,'Match Log'!$E$4:$E$810,"Win")&gt;1,_xlfn.TEXTJOIN(" + ",TRUE,IF(('Match Log'!$A$4:$A$810=$A426)*('Match Log'!$E$4:$E$810="Loss"),'Match Log'!$D$4:$D$810,"")),IF($E426=2,LOOKUP(2,1/(('Match Log'!$A$4:$A$810=$A426)*('Match Log'!$E$4:$E$810="Loss")),'Match Log'!$D$4:$D$810),"the field")),"")</f>
        <v>the field</v>
      </c>
      <c r="I426" t="str">
        <f t="shared" si="41"/>
        <v/>
      </c>
      <c r="J426">
        <v>402</v>
      </c>
      <c r="K426" t="e">
        <f>IF($J426&gt;MAX('Match Log'!$A$4:$A$810),NA(),IFERROR(LOOKUP(2,1/(('Match Log'!$D$4:$D$810=$K$24)*('Match Log'!$A$4:$A$810&lt;=$J426)),'Match Log'!$N$4:$N$810),NA()))</f>
        <v>#N/A</v>
      </c>
      <c r="L426" t="e">
        <f>IF($J426&gt;MAX('Match Log'!$A$4:$A$810),NA(),IFERROR(LOOKUP(2,1/(('Match Log'!$D$4:$D$810=$L$24)*('Match Log'!$A$4:$A$810&lt;=$J426)),'Match Log'!$N$4:$N$810),NA()))</f>
        <v>#N/A</v>
      </c>
      <c r="M426" t="e">
        <f>IF($J426&gt;MAX('Match Log'!$A$4:$A$810),NA(),IFERROR(LOOKUP(2,1/(('Match Log'!$D$4:$D$810=$M$24)*('Match Log'!$A$4:$A$810&lt;=$J426)),'Match Log'!$N$4:$N$810),NA()))</f>
        <v>#N/A</v>
      </c>
      <c r="N426" t="e">
        <f>IF($J426&gt;MAX('Match Log'!$A$4:$A$810),NA(),IFERROR(LOOKUP(2,1/(('Match Log'!$D$4:$D$810=$N$24)*('Match Log'!$A$4:$A$810&lt;=$J426)),'Match Log'!$N$4:$N$810),NA()))</f>
        <v>#N/A</v>
      </c>
      <c r="O426" t="e">
        <f>IF($J426&gt;MAX('Match Log'!$A$4:$A$810),NA(),IFERROR(LOOKUP(2,1/(('Match Log'!$D$4:$D$810=$O$24)*('Match Log'!$A$4:$A$810&lt;=$J426)),'Match Log'!$N$4:$N$810),NA()))</f>
        <v>#N/A</v>
      </c>
      <c r="P426" t="e">
        <f>IF($J426&gt;MAX('Match Log'!$A$4:$A$810),NA(),IFERROR(LOOKUP(2,1/(('Match Log'!$D$4:$D$810=$P$24)*('Match Log'!$A$4:$A$810&lt;=$J426)),'Match Log'!$N$4:$N$810),NA()))</f>
        <v>#N/A</v>
      </c>
      <c r="Q426" t="e">
        <f>IF($J426&gt;MAX('Match Log'!$A$4:$A$810),NA(),IFERROR(LOOKUP(2,1/(('Match Log'!$D$4:$D$810=$Q$24)*('Match Log'!$A$4:$A$810&lt;=$J426)),'Match Log'!$N$4:$N$810),NA()))</f>
        <v>#N/A</v>
      </c>
      <c r="R426" t="e">
        <f>IF($J426&gt;MAX('Match Log'!$A$4:$A$810),NA(),IFERROR(LOOKUP(2,1/(('Match Log'!$D$4:$D$810=$R$24)*('Match Log'!$A$4:$A$810&lt;=$J426)),'Match Log'!$N$4:$N$810),NA()))</f>
        <v>#N/A</v>
      </c>
      <c r="S426" t="e">
        <f>IF($J426&gt;MAX('Match Log'!$A$4:$A$810),NA(),IFERROR(LOOKUP(2,1/(('Match Log'!$D$4:$D$810=$S$24)*('Match Log'!$A$4:$A$810&lt;=$J426)),'Match Log'!$N$4:$N$810),NA()))</f>
        <v>#N/A</v>
      </c>
      <c r="T426" t="e">
        <f>IF($J426&gt;MAX('Match Log'!$A$4:$A$810),NA(),IFERROR(LOOKUP(2,1/(('Match Log'!$D$4:$D$810=$T$24)*('Match Log'!$A$4:$A$810&lt;=$J426)),'Match Log'!$N$4:$N$810),NA()))</f>
        <v>#N/A</v>
      </c>
      <c r="U426" t="e">
        <f>IF($J426&gt;MAX('Match Log'!$A$4:$A$810),NA(),IFERROR(LOOKUP(2,1/(('Match Log'!$D$4:$D$810=$U$24)*('Match Log'!$A$4:$A$810&lt;=$J426)),'Match Log'!$N$4:$N$810),NA()))</f>
        <v>#N/A</v>
      </c>
      <c r="V426" t="e">
        <f>IF($J426&gt;MAX('Match Log'!$A$4:$A$810),NA(),IFERROR(LOOKUP(2,1/(('Match Log'!$D$4:$D$810=$V$24)*('Match Log'!$A$4:$A$810&lt;=$J426)),'Match Log'!$N$4:$N$810),NA()))</f>
        <v>#N/A</v>
      </c>
      <c r="W426" t="e">
        <f>IF($J426&gt;MAX('Match Log'!$A$4:$A$810),NA(),IFERROR(LOOKUP(2,1/(('Match Log'!$D$4:$D$810=$W$24)*('Match Log'!$A$4:$A$810&lt;=$J426)),'Match Log'!$N$4:$N$810),NA()))</f>
        <v>#N/A</v>
      </c>
      <c r="X426" t="e">
        <f>IF($J426&gt;MAX('Match Log'!$A$4:$A$810),NA(),IFERROR(LOOKUP(2,1/(('Match Log'!$D$4:$D$810=$X$24)*('Match Log'!$A$4:$A$810&lt;=$J426)),'Match Log'!$N$4:$N$810),NA()))</f>
        <v>#N/A</v>
      </c>
      <c r="Y426" t="str">
        <f t="shared" ca="1" si="42"/>
        <v/>
      </c>
    </row>
    <row r="427" spans="1:25" x14ac:dyDescent="0.2">
      <c r="A427">
        <v>403</v>
      </c>
      <c r="B427" t="str">
        <f>IFERROR(INDEX('Match Log'!$B$4:$B$810,MATCH(403,'Match Log'!$A$4:$A$810,0)),"")</f>
        <v/>
      </c>
      <c r="C427" t="str">
        <f>IFERROR(INDEX('Match Log'!$C$4:$C$810,MATCH(403,'Match Log'!$A$4:$A$810,0)),"")</f>
        <v/>
      </c>
      <c r="D427" t="str">
        <f t="array" ref="D427">IFERROR(_xlfn.TEXTJOIN(" + ",TRUE,IF(('Match Log'!$A$4:$A$810=$A427)*('Match Log'!$E$4:$E$810="Win"),'Match Log'!$D$4:$D$810,"")),IFERROR(LOOKUP(2,1/(('Match Log'!$A$4:$A$810=$A427)*('Match Log'!$E$4:$E$810="Win")),'Match Log'!$D$4:$D$810),""))</f>
        <v/>
      </c>
      <c r="E427" t="str">
        <f>IFERROR(INDEX('Match Log'!$F$4:$F$810,MATCH(403,'Match Log'!$A$4:$A$810,0)),"")</f>
        <v/>
      </c>
      <c r="F427">
        <f>IFERROR(SUMIFS('Match Log'!$I$4:$I$810,'Match Log'!$A$4:$A$810,403,'Match Log'!$E$4:$E$810,"Win"),"")</f>
        <v>0</v>
      </c>
      <c r="G427" t="str">
        <f t="shared" si="40"/>
        <v/>
      </c>
      <c r="H427" t="str">
        <f t="array" ref="H427">IFERROR(IF(COUNTIFS('Match Log'!$A$4:$A$810,$A427,'Match Log'!$E$4:$E$810,"Win")&gt;1,_xlfn.TEXTJOIN(" + ",TRUE,IF(('Match Log'!$A$4:$A$810=$A427)*('Match Log'!$E$4:$E$810="Loss"),'Match Log'!$D$4:$D$810,"")),IF($E427=2,LOOKUP(2,1/(('Match Log'!$A$4:$A$810=$A427)*('Match Log'!$E$4:$E$810="Loss")),'Match Log'!$D$4:$D$810),"the field")),"")</f>
        <v>the field</v>
      </c>
      <c r="I427" t="str">
        <f t="shared" si="41"/>
        <v/>
      </c>
      <c r="J427">
        <v>403</v>
      </c>
      <c r="K427" t="e">
        <f>IF($J427&gt;MAX('Match Log'!$A$4:$A$810),NA(),IFERROR(LOOKUP(2,1/(('Match Log'!$D$4:$D$810=$K$24)*('Match Log'!$A$4:$A$810&lt;=$J427)),'Match Log'!$N$4:$N$810),NA()))</f>
        <v>#N/A</v>
      </c>
      <c r="L427" t="e">
        <f>IF($J427&gt;MAX('Match Log'!$A$4:$A$810),NA(),IFERROR(LOOKUP(2,1/(('Match Log'!$D$4:$D$810=$L$24)*('Match Log'!$A$4:$A$810&lt;=$J427)),'Match Log'!$N$4:$N$810),NA()))</f>
        <v>#N/A</v>
      </c>
      <c r="M427" t="e">
        <f>IF($J427&gt;MAX('Match Log'!$A$4:$A$810),NA(),IFERROR(LOOKUP(2,1/(('Match Log'!$D$4:$D$810=$M$24)*('Match Log'!$A$4:$A$810&lt;=$J427)),'Match Log'!$N$4:$N$810),NA()))</f>
        <v>#N/A</v>
      </c>
      <c r="N427" t="e">
        <f>IF($J427&gt;MAX('Match Log'!$A$4:$A$810),NA(),IFERROR(LOOKUP(2,1/(('Match Log'!$D$4:$D$810=$N$24)*('Match Log'!$A$4:$A$810&lt;=$J427)),'Match Log'!$N$4:$N$810),NA()))</f>
        <v>#N/A</v>
      </c>
      <c r="O427" t="e">
        <f>IF($J427&gt;MAX('Match Log'!$A$4:$A$810),NA(),IFERROR(LOOKUP(2,1/(('Match Log'!$D$4:$D$810=$O$24)*('Match Log'!$A$4:$A$810&lt;=$J427)),'Match Log'!$N$4:$N$810),NA()))</f>
        <v>#N/A</v>
      </c>
      <c r="P427" t="e">
        <f>IF($J427&gt;MAX('Match Log'!$A$4:$A$810),NA(),IFERROR(LOOKUP(2,1/(('Match Log'!$D$4:$D$810=$P$24)*('Match Log'!$A$4:$A$810&lt;=$J427)),'Match Log'!$N$4:$N$810),NA()))</f>
        <v>#N/A</v>
      </c>
      <c r="Q427" t="e">
        <f>IF($J427&gt;MAX('Match Log'!$A$4:$A$810),NA(),IFERROR(LOOKUP(2,1/(('Match Log'!$D$4:$D$810=$Q$24)*('Match Log'!$A$4:$A$810&lt;=$J427)),'Match Log'!$N$4:$N$810),NA()))</f>
        <v>#N/A</v>
      </c>
      <c r="R427" t="e">
        <f>IF($J427&gt;MAX('Match Log'!$A$4:$A$810),NA(),IFERROR(LOOKUP(2,1/(('Match Log'!$D$4:$D$810=$R$24)*('Match Log'!$A$4:$A$810&lt;=$J427)),'Match Log'!$N$4:$N$810),NA()))</f>
        <v>#N/A</v>
      </c>
      <c r="S427" t="e">
        <f>IF($J427&gt;MAX('Match Log'!$A$4:$A$810),NA(),IFERROR(LOOKUP(2,1/(('Match Log'!$D$4:$D$810=$S$24)*('Match Log'!$A$4:$A$810&lt;=$J427)),'Match Log'!$N$4:$N$810),NA()))</f>
        <v>#N/A</v>
      </c>
      <c r="T427" t="e">
        <f>IF($J427&gt;MAX('Match Log'!$A$4:$A$810),NA(),IFERROR(LOOKUP(2,1/(('Match Log'!$D$4:$D$810=$T$24)*('Match Log'!$A$4:$A$810&lt;=$J427)),'Match Log'!$N$4:$N$810),NA()))</f>
        <v>#N/A</v>
      </c>
      <c r="U427" t="e">
        <f>IF($J427&gt;MAX('Match Log'!$A$4:$A$810),NA(),IFERROR(LOOKUP(2,1/(('Match Log'!$D$4:$D$810=$U$24)*('Match Log'!$A$4:$A$810&lt;=$J427)),'Match Log'!$N$4:$N$810),NA()))</f>
        <v>#N/A</v>
      </c>
      <c r="V427" t="e">
        <f>IF($J427&gt;MAX('Match Log'!$A$4:$A$810),NA(),IFERROR(LOOKUP(2,1/(('Match Log'!$D$4:$D$810=$V$24)*('Match Log'!$A$4:$A$810&lt;=$J427)),'Match Log'!$N$4:$N$810),NA()))</f>
        <v>#N/A</v>
      </c>
      <c r="W427" t="e">
        <f>IF($J427&gt;MAX('Match Log'!$A$4:$A$810),NA(),IFERROR(LOOKUP(2,1/(('Match Log'!$D$4:$D$810=$W$24)*('Match Log'!$A$4:$A$810&lt;=$J427)),'Match Log'!$N$4:$N$810),NA()))</f>
        <v>#N/A</v>
      </c>
      <c r="X427" t="e">
        <f>IF($J427&gt;MAX('Match Log'!$A$4:$A$810),NA(),IFERROR(LOOKUP(2,1/(('Match Log'!$D$4:$D$810=$X$24)*('Match Log'!$A$4:$A$810&lt;=$J427)),'Match Log'!$N$4:$N$810),NA()))</f>
        <v>#N/A</v>
      </c>
      <c r="Y427" t="str">
        <f t="shared" ca="1" si="42"/>
        <v/>
      </c>
    </row>
    <row r="428" spans="1:25" x14ac:dyDescent="0.2">
      <c r="A428">
        <v>404</v>
      </c>
      <c r="B428" t="str">
        <f>IFERROR(INDEX('Match Log'!$B$4:$B$810,MATCH(404,'Match Log'!$A$4:$A$810,0)),"")</f>
        <v/>
      </c>
      <c r="C428" t="str">
        <f>IFERROR(INDEX('Match Log'!$C$4:$C$810,MATCH(404,'Match Log'!$A$4:$A$810,0)),"")</f>
        <v/>
      </c>
      <c r="D428" t="str">
        <f t="array" ref="D428">IFERROR(_xlfn.TEXTJOIN(" + ",TRUE,IF(('Match Log'!$A$4:$A$810=$A428)*('Match Log'!$E$4:$E$810="Win"),'Match Log'!$D$4:$D$810,"")),IFERROR(LOOKUP(2,1/(('Match Log'!$A$4:$A$810=$A428)*('Match Log'!$E$4:$E$810="Win")),'Match Log'!$D$4:$D$810),""))</f>
        <v/>
      </c>
      <c r="E428" t="str">
        <f>IFERROR(INDEX('Match Log'!$F$4:$F$810,MATCH(404,'Match Log'!$A$4:$A$810,0)),"")</f>
        <v/>
      </c>
      <c r="F428">
        <f>IFERROR(SUMIFS('Match Log'!$I$4:$I$810,'Match Log'!$A$4:$A$810,404,'Match Log'!$E$4:$E$810,"Win"),"")</f>
        <v>0</v>
      </c>
      <c r="G428" t="str">
        <f t="shared" si="40"/>
        <v/>
      </c>
      <c r="H428" t="str">
        <f t="array" ref="H428">IFERROR(IF(COUNTIFS('Match Log'!$A$4:$A$810,$A428,'Match Log'!$E$4:$E$810,"Win")&gt;1,_xlfn.TEXTJOIN(" + ",TRUE,IF(('Match Log'!$A$4:$A$810=$A428)*('Match Log'!$E$4:$E$810="Loss"),'Match Log'!$D$4:$D$810,"")),IF($E428=2,LOOKUP(2,1/(('Match Log'!$A$4:$A$810=$A428)*('Match Log'!$E$4:$E$810="Loss")),'Match Log'!$D$4:$D$810),"the field")),"")</f>
        <v>the field</v>
      </c>
      <c r="I428" t="str">
        <f t="shared" si="41"/>
        <v/>
      </c>
      <c r="J428">
        <v>404</v>
      </c>
      <c r="K428" t="e">
        <f>IF($J428&gt;MAX('Match Log'!$A$4:$A$810),NA(),IFERROR(LOOKUP(2,1/(('Match Log'!$D$4:$D$810=$K$24)*('Match Log'!$A$4:$A$810&lt;=$J428)),'Match Log'!$N$4:$N$810),NA()))</f>
        <v>#N/A</v>
      </c>
      <c r="L428" t="e">
        <f>IF($J428&gt;MAX('Match Log'!$A$4:$A$810),NA(),IFERROR(LOOKUP(2,1/(('Match Log'!$D$4:$D$810=$L$24)*('Match Log'!$A$4:$A$810&lt;=$J428)),'Match Log'!$N$4:$N$810),NA()))</f>
        <v>#N/A</v>
      </c>
      <c r="M428" t="e">
        <f>IF($J428&gt;MAX('Match Log'!$A$4:$A$810),NA(),IFERROR(LOOKUP(2,1/(('Match Log'!$D$4:$D$810=$M$24)*('Match Log'!$A$4:$A$810&lt;=$J428)),'Match Log'!$N$4:$N$810),NA()))</f>
        <v>#N/A</v>
      </c>
      <c r="N428" t="e">
        <f>IF($J428&gt;MAX('Match Log'!$A$4:$A$810),NA(),IFERROR(LOOKUP(2,1/(('Match Log'!$D$4:$D$810=$N$24)*('Match Log'!$A$4:$A$810&lt;=$J428)),'Match Log'!$N$4:$N$810),NA()))</f>
        <v>#N/A</v>
      </c>
      <c r="O428" t="e">
        <f>IF($J428&gt;MAX('Match Log'!$A$4:$A$810),NA(),IFERROR(LOOKUP(2,1/(('Match Log'!$D$4:$D$810=$O$24)*('Match Log'!$A$4:$A$810&lt;=$J428)),'Match Log'!$N$4:$N$810),NA()))</f>
        <v>#N/A</v>
      </c>
      <c r="P428" t="e">
        <f>IF($J428&gt;MAX('Match Log'!$A$4:$A$810),NA(),IFERROR(LOOKUP(2,1/(('Match Log'!$D$4:$D$810=$P$24)*('Match Log'!$A$4:$A$810&lt;=$J428)),'Match Log'!$N$4:$N$810),NA()))</f>
        <v>#N/A</v>
      </c>
      <c r="Q428" t="e">
        <f>IF($J428&gt;MAX('Match Log'!$A$4:$A$810),NA(),IFERROR(LOOKUP(2,1/(('Match Log'!$D$4:$D$810=$Q$24)*('Match Log'!$A$4:$A$810&lt;=$J428)),'Match Log'!$N$4:$N$810),NA()))</f>
        <v>#N/A</v>
      </c>
      <c r="R428" t="e">
        <f>IF($J428&gt;MAX('Match Log'!$A$4:$A$810),NA(),IFERROR(LOOKUP(2,1/(('Match Log'!$D$4:$D$810=$R$24)*('Match Log'!$A$4:$A$810&lt;=$J428)),'Match Log'!$N$4:$N$810),NA()))</f>
        <v>#N/A</v>
      </c>
      <c r="S428" t="e">
        <f>IF($J428&gt;MAX('Match Log'!$A$4:$A$810),NA(),IFERROR(LOOKUP(2,1/(('Match Log'!$D$4:$D$810=$S$24)*('Match Log'!$A$4:$A$810&lt;=$J428)),'Match Log'!$N$4:$N$810),NA()))</f>
        <v>#N/A</v>
      </c>
      <c r="T428" t="e">
        <f>IF($J428&gt;MAX('Match Log'!$A$4:$A$810),NA(),IFERROR(LOOKUP(2,1/(('Match Log'!$D$4:$D$810=$T$24)*('Match Log'!$A$4:$A$810&lt;=$J428)),'Match Log'!$N$4:$N$810),NA()))</f>
        <v>#N/A</v>
      </c>
      <c r="U428" t="e">
        <f>IF($J428&gt;MAX('Match Log'!$A$4:$A$810),NA(),IFERROR(LOOKUP(2,1/(('Match Log'!$D$4:$D$810=$U$24)*('Match Log'!$A$4:$A$810&lt;=$J428)),'Match Log'!$N$4:$N$810),NA()))</f>
        <v>#N/A</v>
      </c>
      <c r="V428" t="e">
        <f>IF($J428&gt;MAX('Match Log'!$A$4:$A$810),NA(),IFERROR(LOOKUP(2,1/(('Match Log'!$D$4:$D$810=$V$24)*('Match Log'!$A$4:$A$810&lt;=$J428)),'Match Log'!$N$4:$N$810),NA()))</f>
        <v>#N/A</v>
      </c>
      <c r="W428" t="e">
        <f>IF($J428&gt;MAX('Match Log'!$A$4:$A$810),NA(),IFERROR(LOOKUP(2,1/(('Match Log'!$D$4:$D$810=$W$24)*('Match Log'!$A$4:$A$810&lt;=$J428)),'Match Log'!$N$4:$N$810),NA()))</f>
        <v>#N/A</v>
      </c>
      <c r="X428" t="e">
        <f>IF($J428&gt;MAX('Match Log'!$A$4:$A$810),NA(),IFERROR(LOOKUP(2,1/(('Match Log'!$D$4:$D$810=$X$24)*('Match Log'!$A$4:$A$810&lt;=$J428)),'Match Log'!$N$4:$N$810),NA()))</f>
        <v>#N/A</v>
      </c>
      <c r="Y428" t="str">
        <f t="shared" ca="1" si="42"/>
        <v/>
      </c>
    </row>
    <row r="429" spans="1:25" x14ac:dyDescent="0.2">
      <c r="A429">
        <v>405</v>
      </c>
      <c r="B429" t="str">
        <f>IFERROR(INDEX('Match Log'!$B$4:$B$810,MATCH(405,'Match Log'!$A$4:$A$810,0)),"")</f>
        <v/>
      </c>
      <c r="C429" t="str">
        <f>IFERROR(INDEX('Match Log'!$C$4:$C$810,MATCH(405,'Match Log'!$A$4:$A$810,0)),"")</f>
        <v/>
      </c>
      <c r="D429" t="str">
        <f t="array" ref="D429">IFERROR(_xlfn.TEXTJOIN(" + ",TRUE,IF(('Match Log'!$A$4:$A$810=$A429)*('Match Log'!$E$4:$E$810="Win"),'Match Log'!$D$4:$D$810,"")),IFERROR(LOOKUP(2,1/(('Match Log'!$A$4:$A$810=$A429)*('Match Log'!$E$4:$E$810="Win")),'Match Log'!$D$4:$D$810),""))</f>
        <v/>
      </c>
      <c r="E429" t="str">
        <f>IFERROR(INDEX('Match Log'!$F$4:$F$810,MATCH(405,'Match Log'!$A$4:$A$810,0)),"")</f>
        <v/>
      </c>
      <c r="F429">
        <f>IFERROR(SUMIFS('Match Log'!$I$4:$I$810,'Match Log'!$A$4:$A$810,405,'Match Log'!$E$4:$E$810,"Win"),"")</f>
        <v>0</v>
      </c>
      <c r="G429" t="str">
        <f t="shared" si="40"/>
        <v/>
      </c>
      <c r="H429" t="str">
        <f t="array" ref="H429">IFERROR(IF(COUNTIFS('Match Log'!$A$4:$A$810,$A429,'Match Log'!$E$4:$E$810,"Win")&gt;1,_xlfn.TEXTJOIN(" + ",TRUE,IF(('Match Log'!$A$4:$A$810=$A429)*('Match Log'!$E$4:$E$810="Loss"),'Match Log'!$D$4:$D$810,"")),IF($E429=2,LOOKUP(2,1/(('Match Log'!$A$4:$A$810=$A429)*('Match Log'!$E$4:$E$810="Loss")),'Match Log'!$D$4:$D$810),"the field")),"")</f>
        <v>the field</v>
      </c>
      <c r="I429" t="str">
        <f t="shared" si="41"/>
        <v/>
      </c>
      <c r="J429">
        <v>405</v>
      </c>
      <c r="K429" t="e">
        <f>IF($J429&gt;MAX('Match Log'!$A$4:$A$810),NA(),IFERROR(LOOKUP(2,1/(('Match Log'!$D$4:$D$810=$K$24)*('Match Log'!$A$4:$A$810&lt;=$J429)),'Match Log'!$N$4:$N$810),NA()))</f>
        <v>#N/A</v>
      </c>
      <c r="L429" t="e">
        <f>IF($J429&gt;MAX('Match Log'!$A$4:$A$810),NA(),IFERROR(LOOKUP(2,1/(('Match Log'!$D$4:$D$810=$L$24)*('Match Log'!$A$4:$A$810&lt;=$J429)),'Match Log'!$N$4:$N$810),NA()))</f>
        <v>#N/A</v>
      </c>
      <c r="M429" t="e">
        <f>IF($J429&gt;MAX('Match Log'!$A$4:$A$810),NA(),IFERROR(LOOKUP(2,1/(('Match Log'!$D$4:$D$810=$M$24)*('Match Log'!$A$4:$A$810&lt;=$J429)),'Match Log'!$N$4:$N$810),NA()))</f>
        <v>#N/A</v>
      </c>
      <c r="N429" t="e">
        <f>IF($J429&gt;MAX('Match Log'!$A$4:$A$810),NA(),IFERROR(LOOKUP(2,1/(('Match Log'!$D$4:$D$810=$N$24)*('Match Log'!$A$4:$A$810&lt;=$J429)),'Match Log'!$N$4:$N$810),NA()))</f>
        <v>#N/A</v>
      </c>
      <c r="O429" t="e">
        <f>IF($J429&gt;MAX('Match Log'!$A$4:$A$810),NA(),IFERROR(LOOKUP(2,1/(('Match Log'!$D$4:$D$810=$O$24)*('Match Log'!$A$4:$A$810&lt;=$J429)),'Match Log'!$N$4:$N$810),NA()))</f>
        <v>#N/A</v>
      </c>
      <c r="P429" t="e">
        <f>IF($J429&gt;MAX('Match Log'!$A$4:$A$810),NA(),IFERROR(LOOKUP(2,1/(('Match Log'!$D$4:$D$810=$P$24)*('Match Log'!$A$4:$A$810&lt;=$J429)),'Match Log'!$N$4:$N$810),NA()))</f>
        <v>#N/A</v>
      </c>
      <c r="Q429" t="e">
        <f>IF($J429&gt;MAX('Match Log'!$A$4:$A$810),NA(),IFERROR(LOOKUP(2,1/(('Match Log'!$D$4:$D$810=$Q$24)*('Match Log'!$A$4:$A$810&lt;=$J429)),'Match Log'!$N$4:$N$810),NA()))</f>
        <v>#N/A</v>
      </c>
      <c r="R429" t="e">
        <f>IF($J429&gt;MAX('Match Log'!$A$4:$A$810),NA(),IFERROR(LOOKUP(2,1/(('Match Log'!$D$4:$D$810=$R$24)*('Match Log'!$A$4:$A$810&lt;=$J429)),'Match Log'!$N$4:$N$810),NA()))</f>
        <v>#N/A</v>
      </c>
      <c r="S429" t="e">
        <f>IF($J429&gt;MAX('Match Log'!$A$4:$A$810),NA(),IFERROR(LOOKUP(2,1/(('Match Log'!$D$4:$D$810=$S$24)*('Match Log'!$A$4:$A$810&lt;=$J429)),'Match Log'!$N$4:$N$810),NA()))</f>
        <v>#N/A</v>
      </c>
      <c r="T429" t="e">
        <f>IF($J429&gt;MAX('Match Log'!$A$4:$A$810),NA(),IFERROR(LOOKUP(2,1/(('Match Log'!$D$4:$D$810=$T$24)*('Match Log'!$A$4:$A$810&lt;=$J429)),'Match Log'!$N$4:$N$810),NA()))</f>
        <v>#N/A</v>
      </c>
      <c r="U429" t="e">
        <f>IF($J429&gt;MAX('Match Log'!$A$4:$A$810),NA(),IFERROR(LOOKUP(2,1/(('Match Log'!$D$4:$D$810=$U$24)*('Match Log'!$A$4:$A$810&lt;=$J429)),'Match Log'!$N$4:$N$810),NA()))</f>
        <v>#N/A</v>
      </c>
      <c r="V429" t="e">
        <f>IF($J429&gt;MAX('Match Log'!$A$4:$A$810),NA(),IFERROR(LOOKUP(2,1/(('Match Log'!$D$4:$D$810=$V$24)*('Match Log'!$A$4:$A$810&lt;=$J429)),'Match Log'!$N$4:$N$810),NA()))</f>
        <v>#N/A</v>
      </c>
      <c r="W429" t="e">
        <f>IF($J429&gt;MAX('Match Log'!$A$4:$A$810),NA(),IFERROR(LOOKUP(2,1/(('Match Log'!$D$4:$D$810=$W$24)*('Match Log'!$A$4:$A$810&lt;=$J429)),'Match Log'!$N$4:$N$810),NA()))</f>
        <v>#N/A</v>
      </c>
      <c r="X429" t="e">
        <f>IF($J429&gt;MAX('Match Log'!$A$4:$A$810),NA(),IFERROR(LOOKUP(2,1/(('Match Log'!$D$4:$D$810=$X$24)*('Match Log'!$A$4:$A$810&lt;=$J429)),'Match Log'!$N$4:$N$810),NA()))</f>
        <v>#N/A</v>
      </c>
      <c r="Y429" t="str">
        <f t="shared" ca="1" si="42"/>
        <v/>
      </c>
    </row>
    <row r="430" spans="1:25" x14ac:dyDescent="0.2">
      <c r="A430">
        <v>406</v>
      </c>
      <c r="B430" t="str">
        <f>IFERROR(INDEX('Match Log'!$B$4:$B$810,MATCH(406,'Match Log'!$A$4:$A$810,0)),"")</f>
        <v/>
      </c>
      <c r="C430" t="str">
        <f>IFERROR(INDEX('Match Log'!$C$4:$C$810,MATCH(406,'Match Log'!$A$4:$A$810,0)),"")</f>
        <v/>
      </c>
      <c r="D430" t="str">
        <f t="array" ref="D430">IFERROR(_xlfn.TEXTJOIN(" + ",TRUE,IF(('Match Log'!$A$4:$A$810=$A430)*('Match Log'!$E$4:$E$810="Win"),'Match Log'!$D$4:$D$810,"")),IFERROR(LOOKUP(2,1/(('Match Log'!$A$4:$A$810=$A430)*('Match Log'!$E$4:$E$810="Win")),'Match Log'!$D$4:$D$810),""))</f>
        <v/>
      </c>
      <c r="E430" t="str">
        <f>IFERROR(INDEX('Match Log'!$F$4:$F$810,MATCH(406,'Match Log'!$A$4:$A$810,0)),"")</f>
        <v/>
      </c>
      <c r="F430">
        <f>IFERROR(SUMIFS('Match Log'!$I$4:$I$810,'Match Log'!$A$4:$A$810,406,'Match Log'!$E$4:$E$810,"Win"),"")</f>
        <v>0</v>
      </c>
      <c r="G430" t="str">
        <f t="shared" si="40"/>
        <v/>
      </c>
      <c r="H430" t="str">
        <f t="array" ref="H430">IFERROR(IF(COUNTIFS('Match Log'!$A$4:$A$810,$A430,'Match Log'!$E$4:$E$810,"Win")&gt;1,_xlfn.TEXTJOIN(" + ",TRUE,IF(('Match Log'!$A$4:$A$810=$A430)*('Match Log'!$E$4:$E$810="Loss"),'Match Log'!$D$4:$D$810,"")),IF($E430=2,LOOKUP(2,1/(('Match Log'!$A$4:$A$810=$A430)*('Match Log'!$E$4:$E$810="Loss")),'Match Log'!$D$4:$D$810),"the field")),"")</f>
        <v>the field</v>
      </c>
      <c r="I430" t="str">
        <f t="shared" si="41"/>
        <v/>
      </c>
      <c r="J430">
        <v>406</v>
      </c>
      <c r="K430" t="e">
        <f>IF($J430&gt;MAX('Match Log'!$A$4:$A$810),NA(),IFERROR(LOOKUP(2,1/(('Match Log'!$D$4:$D$810=$K$24)*('Match Log'!$A$4:$A$810&lt;=$J430)),'Match Log'!$N$4:$N$810),NA()))</f>
        <v>#N/A</v>
      </c>
      <c r="L430" t="e">
        <f>IF($J430&gt;MAX('Match Log'!$A$4:$A$810),NA(),IFERROR(LOOKUP(2,1/(('Match Log'!$D$4:$D$810=$L$24)*('Match Log'!$A$4:$A$810&lt;=$J430)),'Match Log'!$N$4:$N$810),NA()))</f>
        <v>#N/A</v>
      </c>
      <c r="M430" t="e">
        <f>IF($J430&gt;MAX('Match Log'!$A$4:$A$810),NA(),IFERROR(LOOKUP(2,1/(('Match Log'!$D$4:$D$810=$M$24)*('Match Log'!$A$4:$A$810&lt;=$J430)),'Match Log'!$N$4:$N$810),NA()))</f>
        <v>#N/A</v>
      </c>
      <c r="N430" t="e">
        <f>IF($J430&gt;MAX('Match Log'!$A$4:$A$810),NA(),IFERROR(LOOKUP(2,1/(('Match Log'!$D$4:$D$810=$N$24)*('Match Log'!$A$4:$A$810&lt;=$J430)),'Match Log'!$N$4:$N$810),NA()))</f>
        <v>#N/A</v>
      </c>
      <c r="O430" t="e">
        <f>IF($J430&gt;MAX('Match Log'!$A$4:$A$810),NA(),IFERROR(LOOKUP(2,1/(('Match Log'!$D$4:$D$810=$O$24)*('Match Log'!$A$4:$A$810&lt;=$J430)),'Match Log'!$N$4:$N$810),NA()))</f>
        <v>#N/A</v>
      </c>
      <c r="P430" t="e">
        <f>IF($J430&gt;MAX('Match Log'!$A$4:$A$810),NA(),IFERROR(LOOKUP(2,1/(('Match Log'!$D$4:$D$810=$P$24)*('Match Log'!$A$4:$A$810&lt;=$J430)),'Match Log'!$N$4:$N$810),NA()))</f>
        <v>#N/A</v>
      </c>
      <c r="Q430" t="e">
        <f>IF($J430&gt;MAX('Match Log'!$A$4:$A$810),NA(),IFERROR(LOOKUP(2,1/(('Match Log'!$D$4:$D$810=$Q$24)*('Match Log'!$A$4:$A$810&lt;=$J430)),'Match Log'!$N$4:$N$810),NA()))</f>
        <v>#N/A</v>
      </c>
      <c r="R430" t="e">
        <f>IF($J430&gt;MAX('Match Log'!$A$4:$A$810),NA(),IFERROR(LOOKUP(2,1/(('Match Log'!$D$4:$D$810=$R$24)*('Match Log'!$A$4:$A$810&lt;=$J430)),'Match Log'!$N$4:$N$810),NA()))</f>
        <v>#N/A</v>
      </c>
      <c r="S430" t="e">
        <f>IF($J430&gt;MAX('Match Log'!$A$4:$A$810),NA(),IFERROR(LOOKUP(2,1/(('Match Log'!$D$4:$D$810=$S$24)*('Match Log'!$A$4:$A$810&lt;=$J430)),'Match Log'!$N$4:$N$810),NA()))</f>
        <v>#N/A</v>
      </c>
      <c r="T430" t="e">
        <f>IF($J430&gt;MAX('Match Log'!$A$4:$A$810),NA(),IFERROR(LOOKUP(2,1/(('Match Log'!$D$4:$D$810=$T$24)*('Match Log'!$A$4:$A$810&lt;=$J430)),'Match Log'!$N$4:$N$810),NA()))</f>
        <v>#N/A</v>
      </c>
      <c r="U430" t="e">
        <f>IF($J430&gt;MAX('Match Log'!$A$4:$A$810),NA(),IFERROR(LOOKUP(2,1/(('Match Log'!$D$4:$D$810=$U$24)*('Match Log'!$A$4:$A$810&lt;=$J430)),'Match Log'!$N$4:$N$810),NA()))</f>
        <v>#N/A</v>
      </c>
      <c r="V430" t="e">
        <f>IF($J430&gt;MAX('Match Log'!$A$4:$A$810),NA(),IFERROR(LOOKUP(2,1/(('Match Log'!$D$4:$D$810=$V$24)*('Match Log'!$A$4:$A$810&lt;=$J430)),'Match Log'!$N$4:$N$810),NA()))</f>
        <v>#N/A</v>
      </c>
      <c r="W430" t="e">
        <f>IF($J430&gt;MAX('Match Log'!$A$4:$A$810),NA(),IFERROR(LOOKUP(2,1/(('Match Log'!$D$4:$D$810=$W$24)*('Match Log'!$A$4:$A$810&lt;=$J430)),'Match Log'!$N$4:$N$810),NA()))</f>
        <v>#N/A</v>
      </c>
      <c r="X430" t="e">
        <f>IF($J430&gt;MAX('Match Log'!$A$4:$A$810),NA(),IFERROR(LOOKUP(2,1/(('Match Log'!$D$4:$D$810=$X$24)*('Match Log'!$A$4:$A$810&lt;=$J430)),'Match Log'!$N$4:$N$810),NA()))</f>
        <v>#N/A</v>
      </c>
      <c r="Y430" t="str">
        <f t="shared" ca="1" si="42"/>
        <v/>
      </c>
    </row>
    <row r="431" spans="1:25" x14ac:dyDescent="0.2">
      <c r="A431">
        <v>407</v>
      </c>
      <c r="B431" t="str">
        <f>IFERROR(INDEX('Match Log'!$B$4:$B$810,MATCH(407,'Match Log'!$A$4:$A$810,0)),"")</f>
        <v/>
      </c>
      <c r="C431" t="str">
        <f>IFERROR(INDEX('Match Log'!$C$4:$C$810,MATCH(407,'Match Log'!$A$4:$A$810,0)),"")</f>
        <v/>
      </c>
      <c r="D431" t="str">
        <f t="array" ref="D431">IFERROR(_xlfn.TEXTJOIN(" + ",TRUE,IF(('Match Log'!$A$4:$A$810=$A431)*('Match Log'!$E$4:$E$810="Win"),'Match Log'!$D$4:$D$810,"")),IFERROR(LOOKUP(2,1/(('Match Log'!$A$4:$A$810=$A431)*('Match Log'!$E$4:$E$810="Win")),'Match Log'!$D$4:$D$810),""))</f>
        <v/>
      </c>
      <c r="E431" t="str">
        <f>IFERROR(INDEX('Match Log'!$F$4:$F$810,MATCH(407,'Match Log'!$A$4:$A$810,0)),"")</f>
        <v/>
      </c>
      <c r="F431">
        <f>IFERROR(SUMIFS('Match Log'!$I$4:$I$810,'Match Log'!$A$4:$A$810,407,'Match Log'!$E$4:$E$810,"Win"),"")</f>
        <v>0</v>
      </c>
      <c r="G431" t="str">
        <f t="shared" si="40"/>
        <v/>
      </c>
      <c r="H431" t="str">
        <f t="array" ref="H431">IFERROR(IF(COUNTIFS('Match Log'!$A$4:$A$810,$A431,'Match Log'!$E$4:$E$810,"Win")&gt;1,_xlfn.TEXTJOIN(" + ",TRUE,IF(('Match Log'!$A$4:$A$810=$A431)*('Match Log'!$E$4:$E$810="Loss"),'Match Log'!$D$4:$D$810,"")),IF($E431=2,LOOKUP(2,1/(('Match Log'!$A$4:$A$810=$A431)*('Match Log'!$E$4:$E$810="Loss")),'Match Log'!$D$4:$D$810),"the field")),"")</f>
        <v>the field</v>
      </c>
      <c r="I431" t="str">
        <f t="shared" si="41"/>
        <v/>
      </c>
      <c r="J431">
        <v>407</v>
      </c>
      <c r="K431" t="e">
        <f>IF($J431&gt;MAX('Match Log'!$A$4:$A$810),NA(),IFERROR(LOOKUP(2,1/(('Match Log'!$D$4:$D$810=$K$24)*('Match Log'!$A$4:$A$810&lt;=$J431)),'Match Log'!$N$4:$N$810),NA()))</f>
        <v>#N/A</v>
      </c>
      <c r="L431" t="e">
        <f>IF($J431&gt;MAX('Match Log'!$A$4:$A$810),NA(),IFERROR(LOOKUP(2,1/(('Match Log'!$D$4:$D$810=$L$24)*('Match Log'!$A$4:$A$810&lt;=$J431)),'Match Log'!$N$4:$N$810),NA()))</f>
        <v>#N/A</v>
      </c>
      <c r="M431" t="e">
        <f>IF($J431&gt;MAX('Match Log'!$A$4:$A$810),NA(),IFERROR(LOOKUP(2,1/(('Match Log'!$D$4:$D$810=$M$24)*('Match Log'!$A$4:$A$810&lt;=$J431)),'Match Log'!$N$4:$N$810),NA()))</f>
        <v>#N/A</v>
      </c>
      <c r="N431" t="e">
        <f>IF($J431&gt;MAX('Match Log'!$A$4:$A$810),NA(),IFERROR(LOOKUP(2,1/(('Match Log'!$D$4:$D$810=$N$24)*('Match Log'!$A$4:$A$810&lt;=$J431)),'Match Log'!$N$4:$N$810),NA()))</f>
        <v>#N/A</v>
      </c>
      <c r="O431" t="e">
        <f>IF($J431&gt;MAX('Match Log'!$A$4:$A$810),NA(),IFERROR(LOOKUP(2,1/(('Match Log'!$D$4:$D$810=$O$24)*('Match Log'!$A$4:$A$810&lt;=$J431)),'Match Log'!$N$4:$N$810),NA()))</f>
        <v>#N/A</v>
      </c>
      <c r="P431" t="e">
        <f>IF($J431&gt;MAX('Match Log'!$A$4:$A$810),NA(),IFERROR(LOOKUP(2,1/(('Match Log'!$D$4:$D$810=$P$24)*('Match Log'!$A$4:$A$810&lt;=$J431)),'Match Log'!$N$4:$N$810),NA()))</f>
        <v>#N/A</v>
      </c>
      <c r="Q431" t="e">
        <f>IF($J431&gt;MAX('Match Log'!$A$4:$A$810),NA(),IFERROR(LOOKUP(2,1/(('Match Log'!$D$4:$D$810=$Q$24)*('Match Log'!$A$4:$A$810&lt;=$J431)),'Match Log'!$N$4:$N$810),NA()))</f>
        <v>#N/A</v>
      </c>
      <c r="R431" t="e">
        <f>IF($J431&gt;MAX('Match Log'!$A$4:$A$810),NA(),IFERROR(LOOKUP(2,1/(('Match Log'!$D$4:$D$810=$R$24)*('Match Log'!$A$4:$A$810&lt;=$J431)),'Match Log'!$N$4:$N$810),NA()))</f>
        <v>#N/A</v>
      </c>
      <c r="S431" t="e">
        <f>IF($J431&gt;MAX('Match Log'!$A$4:$A$810),NA(),IFERROR(LOOKUP(2,1/(('Match Log'!$D$4:$D$810=$S$24)*('Match Log'!$A$4:$A$810&lt;=$J431)),'Match Log'!$N$4:$N$810),NA()))</f>
        <v>#N/A</v>
      </c>
      <c r="T431" t="e">
        <f>IF($J431&gt;MAX('Match Log'!$A$4:$A$810),NA(),IFERROR(LOOKUP(2,1/(('Match Log'!$D$4:$D$810=$T$24)*('Match Log'!$A$4:$A$810&lt;=$J431)),'Match Log'!$N$4:$N$810),NA()))</f>
        <v>#N/A</v>
      </c>
      <c r="U431" t="e">
        <f>IF($J431&gt;MAX('Match Log'!$A$4:$A$810),NA(),IFERROR(LOOKUP(2,1/(('Match Log'!$D$4:$D$810=$U$24)*('Match Log'!$A$4:$A$810&lt;=$J431)),'Match Log'!$N$4:$N$810),NA()))</f>
        <v>#N/A</v>
      </c>
      <c r="V431" t="e">
        <f>IF($J431&gt;MAX('Match Log'!$A$4:$A$810),NA(),IFERROR(LOOKUP(2,1/(('Match Log'!$D$4:$D$810=$V$24)*('Match Log'!$A$4:$A$810&lt;=$J431)),'Match Log'!$N$4:$N$810),NA()))</f>
        <v>#N/A</v>
      </c>
      <c r="W431" t="e">
        <f>IF($J431&gt;MAX('Match Log'!$A$4:$A$810),NA(),IFERROR(LOOKUP(2,1/(('Match Log'!$D$4:$D$810=$W$24)*('Match Log'!$A$4:$A$810&lt;=$J431)),'Match Log'!$N$4:$N$810),NA()))</f>
        <v>#N/A</v>
      </c>
      <c r="X431" t="e">
        <f>IF($J431&gt;MAX('Match Log'!$A$4:$A$810),NA(),IFERROR(LOOKUP(2,1/(('Match Log'!$D$4:$D$810=$X$24)*('Match Log'!$A$4:$A$810&lt;=$J431)),'Match Log'!$N$4:$N$810),NA()))</f>
        <v>#N/A</v>
      </c>
      <c r="Y431" t="str">
        <f t="shared" ca="1" si="42"/>
        <v/>
      </c>
    </row>
    <row r="432" spans="1:25" x14ac:dyDescent="0.2">
      <c r="A432">
        <v>408</v>
      </c>
      <c r="B432" t="str">
        <f>IFERROR(INDEX('Match Log'!$B$4:$B$810,MATCH(408,'Match Log'!$A$4:$A$810,0)),"")</f>
        <v/>
      </c>
      <c r="C432" t="str">
        <f>IFERROR(INDEX('Match Log'!$C$4:$C$810,MATCH(408,'Match Log'!$A$4:$A$810,0)),"")</f>
        <v/>
      </c>
      <c r="D432" t="str">
        <f t="array" ref="D432">IFERROR(_xlfn.TEXTJOIN(" + ",TRUE,IF(('Match Log'!$A$4:$A$810=$A432)*('Match Log'!$E$4:$E$810="Win"),'Match Log'!$D$4:$D$810,"")),IFERROR(LOOKUP(2,1/(('Match Log'!$A$4:$A$810=$A432)*('Match Log'!$E$4:$E$810="Win")),'Match Log'!$D$4:$D$810),""))</f>
        <v/>
      </c>
      <c r="E432" t="str">
        <f>IFERROR(INDEX('Match Log'!$F$4:$F$810,MATCH(408,'Match Log'!$A$4:$A$810,0)),"")</f>
        <v/>
      </c>
      <c r="F432">
        <f>IFERROR(SUMIFS('Match Log'!$I$4:$I$810,'Match Log'!$A$4:$A$810,408,'Match Log'!$E$4:$E$810,"Win"),"")</f>
        <v>0</v>
      </c>
      <c r="G432" t="str">
        <f t="shared" si="40"/>
        <v/>
      </c>
      <c r="H432" t="str">
        <f t="array" ref="H432">IFERROR(IF(COUNTIFS('Match Log'!$A$4:$A$810,$A432,'Match Log'!$E$4:$E$810,"Win")&gt;1,_xlfn.TEXTJOIN(" + ",TRUE,IF(('Match Log'!$A$4:$A$810=$A432)*('Match Log'!$E$4:$E$810="Loss"),'Match Log'!$D$4:$D$810,"")),IF($E432=2,LOOKUP(2,1/(('Match Log'!$A$4:$A$810=$A432)*('Match Log'!$E$4:$E$810="Loss")),'Match Log'!$D$4:$D$810),"the field")),"")</f>
        <v>the field</v>
      </c>
      <c r="I432" t="str">
        <f t="shared" si="41"/>
        <v/>
      </c>
      <c r="J432">
        <v>408</v>
      </c>
      <c r="K432" t="e">
        <f>IF($J432&gt;MAX('Match Log'!$A$4:$A$810),NA(),IFERROR(LOOKUP(2,1/(('Match Log'!$D$4:$D$810=$K$24)*('Match Log'!$A$4:$A$810&lt;=$J432)),'Match Log'!$N$4:$N$810),NA()))</f>
        <v>#N/A</v>
      </c>
      <c r="L432" t="e">
        <f>IF($J432&gt;MAX('Match Log'!$A$4:$A$810),NA(),IFERROR(LOOKUP(2,1/(('Match Log'!$D$4:$D$810=$L$24)*('Match Log'!$A$4:$A$810&lt;=$J432)),'Match Log'!$N$4:$N$810),NA()))</f>
        <v>#N/A</v>
      </c>
      <c r="M432" t="e">
        <f>IF($J432&gt;MAX('Match Log'!$A$4:$A$810),NA(),IFERROR(LOOKUP(2,1/(('Match Log'!$D$4:$D$810=$M$24)*('Match Log'!$A$4:$A$810&lt;=$J432)),'Match Log'!$N$4:$N$810),NA()))</f>
        <v>#N/A</v>
      </c>
      <c r="N432" t="e">
        <f>IF($J432&gt;MAX('Match Log'!$A$4:$A$810),NA(),IFERROR(LOOKUP(2,1/(('Match Log'!$D$4:$D$810=$N$24)*('Match Log'!$A$4:$A$810&lt;=$J432)),'Match Log'!$N$4:$N$810),NA()))</f>
        <v>#N/A</v>
      </c>
      <c r="O432" t="e">
        <f>IF($J432&gt;MAX('Match Log'!$A$4:$A$810),NA(),IFERROR(LOOKUP(2,1/(('Match Log'!$D$4:$D$810=$O$24)*('Match Log'!$A$4:$A$810&lt;=$J432)),'Match Log'!$N$4:$N$810),NA()))</f>
        <v>#N/A</v>
      </c>
      <c r="P432" t="e">
        <f>IF($J432&gt;MAX('Match Log'!$A$4:$A$810),NA(),IFERROR(LOOKUP(2,1/(('Match Log'!$D$4:$D$810=$P$24)*('Match Log'!$A$4:$A$810&lt;=$J432)),'Match Log'!$N$4:$N$810),NA()))</f>
        <v>#N/A</v>
      </c>
      <c r="Q432" t="e">
        <f>IF($J432&gt;MAX('Match Log'!$A$4:$A$810),NA(),IFERROR(LOOKUP(2,1/(('Match Log'!$D$4:$D$810=$Q$24)*('Match Log'!$A$4:$A$810&lt;=$J432)),'Match Log'!$N$4:$N$810),NA()))</f>
        <v>#N/A</v>
      </c>
      <c r="R432" t="e">
        <f>IF($J432&gt;MAX('Match Log'!$A$4:$A$810),NA(),IFERROR(LOOKUP(2,1/(('Match Log'!$D$4:$D$810=$R$24)*('Match Log'!$A$4:$A$810&lt;=$J432)),'Match Log'!$N$4:$N$810),NA()))</f>
        <v>#N/A</v>
      </c>
      <c r="S432" t="e">
        <f>IF($J432&gt;MAX('Match Log'!$A$4:$A$810),NA(),IFERROR(LOOKUP(2,1/(('Match Log'!$D$4:$D$810=$S$24)*('Match Log'!$A$4:$A$810&lt;=$J432)),'Match Log'!$N$4:$N$810),NA()))</f>
        <v>#N/A</v>
      </c>
      <c r="T432" t="e">
        <f>IF($J432&gt;MAX('Match Log'!$A$4:$A$810),NA(),IFERROR(LOOKUP(2,1/(('Match Log'!$D$4:$D$810=$T$24)*('Match Log'!$A$4:$A$810&lt;=$J432)),'Match Log'!$N$4:$N$810),NA()))</f>
        <v>#N/A</v>
      </c>
      <c r="U432" t="e">
        <f>IF($J432&gt;MAX('Match Log'!$A$4:$A$810),NA(),IFERROR(LOOKUP(2,1/(('Match Log'!$D$4:$D$810=$U$24)*('Match Log'!$A$4:$A$810&lt;=$J432)),'Match Log'!$N$4:$N$810),NA()))</f>
        <v>#N/A</v>
      </c>
      <c r="V432" t="e">
        <f>IF($J432&gt;MAX('Match Log'!$A$4:$A$810),NA(),IFERROR(LOOKUP(2,1/(('Match Log'!$D$4:$D$810=$V$24)*('Match Log'!$A$4:$A$810&lt;=$J432)),'Match Log'!$N$4:$N$810),NA()))</f>
        <v>#N/A</v>
      </c>
      <c r="W432" t="e">
        <f>IF($J432&gt;MAX('Match Log'!$A$4:$A$810),NA(),IFERROR(LOOKUP(2,1/(('Match Log'!$D$4:$D$810=$W$24)*('Match Log'!$A$4:$A$810&lt;=$J432)),'Match Log'!$N$4:$N$810),NA()))</f>
        <v>#N/A</v>
      </c>
      <c r="X432" t="e">
        <f>IF($J432&gt;MAX('Match Log'!$A$4:$A$810),NA(),IFERROR(LOOKUP(2,1/(('Match Log'!$D$4:$D$810=$X$24)*('Match Log'!$A$4:$A$810&lt;=$J432)),'Match Log'!$N$4:$N$810),NA()))</f>
        <v>#N/A</v>
      </c>
      <c r="Y432" t="str">
        <f t="shared" ca="1" si="42"/>
        <v/>
      </c>
    </row>
    <row r="433" spans="1:25" x14ac:dyDescent="0.2">
      <c r="A433">
        <v>409</v>
      </c>
      <c r="B433" t="str">
        <f>IFERROR(INDEX('Match Log'!$B$4:$B$810,MATCH(409,'Match Log'!$A$4:$A$810,0)),"")</f>
        <v/>
      </c>
      <c r="C433" t="str">
        <f>IFERROR(INDEX('Match Log'!$C$4:$C$810,MATCH(409,'Match Log'!$A$4:$A$810,0)),"")</f>
        <v/>
      </c>
      <c r="D433" t="str">
        <f t="array" ref="D433">IFERROR(_xlfn.TEXTJOIN(" + ",TRUE,IF(('Match Log'!$A$4:$A$810=$A433)*('Match Log'!$E$4:$E$810="Win"),'Match Log'!$D$4:$D$810,"")),IFERROR(LOOKUP(2,1/(('Match Log'!$A$4:$A$810=$A433)*('Match Log'!$E$4:$E$810="Win")),'Match Log'!$D$4:$D$810),""))</f>
        <v/>
      </c>
      <c r="E433" t="str">
        <f>IFERROR(INDEX('Match Log'!$F$4:$F$810,MATCH(409,'Match Log'!$A$4:$A$810,0)),"")</f>
        <v/>
      </c>
      <c r="F433">
        <f>IFERROR(SUMIFS('Match Log'!$I$4:$I$810,'Match Log'!$A$4:$A$810,409,'Match Log'!$E$4:$E$810,"Win"),"")</f>
        <v>0</v>
      </c>
      <c r="G433" t="str">
        <f t="shared" si="40"/>
        <v/>
      </c>
      <c r="H433" t="str">
        <f t="array" ref="H433">IFERROR(IF(COUNTIFS('Match Log'!$A$4:$A$810,$A433,'Match Log'!$E$4:$E$810,"Win")&gt;1,_xlfn.TEXTJOIN(" + ",TRUE,IF(('Match Log'!$A$4:$A$810=$A433)*('Match Log'!$E$4:$E$810="Loss"),'Match Log'!$D$4:$D$810,"")),IF($E433=2,LOOKUP(2,1/(('Match Log'!$A$4:$A$810=$A433)*('Match Log'!$E$4:$E$810="Loss")),'Match Log'!$D$4:$D$810),"the field")),"")</f>
        <v>the field</v>
      </c>
      <c r="I433" t="str">
        <f t="shared" si="41"/>
        <v/>
      </c>
      <c r="J433">
        <v>409</v>
      </c>
      <c r="K433" t="e">
        <f>IF($J433&gt;MAX('Match Log'!$A$4:$A$810),NA(),IFERROR(LOOKUP(2,1/(('Match Log'!$D$4:$D$810=$K$24)*('Match Log'!$A$4:$A$810&lt;=$J433)),'Match Log'!$N$4:$N$810),NA()))</f>
        <v>#N/A</v>
      </c>
      <c r="L433" t="e">
        <f>IF($J433&gt;MAX('Match Log'!$A$4:$A$810),NA(),IFERROR(LOOKUP(2,1/(('Match Log'!$D$4:$D$810=$L$24)*('Match Log'!$A$4:$A$810&lt;=$J433)),'Match Log'!$N$4:$N$810),NA()))</f>
        <v>#N/A</v>
      </c>
      <c r="M433" t="e">
        <f>IF($J433&gt;MAX('Match Log'!$A$4:$A$810),NA(),IFERROR(LOOKUP(2,1/(('Match Log'!$D$4:$D$810=$M$24)*('Match Log'!$A$4:$A$810&lt;=$J433)),'Match Log'!$N$4:$N$810),NA()))</f>
        <v>#N/A</v>
      </c>
      <c r="N433" t="e">
        <f>IF($J433&gt;MAX('Match Log'!$A$4:$A$810),NA(),IFERROR(LOOKUP(2,1/(('Match Log'!$D$4:$D$810=$N$24)*('Match Log'!$A$4:$A$810&lt;=$J433)),'Match Log'!$N$4:$N$810),NA()))</f>
        <v>#N/A</v>
      </c>
      <c r="O433" t="e">
        <f>IF($J433&gt;MAX('Match Log'!$A$4:$A$810),NA(),IFERROR(LOOKUP(2,1/(('Match Log'!$D$4:$D$810=$O$24)*('Match Log'!$A$4:$A$810&lt;=$J433)),'Match Log'!$N$4:$N$810),NA()))</f>
        <v>#N/A</v>
      </c>
      <c r="P433" t="e">
        <f>IF($J433&gt;MAX('Match Log'!$A$4:$A$810),NA(),IFERROR(LOOKUP(2,1/(('Match Log'!$D$4:$D$810=$P$24)*('Match Log'!$A$4:$A$810&lt;=$J433)),'Match Log'!$N$4:$N$810),NA()))</f>
        <v>#N/A</v>
      </c>
      <c r="Q433" t="e">
        <f>IF($J433&gt;MAX('Match Log'!$A$4:$A$810),NA(),IFERROR(LOOKUP(2,1/(('Match Log'!$D$4:$D$810=$Q$24)*('Match Log'!$A$4:$A$810&lt;=$J433)),'Match Log'!$N$4:$N$810),NA()))</f>
        <v>#N/A</v>
      </c>
      <c r="R433" t="e">
        <f>IF($J433&gt;MAX('Match Log'!$A$4:$A$810),NA(),IFERROR(LOOKUP(2,1/(('Match Log'!$D$4:$D$810=$R$24)*('Match Log'!$A$4:$A$810&lt;=$J433)),'Match Log'!$N$4:$N$810),NA()))</f>
        <v>#N/A</v>
      </c>
      <c r="S433" t="e">
        <f>IF($J433&gt;MAX('Match Log'!$A$4:$A$810),NA(),IFERROR(LOOKUP(2,1/(('Match Log'!$D$4:$D$810=$S$24)*('Match Log'!$A$4:$A$810&lt;=$J433)),'Match Log'!$N$4:$N$810),NA()))</f>
        <v>#N/A</v>
      </c>
      <c r="T433" t="e">
        <f>IF($J433&gt;MAX('Match Log'!$A$4:$A$810),NA(),IFERROR(LOOKUP(2,1/(('Match Log'!$D$4:$D$810=$T$24)*('Match Log'!$A$4:$A$810&lt;=$J433)),'Match Log'!$N$4:$N$810),NA()))</f>
        <v>#N/A</v>
      </c>
      <c r="U433" t="e">
        <f>IF($J433&gt;MAX('Match Log'!$A$4:$A$810),NA(),IFERROR(LOOKUP(2,1/(('Match Log'!$D$4:$D$810=$U$24)*('Match Log'!$A$4:$A$810&lt;=$J433)),'Match Log'!$N$4:$N$810),NA()))</f>
        <v>#N/A</v>
      </c>
      <c r="V433" t="e">
        <f>IF($J433&gt;MAX('Match Log'!$A$4:$A$810),NA(),IFERROR(LOOKUP(2,1/(('Match Log'!$D$4:$D$810=$V$24)*('Match Log'!$A$4:$A$810&lt;=$J433)),'Match Log'!$N$4:$N$810),NA()))</f>
        <v>#N/A</v>
      </c>
      <c r="W433" t="e">
        <f>IF($J433&gt;MAX('Match Log'!$A$4:$A$810),NA(),IFERROR(LOOKUP(2,1/(('Match Log'!$D$4:$D$810=$W$24)*('Match Log'!$A$4:$A$810&lt;=$J433)),'Match Log'!$N$4:$N$810),NA()))</f>
        <v>#N/A</v>
      </c>
      <c r="X433" t="e">
        <f>IF($J433&gt;MAX('Match Log'!$A$4:$A$810),NA(),IFERROR(LOOKUP(2,1/(('Match Log'!$D$4:$D$810=$X$24)*('Match Log'!$A$4:$A$810&lt;=$J433)),'Match Log'!$N$4:$N$810),NA()))</f>
        <v>#N/A</v>
      </c>
      <c r="Y433" t="str">
        <f t="shared" ca="1" si="42"/>
        <v/>
      </c>
    </row>
    <row r="434" spans="1:25" x14ac:dyDescent="0.2">
      <c r="A434">
        <v>410</v>
      </c>
      <c r="B434" t="str">
        <f>IFERROR(INDEX('Match Log'!$B$4:$B$810,MATCH(410,'Match Log'!$A$4:$A$810,0)),"")</f>
        <v/>
      </c>
      <c r="C434" t="str">
        <f>IFERROR(INDEX('Match Log'!$C$4:$C$810,MATCH(410,'Match Log'!$A$4:$A$810,0)),"")</f>
        <v/>
      </c>
      <c r="D434" t="str">
        <f t="array" ref="D434">IFERROR(_xlfn.TEXTJOIN(" + ",TRUE,IF(('Match Log'!$A$4:$A$810=$A434)*('Match Log'!$E$4:$E$810="Win"),'Match Log'!$D$4:$D$810,"")),IFERROR(LOOKUP(2,1/(('Match Log'!$A$4:$A$810=$A434)*('Match Log'!$E$4:$E$810="Win")),'Match Log'!$D$4:$D$810),""))</f>
        <v/>
      </c>
      <c r="E434" t="str">
        <f>IFERROR(INDEX('Match Log'!$F$4:$F$810,MATCH(410,'Match Log'!$A$4:$A$810,0)),"")</f>
        <v/>
      </c>
      <c r="F434">
        <f>IFERROR(SUMIFS('Match Log'!$I$4:$I$810,'Match Log'!$A$4:$A$810,410,'Match Log'!$E$4:$E$810,"Win"),"")</f>
        <v>0</v>
      </c>
      <c r="G434" t="str">
        <f t="shared" si="40"/>
        <v/>
      </c>
      <c r="H434" t="str">
        <f t="array" ref="H434">IFERROR(IF(COUNTIFS('Match Log'!$A$4:$A$810,$A434,'Match Log'!$E$4:$E$810,"Win")&gt;1,_xlfn.TEXTJOIN(" + ",TRUE,IF(('Match Log'!$A$4:$A$810=$A434)*('Match Log'!$E$4:$E$810="Loss"),'Match Log'!$D$4:$D$810,"")),IF($E434=2,LOOKUP(2,1/(('Match Log'!$A$4:$A$810=$A434)*('Match Log'!$E$4:$E$810="Loss")),'Match Log'!$D$4:$D$810),"the field")),"")</f>
        <v>the field</v>
      </c>
      <c r="I434" t="str">
        <f t="shared" si="41"/>
        <v/>
      </c>
      <c r="J434">
        <v>410</v>
      </c>
      <c r="K434" t="e">
        <f>IF($J434&gt;MAX('Match Log'!$A$4:$A$810),NA(),IFERROR(LOOKUP(2,1/(('Match Log'!$D$4:$D$810=$K$24)*('Match Log'!$A$4:$A$810&lt;=$J434)),'Match Log'!$N$4:$N$810),NA()))</f>
        <v>#N/A</v>
      </c>
      <c r="L434" t="e">
        <f>IF($J434&gt;MAX('Match Log'!$A$4:$A$810),NA(),IFERROR(LOOKUP(2,1/(('Match Log'!$D$4:$D$810=$L$24)*('Match Log'!$A$4:$A$810&lt;=$J434)),'Match Log'!$N$4:$N$810),NA()))</f>
        <v>#N/A</v>
      </c>
      <c r="M434" t="e">
        <f>IF($J434&gt;MAX('Match Log'!$A$4:$A$810),NA(),IFERROR(LOOKUP(2,1/(('Match Log'!$D$4:$D$810=$M$24)*('Match Log'!$A$4:$A$810&lt;=$J434)),'Match Log'!$N$4:$N$810),NA()))</f>
        <v>#N/A</v>
      </c>
      <c r="N434" t="e">
        <f>IF($J434&gt;MAX('Match Log'!$A$4:$A$810),NA(),IFERROR(LOOKUP(2,1/(('Match Log'!$D$4:$D$810=$N$24)*('Match Log'!$A$4:$A$810&lt;=$J434)),'Match Log'!$N$4:$N$810),NA()))</f>
        <v>#N/A</v>
      </c>
      <c r="O434" t="e">
        <f>IF($J434&gt;MAX('Match Log'!$A$4:$A$810),NA(),IFERROR(LOOKUP(2,1/(('Match Log'!$D$4:$D$810=$O$24)*('Match Log'!$A$4:$A$810&lt;=$J434)),'Match Log'!$N$4:$N$810),NA()))</f>
        <v>#N/A</v>
      </c>
      <c r="P434" t="e">
        <f>IF($J434&gt;MAX('Match Log'!$A$4:$A$810),NA(),IFERROR(LOOKUP(2,1/(('Match Log'!$D$4:$D$810=$P$24)*('Match Log'!$A$4:$A$810&lt;=$J434)),'Match Log'!$N$4:$N$810),NA()))</f>
        <v>#N/A</v>
      </c>
      <c r="Q434" t="e">
        <f>IF($J434&gt;MAX('Match Log'!$A$4:$A$810),NA(),IFERROR(LOOKUP(2,1/(('Match Log'!$D$4:$D$810=$Q$24)*('Match Log'!$A$4:$A$810&lt;=$J434)),'Match Log'!$N$4:$N$810),NA()))</f>
        <v>#N/A</v>
      </c>
      <c r="R434" t="e">
        <f>IF($J434&gt;MAX('Match Log'!$A$4:$A$810),NA(),IFERROR(LOOKUP(2,1/(('Match Log'!$D$4:$D$810=$R$24)*('Match Log'!$A$4:$A$810&lt;=$J434)),'Match Log'!$N$4:$N$810),NA()))</f>
        <v>#N/A</v>
      </c>
      <c r="S434" t="e">
        <f>IF($J434&gt;MAX('Match Log'!$A$4:$A$810),NA(),IFERROR(LOOKUP(2,1/(('Match Log'!$D$4:$D$810=$S$24)*('Match Log'!$A$4:$A$810&lt;=$J434)),'Match Log'!$N$4:$N$810),NA()))</f>
        <v>#N/A</v>
      </c>
      <c r="T434" t="e">
        <f>IF($J434&gt;MAX('Match Log'!$A$4:$A$810),NA(),IFERROR(LOOKUP(2,1/(('Match Log'!$D$4:$D$810=$T$24)*('Match Log'!$A$4:$A$810&lt;=$J434)),'Match Log'!$N$4:$N$810),NA()))</f>
        <v>#N/A</v>
      </c>
      <c r="U434" t="e">
        <f>IF($J434&gt;MAX('Match Log'!$A$4:$A$810),NA(),IFERROR(LOOKUP(2,1/(('Match Log'!$D$4:$D$810=$U$24)*('Match Log'!$A$4:$A$810&lt;=$J434)),'Match Log'!$N$4:$N$810),NA()))</f>
        <v>#N/A</v>
      </c>
      <c r="V434" t="e">
        <f>IF($J434&gt;MAX('Match Log'!$A$4:$A$810),NA(),IFERROR(LOOKUP(2,1/(('Match Log'!$D$4:$D$810=$V$24)*('Match Log'!$A$4:$A$810&lt;=$J434)),'Match Log'!$N$4:$N$810),NA()))</f>
        <v>#N/A</v>
      </c>
      <c r="W434" t="e">
        <f>IF($J434&gt;MAX('Match Log'!$A$4:$A$810),NA(),IFERROR(LOOKUP(2,1/(('Match Log'!$D$4:$D$810=$W$24)*('Match Log'!$A$4:$A$810&lt;=$J434)),'Match Log'!$N$4:$N$810),NA()))</f>
        <v>#N/A</v>
      </c>
      <c r="X434" t="e">
        <f>IF($J434&gt;MAX('Match Log'!$A$4:$A$810),NA(),IFERROR(LOOKUP(2,1/(('Match Log'!$D$4:$D$810=$X$24)*('Match Log'!$A$4:$A$810&lt;=$J434)),'Match Log'!$N$4:$N$810),NA()))</f>
        <v>#N/A</v>
      </c>
      <c r="Y434" t="str">
        <f t="shared" ca="1" si="42"/>
        <v/>
      </c>
    </row>
    <row r="435" spans="1:25" x14ac:dyDescent="0.2">
      <c r="A435">
        <v>411</v>
      </c>
      <c r="B435" t="str">
        <f>IFERROR(INDEX('Match Log'!$B$4:$B$810,MATCH(411,'Match Log'!$A$4:$A$810,0)),"")</f>
        <v/>
      </c>
      <c r="C435" t="str">
        <f>IFERROR(INDEX('Match Log'!$C$4:$C$810,MATCH(411,'Match Log'!$A$4:$A$810,0)),"")</f>
        <v/>
      </c>
      <c r="D435" t="str">
        <f t="array" ref="D435">IFERROR(_xlfn.TEXTJOIN(" + ",TRUE,IF(('Match Log'!$A$4:$A$810=$A435)*('Match Log'!$E$4:$E$810="Win"),'Match Log'!$D$4:$D$810,"")),IFERROR(LOOKUP(2,1/(('Match Log'!$A$4:$A$810=$A435)*('Match Log'!$E$4:$E$810="Win")),'Match Log'!$D$4:$D$810),""))</f>
        <v/>
      </c>
      <c r="E435" t="str">
        <f>IFERROR(INDEX('Match Log'!$F$4:$F$810,MATCH(411,'Match Log'!$A$4:$A$810,0)),"")</f>
        <v/>
      </c>
      <c r="F435">
        <f>IFERROR(SUMIFS('Match Log'!$I$4:$I$810,'Match Log'!$A$4:$A$810,411,'Match Log'!$E$4:$E$810,"Win"),"")</f>
        <v>0</v>
      </c>
      <c r="G435" t="str">
        <f t="shared" si="40"/>
        <v/>
      </c>
      <c r="H435" t="str">
        <f t="array" ref="H435">IFERROR(IF(COUNTIFS('Match Log'!$A$4:$A$810,$A435,'Match Log'!$E$4:$E$810,"Win")&gt;1,_xlfn.TEXTJOIN(" + ",TRUE,IF(('Match Log'!$A$4:$A$810=$A435)*('Match Log'!$E$4:$E$810="Loss"),'Match Log'!$D$4:$D$810,"")),IF($E435=2,LOOKUP(2,1/(('Match Log'!$A$4:$A$810=$A435)*('Match Log'!$E$4:$E$810="Loss")),'Match Log'!$D$4:$D$810),"the field")),"")</f>
        <v>the field</v>
      </c>
      <c r="I435" t="str">
        <f t="shared" si="41"/>
        <v/>
      </c>
      <c r="J435">
        <v>411</v>
      </c>
      <c r="K435" t="e">
        <f>IF($J435&gt;MAX('Match Log'!$A$4:$A$810),NA(),IFERROR(LOOKUP(2,1/(('Match Log'!$D$4:$D$810=$K$24)*('Match Log'!$A$4:$A$810&lt;=$J435)),'Match Log'!$N$4:$N$810),NA()))</f>
        <v>#N/A</v>
      </c>
      <c r="L435" t="e">
        <f>IF($J435&gt;MAX('Match Log'!$A$4:$A$810),NA(),IFERROR(LOOKUP(2,1/(('Match Log'!$D$4:$D$810=$L$24)*('Match Log'!$A$4:$A$810&lt;=$J435)),'Match Log'!$N$4:$N$810),NA()))</f>
        <v>#N/A</v>
      </c>
      <c r="M435" t="e">
        <f>IF($J435&gt;MAX('Match Log'!$A$4:$A$810),NA(),IFERROR(LOOKUP(2,1/(('Match Log'!$D$4:$D$810=$M$24)*('Match Log'!$A$4:$A$810&lt;=$J435)),'Match Log'!$N$4:$N$810),NA()))</f>
        <v>#N/A</v>
      </c>
      <c r="N435" t="e">
        <f>IF($J435&gt;MAX('Match Log'!$A$4:$A$810),NA(),IFERROR(LOOKUP(2,1/(('Match Log'!$D$4:$D$810=$N$24)*('Match Log'!$A$4:$A$810&lt;=$J435)),'Match Log'!$N$4:$N$810),NA()))</f>
        <v>#N/A</v>
      </c>
      <c r="O435" t="e">
        <f>IF($J435&gt;MAX('Match Log'!$A$4:$A$810),NA(),IFERROR(LOOKUP(2,1/(('Match Log'!$D$4:$D$810=$O$24)*('Match Log'!$A$4:$A$810&lt;=$J435)),'Match Log'!$N$4:$N$810),NA()))</f>
        <v>#N/A</v>
      </c>
      <c r="P435" t="e">
        <f>IF($J435&gt;MAX('Match Log'!$A$4:$A$810),NA(),IFERROR(LOOKUP(2,1/(('Match Log'!$D$4:$D$810=$P$24)*('Match Log'!$A$4:$A$810&lt;=$J435)),'Match Log'!$N$4:$N$810),NA()))</f>
        <v>#N/A</v>
      </c>
      <c r="Q435" t="e">
        <f>IF($J435&gt;MAX('Match Log'!$A$4:$A$810),NA(),IFERROR(LOOKUP(2,1/(('Match Log'!$D$4:$D$810=$Q$24)*('Match Log'!$A$4:$A$810&lt;=$J435)),'Match Log'!$N$4:$N$810),NA()))</f>
        <v>#N/A</v>
      </c>
      <c r="R435" t="e">
        <f>IF($J435&gt;MAX('Match Log'!$A$4:$A$810),NA(),IFERROR(LOOKUP(2,1/(('Match Log'!$D$4:$D$810=$R$24)*('Match Log'!$A$4:$A$810&lt;=$J435)),'Match Log'!$N$4:$N$810),NA()))</f>
        <v>#N/A</v>
      </c>
      <c r="S435" t="e">
        <f>IF($J435&gt;MAX('Match Log'!$A$4:$A$810),NA(),IFERROR(LOOKUP(2,1/(('Match Log'!$D$4:$D$810=$S$24)*('Match Log'!$A$4:$A$810&lt;=$J435)),'Match Log'!$N$4:$N$810),NA()))</f>
        <v>#N/A</v>
      </c>
      <c r="T435" t="e">
        <f>IF($J435&gt;MAX('Match Log'!$A$4:$A$810),NA(),IFERROR(LOOKUP(2,1/(('Match Log'!$D$4:$D$810=$T$24)*('Match Log'!$A$4:$A$810&lt;=$J435)),'Match Log'!$N$4:$N$810),NA()))</f>
        <v>#N/A</v>
      </c>
      <c r="U435" t="e">
        <f>IF($J435&gt;MAX('Match Log'!$A$4:$A$810),NA(),IFERROR(LOOKUP(2,1/(('Match Log'!$D$4:$D$810=$U$24)*('Match Log'!$A$4:$A$810&lt;=$J435)),'Match Log'!$N$4:$N$810),NA()))</f>
        <v>#N/A</v>
      </c>
      <c r="V435" t="e">
        <f>IF($J435&gt;MAX('Match Log'!$A$4:$A$810),NA(),IFERROR(LOOKUP(2,1/(('Match Log'!$D$4:$D$810=$V$24)*('Match Log'!$A$4:$A$810&lt;=$J435)),'Match Log'!$N$4:$N$810),NA()))</f>
        <v>#N/A</v>
      </c>
      <c r="W435" t="e">
        <f>IF($J435&gt;MAX('Match Log'!$A$4:$A$810),NA(),IFERROR(LOOKUP(2,1/(('Match Log'!$D$4:$D$810=$W$24)*('Match Log'!$A$4:$A$810&lt;=$J435)),'Match Log'!$N$4:$N$810),NA()))</f>
        <v>#N/A</v>
      </c>
      <c r="X435" t="e">
        <f>IF($J435&gt;MAX('Match Log'!$A$4:$A$810),NA(),IFERROR(LOOKUP(2,1/(('Match Log'!$D$4:$D$810=$X$24)*('Match Log'!$A$4:$A$810&lt;=$J435)),'Match Log'!$N$4:$N$810),NA()))</f>
        <v>#N/A</v>
      </c>
      <c r="Y435" t="str">
        <f t="shared" ca="1" si="42"/>
        <v/>
      </c>
    </row>
    <row r="436" spans="1:25" x14ac:dyDescent="0.2">
      <c r="A436">
        <v>412</v>
      </c>
      <c r="B436" t="str">
        <f>IFERROR(INDEX('Match Log'!$B$4:$B$810,MATCH(412,'Match Log'!$A$4:$A$810,0)),"")</f>
        <v/>
      </c>
      <c r="C436" t="str">
        <f>IFERROR(INDEX('Match Log'!$C$4:$C$810,MATCH(412,'Match Log'!$A$4:$A$810,0)),"")</f>
        <v/>
      </c>
      <c r="D436" t="str">
        <f t="array" ref="D436">IFERROR(_xlfn.TEXTJOIN(" + ",TRUE,IF(('Match Log'!$A$4:$A$810=$A436)*('Match Log'!$E$4:$E$810="Win"),'Match Log'!$D$4:$D$810,"")),IFERROR(LOOKUP(2,1/(('Match Log'!$A$4:$A$810=$A436)*('Match Log'!$E$4:$E$810="Win")),'Match Log'!$D$4:$D$810),""))</f>
        <v/>
      </c>
      <c r="E436" t="str">
        <f>IFERROR(INDEX('Match Log'!$F$4:$F$810,MATCH(412,'Match Log'!$A$4:$A$810,0)),"")</f>
        <v/>
      </c>
      <c r="F436">
        <f>IFERROR(SUMIFS('Match Log'!$I$4:$I$810,'Match Log'!$A$4:$A$810,412,'Match Log'!$E$4:$E$810,"Win"),"")</f>
        <v>0</v>
      </c>
      <c r="G436" t="str">
        <f t="shared" si="40"/>
        <v/>
      </c>
      <c r="H436" t="str">
        <f t="array" ref="H436">IFERROR(IF(COUNTIFS('Match Log'!$A$4:$A$810,$A436,'Match Log'!$E$4:$E$810,"Win")&gt;1,_xlfn.TEXTJOIN(" + ",TRUE,IF(('Match Log'!$A$4:$A$810=$A436)*('Match Log'!$E$4:$E$810="Loss"),'Match Log'!$D$4:$D$810,"")),IF($E436=2,LOOKUP(2,1/(('Match Log'!$A$4:$A$810=$A436)*('Match Log'!$E$4:$E$810="Loss")),'Match Log'!$D$4:$D$810),"the field")),"")</f>
        <v>the field</v>
      </c>
      <c r="I436" t="str">
        <f t="shared" si="41"/>
        <v/>
      </c>
      <c r="J436">
        <v>412</v>
      </c>
      <c r="K436" t="e">
        <f>IF($J436&gt;MAX('Match Log'!$A$4:$A$810),NA(),IFERROR(LOOKUP(2,1/(('Match Log'!$D$4:$D$810=$K$24)*('Match Log'!$A$4:$A$810&lt;=$J436)),'Match Log'!$N$4:$N$810),NA()))</f>
        <v>#N/A</v>
      </c>
      <c r="L436" t="e">
        <f>IF($J436&gt;MAX('Match Log'!$A$4:$A$810),NA(),IFERROR(LOOKUP(2,1/(('Match Log'!$D$4:$D$810=$L$24)*('Match Log'!$A$4:$A$810&lt;=$J436)),'Match Log'!$N$4:$N$810),NA()))</f>
        <v>#N/A</v>
      </c>
      <c r="M436" t="e">
        <f>IF($J436&gt;MAX('Match Log'!$A$4:$A$810),NA(),IFERROR(LOOKUP(2,1/(('Match Log'!$D$4:$D$810=$M$24)*('Match Log'!$A$4:$A$810&lt;=$J436)),'Match Log'!$N$4:$N$810),NA()))</f>
        <v>#N/A</v>
      </c>
      <c r="N436" t="e">
        <f>IF($J436&gt;MAX('Match Log'!$A$4:$A$810),NA(),IFERROR(LOOKUP(2,1/(('Match Log'!$D$4:$D$810=$N$24)*('Match Log'!$A$4:$A$810&lt;=$J436)),'Match Log'!$N$4:$N$810),NA()))</f>
        <v>#N/A</v>
      </c>
      <c r="O436" t="e">
        <f>IF($J436&gt;MAX('Match Log'!$A$4:$A$810),NA(),IFERROR(LOOKUP(2,1/(('Match Log'!$D$4:$D$810=$O$24)*('Match Log'!$A$4:$A$810&lt;=$J436)),'Match Log'!$N$4:$N$810),NA()))</f>
        <v>#N/A</v>
      </c>
      <c r="P436" t="e">
        <f>IF($J436&gt;MAX('Match Log'!$A$4:$A$810),NA(),IFERROR(LOOKUP(2,1/(('Match Log'!$D$4:$D$810=$P$24)*('Match Log'!$A$4:$A$810&lt;=$J436)),'Match Log'!$N$4:$N$810),NA()))</f>
        <v>#N/A</v>
      </c>
      <c r="Q436" t="e">
        <f>IF($J436&gt;MAX('Match Log'!$A$4:$A$810),NA(),IFERROR(LOOKUP(2,1/(('Match Log'!$D$4:$D$810=$Q$24)*('Match Log'!$A$4:$A$810&lt;=$J436)),'Match Log'!$N$4:$N$810),NA()))</f>
        <v>#N/A</v>
      </c>
      <c r="R436" t="e">
        <f>IF($J436&gt;MAX('Match Log'!$A$4:$A$810),NA(),IFERROR(LOOKUP(2,1/(('Match Log'!$D$4:$D$810=$R$24)*('Match Log'!$A$4:$A$810&lt;=$J436)),'Match Log'!$N$4:$N$810),NA()))</f>
        <v>#N/A</v>
      </c>
      <c r="S436" t="e">
        <f>IF($J436&gt;MAX('Match Log'!$A$4:$A$810),NA(),IFERROR(LOOKUP(2,1/(('Match Log'!$D$4:$D$810=$S$24)*('Match Log'!$A$4:$A$810&lt;=$J436)),'Match Log'!$N$4:$N$810),NA()))</f>
        <v>#N/A</v>
      </c>
      <c r="T436" t="e">
        <f>IF($J436&gt;MAX('Match Log'!$A$4:$A$810),NA(),IFERROR(LOOKUP(2,1/(('Match Log'!$D$4:$D$810=$T$24)*('Match Log'!$A$4:$A$810&lt;=$J436)),'Match Log'!$N$4:$N$810),NA()))</f>
        <v>#N/A</v>
      </c>
      <c r="U436" t="e">
        <f>IF($J436&gt;MAX('Match Log'!$A$4:$A$810),NA(),IFERROR(LOOKUP(2,1/(('Match Log'!$D$4:$D$810=$U$24)*('Match Log'!$A$4:$A$810&lt;=$J436)),'Match Log'!$N$4:$N$810),NA()))</f>
        <v>#N/A</v>
      </c>
      <c r="V436" t="e">
        <f>IF($J436&gt;MAX('Match Log'!$A$4:$A$810),NA(),IFERROR(LOOKUP(2,1/(('Match Log'!$D$4:$D$810=$V$24)*('Match Log'!$A$4:$A$810&lt;=$J436)),'Match Log'!$N$4:$N$810),NA()))</f>
        <v>#N/A</v>
      </c>
      <c r="W436" t="e">
        <f>IF($J436&gt;MAX('Match Log'!$A$4:$A$810),NA(),IFERROR(LOOKUP(2,1/(('Match Log'!$D$4:$D$810=$W$24)*('Match Log'!$A$4:$A$810&lt;=$J436)),'Match Log'!$N$4:$N$810),NA()))</f>
        <v>#N/A</v>
      </c>
      <c r="X436" t="e">
        <f>IF($J436&gt;MAX('Match Log'!$A$4:$A$810),NA(),IFERROR(LOOKUP(2,1/(('Match Log'!$D$4:$D$810=$X$24)*('Match Log'!$A$4:$A$810&lt;=$J436)),'Match Log'!$N$4:$N$810),NA()))</f>
        <v>#N/A</v>
      </c>
      <c r="Y436" t="str">
        <f t="shared" ca="1" si="42"/>
        <v/>
      </c>
    </row>
    <row r="437" spans="1:25" x14ac:dyDescent="0.2">
      <c r="A437">
        <v>413</v>
      </c>
      <c r="B437" t="str">
        <f>IFERROR(INDEX('Match Log'!$B$4:$B$810,MATCH(413,'Match Log'!$A$4:$A$810,0)),"")</f>
        <v/>
      </c>
      <c r="C437" t="str">
        <f>IFERROR(INDEX('Match Log'!$C$4:$C$810,MATCH(413,'Match Log'!$A$4:$A$810,0)),"")</f>
        <v/>
      </c>
      <c r="D437" t="str">
        <f t="array" ref="D437">IFERROR(_xlfn.TEXTJOIN(" + ",TRUE,IF(('Match Log'!$A$4:$A$810=$A437)*('Match Log'!$E$4:$E$810="Win"),'Match Log'!$D$4:$D$810,"")),IFERROR(LOOKUP(2,1/(('Match Log'!$A$4:$A$810=$A437)*('Match Log'!$E$4:$E$810="Win")),'Match Log'!$D$4:$D$810),""))</f>
        <v/>
      </c>
      <c r="E437" t="str">
        <f>IFERROR(INDEX('Match Log'!$F$4:$F$810,MATCH(413,'Match Log'!$A$4:$A$810,0)),"")</f>
        <v/>
      </c>
      <c r="F437">
        <f>IFERROR(SUMIFS('Match Log'!$I$4:$I$810,'Match Log'!$A$4:$A$810,413,'Match Log'!$E$4:$E$810,"Win"),"")</f>
        <v>0</v>
      </c>
      <c r="G437" t="str">
        <f t="shared" si="40"/>
        <v/>
      </c>
      <c r="H437" t="str">
        <f t="array" ref="H437">IFERROR(IF(COUNTIFS('Match Log'!$A$4:$A$810,$A437,'Match Log'!$E$4:$E$810,"Win")&gt;1,_xlfn.TEXTJOIN(" + ",TRUE,IF(('Match Log'!$A$4:$A$810=$A437)*('Match Log'!$E$4:$E$810="Loss"),'Match Log'!$D$4:$D$810,"")),IF($E437=2,LOOKUP(2,1/(('Match Log'!$A$4:$A$810=$A437)*('Match Log'!$E$4:$E$810="Loss")),'Match Log'!$D$4:$D$810),"the field")),"")</f>
        <v>the field</v>
      </c>
      <c r="I437" t="str">
        <f t="shared" si="41"/>
        <v/>
      </c>
      <c r="J437">
        <v>413</v>
      </c>
      <c r="K437" t="e">
        <f>IF($J437&gt;MAX('Match Log'!$A$4:$A$810),NA(),IFERROR(LOOKUP(2,1/(('Match Log'!$D$4:$D$810=$K$24)*('Match Log'!$A$4:$A$810&lt;=$J437)),'Match Log'!$N$4:$N$810),NA()))</f>
        <v>#N/A</v>
      </c>
      <c r="L437" t="e">
        <f>IF($J437&gt;MAX('Match Log'!$A$4:$A$810),NA(),IFERROR(LOOKUP(2,1/(('Match Log'!$D$4:$D$810=$L$24)*('Match Log'!$A$4:$A$810&lt;=$J437)),'Match Log'!$N$4:$N$810),NA()))</f>
        <v>#N/A</v>
      </c>
      <c r="M437" t="e">
        <f>IF($J437&gt;MAX('Match Log'!$A$4:$A$810),NA(),IFERROR(LOOKUP(2,1/(('Match Log'!$D$4:$D$810=$M$24)*('Match Log'!$A$4:$A$810&lt;=$J437)),'Match Log'!$N$4:$N$810),NA()))</f>
        <v>#N/A</v>
      </c>
      <c r="N437" t="e">
        <f>IF($J437&gt;MAX('Match Log'!$A$4:$A$810),NA(),IFERROR(LOOKUP(2,1/(('Match Log'!$D$4:$D$810=$N$24)*('Match Log'!$A$4:$A$810&lt;=$J437)),'Match Log'!$N$4:$N$810),NA()))</f>
        <v>#N/A</v>
      </c>
      <c r="O437" t="e">
        <f>IF($J437&gt;MAX('Match Log'!$A$4:$A$810),NA(),IFERROR(LOOKUP(2,1/(('Match Log'!$D$4:$D$810=$O$24)*('Match Log'!$A$4:$A$810&lt;=$J437)),'Match Log'!$N$4:$N$810),NA()))</f>
        <v>#N/A</v>
      </c>
      <c r="P437" t="e">
        <f>IF($J437&gt;MAX('Match Log'!$A$4:$A$810),NA(),IFERROR(LOOKUP(2,1/(('Match Log'!$D$4:$D$810=$P$24)*('Match Log'!$A$4:$A$810&lt;=$J437)),'Match Log'!$N$4:$N$810),NA()))</f>
        <v>#N/A</v>
      </c>
      <c r="Q437" t="e">
        <f>IF($J437&gt;MAX('Match Log'!$A$4:$A$810),NA(),IFERROR(LOOKUP(2,1/(('Match Log'!$D$4:$D$810=$Q$24)*('Match Log'!$A$4:$A$810&lt;=$J437)),'Match Log'!$N$4:$N$810),NA()))</f>
        <v>#N/A</v>
      </c>
      <c r="R437" t="e">
        <f>IF($J437&gt;MAX('Match Log'!$A$4:$A$810),NA(),IFERROR(LOOKUP(2,1/(('Match Log'!$D$4:$D$810=$R$24)*('Match Log'!$A$4:$A$810&lt;=$J437)),'Match Log'!$N$4:$N$810),NA()))</f>
        <v>#N/A</v>
      </c>
      <c r="S437" t="e">
        <f>IF($J437&gt;MAX('Match Log'!$A$4:$A$810),NA(),IFERROR(LOOKUP(2,1/(('Match Log'!$D$4:$D$810=$S$24)*('Match Log'!$A$4:$A$810&lt;=$J437)),'Match Log'!$N$4:$N$810),NA()))</f>
        <v>#N/A</v>
      </c>
      <c r="T437" t="e">
        <f>IF($J437&gt;MAX('Match Log'!$A$4:$A$810),NA(),IFERROR(LOOKUP(2,1/(('Match Log'!$D$4:$D$810=$T$24)*('Match Log'!$A$4:$A$810&lt;=$J437)),'Match Log'!$N$4:$N$810),NA()))</f>
        <v>#N/A</v>
      </c>
      <c r="U437" t="e">
        <f>IF($J437&gt;MAX('Match Log'!$A$4:$A$810),NA(),IFERROR(LOOKUP(2,1/(('Match Log'!$D$4:$D$810=$U$24)*('Match Log'!$A$4:$A$810&lt;=$J437)),'Match Log'!$N$4:$N$810),NA()))</f>
        <v>#N/A</v>
      </c>
      <c r="V437" t="e">
        <f>IF($J437&gt;MAX('Match Log'!$A$4:$A$810),NA(),IFERROR(LOOKUP(2,1/(('Match Log'!$D$4:$D$810=$V$24)*('Match Log'!$A$4:$A$810&lt;=$J437)),'Match Log'!$N$4:$N$810),NA()))</f>
        <v>#N/A</v>
      </c>
      <c r="W437" t="e">
        <f>IF($J437&gt;MAX('Match Log'!$A$4:$A$810),NA(),IFERROR(LOOKUP(2,1/(('Match Log'!$D$4:$D$810=$W$24)*('Match Log'!$A$4:$A$810&lt;=$J437)),'Match Log'!$N$4:$N$810),NA()))</f>
        <v>#N/A</v>
      </c>
      <c r="X437" t="e">
        <f>IF($J437&gt;MAX('Match Log'!$A$4:$A$810),NA(),IFERROR(LOOKUP(2,1/(('Match Log'!$D$4:$D$810=$X$24)*('Match Log'!$A$4:$A$810&lt;=$J437)),'Match Log'!$N$4:$N$810),NA()))</f>
        <v>#N/A</v>
      </c>
      <c r="Y437" t="str">
        <f t="shared" ca="1" si="42"/>
        <v/>
      </c>
    </row>
    <row r="438" spans="1:25" x14ac:dyDescent="0.2">
      <c r="A438">
        <v>414</v>
      </c>
      <c r="B438" t="str">
        <f>IFERROR(INDEX('Match Log'!$B$4:$B$810,MATCH(414,'Match Log'!$A$4:$A$810,0)),"")</f>
        <v/>
      </c>
      <c r="C438" t="str">
        <f>IFERROR(INDEX('Match Log'!$C$4:$C$810,MATCH(414,'Match Log'!$A$4:$A$810,0)),"")</f>
        <v/>
      </c>
      <c r="D438" t="str">
        <f t="array" ref="D438">IFERROR(_xlfn.TEXTJOIN(" + ",TRUE,IF(('Match Log'!$A$4:$A$810=$A438)*('Match Log'!$E$4:$E$810="Win"),'Match Log'!$D$4:$D$810,"")),IFERROR(LOOKUP(2,1/(('Match Log'!$A$4:$A$810=$A438)*('Match Log'!$E$4:$E$810="Win")),'Match Log'!$D$4:$D$810),""))</f>
        <v/>
      </c>
      <c r="E438" t="str">
        <f>IFERROR(INDEX('Match Log'!$F$4:$F$810,MATCH(414,'Match Log'!$A$4:$A$810,0)),"")</f>
        <v/>
      </c>
      <c r="F438">
        <f>IFERROR(SUMIFS('Match Log'!$I$4:$I$810,'Match Log'!$A$4:$A$810,414,'Match Log'!$E$4:$E$810,"Win"),"")</f>
        <v>0</v>
      </c>
      <c r="G438" t="str">
        <f t="shared" si="40"/>
        <v/>
      </c>
      <c r="H438" t="str">
        <f t="array" ref="H438">IFERROR(IF(COUNTIFS('Match Log'!$A$4:$A$810,$A438,'Match Log'!$E$4:$E$810,"Win")&gt;1,_xlfn.TEXTJOIN(" + ",TRUE,IF(('Match Log'!$A$4:$A$810=$A438)*('Match Log'!$E$4:$E$810="Loss"),'Match Log'!$D$4:$D$810,"")),IF($E438=2,LOOKUP(2,1/(('Match Log'!$A$4:$A$810=$A438)*('Match Log'!$E$4:$E$810="Loss")),'Match Log'!$D$4:$D$810),"the field")),"")</f>
        <v>the field</v>
      </c>
      <c r="I438" t="str">
        <f t="shared" si="41"/>
        <v/>
      </c>
      <c r="J438">
        <v>414</v>
      </c>
      <c r="K438" t="e">
        <f>IF($J438&gt;MAX('Match Log'!$A$4:$A$810),NA(),IFERROR(LOOKUP(2,1/(('Match Log'!$D$4:$D$810=$K$24)*('Match Log'!$A$4:$A$810&lt;=$J438)),'Match Log'!$N$4:$N$810),NA()))</f>
        <v>#N/A</v>
      </c>
      <c r="L438" t="e">
        <f>IF($J438&gt;MAX('Match Log'!$A$4:$A$810),NA(),IFERROR(LOOKUP(2,1/(('Match Log'!$D$4:$D$810=$L$24)*('Match Log'!$A$4:$A$810&lt;=$J438)),'Match Log'!$N$4:$N$810),NA()))</f>
        <v>#N/A</v>
      </c>
      <c r="M438" t="e">
        <f>IF($J438&gt;MAX('Match Log'!$A$4:$A$810),NA(),IFERROR(LOOKUP(2,1/(('Match Log'!$D$4:$D$810=$M$24)*('Match Log'!$A$4:$A$810&lt;=$J438)),'Match Log'!$N$4:$N$810),NA()))</f>
        <v>#N/A</v>
      </c>
      <c r="N438" t="e">
        <f>IF($J438&gt;MAX('Match Log'!$A$4:$A$810),NA(),IFERROR(LOOKUP(2,1/(('Match Log'!$D$4:$D$810=$N$24)*('Match Log'!$A$4:$A$810&lt;=$J438)),'Match Log'!$N$4:$N$810),NA()))</f>
        <v>#N/A</v>
      </c>
      <c r="O438" t="e">
        <f>IF($J438&gt;MAX('Match Log'!$A$4:$A$810),NA(),IFERROR(LOOKUP(2,1/(('Match Log'!$D$4:$D$810=$O$24)*('Match Log'!$A$4:$A$810&lt;=$J438)),'Match Log'!$N$4:$N$810),NA()))</f>
        <v>#N/A</v>
      </c>
      <c r="P438" t="e">
        <f>IF($J438&gt;MAX('Match Log'!$A$4:$A$810),NA(),IFERROR(LOOKUP(2,1/(('Match Log'!$D$4:$D$810=$P$24)*('Match Log'!$A$4:$A$810&lt;=$J438)),'Match Log'!$N$4:$N$810),NA()))</f>
        <v>#N/A</v>
      </c>
      <c r="Q438" t="e">
        <f>IF($J438&gt;MAX('Match Log'!$A$4:$A$810),NA(),IFERROR(LOOKUP(2,1/(('Match Log'!$D$4:$D$810=$Q$24)*('Match Log'!$A$4:$A$810&lt;=$J438)),'Match Log'!$N$4:$N$810),NA()))</f>
        <v>#N/A</v>
      </c>
      <c r="R438" t="e">
        <f>IF($J438&gt;MAX('Match Log'!$A$4:$A$810),NA(),IFERROR(LOOKUP(2,1/(('Match Log'!$D$4:$D$810=$R$24)*('Match Log'!$A$4:$A$810&lt;=$J438)),'Match Log'!$N$4:$N$810),NA()))</f>
        <v>#N/A</v>
      </c>
      <c r="S438" t="e">
        <f>IF($J438&gt;MAX('Match Log'!$A$4:$A$810),NA(),IFERROR(LOOKUP(2,1/(('Match Log'!$D$4:$D$810=$S$24)*('Match Log'!$A$4:$A$810&lt;=$J438)),'Match Log'!$N$4:$N$810),NA()))</f>
        <v>#N/A</v>
      </c>
      <c r="T438" t="e">
        <f>IF($J438&gt;MAX('Match Log'!$A$4:$A$810),NA(),IFERROR(LOOKUP(2,1/(('Match Log'!$D$4:$D$810=$T$24)*('Match Log'!$A$4:$A$810&lt;=$J438)),'Match Log'!$N$4:$N$810),NA()))</f>
        <v>#N/A</v>
      </c>
      <c r="U438" t="e">
        <f>IF($J438&gt;MAX('Match Log'!$A$4:$A$810),NA(),IFERROR(LOOKUP(2,1/(('Match Log'!$D$4:$D$810=$U$24)*('Match Log'!$A$4:$A$810&lt;=$J438)),'Match Log'!$N$4:$N$810),NA()))</f>
        <v>#N/A</v>
      </c>
      <c r="V438" t="e">
        <f>IF($J438&gt;MAX('Match Log'!$A$4:$A$810),NA(),IFERROR(LOOKUP(2,1/(('Match Log'!$D$4:$D$810=$V$24)*('Match Log'!$A$4:$A$810&lt;=$J438)),'Match Log'!$N$4:$N$810),NA()))</f>
        <v>#N/A</v>
      </c>
      <c r="W438" t="e">
        <f>IF($J438&gt;MAX('Match Log'!$A$4:$A$810),NA(),IFERROR(LOOKUP(2,1/(('Match Log'!$D$4:$D$810=$W$24)*('Match Log'!$A$4:$A$810&lt;=$J438)),'Match Log'!$N$4:$N$810),NA()))</f>
        <v>#N/A</v>
      </c>
      <c r="X438" t="e">
        <f>IF($J438&gt;MAX('Match Log'!$A$4:$A$810),NA(),IFERROR(LOOKUP(2,1/(('Match Log'!$D$4:$D$810=$X$24)*('Match Log'!$A$4:$A$810&lt;=$J438)),'Match Log'!$N$4:$N$810),NA()))</f>
        <v>#N/A</v>
      </c>
      <c r="Y438" t="str">
        <f t="shared" ca="1" si="42"/>
        <v/>
      </c>
    </row>
    <row r="439" spans="1:25" x14ac:dyDescent="0.2">
      <c r="A439">
        <v>415</v>
      </c>
      <c r="B439" t="str">
        <f>IFERROR(INDEX('Match Log'!$B$4:$B$810,MATCH(415,'Match Log'!$A$4:$A$810,0)),"")</f>
        <v/>
      </c>
      <c r="C439" t="str">
        <f>IFERROR(INDEX('Match Log'!$C$4:$C$810,MATCH(415,'Match Log'!$A$4:$A$810,0)),"")</f>
        <v/>
      </c>
      <c r="D439" t="str">
        <f t="array" ref="D439">IFERROR(_xlfn.TEXTJOIN(" + ",TRUE,IF(('Match Log'!$A$4:$A$810=$A439)*('Match Log'!$E$4:$E$810="Win"),'Match Log'!$D$4:$D$810,"")),IFERROR(LOOKUP(2,1/(('Match Log'!$A$4:$A$810=$A439)*('Match Log'!$E$4:$E$810="Win")),'Match Log'!$D$4:$D$810),""))</f>
        <v/>
      </c>
      <c r="E439" t="str">
        <f>IFERROR(INDEX('Match Log'!$F$4:$F$810,MATCH(415,'Match Log'!$A$4:$A$810,0)),"")</f>
        <v/>
      </c>
      <c r="F439">
        <f>IFERROR(SUMIFS('Match Log'!$I$4:$I$810,'Match Log'!$A$4:$A$810,415,'Match Log'!$E$4:$E$810,"Win"),"")</f>
        <v>0</v>
      </c>
      <c r="G439" t="str">
        <f t="shared" si="40"/>
        <v/>
      </c>
      <c r="H439" t="str">
        <f t="array" ref="H439">IFERROR(IF(COUNTIFS('Match Log'!$A$4:$A$810,$A439,'Match Log'!$E$4:$E$810,"Win")&gt;1,_xlfn.TEXTJOIN(" + ",TRUE,IF(('Match Log'!$A$4:$A$810=$A439)*('Match Log'!$E$4:$E$810="Loss"),'Match Log'!$D$4:$D$810,"")),IF($E439=2,LOOKUP(2,1/(('Match Log'!$A$4:$A$810=$A439)*('Match Log'!$E$4:$E$810="Loss")),'Match Log'!$D$4:$D$810),"the field")),"")</f>
        <v>the field</v>
      </c>
      <c r="I439" t="str">
        <f t="shared" si="41"/>
        <v/>
      </c>
      <c r="J439">
        <v>415</v>
      </c>
      <c r="K439" t="e">
        <f>IF($J439&gt;MAX('Match Log'!$A$4:$A$810),NA(),IFERROR(LOOKUP(2,1/(('Match Log'!$D$4:$D$810=$K$24)*('Match Log'!$A$4:$A$810&lt;=$J439)),'Match Log'!$N$4:$N$810),NA()))</f>
        <v>#N/A</v>
      </c>
      <c r="L439" t="e">
        <f>IF($J439&gt;MAX('Match Log'!$A$4:$A$810),NA(),IFERROR(LOOKUP(2,1/(('Match Log'!$D$4:$D$810=$L$24)*('Match Log'!$A$4:$A$810&lt;=$J439)),'Match Log'!$N$4:$N$810),NA()))</f>
        <v>#N/A</v>
      </c>
      <c r="M439" t="e">
        <f>IF($J439&gt;MAX('Match Log'!$A$4:$A$810),NA(),IFERROR(LOOKUP(2,1/(('Match Log'!$D$4:$D$810=$M$24)*('Match Log'!$A$4:$A$810&lt;=$J439)),'Match Log'!$N$4:$N$810),NA()))</f>
        <v>#N/A</v>
      </c>
      <c r="N439" t="e">
        <f>IF($J439&gt;MAX('Match Log'!$A$4:$A$810),NA(),IFERROR(LOOKUP(2,1/(('Match Log'!$D$4:$D$810=$N$24)*('Match Log'!$A$4:$A$810&lt;=$J439)),'Match Log'!$N$4:$N$810),NA()))</f>
        <v>#N/A</v>
      </c>
      <c r="O439" t="e">
        <f>IF($J439&gt;MAX('Match Log'!$A$4:$A$810),NA(),IFERROR(LOOKUP(2,1/(('Match Log'!$D$4:$D$810=$O$24)*('Match Log'!$A$4:$A$810&lt;=$J439)),'Match Log'!$N$4:$N$810),NA()))</f>
        <v>#N/A</v>
      </c>
      <c r="P439" t="e">
        <f>IF($J439&gt;MAX('Match Log'!$A$4:$A$810),NA(),IFERROR(LOOKUP(2,1/(('Match Log'!$D$4:$D$810=$P$24)*('Match Log'!$A$4:$A$810&lt;=$J439)),'Match Log'!$N$4:$N$810),NA()))</f>
        <v>#N/A</v>
      </c>
      <c r="Q439" t="e">
        <f>IF($J439&gt;MAX('Match Log'!$A$4:$A$810),NA(),IFERROR(LOOKUP(2,1/(('Match Log'!$D$4:$D$810=$Q$24)*('Match Log'!$A$4:$A$810&lt;=$J439)),'Match Log'!$N$4:$N$810),NA()))</f>
        <v>#N/A</v>
      </c>
      <c r="R439" t="e">
        <f>IF($J439&gt;MAX('Match Log'!$A$4:$A$810),NA(),IFERROR(LOOKUP(2,1/(('Match Log'!$D$4:$D$810=$R$24)*('Match Log'!$A$4:$A$810&lt;=$J439)),'Match Log'!$N$4:$N$810),NA()))</f>
        <v>#N/A</v>
      </c>
      <c r="S439" t="e">
        <f>IF($J439&gt;MAX('Match Log'!$A$4:$A$810),NA(),IFERROR(LOOKUP(2,1/(('Match Log'!$D$4:$D$810=$S$24)*('Match Log'!$A$4:$A$810&lt;=$J439)),'Match Log'!$N$4:$N$810),NA()))</f>
        <v>#N/A</v>
      </c>
      <c r="T439" t="e">
        <f>IF($J439&gt;MAX('Match Log'!$A$4:$A$810),NA(),IFERROR(LOOKUP(2,1/(('Match Log'!$D$4:$D$810=$T$24)*('Match Log'!$A$4:$A$810&lt;=$J439)),'Match Log'!$N$4:$N$810),NA()))</f>
        <v>#N/A</v>
      </c>
      <c r="U439" t="e">
        <f>IF($J439&gt;MAX('Match Log'!$A$4:$A$810),NA(),IFERROR(LOOKUP(2,1/(('Match Log'!$D$4:$D$810=$U$24)*('Match Log'!$A$4:$A$810&lt;=$J439)),'Match Log'!$N$4:$N$810),NA()))</f>
        <v>#N/A</v>
      </c>
      <c r="V439" t="e">
        <f>IF($J439&gt;MAX('Match Log'!$A$4:$A$810),NA(),IFERROR(LOOKUP(2,1/(('Match Log'!$D$4:$D$810=$V$24)*('Match Log'!$A$4:$A$810&lt;=$J439)),'Match Log'!$N$4:$N$810),NA()))</f>
        <v>#N/A</v>
      </c>
      <c r="W439" t="e">
        <f>IF($J439&gt;MAX('Match Log'!$A$4:$A$810),NA(),IFERROR(LOOKUP(2,1/(('Match Log'!$D$4:$D$810=$W$24)*('Match Log'!$A$4:$A$810&lt;=$J439)),'Match Log'!$N$4:$N$810),NA()))</f>
        <v>#N/A</v>
      </c>
      <c r="X439" t="e">
        <f>IF($J439&gt;MAX('Match Log'!$A$4:$A$810),NA(),IFERROR(LOOKUP(2,1/(('Match Log'!$D$4:$D$810=$X$24)*('Match Log'!$A$4:$A$810&lt;=$J439)),'Match Log'!$N$4:$N$810),NA()))</f>
        <v>#N/A</v>
      </c>
      <c r="Y439" t="str">
        <f t="shared" ca="1" si="42"/>
        <v/>
      </c>
    </row>
    <row r="440" spans="1:25" x14ac:dyDescent="0.2">
      <c r="A440">
        <v>416</v>
      </c>
      <c r="B440" t="str">
        <f>IFERROR(INDEX('Match Log'!$B$4:$B$810,MATCH(416,'Match Log'!$A$4:$A$810,0)),"")</f>
        <v/>
      </c>
      <c r="C440" t="str">
        <f>IFERROR(INDEX('Match Log'!$C$4:$C$810,MATCH(416,'Match Log'!$A$4:$A$810,0)),"")</f>
        <v/>
      </c>
      <c r="D440" t="str">
        <f t="array" ref="D440">IFERROR(_xlfn.TEXTJOIN(" + ",TRUE,IF(('Match Log'!$A$4:$A$810=$A440)*('Match Log'!$E$4:$E$810="Win"),'Match Log'!$D$4:$D$810,"")),IFERROR(LOOKUP(2,1/(('Match Log'!$A$4:$A$810=$A440)*('Match Log'!$E$4:$E$810="Win")),'Match Log'!$D$4:$D$810),""))</f>
        <v/>
      </c>
      <c r="E440" t="str">
        <f>IFERROR(INDEX('Match Log'!$F$4:$F$810,MATCH(416,'Match Log'!$A$4:$A$810,0)),"")</f>
        <v/>
      </c>
      <c r="F440">
        <f>IFERROR(SUMIFS('Match Log'!$I$4:$I$810,'Match Log'!$A$4:$A$810,416,'Match Log'!$E$4:$E$810,"Win"),"")</f>
        <v>0</v>
      </c>
      <c r="G440" t="str">
        <f t="shared" si="40"/>
        <v/>
      </c>
      <c r="H440" t="str">
        <f t="array" ref="H440">IFERROR(IF(COUNTIFS('Match Log'!$A$4:$A$810,$A440,'Match Log'!$E$4:$E$810,"Win")&gt;1,_xlfn.TEXTJOIN(" + ",TRUE,IF(('Match Log'!$A$4:$A$810=$A440)*('Match Log'!$E$4:$E$810="Loss"),'Match Log'!$D$4:$D$810,"")),IF($E440=2,LOOKUP(2,1/(('Match Log'!$A$4:$A$810=$A440)*('Match Log'!$E$4:$E$810="Loss")),'Match Log'!$D$4:$D$810),"the field")),"")</f>
        <v>the field</v>
      </c>
      <c r="I440" t="str">
        <f t="shared" si="41"/>
        <v/>
      </c>
      <c r="J440">
        <v>416</v>
      </c>
      <c r="K440" t="e">
        <f>IF($J440&gt;MAX('Match Log'!$A$4:$A$810),NA(),IFERROR(LOOKUP(2,1/(('Match Log'!$D$4:$D$810=$K$24)*('Match Log'!$A$4:$A$810&lt;=$J440)),'Match Log'!$N$4:$N$810),NA()))</f>
        <v>#N/A</v>
      </c>
      <c r="L440" t="e">
        <f>IF($J440&gt;MAX('Match Log'!$A$4:$A$810),NA(),IFERROR(LOOKUP(2,1/(('Match Log'!$D$4:$D$810=$L$24)*('Match Log'!$A$4:$A$810&lt;=$J440)),'Match Log'!$N$4:$N$810),NA()))</f>
        <v>#N/A</v>
      </c>
      <c r="M440" t="e">
        <f>IF($J440&gt;MAX('Match Log'!$A$4:$A$810),NA(),IFERROR(LOOKUP(2,1/(('Match Log'!$D$4:$D$810=$M$24)*('Match Log'!$A$4:$A$810&lt;=$J440)),'Match Log'!$N$4:$N$810),NA()))</f>
        <v>#N/A</v>
      </c>
      <c r="N440" t="e">
        <f>IF($J440&gt;MAX('Match Log'!$A$4:$A$810),NA(),IFERROR(LOOKUP(2,1/(('Match Log'!$D$4:$D$810=$N$24)*('Match Log'!$A$4:$A$810&lt;=$J440)),'Match Log'!$N$4:$N$810),NA()))</f>
        <v>#N/A</v>
      </c>
      <c r="O440" t="e">
        <f>IF($J440&gt;MAX('Match Log'!$A$4:$A$810),NA(),IFERROR(LOOKUP(2,1/(('Match Log'!$D$4:$D$810=$O$24)*('Match Log'!$A$4:$A$810&lt;=$J440)),'Match Log'!$N$4:$N$810),NA()))</f>
        <v>#N/A</v>
      </c>
      <c r="P440" t="e">
        <f>IF($J440&gt;MAX('Match Log'!$A$4:$A$810),NA(),IFERROR(LOOKUP(2,1/(('Match Log'!$D$4:$D$810=$P$24)*('Match Log'!$A$4:$A$810&lt;=$J440)),'Match Log'!$N$4:$N$810),NA()))</f>
        <v>#N/A</v>
      </c>
      <c r="Q440" t="e">
        <f>IF($J440&gt;MAX('Match Log'!$A$4:$A$810),NA(),IFERROR(LOOKUP(2,1/(('Match Log'!$D$4:$D$810=$Q$24)*('Match Log'!$A$4:$A$810&lt;=$J440)),'Match Log'!$N$4:$N$810),NA()))</f>
        <v>#N/A</v>
      </c>
      <c r="R440" t="e">
        <f>IF($J440&gt;MAX('Match Log'!$A$4:$A$810),NA(),IFERROR(LOOKUP(2,1/(('Match Log'!$D$4:$D$810=$R$24)*('Match Log'!$A$4:$A$810&lt;=$J440)),'Match Log'!$N$4:$N$810),NA()))</f>
        <v>#N/A</v>
      </c>
      <c r="S440" t="e">
        <f>IF($J440&gt;MAX('Match Log'!$A$4:$A$810),NA(),IFERROR(LOOKUP(2,1/(('Match Log'!$D$4:$D$810=$S$24)*('Match Log'!$A$4:$A$810&lt;=$J440)),'Match Log'!$N$4:$N$810),NA()))</f>
        <v>#N/A</v>
      </c>
      <c r="T440" t="e">
        <f>IF($J440&gt;MAX('Match Log'!$A$4:$A$810),NA(),IFERROR(LOOKUP(2,1/(('Match Log'!$D$4:$D$810=$T$24)*('Match Log'!$A$4:$A$810&lt;=$J440)),'Match Log'!$N$4:$N$810),NA()))</f>
        <v>#N/A</v>
      </c>
      <c r="U440" t="e">
        <f>IF($J440&gt;MAX('Match Log'!$A$4:$A$810),NA(),IFERROR(LOOKUP(2,1/(('Match Log'!$D$4:$D$810=$U$24)*('Match Log'!$A$4:$A$810&lt;=$J440)),'Match Log'!$N$4:$N$810),NA()))</f>
        <v>#N/A</v>
      </c>
      <c r="V440" t="e">
        <f>IF($J440&gt;MAX('Match Log'!$A$4:$A$810),NA(),IFERROR(LOOKUP(2,1/(('Match Log'!$D$4:$D$810=$V$24)*('Match Log'!$A$4:$A$810&lt;=$J440)),'Match Log'!$N$4:$N$810),NA()))</f>
        <v>#N/A</v>
      </c>
      <c r="W440" t="e">
        <f>IF($J440&gt;MAX('Match Log'!$A$4:$A$810),NA(),IFERROR(LOOKUP(2,1/(('Match Log'!$D$4:$D$810=$W$24)*('Match Log'!$A$4:$A$810&lt;=$J440)),'Match Log'!$N$4:$N$810),NA()))</f>
        <v>#N/A</v>
      </c>
      <c r="X440" t="e">
        <f>IF($J440&gt;MAX('Match Log'!$A$4:$A$810),NA(),IFERROR(LOOKUP(2,1/(('Match Log'!$D$4:$D$810=$X$24)*('Match Log'!$A$4:$A$810&lt;=$J440)),'Match Log'!$N$4:$N$810),NA()))</f>
        <v>#N/A</v>
      </c>
      <c r="Y440" t="str">
        <f t="shared" ca="1" si="42"/>
        <v/>
      </c>
    </row>
    <row r="441" spans="1:25" x14ac:dyDescent="0.2">
      <c r="A441">
        <v>417</v>
      </c>
      <c r="B441" t="str">
        <f>IFERROR(INDEX('Match Log'!$B$4:$B$810,MATCH(417,'Match Log'!$A$4:$A$810,0)),"")</f>
        <v/>
      </c>
      <c r="C441" t="str">
        <f>IFERROR(INDEX('Match Log'!$C$4:$C$810,MATCH(417,'Match Log'!$A$4:$A$810,0)),"")</f>
        <v/>
      </c>
      <c r="D441" t="str">
        <f t="array" ref="D441">IFERROR(_xlfn.TEXTJOIN(" + ",TRUE,IF(('Match Log'!$A$4:$A$810=$A441)*('Match Log'!$E$4:$E$810="Win"),'Match Log'!$D$4:$D$810,"")),IFERROR(LOOKUP(2,1/(('Match Log'!$A$4:$A$810=$A441)*('Match Log'!$E$4:$E$810="Win")),'Match Log'!$D$4:$D$810),""))</f>
        <v/>
      </c>
      <c r="E441" t="str">
        <f>IFERROR(INDEX('Match Log'!$F$4:$F$810,MATCH(417,'Match Log'!$A$4:$A$810,0)),"")</f>
        <v/>
      </c>
      <c r="F441">
        <f>IFERROR(SUMIFS('Match Log'!$I$4:$I$810,'Match Log'!$A$4:$A$810,417,'Match Log'!$E$4:$E$810,"Win"),"")</f>
        <v>0</v>
      </c>
      <c r="G441" t="str">
        <f t="shared" si="40"/>
        <v/>
      </c>
      <c r="H441" t="str">
        <f t="array" ref="H441">IFERROR(IF(COUNTIFS('Match Log'!$A$4:$A$810,$A441,'Match Log'!$E$4:$E$810,"Win")&gt;1,_xlfn.TEXTJOIN(" + ",TRUE,IF(('Match Log'!$A$4:$A$810=$A441)*('Match Log'!$E$4:$E$810="Loss"),'Match Log'!$D$4:$D$810,"")),IF($E441=2,LOOKUP(2,1/(('Match Log'!$A$4:$A$810=$A441)*('Match Log'!$E$4:$E$810="Loss")),'Match Log'!$D$4:$D$810),"the field")),"")</f>
        <v>the field</v>
      </c>
      <c r="I441" t="str">
        <f t="shared" si="41"/>
        <v/>
      </c>
      <c r="J441">
        <v>417</v>
      </c>
      <c r="K441" t="e">
        <f>IF($J441&gt;MAX('Match Log'!$A$4:$A$810),NA(),IFERROR(LOOKUP(2,1/(('Match Log'!$D$4:$D$810=$K$24)*('Match Log'!$A$4:$A$810&lt;=$J441)),'Match Log'!$N$4:$N$810),NA()))</f>
        <v>#N/A</v>
      </c>
      <c r="L441" t="e">
        <f>IF($J441&gt;MAX('Match Log'!$A$4:$A$810),NA(),IFERROR(LOOKUP(2,1/(('Match Log'!$D$4:$D$810=$L$24)*('Match Log'!$A$4:$A$810&lt;=$J441)),'Match Log'!$N$4:$N$810),NA()))</f>
        <v>#N/A</v>
      </c>
      <c r="M441" t="e">
        <f>IF($J441&gt;MAX('Match Log'!$A$4:$A$810),NA(),IFERROR(LOOKUP(2,1/(('Match Log'!$D$4:$D$810=$M$24)*('Match Log'!$A$4:$A$810&lt;=$J441)),'Match Log'!$N$4:$N$810),NA()))</f>
        <v>#N/A</v>
      </c>
      <c r="N441" t="e">
        <f>IF($J441&gt;MAX('Match Log'!$A$4:$A$810),NA(),IFERROR(LOOKUP(2,1/(('Match Log'!$D$4:$D$810=$N$24)*('Match Log'!$A$4:$A$810&lt;=$J441)),'Match Log'!$N$4:$N$810),NA()))</f>
        <v>#N/A</v>
      </c>
      <c r="O441" t="e">
        <f>IF($J441&gt;MAX('Match Log'!$A$4:$A$810),NA(),IFERROR(LOOKUP(2,1/(('Match Log'!$D$4:$D$810=$O$24)*('Match Log'!$A$4:$A$810&lt;=$J441)),'Match Log'!$N$4:$N$810),NA()))</f>
        <v>#N/A</v>
      </c>
      <c r="P441" t="e">
        <f>IF($J441&gt;MAX('Match Log'!$A$4:$A$810),NA(),IFERROR(LOOKUP(2,1/(('Match Log'!$D$4:$D$810=$P$24)*('Match Log'!$A$4:$A$810&lt;=$J441)),'Match Log'!$N$4:$N$810),NA()))</f>
        <v>#N/A</v>
      </c>
      <c r="Q441" t="e">
        <f>IF($J441&gt;MAX('Match Log'!$A$4:$A$810),NA(),IFERROR(LOOKUP(2,1/(('Match Log'!$D$4:$D$810=$Q$24)*('Match Log'!$A$4:$A$810&lt;=$J441)),'Match Log'!$N$4:$N$810),NA()))</f>
        <v>#N/A</v>
      </c>
      <c r="R441" t="e">
        <f>IF($J441&gt;MAX('Match Log'!$A$4:$A$810),NA(),IFERROR(LOOKUP(2,1/(('Match Log'!$D$4:$D$810=$R$24)*('Match Log'!$A$4:$A$810&lt;=$J441)),'Match Log'!$N$4:$N$810),NA()))</f>
        <v>#N/A</v>
      </c>
      <c r="S441" t="e">
        <f>IF($J441&gt;MAX('Match Log'!$A$4:$A$810),NA(),IFERROR(LOOKUP(2,1/(('Match Log'!$D$4:$D$810=$S$24)*('Match Log'!$A$4:$A$810&lt;=$J441)),'Match Log'!$N$4:$N$810),NA()))</f>
        <v>#N/A</v>
      </c>
      <c r="T441" t="e">
        <f>IF($J441&gt;MAX('Match Log'!$A$4:$A$810),NA(),IFERROR(LOOKUP(2,1/(('Match Log'!$D$4:$D$810=$T$24)*('Match Log'!$A$4:$A$810&lt;=$J441)),'Match Log'!$N$4:$N$810),NA()))</f>
        <v>#N/A</v>
      </c>
      <c r="U441" t="e">
        <f>IF($J441&gt;MAX('Match Log'!$A$4:$A$810),NA(),IFERROR(LOOKUP(2,1/(('Match Log'!$D$4:$D$810=$U$24)*('Match Log'!$A$4:$A$810&lt;=$J441)),'Match Log'!$N$4:$N$810),NA()))</f>
        <v>#N/A</v>
      </c>
      <c r="V441" t="e">
        <f>IF($J441&gt;MAX('Match Log'!$A$4:$A$810),NA(),IFERROR(LOOKUP(2,1/(('Match Log'!$D$4:$D$810=$V$24)*('Match Log'!$A$4:$A$810&lt;=$J441)),'Match Log'!$N$4:$N$810),NA()))</f>
        <v>#N/A</v>
      </c>
      <c r="W441" t="e">
        <f>IF($J441&gt;MAX('Match Log'!$A$4:$A$810),NA(),IFERROR(LOOKUP(2,1/(('Match Log'!$D$4:$D$810=$W$24)*('Match Log'!$A$4:$A$810&lt;=$J441)),'Match Log'!$N$4:$N$810),NA()))</f>
        <v>#N/A</v>
      </c>
      <c r="X441" t="e">
        <f>IF($J441&gt;MAX('Match Log'!$A$4:$A$810),NA(),IFERROR(LOOKUP(2,1/(('Match Log'!$D$4:$D$810=$X$24)*('Match Log'!$A$4:$A$810&lt;=$J441)),'Match Log'!$N$4:$N$810),NA()))</f>
        <v>#N/A</v>
      </c>
      <c r="Y441" t="str">
        <f t="shared" ca="1" si="42"/>
        <v/>
      </c>
    </row>
    <row r="442" spans="1:25" x14ac:dyDescent="0.2">
      <c r="A442">
        <v>418</v>
      </c>
      <c r="B442" t="str">
        <f>IFERROR(INDEX('Match Log'!$B$4:$B$810,MATCH(418,'Match Log'!$A$4:$A$810,0)),"")</f>
        <v/>
      </c>
      <c r="C442" t="str">
        <f>IFERROR(INDEX('Match Log'!$C$4:$C$810,MATCH(418,'Match Log'!$A$4:$A$810,0)),"")</f>
        <v/>
      </c>
      <c r="D442" t="str">
        <f t="array" ref="D442">IFERROR(_xlfn.TEXTJOIN(" + ",TRUE,IF(('Match Log'!$A$4:$A$810=$A442)*('Match Log'!$E$4:$E$810="Win"),'Match Log'!$D$4:$D$810,"")),IFERROR(LOOKUP(2,1/(('Match Log'!$A$4:$A$810=$A442)*('Match Log'!$E$4:$E$810="Win")),'Match Log'!$D$4:$D$810),""))</f>
        <v/>
      </c>
      <c r="E442" t="str">
        <f>IFERROR(INDEX('Match Log'!$F$4:$F$810,MATCH(418,'Match Log'!$A$4:$A$810,0)),"")</f>
        <v/>
      </c>
      <c r="F442">
        <f>IFERROR(SUMIFS('Match Log'!$I$4:$I$810,'Match Log'!$A$4:$A$810,418,'Match Log'!$E$4:$E$810,"Win"),"")</f>
        <v>0</v>
      </c>
      <c r="G442" t="str">
        <f t="shared" si="40"/>
        <v/>
      </c>
      <c r="H442" t="str">
        <f t="array" ref="H442">IFERROR(IF(COUNTIFS('Match Log'!$A$4:$A$810,$A442,'Match Log'!$E$4:$E$810,"Win")&gt;1,_xlfn.TEXTJOIN(" + ",TRUE,IF(('Match Log'!$A$4:$A$810=$A442)*('Match Log'!$E$4:$E$810="Loss"),'Match Log'!$D$4:$D$810,"")),IF($E442=2,LOOKUP(2,1/(('Match Log'!$A$4:$A$810=$A442)*('Match Log'!$E$4:$E$810="Loss")),'Match Log'!$D$4:$D$810),"the field")),"")</f>
        <v>the field</v>
      </c>
      <c r="I442" t="str">
        <f t="shared" si="41"/>
        <v/>
      </c>
      <c r="J442">
        <v>418</v>
      </c>
      <c r="K442" t="e">
        <f>IF($J442&gt;MAX('Match Log'!$A$4:$A$810),NA(),IFERROR(LOOKUP(2,1/(('Match Log'!$D$4:$D$810=$K$24)*('Match Log'!$A$4:$A$810&lt;=$J442)),'Match Log'!$N$4:$N$810),NA()))</f>
        <v>#N/A</v>
      </c>
      <c r="L442" t="e">
        <f>IF($J442&gt;MAX('Match Log'!$A$4:$A$810),NA(),IFERROR(LOOKUP(2,1/(('Match Log'!$D$4:$D$810=$L$24)*('Match Log'!$A$4:$A$810&lt;=$J442)),'Match Log'!$N$4:$N$810),NA()))</f>
        <v>#N/A</v>
      </c>
      <c r="M442" t="e">
        <f>IF($J442&gt;MAX('Match Log'!$A$4:$A$810),NA(),IFERROR(LOOKUP(2,1/(('Match Log'!$D$4:$D$810=$M$24)*('Match Log'!$A$4:$A$810&lt;=$J442)),'Match Log'!$N$4:$N$810),NA()))</f>
        <v>#N/A</v>
      </c>
      <c r="N442" t="e">
        <f>IF($J442&gt;MAX('Match Log'!$A$4:$A$810),NA(),IFERROR(LOOKUP(2,1/(('Match Log'!$D$4:$D$810=$N$24)*('Match Log'!$A$4:$A$810&lt;=$J442)),'Match Log'!$N$4:$N$810),NA()))</f>
        <v>#N/A</v>
      </c>
      <c r="O442" t="e">
        <f>IF($J442&gt;MAX('Match Log'!$A$4:$A$810),NA(),IFERROR(LOOKUP(2,1/(('Match Log'!$D$4:$D$810=$O$24)*('Match Log'!$A$4:$A$810&lt;=$J442)),'Match Log'!$N$4:$N$810),NA()))</f>
        <v>#N/A</v>
      </c>
      <c r="P442" t="e">
        <f>IF($J442&gt;MAX('Match Log'!$A$4:$A$810),NA(),IFERROR(LOOKUP(2,1/(('Match Log'!$D$4:$D$810=$P$24)*('Match Log'!$A$4:$A$810&lt;=$J442)),'Match Log'!$N$4:$N$810),NA()))</f>
        <v>#N/A</v>
      </c>
      <c r="Q442" t="e">
        <f>IF($J442&gt;MAX('Match Log'!$A$4:$A$810),NA(),IFERROR(LOOKUP(2,1/(('Match Log'!$D$4:$D$810=$Q$24)*('Match Log'!$A$4:$A$810&lt;=$J442)),'Match Log'!$N$4:$N$810),NA()))</f>
        <v>#N/A</v>
      </c>
      <c r="R442" t="e">
        <f>IF($J442&gt;MAX('Match Log'!$A$4:$A$810),NA(),IFERROR(LOOKUP(2,1/(('Match Log'!$D$4:$D$810=$R$24)*('Match Log'!$A$4:$A$810&lt;=$J442)),'Match Log'!$N$4:$N$810),NA()))</f>
        <v>#N/A</v>
      </c>
      <c r="S442" t="e">
        <f>IF($J442&gt;MAX('Match Log'!$A$4:$A$810),NA(),IFERROR(LOOKUP(2,1/(('Match Log'!$D$4:$D$810=$S$24)*('Match Log'!$A$4:$A$810&lt;=$J442)),'Match Log'!$N$4:$N$810),NA()))</f>
        <v>#N/A</v>
      </c>
      <c r="T442" t="e">
        <f>IF($J442&gt;MAX('Match Log'!$A$4:$A$810),NA(),IFERROR(LOOKUP(2,1/(('Match Log'!$D$4:$D$810=$T$24)*('Match Log'!$A$4:$A$810&lt;=$J442)),'Match Log'!$N$4:$N$810),NA()))</f>
        <v>#N/A</v>
      </c>
      <c r="U442" t="e">
        <f>IF($J442&gt;MAX('Match Log'!$A$4:$A$810),NA(),IFERROR(LOOKUP(2,1/(('Match Log'!$D$4:$D$810=$U$24)*('Match Log'!$A$4:$A$810&lt;=$J442)),'Match Log'!$N$4:$N$810),NA()))</f>
        <v>#N/A</v>
      </c>
      <c r="V442" t="e">
        <f>IF($J442&gt;MAX('Match Log'!$A$4:$A$810),NA(),IFERROR(LOOKUP(2,1/(('Match Log'!$D$4:$D$810=$V$24)*('Match Log'!$A$4:$A$810&lt;=$J442)),'Match Log'!$N$4:$N$810),NA()))</f>
        <v>#N/A</v>
      </c>
      <c r="W442" t="e">
        <f>IF($J442&gt;MAX('Match Log'!$A$4:$A$810),NA(),IFERROR(LOOKUP(2,1/(('Match Log'!$D$4:$D$810=$W$24)*('Match Log'!$A$4:$A$810&lt;=$J442)),'Match Log'!$N$4:$N$810),NA()))</f>
        <v>#N/A</v>
      </c>
      <c r="X442" t="e">
        <f>IF($J442&gt;MAX('Match Log'!$A$4:$A$810),NA(),IFERROR(LOOKUP(2,1/(('Match Log'!$D$4:$D$810=$X$24)*('Match Log'!$A$4:$A$810&lt;=$J442)),'Match Log'!$N$4:$N$810),NA()))</f>
        <v>#N/A</v>
      </c>
      <c r="Y442" t="str">
        <f t="shared" ca="1" si="42"/>
        <v/>
      </c>
    </row>
    <row r="443" spans="1:25" x14ac:dyDescent="0.2">
      <c r="A443">
        <v>419</v>
      </c>
      <c r="B443" t="str">
        <f>IFERROR(INDEX('Match Log'!$B$4:$B$810,MATCH(419,'Match Log'!$A$4:$A$810,0)),"")</f>
        <v/>
      </c>
      <c r="C443" t="str">
        <f>IFERROR(INDEX('Match Log'!$C$4:$C$810,MATCH(419,'Match Log'!$A$4:$A$810,0)),"")</f>
        <v/>
      </c>
      <c r="D443" t="str">
        <f t="array" ref="D443">IFERROR(_xlfn.TEXTJOIN(" + ",TRUE,IF(('Match Log'!$A$4:$A$810=$A443)*('Match Log'!$E$4:$E$810="Win"),'Match Log'!$D$4:$D$810,"")),IFERROR(LOOKUP(2,1/(('Match Log'!$A$4:$A$810=$A443)*('Match Log'!$E$4:$E$810="Win")),'Match Log'!$D$4:$D$810),""))</f>
        <v/>
      </c>
      <c r="E443" t="str">
        <f>IFERROR(INDEX('Match Log'!$F$4:$F$810,MATCH(419,'Match Log'!$A$4:$A$810,0)),"")</f>
        <v/>
      </c>
      <c r="F443">
        <f>IFERROR(SUMIFS('Match Log'!$I$4:$I$810,'Match Log'!$A$4:$A$810,419,'Match Log'!$E$4:$E$810,"Win"),"")</f>
        <v>0</v>
      </c>
      <c r="G443" t="str">
        <f t="shared" si="40"/>
        <v/>
      </c>
      <c r="H443" t="str">
        <f t="array" ref="H443">IFERROR(IF(COUNTIFS('Match Log'!$A$4:$A$810,$A443,'Match Log'!$E$4:$E$810,"Win")&gt;1,_xlfn.TEXTJOIN(" + ",TRUE,IF(('Match Log'!$A$4:$A$810=$A443)*('Match Log'!$E$4:$E$810="Loss"),'Match Log'!$D$4:$D$810,"")),IF($E443=2,LOOKUP(2,1/(('Match Log'!$A$4:$A$810=$A443)*('Match Log'!$E$4:$E$810="Loss")),'Match Log'!$D$4:$D$810),"the field")),"")</f>
        <v>the field</v>
      </c>
      <c r="I443" t="str">
        <f t="shared" si="41"/>
        <v/>
      </c>
      <c r="J443">
        <v>419</v>
      </c>
      <c r="K443" t="e">
        <f>IF($J443&gt;MAX('Match Log'!$A$4:$A$810),NA(),IFERROR(LOOKUP(2,1/(('Match Log'!$D$4:$D$810=$K$24)*('Match Log'!$A$4:$A$810&lt;=$J443)),'Match Log'!$N$4:$N$810),NA()))</f>
        <v>#N/A</v>
      </c>
      <c r="L443" t="e">
        <f>IF($J443&gt;MAX('Match Log'!$A$4:$A$810),NA(),IFERROR(LOOKUP(2,1/(('Match Log'!$D$4:$D$810=$L$24)*('Match Log'!$A$4:$A$810&lt;=$J443)),'Match Log'!$N$4:$N$810),NA()))</f>
        <v>#N/A</v>
      </c>
      <c r="M443" t="e">
        <f>IF($J443&gt;MAX('Match Log'!$A$4:$A$810),NA(),IFERROR(LOOKUP(2,1/(('Match Log'!$D$4:$D$810=$M$24)*('Match Log'!$A$4:$A$810&lt;=$J443)),'Match Log'!$N$4:$N$810),NA()))</f>
        <v>#N/A</v>
      </c>
      <c r="N443" t="e">
        <f>IF($J443&gt;MAX('Match Log'!$A$4:$A$810),NA(),IFERROR(LOOKUP(2,1/(('Match Log'!$D$4:$D$810=$N$24)*('Match Log'!$A$4:$A$810&lt;=$J443)),'Match Log'!$N$4:$N$810),NA()))</f>
        <v>#N/A</v>
      </c>
      <c r="O443" t="e">
        <f>IF($J443&gt;MAX('Match Log'!$A$4:$A$810),NA(),IFERROR(LOOKUP(2,1/(('Match Log'!$D$4:$D$810=$O$24)*('Match Log'!$A$4:$A$810&lt;=$J443)),'Match Log'!$N$4:$N$810),NA()))</f>
        <v>#N/A</v>
      </c>
      <c r="P443" t="e">
        <f>IF($J443&gt;MAX('Match Log'!$A$4:$A$810),NA(),IFERROR(LOOKUP(2,1/(('Match Log'!$D$4:$D$810=$P$24)*('Match Log'!$A$4:$A$810&lt;=$J443)),'Match Log'!$N$4:$N$810),NA()))</f>
        <v>#N/A</v>
      </c>
      <c r="Q443" t="e">
        <f>IF($J443&gt;MAX('Match Log'!$A$4:$A$810),NA(),IFERROR(LOOKUP(2,1/(('Match Log'!$D$4:$D$810=$Q$24)*('Match Log'!$A$4:$A$810&lt;=$J443)),'Match Log'!$N$4:$N$810),NA()))</f>
        <v>#N/A</v>
      </c>
      <c r="R443" t="e">
        <f>IF($J443&gt;MAX('Match Log'!$A$4:$A$810),NA(),IFERROR(LOOKUP(2,1/(('Match Log'!$D$4:$D$810=$R$24)*('Match Log'!$A$4:$A$810&lt;=$J443)),'Match Log'!$N$4:$N$810),NA()))</f>
        <v>#N/A</v>
      </c>
      <c r="S443" t="e">
        <f>IF($J443&gt;MAX('Match Log'!$A$4:$A$810),NA(),IFERROR(LOOKUP(2,1/(('Match Log'!$D$4:$D$810=$S$24)*('Match Log'!$A$4:$A$810&lt;=$J443)),'Match Log'!$N$4:$N$810),NA()))</f>
        <v>#N/A</v>
      </c>
      <c r="T443" t="e">
        <f>IF($J443&gt;MAX('Match Log'!$A$4:$A$810),NA(),IFERROR(LOOKUP(2,1/(('Match Log'!$D$4:$D$810=$T$24)*('Match Log'!$A$4:$A$810&lt;=$J443)),'Match Log'!$N$4:$N$810),NA()))</f>
        <v>#N/A</v>
      </c>
      <c r="U443" t="e">
        <f>IF($J443&gt;MAX('Match Log'!$A$4:$A$810),NA(),IFERROR(LOOKUP(2,1/(('Match Log'!$D$4:$D$810=$U$24)*('Match Log'!$A$4:$A$810&lt;=$J443)),'Match Log'!$N$4:$N$810),NA()))</f>
        <v>#N/A</v>
      </c>
      <c r="V443" t="e">
        <f>IF($J443&gt;MAX('Match Log'!$A$4:$A$810),NA(),IFERROR(LOOKUP(2,1/(('Match Log'!$D$4:$D$810=$V$24)*('Match Log'!$A$4:$A$810&lt;=$J443)),'Match Log'!$N$4:$N$810),NA()))</f>
        <v>#N/A</v>
      </c>
      <c r="W443" t="e">
        <f>IF($J443&gt;MAX('Match Log'!$A$4:$A$810),NA(),IFERROR(LOOKUP(2,1/(('Match Log'!$D$4:$D$810=$W$24)*('Match Log'!$A$4:$A$810&lt;=$J443)),'Match Log'!$N$4:$N$810),NA()))</f>
        <v>#N/A</v>
      </c>
      <c r="X443" t="e">
        <f>IF($J443&gt;MAX('Match Log'!$A$4:$A$810),NA(),IFERROR(LOOKUP(2,1/(('Match Log'!$D$4:$D$810=$X$24)*('Match Log'!$A$4:$A$810&lt;=$J443)),'Match Log'!$N$4:$N$810),NA()))</f>
        <v>#N/A</v>
      </c>
      <c r="Y443" t="str">
        <f t="shared" ca="1" si="42"/>
        <v/>
      </c>
    </row>
    <row r="444" spans="1:25" x14ac:dyDescent="0.2">
      <c r="A444">
        <v>420</v>
      </c>
      <c r="B444" t="str">
        <f>IFERROR(INDEX('Match Log'!$B$4:$B$810,MATCH(420,'Match Log'!$A$4:$A$810,0)),"")</f>
        <v/>
      </c>
      <c r="C444" t="str">
        <f>IFERROR(INDEX('Match Log'!$C$4:$C$810,MATCH(420,'Match Log'!$A$4:$A$810,0)),"")</f>
        <v/>
      </c>
      <c r="D444" t="str">
        <f t="array" ref="D444">IFERROR(_xlfn.TEXTJOIN(" + ",TRUE,IF(('Match Log'!$A$4:$A$810=$A444)*('Match Log'!$E$4:$E$810="Win"),'Match Log'!$D$4:$D$810,"")),IFERROR(LOOKUP(2,1/(('Match Log'!$A$4:$A$810=$A444)*('Match Log'!$E$4:$E$810="Win")),'Match Log'!$D$4:$D$810),""))</f>
        <v/>
      </c>
      <c r="E444" t="str">
        <f>IFERROR(INDEX('Match Log'!$F$4:$F$810,MATCH(420,'Match Log'!$A$4:$A$810,0)),"")</f>
        <v/>
      </c>
      <c r="F444">
        <f>IFERROR(SUMIFS('Match Log'!$I$4:$I$810,'Match Log'!$A$4:$A$810,420,'Match Log'!$E$4:$E$810,"Win"),"")</f>
        <v>0</v>
      </c>
      <c r="G444" t="str">
        <f t="shared" si="40"/>
        <v/>
      </c>
      <c r="H444" t="str">
        <f t="array" ref="H444">IFERROR(IF(COUNTIFS('Match Log'!$A$4:$A$810,$A444,'Match Log'!$E$4:$E$810,"Win")&gt;1,_xlfn.TEXTJOIN(" + ",TRUE,IF(('Match Log'!$A$4:$A$810=$A444)*('Match Log'!$E$4:$E$810="Loss"),'Match Log'!$D$4:$D$810,"")),IF($E444=2,LOOKUP(2,1/(('Match Log'!$A$4:$A$810=$A444)*('Match Log'!$E$4:$E$810="Loss")),'Match Log'!$D$4:$D$810),"the field")),"")</f>
        <v>the field</v>
      </c>
      <c r="I444" t="str">
        <f t="shared" si="41"/>
        <v/>
      </c>
      <c r="J444">
        <v>420</v>
      </c>
      <c r="K444" t="e">
        <f>IF($J444&gt;MAX('Match Log'!$A$4:$A$810),NA(),IFERROR(LOOKUP(2,1/(('Match Log'!$D$4:$D$810=$K$24)*('Match Log'!$A$4:$A$810&lt;=$J444)),'Match Log'!$N$4:$N$810),NA()))</f>
        <v>#N/A</v>
      </c>
      <c r="L444" t="e">
        <f>IF($J444&gt;MAX('Match Log'!$A$4:$A$810),NA(),IFERROR(LOOKUP(2,1/(('Match Log'!$D$4:$D$810=$L$24)*('Match Log'!$A$4:$A$810&lt;=$J444)),'Match Log'!$N$4:$N$810),NA()))</f>
        <v>#N/A</v>
      </c>
      <c r="M444" t="e">
        <f>IF($J444&gt;MAX('Match Log'!$A$4:$A$810),NA(),IFERROR(LOOKUP(2,1/(('Match Log'!$D$4:$D$810=$M$24)*('Match Log'!$A$4:$A$810&lt;=$J444)),'Match Log'!$N$4:$N$810),NA()))</f>
        <v>#N/A</v>
      </c>
      <c r="N444" t="e">
        <f>IF($J444&gt;MAX('Match Log'!$A$4:$A$810),NA(),IFERROR(LOOKUP(2,1/(('Match Log'!$D$4:$D$810=$N$24)*('Match Log'!$A$4:$A$810&lt;=$J444)),'Match Log'!$N$4:$N$810),NA()))</f>
        <v>#N/A</v>
      </c>
      <c r="O444" t="e">
        <f>IF($J444&gt;MAX('Match Log'!$A$4:$A$810),NA(),IFERROR(LOOKUP(2,1/(('Match Log'!$D$4:$D$810=$O$24)*('Match Log'!$A$4:$A$810&lt;=$J444)),'Match Log'!$N$4:$N$810),NA()))</f>
        <v>#N/A</v>
      </c>
      <c r="P444" t="e">
        <f>IF($J444&gt;MAX('Match Log'!$A$4:$A$810),NA(),IFERROR(LOOKUP(2,1/(('Match Log'!$D$4:$D$810=$P$24)*('Match Log'!$A$4:$A$810&lt;=$J444)),'Match Log'!$N$4:$N$810),NA()))</f>
        <v>#N/A</v>
      </c>
      <c r="Q444" t="e">
        <f>IF($J444&gt;MAX('Match Log'!$A$4:$A$810),NA(),IFERROR(LOOKUP(2,1/(('Match Log'!$D$4:$D$810=$Q$24)*('Match Log'!$A$4:$A$810&lt;=$J444)),'Match Log'!$N$4:$N$810),NA()))</f>
        <v>#N/A</v>
      </c>
      <c r="R444" t="e">
        <f>IF($J444&gt;MAX('Match Log'!$A$4:$A$810),NA(),IFERROR(LOOKUP(2,1/(('Match Log'!$D$4:$D$810=$R$24)*('Match Log'!$A$4:$A$810&lt;=$J444)),'Match Log'!$N$4:$N$810),NA()))</f>
        <v>#N/A</v>
      </c>
      <c r="S444" t="e">
        <f>IF($J444&gt;MAX('Match Log'!$A$4:$A$810),NA(),IFERROR(LOOKUP(2,1/(('Match Log'!$D$4:$D$810=$S$24)*('Match Log'!$A$4:$A$810&lt;=$J444)),'Match Log'!$N$4:$N$810),NA()))</f>
        <v>#N/A</v>
      </c>
      <c r="T444" t="e">
        <f>IF($J444&gt;MAX('Match Log'!$A$4:$A$810),NA(),IFERROR(LOOKUP(2,1/(('Match Log'!$D$4:$D$810=$T$24)*('Match Log'!$A$4:$A$810&lt;=$J444)),'Match Log'!$N$4:$N$810),NA()))</f>
        <v>#N/A</v>
      </c>
      <c r="U444" t="e">
        <f>IF($J444&gt;MAX('Match Log'!$A$4:$A$810),NA(),IFERROR(LOOKUP(2,1/(('Match Log'!$D$4:$D$810=$U$24)*('Match Log'!$A$4:$A$810&lt;=$J444)),'Match Log'!$N$4:$N$810),NA()))</f>
        <v>#N/A</v>
      </c>
      <c r="V444" t="e">
        <f>IF($J444&gt;MAX('Match Log'!$A$4:$A$810),NA(),IFERROR(LOOKUP(2,1/(('Match Log'!$D$4:$D$810=$V$24)*('Match Log'!$A$4:$A$810&lt;=$J444)),'Match Log'!$N$4:$N$810),NA()))</f>
        <v>#N/A</v>
      </c>
      <c r="W444" t="e">
        <f>IF($J444&gt;MAX('Match Log'!$A$4:$A$810),NA(),IFERROR(LOOKUP(2,1/(('Match Log'!$D$4:$D$810=$W$24)*('Match Log'!$A$4:$A$810&lt;=$J444)),'Match Log'!$N$4:$N$810),NA()))</f>
        <v>#N/A</v>
      </c>
      <c r="X444" t="e">
        <f>IF($J444&gt;MAX('Match Log'!$A$4:$A$810),NA(),IFERROR(LOOKUP(2,1/(('Match Log'!$D$4:$D$810=$X$24)*('Match Log'!$A$4:$A$810&lt;=$J444)),'Match Log'!$N$4:$N$810),NA()))</f>
        <v>#N/A</v>
      </c>
      <c r="Y444" t="str">
        <f t="shared" ca="1" si="42"/>
        <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C60D45-E821-204B-8560-6718064D1EC2}">
  <dimension ref="A1:Q15"/>
  <sheetViews>
    <sheetView zoomScaleNormal="100" workbookViewId="0"/>
  </sheetViews>
  <sheetFormatPr baseColWidth="10" defaultColWidth="8.6640625" defaultRowHeight="15" x14ac:dyDescent="0.2"/>
  <sheetData>
    <row r="1" spans="1:17" ht="15" customHeight="1" x14ac:dyDescent="0.2">
      <c r="A1" t="s">
        <v>156</v>
      </c>
      <c r="B1" t="s">
        <v>230</v>
      </c>
      <c r="C1" t="s">
        <v>160</v>
      </c>
    </row>
    <row r="2" spans="1:17" ht="15" customHeight="1" x14ac:dyDescent="0.2">
      <c r="A2" t="s">
        <v>138</v>
      </c>
      <c r="B2">
        <f>IF(COUNTIF('Match Log'!$D$4:$D$810,$A2)=0,'Guide &amp; Settings'!$C$41,IFERROR(LOOKUP(2,1/('Match Log'!$D$4:$D$810=$A2),'Match Log'!$N$4:$N$810),'Guide &amp; Settings'!$C$41))</f>
        <v>1109.2177733663168</v>
      </c>
      <c r="C2">
        <f>IFERROR(SUMPRODUCT(INDEX('Head-to-Head'!$B$22:$O$35,1,0),$D$2:$Q$2)/SUM(INDEX('Head-to-Head'!$B$22:$O$35,1,0)),"")</f>
        <v>1033.2935723401292</v>
      </c>
      <c r="D2">
        <f>$B$2</f>
        <v>1109.2177733663168</v>
      </c>
      <c r="E2">
        <f>$B$3</f>
        <v>1029.2201908859522</v>
      </c>
      <c r="F2">
        <f>$B$4</f>
        <v>1016.7837867075796</v>
      </c>
      <c r="G2">
        <f>$B$5</f>
        <v>981.92436608474441</v>
      </c>
      <c r="H2">
        <f>$B$6</f>
        <v>1129.7012289075892</v>
      </c>
      <c r="I2">
        <f>$B$7</f>
        <v>1019.8775545971507</v>
      </c>
      <c r="J2">
        <f>$B$8</f>
        <v>1084.8903813508514</v>
      </c>
      <c r="K2">
        <f>$B$9</f>
        <v>1050.8634549674414</v>
      </c>
      <c r="L2">
        <f>$B$10</f>
        <v>1168.2113436007442</v>
      </c>
      <c r="M2">
        <f>$B$11</f>
        <v>893.03675187725173</v>
      </c>
      <c r="N2">
        <f>$B$12</f>
        <v>1058.6657209484931</v>
      </c>
      <c r="O2">
        <f>$B$13</f>
        <v>1031.225848367051</v>
      </c>
      <c r="P2">
        <f>$B$14</f>
        <v>1030.3815983388336</v>
      </c>
      <c r="Q2">
        <f>$B$15</f>
        <v>1000</v>
      </c>
    </row>
    <row r="3" spans="1:17" ht="15" customHeight="1" x14ac:dyDescent="0.2">
      <c r="A3" t="s">
        <v>135</v>
      </c>
      <c r="B3">
        <f>IF(COUNTIF('Match Log'!$D$4:$D$810,$A3)=0,'Guide &amp; Settings'!$C$41,IFERROR(LOOKUP(2,1/('Match Log'!$D$4:$D$810=$A3),'Match Log'!$N$4:$N$810),'Guide &amp; Settings'!$C$41))</f>
        <v>1029.2201908859522</v>
      </c>
      <c r="C3">
        <f>IFERROR(SUMPRODUCT(INDEX('Head-to-Head'!$B$22:$O$35,2,0),$D$2:$Q$2)/SUM(INDEX('Head-to-Head'!$B$22:$O$35,2,0)),"")</f>
        <v>1062.1289503841442</v>
      </c>
    </row>
    <row r="4" spans="1:17" ht="15" customHeight="1" x14ac:dyDescent="0.2">
      <c r="A4" t="s">
        <v>173</v>
      </c>
      <c r="B4">
        <f>IF(COUNTIF('Match Log'!$D$4:$D$810,$A4)=0,'Guide &amp; Settings'!$C$41,IFERROR(LOOKUP(2,1/('Match Log'!$D$4:$D$810=$A4),'Match Log'!$N$4:$N$810),'Guide &amp; Settings'!$C$41))</f>
        <v>1016.7837867075796</v>
      </c>
      <c r="C4">
        <f>IFERROR(SUMPRODUCT(INDEX('Head-to-Head'!$B$22:$O$35,3,0),$D$2:$Q$2)/SUM(INDEX('Head-to-Head'!$B$22:$O$35,3,0)),"")</f>
        <v>1057.7349845614535</v>
      </c>
    </row>
    <row r="5" spans="1:17" ht="15" customHeight="1" x14ac:dyDescent="0.2">
      <c r="A5" t="s">
        <v>140</v>
      </c>
      <c r="B5">
        <f>IF(COUNTIF('Match Log'!$D$4:$D$810,$A5)=0,'Guide &amp; Settings'!$C$41,IFERROR(LOOKUP(2,1/('Match Log'!$D$4:$D$810=$A5),'Match Log'!$N$4:$N$810),'Guide &amp; Settings'!$C$41))</f>
        <v>981.92436608474441</v>
      </c>
      <c r="C5">
        <f>IFERROR(SUMPRODUCT(INDEX('Head-to-Head'!$B$22:$O$35,4,0),$D$2:$Q$2)/SUM(INDEX('Head-to-Head'!$B$22:$O$35,4,0)),"")</f>
        <v>1073.8500791258082</v>
      </c>
    </row>
    <row r="6" spans="1:17" ht="15" customHeight="1" x14ac:dyDescent="0.2">
      <c r="A6" t="s">
        <v>137</v>
      </c>
      <c r="B6">
        <f>IF(COUNTIF('Match Log'!$D$4:$D$810,$A6)=0,'Guide &amp; Settings'!$C$41,IFERROR(LOOKUP(2,1/('Match Log'!$D$4:$D$810=$A6),'Match Log'!$N$4:$N$810),'Guide &amp; Settings'!$C$41))</f>
        <v>1129.7012289075892</v>
      </c>
      <c r="C6">
        <f>IFERROR(SUMPRODUCT(INDEX('Head-to-Head'!$B$22:$O$35,5,0),$D$2:$Q$2)/SUM(INDEX('Head-to-Head'!$B$22:$O$35,5,0)),"")</f>
        <v>1040.5738512021542</v>
      </c>
    </row>
    <row r="7" spans="1:17" ht="15" customHeight="1" x14ac:dyDescent="0.2">
      <c r="A7" t="s">
        <v>134</v>
      </c>
      <c r="B7">
        <f>IF(COUNTIF('Match Log'!$D$4:$D$810,$A7)=0,'Guide &amp; Settings'!$C$41,IFERROR(LOOKUP(2,1/('Match Log'!$D$4:$D$810=$A7),'Match Log'!$N$4:$N$810),'Guide &amp; Settings'!$C$41))</f>
        <v>1019.8775545971507</v>
      </c>
      <c r="C7">
        <f>IFERROR(SUMPRODUCT(INDEX('Head-to-Head'!$B$22:$O$35,6,0),$D$2:$Q$2)/SUM(INDEX('Head-to-Head'!$B$22:$O$35,6,0)),"")</f>
        <v>1080.4297580146781</v>
      </c>
    </row>
    <row r="8" spans="1:17" ht="15" customHeight="1" x14ac:dyDescent="0.2">
      <c r="A8" t="s">
        <v>168</v>
      </c>
      <c r="B8">
        <f>IF(COUNTIF('Match Log'!$D$4:$D$810,$A8)=0,'Guide &amp; Settings'!$C$41,IFERROR(LOOKUP(2,1/('Match Log'!$D$4:$D$810=$A8),'Match Log'!$N$4:$N$810),'Guide &amp; Settings'!$C$41))</f>
        <v>1084.8903813508514</v>
      </c>
      <c r="C8">
        <f>IFERROR(SUMPRODUCT(INDEX('Head-to-Head'!$B$22:$O$35,7,0),$D$2:$Q$2)/SUM(INDEX('Head-to-Head'!$B$22:$O$35,7,0)),"")</f>
        <v>1053.5649621300804</v>
      </c>
    </row>
    <row r="9" spans="1:17" ht="15" customHeight="1" x14ac:dyDescent="0.2">
      <c r="A9" t="s">
        <v>170</v>
      </c>
      <c r="B9">
        <f>IF(COUNTIF('Match Log'!$D$4:$D$810,$A9)=0,'Guide &amp; Settings'!$C$41,IFERROR(LOOKUP(2,1/('Match Log'!$D$4:$D$810=$A9),'Match Log'!$N$4:$N$810),'Guide &amp; Settings'!$C$41))</f>
        <v>1050.8634549674414</v>
      </c>
      <c r="C9">
        <f>IFERROR(SUMPRODUCT(INDEX('Head-to-Head'!$B$22:$O$35,8,0),$D$2:$Q$2)/SUM(INDEX('Head-to-Head'!$B$22:$O$35,8,0)),"")</f>
        <v>1066.3306886481778</v>
      </c>
    </row>
    <row r="10" spans="1:17" ht="15" customHeight="1" x14ac:dyDescent="0.2">
      <c r="A10" t="s">
        <v>167</v>
      </c>
      <c r="B10">
        <f>IF(COUNTIF('Match Log'!$D$4:$D$810,$A10)=0,'Guide &amp; Settings'!$C$41,IFERROR(LOOKUP(2,1/('Match Log'!$D$4:$D$810=$A10),'Match Log'!$N$4:$N$810),'Guide &amp; Settings'!$C$41))</f>
        <v>1168.2113436007442</v>
      </c>
      <c r="C10">
        <f>IFERROR(SUMPRODUCT(INDEX('Head-to-Head'!$B$22:$O$35,9,0),$D$2:$Q$2)/SUM(INDEX('Head-to-Head'!$B$22:$O$35,9,0)),"")</f>
        <v>1052.5331905138544</v>
      </c>
    </row>
    <row r="11" spans="1:17" ht="15" customHeight="1" x14ac:dyDescent="0.2">
      <c r="A11" t="s">
        <v>175</v>
      </c>
      <c r="B11">
        <f>IF(COUNTIF('Match Log'!$D$4:$D$810,$A11)=0,'Guide &amp; Settings'!$C$41,IFERROR(LOOKUP(2,1/('Match Log'!$D$4:$D$810=$A11),'Match Log'!$N$4:$N$810),'Guide &amp; Settings'!$C$41))</f>
        <v>893.03675187725173</v>
      </c>
      <c r="C11">
        <f>IFERROR(SUMPRODUCT(INDEX('Head-to-Head'!$B$22:$O$35,10,0),$D$2:$Q$2)/SUM(INDEX('Head-to-Head'!$B$22:$O$35,10,0)),"")</f>
        <v>1081.2285285367104</v>
      </c>
    </row>
    <row r="12" spans="1:17" ht="15" customHeight="1" x14ac:dyDescent="0.2">
      <c r="A12" t="s">
        <v>169</v>
      </c>
      <c r="B12">
        <f>IF(COUNTIF('Match Log'!$D$4:$D$810,$A12)=0,'Guide &amp; Settings'!$C$41,IFERROR(LOOKUP(2,1/('Match Log'!$D$4:$D$810=$A12),'Match Log'!$N$4:$N$810),'Guide &amp; Settings'!$C$41))</f>
        <v>1058.6657209484931</v>
      </c>
      <c r="C12">
        <f>IFERROR(SUMPRODUCT(INDEX('Head-to-Head'!$B$22:$O$35,11,0),$D$2:$Q$2)/SUM(INDEX('Head-to-Head'!$B$22:$O$35,11,0)),"")</f>
        <v>1059.6799201033348</v>
      </c>
    </row>
    <row r="13" spans="1:17" ht="15" customHeight="1" x14ac:dyDescent="0.2">
      <c r="A13" t="s">
        <v>171</v>
      </c>
      <c r="B13">
        <f>IF(COUNTIF('Match Log'!$D$4:$D$810,$A13)=0,'Guide &amp; Settings'!$C$41,IFERROR(LOOKUP(2,1/('Match Log'!$D$4:$D$810=$A13),'Match Log'!$N$4:$N$810),'Guide &amp; Settings'!$C$41))</f>
        <v>1031.225848367051</v>
      </c>
      <c r="C13">
        <f>IFERROR(SUMPRODUCT(INDEX('Head-to-Head'!$B$22:$O$35,12,0),$D$2:$Q$2)/SUM(INDEX('Head-to-Head'!$B$22:$O$35,12,0)),"")</f>
        <v>1051.9562851744297</v>
      </c>
    </row>
    <row r="14" spans="1:17" ht="15" customHeight="1" x14ac:dyDescent="0.2">
      <c r="A14" t="s">
        <v>172</v>
      </c>
      <c r="B14">
        <f>IF(COUNTIF('Match Log'!$D$4:$D$810,$A14)=0,'Guide &amp; Settings'!$C$41,IFERROR(LOOKUP(2,1/('Match Log'!$D$4:$D$810=$A14),'Match Log'!$N$4:$N$810),'Guide &amp; Settings'!$C$41))</f>
        <v>1030.3815983388336</v>
      </c>
      <c r="C14">
        <f>IFERROR(SUMPRODUCT(INDEX('Head-to-Head'!$B$22:$O$35,13,0),$D$2:$Q$2)/SUM(INDEX('Head-to-Head'!$B$22:$O$35,13,0)),"")</f>
        <v>1064.3872125179519</v>
      </c>
    </row>
    <row r="15" spans="1:17" ht="15" customHeight="1" x14ac:dyDescent="0.2">
      <c r="A15" t="s">
        <v>174</v>
      </c>
      <c r="B15">
        <f>IF(COUNTIF('Match Log'!$D$4:$D$810,$A15)=0,'Guide &amp; Settings'!$C$41,IFERROR(LOOKUP(2,1/('Match Log'!$D$4:$D$810=$A15),'Match Log'!$N$4:$N$810),'Guide &amp; Settings'!$C$41))</f>
        <v>1000</v>
      </c>
      <c r="C15" t="str">
        <f>IFERROR(SUMPRODUCT(INDEX('Head-to-Head'!$B$22:$O$35,14,0),$D$2:$Q$2)/SUM(INDEX('Head-to-Head'!$B$22:$O$35,14,0)),"")</f>
        <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8FDBD-72C2-3249-BFE4-9D13BAAD25F0}">
  <dimension ref="A1:E21"/>
  <sheetViews>
    <sheetView zoomScaleNormal="100" workbookViewId="0"/>
  </sheetViews>
  <sheetFormatPr baseColWidth="10" defaultColWidth="8.6640625" defaultRowHeight="15" x14ac:dyDescent="0.2"/>
  <sheetData>
    <row r="1" spans="1:5" ht="15" customHeight="1" x14ac:dyDescent="0.2">
      <c r="A1" t="s">
        <v>354</v>
      </c>
      <c r="C1" t="s">
        <v>159</v>
      </c>
      <c r="E1" t="s">
        <v>287</v>
      </c>
    </row>
    <row r="2" spans="1:5" ht="15" customHeight="1" x14ac:dyDescent="0.2">
      <c r="A2" t="s">
        <v>138</v>
      </c>
      <c r="C2" t="s">
        <v>181</v>
      </c>
      <c r="E2" t="s">
        <v>308</v>
      </c>
    </row>
    <row r="3" spans="1:5" ht="15" customHeight="1" x14ac:dyDescent="0.2">
      <c r="A3" t="s">
        <v>135</v>
      </c>
      <c r="C3" t="s">
        <v>182</v>
      </c>
      <c r="E3" t="s">
        <v>309</v>
      </c>
    </row>
    <row r="4" spans="1:5" ht="15" customHeight="1" x14ac:dyDescent="0.2">
      <c r="A4" t="s">
        <v>173</v>
      </c>
      <c r="C4" t="s">
        <v>183</v>
      </c>
    </row>
    <row r="5" spans="1:5" ht="15" customHeight="1" x14ac:dyDescent="0.2">
      <c r="A5" t="s">
        <v>140</v>
      </c>
      <c r="C5" t="s">
        <v>184</v>
      </c>
    </row>
    <row r="6" spans="1:5" ht="15" customHeight="1" x14ac:dyDescent="0.2">
      <c r="A6" t="s">
        <v>137</v>
      </c>
      <c r="C6" t="s">
        <v>185</v>
      </c>
    </row>
    <row r="7" spans="1:5" ht="15" customHeight="1" x14ac:dyDescent="0.2">
      <c r="A7" t="s">
        <v>134</v>
      </c>
      <c r="C7" t="s">
        <v>186</v>
      </c>
    </row>
    <row r="8" spans="1:5" ht="15" customHeight="1" x14ac:dyDescent="0.2">
      <c r="A8" t="s">
        <v>168</v>
      </c>
      <c r="C8" t="s">
        <v>188</v>
      </c>
    </row>
    <row r="9" spans="1:5" ht="15" customHeight="1" x14ac:dyDescent="0.2">
      <c r="A9" t="s">
        <v>170</v>
      </c>
      <c r="C9" t="s">
        <v>190</v>
      </c>
    </row>
    <row r="10" spans="1:5" ht="15" customHeight="1" x14ac:dyDescent="0.2">
      <c r="A10" t="s">
        <v>167</v>
      </c>
      <c r="C10" t="s">
        <v>192</v>
      </c>
    </row>
    <row r="11" spans="1:5" ht="15" customHeight="1" x14ac:dyDescent="0.2">
      <c r="A11" t="s">
        <v>175</v>
      </c>
      <c r="C11" t="s">
        <v>193</v>
      </c>
    </row>
    <row r="12" spans="1:5" ht="15" customHeight="1" x14ac:dyDescent="0.2">
      <c r="A12" t="s">
        <v>169</v>
      </c>
      <c r="C12" t="s">
        <v>194</v>
      </c>
    </row>
    <row r="13" spans="1:5" ht="15" customHeight="1" x14ac:dyDescent="0.2">
      <c r="A13" t="s">
        <v>171</v>
      </c>
      <c r="C13" t="s">
        <v>195</v>
      </c>
    </row>
    <row r="14" spans="1:5" ht="15" customHeight="1" x14ac:dyDescent="0.2">
      <c r="A14" t="s">
        <v>172</v>
      </c>
      <c r="C14" t="s">
        <v>197</v>
      </c>
    </row>
    <row r="15" spans="1:5" ht="15" customHeight="1" x14ac:dyDescent="0.2">
      <c r="A15" t="s">
        <v>174</v>
      </c>
      <c r="C15" t="s">
        <v>199</v>
      </c>
    </row>
    <row r="16" spans="1:5" ht="15" customHeight="1" x14ac:dyDescent="0.2">
      <c r="C16" t="s">
        <v>201</v>
      </c>
    </row>
    <row r="17" spans="3:3" ht="15" customHeight="1" x14ac:dyDescent="0.2">
      <c r="C17" t="s">
        <v>203</v>
      </c>
    </row>
    <row r="18" spans="3:3" ht="15" customHeight="1" x14ac:dyDescent="0.2">
      <c r="C18" t="s">
        <v>204</v>
      </c>
    </row>
    <row r="19" spans="3:3" ht="15" customHeight="1" x14ac:dyDescent="0.2">
      <c r="C19" t="s">
        <v>206</v>
      </c>
    </row>
    <row r="20" spans="3:3" ht="15" customHeight="1" x14ac:dyDescent="0.2">
      <c r="C20" t="s">
        <v>208</v>
      </c>
    </row>
    <row r="21" spans="3:3" x14ac:dyDescent="0.2">
      <c r="C21" t="s">
        <v>407</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Guide &amp; Settings</vt:lpstr>
      <vt:lpstr>FWC Weekly</vt:lpstr>
      <vt:lpstr>Leaders</vt:lpstr>
      <vt:lpstr>Dashboard</vt:lpstr>
      <vt:lpstr>Player Card</vt:lpstr>
      <vt:lpstr>Head-to-Head</vt:lpstr>
      <vt:lpstr>Sport Records</vt:lpstr>
      <vt:lpstr>Records &amp; Awards</vt:lpstr>
      <vt:lpstr>Trends &amp; Stats</vt:lpstr>
      <vt:lpstr>Match Log</vt:lpstr>
      <vt:lpstr>Sport Voting</vt:lpstr>
      <vt:lpstr>Poker Stake Ledger</vt:lpstr>
      <vt:lpstr>Calcs</vt:lpstr>
      <vt:lpstr>Engine</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Shawn Peach</cp:lastModifiedBy>
  <cp:revision>12</cp:revision>
  <cp:lastPrinted>2026-06-29T13:40:16Z</cp:lastPrinted>
  <dcterms:created xsi:type="dcterms:W3CDTF">2026-06-14T14:59:50Z</dcterms:created>
  <dcterms:modified xsi:type="dcterms:W3CDTF">2026-07-11T00:05:19Z</dcterms:modified>
  <dc:language>en-US</dc:language>
</cp:coreProperties>
</file>