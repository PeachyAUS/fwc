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4585FCB4-4598-F844-B4FB-6AC5A58BA549}" xr6:coauthVersionLast="47" xr6:coauthVersionMax="47" xr10:uidLastSave="{00000000-0000-0000-0000-000000000000}"/>
  <bookViews>
    <workbookView xWindow="0" yWindow="660" windowWidth="34560" windowHeight="20960" tabRatio="500"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71" i="10" l="1" a="1"/>
  <c r="AC671" i="10" s="1"/>
  <c r="AC672" i="10" a="1"/>
  <c r="AC672" i="10" s="1"/>
  <c r="F660" i="10"/>
  <c r="G660" i="10"/>
  <c r="O660" i="10"/>
  <c r="R660" i="10"/>
  <c r="T660" i="10"/>
  <c r="F661" i="10"/>
  <c r="L661" i="10" s="1"/>
  <c r="G661" i="10"/>
  <c r="O661" i="10"/>
  <c r="R661" i="10"/>
  <c r="T661" i="10"/>
  <c r="AC661" i="10" a="1"/>
  <c r="AC661" i="10" s="1"/>
  <c r="AC5" i="10"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D310" i="13" a="1"/>
  <c r="D310" i="13" s="1"/>
  <c r="C310" i="13"/>
  <c r="B310" i="13"/>
  <c r="X309" i="13"/>
  <c r="D309" i="13" a="1"/>
  <c r="D309" i="13" s="1"/>
  <c r="C309" i="13"/>
  <c r="B309" i="13"/>
  <c r="X308" i="13"/>
  <c r="D308" i="13" a="1"/>
  <c r="D308" i="13" s="1"/>
  <c r="C308" i="13"/>
  <c r="B308" i="13"/>
  <c r="X307" i="13"/>
  <c r="D307" i="13" a="1"/>
  <c r="D307" i="13" s="1"/>
  <c r="C307" i="13"/>
  <c r="B307" i="13"/>
  <c r="X306" i="13"/>
  <c r="D306" i="13" a="1"/>
  <c r="D306" i="13" s="1"/>
  <c r="C306" i="13"/>
  <c r="B306" i="13"/>
  <c r="X305" i="13"/>
  <c r="D305" i="13" a="1"/>
  <c r="D305" i="13" s="1"/>
  <c r="C305" i="13"/>
  <c r="B305" i="13"/>
  <c r="X304" i="13"/>
  <c r="D304" i="13" a="1"/>
  <c r="D304" i="13" s="1"/>
  <c r="C304" i="13"/>
  <c r="B304" i="13"/>
  <c r="X303" i="13"/>
  <c r="D303" i="13" a="1"/>
  <c r="D303" i="13" s="1"/>
  <c r="C303" i="13"/>
  <c r="B303" i="13"/>
  <c r="X302" i="13"/>
  <c r="D302" i="13" a="1"/>
  <c r="D302" i="13" s="1"/>
  <c r="C302" i="13"/>
  <c r="B302" i="13"/>
  <c r="X301" i="13"/>
  <c r="D301" i="13" a="1"/>
  <c r="D301" i="13" s="1"/>
  <c r="C301" i="13"/>
  <c r="B301" i="13"/>
  <c r="X300" i="13"/>
  <c r="D300" i="13" a="1"/>
  <c r="D300" i="13" s="1"/>
  <c r="C300" i="13"/>
  <c r="B300" i="13"/>
  <c r="X299" i="13"/>
  <c r="D299" i="13" a="1"/>
  <c r="D299" i="13" s="1"/>
  <c r="C299" i="13"/>
  <c r="B299" i="13"/>
  <c r="X298" i="13"/>
  <c r="D298" i="13" a="1"/>
  <c r="D298" i="13" s="1"/>
  <c r="C298" i="13"/>
  <c r="B298" i="13"/>
  <c r="X297" i="13"/>
  <c r="D297" i="13" a="1"/>
  <c r="D297" i="13" s="1"/>
  <c r="C297" i="13"/>
  <c r="B297" i="13"/>
  <c r="X296" i="13"/>
  <c r="D296" i="13" a="1"/>
  <c r="D296" i="13" s="1"/>
  <c r="C296" i="13"/>
  <c r="B296" i="13"/>
  <c r="X295" i="13"/>
  <c r="D295" i="13" a="1"/>
  <c r="D295" i="13" s="1"/>
  <c r="C295" i="13"/>
  <c r="B295" i="13"/>
  <c r="X294" i="13"/>
  <c r="D294" i="13" a="1"/>
  <c r="D294" i="13" s="1"/>
  <c r="C294" i="13"/>
  <c r="B294" i="13"/>
  <c r="X293" i="13"/>
  <c r="D293" i="13" a="1"/>
  <c r="D293" i="13" s="1"/>
  <c r="C293" i="13"/>
  <c r="B293" i="13"/>
  <c r="X292" i="13"/>
  <c r="D292" i="13" a="1"/>
  <c r="D292" i="13" s="1"/>
  <c r="C292" i="13"/>
  <c r="B292" i="13"/>
  <c r="X291" i="13"/>
  <c r="D291" i="13" a="1"/>
  <c r="D291" i="13" s="1"/>
  <c r="C291" i="13"/>
  <c r="B291" i="13"/>
  <c r="X290" i="13"/>
  <c r="D290" i="13" a="1"/>
  <c r="D290" i="13" s="1"/>
  <c r="C290" i="13"/>
  <c r="B290" i="13"/>
  <c r="X289" i="13"/>
  <c r="D289" i="13" a="1"/>
  <c r="D289" i="13" s="1"/>
  <c r="C289" i="13"/>
  <c r="B289" i="13"/>
  <c r="X288" i="13"/>
  <c r="D288" i="13" a="1"/>
  <c r="D288" i="13" s="1"/>
  <c r="C288" i="13"/>
  <c r="B288" i="13"/>
  <c r="X287" i="13"/>
  <c r="D287" i="13" a="1"/>
  <c r="D287" i="13" s="1"/>
  <c r="C287" i="13"/>
  <c r="B287" i="13"/>
  <c r="X286" i="13"/>
  <c r="D286" i="13" a="1"/>
  <c r="D286" i="13" s="1"/>
  <c r="C286" i="13"/>
  <c r="B286" i="13"/>
  <c r="X285" i="13"/>
  <c r="D285" i="13" a="1"/>
  <c r="D285" i="13" s="1"/>
  <c r="C285" i="13"/>
  <c r="B285" i="13"/>
  <c r="X284" i="13"/>
  <c r="D284" i="13" a="1"/>
  <c r="D284" i="13" s="1"/>
  <c r="C284" i="13"/>
  <c r="B284" i="13"/>
  <c r="X283" i="13"/>
  <c r="D283" i="13" a="1"/>
  <c r="D283" i="13" s="1"/>
  <c r="C283" i="13"/>
  <c r="B283" i="13"/>
  <c r="X282" i="13"/>
  <c r="D282" i="13" a="1"/>
  <c r="D282" i="13" s="1"/>
  <c r="C282" i="13"/>
  <c r="B282" i="13"/>
  <c r="X281" i="13"/>
  <c r="D281" i="13" a="1"/>
  <c r="D281" i="13" s="1"/>
  <c r="C281" i="13"/>
  <c r="B281" i="13"/>
  <c r="X280" i="13"/>
  <c r="D280" i="13" a="1"/>
  <c r="D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T680" i="10"/>
  <c r="R680" i="10"/>
  <c r="O680" i="10"/>
  <c r="G680" i="10"/>
  <c r="F680" i="10"/>
  <c r="L680" i="10" s="1"/>
  <c r="T679" i="10"/>
  <c r="R679" i="10"/>
  <c r="O679" i="10"/>
  <c r="G679" i="10"/>
  <c r="F679" i="10"/>
  <c r="E310" i="13" s="1"/>
  <c r="H310" i="13" s="1" a="1"/>
  <c r="H310" i="13" s="1"/>
  <c r="T678" i="10"/>
  <c r="R678" i="10"/>
  <c r="O678" i="10"/>
  <c r="L678" i="10"/>
  <c r="G678" i="10"/>
  <c r="F678" i="10"/>
  <c r="T677" i="10"/>
  <c r="R677" i="10"/>
  <c r="O677" i="10"/>
  <c r="L677" i="10"/>
  <c r="G677" i="10"/>
  <c r="F677" i="10"/>
  <c r="E309" i="13" s="1"/>
  <c r="H309" i="13" s="1" a="1"/>
  <c r="H309" i="13" s="1"/>
  <c r="T676" i="10"/>
  <c r="R676" i="10"/>
  <c r="O676" i="10"/>
  <c r="G676" i="10"/>
  <c r="F676" i="10"/>
  <c r="L676" i="10" s="1"/>
  <c r="T675" i="10"/>
  <c r="R675" i="10"/>
  <c r="O675" i="10"/>
  <c r="G675" i="10"/>
  <c r="F675" i="10"/>
  <c r="L675" i="10" s="1"/>
  <c r="T674" i="10"/>
  <c r="R674" i="10"/>
  <c r="O674" i="10"/>
  <c r="G674" i="10"/>
  <c r="F674" i="10"/>
  <c r="L674" i="10" s="1"/>
  <c r="T673" i="10"/>
  <c r="R673" i="10"/>
  <c r="O673" i="10"/>
  <c r="G673" i="10"/>
  <c r="F673" i="10"/>
  <c r="L673" i="10" s="1"/>
  <c r="T672" i="10"/>
  <c r="R672" i="10"/>
  <c r="O672" i="10"/>
  <c r="G672" i="10"/>
  <c r="F672" i="10"/>
  <c r="L672" i="10" s="1"/>
  <c r="T671" i="10"/>
  <c r="R671" i="10"/>
  <c r="O671" i="10"/>
  <c r="G671" i="10"/>
  <c r="F671" i="10"/>
  <c r="L671" i="10" s="1"/>
  <c r="T670" i="10"/>
  <c r="R670" i="10"/>
  <c r="O670" i="10"/>
  <c r="G670" i="10"/>
  <c r="F670" i="10"/>
  <c r="L670" i="10" s="1"/>
  <c r="T669" i="10"/>
  <c r="R669" i="10"/>
  <c r="O669" i="10"/>
  <c r="G669" i="10"/>
  <c r="F669" i="10"/>
  <c r="E306" i="13" s="1"/>
  <c r="H306" i="13" s="1" a="1"/>
  <c r="H306" i="13" s="1"/>
  <c r="T668" i="10"/>
  <c r="R668" i="10"/>
  <c r="O668" i="10"/>
  <c r="G668" i="10"/>
  <c r="F668" i="10"/>
  <c r="L668" i="10" s="1"/>
  <c r="T667" i="10"/>
  <c r="R667" i="10"/>
  <c r="O667" i="10"/>
  <c r="G667" i="10"/>
  <c r="F667" i="10"/>
  <c r="L667" i="10" s="1"/>
  <c r="T666" i="10"/>
  <c r="R666" i="10"/>
  <c r="O666" i="10"/>
  <c r="G666" i="10"/>
  <c r="F666" i="10"/>
  <c r="T665" i="10"/>
  <c r="R665" i="10"/>
  <c r="O665" i="10"/>
  <c r="G665" i="10"/>
  <c r="F665" i="10"/>
  <c r="L665" i="10" s="1"/>
  <c r="T664" i="10"/>
  <c r="R664" i="10"/>
  <c r="O664" i="10"/>
  <c r="G664" i="10"/>
  <c r="F664" i="10"/>
  <c r="L664" i="10" s="1"/>
  <c r="T663" i="10"/>
  <c r="R663" i="10"/>
  <c r="O663" i="10"/>
  <c r="G663" i="10"/>
  <c r="F663" i="10"/>
  <c r="E304" i="13" s="1"/>
  <c r="H304" i="13" s="1" a="1"/>
  <c r="H304" i="13" s="1"/>
  <c r="T662" i="10"/>
  <c r="R662" i="10"/>
  <c r="O662" i="10"/>
  <c r="G662" i="10"/>
  <c r="F662" i="10"/>
  <c r="L662" i="10" s="1"/>
  <c r="E303" i="13"/>
  <c r="H303" i="13" s="1" a="1"/>
  <c r="H303" i="13" s="1"/>
  <c r="U659" i="10"/>
  <c r="T659" i="10"/>
  <c r="R659" i="10"/>
  <c r="O659" i="10"/>
  <c r="G659" i="10"/>
  <c r="F659" i="10"/>
  <c r="L659" i="10" s="1"/>
  <c r="U658" i="10"/>
  <c r="T658" i="10"/>
  <c r="R658" i="10"/>
  <c r="O658" i="10"/>
  <c r="G658" i="10"/>
  <c r="F658" i="10"/>
  <c r="L658" i="10" s="1"/>
  <c r="U657" i="10"/>
  <c r="Y659" i="10" s="1"/>
  <c r="T657" i="10"/>
  <c r="R657" i="10"/>
  <c r="O657" i="10"/>
  <c r="G657" i="10"/>
  <c r="F657" i="10"/>
  <c r="E302" i="13" s="1"/>
  <c r="H302" i="13" s="1" a="1"/>
  <c r="H302" i="13" s="1"/>
  <c r="T656" i="10"/>
  <c r="R656" i="10"/>
  <c r="O656" i="10"/>
  <c r="G656" i="10"/>
  <c r="F656" i="10"/>
  <c r="L656" i="10" s="1"/>
  <c r="T655" i="10"/>
  <c r="R655" i="10"/>
  <c r="O655" i="10"/>
  <c r="G655" i="10"/>
  <c r="F655" i="10"/>
  <c r="E301" i="13" s="1"/>
  <c r="H301" i="13" s="1" a="1"/>
  <c r="H301" i="13" s="1"/>
  <c r="T654" i="10"/>
  <c r="R654" i="10"/>
  <c r="O654" i="10"/>
  <c r="G654" i="10"/>
  <c r="F654" i="10"/>
  <c r="L654" i="10" s="1"/>
  <c r="T653" i="10"/>
  <c r="R653" i="10"/>
  <c r="O653" i="10"/>
  <c r="G653" i="10"/>
  <c r="F653" i="10"/>
  <c r="L653" i="10" s="1"/>
  <c r="T652" i="10"/>
  <c r="R652" i="10"/>
  <c r="O652" i="10"/>
  <c r="G652" i="10"/>
  <c r="F652" i="10"/>
  <c r="E300" i="13" s="1"/>
  <c r="H300" i="13" s="1" a="1"/>
  <c r="H300" i="13" s="1"/>
  <c r="T651" i="10"/>
  <c r="R651" i="10"/>
  <c r="O651" i="10"/>
  <c r="G651" i="10"/>
  <c r="F651" i="10"/>
  <c r="L651" i="10" s="1"/>
  <c r="U650" i="10"/>
  <c r="T650" i="10"/>
  <c r="R650" i="10"/>
  <c r="O650" i="10"/>
  <c r="G650" i="10"/>
  <c r="F650" i="10"/>
  <c r="L650" i="10" s="1"/>
  <c r="U649" i="10"/>
  <c r="T649" i="10"/>
  <c r="R649" i="10"/>
  <c r="O649" i="10"/>
  <c r="G649" i="10"/>
  <c r="F649" i="10"/>
  <c r="L649" i="10" s="1"/>
  <c r="U648" i="10"/>
  <c r="T648" i="10"/>
  <c r="R648" i="10"/>
  <c r="O648" i="10"/>
  <c r="G648" i="10"/>
  <c r="F648" i="10"/>
  <c r="L648" i="10" s="1"/>
  <c r="T647" i="10"/>
  <c r="R647" i="10"/>
  <c r="O647" i="10"/>
  <c r="G647" i="10"/>
  <c r="F647" i="10"/>
  <c r="T646" i="10"/>
  <c r="R646" i="10"/>
  <c r="O646" i="10"/>
  <c r="G646" i="10"/>
  <c r="F646" i="10"/>
  <c r="L646" i="10" s="1"/>
  <c r="T645" i="10"/>
  <c r="R645" i="10"/>
  <c r="O645" i="10"/>
  <c r="G645" i="10"/>
  <c r="F645" i="10"/>
  <c r="E297" i="13" s="1"/>
  <c r="H297" i="13" s="1" a="1"/>
  <c r="H297" i="13" s="1"/>
  <c r="T644" i="10"/>
  <c r="R644" i="10"/>
  <c r="O644" i="10"/>
  <c r="G644" i="10"/>
  <c r="F644" i="10"/>
  <c r="L644" i="10" s="1"/>
  <c r="T643" i="10"/>
  <c r="R643" i="10"/>
  <c r="O643" i="10"/>
  <c r="G643" i="10"/>
  <c r="F643" i="10"/>
  <c r="E296" i="13" s="1"/>
  <c r="H296" i="13" s="1" a="1"/>
  <c r="H296" i="13" s="1"/>
  <c r="T642" i="10"/>
  <c r="R642" i="10"/>
  <c r="O642" i="10"/>
  <c r="G642" i="10"/>
  <c r="F642" i="10"/>
  <c r="L642" i="10" s="1"/>
  <c r="T641" i="10"/>
  <c r="R641" i="10"/>
  <c r="O641" i="10"/>
  <c r="G641" i="10"/>
  <c r="F641" i="10"/>
  <c r="E295" i="13" s="1"/>
  <c r="H295" i="13" s="1" a="1"/>
  <c r="H295" i="13" s="1"/>
  <c r="T640" i="10"/>
  <c r="R640" i="10"/>
  <c r="O640" i="10"/>
  <c r="G640" i="10"/>
  <c r="F640" i="10"/>
  <c r="L640" i="10" s="1"/>
  <c r="T639" i="10"/>
  <c r="R639" i="10"/>
  <c r="O639" i="10"/>
  <c r="G639" i="10"/>
  <c r="F639" i="10"/>
  <c r="E294" i="13" s="1"/>
  <c r="H294" i="13" s="1" a="1"/>
  <c r="H294" i="13" s="1"/>
  <c r="T638" i="10"/>
  <c r="R638" i="10"/>
  <c r="O638" i="10"/>
  <c r="G638" i="10"/>
  <c r="F638" i="10"/>
  <c r="L638" i="10" s="1"/>
  <c r="T637" i="10"/>
  <c r="R637" i="10"/>
  <c r="O637" i="10"/>
  <c r="G637" i="10"/>
  <c r="F637" i="10"/>
  <c r="E293" i="13" s="1"/>
  <c r="H293" i="13" s="1" a="1"/>
  <c r="H293" i="13" s="1"/>
  <c r="T636" i="10"/>
  <c r="R636" i="10"/>
  <c r="O636" i="10"/>
  <c r="G636" i="10"/>
  <c r="F636" i="10"/>
  <c r="L636" i="10" s="1"/>
  <c r="T635" i="10"/>
  <c r="R635" i="10"/>
  <c r="O635" i="10"/>
  <c r="G635" i="10"/>
  <c r="F635" i="10"/>
  <c r="E292" i="13" s="1"/>
  <c r="H292" i="13" s="1" a="1"/>
  <c r="H292" i="13" s="1"/>
  <c r="T634" i="10"/>
  <c r="R634" i="10"/>
  <c r="O634" i="10"/>
  <c r="G634" i="10"/>
  <c r="F634" i="10"/>
  <c r="L634" i="10" s="1"/>
  <c r="T633" i="10"/>
  <c r="R633" i="10"/>
  <c r="O633" i="10"/>
  <c r="G633" i="10"/>
  <c r="F633" i="10"/>
  <c r="E291" i="13" s="1"/>
  <c r="H291" i="13" s="1" a="1"/>
  <c r="H291" i="13" s="1"/>
  <c r="T632" i="10"/>
  <c r="R632" i="10"/>
  <c r="O632" i="10"/>
  <c r="G632" i="10"/>
  <c r="F632" i="10"/>
  <c r="L632" i="10" s="1"/>
  <c r="T631" i="10"/>
  <c r="R631" i="10"/>
  <c r="O631" i="10"/>
  <c r="G631" i="10"/>
  <c r="F631" i="10"/>
  <c r="E290" i="13" s="1"/>
  <c r="H290" i="13" s="1" a="1"/>
  <c r="H290" i="13" s="1"/>
  <c r="T630" i="10"/>
  <c r="R630" i="10"/>
  <c r="O630" i="10"/>
  <c r="G630" i="10"/>
  <c r="F630" i="10"/>
  <c r="L630" i="10" s="1"/>
  <c r="T629" i="10"/>
  <c r="R629" i="10"/>
  <c r="O629" i="10"/>
  <c r="G629" i="10"/>
  <c r="F629" i="10"/>
  <c r="E289" i="13" s="1"/>
  <c r="H289" i="13" s="1" a="1"/>
  <c r="H289" i="13" s="1"/>
  <c r="T628" i="10"/>
  <c r="R628" i="10"/>
  <c r="O628" i="10"/>
  <c r="G628" i="10"/>
  <c r="F628" i="10"/>
  <c r="L628" i="10" s="1"/>
  <c r="T627" i="10"/>
  <c r="R627" i="10"/>
  <c r="O627" i="10"/>
  <c r="G627" i="10"/>
  <c r="F627" i="10"/>
  <c r="L627" i="10" s="1"/>
  <c r="T626" i="10"/>
  <c r="R626" i="10"/>
  <c r="O626" i="10"/>
  <c r="G626" i="10"/>
  <c r="F626" i="10"/>
  <c r="L626" i="10" s="1"/>
  <c r="T625" i="10"/>
  <c r="R625" i="10"/>
  <c r="O625" i="10"/>
  <c r="G625" i="10"/>
  <c r="F625" i="10"/>
  <c r="E287" i="13" s="1"/>
  <c r="H287" i="13" s="1" a="1"/>
  <c r="H287" i="13" s="1"/>
  <c r="U624" i="10"/>
  <c r="Y622" i="10" s="1"/>
  <c r="T624" i="10"/>
  <c r="R624" i="10"/>
  <c r="O624" i="10"/>
  <c r="G624" i="10"/>
  <c r="F624" i="10"/>
  <c r="L624" i="10" s="1"/>
  <c r="T623" i="10"/>
  <c r="R623" i="10"/>
  <c r="O623" i="10"/>
  <c r="G623" i="10"/>
  <c r="F623" i="10"/>
  <c r="L623" i="10" s="1"/>
  <c r="U622" i="10"/>
  <c r="T622" i="10"/>
  <c r="R622" i="10"/>
  <c r="O622" i="10"/>
  <c r="G622" i="10"/>
  <c r="F622" i="10"/>
  <c r="E286" i="13" s="1"/>
  <c r="H286" i="13" s="1" a="1"/>
  <c r="H286" i="13" s="1"/>
  <c r="T621" i="10"/>
  <c r="R621" i="10"/>
  <c r="O621" i="10"/>
  <c r="G621" i="10"/>
  <c r="F621" i="10"/>
  <c r="L621" i="10" s="1"/>
  <c r="T620" i="10"/>
  <c r="R620" i="10"/>
  <c r="O620" i="10"/>
  <c r="G620" i="10"/>
  <c r="F620" i="10"/>
  <c r="L620" i="10" s="1"/>
  <c r="T619" i="10"/>
  <c r="R619" i="10"/>
  <c r="O619" i="10"/>
  <c r="G619" i="10"/>
  <c r="F619" i="10"/>
  <c r="T618" i="10"/>
  <c r="R618" i="10"/>
  <c r="O618" i="10"/>
  <c r="G618" i="10"/>
  <c r="F618" i="10"/>
  <c r="L618" i="10" s="1"/>
  <c r="T617" i="10"/>
  <c r="R617" i="10"/>
  <c r="O617" i="10"/>
  <c r="G617" i="10"/>
  <c r="F617" i="10"/>
  <c r="E285" i="13" s="1"/>
  <c r="H285" i="13" s="1" a="1"/>
  <c r="H285" i="13" s="1"/>
  <c r="T616" i="10"/>
  <c r="R616" i="10"/>
  <c r="O616" i="10"/>
  <c r="G616" i="10"/>
  <c r="F616" i="10"/>
  <c r="L616" i="10" s="1"/>
  <c r="T615" i="10"/>
  <c r="R615" i="10"/>
  <c r="O615" i="10"/>
  <c r="G615" i="10"/>
  <c r="F615" i="10"/>
  <c r="E284" i="13" s="1"/>
  <c r="H284" i="13" s="1" a="1"/>
  <c r="H284" i="13" s="1"/>
  <c r="T614" i="10"/>
  <c r="R614" i="10"/>
  <c r="O614" i="10"/>
  <c r="G614" i="10"/>
  <c r="F614" i="10"/>
  <c r="L614" i="10" s="1"/>
  <c r="U613" i="10"/>
  <c r="T613" i="10"/>
  <c r="R613" i="10"/>
  <c r="O613" i="10"/>
  <c r="G613" i="10"/>
  <c r="F613" i="10"/>
  <c r="E283" i="13" s="1"/>
  <c r="H283" i="13" s="1" a="1"/>
  <c r="H283" i="13" s="1"/>
  <c r="T612" i="10"/>
  <c r="R612" i="10"/>
  <c r="O612" i="10"/>
  <c r="G612" i="10"/>
  <c r="F612" i="10"/>
  <c r="L612" i="10" s="1"/>
  <c r="T611" i="10"/>
  <c r="R611" i="10"/>
  <c r="O611" i="10"/>
  <c r="G611" i="10"/>
  <c r="F611" i="10"/>
  <c r="L611" i="10" s="1"/>
  <c r="T610" i="10"/>
  <c r="R610" i="10"/>
  <c r="O610" i="10"/>
  <c r="G610" i="10"/>
  <c r="F610" i="10"/>
  <c r="L610" i="10" s="1"/>
  <c r="T609" i="10"/>
  <c r="R609" i="10"/>
  <c r="O609" i="10"/>
  <c r="G609" i="10"/>
  <c r="F609" i="10"/>
  <c r="L609" i="10" s="1"/>
  <c r="T608" i="10"/>
  <c r="R608" i="10"/>
  <c r="O608" i="10"/>
  <c r="G608" i="10"/>
  <c r="F608" i="10"/>
  <c r="L608" i="10" s="1"/>
  <c r="T607" i="10"/>
  <c r="R607" i="10"/>
  <c r="O607" i="10"/>
  <c r="G607" i="10"/>
  <c r="F607" i="10"/>
  <c r="E281" i="13" s="1"/>
  <c r="H281" i="13" s="1" a="1"/>
  <c r="H281" i="13" s="1"/>
  <c r="T606" i="10"/>
  <c r="R606" i="10"/>
  <c r="O606" i="10"/>
  <c r="G606" i="10"/>
  <c r="F606" i="10"/>
  <c r="L606" i="10" s="1"/>
  <c r="T605" i="10"/>
  <c r="R605" i="10"/>
  <c r="O605" i="10"/>
  <c r="G605" i="10"/>
  <c r="F605" i="10"/>
  <c r="L605" i="10" s="1"/>
  <c r="T604" i="10"/>
  <c r="R604" i="10"/>
  <c r="O604" i="10"/>
  <c r="G604" i="10"/>
  <c r="F604" i="10"/>
  <c r="E280" i="13" s="1"/>
  <c r="H280" i="13" s="1" a="1"/>
  <c r="H280" i="13" s="1"/>
  <c r="T603" i="10"/>
  <c r="R603" i="10"/>
  <c r="O603" i="10"/>
  <c r="G603" i="10"/>
  <c r="F603" i="10"/>
  <c r="L603" i="10" s="1"/>
  <c r="T602" i="10"/>
  <c r="R602" i="10"/>
  <c r="O602" i="10"/>
  <c r="G602" i="10"/>
  <c r="F602" i="10"/>
  <c r="L602" i="10" s="1"/>
  <c r="T601" i="10"/>
  <c r="R601" i="10"/>
  <c r="O601" i="10"/>
  <c r="G601" i="10"/>
  <c r="F601" i="10"/>
  <c r="L601" i="10" s="1"/>
  <c r="T600" i="10"/>
  <c r="R600" i="10"/>
  <c r="O600" i="10"/>
  <c r="G600" i="10"/>
  <c r="F600" i="10"/>
  <c r="E279" i="13" s="1"/>
  <c r="H279" i="13" s="1" a="1"/>
  <c r="H279" i="13" s="1"/>
  <c r="U599" i="10"/>
  <c r="Y599" i="10" s="1"/>
  <c r="T599" i="10"/>
  <c r="R599" i="10"/>
  <c r="O599" i="10"/>
  <c r="G599" i="10"/>
  <c r="F599" i="10"/>
  <c r="L599" i="10" s="1"/>
  <c r="T598" i="10"/>
  <c r="R598" i="10"/>
  <c r="O598" i="10"/>
  <c r="G598" i="10"/>
  <c r="F598" i="10"/>
  <c r="L598" i="10" s="1"/>
  <c r="T597" i="10"/>
  <c r="R597" i="10"/>
  <c r="O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S680" i="10" l="1"/>
  <c r="I680" i="10" s="1"/>
  <c r="K680" i="10" s="1"/>
  <c r="L679" i="10"/>
  <c r="S679" i="10"/>
  <c r="I679" i="10" s="1"/>
  <c r="K679" i="10" s="1"/>
  <c r="S678" i="10"/>
  <c r="I678" i="10" s="1"/>
  <c r="K678" i="10" s="1"/>
  <c r="S676" i="10"/>
  <c r="I676" i="10" s="1"/>
  <c r="K676" i="10" s="1"/>
  <c r="S677" i="10"/>
  <c r="I677" i="10" s="1"/>
  <c r="S675" i="10"/>
  <c r="I675" i="10" s="1"/>
  <c r="K675" i="10" s="1"/>
  <c r="E308" i="13"/>
  <c r="H308" i="13" s="1" a="1"/>
  <c r="H308" i="13" s="1"/>
  <c r="S674" i="10"/>
  <c r="I674" i="10" s="1"/>
  <c r="K674" i="10" s="1"/>
  <c r="S661" i="10"/>
  <c r="I661" i="10" s="1"/>
  <c r="K661" i="10" s="1"/>
  <c r="S660" i="10"/>
  <c r="I660" i="10" s="1"/>
  <c r="K660" i="10" s="1"/>
  <c r="L660" i="10"/>
  <c r="S673" i="10"/>
  <c r="I673" i="10" s="1"/>
  <c r="S672" i="10"/>
  <c r="I672" i="10" s="1"/>
  <c r="K672" i="10" s="1"/>
  <c r="L669" i="10"/>
  <c r="E307" i="13"/>
  <c r="H307" i="13" s="1" a="1"/>
  <c r="H307" i="13" s="1"/>
  <c r="L657" i="10"/>
  <c r="S669" i="10"/>
  <c r="I669" i="10" s="1"/>
  <c r="K669" i="10" s="1"/>
  <c r="S671" i="10"/>
  <c r="I671" i="10" s="1"/>
  <c r="K671" i="10" s="1"/>
  <c r="S665" i="10"/>
  <c r="I665" i="10" s="1"/>
  <c r="K665" i="10" s="1"/>
  <c r="S667" i="10"/>
  <c r="I667" i="10" s="1"/>
  <c r="S670" i="10"/>
  <c r="I670" i="10" s="1"/>
  <c r="L666" i="10"/>
  <c r="S663" i="10"/>
  <c r="I663" i="10" s="1"/>
  <c r="K663" i="10" s="1"/>
  <c r="E305" i="13"/>
  <c r="H305" i="13" s="1" a="1"/>
  <c r="H305" i="13" s="1"/>
  <c r="S668" i="10"/>
  <c r="I668" i="10" s="1"/>
  <c r="K668" i="10" s="1"/>
  <c r="S666" i="10"/>
  <c r="I666" i="10" s="1"/>
  <c r="K666" i="10" s="1"/>
  <c r="S664" i="10"/>
  <c r="I664" i="10" s="1"/>
  <c r="K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L641" i="10"/>
  <c r="E63" i="7"/>
  <c r="C61" i="9" s="1"/>
  <c r="L652" i="10"/>
  <c r="L633" i="10"/>
  <c r="L645" i="10"/>
  <c r="L637" i="10"/>
  <c r="L643" i="10"/>
  <c r="S655" i="10"/>
  <c r="I655" i="10" s="1"/>
  <c r="K655" i="10" s="1"/>
  <c r="S656" i="10"/>
  <c r="I656" i="10" s="1"/>
  <c r="K656" i="10" s="1"/>
  <c r="Y651" i="10"/>
  <c r="L655" i="10"/>
  <c r="Y649" i="10"/>
  <c r="Z649" i="10" s="1"/>
  <c r="Y650" i="10"/>
  <c r="Z650" i="10" s="1"/>
  <c r="S654" i="10"/>
  <c r="I654" i="10" s="1"/>
  <c r="S652" i="10"/>
  <c r="I652" i="10" s="1"/>
  <c r="K652" i="10" s="1"/>
  <c r="S653" i="10"/>
  <c r="I653" i="10" s="1"/>
  <c r="K653" i="10" s="1"/>
  <c r="S651" i="10"/>
  <c r="I651" i="10" s="1"/>
  <c r="K651" i="10" s="1"/>
  <c r="S649" i="10"/>
  <c r="I649" i="10" s="1"/>
  <c r="S650" i="10"/>
  <c r="I650" i="10" s="1"/>
  <c r="K650" i="10" s="1"/>
  <c r="E299" i="13"/>
  <c r="H299" i="13" s="1" a="1"/>
  <c r="H299" i="13" s="1"/>
  <c r="S648" i="10"/>
  <c r="I648" i="10" s="1"/>
  <c r="K648" i="10" s="1"/>
  <c r="S647" i="10"/>
  <c r="I647" i="10" s="1"/>
  <c r="L647" i="10"/>
  <c r="E298" i="13"/>
  <c r="H298" i="13" s="1" a="1"/>
  <c r="H298" i="13" s="1"/>
  <c r="S645" i="10"/>
  <c r="I645" i="10" s="1"/>
  <c r="S644" i="10"/>
  <c r="I644" i="10" s="1"/>
  <c r="K644" i="10" s="1"/>
  <c r="S646" i="10"/>
  <c r="I646" i="10" s="1"/>
  <c r="K646" i="10" s="1"/>
  <c r="S643" i="10"/>
  <c r="I643" i="10" s="1"/>
  <c r="S640" i="10"/>
  <c r="I640" i="10" s="1"/>
  <c r="K640" i="10" s="1"/>
  <c r="S638" i="10"/>
  <c r="I638" i="10" s="1"/>
  <c r="K638" i="10" s="1"/>
  <c r="S633" i="10"/>
  <c r="I633" i="10" s="1"/>
  <c r="S635" i="10"/>
  <c r="I635" i="10" s="1"/>
  <c r="S642" i="10"/>
  <c r="I642" i="10" s="1"/>
  <c r="K642" i="10" s="1"/>
  <c r="S636" i="10"/>
  <c r="I636" i="10" s="1"/>
  <c r="K636" i="10" s="1"/>
  <c r="L635" i="10"/>
  <c r="S641" i="10"/>
  <c r="I641" i="10" s="1"/>
  <c r="S639" i="10"/>
  <c r="I639" i="10" s="1"/>
  <c r="S637" i="10"/>
  <c r="I637" i="10" s="1"/>
  <c r="L639" i="10"/>
  <c r="S634" i="10"/>
  <c r="I634" i="10" s="1"/>
  <c r="K634" i="10" s="1"/>
  <c r="S631" i="10"/>
  <c r="I631" i="10" s="1"/>
  <c r="K631" i="10" s="1"/>
  <c r="L613" i="10"/>
  <c r="S632" i="10"/>
  <c r="I632" i="10" s="1"/>
  <c r="K632" i="10" s="1"/>
  <c r="S629" i="10"/>
  <c r="I629" i="10" s="1"/>
  <c r="K629" i="10" s="1"/>
  <c r="L631" i="10"/>
  <c r="L607" i="10"/>
  <c r="L625" i="10"/>
  <c r="S630" i="10"/>
  <c r="I630" i="10" s="1"/>
  <c r="L629" i="10"/>
  <c r="S628" i="10"/>
  <c r="I628" i="10" s="1"/>
  <c r="K628" i="10" s="1"/>
  <c r="S627" i="10"/>
  <c r="I627" i="10" s="1"/>
  <c r="L617" i="10"/>
  <c r="L604" i="10"/>
  <c r="E288" i="13"/>
  <c r="H288" i="13" s="1" a="1"/>
  <c r="H288" i="13" s="1"/>
  <c r="Y623" i="10"/>
  <c r="S625" i="10"/>
  <c r="I625" i="10" s="1"/>
  <c r="Y624" i="10"/>
  <c r="Z624" i="10" s="1"/>
  <c r="S626" i="10"/>
  <c r="I626" i="10" s="1"/>
  <c r="K626" i="10" s="1"/>
  <c r="Z622" i="10"/>
  <c r="AA622" i="10" s="1"/>
  <c r="AB622" i="10" s="1"/>
  <c r="S624" i="10"/>
  <c r="I624" i="10" s="1"/>
  <c r="S623" i="10"/>
  <c r="I623" i="10" s="1"/>
  <c r="K623" i="10" s="1"/>
  <c r="S622" i="10"/>
  <c r="I622" i="10" s="1"/>
  <c r="K622" i="10"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Z5" i="10" s="1"/>
  <c r="AA5" i="10" s="1"/>
  <c r="AB5" i="10" s="1"/>
  <c r="U326" i="10" s="1"/>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F61" i="13" s="1"/>
  <c r="G61" i="13" s="1"/>
  <c r="I61" i="13" s="1"/>
  <c r="Y61" i="13"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S448" i="10"/>
  <c r="I448" i="10" s="1"/>
  <c r="S82" i="10"/>
  <c r="I82" i="10" s="1"/>
  <c r="F60" i="13" s="1"/>
  <c r="G60" i="13" s="1"/>
  <c r="I60" i="13" s="1"/>
  <c r="Y60" i="13" s="1"/>
  <c r="S152" i="10"/>
  <c r="I152" i="10" s="1"/>
  <c r="K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G86" i="13" s="1"/>
  <c r="I86" i="13" s="1"/>
  <c r="Y86" i="13" s="1"/>
  <c r="U18" i="13"/>
  <c r="S274" i="10"/>
  <c r="I274" i="10" s="1"/>
  <c r="K274" i="10" s="1"/>
  <c r="S298" i="10"/>
  <c r="I298" i="10" s="1"/>
  <c r="K298" i="10" s="1"/>
  <c r="S337" i="10"/>
  <c r="I337" i="10" s="1"/>
  <c r="F168" i="13" s="1"/>
  <c r="G168" i="13" s="1"/>
  <c r="I168" i="13" s="1"/>
  <c r="Y168" i="13" s="1"/>
  <c r="S49" i="10"/>
  <c r="I49" i="10" s="1"/>
  <c r="S97" i="10"/>
  <c r="I97" i="10" s="1"/>
  <c r="K97" i="10" s="1"/>
  <c r="S108" i="10"/>
  <c r="I108" i="10" s="1"/>
  <c r="K108" i="10" s="1"/>
  <c r="Z125" i="10"/>
  <c r="AA125" i="10" s="1"/>
  <c r="AB125" i="10" s="1"/>
  <c r="U129" i="10" s="1"/>
  <c r="S330" i="10"/>
  <c r="I330" i="10" s="1"/>
  <c r="K330" i="10" s="1"/>
  <c r="S364" i="10"/>
  <c r="I364" i="10" s="1"/>
  <c r="F181" i="13"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K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K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Y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G210" i="13" s="1"/>
  <c r="I210" i="13" s="1"/>
  <c r="Y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F202" i="13"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E83" i="13"/>
  <c r="H83" i="13" s="1" a="1"/>
  <c r="H83" i="13" s="1"/>
  <c r="L128" i="10"/>
  <c r="Y131" i="10"/>
  <c r="Z131" i="10" s="1"/>
  <c r="AA131" i="10" s="1"/>
  <c r="AB131" i="10" s="1"/>
  <c r="U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E113" i="13"/>
  <c r="H113" i="13" s="1" a="1"/>
  <c r="H113" i="13" s="1"/>
  <c r="S246" i="10"/>
  <c r="I246" i="10" s="1"/>
  <c r="S269" i="10"/>
  <c r="I269" i="10" s="1"/>
  <c r="K269" i="10" s="1"/>
  <c r="S268" i="10"/>
  <c r="I268" i="10" s="1"/>
  <c r="L242" i="10"/>
  <c r="S245" i="10"/>
  <c r="I245" i="10" s="1"/>
  <c r="K245" i="10" s="1"/>
  <c r="S251" i="10"/>
  <c r="I251" i="10" s="1"/>
  <c r="K251" i="10" s="1"/>
  <c r="S262" i="10"/>
  <c r="I262" i="10" s="1"/>
  <c r="K262" i="10" s="1"/>
  <c r="S263" i="10"/>
  <c r="I263" i="10" s="1"/>
  <c r="F137" i="13"/>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K313"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L293" i="10"/>
  <c r="E153" i="13"/>
  <c r="H153" i="13" s="1" a="1"/>
  <c r="H153" i="13" s="1"/>
  <c r="L306" i="10"/>
  <c r="Y270" i="10"/>
  <c r="Z270" i="10" s="1"/>
  <c r="E145" i="13"/>
  <c r="H145" i="13" s="1" a="1"/>
  <c r="H145" i="13" s="1"/>
  <c r="L290" i="10"/>
  <c r="F189" i="13"/>
  <c r="G189" i="13" s="1"/>
  <c r="I189" i="13" s="1"/>
  <c r="Y189" i="13" s="1"/>
  <c r="K386" i="10"/>
  <c r="S342" i="10"/>
  <c r="I342" i="10" s="1"/>
  <c r="K342" i="10" s="1"/>
  <c r="S341" i="10"/>
  <c r="I341" i="10" s="1"/>
  <c r="S326" i="10"/>
  <c r="I326" i="10" s="1"/>
  <c r="S328" i="10"/>
  <c r="I328" i="10" s="1"/>
  <c r="K328" i="10" s="1"/>
  <c r="L361" i="10"/>
  <c r="Y366" i="10"/>
  <c r="Z366" i="10" s="1"/>
  <c r="AA367" i="10" s="1"/>
  <c r="AB367" i="10" s="1"/>
  <c r="S397" i="10"/>
  <c r="I397" i="10" s="1"/>
  <c r="K397" i="10" s="1"/>
  <c r="S396" i="10"/>
  <c r="I396" i="10" s="1"/>
  <c r="K396" i="10" s="1"/>
  <c r="S398" i="10"/>
  <c r="I398" i="10" s="1"/>
  <c r="E162" i="13"/>
  <c r="H162" i="13" s="1" a="1"/>
  <c r="H162" i="13" s="1"/>
  <c r="L324" i="10"/>
  <c r="L336" i="10"/>
  <c r="Y367" i="10"/>
  <c r="Z367" i="10" s="1"/>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E204" i="13"/>
  <c r="H204" i="13" s="1" a="1"/>
  <c r="H204" i="13" s="1"/>
  <c r="E184" i="13"/>
  <c r="H184" i="13" s="1" a="1"/>
  <c r="H184" i="13" s="1"/>
  <c r="L370" i="10"/>
  <c r="E200" i="13"/>
  <c r="H200" i="13" s="1" a="1"/>
  <c r="H200" i="13" s="1"/>
  <c r="F209" i="13"/>
  <c r="G209" i="13" s="1"/>
  <c r="I209" i="13" s="1"/>
  <c r="Y209" i="13" s="1"/>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K480" i="10"/>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Q43" i="11"/>
  <c r="P43" i="11"/>
  <c r="R43" i="11" s="1"/>
  <c r="S472" i="10"/>
  <c r="I472" i="10" s="1"/>
  <c r="K472" i="10" s="1"/>
  <c r="E232" i="13"/>
  <c r="H232" i="13" s="1" a="1"/>
  <c r="H232" i="13" s="1"/>
  <c r="L484" i="10"/>
  <c r="S491" i="10"/>
  <c r="I491" i="10" s="1"/>
  <c r="S492" i="10"/>
  <c r="I492" i="10" s="1"/>
  <c r="K492" i="10" s="1"/>
  <c r="R33" i="11"/>
  <c r="V13" i="13"/>
  <c r="G14" i="13"/>
  <c r="H14" i="13" s="1"/>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437" i="13"/>
  <c r="Y421" i="13"/>
  <c r="Y405" i="13"/>
  <c r="Y389" i="13"/>
  <c r="Y373" i="13"/>
  <c r="Y444" i="13"/>
  <c r="Y428" i="13"/>
  <c r="Y412" i="13"/>
  <c r="Y396" i="13"/>
  <c r="Y380" i="13"/>
  <c r="Y364" i="13"/>
  <c r="Y348" i="13"/>
  <c r="Y332" i="13"/>
  <c r="Y316"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14" i="13"/>
  <c r="Y339" i="13"/>
  <c r="Y367" i="13"/>
  <c r="Y355" i="13"/>
  <c r="Y344" i="13"/>
  <c r="Y360" i="13"/>
  <c r="Y346" i="13"/>
  <c r="Y323" i="13"/>
  <c r="Y369" i="13"/>
  <c r="Y341" i="13"/>
  <c r="Y328" i="13"/>
  <c r="Y357" i="13"/>
  <c r="Y330" i="13"/>
  <c r="Y376" i="13"/>
  <c r="Y343" i="13"/>
  <c r="Y351" i="13"/>
  <c r="Y325" i="13"/>
  <c r="Y335" i="13"/>
  <c r="Y211" i="13"/>
  <c r="Y353" i="13"/>
  <c r="Y337" i="13"/>
  <c r="Y327" i="13"/>
  <c r="Y317" i="13"/>
  <c r="Y312" i="13"/>
  <c r="AG19" i="13"/>
  <c r="AG11" i="13"/>
  <c r="AH18" i="13"/>
  <c r="AH10" i="13"/>
  <c r="AH17" i="13"/>
  <c r="AH9" i="13"/>
  <c r="AG17" i="13"/>
  <c r="AH19" i="13"/>
  <c r="AG10" i="13"/>
  <c r="AG14" i="13"/>
  <c r="AH11" i="13"/>
  <c r="AH7" i="13"/>
  <c r="AH20" i="13"/>
  <c r="AG20" i="13"/>
  <c r="AG15" i="13"/>
  <c r="AH12" i="13"/>
  <c r="AG8" i="13"/>
  <c r="AG12" i="13"/>
  <c r="H15" i="13"/>
  <c r="O15" i="13"/>
  <c r="I19" i="12"/>
  <c r="V19" i="13"/>
  <c r="R55" i="11"/>
  <c r="Q11" i="13"/>
  <c r="Q17" i="13"/>
  <c r="R17" i="13" s="1"/>
  <c r="O18" i="13"/>
  <c r="G59" i="13"/>
  <c r="I59" i="13" s="1"/>
  <c r="Y59" i="13" s="1"/>
  <c r="G38" i="13"/>
  <c r="I38" i="13" s="1"/>
  <c r="Y38" i="13" s="1"/>
  <c r="V8" i="13"/>
  <c r="V16" i="13"/>
  <c r="G118" i="13"/>
  <c r="I118" i="13" s="1"/>
  <c r="Y118" i="13" s="1"/>
  <c r="G185" i="13"/>
  <c r="I185" i="13" s="1"/>
  <c r="Y185" i="13" s="1"/>
  <c r="Y311" i="13"/>
  <c r="Y319" i="13"/>
  <c r="Y313" i="13"/>
  <c r="Y321" i="13"/>
  <c r="Y315" i="13"/>
  <c r="Y379" i="13"/>
  <c r="Y386" i="13"/>
  <c r="Y402" i="13"/>
  <c r="Y418" i="13"/>
  <c r="Y434" i="13"/>
  <c r="Y318"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U680" i="10" l="1"/>
  <c r="F310" i="13"/>
  <c r="G310" i="13" s="1"/>
  <c r="I310" i="13" s="1"/>
  <c r="Y310" i="13" s="1"/>
  <c r="K414" i="10"/>
  <c r="K84" i="10"/>
  <c r="F308" i="13"/>
  <c r="G308" i="13" s="1"/>
  <c r="I308" i="13" s="1"/>
  <c r="Y308" i="13" s="1"/>
  <c r="K677" i="10"/>
  <c r="F309" i="13"/>
  <c r="G309" i="13" s="1"/>
  <c r="I309" i="13" s="1"/>
  <c r="Y309" i="13" s="1"/>
  <c r="F303" i="13"/>
  <c r="G303" i="13" s="1"/>
  <c r="I303" i="13" s="1"/>
  <c r="Y303" i="13" s="1"/>
  <c r="F130" i="13"/>
  <c r="G130" i="13" s="1"/>
  <c r="I130" i="13" s="1"/>
  <c r="Y130" i="13" s="1"/>
  <c r="Y660" i="10"/>
  <c r="Y662" i="10"/>
  <c r="Y661" i="10"/>
  <c r="Z661" i="10" s="1"/>
  <c r="K673" i="10"/>
  <c r="F307" i="13"/>
  <c r="G307" i="13" s="1"/>
  <c r="I307" i="13" s="1"/>
  <c r="Y307" i="13" s="1"/>
  <c r="F143" i="13"/>
  <c r="G143" i="13" s="1"/>
  <c r="I143" i="13" s="1"/>
  <c r="Y143" i="13" s="1"/>
  <c r="K392" i="10"/>
  <c r="K670" i="10"/>
  <c r="F306" i="13"/>
  <c r="G306" i="13" s="1"/>
  <c r="I306" i="13" s="1"/>
  <c r="Y306" i="13" s="1"/>
  <c r="K667" i="10"/>
  <c r="F305" i="13"/>
  <c r="G305" i="13" s="1"/>
  <c r="I305" i="13" s="1"/>
  <c r="Y305" i="13" s="1"/>
  <c r="K270" i="10"/>
  <c r="K82" i="10"/>
  <c r="F304" i="13"/>
  <c r="G304" i="13" s="1"/>
  <c r="I304" i="13" s="1"/>
  <c r="Y304" i="13" s="1"/>
  <c r="K308" i="10"/>
  <c r="AA657" i="10"/>
  <c r="AB657" i="10" s="1"/>
  <c r="U660" i="10" s="1"/>
  <c r="U662" i="10"/>
  <c r="K657" i="10"/>
  <c r="F302" i="13"/>
  <c r="G302" i="13" s="1"/>
  <c r="I302" i="13" s="1"/>
  <c r="Y302" i="13" s="1"/>
  <c r="K434" i="10"/>
  <c r="F232" i="13"/>
  <c r="F301" i="13"/>
  <c r="G301" i="13" s="1"/>
  <c r="I301" i="13" s="1"/>
  <c r="Y301" i="13" s="1"/>
  <c r="K654" i="10"/>
  <c r="F300" i="13"/>
  <c r="G300" i="13" s="1"/>
  <c r="I300" i="13" s="1"/>
  <c r="Y300" i="13" s="1"/>
  <c r="K649" i="10"/>
  <c r="F299" i="13"/>
  <c r="G299" i="13" s="1"/>
  <c r="I299" i="13" s="1"/>
  <c r="Y299" i="13" s="1"/>
  <c r="U651" i="10"/>
  <c r="K407" i="10"/>
  <c r="K647" i="10"/>
  <c r="F298" i="13"/>
  <c r="G298" i="13" s="1"/>
  <c r="I298" i="13" s="1"/>
  <c r="Y298" i="13" s="1"/>
  <c r="K645" i="10"/>
  <c r="F297" i="13"/>
  <c r="G297" i="13" s="1"/>
  <c r="I297" i="13" s="1"/>
  <c r="Y297" i="13" s="1"/>
  <c r="K643" i="10"/>
  <c r="F296" i="13"/>
  <c r="G296" i="13" s="1"/>
  <c r="I296" i="13" s="1"/>
  <c r="Y296" i="13" s="1"/>
  <c r="K333" i="10"/>
  <c r="K38" i="10"/>
  <c r="K641" i="10"/>
  <c r="F295" i="13"/>
  <c r="G295" i="13" s="1"/>
  <c r="I295" i="13" s="1"/>
  <c r="Y295" i="13" s="1"/>
  <c r="O13" i="13"/>
  <c r="K343" i="10"/>
  <c r="K639" i="10"/>
  <c r="F294" i="13"/>
  <c r="G294" i="13" s="1"/>
  <c r="I294" i="13" s="1"/>
  <c r="Y294" i="13" s="1"/>
  <c r="K637" i="10"/>
  <c r="F293" i="13"/>
  <c r="G293" i="13" s="1"/>
  <c r="I293" i="13" s="1"/>
  <c r="Y293" i="13" s="1"/>
  <c r="K635" i="10"/>
  <c r="F292" i="13"/>
  <c r="G292" i="13" s="1"/>
  <c r="I292" i="13" s="1"/>
  <c r="Y292" i="13" s="1"/>
  <c r="F290" i="13"/>
  <c r="G290" i="13" s="1"/>
  <c r="I290" i="13" s="1"/>
  <c r="Y290" i="13" s="1"/>
  <c r="K633" i="10"/>
  <c r="F291" i="13"/>
  <c r="G291" i="13" s="1"/>
  <c r="I291" i="13" s="1"/>
  <c r="Y291" i="13" s="1"/>
  <c r="K257" i="10"/>
  <c r="Z139" i="10"/>
  <c r="K630" i="10"/>
  <c r="F289" i="13"/>
  <c r="G289" i="13" s="1"/>
  <c r="I289" i="13" s="1"/>
  <c r="Y289" i="13" s="1"/>
  <c r="K364" i="10"/>
  <c r="K456" i="10"/>
  <c r="F132" i="13"/>
  <c r="G132" i="13" s="1"/>
  <c r="I132" i="13" s="1"/>
  <c r="Y132" i="13" s="1"/>
  <c r="K627" i="10"/>
  <c r="F288" i="13"/>
  <c r="G288" i="13" s="1"/>
  <c r="I288" i="13" s="1"/>
  <c r="Y288" i="13" s="1"/>
  <c r="K106" i="10"/>
  <c r="K625" i="10"/>
  <c r="F287" i="13"/>
  <c r="G287" i="13" s="1"/>
  <c r="I287" i="13" s="1"/>
  <c r="Y287" i="13" s="1"/>
  <c r="K624" i="10"/>
  <c r="F286" i="13"/>
  <c r="G286" i="13" s="1"/>
  <c r="I286" i="13" s="1"/>
  <c r="Y286" i="13" s="1"/>
  <c r="K618" i="10"/>
  <c r="F285" i="13"/>
  <c r="G285" i="13" s="1"/>
  <c r="I285" i="13" s="1"/>
  <c r="Y285" i="13" s="1"/>
  <c r="K616" i="10"/>
  <c r="F284" i="13"/>
  <c r="G284" i="13" s="1"/>
  <c r="I284" i="13" s="1"/>
  <c r="Y284" i="13" s="1"/>
  <c r="K614" i="10"/>
  <c r="F283" i="13"/>
  <c r="G283" i="13" s="1"/>
  <c r="I283" i="13" s="1"/>
  <c r="Y283" i="13" s="1"/>
  <c r="K53" i="10"/>
  <c r="K607" i="10"/>
  <c r="F281" i="13"/>
  <c r="G281" i="13" s="1"/>
  <c r="I281" i="13" s="1"/>
  <c r="Y281" i="13" s="1"/>
  <c r="K611" i="10"/>
  <c r="F282" i="13"/>
  <c r="G282" i="13" s="1"/>
  <c r="I282" i="13" s="1"/>
  <c r="Y282" i="13" s="1"/>
  <c r="K604" i="10"/>
  <c r="F280" i="13"/>
  <c r="G280" i="13" s="1"/>
  <c r="I280" i="13" s="1"/>
  <c r="Y280" i="13" s="1"/>
  <c r="K603" i="10"/>
  <c r="F279" i="13"/>
  <c r="G279" i="13" s="1"/>
  <c r="I279" i="13" s="1"/>
  <c r="Y279" i="13" s="1"/>
  <c r="K599" i="10"/>
  <c r="F278" i="13"/>
  <c r="G278" i="13" s="1"/>
  <c r="I278" i="13" s="1"/>
  <c r="Y278" i="13" s="1"/>
  <c r="AA124" i="10"/>
  <c r="AB124" i="10" s="1"/>
  <c r="U135" i="10" s="1"/>
  <c r="K487" i="10"/>
  <c r="F277" i="13"/>
  <c r="G277" i="13" s="1"/>
  <c r="I277" i="13" s="1"/>
  <c r="Y277" i="13" s="1"/>
  <c r="F83" i="13"/>
  <c r="G83" i="13" s="1"/>
  <c r="I83" i="13" s="1"/>
  <c r="Y83" i="13" s="1"/>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G87" i="13" s="1"/>
  <c r="I87" i="13" s="1"/>
  <c r="Y87" i="13" s="1"/>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9" i="10"/>
  <c r="AB139" i="10" s="1"/>
  <c r="U140"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Z660" i="10" l="1"/>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Z76" i="10" s="1"/>
  <c r="AA73" i="10"/>
  <c r="AB73" i="10" s="1"/>
  <c r="U382" i="10" s="1"/>
  <c r="AA46" i="10"/>
  <c r="AB46" i="10" s="1"/>
  <c r="AA45" i="10"/>
  <c r="AB45" i="10" s="1"/>
  <c r="U47" i="10" s="1"/>
  <c r="AA32" i="10" l="1"/>
  <c r="AB32" i="10" s="1"/>
  <c r="U34" i="10" s="1"/>
  <c r="AA661" i="10"/>
  <c r="AB661" i="10" s="1"/>
  <c r="U664" i="10" s="1"/>
  <c r="AA660" i="10"/>
  <c r="AB660" i="10" s="1"/>
  <c r="Y136" i="10"/>
  <c r="Z136" i="10" s="1"/>
  <c r="AA276" i="10"/>
  <c r="AB276" i="10" s="1"/>
  <c r="U364" i="10" s="1"/>
  <c r="U663" i="10"/>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28" i="10" l="1"/>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63" i="10" l="1"/>
  <c r="AB663" i="10" s="1"/>
  <c r="AA664" i="10"/>
  <c r="AB664" i="10" s="1"/>
  <c r="U667" i="10" s="1"/>
  <c r="U666" i="10"/>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667" i="10" l="1"/>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667" i="10" l="1"/>
  <c r="AB667" i="10" s="1"/>
  <c r="U670" i="10" s="1"/>
  <c r="Y671" i="10" s="1"/>
  <c r="AA383" i="10"/>
  <c r="AB383" i="10" s="1"/>
  <c r="U385" i="10" s="1"/>
  <c r="U669" i="10"/>
  <c r="U671" i="10"/>
  <c r="U656" i="10"/>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U674" i="10" l="1"/>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U679" i="10" l="1"/>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Y679" i="10" l="1"/>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AA673" i="10" l="1"/>
  <c r="AB673" i="10" s="1"/>
  <c r="H115" i="7" s="1"/>
  <c r="P115" i="7" s="1"/>
  <c r="B19" i="3" s="1"/>
  <c r="C19" i="3" s="1"/>
  <c r="AA680" i="10"/>
  <c r="AB680" i="10" s="1"/>
  <c r="D106" i="7" s="1"/>
  <c r="P106" i="7" s="1"/>
  <c r="B10" i="3"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D10" i="3" l="1"/>
  <c r="C10" i="3"/>
  <c r="D19" i="3"/>
  <c r="AA643" i="10"/>
  <c r="AB643" i="10" s="1"/>
  <c r="U646" i="10"/>
  <c r="U645" i="10"/>
  <c r="U620" i="10"/>
  <c r="U576" i="10"/>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H20" i="10"/>
  <c r="N17" i="10"/>
  <c r="AA274" i="10"/>
  <c r="AB274" i="10" s="1"/>
  <c r="B119" i="7" s="1"/>
  <c r="AA275" i="10"/>
  <c r="AB275" i="10" s="1"/>
  <c r="U278" i="10" s="1"/>
  <c r="Y295" i="10"/>
  <c r="Z295" i="10" s="1"/>
  <c r="Y294" i="10"/>
  <c r="Z294" i="10" s="1"/>
  <c r="Y645" i="10" l="1"/>
  <c r="Z645" i="10"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645" i="10" l="1"/>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c r="B25" i="3" s="1"/>
  <c r="U676" i="10" l="1"/>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Y676" i="10" l="1"/>
  <c r="Z676" i="10" s="1"/>
  <c r="AA676" i="10" s="1"/>
  <c r="AB676" i="10" s="1"/>
  <c r="Y675" i="10"/>
  <c r="Z675" i="10" s="1"/>
  <c r="AA675" i="10" s="1"/>
  <c r="AB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U678" i="10" l="1"/>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I110" i="7" s="1"/>
  <c r="Y677" i="10"/>
  <c r="Z677" i="10" s="1"/>
  <c r="AA677" i="10" s="1"/>
  <c r="AB677" i="10" s="1"/>
  <c r="F110" i="7" s="1"/>
  <c r="H9" i="5"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I124" i="7" s="1"/>
  <c r="P42" i="10"/>
  <c r="Q42" i="10" s="1"/>
  <c r="P41" i="10"/>
  <c r="Q41" i="10" s="1"/>
  <c r="V42" i="10"/>
  <c r="V41" i="10"/>
  <c r="AA628" i="10" l="1"/>
  <c r="AB628" i="10" s="1"/>
  <c r="AA627" i="10"/>
  <c r="AB627" i="10" s="1"/>
  <c r="AA568" i="10"/>
  <c r="AB568" i="10" s="1"/>
  <c r="B108" i="7" s="1"/>
  <c r="D108" i="7"/>
  <c r="W41" i="10"/>
  <c r="X41" i="10" s="1"/>
  <c r="W42" i="10"/>
  <c r="X42" i="10" s="1"/>
  <c r="Y447" i="10"/>
  <c r="Z447" i="10" s="1"/>
  <c r="Y446" i="10"/>
  <c r="Z446" i="10" s="1"/>
  <c r="Z287" i="10"/>
  <c r="U630" i="10" l="1"/>
  <c r="U629" i="10"/>
  <c r="AA447" i="10"/>
  <c r="AB447" i="10" s="1"/>
  <c r="L124" i="7" s="1"/>
  <c r="AA446" i="10"/>
  <c r="AB446" i="10" s="1"/>
  <c r="G124" i="7" s="1"/>
  <c r="AA287" i="10"/>
  <c r="AB287" i="10" s="1"/>
  <c r="U289" i="10" s="1"/>
  <c r="AA286" i="10"/>
  <c r="AB286" i="10" s="1"/>
  <c r="U288" i="10" s="1"/>
  <c r="J41" i="10"/>
  <c r="M41" i="10" s="1"/>
  <c r="N41" i="10" s="1"/>
  <c r="J42" i="10"/>
  <c r="M42" i="10" s="1"/>
  <c r="N42" i="10" s="1"/>
  <c r="Y630" i="10" l="1"/>
  <c r="Z630" i="10" s="1"/>
  <c r="Y629" i="10"/>
  <c r="Z629" i="10" s="1"/>
  <c r="AA629" i="10" s="1"/>
  <c r="AB629" i="10" s="1"/>
  <c r="U631" i="10" s="1"/>
  <c r="R42" i="13"/>
  <c r="R40" i="13"/>
  <c r="R41" i="13"/>
  <c r="H48" i="10"/>
  <c r="H120" i="10"/>
  <c r="Y289" i="10"/>
  <c r="Z289" i="10" s="1"/>
  <c r="Y288" i="10"/>
  <c r="Z288" i="10" s="1"/>
  <c r="H23" i="5"/>
  <c r="P124" i="7"/>
  <c r="B28" i="3" s="1"/>
  <c r="AA630" i="10" l="1"/>
  <c r="AB630" i="10" s="1"/>
  <c r="Y631" i="10"/>
  <c r="Z631" i="10" s="1"/>
  <c r="Y632" i="10"/>
  <c r="U632" i="10"/>
  <c r="G108" i="7"/>
  <c r="V120" i="10"/>
  <c r="D28" i="3"/>
  <c r="C28" i="3"/>
  <c r="V48" i="10"/>
  <c r="X48" i="10" s="1"/>
  <c r="Q48" i="10"/>
  <c r="AA288" i="10"/>
  <c r="AB288" i="10" s="1"/>
  <c r="AA289" i="10"/>
  <c r="AB289" i="10" s="1"/>
  <c r="U634" i="10" l="1"/>
  <c r="AA631" i="10"/>
  <c r="AB631" i="10" s="1"/>
  <c r="Z632" i="10"/>
  <c r="AA632" i="10" s="1"/>
  <c r="AB632" i="10" s="1"/>
  <c r="I108" i="7" s="1"/>
  <c r="U511" i="10"/>
  <c r="H16" i="5"/>
  <c r="B19" i="5" s="1"/>
  <c r="J48" i="10"/>
  <c r="M48" i="10" s="1"/>
  <c r="N48" i="10" s="1"/>
  <c r="J47" i="10"/>
  <c r="M47" i="10" s="1"/>
  <c r="N47" i="10" s="1"/>
  <c r="U647" i="10" l="1"/>
  <c r="Y511" i="10"/>
  <c r="Z511" i="10" s="1"/>
  <c r="Y512" i="10"/>
  <c r="Z512" i="10" s="1"/>
  <c r="AA512" i="10" s="1"/>
  <c r="AB512" i="10" s="1"/>
  <c r="K43" i="13"/>
  <c r="K50" i="13"/>
  <c r="K48" i="13"/>
  <c r="K46" i="13"/>
  <c r="K51" i="13"/>
  <c r="K49" i="13"/>
  <c r="K47" i="13"/>
  <c r="K52" i="13"/>
  <c r="K44" i="13"/>
  <c r="K45" i="13"/>
  <c r="H67" i="10"/>
  <c r="R43" i="13"/>
  <c r="H50" i="10"/>
  <c r="Y647" i="10" l="1"/>
  <c r="Z647" i="10" s="1"/>
  <c r="Y648" i="10"/>
  <c r="Z648" i="10" s="1"/>
  <c r="AA648" i="10" s="1"/>
  <c r="AB648" i="10" s="1"/>
  <c r="H108" i="7" s="1"/>
  <c r="AA511" i="10"/>
  <c r="AB511" i="10" s="1"/>
  <c r="U514" i="10"/>
  <c r="U513" i="10"/>
  <c r="V67" i="10"/>
  <c r="X67" i="10" s="1"/>
  <c r="Q67" i="10"/>
  <c r="V50" i="10"/>
  <c r="X50" i="10" s="1"/>
  <c r="Q50" i="10"/>
  <c r="AA647" i="10" l="1"/>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D12" i="3" l="1"/>
  <c r="AA513" i="10"/>
  <c r="AB513" i="10" s="1"/>
  <c r="U516" i="10"/>
  <c r="U515" i="10"/>
  <c r="K53" i="13"/>
  <c r="H69" i="10"/>
  <c r="H87" i="10"/>
  <c r="R44" i="13"/>
  <c r="H52" i="10"/>
  <c r="M44" i="13"/>
  <c r="H51" i="10"/>
  <c r="Y516" i="10" l="1"/>
  <c r="Z516" i="10" s="1"/>
  <c r="AA516" i="10" s="1"/>
  <c r="AB516" i="10" s="1"/>
  <c r="Y515" i="10"/>
  <c r="Z515" i="10" s="1"/>
  <c r="V52" i="10"/>
  <c r="P52" i="10"/>
  <c r="Q52" i="10" s="1"/>
  <c r="P51" i="10"/>
  <c r="Q51" i="10" s="1"/>
  <c r="V51" i="10"/>
  <c r="V87" i="10"/>
  <c r="X87" i="10" s="1"/>
  <c r="Q87" i="10"/>
  <c r="P69" i="10"/>
  <c r="Q69" i="10" s="1"/>
  <c r="P70" i="10"/>
  <c r="V69" i="10"/>
  <c r="AA515" i="10" l="1"/>
  <c r="AB515" i="10" s="1"/>
  <c r="U518" i="10"/>
  <c r="U517" i="10"/>
  <c r="W70" i="10"/>
  <c r="W69" i="10"/>
  <c r="X69" i="10" s="1"/>
  <c r="J86" i="10"/>
  <c r="M86" i="10" s="1"/>
  <c r="N86" i="10" s="1"/>
  <c r="J87" i="10"/>
  <c r="M87" i="10" s="1"/>
  <c r="N87" i="10" s="1"/>
  <c r="W52" i="10"/>
  <c r="X52" i="10" s="1"/>
  <c r="W51" i="10"/>
  <c r="X51" i="10" s="1"/>
  <c r="Y517" i="10" l="1"/>
  <c r="Z517" i="10" s="1"/>
  <c r="AA517" i="10" s="1"/>
  <c r="AB517" i="10" s="1"/>
  <c r="Y518" i="10"/>
  <c r="Z518" i="10" s="1"/>
  <c r="J51" i="10"/>
  <c r="M51" i="10" s="1"/>
  <c r="N51" i="10" s="1"/>
  <c r="J52" i="10"/>
  <c r="M52" i="10" s="1"/>
  <c r="N52" i="10" s="1"/>
  <c r="S62" i="13"/>
  <c r="H88" i="10"/>
  <c r="H89" i="10"/>
  <c r="U556" i="10" l="1"/>
  <c r="AA518" i="10"/>
  <c r="AB518" i="10" s="1"/>
  <c r="V89" i="10"/>
  <c r="P89" i="10"/>
  <c r="Q89" i="10" s="1"/>
  <c r="P88" i="10"/>
  <c r="Q88" i="10" s="1"/>
  <c r="V88" i="10"/>
  <c r="R45" i="13"/>
  <c r="H54" i="10"/>
  <c r="M45" i="13"/>
  <c r="H53" i="10"/>
  <c r="Y556" i="10" l="1"/>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Y542" i="10"/>
  <c r="Z542" i="10" s="1"/>
  <c r="AA542" i="10" s="1"/>
  <c r="AB542" i="10" s="1"/>
  <c r="W55" i="10"/>
  <c r="X55" i="10" s="1"/>
  <c r="W56" i="10"/>
  <c r="X56" i="10" s="1"/>
  <c r="AA541" i="10" l="1"/>
  <c r="AB541" i="10" s="1"/>
  <c r="U550" i="10"/>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AA546" i="10"/>
  <c r="AB546" i="10" s="1"/>
  <c r="R49" i="13"/>
  <c r="R48" i="13"/>
  <c r="H62" i="10"/>
  <c r="O48" i="13"/>
  <c r="H59" i="10"/>
  <c r="U633" i="10" l="1"/>
  <c r="U547" i="10"/>
  <c r="P60" i="10"/>
  <c r="Q60" i="10" s="1"/>
  <c r="P59" i="10"/>
  <c r="Q59" i="10" s="1"/>
  <c r="V59" i="10"/>
  <c r="P62" i="10"/>
  <c r="Q62" i="10" s="1"/>
  <c r="P61" i="10"/>
  <c r="V62" i="10"/>
  <c r="Y633" i="10" l="1"/>
  <c r="Z633" i="10" s="1"/>
  <c r="Y634" i="10"/>
  <c r="Z634" i="10" s="1"/>
  <c r="AA634" i="10" s="1"/>
  <c r="AB634" i="10" s="1"/>
  <c r="U636" i="10" s="1"/>
  <c r="Y548" i="10"/>
  <c r="Z548" i="10" s="1"/>
  <c r="AA548" i="10" s="1"/>
  <c r="AB548" i="10" s="1"/>
  <c r="Y547" i="10"/>
  <c r="Z547" i="10" s="1"/>
  <c r="W62" i="10"/>
  <c r="X62" i="10" s="1"/>
  <c r="W61" i="10"/>
  <c r="W59" i="10"/>
  <c r="X59" i="10" s="1"/>
  <c r="W60" i="10"/>
  <c r="X60" i="10" s="1"/>
  <c r="AA633" i="10" l="1"/>
  <c r="AB633" i="10" s="1"/>
  <c r="U635" i="10"/>
  <c r="AA547" i="10"/>
  <c r="AB547" i="10" s="1"/>
  <c r="U554" i="10"/>
  <c r="U549" i="10"/>
  <c r="J59" i="10"/>
  <c r="M59" i="10" s="1"/>
  <c r="N59" i="10" s="1"/>
  <c r="J60" i="10"/>
  <c r="M60" i="10" s="1"/>
  <c r="N60" i="10" s="1"/>
  <c r="Y635" i="10" l="1"/>
  <c r="Z635" i="10" s="1"/>
  <c r="Y636" i="10"/>
  <c r="Z636" i="10" s="1"/>
  <c r="AA636" i="10" s="1"/>
  <c r="AB636" i="10" s="1"/>
  <c r="U638" i="10" s="1"/>
  <c r="Z554" i="10"/>
  <c r="Z549" i="10"/>
  <c r="N49" i="13"/>
  <c r="H61" i="10"/>
  <c r="O49" i="13"/>
  <c r="O50" i="13"/>
  <c r="H63" i="10"/>
  <c r="AA635" i="10" l="1"/>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638" i="10" l="1"/>
  <c r="Z638" i="10" s="1"/>
  <c r="AA638" i="10" s="1"/>
  <c r="AB638" i="10" s="1"/>
  <c r="U640" i="10" s="1"/>
  <c r="U559" i="10"/>
  <c r="U557" i="10"/>
  <c r="J61" i="10"/>
  <c r="M61" i="10" s="1"/>
  <c r="N61" i="10" s="1"/>
  <c r="J62" i="10"/>
  <c r="M62" i="10" s="1"/>
  <c r="N62" i="10" s="1"/>
  <c r="W64" i="10"/>
  <c r="W63" i="10"/>
  <c r="X63" i="10" s="1"/>
  <c r="AA637" i="10" l="1"/>
  <c r="AB637" i="10" s="1"/>
  <c r="U639" i="10" s="1"/>
  <c r="Z557" i="10"/>
  <c r="R50" i="13"/>
  <c r="H64" i="10"/>
  <c r="N51" i="13"/>
  <c r="N50" i="13"/>
  <c r="H66" i="10"/>
  <c r="Y639" i="10" l="1"/>
  <c r="Z639" i="10" s="1"/>
  <c r="AA639" i="10" s="1"/>
  <c r="AB639" i="10" s="1"/>
  <c r="U641" i="10" s="1"/>
  <c r="Y640" i="10"/>
  <c r="Z640" i="10" s="1"/>
  <c r="AA640" i="10" s="1"/>
  <c r="AB640" i="10" s="1"/>
  <c r="U642" i="10" s="1"/>
  <c r="AA557" i="10"/>
  <c r="AB557" i="10" s="1"/>
  <c r="AA556" i="10"/>
  <c r="AB556" i="10" s="1"/>
  <c r="V66" i="10"/>
  <c r="V64" i="10"/>
  <c r="X64" i="10" s="1"/>
  <c r="Q64" i="10"/>
  <c r="Y642" i="10" l="1"/>
  <c r="Z642" i="10" s="1"/>
  <c r="AA642" i="10" s="1"/>
  <c r="AB642" i="10" s="1"/>
  <c r="L117" i="7" s="1"/>
  <c r="Y641" i="10"/>
  <c r="Z641" i="10" s="1"/>
  <c r="AA641" i="10" s="1"/>
  <c r="AB641" i="10" s="1"/>
  <c r="H117" i="7" s="1"/>
  <c r="U560" i="10"/>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09" i="13" l="1"/>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09" i="13" l="1"/>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0" i="10"/>
  <c r="M380" i="10" s="1"/>
  <c r="N380" i="10" s="1"/>
  <c r="J377" i="10"/>
  <c r="M377" i="10" s="1"/>
  <c r="N377"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H532" i="10"/>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309" i="13" l="1"/>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J19"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247" i="13"/>
  <c r="V248" i="13"/>
  <c r="R232" i="13"/>
  <c r="H488" i="10"/>
  <c r="V232" i="13"/>
  <c r="V234" i="13"/>
  <c r="V236" i="13"/>
  <c r="V233" i="13"/>
  <c r="V235" i="13"/>
  <c r="P2" i="14"/>
  <c r="B19" i="13"/>
  <c r="V309" i="13" l="1"/>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J18"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J11"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J568" i="10" s="1"/>
  <c r="M568" i="10" s="1"/>
  <c r="W569" i="10"/>
  <c r="X569" i="10" s="1"/>
  <c r="J569" i="10" s="1"/>
  <c r="M569" i="10" s="1"/>
  <c r="N569" i="10" s="1"/>
  <c r="H571" i="10" l="1"/>
  <c r="N568" i="10"/>
  <c r="M268" i="13"/>
  <c r="K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H619" i="10" l="1"/>
  <c r="P598" i="10"/>
  <c r="P599" i="10"/>
  <c r="Q599" i="10" s="1"/>
  <c r="P597" i="10"/>
  <c r="V599" i="10"/>
  <c r="M277" i="13"/>
  <c r="M276" i="13"/>
  <c r="V592" i="10"/>
  <c r="V587" i="10"/>
  <c r="M273" i="13"/>
  <c r="M275" i="13"/>
  <c r="M274" i="13"/>
  <c r="R273" i="13"/>
  <c r="R274" i="13"/>
  <c r="N582" i="10"/>
  <c r="H588" i="10" s="1"/>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J9"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H623" i="10"/>
  <c r="H622" i="10"/>
  <c r="R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285" i="13"/>
  <c r="S286" i="13"/>
  <c r="N615" i="10"/>
  <c r="S284" i="13"/>
  <c r="B10" i="14"/>
  <c r="L2" i="14" s="1"/>
  <c r="S309" i="13" l="1"/>
  <c r="S310" i="13"/>
  <c r="S307" i="13"/>
  <c r="S308" i="13"/>
  <c r="S304" i="13"/>
  <c r="S306" i="13"/>
  <c r="S305" i="13"/>
  <c r="S302" i="13"/>
  <c r="S303" i="13"/>
  <c r="S301" i="13"/>
  <c r="J15"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J618" i="10"/>
  <c r="M618" i="10" s="1"/>
  <c r="N618" i="10" s="1"/>
  <c r="N309" i="13" l="1"/>
  <c r="N310" i="13"/>
  <c r="N307" i="13"/>
  <c r="N308" i="13"/>
  <c r="N304" i="13"/>
  <c r="N305" i="13"/>
  <c r="N306" i="13"/>
  <c r="N302" i="13"/>
  <c r="N303" i="13"/>
  <c r="N301" i="13"/>
  <c r="J10"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R286" i="13"/>
  <c r="K286" i="13"/>
  <c r="B2" i="14"/>
  <c r="F101" i="7"/>
  <c r="S101" i="7" s="1"/>
  <c r="W10" i="13"/>
  <c r="AI10" i="13"/>
  <c r="K309" i="13" l="1"/>
  <c r="K310" i="13"/>
  <c r="K307" i="13"/>
  <c r="K308" i="13"/>
  <c r="K304" i="13"/>
  <c r="K306" i="13"/>
  <c r="K305" i="13"/>
  <c r="K302" i="13"/>
  <c r="K303" i="13"/>
  <c r="K301" i="13"/>
  <c r="J7" i="13"/>
  <c r="K298" i="13"/>
  <c r="K300" i="13"/>
  <c r="K299" i="13"/>
  <c r="K297" i="13"/>
  <c r="K296" i="13"/>
  <c r="K295" i="13"/>
  <c r="K294" i="13"/>
  <c r="K293" i="13"/>
  <c r="K292" i="13"/>
  <c r="K291" i="13"/>
  <c r="K289" i="13"/>
  <c r="K290" i="13"/>
  <c r="K287" i="13"/>
  <c r="K288" i="13"/>
  <c r="Q626" i="10"/>
  <c r="V626" i="10"/>
  <c r="X626" i="10" s="1"/>
  <c r="B7" i="13"/>
  <c r="D2" i="14"/>
  <c r="J626" i="10" l="1"/>
  <c r="M626" i="10" s="1"/>
  <c r="N626" i="10" s="1"/>
  <c r="J625" i="10"/>
  <c r="M625" i="10" s="1"/>
  <c r="N625" i="10" s="1"/>
  <c r="S7" i="13"/>
  <c r="H627" i="10" l="1"/>
  <c r="W7" i="13"/>
  <c r="F94" i="7"/>
  <c r="S94" i="7" s="1"/>
  <c r="AI7" i="13"/>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J654" i="10" s="1"/>
  <c r="M654" i="10" s="1"/>
  <c r="N654" i="10" s="1"/>
  <c r="W652" i="10"/>
  <c r="X652" i="10" s="1"/>
  <c r="J652" i="10" s="1"/>
  <c r="M652" i="10" s="1"/>
  <c r="V658" i="10" l="1"/>
  <c r="J13" i="13"/>
  <c r="H655" i="10"/>
  <c r="N652" i="10"/>
  <c r="H659" i="10" s="1"/>
  <c r="V659" i="10" l="1"/>
  <c r="J17" i="13"/>
  <c r="P656" i="10"/>
  <c r="Q656" i="10" s="1"/>
  <c r="P655" i="10"/>
  <c r="Q655" i="10" s="1"/>
  <c r="V655" i="10"/>
  <c r="W655" i="10" l="1"/>
  <c r="X655" i="10" s="1"/>
  <c r="J655" i="10" s="1"/>
  <c r="M655" i="10" s="1"/>
  <c r="W656" i="10"/>
  <c r="X656" i="10" s="1"/>
  <c r="J656" i="10" s="1"/>
  <c r="M656" i="10" s="1"/>
  <c r="N656" i="10" s="1"/>
  <c r="H676" i="10" s="1"/>
  <c r="V676" i="10" l="1"/>
  <c r="X676" i="10" s="1"/>
  <c r="Q676" i="10"/>
  <c r="R307" i="13"/>
  <c r="R306" i="13"/>
  <c r="R305" i="13"/>
  <c r="R303" i="13"/>
  <c r="R304" i="13"/>
  <c r="R302" i="13"/>
  <c r="J14" i="13"/>
  <c r="N655" i="10"/>
  <c r="H657" i="10" s="1"/>
  <c r="R301" i="13"/>
  <c r="J676" i="10" l="1"/>
  <c r="M676" i="10" s="1"/>
  <c r="N676" i="10" s="1"/>
  <c r="J675" i="10"/>
  <c r="M675" i="10" s="1"/>
  <c r="N675" i="10" s="1"/>
  <c r="R308" i="13"/>
  <c r="P658" i="10"/>
  <c r="Q658" i="10" s="1"/>
  <c r="P659" i="10"/>
  <c r="Q659" i="10" s="1"/>
  <c r="P657" i="10"/>
  <c r="Q657" i="10" s="1"/>
  <c r="V657" i="10"/>
  <c r="J12" i="13"/>
  <c r="K14" i="13" s="1"/>
  <c r="H678" i="10" l="1"/>
  <c r="H677" i="10"/>
  <c r="O308" i="13"/>
  <c r="W659" i="10"/>
  <c r="X659" i="10" s="1"/>
  <c r="J659" i="10" s="1"/>
  <c r="M659" i="10" s="1"/>
  <c r="N659" i="10" s="1"/>
  <c r="H662" i="10" s="1"/>
  <c r="W657" i="10"/>
  <c r="X657" i="10" s="1"/>
  <c r="W658" i="10"/>
  <c r="X658" i="10" s="1"/>
  <c r="J658" i="10" s="1"/>
  <c r="M658" i="10" s="1"/>
  <c r="N658" i="10" s="1"/>
  <c r="K12" i="13"/>
  <c r="K8" i="13"/>
  <c r="K18" i="13"/>
  <c r="K15" i="13"/>
  <c r="K20" i="13"/>
  <c r="K7" i="13"/>
  <c r="K16" i="13"/>
  <c r="K9" i="13"/>
  <c r="K10" i="13"/>
  <c r="K19" i="13"/>
  <c r="K11" i="13"/>
  <c r="K13" i="13"/>
  <c r="K17" i="13"/>
  <c r="P677" i="10" l="1"/>
  <c r="Q677" i="10" s="1"/>
  <c r="P678" i="10"/>
  <c r="Q678" i="10" s="1"/>
  <c r="V678" i="10"/>
  <c r="V677" i="10"/>
  <c r="H661" i="10"/>
  <c r="J657" i="10"/>
  <c r="M657" i="10" s="1"/>
  <c r="N657" i="10" s="1"/>
  <c r="H660" i="10" s="1"/>
  <c r="V662" i="10"/>
  <c r="W678" i="10" l="1"/>
  <c r="X678" i="10" s="1"/>
  <c r="J678" i="10" s="1"/>
  <c r="M678" i="10" s="1"/>
  <c r="N678" i="10" s="1"/>
  <c r="R310" i="13" s="1"/>
  <c r="W677" i="10"/>
  <c r="X677" i="10" s="1"/>
  <c r="J677" i="10" s="1"/>
  <c r="M677" i="10" s="1"/>
  <c r="N677" i="10" s="1"/>
  <c r="O310" i="13" s="1"/>
  <c r="V660" i="10"/>
  <c r="P661" i="10"/>
  <c r="Q661" i="10" s="1"/>
  <c r="P662" i="10"/>
  <c r="Q662" i="10" s="1"/>
  <c r="P660" i="10"/>
  <c r="Q660" i="10" s="1"/>
  <c r="V661" i="10"/>
  <c r="O309" i="13" l="1"/>
  <c r="B6" i="14"/>
  <c r="H2" i="14" s="1"/>
  <c r="R309" i="13"/>
  <c r="B9" i="14"/>
  <c r="B14" i="13" s="1"/>
  <c r="S14" i="13" s="1"/>
  <c r="W660" i="10"/>
  <c r="X660" i="10" s="1"/>
  <c r="W661" i="10"/>
  <c r="X661" i="10" s="1"/>
  <c r="W662" i="10"/>
  <c r="X662" i="10" s="1"/>
  <c r="J662" i="10" s="1"/>
  <c r="M662" i="10" s="1"/>
  <c r="N662" i="10" s="1"/>
  <c r="H665" i="10" s="1"/>
  <c r="V665" i="10" s="1"/>
  <c r="B11" i="13" l="1"/>
  <c r="S11" i="13" s="1"/>
  <c r="W11" i="13" s="1"/>
  <c r="B24" i="5" s="1"/>
  <c r="K2" i="14"/>
  <c r="W14" i="13"/>
  <c r="AI14" i="13"/>
  <c r="F93" i="7"/>
  <c r="S93" i="7" s="1"/>
  <c r="F90" i="7"/>
  <c r="S90" i="7" s="1"/>
  <c r="J661" i="10"/>
  <c r="M661" i="10" s="1"/>
  <c r="N661" i="10" s="1"/>
  <c r="H664" i="10" s="1"/>
  <c r="J660" i="10"/>
  <c r="M660" i="10" s="1"/>
  <c r="N660" i="10" s="1"/>
  <c r="H663" i="10"/>
  <c r="AI11" i="13" l="1"/>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s="1"/>
  <c r="M670" i="10" s="1"/>
  <c r="N670" i="10" s="1"/>
  <c r="H673" i="10" s="1"/>
  <c r="P674" i="10" l="1"/>
  <c r="P672" i="10"/>
  <c r="P673" i="10"/>
  <c r="Q673" i="10" s="1"/>
  <c r="V673" i="10"/>
  <c r="U306" i="13"/>
  <c r="H674" i="10"/>
  <c r="Q306" i="13"/>
  <c r="N669" i="10"/>
  <c r="H672" i="10" s="1"/>
  <c r="W672" i="10" l="1"/>
  <c r="W673" i="10"/>
  <c r="X673" i="10" s="1"/>
  <c r="W674" i="10"/>
  <c r="Q674" i="10"/>
  <c r="V674" i="10"/>
  <c r="Q672" i="10"/>
  <c r="V672" i="10"/>
  <c r="P306" i="13"/>
  <c r="X672" i="10" l="1"/>
  <c r="J672" i="10" s="1"/>
  <c r="M672" i="10" s="1"/>
  <c r="J673" i="10"/>
  <c r="M673" i="10" s="1"/>
  <c r="N673" i="10" s="1"/>
  <c r="Q310" i="13" s="1"/>
  <c r="X674" i="10"/>
  <c r="J674" i="10" s="1"/>
  <c r="M674" i="10" s="1"/>
  <c r="N674" i="10" s="1"/>
  <c r="U310" i="13" s="1"/>
  <c r="U307" i="13"/>
  <c r="B12" i="14"/>
  <c r="N672" i="10"/>
  <c r="H679" i="10" l="1"/>
  <c r="P308" i="13"/>
  <c r="P309" i="13"/>
  <c r="U308" i="13"/>
  <c r="U309" i="13"/>
  <c r="Q308" i="13"/>
  <c r="Q309" i="13"/>
  <c r="B8" i="14"/>
  <c r="Q307" i="13"/>
  <c r="B17" i="13"/>
  <c r="S17" i="13" s="1"/>
  <c r="N2" i="14"/>
  <c r="P307" i="13"/>
  <c r="P679" i="10" l="1"/>
  <c r="Q679" i="10" s="1"/>
  <c r="P680" i="10"/>
  <c r="Q680" i="10" s="1"/>
  <c r="V679" i="10"/>
  <c r="W680" i="10" s="1"/>
  <c r="X680" i="10" s="1"/>
  <c r="B13" i="13"/>
  <c r="S13" i="13" s="1"/>
  <c r="J2" i="14"/>
  <c r="AI17" i="13"/>
  <c r="F92" i="7"/>
  <c r="S92" i="7" s="1"/>
  <c r="W17" i="13"/>
  <c r="J680" i="10" l="1"/>
  <c r="M680" i="10" s="1"/>
  <c r="J679" i="10"/>
  <c r="M679" i="10" s="1"/>
  <c r="N679" i="10" s="1"/>
  <c r="N680" i="10"/>
  <c r="H19" i="8"/>
  <c r="B19" i="8"/>
  <c r="H18" i="8"/>
  <c r="B18" i="8"/>
  <c r="W679" i="10"/>
  <c r="X679" i="10" s="1"/>
  <c r="P310" i="13"/>
  <c r="B7" i="14"/>
  <c r="B17" i="8"/>
  <c r="H17" i="8"/>
  <c r="W13" i="13"/>
  <c r="F91" i="7"/>
  <c r="S91" i="7" s="1"/>
  <c r="AI13" i="13"/>
  <c r="F18" i="8" l="1"/>
  <c r="C18" i="8"/>
  <c r="D18" i="8"/>
  <c r="E18" i="8"/>
  <c r="C19" i="8"/>
  <c r="E19" i="8"/>
  <c r="F19" i="8"/>
  <c r="D19" i="8"/>
  <c r="M310" i="13"/>
  <c r="B4" i="14"/>
  <c r="E17" i="8"/>
  <c r="C17" i="8"/>
  <c r="F17" i="8" s="1"/>
  <c r="D17" i="8"/>
  <c r="B12" i="13"/>
  <c r="I2" i="14"/>
  <c r="F2" i="14" l="1"/>
  <c r="B9" i="13"/>
  <c r="S9" i="13" s="1"/>
  <c r="C15" i="14"/>
  <c r="C20" i="13" s="1"/>
  <c r="AA20" i="13" s="1"/>
  <c r="C12" i="14"/>
  <c r="C17" i="13" s="1"/>
  <c r="AA17" i="13" s="1"/>
  <c r="C10" i="14"/>
  <c r="C15" i="13" s="1"/>
  <c r="AA15" i="13" s="1"/>
  <c r="C8" i="14"/>
  <c r="C13" i="13" s="1"/>
  <c r="AA13" i="13" s="1"/>
  <c r="C2" i="14"/>
  <c r="C7" i="13" s="1"/>
  <c r="AA7" i="13" s="1"/>
  <c r="C14" i="14"/>
  <c r="C19" i="13" s="1"/>
  <c r="AA19" i="13" s="1"/>
  <c r="C3" i="14"/>
  <c r="C8" i="13" s="1"/>
  <c r="AA8" i="13" s="1"/>
  <c r="C13" i="14"/>
  <c r="C18" i="13" s="1"/>
  <c r="AA18" i="13" s="1"/>
  <c r="C7" i="14"/>
  <c r="C12" i="13" s="1"/>
  <c r="AA12" i="13" s="1"/>
  <c r="C5" i="14"/>
  <c r="C10" i="13" s="1"/>
  <c r="AA10" i="13" s="1"/>
  <c r="C6" i="14"/>
  <c r="C11" i="13" s="1"/>
  <c r="C4" i="14"/>
  <c r="C9" i="13" s="1"/>
  <c r="AA9" i="13" s="1"/>
  <c r="C11" i="14"/>
  <c r="C16" i="13" s="1"/>
  <c r="AA16" i="13" s="1"/>
  <c r="C9" i="14"/>
  <c r="C14" i="13" s="1"/>
  <c r="AA14" i="13" s="1"/>
  <c r="E12" i="13"/>
  <c r="E18" i="13"/>
  <c r="E20" i="13"/>
  <c r="D17" i="13"/>
  <c r="L17" i="13" s="1"/>
  <c r="D7" i="13"/>
  <c r="L7" i="13" s="1"/>
  <c r="E17" i="13"/>
  <c r="C17" i="9"/>
  <c r="E10" i="13"/>
  <c r="E14" i="13"/>
  <c r="D20" i="13"/>
  <c r="L20" i="13" s="1"/>
  <c r="D18" i="9"/>
  <c r="A5" i="9"/>
  <c r="D14" i="13"/>
  <c r="L14" i="13" s="1"/>
  <c r="D13" i="13"/>
  <c r="L13" i="13" s="1"/>
  <c r="C18" i="9"/>
  <c r="D9" i="13"/>
  <c r="L9" i="13" s="1"/>
  <c r="D19" i="9"/>
  <c r="B17" i="9"/>
  <c r="B18" i="9"/>
  <c r="D18" i="13"/>
  <c r="L18" i="13" s="1"/>
  <c r="E16" i="13"/>
  <c r="D15" i="13"/>
  <c r="L15" i="13" s="1"/>
  <c r="D12" i="13"/>
  <c r="L12" i="13" s="1"/>
  <c r="D10" i="13"/>
  <c r="L10" i="13" s="1"/>
  <c r="E7" i="13"/>
  <c r="E9" i="13"/>
  <c r="E15" i="13"/>
  <c r="S12" i="13"/>
  <c r="D11" i="13"/>
  <c r="L11" i="13" s="1"/>
  <c r="D19" i="13"/>
  <c r="L19" i="13" s="1"/>
  <c r="E19" i="13"/>
  <c r="D8" i="13"/>
  <c r="L8" i="13" s="1"/>
  <c r="D16" i="13" l="1"/>
  <c r="L16" i="13" s="1"/>
  <c r="E13" i="13"/>
  <c r="E8" i="13"/>
  <c r="C19" i="9"/>
  <c r="E11" i="13"/>
  <c r="B15" i="5" s="1"/>
  <c r="B19" i="9"/>
  <c r="F99" i="7"/>
  <c r="S99" i="7" s="1"/>
  <c r="AI9" i="13"/>
  <c r="W9" i="13"/>
  <c r="AI12" i="13"/>
  <c r="W12" i="13"/>
  <c r="F95" i="7"/>
  <c r="S95" i="7" s="1"/>
  <c r="C4" i="7" s="1"/>
  <c r="AA11" i="13"/>
  <c r="B28" i="5" s="1"/>
  <c r="B12" i="5"/>
  <c r="A8" i="9"/>
  <c r="A5" i="3" l="1"/>
  <c r="B28" i="8" s="1"/>
  <c r="A6" i="3"/>
  <c r="B9" i="4"/>
  <c r="B16" i="4"/>
  <c r="B10" i="4"/>
  <c r="B11" i="4"/>
  <c r="B8" i="4"/>
  <c r="B13" i="4"/>
  <c r="B6" i="4"/>
  <c r="B18" i="4"/>
  <c r="B12" i="4"/>
  <c r="B15" i="4"/>
  <c r="B5" i="4"/>
  <c r="B17" i="4"/>
  <c r="B14" i="4"/>
  <c r="B7" i="4"/>
  <c r="D17" i="4" l="1"/>
  <c r="C17" i="4"/>
  <c r="T17" i="4"/>
  <c r="X17" i="4"/>
  <c r="U17" i="4"/>
  <c r="V17" i="4"/>
  <c r="O17" i="4"/>
  <c r="P17" i="4"/>
  <c r="E17" i="4"/>
  <c r="S17" i="4"/>
  <c r="H17" i="4"/>
  <c r="J17" i="4"/>
  <c r="I17" i="4"/>
  <c r="Q17" i="4"/>
  <c r="R17" i="4"/>
  <c r="K17" i="4"/>
  <c r="AE10" i="13" s="1"/>
  <c r="M17" i="4"/>
  <c r="Q5" i="4"/>
  <c r="M5" i="4"/>
  <c r="R5" i="4"/>
  <c r="U5" i="4"/>
  <c r="I5" i="4"/>
  <c r="X5" i="4"/>
  <c r="K5" i="4"/>
  <c r="P5" i="4"/>
  <c r="C5" i="4"/>
  <c r="S5" i="4"/>
  <c r="V5" i="4"/>
  <c r="D5" i="4"/>
  <c r="AD12" i="13" s="1"/>
  <c r="O5" i="4"/>
  <c r="H5" i="4"/>
  <c r="J5" i="4"/>
  <c r="T5" i="4"/>
  <c r="B5" i="5"/>
  <c r="E5" i="4"/>
  <c r="X15" i="4"/>
  <c r="I15" i="4"/>
  <c r="H15" i="4"/>
  <c r="Q15" i="4"/>
  <c r="K15" i="4"/>
  <c r="AE17" i="13" s="1"/>
  <c r="R15" i="4"/>
  <c r="M15" i="4"/>
  <c r="S15" i="4"/>
  <c r="J15" i="4"/>
  <c r="V15" i="4"/>
  <c r="U15" i="4"/>
  <c r="T15" i="4"/>
  <c r="O15" i="4"/>
  <c r="D15" i="4"/>
  <c r="AD17" i="13" s="1"/>
  <c r="P15" i="4"/>
  <c r="E15" i="4"/>
  <c r="C15" i="4"/>
  <c r="T12" i="4"/>
  <c r="O12" i="4"/>
  <c r="K12" i="4"/>
  <c r="AE19" i="13" s="1"/>
  <c r="E12" i="4"/>
  <c r="R12" i="4"/>
  <c r="J12" i="4"/>
  <c r="X12" i="4"/>
  <c r="H12" i="4"/>
  <c r="Q12" i="4"/>
  <c r="C12" i="4"/>
  <c r="M12" i="4"/>
  <c r="S12" i="4"/>
  <c r="D12" i="4"/>
  <c r="U12" i="4"/>
  <c r="P12" i="4"/>
  <c r="I12" i="4"/>
  <c r="V12" i="4"/>
  <c r="H7" i="4"/>
  <c r="R7" i="4"/>
  <c r="Q7" i="4"/>
  <c r="S7" i="4"/>
  <c r="T7" i="4"/>
  <c r="E7" i="4"/>
  <c r="M7" i="4"/>
  <c r="X7" i="4"/>
  <c r="U7" i="4"/>
  <c r="J7" i="4"/>
  <c r="C7" i="4"/>
  <c r="K7" i="4"/>
  <c r="AE15" i="13" s="1"/>
  <c r="P7" i="4"/>
  <c r="D7" i="4"/>
  <c r="V7" i="4"/>
  <c r="I7" i="4"/>
  <c r="O7" i="4"/>
  <c r="M18" i="4"/>
  <c r="U18" i="4"/>
  <c r="K18" i="4"/>
  <c r="AE16" i="13" s="1"/>
  <c r="C18" i="4"/>
  <c r="D18" i="4"/>
  <c r="J18" i="4"/>
  <c r="Q18" i="4"/>
  <c r="V18" i="4"/>
  <c r="S18" i="4"/>
  <c r="H18" i="4"/>
  <c r="I18" i="4"/>
  <c r="X18" i="4"/>
  <c r="O18" i="4"/>
  <c r="R18" i="4"/>
  <c r="E18" i="4"/>
  <c r="P18" i="4"/>
  <c r="T18" i="4"/>
  <c r="P14" i="4"/>
  <c r="U14" i="4"/>
  <c r="K14" i="4"/>
  <c r="AE20" i="13" s="1"/>
  <c r="S14" i="4"/>
  <c r="V14" i="4"/>
  <c r="O14" i="4"/>
  <c r="H14" i="4"/>
  <c r="R14" i="4"/>
  <c r="X14" i="4"/>
  <c r="Q14" i="4"/>
  <c r="D14" i="4"/>
  <c r="C14" i="4"/>
  <c r="I14" i="4"/>
  <c r="T14" i="4"/>
  <c r="E14" i="4"/>
  <c r="J14" i="4"/>
  <c r="M14" i="4"/>
  <c r="D6" i="4"/>
  <c r="AD7" i="13" s="1"/>
  <c r="J6" i="4"/>
  <c r="M6" i="4"/>
  <c r="U6" i="4"/>
  <c r="H6" i="4"/>
  <c r="R6" i="4"/>
  <c r="K6" i="4"/>
  <c r="S6" i="4"/>
  <c r="I6" i="4"/>
  <c r="P6" i="4"/>
  <c r="E6" i="4"/>
  <c r="Q6" i="4"/>
  <c r="X6" i="4"/>
  <c r="V6" i="4"/>
  <c r="T6" i="4"/>
  <c r="O6" i="4"/>
  <c r="C6" i="4"/>
  <c r="X13" i="4"/>
  <c r="O13" i="4"/>
  <c r="U13" i="4"/>
  <c r="E13" i="4"/>
  <c r="Q13" i="4"/>
  <c r="J13" i="4"/>
  <c r="C13" i="4"/>
  <c r="I13" i="4"/>
  <c r="D13" i="4"/>
  <c r="R13" i="4"/>
  <c r="H13" i="4"/>
  <c r="M13" i="4"/>
  <c r="V13" i="4"/>
  <c r="S13" i="4"/>
  <c r="T13" i="4"/>
  <c r="K13" i="4"/>
  <c r="Y20" i="13" s="1"/>
  <c r="P13" i="4"/>
  <c r="T8" i="4"/>
  <c r="H8" i="4"/>
  <c r="P8" i="4"/>
  <c r="D8" i="4"/>
  <c r="C8" i="4"/>
  <c r="B6" i="5" s="1"/>
  <c r="K8" i="4"/>
  <c r="Y11" i="13" s="1"/>
  <c r="B26" i="5" s="1"/>
  <c r="X8" i="4"/>
  <c r="M8" i="4"/>
  <c r="V8" i="4"/>
  <c r="J8" i="4"/>
  <c r="O8" i="4"/>
  <c r="I8" i="4"/>
  <c r="S8" i="4"/>
  <c r="E8" i="4"/>
  <c r="Q8" i="4"/>
  <c r="U8" i="4"/>
  <c r="R8" i="4"/>
  <c r="S11" i="4"/>
  <c r="K11" i="4"/>
  <c r="AE18" i="13" s="1"/>
  <c r="D11" i="4"/>
  <c r="Q11" i="4"/>
  <c r="I11" i="4"/>
  <c r="E11" i="4"/>
  <c r="P11" i="4"/>
  <c r="O11" i="4"/>
  <c r="U11" i="4"/>
  <c r="T11" i="4"/>
  <c r="V11" i="4"/>
  <c r="M11" i="4"/>
  <c r="C11" i="4"/>
  <c r="H11" i="4"/>
  <c r="J11" i="4"/>
  <c r="R11" i="4"/>
  <c r="X11" i="4"/>
  <c r="AD13" i="13"/>
  <c r="V10" i="4"/>
  <c r="D10" i="4"/>
  <c r="AD9" i="13" s="1"/>
  <c r="E10" i="4"/>
  <c r="T10" i="4"/>
  <c r="H10" i="4"/>
  <c r="S10" i="4"/>
  <c r="O10" i="4"/>
  <c r="P10" i="4"/>
  <c r="X10" i="4"/>
  <c r="M10" i="4"/>
  <c r="U10" i="4"/>
  <c r="J10" i="4"/>
  <c r="K10" i="4"/>
  <c r="R10" i="4"/>
  <c r="C10" i="4"/>
  <c r="I10" i="4"/>
  <c r="Q10" i="4"/>
  <c r="V16" i="4"/>
  <c r="X16" i="4"/>
  <c r="T16" i="4"/>
  <c r="O16" i="4"/>
  <c r="R16" i="4"/>
  <c r="C16" i="4"/>
  <c r="Q16" i="4"/>
  <c r="M16" i="4"/>
  <c r="D16" i="4"/>
  <c r="AD8" i="13" s="1"/>
  <c r="U16" i="4"/>
  <c r="H16" i="4"/>
  <c r="J16" i="4"/>
  <c r="I16" i="4"/>
  <c r="P16" i="4"/>
  <c r="E16" i="4"/>
  <c r="S16" i="4"/>
  <c r="K16" i="4"/>
  <c r="AE8" i="13" s="1"/>
  <c r="AD10" i="13"/>
  <c r="V9" i="4"/>
  <c r="S9" i="4"/>
  <c r="J9" i="4"/>
  <c r="R9" i="4"/>
  <c r="D9" i="4"/>
  <c r="O9" i="4"/>
  <c r="H9" i="4"/>
  <c r="P9" i="4"/>
  <c r="U9" i="4"/>
  <c r="T9" i="4"/>
  <c r="I9" i="4"/>
  <c r="E9" i="4"/>
  <c r="C9" i="4"/>
  <c r="X9" i="4"/>
  <c r="M9" i="4"/>
  <c r="Q9" i="4"/>
  <c r="K9" i="4"/>
  <c r="Y13" i="13" s="1"/>
  <c r="AE9" i="13" l="1"/>
  <c r="Y12" i="13"/>
  <c r="Y10" i="13"/>
  <c r="AE13" i="13"/>
  <c r="Y15" i="13"/>
  <c r="Y17" i="13"/>
  <c r="L14" i="4"/>
  <c r="F14" i="4"/>
  <c r="G14" i="4"/>
  <c r="X14" i="13" s="1"/>
  <c r="L7" i="4"/>
  <c r="F7" i="4"/>
  <c r="G7" i="4"/>
  <c r="X15" i="13" s="1"/>
  <c r="AB15" i="13" s="1"/>
  <c r="A10" i="9"/>
  <c r="B21" i="8"/>
  <c r="F5" i="4"/>
  <c r="G5" i="4"/>
  <c r="B30" i="8"/>
  <c r="C21" i="8"/>
  <c r="F21" i="8" s="1"/>
  <c r="L5" i="4"/>
  <c r="G12" i="4"/>
  <c r="X19" i="13" s="1"/>
  <c r="F12" i="4"/>
  <c r="L12" i="4"/>
  <c r="Y8" i="13"/>
  <c r="Y18" i="13"/>
  <c r="G11" i="4"/>
  <c r="L11" i="4"/>
  <c r="AD18" i="13"/>
  <c r="F11" i="4"/>
  <c r="L13" i="4"/>
  <c r="G13" i="4"/>
  <c r="X20" i="13" s="1"/>
  <c r="AB20" i="13" s="1"/>
  <c r="F13" i="4"/>
  <c r="G16" i="4"/>
  <c r="X8" i="13" s="1"/>
  <c r="L16" i="4"/>
  <c r="F16" i="4"/>
  <c r="B11" i="5"/>
  <c r="G9" i="4"/>
  <c r="X13" i="13" s="1"/>
  <c r="AB13" i="13" s="1"/>
  <c r="AF13" i="13" s="1"/>
  <c r="L9" i="4"/>
  <c r="F9" i="4"/>
  <c r="AD20" i="13"/>
  <c r="AF20" i="13" s="1"/>
  <c r="Y9" i="13"/>
  <c r="AE14" i="13"/>
  <c r="N6" i="4"/>
  <c r="N15" i="4"/>
  <c r="N16" i="4"/>
  <c r="N14" i="4"/>
  <c r="N18" i="4"/>
  <c r="N17" i="4"/>
  <c r="B33" i="8"/>
  <c r="N8" i="4"/>
  <c r="N12" i="4"/>
  <c r="N5" i="4"/>
  <c r="N11" i="4"/>
  <c r="N13" i="4"/>
  <c r="N10" i="4"/>
  <c r="N7" i="4"/>
  <c r="N9" i="4"/>
  <c r="AE12" i="13"/>
  <c r="AE7" i="13"/>
  <c r="C22" i="8"/>
  <c r="B22" i="8"/>
  <c r="B31" i="8"/>
  <c r="Y7" i="13"/>
  <c r="AD15" i="13"/>
  <c r="L6" i="4"/>
  <c r="G6" i="4"/>
  <c r="F6" i="4"/>
  <c r="AD19" i="13"/>
  <c r="L18" i="4"/>
  <c r="G18" i="4"/>
  <c r="X16" i="13" s="1"/>
  <c r="F18" i="4"/>
  <c r="AE11" i="13"/>
  <c r="L15" i="4"/>
  <c r="G15" i="4"/>
  <c r="X17" i="13" s="1"/>
  <c r="AB17" i="13" s="1"/>
  <c r="AF17" i="13" s="1"/>
  <c r="W15" i="4" s="1"/>
  <c r="F15" i="4"/>
  <c r="AD16" i="13"/>
  <c r="Y19" i="13"/>
  <c r="AD14" i="13"/>
  <c r="Y14" i="13"/>
  <c r="Y16" i="13"/>
  <c r="T2" i="4"/>
  <c r="AD11" i="13"/>
  <c r="B10" i="5"/>
  <c r="F8" i="4"/>
  <c r="B8" i="5" s="1"/>
  <c r="G8" i="4"/>
  <c r="L8" i="4"/>
  <c r="B16" i="5" s="1"/>
  <c r="L17" i="4"/>
  <c r="G17" i="4"/>
  <c r="X10" i="13" s="1"/>
  <c r="AB10" i="13" s="1"/>
  <c r="AF10" i="13" s="1"/>
  <c r="W17" i="4" s="1"/>
  <c r="F17" i="4"/>
  <c r="G10" i="4"/>
  <c r="L10" i="4"/>
  <c r="F10" i="4"/>
  <c r="X12" i="13" l="1"/>
  <c r="AB12" i="13" s="1"/>
  <c r="AF12" i="13" s="1"/>
  <c r="AB8" i="13"/>
  <c r="AF8" i="13" s="1"/>
  <c r="W16" i="4" s="1"/>
  <c r="X7" i="13"/>
  <c r="AB7" i="13" s="1"/>
  <c r="AF7" i="13" s="1"/>
  <c r="AF15" i="13"/>
  <c r="AB14" i="13"/>
  <c r="AF14" i="13" s="1"/>
  <c r="X18" i="13"/>
  <c r="AB18" i="13" s="1"/>
  <c r="AF18" i="13" s="1"/>
  <c r="W11" i="4" s="1"/>
  <c r="X9" i="13"/>
  <c r="AB9" i="13" s="1"/>
  <c r="AF9" i="13" s="1"/>
  <c r="W10" i="4" s="1"/>
  <c r="AB16" i="13"/>
  <c r="AF16" i="13" s="1"/>
  <c r="W18" i="4" s="1"/>
  <c r="AB19" i="13"/>
  <c r="B9" i="5"/>
  <c r="X11" i="13"/>
  <c r="AF19" i="13"/>
  <c r="W12" i="4" s="1"/>
  <c r="A3" i="4"/>
  <c r="W5" i="4" l="1"/>
  <c r="W6" i="4"/>
  <c r="AB11" i="13"/>
  <c r="B25" i="5"/>
  <c r="W13" i="4"/>
  <c r="W14" i="4"/>
  <c r="W9" i="4"/>
  <c r="W7" i="4"/>
  <c r="B23" i="5" l="1"/>
  <c r="AF11" i="13"/>
  <c r="W8" i="4" l="1"/>
  <c r="B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<sst xmlns="http://schemas.openxmlformats.org/spreadsheetml/2006/main" count="3022" uniqueCount="458">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</sst>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16" fillId="0" borderId="0" xfId="0" applyFont="1" applyAlignment="1">
      <alignment horizontal="left" vertical="top" wrapText="1"/>
    </xf>
    <xf numFmtId="0" fontId="0" fillId="0" borderId="0" xfId="0"/>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abSelected="1"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457</v>
      </c>
    </row>
    <row r="59" spans="2:4" ht="30" customHeight="1" x14ac:dyDescent="0.2">
      <c r="B59" s="2" t="s">
        <v>123</v>
      </c>
    </row>
    <row r="60" spans="2:4" ht="30" customHeight="1" x14ac:dyDescent="0.2">
      <c r="B60" s="2" t="s">
        <v>124</v>
      </c>
    </row>
    <row r="61" spans="2:4" ht="30" customHeight="1" x14ac:dyDescent="0.2">
      <c r="B61" s="2" t="s">
        <v>125</v>
      </c>
    </row>
    <row r="62" spans="2:4" ht="45" x14ac:dyDescent="0.2">
      <c r="B62" s="2" t="s">
        <v>126</v>
      </c>
    </row>
    <row r="63" spans="2:4" ht="30" customHeight="1" x14ac:dyDescent="0.2">
      <c r="B63" s="2" t="s">
        <v>127</v>
      </c>
    </row>
    <row r="64" spans="2:4" ht="30" customHeight="1" x14ac:dyDescent="0.2">
      <c r="B64" s="2" t="s">
        <v>128</v>
      </c>
    </row>
    <row r="65" spans="2:4" ht="68" x14ac:dyDescent="0.2">
      <c r="B65" s="140" t="s">
        <v>456</v>
      </c>
    </row>
    <row r="66" spans="2:4" ht="18" customHeight="1" x14ac:dyDescent="0.2">
      <c r="B66" s="11" t="s">
        <v>129</v>
      </c>
    </row>
    <row r="67" spans="2:4" ht="30" customHeight="1" x14ac:dyDescent="0.2">
      <c r="B67" s="2" t="s">
        <v>130</v>
      </c>
    </row>
    <row r="68" spans="2:4" ht="3.75" customHeight="1" x14ac:dyDescent="0.2"/>
    <row r="69" spans="2:4" ht="31.5" customHeight="1" x14ac:dyDescent="0.2">
      <c r="B69" s="11" t="s">
        <v>131</v>
      </c>
    </row>
    <row r="70" spans="2:4" ht="31.5" customHeight="1" x14ac:dyDescent="0.2">
      <c r="B70" s="23" t="s">
        <v>132</v>
      </c>
      <c r="D70" s="2" t="s">
        <v>133</v>
      </c>
    </row>
    <row r="71" spans="2:4" ht="31.5" customHeight="1" x14ac:dyDescent="0.2">
      <c r="B71" s="23" t="s">
        <v>134</v>
      </c>
      <c r="D71" s="2" t="s">
        <v>135</v>
      </c>
    </row>
    <row r="72" spans="2:4" ht="31.5" customHeight="1" x14ac:dyDescent="0.2">
      <c r="B72" s="23" t="s">
        <v>136</v>
      </c>
      <c r="D72" s="2" t="s">
        <v>137</v>
      </c>
    </row>
    <row r="73" spans="2:4" ht="31.5" customHeight="1" x14ac:dyDescent="0.2">
      <c r="B73" s="23" t="s">
        <v>138</v>
      </c>
      <c r="D73" s="2" t="s">
        <v>139</v>
      </c>
    </row>
    <row r="74" spans="2:4" ht="31.5" customHeight="1" x14ac:dyDescent="0.2">
      <c r="B74" s="23" t="s">
        <v>140</v>
      </c>
      <c r="D74" s="2" t="s">
        <v>141</v>
      </c>
    </row>
    <row r="75" spans="2:4" ht="31.5" customHeight="1" x14ac:dyDescent="0.2">
      <c r="B75" s="23" t="s">
        <v>142</v>
      </c>
      <c r="D75" s="2" t="s">
        <v>143</v>
      </c>
    </row>
    <row r="76" spans="2:4" ht="31.5" customHeight="1" x14ac:dyDescent="0.2">
      <c r="B76" s="23" t="s">
        <v>144</v>
      </c>
      <c r="D76" s="2" t="s">
        <v>145</v>
      </c>
    </row>
    <row r="77" spans="2:4" ht="31.5" customHeight="1" x14ac:dyDescent="0.2">
      <c r="B77" s="23" t="s">
        <v>146</v>
      </c>
      <c r="D77" s="2" t="s">
        <v>147</v>
      </c>
    </row>
    <row r="78" spans="2:4" ht="31.5" customHeight="1" x14ac:dyDescent="0.2">
      <c r="B78" s="23" t="s">
        <v>148</v>
      </c>
      <c r="D78" s="2" t="s">
        <v>149</v>
      </c>
    </row>
    <row r="79" spans="2:4" ht="31.5" customHeight="1" x14ac:dyDescent="0.2">
      <c r="B79" s="23" t="s">
        <v>150</v>
      </c>
      <c r="D79" s="2" t="s">
        <v>151</v>
      </c>
    </row>
    <row r="80" spans="2:4" ht="31.5" customHeight="1" x14ac:dyDescent="0.2">
      <c r="B80" s="23" t="s">
        <v>152</v>
      </c>
      <c r="D80" s="2" t="s">
        <v>153</v>
      </c>
    </row>
    <row r="81" spans="2:4" ht="31.5" customHeight="1" x14ac:dyDescent="0.2">
      <c r="B81" s="23" t="s">
        <v>154</v>
      </c>
      <c r="D81" s="2" t="s">
        <v>155</v>
      </c>
    </row>
    <row r="82" spans="2:4" ht="31.5" customHeight="1" x14ac:dyDescent="0.2">
      <c r="B82" s="23" t="s">
        <v>156</v>
      </c>
      <c r="D82" s="2" t="s">
        <v>157</v>
      </c>
    </row>
    <row r="83" spans="2:4" ht="31.5" customHeight="1" x14ac:dyDescent="0.2">
      <c r="B83" s="23" t="s">
        <v>158</v>
      </c>
      <c r="D83" s="2" t="s">
        <v>159</v>
      </c>
    </row>
    <row r="84" spans="2:4" ht="31.5" customHeight="1" x14ac:dyDescent="0.2">
      <c r="B84" s="23" t="s">
        <v>160</v>
      </c>
      <c r="D84" s="2" t="s">
        <v>161</v>
      </c>
    </row>
    <row r="85" spans="2:4" ht="31.5" customHeight="1" x14ac:dyDescent="0.2">
      <c r="B85" s="23" t="s">
        <v>162</v>
      </c>
      <c r="D85" s="2" t="s">
        <v>163</v>
      </c>
    </row>
    <row r="86" spans="2:4" ht="31.5" customHeight="1" x14ac:dyDescent="0.2">
      <c r="B86" s="23" t="s">
        <v>164</v>
      </c>
      <c r="D86" s="2" t="s">
        <v>165</v>
      </c>
    </row>
    <row r="87" spans="2:4" ht="31.5" customHeight="1" x14ac:dyDescent="0.2">
      <c r="B87" s="23" t="s">
        <v>12</v>
      </c>
      <c r="D87" s="2" t="s">
        <v>166</v>
      </c>
    </row>
    <row r="88" spans="2:4" ht="31.5" customHeight="1" x14ac:dyDescent="0.2">
      <c r="B88" s="23" t="s">
        <v>167</v>
      </c>
      <c r="D88" s="2" t="s">
        <v>168</v>
      </c>
    </row>
    <row r="89" spans="2:4" ht="31.5" customHeight="1" x14ac:dyDescent="0.2">
      <c r="B89" s="23" t="s">
        <v>169</v>
      </c>
      <c r="D89" s="2" t="s">
        <v>170</v>
      </c>
    </row>
    <row r="90" spans="2:4" ht="31.5" customHeight="1" x14ac:dyDescent="0.2">
      <c r="B90" s="23" t="s">
        <v>171</v>
      </c>
      <c r="D90" s="2" t="s">
        <v>172</v>
      </c>
    </row>
    <row r="91" spans="2:4" ht="31.5" customHeight="1" x14ac:dyDescent="0.2">
      <c r="B91" s="23" t="s">
        <v>173</v>
      </c>
      <c r="D91" s="2" t="s">
        <v>174</v>
      </c>
    </row>
    <row r="92" spans="2:4" ht="31.5" customHeight="1" x14ac:dyDescent="0.2">
      <c r="B92" s="23" t="s">
        <v>175</v>
      </c>
      <c r="D92" s="2" t="s">
        <v>176</v>
      </c>
    </row>
    <row r="93" spans="2:4" ht="31.5" customHeight="1" x14ac:dyDescent="0.2">
      <c r="B93" s="23" t="s">
        <v>14</v>
      </c>
      <c r="D93" s="2" t="s">
        <v>177</v>
      </c>
    </row>
    <row r="94" spans="2:4" ht="31.5" customHeight="1" x14ac:dyDescent="0.2">
      <c r="B94" s="23" t="s">
        <v>178</v>
      </c>
      <c r="D94" s="2" t="s">
        <v>179</v>
      </c>
    </row>
    <row r="96" spans="2:4" x14ac:dyDescent="0.2">
      <c r="B96" s="24" t="s">
        <v>180</v>
      </c>
    </row>
    <row r="98" spans="2:2" ht="17" customHeight="1" x14ac:dyDescent="0.2">
      <c r="B98" s="5" t="s">
        <v>181</v>
      </c>
    </row>
    <row r="99" spans="2:2" ht="30" customHeight="1" x14ac:dyDescent="0.2">
      <c r="B99" s="2" t="s">
        <v>182</v>
      </c>
    </row>
    <row r="100" spans="2:2" ht="30" customHeight="1" x14ac:dyDescent="0.2">
      <c r="B100" s="2" t="s">
        <v>183</v>
      </c>
    </row>
    <row r="101" spans="2:2" ht="30" customHeight="1" x14ac:dyDescent="0.2">
      <c r="B101" s="2" t="s">
        <v>184</v>
      </c>
    </row>
    <row r="103" spans="2:2" x14ac:dyDescent="0.2">
      <c r="B103" t="s">
        <v>185</v>
      </c>
    </row>
    <row r="104" spans="2:2" x14ac:dyDescent="0.2">
      <c r="B104" t="s">
        <v>186</v>
      </c>
    </row>
    <row r="105" spans="2:2" x14ac:dyDescent="0.2">
      <c r="B105" t="s">
        <v>187</v>
      </c>
    </row>
    <row r="106" spans="2:2" x14ac:dyDescent="0.2">
      <c r="B106" t="s">
        <v>188</v>
      </c>
    </row>
    <row r="107" spans="2:2" x14ac:dyDescent="0.2">
      <c r="B107" t="s">
        <v>189</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4" t="s">
        <v>190</v>
      </c>
      <c r="B1" s="142"/>
      <c r="C1" s="142"/>
      <c r="D1" s="142"/>
      <c r="E1" s="142"/>
      <c r="F1" s="142"/>
      <c r="G1" s="142"/>
      <c r="H1" s="142"/>
    </row>
    <row r="2" spans="1:8" ht="18" customHeight="1" x14ac:dyDescent="0.2">
      <c r="A2" s="146" t="s">
        <v>191</v>
      </c>
      <c r="B2" s="142"/>
      <c r="C2" s="142"/>
      <c r="D2" s="142"/>
      <c r="E2" s="142"/>
      <c r="F2" s="142"/>
      <c r="G2" s="142"/>
      <c r="H2" s="142"/>
    </row>
    <row r="3" spans="1:8" ht="48" customHeight="1" x14ac:dyDescent="0.2">
      <c r="A3" s="145" t="s">
        <v>192</v>
      </c>
      <c r="B3" s="142"/>
      <c r="C3" s="142"/>
      <c r="D3" s="142"/>
      <c r="E3" s="142"/>
      <c r="F3" s="142"/>
      <c r="G3" s="142"/>
      <c r="H3" s="142"/>
    </row>
    <row r="6" spans="1:8" ht="21.75" customHeight="1" x14ac:dyDescent="0.2">
      <c r="A6" s="143" t="s">
        <v>193</v>
      </c>
      <c r="B6" s="142"/>
      <c r="C6" s="142"/>
      <c r="D6" s="142"/>
      <c r="E6" s="142"/>
      <c r="F6" s="142"/>
      <c r="G6" s="142"/>
      <c r="H6" s="142"/>
    </row>
    <row r="7" spans="1:8" ht="51" customHeight="1" x14ac:dyDescent="0.2">
      <c r="A7" s="25" t="s">
        <v>194</v>
      </c>
      <c r="B7" s="141" t="s">
        <v>195</v>
      </c>
      <c r="C7" s="142"/>
      <c r="D7" s="142"/>
      <c r="E7" s="142"/>
      <c r="F7" s="142"/>
      <c r="G7" s="142"/>
      <c r="H7" s="142"/>
    </row>
    <row r="8" spans="1:8" ht="36" customHeight="1" x14ac:dyDescent="0.2">
      <c r="A8" s="26" t="s">
        <v>196</v>
      </c>
      <c r="B8" s="141" t="s">
        <v>197</v>
      </c>
      <c r="C8" s="142"/>
      <c r="D8" s="142"/>
      <c r="E8" s="142"/>
      <c r="F8" s="142"/>
      <c r="G8" s="142"/>
      <c r="H8" s="142"/>
    </row>
    <row r="9" spans="1:8" ht="21" customHeight="1" x14ac:dyDescent="0.2">
      <c r="A9" s="25" t="s">
        <v>194</v>
      </c>
      <c r="B9" s="141" t="s">
        <v>198</v>
      </c>
      <c r="C9" s="142"/>
      <c r="D9" s="142"/>
      <c r="E9" s="142"/>
      <c r="F9" s="142"/>
      <c r="G9" s="142"/>
      <c r="H9" s="142"/>
    </row>
    <row r="10" spans="1:8" ht="36" customHeight="1" x14ac:dyDescent="0.2">
      <c r="A10" s="26" t="s">
        <v>196</v>
      </c>
      <c r="B10" s="141" t="s">
        <v>199</v>
      </c>
      <c r="C10" s="142"/>
      <c r="D10" s="142"/>
      <c r="E10" s="142"/>
      <c r="F10" s="142"/>
      <c r="G10" s="142"/>
      <c r="H10" s="142"/>
    </row>
    <row r="12" spans="1:8" ht="21.75" customHeight="1" x14ac:dyDescent="0.2">
      <c r="A12" s="143" t="s">
        <v>200</v>
      </c>
      <c r="B12" s="142"/>
      <c r="C12" s="142"/>
      <c r="D12" s="142"/>
      <c r="E12" s="142"/>
      <c r="F12" s="142"/>
      <c r="G12" s="142"/>
      <c r="H12" s="142"/>
    </row>
    <row r="13" spans="1:8" ht="36" customHeight="1" x14ac:dyDescent="0.2">
      <c r="A13" s="25" t="s">
        <v>194</v>
      </c>
      <c r="B13" s="141" t="s">
        <v>201</v>
      </c>
      <c r="C13" s="142"/>
      <c r="D13" s="142"/>
      <c r="E13" s="142"/>
      <c r="F13" s="142"/>
      <c r="G13" s="142"/>
      <c r="H13" s="142"/>
    </row>
    <row r="14" spans="1:8" ht="36" customHeight="1" x14ac:dyDescent="0.2">
      <c r="A14" s="26" t="s">
        <v>196</v>
      </c>
      <c r="B14" s="141" t="s">
        <v>202</v>
      </c>
      <c r="C14" s="142"/>
      <c r="D14" s="142"/>
      <c r="E14" s="142"/>
      <c r="F14" s="142"/>
      <c r="G14" s="142"/>
      <c r="H14" s="142"/>
    </row>
    <row r="15" spans="1:8" ht="21" customHeight="1" x14ac:dyDescent="0.2">
      <c r="A15" s="25" t="s">
        <v>194</v>
      </c>
      <c r="B15" s="141" t="s">
        <v>203</v>
      </c>
      <c r="C15" s="142"/>
      <c r="D15" s="142"/>
      <c r="E15" s="142"/>
      <c r="F15" s="142"/>
      <c r="G15" s="142"/>
      <c r="H15" s="142"/>
    </row>
    <row r="16" spans="1:8" ht="36" customHeight="1" x14ac:dyDescent="0.2">
      <c r="A16" s="26" t="s">
        <v>196</v>
      </c>
      <c r="B16" s="141" t="s">
        <v>204</v>
      </c>
      <c r="C16" s="142"/>
      <c r="D16" s="142"/>
      <c r="E16" s="142"/>
      <c r="F16" s="142"/>
      <c r="G16" s="142"/>
      <c r="H16" s="142"/>
    </row>
    <row r="18" spans="1:8" ht="21.75" customHeight="1" x14ac:dyDescent="0.2">
      <c r="A18" s="143" t="s">
        <v>205</v>
      </c>
      <c r="B18" s="142"/>
      <c r="C18" s="142"/>
      <c r="D18" s="142"/>
      <c r="E18" s="142"/>
      <c r="F18" s="142"/>
      <c r="G18" s="142"/>
      <c r="H18" s="142"/>
    </row>
    <row r="19" spans="1:8" ht="21" customHeight="1" x14ac:dyDescent="0.2">
      <c r="A19" s="25" t="s">
        <v>194</v>
      </c>
      <c r="B19" s="141" t="s">
        <v>206</v>
      </c>
      <c r="C19" s="142"/>
      <c r="D19" s="142"/>
      <c r="E19" s="142"/>
      <c r="F19" s="142"/>
      <c r="G19" s="142"/>
      <c r="H19" s="142"/>
    </row>
    <row r="20" spans="1:8" ht="51" customHeight="1" x14ac:dyDescent="0.2">
      <c r="A20" s="26" t="s">
        <v>196</v>
      </c>
      <c r="B20" s="141" t="s">
        <v>207</v>
      </c>
      <c r="C20" s="142"/>
      <c r="D20" s="142"/>
      <c r="E20" s="142"/>
      <c r="F20" s="142"/>
      <c r="G20" s="142"/>
      <c r="H20" s="142"/>
    </row>
    <row r="21" spans="1:8" ht="21" customHeight="1" x14ac:dyDescent="0.2">
      <c r="A21" s="25" t="s">
        <v>194</v>
      </c>
      <c r="B21" s="141" t="s">
        <v>208</v>
      </c>
      <c r="C21" s="142"/>
      <c r="D21" s="142"/>
      <c r="E21" s="142"/>
      <c r="F21" s="142"/>
      <c r="G21" s="142"/>
      <c r="H21" s="142"/>
    </row>
    <row r="22" spans="1:8" ht="51" customHeight="1" x14ac:dyDescent="0.2">
      <c r="A22" s="26" t="s">
        <v>196</v>
      </c>
      <c r="B22" s="141" t="s">
        <v>209</v>
      </c>
      <c r="C22" s="142"/>
      <c r="D22" s="142"/>
      <c r="E22" s="142"/>
      <c r="F22" s="142"/>
      <c r="G22" s="142"/>
      <c r="H22" s="142"/>
    </row>
    <row r="24" spans="1:8" ht="21.75" customHeight="1" x14ac:dyDescent="0.2">
      <c r="A24" s="143" t="s">
        <v>210</v>
      </c>
      <c r="B24" s="142"/>
      <c r="C24" s="142"/>
      <c r="D24" s="142"/>
      <c r="E24" s="142"/>
      <c r="F24" s="142"/>
      <c r="G24" s="142"/>
      <c r="H24" s="142"/>
    </row>
    <row r="25" spans="1:8" ht="21" customHeight="1" x14ac:dyDescent="0.2">
      <c r="A25" s="25" t="s">
        <v>194</v>
      </c>
      <c r="B25" s="141" t="s">
        <v>211</v>
      </c>
      <c r="C25" s="142"/>
      <c r="D25" s="142"/>
      <c r="E25" s="142"/>
      <c r="F25" s="142"/>
      <c r="G25" s="142"/>
      <c r="H25" s="142"/>
    </row>
    <row r="26" spans="1:8" ht="51" customHeight="1" x14ac:dyDescent="0.2">
      <c r="A26" s="26" t="s">
        <v>196</v>
      </c>
      <c r="B26" s="141" t="s">
        <v>212</v>
      </c>
      <c r="C26" s="142"/>
      <c r="D26" s="142"/>
      <c r="E26" s="142"/>
      <c r="F26" s="142"/>
      <c r="G26" s="142"/>
      <c r="H26" s="142"/>
    </row>
    <row r="27" spans="1:8" ht="21" customHeight="1" x14ac:dyDescent="0.2">
      <c r="A27" s="25" t="s">
        <v>194</v>
      </c>
      <c r="B27" s="141" t="s">
        <v>213</v>
      </c>
      <c r="C27" s="142"/>
      <c r="D27" s="142"/>
      <c r="E27" s="142"/>
      <c r="F27" s="142"/>
      <c r="G27" s="142"/>
      <c r="H27" s="142"/>
    </row>
    <row r="28" spans="1:8" ht="51" customHeight="1" x14ac:dyDescent="0.2">
      <c r="A28" s="26" t="s">
        <v>196</v>
      </c>
      <c r="B28" s="141" t="s">
        <v>214</v>
      </c>
      <c r="C28" s="142"/>
      <c r="D28" s="142"/>
      <c r="E28" s="142"/>
      <c r="F28" s="142"/>
      <c r="G28" s="142"/>
      <c r="H28" s="142"/>
    </row>
    <row r="29" spans="1:8" ht="21" customHeight="1" x14ac:dyDescent="0.2">
      <c r="A29" s="25" t="s">
        <v>194</v>
      </c>
      <c r="B29" s="141" t="s">
        <v>215</v>
      </c>
      <c r="C29" s="142"/>
      <c r="D29" s="142"/>
      <c r="E29" s="142"/>
      <c r="F29" s="142"/>
      <c r="G29" s="142"/>
      <c r="H29" s="142"/>
    </row>
    <row r="30" spans="1:8" ht="36" customHeight="1" x14ac:dyDescent="0.2">
      <c r="A30" s="26" t="s">
        <v>196</v>
      </c>
      <c r="B30" s="141" t="s">
        <v>216</v>
      </c>
      <c r="C30" s="142"/>
      <c r="D30" s="142"/>
      <c r="E30" s="142"/>
      <c r="F30" s="142"/>
      <c r="G30" s="142"/>
      <c r="H30" s="142"/>
    </row>
    <row r="32" spans="1:8" ht="21.75" customHeight="1" x14ac:dyDescent="0.2">
      <c r="A32" s="143" t="s">
        <v>217</v>
      </c>
      <c r="B32" s="142"/>
      <c r="C32" s="142"/>
      <c r="D32" s="142"/>
      <c r="E32" s="142"/>
      <c r="F32" s="142"/>
      <c r="G32" s="142"/>
      <c r="H32" s="142"/>
    </row>
    <row r="33" spans="1:8" ht="21" customHeight="1" x14ac:dyDescent="0.2">
      <c r="A33" s="25" t="s">
        <v>194</v>
      </c>
      <c r="B33" s="141" t="s">
        <v>218</v>
      </c>
      <c r="C33" s="142"/>
      <c r="D33" s="142"/>
      <c r="E33" s="142"/>
      <c r="F33" s="142"/>
      <c r="G33" s="142"/>
      <c r="H33" s="142"/>
    </row>
    <row r="34" spans="1:8" ht="51" customHeight="1" x14ac:dyDescent="0.2">
      <c r="A34" s="26" t="s">
        <v>196</v>
      </c>
      <c r="B34" s="141" t="s">
        <v>219</v>
      </c>
      <c r="C34" s="142"/>
      <c r="D34" s="142"/>
      <c r="E34" s="142"/>
      <c r="F34" s="142"/>
      <c r="G34" s="142"/>
      <c r="H34" s="142"/>
    </row>
    <row r="35" spans="1:8" ht="21" customHeight="1" x14ac:dyDescent="0.2">
      <c r="A35" s="25" t="s">
        <v>194</v>
      </c>
      <c r="B35" s="141" t="s">
        <v>220</v>
      </c>
      <c r="C35" s="142"/>
      <c r="D35" s="142"/>
      <c r="E35" s="142"/>
      <c r="F35" s="142"/>
      <c r="G35" s="142"/>
      <c r="H35" s="142"/>
    </row>
    <row r="36" spans="1:8" ht="36" customHeight="1" x14ac:dyDescent="0.2">
      <c r="A36" s="26" t="s">
        <v>196</v>
      </c>
      <c r="B36" s="141" t="s">
        <v>221</v>
      </c>
      <c r="C36" s="142"/>
      <c r="D36" s="142"/>
      <c r="E36" s="142"/>
      <c r="F36" s="142"/>
      <c r="G36" s="142"/>
      <c r="H36" s="142"/>
    </row>
    <row r="37" spans="1:8" ht="21" customHeight="1" x14ac:dyDescent="0.2">
      <c r="A37" s="25" t="s">
        <v>194</v>
      </c>
      <c r="B37" s="141" t="s">
        <v>222</v>
      </c>
      <c r="C37" s="142"/>
      <c r="D37" s="142"/>
      <c r="E37" s="142"/>
      <c r="F37" s="142"/>
      <c r="G37" s="142"/>
      <c r="H37" s="142"/>
    </row>
    <row r="38" spans="1:8" ht="51" customHeight="1" x14ac:dyDescent="0.2">
      <c r="A38" s="26" t="s">
        <v>196</v>
      </c>
      <c r="B38" s="141" t="s">
        <v>223</v>
      </c>
      <c r="C38" s="142"/>
      <c r="D38" s="142"/>
      <c r="E38" s="142"/>
      <c r="F38" s="142"/>
      <c r="G38" s="142"/>
      <c r="H38" s="142"/>
    </row>
    <row r="39" spans="1:8" ht="21" customHeight="1" x14ac:dyDescent="0.2">
      <c r="A39" s="25" t="s">
        <v>194</v>
      </c>
      <c r="B39" s="141" t="s">
        <v>224</v>
      </c>
      <c r="C39" s="142"/>
      <c r="D39" s="142"/>
      <c r="E39" s="142"/>
      <c r="F39" s="142"/>
      <c r="G39" s="142"/>
      <c r="H39" s="142"/>
    </row>
    <row r="41" spans="1:8" ht="21.75" customHeight="1" x14ac:dyDescent="0.2">
      <c r="A41" s="143" t="s">
        <v>225</v>
      </c>
      <c r="B41" s="142"/>
      <c r="C41" s="142"/>
      <c r="D41" s="142"/>
      <c r="E41" s="142"/>
      <c r="F41" s="142"/>
      <c r="G41" s="142"/>
      <c r="H41" s="142"/>
    </row>
    <row r="42" spans="1:8" ht="21" customHeight="1" x14ac:dyDescent="0.2">
      <c r="A42" s="25" t="s">
        <v>194</v>
      </c>
      <c r="B42" s="141" t="s">
        <v>226</v>
      </c>
      <c r="C42" s="142"/>
      <c r="D42" s="142"/>
      <c r="E42" s="142"/>
      <c r="F42" s="142"/>
      <c r="G42" s="142"/>
      <c r="H42" s="142"/>
    </row>
    <row r="43" spans="1:8" ht="51" customHeight="1" x14ac:dyDescent="0.2">
      <c r="A43" s="26" t="s">
        <v>196</v>
      </c>
      <c r="B43" s="141" t="s">
        <v>227</v>
      </c>
      <c r="C43" s="142"/>
      <c r="D43" s="142"/>
      <c r="E43" s="142"/>
      <c r="F43" s="142"/>
      <c r="G43" s="142"/>
      <c r="H43" s="142"/>
    </row>
    <row r="44" spans="1:8" ht="21" customHeight="1" x14ac:dyDescent="0.2">
      <c r="A44" s="25" t="s">
        <v>194</v>
      </c>
      <c r="B44" s="141" t="s">
        <v>228</v>
      </c>
      <c r="C44" s="142"/>
      <c r="D44" s="142"/>
      <c r="E44" s="142"/>
      <c r="F44" s="142"/>
      <c r="G44" s="142"/>
      <c r="H44" s="142"/>
    </row>
    <row r="45" spans="1:8" ht="36" customHeight="1" x14ac:dyDescent="0.2">
      <c r="A45" s="26" t="s">
        <v>196</v>
      </c>
      <c r="B45" s="141" t="s">
        <v>229</v>
      </c>
      <c r="C45" s="142"/>
      <c r="D45" s="142"/>
      <c r="E45" s="142"/>
      <c r="F45" s="142"/>
      <c r="G45" s="142"/>
      <c r="H45" s="142"/>
    </row>
    <row r="46" spans="1:8" ht="21" customHeight="1" x14ac:dyDescent="0.2">
      <c r="A46" s="25" t="s">
        <v>194</v>
      </c>
      <c r="B46" s="141" t="s">
        <v>230</v>
      </c>
      <c r="C46" s="142"/>
      <c r="D46" s="142"/>
      <c r="E46" s="142"/>
      <c r="F46" s="142"/>
      <c r="G46" s="142"/>
      <c r="H46" s="142"/>
    </row>
    <row r="47" spans="1:8" ht="21" customHeight="1" x14ac:dyDescent="0.2">
      <c r="A47" s="26" t="s">
        <v>196</v>
      </c>
      <c r="B47" s="141" t="s">
        <v>231</v>
      </c>
      <c r="C47" s="142"/>
      <c r="D47" s="142"/>
      <c r="E47" s="142"/>
      <c r="F47" s="142"/>
      <c r="G47" s="142"/>
      <c r="H47" s="142"/>
    </row>
    <row r="49" spans="1:8" ht="21.75" customHeight="1" x14ac:dyDescent="0.2">
      <c r="A49" s="143" t="s">
        <v>232</v>
      </c>
      <c r="B49" s="142"/>
      <c r="C49" s="142"/>
      <c r="D49" s="142"/>
      <c r="E49" s="142"/>
      <c r="F49" s="142"/>
      <c r="G49" s="142"/>
      <c r="H49" s="142"/>
    </row>
    <row r="50" spans="1:8" ht="36" customHeight="1" x14ac:dyDescent="0.2">
      <c r="A50" s="25" t="s">
        <v>194</v>
      </c>
      <c r="B50" s="141" t="s">
        <v>233</v>
      </c>
      <c r="C50" s="142"/>
      <c r="D50" s="142"/>
      <c r="E50" s="142"/>
      <c r="F50" s="142"/>
      <c r="G50" s="142"/>
      <c r="H50" s="142"/>
    </row>
    <row r="51" spans="1:8" ht="21" customHeight="1" x14ac:dyDescent="0.2">
      <c r="A51" s="26" t="s">
        <v>196</v>
      </c>
      <c r="B51" s="141" t="s">
        <v>234</v>
      </c>
      <c r="C51" s="142"/>
      <c r="D51" s="142"/>
      <c r="E51" s="142"/>
      <c r="F51" s="142"/>
      <c r="G51" s="142"/>
      <c r="H51" s="142"/>
    </row>
    <row r="52" spans="1:8" ht="21" customHeight="1" x14ac:dyDescent="0.2">
      <c r="A52" s="25" t="s">
        <v>194</v>
      </c>
      <c r="B52" s="141" t="s">
        <v>235</v>
      </c>
      <c r="C52" s="142"/>
      <c r="D52" s="142"/>
      <c r="E52" s="142"/>
      <c r="F52" s="142"/>
      <c r="G52" s="142"/>
      <c r="H52" s="142"/>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9" t="s">
        <v>236</v>
      </c>
      <c r="B1" s="142"/>
      <c r="C1" s="142"/>
      <c r="D1" s="142"/>
      <c r="E1" s="142"/>
      <c r="G1" s="27"/>
      <c r="H1" s="27"/>
      <c r="I1" s="27"/>
    </row>
    <row r="2" spans="1:9" ht="28.5" customHeight="1" x14ac:dyDescent="0.2">
      <c r="A2" s="148" t="s">
        <v>237</v>
      </c>
      <c r="B2" s="142"/>
      <c r="C2" s="142"/>
      <c r="D2" s="142"/>
      <c r="E2" s="142"/>
      <c r="G2" s="27"/>
      <c r="H2" s="27"/>
      <c r="I2" s="27"/>
    </row>
    <row r="3" spans="1:9" ht="3" customHeight="1" x14ac:dyDescent="0.2">
      <c r="G3" s="27"/>
      <c r="H3" s="27"/>
      <c r="I3" s="27"/>
    </row>
    <row r="4" spans="1:9" ht="15" customHeight="1" x14ac:dyDescent="0.2">
      <c r="A4" s="147" t="s">
        <v>238</v>
      </c>
      <c r="B4" s="142"/>
      <c r="C4" s="142"/>
      <c r="D4" s="142"/>
      <c r="E4" s="142"/>
      <c r="G4" s="27"/>
      <c r="H4" s="27"/>
      <c r="I4" s="27"/>
    </row>
    <row r="5" spans="1:9" ht="24.75" customHeight="1" x14ac:dyDescent="0.2">
      <c r="A5" s="150" t="str">
        <f ca="1">'Sport Records'!$C$4</f>
        <v>Shawn</v>
      </c>
      <c r="B5" s="142"/>
      <c r="C5" s="142"/>
      <c r="D5" s="142"/>
      <c r="E5" s="142"/>
      <c r="G5" s="27"/>
      <c r="H5" s="27"/>
      <c r="I5" s="27"/>
    </row>
    <row r="6" spans="1:9" ht="15" customHeight="1" x14ac:dyDescent="0.2">
      <c r="A6" s="152"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1276   |   70 wins, 73 losses   |   highest-rated eligible player</v>
      </c>
      <c r="B6" s="142"/>
      <c r="C6" s="142"/>
      <c r="D6" s="142"/>
      <c r="E6" s="142"/>
      <c r="G6" s="27"/>
      <c r="H6" s="27"/>
      <c r="I6" s="27"/>
    </row>
    <row r="7" spans="1:9" ht="15" customHeight="1" x14ac:dyDescent="0.2">
      <c r="G7" s="27"/>
      <c r="H7" s="27"/>
      <c r="I7" s="27"/>
    </row>
    <row r="8" spans="1:9" ht="15" customHeight="1" x14ac:dyDescent="0.2">
      <c r="A8" s="151" t="s">
        <v>239</v>
      </c>
      <c r="B8" s="142"/>
      <c r="C8" s="142"/>
      <c r="D8" s="142"/>
      <c r="E8" s="142"/>
      <c r="G8" s="27"/>
      <c r="H8" s="27"/>
      <c r="I8" s="27"/>
    </row>
    <row r="9" spans="1:9" ht="15" customHeight="1" x14ac:dyDescent="0.2">
      <c r="A9" s="28" t="s">
        <v>240</v>
      </c>
      <c r="B9" s="28" t="s">
        <v>241</v>
      </c>
      <c r="C9" s="28" t="s">
        <v>13</v>
      </c>
      <c r="D9" s="28" t="s">
        <v>242</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Log'!$D$4:$D$810,$B10,'Match Log'!$C$4:$C$810,$A10,'Match Log'!$E$4:$E$810,"Win")&amp;"–"&amp;(COUNTIFS('Match Log'!$D$4:$D$810,$B10,'Match Log'!$C$4:$C$810,$A10)-COUNTIFS('Match Log'!$D$4:$D$810,$B10,'Match Log'!$C$4:$C$810,$A10,'Match Log'!$E$4:$E$810,"Win")))</f>
        <v>6–0</v>
      </c>
      <c r="E10" s="31">
        <f>IFERROR('Sport Records'!$P$8,0)</f>
        <v>7</v>
      </c>
      <c r="G10" s="32" t="s">
        <v>243</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Log'!$D$4:$D$810,$B11,'Match Log'!$C$4:$C$810,$A11,'Match Log'!$E$4:$E$810,"Win")&amp;"–"&amp;(COUNTIFS('Match Log'!$D$4:$D$810,$B11,'Match Log'!$C$4:$C$810,$A11)-COUNTIFS('Match Log'!$D$4:$D$810,$B11,'Match Log'!$C$4:$C$810,$A11,'Match Log'!$E$4:$E$810,"Win")))</f>
        <v>5–4</v>
      </c>
      <c r="E11" s="31">
        <f>IFERROR('Sport Records'!$P$9,0)</f>
        <v>16</v>
      </c>
      <c r="G11" s="33" t="s">
        <v>244</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245</v>
      </c>
      <c r="H13" s="34" t="s">
        <v>246</v>
      </c>
      <c r="I13" s="34" t="s">
        <v>247</v>
      </c>
    </row>
    <row r="14" spans="1:9" ht="15" customHeight="1" x14ac:dyDescent="0.2">
      <c r="A14" s="29" t="str">
        <f>IF(Lists!$C$6="","",Lists!$C$6)</f>
        <v>Pool</v>
      </c>
      <c r="B14" s="30" t="str">
        <f>IFERROR('Sport Records'!$P$110,"—")</f>
        <v>Dean B</v>
      </c>
      <c r="C14" s="31">
        <f>IF(OR($B14="—",$B14=""),"",ROUND(MAX('Sport Records'!$B$110:$O$110),0))</f>
        <v>1047</v>
      </c>
      <c r="D14" s="31" t="str">
        <f>IF(OR($B14="—",$B14=""),"—",COUNTIFS('Match Log'!$D$4:$D$810,$B14,'Match Log'!$C$4:$C$810,$A14,'Match Log'!$E$4:$E$810,"Win")&amp;"–"&amp;(COUNTIFS('Match Log'!$D$4:$D$810,$B14,'Match Log'!$C$4:$C$810,$A14)-COUNTIFS('Match Log'!$D$4:$D$810,$B14,'Match Log'!$C$4:$C$810,$A14,'Match Log'!$E$4:$E$810,"Win")))</f>
        <v>7–4</v>
      </c>
      <c r="E14" s="31">
        <f>IFERROR('Sport Records'!$P$12,0)</f>
        <v>22</v>
      </c>
      <c r="G14" s="35" t="s">
        <v>248</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249</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250</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251</v>
      </c>
      <c r="H17" s="39" t="s">
        <v>252</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253</v>
      </c>
      <c r="H18" s="41" t="s">
        <v>254</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Log'!$D$4:$D$810,$B19,'Match Log'!$C$4:$C$810,$A19,'Match Log'!$E$4:$E$810,"Win")&amp;"–"&amp;(COUNTIFS('Match Log'!$D$4:$D$810,$B19,'Match Log'!$C$4:$C$810,$A19)-COUNTIFS('Match Log'!$D$4:$D$810,$B19,'Match Log'!$C$4:$C$810,$A19,'Match Log'!$E$4:$E$810,"Win")))</f>
        <v>5–1</v>
      </c>
      <c r="E19" s="31">
        <f>IFERROR('Sport Records'!$P$17,0)</f>
        <v>6</v>
      </c>
      <c r="G19" s="38" t="s">
        <v>255</v>
      </c>
      <c r="H19" s="42" t="s">
        <v>254</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256</v>
      </c>
      <c r="H20" s="41" t="s">
        <v>254</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56</v>
      </c>
      <c r="G21" s="38" t="s">
        <v>257</v>
      </c>
      <c r="H21" s="42" t="s">
        <v>258</v>
      </c>
      <c r="I21" s="40" t="s">
        <v>259</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260</v>
      </c>
      <c r="H23" s="44" t="s">
        <v>261</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262</v>
      </c>
      <c r="H24" s="44" t="s">
        <v>263</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Shawn</v>
      </c>
      <c r="C28" s="31">
        <f>IF(OR($B28="—",$B28=""),"",ROUND(MAX('Sport Records'!$B$124:$O$124),0))</f>
        <v>1048</v>
      </c>
      <c r="D28" s="31" t="str">
        <f>IF(OR($B28="—",$B28=""),"—",COUNTIFS('Match Log'!$D$4:$D$810,$B28,'Match Log'!$C$4:$C$810,$A28,'Match Log'!$E$4:$E$810,"Win")&amp;"–"&amp;(COUNTIFS('Match Log'!$D$4:$D$810,$B28,'Match Log'!$C$4:$C$810,$A28)-COUNTIFS('Match Log'!$D$4:$D$810,$B28,'Match Log'!$C$4:$C$810,$A28,'Match Log'!$E$4:$E$810,"Win")))</f>
        <v>15–10</v>
      </c>
      <c r="E28" s="31">
        <f>'Sport Records'!$P$26</f>
        <v>33</v>
      </c>
    </row>
    <row r="29" spans="1:9" x14ac:dyDescent="0.2">
      <c r="A29" s="29" t="s">
        <v>51</v>
      </c>
      <c r="B29" s="30" t="str">
        <f>IFERROR('Sport Records'!$P$125,"—")</f>
        <v>Shawn</v>
      </c>
      <c r="C29" s="31">
        <f>IF(OR($B29="—",$B29=""),"",ROUND(MAX('Sport Records'!$B$125:$O$125),0))</f>
        <v>1056</v>
      </c>
      <c r="D29" s="31" t="str">
        <f>IF(OR($B29="—",$B29=""),"—",COUNTIFS('Match Log'!$D$4:$D$810,$B29,'Match Log'!$C$4:$C$810,$A29,'Match Log'!$E$4:$E$810,"Win")&amp;"–"&amp;(COUNTIFS('Match Log'!$D$4:$D$810,$B29,'Match Log'!$C$4:$C$810,$A29)-COUNTIFS('Match Log'!$D$4:$D$810,$B29,'Match Log'!$C$4:$C$810,$A29,'Match Log'!$E$4:$E$810,"Win")))</f>
        <v>5–2</v>
      </c>
      <c r="E29" s="31">
        <f>IFERROR('Sport Records'!$P$27,0)</f>
        <v>7</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11</v>
      </c>
    </row>
    <row r="33" spans="1:5" x14ac:dyDescent="0.2">
      <c r="A33" s="29" t="s">
        <v>455</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J5" activePane="bottomRight" state="frozen"/>
      <selection pane="topRight" activeCell="D1" sqref="D1"/>
      <selection pane="bottomLeft" activeCell="A5" sqref="A5"/>
      <selection pane="bottomRight" activeCell="R9" sqref="R9"/>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264</v>
      </c>
      <c r="B1" s="46"/>
      <c r="C1" s="46"/>
      <c r="D1" s="46"/>
      <c r="E1" s="46"/>
      <c r="F1" s="46"/>
      <c r="G1" s="46"/>
      <c r="H1" s="46"/>
      <c r="I1" s="46"/>
      <c r="J1" s="46"/>
      <c r="K1" s="46"/>
      <c r="L1" s="46"/>
    </row>
    <row r="2" spans="1:24" ht="15" customHeight="1" x14ac:dyDescent="0.2">
      <c r="A2" s="47" t="s">
        <v>265</v>
      </c>
      <c r="B2" s="47"/>
      <c r="C2" s="47"/>
      <c r="D2" s="47"/>
      <c r="E2" s="47"/>
      <c r="F2" s="47"/>
      <c r="G2" s="47"/>
      <c r="H2" s="47"/>
      <c r="I2" s="47"/>
      <c r="J2" s="47"/>
      <c r="K2" s="47"/>
      <c r="L2" s="47"/>
      <c r="M2" s="48" t="str">
        <f>"Standings as of Game "&amp;MAX('Match Log'!$A$4:$A$810)&amp;"  ·  "&amp;TEXT(MAX('Match Log'!$B$4:$B$810),"d mmm yyyy")</f>
        <v>Standings as of Game 286  ·  9 Sep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132</v>
      </c>
      <c r="D4" s="51" t="s">
        <v>10</v>
      </c>
      <c r="E4" s="51" t="s">
        <v>266</v>
      </c>
      <c r="F4" s="51" t="s">
        <v>267</v>
      </c>
      <c r="G4" s="51" t="s">
        <v>12</v>
      </c>
      <c r="H4" s="51" t="s">
        <v>142</v>
      </c>
      <c r="I4" s="51" t="s">
        <v>144</v>
      </c>
      <c r="J4" s="51" t="s">
        <v>146</v>
      </c>
      <c r="K4" s="51" t="s">
        <v>268</v>
      </c>
      <c r="L4" s="51" t="s">
        <v>164</v>
      </c>
      <c r="M4" s="51" t="s">
        <v>269</v>
      </c>
      <c r="N4" s="51" t="s">
        <v>270</v>
      </c>
      <c r="O4" s="51" t="s">
        <v>152</v>
      </c>
      <c r="P4" s="51" t="s">
        <v>271</v>
      </c>
      <c r="Q4" s="51" t="s">
        <v>272</v>
      </c>
      <c r="R4" s="51" t="s">
        <v>273</v>
      </c>
      <c r="S4" s="51" t="s">
        <v>274</v>
      </c>
      <c r="T4" s="51" t="s">
        <v>160</v>
      </c>
      <c r="U4" s="51" t="s">
        <v>136</v>
      </c>
      <c r="V4" s="51" t="s">
        <v>275</v>
      </c>
      <c r="W4" s="51" t="s">
        <v>162</v>
      </c>
      <c r="X4" s="51" t="s">
        <v>276</v>
      </c>
    </row>
    <row r="5" spans="1:24" ht="15" customHeight="1" x14ac:dyDescent="0.2">
      <c r="A5" s="52">
        <f t="shared" ref="A5:A18" si="0">ROW()-4</f>
        <v>1</v>
      </c>
      <c r="B5" s="53" t="str">
        <f ca="1">IFERROR(INDEX(Calcs!$A$7:$A$20,MATCH(LARGE(Calcs!$AI$7:$AI$20,ROW()-4),Calcs!$AI$7:$AI$20,0)),"")</f>
        <v>Shawn</v>
      </c>
      <c r="C5" s="54">
        <f ca="1">IFERROR(INDEX(Calcs!$S$7:$S$20,MATCH($B5,Calcs!$A$7:$A$20,0)),"")</f>
        <v>1275.9914052236397</v>
      </c>
      <c r="D5" s="55">
        <f ca="1">COUNTIF('Match Log'!$D$4:$D$810,$B5)</f>
        <v>143</v>
      </c>
      <c r="E5" s="55">
        <f ca="1">COUNTIFS('Match Log'!$D$4:$D$810,$B5,'Match Log'!$E$4:$E$810,"Win")</f>
        <v>70</v>
      </c>
      <c r="F5" s="55">
        <f t="shared" ref="F5:F18" ca="1" si="1">$D5-$E5</f>
        <v>73</v>
      </c>
      <c r="G5" s="56">
        <f t="shared" ref="G5:G18" ca="1" si="2">IF($D5=0,"",$E5/$D5)</f>
        <v>0.48951048951048953</v>
      </c>
      <c r="H5" s="57">
        <f ca="1">SUMIF('Match Log'!$D$4:$D$810,$B5,'Match Log'!$J$4:$J$810)</f>
        <v>70.172181597417861</v>
      </c>
      <c r="I5" s="57">
        <f ca="1">SUMIF('Match Log'!$D$4:$D$810,$B5,'Match Log'!$K$4:$K$810)</f>
        <v>44.569223626222097</v>
      </c>
      <c r="J5" s="57">
        <f ca="1">SUMIF('Match Log'!$D$4:$D$810,$B5,'Match Log'!$L$4:$L$810)</f>
        <v>165</v>
      </c>
      <c r="K5" s="55">
        <f ca="1">SUMPRODUCT(--(COUNTIFS('Match Log'!$D$4:$D$810,$B5,'Match Log'!$C$4:$C$810,Lists!$C$2:$C$26)&gt;0))</f>
        <v>19</v>
      </c>
      <c r="L5" s="55" t="str">
        <f ca="1">IF($D5=0,"No games",IF(AND($D5&gt;='Guide &amp; Settings'!$C$45,$K5&gt;='Guide &amp; Settings'!$C$46),"Eligible","Provisional"))</f>
        <v>Eligible</v>
      </c>
      <c r="M5" s="54">
        <f ca="1">IFERROR(INDEX(Calcs!$C$7:$C$20,MATCH($B5,Calcs!$A$7:$A$20,0)),"")</f>
        <v>1091.5788592593517</v>
      </c>
      <c r="N5" s="54">
        <f t="shared" ref="N5:N18" ca="1" si="3">MAX($C$5:$C$18)-$C5</f>
        <v>0</v>
      </c>
      <c r="O5" s="55" t="str">
        <f ca="1">IFERROR(INDEX(Calcs!$H$7:$H$20,MATCH($B5,Calcs!$A$7:$A$20,0)),"")</f>
        <v>W1</v>
      </c>
      <c r="P5" s="55" t="str">
        <f ca="1">IFERROR(INDEX(Calcs!$I$7:$I$20,MATCH($B5,Calcs!$A$7:$A$20,0)),"")</f>
        <v>LLLLW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9 Sep</v>
      </c>
      <c r="S5" s="55">
        <f ca="1">IFERROR(ROUND(INDEX(Calcs!$Q$7:$Q$20,MATCH($B5,Calcs!$A$7:$A$20,0)),1),"")</f>
        <v>1.3</v>
      </c>
      <c r="T5" s="55" t="str">
        <f ca="1">IFERROR(INDEX(Calcs!$T$7:$T$20,MATCH($B5,Calcs!$A$7:$A$20,0)),"")</f>
        <v>Active</v>
      </c>
      <c r="U5">
        <f ca="1">IFERROR(ROUND(INDEX(Calcs!$R$7:$R$20,MATCH($B5,Calcs!$A$7:$A$20,0))+INDEX(Calcs!$U$7:$U$20,MATCH($B5,Calcs!$A$7:$A$20,0)),0),0)</f>
        <v>0</v>
      </c>
      <c r="V5" s="57">
        <f ca="1">IFERROR(ROUND(INDEX(Calcs!$S$7:$S$20,MATCH($B5,Calcs!$A$7:$A$20,0)),0),"")</f>
        <v>1276</v>
      </c>
      <c r="W5" s="55" t="str">
        <f ca="1">IFERROR(INDEX(Calcs!$AF$7:$AF$20,MATCH($B5,Calcs!$A$7:$A$20,0)),"")</f>
        <v>Elite</v>
      </c>
      <c r="X5" s="57">
        <f ca="1">IFERROR(ROUND(SUMIF('Poker Stake Ledger'!$C$18:$C$137,$B5,'Poker Stake Ledger'!$K$18:$K$137),1),0)</f>
        <v>-3.8</v>
      </c>
    </row>
    <row r="6" spans="1:24" ht="15" customHeight="1" x14ac:dyDescent="0.2">
      <c r="A6" s="52">
        <f t="shared" si="0"/>
        <v>2</v>
      </c>
      <c r="B6" s="53" t="str">
        <f ca="1">IFERROR(INDEX(Calcs!$A$7:$A$20,MATCH(LARGE(Calcs!$AI$7:$AI$20,ROW()-4),Calcs!$AI$7:$AI$20,0)),"")</f>
        <v>Aaron</v>
      </c>
      <c r="C6" s="54">
        <f ca="1">IFERROR(INDEX(Calcs!$S$7:$S$20,MATCH($B6,Calcs!$A$7:$A$20,0)),"")</f>
        <v>1254.4221853966828</v>
      </c>
      <c r="D6" s="55">
        <f ca="1">COUNTIF('Match Log'!$D$4:$D$810,$B6)</f>
        <v>84</v>
      </c>
      <c r="E6" s="55">
        <f ca="1">COUNTIFS('Match Log'!$D$4:$D$810,$B6,'Match Log'!$E$4:$E$810,"Win")</f>
        <v>42</v>
      </c>
      <c r="F6" s="55">
        <f t="shared" ca="1" si="1"/>
        <v>42</v>
      </c>
      <c r="G6" s="56">
        <f t="shared" ca="1" si="2"/>
        <v>0.5</v>
      </c>
      <c r="H6" s="57">
        <f ca="1">SUMIF('Match Log'!$D$4:$D$810,$B6,'Match Log'!$J$4:$J$810)</f>
        <v>92.776527810197052</v>
      </c>
      <c r="I6" s="57">
        <f ca="1">SUMIF('Match Log'!$D$4:$D$810,$B6,'Match Log'!$K$4:$K$810)</f>
        <v>80.745657586485379</v>
      </c>
      <c r="J6" s="57">
        <f ca="1">SUMIF('Match Log'!$D$4:$D$810,$B6,'Match Log'!$L$4:$L$810)</f>
        <v>92</v>
      </c>
      <c r="K6" s="55">
        <f ca="1">SUMPRODUCT(--(COUNTIFS('Match Log'!$D$4:$D$810,$B6,'Match Log'!$C$4:$C$810,Lists!$C$2:$C$26)&gt;0))</f>
        <v>14</v>
      </c>
      <c r="L6" s="55" t="str">
        <f ca="1">IF($D6=0,"No games",IF(AND($D6&gt;='Guide &amp; Settings'!$C$45,$K6&gt;='Guide &amp; Settings'!$C$46),"Eligible","Provisional"))</f>
        <v>Eligible</v>
      </c>
      <c r="M6" s="54">
        <f ca="1">IFERROR(INDEX(Calcs!$C$7:$C$20,MATCH($B6,Calcs!$A$7:$A$20,0)),"")</f>
        <v>1130.8465589367588</v>
      </c>
      <c r="N6" s="54">
        <f t="shared" ca="1" si="3"/>
        <v>21.569219826956896</v>
      </c>
      <c r="O6" s="55" t="str">
        <f ca="1">IFERROR(INDEX(Calcs!$H$7:$H$20,MATCH($B6,Calcs!$A$7:$A$20,0)),"")</f>
        <v>W2</v>
      </c>
      <c r="P6" s="55" t="str">
        <f ca="1">IFERROR(INDEX(Calcs!$I$7:$I$20,MATCH($B6,Calcs!$A$7:$A$20,0)),"")</f>
        <v>WWLWW</v>
      </c>
      <c r="Q6" s="55" t="str">
        <f ca="1">IFERROR(IF(INDEX(Calcs!$L$7:$L$20,MATCH($B6,Calcs!$A$7:$A$20,0))&gt;0,"▲"&amp;INDEX(Calcs!$L$7:$L$20,MATCH($B6,Calcs!$A$7:$A$20,0)),IF(INDEX(Calcs!$L$7:$L$20,MATCH($B6,Calcs!$A$7:$A$20,0))&lt;0,"▼"&amp;ABS(INDEX(Calcs!$L$7:$L$20,MATCH($B6,Calcs!$A$7:$A$20,0))),"–")),"")</f>
        <v>–</v>
      </c>
      <c r="R6" s="55" t="str">
        <f ca="1">IFERROR(IF(INDEX(Calcs!$P$7:$P$20,MATCH($B6,Calcs!$A$7:$A$20,0))=0,"—",TEXT(INDEX(Calcs!$P$7:$P$20,MATCH($B6,Calcs!$A$7:$A$20,0)),"d mmm")),"")</f>
        <v>22 Aug</v>
      </c>
      <c r="S6" s="55">
        <f ca="1">IFERROR(ROUND(INDEX(Calcs!$Q$7:$Q$20,MATCH($B6,Calcs!$A$7:$A$20,0)),1),"")</f>
        <v>3.9</v>
      </c>
      <c r="T6" s="55" t="str">
        <f ca="1">IFERROR(INDEX(Calcs!$T$7:$T$20,MATCH($B6,Calcs!$A$7:$A$20,0)),"")</f>
        <v>At risk</v>
      </c>
      <c r="U6">
        <f ca="1">IFERROR(ROUND(INDEX(Calcs!$R$7:$R$20,MATCH($B6,Calcs!$A$7:$A$20,0))+INDEX(Calcs!$U$7:$U$20,MATCH($B6,Calcs!$A$7:$A$20,0)),0),0)</f>
        <v>0</v>
      </c>
      <c r="V6" s="57">
        <f ca="1">IFERROR(ROUND(INDEX(Calcs!$S$7:$S$20,MATCH($B6,Calcs!$A$7:$A$20,0)),0),"")</f>
        <v>1254</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Dean B</v>
      </c>
      <c r="C7" s="54">
        <f ca="1">IFERROR(INDEX(Calcs!$S$7:$S$20,MATCH($B7,Calcs!$A$7:$A$20,0)),"")</f>
        <v>1228.9288111472574</v>
      </c>
      <c r="D7" s="55">
        <f ca="1">COUNTIF('Match Log'!$D$4:$D$810,$B7)</f>
        <v>39</v>
      </c>
      <c r="E7" s="55">
        <f ca="1">COUNTIFS('Match Log'!$D$4:$D$810,$B7,'Match Log'!$E$4:$E$810,"Win")</f>
        <v>24</v>
      </c>
      <c r="F7" s="55">
        <f t="shared" ca="1" si="1"/>
        <v>15</v>
      </c>
      <c r="G7" s="56">
        <f t="shared" ca="1" si="2"/>
        <v>0.61538461538461542</v>
      </c>
      <c r="H7" s="57">
        <f ca="1">SUMIF('Match Log'!$D$4:$D$810,$B7,'Match Log'!$J$4:$J$810)</f>
        <v>111.66425787331448</v>
      </c>
      <c r="I7" s="57">
        <f ca="1">SUMIF('Match Log'!$D$4:$D$810,$B7,'Match Log'!$K$4:$K$810)</f>
        <v>81.264553273943164</v>
      </c>
      <c r="J7" s="57">
        <f ca="1">SUMIF('Match Log'!$D$4:$D$810,$B7,'Match Log'!$L$4:$L$810)</f>
        <v>56</v>
      </c>
      <c r="K7" s="55">
        <f ca="1">SUMPRODUCT(--(COUNTIFS('Match Log'!$D$4:$D$810,$B7,'Match Log'!$C$4:$C$810,Lists!$C$2:$C$26)&gt;0))</f>
        <v>7</v>
      </c>
      <c r="L7" s="55" t="str">
        <f ca="1">IF($D7=0,"No games",IF(AND($D7&gt;='Guide &amp; Settings'!$C$45,$K7&gt;='Guide &amp; Settings'!$C$46),"Eligible","Provisional"))</f>
        <v>Eligible</v>
      </c>
      <c r="M7" s="54">
        <f ca="1">IFERROR(INDEX(Calcs!$C$7:$C$20,MATCH($B7,Calcs!$A$7:$A$20,0)),"")</f>
        <v>1074.1573189218398</v>
      </c>
      <c r="N7" s="54">
        <f t="shared" ca="1" si="3"/>
        <v>47.062594076382311</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22 Aug</v>
      </c>
      <c r="S7" s="55">
        <f ca="1">IFERROR(ROUND(INDEX(Calcs!$Q$7:$Q$20,MATCH($B7,Calcs!$A$7:$A$20,0)),1),"")</f>
        <v>3.9</v>
      </c>
      <c r="T7" s="55" t="str">
        <f ca="1">IFERROR(INDEX(Calcs!$T$7:$T$20,MATCH($B7,Calcs!$A$7:$A$20,0)),"")</f>
        <v>At risk</v>
      </c>
      <c r="U7">
        <f ca="1">IFERROR(ROUND(INDEX(Calcs!$R$7:$R$20,MATCH($B7,Calcs!$A$7:$A$20,0))+INDEX(Calcs!$U$7:$U$20,MATCH($B7,Calcs!$A$7:$A$20,0)),0),0)</f>
        <v>20</v>
      </c>
      <c r="V7" s="57">
        <f ca="1">IFERROR(ROUND(INDEX(Calcs!$S$7:$S$20,MATCH($B7,Calcs!$A$7:$A$20,0)),0),"")</f>
        <v>1229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Josh</v>
      </c>
      <c r="C8" s="54">
        <f ca="1">IFERROR(INDEX(Calcs!$S$7:$S$20,MATCH($B8,Calcs!$A$7:$A$20,0)),"")</f>
        <v>1214.0621492095624</v>
      </c>
      <c r="D8" s="55">
        <f ca="1">COUNTIF('Match Log'!$D$4:$D$810,$B8)</f>
        <v>62</v>
      </c>
      <c r="E8" s="55">
        <f ca="1">COUNTIFS('Match Log'!$D$4:$D$810,$B8,'Match Log'!$E$4:$E$810,"Win")</f>
        <v>37</v>
      </c>
      <c r="F8" s="55">
        <f t="shared" ca="1" si="1"/>
        <v>25</v>
      </c>
      <c r="G8" s="56">
        <f t="shared" ca="1" si="2"/>
        <v>0.59677419354838712</v>
      </c>
      <c r="H8" s="57">
        <f ca="1">SUMIF('Match Log'!$D$4:$D$810,$B8,'Match Log'!$J$4:$J$810)</f>
        <v>86.079325685091305</v>
      </c>
      <c r="I8" s="57">
        <f ca="1">SUMIF('Match Log'!$D$4:$D$810,$B8,'Match Log'!$K$4:$K$810)</f>
        <v>56.232823524470831</v>
      </c>
      <c r="J8" s="57">
        <f ca="1">SUMIF('Match Log'!$D$4:$D$810,$B8,'Match Log'!$L$4:$L$810)</f>
        <v>50</v>
      </c>
      <c r="K8" s="55">
        <f ca="1">SUMPRODUCT(--(COUNTIFS('Match Log'!$D$4:$D$810,$B8,'Match Log'!$C$4:$C$810,Lists!$C$2:$C$26)&gt;0))</f>
        <v>15</v>
      </c>
      <c r="L8" s="55" t="str">
        <f ca="1">IF($D8=0,"No games",IF(AND($D8&gt;='Guide &amp; Settings'!$C$45,$K8&gt;='Guide &amp; Settings'!$C$46),"Eligible","Provisional"))</f>
        <v>Eligible</v>
      </c>
      <c r="M8" s="54">
        <f ca="1">IFERROR(INDEX(Calcs!$C$7:$C$20,MATCH($B8,Calcs!$A$7:$A$20,0)),"")</f>
        <v>1085.6309061465815</v>
      </c>
      <c r="N8" s="54">
        <f t="shared" ca="1" si="3"/>
        <v>61.929256014077282</v>
      </c>
      <c r="O8" s="55" t="str">
        <f ca="1">IFERROR(INDEX(Calcs!$H$7:$H$20,MATCH($B8,Calcs!$A$7:$A$20,0)),"")</f>
        <v>W3</v>
      </c>
      <c r="P8" s="55" t="str">
        <f ca="1">IFERROR(INDEX(Calcs!$I$7:$I$20,MATCH($B8,Calcs!$A$7:$A$20,0)),"")</f>
        <v>WLWWW</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7 Sep</v>
      </c>
      <c r="S8" s="55">
        <f ca="1">IFERROR(ROUND(INDEX(Calcs!$Q$7:$Q$20,MATCH($B8,Calcs!$A$7:$A$20,0)),1),"")</f>
        <v>1.6</v>
      </c>
      <c r="T8" s="55" t="str">
        <f ca="1">IFERROR(INDEX(Calcs!$T$7:$T$20,MATCH($B8,Calcs!$A$7:$A$20,0)),"")</f>
        <v>Active</v>
      </c>
      <c r="U8">
        <f ca="1">IFERROR(ROUND(INDEX(Calcs!$R$7:$R$20,MATCH($B8,Calcs!$A$7:$A$20,0))+INDEX(Calcs!$U$7:$U$20,MATCH($B8,Calcs!$A$7:$A$20,0)),0),0)</f>
        <v>0</v>
      </c>
      <c r="V8" s="57">
        <f ca="1">IFERROR(ROUND(INDEX(Calcs!$S$7:$S$20,MATCH($B8,Calcs!$A$7:$A$20,0)),0),"")</f>
        <v>1214</v>
      </c>
      <c r="W8" s="55" t="str">
        <f ca="1">IFERROR(INDEX(Calcs!$AF$7:$AF$20,MATCH($B8,Calcs!$A$7:$A$20,0)),"")</f>
        <v>Elite</v>
      </c>
      <c r="X8" s="57">
        <f ca="1">IFERROR(ROUND(SUMIF('Poker Stake Ledger'!$C$18:$C$137,$B8,'Poker Stake Ledger'!$K$18:$K$137),1),0)</f>
        <v>21.8</v>
      </c>
    </row>
    <row r="9" spans="1:24" ht="15" customHeight="1" x14ac:dyDescent="0.2">
      <c r="A9" s="52">
        <f t="shared" si="0"/>
        <v>5</v>
      </c>
      <c r="B9" s="53" t="str">
        <f ca="1">IFERROR(INDEX(Calcs!$A$7:$A$20,MATCH(LARGE(Calcs!$AI$7:$AI$20,ROW()-4),Calcs!$AI$7:$AI$20,0)),"")</f>
        <v>Simon</v>
      </c>
      <c r="C9" s="54">
        <f ca="1">IFERROR(INDEX(Calcs!$S$7:$S$20,MATCH($B9,Calcs!$A$7:$A$20,0)),"")</f>
        <v>1210.4461816871431</v>
      </c>
      <c r="D9" s="55">
        <f ca="1">COUNTIF('Match Log'!$D$4:$D$810,$B9)</f>
        <v>40</v>
      </c>
      <c r="E9" s="55">
        <f ca="1">COUNTIFS('Match Log'!$D$4:$D$810,$B9,'Match Log'!$E$4:$E$810,"Win")</f>
        <v>21</v>
      </c>
      <c r="F9" s="55">
        <f t="shared" ca="1" si="1"/>
        <v>19</v>
      </c>
      <c r="G9" s="56">
        <f t="shared" ca="1" si="2"/>
        <v>0.52500000000000002</v>
      </c>
      <c r="H9" s="57">
        <f ca="1">SUMIF('Match Log'!$D$4:$D$810,$B9,'Match Log'!$J$4:$J$810)</f>
        <v>74.310240078644824</v>
      </c>
      <c r="I9" s="57">
        <f ca="1">SUMIF('Match Log'!$D$4:$D$810,$B9,'Match Log'!$K$4:$K$810)</f>
        <v>55.685941608498204</v>
      </c>
      <c r="J9" s="57">
        <f ca="1">SUMIF('Match Log'!$D$4:$D$810,$B9,'Match Log'!$L$4:$L$810)</f>
        <v>86</v>
      </c>
      <c r="K9" s="55">
        <f ca="1">SUMPRODUCT(--(COUNTIFS('Match Log'!$D$4:$D$810,$B9,'Match Log'!$C$4:$C$810,Lists!$C$2:$C$26)&gt;0))</f>
        <v>12</v>
      </c>
      <c r="L9" s="55" t="str">
        <f ca="1">IF($D9=0,"No games",IF(AND($D9&gt;='Guide &amp; Settings'!$C$45,$K9&gt;='Guide &amp; Settings'!$C$46),"Eligible","Provisional"))</f>
        <v>Eligible</v>
      </c>
      <c r="M9" s="54">
        <f ca="1">IFERROR(INDEX(Calcs!$C$7:$C$20,MATCH($B9,Calcs!$A$7:$A$20,0)),"")</f>
        <v>1083.5493817040726</v>
      </c>
      <c r="N9" s="54">
        <f t="shared" ca="1" si="3"/>
        <v>65.545223536496678</v>
      </c>
      <c r="O9" s="55" t="str">
        <f ca="1">IFERROR(INDEX(Calcs!$H$7:$H$20,MATCH($B9,Calcs!$A$7:$A$20,0)),"")</f>
        <v>W5</v>
      </c>
      <c r="P9" s="55" t="str">
        <f ca="1">IFERROR(INDEX(Calcs!$I$7:$I$20,MATCH($B9,Calcs!$A$7:$A$20,0)),"")</f>
        <v>WWWWW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6 Sep</v>
      </c>
      <c r="S9" s="55">
        <f ca="1">IFERROR(ROUND(INDEX(Calcs!$Q$7:$Q$20,MATCH($B9,Calcs!$A$7:$A$20,0)),1),"")</f>
        <v>1.7</v>
      </c>
      <c r="T9" s="55" t="str">
        <f ca="1">IFERROR(INDEX(Calcs!$T$7:$T$20,MATCH($B9,Calcs!$A$7:$A$20,0)),"")</f>
        <v>Active</v>
      </c>
      <c r="U9">
        <f ca="1">IFERROR(ROUND(INDEX(Calcs!$R$7:$R$20,MATCH($B9,Calcs!$A$7:$A$20,0))+INDEX(Calcs!$U$7:$U$20,MATCH($B9,Calcs!$A$7:$A$20,0)),0),0)</f>
        <v>0</v>
      </c>
      <c r="V9" s="57">
        <f ca="1">IFERROR(ROUND(INDEX(Calcs!$S$7:$S$20,MATCH($B9,Calcs!$A$7:$A$20,0)),0),"")</f>
        <v>1210</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Dean M</v>
      </c>
      <c r="C10" s="54">
        <f ca="1">IFERROR(INDEX(Calcs!$S$7:$S$20,MATCH($B10,Calcs!$A$7:$A$20,0)),"")</f>
        <v>1077.5488947064855</v>
      </c>
      <c r="D10" s="55">
        <f ca="1">COUNTIF('Match Log'!$D$4:$D$810,$B10)</f>
        <v>15</v>
      </c>
      <c r="E10" s="55">
        <f ca="1">COUNTIFS('Match Log'!$D$4:$D$810,$B10,'Match Log'!$E$4:$E$810,"Win")</f>
        <v>7</v>
      </c>
      <c r="F10" s="55">
        <f t="shared" ca="1" si="1"/>
        <v>8</v>
      </c>
      <c r="G10" s="56">
        <f t="shared" ca="1" si="2"/>
        <v>0.46666666666666667</v>
      </c>
      <c r="H10" s="57">
        <f ca="1">SUMIF('Match Log'!$D$4:$D$810,$B10,'Match Log'!$J$4:$J$810)</f>
        <v>28.076161354904098</v>
      </c>
      <c r="I10" s="57">
        <f ca="1">SUMIF('Match Log'!$D$4:$D$810,$B10,'Match Log'!$K$4:$K$810)</f>
        <v>24.47273335158134</v>
      </c>
      <c r="J10" s="57">
        <f ca="1">SUMIF('Match Log'!$D$4:$D$810,$B10,'Match Log'!$L$4:$L$810)</f>
        <v>35</v>
      </c>
      <c r="K10" s="55">
        <f ca="1">SUMPRODUCT(--(COUNTIFS('Match Log'!$D$4:$D$810,$B10,'Match Log'!$C$4:$C$810,Lists!$C$2:$C$26)&gt;0))</f>
        <v>4</v>
      </c>
      <c r="L10" s="55" t="str">
        <f ca="1">IF($D10=0,"No games",IF(AND($D10&gt;='Guide &amp; Settings'!$C$45,$K10&gt;='Guide &amp; Settings'!$C$46),"Eligible","Provisional"))</f>
        <v>Eligible</v>
      </c>
      <c r="M10" s="54">
        <f ca="1">IFERROR(INDEX(Calcs!$C$7:$C$20,MATCH($B10,Calcs!$A$7:$A$20,0)),"")</f>
        <v>1027.7015475783867</v>
      </c>
      <c r="N10" s="54">
        <f t="shared" ca="1" si="3"/>
        <v>198.44251051715423</v>
      </c>
      <c r="O10" s="55" t="str">
        <f ca="1">IFERROR(INDEX(Calcs!$H$7:$H$20,MATCH($B10,Calcs!$A$7:$A$20,0)),"")</f>
        <v>W1</v>
      </c>
      <c r="P10" s="55" t="str">
        <f ca="1">IFERROR(INDEX(Calcs!$I$7:$I$20,MATCH($B10,Calcs!$A$7:$A$20,0)),"")</f>
        <v>LWWLW</v>
      </c>
      <c r="Q10" s="55" t="str">
        <f ca="1">IFERROR(IF(INDEX(Calcs!$L$7:$L$20,MATCH($B10,Calcs!$A$7:$A$20,0))&gt;0,"▲"&amp;INDEX(Calcs!$L$7:$L$20,MATCH($B10,Calcs!$A$7:$A$20,0)),IF(INDEX(Calcs!$L$7:$L$20,MATCH($B10,Calcs!$A$7:$A$20,0))&lt;0,"▼"&amp;ABS(INDEX(Calcs!$L$7:$L$20,MATCH($B10,Calcs!$A$7:$A$20,0))),"–")),"")</f>
        <v>▲1</v>
      </c>
      <c r="R10" s="55" t="str">
        <f ca="1">IFERROR(IF(INDEX(Calcs!$P$7:$P$20,MATCH($B10,Calcs!$A$7:$A$20,0))=0,"—",TEXT(INDEX(Calcs!$P$7:$P$20,MATCH($B10,Calcs!$A$7:$A$20,0)),"d mmm")),"")</f>
        <v>15 Aug</v>
      </c>
      <c r="S10" s="55">
        <f ca="1">IFERROR(ROUND(INDEX(Calcs!$Q$7:$Q$20,MATCH($B10,Calcs!$A$7:$A$20,0)),1),"")</f>
        <v>4.9000000000000004</v>
      </c>
      <c r="T10" s="55" t="str">
        <f ca="1">IFERROR(INDEX(Calcs!$T$7:$T$20,MATCH($B10,Calcs!$A$7:$A$20,0)),"")</f>
        <v>Inactive</v>
      </c>
      <c r="U10">
        <f ca="1">IFERROR(ROUND(INDEX(Calcs!$R$7:$R$20,MATCH($B10,Calcs!$A$7:$A$20,0))+INDEX(Calcs!$U$7:$U$20,MATCH($B10,Calcs!$A$7:$A$20,0)),0),0)</f>
        <v>10</v>
      </c>
      <c r="V10" s="57">
        <f ca="1">IFERROR(ROUND(INDEX(Calcs!$S$7:$S$20,MATCH($B10,Calcs!$A$7:$A$20,0)),0),"")</f>
        <v>1078</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Chase</v>
      </c>
      <c r="C11" s="54">
        <f ca="1">IFERROR(INDEX(Calcs!$S$7:$S$20,MATCH($B11,Calcs!$A$7:$A$20,0)),"")</f>
        <v>1061.2287215286424</v>
      </c>
      <c r="D11" s="55">
        <f ca="1">COUNTIF('Match Log'!$D$4:$D$810,$B11)</f>
        <v>20</v>
      </c>
      <c r="E11" s="55">
        <f ca="1">COUNTIFS('Match Log'!$D$4:$D$810,$B11,'Match Log'!$E$4:$E$810,"Win")</f>
        <v>9</v>
      </c>
      <c r="F11" s="55">
        <f t="shared" ca="1" si="1"/>
        <v>11</v>
      </c>
      <c r="G11" s="56">
        <f t="shared" ca="1" si="2"/>
        <v>0.45</v>
      </c>
      <c r="H11" s="57">
        <f ca="1">SUMIF('Match Log'!$D$4:$D$810,$B11,'Match Log'!$J$4:$J$810)</f>
        <v>38.265554488910006</v>
      </c>
      <c r="I11" s="57">
        <f ca="1">SUMIF('Match Log'!$D$4:$D$810,$B11,'Match Log'!$K$4:$K$810)</f>
        <v>2.963167039732447</v>
      </c>
      <c r="J11" s="57">
        <f ca="1">SUMIF('Match Log'!$D$4:$D$810,$B11,'Match Log'!$L$4:$L$810)</f>
        <v>40</v>
      </c>
      <c r="K11" s="55">
        <f ca="1">SUMPRODUCT(--(COUNTIFS('Match Log'!$D$4:$D$810,$B11,'Match Log'!$C$4:$C$810,Lists!$C$2:$C$26)&gt;0))</f>
        <v>10</v>
      </c>
      <c r="L11" s="55" t="str">
        <f ca="1">IF($D11=0,"No games",IF(AND($D11&gt;='Guide &amp; Settings'!$C$45,$K11&gt;='Guide &amp; Settings'!$C$46),"Eligible","Provisional"))</f>
        <v>Eligible</v>
      </c>
      <c r="M11" s="54">
        <f ca="1">IFERROR(INDEX(Calcs!$C$7:$C$20,MATCH($B11,Calcs!$A$7:$A$20,0)),"")</f>
        <v>1111.675244572471</v>
      </c>
      <c r="N11" s="54">
        <f t="shared" ca="1" si="3"/>
        <v>214.76268369499735</v>
      </c>
      <c r="O11" s="55" t="str">
        <f ca="1">IFERROR(INDEX(Calcs!$H$7:$H$20,MATCH($B11,Calcs!$A$7:$A$20,0)),"")</f>
        <v>L1</v>
      </c>
      <c r="P11" s="55" t="str">
        <f ca="1">IFERROR(INDEX(Calcs!$I$7:$I$20,MATCH($B11,Calcs!$A$7:$A$20,0)),"")</f>
        <v>LLWWL</v>
      </c>
      <c r="Q11" s="55" t="str">
        <f ca="1">IFERROR(IF(INDEX(Calcs!$L$7:$L$20,MATCH($B11,Calcs!$A$7:$A$20,0))&gt;0,"▲"&amp;INDEX(Calcs!$L$7:$L$20,MATCH($B11,Calcs!$A$7:$A$20,0)),IF(INDEX(Calcs!$L$7:$L$20,MATCH($B11,Calcs!$A$7:$A$20,0))&lt;0,"▼"&amp;ABS(INDEX(Calcs!$L$7:$L$20,MATCH($B11,Calcs!$A$7:$A$20,0))),"–")),"")</f>
        <v>▼1</v>
      </c>
      <c r="R11" s="55" t="str">
        <f ca="1">IFERROR(IF(INDEX(Calcs!$P$7:$P$20,MATCH($B11,Calcs!$A$7:$A$20,0))=0,"—",TEXT(INDEX(Calcs!$P$7:$P$20,MATCH($B11,Calcs!$A$7:$A$20,0)),"d mmm")),"")</f>
        <v>9 Sep</v>
      </c>
      <c r="S11" s="55">
        <f ca="1">IFERROR(ROUND(INDEX(Calcs!$Q$7:$Q$20,MATCH($B11,Calcs!$A$7:$A$20,0)),1),"")</f>
        <v>1.3</v>
      </c>
      <c r="T11" s="55" t="str">
        <f ca="1">IFERROR(INDEX(Calcs!$T$7:$T$20,MATCH($B11,Calcs!$A$7:$A$20,0)),"")</f>
        <v>Active</v>
      </c>
      <c r="U11">
        <f ca="1">IFERROR(ROUND(INDEX(Calcs!$R$7:$R$20,MATCH($B11,Calcs!$A$7:$A$20,0))+INDEX(Calcs!$U$7:$U$20,MATCH($B11,Calcs!$A$7:$A$20,0)),0),0)</f>
        <v>20</v>
      </c>
      <c r="V11" s="57">
        <f ca="1">IFERROR(ROUND(INDEX(Calcs!$S$7:$S$20,MATCH($B11,Calcs!$A$7:$A$20,0)),0),"")</f>
        <v>1061</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Dylan A</v>
      </c>
      <c r="C12" s="54">
        <f ca="1">IFERROR(INDEX(Calcs!$S$7:$S$20,MATCH($B12,Calcs!$A$7:$A$20,0)),"")</f>
        <v>1013.2192605207141</v>
      </c>
      <c r="D12" s="55">
        <f ca="1">COUNTIF('Match Log'!$D$4:$D$810,$B12)</f>
        <v>15</v>
      </c>
      <c r="E12" s="55">
        <f ca="1">COUNTIFS('Match Log'!$D$4:$D$810,$B12,'Match Log'!$E$4:$E$810,"Win")</f>
        <v>6</v>
      </c>
      <c r="F12" s="55">
        <f t="shared" ca="1" si="1"/>
        <v>9</v>
      </c>
      <c r="G12" s="56">
        <f t="shared" ca="1" si="2"/>
        <v>0.4</v>
      </c>
      <c r="H12" s="57">
        <f ca="1">SUMIF('Match Log'!$D$4:$D$810,$B12,'Match Log'!$J$4:$J$810)</f>
        <v>-11.626983026245711</v>
      </c>
      <c r="I12" s="57">
        <f ca="1">SUMIF('Match Log'!$D$4:$D$810,$B12,'Match Log'!$K$4:$K$810)</f>
        <v>3.8462435469599932</v>
      </c>
      <c r="J12" s="57">
        <f ca="1">SUMIF('Match Log'!$D$4:$D$810,$B12,'Match Log'!$L$4:$L$810)</f>
        <v>31</v>
      </c>
      <c r="K12" s="55">
        <f ca="1">SUMPRODUCT(--(COUNTIFS('Match Log'!$D$4:$D$810,$B12,'Match Log'!$C$4:$C$810,Lists!$C$2:$C$26)&gt;0))</f>
        <v>4</v>
      </c>
      <c r="L12" s="55" t="str">
        <f ca="1">IF($D12=0,"No games",IF(AND($D12&gt;='Guide &amp; Settings'!$C$45,$K12&gt;='Guide &amp; Settings'!$C$46),"Eligible","Provisional"))</f>
        <v>Eligible</v>
      </c>
      <c r="M12" s="54">
        <f ca="1">IFERROR(INDEX(Calcs!$C$7:$C$20,MATCH($B12,Calcs!$A$7:$A$20,0)),"")</f>
        <v>1057.4767490837492</v>
      </c>
      <c r="N12" s="54">
        <f t="shared" ca="1" si="3"/>
        <v>262.77214470292563</v>
      </c>
      <c r="O12" s="55" t="str">
        <f ca="1">IFERROR(INDEX(Calcs!$H$7:$H$20,MATCH($B12,Calcs!$A$7:$A$20,0)),"")</f>
        <v>L6</v>
      </c>
      <c r="P12" s="55" t="str">
        <f ca="1">IFERROR(INDEX(Calcs!$I$7:$I$20,MATCH($B12,Calcs!$A$7:$A$20,0)),"")</f>
        <v>LLLLL</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4.9000000000000004</v>
      </c>
      <c r="T12" s="55" t="str">
        <f ca="1">IFERROR(INDEX(Calcs!$T$7:$T$20,MATCH($B12,Calcs!$A$7:$A$20,0)),"")</f>
        <v>Inactive</v>
      </c>
      <c r="U12">
        <f ca="1">IFERROR(ROUND(INDEX(Calcs!$R$7:$R$20,MATCH($B12,Calcs!$A$7:$A$20,0))+INDEX(Calcs!$U$7:$U$20,MATCH($B12,Calcs!$A$7:$A$20,0)),0),0)</f>
        <v>10</v>
      </c>
      <c r="V12" s="57">
        <f ca="1">IFERROR(ROUND(INDEX(Calcs!$S$7:$S$20,MATCH($B12,Calcs!$A$7:$A$20,0)),0),"")</f>
        <v>1013</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Log'!$D$4:$D$810,$B13)</f>
        <v>0</v>
      </c>
      <c r="E13" s="55">
        <f ca="1">COUNTIFS('Match Log'!$D$4:$D$810,$B13,'Match Log'!$E$4:$E$810,"Win")</f>
        <v>0</v>
      </c>
      <c r="F13" s="55">
        <f t="shared" ca="1" si="1"/>
        <v>0</v>
      </c>
      <c r="G13" s="56" t="str">
        <f t="shared" ca="1" si="2"/>
        <v/>
      </c>
      <c r="H13" s="57">
        <f ca="1">SUMIF('Match Log'!$D$4:$D$810,$B13,'Match Log'!$J$4:$J$810)</f>
        <v>0</v>
      </c>
      <c r="I13" s="57">
        <f ca="1">SUMIF('Match Log'!$D$4:$D$810,$B13,'Match Log'!$K$4:$K$810)</f>
        <v>0</v>
      </c>
      <c r="J13" s="57">
        <f ca="1">SUMIF('Match Log'!$D$4:$D$810,$B13,'Match Log'!$L$4:$L$810)</f>
        <v>0</v>
      </c>
      <c r="K13" s="55">
        <f ca="1">SUMPRODUCT(--(COUNTIFS('Match Log'!$D$4:$D$810,$B13,'Match Log'!$C$4:$C$810,Lists!$C$2:$C$26)&gt;0))</f>
        <v>0</v>
      </c>
      <c r="L13" s="55" t="str">
        <f ca="1">IF($D13=0,"No games",IF(AND($D13&gt;='Guide &amp; Settings'!$C$45,$K13&gt;='Guide &amp; Settings'!$C$46),"Eligible","Provisional"))</f>
        <v>No games</v>
      </c>
      <c r="M13" s="54" t="str">
        <f ca="1">IFERROR(INDEX(Calcs!$C$7:$C$20,MATCH($B13,Calcs!$A$7:$A$20,0)),"")</f>
        <v/>
      </c>
      <c r="N13" s="54">
        <f t="shared" ca="1" si="3"/>
        <v>275.99140522363973</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Daniel (Ferret)</v>
      </c>
      <c r="C14" s="54">
        <f ca="1">IFERROR(INDEX(Calcs!$S$7:$S$20,MATCH($B14,Calcs!$A$7:$A$20,0)),"")</f>
        <v>969.98596708484286</v>
      </c>
      <c r="D14" s="55">
        <f ca="1">COUNTIF('Match Log'!$D$4:$D$810,$B14)</f>
        <v>129</v>
      </c>
      <c r="E14" s="55">
        <f ca="1">COUNTIFS('Match Log'!$D$4:$D$810,$B14,'Match Log'!$E$4:$E$810,"Win")</f>
        <v>48</v>
      </c>
      <c r="F14" s="55">
        <f t="shared" ca="1" si="1"/>
        <v>81</v>
      </c>
      <c r="G14" s="56">
        <f t="shared" ca="1" si="2"/>
        <v>0.37209302325581395</v>
      </c>
      <c r="H14" s="57">
        <f ca="1">SUMIF('Match Log'!$D$4:$D$810,$B14,'Match Log'!$J$4:$J$810)</f>
        <v>-149.39183074465666</v>
      </c>
      <c r="I14" s="57">
        <f ca="1">SUMIF('Match Log'!$D$4:$D$810,$B14,'Match Log'!$K$4:$K$810)</f>
        <v>-22.272202170499675</v>
      </c>
      <c r="J14" s="57">
        <f ca="1">SUMIF('Match Log'!$D$4:$D$810,$B14,'Match Log'!$L$4:$L$810)</f>
        <v>143</v>
      </c>
      <c r="K14" s="55">
        <f ca="1">SUMPRODUCT(--(COUNTIFS('Match Log'!$D$4:$D$810,$B14,'Match Log'!$C$4:$C$810,Lists!$C$2:$C$26)&gt;0))</f>
        <v>20</v>
      </c>
      <c r="L14" s="55" t="str">
        <f ca="1">IF($D14=0,"No games",IF(AND($D14&gt;='Guide &amp; Settings'!$C$45,$K14&gt;='Guide &amp; Settings'!$C$46),"Eligible","Provisional"))</f>
        <v>Eligible</v>
      </c>
      <c r="M14" s="54">
        <f ca="1">IFERROR(INDEX(Calcs!$C$7:$C$20,MATCH($B14,Calcs!$A$7:$A$20,0)),"")</f>
        <v>1185.2737301502768</v>
      </c>
      <c r="N14" s="54">
        <f t="shared" ca="1" si="3"/>
        <v>306.00543813879688</v>
      </c>
      <c r="O14" s="55" t="str">
        <f ca="1">IFERROR(INDEX(Calcs!$H$7:$H$20,MATCH($B14,Calcs!$A$7:$A$20,0)),"")</f>
        <v>L6</v>
      </c>
      <c r="P14" s="55" t="str">
        <f ca="1">IFERROR(INDEX(Calcs!$I$7:$I$20,MATCH($B14,Calcs!$A$7:$A$20,0)),"")</f>
        <v>LLLLL</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7 Sep</v>
      </c>
      <c r="S14" s="55">
        <f ca="1">IFERROR(ROUND(INDEX(Calcs!$Q$7:$Q$20,MATCH($B14,Calcs!$A$7:$A$20,0)),1),"")</f>
        <v>1.6</v>
      </c>
      <c r="T14" s="55" t="str">
        <f ca="1">IFERROR(INDEX(Calcs!$T$7:$T$20,MATCH($B14,Calcs!$A$7:$A$20,0)),"")</f>
        <v>Active</v>
      </c>
      <c r="U14">
        <f ca="1">IFERROR(ROUND(INDEX(Calcs!$R$7:$R$20,MATCH($B14,Calcs!$A$7:$A$20,0))+INDEX(Calcs!$U$7:$U$20,MATCH($B14,Calcs!$A$7:$A$20,0)),0),0)</f>
        <v>0</v>
      </c>
      <c r="V14" s="57">
        <f ca="1">IFERROR(ROUND(INDEX(Calcs!$S$7:$S$20,MATCH($B14,Calcs!$A$7:$A$20,0)),0),"")</f>
        <v>970</v>
      </c>
      <c r="W14" s="55" t="str">
        <f ca="1">IFERROR(INDEX(Calcs!$AF$7:$AF$20,MATCH($B14,Calcs!$A$7:$A$20,0)),"")</f>
        <v>Mid</v>
      </c>
      <c r="X14" s="57">
        <f ca="1">IFERROR(ROUND(SUMIF('Poker Stake Ledger'!$C$18:$C$137,$B14,'Poker Stake Ledger'!$K$18:$K$137),1),0)</f>
        <v>-1.4</v>
      </c>
    </row>
    <row r="15" spans="1:24" ht="15" customHeight="1" x14ac:dyDescent="0.2">
      <c r="A15" s="52">
        <f t="shared" si="0"/>
        <v>11</v>
      </c>
      <c r="B15" s="53" t="str">
        <f ca="1">IFERROR(INDEX(Calcs!$A$7:$A$20,MATCH(LARGE(Calcs!$AI$7:$AI$20,ROW()-4),Calcs!$AI$7:$AI$20,0)),"")</f>
        <v>Oscar</v>
      </c>
      <c r="C15" s="54">
        <f ca="1">IFERROR(INDEX(Calcs!$S$7:$S$20,MATCH($B15,Calcs!$A$7:$A$20,0)),"")</f>
        <v>944.39454678356583</v>
      </c>
      <c r="D15" s="55">
        <f ca="1">COUNTIF('Match Log'!$D$4:$D$810,$B15)</f>
        <v>82</v>
      </c>
      <c r="E15" s="55">
        <f ca="1">COUNTIFS('Match Log'!$D$4:$D$810,$B15,'Match Log'!$E$4:$E$810,"Win")</f>
        <v>28</v>
      </c>
      <c r="F15" s="55">
        <f t="shared" ca="1" si="1"/>
        <v>54</v>
      </c>
      <c r="G15" s="56">
        <f t="shared" ca="1" si="2"/>
        <v>0.34146341463414637</v>
      </c>
      <c r="H15" s="57">
        <f ca="1">SUMIF('Match Log'!$D$4:$D$810,$B15,'Match Log'!$J$4:$J$810)</f>
        <v>-130.51564376153294</v>
      </c>
      <c r="I15" s="57">
        <f ca="1">SUMIF('Match Log'!$D$4:$D$810,$B15,'Match Log'!$K$4:$K$810)</f>
        <v>-45.089809454901385</v>
      </c>
      <c r="J15" s="57">
        <f ca="1">SUMIF('Match Log'!$D$4:$D$810,$B15,'Match Log'!$L$4:$L$810)</f>
        <v>120</v>
      </c>
      <c r="K15" s="55">
        <f ca="1">SUMPRODUCT(--(COUNTIFS('Match Log'!$D$4:$D$810,$B15,'Match Log'!$C$4:$C$810,Lists!$C$2:$C$26)&gt;0))</f>
        <v>14</v>
      </c>
      <c r="L15" s="55" t="str">
        <f ca="1">IF($D15=0,"No games",IF(AND($D15&gt;='Guide &amp; Settings'!$C$45,$K15&gt;='Guide &amp; Settings'!$C$46),"Eligible","Provisional"))</f>
        <v>Eligible</v>
      </c>
      <c r="M15" s="54">
        <f ca="1">IFERROR(INDEX(Calcs!$C$7:$C$20,MATCH($B15,Calcs!$A$7:$A$20,0)),"")</f>
        <v>1178.6590029751765</v>
      </c>
      <c r="N15" s="54">
        <f t="shared" ca="1" si="3"/>
        <v>331.5968584400739</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1.7</v>
      </c>
      <c r="T15" s="55" t="str">
        <f ca="1">IFERROR(INDEX(Calcs!$T$7:$T$20,MATCH($B15,Calcs!$A$7:$A$20,0)),"")</f>
        <v>Active</v>
      </c>
      <c r="U15">
        <f ca="1">IFERROR(ROUND(INDEX(Calcs!$R$7:$R$20,MATCH($B15,Calcs!$A$7:$A$20,0))+INDEX(Calcs!$U$7:$U$20,MATCH($B15,Calcs!$A$7:$A$20,0)),0),0)</f>
        <v>0</v>
      </c>
      <c r="V15" s="57">
        <f ca="1">IFERROR(ROUND(INDEX(Calcs!$S$7:$S$20,MATCH($B15,Calcs!$A$7:$A$20,0)),0),"")</f>
        <v>944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929.51759653351382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1084.5329651264167</v>
      </c>
      <c r="N16" s="54">
        <f t="shared" ca="1" si="3"/>
        <v>346.47380869012591</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13.6</v>
      </c>
      <c r="T16" s="55" t="str">
        <f ca="1">IFERROR(INDEX(Calcs!$T$7:$T$20,MATCH($B16,Calcs!$A$7:$A$20,0)),"")</f>
        <v>Inactive</v>
      </c>
      <c r="U16">
        <f ca="1">IFERROR(ROUND(INDEX(Calcs!$R$7:$R$20,MATCH($B16,Calcs!$A$7:$A$20,0))+INDEX(Calcs!$U$7:$U$20,MATCH($B16,Calcs!$A$7:$A$20,0)),0),0)</f>
        <v>100</v>
      </c>
      <c r="V16" s="57">
        <f ca="1">IFERROR(ROUND(INDEX(Calcs!$S$7:$S$20,MATCH($B16,Calcs!$A$7:$A$20,0)),0),"")</f>
        <v>930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887.03133644117429</v>
      </c>
      <c r="D17" s="55">
        <f ca="1">COUNTIF('Match Log'!$D$4:$D$810,$B17)</f>
        <v>23</v>
      </c>
      <c r="E17" s="55">
        <f ca="1">COUNTIFS('Match Log'!$D$4:$D$810,$B17,'Match Log'!$E$4:$E$810,"Win")</f>
        <v>5</v>
      </c>
      <c r="F17" s="55">
        <f t="shared" ca="1" si="1"/>
        <v>18</v>
      </c>
      <c r="G17" s="56">
        <f t="shared" ca="1" si="2"/>
        <v>0.21739130434782608</v>
      </c>
      <c r="H17" s="57">
        <f ca="1">SUMIF('Match Log'!$D$4:$D$810,$B17,'Match Log'!$J$4:$J$810)</f>
        <v>-91.984818702312509</v>
      </c>
      <c r="I17" s="57">
        <f ca="1">SUMIF('Match Log'!$D$4:$D$810,$B17,'Match Log'!$K$4:$K$810)</f>
        <v>-39.983844856513329</v>
      </c>
      <c r="J17" s="57">
        <f ca="1">SUMIF('Match Log'!$D$4:$D$810,$B17,'Match Log'!$L$4:$L$810)</f>
        <v>39</v>
      </c>
      <c r="K17" s="55">
        <f ca="1">SUMPRODUCT(--(COUNTIFS('Match Log'!$D$4:$D$810,$B17,'Match Log'!$C$4:$C$810,Lists!$C$2:$C$26)&gt;0))</f>
        <v>6</v>
      </c>
      <c r="L17" s="55" t="str">
        <f ca="1">IF($D17=0,"No games",IF(AND($D17&gt;='Guide &amp; Settings'!$C$45,$K17&gt;='Guide &amp; Settings'!$C$46),"Eligible","Provisional"))</f>
        <v>Eligible</v>
      </c>
      <c r="M17" s="54">
        <f ca="1">IFERROR(INDEX(Calcs!$C$7:$C$20,MATCH($B17,Calcs!$A$7:$A$20,0)),"")</f>
        <v>1151.5251648045266</v>
      </c>
      <c r="N17" s="54">
        <f t="shared" ca="1" si="3"/>
        <v>388.96006878246544</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3.9</v>
      </c>
      <c r="T17" s="55" t="str">
        <f ca="1">IFERROR(INDEX(Calcs!$T$7:$T$20,MATCH($B17,Calcs!$A$7:$A$20,0)),"")</f>
        <v>At risk</v>
      </c>
      <c r="U17">
        <f ca="1">IFERROR(ROUND(INDEX(Calcs!$R$7:$R$20,MATCH($B17,Calcs!$A$7:$A$20,0))+INDEX(Calcs!$U$7:$U$20,MATCH($B17,Calcs!$A$7:$A$20,0)),0),0)</f>
        <v>20</v>
      </c>
      <c r="V17" s="57">
        <f ca="1">IFERROR(ROUND(INDEX(Calcs!$S$7:$S$20,MATCH($B17,Calcs!$A$7:$A$20,0)),0),"")</f>
        <v>887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812.22294373677494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1099.2429224423195</v>
      </c>
      <c r="N18" s="54">
        <f t="shared" ca="1" si="3"/>
        <v>463.76846148686479</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8.6999999999999993</v>
      </c>
      <c r="T18" s="55" t="str">
        <f ca="1">IFERROR(INDEX(Calcs!$T$7:$T$20,MATCH($B18,Calcs!$A$7:$A$20,0)),"")</f>
        <v>Inactive</v>
      </c>
      <c r="U18">
        <f ca="1">IFERROR(ROUND(INDEX(Calcs!$R$7:$R$20,MATCH($B18,Calcs!$A$7:$A$20,0))+INDEX(Calcs!$U$7:$U$20,MATCH($B18,Calcs!$A$7:$A$20,0)),0),0)</f>
        <v>50</v>
      </c>
      <c r="V18" s="57">
        <f ca="1">IFERROR(ROUND(INDEX(Calcs!$S$7:$S$20,MATCH($B18,Calcs!$A$7:$A$20,0)),0),"")</f>
        <v>812</v>
      </c>
      <c r="W18" s="55" t="str">
        <f ca="1">IFERROR(INDEX(Calcs!$AF$7:$AF$20,MATCH($B18,Calcs!$A$7:$A$20,0)),"")</f>
        <v>Developing</v>
      </c>
      <c r="X18" s="57">
        <f ca="1">IFERROR(ROUND(SUMIF('Poker Stake Ledger'!$C$18:$C$137,$B18,'Poker Stake Ledger'!$K$18:$K$137),1),0)</f>
        <v>0</v>
      </c>
    </row>
    <row r="19" spans="1:24" ht="15" customHeight="1" x14ac:dyDescent="0.2">
      <c r="A19" s="58" t="s">
        <v>277</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278</v>
      </c>
    </row>
    <row r="2" spans="1:8" ht="15" customHeight="1" x14ac:dyDescent="0.2">
      <c r="A2" s="33" t="s">
        <v>279</v>
      </c>
    </row>
    <row r="3" spans="1:8" ht="15" customHeight="1" x14ac:dyDescent="0.2">
      <c r="A3" s="18" t="s">
        <v>280</v>
      </c>
      <c r="B3" s="60" t="s">
        <v>19</v>
      </c>
      <c r="D3" s="11" t="s">
        <v>281</v>
      </c>
    </row>
    <row r="4" spans="1:8" ht="15" customHeight="1" x14ac:dyDescent="0.2">
      <c r="D4" s="34" t="s">
        <v>240</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132</v>
      </c>
      <c r="B6" s="66">
        <f ca="1">IFERROR(INDEX(Dashboard!$C$5:$C$18,MATCH($B$3,Dashboard!$B$5:$B$18,0)),"")</f>
        <v>1214.0621492095624</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162</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242</v>
      </c>
      <c r="B8" s="62" t="str">
        <f ca="1">IFERROR(INDEX(Dashboard!$E$5:$E$18,MATCH($B$3,Dashboard!$B$5:$B$18,0))&amp;"–"&amp;INDEX(Dashboard!$F$5:$F$18,MATCH($B$3,Dashboard!$B$5:$B$18,0)),"")</f>
        <v>37–25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Log'!$D$4:$D$810,$B$3,'Match Log'!$C$4:$C$810,$D9)</f>
        <v>4</v>
      </c>
      <c r="F9" s="37">
        <f>COUNTIFS('Match Log'!$D$4:$D$810,$B$3,'Match Log'!$C$4:$C$810,$D9,'Match Log'!$E$4:$E$810,"Win")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282</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283</v>
      </c>
      <c r="B12" s="66">
        <f>IFERROR(INDEX(Calcs!$C$7:$C$20,MATCH($B$3,Calcs!$A$7:$A$20,0)),"")</f>
        <v>1085.6309061465815</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284</v>
      </c>
      <c r="B13" s="62" t="str">
        <f>IFERROR(INDEX(Calcs!$H$7:$H$20,MATCH($B$3,Calcs!$A$7:$A$20,0)),"")</f>
        <v>W3</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271</v>
      </c>
      <c r="B14" s="62" t="str">
        <f>IFERROR(INDEX(Calcs!$I$7:$I$20,MATCH($B$3,Calcs!$A$7:$A$20,0)),"")</f>
        <v>WLWWW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175</v>
      </c>
      <c r="B15" s="66">
        <f>IFERROR(INDEX(Calcs!$E$7:$E$20,MATCH($B$3,Calcs!$A$7:$A$20,0)),"")</f>
        <v>87.429256014077282</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164</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285</v>
      </c>
      <c r="B17" s="72" t="str">
        <f ca="1">IFERROR(TEXT(INDEX(Calcs!$P$7:$P$20,MATCH($B$3,Calcs!$A$7:$A$20,0)),"d mmm")&amp;"  ·  "&amp;INDEX(Calcs!$T$7:$T$20,MATCH($B$3,Calcs!$A$7:$A$20,0)),"")</f>
        <v>7 Sep  ·  Active</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286</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287</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288</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289</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290</v>
      </c>
      <c r="B23" s="74">
        <f ca="1">IFERROR(ROUND(INDEX(Calcs!$AB$7:$AB$20,MATCH($B$3,Calcs!$A$7:$A$20,0)),0),"")</f>
        <v>86</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291</v>
      </c>
      <c r="B24" s="72">
        <f ca="1">IFERROR(ROUND(INDEX(Calcs!$W$7:$W$20,MATCH($B$3,Calcs!$A$7:$A$20,0)),0),"")</f>
        <v>100</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292</v>
      </c>
      <c r="B25" s="72">
        <f ca="1">IFERROR(ROUND(INDEX(Calcs!$X$7:$X$20,MATCH($B$3,Calcs!$A$7:$A$20,0)),0),"")</f>
        <v>60</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293</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294</v>
      </c>
      <c r="B27" s="72">
        <f>IFERROR(ROUND(INDEX(Calcs!$Z$7:$Z$20,MATCH($B$3,Calcs!$A$7:$A$20,0)),0),"")</f>
        <v>80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295</v>
      </c>
      <c r="B28" s="72">
        <f>IFERROR(ROUND(INDEX(Calcs!$AA$7:$AA$20,MATCH($B$3,Calcs!$A$7:$A$20,0)),0),"")</f>
        <v>71</v>
      </c>
      <c r="D28" s="63" t="s">
        <v>455</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296</v>
      </c>
    </row>
    <row r="2" spans="1:15" ht="39" customHeight="1" x14ac:dyDescent="0.2">
      <c r="A2" s="155" t="s">
        <v>297</v>
      </c>
      <c r="B2" s="142"/>
      <c r="C2" s="142"/>
      <c r="D2" s="142"/>
      <c r="E2" s="142"/>
      <c r="F2" s="142"/>
      <c r="G2" s="142"/>
      <c r="H2" s="142"/>
      <c r="I2" s="142"/>
      <c r="J2" s="142"/>
      <c r="K2" s="142"/>
      <c r="L2" s="142"/>
      <c r="M2" s="142"/>
      <c r="N2" s="142"/>
      <c r="O2" s="142"/>
    </row>
    <row r="3" spans="1:15" ht="37.5" customHeight="1" x14ac:dyDescent="0.2">
      <c r="A3" s="153" t="s">
        <v>298</v>
      </c>
      <c r="B3" s="154"/>
      <c r="C3" s="154"/>
      <c r="D3" s="154"/>
      <c r="E3" s="154"/>
      <c r="F3" s="154"/>
      <c r="G3" s="154"/>
      <c r="H3" s="154"/>
      <c r="I3" s="154"/>
      <c r="J3" s="154"/>
      <c r="K3" s="154"/>
      <c r="L3" s="154"/>
      <c r="M3" s="154"/>
      <c r="N3" s="154"/>
      <c r="O3" s="154"/>
    </row>
    <row r="4" spans="1:15" ht="15" customHeight="1" x14ac:dyDescent="0.2">
      <c r="A4" s="76" t="s">
        <v>299</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71% of 7</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47% of 51</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64% of 22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67% of 6</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38% of 8</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29% of 7</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14% of 7</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60% of 30</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53% of 51</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63% of 8</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42% of 12</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64% of 47</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56% of 32</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58% of 12</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76% of 17</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36% of 22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40% of 30</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36% of 47</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70% of 10</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86% of 7</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33% of 6</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44% of 32</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24% of 17</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30% of 10</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300</v>
      </c>
      <c r="B20" s="77"/>
      <c r="C20" s="77"/>
      <c r="D20" s="77"/>
      <c r="E20" s="77"/>
      <c r="F20" s="77"/>
      <c r="G20" s="77"/>
      <c r="H20" s="77"/>
      <c r="I20" s="77"/>
      <c r="J20" s="77"/>
      <c r="K20" s="77"/>
      <c r="L20" s="77"/>
    </row>
    <row r="21" spans="1:15" ht="15" customHeight="1" x14ac:dyDescent="0.2">
      <c r="A21" s="76" t="s">
        <v>301</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8</v>
      </c>
      <c r="F22" s="77">
        <f>IF($A22=F$21,0,SUMPRODUCT(('Match Log'!$D$4:$D$810=$A22)*(COUNTIFS('Match Log'!$A$4:$A$810,'Match Log'!$A$4:$A$810,'Match Log'!$D$4:$D$810,F$21)&gt;0)))</f>
        <v>3</v>
      </c>
      <c r="G22" s="77">
        <f>IF($A22=G$21,0,SUMPRODUCT(('Match Log'!$D$4:$D$810=$A22)*(COUNTIFS('Match Log'!$A$4:$A$810,'Match Log'!$A$4:$A$810,'Match Log'!$D$4:$D$810,G$21)&gt;0)))</f>
        <v>54</v>
      </c>
      <c r="H22" s="77">
        <f>IF($A22=H$21,0,SUMPRODUCT(('Match Log'!$D$4:$D$810=$A22)*(COUNTIFS('Match Log'!$A$4:$A$810,'Match Log'!$A$4:$A$810,'Match Log'!$D$4:$D$810,H$21)&gt;0)))</f>
        <v>8</v>
      </c>
      <c r="I22" s="77">
        <f>IF($A22=I$21,0,SUMPRODUCT(('Match Log'!$D$4:$D$810=$A22)*(COUNTIFS('Match Log'!$A$4:$A$810,'Match Log'!$A$4:$A$810,'Match Log'!$D$4:$D$810,I$21)&gt;0)))</f>
        <v>31</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10</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10</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8</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4</v>
      </c>
      <c r="H25" s="77">
        <f>IF($A25=H$21,0,SUMPRODUCT(('Match Log'!$D$4:$D$810=$A25)*(COUNTIFS('Match Log'!$A$4:$A$810,'Match Log'!$A$4:$A$810,'Match Log'!$D$4:$D$810,H$21)&gt;0)))</f>
        <v>3</v>
      </c>
      <c r="I25" s="77">
        <f>IF($A25=I$21,0,SUMPRODUCT(('Match Log'!$D$4:$D$810=$A25)*(COUNTIFS('Match Log'!$A$4:$A$810,'Match Log'!$A$4:$A$810,'Match Log'!$D$4:$D$810,I$21)&gt;0)))</f>
        <v>6</v>
      </c>
      <c r="J25" s="77">
        <f>IF($A25=J$21,0,SUMPRODUCT(('Match Log'!$D$4:$D$810=$A25)*(COUNTIFS('Match Log'!$A$4:$A$810,'Match Log'!$A$4:$A$810,'Match Log'!$D$4:$D$810,J$21)&gt;0)))</f>
        <v>7</v>
      </c>
      <c r="K25" s="77">
        <f>IF($A25=K$21,0,SUMPRODUCT(('Match Log'!$D$4:$D$810=$A25)*(COUNTIFS('Match Log'!$A$4:$A$810,'Match Log'!$A$4:$A$810,'Match Log'!$D$4:$D$810,K$21)&gt;0)))</f>
        <v>1</v>
      </c>
      <c r="L25" s="77">
        <f>IF($A25=L$21,0,SUMPRODUCT(('Match Log'!$D$4:$D$810=$A25)*(COUNTIFS('Match Log'!$A$4:$A$810,'Match Log'!$A$4:$A$810,'Match Log'!$D$4:$D$810,L$21)&gt;0)))</f>
        <v>3</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31</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54</v>
      </c>
      <c r="C27" s="77">
        <f>IF($A27=C$21,0,SUMPRODUCT(('Match Log'!$D$4:$D$810=$A27)*(COUNTIFS('Match Log'!$A$4:$A$810,'Match Log'!$A$4:$A$810,'Match Log'!$D$4:$D$810,C$21)&gt;0)))</f>
        <v>1</v>
      </c>
      <c r="D27" s="77">
        <f>IF($A27=D$21,0,SUMPRODUCT(('Match Log'!$D$4:$D$810=$A27)*(COUNTIFS('Match Log'!$A$4:$A$810,'Match Log'!$A$4:$A$810,'Match Log'!$D$4:$D$810,D$21)&gt;0)))</f>
        <v>10</v>
      </c>
      <c r="E27" s="77">
        <f>IF($A27=E$21,0,SUMPRODUCT(('Match Log'!$D$4:$D$810=$A27)*(COUNTIFS('Match Log'!$A$4:$A$810,'Match Log'!$A$4:$A$810,'Match Log'!$D$4:$D$810,E$21)&gt;0)))</f>
        <v>4</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16</v>
      </c>
      <c r="I27" s="77">
        <f>IF($A27=I$21,0,SUMPRODUCT(('Match Log'!$D$4:$D$810=$A27)*(COUNTIFS('Match Log'!$A$4:$A$810,'Match Log'!$A$4:$A$810,'Match Log'!$D$4:$D$810,I$21)&gt;0)))</f>
        <v>57</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46</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16</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29</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31</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6</v>
      </c>
      <c r="F29" s="77">
        <f>IF($A29=F$21,0,SUMPRODUCT(('Match Log'!$D$4:$D$810=$A29)*(COUNTIFS('Match Log'!$A$4:$A$810,'Match Log'!$A$4:$A$810,'Match Log'!$D$4:$D$810,F$21)&gt;0)))</f>
        <v>31</v>
      </c>
      <c r="G29" s="77">
        <f>IF($A29=G$21,0,SUMPRODUCT(('Match Log'!$D$4:$D$810=$A29)*(COUNTIFS('Match Log'!$A$4:$A$810,'Match Log'!$A$4:$A$810,'Match Log'!$D$4:$D$810,G$21)&gt;0)))</f>
        <v>57</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17</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7</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10</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3</v>
      </c>
      <c r="F32" s="77">
        <f>IF($A32=F$21,0,SUMPRODUCT(('Match Log'!$D$4:$D$810=$A32)*(COUNTIFS('Match Log'!$A$4:$A$810,'Match Log'!$A$4:$A$810,'Match Log'!$D$4:$D$810,F$21)&gt;0)))</f>
        <v>7</v>
      </c>
      <c r="G32" s="77">
        <f>IF($A32=G$21,0,SUMPRODUCT(('Match Log'!$D$4:$D$810=$A32)*(COUNTIFS('Match Log'!$A$4:$A$810,'Match Log'!$A$4:$A$810,'Match Log'!$D$4:$D$810,G$21)&gt;0)))</f>
        <v>46</v>
      </c>
      <c r="H32" s="77">
        <f>IF($A32=H$21,0,SUMPRODUCT(('Match Log'!$D$4:$D$810=$A32)*(COUNTIFS('Match Log'!$A$4:$A$810,'Match Log'!$A$4:$A$810,'Match Log'!$D$4:$D$810,H$21)&gt;0)))</f>
        <v>29</v>
      </c>
      <c r="I32" s="77">
        <f>IF($A32=I$21,0,SUMPRODUCT(('Match Log'!$D$4:$D$810=$A32)*(COUNTIFS('Match Log'!$A$4:$A$810,'Match Log'!$A$4:$A$810,'Match Log'!$D$4:$D$810,I$21)&gt;0)))</f>
        <v>17</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302</v>
      </c>
    </row>
    <row r="2" spans="1:18" ht="15" customHeight="1" x14ac:dyDescent="0.2">
      <c r="A2" s="158" t="s">
        <v>303</v>
      </c>
      <c r="B2" s="142"/>
      <c r="C2" s="142"/>
      <c r="D2" s="142"/>
      <c r="E2" s="142"/>
      <c r="F2" s="142"/>
      <c r="G2" s="142"/>
      <c r="H2" s="142"/>
      <c r="I2" s="142"/>
      <c r="J2" s="142"/>
      <c r="K2" s="142"/>
      <c r="L2" s="142"/>
      <c r="M2" s="142"/>
      <c r="N2" s="142"/>
      <c r="O2" s="142"/>
      <c r="P2" s="142"/>
      <c r="Q2" s="142"/>
    </row>
    <row r="3" spans="1:18" ht="18.75" customHeight="1" x14ac:dyDescent="0.2">
      <c r="A3" s="43" t="s">
        <v>304</v>
      </c>
      <c r="C3" s="79">
        <f>SUM($P$8:$P$32)</f>
        <v>286</v>
      </c>
    </row>
    <row r="4" spans="1:18" ht="18.75" customHeight="1" x14ac:dyDescent="0.2">
      <c r="A4" s="43" t="s">
        <v>305</v>
      </c>
      <c r="C4" s="157" t="str">
        <f ca="1">INDEX($A$89:$A$102,MATCH(MAX($S$89:$S$102),$S$89:$S$102,0))</f>
        <v>Shawn</v>
      </c>
      <c r="D4" s="142"/>
      <c r="E4" s="142"/>
      <c r="F4" s="142"/>
      <c r="G4" s="142"/>
    </row>
    <row r="6" spans="1:18" ht="15" customHeight="1" x14ac:dyDescent="0.2">
      <c r="A6" s="156" t="s">
        <v>306</v>
      </c>
      <c r="B6" s="142"/>
      <c r="C6" s="142"/>
      <c r="D6" s="142"/>
      <c r="E6" s="142"/>
      <c r="F6" s="142"/>
      <c r="G6" s="142"/>
      <c r="H6" s="142"/>
      <c r="I6" s="142"/>
      <c r="J6" s="142"/>
      <c r="K6" s="142"/>
      <c r="L6" s="142"/>
      <c r="M6" s="142"/>
      <c r="N6" s="142"/>
      <c r="O6" s="142"/>
      <c r="P6" s="142"/>
      <c r="Q6" s="142"/>
    </row>
    <row r="7" spans="1:18" ht="91.5" customHeight="1" x14ac:dyDescent="0.2">
      <c r="A7" s="80" t="s">
        <v>240</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246</v>
      </c>
      <c r="R7" s="80" t="s">
        <v>307</v>
      </c>
    </row>
    <row r="8" spans="1:18" ht="15" customHeight="1" x14ac:dyDescent="0.2">
      <c r="A8" s="82" t="s">
        <v>33</v>
      </c>
      <c r="B8" s="83">
        <f>COUNTIFS('Match Log'!$D$4:$D$819,B$7,'Match Log'!$C$4:$C$819,$A8)</f>
        <v>0</v>
      </c>
      <c r="C8" s="83">
        <f>COUNTIFS('Match Log'!$D$4:$D$819,C$7,'Match Log'!$C$4:$C$819,$A8)</f>
        <v>0</v>
      </c>
      <c r="D8" s="83">
        <f>COUNTIFS('Match Log'!$D$4:$D$819,D$7,'Match Log'!$C$4:$C$819,$A8)</f>
        <v>2</v>
      </c>
      <c r="E8" s="83">
        <f>COUNTIFS('Match Log'!$D$4:$D$819,E$7,'Match Log'!$C$4:$C$819,$A8)</f>
        <v>0</v>
      </c>
      <c r="F8" s="83">
        <f>COUNTIFS('Match Log'!$D$4:$D$819,F$7,'Match Log'!$C$4:$C$819,$A8)</f>
        <v>0</v>
      </c>
      <c r="G8" s="83">
        <f>COUNTIFS('Match Log'!$D$4:$D$819,G$7,'Match Log'!$C$4:$C$819,$A8)</f>
        <v>6</v>
      </c>
      <c r="H8" s="83">
        <f>COUNTIFS('Match Log'!$D$4:$D$819,H$7,'Match Log'!$C$4:$C$819,$A8)</f>
        <v>1</v>
      </c>
      <c r="I8" s="83">
        <f>COUNTIFS('Match Log'!$D$4:$D$819,I$7,'Match Log'!$C$4:$C$819,$A8)</f>
        <v>5</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7</v>
      </c>
      <c r="Q8" s="85" t="str">
        <f t="shared" ref="Q8:Q32" si="0">IF($P8=0,"—",INDEX($B$34:$O$34,MATCH(MAX($B35:$O35),$B35:$O35,0)))</f>
        <v>Shawn</v>
      </c>
      <c r="R8" s="84">
        <f t="shared" ref="R8:R32" si="1">IF($P8=0,"—",MAX($B35:$O35))</f>
        <v>6</v>
      </c>
    </row>
    <row r="9" spans="1:18" ht="15" customHeight="1" x14ac:dyDescent="0.2">
      <c r="A9" s="82" t="s">
        <v>34</v>
      </c>
      <c r="B9" s="83">
        <f>COUNTIFS('Match Log'!$D$4:$D$819,B$7,'Match Log'!$C$4:$C$819,$A9)</f>
        <v>9</v>
      </c>
      <c r="C9" s="83">
        <f>COUNTIFS('Match Log'!$D$4:$D$819,C$7,'Match Log'!$C$4:$C$819,$A9)</f>
        <v>0</v>
      </c>
      <c r="D9" s="83">
        <f>COUNTIFS('Match Log'!$D$4:$D$819,D$7,'Match Log'!$C$4:$C$819,$A9)</f>
        <v>0</v>
      </c>
      <c r="E9" s="83">
        <f>COUNTIFS('Match Log'!$D$4:$D$819,E$7,'Match Log'!$C$4:$C$819,$A9)</f>
        <v>3</v>
      </c>
      <c r="F9" s="83">
        <f>COUNTIFS('Match Log'!$D$4:$D$819,F$7,'Match Log'!$C$4:$C$819,$A9)</f>
        <v>0</v>
      </c>
      <c r="G9" s="83">
        <f>COUNTIFS('Match Log'!$D$4:$D$819,G$7,'Match Log'!$C$4:$C$819,$A9)</f>
        <v>10</v>
      </c>
      <c r="H9" s="83">
        <f>COUNTIFS('Match Log'!$D$4:$D$819,H$7,'Match Log'!$C$4:$C$819,$A9)</f>
        <v>3</v>
      </c>
      <c r="I9" s="83">
        <f>COUNTIFS('Match Log'!$D$4:$D$819,I$7,'Match Log'!$C$4:$C$819,$A9)</f>
        <v>10</v>
      </c>
      <c r="J9" s="83">
        <f>COUNTIFS('Match Log'!$D$4:$D$819,J$7,'Match Log'!$C$4:$C$819,$A9)</f>
        <v>4</v>
      </c>
      <c r="K9" s="83">
        <f>COUNTIFS('Match Log'!$D$4:$D$819,K$7,'Match Log'!$C$4:$C$819,$A9)</f>
        <v>0</v>
      </c>
      <c r="L9" s="83">
        <f>COUNTIFS('Match Log'!$D$4:$D$819,L$7,'Match Log'!$C$4:$C$819,$A9)</f>
        <v>3</v>
      </c>
      <c r="M9" s="83">
        <f>COUNTIFS('Match Log'!$D$4:$D$819,M$7,'Match Log'!$C$4:$C$819,$A9)</f>
        <v>3</v>
      </c>
      <c r="N9" s="83">
        <f>COUNTIFS('Match Log'!$D$4:$D$819,N$7,'Match Log'!$C$4:$C$819,$A9)</f>
        <v>4</v>
      </c>
      <c r="O9" s="83">
        <f>COUNTIFS('Match Log'!$D$4:$D$819,O$7,'Match Log'!$C$4:$C$819,$A9)</f>
        <v>0</v>
      </c>
      <c r="P9" s="84">
        <f>SUMPRODUCT(('Match Log'!$C$4:$C$819=$A9)*('Match Log'!$D$4:$D$819='Match Log'!$G$4:$G$819)*('Match Log'!$D$4:$D$819&lt;&gt;""))</f>
        <v>16</v>
      </c>
      <c r="Q9" s="85" t="str">
        <f t="shared" si="0"/>
        <v>Aaron</v>
      </c>
      <c r="R9" s="84">
        <f t="shared" si="1"/>
        <v>5</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22</v>
      </c>
      <c r="H10" s="83">
        <f>COUNTIFS('Match Log'!$D$4:$D$819,H$7,'Match Log'!$C$4:$C$819,$A10)</f>
        <v>1</v>
      </c>
      <c r="I10" s="83">
        <f>COUNTIFS('Match Log'!$D$4:$D$819,I$7,'Match Log'!$C$4:$C$819,$A10)</f>
        <v>14</v>
      </c>
      <c r="J10" s="83">
        <f>COUNTIFS('Match Log'!$D$4:$D$819,J$7,'Match Log'!$C$4:$C$819,$A10)</f>
        <v>0</v>
      </c>
      <c r="K10" s="83">
        <f>COUNTIFS('Match Log'!$D$4:$D$819,K$7,'Match Log'!$C$4:$C$819,$A10)</f>
        <v>0</v>
      </c>
      <c r="L10" s="83">
        <f>COUNTIFS('Match Log'!$D$4:$D$819,L$7,'Match Log'!$C$4:$C$819,$A10)</f>
        <v>7</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30</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2</v>
      </c>
      <c r="F12" s="83">
        <f>COUNTIFS('Match Log'!$D$4:$D$819,F$7,'Match Log'!$C$4:$C$819,$A12)</f>
        <v>4</v>
      </c>
      <c r="G12" s="83">
        <f>COUNTIFS('Match Log'!$D$4:$D$819,G$7,'Match Log'!$C$4:$C$819,$A12)</f>
        <v>1</v>
      </c>
      <c r="H12" s="83">
        <f>COUNTIFS('Match Log'!$D$4:$D$819,H$7,'Match Log'!$C$4:$C$819,$A12)</f>
        <v>2</v>
      </c>
      <c r="I12" s="83">
        <f>COUNTIFS('Match Log'!$D$4:$D$819,I$7,'Match Log'!$C$4:$C$819,$A12)</f>
        <v>8</v>
      </c>
      <c r="J12" s="83">
        <f>COUNTIFS('Match Log'!$D$4:$D$819,J$7,'Match Log'!$C$4:$C$819,$A12)</f>
        <v>11</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22</v>
      </c>
      <c r="Q12" s="85" t="str">
        <f t="shared" si="0"/>
        <v>Dean B</v>
      </c>
      <c r="R12" s="84">
        <f t="shared" si="1"/>
        <v>7</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6</v>
      </c>
      <c r="H17" s="83">
        <f>COUNTIFS('Match Log'!$D$4:$D$819,H$7,'Match Log'!$C$4:$C$819,$A17)</f>
        <v>6</v>
      </c>
      <c r="I17" s="83">
        <f>COUNTIFS('Match Log'!$D$4:$D$819,I$7,'Match Log'!$C$4:$C$819,$A17)</f>
        <v>0</v>
      </c>
      <c r="J17" s="83">
        <f>COUNTIFS('Match Log'!$D$4:$D$819,J$7,'Match Log'!$C$4:$C$819,$A17)</f>
        <v>0</v>
      </c>
      <c r="K17" s="83">
        <f>COUNTIFS('Match Log'!$D$4:$D$819,K$7,'Match Log'!$C$4:$C$819,$A17)</f>
        <v>0</v>
      </c>
      <c r="L17" s="83">
        <f>COUNTIFS('Match Log'!$D$4:$D$819,L$7,'Match Log'!$C$4:$C$819,$A17)</f>
        <v>6</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6</v>
      </c>
      <c r="Q17" s="85" t="str">
        <f t="shared" si="0"/>
        <v>Simon</v>
      </c>
      <c r="R17" s="84">
        <f t="shared" si="1"/>
        <v>5</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10</v>
      </c>
      <c r="I19" s="83">
        <f>COUNTIFS('Match Log'!$D$4:$D$819,I$7,'Match Log'!$C$4:$C$819,$A19)</f>
        <v>16</v>
      </c>
      <c r="J19" s="83">
        <f>COUNTIFS('Match Log'!$D$4:$D$819,J$7,'Match Log'!$C$4:$C$819,$A19)</f>
        <v>7</v>
      </c>
      <c r="K19" s="83">
        <f>COUNTIFS('Match Log'!$D$4:$D$819,K$7,'Match Log'!$C$4:$C$819,$A19)</f>
        <v>5</v>
      </c>
      <c r="L19" s="83">
        <f>COUNTIFS('Match Log'!$D$4:$D$819,L$7,'Match Log'!$C$4:$C$819,$A19)</f>
        <v>18</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56</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454</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25</v>
      </c>
      <c r="H26" s="83">
        <f>COUNTIFS('Match Log'!$D$4:$D$819,H$7,'Match Log'!$C$4:$C$819,$A26)</f>
        <v>1</v>
      </c>
      <c r="I26" s="83">
        <f>COUNTIFS('Match Log'!$D$4:$D$819,I$7,'Match Log'!$C$4:$C$819,$A26)</f>
        <v>17</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33</v>
      </c>
      <c r="Q26" s="85" t="str">
        <f t="shared" si="0"/>
        <v>Shawn</v>
      </c>
      <c r="R26" s="84">
        <f t="shared" si="1"/>
        <v>15</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7</v>
      </c>
      <c r="H27" s="83">
        <f>COUNTIFS('Match Log'!$D$4:$D$819,H$7,'Match Log'!$C$4:$C$819,$A27)</f>
        <v>0</v>
      </c>
      <c r="I27" s="83">
        <f>COUNTIFS('Match Log'!$D$4:$D$819,I$7,'Match Log'!$C$4:$C$819,$A27)</f>
        <v>7</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7</v>
      </c>
      <c r="Q27" s="85" t="str">
        <f t="shared" si="0"/>
        <v>Shawn</v>
      </c>
      <c r="R27" s="84">
        <f t="shared" si="1"/>
        <v>5</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1</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3</v>
      </c>
      <c r="H30" s="83">
        <f>COUNTIFS('Match Log'!$D$4:$D$810,H$7,'Match Log'!$C$4:$C$810,$A30)</f>
        <v>2</v>
      </c>
      <c r="I30" s="83">
        <f>COUNTIFS('Match Log'!$D$4:$D$810,I$7,'Match Log'!$C$4:$C$810,$A30)</f>
        <v>9</v>
      </c>
      <c r="J30" s="83">
        <f>COUNTIFS('Match Log'!$D$4:$D$810,J$7,'Match Log'!$C$4:$C$810,$A30)</f>
        <v>0</v>
      </c>
      <c r="K30" s="83">
        <f>COUNTIFS('Match Log'!$D$4:$D$810,K$7,'Match Log'!$C$4:$C$810,$A30)</f>
        <v>0</v>
      </c>
      <c r="L30" s="83">
        <f>COUNTIFS('Match Log'!$D$4:$D$810,L$7,'Match Log'!$C$4:$C$810,$A30)</f>
        <v>2</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11</v>
      </c>
      <c r="Q30" s="85" t="str">
        <f t="shared" si="0"/>
        <v>Josh</v>
      </c>
      <c r="R30" s="84">
        <f t="shared" si="1"/>
        <v>3</v>
      </c>
    </row>
    <row r="31" spans="1:22" x14ac:dyDescent="0.2">
      <c r="A31" s="82" t="s">
        <v>455</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6" t="s">
        <v>308</v>
      </c>
      <c r="B33" s="142"/>
      <c r="C33" s="142"/>
      <c r="D33" s="142"/>
      <c r="E33" s="142"/>
      <c r="F33" s="142"/>
      <c r="G33" s="142"/>
      <c r="H33" s="142"/>
      <c r="I33" s="142"/>
      <c r="J33" s="142"/>
      <c r="K33" s="142"/>
      <c r="L33" s="142"/>
      <c r="M33" s="142"/>
      <c r="N33" s="142"/>
      <c r="O33" s="142"/>
      <c r="P33" s="142"/>
      <c r="Q33" s="142"/>
    </row>
    <row r="34" spans="1:17" ht="91.5" customHeight="1" x14ac:dyDescent="0.2">
      <c r="A34" s="80" t="s">
        <v>240</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6</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5</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3</v>
      </c>
      <c r="J36" s="83">
        <f>COUNTIFS('Match Log'!$D$4:$D$819,J$34,'Match Log'!$C$4:$C$819,$A36,'Match Log'!$E$4:$E$819,"Win")</f>
        <v>1</v>
      </c>
      <c r="K36" s="83">
        <f>COUNTIFS('Match Log'!$D$4:$D$819,K$34,'Match Log'!$C$4:$C$819,$A36,'Match Log'!$E$4:$E$819,"Win")</f>
        <v>0</v>
      </c>
      <c r="L36" s="83">
        <f>COUNTIFS('Match Log'!$D$4:$D$819,L$34,'Match Log'!$C$4:$C$819,$A36,'Match Log'!$E$4:$E$819,"Win")</f>
        <v>1</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10</v>
      </c>
      <c r="H37" s="83">
        <f>COUNTIFS('Match Log'!$D$4:$D$819,H$34,'Match Log'!$C$4:$C$819,$A37,'Match Log'!$E$4:$E$819,"Win")</f>
        <v>0</v>
      </c>
      <c r="I37" s="83">
        <f>COUNTIFS('Match Log'!$D$4:$D$819,I$34,'Match Log'!$C$4:$C$819,$A37,'Match Log'!$E$4:$E$819,"Win")</f>
        <v>6</v>
      </c>
      <c r="J37" s="83">
        <f>COUNTIFS('Match Log'!$D$4:$D$819,J$34,'Match Log'!$C$4:$C$819,$A37,'Match Log'!$E$4:$E$819,"Win")</f>
        <v>0</v>
      </c>
      <c r="K37" s="83">
        <f>COUNTIFS('Match Log'!$D$4:$D$819,K$34,'Match Log'!$C$4:$C$819,$A37,'Match Log'!$E$4:$E$819,"Win")</f>
        <v>0</v>
      </c>
      <c r="L37" s="83">
        <f>COUNTIFS('Match Log'!$D$4:$D$819,L$34,'Match Log'!$C$4:$C$819,$A37,'Match Log'!$E$4:$E$819,"Win")</f>
        <v>3</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2</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7</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1</v>
      </c>
      <c r="H44" s="83">
        <f>COUNTIFS('Match Log'!$D$4:$D$819,H$34,'Match Log'!$C$4:$C$819,$A44,'Match Log'!$E$4:$E$819,"Win")</f>
        <v>5</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5</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15</v>
      </c>
      <c r="H53" s="83">
        <f>COUNTIFS('Match Log'!$D$4:$D$819,H$34,'Match Log'!$C$4:$C$819,$A53,'Match Log'!$E$4:$E$819,"Win")</f>
        <v>0</v>
      </c>
      <c r="I53" s="83">
        <f>COUNTIFS('Match Log'!$D$4:$D$819,I$34,'Match Log'!$C$4:$C$819,$A53,'Match Log'!$E$4:$E$819,"Win")</f>
        <v>7</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5</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1</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1</v>
      </c>
      <c r="H57" s="83">
        <f>COUNTIFS('Match Log'!$D$4:$D$810,H$34,'Match Log'!$C$4:$C$810,$A57,'Match Log'!$E$4:$E$810,"Win")</f>
        <v>1</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0</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455</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6" t="s">
        <v>309</v>
      </c>
      <c r="B60" s="142"/>
      <c r="C60" s="142"/>
      <c r="D60" s="142"/>
      <c r="E60" s="142"/>
      <c r="F60" s="142"/>
      <c r="G60" s="142"/>
      <c r="H60" s="142"/>
      <c r="I60" s="142"/>
      <c r="J60" s="142"/>
      <c r="K60" s="142"/>
      <c r="L60" s="142"/>
      <c r="M60" s="142"/>
      <c r="N60" s="142"/>
      <c r="O60" s="142"/>
      <c r="P60" s="142"/>
      <c r="Q60" s="142"/>
    </row>
    <row r="61" spans="1:17" ht="91.5" customHeight="1" x14ac:dyDescent="0.2">
      <c r="A61" s="80" t="s">
        <v>240</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0.375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0.6</v>
      </c>
      <c r="H80" s="86">
        <f t="shared" si="20"/>
        <v>0</v>
      </c>
      <c r="I80" s="86">
        <f t="shared" si="20"/>
        <v>0.41176470588235292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455</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6" t="s">
        <v>310</v>
      </c>
      <c r="B87" s="142"/>
      <c r="C87" s="142"/>
      <c r="D87" s="142"/>
      <c r="E87" s="142"/>
      <c r="F87" s="142"/>
      <c r="G87" s="142"/>
      <c r="H87" s="142"/>
      <c r="I87" s="142"/>
      <c r="J87" s="142"/>
      <c r="K87" s="142"/>
      <c r="L87" s="142"/>
      <c r="M87" s="142"/>
      <c r="N87" s="142"/>
      <c r="O87" s="142"/>
      <c r="P87" s="142"/>
      <c r="Q87" s="142"/>
    </row>
    <row r="88" spans="1:19" ht="15" customHeight="1" x14ac:dyDescent="0.2">
      <c r="A88" s="87" t="s">
        <v>311</v>
      </c>
      <c r="B88" s="80" t="s">
        <v>10</v>
      </c>
      <c r="C88" s="80" t="s">
        <v>282</v>
      </c>
      <c r="D88" s="80" t="s">
        <v>11</v>
      </c>
      <c r="E88" s="80" t="s">
        <v>12</v>
      </c>
      <c r="F88" s="80" t="s">
        <v>6</v>
      </c>
      <c r="G88" s="80" t="s">
        <v>164</v>
      </c>
    </row>
    <row r="89" spans="1:19" ht="15" customHeight="1" x14ac:dyDescent="0.2">
      <c r="A89" s="82" t="s">
        <v>23</v>
      </c>
      <c r="B89" s="83">
        <f>COUNTIF('Match Log'!$D$4:$D$819,$A89)</f>
        <v>39</v>
      </c>
      <c r="C89" s="83">
        <f>SUMPRODUCT(--(COUNTIFS('Match Log'!$D$4:$D$819,$A89,'Match Log'!$C$4:$C$819,Lists!$C$2:$C$26)&gt;0))</f>
        <v>7</v>
      </c>
      <c r="D89" s="83">
        <f>COUNTIFS('Match Log'!$D$4:$D$819,$A89,'Match Log'!$E$4:$E$819,"Win")</f>
        <v>24</v>
      </c>
      <c r="E89" s="86">
        <f t="shared" ref="E89:E102" si="27">IF($B89=0,"",$D89/$B89)</f>
        <v>0.61538461538461542</v>
      </c>
      <c r="F89" s="88">
        <f ca="1">IFERROR(INDEX(Calcs!$S$7:$S$20,MATCH($A89,Calcs!$A$7:$A$20,0)),"")</f>
        <v>1228.9288111472574</v>
      </c>
      <c r="G89" s="83" t="str">
        <f>IF($B89=0,"No games",IF(AND($B89&gt;='Guide &amp; Settings'!$C$45,$C89&gt;='Guide &amp; Settings'!$C$46),"Eligible","Provisional"))</f>
        <v>Eligible</v>
      </c>
      <c r="S89" s="89">
        <f ca="1">IF($G89="Eligible",IF(IFERROR(INDEX(Calcs!$T$7:$T$20,MATCH($A89,Calcs!$A$7:$A$20,0)),"")="Inactive",-1,$F89),-1)</f>
        <v>1228.9288111472574</v>
      </c>
    </row>
    <row r="90" spans="1:19" ht="15" customHeight="1" x14ac:dyDescent="0.2">
      <c r="A90" s="82" t="s">
        <v>19</v>
      </c>
      <c r="B90" s="83">
        <f>COUNTIF('Match Log'!$D$4:$D$819,$A90)</f>
        <v>62</v>
      </c>
      <c r="C90" s="83">
        <f>SUMPRODUCT(--(COUNTIFS('Match Log'!$D$4:$D$819,$A90,'Match Log'!$C$4:$C$819,Lists!$C$2:$C$26)&gt;0))</f>
        <v>15</v>
      </c>
      <c r="D90" s="83">
        <f>COUNTIFS('Match Log'!$D$4:$D$819,$A90,'Match Log'!$E$4:$E$819,"Win")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Log'!$D$4:$D$819,$A91)</f>
        <v>40</v>
      </c>
      <c r="C91" s="83">
        <f>SUMPRODUCT(--(COUNTIFS('Match Log'!$D$4:$D$819,$A91,'Match Log'!$C$4:$C$819,Lists!$C$2:$C$26)&gt;0))</f>
        <v>12</v>
      </c>
      <c r="D91" s="83">
        <f>COUNTIFS('Match Log'!$D$4:$D$819,$A91,'Match Log'!$E$4:$E$819,"Win")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Log'!$D$4:$D$819,$A92)</f>
        <v>82</v>
      </c>
      <c r="C92" s="83">
        <f>SUMPRODUCT(--(COUNTIFS('Match Log'!$D$4:$D$819,$A92,'Match Log'!$C$4:$C$819,Lists!$C$2:$C$26)&gt;0))</f>
        <v>14</v>
      </c>
      <c r="D92" s="83">
        <f>COUNTIFS('Match Log'!$D$4:$D$819,$A92,'Match Log'!$E$4:$E$819,"Win")</f>
        <v>28</v>
      </c>
      <c r="E92" s="86">
        <f t="shared" si="27"/>
        <v>0.34146341463414637</v>
      </c>
      <c r="F92" s="88">
        <f ca="1">IFERROR(INDEX(Calcs!$S$7:$S$20,MATCH($A92,Calcs!$A$7:$A$20,0)),"")</f>
        <v>944.39454678356583</v>
      </c>
      <c r="G92" s="83" t="str">
        <f>IF($B92=0,"No games",IF(AND($B92&gt;='Guide &amp; Settings'!$C$45,$C92&gt;='Guide &amp; Settings'!$C$46),"Eligible","Provisional"))</f>
        <v>Eligible</v>
      </c>
      <c r="S92" s="89">
        <f ca="1">IF($G92="Eligible",IF(IFERROR(INDEX(Calcs!$T$7:$T$20,MATCH($A92,Calcs!$A$7:$A$20,0)),"")="Inactive",-1,$F92),-1)</f>
        <v>944.39454678356583</v>
      </c>
    </row>
    <row r="93" spans="1:19" ht="15" customHeight="1" x14ac:dyDescent="0.2">
      <c r="A93" s="82" t="s">
        <v>22</v>
      </c>
      <c r="B93" s="83">
        <f>COUNTIF('Match Log'!$D$4:$D$819,$A93)</f>
        <v>129</v>
      </c>
      <c r="C93" s="83">
        <f>SUMPRODUCT(--(COUNTIFS('Match Log'!$D$4:$D$819,$A93,'Match Log'!$C$4:$C$819,Lists!$C$2:$C$26)&gt;0))</f>
        <v>20</v>
      </c>
      <c r="D93" s="83">
        <f>COUNTIFS('Match Log'!$D$4:$D$819,$A93,'Match Log'!$E$4:$E$819,"Win")</f>
        <v>48</v>
      </c>
      <c r="E93" s="86">
        <f t="shared" si="27"/>
        <v>0.37209302325581395</v>
      </c>
      <c r="F93" s="88">
        <f ca="1">IFERROR(INDEX(Calcs!$S$7:$S$20,MATCH($A93,Calcs!$A$7:$A$20,0)),"")</f>
        <v>969.98596708484286</v>
      </c>
      <c r="G93" s="83" t="str">
        <f>IF($B93=0,"No games",IF(AND($B93&gt;='Guide &amp; Settings'!$C$45,$C93&gt;='Guide &amp; Settings'!$C$46),"Eligible","Provisional"))</f>
        <v>Eligible</v>
      </c>
      <c r="S93" s="89">
        <f ca="1">IF($G93="Eligible",IF(IFERROR(INDEX(Calcs!$T$7:$T$20,MATCH($A93,Calcs!$A$7:$A$20,0)),"")="Inactive",-1,$F93),-1)</f>
        <v>969.98596708484286</v>
      </c>
    </row>
    <row r="94" spans="1:19" ht="15" customHeight="1" x14ac:dyDescent="0.2">
      <c r="A94" s="82" t="s">
        <v>15</v>
      </c>
      <c r="B94" s="83">
        <f>COUNTIF('Match Log'!$D$4:$D$819,$A94)</f>
        <v>84</v>
      </c>
      <c r="C94" s="83">
        <f>SUMPRODUCT(--(COUNTIFS('Match Log'!$D$4:$D$819,$A94,'Match Log'!$C$4:$C$819,Lists!$C$2:$C$26)&gt;0))</f>
        <v>14</v>
      </c>
      <c r="D94" s="83">
        <f>COUNTIFS('Match Log'!$D$4:$D$819,$A94,'Match Log'!$E$4:$E$819,"Win")</f>
        <v>42</v>
      </c>
      <c r="E94" s="86">
        <f t="shared" si="27"/>
        <v>0.5</v>
      </c>
      <c r="F94" s="88">
        <f ca="1">IFERROR(INDEX(Calcs!$S$7:$S$20,MATCH($A94,Calcs!$A$7:$A$20,0)),"")</f>
        <v>1254.4221853966828</v>
      </c>
      <c r="G94" s="83" t="str">
        <f>IF($B94=0,"No games",IF(AND($B94&gt;='Guide &amp; Settings'!$C$45,$C94&gt;='Guide &amp; Settings'!$C$46),"Eligible","Provisional"))</f>
        <v>Eligible</v>
      </c>
      <c r="S94" s="89">
        <f ca="1">IF($G94="Eligible",IF(IFERROR(INDEX(Calcs!$T$7:$T$20,MATCH($A94,Calcs!$A$7:$A$20,0)),"")="Inactive",-1,$F94),-1)</f>
        <v>1254.4221853966828</v>
      </c>
    </row>
    <row r="95" spans="1:19" ht="15" customHeight="1" x14ac:dyDescent="0.2">
      <c r="A95" s="82" t="s">
        <v>20</v>
      </c>
      <c r="B95" s="83">
        <f>COUNTIF('Match Log'!$D$4:$D$819,$A95)</f>
        <v>143</v>
      </c>
      <c r="C95" s="83">
        <f>SUMPRODUCT(--(COUNTIFS('Match Log'!$D$4:$D$819,$A95,'Match Log'!$C$4:$C$819,Lists!$C$2:$C$26)&gt;0))</f>
        <v>19</v>
      </c>
      <c r="D95" s="83">
        <f>COUNTIFS('Match Log'!$D$4:$D$819,$A95,'Match Log'!$E$4:$E$819,"Win")</f>
        <v>70</v>
      </c>
      <c r="E95" s="86">
        <f t="shared" si="27"/>
        <v>0.48951048951048953</v>
      </c>
      <c r="F95" s="88">
        <f ca="1">IFERROR(INDEX(Calcs!$S$7:$S$20,MATCH($A95,Calcs!$A$7:$A$20,0)),"")</f>
        <v>1275.9914052236397</v>
      </c>
      <c r="G95" s="83" t="str">
        <f>IF($B95=0,"No games",IF(AND($B95&gt;='Guide &amp; Settings'!$C$45,$C95&gt;='Guide &amp; Settings'!$C$46),"Eligible","Provisional"))</f>
        <v>Eligible</v>
      </c>
      <c r="S95" s="89">
        <f ca="1">IF($G95="Eligible",IF(IFERROR(INDEX(Calcs!$T$7:$T$20,MATCH($A95,Calcs!$A$7:$A$20,0)),"")="Inactive",-1,$F95),-1)</f>
        <v>1275.9914052236397</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929.51759653351382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1077.5488947064855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1013.2192605207141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Log'!$D$4:$D$819,$A99)</f>
        <v>20</v>
      </c>
      <c r="C99" s="83">
        <f>SUMPRODUCT(--(COUNTIFS('Match Log'!$D$4:$D$819,$A99,'Match Log'!$C$4:$C$819,Lists!$C$2:$C$26)&gt;0))</f>
        <v>10</v>
      </c>
      <c r="D99" s="83">
        <f>COUNTIFS('Match Log'!$D$4:$D$819,$A99,'Match Log'!$E$4:$E$819,"Win")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23</v>
      </c>
      <c r="C101" s="83">
        <f>SUMPRODUCT(--(COUNTIFS('Match Log'!$D$4:$D$819,$A101,'Match Log'!$C$4:$C$819,Lists!$C$2:$C$26)&gt;0))</f>
        <v>6</v>
      </c>
      <c r="D101" s="83">
        <f>COUNTIFS('Match Log'!$D$4:$D$819,$A101,'Match Log'!$E$4:$E$819,"Win")</f>
        <v>5</v>
      </c>
      <c r="E101" s="86">
        <f t="shared" si="27"/>
        <v>0.21739130434782608</v>
      </c>
      <c r="F101" s="88">
        <f ca="1">IFERROR(INDEX(Calcs!$S$7:$S$20,MATCH($A101,Calcs!$A$7:$A$20,0)),"")</f>
        <v>887.03133644117429</v>
      </c>
      <c r="G101" s="83" t="str">
        <f>IF($B101=0,"No games",IF(AND($B101&gt;='Guide &amp; Settings'!$C$45,$C101&gt;='Guide &amp; Settings'!$C$46),"Eligible","Provisional"))</f>
        <v>Eligible</v>
      </c>
      <c r="S101" s="89">
        <f ca="1">IF($G101="Eligible",IF(IFERROR(INDEX(Calcs!$T$7:$T$20,MATCH($A101,Calcs!$A$7:$A$20,0)),"")="Inactive",-1,$F101),-1)</f>
        <v>887.03133644117429</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812.22294373677494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6" t="s">
        <v>312</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240</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313</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1002.3243051567958</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1080.5069404636042</v>
      </c>
      <c r="H106" s="88">
        <f>IFERROR(LOOKUP(2,1/(('Match Log'!$D$4:$D$819=H$105)*('Match Log'!$C$4:$C$819=$A106)),'Match Log'!$AB$4:$AB$819),"")</f>
        <v>984</v>
      </c>
      <c r="I106" s="88">
        <f>IFERROR(LOOKUP(2,1/(('Match Log'!$D$4:$D$819=I$105)*('Match Log'!$C$4:$C$819=$A106)),'Match Log'!$AB$4:$AB$819),"")</f>
        <v>933.16875437959993</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1045.7168407037757</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994.56494831993177</v>
      </c>
      <c r="F107" s="88" t="str">
        <f>IFERROR(LOOKUP(2,1/(('Match Log'!$D$4:$D$819=F$105)*('Match Log'!$C$4:$C$819=$A107)),'Match Log'!$AB$4:$AB$819),"")</f>
        <v/>
      </c>
      <c r="G107" s="88">
        <f>IFERROR(LOOKUP(2,1/(('Match Log'!$D$4:$D$819=G$105)*('Match Log'!$C$4:$C$819=$A107)),'Match Log'!$AB$4:$AB$819),"")</f>
        <v>981.95393847012519</v>
      </c>
      <c r="H107" s="88">
        <f>IFERROR(LOOKUP(2,1/(('Match Log'!$D$4:$D$819=H$105)*('Match Log'!$C$4:$C$819=$A107)),'Match Log'!$AB$4:$AB$819),"")</f>
        <v>984.18398397467593</v>
      </c>
      <c r="I107" s="88">
        <f>IFERROR(LOOKUP(2,1/(('Match Log'!$D$4:$D$819=I$105)*('Match Log'!$C$4:$C$819=$A107)),'Match Log'!$AB$4:$AB$819),"")</f>
        <v>1006.7352082096049</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1007.570042379687</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Aaron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977.16140054243726</v>
      </c>
      <c r="H108" s="88">
        <f>IFERROR(LOOKUP(2,1/(('Match Log'!$D$4:$D$819=H$105)*('Match Log'!$C$4:$C$819=$A108)),'Match Log'!$AB$4:$AB$819),"")</f>
        <v>982.80710326897417</v>
      </c>
      <c r="I108" s="88">
        <f>IFERROR(LOOKUP(2,1/(('Match Log'!$D$4:$D$819=I$105)*('Match Log'!$C$4:$C$819=$A108)),'Match Log'!$AB$4:$AB$819),"")</f>
        <v>981.23850741932449</v>
      </c>
      <c r="J108" s="88" t="str">
        <f>IFERROR(LOOKUP(2,1/(('Match Log'!$D$4:$D$819=J$105)*('Match Log'!$C$4:$C$819=$A108)),'Match Log'!$AB$4:$AB$819),"")</f>
        <v/>
      </c>
      <c r="K108" s="88" t="str">
        <f>IFERROR(LOOKUP(2,1/(('Match Log'!$D$4:$D$819=K$105)*('Match Log'!$C$4:$C$819=$A108)),'Match Log'!$AB$4:$AB$819),"")</f>
        <v/>
      </c>
      <c r="L108" s="88">
        <f>IFERROR(LOOKUP(2,1/(('Match Log'!$D$4:$D$819=L$105)*('Match Log'!$C$4:$C$819=$A108)),'Match Log'!$AB$4:$AB$819),"")</f>
        <v>991.24131700741486</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f>IFERROR(LOOKUP(2,1/(('Match Log'!$D$4:$D$819=E$105)*('Match Log'!$C$4:$C$819=$A110)),'Match Log'!$AB$4:$AB$819),"")</f>
        <v>971.03599003187298</v>
      </c>
      <c r="F110" s="88">
        <f>IFERROR(LOOKUP(2,1/(('Match Log'!$D$4:$D$819=F$105)*('Match Log'!$C$4:$C$819=$A110)),'Match Log'!$AB$4:$AB$819),"")</f>
        <v>1001.4894058706261</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962.9291503873319</v>
      </c>
      <c r="J110" s="88">
        <f>IFERROR(LOOKUP(2,1/(('Match Log'!$D$4:$D$819=J$105)*('Match Log'!$C$4:$C$819=$A110)),'Match Log'!$AB$4:$AB$819),"")</f>
        <v>1046.915152217651</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Dean B</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f>IFERROR(LOOKUP(2,1/(('Match Log'!$D$4:$D$819=G$105)*('Match Log'!$C$4:$C$819=$A115)),'Match Log'!$AB$4:$AB$819),"")</f>
        <v>978.61089783350269</v>
      </c>
      <c r="H115" s="88">
        <f>IFERROR(LOOKUP(2,1/(('Match Log'!$D$4:$D$819=H$105)*('Match Log'!$C$4:$C$819=$A115)),'Match Log'!$AB$4:$AB$819),"")</f>
        <v>1064.1847667071054</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f>IFERROR(LOOKUP(2,1/(('Match Log'!$D$4:$D$819=L$105)*('Match Log'!$C$4:$C$819=$A115)),'Match Log'!$AB$4:$AB$819),"")</f>
        <v>957.20433545939204</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Simon</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1005.6063630406824</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922.05775435452233</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1047.5054308988927</v>
      </c>
      <c r="H124" s="88">
        <f>IFERROR(LOOKUP(2,1/(('Match Log'!$D$4:$D$819=H$105)*('Match Log'!$C$4:$C$819=$A124)),'Match Log'!$AB$4:$AB$819),"")</f>
        <v>995.11454772974389</v>
      </c>
      <c r="I124" s="88">
        <f>IFERROR(LOOKUP(2,1/(('Match Log'!$D$4:$D$819=I$105)*('Match Log'!$C$4:$C$819=$A124)),'Match Log'!$AB$4:$AB$819),"")</f>
        <v>1008.1001580975385</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Shawn</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1056.1352620912564</v>
      </c>
      <c r="H125" s="88" t="str">
        <f>IFERROR(LOOKUP(2,1/(('Match Log'!$D$4:$D$819=H$105)*('Match Log'!$C$4:$C$819=$A125)),'Match Log'!$AB$4:$AB$819),"")</f>
        <v/>
      </c>
      <c r="I125" s="88">
        <f>IFERROR(LOOKUP(2,1/(('Match Log'!$D$4:$D$819=I$105)*('Match Log'!$C$4:$C$819=$A125)),'Match Log'!$AB$4:$AB$819),"")</f>
        <v>947.04869906956174</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Shawn</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f>IFERROR(LOOKUP(2,1/(('Match Log'!$D$4:$D$810=B$105)*('Match Log'!$C$4:$C$810=$A128)),'Match Log'!$AB$4:$AB$810),"")</f>
        <v>1015.697596359111</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f>IFERROR(LOOKUP(2,1/(('Match Log'!$D$4:$D$810=G$105)*('Match Log'!$C$4:$C$810=$A128)),'Match Log'!$AB$4:$AB$810),"")</f>
        <v>1001.0904499010364</v>
      </c>
      <c r="H128" s="88">
        <f>IFERROR(LOOKUP(2,1/(('Match Log'!$D$4:$D$810=H$105)*('Match Log'!$C$4:$C$810=$A128)),'Match Log'!$AB$4:$AB$810),"")</f>
        <v>1007.0894857856928</v>
      </c>
      <c r="I128" s="88">
        <f>IFERROR(LOOKUP(2,1/(('Match Log'!$D$4:$D$810=I$105)*('Match Log'!$C$4:$C$810=$A128)),'Match Log'!$AB$4:$AB$810),"")</f>
        <v>979.16291977588639</v>
      </c>
      <c r="J128" s="88" t="str">
        <f>IFERROR(LOOKUP(2,1/(('Match Log'!$D$4:$D$810=J$105)*('Match Log'!$C$4:$C$810=$A128)),'Match Log'!$AB$4:$AB$810),"")</f>
        <v/>
      </c>
      <c r="K128" s="88" t="str">
        <f>IFERROR(LOOKUP(2,1/(('Match Log'!$D$4:$D$810=K$105)*('Match Log'!$C$4:$C$810=$A128)),'Match Log'!$AB$4:$AB$810),"")</f>
        <v/>
      </c>
      <c r="L128" s="88">
        <f>IFERROR(LOOKUP(2,1/(('Match Log'!$D$4:$D$810=L$105)*('Match Log'!$C$4:$C$810=$A128)),'Match Log'!$AB$4:$AB$810),"")</f>
        <v>983.82006431327079</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455</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314</v>
      </c>
    </row>
    <row r="2" spans="1:6" ht="30" customHeight="1" x14ac:dyDescent="0.2">
      <c r="A2" s="159" t="s">
        <v>315</v>
      </c>
      <c r="B2" s="142"/>
      <c r="C2" s="142"/>
      <c r="D2" s="142"/>
      <c r="E2" s="142"/>
      <c r="F2" s="142"/>
    </row>
    <row r="3" spans="1:6" ht="4.5" customHeight="1" x14ac:dyDescent="0.2"/>
    <row r="4" spans="1:6" ht="15" customHeight="1" x14ac:dyDescent="0.2">
      <c r="A4" s="11" t="s">
        <v>316</v>
      </c>
    </row>
    <row r="5" spans="1:6" ht="15" customHeight="1" x14ac:dyDescent="0.2">
      <c r="A5" s="34" t="s">
        <v>317</v>
      </c>
      <c r="B5" s="34" t="s">
        <v>318</v>
      </c>
      <c r="C5" s="34" t="s">
        <v>319</v>
      </c>
      <c r="D5" s="34" t="s">
        <v>240</v>
      </c>
      <c r="E5" s="34" t="s">
        <v>320</v>
      </c>
      <c r="F5" s="34" t="s">
        <v>321</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Simon</v>
      </c>
      <c r="C10" s="37" t="str">
        <f>IFERROR(INDEX(Calcs!$H$25:$H$444,MATCH(LARGE(Calcs!$I$25:$I$444,5),Calcs!$I$25:$I$444,0)),"")</f>
        <v>Oscar</v>
      </c>
      <c r="D10" s="37" t="str">
        <f>IFERROR(INDEX(Calcs!$C$25:$C$444,MATCH(LARGE(Calcs!$I$25:$I$444,5),Calcs!$I$25:$I$444,0)),"")</f>
        <v>Table Tennis</v>
      </c>
      <c r="E10" s="37" t="str">
        <f>IFERROR(TEXT(INDEX(Calcs!$F$25:$F$444,MATCH(LARGE(Calcs!$I$25:$I$444,5),Calcs!$I$25:$I$444,0)),"0%"),"")</f>
        <v>23%</v>
      </c>
      <c r="F10" s="37" t="str">
        <f>IFERROR(TEXT(INDEX(Calcs!$B$25:$B$444,MATCH(LARGE(Calcs!$I$25:$I$444,5),Calcs!$I$25:$I$444,0)),"d mmm"),"")</f>
        <v>23 Aug</v>
      </c>
    </row>
    <row r="11" spans="1:6" ht="15" customHeight="1" x14ac:dyDescent="0.2">
      <c r="A11" s="67">
        <v>6</v>
      </c>
      <c r="B11" s="40" t="str">
        <f>IFERROR(INDEX(Calcs!$D$25:$D$444,MATCH(LARGE(Calcs!$I$25:$I$444,6),Calcs!$I$25:$I$444,0)),"")</f>
        <v>Aaron</v>
      </c>
      <c r="C11" s="40" t="str">
        <f>IFERROR(INDEX(Calcs!$H$25:$H$444,MATCH(LARGE(Calcs!$I$25:$I$444,6),Calcs!$I$25:$I$444,0)),"")</f>
        <v>Shawn</v>
      </c>
      <c r="D11" s="40" t="str">
        <f>IFERROR(INDEX(Calcs!$C$25:$C$444,MATCH(LARGE(Calcs!$I$25:$I$444,6),Calcs!$I$25:$I$444,0)),"")</f>
        <v>Table Tennis</v>
      </c>
      <c r="E11" s="40" t="str">
        <f>IFERROR(TEXT(INDEX(Calcs!$F$25:$F$444,MATCH(LARGE(Calcs!$I$25:$I$444,6),Calcs!$I$25:$I$444,0)),"0%"),"")</f>
        <v>24%</v>
      </c>
      <c r="F11" s="40" t="str">
        <f>IFERROR(TEXT(INDEX(Calcs!$B$25:$B$444,MATCH(LARGE(Calcs!$I$25:$I$444,6),Calcs!$I$25:$I$444,0)),"d mmm"),"")</f>
        <v>21 Aug</v>
      </c>
    </row>
    <row r="12" spans="1:6" ht="15" customHeight="1" x14ac:dyDescent="0.2">
      <c r="A12" s="63">
        <v>7</v>
      </c>
      <c r="B12" s="37" t="str">
        <f>IFERROR(INDEX(Calcs!$D$25:$D$444,MATCH(LARGE(Calcs!$I$25:$I$444,7),Calcs!$I$25:$I$444,0)),"")</f>
        <v>Oscar</v>
      </c>
      <c r="C12" s="37" t="str">
        <f>IFERROR(INDEX(Calcs!$H$25:$H$444,MATCH(LARGE(Calcs!$I$25:$I$444,7),Calcs!$I$25:$I$444,0)),"")</f>
        <v>Daniel (Ferret)</v>
      </c>
      <c r="D12" s="37" t="str">
        <f>IFERROR(INDEX(Calcs!$C$25:$C$444,MATCH(LARGE(Calcs!$I$25:$I$444,7),Calcs!$I$25:$I$444,0)),"")</f>
        <v>Mario Kart</v>
      </c>
      <c r="E12" s="37" t="str">
        <f>IFERROR(TEXT(INDEX(Calcs!$F$25:$F$444,MATCH(LARGE(Calcs!$I$25:$I$444,7),Calcs!$I$25:$I$444,0)),"0%"),"")</f>
        <v>25%</v>
      </c>
      <c r="F12" s="37" t="str">
        <f>IFERROR(TEXT(INDEX(Calcs!$B$25:$B$444,MATCH(LARGE(Calcs!$I$25:$I$444,7),Calcs!$I$25:$I$444,0)),"d mmm"),"")</f>
        <v>3 Jun</v>
      </c>
    </row>
    <row r="13" spans="1:6" ht="15" customHeight="1" x14ac:dyDescent="0.2">
      <c r="A13" s="67">
        <v>8</v>
      </c>
      <c r="B13" s="40" t="str">
        <f>IFERROR(INDEX(Calcs!$D$25:$D$444,MATCH(LARGE(Calcs!$I$25:$I$444,8),Calcs!$I$25:$I$444,0)),"")</f>
        <v>Daniel (Ferret)</v>
      </c>
      <c r="C13" s="40" t="str">
        <f>IFERROR(INDEX(Calcs!$H$25:$H$444,MATCH(LARGE(Calcs!$I$25:$I$444,8),Calcs!$I$25:$I$444,0)),"")</f>
        <v>Josh</v>
      </c>
      <c r="D13" s="40" t="str">
        <f>IFERROR(INDEX(Calcs!$C$25:$C$444,MATCH(LARGE(Calcs!$I$25:$I$444,8),Calcs!$I$25:$I$444,0)),"")</f>
        <v>Mario Golf</v>
      </c>
      <c r="E13" s="40" t="str">
        <f>IFERROR(TEXT(INDEX(Calcs!$F$25:$F$444,MATCH(LARGE(Calcs!$I$25:$I$444,8),Calcs!$I$25:$I$444,0)),"0%"),"")</f>
        <v>25%</v>
      </c>
      <c r="F13" s="40" t="str">
        <f>IFERROR(TEXT(INDEX(Calcs!$B$25:$B$444,MATCH(LARGE(Calcs!$I$25:$I$444,8),Calcs!$I$25:$I$444,0)),"d mmm"),"")</f>
        <v>26 Jun</v>
      </c>
    </row>
    <row r="15" spans="1:6" ht="15" customHeight="1" x14ac:dyDescent="0.2">
      <c r="A15" s="11" t="s">
        <v>322</v>
      </c>
    </row>
    <row r="16" spans="1:6" ht="15" customHeight="1" x14ac:dyDescent="0.2">
      <c r="A16" s="34" t="s">
        <v>323</v>
      </c>
      <c r="B16" s="34" t="s">
        <v>324</v>
      </c>
      <c r="C16" s="34" t="s">
        <v>325</v>
      </c>
      <c r="D16" s="34" t="s">
        <v>240</v>
      </c>
      <c r="E16" s="34" t="s">
        <v>326</v>
      </c>
      <c r="F16" s="34" t="s">
        <v>327</v>
      </c>
    </row>
    <row r="17" spans="1:8" ht="15" customHeight="1" x14ac:dyDescent="0.2">
      <c r="A17" s="92" t="s">
        <v>328</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329</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330</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331</v>
      </c>
      <c r="B20" s="40" t="str">
        <f>$E$6</f>
        <v>17%</v>
      </c>
      <c r="C20" s="40" t="str">
        <f>$B$6</f>
        <v>Aaron</v>
      </c>
      <c r="D20" s="40" t="str">
        <f>$D$6</f>
        <v>Mario Golf</v>
      </c>
      <c r="E20" s="40" t="str">
        <f>$F$6</f>
        <v>10 Jul</v>
      </c>
      <c r="F20" s="40" t="str">
        <f>"beat "&amp;$C$6</f>
        <v>beat Shawn</v>
      </c>
    </row>
    <row r="21" spans="1:8" ht="15" customHeight="1" x14ac:dyDescent="0.2">
      <c r="A21" s="92" t="s">
        <v>332</v>
      </c>
      <c r="B21" s="37" t="str">
        <f ca="1">TEXT(MAX(Dashboard!$D$5:$D$18),"0")</f>
        <v>143</v>
      </c>
      <c r="C21" s="37" t="str">
        <f ca="1">INDEX(Dashboard!$B$5:$B$18,MATCH(MAX(Dashboard!$D$5:$D$18),Dashboard!$D$5:$D$18,0))</f>
        <v>Shawn</v>
      </c>
      <c r="D21" s="37" t="s">
        <v>333</v>
      </c>
      <c r="E21" s="37" t="s">
        <v>333</v>
      </c>
      <c r="F21" s="37" t="str">
        <f ca="1">"across "&amp;INDEX(Dashboard!$K$5:$K$18,MATCH($C21,Dashboard!$B$5:$B$18,0))&amp;" sports"</f>
        <v>across 19 sports</v>
      </c>
    </row>
    <row r="22" spans="1:8" ht="15" customHeight="1" x14ac:dyDescent="0.2">
      <c r="A22" s="93" t="s">
        <v>334</v>
      </c>
      <c r="B22" s="40" t="str">
        <f ca="1">TEXT(MAX(Dashboard!$K$5:$K$18),"0")</f>
        <v>20</v>
      </c>
      <c r="C22" s="40" t="str">
        <f ca="1">INDEX(Dashboard!$B$5:$B$18,MATCH(MAX(Dashboard!$K$5:$K$18),Dashboard!$K$5:$K$18,0))</f>
        <v>Daniel (Ferret)</v>
      </c>
      <c r="D22" s="40" t="s">
        <v>333</v>
      </c>
      <c r="E22" s="40" t="s">
        <v>333</v>
      </c>
      <c r="F22" s="40" t="str">
        <f>"of "&amp;COUNTA(Lists!$C$2:$C$26)&amp;" sports available"</f>
        <v>of 25 sports available</v>
      </c>
    </row>
    <row r="23" spans="1:8" ht="15" customHeight="1" x14ac:dyDescent="0.2">
      <c r="A23" s="92" t="s">
        <v>335</v>
      </c>
      <c r="B23" s="37" t="str">
        <f>TEXT(MAX('Sport Records'!$P$8:$P$32),"0")&amp;" games"</f>
        <v>56 games</v>
      </c>
      <c r="C23" s="37" t="str">
        <f>INDEX('Sport Records'!$A$8:$A$32,MATCH(MAX('Sport Records'!$P$8:$P$32),'Sport Records'!$P$8:$P$32,0))</f>
        <v>Table Tennis</v>
      </c>
      <c r="D23" s="37" t="s">
        <v>333</v>
      </c>
      <c r="E23" s="37" t="s">
        <v>333</v>
      </c>
      <c r="F23" s="37" t="s">
        <v>336</v>
      </c>
    </row>
    <row r="24" spans="1:8" ht="15" customHeight="1" x14ac:dyDescent="0.2">
      <c r="A24" s="93" t="s">
        <v>337</v>
      </c>
      <c r="B24" s="40" t="str">
        <f>MAX(Calcs!$O$7:$O$20)&amp;" wins"</f>
        <v>5 wins</v>
      </c>
      <c r="C24" s="40" t="str">
        <f>INDEX(Calcs!$A$7:$A$20,MATCH(MAX(Calcs!$O$7:$O$20),Calcs!$O$7:$O$20,0))</f>
        <v>Simon</v>
      </c>
      <c r="D24" s="40" t="s">
        <v>333</v>
      </c>
      <c r="E24" s="40" t="s">
        <v>333</v>
      </c>
      <c r="F24" s="40" t="s">
        <v>338</v>
      </c>
    </row>
    <row r="25" spans="1:8" ht="15" customHeight="1" x14ac:dyDescent="0.2">
      <c r="A25" s="11"/>
    </row>
    <row r="26" spans="1:8" ht="15" customHeight="1" x14ac:dyDescent="0.2">
      <c r="A26" s="94" t="s">
        <v>339</v>
      </c>
      <c r="B26" s="34"/>
      <c r="C26" s="34"/>
    </row>
    <row r="27" spans="1:8" ht="15" customHeight="1" x14ac:dyDescent="0.2">
      <c r="A27" s="34" t="s">
        <v>340</v>
      </c>
      <c r="B27" s="34" t="s">
        <v>325</v>
      </c>
      <c r="C27" s="34" t="s">
        <v>341</v>
      </c>
    </row>
    <row r="28" spans="1:8" ht="15" customHeight="1" x14ac:dyDescent="0.2">
      <c r="A28" s="95" t="s">
        <v>342</v>
      </c>
      <c r="B28" s="38" t="str">
        <f ca="1">Leaders!$A$5</f>
        <v>Shawn</v>
      </c>
      <c r="C28" s="40" t="s">
        <v>343</v>
      </c>
    </row>
    <row r="29" spans="1:8" ht="15" customHeight="1" x14ac:dyDescent="0.2">
      <c r="A29" s="95" t="s">
        <v>344</v>
      </c>
      <c r="B29" s="38" t="str">
        <f>INDEX(Calcs!$A$7:$A$20,MATCH(MAX(Calcs!$M$7:$M$20),Calcs!$M$7:$M$20,0))</f>
        <v>Daniel (Ferret)</v>
      </c>
      <c r="C29" s="40" t="s">
        <v>345</v>
      </c>
    </row>
    <row r="30" spans="1:8" ht="15" customHeight="1" x14ac:dyDescent="0.2">
      <c r="A30" s="95" t="s">
        <v>346</v>
      </c>
      <c r="B30" s="38" t="str">
        <f ca="1">INDEX(Dashboard!$B$5:$B$18,MATCH(MAX(Dashboard!$D$5:$D$18),Dashboard!$D$5:$D$18,0))</f>
        <v>Shawn</v>
      </c>
      <c r="C30" s="40" t="s">
        <v>347</v>
      </c>
    </row>
    <row r="31" spans="1:8" ht="15" customHeight="1" x14ac:dyDescent="0.2">
      <c r="A31" s="95" t="s">
        <v>348</v>
      </c>
      <c r="B31" s="38" t="str">
        <f ca="1">INDEX(Dashboard!$B$5:$B$18,MATCH(MAX(Dashboard!$K$5:$K$18),Dashboard!$K$5:$K$18,0))</f>
        <v>Daniel (Ferret)</v>
      </c>
      <c r="C31" s="40" t="s">
        <v>349</v>
      </c>
    </row>
    <row r="32" spans="1:8" ht="15" customHeight="1" x14ac:dyDescent="0.2">
      <c r="A32" s="95" t="s">
        <v>350</v>
      </c>
      <c r="B32" s="38" t="str">
        <f>INDEX(Calcs!$A$7:$A$20,MATCH(MAX(Calcs!$N$7:$N$20),Calcs!$N$7:$N$20,0))</f>
        <v>Simon</v>
      </c>
      <c r="C32" s="40" t="s">
        <v>351</v>
      </c>
    </row>
    <row r="33" spans="1:3" ht="15" customHeight="1" x14ac:dyDescent="0.2">
      <c r="A33" s="95" t="s">
        <v>352</v>
      </c>
      <c r="B33" s="38" t="str">
        <f ca="1">INDEX(Dashboard!$B$5:$B$18,MATCH(MIN(Dashboard!$C$5:$C$18),Dashboard!$C$5:$C$18,0))</f>
        <v>Cody</v>
      </c>
      <c r="C33" s="40" t="s">
        <v>353</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Shawn leads the title race — 14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8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Simon is surging — up 1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143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Log'!$A$4:$A$810)&amp;" games played across "&amp;COUNTIF('Sport Records'!$P$8:$P$32,"&gt;0")&amp;" different sports — and counting."</f>
        <v>🎲  286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Shawn</v>
      </c>
      <c r="C17" s="107">
        <f>ROUND(LARGE(Calcs!$B$7:$B$20,1),0)</f>
        <v>1280</v>
      </c>
      <c r="D17" s="109" t="str">
        <f>IF(1=1,"— leader —",ROUND(MAX(Calcs!$B$7:$B$20)-LARGE(Calcs!$B$7:$B$20,1),0)&amp;" behind")</f>
        <v>— leader —</v>
      </c>
      <c r="E17" s="105"/>
      <c r="F17" s="27"/>
    </row>
    <row r="18" spans="1:6" ht="15" customHeight="1" x14ac:dyDescent="0.2">
      <c r="A18" s="110">
        <v>2</v>
      </c>
      <c r="B18" s="62" t="str">
        <f>INDEX(Calcs!$A$7:$A$20,MATCH(LARGE(Calcs!$B$7:$B$20,2),Calcs!$B$7:$B$20,0))</f>
        <v>Aaron</v>
      </c>
      <c r="C18" s="110">
        <f>ROUND(LARGE(Calcs!$B$7:$B$20,2),0)</f>
        <v>1266</v>
      </c>
      <c r="D18" s="111" t="str">
        <f>IF(2=1,"— leader —",ROUND(MAX(Calcs!$B$7:$B$20)-LARGE(Calcs!$B$7:$B$20,2),0)&amp;" behind")</f>
        <v>14 behind</v>
      </c>
      <c r="E18" s="105"/>
      <c r="F18" s="27"/>
    </row>
    <row r="19" spans="1:6" ht="15" customHeight="1" x14ac:dyDescent="0.2">
      <c r="A19" s="110">
        <v>3</v>
      </c>
      <c r="B19" s="62" t="str">
        <f>INDEX(Calcs!$A$7:$A$20,MATCH(LARGE(Calcs!$B$7:$B$20,3),Calcs!$B$7:$B$20,0))</f>
        <v>Dean B</v>
      </c>
      <c r="C19" s="110">
        <f>ROUND(LARGE(Calcs!$B$7:$B$20,3),0)</f>
        <v>1249</v>
      </c>
      <c r="D19" s="111" t="str">
        <f>IF(3=1,"— leader —",ROUND(MAX(Calcs!$B$7:$B$20)-LARGE(Calcs!$B$7:$B$20,3),0)&amp;" behind")</f>
        <v>31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W</v>
      </c>
      <c r="E40" s="113" t="str">
        <f>IFERROR(IF(INDEX('Match Log'!$E$1:$E$810,_xlfn.AGGREGATE(14,6,ROW('Match Log'!$A$4:$A$810)/('Match Log'!$D$4:$D$810=$A40),7))="Win","W","L"),"")</f>
        <v>W</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W</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W</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L</v>
      </c>
      <c r="D42" s="113" t="str">
        <f>IFERROR(IF(INDEX('Match Log'!$E$1:$E$810,_xlfn.AGGREGATE(14,6,ROW('Match Log'!$A$4:$A$810)/('Match Log'!$D$4:$D$810=$A42),8))="Win","W","L"),"")</f>
        <v>W</v>
      </c>
      <c r="E42" s="113" t="str">
        <f>IFERROR(IF(INDEX('Match Log'!$E$1:$E$810,_xlfn.AGGREGATE(14,6,ROW('Match Log'!$A$4:$A$810)/('Match Log'!$D$4:$D$810=$A42),7))="Win","W","L"),"")</f>
        <v>L</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W</v>
      </c>
      <c r="J42" s="113" t="str">
        <f>IFERROR(IF(INDEX('Match Log'!$E$1:$E$810,_xlfn.AGGREGATE(14,6,ROW('Match Log'!$A$4:$A$810)/('Match Log'!$D$4:$D$810=$A42),2))="Win","W","L"),"")</f>
        <v>W</v>
      </c>
      <c r="K42" s="113" t="str">
        <f>IFERROR(IF(INDEX('Match Log'!$E$1:$E$810,_xlfn.AGGREGATE(14,6,ROW('Match Log'!$A$4:$A$810)/('Match Log'!$D$4:$D$810=$A42),1))="Win","W","L"),"")</f>
        <v>L</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L</v>
      </c>
      <c r="E43" s="113" t="str">
        <f>IFERROR(IF(INDEX('Match Log'!$E$1:$E$810,_xlfn.AGGREGATE(14,6,ROW('Match Log'!$A$4:$A$810)/('Match Log'!$D$4:$D$810=$A43),7))="Win","W","L"),"")</f>
        <v>L</v>
      </c>
      <c r="F43" s="113" t="str">
        <f>IFERROR(IF(INDEX('Match Log'!$E$1:$E$810,_xlfn.AGGREGATE(14,6,ROW('Match Log'!$A$4:$A$810)/('Match Log'!$D$4:$D$810=$A43),6))="Win","W","L"),"")</f>
        <v>W</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L</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W</v>
      </c>
      <c r="F44" s="113" t="str">
        <f>IFERROR(IF(INDEX('Match Log'!$E$1:$E$810,_xlfn.AGGREGATE(14,6,ROW('Match Log'!$A$4:$A$810)/('Match Log'!$D$4:$D$810=$A44),6))="Win","W","L"),"")</f>
        <v>L</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W</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L</v>
      </c>
      <c r="C45" s="113" t="str">
        <f>IFERROR(IF(INDEX('Match Log'!$E$1:$E$810,_xlfn.AGGREGATE(14,6,ROW('Match Log'!$A$4:$A$810)/('Match Log'!$D$4:$D$810=$A45),9))="Win","W","L"),"")</f>
        <v>W</v>
      </c>
      <c r="D45" s="113" t="str">
        <f>IFERROR(IF(INDEX('Match Log'!$E$1:$E$810,_xlfn.AGGREGATE(14,6,ROW('Match Log'!$A$4:$A$810)/('Match Log'!$D$4:$D$810=$A45),8))="Win","W","L"),"")</f>
        <v>W</v>
      </c>
      <c r="E45" s="113" t="str">
        <f>IFERROR(IF(INDEX('Match Log'!$E$1:$E$810,_xlfn.AGGREGATE(14,6,ROW('Match Log'!$A$4:$A$810)/('Match Log'!$D$4:$D$810=$A45),7))="Win","W","L"),"")</f>
        <v>W</v>
      </c>
      <c r="F45" s="113" t="str">
        <f>IFERROR(IF(INDEX('Match Log'!$E$1:$E$810,_xlfn.AGGREGATE(14,6,ROW('Match Log'!$A$4:$A$810)/('Match Log'!$D$4:$D$810=$A45),6))="Win","W","L"),"")</f>
        <v>L</v>
      </c>
      <c r="G45" s="113" t="str">
        <f>IFERROR(IF(INDEX('Match Log'!$E$1:$E$810,_xlfn.AGGREGATE(14,6,ROW('Match Log'!$A$4:$A$810)/('Match Log'!$D$4:$D$810=$A45),5))="Win","W","L"),"")</f>
        <v>L</v>
      </c>
      <c r="H45" s="113" t="str">
        <f>IFERROR(IF(INDEX('Match Log'!$E$1:$E$810,_xlfn.AGGREGATE(14,6,ROW('Match Log'!$A$4:$A$810)/('Match Log'!$D$4:$D$810=$A45),4))="Win","W","L"),"")</f>
        <v>L</v>
      </c>
      <c r="I45" s="113" t="str">
        <f>IFERROR(IF(INDEX('Match Log'!$E$1:$E$810,_xlfn.AGGREGATE(14,6,ROW('Match Log'!$A$4:$A$810)/('Match Log'!$D$4:$D$810=$A45),3))="Win","W","L"),"")</f>
        <v>L</v>
      </c>
      <c r="J45" s="113" t="str">
        <f>IFERROR(IF(INDEX('Match Log'!$E$1:$E$810,_xlfn.AGGREGATE(14,6,ROW('Match Log'!$A$4:$A$810)/('Match Log'!$D$4:$D$810=$A45),2))="Win","W","L"),"")</f>
        <v>L</v>
      </c>
      <c r="K45" s="113" t="str">
        <f>IFERROR(IF(INDEX('Match Log'!$E$1:$E$810,_xlfn.AGGREGATE(14,6,ROW('Match Log'!$A$4:$A$810)/('Match Log'!$D$4:$D$810=$A45),1))="Win","W","L"),"")</f>
        <v>W</v>
      </c>
    </row>
    <row r="46" spans="1:21" x14ac:dyDescent="0.2">
      <c r="A46" s="92" t="s">
        <v>21</v>
      </c>
      <c r="B46" s="113" t="str">
        <f>IFERROR(IF(INDEX('Match Log'!$E$1:$E$810,_xlfn.AGGREGATE(14,6,ROW('Match Log'!$A$4:$A$810)/('Match Log'!$D$4:$D$810=$A46),10))="Win","W","L"),"")</f>
        <v>W</v>
      </c>
      <c r="C46" s="113" t="str">
        <f>IFERROR(IF(INDEX('Match Log'!$E$1:$E$810,_xlfn.AGGREGATE(14,6,ROW('Match Log'!$A$4:$A$810)/('Match Log'!$D$4:$D$810=$A46),9))="Win","W","L"),"")</f>
        <v>L</v>
      </c>
      <c r="D46" s="113" t="str">
        <f>IFERROR(IF(INDEX('Match Log'!$E$1:$E$810,_xlfn.AGGREGATE(14,6,ROW('Match Log'!$A$4:$A$810)/('Match Log'!$D$4:$D$810=$A46),8))="Win","W","L"),"")</f>
        <v>W</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W</v>
      </c>
      <c r="H46" s="113" t="str">
        <f>IFERROR(IF(INDEX('Match Log'!$E$1:$E$810,_xlfn.AGGREGATE(14,6,ROW('Match Log'!$A$4:$A$810)/('Match Log'!$D$4:$D$810=$A46),4))="Win","W","L"),"")</f>
        <v>W</v>
      </c>
      <c r="I46" s="113" t="str">
        <f>IFERROR(IF(INDEX('Match Log'!$E$1:$E$810,_xlfn.AGGREGATE(14,6,ROW('Match Log'!$A$4:$A$810)/('Match Log'!$D$4:$D$810=$A46),3))="Win","W","L"),"")</f>
        <v>W</v>
      </c>
      <c r="J46" s="113" t="str">
        <f>IFERROR(IF(INDEX('Match Log'!$E$1:$E$810,_xlfn.AGGREGATE(14,6,ROW('Match Log'!$A$4:$A$810)/('Match Log'!$D$4:$D$810=$A46),2))="Win","W","L"),"")</f>
        <v>W</v>
      </c>
      <c r="K46" s="113" t="str">
        <f>IFERROR(IF(INDEX('Match Log'!$E$1:$E$810,_xlfn.AGGREGATE(14,6,ROW('Match Log'!$A$4:$A$810)/('Match Log'!$D$4:$D$810=$A46),1))="Win","W","L"),"")</f>
        <v>W</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L</v>
      </c>
      <c r="D47" s="113" t="str">
        <f>IFERROR(IF(INDEX('Match Log'!$E$1:$E$810,_xlfn.AGGREGATE(14,6,ROW('Match Log'!$A$4:$A$810)/('Match Log'!$D$4:$D$810=$A47),8))="Win","W","L"),"")</f>
        <v>L</v>
      </c>
      <c r="E47" s="113" t="str">
        <f>IFERROR(IF(INDEX('Match Log'!$E$1:$E$810,_xlfn.AGGREGATE(14,6,ROW('Match Log'!$A$4:$A$810)/('Match Log'!$D$4:$D$810=$A47),7))="Win","W","L"),"")</f>
        <v>W</v>
      </c>
      <c r="F47" s="113" t="str">
        <f>IFERROR(IF(INDEX('Match Log'!$E$1:$E$810,_xlfn.AGGREGATE(14,6,ROW('Match Log'!$A$4:$A$810)/('Match Log'!$D$4:$D$810=$A47),6))="Win","W","L"),"")</f>
        <v>L</v>
      </c>
      <c r="G47" s="113" t="str">
        <f>IFERROR(IF(INDEX('Match Log'!$E$1:$E$810,_xlfn.AGGREGATE(14,6,ROW('Match Log'!$A$4:$A$810)/('Match Log'!$D$4:$D$810=$A47),5))="Win","W","L"),"")</f>
        <v>L</v>
      </c>
      <c r="H47" s="113" t="str">
        <f>IFERROR(IF(INDEX('Match Log'!$E$1:$E$810,_xlfn.AGGREGATE(14,6,ROW('Match Log'!$A$4:$A$810)/('Match Log'!$D$4:$D$810=$A47),4))="Win","W","L"),"")</f>
        <v>L</v>
      </c>
      <c r="I47" s="113" t="str">
        <f>IFERROR(IF(INDEX('Match Log'!$E$1:$E$810,_xlfn.AGGREGATE(14,6,ROW('Match Log'!$A$4:$A$810)/('Match Log'!$D$4:$D$810=$A47),3))="Win","W","L"),"")</f>
        <v>L</v>
      </c>
      <c r="J47" s="113" t="str">
        <f>IFERROR(IF(INDEX('Match Log'!$E$1:$E$810,_xlfn.AGGREGATE(14,6,ROW('Match Log'!$A$4:$A$810)/('Match Log'!$D$4:$D$810=$A47),2))="Win","W","L"),"")</f>
        <v>L</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W</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W</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W</v>
      </c>
      <c r="D50" s="113" t="str">
        <f>IFERROR(IF(INDEX('Match Log'!$E$1:$E$810,_xlfn.AGGREGATE(14,6,ROW('Match Log'!$A$4:$A$810)/('Match Log'!$D$4:$D$810=$A50),8))="Win","W","L"),"")</f>
        <v>L</v>
      </c>
      <c r="E50" s="113" t="str">
        <f>IFERROR(IF(INDEX('Match Log'!$E$1:$E$810,_xlfn.AGGREGATE(14,6,ROW('Match Log'!$A$4:$A$810)/('Match Log'!$D$4:$D$810=$A50),7))="Win","W","L"),"")</f>
        <v>L</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455</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0.375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0.41176470588235292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G644" activePane="bottomRight" state="frozen"/>
      <selection pane="topRight" activeCell="F1" sqref="F1"/>
      <selection pane="bottomLeft" activeCell="A442" sqref="A442"/>
      <selection pane="bottomRight" activeCell="E682" sqref="E682"/>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0" t="s">
        <v>354</v>
      </c>
      <c r="B1" s="142"/>
      <c r="C1" s="142"/>
      <c r="D1" s="142"/>
      <c r="E1" s="142"/>
      <c r="F1" s="142"/>
      <c r="G1" s="142"/>
      <c r="H1" s="142"/>
      <c r="I1" s="142"/>
      <c r="J1" s="142"/>
      <c r="K1" s="142"/>
      <c r="L1" s="142"/>
      <c r="M1" s="142"/>
      <c r="N1" s="142"/>
      <c r="O1" s="142"/>
    </row>
    <row r="2" spans="1:29" ht="15" customHeight="1" x14ac:dyDescent="0.2">
      <c r="A2" s="161" t="s">
        <v>355</v>
      </c>
      <c r="B2" s="142"/>
      <c r="C2" s="142"/>
      <c r="D2" s="142"/>
      <c r="E2" s="142"/>
      <c r="F2" s="142"/>
      <c r="G2" s="142"/>
      <c r="H2" s="142"/>
      <c r="I2" s="142"/>
      <c r="J2" s="142"/>
      <c r="K2" s="142"/>
      <c r="L2" s="142"/>
      <c r="M2" s="142"/>
      <c r="N2" s="142"/>
      <c r="O2" s="142"/>
    </row>
    <row r="3" spans="1:29" ht="15" customHeight="1" x14ac:dyDescent="0.2">
      <c r="A3" s="51" t="s">
        <v>356</v>
      </c>
      <c r="B3" s="51" t="s">
        <v>326</v>
      </c>
      <c r="C3" s="51" t="s">
        <v>240</v>
      </c>
      <c r="D3" s="51" t="s">
        <v>5</v>
      </c>
      <c r="E3" s="51" t="s">
        <v>357</v>
      </c>
      <c r="F3" s="51" t="s">
        <v>358</v>
      </c>
      <c r="G3" s="51" t="s">
        <v>359</v>
      </c>
      <c r="H3" s="51" t="s">
        <v>360</v>
      </c>
      <c r="I3" s="51" t="s">
        <v>140</v>
      </c>
      <c r="J3" s="51" t="s">
        <v>142</v>
      </c>
      <c r="K3" s="51" t="s">
        <v>144</v>
      </c>
      <c r="L3" s="51" t="s">
        <v>146</v>
      </c>
      <c r="M3" s="51" t="s">
        <v>361</v>
      </c>
      <c r="N3" s="51" t="s">
        <v>362</v>
      </c>
      <c r="O3" s="51" t="s">
        <v>363</v>
      </c>
      <c r="P3" s="51" t="s">
        <v>364</v>
      </c>
      <c r="Q3" s="51" t="s">
        <v>365</v>
      </c>
      <c r="R3" s="51" t="s">
        <v>366</v>
      </c>
      <c r="S3" s="51" t="s">
        <v>367</v>
      </c>
      <c r="T3" s="51" t="s">
        <v>368</v>
      </c>
      <c r="U3" s="51" t="s">
        <v>369</v>
      </c>
      <c r="V3" s="51" t="s">
        <v>370</v>
      </c>
      <c r="W3" s="51" t="s">
        <v>371</v>
      </c>
      <c r="X3" s="51" t="s">
        <v>372</v>
      </c>
      <c r="Y3" s="51" t="s">
        <v>373</v>
      </c>
      <c r="Z3" s="51" t="s">
        <v>374</v>
      </c>
      <c r="AA3" s="51" t="s">
        <v>375</v>
      </c>
      <c r="AB3" s="51" t="s">
        <v>376</v>
      </c>
      <c r="AC3" t="s">
        <v>377</v>
      </c>
    </row>
    <row r="4" spans="1:29" ht="15" customHeight="1" x14ac:dyDescent="0.2">
      <c r="A4" s="117">
        <v>1</v>
      </c>
      <c r="B4" s="118">
        <v>46145</v>
      </c>
      <c r="C4" s="119" t="s">
        <v>41</v>
      </c>
      <c r="D4" s="119" t="s">
        <v>19</v>
      </c>
      <c r="E4" s="117" t="s">
        <v>378</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379</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379</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378</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379</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379</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379</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379</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379</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379</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379</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379</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378</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379</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378</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379</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378</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378</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379</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379</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378</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379</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378</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379</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378</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378</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379</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378</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379</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378</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379</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378</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379</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379</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378</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379</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378</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379</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378</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378</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379</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378</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379</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378</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379</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378</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379</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378</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379</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378</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379</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378</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379</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378</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379</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378</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379</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379</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378</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378</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379</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378</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379</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379</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378</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378</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379</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378</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379</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378</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379</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378</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379</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378</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379</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379</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378</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379</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378</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379</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378</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379</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378</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379</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378</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379</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378</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379</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379</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378</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378</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379</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379</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378</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378</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379</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378</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379</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379</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378</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378</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379</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378</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379</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379</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378</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378</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379</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378</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379</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378</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379</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378</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379</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378</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379</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379</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378</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378</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379</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378</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379</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378</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379</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378</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379</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378</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379</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378</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379</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378</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379</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378</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379</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378</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379</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378</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379</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378</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379</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378</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379</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378</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379</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378</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378</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379</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379</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378</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378</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379</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379</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378</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378</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379</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379</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378</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378</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379</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379</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378</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378</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379</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379</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378</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378</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379</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379</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378</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378</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379</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379</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378</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378</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379</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379</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378</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378</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379</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379</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378</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378</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379</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379</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378</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378</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379</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379</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378</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378</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379</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379</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378</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378</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379</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379</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378</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378</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379</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379</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378</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378</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379</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379</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378</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378</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379</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379</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378</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378</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379</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379</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378</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378</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379</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379</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378</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379</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378</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379</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378</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379</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379</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378</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379</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378</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379</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378</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379</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379</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378</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378</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379</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378</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379</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379</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378</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379</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378</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379</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378</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379</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378</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379</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378</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379</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378</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379</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378</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379</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378</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379</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379</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378</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378</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379</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378</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379</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379</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378</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379</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378</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378</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379</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378</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379</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378</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379</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378</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379</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378</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379</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378</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379</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379</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378</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379</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378</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379</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378</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379</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378</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378</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379</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378</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379</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379</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378</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378</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379</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379</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378</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378</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379</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379</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378</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378</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379</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378</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379</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379</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378</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378</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379</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378</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379</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378</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379</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379</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378</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379</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378</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378</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379</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379</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378</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379</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378</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379</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378</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378</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379</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378</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379</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379</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378</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379</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379</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378</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378</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379</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378</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379</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378</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379</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379</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378</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378</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379</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378</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379</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378</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379</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378</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379</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378</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379</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378</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379</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378</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379</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378</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379</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378</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379</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379</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378</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379</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379</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378</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378</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379</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379</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378</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378</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379</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379</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378</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379</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378</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379</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379</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379</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379</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379</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379</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378</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379</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378</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379</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378</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379</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378</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379</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378</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379</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378</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379</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378</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378</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379</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379</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379</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379</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378</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378</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379</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379</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378</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379</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379</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378</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379</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378</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378</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379</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378</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379</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378</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379</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378</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379</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378</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379</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378</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379</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379</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379</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379</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379</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378</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379</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378</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378</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379</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378</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379</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379</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378</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379</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378</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378</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379</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378</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379</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379</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379</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378</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379</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379</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378</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379</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378</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379</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378</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379</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378</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379</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379</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378</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378</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379</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378</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379</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379</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378</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378</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379</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379</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378</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379</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378</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379</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378</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378</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379</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378</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379</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379</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378</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379</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379</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379</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378</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379</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379</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378</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378</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379</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379</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379</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379</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378</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378</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379</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379</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378</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378</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379</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379</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378</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455</v>
      </c>
      <c r="D495" s="119" t="s">
        <v>19</v>
      </c>
      <c r="E495" s="117" t="s">
        <v>378</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455</v>
      </c>
      <c r="D496" s="119" t="s">
        <v>22</v>
      </c>
      <c r="E496" s="117" t="s">
        <v>379</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455</v>
      </c>
      <c r="D497" s="119" t="s">
        <v>19</v>
      </c>
      <c r="E497" s="117" t="s">
        <v>379</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455</v>
      </c>
      <c r="D498" s="119" t="s">
        <v>22</v>
      </c>
      <c r="E498" s="117" t="s">
        <v>378</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455</v>
      </c>
      <c r="D499" s="119" t="s">
        <v>19</v>
      </c>
      <c r="E499" s="117" t="s">
        <v>378</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455</v>
      </c>
      <c r="D500" s="119" t="s">
        <v>22</v>
      </c>
      <c r="E500" s="117" t="s">
        <v>379</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378</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379</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379</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378</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378</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379</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379</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378</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378</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379</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378</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379</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378</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379</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378</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379</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379</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378</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378</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379</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379</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379</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379</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379</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379</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379</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378</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379</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378</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379</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379</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379</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378</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379</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379</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379</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378</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379</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378</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379</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378</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379</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378</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379</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379</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378</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378</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379</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379</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378</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379</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378</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379</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379</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378</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378</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379</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378</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379</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378</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379</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379</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378</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379</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378</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378</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379</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378</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379</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378</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379</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379</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379</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378</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379</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379</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379</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378</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379</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379</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379</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378</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379</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379</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379</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379</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379</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378</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378</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379</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378</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379</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378</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379</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378</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379</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379</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379</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378</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379</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379</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379</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378</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v>256</v>
      </c>
      <c r="B604" s="118">
        <v>46256</v>
      </c>
      <c r="C604" s="119" t="s">
        <v>34</v>
      </c>
      <c r="D604" s="119" t="s">
        <v>15</v>
      </c>
      <c r="E604" s="117" t="s">
        <v>378</v>
      </c>
      <c r="F604" s="120">
        <f t="shared" si="153"/>
        <v>3</v>
      </c>
      <c r="G604" s="121" t="str">
        <f t="shared" si="154"/>
        <v>Aaron</v>
      </c>
      <c r="H604" s="122">
        <f>IF($D604="",0,IFERROR(LOOKUP(2,1/(($D$3:D603=$D604)*($A$3:A603&lt;$A604)),$N$3:N603),'Guide &amp; Settings'!$C$41))</f>
        <v>1175.7182386609175</v>
      </c>
      <c r="I604" s="123">
        <f t="shared" si="155"/>
        <v>0.31168831168831168</v>
      </c>
      <c r="J604" s="124">
        <f>IF($D604="",0,IF($F604&lt;2,0,IF($E604="Win",('Guide &amp; Settings'!$C$42/(($F604-1)*COUNTIFS($A$4:$A$810,$A604,$E$4:$E$810,"Win")))*SUMIFS($X$4:$X$810,$A$4:$A$810,$A604,$E$4:$E$810,"Loss"),-('Guide &amp; Settings'!$C$42/($F604-1))*$X604)))</f>
        <v>16.201782645692202</v>
      </c>
      <c r="K604" s="124">
        <f>IF($D604="",0,'Guide &amp; Settings'!$C$43*(IF($E604="Win",1,0)-$I604))</f>
        <v>8.2597402597402603</v>
      </c>
      <c r="L604" s="125">
        <f>IF($D604="",0,'Guide &amp; Settings'!$C$44*IF($F604&gt;=3,$F604,0))</f>
        <v>3</v>
      </c>
      <c r="M604" s="124">
        <f t="shared" si="156"/>
        <v>27.46152290543246</v>
      </c>
      <c r="N604" s="122">
        <f t="shared" si="157"/>
        <v>1203.17976156635</v>
      </c>
      <c r="O604" s="121" t="str">
        <f t="shared" si="158"/>
        <v>OK</v>
      </c>
      <c r="P604">
        <f t="shared" si="159"/>
        <v>1175.7182386609175</v>
      </c>
      <c r="Q604">
        <f t="shared" si="160"/>
        <v>0.5</v>
      </c>
      <c r="R604">
        <f t="shared" si="161"/>
        <v>0.42857142857142855</v>
      </c>
      <c r="S604">
        <f t="shared" si="162"/>
        <v>1.375</v>
      </c>
      <c r="T604" s="89">
        <f t="shared" si="163"/>
        <v>5</v>
      </c>
      <c r="U604" s="126">
        <f>IF($D604="",0,IFERROR(LOOKUP(2,1/(($D$3:D603=$D604)*($C$3:C603=$C604)*($A$3:A603&lt;$A604)),$AB$3:AB603),1000))</f>
        <v>1008.4582101991562</v>
      </c>
      <c r="V604" s="126">
        <f t="shared" si="164"/>
        <v>1092.0882244300369</v>
      </c>
      <c r="W604">
        <f t="shared" si="165"/>
        <v>1092.0882244300369</v>
      </c>
      <c r="X604">
        <f t="shared" si="166"/>
        <v>0.5</v>
      </c>
      <c r="Y604">
        <f t="shared" si="167"/>
        <v>1008.4582101991562</v>
      </c>
      <c r="Z604">
        <f t="shared" si="168"/>
        <v>0.5</v>
      </c>
      <c r="AA604">
        <f>IF($D604="",0,IF($F604&lt;2,0,IF($E604="Win",('Guide &amp; Settings'!$C$42/(($F604-1)*COUNTIFS($A$4:$A$810,$A604,$E$4:$E$810,"Win")))*SUMIFS($Z$4:$Z$810,$A$4:$A$810,$A604,$E$4:$E$810,"Loss"),-('Guide &amp; Settings'!$C$42/($F604-1))*$Z604)))</f>
        <v>16.41750633319775</v>
      </c>
      <c r="AB604" s="126">
        <f t="shared" si="169"/>
        <v>1024.8757165323539</v>
      </c>
      <c r="AC604" s="126"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0</v>
      </c>
    </row>
    <row r="605" spans="1:29" x14ac:dyDescent="0.2">
      <c r="A605" s="117">
        <v>256</v>
      </c>
      <c r="B605" s="118">
        <v>46256</v>
      </c>
      <c r="C605" s="119" t="s">
        <v>34</v>
      </c>
      <c r="D605" s="119" t="s">
        <v>22</v>
      </c>
      <c r="E605" s="117" t="s">
        <v>379</v>
      </c>
      <c r="F605" s="120">
        <f t="shared" si="153"/>
        <v>3</v>
      </c>
      <c r="G605" s="121" t="str">
        <f t="shared" si="154"/>
        <v>Aaron</v>
      </c>
      <c r="H605" s="122">
        <f>IF($D605="",0,IFERROR(LOOKUP(2,1/(($D$3:D604=$D605)*($A$3:A604&lt;$A605)),$N$3:N604),'Guide &amp; Settings'!$C$41))</f>
        <v>1049.8175618192947</v>
      </c>
      <c r="I605" s="123">
        <f t="shared" si="155"/>
        <v>0.27272727272727271</v>
      </c>
      <c r="J605" s="124">
        <f>IF($D605="",0,IF($F605&lt;2,0,IF($E605="Win",('Guide &amp; Settings'!$C$42/(($F605-1)*COUNTIFS($A$4:$A$810,$A605,$E$4:$E$810,"Win")))*SUMIFS($X$4:$X$810,$A$4:$A$810,$A605,$E$4:$E$810,"Loss"),-('Guide &amp; Settings'!$C$42/($F605-1))*$X605)))</f>
        <v>-6.5243358945815526</v>
      </c>
      <c r="K605" s="124">
        <f>IF($D605="",0,'Guide &amp; Settings'!$C$43*(IF($E605="Win",1,0)-$I605))</f>
        <v>-3.2727272727272725</v>
      </c>
      <c r="L605" s="125">
        <f>IF($D605="",0,'Guide &amp; Settings'!$C$44*IF($F605&gt;=3,$F605,0))</f>
        <v>3</v>
      </c>
      <c r="M605" s="124">
        <f t="shared" si="156"/>
        <v>-6.7970631673088242</v>
      </c>
      <c r="N605" s="122">
        <f t="shared" si="157"/>
        <v>1043.0204986519859</v>
      </c>
      <c r="O605" s="121" t="str">
        <f t="shared" si="158"/>
        <v>OK</v>
      </c>
      <c r="P605">
        <f t="shared" si="159"/>
        <v>1175.7182386609175</v>
      </c>
      <c r="Q605">
        <f t="shared" si="160"/>
        <v>0.32634949630894966</v>
      </c>
      <c r="R605">
        <f t="shared" si="161"/>
        <v>0.375</v>
      </c>
      <c r="S605">
        <f t="shared" si="162"/>
        <v>1.375</v>
      </c>
      <c r="T605" s="89">
        <f t="shared" si="163"/>
        <v>6</v>
      </c>
      <c r="U605" s="126">
        <f>IF($D605="",0,IFERROR(LOOKUP(2,1/(($D$3:D604=$D605)*($C$3:C604=$C605)*($A$3:A604&lt;$A605)),$AB$3:AB604),1000))</f>
        <v>1008.4599898887228</v>
      </c>
      <c r="V605" s="126">
        <f t="shared" si="164"/>
        <v>1027.2588862208011</v>
      </c>
      <c r="W605">
        <f t="shared" si="165"/>
        <v>1092.0882244300369</v>
      </c>
      <c r="X605">
        <f t="shared" si="166"/>
        <v>0.40777099341134704</v>
      </c>
      <c r="Y605">
        <f t="shared" si="167"/>
        <v>1008.4582101991562</v>
      </c>
      <c r="Z605">
        <f t="shared" si="168"/>
        <v>0.50000256117916642</v>
      </c>
      <c r="AA605">
        <f>IF($D605="",0,IF($F605&lt;2,0,IF($E605="Win",('Guide &amp; Settings'!$C$42/(($F605-1)*COUNTIFS($A$4:$A$810,$A605,$E$4:$E$810,"Win")))*SUMIFS($Z$4:$Z$810,$A$4:$A$810,$A605,$E$4:$E$810,"Loss"),-('Guide &amp; Settings'!$C$42/($F605-1))*$Z605)))</f>
        <v>-8.0000409788666627</v>
      </c>
      <c r="AB605" s="126">
        <f t="shared" si="169"/>
        <v>1000.4599489098562</v>
      </c>
      <c r="AC605" s="126"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0</v>
      </c>
    </row>
    <row r="606" spans="1:29" x14ac:dyDescent="0.2">
      <c r="A606" s="117">
        <v>256</v>
      </c>
      <c r="B606" s="118">
        <v>46256</v>
      </c>
      <c r="C606" s="119" t="s">
        <v>34</v>
      </c>
      <c r="D606" s="119" t="s">
        <v>20</v>
      </c>
      <c r="E606" s="117" t="s">
        <v>379</v>
      </c>
      <c r="F606" s="120">
        <f t="shared" si="153"/>
        <v>3</v>
      </c>
      <c r="G606" s="121" t="str">
        <f t="shared" si="154"/>
        <v>Aaron</v>
      </c>
      <c r="H606" s="122">
        <f>IF($D606="",0,IFERROR(LOOKUP(2,1/(($D$3:D605=$D606)*($A$3:A605&lt;$A606)),$N$3:N605),'Guide &amp; Settings'!$C$41))</f>
        <v>1305.4661007130724</v>
      </c>
      <c r="I606" s="123">
        <f t="shared" si="155"/>
        <v>0.41558441558441556</v>
      </c>
      <c r="J606" s="124">
        <f>IF($D606="",0,IF($F606&lt;2,0,IF($E606="Win",('Guide &amp; Settings'!$C$42/(($F606-1)*COUNTIFS($A$4:$A$810,$A606,$E$4:$E$810,"Win")))*SUMIFS($X$4:$X$810,$A$4:$A$810,$A606,$E$4:$E$810,"Loss"),-('Guide &amp; Settings'!$C$42/($F606-1))*$X606)))</f>
        <v>-9.677446751110649</v>
      </c>
      <c r="K606" s="124">
        <f>IF($D606="",0,'Guide &amp; Settings'!$C$43*(IF($E606="Win",1,0)-$I606))</f>
        <v>-4.9870129870129869</v>
      </c>
      <c r="L606" s="125">
        <f>IF($D606="",0,'Guide &amp; Settings'!$C$44*IF($F606&gt;=3,$F606,0))</f>
        <v>3</v>
      </c>
      <c r="M606" s="124">
        <f t="shared" si="156"/>
        <v>-11.664459738123636</v>
      </c>
      <c r="N606" s="122">
        <f t="shared" si="157"/>
        <v>1293.8016409749487</v>
      </c>
      <c r="O606" s="121" t="str">
        <f t="shared" si="158"/>
        <v>OK</v>
      </c>
      <c r="P606">
        <f t="shared" si="159"/>
        <v>1175.7182386609175</v>
      </c>
      <c r="Q606">
        <f t="shared" si="160"/>
        <v>0.67850039197718148</v>
      </c>
      <c r="R606">
        <f t="shared" si="161"/>
        <v>0.5714285714285714</v>
      </c>
      <c r="S606">
        <f t="shared" si="162"/>
        <v>1.375</v>
      </c>
      <c r="T606" s="89">
        <f t="shared" si="163"/>
        <v>5</v>
      </c>
      <c r="U606" s="126">
        <f>IF($D606="",0,IFERROR(LOOKUP(2,1/(($D$3:D605=$D606)*($C$3:C605=$C606)*($A$3:A605&lt;$A606)),$AB$3:AB605),1000))</f>
        <v>1026.6049838790475</v>
      </c>
      <c r="V606" s="126">
        <f t="shared" si="164"/>
        <v>1166.0355422960599</v>
      </c>
      <c r="W606">
        <f t="shared" si="165"/>
        <v>1092.0882244300369</v>
      </c>
      <c r="X606">
        <f t="shared" si="166"/>
        <v>0.60484042194441556</v>
      </c>
      <c r="Y606">
        <f t="shared" si="167"/>
        <v>1008.4582101991562</v>
      </c>
      <c r="Z606">
        <f t="shared" si="168"/>
        <v>0.52609158464569306</v>
      </c>
      <c r="AA606">
        <f>IF($D606="",0,IF($F606&lt;2,0,IF($E606="Win",('Guide &amp; Settings'!$C$42/(($F606-1)*COUNTIFS($A$4:$A$810,$A606,$E$4:$E$810,"Win")))*SUMIFS($Z$4:$Z$810,$A$4:$A$810,$A606,$E$4:$E$810,"Loss"),-('Guide &amp; Settings'!$C$42/($F606-1))*$Z606)))</f>
        <v>-8.4174653543310889</v>
      </c>
      <c r="AB606" s="126">
        <f t="shared" si="169"/>
        <v>1018.1875185247164</v>
      </c>
      <c r="AC606" s="126"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0</v>
      </c>
    </row>
    <row r="607" spans="1:29" x14ac:dyDescent="0.2">
      <c r="A607" s="117">
        <v>257</v>
      </c>
      <c r="B607" s="118">
        <v>46256</v>
      </c>
      <c r="C607" s="119" t="s">
        <v>34</v>
      </c>
      <c r="D607" s="119" t="s">
        <v>15</v>
      </c>
      <c r="E607" s="117" t="s">
        <v>378</v>
      </c>
      <c r="F607" s="120">
        <f t="shared" si="153"/>
        <v>3</v>
      </c>
      <c r="G607" s="121" t="str">
        <f t="shared" si="154"/>
        <v>Aaron</v>
      </c>
      <c r="H607" s="122">
        <f>IF($D607="",0,IFERROR(LOOKUP(2,1/(($D$3:D606=$D607)*($A$3:A606&lt;$A607)),$N$3:N606),'Guide &amp; Settings'!$C$41))</f>
        <v>1203.17976156635</v>
      </c>
      <c r="I607" s="123">
        <f t="shared" si="155"/>
        <v>0.375</v>
      </c>
      <c r="J607" s="124">
        <f>IF($D607="",0,IF($F607&lt;2,0,IF($E607="Win",('Guide &amp; Settings'!$C$42/(($F607-1)*COUNTIFS($A$4:$A$810,$A607,$E$4:$E$810,"Win")))*SUMIFS($X$4:$X$810,$A$4:$A$810,$A607,$E$4:$E$810,"Loss"),-('Guide &amp; Settings'!$C$42/($F607-1))*$X607)))</f>
        <v>14.882943911264345</v>
      </c>
      <c r="K607" s="124">
        <f>IF($D607="",0,'Guide &amp; Settings'!$C$43*(IF($E607="Win",1,0)-$I607))</f>
        <v>7.5</v>
      </c>
      <c r="L607" s="125">
        <f>IF($D607="",0,'Guide &amp; Settings'!$C$44*IF($F607&gt;=3,$F607,0))</f>
        <v>3</v>
      </c>
      <c r="M607" s="124">
        <f t="shared" si="156"/>
        <v>25.382943911264345</v>
      </c>
      <c r="N607" s="122">
        <f t="shared" si="157"/>
        <v>1228.5627054776144</v>
      </c>
      <c r="O607" s="121" t="str">
        <f t="shared" si="158"/>
        <v>OK</v>
      </c>
      <c r="P607">
        <f t="shared" si="159"/>
        <v>1203.17976156635</v>
      </c>
      <c r="Q607">
        <f t="shared" si="160"/>
        <v>0.5</v>
      </c>
      <c r="R607">
        <f t="shared" si="161"/>
        <v>0.5</v>
      </c>
      <c r="S607">
        <f t="shared" si="162"/>
        <v>1.3333333333333333</v>
      </c>
      <c r="T607" s="89">
        <f t="shared" si="163"/>
        <v>6</v>
      </c>
      <c r="U607" s="126">
        <f>IF($D607="",0,IFERROR(LOOKUP(2,1/(($D$3:D606=$D607)*($C$3:C606=$C607)*($A$3:A606&lt;$A607)),$AB$3:AB606),1000))</f>
        <v>1024.8757165323539</v>
      </c>
      <c r="V607" s="126">
        <f t="shared" si="164"/>
        <v>1105.9230097296249</v>
      </c>
      <c r="W607">
        <f t="shared" si="165"/>
        <v>1105.9230097296249</v>
      </c>
      <c r="X607">
        <f t="shared" si="166"/>
        <v>0.5</v>
      </c>
      <c r="Y607">
        <f t="shared" si="167"/>
        <v>1024.8757165323539</v>
      </c>
      <c r="Z607">
        <f t="shared" si="168"/>
        <v>0.5</v>
      </c>
      <c r="AA607">
        <f>IF($D607="",0,IF($F607&lt;2,0,IF($E607="Win",('Guide &amp; Settings'!$C$42/(($F607-1)*COUNTIFS($A$4:$A$810,$A607,$E$4:$E$810,"Win")))*SUMIFS($Z$4:$Z$810,$A$4:$A$810,$A607,$E$4:$E$810,"Loss"),-('Guide &amp; Settings'!$C$42/($F607-1))*$Z607)))</f>
        <v>15.284747378085063</v>
      </c>
      <c r="AB607" s="126">
        <f t="shared" si="169"/>
        <v>1040.1604639104389</v>
      </c>
      <c r="AC607" s="126"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0</v>
      </c>
    </row>
    <row r="608" spans="1:29" x14ac:dyDescent="0.2">
      <c r="A608" s="117">
        <v>257</v>
      </c>
      <c r="B608" s="118">
        <v>46256</v>
      </c>
      <c r="C608" s="119" t="s">
        <v>34</v>
      </c>
      <c r="D608" s="119" t="s">
        <v>22</v>
      </c>
      <c r="E608" s="117" t="s">
        <v>379</v>
      </c>
      <c r="F608" s="120">
        <f t="shared" si="153"/>
        <v>3</v>
      </c>
      <c r="G608" s="121" t="str">
        <f t="shared" si="154"/>
        <v>Aaron</v>
      </c>
      <c r="H608" s="122">
        <f>IF($D608="",0,IFERROR(LOOKUP(2,1/(($D$3:D607=$D608)*($A$3:A607&lt;$A608)),$N$3:N607),'Guide &amp; Settings'!$C$41))</f>
        <v>1043.0204986519859</v>
      </c>
      <c r="I608" s="123">
        <f t="shared" si="155"/>
        <v>0.25</v>
      </c>
      <c r="J608" s="124">
        <f>IF($D608="",0,IF($F608&lt;2,0,IF($E608="Win",('Guide &amp; Settings'!$C$42/(($F608-1)*COUNTIFS($A$4:$A$810,$A608,$E$4:$E$810,"Win")))*SUMIFS($X$4:$X$810,$A$4:$A$810,$A608,$E$4:$E$810,"Loss"),-('Guide &amp; Settings'!$C$42/($F608-1))*$X608)))</f>
        <v>-6.021818428417018</v>
      </c>
      <c r="K608" s="124">
        <f>IF($D608="",0,'Guide &amp; Settings'!$C$43*(IF($E608="Win",1,0)-$I608))</f>
        <v>-3</v>
      </c>
      <c r="L608" s="125">
        <f>IF($D608="",0,'Guide &amp; Settings'!$C$44*IF($F608&gt;=3,$F608,0))</f>
        <v>3</v>
      </c>
      <c r="M608" s="124">
        <f t="shared" si="156"/>
        <v>-6.0218184284170171</v>
      </c>
      <c r="N608" s="122">
        <f t="shared" si="157"/>
        <v>1036.998680223569</v>
      </c>
      <c r="O608" s="121" t="str">
        <f t="shared" si="158"/>
        <v>OK</v>
      </c>
      <c r="P608">
        <f t="shared" si="159"/>
        <v>1203.17976156635</v>
      </c>
      <c r="Q608">
        <f t="shared" si="160"/>
        <v>0.28456056640988292</v>
      </c>
      <c r="R608">
        <f t="shared" si="161"/>
        <v>0.33333333333333331</v>
      </c>
      <c r="S608">
        <f t="shared" si="162"/>
        <v>1.3333333333333333</v>
      </c>
      <c r="T608" s="89">
        <f t="shared" si="163"/>
        <v>7</v>
      </c>
      <c r="U608" s="126">
        <f>IF($D608="",0,IFERROR(LOOKUP(2,1/(($D$3:D607=$D608)*($C$3:C607=$C608)*($A$3:A607&lt;$A608)),$AB$3:AB607),1000))</f>
        <v>1000.4599489098562</v>
      </c>
      <c r="V608" s="126">
        <f t="shared" si="164"/>
        <v>1018.1935113024102</v>
      </c>
      <c r="W608">
        <f t="shared" si="165"/>
        <v>1105.9230097296249</v>
      </c>
      <c r="X608">
        <f t="shared" si="166"/>
        <v>0.37636365177606362</v>
      </c>
      <c r="Y608">
        <f t="shared" si="167"/>
        <v>1024.8757165323539</v>
      </c>
      <c r="Z608">
        <f t="shared" si="168"/>
        <v>0.46492061302952209</v>
      </c>
      <c r="AA608">
        <f>IF($D608="",0,IF($F608&lt;2,0,IF($E608="Win",('Guide &amp; Settings'!$C$42/(($F608-1)*COUNTIFS($A$4:$A$810,$A608,$E$4:$E$810,"Win")))*SUMIFS($Z$4:$Z$810,$A$4:$A$810,$A608,$E$4:$E$810,"Loss"),-('Guide &amp; Settings'!$C$42/($F608-1))*$Z608)))</f>
        <v>-7.4387298084723534</v>
      </c>
      <c r="AB608" s="126">
        <f t="shared" si="169"/>
        <v>993.02121910138385</v>
      </c>
      <c r="AC608" s="126"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0</v>
      </c>
    </row>
    <row r="609" spans="1:29" x14ac:dyDescent="0.2">
      <c r="A609" s="117">
        <v>257</v>
      </c>
      <c r="B609" s="118">
        <v>46256</v>
      </c>
      <c r="C609" s="119" t="s">
        <v>34</v>
      </c>
      <c r="D609" s="119" t="s">
        <v>20</v>
      </c>
      <c r="E609" s="117" t="s">
        <v>379</v>
      </c>
      <c r="F609" s="120">
        <f t="shared" si="153"/>
        <v>3</v>
      </c>
      <c r="G609" s="121" t="str">
        <f t="shared" si="154"/>
        <v>Aaron</v>
      </c>
      <c r="H609" s="122">
        <f>IF($D609="",0,IFERROR(LOOKUP(2,1/(($D$3:D608=$D609)*($A$3:A608&lt;$A609)),$N$3:N608),'Guide &amp; Settings'!$C$41))</f>
        <v>1293.8016409749487</v>
      </c>
      <c r="I609" s="123">
        <f t="shared" si="155"/>
        <v>0.375</v>
      </c>
      <c r="J609" s="124">
        <f>IF($D609="",0,IF($F609&lt;2,0,IF($E609="Win",('Guide &amp; Settings'!$C$42/(($F609-1)*COUNTIFS($A$4:$A$810,$A609,$E$4:$E$810,"Win")))*SUMIFS($X$4:$X$810,$A$4:$A$810,$A609,$E$4:$E$810,"Loss"),-('Guide &amp; Settings'!$C$42/($F609-1))*$X609)))</f>
        <v>-8.8611254828473278</v>
      </c>
      <c r="K609" s="124">
        <f>IF($D609="",0,'Guide &amp; Settings'!$C$43*(IF($E609="Win",1,0)-$I609))</f>
        <v>-4.5</v>
      </c>
      <c r="L609" s="125">
        <f>IF($D609="",0,'Guide &amp; Settings'!$C$44*IF($F609&gt;=3,$F609,0))</f>
        <v>3</v>
      </c>
      <c r="M609" s="124">
        <f t="shared" si="156"/>
        <v>-10.361125482847328</v>
      </c>
      <c r="N609" s="122">
        <f t="shared" si="157"/>
        <v>1283.4405154921014</v>
      </c>
      <c r="O609" s="121" t="str">
        <f t="shared" si="158"/>
        <v>OK</v>
      </c>
      <c r="P609">
        <f t="shared" si="159"/>
        <v>1203.17976156635</v>
      </c>
      <c r="Q609">
        <f t="shared" si="160"/>
        <v>0.6275361917883252</v>
      </c>
      <c r="R609">
        <f t="shared" si="161"/>
        <v>0.5</v>
      </c>
      <c r="S609">
        <f t="shared" si="162"/>
        <v>1.3333333333333333</v>
      </c>
      <c r="T609" s="89">
        <f t="shared" si="163"/>
        <v>6</v>
      </c>
      <c r="U609" s="126">
        <f>IF($D609="",0,IFERROR(LOOKUP(2,1/(($D$3:D608=$D609)*($C$3:C608=$C609)*($A$3:A608&lt;$A609)),$AB$3:AB608),1000))</f>
        <v>1018.1875185247164</v>
      </c>
      <c r="V609" s="126">
        <f t="shared" si="164"/>
        <v>1143.4666650930039</v>
      </c>
      <c r="W609">
        <f t="shared" si="165"/>
        <v>1105.9230097296249</v>
      </c>
      <c r="X609">
        <f t="shared" si="166"/>
        <v>0.55382034267795799</v>
      </c>
      <c r="Y609">
        <f t="shared" si="167"/>
        <v>1024.8757165323539</v>
      </c>
      <c r="Z609">
        <f t="shared" si="168"/>
        <v>0.49037609810079436</v>
      </c>
      <c r="AA609">
        <f>IF($D609="",0,IF($F609&lt;2,0,IF($E609="Win",('Guide &amp; Settings'!$C$42/(($F609-1)*COUNTIFS($A$4:$A$810,$A609,$E$4:$E$810,"Win")))*SUMIFS($Z$4:$Z$810,$A$4:$A$810,$A609,$E$4:$E$810,"Loss"),-('Guide &amp; Settings'!$C$42/($F609-1))*$Z609)))</f>
        <v>-7.8460175696127097</v>
      </c>
      <c r="AB609" s="126">
        <f t="shared" si="169"/>
        <v>1010.3415009551037</v>
      </c>
      <c r="AC609" s="126"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0</v>
      </c>
    </row>
    <row r="610" spans="1:29" x14ac:dyDescent="0.2">
      <c r="A610" s="117">
        <v>258</v>
      </c>
      <c r="B610" s="118">
        <v>46256</v>
      </c>
      <c r="C610" s="119" t="s">
        <v>34</v>
      </c>
      <c r="D610" s="119" t="s">
        <v>15</v>
      </c>
      <c r="E610" s="117" t="s">
        <v>379</v>
      </c>
      <c r="F610" s="120">
        <f t="shared" si="153"/>
        <v>3</v>
      </c>
      <c r="G610" s="121" t="str">
        <f t="shared" si="154"/>
        <v>Daniel (Ferret)</v>
      </c>
      <c r="H610" s="122">
        <f>IF($D610="",0,IFERROR(LOOKUP(2,1/(($D$3:D609=$D610)*($A$3:A609&lt;$A610)),$N$3:N609),'Guide &amp; Settings'!$C$41))</f>
        <v>1228.5627054776144</v>
      </c>
      <c r="I610" s="123">
        <f t="shared" si="155"/>
        <v>0.42735042735042733</v>
      </c>
      <c r="J610" s="124">
        <f>IF($D610="",0,IF($F610&lt;2,0,IF($E610="Win",('Guide &amp; Settings'!$C$42/(($F610-1)*COUNTIFS($A$4:$A$810,$A610,$E$4:$E$810,"Win")))*SUMIFS($X$4:$X$810,$A$4:$A$810,$A610,$E$4:$E$810,"Loss"),-('Guide &amp; Settings'!$C$42/($F610-1))*$X610)))</f>
        <v>-10.424859773809072</v>
      </c>
      <c r="K610" s="124">
        <f>IF($D610="",0,'Guide &amp; Settings'!$C$43*(IF($E610="Win",1,0)-$I610))</f>
        <v>-5.1282051282051277</v>
      </c>
      <c r="L610" s="125">
        <f>IF($D610="",0,'Guide &amp; Settings'!$C$44*IF($F610&gt;=3,$F610,0))</f>
        <v>3</v>
      </c>
      <c r="M610" s="124">
        <f t="shared" si="156"/>
        <v>-12.553064902014199</v>
      </c>
      <c r="N610" s="122">
        <f t="shared" si="157"/>
        <v>1216.0096405756001</v>
      </c>
      <c r="O610" s="121" t="str">
        <f t="shared" si="158"/>
        <v>OK</v>
      </c>
      <c r="P610">
        <f t="shared" si="159"/>
        <v>1036.998680223569</v>
      </c>
      <c r="Q610">
        <f t="shared" si="160"/>
        <v>0.75077149515803165</v>
      </c>
      <c r="R610">
        <f t="shared" si="161"/>
        <v>0.55555555555555558</v>
      </c>
      <c r="S610">
        <f t="shared" si="162"/>
        <v>1.3</v>
      </c>
      <c r="T610" s="89">
        <f t="shared" si="163"/>
        <v>7</v>
      </c>
      <c r="U610" s="126">
        <f>IF($D610="",0,IFERROR(LOOKUP(2,1/(($D$3:D609=$D610)*($C$3:C609=$C610)*($A$3:A609&lt;$A610)),$AB$3:AB609),1000))</f>
        <v>1040.1604639104389</v>
      </c>
      <c r="V610" s="126">
        <f t="shared" si="164"/>
        <v>1118.6613978967621</v>
      </c>
      <c r="W610">
        <f t="shared" si="165"/>
        <v>1009.9356272253012</v>
      </c>
      <c r="X610">
        <f t="shared" si="166"/>
        <v>0.65155373586306697</v>
      </c>
      <c r="Y610">
        <f t="shared" si="167"/>
        <v>993.02121910138385</v>
      </c>
      <c r="Z610">
        <f t="shared" si="168"/>
        <v>0.56742560030446487</v>
      </c>
      <c r="AA610">
        <f>IF($D610="",0,IF($F610&lt;2,0,IF($E610="Win",('Guide &amp; Settings'!$C$42/(($F610-1)*COUNTIFS($A$4:$A$810,$A610,$E$4:$E$810,"Win")))*SUMIFS($Z$4:$Z$810,$A$4:$A$810,$A610,$E$4:$E$810,"Loss"),-('Guide &amp; Settings'!$C$42/($F610-1))*$Z610)))</f>
        <v>-9.078809604871438</v>
      </c>
      <c r="AB610" s="126">
        <f t="shared" si="169"/>
        <v>1031.0816543055676</v>
      </c>
      <c r="AC610" s="126"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0</v>
      </c>
    </row>
    <row r="611" spans="1:29" x14ac:dyDescent="0.2">
      <c r="A611" s="117">
        <v>258</v>
      </c>
      <c r="B611" s="118">
        <v>46256</v>
      </c>
      <c r="C611" s="119" t="s">
        <v>34</v>
      </c>
      <c r="D611" s="119" t="s">
        <v>22</v>
      </c>
      <c r="E611" s="117" t="s">
        <v>378</v>
      </c>
      <c r="F611" s="120">
        <f t="shared" si="153"/>
        <v>3</v>
      </c>
      <c r="G611" s="121" t="str">
        <f t="shared" si="154"/>
        <v>Daniel (Ferret)</v>
      </c>
      <c r="H611" s="122">
        <f>IF($D611="",0,IFERROR(LOOKUP(2,1/(($D$3:D610=$D611)*($A$3:A610&lt;$A611)),$N$3:N610),'Guide &amp; Settings'!$C$41))</f>
        <v>1036.998680223569</v>
      </c>
      <c r="I611" s="123">
        <f t="shared" si="155"/>
        <v>0.23076923076923075</v>
      </c>
      <c r="J611" s="124">
        <f>IF($D611="",0,IF($F611&lt;2,0,IF($E611="Win",('Guide &amp; Settings'!$C$42/(($F611-1)*COUNTIFS($A$4:$A$810,$A611,$E$4:$E$810,"Win")))*SUMIFS($X$4:$X$810,$A$4:$A$810,$A611,$E$4:$E$810,"Loss"),-('Guide &amp; Settings'!$C$42/($F611-1))*$X611)))</f>
        <v>20.963574819330997</v>
      </c>
      <c r="K611" s="124">
        <f>IF($D611="",0,'Guide &amp; Settings'!$C$43*(IF($E611="Win",1,0)-$I611))</f>
        <v>9.2307692307692317</v>
      </c>
      <c r="L611" s="125">
        <f>IF($D611="",0,'Guide &amp; Settings'!$C$44*IF($F611&gt;=3,$F611,0))</f>
        <v>3</v>
      </c>
      <c r="M611" s="124">
        <f t="shared" si="156"/>
        <v>33.194344050100227</v>
      </c>
      <c r="N611" s="122">
        <f t="shared" si="157"/>
        <v>1070.1930242736692</v>
      </c>
      <c r="O611" s="121" t="str">
        <f t="shared" si="158"/>
        <v>OK</v>
      </c>
      <c r="P611">
        <f t="shared" si="159"/>
        <v>1036.998680223569</v>
      </c>
      <c r="Q611">
        <f t="shared" si="160"/>
        <v>0.5</v>
      </c>
      <c r="R611">
        <f t="shared" si="161"/>
        <v>0.3</v>
      </c>
      <c r="S611">
        <f t="shared" si="162"/>
        <v>1.3</v>
      </c>
      <c r="T611" s="89">
        <f t="shared" si="163"/>
        <v>8</v>
      </c>
      <c r="U611" s="126">
        <f>IF($D611="",0,IFERROR(LOOKUP(2,1/(($D$3:D610=$D611)*($C$3:C610=$C611)*($A$3:A610&lt;$A611)),$AB$3:AB610),1000))</f>
        <v>993.02121910138385</v>
      </c>
      <c r="V611" s="126">
        <f t="shared" si="164"/>
        <v>1009.9356272253012</v>
      </c>
      <c r="W611">
        <f t="shared" si="165"/>
        <v>1009.9356272253012</v>
      </c>
      <c r="X611">
        <f t="shared" si="166"/>
        <v>0.5</v>
      </c>
      <c r="Y611">
        <f t="shared" si="167"/>
        <v>993.02121910138385</v>
      </c>
      <c r="Z611">
        <f t="shared" si="168"/>
        <v>0.5</v>
      </c>
      <c r="AA611">
        <f>IF($D611="",0,IF($F611&lt;2,0,IF($E611="Win",('Guide &amp; Settings'!$C$42/(($F611-1)*COUNTIFS($A$4:$A$810,$A611,$E$4:$E$810,"Win")))*SUMIFS($Z$4:$Z$810,$A$4:$A$810,$A611,$E$4:$E$810,"Loss"),-('Guide &amp; Settings'!$C$42/($F611-1))*$Z611)))</f>
        <v>17.477293783308969</v>
      </c>
      <c r="AB611" s="126">
        <f t="shared" si="169"/>
        <v>1010.4985128846928</v>
      </c>
      <c r="AC611" s="126"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0</v>
      </c>
    </row>
    <row r="612" spans="1:29" x14ac:dyDescent="0.2">
      <c r="A612" s="117">
        <v>258</v>
      </c>
      <c r="B612" s="118">
        <v>46256</v>
      </c>
      <c r="C612" s="119" t="s">
        <v>34</v>
      </c>
      <c r="D612" s="119" t="s">
        <v>20</v>
      </c>
      <c r="E612" s="117" t="s">
        <v>379</v>
      </c>
      <c r="F612" s="120">
        <f t="shared" si="153"/>
        <v>3</v>
      </c>
      <c r="G612" s="121" t="str">
        <f t="shared" si="154"/>
        <v>Daniel (Ferret)</v>
      </c>
      <c r="H612" s="122">
        <f>IF($D612="",0,IFERROR(LOOKUP(2,1/(($D$3:D611=$D612)*($A$3:A611&lt;$A612)),$N$3:N611),'Guide &amp; Settings'!$C$41))</f>
        <v>1283.4405154921014</v>
      </c>
      <c r="I612" s="123">
        <f t="shared" si="155"/>
        <v>0.34188034188034183</v>
      </c>
      <c r="J612" s="124">
        <f>IF($D612="",0,IF($F612&lt;2,0,IF($E612="Win",('Guide &amp; Settings'!$C$42/(($F612-1)*COUNTIFS($A$4:$A$810,$A612,$E$4:$E$810,"Win")))*SUMIFS($X$4:$X$810,$A$4:$A$810,$A612,$E$4:$E$810,"Loss"),-('Guide &amp; Settings'!$C$42/($F612-1))*$X612)))</f>
        <v>-10.538715045521926</v>
      </c>
      <c r="K612" s="124">
        <f>IF($D612="",0,'Guide &amp; Settings'!$C$43*(IF($E612="Win",1,0)-$I612))</f>
        <v>-4.1025641025641022</v>
      </c>
      <c r="L612" s="125">
        <f>IF($D612="",0,'Guide &amp; Settings'!$C$44*IF($F612&gt;=3,$F612,0))</f>
        <v>3</v>
      </c>
      <c r="M612" s="124">
        <f t="shared" si="156"/>
        <v>-11.641279148086028</v>
      </c>
      <c r="N612" s="122">
        <f t="shared" si="157"/>
        <v>1271.7992363440153</v>
      </c>
      <c r="O612" s="121" t="str">
        <f t="shared" si="158"/>
        <v>OK</v>
      </c>
      <c r="P612">
        <f t="shared" si="159"/>
        <v>1036.998680223569</v>
      </c>
      <c r="Q612">
        <f t="shared" si="160"/>
        <v>0.80512406220818877</v>
      </c>
      <c r="R612">
        <f t="shared" si="161"/>
        <v>0.44444444444444442</v>
      </c>
      <c r="S612">
        <f t="shared" si="162"/>
        <v>1.3</v>
      </c>
      <c r="T612" s="89">
        <f t="shared" si="163"/>
        <v>7</v>
      </c>
      <c r="U612" s="126">
        <f>IF($D612="",0,IFERROR(LOOKUP(2,1/(($D$3:D611=$D612)*($C$3:C611=$C612)*($A$3:A611&lt;$A612)),$AB$3:AB611),1000))</f>
        <v>1010.3415009551037</v>
      </c>
      <c r="V612" s="126">
        <f t="shared" si="164"/>
        <v>1124.1327570121862</v>
      </c>
      <c r="W612">
        <f t="shared" si="165"/>
        <v>1009.9356272253012</v>
      </c>
      <c r="X612">
        <f t="shared" si="166"/>
        <v>0.65866969034512035</v>
      </c>
      <c r="Y612">
        <f t="shared" si="167"/>
        <v>993.02121910138385</v>
      </c>
      <c r="Z612">
        <f t="shared" si="168"/>
        <v>0.5249052611523457</v>
      </c>
      <c r="AA612">
        <f>IF($D612="",0,IF($F612&lt;2,0,IF($E612="Win",('Guide &amp; Settings'!$C$42/(($F612-1)*COUNTIFS($A$4:$A$810,$A612,$E$4:$E$810,"Win")))*SUMIFS($Z$4:$Z$810,$A$4:$A$810,$A612,$E$4:$E$810,"Loss"),-('Guide &amp; Settings'!$C$42/($F612-1))*$Z612)))</f>
        <v>-8.3984841784375313</v>
      </c>
      <c r="AB612" s="126">
        <f t="shared" si="169"/>
        <v>1001.9430167766661</v>
      </c>
      <c r="AC612" s="126"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0</v>
      </c>
    </row>
    <row r="613" spans="1:29" x14ac:dyDescent="0.2">
      <c r="A613" s="117">
        <v>259</v>
      </c>
      <c r="B613" s="118">
        <v>46256</v>
      </c>
      <c r="C613" s="119" t="s">
        <v>37</v>
      </c>
      <c r="D613" s="119" t="s">
        <v>18</v>
      </c>
      <c r="E613" s="117" t="s">
        <v>379</v>
      </c>
      <c r="F613" s="120">
        <f t="shared" si="153"/>
        <v>2</v>
      </c>
      <c r="G613" s="121" t="str">
        <f t="shared" si="154"/>
        <v>Dean B</v>
      </c>
      <c r="H613" s="122">
        <f>IF($D613="",0,IFERROR(LOOKUP(2,1/(($D$3:D612=$D613)*($A$3:A612&lt;$A613)),$N$3:N612),'Guide &amp; Settings'!$C$41))</f>
        <v>935.23568912688131</v>
      </c>
      <c r="I613" s="123">
        <f t="shared" si="155"/>
        <v>0.47826086956521741</v>
      </c>
      <c r="J613" s="124">
        <f>IF($D613="",0,IF($F613&lt;2,0,IF($E613="Win",('Guide &amp; Settings'!$C$42/(($F613-1)*COUNTIFS($A$4:$A$810,$A613,$E$4:$E$810,"Win")))*SUMIFS($X$4:$X$810,$A$4:$A$810,$A613,$E$4:$E$810,"Loss"),-('Guide &amp; Settings'!$C$42/($F613-1))*$X613)))</f>
        <v>-9.29479991979969</v>
      </c>
      <c r="K613" s="124">
        <f>IF($D613="",0,'Guide &amp; Settings'!$C$43*(IF($E613="Win",1,0)-$I613))</f>
        <v>-5.7391304347826093</v>
      </c>
      <c r="L613" s="125">
        <f>IF($D613="",0,'Guide &amp; Settings'!$C$44*IF($F613&gt;=3,$F613,0))</f>
        <v>0</v>
      </c>
      <c r="M613" s="124">
        <f t="shared" si="156"/>
        <v>-15.033930354582299</v>
      </c>
      <c r="N613" s="122">
        <f t="shared" si="157"/>
        <v>920.20175877229906</v>
      </c>
      <c r="O613" s="121" t="str">
        <f t="shared" si="158"/>
        <v>OK</v>
      </c>
      <c r="P613">
        <f t="shared" si="159"/>
        <v>1220.7793957579906</v>
      </c>
      <c r="Q613">
        <f t="shared" si="160"/>
        <v>0.16195928540977914</v>
      </c>
      <c r="R613">
        <f t="shared" si="161"/>
        <v>0.5</v>
      </c>
      <c r="S613">
        <f t="shared" si="162"/>
        <v>1.0454545454545454</v>
      </c>
      <c r="T613" s="89">
        <f t="shared" si="163"/>
        <v>0</v>
      </c>
      <c r="U613" s="126">
        <f>IF($D613="",0,IFERROR(LOOKUP(2,1/(($D$3:D612=$D613)*($C$3:C612=$C613)*($A$3:A612&lt;$A613)),$AB$3:AB612),1000))</f>
        <v>1000</v>
      </c>
      <c r="V613" s="126">
        <f t="shared" si="164"/>
        <v>935.23568912688131</v>
      </c>
      <c r="W613">
        <f t="shared" si="165"/>
        <v>1090.3898042168335</v>
      </c>
      <c r="X613">
        <f t="shared" si="166"/>
        <v>0.29046249749374031</v>
      </c>
      <c r="Y613">
        <f t="shared" si="167"/>
        <v>1017.9511422495239</v>
      </c>
      <c r="Z613">
        <f t="shared" si="168"/>
        <v>0.47418919318760955</v>
      </c>
      <c r="AA613">
        <f>IF($D613="",0,IF($F613&lt;2,0,IF($E613="Win",('Guide &amp; Settings'!$C$42/(($F613-1)*COUNTIFS($A$4:$A$810,$A613,$E$4:$E$810,"Win")))*SUMIFS($Z$4:$Z$810,$A$4:$A$810,$A613,$E$4:$E$810,"Loss"),-('Guide &amp; Settings'!$C$42/($F613-1))*$Z613)))</f>
        <v>-15.174054182003506</v>
      </c>
      <c r="AB613" s="126">
        <f t="shared" si="169"/>
        <v>984.82594581799651</v>
      </c>
      <c r="AC613" s="126"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0</v>
      </c>
    </row>
    <row r="614" spans="1:29" x14ac:dyDescent="0.2">
      <c r="A614" s="117">
        <v>259</v>
      </c>
      <c r="B614" s="118">
        <v>46256</v>
      </c>
      <c r="C614" s="119" t="s">
        <v>37</v>
      </c>
      <c r="D614" s="119" t="s">
        <v>23</v>
      </c>
      <c r="E614" s="117" t="s">
        <v>378</v>
      </c>
      <c r="F614" s="120">
        <f t="shared" si="153"/>
        <v>2</v>
      </c>
      <c r="G614" s="121" t="str">
        <f t="shared" si="154"/>
        <v>Dean B</v>
      </c>
      <c r="H614" s="122">
        <f>IF($D614="",0,IFERROR(LOOKUP(2,1/(($D$3:D613=$D614)*($A$3:A613&lt;$A614)),$N$3:N613),'Guide &amp; Settings'!$C$41))</f>
        <v>1220.7793957579906</v>
      </c>
      <c r="I614" s="123">
        <f t="shared" si="155"/>
        <v>0.52173913043478259</v>
      </c>
      <c r="J614" s="124">
        <f>IF($D614="",0,IF($F614&lt;2,0,IF($E614="Win",('Guide &amp; Settings'!$C$42/(($F614-1)*COUNTIFS($A$4:$A$810,$A614,$E$4:$E$810,"Win")))*SUMIFS($X$4:$X$810,$A$4:$A$810,$A614,$E$4:$E$810,"Loss"),-('Guide &amp; Settings'!$C$42/($F614-1))*$X614)))</f>
        <v>9.29479991979969</v>
      </c>
      <c r="K614" s="124">
        <f>IF($D614="",0,'Guide &amp; Settings'!$C$43*(IF($E614="Win",1,0)-$I614))</f>
        <v>5.7391304347826093</v>
      </c>
      <c r="L614" s="125">
        <f>IF($D614="",0,'Guide &amp; Settings'!$C$44*IF($F614&gt;=3,$F614,0))</f>
        <v>0</v>
      </c>
      <c r="M614" s="124">
        <f t="shared" si="156"/>
        <v>15.033930354582299</v>
      </c>
      <c r="N614" s="122">
        <f t="shared" si="157"/>
        <v>1235.8133261125729</v>
      </c>
      <c r="O614" s="121" t="str">
        <f t="shared" si="158"/>
        <v>OK</v>
      </c>
      <c r="P614">
        <f t="shared" si="159"/>
        <v>1220.7793957579906</v>
      </c>
      <c r="Q614">
        <f t="shared" si="160"/>
        <v>0.5</v>
      </c>
      <c r="R614">
        <f t="shared" si="161"/>
        <v>0.54545454545454541</v>
      </c>
      <c r="S614">
        <f t="shared" si="162"/>
        <v>1.0454545454545454</v>
      </c>
      <c r="T614" s="89">
        <f t="shared" si="163"/>
        <v>9</v>
      </c>
      <c r="U614" s="126">
        <f>IF($D614="",0,IFERROR(LOOKUP(2,1/(($D$3:D613=$D614)*($C$3:C613=$C614)*($A$3:A613&lt;$A614)),$AB$3:AB613),1000))</f>
        <v>1017.9511422495239</v>
      </c>
      <c r="V614" s="126">
        <f t="shared" si="164"/>
        <v>1090.3898042168335</v>
      </c>
      <c r="W614">
        <f t="shared" si="165"/>
        <v>1090.3898042168335</v>
      </c>
      <c r="X614">
        <f t="shared" si="166"/>
        <v>0.5</v>
      </c>
      <c r="Y614">
        <f t="shared" si="167"/>
        <v>1017.9511422495239</v>
      </c>
      <c r="Z614">
        <f t="shared" si="168"/>
        <v>0.5</v>
      </c>
      <c r="AA614">
        <f>IF($D614="",0,IF($F614&lt;2,0,IF($E614="Win",('Guide &amp; Settings'!$C$42/(($F614-1)*COUNTIFS($A$4:$A$810,$A614,$E$4:$E$810,"Win")))*SUMIFS($Z$4:$Z$810,$A$4:$A$810,$A614,$E$4:$E$810,"Loss"),-('Guide &amp; Settings'!$C$42/($F614-1))*$Z614)))</f>
        <v>15.174054182003506</v>
      </c>
      <c r="AB614" s="126">
        <f t="shared" si="169"/>
        <v>1033.1251964315275</v>
      </c>
      <c r="AC614" s="126"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0</v>
      </c>
    </row>
    <row r="615" spans="1:29" x14ac:dyDescent="0.2">
      <c r="A615" s="117">
        <v>260</v>
      </c>
      <c r="B615" s="118">
        <v>46256</v>
      </c>
      <c r="C615" s="119" t="s">
        <v>37</v>
      </c>
      <c r="D615" s="119" t="s">
        <v>18</v>
      </c>
      <c r="E615" s="117" t="s">
        <v>379</v>
      </c>
      <c r="F615" s="120">
        <f t="shared" si="153"/>
        <v>2</v>
      </c>
      <c r="G615" s="121" t="str">
        <f t="shared" si="154"/>
        <v>Dean B</v>
      </c>
      <c r="H615" s="122">
        <f>IF($D615="",0,IFERROR(LOOKUP(2,1/(($D$3:D614=$D615)*($A$3:A614&lt;$A615)),$N$3:N614),'Guide &amp; Settings'!$C$41))</f>
        <v>920.20175877229906</v>
      </c>
      <c r="I615" s="123">
        <f t="shared" si="155"/>
        <v>0.36363636363636359</v>
      </c>
      <c r="J615" s="124">
        <f>IF($D615="",0,IF($F615&lt;2,0,IF($E615="Win",('Guide &amp; Settings'!$C$42/(($F615-1)*COUNTIFS($A$4:$A$810,$A615,$E$4:$E$810,"Win")))*SUMIFS($X$4:$X$810,$A$4:$A$810,$A615,$E$4:$E$810,"Loss"),-('Guide &amp; Settings'!$C$42/($F615-1))*$X615)))</f>
        <v>-8.7518486710480889</v>
      </c>
      <c r="K615" s="124">
        <f>IF($D615="",0,'Guide &amp; Settings'!$C$43*(IF($E615="Win",1,0)-$I615))</f>
        <v>-4.3636363636363633</v>
      </c>
      <c r="L615" s="125">
        <f>IF($D615="",0,'Guide &amp; Settings'!$C$44*IF($F615&gt;=3,$F615,0))</f>
        <v>0</v>
      </c>
      <c r="M615" s="124">
        <f t="shared" si="156"/>
        <v>-13.115485034684452</v>
      </c>
      <c r="N615" s="122">
        <f t="shared" si="157"/>
        <v>907.08627373761465</v>
      </c>
      <c r="O615" s="121" t="str">
        <f t="shared" si="158"/>
        <v>OK</v>
      </c>
      <c r="P615">
        <f t="shared" si="159"/>
        <v>1235.8133261125729</v>
      </c>
      <c r="Q615">
        <f t="shared" si="160"/>
        <v>0.13981754208303249</v>
      </c>
      <c r="R615">
        <f t="shared" si="161"/>
        <v>0.33333333333333331</v>
      </c>
      <c r="S615">
        <f t="shared" si="162"/>
        <v>0.91666666666666674</v>
      </c>
      <c r="T615" s="89">
        <f t="shared" si="163"/>
        <v>1</v>
      </c>
      <c r="U615" s="126">
        <f>IF($D615="",0,IFERROR(LOOKUP(2,1/(($D$3:D614=$D615)*($C$3:C614=$C615)*($A$3:A614&lt;$A615)),$AB$3:AB614),1000))</f>
        <v>984.82594581799651</v>
      </c>
      <c r="V615" s="126">
        <f t="shared" si="164"/>
        <v>930.9724566132486</v>
      </c>
      <c r="W615">
        <f t="shared" si="165"/>
        <v>1100.6879063252093</v>
      </c>
      <c r="X615">
        <f t="shared" si="166"/>
        <v>0.27349527097025278</v>
      </c>
      <c r="Y615">
        <f t="shared" si="167"/>
        <v>1033.1251964315275</v>
      </c>
      <c r="Z615">
        <f t="shared" si="168"/>
        <v>0.43093611831636031</v>
      </c>
      <c r="AA615">
        <f>IF($D615="",0,IF($F615&lt;2,0,IF($E615="Win",('Guide &amp; Settings'!$C$42/(($F615-1)*COUNTIFS($A$4:$A$810,$A615,$E$4:$E$810,"Win")))*SUMIFS($Z$4:$Z$810,$A$4:$A$810,$A615,$E$4:$E$810,"Loss"),-('Guide &amp; Settings'!$C$42/($F615-1))*$Z615)))</f>
        <v>-13.78995578612353</v>
      </c>
      <c r="AB615" s="126">
        <f t="shared" si="169"/>
        <v>971.03599003187298</v>
      </c>
      <c r="AC615" s="126"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0</v>
      </c>
    </row>
    <row r="616" spans="1:29" x14ac:dyDescent="0.2">
      <c r="A616" s="117">
        <v>260</v>
      </c>
      <c r="B616" s="118">
        <v>46256</v>
      </c>
      <c r="C616" s="119" t="s">
        <v>37</v>
      </c>
      <c r="D616" s="119" t="s">
        <v>23</v>
      </c>
      <c r="E616" s="117" t="s">
        <v>378</v>
      </c>
      <c r="F616" s="120">
        <f t="shared" si="153"/>
        <v>2</v>
      </c>
      <c r="G616" s="121" t="str">
        <f t="shared" si="154"/>
        <v>Dean B</v>
      </c>
      <c r="H616" s="122">
        <f>IF($D616="",0,IFERROR(LOOKUP(2,1/(($D$3:D615=$D616)*($A$3:A615&lt;$A616)),$N$3:N615),'Guide &amp; Settings'!$C$41))</f>
        <v>1235.8133261125729</v>
      </c>
      <c r="I616" s="123">
        <f t="shared" si="155"/>
        <v>0.63636363636363635</v>
      </c>
      <c r="J616" s="124">
        <f>IF($D616="",0,IF($F616&lt;2,0,IF($E616="Win",('Guide &amp; Settings'!$C$42/(($F616-1)*COUNTIFS($A$4:$A$810,$A616,$E$4:$E$810,"Win")))*SUMIFS($X$4:$X$810,$A$4:$A$810,$A616,$E$4:$E$810,"Loss"),-('Guide &amp; Settings'!$C$42/($F616-1))*$X616)))</f>
        <v>8.7518486710480889</v>
      </c>
      <c r="K616" s="124">
        <f>IF($D616="",0,'Guide &amp; Settings'!$C$43*(IF($E616="Win",1,0)-$I616))</f>
        <v>4.3636363636363633</v>
      </c>
      <c r="L616" s="125">
        <f>IF($D616="",0,'Guide &amp; Settings'!$C$44*IF($F616&gt;=3,$F616,0))</f>
        <v>0</v>
      </c>
      <c r="M616" s="124">
        <f t="shared" si="156"/>
        <v>13.115485034684452</v>
      </c>
      <c r="N616" s="122">
        <f t="shared" si="157"/>
        <v>1248.9288111472574</v>
      </c>
      <c r="O616" s="121" t="str">
        <f t="shared" si="158"/>
        <v>OK</v>
      </c>
      <c r="P616">
        <f t="shared" si="159"/>
        <v>1235.8133261125729</v>
      </c>
      <c r="Q616">
        <f t="shared" si="160"/>
        <v>0.5</v>
      </c>
      <c r="R616">
        <f t="shared" si="161"/>
        <v>0.58333333333333337</v>
      </c>
      <c r="S616">
        <f t="shared" si="162"/>
        <v>0.91666666666666674</v>
      </c>
      <c r="T616" s="89">
        <f t="shared" si="163"/>
        <v>10</v>
      </c>
      <c r="U616" s="126">
        <f>IF($D616="",0,IFERROR(LOOKUP(2,1/(($D$3:D615=$D616)*($C$3:C615=$C616)*($A$3:A615&lt;$A616)),$AB$3:AB615),1000))</f>
        <v>1033.1251964315275</v>
      </c>
      <c r="V616" s="126">
        <f t="shared" si="164"/>
        <v>1100.6879063252093</v>
      </c>
      <c r="W616">
        <f t="shared" si="165"/>
        <v>1100.6879063252093</v>
      </c>
      <c r="X616">
        <f t="shared" si="166"/>
        <v>0.5</v>
      </c>
      <c r="Y616">
        <f t="shared" si="167"/>
        <v>1033.1251964315275</v>
      </c>
      <c r="Z616">
        <f t="shared" si="168"/>
        <v>0.5</v>
      </c>
      <c r="AA616">
        <f>IF($D616="",0,IF($F616&lt;2,0,IF($E616="Win",('Guide &amp; Settings'!$C$42/(($F616-1)*COUNTIFS($A$4:$A$810,$A616,$E$4:$E$810,"Win")))*SUMIFS($Z$4:$Z$810,$A$4:$A$810,$A616,$E$4:$E$810,"Loss"),-('Guide &amp; Settings'!$C$42/($F616-1))*$Z616)))</f>
        <v>13.78995578612353</v>
      </c>
      <c r="AB616" s="126">
        <f t="shared" si="169"/>
        <v>1046.915152217651</v>
      </c>
      <c r="AC616" s="126"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0</v>
      </c>
    </row>
    <row r="617" spans="1:29" x14ac:dyDescent="0.2">
      <c r="A617" s="117">
        <v>261</v>
      </c>
      <c r="B617" s="118">
        <v>46256</v>
      </c>
      <c r="C617" s="119" t="s">
        <v>34</v>
      </c>
      <c r="D617" s="119" t="s">
        <v>20</v>
      </c>
      <c r="E617" s="117" t="s">
        <v>379</v>
      </c>
      <c r="F617" s="120">
        <f t="shared" si="153"/>
        <v>5</v>
      </c>
      <c r="G617" s="121" t="str">
        <f t="shared" si="154"/>
        <v>Aaron</v>
      </c>
      <c r="H617" s="122">
        <f>IF($D617="",0,IFERROR(LOOKUP(2,1/(($D$3:D616=$D617)*($A$3:A616&lt;$A617)),$N$3:N616),'Guide &amp; Settings'!$C$41))</f>
        <v>1271.7992363440153</v>
      </c>
      <c r="I617" s="123">
        <f t="shared" si="155"/>
        <v>0.19075144508670519</v>
      </c>
      <c r="J617" s="124">
        <f>IF($D617="",0,IF($F617&lt;2,0,IF($E617="Win",('Guide &amp; Settings'!$C$42/(($F617-1)*COUNTIFS($A$4:$A$810,$A617,$E$4:$E$810,"Win")))*SUMIFS($X$4:$X$810,$A$4:$A$810,$A617,$E$4:$E$810,"Loss"),-('Guide &amp; Settings'!$C$42/($F617-1))*$X617)))</f>
        <v>-4.0405939595939921</v>
      </c>
      <c r="K617" s="124">
        <f>IF($D617="",0,'Guide &amp; Settings'!$C$43*(IF($E617="Win",1,0)-$I617))</f>
        <v>-2.2890173410404624</v>
      </c>
      <c r="L617" s="125">
        <f>IF($D617="",0,'Guide &amp; Settings'!$C$44*IF($F617&gt;=3,$F617,0))</f>
        <v>5</v>
      </c>
      <c r="M617" s="124">
        <f t="shared" si="156"/>
        <v>-1.3296113006344541</v>
      </c>
      <c r="N617" s="122">
        <f t="shared" si="157"/>
        <v>1270.4696250433808</v>
      </c>
      <c r="O617" s="121" t="str">
        <f t="shared" si="158"/>
        <v>OK</v>
      </c>
      <c r="P617">
        <f t="shared" si="159"/>
        <v>1216.0096405756001</v>
      </c>
      <c r="Q617">
        <f t="shared" si="160"/>
        <v>0.57960466797255528</v>
      </c>
      <c r="R617">
        <f t="shared" si="161"/>
        <v>0.4</v>
      </c>
      <c r="S617">
        <f t="shared" si="162"/>
        <v>2.0969696969696972</v>
      </c>
      <c r="T617" s="89">
        <f t="shared" si="163"/>
        <v>8</v>
      </c>
      <c r="U617" s="126">
        <f>IF($D617="",0,IFERROR(LOOKUP(2,1/(($D$3:D616=$D617)*($C$3:C616=$C617)*($A$3:A616&lt;$A617)),$AB$3:AB616),1000))</f>
        <v>1001.9430167766661</v>
      </c>
      <c r="V617" s="126">
        <f t="shared" si="164"/>
        <v>1105.7338704564158</v>
      </c>
      <c r="W617">
        <f t="shared" si="165"/>
        <v>1102.2078028709648</v>
      </c>
      <c r="X617">
        <f t="shared" si="166"/>
        <v>0.50507424494924902</v>
      </c>
      <c r="Y617">
        <f t="shared" si="167"/>
        <v>1031.0816543055676</v>
      </c>
      <c r="Z617">
        <f t="shared" si="168"/>
        <v>0.45816417203555682</v>
      </c>
      <c r="AA617">
        <f>IF($D617="",0,IF($F617&lt;2,0,IF($E617="Win",('Guide &amp; Settings'!$C$42/(($F617-1)*COUNTIFS($A$4:$A$810,$A617,$E$4:$E$810,"Win")))*SUMIFS($Z$4:$Z$810,$A$4:$A$810,$A617,$E$4:$E$810,"Loss"),-('Guide &amp; Settings'!$C$42/($F617-1))*$Z617)))</f>
        <v>-3.6653133762844545</v>
      </c>
      <c r="AB617" s="126">
        <f t="shared" si="169"/>
        <v>998.27770340038171</v>
      </c>
      <c r="AC617" s="126"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0</v>
      </c>
    </row>
    <row r="618" spans="1:29" x14ac:dyDescent="0.2">
      <c r="A618" s="117">
        <v>261</v>
      </c>
      <c r="B618" s="118">
        <v>46256</v>
      </c>
      <c r="C618" s="119" t="s">
        <v>34</v>
      </c>
      <c r="D618" s="119" t="s">
        <v>15</v>
      </c>
      <c r="E618" s="117" t="s">
        <v>378</v>
      </c>
      <c r="F618" s="120">
        <f t="shared" si="153"/>
        <v>5</v>
      </c>
      <c r="G618" s="121" t="str">
        <f t="shared" si="154"/>
        <v>Aaron</v>
      </c>
      <c r="H618" s="122">
        <f>IF($D618="",0,IFERROR(LOOKUP(2,1/(($D$3:D617=$D618)*($A$3:A617&lt;$A618)),$N$3:N617),'Guide &amp; Settings'!$C$41))</f>
        <v>1216.0096405756001</v>
      </c>
      <c r="I618" s="123">
        <f t="shared" si="155"/>
        <v>0.23843930635838148</v>
      </c>
      <c r="J618" s="124">
        <f>IF($D618="",0,IF($F618&lt;2,0,IF($E618="Win",('Guide &amp; Settings'!$C$42/(($F618-1)*COUNTIFS($A$4:$A$810,$A618,$E$4:$E$810,"Win")))*SUMIFS($X$4:$X$810,$A$4:$A$810,$A618,$E$4:$E$810,"Loss"),-('Guide &amp; Settings'!$C$42/($F618-1))*$X618)))</f>
        <v>12.565242222484553</v>
      </c>
      <c r="K618" s="124">
        <f>IF($D618="",0,'Guide &amp; Settings'!$C$43*(IF($E618="Win",1,0)-$I618))</f>
        <v>9.1387283236994215</v>
      </c>
      <c r="L618" s="125">
        <f>IF($D618="",0,'Guide &amp; Settings'!$C$44*IF($F618&gt;=3,$F618,0))</f>
        <v>5</v>
      </c>
      <c r="M618" s="124">
        <f t="shared" si="156"/>
        <v>26.703970546183974</v>
      </c>
      <c r="N618" s="122">
        <f t="shared" si="157"/>
        <v>1242.713611121784</v>
      </c>
      <c r="O618" s="121" t="str">
        <f t="shared" si="158"/>
        <v>OK</v>
      </c>
      <c r="P618">
        <f t="shared" si="159"/>
        <v>1216.0096405756001</v>
      </c>
      <c r="Q618">
        <f t="shared" si="160"/>
        <v>0.5</v>
      </c>
      <c r="R618">
        <f t="shared" si="161"/>
        <v>0.5</v>
      </c>
      <c r="S618">
        <f t="shared" si="162"/>
        <v>2.0969696969696972</v>
      </c>
      <c r="T618" s="89">
        <f t="shared" si="163"/>
        <v>8</v>
      </c>
      <c r="U618" s="126">
        <f>IF($D618="",0,IFERROR(LOOKUP(2,1/(($D$3:D617=$D618)*($C$3:C617=$C618)*($A$3:A617&lt;$A618)),$AB$3:AB617),1000))</f>
        <v>1031.0816543055676</v>
      </c>
      <c r="V618" s="126">
        <f t="shared" si="164"/>
        <v>1102.2078028709648</v>
      </c>
      <c r="W618">
        <f t="shared" si="165"/>
        <v>1102.2078028709648</v>
      </c>
      <c r="X618">
        <f t="shared" si="166"/>
        <v>0.5</v>
      </c>
      <c r="Y618">
        <f t="shared" si="167"/>
        <v>1031.0816543055676</v>
      </c>
      <c r="Z618">
        <f t="shared" si="168"/>
        <v>0.5</v>
      </c>
      <c r="AA618">
        <f>IF($D618="",0,IF($F618&lt;2,0,IF($E618="Win",('Guide &amp; Settings'!$C$42/(($F618-1)*COUNTIFS($A$4:$A$810,$A618,$E$4:$E$810,"Win")))*SUMIFS($Z$4:$Z$810,$A$4:$A$810,$A618,$E$4:$E$810,"Loss"),-('Guide &amp; Settings'!$C$42/($F618-1))*$Z618)))</f>
        <v>14.635186398208038</v>
      </c>
      <c r="AB618" s="126">
        <f t="shared" si="169"/>
        <v>1045.7168407037757</v>
      </c>
      <c r="AC618" s="126"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0</v>
      </c>
    </row>
    <row r="619" spans="1:29" x14ac:dyDescent="0.2">
      <c r="A619" s="117">
        <v>261</v>
      </c>
      <c r="B619" s="118">
        <v>46256</v>
      </c>
      <c r="C619" s="119" t="s">
        <v>34</v>
      </c>
      <c r="D619" s="119" t="s">
        <v>25</v>
      </c>
      <c r="E619" s="117" t="s">
        <v>379</v>
      </c>
      <c r="F619" s="120">
        <f t="shared" si="153"/>
        <v>5</v>
      </c>
      <c r="G619" s="121" t="str">
        <f t="shared" si="154"/>
        <v>Aaron</v>
      </c>
      <c r="H619" s="122">
        <f>IF($D619="",0,IFERROR(LOOKUP(2,1/(($D$3:D618=$D619)*($A$3:A618&lt;$A619)),$N$3:N618),'Guide &amp; Settings'!$C$41))</f>
        <v>1031.5817149449704</v>
      </c>
      <c r="I619" s="123">
        <f t="shared" si="155"/>
        <v>0.15895953757225431</v>
      </c>
      <c r="J619" s="124">
        <f>IF($D619="",0,IF($F619&lt;2,0,IF($E619="Win",('Guide &amp; Settings'!$C$42/(($F619-1)*COUNTIFS($A$4:$A$810,$A619,$E$4:$E$810,"Win")))*SUMIFS($X$4:$X$810,$A$4:$A$810,$A619,$E$4:$E$810,"Loss"),-('Guide &amp; Settings'!$C$42/($F619-1))*$X619)))</f>
        <v>-3.130466680476951</v>
      </c>
      <c r="K619" s="124">
        <f>IF($D619="",0,'Guide &amp; Settings'!$C$43*(IF($E619="Win",1,0)-$I619))</f>
        <v>-1.9075144508670516</v>
      </c>
      <c r="L619" s="125">
        <f>IF($D619="",0,'Guide &amp; Settings'!$C$44*IF($F619&gt;=3,$F619,0))</f>
        <v>5</v>
      </c>
      <c r="M619" s="124">
        <f t="shared" si="156"/>
        <v>-3.7981131344002605E-2</v>
      </c>
      <c r="N619" s="122">
        <f t="shared" si="157"/>
        <v>1031.5437338136264</v>
      </c>
      <c r="O619" s="121" t="str">
        <f t="shared" si="158"/>
        <v>OK</v>
      </c>
      <c r="P619">
        <f t="shared" si="159"/>
        <v>1216.0096405756001</v>
      </c>
      <c r="Q619">
        <f t="shared" si="160"/>
        <v>0.25699379015075252</v>
      </c>
      <c r="R619">
        <f t="shared" si="161"/>
        <v>0.33333333333333331</v>
      </c>
      <c r="S619">
        <f t="shared" si="162"/>
        <v>2.0969696969696972</v>
      </c>
      <c r="T619" s="89">
        <f t="shared" si="163"/>
        <v>1</v>
      </c>
      <c r="U619" s="126">
        <f>IF($D619="",0,IFERROR(LOOKUP(2,1/(($D$3:D618=$D619)*($C$3:C618=$C619)*($A$3:A618&lt;$A619)),$AB$3:AB618),1000))</f>
        <v>994.83042776498951</v>
      </c>
      <c r="V619" s="126">
        <f t="shared" si="164"/>
        <v>1025.4565004149736</v>
      </c>
      <c r="W619">
        <f t="shared" si="165"/>
        <v>1102.2078028709648</v>
      </c>
      <c r="X619">
        <f t="shared" si="166"/>
        <v>0.39130833505961887</v>
      </c>
      <c r="Y619">
        <f t="shared" si="167"/>
        <v>1031.0816543055676</v>
      </c>
      <c r="Z619">
        <f t="shared" si="168"/>
        <v>0.44801878944486795</v>
      </c>
      <c r="AA619">
        <f>IF($D619="",0,IF($F619&lt;2,0,IF($E619="Win",('Guide &amp; Settings'!$C$42/(($F619-1)*COUNTIFS($A$4:$A$810,$A619,$E$4:$E$810,"Win")))*SUMIFS($Z$4:$Z$810,$A$4:$A$810,$A619,$E$4:$E$810,"Loss"),-('Guide &amp; Settings'!$C$42/($F619-1))*$Z619)))</f>
        <v>-3.5841503155589436</v>
      </c>
      <c r="AB619" s="126">
        <f t="shared" si="169"/>
        <v>991.24627744943052</v>
      </c>
      <c r="AC619" s="126"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0</v>
      </c>
    </row>
    <row r="620" spans="1:29" x14ac:dyDescent="0.2">
      <c r="A620" s="117">
        <v>261</v>
      </c>
      <c r="B620" s="118">
        <v>46256</v>
      </c>
      <c r="C620" s="119" t="s">
        <v>34</v>
      </c>
      <c r="D620" s="119" t="s">
        <v>18</v>
      </c>
      <c r="E620" s="117" t="s">
        <v>379</v>
      </c>
      <c r="F620" s="120">
        <f t="shared" si="153"/>
        <v>5</v>
      </c>
      <c r="G620" s="121" t="str">
        <f t="shared" si="154"/>
        <v>Aaron</v>
      </c>
      <c r="H620" s="122">
        <f>IF($D620="",0,IFERROR(LOOKUP(2,1/(($D$3:D619=$D620)*($A$3:A619&lt;$A620)),$N$3:N619),'Guide &amp; Settings'!$C$41))</f>
        <v>907.08627373761465</v>
      </c>
      <c r="I620" s="123">
        <f t="shared" si="155"/>
        <v>0.23843930635838148</v>
      </c>
      <c r="J620" s="124">
        <f>IF($D620="",0,IF($F620&lt;2,0,IF($E620="Win",('Guide &amp; Settings'!$C$42/(($F620-1)*COUNTIFS($A$4:$A$810,$A620,$E$4:$E$810,"Win")))*SUMIFS($X$4:$X$810,$A$4:$A$810,$A620,$E$4:$E$810,"Loss"),-('Guide &amp; Settings'!$C$42/($F620-1))*$X620)))</f>
        <v>-2.1936656201398206</v>
      </c>
      <c r="K620" s="124">
        <f>IF($D620="",0,'Guide &amp; Settings'!$C$43*(IF($E620="Win",1,0)-$I620))</f>
        <v>-2.8612716763005777</v>
      </c>
      <c r="L620" s="125">
        <f>IF($D620="",0,'Guide &amp; Settings'!$C$44*IF($F620&gt;=3,$F620,0))</f>
        <v>5</v>
      </c>
      <c r="M620" s="124">
        <f t="shared" si="156"/>
        <v>-5.4937296440398242E-2</v>
      </c>
      <c r="N620" s="122">
        <f t="shared" si="157"/>
        <v>907.03133644117429</v>
      </c>
      <c r="O620" s="121" t="str">
        <f t="shared" si="158"/>
        <v>OK</v>
      </c>
      <c r="P620">
        <f t="shared" si="159"/>
        <v>1216.0096405756001</v>
      </c>
      <c r="Q620">
        <f t="shared" si="160"/>
        <v>0.14451245357608947</v>
      </c>
      <c r="R620">
        <f t="shared" si="161"/>
        <v>0.5</v>
      </c>
      <c r="S620">
        <f t="shared" si="162"/>
        <v>2.0969696969696972</v>
      </c>
      <c r="T620" s="89">
        <f t="shared" si="163"/>
        <v>2</v>
      </c>
      <c r="U620" s="126">
        <f>IF($D620="",0,IFERROR(LOOKUP(2,1/(($D$3:D619=$D620)*($C$3:C619=$C620)*($A$3:A619&lt;$A620)),$AB$3:AB619),1000))</f>
        <v>998.18736635120854</v>
      </c>
      <c r="V620" s="126">
        <f t="shared" si="164"/>
        <v>933.11515734149862</v>
      </c>
      <c r="W620">
        <f t="shared" si="165"/>
        <v>1102.2078028709648</v>
      </c>
      <c r="X620">
        <f t="shared" si="166"/>
        <v>0.27420820251747757</v>
      </c>
      <c r="Y620">
        <f t="shared" si="167"/>
        <v>1031.0816543055676</v>
      </c>
      <c r="Z620">
        <f t="shared" si="168"/>
        <v>0.4528022539095955</v>
      </c>
      <c r="AA620">
        <f>IF($D620="",0,IF($F620&lt;2,0,IF($E620="Win",('Guide &amp; Settings'!$C$42/(($F620-1)*COUNTIFS($A$4:$A$810,$A620,$E$4:$E$810,"Win")))*SUMIFS($Z$4:$Z$810,$A$4:$A$810,$A620,$E$4:$E$810,"Loss"),-('Guide &amp; Settings'!$C$42/($F620-1))*$Z620)))</f>
        <v>-3.622418031276764</v>
      </c>
      <c r="AB620" s="126">
        <f t="shared" si="169"/>
        <v>994.56494831993177</v>
      </c>
      <c r="AC620" s="126"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0</v>
      </c>
    </row>
    <row r="621" spans="1:29" x14ac:dyDescent="0.2">
      <c r="A621" s="117">
        <v>261</v>
      </c>
      <c r="B621" s="118">
        <v>46256</v>
      </c>
      <c r="C621" s="119" t="s">
        <v>34</v>
      </c>
      <c r="D621" s="119" t="s">
        <v>22</v>
      </c>
      <c r="E621" s="117" t="s">
        <v>379</v>
      </c>
      <c r="F621" s="120">
        <f t="shared" si="153"/>
        <v>5</v>
      </c>
      <c r="G621" s="121" t="str">
        <f t="shared" si="154"/>
        <v>Aaron</v>
      </c>
      <c r="H621" s="122">
        <f>IF($D621="",0,IFERROR(LOOKUP(2,1/(($D$3:D620=$D621)*($A$3:A620&lt;$A621)),$N$3:N620),'Guide &amp; Settings'!$C$41))</f>
        <v>1070.1930242736692</v>
      </c>
      <c r="I621" s="123">
        <f t="shared" si="155"/>
        <v>0.17341040462427745</v>
      </c>
      <c r="J621" s="124">
        <f>IF($D621="",0,IF($F621&lt;2,0,IF($E621="Win",('Guide &amp; Settings'!$C$42/(($F621-1)*COUNTIFS($A$4:$A$810,$A621,$E$4:$E$810,"Win")))*SUMIFS($X$4:$X$810,$A$4:$A$810,$A621,$E$4:$E$810,"Loss"),-('Guide &amp; Settings'!$C$42/($F621-1))*$X621)))</f>
        <v>-3.2005159622737906</v>
      </c>
      <c r="K621" s="124">
        <f>IF($D621="",0,'Guide &amp; Settings'!$C$43*(IF($E621="Win",1,0)-$I621))</f>
        <v>-2.0809248554913293</v>
      </c>
      <c r="L621" s="125">
        <f>IF($D621="",0,'Guide &amp; Settings'!$C$44*IF($F621&gt;=3,$F621,0))</f>
        <v>5</v>
      </c>
      <c r="M621" s="124">
        <f t="shared" si="156"/>
        <v>-0.28144081776511953</v>
      </c>
      <c r="N621" s="122">
        <f t="shared" si="157"/>
        <v>1069.9115834559041</v>
      </c>
      <c r="O621" s="121" t="str">
        <f t="shared" si="158"/>
        <v>OK</v>
      </c>
      <c r="P621">
        <f t="shared" si="159"/>
        <v>1216.0096405756001</v>
      </c>
      <c r="Q621">
        <f t="shared" si="160"/>
        <v>0.30166371130008818</v>
      </c>
      <c r="R621">
        <f t="shared" si="161"/>
        <v>0.36363636363636365</v>
      </c>
      <c r="S621">
        <f t="shared" si="162"/>
        <v>2.0969696969696972</v>
      </c>
      <c r="T621" s="89">
        <f t="shared" si="163"/>
        <v>9</v>
      </c>
      <c r="U621" s="126">
        <f>IF($D621="",0,IFERROR(LOOKUP(2,1/(($D$3:D620=$D621)*($C$3:C620=$C621)*($A$3:A620&lt;$A621)),$AB$3:AB620),1000))</f>
        <v>1010.4985128846928</v>
      </c>
      <c r="V621" s="126">
        <f t="shared" si="164"/>
        <v>1031.8179812378985</v>
      </c>
      <c r="W621">
        <f t="shared" si="165"/>
        <v>1102.2078028709648</v>
      </c>
      <c r="X621">
        <f t="shared" si="166"/>
        <v>0.40006449528422383</v>
      </c>
      <c r="Y621">
        <f t="shared" si="167"/>
        <v>1031.0816543055676</v>
      </c>
      <c r="Z621">
        <f t="shared" si="168"/>
        <v>0.47041308438598461</v>
      </c>
      <c r="AA621">
        <f>IF($D621="",0,IF($F621&lt;2,0,IF($E621="Win",('Guide &amp; Settings'!$C$42/(($F621-1)*COUNTIFS($A$4:$A$810,$A621,$E$4:$E$810,"Win")))*SUMIFS($Z$4:$Z$810,$A$4:$A$810,$A621,$E$4:$E$810,"Loss"),-('Guide &amp; Settings'!$C$42/($F621-1))*$Z621)))</f>
        <v>-3.7633046750878769</v>
      </c>
      <c r="AB621" s="126">
        <f t="shared" si="169"/>
        <v>1006.7352082096049</v>
      </c>
      <c r="AC621" s="126"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0</v>
      </c>
    </row>
    <row r="622" spans="1:29" x14ac:dyDescent="0.2">
      <c r="A622" s="117">
        <v>262</v>
      </c>
      <c r="B622" s="118">
        <v>46256</v>
      </c>
      <c r="C622" s="119" t="s">
        <v>54</v>
      </c>
      <c r="D622" s="119" t="s">
        <v>20</v>
      </c>
      <c r="E622" s="117" t="s">
        <v>379</v>
      </c>
      <c r="F622" s="120">
        <f t="shared" si="153"/>
        <v>3</v>
      </c>
      <c r="G622" s="121" t="str">
        <f t="shared" si="154"/>
        <v>Aaron</v>
      </c>
      <c r="H622" s="122">
        <f>IF($D622="",0,IFERROR(LOOKUP(2,1/(($D$3:D621=$D622)*($A$3:A621&lt;$A622)),$N$3:N621),'Guide &amp; Settings'!$C$41))</f>
        <v>1270.4696250433808</v>
      </c>
      <c r="I622" s="123">
        <f t="shared" si="155"/>
        <v>0.35714285714285715</v>
      </c>
      <c r="J622" s="124">
        <f>IF($D622="",0,IF($F622&lt;2,0,IF($E622="Win",('Guide &amp; Settings'!$C$42/(($F622-1)*COUNTIFS($A$4:$A$810,$A622,$E$4:$E$810,"Win")))*SUMIFS($X$4:$X$810,$A$4:$A$810,$A622,$E$4:$E$810,"Loss"),-('Guide &amp; Settings'!$C$42/($F622-1))*$X622)))</f>
        <v>-8.6377496822356417</v>
      </c>
      <c r="K622" s="124">
        <f>IF($D622="",0,'Guide &amp; Settings'!$C$43*(IF($E622="Win",1,0)-$I622))</f>
        <v>-4.2857142857142856</v>
      </c>
      <c r="L622" s="125">
        <f>IF($D622="",0,'Guide &amp; Settings'!$C$44*IF($F622&gt;=3,$F622,0))</f>
        <v>3</v>
      </c>
      <c r="M622" s="124">
        <f t="shared" si="156"/>
        <v>-9.9234639679499281</v>
      </c>
      <c r="N622" s="122">
        <f t="shared" si="157"/>
        <v>1260.546161075431</v>
      </c>
      <c r="O622" s="121" t="str">
        <f t="shared" si="158"/>
        <v>OK</v>
      </c>
      <c r="P622">
        <f t="shared" si="159"/>
        <v>1242.713611121784</v>
      </c>
      <c r="Q622">
        <f t="shared" si="160"/>
        <v>0.5398593551397276</v>
      </c>
      <c r="R622">
        <f t="shared" si="161"/>
        <v>0.5</v>
      </c>
      <c r="S622">
        <f t="shared" si="162"/>
        <v>1.4</v>
      </c>
      <c r="T622" s="89">
        <f t="shared" si="163"/>
        <v>0</v>
      </c>
      <c r="U622" s="126">
        <f>IF($D622="",0,IFERROR(LOOKUP(2,1/(($D$3:D621=$D622)*($C$3:C621=$C622)*($A$3:A621&lt;$A622)),$AB$3:AB621),1000))</f>
        <v>1000</v>
      </c>
      <c r="V622" s="126">
        <f t="shared" si="164"/>
        <v>1270.4696250433808</v>
      </c>
      <c r="W622">
        <f t="shared" si="165"/>
        <v>1242.713611121784</v>
      </c>
      <c r="X622">
        <f t="shared" si="166"/>
        <v>0.5398593551397276</v>
      </c>
      <c r="Y622">
        <f t="shared" si="167"/>
        <v>1000</v>
      </c>
      <c r="Z622">
        <f t="shared" si="168"/>
        <v>0.5</v>
      </c>
      <c r="AA622">
        <f>IF($D622="",0,IF($F622&lt;2,0,IF($E622="Win",('Guide &amp; Settings'!$C$42/(($F622-1)*COUNTIFS($A$4:$A$810,$A622,$E$4:$E$810,"Win")))*SUMIFS($Z$4:$Z$810,$A$4:$A$810,$A622,$E$4:$E$810,"Loss"),-('Guide &amp; Settings'!$C$42/($F622-1))*$Z622)))</f>
        <v>-8</v>
      </c>
      <c r="AB622" s="126">
        <f t="shared" si="169"/>
        <v>992</v>
      </c>
      <c r="AC622" s="126"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0</v>
      </c>
    </row>
    <row r="623" spans="1:29" x14ac:dyDescent="0.2">
      <c r="A623" s="117">
        <v>262</v>
      </c>
      <c r="B623" s="118">
        <v>46256</v>
      </c>
      <c r="C623" s="119" t="s">
        <v>54</v>
      </c>
      <c r="D623" s="119" t="s">
        <v>22</v>
      </c>
      <c r="E623" s="117" t="s">
        <v>379</v>
      </c>
      <c r="F623" s="120">
        <f t="shared" si="153"/>
        <v>3</v>
      </c>
      <c r="G623" s="121" t="str">
        <f t="shared" si="154"/>
        <v>Aaron</v>
      </c>
      <c r="H623" s="122">
        <f>IF($D623="",0,IFERROR(LOOKUP(2,1/(($D$3:D622=$D623)*($A$3:A622&lt;$A623)),$N$3:N622),'Guide &amp; Settings'!$C$41))</f>
        <v>1069.9115834559041</v>
      </c>
      <c r="I623" s="123">
        <f t="shared" si="155"/>
        <v>0.28571428571428575</v>
      </c>
      <c r="J623" s="124">
        <f>IF($D623="",0,IF($F623&lt;2,0,IF($E623="Win",('Guide &amp; Settings'!$C$42/(($F623-1)*COUNTIFS($A$4:$A$810,$A623,$E$4:$E$810,"Win")))*SUMIFS($X$4:$X$810,$A$4:$A$810,$A623,$E$4:$E$810,"Loss"),-('Guide &amp; Settings'!$C$42/($F623-1))*$X623)))</f>
        <v>-3.4565388783774349</v>
      </c>
      <c r="K623" s="124">
        <f>IF($D623="",0,'Guide &amp; Settings'!$C$43*(IF($E623="Win",1,0)-$I623))</f>
        <v>-3.4285714285714288</v>
      </c>
      <c r="L623" s="125">
        <f>IF($D623="",0,'Guide &amp; Settings'!$C$44*IF($F623&gt;=3,$F623,0))</f>
        <v>3</v>
      </c>
      <c r="M623" s="124">
        <f t="shared" si="156"/>
        <v>-3.8851103069488637</v>
      </c>
      <c r="N623" s="122">
        <f t="shared" si="157"/>
        <v>1066.0264731489551</v>
      </c>
      <c r="O623" s="121" t="str">
        <f t="shared" si="158"/>
        <v>OK</v>
      </c>
      <c r="P623">
        <f t="shared" si="159"/>
        <v>1242.713611121784</v>
      </c>
      <c r="Q623">
        <f t="shared" si="160"/>
        <v>0.26997913605142598</v>
      </c>
      <c r="R623">
        <f t="shared" si="161"/>
        <v>0.4</v>
      </c>
      <c r="S623">
        <f t="shared" si="162"/>
        <v>1.4</v>
      </c>
      <c r="T623" s="89">
        <f t="shared" si="163"/>
        <v>8</v>
      </c>
      <c r="U623" s="126">
        <f>IF($D623="",0,IFERROR(LOOKUP(2,1/(($D$3:D622=$D623)*($C$3:C622=$C623)*($A$3:A622&lt;$A623)),$AB$3:AB622),1000))</f>
        <v>986.8605161349974</v>
      </c>
      <c r="V623" s="126">
        <f t="shared" si="164"/>
        <v>1018.8032343353461</v>
      </c>
      <c r="W623">
        <f t="shared" si="165"/>
        <v>1242.713611121784</v>
      </c>
      <c r="X623">
        <f t="shared" si="166"/>
        <v>0.21603367989858968</v>
      </c>
      <c r="Y623">
        <f t="shared" si="167"/>
        <v>1000</v>
      </c>
      <c r="Z623">
        <f t="shared" si="168"/>
        <v>0.48109977244443697</v>
      </c>
      <c r="AA623">
        <f>IF($D623="",0,IF($F623&lt;2,0,IF($E623="Win",('Guide &amp; Settings'!$C$42/(($F623-1)*COUNTIFS($A$4:$A$810,$A623,$E$4:$E$810,"Win")))*SUMIFS($Z$4:$Z$810,$A$4:$A$810,$A623,$E$4:$E$810,"Loss"),-('Guide &amp; Settings'!$C$42/($F623-1))*$Z623)))</f>
        <v>-7.6975963591109915</v>
      </c>
      <c r="AB623" s="126">
        <f t="shared" si="169"/>
        <v>979.16291977588639</v>
      </c>
      <c r="AC623" s="126"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0</v>
      </c>
    </row>
    <row r="624" spans="1:29" x14ac:dyDescent="0.2">
      <c r="A624" s="117">
        <v>262</v>
      </c>
      <c r="B624" s="118">
        <v>46256</v>
      </c>
      <c r="C624" s="119" t="s">
        <v>54</v>
      </c>
      <c r="D624" s="119" t="s">
        <v>15</v>
      </c>
      <c r="E624" s="117" t="s">
        <v>378</v>
      </c>
      <c r="F624" s="120">
        <f t="shared" si="153"/>
        <v>3</v>
      </c>
      <c r="G624" s="121" t="str">
        <f t="shared" si="154"/>
        <v>Aaron</v>
      </c>
      <c r="H624" s="122">
        <f>IF($D624="",0,IFERROR(LOOKUP(2,1/(($D$3:D623=$D624)*($A$3:A623&lt;$A624)),$N$3:N623),'Guide &amp; Settings'!$C$41))</f>
        <v>1242.713611121784</v>
      </c>
      <c r="I624" s="123">
        <f t="shared" si="155"/>
        <v>0.35714285714285715</v>
      </c>
      <c r="J624" s="124">
        <f>IF($D624="",0,IF($F624&lt;2,0,IF($E624="Win",('Guide &amp; Settings'!$C$42/(($F624-1)*COUNTIFS($A$4:$A$810,$A624,$E$4:$E$810,"Win")))*SUMIFS($X$4:$X$810,$A$4:$A$810,$A624,$E$4:$E$810,"Loss"),-('Guide &amp; Settings'!$C$42/($F624-1))*$X624)))</f>
        <v>12.094288560613077</v>
      </c>
      <c r="K624" s="124">
        <f>IF($D624="",0,'Guide &amp; Settings'!$C$43*(IF($E624="Win",1,0)-$I624))</f>
        <v>7.7142857142857135</v>
      </c>
      <c r="L624" s="125">
        <f>IF($D624="",0,'Guide &amp; Settings'!$C$44*IF($F624&gt;=3,$F624,0))</f>
        <v>3</v>
      </c>
      <c r="M624" s="124">
        <f t="shared" si="156"/>
        <v>22.808574274898788</v>
      </c>
      <c r="N624" s="122">
        <f t="shared" si="157"/>
        <v>1265.5221853966827</v>
      </c>
      <c r="O624" s="121" t="str">
        <f t="shared" si="158"/>
        <v>OK</v>
      </c>
      <c r="P624">
        <f t="shared" si="159"/>
        <v>1242.713611121784</v>
      </c>
      <c r="Q624">
        <f t="shared" si="160"/>
        <v>0.5</v>
      </c>
      <c r="R624">
        <f t="shared" si="161"/>
        <v>0.5</v>
      </c>
      <c r="S624">
        <f t="shared" si="162"/>
        <v>1.4</v>
      </c>
      <c r="T624" s="89">
        <f t="shared" si="163"/>
        <v>0</v>
      </c>
      <c r="U624" s="126">
        <f>IF($D624="",0,IFERROR(LOOKUP(2,1/(($D$3:D623=$D624)*($C$3:C623=$C624)*($A$3:A623&lt;$A624)),$AB$3:AB623),1000))</f>
        <v>1000</v>
      </c>
      <c r="V624" s="126">
        <f t="shared" si="164"/>
        <v>1242.713611121784</v>
      </c>
      <c r="W624">
        <f t="shared" si="165"/>
        <v>1242.713611121784</v>
      </c>
      <c r="X624">
        <f t="shared" si="166"/>
        <v>0.5</v>
      </c>
      <c r="Y624">
        <f t="shared" si="167"/>
        <v>1000</v>
      </c>
      <c r="Z624">
        <f t="shared" si="168"/>
        <v>0.5</v>
      </c>
      <c r="AA624">
        <f>IF($D624="",0,IF($F624&lt;2,0,IF($E624="Win",('Guide &amp; Settings'!$C$42/(($F624-1)*COUNTIFS($A$4:$A$810,$A624,$E$4:$E$810,"Win")))*SUMIFS($Z$4:$Z$810,$A$4:$A$810,$A624,$E$4:$E$810,"Loss"),-('Guide &amp; Settings'!$C$42/($F624-1))*$Z624)))</f>
        <v>15.697596359110992</v>
      </c>
      <c r="AB624" s="126">
        <f t="shared" si="169"/>
        <v>1015.697596359111</v>
      </c>
      <c r="AC624" s="126"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0</v>
      </c>
    </row>
    <row r="625" spans="1:29" x14ac:dyDescent="0.2">
      <c r="A625" s="117">
        <v>263</v>
      </c>
      <c r="B625" s="118">
        <v>46256</v>
      </c>
      <c r="C625" s="119" t="s">
        <v>34</v>
      </c>
      <c r="D625" s="119" t="s">
        <v>25</v>
      </c>
      <c r="E625" s="117" t="s">
        <v>378</v>
      </c>
      <c r="F625" s="120">
        <f t="shared" si="153"/>
        <v>2</v>
      </c>
      <c r="G625" s="121" t="str">
        <f t="shared" si="154"/>
        <v>Oscar</v>
      </c>
      <c r="H625" s="122">
        <f>IF($D625="",0,IFERROR(LOOKUP(2,1/(($D$3:D624=$D625)*($A$3:A624&lt;$A625)),$N$3:N624),'Guide &amp; Settings'!$C$41))</f>
        <v>1031.5437338136264</v>
      </c>
      <c r="I625" s="123">
        <f t="shared" si="155"/>
        <v>0.40740740740740738</v>
      </c>
      <c r="J625" s="124">
        <f>IF($D625="",0,IF($F625&lt;2,0,IF($E625="Win",('Guide &amp; Settings'!$C$42/(($F625-1)*COUNTIFS($A$4:$A$810,$A625,$E$4:$E$810,"Win")))*SUMIFS($X$4:$X$810,$A$4:$A$810,$A625,$E$4:$E$810,"Loss"),-('Guide &amp; Settings'!$C$42/($F625-1))*$X625)))</f>
        <v>19.265300518098492</v>
      </c>
      <c r="K625" s="124">
        <f>IF($D625="",0,'Guide &amp; Settings'!$C$43*(IF($E625="Win",1,0)-$I625))</f>
        <v>7.1111111111111107</v>
      </c>
      <c r="L625" s="125">
        <f>IF($D625="",0,'Guide &amp; Settings'!$C$44*IF($F625&gt;=3,$F625,0))</f>
        <v>0</v>
      </c>
      <c r="M625" s="124">
        <f t="shared" si="156"/>
        <v>26.376411629209603</v>
      </c>
      <c r="N625" s="122">
        <f t="shared" si="157"/>
        <v>1057.920145442836</v>
      </c>
      <c r="O625" s="121" t="str">
        <f t="shared" si="158"/>
        <v>OK</v>
      </c>
      <c r="P625">
        <f t="shared" si="159"/>
        <v>1031.5437338136264</v>
      </c>
      <c r="Q625">
        <f t="shared" si="160"/>
        <v>0.5</v>
      </c>
      <c r="R625">
        <f t="shared" si="161"/>
        <v>0.25</v>
      </c>
      <c r="S625">
        <f t="shared" si="162"/>
        <v>0.61363636363636365</v>
      </c>
      <c r="T625" s="89">
        <f t="shared" si="163"/>
        <v>2</v>
      </c>
      <c r="U625" s="126">
        <f>IF($D625="",0,IFERROR(LOOKUP(2,1/(($D$3:D624=$D625)*($C$3:C624=$C625)*($A$3:A624&lt;$A625)),$AB$3:AB624),1000))</f>
        <v>991.24627744943052</v>
      </c>
      <c r="V625" s="126">
        <f t="shared" si="164"/>
        <v>1020.0301748524275</v>
      </c>
      <c r="W625">
        <f t="shared" si="165"/>
        <v>1020.0301748524275</v>
      </c>
      <c r="X625">
        <f t="shared" si="166"/>
        <v>0.5</v>
      </c>
      <c r="Y625">
        <f t="shared" si="167"/>
        <v>991.24627744943052</v>
      </c>
      <c r="Z625">
        <f t="shared" si="168"/>
        <v>0.5</v>
      </c>
      <c r="AA625">
        <f>IF($D625="",0,IF($F625&lt;2,0,IF($E625="Win",('Guide &amp; Settings'!$C$42/(($F625-1)*COUNTIFS($A$4:$A$810,$A625,$E$4:$E$810,"Win")))*SUMIFS($Z$4:$Z$810,$A$4:$A$810,$A625,$E$4:$E$810,"Loss"),-('Guide &amp; Settings'!$C$42/($F625-1))*$Z625)))</f>
        <v>16.323764930256495</v>
      </c>
      <c r="AB625" s="126">
        <f t="shared" si="169"/>
        <v>1007.570042379687</v>
      </c>
      <c r="AC625" s="126"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0</v>
      </c>
    </row>
    <row r="626" spans="1:29" x14ac:dyDescent="0.2">
      <c r="A626" s="117">
        <v>263</v>
      </c>
      <c r="B626" s="118">
        <v>46256</v>
      </c>
      <c r="C626" s="119" t="s">
        <v>34</v>
      </c>
      <c r="D626" s="119" t="s">
        <v>20</v>
      </c>
      <c r="E626" s="117" t="s">
        <v>379</v>
      </c>
      <c r="F626" s="120">
        <f t="shared" si="153"/>
        <v>2</v>
      </c>
      <c r="G626" s="121" t="str">
        <f t="shared" si="154"/>
        <v>Oscar</v>
      </c>
      <c r="H626" s="122">
        <f>IF($D626="",0,IFERROR(LOOKUP(2,1/(($D$3:D625=$D626)*($A$3:A625&lt;$A626)),$N$3:N625),'Guide &amp; Settings'!$C$41))</f>
        <v>1260.546161075431</v>
      </c>
      <c r="I626" s="123">
        <f t="shared" si="155"/>
        <v>0.59259259259259256</v>
      </c>
      <c r="J626" s="124">
        <f>IF($D626="",0,IF($F626&lt;2,0,IF($E626="Win",('Guide &amp; Settings'!$C$42/(($F626-1)*COUNTIFS($A$4:$A$810,$A626,$E$4:$E$810,"Win")))*SUMIFS($X$4:$X$810,$A$4:$A$810,$A626,$E$4:$E$810,"Loss"),-('Guide &amp; Settings'!$C$42/($F626-1))*$X626)))</f>
        <v>-19.265300518098492</v>
      </c>
      <c r="K626" s="124">
        <f>IF($D626="",0,'Guide &amp; Settings'!$C$43*(IF($E626="Win",1,0)-$I626))</f>
        <v>-7.1111111111111107</v>
      </c>
      <c r="L626" s="125">
        <f>IF($D626="",0,'Guide &amp; Settings'!$C$44*IF($F626&gt;=3,$F626,0))</f>
        <v>0</v>
      </c>
      <c r="M626" s="124">
        <f t="shared" si="156"/>
        <v>-26.376411629209603</v>
      </c>
      <c r="N626" s="122">
        <f t="shared" si="157"/>
        <v>1234.1697494462214</v>
      </c>
      <c r="O626" s="121" t="str">
        <f t="shared" si="158"/>
        <v>OK</v>
      </c>
      <c r="P626">
        <f t="shared" si="159"/>
        <v>1031.5437338136264</v>
      </c>
      <c r="Q626">
        <f t="shared" si="160"/>
        <v>0.78888939523082036</v>
      </c>
      <c r="R626">
        <f t="shared" si="161"/>
        <v>0.36363636363636365</v>
      </c>
      <c r="S626">
        <f t="shared" si="162"/>
        <v>0.61363636363636365</v>
      </c>
      <c r="T626" s="89">
        <f t="shared" si="163"/>
        <v>9</v>
      </c>
      <c r="U626" s="126">
        <f>IF($D626="",0,IFERROR(LOOKUP(2,1/(($D$3:D625=$D626)*($C$3:C625=$C626)*($A$3:A625&lt;$A626)),$AB$3:AB625),1000))</f>
        <v>998.27770340038171</v>
      </c>
      <c r="V626" s="126">
        <f t="shared" si="164"/>
        <v>1091.9450097128993</v>
      </c>
      <c r="W626">
        <f t="shared" si="165"/>
        <v>1020.0301748524275</v>
      </c>
      <c r="X626">
        <f t="shared" si="166"/>
        <v>0.60204064119057787</v>
      </c>
      <c r="Y626">
        <f t="shared" si="167"/>
        <v>991.24627744943052</v>
      </c>
      <c r="Z626">
        <f t="shared" si="168"/>
        <v>0.51011765407051546</v>
      </c>
      <c r="AA626">
        <f>IF($D626="",0,IF($F626&lt;2,0,IF($E626="Win",('Guide &amp; Settings'!$C$42/(($F626-1)*COUNTIFS($A$4:$A$810,$A626,$E$4:$E$810,"Win")))*SUMIFS($Z$4:$Z$810,$A$4:$A$810,$A626,$E$4:$E$810,"Loss"),-('Guide &amp; Settings'!$C$42/($F626-1))*$Z626)))</f>
        <v>-16.323764930256495</v>
      </c>
      <c r="AB626" s="126">
        <f t="shared" si="169"/>
        <v>981.95393847012519</v>
      </c>
      <c r="AC626" s="126"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0</v>
      </c>
    </row>
    <row r="627" spans="1:29" x14ac:dyDescent="0.2">
      <c r="A627" s="117">
        <v>264</v>
      </c>
      <c r="B627" s="118">
        <v>46257</v>
      </c>
      <c r="C627" s="119" t="s">
        <v>35</v>
      </c>
      <c r="D627" s="119" t="s">
        <v>20</v>
      </c>
      <c r="E627" s="117" t="s">
        <v>378</v>
      </c>
      <c r="F627" s="120">
        <f t="shared" si="153"/>
        <v>2</v>
      </c>
      <c r="G627" s="121" t="str">
        <f t="shared" si="154"/>
        <v>Shawn</v>
      </c>
      <c r="H627" s="122">
        <f>IF($D627="",0,IFERROR(LOOKUP(2,1/(($D$3:D626=$D627)*($A$3:A626&lt;$A627)),$N$3:N626),'Guide &amp; Settings'!$C$41))</f>
        <v>1234.1697494462214</v>
      </c>
      <c r="I627" s="123">
        <f t="shared" si="155"/>
        <v>0.4850746268656716</v>
      </c>
      <c r="J627" s="124">
        <f>IF($D627="",0,IF($F627&lt;2,0,IF($E627="Win",('Guide &amp; Settings'!$C$42/(($F627-1)*COUNTIFS($A$4:$A$810,$A627,$E$4:$E$810,"Win")))*SUMIFS($X$4:$X$810,$A$4:$A$810,$A627,$E$4:$E$810,"Loss"),-('Guide &amp; Settings'!$C$42/($F627-1))*$X627)))</f>
        <v>16.448059431246442</v>
      </c>
      <c r="K627" s="124">
        <f>IF($D627="",0,'Guide &amp; Settings'!$C$43*(IF($E627="Win",1,0)-$I627))</f>
        <v>6.1791044776119408</v>
      </c>
      <c r="L627" s="125">
        <f>IF($D627="",0,'Guide &amp; Settings'!$C$44*IF($F627&gt;=3,$F627,0))</f>
        <v>0</v>
      </c>
      <c r="M627" s="124">
        <f t="shared" si="156"/>
        <v>22.627163908858382</v>
      </c>
      <c r="N627" s="122">
        <f t="shared" si="157"/>
        <v>1256.7969133550798</v>
      </c>
      <c r="O627" s="121" t="str">
        <f t="shared" si="158"/>
        <v>OK</v>
      </c>
      <c r="P627">
        <f t="shared" si="159"/>
        <v>1234.1697494462214</v>
      </c>
      <c r="Q627">
        <f t="shared" si="160"/>
        <v>0.5</v>
      </c>
      <c r="R627">
        <f t="shared" si="161"/>
        <v>0.43478260869565216</v>
      </c>
      <c r="S627">
        <f t="shared" si="162"/>
        <v>0.89632107023411378</v>
      </c>
      <c r="T627" s="89">
        <f t="shared" si="163"/>
        <v>21</v>
      </c>
      <c r="U627" s="126">
        <f>IF($D627="",0,IFERROR(LOOKUP(2,1/(($D$3:D626=$D627)*($C$3:C626=$C627)*($A$3:A626&lt;$A627)),$AB$3:AB626),1000))</f>
        <v>959.21322119739193</v>
      </c>
      <c r="V627" s="126">
        <f t="shared" si="164"/>
        <v>1012.0894766298592</v>
      </c>
      <c r="W627">
        <f t="shared" si="165"/>
        <v>1012.0894766298592</v>
      </c>
      <c r="X627">
        <f t="shared" si="166"/>
        <v>0.5</v>
      </c>
      <c r="Y627">
        <f t="shared" si="167"/>
        <v>959.21322119739193</v>
      </c>
      <c r="Z627">
        <f t="shared" si="168"/>
        <v>0.5</v>
      </c>
      <c r="AA627">
        <f>IF($D627="",0,IF($F627&lt;2,0,IF($E627="Win",('Guide &amp; Settings'!$C$42/(($F627-1)*COUNTIFS($A$4:$A$810,$A627,$E$4:$E$810,"Win")))*SUMIFS($Z$4:$Z$810,$A$4:$A$810,$A627,$E$4:$E$810,"Loss"),-('Guide &amp; Settings'!$C$42/($F627-1))*$Z627)))</f>
        <v>17.948179345045322</v>
      </c>
      <c r="AB627" s="126">
        <f t="shared" si="169"/>
        <v>977.16140054243726</v>
      </c>
      <c r="AC627" s="126"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0</v>
      </c>
    </row>
    <row r="628" spans="1:29" x14ac:dyDescent="0.2">
      <c r="A628" s="117">
        <v>264</v>
      </c>
      <c r="B628" s="118">
        <v>46257</v>
      </c>
      <c r="C628" s="119" t="s">
        <v>35</v>
      </c>
      <c r="D628" s="119" t="s">
        <v>22</v>
      </c>
      <c r="E628" s="117" t="s">
        <v>379</v>
      </c>
      <c r="F628" s="120">
        <f t="shared" si="153"/>
        <v>2</v>
      </c>
      <c r="G628" s="121" t="str">
        <f t="shared" si="154"/>
        <v>Shawn</v>
      </c>
      <c r="H628" s="122">
        <f>IF($D628="",0,IFERROR(LOOKUP(2,1/(($D$3:D627=$D628)*($A$3:A627&lt;$A628)),$N$3:N627),'Guide &amp; Settings'!$C$41))</f>
        <v>1066.0264731489551</v>
      </c>
      <c r="I628" s="123">
        <f t="shared" si="155"/>
        <v>0.5149253731343284</v>
      </c>
      <c r="J628" s="124">
        <f>IF($D628="",0,IF($F628&lt;2,0,IF($E628="Win",('Guide &amp; Settings'!$C$42/(($F628-1)*COUNTIFS($A$4:$A$810,$A628,$E$4:$E$810,"Win")))*SUMIFS($X$4:$X$810,$A$4:$A$810,$A628,$E$4:$E$810,"Loss"),-('Guide &amp; Settings'!$C$42/($F628-1))*$X628)))</f>
        <v>-16.448059431246442</v>
      </c>
      <c r="K628" s="124">
        <f>IF($D628="",0,'Guide &amp; Settings'!$C$43*(IF($E628="Win",1,0)-$I628))</f>
        <v>-6.1791044776119408</v>
      </c>
      <c r="L628" s="125">
        <f>IF($D628="",0,'Guide &amp; Settings'!$C$44*IF($F628&gt;=3,$F628,0))</f>
        <v>0</v>
      </c>
      <c r="M628" s="124">
        <f t="shared" si="156"/>
        <v>-22.627163908858382</v>
      </c>
      <c r="N628" s="122">
        <f t="shared" si="157"/>
        <v>1043.3993092400967</v>
      </c>
      <c r="O628" s="121" t="str">
        <f t="shared" si="158"/>
        <v>OK</v>
      </c>
      <c r="P628">
        <f t="shared" si="159"/>
        <v>1234.1697494462214</v>
      </c>
      <c r="Q628">
        <f t="shared" si="160"/>
        <v>0.27529717898741879</v>
      </c>
      <c r="R628">
        <f t="shared" si="161"/>
        <v>0.46153846153846156</v>
      </c>
      <c r="S628">
        <f t="shared" si="162"/>
        <v>0.89632107023411378</v>
      </c>
      <c r="T628" s="89">
        <f t="shared" si="163"/>
        <v>11</v>
      </c>
      <c r="U628" s="126">
        <f>IF($D628="",0,IFERROR(LOOKUP(2,1/(($D$3:D627=$D628)*($C$3:C627=$C628)*($A$3:A627&lt;$A628)),$AB$3:AB627),1000))</f>
        <v>1001.7283421233877</v>
      </c>
      <c r="V628" s="126">
        <f t="shared" si="164"/>
        <v>1021.8215080688775</v>
      </c>
      <c r="W628">
        <f t="shared" si="165"/>
        <v>1012.0894766298592</v>
      </c>
      <c r="X628">
        <f t="shared" si="166"/>
        <v>0.51400185722645131</v>
      </c>
      <c r="Y628">
        <f t="shared" si="167"/>
        <v>959.21322119739193</v>
      </c>
      <c r="Z628">
        <f t="shared" si="168"/>
        <v>0.5608806045326663</v>
      </c>
      <c r="AA628">
        <f>IF($D628="",0,IF($F628&lt;2,0,IF($E628="Win",('Guide &amp; Settings'!$C$42/(($F628-1)*COUNTIFS($A$4:$A$810,$A628,$E$4:$E$810,"Win")))*SUMIFS($Z$4:$Z$810,$A$4:$A$810,$A628,$E$4:$E$810,"Loss"),-('Guide &amp; Settings'!$C$42/($F628-1))*$Z628)))</f>
        <v>-17.948179345045322</v>
      </c>
      <c r="AB628" s="126">
        <f t="shared" si="169"/>
        <v>983.7801627783424</v>
      </c>
      <c r="AC628" s="126"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0</v>
      </c>
    </row>
    <row r="629" spans="1:29" x14ac:dyDescent="0.2">
      <c r="A629" s="117">
        <v>265</v>
      </c>
      <c r="B629" s="118">
        <v>46257</v>
      </c>
      <c r="C629" s="119" t="s">
        <v>35</v>
      </c>
      <c r="D629" s="119" t="s">
        <v>25</v>
      </c>
      <c r="E629" s="117" t="s">
        <v>379</v>
      </c>
      <c r="F629" s="120">
        <f t="shared" si="153"/>
        <v>2</v>
      </c>
      <c r="G629" s="121" t="str">
        <f t="shared" si="154"/>
        <v>Daniel (Ferret)</v>
      </c>
      <c r="H629" s="122">
        <f>IF($D629="",0,IFERROR(LOOKUP(2,1/(($D$3:D628=$D629)*($A$3:A628&lt;$A629)),$N$3:N628),'Guide &amp; Settings'!$C$41))</f>
        <v>1057.920145442836</v>
      </c>
      <c r="I629" s="123">
        <f t="shared" si="155"/>
        <v>0.4375</v>
      </c>
      <c r="J629" s="124">
        <f>IF($D629="",0,IF($F629&lt;2,0,IF($E629="Win",('Guide &amp; Settings'!$C$42/(($F629-1)*COUNTIFS($A$4:$A$810,$A629,$E$4:$E$810,"Win")))*SUMIFS($X$4:$X$810,$A$4:$A$810,$A629,$E$4:$E$810,"Loss"),-('Guide &amp; Settings'!$C$42/($F629-1))*$X629)))</f>
        <v>-16.837328915595478</v>
      </c>
      <c r="K629" s="124">
        <f>IF($D629="",0,'Guide &amp; Settings'!$C$43*(IF($E629="Win",1,0)-$I629))</f>
        <v>-5.25</v>
      </c>
      <c r="L629" s="125">
        <f>IF($D629="",0,'Guide &amp; Settings'!$C$44*IF($F629&gt;=3,$F629,0))</f>
        <v>0</v>
      </c>
      <c r="M629" s="124">
        <f t="shared" si="156"/>
        <v>-22.087328915595478</v>
      </c>
      <c r="N629" s="122">
        <f t="shared" si="157"/>
        <v>1035.8328165272405</v>
      </c>
      <c r="O629" s="121" t="str">
        <f t="shared" si="158"/>
        <v>OK</v>
      </c>
      <c r="P629">
        <f t="shared" si="159"/>
        <v>1043.3993092400967</v>
      </c>
      <c r="Q629">
        <f t="shared" si="160"/>
        <v>0.52088500412427308</v>
      </c>
      <c r="R629">
        <f t="shared" si="161"/>
        <v>0.33333333333333331</v>
      </c>
      <c r="S629">
        <f t="shared" si="162"/>
        <v>0.76190476190476186</v>
      </c>
      <c r="T629" s="89">
        <f t="shared" si="163"/>
        <v>4</v>
      </c>
      <c r="U629" s="126">
        <f>IF($D629="",0,IFERROR(LOOKUP(2,1/(($D$3:D628=$D629)*($C$3:C628=$C629)*($A$3:A628&lt;$A629)),$AB$3:AB628),1000))</f>
        <v>971.50676491737113</v>
      </c>
      <c r="V629" s="126">
        <f t="shared" si="164"/>
        <v>1019.5141985426294</v>
      </c>
      <c r="W629">
        <f t="shared" si="165"/>
        <v>1001.3152058553289</v>
      </c>
      <c r="X629">
        <f t="shared" si="166"/>
        <v>0.52616652861235869</v>
      </c>
      <c r="Y629">
        <f t="shared" si="167"/>
        <v>983.7801627783424</v>
      </c>
      <c r="Z629">
        <f t="shared" si="168"/>
        <v>0.4823445041609713</v>
      </c>
      <c r="AA629">
        <f>IF($D629="",0,IF($F629&lt;2,0,IF($E629="Win",('Guide &amp; Settings'!$C$42/(($F629-1)*COUNTIFS($A$4:$A$810,$A629,$E$4:$E$810,"Win")))*SUMIFS($Z$4:$Z$810,$A$4:$A$810,$A629,$E$4:$E$810,"Loss"),-('Guide &amp; Settings'!$C$42/($F629-1))*$Z629)))</f>
        <v>-15.435024133151082</v>
      </c>
      <c r="AB629" s="126">
        <f t="shared" si="169"/>
        <v>956.07174078422008</v>
      </c>
      <c r="AC629" s="126"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0</v>
      </c>
    </row>
    <row r="630" spans="1:29" x14ac:dyDescent="0.2">
      <c r="A630" s="117">
        <v>265</v>
      </c>
      <c r="B630" s="118">
        <v>46257</v>
      </c>
      <c r="C630" s="119" t="s">
        <v>35</v>
      </c>
      <c r="D630" s="119" t="s">
        <v>22</v>
      </c>
      <c r="E630" s="117" t="s">
        <v>378</v>
      </c>
      <c r="F630" s="120">
        <f t="shared" si="153"/>
        <v>2</v>
      </c>
      <c r="G630" s="121" t="str">
        <f t="shared" si="154"/>
        <v>Daniel (Ferret)</v>
      </c>
      <c r="H630" s="122">
        <f>IF($D630="",0,IFERROR(LOOKUP(2,1/(($D$3:D629=$D630)*($A$3:A629&lt;$A630)),$N$3:N629),'Guide &amp; Settings'!$C$41))</f>
        <v>1043.3993092400967</v>
      </c>
      <c r="I630" s="123">
        <f t="shared" si="155"/>
        <v>0.5625</v>
      </c>
      <c r="J630" s="124">
        <f>IF($D630="",0,IF($F630&lt;2,0,IF($E630="Win",('Guide &amp; Settings'!$C$42/(($F630-1)*COUNTIFS($A$4:$A$810,$A630,$E$4:$E$810,"Win")))*SUMIFS($X$4:$X$810,$A$4:$A$810,$A630,$E$4:$E$810,"Loss"),-('Guide &amp; Settings'!$C$42/($F630-1))*$X630)))</f>
        <v>16.837328915595478</v>
      </c>
      <c r="K630" s="124">
        <f>IF($D630="",0,'Guide &amp; Settings'!$C$43*(IF($E630="Win",1,0)-$I630))</f>
        <v>5.25</v>
      </c>
      <c r="L630" s="125">
        <f>IF($D630="",0,'Guide &amp; Settings'!$C$44*IF($F630&gt;=3,$F630,0))</f>
        <v>0</v>
      </c>
      <c r="M630" s="124">
        <f t="shared" si="156"/>
        <v>22.087328915595478</v>
      </c>
      <c r="N630" s="122">
        <f t="shared" si="157"/>
        <v>1065.4866381556922</v>
      </c>
      <c r="O630" s="121" t="str">
        <f t="shared" si="158"/>
        <v>OK</v>
      </c>
      <c r="P630">
        <f t="shared" si="159"/>
        <v>1043.3993092400967</v>
      </c>
      <c r="Q630">
        <f t="shared" si="160"/>
        <v>0.5</v>
      </c>
      <c r="R630">
        <f t="shared" si="161"/>
        <v>0.42857142857142855</v>
      </c>
      <c r="S630">
        <f t="shared" si="162"/>
        <v>0.76190476190476186</v>
      </c>
      <c r="T630" s="89">
        <f t="shared" si="163"/>
        <v>12</v>
      </c>
      <c r="U630" s="126">
        <f>IF($D630="",0,IFERROR(LOOKUP(2,1/(($D$3:D629=$D630)*($C$3:C629=$C630)*($A$3:A629&lt;$A630)),$AB$3:AB629),1000))</f>
        <v>983.7801627783424</v>
      </c>
      <c r="V630" s="126">
        <f t="shared" si="164"/>
        <v>1001.3152058553289</v>
      </c>
      <c r="W630">
        <f t="shared" si="165"/>
        <v>1001.3152058553289</v>
      </c>
      <c r="X630">
        <f t="shared" si="166"/>
        <v>0.5</v>
      </c>
      <c r="Y630">
        <f t="shared" si="167"/>
        <v>983.7801627783424</v>
      </c>
      <c r="Z630">
        <f t="shared" si="168"/>
        <v>0.5</v>
      </c>
      <c r="AA630">
        <f>IF($D630="",0,IF($F630&lt;2,0,IF($E630="Win",('Guide &amp; Settings'!$C$42/(($F630-1)*COUNTIFS($A$4:$A$810,$A630,$E$4:$E$810,"Win")))*SUMIFS($Z$4:$Z$810,$A$4:$A$810,$A630,$E$4:$E$810,"Loss"),-('Guide &amp; Settings'!$C$42/($F630-1))*$Z630)))</f>
        <v>15.435024133151082</v>
      </c>
      <c r="AB630" s="126">
        <f t="shared" si="169"/>
        <v>999.21518691149345</v>
      </c>
      <c r="AC630" s="126"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0</v>
      </c>
    </row>
    <row r="631" spans="1:29" x14ac:dyDescent="0.2">
      <c r="A631" s="117">
        <v>266</v>
      </c>
      <c r="B631" s="118">
        <v>46257</v>
      </c>
      <c r="C631" s="119" t="s">
        <v>35</v>
      </c>
      <c r="D631" s="119" t="s">
        <v>25</v>
      </c>
      <c r="E631" s="117" t="s">
        <v>378</v>
      </c>
      <c r="F631" s="120">
        <f t="shared" si="153"/>
        <v>2</v>
      </c>
      <c r="G631" s="121" t="str">
        <f t="shared" si="154"/>
        <v>Oscar</v>
      </c>
      <c r="H631" s="122">
        <f>IF($D631="",0,IFERROR(LOOKUP(2,1/(($D$3:D630=$D631)*($A$3:A630&lt;$A631)),$N$3:N630),'Guide &amp; Settings'!$C$41))</f>
        <v>1035.8328165272405</v>
      </c>
      <c r="I631" s="123">
        <f t="shared" si="155"/>
        <v>0.37974683544303794</v>
      </c>
      <c r="J631" s="124">
        <f>IF($D631="",0,IF($F631&lt;2,0,IF($E631="Win",('Guide &amp; Settings'!$C$42/(($F631-1)*COUNTIFS($A$4:$A$810,$A631,$E$4:$E$810,"Win")))*SUMIFS($X$4:$X$810,$A$4:$A$810,$A631,$E$4:$E$810,"Loss"),-('Guide &amp; Settings'!$C$42/($F631-1))*$X631)))</f>
        <v>16.996723783178943</v>
      </c>
      <c r="K631" s="124">
        <f>IF($D631="",0,'Guide &amp; Settings'!$C$43*(IF($E631="Win",1,0)-$I631))</f>
        <v>7.443037974683544</v>
      </c>
      <c r="L631" s="125">
        <f>IF($D631="",0,'Guide &amp; Settings'!$C$44*IF($F631&gt;=3,$F631,0))</f>
        <v>0</v>
      </c>
      <c r="M631" s="124">
        <f t="shared" si="156"/>
        <v>24.439761757862488</v>
      </c>
      <c r="N631" s="122">
        <f t="shared" si="157"/>
        <v>1060.272578285103</v>
      </c>
      <c r="O631" s="121" t="str">
        <f t="shared" si="158"/>
        <v>OK</v>
      </c>
      <c r="P631">
        <f t="shared" si="159"/>
        <v>1035.8328165272405</v>
      </c>
      <c r="Q631">
        <f t="shared" si="160"/>
        <v>0.5</v>
      </c>
      <c r="R631">
        <f t="shared" si="161"/>
        <v>0.2857142857142857</v>
      </c>
      <c r="S631">
        <f t="shared" si="162"/>
        <v>0.75238095238095237</v>
      </c>
      <c r="T631" s="89">
        <f t="shared" si="163"/>
        <v>5</v>
      </c>
      <c r="U631" s="126">
        <f>IF($D631="",0,IFERROR(LOOKUP(2,1/(($D$3:D630=$D631)*($C$3:C630=$C631)*($A$3:A630&lt;$A631)),$AB$3:AB630),1000))</f>
        <v>956.07174078422008</v>
      </c>
      <c r="V631" s="126">
        <f t="shared" si="164"/>
        <v>995.95227865573031</v>
      </c>
      <c r="W631">
        <f t="shared" si="165"/>
        <v>995.95227865573031</v>
      </c>
      <c r="X631">
        <f t="shared" si="166"/>
        <v>0.5</v>
      </c>
      <c r="Y631">
        <f t="shared" si="167"/>
        <v>956.07174078422008</v>
      </c>
      <c r="Z631">
        <f t="shared" si="168"/>
        <v>0.5</v>
      </c>
      <c r="AA631">
        <f>IF($D631="",0,IF($F631&lt;2,0,IF($E631="Win",('Guide &amp; Settings'!$C$42/(($F631-1)*COUNTIFS($A$4:$A$810,$A631,$E$4:$E$810,"Win")))*SUMIFS($Z$4:$Z$810,$A$4:$A$810,$A631,$E$4:$E$810,"Loss"),-('Guide &amp; Settings'!$C$42/($F631-1))*$Z631)))</f>
        <v>17.976679492169005</v>
      </c>
      <c r="AB631" s="126">
        <f t="shared" si="169"/>
        <v>974.04842027638904</v>
      </c>
      <c r="AC631" s="126"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0</v>
      </c>
    </row>
    <row r="632" spans="1:29" x14ac:dyDescent="0.2">
      <c r="A632" s="117">
        <v>266</v>
      </c>
      <c r="B632" s="118">
        <v>46257</v>
      </c>
      <c r="C632" s="119" t="s">
        <v>35</v>
      </c>
      <c r="D632" s="119" t="s">
        <v>22</v>
      </c>
      <c r="E632" s="117" t="s">
        <v>379</v>
      </c>
      <c r="F632" s="120">
        <f t="shared" si="153"/>
        <v>2</v>
      </c>
      <c r="G632" s="121" t="str">
        <f t="shared" si="154"/>
        <v>Oscar</v>
      </c>
      <c r="H632" s="122">
        <f>IF($D632="",0,IFERROR(LOOKUP(2,1/(($D$3:D631=$D632)*($A$3:A631&lt;$A632)),$N$3:N631),'Guide &amp; Settings'!$C$41))</f>
        <v>1065.4866381556922</v>
      </c>
      <c r="I632" s="123">
        <f t="shared" si="155"/>
        <v>0.620253164556962</v>
      </c>
      <c r="J632" s="124">
        <f>IF($D632="",0,IF($F632&lt;2,0,IF($E632="Win",('Guide &amp; Settings'!$C$42/(($F632-1)*COUNTIFS($A$4:$A$810,$A632,$E$4:$E$810,"Win")))*SUMIFS($X$4:$X$810,$A$4:$A$810,$A632,$E$4:$E$810,"Loss"),-('Guide &amp; Settings'!$C$42/($F632-1))*$X632)))</f>
        <v>-16.996723783178943</v>
      </c>
      <c r="K632" s="124">
        <f>IF($D632="",0,'Guide &amp; Settings'!$C$43*(IF($E632="Win",1,0)-$I632))</f>
        <v>-7.443037974683544</v>
      </c>
      <c r="L632" s="125">
        <f>IF($D632="",0,'Guide &amp; Settings'!$C$44*IF($F632&gt;=3,$F632,0))</f>
        <v>0</v>
      </c>
      <c r="M632" s="124">
        <f t="shared" si="156"/>
        <v>-24.439761757862488</v>
      </c>
      <c r="N632" s="122">
        <f t="shared" si="157"/>
        <v>1041.0468763978297</v>
      </c>
      <c r="O632" s="121" t="str">
        <f t="shared" si="158"/>
        <v>OK</v>
      </c>
      <c r="P632">
        <f t="shared" si="159"/>
        <v>1035.8328165272405</v>
      </c>
      <c r="Q632">
        <f t="shared" si="160"/>
        <v>0.54257195504305022</v>
      </c>
      <c r="R632">
        <f t="shared" si="161"/>
        <v>0.46666666666666667</v>
      </c>
      <c r="S632">
        <f t="shared" si="162"/>
        <v>0.75238095238095237</v>
      </c>
      <c r="T632" s="89">
        <f t="shared" si="163"/>
        <v>13</v>
      </c>
      <c r="U632" s="126">
        <f>IF($D632="",0,IFERROR(LOOKUP(2,1/(($D$3:D631=$D632)*($C$3:C631=$C632)*($A$3:A631&lt;$A632)),$AB$3:AB631),1000))</f>
        <v>999.21518691149345</v>
      </c>
      <c r="V632" s="126">
        <f t="shared" si="164"/>
        <v>1017.6239233682153</v>
      </c>
      <c r="W632">
        <f t="shared" si="165"/>
        <v>995.95227865573031</v>
      </c>
      <c r="X632">
        <f t="shared" si="166"/>
        <v>0.53114761822434198</v>
      </c>
      <c r="Y632">
        <f t="shared" si="167"/>
        <v>956.07174078422008</v>
      </c>
      <c r="Z632">
        <f t="shared" si="168"/>
        <v>0.5617712341302814</v>
      </c>
      <c r="AA632">
        <f>IF($D632="",0,IF($F632&lt;2,0,IF($E632="Win",('Guide &amp; Settings'!$C$42/(($F632-1)*COUNTIFS($A$4:$A$810,$A632,$E$4:$E$810,"Win")))*SUMIFS($Z$4:$Z$810,$A$4:$A$810,$A632,$E$4:$E$810,"Loss"),-('Guide &amp; Settings'!$C$42/($F632-1))*$Z632)))</f>
        <v>-17.976679492169005</v>
      </c>
      <c r="AB632" s="126">
        <f t="shared" si="169"/>
        <v>981.23850741932449</v>
      </c>
      <c r="AC632" s="126"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0</v>
      </c>
    </row>
    <row r="633" spans="1:29" x14ac:dyDescent="0.2">
      <c r="A633" s="117">
        <v>267</v>
      </c>
      <c r="B633" s="118">
        <v>46257</v>
      </c>
      <c r="C633" s="119" t="s">
        <v>44</v>
      </c>
      <c r="D633" s="119" t="s">
        <v>21</v>
      </c>
      <c r="E633" s="117" t="s">
        <v>378</v>
      </c>
      <c r="F633" s="120">
        <f t="shared" si="153"/>
        <v>2</v>
      </c>
      <c r="G633" s="121" t="str">
        <f t="shared" si="154"/>
        <v>Simon</v>
      </c>
      <c r="H633" s="122">
        <f>IF($D633="",0,IFERROR(LOOKUP(2,1/(($D$3:D632=$D633)*($A$3:A632&lt;$A633)),$N$3:N632),'Guide &amp; Settings'!$C$41))</f>
        <v>1000.0962683458113</v>
      </c>
      <c r="I633" s="123">
        <f t="shared" si="155"/>
        <v>0.23437499999999997</v>
      </c>
      <c r="J633" s="124">
        <f>IF($D633="",0,IF($F633&lt;2,0,IF($E633="Win",('Guide &amp; Settings'!$C$42/(($F633-1)*COUNTIFS($A$4:$A$810,$A633,$E$4:$E$810,"Win")))*SUMIFS($X$4:$X$810,$A$4:$A$810,$A633,$E$4:$E$810,"Loss"),-('Guide &amp; Settings'!$C$42/($F633-1))*$X633)))</f>
        <v>18.633741376588635</v>
      </c>
      <c r="K633" s="124">
        <f>IF($D633="",0,'Guide &amp; Settings'!$C$43*(IF($E633="Win",1,0)-$I633))</f>
        <v>9.1875</v>
      </c>
      <c r="L633" s="125">
        <f>IF($D633="",0,'Guide &amp; Settings'!$C$44*IF($F633&gt;=3,$F633,0))</f>
        <v>0</v>
      </c>
      <c r="M633" s="124">
        <f t="shared" si="156"/>
        <v>27.821241376588635</v>
      </c>
      <c r="N633" s="122">
        <f t="shared" si="157"/>
        <v>1027.9175097223999</v>
      </c>
      <c r="O633" s="121" t="str">
        <f t="shared" si="158"/>
        <v>OK</v>
      </c>
      <c r="P633">
        <f t="shared" si="159"/>
        <v>1000.0962683458113</v>
      </c>
      <c r="Q633">
        <f t="shared" si="160"/>
        <v>0.5</v>
      </c>
      <c r="R633">
        <f t="shared" si="161"/>
        <v>0.14285714285714285</v>
      </c>
      <c r="S633">
        <f t="shared" si="162"/>
        <v>0.60952380952380958</v>
      </c>
      <c r="T633" s="89">
        <f t="shared" si="163"/>
        <v>5</v>
      </c>
      <c r="U633" s="126">
        <f>IF($D633="",0,IFERROR(LOOKUP(2,1/(($D$3:D632=$D633)*($C$3:C632=$C633)*($A$3:A632&lt;$A633)),$AB$3:AB632),1000))</f>
        <v>923.69275170430012</v>
      </c>
      <c r="V633" s="126">
        <f t="shared" si="164"/>
        <v>961.89451002505575</v>
      </c>
      <c r="W633">
        <f t="shared" si="165"/>
        <v>961.89451002505575</v>
      </c>
      <c r="X633">
        <f t="shared" si="166"/>
        <v>0.5</v>
      </c>
      <c r="Y633">
        <f t="shared" si="167"/>
        <v>923.69275170430012</v>
      </c>
      <c r="Z633">
        <f t="shared" si="168"/>
        <v>0.5</v>
      </c>
      <c r="AA633">
        <f>IF($D633="",0,IF($F633&lt;2,0,IF($E633="Win",('Guide &amp; Settings'!$C$42/(($F633-1)*COUNTIFS($A$4:$A$810,$A633,$E$4:$E$810,"Win")))*SUMIFS($Z$4:$Z$810,$A$4:$A$810,$A633,$E$4:$E$810,"Loss"),-('Guide &amp; Settings'!$C$42/($F633-1))*$Z633)))</f>
        <v>19.632549755872848</v>
      </c>
      <c r="AB633" s="126">
        <f t="shared" si="169"/>
        <v>943.32530146017302</v>
      </c>
      <c r="AC633" s="126"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0</v>
      </c>
    </row>
    <row r="634" spans="1:29" x14ac:dyDescent="0.2">
      <c r="A634" s="117">
        <v>267</v>
      </c>
      <c r="B634" s="118">
        <v>46257</v>
      </c>
      <c r="C634" s="119" t="s">
        <v>44</v>
      </c>
      <c r="D634" s="119" t="s">
        <v>25</v>
      </c>
      <c r="E634" s="117" t="s">
        <v>379</v>
      </c>
      <c r="F634" s="120">
        <f t="shared" si="153"/>
        <v>2</v>
      </c>
      <c r="G634" s="121" t="str">
        <f t="shared" si="154"/>
        <v>Simon</v>
      </c>
      <c r="H634" s="122">
        <f>IF($D634="",0,IFERROR(LOOKUP(2,1/(($D$3:D633=$D634)*($A$3:A633&lt;$A634)),$N$3:N633),'Guide &amp; Settings'!$C$41))</f>
        <v>1060.272578285103</v>
      </c>
      <c r="I634" s="123">
        <f t="shared" si="155"/>
        <v>0.76562499999999989</v>
      </c>
      <c r="J634" s="124">
        <f>IF($D634="",0,IF($F634&lt;2,0,IF($E634="Win",('Guide &amp; Settings'!$C$42/(($F634-1)*COUNTIFS($A$4:$A$810,$A634,$E$4:$E$810,"Win")))*SUMIFS($X$4:$X$810,$A$4:$A$810,$A634,$E$4:$E$810,"Loss"),-('Guide &amp; Settings'!$C$42/($F634-1))*$X634)))</f>
        <v>-18.633741376588635</v>
      </c>
      <c r="K634" s="124">
        <f>IF($D634="",0,'Guide &amp; Settings'!$C$43*(IF($E634="Win",1,0)-$I634))</f>
        <v>-9.1874999999999982</v>
      </c>
      <c r="L634" s="125">
        <f>IF($D634="",0,'Guide &amp; Settings'!$C$44*IF($F634&gt;=3,$F634,0))</f>
        <v>0</v>
      </c>
      <c r="M634" s="124">
        <f t="shared" si="156"/>
        <v>-27.821241376588631</v>
      </c>
      <c r="N634" s="122">
        <f t="shared" si="157"/>
        <v>1032.4513369085143</v>
      </c>
      <c r="O634" s="121" t="str">
        <f t="shared" si="158"/>
        <v>OK</v>
      </c>
      <c r="P634">
        <f t="shared" si="159"/>
        <v>1000.0962683458113</v>
      </c>
      <c r="Q634">
        <f t="shared" si="160"/>
        <v>0.58574496857644853</v>
      </c>
      <c r="R634">
        <f t="shared" si="161"/>
        <v>0.46666666666666667</v>
      </c>
      <c r="S634">
        <f t="shared" si="162"/>
        <v>0.60952380952380958</v>
      </c>
      <c r="T634" s="89">
        <f t="shared" si="163"/>
        <v>13</v>
      </c>
      <c r="U634" s="126">
        <f>IF($D634="",0,IFERROR(LOOKUP(2,1/(($D$3:D633=$D634)*($C$3:C633=$C634)*($A$3:A633&lt;$A634)),$AB$3:AB633),1000))</f>
        <v>1003.9713656909046</v>
      </c>
      <c r="V634" s="126">
        <f t="shared" si="164"/>
        <v>1019.6105914115152</v>
      </c>
      <c r="W634">
        <f t="shared" si="165"/>
        <v>961.89451002505575</v>
      </c>
      <c r="X634">
        <f t="shared" si="166"/>
        <v>0.58230441801839483</v>
      </c>
      <c r="Y634">
        <f t="shared" si="167"/>
        <v>923.69275170430012</v>
      </c>
      <c r="Z634">
        <f t="shared" si="168"/>
        <v>0.6135171798710265</v>
      </c>
      <c r="AA634">
        <f>IF($D634="",0,IF($F634&lt;2,0,IF($E634="Win",('Guide &amp; Settings'!$C$42/(($F634-1)*COUNTIFS($A$4:$A$810,$A634,$E$4:$E$810,"Win")))*SUMIFS($Z$4:$Z$810,$A$4:$A$810,$A634,$E$4:$E$810,"Loss"),-('Guide &amp; Settings'!$C$42/($F634-1))*$Z634)))</f>
        <v>-19.632549755872848</v>
      </c>
      <c r="AB634" s="126">
        <f t="shared" si="169"/>
        <v>984.33881593503168</v>
      </c>
      <c r="AC634" s="126"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0</v>
      </c>
    </row>
    <row r="635" spans="1:29" x14ac:dyDescent="0.2">
      <c r="A635" s="117">
        <v>268</v>
      </c>
      <c r="B635" s="118">
        <v>46257</v>
      </c>
      <c r="C635" s="119" t="s">
        <v>44</v>
      </c>
      <c r="D635" s="119" t="s">
        <v>21</v>
      </c>
      <c r="E635" s="117" t="s">
        <v>378</v>
      </c>
      <c r="F635" s="120">
        <f t="shared" si="153"/>
        <v>2</v>
      </c>
      <c r="G635" s="121" t="str">
        <f t="shared" si="154"/>
        <v>Simon</v>
      </c>
      <c r="H635" s="122">
        <f>IF($D635="",0,IFERROR(LOOKUP(2,1/(($D$3:D634=$D635)*($A$3:A634&lt;$A635)),$N$3:N634),'Guide &amp; Settings'!$C$41))</f>
        <v>1027.9175097223999</v>
      </c>
      <c r="I635" s="123">
        <f t="shared" si="155"/>
        <v>0.36363636363636365</v>
      </c>
      <c r="J635" s="124">
        <f>IF($D635="",0,IF($F635&lt;2,0,IF($E635="Win",('Guide &amp; Settings'!$C$42/(($F635-1)*COUNTIFS($A$4:$A$810,$A635,$E$4:$E$810,"Win")))*SUMIFS($X$4:$X$810,$A$4:$A$810,$A635,$E$4:$E$810,"Loss"),-('Guide &amp; Settings'!$C$42/($F635-1))*$X635)))</f>
        <v>16.700628978794789</v>
      </c>
      <c r="K635" s="124">
        <f>IF($D635="",0,'Guide &amp; Settings'!$C$43*(IF($E635="Win",1,0)-$I635))</f>
        <v>7.6363636363636367</v>
      </c>
      <c r="L635" s="125">
        <f>IF($D635="",0,'Guide &amp; Settings'!$C$44*IF($F635&gt;=3,$F635,0))</f>
        <v>0</v>
      </c>
      <c r="M635" s="124">
        <f t="shared" si="156"/>
        <v>24.336992615158426</v>
      </c>
      <c r="N635" s="122">
        <f t="shared" si="157"/>
        <v>1052.2545023375583</v>
      </c>
      <c r="O635" s="121" t="str">
        <f t="shared" si="158"/>
        <v>OK</v>
      </c>
      <c r="P635">
        <f t="shared" si="159"/>
        <v>1027.9175097223999</v>
      </c>
      <c r="Q635">
        <f t="shared" si="160"/>
        <v>0.5</v>
      </c>
      <c r="R635">
        <f t="shared" si="161"/>
        <v>0.25</v>
      </c>
      <c r="S635">
        <f t="shared" si="162"/>
        <v>0.6875</v>
      </c>
      <c r="T635" s="89">
        <f t="shared" si="163"/>
        <v>6</v>
      </c>
      <c r="U635" s="126">
        <f>IF($D635="",0,IFERROR(LOOKUP(2,1/(($D$3:D634=$D635)*($C$3:C634=$C635)*($A$3:A634&lt;$A635)),$AB$3:AB634),1000))</f>
        <v>943.32530146017302</v>
      </c>
      <c r="V635" s="126">
        <f t="shared" si="164"/>
        <v>981.77630521573064</v>
      </c>
      <c r="W635">
        <f t="shared" si="165"/>
        <v>981.77630521573064</v>
      </c>
      <c r="X635">
        <f t="shared" si="166"/>
        <v>0.5</v>
      </c>
      <c r="Y635">
        <f t="shared" si="167"/>
        <v>943.32530146017302</v>
      </c>
      <c r="Z635">
        <f t="shared" si="168"/>
        <v>0.5</v>
      </c>
      <c r="AA635">
        <f>IF($D635="",0,IF($F635&lt;2,0,IF($E635="Win",('Guide &amp; Settings'!$C$42/(($F635-1)*COUNTIFS($A$4:$A$810,$A635,$E$4:$E$810,"Win")))*SUMIFS($Z$4:$Z$810,$A$4:$A$810,$A635,$E$4:$E$810,"Loss"),-('Guide &amp; Settings'!$C$42/($F635-1))*$Z635)))</f>
        <v>17.88001759308268</v>
      </c>
      <c r="AB635" s="126">
        <f t="shared" si="169"/>
        <v>961.20531905325572</v>
      </c>
      <c r="AC635" s="126"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0</v>
      </c>
    </row>
    <row r="636" spans="1:29" x14ac:dyDescent="0.2">
      <c r="A636" s="117">
        <v>268</v>
      </c>
      <c r="B636" s="118">
        <v>46257</v>
      </c>
      <c r="C636" s="119" t="s">
        <v>44</v>
      </c>
      <c r="D636" s="119" t="s">
        <v>25</v>
      </c>
      <c r="E636" s="117" t="s">
        <v>379</v>
      </c>
      <c r="F636" s="120">
        <f t="shared" si="153"/>
        <v>2</v>
      </c>
      <c r="G636" s="121" t="str">
        <f t="shared" si="154"/>
        <v>Simon</v>
      </c>
      <c r="H636" s="122">
        <f>IF($D636="",0,IFERROR(LOOKUP(2,1/(($D$3:D635=$D636)*($A$3:A635&lt;$A636)),$N$3:N635),'Guide &amp; Settings'!$C$41))</f>
        <v>1032.4513369085143</v>
      </c>
      <c r="I636" s="123">
        <f t="shared" si="155"/>
        <v>0.63636363636363635</v>
      </c>
      <c r="J636" s="124">
        <f>IF($D636="",0,IF($F636&lt;2,0,IF($E636="Win",('Guide &amp; Settings'!$C$42/(($F636-1)*COUNTIFS($A$4:$A$810,$A636,$E$4:$E$810,"Win")))*SUMIFS($X$4:$X$810,$A$4:$A$810,$A636,$E$4:$E$810,"Loss"),-('Guide &amp; Settings'!$C$42/($F636-1))*$X636)))</f>
        <v>-16.700628978794789</v>
      </c>
      <c r="K636" s="124">
        <f>IF($D636="",0,'Guide &amp; Settings'!$C$43*(IF($E636="Win",1,0)-$I636))</f>
        <v>-7.6363636363636367</v>
      </c>
      <c r="L636" s="125">
        <f>IF($D636="",0,'Guide &amp; Settings'!$C$44*IF($F636&gt;=3,$F636,0))</f>
        <v>0</v>
      </c>
      <c r="M636" s="124">
        <f t="shared" si="156"/>
        <v>-24.336992615158426</v>
      </c>
      <c r="N636" s="122">
        <f t="shared" si="157"/>
        <v>1008.1143442933559</v>
      </c>
      <c r="O636" s="121" t="str">
        <f t="shared" si="158"/>
        <v>OK</v>
      </c>
      <c r="P636">
        <f t="shared" si="159"/>
        <v>1027.9175097223999</v>
      </c>
      <c r="Q636">
        <f t="shared" si="160"/>
        <v>0.50652433147616693</v>
      </c>
      <c r="R636">
        <f t="shared" si="161"/>
        <v>0.4375</v>
      </c>
      <c r="S636">
        <f t="shared" si="162"/>
        <v>0.6875</v>
      </c>
      <c r="T636" s="89">
        <f t="shared" si="163"/>
        <v>14</v>
      </c>
      <c r="U636" s="126">
        <f>IF($D636="",0,IFERROR(LOOKUP(2,1/(($D$3:D635=$D636)*($C$3:C635=$C636)*($A$3:A635&lt;$A636)),$AB$3:AB635),1000))</f>
        <v>984.33881593503168</v>
      </c>
      <c r="V636" s="126">
        <f t="shared" si="164"/>
        <v>997.00000566489553</v>
      </c>
      <c r="W636">
        <f t="shared" si="165"/>
        <v>981.77630521573064</v>
      </c>
      <c r="X636">
        <f t="shared" si="166"/>
        <v>0.52189465558733716</v>
      </c>
      <c r="Y636">
        <f t="shared" si="167"/>
        <v>943.32530146017302</v>
      </c>
      <c r="Z636">
        <f t="shared" si="168"/>
        <v>0.55875054978383376</v>
      </c>
      <c r="AA636">
        <f>IF($D636="",0,IF($F636&lt;2,0,IF($E636="Win",('Guide &amp; Settings'!$C$42/(($F636-1)*COUNTIFS($A$4:$A$810,$A636,$E$4:$E$810,"Win")))*SUMIFS($Z$4:$Z$810,$A$4:$A$810,$A636,$E$4:$E$810,"Loss"),-('Guide &amp; Settings'!$C$42/($F636-1))*$Z636)))</f>
        <v>-17.88001759308268</v>
      </c>
      <c r="AB636" s="126">
        <f t="shared" si="169"/>
        <v>966.45879834194898</v>
      </c>
      <c r="AC636" s="126"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0</v>
      </c>
    </row>
    <row r="637" spans="1:29" x14ac:dyDescent="0.2">
      <c r="A637" s="117">
        <v>269</v>
      </c>
      <c r="B637" s="118">
        <v>46257</v>
      </c>
      <c r="C637" s="119" t="s">
        <v>44</v>
      </c>
      <c r="D637" s="119" t="s">
        <v>21</v>
      </c>
      <c r="E637" s="117" t="s">
        <v>378</v>
      </c>
      <c r="F637" s="120">
        <f t="shared" si="153"/>
        <v>2</v>
      </c>
      <c r="G637" s="121" t="str">
        <f t="shared" si="154"/>
        <v>Simon</v>
      </c>
      <c r="H637" s="122">
        <f>IF($D637="",0,IFERROR(LOOKUP(2,1/(($D$3:D636=$D637)*($A$3:A636&lt;$A637)),$N$3:N636),'Guide &amp; Settings'!$C$41))</f>
        <v>1052.2545023375583</v>
      </c>
      <c r="I637" s="123">
        <f t="shared" si="155"/>
        <v>0.44736842105263153</v>
      </c>
      <c r="J637" s="124">
        <f>IF($D637="",0,IF($F637&lt;2,0,IF($E637="Win",('Guide &amp; Settings'!$C$42/(($F637-1)*COUNTIFS($A$4:$A$810,$A637,$E$4:$E$810,"Win")))*SUMIFS($X$4:$X$810,$A$4:$A$810,$A637,$E$4:$E$810,"Loss"),-('Guide &amp; Settings'!$C$42/($F637-1))*$X637)))</f>
        <v>14.975840294014514</v>
      </c>
      <c r="K637" s="124">
        <f>IF($D637="",0,'Guide &amp; Settings'!$C$43*(IF($E637="Win",1,0)-$I637))</f>
        <v>6.6315789473684212</v>
      </c>
      <c r="L637" s="125">
        <f>IF($D637="",0,'Guide &amp; Settings'!$C$44*IF($F637&gt;=3,$F637,0))</f>
        <v>0</v>
      </c>
      <c r="M637" s="124">
        <f t="shared" si="156"/>
        <v>21.607419241382935</v>
      </c>
      <c r="N637" s="122">
        <f t="shared" si="157"/>
        <v>1073.8619215789413</v>
      </c>
      <c r="O637" s="121" t="str">
        <f t="shared" si="158"/>
        <v>OK</v>
      </c>
      <c r="P637">
        <f t="shared" si="159"/>
        <v>1052.2545023375583</v>
      </c>
      <c r="Q637">
        <f t="shared" si="160"/>
        <v>0.5</v>
      </c>
      <c r="R637">
        <f t="shared" si="161"/>
        <v>0.33333333333333331</v>
      </c>
      <c r="S637">
        <f t="shared" si="162"/>
        <v>0.74509803921568629</v>
      </c>
      <c r="T637" s="89">
        <f t="shared" si="163"/>
        <v>7</v>
      </c>
      <c r="U637" s="126">
        <f>IF($D637="",0,IFERROR(LOOKUP(2,1/(($D$3:D636=$D637)*($C$3:C636=$C637)*($A$3:A636&lt;$A637)),$AB$3:AB636),1000))</f>
        <v>961.20531905325572</v>
      </c>
      <c r="V637" s="126">
        <f t="shared" si="164"/>
        <v>999.1424787550485</v>
      </c>
      <c r="W637">
        <f t="shared" si="165"/>
        <v>999.1424787550485</v>
      </c>
      <c r="X637">
        <f t="shared" si="166"/>
        <v>0.5</v>
      </c>
      <c r="Y637">
        <f t="shared" si="167"/>
        <v>961.20531905325572</v>
      </c>
      <c r="Z637">
        <f t="shared" si="168"/>
        <v>0.5</v>
      </c>
      <c r="AA637">
        <f>IF($D637="",0,IF($F637&lt;2,0,IF($E637="Win",('Guide &amp; Settings'!$C$42/(($F637-1)*COUNTIFS($A$4:$A$810,$A637,$E$4:$E$810,"Win")))*SUMIFS($Z$4:$Z$810,$A$4:$A$810,$A637,$E$4:$E$810,"Loss"),-('Guide &amp; Settings'!$C$42/($F637-1))*$Z637)))</f>
        <v>16.241913225484627</v>
      </c>
      <c r="AB637" s="126">
        <f t="shared" si="169"/>
        <v>977.44723227874033</v>
      </c>
      <c r="AC637" s="126"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0</v>
      </c>
    </row>
    <row r="638" spans="1:29" x14ac:dyDescent="0.2">
      <c r="A638" s="117">
        <v>269</v>
      </c>
      <c r="B638" s="118">
        <v>46257</v>
      </c>
      <c r="C638" s="119" t="s">
        <v>44</v>
      </c>
      <c r="D638" s="119" t="s">
        <v>25</v>
      </c>
      <c r="E638" s="117" t="s">
        <v>379</v>
      </c>
      <c r="F638" s="120">
        <f t="shared" si="153"/>
        <v>2</v>
      </c>
      <c r="G638" s="121" t="str">
        <f t="shared" si="154"/>
        <v>Simon</v>
      </c>
      <c r="H638" s="122">
        <f>IF($D638="",0,IFERROR(LOOKUP(2,1/(($D$3:D637=$D638)*($A$3:A637&lt;$A638)),$N$3:N637),'Guide &amp; Settings'!$C$41))</f>
        <v>1008.1143442933559</v>
      </c>
      <c r="I638" s="123">
        <f t="shared" si="155"/>
        <v>0.55263157894736836</v>
      </c>
      <c r="J638" s="124">
        <f>IF($D638="",0,IF($F638&lt;2,0,IF($E638="Win",('Guide &amp; Settings'!$C$42/(($F638-1)*COUNTIFS($A$4:$A$810,$A638,$E$4:$E$810,"Win")))*SUMIFS($X$4:$X$810,$A$4:$A$810,$A638,$E$4:$E$810,"Loss"),-('Guide &amp; Settings'!$C$42/($F638-1))*$X638)))</f>
        <v>-14.975840294014514</v>
      </c>
      <c r="K638" s="124">
        <f>IF($D638="",0,'Guide &amp; Settings'!$C$43*(IF($E638="Win",1,0)-$I638))</f>
        <v>-6.6315789473684204</v>
      </c>
      <c r="L638" s="125">
        <f>IF($D638="",0,'Guide &amp; Settings'!$C$44*IF($F638&gt;=3,$F638,0))</f>
        <v>0</v>
      </c>
      <c r="M638" s="124">
        <f t="shared" si="156"/>
        <v>-21.607419241382935</v>
      </c>
      <c r="N638" s="122">
        <f t="shared" si="157"/>
        <v>986.50692505197298</v>
      </c>
      <c r="O638" s="121" t="str">
        <f t="shared" si="158"/>
        <v>OK</v>
      </c>
      <c r="P638">
        <f t="shared" si="159"/>
        <v>1052.2545023375583</v>
      </c>
      <c r="Q638">
        <f t="shared" si="160"/>
        <v>0.4368167790491036</v>
      </c>
      <c r="R638">
        <f t="shared" si="161"/>
        <v>0.41176470588235292</v>
      </c>
      <c r="S638">
        <f t="shared" si="162"/>
        <v>0.74509803921568629</v>
      </c>
      <c r="T638" s="89">
        <f t="shared" si="163"/>
        <v>15</v>
      </c>
      <c r="U638" s="126">
        <f>IF($D638="",0,IFERROR(LOOKUP(2,1/(($D$3:D637=$D638)*($C$3:C637=$C638)*($A$3:A637&lt;$A638)),$AB$3:AB637),1000))</f>
        <v>966.45879834194898</v>
      </c>
      <c r="V638" s="126">
        <f t="shared" si="164"/>
        <v>976.87268482980073</v>
      </c>
      <c r="W638">
        <f t="shared" si="165"/>
        <v>999.1424787550485</v>
      </c>
      <c r="X638">
        <f t="shared" si="166"/>
        <v>0.46799500918795356</v>
      </c>
      <c r="Y638">
        <f t="shared" si="167"/>
        <v>961.20531905325572</v>
      </c>
      <c r="Z638">
        <f t="shared" si="168"/>
        <v>0.50755978829639459</v>
      </c>
      <c r="AA638">
        <f>IF($D638="",0,IF($F638&lt;2,0,IF($E638="Win",('Guide &amp; Settings'!$C$42/(($F638-1)*COUNTIFS($A$4:$A$810,$A638,$E$4:$E$810,"Win")))*SUMIFS($Z$4:$Z$810,$A$4:$A$810,$A638,$E$4:$E$810,"Loss"),-('Guide &amp; Settings'!$C$42/($F638-1))*$Z638)))</f>
        <v>-16.241913225484627</v>
      </c>
      <c r="AB638" s="126">
        <f t="shared" si="169"/>
        <v>950.21688511646437</v>
      </c>
      <c r="AC638" s="126"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0</v>
      </c>
    </row>
    <row r="639" spans="1:29" x14ac:dyDescent="0.2">
      <c r="A639" s="117">
        <v>270</v>
      </c>
      <c r="B639" s="118">
        <v>46257</v>
      </c>
      <c r="C639" s="119" t="s">
        <v>44</v>
      </c>
      <c r="D639" s="119" t="s">
        <v>21</v>
      </c>
      <c r="E639" s="117" t="s">
        <v>378</v>
      </c>
      <c r="F639" s="120">
        <f t="shared" si="153"/>
        <v>2</v>
      </c>
      <c r="G639" s="121" t="str">
        <f t="shared" si="154"/>
        <v>Simon</v>
      </c>
      <c r="H639" s="122">
        <f>IF($D639="",0,IFERROR(LOOKUP(2,1/(($D$3:D638=$D639)*($A$3:A638&lt;$A639)),$N$3:N638),'Guide &amp; Settings'!$C$41))</f>
        <v>1073.8619215789413</v>
      </c>
      <c r="I639" s="123">
        <f t="shared" si="155"/>
        <v>0.50704225352112675</v>
      </c>
      <c r="J639" s="124">
        <f>IF($D639="",0,IF($F639&lt;2,0,IF($E639="Win",('Guide &amp; Settings'!$C$42/(($F639-1)*COUNTIFS($A$4:$A$810,$A639,$E$4:$E$810,"Win")))*SUMIFS($X$4:$X$810,$A$4:$A$810,$A639,$E$4:$E$810,"Loss"),-('Guide &amp; Settings'!$C$42/($F639-1))*$X639)))</f>
        <v>13.457909630670876</v>
      </c>
      <c r="K639" s="124">
        <f>IF($D639="",0,'Guide &amp; Settings'!$C$43*(IF($E639="Win",1,0)-$I639))</f>
        <v>5.915492957746479</v>
      </c>
      <c r="L639" s="125">
        <f>IF($D639="",0,'Guide &amp; Settings'!$C$44*IF($F639&gt;=3,$F639,0))</f>
        <v>0</v>
      </c>
      <c r="M639" s="124">
        <f t="shared" si="156"/>
        <v>19.373402588417356</v>
      </c>
      <c r="N639" s="122">
        <f t="shared" si="157"/>
        <v>1093.2353241673586</v>
      </c>
      <c r="O639" s="121" t="str">
        <f t="shared" si="158"/>
        <v>OK</v>
      </c>
      <c r="P639">
        <f t="shared" si="159"/>
        <v>1073.8619215789413</v>
      </c>
      <c r="Q639">
        <f t="shared" si="160"/>
        <v>0.5</v>
      </c>
      <c r="R639">
        <f t="shared" si="161"/>
        <v>0.4</v>
      </c>
      <c r="S639">
        <f t="shared" si="162"/>
        <v>0.78888888888888897</v>
      </c>
      <c r="T639" s="89">
        <f t="shared" si="163"/>
        <v>8</v>
      </c>
      <c r="U639" s="126">
        <f>IF($D639="",0,IFERROR(LOOKUP(2,1/(($D$3:D638=$D639)*($C$3:C638=$C639)*($A$3:A638&lt;$A639)),$AB$3:AB638),1000))</f>
        <v>977.44723227874033</v>
      </c>
      <c r="V639" s="126">
        <f t="shared" si="164"/>
        <v>1014.5298050865099</v>
      </c>
      <c r="W639">
        <f t="shared" si="165"/>
        <v>1014.5298050865099</v>
      </c>
      <c r="X639">
        <f t="shared" si="166"/>
        <v>0.5</v>
      </c>
      <c r="Y639">
        <f t="shared" si="167"/>
        <v>977.44723227874033</v>
      </c>
      <c r="Z639">
        <f t="shared" si="168"/>
        <v>0.5</v>
      </c>
      <c r="AA639">
        <f>IF($D639="",0,IF($F639&lt;2,0,IF($E639="Win",('Guide &amp; Settings'!$C$42/(($F639-1)*COUNTIFS($A$4:$A$810,$A639,$E$4:$E$810,"Win")))*SUMIFS($Z$4:$Z$810,$A$4:$A$810,$A639,$E$4:$E$810,"Loss"),-('Guide &amp; Settings'!$C$42/($F639-1))*$Z639)))</f>
        <v>14.748557524998272</v>
      </c>
      <c r="AB639" s="126">
        <f t="shared" si="169"/>
        <v>992.19578980373865</v>
      </c>
      <c r="AC639" s="126"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0</v>
      </c>
    </row>
    <row r="640" spans="1:29" x14ac:dyDescent="0.2">
      <c r="A640" s="117">
        <v>270</v>
      </c>
      <c r="B640" s="118">
        <v>46257</v>
      </c>
      <c r="C640" s="119" t="s">
        <v>44</v>
      </c>
      <c r="D640" s="119" t="s">
        <v>25</v>
      </c>
      <c r="E640" s="117" t="s">
        <v>379</v>
      </c>
      <c r="F640" s="120">
        <f t="shared" si="153"/>
        <v>2</v>
      </c>
      <c r="G640" s="121" t="str">
        <f t="shared" si="154"/>
        <v>Simon</v>
      </c>
      <c r="H640" s="122">
        <f>IF($D640="",0,IFERROR(LOOKUP(2,1/(($D$3:D639=$D640)*($A$3:A639&lt;$A640)),$N$3:N639),'Guide &amp; Settings'!$C$41))</f>
        <v>986.50692505197298</v>
      </c>
      <c r="I640" s="123">
        <f t="shared" si="155"/>
        <v>0.49295774647887319</v>
      </c>
      <c r="J640" s="124">
        <f>IF($D640="",0,IF($F640&lt;2,0,IF($E640="Win",('Guide &amp; Settings'!$C$42/(($F640-1)*COUNTIFS($A$4:$A$810,$A640,$E$4:$E$810,"Win")))*SUMIFS($X$4:$X$810,$A$4:$A$810,$A640,$E$4:$E$810,"Loss"),-('Guide &amp; Settings'!$C$42/($F640-1))*$X640)))</f>
        <v>-13.457909630670876</v>
      </c>
      <c r="K640" s="124">
        <f>IF($D640="",0,'Guide &amp; Settings'!$C$43*(IF($E640="Win",1,0)-$I640))</f>
        <v>-5.9154929577464781</v>
      </c>
      <c r="L640" s="125">
        <f>IF($D640="",0,'Guide &amp; Settings'!$C$44*IF($F640&gt;=3,$F640,0))</f>
        <v>0</v>
      </c>
      <c r="M640" s="124">
        <f t="shared" si="156"/>
        <v>-19.373402588417356</v>
      </c>
      <c r="N640" s="122">
        <f t="shared" si="157"/>
        <v>967.13352246355566</v>
      </c>
      <c r="O640" s="121" t="str">
        <f t="shared" si="158"/>
        <v>OK</v>
      </c>
      <c r="P640">
        <f t="shared" si="159"/>
        <v>1073.8619215789413</v>
      </c>
      <c r="Q640">
        <f t="shared" si="160"/>
        <v>0.37686978450169606</v>
      </c>
      <c r="R640">
        <f t="shared" si="161"/>
        <v>0.3888888888888889</v>
      </c>
      <c r="S640">
        <f t="shared" si="162"/>
        <v>0.78888888888888897</v>
      </c>
      <c r="T640" s="89">
        <f t="shared" si="163"/>
        <v>16</v>
      </c>
      <c r="U640" s="126">
        <f>IF($D640="",0,IFERROR(LOOKUP(2,1/(($D$3:D639=$D640)*($C$3:C639=$C640)*($A$3:A639&lt;$A640)),$AB$3:AB639),1000))</f>
        <v>950.21688511646437</v>
      </c>
      <c r="V640" s="126">
        <f t="shared" si="164"/>
        <v>958.85737081539503</v>
      </c>
      <c r="W640">
        <f t="shared" si="165"/>
        <v>1014.5298050865099</v>
      </c>
      <c r="X640">
        <f t="shared" si="166"/>
        <v>0.42055967595846488</v>
      </c>
      <c r="Y640">
        <f t="shared" si="167"/>
        <v>977.44723227874033</v>
      </c>
      <c r="Z640">
        <f t="shared" si="168"/>
        <v>0.46089242265619601</v>
      </c>
      <c r="AA640">
        <f>IF($D640="",0,IF($F640&lt;2,0,IF($E640="Win",('Guide &amp; Settings'!$C$42/(($F640-1)*COUNTIFS($A$4:$A$810,$A640,$E$4:$E$810,"Win")))*SUMIFS($Z$4:$Z$810,$A$4:$A$810,$A640,$E$4:$E$810,"Loss"),-('Guide &amp; Settings'!$C$42/($F640-1))*$Z640)))</f>
        <v>-14.748557524998272</v>
      </c>
      <c r="AB640" s="126">
        <f t="shared" si="169"/>
        <v>935.46832759146605</v>
      </c>
      <c r="AC640" s="126"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0</v>
      </c>
    </row>
    <row r="641" spans="1:29" x14ac:dyDescent="0.2">
      <c r="A641" s="117">
        <v>271</v>
      </c>
      <c r="B641" s="118">
        <v>46257</v>
      </c>
      <c r="C641" s="119" t="s">
        <v>44</v>
      </c>
      <c r="D641" s="119" t="s">
        <v>21</v>
      </c>
      <c r="E641" s="117" t="s">
        <v>378</v>
      </c>
      <c r="F641" s="120">
        <f t="shared" si="153"/>
        <v>2</v>
      </c>
      <c r="G641" s="121" t="str">
        <f t="shared" si="154"/>
        <v>Simon</v>
      </c>
      <c r="H641" s="122">
        <f>IF($D641="",0,IFERROR(LOOKUP(2,1/(($D$3:D640=$D641)*($A$3:A640&lt;$A641)),$N$3:N640),'Guide &amp; Settings'!$C$41))</f>
        <v>1093.2353241673586</v>
      </c>
      <c r="I641" s="123">
        <f t="shared" si="155"/>
        <v>0.55232558139534882</v>
      </c>
      <c r="J641" s="124">
        <f>IF($D641="",0,IF($F641&lt;2,0,IF($E641="Win",('Guide &amp; Settings'!$C$42/(($F641-1)*COUNTIFS($A$4:$A$810,$A641,$E$4:$E$810,"Win")))*SUMIFS($X$4:$X$810,$A$4:$A$810,$A641,$E$4:$E$810,"Loss"),-('Guide &amp; Settings'!$C$42/($F641-1))*$X641)))</f>
        <v>12.135136185916005</v>
      </c>
      <c r="K641" s="124">
        <f>IF($D641="",0,'Guide &amp; Settings'!$C$43*(IF($E641="Win",1,0)-$I641))</f>
        <v>5.3720930232558146</v>
      </c>
      <c r="L641" s="125">
        <f>IF($D641="",0,'Guide &amp; Settings'!$C$44*IF($F641&gt;=3,$F641,0))</f>
        <v>0</v>
      </c>
      <c r="M641" s="124">
        <f t="shared" si="156"/>
        <v>17.507229209171818</v>
      </c>
      <c r="N641" s="122">
        <f t="shared" si="157"/>
        <v>1110.7425533765304</v>
      </c>
      <c r="O641" s="121" t="str">
        <f t="shared" si="158"/>
        <v>OK</v>
      </c>
      <c r="P641">
        <f t="shared" si="159"/>
        <v>1093.2353241673586</v>
      </c>
      <c r="Q641">
        <f t="shared" si="160"/>
        <v>0.5</v>
      </c>
      <c r="R641">
        <f t="shared" si="161"/>
        <v>0.45454545454545453</v>
      </c>
      <c r="S641">
        <f t="shared" si="162"/>
        <v>0.82296650717703346</v>
      </c>
      <c r="T641" s="89">
        <f t="shared" si="163"/>
        <v>9</v>
      </c>
      <c r="U641" s="126">
        <f>IF($D641="",0,IFERROR(LOOKUP(2,1/(($D$3:D640=$D641)*($C$3:C640=$C641)*($A$3:A640&lt;$A641)),$AB$3:AB640),1000))</f>
        <v>992.19578980373865</v>
      </c>
      <c r="V641" s="126">
        <f t="shared" si="164"/>
        <v>1028.2813377907457</v>
      </c>
      <c r="W641">
        <f t="shared" si="165"/>
        <v>1028.2813377907457</v>
      </c>
      <c r="X641">
        <f t="shared" si="166"/>
        <v>0.5</v>
      </c>
      <c r="Y641">
        <f t="shared" si="167"/>
        <v>992.19578980373865</v>
      </c>
      <c r="Z641">
        <f t="shared" si="168"/>
        <v>0.5</v>
      </c>
      <c r="AA641">
        <f>IF($D641="",0,IF($F641&lt;2,0,IF($E641="Win",('Guide &amp; Settings'!$C$42/(($F641-1)*COUNTIFS($A$4:$A$810,$A641,$E$4:$E$810,"Win")))*SUMIFS($Z$4:$Z$810,$A$4:$A$810,$A641,$E$4:$E$810,"Loss"),-('Guide &amp; Settings'!$C$42/($F641-1))*$Z641)))</f>
        <v>13.410573236943664</v>
      </c>
      <c r="AB641" s="126">
        <f t="shared" si="169"/>
        <v>1005.6063630406824</v>
      </c>
      <c r="AC641" s="126"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0</v>
      </c>
    </row>
    <row r="642" spans="1:29" x14ac:dyDescent="0.2">
      <c r="A642" s="117">
        <v>271</v>
      </c>
      <c r="B642" s="118">
        <v>46257</v>
      </c>
      <c r="C642" s="119" t="s">
        <v>44</v>
      </c>
      <c r="D642" s="119" t="s">
        <v>25</v>
      </c>
      <c r="E642" s="117" t="s">
        <v>379</v>
      </c>
      <c r="F642" s="120">
        <f t="shared" si="153"/>
        <v>2</v>
      </c>
      <c r="G642" s="121" t="str">
        <f t="shared" si="154"/>
        <v>Simon</v>
      </c>
      <c r="H642" s="122">
        <f>IF($D642="",0,IFERROR(LOOKUP(2,1/(($D$3:D641=$D642)*($A$3:A641&lt;$A642)),$N$3:N641),'Guide &amp; Settings'!$C$41))</f>
        <v>967.13352246355566</v>
      </c>
      <c r="I642" s="123">
        <f t="shared" si="155"/>
        <v>0.44767441860465118</v>
      </c>
      <c r="J642" s="124">
        <f>IF($D642="",0,IF($F642&lt;2,0,IF($E642="Win",('Guide &amp; Settings'!$C$42/(($F642-1)*COUNTIFS($A$4:$A$810,$A642,$E$4:$E$810,"Win")))*SUMIFS($X$4:$X$810,$A$4:$A$810,$A642,$E$4:$E$810,"Loss"),-('Guide &amp; Settings'!$C$42/($F642-1))*$X642)))</f>
        <v>-12.135136185916005</v>
      </c>
      <c r="K642" s="124">
        <f>IF($D642="",0,'Guide &amp; Settings'!$C$43*(IF($E642="Win",1,0)-$I642))</f>
        <v>-5.3720930232558146</v>
      </c>
      <c r="L642" s="125">
        <f>IF($D642="",0,'Guide &amp; Settings'!$C$44*IF($F642&gt;=3,$F642,0))</f>
        <v>0</v>
      </c>
      <c r="M642" s="124">
        <f t="shared" si="156"/>
        <v>-17.507229209171818</v>
      </c>
      <c r="N642" s="122">
        <f t="shared" si="157"/>
        <v>949.62629325438388</v>
      </c>
      <c r="O642" s="121" t="str">
        <f t="shared" si="158"/>
        <v>OK</v>
      </c>
      <c r="P642">
        <f t="shared" si="159"/>
        <v>1093.2353241673586</v>
      </c>
      <c r="Q642">
        <f t="shared" si="160"/>
        <v>0.32609501746150382</v>
      </c>
      <c r="R642">
        <f t="shared" si="161"/>
        <v>0.36842105263157893</v>
      </c>
      <c r="S642">
        <f t="shared" si="162"/>
        <v>0.82296650717703346</v>
      </c>
      <c r="T642" s="89">
        <f t="shared" si="163"/>
        <v>17</v>
      </c>
      <c r="U642" s="126">
        <f>IF($D642="",0,IFERROR(LOOKUP(2,1/(($D$3:D641=$D642)*($C$3:C641=$C642)*($A$3:A641&lt;$A642)),$AB$3:AB641),1000))</f>
        <v>935.46832759146605</v>
      </c>
      <c r="V642" s="126">
        <f t="shared" si="164"/>
        <v>942.66496278966827</v>
      </c>
      <c r="W642">
        <f t="shared" si="165"/>
        <v>1028.2813377907457</v>
      </c>
      <c r="X642">
        <f t="shared" si="166"/>
        <v>0.37922300580987517</v>
      </c>
      <c r="Y642">
        <f t="shared" si="167"/>
        <v>992.19578980373865</v>
      </c>
      <c r="Z642">
        <f t="shared" si="168"/>
        <v>0.4190804136544895</v>
      </c>
      <c r="AA642">
        <f>IF($D642="",0,IF($F642&lt;2,0,IF($E642="Win",('Guide &amp; Settings'!$C$42/(($F642-1)*COUNTIFS($A$4:$A$810,$A642,$E$4:$E$810,"Win")))*SUMIFS($Z$4:$Z$810,$A$4:$A$810,$A642,$E$4:$E$810,"Loss"),-('Guide &amp; Settings'!$C$42/($F642-1))*$Z642)))</f>
        <v>-13.410573236943664</v>
      </c>
      <c r="AB642" s="126">
        <f t="shared" si="169"/>
        <v>922.05775435452233</v>
      </c>
      <c r="AC642" s="126"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0</v>
      </c>
    </row>
    <row r="643" spans="1:29" x14ac:dyDescent="0.2">
      <c r="A643" s="117">
        <v>272</v>
      </c>
      <c r="B643" s="118">
        <v>46257</v>
      </c>
      <c r="C643" s="119" t="s">
        <v>51</v>
      </c>
      <c r="D643" s="119" t="s">
        <v>20</v>
      </c>
      <c r="E643" s="117" t="s">
        <v>378</v>
      </c>
      <c r="F643" s="120">
        <f t="shared" si="153"/>
        <v>2</v>
      </c>
      <c r="G643" s="121" t="str">
        <f t="shared" si="154"/>
        <v>Shawn</v>
      </c>
      <c r="H643" s="122">
        <f>IF($D643="",0,IFERROR(LOOKUP(2,1/(($D$3:D642=$D643)*($A$3:A642&lt;$A643)),$N$3:N642),'Guide &amp; Settings'!$C$41))</f>
        <v>1256.7969133550798</v>
      </c>
      <c r="I643" s="123">
        <f t="shared" si="155"/>
        <v>0.8</v>
      </c>
      <c r="J643" s="124">
        <f>IF($D643="",0,IF($F643&lt;2,0,IF($E643="Win",('Guide &amp; Settings'!$C$42/(($F643-1)*COUNTIFS($A$4:$A$810,$A643,$E$4:$E$810,"Win")))*SUMIFS($X$4:$X$810,$A$4:$A$810,$A643,$E$4:$E$810,"Loss"),-('Guide &amp; Settings'!$C$42/($F643-1))*$X643)))</f>
        <v>10.003001321684229</v>
      </c>
      <c r="K643" s="124">
        <f>IF($D643="",0,'Guide &amp; Settings'!$C$43*(IF($E643="Win",1,0)-$I643))</f>
        <v>2.3999999999999995</v>
      </c>
      <c r="L643" s="125">
        <f>IF($D643="",0,'Guide &amp; Settings'!$C$44*IF($F643&gt;=3,$F643,0))</f>
        <v>0</v>
      </c>
      <c r="M643" s="124">
        <f t="shared" si="156"/>
        <v>12.403001321684229</v>
      </c>
      <c r="N643" s="122">
        <f t="shared" si="157"/>
        <v>1269.1999146767641</v>
      </c>
      <c r="O643" s="121" t="str">
        <f t="shared" si="158"/>
        <v>OK</v>
      </c>
      <c r="P643">
        <f t="shared" si="159"/>
        <v>1256.7969133550798</v>
      </c>
      <c r="Q643">
        <f t="shared" si="160"/>
        <v>0.5</v>
      </c>
      <c r="R643">
        <f t="shared" si="161"/>
        <v>0.5714285714285714</v>
      </c>
      <c r="S643">
        <f t="shared" si="162"/>
        <v>0.71428571428571419</v>
      </c>
      <c r="T643" s="89">
        <f t="shared" si="163"/>
        <v>5</v>
      </c>
      <c r="U643" s="126">
        <f>IF($D643="",0,IFERROR(LOOKUP(2,1/(($D$3:D642=$D643)*($C$3:C642=$C643)*($A$3:A642&lt;$A643)),$AB$3:AB642),1000))</f>
        <v>1030.6102031124524</v>
      </c>
      <c r="V643" s="126">
        <f t="shared" si="164"/>
        <v>1143.7035582337662</v>
      </c>
      <c r="W643">
        <f t="shared" si="165"/>
        <v>1143.7035582337662</v>
      </c>
      <c r="X643">
        <f t="shared" si="166"/>
        <v>0.5</v>
      </c>
      <c r="Y643">
        <f t="shared" si="167"/>
        <v>1030.6102031124524</v>
      </c>
      <c r="Z643">
        <f t="shared" si="168"/>
        <v>0.5</v>
      </c>
      <c r="AA643">
        <f>IF($D643="",0,IF($F643&lt;2,0,IF($E643="Win",('Guide &amp; Settings'!$C$42/(($F643-1)*COUNTIFS($A$4:$A$810,$A643,$E$4:$E$810,"Win")))*SUMIFS($Z$4:$Z$810,$A$4:$A$810,$A643,$E$4:$E$810,"Loss"),-('Guide &amp; Settings'!$C$42/($F643-1))*$Z643)))</f>
        <v>13.351907269428308</v>
      </c>
      <c r="AB643" s="126">
        <f t="shared" si="169"/>
        <v>1043.9621103818806</v>
      </c>
      <c r="AC643" s="126"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0</v>
      </c>
    </row>
    <row r="644" spans="1:29" x14ac:dyDescent="0.2">
      <c r="A644" s="117">
        <v>272</v>
      </c>
      <c r="B644" s="118">
        <v>46257</v>
      </c>
      <c r="C644" s="119" t="s">
        <v>51</v>
      </c>
      <c r="D644" s="119" t="s">
        <v>22</v>
      </c>
      <c r="E644" s="117" t="s">
        <v>379</v>
      </c>
      <c r="F644" s="120">
        <f t="shared" ref="F644:F707" si="170">IF($D644="",0,COUNTIF($A$4:$A$810,$A644))</f>
        <v>2</v>
      </c>
      <c r="G644" s="121" t="str">
        <f t="shared" ref="G644:G707" si="171">IF($D644="","",IFERROR(LOOKUP(2,1/(($A$4:$A$810=$A644)*($E$4:$E$810="Win")),$D$4:$D$810),"(no winner)"))</f>
        <v>Shawn</v>
      </c>
      <c r="H644" s="122">
        <f>IF($D644="",0,IFERROR(LOOKUP(2,1/(($D$3:D643=$D644)*($A$3:A643&lt;$A644)),$N$3:N643),'Guide &amp; Settings'!$C$41))</f>
        <v>1041.0468763978297</v>
      </c>
      <c r="I644" s="123">
        <f t="shared" ref="I644:I707" si="172">IF($D644="",0,IF($S644=0,0,$R644/$S644))</f>
        <v>0.2</v>
      </c>
      <c r="J644" s="124">
        <f>IF($D644="",0,IF($F644&lt;2,0,IF($E644="Win",('Guide &amp; Settings'!$C$42/(($F644-1)*COUNTIFS($A$4:$A$810,$A644,$E$4:$E$810,"Win")))*SUMIFS($X$4:$X$810,$A$4:$A$810,$A644,$E$4:$E$810,"Loss"),-('Guide &amp; Settings'!$C$42/($F644-1))*$X644)))</f>
        <v>-10.003001321684229</v>
      </c>
      <c r="K644" s="124">
        <f>IF($D644="",0,'Guide &amp; Settings'!$C$43*(IF($E644="Win",1,0)-$I644))</f>
        <v>-2.4000000000000004</v>
      </c>
      <c r="L644" s="125">
        <f>IF($D644="",0,'Guide &amp; Settings'!$C$44*IF($F644&gt;=3,$F644,0))</f>
        <v>0</v>
      </c>
      <c r="M644" s="124">
        <f t="shared" ref="M644:M707" si="173">IF($D644="",0,$J644+$K644+$L644)</f>
        <v>-12.403001321684229</v>
      </c>
      <c r="N644" s="122">
        <f t="shared" ref="N644:N707" si="174">IF($D644="",0,$H644+$M644)</f>
        <v>1028.6438750761454</v>
      </c>
      <c r="O644" s="121" t="str">
        <f t="shared" ref="O644:O707" si="175">IF($D644="","",IF(COUNTIFS($A$4:$A$810,$A644,$E$4:$E$810,"Win")=0,"need a winner",IF(COUNTIFS($A$4:$A$810,$A644,$E$4:$E$810,"Loss")=0,"need a loser",IF(COUNTIFS($A$4:$A$810,$A644,$D$4:$D$810,$D644)&gt;1,"duplicate player","OK"))))</f>
        <v>OK</v>
      </c>
      <c r="P644">
        <f t="shared" ref="P644:P707" si="176">IF($D644="",0,IFERROR(SUMIFS($H$4:$H$810,$A$4:$A$810,$A644,$E$4:$E$810,"Win")/COUNTIFS($A$4:$A$810,$A644,$E$4:$E$810,"Win"),0))</f>
        <v>1256.7969133550798</v>
      </c>
      <c r="Q644">
        <f t="shared" ref="Q644:Q707" si="177">IF($D644="",0,1/(1+10^(($P644-$H644)/400)))</f>
        <v>0.22409551704667516</v>
      </c>
      <c r="R644">
        <f t="shared" ref="R644:R707" si="178">IF($D644="",0,(COUNTIFS($D$4:$D$810,$D644,$C$4:$C$810,$C644,$E$4:$E$810,"Win",$A$4:$A$810,"&lt;"&amp;$A644)+1)/(COUNTIFS($D$4:$D$810,$D644,$C$4:$C$810,$C644,$A$4:$A$810,"&lt;"&amp;$A644)+2))</f>
        <v>0.14285714285714285</v>
      </c>
      <c r="S644">
        <f t="shared" ref="S644:S707" si="179">IF($D644="",0,SUMIFS($R$4:$R$810,$A$4:$A$810,$A644))</f>
        <v>0.71428571428571419</v>
      </c>
      <c r="T644" s="89">
        <f t="shared" ref="T644:T707" si="180">IF($D644="",0,COUNTIFS($D$4:$D$810,$D644,$C$4:$C$810,$C644,$A$4:$A$810,"&lt;"&amp;$A644))</f>
        <v>5</v>
      </c>
      <c r="U644" s="126">
        <f>IF($D644="",0,IFERROR(LOOKUP(2,1/(($D$3:D643=$D644)*($C$3:C643=$C644)*($A$3:A643&lt;$A644)),$AB$3:AB643),1000))</f>
        <v>972.57375804836579</v>
      </c>
      <c r="V644" s="126">
        <f t="shared" ref="V644:V707" si="181">IF($D644="",0,$U644*($T644/($T644+5))+$H644*(1-$T644/($T644+5)))</f>
        <v>1006.8103172230977</v>
      </c>
      <c r="W644">
        <f t="shared" ref="W644:W707" si="182">IF($D644="",0,IFERROR(SUMIFS($V$4:$V$810,$A$4:$A$810,$A644,$E$4:$E$810,"Win")/COUNTIFS($A$4:$A$810,$A644,$E$4:$E$810,"Win"),0))</f>
        <v>1143.7035582337662</v>
      </c>
      <c r="X644">
        <f t="shared" ref="X644:X707" si="183">IF($D644="",0,1/(1+10^(($W644-$V644)/400)))</f>
        <v>0.31259379130263215</v>
      </c>
      <c r="Y644">
        <f t="shared" ref="Y644:Y707" si="184">IF($D644="",0,IFERROR(SUMIFS($U$4:$U$810,$A$4:$A$810,$A644,$E$4:$E$810,"Win")/COUNTIFS($A$4:$A$810,$A644,$E$4:$E$810,"Win"),0))</f>
        <v>1030.6102031124524</v>
      </c>
      <c r="Z644">
        <f t="shared" ref="Z644:Z707" si="185">IF($D644="",0,1/(1+10^(($Y644-$U644)/400)))</f>
        <v>0.41724710216963462</v>
      </c>
      <c r="AA644">
        <f>IF($D644="",0,IF($F644&lt;2,0,IF($E644="Win",('Guide &amp; Settings'!$C$42/(($F644-1)*COUNTIFS($A$4:$A$810,$A644,$E$4:$E$810,"Win")))*SUMIFS($Z$4:$Z$810,$A$4:$A$810,$A644,$E$4:$E$810,"Loss"),-('Guide &amp; Settings'!$C$42/($F644-1))*$Z644)))</f>
        <v>-13.351907269428308</v>
      </c>
      <c r="AB644" s="126">
        <f t="shared" ref="AB644:AB707" si="186">IF($D644="",0,$U644+$AA644)</f>
        <v>959.22185077893744</v>
      </c>
      <c r="AC644" s="126"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0</v>
      </c>
    </row>
    <row r="645" spans="1:29" x14ac:dyDescent="0.2">
      <c r="A645" s="117">
        <v>273</v>
      </c>
      <c r="B645" s="118">
        <v>46257</v>
      </c>
      <c r="C645" s="119" t="s">
        <v>51</v>
      </c>
      <c r="D645" s="119" t="s">
        <v>20</v>
      </c>
      <c r="E645" s="117" t="s">
        <v>378</v>
      </c>
      <c r="F645" s="120">
        <f t="shared" si="170"/>
        <v>2</v>
      </c>
      <c r="G645" s="121" t="str">
        <f t="shared" si="171"/>
        <v>Shawn</v>
      </c>
      <c r="H645" s="122">
        <f>IF($D645="",0,IFERROR(LOOKUP(2,1/(($D$3:D644=$D645)*($A$3:A644&lt;$A645)),$N$3:N644),'Guide &amp; Settings'!$C$41))</f>
        <v>1269.1999146767641</v>
      </c>
      <c r="I645" s="123">
        <f t="shared" si="172"/>
        <v>0.83333333333333337</v>
      </c>
      <c r="J645" s="124">
        <f>IF($D645="",0,IF($F645&lt;2,0,IF($E645="Win",('Guide &amp; Settings'!$C$42/(($F645-1)*COUNTIFS($A$4:$A$810,$A645,$E$4:$E$810,"Win")))*SUMIFS($X$4:$X$810,$A$4:$A$810,$A645,$E$4:$E$810,"Loss"),-('Guide &amp; Settings'!$C$42/($F645-1))*$X645)))</f>
        <v>9.2791855582240288</v>
      </c>
      <c r="K645" s="124">
        <f>IF($D645="",0,'Guide &amp; Settings'!$C$43*(IF($E645="Win",1,0)-$I645))</f>
        <v>1.9999999999999996</v>
      </c>
      <c r="L645" s="125">
        <f>IF($D645="",0,'Guide &amp; Settings'!$C$44*IF($F645&gt;=3,$F645,0))</f>
        <v>0</v>
      </c>
      <c r="M645" s="124">
        <f t="shared" si="173"/>
        <v>11.279185558224029</v>
      </c>
      <c r="N645" s="122">
        <f t="shared" si="174"/>
        <v>1280.4791002349882</v>
      </c>
      <c r="O645" s="121" t="str">
        <f t="shared" si="175"/>
        <v>OK</v>
      </c>
      <c r="P645">
        <f t="shared" si="176"/>
        <v>1269.1999146767641</v>
      </c>
      <c r="Q645">
        <f t="shared" si="177"/>
        <v>0.5</v>
      </c>
      <c r="R645">
        <f t="shared" si="178"/>
        <v>0.625</v>
      </c>
      <c r="S645">
        <f t="shared" si="179"/>
        <v>0.75</v>
      </c>
      <c r="T645" s="89">
        <f t="shared" si="180"/>
        <v>6</v>
      </c>
      <c r="U645" s="126">
        <f>IF($D645="",0,IFERROR(LOOKUP(2,1/(($D$3:D644=$D645)*($C$3:C644=$C645)*($A$3:A644&lt;$A645)),$AB$3:AB644),1000))</f>
        <v>1043.9621103818806</v>
      </c>
      <c r="V645" s="126">
        <f t="shared" si="181"/>
        <v>1146.3429305159186</v>
      </c>
      <c r="W645">
        <f t="shared" si="182"/>
        <v>1146.3429305159186</v>
      </c>
      <c r="X645">
        <f t="shared" si="183"/>
        <v>0.5</v>
      </c>
      <c r="Y645">
        <f t="shared" si="184"/>
        <v>1043.9621103818806</v>
      </c>
      <c r="Z645">
        <f t="shared" si="185"/>
        <v>0.5</v>
      </c>
      <c r="AA645">
        <f>IF($D645="",0,IF($F645&lt;2,0,IF($E645="Win",('Guide &amp; Settings'!$C$42/(($F645-1)*COUNTIFS($A$4:$A$810,$A645,$E$4:$E$810,"Win")))*SUMIFS($Z$4:$Z$810,$A$4:$A$810,$A645,$E$4:$E$810,"Loss"),-('Guide &amp; Settings'!$C$42/($F645-1))*$Z645)))</f>
        <v>12.173151709375745</v>
      </c>
      <c r="AB645" s="126">
        <f t="shared" si="186"/>
        <v>1056.1352620912564</v>
      </c>
      <c r="AC645" s="126"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0</v>
      </c>
    </row>
    <row r="646" spans="1:29" x14ac:dyDescent="0.2">
      <c r="A646" s="117">
        <v>273</v>
      </c>
      <c r="B646" s="118">
        <v>46257</v>
      </c>
      <c r="C646" s="119" t="s">
        <v>51</v>
      </c>
      <c r="D646" s="119" t="s">
        <v>22</v>
      </c>
      <c r="E646" s="117" t="s">
        <v>379</v>
      </c>
      <c r="F646" s="120">
        <f t="shared" si="170"/>
        <v>2</v>
      </c>
      <c r="G646" s="121" t="str">
        <f t="shared" si="171"/>
        <v>Shawn</v>
      </c>
      <c r="H646" s="122">
        <f>IF($D646="",0,IFERROR(LOOKUP(2,1/(($D$3:D645=$D646)*($A$3:A645&lt;$A646)),$N$3:N645),'Guide &amp; Settings'!$C$41))</f>
        <v>1028.6438750761454</v>
      </c>
      <c r="I646" s="123">
        <f t="shared" si="172"/>
        <v>0.16666666666666666</v>
      </c>
      <c r="J646" s="124">
        <f>IF($D646="",0,IF($F646&lt;2,0,IF($E646="Win",('Guide &amp; Settings'!$C$42/(($F646-1)*COUNTIFS($A$4:$A$810,$A646,$E$4:$E$810,"Win")))*SUMIFS($X$4:$X$810,$A$4:$A$810,$A646,$E$4:$E$810,"Loss"),-('Guide &amp; Settings'!$C$42/($F646-1))*$X646)))</f>
        <v>-9.2791855582240288</v>
      </c>
      <c r="K646" s="124">
        <f>IF($D646="",0,'Guide &amp; Settings'!$C$43*(IF($E646="Win",1,0)-$I646))</f>
        <v>-2</v>
      </c>
      <c r="L646" s="125">
        <f>IF($D646="",0,'Guide &amp; Settings'!$C$44*IF($F646&gt;=3,$F646,0))</f>
        <v>0</v>
      </c>
      <c r="M646" s="124">
        <f t="shared" si="173"/>
        <v>-11.279185558224029</v>
      </c>
      <c r="N646" s="122">
        <f t="shared" si="174"/>
        <v>1017.3646895179213</v>
      </c>
      <c r="O646" s="121" t="str">
        <f t="shared" si="175"/>
        <v>OK</v>
      </c>
      <c r="P646">
        <f t="shared" si="176"/>
        <v>1269.1999146767641</v>
      </c>
      <c r="Q646">
        <f t="shared" si="177"/>
        <v>0.20024691166179148</v>
      </c>
      <c r="R646">
        <f t="shared" si="178"/>
        <v>0.125</v>
      </c>
      <c r="S646">
        <f t="shared" si="179"/>
        <v>0.75</v>
      </c>
      <c r="T646" s="89">
        <f t="shared" si="180"/>
        <v>6</v>
      </c>
      <c r="U646" s="126">
        <f>IF($D646="",0,IFERROR(LOOKUP(2,1/(($D$3:D645=$D646)*($C$3:C645=$C646)*($A$3:A645&lt;$A646)),$AB$3:AB645),1000))</f>
        <v>959.22185077893744</v>
      </c>
      <c r="V646" s="126">
        <f t="shared" si="181"/>
        <v>990.77731636857743</v>
      </c>
      <c r="W646">
        <f t="shared" si="182"/>
        <v>1146.3429305159186</v>
      </c>
      <c r="X646">
        <f t="shared" si="183"/>
        <v>0.2899745486945009</v>
      </c>
      <c r="Y646">
        <f t="shared" si="184"/>
        <v>1043.9621103818806</v>
      </c>
      <c r="Z646">
        <f t="shared" si="185"/>
        <v>0.38041099091799202</v>
      </c>
      <c r="AA646">
        <f>IF($D646="",0,IF($F646&lt;2,0,IF($E646="Win",('Guide &amp; Settings'!$C$42/(($F646-1)*COUNTIFS($A$4:$A$810,$A646,$E$4:$E$810,"Win")))*SUMIFS($Z$4:$Z$810,$A$4:$A$810,$A646,$E$4:$E$810,"Loss"),-('Guide &amp; Settings'!$C$42/($F646-1))*$Z646)))</f>
        <v>-12.173151709375745</v>
      </c>
      <c r="AB646" s="126">
        <f t="shared" si="186"/>
        <v>947.04869906956174</v>
      </c>
      <c r="AC646" s="126"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0</v>
      </c>
    </row>
    <row r="647" spans="1:29" x14ac:dyDescent="0.2">
      <c r="A647" s="117">
        <v>274</v>
      </c>
      <c r="B647" s="118">
        <v>46260</v>
      </c>
      <c r="C647" s="119" t="s">
        <v>35</v>
      </c>
      <c r="D647" s="119" t="s">
        <v>25</v>
      </c>
      <c r="E647" s="117" t="s">
        <v>378</v>
      </c>
      <c r="F647" s="120">
        <f t="shared" si="170"/>
        <v>2</v>
      </c>
      <c r="G647" s="121" t="str">
        <f t="shared" si="171"/>
        <v>Oscar</v>
      </c>
      <c r="H647" s="122">
        <f>IF($D647="",0,IFERROR(LOOKUP(2,1/(($D$3:D646=$D647)*($A$3:A646&lt;$A647)),$N$3:N646),'Guide &amp; Settings'!$C$41))</f>
        <v>949.62629325438388</v>
      </c>
      <c r="I647" s="123">
        <f t="shared" si="172"/>
        <v>0.42857142857142855</v>
      </c>
      <c r="J647" s="124">
        <f>IF($D647="",0,IF($F647&lt;2,0,IF($E647="Win",('Guide &amp; Settings'!$C$42/(($F647-1)*COUNTIFS($A$4:$A$810,$A647,$E$4:$E$810,"Win")))*SUMIFS($X$4:$X$810,$A$4:$A$810,$A647,$E$4:$E$810,"Loss"),-('Guide &amp; Settings'!$C$42/($F647-1))*$X647)))</f>
        <v>22.423363435502267</v>
      </c>
      <c r="K647" s="124">
        <f>IF($D647="",0,'Guide &amp; Settings'!$C$43*(IF($E647="Win",1,0)-$I647))</f>
        <v>6.8571428571428568</v>
      </c>
      <c r="L647" s="125">
        <f>IF($D647="",0,'Guide &amp; Settings'!$C$44*IF($F647&gt;=3,$F647,0))</f>
        <v>0</v>
      </c>
      <c r="M647" s="124">
        <f t="shared" si="173"/>
        <v>29.280506292645125</v>
      </c>
      <c r="N647" s="122">
        <f t="shared" si="174"/>
        <v>978.90679954702898</v>
      </c>
      <c r="O647" s="121" t="str">
        <f t="shared" si="175"/>
        <v>OK</v>
      </c>
      <c r="P647">
        <f t="shared" si="176"/>
        <v>949.62629325438388</v>
      </c>
      <c r="Q647">
        <f t="shared" si="177"/>
        <v>0.5</v>
      </c>
      <c r="R647">
        <f t="shared" si="178"/>
        <v>0.375</v>
      </c>
      <c r="S647">
        <f t="shared" si="179"/>
        <v>0.875</v>
      </c>
      <c r="T647" s="89">
        <f t="shared" si="180"/>
        <v>6</v>
      </c>
      <c r="U647" s="126">
        <f>IF($D647="",0,IFERROR(LOOKUP(2,1/(($D$3:D646=$D647)*($C$3:C646=$C647)*($A$3:A646&lt;$A647)),$AB$3:AB646),1000))</f>
        <v>974.04842027638904</v>
      </c>
      <c r="V647" s="126">
        <f t="shared" si="181"/>
        <v>962.9474534482049</v>
      </c>
      <c r="W647">
        <f t="shared" si="182"/>
        <v>962.9474534482049</v>
      </c>
      <c r="X647">
        <f t="shared" si="183"/>
        <v>0.5</v>
      </c>
      <c r="Y647">
        <f t="shared" si="184"/>
        <v>974.04842027638904</v>
      </c>
      <c r="Z647">
        <f t="shared" si="185"/>
        <v>0.5</v>
      </c>
      <c r="AA647">
        <f>IF($D647="",0,IF($F647&lt;2,0,IF($E647="Win",('Guide &amp; Settings'!$C$42/(($F647-1)*COUNTIFS($A$4:$A$810,$A647,$E$4:$E$810,"Win")))*SUMIFS($Z$4:$Z$810,$A$4:$A$810,$A647,$E$4:$E$810,"Loss"),-('Guide &amp; Settings'!$C$42/($F647-1))*$Z647)))</f>
        <v>17.192896731025865</v>
      </c>
      <c r="AB647" s="126">
        <f t="shared" si="186"/>
        <v>991.24131700741486</v>
      </c>
      <c r="AC647" s="126"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0</v>
      </c>
    </row>
    <row r="648" spans="1:29" x14ac:dyDescent="0.2">
      <c r="A648" s="117">
        <v>274</v>
      </c>
      <c r="B648" s="118">
        <v>46260</v>
      </c>
      <c r="C648" s="119" t="s">
        <v>35</v>
      </c>
      <c r="D648" s="119" t="s">
        <v>21</v>
      </c>
      <c r="E648" s="117" t="s">
        <v>379</v>
      </c>
      <c r="F648" s="120">
        <f t="shared" si="170"/>
        <v>2</v>
      </c>
      <c r="G648" s="121" t="str">
        <f t="shared" si="171"/>
        <v>Oscar</v>
      </c>
      <c r="H648" s="122">
        <f>IF($D648="",0,IFERROR(LOOKUP(2,1/(($D$3:D647=$D648)*($A$3:A647&lt;$A648)),$N$3:N647),'Guide &amp; Settings'!$C$41))</f>
        <v>1110.7425533765304</v>
      </c>
      <c r="I648" s="123">
        <f t="shared" si="172"/>
        <v>0.5714285714285714</v>
      </c>
      <c r="J648" s="124">
        <f>IF($D648="",0,IF($F648&lt;2,0,IF($E648="Win",('Guide &amp; Settings'!$C$42/(($F648-1)*COUNTIFS($A$4:$A$810,$A648,$E$4:$E$810,"Win")))*SUMIFS($X$4:$X$810,$A$4:$A$810,$A648,$E$4:$E$810,"Loss"),-('Guide &amp; Settings'!$C$42/($F648-1))*$X648)))</f>
        <v>-22.423363435502267</v>
      </c>
      <c r="K648" s="124">
        <f>IF($D648="",0,'Guide &amp; Settings'!$C$43*(IF($E648="Win",1,0)-$I648))</f>
        <v>-6.8571428571428568</v>
      </c>
      <c r="L648" s="125">
        <f>IF($D648="",0,'Guide &amp; Settings'!$C$44*IF($F648&gt;=3,$F648,0))</f>
        <v>0</v>
      </c>
      <c r="M648" s="124">
        <f t="shared" si="173"/>
        <v>-29.280506292645125</v>
      </c>
      <c r="N648" s="122">
        <f t="shared" si="174"/>
        <v>1081.4620470838852</v>
      </c>
      <c r="O648" s="121" t="str">
        <f t="shared" si="175"/>
        <v>OK</v>
      </c>
      <c r="P648">
        <f t="shared" si="176"/>
        <v>949.62629325438388</v>
      </c>
      <c r="Q648">
        <f t="shared" si="177"/>
        <v>0.71655963916536158</v>
      </c>
      <c r="R648">
        <f t="shared" si="178"/>
        <v>0.5</v>
      </c>
      <c r="S648">
        <f t="shared" si="179"/>
        <v>0.875</v>
      </c>
      <c r="T648" s="89">
        <f t="shared" si="180"/>
        <v>0</v>
      </c>
      <c r="U648" s="126">
        <f>IF($D648="",0,IFERROR(LOOKUP(2,1/(($D$3:D647=$D648)*($C$3:C647=$C648)*($A$3:A647&lt;$A648)),$AB$3:AB647),1000))</f>
        <v>1000</v>
      </c>
      <c r="V648" s="126">
        <f t="shared" si="181"/>
        <v>1110.7425533765304</v>
      </c>
      <c r="W648">
        <f t="shared" si="182"/>
        <v>962.9474534482049</v>
      </c>
      <c r="X648">
        <f t="shared" si="183"/>
        <v>0.70073010735944585</v>
      </c>
      <c r="Y648">
        <f t="shared" si="184"/>
        <v>974.04842027638904</v>
      </c>
      <c r="Z648">
        <f t="shared" si="185"/>
        <v>0.53727802284455828</v>
      </c>
      <c r="AA648">
        <f>IF($D648="",0,IF($F648&lt;2,0,IF($E648="Win",('Guide &amp; Settings'!$C$42/(($F648-1)*COUNTIFS($A$4:$A$810,$A648,$E$4:$E$810,"Win")))*SUMIFS($Z$4:$Z$810,$A$4:$A$810,$A648,$E$4:$E$810,"Loss"),-('Guide &amp; Settings'!$C$42/($F648-1))*$Z648)))</f>
        <v>-17.192896731025865</v>
      </c>
      <c r="AB648" s="126">
        <f t="shared" si="186"/>
        <v>982.80710326897417</v>
      </c>
      <c r="AC648" s="126"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0</v>
      </c>
    </row>
    <row r="649" spans="1:29" x14ac:dyDescent="0.2">
      <c r="A649" s="117">
        <v>275</v>
      </c>
      <c r="B649" s="118">
        <v>46260</v>
      </c>
      <c r="C649" s="119" t="s">
        <v>54</v>
      </c>
      <c r="D649" s="119" t="s">
        <v>25</v>
      </c>
      <c r="E649" s="117" t="s">
        <v>379</v>
      </c>
      <c r="F649" s="120">
        <f t="shared" si="170"/>
        <v>3</v>
      </c>
      <c r="G649" s="121" t="str">
        <f t="shared" si="171"/>
        <v>Simon</v>
      </c>
      <c r="H649" s="122">
        <f>IF($D649="",0,IFERROR(LOOKUP(2,1/(($D$3:D648=$D649)*($A$3:A648&lt;$A649)),$N$3:N648),'Guide &amp; Settings'!$C$41))</f>
        <v>978.90679954702898</v>
      </c>
      <c r="I649" s="123">
        <f t="shared" si="172"/>
        <v>0.375</v>
      </c>
      <c r="J649" s="124">
        <f>IF($D649="",0,IF($F649&lt;2,0,IF($E649="Win",('Guide &amp; Settings'!$C$42/(($F649-1)*COUNTIFS($A$4:$A$810,$A649,$E$4:$E$810,"Win")))*SUMIFS($X$4:$X$810,$A$4:$A$810,$A649,$E$4:$E$810,"Loss"),-('Guide &amp; Settings'!$C$42/($F649-1))*$X649)))</f>
        <v>-5.7048527892109382</v>
      </c>
      <c r="K649" s="124">
        <f>IF($D649="",0,'Guide &amp; Settings'!$C$43*(IF($E649="Win",1,0)-$I649))</f>
        <v>-4.5</v>
      </c>
      <c r="L649" s="125">
        <f>IF($D649="",0,'Guide &amp; Settings'!$C$44*IF($F649&gt;=3,$F649,0))</f>
        <v>3</v>
      </c>
      <c r="M649" s="124">
        <f t="shared" si="173"/>
        <v>-7.2048527892109391</v>
      </c>
      <c r="N649" s="122">
        <f t="shared" si="174"/>
        <v>971.70194675781806</v>
      </c>
      <c r="O649" s="121" t="str">
        <f t="shared" si="175"/>
        <v>OK</v>
      </c>
      <c r="P649">
        <f t="shared" si="176"/>
        <v>1081.4620470838852</v>
      </c>
      <c r="Q649">
        <f t="shared" si="177"/>
        <v>0.35655329932568364</v>
      </c>
      <c r="R649">
        <f t="shared" si="178"/>
        <v>0.5</v>
      </c>
      <c r="S649">
        <f t="shared" si="179"/>
        <v>1.3333333333333333</v>
      </c>
      <c r="T649" s="89">
        <f t="shared" si="180"/>
        <v>0</v>
      </c>
      <c r="U649" s="126">
        <f>IF($D649="",0,IFERROR(LOOKUP(2,1/(($D$3:D648=$D649)*($C$3:C648=$C649)*($A$3:A648&lt;$A649)),$AB$3:AB648),1000))</f>
        <v>1000</v>
      </c>
      <c r="V649" s="126">
        <f t="shared" si="181"/>
        <v>978.90679954702898</v>
      </c>
      <c r="W649">
        <f t="shared" si="182"/>
        <v>1081.4620470838852</v>
      </c>
      <c r="X649">
        <f t="shared" si="183"/>
        <v>0.35655329932568364</v>
      </c>
      <c r="Y649">
        <f t="shared" si="184"/>
        <v>1000</v>
      </c>
      <c r="Z649">
        <f t="shared" si="185"/>
        <v>0.5</v>
      </c>
      <c r="AA649">
        <f>IF($D649="",0,IF($F649&lt;2,0,IF($E649="Win",('Guide &amp; Settings'!$C$42/(($F649-1)*COUNTIFS($A$4:$A$810,$A649,$E$4:$E$810,"Win")))*SUMIFS($Z$4:$Z$810,$A$4:$A$810,$A649,$E$4:$E$810,"Loss"),-('Guide &amp; Settings'!$C$42/($F649-1))*$Z649)))</f>
        <v>-8</v>
      </c>
      <c r="AB649" s="126">
        <f t="shared" si="186"/>
        <v>992</v>
      </c>
      <c r="AC649" s="126"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0</v>
      </c>
    </row>
    <row r="650" spans="1:29" x14ac:dyDescent="0.2">
      <c r="A650" s="117">
        <v>275</v>
      </c>
      <c r="B650" s="118">
        <v>46260</v>
      </c>
      <c r="C650" s="119" t="s">
        <v>54</v>
      </c>
      <c r="D650" s="119" t="s">
        <v>21</v>
      </c>
      <c r="E650" s="117" t="s">
        <v>378</v>
      </c>
      <c r="F650" s="120">
        <f t="shared" si="170"/>
        <v>3</v>
      </c>
      <c r="G650" s="121" t="str">
        <f t="shared" si="171"/>
        <v>Simon</v>
      </c>
      <c r="H650" s="122">
        <f>IF($D650="",0,IFERROR(LOOKUP(2,1/(($D$3:D649=$D650)*($A$3:A649&lt;$A650)),$N$3:N649),'Guide &amp; Settings'!$C$41))</f>
        <v>1081.4620470838852</v>
      </c>
      <c r="I650" s="123">
        <f t="shared" si="172"/>
        <v>0.375</v>
      </c>
      <c r="J650" s="124">
        <f>IF($D650="",0,IF($F650&lt;2,0,IF($E650="Win",('Guide &amp; Settings'!$C$42/(($F650-1)*COUNTIFS($A$4:$A$810,$A650,$E$4:$E$810,"Win")))*SUMIFS($X$4:$X$810,$A$4:$A$810,$A650,$E$4:$E$810,"Loss"),-('Guide &amp; Settings'!$C$42/($F650-1))*$X650)))</f>
        <v>16.977002311417614</v>
      </c>
      <c r="K650" s="124">
        <f>IF($D650="",0,'Guide &amp; Settings'!$C$43*(IF($E650="Win",1,0)-$I650))</f>
        <v>7.5</v>
      </c>
      <c r="L650" s="125">
        <f>IF($D650="",0,'Guide &amp; Settings'!$C$44*IF($F650&gt;=3,$F650,0))</f>
        <v>3</v>
      </c>
      <c r="M650" s="124">
        <f t="shared" si="173"/>
        <v>27.477002311417614</v>
      </c>
      <c r="N650" s="122">
        <f t="shared" si="174"/>
        <v>1108.9390493953028</v>
      </c>
      <c r="O650" s="121" t="str">
        <f t="shared" si="175"/>
        <v>OK</v>
      </c>
      <c r="P650">
        <f t="shared" si="176"/>
        <v>1081.4620470838852</v>
      </c>
      <c r="Q650">
        <f t="shared" si="177"/>
        <v>0.5</v>
      </c>
      <c r="R650">
        <f t="shared" si="178"/>
        <v>0.5</v>
      </c>
      <c r="S650">
        <f t="shared" si="179"/>
        <v>1.3333333333333333</v>
      </c>
      <c r="T650" s="89">
        <f t="shared" si="180"/>
        <v>0</v>
      </c>
      <c r="U650" s="126">
        <f>IF($D650="",0,IFERROR(LOOKUP(2,1/(($D$3:D649=$D650)*($C$3:C649=$C650)*($A$3:A649&lt;$A650)),$AB$3:AB649),1000))</f>
        <v>1000</v>
      </c>
      <c r="V650" s="126">
        <f t="shared" si="181"/>
        <v>1081.4620470838852</v>
      </c>
      <c r="W650">
        <f t="shared" si="182"/>
        <v>1081.4620470838852</v>
      </c>
      <c r="X650">
        <f t="shared" si="183"/>
        <v>0.5</v>
      </c>
      <c r="Y650">
        <f t="shared" si="184"/>
        <v>1000</v>
      </c>
      <c r="Z650">
        <f t="shared" si="185"/>
        <v>0.5</v>
      </c>
      <c r="AA650">
        <f>IF($D650="",0,IF($F650&lt;2,0,IF($E650="Win",('Guide &amp; Settings'!$C$42/(($F650-1)*COUNTIFS($A$4:$A$810,$A650,$E$4:$E$810,"Win")))*SUMIFS($Z$4:$Z$810,$A$4:$A$810,$A650,$E$4:$E$810,"Loss"),-('Guide &amp; Settings'!$C$42/($F650-1))*$Z650)))</f>
        <v>15.815825740515333</v>
      </c>
      <c r="AB650" s="126">
        <f t="shared" si="186"/>
        <v>1015.8158257405154</v>
      </c>
      <c r="AC650" s="126"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0</v>
      </c>
    </row>
    <row r="651" spans="1:29" x14ac:dyDescent="0.2">
      <c r="A651" s="117">
        <v>275</v>
      </c>
      <c r="B651" s="118">
        <v>46260</v>
      </c>
      <c r="C651" s="119" t="s">
        <v>54</v>
      </c>
      <c r="D651" s="119" t="s">
        <v>20</v>
      </c>
      <c r="E651" s="117" t="s">
        <v>379</v>
      </c>
      <c r="F651" s="120">
        <f t="shared" si="170"/>
        <v>3</v>
      </c>
      <c r="G651" s="121" t="str">
        <f t="shared" si="171"/>
        <v>Simon</v>
      </c>
      <c r="H651" s="122">
        <f>IF($D651="",0,IFERROR(LOOKUP(2,1/(($D$3:D650=$D651)*($A$3:A650&lt;$A651)),$N$3:N650),'Guide &amp; Settings'!$C$41))</f>
        <v>1280.4791002349882</v>
      </c>
      <c r="I651" s="123">
        <f t="shared" si="172"/>
        <v>0.25</v>
      </c>
      <c r="J651" s="124">
        <f>IF($D651="",0,IF($F651&lt;2,0,IF($E651="Win",('Guide &amp; Settings'!$C$42/(($F651-1)*COUNTIFS($A$4:$A$810,$A651,$E$4:$E$810,"Win")))*SUMIFS($X$4:$X$810,$A$4:$A$810,$A651,$E$4:$E$810,"Loss"),-('Guide &amp; Settings'!$C$42/($F651-1))*$X651)))</f>
        <v>-11.272149522206675</v>
      </c>
      <c r="K651" s="124">
        <f>IF($D651="",0,'Guide &amp; Settings'!$C$43*(IF($E651="Win",1,0)-$I651))</f>
        <v>-3</v>
      </c>
      <c r="L651" s="125">
        <f>IF($D651="",0,'Guide &amp; Settings'!$C$44*IF($F651&gt;=3,$F651,0))</f>
        <v>3</v>
      </c>
      <c r="M651" s="124">
        <f t="shared" si="173"/>
        <v>-11.272149522206675</v>
      </c>
      <c r="N651" s="122">
        <f t="shared" si="174"/>
        <v>1269.2069507127815</v>
      </c>
      <c r="O651" s="121" t="str">
        <f t="shared" si="175"/>
        <v>OK</v>
      </c>
      <c r="P651">
        <f t="shared" si="176"/>
        <v>1081.4620470838852</v>
      </c>
      <c r="Q651">
        <f t="shared" si="177"/>
        <v>0.7587125916050742</v>
      </c>
      <c r="R651">
        <f t="shared" si="178"/>
        <v>0.33333333333333331</v>
      </c>
      <c r="S651">
        <f t="shared" si="179"/>
        <v>1.3333333333333333</v>
      </c>
      <c r="T651" s="89">
        <f t="shared" si="180"/>
        <v>1</v>
      </c>
      <c r="U651" s="126">
        <f>IF($D651="",0,IFERROR(LOOKUP(2,1/(($D$3:D650=$D651)*($C$3:C650=$C651)*($A$3:A650&lt;$A651)),$AB$3:AB650),1000))</f>
        <v>992</v>
      </c>
      <c r="V651" s="126">
        <f t="shared" si="181"/>
        <v>1232.3992501958235</v>
      </c>
      <c r="W651">
        <f t="shared" si="182"/>
        <v>1081.4620470838852</v>
      </c>
      <c r="X651">
        <f t="shared" si="183"/>
        <v>0.70450934513791719</v>
      </c>
      <c r="Y651">
        <f t="shared" si="184"/>
        <v>1000</v>
      </c>
      <c r="Z651">
        <f t="shared" si="185"/>
        <v>0.4884891087822083</v>
      </c>
      <c r="AA651">
        <f>IF($D651="",0,IF($F651&lt;2,0,IF($E651="Win",('Guide &amp; Settings'!$C$42/(($F651-1)*COUNTIFS($A$4:$A$810,$A651,$E$4:$E$810,"Win")))*SUMIFS($Z$4:$Z$810,$A$4:$A$810,$A651,$E$4:$E$810,"Loss"),-('Guide &amp; Settings'!$C$42/($F651-1))*$Z651)))</f>
        <v>-7.8158257405153329</v>
      </c>
      <c r="AB651" s="126">
        <f t="shared" si="186"/>
        <v>984.18417425948462</v>
      </c>
      <c r="AC651" s="126"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0</v>
      </c>
    </row>
    <row r="652" spans="1:29" x14ac:dyDescent="0.2">
      <c r="A652" s="117">
        <v>276</v>
      </c>
      <c r="B652" s="118">
        <v>46260</v>
      </c>
      <c r="C652" s="119" t="s">
        <v>54</v>
      </c>
      <c r="D652" s="119" t="s">
        <v>25</v>
      </c>
      <c r="E652" s="117" t="s">
        <v>379</v>
      </c>
      <c r="F652" s="120">
        <f t="shared" si="170"/>
        <v>3</v>
      </c>
      <c r="G652" s="121" t="str">
        <f t="shared" si="171"/>
        <v>Shawn</v>
      </c>
      <c r="H652" s="122">
        <f>IF($D652="",0,IFERROR(LOOKUP(2,1/(($D$3:D651=$D652)*($A$3:A651&lt;$A652)),$N$3:N651),'Guide &amp; Settings'!$C$41))</f>
        <v>971.70194675781806</v>
      </c>
      <c r="I652" s="123">
        <f t="shared" si="172"/>
        <v>0.26666666666666666</v>
      </c>
      <c r="J652" s="124">
        <f>IF($D652="",0,IF($F652&lt;2,0,IF($E652="Win",('Guide &amp; Settings'!$C$42/(($F652-1)*COUNTIFS($A$4:$A$810,$A652,$E$4:$E$810,"Win")))*SUMIFS($X$4:$X$810,$A$4:$A$810,$A652,$E$4:$E$810,"Loss"),-('Guide &amp; Settings'!$C$42/($F652-1))*$X652)))</f>
        <v>-3.6348215750757729</v>
      </c>
      <c r="K652" s="124">
        <f>IF($D652="",0,'Guide &amp; Settings'!$C$43*(IF($E652="Win",1,0)-$I652))</f>
        <v>-3.2</v>
      </c>
      <c r="L652" s="125">
        <f>IF($D652="",0,'Guide &amp; Settings'!$C$44*IF($F652&gt;=3,$F652,0))</f>
        <v>3</v>
      </c>
      <c r="M652" s="124">
        <f t="shared" si="173"/>
        <v>-3.8348215750757735</v>
      </c>
      <c r="N652" s="122">
        <f t="shared" si="174"/>
        <v>967.86712518274226</v>
      </c>
      <c r="O652" s="121" t="str">
        <f t="shared" si="175"/>
        <v>OK</v>
      </c>
      <c r="P652">
        <f t="shared" si="176"/>
        <v>1269.2069507127815</v>
      </c>
      <c r="Q652">
        <f t="shared" si="177"/>
        <v>0.15282983458033306</v>
      </c>
      <c r="R652">
        <f t="shared" si="178"/>
        <v>0.33333333333333331</v>
      </c>
      <c r="S652">
        <f t="shared" si="179"/>
        <v>1.25</v>
      </c>
      <c r="T652" s="89">
        <f t="shared" si="180"/>
        <v>1</v>
      </c>
      <c r="U652" s="126">
        <f>IF($D652="",0,IFERROR(LOOKUP(2,1/(($D$3:D651=$D652)*($C$3:C651=$C652)*($A$3:A651&lt;$A652)),$AB$3:AB651),1000))</f>
        <v>992</v>
      </c>
      <c r="V652" s="126">
        <f t="shared" si="181"/>
        <v>975.08495563151496</v>
      </c>
      <c r="W652">
        <f t="shared" si="182"/>
        <v>1187.7718717261253</v>
      </c>
      <c r="X652">
        <f t="shared" si="183"/>
        <v>0.2271763484422358</v>
      </c>
      <c r="Y652">
        <f t="shared" si="184"/>
        <v>984.18417425948462</v>
      </c>
      <c r="Z652">
        <f t="shared" si="185"/>
        <v>0.51124598042057479</v>
      </c>
      <c r="AA652">
        <f>IF($D652="",0,IF($F652&lt;2,0,IF($E652="Win",('Guide &amp; Settings'!$C$42/(($F652-1)*COUNTIFS($A$4:$A$810,$A652,$E$4:$E$810,"Win")))*SUMIFS($Z$4:$Z$810,$A$4:$A$810,$A652,$E$4:$E$810,"Loss"),-('Guide &amp; Settings'!$C$42/($F652-1))*$Z652)))</f>
        <v>-8.1799356867291966</v>
      </c>
      <c r="AB652" s="126">
        <f t="shared" si="186"/>
        <v>983.82006431327079</v>
      </c>
      <c r="AC652" s="126"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0</v>
      </c>
    </row>
    <row r="653" spans="1:29" x14ac:dyDescent="0.2">
      <c r="A653" s="117">
        <v>276</v>
      </c>
      <c r="B653" s="118">
        <v>46260</v>
      </c>
      <c r="C653" s="119" t="s">
        <v>54</v>
      </c>
      <c r="D653" s="119" t="s">
        <v>21</v>
      </c>
      <c r="E653" s="117" t="s">
        <v>379</v>
      </c>
      <c r="F653" s="120">
        <f t="shared" si="170"/>
        <v>3</v>
      </c>
      <c r="G653" s="121" t="str">
        <f t="shared" si="171"/>
        <v>Shawn</v>
      </c>
      <c r="H653" s="122">
        <f>IF($D653="",0,IFERROR(LOOKUP(2,1/(($D$3:D652=$D653)*($A$3:A652&lt;$A653)),$N$3:N652),'Guide &amp; Settings'!$C$41))</f>
        <v>1108.9390493953028</v>
      </c>
      <c r="I653" s="123">
        <f t="shared" si="172"/>
        <v>0.53333333333333333</v>
      </c>
      <c r="J653" s="124">
        <f>IF($D653="",0,IF($F653&lt;2,0,IF($E653="Win",('Guide &amp; Settings'!$C$42/(($F653-1)*COUNTIFS($A$4:$A$810,$A653,$E$4:$E$810,"Win")))*SUMIFS($X$4:$X$810,$A$4:$A$810,$A653,$E$4:$E$810,"Loss"),-('Guide &amp; Settings'!$C$42/($F653-1))*$X653)))</f>
        <v>-5.8793131127595686</v>
      </c>
      <c r="K653" s="124">
        <f>IF($D653="",0,'Guide &amp; Settings'!$C$43*(IF($E653="Win",1,0)-$I653))</f>
        <v>-6.4</v>
      </c>
      <c r="L653" s="125">
        <f>IF($D653="",0,'Guide &amp; Settings'!$C$44*IF($F653&gt;=3,$F653,0))</f>
        <v>3</v>
      </c>
      <c r="M653" s="124">
        <f t="shared" si="173"/>
        <v>-9.2793131127595689</v>
      </c>
      <c r="N653" s="122">
        <f t="shared" si="174"/>
        <v>1099.6597362825432</v>
      </c>
      <c r="O653" s="121" t="str">
        <f t="shared" si="175"/>
        <v>OK</v>
      </c>
      <c r="P653">
        <f t="shared" si="176"/>
        <v>1269.2069507127815</v>
      </c>
      <c r="Q653">
        <f t="shared" si="177"/>
        <v>0.28443326648761436</v>
      </c>
      <c r="R653">
        <f t="shared" si="178"/>
        <v>0.66666666666666663</v>
      </c>
      <c r="S653">
        <f t="shared" si="179"/>
        <v>1.25</v>
      </c>
      <c r="T653" s="89">
        <f t="shared" si="180"/>
        <v>1</v>
      </c>
      <c r="U653" s="126">
        <f>IF($D653="",0,IFERROR(LOOKUP(2,1/(($D$3:D652=$D653)*($C$3:C652=$C653)*($A$3:A652&lt;$A653)),$AB$3:AB652),1000))</f>
        <v>1015.8158257405154</v>
      </c>
      <c r="V653" s="126">
        <f t="shared" si="181"/>
        <v>1093.4185121195051</v>
      </c>
      <c r="W653">
        <f t="shared" si="182"/>
        <v>1187.7718717261253</v>
      </c>
      <c r="X653">
        <f t="shared" si="183"/>
        <v>0.36745706954747304</v>
      </c>
      <c r="Y653">
        <f t="shared" si="184"/>
        <v>984.18417425948462</v>
      </c>
      <c r="Z653">
        <f t="shared" si="185"/>
        <v>0.54539624717641111</v>
      </c>
      <c r="AA653">
        <f>IF($D653="",0,IF($F653&lt;2,0,IF($E653="Win",('Guide &amp; Settings'!$C$42/(($F653-1)*COUNTIFS($A$4:$A$810,$A653,$E$4:$E$810,"Win")))*SUMIFS($Z$4:$Z$810,$A$4:$A$810,$A653,$E$4:$E$810,"Loss"),-('Guide &amp; Settings'!$C$42/($F653-1))*$Z653)))</f>
        <v>-8.7263399548225777</v>
      </c>
      <c r="AB653" s="126">
        <f t="shared" si="186"/>
        <v>1007.0894857856928</v>
      </c>
      <c r="AC653" s="126"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0</v>
      </c>
    </row>
    <row r="654" spans="1:29" x14ac:dyDescent="0.2">
      <c r="A654" s="117">
        <v>276</v>
      </c>
      <c r="B654" s="118">
        <v>46260</v>
      </c>
      <c r="C654" s="119" t="s">
        <v>54</v>
      </c>
      <c r="D654" s="119" t="s">
        <v>20</v>
      </c>
      <c r="E654" s="117" t="s">
        <v>378</v>
      </c>
      <c r="F654" s="120">
        <f t="shared" si="170"/>
        <v>3</v>
      </c>
      <c r="G654" s="121" t="str">
        <f t="shared" si="171"/>
        <v>Shawn</v>
      </c>
      <c r="H654" s="122">
        <f>IF($D654="",0,IFERROR(LOOKUP(2,1/(($D$3:D653=$D654)*($A$3:A653&lt;$A654)),$N$3:N653),'Guide &amp; Settings'!$C$41))</f>
        <v>1269.2069507127815</v>
      </c>
      <c r="I654" s="123">
        <f t="shared" si="172"/>
        <v>0.2</v>
      </c>
      <c r="J654" s="124">
        <f>IF($D654="",0,IF($F654&lt;2,0,IF($E654="Win",('Guide &amp; Settings'!$C$42/(($F654-1)*COUNTIFS($A$4:$A$810,$A654,$E$4:$E$810,"Win")))*SUMIFS($X$4:$X$810,$A$4:$A$810,$A654,$E$4:$E$810,"Loss"),-('Guide &amp; Settings'!$C$42/($F654-1))*$X654)))</f>
        <v>9.514134687835341</v>
      </c>
      <c r="K654" s="124">
        <f>IF($D654="",0,'Guide &amp; Settings'!$C$43*(IF($E654="Win",1,0)-$I654))</f>
        <v>9.6000000000000014</v>
      </c>
      <c r="L654" s="125">
        <f>IF($D654="",0,'Guide &amp; Settings'!$C$44*IF($F654&gt;=3,$F654,0))</f>
        <v>3</v>
      </c>
      <c r="M654" s="124">
        <f t="shared" si="173"/>
        <v>22.114134687835342</v>
      </c>
      <c r="N654" s="122">
        <f t="shared" si="174"/>
        <v>1291.3210854006168</v>
      </c>
      <c r="O654" s="121" t="str">
        <f t="shared" si="175"/>
        <v>OK</v>
      </c>
      <c r="P654">
        <f t="shared" si="176"/>
        <v>1269.2069507127815</v>
      </c>
      <c r="Q654">
        <f t="shared" si="177"/>
        <v>0.5</v>
      </c>
      <c r="R654">
        <f t="shared" si="178"/>
        <v>0.25</v>
      </c>
      <c r="S654">
        <f t="shared" si="179"/>
        <v>1.25</v>
      </c>
      <c r="T654" s="89">
        <f t="shared" si="180"/>
        <v>2</v>
      </c>
      <c r="U654" s="126">
        <f>IF($D654="",0,IFERROR(LOOKUP(2,1/(($D$3:D653=$D654)*($C$3:C653=$C654)*($A$3:A653&lt;$A654)),$AB$3:AB653),1000))</f>
        <v>984.18417425948462</v>
      </c>
      <c r="V654" s="126">
        <f t="shared" si="181"/>
        <v>1187.7718717261253</v>
      </c>
      <c r="W654">
        <f t="shared" si="182"/>
        <v>1187.7718717261253</v>
      </c>
      <c r="X654">
        <f t="shared" si="183"/>
        <v>0.5</v>
      </c>
      <c r="Y654">
        <f t="shared" si="184"/>
        <v>984.18417425948462</v>
      </c>
      <c r="Z654">
        <f t="shared" si="185"/>
        <v>0.5</v>
      </c>
      <c r="AA654">
        <f>IF($D654="",0,IF($F654&lt;2,0,IF($E654="Win",('Guide &amp; Settings'!$C$42/(($F654-1)*COUNTIFS($A$4:$A$810,$A654,$E$4:$E$810,"Win")))*SUMIFS($Z$4:$Z$810,$A$4:$A$810,$A654,$E$4:$E$810,"Loss"),-('Guide &amp; Settings'!$C$42/($F654-1))*$Z654)))</f>
        <v>16.906275641551773</v>
      </c>
      <c r="AB654" s="126">
        <f t="shared" si="186"/>
        <v>1001.0904499010364</v>
      </c>
      <c r="AC654" s="126"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0</v>
      </c>
    </row>
    <row r="655" spans="1:29" x14ac:dyDescent="0.2">
      <c r="A655" s="117">
        <v>277</v>
      </c>
      <c r="B655" s="118">
        <v>46264</v>
      </c>
      <c r="C655" s="119" t="s">
        <v>33</v>
      </c>
      <c r="D655" s="119" t="s">
        <v>20</v>
      </c>
      <c r="E655" s="117" t="s">
        <v>378</v>
      </c>
      <c r="F655" s="120">
        <f t="shared" si="170"/>
        <v>2</v>
      </c>
      <c r="G655" s="121" t="str">
        <f t="shared" si="171"/>
        <v>Shawn</v>
      </c>
      <c r="H655" s="122">
        <f>IF($D655="",0,IFERROR(LOOKUP(2,1/(($D$3:D654=$D655)*($A$3:A654&lt;$A655)),$N$3:N654),'Guide &amp; Settings'!$C$41))</f>
        <v>1291.3210854006168</v>
      </c>
      <c r="I655" s="123">
        <f t="shared" si="172"/>
        <v>0.83333333333333337</v>
      </c>
      <c r="J655" s="124">
        <f>IF($D655="",0,IF($F655&lt;2,0,IF($E655="Win",('Guide &amp; Settings'!$C$42/(($F655-1)*COUNTIFS($A$4:$A$810,$A655,$E$4:$E$810,"Win")))*SUMIFS($X$4:$X$810,$A$4:$A$810,$A655,$E$4:$E$810,"Loss"),-('Guide &amp; Settings'!$C$42/($F655-1))*$X655)))</f>
        <v>7.627777886874771</v>
      </c>
      <c r="K655" s="124">
        <f>IF($D655="",0,'Guide &amp; Settings'!$C$43*(IF($E655="Win",1,0)-$I655))</f>
        <v>1.9999999999999996</v>
      </c>
      <c r="L655" s="125">
        <f>IF($D655="",0,'Guide &amp; Settings'!$C$44*IF($F655&gt;=3,$F655,0))</f>
        <v>0</v>
      </c>
      <c r="M655" s="124">
        <f t="shared" si="173"/>
        <v>9.627777886874771</v>
      </c>
      <c r="N655" s="122">
        <f t="shared" si="174"/>
        <v>1300.9488632874916</v>
      </c>
      <c r="O655" s="121" t="str">
        <f t="shared" si="175"/>
        <v>OK</v>
      </c>
      <c r="P655">
        <f t="shared" si="176"/>
        <v>1291.3210854006168</v>
      </c>
      <c r="Q655">
        <f t="shared" si="177"/>
        <v>0.5</v>
      </c>
      <c r="R655">
        <f t="shared" si="178"/>
        <v>0.83333333333333337</v>
      </c>
      <c r="S655">
        <f t="shared" si="179"/>
        <v>1</v>
      </c>
      <c r="T655" s="89">
        <f t="shared" si="180"/>
        <v>4</v>
      </c>
      <c r="U655" s="126">
        <f>IF($D655="",0,IFERROR(LOOKUP(2,1/(($D$3:D654=$D655)*($C$3:C654=$C655)*($A$3:A654&lt;$A655)),$AB$3:AB654),1000))</f>
        <v>1055.8009426289977</v>
      </c>
      <c r="V655" s="126">
        <f t="shared" si="181"/>
        <v>1186.6454663910083</v>
      </c>
      <c r="W655">
        <f t="shared" si="182"/>
        <v>1186.6454663910083</v>
      </c>
      <c r="X655">
        <f t="shared" si="183"/>
        <v>0.5</v>
      </c>
      <c r="Y655">
        <f t="shared" si="184"/>
        <v>1055.8009426289977</v>
      </c>
      <c r="Z655">
        <f t="shared" si="185"/>
        <v>0.5</v>
      </c>
      <c r="AA655">
        <f>IF($D655="",0,IF($F655&lt;2,0,IF($E655="Win",('Guide &amp; Settings'!$C$42/(($F655-1)*COUNTIFS($A$4:$A$810,$A655,$E$4:$E$810,"Win")))*SUMIFS($Z$4:$Z$810,$A$4:$A$810,$A655,$E$4:$E$810,"Loss"),-('Guide &amp; Settings'!$C$42/($F655-1))*$Z655)))</f>
        <v>11.030302991402337</v>
      </c>
      <c r="AB655" s="126">
        <f t="shared" si="186"/>
        <v>1066.8312456204001</v>
      </c>
      <c r="AC655" s="126"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0</v>
      </c>
    </row>
    <row r="656" spans="1:29" x14ac:dyDescent="0.2">
      <c r="A656" s="117">
        <v>277</v>
      </c>
      <c r="B656" s="118">
        <v>46264</v>
      </c>
      <c r="C656" s="119" t="s">
        <v>33</v>
      </c>
      <c r="D656" s="119" t="s">
        <v>22</v>
      </c>
      <c r="E656" s="117" t="s">
        <v>379</v>
      </c>
      <c r="F656" s="120">
        <f t="shared" si="170"/>
        <v>2</v>
      </c>
      <c r="G656" s="121" t="str">
        <f t="shared" si="171"/>
        <v>Shawn</v>
      </c>
      <c r="H656" s="122">
        <f>IF($D656="",0,IFERROR(LOOKUP(2,1/(($D$3:D655=$D656)*($A$3:A655&lt;$A656)),$N$3:N655),'Guide &amp; Settings'!$C$41))</f>
        <v>1017.3646895179213</v>
      </c>
      <c r="I656" s="123">
        <f t="shared" si="172"/>
        <v>0.16666666666666666</v>
      </c>
      <c r="J656" s="124">
        <f>IF($D656="",0,IF($F656&lt;2,0,IF($E656="Win",('Guide &amp; Settings'!$C$42/(($F656-1)*COUNTIFS($A$4:$A$810,$A656,$E$4:$E$810,"Win")))*SUMIFS($X$4:$X$810,$A$4:$A$810,$A656,$E$4:$E$810,"Loss"),-('Guide &amp; Settings'!$C$42/($F656-1))*$X656)))</f>
        <v>-7.627777886874771</v>
      </c>
      <c r="K656" s="124">
        <f>IF($D656="",0,'Guide &amp; Settings'!$C$43*(IF($E656="Win",1,0)-$I656))</f>
        <v>-2</v>
      </c>
      <c r="L656" s="125">
        <f>IF($D656="",0,'Guide &amp; Settings'!$C$44*IF($F656&gt;=3,$F656,0))</f>
        <v>0</v>
      </c>
      <c r="M656" s="124">
        <f t="shared" si="173"/>
        <v>-9.627777886874771</v>
      </c>
      <c r="N656" s="122">
        <f t="shared" si="174"/>
        <v>1007.7369116310465</v>
      </c>
      <c r="O656" s="121" t="str">
        <f t="shared" si="175"/>
        <v>OK</v>
      </c>
      <c r="P656">
        <f t="shared" si="176"/>
        <v>1291.3210854006168</v>
      </c>
      <c r="Q656">
        <f t="shared" si="177"/>
        <v>0.17121796757959987</v>
      </c>
      <c r="R656">
        <f t="shared" si="178"/>
        <v>0.16666666666666666</v>
      </c>
      <c r="S656">
        <f t="shared" si="179"/>
        <v>1</v>
      </c>
      <c r="T656" s="89">
        <f t="shared" si="180"/>
        <v>4</v>
      </c>
      <c r="U656" s="126">
        <f>IF($D656="",0,IFERROR(LOOKUP(2,1/(($D$3:D655=$D656)*($C$3:C655=$C656)*($A$3:A655&lt;$A656)),$AB$3:AB655),1000))</f>
        <v>944.19905737100225</v>
      </c>
      <c r="V656" s="126">
        <f t="shared" si="181"/>
        <v>984.84663078595725</v>
      </c>
      <c r="W656">
        <f t="shared" si="182"/>
        <v>1186.6454663910083</v>
      </c>
      <c r="X656">
        <f t="shared" si="183"/>
        <v>0.23836805896483659</v>
      </c>
      <c r="Y656">
        <f t="shared" si="184"/>
        <v>1055.8009426289977</v>
      </c>
      <c r="Z656">
        <f t="shared" si="185"/>
        <v>0.34469696848132303</v>
      </c>
      <c r="AA656">
        <f>IF($D656="",0,IF($F656&lt;2,0,IF($E656="Win",('Guide &amp; Settings'!$C$42/(($F656-1)*COUNTIFS($A$4:$A$810,$A656,$E$4:$E$810,"Win")))*SUMIFS($Z$4:$Z$810,$A$4:$A$810,$A656,$E$4:$E$810,"Loss"),-('Guide &amp; Settings'!$C$42/($F656-1))*$Z656)))</f>
        <v>-11.030302991402337</v>
      </c>
      <c r="AB656" s="126">
        <f t="shared" si="186"/>
        <v>933.16875437959993</v>
      </c>
      <c r="AC656" s="126"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0</v>
      </c>
    </row>
    <row r="657" spans="1:29" x14ac:dyDescent="0.2">
      <c r="A657" s="117">
        <v>278</v>
      </c>
      <c r="B657" s="118">
        <v>46271</v>
      </c>
      <c r="C657" s="119" t="s">
        <v>42</v>
      </c>
      <c r="D657" s="119" t="s">
        <v>20</v>
      </c>
      <c r="E657" s="117" t="s">
        <v>378</v>
      </c>
      <c r="F657" s="120">
        <f t="shared" si="170"/>
        <v>3</v>
      </c>
      <c r="G657" s="121" t="str">
        <f t="shared" si="171"/>
        <v>Shawn</v>
      </c>
      <c r="H657" s="122">
        <f>IF($D657="",0,IFERROR(LOOKUP(2,1/(($D$3:D656=$D657)*($A$3:A656&lt;$A657)),$N$3:N656),'Guide &amp; Settings'!$C$41))</f>
        <v>1300.9488632874916</v>
      </c>
      <c r="I657" s="123">
        <f t="shared" si="172"/>
        <v>0.33333333333333331</v>
      </c>
      <c r="J657" s="124">
        <f>IF($D657="",0,IF($F657&lt;2,0,IF($E657="Win",('Guide &amp; Settings'!$C$42/(($F657-1)*COUNTIFS($A$4:$A$810,$A657,$E$4:$E$810,"Win")))*SUMIFS($X$4:$X$810,$A$4:$A$810,$A657,$E$4:$E$810,"Loss"),-('Guide &amp; Settings'!$C$42/($F657-1))*$X657)))</f>
        <v>5.872895904951636</v>
      </c>
      <c r="K657" s="124">
        <f>IF($D657="",0,'Guide &amp; Settings'!$C$43*(IF($E657="Win",1,0)-$I657))</f>
        <v>8</v>
      </c>
      <c r="L657" s="125">
        <f>IF($D657="",0,'Guide &amp; Settings'!$C$44*IF($F657&gt;=3,$F657,0))</f>
        <v>3</v>
      </c>
      <c r="M657" s="124">
        <f t="shared" si="173"/>
        <v>16.872895904951637</v>
      </c>
      <c r="N657" s="122">
        <f t="shared" si="174"/>
        <v>1317.8217591924433</v>
      </c>
      <c r="O657" s="121" t="str">
        <f t="shared" si="175"/>
        <v>OK</v>
      </c>
      <c r="P657">
        <f t="shared" si="176"/>
        <v>1300.9488632874916</v>
      </c>
      <c r="Q657">
        <f t="shared" si="177"/>
        <v>0.5</v>
      </c>
      <c r="R657">
        <f t="shared" si="178"/>
        <v>0.5</v>
      </c>
      <c r="S657">
        <f t="shared" si="179"/>
        <v>1.5</v>
      </c>
      <c r="T657" s="89">
        <f t="shared" si="180"/>
        <v>0</v>
      </c>
      <c r="U657" s="126">
        <f>IF($D657="",0,IFERROR(LOOKUP(2,1/(($D$3:D656=$D657)*($C$3:C656=$C657)*($A$3:A656&lt;$A657)),$AB$3:AB656),1000))</f>
        <v>1000</v>
      </c>
      <c r="V657" s="126">
        <f t="shared" si="181"/>
        <v>1300.9488632874916</v>
      </c>
      <c r="W657">
        <f t="shared" si="182"/>
        <v>1300.9488632874916</v>
      </c>
      <c r="X657">
        <f t="shared" si="183"/>
        <v>0.5</v>
      </c>
      <c r="Y657">
        <f t="shared" si="184"/>
        <v>1000</v>
      </c>
      <c r="Z657">
        <f t="shared" si="185"/>
        <v>0.5</v>
      </c>
      <c r="AA657">
        <f>IF($D657="",0,IF($F657&lt;2,0,IF($E657="Win",('Guide &amp; Settings'!$C$42/(($F657-1)*COUNTIFS($A$4:$A$810,$A657,$E$4:$E$810,"Win")))*SUMIFS($Z$4:$Z$810,$A$4:$A$810,$A657,$E$4:$E$810,"Loss"),-('Guide &amp; Settings'!$C$42/($F657-1))*$Z657)))</f>
        <v>16</v>
      </c>
      <c r="AB657" s="126">
        <f t="shared" si="186"/>
        <v>1016</v>
      </c>
      <c r="AC657" s="126"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0</v>
      </c>
    </row>
    <row r="658" spans="1:29" x14ac:dyDescent="0.2">
      <c r="A658" s="117">
        <v>278</v>
      </c>
      <c r="B658" s="118">
        <v>46271</v>
      </c>
      <c r="C658" s="119" t="s">
        <v>42</v>
      </c>
      <c r="D658" s="119" t="s">
        <v>21</v>
      </c>
      <c r="E658" s="117" t="s">
        <v>379</v>
      </c>
      <c r="F658" s="120">
        <f t="shared" si="170"/>
        <v>3</v>
      </c>
      <c r="G658" s="121" t="str">
        <f t="shared" si="171"/>
        <v>Shawn</v>
      </c>
      <c r="H658" s="122">
        <f>IF($D658="",0,IFERROR(LOOKUP(2,1/(($D$3:D657=$D658)*($A$3:A657&lt;$A658)),$N$3:N657),'Guide &amp; Settings'!$C$41))</f>
        <v>1099.6597362825432</v>
      </c>
      <c r="I658" s="123">
        <f t="shared" si="172"/>
        <v>0.33333333333333331</v>
      </c>
      <c r="J658" s="124">
        <f>IF($D658="",0,IF($F658&lt;2,0,IF($E658="Win",('Guide &amp; Settings'!$C$42/(($F658-1)*COUNTIFS($A$4:$A$810,$A658,$E$4:$E$810,"Win")))*SUMIFS($X$4:$X$810,$A$4:$A$810,$A658,$E$4:$E$810,"Loss"),-('Guide &amp; Settings'!$C$42/($F658-1))*$X658)))</f>
        <v>-3.8224184529278329</v>
      </c>
      <c r="K658" s="124">
        <f>IF($D658="",0,'Guide &amp; Settings'!$C$43*(IF($E658="Win",1,0)-$I658))</f>
        <v>-4</v>
      </c>
      <c r="L658" s="125">
        <f>IF($D658="",0,'Guide &amp; Settings'!$C$44*IF($F658&gt;=3,$F658,0))</f>
        <v>3</v>
      </c>
      <c r="M658" s="124">
        <f t="shared" si="173"/>
        <v>-4.8224184529278329</v>
      </c>
      <c r="N658" s="122">
        <f t="shared" si="174"/>
        <v>1094.8373178296154</v>
      </c>
      <c r="O658" s="121" t="str">
        <f t="shared" si="175"/>
        <v>OK</v>
      </c>
      <c r="P658">
        <f t="shared" si="176"/>
        <v>1300.9488632874916</v>
      </c>
      <c r="Q658">
        <f t="shared" si="177"/>
        <v>0.23890115330798956</v>
      </c>
      <c r="R658">
        <f t="shared" si="178"/>
        <v>0.5</v>
      </c>
      <c r="S658">
        <f t="shared" si="179"/>
        <v>1.5</v>
      </c>
      <c r="T658" s="89">
        <f t="shared" si="180"/>
        <v>0</v>
      </c>
      <c r="U658" s="126">
        <f>IF($D658="",0,IFERROR(LOOKUP(2,1/(($D$3:D657=$D658)*($C$3:C657=$C658)*($A$3:A657&lt;$A658)),$AB$3:AB657),1000))</f>
        <v>1000</v>
      </c>
      <c r="V658" s="126">
        <f t="shared" si="181"/>
        <v>1099.6597362825432</v>
      </c>
      <c r="W658">
        <f t="shared" si="182"/>
        <v>1300.9488632874916</v>
      </c>
      <c r="X658">
        <f t="shared" si="183"/>
        <v>0.23890115330798956</v>
      </c>
      <c r="Y658">
        <f t="shared" si="184"/>
        <v>1000</v>
      </c>
      <c r="Z658">
        <f t="shared" si="185"/>
        <v>0.5</v>
      </c>
      <c r="AA658">
        <f>IF($D658="",0,IF($F658&lt;2,0,IF($E658="Win",('Guide &amp; Settings'!$C$42/(($F658-1)*COUNTIFS($A$4:$A$810,$A658,$E$4:$E$810,"Win")))*SUMIFS($Z$4:$Z$810,$A$4:$A$810,$A658,$E$4:$E$810,"Loss"),-('Guide &amp; Settings'!$C$42/($F658-1))*$Z658)))</f>
        <v>-8</v>
      </c>
      <c r="AB658" s="126">
        <f t="shared" si="186"/>
        <v>992</v>
      </c>
      <c r="AC658" s="126"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0</v>
      </c>
    </row>
    <row r="659" spans="1:29" x14ac:dyDescent="0.2">
      <c r="A659" s="117">
        <v>278</v>
      </c>
      <c r="B659" s="118">
        <v>46271</v>
      </c>
      <c r="C659" s="119" t="s">
        <v>42</v>
      </c>
      <c r="D659" s="119" t="s">
        <v>25</v>
      </c>
      <c r="E659" s="117" t="s">
        <v>379</v>
      </c>
      <c r="F659" s="120">
        <f t="shared" si="170"/>
        <v>3</v>
      </c>
      <c r="G659" s="121" t="str">
        <f t="shared" si="171"/>
        <v>Shawn</v>
      </c>
      <c r="H659" s="122">
        <f>IF($D659="",0,IFERROR(LOOKUP(2,1/(($D$3:D658=$D659)*($A$3:A658&lt;$A659)),$N$3:N658),'Guide &amp; Settings'!$C$41))</f>
        <v>967.86712518274226</v>
      </c>
      <c r="I659" s="123">
        <f t="shared" si="172"/>
        <v>0.33333333333333331</v>
      </c>
      <c r="J659" s="124">
        <f>IF($D659="",0,IF($F659&lt;2,0,IF($E659="Win",('Guide &amp; Settings'!$C$42/(($F659-1)*COUNTIFS($A$4:$A$810,$A659,$E$4:$E$810,"Win")))*SUMIFS($X$4:$X$810,$A$4:$A$810,$A659,$E$4:$E$810,"Loss"),-('Guide &amp; Settings'!$C$42/($F659-1))*$X659)))</f>
        <v>-2.0504774520238032</v>
      </c>
      <c r="K659" s="124">
        <f>IF($D659="",0,'Guide &amp; Settings'!$C$43*(IF($E659="Win",1,0)-$I659))</f>
        <v>-4</v>
      </c>
      <c r="L659" s="125">
        <f>IF($D659="",0,'Guide &amp; Settings'!$C$44*IF($F659&gt;=3,$F659,0))</f>
        <v>3</v>
      </c>
      <c r="M659" s="124">
        <f t="shared" si="173"/>
        <v>-3.0504774520238032</v>
      </c>
      <c r="N659" s="122">
        <f t="shared" si="174"/>
        <v>964.8166477307185</v>
      </c>
      <c r="O659" s="121" t="str">
        <f t="shared" si="175"/>
        <v>OK</v>
      </c>
      <c r="P659">
        <f t="shared" si="176"/>
        <v>1300.9488632874916</v>
      </c>
      <c r="Q659">
        <f t="shared" si="177"/>
        <v>0.1281548407514877</v>
      </c>
      <c r="R659">
        <f t="shared" si="178"/>
        <v>0.5</v>
      </c>
      <c r="S659">
        <f t="shared" si="179"/>
        <v>1.5</v>
      </c>
      <c r="T659" s="89">
        <f t="shared" si="180"/>
        <v>0</v>
      </c>
      <c r="U659" s="126">
        <f>IF($D659="",0,IFERROR(LOOKUP(2,1/(($D$3:D658=$D659)*($C$3:C658=$C659)*($A$3:A658&lt;$A659)),$AB$3:AB658),1000))</f>
        <v>1000</v>
      </c>
      <c r="V659" s="126">
        <f t="shared" si="181"/>
        <v>967.86712518274226</v>
      </c>
      <c r="W659">
        <f t="shared" si="182"/>
        <v>1300.9488632874916</v>
      </c>
      <c r="X659">
        <f t="shared" si="183"/>
        <v>0.1281548407514877</v>
      </c>
      <c r="Y659">
        <f t="shared" si="184"/>
        <v>1000</v>
      </c>
      <c r="Z659">
        <f t="shared" si="185"/>
        <v>0.5</v>
      </c>
      <c r="AA659">
        <f>IF($D659="",0,IF($F659&lt;2,0,IF($E659="Win",('Guide &amp; Settings'!$C$42/(($F659-1)*COUNTIFS($A$4:$A$810,$A659,$E$4:$E$810,"Win")))*SUMIFS($Z$4:$Z$810,$A$4:$A$810,$A659,$E$4:$E$810,"Loss"),-('Guide &amp; Settings'!$C$42/($F659-1))*$Z659)))</f>
        <v>-8</v>
      </c>
      <c r="AB659" s="126">
        <f t="shared" si="186"/>
        <v>992</v>
      </c>
      <c r="AC659" s="126"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0</v>
      </c>
    </row>
    <row r="660" spans="1:29" x14ac:dyDescent="0.2">
      <c r="A660" s="117">
        <v>279</v>
      </c>
      <c r="B660" s="118">
        <v>46271</v>
      </c>
      <c r="C660" s="119" t="s">
        <v>42</v>
      </c>
      <c r="D660" s="119" t="s">
        <v>20</v>
      </c>
      <c r="E660" s="117" t="s">
        <v>379</v>
      </c>
      <c r="F660" s="120">
        <f t="shared" si="170"/>
        <v>3</v>
      </c>
      <c r="G660" s="121" t="str">
        <f t="shared" si="171"/>
        <v>Simon</v>
      </c>
      <c r="H660" s="122">
        <f>IF($D660="",0,IFERROR(LOOKUP(2,1/(($D$3:D659=$D660)*($A$3:A659&lt;$A660)),$N$3:N659),'Guide &amp; Settings'!$C$41))</f>
        <v>1317.8217591924433</v>
      </c>
      <c r="I660" s="123">
        <f t="shared" si="172"/>
        <v>0.5</v>
      </c>
      <c r="J660" s="124">
        <f>IF($D660="",0,IF($F660&lt;2,0,IF($E660="Win",('Guide &amp; Settings'!$C$42/(($F660-1)*COUNTIFS($A$4:$A$810,$A660,$E$4:$E$810,"Win")))*SUMIFS($X$4:$X$810,$A$4:$A$810,$A660,$E$4:$E$810,"Loss"),-('Guide &amp; Settings'!$C$42/($F660-1))*$X660)))</f>
        <v>-11.982218495679067</v>
      </c>
      <c r="K660" s="124">
        <f>IF($D660="",0,'Guide &amp; Settings'!$C$43*(IF($E660="Win",1,0)-$I660))</f>
        <v>-6</v>
      </c>
      <c r="L660" s="125">
        <f>IF($D660="",0,'Guide &amp; Settings'!$C$44*IF($F660&gt;=3,$F660,0))</f>
        <v>3</v>
      </c>
      <c r="M660" s="124">
        <f t="shared" si="173"/>
        <v>-14.982218495679067</v>
      </c>
      <c r="N660" s="122">
        <f t="shared" si="174"/>
        <v>1302.8395406967643</v>
      </c>
      <c r="O660" s="121" t="str">
        <f t="shared" si="175"/>
        <v>OK</v>
      </c>
      <c r="P660">
        <f t="shared" si="176"/>
        <v>1094.8373178296154</v>
      </c>
      <c r="Q660">
        <f t="shared" si="177"/>
        <v>0.7830622292598195</v>
      </c>
      <c r="R660">
        <f t="shared" si="178"/>
        <v>0.66666666666666663</v>
      </c>
      <c r="S660">
        <f t="shared" si="179"/>
        <v>1.3333333333333333</v>
      </c>
      <c r="T660" s="89">
        <f t="shared" si="180"/>
        <v>1</v>
      </c>
      <c r="U660" s="126">
        <f>IF($D660="",0,IFERROR(LOOKUP(2,1/(($D$3:D659=$D660)*($C$3:C659=$C660)*($A$3:A659&lt;$A660)),$AB$3:AB659),1000))</f>
        <v>1016</v>
      </c>
      <c r="V660" s="126">
        <f t="shared" si="181"/>
        <v>1267.5181326603695</v>
      </c>
      <c r="W660">
        <f t="shared" si="182"/>
        <v>1077.6977648580128</v>
      </c>
      <c r="X660">
        <f t="shared" si="183"/>
        <v>0.7488886559799417</v>
      </c>
      <c r="Y660">
        <f t="shared" si="184"/>
        <v>992</v>
      </c>
      <c r="Z660">
        <f t="shared" si="185"/>
        <v>0.53448394472683147</v>
      </c>
      <c r="AA660">
        <f>IF($D660="",0,IF($F660&lt;2,0,IF($E660="Win",('Guide &amp; Settings'!$C$42/(($F660-1)*COUNTIFS($A$4:$A$810,$A660,$E$4:$E$810,"Win")))*SUMIFS($Z$4:$Z$810,$A$4:$A$810,$A660,$E$4:$E$810,"Loss"),-('Guide &amp; Settings'!$C$42/($F660-1))*$Z660)))</f>
        <v>-8.5517431156293036</v>
      </c>
      <c r="AB660" s="126">
        <f t="shared" si="186"/>
        <v>1007.4482568843707</v>
      </c>
      <c r="AC660" s="126"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0</v>
      </c>
    </row>
    <row r="661" spans="1:29" x14ac:dyDescent="0.2">
      <c r="A661" s="117">
        <v>279</v>
      </c>
      <c r="B661" s="118">
        <v>46271</v>
      </c>
      <c r="C661" s="119" t="s">
        <v>42</v>
      </c>
      <c r="D661" s="119" t="s">
        <v>21</v>
      </c>
      <c r="E661" s="117" t="s">
        <v>378</v>
      </c>
      <c r="F661" s="120">
        <f t="shared" si="170"/>
        <v>3</v>
      </c>
      <c r="G661" s="121" t="str">
        <f t="shared" si="171"/>
        <v>Simon</v>
      </c>
      <c r="H661" s="122">
        <f>IF($D661="",0,IFERROR(LOOKUP(2,1/(($D$3:D660=$D661)*($A$3:A660&lt;$A661)),$N$3:N660),'Guide &amp; Settings'!$C$41))</f>
        <v>1094.8373178296154</v>
      </c>
      <c r="I661" s="123">
        <f t="shared" si="172"/>
        <v>0.25</v>
      </c>
      <c r="J661" s="124">
        <f>IF($D661="",0,IF($F661&lt;2,0,IF($E661="Win",('Guide &amp; Settings'!$C$42/(($F661-1)*COUNTIFS($A$4:$A$810,$A661,$E$4:$E$810,"Win")))*SUMIFS($X$4:$X$810,$A$4:$A$810,$A661,$E$4:$E$810,"Loss"),-('Guide &amp; Settings'!$C$42/($F661-1))*$X661)))</f>
        <v>17.565207115268528</v>
      </c>
      <c r="K661" s="124">
        <f>IF($D661="",0,'Guide &amp; Settings'!$C$43*(IF($E661="Win",1,0)-$I661))</f>
        <v>9</v>
      </c>
      <c r="L661" s="125">
        <f>IF($D661="",0,'Guide &amp; Settings'!$C$44*IF($F661&gt;=3,$F661,0))</f>
        <v>3</v>
      </c>
      <c r="M661" s="124">
        <f t="shared" si="173"/>
        <v>29.565207115268528</v>
      </c>
      <c r="N661" s="122">
        <f t="shared" si="174"/>
        <v>1124.4025249448839</v>
      </c>
      <c r="O661" s="121" t="str">
        <f t="shared" si="175"/>
        <v>OK</v>
      </c>
      <c r="P661">
        <f t="shared" si="176"/>
        <v>1094.8373178296154</v>
      </c>
      <c r="Q661">
        <f t="shared" si="177"/>
        <v>0.5</v>
      </c>
      <c r="R661">
        <f t="shared" si="178"/>
        <v>0.33333333333333331</v>
      </c>
      <c r="S661">
        <f t="shared" si="179"/>
        <v>1.3333333333333333</v>
      </c>
      <c r="T661" s="89">
        <f t="shared" si="180"/>
        <v>1</v>
      </c>
      <c r="U661" s="126">
        <f>IF($D661="",0,IFERROR(LOOKUP(2,1/(($D$3:D660=$D661)*($C$3:C660=$C661)*($A$3:A660&lt;$A661)),$AB$3:AB660),1000))</f>
        <v>992</v>
      </c>
      <c r="V661" s="126">
        <f t="shared" si="181"/>
        <v>1077.6977648580128</v>
      </c>
      <c r="W661">
        <f t="shared" si="182"/>
        <v>1077.6977648580128</v>
      </c>
      <c r="X661">
        <f t="shared" si="183"/>
        <v>0.5</v>
      </c>
      <c r="Y661">
        <f t="shared" si="184"/>
        <v>992</v>
      </c>
      <c r="Z661">
        <f t="shared" si="185"/>
        <v>0.5</v>
      </c>
      <c r="AA661">
        <f>IF($D661="",0,IF($F661&lt;2,0,IF($E661="Win",('Guide &amp; Settings'!$C$42/(($F661-1)*COUNTIFS($A$4:$A$810,$A661,$E$4:$E$810,"Win")))*SUMIFS($Z$4:$Z$810,$A$4:$A$810,$A661,$E$4:$E$810,"Loss"),-('Guide &amp; Settings'!$C$42/($F661-1))*$Z661)))</f>
        <v>16.551743115629304</v>
      </c>
      <c r="AB661" s="126">
        <f t="shared" si="186"/>
        <v>1008.5517431156293</v>
      </c>
      <c r="AC661" s="126"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0</v>
      </c>
    </row>
    <row r="662" spans="1:29" x14ac:dyDescent="0.2">
      <c r="A662" s="117">
        <v>279</v>
      </c>
      <c r="B662" s="118">
        <v>46271</v>
      </c>
      <c r="C662" s="119" t="s">
        <v>42</v>
      </c>
      <c r="D662" s="119" t="s">
        <v>25</v>
      </c>
      <c r="E662" s="117" t="s">
        <v>379</v>
      </c>
      <c r="F662" s="120">
        <f t="shared" si="170"/>
        <v>3</v>
      </c>
      <c r="G662" s="121" t="str">
        <f t="shared" si="171"/>
        <v>Simon</v>
      </c>
      <c r="H662" s="122">
        <f>IF($D662="",0,IFERROR(LOOKUP(2,1/(($D$3:D661=$D662)*($A$3:A661&lt;$A662)),$N$3:N661),'Guide &amp; Settings'!$C$41))</f>
        <v>964.8166477307185</v>
      </c>
      <c r="I662" s="123">
        <f t="shared" si="172"/>
        <v>0.25</v>
      </c>
      <c r="J662" s="124">
        <f>IF($D662="",0,IF($F662&lt;2,0,IF($E662="Win",('Guide &amp; Settings'!$C$42/(($F662-1)*COUNTIFS($A$4:$A$810,$A662,$E$4:$E$810,"Win")))*SUMIFS($X$4:$X$810,$A$4:$A$810,$A662,$E$4:$E$810,"Loss"),-('Guide &amp; Settings'!$C$42/($F662-1))*$X662)))</f>
        <v>-5.5829886195894627</v>
      </c>
      <c r="K662" s="124">
        <f>IF($D662="",0,'Guide &amp; Settings'!$C$43*(IF($E662="Win",1,0)-$I662))</f>
        <v>-3</v>
      </c>
      <c r="L662" s="125">
        <f>IF($D662="",0,'Guide &amp; Settings'!$C$44*IF($F662&gt;=3,$F662,0))</f>
        <v>3</v>
      </c>
      <c r="M662" s="124">
        <f t="shared" si="173"/>
        <v>-5.5829886195894627</v>
      </c>
      <c r="N662" s="122">
        <f t="shared" si="174"/>
        <v>959.23365911112899</v>
      </c>
      <c r="O662" s="121" t="str">
        <f t="shared" si="175"/>
        <v>OK</v>
      </c>
      <c r="P662">
        <f t="shared" si="176"/>
        <v>1094.8373178296154</v>
      </c>
      <c r="Q662">
        <f t="shared" si="177"/>
        <v>0.32115713875039187</v>
      </c>
      <c r="R662">
        <f t="shared" si="178"/>
        <v>0.33333333333333331</v>
      </c>
      <c r="S662">
        <f t="shared" si="179"/>
        <v>1.3333333333333333</v>
      </c>
      <c r="T662" s="89">
        <f t="shared" si="180"/>
        <v>1</v>
      </c>
      <c r="U662" s="126">
        <f>IF($D662="",0,IFERROR(LOOKUP(2,1/(($D$3:D661=$D662)*($C$3:C661=$C662)*($A$3:A661&lt;$A662)),$AB$3:AB661),1000))</f>
        <v>992</v>
      </c>
      <c r="V662" s="126">
        <f t="shared" si="181"/>
        <v>969.34720644226536</v>
      </c>
      <c r="W662">
        <f t="shared" si="182"/>
        <v>1077.6977648580128</v>
      </c>
      <c r="X662">
        <f t="shared" si="183"/>
        <v>0.34893678872434142</v>
      </c>
      <c r="Y662">
        <f t="shared" si="184"/>
        <v>992</v>
      </c>
      <c r="Z662">
        <f t="shared" si="185"/>
        <v>0.5</v>
      </c>
      <c r="AA662">
        <f>IF($D662="",0,IF($F662&lt;2,0,IF($E662="Win",('Guide &amp; Settings'!$C$42/(($F662-1)*COUNTIFS($A$4:$A$810,$A662,$E$4:$E$810,"Win")))*SUMIFS($Z$4:$Z$810,$A$4:$A$810,$A662,$E$4:$E$810,"Loss"),-('Guide &amp; Settings'!$C$42/($F662-1))*$Z662)))</f>
        <v>-8</v>
      </c>
      <c r="AB662" s="126">
        <f t="shared" si="186"/>
        <v>984</v>
      </c>
      <c r="AC662" s="126"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0</v>
      </c>
    </row>
    <row r="663" spans="1:29" x14ac:dyDescent="0.2">
      <c r="A663" s="117">
        <v>280</v>
      </c>
      <c r="B663" s="118">
        <v>46271</v>
      </c>
      <c r="C663" s="119" t="s">
        <v>42</v>
      </c>
      <c r="D663" s="119" t="s">
        <v>20</v>
      </c>
      <c r="E663" s="117" t="s">
        <v>379</v>
      </c>
      <c r="F663" s="120">
        <f t="shared" si="170"/>
        <v>3</v>
      </c>
      <c r="G663" s="121" t="str">
        <f t="shared" si="171"/>
        <v>Simon</v>
      </c>
      <c r="H663" s="122">
        <f>IF($D663="",0,IFERROR(LOOKUP(2,1/(($D$3:D662=$D663)*($A$3:A662&lt;$A663)),$N$3:N662),'Guide &amp; Settings'!$C$41))</f>
        <v>1302.8395406967643</v>
      </c>
      <c r="I663" s="123">
        <f t="shared" si="172"/>
        <v>0.4</v>
      </c>
      <c r="J663" s="124">
        <f>IF($D663="",0,IF($F663&lt;2,0,IF($E663="Win",('Guide &amp; Settings'!$C$42/(($F663-1)*COUNTIFS($A$4:$A$810,$A663,$E$4:$E$810,"Win")))*SUMIFS($X$4:$X$810,$A$4:$A$810,$A663,$E$4:$E$810,"Loss"),-('Guide &amp; Settings'!$C$42/($F663-1))*$X663)))</f>
        <v>-10.803465897676393</v>
      </c>
      <c r="K663" s="124">
        <f>IF($D663="",0,'Guide &amp; Settings'!$C$43*(IF($E663="Win",1,0)-$I663))</f>
        <v>-4.8000000000000007</v>
      </c>
      <c r="L663" s="125">
        <f>IF($D663="",0,'Guide &amp; Settings'!$C$44*IF($F663&gt;=3,$F663,0))</f>
        <v>3</v>
      </c>
      <c r="M663" s="124">
        <f t="shared" si="173"/>
        <v>-12.603465897676394</v>
      </c>
      <c r="N663" s="122">
        <f t="shared" si="174"/>
        <v>1290.2360747990879</v>
      </c>
      <c r="O663" s="121" t="str">
        <f t="shared" si="175"/>
        <v>OK</v>
      </c>
      <c r="P663">
        <f t="shared" si="176"/>
        <v>1124.4025249448839</v>
      </c>
      <c r="Q663">
        <f t="shared" si="177"/>
        <v>0.7363661031140426</v>
      </c>
      <c r="R663">
        <f t="shared" si="178"/>
        <v>0.5</v>
      </c>
      <c r="S663">
        <f t="shared" si="179"/>
        <v>1.25</v>
      </c>
      <c r="T663" s="89">
        <f t="shared" si="180"/>
        <v>2</v>
      </c>
      <c r="U663" s="126">
        <f>IF($D663="",0,IFERROR(LOOKUP(2,1/(($D$3:D662=$D663)*($C$3:C662=$C663)*($A$3:A662&lt;$A663)),$AB$3:AB662),1000))</f>
        <v>1007.4482568843707</v>
      </c>
      <c r="V663" s="126">
        <f t="shared" si="181"/>
        <v>1218.4420310360804</v>
      </c>
      <c r="W663">
        <f t="shared" si="182"/>
        <v>1091.302301565097</v>
      </c>
      <c r="X663">
        <f t="shared" si="183"/>
        <v>0.67521661860477455</v>
      </c>
      <c r="Y663">
        <f t="shared" si="184"/>
        <v>1008.5517431156293</v>
      </c>
      <c r="Z663">
        <f t="shared" si="185"/>
        <v>0.49841196099828572</v>
      </c>
      <c r="AA663">
        <f>IF($D663="",0,IF($F663&lt;2,0,IF($E663="Win",('Guide &amp; Settings'!$C$42/(($F663-1)*COUNTIFS($A$4:$A$810,$A663,$E$4:$E$810,"Win")))*SUMIFS($Z$4:$Z$810,$A$4:$A$810,$A663,$E$4:$E$810,"Loss"),-('Guide &amp; Settings'!$C$42/($F663-1))*$Z663)))</f>
        <v>-7.9745913759725715</v>
      </c>
      <c r="AB663" s="126">
        <f t="shared" si="186"/>
        <v>999.4736655083982</v>
      </c>
      <c r="AC663" s="126"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0</v>
      </c>
    </row>
    <row r="664" spans="1:29" x14ac:dyDescent="0.2">
      <c r="A664" s="117">
        <v>280</v>
      </c>
      <c r="B664" s="118">
        <v>46271</v>
      </c>
      <c r="C664" s="119" t="s">
        <v>42</v>
      </c>
      <c r="D664" s="119" t="s">
        <v>21</v>
      </c>
      <c r="E664" s="117" t="s">
        <v>378</v>
      </c>
      <c r="F664" s="120">
        <f t="shared" si="170"/>
        <v>3</v>
      </c>
      <c r="G664" s="121" t="str">
        <f t="shared" si="171"/>
        <v>Simon</v>
      </c>
      <c r="H664" s="122">
        <f>IF($D664="",0,IFERROR(LOOKUP(2,1/(($D$3:D663=$D664)*($A$3:A663&lt;$A664)),$N$3:N663),'Guide &amp; Settings'!$C$41))</f>
        <v>1124.4025249448839</v>
      </c>
      <c r="I664" s="123">
        <f t="shared" si="172"/>
        <v>0.4</v>
      </c>
      <c r="J664" s="124">
        <f>IF($D664="",0,IF($F664&lt;2,0,IF($E664="Win",('Guide &amp; Settings'!$C$42/(($F664-1)*COUNTIFS($A$4:$A$810,$A664,$E$4:$E$810,"Win")))*SUMIFS($X$4:$X$810,$A$4:$A$810,$A664,$E$4:$E$810,"Loss"),-('Guide &amp; Settings'!$C$42/($F664-1))*$X664)))</f>
        <v>16.043462828151164</v>
      </c>
      <c r="K664" s="124">
        <f>IF($D664="",0,'Guide &amp; Settings'!$C$43*(IF($E664="Win",1,0)-$I664))</f>
        <v>7.1999999999999993</v>
      </c>
      <c r="L664" s="125">
        <f>IF($D664="",0,'Guide &amp; Settings'!$C$44*IF($F664&gt;=3,$F664,0))</f>
        <v>3</v>
      </c>
      <c r="M664" s="124">
        <f t="shared" si="173"/>
        <v>26.243462828151163</v>
      </c>
      <c r="N664" s="122">
        <f t="shared" si="174"/>
        <v>1150.6459877730351</v>
      </c>
      <c r="O664" s="121" t="str">
        <f t="shared" si="175"/>
        <v>OK</v>
      </c>
      <c r="P664">
        <f t="shared" si="176"/>
        <v>1124.4025249448839</v>
      </c>
      <c r="Q664">
        <f t="shared" si="177"/>
        <v>0.5</v>
      </c>
      <c r="R664">
        <f t="shared" si="178"/>
        <v>0.5</v>
      </c>
      <c r="S664">
        <f t="shared" si="179"/>
        <v>1.25</v>
      </c>
      <c r="T664" s="89">
        <f t="shared" si="180"/>
        <v>2</v>
      </c>
      <c r="U664" s="126">
        <f>IF($D664="",0,IFERROR(LOOKUP(2,1/(($D$3:D663=$D664)*($C$3:C663=$C664)*($A$3:A663&lt;$A664)),$AB$3:AB663),1000))</f>
        <v>1008.5517431156293</v>
      </c>
      <c r="V664" s="126">
        <f t="shared" si="181"/>
        <v>1091.302301565097</v>
      </c>
      <c r="W664">
        <f t="shared" si="182"/>
        <v>1091.302301565097</v>
      </c>
      <c r="X664">
        <f t="shared" si="183"/>
        <v>0.5</v>
      </c>
      <c r="Y664">
        <f t="shared" si="184"/>
        <v>1008.5517431156293</v>
      </c>
      <c r="Z664">
        <f t="shared" si="185"/>
        <v>0.5</v>
      </c>
      <c r="AA664">
        <f>IF($D664="",0,IF($F664&lt;2,0,IF($E664="Win",('Guide &amp; Settings'!$C$42/(($F664-1)*COUNTIFS($A$4:$A$810,$A664,$E$4:$E$810,"Win")))*SUMIFS($Z$4:$Z$810,$A$4:$A$810,$A664,$E$4:$E$810,"Loss"),-('Guide &amp; Settings'!$C$42/($F664-1))*$Z664)))</f>
        <v>15.410205730049903</v>
      </c>
      <c r="AB664" s="126">
        <f t="shared" si="186"/>
        <v>1023.9619488456792</v>
      </c>
      <c r="AC664" s="126"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0</v>
      </c>
    </row>
    <row r="665" spans="1:29" x14ac:dyDescent="0.2">
      <c r="A665" s="117">
        <v>280</v>
      </c>
      <c r="B665" s="118">
        <v>46271</v>
      </c>
      <c r="C665" s="119" t="s">
        <v>42</v>
      </c>
      <c r="D665" s="119" t="s">
        <v>25</v>
      </c>
      <c r="E665" s="117" t="s">
        <v>379</v>
      </c>
      <c r="F665" s="120">
        <f t="shared" si="170"/>
        <v>3</v>
      </c>
      <c r="G665" s="121" t="str">
        <f t="shared" si="171"/>
        <v>Simon</v>
      </c>
      <c r="H665" s="122">
        <f>IF($D665="",0,IFERROR(LOOKUP(2,1/(($D$3:D664=$D665)*($A$3:A664&lt;$A665)),$N$3:N664),'Guide &amp; Settings'!$C$41))</f>
        <v>959.23365911112899</v>
      </c>
      <c r="I665" s="123">
        <f t="shared" si="172"/>
        <v>0.2</v>
      </c>
      <c r="J665" s="124">
        <f>IF($D665="",0,IF($F665&lt;2,0,IF($E665="Win",('Guide &amp; Settings'!$C$42/(($F665-1)*COUNTIFS($A$4:$A$810,$A665,$E$4:$E$810,"Win")))*SUMIFS($X$4:$X$810,$A$4:$A$810,$A665,$E$4:$E$810,"Loss"),-('Guide &amp; Settings'!$C$42/($F665-1))*$X665)))</f>
        <v>-5.2399969304747716</v>
      </c>
      <c r="K665" s="124">
        <f>IF($D665="",0,'Guide &amp; Settings'!$C$43*(IF($E665="Win",1,0)-$I665))</f>
        <v>-2.4000000000000004</v>
      </c>
      <c r="L665" s="125">
        <f>IF($D665="",0,'Guide &amp; Settings'!$C$44*IF($F665&gt;=3,$F665,0))</f>
        <v>3</v>
      </c>
      <c r="M665" s="124">
        <f t="shared" si="173"/>
        <v>-4.6399969304747719</v>
      </c>
      <c r="N665" s="122">
        <f t="shared" si="174"/>
        <v>954.59366218065418</v>
      </c>
      <c r="O665" s="121" t="str">
        <f t="shared" si="175"/>
        <v>OK</v>
      </c>
      <c r="P665">
        <f t="shared" si="176"/>
        <v>1124.4025249448839</v>
      </c>
      <c r="Q665">
        <f t="shared" si="177"/>
        <v>0.27872629184270925</v>
      </c>
      <c r="R665">
        <f t="shared" si="178"/>
        <v>0.25</v>
      </c>
      <c r="S665">
        <f t="shared" si="179"/>
        <v>1.25</v>
      </c>
      <c r="T665" s="89">
        <f t="shared" si="180"/>
        <v>2</v>
      </c>
      <c r="U665" s="126">
        <f>IF($D665="",0,IFERROR(LOOKUP(2,1/(($D$3:D664=$D665)*($C$3:C664=$C665)*($A$3:A664&lt;$A665)),$AB$3:AB664),1000))</f>
        <v>984</v>
      </c>
      <c r="V665" s="126">
        <f t="shared" si="181"/>
        <v>966.30975650794926</v>
      </c>
      <c r="W665">
        <f t="shared" si="182"/>
        <v>1091.302301565097</v>
      </c>
      <c r="X665">
        <f t="shared" si="183"/>
        <v>0.32749980815467322</v>
      </c>
      <c r="Y665">
        <f t="shared" si="184"/>
        <v>1008.5517431156293</v>
      </c>
      <c r="Z665">
        <f t="shared" si="185"/>
        <v>0.4647258971298332</v>
      </c>
      <c r="AA665">
        <f>IF($D665="",0,IF($F665&lt;2,0,IF($E665="Win",('Guide &amp; Settings'!$C$42/(($F665-1)*COUNTIFS($A$4:$A$810,$A665,$E$4:$E$810,"Win")))*SUMIFS($Z$4:$Z$810,$A$4:$A$810,$A665,$E$4:$E$810,"Loss"),-('Guide &amp; Settings'!$C$42/($F665-1))*$Z665)))</f>
        <v>-7.4356143540773312</v>
      </c>
      <c r="AB665" s="126">
        <f t="shared" si="186"/>
        <v>976.5643856459227</v>
      </c>
      <c r="AC665" s="126"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0</v>
      </c>
    </row>
    <row r="666" spans="1:29" x14ac:dyDescent="0.2">
      <c r="A666" s="117">
        <v>281</v>
      </c>
      <c r="B666" s="118">
        <v>46271</v>
      </c>
      <c r="C666" s="119" t="s">
        <v>42</v>
      </c>
      <c r="D666" s="119" t="s">
        <v>20</v>
      </c>
      <c r="E666" s="117" t="s">
        <v>379</v>
      </c>
      <c r="F666" s="120">
        <f>IF($D666="",0,COUNTIF($A$4:$A$810,$A666))</f>
        <v>3</v>
      </c>
      <c r="G666" s="121" t="str">
        <f>IF($D666="","",IFERROR(LOOKUP(2,1/(($A$4:$A$810=$A666)*($E$4:$E$810="Win")),$D$4:$D$810),"(no winner)"))</f>
        <v>Simon</v>
      </c>
      <c r="H666" s="122">
        <f>IF($D666="",0,IFERROR(LOOKUP(2,1/(($D$3:D665=$D666)*($A$3:A665&lt;$A666)),$N$3:N665),'Guide &amp; Settings'!$C$41))</f>
        <v>1290.2360747990879</v>
      </c>
      <c r="I666" s="123">
        <f t="shared" si="172"/>
        <v>0.33333333333333337</v>
      </c>
      <c r="J666" s="124">
        <f>IF($D666="",0,IF($F666&lt;2,0,IF($E666="Win",('Guide &amp; Settings'!$C$42/(($F666-1)*COUNTIFS($A$4:$A$810,$A666,$E$4:$E$810,"Win")))*SUMIFS($X$4:$X$810,$A$4:$A$810,$A666,$E$4:$E$810,"Loss"),-('Guide &amp; Settings'!$C$42/($F666-1))*$X666)))</f>
        <v>-9.7677681875743581</v>
      </c>
      <c r="K666" s="124">
        <f>IF($D666="",0,'Guide &amp; Settings'!$C$43*(IF($E666="Win",1,0)-$I666))</f>
        <v>-4</v>
      </c>
      <c r="L666" s="125">
        <f>IF($D666="",0,'Guide &amp; Settings'!$C$44*IF($F666&gt;=3,$F666,0))</f>
        <v>3</v>
      </c>
      <c r="M666" s="124">
        <f t="shared" si="173"/>
        <v>-10.767768187574358</v>
      </c>
      <c r="N666" s="122">
        <f t="shared" si="174"/>
        <v>1279.4683066115135</v>
      </c>
      <c r="O666" s="121" t="str">
        <f>IF($D666="","",IF(COUNTIFS($A$4:$A$810,$A666,$E$4:$E$810,"Win")=0,"need a winner",IF(COUNTIFS($A$4:$A$810,$A666,$E$4:$E$810,"Loss")=0,"need a loser",IF(COUNTIFS($A$4:$A$810,$A666,$D$4:$D$810,$D666)&gt;1,"duplicate player","OK"))))</f>
        <v>OK</v>
      </c>
      <c r="P666">
        <f>IF($D666="",0,IFERROR(SUMIFS($H$4:$H$810,$A$4:$A$810,$A666,$E$4:$E$810,"Win")/COUNTIFS($A$4:$A$810,$A666,$E$4:$E$810,"Win"),0))</f>
        <v>1150.6459877730351</v>
      </c>
      <c r="Q666">
        <f t="shared" si="177"/>
        <v>0.69073230844172961</v>
      </c>
      <c r="R666">
        <f>IF($D666="",0,(COUNTIFS($D$4:$D$810,$D666,$C$4:$C$810,$C666,$E$4:$E$810,"Win",$A$4:$A$810,"&lt;"&amp;$A666)+1)/(COUNTIFS($D$4:$D$810,$D666,$C$4:$C$810,$C666,$A$4:$A$810,"&lt;"&amp;$A666)+2))</f>
        <v>0.4</v>
      </c>
      <c r="S666">
        <f>IF($D666="",0,SUMIFS($R$4:$R$810,$A$4:$A$810,$A666))</f>
        <v>1.2</v>
      </c>
      <c r="T666" s="89">
        <f>IF($D666="",0,COUNTIFS($D$4:$D$810,$D666,$C$4:$C$810,$C666,$A$4:$A$810,"&lt;"&amp;$A666))</f>
        <v>3</v>
      </c>
      <c r="U666" s="126">
        <f>IF($D666="",0,IFERROR(LOOKUP(2,1/(($D$3:D665=$D666)*($C$3:C665=$C666)*($A$3:A665&lt;$A666)),$AB$3:AB665),1000))</f>
        <v>999.4736655083982</v>
      </c>
      <c r="V666" s="126">
        <f t="shared" si="181"/>
        <v>1181.2001713150794</v>
      </c>
      <c r="W666">
        <f>IF($D666="",0,IFERROR(SUMIFS($V$4:$V$810,$A$4:$A$810,$A666,$E$4:$E$810,"Win")/COUNTIFS($A$4:$A$810,$A666,$E$4:$E$810,"Win"),0))</f>
        <v>1103.1394731752766</v>
      </c>
      <c r="X666">
        <f t="shared" si="183"/>
        <v>0.61048551172339738</v>
      </c>
      <c r="Y666">
        <f>IF($D666="",0,IFERROR(SUMIFS($U$4:$U$810,$A$4:$A$810,$A666,$E$4:$E$810,"Win")/COUNTIFS($A$4:$A$810,$A666,$E$4:$E$810,"Win"),0))</f>
        <v>1023.9619488456792</v>
      </c>
      <c r="Z666">
        <f t="shared" si="185"/>
        <v>0.46481676972823432</v>
      </c>
      <c r="AA666">
        <f>IF($D666="",0,IF($F666&lt;2,0,IF($E666="Win",('Guide &amp; Settings'!$C$42/(($F666-1)*COUNTIFS($A$4:$A$810,$A666,$E$4:$E$810,"Win")))*SUMIFS($Z$4:$Z$810,$A$4:$A$810,$A666,$E$4:$E$810,"Loss"),-('Guide &amp; Settings'!$C$42/($F666-1))*$Z666)))</f>
        <v>-7.4370683156517492</v>
      </c>
      <c r="AB666" s="126">
        <f t="shared" si="186"/>
        <v>992.0365971927464</v>
      </c>
      <c r="AC666" s="126"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0</v>
      </c>
    </row>
    <row r="667" spans="1:29" x14ac:dyDescent="0.2">
      <c r="A667" s="117">
        <v>281</v>
      </c>
      <c r="B667" s="118">
        <v>46271</v>
      </c>
      <c r="C667" s="119" t="s">
        <v>42</v>
      </c>
      <c r="D667" s="119" t="s">
        <v>21</v>
      </c>
      <c r="E667" s="117" t="s">
        <v>378</v>
      </c>
      <c r="F667" s="120">
        <f>IF($D667="",0,COUNTIF($A$4:$A$810,$A667))</f>
        <v>3</v>
      </c>
      <c r="G667" s="121" t="str">
        <f>IF($D667="","",IFERROR(LOOKUP(2,1/(($A$4:$A$810=$A667)*($E$4:$E$810="Win")),$D$4:$D$810),"(no winner)"))</f>
        <v>Simon</v>
      </c>
      <c r="H667" s="122">
        <f>IF($D667="",0,IFERROR(LOOKUP(2,1/(($D$3:D666=$D667)*($A$3:A666&lt;$A667)),$N$3:N666),'Guide &amp; Settings'!$C$41))</f>
        <v>1150.6459877730351</v>
      </c>
      <c r="I667" s="123">
        <f t="shared" si="172"/>
        <v>0.5</v>
      </c>
      <c r="J667" s="124">
        <f>IF($D667="",0,IF($F667&lt;2,0,IF($E667="Win",('Guide &amp; Settings'!$C$42/(($F667-1)*COUNTIFS($A$4:$A$810,$A667,$E$4:$E$810,"Win")))*SUMIFS($X$4:$X$810,$A$4:$A$810,$A667,$E$4:$E$810,"Loss"),-('Guide &amp; Settings'!$C$42/($F667-1))*$X667)))</f>
        <v>14.701961064182044</v>
      </c>
      <c r="K667" s="124">
        <f>IF($D667="",0,'Guide &amp; Settings'!$C$43*(IF($E667="Win",1,0)-$I667))</f>
        <v>6</v>
      </c>
      <c r="L667" s="125">
        <f>IF($D667="",0,'Guide &amp; Settings'!$C$44*IF($F667&gt;=3,$F667,0))</f>
        <v>3</v>
      </c>
      <c r="M667" s="124">
        <f t="shared" si="173"/>
        <v>23.701961064182044</v>
      </c>
      <c r="N667" s="122">
        <f t="shared" si="174"/>
        <v>1174.3479488372172</v>
      </c>
      <c r="O667" s="121" t="str">
        <f>IF($D667="","",IF(COUNTIFS($A$4:$A$810,$A667,$E$4:$E$810,"Win")=0,"need a winner",IF(COUNTIFS($A$4:$A$810,$A667,$E$4:$E$810,"Loss")=0,"need a loser",IF(COUNTIFS($A$4:$A$810,$A667,$D$4:$D$810,$D667)&gt;1,"duplicate player","OK"))))</f>
        <v>OK</v>
      </c>
      <c r="P667">
        <f>IF($D667="",0,IFERROR(SUMIFS($H$4:$H$810,$A$4:$A$810,$A667,$E$4:$E$810,"Win")/COUNTIFS($A$4:$A$810,$A667,$E$4:$E$810,"Win"),0))</f>
        <v>1150.6459877730351</v>
      </c>
      <c r="Q667">
        <f t="shared" si="177"/>
        <v>0.5</v>
      </c>
      <c r="R667">
        <f>IF($D667="",0,(COUNTIFS($D$4:$D$810,$D667,$C$4:$C$810,$C667,$E$4:$E$810,"Win",$A$4:$A$810,"&lt;"&amp;$A667)+1)/(COUNTIFS($D$4:$D$810,$D667,$C$4:$C$810,$C667,$A$4:$A$810,"&lt;"&amp;$A667)+2))</f>
        <v>0.6</v>
      </c>
      <c r="S667">
        <f>IF($D667="",0,SUMIFS($R$4:$R$810,$A$4:$A$810,$A667))</f>
        <v>1.2</v>
      </c>
      <c r="T667" s="89">
        <f>IF($D667="",0,COUNTIFS($D$4:$D$810,$D667,$C$4:$C$810,$C667,$A$4:$A$810,"&lt;"&amp;$A667))</f>
        <v>3</v>
      </c>
      <c r="U667" s="126">
        <f>IF($D667="",0,IFERROR(LOOKUP(2,1/(($D$3:D666=$D667)*($C$3:C666=$C667)*($A$3:A666&lt;$A667)),$AB$3:AB666),1000))</f>
        <v>1023.9619488456792</v>
      </c>
      <c r="V667" s="126">
        <f t="shared" si="181"/>
        <v>1103.1394731752766</v>
      </c>
      <c r="W667">
        <f>IF($D667="",0,IFERROR(SUMIFS($V$4:$V$810,$A$4:$A$810,$A667,$E$4:$E$810,"Win")/COUNTIFS($A$4:$A$810,$A667,$E$4:$E$810,"Win"),0))</f>
        <v>1103.1394731752766</v>
      </c>
      <c r="X667">
        <f t="shared" si="183"/>
        <v>0.5</v>
      </c>
      <c r="Y667">
        <f>IF($D667="",0,IFERROR(SUMIFS($U$4:$U$810,$A$4:$A$810,$A667,$E$4:$E$810,"Win")/COUNTIFS($A$4:$A$810,$A667,$E$4:$E$810,"Win"),0))</f>
        <v>1023.9619488456792</v>
      </c>
      <c r="Z667">
        <f t="shared" si="185"/>
        <v>0.5</v>
      </c>
      <c r="AA667">
        <f>IF($D667="",0,IF($F667&lt;2,0,IF($E667="Win",('Guide &amp; Settings'!$C$42/(($F667-1)*COUNTIFS($A$4:$A$810,$A667,$E$4:$E$810,"Win")))*SUMIFS($Z$4:$Z$810,$A$4:$A$810,$A667,$E$4:$E$810,"Loss"),-('Guide &amp; Settings'!$C$42/($F667-1))*$Z667)))</f>
        <v>14.352419460033371</v>
      </c>
      <c r="AB667" s="126">
        <f t="shared" si="186"/>
        <v>1038.3143683057126</v>
      </c>
      <c r="AC667" s="126"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0</v>
      </c>
    </row>
    <row r="668" spans="1:29" x14ac:dyDescent="0.2">
      <c r="A668" s="117">
        <v>281</v>
      </c>
      <c r="B668" s="118">
        <v>46271</v>
      </c>
      <c r="C668" s="119" t="s">
        <v>42</v>
      </c>
      <c r="D668" s="119" t="s">
        <v>25</v>
      </c>
      <c r="E668" s="117" t="s">
        <v>379</v>
      </c>
      <c r="F668" s="120">
        <f t="shared" si="170"/>
        <v>3</v>
      </c>
      <c r="G668" s="121" t="str">
        <f t="shared" si="171"/>
        <v>Simon</v>
      </c>
      <c r="H668" s="122">
        <f>IF($D668="",0,IFERROR(LOOKUP(2,1/(($D$3:D667=$D668)*($A$3:A667&lt;$A668)),$N$3:N667),'Guide &amp; Settings'!$C$41))</f>
        <v>954.59366218065418</v>
      </c>
      <c r="I668" s="123">
        <f t="shared" si="172"/>
        <v>0.16666666666666669</v>
      </c>
      <c r="J668" s="124">
        <f>IF($D668="",0,IF($F668&lt;2,0,IF($E668="Win",('Guide &amp; Settings'!$C$42/(($F668-1)*COUNTIFS($A$4:$A$810,$A668,$E$4:$E$810,"Win")))*SUMIFS($X$4:$X$810,$A$4:$A$810,$A668,$E$4:$E$810,"Loss"),-('Guide &amp; Settings'!$C$42/($F668-1))*$X668)))</f>
        <v>-4.9341928766076855</v>
      </c>
      <c r="K668" s="124">
        <f>IF($D668="",0,'Guide &amp; Settings'!$C$43*(IF($E668="Win",1,0)-$I668))</f>
        <v>-2</v>
      </c>
      <c r="L668" s="125">
        <f>IF($D668="",0,'Guide &amp; Settings'!$C$44*IF($F668&gt;=3,$F668,0))</f>
        <v>3</v>
      </c>
      <c r="M668" s="124">
        <f t="shared" si="173"/>
        <v>-3.9341928766076855</v>
      </c>
      <c r="N668" s="122">
        <f t="shared" si="174"/>
        <v>950.65946930404652</v>
      </c>
      <c r="O668" s="121" t="str">
        <f t="shared" si="175"/>
        <v>OK</v>
      </c>
      <c r="P668">
        <f t="shared" si="176"/>
        <v>1150.6459877730351</v>
      </c>
      <c r="Q668">
        <f t="shared" si="177"/>
        <v>0.24442548562189817</v>
      </c>
      <c r="R668">
        <f t="shared" si="178"/>
        <v>0.2</v>
      </c>
      <c r="S668">
        <f t="shared" si="179"/>
        <v>1.2</v>
      </c>
      <c r="T668" s="89">
        <f t="shared" si="180"/>
        <v>3</v>
      </c>
      <c r="U668" s="126">
        <f>IF($D668="",0,IFERROR(LOOKUP(2,1/(($D$3:D667=$D668)*($C$3:C667=$C668)*($A$3:A667&lt;$A668)),$AB$3:AB667),1000))</f>
        <v>976.5643856459227</v>
      </c>
      <c r="V668" s="126">
        <f t="shared" si="181"/>
        <v>962.83268348012984</v>
      </c>
      <c r="W668">
        <f t="shared" si="182"/>
        <v>1103.1394731752766</v>
      </c>
      <c r="X668">
        <f t="shared" si="183"/>
        <v>0.30838705478798034</v>
      </c>
      <c r="Y668">
        <f t="shared" si="184"/>
        <v>1023.9619488456792</v>
      </c>
      <c r="Z668">
        <f t="shared" si="185"/>
        <v>0.43220944652385129</v>
      </c>
      <c r="AA668">
        <f>IF($D668="",0,IF($F668&lt;2,0,IF($E668="Win",('Guide &amp; Settings'!$C$42/(($F668-1)*COUNTIFS($A$4:$A$810,$A668,$E$4:$E$810,"Win")))*SUMIFS($Z$4:$Z$810,$A$4:$A$810,$A668,$E$4:$E$810,"Loss"),-('Guide &amp; Settings'!$C$42/($F668-1))*$Z668)))</f>
        <v>-6.9153511443816207</v>
      </c>
      <c r="AB668" s="126">
        <f t="shared" si="186"/>
        <v>969.64903450154111</v>
      </c>
      <c r="AC668" s="126"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0</v>
      </c>
    </row>
    <row r="669" spans="1:29" x14ac:dyDescent="0.2">
      <c r="A669" s="117">
        <v>282</v>
      </c>
      <c r="B669" s="118">
        <v>46271</v>
      </c>
      <c r="C669" s="119" t="s">
        <v>42</v>
      </c>
      <c r="D669" s="119" t="s">
        <v>20</v>
      </c>
      <c r="E669" s="117" t="s">
        <v>379</v>
      </c>
      <c r="F669" s="120">
        <f t="shared" si="170"/>
        <v>3</v>
      </c>
      <c r="G669" s="121" t="str">
        <f t="shared" si="171"/>
        <v>Simon</v>
      </c>
      <c r="H669" s="122">
        <f>IF($D669="",0,IFERROR(LOOKUP(2,1/(($D$3:D668=$D669)*($A$3:A668&lt;$A669)),$N$3:N668),'Guide &amp; Settings'!$C$41))</f>
        <v>1279.4683066115135</v>
      </c>
      <c r="I669" s="123">
        <f t="shared" si="172"/>
        <v>0.2857142857142857</v>
      </c>
      <c r="J669" s="124">
        <f>IF($D669="",0,IF($F669&lt;2,0,IF($E669="Win",('Guide &amp; Settings'!$C$42/(($F669-1)*COUNTIFS($A$4:$A$810,$A669,$E$4:$E$810,"Win")))*SUMIFS($X$4:$X$810,$A$4:$A$810,$A669,$E$4:$E$810,"Loss"),-('Guide &amp; Settings'!$C$42/($F669-1))*$X669)))</f>
        <v>-8.8676941861363439</v>
      </c>
      <c r="K669" s="124">
        <f>IF($D669="",0,'Guide &amp; Settings'!$C$43*(IF($E669="Win",1,0)-$I669))</f>
        <v>-3.4285714285714284</v>
      </c>
      <c r="L669" s="125">
        <f>IF($D669="",0,'Guide &amp; Settings'!$C$44*IF($F669&gt;=3,$F669,0))</f>
        <v>3</v>
      </c>
      <c r="M669" s="124">
        <f t="shared" si="173"/>
        <v>-9.2962656147077727</v>
      </c>
      <c r="N669" s="122">
        <f t="shared" si="174"/>
        <v>1270.1720409968057</v>
      </c>
      <c r="O669" s="121" t="str">
        <f t="shared" si="175"/>
        <v>OK</v>
      </c>
      <c r="P669">
        <f t="shared" si="176"/>
        <v>1174.3479488372172</v>
      </c>
      <c r="Q669">
        <f t="shared" si="177"/>
        <v>0.64682713090125588</v>
      </c>
      <c r="R669">
        <f t="shared" si="178"/>
        <v>0.33333333333333331</v>
      </c>
      <c r="S669">
        <f t="shared" si="179"/>
        <v>1.1666666666666667</v>
      </c>
      <c r="T669" s="89">
        <f t="shared" si="180"/>
        <v>4</v>
      </c>
      <c r="U669" s="126">
        <f>IF($D669="",0,IFERROR(LOOKUP(2,1/(($D$3:D668=$D669)*($C$3:C668=$C669)*($A$3:A668&lt;$A669)),$AB$3:AB668),1000))</f>
        <v>992.0365971927464</v>
      </c>
      <c r="V669" s="126">
        <f t="shared" si="181"/>
        <v>1151.7208802031726</v>
      </c>
      <c r="W669">
        <f t="shared" si="182"/>
        <v>1113.888579712104</v>
      </c>
      <c r="X669">
        <f t="shared" si="183"/>
        <v>0.55423088663352149</v>
      </c>
      <c r="Y669">
        <f t="shared" si="184"/>
        <v>1038.3143683057126</v>
      </c>
      <c r="Z669">
        <f t="shared" si="185"/>
        <v>0.43379201978738685</v>
      </c>
      <c r="AA669">
        <f>IF($D669="",0,IF($F669&lt;2,0,IF($E669="Win",('Guide &amp; Settings'!$C$42/(($F669-1)*COUNTIFS($A$4:$A$810,$A669,$E$4:$E$810,"Win")))*SUMIFS($Z$4:$Z$810,$A$4:$A$810,$A669,$E$4:$E$810,"Loss"),-('Guide &amp; Settings'!$C$42/($F669-1))*$Z669)))</f>
        <v>-6.9406723165981896</v>
      </c>
      <c r="AB669" s="126">
        <f t="shared" si="186"/>
        <v>985.09592487614816</v>
      </c>
      <c r="AC669" s="126"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0</v>
      </c>
    </row>
    <row r="670" spans="1:29" x14ac:dyDescent="0.2">
      <c r="A670" s="117">
        <v>282</v>
      </c>
      <c r="B670" s="118">
        <v>46271</v>
      </c>
      <c r="C670" s="119" t="s">
        <v>42</v>
      </c>
      <c r="D670" s="119" t="s">
        <v>21</v>
      </c>
      <c r="E670" s="117" t="s">
        <v>378</v>
      </c>
      <c r="F670" s="120">
        <f t="shared" si="170"/>
        <v>3</v>
      </c>
      <c r="G670" s="121" t="str">
        <f t="shared" si="171"/>
        <v>Simon</v>
      </c>
      <c r="H670" s="122">
        <f>IF($D670="",0,IFERROR(LOOKUP(2,1/(($D$3:D669=$D670)*($A$3:A669&lt;$A670)),$N$3:N669),'Guide &amp; Settings'!$C$41))</f>
        <v>1174.3479488372172</v>
      </c>
      <c r="I670" s="123">
        <f t="shared" si="172"/>
        <v>0.5714285714285714</v>
      </c>
      <c r="J670" s="124">
        <f>IF($D670="",0,IF($F670&lt;2,0,IF($E670="Win",('Guide &amp; Settings'!$C$42/(($F670-1)*COUNTIFS($A$4:$A$810,$A670,$E$4:$E$810,"Win")))*SUMIFS($X$4:$X$810,$A$4:$A$810,$A670,$E$4:$E$810,"Loss"),-('Guide &amp; Settings'!$C$42/($F670-1))*$X670)))</f>
        <v>13.522022028855051</v>
      </c>
      <c r="K670" s="124">
        <f>IF($D670="",0,'Guide &amp; Settings'!$C$43*(IF($E670="Win",1,0)-$I670))</f>
        <v>5.1428571428571432</v>
      </c>
      <c r="L670" s="125">
        <f>IF($D670="",0,'Guide &amp; Settings'!$C$44*IF($F670&gt;=3,$F670,0))</f>
        <v>3</v>
      </c>
      <c r="M670" s="124">
        <f t="shared" si="173"/>
        <v>21.664879171712194</v>
      </c>
      <c r="N670" s="122">
        <f t="shared" si="174"/>
        <v>1196.0128280089295</v>
      </c>
      <c r="O670" s="121" t="str">
        <f t="shared" si="175"/>
        <v>OK</v>
      </c>
      <c r="P670">
        <f t="shared" si="176"/>
        <v>1174.3479488372172</v>
      </c>
      <c r="Q670">
        <f t="shared" si="177"/>
        <v>0.5</v>
      </c>
      <c r="R670">
        <f t="shared" si="178"/>
        <v>0.66666666666666663</v>
      </c>
      <c r="S670">
        <f t="shared" si="179"/>
        <v>1.1666666666666667</v>
      </c>
      <c r="T670" s="89">
        <f t="shared" si="180"/>
        <v>4</v>
      </c>
      <c r="U670" s="126">
        <f>IF($D670="",0,IFERROR(LOOKUP(2,1/(($D$3:D669=$D670)*($C$3:C669=$C670)*($A$3:A669&lt;$A670)),$AB$3:AB669),1000))</f>
        <v>1038.3143683057126</v>
      </c>
      <c r="V670" s="126">
        <f t="shared" si="181"/>
        <v>1113.888579712104</v>
      </c>
      <c r="W670">
        <f t="shared" si="182"/>
        <v>1113.888579712104</v>
      </c>
      <c r="X670">
        <f t="shared" si="183"/>
        <v>0.5</v>
      </c>
      <c r="Y670">
        <f t="shared" si="184"/>
        <v>1038.3143683057126</v>
      </c>
      <c r="Z670">
        <f t="shared" si="185"/>
        <v>0.5</v>
      </c>
      <c r="AA670">
        <f>IF($D670="",0,IF($F670&lt;2,0,IF($E670="Win",('Guide &amp; Settings'!$C$42/(($F670-1)*COUNTIFS($A$4:$A$810,$A670,$E$4:$E$810,"Win")))*SUMIFS($Z$4:$Z$810,$A$4:$A$810,$A670,$E$4:$E$810,"Loss"),-('Guide &amp; Settings'!$C$42/($F670-1))*$Z670)))</f>
        <v>13.379863319481272</v>
      </c>
      <c r="AB670" s="126">
        <f t="shared" si="186"/>
        <v>1051.6942316251939</v>
      </c>
      <c r="AC670" s="126"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0</v>
      </c>
    </row>
    <row r="671" spans="1:29" x14ac:dyDescent="0.2">
      <c r="A671" s="117">
        <v>282</v>
      </c>
      <c r="B671" s="118">
        <v>46271</v>
      </c>
      <c r="C671" s="119" t="s">
        <v>42</v>
      </c>
      <c r="D671" s="119" t="s">
        <v>25</v>
      </c>
      <c r="E671" s="117" t="s">
        <v>379</v>
      </c>
      <c r="F671" s="120">
        <f t="shared" si="170"/>
        <v>3</v>
      </c>
      <c r="G671" s="121" t="str">
        <f t="shared" si="171"/>
        <v>Simon</v>
      </c>
      <c r="H671" s="122">
        <f>IF($D671="",0,IFERROR(LOOKUP(2,1/(($D$3:D670=$D671)*($A$3:A670&lt;$A671)),$N$3:N670),'Guide &amp; Settings'!$C$41))</f>
        <v>950.65946930404652</v>
      </c>
      <c r="I671" s="123">
        <f t="shared" si="172"/>
        <v>0.14285714285714285</v>
      </c>
      <c r="J671" s="124">
        <f>IF($D671="",0,IF($F671&lt;2,0,IF($E671="Win",('Guide &amp; Settings'!$C$42/(($F671-1)*COUNTIFS($A$4:$A$810,$A671,$E$4:$E$810,"Win")))*SUMIFS($X$4:$X$810,$A$4:$A$810,$A671,$E$4:$E$810,"Loss"),-('Guide &amp; Settings'!$C$42/($F671-1))*$X671)))</f>
        <v>-4.6543278427187067</v>
      </c>
      <c r="K671" s="124">
        <f>IF($D671="",0,'Guide &amp; Settings'!$C$43*(IF($E671="Win",1,0)-$I671))</f>
        <v>-1.7142857142857142</v>
      </c>
      <c r="L671" s="125">
        <f>IF($D671="",0,'Guide &amp; Settings'!$C$44*IF($F671&gt;=3,$F671,0))</f>
        <v>3</v>
      </c>
      <c r="M671" s="124">
        <f t="shared" si="173"/>
        <v>-3.3686135570044211</v>
      </c>
      <c r="N671" s="122">
        <f t="shared" si="174"/>
        <v>947.29085574704209</v>
      </c>
      <c r="O671" s="121" t="str">
        <f t="shared" si="175"/>
        <v>OK</v>
      </c>
      <c r="P671">
        <f t="shared" si="176"/>
        <v>1174.3479488372172</v>
      </c>
      <c r="Q671">
        <f t="shared" si="177"/>
        <v>0.21625009322002334</v>
      </c>
      <c r="R671">
        <f t="shared" si="178"/>
        <v>0.16666666666666666</v>
      </c>
      <c r="S671">
        <f t="shared" si="179"/>
        <v>1.1666666666666667</v>
      </c>
      <c r="T671" s="89">
        <f t="shared" si="180"/>
        <v>4</v>
      </c>
      <c r="U671" s="126">
        <f>IF($D671="",0,IFERROR(LOOKUP(2,1/(($D$3:D670=$D671)*($C$3:C670=$C671)*($A$3:A670&lt;$A671)),$AB$3:AB670),1000))</f>
        <v>969.64903450154111</v>
      </c>
      <c r="V671" s="126">
        <f t="shared" si="181"/>
        <v>959.09927605848861</v>
      </c>
      <c r="W671">
        <f t="shared" si="182"/>
        <v>1113.888579712104</v>
      </c>
      <c r="X671">
        <f t="shared" si="183"/>
        <v>0.29089549016991917</v>
      </c>
      <c r="Y671">
        <f t="shared" si="184"/>
        <v>1038.3143683057126</v>
      </c>
      <c r="Z671">
        <f t="shared" si="185"/>
        <v>0.40244943768019265</v>
      </c>
      <c r="AA671">
        <f>IF($D671="",0,IF($F671&lt;2,0,IF($E671="Win",('Guide &amp; Settings'!$C$42/(($F671-1)*COUNTIFS($A$4:$A$810,$A671,$E$4:$E$810,"Win")))*SUMIFS($Z$4:$Z$810,$A$4:$A$810,$A671,$E$4:$E$810,"Loss"),-('Guide &amp; Settings'!$C$42/($F671-1))*$Z671)))</f>
        <v>-6.4391910028830823</v>
      </c>
      <c r="AB671" s="126">
        <f t="shared" si="186"/>
        <v>963.20984349865807</v>
      </c>
      <c r="AC671" s="126"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0</v>
      </c>
    </row>
    <row r="672" spans="1:29" x14ac:dyDescent="0.2">
      <c r="A672" s="117">
        <v>283</v>
      </c>
      <c r="B672" s="118">
        <v>46271</v>
      </c>
      <c r="C672" s="119" t="s">
        <v>42</v>
      </c>
      <c r="D672" s="119" t="s">
        <v>20</v>
      </c>
      <c r="E672" s="117" t="s">
        <v>379</v>
      </c>
      <c r="F672" s="120">
        <f t="shared" si="170"/>
        <v>3</v>
      </c>
      <c r="G672" s="121" t="str">
        <f t="shared" si="171"/>
        <v>Simon</v>
      </c>
      <c r="H672" s="122">
        <f>IF($D672="",0,IFERROR(LOOKUP(2,1/(($D$3:D671=$D672)*($A$3:A671&lt;$A672)),$N$3:N671),'Guide &amp; Settings'!$C$41))</f>
        <v>1270.1720409968057</v>
      </c>
      <c r="I672" s="123">
        <f t="shared" si="172"/>
        <v>0.25</v>
      </c>
      <c r="J672" s="124">
        <f>IF($D672="",0,IF($F672&lt;2,0,IF($E672="Win",('Guide &amp; Settings'!$C$42/(($F672-1)*COUNTIFS($A$4:$A$810,$A672,$E$4:$E$810,"Win")))*SUMIFS($X$4:$X$810,$A$4:$A$810,$A672,$E$4:$E$810,"Loss"),-('Guide &amp; Settings'!$C$42/($F672-1))*$X672)))</f>
        <v>-8.0870447147372051</v>
      </c>
      <c r="K672" s="124">
        <f>IF($D672="",0,'Guide &amp; Settings'!$C$43*(IF($E672="Win",1,0)-$I672))</f>
        <v>-3</v>
      </c>
      <c r="L672" s="125">
        <f>IF($D672="",0,'Guide &amp; Settings'!$C$44*IF($F672&gt;=3,$F672,0))</f>
        <v>3</v>
      </c>
      <c r="M672" s="124">
        <f t="shared" si="173"/>
        <v>-8.0870447147372051</v>
      </c>
      <c r="N672" s="122">
        <f t="shared" si="174"/>
        <v>1262.0849962820685</v>
      </c>
      <c r="O672" s="121" t="str">
        <f t="shared" si="175"/>
        <v>OK</v>
      </c>
      <c r="P672">
        <f t="shared" si="176"/>
        <v>1196.0128280089295</v>
      </c>
      <c r="Q672">
        <f t="shared" si="177"/>
        <v>0.60513191914516262</v>
      </c>
      <c r="R672">
        <f t="shared" si="178"/>
        <v>0.2857142857142857</v>
      </c>
      <c r="S672">
        <f t="shared" si="179"/>
        <v>1.1428571428571428</v>
      </c>
      <c r="T672" s="89">
        <f t="shared" si="180"/>
        <v>5</v>
      </c>
      <c r="U672" s="126">
        <f>IF($D672="",0,IFERROR(LOOKUP(2,1/(($D$3:D671=$D672)*($C$3:C671=$C672)*($A$3:A671&lt;$A672)),$AB$3:AB671),1000))</f>
        <v>985.09592487614816</v>
      </c>
      <c r="V672" s="126">
        <f t="shared" si="181"/>
        <v>1127.633982936477</v>
      </c>
      <c r="W672">
        <f t="shared" si="182"/>
        <v>1123.8535298170618</v>
      </c>
      <c r="X672">
        <f t="shared" si="183"/>
        <v>0.50544029467107532</v>
      </c>
      <c r="Y672">
        <f t="shared" si="184"/>
        <v>1051.6942316251939</v>
      </c>
      <c r="Z672">
        <f t="shared" si="185"/>
        <v>0.40531419016534254</v>
      </c>
      <c r="AA672">
        <f>IF($D672="",0,IF($F672&lt;2,0,IF($E672="Win",('Guide &amp; Settings'!$C$42/(($F672-1)*COUNTIFS($A$4:$A$810,$A672,$E$4:$E$810,"Win")))*SUMIFS($Z$4:$Z$810,$A$4:$A$810,$A672,$E$4:$E$810,"Loss"),-('Guide &amp; Settings'!$C$42/($F672-1))*$Z672)))</f>
        <v>-6.4850270426454806</v>
      </c>
      <c r="AB672" s="126">
        <f t="shared" si="186"/>
        <v>978.61089783350269</v>
      </c>
      <c r="AC672" s="126"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0</v>
      </c>
    </row>
    <row r="673" spans="1:29" x14ac:dyDescent="0.2">
      <c r="A673" s="117">
        <v>283</v>
      </c>
      <c r="B673" s="118">
        <v>46271</v>
      </c>
      <c r="C673" s="119" t="s">
        <v>42</v>
      </c>
      <c r="D673" s="119" t="s">
        <v>21</v>
      </c>
      <c r="E673" s="117" t="s">
        <v>378</v>
      </c>
      <c r="F673" s="120">
        <f t="shared" si="170"/>
        <v>3</v>
      </c>
      <c r="G673" s="121" t="str">
        <f t="shared" si="171"/>
        <v>Simon</v>
      </c>
      <c r="H673" s="122">
        <f>IF($D673="",0,IFERROR(LOOKUP(2,1/(($D$3:D672=$D673)*($A$3:A672&lt;$A673)),$N$3:N672),'Guide &amp; Settings'!$C$41))</f>
        <v>1196.0128280089295</v>
      </c>
      <c r="I673" s="123">
        <f t="shared" si="172"/>
        <v>0.625</v>
      </c>
      <c r="J673" s="124">
        <f>IF($D673="",0,IF($F673&lt;2,0,IF($E673="Win",('Guide &amp; Settings'!$C$42/(($F673-1)*COUNTIFS($A$4:$A$810,$A673,$E$4:$E$810,"Win")))*SUMIFS($X$4:$X$810,$A$4:$A$810,$A673,$E$4:$E$810,"Loss"),-('Guide &amp; Settings'!$C$42/($F673-1))*$X673)))</f>
        <v>12.483353678213472</v>
      </c>
      <c r="K673" s="124">
        <f>IF($D673="",0,'Guide &amp; Settings'!$C$43*(IF($E673="Win",1,0)-$I673))</f>
        <v>4.5</v>
      </c>
      <c r="L673" s="125">
        <f>IF($D673="",0,'Guide &amp; Settings'!$C$44*IF($F673&gt;=3,$F673,0))</f>
        <v>3</v>
      </c>
      <c r="M673" s="124">
        <f t="shared" si="173"/>
        <v>19.983353678213472</v>
      </c>
      <c r="N673" s="122">
        <f t="shared" si="174"/>
        <v>1215.996181687143</v>
      </c>
      <c r="O673" s="121" t="str">
        <f t="shared" si="175"/>
        <v>OK</v>
      </c>
      <c r="P673">
        <f t="shared" si="176"/>
        <v>1196.0128280089295</v>
      </c>
      <c r="Q673">
        <f t="shared" si="177"/>
        <v>0.5</v>
      </c>
      <c r="R673">
        <f t="shared" si="178"/>
        <v>0.7142857142857143</v>
      </c>
      <c r="S673">
        <f t="shared" si="179"/>
        <v>1.1428571428571428</v>
      </c>
      <c r="T673" s="89">
        <f t="shared" si="180"/>
        <v>5</v>
      </c>
      <c r="U673" s="126">
        <f>IF($D673="",0,IFERROR(LOOKUP(2,1/(($D$3:D672=$D673)*($C$3:C672=$C673)*($A$3:A672&lt;$A673)),$AB$3:AB672),1000))</f>
        <v>1051.6942316251939</v>
      </c>
      <c r="V673" s="126">
        <f t="shared" si="181"/>
        <v>1123.8535298170618</v>
      </c>
      <c r="W673">
        <f t="shared" si="182"/>
        <v>1123.8535298170618</v>
      </c>
      <c r="X673">
        <f t="shared" si="183"/>
        <v>0.5</v>
      </c>
      <c r="Y673">
        <f t="shared" si="184"/>
        <v>1051.6942316251939</v>
      </c>
      <c r="Z673">
        <f t="shared" si="185"/>
        <v>0.5</v>
      </c>
      <c r="AA673">
        <f>IF($D673="",0,IF($F673&lt;2,0,IF($E673="Win",('Guide &amp; Settings'!$C$42/(($F673-1)*COUNTIFS($A$4:$A$810,$A673,$E$4:$E$810,"Win")))*SUMIFS($Z$4:$Z$810,$A$4:$A$810,$A673,$E$4:$E$810,"Loss"),-('Guide &amp; Settings'!$C$42/($F673-1))*$Z673)))</f>
        <v>12.490535081911496</v>
      </c>
      <c r="AB673" s="126">
        <f t="shared" si="186"/>
        <v>1064.1847667071054</v>
      </c>
      <c r="AC673" s="126"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0</v>
      </c>
    </row>
    <row r="674" spans="1:29" x14ac:dyDescent="0.2">
      <c r="A674" s="117">
        <v>283</v>
      </c>
      <c r="B674" s="118">
        <v>46271</v>
      </c>
      <c r="C674" s="119" t="s">
        <v>42</v>
      </c>
      <c r="D674" s="119" t="s">
        <v>25</v>
      </c>
      <c r="E674" s="117" t="s">
        <v>379</v>
      </c>
      <c r="F674" s="120">
        <f t="shared" si="170"/>
        <v>3</v>
      </c>
      <c r="G674" s="121" t="str">
        <f t="shared" si="171"/>
        <v>Simon</v>
      </c>
      <c r="H674" s="122">
        <f>IF($D674="",0,IFERROR(LOOKUP(2,1/(($D$3:D673=$D674)*($A$3:A673&lt;$A674)),$N$3:N673),'Guide &amp; Settings'!$C$41))</f>
        <v>947.29085574704209</v>
      </c>
      <c r="I674" s="123">
        <f t="shared" si="172"/>
        <v>0.125</v>
      </c>
      <c r="J674" s="124">
        <f>IF($D674="",0,IF($F674&lt;2,0,IF($E674="Win",('Guide &amp; Settings'!$C$42/(($F674-1)*COUNTIFS($A$4:$A$810,$A674,$E$4:$E$810,"Win")))*SUMIFS($X$4:$X$810,$A$4:$A$810,$A674,$E$4:$E$810,"Loss"),-('Guide &amp; Settings'!$C$42/($F674-1))*$X674)))</f>
        <v>-4.3963089634762662</v>
      </c>
      <c r="K674" s="124">
        <f>IF($D674="",0,'Guide &amp; Settings'!$C$43*(IF($E674="Win",1,0)-$I674))</f>
        <v>-1.5</v>
      </c>
      <c r="L674" s="125">
        <f>IF($D674="",0,'Guide &amp; Settings'!$C$44*IF($F674&gt;=3,$F674,0))</f>
        <v>3</v>
      </c>
      <c r="M674" s="124">
        <f t="shared" si="173"/>
        <v>-2.8963089634762662</v>
      </c>
      <c r="N674" s="122">
        <f t="shared" si="174"/>
        <v>944.39454678356583</v>
      </c>
      <c r="O674" s="121" t="str">
        <f t="shared" si="175"/>
        <v>OK</v>
      </c>
      <c r="P674">
        <f t="shared" si="176"/>
        <v>1196.0128280089295</v>
      </c>
      <c r="Q674">
        <f t="shared" si="177"/>
        <v>0.1928247963257963</v>
      </c>
      <c r="R674">
        <f t="shared" si="178"/>
        <v>0.14285714285714285</v>
      </c>
      <c r="S674">
        <f t="shared" si="179"/>
        <v>1.1428571428571428</v>
      </c>
      <c r="T674" s="89">
        <f t="shared" si="180"/>
        <v>5</v>
      </c>
      <c r="U674" s="126">
        <f>IF($D674="",0,IFERROR(LOOKUP(2,1/(($D$3:D673=$D674)*($C$3:C673=$C674)*($A$3:A673&lt;$A674)),$AB$3:AB673),1000))</f>
        <v>963.20984349865807</v>
      </c>
      <c r="V674" s="126">
        <f t="shared" si="181"/>
        <v>955.25034962285008</v>
      </c>
      <c r="W674">
        <f t="shared" si="182"/>
        <v>1123.8535298170618</v>
      </c>
      <c r="X674">
        <f t="shared" si="183"/>
        <v>0.27476931021726664</v>
      </c>
      <c r="Y674">
        <f t="shared" si="184"/>
        <v>1051.6942316251939</v>
      </c>
      <c r="Z674">
        <f t="shared" si="185"/>
        <v>0.375344252454126</v>
      </c>
      <c r="AA674">
        <f>IF($D674="",0,IF($F674&lt;2,0,IF($E674="Win",('Guide &amp; Settings'!$C$42/(($F674-1)*COUNTIFS($A$4:$A$810,$A674,$E$4:$E$810,"Win")))*SUMIFS($Z$4:$Z$810,$A$4:$A$810,$A674,$E$4:$E$810,"Loss"),-('Guide &amp; Settings'!$C$42/($F674-1))*$Z674)))</f>
        <v>-6.0055080392660161</v>
      </c>
      <c r="AB674" s="126">
        <f t="shared" si="186"/>
        <v>957.20433545939204</v>
      </c>
      <c r="AC674" s="126"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0</v>
      </c>
    </row>
    <row r="675" spans="1:29" x14ac:dyDescent="0.2">
      <c r="A675" s="117">
        <v>284</v>
      </c>
      <c r="B675" s="118">
        <v>46272</v>
      </c>
      <c r="C675" s="119" t="s">
        <v>37</v>
      </c>
      <c r="D675" s="119" t="s">
        <v>19</v>
      </c>
      <c r="E675" s="117" t="s">
        <v>378</v>
      </c>
      <c r="F675" s="120">
        <f t="shared" si="170"/>
        <v>2</v>
      </c>
      <c r="G675" s="121" t="str">
        <f t="shared" si="171"/>
        <v>Josh</v>
      </c>
      <c r="H675" s="122">
        <f>IF($D675="",0,IFERROR(LOOKUP(2,1/(($D$3:D674=$D675)*($A$3:A674&lt;$A675)),$N$3:N674),'Guide &amp; Settings'!$C$41))</f>
        <v>1155.9112046633588</v>
      </c>
      <c r="I675" s="123">
        <f t="shared" si="172"/>
        <v>0.33333333333333331</v>
      </c>
      <c r="J675" s="124">
        <f>IF($D675="",0,IF($F675&lt;2,0,IF($E675="Win",('Guide &amp; Settings'!$C$42/(($F675-1)*COUNTIFS($A$4:$A$810,$A675,$E$4:$E$810,"Win")))*SUMIFS($X$4:$X$810,$A$4:$A$810,$A675,$E$4:$E$810,"Loss"),-('Guide &amp; Settings'!$C$42/($F675-1))*$X675)))</f>
        <v>11.469950293031152</v>
      </c>
      <c r="K675" s="124">
        <f>IF($D675="",0,'Guide &amp; Settings'!$C$43*(IF($E675="Win",1,0)-$I675))</f>
        <v>8</v>
      </c>
      <c r="L675" s="125">
        <f>IF($D675="",0,'Guide &amp; Settings'!$C$44*IF($F675&gt;=3,$F675,0))</f>
        <v>0</v>
      </c>
      <c r="M675" s="124">
        <f t="shared" si="173"/>
        <v>19.469950293031154</v>
      </c>
      <c r="N675" s="122">
        <f t="shared" si="174"/>
        <v>1175.38115495639</v>
      </c>
      <c r="O675" s="121" t="str">
        <f t="shared" si="175"/>
        <v>OK</v>
      </c>
      <c r="P675">
        <f t="shared" si="176"/>
        <v>1155.9112046633588</v>
      </c>
      <c r="Q675">
        <f t="shared" si="177"/>
        <v>0.5</v>
      </c>
      <c r="R675">
        <f t="shared" si="178"/>
        <v>0.25</v>
      </c>
      <c r="S675">
        <f t="shared" si="179"/>
        <v>0.75</v>
      </c>
      <c r="T675" s="89">
        <f t="shared" si="180"/>
        <v>2</v>
      </c>
      <c r="U675" s="126">
        <f>IF($D675="",0,IFERROR(LOOKUP(2,1/(($D$3:D674=$D675)*($C$3:C674=$C675)*($A$3:A674&lt;$A675)),$AB$3:AB674),1000))</f>
        <v>968.56830839539452</v>
      </c>
      <c r="V675" s="126">
        <f t="shared" si="181"/>
        <v>1102.3846628725119</v>
      </c>
      <c r="W675">
        <f t="shared" si="182"/>
        <v>1102.3846628725119</v>
      </c>
      <c r="X675">
        <f t="shared" si="183"/>
        <v>0.5</v>
      </c>
      <c r="Y675">
        <f t="shared" si="184"/>
        <v>968.56830839539452</v>
      </c>
      <c r="Z675">
        <f t="shared" si="185"/>
        <v>0.5</v>
      </c>
      <c r="AA675">
        <f>IF($D675="",0,IF($F675&lt;2,0,IF($E675="Win",('Guide &amp; Settings'!$C$42/(($F675-1)*COUNTIFS($A$4:$A$810,$A675,$E$4:$E$810,"Win")))*SUMIFS($Z$4:$Z$810,$A$4:$A$810,$A675,$E$4:$E$810,"Loss"),-('Guide &amp; Settings'!$C$42/($F675-1))*$Z675)))</f>
        <v>17.253803826088745</v>
      </c>
      <c r="AB675" s="126">
        <f t="shared" si="186"/>
        <v>985.82211222148328</v>
      </c>
      <c r="AC675" s="126"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0</v>
      </c>
    </row>
    <row r="676" spans="1:29" x14ac:dyDescent="0.2">
      <c r="A676" s="117">
        <v>284</v>
      </c>
      <c r="B676" s="118">
        <v>46272</v>
      </c>
      <c r="C676" s="119" t="s">
        <v>37</v>
      </c>
      <c r="D676" s="119" t="s">
        <v>22</v>
      </c>
      <c r="E676" s="117" t="s">
        <v>379</v>
      </c>
      <c r="F676" s="120">
        <f t="shared" si="170"/>
        <v>2</v>
      </c>
      <c r="G676" s="121" t="str">
        <f t="shared" si="171"/>
        <v>Josh</v>
      </c>
      <c r="H676" s="122">
        <f>IF($D676="",0,IFERROR(LOOKUP(2,1/(($D$3:D675=$D676)*($A$3:A675&lt;$A676)),$N$3:N675),'Guide &amp; Settings'!$C$41))</f>
        <v>1007.7369116310465</v>
      </c>
      <c r="I676" s="123">
        <f t="shared" si="172"/>
        <v>0.66666666666666663</v>
      </c>
      <c r="J676" s="124">
        <f>IF($D676="",0,IF($F676&lt;2,0,IF($E676="Win",('Guide &amp; Settings'!$C$42/(($F676-1)*COUNTIFS($A$4:$A$810,$A676,$E$4:$E$810,"Win")))*SUMIFS($X$4:$X$810,$A$4:$A$810,$A676,$E$4:$E$810,"Loss"),-('Guide &amp; Settings'!$C$42/($F676-1))*$X676)))</f>
        <v>-11.469950293031152</v>
      </c>
      <c r="K676" s="124">
        <f>IF($D676="",0,'Guide &amp; Settings'!$C$43*(IF($E676="Win",1,0)-$I676))</f>
        <v>-8</v>
      </c>
      <c r="L676" s="125">
        <f>IF($D676="",0,'Guide &amp; Settings'!$C$44*IF($F676&gt;=3,$F676,0))</f>
        <v>0</v>
      </c>
      <c r="M676" s="124">
        <f t="shared" si="173"/>
        <v>-19.469950293031154</v>
      </c>
      <c r="N676" s="122">
        <f t="shared" si="174"/>
        <v>988.26696133801534</v>
      </c>
      <c r="O676" s="121" t="str">
        <f t="shared" si="175"/>
        <v>OK</v>
      </c>
      <c r="P676">
        <f t="shared" si="176"/>
        <v>1155.9112046633588</v>
      </c>
      <c r="Q676">
        <f t="shared" si="177"/>
        <v>0.29881234163497661</v>
      </c>
      <c r="R676">
        <f t="shared" si="178"/>
        <v>0.5</v>
      </c>
      <c r="S676">
        <f t="shared" si="179"/>
        <v>0.75</v>
      </c>
      <c r="T676" s="89">
        <f t="shared" si="180"/>
        <v>6</v>
      </c>
      <c r="U676" s="126">
        <f>IF($D676="",0,IFERROR(LOOKUP(2,1/(($D$3:D675=$D676)*($C$3:C675=$C676)*($A$3:A675&lt;$A676)),$AB$3:AB675),1000))</f>
        <v>995.85024786256349</v>
      </c>
      <c r="V676" s="126">
        <f t="shared" si="181"/>
        <v>1001.2532768482375</v>
      </c>
      <c r="W676">
        <f t="shared" si="182"/>
        <v>1102.3846628725119</v>
      </c>
      <c r="X676">
        <f t="shared" si="183"/>
        <v>0.3584359466572235</v>
      </c>
      <c r="Y676">
        <f t="shared" si="184"/>
        <v>968.56830839539452</v>
      </c>
      <c r="Z676">
        <f t="shared" si="185"/>
        <v>0.53918136956527329</v>
      </c>
      <c r="AA676">
        <f>IF($D676="",0,IF($F676&lt;2,0,IF($E676="Win",('Guide &amp; Settings'!$C$42/(($F676-1)*COUNTIFS($A$4:$A$810,$A676,$E$4:$E$810,"Win")))*SUMIFS($Z$4:$Z$810,$A$4:$A$810,$A676,$E$4:$E$810,"Loss"),-('Guide &amp; Settings'!$C$42/($F676-1))*$Z676)))</f>
        <v>-17.253803826088745</v>
      </c>
      <c r="AB676" s="126">
        <f t="shared" si="186"/>
        <v>978.59644403647474</v>
      </c>
      <c r="AC676" s="126"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0</v>
      </c>
    </row>
    <row r="677" spans="1:29" x14ac:dyDescent="0.2">
      <c r="A677" s="117">
        <v>285</v>
      </c>
      <c r="B677" s="118">
        <v>46272</v>
      </c>
      <c r="C677" s="119" t="s">
        <v>37</v>
      </c>
      <c r="D677" s="119" t="s">
        <v>19</v>
      </c>
      <c r="E677" s="117" t="s">
        <v>378</v>
      </c>
      <c r="F677" s="120">
        <f t="shared" si="170"/>
        <v>2</v>
      </c>
      <c r="G677" s="121" t="str">
        <f t="shared" si="171"/>
        <v>Josh</v>
      </c>
      <c r="H677" s="122">
        <f>IF($D677="",0,IFERROR(LOOKUP(2,1/(($D$3:D676=$D677)*($A$3:A676&lt;$A677)),$N$3:N676),'Guide &amp; Settings'!$C$41))</f>
        <v>1175.38115495639</v>
      </c>
      <c r="I677" s="123">
        <f t="shared" si="172"/>
        <v>0.47368421052631582</v>
      </c>
      <c r="J677" s="124">
        <f>IF($D677="",0,IF($F677&lt;2,0,IF($E677="Win",('Guide &amp; Settings'!$C$42/(($F677-1)*COUNTIFS($A$4:$A$810,$A677,$E$4:$E$810,"Win")))*SUMIFS($X$4:$X$810,$A$4:$A$810,$A677,$E$4:$E$810,"Loss"),-('Guide &amp; Settings'!$C$42/($F677-1))*$X677)))</f>
        <v>10.615204779488243</v>
      </c>
      <c r="K677" s="124">
        <f>IF($D677="",0,'Guide &amp; Settings'!$C$43*(IF($E677="Win",1,0)-$I677))</f>
        <v>6.3157894736842106</v>
      </c>
      <c r="L677" s="125">
        <f>IF($D677="",0,'Guide &amp; Settings'!$C$44*IF($F677&gt;=3,$F677,0))</f>
        <v>0</v>
      </c>
      <c r="M677" s="124">
        <f t="shared" si="173"/>
        <v>16.930994253172454</v>
      </c>
      <c r="N677" s="122">
        <f t="shared" si="174"/>
        <v>1192.3121492095624</v>
      </c>
      <c r="O677" s="121" t="str">
        <f t="shared" si="175"/>
        <v>OK</v>
      </c>
      <c r="P677">
        <f t="shared" si="176"/>
        <v>1175.38115495639</v>
      </c>
      <c r="Q677">
        <f t="shared" si="177"/>
        <v>0.5</v>
      </c>
      <c r="R677">
        <f t="shared" si="178"/>
        <v>0.4</v>
      </c>
      <c r="S677">
        <f t="shared" si="179"/>
        <v>0.84444444444444444</v>
      </c>
      <c r="T677" s="89">
        <f t="shared" si="180"/>
        <v>3</v>
      </c>
      <c r="U677" s="126">
        <f>IF($D677="",0,IFERROR(LOOKUP(2,1/(($D$3:D676=$D677)*($C$3:C676=$C677)*($A$3:A676&lt;$A677)),$AB$3:AB676),1000))</f>
        <v>985.82211222148328</v>
      </c>
      <c r="V677" s="126">
        <f t="shared" si="181"/>
        <v>1104.2965139307998</v>
      </c>
      <c r="W677">
        <f t="shared" si="182"/>
        <v>1104.2965139307998</v>
      </c>
      <c r="X677">
        <f t="shared" si="183"/>
        <v>0.5</v>
      </c>
      <c r="Y677">
        <f t="shared" si="184"/>
        <v>985.82211222148328</v>
      </c>
      <c r="Z677">
        <f t="shared" si="185"/>
        <v>0.5</v>
      </c>
      <c r="AA677">
        <f>IF($D677="",0,IF($F677&lt;2,0,IF($E677="Win",('Guide &amp; Settings'!$C$42/(($F677-1)*COUNTIFS($A$4:$A$810,$A677,$E$4:$E$810,"Win")))*SUMIFS($Z$4:$Z$810,$A$4:$A$810,$A677,$E$4:$E$810,"Loss"),-('Guide &amp; Settings'!$C$42/($F677-1))*$Z677)))</f>
        <v>15.667293649142781</v>
      </c>
      <c r="AB677" s="126">
        <f t="shared" si="186"/>
        <v>1001.4894058706261</v>
      </c>
      <c r="AC677" s="126"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0</v>
      </c>
    </row>
    <row r="678" spans="1:29" x14ac:dyDescent="0.2">
      <c r="A678" s="117">
        <v>285</v>
      </c>
      <c r="B678" s="118">
        <v>46272</v>
      </c>
      <c r="C678" s="119" t="s">
        <v>37</v>
      </c>
      <c r="D678" s="119" t="s">
        <v>22</v>
      </c>
      <c r="E678" s="117" t="s">
        <v>379</v>
      </c>
      <c r="F678" s="120">
        <f t="shared" si="170"/>
        <v>2</v>
      </c>
      <c r="G678" s="121" t="str">
        <f t="shared" si="171"/>
        <v>Josh</v>
      </c>
      <c r="H678" s="122">
        <f>IF($D678="",0,IFERROR(LOOKUP(2,1/(($D$3:D677=$D678)*($A$3:A677&lt;$A678)),$N$3:N677),'Guide &amp; Settings'!$C$41))</f>
        <v>988.26696133801534</v>
      </c>
      <c r="I678" s="123">
        <f t="shared" si="172"/>
        <v>0.52631578947368418</v>
      </c>
      <c r="J678" s="124">
        <f>IF($D678="",0,IF($F678&lt;2,0,IF($E678="Win",('Guide &amp; Settings'!$C$42/(($F678-1)*COUNTIFS($A$4:$A$810,$A678,$E$4:$E$810,"Win")))*SUMIFS($X$4:$X$810,$A$4:$A$810,$A678,$E$4:$E$810,"Loss"),-('Guide &amp; Settings'!$C$42/($F678-1))*$X678)))</f>
        <v>-10.615204779488243</v>
      </c>
      <c r="K678" s="124">
        <f>IF($D678="",0,'Guide &amp; Settings'!$C$43*(IF($E678="Win",1,0)-$I678))</f>
        <v>-6.3157894736842106</v>
      </c>
      <c r="L678" s="125">
        <f>IF($D678="",0,'Guide &amp; Settings'!$C$44*IF($F678&gt;=3,$F678,0))</f>
        <v>0</v>
      </c>
      <c r="M678" s="124">
        <f t="shared" si="173"/>
        <v>-16.930994253172454</v>
      </c>
      <c r="N678" s="122">
        <f t="shared" si="174"/>
        <v>971.33596708484288</v>
      </c>
      <c r="O678" s="121" t="str">
        <f t="shared" si="175"/>
        <v>OK</v>
      </c>
      <c r="P678">
        <f t="shared" si="176"/>
        <v>1175.38115495639</v>
      </c>
      <c r="Q678">
        <f t="shared" si="177"/>
        <v>0.25405219707531534</v>
      </c>
      <c r="R678">
        <f t="shared" si="178"/>
        <v>0.44444444444444442</v>
      </c>
      <c r="S678">
        <f t="shared" si="179"/>
        <v>0.84444444444444444</v>
      </c>
      <c r="T678" s="89">
        <f t="shared" si="180"/>
        <v>7</v>
      </c>
      <c r="U678" s="126">
        <f>IF($D678="",0,IFERROR(LOOKUP(2,1/(($D$3:D677=$D678)*($C$3:C677=$C678)*($A$3:A677&lt;$A678)),$AB$3:AB677),1000))</f>
        <v>978.59644403647474</v>
      </c>
      <c r="V678" s="126">
        <f t="shared" si="181"/>
        <v>982.62582624545007</v>
      </c>
      <c r="W678">
        <f t="shared" si="182"/>
        <v>1104.2965139307998</v>
      </c>
      <c r="X678">
        <f t="shared" si="183"/>
        <v>0.3317251493590076</v>
      </c>
      <c r="Y678">
        <f t="shared" si="184"/>
        <v>985.82211222148328</v>
      </c>
      <c r="Z678">
        <f t="shared" si="185"/>
        <v>0.48960292653571191</v>
      </c>
      <c r="AA678">
        <f>IF($D678="",0,IF($F678&lt;2,0,IF($E678="Win",('Guide &amp; Settings'!$C$42/(($F678-1)*COUNTIFS($A$4:$A$810,$A678,$E$4:$E$810,"Win")))*SUMIFS($Z$4:$Z$810,$A$4:$A$810,$A678,$E$4:$E$810,"Loss"),-('Guide &amp; Settings'!$C$42/($F678-1))*$Z678)))</f>
        <v>-15.667293649142781</v>
      </c>
      <c r="AB678" s="126">
        <f t="shared" si="186"/>
        <v>962.9291503873319</v>
      </c>
      <c r="AC678" s="126"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0</v>
      </c>
    </row>
    <row r="679" spans="1:29" x14ac:dyDescent="0.2">
      <c r="A679" s="117">
        <v>286</v>
      </c>
      <c r="B679" s="118">
        <v>46274</v>
      </c>
      <c r="C679" s="119" t="s">
        <v>33</v>
      </c>
      <c r="D679" s="119" t="s">
        <v>20</v>
      </c>
      <c r="E679" s="117" t="s">
        <v>378</v>
      </c>
      <c r="F679" s="120">
        <f t="shared" si="170"/>
        <v>2</v>
      </c>
      <c r="G679" s="121" t="str">
        <f t="shared" si="171"/>
        <v>Shawn</v>
      </c>
      <c r="H679" s="122">
        <f>IF($D679="",0,IFERROR(LOOKUP(2,1/(($D$3:D678=$D679)*($A$3:A678&lt;$A679)),$N$3:N678),'Guide &amp; Settings'!$C$41))</f>
        <v>1262.0849962820685</v>
      </c>
      <c r="I679" s="123">
        <f t="shared" si="172"/>
        <v>0.5625</v>
      </c>
      <c r="J679" s="124">
        <f>IF($D679="",0,IF($F679&lt;2,0,IF($E679="Win",('Guide &amp; Settings'!$C$42/(($F679-1)*COUNTIFS($A$4:$A$810,$A679,$E$4:$E$810,"Win")))*SUMIFS($X$4:$X$810,$A$4:$A$810,$A679,$E$4:$E$810,"Loss"),-('Guide &amp; Settings'!$C$42/($F679-1))*$X679)))</f>
        <v>12.406408941571216</v>
      </c>
      <c r="K679" s="124">
        <f>IF($D679="",0,'Guide &amp; Settings'!$C$43*(IF($E679="Win",1,0)-$I679))</f>
        <v>5.25</v>
      </c>
      <c r="L679" s="125">
        <f>IF($D679="",0,'Guide &amp; Settings'!$C$44*IF($F679&gt;=3,$F679,0))</f>
        <v>0</v>
      </c>
      <c r="M679" s="124">
        <f t="shared" si="173"/>
        <v>17.656408941571215</v>
      </c>
      <c r="N679" s="122">
        <f t="shared" si="174"/>
        <v>1279.7414052236397</v>
      </c>
      <c r="O679" s="121" t="str">
        <f t="shared" si="175"/>
        <v>OK</v>
      </c>
      <c r="P679">
        <f t="shared" si="176"/>
        <v>1262.0849962820685</v>
      </c>
      <c r="Q679">
        <f t="shared" si="177"/>
        <v>0.5</v>
      </c>
      <c r="R679">
        <f t="shared" si="178"/>
        <v>0.8571428571428571</v>
      </c>
      <c r="S679">
        <f t="shared" si="179"/>
        <v>1.5238095238095237</v>
      </c>
      <c r="T679" s="89">
        <f t="shared" si="180"/>
        <v>5</v>
      </c>
      <c r="U679" s="126">
        <f>IF($D679="",0,IFERROR(LOOKUP(2,1/(($D$3:D678=$D679)*($C$3:C678=$C679)*($A$3:A678&lt;$A679)),$AB$3:AB678),1000))</f>
        <v>1066.8312456204001</v>
      </c>
      <c r="V679" s="126">
        <f t="shared" si="181"/>
        <v>1164.4581209512344</v>
      </c>
      <c r="W679">
        <f t="shared" si="182"/>
        <v>1164.4581209512344</v>
      </c>
      <c r="X679">
        <f t="shared" si="183"/>
        <v>0.5</v>
      </c>
      <c r="Y679">
        <f t="shared" si="184"/>
        <v>1066.8312456204001</v>
      </c>
      <c r="Z679">
        <f t="shared" si="185"/>
        <v>0.5</v>
      </c>
      <c r="AA679">
        <f>IF($D679="",0,IF($F679&lt;2,0,IF($E679="Win",('Guide &amp; Settings'!$C$42/(($F679-1)*COUNTIFS($A$4:$A$810,$A679,$E$4:$E$810,"Win")))*SUMIFS($Z$4:$Z$810,$A$4:$A$810,$A679,$E$4:$E$810,"Loss"),-('Guide &amp; Settings'!$C$42/($F679-1))*$Z679)))</f>
        <v>13.675694843204152</v>
      </c>
      <c r="AB679" s="126">
        <f t="shared" si="186"/>
        <v>1080.5069404636042</v>
      </c>
      <c r="AC679" s="126"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0</v>
      </c>
    </row>
    <row r="680" spans="1:29" x14ac:dyDescent="0.2">
      <c r="A680" s="117">
        <v>286</v>
      </c>
      <c r="B680" s="118">
        <v>46274</v>
      </c>
      <c r="C680" s="119" t="s">
        <v>33</v>
      </c>
      <c r="D680" s="119" t="s">
        <v>17</v>
      </c>
      <c r="E680" s="117" t="s">
        <v>379</v>
      </c>
      <c r="F680" s="120">
        <f t="shared" si="170"/>
        <v>2</v>
      </c>
      <c r="G680" s="121" t="str">
        <f t="shared" si="171"/>
        <v>Shawn</v>
      </c>
      <c r="H680" s="122">
        <f>IF($D680="",0,IFERROR(LOOKUP(2,1/(($D$3:D679=$D680)*($A$3:A679&lt;$A680)),$N$3:N679),'Guide &amp; Settings'!$C$41))</f>
        <v>1098.8851304702137</v>
      </c>
      <c r="I680" s="123">
        <f t="shared" si="172"/>
        <v>0.4375</v>
      </c>
      <c r="J680" s="124">
        <f>IF($D680="",0,IF($F680&lt;2,0,IF($E680="Win",('Guide &amp; Settings'!$C$42/(($F680-1)*COUNTIFS($A$4:$A$810,$A680,$E$4:$E$810,"Win")))*SUMIFS($X$4:$X$810,$A$4:$A$810,$A680,$E$4:$E$810,"Loss"),-('Guide &amp; Settings'!$C$42/($F680-1))*$X680)))</f>
        <v>-12.406408941571216</v>
      </c>
      <c r="K680" s="124">
        <f>IF($D680="",0,'Guide &amp; Settings'!$C$43*(IF($E680="Win",1,0)-$I680))</f>
        <v>-5.25</v>
      </c>
      <c r="L680" s="125">
        <f>IF($D680="",0,'Guide &amp; Settings'!$C$44*IF($F680&gt;=3,$F680,0))</f>
        <v>0</v>
      </c>
      <c r="M680" s="124">
        <f t="shared" si="173"/>
        <v>-17.656408941571215</v>
      </c>
      <c r="N680" s="122">
        <f t="shared" si="174"/>
        <v>1081.2287215286424</v>
      </c>
      <c r="O680" s="121" t="str">
        <f t="shared" si="175"/>
        <v>OK</v>
      </c>
      <c r="P680">
        <f t="shared" si="176"/>
        <v>1262.0849962820685</v>
      </c>
      <c r="Q680">
        <f t="shared" si="177"/>
        <v>0.28101065624480442</v>
      </c>
      <c r="R680">
        <f t="shared" si="178"/>
        <v>0.66666666666666663</v>
      </c>
      <c r="S680">
        <f t="shared" si="179"/>
        <v>1.5238095238095237</v>
      </c>
      <c r="T680" s="89">
        <f t="shared" si="180"/>
        <v>1</v>
      </c>
      <c r="U680" s="126">
        <f>IF($D680="",0,IFERROR(LOOKUP(2,1/(($D$3:D679=$D680)*($C$3:C679=$C680)*($A$3:A679&lt;$A680)),$AB$3:AB679),1000))</f>
        <v>1016</v>
      </c>
      <c r="V680" s="126">
        <f t="shared" si="181"/>
        <v>1085.0709420585115</v>
      </c>
      <c r="W680">
        <f t="shared" si="182"/>
        <v>1164.4581209512344</v>
      </c>
      <c r="X680">
        <f t="shared" si="183"/>
        <v>0.38770027942410051</v>
      </c>
      <c r="Y680">
        <f t="shared" si="184"/>
        <v>1066.8312456204001</v>
      </c>
      <c r="Z680">
        <f t="shared" si="185"/>
        <v>0.42736546385012975</v>
      </c>
      <c r="AA680">
        <f>IF($D680="",0,IF($F680&lt;2,0,IF($E680="Win",('Guide &amp; Settings'!$C$42/(($F680-1)*COUNTIFS($A$4:$A$810,$A680,$E$4:$E$810,"Win")))*SUMIFS($Z$4:$Z$810,$A$4:$A$810,$A680,$E$4:$E$810,"Loss"),-('Guide &amp; Settings'!$C$42/($F680-1))*$Z680)))</f>
        <v>-13.675694843204152</v>
      </c>
      <c r="AB680" s="126">
        <f t="shared" si="186"/>
        <v>1002.3243051567958</v>
      </c>
      <c r="AC680" s="126"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0</v>
      </c>
    </row>
    <row r="681" spans="1:29" x14ac:dyDescent="0.2">
      <c r="A681" s="117"/>
      <c r="B681" s="118"/>
      <c r="C681" s="119"/>
      <c r="D681" s="119"/>
      <c r="E681" s="117"/>
      <c r="F681" s="120">
        <f t="shared" si="170"/>
        <v>0</v>
      </c>
      <c r="G681" s="121" t="str">
        <f t="shared" si="171"/>
        <v/>
      </c>
      <c r="H681" s="122">
        <f>IF($D681="",0,IFERROR(LOOKUP(2,1/(($D$3:D680=$D681)*($A$3:A680&lt;$A681)),$N$3:N680),'Guide &amp; Settings'!$C$41))</f>
        <v>0</v>
      </c>
      <c r="I681" s="123">
        <f t="shared" si="172"/>
        <v>0</v>
      </c>
      <c r="J681" s="124">
        <f>IF($D681="",0,IF($F681&lt;2,0,IF($E681="Win",('Guide &amp; Settings'!$C$42/(($F681-1)*COUNTIFS($A$4:$A$810,$A681,$E$4:$E$810,"Win")))*SUMIFS($X$4:$X$810,$A$4:$A$810,$A681,$E$4:$E$810,"Loss"),-('Guide &amp; Settings'!$C$42/($F681-1))*$X681)))</f>
        <v>0</v>
      </c>
      <c r="K681" s="124">
        <f>IF($D681="",0,'Guide &amp; Settings'!$C$43*(IF($E681="Win",1,0)-$I681))</f>
        <v>0</v>
      </c>
      <c r="L681" s="125">
        <f>IF($D681="",0,'Guide &amp; Settings'!$C$44*IF($F681&gt;=3,$F681,0))</f>
        <v>0</v>
      </c>
      <c r="M681" s="124">
        <f t="shared" si="173"/>
        <v>0</v>
      </c>
      <c r="N681" s="122">
        <f t="shared" si="174"/>
        <v>0</v>
      </c>
      <c r="O681" s="121" t="str">
        <f t="shared" si="175"/>
        <v/>
      </c>
      <c r="P681">
        <f t="shared" si="176"/>
        <v>0</v>
      </c>
      <c r="Q681">
        <f t="shared" si="177"/>
        <v>0</v>
      </c>
      <c r="R681">
        <f t="shared" si="178"/>
        <v>0</v>
      </c>
      <c r="S681">
        <f t="shared" si="179"/>
        <v>0</v>
      </c>
      <c r="T681" s="89">
        <f t="shared" si="180"/>
        <v>0</v>
      </c>
      <c r="U681" s="126">
        <f>IF($D681="",0,IFERROR(LOOKUP(2,1/(($D$3:D680=$D681)*($C$3:C680=$C681)*($A$3:A680&lt;$A681)),$AB$3:AB680),1000))</f>
        <v>0</v>
      </c>
      <c r="V681" s="126">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6">
        <f t="shared" si="186"/>
        <v>0</v>
      </c>
      <c r="AC681" s="126" t="str"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
      </c>
    </row>
    <row r="682" spans="1:29" x14ac:dyDescent="0.2">
      <c r="A682" s="117"/>
      <c r="B682" s="118"/>
      <c r="C682" s="119"/>
      <c r="D682" s="119"/>
      <c r="E682" s="117"/>
      <c r="F682" s="120">
        <f t="shared" si="170"/>
        <v>0</v>
      </c>
      <c r="G682" s="121" t="str">
        <f t="shared" si="171"/>
        <v/>
      </c>
      <c r="H682" s="122">
        <f>IF($D682="",0,IFERROR(LOOKUP(2,1/(($D$3:D681=$D682)*($A$3:A681&lt;$A682)),$N$3:N681),'Guide &amp; Settings'!$C$41))</f>
        <v>0</v>
      </c>
      <c r="I682" s="123">
        <f t="shared" si="172"/>
        <v>0</v>
      </c>
      <c r="J682" s="124">
        <f>IF($D682="",0,IF($F682&lt;2,0,IF($E682="Win",('Guide &amp; Settings'!$C$42/(($F682-1)*COUNTIFS($A$4:$A$810,$A682,$E$4:$E$810,"Win")))*SUMIFS($X$4:$X$810,$A$4:$A$810,$A682,$E$4:$E$810,"Loss"),-('Guide &amp; Settings'!$C$42/($F682-1))*$X682)))</f>
        <v>0</v>
      </c>
      <c r="K682" s="124">
        <f>IF($D682="",0,'Guide &amp; Settings'!$C$43*(IF($E682="Win",1,0)-$I682))</f>
        <v>0</v>
      </c>
      <c r="L682" s="125">
        <f>IF($D682="",0,'Guide &amp; Settings'!$C$44*IF($F682&gt;=3,$F682,0))</f>
        <v>0</v>
      </c>
      <c r="M682" s="124">
        <f t="shared" si="173"/>
        <v>0</v>
      </c>
      <c r="N682" s="122">
        <f t="shared" si="174"/>
        <v>0</v>
      </c>
      <c r="O682" s="121" t="str">
        <f t="shared" si="175"/>
        <v/>
      </c>
      <c r="P682">
        <f t="shared" si="176"/>
        <v>0</v>
      </c>
      <c r="Q682">
        <f t="shared" si="177"/>
        <v>0</v>
      </c>
      <c r="R682">
        <f t="shared" si="178"/>
        <v>0</v>
      </c>
      <c r="S682">
        <f t="shared" si="179"/>
        <v>0</v>
      </c>
      <c r="T682" s="89">
        <f t="shared" si="180"/>
        <v>0</v>
      </c>
      <c r="U682" s="126">
        <f>IF($D682="",0,IFERROR(LOOKUP(2,1/(($D$3:D681=$D682)*($C$3:C681=$C682)*($A$3:A681&lt;$A682)),$AB$3:AB681),1000))</f>
        <v>0</v>
      </c>
      <c r="V682" s="126">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6">
        <f t="shared" si="186"/>
        <v>0</v>
      </c>
      <c r="AC682" s="126" t="str"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
      </c>
    </row>
    <row r="683" spans="1:29" x14ac:dyDescent="0.2">
      <c r="A683" s="117"/>
      <c r="B683" s="118"/>
      <c r="C683" s="119"/>
      <c r="D683" s="119"/>
      <c r="E683" s="117"/>
      <c r="F683" s="120">
        <f t="shared" si="170"/>
        <v>0</v>
      </c>
      <c r="G683" s="121" t="str">
        <f t="shared" si="171"/>
        <v/>
      </c>
      <c r="H683" s="122">
        <f>IF($D683="",0,IFERROR(LOOKUP(2,1/(($D$3:D682=$D683)*($A$3:A682&lt;$A683)),$N$3:N682),'Guide &amp; Settings'!$C$41))</f>
        <v>0</v>
      </c>
      <c r="I683" s="123">
        <f t="shared" si="172"/>
        <v>0</v>
      </c>
      <c r="J683" s="124">
        <f>IF($D683="",0,IF($F683&lt;2,0,IF($E683="Win",('Guide &amp; Settings'!$C$42/(($F683-1)*COUNTIFS($A$4:$A$810,$A683,$E$4:$E$810,"Win")))*SUMIFS($X$4:$X$810,$A$4:$A$810,$A683,$E$4:$E$810,"Loss"),-('Guide &amp; Settings'!$C$42/($F683-1))*$X683)))</f>
        <v>0</v>
      </c>
      <c r="K683" s="124">
        <f>IF($D683="",0,'Guide &amp; Settings'!$C$43*(IF($E683="Win",1,0)-$I683))</f>
        <v>0</v>
      </c>
      <c r="L683" s="125">
        <f>IF($D683="",0,'Guide &amp; Settings'!$C$44*IF($F683&gt;=3,$F683,0))</f>
        <v>0</v>
      </c>
      <c r="M683" s="124">
        <f t="shared" si="173"/>
        <v>0</v>
      </c>
      <c r="N683" s="122">
        <f t="shared" si="174"/>
        <v>0</v>
      </c>
      <c r="O683" s="121" t="str">
        <f t="shared" si="175"/>
        <v/>
      </c>
      <c r="P683">
        <f t="shared" si="176"/>
        <v>0</v>
      </c>
      <c r="Q683">
        <f t="shared" si="177"/>
        <v>0</v>
      </c>
      <c r="R683">
        <f t="shared" si="178"/>
        <v>0</v>
      </c>
      <c r="S683">
        <f t="shared" si="179"/>
        <v>0</v>
      </c>
      <c r="T683" s="89">
        <f t="shared" si="180"/>
        <v>0</v>
      </c>
      <c r="U683" s="126">
        <f>IF($D683="",0,IFERROR(LOOKUP(2,1/(($D$3:D682=$D683)*($C$3:C682=$C683)*($A$3:A682&lt;$A683)),$AB$3:AB682),1000))</f>
        <v>0</v>
      </c>
      <c r="V683" s="126">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6">
        <f t="shared" si="186"/>
        <v>0</v>
      </c>
      <c r="AC683" s="126" t="str"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
      </c>
    </row>
    <row r="684" spans="1:29" x14ac:dyDescent="0.2">
      <c r="A684" s="117"/>
      <c r="B684" s="118"/>
      <c r="C684" s="119"/>
      <c r="D684" s="119"/>
      <c r="E684" s="117"/>
      <c r="F684" s="120">
        <f t="shared" si="170"/>
        <v>0</v>
      </c>
      <c r="G684" s="121" t="str">
        <f t="shared" si="171"/>
        <v/>
      </c>
      <c r="H684" s="122">
        <f>IF($D684="",0,IFERROR(LOOKUP(2,1/(($D$3:D683=$D684)*($A$3:A683&lt;$A684)),$N$3:N683),'Guide &amp; Settings'!$C$41))</f>
        <v>0</v>
      </c>
      <c r="I684" s="123">
        <f t="shared" si="172"/>
        <v>0</v>
      </c>
      <c r="J684" s="124">
        <f>IF($D684="",0,IF($F684&lt;2,0,IF($E684="Win",('Guide &amp; Settings'!$C$42/(($F684-1)*COUNTIFS($A$4:$A$810,$A684,$E$4:$E$810,"Win")))*SUMIFS($X$4:$X$810,$A$4:$A$810,$A684,$E$4:$E$810,"Loss"),-('Guide &amp; Settings'!$C$42/($F684-1))*$X684)))</f>
        <v>0</v>
      </c>
      <c r="K684" s="124">
        <f>IF($D684="",0,'Guide &amp; Settings'!$C$43*(IF($E684="Win",1,0)-$I684))</f>
        <v>0</v>
      </c>
      <c r="L684" s="125">
        <f>IF($D684="",0,'Guide &amp; Settings'!$C$44*IF($F684&gt;=3,$F684,0))</f>
        <v>0</v>
      </c>
      <c r="M684" s="124">
        <f t="shared" si="173"/>
        <v>0</v>
      </c>
      <c r="N684" s="122">
        <f t="shared" si="174"/>
        <v>0</v>
      </c>
      <c r="O684" s="121" t="str">
        <f t="shared" si="175"/>
        <v/>
      </c>
      <c r="P684">
        <f t="shared" si="176"/>
        <v>0</v>
      </c>
      <c r="Q684">
        <f t="shared" si="177"/>
        <v>0</v>
      </c>
      <c r="R684">
        <f t="shared" si="178"/>
        <v>0</v>
      </c>
      <c r="S684">
        <f t="shared" si="179"/>
        <v>0</v>
      </c>
      <c r="T684" s="89">
        <f t="shared" si="180"/>
        <v>0</v>
      </c>
      <c r="U684" s="126">
        <f>IF($D684="",0,IFERROR(LOOKUP(2,1/(($D$3:D683=$D684)*($C$3:C683=$C684)*($A$3:A683&lt;$A684)),$AB$3:AB683),1000))</f>
        <v>0</v>
      </c>
      <c r="V684" s="126">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6">
        <f t="shared" si="186"/>
        <v>0</v>
      </c>
      <c r="AC684" s="126" t="str"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
      </c>
    </row>
    <row r="685" spans="1:29" x14ac:dyDescent="0.2">
      <c r="A685" s="117"/>
      <c r="B685" s="118"/>
      <c r="C685" s="119"/>
      <c r="D685" s="119"/>
      <c r="E685" s="117"/>
      <c r="F685" s="120">
        <f t="shared" si="170"/>
        <v>0</v>
      </c>
      <c r="G685" s="121" t="str">
        <f t="shared" si="171"/>
        <v/>
      </c>
      <c r="H685" s="122">
        <f>IF($D685="",0,IFERROR(LOOKUP(2,1/(($D$3:D684=$D685)*($A$3:A684&lt;$A685)),$N$3:N684),'Guide &amp; Settings'!$C$41))</f>
        <v>0</v>
      </c>
      <c r="I685" s="123">
        <f t="shared" si="172"/>
        <v>0</v>
      </c>
      <c r="J685" s="124">
        <f>IF($D685="",0,IF($F685&lt;2,0,IF($E685="Win",('Guide &amp; Settings'!$C$42/(($F685-1)*COUNTIFS($A$4:$A$810,$A685,$E$4:$E$810,"Win")))*SUMIFS($X$4:$X$810,$A$4:$A$810,$A685,$E$4:$E$810,"Loss"),-('Guide &amp; Settings'!$C$42/($F685-1))*$X685)))</f>
        <v>0</v>
      </c>
      <c r="K685" s="124">
        <f>IF($D685="",0,'Guide &amp; Settings'!$C$43*(IF($E685="Win",1,0)-$I685))</f>
        <v>0</v>
      </c>
      <c r="L685" s="125">
        <f>IF($D685="",0,'Guide &amp; Settings'!$C$44*IF($F685&gt;=3,$F685,0))</f>
        <v>0</v>
      </c>
      <c r="M685" s="124">
        <f t="shared" si="173"/>
        <v>0</v>
      </c>
      <c r="N685" s="122">
        <f t="shared" si="174"/>
        <v>0</v>
      </c>
      <c r="O685" s="121" t="str">
        <f t="shared" si="175"/>
        <v/>
      </c>
      <c r="P685">
        <f t="shared" si="176"/>
        <v>0</v>
      </c>
      <c r="Q685">
        <f t="shared" si="177"/>
        <v>0</v>
      </c>
      <c r="R685">
        <f t="shared" si="178"/>
        <v>0</v>
      </c>
      <c r="S685">
        <f t="shared" si="179"/>
        <v>0</v>
      </c>
      <c r="T685" s="89">
        <f t="shared" si="180"/>
        <v>0</v>
      </c>
      <c r="U685" s="126">
        <f>IF($D685="",0,IFERROR(LOOKUP(2,1/(($D$3:D684=$D685)*($C$3:C684=$C685)*($A$3:A684&lt;$A685)),$AB$3:AB684),1000))</f>
        <v>0</v>
      </c>
      <c r="V685" s="126">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6">
        <f t="shared" si="186"/>
        <v>0</v>
      </c>
      <c r="AC685" s="126" t="str"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
      </c>
    </row>
    <row r="686" spans="1:29" x14ac:dyDescent="0.2">
      <c r="A686" s="117"/>
      <c r="B686" s="118"/>
      <c r="C686" s="119"/>
      <c r="D686" s="119"/>
      <c r="E686" s="117"/>
      <c r="F686" s="120">
        <f t="shared" si="170"/>
        <v>0</v>
      </c>
      <c r="G686" s="121" t="str">
        <f t="shared" si="171"/>
        <v/>
      </c>
      <c r="H686" s="122">
        <f>IF($D686="",0,IFERROR(LOOKUP(2,1/(($D$3:D685=$D686)*($A$3:A685&lt;$A686)),$N$3:N685),'Guide &amp; Settings'!$C$41))</f>
        <v>0</v>
      </c>
      <c r="I686" s="123">
        <f t="shared" si="172"/>
        <v>0</v>
      </c>
      <c r="J686" s="124">
        <f>IF($D686="",0,IF($F686&lt;2,0,IF($E686="Win",('Guide &amp; Settings'!$C$42/(($F686-1)*COUNTIFS($A$4:$A$810,$A686,$E$4:$E$810,"Win")))*SUMIFS($X$4:$X$810,$A$4:$A$810,$A686,$E$4:$E$810,"Loss"),-('Guide &amp; Settings'!$C$42/($F686-1))*$X686)))</f>
        <v>0</v>
      </c>
      <c r="K686" s="124">
        <f>IF($D686="",0,'Guide &amp; Settings'!$C$43*(IF($E686="Win",1,0)-$I686))</f>
        <v>0</v>
      </c>
      <c r="L686" s="125">
        <f>IF($D686="",0,'Guide &amp; Settings'!$C$44*IF($F686&gt;=3,$F686,0))</f>
        <v>0</v>
      </c>
      <c r="M686" s="124">
        <f t="shared" si="173"/>
        <v>0</v>
      </c>
      <c r="N686" s="122">
        <f t="shared" si="174"/>
        <v>0</v>
      </c>
      <c r="O686" s="121" t="str">
        <f t="shared" si="175"/>
        <v/>
      </c>
      <c r="P686">
        <f t="shared" si="176"/>
        <v>0</v>
      </c>
      <c r="Q686">
        <f t="shared" si="177"/>
        <v>0</v>
      </c>
      <c r="R686">
        <f t="shared" si="178"/>
        <v>0</v>
      </c>
      <c r="S686">
        <f t="shared" si="179"/>
        <v>0</v>
      </c>
      <c r="T686" s="89">
        <f t="shared" si="180"/>
        <v>0</v>
      </c>
      <c r="U686" s="126">
        <f>IF($D686="",0,IFERROR(LOOKUP(2,1/(($D$3:D685=$D686)*($C$3:C685=$C686)*($A$3:A685&lt;$A686)),$AB$3:AB685),1000))</f>
        <v>0</v>
      </c>
      <c r="V686" s="126">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6">
        <f t="shared" si="186"/>
        <v>0</v>
      </c>
      <c r="AC686" s="126" t="str"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
      </c>
    </row>
    <row r="687" spans="1:29" x14ac:dyDescent="0.2">
      <c r="A687" s="117"/>
      <c r="B687" s="118"/>
      <c r="C687" s="119"/>
      <c r="D687" s="119"/>
      <c r="E687" s="117"/>
      <c r="F687" s="120">
        <f t="shared" si="170"/>
        <v>0</v>
      </c>
      <c r="G687" s="121" t="str">
        <f t="shared" si="171"/>
        <v/>
      </c>
      <c r="H687" s="122">
        <f>IF($D687="",0,IFERROR(LOOKUP(2,1/(($D$3:D686=$D687)*($A$3:A686&lt;$A687)),$N$3:N686),'Guide &amp; Settings'!$C$41))</f>
        <v>0</v>
      </c>
      <c r="I687" s="123">
        <f t="shared" si="172"/>
        <v>0</v>
      </c>
      <c r="J687" s="124">
        <f>IF($D687="",0,IF($F687&lt;2,0,IF($E687="Win",('Guide &amp; Settings'!$C$42/(($F687-1)*COUNTIFS($A$4:$A$810,$A687,$E$4:$E$810,"Win")))*SUMIFS($X$4:$X$810,$A$4:$A$810,$A687,$E$4:$E$810,"Loss"),-('Guide &amp; Settings'!$C$42/($F687-1))*$X687)))</f>
        <v>0</v>
      </c>
      <c r="K687" s="124">
        <f>IF($D687="",0,'Guide &amp; Settings'!$C$43*(IF($E687="Win",1,0)-$I687))</f>
        <v>0</v>
      </c>
      <c r="L687" s="125">
        <f>IF($D687="",0,'Guide &amp; Settings'!$C$44*IF($F687&gt;=3,$F687,0))</f>
        <v>0</v>
      </c>
      <c r="M687" s="124">
        <f t="shared" si="173"/>
        <v>0</v>
      </c>
      <c r="N687" s="122">
        <f t="shared" si="174"/>
        <v>0</v>
      </c>
      <c r="O687" s="121" t="str">
        <f t="shared" si="175"/>
        <v/>
      </c>
      <c r="P687">
        <f t="shared" si="176"/>
        <v>0</v>
      </c>
      <c r="Q687">
        <f t="shared" si="177"/>
        <v>0</v>
      </c>
      <c r="R687">
        <f t="shared" si="178"/>
        <v>0</v>
      </c>
      <c r="S687">
        <f t="shared" si="179"/>
        <v>0</v>
      </c>
      <c r="T687" s="89">
        <f t="shared" si="180"/>
        <v>0</v>
      </c>
      <c r="U687" s="126">
        <f>IF($D687="",0,IFERROR(LOOKUP(2,1/(($D$3:D686=$D687)*($C$3:C686=$C687)*($A$3:A686&lt;$A687)),$AB$3:AB686),1000))</f>
        <v>0</v>
      </c>
      <c r="V687" s="126">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6">
        <f t="shared" si="186"/>
        <v>0</v>
      </c>
      <c r="AC687" s="126" t="str"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
      </c>
    </row>
    <row r="688" spans="1:29" x14ac:dyDescent="0.2">
      <c r="A688" s="117"/>
      <c r="B688" s="118"/>
      <c r="C688" s="119"/>
      <c r="D688" s="119"/>
      <c r="E688" s="117"/>
      <c r="F688" s="120">
        <f t="shared" si="170"/>
        <v>0</v>
      </c>
      <c r="G688" s="121" t="str">
        <f t="shared" si="171"/>
        <v/>
      </c>
      <c r="H688" s="122">
        <f>IF($D688="",0,IFERROR(LOOKUP(2,1/(($D$3:D687=$D688)*($A$3:A687&lt;$A688)),$N$3:N687),'Guide &amp; Settings'!$C$41))</f>
        <v>0</v>
      </c>
      <c r="I688" s="123">
        <f t="shared" si="172"/>
        <v>0</v>
      </c>
      <c r="J688" s="124">
        <f>IF($D688="",0,IF($F688&lt;2,0,IF($E688="Win",('Guide &amp; Settings'!$C$42/(($F688-1)*COUNTIFS($A$4:$A$810,$A688,$E$4:$E$810,"Win")))*SUMIFS($X$4:$X$810,$A$4:$A$810,$A688,$E$4:$E$810,"Loss"),-('Guide &amp; Settings'!$C$42/($F688-1))*$X688)))</f>
        <v>0</v>
      </c>
      <c r="K688" s="124">
        <f>IF($D688="",0,'Guide &amp; Settings'!$C$43*(IF($E688="Win",1,0)-$I688))</f>
        <v>0</v>
      </c>
      <c r="L688" s="125">
        <f>IF($D688="",0,'Guide &amp; Settings'!$C$44*IF($F688&gt;=3,$F688,0))</f>
        <v>0</v>
      </c>
      <c r="M688" s="124">
        <f t="shared" si="173"/>
        <v>0</v>
      </c>
      <c r="N688" s="122">
        <f t="shared" si="174"/>
        <v>0</v>
      </c>
      <c r="O688" s="121" t="str">
        <f t="shared" si="175"/>
        <v/>
      </c>
      <c r="P688">
        <f t="shared" si="176"/>
        <v>0</v>
      </c>
      <c r="Q688">
        <f t="shared" si="177"/>
        <v>0</v>
      </c>
      <c r="R688">
        <f t="shared" si="178"/>
        <v>0</v>
      </c>
      <c r="S688">
        <f t="shared" si="179"/>
        <v>0</v>
      </c>
      <c r="T688" s="89">
        <f t="shared" si="180"/>
        <v>0</v>
      </c>
      <c r="U688" s="126">
        <f>IF($D688="",0,IFERROR(LOOKUP(2,1/(($D$3:D687=$D688)*($C$3:C687=$C688)*($A$3:A687&lt;$A688)),$AB$3:AB687),1000))</f>
        <v>0</v>
      </c>
      <c r="V688" s="126">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6">
        <f t="shared" si="186"/>
        <v>0</v>
      </c>
      <c r="AC688" s="126" t="str"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380</v>
      </c>
    </row>
    <row r="2" spans="1:18" ht="15" customHeight="1" x14ac:dyDescent="0.2">
      <c r="A2" s="158" t="s">
        <v>381</v>
      </c>
      <c r="B2" s="142"/>
      <c r="C2" s="142"/>
      <c r="D2" s="142"/>
      <c r="E2" s="142"/>
      <c r="F2" s="142"/>
      <c r="G2" s="142"/>
      <c r="H2" s="142"/>
      <c r="I2" s="142"/>
      <c r="J2" s="142"/>
      <c r="K2" s="142"/>
      <c r="L2" s="142"/>
      <c r="M2" s="142"/>
      <c r="N2" s="142"/>
      <c r="O2" s="142"/>
      <c r="P2" s="142"/>
      <c r="Q2" s="142"/>
      <c r="R2" s="142"/>
    </row>
    <row r="3" spans="1:18" ht="15" customHeight="1" x14ac:dyDescent="0.2">
      <c r="A3" s="43" t="s">
        <v>382</v>
      </c>
      <c r="B3" s="127">
        <f>COUNTA($B$6:$O$6)</f>
        <v>14</v>
      </c>
      <c r="C3" s="43" t="s">
        <v>383</v>
      </c>
      <c r="D3" s="127">
        <f>INT($B$3/2)+1</f>
        <v>8</v>
      </c>
      <c r="E3" s="43" t="s">
        <v>384</v>
      </c>
      <c r="F3" s="127">
        <f>ROUNDUP($B$3/2,0)</f>
        <v>7</v>
      </c>
      <c r="H3" s="158" t="s">
        <v>385</v>
      </c>
      <c r="I3" s="142"/>
      <c r="J3" s="142"/>
      <c r="K3" s="142"/>
      <c r="L3" s="142"/>
      <c r="M3" s="142"/>
      <c r="N3" s="142"/>
      <c r="O3" s="142"/>
      <c r="P3" s="142"/>
      <c r="Q3" s="142"/>
      <c r="R3" s="142"/>
    </row>
    <row r="5" spans="1:18" ht="15" customHeight="1" x14ac:dyDescent="0.2">
      <c r="A5" s="156" t="s">
        <v>386</v>
      </c>
      <c r="B5" s="142"/>
      <c r="C5" s="142"/>
      <c r="D5" s="142"/>
      <c r="E5" s="142"/>
      <c r="F5" s="142"/>
      <c r="G5" s="142"/>
      <c r="H5" s="142"/>
      <c r="I5" s="142"/>
      <c r="J5" s="142"/>
      <c r="K5" s="142"/>
      <c r="L5" s="142"/>
      <c r="M5" s="142"/>
      <c r="N5" s="142"/>
      <c r="O5" s="142"/>
      <c r="P5" s="142"/>
      <c r="Q5" s="142"/>
      <c r="R5" s="142"/>
    </row>
    <row r="6" spans="1:18" ht="91.5" customHeight="1" x14ac:dyDescent="0.2">
      <c r="A6" s="80" t="s">
        <v>387</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388</v>
      </c>
      <c r="Q6" s="80" t="s">
        <v>389</v>
      </c>
      <c r="R6" s="80" t="s">
        <v>390</v>
      </c>
    </row>
    <row r="7" spans="1:18" ht="15" customHeight="1" x14ac:dyDescent="0.2">
      <c r="A7" s="128" t="s">
        <v>391</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392</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393</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394</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6" t="s">
        <v>395</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396</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397</v>
      </c>
      <c r="Q30" s="80" t="s">
        <v>389</v>
      </c>
      <c r="R30" s="80" t="s">
        <v>390</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398</v>
      </c>
      <c r="B1" s="142"/>
      <c r="C1" s="142"/>
    </row>
    <row r="2" spans="1:20" ht="40.5" customHeight="1" x14ac:dyDescent="0.2">
      <c r="A2" s="164" t="s">
        <v>399</v>
      </c>
      <c r="B2" s="142"/>
      <c r="C2" s="142"/>
      <c r="D2" s="142"/>
      <c r="E2" s="142"/>
      <c r="F2" s="142"/>
      <c r="G2" s="142"/>
      <c r="H2" s="142"/>
      <c r="I2" s="142"/>
      <c r="J2" s="142"/>
      <c r="K2" s="142"/>
      <c r="L2" s="132"/>
      <c r="M2" s="132"/>
      <c r="N2" s="132"/>
      <c r="O2" s="132"/>
      <c r="P2" s="132"/>
      <c r="Q2" s="132"/>
      <c r="R2" s="132"/>
      <c r="S2" s="132"/>
      <c r="T2" s="132"/>
    </row>
    <row r="3" spans="1:20" x14ac:dyDescent="0.2">
      <c r="A3" s="133" t="s">
        <v>400</v>
      </c>
      <c r="D3" s="163" t="s">
        <v>401</v>
      </c>
      <c r="E3" s="142"/>
      <c r="F3" s="142"/>
      <c r="G3" s="142"/>
      <c r="H3" s="142"/>
      <c r="I3" s="142"/>
      <c r="J3" s="142"/>
      <c r="K3" s="142"/>
    </row>
    <row r="4" spans="1:20" x14ac:dyDescent="0.2">
      <c r="A4" s="133" t="s">
        <v>402</v>
      </c>
      <c r="B4">
        <v>15</v>
      </c>
      <c r="D4" s="134" t="s">
        <v>403</v>
      </c>
      <c r="E4" s="134">
        <v>4</v>
      </c>
      <c r="F4" s="134">
        <v>5</v>
      </c>
      <c r="G4" s="134">
        <v>6</v>
      </c>
      <c r="H4" s="134">
        <v>7</v>
      </c>
      <c r="I4" s="134">
        <v>8</v>
      </c>
      <c r="J4" s="134">
        <v>9</v>
      </c>
      <c r="K4" s="134">
        <v>10</v>
      </c>
    </row>
    <row r="5" spans="1:20" x14ac:dyDescent="0.2">
      <c r="A5" s="133" t="s">
        <v>404</v>
      </c>
      <c r="B5">
        <v>1</v>
      </c>
      <c r="D5" s="134">
        <v>1</v>
      </c>
      <c r="E5">
        <v>38</v>
      </c>
      <c r="F5">
        <v>35</v>
      </c>
      <c r="G5">
        <v>32</v>
      </c>
      <c r="H5">
        <v>30</v>
      </c>
      <c r="I5">
        <v>29</v>
      </c>
      <c r="J5">
        <v>28</v>
      </c>
      <c r="K5">
        <v>26</v>
      </c>
    </row>
    <row r="6" spans="1:20" x14ac:dyDescent="0.2">
      <c r="A6" s="133" t="s">
        <v>405</v>
      </c>
      <c r="B6">
        <v>4</v>
      </c>
      <c r="D6" s="134">
        <v>2</v>
      </c>
      <c r="E6">
        <v>27</v>
      </c>
      <c r="F6">
        <v>25</v>
      </c>
      <c r="G6">
        <v>23</v>
      </c>
      <c r="H6">
        <v>22</v>
      </c>
      <c r="I6">
        <v>21</v>
      </c>
      <c r="J6">
        <v>20</v>
      </c>
      <c r="K6">
        <v>19</v>
      </c>
    </row>
    <row r="7" spans="1:20" x14ac:dyDescent="0.2">
      <c r="A7" s="133" t="s">
        <v>406</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407</v>
      </c>
      <c r="N16" s="133" t="s">
        <v>408</v>
      </c>
    </row>
    <row r="17" spans="1:15" x14ac:dyDescent="0.2">
      <c r="A17" s="135" t="s">
        <v>409</v>
      </c>
      <c r="B17" s="135" t="s">
        <v>326</v>
      </c>
      <c r="C17" s="135" t="s">
        <v>5</v>
      </c>
      <c r="D17" s="135" t="s">
        <v>410</v>
      </c>
      <c r="E17" s="135" t="s">
        <v>411</v>
      </c>
      <c r="F17" s="135" t="s">
        <v>412</v>
      </c>
      <c r="G17" s="135" t="s">
        <v>413</v>
      </c>
      <c r="H17" s="135" t="s">
        <v>414</v>
      </c>
      <c r="I17" s="135" t="s">
        <v>415</v>
      </c>
      <c r="J17" s="135" t="s">
        <v>416</v>
      </c>
      <c r="K17" s="135" t="s">
        <v>417</v>
      </c>
      <c r="L17" s="135" t="s">
        <v>363</v>
      </c>
      <c r="N17" s="135" t="s">
        <v>311</v>
      </c>
      <c r="O17" s="135" t="s">
        <v>418</v>
      </c>
    </row>
    <row r="18" spans="1:15" x14ac:dyDescent="0.2">
      <c r="A18" t="s">
        <v>419</v>
      </c>
      <c r="B18" s="118">
        <v>46229</v>
      </c>
      <c r="C18" t="s">
        <v>20</v>
      </c>
      <c r="D18">
        <v>2</v>
      </c>
      <c r="E18" t="s">
        <v>420</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419</v>
      </c>
      <c r="B19" s="118">
        <v>46229</v>
      </c>
      <c r="C19" t="s">
        <v>15</v>
      </c>
      <c r="D19">
        <v>3</v>
      </c>
      <c r="E19" t="s">
        <v>420</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419</v>
      </c>
      <c r="B20" s="118">
        <v>46229</v>
      </c>
      <c r="C20" t="s">
        <v>22</v>
      </c>
      <c r="D20">
        <v>4</v>
      </c>
      <c r="E20" t="s">
        <v>421</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419</v>
      </c>
      <c r="B21" s="118">
        <v>46229</v>
      </c>
      <c r="C21" t="s">
        <v>21</v>
      </c>
      <c r="D21">
        <v>5</v>
      </c>
      <c r="E21" t="s">
        <v>421</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419</v>
      </c>
      <c r="B22" s="118">
        <v>46229</v>
      </c>
      <c r="C22" t="s">
        <v>19</v>
      </c>
      <c r="D22">
        <v>1</v>
      </c>
      <c r="E22" t="s">
        <v>421</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422</v>
      </c>
    </row>
    <row r="3" spans="1:35" ht="15" customHeight="1" x14ac:dyDescent="0.2">
      <c r="A3" t="s">
        <v>423</v>
      </c>
      <c r="B3" s="137">
        <f>MAX('Match Log'!$B$4:$B$810)-7</f>
        <v>46267</v>
      </c>
    </row>
    <row r="4" spans="1:35" ht="15" customHeight="1" x14ac:dyDescent="0.2">
      <c r="A4" t="s">
        <v>424</v>
      </c>
      <c r="B4" s="138">
        <f>MAX('Match Log'!$B$4:$B$810)</f>
        <v>46274</v>
      </c>
      <c r="C4" t="s">
        <v>425</v>
      </c>
      <c r="D4" s="138">
        <f ca="1">MAX($B$4,TODAY())</f>
        <v>46283</v>
      </c>
    </row>
    <row r="5" spans="1:35" x14ac:dyDescent="0.2">
      <c r="B5" s="137">
        <f ca="1">TODAY()-7</f>
        <v>46276</v>
      </c>
    </row>
    <row r="6" spans="1:35" ht="15" customHeight="1" x14ac:dyDescent="0.2">
      <c r="A6" t="s">
        <v>5</v>
      </c>
      <c r="B6" t="s">
        <v>6</v>
      </c>
      <c r="C6" t="s">
        <v>269</v>
      </c>
      <c r="D6" t="s">
        <v>14</v>
      </c>
      <c r="E6" t="s">
        <v>426</v>
      </c>
      <c r="F6" t="s">
        <v>427</v>
      </c>
      <c r="G6" t="s">
        <v>428</v>
      </c>
      <c r="H6" t="s">
        <v>152</v>
      </c>
      <c r="I6" t="s">
        <v>429</v>
      </c>
      <c r="J6" t="s">
        <v>430</v>
      </c>
      <c r="K6" t="s">
        <v>431</v>
      </c>
      <c r="L6" t="s">
        <v>272</v>
      </c>
      <c r="P6" t="s">
        <v>432</v>
      </c>
      <c r="Q6" t="s">
        <v>433</v>
      </c>
      <c r="R6" t="s">
        <v>434</v>
      </c>
      <c r="S6" t="s">
        <v>435</v>
      </c>
      <c r="T6" t="s">
        <v>160</v>
      </c>
      <c r="U6" t="s">
        <v>436</v>
      </c>
      <c r="V6" t="s">
        <v>437</v>
      </c>
      <c r="W6" t="s">
        <v>438</v>
      </c>
      <c r="X6" t="s">
        <v>439</v>
      </c>
      <c r="Y6" t="s">
        <v>440</v>
      </c>
      <c r="Z6" t="s">
        <v>441</v>
      </c>
      <c r="AA6" t="s">
        <v>442</v>
      </c>
      <c r="AB6" t="s">
        <v>443</v>
      </c>
      <c r="AC6" t="s">
        <v>444</v>
      </c>
      <c r="AD6" t="s">
        <v>445</v>
      </c>
      <c r="AE6" t="s">
        <v>446</v>
      </c>
      <c r="AF6" t="s">
        <v>162</v>
      </c>
    </row>
    <row r="7" spans="1:35" ht="15" customHeight="1" x14ac:dyDescent="0.2">
      <c r="A7" t="s">
        <v>15</v>
      </c>
      <c r="B7">
        <f>IFERROR(INDEX(Engine!$B$2:$B$15,MATCH($A7,Engine!$A$2:$A$15,0)),1000)</f>
        <v>1265.5221853966827</v>
      </c>
      <c r="C7">
        <f>IFERROR(INDEX(Engine!$C$2:$C$15,MATCH($A7,Engine!$A$2:$A$15,0)),"")</f>
        <v>1130.8465589367588</v>
      </c>
      <c r="D7">
        <f t="shared" ref="D7:D20" si="0">RANK($B7,$B$7:$B$20)</f>
        <v>2</v>
      </c>
      <c r="E7">
        <f t="shared" ref="E7:E20" si="1">MAX($B$7:$B$20)-$B7</f>
        <v>14.219219826956987</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IFERROR(LOOKUP(2,1/(('Match Log'!$D$4:$D$810=$A7)*('Match Log'!$B$4:$B$810&lt;=$B$3)),'Match Log'!$N$4:$N$810),1000)</f>
        <v>1265.5221853966827</v>
      </c>
      <c r="K7">
        <f t="shared" ref="K7:K20" si="3">RANK($J7,$J$7:$J$20)</f>
        <v>2</v>
      </c>
      <c r="L7">
        <f t="shared" ref="L7:L20" si="4">$K7-$D7</f>
        <v>0</v>
      </c>
      <c r="M7">
        <f t="shared" ref="M7:M20" si="5">SUMPRODUCT(($D$25:$D$444=$A7)*($G$25:$G$444&gt;0.25)*($D$25:$D$444&lt;&gt;""))</f>
        <v>7</v>
      </c>
      <c r="N7">
        <f t="shared" ref="N7:N20" si="6">LEN($I7)-LEN(SUBSTITUTE($I7,"W",""))</f>
        <v>4</v>
      </c>
      <c r="O7">
        <f t="shared" ref="O7:O20" si="7">IF($F7="Win",$G7,0)</f>
        <v>2</v>
      </c>
      <c r="P7">
        <f>IFERROR(SUMPRODUCT(MAX(('Match Log'!$D$4:$D$810=$A7)*'Match Log'!$B$4:$B$810)),0)</f>
        <v>46256</v>
      </c>
      <c r="Q7">
        <f t="shared" ref="Q7:Q20" ca="1" si="8">IF($P7=0,"",($D$4-$P7)/7)</f>
        <v>3.8571428571428572</v>
      </c>
      <c r="R7">
        <f ca="1">IF($P7=0,0,IF($Q7&gt;='Guide &amp; Settings'!$C$48,(INT($Q7-'Guide &amp; Settings'!$C$48)+1)*'Guide &amp; Settings'!$C$49,0))</f>
        <v>0</v>
      </c>
      <c r="S7">
        <f ca="1">$B7-$R7-$U7+SUMIF('Poker Stake Ledger'!$C$18:$C$137,$A7,'Poker Stake Ledger'!$K$18:$K$137)</f>
        <v>1254.4221853966828</v>
      </c>
      <c r="T7" t="str">
        <f ca="1">IF($P7=0,"No games",IF($Q7&gt;='Guide &amp; Settings'!$C$48,"Inactive",IF($Q7&gt;='Guide &amp; Settings'!$C$47,"At risk","Active")))</f>
        <v>At risk</v>
      </c>
      <c r="U7">
        <f>SUMIF('Match Log'!$D$4:$D$810,$A7,'Match Log'!$AC$4:$AC$810)</f>
        <v>0</v>
      </c>
      <c r="V7">
        <f t="shared" ref="V7:V20" si="9">IF($F7="Loss",$G7,0)</f>
        <v>0</v>
      </c>
      <c r="W7">
        <f t="shared" ref="W7:W20" ca="1" si="10">MAX(0,MIN(100,50+($S7-1000)/4))</f>
        <v>100</v>
      </c>
      <c r="X7">
        <f ca="1">IFERROR(INDEX(Dashboard!$G$5:$G$18,MATCH($A7,Dashboard!$B$5:$B$18,0))*100,0)</f>
        <v>50</v>
      </c>
      <c r="Y7">
        <f ca="1">MIN(100,IFERROR(INDEX(Dashboard!$K$5:$K$18,MATCH($A7,Dashboard!$B$5:$B$18,0)),0)/5*50+$AC7/4*50)</f>
        <v>100</v>
      </c>
      <c r="Z7">
        <f t="shared" ref="Z7:Z20" si="11">IFERROR($N7/LEN($I7)*100,0)</f>
        <v>80</v>
      </c>
      <c r="AA7">
        <f t="shared" ref="AA7:AA20" si="12">IF($C7="",0,MAX(0,MIN(100,50+($C7-1000)/4)))</f>
        <v>82.711639734189703</v>
      </c>
      <c r="AB7">
        <f t="shared" ref="AB7:AB20" ca="1" si="13">0.35*$W7+0.2*$X7+0.2*$Y7+0.15*$Z7+0.1*$AA7</f>
        <v>85.271163973418965</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4">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c r="AI7">
        <f t="shared" ref="AI7:AI20" ca="1" si="15">IF(ISNUMBER($S7),$S7,-1000000)+ROW()/10000000</f>
        <v>1254.4221860966829</v>
      </c>
    </row>
    <row r="8" spans="1:35" ht="15" customHeight="1" x14ac:dyDescent="0.2">
      <c r="A8" t="s">
        <v>16</v>
      </c>
      <c r="B8">
        <f>IFERROR(INDEX(Engine!$B$2:$B$15,MATCH($A8,Engine!$A$2:$A$15,0)),1000)</f>
        <v>1029.5175965335138</v>
      </c>
      <c r="C8">
        <f>IFERROR(INDEX(Engine!$C$2:$C$15,MATCH($A8,Engine!$A$2:$A$15,0)),"")</f>
        <v>1084.5329651264167</v>
      </c>
      <c r="D8">
        <f t="shared" si="0"/>
        <v>8</v>
      </c>
      <c r="E8">
        <f t="shared" si="1"/>
        <v>250.22380869012591</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8</v>
      </c>
      <c r="L8">
        <f t="shared" si="4"/>
        <v>0</v>
      </c>
      <c r="M8">
        <f t="shared" si="5"/>
        <v>0</v>
      </c>
      <c r="N8">
        <f t="shared" si="6"/>
        <v>2</v>
      </c>
      <c r="O8">
        <f t="shared" si="7"/>
        <v>0</v>
      </c>
      <c r="P8">
        <f>IFERROR(SUMPRODUCT(MAX(('Match Log'!$D$4:$D$810=$A8)*'Match Log'!$B$4:$B$810)),0)</f>
        <v>46188</v>
      </c>
      <c r="Q8">
        <f t="shared" ca="1" si="8"/>
        <v>13.571428571428571</v>
      </c>
      <c r="R8">
        <f ca="1">IF($P8=0,0,IF($Q8&gt;='Guide &amp; Settings'!$C$48,(INT($Q8-'Guide &amp; Settings'!$C$48)+1)*'Guide &amp; Settings'!$C$49,0))</f>
        <v>100</v>
      </c>
      <c r="S8">
        <f ca="1">$B8-$R8-$U8+SUMIF('Poker Stake Ledger'!$C$18:$C$137,$A8,'Poker Stake Ledger'!$K$18:$K$137)</f>
        <v>929.51759653351382</v>
      </c>
      <c r="T8" t="str">
        <f ca="1">IF($P8=0,"No games",IF($Q8&gt;='Guide &amp; Settings'!$C$48,"Inactive",IF($Q8&gt;='Guide &amp; Settings'!$C$47,"At risk","Active")))</f>
        <v>Inactive</v>
      </c>
      <c r="U8">
        <f>SUMIF('Match Log'!$D$4:$D$810,$A8,'Match Log'!$AC$4:$AC$810)</f>
        <v>0</v>
      </c>
      <c r="V8">
        <f t="shared" si="9"/>
        <v>2</v>
      </c>
      <c r="W8">
        <f t="shared" ca="1" si="10"/>
        <v>32.379399133378456</v>
      </c>
      <c r="X8">
        <f ca="1">IFERROR(INDEX(Dashboard!$G$5:$G$18,MATCH($A8,Dashboard!$B$5:$B$18,0))*100,0)</f>
        <v>50</v>
      </c>
      <c r="Y8">
        <f ca="1">MIN(100,IFERROR(INDEX(Dashboard!$K$5:$K$18,MATCH($A8,Dashboard!$B$5:$B$18,0)),0)/5*50+$AC8/4*50)</f>
        <v>42.5</v>
      </c>
      <c r="Z8">
        <f t="shared" si="11"/>
        <v>40</v>
      </c>
      <c r="AA8">
        <f t="shared" si="12"/>
        <v>71.133241281604171</v>
      </c>
      <c r="AB8">
        <f t="shared" ca="1" si="13"/>
        <v>42.946113824842882</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Developing</v>
      </c>
      <c r="AG8">
        <f ca="1">COUNTIFS('Match Log'!$D$4:$D$810,$A8,'Match Log'!$B$4:$B$810,"&gt;="&amp;$B$5)</f>
        <v>0</v>
      </c>
      <c r="AH8">
        <f ca="1">COUNTIFS('Match Log'!$D$4:$D$810,$A8,'Match Log'!$B$4:$B$810,"&gt;="&amp;$B$5,'Match Log'!$E$4:$E$810,"Win")</f>
        <v>0</v>
      </c>
      <c r="AI8">
        <f t="shared" ca="1" si="15"/>
        <v>929.51759733351378</v>
      </c>
    </row>
    <row r="9" spans="1:35" ht="15" customHeight="1" x14ac:dyDescent="0.2">
      <c r="A9" t="s">
        <v>17</v>
      </c>
      <c r="B9">
        <f>IFERROR(INDEX(Engine!$B$2:$B$15,MATCH($A9,Engine!$A$2:$A$15,0)),1000)</f>
        <v>1081.2287215286424</v>
      </c>
      <c r="C9">
        <f>IFERROR(INDEX(Engine!$C$2:$C$15,MATCH($A9,Engine!$A$2:$A$15,0)),"")</f>
        <v>1111.675244572471</v>
      </c>
      <c r="D9">
        <f t="shared" si="0"/>
        <v>7</v>
      </c>
      <c r="E9">
        <f t="shared" si="1"/>
        <v>198.51268369499735</v>
      </c>
      <c r="F9" t="str">
        <f>IFERROR(LOOKUP(2,1/('Match Log'!$D$4:$D$810=$A9),'Match Log'!$E$4:$E$810),"")</f>
        <v>Loss</v>
      </c>
      <c r="G9">
        <f>IF($F9="",0,SUMPRODUCT(('Match Log'!$D$4:$D$810=$A9)*(ROW('Match Log'!$A$4:$A$810)&gt;SUMPRODUCT(MAX(('Match Log'!$D$4:$D$810=$A9)*('Match Log'!$E$4:$E$810&lt;&gt;$F9)*ROW('Match Log'!$A$4:$A$810))))))</f>
        <v>1</v>
      </c>
      <c r="H9" t="str">
        <f t="shared" si="2"/>
        <v>L1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LLWWL</v>
      </c>
      <c r="J9">
        <f>IFERROR(LOOKUP(2,1/(('Match Log'!$D$4:$D$810=$A9)*('Match Log'!$B$4:$B$810&lt;=$B$3)),'Match Log'!$N$4:$N$810),1000)</f>
        <v>1098.8851304702137</v>
      </c>
      <c r="K9">
        <f t="shared" si="3"/>
        <v>6</v>
      </c>
      <c r="L9">
        <f t="shared" si="4"/>
        <v>-1</v>
      </c>
      <c r="M9">
        <f t="shared" si="5"/>
        <v>0</v>
      </c>
      <c r="N9">
        <f t="shared" si="6"/>
        <v>2</v>
      </c>
      <c r="O9">
        <f t="shared" si="7"/>
        <v>0</v>
      </c>
      <c r="P9">
        <f>IFERROR(SUMPRODUCT(MAX(('Match Log'!$D$4:$D$810=$A9)*'Match Log'!$B$4:$B$810)),0)</f>
        <v>46274</v>
      </c>
      <c r="Q9">
        <f t="shared" ca="1" si="8"/>
        <v>1.2857142857142858</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Active</v>
      </c>
      <c r="U9">
        <f>SUMIF('Match Log'!$D$4:$D$810,$A9,'Match Log'!$AC$4:$AC$810)</f>
        <v>20</v>
      </c>
      <c r="V9">
        <f t="shared" si="9"/>
        <v>1</v>
      </c>
      <c r="W9">
        <f t="shared" ca="1" si="10"/>
        <v>65.307180382160595</v>
      </c>
      <c r="X9">
        <f ca="1">IFERROR(INDEX(Dashboard!$G$5:$G$18,MATCH($A9,Dashboard!$B$5:$B$18,0))*100,0)</f>
        <v>45</v>
      </c>
      <c r="Y9">
        <f ca="1">MIN(100,IFERROR(INDEX(Dashboard!$K$5:$K$18,MATCH($A9,Dashboard!$B$5:$B$18,0)),0)/5*50+$AC9/4*50)</f>
        <v>100</v>
      </c>
      <c r="Z9">
        <f t="shared" si="11"/>
        <v>40</v>
      </c>
      <c r="AA9">
        <f t="shared" si="12"/>
        <v>77.91881114311775</v>
      </c>
      <c r="AB9">
        <f t="shared" ca="1" si="13"/>
        <v>65.649394248067978</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4"/>
        <v>Strong</v>
      </c>
      <c r="AG9">
        <f ca="1">COUNTIFS('Match Log'!$D$4:$D$810,$A9,'Match Log'!$B$4:$B$810,"&gt;="&amp;$B$5)</f>
        <v>0</v>
      </c>
      <c r="AH9">
        <f ca="1">COUNTIFS('Match Log'!$D$4:$D$810,$A9,'Match Log'!$B$4:$B$810,"&gt;="&amp;$B$5,'Match Log'!$E$4:$E$810,"Win")</f>
        <v>0</v>
      </c>
      <c r="AI9">
        <f t="shared" ca="1" si="15"/>
        <v>1061.2287224286424</v>
      </c>
    </row>
    <row r="10" spans="1:35" ht="15" customHeight="1" x14ac:dyDescent="0.2">
      <c r="A10" t="s">
        <v>18</v>
      </c>
      <c r="B10">
        <f>IFERROR(INDEX(Engine!$B$2:$B$15,MATCH($A10,Engine!$A$2:$A$15,0)),1000)</f>
        <v>907.03133644117429</v>
      </c>
      <c r="C10">
        <f>IFERROR(INDEX(Engine!$C$2:$C$15,MATCH($A10,Engine!$A$2:$A$15,0)),"")</f>
        <v>1151.5251648045266</v>
      </c>
      <c r="D10">
        <f t="shared" si="0"/>
        <v>13</v>
      </c>
      <c r="E10">
        <f t="shared" si="1"/>
        <v>372.71006878246544</v>
      </c>
      <c r="F10" t="str">
        <f>IFERROR(LOOKUP(2,1/('Match Log'!$D$4:$D$810=$A10),'Match Log'!$E$4:$E$810),"")</f>
        <v>Loss</v>
      </c>
      <c r="G10">
        <f>IF($F10="",0,SUMPRODUCT(('Match Log'!$D$4:$D$810=$A10)*(ROW('Match Log'!$A$4:$A$810)&gt;SUMPRODUCT(MAX(('Match Log'!$D$4:$D$810=$A10)*('Match Log'!$E$4:$E$810&lt;&gt;$F10)*ROW('Match Log'!$A$4:$A$810))))))</f>
        <v>5</v>
      </c>
      <c r="H10" t="str">
        <f t="shared" si="2"/>
        <v>L5</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LLLLL</v>
      </c>
      <c r="J10">
        <f>IFERROR(LOOKUP(2,1/(('Match Log'!$D$4:$D$810=$A10)*('Match Log'!$B$4:$B$810&lt;=$B$3)),'Match Log'!$N$4:$N$810),1000)</f>
        <v>907.03133644117429</v>
      </c>
      <c r="K10">
        <f t="shared" si="3"/>
        <v>13</v>
      </c>
      <c r="L10">
        <f t="shared" si="4"/>
        <v>0</v>
      </c>
      <c r="M10">
        <f t="shared" si="5"/>
        <v>0</v>
      </c>
      <c r="N10">
        <f t="shared" si="6"/>
        <v>0</v>
      </c>
      <c r="O10">
        <f t="shared" si="7"/>
        <v>0</v>
      </c>
      <c r="P10">
        <f>IFERROR(SUMPRODUCT(MAX(('Match Log'!$D$4:$D$810=$A10)*'Match Log'!$B$4:$B$810)),0)</f>
        <v>46256</v>
      </c>
      <c r="Q10">
        <f t="shared" ca="1" si="8"/>
        <v>3.8571428571428572</v>
      </c>
      <c r="R10">
        <f ca="1">IF($P10=0,0,IF($Q10&gt;='Guide &amp; Settings'!$C$48,(INT($Q10-'Guide &amp; Settings'!$C$48)+1)*'Guide &amp; Settings'!$C$49,0))</f>
        <v>0</v>
      </c>
      <c r="S10">
        <f ca="1">$B10-$R10-$U10+SUMIF('Poker Stake Ledger'!$C$18:$C$137,$A10,'Poker Stake Ledger'!$K$18:$K$137)</f>
        <v>887.03133644117429</v>
      </c>
      <c r="T10" t="str">
        <f ca="1">IF($P10=0,"No games",IF($Q10&gt;='Guide &amp; Settings'!$C$48,"Inactive",IF($Q10&gt;='Guide &amp; Settings'!$C$47,"At risk","Active")))</f>
        <v>At risk</v>
      </c>
      <c r="U10">
        <f>SUMIF('Match Log'!$D$4:$D$810,$A10,'Match Log'!$AC$4:$AC$810)</f>
        <v>20</v>
      </c>
      <c r="V10">
        <f t="shared" si="9"/>
        <v>5</v>
      </c>
      <c r="W10">
        <f t="shared" ca="1" si="10"/>
        <v>21.757834110293572</v>
      </c>
      <c r="X10">
        <f ca="1">IFERROR(INDEX(Dashboard!$G$5:$G$18,MATCH($A10,Dashboard!$B$5:$B$18,0))*100,0)</f>
        <v>21.739130434782609</v>
      </c>
      <c r="Y10">
        <f ca="1">MIN(100,IFERROR(INDEX(Dashboard!$K$5:$K$18,MATCH($A10,Dashboard!$B$5:$B$18,0)),0)/5*50+$AC10/4*50)</f>
        <v>60</v>
      </c>
      <c r="Z10">
        <f t="shared" si="11"/>
        <v>0</v>
      </c>
      <c r="AA10">
        <f t="shared" si="12"/>
        <v>87.88129120113166</v>
      </c>
      <c r="AB10">
        <f t="shared" ca="1" si="13"/>
        <v>32.751197145672442</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4"/>
        <v>Developing</v>
      </c>
      <c r="AG10">
        <f ca="1">COUNTIFS('Match Log'!$D$4:$D$810,$A10,'Match Log'!$B$4:$B$810,"&gt;="&amp;$B$5)</f>
        <v>0</v>
      </c>
      <c r="AH10">
        <f ca="1">COUNTIFS('Match Log'!$D$4:$D$810,$A10,'Match Log'!$B$4:$B$810,"&gt;="&amp;$B$5,'Match Log'!$E$4:$E$810,"Win")</f>
        <v>0</v>
      </c>
      <c r="AI10">
        <f t="shared" ca="1" si="15"/>
        <v>887.03133744117429</v>
      </c>
    </row>
    <row r="11" spans="1:35" ht="15" customHeight="1" x14ac:dyDescent="0.2">
      <c r="A11" t="s">
        <v>19</v>
      </c>
      <c r="B11">
        <f>IFERROR(INDEX(Engine!$B$2:$B$15,MATCH($A11,Engine!$A$2:$A$15,0)),1000)</f>
        <v>1192.3121492095624</v>
      </c>
      <c r="C11">
        <f>IFERROR(INDEX(Engine!$C$2:$C$15,MATCH($A11,Engine!$A$2:$A$15,0)),"")</f>
        <v>1085.6309061465815</v>
      </c>
      <c r="D11">
        <f t="shared" si="0"/>
        <v>5</v>
      </c>
      <c r="E11">
        <f t="shared" si="1"/>
        <v>87.429256014077282</v>
      </c>
      <c r="F11" t="str">
        <f>IFERROR(LOOKUP(2,1/('Match Log'!$D$4:$D$810=$A11),'Match Log'!$E$4:$E$810),"")</f>
        <v>Win</v>
      </c>
      <c r="G11">
        <f>IF($F11="",0,SUMPRODUCT(('Match Log'!$D$4:$D$810=$A11)*(ROW('Match Log'!$A$4:$A$810)&gt;SUMPRODUCT(MAX(('Match Log'!$D$4:$D$810=$A11)*('Match Log'!$E$4:$E$810&lt;&gt;$F11)*ROW('Match Log'!$A$4:$A$810))))))</f>
        <v>3</v>
      </c>
      <c r="H11" t="str">
        <f t="shared" si="2"/>
        <v>W3</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WLWWW</v>
      </c>
      <c r="J11">
        <f>IFERROR(LOOKUP(2,1/(('Match Log'!$D$4:$D$810=$A11)*('Match Log'!$B$4:$B$810&lt;=$B$3)),'Match Log'!$N$4:$N$810),1000)</f>
        <v>1155.9112046633588</v>
      </c>
      <c r="K11">
        <f t="shared" si="3"/>
        <v>4</v>
      </c>
      <c r="L11">
        <f t="shared" si="4"/>
        <v>-1</v>
      </c>
      <c r="M11">
        <f t="shared" si="5"/>
        <v>2</v>
      </c>
      <c r="N11">
        <f t="shared" si="6"/>
        <v>4</v>
      </c>
      <c r="O11">
        <f t="shared" si="7"/>
        <v>3</v>
      </c>
      <c r="P11">
        <f>IFERROR(SUMPRODUCT(MAX(('Match Log'!$D$4:$D$810=$A11)*'Match Log'!$B$4:$B$810)),0)</f>
        <v>46272</v>
      </c>
      <c r="Q11">
        <f t="shared" ca="1" si="8"/>
        <v>1.5714285714285714</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Active</v>
      </c>
      <c r="U11">
        <f>SUMIF('Match Log'!$D$4:$D$810,$A11,'Match Log'!$AC$4:$AC$810)</f>
        <v>0</v>
      </c>
      <c r="V11">
        <f t="shared" si="9"/>
        <v>0</v>
      </c>
      <c r="W11">
        <f t="shared" ca="1" si="10"/>
        <v>100</v>
      </c>
      <c r="X11">
        <f ca="1">IFERROR(INDEX(Dashboard!$G$5:$G$18,MATCH($A11,Dashboard!$B$5:$B$18,0))*100,0)</f>
        <v>59.677419354838712</v>
      </c>
      <c r="Y11">
        <f ca="1">MIN(100,IFERROR(INDEX(Dashboard!$K$5:$K$18,MATCH($A11,Dashboard!$B$5:$B$18,0)),0)/5*50+$AC11/4*50)</f>
        <v>100</v>
      </c>
      <c r="Z11">
        <f t="shared" si="11"/>
        <v>80</v>
      </c>
      <c r="AA11">
        <f t="shared" si="12"/>
        <v>71.407726536645384</v>
      </c>
      <c r="AB11">
        <f t="shared" ca="1" si="13"/>
        <v>86.076256524632285</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4"/>
        <v>Elite</v>
      </c>
      <c r="AG11">
        <f ca="1">COUNTIFS('Match Log'!$D$4:$D$810,$A11,'Match Log'!$B$4:$B$810,"&gt;="&amp;$B$5)</f>
        <v>0</v>
      </c>
      <c r="AH11">
        <f ca="1">COUNTIFS('Match Log'!$D$4:$D$810,$A11,'Match Log'!$B$4:$B$810,"&gt;="&amp;$B$5,'Match Log'!$E$4:$E$810,"Win")</f>
        <v>0</v>
      </c>
      <c r="AI11">
        <f t="shared" ca="1" si="15"/>
        <v>1214.0621503095624</v>
      </c>
    </row>
    <row r="12" spans="1:35" ht="15" customHeight="1" x14ac:dyDescent="0.2">
      <c r="A12" t="s">
        <v>20</v>
      </c>
      <c r="B12">
        <f>IFERROR(INDEX(Engine!$B$2:$B$15,MATCH($A12,Engine!$A$2:$A$15,0)),1000)</f>
        <v>1279.7414052236397</v>
      </c>
      <c r="C12">
        <f>IFERROR(INDEX(Engine!$C$2:$C$15,MATCH($A12,Engine!$A$2:$A$15,0)),"")</f>
        <v>1091.5788592593517</v>
      </c>
      <c r="D12">
        <f t="shared" si="0"/>
        <v>1</v>
      </c>
      <c r="E12">
        <f t="shared" si="1"/>
        <v>0</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LLLLW</v>
      </c>
      <c r="J12">
        <f>IFERROR(LOOKUP(2,1/(('Match Log'!$D$4:$D$810=$A12)*('Match Log'!$B$4:$B$810&lt;=$B$3)),'Match Log'!$N$4:$N$810),1000)</f>
        <v>1300.9488632874916</v>
      </c>
      <c r="K12">
        <f t="shared" si="3"/>
        <v>1</v>
      </c>
      <c r="L12">
        <f t="shared" si="4"/>
        <v>0</v>
      </c>
      <c r="M12">
        <f t="shared" si="5"/>
        <v>6</v>
      </c>
      <c r="N12">
        <f t="shared" si="6"/>
        <v>1</v>
      </c>
      <c r="O12">
        <f t="shared" si="7"/>
        <v>1</v>
      </c>
      <c r="P12">
        <f>IFERROR(SUMPRODUCT(MAX(('Match Log'!$D$4:$D$810=$A12)*'Match Log'!$B$4:$B$810)),0)</f>
        <v>46274</v>
      </c>
      <c r="Q12">
        <f t="shared" ca="1" si="8"/>
        <v>1.2857142857142858</v>
      </c>
      <c r="R12">
        <f ca="1">IF($P12=0,0,IF($Q12&gt;='Guide &amp; Settings'!$C$48,(INT($Q12-'Guide &amp; Settings'!$C$48)+1)*'Guide &amp; Settings'!$C$49,0))</f>
        <v>0</v>
      </c>
      <c r="S12">
        <f ca="1">$B12-$R12-$U12+SUMIF('Poker Stake Ledger'!$C$18:$C$137,$A12,'Poker Stake Ledger'!$K$18:$K$137)</f>
        <v>1275.9914052236397</v>
      </c>
      <c r="T12" t="str">
        <f ca="1">IF($P12=0,"No games",IF($Q12&gt;='Guide &amp; Settings'!$C$48,"Inactive",IF($Q12&gt;='Guide &amp; Settings'!$C$47,"At risk","Active")))</f>
        <v>Active</v>
      </c>
      <c r="U12">
        <f>SUMIF('Match Log'!$D$4:$D$810,$A12,'Match Log'!$AC$4:$AC$810)</f>
        <v>0</v>
      </c>
      <c r="V12">
        <f t="shared" si="9"/>
        <v>0</v>
      </c>
      <c r="W12">
        <f t="shared" ca="1" si="10"/>
        <v>100</v>
      </c>
      <c r="X12">
        <f ca="1">IFERROR(INDEX(Dashboard!$G$5:$G$18,MATCH($A12,Dashboard!$B$5:$B$18,0))*100,0)</f>
        <v>48.951048951048953</v>
      </c>
      <c r="Y12">
        <f ca="1">MIN(100,IFERROR(INDEX(Dashboard!$K$5:$K$18,MATCH($A12,Dashboard!$B$5:$B$18,0)),0)/5*50+$AC12/4*50)</f>
        <v>100</v>
      </c>
      <c r="Z12">
        <f t="shared" si="11"/>
        <v>20</v>
      </c>
      <c r="AA12">
        <f t="shared" si="12"/>
        <v>72.894714814837926</v>
      </c>
      <c r="AB12">
        <f t="shared" ca="1" si="13"/>
        <v>75.079681271693573</v>
      </c>
      <c r="AC12">
        <f>IFERROR(SUMPRODUCT((INDEX('Sport Records'!$B$8:$O$32,0,MATCH($A12,'Sport Records'!$B$7:$O$7,0))&gt;=2)*(INDEX('Sport Records'!$B$62:$O$86,0,MATCH($A12,'Sport Records'!$B$61:$O$61,0))&gt;=0.5)),0)</f>
        <v>6</v>
      </c>
      <c r="AD12">
        <f ca="1">IFERROR(INDEX(Dashboard!$D$5:$D$18,MATCH($A12,Dashboard!$B$5:$B$18,0)),0)</f>
        <v>143</v>
      </c>
      <c r="AE12">
        <f ca="1">IFERROR(INDEX(Dashboard!$K$5:$K$18,MATCH($A12,Dashboard!$B$5:$B$18,0)),0)</f>
        <v>19</v>
      </c>
      <c r="AF12" t="str">
        <f t="shared" ca="1" si="14"/>
        <v>Elite</v>
      </c>
      <c r="AG12">
        <f ca="1">COUNTIFS('Match Log'!$D$4:$D$810,$A12,'Match Log'!$B$4:$B$810,"&gt;="&amp;$B$5)</f>
        <v>0</v>
      </c>
      <c r="AH12">
        <f ca="1">COUNTIFS('Match Log'!$D$4:$D$810,$A12,'Match Log'!$B$4:$B$810,"&gt;="&amp;$B$5,'Match Log'!$E$4:$E$810,"Win")</f>
        <v>0</v>
      </c>
      <c r="AI12">
        <f t="shared" ca="1" si="15"/>
        <v>1275.9914064236398</v>
      </c>
    </row>
    <row r="13" spans="1:35" ht="15" customHeight="1" x14ac:dyDescent="0.2">
      <c r="A13" t="s">
        <v>21</v>
      </c>
      <c r="B13">
        <f>IFERROR(INDEX(Engine!$B$2:$B$15,MATCH($A13,Engine!$A$2:$A$15,0)),1000)</f>
        <v>1215.996181687143</v>
      </c>
      <c r="C13">
        <f>IFERROR(INDEX(Engine!$C$2:$C$15,MATCH($A13,Engine!$A$2:$A$15,0)),"")</f>
        <v>1083.5493817040726</v>
      </c>
      <c r="D13">
        <f t="shared" si="0"/>
        <v>4</v>
      </c>
      <c r="E13">
        <f t="shared" si="1"/>
        <v>63.745223536496724</v>
      </c>
      <c r="F13" t="str">
        <f>IFERROR(LOOKUP(2,1/('Match Log'!$D$4:$D$810=$A13),'Match Log'!$E$4:$E$810),"")</f>
        <v>Win</v>
      </c>
      <c r="G13">
        <f>IF($F13="",0,SUMPRODUCT(('Match Log'!$D$4:$D$810=$A13)*(ROW('Match Log'!$A$4:$A$810)&gt;SUMPRODUCT(MAX(('Match Log'!$D$4:$D$810=$A13)*('Match Log'!$E$4:$E$810&lt;&gt;$F13)*ROW('Match Log'!$A$4:$A$810))))))</f>
        <v>5</v>
      </c>
      <c r="H13" t="str">
        <f t="shared" si="2"/>
        <v>W5</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WWWWW</v>
      </c>
      <c r="J13">
        <f>IFERROR(LOOKUP(2,1/(('Match Log'!$D$4:$D$810=$A13)*('Match Log'!$B$4:$B$810&lt;=$B$3)),'Match Log'!$N$4:$N$810),1000)</f>
        <v>1099.6597362825432</v>
      </c>
      <c r="K13">
        <f t="shared" si="3"/>
        <v>5</v>
      </c>
      <c r="L13">
        <f t="shared" si="4"/>
        <v>1</v>
      </c>
      <c r="M13">
        <f t="shared" si="5"/>
        <v>2</v>
      </c>
      <c r="N13">
        <f t="shared" si="6"/>
        <v>5</v>
      </c>
      <c r="O13">
        <f t="shared" si="7"/>
        <v>5</v>
      </c>
      <c r="P13">
        <f>IFERROR(SUMPRODUCT(MAX(('Match Log'!$D$4:$D$810=$A13)*'Match Log'!$B$4:$B$810)),0)</f>
        <v>46271</v>
      </c>
      <c r="Q13">
        <f t="shared" ca="1" si="8"/>
        <v>1.7142857142857142</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Active</v>
      </c>
      <c r="U13">
        <f>SUMIF('Match Log'!$D$4:$D$810,$A13,'Match Log'!$AC$4:$AC$810)</f>
        <v>0</v>
      </c>
      <c r="V13">
        <f t="shared" si="9"/>
        <v>0</v>
      </c>
      <c r="W13">
        <f t="shared" ca="1" si="10"/>
        <v>100</v>
      </c>
      <c r="X13">
        <f ca="1">IFERROR(INDEX(Dashboard!$G$5:$G$18,MATCH($A13,Dashboard!$B$5:$B$18,0))*100,0)</f>
        <v>52.5</v>
      </c>
      <c r="Y13">
        <f ca="1">MIN(100,IFERROR(INDEX(Dashboard!$K$5:$K$18,MATCH($A13,Dashboard!$B$5:$B$18,0)),0)/5*50+$AC13/4*50)</f>
        <v>100</v>
      </c>
      <c r="Z13">
        <f t="shared" si="11"/>
        <v>100</v>
      </c>
      <c r="AA13">
        <f t="shared" si="12"/>
        <v>70.887345426018157</v>
      </c>
      <c r="AB13">
        <f t="shared" ca="1" si="13"/>
        <v>87.588734542601813</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4"/>
        <v>Elite</v>
      </c>
      <c r="AG13">
        <f ca="1">COUNTIFS('Match Log'!$D$4:$D$810,$A13,'Match Log'!$B$4:$B$810,"&gt;="&amp;$B$5)</f>
        <v>0</v>
      </c>
      <c r="AH13">
        <f ca="1">COUNTIFS('Match Log'!$D$4:$D$810,$A13,'Match Log'!$B$4:$B$810,"&gt;="&amp;$B$5,'Match Log'!$E$4:$E$810,"Win")</f>
        <v>0</v>
      </c>
      <c r="AI13">
        <f t="shared" ca="1" si="15"/>
        <v>1210.4461829871429</v>
      </c>
    </row>
    <row r="14" spans="1:35" ht="15" customHeight="1" x14ac:dyDescent="0.2">
      <c r="A14" t="s">
        <v>22</v>
      </c>
      <c r="B14">
        <f>IFERROR(INDEX(Engine!$B$2:$B$15,MATCH($A14,Engine!$A$2:$A$15,0)),1000)</f>
        <v>971.33596708484288</v>
      </c>
      <c r="C14">
        <f>IFERROR(INDEX(Engine!$C$2:$C$15,MATCH($A14,Engine!$A$2:$A$15,0)),"")</f>
        <v>1185.2737301502768</v>
      </c>
      <c r="D14">
        <f t="shared" si="0"/>
        <v>11</v>
      </c>
      <c r="E14">
        <f t="shared" si="1"/>
        <v>308.40543813879685</v>
      </c>
      <c r="F14" t="str">
        <f>IFERROR(LOOKUP(2,1/('Match Log'!$D$4:$D$810=$A14),'Match Log'!$E$4:$E$810),"")</f>
        <v>Loss</v>
      </c>
      <c r="G14">
        <f>IF($F14="",0,SUMPRODUCT(('Match Log'!$D$4:$D$810=$A14)*(ROW('Match Log'!$A$4:$A$810)&gt;SUMPRODUCT(MAX(('Match Log'!$D$4:$D$810=$A14)*('Match Log'!$E$4:$E$810&lt;&gt;$F14)*ROW('Match Log'!$A$4:$A$810))))))</f>
        <v>6</v>
      </c>
      <c r="H14" t="str">
        <f t="shared" si="2"/>
        <v>L6</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LLLLL</v>
      </c>
      <c r="J14">
        <f>IFERROR(LOOKUP(2,1/(('Match Log'!$D$4:$D$810=$A14)*('Match Log'!$B$4:$B$810&lt;=$B$3)),'Match Log'!$N$4:$N$810),1000)</f>
        <v>1007.7369116310465</v>
      </c>
      <c r="K14">
        <f t="shared" si="3"/>
        <v>10</v>
      </c>
      <c r="L14">
        <f t="shared" si="4"/>
        <v>-1</v>
      </c>
      <c r="M14">
        <f t="shared" si="5"/>
        <v>10</v>
      </c>
      <c r="N14">
        <f t="shared" si="6"/>
        <v>0</v>
      </c>
      <c r="O14">
        <f t="shared" si="7"/>
        <v>0</v>
      </c>
      <c r="P14">
        <f>IFERROR(SUMPRODUCT(MAX(('Match Log'!$D$4:$D$810=$A14)*'Match Log'!$B$4:$B$810)),0)</f>
        <v>46272</v>
      </c>
      <c r="Q14">
        <f t="shared" ca="1" si="8"/>
        <v>1.5714285714285714</v>
      </c>
      <c r="R14">
        <f ca="1">IF($P14=0,0,IF($Q14&gt;='Guide &amp; Settings'!$C$48,(INT($Q14-'Guide &amp; Settings'!$C$48)+1)*'Guide &amp; Settings'!$C$49,0))</f>
        <v>0</v>
      </c>
      <c r="S14">
        <f ca="1">$B14-$R14-$U14+SUMIF('Poker Stake Ledger'!$C$18:$C$137,$A14,'Poker Stake Ledger'!$K$18:$K$137)</f>
        <v>969.98596708484286</v>
      </c>
      <c r="T14" t="str">
        <f ca="1">IF($P14=0,"No games",IF($Q14&gt;='Guide &amp; Settings'!$C$48,"Inactive",IF($Q14&gt;='Guide &amp; Settings'!$C$47,"At risk","Active")))</f>
        <v>Active</v>
      </c>
      <c r="U14">
        <f>SUMIF('Match Log'!$D$4:$D$810,$A14,'Match Log'!$AC$4:$AC$810)</f>
        <v>0</v>
      </c>
      <c r="V14">
        <f t="shared" si="9"/>
        <v>6</v>
      </c>
      <c r="W14">
        <f t="shared" ca="1" si="10"/>
        <v>42.496491771210714</v>
      </c>
      <c r="X14">
        <f ca="1">IFERROR(INDEX(Dashboard!$G$5:$G$18,MATCH($A14,Dashboard!$B$5:$B$18,0))*100,0)</f>
        <v>37.209302325581397</v>
      </c>
      <c r="Y14">
        <f ca="1">MIN(100,IFERROR(INDEX(Dashboard!$K$5:$K$18,MATCH($A14,Dashboard!$B$5:$B$18,0)),0)/5*50+$AC14/4*50)</f>
        <v>100</v>
      </c>
      <c r="Z14">
        <f t="shared" si="11"/>
        <v>0</v>
      </c>
      <c r="AA14">
        <f t="shared" si="12"/>
        <v>96.318432537569208</v>
      </c>
      <c r="AB14">
        <f t="shared" ca="1" si="13"/>
        <v>51.947475838796947</v>
      </c>
      <c r="AC14">
        <f>IFERROR(SUMPRODUCT((INDEX('Sport Records'!$B$8:$O$32,0,MATCH($A14,'Sport Records'!$B$7:$O$7,0))&gt;=2)*(INDEX('Sport Records'!$B$62:$O$86,0,MATCH($A14,'Sport Records'!$B$61:$O$61,0))&gt;=0.5)),0)</f>
        <v>5</v>
      </c>
      <c r="AD14">
        <f ca="1">IFERROR(INDEX(Dashboard!$D$5:$D$18,MATCH($A14,Dashboard!$B$5:$B$18,0)),0)</f>
        <v>129</v>
      </c>
      <c r="AE14">
        <f ca="1">IFERROR(INDEX(Dashboard!$K$5:$K$18,MATCH($A14,Dashboard!$B$5:$B$18,0)),0)</f>
        <v>20</v>
      </c>
      <c r="AF14" t="str">
        <f t="shared" ca="1" si="14"/>
        <v>Mid</v>
      </c>
      <c r="AG14">
        <f ca="1">COUNTIFS('Match Log'!$D$4:$D$810,$A14,'Match Log'!$B$4:$B$810,"&gt;="&amp;$B$5)</f>
        <v>0</v>
      </c>
      <c r="AH14">
        <f ca="1">COUNTIFS('Match Log'!$D$4:$D$810,$A14,'Match Log'!$B$4:$B$810,"&gt;="&amp;$B$5,'Match Log'!$E$4:$E$810,"Win")</f>
        <v>0</v>
      </c>
      <c r="AI14">
        <f t="shared" ca="1" si="15"/>
        <v>969.98596848484283</v>
      </c>
    </row>
    <row r="15" spans="1:35" ht="15" customHeight="1" x14ac:dyDescent="0.2">
      <c r="A15" t="s">
        <v>23</v>
      </c>
      <c r="B15">
        <f>IFERROR(INDEX(Engine!$B$2:$B$15,MATCH($A15,Engine!$A$2:$A$15,0)),1000)</f>
        <v>1248.9288111472574</v>
      </c>
      <c r="C15">
        <f>IFERROR(INDEX(Engine!$C$2:$C$15,MATCH($A15,Engine!$A$2:$A$15,0)),"")</f>
        <v>1074.1573189218398</v>
      </c>
      <c r="D15">
        <f t="shared" si="0"/>
        <v>3</v>
      </c>
      <c r="E15">
        <f t="shared" si="1"/>
        <v>30.812594076382311</v>
      </c>
      <c r="F15" t="str">
        <f>IFERROR(LOOKUP(2,1/('Match Log'!$D$4:$D$810=$A15),'Match Log'!$E$4:$E$810),"")</f>
        <v>Win</v>
      </c>
      <c r="G15">
        <f>IF($F15="",0,SUMPRODUCT(('Match Log'!$D$4:$D$810=$A15)*(ROW('Match Log'!$A$4:$A$810)&gt;SUMPRODUCT(MAX(('Match Log'!$D$4:$D$810=$A15)*('Match Log'!$E$4:$E$810&lt;&gt;$F15)*ROW('Match Log'!$A$4:$A$810))))))</f>
        <v>3</v>
      </c>
      <c r="H15" t="str">
        <f t="shared" si="2"/>
        <v>W3</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WLWWW</v>
      </c>
      <c r="J15">
        <f>IFERROR(LOOKUP(2,1/(('Match Log'!$D$4:$D$810=$A15)*('Match Log'!$B$4:$B$810&lt;=$B$3)),'Match Log'!$N$4:$N$810),1000)</f>
        <v>1248.9288111472574</v>
      </c>
      <c r="K15">
        <f t="shared" si="3"/>
        <v>3</v>
      </c>
      <c r="L15">
        <f t="shared" si="4"/>
        <v>0</v>
      </c>
      <c r="M15">
        <f t="shared" si="5"/>
        <v>3</v>
      </c>
      <c r="N15">
        <f t="shared" si="6"/>
        <v>4</v>
      </c>
      <c r="O15">
        <f t="shared" si="7"/>
        <v>3</v>
      </c>
      <c r="P15">
        <f>IFERROR(SUMPRODUCT(MAX(('Match Log'!$D$4:$D$810=$A15)*'Match Log'!$B$4:$B$810)),0)</f>
        <v>46256</v>
      </c>
      <c r="Q15">
        <f t="shared" ca="1" si="8"/>
        <v>3.8571428571428572</v>
      </c>
      <c r="R15">
        <f ca="1">IF($P15=0,0,IF($Q15&gt;='Guide &amp; Settings'!$C$48,(INT($Q15-'Guide &amp; Settings'!$C$48)+1)*'Guide &amp; Settings'!$C$49,0))</f>
        <v>0</v>
      </c>
      <c r="S15">
        <f ca="1">$B15-$R15-$U15+SUMIF('Poker Stake Ledger'!$C$18:$C$137,$A15,'Poker Stake Ledger'!$K$18:$K$137)</f>
        <v>1228.9288111472574</v>
      </c>
      <c r="T15" t="str">
        <f ca="1">IF($P15=0,"No games",IF($Q15&gt;='Guide &amp; Settings'!$C$48,"Inactive",IF($Q15&gt;='Guide &amp; Settings'!$C$47,"At risk","Active")))</f>
        <v>At risk</v>
      </c>
      <c r="U15">
        <f>SUMIF('Match Log'!$D$4:$D$810,$A15,'Match Log'!$AC$4:$AC$810)</f>
        <v>20</v>
      </c>
      <c r="V15">
        <f t="shared" si="9"/>
        <v>0</v>
      </c>
      <c r="W15">
        <f t="shared" ca="1" si="10"/>
        <v>100</v>
      </c>
      <c r="X15">
        <f ca="1">IFERROR(INDEX(Dashboard!$G$5:$G$18,MATCH($A15,Dashboard!$B$5:$B$18,0))*100,0)</f>
        <v>61.53846153846154</v>
      </c>
      <c r="Y15">
        <f ca="1">MIN(100,IFERROR(INDEX(Dashboard!$K$5:$K$18,MATCH($A15,Dashboard!$B$5:$B$18,0)),0)/5*50+$AC15/4*50)</f>
        <v>100</v>
      </c>
      <c r="Z15">
        <f t="shared" si="11"/>
        <v>80</v>
      </c>
      <c r="AA15">
        <f t="shared" si="12"/>
        <v>68.53932973045994</v>
      </c>
      <c r="AB15">
        <f t="shared" ca="1" si="13"/>
        <v>86.161625280738306</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4"/>
        <v>Elite</v>
      </c>
      <c r="AG15">
        <f ca="1">COUNTIFS('Match Log'!$D$4:$D$810,$A15,'Match Log'!$B$4:$B$810,"&gt;="&amp;$B$5)</f>
        <v>0</v>
      </c>
      <c r="AH15">
        <f ca="1">COUNTIFS('Match Log'!$D$4:$D$810,$A15,'Match Log'!$B$4:$B$810,"&gt;="&amp;$B$5,'Match Log'!$E$4:$E$810,"Win")</f>
        <v>0</v>
      </c>
      <c r="AI15">
        <f t="shared" ca="1" si="15"/>
        <v>1228.9288126472575</v>
      </c>
    </row>
    <row r="16" spans="1:35" ht="15" customHeight="1" x14ac:dyDescent="0.2">
      <c r="A16" t="s">
        <v>24</v>
      </c>
      <c r="B16">
        <f>IFERROR(INDEX(Engine!$B$2:$B$15,MATCH($A16,Engine!$A$2:$A$15,0)),1000)</f>
        <v>862.22294373677494</v>
      </c>
      <c r="C16">
        <f>IFERROR(INDEX(Engine!$C$2:$C$15,MATCH($A16,Engine!$A$2:$A$15,0)),"")</f>
        <v>1099.2429224423195</v>
      </c>
      <c r="D16">
        <f t="shared" si="0"/>
        <v>14</v>
      </c>
      <c r="E16">
        <f t="shared" si="1"/>
        <v>417.51846148686479</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8.7142857142857135</v>
      </c>
      <c r="R16">
        <f ca="1">IF($P16=0,0,IF($Q16&gt;='Guide &amp; Settings'!$C$48,(INT($Q16-'Guide &amp; Settings'!$C$48)+1)*'Guide &amp; Settings'!$C$49,0))</f>
        <v>50</v>
      </c>
      <c r="S16">
        <f ca="1">$B16-$R16-$U16+SUMIF('Poker Stake Ledger'!$C$18:$C$137,$A16,'Poker Stake Ledger'!$K$18:$K$137)</f>
        <v>812.22294373677494</v>
      </c>
      <c r="T16" t="str">
        <f ca="1">IF($P16=0,"No games",IF($Q16&gt;='Guide &amp; Settings'!$C$48,"Inactive",IF($Q16&gt;='Guide &amp; Settings'!$C$47,"At risk","Active")))</f>
        <v>Inactive</v>
      </c>
      <c r="U16">
        <f>SUMIF('Match Log'!$D$4:$D$810,$A16,'Match Log'!$AC$4:$AC$810)</f>
        <v>0</v>
      </c>
      <c r="V16">
        <f t="shared" si="9"/>
        <v>6</v>
      </c>
      <c r="W16">
        <f t="shared" ca="1" si="10"/>
        <v>3.0557359341937342</v>
      </c>
      <c r="X16">
        <f ca="1">IFERROR(INDEX(Dashboard!$G$5:$G$18,MATCH($A16,Dashboard!$B$5:$B$18,0))*100,0)</f>
        <v>13.333333333333334</v>
      </c>
      <c r="Y16">
        <f ca="1">MIN(100,IFERROR(INDEX(Dashboard!$K$5:$K$18,MATCH($A16,Dashboard!$B$5:$B$18,0)),0)/5*50+$AC16/4*50)</f>
        <v>30</v>
      </c>
      <c r="Z16">
        <f t="shared" si="11"/>
        <v>0</v>
      </c>
      <c r="AA16">
        <f t="shared" si="12"/>
        <v>74.810730610579867</v>
      </c>
      <c r="AB16">
        <f t="shared" ca="1" si="13"/>
        <v>17.21724730469246</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812.22294533677496</v>
      </c>
    </row>
    <row r="17" spans="1:35" ht="15" customHeight="1" x14ac:dyDescent="0.2">
      <c r="A17" t="s">
        <v>25</v>
      </c>
      <c r="B17">
        <f>IFERROR(INDEX(Engine!$B$2:$B$15,MATCH($A17,Engine!$A$2:$A$15,0)),1000)</f>
        <v>944.39454678356583</v>
      </c>
      <c r="C17">
        <f>IFERROR(INDEX(Engine!$C$2:$C$15,MATCH($A17,Engine!$A$2:$A$15,0)),"")</f>
        <v>1178.6590029751765</v>
      </c>
      <c r="D17">
        <f t="shared" si="0"/>
        <v>12</v>
      </c>
      <c r="E17">
        <f t="shared" si="1"/>
        <v>335.3468584400739</v>
      </c>
      <c r="F17" t="str">
        <f>IFERROR(LOOKUP(2,1/('Match Log'!$D$4:$D$810=$A17),'Match Log'!$E$4:$E$810),"")</f>
        <v>Loss</v>
      </c>
      <c r="G17">
        <f>IF($F17="",0,SUMPRODUCT(('Match Log'!$D$4:$D$810=$A17)*(ROW('Match Log'!$A$4:$A$810)&gt;SUMPRODUCT(MAX(('Match Log'!$D$4:$D$810=$A17)*('Match Log'!$E$4:$E$810&lt;&gt;$F17)*ROW('Match Log'!$A$4:$A$810))))))</f>
        <v>8</v>
      </c>
      <c r="H17" t="str">
        <f t="shared" si="2"/>
        <v>L8</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967.86712518274226</v>
      </c>
      <c r="K17">
        <f t="shared" si="3"/>
        <v>12</v>
      </c>
      <c r="L17">
        <f t="shared" si="4"/>
        <v>0</v>
      </c>
      <c r="M17">
        <f t="shared" si="5"/>
        <v>4</v>
      </c>
      <c r="N17">
        <f t="shared" si="6"/>
        <v>0</v>
      </c>
      <c r="O17">
        <f t="shared" si="7"/>
        <v>0</v>
      </c>
      <c r="P17">
        <f>IFERROR(SUMPRODUCT(MAX(('Match Log'!$D$4:$D$810=$A17)*'Match Log'!$B$4:$B$810)),0)</f>
        <v>46271</v>
      </c>
      <c r="Q17">
        <f t="shared" ca="1" si="8"/>
        <v>1.7142857142857142</v>
      </c>
      <c r="R17">
        <f ca="1">IF($P17=0,0,IF($Q17&gt;='Guide &amp; Settings'!$C$48,(INT($Q17-'Guide &amp; Settings'!$C$48)+1)*'Guide &amp; Settings'!$C$49,0))</f>
        <v>0</v>
      </c>
      <c r="S17">
        <f ca="1">$B17-$R17-$U17+SUMIF('Poker Stake Ledger'!$C$18:$C$137,$A17,'Poker Stake Ledger'!$K$18:$K$137)</f>
        <v>944.39454678356583</v>
      </c>
      <c r="T17" t="str">
        <f ca="1">IF($P17=0,"No games",IF($Q17&gt;='Guide &amp; Settings'!$C$48,"Inactive",IF($Q17&gt;='Guide &amp; Settings'!$C$47,"At risk","Active")))</f>
        <v>Active</v>
      </c>
      <c r="U17">
        <f>SUMIF('Match Log'!$D$4:$D$810,$A17,'Match Log'!$AC$4:$AC$810)</f>
        <v>0</v>
      </c>
      <c r="V17">
        <f t="shared" si="9"/>
        <v>8</v>
      </c>
      <c r="W17">
        <f t="shared" ca="1" si="10"/>
        <v>36.098636695891457</v>
      </c>
      <c r="X17">
        <f ca="1">IFERROR(INDEX(Dashboard!$G$5:$G$18,MATCH($A17,Dashboard!$B$5:$B$18,0))*100,0)</f>
        <v>34.146341463414636</v>
      </c>
      <c r="Y17">
        <f ca="1">MIN(100,IFERROR(INDEX(Dashboard!$K$5:$K$18,MATCH($A17,Dashboard!$B$5:$B$18,0)),0)/5*50+$AC17/4*50)</f>
        <v>100</v>
      </c>
      <c r="Z17">
        <f t="shared" si="11"/>
        <v>0</v>
      </c>
      <c r="AA17">
        <f t="shared" si="12"/>
        <v>94.664750743794116</v>
      </c>
      <c r="AB17">
        <f t="shared" ca="1" si="13"/>
        <v>48.930266210624346</v>
      </c>
      <c r="AC17">
        <f>IFERROR(SUMPRODUCT((INDEX('Sport Records'!$B$8:$O$32,0,MATCH($A17,'Sport Records'!$B$7:$O$7,0))&gt;=2)*(INDEX('Sport Records'!$B$62:$O$86,0,MATCH($A17,'Sport Records'!$B$61:$O$61,0))&gt;=0.5)),0)</f>
        <v>2</v>
      </c>
      <c r="AD17">
        <f ca="1">IFERROR(INDEX(Dashboard!$D$5:$D$18,MATCH($A17,Dashboard!$B$5:$B$18,0)),0)</f>
        <v>82</v>
      </c>
      <c r="AE17">
        <f ca="1">IFERROR(INDEX(Dashboard!$K$5:$K$18,MATCH($A17,Dashboard!$B$5:$B$18,0)),0)</f>
        <v>14</v>
      </c>
      <c r="AF17" t="str">
        <f t="shared" ca="1" si="14"/>
        <v>Mid</v>
      </c>
      <c r="AG17">
        <f ca="1">COUNTIFS('Match Log'!$D$4:$D$810,$A17,'Match Log'!$B$4:$B$810,"&gt;="&amp;$B$5)</f>
        <v>0</v>
      </c>
      <c r="AH17">
        <f ca="1">COUNTIFS('Match Log'!$D$4:$D$810,$A17,'Match Log'!$B$4:$B$810,"&gt;="&amp;$B$5,'Match Log'!$E$4:$E$810,"Win")</f>
        <v>0</v>
      </c>
      <c r="AI17">
        <f t="shared" ca="1" si="15"/>
        <v>944.39454848356581</v>
      </c>
    </row>
    <row r="18" spans="1:35" ht="15" customHeight="1" x14ac:dyDescent="0.2">
      <c r="A18" t="s">
        <v>26</v>
      </c>
      <c r="B18">
        <f>IFERROR(INDEX(Engine!$B$2:$B$15,MATCH($A18,Engine!$A$2:$A$15,0)),1000)</f>
        <v>1087.5488947064855</v>
      </c>
      <c r="C18">
        <f>IFERROR(INDEX(Engine!$C$2:$C$15,MATCH($A18,Engine!$A$2:$A$15,0)),"")</f>
        <v>1027.7015475783867</v>
      </c>
      <c r="D18">
        <f t="shared" si="0"/>
        <v>6</v>
      </c>
      <c r="E18">
        <f t="shared" si="1"/>
        <v>192.19251051715423</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1087.5488947064855</v>
      </c>
      <c r="K18">
        <f t="shared" si="3"/>
        <v>7</v>
      </c>
      <c r="L18">
        <f t="shared" si="4"/>
        <v>1</v>
      </c>
      <c r="M18">
        <f t="shared" si="5"/>
        <v>2</v>
      </c>
      <c r="N18">
        <f t="shared" si="6"/>
        <v>3</v>
      </c>
      <c r="O18">
        <f t="shared" si="7"/>
        <v>1</v>
      </c>
      <c r="P18">
        <f>IFERROR(SUMPRODUCT(MAX(('Match Log'!$D$4:$D$810=$A18)*'Match Log'!$B$4:$B$810)),0)</f>
        <v>46249</v>
      </c>
      <c r="Q18">
        <f t="shared" ca="1" si="8"/>
        <v>4.8571428571428568</v>
      </c>
      <c r="R18">
        <f ca="1">IF($P18=0,0,IF($Q18&gt;='Guide &amp; Settings'!$C$48,(INT($Q18-'Guide &amp; Settings'!$C$48)+1)*'Guide &amp; Settings'!$C$49,0))</f>
        <v>10</v>
      </c>
      <c r="S18">
        <f ca="1">$B18-$R18-$U18+SUMIF('Poker Stake Ledger'!$C$18:$C$137,$A18,'Poker Stake Ledger'!$K$18:$K$137)</f>
        <v>1077.5488947064855</v>
      </c>
      <c r="T18" t="str">
        <f ca="1">IF($P18=0,"No games",IF($Q18&gt;='Guide &amp; Settings'!$C$48,"Inactive",IF($Q18&gt;='Guide &amp; Settings'!$C$47,"At risk","Active")))</f>
        <v>Inactive</v>
      </c>
      <c r="U18">
        <f>SUMIF('Match Log'!$D$4:$D$810,$A18,'Match Log'!$AC$4:$AC$810)</f>
        <v>0</v>
      </c>
      <c r="V18">
        <f t="shared" si="9"/>
        <v>0</v>
      </c>
      <c r="W18">
        <f t="shared" ca="1" si="10"/>
        <v>69.387223676621375</v>
      </c>
      <c r="X18">
        <f ca="1">IFERROR(INDEX(Dashboard!$G$5:$G$18,MATCH($A18,Dashboard!$B$5:$B$18,0))*100,0)</f>
        <v>46.666666666666664</v>
      </c>
      <c r="Y18">
        <f ca="1">MIN(100,IFERROR(INDEX(Dashboard!$K$5:$K$18,MATCH($A18,Dashboard!$B$5:$B$18,0)),0)/5*50+$AC18/4*50)</f>
        <v>65</v>
      </c>
      <c r="Z18">
        <f t="shared" si="11"/>
        <v>60</v>
      </c>
      <c r="AA18">
        <f t="shared" si="12"/>
        <v>56.92538689459667</v>
      </c>
      <c r="AB18">
        <f t="shared" ca="1" si="13"/>
        <v>61.311400309610484</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0</v>
      </c>
      <c r="AH18">
        <f ca="1">COUNTIFS('Match Log'!$D$4:$D$810,$A18,'Match Log'!$B$4:$B$810,"&gt;="&amp;$B$5,'Match Log'!$E$4:$E$810,"Win")</f>
        <v>0</v>
      </c>
      <c r="AI18">
        <f t="shared" ca="1" si="15"/>
        <v>1077.5488965064856</v>
      </c>
    </row>
    <row r="19" spans="1:35" ht="15" customHeight="1" x14ac:dyDescent="0.2">
      <c r="A19" t="s">
        <v>27</v>
      </c>
      <c r="B19">
        <f>IFERROR(INDEX(Engine!$B$2:$B$15,MATCH($A19,Engine!$A$2:$A$15,0)),1000)</f>
        <v>1023.2192605207141</v>
      </c>
      <c r="C19">
        <f>IFERROR(INDEX(Engine!$C$2:$C$15,MATCH($A19,Engine!$A$2:$A$15,0)),"")</f>
        <v>1057.4767490837492</v>
      </c>
      <c r="D19">
        <f t="shared" si="0"/>
        <v>9</v>
      </c>
      <c r="E19">
        <f t="shared" si="1"/>
        <v>256.52214470292563</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1023.2192605207141</v>
      </c>
      <c r="K19">
        <f t="shared" si="3"/>
        <v>9</v>
      </c>
      <c r="L19">
        <f t="shared" si="4"/>
        <v>0</v>
      </c>
      <c r="M19">
        <f t="shared" si="5"/>
        <v>0</v>
      </c>
      <c r="N19">
        <f t="shared" si="6"/>
        <v>0</v>
      </c>
      <c r="O19">
        <f t="shared" si="7"/>
        <v>0</v>
      </c>
      <c r="P19">
        <f>IFERROR(SUMPRODUCT(MAX(('Match Log'!$D$4:$D$810=$A19)*'Match Log'!$B$4:$B$810)),0)</f>
        <v>46249</v>
      </c>
      <c r="Q19">
        <f t="shared" ca="1" si="8"/>
        <v>4.8571428571428568</v>
      </c>
      <c r="R19">
        <f ca="1">IF($P19=0,0,IF($Q19&gt;='Guide &amp; Settings'!$C$48,(INT($Q19-'Guide &amp; Settings'!$C$48)+1)*'Guide &amp; Settings'!$C$49,0))</f>
        <v>10</v>
      </c>
      <c r="S19">
        <f ca="1">$B19-$R19-$U19+SUMIF('Poker Stake Ledger'!$C$18:$C$137,$A19,'Poker Stake Ledger'!$K$18:$K$137)</f>
        <v>1013.2192605207141</v>
      </c>
      <c r="T19" t="str">
        <f ca="1">IF($P19=0,"No games",IF($Q19&gt;='Guide &amp; Settings'!$C$48,"Inactive",IF($Q19&gt;='Guide &amp; Settings'!$C$47,"At risk","Active")))</f>
        <v>Inactive</v>
      </c>
      <c r="U19">
        <f>SUMIF('Match Log'!$D$4:$D$810,$A19,'Match Log'!$AC$4:$AC$810)</f>
        <v>0</v>
      </c>
      <c r="V19">
        <f t="shared" si="9"/>
        <v>6</v>
      </c>
      <c r="W19">
        <f t="shared" ca="1" si="10"/>
        <v>53.304815130178525</v>
      </c>
      <c r="X19">
        <f ca="1">IFERROR(INDEX(Dashboard!$G$5:$G$18,MATCH($A19,Dashboard!$B$5:$B$18,0))*100,0)</f>
        <v>40</v>
      </c>
      <c r="Y19">
        <f ca="1">MIN(100,IFERROR(INDEX(Dashboard!$K$5:$K$18,MATCH($A19,Dashboard!$B$5:$B$18,0)),0)/5*50+$AC19/4*50)</f>
        <v>65</v>
      </c>
      <c r="Z19">
        <f t="shared" si="11"/>
        <v>0</v>
      </c>
      <c r="AA19">
        <f t="shared" si="12"/>
        <v>64.369187270937289</v>
      </c>
      <c r="AB19">
        <f t="shared" ca="1" si="13"/>
        <v>46.093604022656208</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0</v>
      </c>
      <c r="AH19">
        <f ca="1">COUNTIFS('Match Log'!$D$4:$D$810,$A19,'Match Log'!$B$4:$B$810,"&gt;="&amp;$B$5,'Match Log'!$E$4:$E$810,"Win")</f>
        <v>0</v>
      </c>
      <c r="AI19">
        <f t="shared" ca="1" si="15"/>
        <v>1013.2192624207141</v>
      </c>
    </row>
    <row r="20" spans="1:35" ht="15" customHeight="1" x14ac:dyDescent="0.2">
      <c r="A20" t="s">
        <v>28</v>
      </c>
      <c r="B20">
        <f>IFERROR(INDEX(Engine!$B$2:$B$15,MATCH($A20,Engine!$A$2:$A$15,0)),1000)</f>
        <v>1000</v>
      </c>
      <c r="C20" t="str">
        <f>IFERROR(INDEX(Engine!$C$2:$C$15,MATCH($A20,Engine!$A$2:$A$15,0)),"")</f>
        <v/>
      </c>
      <c r="D20">
        <f t="shared" si="0"/>
        <v>10</v>
      </c>
      <c r="E20">
        <f t="shared" si="1"/>
        <v>279.74140522363973</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447</v>
      </c>
      <c r="B24" t="s">
        <v>326</v>
      </c>
      <c r="C24" t="s">
        <v>240</v>
      </c>
      <c r="D24" t="s">
        <v>448</v>
      </c>
      <c r="E24" t="s">
        <v>449</v>
      </c>
      <c r="F24" t="s">
        <v>450</v>
      </c>
      <c r="G24" t="s">
        <v>451</v>
      </c>
      <c r="H24" t="s">
        <v>452</v>
      </c>
      <c r="J24" t="s">
        <v>453</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4"/>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7">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7"/>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7"/>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7"/>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7"/>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7"/>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7"/>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7"/>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7"/>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7"/>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t="str">
        <f t="shared" ca="1" si="27"/>
        <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t="str">
        <f t="shared" ca="1" si="27"/>
        <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t="str">
        <f t="shared" ca="1" si="27"/>
        <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t="str">
        <f t="shared" ca="1" si="27"/>
        <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t="str">
        <f t="shared" ca="1" si="27"/>
        <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t="str">
        <f t="shared" ca="1" si="27"/>
        <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t="str">
        <f t="shared" ca="1" si="27"/>
        <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t="str">
        <f t="shared" ca="1" si="27"/>
        <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t="str">
        <f t="shared" ca="1" si="27"/>
        <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t="str">
        <f t="shared" ca="1" si="27"/>
        <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t="str">
        <f t="shared" ca="1" si="27"/>
        <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t="str">
        <f t="shared" ca="1" si="27"/>
        <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t="str">
        <f t="shared" ca="1" si="27"/>
        <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t="str">
        <f t="shared" ca="1" si="27"/>
        <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t="str">
        <f t="shared" ca="1" si="27"/>
        <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t="str">
        <f t="shared" ca="1" si="27"/>
        <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t="str">
        <f t="shared" ca="1" si="27"/>
        <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t="str">
        <f t="shared" ca="1" si="27"/>
        <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5"/>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6"/>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t="str">
        <f t="shared" ca="1" si="27"/>
        <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5"/>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6"/>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t="str">
        <f t="shared" ca="1" si="27"/>
        <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5"/>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6"/>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t="str">
        <f t="shared" ca="1" si="27"/>
        <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5"/>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6"/>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t="str">
        <f t="shared" ca="1" si="27"/>
        <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5"/>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6"/>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t="str">
        <f t="shared" ca="1" si="27"/>
        <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5"/>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6"/>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t="str">
        <f t="shared" ca="1" si="27"/>
        <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5"/>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6"/>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t="str">
        <f t="shared" ca="1" si="27"/>
        <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5"/>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6"/>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t="str">
        <f t="shared" ca="1" si="27"/>
        <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5"/>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6"/>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t="str">
        <f t="shared" ca="1" si="27"/>
        <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5"/>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6"/>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t="str">
        <f t="shared" ca="1" si="27"/>
        <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5"/>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6"/>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t="str">
        <f t="shared" ca="1" si="27"/>
        <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5"/>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6"/>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t="str">
        <f t="shared" ca="1" si="27"/>
        <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5"/>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6"/>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t="str">
        <f t="shared" ca="1" si="27"/>
        <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5"/>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6"/>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t="str">
        <f t="shared" ca="1" si="27"/>
        <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5"/>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6"/>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t="str">
        <f t="shared" ca="1" si="27"/>
        <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5"/>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6"/>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t="str">
        <f t="shared" ca="1" si="27"/>
        <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5"/>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6"/>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t="str">
        <f t="shared" ca="1" si="27"/>
        <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5"/>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6"/>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t="str">
        <f t="shared" ca="1" si="27"/>
        <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5"/>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6"/>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t="str">
        <f t="shared" ca="1" si="27"/>
        <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5"/>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6"/>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t="str">
        <f t="shared" ca="1" si="27"/>
        <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5"/>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6"/>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t="str">
        <f t="shared" ca="1" si="27"/>
        <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5"/>
        <v>0</v>
      </c>
      <c r="H266" t="str">
        <f t="array" ref="H266">IFERROR(IF(COUNTIFS('Match Log'!$A$4:$A$810,$A266,'Match Log'!$E$4:$E$810,"Win")&gt;1,_xlfn.TEXTJOIN(" + ",TRUE(),IF(('Match Log'!$A$4:$A$810=$A266)*('Match Log'!$E$4:$E$810="Loss"),'Match Log'!$D$4:$D$810,"")),IF($E266=2,LOOKUP(2,1/(('Match Log'!$A$4:$A$810=$A266)*('Match Log'!$E$4:$E$810="Loss")),'Match Log'!$D$4:$D$810),"the field")),"")</f>
        <v>Shawn</v>
      </c>
      <c r="I266">
        <f t="shared" si="26"/>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t="str">
        <f t="shared" ca="1" si="27"/>
        <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5"/>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6"/>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t="str">
        <f t="shared" ca="1" si="27"/>
        <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5"/>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6"/>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t="str">
        <f t="shared" ca="1" si="27"/>
        <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5"/>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6"/>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t="str">
        <f t="shared" ca="1" si="27"/>
        <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5"/>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6"/>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t="str">
        <f t="shared" ca="1" si="27"/>
        <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5"/>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6"/>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t="str">
        <f t="shared" ca="1" si="27"/>
        <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5"/>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6"/>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t="str">
        <f t="shared" ca="1" si="27"/>
        <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5"/>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6"/>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t="str">
        <f t="shared" ca="1" si="27"/>
        <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5"/>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6"/>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t="str">
        <f t="shared" ca="1" si="27"/>
        <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5"/>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6"/>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t="str">
        <f t="shared" ca="1" si="27"/>
        <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5"/>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6"/>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t="str">
        <f t="shared" ca="1" si="27"/>
        <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5"/>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6"/>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t="str">
        <f t="shared" ca="1" si="27"/>
        <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5"/>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6"/>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t="str">
        <f t="shared" ca="1" si="27"/>
        <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5"/>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6"/>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t="str">
        <f t="shared" ca="1" si="27"/>
        <v/>
      </c>
    </row>
    <row r="280" spans="1:25" x14ac:dyDescent="0.2">
      <c r="A280">
        <v>256</v>
      </c>
      <c r="B280">
        <f>IFERROR(INDEX('Match Log'!$B$4:$B$810,MATCH(256,'Match Log'!$A$4:$A$810,0)),"")</f>
        <v>46256</v>
      </c>
      <c r="C280" t="str">
        <f>IFERROR(INDEX('Match Log'!$C$4:$C$810,MATCH(256,'Match Log'!$A$4:$A$810,0)),"")</f>
        <v>Darts</v>
      </c>
      <c r="D280" t="str">
        <f t="array" ref="D280">IFERROR(_xlfn.TEXTJOIN(" + ",TRUE(),IF(('Match Log'!$A$4:$A$810=$A280)*('Match Log'!$E$4:$E$810="Win"),'Match Log'!$D$4:$D$810,"")),IFERROR(LOOKUP(2,1/(('Match Log'!$A$4:$A$810=$A280)*('Match Log'!$E$4:$E$810="Win")),'Match Log'!$D$4:$D$810),""))</f>
        <v>Aaron</v>
      </c>
      <c r="E280">
        <f>IFERROR(INDEX('Match Log'!$F$4:$F$810,MATCH(256,'Match Log'!$A$4:$A$810,0)),"")</f>
        <v>3</v>
      </c>
      <c r="F280">
        <f>IFERROR(SUMIFS('Match Log'!$I$4:$I$810,'Match Log'!$A$4:$A$810,256,'Match Log'!$E$4:$E$810,"Win"),"")</f>
        <v>0.31168831168831168</v>
      </c>
      <c r="G280">
        <f t="shared" si="25"/>
        <v>6.4935064935064957E-2</v>
      </c>
      <c r="H280" t="str">
        <f t="array" ref="H280">IFERROR(IF(COUNTIFS('Match Log'!$A$4:$A$810,$A280,'Match Log'!$E$4:$E$810,"Win")&gt;1,_xlfn.TEXTJOIN(" + ",TRUE(),IF(('Match Log'!$A$4:$A$810=$A280)*('Match Log'!$E$4:$E$810="Loss"),'Match Log'!$D$4:$D$810,"")),IF($E280=2,LOOKUP(2,1/(('Match Log'!$A$4:$A$810=$A280)*('Match Log'!$E$4:$E$810="Loss")),'Match Log'!$D$4:$D$810),"the field")),"")</f>
        <v>the field</v>
      </c>
      <c r="I280">
        <f t="shared" si="26"/>
        <v>6.467906493506495E-2</v>
      </c>
      <c r="J280">
        <v>256</v>
      </c>
      <c r="K280">
        <f>IF($J280&gt;MAX('Match Log'!$A$4:$A$810),NA(),IFERROR(LOOKUP(2,1/(('Match Log'!$D$4:$D$810=$K$24)*('Match Log'!$A$4:$A$810&lt;=$J280)),'Match Log'!$N$4:$N$810),NA()))</f>
        <v>1203.17976156635</v>
      </c>
      <c r="L280">
        <f>IF($J280&gt;MAX('Match Log'!$A$4:$A$810),NA(),IFERROR(LOOKUP(2,1/(('Match Log'!$D$4:$D$810=$L$24)*('Match Log'!$A$4:$A$810&lt;=$J280)),'Match Log'!$N$4:$N$810),NA()))</f>
        <v>1029.5175965335138</v>
      </c>
      <c r="M280">
        <f>IF($J280&gt;MAX('Match Log'!$A$4:$A$810),NA(),IFERROR(LOOKUP(2,1/(('Match Log'!$D$4:$D$810=$M$24)*('Match Log'!$A$4:$A$810&lt;=$J280)),'Match Log'!$N$4:$N$810),NA()))</f>
        <v>1098.8851304702137</v>
      </c>
      <c r="N280">
        <f>IF($J280&gt;MAX('Match Log'!$A$4:$A$810),NA(),IFERROR(LOOKUP(2,1/(('Match Log'!$D$4:$D$810=$N$24)*('Match Log'!$A$4:$A$810&lt;=$J280)),'Match Log'!$N$4:$N$810),NA()))</f>
        <v>935.23568912688131</v>
      </c>
      <c r="O280">
        <f>IF($J280&gt;MAX('Match Log'!$A$4:$A$810),NA(),IFERROR(LOOKUP(2,1/(('Match Log'!$D$4:$D$810=$O$24)*('Match Log'!$A$4:$A$810&lt;=$J280)),'Match Log'!$N$4:$N$810),NA()))</f>
        <v>1155.9112046633588</v>
      </c>
      <c r="P280">
        <f>IF($J280&gt;MAX('Match Log'!$A$4:$A$810),NA(),IFERROR(LOOKUP(2,1/(('Match Log'!$D$4:$D$810=$P$24)*('Match Log'!$A$4:$A$810&lt;=$J280)),'Match Log'!$N$4:$N$810),NA()))</f>
        <v>1293.8016409749487</v>
      </c>
      <c r="Q280">
        <f>IF($J280&gt;MAX('Match Log'!$A$4:$A$810),NA(),IFERROR(LOOKUP(2,1/(('Match Log'!$D$4:$D$810=$Q$24)*('Match Log'!$A$4:$A$810&lt;=$J280)),'Match Log'!$N$4:$N$810),NA()))</f>
        <v>1000.0962683458113</v>
      </c>
      <c r="R280">
        <f>IF($J280&gt;MAX('Match Log'!$A$4:$A$810),NA(),IFERROR(LOOKUP(2,1/(('Match Log'!$D$4:$D$810=$R$24)*('Match Log'!$A$4:$A$810&lt;=$J280)),'Match Log'!$N$4:$N$810),NA()))</f>
        <v>1043.0204986519859</v>
      </c>
      <c r="S280">
        <f>IF($J280&gt;MAX('Match Log'!$A$4:$A$810),NA(),IFERROR(LOOKUP(2,1/(('Match Log'!$D$4:$D$810=$S$24)*('Match Log'!$A$4:$A$810&lt;=$J280)),'Match Log'!$N$4:$N$810),NA()))</f>
        <v>1220.7793957579906</v>
      </c>
      <c r="T280">
        <f>IF($J280&gt;MAX('Match Log'!$A$4:$A$810),NA(),IFERROR(LOOKUP(2,1/(('Match Log'!$D$4:$D$810=$T$24)*('Match Log'!$A$4:$A$810&lt;=$J280)),'Match Log'!$N$4:$N$810),NA()))</f>
        <v>862.22294373677494</v>
      </c>
      <c r="U280">
        <f>IF($J280&gt;MAX('Match Log'!$A$4:$A$810),NA(),IFERROR(LOOKUP(2,1/(('Match Log'!$D$4:$D$810=$U$24)*('Match Log'!$A$4:$A$810&lt;=$J280)),'Match Log'!$N$4:$N$810),NA()))</f>
        <v>1031.5817149449704</v>
      </c>
      <c r="V280">
        <f>IF($J280&gt;MAX('Match Log'!$A$4:$A$810),NA(),IFERROR(LOOKUP(2,1/(('Match Log'!$D$4:$D$810=$V$24)*('Match Log'!$A$4:$A$810&lt;=$J280)),'Match Log'!$N$4:$N$810),NA()))</f>
        <v>1087.5488947064855</v>
      </c>
      <c r="W280">
        <f>IF($J280&gt;MAX('Match Log'!$A$4:$A$810),NA(),IFERROR(LOOKUP(2,1/(('Match Log'!$D$4:$D$810=$W$24)*('Match Log'!$A$4:$A$810&lt;=$J280)),'Match Log'!$N$4:$N$810),NA()))</f>
        <v>1023.2192605207141</v>
      </c>
      <c r="X280" t="e">
        <f>IF($J280&gt;MAX('Match Log'!$A$4:$A$810),NA(),IFERROR(LOOKUP(2,1/(('Match Log'!$D$4:$D$810=$X$24)*('Match Log'!$A$4:$A$810&lt;=$J280)),'Match Log'!$N$4:$N$810),NA()))</f>
        <v>#N/A</v>
      </c>
      <c r="Y280" t="str">
        <f t="shared" ca="1" si="27"/>
        <v/>
      </c>
    </row>
    <row r="281" spans="1:25" x14ac:dyDescent="0.2">
      <c r="A281">
        <v>257</v>
      </c>
      <c r="B281">
        <f>IFERROR(INDEX('Match Log'!$B$4:$B$810,MATCH(257,'Match Log'!$A$4:$A$810,0)),"")</f>
        <v>46256</v>
      </c>
      <c r="C281" t="str">
        <f>IFERROR(INDEX('Match Log'!$C$4:$C$810,MATCH(257,'Match Log'!$A$4:$A$810,0)),"")</f>
        <v>Darts</v>
      </c>
      <c r="D281" t="str">
        <f t="array" ref="D281">IFERROR(_xlfn.TEXTJOIN(" + ",TRUE(),IF(('Match Log'!$A$4:$A$810=$A281)*('Match Log'!$E$4:$E$810="Win"),'Match Log'!$D$4:$D$810,"")),IFERROR(LOOKUP(2,1/(('Match Log'!$A$4:$A$810=$A281)*('Match Log'!$E$4:$E$810="Win")),'Match Log'!$D$4:$D$810),""))</f>
        <v>Aaron</v>
      </c>
      <c r="E281">
        <f>IFERROR(INDEX('Match Log'!$F$4:$F$810,MATCH(257,'Match Log'!$A$4:$A$810,0)),"")</f>
        <v>3</v>
      </c>
      <c r="F281">
        <f>IFERROR(SUMIFS('Match Log'!$I$4:$I$810,'Match Log'!$A$4:$A$810,257,'Match Log'!$E$4:$E$810,"Win"),"")</f>
        <v>0.375</v>
      </c>
      <c r="G281">
        <f t="shared" ref="G281:G344" si="28">IF($D281="","",1-$F281*$E281)</f>
        <v>-0.125</v>
      </c>
      <c r="H281" t="str">
        <f t="array" ref="H281">IFERROR(IF(COUNTIFS('Match Log'!$A$4:$A$810,$A281,'Match Log'!$E$4:$E$810,"Win")&gt;1,_xlfn.TEXTJOIN(" + ",TRUE(),IF(('Match Log'!$A$4:$A$810=$A281)*('Match Log'!$E$4:$E$810="Loss"),'Match Log'!$D$4:$D$810,"")),IF($E281=2,LOOKUP(2,1/(('Match Log'!$A$4:$A$810=$A281)*('Match Log'!$E$4:$E$810="Loss")),'Match Log'!$D$4:$D$810),"the field")),"")</f>
        <v>the field</v>
      </c>
      <c r="I281">
        <f t="shared" ref="I281:I344" si="29">IF($G281="","",$G281-$A281/1000000)</f>
        <v>-0.12525700000000001</v>
      </c>
      <c r="J281">
        <v>257</v>
      </c>
      <c r="K281">
        <f>IF($J281&gt;MAX('Match Log'!$A$4:$A$810),NA(),IFERROR(LOOKUP(2,1/(('Match Log'!$D$4:$D$810=$K$24)*('Match Log'!$A$4:$A$810&lt;=$J281)),'Match Log'!$N$4:$N$810),NA()))</f>
        <v>1228.5627054776144</v>
      </c>
      <c r="L281">
        <f>IF($J281&gt;MAX('Match Log'!$A$4:$A$810),NA(),IFERROR(LOOKUP(2,1/(('Match Log'!$D$4:$D$810=$L$24)*('Match Log'!$A$4:$A$810&lt;=$J281)),'Match Log'!$N$4:$N$810),NA()))</f>
        <v>1029.5175965335138</v>
      </c>
      <c r="M281">
        <f>IF($J281&gt;MAX('Match Log'!$A$4:$A$810),NA(),IFERROR(LOOKUP(2,1/(('Match Log'!$D$4:$D$810=$M$24)*('Match Log'!$A$4:$A$810&lt;=$J281)),'Match Log'!$N$4:$N$810),NA()))</f>
        <v>1098.8851304702137</v>
      </c>
      <c r="N281">
        <f>IF($J281&gt;MAX('Match Log'!$A$4:$A$810),NA(),IFERROR(LOOKUP(2,1/(('Match Log'!$D$4:$D$810=$N$24)*('Match Log'!$A$4:$A$810&lt;=$J281)),'Match Log'!$N$4:$N$810),NA()))</f>
        <v>935.23568912688131</v>
      </c>
      <c r="O281">
        <f>IF($J281&gt;MAX('Match Log'!$A$4:$A$810),NA(),IFERROR(LOOKUP(2,1/(('Match Log'!$D$4:$D$810=$O$24)*('Match Log'!$A$4:$A$810&lt;=$J281)),'Match Log'!$N$4:$N$810),NA()))</f>
        <v>1155.9112046633588</v>
      </c>
      <c r="P281">
        <f>IF($J281&gt;MAX('Match Log'!$A$4:$A$810),NA(),IFERROR(LOOKUP(2,1/(('Match Log'!$D$4:$D$810=$P$24)*('Match Log'!$A$4:$A$810&lt;=$J281)),'Match Log'!$N$4:$N$810),NA()))</f>
        <v>1283.4405154921014</v>
      </c>
      <c r="Q281">
        <f>IF($J281&gt;MAX('Match Log'!$A$4:$A$810),NA(),IFERROR(LOOKUP(2,1/(('Match Log'!$D$4:$D$810=$Q$24)*('Match Log'!$A$4:$A$810&lt;=$J281)),'Match Log'!$N$4:$N$810),NA()))</f>
        <v>1000.0962683458113</v>
      </c>
      <c r="R281">
        <f>IF($J281&gt;MAX('Match Log'!$A$4:$A$810),NA(),IFERROR(LOOKUP(2,1/(('Match Log'!$D$4:$D$810=$R$24)*('Match Log'!$A$4:$A$810&lt;=$J281)),'Match Log'!$N$4:$N$810),NA()))</f>
        <v>1036.998680223569</v>
      </c>
      <c r="S281">
        <f>IF($J281&gt;MAX('Match Log'!$A$4:$A$810),NA(),IFERROR(LOOKUP(2,1/(('Match Log'!$D$4:$D$810=$S$24)*('Match Log'!$A$4:$A$810&lt;=$J281)),'Match Log'!$N$4:$N$810),NA()))</f>
        <v>1220.7793957579906</v>
      </c>
      <c r="T281">
        <f>IF($J281&gt;MAX('Match Log'!$A$4:$A$810),NA(),IFERROR(LOOKUP(2,1/(('Match Log'!$D$4:$D$810=$T$24)*('Match Log'!$A$4:$A$810&lt;=$J281)),'Match Log'!$N$4:$N$810),NA()))</f>
        <v>862.22294373677494</v>
      </c>
      <c r="U281">
        <f>IF($J281&gt;MAX('Match Log'!$A$4:$A$810),NA(),IFERROR(LOOKUP(2,1/(('Match Log'!$D$4:$D$810=$U$24)*('Match Log'!$A$4:$A$810&lt;=$J281)),'Match Log'!$N$4:$N$810),NA()))</f>
        <v>1031.5817149449704</v>
      </c>
      <c r="V281">
        <f>IF($J281&gt;MAX('Match Log'!$A$4:$A$810),NA(),IFERROR(LOOKUP(2,1/(('Match Log'!$D$4:$D$810=$V$24)*('Match Log'!$A$4:$A$810&lt;=$J281)),'Match Log'!$N$4:$N$810),NA()))</f>
        <v>1087.5488947064855</v>
      </c>
      <c r="W281">
        <f>IF($J281&gt;MAX('Match Log'!$A$4:$A$810),NA(),IFERROR(LOOKUP(2,1/(('Match Log'!$D$4:$D$810=$W$24)*('Match Log'!$A$4:$A$810&lt;=$J281)),'Match Log'!$N$4:$N$810),NA()))</f>
        <v>1023.2192605207141</v>
      </c>
      <c r="X281" t="e">
        <f>IF($J281&gt;MAX('Match Log'!$A$4:$A$810),NA(),IFERROR(LOOKUP(2,1/(('Match Log'!$D$4:$D$810=$X$24)*('Match Log'!$A$4:$A$810&lt;=$J281)),'Match Log'!$N$4:$N$810),NA()))</f>
        <v>#N/A</v>
      </c>
      <c r="Y281" t="str">
        <f t="shared" ref="Y281:Y344" ca="1" si="30">IF(AND($B281&lt;&gt;"",$B281&gt;=$B$5,$I281&lt;&gt;""),$I281,"")</f>
        <v/>
      </c>
    </row>
    <row r="282" spans="1:25" x14ac:dyDescent="0.2">
      <c r="A282">
        <v>258</v>
      </c>
      <c r="B282">
        <f>IFERROR(INDEX('Match Log'!$B$4:$B$810,MATCH(258,'Match Log'!$A$4:$A$810,0)),"")</f>
        <v>46256</v>
      </c>
      <c r="C282" t="str">
        <f>IFERROR(INDEX('Match Log'!$C$4:$C$810,MATCH(258,'Match Log'!$A$4:$A$810,0)),"")</f>
        <v>Darts</v>
      </c>
      <c r="D282" t="str">
        <f t="array" ref="D282">IFERROR(_xlfn.TEXTJOIN(" + ",TRUE(),IF(('Match Log'!$A$4:$A$810=$A282)*('Match Log'!$E$4:$E$810="Win"),'Match Log'!$D$4:$D$810,"")),IFERROR(LOOKUP(2,1/(('Match Log'!$A$4:$A$810=$A282)*('Match Log'!$E$4:$E$810="Win")),'Match Log'!$D$4:$D$810),""))</f>
        <v>Daniel (Ferret)</v>
      </c>
      <c r="E282">
        <f>IFERROR(INDEX('Match Log'!$F$4:$F$810,MATCH(258,'Match Log'!$A$4:$A$810,0)),"")</f>
        <v>3</v>
      </c>
      <c r="F282">
        <f>IFERROR(SUMIFS('Match Log'!$I$4:$I$810,'Match Log'!$A$4:$A$810,258,'Match Log'!$E$4:$E$810,"Win"),"")</f>
        <v>0.23076923076923075</v>
      </c>
      <c r="G282">
        <f t="shared" si="28"/>
        <v>0.30769230769230771</v>
      </c>
      <c r="H282" t="str">
        <f t="array" ref="H282">IFERROR(IF(COUNTIFS('Match Log'!$A$4:$A$810,$A282,'Match Log'!$E$4:$E$810,"Win")&gt;1,_xlfn.TEXTJOIN(" + ",TRUE(),IF(('Match Log'!$A$4:$A$810=$A282)*('Match Log'!$E$4:$E$810="Loss"),'Match Log'!$D$4:$D$810,"")),IF($E282=2,LOOKUP(2,1/(('Match Log'!$A$4:$A$810=$A282)*('Match Log'!$E$4:$E$810="Loss")),'Match Log'!$D$4:$D$810),"the field")),"")</f>
        <v>the field</v>
      </c>
      <c r="I282">
        <f t="shared" si="29"/>
        <v>0.30743430769230773</v>
      </c>
      <c r="J282">
        <v>258</v>
      </c>
      <c r="K282">
        <f>IF($J282&gt;MAX('Match Log'!$A$4:$A$810),NA(),IFERROR(LOOKUP(2,1/(('Match Log'!$D$4:$D$810=$K$24)*('Match Log'!$A$4:$A$810&lt;=$J282)),'Match Log'!$N$4:$N$810),NA()))</f>
        <v>1216.0096405756001</v>
      </c>
      <c r="L282">
        <f>IF($J282&gt;MAX('Match Log'!$A$4:$A$810),NA(),IFERROR(LOOKUP(2,1/(('Match Log'!$D$4:$D$810=$L$24)*('Match Log'!$A$4:$A$810&lt;=$J282)),'Match Log'!$N$4:$N$810),NA()))</f>
        <v>1029.5175965335138</v>
      </c>
      <c r="M282">
        <f>IF($J282&gt;MAX('Match Log'!$A$4:$A$810),NA(),IFERROR(LOOKUP(2,1/(('Match Log'!$D$4:$D$810=$M$24)*('Match Log'!$A$4:$A$810&lt;=$J282)),'Match Log'!$N$4:$N$810),NA()))</f>
        <v>1098.8851304702137</v>
      </c>
      <c r="N282">
        <f>IF($J282&gt;MAX('Match Log'!$A$4:$A$810),NA(),IFERROR(LOOKUP(2,1/(('Match Log'!$D$4:$D$810=$N$24)*('Match Log'!$A$4:$A$810&lt;=$J282)),'Match Log'!$N$4:$N$810),NA()))</f>
        <v>935.23568912688131</v>
      </c>
      <c r="O282">
        <f>IF($J282&gt;MAX('Match Log'!$A$4:$A$810),NA(),IFERROR(LOOKUP(2,1/(('Match Log'!$D$4:$D$810=$O$24)*('Match Log'!$A$4:$A$810&lt;=$J282)),'Match Log'!$N$4:$N$810),NA()))</f>
        <v>1155.9112046633588</v>
      </c>
      <c r="P282">
        <f>IF($J282&gt;MAX('Match Log'!$A$4:$A$810),NA(),IFERROR(LOOKUP(2,1/(('Match Log'!$D$4:$D$810=$P$24)*('Match Log'!$A$4:$A$810&lt;=$J282)),'Match Log'!$N$4:$N$810),NA()))</f>
        <v>1271.7992363440153</v>
      </c>
      <c r="Q282">
        <f>IF($J282&gt;MAX('Match Log'!$A$4:$A$810),NA(),IFERROR(LOOKUP(2,1/(('Match Log'!$D$4:$D$810=$Q$24)*('Match Log'!$A$4:$A$810&lt;=$J282)),'Match Log'!$N$4:$N$810),NA()))</f>
        <v>1000.0962683458113</v>
      </c>
      <c r="R282">
        <f>IF($J282&gt;MAX('Match Log'!$A$4:$A$810),NA(),IFERROR(LOOKUP(2,1/(('Match Log'!$D$4:$D$810=$R$24)*('Match Log'!$A$4:$A$810&lt;=$J282)),'Match Log'!$N$4:$N$810),NA()))</f>
        <v>1070.1930242736692</v>
      </c>
      <c r="S282">
        <f>IF($J282&gt;MAX('Match Log'!$A$4:$A$810),NA(),IFERROR(LOOKUP(2,1/(('Match Log'!$D$4:$D$810=$S$24)*('Match Log'!$A$4:$A$810&lt;=$J282)),'Match Log'!$N$4:$N$810),NA()))</f>
        <v>1220.7793957579906</v>
      </c>
      <c r="T282">
        <f>IF($J282&gt;MAX('Match Log'!$A$4:$A$810),NA(),IFERROR(LOOKUP(2,1/(('Match Log'!$D$4:$D$810=$T$24)*('Match Log'!$A$4:$A$810&lt;=$J282)),'Match Log'!$N$4:$N$810),NA()))</f>
        <v>862.22294373677494</v>
      </c>
      <c r="U282">
        <f>IF($J282&gt;MAX('Match Log'!$A$4:$A$810),NA(),IFERROR(LOOKUP(2,1/(('Match Log'!$D$4:$D$810=$U$24)*('Match Log'!$A$4:$A$810&lt;=$J282)),'Match Log'!$N$4:$N$810),NA()))</f>
        <v>1031.5817149449704</v>
      </c>
      <c r="V282">
        <f>IF($J282&gt;MAX('Match Log'!$A$4:$A$810),NA(),IFERROR(LOOKUP(2,1/(('Match Log'!$D$4:$D$810=$V$24)*('Match Log'!$A$4:$A$810&lt;=$J282)),'Match Log'!$N$4:$N$810),NA()))</f>
        <v>1087.5488947064855</v>
      </c>
      <c r="W282">
        <f>IF($J282&gt;MAX('Match Log'!$A$4:$A$810),NA(),IFERROR(LOOKUP(2,1/(('Match Log'!$D$4:$D$810=$W$24)*('Match Log'!$A$4:$A$810&lt;=$J282)),'Match Log'!$N$4:$N$810),NA()))</f>
        <v>1023.2192605207141</v>
      </c>
      <c r="X282" t="e">
        <f>IF($J282&gt;MAX('Match Log'!$A$4:$A$810),NA(),IFERROR(LOOKUP(2,1/(('Match Log'!$D$4:$D$810=$X$24)*('Match Log'!$A$4:$A$810&lt;=$J282)),'Match Log'!$N$4:$N$810),NA()))</f>
        <v>#N/A</v>
      </c>
      <c r="Y282" t="str">
        <f t="shared" ca="1" si="30"/>
        <v/>
      </c>
    </row>
    <row r="283" spans="1:25" x14ac:dyDescent="0.2">
      <c r="A283">
        <v>259</v>
      </c>
      <c r="B283">
        <f>IFERROR(INDEX('Match Log'!$B$4:$B$810,MATCH(259,'Match Log'!$A$4:$A$810,0)),"")</f>
        <v>46256</v>
      </c>
      <c r="C283" t="str">
        <f>IFERROR(INDEX('Match Log'!$C$4:$C$810,MATCH(259,'Match Log'!$A$4:$A$810,0)),"")</f>
        <v>Pool</v>
      </c>
      <c r="D283" t="str">
        <f t="array" ref="D283">IFERROR(_xlfn.TEXTJOIN(" + ",TRUE(),IF(('Match Log'!$A$4:$A$810=$A283)*('Match Log'!$E$4:$E$810="Win"),'Match Log'!$D$4:$D$810,"")),IFERROR(LOOKUP(2,1/(('Match Log'!$A$4:$A$810=$A283)*('Match Log'!$E$4:$E$810="Win")),'Match Log'!$D$4:$D$810),""))</f>
        <v>Dean B</v>
      </c>
      <c r="E283">
        <f>IFERROR(INDEX('Match Log'!$F$4:$F$810,MATCH(259,'Match Log'!$A$4:$A$810,0)),"")</f>
        <v>2</v>
      </c>
      <c r="F283">
        <f>IFERROR(SUMIFS('Match Log'!$I$4:$I$810,'Match Log'!$A$4:$A$810,259,'Match Log'!$E$4:$E$810,"Win"),"")</f>
        <v>0.52173913043478259</v>
      </c>
      <c r="G283">
        <f t="shared" si="28"/>
        <v>-4.3478260869565188E-2</v>
      </c>
      <c r="H283" t="str">
        <f t="array" ref="H283">IFERROR(IF(COUNTIFS('Match Log'!$A$4:$A$810,$A283,'Match Log'!$E$4:$E$810,"Win")&gt;1,_xlfn.TEXTJOIN(" + ",TRUE(),IF(('Match Log'!$A$4:$A$810=$A283)*('Match Log'!$E$4:$E$810="Loss"),'Match Log'!$D$4:$D$810,"")),IF($E283=2,LOOKUP(2,1/(('Match Log'!$A$4:$A$810=$A283)*('Match Log'!$E$4:$E$810="Loss")),'Match Log'!$D$4:$D$810),"the field")),"")</f>
        <v>David</v>
      </c>
      <c r="I283">
        <f t="shared" si="29"/>
        <v>-4.3737260869565191E-2</v>
      </c>
      <c r="J283">
        <v>259</v>
      </c>
      <c r="K283">
        <f>IF($J283&gt;MAX('Match Log'!$A$4:$A$810),NA(),IFERROR(LOOKUP(2,1/(('Match Log'!$D$4:$D$810=$K$24)*('Match Log'!$A$4:$A$810&lt;=$J283)),'Match Log'!$N$4:$N$810),NA()))</f>
        <v>1216.0096405756001</v>
      </c>
      <c r="L283">
        <f>IF($J283&gt;MAX('Match Log'!$A$4:$A$810),NA(),IFERROR(LOOKUP(2,1/(('Match Log'!$D$4:$D$810=$L$24)*('Match Log'!$A$4:$A$810&lt;=$J283)),'Match Log'!$N$4:$N$810),NA()))</f>
        <v>1029.5175965335138</v>
      </c>
      <c r="M283">
        <f>IF($J283&gt;MAX('Match Log'!$A$4:$A$810),NA(),IFERROR(LOOKUP(2,1/(('Match Log'!$D$4:$D$810=$M$24)*('Match Log'!$A$4:$A$810&lt;=$J283)),'Match Log'!$N$4:$N$810),NA()))</f>
        <v>1098.8851304702137</v>
      </c>
      <c r="N283">
        <f>IF($J283&gt;MAX('Match Log'!$A$4:$A$810),NA(),IFERROR(LOOKUP(2,1/(('Match Log'!$D$4:$D$810=$N$24)*('Match Log'!$A$4:$A$810&lt;=$J283)),'Match Log'!$N$4:$N$810),NA()))</f>
        <v>920.20175877229906</v>
      </c>
      <c r="O283">
        <f>IF($J283&gt;MAX('Match Log'!$A$4:$A$810),NA(),IFERROR(LOOKUP(2,1/(('Match Log'!$D$4:$D$810=$O$24)*('Match Log'!$A$4:$A$810&lt;=$J283)),'Match Log'!$N$4:$N$810),NA()))</f>
        <v>1155.9112046633588</v>
      </c>
      <c r="P283">
        <f>IF($J283&gt;MAX('Match Log'!$A$4:$A$810),NA(),IFERROR(LOOKUP(2,1/(('Match Log'!$D$4:$D$810=$P$24)*('Match Log'!$A$4:$A$810&lt;=$J283)),'Match Log'!$N$4:$N$810),NA()))</f>
        <v>1271.7992363440153</v>
      </c>
      <c r="Q283">
        <f>IF($J283&gt;MAX('Match Log'!$A$4:$A$810),NA(),IFERROR(LOOKUP(2,1/(('Match Log'!$D$4:$D$810=$Q$24)*('Match Log'!$A$4:$A$810&lt;=$J283)),'Match Log'!$N$4:$N$810),NA()))</f>
        <v>1000.0962683458113</v>
      </c>
      <c r="R283">
        <f>IF($J283&gt;MAX('Match Log'!$A$4:$A$810),NA(),IFERROR(LOOKUP(2,1/(('Match Log'!$D$4:$D$810=$R$24)*('Match Log'!$A$4:$A$810&lt;=$J283)),'Match Log'!$N$4:$N$810),NA()))</f>
        <v>1070.1930242736692</v>
      </c>
      <c r="S283">
        <f>IF($J283&gt;MAX('Match Log'!$A$4:$A$810),NA(),IFERROR(LOOKUP(2,1/(('Match Log'!$D$4:$D$810=$S$24)*('Match Log'!$A$4:$A$810&lt;=$J283)),'Match Log'!$N$4:$N$810),NA()))</f>
        <v>1235.8133261125729</v>
      </c>
      <c r="T283">
        <f>IF($J283&gt;MAX('Match Log'!$A$4:$A$810),NA(),IFERROR(LOOKUP(2,1/(('Match Log'!$D$4:$D$810=$T$24)*('Match Log'!$A$4:$A$810&lt;=$J283)),'Match Log'!$N$4:$N$810),NA()))</f>
        <v>862.22294373677494</v>
      </c>
      <c r="U283">
        <f>IF($J283&gt;MAX('Match Log'!$A$4:$A$810),NA(),IFERROR(LOOKUP(2,1/(('Match Log'!$D$4:$D$810=$U$24)*('Match Log'!$A$4:$A$810&lt;=$J283)),'Match Log'!$N$4:$N$810),NA()))</f>
        <v>1031.5817149449704</v>
      </c>
      <c r="V283">
        <f>IF($J283&gt;MAX('Match Log'!$A$4:$A$810),NA(),IFERROR(LOOKUP(2,1/(('Match Log'!$D$4:$D$810=$V$24)*('Match Log'!$A$4:$A$810&lt;=$J283)),'Match Log'!$N$4:$N$810),NA()))</f>
        <v>1087.5488947064855</v>
      </c>
      <c r="W283">
        <f>IF($J283&gt;MAX('Match Log'!$A$4:$A$810),NA(),IFERROR(LOOKUP(2,1/(('Match Log'!$D$4:$D$810=$W$24)*('Match Log'!$A$4:$A$810&lt;=$J283)),'Match Log'!$N$4:$N$810),NA()))</f>
        <v>1023.2192605207141</v>
      </c>
      <c r="X283" t="e">
        <f>IF($J283&gt;MAX('Match Log'!$A$4:$A$810),NA(),IFERROR(LOOKUP(2,1/(('Match Log'!$D$4:$D$810=$X$24)*('Match Log'!$A$4:$A$810&lt;=$J283)),'Match Log'!$N$4:$N$810),NA()))</f>
        <v>#N/A</v>
      </c>
      <c r="Y283" t="str">
        <f t="shared" ca="1" si="30"/>
        <v/>
      </c>
    </row>
    <row r="284" spans="1:25" x14ac:dyDescent="0.2">
      <c r="A284">
        <v>260</v>
      </c>
      <c r="B284">
        <f>IFERROR(INDEX('Match Log'!$B$4:$B$810,MATCH(260,'Match Log'!$A$4:$A$810,0)),"")</f>
        <v>46256</v>
      </c>
      <c r="C284" t="str">
        <f>IFERROR(INDEX('Match Log'!$C$4:$C$810,MATCH(260,'Match Log'!$A$4:$A$810,0)),"")</f>
        <v>Pool</v>
      </c>
      <c r="D284" t="str">
        <f t="array" ref="D284">IFERROR(_xlfn.TEXTJOIN(" + ",TRUE(),IF(('Match Log'!$A$4:$A$810=$A284)*('Match Log'!$E$4:$E$810="Win"),'Match Log'!$D$4:$D$810,"")),IFERROR(LOOKUP(2,1/(('Match Log'!$A$4:$A$810=$A284)*('Match Log'!$E$4:$E$810="Win")),'Match Log'!$D$4:$D$810),""))</f>
        <v>Dean B</v>
      </c>
      <c r="E284">
        <f>IFERROR(INDEX('Match Log'!$F$4:$F$810,MATCH(260,'Match Log'!$A$4:$A$810,0)),"")</f>
        <v>2</v>
      </c>
      <c r="F284">
        <f>IFERROR(SUMIFS('Match Log'!$I$4:$I$810,'Match Log'!$A$4:$A$810,260,'Match Log'!$E$4:$E$810,"Win"),"")</f>
        <v>0.63636363636363635</v>
      </c>
      <c r="G284">
        <f t="shared" si="28"/>
        <v>-0.27272727272727271</v>
      </c>
      <c r="H284" t="str">
        <f t="array" ref="H284">IFERROR(IF(COUNTIFS('Match Log'!$A$4:$A$810,$A284,'Match Log'!$E$4:$E$810,"Win")&gt;1,_xlfn.TEXTJOIN(" + ",TRUE(),IF(('Match Log'!$A$4:$A$810=$A284)*('Match Log'!$E$4:$E$810="Loss"),'Match Log'!$D$4:$D$810,"")),IF($E284=2,LOOKUP(2,1/(('Match Log'!$A$4:$A$810=$A284)*('Match Log'!$E$4:$E$810="Loss")),'Match Log'!$D$4:$D$810),"the field")),"")</f>
        <v>David</v>
      </c>
      <c r="I284">
        <f t="shared" si="29"/>
        <v>-0.27298727272727269</v>
      </c>
      <c r="J284">
        <v>260</v>
      </c>
      <c r="K284">
        <f>IF($J284&gt;MAX('Match Log'!$A$4:$A$810),NA(),IFERROR(LOOKUP(2,1/(('Match Log'!$D$4:$D$810=$K$24)*('Match Log'!$A$4:$A$810&lt;=$J284)),'Match Log'!$N$4:$N$810),NA()))</f>
        <v>1216.0096405756001</v>
      </c>
      <c r="L284">
        <f>IF($J284&gt;MAX('Match Log'!$A$4:$A$810),NA(),IFERROR(LOOKUP(2,1/(('Match Log'!$D$4:$D$810=$L$24)*('Match Log'!$A$4:$A$810&lt;=$J284)),'Match Log'!$N$4:$N$810),NA()))</f>
        <v>1029.5175965335138</v>
      </c>
      <c r="M284">
        <f>IF($J284&gt;MAX('Match Log'!$A$4:$A$810),NA(),IFERROR(LOOKUP(2,1/(('Match Log'!$D$4:$D$810=$M$24)*('Match Log'!$A$4:$A$810&lt;=$J284)),'Match Log'!$N$4:$N$810),NA()))</f>
        <v>1098.8851304702137</v>
      </c>
      <c r="N284">
        <f>IF($J284&gt;MAX('Match Log'!$A$4:$A$810),NA(),IFERROR(LOOKUP(2,1/(('Match Log'!$D$4:$D$810=$N$24)*('Match Log'!$A$4:$A$810&lt;=$J284)),'Match Log'!$N$4:$N$810),NA()))</f>
        <v>907.08627373761465</v>
      </c>
      <c r="O284">
        <f>IF($J284&gt;MAX('Match Log'!$A$4:$A$810),NA(),IFERROR(LOOKUP(2,1/(('Match Log'!$D$4:$D$810=$O$24)*('Match Log'!$A$4:$A$810&lt;=$J284)),'Match Log'!$N$4:$N$810),NA()))</f>
        <v>1155.9112046633588</v>
      </c>
      <c r="P284">
        <f>IF($J284&gt;MAX('Match Log'!$A$4:$A$810),NA(),IFERROR(LOOKUP(2,1/(('Match Log'!$D$4:$D$810=$P$24)*('Match Log'!$A$4:$A$810&lt;=$J284)),'Match Log'!$N$4:$N$810),NA()))</f>
        <v>1271.7992363440153</v>
      </c>
      <c r="Q284">
        <f>IF($J284&gt;MAX('Match Log'!$A$4:$A$810),NA(),IFERROR(LOOKUP(2,1/(('Match Log'!$D$4:$D$810=$Q$24)*('Match Log'!$A$4:$A$810&lt;=$J284)),'Match Log'!$N$4:$N$810),NA()))</f>
        <v>1000.0962683458113</v>
      </c>
      <c r="R284">
        <f>IF($J284&gt;MAX('Match Log'!$A$4:$A$810),NA(),IFERROR(LOOKUP(2,1/(('Match Log'!$D$4:$D$810=$R$24)*('Match Log'!$A$4:$A$810&lt;=$J284)),'Match Log'!$N$4:$N$810),NA()))</f>
        <v>1070.1930242736692</v>
      </c>
      <c r="S284">
        <f>IF($J284&gt;MAX('Match Log'!$A$4:$A$810),NA(),IFERROR(LOOKUP(2,1/(('Match Log'!$D$4:$D$810=$S$24)*('Match Log'!$A$4:$A$810&lt;=$J284)),'Match Log'!$N$4:$N$810),NA()))</f>
        <v>1248.9288111472574</v>
      </c>
      <c r="T284">
        <f>IF($J284&gt;MAX('Match Log'!$A$4:$A$810),NA(),IFERROR(LOOKUP(2,1/(('Match Log'!$D$4:$D$810=$T$24)*('Match Log'!$A$4:$A$810&lt;=$J284)),'Match Log'!$N$4:$N$810),NA()))</f>
        <v>862.22294373677494</v>
      </c>
      <c r="U284">
        <f>IF($J284&gt;MAX('Match Log'!$A$4:$A$810),NA(),IFERROR(LOOKUP(2,1/(('Match Log'!$D$4:$D$810=$U$24)*('Match Log'!$A$4:$A$810&lt;=$J284)),'Match Log'!$N$4:$N$810),NA()))</f>
        <v>1031.5817149449704</v>
      </c>
      <c r="V284">
        <f>IF($J284&gt;MAX('Match Log'!$A$4:$A$810),NA(),IFERROR(LOOKUP(2,1/(('Match Log'!$D$4:$D$810=$V$24)*('Match Log'!$A$4:$A$810&lt;=$J284)),'Match Log'!$N$4:$N$810),NA()))</f>
        <v>1087.5488947064855</v>
      </c>
      <c r="W284">
        <f>IF($J284&gt;MAX('Match Log'!$A$4:$A$810),NA(),IFERROR(LOOKUP(2,1/(('Match Log'!$D$4:$D$810=$W$24)*('Match Log'!$A$4:$A$810&lt;=$J284)),'Match Log'!$N$4:$N$810),NA()))</f>
        <v>1023.2192605207141</v>
      </c>
      <c r="X284" t="e">
        <f>IF($J284&gt;MAX('Match Log'!$A$4:$A$810),NA(),IFERROR(LOOKUP(2,1/(('Match Log'!$D$4:$D$810=$X$24)*('Match Log'!$A$4:$A$810&lt;=$J284)),'Match Log'!$N$4:$N$810),NA()))</f>
        <v>#N/A</v>
      </c>
      <c r="Y284" t="str">
        <f t="shared" ca="1" si="30"/>
        <v/>
      </c>
    </row>
    <row r="285" spans="1:25" x14ac:dyDescent="0.2">
      <c r="A285">
        <v>261</v>
      </c>
      <c r="B285">
        <f>IFERROR(INDEX('Match Log'!$B$4:$B$810,MATCH(261,'Match Log'!$A$4:$A$810,0)),"")</f>
        <v>46256</v>
      </c>
      <c r="C285" t="str">
        <f>IFERROR(INDEX('Match Log'!$C$4:$C$810,MATCH(261,'Match Log'!$A$4:$A$810,0)),"")</f>
        <v>Darts</v>
      </c>
      <c r="D285" t="str">
        <f t="array" ref="D285">IFERROR(_xlfn.TEXTJOIN(" + ",TRUE(),IF(('Match Log'!$A$4:$A$810=$A285)*('Match Log'!$E$4:$E$810="Win"),'Match Log'!$D$4:$D$810,"")),IFERROR(LOOKUP(2,1/(('Match Log'!$A$4:$A$810=$A285)*('Match Log'!$E$4:$E$810="Win")),'Match Log'!$D$4:$D$810),""))</f>
        <v>Aaron</v>
      </c>
      <c r="E285">
        <f>IFERROR(INDEX('Match Log'!$F$4:$F$810,MATCH(261,'Match Log'!$A$4:$A$810,0)),"")</f>
        <v>5</v>
      </c>
      <c r="F285">
        <f>IFERROR(SUMIFS('Match Log'!$I$4:$I$810,'Match Log'!$A$4:$A$810,261,'Match Log'!$E$4:$E$810,"Win"),"")</f>
        <v>0.23843930635838148</v>
      </c>
      <c r="G285">
        <f t="shared" si="28"/>
        <v>-0.19219653179190743</v>
      </c>
      <c r="H285" t="str">
        <f t="array" ref="H285">IFERROR(IF(COUNTIFS('Match Log'!$A$4:$A$810,$A285,'Match Log'!$E$4:$E$810,"Win")&gt;1,_xlfn.TEXTJOIN(" + ",TRUE(),IF(('Match Log'!$A$4:$A$810=$A285)*('Match Log'!$E$4:$E$810="Loss"),'Match Log'!$D$4:$D$810,"")),IF($E285=2,LOOKUP(2,1/(('Match Log'!$A$4:$A$810=$A285)*('Match Log'!$E$4:$E$810="Loss")),'Match Log'!$D$4:$D$810),"the field")),"")</f>
        <v>the field</v>
      </c>
      <c r="I285">
        <f t="shared" si="29"/>
        <v>-0.19245753179190744</v>
      </c>
      <c r="J285">
        <v>261</v>
      </c>
      <c r="K285">
        <f>IF($J285&gt;MAX('Match Log'!$A$4:$A$810),NA(),IFERROR(LOOKUP(2,1/(('Match Log'!$D$4:$D$810=$K$24)*('Match Log'!$A$4:$A$810&lt;=$J285)),'Match Log'!$N$4:$N$810),NA()))</f>
        <v>1242.713611121784</v>
      </c>
      <c r="L285">
        <f>IF($J285&gt;MAX('Match Log'!$A$4:$A$810),NA(),IFERROR(LOOKUP(2,1/(('Match Log'!$D$4:$D$810=$L$24)*('Match Log'!$A$4:$A$810&lt;=$J285)),'Match Log'!$N$4:$N$810),NA()))</f>
        <v>1029.5175965335138</v>
      </c>
      <c r="M285">
        <f>IF($J285&gt;MAX('Match Log'!$A$4:$A$810),NA(),IFERROR(LOOKUP(2,1/(('Match Log'!$D$4:$D$810=$M$24)*('Match Log'!$A$4:$A$810&lt;=$J285)),'Match Log'!$N$4:$N$810),NA()))</f>
        <v>1098.8851304702137</v>
      </c>
      <c r="N285">
        <f>IF($J285&gt;MAX('Match Log'!$A$4:$A$810),NA(),IFERROR(LOOKUP(2,1/(('Match Log'!$D$4:$D$810=$N$24)*('Match Log'!$A$4:$A$810&lt;=$J285)),'Match Log'!$N$4:$N$810),NA()))</f>
        <v>907.03133644117429</v>
      </c>
      <c r="O285">
        <f>IF($J285&gt;MAX('Match Log'!$A$4:$A$810),NA(),IFERROR(LOOKUP(2,1/(('Match Log'!$D$4:$D$810=$O$24)*('Match Log'!$A$4:$A$810&lt;=$J285)),'Match Log'!$N$4:$N$810),NA()))</f>
        <v>1155.9112046633588</v>
      </c>
      <c r="P285">
        <f>IF($J285&gt;MAX('Match Log'!$A$4:$A$810),NA(),IFERROR(LOOKUP(2,1/(('Match Log'!$D$4:$D$810=$P$24)*('Match Log'!$A$4:$A$810&lt;=$J285)),'Match Log'!$N$4:$N$810),NA()))</f>
        <v>1270.4696250433808</v>
      </c>
      <c r="Q285">
        <f>IF($J285&gt;MAX('Match Log'!$A$4:$A$810),NA(),IFERROR(LOOKUP(2,1/(('Match Log'!$D$4:$D$810=$Q$24)*('Match Log'!$A$4:$A$810&lt;=$J285)),'Match Log'!$N$4:$N$810),NA()))</f>
        <v>1000.0962683458113</v>
      </c>
      <c r="R285">
        <f>IF($J285&gt;MAX('Match Log'!$A$4:$A$810),NA(),IFERROR(LOOKUP(2,1/(('Match Log'!$D$4:$D$810=$R$24)*('Match Log'!$A$4:$A$810&lt;=$J285)),'Match Log'!$N$4:$N$810),NA()))</f>
        <v>1069.9115834559041</v>
      </c>
      <c r="S285">
        <f>IF($J285&gt;MAX('Match Log'!$A$4:$A$810),NA(),IFERROR(LOOKUP(2,1/(('Match Log'!$D$4:$D$810=$S$24)*('Match Log'!$A$4:$A$810&lt;=$J285)),'Match Log'!$N$4:$N$810),NA()))</f>
        <v>1248.9288111472574</v>
      </c>
      <c r="T285">
        <f>IF($J285&gt;MAX('Match Log'!$A$4:$A$810),NA(),IFERROR(LOOKUP(2,1/(('Match Log'!$D$4:$D$810=$T$24)*('Match Log'!$A$4:$A$810&lt;=$J285)),'Match Log'!$N$4:$N$810),NA()))</f>
        <v>862.22294373677494</v>
      </c>
      <c r="U285">
        <f>IF($J285&gt;MAX('Match Log'!$A$4:$A$810),NA(),IFERROR(LOOKUP(2,1/(('Match Log'!$D$4:$D$810=$U$24)*('Match Log'!$A$4:$A$810&lt;=$J285)),'Match Log'!$N$4:$N$810),NA()))</f>
        <v>1031.5437338136264</v>
      </c>
      <c r="V285">
        <f>IF($J285&gt;MAX('Match Log'!$A$4:$A$810),NA(),IFERROR(LOOKUP(2,1/(('Match Log'!$D$4:$D$810=$V$24)*('Match Log'!$A$4:$A$810&lt;=$J285)),'Match Log'!$N$4:$N$810),NA()))</f>
        <v>1087.5488947064855</v>
      </c>
      <c r="W285">
        <f>IF($J285&gt;MAX('Match Log'!$A$4:$A$810),NA(),IFERROR(LOOKUP(2,1/(('Match Log'!$D$4:$D$810=$W$24)*('Match Log'!$A$4:$A$810&lt;=$J285)),'Match Log'!$N$4:$N$810),NA()))</f>
        <v>1023.2192605207141</v>
      </c>
      <c r="X285" t="e">
        <f>IF($J285&gt;MAX('Match Log'!$A$4:$A$810),NA(),IFERROR(LOOKUP(2,1/(('Match Log'!$D$4:$D$810=$X$24)*('Match Log'!$A$4:$A$810&lt;=$J285)),'Match Log'!$N$4:$N$810),NA()))</f>
        <v>#N/A</v>
      </c>
      <c r="Y285" t="str">
        <f t="shared" ca="1" si="30"/>
        <v/>
      </c>
    </row>
    <row r="286" spans="1:25" x14ac:dyDescent="0.2">
      <c r="A286">
        <v>262</v>
      </c>
      <c r="B286">
        <f>IFERROR(INDEX('Match Log'!$B$4:$B$810,MATCH(262,'Match Log'!$A$4:$A$810,0)),"")</f>
        <v>46256</v>
      </c>
      <c r="C286" t="str">
        <f>IFERROR(INDEX('Match Log'!$C$4:$C$810,MATCH(262,'Match Log'!$A$4:$A$810,0)),"")</f>
        <v>Cards</v>
      </c>
      <c r="D286" t="str">
        <f t="array" ref="D286">IFERROR(_xlfn.TEXTJOIN(" + ",TRUE(),IF(('Match Log'!$A$4:$A$810=$A286)*('Match Log'!$E$4:$E$810="Win"),'Match Log'!$D$4:$D$810,"")),IFERROR(LOOKUP(2,1/(('Match Log'!$A$4:$A$810=$A286)*('Match Log'!$E$4:$E$810="Win")),'Match Log'!$D$4:$D$810),""))</f>
        <v>Aaron</v>
      </c>
      <c r="E286">
        <f>IFERROR(INDEX('Match Log'!$F$4:$F$810,MATCH(262,'Match Log'!$A$4:$A$810,0)),"")</f>
        <v>3</v>
      </c>
      <c r="F286">
        <f>IFERROR(SUMIFS('Match Log'!$I$4:$I$810,'Match Log'!$A$4:$A$810,262,'Match Log'!$E$4:$E$810,"Win"),"")</f>
        <v>0.35714285714285715</v>
      </c>
      <c r="G286">
        <f t="shared" si="28"/>
        <v>-7.1428571428571397E-2</v>
      </c>
      <c r="H286" t="str">
        <f t="array" ref="H286">IFERROR(IF(COUNTIFS('Match Log'!$A$4:$A$810,$A286,'Match Log'!$E$4:$E$810,"Win")&gt;1,_xlfn.TEXTJOIN(" + ",TRUE(),IF(('Match Log'!$A$4:$A$810=$A286)*('Match Log'!$E$4:$E$810="Loss"),'Match Log'!$D$4:$D$810,"")),IF($E286=2,LOOKUP(2,1/(('Match Log'!$A$4:$A$810=$A286)*('Match Log'!$E$4:$E$810="Loss")),'Match Log'!$D$4:$D$810),"the field")),"")</f>
        <v>the field</v>
      </c>
      <c r="I286">
        <f t="shared" si="29"/>
        <v>-7.1690571428571395E-2</v>
      </c>
      <c r="J286">
        <v>262</v>
      </c>
      <c r="K286">
        <f>IF($J286&gt;MAX('Match Log'!$A$4:$A$810),NA(),IFERROR(LOOKUP(2,1/(('Match Log'!$D$4:$D$810=$K$24)*('Match Log'!$A$4:$A$810&lt;=$J286)),'Match Log'!$N$4:$N$810),NA()))</f>
        <v>1265.5221853966827</v>
      </c>
      <c r="L286">
        <f>IF($J286&gt;MAX('Match Log'!$A$4:$A$810),NA(),IFERROR(LOOKUP(2,1/(('Match Log'!$D$4:$D$810=$L$24)*('Match Log'!$A$4:$A$810&lt;=$J286)),'Match Log'!$N$4:$N$810),NA()))</f>
        <v>1029.5175965335138</v>
      </c>
      <c r="M286">
        <f>IF($J286&gt;MAX('Match Log'!$A$4:$A$810),NA(),IFERROR(LOOKUP(2,1/(('Match Log'!$D$4:$D$810=$M$24)*('Match Log'!$A$4:$A$810&lt;=$J286)),'Match Log'!$N$4:$N$810),NA()))</f>
        <v>1098.8851304702137</v>
      </c>
      <c r="N286">
        <f>IF($J286&gt;MAX('Match Log'!$A$4:$A$810),NA(),IFERROR(LOOKUP(2,1/(('Match Log'!$D$4:$D$810=$N$24)*('Match Log'!$A$4:$A$810&lt;=$J286)),'Match Log'!$N$4:$N$810),NA()))</f>
        <v>907.03133644117429</v>
      </c>
      <c r="O286">
        <f>IF($J286&gt;MAX('Match Log'!$A$4:$A$810),NA(),IFERROR(LOOKUP(2,1/(('Match Log'!$D$4:$D$810=$O$24)*('Match Log'!$A$4:$A$810&lt;=$J286)),'Match Log'!$N$4:$N$810),NA()))</f>
        <v>1155.9112046633588</v>
      </c>
      <c r="P286">
        <f>IF($J286&gt;MAX('Match Log'!$A$4:$A$810),NA(),IFERROR(LOOKUP(2,1/(('Match Log'!$D$4:$D$810=$P$24)*('Match Log'!$A$4:$A$810&lt;=$J286)),'Match Log'!$N$4:$N$810),NA()))</f>
        <v>1260.546161075431</v>
      </c>
      <c r="Q286">
        <f>IF($J286&gt;MAX('Match Log'!$A$4:$A$810),NA(),IFERROR(LOOKUP(2,1/(('Match Log'!$D$4:$D$810=$Q$24)*('Match Log'!$A$4:$A$810&lt;=$J286)),'Match Log'!$N$4:$N$810),NA()))</f>
        <v>1000.0962683458113</v>
      </c>
      <c r="R286">
        <f>IF($J286&gt;MAX('Match Log'!$A$4:$A$810),NA(),IFERROR(LOOKUP(2,1/(('Match Log'!$D$4:$D$810=$R$24)*('Match Log'!$A$4:$A$810&lt;=$J286)),'Match Log'!$N$4:$N$810),NA()))</f>
        <v>1066.0264731489551</v>
      </c>
      <c r="S286">
        <f>IF($J286&gt;MAX('Match Log'!$A$4:$A$810),NA(),IFERROR(LOOKUP(2,1/(('Match Log'!$D$4:$D$810=$S$24)*('Match Log'!$A$4:$A$810&lt;=$J286)),'Match Log'!$N$4:$N$810),NA()))</f>
        <v>1248.9288111472574</v>
      </c>
      <c r="T286">
        <f>IF($J286&gt;MAX('Match Log'!$A$4:$A$810),NA(),IFERROR(LOOKUP(2,1/(('Match Log'!$D$4:$D$810=$T$24)*('Match Log'!$A$4:$A$810&lt;=$J286)),'Match Log'!$N$4:$N$810),NA()))</f>
        <v>862.22294373677494</v>
      </c>
      <c r="U286">
        <f>IF($J286&gt;MAX('Match Log'!$A$4:$A$810),NA(),IFERROR(LOOKUP(2,1/(('Match Log'!$D$4:$D$810=$U$24)*('Match Log'!$A$4:$A$810&lt;=$J286)),'Match Log'!$N$4:$N$810),NA()))</f>
        <v>1031.5437338136264</v>
      </c>
      <c r="V286">
        <f>IF($J286&gt;MAX('Match Log'!$A$4:$A$810),NA(),IFERROR(LOOKUP(2,1/(('Match Log'!$D$4:$D$810=$V$24)*('Match Log'!$A$4:$A$810&lt;=$J286)),'Match Log'!$N$4:$N$810),NA()))</f>
        <v>1087.5488947064855</v>
      </c>
      <c r="W286">
        <f>IF($J286&gt;MAX('Match Log'!$A$4:$A$810),NA(),IFERROR(LOOKUP(2,1/(('Match Log'!$D$4:$D$810=$W$24)*('Match Log'!$A$4:$A$810&lt;=$J286)),'Match Log'!$N$4:$N$810),NA()))</f>
        <v>1023.2192605207141</v>
      </c>
      <c r="X286" t="e">
        <f>IF($J286&gt;MAX('Match Log'!$A$4:$A$810),NA(),IFERROR(LOOKUP(2,1/(('Match Log'!$D$4:$D$810=$X$24)*('Match Log'!$A$4:$A$810&lt;=$J286)),'Match Log'!$N$4:$N$810),NA()))</f>
        <v>#N/A</v>
      </c>
      <c r="Y286" t="str">
        <f t="shared" ca="1" si="30"/>
        <v/>
      </c>
    </row>
    <row r="287" spans="1:25" x14ac:dyDescent="0.2">
      <c r="A287">
        <v>263</v>
      </c>
      <c r="B287">
        <f>IFERROR(INDEX('Match Log'!$B$4:$B$810,MATCH(263,'Match Log'!$A$4:$A$810,0)),"")</f>
        <v>46256</v>
      </c>
      <c r="C287" t="str">
        <f>IFERROR(INDEX('Match Log'!$C$4:$C$810,MATCH(263,'Match Log'!$A$4:$A$810,0)),"")</f>
        <v>Darts</v>
      </c>
      <c r="D287" t="str">
        <f t="array" ref="D287">IFERROR(_xlfn.TEXTJOIN(" + ",TRUE(),IF(('Match Log'!$A$4:$A$810=$A287)*('Match Log'!$E$4:$E$810="Win"),'Match Log'!$D$4:$D$810,"")),IFERROR(LOOKUP(2,1/(('Match Log'!$A$4:$A$810=$A287)*('Match Log'!$E$4:$E$810="Win")),'Match Log'!$D$4:$D$810),""))</f>
        <v>Oscar</v>
      </c>
      <c r="E287">
        <f>IFERROR(INDEX('Match Log'!$F$4:$F$810,MATCH(263,'Match Log'!$A$4:$A$810,0)),"")</f>
        <v>2</v>
      </c>
      <c r="F287">
        <f>IFERROR(SUMIFS('Match Log'!$I$4:$I$810,'Match Log'!$A$4:$A$810,263,'Match Log'!$E$4:$E$810,"Win"),"")</f>
        <v>0.40740740740740738</v>
      </c>
      <c r="G287">
        <f t="shared" si="28"/>
        <v>0.18518518518518523</v>
      </c>
      <c r="H287" t="str">
        <f t="array" ref="H287">IFERROR(IF(COUNTIFS('Match Log'!$A$4:$A$810,$A287,'Match Log'!$E$4:$E$810,"Win")&gt;1,_xlfn.TEXTJOIN(" + ",TRUE(),IF(('Match Log'!$A$4:$A$810=$A287)*('Match Log'!$E$4:$E$810="Loss"),'Match Log'!$D$4:$D$810,"")),IF($E287=2,LOOKUP(2,1/(('Match Log'!$A$4:$A$810=$A287)*('Match Log'!$E$4:$E$810="Loss")),'Match Log'!$D$4:$D$810),"the field")),"")</f>
        <v>Shawn</v>
      </c>
      <c r="I287">
        <f t="shared" si="29"/>
        <v>0.18492218518518522</v>
      </c>
      <c r="J287">
        <v>263</v>
      </c>
      <c r="K287">
        <f>IF($J287&gt;MAX('Match Log'!$A$4:$A$810),NA(),IFERROR(LOOKUP(2,1/(('Match Log'!$D$4:$D$810=$K$24)*('Match Log'!$A$4:$A$810&lt;=$J287)),'Match Log'!$N$4:$N$810),NA()))</f>
        <v>1265.5221853966827</v>
      </c>
      <c r="L287">
        <f>IF($J287&gt;MAX('Match Log'!$A$4:$A$810),NA(),IFERROR(LOOKUP(2,1/(('Match Log'!$D$4:$D$810=$L$24)*('Match Log'!$A$4:$A$810&lt;=$J287)),'Match Log'!$N$4:$N$810),NA()))</f>
        <v>1029.5175965335138</v>
      </c>
      <c r="M287">
        <f>IF($J287&gt;MAX('Match Log'!$A$4:$A$810),NA(),IFERROR(LOOKUP(2,1/(('Match Log'!$D$4:$D$810=$M$24)*('Match Log'!$A$4:$A$810&lt;=$J287)),'Match Log'!$N$4:$N$810),NA()))</f>
        <v>1098.8851304702137</v>
      </c>
      <c r="N287">
        <f>IF($J287&gt;MAX('Match Log'!$A$4:$A$810),NA(),IFERROR(LOOKUP(2,1/(('Match Log'!$D$4:$D$810=$N$24)*('Match Log'!$A$4:$A$810&lt;=$J287)),'Match Log'!$N$4:$N$810),NA()))</f>
        <v>907.03133644117429</v>
      </c>
      <c r="O287">
        <f>IF($J287&gt;MAX('Match Log'!$A$4:$A$810),NA(),IFERROR(LOOKUP(2,1/(('Match Log'!$D$4:$D$810=$O$24)*('Match Log'!$A$4:$A$810&lt;=$J287)),'Match Log'!$N$4:$N$810),NA()))</f>
        <v>1155.9112046633588</v>
      </c>
      <c r="P287">
        <f>IF($J287&gt;MAX('Match Log'!$A$4:$A$810),NA(),IFERROR(LOOKUP(2,1/(('Match Log'!$D$4:$D$810=$P$24)*('Match Log'!$A$4:$A$810&lt;=$J287)),'Match Log'!$N$4:$N$810),NA()))</f>
        <v>1234.1697494462214</v>
      </c>
      <c r="Q287">
        <f>IF($J287&gt;MAX('Match Log'!$A$4:$A$810),NA(),IFERROR(LOOKUP(2,1/(('Match Log'!$D$4:$D$810=$Q$24)*('Match Log'!$A$4:$A$810&lt;=$J287)),'Match Log'!$N$4:$N$810),NA()))</f>
        <v>1000.0962683458113</v>
      </c>
      <c r="R287">
        <f>IF($J287&gt;MAX('Match Log'!$A$4:$A$810),NA(),IFERROR(LOOKUP(2,1/(('Match Log'!$D$4:$D$810=$R$24)*('Match Log'!$A$4:$A$810&lt;=$J287)),'Match Log'!$N$4:$N$810),NA()))</f>
        <v>1066.0264731489551</v>
      </c>
      <c r="S287">
        <f>IF($J287&gt;MAX('Match Log'!$A$4:$A$810),NA(),IFERROR(LOOKUP(2,1/(('Match Log'!$D$4:$D$810=$S$24)*('Match Log'!$A$4:$A$810&lt;=$J287)),'Match Log'!$N$4:$N$810),NA()))</f>
        <v>1248.9288111472574</v>
      </c>
      <c r="T287">
        <f>IF($J287&gt;MAX('Match Log'!$A$4:$A$810),NA(),IFERROR(LOOKUP(2,1/(('Match Log'!$D$4:$D$810=$T$24)*('Match Log'!$A$4:$A$810&lt;=$J287)),'Match Log'!$N$4:$N$810),NA()))</f>
        <v>862.22294373677494</v>
      </c>
      <c r="U287">
        <f>IF($J287&gt;MAX('Match Log'!$A$4:$A$810),NA(),IFERROR(LOOKUP(2,1/(('Match Log'!$D$4:$D$810=$U$24)*('Match Log'!$A$4:$A$810&lt;=$J287)),'Match Log'!$N$4:$N$810),NA()))</f>
        <v>1057.920145442836</v>
      </c>
      <c r="V287">
        <f>IF($J287&gt;MAX('Match Log'!$A$4:$A$810),NA(),IFERROR(LOOKUP(2,1/(('Match Log'!$D$4:$D$810=$V$24)*('Match Log'!$A$4:$A$810&lt;=$J287)),'Match Log'!$N$4:$N$810),NA()))</f>
        <v>1087.5488947064855</v>
      </c>
      <c r="W287">
        <f>IF($J287&gt;MAX('Match Log'!$A$4:$A$810),NA(),IFERROR(LOOKUP(2,1/(('Match Log'!$D$4:$D$810=$W$24)*('Match Log'!$A$4:$A$810&lt;=$J287)),'Match Log'!$N$4:$N$810),NA()))</f>
        <v>1023.2192605207141</v>
      </c>
      <c r="X287" t="e">
        <f>IF($J287&gt;MAX('Match Log'!$A$4:$A$810),NA(),IFERROR(LOOKUP(2,1/(('Match Log'!$D$4:$D$810=$X$24)*('Match Log'!$A$4:$A$810&lt;=$J287)),'Match Log'!$N$4:$N$810),NA()))</f>
        <v>#N/A</v>
      </c>
      <c r="Y287" t="str">
        <f t="shared" ca="1" si="30"/>
        <v/>
      </c>
    </row>
    <row r="288" spans="1:25" x14ac:dyDescent="0.2">
      <c r="A288">
        <v>264</v>
      </c>
      <c r="B288">
        <f>IFERROR(INDEX('Match Log'!$B$4:$B$810,MATCH(264,'Match Log'!$A$4:$A$810,0)),"")</f>
        <v>46257</v>
      </c>
      <c r="C288" t="str">
        <f>IFERROR(INDEX('Match Log'!$C$4:$C$810,MATCH(264,'Match Log'!$A$4:$A$810,0)),"")</f>
        <v>FIFA</v>
      </c>
      <c r="D288" t="str">
        <f t="array" ref="D288">IFERROR(_xlfn.TEXTJOIN(" + ",TRUE(),IF(('Match Log'!$A$4:$A$810=$A288)*('Match Log'!$E$4:$E$810="Win"),'Match Log'!$D$4:$D$810,"")),IFERROR(LOOKUP(2,1/(('Match Log'!$A$4:$A$810=$A288)*('Match Log'!$E$4:$E$810="Win")),'Match Log'!$D$4:$D$810),""))</f>
        <v>Shawn</v>
      </c>
      <c r="E288">
        <f>IFERROR(INDEX('Match Log'!$F$4:$F$810,MATCH(264,'Match Log'!$A$4:$A$810,0)),"")</f>
        <v>2</v>
      </c>
      <c r="F288">
        <f>IFERROR(SUMIFS('Match Log'!$I$4:$I$810,'Match Log'!$A$4:$A$810,264,'Match Log'!$E$4:$E$810,"Win"),"")</f>
        <v>0.4850746268656716</v>
      </c>
      <c r="G288">
        <f t="shared" si="28"/>
        <v>2.9850746268656803E-2</v>
      </c>
      <c r="H288" t="str">
        <f t="array" ref="H288">IFERROR(IF(COUNTIFS('Match Log'!$A$4:$A$810,$A288,'Match Log'!$E$4:$E$810,"Win")&gt;1,_xlfn.TEXTJOIN(" + ",TRUE(),IF(('Match Log'!$A$4:$A$810=$A288)*('Match Log'!$E$4:$E$810="Loss"),'Match Log'!$D$4:$D$810,"")),IF($E288=2,LOOKUP(2,1/(('Match Log'!$A$4:$A$810=$A288)*('Match Log'!$E$4:$E$810="Loss")),'Match Log'!$D$4:$D$810),"the field")),"")</f>
        <v>Daniel (Ferret)</v>
      </c>
      <c r="I288">
        <f t="shared" si="29"/>
        <v>2.9586746268656802E-2</v>
      </c>
      <c r="J288">
        <v>264</v>
      </c>
      <c r="K288">
        <f>IF($J288&gt;MAX('Match Log'!$A$4:$A$810),NA(),IFERROR(LOOKUP(2,1/(('Match Log'!$D$4:$D$810=$K$24)*('Match Log'!$A$4:$A$810&lt;=$J288)),'Match Log'!$N$4:$N$810),NA()))</f>
        <v>1265.5221853966827</v>
      </c>
      <c r="L288">
        <f>IF($J288&gt;MAX('Match Log'!$A$4:$A$810),NA(),IFERROR(LOOKUP(2,1/(('Match Log'!$D$4:$D$810=$L$24)*('Match Log'!$A$4:$A$810&lt;=$J288)),'Match Log'!$N$4:$N$810),NA()))</f>
        <v>1029.5175965335138</v>
      </c>
      <c r="M288">
        <f>IF($J288&gt;MAX('Match Log'!$A$4:$A$810),NA(),IFERROR(LOOKUP(2,1/(('Match Log'!$D$4:$D$810=$M$24)*('Match Log'!$A$4:$A$810&lt;=$J288)),'Match Log'!$N$4:$N$810),NA()))</f>
        <v>1098.8851304702137</v>
      </c>
      <c r="N288">
        <f>IF($J288&gt;MAX('Match Log'!$A$4:$A$810),NA(),IFERROR(LOOKUP(2,1/(('Match Log'!$D$4:$D$810=$N$24)*('Match Log'!$A$4:$A$810&lt;=$J288)),'Match Log'!$N$4:$N$810),NA()))</f>
        <v>907.03133644117429</v>
      </c>
      <c r="O288">
        <f>IF($J288&gt;MAX('Match Log'!$A$4:$A$810),NA(),IFERROR(LOOKUP(2,1/(('Match Log'!$D$4:$D$810=$O$24)*('Match Log'!$A$4:$A$810&lt;=$J288)),'Match Log'!$N$4:$N$810),NA()))</f>
        <v>1155.9112046633588</v>
      </c>
      <c r="P288">
        <f>IF($J288&gt;MAX('Match Log'!$A$4:$A$810),NA(),IFERROR(LOOKUP(2,1/(('Match Log'!$D$4:$D$810=$P$24)*('Match Log'!$A$4:$A$810&lt;=$J288)),'Match Log'!$N$4:$N$810),NA()))</f>
        <v>1256.7969133550798</v>
      </c>
      <c r="Q288">
        <f>IF($J288&gt;MAX('Match Log'!$A$4:$A$810),NA(),IFERROR(LOOKUP(2,1/(('Match Log'!$D$4:$D$810=$Q$24)*('Match Log'!$A$4:$A$810&lt;=$J288)),'Match Log'!$N$4:$N$810),NA()))</f>
        <v>1000.0962683458113</v>
      </c>
      <c r="R288">
        <f>IF($J288&gt;MAX('Match Log'!$A$4:$A$810),NA(),IFERROR(LOOKUP(2,1/(('Match Log'!$D$4:$D$810=$R$24)*('Match Log'!$A$4:$A$810&lt;=$J288)),'Match Log'!$N$4:$N$810),NA()))</f>
        <v>1043.3993092400967</v>
      </c>
      <c r="S288">
        <f>IF($J288&gt;MAX('Match Log'!$A$4:$A$810),NA(),IFERROR(LOOKUP(2,1/(('Match Log'!$D$4:$D$810=$S$24)*('Match Log'!$A$4:$A$810&lt;=$J288)),'Match Log'!$N$4:$N$810),NA()))</f>
        <v>1248.9288111472574</v>
      </c>
      <c r="T288">
        <f>IF($J288&gt;MAX('Match Log'!$A$4:$A$810),NA(),IFERROR(LOOKUP(2,1/(('Match Log'!$D$4:$D$810=$T$24)*('Match Log'!$A$4:$A$810&lt;=$J288)),'Match Log'!$N$4:$N$810),NA()))</f>
        <v>862.22294373677494</v>
      </c>
      <c r="U288">
        <f>IF($J288&gt;MAX('Match Log'!$A$4:$A$810),NA(),IFERROR(LOOKUP(2,1/(('Match Log'!$D$4:$D$810=$U$24)*('Match Log'!$A$4:$A$810&lt;=$J288)),'Match Log'!$N$4:$N$810),NA()))</f>
        <v>1057.920145442836</v>
      </c>
      <c r="V288">
        <f>IF($J288&gt;MAX('Match Log'!$A$4:$A$810),NA(),IFERROR(LOOKUP(2,1/(('Match Log'!$D$4:$D$810=$V$24)*('Match Log'!$A$4:$A$810&lt;=$J288)),'Match Log'!$N$4:$N$810),NA()))</f>
        <v>1087.5488947064855</v>
      </c>
      <c r="W288">
        <f>IF($J288&gt;MAX('Match Log'!$A$4:$A$810),NA(),IFERROR(LOOKUP(2,1/(('Match Log'!$D$4:$D$810=$W$24)*('Match Log'!$A$4:$A$810&lt;=$J288)),'Match Log'!$N$4:$N$810),NA()))</f>
        <v>1023.2192605207141</v>
      </c>
      <c r="X288" t="e">
        <f>IF($J288&gt;MAX('Match Log'!$A$4:$A$810),NA(),IFERROR(LOOKUP(2,1/(('Match Log'!$D$4:$D$810=$X$24)*('Match Log'!$A$4:$A$810&lt;=$J288)),'Match Log'!$N$4:$N$810),NA()))</f>
        <v>#N/A</v>
      </c>
      <c r="Y288" t="str">
        <f t="shared" ca="1" si="30"/>
        <v/>
      </c>
    </row>
    <row r="289" spans="1:25" x14ac:dyDescent="0.2">
      <c r="A289">
        <v>265</v>
      </c>
      <c r="B289">
        <f>IFERROR(INDEX('Match Log'!$B$4:$B$810,MATCH(265,'Match Log'!$A$4:$A$810,0)),"")</f>
        <v>46257</v>
      </c>
      <c r="C289" t="str">
        <f>IFERROR(INDEX('Match Log'!$C$4:$C$810,MATCH(265,'Match Log'!$A$4:$A$810,0)),"")</f>
        <v>FIFA</v>
      </c>
      <c r="D289" t="str">
        <f t="array" ref="D289">IFERROR(_xlfn.TEXTJOIN(" + ",TRUE(),IF(('Match Log'!$A$4:$A$810=$A289)*('Match Log'!$E$4:$E$810="Win"),'Match Log'!$D$4:$D$810,"")),IFERROR(LOOKUP(2,1/(('Match Log'!$A$4:$A$810=$A289)*('Match Log'!$E$4:$E$810="Win")),'Match Log'!$D$4:$D$810),""))</f>
        <v>Daniel (Ferret)</v>
      </c>
      <c r="E289">
        <f>IFERROR(INDEX('Match Log'!$F$4:$F$810,MATCH(265,'Match Log'!$A$4:$A$810,0)),"")</f>
        <v>2</v>
      </c>
      <c r="F289">
        <f>IFERROR(SUMIFS('Match Log'!$I$4:$I$810,'Match Log'!$A$4:$A$810,265,'Match Log'!$E$4:$E$810,"Win"),"")</f>
        <v>0.5625</v>
      </c>
      <c r="G289">
        <f t="shared" si="28"/>
        <v>-0.125</v>
      </c>
      <c r="H289" t="str">
        <f t="array" ref="H289">IFERROR(IF(COUNTIFS('Match Log'!$A$4:$A$810,$A289,'Match Log'!$E$4:$E$810,"Win")&gt;1,_xlfn.TEXTJOIN(" + ",TRUE(),IF(('Match Log'!$A$4:$A$810=$A289)*('Match Log'!$E$4:$E$810="Loss"),'Match Log'!$D$4:$D$810,"")),IF($E289=2,LOOKUP(2,1/(('Match Log'!$A$4:$A$810=$A289)*('Match Log'!$E$4:$E$810="Loss")),'Match Log'!$D$4:$D$810),"the field")),"")</f>
        <v>Oscar</v>
      </c>
      <c r="I289">
        <f t="shared" si="29"/>
        <v>-0.12526499999999999</v>
      </c>
      <c r="J289">
        <v>265</v>
      </c>
      <c r="K289">
        <f>IF($J289&gt;MAX('Match Log'!$A$4:$A$810),NA(),IFERROR(LOOKUP(2,1/(('Match Log'!$D$4:$D$810=$K$24)*('Match Log'!$A$4:$A$810&lt;=$J289)),'Match Log'!$N$4:$N$810),NA()))</f>
        <v>1265.5221853966827</v>
      </c>
      <c r="L289">
        <f>IF($J289&gt;MAX('Match Log'!$A$4:$A$810),NA(),IFERROR(LOOKUP(2,1/(('Match Log'!$D$4:$D$810=$L$24)*('Match Log'!$A$4:$A$810&lt;=$J289)),'Match Log'!$N$4:$N$810),NA()))</f>
        <v>1029.5175965335138</v>
      </c>
      <c r="M289">
        <f>IF($J289&gt;MAX('Match Log'!$A$4:$A$810),NA(),IFERROR(LOOKUP(2,1/(('Match Log'!$D$4:$D$810=$M$24)*('Match Log'!$A$4:$A$810&lt;=$J289)),'Match Log'!$N$4:$N$810),NA()))</f>
        <v>1098.8851304702137</v>
      </c>
      <c r="N289">
        <f>IF($J289&gt;MAX('Match Log'!$A$4:$A$810),NA(),IFERROR(LOOKUP(2,1/(('Match Log'!$D$4:$D$810=$N$24)*('Match Log'!$A$4:$A$810&lt;=$J289)),'Match Log'!$N$4:$N$810),NA()))</f>
        <v>907.03133644117429</v>
      </c>
      <c r="O289">
        <f>IF($J289&gt;MAX('Match Log'!$A$4:$A$810),NA(),IFERROR(LOOKUP(2,1/(('Match Log'!$D$4:$D$810=$O$24)*('Match Log'!$A$4:$A$810&lt;=$J289)),'Match Log'!$N$4:$N$810),NA()))</f>
        <v>1155.9112046633588</v>
      </c>
      <c r="P289">
        <f>IF($J289&gt;MAX('Match Log'!$A$4:$A$810),NA(),IFERROR(LOOKUP(2,1/(('Match Log'!$D$4:$D$810=$P$24)*('Match Log'!$A$4:$A$810&lt;=$J289)),'Match Log'!$N$4:$N$810),NA()))</f>
        <v>1256.7969133550798</v>
      </c>
      <c r="Q289">
        <f>IF($J289&gt;MAX('Match Log'!$A$4:$A$810),NA(),IFERROR(LOOKUP(2,1/(('Match Log'!$D$4:$D$810=$Q$24)*('Match Log'!$A$4:$A$810&lt;=$J289)),'Match Log'!$N$4:$N$810),NA()))</f>
        <v>1000.0962683458113</v>
      </c>
      <c r="R289">
        <f>IF($J289&gt;MAX('Match Log'!$A$4:$A$810),NA(),IFERROR(LOOKUP(2,1/(('Match Log'!$D$4:$D$810=$R$24)*('Match Log'!$A$4:$A$810&lt;=$J289)),'Match Log'!$N$4:$N$810),NA()))</f>
        <v>1065.4866381556922</v>
      </c>
      <c r="S289">
        <f>IF($J289&gt;MAX('Match Log'!$A$4:$A$810),NA(),IFERROR(LOOKUP(2,1/(('Match Log'!$D$4:$D$810=$S$24)*('Match Log'!$A$4:$A$810&lt;=$J289)),'Match Log'!$N$4:$N$810),NA()))</f>
        <v>1248.9288111472574</v>
      </c>
      <c r="T289">
        <f>IF($J289&gt;MAX('Match Log'!$A$4:$A$810),NA(),IFERROR(LOOKUP(2,1/(('Match Log'!$D$4:$D$810=$T$24)*('Match Log'!$A$4:$A$810&lt;=$J289)),'Match Log'!$N$4:$N$810),NA()))</f>
        <v>862.22294373677494</v>
      </c>
      <c r="U289">
        <f>IF($J289&gt;MAX('Match Log'!$A$4:$A$810),NA(),IFERROR(LOOKUP(2,1/(('Match Log'!$D$4:$D$810=$U$24)*('Match Log'!$A$4:$A$810&lt;=$J289)),'Match Log'!$N$4:$N$810),NA()))</f>
        <v>1035.8328165272405</v>
      </c>
      <c r="V289">
        <f>IF($J289&gt;MAX('Match Log'!$A$4:$A$810),NA(),IFERROR(LOOKUP(2,1/(('Match Log'!$D$4:$D$810=$V$24)*('Match Log'!$A$4:$A$810&lt;=$J289)),'Match Log'!$N$4:$N$810),NA()))</f>
        <v>1087.5488947064855</v>
      </c>
      <c r="W289">
        <f>IF($J289&gt;MAX('Match Log'!$A$4:$A$810),NA(),IFERROR(LOOKUP(2,1/(('Match Log'!$D$4:$D$810=$W$24)*('Match Log'!$A$4:$A$810&lt;=$J289)),'Match Log'!$N$4:$N$810),NA()))</f>
        <v>1023.2192605207141</v>
      </c>
      <c r="X289" t="e">
        <f>IF($J289&gt;MAX('Match Log'!$A$4:$A$810),NA(),IFERROR(LOOKUP(2,1/(('Match Log'!$D$4:$D$810=$X$24)*('Match Log'!$A$4:$A$810&lt;=$J289)),'Match Log'!$N$4:$N$810),NA()))</f>
        <v>#N/A</v>
      </c>
      <c r="Y289" t="str">
        <f t="shared" ca="1" si="30"/>
        <v/>
      </c>
    </row>
    <row r="290" spans="1:25" x14ac:dyDescent="0.2">
      <c r="A290">
        <v>266</v>
      </c>
      <c r="B290">
        <f>IFERROR(INDEX('Match Log'!$B$4:$B$810,MATCH(266,'Match Log'!$A$4:$A$810,0)),"")</f>
        <v>46257</v>
      </c>
      <c r="C290" t="str">
        <f>IFERROR(INDEX('Match Log'!$C$4:$C$810,MATCH(266,'Match Log'!$A$4:$A$810,0)),"")</f>
        <v>FIFA</v>
      </c>
      <c r="D290" t="str">
        <f t="array" ref="D290">IFERROR(_xlfn.TEXTJOIN(" + ",TRUE(),IF(('Match Log'!$A$4:$A$810=$A290)*('Match Log'!$E$4:$E$810="Win"),'Match Log'!$D$4:$D$810,"")),IFERROR(LOOKUP(2,1/(('Match Log'!$A$4:$A$810=$A290)*('Match Log'!$E$4:$E$810="Win")),'Match Log'!$D$4:$D$810),""))</f>
        <v>Oscar</v>
      </c>
      <c r="E290">
        <f>IFERROR(INDEX('Match Log'!$F$4:$F$810,MATCH(266,'Match Log'!$A$4:$A$810,0)),"")</f>
        <v>2</v>
      </c>
      <c r="F290">
        <f>IFERROR(SUMIFS('Match Log'!$I$4:$I$810,'Match Log'!$A$4:$A$810,266,'Match Log'!$E$4:$E$810,"Win"),"")</f>
        <v>0.37974683544303794</v>
      </c>
      <c r="G290">
        <f t="shared" si="28"/>
        <v>0.24050632911392411</v>
      </c>
      <c r="H290" t="str">
        <f t="array" ref="H290">IFERROR(IF(COUNTIFS('Match Log'!$A$4:$A$810,$A290,'Match Log'!$E$4:$E$810,"Win")&gt;1,_xlfn.TEXTJOIN(" + ",TRUE(),IF(('Match Log'!$A$4:$A$810=$A290)*('Match Log'!$E$4:$E$810="Loss"),'Match Log'!$D$4:$D$810,"")),IF($E290=2,LOOKUP(2,1/(('Match Log'!$A$4:$A$810=$A290)*('Match Log'!$E$4:$E$810="Loss")),'Match Log'!$D$4:$D$810),"the field")),"")</f>
        <v>Daniel (Ferret)</v>
      </c>
      <c r="I290">
        <f t="shared" si="29"/>
        <v>0.24024032911392412</v>
      </c>
      <c r="J290">
        <v>266</v>
      </c>
      <c r="K290">
        <f>IF($J290&gt;MAX('Match Log'!$A$4:$A$810),NA(),IFERROR(LOOKUP(2,1/(('Match Log'!$D$4:$D$810=$K$24)*('Match Log'!$A$4:$A$810&lt;=$J290)),'Match Log'!$N$4:$N$810),NA()))</f>
        <v>1265.5221853966827</v>
      </c>
      <c r="L290">
        <f>IF($J290&gt;MAX('Match Log'!$A$4:$A$810),NA(),IFERROR(LOOKUP(2,1/(('Match Log'!$D$4:$D$810=$L$24)*('Match Log'!$A$4:$A$810&lt;=$J290)),'Match Log'!$N$4:$N$810),NA()))</f>
        <v>1029.5175965335138</v>
      </c>
      <c r="M290">
        <f>IF($J290&gt;MAX('Match Log'!$A$4:$A$810),NA(),IFERROR(LOOKUP(2,1/(('Match Log'!$D$4:$D$810=$M$24)*('Match Log'!$A$4:$A$810&lt;=$J290)),'Match Log'!$N$4:$N$810),NA()))</f>
        <v>1098.8851304702137</v>
      </c>
      <c r="N290">
        <f>IF($J290&gt;MAX('Match Log'!$A$4:$A$810),NA(),IFERROR(LOOKUP(2,1/(('Match Log'!$D$4:$D$810=$N$24)*('Match Log'!$A$4:$A$810&lt;=$J290)),'Match Log'!$N$4:$N$810),NA()))</f>
        <v>907.03133644117429</v>
      </c>
      <c r="O290">
        <f>IF($J290&gt;MAX('Match Log'!$A$4:$A$810),NA(),IFERROR(LOOKUP(2,1/(('Match Log'!$D$4:$D$810=$O$24)*('Match Log'!$A$4:$A$810&lt;=$J290)),'Match Log'!$N$4:$N$810),NA()))</f>
        <v>1155.9112046633588</v>
      </c>
      <c r="P290">
        <f>IF($J290&gt;MAX('Match Log'!$A$4:$A$810),NA(),IFERROR(LOOKUP(2,1/(('Match Log'!$D$4:$D$810=$P$24)*('Match Log'!$A$4:$A$810&lt;=$J290)),'Match Log'!$N$4:$N$810),NA()))</f>
        <v>1256.7969133550798</v>
      </c>
      <c r="Q290">
        <f>IF($J290&gt;MAX('Match Log'!$A$4:$A$810),NA(),IFERROR(LOOKUP(2,1/(('Match Log'!$D$4:$D$810=$Q$24)*('Match Log'!$A$4:$A$810&lt;=$J290)),'Match Log'!$N$4:$N$810),NA()))</f>
        <v>1000.0962683458113</v>
      </c>
      <c r="R290">
        <f>IF($J290&gt;MAX('Match Log'!$A$4:$A$810),NA(),IFERROR(LOOKUP(2,1/(('Match Log'!$D$4:$D$810=$R$24)*('Match Log'!$A$4:$A$810&lt;=$J290)),'Match Log'!$N$4:$N$810),NA()))</f>
        <v>1041.0468763978297</v>
      </c>
      <c r="S290">
        <f>IF($J290&gt;MAX('Match Log'!$A$4:$A$810),NA(),IFERROR(LOOKUP(2,1/(('Match Log'!$D$4:$D$810=$S$24)*('Match Log'!$A$4:$A$810&lt;=$J290)),'Match Log'!$N$4:$N$810),NA()))</f>
        <v>1248.9288111472574</v>
      </c>
      <c r="T290">
        <f>IF($J290&gt;MAX('Match Log'!$A$4:$A$810),NA(),IFERROR(LOOKUP(2,1/(('Match Log'!$D$4:$D$810=$T$24)*('Match Log'!$A$4:$A$810&lt;=$J290)),'Match Log'!$N$4:$N$810),NA()))</f>
        <v>862.22294373677494</v>
      </c>
      <c r="U290">
        <f>IF($J290&gt;MAX('Match Log'!$A$4:$A$810),NA(),IFERROR(LOOKUP(2,1/(('Match Log'!$D$4:$D$810=$U$24)*('Match Log'!$A$4:$A$810&lt;=$J290)),'Match Log'!$N$4:$N$810),NA()))</f>
        <v>1060.272578285103</v>
      </c>
      <c r="V290">
        <f>IF($J290&gt;MAX('Match Log'!$A$4:$A$810),NA(),IFERROR(LOOKUP(2,1/(('Match Log'!$D$4:$D$810=$V$24)*('Match Log'!$A$4:$A$810&lt;=$J290)),'Match Log'!$N$4:$N$810),NA()))</f>
        <v>1087.5488947064855</v>
      </c>
      <c r="W290">
        <f>IF($J290&gt;MAX('Match Log'!$A$4:$A$810),NA(),IFERROR(LOOKUP(2,1/(('Match Log'!$D$4:$D$810=$W$24)*('Match Log'!$A$4:$A$810&lt;=$J290)),'Match Log'!$N$4:$N$810),NA()))</f>
        <v>1023.2192605207141</v>
      </c>
      <c r="X290" t="e">
        <f>IF($J290&gt;MAX('Match Log'!$A$4:$A$810),NA(),IFERROR(LOOKUP(2,1/(('Match Log'!$D$4:$D$810=$X$24)*('Match Log'!$A$4:$A$810&lt;=$J290)),'Match Log'!$N$4:$N$810),NA()))</f>
        <v>#N/A</v>
      </c>
      <c r="Y290" t="str">
        <f t="shared" ca="1" si="30"/>
        <v/>
      </c>
    </row>
    <row r="291" spans="1:25" x14ac:dyDescent="0.2">
      <c r="A291">
        <v>267</v>
      </c>
      <c r="B291">
        <f>IFERROR(INDEX('Match Log'!$B$4:$B$810,MATCH(267,'Match Log'!$A$4:$A$810,0)),"")</f>
        <v>46257</v>
      </c>
      <c r="C291" t="str">
        <f>IFERROR(INDEX('Match Log'!$C$4:$C$810,MATCH(267,'Match Log'!$A$4:$A$810,0)),"")</f>
        <v>Table Tennis</v>
      </c>
      <c r="D291" t="str">
        <f t="array" ref="D291">IFERROR(_xlfn.TEXTJOIN(" + ",TRUE(),IF(('Match Log'!$A$4:$A$810=$A291)*('Match Log'!$E$4:$E$810="Win"),'Match Log'!$D$4:$D$810,"")),IFERROR(LOOKUP(2,1/(('Match Log'!$A$4:$A$810=$A291)*('Match Log'!$E$4:$E$810="Win")),'Match Log'!$D$4:$D$810),""))</f>
        <v>Simon</v>
      </c>
      <c r="E291">
        <f>IFERROR(INDEX('Match Log'!$F$4:$F$810,MATCH(267,'Match Log'!$A$4:$A$810,0)),"")</f>
        <v>2</v>
      </c>
      <c r="F291">
        <f>IFERROR(SUMIFS('Match Log'!$I$4:$I$810,'Match Log'!$A$4:$A$810,267,'Match Log'!$E$4:$E$810,"Win"),"")</f>
        <v>0.23437499999999997</v>
      </c>
      <c r="G291">
        <f t="shared" si="28"/>
        <v>0.53125</v>
      </c>
      <c r="H291" t="str">
        <f t="array" ref="H291">IFERROR(IF(COUNTIFS('Match Log'!$A$4:$A$810,$A291,'Match Log'!$E$4:$E$810,"Win")&gt;1,_xlfn.TEXTJOIN(" + ",TRUE(),IF(('Match Log'!$A$4:$A$810=$A291)*('Match Log'!$E$4:$E$810="Loss"),'Match Log'!$D$4:$D$810,"")),IF($E291=2,LOOKUP(2,1/(('Match Log'!$A$4:$A$810=$A291)*('Match Log'!$E$4:$E$810="Loss")),'Match Log'!$D$4:$D$810),"the field")),"")</f>
        <v>Oscar</v>
      </c>
      <c r="I291">
        <f t="shared" si="29"/>
        <v>0.53098299999999998</v>
      </c>
      <c r="J291">
        <v>267</v>
      </c>
      <c r="K291">
        <f>IF($J291&gt;MAX('Match Log'!$A$4:$A$810),NA(),IFERROR(LOOKUP(2,1/(('Match Log'!$D$4:$D$810=$K$24)*('Match Log'!$A$4:$A$810&lt;=$J291)),'Match Log'!$N$4:$N$810),NA()))</f>
        <v>1265.5221853966827</v>
      </c>
      <c r="L291">
        <f>IF($J291&gt;MAX('Match Log'!$A$4:$A$810),NA(),IFERROR(LOOKUP(2,1/(('Match Log'!$D$4:$D$810=$L$24)*('Match Log'!$A$4:$A$810&lt;=$J291)),'Match Log'!$N$4:$N$810),NA()))</f>
        <v>1029.5175965335138</v>
      </c>
      <c r="M291">
        <f>IF($J291&gt;MAX('Match Log'!$A$4:$A$810),NA(),IFERROR(LOOKUP(2,1/(('Match Log'!$D$4:$D$810=$M$24)*('Match Log'!$A$4:$A$810&lt;=$J291)),'Match Log'!$N$4:$N$810),NA()))</f>
        <v>1098.8851304702137</v>
      </c>
      <c r="N291">
        <f>IF($J291&gt;MAX('Match Log'!$A$4:$A$810),NA(),IFERROR(LOOKUP(2,1/(('Match Log'!$D$4:$D$810=$N$24)*('Match Log'!$A$4:$A$810&lt;=$J291)),'Match Log'!$N$4:$N$810),NA()))</f>
        <v>907.03133644117429</v>
      </c>
      <c r="O291">
        <f>IF($J291&gt;MAX('Match Log'!$A$4:$A$810),NA(),IFERROR(LOOKUP(2,1/(('Match Log'!$D$4:$D$810=$O$24)*('Match Log'!$A$4:$A$810&lt;=$J291)),'Match Log'!$N$4:$N$810),NA()))</f>
        <v>1155.9112046633588</v>
      </c>
      <c r="P291">
        <f>IF($J291&gt;MAX('Match Log'!$A$4:$A$810),NA(),IFERROR(LOOKUP(2,1/(('Match Log'!$D$4:$D$810=$P$24)*('Match Log'!$A$4:$A$810&lt;=$J291)),'Match Log'!$N$4:$N$810),NA()))</f>
        <v>1256.7969133550798</v>
      </c>
      <c r="Q291">
        <f>IF($J291&gt;MAX('Match Log'!$A$4:$A$810),NA(),IFERROR(LOOKUP(2,1/(('Match Log'!$D$4:$D$810=$Q$24)*('Match Log'!$A$4:$A$810&lt;=$J291)),'Match Log'!$N$4:$N$810),NA()))</f>
        <v>1027.9175097223999</v>
      </c>
      <c r="R291">
        <f>IF($J291&gt;MAX('Match Log'!$A$4:$A$810),NA(),IFERROR(LOOKUP(2,1/(('Match Log'!$D$4:$D$810=$R$24)*('Match Log'!$A$4:$A$810&lt;=$J291)),'Match Log'!$N$4:$N$810),NA()))</f>
        <v>1041.0468763978297</v>
      </c>
      <c r="S291">
        <f>IF($J291&gt;MAX('Match Log'!$A$4:$A$810),NA(),IFERROR(LOOKUP(2,1/(('Match Log'!$D$4:$D$810=$S$24)*('Match Log'!$A$4:$A$810&lt;=$J291)),'Match Log'!$N$4:$N$810),NA()))</f>
        <v>1248.9288111472574</v>
      </c>
      <c r="T291">
        <f>IF($J291&gt;MAX('Match Log'!$A$4:$A$810),NA(),IFERROR(LOOKUP(2,1/(('Match Log'!$D$4:$D$810=$T$24)*('Match Log'!$A$4:$A$810&lt;=$J291)),'Match Log'!$N$4:$N$810),NA()))</f>
        <v>862.22294373677494</v>
      </c>
      <c r="U291">
        <f>IF($J291&gt;MAX('Match Log'!$A$4:$A$810),NA(),IFERROR(LOOKUP(2,1/(('Match Log'!$D$4:$D$810=$U$24)*('Match Log'!$A$4:$A$810&lt;=$J291)),'Match Log'!$N$4:$N$810),NA()))</f>
        <v>1032.4513369085143</v>
      </c>
      <c r="V291">
        <f>IF($J291&gt;MAX('Match Log'!$A$4:$A$810),NA(),IFERROR(LOOKUP(2,1/(('Match Log'!$D$4:$D$810=$V$24)*('Match Log'!$A$4:$A$810&lt;=$J291)),'Match Log'!$N$4:$N$810),NA()))</f>
        <v>1087.5488947064855</v>
      </c>
      <c r="W291">
        <f>IF($J291&gt;MAX('Match Log'!$A$4:$A$810),NA(),IFERROR(LOOKUP(2,1/(('Match Log'!$D$4:$D$810=$W$24)*('Match Log'!$A$4:$A$810&lt;=$J291)),'Match Log'!$N$4:$N$810),NA()))</f>
        <v>1023.2192605207141</v>
      </c>
      <c r="X291" t="e">
        <f>IF($J291&gt;MAX('Match Log'!$A$4:$A$810),NA(),IFERROR(LOOKUP(2,1/(('Match Log'!$D$4:$D$810=$X$24)*('Match Log'!$A$4:$A$810&lt;=$J291)),'Match Log'!$N$4:$N$810),NA()))</f>
        <v>#N/A</v>
      </c>
      <c r="Y291" t="str">
        <f t="shared" ca="1" si="30"/>
        <v/>
      </c>
    </row>
    <row r="292" spans="1:25" x14ac:dyDescent="0.2">
      <c r="A292">
        <v>268</v>
      </c>
      <c r="B292">
        <f>IFERROR(INDEX('Match Log'!$B$4:$B$810,MATCH(268,'Match Log'!$A$4:$A$810,0)),"")</f>
        <v>46257</v>
      </c>
      <c r="C292" t="str">
        <f>IFERROR(INDEX('Match Log'!$C$4:$C$810,MATCH(268,'Match Log'!$A$4:$A$810,0)),"")</f>
        <v>Table Tennis</v>
      </c>
      <c r="D292" t="str">
        <f t="array" ref="D292">IFERROR(_xlfn.TEXTJOIN(" + ",TRUE(),IF(('Match Log'!$A$4:$A$810=$A292)*('Match Log'!$E$4:$E$810="Win"),'Match Log'!$D$4:$D$810,"")),IFERROR(LOOKUP(2,1/(('Match Log'!$A$4:$A$810=$A292)*('Match Log'!$E$4:$E$810="Win")),'Match Log'!$D$4:$D$810),""))</f>
        <v>Simon</v>
      </c>
      <c r="E292">
        <f>IFERROR(INDEX('Match Log'!$F$4:$F$810,MATCH(268,'Match Log'!$A$4:$A$810,0)),"")</f>
        <v>2</v>
      </c>
      <c r="F292">
        <f>IFERROR(SUMIFS('Match Log'!$I$4:$I$810,'Match Log'!$A$4:$A$810,268,'Match Log'!$E$4:$E$810,"Win"),"")</f>
        <v>0.36363636363636365</v>
      </c>
      <c r="G292">
        <f t="shared" si="28"/>
        <v>0.27272727272727271</v>
      </c>
      <c r="H292" t="str">
        <f t="array" ref="H292">IFERROR(IF(COUNTIFS('Match Log'!$A$4:$A$810,$A292,'Match Log'!$E$4:$E$810,"Win")&gt;1,_xlfn.TEXTJOIN(" + ",TRUE(),IF(('Match Log'!$A$4:$A$810=$A292)*('Match Log'!$E$4:$E$810="Loss"),'Match Log'!$D$4:$D$810,"")),IF($E292=2,LOOKUP(2,1/(('Match Log'!$A$4:$A$810=$A292)*('Match Log'!$E$4:$E$810="Loss")),'Match Log'!$D$4:$D$810),"the field")),"")</f>
        <v>Oscar</v>
      </c>
      <c r="I292">
        <f t="shared" si="29"/>
        <v>0.27245927272727272</v>
      </c>
      <c r="J292">
        <v>268</v>
      </c>
      <c r="K292">
        <f>IF($J292&gt;MAX('Match Log'!$A$4:$A$810),NA(),IFERROR(LOOKUP(2,1/(('Match Log'!$D$4:$D$810=$K$24)*('Match Log'!$A$4:$A$810&lt;=$J292)),'Match Log'!$N$4:$N$810),NA()))</f>
        <v>1265.5221853966827</v>
      </c>
      <c r="L292">
        <f>IF($J292&gt;MAX('Match Log'!$A$4:$A$810),NA(),IFERROR(LOOKUP(2,1/(('Match Log'!$D$4:$D$810=$L$24)*('Match Log'!$A$4:$A$810&lt;=$J292)),'Match Log'!$N$4:$N$810),NA()))</f>
        <v>1029.5175965335138</v>
      </c>
      <c r="M292">
        <f>IF($J292&gt;MAX('Match Log'!$A$4:$A$810),NA(),IFERROR(LOOKUP(2,1/(('Match Log'!$D$4:$D$810=$M$24)*('Match Log'!$A$4:$A$810&lt;=$J292)),'Match Log'!$N$4:$N$810),NA()))</f>
        <v>1098.8851304702137</v>
      </c>
      <c r="N292">
        <f>IF($J292&gt;MAX('Match Log'!$A$4:$A$810),NA(),IFERROR(LOOKUP(2,1/(('Match Log'!$D$4:$D$810=$N$24)*('Match Log'!$A$4:$A$810&lt;=$J292)),'Match Log'!$N$4:$N$810),NA()))</f>
        <v>907.03133644117429</v>
      </c>
      <c r="O292">
        <f>IF($J292&gt;MAX('Match Log'!$A$4:$A$810),NA(),IFERROR(LOOKUP(2,1/(('Match Log'!$D$4:$D$810=$O$24)*('Match Log'!$A$4:$A$810&lt;=$J292)),'Match Log'!$N$4:$N$810),NA()))</f>
        <v>1155.9112046633588</v>
      </c>
      <c r="P292">
        <f>IF($J292&gt;MAX('Match Log'!$A$4:$A$810),NA(),IFERROR(LOOKUP(2,1/(('Match Log'!$D$4:$D$810=$P$24)*('Match Log'!$A$4:$A$810&lt;=$J292)),'Match Log'!$N$4:$N$810),NA()))</f>
        <v>1256.7969133550798</v>
      </c>
      <c r="Q292">
        <f>IF($J292&gt;MAX('Match Log'!$A$4:$A$810),NA(),IFERROR(LOOKUP(2,1/(('Match Log'!$D$4:$D$810=$Q$24)*('Match Log'!$A$4:$A$810&lt;=$J292)),'Match Log'!$N$4:$N$810),NA()))</f>
        <v>1052.2545023375583</v>
      </c>
      <c r="R292">
        <f>IF($J292&gt;MAX('Match Log'!$A$4:$A$810),NA(),IFERROR(LOOKUP(2,1/(('Match Log'!$D$4:$D$810=$R$24)*('Match Log'!$A$4:$A$810&lt;=$J292)),'Match Log'!$N$4:$N$810),NA()))</f>
        <v>1041.0468763978297</v>
      </c>
      <c r="S292">
        <f>IF($J292&gt;MAX('Match Log'!$A$4:$A$810),NA(),IFERROR(LOOKUP(2,1/(('Match Log'!$D$4:$D$810=$S$24)*('Match Log'!$A$4:$A$810&lt;=$J292)),'Match Log'!$N$4:$N$810),NA()))</f>
        <v>1248.9288111472574</v>
      </c>
      <c r="T292">
        <f>IF($J292&gt;MAX('Match Log'!$A$4:$A$810),NA(),IFERROR(LOOKUP(2,1/(('Match Log'!$D$4:$D$810=$T$24)*('Match Log'!$A$4:$A$810&lt;=$J292)),'Match Log'!$N$4:$N$810),NA()))</f>
        <v>862.22294373677494</v>
      </c>
      <c r="U292">
        <f>IF($J292&gt;MAX('Match Log'!$A$4:$A$810),NA(),IFERROR(LOOKUP(2,1/(('Match Log'!$D$4:$D$810=$U$24)*('Match Log'!$A$4:$A$810&lt;=$J292)),'Match Log'!$N$4:$N$810),NA()))</f>
        <v>1008.1143442933559</v>
      </c>
      <c r="V292">
        <f>IF($J292&gt;MAX('Match Log'!$A$4:$A$810),NA(),IFERROR(LOOKUP(2,1/(('Match Log'!$D$4:$D$810=$V$24)*('Match Log'!$A$4:$A$810&lt;=$J292)),'Match Log'!$N$4:$N$810),NA()))</f>
        <v>1087.5488947064855</v>
      </c>
      <c r="W292">
        <f>IF($J292&gt;MAX('Match Log'!$A$4:$A$810),NA(),IFERROR(LOOKUP(2,1/(('Match Log'!$D$4:$D$810=$W$24)*('Match Log'!$A$4:$A$810&lt;=$J292)),'Match Log'!$N$4:$N$810),NA()))</f>
        <v>1023.2192605207141</v>
      </c>
      <c r="X292" t="e">
        <f>IF($J292&gt;MAX('Match Log'!$A$4:$A$810),NA(),IFERROR(LOOKUP(2,1/(('Match Log'!$D$4:$D$810=$X$24)*('Match Log'!$A$4:$A$810&lt;=$J292)),'Match Log'!$N$4:$N$810),NA()))</f>
        <v>#N/A</v>
      </c>
      <c r="Y292" t="str">
        <f t="shared" ca="1" si="30"/>
        <v/>
      </c>
    </row>
    <row r="293" spans="1:25" x14ac:dyDescent="0.2">
      <c r="A293">
        <v>269</v>
      </c>
      <c r="B293">
        <f>IFERROR(INDEX('Match Log'!$B$4:$B$810,MATCH(269,'Match Log'!$A$4:$A$810,0)),"")</f>
        <v>46257</v>
      </c>
      <c r="C293" t="str">
        <f>IFERROR(INDEX('Match Log'!$C$4:$C$810,MATCH(269,'Match Log'!$A$4:$A$810,0)),"")</f>
        <v>Table Tennis</v>
      </c>
      <c r="D293" t="str">
        <f t="array" ref="D293">IFERROR(_xlfn.TEXTJOIN(" + ",TRUE(),IF(('Match Log'!$A$4:$A$810=$A293)*('Match Log'!$E$4:$E$810="Win"),'Match Log'!$D$4:$D$810,"")),IFERROR(LOOKUP(2,1/(('Match Log'!$A$4:$A$810=$A293)*('Match Log'!$E$4:$E$810="Win")),'Match Log'!$D$4:$D$810),""))</f>
        <v>Simon</v>
      </c>
      <c r="E293">
        <f>IFERROR(INDEX('Match Log'!$F$4:$F$810,MATCH(269,'Match Log'!$A$4:$A$810,0)),"")</f>
        <v>2</v>
      </c>
      <c r="F293">
        <f>IFERROR(SUMIFS('Match Log'!$I$4:$I$810,'Match Log'!$A$4:$A$810,269,'Match Log'!$E$4:$E$810,"Win"),"")</f>
        <v>0.44736842105263153</v>
      </c>
      <c r="G293">
        <f t="shared" si="28"/>
        <v>0.10526315789473695</v>
      </c>
      <c r="H293" t="str">
        <f t="array" ref="H293">IFERROR(IF(COUNTIFS('Match Log'!$A$4:$A$810,$A293,'Match Log'!$E$4:$E$810,"Win")&gt;1,_xlfn.TEXTJOIN(" + ",TRUE(),IF(('Match Log'!$A$4:$A$810=$A293)*('Match Log'!$E$4:$E$810="Loss"),'Match Log'!$D$4:$D$810,"")),IF($E293=2,LOOKUP(2,1/(('Match Log'!$A$4:$A$810=$A293)*('Match Log'!$E$4:$E$810="Loss")),'Match Log'!$D$4:$D$810),"the field")),"")</f>
        <v>Oscar</v>
      </c>
      <c r="I293">
        <f t="shared" si="29"/>
        <v>0.10499415789473694</v>
      </c>
      <c r="J293">
        <v>269</v>
      </c>
      <c r="K293">
        <f>IF($J293&gt;MAX('Match Log'!$A$4:$A$810),NA(),IFERROR(LOOKUP(2,1/(('Match Log'!$D$4:$D$810=$K$24)*('Match Log'!$A$4:$A$810&lt;=$J293)),'Match Log'!$N$4:$N$810),NA()))</f>
        <v>1265.5221853966827</v>
      </c>
      <c r="L293">
        <f>IF($J293&gt;MAX('Match Log'!$A$4:$A$810),NA(),IFERROR(LOOKUP(2,1/(('Match Log'!$D$4:$D$810=$L$24)*('Match Log'!$A$4:$A$810&lt;=$J293)),'Match Log'!$N$4:$N$810),NA()))</f>
        <v>1029.5175965335138</v>
      </c>
      <c r="M293">
        <f>IF($J293&gt;MAX('Match Log'!$A$4:$A$810),NA(),IFERROR(LOOKUP(2,1/(('Match Log'!$D$4:$D$810=$M$24)*('Match Log'!$A$4:$A$810&lt;=$J293)),'Match Log'!$N$4:$N$810),NA()))</f>
        <v>1098.8851304702137</v>
      </c>
      <c r="N293">
        <f>IF($J293&gt;MAX('Match Log'!$A$4:$A$810),NA(),IFERROR(LOOKUP(2,1/(('Match Log'!$D$4:$D$810=$N$24)*('Match Log'!$A$4:$A$810&lt;=$J293)),'Match Log'!$N$4:$N$810),NA()))</f>
        <v>907.03133644117429</v>
      </c>
      <c r="O293">
        <f>IF($J293&gt;MAX('Match Log'!$A$4:$A$810),NA(),IFERROR(LOOKUP(2,1/(('Match Log'!$D$4:$D$810=$O$24)*('Match Log'!$A$4:$A$810&lt;=$J293)),'Match Log'!$N$4:$N$810),NA()))</f>
        <v>1155.9112046633588</v>
      </c>
      <c r="P293">
        <f>IF($J293&gt;MAX('Match Log'!$A$4:$A$810),NA(),IFERROR(LOOKUP(2,1/(('Match Log'!$D$4:$D$810=$P$24)*('Match Log'!$A$4:$A$810&lt;=$J293)),'Match Log'!$N$4:$N$810),NA()))</f>
        <v>1256.7969133550798</v>
      </c>
      <c r="Q293">
        <f>IF($J293&gt;MAX('Match Log'!$A$4:$A$810),NA(),IFERROR(LOOKUP(2,1/(('Match Log'!$D$4:$D$810=$Q$24)*('Match Log'!$A$4:$A$810&lt;=$J293)),'Match Log'!$N$4:$N$810),NA()))</f>
        <v>1073.8619215789413</v>
      </c>
      <c r="R293">
        <f>IF($J293&gt;MAX('Match Log'!$A$4:$A$810),NA(),IFERROR(LOOKUP(2,1/(('Match Log'!$D$4:$D$810=$R$24)*('Match Log'!$A$4:$A$810&lt;=$J293)),'Match Log'!$N$4:$N$810),NA()))</f>
        <v>1041.0468763978297</v>
      </c>
      <c r="S293">
        <f>IF($J293&gt;MAX('Match Log'!$A$4:$A$810),NA(),IFERROR(LOOKUP(2,1/(('Match Log'!$D$4:$D$810=$S$24)*('Match Log'!$A$4:$A$810&lt;=$J293)),'Match Log'!$N$4:$N$810),NA()))</f>
        <v>1248.9288111472574</v>
      </c>
      <c r="T293">
        <f>IF($J293&gt;MAX('Match Log'!$A$4:$A$810),NA(),IFERROR(LOOKUP(2,1/(('Match Log'!$D$4:$D$810=$T$24)*('Match Log'!$A$4:$A$810&lt;=$J293)),'Match Log'!$N$4:$N$810),NA()))</f>
        <v>862.22294373677494</v>
      </c>
      <c r="U293">
        <f>IF($J293&gt;MAX('Match Log'!$A$4:$A$810),NA(),IFERROR(LOOKUP(2,1/(('Match Log'!$D$4:$D$810=$U$24)*('Match Log'!$A$4:$A$810&lt;=$J293)),'Match Log'!$N$4:$N$810),NA()))</f>
        <v>986.50692505197298</v>
      </c>
      <c r="V293">
        <f>IF($J293&gt;MAX('Match Log'!$A$4:$A$810),NA(),IFERROR(LOOKUP(2,1/(('Match Log'!$D$4:$D$810=$V$24)*('Match Log'!$A$4:$A$810&lt;=$J293)),'Match Log'!$N$4:$N$810),NA()))</f>
        <v>1087.5488947064855</v>
      </c>
      <c r="W293">
        <f>IF($J293&gt;MAX('Match Log'!$A$4:$A$810),NA(),IFERROR(LOOKUP(2,1/(('Match Log'!$D$4:$D$810=$W$24)*('Match Log'!$A$4:$A$810&lt;=$J293)),'Match Log'!$N$4:$N$810),NA()))</f>
        <v>1023.2192605207141</v>
      </c>
      <c r="X293" t="e">
        <f>IF($J293&gt;MAX('Match Log'!$A$4:$A$810),NA(),IFERROR(LOOKUP(2,1/(('Match Log'!$D$4:$D$810=$X$24)*('Match Log'!$A$4:$A$810&lt;=$J293)),'Match Log'!$N$4:$N$810),NA()))</f>
        <v>#N/A</v>
      </c>
      <c r="Y293" t="str">
        <f t="shared" ca="1" si="30"/>
        <v/>
      </c>
    </row>
    <row r="294" spans="1:25" x14ac:dyDescent="0.2">
      <c r="A294">
        <v>270</v>
      </c>
      <c r="B294">
        <f>IFERROR(INDEX('Match Log'!$B$4:$B$810,MATCH(270,'Match Log'!$A$4:$A$810,0)),"")</f>
        <v>46257</v>
      </c>
      <c r="C294" t="str">
        <f>IFERROR(INDEX('Match Log'!$C$4:$C$810,MATCH(270,'Match Log'!$A$4:$A$810,0)),"")</f>
        <v>Table Tennis</v>
      </c>
      <c r="D294" t="str">
        <f t="array" ref="D294">IFERROR(_xlfn.TEXTJOIN(" + ",TRUE(),IF(('Match Log'!$A$4:$A$810=$A294)*('Match Log'!$E$4:$E$810="Win"),'Match Log'!$D$4:$D$810,"")),IFERROR(LOOKUP(2,1/(('Match Log'!$A$4:$A$810=$A294)*('Match Log'!$E$4:$E$810="Win")),'Match Log'!$D$4:$D$810),""))</f>
        <v>Simon</v>
      </c>
      <c r="E294">
        <f>IFERROR(INDEX('Match Log'!$F$4:$F$810,MATCH(270,'Match Log'!$A$4:$A$810,0)),"")</f>
        <v>2</v>
      </c>
      <c r="F294">
        <f>IFERROR(SUMIFS('Match Log'!$I$4:$I$810,'Match Log'!$A$4:$A$810,270,'Match Log'!$E$4:$E$810,"Win"),"")</f>
        <v>0.50704225352112675</v>
      </c>
      <c r="G294">
        <f t="shared" si="28"/>
        <v>-1.4084507042253502E-2</v>
      </c>
      <c r="H294" t="str">
        <f t="array" ref="H294">IFERROR(IF(COUNTIFS('Match Log'!$A$4:$A$810,$A294,'Match Log'!$E$4:$E$810,"Win")&gt;1,_xlfn.TEXTJOIN(" + ",TRUE(),IF(('Match Log'!$A$4:$A$810=$A294)*('Match Log'!$E$4:$E$810="Loss"),'Match Log'!$D$4:$D$810,"")),IF($E294=2,LOOKUP(2,1/(('Match Log'!$A$4:$A$810=$A294)*('Match Log'!$E$4:$E$810="Loss")),'Match Log'!$D$4:$D$810),"the field")),"")</f>
        <v>Oscar</v>
      </c>
      <c r="I294">
        <f t="shared" si="29"/>
        <v>-1.4354507042253502E-2</v>
      </c>
      <c r="J294">
        <v>270</v>
      </c>
      <c r="K294">
        <f>IF($J294&gt;MAX('Match Log'!$A$4:$A$810),NA(),IFERROR(LOOKUP(2,1/(('Match Log'!$D$4:$D$810=$K$24)*('Match Log'!$A$4:$A$810&lt;=$J294)),'Match Log'!$N$4:$N$810),NA()))</f>
        <v>1265.5221853966827</v>
      </c>
      <c r="L294">
        <f>IF($J294&gt;MAX('Match Log'!$A$4:$A$810),NA(),IFERROR(LOOKUP(2,1/(('Match Log'!$D$4:$D$810=$L$24)*('Match Log'!$A$4:$A$810&lt;=$J294)),'Match Log'!$N$4:$N$810),NA()))</f>
        <v>1029.5175965335138</v>
      </c>
      <c r="M294">
        <f>IF($J294&gt;MAX('Match Log'!$A$4:$A$810),NA(),IFERROR(LOOKUP(2,1/(('Match Log'!$D$4:$D$810=$M$24)*('Match Log'!$A$4:$A$810&lt;=$J294)),'Match Log'!$N$4:$N$810),NA()))</f>
        <v>1098.8851304702137</v>
      </c>
      <c r="N294">
        <f>IF($J294&gt;MAX('Match Log'!$A$4:$A$810),NA(),IFERROR(LOOKUP(2,1/(('Match Log'!$D$4:$D$810=$N$24)*('Match Log'!$A$4:$A$810&lt;=$J294)),'Match Log'!$N$4:$N$810),NA()))</f>
        <v>907.03133644117429</v>
      </c>
      <c r="O294">
        <f>IF($J294&gt;MAX('Match Log'!$A$4:$A$810),NA(),IFERROR(LOOKUP(2,1/(('Match Log'!$D$4:$D$810=$O$24)*('Match Log'!$A$4:$A$810&lt;=$J294)),'Match Log'!$N$4:$N$810),NA()))</f>
        <v>1155.9112046633588</v>
      </c>
      <c r="P294">
        <f>IF($J294&gt;MAX('Match Log'!$A$4:$A$810),NA(),IFERROR(LOOKUP(2,1/(('Match Log'!$D$4:$D$810=$P$24)*('Match Log'!$A$4:$A$810&lt;=$J294)),'Match Log'!$N$4:$N$810),NA()))</f>
        <v>1256.7969133550798</v>
      </c>
      <c r="Q294">
        <f>IF($J294&gt;MAX('Match Log'!$A$4:$A$810),NA(),IFERROR(LOOKUP(2,1/(('Match Log'!$D$4:$D$810=$Q$24)*('Match Log'!$A$4:$A$810&lt;=$J294)),'Match Log'!$N$4:$N$810),NA()))</f>
        <v>1093.2353241673586</v>
      </c>
      <c r="R294">
        <f>IF($J294&gt;MAX('Match Log'!$A$4:$A$810),NA(),IFERROR(LOOKUP(2,1/(('Match Log'!$D$4:$D$810=$R$24)*('Match Log'!$A$4:$A$810&lt;=$J294)),'Match Log'!$N$4:$N$810),NA()))</f>
        <v>1041.0468763978297</v>
      </c>
      <c r="S294">
        <f>IF($J294&gt;MAX('Match Log'!$A$4:$A$810),NA(),IFERROR(LOOKUP(2,1/(('Match Log'!$D$4:$D$810=$S$24)*('Match Log'!$A$4:$A$810&lt;=$J294)),'Match Log'!$N$4:$N$810),NA()))</f>
        <v>1248.9288111472574</v>
      </c>
      <c r="T294">
        <f>IF($J294&gt;MAX('Match Log'!$A$4:$A$810),NA(),IFERROR(LOOKUP(2,1/(('Match Log'!$D$4:$D$810=$T$24)*('Match Log'!$A$4:$A$810&lt;=$J294)),'Match Log'!$N$4:$N$810),NA()))</f>
        <v>862.22294373677494</v>
      </c>
      <c r="U294">
        <f>IF($J294&gt;MAX('Match Log'!$A$4:$A$810),NA(),IFERROR(LOOKUP(2,1/(('Match Log'!$D$4:$D$810=$U$24)*('Match Log'!$A$4:$A$810&lt;=$J294)),'Match Log'!$N$4:$N$810),NA()))</f>
        <v>967.13352246355566</v>
      </c>
      <c r="V294">
        <f>IF($J294&gt;MAX('Match Log'!$A$4:$A$810),NA(),IFERROR(LOOKUP(2,1/(('Match Log'!$D$4:$D$810=$V$24)*('Match Log'!$A$4:$A$810&lt;=$J294)),'Match Log'!$N$4:$N$810),NA()))</f>
        <v>1087.5488947064855</v>
      </c>
      <c r="W294">
        <f>IF($J294&gt;MAX('Match Log'!$A$4:$A$810),NA(),IFERROR(LOOKUP(2,1/(('Match Log'!$D$4:$D$810=$W$24)*('Match Log'!$A$4:$A$810&lt;=$J294)),'Match Log'!$N$4:$N$810),NA()))</f>
        <v>1023.2192605207141</v>
      </c>
      <c r="X294" t="e">
        <f>IF($J294&gt;MAX('Match Log'!$A$4:$A$810),NA(),IFERROR(LOOKUP(2,1/(('Match Log'!$D$4:$D$810=$X$24)*('Match Log'!$A$4:$A$810&lt;=$J294)),'Match Log'!$N$4:$N$810),NA()))</f>
        <v>#N/A</v>
      </c>
      <c r="Y294" t="str">
        <f t="shared" ca="1" si="30"/>
        <v/>
      </c>
    </row>
    <row r="295" spans="1:25" x14ac:dyDescent="0.2">
      <c r="A295">
        <v>271</v>
      </c>
      <c r="B295">
        <f>IFERROR(INDEX('Match Log'!$B$4:$B$810,MATCH(271,'Match Log'!$A$4:$A$810,0)),"")</f>
        <v>46257</v>
      </c>
      <c r="C295" t="str">
        <f>IFERROR(INDEX('Match Log'!$C$4:$C$810,MATCH(271,'Match Log'!$A$4:$A$810,0)),"")</f>
        <v>Table Tennis</v>
      </c>
      <c r="D295" t="str">
        <f t="array" ref="D295">IFERROR(_xlfn.TEXTJOIN(" + ",TRUE(),IF(('Match Log'!$A$4:$A$810=$A295)*('Match Log'!$E$4:$E$810="Win"),'Match Log'!$D$4:$D$810,"")),IFERROR(LOOKUP(2,1/(('Match Log'!$A$4:$A$810=$A295)*('Match Log'!$E$4:$E$810="Win")),'Match Log'!$D$4:$D$810),""))</f>
        <v>Simon</v>
      </c>
      <c r="E295">
        <f>IFERROR(INDEX('Match Log'!$F$4:$F$810,MATCH(271,'Match Log'!$A$4:$A$810,0)),"")</f>
        <v>2</v>
      </c>
      <c r="F295">
        <f>IFERROR(SUMIFS('Match Log'!$I$4:$I$810,'Match Log'!$A$4:$A$810,271,'Match Log'!$E$4:$E$810,"Win"),"")</f>
        <v>0.55232558139534882</v>
      </c>
      <c r="G295">
        <f t="shared" si="28"/>
        <v>-0.10465116279069764</v>
      </c>
      <c r="H295" t="str">
        <f t="array" ref="H295">IFERROR(IF(COUNTIFS('Match Log'!$A$4:$A$810,$A295,'Match Log'!$E$4:$E$810,"Win")&gt;1,_xlfn.TEXTJOIN(" + ",TRUE(),IF(('Match Log'!$A$4:$A$810=$A295)*('Match Log'!$E$4:$E$810="Loss"),'Match Log'!$D$4:$D$810,"")),IF($E295=2,LOOKUP(2,1/(('Match Log'!$A$4:$A$810=$A295)*('Match Log'!$E$4:$E$810="Loss")),'Match Log'!$D$4:$D$810),"the field")),"")</f>
        <v>Oscar</v>
      </c>
      <c r="I295">
        <f t="shared" si="29"/>
        <v>-0.10492216279069763</v>
      </c>
      <c r="J295">
        <v>271</v>
      </c>
      <c r="K295">
        <f>IF($J295&gt;MAX('Match Log'!$A$4:$A$810),NA(),IFERROR(LOOKUP(2,1/(('Match Log'!$D$4:$D$810=$K$24)*('Match Log'!$A$4:$A$810&lt;=$J295)),'Match Log'!$N$4:$N$810),NA()))</f>
        <v>1265.5221853966827</v>
      </c>
      <c r="L295">
        <f>IF($J295&gt;MAX('Match Log'!$A$4:$A$810),NA(),IFERROR(LOOKUP(2,1/(('Match Log'!$D$4:$D$810=$L$24)*('Match Log'!$A$4:$A$810&lt;=$J295)),'Match Log'!$N$4:$N$810),NA()))</f>
        <v>1029.5175965335138</v>
      </c>
      <c r="M295">
        <f>IF($J295&gt;MAX('Match Log'!$A$4:$A$810),NA(),IFERROR(LOOKUP(2,1/(('Match Log'!$D$4:$D$810=$M$24)*('Match Log'!$A$4:$A$810&lt;=$J295)),'Match Log'!$N$4:$N$810),NA()))</f>
        <v>1098.8851304702137</v>
      </c>
      <c r="N295">
        <f>IF($J295&gt;MAX('Match Log'!$A$4:$A$810),NA(),IFERROR(LOOKUP(2,1/(('Match Log'!$D$4:$D$810=$N$24)*('Match Log'!$A$4:$A$810&lt;=$J295)),'Match Log'!$N$4:$N$810),NA()))</f>
        <v>907.03133644117429</v>
      </c>
      <c r="O295">
        <f>IF($J295&gt;MAX('Match Log'!$A$4:$A$810),NA(),IFERROR(LOOKUP(2,1/(('Match Log'!$D$4:$D$810=$O$24)*('Match Log'!$A$4:$A$810&lt;=$J295)),'Match Log'!$N$4:$N$810),NA()))</f>
        <v>1155.9112046633588</v>
      </c>
      <c r="P295">
        <f>IF($J295&gt;MAX('Match Log'!$A$4:$A$810),NA(),IFERROR(LOOKUP(2,1/(('Match Log'!$D$4:$D$810=$P$24)*('Match Log'!$A$4:$A$810&lt;=$J295)),'Match Log'!$N$4:$N$810),NA()))</f>
        <v>1256.7969133550798</v>
      </c>
      <c r="Q295">
        <f>IF($J295&gt;MAX('Match Log'!$A$4:$A$810),NA(),IFERROR(LOOKUP(2,1/(('Match Log'!$D$4:$D$810=$Q$24)*('Match Log'!$A$4:$A$810&lt;=$J295)),'Match Log'!$N$4:$N$810),NA()))</f>
        <v>1110.7425533765304</v>
      </c>
      <c r="R295">
        <f>IF($J295&gt;MAX('Match Log'!$A$4:$A$810),NA(),IFERROR(LOOKUP(2,1/(('Match Log'!$D$4:$D$810=$R$24)*('Match Log'!$A$4:$A$810&lt;=$J295)),'Match Log'!$N$4:$N$810),NA()))</f>
        <v>1041.0468763978297</v>
      </c>
      <c r="S295">
        <f>IF($J295&gt;MAX('Match Log'!$A$4:$A$810),NA(),IFERROR(LOOKUP(2,1/(('Match Log'!$D$4:$D$810=$S$24)*('Match Log'!$A$4:$A$810&lt;=$J295)),'Match Log'!$N$4:$N$810),NA()))</f>
        <v>1248.9288111472574</v>
      </c>
      <c r="T295">
        <f>IF($J295&gt;MAX('Match Log'!$A$4:$A$810),NA(),IFERROR(LOOKUP(2,1/(('Match Log'!$D$4:$D$810=$T$24)*('Match Log'!$A$4:$A$810&lt;=$J295)),'Match Log'!$N$4:$N$810),NA()))</f>
        <v>862.22294373677494</v>
      </c>
      <c r="U295">
        <f>IF($J295&gt;MAX('Match Log'!$A$4:$A$810),NA(),IFERROR(LOOKUP(2,1/(('Match Log'!$D$4:$D$810=$U$24)*('Match Log'!$A$4:$A$810&lt;=$J295)),'Match Log'!$N$4:$N$810),NA()))</f>
        <v>949.62629325438388</v>
      </c>
      <c r="V295">
        <f>IF($J295&gt;MAX('Match Log'!$A$4:$A$810),NA(),IFERROR(LOOKUP(2,1/(('Match Log'!$D$4:$D$810=$V$24)*('Match Log'!$A$4:$A$810&lt;=$J295)),'Match Log'!$N$4:$N$810),NA()))</f>
        <v>1087.5488947064855</v>
      </c>
      <c r="W295">
        <f>IF($J295&gt;MAX('Match Log'!$A$4:$A$810),NA(),IFERROR(LOOKUP(2,1/(('Match Log'!$D$4:$D$810=$W$24)*('Match Log'!$A$4:$A$810&lt;=$J295)),'Match Log'!$N$4:$N$810),NA()))</f>
        <v>1023.2192605207141</v>
      </c>
      <c r="X295" t="e">
        <f>IF($J295&gt;MAX('Match Log'!$A$4:$A$810),NA(),IFERROR(LOOKUP(2,1/(('Match Log'!$D$4:$D$810=$X$24)*('Match Log'!$A$4:$A$810&lt;=$J295)),'Match Log'!$N$4:$N$810),NA()))</f>
        <v>#N/A</v>
      </c>
      <c r="Y295" t="str">
        <f t="shared" ca="1" si="30"/>
        <v/>
      </c>
    </row>
    <row r="296" spans="1:25" x14ac:dyDescent="0.2">
      <c r="A296">
        <v>272</v>
      </c>
      <c r="B296">
        <f>IFERROR(INDEX('Match Log'!$B$4:$B$810,MATCH(272,'Match Log'!$A$4:$A$810,0)),"")</f>
        <v>46257</v>
      </c>
      <c r="C296" t="str">
        <f>IFERROR(INDEX('Match Log'!$C$4:$C$810,MATCH(272,'Match Log'!$A$4:$A$810,0)),"")</f>
        <v>HORSE - Basketball</v>
      </c>
      <c r="D296" t="str">
        <f t="array" ref="D296">IFERROR(_xlfn.TEXTJOIN(" + ",TRUE(),IF(('Match Log'!$A$4:$A$810=$A296)*('Match Log'!$E$4:$E$810="Win"),'Match Log'!$D$4:$D$810,"")),IFERROR(LOOKUP(2,1/(('Match Log'!$A$4:$A$810=$A296)*('Match Log'!$E$4:$E$810="Win")),'Match Log'!$D$4:$D$810),""))</f>
        <v>Shawn</v>
      </c>
      <c r="E296">
        <f>IFERROR(INDEX('Match Log'!$F$4:$F$810,MATCH(272,'Match Log'!$A$4:$A$810,0)),"")</f>
        <v>2</v>
      </c>
      <c r="F296">
        <f>IFERROR(SUMIFS('Match Log'!$I$4:$I$810,'Match Log'!$A$4:$A$810,272,'Match Log'!$E$4:$E$810,"Win"),"")</f>
        <v>0.8</v>
      </c>
      <c r="G296">
        <f t="shared" si="28"/>
        <v>-0.60000000000000009</v>
      </c>
      <c r="H296" t="str">
        <f t="array" ref="H296">IFERROR(IF(COUNTIFS('Match Log'!$A$4:$A$810,$A296,'Match Log'!$E$4:$E$810,"Win")&gt;1,_xlfn.TEXTJOIN(" + ",TRUE(),IF(('Match Log'!$A$4:$A$810=$A296)*('Match Log'!$E$4:$E$810="Loss"),'Match Log'!$D$4:$D$810,"")),IF($E296=2,LOOKUP(2,1/(('Match Log'!$A$4:$A$810=$A296)*('Match Log'!$E$4:$E$810="Loss")),'Match Log'!$D$4:$D$810),"the field")),"")</f>
        <v>Daniel (Ferret)</v>
      </c>
      <c r="I296">
        <f t="shared" si="29"/>
        <v>-0.60027200000000014</v>
      </c>
      <c r="J296">
        <v>272</v>
      </c>
      <c r="K296">
        <f>IF($J296&gt;MAX('Match Log'!$A$4:$A$810),NA(),IFERROR(LOOKUP(2,1/(('Match Log'!$D$4:$D$810=$K$24)*('Match Log'!$A$4:$A$810&lt;=$J296)),'Match Log'!$N$4:$N$810),NA()))</f>
        <v>1265.5221853966827</v>
      </c>
      <c r="L296">
        <f>IF($J296&gt;MAX('Match Log'!$A$4:$A$810),NA(),IFERROR(LOOKUP(2,1/(('Match Log'!$D$4:$D$810=$L$24)*('Match Log'!$A$4:$A$810&lt;=$J296)),'Match Log'!$N$4:$N$810),NA()))</f>
        <v>1029.5175965335138</v>
      </c>
      <c r="M296">
        <f>IF($J296&gt;MAX('Match Log'!$A$4:$A$810),NA(),IFERROR(LOOKUP(2,1/(('Match Log'!$D$4:$D$810=$M$24)*('Match Log'!$A$4:$A$810&lt;=$J296)),'Match Log'!$N$4:$N$810),NA()))</f>
        <v>1098.8851304702137</v>
      </c>
      <c r="N296">
        <f>IF($J296&gt;MAX('Match Log'!$A$4:$A$810),NA(),IFERROR(LOOKUP(2,1/(('Match Log'!$D$4:$D$810=$N$24)*('Match Log'!$A$4:$A$810&lt;=$J296)),'Match Log'!$N$4:$N$810),NA()))</f>
        <v>907.03133644117429</v>
      </c>
      <c r="O296">
        <f>IF($J296&gt;MAX('Match Log'!$A$4:$A$810),NA(),IFERROR(LOOKUP(2,1/(('Match Log'!$D$4:$D$810=$O$24)*('Match Log'!$A$4:$A$810&lt;=$J296)),'Match Log'!$N$4:$N$810),NA()))</f>
        <v>1155.9112046633588</v>
      </c>
      <c r="P296">
        <f>IF($J296&gt;MAX('Match Log'!$A$4:$A$810),NA(),IFERROR(LOOKUP(2,1/(('Match Log'!$D$4:$D$810=$P$24)*('Match Log'!$A$4:$A$810&lt;=$J296)),'Match Log'!$N$4:$N$810),NA()))</f>
        <v>1269.1999146767641</v>
      </c>
      <c r="Q296">
        <f>IF($J296&gt;MAX('Match Log'!$A$4:$A$810),NA(),IFERROR(LOOKUP(2,1/(('Match Log'!$D$4:$D$810=$Q$24)*('Match Log'!$A$4:$A$810&lt;=$J296)),'Match Log'!$N$4:$N$810),NA()))</f>
        <v>1110.7425533765304</v>
      </c>
      <c r="R296">
        <f>IF($J296&gt;MAX('Match Log'!$A$4:$A$810),NA(),IFERROR(LOOKUP(2,1/(('Match Log'!$D$4:$D$810=$R$24)*('Match Log'!$A$4:$A$810&lt;=$J296)),'Match Log'!$N$4:$N$810),NA()))</f>
        <v>1028.6438750761454</v>
      </c>
      <c r="S296">
        <f>IF($J296&gt;MAX('Match Log'!$A$4:$A$810),NA(),IFERROR(LOOKUP(2,1/(('Match Log'!$D$4:$D$810=$S$24)*('Match Log'!$A$4:$A$810&lt;=$J296)),'Match Log'!$N$4:$N$810),NA()))</f>
        <v>1248.9288111472574</v>
      </c>
      <c r="T296">
        <f>IF($J296&gt;MAX('Match Log'!$A$4:$A$810),NA(),IFERROR(LOOKUP(2,1/(('Match Log'!$D$4:$D$810=$T$24)*('Match Log'!$A$4:$A$810&lt;=$J296)),'Match Log'!$N$4:$N$810),NA()))</f>
        <v>862.22294373677494</v>
      </c>
      <c r="U296">
        <f>IF($J296&gt;MAX('Match Log'!$A$4:$A$810),NA(),IFERROR(LOOKUP(2,1/(('Match Log'!$D$4:$D$810=$U$24)*('Match Log'!$A$4:$A$810&lt;=$J296)),'Match Log'!$N$4:$N$810),NA()))</f>
        <v>949.62629325438388</v>
      </c>
      <c r="V296">
        <f>IF($J296&gt;MAX('Match Log'!$A$4:$A$810),NA(),IFERROR(LOOKUP(2,1/(('Match Log'!$D$4:$D$810=$V$24)*('Match Log'!$A$4:$A$810&lt;=$J296)),'Match Log'!$N$4:$N$810),NA()))</f>
        <v>1087.5488947064855</v>
      </c>
      <c r="W296">
        <f>IF($J296&gt;MAX('Match Log'!$A$4:$A$810),NA(),IFERROR(LOOKUP(2,1/(('Match Log'!$D$4:$D$810=$W$24)*('Match Log'!$A$4:$A$810&lt;=$J296)),'Match Log'!$N$4:$N$810),NA()))</f>
        <v>1023.2192605207141</v>
      </c>
      <c r="X296" t="e">
        <f>IF($J296&gt;MAX('Match Log'!$A$4:$A$810),NA(),IFERROR(LOOKUP(2,1/(('Match Log'!$D$4:$D$810=$X$24)*('Match Log'!$A$4:$A$810&lt;=$J296)),'Match Log'!$N$4:$N$810),NA()))</f>
        <v>#N/A</v>
      </c>
      <c r="Y296" t="str">
        <f t="shared" ca="1" si="30"/>
        <v/>
      </c>
    </row>
    <row r="297" spans="1:25" x14ac:dyDescent="0.2">
      <c r="A297">
        <v>273</v>
      </c>
      <c r="B297">
        <f>IFERROR(INDEX('Match Log'!$B$4:$B$810,MATCH(273,'Match Log'!$A$4:$A$810,0)),"")</f>
        <v>46257</v>
      </c>
      <c r="C297" t="str">
        <f>IFERROR(INDEX('Match Log'!$C$4:$C$810,MATCH(273,'Match Log'!$A$4:$A$810,0)),"")</f>
        <v>HORSE - Basketball</v>
      </c>
      <c r="D297" t="str">
        <f t="array" ref="D297">IFERROR(_xlfn.TEXTJOIN(" + ",TRUE(),IF(('Match Log'!$A$4:$A$810=$A297)*('Match Log'!$E$4:$E$810="Win"),'Match Log'!$D$4:$D$810,"")),IFERROR(LOOKUP(2,1/(('Match Log'!$A$4:$A$810=$A297)*('Match Log'!$E$4:$E$810="Win")),'Match Log'!$D$4:$D$810),""))</f>
        <v>Shawn</v>
      </c>
      <c r="E297">
        <f>IFERROR(INDEX('Match Log'!$F$4:$F$810,MATCH(273,'Match Log'!$A$4:$A$810,0)),"")</f>
        <v>2</v>
      </c>
      <c r="F297">
        <f>IFERROR(SUMIFS('Match Log'!$I$4:$I$810,'Match Log'!$A$4:$A$810,273,'Match Log'!$E$4:$E$810,"Win"),"")</f>
        <v>0.83333333333333337</v>
      </c>
      <c r="G297">
        <f t="shared" si="28"/>
        <v>-0.66666666666666674</v>
      </c>
      <c r="H297" t="str">
        <f t="array" ref="H297">IFERROR(IF(COUNTIFS('Match Log'!$A$4:$A$810,$A297,'Match Log'!$E$4:$E$810,"Win")&gt;1,_xlfn.TEXTJOIN(" + ",TRUE(),IF(('Match Log'!$A$4:$A$810=$A297)*('Match Log'!$E$4:$E$810="Loss"),'Match Log'!$D$4:$D$810,"")),IF($E297=2,LOOKUP(2,1/(('Match Log'!$A$4:$A$810=$A297)*('Match Log'!$E$4:$E$810="Loss")),'Match Log'!$D$4:$D$810),"the field")),"")</f>
        <v>Daniel (Ferret)</v>
      </c>
      <c r="I297">
        <f t="shared" si="29"/>
        <v>-0.66693966666666671</v>
      </c>
      <c r="J297">
        <v>273</v>
      </c>
      <c r="K297">
        <f>IF($J297&gt;MAX('Match Log'!$A$4:$A$810),NA(),IFERROR(LOOKUP(2,1/(('Match Log'!$D$4:$D$810=$K$24)*('Match Log'!$A$4:$A$810&lt;=$J297)),'Match Log'!$N$4:$N$810),NA()))</f>
        <v>1265.5221853966827</v>
      </c>
      <c r="L297">
        <f>IF($J297&gt;MAX('Match Log'!$A$4:$A$810),NA(),IFERROR(LOOKUP(2,1/(('Match Log'!$D$4:$D$810=$L$24)*('Match Log'!$A$4:$A$810&lt;=$J297)),'Match Log'!$N$4:$N$810),NA()))</f>
        <v>1029.5175965335138</v>
      </c>
      <c r="M297">
        <f>IF($J297&gt;MAX('Match Log'!$A$4:$A$810),NA(),IFERROR(LOOKUP(2,1/(('Match Log'!$D$4:$D$810=$M$24)*('Match Log'!$A$4:$A$810&lt;=$J297)),'Match Log'!$N$4:$N$810),NA()))</f>
        <v>1098.8851304702137</v>
      </c>
      <c r="N297">
        <f>IF($J297&gt;MAX('Match Log'!$A$4:$A$810),NA(),IFERROR(LOOKUP(2,1/(('Match Log'!$D$4:$D$810=$N$24)*('Match Log'!$A$4:$A$810&lt;=$J297)),'Match Log'!$N$4:$N$810),NA()))</f>
        <v>907.03133644117429</v>
      </c>
      <c r="O297">
        <f>IF($J297&gt;MAX('Match Log'!$A$4:$A$810),NA(),IFERROR(LOOKUP(2,1/(('Match Log'!$D$4:$D$810=$O$24)*('Match Log'!$A$4:$A$810&lt;=$J297)),'Match Log'!$N$4:$N$810),NA()))</f>
        <v>1155.9112046633588</v>
      </c>
      <c r="P297">
        <f>IF($J297&gt;MAX('Match Log'!$A$4:$A$810),NA(),IFERROR(LOOKUP(2,1/(('Match Log'!$D$4:$D$810=$P$24)*('Match Log'!$A$4:$A$810&lt;=$J297)),'Match Log'!$N$4:$N$810),NA()))</f>
        <v>1280.4791002349882</v>
      </c>
      <c r="Q297">
        <f>IF($J297&gt;MAX('Match Log'!$A$4:$A$810),NA(),IFERROR(LOOKUP(2,1/(('Match Log'!$D$4:$D$810=$Q$24)*('Match Log'!$A$4:$A$810&lt;=$J297)),'Match Log'!$N$4:$N$810),NA()))</f>
        <v>1110.7425533765304</v>
      </c>
      <c r="R297">
        <f>IF($J297&gt;MAX('Match Log'!$A$4:$A$810),NA(),IFERROR(LOOKUP(2,1/(('Match Log'!$D$4:$D$810=$R$24)*('Match Log'!$A$4:$A$810&lt;=$J297)),'Match Log'!$N$4:$N$810),NA()))</f>
        <v>1017.3646895179213</v>
      </c>
      <c r="S297">
        <f>IF($J297&gt;MAX('Match Log'!$A$4:$A$810),NA(),IFERROR(LOOKUP(2,1/(('Match Log'!$D$4:$D$810=$S$24)*('Match Log'!$A$4:$A$810&lt;=$J297)),'Match Log'!$N$4:$N$810),NA()))</f>
        <v>1248.9288111472574</v>
      </c>
      <c r="T297">
        <f>IF($J297&gt;MAX('Match Log'!$A$4:$A$810),NA(),IFERROR(LOOKUP(2,1/(('Match Log'!$D$4:$D$810=$T$24)*('Match Log'!$A$4:$A$810&lt;=$J297)),'Match Log'!$N$4:$N$810),NA()))</f>
        <v>862.22294373677494</v>
      </c>
      <c r="U297">
        <f>IF($J297&gt;MAX('Match Log'!$A$4:$A$810),NA(),IFERROR(LOOKUP(2,1/(('Match Log'!$D$4:$D$810=$U$24)*('Match Log'!$A$4:$A$810&lt;=$J297)),'Match Log'!$N$4:$N$810),NA()))</f>
        <v>949.62629325438388</v>
      </c>
      <c r="V297">
        <f>IF($J297&gt;MAX('Match Log'!$A$4:$A$810),NA(),IFERROR(LOOKUP(2,1/(('Match Log'!$D$4:$D$810=$V$24)*('Match Log'!$A$4:$A$810&lt;=$J297)),'Match Log'!$N$4:$N$810),NA()))</f>
        <v>1087.5488947064855</v>
      </c>
      <c r="W297">
        <f>IF($J297&gt;MAX('Match Log'!$A$4:$A$810),NA(),IFERROR(LOOKUP(2,1/(('Match Log'!$D$4:$D$810=$W$24)*('Match Log'!$A$4:$A$810&lt;=$J297)),'Match Log'!$N$4:$N$810),NA()))</f>
        <v>1023.2192605207141</v>
      </c>
      <c r="X297" t="e">
        <f>IF($J297&gt;MAX('Match Log'!$A$4:$A$810),NA(),IFERROR(LOOKUP(2,1/(('Match Log'!$D$4:$D$810=$X$24)*('Match Log'!$A$4:$A$810&lt;=$J297)),'Match Log'!$N$4:$N$810),NA()))</f>
        <v>#N/A</v>
      </c>
      <c r="Y297" t="str">
        <f t="shared" ca="1" si="30"/>
        <v/>
      </c>
    </row>
    <row r="298" spans="1:25" x14ac:dyDescent="0.2">
      <c r="A298">
        <v>274</v>
      </c>
      <c r="B298">
        <f>IFERROR(INDEX('Match Log'!$B$4:$B$810,MATCH(274,'Match Log'!$A$4:$A$810,0)),"")</f>
        <v>46260</v>
      </c>
      <c r="C298" t="str">
        <f>IFERROR(INDEX('Match Log'!$C$4:$C$810,MATCH(274,'Match Log'!$A$4:$A$810,0)),"")</f>
        <v>FIFA</v>
      </c>
      <c r="D298" t="str">
        <f t="array" ref="D298">IFERROR(_xlfn.TEXTJOIN(" + ",TRUE(),IF(('Match Log'!$A$4:$A$810=$A298)*('Match Log'!$E$4:$E$810="Win"),'Match Log'!$D$4:$D$810,"")),IFERROR(LOOKUP(2,1/(('Match Log'!$A$4:$A$810=$A298)*('Match Log'!$E$4:$E$810="Win")),'Match Log'!$D$4:$D$810),""))</f>
        <v>Oscar</v>
      </c>
      <c r="E298">
        <f>IFERROR(INDEX('Match Log'!$F$4:$F$810,MATCH(274,'Match Log'!$A$4:$A$810,0)),"")</f>
        <v>2</v>
      </c>
      <c r="F298">
        <f>IFERROR(SUMIFS('Match Log'!$I$4:$I$810,'Match Log'!$A$4:$A$810,274,'Match Log'!$E$4:$E$810,"Win"),"")</f>
        <v>0.42857142857142855</v>
      </c>
      <c r="G298">
        <f t="shared" si="28"/>
        <v>0.1428571428571429</v>
      </c>
      <c r="H298" t="str">
        <f t="array" ref="H298">IFERROR(IF(COUNTIFS('Match Log'!$A$4:$A$810,$A298,'Match Log'!$E$4:$E$810,"Win")&gt;1,_xlfn.TEXTJOIN(" + ",TRUE(),IF(('Match Log'!$A$4:$A$810=$A298)*('Match Log'!$E$4:$E$810="Loss"),'Match Log'!$D$4:$D$810,"")),IF($E298=2,LOOKUP(2,1/(('Match Log'!$A$4:$A$810=$A298)*('Match Log'!$E$4:$E$810="Loss")),'Match Log'!$D$4:$D$810),"the field")),"")</f>
        <v>Simon</v>
      </c>
      <c r="I298">
        <f t="shared" si="29"/>
        <v>0.14258314285714291</v>
      </c>
      <c r="J298">
        <v>274</v>
      </c>
      <c r="K298">
        <f>IF($J298&gt;MAX('Match Log'!$A$4:$A$810),NA(),IFERROR(LOOKUP(2,1/(('Match Log'!$D$4:$D$810=$K$24)*('Match Log'!$A$4:$A$810&lt;=$J298)),'Match Log'!$N$4:$N$810),NA()))</f>
        <v>1265.5221853966827</v>
      </c>
      <c r="L298">
        <f>IF($J298&gt;MAX('Match Log'!$A$4:$A$810),NA(),IFERROR(LOOKUP(2,1/(('Match Log'!$D$4:$D$810=$L$24)*('Match Log'!$A$4:$A$810&lt;=$J298)),'Match Log'!$N$4:$N$810),NA()))</f>
        <v>1029.5175965335138</v>
      </c>
      <c r="M298">
        <f>IF($J298&gt;MAX('Match Log'!$A$4:$A$810),NA(),IFERROR(LOOKUP(2,1/(('Match Log'!$D$4:$D$810=$M$24)*('Match Log'!$A$4:$A$810&lt;=$J298)),'Match Log'!$N$4:$N$810),NA()))</f>
        <v>1098.8851304702137</v>
      </c>
      <c r="N298">
        <f>IF($J298&gt;MAX('Match Log'!$A$4:$A$810),NA(),IFERROR(LOOKUP(2,1/(('Match Log'!$D$4:$D$810=$N$24)*('Match Log'!$A$4:$A$810&lt;=$J298)),'Match Log'!$N$4:$N$810),NA()))</f>
        <v>907.03133644117429</v>
      </c>
      <c r="O298">
        <f>IF($J298&gt;MAX('Match Log'!$A$4:$A$810),NA(),IFERROR(LOOKUP(2,1/(('Match Log'!$D$4:$D$810=$O$24)*('Match Log'!$A$4:$A$810&lt;=$J298)),'Match Log'!$N$4:$N$810),NA()))</f>
        <v>1155.9112046633588</v>
      </c>
      <c r="P298">
        <f>IF($J298&gt;MAX('Match Log'!$A$4:$A$810),NA(),IFERROR(LOOKUP(2,1/(('Match Log'!$D$4:$D$810=$P$24)*('Match Log'!$A$4:$A$810&lt;=$J298)),'Match Log'!$N$4:$N$810),NA()))</f>
        <v>1280.4791002349882</v>
      </c>
      <c r="Q298">
        <f>IF($J298&gt;MAX('Match Log'!$A$4:$A$810),NA(),IFERROR(LOOKUP(2,1/(('Match Log'!$D$4:$D$810=$Q$24)*('Match Log'!$A$4:$A$810&lt;=$J298)),'Match Log'!$N$4:$N$810),NA()))</f>
        <v>1081.4620470838852</v>
      </c>
      <c r="R298">
        <f>IF($J298&gt;MAX('Match Log'!$A$4:$A$810),NA(),IFERROR(LOOKUP(2,1/(('Match Log'!$D$4:$D$810=$R$24)*('Match Log'!$A$4:$A$810&lt;=$J298)),'Match Log'!$N$4:$N$810),NA()))</f>
        <v>1017.3646895179213</v>
      </c>
      <c r="S298">
        <f>IF($J298&gt;MAX('Match Log'!$A$4:$A$810),NA(),IFERROR(LOOKUP(2,1/(('Match Log'!$D$4:$D$810=$S$24)*('Match Log'!$A$4:$A$810&lt;=$J298)),'Match Log'!$N$4:$N$810),NA()))</f>
        <v>1248.9288111472574</v>
      </c>
      <c r="T298">
        <f>IF($J298&gt;MAX('Match Log'!$A$4:$A$810),NA(),IFERROR(LOOKUP(2,1/(('Match Log'!$D$4:$D$810=$T$24)*('Match Log'!$A$4:$A$810&lt;=$J298)),'Match Log'!$N$4:$N$810),NA()))</f>
        <v>862.22294373677494</v>
      </c>
      <c r="U298">
        <f>IF($J298&gt;MAX('Match Log'!$A$4:$A$810),NA(),IFERROR(LOOKUP(2,1/(('Match Log'!$D$4:$D$810=$U$24)*('Match Log'!$A$4:$A$810&lt;=$J298)),'Match Log'!$N$4:$N$810),NA()))</f>
        <v>978.90679954702898</v>
      </c>
      <c r="V298">
        <f>IF($J298&gt;MAX('Match Log'!$A$4:$A$810),NA(),IFERROR(LOOKUP(2,1/(('Match Log'!$D$4:$D$810=$V$24)*('Match Log'!$A$4:$A$810&lt;=$J298)),'Match Log'!$N$4:$N$810),NA()))</f>
        <v>1087.5488947064855</v>
      </c>
      <c r="W298">
        <f>IF($J298&gt;MAX('Match Log'!$A$4:$A$810),NA(),IFERROR(LOOKUP(2,1/(('Match Log'!$D$4:$D$810=$W$24)*('Match Log'!$A$4:$A$810&lt;=$J298)),'Match Log'!$N$4:$N$810),NA()))</f>
        <v>1023.2192605207141</v>
      </c>
      <c r="X298" t="e">
        <f>IF($J298&gt;MAX('Match Log'!$A$4:$A$810),NA(),IFERROR(LOOKUP(2,1/(('Match Log'!$D$4:$D$810=$X$24)*('Match Log'!$A$4:$A$810&lt;=$J298)),'Match Log'!$N$4:$N$810),NA()))</f>
        <v>#N/A</v>
      </c>
      <c r="Y298" t="str">
        <f t="shared" ca="1" si="30"/>
        <v/>
      </c>
    </row>
    <row r="299" spans="1:25" x14ac:dyDescent="0.2">
      <c r="A299">
        <v>275</v>
      </c>
      <c r="B299">
        <f>IFERROR(INDEX('Match Log'!$B$4:$B$810,MATCH(275,'Match Log'!$A$4:$A$810,0)),"")</f>
        <v>46260</v>
      </c>
      <c r="C299" t="str">
        <f>IFERROR(INDEX('Match Log'!$C$4:$C$810,MATCH(275,'Match Log'!$A$4:$A$810,0)),"")</f>
        <v>Cards</v>
      </c>
      <c r="D299" t="str">
        <f t="array" ref="D299">IFERROR(_xlfn.TEXTJOIN(" + ",TRUE(),IF(('Match Log'!$A$4:$A$810=$A299)*('Match Log'!$E$4:$E$810="Win"),'Match Log'!$D$4:$D$810,"")),IFERROR(LOOKUP(2,1/(('Match Log'!$A$4:$A$810=$A299)*('Match Log'!$E$4:$E$810="Win")),'Match Log'!$D$4:$D$810),""))</f>
        <v>Simon</v>
      </c>
      <c r="E299">
        <f>IFERROR(INDEX('Match Log'!$F$4:$F$810,MATCH(275,'Match Log'!$A$4:$A$810,0)),"")</f>
        <v>3</v>
      </c>
      <c r="F299">
        <f>IFERROR(SUMIFS('Match Log'!$I$4:$I$810,'Match Log'!$A$4:$A$810,275,'Match Log'!$E$4:$E$810,"Win"),"")</f>
        <v>0.375</v>
      </c>
      <c r="G299">
        <f t="shared" si="28"/>
        <v>-0.125</v>
      </c>
      <c r="H299" t="str">
        <f t="array" ref="H299">IFERROR(IF(COUNTIFS('Match Log'!$A$4:$A$810,$A299,'Match Log'!$E$4:$E$810,"Win")&gt;1,_xlfn.TEXTJOIN(" + ",TRUE(),IF(('Match Log'!$A$4:$A$810=$A299)*('Match Log'!$E$4:$E$810="Loss"),'Match Log'!$D$4:$D$810,"")),IF($E299=2,LOOKUP(2,1/(('Match Log'!$A$4:$A$810=$A299)*('Match Log'!$E$4:$E$810="Loss")),'Match Log'!$D$4:$D$810),"the field")),"")</f>
        <v>the field</v>
      </c>
      <c r="I299">
        <f t="shared" si="29"/>
        <v>-0.125275</v>
      </c>
      <c r="J299">
        <v>275</v>
      </c>
      <c r="K299">
        <f>IF($J299&gt;MAX('Match Log'!$A$4:$A$810),NA(),IFERROR(LOOKUP(2,1/(('Match Log'!$D$4:$D$810=$K$24)*('Match Log'!$A$4:$A$810&lt;=$J299)),'Match Log'!$N$4:$N$810),NA()))</f>
        <v>1265.5221853966827</v>
      </c>
      <c r="L299">
        <f>IF($J299&gt;MAX('Match Log'!$A$4:$A$810),NA(),IFERROR(LOOKUP(2,1/(('Match Log'!$D$4:$D$810=$L$24)*('Match Log'!$A$4:$A$810&lt;=$J299)),'Match Log'!$N$4:$N$810),NA()))</f>
        <v>1029.5175965335138</v>
      </c>
      <c r="M299">
        <f>IF($J299&gt;MAX('Match Log'!$A$4:$A$810),NA(),IFERROR(LOOKUP(2,1/(('Match Log'!$D$4:$D$810=$M$24)*('Match Log'!$A$4:$A$810&lt;=$J299)),'Match Log'!$N$4:$N$810),NA()))</f>
        <v>1098.8851304702137</v>
      </c>
      <c r="N299">
        <f>IF($J299&gt;MAX('Match Log'!$A$4:$A$810),NA(),IFERROR(LOOKUP(2,1/(('Match Log'!$D$4:$D$810=$N$24)*('Match Log'!$A$4:$A$810&lt;=$J299)),'Match Log'!$N$4:$N$810),NA()))</f>
        <v>907.03133644117429</v>
      </c>
      <c r="O299">
        <f>IF($J299&gt;MAX('Match Log'!$A$4:$A$810),NA(),IFERROR(LOOKUP(2,1/(('Match Log'!$D$4:$D$810=$O$24)*('Match Log'!$A$4:$A$810&lt;=$J299)),'Match Log'!$N$4:$N$810),NA()))</f>
        <v>1155.9112046633588</v>
      </c>
      <c r="P299">
        <f>IF($J299&gt;MAX('Match Log'!$A$4:$A$810),NA(),IFERROR(LOOKUP(2,1/(('Match Log'!$D$4:$D$810=$P$24)*('Match Log'!$A$4:$A$810&lt;=$J299)),'Match Log'!$N$4:$N$810),NA()))</f>
        <v>1269.2069507127815</v>
      </c>
      <c r="Q299">
        <f>IF($J299&gt;MAX('Match Log'!$A$4:$A$810),NA(),IFERROR(LOOKUP(2,1/(('Match Log'!$D$4:$D$810=$Q$24)*('Match Log'!$A$4:$A$810&lt;=$J299)),'Match Log'!$N$4:$N$810),NA()))</f>
        <v>1108.9390493953028</v>
      </c>
      <c r="R299">
        <f>IF($J299&gt;MAX('Match Log'!$A$4:$A$810),NA(),IFERROR(LOOKUP(2,1/(('Match Log'!$D$4:$D$810=$R$24)*('Match Log'!$A$4:$A$810&lt;=$J299)),'Match Log'!$N$4:$N$810),NA()))</f>
        <v>1017.3646895179213</v>
      </c>
      <c r="S299">
        <f>IF($J299&gt;MAX('Match Log'!$A$4:$A$810),NA(),IFERROR(LOOKUP(2,1/(('Match Log'!$D$4:$D$810=$S$24)*('Match Log'!$A$4:$A$810&lt;=$J299)),'Match Log'!$N$4:$N$810),NA()))</f>
        <v>1248.9288111472574</v>
      </c>
      <c r="T299">
        <f>IF($J299&gt;MAX('Match Log'!$A$4:$A$810),NA(),IFERROR(LOOKUP(2,1/(('Match Log'!$D$4:$D$810=$T$24)*('Match Log'!$A$4:$A$810&lt;=$J299)),'Match Log'!$N$4:$N$810),NA()))</f>
        <v>862.22294373677494</v>
      </c>
      <c r="U299">
        <f>IF($J299&gt;MAX('Match Log'!$A$4:$A$810),NA(),IFERROR(LOOKUP(2,1/(('Match Log'!$D$4:$D$810=$U$24)*('Match Log'!$A$4:$A$810&lt;=$J299)),'Match Log'!$N$4:$N$810),NA()))</f>
        <v>971.70194675781806</v>
      </c>
      <c r="V299">
        <f>IF($J299&gt;MAX('Match Log'!$A$4:$A$810),NA(),IFERROR(LOOKUP(2,1/(('Match Log'!$D$4:$D$810=$V$24)*('Match Log'!$A$4:$A$810&lt;=$J299)),'Match Log'!$N$4:$N$810),NA()))</f>
        <v>1087.5488947064855</v>
      </c>
      <c r="W299">
        <f>IF($J299&gt;MAX('Match Log'!$A$4:$A$810),NA(),IFERROR(LOOKUP(2,1/(('Match Log'!$D$4:$D$810=$W$24)*('Match Log'!$A$4:$A$810&lt;=$J299)),'Match Log'!$N$4:$N$810),NA()))</f>
        <v>1023.2192605207141</v>
      </c>
      <c r="X299" t="e">
        <f>IF($J299&gt;MAX('Match Log'!$A$4:$A$810),NA(),IFERROR(LOOKUP(2,1/(('Match Log'!$D$4:$D$810=$X$24)*('Match Log'!$A$4:$A$810&lt;=$J299)),'Match Log'!$N$4:$N$810),NA()))</f>
        <v>#N/A</v>
      </c>
      <c r="Y299" t="str">
        <f t="shared" ca="1" si="30"/>
        <v/>
      </c>
    </row>
    <row r="300" spans="1:25" x14ac:dyDescent="0.2">
      <c r="A300">
        <v>276</v>
      </c>
      <c r="B300">
        <f>IFERROR(INDEX('Match Log'!$B$4:$B$810,MATCH(276,'Match Log'!$A$4:$A$810,0)),"")</f>
        <v>46260</v>
      </c>
      <c r="C300" t="str">
        <f>IFERROR(INDEX('Match Log'!$C$4:$C$810,MATCH(276,'Match Log'!$A$4:$A$810,0)),"")</f>
        <v>Cards</v>
      </c>
      <c r="D300" t="str">
        <f t="array" ref="D300">IFERROR(_xlfn.TEXTJOIN(" + ",TRUE(),IF(('Match Log'!$A$4:$A$810=$A300)*('Match Log'!$E$4:$E$810="Win"),'Match Log'!$D$4:$D$810,"")),IFERROR(LOOKUP(2,1/(('Match Log'!$A$4:$A$810=$A300)*('Match Log'!$E$4:$E$810="Win")),'Match Log'!$D$4:$D$810),""))</f>
        <v>Shawn</v>
      </c>
      <c r="E300">
        <f>IFERROR(INDEX('Match Log'!$F$4:$F$810,MATCH(276,'Match Log'!$A$4:$A$810,0)),"")</f>
        <v>3</v>
      </c>
      <c r="F300">
        <f>IFERROR(SUMIFS('Match Log'!$I$4:$I$810,'Match Log'!$A$4:$A$810,276,'Match Log'!$E$4:$E$810,"Win"),"")</f>
        <v>0.2</v>
      </c>
      <c r="G300">
        <f t="shared" si="28"/>
        <v>0.39999999999999991</v>
      </c>
      <c r="H300" t="str">
        <f t="array" ref="H300">IFERROR(IF(COUNTIFS('Match Log'!$A$4:$A$810,$A300,'Match Log'!$E$4:$E$810,"Win")&gt;1,_xlfn.TEXTJOIN(" + ",TRUE(),IF(('Match Log'!$A$4:$A$810=$A300)*('Match Log'!$E$4:$E$810="Loss"),'Match Log'!$D$4:$D$810,"")),IF($E300=2,LOOKUP(2,1/(('Match Log'!$A$4:$A$810=$A300)*('Match Log'!$E$4:$E$810="Loss")),'Match Log'!$D$4:$D$810),"the field")),"")</f>
        <v>the field</v>
      </c>
      <c r="I300">
        <f t="shared" si="29"/>
        <v>0.39972399999999991</v>
      </c>
      <c r="J300">
        <v>276</v>
      </c>
      <c r="K300">
        <f>IF($J300&gt;MAX('Match Log'!$A$4:$A$810),NA(),IFERROR(LOOKUP(2,1/(('Match Log'!$D$4:$D$810=$K$24)*('Match Log'!$A$4:$A$810&lt;=$J300)),'Match Log'!$N$4:$N$810),NA()))</f>
        <v>1265.5221853966827</v>
      </c>
      <c r="L300">
        <f>IF($J300&gt;MAX('Match Log'!$A$4:$A$810),NA(),IFERROR(LOOKUP(2,1/(('Match Log'!$D$4:$D$810=$L$24)*('Match Log'!$A$4:$A$810&lt;=$J300)),'Match Log'!$N$4:$N$810),NA()))</f>
        <v>1029.5175965335138</v>
      </c>
      <c r="M300">
        <f>IF($J300&gt;MAX('Match Log'!$A$4:$A$810),NA(),IFERROR(LOOKUP(2,1/(('Match Log'!$D$4:$D$810=$M$24)*('Match Log'!$A$4:$A$810&lt;=$J300)),'Match Log'!$N$4:$N$810),NA()))</f>
        <v>1098.8851304702137</v>
      </c>
      <c r="N300">
        <f>IF($J300&gt;MAX('Match Log'!$A$4:$A$810),NA(),IFERROR(LOOKUP(2,1/(('Match Log'!$D$4:$D$810=$N$24)*('Match Log'!$A$4:$A$810&lt;=$J300)),'Match Log'!$N$4:$N$810),NA()))</f>
        <v>907.03133644117429</v>
      </c>
      <c r="O300">
        <f>IF($J300&gt;MAX('Match Log'!$A$4:$A$810),NA(),IFERROR(LOOKUP(2,1/(('Match Log'!$D$4:$D$810=$O$24)*('Match Log'!$A$4:$A$810&lt;=$J300)),'Match Log'!$N$4:$N$810),NA()))</f>
        <v>1155.9112046633588</v>
      </c>
      <c r="P300">
        <f>IF($J300&gt;MAX('Match Log'!$A$4:$A$810),NA(),IFERROR(LOOKUP(2,1/(('Match Log'!$D$4:$D$810=$P$24)*('Match Log'!$A$4:$A$810&lt;=$J300)),'Match Log'!$N$4:$N$810),NA()))</f>
        <v>1291.3210854006168</v>
      </c>
      <c r="Q300">
        <f>IF($J300&gt;MAX('Match Log'!$A$4:$A$810),NA(),IFERROR(LOOKUP(2,1/(('Match Log'!$D$4:$D$810=$Q$24)*('Match Log'!$A$4:$A$810&lt;=$J300)),'Match Log'!$N$4:$N$810),NA()))</f>
        <v>1099.6597362825432</v>
      </c>
      <c r="R300">
        <f>IF($J300&gt;MAX('Match Log'!$A$4:$A$810),NA(),IFERROR(LOOKUP(2,1/(('Match Log'!$D$4:$D$810=$R$24)*('Match Log'!$A$4:$A$810&lt;=$J300)),'Match Log'!$N$4:$N$810),NA()))</f>
        <v>1017.3646895179213</v>
      </c>
      <c r="S300">
        <f>IF($J300&gt;MAX('Match Log'!$A$4:$A$810),NA(),IFERROR(LOOKUP(2,1/(('Match Log'!$D$4:$D$810=$S$24)*('Match Log'!$A$4:$A$810&lt;=$J300)),'Match Log'!$N$4:$N$810),NA()))</f>
        <v>1248.9288111472574</v>
      </c>
      <c r="T300">
        <f>IF($J300&gt;MAX('Match Log'!$A$4:$A$810),NA(),IFERROR(LOOKUP(2,1/(('Match Log'!$D$4:$D$810=$T$24)*('Match Log'!$A$4:$A$810&lt;=$J300)),'Match Log'!$N$4:$N$810),NA()))</f>
        <v>862.22294373677494</v>
      </c>
      <c r="U300">
        <f>IF($J300&gt;MAX('Match Log'!$A$4:$A$810),NA(),IFERROR(LOOKUP(2,1/(('Match Log'!$D$4:$D$810=$U$24)*('Match Log'!$A$4:$A$810&lt;=$J300)),'Match Log'!$N$4:$N$810),NA()))</f>
        <v>967.86712518274226</v>
      </c>
      <c r="V300">
        <f>IF($J300&gt;MAX('Match Log'!$A$4:$A$810),NA(),IFERROR(LOOKUP(2,1/(('Match Log'!$D$4:$D$810=$V$24)*('Match Log'!$A$4:$A$810&lt;=$J300)),'Match Log'!$N$4:$N$810),NA()))</f>
        <v>1087.5488947064855</v>
      </c>
      <c r="W300">
        <f>IF($J300&gt;MAX('Match Log'!$A$4:$A$810),NA(),IFERROR(LOOKUP(2,1/(('Match Log'!$D$4:$D$810=$W$24)*('Match Log'!$A$4:$A$810&lt;=$J300)),'Match Log'!$N$4:$N$810),NA()))</f>
        <v>1023.2192605207141</v>
      </c>
      <c r="X300" t="e">
        <f>IF($J300&gt;MAX('Match Log'!$A$4:$A$810),NA(),IFERROR(LOOKUP(2,1/(('Match Log'!$D$4:$D$810=$X$24)*('Match Log'!$A$4:$A$810&lt;=$J300)),'Match Log'!$N$4:$N$810),NA()))</f>
        <v>#N/A</v>
      </c>
      <c r="Y300" t="str">
        <f t="shared" ca="1" si="30"/>
        <v/>
      </c>
    </row>
    <row r="301" spans="1:25" x14ac:dyDescent="0.2">
      <c r="A301">
        <v>277</v>
      </c>
      <c r="B301">
        <f>IFERROR(INDEX('Match Log'!$B$4:$B$810,MATCH(277,'Match Log'!$A$4:$A$810,0)),"")</f>
        <v>46264</v>
      </c>
      <c r="C301" t="str">
        <f>IFERROR(INDEX('Match Log'!$C$4:$C$810,MATCH(277,'Match Log'!$A$4:$A$810,0)),"")</f>
        <v>Chess</v>
      </c>
      <c r="D301" t="str">
        <f t="array" ref="D301">IFERROR(_xlfn.TEXTJOIN(" + ",TRUE(),IF(('Match Log'!$A$4:$A$810=$A301)*('Match Log'!$E$4:$E$810="Win"),'Match Log'!$D$4:$D$810,"")),IFERROR(LOOKUP(2,1/(('Match Log'!$A$4:$A$810=$A301)*('Match Log'!$E$4:$E$810="Win")),'Match Log'!$D$4:$D$810),""))</f>
        <v>Shawn</v>
      </c>
      <c r="E301">
        <f>IFERROR(INDEX('Match Log'!$F$4:$F$810,MATCH(277,'Match Log'!$A$4:$A$810,0)),"")</f>
        <v>2</v>
      </c>
      <c r="F301">
        <f>IFERROR(SUMIFS('Match Log'!$I$4:$I$810,'Match Log'!$A$4:$A$810,277,'Match Log'!$E$4:$E$810,"Win"),"")</f>
        <v>0.83333333333333337</v>
      </c>
      <c r="G301">
        <f t="shared" si="28"/>
        <v>-0.66666666666666674</v>
      </c>
      <c r="H301" t="str">
        <f t="array" ref="H301">IFERROR(IF(COUNTIFS('Match Log'!$A$4:$A$810,$A301,'Match Log'!$E$4:$E$810,"Win")&gt;1,_xlfn.TEXTJOIN(" + ",TRUE(),IF(('Match Log'!$A$4:$A$810=$A301)*('Match Log'!$E$4:$E$810="Loss"),'Match Log'!$D$4:$D$810,"")),IF($E301=2,LOOKUP(2,1/(('Match Log'!$A$4:$A$810=$A301)*('Match Log'!$E$4:$E$810="Loss")),'Match Log'!$D$4:$D$810),"the field")),"")</f>
        <v>Daniel (Ferret)</v>
      </c>
      <c r="I301">
        <f t="shared" si="29"/>
        <v>-0.66694366666666671</v>
      </c>
      <c r="J301">
        <v>277</v>
      </c>
      <c r="K301">
        <f>IF($J301&gt;MAX('Match Log'!$A$4:$A$810),NA(),IFERROR(LOOKUP(2,1/(('Match Log'!$D$4:$D$810=$K$24)*('Match Log'!$A$4:$A$810&lt;=$J301)),'Match Log'!$N$4:$N$810),NA()))</f>
        <v>1265.5221853966827</v>
      </c>
      <c r="L301">
        <f>IF($J301&gt;MAX('Match Log'!$A$4:$A$810),NA(),IFERROR(LOOKUP(2,1/(('Match Log'!$D$4:$D$810=$L$24)*('Match Log'!$A$4:$A$810&lt;=$J301)),'Match Log'!$N$4:$N$810),NA()))</f>
        <v>1029.5175965335138</v>
      </c>
      <c r="M301">
        <f>IF($J301&gt;MAX('Match Log'!$A$4:$A$810),NA(),IFERROR(LOOKUP(2,1/(('Match Log'!$D$4:$D$810=$M$24)*('Match Log'!$A$4:$A$810&lt;=$J301)),'Match Log'!$N$4:$N$810),NA()))</f>
        <v>1098.8851304702137</v>
      </c>
      <c r="N301">
        <f>IF($J301&gt;MAX('Match Log'!$A$4:$A$810),NA(),IFERROR(LOOKUP(2,1/(('Match Log'!$D$4:$D$810=$N$24)*('Match Log'!$A$4:$A$810&lt;=$J301)),'Match Log'!$N$4:$N$810),NA()))</f>
        <v>907.03133644117429</v>
      </c>
      <c r="O301">
        <f>IF($J301&gt;MAX('Match Log'!$A$4:$A$810),NA(),IFERROR(LOOKUP(2,1/(('Match Log'!$D$4:$D$810=$O$24)*('Match Log'!$A$4:$A$810&lt;=$J301)),'Match Log'!$N$4:$N$810),NA()))</f>
        <v>1155.9112046633588</v>
      </c>
      <c r="P301">
        <f>IF($J301&gt;MAX('Match Log'!$A$4:$A$810),NA(),IFERROR(LOOKUP(2,1/(('Match Log'!$D$4:$D$810=$P$24)*('Match Log'!$A$4:$A$810&lt;=$J301)),'Match Log'!$N$4:$N$810),NA()))</f>
        <v>1300.9488632874916</v>
      </c>
      <c r="Q301">
        <f>IF($J301&gt;MAX('Match Log'!$A$4:$A$810),NA(),IFERROR(LOOKUP(2,1/(('Match Log'!$D$4:$D$810=$Q$24)*('Match Log'!$A$4:$A$810&lt;=$J301)),'Match Log'!$N$4:$N$810),NA()))</f>
        <v>1099.6597362825432</v>
      </c>
      <c r="R301">
        <f>IF($J301&gt;MAX('Match Log'!$A$4:$A$810),NA(),IFERROR(LOOKUP(2,1/(('Match Log'!$D$4:$D$810=$R$24)*('Match Log'!$A$4:$A$810&lt;=$J301)),'Match Log'!$N$4:$N$810),NA()))</f>
        <v>1007.7369116310465</v>
      </c>
      <c r="S301">
        <f>IF($J301&gt;MAX('Match Log'!$A$4:$A$810),NA(),IFERROR(LOOKUP(2,1/(('Match Log'!$D$4:$D$810=$S$24)*('Match Log'!$A$4:$A$810&lt;=$J301)),'Match Log'!$N$4:$N$810),NA()))</f>
        <v>1248.9288111472574</v>
      </c>
      <c r="T301">
        <f>IF($J301&gt;MAX('Match Log'!$A$4:$A$810),NA(),IFERROR(LOOKUP(2,1/(('Match Log'!$D$4:$D$810=$T$24)*('Match Log'!$A$4:$A$810&lt;=$J301)),'Match Log'!$N$4:$N$810),NA()))</f>
        <v>862.22294373677494</v>
      </c>
      <c r="U301">
        <f>IF($J301&gt;MAX('Match Log'!$A$4:$A$810),NA(),IFERROR(LOOKUP(2,1/(('Match Log'!$D$4:$D$810=$U$24)*('Match Log'!$A$4:$A$810&lt;=$J301)),'Match Log'!$N$4:$N$810),NA()))</f>
        <v>967.86712518274226</v>
      </c>
      <c r="V301">
        <f>IF($J301&gt;MAX('Match Log'!$A$4:$A$810),NA(),IFERROR(LOOKUP(2,1/(('Match Log'!$D$4:$D$810=$V$24)*('Match Log'!$A$4:$A$810&lt;=$J301)),'Match Log'!$N$4:$N$810),NA()))</f>
        <v>1087.5488947064855</v>
      </c>
      <c r="W301">
        <f>IF($J301&gt;MAX('Match Log'!$A$4:$A$810),NA(),IFERROR(LOOKUP(2,1/(('Match Log'!$D$4:$D$810=$W$24)*('Match Log'!$A$4:$A$810&lt;=$J301)),'Match Log'!$N$4:$N$810),NA()))</f>
        <v>1023.2192605207141</v>
      </c>
      <c r="X301" t="e">
        <f>IF($J301&gt;MAX('Match Log'!$A$4:$A$810),NA(),IFERROR(LOOKUP(2,1/(('Match Log'!$D$4:$D$810=$X$24)*('Match Log'!$A$4:$A$810&lt;=$J301)),'Match Log'!$N$4:$N$810),NA()))</f>
        <v>#N/A</v>
      </c>
      <c r="Y301" t="str">
        <f t="shared" ca="1" si="30"/>
        <v/>
      </c>
    </row>
    <row r="302" spans="1:25" x14ac:dyDescent="0.2">
      <c r="A302">
        <v>278</v>
      </c>
      <c r="B302">
        <f>IFERROR(INDEX('Match Log'!$B$4:$B$810,MATCH(278,'Match Log'!$A$4:$A$810,0)),"")</f>
        <v>46271</v>
      </c>
      <c r="C302" t="str">
        <f>IFERROR(INDEX('Match Log'!$C$4:$C$810,MATCH(278,'Match Log'!$A$4:$A$810,0)),"")</f>
        <v>Back Yard Putt Putt</v>
      </c>
      <c r="D302" t="str">
        <f t="array" ref="D302">IFERROR(_xlfn.TEXTJOIN(" + ",TRUE(),IF(('Match Log'!$A$4:$A$810=$A302)*('Match Log'!$E$4:$E$810="Win"),'Match Log'!$D$4:$D$810,"")),IFERROR(LOOKUP(2,1/(('Match Log'!$A$4:$A$810=$A302)*('Match Log'!$E$4:$E$810="Win")),'Match Log'!$D$4:$D$810),""))</f>
        <v>Shawn</v>
      </c>
      <c r="E302">
        <f>IFERROR(INDEX('Match Log'!$F$4:$F$810,MATCH(278,'Match Log'!$A$4:$A$810,0)),"")</f>
        <v>3</v>
      </c>
      <c r="F302">
        <f>IFERROR(SUMIFS('Match Log'!$I$4:$I$810,'Match Log'!$A$4:$A$810,278,'Match Log'!$E$4:$E$810,"Win"),"")</f>
        <v>0.33333333333333331</v>
      </c>
      <c r="G302">
        <f t="shared" si="28"/>
        <v>0</v>
      </c>
      <c r="H302" t="str">
        <f t="array" ref="H302">IFERROR(IF(COUNTIFS('Match Log'!$A$4:$A$810,$A302,'Match Log'!$E$4:$E$810,"Win")&gt;1,_xlfn.TEXTJOIN(" + ",TRUE(),IF(('Match Log'!$A$4:$A$810=$A302)*('Match Log'!$E$4:$E$810="Loss"),'Match Log'!$D$4:$D$810,"")),IF($E302=2,LOOKUP(2,1/(('Match Log'!$A$4:$A$810=$A302)*('Match Log'!$E$4:$E$810="Loss")),'Match Log'!$D$4:$D$810),"the field")),"")</f>
        <v>the field</v>
      </c>
      <c r="I302">
        <f t="shared" si="29"/>
        <v>-2.7799999999999998E-4</v>
      </c>
      <c r="J302">
        <v>278</v>
      </c>
      <c r="K302">
        <f>IF($J302&gt;MAX('Match Log'!$A$4:$A$810),NA(),IFERROR(LOOKUP(2,1/(('Match Log'!$D$4:$D$810=$K$24)*('Match Log'!$A$4:$A$810&lt;=$J302)),'Match Log'!$N$4:$N$810),NA()))</f>
        <v>1265.5221853966827</v>
      </c>
      <c r="L302">
        <f>IF($J302&gt;MAX('Match Log'!$A$4:$A$810),NA(),IFERROR(LOOKUP(2,1/(('Match Log'!$D$4:$D$810=$L$24)*('Match Log'!$A$4:$A$810&lt;=$J302)),'Match Log'!$N$4:$N$810),NA()))</f>
        <v>1029.5175965335138</v>
      </c>
      <c r="M302">
        <f>IF($J302&gt;MAX('Match Log'!$A$4:$A$810),NA(),IFERROR(LOOKUP(2,1/(('Match Log'!$D$4:$D$810=$M$24)*('Match Log'!$A$4:$A$810&lt;=$J302)),'Match Log'!$N$4:$N$810),NA()))</f>
        <v>1098.8851304702137</v>
      </c>
      <c r="N302">
        <f>IF($J302&gt;MAX('Match Log'!$A$4:$A$810),NA(),IFERROR(LOOKUP(2,1/(('Match Log'!$D$4:$D$810=$N$24)*('Match Log'!$A$4:$A$810&lt;=$J302)),'Match Log'!$N$4:$N$810),NA()))</f>
        <v>907.03133644117429</v>
      </c>
      <c r="O302">
        <f>IF($J302&gt;MAX('Match Log'!$A$4:$A$810),NA(),IFERROR(LOOKUP(2,1/(('Match Log'!$D$4:$D$810=$O$24)*('Match Log'!$A$4:$A$810&lt;=$J302)),'Match Log'!$N$4:$N$810),NA()))</f>
        <v>1155.9112046633588</v>
      </c>
      <c r="P302">
        <f>IF($J302&gt;MAX('Match Log'!$A$4:$A$810),NA(),IFERROR(LOOKUP(2,1/(('Match Log'!$D$4:$D$810=$P$24)*('Match Log'!$A$4:$A$810&lt;=$J302)),'Match Log'!$N$4:$N$810),NA()))</f>
        <v>1317.8217591924433</v>
      </c>
      <c r="Q302">
        <f>IF($J302&gt;MAX('Match Log'!$A$4:$A$810),NA(),IFERROR(LOOKUP(2,1/(('Match Log'!$D$4:$D$810=$Q$24)*('Match Log'!$A$4:$A$810&lt;=$J302)),'Match Log'!$N$4:$N$810),NA()))</f>
        <v>1094.8373178296154</v>
      </c>
      <c r="R302">
        <f>IF($J302&gt;MAX('Match Log'!$A$4:$A$810),NA(),IFERROR(LOOKUP(2,1/(('Match Log'!$D$4:$D$810=$R$24)*('Match Log'!$A$4:$A$810&lt;=$J302)),'Match Log'!$N$4:$N$810),NA()))</f>
        <v>1007.7369116310465</v>
      </c>
      <c r="S302">
        <f>IF($J302&gt;MAX('Match Log'!$A$4:$A$810),NA(),IFERROR(LOOKUP(2,1/(('Match Log'!$D$4:$D$810=$S$24)*('Match Log'!$A$4:$A$810&lt;=$J302)),'Match Log'!$N$4:$N$810),NA()))</f>
        <v>1248.9288111472574</v>
      </c>
      <c r="T302">
        <f>IF($J302&gt;MAX('Match Log'!$A$4:$A$810),NA(),IFERROR(LOOKUP(2,1/(('Match Log'!$D$4:$D$810=$T$24)*('Match Log'!$A$4:$A$810&lt;=$J302)),'Match Log'!$N$4:$N$810),NA()))</f>
        <v>862.22294373677494</v>
      </c>
      <c r="U302">
        <f>IF($J302&gt;MAX('Match Log'!$A$4:$A$810),NA(),IFERROR(LOOKUP(2,1/(('Match Log'!$D$4:$D$810=$U$24)*('Match Log'!$A$4:$A$810&lt;=$J302)),'Match Log'!$N$4:$N$810),NA()))</f>
        <v>964.8166477307185</v>
      </c>
      <c r="V302">
        <f>IF($J302&gt;MAX('Match Log'!$A$4:$A$810),NA(),IFERROR(LOOKUP(2,1/(('Match Log'!$D$4:$D$810=$V$24)*('Match Log'!$A$4:$A$810&lt;=$J302)),'Match Log'!$N$4:$N$810),NA()))</f>
        <v>1087.5488947064855</v>
      </c>
      <c r="W302">
        <f>IF($J302&gt;MAX('Match Log'!$A$4:$A$810),NA(),IFERROR(LOOKUP(2,1/(('Match Log'!$D$4:$D$810=$W$24)*('Match Log'!$A$4:$A$810&lt;=$J302)),'Match Log'!$N$4:$N$810),NA()))</f>
        <v>1023.2192605207141</v>
      </c>
      <c r="X302" t="e">
        <f>IF($J302&gt;MAX('Match Log'!$A$4:$A$810),NA(),IFERROR(LOOKUP(2,1/(('Match Log'!$D$4:$D$810=$X$24)*('Match Log'!$A$4:$A$810&lt;=$J302)),'Match Log'!$N$4:$N$810),NA()))</f>
        <v>#N/A</v>
      </c>
      <c r="Y302" t="str">
        <f t="shared" ca="1" si="30"/>
        <v/>
      </c>
    </row>
    <row r="303" spans="1:25" x14ac:dyDescent="0.2">
      <c r="A303">
        <v>279</v>
      </c>
      <c r="B303">
        <f>IFERROR(INDEX('Match Log'!$B$4:$B$810,MATCH(279,'Match Log'!$A$4:$A$810,0)),"")</f>
        <v>46271</v>
      </c>
      <c r="C303" t="str">
        <f>IFERROR(INDEX('Match Log'!$C$4:$C$810,MATCH(279,'Match Log'!$A$4:$A$810,0)),"")</f>
        <v>Back Yard Putt Putt</v>
      </c>
      <c r="D303" t="str">
        <f t="array" ref="D303">IFERROR(_xlfn.TEXTJOIN(" + ",TRUE(),IF(('Match Log'!$A$4:$A$810=$A303)*('Match Log'!$E$4:$E$810="Win"),'Match Log'!$D$4:$D$810,"")),IFERROR(LOOKUP(2,1/(('Match Log'!$A$4:$A$810=$A303)*('Match Log'!$E$4:$E$810="Win")),'Match Log'!$D$4:$D$810),""))</f>
        <v>Simon</v>
      </c>
      <c r="E303">
        <f>IFERROR(INDEX('Match Log'!$F$4:$F$810,MATCH(279,'Match Log'!$A$4:$A$810,0)),"")</f>
        <v>3</v>
      </c>
      <c r="F303">
        <f>IFERROR(SUMIFS('Match Log'!$I$4:$I$810,'Match Log'!$A$4:$A$810,279,'Match Log'!$E$4:$E$810,"Win"),"")</f>
        <v>0.25</v>
      </c>
      <c r="G303">
        <f t="shared" si="28"/>
        <v>0.25</v>
      </c>
      <c r="H303" t="str">
        <f t="array" ref="H303">IFERROR(IF(COUNTIFS('Match Log'!$A$4:$A$810,$A303,'Match Log'!$E$4:$E$810,"Win")&gt;1,_xlfn.TEXTJOIN(" + ",TRUE(),IF(('Match Log'!$A$4:$A$810=$A303)*('Match Log'!$E$4:$E$810="Loss"),'Match Log'!$D$4:$D$810,"")),IF($E303=2,LOOKUP(2,1/(('Match Log'!$A$4:$A$810=$A303)*('Match Log'!$E$4:$E$810="Loss")),'Match Log'!$D$4:$D$810),"the field")),"")</f>
        <v>the field</v>
      </c>
      <c r="I303">
        <f t="shared" si="29"/>
        <v>0.249721</v>
      </c>
      <c r="J303">
        <v>279</v>
      </c>
      <c r="K303">
        <f>IF($J303&gt;MAX('Match Log'!$A$4:$A$810),NA(),IFERROR(LOOKUP(2,1/(('Match Log'!$D$4:$D$810=$K$24)*('Match Log'!$A$4:$A$810&lt;=$J303)),'Match Log'!$N$4:$N$810),NA()))</f>
        <v>1265.5221853966827</v>
      </c>
      <c r="L303">
        <f>IF($J303&gt;MAX('Match Log'!$A$4:$A$810),NA(),IFERROR(LOOKUP(2,1/(('Match Log'!$D$4:$D$810=$L$24)*('Match Log'!$A$4:$A$810&lt;=$J303)),'Match Log'!$N$4:$N$810),NA()))</f>
        <v>1029.5175965335138</v>
      </c>
      <c r="M303">
        <f>IF($J303&gt;MAX('Match Log'!$A$4:$A$810),NA(),IFERROR(LOOKUP(2,1/(('Match Log'!$D$4:$D$810=$M$24)*('Match Log'!$A$4:$A$810&lt;=$J303)),'Match Log'!$N$4:$N$810),NA()))</f>
        <v>1098.8851304702137</v>
      </c>
      <c r="N303">
        <f>IF($J303&gt;MAX('Match Log'!$A$4:$A$810),NA(),IFERROR(LOOKUP(2,1/(('Match Log'!$D$4:$D$810=$N$24)*('Match Log'!$A$4:$A$810&lt;=$J303)),'Match Log'!$N$4:$N$810),NA()))</f>
        <v>907.03133644117429</v>
      </c>
      <c r="O303">
        <f>IF($J303&gt;MAX('Match Log'!$A$4:$A$810),NA(),IFERROR(LOOKUP(2,1/(('Match Log'!$D$4:$D$810=$O$24)*('Match Log'!$A$4:$A$810&lt;=$J303)),'Match Log'!$N$4:$N$810),NA()))</f>
        <v>1155.9112046633588</v>
      </c>
      <c r="P303">
        <f>IF($J303&gt;MAX('Match Log'!$A$4:$A$810),NA(),IFERROR(LOOKUP(2,1/(('Match Log'!$D$4:$D$810=$P$24)*('Match Log'!$A$4:$A$810&lt;=$J303)),'Match Log'!$N$4:$N$810),NA()))</f>
        <v>1302.8395406967643</v>
      </c>
      <c r="Q303">
        <f>IF($J303&gt;MAX('Match Log'!$A$4:$A$810),NA(),IFERROR(LOOKUP(2,1/(('Match Log'!$D$4:$D$810=$Q$24)*('Match Log'!$A$4:$A$810&lt;=$J303)),'Match Log'!$N$4:$N$810),NA()))</f>
        <v>1124.4025249448839</v>
      </c>
      <c r="R303">
        <f>IF($J303&gt;MAX('Match Log'!$A$4:$A$810),NA(),IFERROR(LOOKUP(2,1/(('Match Log'!$D$4:$D$810=$R$24)*('Match Log'!$A$4:$A$810&lt;=$J303)),'Match Log'!$N$4:$N$810),NA()))</f>
        <v>1007.7369116310465</v>
      </c>
      <c r="S303">
        <f>IF($J303&gt;MAX('Match Log'!$A$4:$A$810),NA(),IFERROR(LOOKUP(2,1/(('Match Log'!$D$4:$D$810=$S$24)*('Match Log'!$A$4:$A$810&lt;=$J303)),'Match Log'!$N$4:$N$810),NA()))</f>
        <v>1248.9288111472574</v>
      </c>
      <c r="T303">
        <f>IF($J303&gt;MAX('Match Log'!$A$4:$A$810),NA(),IFERROR(LOOKUP(2,1/(('Match Log'!$D$4:$D$810=$T$24)*('Match Log'!$A$4:$A$810&lt;=$J303)),'Match Log'!$N$4:$N$810),NA()))</f>
        <v>862.22294373677494</v>
      </c>
      <c r="U303">
        <f>IF($J303&gt;MAX('Match Log'!$A$4:$A$810),NA(),IFERROR(LOOKUP(2,1/(('Match Log'!$D$4:$D$810=$U$24)*('Match Log'!$A$4:$A$810&lt;=$J303)),'Match Log'!$N$4:$N$810),NA()))</f>
        <v>959.23365911112899</v>
      </c>
      <c r="V303">
        <f>IF($J303&gt;MAX('Match Log'!$A$4:$A$810),NA(),IFERROR(LOOKUP(2,1/(('Match Log'!$D$4:$D$810=$V$24)*('Match Log'!$A$4:$A$810&lt;=$J303)),'Match Log'!$N$4:$N$810),NA()))</f>
        <v>1087.5488947064855</v>
      </c>
      <c r="W303">
        <f>IF($J303&gt;MAX('Match Log'!$A$4:$A$810),NA(),IFERROR(LOOKUP(2,1/(('Match Log'!$D$4:$D$810=$W$24)*('Match Log'!$A$4:$A$810&lt;=$J303)),'Match Log'!$N$4:$N$810),NA()))</f>
        <v>1023.2192605207141</v>
      </c>
      <c r="X303" t="e">
        <f>IF($J303&gt;MAX('Match Log'!$A$4:$A$810),NA(),IFERROR(LOOKUP(2,1/(('Match Log'!$D$4:$D$810=$X$24)*('Match Log'!$A$4:$A$810&lt;=$J303)),'Match Log'!$N$4:$N$810),NA()))</f>
        <v>#N/A</v>
      </c>
      <c r="Y303" t="str">
        <f t="shared" ca="1" si="30"/>
        <v/>
      </c>
    </row>
    <row r="304" spans="1:25" x14ac:dyDescent="0.2">
      <c r="A304">
        <v>280</v>
      </c>
      <c r="B304">
        <f>IFERROR(INDEX('Match Log'!$B$4:$B$810,MATCH(280,'Match Log'!$A$4:$A$810,0)),"")</f>
        <v>46271</v>
      </c>
      <c r="C304" t="str">
        <f>IFERROR(INDEX('Match Log'!$C$4:$C$810,MATCH(280,'Match Log'!$A$4:$A$810,0)),"")</f>
        <v>Back Yard Putt Putt</v>
      </c>
      <c r="D304" t="str">
        <f t="array" ref="D304">IFERROR(_xlfn.TEXTJOIN(" + ",TRUE(),IF(('Match Log'!$A$4:$A$810=$A304)*('Match Log'!$E$4:$E$810="Win"),'Match Log'!$D$4:$D$810,"")),IFERROR(LOOKUP(2,1/(('Match Log'!$A$4:$A$810=$A304)*('Match Log'!$E$4:$E$810="Win")),'Match Log'!$D$4:$D$810),""))</f>
        <v>Simon</v>
      </c>
      <c r="E304">
        <f>IFERROR(INDEX('Match Log'!$F$4:$F$810,MATCH(280,'Match Log'!$A$4:$A$810,0)),"")</f>
        <v>3</v>
      </c>
      <c r="F304">
        <f>IFERROR(SUMIFS('Match Log'!$I$4:$I$810,'Match Log'!$A$4:$A$810,280,'Match Log'!$E$4:$E$810,"Win"),"")</f>
        <v>0.4</v>
      </c>
      <c r="G304">
        <f t="shared" si="28"/>
        <v>-0.20000000000000018</v>
      </c>
      <c r="H304" t="str">
        <f t="array" ref="H304">IFERROR(IF(COUNTIFS('Match Log'!$A$4:$A$810,$A304,'Match Log'!$E$4:$E$810,"Win")&gt;1,_xlfn.TEXTJOIN(" + ",TRUE(),IF(('Match Log'!$A$4:$A$810=$A304)*('Match Log'!$E$4:$E$810="Loss"),'Match Log'!$D$4:$D$810,"")),IF($E304=2,LOOKUP(2,1/(('Match Log'!$A$4:$A$810=$A304)*('Match Log'!$E$4:$E$810="Loss")),'Match Log'!$D$4:$D$810),"the field")),"")</f>
        <v>the field</v>
      </c>
      <c r="I304">
        <f t="shared" si="29"/>
        <v>-0.20028000000000018</v>
      </c>
      <c r="J304">
        <v>280</v>
      </c>
      <c r="K304">
        <f>IF($J304&gt;MAX('Match Log'!$A$4:$A$810),NA(),IFERROR(LOOKUP(2,1/(('Match Log'!$D$4:$D$810=$K$24)*('Match Log'!$A$4:$A$810&lt;=$J304)),'Match Log'!$N$4:$N$810),NA()))</f>
        <v>1265.5221853966827</v>
      </c>
      <c r="L304">
        <f>IF($J304&gt;MAX('Match Log'!$A$4:$A$810),NA(),IFERROR(LOOKUP(2,1/(('Match Log'!$D$4:$D$810=$L$24)*('Match Log'!$A$4:$A$810&lt;=$J304)),'Match Log'!$N$4:$N$810),NA()))</f>
        <v>1029.5175965335138</v>
      </c>
      <c r="M304">
        <f>IF($J304&gt;MAX('Match Log'!$A$4:$A$810),NA(),IFERROR(LOOKUP(2,1/(('Match Log'!$D$4:$D$810=$M$24)*('Match Log'!$A$4:$A$810&lt;=$J304)),'Match Log'!$N$4:$N$810),NA()))</f>
        <v>1098.8851304702137</v>
      </c>
      <c r="N304">
        <f>IF($J304&gt;MAX('Match Log'!$A$4:$A$810),NA(),IFERROR(LOOKUP(2,1/(('Match Log'!$D$4:$D$810=$N$24)*('Match Log'!$A$4:$A$810&lt;=$J304)),'Match Log'!$N$4:$N$810),NA()))</f>
        <v>907.03133644117429</v>
      </c>
      <c r="O304">
        <f>IF($J304&gt;MAX('Match Log'!$A$4:$A$810),NA(),IFERROR(LOOKUP(2,1/(('Match Log'!$D$4:$D$810=$O$24)*('Match Log'!$A$4:$A$810&lt;=$J304)),'Match Log'!$N$4:$N$810),NA()))</f>
        <v>1155.9112046633588</v>
      </c>
      <c r="P304">
        <f>IF($J304&gt;MAX('Match Log'!$A$4:$A$810),NA(),IFERROR(LOOKUP(2,1/(('Match Log'!$D$4:$D$810=$P$24)*('Match Log'!$A$4:$A$810&lt;=$J304)),'Match Log'!$N$4:$N$810),NA()))</f>
        <v>1290.2360747990879</v>
      </c>
      <c r="Q304">
        <f>IF($J304&gt;MAX('Match Log'!$A$4:$A$810),NA(),IFERROR(LOOKUP(2,1/(('Match Log'!$D$4:$D$810=$Q$24)*('Match Log'!$A$4:$A$810&lt;=$J304)),'Match Log'!$N$4:$N$810),NA()))</f>
        <v>1150.6459877730351</v>
      </c>
      <c r="R304">
        <f>IF($J304&gt;MAX('Match Log'!$A$4:$A$810),NA(),IFERROR(LOOKUP(2,1/(('Match Log'!$D$4:$D$810=$R$24)*('Match Log'!$A$4:$A$810&lt;=$J304)),'Match Log'!$N$4:$N$810),NA()))</f>
        <v>1007.7369116310465</v>
      </c>
      <c r="S304">
        <f>IF($J304&gt;MAX('Match Log'!$A$4:$A$810),NA(),IFERROR(LOOKUP(2,1/(('Match Log'!$D$4:$D$810=$S$24)*('Match Log'!$A$4:$A$810&lt;=$J304)),'Match Log'!$N$4:$N$810),NA()))</f>
        <v>1248.9288111472574</v>
      </c>
      <c r="T304">
        <f>IF($J304&gt;MAX('Match Log'!$A$4:$A$810),NA(),IFERROR(LOOKUP(2,1/(('Match Log'!$D$4:$D$810=$T$24)*('Match Log'!$A$4:$A$810&lt;=$J304)),'Match Log'!$N$4:$N$810),NA()))</f>
        <v>862.22294373677494</v>
      </c>
      <c r="U304">
        <f>IF($J304&gt;MAX('Match Log'!$A$4:$A$810),NA(),IFERROR(LOOKUP(2,1/(('Match Log'!$D$4:$D$810=$U$24)*('Match Log'!$A$4:$A$810&lt;=$J304)),'Match Log'!$N$4:$N$810),NA()))</f>
        <v>954.59366218065418</v>
      </c>
      <c r="V304">
        <f>IF($J304&gt;MAX('Match Log'!$A$4:$A$810),NA(),IFERROR(LOOKUP(2,1/(('Match Log'!$D$4:$D$810=$V$24)*('Match Log'!$A$4:$A$810&lt;=$J304)),'Match Log'!$N$4:$N$810),NA()))</f>
        <v>1087.5488947064855</v>
      </c>
      <c r="W304">
        <f>IF($J304&gt;MAX('Match Log'!$A$4:$A$810),NA(),IFERROR(LOOKUP(2,1/(('Match Log'!$D$4:$D$810=$W$24)*('Match Log'!$A$4:$A$810&lt;=$J304)),'Match Log'!$N$4:$N$810),NA()))</f>
        <v>1023.2192605207141</v>
      </c>
      <c r="X304" t="e">
        <f>IF($J304&gt;MAX('Match Log'!$A$4:$A$810),NA(),IFERROR(LOOKUP(2,1/(('Match Log'!$D$4:$D$810=$X$24)*('Match Log'!$A$4:$A$810&lt;=$J304)),'Match Log'!$N$4:$N$810),NA()))</f>
        <v>#N/A</v>
      </c>
      <c r="Y304" t="str">
        <f t="shared" ca="1" si="30"/>
        <v/>
      </c>
    </row>
    <row r="305" spans="1:25" x14ac:dyDescent="0.2">
      <c r="A305">
        <v>281</v>
      </c>
      <c r="B305">
        <f>IFERROR(INDEX('Match Log'!$B$4:$B$810,MATCH(281,'Match Log'!$A$4:$A$810,0)),"")</f>
        <v>46271</v>
      </c>
      <c r="C305" t="str">
        <f>IFERROR(INDEX('Match Log'!$C$4:$C$810,MATCH(281,'Match Log'!$A$4:$A$810,0)),"")</f>
        <v>Back Yard Putt Putt</v>
      </c>
      <c r="D305" t="str">
        <f t="array" ref="D305">IFERROR(_xlfn.TEXTJOIN(" + ",TRUE(),IF(('Match Log'!$A$4:$A$810=$A305)*('Match Log'!$E$4:$E$810="Win"),'Match Log'!$D$4:$D$810,"")),IFERROR(LOOKUP(2,1/(('Match Log'!$A$4:$A$810=$A305)*('Match Log'!$E$4:$E$810="Win")),'Match Log'!$D$4:$D$810),""))</f>
        <v>Simon</v>
      </c>
      <c r="E305">
        <f>IFERROR(INDEX('Match Log'!$F$4:$F$810,MATCH(281,'Match Log'!$A$4:$A$810,0)),"")</f>
        <v>3</v>
      </c>
      <c r="F305">
        <f>IFERROR(SUMIFS('Match Log'!$I$4:$I$810,'Match Log'!$A$4:$A$810,281,'Match Log'!$E$4:$E$810,"Win"),"")</f>
        <v>0.5</v>
      </c>
      <c r="G305">
        <f t="shared" si="28"/>
        <v>-0.5</v>
      </c>
      <c r="H305" t="str">
        <f t="array" ref="H305">IFERROR(IF(COUNTIFS('Match Log'!$A$4:$A$810,$A305,'Match Log'!$E$4:$E$810,"Win")&gt;1,_xlfn.TEXTJOIN(" + ",TRUE(),IF(('Match Log'!$A$4:$A$810=$A305)*('Match Log'!$E$4:$E$810="Loss"),'Match Log'!$D$4:$D$810,"")),IF($E305=2,LOOKUP(2,1/(('Match Log'!$A$4:$A$810=$A305)*('Match Log'!$E$4:$E$810="Loss")),'Match Log'!$D$4:$D$810),"the field")),"")</f>
        <v>the field</v>
      </c>
      <c r="I305">
        <f t="shared" si="29"/>
        <v>-0.50028099999999998</v>
      </c>
      <c r="J305">
        <v>281</v>
      </c>
      <c r="K305">
        <f>IF($J305&gt;MAX('Match Log'!$A$4:$A$810),NA(),IFERROR(LOOKUP(2,1/(('Match Log'!$D$4:$D$810=$K$24)*('Match Log'!$A$4:$A$810&lt;=$J305)),'Match Log'!$N$4:$N$810),NA()))</f>
        <v>1265.5221853966827</v>
      </c>
      <c r="L305">
        <f>IF($J305&gt;MAX('Match Log'!$A$4:$A$810),NA(),IFERROR(LOOKUP(2,1/(('Match Log'!$D$4:$D$810=$L$24)*('Match Log'!$A$4:$A$810&lt;=$J305)),'Match Log'!$N$4:$N$810),NA()))</f>
        <v>1029.5175965335138</v>
      </c>
      <c r="M305">
        <f>IF($J305&gt;MAX('Match Log'!$A$4:$A$810),NA(),IFERROR(LOOKUP(2,1/(('Match Log'!$D$4:$D$810=$M$24)*('Match Log'!$A$4:$A$810&lt;=$J305)),'Match Log'!$N$4:$N$810),NA()))</f>
        <v>1098.8851304702137</v>
      </c>
      <c r="N305">
        <f>IF($J305&gt;MAX('Match Log'!$A$4:$A$810),NA(),IFERROR(LOOKUP(2,1/(('Match Log'!$D$4:$D$810=$N$24)*('Match Log'!$A$4:$A$810&lt;=$J305)),'Match Log'!$N$4:$N$810),NA()))</f>
        <v>907.03133644117429</v>
      </c>
      <c r="O305">
        <f>IF($J305&gt;MAX('Match Log'!$A$4:$A$810),NA(),IFERROR(LOOKUP(2,1/(('Match Log'!$D$4:$D$810=$O$24)*('Match Log'!$A$4:$A$810&lt;=$J305)),'Match Log'!$N$4:$N$810),NA()))</f>
        <v>1155.9112046633588</v>
      </c>
      <c r="P305">
        <f>IF($J305&gt;MAX('Match Log'!$A$4:$A$810),NA(),IFERROR(LOOKUP(2,1/(('Match Log'!$D$4:$D$810=$P$24)*('Match Log'!$A$4:$A$810&lt;=$J305)),'Match Log'!$N$4:$N$810),NA()))</f>
        <v>1279.4683066115135</v>
      </c>
      <c r="Q305">
        <f>IF($J305&gt;MAX('Match Log'!$A$4:$A$810),NA(),IFERROR(LOOKUP(2,1/(('Match Log'!$D$4:$D$810=$Q$24)*('Match Log'!$A$4:$A$810&lt;=$J305)),'Match Log'!$N$4:$N$810),NA()))</f>
        <v>1174.3479488372172</v>
      </c>
      <c r="R305">
        <f>IF($J305&gt;MAX('Match Log'!$A$4:$A$810),NA(),IFERROR(LOOKUP(2,1/(('Match Log'!$D$4:$D$810=$R$24)*('Match Log'!$A$4:$A$810&lt;=$J305)),'Match Log'!$N$4:$N$810),NA()))</f>
        <v>1007.7369116310465</v>
      </c>
      <c r="S305">
        <f>IF($J305&gt;MAX('Match Log'!$A$4:$A$810),NA(),IFERROR(LOOKUP(2,1/(('Match Log'!$D$4:$D$810=$S$24)*('Match Log'!$A$4:$A$810&lt;=$J305)),'Match Log'!$N$4:$N$810),NA()))</f>
        <v>1248.9288111472574</v>
      </c>
      <c r="T305">
        <f>IF($J305&gt;MAX('Match Log'!$A$4:$A$810),NA(),IFERROR(LOOKUP(2,1/(('Match Log'!$D$4:$D$810=$T$24)*('Match Log'!$A$4:$A$810&lt;=$J305)),'Match Log'!$N$4:$N$810),NA()))</f>
        <v>862.22294373677494</v>
      </c>
      <c r="U305">
        <f>IF($J305&gt;MAX('Match Log'!$A$4:$A$810),NA(),IFERROR(LOOKUP(2,1/(('Match Log'!$D$4:$D$810=$U$24)*('Match Log'!$A$4:$A$810&lt;=$J305)),'Match Log'!$N$4:$N$810),NA()))</f>
        <v>950.65946930404652</v>
      </c>
      <c r="V305">
        <f>IF($J305&gt;MAX('Match Log'!$A$4:$A$810),NA(),IFERROR(LOOKUP(2,1/(('Match Log'!$D$4:$D$810=$V$24)*('Match Log'!$A$4:$A$810&lt;=$J305)),'Match Log'!$N$4:$N$810),NA()))</f>
        <v>1087.5488947064855</v>
      </c>
      <c r="W305">
        <f>IF($J305&gt;MAX('Match Log'!$A$4:$A$810),NA(),IFERROR(LOOKUP(2,1/(('Match Log'!$D$4:$D$810=$W$24)*('Match Log'!$A$4:$A$810&lt;=$J305)),'Match Log'!$N$4:$N$810),NA()))</f>
        <v>1023.2192605207141</v>
      </c>
      <c r="X305" t="e">
        <f>IF($J305&gt;MAX('Match Log'!$A$4:$A$810),NA(),IFERROR(LOOKUP(2,1/(('Match Log'!$D$4:$D$810=$X$24)*('Match Log'!$A$4:$A$810&lt;=$J305)),'Match Log'!$N$4:$N$810),NA()))</f>
        <v>#N/A</v>
      </c>
      <c r="Y305" t="str">
        <f t="shared" ca="1" si="30"/>
        <v/>
      </c>
    </row>
    <row r="306" spans="1:25" x14ac:dyDescent="0.2">
      <c r="A306">
        <v>282</v>
      </c>
      <c r="B306">
        <f>IFERROR(INDEX('Match Log'!$B$4:$B$810,MATCH(282,'Match Log'!$A$4:$A$810,0)),"")</f>
        <v>46271</v>
      </c>
      <c r="C306" t="str">
        <f>IFERROR(INDEX('Match Log'!$C$4:$C$810,MATCH(282,'Match Log'!$A$4:$A$810,0)),"")</f>
        <v>Back Yard Putt Putt</v>
      </c>
      <c r="D306" t="str">
        <f t="array" ref="D306">IFERROR(_xlfn.TEXTJOIN(" + ",TRUE(),IF(('Match Log'!$A$4:$A$810=$A306)*('Match Log'!$E$4:$E$810="Win"),'Match Log'!$D$4:$D$810,"")),IFERROR(LOOKUP(2,1/(('Match Log'!$A$4:$A$810=$A306)*('Match Log'!$E$4:$E$810="Win")),'Match Log'!$D$4:$D$810),""))</f>
        <v>Simon</v>
      </c>
      <c r="E306">
        <f>IFERROR(INDEX('Match Log'!$F$4:$F$810,MATCH(282,'Match Log'!$A$4:$A$810,0)),"")</f>
        <v>3</v>
      </c>
      <c r="F306">
        <f>IFERROR(SUMIFS('Match Log'!$I$4:$I$810,'Match Log'!$A$4:$A$810,282,'Match Log'!$E$4:$E$810,"Win"),"")</f>
        <v>0.5714285714285714</v>
      </c>
      <c r="G306">
        <f t="shared" si="28"/>
        <v>-0.71428571428571419</v>
      </c>
      <c r="H306" t="str">
        <f t="array" ref="H306">IFERROR(IF(COUNTIFS('Match Log'!$A$4:$A$810,$A306,'Match Log'!$E$4:$E$810,"Win")&gt;1,_xlfn.TEXTJOIN(" + ",TRUE(),IF(('Match Log'!$A$4:$A$810=$A306)*('Match Log'!$E$4:$E$810="Loss"),'Match Log'!$D$4:$D$810,"")),IF($E306=2,LOOKUP(2,1/(('Match Log'!$A$4:$A$810=$A306)*('Match Log'!$E$4:$E$810="Loss")),'Match Log'!$D$4:$D$810),"the field")),"")</f>
        <v>the field</v>
      </c>
      <c r="I306">
        <f t="shared" si="29"/>
        <v>-0.7145677142857142</v>
      </c>
      <c r="J306">
        <v>282</v>
      </c>
      <c r="K306">
        <f>IF($J306&gt;MAX('Match Log'!$A$4:$A$810),NA(),IFERROR(LOOKUP(2,1/(('Match Log'!$D$4:$D$810=$K$24)*('Match Log'!$A$4:$A$810&lt;=$J306)),'Match Log'!$N$4:$N$810),NA()))</f>
        <v>1265.5221853966827</v>
      </c>
      <c r="L306">
        <f>IF($J306&gt;MAX('Match Log'!$A$4:$A$810),NA(),IFERROR(LOOKUP(2,1/(('Match Log'!$D$4:$D$810=$L$24)*('Match Log'!$A$4:$A$810&lt;=$J306)),'Match Log'!$N$4:$N$810),NA()))</f>
        <v>1029.5175965335138</v>
      </c>
      <c r="M306">
        <f>IF($J306&gt;MAX('Match Log'!$A$4:$A$810),NA(),IFERROR(LOOKUP(2,1/(('Match Log'!$D$4:$D$810=$M$24)*('Match Log'!$A$4:$A$810&lt;=$J306)),'Match Log'!$N$4:$N$810),NA()))</f>
        <v>1098.8851304702137</v>
      </c>
      <c r="N306">
        <f>IF($J306&gt;MAX('Match Log'!$A$4:$A$810),NA(),IFERROR(LOOKUP(2,1/(('Match Log'!$D$4:$D$810=$N$24)*('Match Log'!$A$4:$A$810&lt;=$J306)),'Match Log'!$N$4:$N$810),NA()))</f>
        <v>907.03133644117429</v>
      </c>
      <c r="O306">
        <f>IF($J306&gt;MAX('Match Log'!$A$4:$A$810),NA(),IFERROR(LOOKUP(2,1/(('Match Log'!$D$4:$D$810=$O$24)*('Match Log'!$A$4:$A$810&lt;=$J306)),'Match Log'!$N$4:$N$810),NA()))</f>
        <v>1155.9112046633588</v>
      </c>
      <c r="P306">
        <f>IF($J306&gt;MAX('Match Log'!$A$4:$A$810),NA(),IFERROR(LOOKUP(2,1/(('Match Log'!$D$4:$D$810=$P$24)*('Match Log'!$A$4:$A$810&lt;=$J306)),'Match Log'!$N$4:$N$810),NA()))</f>
        <v>1270.1720409968057</v>
      </c>
      <c r="Q306">
        <f>IF($J306&gt;MAX('Match Log'!$A$4:$A$810),NA(),IFERROR(LOOKUP(2,1/(('Match Log'!$D$4:$D$810=$Q$24)*('Match Log'!$A$4:$A$810&lt;=$J306)),'Match Log'!$N$4:$N$810),NA()))</f>
        <v>1196.0128280089295</v>
      </c>
      <c r="R306">
        <f>IF($J306&gt;MAX('Match Log'!$A$4:$A$810),NA(),IFERROR(LOOKUP(2,1/(('Match Log'!$D$4:$D$810=$R$24)*('Match Log'!$A$4:$A$810&lt;=$J306)),'Match Log'!$N$4:$N$810),NA()))</f>
        <v>1007.7369116310465</v>
      </c>
      <c r="S306">
        <f>IF($J306&gt;MAX('Match Log'!$A$4:$A$810),NA(),IFERROR(LOOKUP(2,1/(('Match Log'!$D$4:$D$810=$S$24)*('Match Log'!$A$4:$A$810&lt;=$J306)),'Match Log'!$N$4:$N$810),NA()))</f>
        <v>1248.9288111472574</v>
      </c>
      <c r="T306">
        <f>IF($J306&gt;MAX('Match Log'!$A$4:$A$810),NA(),IFERROR(LOOKUP(2,1/(('Match Log'!$D$4:$D$810=$T$24)*('Match Log'!$A$4:$A$810&lt;=$J306)),'Match Log'!$N$4:$N$810),NA()))</f>
        <v>862.22294373677494</v>
      </c>
      <c r="U306">
        <f>IF($J306&gt;MAX('Match Log'!$A$4:$A$810),NA(),IFERROR(LOOKUP(2,1/(('Match Log'!$D$4:$D$810=$U$24)*('Match Log'!$A$4:$A$810&lt;=$J306)),'Match Log'!$N$4:$N$810),NA()))</f>
        <v>947.29085574704209</v>
      </c>
      <c r="V306">
        <f>IF($J306&gt;MAX('Match Log'!$A$4:$A$810),NA(),IFERROR(LOOKUP(2,1/(('Match Log'!$D$4:$D$810=$V$24)*('Match Log'!$A$4:$A$810&lt;=$J306)),'Match Log'!$N$4:$N$810),NA()))</f>
        <v>1087.5488947064855</v>
      </c>
      <c r="W306">
        <f>IF($J306&gt;MAX('Match Log'!$A$4:$A$810),NA(),IFERROR(LOOKUP(2,1/(('Match Log'!$D$4:$D$810=$W$24)*('Match Log'!$A$4:$A$810&lt;=$J306)),'Match Log'!$N$4:$N$810),NA()))</f>
        <v>1023.2192605207141</v>
      </c>
      <c r="X306" t="e">
        <f>IF($J306&gt;MAX('Match Log'!$A$4:$A$810),NA(),IFERROR(LOOKUP(2,1/(('Match Log'!$D$4:$D$810=$X$24)*('Match Log'!$A$4:$A$810&lt;=$J306)),'Match Log'!$N$4:$N$810),NA()))</f>
        <v>#N/A</v>
      </c>
      <c r="Y306" t="str">
        <f t="shared" ca="1" si="30"/>
        <v/>
      </c>
    </row>
    <row r="307" spans="1:25" x14ac:dyDescent="0.2">
      <c r="A307">
        <v>283</v>
      </c>
      <c r="B307">
        <f>IFERROR(INDEX('Match Log'!$B$4:$B$810,MATCH(283,'Match Log'!$A$4:$A$810,0)),"")</f>
        <v>46271</v>
      </c>
      <c r="C307" t="str">
        <f>IFERROR(INDEX('Match Log'!$C$4:$C$810,MATCH(283,'Match Log'!$A$4:$A$810,0)),"")</f>
        <v>Back Yard Putt Putt</v>
      </c>
      <c r="D307" t="str">
        <f t="array" ref="D307">IFERROR(_xlfn.TEXTJOIN(" + ",TRUE(),IF(('Match Log'!$A$4:$A$810=$A307)*('Match Log'!$E$4:$E$810="Win"),'Match Log'!$D$4:$D$810,"")),IFERROR(LOOKUP(2,1/(('Match Log'!$A$4:$A$810=$A307)*('Match Log'!$E$4:$E$810="Win")),'Match Log'!$D$4:$D$810),""))</f>
        <v>Simon</v>
      </c>
      <c r="E307">
        <f>IFERROR(INDEX('Match Log'!$F$4:$F$810,MATCH(283,'Match Log'!$A$4:$A$810,0)),"")</f>
        <v>3</v>
      </c>
      <c r="F307">
        <f>IFERROR(SUMIFS('Match Log'!$I$4:$I$810,'Match Log'!$A$4:$A$810,283,'Match Log'!$E$4:$E$810,"Win"),"")</f>
        <v>0.625</v>
      </c>
      <c r="G307">
        <f t="shared" si="28"/>
        <v>-0.875</v>
      </c>
      <c r="H307" t="str">
        <f t="array" ref="H307">IFERROR(IF(COUNTIFS('Match Log'!$A$4:$A$810,$A307,'Match Log'!$E$4:$E$810,"Win")&gt;1,_xlfn.TEXTJOIN(" + ",TRUE(),IF(('Match Log'!$A$4:$A$810=$A307)*('Match Log'!$E$4:$E$810="Loss"),'Match Log'!$D$4:$D$810,"")),IF($E307=2,LOOKUP(2,1/(('Match Log'!$A$4:$A$810=$A307)*('Match Log'!$E$4:$E$810="Loss")),'Match Log'!$D$4:$D$810),"the field")),"")</f>
        <v>the field</v>
      </c>
      <c r="I307">
        <f t="shared" si="29"/>
        <v>-0.87528300000000003</v>
      </c>
      <c r="J307">
        <v>283</v>
      </c>
      <c r="K307">
        <f>IF($J307&gt;MAX('Match Log'!$A$4:$A$810),NA(),IFERROR(LOOKUP(2,1/(('Match Log'!$D$4:$D$810=$K$24)*('Match Log'!$A$4:$A$810&lt;=$J307)),'Match Log'!$N$4:$N$810),NA()))</f>
        <v>1265.5221853966827</v>
      </c>
      <c r="L307">
        <f>IF($J307&gt;MAX('Match Log'!$A$4:$A$810),NA(),IFERROR(LOOKUP(2,1/(('Match Log'!$D$4:$D$810=$L$24)*('Match Log'!$A$4:$A$810&lt;=$J307)),'Match Log'!$N$4:$N$810),NA()))</f>
        <v>1029.5175965335138</v>
      </c>
      <c r="M307">
        <f>IF($J307&gt;MAX('Match Log'!$A$4:$A$810),NA(),IFERROR(LOOKUP(2,1/(('Match Log'!$D$4:$D$810=$M$24)*('Match Log'!$A$4:$A$810&lt;=$J307)),'Match Log'!$N$4:$N$810),NA()))</f>
        <v>1098.8851304702137</v>
      </c>
      <c r="N307">
        <f>IF($J307&gt;MAX('Match Log'!$A$4:$A$810),NA(),IFERROR(LOOKUP(2,1/(('Match Log'!$D$4:$D$810=$N$24)*('Match Log'!$A$4:$A$810&lt;=$J307)),'Match Log'!$N$4:$N$810),NA()))</f>
        <v>907.03133644117429</v>
      </c>
      <c r="O307">
        <f>IF($J307&gt;MAX('Match Log'!$A$4:$A$810),NA(),IFERROR(LOOKUP(2,1/(('Match Log'!$D$4:$D$810=$O$24)*('Match Log'!$A$4:$A$810&lt;=$J307)),'Match Log'!$N$4:$N$810),NA()))</f>
        <v>1155.9112046633588</v>
      </c>
      <c r="P307">
        <f>IF($J307&gt;MAX('Match Log'!$A$4:$A$810),NA(),IFERROR(LOOKUP(2,1/(('Match Log'!$D$4:$D$810=$P$24)*('Match Log'!$A$4:$A$810&lt;=$J307)),'Match Log'!$N$4:$N$810),NA()))</f>
        <v>1262.0849962820685</v>
      </c>
      <c r="Q307">
        <f>IF($J307&gt;MAX('Match Log'!$A$4:$A$810),NA(),IFERROR(LOOKUP(2,1/(('Match Log'!$D$4:$D$810=$Q$24)*('Match Log'!$A$4:$A$810&lt;=$J307)),'Match Log'!$N$4:$N$810),NA()))</f>
        <v>1215.996181687143</v>
      </c>
      <c r="R307">
        <f>IF($J307&gt;MAX('Match Log'!$A$4:$A$810),NA(),IFERROR(LOOKUP(2,1/(('Match Log'!$D$4:$D$810=$R$24)*('Match Log'!$A$4:$A$810&lt;=$J307)),'Match Log'!$N$4:$N$810),NA()))</f>
        <v>1007.7369116310465</v>
      </c>
      <c r="S307">
        <f>IF($J307&gt;MAX('Match Log'!$A$4:$A$810),NA(),IFERROR(LOOKUP(2,1/(('Match Log'!$D$4:$D$810=$S$24)*('Match Log'!$A$4:$A$810&lt;=$J307)),'Match Log'!$N$4:$N$810),NA()))</f>
        <v>1248.9288111472574</v>
      </c>
      <c r="T307">
        <f>IF($J307&gt;MAX('Match Log'!$A$4:$A$810),NA(),IFERROR(LOOKUP(2,1/(('Match Log'!$D$4:$D$810=$T$24)*('Match Log'!$A$4:$A$810&lt;=$J307)),'Match Log'!$N$4:$N$810),NA()))</f>
        <v>862.22294373677494</v>
      </c>
      <c r="U307">
        <f>IF($J307&gt;MAX('Match Log'!$A$4:$A$810),NA(),IFERROR(LOOKUP(2,1/(('Match Log'!$D$4:$D$810=$U$24)*('Match Log'!$A$4:$A$810&lt;=$J307)),'Match Log'!$N$4:$N$810),NA()))</f>
        <v>944.39454678356583</v>
      </c>
      <c r="V307">
        <f>IF($J307&gt;MAX('Match Log'!$A$4:$A$810),NA(),IFERROR(LOOKUP(2,1/(('Match Log'!$D$4:$D$810=$V$24)*('Match Log'!$A$4:$A$810&lt;=$J307)),'Match Log'!$N$4:$N$810),NA()))</f>
        <v>1087.5488947064855</v>
      </c>
      <c r="W307">
        <f>IF($J307&gt;MAX('Match Log'!$A$4:$A$810),NA(),IFERROR(LOOKUP(2,1/(('Match Log'!$D$4:$D$810=$W$24)*('Match Log'!$A$4:$A$810&lt;=$J307)),'Match Log'!$N$4:$N$810),NA()))</f>
        <v>1023.2192605207141</v>
      </c>
      <c r="X307" t="e">
        <f>IF($J307&gt;MAX('Match Log'!$A$4:$A$810),NA(),IFERROR(LOOKUP(2,1/(('Match Log'!$D$4:$D$810=$X$24)*('Match Log'!$A$4:$A$810&lt;=$J307)),'Match Log'!$N$4:$N$810),NA()))</f>
        <v>#N/A</v>
      </c>
      <c r="Y307" t="str">
        <f t="shared" ca="1" si="30"/>
        <v/>
      </c>
    </row>
    <row r="308" spans="1:25" x14ac:dyDescent="0.2">
      <c r="A308">
        <v>284</v>
      </c>
      <c r="B308">
        <f>IFERROR(INDEX('Match Log'!$B$4:$B$810,MATCH(284,'Match Log'!$A$4:$A$810,0)),"")</f>
        <v>46272</v>
      </c>
      <c r="C308" t="str">
        <f>IFERROR(INDEX('Match Log'!$C$4:$C$810,MATCH(284,'Match Log'!$A$4:$A$810,0)),"")</f>
        <v>Pool</v>
      </c>
      <c r="D308" t="str">
        <f t="array" ref="D308">IFERROR(_xlfn.TEXTJOIN(" + ",TRUE(),IF(('Match Log'!$A$4:$A$810=$A308)*('Match Log'!$E$4:$E$810="Win"),'Match Log'!$D$4:$D$810,"")),IFERROR(LOOKUP(2,1/(('Match Log'!$A$4:$A$810=$A308)*('Match Log'!$E$4:$E$810="Win")),'Match Log'!$D$4:$D$810),""))</f>
        <v>Josh</v>
      </c>
      <c r="E308">
        <f>IFERROR(INDEX('Match Log'!$F$4:$F$810,MATCH(284,'Match Log'!$A$4:$A$810,0)),"")</f>
        <v>2</v>
      </c>
      <c r="F308">
        <f>IFERROR(SUMIFS('Match Log'!$I$4:$I$810,'Match Log'!$A$4:$A$810,284,'Match Log'!$E$4:$E$810,"Win"),"")</f>
        <v>0.33333333333333331</v>
      </c>
      <c r="G308">
        <f t="shared" si="28"/>
        <v>0.33333333333333337</v>
      </c>
      <c r="H308" t="str">
        <f t="array" ref="H308">IFERROR(IF(COUNTIFS('Match Log'!$A$4:$A$810,$A308,'Match Log'!$E$4:$E$810,"Win")&gt;1,_xlfn.TEXTJOIN(" + ",TRUE(),IF(('Match Log'!$A$4:$A$810=$A308)*('Match Log'!$E$4:$E$810="Loss"),'Match Log'!$D$4:$D$810,"")),IF($E308=2,LOOKUP(2,1/(('Match Log'!$A$4:$A$810=$A308)*('Match Log'!$E$4:$E$810="Loss")),'Match Log'!$D$4:$D$810),"the field")),"")</f>
        <v>Daniel (Ferret)</v>
      </c>
      <c r="I308">
        <f t="shared" si="29"/>
        <v>0.33304933333333336</v>
      </c>
      <c r="J308">
        <v>284</v>
      </c>
      <c r="K308">
        <f>IF($J308&gt;MAX('Match Log'!$A$4:$A$810),NA(),IFERROR(LOOKUP(2,1/(('Match Log'!$D$4:$D$810=$K$24)*('Match Log'!$A$4:$A$810&lt;=$J308)),'Match Log'!$N$4:$N$810),NA()))</f>
        <v>1265.5221853966827</v>
      </c>
      <c r="L308">
        <f>IF($J308&gt;MAX('Match Log'!$A$4:$A$810),NA(),IFERROR(LOOKUP(2,1/(('Match Log'!$D$4:$D$810=$L$24)*('Match Log'!$A$4:$A$810&lt;=$J308)),'Match Log'!$N$4:$N$810),NA()))</f>
        <v>1029.5175965335138</v>
      </c>
      <c r="M308">
        <f>IF($J308&gt;MAX('Match Log'!$A$4:$A$810),NA(),IFERROR(LOOKUP(2,1/(('Match Log'!$D$4:$D$810=$M$24)*('Match Log'!$A$4:$A$810&lt;=$J308)),'Match Log'!$N$4:$N$810),NA()))</f>
        <v>1098.8851304702137</v>
      </c>
      <c r="N308">
        <f>IF($J308&gt;MAX('Match Log'!$A$4:$A$810),NA(),IFERROR(LOOKUP(2,1/(('Match Log'!$D$4:$D$810=$N$24)*('Match Log'!$A$4:$A$810&lt;=$J308)),'Match Log'!$N$4:$N$810),NA()))</f>
        <v>907.03133644117429</v>
      </c>
      <c r="O308">
        <f>IF($J308&gt;MAX('Match Log'!$A$4:$A$810),NA(),IFERROR(LOOKUP(2,1/(('Match Log'!$D$4:$D$810=$O$24)*('Match Log'!$A$4:$A$810&lt;=$J308)),'Match Log'!$N$4:$N$810),NA()))</f>
        <v>1175.38115495639</v>
      </c>
      <c r="P308">
        <f>IF($J308&gt;MAX('Match Log'!$A$4:$A$810),NA(),IFERROR(LOOKUP(2,1/(('Match Log'!$D$4:$D$810=$P$24)*('Match Log'!$A$4:$A$810&lt;=$J308)),'Match Log'!$N$4:$N$810),NA()))</f>
        <v>1262.0849962820685</v>
      </c>
      <c r="Q308">
        <f>IF($J308&gt;MAX('Match Log'!$A$4:$A$810),NA(),IFERROR(LOOKUP(2,1/(('Match Log'!$D$4:$D$810=$Q$24)*('Match Log'!$A$4:$A$810&lt;=$J308)),'Match Log'!$N$4:$N$810),NA()))</f>
        <v>1215.996181687143</v>
      </c>
      <c r="R308">
        <f>IF($J308&gt;MAX('Match Log'!$A$4:$A$810),NA(),IFERROR(LOOKUP(2,1/(('Match Log'!$D$4:$D$810=$R$24)*('Match Log'!$A$4:$A$810&lt;=$J308)),'Match Log'!$N$4:$N$810),NA()))</f>
        <v>988.26696133801534</v>
      </c>
      <c r="S308">
        <f>IF($J308&gt;MAX('Match Log'!$A$4:$A$810),NA(),IFERROR(LOOKUP(2,1/(('Match Log'!$D$4:$D$810=$S$24)*('Match Log'!$A$4:$A$810&lt;=$J308)),'Match Log'!$N$4:$N$810),NA()))</f>
        <v>1248.9288111472574</v>
      </c>
      <c r="T308">
        <f>IF($J308&gt;MAX('Match Log'!$A$4:$A$810),NA(),IFERROR(LOOKUP(2,1/(('Match Log'!$D$4:$D$810=$T$24)*('Match Log'!$A$4:$A$810&lt;=$J308)),'Match Log'!$N$4:$N$810),NA()))</f>
        <v>862.22294373677494</v>
      </c>
      <c r="U308">
        <f>IF($J308&gt;MAX('Match Log'!$A$4:$A$810),NA(),IFERROR(LOOKUP(2,1/(('Match Log'!$D$4:$D$810=$U$24)*('Match Log'!$A$4:$A$810&lt;=$J308)),'Match Log'!$N$4:$N$810),NA()))</f>
        <v>944.39454678356583</v>
      </c>
      <c r="V308">
        <f>IF($J308&gt;MAX('Match Log'!$A$4:$A$810),NA(),IFERROR(LOOKUP(2,1/(('Match Log'!$D$4:$D$810=$V$24)*('Match Log'!$A$4:$A$810&lt;=$J308)),'Match Log'!$N$4:$N$810),NA()))</f>
        <v>1087.5488947064855</v>
      </c>
      <c r="W308">
        <f>IF($J308&gt;MAX('Match Log'!$A$4:$A$810),NA(),IFERROR(LOOKUP(2,1/(('Match Log'!$D$4:$D$810=$W$24)*('Match Log'!$A$4:$A$810&lt;=$J308)),'Match Log'!$N$4:$N$810),NA()))</f>
        <v>1023.2192605207141</v>
      </c>
      <c r="X308" t="e">
        <f>IF($J308&gt;MAX('Match Log'!$A$4:$A$810),NA(),IFERROR(LOOKUP(2,1/(('Match Log'!$D$4:$D$810=$X$24)*('Match Log'!$A$4:$A$810&lt;=$J308)),'Match Log'!$N$4:$N$810),NA()))</f>
        <v>#N/A</v>
      </c>
      <c r="Y308" t="str">
        <f t="shared" ca="1" si="30"/>
        <v/>
      </c>
    </row>
    <row r="309" spans="1:25" x14ac:dyDescent="0.2">
      <c r="A309">
        <v>285</v>
      </c>
      <c r="B309">
        <f>IFERROR(INDEX('Match Log'!$B$4:$B$810,MATCH(285,'Match Log'!$A$4:$A$810,0)),"")</f>
        <v>46272</v>
      </c>
      <c r="C309" t="str">
        <f>IFERROR(INDEX('Match Log'!$C$4:$C$810,MATCH(285,'Match Log'!$A$4:$A$810,0)),"")</f>
        <v>Pool</v>
      </c>
      <c r="D309" t="str">
        <f t="array" ref="D309">IFERROR(_xlfn.TEXTJOIN(" + ",TRUE(),IF(('Match Log'!$A$4:$A$810=$A309)*('Match Log'!$E$4:$E$810="Win"),'Match Log'!$D$4:$D$810,"")),IFERROR(LOOKUP(2,1/(('Match Log'!$A$4:$A$810=$A309)*('Match Log'!$E$4:$E$810="Win")),'Match Log'!$D$4:$D$810),""))</f>
        <v>Josh</v>
      </c>
      <c r="E309">
        <f>IFERROR(INDEX('Match Log'!$F$4:$F$810,MATCH(285,'Match Log'!$A$4:$A$810,0)),"")</f>
        <v>2</v>
      </c>
      <c r="F309">
        <f>IFERROR(SUMIFS('Match Log'!$I$4:$I$810,'Match Log'!$A$4:$A$810,285,'Match Log'!$E$4:$E$810,"Win"),"")</f>
        <v>0.47368421052631582</v>
      </c>
      <c r="G309">
        <f t="shared" si="28"/>
        <v>5.2631578947368363E-2</v>
      </c>
      <c r="H309" t="str">
        <f t="array" ref="H309">IFERROR(IF(COUNTIFS('Match Log'!$A$4:$A$810,$A309,'Match Log'!$E$4:$E$810,"Win")&gt;1,_xlfn.TEXTJOIN(" + ",TRUE(),IF(('Match Log'!$A$4:$A$810=$A309)*('Match Log'!$E$4:$E$810="Loss"),'Match Log'!$D$4:$D$810,"")),IF($E309=2,LOOKUP(2,1/(('Match Log'!$A$4:$A$810=$A309)*('Match Log'!$E$4:$E$810="Loss")),'Match Log'!$D$4:$D$810),"the field")),"")</f>
        <v>Daniel (Ferret)</v>
      </c>
      <c r="I309">
        <f t="shared" si="29"/>
        <v>5.2346578947368362E-2</v>
      </c>
      <c r="J309">
        <v>285</v>
      </c>
      <c r="K309">
        <f>IF($J309&gt;MAX('Match Log'!$A$4:$A$810),NA(),IFERROR(LOOKUP(2,1/(('Match Log'!$D$4:$D$810=$K$24)*('Match Log'!$A$4:$A$810&lt;=$J309)),'Match Log'!$N$4:$N$810),NA()))</f>
        <v>1265.5221853966827</v>
      </c>
      <c r="L309">
        <f>IF($J309&gt;MAX('Match Log'!$A$4:$A$810),NA(),IFERROR(LOOKUP(2,1/(('Match Log'!$D$4:$D$810=$L$24)*('Match Log'!$A$4:$A$810&lt;=$J309)),'Match Log'!$N$4:$N$810),NA()))</f>
        <v>1029.5175965335138</v>
      </c>
      <c r="M309">
        <f>IF($J309&gt;MAX('Match Log'!$A$4:$A$810),NA(),IFERROR(LOOKUP(2,1/(('Match Log'!$D$4:$D$810=$M$24)*('Match Log'!$A$4:$A$810&lt;=$J309)),'Match Log'!$N$4:$N$810),NA()))</f>
        <v>1098.8851304702137</v>
      </c>
      <c r="N309">
        <f>IF($J309&gt;MAX('Match Log'!$A$4:$A$810),NA(),IFERROR(LOOKUP(2,1/(('Match Log'!$D$4:$D$810=$N$24)*('Match Log'!$A$4:$A$810&lt;=$J309)),'Match Log'!$N$4:$N$810),NA()))</f>
        <v>907.03133644117429</v>
      </c>
      <c r="O309">
        <f>IF($J309&gt;MAX('Match Log'!$A$4:$A$810),NA(),IFERROR(LOOKUP(2,1/(('Match Log'!$D$4:$D$810=$O$24)*('Match Log'!$A$4:$A$810&lt;=$J309)),'Match Log'!$N$4:$N$810),NA()))</f>
        <v>1192.3121492095624</v>
      </c>
      <c r="P309">
        <f>IF($J309&gt;MAX('Match Log'!$A$4:$A$810),NA(),IFERROR(LOOKUP(2,1/(('Match Log'!$D$4:$D$810=$P$24)*('Match Log'!$A$4:$A$810&lt;=$J309)),'Match Log'!$N$4:$N$810),NA()))</f>
        <v>1262.0849962820685</v>
      </c>
      <c r="Q309">
        <f>IF($J309&gt;MAX('Match Log'!$A$4:$A$810),NA(),IFERROR(LOOKUP(2,1/(('Match Log'!$D$4:$D$810=$Q$24)*('Match Log'!$A$4:$A$810&lt;=$J309)),'Match Log'!$N$4:$N$810),NA()))</f>
        <v>1215.996181687143</v>
      </c>
      <c r="R309">
        <f>IF($J309&gt;MAX('Match Log'!$A$4:$A$810),NA(),IFERROR(LOOKUP(2,1/(('Match Log'!$D$4:$D$810=$R$24)*('Match Log'!$A$4:$A$810&lt;=$J309)),'Match Log'!$N$4:$N$810),NA()))</f>
        <v>971.33596708484288</v>
      </c>
      <c r="S309">
        <f>IF($J309&gt;MAX('Match Log'!$A$4:$A$810),NA(),IFERROR(LOOKUP(2,1/(('Match Log'!$D$4:$D$810=$S$24)*('Match Log'!$A$4:$A$810&lt;=$J309)),'Match Log'!$N$4:$N$810),NA()))</f>
        <v>1248.9288111472574</v>
      </c>
      <c r="T309">
        <f>IF($J309&gt;MAX('Match Log'!$A$4:$A$810),NA(),IFERROR(LOOKUP(2,1/(('Match Log'!$D$4:$D$810=$T$24)*('Match Log'!$A$4:$A$810&lt;=$J309)),'Match Log'!$N$4:$N$810),NA()))</f>
        <v>862.22294373677494</v>
      </c>
      <c r="U309">
        <f>IF($J309&gt;MAX('Match Log'!$A$4:$A$810),NA(),IFERROR(LOOKUP(2,1/(('Match Log'!$D$4:$D$810=$U$24)*('Match Log'!$A$4:$A$810&lt;=$J309)),'Match Log'!$N$4:$N$810),NA()))</f>
        <v>944.39454678356583</v>
      </c>
      <c r="V309">
        <f>IF($J309&gt;MAX('Match Log'!$A$4:$A$810),NA(),IFERROR(LOOKUP(2,1/(('Match Log'!$D$4:$D$810=$V$24)*('Match Log'!$A$4:$A$810&lt;=$J309)),'Match Log'!$N$4:$N$810),NA()))</f>
        <v>1087.5488947064855</v>
      </c>
      <c r="W309">
        <f>IF($J309&gt;MAX('Match Log'!$A$4:$A$810),NA(),IFERROR(LOOKUP(2,1/(('Match Log'!$D$4:$D$810=$W$24)*('Match Log'!$A$4:$A$810&lt;=$J309)),'Match Log'!$N$4:$N$810),NA()))</f>
        <v>1023.2192605207141</v>
      </c>
      <c r="X309" t="e">
        <f>IF($J309&gt;MAX('Match Log'!$A$4:$A$810),NA(),IFERROR(LOOKUP(2,1/(('Match Log'!$D$4:$D$810=$X$24)*('Match Log'!$A$4:$A$810&lt;=$J309)),'Match Log'!$N$4:$N$810),NA()))</f>
        <v>#N/A</v>
      </c>
      <c r="Y309" t="str">
        <f t="shared" ca="1" si="30"/>
        <v/>
      </c>
    </row>
    <row r="310" spans="1:25" x14ac:dyDescent="0.2">
      <c r="A310">
        <v>286</v>
      </c>
      <c r="B310">
        <f>IFERROR(INDEX('Match Log'!$B$4:$B$810,MATCH(286,'Match Log'!$A$4:$A$810,0)),"")</f>
        <v>46274</v>
      </c>
      <c r="C310" t="str">
        <f>IFERROR(INDEX('Match Log'!$C$4:$C$810,MATCH(286,'Match Log'!$A$4:$A$810,0)),"")</f>
        <v>Chess</v>
      </c>
      <c r="D310" t="str">
        <f t="array" ref="D310">IFERROR(_xlfn.TEXTJOIN(" + ",TRUE(),IF(('Match Log'!$A$4:$A$810=$A310)*('Match Log'!$E$4:$E$810="Win"),'Match Log'!$D$4:$D$810,"")),IFERROR(LOOKUP(2,1/(('Match Log'!$A$4:$A$810=$A310)*('Match Log'!$E$4:$E$810="Win")),'Match Log'!$D$4:$D$810),""))</f>
        <v>Shawn</v>
      </c>
      <c r="E310">
        <f>IFERROR(INDEX('Match Log'!$F$4:$F$810,MATCH(286,'Match Log'!$A$4:$A$810,0)),"")</f>
        <v>2</v>
      </c>
      <c r="F310">
        <f>IFERROR(SUMIFS('Match Log'!$I$4:$I$810,'Match Log'!$A$4:$A$810,286,'Match Log'!$E$4:$E$810,"Win"),"")</f>
        <v>0.5625</v>
      </c>
      <c r="G310">
        <f t="shared" si="28"/>
        <v>-0.125</v>
      </c>
      <c r="H310" t="str">
        <f t="array" ref="H310">IFERROR(IF(COUNTIFS('Match Log'!$A$4:$A$810,$A310,'Match Log'!$E$4:$E$810,"Win")&gt;1,_xlfn.TEXTJOIN(" + ",TRUE(),IF(('Match Log'!$A$4:$A$810=$A310)*('Match Log'!$E$4:$E$810="Loss"),'Match Log'!$D$4:$D$810,"")),IF($E310=2,LOOKUP(2,1/(('Match Log'!$A$4:$A$810=$A310)*('Match Log'!$E$4:$E$810="Loss")),'Match Log'!$D$4:$D$810),"the field")),"")</f>
        <v>Chase</v>
      </c>
      <c r="I310">
        <f t="shared" si="29"/>
        <v>-0.12528600000000001</v>
      </c>
      <c r="J310">
        <v>286</v>
      </c>
      <c r="K310">
        <f>IF($J310&gt;MAX('Match Log'!$A$4:$A$810),NA(),IFERROR(LOOKUP(2,1/(('Match Log'!$D$4:$D$810=$K$24)*('Match Log'!$A$4:$A$810&lt;=$J310)),'Match Log'!$N$4:$N$810),NA()))</f>
        <v>1265.5221853966827</v>
      </c>
      <c r="L310">
        <f>IF($J310&gt;MAX('Match Log'!$A$4:$A$810),NA(),IFERROR(LOOKUP(2,1/(('Match Log'!$D$4:$D$810=$L$24)*('Match Log'!$A$4:$A$810&lt;=$J310)),'Match Log'!$N$4:$N$810),NA()))</f>
        <v>1029.5175965335138</v>
      </c>
      <c r="M310">
        <f>IF($J310&gt;MAX('Match Log'!$A$4:$A$810),NA(),IFERROR(LOOKUP(2,1/(('Match Log'!$D$4:$D$810=$M$24)*('Match Log'!$A$4:$A$810&lt;=$J310)),'Match Log'!$N$4:$N$810),NA()))</f>
        <v>1081.2287215286424</v>
      </c>
      <c r="N310">
        <f>IF($J310&gt;MAX('Match Log'!$A$4:$A$810),NA(),IFERROR(LOOKUP(2,1/(('Match Log'!$D$4:$D$810=$N$24)*('Match Log'!$A$4:$A$810&lt;=$J310)),'Match Log'!$N$4:$N$810),NA()))</f>
        <v>907.03133644117429</v>
      </c>
      <c r="O310">
        <f>IF($J310&gt;MAX('Match Log'!$A$4:$A$810),NA(),IFERROR(LOOKUP(2,1/(('Match Log'!$D$4:$D$810=$O$24)*('Match Log'!$A$4:$A$810&lt;=$J310)),'Match Log'!$N$4:$N$810),NA()))</f>
        <v>1192.3121492095624</v>
      </c>
      <c r="P310">
        <f>IF($J310&gt;MAX('Match Log'!$A$4:$A$810),NA(),IFERROR(LOOKUP(2,1/(('Match Log'!$D$4:$D$810=$P$24)*('Match Log'!$A$4:$A$810&lt;=$J310)),'Match Log'!$N$4:$N$810),NA()))</f>
        <v>1279.7414052236397</v>
      </c>
      <c r="Q310">
        <f>IF($J310&gt;MAX('Match Log'!$A$4:$A$810),NA(),IFERROR(LOOKUP(2,1/(('Match Log'!$D$4:$D$810=$Q$24)*('Match Log'!$A$4:$A$810&lt;=$J310)),'Match Log'!$N$4:$N$810),NA()))</f>
        <v>1215.996181687143</v>
      </c>
      <c r="R310">
        <f>IF($J310&gt;MAX('Match Log'!$A$4:$A$810),NA(),IFERROR(LOOKUP(2,1/(('Match Log'!$D$4:$D$810=$R$24)*('Match Log'!$A$4:$A$810&lt;=$J310)),'Match Log'!$N$4:$N$810),NA()))</f>
        <v>971.33596708484288</v>
      </c>
      <c r="S310">
        <f>IF($J310&gt;MAX('Match Log'!$A$4:$A$810),NA(),IFERROR(LOOKUP(2,1/(('Match Log'!$D$4:$D$810=$S$24)*('Match Log'!$A$4:$A$810&lt;=$J310)),'Match Log'!$N$4:$N$810),NA()))</f>
        <v>1248.9288111472574</v>
      </c>
      <c r="T310">
        <f>IF($J310&gt;MAX('Match Log'!$A$4:$A$810),NA(),IFERROR(LOOKUP(2,1/(('Match Log'!$D$4:$D$810=$T$24)*('Match Log'!$A$4:$A$810&lt;=$J310)),'Match Log'!$N$4:$N$810),NA()))</f>
        <v>862.22294373677494</v>
      </c>
      <c r="U310">
        <f>IF($J310&gt;MAX('Match Log'!$A$4:$A$810),NA(),IFERROR(LOOKUP(2,1/(('Match Log'!$D$4:$D$810=$U$24)*('Match Log'!$A$4:$A$810&lt;=$J310)),'Match Log'!$N$4:$N$810),NA()))</f>
        <v>944.39454678356583</v>
      </c>
      <c r="V310">
        <f>IF($J310&gt;MAX('Match Log'!$A$4:$A$810),NA(),IFERROR(LOOKUP(2,1/(('Match Log'!$D$4:$D$810=$V$24)*('Match Log'!$A$4:$A$810&lt;=$J310)),'Match Log'!$N$4:$N$810),NA()))</f>
        <v>1087.5488947064855</v>
      </c>
      <c r="W310">
        <f>IF($J310&gt;MAX('Match Log'!$A$4:$A$810),NA(),IFERROR(LOOKUP(2,1/(('Match Log'!$D$4:$D$810=$W$24)*('Match Log'!$A$4:$A$810&lt;=$J310)),'Match Log'!$N$4:$N$810),NA()))</f>
        <v>1023.2192605207141</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269</v>
      </c>
    </row>
    <row r="2" spans="1:17" ht="15" customHeight="1" x14ac:dyDescent="0.2">
      <c r="A2" t="s">
        <v>15</v>
      </c>
      <c r="B2">
        <f>IF(COUNTIF('Match Log'!$D$4:$D$810,$A2)=0,'Guide &amp; Settings'!$C$41,IFERROR(LOOKUP(2,1/('Match Log'!$D$4:$D$810=$A2),'Match Log'!$N$4:$N$810),'Guide &amp; Settings'!$C$41))</f>
        <v>1265.5221853966827</v>
      </c>
      <c r="C2">
        <f>IFERROR(SUMPRODUCT(INDEX('Head-to-Head'!$B$22:$O$35,1,0),$D$2:$Q$2)/SUM(INDEX('Head-to-Head'!$B$22:$O$35,1,0)),"")</f>
        <v>1130.8465589367588</v>
      </c>
      <c r="D2">
        <f>$B$2</f>
        <v>1265.5221853966827</v>
      </c>
      <c r="E2">
        <f>$B$3</f>
        <v>1029.5175965335138</v>
      </c>
      <c r="F2">
        <f>$B$4</f>
        <v>1081.2287215286424</v>
      </c>
      <c r="G2">
        <f>$B$5</f>
        <v>907.03133644117429</v>
      </c>
      <c r="H2">
        <f>$B$6</f>
        <v>1192.3121492095624</v>
      </c>
      <c r="I2">
        <f>$B$7</f>
        <v>1279.7414052236397</v>
      </c>
      <c r="J2">
        <f>$B$8</f>
        <v>1215.996181687143</v>
      </c>
      <c r="K2">
        <f>$B$9</f>
        <v>971.33596708484288</v>
      </c>
      <c r="L2">
        <f>$B$10</f>
        <v>1248.9288111472574</v>
      </c>
      <c r="M2">
        <f>$B$11</f>
        <v>862.22294373677494</v>
      </c>
      <c r="N2">
        <f>$B$12</f>
        <v>944.39454678356583</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1084.5329651264167</v>
      </c>
    </row>
    <row r="4" spans="1:17" ht="15" customHeight="1" x14ac:dyDescent="0.2">
      <c r="A4" t="s">
        <v>17</v>
      </c>
      <c r="B4">
        <f>IF(COUNTIF('Match Log'!$D$4:$D$810,$A4)=0,'Guide &amp; Settings'!$C$41,IFERROR(LOOKUP(2,1/('Match Log'!$D$4:$D$810=$A4),'Match Log'!$N$4:$N$810),'Guide &amp; Settings'!$C$41))</f>
        <v>1081.2287215286424</v>
      </c>
      <c r="C4">
        <f>IFERROR(SUMPRODUCT(INDEX('Head-to-Head'!$B$22:$O$35,3,0),$D$2:$Q$2)/SUM(INDEX('Head-to-Head'!$B$22:$O$35,3,0)),"")</f>
        <v>1111.675244572471</v>
      </c>
    </row>
    <row r="5" spans="1:17" ht="15" customHeight="1" x14ac:dyDescent="0.2">
      <c r="A5" t="s">
        <v>18</v>
      </c>
      <c r="B5">
        <f>IF(COUNTIF('Match Log'!$D$4:$D$810,$A5)=0,'Guide &amp; Settings'!$C$41,IFERROR(LOOKUP(2,1/('Match Log'!$D$4:$D$810=$A5),'Match Log'!$N$4:$N$810),'Guide &amp; Settings'!$C$41))</f>
        <v>907.03133644117429</v>
      </c>
      <c r="C5">
        <f>IFERROR(SUMPRODUCT(INDEX('Head-to-Head'!$B$22:$O$35,4,0),$D$2:$Q$2)/SUM(INDEX('Head-to-Head'!$B$22:$O$35,4,0)),"")</f>
        <v>1151.5251648045266</v>
      </c>
    </row>
    <row r="6" spans="1:17" ht="15" customHeight="1" x14ac:dyDescent="0.2">
      <c r="A6" t="s">
        <v>19</v>
      </c>
      <c r="B6">
        <f>IF(COUNTIF('Match Log'!$D$4:$D$810,$A6)=0,'Guide &amp; Settings'!$C$41,IFERROR(LOOKUP(2,1/('Match Log'!$D$4:$D$810=$A6),'Match Log'!$N$4:$N$810),'Guide &amp; Settings'!$C$41))</f>
        <v>1192.3121492095624</v>
      </c>
      <c r="C6">
        <f>IFERROR(SUMPRODUCT(INDEX('Head-to-Head'!$B$22:$O$35,5,0),$D$2:$Q$2)/SUM(INDEX('Head-to-Head'!$B$22:$O$35,5,0)),"")</f>
        <v>1085.6309061465815</v>
      </c>
    </row>
    <row r="7" spans="1:17" ht="15" customHeight="1" x14ac:dyDescent="0.2">
      <c r="A7" t="s">
        <v>20</v>
      </c>
      <c r="B7">
        <f>IF(COUNTIF('Match Log'!$D$4:$D$810,$A7)=0,'Guide &amp; Settings'!$C$41,IFERROR(LOOKUP(2,1/('Match Log'!$D$4:$D$810=$A7),'Match Log'!$N$4:$N$810),'Guide &amp; Settings'!$C$41))</f>
        <v>1279.7414052236397</v>
      </c>
      <c r="C7">
        <f>IFERROR(SUMPRODUCT(INDEX('Head-to-Head'!$B$22:$O$35,6,0),$D$2:$Q$2)/SUM(INDEX('Head-to-Head'!$B$22:$O$35,6,0)),"")</f>
        <v>1091.5788592593517</v>
      </c>
    </row>
    <row r="8" spans="1:17" ht="15" customHeight="1" x14ac:dyDescent="0.2">
      <c r="A8" t="s">
        <v>21</v>
      </c>
      <c r="B8">
        <f>IF(COUNTIF('Match Log'!$D$4:$D$810,$A8)=0,'Guide &amp; Settings'!$C$41,IFERROR(LOOKUP(2,1/('Match Log'!$D$4:$D$810=$A8),'Match Log'!$N$4:$N$810),'Guide &amp; Settings'!$C$41))</f>
        <v>1215.996181687143</v>
      </c>
      <c r="C8">
        <f>IFERROR(SUMPRODUCT(INDEX('Head-to-Head'!$B$22:$O$35,7,0),$D$2:$Q$2)/SUM(INDEX('Head-to-Head'!$B$22:$O$35,7,0)),"")</f>
        <v>1083.5493817040726</v>
      </c>
    </row>
    <row r="9" spans="1:17" ht="15" customHeight="1" x14ac:dyDescent="0.2">
      <c r="A9" t="s">
        <v>22</v>
      </c>
      <c r="B9">
        <f>IF(COUNTIF('Match Log'!$D$4:$D$810,$A9)=0,'Guide &amp; Settings'!$C$41,IFERROR(LOOKUP(2,1/('Match Log'!$D$4:$D$810=$A9),'Match Log'!$N$4:$N$810),'Guide &amp; Settings'!$C$41))</f>
        <v>971.33596708484288</v>
      </c>
      <c r="C9">
        <f>IFERROR(SUMPRODUCT(INDEX('Head-to-Head'!$B$22:$O$35,8,0),$D$2:$Q$2)/SUM(INDEX('Head-to-Head'!$B$22:$O$35,8,0)),"")</f>
        <v>1185.2737301502768</v>
      </c>
    </row>
    <row r="10" spans="1:17" ht="15" customHeight="1" x14ac:dyDescent="0.2">
      <c r="A10" t="s">
        <v>23</v>
      </c>
      <c r="B10">
        <f>IF(COUNTIF('Match Log'!$D$4:$D$810,$A10)=0,'Guide &amp; Settings'!$C$41,IFERROR(LOOKUP(2,1/('Match Log'!$D$4:$D$810=$A10),'Match Log'!$N$4:$N$810),'Guide &amp; Settings'!$C$41))</f>
        <v>1248.9288111472574</v>
      </c>
      <c r="C10">
        <f>IFERROR(SUMPRODUCT(INDEX('Head-to-Head'!$B$22:$O$35,9,0),$D$2:$Q$2)/SUM(INDEX('Head-to-Head'!$B$22:$O$35,9,0)),"")</f>
        <v>1074.1573189218398</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1099.2429224423195</v>
      </c>
    </row>
    <row r="12" spans="1:17" ht="15" customHeight="1" x14ac:dyDescent="0.2">
      <c r="A12" t="s">
        <v>25</v>
      </c>
      <c r="B12">
        <f>IF(COUNTIF('Match Log'!$D$4:$D$810,$A12)=0,'Guide &amp; Settings'!$C$41,IFERROR(LOOKUP(2,1/('Match Log'!$D$4:$D$810=$A12),'Match Log'!$N$4:$N$810),'Guide &amp; Settings'!$C$41))</f>
        <v>944.39454678356583</v>
      </c>
      <c r="C12">
        <f>IFERROR(SUMPRODUCT(INDEX('Head-to-Head'!$B$22:$O$35,11,0),$D$2:$Q$2)/SUM(INDEX('Head-to-Head'!$B$22:$O$35,11,0)),"")</f>
        <v>1178.6590029751765</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1027.7015475783867</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1057.4767490837492</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449</v>
      </c>
      <c r="C1" t="s">
        <v>268</v>
      </c>
      <c r="E1" t="s">
        <v>357</v>
      </c>
    </row>
    <row r="2" spans="1:5" ht="15" customHeight="1" x14ac:dyDescent="0.2">
      <c r="A2" t="s">
        <v>15</v>
      </c>
      <c r="C2" t="s">
        <v>33</v>
      </c>
      <c r="E2" t="s">
        <v>378</v>
      </c>
    </row>
    <row r="3" spans="1:5" ht="15" customHeight="1" x14ac:dyDescent="0.2">
      <c r="A3" t="s">
        <v>16</v>
      </c>
      <c r="C3" t="s">
        <v>34</v>
      </c>
      <c r="E3" t="s">
        <v>379</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455</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2026-09-18T05:54:55Z</dcterms:modified>
  <dc:language>en-US</dc:language>
</cp:coreProperties>
</file>